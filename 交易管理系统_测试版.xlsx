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单次交易" sheetId="1" state="visible" r:id="rId3"/>
    <sheet name="买入理由" sheetId="2" state="visible" r:id="rId4"/>
    <sheet name="多次统计数据" sheetId="3" state="visible" r:id="rId5"/>
    <sheet name="账户数据" sheetId="4" state="visible" r:id="rId6"/>
    <sheet name="目标收益" sheetId="5" state="visible" r:id="rId7"/>
    <sheet name="技术指标" sheetId="6" state="visible" r:id="rId8"/>
  </sheets>
  <definedNames>
    <definedName function="false" hidden="false" name="技术指标列表" vbProcedure="false">技术指标!$A$2:$A$201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C1" authorId="0">
      <text>
        <r>
          <rPr>
            <sz val="10"/>
            <rFont val="Arial Unicode MS"/>
            <family val="2"/>
          </rPr>
          <t xml:space="preserve">开仓时从“账户数据”的当前总金额复制，并粘贴为数值；不要保留公式。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 Unicode MS"/>
            <family val="2"/>
          </rPr>
          <t xml:space="preserve">开仓时从“账户数据”的单次交易允许亏损比例复制，并粘贴为数值。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 Unicode MS"/>
            <family val="2"/>
          </rPr>
          <t xml:space="preserve">按账户快照、本次风险比例和止损距离计算；仅作仓位建议。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 Unicode MS"/>
            <family val="2"/>
          </rPr>
          <t xml:space="preserve">比较全部未平仓理论亏损（含本行拟开仓风险）与当月允许最大亏损金额。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 Unicode MS"/>
            <family val="2"/>
          </rPr>
          <t xml:space="preserve">手动填写实际成交股数；后续盈亏、收益率和统计均引用此列。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 Unicode MS"/>
            <family val="2"/>
          </rPr>
          <t xml:space="preserve">默认等于实际买入股数；本系统按一次卖出处理。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A1" authorId="0">
      <text>
        <r>
          <rPr>
            <sz val="10"/>
            <rFont val="Arial Unicode MS"/>
            <family val="2"/>
          </rPr>
          <t xml:space="preserve">可在本列继续添加或修改指标；买入理由页的三个下拉框会引用</t>
        </r>
        <r>
          <rPr>
            <sz val="10"/>
            <rFont val="Arial"/>
            <family val="2"/>
          </rPr>
          <t xml:space="preserve">A2:A201</t>
        </r>
        <r>
          <rPr>
            <sz val="10"/>
            <rFont val="Arial Unicode MS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2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<sst xmlns="http://schemas.openxmlformats.org/spreadsheetml/2006/main" count="1643" uniqueCount="456">
  <si>
    <t xml:space="preserve">交易编号</t>
  </si>
  <si>
    <t xml:space="preserve">股票代码</t>
  </si>
  <si>
    <t xml:space="preserve">买入时账户金额</t>
  </si>
  <si>
    <t xml:space="preserve">本次允许亏损比例</t>
  </si>
  <si>
    <t xml:space="preserve">买入价</t>
  </si>
  <si>
    <t xml:space="preserve">买入建议股数</t>
  </si>
  <si>
    <t xml:space="preserve">开仓风险告警</t>
  </si>
  <si>
    <t xml:space="preserve">实际买入股数</t>
  </si>
  <si>
    <t xml:space="preserve">买入日期</t>
  </si>
  <si>
    <t xml:space="preserve">期望卖出价</t>
  </si>
  <si>
    <t xml:space="preserve">实际卖出价</t>
  </si>
  <si>
    <t xml:space="preserve">卖出股数</t>
  </si>
  <si>
    <t xml:space="preserve">卖出日期</t>
  </si>
  <si>
    <t xml:space="preserve">止损价</t>
  </si>
  <si>
    <t xml:space="preserve">买入费用</t>
  </si>
  <si>
    <t xml:space="preserve">卖出费用</t>
  </si>
  <si>
    <t xml:space="preserve">买入价的由来</t>
  </si>
  <si>
    <t xml:space="preserve">止损价的由来</t>
  </si>
  <si>
    <t xml:space="preserve">期望卖出价的由来</t>
  </si>
  <si>
    <t xml:space="preserve">实际卖出价的由来</t>
  </si>
  <si>
    <t xml:space="preserve">期望盈利比例</t>
  </si>
  <si>
    <t xml:space="preserve">期望止损比例</t>
  </si>
  <si>
    <t xml:space="preserve">盈亏比</t>
  </si>
  <si>
    <t xml:space="preserve">实际盈亏金额</t>
  </si>
  <si>
    <t xml:space="preserve">实际收益率</t>
  </si>
  <si>
    <t xml:space="preserve">与平均盈利比例差值</t>
  </si>
  <si>
    <t xml:space="preserve">持有天数</t>
  </si>
  <si>
    <t xml:space="preserve">复利容许平均亏损上限</t>
  </si>
  <si>
    <t xml:space="preserve">复利风险判断</t>
  </si>
  <si>
    <t xml:space="preserve">交易打分评价</t>
  </si>
  <si>
    <t xml:space="preserve">T2026001</t>
  </si>
  <si>
    <t xml:space="preserve">600519</t>
  </si>
  <si>
    <r>
      <rPr>
        <sz val="11"/>
        <color theme="1"/>
        <rFont val="Arial Unicode MS"/>
        <family val="2"/>
      </rPr>
      <t xml:space="preserve">蜡烛图与</t>
    </r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Arial Unicode MS"/>
        <family val="2"/>
      </rPr>
      <t xml:space="preserve">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</si>
  <si>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10.25</t>
    </r>
  </si>
  <si>
    <t xml:space="preserve">目标参考缺口</t>
  </si>
  <si>
    <t xml:space="preserve">按计划成交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</si>
  <si>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Arial Unicode MS"/>
        <family val="2"/>
      </rPr>
      <t xml:space="preserve">良好</t>
    </r>
  </si>
  <si>
    <t xml:space="preserve">T2026002</t>
  </si>
  <si>
    <t xml:space="preserve">000001</t>
  </si>
  <si>
    <r>
      <rPr>
        <sz val="11"/>
        <color theme="1"/>
        <rFont val="Arial Unicode MS"/>
        <family val="2"/>
      </rPr>
      <t xml:space="preserve">趋势线与</t>
    </r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Arial Unicode MS"/>
        <family val="2"/>
      </rPr>
      <t xml:space="preserve">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</si>
  <si>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11.25</t>
    </r>
  </si>
  <si>
    <t xml:space="preserve">目标参考形态突破</t>
  </si>
  <si>
    <t xml:space="preserve">T2026003</t>
  </si>
  <si>
    <t xml:space="preserve">300750</t>
  </si>
  <si>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Arial Unicode MS"/>
        <family val="2"/>
      </rPr>
      <t xml:space="preserve">与布林带共同确认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</si>
  <si>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12.25</t>
    </r>
  </si>
  <si>
    <t xml:space="preserve">目标参考均线金叉</t>
  </si>
  <si>
    <t xml:space="preserve">T2026004</t>
  </si>
  <si>
    <t xml:space="preserve">002594</t>
  </si>
  <si>
    <t xml:space="preserve">移动平均线与支撑位共同确认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</si>
  <si>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14.25</t>
    </r>
  </si>
  <si>
    <t xml:space="preserve">目标参考均线死叉</t>
  </si>
  <si>
    <t xml:space="preserve">T2026005</t>
  </si>
  <si>
    <t xml:space="preserve">601318</t>
  </si>
  <si>
    <t xml:space="preserve">成交量与压力位共同确认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</si>
  <si>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15.25</t>
    </r>
  </si>
  <si>
    <t xml:space="preserve">目标参考量价背离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</si>
  <si>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Arial Unicode MS"/>
        <family val="2"/>
      </rPr>
      <t xml:space="preserve">较差</t>
    </r>
  </si>
  <si>
    <t xml:space="preserve">T2026006</t>
  </si>
  <si>
    <t xml:space="preserve">688981</t>
  </si>
  <si>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Arial Unicode MS"/>
        <family val="2"/>
      </rPr>
      <t xml:space="preserve">与缺口共同确认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</si>
  <si>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16.25</t>
    </r>
  </si>
  <si>
    <t xml:space="preserve">目标参考趋势背离</t>
  </si>
  <si>
    <t xml:space="preserve">T2026007</t>
  </si>
  <si>
    <t xml:space="preserve">000858</t>
  </si>
  <si>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Arial Unicode MS"/>
        <family val="2"/>
      </rPr>
      <t xml:space="preserve">与形态突破共同确认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</si>
  <si>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17.25</t>
    </r>
  </si>
  <si>
    <r>
      <rPr>
        <sz val="11"/>
        <color theme="1"/>
        <rFont val="Arial Unicode MS"/>
        <family val="2"/>
      </rPr>
      <t xml:space="preserve">目标参考</t>
    </r>
    <r>
      <rPr>
        <sz val="11"/>
        <color theme="1"/>
        <rFont val="Calibri"/>
        <family val="2"/>
        <charset val="1"/>
      </rPr>
      <t xml:space="preserve">ATR</t>
    </r>
  </si>
  <si>
    <t xml:space="preserve">T2026008</t>
  </si>
  <si>
    <t xml:space="preserve">600036</t>
  </si>
  <si>
    <t xml:space="preserve">布林带与均线金叉共同确认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</si>
  <si>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19.25</t>
    </r>
  </si>
  <si>
    <t xml:space="preserve">目标参考换手率</t>
  </si>
  <si>
    <t xml:space="preserve">T2026009</t>
  </si>
  <si>
    <t xml:space="preserve">002415</t>
  </si>
  <si>
    <t xml:space="preserve">支撑位与均线死叉共同确认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</si>
  <si>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20.25</t>
    </r>
  </si>
  <si>
    <t xml:space="preserve">目标参考相对强弱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</si>
  <si>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Arial Unicode MS"/>
        <family val="2"/>
      </rPr>
      <t xml:space="preserve">一般</t>
    </r>
  </si>
  <si>
    <t xml:space="preserve">T2026010</t>
  </si>
  <si>
    <t xml:space="preserve">601899</t>
  </si>
  <si>
    <t xml:space="preserve">压力位与量价背离共同确认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</si>
  <si>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21.25</t>
    </r>
  </si>
  <si>
    <t xml:space="preserve">目标参考板块共振</t>
  </si>
  <si>
    <t xml:space="preserve">T2026011</t>
  </si>
  <si>
    <t xml:space="preserve">缺口与趋势背离共同确认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</si>
  <si>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8.50</t>
    </r>
  </si>
  <si>
    <t xml:space="preserve">目标参考蜡烛图</t>
  </si>
  <si>
    <t xml:space="preserve">T2026012</t>
  </si>
  <si>
    <r>
      <rPr>
        <sz val="11"/>
        <color theme="1"/>
        <rFont val="Arial Unicode MS"/>
        <family val="2"/>
      </rPr>
      <t xml:space="preserve">形态突破与</t>
    </r>
    <r>
      <rPr>
        <sz val="11"/>
        <color theme="1"/>
        <rFont val="Calibri"/>
        <family val="2"/>
        <charset val="1"/>
      </rPr>
      <t xml:space="preserve">ATR</t>
    </r>
    <r>
      <rPr>
        <sz val="11"/>
        <color theme="1"/>
        <rFont val="Arial Unicode MS"/>
        <family val="2"/>
      </rPr>
      <t xml:space="preserve">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</si>
  <si>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10.50</t>
    </r>
  </si>
  <si>
    <t xml:space="preserve">目标参考趋势线</t>
  </si>
  <si>
    <t xml:space="preserve">T2026013</t>
  </si>
  <si>
    <t xml:space="preserve">均线金叉与换手率共同确认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</si>
  <si>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11.50</t>
    </r>
  </si>
  <si>
    <r>
      <rPr>
        <sz val="11"/>
        <color theme="1"/>
        <rFont val="Arial Unicode MS"/>
        <family val="2"/>
      </rPr>
      <t xml:space="preserve">目标参考</t>
    </r>
    <r>
      <rPr>
        <sz val="11"/>
        <color theme="1"/>
        <rFont val="Calibri"/>
        <family val="2"/>
        <charset val="1"/>
      </rPr>
      <t xml:space="preserve">MACD</t>
    </r>
  </si>
  <si>
    <t xml:space="preserve">T2026014</t>
  </si>
  <si>
    <t xml:space="preserve">均线死叉与相对强弱共同确认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</si>
  <si>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12.50</t>
    </r>
  </si>
  <si>
    <t xml:space="preserve">目标参考移动平均线</t>
  </si>
  <si>
    <t xml:space="preserve">T2026015</t>
  </si>
  <si>
    <t xml:space="preserve">量价背离与板块共振共同确认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</si>
  <si>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13.50</t>
    </r>
  </si>
  <si>
    <t xml:space="preserve">目标参考成交量</t>
  </si>
  <si>
    <t xml:space="preserve">T2026016</t>
  </si>
  <si>
    <t xml:space="preserve">趋势背离与蜡烛图共同确认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</si>
  <si>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15.50</t>
    </r>
  </si>
  <si>
    <r>
      <rPr>
        <sz val="11"/>
        <color theme="1"/>
        <rFont val="Arial Unicode MS"/>
        <family val="2"/>
      </rPr>
      <t xml:space="preserve">目标参考</t>
    </r>
    <r>
      <rPr>
        <sz val="11"/>
        <color theme="1"/>
        <rFont val="Calibri"/>
        <family val="2"/>
        <charset val="1"/>
      </rPr>
      <t xml:space="preserve">RSI</t>
    </r>
  </si>
  <si>
    <t xml:space="preserve">T2026017</t>
  </si>
  <si>
    <r>
      <rPr>
        <sz val="11"/>
        <color theme="1"/>
        <rFont val="Calibri"/>
        <family val="2"/>
        <charset val="1"/>
      </rPr>
      <t xml:space="preserve">ATR</t>
    </r>
    <r>
      <rPr>
        <sz val="11"/>
        <color theme="1"/>
        <rFont val="Arial Unicode MS"/>
        <family val="2"/>
      </rPr>
      <t xml:space="preserve">与趋势线共同确认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</si>
  <si>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16.50</t>
    </r>
  </si>
  <si>
    <r>
      <rPr>
        <sz val="11"/>
        <color theme="1"/>
        <rFont val="Arial Unicode MS"/>
        <family val="2"/>
      </rPr>
      <t xml:space="preserve">目标参考</t>
    </r>
    <r>
      <rPr>
        <sz val="11"/>
        <color theme="1"/>
        <rFont val="Calibri"/>
        <family val="2"/>
        <charset val="1"/>
      </rPr>
      <t xml:space="preserve">KDJ</t>
    </r>
  </si>
  <si>
    <t xml:space="preserve">T2026018</t>
  </si>
  <si>
    <r>
      <rPr>
        <sz val="11"/>
        <color theme="1"/>
        <rFont val="Arial Unicode MS"/>
        <family val="2"/>
      </rPr>
      <t xml:space="preserve">换手率与</t>
    </r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Arial Unicode MS"/>
        <family val="2"/>
      </rPr>
      <t xml:space="preserve">共同确认</t>
    </r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</si>
  <si>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17.50</t>
    </r>
  </si>
  <si>
    <t xml:space="preserve">目标参考布林带</t>
  </si>
  <si>
    <t xml:space="preserve">T2026019</t>
  </si>
  <si>
    <t xml:space="preserve">相对强弱与移动平均线共同确认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</si>
  <si>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18.50</t>
    </r>
  </si>
  <si>
    <t xml:space="preserve">目标参考支撑位</t>
  </si>
  <si>
    <t xml:space="preserve">T2026020</t>
  </si>
  <si>
    <t xml:space="preserve">板块共振与成交量共同确认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</si>
  <si>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20.50</t>
    </r>
  </si>
  <si>
    <t xml:space="preserve">目标参考压力位</t>
  </si>
  <si>
    <t xml:space="preserve">T2026021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</si>
  <si>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21.50</t>
    </r>
  </si>
  <si>
    <t xml:space="preserve">T2026022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</si>
  <si>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8.75</t>
    </r>
  </si>
  <si>
    <t xml:space="preserve">T2026023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</si>
  <si>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9.75</t>
    </r>
  </si>
  <si>
    <t xml:space="preserve">T2026024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</si>
  <si>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11.75</t>
    </r>
  </si>
  <si>
    <t xml:space="preserve">T2026025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</si>
  <si>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12.75</t>
    </r>
  </si>
  <si>
    <t xml:space="preserve">T2026026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</si>
  <si>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13.75</t>
    </r>
  </si>
  <si>
    <t xml:space="preserve">T2026027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</si>
  <si>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14.75</t>
    </r>
  </si>
  <si>
    <t xml:space="preserve">T2026028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</si>
  <si>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16.75</t>
    </r>
  </si>
  <si>
    <t xml:space="preserve">T2026029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</si>
  <si>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17.75</t>
    </r>
  </si>
  <si>
    <t xml:space="preserve">T2026030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</si>
  <si>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18.75</t>
    </r>
  </si>
  <si>
    <t xml:space="preserve">T2026031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</si>
  <si>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19.75</t>
    </r>
  </si>
  <si>
    <t xml:space="preserve">T2026032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</si>
  <si>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21.75</t>
    </r>
  </si>
  <si>
    <t xml:space="preserve">T2026033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</si>
  <si>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9.00</t>
    </r>
  </si>
  <si>
    <t xml:space="preserve">T2026034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</si>
  <si>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10.00</t>
    </r>
  </si>
  <si>
    <t xml:space="preserve">T2026035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</si>
  <si>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11.00</t>
    </r>
  </si>
  <si>
    <t xml:space="preserve">T2026036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</si>
  <si>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13.00</t>
    </r>
  </si>
  <si>
    <t xml:space="preserve">T2026037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</si>
  <si>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14.00</t>
    </r>
  </si>
  <si>
    <t xml:space="preserve">T2026038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</si>
  <si>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15.00</t>
    </r>
  </si>
  <si>
    <t xml:space="preserve">T2026039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</si>
  <si>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16.00</t>
    </r>
  </si>
  <si>
    <t xml:space="preserve">T2026040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</si>
  <si>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18.00</t>
    </r>
  </si>
  <si>
    <t xml:space="preserve">T2026041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</si>
  <si>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19.00</t>
    </r>
  </si>
  <si>
    <t xml:space="preserve">T2026042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</si>
  <si>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20.00</t>
    </r>
  </si>
  <si>
    <t xml:space="preserve">T2026043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</si>
  <si>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21.00</t>
    </r>
  </si>
  <si>
    <t xml:space="preserve">T2026044</t>
  </si>
  <si>
    <r>
      <rPr>
        <sz val="11"/>
        <color theme="1"/>
        <rFont val="Arial Unicode MS"/>
        <family val="2"/>
      </rPr>
      <t xml:space="preserve">止损设在</t>
    </r>
    <r>
      <rPr>
        <sz val="11"/>
        <color theme="1"/>
        <rFont val="Calibri"/>
        <family val="2"/>
        <charset val="1"/>
      </rPr>
      <t xml:space="preserve">9.25</t>
    </r>
  </si>
  <si>
    <t xml:space="preserve">T2026045</t>
  </si>
  <si>
    <t xml:space="preserve">T2026046</t>
  </si>
  <si>
    <t xml:space="preserve">T2026047</t>
  </si>
  <si>
    <t xml:space="preserve">T2026048</t>
  </si>
  <si>
    <t xml:space="preserve">T2026049</t>
  </si>
  <si>
    <t xml:space="preserve">T2026050</t>
  </si>
  <si>
    <t xml:space="preserve">T2026051</t>
  </si>
  <si>
    <t xml:space="preserve">T2026052</t>
  </si>
  <si>
    <t xml:space="preserve">T2026053</t>
  </si>
  <si>
    <t xml:space="preserve">T2026054</t>
  </si>
  <si>
    <t xml:space="preserve">T2026055</t>
  </si>
  <si>
    <t xml:space="preserve">T2026056</t>
  </si>
  <si>
    <t xml:space="preserve">T2026057</t>
  </si>
  <si>
    <t xml:space="preserve">T2026058</t>
  </si>
  <si>
    <t xml:space="preserve">T2026059</t>
  </si>
  <si>
    <t xml:space="preserve">T2026060</t>
  </si>
  <si>
    <t xml:space="preserve">T2026061</t>
  </si>
  <si>
    <t xml:space="preserve">T2026062</t>
  </si>
  <si>
    <t xml:space="preserve">T2026063</t>
  </si>
  <si>
    <t xml:space="preserve">T2026064</t>
  </si>
  <si>
    <t xml:space="preserve">T2026065</t>
  </si>
  <si>
    <t xml:space="preserve">T2026066</t>
  </si>
  <si>
    <t xml:space="preserve">T2026067</t>
  </si>
  <si>
    <t xml:space="preserve">T2026068</t>
  </si>
  <si>
    <t xml:space="preserve">T2026069</t>
  </si>
  <si>
    <t xml:space="preserve">T2026070</t>
  </si>
  <si>
    <t xml:space="preserve">T2026071</t>
  </si>
  <si>
    <t xml:space="preserve">T2026072</t>
  </si>
  <si>
    <t xml:space="preserve">T2026073</t>
  </si>
  <si>
    <t xml:space="preserve">T2026074</t>
  </si>
  <si>
    <t xml:space="preserve">T2026075</t>
  </si>
  <si>
    <t xml:space="preserve">T2026076</t>
  </si>
  <si>
    <t xml:space="preserve">T2026077</t>
  </si>
  <si>
    <t xml:space="preserve">T2026078</t>
  </si>
  <si>
    <t xml:space="preserve">T2026079</t>
  </si>
  <si>
    <t xml:space="preserve">T2026080</t>
  </si>
  <si>
    <t xml:space="preserve">T2026081</t>
  </si>
  <si>
    <t xml:space="preserve">T2026082</t>
  </si>
  <si>
    <t xml:space="preserve">T2026083</t>
  </si>
  <si>
    <t xml:space="preserve">T2026084</t>
  </si>
  <si>
    <t xml:space="preserve">T2026085</t>
  </si>
  <si>
    <t xml:space="preserve">T2026086</t>
  </si>
  <si>
    <t xml:space="preserve">T2026087</t>
  </si>
  <si>
    <t xml:space="preserve">T2026088</t>
  </si>
  <si>
    <t xml:space="preserve">T2026089</t>
  </si>
  <si>
    <t xml:space="preserve">T2026090</t>
  </si>
  <si>
    <t xml:space="preserve">T2026091</t>
  </si>
  <si>
    <t xml:space="preserve">T2026092</t>
  </si>
  <si>
    <t xml:space="preserve">T2026093</t>
  </si>
  <si>
    <t xml:space="preserve">T2026094</t>
  </si>
  <si>
    <t xml:space="preserve">T2026095</t>
  </si>
  <si>
    <t xml:space="preserve">T2026096</t>
  </si>
  <si>
    <t xml:space="preserve">T2026097</t>
  </si>
  <si>
    <t xml:space="preserve">T2026098</t>
  </si>
  <si>
    <t xml:space="preserve">T2026099</t>
  </si>
  <si>
    <t xml:space="preserve">T2026100</t>
  </si>
  <si>
    <t xml:space="preserve">所属板块</t>
  </si>
  <si>
    <t xml:space="preserve">阶段</t>
  </si>
  <si>
    <t xml:space="preserve">记录日期</t>
  </si>
  <si>
    <r>
      <rPr>
        <b val="true"/>
        <sz val="11"/>
        <color rgb="FFFFFFFF"/>
        <rFont val="Arial Unicode MS"/>
        <family val="2"/>
      </rPr>
      <t xml:space="preserve">技术指标</t>
    </r>
    <r>
      <rPr>
        <b val="true"/>
        <sz val="11"/>
        <color rgb="FFFFFFFF"/>
        <rFont val="Cambria"/>
        <family val="0"/>
        <charset val="1"/>
      </rPr>
      <t xml:space="preserve">1</t>
    </r>
  </si>
  <si>
    <r>
      <rPr>
        <b val="true"/>
        <sz val="11"/>
        <color rgb="FFFFFFFF"/>
        <rFont val="Arial Unicode MS"/>
        <family val="2"/>
      </rPr>
      <t xml:space="preserve">技术指标</t>
    </r>
    <r>
      <rPr>
        <b val="true"/>
        <sz val="11"/>
        <color rgb="FFFFFFFF"/>
        <rFont val="Cambria"/>
        <family val="0"/>
        <charset val="1"/>
      </rPr>
      <t xml:space="preserve">2</t>
    </r>
  </si>
  <si>
    <r>
      <rPr>
        <b val="true"/>
        <sz val="11"/>
        <color rgb="FFFFFFFF"/>
        <rFont val="Arial Unicode MS"/>
        <family val="2"/>
      </rPr>
      <t xml:space="preserve">技术指标</t>
    </r>
    <r>
      <rPr>
        <b val="true"/>
        <sz val="11"/>
        <color rgb="FFFFFFFF"/>
        <rFont val="Cambria"/>
        <family val="0"/>
        <charset val="1"/>
      </rPr>
      <t xml:space="preserve">3</t>
    </r>
  </si>
  <si>
    <t xml:space="preserve">综述</t>
  </si>
  <si>
    <t xml:space="preserve">消费</t>
  </si>
  <si>
    <t xml:space="preserve">买入</t>
  </si>
  <si>
    <t xml:space="preserve">蜡烛图</t>
  </si>
  <si>
    <t xml:space="preserve">RSI</t>
  </si>
  <si>
    <t xml:space="preserve">缺口</t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</si>
  <si>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Arial Unicode MS"/>
        <family val="2"/>
      </rPr>
      <t xml:space="preserve">笔逐步验证数据</t>
    </r>
  </si>
  <si>
    <t xml:space="preserve">银行</t>
  </si>
  <si>
    <t xml:space="preserve">趋势线</t>
  </si>
  <si>
    <t xml:space="preserve">KDJ</t>
  </si>
  <si>
    <t xml:space="preserve">形态突破</t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</si>
  <si>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Arial Unicode MS"/>
        <family val="2"/>
      </rPr>
      <t xml:space="preserve">笔逐步验证数据</t>
    </r>
  </si>
  <si>
    <t xml:space="preserve">新能源</t>
  </si>
  <si>
    <t xml:space="preserve">MACD</t>
  </si>
  <si>
    <t xml:space="preserve">布林带</t>
  </si>
  <si>
    <t xml:space="preserve">均线金叉</t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</si>
  <si>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Arial Unicode MS"/>
        <family val="2"/>
      </rPr>
      <t xml:space="preserve">笔逐步验证数据</t>
    </r>
  </si>
  <si>
    <t xml:space="preserve">汽车</t>
  </si>
  <si>
    <t xml:space="preserve">移动平均线</t>
  </si>
  <si>
    <t xml:space="preserve">支撑位</t>
  </si>
  <si>
    <t xml:space="preserve">均线死叉</t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</si>
  <si>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Arial Unicode MS"/>
        <family val="2"/>
      </rPr>
      <t xml:space="preserve">笔逐步验证数据</t>
    </r>
  </si>
  <si>
    <t xml:space="preserve">保险</t>
  </si>
  <si>
    <t xml:space="preserve">成交量</t>
  </si>
  <si>
    <t xml:space="preserve">压力位</t>
  </si>
  <si>
    <t xml:space="preserve">量价背离</t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</si>
  <si>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Arial Unicode MS"/>
        <family val="2"/>
      </rPr>
      <t xml:space="preserve">笔逐步验证数据</t>
    </r>
  </si>
  <si>
    <t xml:space="preserve">半导体</t>
  </si>
  <si>
    <t xml:space="preserve">趋势背离</t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</si>
  <si>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Arial Unicode MS"/>
        <family val="2"/>
      </rPr>
      <t xml:space="preserve">笔逐步验证数据</t>
    </r>
  </si>
  <si>
    <t xml:space="preserve">食品饮料</t>
  </si>
  <si>
    <t xml:space="preserve">ATR</t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</si>
  <si>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Arial Unicode MS"/>
        <family val="2"/>
      </rPr>
      <t xml:space="preserve">笔逐步验证数据</t>
    </r>
  </si>
  <si>
    <t xml:space="preserve">金融</t>
  </si>
  <si>
    <t xml:space="preserve">换手率</t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</si>
  <si>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Arial Unicode MS"/>
        <family val="2"/>
      </rPr>
      <t xml:space="preserve">笔逐步验证数据</t>
    </r>
  </si>
  <si>
    <t xml:space="preserve">电子</t>
  </si>
  <si>
    <t xml:space="preserve">相对强弱</t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</si>
  <si>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Arial Unicode MS"/>
        <family val="2"/>
      </rPr>
      <t xml:space="preserve">笔逐步验证数据</t>
    </r>
  </si>
  <si>
    <t xml:space="preserve">资源</t>
  </si>
  <si>
    <t xml:space="preserve">板块共振</t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</si>
  <si>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</si>
  <si>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</si>
  <si>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</si>
  <si>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</si>
  <si>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</si>
  <si>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</si>
  <si>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</si>
  <si>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</si>
  <si>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</si>
  <si>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</si>
  <si>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</si>
  <si>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</si>
  <si>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</si>
  <si>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</si>
  <si>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</si>
  <si>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candidate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</si>
  <si>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</si>
  <si>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</si>
  <si>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</si>
  <si>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</si>
  <si>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</si>
  <si>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</si>
  <si>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</si>
  <si>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</si>
  <si>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</si>
  <si>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</si>
  <si>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</si>
  <si>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</si>
  <si>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</si>
  <si>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39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</si>
  <si>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</si>
  <si>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</si>
  <si>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</si>
  <si>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</si>
  <si>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</si>
  <si>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</si>
  <si>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</si>
  <si>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</si>
  <si>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</si>
  <si>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49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</si>
  <si>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candidate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</si>
  <si>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</si>
  <si>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</si>
  <si>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</si>
  <si>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</si>
  <si>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</si>
  <si>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</si>
  <si>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</si>
  <si>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</si>
  <si>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59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</si>
  <si>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</si>
  <si>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</si>
  <si>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</si>
  <si>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</si>
  <si>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</si>
  <si>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</si>
  <si>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</si>
  <si>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</si>
  <si>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</si>
  <si>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69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</si>
  <si>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</si>
  <si>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</si>
  <si>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</si>
  <si>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</si>
  <si>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</si>
  <si>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candidate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</si>
  <si>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</si>
  <si>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</si>
  <si>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</si>
  <si>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79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</si>
  <si>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</si>
  <si>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</si>
  <si>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</si>
  <si>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</si>
  <si>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</si>
  <si>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</si>
  <si>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</si>
  <si>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</si>
  <si>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</si>
  <si>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89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</si>
  <si>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open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</si>
  <si>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91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</si>
  <si>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92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</si>
  <si>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93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</si>
  <si>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win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94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</si>
  <si>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</si>
  <si>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</si>
  <si>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97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</si>
  <si>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loss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98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</si>
  <si>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flat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99</t>
    </r>
    <r>
      <rPr>
        <sz val="11"/>
        <color theme="1"/>
        <rFont val="Arial Unicode MS"/>
        <family val="2"/>
      </rPr>
      <t xml:space="preserve">笔逐步验证数据</t>
    </r>
  </si>
  <si>
    <r>
      <rPr>
        <sz val="11"/>
        <color theme="1"/>
        <rFont val="Calibri"/>
        <family val="2"/>
        <charset val="1"/>
      </rPr>
      <t xml:space="preserve">candidate</t>
    </r>
    <r>
      <rPr>
        <sz val="11"/>
        <color theme="1"/>
        <rFont val="Arial Unicode MS"/>
        <family val="2"/>
      </rPr>
      <t xml:space="preserve">场景，第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Arial Unicode MS"/>
        <family val="2"/>
      </rPr>
      <t xml:space="preserve">笔逐步验证数据</t>
    </r>
  </si>
  <si>
    <t xml:space="preserve">指标</t>
  </si>
  <si>
    <t xml:space="preserve">当前统计</t>
  </si>
  <si>
    <t xml:space="preserve">口径说明</t>
  </si>
  <si>
    <t xml:space="preserve">已完成交易数</t>
  </si>
  <si>
    <t xml:space="preserve">存在卖出日期的交易</t>
  </si>
  <si>
    <t xml:space="preserve">盈利交易数</t>
  </si>
  <si>
    <r>
      <rPr>
        <sz val="11"/>
        <color theme="1"/>
        <rFont val="Arial Unicode MS"/>
        <family val="2"/>
      </rPr>
      <t xml:space="preserve">实际盈亏金额大于</t>
    </r>
    <r>
      <rPr>
        <sz val="11"/>
        <color theme="1"/>
        <rFont val="Calibri"/>
        <family val="2"/>
        <charset val="1"/>
      </rPr>
      <t xml:space="preserve">0</t>
    </r>
  </si>
  <si>
    <t xml:space="preserve">亏损交易数</t>
  </si>
  <si>
    <r>
      <rPr>
        <sz val="11"/>
        <color theme="1"/>
        <rFont val="Arial Unicode MS"/>
        <family val="2"/>
      </rPr>
      <t xml:space="preserve">实际盈亏金额小于</t>
    </r>
    <r>
      <rPr>
        <sz val="11"/>
        <color theme="1"/>
        <rFont val="Calibri"/>
        <family val="2"/>
        <charset val="1"/>
      </rPr>
      <t xml:space="preserve">0</t>
    </r>
  </si>
  <si>
    <t xml:space="preserve">持平交易数</t>
  </si>
  <si>
    <r>
      <rPr>
        <sz val="11"/>
        <color theme="1"/>
        <rFont val="Arial Unicode MS"/>
        <family val="2"/>
      </rPr>
      <t xml:space="preserve">已卖出且实际盈亏为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Arial Unicode MS"/>
        <family val="2"/>
      </rPr>
      <t xml:space="preserve">；不进入胜负样本</t>
    </r>
  </si>
  <si>
    <t xml:space="preserve">盈利概率</t>
  </si>
  <si>
    <r>
      <rPr>
        <sz val="11"/>
        <color theme="1"/>
        <rFont val="Arial Unicode MS"/>
        <family val="2"/>
      </rPr>
      <t xml:space="preserve">盈利数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Arial Unicode MS"/>
        <family val="2"/>
      </rPr>
      <t xml:space="preserve">胜负交易数</t>
    </r>
  </si>
  <si>
    <t xml:space="preserve">亏损概率</t>
  </si>
  <si>
    <r>
      <rPr>
        <sz val="11"/>
        <color theme="1"/>
        <rFont val="Arial Unicode MS"/>
        <family val="2"/>
      </rPr>
      <t xml:space="preserve">亏损数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Arial Unicode MS"/>
        <family val="2"/>
      </rPr>
      <t xml:space="preserve">胜负交易数</t>
    </r>
  </si>
  <si>
    <t xml:space="preserve">平均盈利百分比</t>
  </si>
  <si>
    <t xml:space="preserve">盈利交易实际收益率的平均值</t>
  </si>
  <si>
    <t xml:space="preserve">平均亏损百分比</t>
  </si>
  <si>
    <t xml:space="preserve">以正数显示亏损幅度</t>
  </si>
  <si>
    <t xml:space="preserve">盈利的持有总天数</t>
  </si>
  <si>
    <t xml:space="preserve">自然日</t>
  </si>
  <si>
    <t xml:space="preserve">亏损的持有总天数</t>
  </si>
  <si>
    <t xml:space="preserve">平均交易金额</t>
  </si>
  <si>
    <r>
      <rPr>
        <sz val="11"/>
        <color theme="1"/>
        <rFont val="Arial Unicode MS"/>
        <family val="2"/>
      </rPr>
      <t xml:space="preserve">买入价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Arial Unicode MS"/>
        <family val="2"/>
      </rPr>
      <t xml:space="preserve">实际买入股数的平均值，包含未卖出交易</t>
    </r>
  </si>
  <si>
    <t xml:space="preserve">期望收益率</t>
  </si>
  <si>
    <t xml:space="preserve">盈利贡献减亏损贡献</t>
  </si>
  <si>
    <t xml:space="preserve">迄今为止的复利净利润率</t>
  </si>
  <si>
    <t xml:space="preserve">基于历史平均盈亏率的几何复利模拟</t>
  </si>
  <si>
    <t xml:space="preserve">值</t>
  </si>
  <si>
    <r>
      <rPr>
        <b val="true"/>
        <sz val="11"/>
        <color rgb="FFFFFFFF"/>
        <rFont val="Arial Unicode MS"/>
        <family val="2"/>
      </rPr>
      <t xml:space="preserve">录入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Arial Unicode MS"/>
        <family val="2"/>
      </rPr>
      <t xml:space="preserve">计算说明</t>
    </r>
  </si>
  <si>
    <t xml:space="preserve">初始总金额</t>
  </si>
  <si>
    <t xml:space="preserve">手动输入；当前金额从此值开始累计</t>
  </si>
  <si>
    <t xml:space="preserve">当前总金额</t>
  </si>
  <si>
    <t xml:space="preserve">初始总金额＋全部已实现盈亏</t>
  </si>
  <si>
    <t xml:space="preserve">单次交易允许的亏损比例</t>
  </si>
  <si>
    <r>
      <rPr>
        <sz val="11"/>
        <color theme="1"/>
        <rFont val="Arial Unicode MS"/>
        <family val="2"/>
      </rPr>
      <t xml:space="preserve">默认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Arial Unicode MS"/>
        <family val="2"/>
      </rPr>
      <t xml:space="preserve">，可调整；开仓时复制为交易快照</t>
    </r>
  </si>
  <si>
    <t xml:space="preserve">单次交易允许的亏损金额</t>
  </si>
  <si>
    <r>
      <rPr>
        <sz val="11"/>
        <color theme="1"/>
        <rFont val="Arial Unicode MS"/>
        <family val="2"/>
      </rPr>
      <t xml:space="preserve">当前总金额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Arial Unicode MS"/>
        <family val="2"/>
      </rPr>
      <t xml:space="preserve">单次允许亏损比例</t>
    </r>
  </si>
  <si>
    <t xml:space="preserve">当月允许最大亏损比例</t>
  </si>
  <si>
    <r>
      <rPr>
        <sz val="11"/>
        <color theme="1"/>
        <rFont val="Arial Unicode MS"/>
        <family val="2"/>
      </rPr>
      <t xml:space="preserve">默认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Arial Unicode MS"/>
        <family val="2"/>
      </rPr>
      <t xml:space="preserve">，可调整</t>
    </r>
  </si>
  <si>
    <t xml:space="preserve">当月允许最大亏损金额</t>
  </si>
  <si>
    <r>
      <rPr>
        <sz val="11"/>
        <color theme="1"/>
        <rFont val="Arial Unicode MS"/>
        <family val="2"/>
      </rPr>
      <t xml:space="preserve">当前总金额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Arial Unicode MS"/>
        <family val="2"/>
      </rPr>
      <t xml:space="preserve">当月最大亏损比例</t>
    </r>
  </si>
  <si>
    <t xml:space="preserve">当月亏损金额</t>
  </si>
  <si>
    <t xml:space="preserve">按卖出日期统计本月已实现亏损，保留负号</t>
  </si>
  <si>
    <t xml:space="preserve">当前未平仓理论亏损</t>
  </si>
  <si>
    <r>
      <rPr>
        <sz val="11"/>
        <color theme="1"/>
        <rFont val="Arial Unicode MS"/>
        <family val="2"/>
      </rPr>
      <t xml:space="preserve">未填写卖出日期的实际持仓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Arial Unicode MS"/>
        <family val="2"/>
      </rPr>
      <t xml:space="preserve">买入价与止损价之差</t>
    </r>
  </si>
  <si>
    <t xml:space="preserve">当月剩余可开仓风险额度</t>
  </si>
  <si>
    <t xml:space="preserve">当月允许最大亏损金额－当前未平仓理论亏损</t>
  </si>
  <si>
    <t xml:space="preserve">总金额</t>
  </si>
  <si>
    <t xml:space="preserve">来自账户当前总金额</t>
  </si>
  <si>
    <t xml:space="preserve">目标收益率</t>
  </si>
  <si>
    <t xml:space="preserve">手动输入</t>
  </si>
  <si>
    <t xml:space="preserve">目标收益金额</t>
  </si>
  <si>
    <r>
      <rPr>
        <sz val="11"/>
        <color theme="1"/>
        <rFont val="Arial Unicode MS"/>
        <family val="2"/>
      </rPr>
      <t xml:space="preserve">总金额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Arial Unicode MS"/>
        <family val="2"/>
      </rPr>
      <t xml:space="preserve">目标收益率</t>
    </r>
  </si>
  <si>
    <t xml:space="preserve">来自历史交易统计</t>
  </si>
  <si>
    <t xml:space="preserve">历史期望收益率</t>
  </si>
  <si>
    <t xml:space="preserve">来自历史胜率与平均盈亏</t>
  </si>
  <si>
    <t xml:space="preserve">所需投资笔数</t>
  </si>
  <si>
    <t xml:space="preserve">向上取整；历史期望收益率不为正时不计算</t>
  </si>
  <si>
    <t xml:space="preserve">技术指标</t>
  </si>
  <si>
    <t xml:space="preserve">分类</t>
  </si>
  <si>
    <t xml:space="preserve">说明</t>
  </si>
  <si>
    <t xml:space="preserve">价格形态</t>
  </si>
  <si>
    <t xml:space="preserve">观察实体、上下影线及组合形态</t>
  </si>
  <si>
    <t xml:space="preserve">趋势</t>
  </si>
  <si>
    <t xml:space="preserve">连接关键高点或低点判断趋势方向</t>
  </si>
  <si>
    <t xml:space="preserve">动量</t>
  </si>
  <si>
    <t xml:space="preserve">观察快慢线、信号线和柱状图</t>
  </si>
  <si>
    <t xml:space="preserve">观察价格与不同周期均线的位置关系</t>
  </si>
  <si>
    <t xml:space="preserve">量价</t>
  </si>
  <si>
    <t xml:space="preserve">确认突破、回调和趋势的参与强度</t>
  </si>
  <si>
    <t xml:space="preserve">衡量相对强弱及超买超卖状态</t>
  </si>
  <si>
    <t xml:space="preserve">观察随机指标交叉和极值区域</t>
  </si>
  <si>
    <t xml:space="preserve">波动</t>
  </si>
  <si>
    <t xml:space="preserve">观察价格相对中轨和上下轨的位置</t>
  </si>
  <si>
    <t xml:space="preserve">关键价位</t>
  </si>
  <si>
    <t xml:space="preserve">记录预期获得买盘支撑的价格区域</t>
  </si>
  <si>
    <t xml:space="preserve">记录预期遇到卖压的价格区域</t>
  </si>
  <si>
    <t xml:space="preserve">观察跳空缺口是否回补或延续</t>
  </si>
  <si>
    <t xml:space="preserve">观察平台、箱体或整理形态的突破</t>
  </si>
  <si>
    <t xml:space="preserve">短周期均线上穿长周期均线</t>
  </si>
  <si>
    <t xml:space="preserve">短周期均线下穿长周期均线</t>
  </si>
  <si>
    <t xml:space="preserve">价格和成交量变化方向不一致</t>
  </si>
  <si>
    <t xml:space="preserve">价格走势与动量指标走势不一致</t>
  </si>
  <si>
    <t xml:space="preserve">衡量真实波动幅度并辅助设置止损</t>
  </si>
  <si>
    <t xml:space="preserve">衡量筹码交换活跃程度</t>
  </si>
  <si>
    <t xml:space="preserve">比较</t>
  </si>
  <si>
    <t xml:space="preserve">比较个股与板块或指数的强弱</t>
  </si>
  <si>
    <t xml:space="preserve">市场环境</t>
  </si>
  <si>
    <t xml:space="preserve">确认个股信号与所属板块方向一致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</si>
</sst>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¥#,##0.00;[RED]&quot;-¥&quot;#,##0.00"/>
    <numFmt numFmtId="166" formatCode="0.00%"/>
    <numFmt numFmtId="167" formatCode="yyyy\-mm\-dd"/>
    <numFmt numFmtId="168" formatCode="0.00"/>
    <numFmt numFmtId="169" formatCode="0"/>
  </numFmts>
  <fonts count="9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 Unicode MS"/>
      <family val="2"/>
    </font>
    <font>
      <sz val="11"/>
      <color theme="1"/>
      <name val="Calibri"/>
      <family val="2"/>
      <charset val="1"/>
    </font>
    <font>
      <sz val="10"/>
      <name val="Arial Unicode MS"/>
      <family val="2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E7E6E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chnicalIndicatorCatalog" displayName="TechnicalIndicatorCatalog" ref="A1:C201" headerRowCount="1" totalsRowCount="0" totalsRowShown="0">
  <autoFilter ref="A1:C201"/>
  <tableColumns count="3">
    <tableColumn id="1" name="技术指标"/>
    <tableColumn id="2" name="分类"/>
    <tableColumn id="3" name="说明"/>
  </tableColumns>
</table>
</file>

<file path=xl/tables/table2.xml><?xml version="1.0" encoding="utf-8"?>
<table xmlns="http://schemas.openxmlformats.org/spreadsheetml/2006/main" id="2" name="TradeReasonLog" displayName="TradeReasonLog" ref="A1:I501" headerRowCount="1" totalsRowCount="0" totalsRowShown="0">
  <autoFilter ref="A1:I501"/>
  <tableColumns count="9">
    <tableColumn id="1" name="交易编号"/>
    <tableColumn id="2" name="股票代码"/>
    <tableColumn id="3" name="所属板块"/>
    <tableColumn id="4" name="阶段"/>
    <tableColumn id="5" name="记录日期"/>
    <tableColumn id="6" name="技术指标1"/>
    <tableColumn id="7" name="技术指标2"/>
    <tableColumn id="8" name="技术指标3"/>
    <tableColumn id="9" name="综述"/>
  </tableColumns>
</table>
</file>

<file path=xl/tables/table3.xml><?xml version="1.0" encoding="utf-8"?>
<table xmlns="http://schemas.openxmlformats.org/spreadsheetml/2006/main" id="3" name="TradeRecords" displayName="TradeRecords" ref="A1:AD201" headerRowCount="1" totalsRowCount="0" totalsRowShown="0">
  <autoFilter ref="A1:AD201"/>
  <tableColumns count="30">
    <tableColumn id="1" name="交易编号"/>
    <tableColumn id="2" name="股票代码"/>
    <tableColumn id="3" name="买入时账户金额"/>
    <tableColumn id="4" name="本次允许亏损比例"/>
    <tableColumn id="5" name="买入价"/>
    <tableColumn id="6" name="买入建议股数"/>
    <tableColumn id="7" name="开仓风险告警"/>
    <tableColumn id="8" name="实际买入股数"/>
    <tableColumn id="9" name="买入日期"/>
    <tableColumn id="10" name="期望卖出价"/>
    <tableColumn id="11" name="实际卖出价"/>
    <tableColumn id="12" name="卖出股数"/>
    <tableColumn id="13" name="卖出日期"/>
    <tableColumn id="14" name="止损价"/>
    <tableColumn id="15" name="买入费用"/>
    <tableColumn id="16" name="卖出费用"/>
    <tableColumn id="17" name="买入价的由来"/>
    <tableColumn id="18" name="止损价的由来"/>
    <tableColumn id="19" name="期望卖出价的由来"/>
    <tableColumn id="20" name="实际卖出价的由来"/>
    <tableColumn id="21" name="期望盈利比例"/>
    <tableColumn id="22" name="期望止损比例"/>
    <tableColumn id="23" name="盈亏比"/>
    <tableColumn id="24" name="实际盈亏金额"/>
    <tableColumn id="25" name="实际收益率"/>
    <tableColumn id="26" name="与平均盈利比例差值"/>
    <tableColumn id="27" name="持有天数"/>
    <tableColumn id="28" name="复利容许平均亏损上限"/>
    <tableColumn id="29" name="复利风险判断"/>
    <tableColumn id="30" name="交易打分评价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12.74"/>
    <col collapsed="false" customWidth="true" hidden="false" outlineLevel="0" max="3" min="3" style="0" width="15.47"/>
    <col collapsed="false" customWidth="true" hidden="false" outlineLevel="0" max="4" min="4" style="0" width="16.38"/>
    <col collapsed="false" customWidth="true" hidden="false" outlineLevel="0" max="5" min="5" style="0" width="12.74"/>
    <col collapsed="false" customWidth="true" hidden="false" outlineLevel="0" max="8" min="6" style="0" width="14.56"/>
    <col collapsed="false" customWidth="true" hidden="false" outlineLevel="0" max="9" min="9" style="0" width="11.83"/>
    <col collapsed="false" customWidth="true" hidden="false" outlineLevel="0" max="12" min="10" style="0" width="12.74"/>
    <col collapsed="false" customWidth="true" hidden="false" outlineLevel="0" max="13" min="13" style="0" width="11.83"/>
    <col collapsed="false" customWidth="true" hidden="false" outlineLevel="0" max="16" min="14" style="0" width="12.74"/>
    <col collapsed="false" customWidth="true" hidden="false" outlineLevel="0" max="20" min="17" style="0" width="21.84"/>
    <col collapsed="false" customWidth="true" hidden="false" outlineLevel="0" max="27" min="21" style="0" width="12.74"/>
    <col collapsed="false" customWidth="true" hidden="false" outlineLevel="0" max="28" min="28" style="0" width="20.01"/>
    <col collapsed="false" customWidth="true" hidden="false" outlineLevel="0" max="30" min="29" style="0" width="16.38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6.4" hidden="false" customHeight="false" outlineLevel="0" collapsed="false">
      <c r="A2" s="2" t="s">
        <v>30</v>
      </c>
      <c r="B2" s="2" t="s">
        <v>31</v>
      </c>
      <c r="C2" s="3" t="n">
        <v>100000</v>
      </c>
      <c r="D2" s="4" t="n">
        <v>0.01</v>
      </c>
      <c r="E2" s="3" t="n">
        <v>11.25</v>
      </c>
      <c r="F2" s="5" t="n">
        <f aca="false">IF(OR(C2="",D2="",E2="",N2="",C2&lt;=0,D2&lt;=0,E2&lt;=N2),"",ROUNDDOWN((C2*D2)/(E2-N2)/100,0)*100)</f>
        <v>1000</v>
      </c>
      <c r="G2" s="6" t="str">
        <f aca="false">IF(OR(A2="",F2="",E2="",N2="",E2&lt;=N2,账户数据!$B$7=""),"",IF(账户数据!$B$9+IF(H2="",F2*(E2-N2),0)&gt;=账户数据!$B$7,"禁止开仓","允许开仓"))</f>
        <v>禁止开仓</v>
      </c>
      <c r="H2" s="7" t="n">
        <v>200</v>
      </c>
      <c r="I2" s="8" t="n">
        <v>46128</v>
      </c>
      <c r="J2" s="3" t="n">
        <v>12.38</v>
      </c>
      <c r="K2" s="3" t="n">
        <v>12.71</v>
      </c>
      <c r="L2" s="5" t="n">
        <f aca="false">IF(K2="","",H2)</f>
        <v>200</v>
      </c>
      <c r="M2" s="8" t="n">
        <v>46130</v>
      </c>
      <c r="N2" s="3" t="n">
        <v>10.25</v>
      </c>
      <c r="O2" s="3" t="n">
        <v>5</v>
      </c>
      <c r="P2" s="3" t="n">
        <v>5</v>
      </c>
      <c r="Q2" s="9" t="s">
        <v>32</v>
      </c>
      <c r="R2" s="9" t="s">
        <v>33</v>
      </c>
      <c r="S2" s="9" t="s">
        <v>34</v>
      </c>
      <c r="T2" s="9" t="s">
        <v>35</v>
      </c>
      <c r="U2" s="10" t="n">
        <f aca="false">IF(OR(E2="",J2="",E2&lt;=0),"",(J2-E2)/E2)</f>
        <v>0.100444444444445</v>
      </c>
      <c r="V2" s="10" t="n">
        <f aca="false">IF(OR(E2="",N2="",E2&lt;=0),"",(E2-N2)/E2)</f>
        <v>0.0888888888888889</v>
      </c>
      <c r="W2" s="11" t="n">
        <f aca="false">IF(OR(U2="",V2="",V2&lt;=0),"",U2/V2)</f>
        <v>1.13</v>
      </c>
      <c r="X2" s="12" t="n">
        <f aca="false">IF(OR(K2="",L2="",E2="",H2=""),"",K2*L2-E2*H2-IF(O2="",0,O2)-IF(P2="",0,P2))</f>
        <v>282</v>
      </c>
      <c r="Y2" s="10" t="n">
        <f aca="false">IF(OR(X2="",E2="",H2=""),"",IF(E2*H2+IF(O2="",0,O2)&lt;=0,"",X2/(E2*H2+IF(O2="",0,O2))))</f>
        <v>0.125055432372506</v>
      </c>
      <c r="Z2" s="10" t="n">
        <f aca="false">IF(OR(Y2="",多次统计数据!$B$8=""),"",Y2-多次统计数据!$B$8)</f>
        <v>-0.00307565770039936</v>
      </c>
      <c r="AA2" s="13" t="n">
        <f aca="false">IF(OR(I2="",M2="",M2&lt;I2),"",M2-I2)</f>
        <v>2</v>
      </c>
      <c r="AB2" s="10" t="n">
        <f aca="false">IF(OR(A2="",多次统计数据!$B$8="",多次统计数据!$B$6&lt;=0,多次统计数据!$B$6&gt;=1),"",1-POWER(1+多次统计数据!$B$8,-多次统计数据!$B$6/(1-多次统计数据!$B$6)))</f>
        <v>0.119185074515542</v>
      </c>
      <c r="AC2" s="6" t="str">
        <f aca="false">IF(OR(AB2="",多次统计数据!$B$9=""),"",IF(多次统计数据!$B$9&lt;AB2,"低于上限","达到或超过上限"))</f>
        <v>低于上限</v>
      </c>
      <c r="AD2" s="2" t="s">
        <v>36</v>
      </c>
    </row>
    <row r="3" customFormat="false" ht="16.4" hidden="false" customHeight="false" outlineLevel="0" collapsed="false">
      <c r="A3" s="2" t="s">
        <v>37</v>
      </c>
      <c r="B3" s="2" t="s">
        <v>38</v>
      </c>
      <c r="C3" s="3" t="n">
        <v>100282</v>
      </c>
      <c r="D3" s="4" t="n">
        <v>0.01</v>
      </c>
      <c r="E3" s="3" t="n">
        <v>12.5</v>
      </c>
      <c r="F3" s="5" t="n">
        <f aca="false">IF(OR(C3="",D3="",E3="",N3="",C3&lt;=0,D3&lt;=0,E3&lt;=N3),"",ROUNDDOWN((C3*D3)/(E3-N3)/100,0)*100)</f>
        <v>800</v>
      </c>
      <c r="G3" s="6" t="str">
        <f aca="false">IF(OR(A3="",F3="",E3="",N3="",E3&lt;=N3,账户数据!$B$7=""),"",IF(账户数据!$B$9+IF(H3="",F3*(E3-N3),0)&gt;=账户数据!$B$7,"禁止开仓","允许开仓"))</f>
        <v>禁止开仓</v>
      </c>
      <c r="H3" s="7" t="n">
        <v>300</v>
      </c>
      <c r="I3" s="8" t="n">
        <v>46129</v>
      </c>
      <c r="J3" s="3" t="n">
        <v>13.75</v>
      </c>
      <c r="K3" s="3" t="n">
        <v>14.25</v>
      </c>
      <c r="L3" s="5" t="n">
        <f aca="false">IF(K3="","",H3)</f>
        <v>300</v>
      </c>
      <c r="M3" s="8" t="n">
        <v>46132</v>
      </c>
      <c r="N3" s="3" t="n">
        <v>11.25</v>
      </c>
      <c r="O3" s="3" t="n">
        <v>5</v>
      </c>
      <c r="P3" s="3" t="n">
        <v>5</v>
      </c>
      <c r="Q3" s="9" t="s">
        <v>39</v>
      </c>
      <c r="R3" s="9" t="s">
        <v>40</v>
      </c>
      <c r="S3" s="9" t="s">
        <v>41</v>
      </c>
      <c r="T3" s="9" t="s">
        <v>35</v>
      </c>
      <c r="U3" s="10" t="n">
        <f aca="false">IF(OR(E3="",J3="",E3&lt;=0),"",(J3-E3)/E3)</f>
        <v>0.1</v>
      </c>
      <c r="V3" s="10" t="n">
        <f aca="false">IF(OR(E3="",N3="",E3&lt;=0),"",(E3-N3)/E3)</f>
        <v>0.1</v>
      </c>
      <c r="W3" s="11" t="n">
        <f aca="false">IF(OR(U3="",V3="",V3&lt;=0),"",U3/V3)</f>
        <v>1</v>
      </c>
      <c r="X3" s="12" t="n">
        <f aca="false">IF(OR(K3="",L3="",E3="",H3=""),"",K3*L3-E3*H3-IF(O3="",0,O3)-IF(P3="",0,P3))</f>
        <v>515</v>
      </c>
      <c r="Y3" s="10" t="n">
        <f aca="false">IF(OR(X3="",E3="",H3=""),"",IF(E3*H3+IF(O3="",0,O3)&lt;=0,"",X3/(E3*H3+IF(O3="",0,O3))))</f>
        <v>0.137150466045273</v>
      </c>
      <c r="Z3" s="10" t="n">
        <f aca="false">IF(OR(Y3="",多次统计数据!$B$8=""),"",Y3-多次统计数据!$B$8)</f>
        <v>0.00901937597236807</v>
      </c>
      <c r="AA3" s="13" t="n">
        <f aca="false">IF(OR(I3="",M3="",M3&lt;I3),"",M3-I3)</f>
        <v>3</v>
      </c>
      <c r="AB3" s="10" t="n">
        <f aca="false">IF(OR(A3="",多次统计数据!$B$8="",多次统计数据!$B$6&lt;=0,多次统计数据!$B$6&gt;=1),"",1-POWER(1+多次统计数据!$B$8,-多次统计数据!$B$6/(1-多次统计数据!$B$6)))</f>
        <v>0.119185074515542</v>
      </c>
      <c r="AC3" s="6" t="str">
        <f aca="false">IF(OR(AB3="",多次统计数据!$B$9=""),"",IF(多次统计数据!$B$9&lt;AB3,"低于上限","达到或超过上限"))</f>
        <v>低于上限</v>
      </c>
      <c r="AD3" s="2" t="s">
        <v>36</v>
      </c>
    </row>
    <row r="4" customFormat="false" ht="16.4" hidden="false" customHeight="false" outlineLevel="0" collapsed="false">
      <c r="A4" s="2" t="s">
        <v>42</v>
      </c>
      <c r="B4" s="2" t="s">
        <v>43</v>
      </c>
      <c r="C4" s="3" t="n">
        <v>100797</v>
      </c>
      <c r="D4" s="4" t="n">
        <v>0.01</v>
      </c>
      <c r="E4" s="3" t="n">
        <v>13.75</v>
      </c>
      <c r="F4" s="5" t="n">
        <f aca="false">IF(OR(C4="",D4="",E4="",N4="",C4&lt;=0,D4&lt;=0,E4&lt;=N4),"",ROUNDDOWN((C4*D4)/(E4-N4)/100,0)*100)</f>
        <v>600</v>
      </c>
      <c r="G4" s="6" t="str">
        <f aca="false">IF(OR(A4="",F4="",E4="",N4="",E4&lt;=N4,账户数据!$B$7=""),"",IF(账户数据!$B$9+IF(H4="",F4*(E4-N4),0)&gt;=账户数据!$B$7,"禁止开仓","允许开仓"))</f>
        <v>禁止开仓</v>
      </c>
      <c r="H4" s="7" t="n">
        <v>300</v>
      </c>
      <c r="I4" s="8" t="n">
        <v>46130</v>
      </c>
      <c r="J4" s="3" t="n">
        <v>15.13</v>
      </c>
      <c r="K4" s="3" t="n">
        <v>15.4</v>
      </c>
      <c r="L4" s="5" t="n">
        <f aca="false">IF(K4="","",H4)</f>
        <v>300</v>
      </c>
      <c r="M4" s="8" t="n">
        <v>46134</v>
      </c>
      <c r="N4" s="3" t="n">
        <v>12.25</v>
      </c>
      <c r="O4" s="3" t="n">
        <v>0</v>
      </c>
      <c r="P4" s="3" t="n">
        <v>5</v>
      </c>
      <c r="Q4" s="2" t="s">
        <v>44</v>
      </c>
      <c r="R4" s="9" t="s">
        <v>45</v>
      </c>
      <c r="S4" s="9" t="s">
        <v>46</v>
      </c>
      <c r="T4" s="9" t="s">
        <v>35</v>
      </c>
      <c r="U4" s="10" t="n">
        <f aca="false">IF(OR(E4="",J4="",E4&lt;=0),"",(J4-E4)/E4)</f>
        <v>0.100363636363636</v>
      </c>
      <c r="V4" s="10" t="n">
        <f aca="false">IF(OR(E4="",N4="",E4&lt;=0),"",(E4-N4)/E4)</f>
        <v>0.109090909090909</v>
      </c>
      <c r="W4" s="11" t="n">
        <f aca="false">IF(OR(U4="",V4="",V4&lt;=0),"",U4/V4)</f>
        <v>0.920000000000001</v>
      </c>
      <c r="X4" s="12" t="n">
        <f aca="false">IF(OR(K4="",L4="",E4="",H4=""),"",K4*L4-E4*H4-IF(O4="",0,O4)-IF(P4="",0,P4))</f>
        <v>490</v>
      </c>
      <c r="Y4" s="10" t="n">
        <f aca="false">IF(OR(X4="",E4="",H4=""),"",IF(E4*H4+IF(O4="",0,O4)&lt;=0,"",X4/(E4*H4+IF(O4="",0,O4))))</f>
        <v>0.118787878787879</v>
      </c>
      <c r="Z4" s="10" t="n">
        <f aca="false">IF(OR(Y4="",多次统计数据!$B$8=""),"",Y4-多次统计数据!$B$8)</f>
        <v>-0.00934321128502612</v>
      </c>
      <c r="AA4" s="13" t="n">
        <f aca="false">IF(OR(I4="",M4="",M4&lt;I4),"",M4-I4)</f>
        <v>4</v>
      </c>
      <c r="AB4" s="10" t="n">
        <f aca="false">IF(OR(A4="",多次统计数据!$B$8="",多次统计数据!$B$6&lt;=0,多次统计数据!$B$6&gt;=1),"",1-POWER(1+多次统计数据!$B$8,-多次统计数据!$B$6/(1-多次统计数据!$B$6)))</f>
        <v>0.119185074515542</v>
      </c>
      <c r="AC4" s="6" t="str">
        <f aca="false">IF(OR(AB4="",多次统计数据!$B$9=""),"",IF(多次统计数据!$B$9&lt;AB4,"低于上限","达到或超过上限"))</f>
        <v>低于上限</v>
      </c>
      <c r="AD4" s="2" t="s">
        <v>36</v>
      </c>
    </row>
    <row r="5" customFormat="false" ht="31.3" hidden="false" customHeight="false" outlineLevel="0" collapsed="false">
      <c r="A5" s="2" t="s">
        <v>47</v>
      </c>
      <c r="B5" s="2" t="s">
        <v>48</v>
      </c>
      <c r="C5" s="3" t="n">
        <v>101287</v>
      </c>
      <c r="D5" s="4" t="n">
        <v>0.01</v>
      </c>
      <c r="E5" s="3" t="n">
        <v>15</v>
      </c>
      <c r="F5" s="5" t="n">
        <f aca="false">IF(OR(C5="",D5="",E5="",N5="",C5&lt;=0,D5&lt;=0,E5&lt;=N5),"",ROUNDDOWN((C5*D5)/(E5-N5)/100,0)*100)</f>
        <v>1300</v>
      </c>
      <c r="G5" s="6" t="str">
        <f aca="false">IF(OR(A5="",F5="",E5="",N5="",E5&lt;=N5,账户数据!$B$7=""),"",IF(账户数据!$B$9+IF(H5="",F5*(E5-N5),0)&gt;=账户数据!$B$7,"禁止开仓","允许开仓"))</f>
        <v>禁止开仓</v>
      </c>
      <c r="H5" s="7" t="n">
        <v>1000</v>
      </c>
      <c r="I5" s="8" t="n">
        <v>46131</v>
      </c>
      <c r="J5" s="3" t="n">
        <v>16.5</v>
      </c>
      <c r="K5" s="3" t="n">
        <v>16.95</v>
      </c>
      <c r="L5" s="5" t="n">
        <f aca="false">IF(K5="","",H5)</f>
        <v>1000</v>
      </c>
      <c r="M5" s="8" t="n">
        <v>46136</v>
      </c>
      <c r="N5" s="3" t="n">
        <v>14.25</v>
      </c>
      <c r="O5" s="3" t="n">
        <v>5</v>
      </c>
      <c r="P5" s="3" t="n">
        <v>0</v>
      </c>
      <c r="Q5" s="9" t="s">
        <v>49</v>
      </c>
      <c r="R5" s="9" t="s">
        <v>50</v>
      </c>
      <c r="S5" s="9" t="s">
        <v>51</v>
      </c>
      <c r="T5" s="9" t="s">
        <v>35</v>
      </c>
      <c r="U5" s="10" t="n">
        <f aca="false">IF(OR(E5="",J5="",E5&lt;=0),"",(J5-E5)/E5)</f>
        <v>0.1</v>
      </c>
      <c r="V5" s="10" t="n">
        <f aca="false">IF(OR(E5="",N5="",E5&lt;=0),"",(E5-N5)/E5)</f>
        <v>0.05</v>
      </c>
      <c r="W5" s="11" t="n">
        <f aca="false">IF(OR(U5="",V5="",V5&lt;=0),"",U5/V5)</f>
        <v>2</v>
      </c>
      <c r="X5" s="12" t="n">
        <f aca="false">IF(OR(K5="",L5="",E5="",H5=""),"",K5*L5-E5*H5-IF(O5="",0,O5)-IF(P5="",0,P5))</f>
        <v>1945</v>
      </c>
      <c r="Y5" s="10" t="n">
        <f aca="false">IF(OR(X5="",E5="",H5=""),"",IF(E5*H5+IF(O5="",0,O5)&lt;=0,"",X5/(E5*H5+IF(O5="",0,O5))))</f>
        <v>0.129623458847051</v>
      </c>
      <c r="Z5" s="10" t="n">
        <f aca="false">IF(OR(Y5="",多次统计数据!$B$8=""),"",Y5-多次统计数据!$B$8)</f>
        <v>0.00149236877414607</v>
      </c>
      <c r="AA5" s="13" t="n">
        <f aca="false">IF(OR(I5="",M5="",M5&lt;I5),"",M5-I5)</f>
        <v>5</v>
      </c>
      <c r="AB5" s="10" t="n">
        <f aca="false">IF(OR(A5="",多次统计数据!$B$8="",多次统计数据!$B$6&lt;=0,多次统计数据!$B$6&gt;=1),"",1-POWER(1+多次统计数据!$B$8,-多次统计数据!$B$6/(1-多次统计数据!$B$6)))</f>
        <v>0.119185074515542</v>
      </c>
      <c r="AC5" s="6" t="str">
        <f aca="false">IF(OR(AB5="",多次统计数据!$B$9=""),"",IF(多次统计数据!$B$9&lt;AB5,"低于上限","达到或超过上限"))</f>
        <v>低于上限</v>
      </c>
      <c r="AD5" s="2" t="s">
        <v>36</v>
      </c>
    </row>
    <row r="6" customFormat="false" ht="16.4" hidden="false" customHeight="false" outlineLevel="0" collapsed="false">
      <c r="A6" s="2" t="s">
        <v>52</v>
      </c>
      <c r="B6" s="2" t="s">
        <v>53</v>
      </c>
      <c r="C6" s="3" t="n">
        <v>103232</v>
      </c>
      <c r="D6" s="4" t="n">
        <v>0.01</v>
      </c>
      <c r="E6" s="3" t="n">
        <v>16.25</v>
      </c>
      <c r="F6" s="5" t="n">
        <f aca="false">IF(OR(C6="",D6="",E6="",N6="",C6&lt;=0,D6&lt;=0,E6&lt;=N6),"",ROUNDDOWN((C6*D6)/(E6-N6)/100,0)*100)</f>
        <v>1000</v>
      </c>
      <c r="G6" s="6" t="str">
        <f aca="false">IF(OR(A6="",F6="",E6="",N6="",E6&lt;=N6,账户数据!$B$7=""),"",IF(账户数据!$B$9+IF(H6="",F6*(E6-N6),0)&gt;=账户数据!$B$7,"禁止开仓","允许开仓"))</f>
        <v>禁止开仓</v>
      </c>
      <c r="H6" s="7" t="n">
        <v>1000</v>
      </c>
      <c r="I6" s="8" t="n">
        <v>46132</v>
      </c>
      <c r="J6" s="3" t="n">
        <v>17.88</v>
      </c>
      <c r="K6" s="3" t="n">
        <v>15.25</v>
      </c>
      <c r="L6" s="5" t="n">
        <f aca="false">IF(K6="","",H6)</f>
        <v>1000</v>
      </c>
      <c r="M6" s="8" t="n">
        <v>46138</v>
      </c>
      <c r="N6" s="3" t="n">
        <v>15.25</v>
      </c>
      <c r="O6" s="3" t="n">
        <v>5</v>
      </c>
      <c r="P6" s="3" t="n">
        <v>5</v>
      </c>
      <c r="Q6" s="9" t="s">
        <v>54</v>
      </c>
      <c r="R6" s="9" t="s">
        <v>55</v>
      </c>
      <c r="S6" s="9" t="s">
        <v>56</v>
      </c>
      <c r="T6" s="9" t="s">
        <v>35</v>
      </c>
      <c r="U6" s="10" t="n">
        <f aca="false">IF(OR(E6="",J6="",E6&lt;=0),"",(J6-E6)/E6)</f>
        <v>0.100307692307692</v>
      </c>
      <c r="V6" s="10" t="n">
        <f aca="false">IF(OR(E6="",N6="",E6&lt;=0),"",(E6-N6)/E6)</f>
        <v>0.0615384615384615</v>
      </c>
      <c r="W6" s="11" t="n">
        <f aca="false">IF(OR(U6="",V6="",V6&lt;=0),"",U6/V6)</f>
        <v>1.63</v>
      </c>
      <c r="X6" s="12" t="n">
        <f aca="false">IF(OR(K6="",L6="",E6="",H6=""),"",K6*L6-E6*H6-IF(O6="",0,O6)-IF(P6="",0,P6))</f>
        <v>-1010</v>
      </c>
      <c r="Y6" s="10" t="n">
        <f aca="false">IF(OR(X6="",E6="",H6=""),"",IF(E6*H6+IF(O6="",0,O6)&lt;=0,"",X6/(E6*H6+IF(O6="",0,O6))))</f>
        <v>-0.0621347277760689</v>
      </c>
      <c r="Z6" s="10" t="n">
        <f aca="false">IF(OR(Y6="",多次统计数据!$B$8=""),"",Y6-多次统计数据!$B$8)</f>
        <v>-0.190265817848974</v>
      </c>
      <c r="AA6" s="13" t="n">
        <f aca="false">IF(OR(I6="",M6="",M6&lt;I6),"",M6-I6)</f>
        <v>6</v>
      </c>
      <c r="AB6" s="10" t="n">
        <f aca="false">IF(OR(A6="",多次统计数据!$B$8="",多次统计数据!$B$6&lt;=0,多次统计数据!$B$6&gt;=1),"",1-POWER(1+多次统计数据!$B$8,-多次统计数据!$B$6/(1-多次统计数据!$B$6)))</f>
        <v>0.119185074515542</v>
      </c>
      <c r="AC6" s="6" t="str">
        <f aca="false">IF(OR(AB6="",多次统计数据!$B$9=""),"",IF(多次统计数据!$B$9&lt;AB6,"低于上限","达到或超过上限"))</f>
        <v>低于上限</v>
      </c>
      <c r="AD6" s="2" t="s">
        <v>57</v>
      </c>
    </row>
    <row r="7" customFormat="false" ht="16.4" hidden="false" customHeight="false" outlineLevel="0" collapsed="false">
      <c r="A7" s="2" t="s">
        <v>58</v>
      </c>
      <c r="B7" s="2" t="s">
        <v>59</v>
      </c>
      <c r="C7" s="3" t="n">
        <v>102222</v>
      </c>
      <c r="D7" s="4" t="n">
        <v>0.01</v>
      </c>
      <c r="E7" s="3" t="n">
        <v>17.5</v>
      </c>
      <c r="F7" s="5" t="n">
        <f aca="false">IF(OR(C7="",D7="",E7="",N7="",C7&lt;=0,D7&lt;=0,E7&lt;=N7),"",ROUNDDOWN((C7*D7)/(E7-N7)/100,0)*100)</f>
        <v>800</v>
      </c>
      <c r="G7" s="6" t="str">
        <f aca="false">IF(OR(A7="",F7="",E7="",N7="",E7&lt;=N7,账户数据!$B$7=""),"",IF(账户数据!$B$9+IF(H7="",F7*(E7-N7),0)&gt;=账户数据!$B$7,"禁止开仓","允许开仓"))</f>
        <v>禁止开仓</v>
      </c>
      <c r="H7" s="7" t="n">
        <v>100</v>
      </c>
      <c r="I7" s="8" t="n">
        <v>46133</v>
      </c>
      <c r="J7" s="3" t="n">
        <v>19.25</v>
      </c>
      <c r="K7" s="3" t="n">
        <v>16.25</v>
      </c>
      <c r="L7" s="5" t="n">
        <f aca="false">IF(K7="","",H7)</f>
        <v>100</v>
      </c>
      <c r="M7" s="8" t="n">
        <v>46140</v>
      </c>
      <c r="N7" s="3" t="n">
        <v>16.25</v>
      </c>
      <c r="O7" s="3" t="n">
        <v>0</v>
      </c>
      <c r="P7" s="3" t="n">
        <v>5</v>
      </c>
      <c r="Q7" s="2" t="s">
        <v>60</v>
      </c>
      <c r="R7" s="9" t="s">
        <v>61</v>
      </c>
      <c r="S7" s="9" t="s">
        <v>62</v>
      </c>
      <c r="T7" s="9" t="s">
        <v>35</v>
      </c>
      <c r="U7" s="10" t="n">
        <f aca="false">IF(OR(E7="",J7="",E7&lt;=0),"",(J7-E7)/E7)</f>
        <v>0.1</v>
      </c>
      <c r="V7" s="10" t="n">
        <f aca="false">IF(OR(E7="",N7="",E7&lt;=0),"",(E7-N7)/E7)</f>
        <v>0.0714285714285714</v>
      </c>
      <c r="W7" s="11" t="n">
        <f aca="false">IF(OR(U7="",V7="",V7&lt;=0),"",U7/V7)</f>
        <v>1.4</v>
      </c>
      <c r="X7" s="12" t="n">
        <f aca="false">IF(OR(K7="",L7="",E7="",H7=""),"",K7*L7-E7*H7-IF(O7="",0,O7)-IF(P7="",0,P7))</f>
        <v>-130</v>
      </c>
      <c r="Y7" s="10" t="n">
        <f aca="false">IF(OR(X7="",E7="",H7=""),"",IF(E7*H7+IF(O7="",0,O7)&lt;=0,"",X7/(E7*H7+IF(O7="",0,O7))))</f>
        <v>-0.0742857142857143</v>
      </c>
      <c r="Z7" s="10" t="n">
        <f aca="false">IF(OR(Y7="",多次统计数据!$B$8=""),"",Y7-多次统计数据!$B$8)</f>
        <v>-0.202416804358619</v>
      </c>
      <c r="AA7" s="13" t="n">
        <f aca="false">IF(OR(I7="",M7="",M7&lt;I7),"",M7-I7)</f>
        <v>7</v>
      </c>
      <c r="AB7" s="10" t="n">
        <f aca="false">IF(OR(A7="",多次统计数据!$B$8="",多次统计数据!$B$6&lt;=0,多次统计数据!$B$6&gt;=1),"",1-POWER(1+多次统计数据!$B$8,-多次统计数据!$B$6/(1-多次统计数据!$B$6)))</f>
        <v>0.119185074515542</v>
      </c>
      <c r="AC7" s="6" t="str">
        <f aca="false">IF(OR(AB7="",多次统计数据!$B$9=""),"",IF(多次统计数据!$B$9&lt;AB7,"低于上限","达到或超过上限"))</f>
        <v>低于上限</v>
      </c>
      <c r="AD7" s="2" t="s">
        <v>57</v>
      </c>
    </row>
    <row r="8" customFormat="false" ht="16.4" hidden="false" customHeight="false" outlineLevel="0" collapsed="false">
      <c r="A8" s="2" t="s">
        <v>63</v>
      </c>
      <c r="B8" s="2" t="s">
        <v>64</v>
      </c>
      <c r="C8" s="3" t="n">
        <v>102092</v>
      </c>
      <c r="D8" s="4" t="n">
        <v>0.01</v>
      </c>
      <c r="E8" s="3" t="n">
        <v>18.75</v>
      </c>
      <c r="F8" s="5" t="n">
        <f aca="false">IF(OR(C8="",D8="",E8="",N8="",C8&lt;=0,D8&lt;=0,E8&lt;=N8),"",ROUNDDOWN((C8*D8)/(E8-N8)/100,0)*100)</f>
        <v>600</v>
      </c>
      <c r="G8" s="6" t="str">
        <f aca="false">IF(OR(A8="",F8="",E8="",N8="",E8&lt;=N8,账户数据!$B$7=""),"",IF(账户数据!$B$9+IF(H8="",F8*(E8-N8),0)&gt;=账户数据!$B$7,"禁止开仓","允许开仓"))</f>
        <v>禁止开仓</v>
      </c>
      <c r="H8" s="7" t="n">
        <v>200</v>
      </c>
      <c r="I8" s="8" t="n">
        <v>46134</v>
      </c>
      <c r="J8" s="3" t="n">
        <v>20.62</v>
      </c>
      <c r="K8" s="3" t="n">
        <v>17.25</v>
      </c>
      <c r="L8" s="5" t="n">
        <f aca="false">IF(K8="","",H8)</f>
        <v>200</v>
      </c>
      <c r="M8" s="8" t="n">
        <v>46135</v>
      </c>
      <c r="N8" s="3" t="n">
        <v>17.25</v>
      </c>
      <c r="O8" s="3" t="n">
        <v>5</v>
      </c>
      <c r="P8" s="3" t="n">
        <v>5</v>
      </c>
      <c r="Q8" s="2" t="s">
        <v>65</v>
      </c>
      <c r="R8" s="9" t="s">
        <v>66</v>
      </c>
      <c r="S8" s="9" t="s">
        <v>67</v>
      </c>
      <c r="T8" s="9" t="s">
        <v>35</v>
      </c>
      <c r="U8" s="10" t="n">
        <f aca="false">IF(OR(E8="",J8="",E8&lt;=0),"",(J8-E8)/E8)</f>
        <v>0.0997333333333334</v>
      </c>
      <c r="V8" s="10" t="n">
        <f aca="false">IF(OR(E8="",N8="",E8&lt;=0),"",(E8-N8)/E8)</f>
        <v>0.08</v>
      </c>
      <c r="W8" s="11" t="n">
        <f aca="false">IF(OR(U8="",V8="",V8&lt;=0),"",U8/V8)</f>
        <v>1.24666666666667</v>
      </c>
      <c r="X8" s="12" t="n">
        <f aca="false">IF(OR(K8="",L8="",E8="",H8=""),"",K8*L8-E8*H8-IF(O8="",0,O8)-IF(P8="",0,P8))</f>
        <v>-310</v>
      </c>
      <c r="Y8" s="10" t="n">
        <f aca="false">IF(OR(X8="",E8="",H8=""),"",IF(E8*H8+IF(O8="",0,O8)&lt;=0,"",X8/(E8*H8+IF(O8="",0,O8))))</f>
        <v>-0.0825565912117177</v>
      </c>
      <c r="Z8" s="10" t="n">
        <f aca="false">IF(OR(Y8="",多次统计数据!$B$8=""),"",Y8-多次统计数据!$B$8)</f>
        <v>-0.210687681284623</v>
      </c>
      <c r="AA8" s="13" t="n">
        <f aca="false">IF(OR(I8="",M8="",M8&lt;I8),"",M8-I8)</f>
        <v>1</v>
      </c>
      <c r="AB8" s="10" t="n">
        <f aca="false">IF(OR(A8="",多次统计数据!$B$8="",多次统计数据!$B$6&lt;=0,多次统计数据!$B$6&gt;=1),"",1-POWER(1+多次统计数据!$B$8,-多次统计数据!$B$6/(1-多次统计数据!$B$6)))</f>
        <v>0.119185074515542</v>
      </c>
      <c r="AC8" s="6" t="str">
        <f aca="false">IF(OR(AB8="",多次统计数据!$B$9=""),"",IF(多次统计数据!$B$9&lt;AB8,"低于上限","达到或超过上限"))</f>
        <v>低于上限</v>
      </c>
      <c r="AD8" s="2" t="s">
        <v>57</v>
      </c>
    </row>
    <row r="9" customFormat="false" ht="31.3" hidden="false" customHeight="false" outlineLevel="0" collapsed="false">
      <c r="A9" s="2" t="s">
        <v>68</v>
      </c>
      <c r="B9" s="2" t="s">
        <v>69</v>
      </c>
      <c r="C9" s="3" t="n">
        <v>101782</v>
      </c>
      <c r="D9" s="4" t="n">
        <v>0.01</v>
      </c>
      <c r="E9" s="3" t="n">
        <v>20</v>
      </c>
      <c r="F9" s="5" t="n">
        <f aca="false">IF(OR(C9="",D9="",E9="",N9="",C9&lt;=0,D9&lt;=0,E9&lt;=N9),"",ROUNDDOWN((C9*D9)/(E9-N9)/100,0)*100)</f>
        <v>1300</v>
      </c>
      <c r="G9" s="6" t="str">
        <f aca="false">IF(OR(A9="",F9="",E9="",N9="",E9&lt;=N9,账户数据!$B$7=""),"",IF(账户数据!$B$9+IF(H9="",F9*(E9-N9),0)&gt;=账户数据!$B$7,"禁止开仓","允许开仓"))</f>
        <v>禁止开仓</v>
      </c>
      <c r="H9" s="7" t="n">
        <v>700</v>
      </c>
      <c r="I9" s="8" t="n">
        <v>46135</v>
      </c>
      <c r="J9" s="3" t="n">
        <v>22</v>
      </c>
      <c r="K9" s="3" t="n">
        <v>19</v>
      </c>
      <c r="L9" s="5" t="n">
        <f aca="false">IF(K9="","",H9)</f>
        <v>700</v>
      </c>
      <c r="M9" s="8" t="n">
        <v>46137</v>
      </c>
      <c r="N9" s="3" t="n">
        <v>19.25</v>
      </c>
      <c r="O9" s="3" t="n">
        <v>5</v>
      </c>
      <c r="P9" s="3" t="n">
        <v>0</v>
      </c>
      <c r="Q9" s="9" t="s">
        <v>70</v>
      </c>
      <c r="R9" s="9" t="s">
        <v>71</v>
      </c>
      <c r="S9" s="9" t="s">
        <v>72</v>
      </c>
      <c r="T9" s="9" t="s">
        <v>35</v>
      </c>
      <c r="U9" s="10" t="n">
        <f aca="false">IF(OR(E9="",J9="",E9&lt;=0),"",(J9-E9)/E9)</f>
        <v>0.1</v>
      </c>
      <c r="V9" s="10" t="n">
        <f aca="false">IF(OR(E9="",N9="",E9&lt;=0),"",(E9-N9)/E9)</f>
        <v>0.0375</v>
      </c>
      <c r="W9" s="11" t="n">
        <f aca="false">IF(OR(U9="",V9="",V9&lt;=0),"",U9/V9)</f>
        <v>2.66666666666667</v>
      </c>
      <c r="X9" s="12" t="n">
        <f aca="false">IF(OR(K9="",L9="",E9="",H9=""),"",K9*L9-E9*H9-IF(O9="",0,O9)-IF(P9="",0,P9))</f>
        <v>-705</v>
      </c>
      <c r="Y9" s="10" t="n">
        <f aca="false">IF(OR(X9="",E9="",H9=""),"",IF(E9*H9+IF(O9="",0,O9)&lt;=0,"",X9/(E9*H9+IF(O9="",0,O9))))</f>
        <v>-0.0503391645840771</v>
      </c>
      <c r="Z9" s="10" t="n">
        <f aca="false">IF(OR(Y9="",多次统计数据!$B$8=""),"",Y9-多次统计数据!$B$8)</f>
        <v>-0.178470254656982</v>
      </c>
      <c r="AA9" s="13" t="n">
        <f aca="false">IF(OR(I9="",M9="",M9&lt;I9),"",M9-I9)</f>
        <v>2</v>
      </c>
      <c r="AB9" s="10" t="n">
        <f aca="false">IF(OR(A9="",多次统计数据!$B$8="",多次统计数据!$B$6&lt;=0,多次统计数据!$B$6&gt;=1),"",1-POWER(1+多次统计数据!$B$8,-多次统计数据!$B$6/(1-多次统计数据!$B$6)))</f>
        <v>0.119185074515542</v>
      </c>
      <c r="AC9" s="6" t="str">
        <f aca="false">IF(OR(AB9="",多次统计数据!$B$9=""),"",IF(多次统计数据!$B$9&lt;AB9,"低于上限","达到或超过上限"))</f>
        <v>低于上限</v>
      </c>
      <c r="AD9" s="2" t="s">
        <v>57</v>
      </c>
    </row>
    <row r="10" customFormat="false" ht="31.3" hidden="false" customHeight="false" outlineLevel="0" collapsed="false">
      <c r="A10" s="2" t="s">
        <v>73</v>
      </c>
      <c r="B10" s="2" t="s">
        <v>74</v>
      </c>
      <c r="C10" s="3" t="n">
        <v>101077</v>
      </c>
      <c r="D10" s="4" t="n">
        <v>0.01</v>
      </c>
      <c r="E10" s="3" t="n">
        <v>21.25</v>
      </c>
      <c r="F10" s="5" t="n">
        <f aca="false">IF(OR(C10="",D10="",E10="",N10="",C10&lt;=0,D10&lt;=0,E10&lt;=N10),"",ROUNDDOWN((C10*D10)/(E10-N10)/100,0)*100)</f>
        <v>1000</v>
      </c>
      <c r="G10" s="6" t="str">
        <f aca="false">IF(OR(A10="",F10="",E10="",N10="",E10&lt;=N10,账户数据!$B$7=""),"",IF(账户数据!$B$9+IF(H10="",F10*(E10-N10),0)&gt;=账户数据!$B$7,"禁止开仓","允许开仓"))</f>
        <v>禁止开仓</v>
      </c>
      <c r="H10" s="7" t="n">
        <v>800</v>
      </c>
      <c r="I10" s="8" t="n">
        <v>46136</v>
      </c>
      <c r="J10" s="3" t="n">
        <v>23.38</v>
      </c>
      <c r="K10" s="3" t="n">
        <v>21.25</v>
      </c>
      <c r="L10" s="5" t="n">
        <f aca="false">IF(K10="","",H10)</f>
        <v>800</v>
      </c>
      <c r="M10" s="8" t="n">
        <v>46139</v>
      </c>
      <c r="N10" s="3" t="n">
        <v>20.25</v>
      </c>
      <c r="O10" s="3" t="n">
        <v>0</v>
      </c>
      <c r="P10" s="3" t="n">
        <v>0</v>
      </c>
      <c r="Q10" s="9" t="s">
        <v>75</v>
      </c>
      <c r="R10" s="9" t="s">
        <v>76</v>
      </c>
      <c r="S10" s="9" t="s">
        <v>77</v>
      </c>
      <c r="T10" s="9" t="s">
        <v>35</v>
      </c>
      <c r="U10" s="10" t="n">
        <f aca="false">IF(OR(E10="",J10="",E10&lt;=0),"",(J10-E10)/E10)</f>
        <v>0.100235294117647</v>
      </c>
      <c r="V10" s="10" t="n">
        <f aca="false">IF(OR(E10="",N10="",E10&lt;=0),"",(E10-N10)/E10)</f>
        <v>0.0470588235294118</v>
      </c>
      <c r="W10" s="11" t="n">
        <f aca="false">IF(OR(U10="",V10="",V10&lt;=0),"",U10/V10)</f>
        <v>2.13</v>
      </c>
      <c r="X10" s="12" t="n">
        <f aca="false">IF(OR(K10="",L10="",E10="",H10=""),"",K10*L10-E10*H10-IF(O10="",0,O10)-IF(P10="",0,P10))</f>
        <v>0</v>
      </c>
      <c r="Y10" s="10" t="n">
        <f aca="false">IF(OR(X10="",E10="",H10=""),"",IF(E10*H10+IF(O10="",0,O10)&lt;=0,"",X10/(E10*H10+IF(O10="",0,O10))))</f>
        <v>0</v>
      </c>
      <c r="Z10" s="10" t="n">
        <f aca="false">IF(OR(Y10="",多次统计数据!$B$8=""),"",Y10-多次统计数据!$B$8)</f>
        <v>-0.128131090072905</v>
      </c>
      <c r="AA10" s="13" t="n">
        <f aca="false">IF(OR(I10="",M10="",M10&lt;I10),"",M10-I10)</f>
        <v>3</v>
      </c>
      <c r="AB10" s="10" t="n">
        <f aca="false">IF(OR(A10="",多次统计数据!$B$8="",多次统计数据!$B$6&lt;=0,多次统计数据!$B$6&gt;=1),"",1-POWER(1+多次统计数据!$B$8,-多次统计数据!$B$6/(1-多次统计数据!$B$6)))</f>
        <v>0.119185074515542</v>
      </c>
      <c r="AC10" s="6" t="str">
        <f aca="false">IF(OR(AB10="",多次统计数据!$B$9=""),"",IF(多次统计数据!$B$9&lt;AB10,"低于上限","达到或超过上限"))</f>
        <v>低于上限</v>
      </c>
      <c r="AD10" s="2" t="s">
        <v>78</v>
      </c>
    </row>
    <row r="11" customFormat="false" ht="31.3" hidden="false" customHeight="false" outlineLevel="0" collapsed="false">
      <c r="A11" s="2" t="s">
        <v>79</v>
      </c>
      <c r="B11" s="2" t="s">
        <v>80</v>
      </c>
      <c r="C11" s="3" t="n">
        <v>101077</v>
      </c>
      <c r="D11" s="4" t="n">
        <v>0.01</v>
      </c>
      <c r="E11" s="3" t="n">
        <v>22.5</v>
      </c>
      <c r="F11" s="5" t="n">
        <f aca="false">IF(OR(C11="",D11="",E11="",N11="",C11&lt;=0,D11&lt;=0,E11&lt;=N11),"",ROUNDDOWN((C11*D11)/(E11-N11)/100,0)*100)</f>
        <v>800</v>
      </c>
      <c r="G11" s="6" t="str">
        <f aca="false">IF(OR(A11="",F11="",E11="",N11="",E11&lt;=N11,账户数据!$B$7=""),"",IF(账户数据!$B$9+IF(H11="",F11*(E11-N11),0)&gt;=账户数据!$B$7,"禁止开仓","允许开仓"))</f>
        <v>禁止开仓</v>
      </c>
      <c r="H11" s="7" t="n">
        <v>800</v>
      </c>
      <c r="I11" s="8" t="n">
        <v>46137</v>
      </c>
      <c r="J11" s="3" t="n">
        <v>24.75</v>
      </c>
      <c r="K11" s="3"/>
      <c r="L11" s="5" t="str">
        <f aca="false">IF(K11="","",H11)</f>
        <v/>
      </c>
      <c r="M11" s="8"/>
      <c r="N11" s="3" t="n">
        <v>21.25</v>
      </c>
      <c r="O11" s="3" t="n">
        <v>5</v>
      </c>
      <c r="P11" s="3" t="n">
        <v>5</v>
      </c>
      <c r="Q11" s="9" t="s">
        <v>81</v>
      </c>
      <c r="R11" s="9" t="s">
        <v>82</v>
      </c>
      <c r="S11" s="9" t="s">
        <v>83</v>
      </c>
      <c r="T11" s="9"/>
      <c r="U11" s="10" t="n">
        <f aca="false">IF(OR(E11="",J11="",E11&lt;=0),"",(J11-E11)/E11)</f>
        <v>0.1</v>
      </c>
      <c r="V11" s="10" t="n">
        <f aca="false">IF(OR(E11="",N11="",E11&lt;=0),"",(E11-N11)/E11)</f>
        <v>0.0555555555555556</v>
      </c>
      <c r="W11" s="11" t="n">
        <f aca="false">IF(OR(U11="",V11="",V11&lt;=0),"",U11/V11)</f>
        <v>1.8</v>
      </c>
      <c r="X11" s="12" t="str">
        <f aca="false">IF(OR(K11="",L11="",E11="",H11=""),"",K11*L11-E11*H11-IF(O11="",0,O11)-IF(P11="",0,P11))</f>
        <v/>
      </c>
      <c r="Y11" s="10" t="str">
        <f aca="false">IF(OR(X11="",E11="",H11=""),"",IF(E11*H11+IF(O11="",0,O11)&lt;=0,"",X11/(E11*H11+IF(O11="",0,O11))))</f>
        <v/>
      </c>
      <c r="Z11" s="10" t="str">
        <f aca="false">IF(OR(Y11="",多次统计数据!$B$8=""),"",Y11-多次统计数据!$B$8)</f>
        <v/>
      </c>
      <c r="AA11" s="13" t="str">
        <f aca="false">IF(OR(I11="",M11="",M11&lt;I11),"",M11-I11)</f>
        <v/>
      </c>
      <c r="AB11" s="10" t="n">
        <f aca="false">IF(OR(A11="",多次统计数据!$B$8="",多次统计数据!$B$6&lt;=0,多次统计数据!$B$6&gt;=1),"",1-POWER(1+多次统计数据!$B$8,-多次统计数据!$B$6/(1-多次统计数据!$B$6)))</f>
        <v>0.119185074515542</v>
      </c>
      <c r="AC11" s="6" t="str">
        <f aca="false">IF(OR(AB11="",多次统计数据!$B$9=""),"",IF(多次统计数据!$B$9&lt;AB11,"低于上限","达到或超过上限"))</f>
        <v>低于上限</v>
      </c>
      <c r="AD11" s="2"/>
    </row>
    <row r="12" customFormat="false" ht="16.4" hidden="false" customHeight="false" outlineLevel="0" collapsed="false">
      <c r="A12" s="2" t="s">
        <v>84</v>
      </c>
      <c r="B12" s="2" t="s">
        <v>31</v>
      </c>
      <c r="C12" s="3" t="n">
        <v>101077</v>
      </c>
      <c r="D12" s="4" t="n">
        <v>0.01</v>
      </c>
      <c r="E12" s="3" t="n">
        <v>10</v>
      </c>
      <c r="F12" s="5" t="n">
        <f aca="false">IF(OR(C12="",D12="",E12="",N12="",C12&lt;=0,D12&lt;=0,E12&lt;=N12),"",ROUNDDOWN((C12*D12)/(E12-N12)/100,0)*100)</f>
        <v>600</v>
      </c>
      <c r="G12" s="6" t="str">
        <f aca="false">IF(OR(A12="",F12="",E12="",N12="",E12&lt;=N12,账户数据!$B$7=""),"",IF(账户数据!$B$9+IF(H12="",F12*(E12-N12),0)&gt;=账户数据!$B$7,"禁止开仓","允许开仓"))</f>
        <v>禁止开仓</v>
      </c>
      <c r="H12" s="7" t="n">
        <v>100</v>
      </c>
      <c r="I12" s="8" t="n">
        <v>46138</v>
      </c>
      <c r="J12" s="3" t="n">
        <v>11</v>
      </c>
      <c r="K12" s="3" t="n">
        <v>11.4</v>
      </c>
      <c r="L12" s="5" t="n">
        <f aca="false">IF(K12="","",H12)</f>
        <v>100</v>
      </c>
      <c r="M12" s="8" t="n">
        <v>46143</v>
      </c>
      <c r="N12" s="3" t="n">
        <v>8.5</v>
      </c>
      <c r="O12" s="3" t="n">
        <v>5</v>
      </c>
      <c r="P12" s="3" t="n">
        <v>5</v>
      </c>
      <c r="Q12" s="9" t="s">
        <v>85</v>
      </c>
      <c r="R12" s="9" t="s">
        <v>86</v>
      </c>
      <c r="S12" s="9" t="s">
        <v>87</v>
      </c>
      <c r="T12" s="9" t="s">
        <v>35</v>
      </c>
      <c r="U12" s="10" t="n">
        <f aca="false">IF(OR(E12="",J12="",E12&lt;=0),"",(J12-E12)/E12)</f>
        <v>0.1</v>
      </c>
      <c r="V12" s="10" t="n">
        <f aca="false">IF(OR(E12="",N12="",E12&lt;=0),"",(E12-N12)/E12)</f>
        <v>0.15</v>
      </c>
      <c r="W12" s="11" t="n">
        <f aca="false">IF(OR(U12="",V12="",V12&lt;=0),"",U12/V12)</f>
        <v>0.666666666666667</v>
      </c>
      <c r="X12" s="12" t="n">
        <f aca="false">IF(OR(K12="",L12="",E12="",H12=""),"",K12*L12-E12*H12-IF(O12="",0,O12)-IF(P12="",0,P12))</f>
        <v>130</v>
      </c>
      <c r="Y12" s="10" t="n">
        <f aca="false">IF(OR(X12="",E12="",H12=""),"",IF(E12*H12+IF(O12="",0,O12)&lt;=0,"",X12/(E12*H12+IF(O12="",0,O12))))</f>
        <v>0.129353233830846</v>
      </c>
      <c r="Z12" s="10" t="n">
        <f aca="false">IF(OR(Y12="",多次统计数据!$B$8=""),"",Y12-多次统计数据!$B$8)</f>
        <v>0.00122214375794086</v>
      </c>
      <c r="AA12" s="13" t="n">
        <f aca="false">IF(OR(I12="",M12="",M12&lt;I12),"",M12-I12)</f>
        <v>5</v>
      </c>
      <c r="AB12" s="10" t="n">
        <f aca="false">IF(OR(A12="",多次统计数据!$B$8="",多次统计数据!$B$6&lt;=0,多次统计数据!$B$6&gt;=1),"",1-POWER(1+多次统计数据!$B$8,-多次统计数据!$B$6/(1-多次统计数据!$B$6)))</f>
        <v>0.119185074515542</v>
      </c>
      <c r="AC12" s="6" t="str">
        <f aca="false">IF(OR(AB12="",多次统计数据!$B$9=""),"",IF(多次统计数据!$B$9&lt;AB12,"低于上限","达到或超过上限"))</f>
        <v>低于上限</v>
      </c>
      <c r="AD12" s="2" t="s">
        <v>36</v>
      </c>
    </row>
    <row r="13" customFormat="false" ht="16.4" hidden="false" customHeight="false" outlineLevel="0" collapsed="false">
      <c r="A13" s="2" t="s">
        <v>88</v>
      </c>
      <c r="B13" s="2" t="s">
        <v>38</v>
      </c>
      <c r="C13" s="3" t="n">
        <v>101207</v>
      </c>
      <c r="D13" s="4" t="n">
        <v>0.01</v>
      </c>
      <c r="E13" s="3" t="n">
        <v>11.25</v>
      </c>
      <c r="F13" s="5" t="n">
        <f aca="false">IF(OR(C13="",D13="",E13="",N13="",C13&lt;=0,D13&lt;=0,E13&lt;=N13),"",ROUNDDOWN((C13*D13)/(E13-N13)/100,0)*100)</f>
        <v>1300</v>
      </c>
      <c r="G13" s="6" t="str">
        <f aca="false">IF(OR(A13="",F13="",E13="",N13="",E13&lt;=N13,账户数据!$B$7=""),"",IF(账户数据!$B$9+IF(H13="",F13*(E13-N13),0)&gt;=账户数据!$B$7,"禁止开仓","允许开仓"))</f>
        <v>禁止开仓</v>
      </c>
      <c r="H13" s="7" t="n">
        <v>500</v>
      </c>
      <c r="I13" s="8" t="n">
        <v>46139</v>
      </c>
      <c r="J13" s="3" t="n">
        <v>12.38</v>
      </c>
      <c r="K13" s="3" t="n">
        <v>12.6</v>
      </c>
      <c r="L13" s="5" t="n">
        <f aca="false">IF(K13="","",H13)</f>
        <v>500</v>
      </c>
      <c r="M13" s="8" t="n">
        <v>46145</v>
      </c>
      <c r="N13" s="3" t="n">
        <v>10.5</v>
      </c>
      <c r="O13" s="3" t="n">
        <v>0</v>
      </c>
      <c r="P13" s="3" t="n">
        <v>0</v>
      </c>
      <c r="Q13" s="9" t="s">
        <v>89</v>
      </c>
      <c r="R13" s="9" t="s">
        <v>90</v>
      </c>
      <c r="S13" s="9" t="s">
        <v>91</v>
      </c>
      <c r="T13" s="9" t="s">
        <v>35</v>
      </c>
      <c r="U13" s="10" t="n">
        <f aca="false">IF(OR(E13="",J13="",E13&lt;=0),"",(J13-E13)/E13)</f>
        <v>0.100444444444445</v>
      </c>
      <c r="V13" s="10" t="n">
        <f aca="false">IF(OR(E13="",N13="",E13&lt;=0),"",(E13-N13)/E13)</f>
        <v>0.0666666666666667</v>
      </c>
      <c r="W13" s="11" t="n">
        <f aca="false">IF(OR(U13="",V13="",V13&lt;=0),"",U13/V13)</f>
        <v>1.50666666666667</v>
      </c>
      <c r="X13" s="12" t="n">
        <f aca="false">IF(OR(K13="",L13="",E13="",H13=""),"",K13*L13-E13*H13-IF(O13="",0,O13)-IF(P13="",0,P13))</f>
        <v>675</v>
      </c>
      <c r="Y13" s="10" t="n">
        <f aca="false">IF(OR(X13="",E13="",H13=""),"",IF(E13*H13+IF(O13="",0,O13)&lt;=0,"",X13/(E13*H13+IF(O13="",0,O13))))</f>
        <v>0.12</v>
      </c>
      <c r="Z13" s="10" t="n">
        <f aca="false">IF(OR(Y13="",多次统计数据!$B$8=""),"",Y13-多次统计数据!$B$8)</f>
        <v>-0.00813109007290491</v>
      </c>
      <c r="AA13" s="13" t="n">
        <f aca="false">IF(OR(I13="",M13="",M13&lt;I13),"",M13-I13)</f>
        <v>6</v>
      </c>
      <c r="AB13" s="10" t="n">
        <f aca="false">IF(OR(A13="",多次统计数据!$B$8="",多次统计数据!$B$6&lt;=0,多次统计数据!$B$6&gt;=1),"",1-POWER(1+多次统计数据!$B$8,-多次统计数据!$B$6/(1-多次统计数据!$B$6)))</f>
        <v>0.119185074515542</v>
      </c>
      <c r="AC13" s="6" t="str">
        <f aca="false">IF(OR(AB13="",多次统计数据!$B$9=""),"",IF(多次统计数据!$B$9&lt;AB13,"低于上限","达到或超过上限"))</f>
        <v>低于上限</v>
      </c>
      <c r="AD13" s="2" t="s">
        <v>36</v>
      </c>
    </row>
    <row r="14" customFormat="false" ht="31.3" hidden="false" customHeight="false" outlineLevel="0" collapsed="false">
      <c r="A14" s="2" t="s">
        <v>92</v>
      </c>
      <c r="B14" s="2" t="s">
        <v>43</v>
      </c>
      <c r="C14" s="3" t="n">
        <v>101882</v>
      </c>
      <c r="D14" s="4" t="n">
        <v>0.01</v>
      </c>
      <c r="E14" s="3" t="n">
        <v>12.5</v>
      </c>
      <c r="F14" s="5" t="n">
        <f aca="false">IF(OR(C14="",D14="",E14="",N14="",C14&lt;=0,D14&lt;=0,E14&lt;=N14),"",ROUNDDOWN((C14*D14)/(E14-N14)/100,0)*100)</f>
        <v>1000</v>
      </c>
      <c r="G14" s="6" t="str">
        <f aca="false">IF(OR(A14="",F14="",E14="",N14="",E14&lt;=N14,账户数据!$B$7=""),"",IF(账户数据!$B$9+IF(H14="",F14*(E14-N14),0)&gt;=账户数据!$B$7,"禁止开仓","允许开仓"))</f>
        <v>禁止开仓</v>
      </c>
      <c r="H14" s="7" t="n">
        <v>600</v>
      </c>
      <c r="I14" s="8" t="n">
        <v>46140</v>
      </c>
      <c r="J14" s="3" t="n">
        <v>13.75</v>
      </c>
      <c r="K14" s="3" t="n">
        <v>14.13</v>
      </c>
      <c r="L14" s="5" t="n">
        <f aca="false">IF(K14="","",H14)</f>
        <v>600</v>
      </c>
      <c r="M14" s="8" t="n">
        <v>46147</v>
      </c>
      <c r="N14" s="3" t="n">
        <v>11.5</v>
      </c>
      <c r="O14" s="3" t="n">
        <v>5</v>
      </c>
      <c r="P14" s="3" t="n">
        <v>5</v>
      </c>
      <c r="Q14" s="9" t="s">
        <v>93</v>
      </c>
      <c r="R14" s="9" t="s">
        <v>94</v>
      </c>
      <c r="S14" s="9" t="s">
        <v>95</v>
      </c>
      <c r="T14" s="9" t="s">
        <v>35</v>
      </c>
      <c r="U14" s="10" t="n">
        <f aca="false">IF(OR(E14="",J14="",E14&lt;=0),"",(J14-E14)/E14)</f>
        <v>0.1</v>
      </c>
      <c r="V14" s="10" t="n">
        <f aca="false">IF(OR(E14="",N14="",E14&lt;=0),"",(E14-N14)/E14)</f>
        <v>0.08</v>
      </c>
      <c r="W14" s="11" t="n">
        <f aca="false">IF(OR(U14="",V14="",V14&lt;=0),"",U14/V14)</f>
        <v>1.25</v>
      </c>
      <c r="X14" s="12" t="n">
        <f aca="false">IF(OR(K14="",L14="",E14="",H14=""),"",K14*L14-E14*H14-IF(O14="",0,O14)-IF(P14="",0,P14))</f>
        <v>968</v>
      </c>
      <c r="Y14" s="10" t="n">
        <f aca="false">IF(OR(X14="",E14="",H14=""),"",IF(E14*H14+IF(O14="",0,O14)&lt;=0,"",X14/(E14*H14+IF(O14="",0,O14))))</f>
        <v>0.128980679546969</v>
      </c>
      <c r="Z14" s="10" t="n">
        <f aca="false">IF(OR(Y14="",多次统计数据!$B$8=""),"",Y14-多次统计数据!$B$8)</f>
        <v>0.000849589474063772</v>
      </c>
      <c r="AA14" s="13" t="n">
        <f aca="false">IF(OR(I14="",M14="",M14&lt;I14),"",M14-I14)</f>
        <v>7</v>
      </c>
      <c r="AB14" s="10" t="n">
        <f aca="false">IF(OR(A14="",多次统计数据!$B$8="",多次统计数据!$B$6&lt;=0,多次统计数据!$B$6&gt;=1),"",1-POWER(1+多次统计数据!$B$8,-多次统计数据!$B$6/(1-多次统计数据!$B$6)))</f>
        <v>0.119185074515542</v>
      </c>
      <c r="AC14" s="6" t="str">
        <f aca="false">IF(OR(AB14="",多次统计数据!$B$9=""),"",IF(多次统计数据!$B$9&lt;AB14,"低于上限","达到或超过上限"))</f>
        <v>低于上限</v>
      </c>
      <c r="AD14" s="2" t="s">
        <v>36</v>
      </c>
    </row>
    <row r="15" customFormat="false" ht="31.3" hidden="false" customHeight="false" outlineLevel="0" collapsed="false">
      <c r="A15" s="2" t="s">
        <v>96</v>
      </c>
      <c r="B15" s="2" t="s">
        <v>48</v>
      </c>
      <c r="C15" s="3" t="n">
        <v>102850</v>
      </c>
      <c r="D15" s="4" t="n">
        <v>0.01</v>
      </c>
      <c r="E15" s="3" t="n">
        <v>13.75</v>
      </c>
      <c r="F15" s="5" t="n">
        <f aca="false">IF(OR(C15="",D15="",E15="",N15="",C15&lt;=0,D15&lt;=0,E15&lt;=N15),"",ROUNDDOWN((C15*D15)/(E15-N15)/100,0)*100)</f>
        <v>800</v>
      </c>
      <c r="G15" s="6" t="str">
        <f aca="false">IF(OR(A15="",F15="",E15="",N15="",E15&lt;=N15,账户数据!$B$7=""),"",IF(账户数据!$B$9+IF(H15="",F15*(E15-N15),0)&gt;=账户数据!$B$7,"禁止开仓","允许开仓"))</f>
        <v>禁止开仓</v>
      </c>
      <c r="H15" s="7" t="n">
        <v>600</v>
      </c>
      <c r="I15" s="8" t="n">
        <v>46141</v>
      </c>
      <c r="J15" s="3" t="n">
        <v>15.13</v>
      </c>
      <c r="K15" s="3" t="n">
        <v>15.68</v>
      </c>
      <c r="L15" s="5" t="n">
        <f aca="false">IF(K15="","",H15)</f>
        <v>600</v>
      </c>
      <c r="M15" s="8" t="n">
        <v>46142</v>
      </c>
      <c r="N15" s="3" t="n">
        <v>12.5</v>
      </c>
      <c r="O15" s="3" t="n">
        <v>5</v>
      </c>
      <c r="P15" s="3" t="n">
        <v>5</v>
      </c>
      <c r="Q15" s="9" t="s">
        <v>97</v>
      </c>
      <c r="R15" s="9" t="s">
        <v>98</v>
      </c>
      <c r="S15" s="9" t="s">
        <v>99</v>
      </c>
      <c r="T15" s="9" t="s">
        <v>35</v>
      </c>
      <c r="U15" s="10" t="n">
        <f aca="false">IF(OR(E15="",J15="",E15&lt;=0),"",(J15-E15)/E15)</f>
        <v>0.100363636363636</v>
      </c>
      <c r="V15" s="10" t="n">
        <f aca="false">IF(OR(E15="",N15="",E15&lt;=0),"",(E15-N15)/E15)</f>
        <v>0.0909090909090909</v>
      </c>
      <c r="W15" s="11" t="n">
        <f aca="false">IF(OR(U15="",V15="",V15&lt;=0),"",U15/V15)</f>
        <v>1.104</v>
      </c>
      <c r="X15" s="12" t="n">
        <f aca="false">IF(OR(K15="",L15="",E15="",H15=""),"",K15*L15-E15*H15-IF(O15="",0,O15)-IF(P15="",0,P15))</f>
        <v>1148</v>
      </c>
      <c r="Y15" s="10" t="n">
        <f aca="false">IF(OR(X15="",E15="",H15=""),"",IF(E15*H15+IF(O15="",0,O15)&lt;=0,"",X15/(E15*H15+IF(O15="",0,O15))))</f>
        <v>0.139067231980618</v>
      </c>
      <c r="Z15" s="10" t="n">
        <f aca="false">IF(OR(Y15="",多次统计数据!$B$8=""),"",Y15-多次统计数据!$B$8)</f>
        <v>0.0109361419077129</v>
      </c>
      <c r="AA15" s="13" t="n">
        <f aca="false">IF(OR(I15="",M15="",M15&lt;I15),"",M15-I15)</f>
        <v>1</v>
      </c>
      <c r="AB15" s="10" t="n">
        <f aca="false">IF(OR(A15="",多次统计数据!$B$8="",多次统计数据!$B$6&lt;=0,多次统计数据!$B$6&gt;=1),"",1-POWER(1+多次统计数据!$B$8,-多次统计数据!$B$6/(1-多次统计数据!$B$6)))</f>
        <v>0.119185074515542</v>
      </c>
      <c r="AC15" s="6" t="str">
        <f aca="false">IF(OR(AB15="",多次统计数据!$B$9=""),"",IF(多次统计数据!$B$9&lt;AB15,"低于上限","达到或超过上限"))</f>
        <v>低于上限</v>
      </c>
      <c r="AD15" s="2" t="s">
        <v>36</v>
      </c>
    </row>
    <row r="16" customFormat="false" ht="31.3" hidden="false" customHeight="false" outlineLevel="0" collapsed="false">
      <c r="A16" s="2" t="s">
        <v>100</v>
      </c>
      <c r="B16" s="2" t="s">
        <v>53</v>
      </c>
      <c r="C16" s="3" t="n">
        <v>103998</v>
      </c>
      <c r="D16" s="4" t="n">
        <v>0.01</v>
      </c>
      <c r="E16" s="3" t="n">
        <v>15</v>
      </c>
      <c r="F16" s="5" t="n">
        <f aca="false">IF(OR(C16="",D16="",E16="",N16="",C16&lt;=0,D16&lt;=0,E16&lt;=N16),"",ROUNDDOWN((C16*D16)/(E16-N16)/100,0)*100)</f>
        <v>600</v>
      </c>
      <c r="G16" s="6" t="str">
        <f aca="false">IF(OR(A16="",F16="",E16="",N16="",E16&lt;=N16,账户数据!$B$7=""),"",IF(账户数据!$B$9+IF(H16="",F16*(E16-N16),0)&gt;=账户数据!$B$7,"禁止开仓","允许开仓"))</f>
        <v>禁止开仓</v>
      </c>
      <c r="H16" s="7" t="n">
        <v>600</v>
      </c>
      <c r="I16" s="8" t="n">
        <v>46142</v>
      </c>
      <c r="J16" s="3" t="n">
        <v>16.5</v>
      </c>
      <c r="K16" s="3" t="n">
        <v>13.5</v>
      </c>
      <c r="L16" s="5" t="n">
        <f aca="false">IF(K16="","",H16)</f>
        <v>600</v>
      </c>
      <c r="M16" s="8" t="n">
        <v>46144</v>
      </c>
      <c r="N16" s="3" t="n">
        <v>13.5</v>
      </c>
      <c r="O16" s="3" t="n">
        <v>0</v>
      </c>
      <c r="P16" s="3" t="n">
        <v>5</v>
      </c>
      <c r="Q16" s="9" t="s">
        <v>101</v>
      </c>
      <c r="R16" s="9" t="s">
        <v>102</v>
      </c>
      <c r="S16" s="9" t="s">
        <v>103</v>
      </c>
      <c r="T16" s="9" t="s">
        <v>35</v>
      </c>
      <c r="U16" s="10" t="n">
        <f aca="false">IF(OR(E16="",J16="",E16&lt;=0),"",(J16-E16)/E16)</f>
        <v>0.1</v>
      </c>
      <c r="V16" s="10" t="n">
        <f aca="false">IF(OR(E16="",N16="",E16&lt;=0),"",(E16-N16)/E16)</f>
        <v>0.1</v>
      </c>
      <c r="W16" s="11" t="n">
        <f aca="false">IF(OR(U16="",V16="",V16&lt;=0),"",U16/V16)</f>
        <v>1</v>
      </c>
      <c r="X16" s="12" t="n">
        <f aca="false">IF(OR(K16="",L16="",E16="",H16=""),"",K16*L16-E16*H16-IF(O16="",0,O16)-IF(P16="",0,P16))</f>
        <v>-905</v>
      </c>
      <c r="Y16" s="10" t="n">
        <f aca="false">IF(OR(X16="",E16="",H16=""),"",IF(E16*H16+IF(O16="",0,O16)&lt;=0,"",X16/(E16*H16+IF(O16="",0,O16))))</f>
        <v>-0.100555555555556</v>
      </c>
      <c r="Z16" s="10" t="n">
        <f aca="false">IF(OR(Y16="",多次统计数据!$B$8=""),"",Y16-多次统计数据!$B$8)</f>
        <v>-0.22868664562846</v>
      </c>
      <c r="AA16" s="13" t="n">
        <f aca="false">IF(OR(I16="",M16="",M16&lt;I16),"",M16-I16)</f>
        <v>2</v>
      </c>
      <c r="AB16" s="10" t="n">
        <f aca="false">IF(OR(A16="",多次统计数据!$B$8="",多次统计数据!$B$6&lt;=0,多次统计数据!$B$6&gt;=1),"",1-POWER(1+多次统计数据!$B$8,-多次统计数据!$B$6/(1-多次统计数据!$B$6)))</f>
        <v>0.119185074515542</v>
      </c>
      <c r="AC16" s="6" t="str">
        <f aca="false">IF(OR(AB16="",多次统计数据!$B$9=""),"",IF(多次统计数据!$B$9&lt;AB16,"低于上限","达到或超过上限"))</f>
        <v>低于上限</v>
      </c>
      <c r="AD16" s="2" t="s">
        <v>57</v>
      </c>
    </row>
    <row r="17" customFormat="false" ht="31.3" hidden="false" customHeight="false" outlineLevel="0" collapsed="false">
      <c r="A17" s="2" t="s">
        <v>104</v>
      </c>
      <c r="B17" s="2" t="s">
        <v>59</v>
      </c>
      <c r="C17" s="3" t="n">
        <v>103093</v>
      </c>
      <c r="D17" s="4" t="n">
        <v>0.01</v>
      </c>
      <c r="E17" s="3" t="n">
        <v>16.25</v>
      </c>
      <c r="F17" s="5" t="n">
        <f aca="false">IF(OR(C17="",D17="",E17="",N17="",C17&lt;=0,D17&lt;=0,E17&lt;=N17),"",ROUNDDOWN((C17*D17)/(E17-N17)/100,0)*100)</f>
        <v>1300</v>
      </c>
      <c r="G17" s="6" t="str">
        <f aca="false">IF(OR(A17="",F17="",E17="",N17="",E17&lt;=N17,账户数据!$B$7=""),"",IF(账户数据!$B$9+IF(H17="",F17*(E17-N17),0)&gt;=账户数据!$B$7,"禁止开仓","允许开仓"))</f>
        <v>禁止开仓</v>
      </c>
      <c r="H17" s="7" t="n">
        <v>200</v>
      </c>
      <c r="I17" s="8" t="n">
        <v>46143</v>
      </c>
      <c r="J17" s="3" t="n">
        <v>17.88</v>
      </c>
      <c r="K17" s="3" t="n">
        <v>15.44</v>
      </c>
      <c r="L17" s="5" t="n">
        <f aca="false">IF(K17="","",H17)</f>
        <v>200</v>
      </c>
      <c r="M17" s="8" t="n">
        <v>46146</v>
      </c>
      <c r="N17" s="3" t="n">
        <v>15.5</v>
      </c>
      <c r="O17" s="3" t="n">
        <v>5</v>
      </c>
      <c r="P17" s="3" t="n">
        <v>0</v>
      </c>
      <c r="Q17" s="9" t="s">
        <v>105</v>
      </c>
      <c r="R17" s="9" t="s">
        <v>106</v>
      </c>
      <c r="S17" s="9" t="s">
        <v>107</v>
      </c>
      <c r="T17" s="9" t="s">
        <v>35</v>
      </c>
      <c r="U17" s="10" t="n">
        <f aca="false">IF(OR(E17="",J17="",E17&lt;=0),"",(J17-E17)/E17)</f>
        <v>0.100307692307692</v>
      </c>
      <c r="V17" s="10" t="n">
        <f aca="false">IF(OR(E17="",N17="",E17&lt;=0),"",(E17-N17)/E17)</f>
        <v>0.0461538461538462</v>
      </c>
      <c r="W17" s="11" t="n">
        <f aca="false">IF(OR(U17="",V17="",V17&lt;=0),"",U17/V17)</f>
        <v>2.17333333333333</v>
      </c>
      <c r="X17" s="12" t="n">
        <f aca="false">IF(OR(K17="",L17="",E17="",H17=""),"",K17*L17-E17*H17-IF(O17="",0,O17)-IF(P17="",0,P17))</f>
        <v>-167</v>
      </c>
      <c r="Y17" s="10" t="n">
        <f aca="false">IF(OR(X17="",E17="",H17=""),"",IF(E17*H17+IF(O17="",0,O17)&lt;=0,"",X17/(E17*H17+IF(O17="",0,O17))))</f>
        <v>-0.0513056835637481</v>
      </c>
      <c r="Z17" s="10" t="n">
        <f aca="false">IF(OR(Y17="",多次统计数据!$B$8=""),"",Y17-多次统计数据!$B$8)</f>
        <v>-0.179436773636653</v>
      </c>
      <c r="AA17" s="13" t="n">
        <f aca="false">IF(OR(I17="",M17="",M17&lt;I17),"",M17-I17)</f>
        <v>3</v>
      </c>
      <c r="AB17" s="10" t="n">
        <f aca="false">IF(OR(A17="",多次统计数据!$B$8="",多次统计数据!$B$6&lt;=0,多次统计数据!$B$6&gt;=1),"",1-POWER(1+多次统计数据!$B$8,-多次统计数据!$B$6/(1-多次统计数据!$B$6)))</f>
        <v>0.119185074515542</v>
      </c>
      <c r="AC17" s="6" t="str">
        <f aca="false">IF(OR(AB17="",多次统计数据!$B$9=""),"",IF(多次统计数据!$B$9&lt;AB17,"低于上限","达到或超过上限"))</f>
        <v>低于上限</v>
      </c>
      <c r="AD17" s="2" t="s">
        <v>57</v>
      </c>
    </row>
    <row r="18" customFormat="false" ht="16.4" hidden="false" customHeight="false" outlineLevel="0" collapsed="false">
      <c r="A18" s="2" t="s">
        <v>108</v>
      </c>
      <c r="B18" s="2" t="s">
        <v>64</v>
      </c>
      <c r="C18" s="3" t="n">
        <v>102926</v>
      </c>
      <c r="D18" s="4" t="n">
        <v>0.01</v>
      </c>
      <c r="E18" s="3" t="n">
        <v>17.5</v>
      </c>
      <c r="F18" s="5" t="n">
        <f aca="false">IF(OR(C18="",D18="",E18="",N18="",C18&lt;=0,D18&lt;=0,E18&lt;=N18),"",ROUNDDOWN((C18*D18)/(E18-N18)/100,0)*100)</f>
        <v>1000</v>
      </c>
      <c r="G18" s="6" t="str">
        <f aca="false">IF(OR(A18="",F18="",E18="",N18="",E18&lt;=N18,账户数据!$B$7=""),"",IF(账户数据!$B$9+IF(H18="",F18*(E18-N18),0)&gt;=账户数据!$B$7,"禁止开仓","允许开仓"))</f>
        <v>禁止开仓</v>
      </c>
      <c r="H18" s="7" t="n">
        <v>400</v>
      </c>
      <c r="I18" s="8" t="n">
        <v>46144</v>
      </c>
      <c r="J18" s="3" t="n">
        <v>19.25</v>
      </c>
      <c r="K18" s="3" t="n">
        <v>16.45</v>
      </c>
      <c r="L18" s="5" t="n">
        <f aca="false">IF(K18="","",H18)</f>
        <v>400</v>
      </c>
      <c r="M18" s="8" t="n">
        <v>46148</v>
      </c>
      <c r="N18" s="3" t="n">
        <v>16.5</v>
      </c>
      <c r="O18" s="3" t="n">
        <v>5</v>
      </c>
      <c r="P18" s="3" t="n">
        <v>5</v>
      </c>
      <c r="Q18" s="2" t="s">
        <v>109</v>
      </c>
      <c r="R18" s="9" t="s">
        <v>110</v>
      </c>
      <c r="S18" s="9" t="s">
        <v>111</v>
      </c>
      <c r="T18" s="9" t="s">
        <v>35</v>
      </c>
      <c r="U18" s="10" t="n">
        <f aca="false">IF(OR(E18="",J18="",E18&lt;=0),"",(J18-E18)/E18)</f>
        <v>0.1</v>
      </c>
      <c r="V18" s="10" t="n">
        <f aca="false">IF(OR(E18="",N18="",E18&lt;=0),"",(E18-N18)/E18)</f>
        <v>0.0571428571428571</v>
      </c>
      <c r="W18" s="11" t="n">
        <f aca="false">IF(OR(U18="",V18="",V18&lt;=0),"",U18/V18)</f>
        <v>1.75</v>
      </c>
      <c r="X18" s="12" t="n">
        <f aca="false">IF(OR(K18="",L18="",E18="",H18=""),"",K18*L18-E18*H18-IF(O18="",0,O18)-IF(P18="",0,P18))</f>
        <v>-430</v>
      </c>
      <c r="Y18" s="10" t="n">
        <f aca="false">IF(OR(X18="",E18="",H18=""),"",IF(E18*H18+IF(O18="",0,O18)&lt;=0,"",X18/(E18*H18+IF(O18="",0,O18))))</f>
        <v>-0.0613847251962884</v>
      </c>
      <c r="Z18" s="10" t="n">
        <f aca="false">IF(OR(Y18="",多次统计数据!$B$8=""),"",Y18-多次统计数据!$B$8)</f>
        <v>-0.189515815269193</v>
      </c>
      <c r="AA18" s="13" t="n">
        <f aca="false">IF(OR(I18="",M18="",M18&lt;I18),"",M18-I18)</f>
        <v>4</v>
      </c>
      <c r="AB18" s="10" t="n">
        <f aca="false">IF(OR(A18="",多次统计数据!$B$8="",多次统计数据!$B$6&lt;=0,多次统计数据!$B$6&gt;=1),"",1-POWER(1+多次统计数据!$B$8,-多次统计数据!$B$6/(1-多次统计数据!$B$6)))</f>
        <v>0.119185074515542</v>
      </c>
      <c r="AC18" s="6" t="str">
        <f aca="false">IF(OR(AB18="",多次统计数据!$B$9=""),"",IF(多次统计数据!$B$9&lt;AB18,"低于上限","达到或超过上限"))</f>
        <v>低于上限</v>
      </c>
      <c r="AD18" s="2" t="s">
        <v>57</v>
      </c>
    </row>
    <row r="19" customFormat="false" ht="16.4" hidden="false" customHeight="false" outlineLevel="0" collapsed="false">
      <c r="A19" s="2" t="s">
        <v>112</v>
      </c>
      <c r="B19" s="2" t="s">
        <v>69</v>
      </c>
      <c r="C19" s="3" t="n">
        <v>102496</v>
      </c>
      <c r="D19" s="4" t="n">
        <v>0.01</v>
      </c>
      <c r="E19" s="3" t="n">
        <v>18.75</v>
      </c>
      <c r="F19" s="5" t="n">
        <f aca="false">IF(OR(C19="",D19="",E19="",N19="",C19&lt;=0,D19&lt;=0,E19&lt;=N19),"",ROUNDDOWN((C19*D19)/(E19-N19)/100,0)*100)</f>
        <v>800</v>
      </c>
      <c r="G19" s="6" t="str">
        <f aca="false">IF(OR(A19="",F19="",E19="",N19="",E19&lt;=N19,账户数据!$B$7=""),"",IF(账户数据!$B$9+IF(H19="",F19*(E19-N19),0)&gt;=账户数据!$B$7,"禁止开仓","允许开仓"))</f>
        <v>禁止开仓</v>
      </c>
      <c r="H19" s="7" t="n">
        <v>400</v>
      </c>
      <c r="I19" s="8" t="n">
        <v>46145</v>
      </c>
      <c r="J19" s="3" t="n">
        <v>20.62</v>
      </c>
      <c r="K19" s="3" t="n">
        <v>17.5</v>
      </c>
      <c r="L19" s="5" t="n">
        <f aca="false">IF(K19="","",H19)</f>
        <v>400</v>
      </c>
      <c r="M19" s="8" t="n">
        <v>46150</v>
      </c>
      <c r="N19" s="3" t="n">
        <v>17.5</v>
      </c>
      <c r="O19" s="3" t="n">
        <v>0</v>
      </c>
      <c r="P19" s="3" t="n">
        <v>5</v>
      </c>
      <c r="Q19" s="9" t="s">
        <v>113</v>
      </c>
      <c r="R19" s="9" t="s">
        <v>114</v>
      </c>
      <c r="S19" s="9" t="s">
        <v>115</v>
      </c>
      <c r="T19" s="9" t="s">
        <v>35</v>
      </c>
      <c r="U19" s="10" t="n">
        <f aca="false">IF(OR(E19="",J19="",E19&lt;=0),"",(J19-E19)/E19)</f>
        <v>0.0997333333333334</v>
      </c>
      <c r="V19" s="10" t="n">
        <f aca="false">IF(OR(E19="",N19="",E19&lt;=0),"",(E19-N19)/E19)</f>
        <v>0.0666666666666667</v>
      </c>
      <c r="W19" s="11" t="n">
        <f aca="false">IF(OR(U19="",V19="",V19&lt;=0),"",U19/V19)</f>
        <v>1.496</v>
      </c>
      <c r="X19" s="12" t="n">
        <f aca="false">IF(OR(K19="",L19="",E19="",H19=""),"",K19*L19-E19*H19-IF(O19="",0,O19)-IF(P19="",0,P19))</f>
        <v>-505</v>
      </c>
      <c r="Y19" s="10" t="n">
        <f aca="false">IF(OR(X19="",E19="",H19=""),"",IF(E19*H19+IF(O19="",0,O19)&lt;=0,"",X19/(E19*H19+IF(O19="",0,O19))))</f>
        <v>-0.0673333333333333</v>
      </c>
      <c r="Z19" s="10" t="n">
        <f aca="false">IF(OR(Y19="",多次统计数据!$B$8=""),"",Y19-多次统计数据!$B$8)</f>
        <v>-0.195464423406238</v>
      </c>
      <c r="AA19" s="13" t="n">
        <f aca="false">IF(OR(I19="",M19="",M19&lt;I19),"",M19-I19)</f>
        <v>5</v>
      </c>
      <c r="AB19" s="10" t="n">
        <f aca="false">IF(OR(A19="",多次统计数据!$B$8="",多次统计数据!$B$6&lt;=0,多次统计数据!$B$6&gt;=1),"",1-POWER(1+多次统计数据!$B$8,-多次统计数据!$B$6/(1-多次统计数据!$B$6)))</f>
        <v>0.119185074515542</v>
      </c>
      <c r="AC19" s="6" t="str">
        <f aca="false">IF(OR(AB19="",多次统计数据!$B$9=""),"",IF(多次统计数据!$B$9&lt;AB19,"低于上限","达到或超过上限"))</f>
        <v>低于上限</v>
      </c>
      <c r="AD19" s="2" t="s">
        <v>57</v>
      </c>
    </row>
    <row r="20" customFormat="false" ht="31.3" hidden="false" customHeight="false" outlineLevel="0" collapsed="false">
      <c r="A20" s="2" t="s">
        <v>116</v>
      </c>
      <c r="B20" s="2" t="s">
        <v>74</v>
      </c>
      <c r="C20" s="3" t="n">
        <v>101991</v>
      </c>
      <c r="D20" s="4" t="n">
        <v>0.01</v>
      </c>
      <c r="E20" s="3" t="n">
        <v>20</v>
      </c>
      <c r="F20" s="5" t="n">
        <f aca="false">IF(OR(C20="",D20="",E20="",N20="",C20&lt;=0,D20&lt;=0,E20&lt;=N20),"",ROUNDDOWN((C20*D20)/(E20-N20)/100,0)*100)</f>
        <v>600</v>
      </c>
      <c r="G20" s="6" t="str">
        <f aca="false">IF(OR(A20="",F20="",E20="",N20="",E20&lt;=N20,账户数据!$B$7=""),"",IF(账户数据!$B$9+IF(H20="",F20*(E20-N20),0)&gt;=账户数据!$B$7,"禁止开仓","允许开仓"))</f>
        <v>禁止开仓</v>
      </c>
      <c r="H20" s="7" t="n">
        <v>400</v>
      </c>
      <c r="I20" s="8" t="n">
        <v>46146</v>
      </c>
      <c r="J20" s="3" t="n">
        <v>22</v>
      </c>
      <c r="K20" s="3" t="n">
        <v>20</v>
      </c>
      <c r="L20" s="5" t="n">
        <f aca="false">IF(K20="","",H20)</f>
        <v>400</v>
      </c>
      <c r="M20" s="8" t="n">
        <v>46152</v>
      </c>
      <c r="N20" s="3" t="n">
        <v>18.5</v>
      </c>
      <c r="O20" s="3" t="n">
        <v>0</v>
      </c>
      <c r="P20" s="3" t="n">
        <v>0</v>
      </c>
      <c r="Q20" s="9" t="s">
        <v>117</v>
      </c>
      <c r="R20" s="9" t="s">
        <v>118</v>
      </c>
      <c r="S20" s="9" t="s">
        <v>119</v>
      </c>
      <c r="T20" s="9" t="s">
        <v>35</v>
      </c>
      <c r="U20" s="10" t="n">
        <f aca="false">IF(OR(E20="",J20="",E20&lt;=0),"",(J20-E20)/E20)</f>
        <v>0.1</v>
      </c>
      <c r="V20" s="10" t="n">
        <f aca="false">IF(OR(E20="",N20="",E20&lt;=0),"",(E20-N20)/E20)</f>
        <v>0.075</v>
      </c>
      <c r="W20" s="11" t="n">
        <f aca="false">IF(OR(U20="",V20="",V20&lt;=0),"",U20/V20)</f>
        <v>1.33333333333333</v>
      </c>
      <c r="X20" s="12" t="n">
        <f aca="false">IF(OR(K20="",L20="",E20="",H20=""),"",K20*L20-E20*H20-IF(O20="",0,O20)-IF(P20="",0,P20))</f>
        <v>0</v>
      </c>
      <c r="Y20" s="10" t="n">
        <f aca="false">IF(OR(X20="",E20="",H20=""),"",IF(E20*H20+IF(O20="",0,O20)&lt;=0,"",X20/(E20*H20+IF(O20="",0,O20))))</f>
        <v>0</v>
      </c>
      <c r="Z20" s="10" t="n">
        <f aca="false">IF(OR(Y20="",多次统计数据!$B$8=""),"",Y20-多次统计数据!$B$8)</f>
        <v>-0.128131090072905</v>
      </c>
      <c r="AA20" s="13" t="n">
        <f aca="false">IF(OR(I20="",M20="",M20&lt;I20),"",M20-I20)</f>
        <v>6</v>
      </c>
      <c r="AB20" s="10" t="n">
        <f aca="false">IF(OR(A20="",多次统计数据!$B$8="",多次统计数据!$B$6&lt;=0,多次统计数据!$B$6&gt;=1),"",1-POWER(1+多次统计数据!$B$8,-多次统计数据!$B$6/(1-多次统计数据!$B$6)))</f>
        <v>0.119185074515542</v>
      </c>
      <c r="AC20" s="6" t="str">
        <f aca="false">IF(OR(AB20="",多次统计数据!$B$9=""),"",IF(多次统计数据!$B$9&lt;AB20,"低于上限","达到或超过上限"))</f>
        <v>低于上限</v>
      </c>
      <c r="AD20" s="2" t="s">
        <v>78</v>
      </c>
    </row>
    <row r="21" customFormat="false" ht="31.3" hidden="false" customHeight="false" outlineLevel="0" collapsed="false">
      <c r="A21" s="2" t="s">
        <v>120</v>
      </c>
      <c r="B21" s="2" t="s">
        <v>80</v>
      </c>
      <c r="C21" s="3" t="n">
        <v>101991</v>
      </c>
      <c r="D21" s="4" t="n">
        <v>0.01</v>
      </c>
      <c r="E21" s="3" t="n">
        <v>21.25</v>
      </c>
      <c r="F21" s="5" t="n">
        <f aca="false">IF(OR(C21="",D21="",E21="",N21="",C21&lt;=0,D21&lt;=0,E21&lt;=N21),"",ROUNDDOWN((C21*D21)/(E21-N21)/100,0)*100)</f>
        <v>1300</v>
      </c>
      <c r="G21" s="6" t="str">
        <f aca="false">IF(OR(A21="",F21="",E21="",N21="",E21&lt;=N21,账户数据!$B$7=""),"",IF(账户数据!$B$9+IF(H21="",F21*(E21-N21),0)&gt;=账户数据!$B$7,"禁止开仓","允许开仓"))</f>
        <v>禁止开仓</v>
      </c>
      <c r="H21" s="7" t="n">
        <v>1300</v>
      </c>
      <c r="I21" s="8" t="n">
        <v>46147</v>
      </c>
      <c r="J21" s="3" t="n">
        <v>23.38</v>
      </c>
      <c r="K21" s="3"/>
      <c r="L21" s="5" t="str">
        <f aca="false">IF(K21="","",H21)</f>
        <v/>
      </c>
      <c r="M21" s="8"/>
      <c r="N21" s="3" t="n">
        <v>20.5</v>
      </c>
      <c r="O21" s="3" t="n">
        <v>5</v>
      </c>
      <c r="P21" s="3" t="n">
        <v>0</v>
      </c>
      <c r="Q21" s="9" t="s">
        <v>121</v>
      </c>
      <c r="R21" s="9" t="s">
        <v>122</v>
      </c>
      <c r="S21" s="9" t="s">
        <v>123</v>
      </c>
      <c r="T21" s="9"/>
      <c r="U21" s="10" t="n">
        <f aca="false">IF(OR(E21="",J21="",E21&lt;=0),"",(J21-E21)/E21)</f>
        <v>0.100235294117647</v>
      </c>
      <c r="V21" s="10" t="n">
        <f aca="false">IF(OR(E21="",N21="",E21&lt;=0),"",(E21-N21)/E21)</f>
        <v>0.0352941176470588</v>
      </c>
      <c r="W21" s="11" t="n">
        <f aca="false">IF(OR(U21="",V21="",V21&lt;=0),"",U21/V21)</f>
        <v>2.84</v>
      </c>
      <c r="X21" s="12" t="str">
        <f aca="false">IF(OR(K21="",L21="",E21="",H21=""),"",K21*L21-E21*H21-IF(O21="",0,O21)-IF(P21="",0,P21))</f>
        <v/>
      </c>
      <c r="Y21" s="10" t="str">
        <f aca="false">IF(OR(X21="",E21="",H21=""),"",IF(E21*H21+IF(O21="",0,O21)&lt;=0,"",X21/(E21*H21+IF(O21="",0,O21))))</f>
        <v/>
      </c>
      <c r="Z21" s="10" t="str">
        <f aca="false">IF(OR(Y21="",多次统计数据!$B$8=""),"",Y21-多次统计数据!$B$8)</f>
        <v/>
      </c>
      <c r="AA21" s="13" t="str">
        <f aca="false">IF(OR(I21="",M21="",M21&lt;I21),"",M21-I21)</f>
        <v/>
      </c>
      <c r="AB21" s="10" t="n">
        <f aca="false">IF(OR(A21="",多次统计数据!$B$8="",多次统计数据!$B$6&lt;=0,多次统计数据!$B$6&gt;=1),"",1-POWER(1+多次统计数据!$B$8,-多次统计数据!$B$6/(1-多次统计数据!$B$6)))</f>
        <v>0.119185074515542</v>
      </c>
      <c r="AC21" s="6" t="str">
        <f aca="false">IF(OR(AB21="",多次统计数据!$B$9=""),"",IF(多次统计数据!$B$9&lt;AB21,"低于上限","达到或超过上限"))</f>
        <v>低于上限</v>
      </c>
      <c r="AD21" s="2"/>
    </row>
    <row r="22" customFormat="false" ht="16.4" hidden="false" customHeight="false" outlineLevel="0" collapsed="false">
      <c r="A22" s="2" t="s">
        <v>124</v>
      </c>
      <c r="B22" s="2" t="s">
        <v>31</v>
      </c>
      <c r="C22" s="3" t="n">
        <v>101991</v>
      </c>
      <c r="D22" s="4" t="n">
        <v>0.01</v>
      </c>
      <c r="E22" s="3" t="n">
        <v>22.5</v>
      </c>
      <c r="F22" s="5" t="n">
        <f aca="false">IF(OR(C22="",D22="",E22="",N22="",C22&lt;=0,D22&lt;=0,E22&lt;=N22),"",ROUNDDOWN((C22*D22)/(E22-N22)/100,0)*100)</f>
        <v>1000</v>
      </c>
      <c r="G22" s="6" t="str">
        <f aca="false">IF(OR(A22="",F22="",E22="",N22="",E22&lt;=N22,账户数据!$B$7=""),"",IF(账户数据!$B$9+IF(H22="",F22*(E22-N22),0)&gt;=账户数据!$B$7,"禁止开仓","允许开仓"))</f>
        <v>禁止开仓</v>
      </c>
      <c r="H22" s="7" t="n">
        <v>200</v>
      </c>
      <c r="I22" s="8" t="n">
        <v>46148</v>
      </c>
      <c r="J22" s="3" t="n">
        <v>24.75</v>
      </c>
      <c r="K22" s="3" t="n">
        <v>25.2</v>
      </c>
      <c r="L22" s="5" t="n">
        <f aca="false">IF(K22="","",H22)</f>
        <v>200</v>
      </c>
      <c r="M22" s="8" t="n">
        <v>46149</v>
      </c>
      <c r="N22" s="3" t="n">
        <v>21.5</v>
      </c>
      <c r="O22" s="3" t="n">
        <v>0</v>
      </c>
      <c r="P22" s="3" t="n">
        <v>5</v>
      </c>
      <c r="Q22" s="9" t="s">
        <v>32</v>
      </c>
      <c r="R22" s="9" t="s">
        <v>125</v>
      </c>
      <c r="S22" s="9" t="s">
        <v>34</v>
      </c>
      <c r="T22" s="9" t="s">
        <v>35</v>
      </c>
      <c r="U22" s="10" t="n">
        <f aca="false">IF(OR(E22="",J22="",E22&lt;=0),"",(J22-E22)/E22)</f>
        <v>0.1</v>
      </c>
      <c r="V22" s="10" t="n">
        <f aca="false">IF(OR(E22="",N22="",E22&lt;=0),"",(E22-N22)/E22)</f>
        <v>0.0444444444444444</v>
      </c>
      <c r="W22" s="11" t="n">
        <f aca="false">IF(OR(U22="",V22="",V22&lt;=0),"",U22/V22)</f>
        <v>2.25</v>
      </c>
      <c r="X22" s="12" t="n">
        <f aca="false">IF(OR(K22="",L22="",E22="",H22=""),"",K22*L22-E22*H22-IF(O22="",0,O22)-IF(P22="",0,P22))</f>
        <v>535</v>
      </c>
      <c r="Y22" s="10" t="n">
        <f aca="false">IF(OR(X22="",E22="",H22=""),"",IF(E22*H22+IF(O22="",0,O22)&lt;=0,"",X22/(E22*H22+IF(O22="",0,O22))))</f>
        <v>0.118888888888889</v>
      </c>
      <c r="Z22" s="10" t="n">
        <f aca="false">IF(OR(Y22="",多次统计数据!$B$8=""),"",Y22-多次统计数据!$B$8)</f>
        <v>-0.00924220118401602</v>
      </c>
      <c r="AA22" s="13" t="n">
        <f aca="false">IF(OR(I22="",M22="",M22&lt;I22),"",M22-I22)</f>
        <v>1</v>
      </c>
      <c r="AB22" s="10" t="n">
        <f aca="false">IF(OR(A22="",多次统计数据!$B$8="",多次统计数据!$B$6&lt;=0,多次统计数据!$B$6&gt;=1),"",1-POWER(1+多次统计数据!$B$8,-多次统计数据!$B$6/(1-多次统计数据!$B$6)))</f>
        <v>0.119185074515542</v>
      </c>
      <c r="AC22" s="6" t="str">
        <f aca="false">IF(OR(AB22="",多次统计数据!$B$9=""),"",IF(多次统计数据!$B$9&lt;AB22,"低于上限","达到或超过上限"))</f>
        <v>低于上限</v>
      </c>
      <c r="AD22" s="2" t="s">
        <v>36</v>
      </c>
    </row>
    <row r="23" customFormat="false" ht="16.4" hidden="false" customHeight="false" outlineLevel="0" collapsed="false">
      <c r="A23" s="2" t="s">
        <v>126</v>
      </c>
      <c r="B23" s="2" t="s">
        <v>38</v>
      </c>
      <c r="C23" s="3" t="n">
        <v>102526</v>
      </c>
      <c r="D23" s="4" t="n">
        <v>0.01</v>
      </c>
      <c r="E23" s="3" t="n">
        <v>10</v>
      </c>
      <c r="F23" s="5" t="n">
        <f aca="false">IF(OR(C23="",D23="",E23="",N23="",C23&lt;=0,D23&lt;=0,E23&lt;=N23),"",ROUNDDOWN((C23*D23)/(E23-N23)/100,0)*100)</f>
        <v>800</v>
      </c>
      <c r="G23" s="6" t="str">
        <f aca="false">IF(OR(A23="",F23="",E23="",N23="",E23&lt;=N23,账户数据!$B$7=""),"",IF(账户数据!$B$9+IF(H23="",F23*(E23-N23),0)&gt;=账户数据!$B$7,"禁止开仓","允许开仓"))</f>
        <v>禁止开仓</v>
      </c>
      <c r="H23" s="7" t="n">
        <v>300</v>
      </c>
      <c r="I23" s="8" t="n">
        <v>46149</v>
      </c>
      <c r="J23" s="3" t="n">
        <v>11</v>
      </c>
      <c r="K23" s="3" t="n">
        <v>11.3</v>
      </c>
      <c r="L23" s="5" t="n">
        <f aca="false">IF(K23="","",H23)</f>
        <v>300</v>
      </c>
      <c r="M23" s="8" t="n">
        <v>46151</v>
      </c>
      <c r="N23" s="3" t="n">
        <v>8.75</v>
      </c>
      <c r="O23" s="3" t="n">
        <v>5</v>
      </c>
      <c r="P23" s="3" t="n">
        <v>5</v>
      </c>
      <c r="Q23" s="9" t="s">
        <v>39</v>
      </c>
      <c r="R23" s="9" t="s">
        <v>127</v>
      </c>
      <c r="S23" s="9" t="s">
        <v>41</v>
      </c>
      <c r="T23" s="9" t="s">
        <v>35</v>
      </c>
      <c r="U23" s="10" t="n">
        <f aca="false">IF(OR(E23="",J23="",E23&lt;=0),"",(J23-E23)/E23)</f>
        <v>0.1</v>
      </c>
      <c r="V23" s="10" t="n">
        <f aca="false">IF(OR(E23="",N23="",E23&lt;=0),"",(E23-N23)/E23)</f>
        <v>0.125</v>
      </c>
      <c r="W23" s="11" t="n">
        <f aca="false">IF(OR(U23="",V23="",V23&lt;=0),"",U23/V23)</f>
        <v>0.8</v>
      </c>
      <c r="X23" s="12" t="n">
        <f aca="false">IF(OR(K23="",L23="",E23="",H23=""),"",K23*L23-E23*H23-IF(O23="",0,O23)-IF(P23="",0,P23))</f>
        <v>380</v>
      </c>
      <c r="Y23" s="10" t="n">
        <f aca="false">IF(OR(X23="",E23="",H23=""),"",IF(E23*H23+IF(O23="",0,O23)&lt;=0,"",X23/(E23*H23+IF(O23="",0,O23))))</f>
        <v>0.126455906821963</v>
      </c>
      <c r="Z23" s="10" t="n">
        <f aca="false">IF(OR(Y23="",多次统计数据!$B$8=""),"",Y23-多次统计数据!$B$8)</f>
        <v>-0.00167518325094151</v>
      </c>
      <c r="AA23" s="13" t="n">
        <f aca="false">IF(OR(I23="",M23="",M23&lt;I23),"",M23-I23)</f>
        <v>2</v>
      </c>
      <c r="AB23" s="10" t="n">
        <f aca="false">IF(OR(A23="",多次统计数据!$B$8="",多次统计数据!$B$6&lt;=0,多次统计数据!$B$6&gt;=1),"",1-POWER(1+多次统计数据!$B$8,-多次统计数据!$B$6/(1-多次统计数据!$B$6)))</f>
        <v>0.119185074515542</v>
      </c>
      <c r="AC23" s="6" t="str">
        <f aca="false">IF(OR(AB23="",多次统计数据!$B$9=""),"",IF(多次统计数据!$B$9&lt;AB23,"低于上限","达到或超过上限"))</f>
        <v>低于上限</v>
      </c>
      <c r="AD23" s="2" t="s">
        <v>36</v>
      </c>
    </row>
    <row r="24" customFormat="false" ht="16.4" hidden="false" customHeight="false" outlineLevel="0" collapsed="false">
      <c r="A24" s="2" t="s">
        <v>128</v>
      </c>
      <c r="B24" s="2" t="s">
        <v>43</v>
      </c>
      <c r="C24" s="3" t="n">
        <v>102906</v>
      </c>
      <c r="D24" s="4" t="n">
        <v>0.01</v>
      </c>
      <c r="E24" s="3" t="n">
        <v>11.25</v>
      </c>
      <c r="F24" s="5" t="n">
        <f aca="false">IF(OR(C24="",D24="",E24="",N24="",C24&lt;=0,D24&lt;=0,E24&lt;=N24),"",ROUNDDOWN((C24*D24)/(E24-N24)/100,0)*100)</f>
        <v>600</v>
      </c>
      <c r="G24" s="6" t="str">
        <f aca="false">IF(OR(A24="",F24="",E24="",N24="",E24&lt;=N24,账户数据!$B$7=""),"",IF(账户数据!$B$9+IF(H24="",F24*(E24-N24),0)&gt;=账户数据!$B$7,"禁止开仓","允许开仓"))</f>
        <v>禁止开仓</v>
      </c>
      <c r="H24" s="7" t="n">
        <v>300</v>
      </c>
      <c r="I24" s="8" t="n">
        <v>46150</v>
      </c>
      <c r="J24" s="3" t="n">
        <v>12.38</v>
      </c>
      <c r="K24" s="3" t="n">
        <v>12.83</v>
      </c>
      <c r="L24" s="5" t="n">
        <f aca="false">IF(K24="","",H24)</f>
        <v>300</v>
      </c>
      <c r="M24" s="8" t="n">
        <v>46153</v>
      </c>
      <c r="N24" s="3" t="n">
        <v>9.75</v>
      </c>
      <c r="O24" s="3" t="n">
        <v>5</v>
      </c>
      <c r="P24" s="3" t="n">
        <v>5</v>
      </c>
      <c r="Q24" s="2" t="s">
        <v>44</v>
      </c>
      <c r="R24" s="9" t="s">
        <v>129</v>
      </c>
      <c r="S24" s="9" t="s">
        <v>46</v>
      </c>
      <c r="T24" s="9" t="s">
        <v>35</v>
      </c>
      <c r="U24" s="10" t="n">
        <f aca="false">IF(OR(E24="",J24="",E24&lt;=0),"",(J24-E24)/E24)</f>
        <v>0.100444444444445</v>
      </c>
      <c r="V24" s="10" t="n">
        <f aca="false">IF(OR(E24="",N24="",E24&lt;=0),"",(E24-N24)/E24)</f>
        <v>0.133333333333333</v>
      </c>
      <c r="W24" s="11" t="n">
        <f aca="false">IF(OR(U24="",V24="",V24&lt;=0),"",U24/V24)</f>
        <v>0.753333333333334</v>
      </c>
      <c r="X24" s="12" t="n">
        <f aca="false">IF(OR(K24="",L24="",E24="",H24=""),"",K24*L24-E24*H24-IF(O24="",0,O24)-IF(P24="",0,P24))</f>
        <v>464</v>
      </c>
      <c r="Y24" s="10" t="n">
        <f aca="false">IF(OR(X24="",E24="",H24=""),"",IF(E24*H24+IF(O24="",0,O24)&lt;=0,"",X24/(E24*H24+IF(O24="",0,O24))))</f>
        <v>0.137278106508876</v>
      </c>
      <c r="Z24" s="10" t="n">
        <f aca="false">IF(OR(Y24="",多次统计数据!$B$8=""),"",Y24-多次统计数据!$B$8)</f>
        <v>0.00914701643597082</v>
      </c>
      <c r="AA24" s="13" t="n">
        <f aca="false">IF(OR(I24="",M24="",M24&lt;I24),"",M24-I24)</f>
        <v>3</v>
      </c>
      <c r="AB24" s="10" t="n">
        <f aca="false">IF(OR(A24="",多次统计数据!$B$8="",多次统计数据!$B$6&lt;=0,多次统计数据!$B$6&gt;=1),"",1-POWER(1+多次统计数据!$B$8,-多次统计数据!$B$6/(1-多次统计数据!$B$6)))</f>
        <v>0.119185074515542</v>
      </c>
      <c r="AC24" s="6" t="str">
        <f aca="false">IF(OR(AB24="",多次统计数据!$B$9=""),"",IF(多次统计数据!$B$9&lt;AB24,"低于上限","达到或超过上限"))</f>
        <v>低于上限</v>
      </c>
      <c r="AD24" s="2" t="s">
        <v>36</v>
      </c>
    </row>
    <row r="25" customFormat="false" ht="31.3" hidden="false" customHeight="false" outlineLevel="0" collapsed="false">
      <c r="A25" s="2" t="s">
        <v>130</v>
      </c>
      <c r="B25" s="2" t="s">
        <v>48</v>
      </c>
      <c r="C25" s="3" t="n">
        <v>103370</v>
      </c>
      <c r="D25" s="4" t="n">
        <v>0.01</v>
      </c>
      <c r="E25" s="3" t="n">
        <v>12.5</v>
      </c>
      <c r="F25" s="5" t="n">
        <f aca="false">IF(OR(C25="",D25="",E25="",N25="",C25&lt;=0,D25&lt;=0,E25&lt;=N25),"",ROUNDDOWN((C25*D25)/(E25-N25)/100,0)*100)</f>
        <v>1300</v>
      </c>
      <c r="G25" s="6" t="str">
        <f aca="false">IF(OR(A25="",F25="",E25="",N25="",E25&lt;=N25,账户数据!$B$7=""),"",IF(账户数据!$B$9+IF(H25="",F25*(E25-N25),0)&gt;=账户数据!$B$7,"禁止开仓","允许开仓"))</f>
        <v>禁止开仓</v>
      </c>
      <c r="H25" s="7" t="n">
        <v>1000</v>
      </c>
      <c r="I25" s="8" t="n">
        <v>46151</v>
      </c>
      <c r="J25" s="3" t="n">
        <v>13.75</v>
      </c>
      <c r="K25" s="3" t="n">
        <v>14</v>
      </c>
      <c r="L25" s="5" t="n">
        <f aca="false">IF(K25="","",H25)</f>
        <v>1000</v>
      </c>
      <c r="M25" s="8" t="n">
        <v>46155</v>
      </c>
      <c r="N25" s="3" t="n">
        <v>11.75</v>
      </c>
      <c r="O25" s="3" t="n">
        <v>0</v>
      </c>
      <c r="P25" s="3" t="n">
        <v>0</v>
      </c>
      <c r="Q25" s="9" t="s">
        <v>49</v>
      </c>
      <c r="R25" s="9" t="s">
        <v>131</v>
      </c>
      <c r="S25" s="9" t="s">
        <v>51</v>
      </c>
      <c r="T25" s="9" t="s">
        <v>35</v>
      </c>
      <c r="U25" s="10" t="n">
        <f aca="false">IF(OR(E25="",J25="",E25&lt;=0),"",(J25-E25)/E25)</f>
        <v>0.1</v>
      </c>
      <c r="V25" s="10" t="n">
        <f aca="false">IF(OR(E25="",N25="",E25&lt;=0),"",(E25-N25)/E25)</f>
        <v>0.06</v>
      </c>
      <c r="W25" s="11" t="n">
        <f aca="false">IF(OR(U25="",V25="",V25&lt;=0),"",U25/V25)</f>
        <v>1.66666666666667</v>
      </c>
      <c r="X25" s="12" t="n">
        <f aca="false">IF(OR(K25="",L25="",E25="",H25=""),"",K25*L25-E25*H25-IF(O25="",0,O25)-IF(P25="",0,P25))</f>
        <v>1500</v>
      </c>
      <c r="Y25" s="10" t="n">
        <f aca="false">IF(OR(X25="",E25="",H25=""),"",IF(E25*H25+IF(O25="",0,O25)&lt;=0,"",X25/(E25*H25+IF(O25="",0,O25))))</f>
        <v>0.12</v>
      </c>
      <c r="Z25" s="10" t="n">
        <f aca="false">IF(OR(Y25="",多次统计数据!$B$8=""),"",Y25-多次统计数据!$B$8)</f>
        <v>-0.00813109007290491</v>
      </c>
      <c r="AA25" s="13" t="n">
        <f aca="false">IF(OR(I25="",M25="",M25&lt;I25),"",M25-I25)</f>
        <v>4</v>
      </c>
      <c r="AB25" s="10" t="n">
        <f aca="false">IF(OR(A25="",多次统计数据!$B$8="",多次统计数据!$B$6&lt;=0,多次统计数据!$B$6&gt;=1),"",1-POWER(1+多次统计数据!$B$8,-多次统计数据!$B$6/(1-多次统计数据!$B$6)))</f>
        <v>0.119185074515542</v>
      </c>
      <c r="AC25" s="6" t="str">
        <f aca="false">IF(OR(AB25="",多次统计数据!$B$9=""),"",IF(多次统计数据!$B$9&lt;AB25,"低于上限","达到或超过上限"))</f>
        <v>低于上限</v>
      </c>
      <c r="AD25" s="2" t="s">
        <v>36</v>
      </c>
    </row>
    <row r="26" customFormat="false" ht="16.4" hidden="false" customHeight="false" outlineLevel="0" collapsed="false">
      <c r="A26" s="2" t="s">
        <v>132</v>
      </c>
      <c r="B26" s="2" t="s">
        <v>53</v>
      </c>
      <c r="C26" s="3" t="n">
        <v>104870</v>
      </c>
      <c r="D26" s="4" t="n">
        <v>0.01</v>
      </c>
      <c r="E26" s="3" t="n">
        <v>13.75</v>
      </c>
      <c r="F26" s="5" t="n">
        <f aca="false">IF(OR(C26="",D26="",E26="",N26="",C26&lt;=0,D26&lt;=0,E26&lt;=N26),"",ROUNDDOWN((C26*D26)/(E26-N26)/100,0)*100)</f>
        <v>1000</v>
      </c>
      <c r="G26" s="6" t="str">
        <f aca="false">IF(OR(A26="",F26="",E26="",N26="",E26&lt;=N26,账户数据!$B$7=""),"",IF(账户数据!$B$9+IF(H26="",F26*(E26-N26),0)&gt;=账户数据!$B$7,"禁止开仓","允许开仓"))</f>
        <v>禁止开仓</v>
      </c>
      <c r="H26" s="7"/>
      <c r="I26" s="8" t="n">
        <v>46152</v>
      </c>
      <c r="J26" s="3" t="n">
        <v>15.13</v>
      </c>
      <c r="K26" s="3"/>
      <c r="L26" s="5" t="str">
        <f aca="false">IF(K26="","",H26)</f>
        <v/>
      </c>
      <c r="M26" s="8"/>
      <c r="N26" s="3" t="n">
        <v>12.75</v>
      </c>
      <c r="O26" s="3" t="n">
        <v>5</v>
      </c>
      <c r="P26" s="3" t="n">
        <v>5</v>
      </c>
      <c r="Q26" s="9" t="s">
        <v>54</v>
      </c>
      <c r="R26" s="9" t="s">
        <v>133</v>
      </c>
      <c r="S26" s="9" t="s">
        <v>56</v>
      </c>
      <c r="T26" s="9"/>
      <c r="U26" s="10" t="n">
        <f aca="false">IF(OR(E26="",J26="",E26&lt;=0),"",(J26-E26)/E26)</f>
        <v>0.100363636363636</v>
      </c>
      <c r="V26" s="10" t="n">
        <f aca="false">IF(OR(E26="",N26="",E26&lt;=0),"",(E26-N26)/E26)</f>
        <v>0.0727272727272727</v>
      </c>
      <c r="W26" s="11" t="n">
        <f aca="false">IF(OR(U26="",V26="",V26&lt;=0),"",U26/V26)</f>
        <v>1.38</v>
      </c>
      <c r="X26" s="12" t="str">
        <f aca="false">IF(OR(K26="",L26="",E26="",H26=""),"",K26*L26-E26*H26-IF(O26="",0,O26)-IF(P26="",0,P26))</f>
        <v/>
      </c>
      <c r="Y26" s="10" t="str">
        <f aca="false">IF(OR(X26="",E26="",H26=""),"",IF(E26*H26+IF(O26="",0,O26)&lt;=0,"",X26/(E26*H26+IF(O26="",0,O26))))</f>
        <v/>
      </c>
      <c r="Z26" s="10" t="str">
        <f aca="false">IF(OR(Y26="",多次统计数据!$B$8=""),"",Y26-多次统计数据!$B$8)</f>
        <v/>
      </c>
      <c r="AA26" s="13" t="str">
        <f aca="false">IF(OR(I26="",M26="",M26&lt;I26),"",M26-I26)</f>
        <v/>
      </c>
      <c r="AB26" s="10" t="n">
        <f aca="false">IF(OR(A26="",多次统计数据!$B$8="",多次统计数据!$B$6&lt;=0,多次统计数据!$B$6&gt;=1),"",1-POWER(1+多次统计数据!$B$8,-多次统计数据!$B$6/(1-多次统计数据!$B$6)))</f>
        <v>0.119185074515542</v>
      </c>
      <c r="AC26" s="6" t="str">
        <f aca="false">IF(OR(AB26="",多次统计数据!$B$9=""),"",IF(多次统计数据!$B$9&lt;AB26,"低于上限","达到或超过上限"))</f>
        <v>低于上限</v>
      </c>
      <c r="AD26" s="2"/>
    </row>
    <row r="27" customFormat="false" ht="16.4" hidden="false" customHeight="false" outlineLevel="0" collapsed="false">
      <c r="A27" s="2" t="s">
        <v>134</v>
      </c>
      <c r="B27" s="2" t="s">
        <v>59</v>
      </c>
      <c r="C27" s="3" t="n">
        <v>104870</v>
      </c>
      <c r="D27" s="4" t="n">
        <v>0.01</v>
      </c>
      <c r="E27" s="3" t="n">
        <v>15</v>
      </c>
      <c r="F27" s="5" t="n">
        <f aca="false">IF(OR(C27="",D27="",E27="",N27="",C27&lt;=0,D27&lt;=0,E27&lt;=N27),"",ROUNDDOWN((C27*D27)/(E27-N27)/100,0)*100)</f>
        <v>800</v>
      </c>
      <c r="G27" s="6" t="str">
        <f aca="false">IF(OR(A27="",F27="",E27="",N27="",E27&lt;=N27,账户数据!$B$7=""),"",IF(账户数据!$B$9+IF(H27="",F27*(E27-N27),0)&gt;=账户数据!$B$7,"禁止开仓","允许开仓"))</f>
        <v>禁止开仓</v>
      </c>
      <c r="H27" s="7" t="n">
        <v>100</v>
      </c>
      <c r="I27" s="8" t="n">
        <v>46153</v>
      </c>
      <c r="J27" s="3" t="n">
        <v>16.5</v>
      </c>
      <c r="K27" s="3" t="n">
        <v>13.75</v>
      </c>
      <c r="L27" s="5" t="n">
        <f aca="false">IF(K27="","",H27)</f>
        <v>100</v>
      </c>
      <c r="M27" s="8" t="n">
        <v>46159</v>
      </c>
      <c r="N27" s="3" t="n">
        <v>13.75</v>
      </c>
      <c r="O27" s="3" t="n">
        <v>5</v>
      </c>
      <c r="P27" s="3" t="n">
        <v>5</v>
      </c>
      <c r="Q27" s="2" t="s">
        <v>60</v>
      </c>
      <c r="R27" s="9" t="s">
        <v>135</v>
      </c>
      <c r="S27" s="9" t="s">
        <v>62</v>
      </c>
      <c r="T27" s="9" t="s">
        <v>35</v>
      </c>
      <c r="U27" s="10" t="n">
        <f aca="false">IF(OR(E27="",J27="",E27&lt;=0),"",(J27-E27)/E27)</f>
        <v>0.1</v>
      </c>
      <c r="V27" s="10" t="n">
        <f aca="false">IF(OR(E27="",N27="",E27&lt;=0),"",(E27-N27)/E27)</f>
        <v>0.0833333333333333</v>
      </c>
      <c r="W27" s="11" t="n">
        <f aca="false">IF(OR(U27="",V27="",V27&lt;=0),"",U27/V27)</f>
        <v>1.2</v>
      </c>
      <c r="X27" s="12" t="n">
        <f aca="false">IF(OR(K27="",L27="",E27="",H27=""),"",K27*L27-E27*H27-IF(O27="",0,O27)-IF(P27="",0,P27))</f>
        <v>-135</v>
      </c>
      <c r="Y27" s="10" t="n">
        <f aca="false">IF(OR(X27="",E27="",H27=""),"",IF(E27*H27+IF(O27="",0,O27)&lt;=0,"",X27/(E27*H27+IF(O27="",0,O27))))</f>
        <v>-0.0897009966777409</v>
      </c>
      <c r="Z27" s="10" t="n">
        <f aca="false">IF(OR(Y27="",多次统计数据!$B$8=""),"",Y27-多次统计数据!$B$8)</f>
        <v>-0.217832086750646</v>
      </c>
      <c r="AA27" s="13" t="n">
        <f aca="false">IF(OR(I27="",M27="",M27&lt;I27),"",M27-I27)</f>
        <v>6</v>
      </c>
      <c r="AB27" s="10" t="n">
        <f aca="false">IF(OR(A27="",多次统计数据!$B$8="",多次统计数据!$B$6&lt;=0,多次统计数据!$B$6&gt;=1),"",1-POWER(1+多次统计数据!$B$8,-多次统计数据!$B$6/(1-多次统计数据!$B$6)))</f>
        <v>0.119185074515542</v>
      </c>
      <c r="AC27" s="6" t="str">
        <f aca="false">IF(OR(AB27="",多次统计数据!$B$9=""),"",IF(多次统计数据!$B$9&lt;AB27,"低于上限","达到或超过上限"))</f>
        <v>低于上限</v>
      </c>
      <c r="AD27" s="2" t="s">
        <v>57</v>
      </c>
    </row>
    <row r="28" customFormat="false" ht="16.4" hidden="false" customHeight="false" outlineLevel="0" collapsed="false">
      <c r="A28" s="2" t="s">
        <v>136</v>
      </c>
      <c r="B28" s="2" t="s">
        <v>64</v>
      </c>
      <c r="C28" s="3" t="n">
        <v>104735</v>
      </c>
      <c r="D28" s="4" t="n">
        <v>0.01</v>
      </c>
      <c r="E28" s="3" t="n">
        <v>16.25</v>
      </c>
      <c r="F28" s="5" t="n">
        <f aca="false">IF(OR(C28="",D28="",E28="",N28="",C28&lt;=0,D28&lt;=0,E28&lt;=N28),"",ROUNDDOWN((C28*D28)/(E28-N28)/100,0)*100)</f>
        <v>600</v>
      </c>
      <c r="G28" s="6" t="str">
        <f aca="false">IF(OR(A28="",F28="",E28="",N28="",E28&lt;=N28,账户数据!$B$7=""),"",IF(账户数据!$B$9+IF(H28="",F28*(E28-N28),0)&gt;=账户数据!$B$7,"禁止开仓","允许开仓"))</f>
        <v>禁止开仓</v>
      </c>
      <c r="H28" s="7" t="n">
        <v>200</v>
      </c>
      <c r="I28" s="8" t="n">
        <v>46154</v>
      </c>
      <c r="J28" s="3" t="n">
        <v>17.88</v>
      </c>
      <c r="K28" s="3" t="n">
        <v>14.75</v>
      </c>
      <c r="L28" s="5" t="n">
        <f aca="false">IF(K28="","",H28)</f>
        <v>200</v>
      </c>
      <c r="M28" s="8" t="n">
        <v>46161</v>
      </c>
      <c r="N28" s="3" t="n">
        <v>14.75</v>
      </c>
      <c r="O28" s="3" t="n">
        <v>0</v>
      </c>
      <c r="P28" s="3" t="n">
        <v>5</v>
      </c>
      <c r="Q28" s="2" t="s">
        <v>65</v>
      </c>
      <c r="R28" s="9" t="s">
        <v>137</v>
      </c>
      <c r="S28" s="9" t="s">
        <v>67</v>
      </c>
      <c r="T28" s="9" t="s">
        <v>35</v>
      </c>
      <c r="U28" s="10" t="n">
        <f aca="false">IF(OR(E28="",J28="",E28&lt;=0),"",(J28-E28)/E28)</f>
        <v>0.100307692307692</v>
      </c>
      <c r="V28" s="10" t="n">
        <f aca="false">IF(OR(E28="",N28="",E28&lt;=0),"",(E28-N28)/E28)</f>
        <v>0.0923076923076923</v>
      </c>
      <c r="W28" s="11" t="n">
        <f aca="false">IF(OR(U28="",V28="",V28&lt;=0),"",U28/V28)</f>
        <v>1.08666666666667</v>
      </c>
      <c r="X28" s="12" t="n">
        <f aca="false">IF(OR(K28="",L28="",E28="",H28=""),"",K28*L28-E28*H28-IF(O28="",0,O28)-IF(P28="",0,P28))</f>
        <v>-305</v>
      </c>
      <c r="Y28" s="10" t="n">
        <f aca="false">IF(OR(X28="",E28="",H28=""),"",IF(E28*H28+IF(O28="",0,O28)&lt;=0,"",X28/(E28*H28+IF(O28="",0,O28))))</f>
        <v>-0.0938461538461538</v>
      </c>
      <c r="Z28" s="10" t="n">
        <f aca="false">IF(OR(Y28="",多次统计数据!$B$8=""),"",Y28-多次统计数据!$B$8)</f>
        <v>-0.221977243919059</v>
      </c>
      <c r="AA28" s="13" t="n">
        <f aca="false">IF(OR(I28="",M28="",M28&lt;I28),"",M28-I28)</f>
        <v>7</v>
      </c>
      <c r="AB28" s="10" t="n">
        <f aca="false">IF(OR(A28="",多次统计数据!$B$8="",多次统计数据!$B$6&lt;=0,多次统计数据!$B$6&gt;=1),"",1-POWER(1+多次统计数据!$B$8,-多次统计数据!$B$6/(1-多次统计数据!$B$6)))</f>
        <v>0.119185074515542</v>
      </c>
      <c r="AC28" s="6" t="str">
        <f aca="false">IF(OR(AB28="",多次统计数据!$B$9=""),"",IF(多次统计数据!$B$9&lt;AB28,"低于上限","达到或超过上限"))</f>
        <v>低于上限</v>
      </c>
      <c r="AD28" s="2" t="s">
        <v>57</v>
      </c>
    </row>
    <row r="29" customFormat="false" ht="31.3" hidden="false" customHeight="false" outlineLevel="0" collapsed="false">
      <c r="A29" s="2" t="s">
        <v>138</v>
      </c>
      <c r="B29" s="2" t="s">
        <v>69</v>
      </c>
      <c r="C29" s="3" t="n">
        <v>104430</v>
      </c>
      <c r="D29" s="4" t="n">
        <v>0.01</v>
      </c>
      <c r="E29" s="3" t="n">
        <v>17.5</v>
      </c>
      <c r="F29" s="5" t="n">
        <f aca="false">IF(OR(C29="",D29="",E29="",N29="",C29&lt;=0,D29&lt;=0,E29&lt;=N29),"",ROUNDDOWN((C29*D29)/(E29-N29)/100,0)*100)</f>
        <v>1300</v>
      </c>
      <c r="G29" s="6" t="str">
        <f aca="false">IF(OR(A29="",F29="",E29="",N29="",E29&lt;=N29,账户数据!$B$7=""),"",IF(账户数据!$B$9+IF(H29="",F29*(E29-N29),0)&gt;=账户数据!$B$7,"禁止开仓","允许开仓"))</f>
        <v>禁止开仓</v>
      </c>
      <c r="H29" s="7" t="n">
        <v>700</v>
      </c>
      <c r="I29" s="8" t="n">
        <v>46155</v>
      </c>
      <c r="J29" s="3" t="n">
        <v>19.25</v>
      </c>
      <c r="K29" s="3" t="n">
        <v>16.62</v>
      </c>
      <c r="L29" s="5" t="n">
        <f aca="false">IF(K29="","",H29)</f>
        <v>700</v>
      </c>
      <c r="M29" s="8" t="n">
        <v>46156</v>
      </c>
      <c r="N29" s="3" t="n">
        <v>16.75</v>
      </c>
      <c r="O29" s="3" t="n">
        <v>5</v>
      </c>
      <c r="P29" s="3" t="n">
        <v>0</v>
      </c>
      <c r="Q29" s="9" t="s">
        <v>70</v>
      </c>
      <c r="R29" s="9" t="s">
        <v>139</v>
      </c>
      <c r="S29" s="9" t="s">
        <v>72</v>
      </c>
      <c r="T29" s="9" t="s">
        <v>35</v>
      </c>
      <c r="U29" s="10" t="n">
        <f aca="false">IF(OR(E29="",J29="",E29&lt;=0),"",(J29-E29)/E29)</f>
        <v>0.1</v>
      </c>
      <c r="V29" s="10" t="n">
        <f aca="false">IF(OR(E29="",N29="",E29&lt;=0),"",(E29-N29)/E29)</f>
        <v>0.0428571428571429</v>
      </c>
      <c r="W29" s="11" t="n">
        <f aca="false">IF(OR(U29="",V29="",V29&lt;=0),"",U29/V29)</f>
        <v>2.33333333333333</v>
      </c>
      <c r="X29" s="12" t="n">
        <f aca="false">IF(OR(K29="",L29="",E29="",H29=""),"",K29*L29-E29*H29-IF(O29="",0,O29)-IF(P29="",0,P29))</f>
        <v>-621</v>
      </c>
      <c r="Y29" s="10" t="n">
        <f aca="false">IF(OR(X29="",E29="",H29=""),"",IF(E29*H29+IF(O29="",0,O29)&lt;=0,"",X29/(E29*H29+IF(O29="",0,O29))))</f>
        <v>-0.0506731946144431</v>
      </c>
      <c r="Z29" s="10" t="n">
        <f aca="false">IF(OR(Y29="",多次统计数据!$B$8=""),"",Y29-多次统计数据!$B$8)</f>
        <v>-0.178804284687348</v>
      </c>
      <c r="AA29" s="13" t="n">
        <f aca="false">IF(OR(I29="",M29="",M29&lt;I29),"",M29-I29)</f>
        <v>1</v>
      </c>
      <c r="AB29" s="10" t="n">
        <f aca="false">IF(OR(A29="",多次统计数据!$B$8="",多次统计数据!$B$6&lt;=0,多次统计数据!$B$6&gt;=1),"",1-POWER(1+多次统计数据!$B$8,-多次统计数据!$B$6/(1-多次统计数据!$B$6)))</f>
        <v>0.119185074515542</v>
      </c>
      <c r="AC29" s="6" t="str">
        <f aca="false">IF(OR(AB29="",多次统计数据!$B$9=""),"",IF(多次统计数据!$B$9&lt;AB29,"低于上限","达到或超过上限"))</f>
        <v>低于上限</v>
      </c>
      <c r="AD29" s="2" t="s">
        <v>57</v>
      </c>
    </row>
    <row r="30" customFormat="false" ht="31.3" hidden="false" customHeight="false" outlineLevel="0" collapsed="false">
      <c r="A30" s="2" t="s">
        <v>140</v>
      </c>
      <c r="B30" s="2" t="s">
        <v>74</v>
      </c>
      <c r="C30" s="3" t="n">
        <v>103809</v>
      </c>
      <c r="D30" s="4" t="n">
        <v>0.01</v>
      </c>
      <c r="E30" s="3" t="n">
        <v>18.75</v>
      </c>
      <c r="F30" s="5" t="n">
        <f aca="false">IF(OR(C30="",D30="",E30="",N30="",C30&lt;=0,D30&lt;=0,E30&lt;=N30),"",ROUNDDOWN((C30*D30)/(E30-N30)/100,0)*100)</f>
        <v>1000</v>
      </c>
      <c r="G30" s="6" t="str">
        <f aca="false">IF(OR(A30="",F30="",E30="",N30="",E30&lt;=N30,账户数据!$B$7=""),"",IF(账户数据!$B$9+IF(H30="",F30*(E30-N30),0)&gt;=账户数据!$B$7,"禁止开仓","允许开仓"))</f>
        <v>禁止开仓</v>
      </c>
      <c r="H30" s="7" t="n">
        <v>800</v>
      </c>
      <c r="I30" s="8" t="n">
        <v>46156</v>
      </c>
      <c r="J30" s="3" t="n">
        <v>20.62</v>
      </c>
      <c r="K30" s="3" t="n">
        <v>18.75</v>
      </c>
      <c r="L30" s="5" t="n">
        <f aca="false">IF(K30="","",H30)</f>
        <v>800</v>
      </c>
      <c r="M30" s="8" t="n">
        <v>46158</v>
      </c>
      <c r="N30" s="3" t="n">
        <v>17.75</v>
      </c>
      <c r="O30" s="3" t="n">
        <v>0</v>
      </c>
      <c r="P30" s="3" t="n">
        <v>0</v>
      </c>
      <c r="Q30" s="9" t="s">
        <v>75</v>
      </c>
      <c r="R30" s="9" t="s">
        <v>141</v>
      </c>
      <c r="S30" s="9" t="s">
        <v>77</v>
      </c>
      <c r="T30" s="9" t="s">
        <v>35</v>
      </c>
      <c r="U30" s="10" t="n">
        <f aca="false">IF(OR(E30="",J30="",E30&lt;=0),"",(J30-E30)/E30)</f>
        <v>0.0997333333333334</v>
      </c>
      <c r="V30" s="10" t="n">
        <f aca="false">IF(OR(E30="",N30="",E30&lt;=0),"",(E30-N30)/E30)</f>
        <v>0.0533333333333333</v>
      </c>
      <c r="W30" s="11" t="n">
        <f aca="false">IF(OR(U30="",V30="",V30&lt;=0),"",U30/V30)</f>
        <v>1.87</v>
      </c>
      <c r="X30" s="12" t="n">
        <f aca="false">IF(OR(K30="",L30="",E30="",H30=""),"",K30*L30-E30*H30-IF(O30="",0,O30)-IF(P30="",0,P30))</f>
        <v>0</v>
      </c>
      <c r="Y30" s="10" t="n">
        <f aca="false">IF(OR(X30="",E30="",H30=""),"",IF(E30*H30+IF(O30="",0,O30)&lt;=0,"",X30/(E30*H30+IF(O30="",0,O30))))</f>
        <v>0</v>
      </c>
      <c r="Z30" s="10" t="n">
        <f aca="false">IF(OR(Y30="",多次统计数据!$B$8=""),"",Y30-多次统计数据!$B$8)</f>
        <v>-0.128131090072905</v>
      </c>
      <c r="AA30" s="13" t="n">
        <f aca="false">IF(OR(I30="",M30="",M30&lt;I30),"",M30-I30)</f>
        <v>2</v>
      </c>
      <c r="AB30" s="10" t="n">
        <f aca="false">IF(OR(A30="",多次统计数据!$B$8="",多次统计数据!$B$6&lt;=0,多次统计数据!$B$6&gt;=1),"",1-POWER(1+多次统计数据!$B$8,-多次统计数据!$B$6/(1-多次统计数据!$B$6)))</f>
        <v>0.119185074515542</v>
      </c>
      <c r="AC30" s="6" t="str">
        <f aca="false">IF(OR(AB30="",多次统计数据!$B$9=""),"",IF(多次统计数据!$B$9&lt;AB30,"低于上限","达到或超过上限"))</f>
        <v>低于上限</v>
      </c>
      <c r="AD30" s="2" t="s">
        <v>78</v>
      </c>
    </row>
    <row r="31" customFormat="false" ht="31.3" hidden="false" customHeight="false" outlineLevel="0" collapsed="false">
      <c r="A31" s="2" t="s">
        <v>142</v>
      </c>
      <c r="B31" s="2" t="s">
        <v>80</v>
      </c>
      <c r="C31" s="3" t="n">
        <v>103809</v>
      </c>
      <c r="D31" s="4" t="n">
        <v>0.01</v>
      </c>
      <c r="E31" s="3" t="n">
        <v>20</v>
      </c>
      <c r="F31" s="5" t="n">
        <f aca="false">IF(OR(C31="",D31="",E31="",N31="",C31&lt;=0,D31&lt;=0,E31&lt;=N31),"",ROUNDDOWN((C31*D31)/(E31-N31)/100,0)*100)</f>
        <v>800</v>
      </c>
      <c r="G31" s="6" t="str">
        <f aca="false">IF(OR(A31="",F31="",E31="",N31="",E31&lt;=N31,账户数据!$B$7=""),"",IF(账户数据!$B$9+IF(H31="",F31*(E31-N31),0)&gt;=账户数据!$B$7,"禁止开仓","允许开仓"))</f>
        <v>禁止开仓</v>
      </c>
      <c r="H31" s="7" t="n">
        <v>800</v>
      </c>
      <c r="I31" s="8" t="n">
        <v>46157</v>
      </c>
      <c r="J31" s="3" t="n">
        <v>22</v>
      </c>
      <c r="K31" s="3"/>
      <c r="L31" s="5" t="str">
        <f aca="false">IF(K31="","",H31)</f>
        <v/>
      </c>
      <c r="M31" s="8"/>
      <c r="N31" s="3" t="n">
        <v>18.75</v>
      </c>
      <c r="O31" s="3" t="n">
        <v>0</v>
      </c>
      <c r="P31" s="3" t="n">
        <v>5</v>
      </c>
      <c r="Q31" s="9" t="s">
        <v>81</v>
      </c>
      <c r="R31" s="9" t="s">
        <v>143</v>
      </c>
      <c r="S31" s="9" t="s">
        <v>83</v>
      </c>
      <c r="T31" s="9"/>
      <c r="U31" s="10" t="n">
        <f aca="false">IF(OR(E31="",J31="",E31&lt;=0),"",(J31-E31)/E31)</f>
        <v>0.1</v>
      </c>
      <c r="V31" s="10" t="n">
        <f aca="false">IF(OR(E31="",N31="",E31&lt;=0),"",(E31-N31)/E31)</f>
        <v>0.0625</v>
      </c>
      <c r="W31" s="11" t="n">
        <f aca="false">IF(OR(U31="",V31="",V31&lt;=0),"",U31/V31)</f>
        <v>1.6</v>
      </c>
      <c r="X31" s="12" t="str">
        <f aca="false">IF(OR(K31="",L31="",E31="",H31=""),"",K31*L31-E31*H31-IF(O31="",0,O31)-IF(P31="",0,P31))</f>
        <v/>
      </c>
      <c r="Y31" s="10" t="str">
        <f aca="false">IF(OR(X31="",E31="",H31=""),"",IF(E31*H31+IF(O31="",0,O31)&lt;=0,"",X31/(E31*H31+IF(O31="",0,O31))))</f>
        <v/>
      </c>
      <c r="Z31" s="10" t="str">
        <f aca="false">IF(OR(Y31="",多次统计数据!$B$8=""),"",Y31-多次统计数据!$B$8)</f>
        <v/>
      </c>
      <c r="AA31" s="13" t="str">
        <f aca="false">IF(OR(I31="",M31="",M31&lt;I31),"",M31-I31)</f>
        <v/>
      </c>
      <c r="AB31" s="10" t="n">
        <f aca="false">IF(OR(A31="",多次统计数据!$B$8="",多次统计数据!$B$6&lt;=0,多次统计数据!$B$6&gt;=1),"",1-POWER(1+多次统计数据!$B$8,-多次统计数据!$B$6/(1-多次统计数据!$B$6)))</f>
        <v>0.119185074515542</v>
      </c>
      <c r="AC31" s="6" t="str">
        <f aca="false">IF(OR(AB31="",多次统计数据!$B$9=""),"",IF(多次统计数据!$B$9&lt;AB31,"低于上限","达到或超过上限"))</f>
        <v>低于上限</v>
      </c>
      <c r="AD31" s="2"/>
    </row>
    <row r="32" customFormat="false" ht="16.4" hidden="false" customHeight="false" outlineLevel="0" collapsed="false">
      <c r="A32" s="2" t="s">
        <v>144</v>
      </c>
      <c r="B32" s="2" t="s">
        <v>31</v>
      </c>
      <c r="C32" s="3" t="n">
        <v>103809</v>
      </c>
      <c r="D32" s="4" t="n">
        <v>0.01</v>
      </c>
      <c r="E32" s="3" t="n">
        <v>21.25</v>
      </c>
      <c r="F32" s="5" t="n">
        <f aca="false">IF(OR(C32="",D32="",E32="",N32="",C32&lt;=0,D32&lt;=0,E32&lt;=N32),"",ROUNDDOWN((C32*D32)/(E32-N32)/100,0)*100)</f>
        <v>600</v>
      </c>
      <c r="G32" s="6" t="str">
        <f aca="false">IF(OR(A32="",F32="",E32="",N32="",E32&lt;=N32,账户数据!$B$7=""),"",IF(账户数据!$B$9+IF(H32="",F32*(E32-N32),0)&gt;=账户数据!$B$7,"禁止开仓","允许开仓"))</f>
        <v>禁止开仓</v>
      </c>
      <c r="H32" s="7" t="n">
        <v>100</v>
      </c>
      <c r="I32" s="8" t="n">
        <v>46158</v>
      </c>
      <c r="J32" s="3" t="n">
        <v>23.38</v>
      </c>
      <c r="K32" s="3" t="n">
        <v>24.01</v>
      </c>
      <c r="L32" s="5" t="n">
        <f aca="false">IF(K32="","",H32)</f>
        <v>100</v>
      </c>
      <c r="M32" s="8" t="n">
        <v>46162</v>
      </c>
      <c r="N32" s="3" t="n">
        <v>19.75</v>
      </c>
      <c r="O32" s="3" t="n">
        <v>5</v>
      </c>
      <c r="P32" s="3" t="n">
        <v>5</v>
      </c>
      <c r="Q32" s="9" t="s">
        <v>85</v>
      </c>
      <c r="R32" s="9" t="s">
        <v>145</v>
      </c>
      <c r="S32" s="9" t="s">
        <v>87</v>
      </c>
      <c r="T32" s="9" t="s">
        <v>35</v>
      </c>
      <c r="U32" s="10" t="n">
        <f aca="false">IF(OR(E32="",J32="",E32&lt;=0),"",(J32-E32)/E32)</f>
        <v>0.100235294117647</v>
      </c>
      <c r="V32" s="10" t="n">
        <f aca="false">IF(OR(E32="",N32="",E32&lt;=0),"",(E32-N32)/E32)</f>
        <v>0.0705882352941177</v>
      </c>
      <c r="W32" s="11" t="n">
        <f aca="false">IF(OR(U32="",V32="",V32&lt;=0),"",U32/V32)</f>
        <v>1.42</v>
      </c>
      <c r="X32" s="12" t="n">
        <f aca="false">IF(OR(K32="",L32="",E32="",H32=""),"",K32*L32-E32*H32-IF(O32="",0,O32)-IF(P32="",0,P32))</f>
        <v>266</v>
      </c>
      <c r="Y32" s="10" t="n">
        <f aca="false">IF(OR(X32="",E32="",H32=""),"",IF(E32*H32+IF(O32="",0,O32)&lt;=0,"",X32/(E32*H32+IF(O32="",0,O32))))</f>
        <v>0.124882629107981</v>
      </c>
      <c r="Z32" s="10" t="n">
        <f aca="false">IF(OR(Y32="",多次统计数据!$B$8=""),"",Y32-多次统计数据!$B$8)</f>
        <v>-0.00324846096492369</v>
      </c>
      <c r="AA32" s="13" t="n">
        <f aca="false">IF(OR(I32="",M32="",M32&lt;I32),"",M32-I32)</f>
        <v>4</v>
      </c>
      <c r="AB32" s="10" t="n">
        <f aca="false">IF(OR(A32="",多次统计数据!$B$8="",多次统计数据!$B$6&lt;=0,多次统计数据!$B$6&gt;=1),"",1-POWER(1+多次统计数据!$B$8,-多次统计数据!$B$6/(1-多次统计数据!$B$6)))</f>
        <v>0.119185074515542</v>
      </c>
      <c r="AC32" s="6" t="str">
        <f aca="false">IF(OR(AB32="",多次统计数据!$B$9=""),"",IF(多次统计数据!$B$9&lt;AB32,"低于上限","达到或超过上限"))</f>
        <v>低于上限</v>
      </c>
      <c r="AD32" s="2" t="s">
        <v>36</v>
      </c>
    </row>
    <row r="33" customFormat="false" ht="16.4" hidden="false" customHeight="false" outlineLevel="0" collapsed="false">
      <c r="A33" s="2" t="s">
        <v>146</v>
      </c>
      <c r="B33" s="2" t="s">
        <v>38</v>
      </c>
      <c r="C33" s="3" t="n">
        <v>104075</v>
      </c>
      <c r="D33" s="4" t="n">
        <v>0.01</v>
      </c>
      <c r="E33" s="3" t="n">
        <v>22.5</v>
      </c>
      <c r="F33" s="5" t="n">
        <f aca="false">IF(OR(C33="",D33="",E33="",N33="",C33&lt;=0,D33&lt;=0,E33&lt;=N33),"",ROUNDDOWN((C33*D33)/(E33-N33)/100,0)*100)</f>
        <v>1300</v>
      </c>
      <c r="G33" s="6" t="str">
        <f aca="false">IF(OR(A33="",F33="",E33="",N33="",E33&lt;=N33,账户数据!$B$7=""),"",IF(账户数据!$B$9+IF(H33="",F33*(E33-N33),0)&gt;=账户数据!$B$7,"禁止开仓","允许开仓"))</f>
        <v>禁止开仓</v>
      </c>
      <c r="H33" s="7" t="n">
        <v>500</v>
      </c>
      <c r="I33" s="8" t="n">
        <v>46159</v>
      </c>
      <c r="J33" s="3" t="n">
        <v>24.75</v>
      </c>
      <c r="K33" s="3" t="n">
        <v>25.65</v>
      </c>
      <c r="L33" s="5" t="n">
        <f aca="false">IF(K33="","",H33)</f>
        <v>500</v>
      </c>
      <c r="M33" s="8" t="n">
        <v>46164</v>
      </c>
      <c r="N33" s="3" t="n">
        <v>21.75</v>
      </c>
      <c r="O33" s="3" t="n">
        <v>5</v>
      </c>
      <c r="P33" s="3" t="n">
        <v>0</v>
      </c>
      <c r="Q33" s="9" t="s">
        <v>89</v>
      </c>
      <c r="R33" s="9" t="s">
        <v>147</v>
      </c>
      <c r="S33" s="9" t="s">
        <v>91</v>
      </c>
      <c r="T33" s="9" t="s">
        <v>35</v>
      </c>
      <c r="U33" s="10" t="n">
        <f aca="false">IF(OR(E33="",J33="",E33&lt;=0),"",(J33-E33)/E33)</f>
        <v>0.1</v>
      </c>
      <c r="V33" s="10" t="n">
        <f aca="false">IF(OR(E33="",N33="",E33&lt;=0),"",(E33-N33)/E33)</f>
        <v>0.0333333333333333</v>
      </c>
      <c r="W33" s="11" t="n">
        <f aca="false">IF(OR(U33="",V33="",V33&lt;=0),"",U33/V33)</f>
        <v>3</v>
      </c>
      <c r="X33" s="12" t="n">
        <f aca="false">IF(OR(K33="",L33="",E33="",H33=""),"",K33*L33-E33*H33-IF(O33="",0,O33)-IF(P33="",0,P33))</f>
        <v>1570</v>
      </c>
      <c r="Y33" s="10" t="n">
        <f aca="false">IF(OR(X33="",E33="",H33=""),"",IF(E33*H33+IF(O33="",0,O33)&lt;=0,"",X33/(E33*H33+IF(O33="",0,O33))))</f>
        <v>0.139493558418481</v>
      </c>
      <c r="Z33" s="10" t="n">
        <f aca="false">IF(OR(Y33="",多次统计数据!$B$8=""),"",Y33-多次统计数据!$B$8)</f>
        <v>0.0113624683455758</v>
      </c>
      <c r="AA33" s="13" t="n">
        <f aca="false">IF(OR(I33="",M33="",M33&lt;I33),"",M33-I33)</f>
        <v>5</v>
      </c>
      <c r="AB33" s="10" t="n">
        <f aca="false">IF(OR(A33="",多次统计数据!$B$8="",多次统计数据!$B$6&lt;=0,多次统计数据!$B$6&gt;=1),"",1-POWER(1+多次统计数据!$B$8,-多次统计数据!$B$6/(1-多次统计数据!$B$6)))</f>
        <v>0.119185074515542</v>
      </c>
      <c r="AC33" s="6" t="str">
        <f aca="false">IF(OR(AB33="",多次统计数据!$B$9=""),"",IF(多次统计数据!$B$9&lt;AB33,"低于上限","达到或超过上限"))</f>
        <v>低于上限</v>
      </c>
      <c r="AD33" s="2" t="s">
        <v>36</v>
      </c>
    </row>
    <row r="34" customFormat="false" ht="31.3" hidden="false" customHeight="false" outlineLevel="0" collapsed="false">
      <c r="A34" s="2" t="s">
        <v>148</v>
      </c>
      <c r="B34" s="2" t="s">
        <v>43</v>
      </c>
      <c r="C34" s="3" t="n">
        <v>105645</v>
      </c>
      <c r="D34" s="4" t="n">
        <v>0.01</v>
      </c>
      <c r="E34" s="3" t="n">
        <v>10</v>
      </c>
      <c r="F34" s="5" t="n">
        <f aca="false">IF(OR(C34="",D34="",E34="",N34="",C34&lt;=0,D34&lt;=0,E34&lt;=N34),"",ROUNDDOWN((C34*D34)/(E34-N34)/100,0)*100)</f>
        <v>1000</v>
      </c>
      <c r="G34" s="6" t="str">
        <f aca="false">IF(OR(A34="",F34="",E34="",N34="",E34&lt;=N34,账户数据!$B$7=""),"",IF(账户数据!$B$9+IF(H34="",F34*(E34-N34),0)&gt;=账户数据!$B$7,"禁止开仓","允许开仓"))</f>
        <v>禁止开仓</v>
      </c>
      <c r="H34" s="7" t="n">
        <v>600</v>
      </c>
      <c r="I34" s="8" t="n">
        <v>46160</v>
      </c>
      <c r="J34" s="3" t="n">
        <v>11</v>
      </c>
      <c r="K34" s="3" t="n">
        <v>11.2</v>
      </c>
      <c r="L34" s="5" t="n">
        <f aca="false">IF(K34="","",H34)</f>
        <v>600</v>
      </c>
      <c r="M34" s="8" t="n">
        <v>46166</v>
      </c>
      <c r="N34" s="3" t="n">
        <v>9</v>
      </c>
      <c r="O34" s="3" t="n">
        <v>0</v>
      </c>
      <c r="P34" s="3" t="n">
        <v>5</v>
      </c>
      <c r="Q34" s="9" t="s">
        <v>93</v>
      </c>
      <c r="R34" s="9" t="s">
        <v>149</v>
      </c>
      <c r="S34" s="9" t="s">
        <v>95</v>
      </c>
      <c r="T34" s="9" t="s">
        <v>35</v>
      </c>
      <c r="U34" s="10" t="n">
        <f aca="false">IF(OR(E34="",J34="",E34&lt;=0),"",(J34-E34)/E34)</f>
        <v>0.1</v>
      </c>
      <c r="V34" s="10" t="n">
        <f aca="false">IF(OR(E34="",N34="",E34&lt;=0),"",(E34-N34)/E34)</f>
        <v>0.1</v>
      </c>
      <c r="W34" s="11" t="n">
        <f aca="false">IF(OR(U34="",V34="",V34&lt;=0),"",U34/V34)</f>
        <v>1</v>
      </c>
      <c r="X34" s="12" t="n">
        <f aca="false">IF(OR(K34="",L34="",E34="",H34=""),"",K34*L34-E34*H34-IF(O34="",0,O34)-IF(P34="",0,P34))</f>
        <v>715</v>
      </c>
      <c r="Y34" s="10" t="n">
        <f aca="false">IF(OR(X34="",E34="",H34=""),"",IF(E34*H34+IF(O34="",0,O34)&lt;=0,"",X34/(E34*H34+IF(O34="",0,O34))))</f>
        <v>0.119166666666667</v>
      </c>
      <c r="Z34" s="10" t="n">
        <f aca="false">IF(OR(Y34="",多次统计数据!$B$8=""),"",Y34-多次统计数据!$B$8)</f>
        <v>-0.00896442340623824</v>
      </c>
      <c r="AA34" s="13" t="n">
        <f aca="false">IF(OR(I34="",M34="",M34&lt;I34),"",M34-I34)</f>
        <v>6</v>
      </c>
      <c r="AB34" s="10" t="n">
        <f aca="false">IF(OR(A34="",多次统计数据!$B$8="",多次统计数据!$B$6&lt;=0,多次统计数据!$B$6&gt;=1),"",1-POWER(1+多次统计数据!$B$8,-多次统计数据!$B$6/(1-多次统计数据!$B$6)))</f>
        <v>0.119185074515542</v>
      </c>
      <c r="AC34" s="6" t="str">
        <f aca="false">IF(OR(AB34="",多次统计数据!$B$9=""),"",IF(多次统计数据!$B$9&lt;AB34,"低于上限","达到或超过上限"))</f>
        <v>低于上限</v>
      </c>
      <c r="AD34" s="2" t="s">
        <v>36</v>
      </c>
    </row>
    <row r="35" customFormat="false" ht="31.3" hidden="false" customHeight="false" outlineLevel="0" collapsed="false">
      <c r="A35" s="2" t="s">
        <v>150</v>
      </c>
      <c r="B35" s="2" t="s">
        <v>48</v>
      </c>
      <c r="C35" s="3" t="n">
        <v>106360</v>
      </c>
      <c r="D35" s="4" t="n">
        <v>0.01</v>
      </c>
      <c r="E35" s="3" t="n">
        <v>11.25</v>
      </c>
      <c r="F35" s="5" t="n">
        <f aca="false">IF(OR(C35="",D35="",E35="",N35="",C35&lt;=0,D35&lt;=0,E35&lt;=N35),"",ROUNDDOWN((C35*D35)/(E35-N35)/100,0)*100)</f>
        <v>800</v>
      </c>
      <c r="G35" s="6" t="str">
        <f aca="false">IF(OR(A35="",F35="",E35="",N35="",E35&lt;=N35,账户数据!$B$7=""),"",IF(账户数据!$B$9+IF(H35="",F35*(E35-N35),0)&gt;=账户数据!$B$7,"禁止开仓","允许开仓"))</f>
        <v>禁止开仓</v>
      </c>
      <c r="H35" s="7" t="n">
        <v>600</v>
      </c>
      <c r="I35" s="8" t="n">
        <v>46161</v>
      </c>
      <c r="J35" s="3" t="n">
        <v>12.38</v>
      </c>
      <c r="K35" s="3" t="n">
        <v>12.71</v>
      </c>
      <c r="L35" s="5" t="n">
        <f aca="false">IF(K35="","",H35)</f>
        <v>600</v>
      </c>
      <c r="M35" s="8" t="n">
        <v>46168</v>
      </c>
      <c r="N35" s="3" t="n">
        <v>10</v>
      </c>
      <c r="O35" s="3" t="n">
        <v>5</v>
      </c>
      <c r="P35" s="3" t="n">
        <v>5</v>
      </c>
      <c r="Q35" s="9" t="s">
        <v>97</v>
      </c>
      <c r="R35" s="9" t="s">
        <v>151</v>
      </c>
      <c r="S35" s="9" t="s">
        <v>99</v>
      </c>
      <c r="T35" s="9" t="s">
        <v>35</v>
      </c>
      <c r="U35" s="10" t="n">
        <f aca="false">IF(OR(E35="",J35="",E35&lt;=0),"",(J35-E35)/E35)</f>
        <v>0.100444444444445</v>
      </c>
      <c r="V35" s="10" t="n">
        <f aca="false">IF(OR(E35="",N35="",E35&lt;=0),"",(E35-N35)/E35)</f>
        <v>0.111111111111111</v>
      </c>
      <c r="W35" s="11" t="n">
        <f aca="false">IF(OR(U35="",V35="",V35&lt;=0),"",U35/V35)</f>
        <v>0.904000000000001</v>
      </c>
      <c r="X35" s="12" t="n">
        <f aca="false">IF(OR(K35="",L35="",E35="",H35=""),"",K35*L35-E35*H35-IF(O35="",0,O35)-IF(P35="",0,P35))</f>
        <v>866.000000000001</v>
      </c>
      <c r="Y35" s="10" t="n">
        <f aca="false">IF(OR(X35="",E35="",H35=""),"",IF(E35*H35+IF(O35="",0,O35)&lt;=0,"",X35/(E35*H35+IF(O35="",0,O35))))</f>
        <v>0.12820133234641</v>
      </c>
      <c r="Z35" s="10" t="n">
        <f aca="false">IF(OR(Y35="",多次统计数据!$B$8=""),"",Y35-多次统计数据!$B$8)</f>
        <v>7.02422735052999E-005</v>
      </c>
      <c r="AA35" s="13" t="n">
        <f aca="false">IF(OR(I35="",M35="",M35&lt;I35),"",M35-I35)</f>
        <v>7</v>
      </c>
      <c r="AB35" s="10" t="n">
        <f aca="false">IF(OR(A35="",多次统计数据!$B$8="",多次统计数据!$B$6&lt;=0,多次统计数据!$B$6&gt;=1),"",1-POWER(1+多次统计数据!$B$8,-多次统计数据!$B$6/(1-多次统计数据!$B$6)))</f>
        <v>0.119185074515542</v>
      </c>
      <c r="AC35" s="6" t="str">
        <f aca="false">IF(OR(AB35="",多次统计数据!$B$9=""),"",IF(多次统计数据!$B$9&lt;AB35,"低于上限","达到或超过上限"))</f>
        <v>低于上限</v>
      </c>
      <c r="AD35" s="2" t="s">
        <v>36</v>
      </c>
    </row>
    <row r="36" customFormat="false" ht="31.3" hidden="false" customHeight="false" outlineLevel="0" collapsed="false">
      <c r="A36" s="2" t="s">
        <v>152</v>
      </c>
      <c r="B36" s="2" t="s">
        <v>53</v>
      </c>
      <c r="C36" s="3" t="n">
        <v>107226</v>
      </c>
      <c r="D36" s="4" t="n">
        <v>0.01</v>
      </c>
      <c r="E36" s="3" t="n">
        <v>12.5</v>
      </c>
      <c r="F36" s="5" t="n">
        <f aca="false">IF(OR(C36="",D36="",E36="",N36="",C36&lt;=0,D36&lt;=0,E36&lt;=N36),"",ROUNDDOWN((C36*D36)/(E36-N36)/100,0)*100)</f>
        <v>700</v>
      </c>
      <c r="G36" s="6" t="str">
        <f aca="false">IF(OR(A36="",F36="",E36="",N36="",E36&lt;=N36,账户数据!$B$7=""),"",IF(账户数据!$B$9+IF(H36="",F36*(E36-N36),0)&gt;=账户数据!$B$7,"禁止开仓","允许开仓"))</f>
        <v>禁止开仓</v>
      </c>
      <c r="H36" s="7" t="n">
        <v>700</v>
      </c>
      <c r="I36" s="8" t="n">
        <v>46162</v>
      </c>
      <c r="J36" s="3" t="n">
        <v>13.75</v>
      </c>
      <c r="K36" s="3" t="n">
        <v>11</v>
      </c>
      <c r="L36" s="5" t="n">
        <f aca="false">IF(K36="","",H36)</f>
        <v>700</v>
      </c>
      <c r="M36" s="8" t="n">
        <v>46163</v>
      </c>
      <c r="N36" s="3" t="n">
        <v>11</v>
      </c>
      <c r="O36" s="3" t="n">
        <v>5</v>
      </c>
      <c r="P36" s="3" t="n">
        <v>5</v>
      </c>
      <c r="Q36" s="9" t="s">
        <v>101</v>
      </c>
      <c r="R36" s="9" t="s">
        <v>153</v>
      </c>
      <c r="S36" s="9" t="s">
        <v>103</v>
      </c>
      <c r="T36" s="9" t="s">
        <v>35</v>
      </c>
      <c r="U36" s="10" t="n">
        <f aca="false">IF(OR(E36="",J36="",E36&lt;=0),"",(J36-E36)/E36)</f>
        <v>0.1</v>
      </c>
      <c r="V36" s="10" t="n">
        <f aca="false">IF(OR(E36="",N36="",E36&lt;=0),"",(E36-N36)/E36)</f>
        <v>0.12</v>
      </c>
      <c r="W36" s="11" t="n">
        <f aca="false">IF(OR(U36="",V36="",V36&lt;=0),"",U36/V36)</f>
        <v>0.833333333333333</v>
      </c>
      <c r="X36" s="12" t="n">
        <f aca="false">IF(OR(K36="",L36="",E36="",H36=""),"",K36*L36-E36*H36-IF(O36="",0,O36)-IF(P36="",0,P36))</f>
        <v>-1060</v>
      </c>
      <c r="Y36" s="10" t="n">
        <f aca="false">IF(OR(X36="",E36="",H36=""),"",IF(E36*H36+IF(O36="",0,O36)&lt;=0,"",X36/(E36*H36+IF(O36="",0,O36))))</f>
        <v>-0.121073672187322</v>
      </c>
      <c r="Z36" s="10" t="n">
        <f aca="false">IF(OR(Y36="",多次统计数据!$B$8=""),"",Y36-多次统计数据!$B$8)</f>
        <v>-0.249204762260226</v>
      </c>
      <c r="AA36" s="13" t="n">
        <f aca="false">IF(OR(I36="",M36="",M36&lt;I36),"",M36-I36)</f>
        <v>1</v>
      </c>
      <c r="AB36" s="10" t="n">
        <f aca="false">IF(OR(A36="",多次统计数据!$B$8="",多次统计数据!$B$6&lt;=0,多次统计数据!$B$6&gt;=1),"",1-POWER(1+多次统计数据!$B$8,-多次统计数据!$B$6/(1-多次统计数据!$B$6)))</f>
        <v>0.119185074515542</v>
      </c>
      <c r="AC36" s="6" t="str">
        <f aca="false">IF(OR(AB36="",多次统计数据!$B$9=""),"",IF(多次统计数据!$B$9&lt;AB36,"低于上限","达到或超过上限"))</f>
        <v>低于上限</v>
      </c>
      <c r="AD36" s="2" t="s">
        <v>57</v>
      </c>
    </row>
    <row r="37" customFormat="false" ht="31.3" hidden="false" customHeight="false" outlineLevel="0" collapsed="false">
      <c r="A37" s="2" t="s">
        <v>154</v>
      </c>
      <c r="B37" s="2" t="s">
        <v>59</v>
      </c>
      <c r="C37" s="3" t="n">
        <v>106166</v>
      </c>
      <c r="D37" s="4" t="n">
        <v>0.01</v>
      </c>
      <c r="E37" s="3" t="n">
        <v>13.75</v>
      </c>
      <c r="F37" s="5" t="n">
        <f aca="false">IF(OR(C37="",D37="",E37="",N37="",C37&lt;=0,D37&lt;=0,E37&lt;=N37),"",ROUNDDOWN((C37*D37)/(E37-N37)/100,0)*100)</f>
        <v>1400</v>
      </c>
      <c r="G37" s="6" t="str">
        <f aca="false">IF(OR(A37="",F37="",E37="",N37="",E37&lt;=N37,账户数据!$B$7=""),"",IF(账户数据!$B$9+IF(H37="",F37*(E37-N37),0)&gt;=账户数据!$B$7,"禁止开仓","允许开仓"))</f>
        <v>禁止开仓</v>
      </c>
      <c r="H37" s="7" t="n">
        <v>200</v>
      </c>
      <c r="I37" s="8" t="n">
        <v>46163</v>
      </c>
      <c r="J37" s="3" t="n">
        <v>15.13</v>
      </c>
      <c r="K37" s="3" t="n">
        <v>13</v>
      </c>
      <c r="L37" s="5" t="n">
        <f aca="false">IF(K37="","",H37)</f>
        <v>200</v>
      </c>
      <c r="M37" s="8" t="n">
        <v>46165</v>
      </c>
      <c r="N37" s="3" t="n">
        <v>13</v>
      </c>
      <c r="O37" s="3" t="n">
        <v>0</v>
      </c>
      <c r="P37" s="3" t="n">
        <v>0</v>
      </c>
      <c r="Q37" s="9" t="s">
        <v>105</v>
      </c>
      <c r="R37" s="9" t="s">
        <v>155</v>
      </c>
      <c r="S37" s="9" t="s">
        <v>107</v>
      </c>
      <c r="T37" s="9" t="s">
        <v>35</v>
      </c>
      <c r="U37" s="10" t="n">
        <f aca="false">IF(OR(E37="",J37="",E37&lt;=0),"",(J37-E37)/E37)</f>
        <v>0.100363636363636</v>
      </c>
      <c r="V37" s="10" t="n">
        <f aca="false">IF(OR(E37="",N37="",E37&lt;=0),"",(E37-N37)/E37)</f>
        <v>0.0545454545454545</v>
      </c>
      <c r="W37" s="11" t="n">
        <f aca="false">IF(OR(U37="",V37="",V37&lt;=0),"",U37/V37)</f>
        <v>1.84</v>
      </c>
      <c r="X37" s="12" t="n">
        <f aca="false">IF(OR(K37="",L37="",E37="",H37=""),"",K37*L37-E37*H37-IF(O37="",0,O37)-IF(P37="",0,P37))</f>
        <v>-150</v>
      </c>
      <c r="Y37" s="10" t="n">
        <f aca="false">IF(OR(X37="",E37="",H37=""),"",IF(E37*H37+IF(O37="",0,O37)&lt;=0,"",X37/(E37*H37+IF(O37="",0,O37))))</f>
        <v>-0.0545454545454545</v>
      </c>
      <c r="Z37" s="10" t="n">
        <f aca="false">IF(OR(Y37="",多次统计数据!$B$8=""),"",Y37-多次统计数据!$B$8)</f>
        <v>-0.182676544618359</v>
      </c>
      <c r="AA37" s="13" t="n">
        <f aca="false">IF(OR(I37="",M37="",M37&lt;I37),"",M37-I37)</f>
        <v>2</v>
      </c>
      <c r="AB37" s="10" t="n">
        <f aca="false">IF(OR(A37="",多次统计数据!$B$8="",多次统计数据!$B$6&lt;=0,多次统计数据!$B$6&gt;=1),"",1-POWER(1+多次统计数据!$B$8,-多次统计数据!$B$6/(1-多次统计数据!$B$6)))</f>
        <v>0.119185074515542</v>
      </c>
      <c r="AC37" s="6" t="str">
        <f aca="false">IF(OR(AB37="",多次统计数据!$B$9=""),"",IF(多次统计数据!$B$9&lt;AB37,"低于上限","达到或超过上限"))</f>
        <v>低于上限</v>
      </c>
      <c r="AD37" s="2" t="s">
        <v>57</v>
      </c>
    </row>
    <row r="38" customFormat="false" ht="16.4" hidden="false" customHeight="false" outlineLevel="0" collapsed="false">
      <c r="A38" s="2" t="s">
        <v>156</v>
      </c>
      <c r="B38" s="2" t="s">
        <v>64</v>
      </c>
      <c r="C38" s="3" t="n">
        <v>106016</v>
      </c>
      <c r="D38" s="4" t="n">
        <v>0.01</v>
      </c>
      <c r="E38" s="3" t="n">
        <v>15</v>
      </c>
      <c r="F38" s="5" t="n">
        <f aca="false">IF(OR(C38="",D38="",E38="",N38="",C38&lt;=0,D38&lt;=0,E38&lt;=N38),"",ROUNDDOWN((C38*D38)/(E38-N38)/100,0)*100)</f>
        <v>1000</v>
      </c>
      <c r="G38" s="6" t="str">
        <f aca="false">IF(OR(A38="",F38="",E38="",N38="",E38&lt;=N38,账户数据!$B$7=""),"",IF(账户数据!$B$9+IF(H38="",F38*(E38-N38),0)&gt;=账户数据!$B$7,"禁止开仓","允许开仓"))</f>
        <v>禁止开仓</v>
      </c>
      <c r="H38" s="7" t="n">
        <v>400</v>
      </c>
      <c r="I38" s="8" t="n">
        <v>46164</v>
      </c>
      <c r="J38" s="3" t="n">
        <v>16.5</v>
      </c>
      <c r="K38" s="3" t="n">
        <v>14</v>
      </c>
      <c r="L38" s="5" t="n">
        <f aca="false">IF(K38="","",H38)</f>
        <v>400</v>
      </c>
      <c r="M38" s="8" t="n">
        <v>46167</v>
      </c>
      <c r="N38" s="3" t="n">
        <v>14</v>
      </c>
      <c r="O38" s="3" t="n">
        <v>5</v>
      </c>
      <c r="P38" s="3" t="n">
        <v>5</v>
      </c>
      <c r="Q38" s="2" t="s">
        <v>109</v>
      </c>
      <c r="R38" s="9" t="s">
        <v>157</v>
      </c>
      <c r="S38" s="9" t="s">
        <v>111</v>
      </c>
      <c r="T38" s="9" t="s">
        <v>35</v>
      </c>
      <c r="U38" s="10" t="n">
        <f aca="false">IF(OR(E38="",J38="",E38&lt;=0),"",(J38-E38)/E38)</f>
        <v>0.1</v>
      </c>
      <c r="V38" s="10" t="n">
        <f aca="false">IF(OR(E38="",N38="",E38&lt;=0),"",(E38-N38)/E38)</f>
        <v>0.0666666666666667</v>
      </c>
      <c r="W38" s="11" t="n">
        <f aca="false">IF(OR(U38="",V38="",V38&lt;=0),"",U38/V38)</f>
        <v>1.5</v>
      </c>
      <c r="X38" s="12" t="n">
        <f aca="false">IF(OR(K38="",L38="",E38="",H38=""),"",K38*L38-E38*H38-IF(O38="",0,O38)-IF(P38="",0,P38))</f>
        <v>-410</v>
      </c>
      <c r="Y38" s="10" t="n">
        <f aca="false">IF(OR(X38="",E38="",H38=""),"",IF(E38*H38+IF(O38="",0,O38)&lt;=0,"",X38/(E38*H38+IF(O38="",0,O38))))</f>
        <v>-0.0682764363030808</v>
      </c>
      <c r="Z38" s="10" t="n">
        <f aca="false">IF(OR(Y38="",多次统计数据!$B$8=""),"",Y38-多次统计数据!$B$8)</f>
        <v>-0.196407526375986</v>
      </c>
      <c r="AA38" s="13" t="n">
        <f aca="false">IF(OR(I38="",M38="",M38&lt;I38),"",M38-I38)</f>
        <v>3</v>
      </c>
      <c r="AB38" s="10" t="n">
        <f aca="false">IF(OR(A38="",多次统计数据!$B$8="",多次统计数据!$B$6&lt;=0,多次统计数据!$B$6&gt;=1),"",1-POWER(1+多次统计数据!$B$8,-多次统计数据!$B$6/(1-多次统计数据!$B$6)))</f>
        <v>0.119185074515542</v>
      </c>
      <c r="AC38" s="6" t="str">
        <f aca="false">IF(OR(AB38="",多次统计数据!$B$9=""),"",IF(多次统计数据!$B$9&lt;AB38,"低于上限","达到或超过上限"))</f>
        <v>低于上限</v>
      </c>
      <c r="AD38" s="2" t="s">
        <v>57</v>
      </c>
    </row>
    <row r="39" customFormat="false" ht="16.4" hidden="false" customHeight="false" outlineLevel="0" collapsed="false">
      <c r="A39" s="2" t="s">
        <v>158</v>
      </c>
      <c r="B39" s="2" t="s">
        <v>69</v>
      </c>
      <c r="C39" s="3" t="n">
        <v>105606</v>
      </c>
      <c r="D39" s="4" t="n">
        <v>0.01</v>
      </c>
      <c r="E39" s="3" t="n">
        <v>16.25</v>
      </c>
      <c r="F39" s="5" t="n">
        <f aca="false">IF(OR(C39="",D39="",E39="",N39="",C39&lt;=0,D39&lt;=0,E39&lt;=N39),"",ROUNDDOWN((C39*D39)/(E39-N39)/100,0)*100)</f>
        <v>800</v>
      </c>
      <c r="G39" s="6" t="str">
        <f aca="false">IF(OR(A39="",F39="",E39="",N39="",E39&lt;=N39,账户数据!$B$7=""),"",IF(账户数据!$B$9+IF(H39="",F39*(E39-N39),0)&gt;=账户数据!$B$7,"禁止开仓","允许开仓"))</f>
        <v>禁止开仓</v>
      </c>
      <c r="H39" s="7" t="n">
        <v>400</v>
      </c>
      <c r="I39" s="8" t="n">
        <v>46165</v>
      </c>
      <c r="J39" s="3" t="n">
        <v>17.88</v>
      </c>
      <c r="K39" s="3" t="n">
        <v>15</v>
      </c>
      <c r="L39" s="5" t="n">
        <f aca="false">IF(K39="","",H39)</f>
        <v>400</v>
      </c>
      <c r="M39" s="8" t="n">
        <v>46169</v>
      </c>
      <c r="N39" s="3" t="n">
        <v>15</v>
      </c>
      <c r="O39" s="3" t="n">
        <v>5</v>
      </c>
      <c r="P39" s="3" t="n">
        <v>5</v>
      </c>
      <c r="Q39" s="9" t="s">
        <v>113</v>
      </c>
      <c r="R39" s="9" t="s">
        <v>159</v>
      </c>
      <c r="S39" s="9" t="s">
        <v>115</v>
      </c>
      <c r="T39" s="9" t="s">
        <v>35</v>
      </c>
      <c r="U39" s="10" t="n">
        <f aca="false">IF(OR(E39="",J39="",E39&lt;=0),"",(J39-E39)/E39)</f>
        <v>0.100307692307692</v>
      </c>
      <c r="V39" s="10" t="n">
        <f aca="false">IF(OR(E39="",N39="",E39&lt;=0),"",(E39-N39)/E39)</f>
        <v>0.0769230769230769</v>
      </c>
      <c r="W39" s="11" t="n">
        <f aca="false">IF(OR(U39="",V39="",V39&lt;=0),"",U39/V39)</f>
        <v>1.304</v>
      </c>
      <c r="X39" s="12" t="n">
        <f aca="false">IF(OR(K39="",L39="",E39="",H39=""),"",K39*L39-E39*H39-IF(O39="",0,O39)-IF(P39="",0,P39))</f>
        <v>-510</v>
      </c>
      <c r="Y39" s="10" t="n">
        <f aca="false">IF(OR(X39="",E39="",H39=""),"",IF(E39*H39+IF(O39="",0,O39)&lt;=0,"",X39/(E39*H39+IF(O39="",0,O39))))</f>
        <v>-0.0784012298232129</v>
      </c>
      <c r="Z39" s="10" t="n">
        <f aca="false">IF(OR(Y39="",多次统计数据!$B$8=""),"",Y39-多次统计数据!$B$8)</f>
        <v>-0.206532319896118</v>
      </c>
      <c r="AA39" s="13" t="n">
        <f aca="false">IF(OR(I39="",M39="",M39&lt;I39),"",M39-I39)</f>
        <v>4</v>
      </c>
      <c r="AB39" s="10" t="n">
        <f aca="false">IF(OR(A39="",多次统计数据!$B$8="",多次统计数据!$B$6&lt;=0,多次统计数据!$B$6&gt;=1),"",1-POWER(1+多次统计数据!$B$8,-多次统计数据!$B$6/(1-多次统计数据!$B$6)))</f>
        <v>0.119185074515542</v>
      </c>
      <c r="AC39" s="6" t="str">
        <f aca="false">IF(OR(AB39="",多次统计数据!$B$9=""),"",IF(多次统计数据!$B$9&lt;AB39,"低于上限","达到或超过上限"))</f>
        <v>低于上限</v>
      </c>
      <c r="AD39" s="2" t="s">
        <v>57</v>
      </c>
    </row>
    <row r="40" customFormat="false" ht="31.3" hidden="false" customHeight="false" outlineLevel="0" collapsed="false">
      <c r="A40" s="2" t="s">
        <v>160</v>
      </c>
      <c r="B40" s="2" t="s">
        <v>74</v>
      </c>
      <c r="C40" s="3" t="n">
        <v>105096</v>
      </c>
      <c r="D40" s="4" t="n">
        <v>0.01</v>
      </c>
      <c r="E40" s="3" t="n">
        <v>17.5</v>
      </c>
      <c r="F40" s="5" t="n">
        <f aca="false">IF(OR(C40="",D40="",E40="",N40="",C40&lt;=0,D40&lt;=0,E40&lt;=N40),"",ROUNDDOWN((C40*D40)/(E40-N40)/100,0)*100)</f>
        <v>700</v>
      </c>
      <c r="G40" s="6" t="str">
        <f aca="false">IF(OR(A40="",F40="",E40="",N40="",E40&lt;=N40,账户数据!$B$7=""),"",IF(账户数据!$B$9+IF(H40="",F40*(E40-N40),0)&gt;=账户数据!$B$7,"禁止开仓","允许开仓"))</f>
        <v>禁止开仓</v>
      </c>
      <c r="H40" s="7" t="n">
        <v>500</v>
      </c>
      <c r="I40" s="8" t="n">
        <v>46166</v>
      </c>
      <c r="J40" s="3" t="n">
        <v>19.25</v>
      </c>
      <c r="K40" s="3" t="n">
        <v>17.5</v>
      </c>
      <c r="L40" s="5" t="n">
        <f aca="false">IF(K40="","",H40)</f>
        <v>500</v>
      </c>
      <c r="M40" s="8" t="n">
        <v>46171</v>
      </c>
      <c r="N40" s="3" t="n">
        <v>16</v>
      </c>
      <c r="O40" s="3" t="n">
        <v>0</v>
      </c>
      <c r="P40" s="3" t="n">
        <v>0</v>
      </c>
      <c r="Q40" s="9" t="s">
        <v>117</v>
      </c>
      <c r="R40" s="9" t="s">
        <v>161</v>
      </c>
      <c r="S40" s="9" t="s">
        <v>119</v>
      </c>
      <c r="T40" s="9" t="s">
        <v>35</v>
      </c>
      <c r="U40" s="10" t="n">
        <f aca="false">IF(OR(E40="",J40="",E40&lt;=0),"",(J40-E40)/E40)</f>
        <v>0.1</v>
      </c>
      <c r="V40" s="10" t="n">
        <f aca="false">IF(OR(E40="",N40="",E40&lt;=0),"",(E40-N40)/E40)</f>
        <v>0.0857142857142857</v>
      </c>
      <c r="W40" s="11" t="n">
        <f aca="false">IF(OR(U40="",V40="",V40&lt;=0),"",U40/V40)</f>
        <v>1.16666666666667</v>
      </c>
      <c r="X40" s="12" t="n">
        <f aca="false">IF(OR(K40="",L40="",E40="",H40=""),"",K40*L40-E40*H40-IF(O40="",0,O40)-IF(P40="",0,P40))</f>
        <v>0</v>
      </c>
      <c r="Y40" s="10" t="n">
        <f aca="false">IF(OR(X40="",E40="",H40=""),"",IF(E40*H40+IF(O40="",0,O40)&lt;=0,"",X40/(E40*H40+IF(O40="",0,O40))))</f>
        <v>0</v>
      </c>
      <c r="Z40" s="10" t="n">
        <f aca="false">IF(OR(Y40="",多次统计数据!$B$8=""),"",Y40-多次统计数据!$B$8)</f>
        <v>-0.128131090072905</v>
      </c>
      <c r="AA40" s="13" t="n">
        <f aca="false">IF(OR(I40="",M40="",M40&lt;I40),"",M40-I40)</f>
        <v>5</v>
      </c>
      <c r="AB40" s="10" t="n">
        <f aca="false">IF(OR(A40="",多次统计数据!$B$8="",多次统计数据!$B$6&lt;=0,多次统计数据!$B$6&gt;=1),"",1-POWER(1+多次统计数据!$B$8,-多次统计数据!$B$6/(1-多次统计数据!$B$6)))</f>
        <v>0.119185074515542</v>
      </c>
      <c r="AC40" s="6" t="str">
        <f aca="false">IF(OR(AB40="",多次统计数据!$B$9=""),"",IF(多次统计数据!$B$9&lt;AB40,"低于上限","达到或超过上限"))</f>
        <v>低于上限</v>
      </c>
      <c r="AD40" s="2" t="s">
        <v>78</v>
      </c>
    </row>
    <row r="41" customFormat="false" ht="31.3" hidden="false" customHeight="false" outlineLevel="0" collapsed="false">
      <c r="A41" s="2" t="s">
        <v>162</v>
      </c>
      <c r="B41" s="2" t="s">
        <v>80</v>
      </c>
      <c r="C41" s="3" t="n">
        <v>105096</v>
      </c>
      <c r="D41" s="4" t="n">
        <v>0.01</v>
      </c>
      <c r="E41" s="3" t="n">
        <v>18.75</v>
      </c>
      <c r="F41" s="5" t="n">
        <f aca="false">IF(OR(C41="",D41="",E41="",N41="",C41&lt;=0,D41&lt;=0,E41&lt;=N41),"",ROUNDDOWN((C41*D41)/(E41-N41)/100,0)*100)</f>
        <v>1400</v>
      </c>
      <c r="G41" s="6" t="str">
        <f aca="false">IF(OR(A41="",F41="",E41="",N41="",E41&lt;=N41,账户数据!$B$7=""),"",IF(账户数据!$B$9+IF(H41="",F41*(E41-N41),0)&gt;=账户数据!$B$7,"禁止开仓","允许开仓"))</f>
        <v>禁止开仓</v>
      </c>
      <c r="H41" s="7" t="n">
        <v>1400</v>
      </c>
      <c r="I41" s="8" t="n">
        <v>46167</v>
      </c>
      <c r="J41" s="3" t="n">
        <v>20.62</v>
      </c>
      <c r="K41" s="3"/>
      <c r="L41" s="5" t="str">
        <f aca="false">IF(K41="","",H41)</f>
        <v/>
      </c>
      <c r="M41" s="8"/>
      <c r="N41" s="3" t="n">
        <v>18</v>
      </c>
      <c r="O41" s="3" t="n">
        <v>5</v>
      </c>
      <c r="P41" s="3" t="n">
        <v>0</v>
      </c>
      <c r="Q41" s="9" t="s">
        <v>121</v>
      </c>
      <c r="R41" s="9" t="s">
        <v>163</v>
      </c>
      <c r="S41" s="9" t="s">
        <v>123</v>
      </c>
      <c r="T41" s="9"/>
      <c r="U41" s="10" t="n">
        <f aca="false">IF(OR(E41="",J41="",E41&lt;=0),"",(J41-E41)/E41)</f>
        <v>0.0997333333333334</v>
      </c>
      <c r="V41" s="10" t="n">
        <f aca="false">IF(OR(E41="",N41="",E41&lt;=0),"",(E41-N41)/E41)</f>
        <v>0.04</v>
      </c>
      <c r="W41" s="11" t="n">
        <f aca="false">IF(OR(U41="",V41="",V41&lt;=0),"",U41/V41)</f>
        <v>2.49333333333333</v>
      </c>
      <c r="X41" s="12" t="str">
        <f aca="false">IF(OR(K41="",L41="",E41="",H41=""),"",K41*L41-E41*H41-IF(O41="",0,O41)-IF(P41="",0,P41))</f>
        <v/>
      </c>
      <c r="Y41" s="10" t="str">
        <f aca="false">IF(OR(X41="",E41="",H41=""),"",IF(E41*H41+IF(O41="",0,O41)&lt;=0,"",X41/(E41*H41+IF(O41="",0,O41))))</f>
        <v/>
      </c>
      <c r="Z41" s="10" t="str">
        <f aca="false">IF(OR(Y41="",多次统计数据!$B$8=""),"",Y41-多次统计数据!$B$8)</f>
        <v/>
      </c>
      <c r="AA41" s="13" t="str">
        <f aca="false">IF(OR(I41="",M41="",M41&lt;I41),"",M41-I41)</f>
        <v/>
      </c>
      <c r="AB41" s="10" t="n">
        <f aca="false">IF(OR(A41="",多次统计数据!$B$8="",多次统计数据!$B$6&lt;=0,多次统计数据!$B$6&gt;=1),"",1-POWER(1+多次统计数据!$B$8,-多次统计数据!$B$6/(1-多次统计数据!$B$6)))</f>
        <v>0.119185074515542</v>
      </c>
      <c r="AC41" s="6" t="str">
        <f aca="false">IF(OR(AB41="",多次统计数据!$B$9=""),"",IF(多次统计数据!$B$9&lt;AB41,"低于上限","达到或超过上限"))</f>
        <v>低于上限</v>
      </c>
      <c r="AD41" s="2"/>
    </row>
    <row r="42" customFormat="false" ht="16.4" hidden="false" customHeight="false" outlineLevel="0" collapsed="false">
      <c r="A42" s="2" t="s">
        <v>164</v>
      </c>
      <c r="B42" s="2" t="s">
        <v>31</v>
      </c>
      <c r="C42" s="3" t="n">
        <v>105096</v>
      </c>
      <c r="D42" s="4" t="n">
        <v>0.01</v>
      </c>
      <c r="E42" s="3" t="n">
        <v>20</v>
      </c>
      <c r="F42" s="5" t="n">
        <f aca="false">IF(OR(C42="",D42="",E42="",N42="",C42&lt;=0,D42&lt;=0,E42&lt;=N42),"",ROUNDDOWN((C42*D42)/(E42-N42)/100,0)*100)</f>
        <v>1000</v>
      </c>
      <c r="G42" s="6" t="str">
        <f aca="false">IF(OR(A42="",F42="",E42="",N42="",E42&lt;=N42,账户数据!$B$7=""),"",IF(账户数据!$B$9+IF(H42="",F42*(E42-N42),0)&gt;=账户数据!$B$7,"禁止开仓","允许开仓"))</f>
        <v>禁止开仓</v>
      </c>
      <c r="H42" s="7" t="n">
        <v>200</v>
      </c>
      <c r="I42" s="8" t="n">
        <v>46168</v>
      </c>
      <c r="J42" s="3" t="n">
        <v>22</v>
      </c>
      <c r="K42" s="3" t="n">
        <v>22.8</v>
      </c>
      <c r="L42" s="5" t="n">
        <f aca="false">IF(K42="","",H42)</f>
        <v>200</v>
      </c>
      <c r="M42" s="8" t="n">
        <v>46175</v>
      </c>
      <c r="N42" s="3" t="n">
        <v>19</v>
      </c>
      <c r="O42" s="3" t="n">
        <v>5</v>
      </c>
      <c r="P42" s="3" t="n">
        <v>5</v>
      </c>
      <c r="Q42" s="9" t="s">
        <v>32</v>
      </c>
      <c r="R42" s="9" t="s">
        <v>165</v>
      </c>
      <c r="S42" s="9" t="s">
        <v>34</v>
      </c>
      <c r="T42" s="9" t="s">
        <v>35</v>
      </c>
      <c r="U42" s="10" t="n">
        <f aca="false">IF(OR(E42="",J42="",E42&lt;=0),"",(J42-E42)/E42)</f>
        <v>0.1</v>
      </c>
      <c r="V42" s="10" t="n">
        <f aca="false">IF(OR(E42="",N42="",E42&lt;=0),"",(E42-N42)/E42)</f>
        <v>0.05</v>
      </c>
      <c r="W42" s="11" t="n">
        <f aca="false">IF(OR(U42="",V42="",V42&lt;=0),"",U42/V42)</f>
        <v>2</v>
      </c>
      <c r="X42" s="12" t="n">
        <f aca="false">IF(OR(K42="",L42="",E42="",H42=""),"",K42*L42-E42*H42-IF(O42="",0,O42)-IF(P42="",0,P42))</f>
        <v>550</v>
      </c>
      <c r="Y42" s="10" t="n">
        <f aca="false">IF(OR(X42="",E42="",H42=""),"",IF(E42*H42+IF(O42="",0,O42)&lt;=0,"",X42/(E42*H42+IF(O42="",0,O42))))</f>
        <v>0.137328339575531</v>
      </c>
      <c r="Z42" s="10" t="n">
        <f aca="false">IF(OR(Y42="",多次统计数据!$B$8=""),"",Y42-多次统计数据!$B$8)</f>
        <v>0.00919724950262568</v>
      </c>
      <c r="AA42" s="13" t="n">
        <f aca="false">IF(OR(I42="",M42="",M42&lt;I42),"",M42-I42)</f>
        <v>7</v>
      </c>
      <c r="AB42" s="10" t="n">
        <f aca="false">IF(OR(A42="",多次统计数据!$B$8="",多次统计数据!$B$6&lt;=0,多次统计数据!$B$6&gt;=1),"",1-POWER(1+多次统计数据!$B$8,-多次统计数据!$B$6/(1-多次统计数据!$B$6)))</f>
        <v>0.119185074515542</v>
      </c>
      <c r="AC42" s="6" t="str">
        <f aca="false">IF(OR(AB42="",多次统计数据!$B$9=""),"",IF(多次统计数据!$B$9&lt;AB42,"低于上限","达到或超过上限"))</f>
        <v>低于上限</v>
      </c>
      <c r="AD42" s="2" t="s">
        <v>36</v>
      </c>
    </row>
    <row r="43" customFormat="false" ht="16.4" hidden="false" customHeight="false" outlineLevel="0" collapsed="false">
      <c r="A43" s="2" t="s">
        <v>166</v>
      </c>
      <c r="B43" s="2" t="s">
        <v>38</v>
      </c>
      <c r="C43" s="3" t="n">
        <v>105646</v>
      </c>
      <c r="D43" s="4" t="n">
        <v>0.01</v>
      </c>
      <c r="E43" s="3" t="n">
        <v>21.25</v>
      </c>
      <c r="F43" s="5" t="n">
        <f aca="false">IF(OR(C43="",D43="",E43="",N43="",C43&lt;=0,D43&lt;=0,E43&lt;=N43),"",ROUNDDOWN((C43*D43)/(E43-N43)/100,0)*100)</f>
        <v>800</v>
      </c>
      <c r="G43" s="6" t="str">
        <f aca="false">IF(OR(A43="",F43="",E43="",N43="",E43&lt;=N43,账户数据!$B$7=""),"",IF(账户数据!$B$9+IF(H43="",F43*(E43-N43),0)&gt;=账户数据!$B$7,"禁止开仓","允许开仓"))</f>
        <v>禁止开仓</v>
      </c>
      <c r="H43" s="7" t="n">
        <v>300</v>
      </c>
      <c r="I43" s="8" t="n">
        <v>46169</v>
      </c>
      <c r="J43" s="3" t="n">
        <v>23.38</v>
      </c>
      <c r="K43" s="3" t="n">
        <v>23.8</v>
      </c>
      <c r="L43" s="5" t="n">
        <f aca="false">IF(K43="","",H43)</f>
        <v>300</v>
      </c>
      <c r="M43" s="8" t="n">
        <v>46170</v>
      </c>
      <c r="N43" s="3" t="n">
        <v>20</v>
      </c>
      <c r="O43" s="3" t="n">
        <v>0</v>
      </c>
      <c r="P43" s="3" t="n">
        <v>5</v>
      </c>
      <c r="Q43" s="9" t="s">
        <v>39</v>
      </c>
      <c r="R43" s="9" t="s">
        <v>167</v>
      </c>
      <c r="S43" s="9" t="s">
        <v>41</v>
      </c>
      <c r="T43" s="9" t="s">
        <v>35</v>
      </c>
      <c r="U43" s="10" t="n">
        <f aca="false">IF(OR(E43="",J43="",E43&lt;=0),"",(J43-E43)/E43)</f>
        <v>0.100235294117647</v>
      </c>
      <c r="V43" s="10" t="n">
        <f aca="false">IF(OR(E43="",N43="",E43&lt;=0),"",(E43-N43)/E43)</f>
        <v>0.0588235294117647</v>
      </c>
      <c r="W43" s="11" t="n">
        <f aca="false">IF(OR(U43="",V43="",V43&lt;=0),"",U43/V43)</f>
        <v>1.704</v>
      </c>
      <c r="X43" s="12" t="n">
        <f aca="false">IF(OR(K43="",L43="",E43="",H43=""),"",K43*L43-E43*H43-IF(O43="",0,O43)-IF(P43="",0,P43))</f>
        <v>760</v>
      </c>
      <c r="Y43" s="10" t="n">
        <f aca="false">IF(OR(X43="",E43="",H43=""),"",IF(E43*H43+IF(O43="",0,O43)&lt;=0,"",X43/(E43*H43+IF(O43="",0,O43))))</f>
        <v>0.11921568627451</v>
      </c>
      <c r="Z43" s="10" t="n">
        <f aca="false">IF(OR(Y43="",多次统计数据!$B$8=""),"",Y43-多次统计数据!$B$8)</f>
        <v>-0.0089154037983951</v>
      </c>
      <c r="AA43" s="13" t="n">
        <f aca="false">IF(OR(I43="",M43="",M43&lt;I43),"",M43-I43)</f>
        <v>1</v>
      </c>
      <c r="AB43" s="10" t="n">
        <f aca="false">IF(OR(A43="",多次统计数据!$B$8="",多次统计数据!$B$6&lt;=0,多次统计数据!$B$6&gt;=1),"",1-POWER(1+多次统计数据!$B$8,-多次统计数据!$B$6/(1-多次统计数据!$B$6)))</f>
        <v>0.119185074515542</v>
      </c>
      <c r="AC43" s="6" t="str">
        <f aca="false">IF(OR(AB43="",多次统计数据!$B$9=""),"",IF(多次统计数据!$B$9&lt;AB43,"低于上限","达到或超过上限"))</f>
        <v>低于上限</v>
      </c>
      <c r="AD43" s="2" t="s">
        <v>36</v>
      </c>
    </row>
    <row r="44" customFormat="false" ht="16.4" hidden="false" customHeight="false" outlineLevel="0" collapsed="false">
      <c r="A44" s="2" t="s">
        <v>168</v>
      </c>
      <c r="B44" s="2" t="s">
        <v>43</v>
      </c>
      <c r="C44" s="3" t="n">
        <v>106406</v>
      </c>
      <c r="D44" s="4" t="n">
        <v>0.01</v>
      </c>
      <c r="E44" s="3" t="n">
        <v>22.5</v>
      </c>
      <c r="F44" s="5" t="n">
        <f aca="false">IF(OR(C44="",D44="",E44="",N44="",C44&lt;=0,D44&lt;=0,E44&lt;=N44),"",ROUNDDOWN((C44*D44)/(E44-N44)/100,0)*100)</f>
        <v>700</v>
      </c>
      <c r="G44" s="6" t="str">
        <f aca="false">IF(OR(A44="",F44="",E44="",N44="",E44&lt;=N44,账户数据!$B$7=""),"",IF(账户数据!$B$9+IF(H44="",F44*(E44-N44),0)&gt;=账户数据!$B$7,"禁止开仓","允许开仓"))</f>
        <v>禁止开仓</v>
      </c>
      <c r="H44" s="7" t="n">
        <v>400</v>
      </c>
      <c r="I44" s="8" t="n">
        <v>46170</v>
      </c>
      <c r="J44" s="3" t="n">
        <v>24.75</v>
      </c>
      <c r="K44" s="3" t="n">
        <v>25.43</v>
      </c>
      <c r="L44" s="5" t="n">
        <f aca="false">IF(K44="","",H44)</f>
        <v>400</v>
      </c>
      <c r="M44" s="8" t="n">
        <v>46172</v>
      </c>
      <c r="N44" s="3" t="n">
        <v>21</v>
      </c>
      <c r="O44" s="3" t="n">
        <v>5</v>
      </c>
      <c r="P44" s="3" t="n">
        <v>5</v>
      </c>
      <c r="Q44" s="2" t="s">
        <v>44</v>
      </c>
      <c r="R44" s="9" t="s">
        <v>169</v>
      </c>
      <c r="S44" s="9" t="s">
        <v>46</v>
      </c>
      <c r="T44" s="9" t="s">
        <v>35</v>
      </c>
      <c r="U44" s="10" t="n">
        <f aca="false">IF(OR(E44="",J44="",E44&lt;=0),"",(J44-E44)/E44)</f>
        <v>0.1</v>
      </c>
      <c r="V44" s="10" t="n">
        <f aca="false">IF(OR(E44="",N44="",E44&lt;=0),"",(E44-N44)/E44)</f>
        <v>0.0666666666666667</v>
      </c>
      <c r="W44" s="11" t="n">
        <f aca="false">IF(OR(U44="",V44="",V44&lt;=0),"",U44/V44)</f>
        <v>1.5</v>
      </c>
      <c r="X44" s="12" t="n">
        <f aca="false">IF(OR(K44="",L44="",E44="",H44=""),"",K44*L44-E44*H44-IF(O44="",0,O44)-IF(P44="",0,P44))</f>
        <v>1162</v>
      </c>
      <c r="Y44" s="10" t="n">
        <f aca="false">IF(OR(X44="",E44="",H44=""),"",IF(E44*H44+IF(O44="",0,O44)&lt;=0,"",X44/(E44*H44+IF(O44="",0,O44))))</f>
        <v>0.129039422543032</v>
      </c>
      <c r="Z44" s="10" t="n">
        <f aca="false">IF(OR(Y44="",多次统计数据!$B$8=""),"",Y44-多次统计数据!$B$8)</f>
        <v>0.000908332470126755</v>
      </c>
      <c r="AA44" s="13" t="n">
        <f aca="false">IF(OR(I44="",M44="",M44&lt;I44),"",M44-I44)</f>
        <v>2</v>
      </c>
      <c r="AB44" s="10" t="n">
        <f aca="false">IF(OR(A44="",多次统计数据!$B$8="",多次统计数据!$B$6&lt;=0,多次统计数据!$B$6&gt;=1),"",1-POWER(1+多次统计数据!$B$8,-多次统计数据!$B$6/(1-多次统计数据!$B$6)))</f>
        <v>0.119185074515542</v>
      </c>
      <c r="AC44" s="6" t="str">
        <f aca="false">IF(OR(AB44="",多次统计数据!$B$9=""),"",IF(多次统计数据!$B$9&lt;AB44,"低于上限","达到或超过上限"))</f>
        <v>低于上限</v>
      </c>
      <c r="AD44" s="2" t="s">
        <v>36</v>
      </c>
    </row>
    <row r="45" customFormat="false" ht="31.3" hidden="false" customHeight="false" outlineLevel="0" collapsed="false">
      <c r="A45" s="2" t="s">
        <v>170</v>
      </c>
      <c r="B45" s="2" t="s">
        <v>48</v>
      </c>
      <c r="C45" s="3" t="n">
        <v>107568</v>
      </c>
      <c r="D45" s="4" t="n">
        <v>0.01</v>
      </c>
      <c r="E45" s="3" t="n">
        <v>10</v>
      </c>
      <c r="F45" s="5" t="n">
        <f aca="false">IF(OR(C45="",D45="",E45="",N45="",C45&lt;=0,D45&lt;=0,E45&lt;=N45),"",ROUNDDOWN((C45*D45)/(E45-N45)/100,0)*100)</f>
        <v>1400</v>
      </c>
      <c r="G45" s="6" t="str">
        <f aca="false">IF(OR(A45="",F45="",E45="",N45="",E45&lt;=N45,账户数据!$B$7=""),"",IF(账户数据!$B$9+IF(H45="",F45*(E45-N45),0)&gt;=账户数据!$B$7,"禁止开仓","允许开仓"))</f>
        <v>禁止开仓</v>
      </c>
      <c r="H45" s="7" t="n">
        <v>1100</v>
      </c>
      <c r="I45" s="8" t="n">
        <v>46171</v>
      </c>
      <c r="J45" s="3" t="n">
        <v>11</v>
      </c>
      <c r="K45" s="3" t="n">
        <v>11.4</v>
      </c>
      <c r="L45" s="5" t="n">
        <f aca="false">IF(K45="","",H45)</f>
        <v>1100</v>
      </c>
      <c r="M45" s="8" t="n">
        <v>46174</v>
      </c>
      <c r="N45" s="3" t="n">
        <v>9.25</v>
      </c>
      <c r="O45" s="3" t="n">
        <v>5</v>
      </c>
      <c r="P45" s="3" t="n">
        <v>0</v>
      </c>
      <c r="Q45" s="9" t="s">
        <v>49</v>
      </c>
      <c r="R45" s="9" t="s">
        <v>171</v>
      </c>
      <c r="S45" s="9" t="s">
        <v>51</v>
      </c>
      <c r="T45" s="9" t="s">
        <v>35</v>
      </c>
      <c r="U45" s="10" t="n">
        <f aca="false">IF(OR(E45="",J45="",E45&lt;=0),"",(J45-E45)/E45)</f>
        <v>0.1</v>
      </c>
      <c r="V45" s="10" t="n">
        <f aca="false">IF(OR(E45="",N45="",E45&lt;=0),"",(E45-N45)/E45)</f>
        <v>0.075</v>
      </c>
      <c r="W45" s="11" t="n">
        <f aca="false">IF(OR(U45="",V45="",V45&lt;=0),"",U45/V45)</f>
        <v>1.33333333333333</v>
      </c>
      <c r="X45" s="12" t="n">
        <f aca="false">IF(OR(K45="",L45="",E45="",H45=""),"",K45*L45-E45*H45-IF(O45="",0,O45)-IF(P45="",0,P45))</f>
        <v>1535</v>
      </c>
      <c r="Y45" s="10" t="n">
        <f aca="false">IF(OR(X45="",E45="",H45=""),"",IF(E45*H45+IF(O45="",0,O45)&lt;=0,"",X45/(E45*H45+IF(O45="",0,O45))))</f>
        <v>0.139482053611995</v>
      </c>
      <c r="Z45" s="10" t="n">
        <f aca="false">IF(OR(Y45="",多次统计数据!$B$8=""),"",Y45-多次统计数据!$B$8)</f>
        <v>0.0113509635390897</v>
      </c>
      <c r="AA45" s="13" t="n">
        <f aca="false">IF(OR(I45="",M45="",M45&lt;I45),"",M45-I45)</f>
        <v>3</v>
      </c>
      <c r="AB45" s="10" t="n">
        <f aca="false">IF(OR(A45="",多次统计数据!$B$8="",多次统计数据!$B$6&lt;=0,多次统计数据!$B$6&gt;=1),"",1-POWER(1+多次统计数据!$B$8,-多次统计数据!$B$6/(1-多次统计数据!$B$6)))</f>
        <v>0.119185074515542</v>
      </c>
      <c r="AC45" s="6" t="str">
        <f aca="false">IF(OR(AB45="",多次统计数据!$B$9=""),"",IF(多次统计数据!$B$9&lt;AB45,"低于上限","达到或超过上限"))</f>
        <v>低于上限</v>
      </c>
      <c r="AD45" s="2" t="s">
        <v>36</v>
      </c>
    </row>
    <row r="46" customFormat="false" ht="16.4" hidden="false" customHeight="false" outlineLevel="0" collapsed="false">
      <c r="A46" s="2" t="s">
        <v>172</v>
      </c>
      <c r="B46" s="2" t="s">
        <v>53</v>
      </c>
      <c r="C46" s="3" t="n">
        <v>109103</v>
      </c>
      <c r="D46" s="4" t="n">
        <v>0.01</v>
      </c>
      <c r="E46" s="3" t="n">
        <v>11.25</v>
      </c>
      <c r="F46" s="5" t="n">
        <f aca="false">IF(OR(C46="",D46="",E46="",N46="",C46&lt;=0,D46&lt;=0,E46&lt;=N46),"",ROUNDDOWN((C46*D46)/(E46-N46)/100,0)*100)</f>
        <v>1000</v>
      </c>
      <c r="G46" s="6" t="str">
        <f aca="false">IF(OR(A46="",F46="",E46="",N46="",E46&lt;=N46,账户数据!$B$7=""),"",IF(账户数据!$B$9+IF(H46="",F46*(E46-N46),0)&gt;=账户数据!$B$7,"禁止开仓","允许开仓"))</f>
        <v>禁止开仓</v>
      </c>
      <c r="H46" s="7" t="n">
        <v>1000</v>
      </c>
      <c r="I46" s="8" t="n">
        <v>46172</v>
      </c>
      <c r="J46" s="3" t="n">
        <v>12.38</v>
      </c>
      <c r="K46" s="3" t="n">
        <v>10.25</v>
      </c>
      <c r="L46" s="5" t="n">
        <f aca="false">IF(K46="","",H46)</f>
        <v>1000</v>
      </c>
      <c r="M46" s="8" t="n">
        <v>46176</v>
      </c>
      <c r="N46" s="3" t="n">
        <v>10.25</v>
      </c>
      <c r="O46" s="3" t="n">
        <v>0</v>
      </c>
      <c r="P46" s="3" t="n">
        <v>5</v>
      </c>
      <c r="Q46" s="9" t="s">
        <v>54</v>
      </c>
      <c r="R46" s="9" t="s">
        <v>33</v>
      </c>
      <c r="S46" s="9" t="s">
        <v>56</v>
      </c>
      <c r="T46" s="9" t="s">
        <v>35</v>
      </c>
      <c r="U46" s="10" t="n">
        <f aca="false">IF(OR(E46="",J46="",E46&lt;=0),"",(J46-E46)/E46)</f>
        <v>0.100444444444445</v>
      </c>
      <c r="V46" s="10" t="n">
        <f aca="false">IF(OR(E46="",N46="",E46&lt;=0),"",(E46-N46)/E46)</f>
        <v>0.0888888888888889</v>
      </c>
      <c r="W46" s="11" t="n">
        <f aca="false">IF(OR(U46="",V46="",V46&lt;=0),"",U46/V46)</f>
        <v>1.13</v>
      </c>
      <c r="X46" s="12" t="n">
        <f aca="false">IF(OR(K46="",L46="",E46="",H46=""),"",K46*L46-E46*H46-IF(O46="",0,O46)-IF(P46="",0,P46))</f>
        <v>-1005</v>
      </c>
      <c r="Y46" s="10" t="n">
        <f aca="false">IF(OR(X46="",E46="",H46=""),"",IF(E46*H46+IF(O46="",0,O46)&lt;=0,"",X46/(E46*H46+IF(O46="",0,O46))))</f>
        <v>-0.0893333333333333</v>
      </c>
      <c r="Z46" s="10" t="n">
        <f aca="false">IF(OR(Y46="",多次统计数据!$B$8=""),"",Y46-多次统计数据!$B$8)</f>
        <v>-0.217464423406238</v>
      </c>
      <c r="AA46" s="13" t="n">
        <f aca="false">IF(OR(I46="",M46="",M46&lt;I46),"",M46-I46)</f>
        <v>4</v>
      </c>
      <c r="AB46" s="10" t="n">
        <f aca="false">IF(OR(A46="",多次统计数据!$B$8="",多次统计数据!$B$6&lt;=0,多次统计数据!$B$6&gt;=1),"",1-POWER(1+多次统计数据!$B$8,-多次统计数据!$B$6/(1-多次统计数据!$B$6)))</f>
        <v>0.119185074515542</v>
      </c>
      <c r="AC46" s="6" t="str">
        <f aca="false">IF(OR(AB46="",多次统计数据!$B$9=""),"",IF(多次统计数据!$B$9&lt;AB46,"低于上限","达到或超过上限"))</f>
        <v>低于上限</v>
      </c>
      <c r="AD46" s="2" t="s">
        <v>57</v>
      </c>
    </row>
    <row r="47" customFormat="false" ht="16.4" hidden="false" customHeight="false" outlineLevel="0" collapsed="false">
      <c r="A47" s="2" t="s">
        <v>173</v>
      </c>
      <c r="B47" s="2" t="s">
        <v>59</v>
      </c>
      <c r="C47" s="3" t="n">
        <v>108098</v>
      </c>
      <c r="D47" s="4" t="n">
        <v>0.01</v>
      </c>
      <c r="E47" s="3" t="n">
        <v>12.5</v>
      </c>
      <c r="F47" s="5" t="n">
        <f aca="false">IF(OR(C47="",D47="",E47="",N47="",C47&lt;=0,D47&lt;=0,E47&lt;=N47),"",ROUNDDOWN((C47*D47)/(E47-N47)/100,0)*100)</f>
        <v>800</v>
      </c>
      <c r="G47" s="6" t="str">
        <f aca="false">IF(OR(A47="",F47="",E47="",N47="",E47&lt;=N47,账户数据!$B$7=""),"",IF(账户数据!$B$9+IF(H47="",F47*(E47-N47),0)&gt;=账户数据!$B$7,"禁止开仓","允许开仓"))</f>
        <v>禁止开仓</v>
      </c>
      <c r="H47" s="7" t="n">
        <v>100</v>
      </c>
      <c r="I47" s="8" t="n">
        <v>46173</v>
      </c>
      <c r="J47" s="3" t="n">
        <v>13.75</v>
      </c>
      <c r="K47" s="3" t="n">
        <v>11.25</v>
      </c>
      <c r="L47" s="5" t="n">
        <f aca="false">IF(K47="","",H47)</f>
        <v>100</v>
      </c>
      <c r="M47" s="8" t="n">
        <v>46178</v>
      </c>
      <c r="N47" s="3" t="n">
        <v>11.25</v>
      </c>
      <c r="O47" s="3" t="n">
        <v>5</v>
      </c>
      <c r="P47" s="3" t="n">
        <v>5</v>
      </c>
      <c r="Q47" s="2" t="s">
        <v>60</v>
      </c>
      <c r="R47" s="9" t="s">
        <v>40</v>
      </c>
      <c r="S47" s="9" t="s">
        <v>62</v>
      </c>
      <c r="T47" s="9" t="s">
        <v>35</v>
      </c>
      <c r="U47" s="10" t="n">
        <f aca="false">IF(OR(E47="",J47="",E47&lt;=0),"",(J47-E47)/E47)</f>
        <v>0.1</v>
      </c>
      <c r="V47" s="10" t="n">
        <f aca="false">IF(OR(E47="",N47="",E47&lt;=0),"",(E47-N47)/E47)</f>
        <v>0.1</v>
      </c>
      <c r="W47" s="11" t="n">
        <f aca="false">IF(OR(U47="",V47="",V47&lt;=0),"",U47/V47)</f>
        <v>1</v>
      </c>
      <c r="X47" s="12" t="n">
        <f aca="false">IF(OR(K47="",L47="",E47="",H47=""),"",K47*L47-E47*H47-IF(O47="",0,O47)-IF(P47="",0,P47))</f>
        <v>-135</v>
      </c>
      <c r="Y47" s="10" t="n">
        <f aca="false">IF(OR(X47="",E47="",H47=""),"",IF(E47*H47+IF(O47="",0,O47)&lt;=0,"",X47/(E47*H47+IF(O47="",0,O47))))</f>
        <v>-0.107569721115538</v>
      </c>
      <c r="Z47" s="10" t="n">
        <f aca="false">IF(OR(Y47="",多次统计数据!$B$8=""),"",Y47-多次统计数据!$B$8)</f>
        <v>-0.235700811188443</v>
      </c>
      <c r="AA47" s="13" t="n">
        <f aca="false">IF(OR(I47="",M47="",M47&lt;I47),"",M47-I47)</f>
        <v>5</v>
      </c>
      <c r="AB47" s="10" t="n">
        <f aca="false">IF(OR(A47="",多次统计数据!$B$8="",多次统计数据!$B$6&lt;=0,多次统计数据!$B$6&gt;=1),"",1-POWER(1+多次统计数据!$B$8,-多次统计数据!$B$6/(1-多次统计数据!$B$6)))</f>
        <v>0.119185074515542</v>
      </c>
      <c r="AC47" s="6" t="str">
        <f aca="false">IF(OR(AB47="",多次统计数据!$B$9=""),"",IF(多次统计数据!$B$9&lt;AB47,"低于上限","达到或超过上限"))</f>
        <v>低于上限</v>
      </c>
      <c r="AD47" s="2" t="s">
        <v>57</v>
      </c>
    </row>
    <row r="48" customFormat="false" ht="16.4" hidden="false" customHeight="false" outlineLevel="0" collapsed="false">
      <c r="A48" s="2" t="s">
        <v>174</v>
      </c>
      <c r="B48" s="2" t="s">
        <v>64</v>
      </c>
      <c r="C48" s="3" t="n">
        <v>107963</v>
      </c>
      <c r="D48" s="4" t="n">
        <v>0.01</v>
      </c>
      <c r="E48" s="3" t="n">
        <v>13.75</v>
      </c>
      <c r="F48" s="5" t="n">
        <f aca="false">IF(OR(C48="",D48="",E48="",N48="",C48&lt;=0,D48&lt;=0,E48&lt;=N48),"",ROUNDDOWN((C48*D48)/(E48-N48)/100,0)*100)</f>
        <v>700</v>
      </c>
      <c r="G48" s="6" t="str">
        <f aca="false">IF(OR(A48="",F48="",E48="",N48="",E48&lt;=N48,账户数据!$B$7=""),"",IF(账户数据!$B$9+IF(H48="",F48*(E48-N48),0)&gt;=账户数据!$B$7,"禁止开仓","允许开仓"))</f>
        <v>禁止开仓</v>
      </c>
      <c r="H48" s="7" t="n">
        <v>200</v>
      </c>
      <c r="I48" s="8" t="n">
        <v>46174</v>
      </c>
      <c r="J48" s="3" t="n">
        <v>15.13</v>
      </c>
      <c r="K48" s="3" t="n">
        <v>12.25</v>
      </c>
      <c r="L48" s="5" t="n">
        <f aca="false">IF(K48="","",H48)</f>
        <v>200</v>
      </c>
      <c r="M48" s="8" t="n">
        <v>46180</v>
      </c>
      <c r="N48" s="3" t="n">
        <v>12.25</v>
      </c>
      <c r="O48" s="3" t="n">
        <v>5</v>
      </c>
      <c r="P48" s="3" t="n">
        <v>5</v>
      </c>
      <c r="Q48" s="2" t="s">
        <v>65</v>
      </c>
      <c r="R48" s="9" t="s">
        <v>45</v>
      </c>
      <c r="S48" s="9" t="s">
        <v>67</v>
      </c>
      <c r="T48" s="9" t="s">
        <v>35</v>
      </c>
      <c r="U48" s="10" t="n">
        <f aca="false">IF(OR(E48="",J48="",E48&lt;=0),"",(J48-E48)/E48)</f>
        <v>0.100363636363636</v>
      </c>
      <c r="V48" s="10" t="n">
        <f aca="false">IF(OR(E48="",N48="",E48&lt;=0),"",(E48-N48)/E48)</f>
        <v>0.109090909090909</v>
      </c>
      <c r="W48" s="11" t="n">
        <f aca="false">IF(OR(U48="",V48="",V48&lt;=0),"",U48/V48)</f>
        <v>0.920000000000001</v>
      </c>
      <c r="X48" s="12" t="n">
        <f aca="false">IF(OR(K48="",L48="",E48="",H48=""),"",K48*L48-E48*H48-IF(O48="",0,O48)-IF(P48="",0,P48))</f>
        <v>-310</v>
      </c>
      <c r="Y48" s="10" t="n">
        <f aca="false">IF(OR(X48="",E48="",H48=""),"",IF(E48*H48+IF(O48="",0,O48)&lt;=0,"",X48/(E48*H48+IF(O48="",0,O48))))</f>
        <v>-0.112522686025408</v>
      </c>
      <c r="Z48" s="10" t="n">
        <f aca="false">IF(OR(Y48="",多次统计数据!$B$8=""),"",Y48-多次统计数据!$B$8)</f>
        <v>-0.240653776098313</v>
      </c>
      <c r="AA48" s="13" t="n">
        <f aca="false">IF(OR(I48="",M48="",M48&lt;I48),"",M48-I48)</f>
        <v>6</v>
      </c>
      <c r="AB48" s="10" t="n">
        <f aca="false">IF(OR(A48="",多次统计数据!$B$8="",多次统计数据!$B$6&lt;=0,多次统计数据!$B$6&gt;=1),"",1-POWER(1+多次统计数据!$B$8,-多次统计数据!$B$6/(1-多次统计数据!$B$6)))</f>
        <v>0.119185074515542</v>
      </c>
      <c r="AC48" s="6" t="str">
        <f aca="false">IF(OR(AB48="",多次统计数据!$B$9=""),"",IF(多次统计数据!$B$9&lt;AB48,"低于上限","达到或超过上限"))</f>
        <v>低于上限</v>
      </c>
      <c r="AD48" s="2" t="s">
        <v>57</v>
      </c>
    </row>
    <row r="49" customFormat="false" ht="31.3" hidden="false" customHeight="false" outlineLevel="0" collapsed="false">
      <c r="A49" s="2" t="s">
        <v>175</v>
      </c>
      <c r="B49" s="2" t="s">
        <v>69</v>
      </c>
      <c r="C49" s="3" t="n">
        <v>107653</v>
      </c>
      <c r="D49" s="4" t="n">
        <v>0.01</v>
      </c>
      <c r="E49" s="3" t="n">
        <v>15</v>
      </c>
      <c r="F49" s="5" t="n">
        <f aca="false">IF(OR(C49="",D49="",E49="",N49="",C49&lt;=0,D49&lt;=0,E49&lt;=N49),"",ROUNDDOWN((C49*D49)/(E49-N49)/100,0)*100)</f>
        <v>1400</v>
      </c>
      <c r="G49" s="6" t="str">
        <f aca="false">IF(OR(A49="",F49="",E49="",N49="",E49&lt;=N49,账户数据!$B$7=""),"",IF(账户数据!$B$9+IF(H49="",F49*(E49-N49),0)&gt;=账户数据!$B$7,"禁止开仓","允许开仓"))</f>
        <v>禁止开仓</v>
      </c>
      <c r="H49" s="7" t="n">
        <v>800</v>
      </c>
      <c r="I49" s="8" t="n">
        <v>46175</v>
      </c>
      <c r="J49" s="3" t="n">
        <v>16.5</v>
      </c>
      <c r="K49" s="3" t="n">
        <v>14.25</v>
      </c>
      <c r="L49" s="5" t="n">
        <f aca="false">IF(K49="","",H49)</f>
        <v>800</v>
      </c>
      <c r="M49" s="8" t="n">
        <v>46182</v>
      </c>
      <c r="N49" s="3" t="n">
        <v>14.25</v>
      </c>
      <c r="O49" s="3" t="n">
        <v>0</v>
      </c>
      <c r="P49" s="3" t="n">
        <v>0</v>
      </c>
      <c r="Q49" s="9" t="s">
        <v>70</v>
      </c>
      <c r="R49" s="9" t="s">
        <v>50</v>
      </c>
      <c r="S49" s="9" t="s">
        <v>72</v>
      </c>
      <c r="T49" s="9" t="s">
        <v>35</v>
      </c>
      <c r="U49" s="10" t="n">
        <f aca="false">IF(OR(E49="",J49="",E49&lt;=0),"",(J49-E49)/E49)</f>
        <v>0.1</v>
      </c>
      <c r="V49" s="10" t="n">
        <f aca="false">IF(OR(E49="",N49="",E49&lt;=0),"",(E49-N49)/E49)</f>
        <v>0.05</v>
      </c>
      <c r="W49" s="11" t="n">
        <f aca="false">IF(OR(U49="",V49="",V49&lt;=0),"",U49/V49)</f>
        <v>2</v>
      </c>
      <c r="X49" s="12" t="n">
        <f aca="false">IF(OR(K49="",L49="",E49="",H49=""),"",K49*L49-E49*H49-IF(O49="",0,O49)-IF(P49="",0,P49))</f>
        <v>-600</v>
      </c>
      <c r="Y49" s="10" t="n">
        <f aca="false">IF(OR(X49="",E49="",H49=""),"",IF(E49*H49+IF(O49="",0,O49)&lt;=0,"",X49/(E49*H49+IF(O49="",0,O49))))</f>
        <v>-0.05</v>
      </c>
      <c r="Z49" s="10" t="n">
        <f aca="false">IF(OR(Y49="",多次统计数据!$B$8=""),"",Y49-多次统计数据!$B$8)</f>
        <v>-0.178131090072905</v>
      </c>
      <c r="AA49" s="13" t="n">
        <f aca="false">IF(OR(I49="",M49="",M49&lt;I49),"",M49-I49)</f>
        <v>7</v>
      </c>
      <c r="AB49" s="10" t="n">
        <f aca="false">IF(OR(A49="",多次统计数据!$B$8="",多次统计数据!$B$6&lt;=0,多次统计数据!$B$6&gt;=1),"",1-POWER(1+多次统计数据!$B$8,-多次统计数据!$B$6/(1-多次统计数据!$B$6)))</f>
        <v>0.119185074515542</v>
      </c>
      <c r="AC49" s="6" t="str">
        <f aca="false">IF(OR(AB49="",多次统计数据!$B$9=""),"",IF(多次统计数据!$B$9&lt;AB49,"低于上限","达到或超过上限"))</f>
        <v>低于上限</v>
      </c>
      <c r="AD49" s="2" t="s">
        <v>57</v>
      </c>
    </row>
    <row r="50" customFormat="false" ht="31.3" hidden="false" customHeight="false" outlineLevel="0" collapsed="false">
      <c r="A50" s="2" t="s">
        <v>176</v>
      </c>
      <c r="B50" s="2" t="s">
        <v>74</v>
      </c>
      <c r="C50" s="3" t="n">
        <v>107053</v>
      </c>
      <c r="D50" s="4" t="n">
        <v>0.01</v>
      </c>
      <c r="E50" s="3" t="n">
        <v>16.25</v>
      </c>
      <c r="F50" s="5" t="n">
        <f aca="false">IF(OR(C50="",D50="",E50="",N50="",C50&lt;=0,D50&lt;=0,E50&lt;=N50),"",ROUNDDOWN((C50*D50)/(E50-N50)/100,0)*100)</f>
        <v>1000</v>
      </c>
      <c r="G50" s="6" t="str">
        <f aca="false">IF(OR(A50="",F50="",E50="",N50="",E50&lt;=N50,账户数据!$B$7=""),"",IF(账户数据!$B$9+IF(H50="",F50*(E50-N50),0)&gt;=账户数据!$B$7,"禁止开仓","允许开仓"))</f>
        <v>禁止开仓</v>
      </c>
      <c r="H50" s="7" t="n">
        <v>800</v>
      </c>
      <c r="I50" s="8" t="n">
        <v>46176</v>
      </c>
      <c r="J50" s="3" t="n">
        <v>17.88</v>
      </c>
      <c r="K50" s="3" t="n">
        <v>16.25</v>
      </c>
      <c r="L50" s="5" t="n">
        <f aca="false">IF(K50="","",H50)</f>
        <v>800</v>
      </c>
      <c r="M50" s="8" t="n">
        <v>46177</v>
      </c>
      <c r="N50" s="3" t="n">
        <v>15.25</v>
      </c>
      <c r="O50" s="3" t="n">
        <v>0</v>
      </c>
      <c r="P50" s="3" t="n">
        <v>0</v>
      </c>
      <c r="Q50" s="9" t="s">
        <v>75</v>
      </c>
      <c r="R50" s="9" t="s">
        <v>55</v>
      </c>
      <c r="S50" s="9" t="s">
        <v>77</v>
      </c>
      <c r="T50" s="9" t="s">
        <v>35</v>
      </c>
      <c r="U50" s="10" t="n">
        <f aca="false">IF(OR(E50="",J50="",E50&lt;=0),"",(J50-E50)/E50)</f>
        <v>0.100307692307692</v>
      </c>
      <c r="V50" s="10" t="n">
        <f aca="false">IF(OR(E50="",N50="",E50&lt;=0),"",(E50-N50)/E50)</f>
        <v>0.0615384615384615</v>
      </c>
      <c r="W50" s="11" t="n">
        <f aca="false">IF(OR(U50="",V50="",V50&lt;=0),"",U50/V50)</f>
        <v>1.63</v>
      </c>
      <c r="X50" s="12" t="n">
        <f aca="false">IF(OR(K50="",L50="",E50="",H50=""),"",K50*L50-E50*H50-IF(O50="",0,O50)-IF(P50="",0,P50))</f>
        <v>0</v>
      </c>
      <c r="Y50" s="10" t="n">
        <f aca="false">IF(OR(X50="",E50="",H50=""),"",IF(E50*H50+IF(O50="",0,O50)&lt;=0,"",X50/(E50*H50+IF(O50="",0,O50))))</f>
        <v>0</v>
      </c>
      <c r="Z50" s="10" t="n">
        <f aca="false">IF(OR(Y50="",多次统计数据!$B$8=""),"",Y50-多次统计数据!$B$8)</f>
        <v>-0.128131090072905</v>
      </c>
      <c r="AA50" s="13" t="n">
        <f aca="false">IF(OR(I50="",M50="",M50&lt;I50),"",M50-I50)</f>
        <v>1</v>
      </c>
      <c r="AB50" s="10" t="n">
        <f aca="false">IF(OR(A50="",多次统计数据!$B$8="",多次统计数据!$B$6&lt;=0,多次统计数据!$B$6&gt;=1),"",1-POWER(1+多次统计数据!$B$8,-多次统计数据!$B$6/(1-多次统计数据!$B$6)))</f>
        <v>0.119185074515542</v>
      </c>
      <c r="AC50" s="6" t="str">
        <f aca="false">IF(OR(AB50="",多次统计数据!$B$9=""),"",IF(多次统计数据!$B$9&lt;AB50,"低于上限","达到或超过上限"))</f>
        <v>低于上限</v>
      </c>
      <c r="AD50" s="2" t="s">
        <v>78</v>
      </c>
    </row>
    <row r="51" customFormat="false" ht="31.3" hidden="false" customHeight="false" outlineLevel="0" collapsed="false">
      <c r="A51" s="2" t="s">
        <v>177</v>
      </c>
      <c r="B51" s="2" t="s">
        <v>80</v>
      </c>
      <c r="C51" s="3" t="n">
        <v>107053</v>
      </c>
      <c r="D51" s="4" t="n">
        <v>0.01</v>
      </c>
      <c r="E51" s="3" t="n">
        <v>17.5</v>
      </c>
      <c r="F51" s="5" t="n">
        <f aca="false">IF(OR(C51="",D51="",E51="",N51="",C51&lt;=0,D51&lt;=0,E51&lt;=N51),"",ROUNDDOWN((C51*D51)/(E51-N51)/100,0)*100)</f>
        <v>800</v>
      </c>
      <c r="G51" s="6" t="str">
        <f aca="false">IF(OR(A51="",F51="",E51="",N51="",E51&lt;=N51,账户数据!$B$7=""),"",IF(账户数据!$B$9+IF(H51="",F51*(E51-N51),0)&gt;=账户数据!$B$7,"禁止开仓","允许开仓"))</f>
        <v>禁止开仓</v>
      </c>
      <c r="H51" s="7"/>
      <c r="I51" s="8" t="n">
        <v>46177</v>
      </c>
      <c r="J51" s="3" t="n">
        <v>19.25</v>
      </c>
      <c r="K51" s="3"/>
      <c r="L51" s="5" t="str">
        <f aca="false">IF(K51="","",H51)</f>
        <v/>
      </c>
      <c r="M51" s="8"/>
      <c r="N51" s="3" t="n">
        <v>16.25</v>
      </c>
      <c r="O51" s="3" t="n">
        <v>5</v>
      </c>
      <c r="P51" s="3" t="n">
        <v>5</v>
      </c>
      <c r="Q51" s="9" t="s">
        <v>81</v>
      </c>
      <c r="R51" s="9" t="s">
        <v>61</v>
      </c>
      <c r="S51" s="9" t="s">
        <v>83</v>
      </c>
      <c r="T51" s="9"/>
      <c r="U51" s="10" t="n">
        <f aca="false">IF(OR(E51="",J51="",E51&lt;=0),"",(J51-E51)/E51)</f>
        <v>0.1</v>
      </c>
      <c r="V51" s="10" t="n">
        <f aca="false">IF(OR(E51="",N51="",E51&lt;=0),"",(E51-N51)/E51)</f>
        <v>0.0714285714285714</v>
      </c>
      <c r="W51" s="11" t="n">
        <f aca="false">IF(OR(U51="",V51="",V51&lt;=0),"",U51/V51)</f>
        <v>1.4</v>
      </c>
      <c r="X51" s="12" t="str">
        <f aca="false">IF(OR(K51="",L51="",E51="",H51=""),"",K51*L51-E51*H51-IF(O51="",0,O51)-IF(P51="",0,P51))</f>
        <v/>
      </c>
      <c r="Y51" s="10" t="str">
        <f aca="false">IF(OR(X51="",E51="",H51=""),"",IF(E51*H51+IF(O51="",0,O51)&lt;=0,"",X51/(E51*H51+IF(O51="",0,O51))))</f>
        <v/>
      </c>
      <c r="Z51" s="10" t="str">
        <f aca="false">IF(OR(Y51="",多次统计数据!$B$8=""),"",Y51-多次统计数据!$B$8)</f>
        <v/>
      </c>
      <c r="AA51" s="13" t="str">
        <f aca="false">IF(OR(I51="",M51="",M51&lt;I51),"",M51-I51)</f>
        <v/>
      </c>
      <c r="AB51" s="10" t="n">
        <f aca="false">IF(OR(A51="",多次统计数据!$B$8="",多次统计数据!$B$6&lt;=0,多次统计数据!$B$6&gt;=1),"",1-POWER(1+多次统计数据!$B$8,-多次统计数据!$B$6/(1-多次统计数据!$B$6)))</f>
        <v>0.119185074515542</v>
      </c>
      <c r="AC51" s="6" t="str">
        <f aca="false">IF(OR(AB51="",多次统计数据!$B$9=""),"",IF(多次统计数据!$B$9&lt;AB51,"低于上限","达到或超过上限"))</f>
        <v>低于上限</v>
      </c>
      <c r="AD51" s="2"/>
    </row>
    <row r="52" customFormat="false" ht="16.4" hidden="false" customHeight="false" outlineLevel="0" collapsed="false">
      <c r="A52" s="2" t="s">
        <v>178</v>
      </c>
      <c r="B52" s="2" t="s">
        <v>31</v>
      </c>
      <c r="C52" s="3" t="n">
        <v>107053</v>
      </c>
      <c r="D52" s="4" t="n">
        <v>0.01</v>
      </c>
      <c r="E52" s="3" t="n">
        <v>18.75</v>
      </c>
      <c r="F52" s="5" t="n">
        <f aca="false">IF(OR(C52="",D52="",E52="",N52="",C52&lt;=0,D52&lt;=0,E52&lt;=N52),"",ROUNDDOWN((C52*D52)/(E52-N52)/100,0)*100)</f>
        <v>700</v>
      </c>
      <c r="G52" s="6" t="str">
        <f aca="false">IF(OR(A52="",F52="",E52="",N52="",E52&lt;=N52,账户数据!$B$7=""),"",IF(账户数据!$B$9+IF(H52="",F52*(E52-N52),0)&gt;=账户数据!$B$7,"禁止开仓","允许开仓"))</f>
        <v>禁止开仓</v>
      </c>
      <c r="H52" s="7" t="n">
        <v>100</v>
      </c>
      <c r="I52" s="8" t="n">
        <v>46178</v>
      </c>
      <c r="J52" s="3" t="n">
        <v>20.62</v>
      </c>
      <c r="K52" s="3" t="n">
        <v>21</v>
      </c>
      <c r="L52" s="5" t="n">
        <f aca="false">IF(K52="","",H52)</f>
        <v>100</v>
      </c>
      <c r="M52" s="8" t="n">
        <v>46181</v>
      </c>
      <c r="N52" s="3" t="n">
        <v>17.25</v>
      </c>
      <c r="O52" s="3" t="n">
        <v>0</v>
      </c>
      <c r="P52" s="3" t="n">
        <v>5</v>
      </c>
      <c r="Q52" s="9" t="s">
        <v>85</v>
      </c>
      <c r="R52" s="9" t="s">
        <v>66</v>
      </c>
      <c r="S52" s="9" t="s">
        <v>87</v>
      </c>
      <c r="T52" s="9" t="s">
        <v>35</v>
      </c>
      <c r="U52" s="10" t="n">
        <f aca="false">IF(OR(E52="",J52="",E52&lt;=0),"",(J52-E52)/E52)</f>
        <v>0.0997333333333334</v>
      </c>
      <c r="V52" s="10" t="n">
        <f aca="false">IF(OR(E52="",N52="",E52&lt;=0),"",(E52-N52)/E52)</f>
        <v>0.08</v>
      </c>
      <c r="W52" s="11" t="n">
        <f aca="false">IF(OR(U52="",V52="",V52&lt;=0),"",U52/V52)</f>
        <v>1.24666666666667</v>
      </c>
      <c r="X52" s="12" t="n">
        <f aca="false">IF(OR(K52="",L52="",E52="",H52=""),"",K52*L52-E52*H52-IF(O52="",0,O52)-IF(P52="",0,P52))</f>
        <v>220</v>
      </c>
      <c r="Y52" s="10" t="n">
        <f aca="false">IF(OR(X52="",E52="",H52=""),"",IF(E52*H52+IF(O52="",0,O52)&lt;=0,"",X52/(E52*H52+IF(O52="",0,O52))))</f>
        <v>0.117333333333333</v>
      </c>
      <c r="Z52" s="10" t="n">
        <f aca="false">IF(OR(Y52="",多次统计数据!$B$8=""),"",Y52-多次统计数据!$B$8)</f>
        <v>-0.0107977567395716</v>
      </c>
      <c r="AA52" s="13" t="n">
        <f aca="false">IF(OR(I52="",M52="",M52&lt;I52),"",M52-I52)</f>
        <v>3</v>
      </c>
      <c r="AB52" s="10" t="n">
        <f aca="false">IF(OR(A52="",多次统计数据!$B$8="",多次统计数据!$B$6&lt;=0,多次统计数据!$B$6&gt;=1),"",1-POWER(1+多次统计数据!$B$8,-多次统计数据!$B$6/(1-多次统计数据!$B$6)))</f>
        <v>0.119185074515542</v>
      </c>
      <c r="AC52" s="6" t="str">
        <f aca="false">IF(OR(AB52="",多次统计数据!$B$9=""),"",IF(多次统计数据!$B$9&lt;AB52,"低于上限","达到或超过上限"))</f>
        <v>低于上限</v>
      </c>
      <c r="AD52" s="2" t="s">
        <v>36</v>
      </c>
    </row>
    <row r="53" customFormat="false" ht="16.4" hidden="false" customHeight="false" outlineLevel="0" collapsed="false">
      <c r="A53" s="2" t="s">
        <v>179</v>
      </c>
      <c r="B53" s="2" t="s">
        <v>38</v>
      </c>
      <c r="C53" s="3" t="n">
        <v>107273</v>
      </c>
      <c r="D53" s="4" t="n">
        <v>0.01</v>
      </c>
      <c r="E53" s="3" t="n">
        <v>20</v>
      </c>
      <c r="F53" s="5" t="n">
        <f aca="false">IF(OR(C53="",D53="",E53="",N53="",C53&lt;=0,D53&lt;=0,E53&lt;=N53),"",ROUNDDOWN((C53*D53)/(E53-N53)/100,0)*100)</f>
        <v>1400</v>
      </c>
      <c r="G53" s="6" t="str">
        <f aca="false">IF(OR(A53="",F53="",E53="",N53="",E53&lt;=N53,账户数据!$B$7=""),"",IF(账户数据!$B$9+IF(H53="",F53*(E53-N53),0)&gt;=账户数据!$B$7,"禁止开仓","允许开仓"))</f>
        <v>禁止开仓</v>
      </c>
      <c r="H53" s="7" t="n">
        <v>500</v>
      </c>
      <c r="I53" s="8" t="n">
        <v>46179</v>
      </c>
      <c r="J53" s="3" t="n">
        <v>22</v>
      </c>
      <c r="K53" s="3" t="n">
        <v>22.6</v>
      </c>
      <c r="L53" s="5" t="n">
        <f aca="false">IF(K53="","",H53)</f>
        <v>500</v>
      </c>
      <c r="M53" s="8" t="n">
        <v>46183</v>
      </c>
      <c r="N53" s="3" t="n">
        <v>19.25</v>
      </c>
      <c r="O53" s="3" t="n">
        <v>5</v>
      </c>
      <c r="P53" s="3" t="n">
        <v>0</v>
      </c>
      <c r="Q53" s="9" t="s">
        <v>89</v>
      </c>
      <c r="R53" s="9" t="s">
        <v>71</v>
      </c>
      <c r="S53" s="9" t="s">
        <v>91</v>
      </c>
      <c r="T53" s="9" t="s">
        <v>35</v>
      </c>
      <c r="U53" s="10" t="n">
        <f aca="false">IF(OR(E53="",J53="",E53&lt;=0),"",(J53-E53)/E53)</f>
        <v>0.1</v>
      </c>
      <c r="V53" s="10" t="n">
        <f aca="false">IF(OR(E53="",N53="",E53&lt;=0),"",(E53-N53)/E53)</f>
        <v>0.0375</v>
      </c>
      <c r="W53" s="11" t="n">
        <f aca="false">IF(OR(U53="",V53="",V53&lt;=0),"",U53/V53)</f>
        <v>2.66666666666667</v>
      </c>
      <c r="X53" s="12" t="n">
        <f aca="false">IF(OR(K53="",L53="",E53="",H53=""),"",K53*L53-E53*H53-IF(O53="",0,O53)-IF(P53="",0,P53))</f>
        <v>1295</v>
      </c>
      <c r="Y53" s="10" t="n">
        <f aca="false">IF(OR(X53="",E53="",H53=""),"",IF(E53*H53+IF(O53="",0,O53)&lt;=0,"",X53/(E53*H53+IF(O53="",0,O53))))</f>
        <v>0.129435282358821</v>
      </c>
      <c r="Z53" s="10" t="n">
        <f aca="false">IF(OR(Y53="",多次统计数据!$B$8=""),"",Y53-多次统计数据!$B$8)</f>
        <v>0.00130419228591569</v>
      </c>
      <c r="AA53" s="13" t="n">
        <f aca="false">IF(OR(I53="",M53="",M53&lt;I53),"",M53-I53)</f>
        <v>4</v>
      </c>
      <c r="AB53" s="10" t="n">
        <f aca="false">IF(OR(A53="",多次统计数据!$B$8="",多次统计数据!$B$6&lt;=0,多次统计数据!$B$6&gt;=1),"",1-POWER(1+多次统计数据!$B$8,-多次统计数据!$B$6/(1-多次统计数据!$B$6)))</f>
        <v>0.119185074515542</v>
      </c>
      <c r="AC53" s="6" t="str">
        <f aca="false">IF(OR(AB53="",多次统计数据!$B$9=""),"",IF(多次统计数据!$B$9&lt;AB53,"低于上限","达到或超过上限"))</f>
        <v>低于上限</v>
      </c>
      <c r="AD53" s="2" t="s">
        <v>36</v>
      </c>
    </row>
    <row r="54" customFormat="false" ht="31.3" hidden="false" customHeight="false" outlineLevel="0" collapsed="false">
      <c r="A54" s="2" t="s">
        <v>180</v>
      </c>
      <c r="B54" s="2" t="s">
        <v>43</v>
      </c>
      <c r="C54" s="3" t="n">
        <v>108568</v>
      </c>
      <c r="D54" s="4" t="n">
        <v>0.01</v>
      </c>
      <c r="E54" s="3" t="n">
        <v>21.25</v>
      </c>
      <c r="F54" s="5" t="n">
        <f aca="false">IF(OR(C54="",D54="",E54="",N54="",C54&lt;=0,D54&lt;=0,E54&lt;=N54),"",ROUNDDOWN((C54*D54)/(E54-N54)/100,0)*100)</f>
        <v>1000</v>
      </c>
      <c r="G54" s="6" t="str">
        <f aca="false">IF(OR(A54="",F54="",E54="",N54="",E54&lt;=N54,账户数据!$B$7=""),"",IF(账户数据!$B$9+IF(H54="",F54*(E54-N54),0)&gt;=账户数据!$B$7,"禁止开仓","允许开仓"))</f>
        <v>禁止开仓</v>
      </c>
      <c r="H54" s="7" t="n">
        <v>600</v>
      </c>
      <c r="I54" s="8" t="n">
        <v>46180</v>
      </c>
      <c r="J54" s="3" t="n">
        <v>23.38</v>
      </c>
      <c r="K54" s="3" t="n">
        <v>24.23</v>
      </c>
      <c r="L54" s="5" t="n">
        <f aca="false">IF(K54="","",H54)</f>
        <v>600</v>
      </c>
      <c r="M54" s="8" t="n">
        <v>46185</v>
      </c>
      <c r="N54" s="3" t="n">
        <v>20.25</v>
      </c>
      <c r="O54" s="3" t="n">
        <v>5</v>
      </c>
      <c r="P54" s="3" t="n">
        <v>5</v>
      </c>
      <c r="Q54" s="9" t="s">
        <v>93</v>
      </c>
      <c r="R54" s="9" t="s">
        <v>76</v>
      </c>
      <c r="S54" s="9" t="s">
        <v>95</v>
      </c>
      <c r="T54" s="9" t="s">
        <v>35</v>
      </c>
      <c r="U54" s="10" t="n">
        <f aca="false">IF(OR(E54="",J54="",E54&lt;=0),"",(J54-E54)/E54)</f>
        <v>0.100235294117647</v>
      </c>
      <c r="V54" s="10" t="n">
        <f aca="false">IF(OR(E54="",N54="",E54&lt;=0),"",(E54-N54)/E54)</f>
        <v>0.0470588235294118</v>
      </c>
      <c r="W54" s="11" t="n">
        <f aca="false">IF(OR(U54="",V54="",V54&lt;=0),"",U54/V54)</f>
        <v>2.13</v>
      </c>
      <c r="X54" s="12" t="n">
        <f aca="false">IF(OR(K54="",L54="",E54="",H54=""),"",K54*L54-E54*H54-IF(O54="",0,O54)-IF(P54="",0,P54))</f>
        <v>1778</v>
      </c>
      <c r="Y54" s="10" t="n">
        <f aca="false">IF(OR(X54="",E54="",H54=""),"",IF(E54*H54+IF(O54="",0,O54)&lt;=0,"",X54/(E54*H54+IF(O54="",0,O54))))</f>
        <v>0.139396315170521</v>
      </c>
      <c r="Z54" s="10" t="n">
        <f aca="false">IF(OR(Y54="",多次统计数据!$B$8=""),"",Y54-多次统计数据!$B$8)</f>
        <v>0.0112652250976165</v>
      </c>
      <c r="AA54" s="13" t="n">
        <f aca="false">IF(OR(I54="",M54="",M54&lt;I54),"",M54-I54)</f>
        <v>5</v>
      </c>
      <c r="AB54" s="10" t="n">
        <f aca="false">IF(OR(A54="",多次统计数据!$B$8="",多次统计数据!$B$6&lt;=0,多次统计数据!$B$6&gt;=1),"",1-POWER(1+多次统计数据!$B$8,-多次统计数据!$B$6/(1-多次统计数据!$B$6)))</f>
        <v>0.119185074515542</v>
      </c>
      <c r="AC54" s="6" t="str">
        <f aca="false">IF(OR(AB54="",多次统计数据!$B$9=""),"",IF(多次统计数据!$B$9&lt;AB54,"低于上限","达到或超过上限"))</f>
        <v>低于上限</v>
      </c>
      <c r="AD54" s="2" t="s">
        <v>36</v>
      </c>
    </row>
    <row r="55" customFormat="false" ht="31.3" hidden="false" customHeight="false" outlineLevel="0" collapsed="false">
      <c r="A55" s="2" t="s">
        <v>181</v>
      </c>
      <c r="B55" s="2" t="s">
        <v>48</v>
      </c>
      <c r="C55" s="3" t="n">
        <v>110346</v>
      </c>
      <c r="D55" s="4" t="n">
        <v>0.01</v>
      </c>
      <c r="E55" s="3" t="n">
        <v>22.5</v>
      </c>
      <c r="F55" s="5" t="n">
        <f aca="false">IF(OR(C55="",D55="",E55="",N55="",C55&lt;=0,D55&lt;=0,E55&lt;=N55),"",ROUNDDOWN((C55*D55)/(E55-N55)/100,0)*100)</f>
        <v>800</v>
      </c>
      <c r="G55" s="6" t="str">
        <f aca="false">IF(OR(A55="",F55="",E55="",N55="",E55&lt;=N55,账户数据!$B$7=""),"",IF(账户数据!$B$9+IF(H55="",F55*(E55-N55),0)&gt;=账户数据!$B$7,"禁止开仓","允许开仓"))</f>
        <v>禁止开仓</v>
      </c>
      <c r="H55" s="7" t="n">
        <v>600</v>
      </c>
      <c r="I55" s="8" t="n">
        <v>46181</v>
      </c>
      <c r="J55" s="3" t="n">
        <v>24.75</v>
      </c>
      <c r="K55" s="3" t="n">
        <v>25.2</v>
      </c>
      <c r="L55" s="5" t="n">
        <f aca="false">IF(K55="","",H55)</f>
        <v>600</v>
      </c>
      <c r="M55" s="8" t="n">
        <v>46187</v>
      </c>
      <c r="N55" s="3" t="n">
        <v>21.25</v>
      </c>
      <c r="O55" s="3" t="n">
        <v>0</v>
      </c>
      <c r="P55" s="3" t="n">
        <v>5</v>
      </c>
      <c r="Q55" s="9" t="s">
        <v>97</v>
      </c>
      <c r="R55" s="9" t="s">
        <v>82</v>
      </c>
      <c r="S55" s="9" t="s">
        <v>99</v>
      </c>
      <c r="T55" s="9" t="s">
        <v>35</v>
      </c>
      <c r="U55" s="10" t="n">
        <f aca="false">IF(OR(E55="",J55="",E55&lt;=0),"",(J55-E55)/E55)</f>
        <v>0.1</v>
      </c>
      <c r="V55" s="10" t="n">
        <f aca="false">IF(OR(E55="",N55="",E55&lt;=0),"",(E55-N55)/E55)</f>
        <v>0.0555555555555556</v>
      </c>
      <c r="W55" s="11" t="n">
        <f aca="false">IF(OR(U55="",V55="",V55&lt;=0),"",U55/V55)</f>
        <v>1.8</v>
      </c>
      <c r="X55" s="12" t="n">
        <f aca="false">IF(OR(K55="",L55="",E55="",H55=""),"",K55*L55-E55*H55-IF(O55="",0,O55)-IF(P55="",0,P55))</f>
        <v>1615</v>
      </c>
      <c r="Y55" s="10" t="n">
        <f aca="false">IF(OR(X55="",E55="",H55=""),"",IF(E55*H55+IF(O55="",0,O55)&lt;=0,"",X55/(E55*H55+IF(O55="",0,O55))))</f>
        <v>0.11962962962963</v>
      </c>
      <c r="Z55" s="10" t="n">
        <f aca="false">IF(OR(Y55="",多次统计数据!$B$8=""),"",Y55-多次统计数据!$B$8)</f>
        <v>-0.00850146044327528</v>
      </c>
      <c r="AA55" s="13" t="n">
        <f aca="false">IF(OR(I55="",M55="",M55&lt;I55),"",M55-I55)</f>
        <v>6</v>
      </c>
      <c r="AB55" s="10" t="n">
        <f aca="false">IF(OR(A55="",多次统计数据!$B$8="",多次统计数据!$B$6&lt;=0,多次统计数据!$B$6&gt;=1),"",1-POWER(1+多次统计数据!$B$8,-多次统计数据!$B$6/(1-多次统计数据!$B$6)))</f>
        <v>0.119185074515542</v>
      </c>
      <c r="AC55" s="6" t="str">
        <f aca="false">IF(OR(AB55="",多次统计数据!$B$9=""),"",IF(多次统计数据!$B$9&lt;AB55,"低于上限","达到或超过上限"))</f>
        <v>低于上限</v>
      </c>
      <c r="AD55" s="2" t="s">
        <v>36</v>
      </c>
    </row>
    <row r="56" customFormat="false" ht="31.3" hidden="false" customHeight="false" outlineLevel="0" collapsed="false">
      <c r="A56" s="2" t="s">
        <v>182</v>
      </c>
      <c r="B56" s="2" t="s">
        <v>53</v>
      </c>
      <c r="C56" s="3" t="n">
        <v>111961</v>
      </c>
      <c r="D56" s="4" t="n">
        <v>0.01</v>
      </c>
      <c r="E56" s="3" t="n">
        <v>10</v>
      </c>
      <c r="F56" s="5" t="n">
        <f aca="false">IF(OR(C56="",D56="",E56="",N56="",C56&lt;=0,D56&lt;=0,E56&lt;=N56),"",ROUNDDOWN((C56*D56)/(E56-N56)/100,0)*100)</f>
        <v>700</v>
      </c>
      <c r="G56" s="6" t="str">
        <f aca="false">IF(OR(A56="",F56="",E56="",N56="",E56&lt;=N56,账户数据!$B$7=""),"",IF(账户数据!$B$9+IF(H56="",F56*(E56-N56),0)&gt;=账户数据!$B$7,"禁止开仓","允许开仓"))</f>
        <v>禁止开仓</v>
      </c>
      <c r="H56" s="7" t="n">
        <v>700</v>
      </c>
      <c r="I56" s="8" t="n">
        <v>46182</v>
      </c>
      <c r="J56" s="3" t="n">
        <v>11</v>
      </c>
      <c r="K56" s="3" t="n">
        <v>8.5</v>
      </c>
      <c r="L56" s="5" t="n">
        <f aca="false">IF(K56="","",H56)</f>
        <v>700</v>
      </c>
      <c r="M56" s="8" t="n">
        <v>46189</v>
      </c>
      <c r="N56" s="3" t="n">
        <v>8.5</v>
      </c>
      <c r="O56" s="3" t="n">
        <v>5</v>
      </c>
      <c r="P56" s="3" t="n">
        <v>5</v>
      </c>
      <c r="Q56" s="9" t="s">
        <v>101</v>
      </c>
      <c r="R56" s="9" t="s">
        <v>86</v>
      </c>
      <c r="S56" s="9" t="s">
        <v>103</v>
      </c>
      <c r="T56" s="9" t="s">
        <v>35</v>
      </c>
      <c r="U56" s="10" t="n">
        <f aca="false">IF(OR(E56="",J56="",E56&lt;=0),"",(J56-E56)/E56)</f>
        <v>0.1</v>
      </c>
      <c r="V56" s="10" t="n">
        <f aca="false">IF(OR(E56="",N56="",E56&lt;=0),"",(E56-N56)/E56)</f>
        <v>0.15</v>
      </c>
      <c r="W56" s="11" t="n">
        <f aca="false">IF(OR(U56="",V56="",V56&lt;=0),"",U56/V56)</f>
        <v>0.666666666666667</v>
      </c>
      <c r="X56" s="12" t="n">
        <f aca="false">IF(OR(K56="",L56="",E56="",H56=""),"",K56*L56-E56*H56-IF(O56="",0,O56)-IF(P56="",0,P56))</f>
        <v>-1060</v>
      </c>
      <c r="Y56" s="10" t="n">
        <f aca="false">IF(OR(X56="",E56="",H56=""),"",IF(E56*H56+IF(O56="",0,O56)&lt;=0,"",X56/(E56*H56+IF(O56="",0,O56))))</f>
        <v>-0.151320485367595</v>
      </c>
      <c r="Z56" s="10" t="n">
        <f aca="false">IF(OR(Y56="",多次统计数据!$B$8=""),"",Y56-多次统计数据!$B$8)</f>
        <v>-0.2794515754405</v>
      </c>
      <c r="AA56" s="13" t="n">
        <f aca="false">IF(OR(I56="",M56="",M56&lt;I56),"",M56-I56)</f>
        <v>7</v>
      </c>
      <c r="AB56" s="10" t="n">
        <f aca="false">IF(OR(A56="",多次统计数据!$B$8="",多次统计数据!$B$6&lt;=0,多次统计数据!$B$6&gt;=1),"",1-POWER(1+多次统计数据!$B$8,-多次统计数据!$B$6/(1-多次统计数据!$B$6)))</f>
        <v>0.119185074515542</v>
      </c>
      <c r="AC56" s="6" t="str">
        <f aca="false">IF(OR(AB56="",多次统计数据!$B$9=""),"",IF(多次统计数据!$B$9&lt;AB56,"低于上限","达到或超过上限"))</f>
        <v>低于上限</v>
      </c>
      <c r="AD56" s="2" t="s">
        <v>57</v>
      </c>
    </row>
    <row r="57" customFormat="false" ht="31.3" hidden="false" customHeight="false" outlineLevel="0" collapsed="false">
      <c r="A57" s="2" t="s">
        <v>183</v>
      </c>
      <c r="B57" s="2" t="s">
        <v>59</v>
      </c>
      <c r="C57" s="3" t="n">
        <v>110901</v>
      </c>
      <c r="D57" s="4" t="n">
        <v>0.01</v>
      </c>
      <c r="E57" s="3" t="n">
        <v>11.25</v>
      </c>
      <c r="F57" s="5" t="n">
        <f aca="false">IF(OR(C57="",D57="",E57="",N57="",C57&lt;=0,D57&lt;=0,E57&lt;=N57),"",ROUNDDOWN((C57*D57)/(E57-N57)/100,0)*100)</f>
        <v>1400</v>
      </c>
      <c r="G57" s="6" t="str">
        <f aca="false">IF(OR(A57="",F57="",E57="",N57="",E57&lt;=N57,账户数据!$B$7=""),"",IF(账户数据!$B$9+IF(H57="",F57*(E57-N57),0)&gt;=账户数据!$B$7,"禁止开仓","允许开仓"))</f>
        <v>禁止开仓</v>
      </c>
      <c r="H57" s="7" t="n">
        <v>200</v>
      </c>
      <c r="I57" s="8" t="n">
        <v>46183</v>
      </c>
      <c r="J57" s="3" t="n">
        <v>12.38</v>
      </c>
      <c r="K57" s="3" t="n">
        <v>10.5</v>
      </c>
      <c r="L57" s="5" t="n">
        <f aca="false">IF(K57="","",H57)</f>
        <v>200</v>
      </c>
      <c r="M57" s="8" t="n">
        <v>46184</v>
      </c>
      <c r="N57" s="3" t="n">
        <v>10.5</v>
      </c>
      <c r="O57" s="3" t="n">
        <v>5</v>
      </c>
      <c r="P57" s="3" t="n">
        <v>0</v>
      </c>
      <c r="Q57" s="9" t="s">
        <v>105</v>
      </c>
      <c r="R57" s="9" t="s">
        <v>90</v>
      </c>
      <c r="S57" s="9" t="s">
        <v>107</v>
      </c>
      <c r="T57" s="9" t="s">
        <v>35</v>
      </c>
      <c r="U57" s="10" t="n">
        <f aca="false">IF(OR(E57="",J57="",E57&lt;=0),"",(J57-E57)/E57)</f>
        <v>0.100444444444445</v>
      </c>
      <c r="V57" s="10" t="n">
        <f aca="false">IF(OR(E57="",N57="",E57&lt;=0),"",(E57-N57)/E57)</f>
        <v>0.0666666666666667</v>
      </c>
      <c r="W57" s="11" t="n">
        <f aca="false">IF(OR(U57="",V57="",V57&lt;=0),"",U57/V57)</f>
        <v>1.50666666666667</v>
      </c>
      <c r="X57" s="12" t="n">
        <f aca="false">IF(OR(K57="",L57="",E57="",H57=""),"",K57*L57-E57*H57-IF(O57="",0,O57)-IF(P57="",0,P57))</f>
        <v>-155</v>
      </c>
      <c r="Y57" s="10" t="n">
        <f aca="false">IF(OR(X57="",E57="",H57=""),"",IF(E57*H57+IF(O57="",0,O57)&lt;=0,"",X57/(E57*H57+IF(O57="",0,O57))))</f>
        <v>-0.0687361419068736</v>
      </c>
      <c r="Z57" s="10" t="n">
        <f aca="false">IF(OR(Y57="",多次统计数据!$B$8=""),"",Y57-多次统计数据!$B$8)</f>
        <v>-0.196867231979779</v>
      </c>
      <c r="AA57" s="13" t="n">
        <f aca="false">IF(OR(I57="",M57="",M57&lt;I57),"",M57-I57)</f>
        <v>1</v>
      </c>
      <c r="AB57" s="10" t="n">
        <f aca="false">IF(OR(A57="",多次统计数据!$B$8="",多次统计数据!$B$6&lt;=0,多次统计数据!$B$6&gt;=1),"",1-POWER(1+多次统计数据!$B$8,-多次统计数据!$B$6/(1-多次统计数据!$B$6)))</f>
        <v>0.119185074515542</v>
      </c>
      <c r="AC57" s="6" t="str">
        <f aca="false">IF(OR(AB57="",多次统计数据!$B$9=""),"",IF(多次统计数据!$B$9&lt;AB57,"低于上限","达到或超过上限"))</f>
        <v>低于上限</v>
      </c>
      <c r="AD57" s="2" t="s">
        <v>57</v>
      </c>
    </row>
    <row r="58" customFormat="false" ht="16.4" hidden="false" customHeight="false" outlineLevel="0" collapsed="false">
      <c r="A58" s="2" t="s">
        <v>184</v>
      </c>
      <c r="B58" s="2" t="s">
        <v>64</v>
      </c>
      <c r="C58" s="3" t="n">
        <v>110746</v>
      </c>
      <c r="D58" s="4" t="n">
        <v>0.01</v>
      </c>
      <c r="E58" s="3" t="n">
        <v>12.5</v>
      </c>
      <c r="F58" s="5" t="n">
        <f aca="false">IF(OR(C58="",D58="",E58="",N58="",C58&lt;=0,D58&lt;=0,E58&lt;=N58),"",ROUNDDOWN((C58*D58)/(E58-N58)/100,0)*100)</f>
        <v>1100</v>
      </c>
      <c r="G58" s="6" t="str">
        <f aca="false">IF(OR(A58="",F58="",E58="",N58="",E58&lt;=N58,账户数据!$B$7=""),"",IF(账户数据!$B$9+IF(H58="",F58*(E58-N58),0)&gt;=账户数据!$B$7,"禁止开仓","允许开仓"))</f>
        <v>禁止开仓</v>
      </c>
      <c r="H58" s="7" t="n">
        <v>400</v>
      </c>
      <c r="I58" s="8" t="n">
        <v>46184</v>
      </c>
      <c r="J58" s="3" t="n">
        <v>13.75</v>
      </c>
      <c r="K58" s="3" t="n">
        <v>11.5</v>
      </c>
      <c r="L58" s="5" t="n">
        <f aca="false">IF(K58="","",H58)</f>
        <v>400</v>
      </c>
      <c r="M58" s="8" t="n">
        <v>46186</v>
      </c>
      <c r="N58" s="3" t="n">
        <v>11.5</v>
      </c>
      <c r="O58" s="3" t="n">
        <v>0</v>
      </c>
      <c r="P58" s="3" t="n">
        <v>5</v>
      </c>
      <c r="Q58" s="2" t="s">
        <v>109</v>
      </c>
      <c r="R58" s="9" t="s">
        <v>94</v>
      </c>
      <c r="S58" s="9" t="s">
        <v>111</v>
      </c>
      <c r="T58" s="9" t="s">
        <v>35</v>
      </c>
      <c r="U58" s="10" t="n">
        <f aca="false">IF(OR(E58="",J58="",E58&lt;=0),"",(J58-E58)/E58)</f>
        <v>0.1</v>
      </c>
      <c r="V58" s="10" t="n">
        <f aca="false">IF(OR(E58="",N58="",E58&lt;=0),"",(E58-N58)/E58)</f>
        <v>0.08</v>
      </c>
      <c r="W58" s="11" t="n">
        <f aca="false">IF(OR(U58="",V58="",V58&lt;=0),"",U58/V58)</f>
        <v>1.25</v>
      </c>
      <c r="X58" s="12" t="n">
        <f aca="false">IF(OR(K58="",L58="",E58="",H58=""),"",K58*L58-E58*H58-IF(O58="",0,O58)-IF(P58="",0,P58))</f>
        <v>-405</v>
      </c>
      <c r="Y58" s="10" t="n">
        <f aca="false">IF(OR(X58="",E58="",H58=""),"",IF(E58*H58+IF(O58="",0,O58)&lt;=0,"",X58/(E58*H58+IF(O58="",0,O58))))</f>
        <v>-0.081</v>
      </c>
      <c r="Z58" s="10" t="n">
        <f aca="false">IF(OR(Y58="",多次统计数据!$B$8=""),"",Y58-多次统计数据!$B$8)</f>
        <v>-0.209131090072905</v>
      </c>
      <c r="AA58" s="13" t="n">
        <f aca="false">IF(OR(I58="",M58="",M58&lt;I58),"",M58-I58)</f>
        <v>2</v>
      </c>
      <c r="AB58" s="10" t="n">
        <f aca="false">IF(OR(A58="",多次统计数据!$B$8="",多次统计数据!$B$6&lt;=0,多次统计数据!$B$6&gt;=1),"",1-POWER(1+多次统计数据!$B$8,-多次统计数据!$B$6/(1-多次统计数据!$B$6)))</f>
        <v>0.119185074515542</v>
      </c>
      <c r="AC58" s="6" t="str">
        <f aca="false">IF(OR(AB58="",多次统计数据!$B$9=""),"",IF(多次统计数据!$B$9&lt;AB58,"低于上限","达到或超过上限"))</f>
        <v>低于上限</v>
      </c>
      <c r="AD58" s="2" t="s">
        <v>57</v>
      </c>
    </row>
    <row r="59" customFormat="false" ht="16.4" hidden="false" customHeight="false" outlineLevel="0" collapsed="false">
      <c r="A59" s="2" t="s">
        <v>185</v>
      </c>
      <c r="B59" s="2" t="s">
        <v>69</v>
      </c>
      <c r="C59" s="3" t="n">
        <v>110341</v>
      </c>
      <c r="D59" s="4" t="n">
        <v>0.01</v>
      </c>
      <c r="E59" s="3" t="n">
        <v>13.75</v>
      </c>
      <c r="F59" s="5" t="n">
        <f aca="false">IF(OR(C59="",D59="",E59="",N59="",C59&lt;=0,D59&lt;=0,E59&lt;=N59),"",ROUNDDOWN((C59*D59)/(E59-N59)/100,0)*100)</f>
        <v>800</v>
      </c>
      <c r="G59" s="6" t="str">
        <f aca="false">IF(OR(A59="",F59="",E59="",N59="",E59&lt;=N59,账户数据!$B$7=""),"",IF(账户数据!$B$9+IF(H59="",F59*(E59-N59),0)&gt;=账户数据!$B$7,"禁止开仓","允许开仓"))</f>
        <v>禁止开仓</v>
      </c>
      <c r="H59" s="7" t="n">
        <v>400</v>
      </c>
      <c r="I59" s="8" t="n">
        <v>46185</v>
      </c>
      <c r="J59" s="3" t="n">
        <v>15.13</v>
      </c>
      <c r="K59" s="3" t="n">
        <v>12.5</v>
      </c>
      <c r="L59" s="5" t="n">
        <f aca="false">IF(K59="","",H59)</f>
        <v>400</v>
      </c>
      <c r="M59" s="8" t="n">
        <v>46188</v>
      </c>
      <c r="N59" s="3" t="n">
        <v>12.5</v>
      </c>
      <c r="O59" s="3" t="n">
        <v>5</v>
      </c>
      <c r="P59" s="3" t="n">
        <v>5</v>
      </c>
      <c r="Q59" s="9" t="s">
        <v>113</v>
      </c>
      <c r="R59" s="9" t="s">
        <v>98</v>
      </c>
      <c r="S59" s="9" t="s">
        <v>115</v>
      </c>
      <c r="T59" s="9" t="s">
        <v>35</v>
      </c>
      <c r="U59" s="10" t="n">
        <f aca="false">IF(OR(E59="",J59="",E59&lt;=0),"",(J59-E59)/E59)</f>
        <v>0.100363636363636</v>
      </c>
      <c r="V59" s="10" t="n">
        <f aca="false">IF(OR(E59="",N59="",E59&lt;=0),"",(E59-N59)/E59)</f>
        <v>0.0909090909090909</v>
      </c>
      <c r="W59" s="11" t="n">
        <f aca="false">IF(OR(U59="",V59="",V59&lt;=0),"",U59/V59)</f>
        <v>1.104</v>
      </c>
      <c r="X59" s="12" t="n">
        <f aca="false">IF(OR(K59="",L59="",E59="",H59=""),"",K59*L59-E59*H59-IF(O59="",0,O59)-IF(P59="",0,P59))</f>
        <v>-510</v>
      </c>
      <c r="Y59" s="10" t="n">
        <f aca="false">IF(OR(X59="",E59="",H59=""),"",IF(E59*H59+IF(O59="",0,O59)&lt;=0,"",X59/(E59*H59+IF(O59="",0,O59))))</f>
        <v>-0.0926430517711172</v>
      </c>
      <c r="Z59" s="10" t="n">
        <f aca="false">IF(OR(Y59="",多次统计数据!$B$8=""),"",Y59-多次统计数据!$B$8)</f>
        <v>-0.220774141844022</v>
      </c>
      <c r="AA59" s="13" t="n">
        <f aca="false">IF(OR(I59="",M59="",M59&lt;I59),"",M59-I59)</f>
        <v>3</v>
      </c>
      <c r="AB59" s="10" t="n">
        <f aca="false">IF(OR(A59="",多次统计数据!$B$8="",多次统计数据!$B$6&lt;=0,多次统计数据!$B$6&gt;=1),"",1-POWER(1+多次统计数据!$B$8,-多次统计数据!$B$6/(1-多次统计数据!$B$6)))</f>
        <v>0.119185074515542</v>
      </c>
      <c r="AC59" s="6" t="str">
        <f aca="false">IF(OR(AB59="",多次统计数据!$B$9=""),"",IF(多次统计数据!$B$9&lt;AB59,"低于上限","达到或超过上限"))</f>
        <v>低于上限</v>
      </c>
      <c r="AD59" s="2" t="s">
        <v>57</v>
      </c>
    </row>
    <row r="60" customFormat="false" ht="31.3" hidden="false" customHeight="false" outlineLevel="0" collapsed="false">
      <c r="A60" s="2" t="s">
        <v>186</v>
      </c>
      <c r="B60" s="2" t="s">
        <v>74</v>
      </c>
      <c r="C60" s="3" t="n">
        <v>109831</v>
      </c>
      <c r="D60" s="4" t="n">
        <v>0.01</v>
      </c>
      <c r="E60" s="3" t="n">
        <v>15</v>
      </c>
      <c r="F60" s="5" t="n">
        <f aca="false">IF(OR(C60="",D60="",E60="",N60="",C60&lt;=0,D60&lt;=0,E60&lt;=N60),"",ROUNDDOWN((C60*D60)/(E60-N60)/100,0)*100)</f>
        <v>700</v>
      </c>
      <c r="G60" s="6" t="str">
        <f aca="false">IF(OR(A60="",F60="",E60="",N60="",E60&lt;=N60,账户数据!$B$7=""),"",IF(账户数据!$B$9+IF(H60="",F60*(E60-N60),0)&gt;=账户数据!$B$7,"禁止开仓","允许开仓"))</f>
        <v>禁止开仓</v>
      </c>
      <c r="H60" s="7" t="n">
        <v>500</v>
      </c>
      <c r="I60" s="8" t="n">
        <v>46186</v>
      </c>
      <c r="J60" s="3" t="n">
        <v>16.5</v>
      </c>
      <c r="K60" s="3" t="n">
        <v>15</v>
      </c>
      <c r="L60" s="5" t="n">
        <f aca="false">IF(K60="","",H60)</f>
        <v>500</v>
      </c>
      <c r="M60" s="8" t="n">
        <v>46190</v>
      </c>
      <c r="N60" s="3" t="n">
        <v>13.5</v>
      </c>
      <c r="O60" s="3" t="n">
        <v>0</v>
      </c>
      <c r="P60" s="3" t="n">
        <v>0</v>
      </c>
      <c r="Q60" s="9" t="s">
        <v>117</v>
      </c>
      <c r="R60" s="9" t="s">
        <v>102</v>
      </c>
      <c r="S60" s="9" t="s">
        <v>119</v>
      </c>
      <c r="T60" s="9" t="s">
        <v>35</v>
      </c>
      <c r="U60" s="10" t="n">
        <f aca="false">IF(OR(E60="",J60="",E60&lt;=0),"",(J60-E60)/E60)</f>
        <v>0.1</v>
      </c>
      <c r="V60" s="10" t="n">
        <f aca="false">IF(OR(E60="",N60="",E60&lt;=0),"",(E60-N60)/E60)</f>
        <v>0.1</v>
      </c>
      <c r="W60" s="11" t="n">
        <f aca="false">IF(OR(U60="",V60="",V60&lt;=0),"",U60/V60)</f>
        <v>1</v>
      </c>
      <c r="X60" s="12" t="n">
        <f aca="false">IF(OR(K60="",L60="",E60="",H60=""),"",K60*L60-E60*H60-IF(O60="",0,O60)-IF(P60="",0,P60))</f>
        <v>0</v>
      </c>
      <c r="Y60" s="10" t="n">
        <f aca="false">IF(OR(X60="",E60="",H60=""),"",IF(E60*H60+IF(O60="",0,O60)&lt;=0,"",X60/(E60*H60+IF(O60="",0,O60))))</f>
        <v>0</v>
      </c>
      <c r="Z60" s="10" t="n">
        <f aca="false">IF(OR(Y60="",多次统计数据!$B$8=""),"",Y60-多次统计数据!$B$8)</f>
        <v>-0.128131090072905</v>
      </c>
      <c r="AA60" s="13" t="n">
        <f aca="false">IF(OR(I60="",M60="",M60&lt;I60),"",M60-I60)</f>
        <v>4</v>
      </c>
      <c r="AB60" s="10" t="n">
        <f aca="false">IF(OR(A60="",多次统计数据!$B$8="",多次统计数据!$B$6&lt;=0,多次统计数据!$B$6&gt;=1),"",1-POWER(1+多次统计数据!$B$8,-多次统计数据!$B$6/(1-多次统计数据!$B$6)))</f>
        <v>0.119185074515542</v>
      </c>
      <c r="AC60" s="6" t="str">
        <f aca="false">IF(OR(AB60="",多次统计数据!$B$9=""),"",IF(多次统计数据!$B$9&lt;AB60,"低于上限","达到或超过上限"))</f>
        <v>低于上限</v>
      </c>
      <c r="AD60" s="2" t="s">
        <v>78</v>
      </c>
    </row>
    <row r="61" customFormat="false" ht="31.3" hidden="false" customHeight="false" outlineLevel="0" collapsed="false">
      <c r="A61" s="2" t="s">
        <v>187</v>
      </c>
      <c r="B61" s="2" t="s">
        <v>80</v>
      </c>
      <c r="C61" s="3" t="n">
        <v>109831</v>
      </c>
      <c r="D61" s="4" t="n">
        <v>0.01</v>
      </c>
      <c r="E61" s="3" t="n">
        <v>16.25</v>
      </c>
      <c r="F61" s="5" t="n">
        <f aca="false">IF(OR(C61="",D61="",E61="",N61="",C61&lt;=0,D61&lt;=0,E61&lt;=N61),"",ROUNDDOWN((C61*D61)/(E61-N61)/100,0)*100)</f>
        <v>1400</v>
      </c>
      <c r="G61" s="6" t="str">
        <f aca="false">IF(OR(A61="",F61="",E61="",N61="",E61&lt;=N61,账户数据!$B$7=""),"",IF(账户数据!$B$9+IF(H61="",F61*(E61-N61),0)&gt;=账户数据!$B$7,"禁止开仓","允许开仓"))</f>
        <v>禁止开仓</v>
      </c>
      <c r="H61" s="7" t="n">
        <v>1400</v>
      </c>
      <c r="I61" s="8" t="n">
        <v>46187</v>
      </c>
      <c r="J61" s="3" t="n">
        <v>17.88</v>
      </c>
      <c r="K61" s="3"/>
      <c r="L61" s="5" t="str">
        <f aca="false">IF(K61="","",H61)</f>
        <v/>
      </c>
      <c r="M61" s="8"/>
      <c r="N61" s="3" t="n">
        <v>15.5</v>
      </c>
      <c r="O61" s="3" t="n">
        <v>0</v>
      </c>
      <c r="P61" s="3" t="n">
        <v>0</v>
      </c>
      <c r="Q61" s="9" t="s">
        <v>121</v>
      </c>
      <c r="R61" s="9" t="s">
        <v>106</v>
      </c>
      <c r="S61" s="9" t="s">
        <v>123</v>
      </c>
      <c r="T61" s="9"/>
      <c r="U61" s="10" t="n">
        <f aca="false">IF(OR(E61="",J61="",E61&lt;=0),"",(J61-E61)/E61)</f>
        <v>0.100307692307692</v>
      </c>
      <c r="V61" s="10" t="n">
        <f aca="false">IF(OR(E61="",N61="",E61&lt;=0),"",(E61-N61)/E61)</f>
        <v>0.0461538461538462</v>
      </c>
      <c r="W61" s="11" t="n">
        <f aca="false">IF(OR(U61="",V61="",V61&lt;=0),"",U61/V61)</f>
        <v>2.17333333333333</v>
      </c>
      <c r="X61" s="12" t="str">
        <f aca="false">IF(OR(K61="",L61="",E61="",H61=""),"",K61*L61-E61*H61-IF(O61="",0,O61)-IF(P61="",0,P61))</f>
        <v/>
      </c>
      <c r="Y61" s="10" t="str">
        <f aca="false">IF(OR(X61="",E61="",H61=""),"",IF(E61*H61+IF(O61="",0,O61)&lt;=0,"",X61/(E61*H61+IF(O61="",0,O61))))</f>
        <v/>
      </c>
      <c r="Z61" s="10" t="str">
        <f aca="false">IF(OR(Y61="",多次统计数据!$B$8=""),"",Y61-多次统计数据!$B$8)</f>
        <v/>
      </c>
      <c r="AA61" s="13" t="str">
        <f aca="false">IF(OR(I61="",M61="",M61&lt;I61),"",M61-I61)</f>
        <v/>
      </c>
      <c r="AB61" s="10" t="n">
        <f aca="false">IF(OR(A61="",多次统计数据!$B$8="",多次统计数据!$B$6&lt;=0,多次统计数据!$B$6&gt;=1),"",1-POWER(1+多次统计数据!$B$8,-多次统计数据!$B$6/(1-多次统计数据!$B$6)))</f>
        <v>0.119185074515542</v>
      </c>
      <c r="AC61" s="6" t="str">
        <f aca="false">IF(OR(AB61="",多次统计数据!$B$9=""),"",IF(多次统计数据!$B$9&lt;AB61,"低于上限","达到或超过上限"))</f>
        <v>低于上限</v>
      </c>
      <c r="AD61" s="2"/>
    </row>
    <row r="62" customFormat="false" ht="16.4" hidden="false" customHeight="false" outlineLevel="0" collapsed="false">
      <c r="A62" s="2" t="s">
        <v>188</v>
      </c>
      <c r="B62" s="2" t="s">
        <v>31</v>
      </c>
      <c r="C62" s="3" t="n">
        <v>109831</v>
      </c>
      <c r="D62" s="4" t="n">
        <v>0.01</v>
      </c>
      <c r="E62" s="3" t="n">
        <v>17.5</v>
      </c>
      <c r="F62" s="5" t="n">
        <f aca="false">IF(OR(C62="",D62="",E62="",N62="",C62&lt;=0,D62&lt;=0,E62&lt;=N62),"",ROUNDDOWN((C62*D62)/(E62-N62)/100,0)*100)</f>
        <v>1000</v>
      </c>
      <c r="G62" s="6" t="str">
        <f aca="false">IF(OR(A62="",F62="",E62="",N62="",E62&lt;=N62,账户数据!$B$7=""),"",IF(账户数据!$B$9+IF(H62="",F62*(E62-N62),0)&gt;=账户数据!$B$7,"禁止开仓","允许开仓"))</f>
        <v>禁止开仓</v>
      </c>
      <c r="H62" s="7" t="n">
        <v>200</v>
      </c>
      <c r="I62" s="8" t="n">
        <v>46188</v>
      </c>
      <c r="J62" s="3" t="n">
        <v>19.25</v>
      </c>
      <c r="K62" s="3" t="n">
        <v>19.78</v>
      </c>
      <c r="L62" s="5" t="n">
        <f aca="false">IF(K62="","",H62)</f>
        <v>200</v>
      </c>
      <c r="M62" s="8" t="n">
        <v>46194</v>
      </c>
      <c r="N62" s="3" t="n">
        <v>16.5</v>
      </c>
      <c r="O62" s="3" t="n">
        <v>5</v>
      </c>
      <c r="P62" s="3" t="n">
        <v>5</v>
      </c>
      <c r="Q62" s="9" t="s">
        <v>32</v>
      </c>
      <c r="R62" s="9" t="s">
        <v>110</v>
      </c>
      <c r="S62" s="9" t="s">
        <v>34</v>
      </c>
      <c r="T62" s="9" t="s">
        <v>35</v>
      </c>
      <c r="U62" s="10" t="n">
        <f aca="false">IF(OR(E62="",J62="",E62&lt;=0),"",(J62-E62)/E62)</f>
        <v>0.1</v>
      </c>
      <c r="V62" s="10" t="n">
        <f aca="false">IF(OR(E62="",N62="",E62&lt;=0),"",(E62-N62)/E62)</f>
        <v>0.0571428571428571</v>
      </c>
      <c r="W62" s="11" t="n">
        <f aca="false">IF(OR(U62="",V62="",V62&lt;=0),"",U62/V62)</f>
        <v>1.75</v>
      </c>
      <c r="X62" s="12" t="n">
        <f aca="false">IF(OR(K62="",L62="",E62="",H62=""),"",K62*L62-E62*H62-IF(O62="",0,O62)-IF(P62="",0,P62))</f>
        <v>446</v>
      </c>
      <c r="Y62" s="10" t="n">
        <f aca="false">IF(OR(X62="",E62="",H62=""),"",IF(E62*H62+IF(O62="",0,O62)&lt;=0,"",X62/(E62*H62+IF(O62="",0,O62))))</f>
        <v>0.127246790299572</v>
      </c>
      <c r="Z62" s="10" t="n">
        <f aca="false">IF(OR(Y62="",多次统计数据!$B$8=""),"",Y62-多次统计数据!$B$8)</f>
        <v>-0.000884299773332875</v>
      </c>
      <c r="AA62" s="13" t="n">
        <f aca="false">IF(OR(I62="",M62="",M62&lt;I62),"",M62-I62)</f>
        <v>6</v>
      </c>
      <c r="AB62" s="10" t="n">
        <f aca="false">IF(OR(A62="",多次统计数据!$B$8="",多次统计数据!$B$6&lt;=0,多次统计数据!$B$6&gt;=1),"",1-POWER(1+多次统计数据!$B$8,-多次统计数据!$B$6/(1-多次统计数据!$B$6)))</f>
        <v>0.119185074515542</v>
      </c>
      <c r="AC62" s="6" t="str">
        <f aca="false">IF(OR(AB62="",多次统计数据!$B$9=""),"",IF(多次统计数据!$B$9&lt;AB62,"低于上限","达到或超过上限"))</f>
        <v>低于上限</v>
      </c>
      <c r="AD62" s="2" t="s">
        <v>36</v>
      </c>
    </row>
    <row r="63" customFormat="false" ht="16.4" hidden="false" customHeight="false" outlineLevel="0" collapsed="false">
      <c r="A63" s="2" t="s">
        <v>189</v>
      </c>
      <c r="B63" s="2" t="s">
        <v>38</v>
      </c>
      <c r="C63" s="3" t="n">
        <v>110277</v>
      </c>
      <c r="D63" s="4" t="n">
        <v>0.01</v>
      </c>
      <c r="E63" s="3" t="n">
        <v>18.75</v>
      </c>
      <c r="F63" s="5" t="n">
        <f aca="false">IF(OR(C63="",D63="",E63="",N63="",C63&lt;=0,D63&lt;=0,E63&lt;=N63),"",ROUNDDOWN((C63*D63)/(E63-N63)/100,0)*100)</f>
        <v>800</v>
      </c>
      <c r="G63" s="6" t="str">
        <f aca="false">IF(OR(A63="",F63="",E63="",N63="",E63&lt;=N63,账户数据!$B$7=""),"",IF(账户数据!$B$9+IF(H63="",F63*(E63-N63),0)&gt;=账户数据!$B$7,"禁止开仓","允许开仓"))</f>
        <v>禁止开仓</v>
      </c>
      <c r="H63" s="7" t="n">
        <v>300</v>
      </c>
      <c r="I63" s="8" t="n">
        <v>46189</v>
      </c>
      <c r="J63" s="3" t="n">
        <v>20.62</v>
      </c>
      <c r="K63" s="3" t="n">
        <v>21.38</v>
      </c>
      <c r="L63" s="5" t="n">
        <f aca="false">IF(K63="","",H63)</f>
        <v>300</v>
      </c>
      <c r="M63" s="8" t="n">
        <v>46196</v>
      </c>
      <c r="N63" s="3" t="n">
        <v>17.5</v>
      </c>
      <c r="O63" s="3" t="n">
        <v>5</v>
      </c>
      <c r="P63" s="3" t="n">
        <v>5</v>
      </c>
      <c r="Q63" s="9" t="s">
        <v>39</v>
      </c>
      <c r="R63" s="9" t="s">
        <v>114</v>
      </c>
      <c r="S63" s="9" t="s">
        <v>41</v>
      </c>
      <c r="T63" s="9" t="s">
        <v>35</v>
      </c>
      <c r="U63" s="10" t="n">
        <f aca="false">IF(OR(E63="",J63="",E63&lt;=0),"",(J63-E63)/E63)</f>
        <v>0.0997333333333334</v>
      </c>
      <c r="V63" s="10" t="n">
        <f aca="false">IF(OR(E63="",N63="",E63&lt;=0),"",(E63-N63)/E63)</f>
        <v>0.0666666666666667</v>
      </c>
      <c r="W63" s="11" t="n">
        <f aca="false">IF(OR(U63="",V63="",V63&lt;=0),"",U63/V63)</f>
        <v>1.496</v>
      </c>
      <c r="X63" s="12" t="n">
        <f aca="false">IF(OR(K63="",L63="",E63="",H63=""),"",K63*L63-E63*H63-IF(O63="",0,O63)-IF(P63="",0,P63))</f>
        <v>779</v>
      </c>
      <c r="Y63" s="10" t="n">
        <f aca="false">IF(OR(X63="",E63="",H63=""),"",IF(E63*H63+IF(O63="",0,O63)&lt;=0,"",X63/(E63*H63+IF(O63="",0,O63))))</f>
        <v>0.138365896980462</v>
      </c>
      <c r="Z63" s="10" t="n">
        <f aca="false">IF(OR(Y63="",多次统计数据!$B$8=""),"",Y63-多次统计数据!$B$8)</f>
        <v>0.0102348069075569</v>
      </c>
      <c r="AA63" s="13" t="n">
        <f aca="false">IF(OR(I63="",M63="",M63&lt;I63),"",M63-I63)</f>
        <v>7</v>
      </c>
      <c r="AB63" s="10" t="n">
        <f aca="false">IF(OR(A63="",多次统计数据!$B$8="",多次统计数据!$B$6&lt;=0,多次统计数据!$B$6&gt;=1),"",1-POWER(1+多次统计数据!$B$8,-多次统计数据!$B$6/(1-多次统计数据!$B$6)))</f>
        <v>0.119185074515542</v>
      </c>
      <c r="AC63" s="6" t="str">
        <f aca="false">IF(OR(AB63="",多次统计数据!$B$9=""),"",IF(多次统计数据!$B$9&lt;AB63,"低于上限","达到或超过上限"))</f>
        <v>低于上限</v>
      </c>
      <c r="AD63" s="2" t="s">
        <v>36</v>
      </c>
    </row>
    <row r="64" customFormat="false" ht="16.4" hidden="false" customHeight="false" outlineLevel="0" collapsed="false">
      <c r="A64" s="2" t="s">
        <v>190</v>
      </c>
      <c r="B64" s="2" t="s">
        <v>43</v>
      </c>
      <c r="C64" s="3" t="n">
        <v>111056</v>
      </c>
      <c r="D64" s="4" t="n">
        <v>0.01</v>
      </c>
      <c r="E64" s="3" t="n">
        <v>20</v>
      </c>
      <c r="F64" s="5" t="n">
        <f aca="false">IF(OR(C64="",D64="",E64="",N64="",C64&lt;=0,D64&lt;=0,E64&lt;=N64),"",ROUNDDOWN((C64*D64)/(E64-N64)/100,0)*100)</f>
        <v>700</v>
      </c>
      <c r="G64" s="6" t="str">
        <f aca="false">IF(OR(A64="",F64="",E64="",N64="",E64&lt;=N64,账户数据!$B$7=""),"",IF(账户数据!$B$9+IF(H64="",F64*(E64-N64),0)&gt;=账户数据!$B$7,"禁止开仓","允许开仓"))</f>
        <v>禁止开仓</v>
      </c>
      <c r="H64" s="7" t="n">
        <v>400</v>
      </c>
      <c r="I64" s="8" t="n">
        <v>46190</v>
      </c>
      <c r="J64" s="3" t="n">
        <v>22</v>
      </c>
      <c r="K64" s="3" t="n">
        <v>22.4</v>
      </c>
      <c r="L64" s="5" t="n">
        <f aca="false">IF(K64="","",H64)</f>
        <v>400</v>
      </c>
      <c r="M64" s="8" t="n">
        <v>46191</v>
      </c>
      <c r="N64" s="3" t="n">
        <v>18.5</v>
      </c>
      <c r="O64" s="3" t="n">
        <v>0</v>
      </c>
      <c r="P64" s="3" t="n">
        <v>5</v>
      </c>
      <c r="Q64" s="2" t="s">
        <v>44</v>
      </c>
      <c r="R64" s="9" t="s">
        <v>118</v>
      </c>
      <c r="S64" s="9" t="s">
        <v>46</v>
      </c>
      <c r="T64" s="9" t="s">
        <v>35</v>
      </c>
      <c r="U64" s="10" t="n">
        <f aca="false">IF(OR(E64="",J64="",E64&lt;=0),"",(J64-E64)/E64)</f>
        <v>0.1</v>
      </c>
      <c r="V64" s="10" t="n">
        <f aca="false">IF(OR(E64="",N64="",E64&lt;=0),"",(E64-N64)/E64)</f>
        <v>0.075</v>
      </c>
      <c r="W64" s="11" t="n">
        <f aca="false">IF(OR(U64="",V64="",V64&lt;=0),"",U64/V64)</f>
        <v>1.33333333333333</v>
      </c>
      <c r="X64" s="12" t="n">
        <f aca="false">IF(OR(K64="",L64="",E64="",H64=""),"",K64*L64-E64*H64-IF(O64="",0,O64)-IF(P64="",0,P64))</f>
        <v>955</v>
      </c>
      <c r="Y64" s="10" t="n">
        <f aca="false">IF(OR(X64="",E64="",H64=""),"",IF(E64*H64+IF(O64="",0,O64)&lt;=0,"",X64/(E64*H64+IF(O64="",0,O64))))</f>
        <v>0.119375</v>
      </c>
      <c r="Z64" s="10" t="n">
        <f aca="false">IF(OR(Y64="",多次统计数据!$B$8=""),"",Y64-多次统计数据!$B$8)</f>
        <v>-0.00875609007290491</v>
      </c>
      <c r="AA64" s="13" t="n">
        <f aca="false">IF(OR(I64="",M64="",M64&lt;I64),"",M64-I64)</f>
        <v>1</v>
      </c>
      <c r="AB64" s="10" t="n">
        <f aca="false">IF(OR(A64="",多次统计数据!$B$8="",多次统计数据!$B$6&lt;=0,多次统计数据!$B$6&gt;=1),"",1-POWER(1+多次统计数据!$B$8,-多次统计数据!$B$6/(1-多次统计数据!$B$6)))</f>
        <v>0.119185074515542</v>
      </c>
      <c r="AC64" s="6" t="str">
        <f aca="false">IF(OR(AB64="",多次统计数据!$B$9=""),"",IF(多次统计数据!$B$9&lt;AB64,"低于上限","达到或超过上限"))</f>
        <v>低于上限</v>
      </c>
      <c r="AD64" s="2" t="s">
        <v>36</v>
      </c>
    </row>
    <row r="65" customFormat="false" ht="31.3" hidden="false" customHeight="false" outlineLevel="0" collapsed="false">
      <c r="A65" s="2" t="s">
        <v>191</v>
      </c>
      <c r="B65" s="2" t="s">
        <v>48</v>
      </c>
      <c r="C65" s="3" t="n">
        <v>112011</v>
      </c>
      <c r="D65" s="4" t="n">
        <v>0.01</v>
      </c>
      <c r="E65" s="3" t="n">
        <v>21.25</v>
      </c>
      <c r="F65" s="5" t="n">
        <f aca="false">IF(OR(C65="",D65="",E65="",N65="",C65&lt;=0,D65&lt;=0,E65&lt;=N65),"",ROUNDDOWN((C65*D65)/(E65-N65)/100,0)*100)</f>
        <v>1400</v>
      </c>
      <c r="G65" s="6" t="str">
        <f aca="false">IF(OR(A65="",F65="",E65="",N65="",E65&lt;=N65,账户数据!$B$7=""),"",IF(账户数据!$B$9+IF(H65="",F65*(E65-N65),0)&gt;=账户数据!$B$7,"禁止开仓","允许开仓"))</f>
        <v>禁止开仓</v>
      </c>
      <c r="H65" s="7" t="n">
        <v>1100</v>
      </c>
      <c r="I65" s="8" t="n">
        <v>46191</v>
      </c>
      <c r="J65" s="3" t="n">
        <v>23.38</v>
      </c>
      <c r="K65" s="3" t="n">
        <v>24.01</v>
      </c>
      <c r="L65" s="5" t="n">
        <f aca="false">IF(K65="","",H65)</f>
        <v>1100</v>
      </c>
      <c r="M65" s="8" t="n">
        <v>46193</v>
      </c>
      <c r="N65" s="3" t="n">
        <v>20.5</v>
      </c>
      <c r="O65" s="3" t="n">
        <v>5</v>
      </c>
      <c r="P65" s="3" t="n">
        <v>0</v>
      </c>
      <c r="Q65" s="9" t="s">
        <v>49</v>
      </c>
      <c r="R65" s="9" t="s">
        <v>122</v>
      </c>
      <c r="S65" s="9" t="s">
        <v>51</v>
      </c>
      <c r="T65" s="9" t="s">
        <v>35</v>
      </c>
      <c r="U65" s="10" t="n">
        <f aca="false">IF(OR(E65="",J65="",E65&lt;=0),"",(J65-E65)/E65)</f>
        <v>0.100235294117647</v>
      </c>
      <c r="V65" s="10" t="n">
        <f aca="false">IF(OR(E65="",N65="",E65&lt;=0),"",(E65-N65)/E65)</f>
        <v>0.0352941176470588</v>
      </c>
      <c r="W65" s="11" t="n">
        <f aca="false">IF(OR(U65="",V65="",V65&lt;=0),"",U65/V65)</f>
        <v>2.84</v>
      </c>
      <c r="X65" s="12" t="n">
        <f aca="false">IF(OR(K65="",L65="",E65="",H65=""),"",K65*L65-E65*H65-IF(O65="",0,O65)-IF(P65="",0,P65))</f>
        <v>3031</v>
      </c>
      <c r="Y65" s="10" t="n">
        <f aca="false">IF(OR(X65="",E65="",H65=""),"",IF(E65*H65+IF(O65="",0,O65)&lt;=0,"",X65/(E65*H65+IF(O65="",0,O65))))</f>
        <v>0.129640718562874</v>
      </c>
      <c r="Z65" s="10" t="n">
        <f aca="false">IF(OR(Y65="",多次统计数据!$B$8=""),"",Y65-多次统计数据!$B$8)</f>
        <v>0.00150962848996936</v>
      </c>
      <c r="AA65" s="13" t="n">
        <f aca="false">IF(OR(I65="",M65="",M65&lt;I65),"",M65-I65)</f>
        <v>2</v>
      </c>
      <c r="AB65" s="10" t="n">
        <f aca="false">IF(OR(A65="",多次统计数据!$B$8="",多次统计数据!$B$6&lt;=0,多次统计数据!$B$6&gt;=1),"",1-POWER(1+多次统计数据!$B$8,-多次统计数据!$B$6/(1-多次统计数据!$B$6)))</f>
        <v>0.119185074515542</v>
      </c>
      <c r="AC65" s="6" t="str">
        <f aca="false">IF(OR(AB65="",多次统计数据!$B$9=""),"",IF(多次统计数据!$B$9&lt;AB65,"低于上限","达到或超过上限"))</f>
        <v>低于上限</v>
      </c>
      <c r="AD65" s="2" t="s">
        <v>36</v>
      </c>
    </row>
    <row r="66" customFormat="false" ht="16.4" hidden="false" customHeight="false" outlineLevel="0" collapsed="false">
      <c r="A66" s="2" t="s">
        <v>192</v>
      </c>
      <c r="B66" s="2" t="s">
        <v>53</v>
      </c>
      <c r="C66" s="3" t="n">
        <v>115042</v>
      </c>
      <c r="D66" s="4" t="n">
        <v>0.01</v>
      </c>
      <c r="E66" s="3" t="n">
        <v>22.5</v>
      </c>
      <c r="F66" s="5" t="n">
        <f aca="false">IF(OR(C66="",D66="",E66="",N66="",C66&lt;=0,D66&lt;=0,E66&lt;=N66),"",ROUNDDOWN((C66*D66)/(E66-N66)/100,0)*100)</f>
        <v>1100</v>
      </c>
      <c r="G66" s="6" t="str">
        <f aca="false">IF(OR(A66="",F66="",E66="",N66="",E66&lt;=N66,账户数据!$B$7=""),"",IF(账户数据!$B$9+IF(H66="",F66*(E66-N66),0)&gt;=账户数据!$B$7,"禁止开仓","允许开仓"))</f>
        <v>禁止开仓</v>
      </c>
      <c r="H66" s="7" t="n">
        <v>1100</v>
      </c>
      <c r="I66" s="8" t="n">
        <v>46192</v>
      </c>
      <c r="J66" s="3" t="n">
        <v>24.75</v>
      </c>
      <c r="K66" s="3" t="n">
        <v>21.15</v>
      </c>
      <c r="L66" s="5" t="n">
        <f aca="false">IF(K66="","",H66)</f>
        <v>1100</v>
      </c>
      <c r="M66" s="8" t="n">
        <v>46195</v>
      </c>
      <c r="N66" s="3" t="n">
        <v>21.5</v>
      </c>
      <c r="O66" s="3" t="n">
        <v>5</v>
      </c>
      <c r="P66" s="3" t="n">
        <v>5</v>
      </c>
      <c r="Q66" s="9" t="s">
        <v>54</v>
      </c>
      <c r="R66" s="9" t="s">
        <v>125</v>
      </c>
      <c r="S66" s="9" t="s">
        <v>56</v>
      </c>
      <c r="T66" s="9" t="s">
        <v>35</v>
      </c>
      <c r="U66" s="10" t="n">
        <f aca="false">IF(OR(E66="",J66="",E66&lt;=0),"",(J66-E66)/E66)</f>
        <v>0.1</v>
      </c>
      <c r="V66" s="10" t="n">
        <f aca="false">IF(OR(E66="",N66="",E66&lt;=0),"",(E66-N66)/E66)</f>
        <v>0.0444444444444444</v>
      </c>
      <c r="W66" s="11" t="n">
        <f aca="false">IF(OR(U66="",V66="",V66&lt;=0),"",U66/V66)</f>
        <v>2.25</v>
      </c>
      <c r="X66" s="12" t="n">
        <f aca="false">IF(OR(K66="",L66="",E66="",H66=""),"",K66*L66-E66*H66-IF(O66="",0,O66)-IF(P66="",0,P66))</f>
        <v>-1495</v>
      </c>
      <c r="Y66" s="10" t="n">
        <f aca="false">IF(OR(X66="",E66="",H66=""),"",IF(E66*H66+IF(O66="",0,O66)&lt;=0,"",X66/(E66*H66+IF(O66="",0,O66))))</f>
        <v>-0.0603918400323167</v>
      </c>
      <c r="Z66" s="10" t="n">
        <f aca="false">IF(OR(Y66="",多次统计数据!$B$8=""),"",Y66-多次统计数据!$B$8)</f>
        <v>-0.188522930105222</v>
      </c>
      <c r="AA66" s="13" t="n">
        <f aca="false">IF(OR(I66="",M66="",M66&lt;I66),"",M66-I66)</f>
        <v>3</v>
      </c>
      <c r="AB66" s="10" t="n">
        <f aca="false">IF(OR(A66="",多次统计数据!$B$8="",多次统计数据!$B$6&lt;=0,多次统计数据!$B$6&gt;=1),"",1-POWER(1+多次统计数据!$B$8,-多次统计数据!$B$6/(1-多次统计数据!$B$6)))</f>
        <v>0.119185074515542</v>
      </c>
      <c r="AC66" s="6" t="str">
        <f aca="false">IF(OR(AB66="",多次统计数据!$B$9=""),"",IF(多次统计数据!$B$9&lt;AB66,"低于上限","达到或超过上限"))</f>
        <v>低于上限</v>
      </c>
      <c r="AD66" s="2" t="s">
        <v>57</v>
      </c>
    </row>
    <row r="67" customFormat="false" ht="16.4" hidden="false" customHeight="false" outlineLevel="0" collapsed="false">
      <c r="A67" s="2" t="s">
        <v>193</v>
      </c>
      <c r="B67" s="2" t="s">
        <v>59</v>
      </c>
      <c r="C67" s="3" t="n">
        <v>113547</v>
      </c>
      <c r="D67" s="4" t="n">
        <v>0.01</v>
      </c>
      <c r="E67" s="3" t="n">
        <v>10</v>
      </c>
      <c r="F67" s="5" t="n">
        <f aca="false">IF(OR(C67="",D67="",E67="",N67="",C67&lt;=0,D67&lt;=0,E67&lt;=N67),"",ROUNDDOWN((C67*D67)/(E67-N67)/100,0)*100)</f>
        <v>900</v>
      </c>
      <c r="G67" s="6" t="str">
        <f aca="false">IF(OR(A67="",F67="",E67="",N67="",E67&lt;=N67,账户数据!$B$7=""),"",IF(账户数据!$B$9+IF(H67="",F67*(E67-N67),0)&gt;=账户数据!$B$7,"禁止开仓","允许开仓"))</f>
        <v>禁止开仓</v>
      </c>
      <c r="H67" s="7" t="n">
        <v>100</v>
      </c>
      <c r="I67" s="8" t="n">
        <v>46193</v>
      </c>
      <c r="J67" s="3" t="n">
        <v>11</v>
      </c>
      <c r="K67" s="3" t="n">
        <v>8.75</v>
      </c>
      <c r="L67" s="5" t="n">
        <f aca="false">IF(K67="","",H67)</f>
        <v>100</v>
      </c>
      <c r="M67" s="8" t="n">
        <v>46197</v>
      </c>
      <c r="N67" s="3" t="n">
        <v>8.75</v>
      </c>
      <c r="O67" s="3" t="n">
        <v>0</v>
      </c>
      <c r="P67" s="3" t="n">
        <v>5</v>
      </c>
      <c r="Q67" s="2" t="s">
        <v>60</v>
      </c>
      <c r="R67" s="9" t="s">
        <v>127</v>
      </c>
      <c r="S67" s="9" t="s">
        <v>62</v>
      </c>
      <c r="T67" s="9" t="s">
        <v>35</v>
      </c>
      <c r="U67" s="10" t="n">
        <f aca="false">IF(OR(E67="",J67="",E67&lt;=0),"",(J67-E67)/E67)</f>
        <v>0.1</v>
      </c>
      <c r="V67" s="10" t="n">
        <f aca="false">IF(OR(E67="",N67="",E67&lt;=0),"",(E67-N67)/E67)</f>
        <v>0.125</v>
      </c>
      <c r="W67" s="11" t="n">
        <f aca="false">IF(OR(U67="",V67="",V67&lt;=0),"",U67/V67)</f>
        <v>0.8</v>
      </c>
      <c r="X67" s="12" t="n">
        <f aca="false">IF(OR(K67="",L67="",E67="",H67=""),"",K67*L67-E67*H67-IF(O67="",0,O67)-IF(P67="",0,P67))</f>
        <v>-130</v>
      </c>
      <c r="Y67" s="10" t="n">
        <f aca="false">IF(OR(X67="",E67="",H67=""),"",IF(E67*H67+IF(O67="",0,O67)&lt;=0,"",X67/(E67*H67+IF(O67="",0,O67))))</f>
        <v>-0.13</v>
      </c>
      <c r="Z67" s="10" t="n">
        <f aca="false">IF(OR(Y67="",多次统计数据!$B$8=""),"",Y67-多次统计数据!$B$8)</f>
        <v>-0.258131090072905</v>
      </c>
      <c r="AA67" s="13" t="n">
        <f aca="false">IF(OR(I67="",M67="",M67&lt;I67),"",M67-I67)</f>
        <v>4</v>
      </c>
      <c r="AB67" s="10" t="n">
        <f aca="false">IF(OR(A67="",多次统计数据!$B$8="",多次统计数据!$B$6&lt;=0,多次统计数据!$B$6&gt;=1),"",1-POWER(1+多次统计数据!$B$8,-多次统计数据!$B$6/(1-多次统计数据!$B$6)))</f>
        <v>0.119185074515542</v>
      </c>
      <c r="AC67" s="6" t="str">
        <f aca="false">IF(OR(AB67="",多次统计数据!$B$9=""),"",IF(多次统计数据!$B$9&lt;AB67,"低于上限","达到或超过上限"))</f>
        <v>低于上限</v>
      </c>
      <c r="AD67" s="2" t="s">
        <v>57</v>
      </c>
    </row>
    <row r="68" customFormat="false" ht="16.4" hidden="false" customHeight="false" outlineLevel="0" collapsed="false">
      <c r="A68" s="2" t="s">
        <v>194</v>
      </c>
      <c r="B68" s="2" t="s">
        <v>64</v>
      </c>
      <c r="C68" s="3" t="n">
        <v>113417</v>
      </c>
      <c r="D68" s="4" t="n">
        <v>0.01</v>
      </c>
      <c r="E68" s="3" t="n">
        <v>11.25</v>
      </c>
      <c r="F68" s="5" t="n">
        <f aca="false">IF(OR(C68="",D68="",E68="",N68="",C68&lt;=0,D68&lt;=0,E68&lt;=N68),"",ROUNDDOWN((C68*D68)/(E68-N68)/100,0)*100)</f>
        <v>700</v>
      </c>
      <c r="G68" s="6" t="str">
        <f aca="false">IF(OR(A68="",F68="",E68="",N68="",E68&lt;=N68,账户数据!$B$7=""),"",IF(账户数据!$B$9+IF(H68="",F68*(E68-N68),0)&gt;=账户数据!$B$7,"禁止开仓","允许开仓"))</f>
        <v>禁止开仓</v>
      </c>
      <c r="H68" s="7" t="n">
        <v>200</v>
      </c>
      <c r="I68" s="8" t="n">
        <v>46194</v>
      </c>
      <c r="J68" s="3" t="n">
        <v>12.38</v>
      </c>
      <c r="K68" s="3" t="n">
        <v>9.75</v>
      </c>
      <c r="L68" s="5" t="n">
        <f aca="false">IF(K68="","",H68)</f>
        <v>200</v>
      </c>
      <c r="M68" s="8" t="n">
        <v>46199</v>
      </c>
      <c r="N68" s="3" t="n">
        <v>9.75</v>
      </c>
      <c r="O68" s="3" t="n">
        <v>5</v>
      </c>
      <c r="P68" s="3" t="n">
        <v>5</v>
      </c>
      <c r="Q68" s="2" t="s">
        <v>65</v>
      </c>
      <c r="R68" s="9" t="s">
        <v>129</v>
      </c>
      <c r="S68" s="9" t="s">
        <v>67</v>
      </c>
      <c r="T68" s="9" t="s">
        <v>35</v>
      </c>
      <c r="U68" s="10" t="n">
        <f aca="false">IF(OR(E68="",J68="",E68&lt;=0),"",(J68-E68)/E68)</f>
        <v>0.100444444444445</v>
      </c>
      <c r="V68" s="10" t="n">
        <f aca="false">IF(OR(E68="",N68="",E68&lt;=0),"",(E68-N68)/E68)</f>
        <v>0.133333333333333</v>
      </c>
      <c r="W68" s="11" t="n">
        <f aca="false">IF(OR(U68="",V68="",V68&lt;=0),"",U68/V68)</f>
        <v>0.753333333333334</v>
      </c>
      <c r="X68" s="12" t="n">
        <f aca="false">IF(OR(K68="",L68="",E68="",H68=""),"",K68*L68-E68*H68-IF(O68="",0,O68)-IF(P68="",0,P68))</f>
        <v>-310</v>
      </c>
      <c r="Y68" s="10" t="n">
        <f aca="false">IF(OR(X68="",E68="",H68=""),"",IF(E68*H68+IF(O68="",0,O68)&lt;=0,"",X68/(E68*H68+IF(O68="",0,O68))))</f>
        <v>-0.137472283813747</v>
      </c>
      <c r="Z68" s="10" t="n">
        <f aca="false">IF(OR(Y68="",多次统计数据!$B$8=""),"",Y68-多次统计数据!$B$8)</f>
        <v>-0.265603373886652</v>
      </c>
      <c r="AA68" s="13" t="n">
        <f aca="false">IF(OR(I68="",M68="",M68&lt;I68),"",M68-I68)</f>
        <v>5</v>
      </c>
      <c r="AB68" s="10" t="n">
        <f aca="false">IF(OR(A68="",多次统计数据!$B$8="",多次统计数据!$B$6&lt;=0,多次统计数据!$B$6&gt;=1),"",1-POWER(1+多次统计数据!$B$8,-多次统计数据!$B$6/(1-多次统计数据!$B$6)))</f>
        <v>0.119185074515542</v>
      </c>
      <c r="AC68" s="6" t="str">
        <f aca="false">IF(OR(AB68="",多次统计数据!$B$9=""),"",IF(多次统计数据!$B$9&lt;AB68,"低于上限","达到或超过上限"))</f>
        <v>低于上限</v>
      </c>
      <c r="AD68" s="2" t="s">
        <v>57</v>
      </c>
    </row>
    <row r="69" customFormat="false" ht="31.3" hidden="false" customHeight="false" outlineLevel="0" collapsed="false">
      <c r="A69" s="2" t="s">
        <v>195</v>
      </c>
      <c r="B69" s="2" t="s">
        <v>69</v>
      </c>
      <c r="C69" s="3" t="n">
        <v>113107</v>
      </c>
      <c r="D69" s="4" t="n">
        <v>0.01</v>
      </c>
      <c r="E69" s="3" t="n">
        <v>12.5</v>
      </c>
      <c r="F69" s="5" t="n">
        <f aca="false">IF(OR(C69="",D69="",E69="",N69="",C69&lt;=0,D69&lt;=0,E69&lt;=N69),"",ROUNDDOWN((C69*D69)/(E69-N69)/100,0)*100)</f>
        <v>1500</v>
      </c>
      <c r="G69" s="6" t="str">
        <f aca="false">IF(OR(A69="",F69="",E69="",N69="",E69&lt;=N69,账户数据!$B$7=""),"",IF(账户数据!$B$9+IF(H69="",F69*(E69-N69),0)&gt;=账户数据!$B$7,"禁止开仓","允许开仓"))</f>
        <v>禁止开仓</v>
      </c>
      <c r="H69" s="7" t="n">
        <v>900</v>
      </c>
      <c r="I69" s="8" t="n">
        <v>46195</v>
      </c>
      <c r="J69" s="3" t="n">
        <v>13.75</v>
      </c>
      <c r="K69" s="3" t="n">
        <v>11.75</v>
      </c>
      <c r="L69" s="5" t="n">
        <f aca="false">IF(K69="","",H69)</f>
        <v>900</v>
      </c>
      <c r="M69" s="8" t="n">
        <v>46201</v>
      </c>
      <c r="N69" s="3" t="n">
        <v>11.75</v>
      </c>
      <c r="O69" s="3" t="n">
        <v>5</v>
      </c>
      <c r="P69" s="3" t="n">
        <v>0</v>
      </c>
      <c r="Q69" s="9" t="s">
        <v>70</v>
      </c>
      <c r="R69" s="9" t="s">
        <v>131</v>
      </c>
      <c r="S69" s="9" t="s">
        <v>72</v>
      </c>
      <c r="T69" s="9" t="s">
        <v>35</v>
      </c>
      <c r="U69" s="10" t="n">
        <f aca="false">IF(OR(E69="",J69="",E69&lt;=0),"",(J69-E69)/E69)</f>
        <v>0.1</v>
      </c>
      <c r="V69" s="10" t="n">
        <f aca="false">IF(OR(E69="",N69="",E69&lt;=0),"",(E69-N69)/E69)</f>
        <v>0.06</v>
      </c>
      <c r="W69" s="11" t="n">
        <f aca="false">IF(OR(U69="",V69="",V69&lt;=0),"",U69/V69)</f>
        <v>1.66666666666667</v>
      </c>
      <c r="X69" s="12" t="n">
        <f aca="false">IF(OR(K69="",L69="",E69="",H69=""),"",K69*L69-E69*H69-IF(O69="",0,O69)-IF(P69="",0,P69))</f>
        <v>-680</v>
      </c>
      <c r="Y69" s="10" t="n">
        <f aca="false">IF(OR(X69="",E69="",H69=""),"",IF(E69*H69+IF(O69="",0,O69)&lt;=0,"",X69/(E69*H69+IF(O69="",0,O69))))</f>
        <v>-0.0604175921812528</v>
      </c>
      <c r="Z69" s="10" t="n">
        <f aca="false">IF(OR(Y69="",多次统计数据!$B$8=""),"",Y69-多次统计数据!$B$8)</f>
        <v>-0.188548682254158</v>
      </c>
      <c r="AA69" s="13" t="n">
        <f aca="false">IF(OR(I69="",M69="",M69&lt;I69),"",M69-I69)</f>
        <v>6</v>
      </c>
      <c r="AB69" s="10" t="n">
        <f aca="false">IF(OR(A69="",多次统计数据!$B$8="",多次统计数据!$B$6&lt;=0,多次统计数据!$B$6&gt;=1),"",1-POWER(1+多次统计数据!$B$8,-多次统计数据!$B$6/(1-多次统计数据!$B$6)))</f>
        <v>0.119185074515542</v>
      </c>
      <c r="AC69" s="6" t="str">
        <f aca="false">IF(OR(AB69="",多次统计数据!$B$9=""),"",IF(多次统计数据!$B$9&lt;AB69,"低于上限","达到或超过上限"))</f>
        <v>低于上限</v>
      </c>
      <c r="AD69" s="2" t="s">
        <v>57</v>
      </c>
    </row>
    <row r="70" customFormat="false" ht="31.3" hidden="false" customHeight="false" outlineLevel="0" collapsed="false">
      <c r="A70" s="2" t="s">
        <v>196</v>
      </c>
      <c r="B70" s="2" t="s">
        <v>74</v>
      </c>
      <c r="C70" s="3" t="n">
        <v>112427</v>
      </c>
      <c r="D70" s="4" t="n">
        <v>0.01</v>
      </c>
      <c r="E70" s="3" t="n">
        <v>13.75</v>
      </c>
      <c r="F70" s="5" t="n">
        <f aca="false">IF(OR(C70="",D70="",E70="",N70="",C70&lt;=0,D70&lt;=0,E70&lt;=N70),"",ROUNDDOWN((C70*D70)/(E70-N70)/100,0)*100)</f>
        <v>1100</v>
      </c>
      <c r="G70" s="6" t="str">
        <f aca="false">IF(OR(A70="",F70="",E70="",N70="",E70&lt;=N70,账户数据!$B$7=""),"",IF(账户数据!$B$9+IF(H70="",F70*(E70-N70),0)&gt;=账户数据!$B$7,"禁止开仓","允许开仓"))</f>
        <v>禁止开仓</v>
      </c>
      <c r="H70" s="7" t="n">
        <v>800</v>
      </c>
      <c r="I70" s="8" t="n">
        <v>46196</v>
      </c>
      <c r="J70" s="3" t="n">
        <v>15.13</v>
      </c>
      <c r="K70" s="3" t="n">
        <v>13.75</v>
      </c>
      <c r="L70" s="5" t="n">
        <f aca="false">IF(K70="","",H70)</f>
        <v>800</v>
      </c>
      <c r="M70" s="8" t="n">
        <v>46203</v>
      </c>
      <c r="N70" s="3" t="n">
        <v>12.75</v>
      </c>
      <c r="O70" s="3" t="n">
        <v>0</v>
      </c>
      <c r="P70" s="3" t="n">
        <v>0</v>
      </c>
      <c r="Q70" s="9" t="s">
        <v>75</v>
      </c>
      <c r="R70" s="9" t="s">
        <v>133</v>
      </c>
      <c r="S70" s="9" t="s">
        <v>77</v>
      </c>
      <c r="T70" s="9" t="s">
        <v>35</v>
      </c>
      <c r="U70" s="10" t="n">
        <f aca="false">IF(OR(E70="",J70="",E70&lt;=0),"",(J70-E70)/E70)</f>
        <v>0.100363636363636</v>
      </c>
      <c r="V70" s="10" t="n">
        <f aca="false">IF(OR(E70="",N70="",E70&lt;=0),"",(E70-N70)/E70)</f>
        <v>0.0727272727272727</v>
      </c>
      <c r="W70" s="11" t="n">
        <f aca="false">IF(OR(U70="",V70="",V70&lt;=0),"",U70/V70)</f>
        <v>1.38</v>
      </c>
      <c r="X70" s="12" t="n">
        <f aca="false">IF(OR(K70="",L70="",E70="",H70=""),"",K70*L70-E70*H70-IF(O70="",0,O70)-IF(P70="",0,P70))</f>
        <v>0</v>
      </c>
      <c r="Y70" s="10" t="n">
        <f aca="false">IF(OR(X70="",E70="",H70=""),"",IF(E70*H70+IF(O70="",0,O70)&lt;=0,"",X70/(E70*H70+IF(O70="",0,O70))))</f>
        <v>0</v>
      </c>
      <c r="Z70" s="10" t="n">
        <f aca="false">IF(OR(Y70="",多次统计数据!$B$8=""),"",Y70-多次统计数据!$B$8)</f>
        <v>-0.128131090072905</v>
      </c>
      <c r="AA70" s="13" t="n">
        <f aca="false">IF(OR(I70="",M70="",M70&lt;I70),"",M70-I70)</f>
        <v>7</v>
      </c>
      <c r="AB70" s="10" t="n">
        <f aca="false">IF(OR(A70="",多次统计数据!$B$8="",多次统计数据!$B$6&lt;=0,多次统计数据!$B$6&gt;=1),"",1-POWER(1+多次统计数据!$B$8,-多次统计数据!$B$6/(1-多次统计数据!$B$6)))</f>
        <v>0.119185074515542</v>
      </c>
      <c r="AC70" s="6" t="str">
        <f aca="false">IF(OR(AB70="",多次统计数据!$B$9=""),"",IF(多次统计数据!$B$9&lt;AB70,"低于上限","达到或超过上限"))</f>
        <v>低于上限</v>
      </c>
      <c r="AD70" s="2" t="s">
        <v>78</v>
      </c>
    </row>
    <row r="71" customFormat="false" ht="31.3" hidden="false" customHeight="false" outlineLevel="0" collapsed="false">
      <c r="A71" s="2" t="s">
        <v>197</v>
      </c>
      <c r="B71" s="2" t="s">
        <v>80</v>
      </c>
      <c r="C71" s="3" t="n">
        <v>112427</v>
      </c>
      <c r="D71" s="4" t="n">
        <v>0.01</v>
      </c>
      <c r="E71" s="3" t="n">
        <v>15</v>
      </c>
      <c r="F71" s="5" t="n">
        <f aca="false">IF(OR(C71="",D71="",E71="",N71="",C71&lt;=0,D71&lt;=0,E71&lt;=N71),"",ROUNDDOWN((C71*D71)/(E71-N71)/100,0)*100)</f>
        <v>800</v>
      </c>
      <c r="G71" s="6" t="str">
        <f aca="false">IF(OR(A71="",F71="",E71="",N71="",E71&lt;=N71,账户数据!$B$7=""),"",IF(账户数据!$B$9+IF(H71="",F71*(E71-N71),0)&gt;=账户数据!$B$7,"禁止开仓","允许开仓"))</f>
        <v>禁止开仓</v>
      </c>
      <c r="H71" s="7" t="n">
        <v>800</v>
      </c>
      <c r="I71" s="8" t="n">
        <v>46197</v>
      </c>
      <c r="J71" s="3" t="n">
        <v>16.5</v>
      </c>
      <c r="K71" s="3"/>
      <c r="L71" s="5" t="str">
        <f aca="false">IF(K71="","",H71)</f>
        <v/>
      </c>
      <c r="M71" s="8"/>
      <c r="N71" s="3" t="n">
        <v>13.75</v>
      </c>
      <c r="O71" s="3" t="n">
        <v>5</v>
      </c>
      <c r="P71" s="3" t="n">
        <v>5</v>
      </c>
      <c r="Q71" s="9" t="s">
        <v>81</v>
      </c>
      <c r="R71" s="9" t="s">
        <v>135</v>
      </c>
      <c r="S71" s="9" t="s">
        <v>83</v>
      </c>
      <c r="T71" s="9"/>
      <c r="U71" s="10" t="n">
        <f aca="false">IF(OR(E71="",J71="",E71&lt;=0),"",(J71-E71)/E71)</f>
        <v>0.1</v>
      </c>
      <c r="V71" s="10" t="n">
        <f aca="false">IF(OR(E71="",N71="",E71&lt;=0),"",(E71-N71)/E71)</f>
        <v>0.0833333333333333</v>
      </c>
      <c r="W71" s="11" t="n">
        <f aca="false">IF(OR(U71="",V71="",V71&lt;=0),"",U71/V71)</f>
        <v>1.2</v>
      </c>
      <c r="X71" s="12" t="str">
        <f aca="false">IF(OR(K71="",L71="",E71="",H71=""),"",K71*L71-E71*H71-IF(O71="",0,O71)-IF(P71="",0,P71))</f>
        <v/>
      </c>
      <c r="Y71" s="10" t="str">
        <f aca="false">IF(OR(X71="",E71="",H71=""),"",IF(E71*H71+IF(O71="",0,O71)&lt;=0,"",X71/(E71*H71+IF(O71="",0,O71))))</f>
        <v/>
      </c>
      <c r="Z71" s="10" t="str">
        <f aca="false">IF(OR(Y71="",多次统计数据!$B$8=""),"",Y71-多次统计数据!$B$8)</f>
        <v/>
      </c>
      <c r="AA71" s="13" t="str">
        <f aca="false">IF(OR(I71="",M71="",M71&lt;I71),"",M71-I71)</f>
        <v/>
      </c>
      <c r="AB71" s="10" t="n">
        <f aca="false">IF(OR(A71="",多次统计数据!$B$8="",多次统计数据!$B$6&lt;=0,多次统计数据!$B$6&gt;=1),"",1-POWER(1+多次统计数据!$B$8,-多次统计数据!$B$6/(1-多次统计数据!$B$6)))</f>
        <v>0.119185074515542</v>
      </c>
      <c r="AC71" s="6" t="str">
        <f aca="false">IF(OR(AB71="",多次统计数据!$B$9=""),"",IF(多次统计数据!$B$9&lt;AB71,"低于上限","达到或超过上限"))</f>
        <v>低于上限</v>
      </c>
      <c r="AD71" s="2"/>
    </row>
    <row r="72" customFormat="false" ht="16.4" hidden="false" customHeight="false" outlineLevel="0" collapsed="false">
      <c r="A72" s="2" t="s">
        <v>198</v>
      </c>
      <c r="B72" s="2" t="s">
        <v>31</v>
      </c>
      <c r="C72" s="3" t="n">
        <v>112427</v>
      </c>
      <c r="D72" s="4" t="n">
        <v>0.01</v>
      </c>
      <c r="E72" s="3" t="n">
        <v>16.25</v>
      </c>
      <c r="F72" s="5" t="n">
        <f aca="false">IF(OR(C72="",D72="",E72="",N72="",C72&lt;=0,D72&lt;=0,E72&lt;=N72),"",ROUNDDOWN((C72*D72)/(E72-N72)/100,0)*100)</f>
        <v>700</v>
      </c>
      <c r="G72" s="6" t="str">
        <f aca="false">IF(OR(A72="",F72="",E72="",N72="",E72&lt;=N72,账户数据!$B$7=""),"",IF(账户数据!$B$9+IF(H72="",F72*(E72-N72),0)&gt;=账户数据!$B$7,"禁止开仓","允许开仓"))</f>
        <v>禁止开仓</v>
      </c>
      <c r="H72" s="7" t="n">
        <v>100</v>
      </c>
      <c r="I72" s="8" t="n">
        <v>46198</v>
      </c>
      <c r="J72" s="3" t="n">
        <v>17.88</v>
      </c>
      <c r="K72" s="3" t="n">
        <v>18.53</v>
      </c>
      <c r="L72" s="5" t="n">
        <f aca="false">IF(K72="","",H72)</f>
        <v>100</v>
      </c>
      <c r="M72" s="8" t="n">
        <v>46200</v>
      </c>
      <c r="N72" s="3" t="n">
        <v>14.75</v>
      </c>
      <c r="O72" s="3" t="n">
        <v>5</v>
      </c>
      <c r="P72" s="3" t="n">
        <v>5</v>
      </c>
      <c r="Q72" s="9" t="s">
        <v>85</v>
      </c>
      <c r="R72" s="9" t="s">
        <v>137</v>
      </c>
      <c r="S72" s="9" t="s">
        <v>87</v>
      </c>
      <c r="T72" s="9" t="s">
        <v>35</v>
      </c>
      <c r="U72" s="10" t="n">
        <f aca="false">IF(OR(E72="",J72="",E72&lt;=0),"",(J72-E72)/E72)</f>
        <v>0.100307692307692</v>
      </c>
      <c r="V72" s="10" t="n">
        <f aca="false">IF(OR(E72="",N72="",E72&lt;=0),"",(E72-N72)/E72)</f>
        <v>0.0923076923076923</v>
      </c>
      <c r="W72" s="11" t="n">
        <f aca="false">IF(OR(U72="",V72="",V72&lt;=0),"",U72/V72)</f>
        <v>1.08666666666667</v>
      </c>
      <c r="X72" s="12" t="n">
        <f aca="false">IF(OR(K72="",L72="",E72="",H72=""),"",K72*L72-E72*H72-IF(O72="",0,O72)-IF(P72="",0,P72))</f>
        <v>218</v>
      </c>
      <c r="Y72" s="10" t="n">
        <f aca="false">IF(OR(X72="",E72="",H72=""),"",IF(E72*H72+IF(O72="",0,O72)&lt;=0,"",X72/(E72*H72+IF(O72="",0,O72))))</f>
        <v>0.133742331288344</v>
      </c>
      <c r="Z72" s="10" t="n">
        <f aca="false">IF(OR(Y72="",多次统计数据!$B$8=""),"",Y72-多次统计数据!$B$8)</f>
        <v>0.00561124121543866</v>
      </c>
      <c r="AA72" s="13" t="n">
        <f aca="false">IF(OR(I72="",M72="",M72&lt;I72),"",M72-I72)</f>
        <v>2</v>
      </c>
      <c r="AB72" s="10" t="n">
        <f aca="false">IF(OR(A72="",多次统计数据!$B$8="",多次统计数据!$B$6&lt;=0,多次统计数据!$B$6&gt;=1),"",1-POWER(1+多次统计数据!$B$8,-多次统计数据!$B$6/(1-多次统计数据!$B$6)))</f>
        <v>0.119185074515542</v>
      </c>
      <c r="AC72" s="6" t="str">
        <f aca="false">IF(OR(AB72="",多次统计数据!$B$9=""),"",IF(多次统计数据!$B$9&lt;AB72,"低于上限","达到或超过上限"))</f>
        <v>低于上限</v>
      </c>
      <c r="AD72" s="2" t="s">
        <v>36</v>
      </c>
    </row>
    <row r="73" customFormat="false" ht="16.4" hidden="false" customHeight="false" outlineLevel="0" collapsed="false">
      <c r="A73" s="2" t="s">
        <v>199</v>
      </c>
      <c r="B73" s="2" t="s">
        <v>38</v>
      </c>
      <c r="C73" s="3" t="n">
        <v>112645</v>
      </c>
      <c r="D73" s="4" t="n">
        <v>0.01</v>
      </c>
      <c r="E73" s="3" t="n">
        <v>17.5</v>
      </c>
      <c r="F73" s="5" t="n">
        <f aca="false">IF(OR(C73="",D73="",E73="",N73="",C73&lt;=0,D73&lt;=0,E73&lt;=N73),"",ROUNDDOWN((C73*D73)/(E73-N73)/100,0)*100)</f>
        <v>1500</v>
      </c>
      <c r="G73" s="6" t="str">
        <f aca="false">IF(OR(A73="",F73="",E73="",N73="",E73&lt;=N73,账户数据!$B$7=""),"",IF(账户数据!$B$9+IF(H73="",F73*(E73-N73),0)&gt;=账户数据!$B$7,"禁止开仓","允许开仓"))</f>
        <v>禁止开仓</v>
      </c>
      <c r="H73" s="7" t="n">
        <v>600</v>
      </c>
      <c r="I73" s="8" t="n">
        <v>46199</v>
      </c>
      <c r="J73" s="3" t="n">
        <v>19.25</v>
      </c>
      <c r="K73" s="3" t="n">
        <v>19.6</v>
      </c>
      <c r="L73" s="5" t="n">
        <f aca="false">IF(K73="","",H73)</f>
        <v>600</v>
      </c>
      <c r="M73" s="8" t="n">
        <v>46202</v>
      </c>
      <c r="N73" s="3" t="n">
        <v>16.75</v>
      </c>
      <c r="O73" s="3" t="n">
        <v>0</v>
      </c>
      <c r="P73" s="3" t="n">
        <v>0</v>
      </c>
      <c r="Q73" s="9" t="s">
        <v>89</v>
      </c>
      <c r="R73" s="9" t="s">
        <v>139</v>
      </c>
      <c r="S73" s="9" t="s">
        <v>91</v>
      </c>
      <c r="T73" s="9" t="s">
        <v>35</v>
      </c>
      <c r="U73" s="10" t="n">
        <f aca="false">IF(OR(E73="",J73="",E73&lt;=0),"",(J73-E73)/E73)</f>
        <v>0.1</v>
      </c>
      <c r="V73" s="10" t="n">
        <f aca="false">IF(OR(E73="",N73="",E73&lt;=0),"",(E73-N73)/E73)</f>
        <v>0.0428571428571429</v>
      </c>
      <c r="W73" s="11" t="n">
        <f aca="false">IF(OR(U73="",V73="",V73&lt;=0),"",U73/V73)</f>
        <v>2.33333333333333</v>
      </c>
      <c r="X73" s="12" t="n">
        <f aca="false">IF(OR(K73="",L73="",E73="",H73=""),"",K73*L73-E73*H73-IF(O73="",0,O73)-IF(P73="",0,P73))</f>
        <v>1260</v>
      </c>
      <c r="Y73" s="10" t="n">
        <f aca="false">IF(OR(X73="",E73="",H73=""),"",IF(E73*H73+IF(O73="",0,O73)&lt;=0,"",X73/(E73*H73+IF(O73="",0,O73))))</f>
        <v>0.12</v>
      </c>
      <c r="Z73" s="10" t="n">
        <f aca="false">IF(OR(Y73="",多次统计数据!$B$8=""),"",Y73-多次统计数据!$B$8)</f>
        <v>-0.00813109007290491</v>
      </c>
      <c r="AA73" s="13" t="n">
        <f aca="false">IF(OR(I73="",M73="",M73&lt;I73),"",M73-I73)</f>
        <v>3</v>
      </c>
      <c r="AB73" s="10" t="n">
        <f aca="false">IF(OR(A73="",多次统计数据!$B$8="",多次统计数据!$B$6&lt;=0,多次统计数据!$B$6&gt;=1),"",1-POWER(1+多次统计数据!$B$8,-多次统计数据!$B$6/(1-多次统计数据!$B$6)))</f>
        <v>0.119185074515542</v>
      </c>
      <c r="AC73" s="6" t="str">
        <f aca="false">IF(OR(AB73="",多次统计数据!$B$9=""),"",IF(多次统计数据!$B$9&lt;AB73,"低于上限","达到或超过上限"))</f>
        <v>低于上限</v>
      </c>
      <c r="AD73" s="2" t="s">
        <v>36</v>
      </c>
    </row>
    <row r="74" customFormat="false" ht="31.3" hidden="false" customHeight="false" outlineLevel="0" collapsed="false">
      <c r="A74" s="2" t="s">
        <v>200</v>
      </c>
      <c r="B74" s="2" t="s">
        <v>43</v>
      </c>
      <c r="C74" s="3" t="n">
        <v>113905</v>
      </c>
      <c r="D74" s="4" t="n">
        <v>0.01</v>
      </c>
      <c r="E74" s="3" t="n">
        <v>18.75</v>
      </c>
      <c r="F74" s="5" t="n">
        <f aca="false">IF(OR(C74="",D74="",E74="",N74="",C74&lt;=0,D74&lt;=0,E74&lt;=N74),"",ROUNDDOWN((C74*D74)/(E74-N74)/100,0)*100)</f>
        <v>1100</v>
      </c>
      <c r="G74" s="6" t="str">
        <f aca="false">IF(OR(A74="",F74="",E74="",N74="",E74&lt;=N74,账户数据!$B$7=""),"",IF(账户数据!$B$9+IF(H74="",F74*(E74-N74),0)&gt;=账户数据!$B$7,"禁止开仓","允许开仓"))</f>
        <v>禁止开仓</v>
      </c>
      <c r="H74" s="7" t="n">
        <v>600</v>
      </c>
      <c r="I74" s="8" t="n">
        <v>46200</v>
      </c>
      <c r="J74" s="3" t="n">
        <v>20.62</v>
      </c>
      <c r="K74" s="3" t="n">
        <v>21.19</v>
      </c>
      <c r="L74" s="5" t="n">
        <f aca="false">IF(K74="","",H74)</f>
        <v>600</v>
      </c>
      <c r="M74" s="8" t="n">
        <v>46204</v>
      </c>
      <c r="N74" s="3" t="n">
        <v>17.75</v>
      </c>
      <c r="O74" s="3" t="n">
        <v>5</v>
      </c>
      <c r="P74" s="3" t="n">
        <v>5</v>
      </c>
      <c r="Q74" s="9" t="s">
        <v>93</v>
      </c>
      <c r="R74" s="9" t="s">
        <v>141</v>
      </c>
      <c r="S74" s="9" t="s">
        <v>95</v>
      </c>
      <c r="T74" s="9" t="s">
        <v>35</v>
      </c>
      <c r="U74" s="10" t="n">
        <f aca="false">IF(OR(E74="",J74="",E74&lt;=0),"",(J74-E74)/E74)</f>
        <v>0.0997333333333334</v>
      </c>
      <c r="V74" s="10" t="n">
        <f aca="false">IF(OR(E74="",N74="",E74&lt;=0),"",(E74-N74)/E74)</f>
        <v>0.0533333333333333</v>
      </c>
      <c r="W74" s="11" t="n">
        <f aca="false">IF(OR(U74="",V74="",V74&lt;=0),"",U74/V74)</f>
        <v>1.87</v>
      </c>
      <c r="X74" s="12" t="n">
        <f aca="false">IF(OR(K74="",L74="",E74="",H74=""),"",K74*L74-E74*H74-IF(O74="",0,O74)-IF(P74="",0,P74))</f>
        <v>1454</v>
      </c>
      <c r="Y74" s="10" t="n">
        <f aca="false">IF(OR(X74="",E74="",H74=""),"",IF(E74*H74+IF(O74="",0,O74)&lt;=0,"",X74/(E74*H74+IF(O74="",0,O74))))</f>
        <v>0.129187027987561</v>
      </c>
      <c r="Z74" s="10" t="n">
        <f aca="false">IF(OR(Y74="",多次统计数据!$B$8=""),"",Y74-多次统计数据!$B$8)</f>
        <v>0.00105593791465616</v>
      </c>
      <c r="AA74" s="13" t="n">
        <f aca="false">IF(OR(I74="",M74="",M74&lt;I74),"",M74-I74)</f>
        <v>4</v>
      </c>
      <c r="AB74" s="10" t="n">
        <f aca="false">IF(OR(A74="",多次统计数据!$B$8="",多次统计数据!$B$6&lt;=0,多次统计数据!$B$6&gt;=1),"",1-POWER(1+多次统计数据!$B$8,-多次统计数据!$B$6/(1-多次统计数据!$B$6)))</f>
        <v>0.119185074515542</v>
      </c>
      <c r="AC74" s="6" t="str">
        <f aca="false">IF(OR(AB74="",多次统计数据!$B$9=""),"",IF(多次统计数据!$B$9&lt;AB74,"低于上限","达到或超过上限"))</f>
        <v>低于上限</v>
      </c>
      <c r="AD74" s="2" t="s">
        <v>36</v>
      </c>
    </row>
    <row r="75" customFormat="false" ht="31.3" hidden="false" customHeight="false" outlineLevel="0" collapsed="false">
      <c r="A75" s="2" t="s">
        <v>201</v>
      </c>
      <c r="B75" s="2" t="s">
        <v>48</v>
      </c>
      <c r="C75" s="3" t="n">
        <v>115359</v>
      </c>
      <c r="D75" s="4" t="n">
        <v>0.01</v>
      </c>
      <c r="E75" s="3" t="n">
        <v>20</v>
      </c>
      <c r="F75" s="5" t="n">
        <f aca="false">IF(OR(C75="",D75="",E75="",N75="",C75&lt;=0,D75&lt;=0,E75&lt;=N75),"",ROUNDDOWN((C75*D75)/(E75-N75)/100,0)*100)</f>
        <v>900</v>
      </c>
      <c r="G75" s="6" t="str">
        <f aca="false">IF(OR(A75="",F75="",E75="",N75="",E75&lt;=N75,账户数据!$B$7=""),"",IF(账户数据!$B$9+IF(H75="",F75*(E75-N75),0)&gt;=账户数据!$B$7,"禁止开仓","允许开仓"))</f>
        <v>禁止开仓</v>
      </c>
      <c r="H75" s="7" t="n">
        <v>700</v>
      </c>
      <c r="I75" s="8" t="n">
        <v>46201</v>
      </c>
      <c r="J75" s="3" t="n">
        <v>22</v>
      </c>
      <c r="K75" s="3" t="n">
        <v>22.8</v>
      </c>
      <c r="L75" s="5" t="n">
        <f aca="false">IF(K75="","",H75)</f>
        <v>700</v>
      </c>
      <c r="M75" s="8" t="n">
        <v>46206</v>
      </c>
      <c r="N75" s="3" t="n">
        <v>18.75</v>
      </c>
      <c r="O75" s="3" t="n">
        <v>5</v>
      </c>
      <c r="P75" s="3" t="n">
        <v>5</v>
      </c>
      <c r="Q75" s="9" t="s">
        <v>97</v>
      </c>
      <c r="R75" s="9" t="s">
        <v>143</v>
      </c>
      <c r="S75" s="9" t="s">
        <v>99</v>
      </c>
      <c r="T75" s="9" t="s">
        <v>35</v>
      </c>
      <c r="U75" s="10" t="n">
        <f aca="false">IF(OR(E75="",J75="",E75&lt;=0),"",(J75-E75)/E75)</f>
        <v>0.1</v>
      </c>
      <c r="V75" s="10" t="n">
        <f aca="false">IF(OR(E75="",N75="",E75&lt;=0),"",(E75-N75)/E75)</f>
        <v>0.0625</v>
      </c>
      <c r="W75" s="11" t="n">
        <f aca="false">IF(OR(U75="",V75="",V75&lt;=0),"",U75/V75)</f>
        <v>1.6</v>
      </c>
      <c r="X75" s="12" t="n">
        <f aca="false">IF(OR(K75="",L75="",E75="",H75=""),"",K75*L75-E75*H75-IF(O75="",0,O75)-IF(P75="",0,P75))</f>
        <v>1950</v>
      </c>
      <c r="Y75" s="10" t="n">
        <f aca="false">IF(OR(X75="",E75="",H75=""),"",IF(E75*H75+IF(O75="",0,O75)&lt;=0,"",X75/(E75*H75+IF(O75="",0,O75))))</f>
        <v>0.139235987147447</v>
      </c>
      <c r="Z75" s="10" t="n">
        <f aca="false">IF(OR(Y75="",多次统计数据!$B$8=""),"",Y75-多次统计数据!$B$8)</f>
        <v>0.0111048970745424</v>
      </c>
      <c r="AA75" s="13" t="n">
        <f aca="false">IF(OR(I75="",M75="",M75&lt;I75),"",M75-I75)</f>
        <v>5</v>
      </c>
      <c r="AB75" s="10" t="n">
        <f aca="false">IF(OR(A75="",多次统计数据!$B$8="",多次统计数据!$B$6&lt;=0,多次统计数据!$B$6&gt;=1),"",1-POWER(1+多次统计数据!$B$8,-多次统计数据!$B$6/(1-多次统计数据!$B$6)))</f>
        <v>0.119185074515542</v>
      </c>
      <c r="AC75" s="6" t="str">
        <f aca="false">IF(OR(AB75="",多次统计数据!$B$9=""),"",IF(多次统计数据!$B$9&lt;AB75,"低于上限","达到或超过上限"))</f>
        <v>低于上限</v>
      </c>
      <c r="AD75" s="2" t="s">
        <v>36</v>
      </c>
    </row>
    <row r="76" customFormat="false" ht="31.3" hidden="false" customHeight="false" outlineLevel="0" collapsed="false">
      <c r="A76" s="2" t="s">
        <v>202</v>
      </c>
      <c r="B76" s="2" t="s">
        <v>53</v>
      </c>
      <c r="C76" s="3" t="n">
        <v>117309</v>
      </c>
      <c r="D76" s="4" t="n">
        <v>0.01</v>
      </c>
      <c r="E76" s="3" t="n">
        <v>21.25</v>
      </c>
      <c r="F76" s="5" t="n">
        <f aca="false">IF(OR(C76="",D76="",E76="",N76="",C76&lt;=0,D76&lt;=0,E76&lt;=N76),"",ROUNDDOWN((C76*D76)/(E76-N76)/100,0)*100)</f>
        <v>700</v>
      </c>
      <c r="G76" s="6" t="str">
        <f aca="false">IF(OR(A76="",F76="",E76="",N76="",E76&lt;=N76,账户数据!$B$7=""),"",IF(账户数据!$B$9+IF(H76="",F76*(E76-N76),0)&gt;=账户数据!$B$7,"禁止开仓","允许开仓"))</f>
        <v>禁止开仓</v>
      </c>
      <c r="H76" s="7"/>
      <c r="I76" s="8" t="n">
        <v>46202</v>
      </c>
      <c r="J76" s="3" t="n">
        <v>23.38</v>
      </c>
      <c r="K76" s="3"/>
      <c r="L76" s="5" t="str">
        <f aca="false">IF(K76="","",H76)</f>
        <v/>
      </c>
      <c r="M76" s="8"/>
      <c r="N76" s="3" t="n">
        <v>19.75</v>
      </c>
      <c r="O76" s="3" t="n">
        <v>0</v>
      </c>
      <c r="P76" s="3" t="n">
        <v>5</v>
      </c>
      <c r="Q76" s="9" t="s">
        <v>101</v>
      </c>
      <c r="R76" s="9" t="s">
        <v>145</v>
      </c>
      <c r="S76" s="9" t="s">
        <v>103</v>
      </c>
      <c r="T76" s="9"/>
      <c r="U76" s="10" t="n">
        <f aca="false">IF(OR(E76="",J76="",E76&lt;=0),"",(J76-E76)/E76)</f>
        <v>0.100235294117647</v>
      </c>
      <c r="V76" s="10" t="n">
        <f aca="false">IF(OR(E76="",N76="",E76&lt;=0),"",(E76-N76)/E76)</f>
        <v>0.0705882352941177</v>
      </c>
      <c r="W76" s="11" t="n">
        <f aca="false">IF(OR(U76="",V76="",V76&lt;=0),"",U76/V76)</f>
        <v>1.42</v>
      </c>
      <c r="X76" s="12" t="str">
        <f aca="false">IF(OR(K76="",L76="",E76="",H76=""),"",K76*L76-E76*H76-IF(O76="",0,O76)-IF(P76="",0,P76))</f>
        <v/>
      </c>
      <c r="Y76" s="10" t="str">
        <f aca="false">IF(OR(X76="",E76="",H76=""),"",IF(E76*H76+IF(O76="",0,O76)&lt;=0,"",X76/(E76*H76+IF(O76="",0,O76))))</f>
        <v/>
      </c>
      <c r="Z76" s="10" t="str">
        <f aca="false">IF(OR(Y76="",多次统计数据!$B$8=""),"",Y76-多次统计数据!$B$8)</f>
        <v/>
      </c>
      <c r="AA76" s="13" t="str">
        <f aca="false">IF(OR(I76="",M76="",M76&lt;I76),"",M76-I76)</f>
        <v/>
      </c>
      <c r="AB76" s="10" t="n">
        <f aca="false">IF(OR(A76="",多次统计数据!$B$8="",多次统计数据!$B$6&lt;=0,多次统计数据!$B$6&gt;=1),"",1-POWER(1+多次统计数据!$B$8,-多次统计数据!$B$6/(1-多次统计数据!$B$6)))</f>
        <v>0.119185074515542</v>
      </c>
      <c r="AC76" s="6" t="str">
        <f aca="false">IF(OR(AB76="",多次统计数据!$B$9=""),"",IF(多次统计数据!$B$9&lt;AB76,"低于上限","达到或超过上限"))</f>
        <v>低于上限</v>
      </c>
      <c r="AD76" s="2"/>
    </row>
    <row r="77" customFormat="false" ht="31.3" hidden="false" customHeight="false" outlineLevel="0" collapsed="false">
      <c r="A77" s="2" t="s">
        <v>203</v>
      </c>
      <c r="B77" s="2" t="s">
        <v>59</v>
      </c>
      <c r="C77" s="3" t="n">
        <v>117309</v>
      </c>
      <c r="D77" s="4" t="n">
        <v>0.01</v>
      </c>
      <c r="E77" s="3" t="n">
        <v>22.5</v>
      </c>
      <c r="F77" s="5" t="n">
        <f aca="false">IF(OR(C77="",D77="",E77="",N77="",C77&lt;=0,D77&lt;=0,E77&lt;=N77),"",ROUNDDOWN((C77*D77)/(E77-N77)/100,0)*100)</f>
        <v>1500</v>
      </c>
      <c r="G77" s="6" t="str">
        <f aca="false">IF(OR(A77="",F77="",E77="",N77="",E77&lt;=N77,账户数据!$B$7=""),"",IF(账户数据!$B$9+IF(H77="",F77*(E77-N77),0)&gt;=账户数据!$B$7,"禁止开仓","允许开仓"))</f>
        <v>禁止开仓</v>
      </c>
      <c r="H77" s="7" t="n">
        <v>300</v>
      </c>
      <c r="I77" s="8" t="n">
        <v>46203</v>
      </c>
      <c r="J77" s="3" t="n">
        <v>24.75</v>
      </c>
      <c r="K77" s="3" t="n">
        <v>21.38</v>
      </c>
      <c r="L77" s="5" t="n">
        <f aca="false">IF(K77="","",H77)</f>
        <v>300</v>
      </c>
      <c r="M77" s="8" t="n">
        <v>46210</v>
      </c>
      <c r="N77" s="3" t="n">
        <v>21.75</v>
      </c>
      <c r="O77" s="3" t="n">
        <v>5</v>
      </c>
      <c r="P77" s="3" t="n">
        <v>0</v>
      </c>
      <c r="Q77" s="9" t="s">
        <v>105</v>
      </c>
      <c r="R77" s="9" t="s">
        <v>147</v>
      </c>
      <c r="S77" s="9" t="s">
        <v>107</v>
      </c>
      <c r="T77" s="9" t="s">
        <v>35</v>
      </c>
      <c r="U77" s="10" t="n">
        <f aca="false">IF(OR(E77="",J77="",E77&lt;=0),"",(J77-E77)/E77)</f>
        <v>0.1</v>
      </c>
      <c r="V77" s="10" t="n">
        <f aca="false">IF(OR(E77="",N77="",E77&lt;=0),"",(E77-N77)/E77)</f>
        <v>0.0333333333333333</v>
      </c>
      <c r="W77" s="11" t="n">
        <f aca="false">IF(OR(U77="",V77="",V77&lt;=0),"",U77/V77)</f>
        <v>3</v>
      </c>
      <c r="X77" s="12" t="n">
        <f aca="false">IF(OR(K77="",L77="",E77="",H77=""),"",K77*L77-E77*H77-IF(O77="",0,O77)-IF(P77="",0,P77))</f>
        <v>-341</v>
      </c>
      <c r="Y77" s="10" t="n">
        <f aca="false">IF(OR(X77="",E77="",H77=""),"",IF(E77*H77+IF(O77="",0,O77)&lt;=0,"",X77/(E77*H77+IF(O77="",0,O77))))</f>
        <v>-0.0504811250925241</v>
      </c>
      <c r="Z77" s="10" t="n">
        <f aca="false">IF(OR(Y77="",多次统计数据!$B$8=""),"",Y77-多次统计数据!$B$8)</f>
        <v>-0.178612215165429</v>
      </c>
      <c r="AA77" s="13" t="n">
        <f aca="false">IF(OR(I77="",M77="",M77&lt;I77),"",M77-I77)</f>
        <v>7</v>
      </c>
      <c r="AB77" s="10" t="n">
        <f aca="false">IF(OR(A77="",多次统计数据!$B$8="",多次统计数据!$B$6&lt;=0,多次统计数据!$B$6&gt;=1),"",1-POWER(1+多次统计数据!$B$8,-多次统计数据!$B$6/(1-多次统计数据!$B$6)))</f>
        <v>0.119185074515542</v>
      </c>
      <c r="AC77" s="6" t="str">
        <f aca="false">IF(OR(AB77="",多次统计数据!$B$9=""),"",IF(多次统计数据!$B$9&lt;AB77,"低于上限","达到或超过上限"))</f>
        <v>低于上限</v>
      </c>
      <c r="AD77" s="2" t="s">
        <v>57</v>
      </c>
    </row>
    <row r="78" customFormat="false" ht="16.4" hidden="false" customHeight="false" outlineLevel="0" collapsed="false">
      <c r="A78" s="2" t="s">
        <v>204</v>
      </c>
      <c r="B78" s="2" t="s">
        <v>64</v>
      </c>
      <c r="C78" s="3" t="n">
        <v>116968</v>
      </c>
      <c r="D78" s="4" t="n">
        <v>0.01</v>
      </c>
      <c r="E78" s="3" t="n">
        <v>10</v>
      </c>
      <c r="F78" s="5" t="n">
        <f aca="false">IF(OR(C78="",D78="",E78="",N78="",C78&lt;=0,D78&lt;=0,E78&lt;=N78),"",ROUNDDOWN((C78*D78)/(E78-N78)/100,0)*100)</f>
        <v>1100</v>
      </c>
      <c r="G78" s="6" t="str">
        <f aca="false">IF(OR(A78="",F78="",E78="",N78="",E78&lt;=N78,账户数据!$B$7=""),"",IF(账户数据!$B$9+IF(H78="",F78*(E78-N78),0)&gt;=账户数据!$B$7,"禁止开仓","允许开仓"))</f>
        <v>禁止开仓</v>
      </c>
      <c r="H78" s="7" t="n">
        <v>400</v>
      </c>
      <c r="I78" s="8" t="n">
        <v>46204</v>
      </c>
      <c r="J78" s="3" t="n">
        <v>11</v>
      </c>
      <c r="K78" s="3" t="n">
        <v>9</v>
      </c>
      <c r="L78" s="5" t="n">
        <f aca="false">IF(K78="","",H78)</f>
        <v>400</v>
      </c>
      <c r="M78" s="8" t="n">
        <v>46205</v>
      </c>
      <c r="N78" s="3" t="n">
        <v>9</v>
      </c>
      <c r="O78" s="3" t="n">
        <v>5</v>
      </c>
      <c r="P78" s="3" t="n">
        <v>5</v>
      </c>
      <c r="Q78" s="2" t="s">
        <v>109</v>
      </c>
      <c r="R78" s="9" t="s">
        <v>149</v>
      </c>
      <c r="S78" s="9" t="s">
        <v>111</v>
      </c>
      <c r="T78" s="9" t="s">
        <v>35</v>
      </c>
      <c r="U78" s="10" t="n">
        <f aca="false">IF(OR(E78="",J78="",E78&lt;=0),"",(J78-E78)/E78)</f>
        <v>0.1</v>
      </c>
      <c r="V78" s="10" t="n">
        <f aca="false">IF(OR(E78="",N78="",E78&lt;=0),"",(E78-N78)/E78)</f>
        <v>0.1</v>
      </c>
      <c r="W78" s="11" t="n">
        <f aca="false">IF(OR(U78="",V78="",V78&lt;=0),"",U78/V78)</f>
        <v>1</v>
      </c>
      <c r="X78" s="12" t="n">
        <f aca="false">IF(OR(K78="",L78="",E78="",H78=""),"",K78*L78-E78*H78-IF(O78="",0,O78)-IF(P78="",0,P78))</f>
        <v>-410</v>
      </c>
      <c r="Y78" s="10" t="n">
        <f aca="false">IF(OR(X78="",E78="",H78=""),"",IF(E78*H78+IF(O78="",0,O78)&lt;=0,"",X78/(E78*H78+IF(O78="",0,O78))))</f>
        <v>-0.102372034956305</v>
      </c>
      <c r="Z78" s="10" t="n">
        <f aca="false">IF(OR(Y78="",多次统计数据!$B$8=""),"",Y78-多次统计数据!$B$8)</f>
        <v>-0.23050312502921</v>
      </c>
      <c r="AA78" s="13" t="n">
        <f aca="false">IF(OR(I78="",M78="",M78&lt;I78),"",M78-I78)</f>
        <v>1</v>
      </c>
      <c r="AB78" s="10" t="n">
        <f aca="false">IF(OR(A78="",多次统计数据!$B$8="",多次统计数据!$B$6&lt;=0,多次统计数据!$B$6&gt;=1),"",1-POWER(1+多次统计数据!$B$8,-多次统计数据!$B$6/(1-多次统计数据!$B$6)))</f>
        <v>0.119185074515542</v>
      </c>
      <c r="AC78" s="6" t="str">
        <f aca="false">IF(OR(AB78="",多次统计数据!$B$9=""),"",IF(多次统计数据!$B$9&lt;AB78,"低于上限","达到或超过上限"))</f>
        <v>低于上限</v>
      </c>
      <c r="AD78" s="2" t="s">
        <v>57</v>
      </c>
    </row>
    <row r="79" customFormat="false" ht="16.4" hidden="false" customHeight="false" outlineLevel="0" collapsed="false">
      <c r="A79" s="2" t="s">
        <v>205</v>
      </c>
      <c r="B79" s="2" t="s">
        <v>69</v>
      </c>
      <c r="C79" s="3" t="n">
        <v>116558</v>
      </c>
      <c r="D79" s="4" t="n">
        <v>0.01</v>
      </c>
      <c r="E79" s="3" t="n">
        <v>11.25</v>
      </c>
      <c r="F79" s="5" t="n">
        <f aca="false">IF(OR(C79="",D79="",E79="",N79="",C79&lt;=0,D79&lt;=0,E79&lt;=N79),"",ROUNDDOWN((C79*D79)/(E79-N79)/100,0)*100)</f>
        <v>900</v>
      </c>
      <c r="G79" s="6" t="str">
        <f aca="false">IF(OR(A79="",F79="",E79="",N79="",E79&lt;=N79,账户数据!$B$7=""),"",IF(账户数据!$B$9+IF(H79="",F79*(E79-N79),0)&gt;=账户数据!$B$7,"禁止开仓","允许开仓"))</f>
        <v>禁止开仓</v>
      </c>
      <c r="H79" s="7" t="n">
        <v>500</v>
      </c>
      <c r="I79" s="8" t="n">
        <v>46205</v>
      </c>
      <c r="J79" s="3" t="n">
        <v>12.38</v>
      </c>
      <c r="K79" s="3" t="n">
        <v>10</v>
      </c>
      <c r="L79" s="5" t="n">
        <f aca="false">IF(K79="","",H79)</f>
        <v>500</v>
      </c>
      <c r="M79" s="8" t="n">
        <v>46207</v>
      </c>
      <c r="N79" s="3" t="n">
        <v>10</v>
      </c>
      <c r="O79" s="3" t="n">
        <v>0</v>
      </c>
      <c r="P79" s="3" t="n">
        <v>5</v>
      </c>
      <c r="Q79" s="9" t="s">
        <v>113</v>
      </c>
      <c r="R79" s="9" t="s">
        <v>151</v>
      </c>
      <c r="S79" s="9" t="s">
        <v>115</v>
      </c>
      <c r="T79" s="9" t="s">
        <v>35</v>
      </c>
      <c r="U79" s="10" t="n">
        <f aca="false">IF(OR(E79="",J79="",E79&lt;=0),"",(J79-E79)/E79)</f>
        <v>0.100444444444445</v>
      </c>
      <c r="V79" s="10" t="n">
        <f aca="false">IF(OR(E79="",N79="",E79&lt;=0),"",(E79-N79)/E79)</f>
        <v>0.111111111111111</v>
      </c>
      <c r="W79" s="11" t="n">
        <f aca="false">IF(OR(U79="",V79="",V79&lt;=0),"",U79/V79)</f>
        <v>0.904000000000001</v>
      </c>
      <c r="X79" s="12" t="n">
        <f aca="false">IF(OR(K79="",L79="",E79="",H79=""),"",K79*L79-E79*H79-IF(O79="",0,O79)-IF(P79="",0,P79))</f>
        <v>-630</v>
      </c>
      <c r="Y79" s="10" t="n">
        <f aca="false">IF(OR(X79="",E79="",H79=""),"",IF(E79*H79+IF(O79="",0,O79)&lt;=0,"",X79/(E79*H79+IF(O79="",0,O79))))</f>
        <v>-0.112</v>
      </c>
      <c r="Z79" s="10" t="n">
        <f aca="false">IF(OR(Y79="",多次统计数据!$B$8=""),"",Y79-多次统计数据!$B$8)</f>
        <v>-0.240131090072905</v>
      </c>
      <c r="AA79" s="13" t="n">
        <f aca="false">IF(OR(I79="",M79="",M79&lt;I79),"",M79-I79)</f>
        <v>2</v>
      </c>
      <c r="AB79" s="10" t="n">
        <f aca="false">IF(OR(A79="",多次统计数据!$B$8="",多次统计数据!$B$6&lt;=0,多次统计数据!$B$6&gt;=1),"",1-POWER(1+多次统计数据!$B$8,-多次统计数据!$B$6/(1-多次统计数据!$B$6)))</f>
        <v>0.119185074515542</v>
      </c>
      <c r="AC79" s="6" t="str">
        <f aca="false">IF(OR(AB79="",多次统计数据!$B$9=""),"",IF(多次统计数据!$B$9&lt;AB79,"低于上限","达到或超过上限"))</f>
        <v>低于上限</v>
      </c>
      <c r="AD79" s="2" t="s">
        <v>57</v>
      </c>
    </row>
    <row r="80" customFormat="false" ht="31.3" hidden="false" customHeight="false" outlineLevel="0" collapsed="false">
      <c r="A80" s="2" t="s">
        <v>206</v>
      </c>
      <c r="B80" s="2" t="s">
        <v>74</v>
      </c>
      <c r="C80" s="3" t="n">
        <v>115928</v>
      </c>
      <c r="D80" s="4" t="n">
        <v>0.01</v>
      </c>
      <c r="E80" s="3" t="n">
        <v>12.5</v>
      </c>
      <c r="F80" s="5" t="n">
        <f aca="false">IF(OR(C80="",D80="",E80="",N80="",C80&lt;=0,D80&lt;=0,E80&lt;=N80),"",ROUNDDOWN((C80*D80)/(E80-N80)/100,0)*100)</f>
        <v>700</v>
      </c>
      <c r="G80" s="6" t="str">
        <f aca="false">IF(OR(A80="",F80="",E80="",N80="",E80&lt;=N80,账户数据!$B$7=""),"",IF(账户数据!$B$9+IF(H80="",F80*(E80-N80),0)&gt;=账户数据!$B$7,"禁止开仓","允许开仓"))</f>
        <v>禁止开仓</v>
      </c>
      <c r="H80" s="7" t="n">
        <v>500</v>
      </c>
      <c r="I80" s="8" t="n">
        <v>46206</v>
      </c>
      <c r="J80" s="3" t="n">
        <v>13.75</v>
      </c>
      <c r="K80" s="3" t="n">
        <v>12.5</v>
      </c>
      <c r="L80" s="5" t="n">
        <f aca="false">IF(K80="","",H80)</f>
        <v>500</v>
      </c>
      <c r="M80" s="8" t="n">
        <v>46209</v>
      </c>
      <c r="N80" s="3" t="n">
        <v>11</v>
      </c>
      <c r="O80" s="3" t="n">
        <v>0</v>
      </c>
      <c r="P80" s="3" t="n">
        <v>0</v>
      </c>
      <c r="Q80" s="9" t="s">
        <v>117</v>
      </c>
      <c r="R80" s="9" t="s">
        <v>153</v>
      </c>
      <c r="S80" s="9" t="s">
        <v>119</v>
      </c>
      <c r="T80" s="9" t="s">
        <v>35</v>
      </c>
      <c r="U80" s="10" t="n">
        <f aca="false">IF(OR(E80="",J80="",E80&lt;=0),"",(J80-E80)/E80)</f>
        <v>0.1</v>
      </c>
      <c r="V80" s="10" t="n">
        <f aca="false">IF(OR(E80="",N80="",E80&lt;=0),"",(E80-N80)/E80)</f>
        <v>0.12</v>
      </c>
      <c r="W80" s="11" t="n">
        <f aca="false">IF(OR(U80="",V80="",V80&lt;=0),"",U80/V80)</f>
        <v>0.833333333333333</v>
      </c>
      <c r="X80" s="12" t="n">
        <f aca="false">IF(OR(K80="",L80="",E80="",H80=""),"",K80*L80-E80*H80-IF(O80="",0,O80)-IF(P80="",0,P80))</f>
        <v>0</v>
      </c>
      <c r="Y80" s="10" t="n">
        <f aca="false">IF(OR(X80="",E80="",H80=""),"",IF(E80*H80+IF(O80="",0,O80)&lt;=0,"",X80/(E80*H80+IF(O80="",0,O80))))</f>
        <v>0</v>
      </c>
      <c r="Z80" s="10" t="n">
        <f aca="false">IF(OR(Y80="",多次统计数据!$B$8=""),"",Y80-多次统计数据!$B$8)</f>
        <v>-0.128131090072905</v>
      </c>
      <c r="AA80" s="13" t="n">
        <f aca="false">IF(OR(I80="",M80="",M80&lt;I80),"",M80-I80)</f>
        <v>3</v>
      </c>
      <c r="AB80" s="10" t="n">
        <f aca="false">IF(OR(A80="",多次统计数据!$B$8="",多次统计数据!$B$6&lt;=0,多次统计数据!$B$6&gt;=1),"",1-POWER(1+多次统计数据!$B$8,-多次统计数据!$B$6/(1-多次统计数据!$B$6)))</f>
        <v>0.119185074515542</v>
      </c>
      <c r="AC80" s="6" t="str">
        <f aca="false">IF(OR(AB80="",多次统计数据!$B$9=""),"",IF(多次统计数据!$B$9&lt;AB80,"低于上限","达到或超过上限"))</f>
        <v>低于上限</v>
      </c>
      <c r="AD80" s="2" t="s">
        <v>78</v>
      </c>
    </row>
    <row r="81" customFormat="false" ht="31.3" hidden="false" customHeight="false" outlineLevel="0" collapsed="false">
      <c r="A81" s="2" t="s">
        <v>207</v>
      </c>
      <c r="B81" s="2" t="s">
        <v>80</v>
      </c>
      <c r="C81" s="3" t="n">
        <v>115928</v>
      </c>
      <c r="D81" s="4" t="n">
        <v>0.01</v>
      </c>
      <c r="E81" s="3" t="n">
        <v>13.75</v>
      </c>
      <c r="F81" s="5" t="n">
        <f aca="false">IF(OR(C81="",D81="",E81="",N81="",C81&lt;=0,D81&lt;=0,E81&lt;=N81),"",ROUNDDOWN((C81*D81)/(E81-N81)/100,0)*100)</f>
        <v>1500</v>
      </c>
      <c r="G81" s="6" t="str">
        <f aca="false">IF(OR(A81="",F81="",E81="",N81="",E81&lt;=N81,账户数据!$B$7=""),"",IF(账户数据!$B$9+IF(H81="",F81*(E81-N81),0)&gt;=账户数据!$B$7,"禁止开仓","允许开仓"))</f>
        <v>禁止开仓</v>
      </c>
      <c r="H81" s="7" t="n">
        <v>1500</v>
      </c>
      <c r="I81" s="8" t="n">
        <v>46207</v>
      </c>
      <c r="J81" s="3" t="n">
        <v>15.13</v>
      </c>
      <c r="K81" s="3"/>
      <c r="L81" s="5" t="str">
        <f aca="false">IF(K81="","",H81)</f>
        <v/>
      </c>
      <c r="M81" s="8"/>
      <c r="N81" s="3" t="n">
        <v>13</v>
      </c>
      <c r="O81" s="3" t="n">
        <v>5</v>
      </c>
      <c r="P81" s="3" t="n">
        <v>0</v>
      </c>
      <c r="Q81" s="9" t="s">
        <v>121</v>
      </c>
      <c r="R81" s="9" t="s">
        <v>155</v>
      </c>
      <c r="S81" s="9" t="s">
        <v>123</v>
      </c>
      <c r="T81" s="9"/>
      <c r="U81" s="10" t="n">
        <f aca="false">IF(OR(E81="",J81="",E81&lt;=0),"",(J81-E81)/E81)</f>
        <v>0.100363636363636</v>
      </c>
      <c r="V81" s="10" t="n">
        <f aca="false">IF(OR(E81="",N81="",E81&lt;=0),"",(E81-N81)/E81)</f>
        <v>0.0545454545454545</v>
      </c>
      <c r="W81" s="11" t="n">
        <f aca="false">IF(OR(U81="",V81="",V81&lt;=0),"",U81/V81)</f>
        <v>1.84</v>
      </c>
      <c r="X81" s="12" t="str">
        <f aca="false">IF(OR(K81="",L81="",E81="",H81=""),"",K81*L81-E81*H81-IF(O81="",0,O81)-IF(P81="",0,P81))</f>
        <v/>
      </c>
      <c r="Y81" s="10" t="str">
        <f aca="false">IF(OR(X81="",E81="",H81=""),"",IF(E81*H81+IF(O81="",0,O81)&lt;=0,"",X81/(E81*H81+IF(O81="",0,O81))))</f>
        <v/>
      </c>
      <c r="Z81" s="10" t="str">
        <f aca="false">IF(OR(Y81="",多次统计数据!$B$8=""),"",Y81-多次统计数据!$B$8)</f>
        <v/>
      </c>
      <c r="AA81" s="13" t="str">
        <f aca="false">IF(OR(I81="",M81="",M81&lt;I81),"",M81-I81)</f>
        <v/>
      </c>
      <c r="AB81" s="10" t="n">
        <f aca="false">IF(OR(A81="",多次统计数据!$B$8="",多次统计数据!$B$6&lt;=0,多次统计数据!$B$6&gt;=1),"",1-POWER(1+多次统计数据!$B$8,-多次统计数据!$B$6/(1-多次统计数据!$B$6)))</f>
        <v>0.119185074515542</v>
      </c>
      <c r="AC81" s="6" t="str">
        <f aca="false">IF(OR(AB81="",多次统计数据!$B$9=""),"",IF(多次统计数据!$B$9&lt;AB81,"低于上限","达到或超过上限"))</f>
        <v>低于上限</v>
      </c>
      <c r="AD81" s="2"/>
    </row>
    <row r="82" customFormat="false" ht="16.4" hidden="false" customHeight="false" outlineLevel="0" collapsed="false">
      <c r="A82" s="2" t="s">
        <v>208</v>
      </c>
      <c r="B82" s="2" t="s">
        <v>31</v>
      </c>
      <c r="C82" s="3" t="n">
        <v>115928</v>
      </c>
      <c r="D82" s="4" t="n">
        <v>0.01</v>
      </c>
      <c r="E82" s="3" t="n">
        <v>15</v>
      </c>
      <c r="F82" s="5" t="n">
        <f aca="false">IF(OR(C82="",D82="",E82="",N82="",C82&lt;=0,D82&lt;=0,E82&lt;=N82),"",ROUNDDOWN((C82*D82)/(E82-N82)/100,0)*100)</f>
        <v>1100</v>
      </c>
      <c r="G82" s="6" t="str">
        <f aca="false">IF(OR(A82="",F82="",E82="",N82="",E82&lt;=N82,账户数据!$B$7=""),"",IF(账户数据!$B$9+IF(H82="",F82*(E82-N82),0)&gt;=账户数据!$B$7,"禁止开仓","允许开仓"))</f>
        <v>禁止开仓</v>
      </c>
      <c r="H82" s="7" t="n">
        <v>200</v>
      </c>
      <c r="I82" s="8" t="n">
        <v>46208</v>
      </c>
      <c r="J82" s="3" t="n">
        <v>16.5</v>
      </c>
      <c r="K82" s="3" t="n">
        <v>16.8</v>
      </c>
      <c r="L82" s="5" t="n">
        <f aca="false">IF(K82="","",H82)</f>
        <v>200</v>
      </c>
      <c r="M82" s="8" t="n">
        <v>46213</v>
      </c>
      <c r="N82" s="3" t="n">
        <v>14</v>
      </c>
      <c r="O82" s="3" t="n">
        <v>0</v>
      </c>
      <c r="P82" s="3" t="n">
        <v>5</v>
      </c>
      <c r="Q82" s="9" t="s">
        <v>32</v>
      </c>
      <c r="R82" s="9" t="s">
        <v>157</v>
      </c>
      <c r="S82" s="9" t="s">
        <v>34</v>
      </c>
      <c r="T82" s="9" t="s">
        <v>35</v>
      </c>
      <c r="U82" s="10" t="n">
        <f aca="false">IF(OR(E82="",J82="",E82&lt;=0),"",(J82-E82)/E82)</f>
        <v>0.1</v>
      </c>
      <c r="V82" s="10" t="n">
        <f aca="false">IF(OR(E82="",N82="",E82&lt;=0),"",(E82-N82)/E82)</f>
        <v>0.0666666666666667</v>
      </c>
      <c r="W82" s="11" t="n">
        <f aca="false">IF(OR(U82="",V82="",V82&lt;=0),"",U82/V82)</f>
        <v>1.5</v>
      </c>
      <c r="X82" s="12" t="n">
        <f aca="false">IF(OR(K82="",L82="",E82="",H82=""),"",K82*L82-E82*H82-IF(O82="",0,O82)-IF(P82="",0,P82))</f>
        <v>355</v>
      </c>
      <c r="Y82" s="10" t="n">
        <f aca="false">IF(OR(X82="",E82="",H82=""),"",IF(E82*H82+IF(O82="",0,O82)&lt;=0,"",X82/(E82*H82+IF(O82="",0,O82))))</f>
        <v>0.118333333333333</v>
      </c>
      <c r="Z82" s="10" t="n">
        <f aca="false">IF(OR(Y82="",多次统计数据!$B$8=""),"",Y82-多次统计数据!$B$8)</f>
        <v>-0.00979775673957158</v>
      </c>
      <c r="AA82" s="13" t="n">
        <f aca="false">IF(OR(I82="",M82="",M82&lt;I82),"",M82-I82)</f>
        <v>5</v>
      </c>
      <c r="AB82" s="10" t="n">
        <f aca="false">IF(OR(A82="",多次统计数据!$B$8="",多次统计数据!$B$6&lt;=0,多次统计数据!$B$6&gt;=1),"",1-POWER(1+多次统计数据!$B$8,-多次统计数据!$B$6/(1-多次统计数据!$B$6)))</f>
        <v>0.119185074515542</v>
      </c>
      <c r="AC82" s="6" t="str">
        <f aca="false">IF(OR(AB82="",多次统计数据!$B$9=""),"",IF(多次统计数据!$B$9&lt;AB82,"低于上限","达到或超过上限"))</f>
        <v>低于上限</v>
      </c>
      <c r="AD82" s="2" t="s">
        <v>36</v>
      </c>
    </row>
    <row r="83" customFormat="false" ht="16.4" hidden="false" customHeight="false" outlineLevel="0" collapsed="false">
      <c r="A83" s="2" t="s">
        <v>209</v>
      </c>
      <c r="B83" s="2" t="s">
        <v>38</v>
      </c>
      <c r="C83" s="3" t="n">
        <v>116283</v>
      </c>
      <c r="D83" s="4" t="n">
        <v>0.01</v>
      </c>
      <c r="E83" s="3" t="n">
        <v>16.25</v>
      </c>
      <c r="F83" s="5" t="n">
        <f aca="false">IF(OR(C83="",D83="",E83="",N83="",C83&lt;=0,D83&lt;=0,E83&lt;=N83),"",ROUNDDOWN((C83*D83)/(E83-N83)/100,0)*100)</f>
        <v>900</v>
      </c>
      <c r="G83" s="6" t="str">
        <f aca="false">IF(OR(A83="",F83="",E83="",N83="",E83&lt;=N83,账户数据!$B$7=""),"",IF(账户数据!$B$9+IF(H83="",F83*(E83-N83),0)&gt;=账户数据!$B$7,"禁止开仓","允许开仓"))</f>
        <v>禁止开仓</v>
      </c>
      <c r="H83" s="7" t="n">
        <v>300</v>
      </c>
      <c r="I83" s="8" t="n">
        <v>46209</v>
      </c>
      <c r="J83" s="3" t="n">
        <v>17.88</v>
      </c>
      <c r="K83" s="3" t="n">
        <v>18.36</v>
      </c>
      <c r="L83" s="5" t="n">
        <f aca="false">IF(K83="","",H83)</f>
        <v>300</v>
      </c>
      <c r="M83" s="8" t="n">
        <v>46215</v>
      </c>
      <c r="N83" s="3" t="n">
        <v>15</v>
      </c>
      <c r="O83" s="3" t="n">
        <v>5</v>
      </c>
      <c r="P83" s="3" t="n">
        <v>5</v>
      </c>
      <c r="Q83" s="9" t="s">
        <v>39</v>
      </c>
      <c r="R83" s="9" t="s">
        <v>159</v>
      </c>
      <c r="S83" s="9" t="s">
        <v>41</v>
      </c>
      <c r="T83" s="9" t="s">
        <v>35</v>
      </c>
      <c r="U83" s="10" t="n">
        <f aca="false">IF(OR(E83="",J83="",E83&lt;=0),"",(J83-E83)/E83)</f>
        <v>0.100307692307692</v>
      </c>
      <c r="V83" s="10" t="n">
        <f aca="false">IF(OR(E83="",N83="",E83&lt;=0),"",(E83-N83)/E83)</f>
        <v>0.0769230769230769</v>
      </c>
      <c r="W83" s="11" t="n">
        <f aca="false">IF(OR(U83="",V83="",V83&lt;=0),"",U83/V83)</f>
        <v>1.304</v>
      </c>
      <c r="X83" s="12" t="n">
        <f aca="false">IF(OR(K83="",L83="",E83="",H83=""),"",K83*L83-E83*H83-IF(O83="",0,O83)-IF(P83="",0,P83))</f>
        <v>623</v>
      </c>
      <c r="Y83" s="10" t="n">
        <f aca="false">IF(OR(X83="",E83="",H83=""),"",IF(E83*H83+IF(O83="",0,O83)&lt;=0,"",X83/(E83*H83+IF(O83="",0,O83))))</f>
        <v>0.12766393442623</v>
      </c>
      <c r="Z83" s="10" t="n">
        <f aca="false">IF(OR(Y83="",多次统计数据!$B$8=""),"",Y83-多次统计数据!$B$8)</f>
        <v>-0.000467155646675405</v>
      </c>
      <c r="AA83" s="13" t="n">
        <f aca="false">IF(OR(I83="",M83="",M83&lt;I83),"",M83-I83)</f>
        <v>6</v>
      </c>
      <c r="AB83" s="10" t="n">
        <f aca="false">IF(OR(A83="",多次统计数据!$B$8="",多次统计数据!$B$6&lt;=0,多次统计数据!$B$6&gt;=1),"",1-POWER(1+多次统计数据!$B$8,-多次统计数据!$B$6/(1-多次统计数据!$B$6)))</f>
        <v>0.119185074515542</v>
      </c>
      <c r="AC83" s="6" t="str">
        <f aca="false">IF(OR(AB83="",多次统计数据!$B$9=""),"",IF(多次统计数据!$B$9&lt;AB83,"低于上限","达到或超过上限"))</f>
        <v>低于上限</v>
      </c>
      <c r="AD83" s="2" t="s">
        <v>36</v>
      </c>
    </row>
    <row r="84" customFormat="false" ht="16.4" hidden="false" customHeight="false" outlineLevel="0" collapsed="false">
      <c r="A84" s="2" t="s">
        <v>210</v>
      </c>
      <c r="B84" s="2" t="s">
        <v>43</v>
      </c>
      <c r="C84" s="3" t="n">
        <v>116906</v>
      </c>
      <c r="D84" s="4" t="n">
        <v>0.01</v>
      </c>
      <c r="E84" s="3" t="n">
        <v>17.5</v>
      </c>
      <c r="F84" s="5" t="n">
        <f aca="false">IF(OR(C84="",D84="",E84="",N84="",C84&lt;=0,D84&lt;=0,E84&lt;=N84),"",ROUNDDOWN((C84*D84)/(E84-N84)/100,0)*100)</f>
        <v>700</v>
      </c>
      <c r="G84" s="6" t="str">
        <f aca="false">IF(OR(A84="",F84="",E84="",N84="",E84&lt;=N84,账户数据!$B$7=""),"",IF(账户数据!$B$9+IF(H84="",F84*(E84-N84),0)&gt;=账户数据!$B$7,"禁止开仓","允许开仓"))</f>
        <v>禁止开仓</v>
      </c>
      <c r="H84" s="7" t="n">
        <v>400</v>
      </c>
      <c r="I84" s="8" t="n">
        <v>46210</v>
      </c>
      <c r="J84" s="3" t="n">
        <v>19.25</v>
      </c>
      <c r="K84" s="3" t="n">
        <v>19.95</v>
      </c>
      <c r="L84" s="5" t="n">
        <f aca="false">IF(K84="","",H84)</f>
        <v>400</v>
      </c>
      <c r="M84" s="8" t="n">
        <v>46217</v>
      </c>
      <c r="N84" s="3" t="n">
        <v>16</v>
      </c>
      <c r="O84" s="3" t="n">
        <v>5</v>
      </c>
      <c r="P84" s="3" t="n">
        <v>5</v>
      </c>
      <c r="Q84" s="2" t="s">
        <v>44</v>
      </c>
      <c r="R84" s="9" t="s">
        <v>161</v>
      </c>
      <c r="S84" s="9" t="s">
        <v>46</v>
      </c>
      <c r="T84" s="9" t="s">
        <v>35</v>
      </c>
      <c r="U84" s="10" t="n">
        <f aca="false">IF(OR(E84="",J84="",E84&lt;=0),"",(J84-E84)/E84)</f>
        <v>0.1</v>
      </c>
      <c r="V84" s="10" t="n">
        <f aca="false">IF(OR(E84="",N84="",E84&lt;=0),"",(E84-N84)/E84)</f>
        <v>0.0857142857142857</v>
      </c>
      <c r="W84" s="11" t="n">
        <f aca="false">IF(OR(U84="",V84="",V84&lt;=0),"",U84/V84)</f>
        <v>1.16666666666667</v>
      </c>
      <c r="X84" s="12" t="n">
        <f aca="false">IF(OR(K84="",L84="",E84="",H84=""),"",K84*L84-E84*H84-IF(O84="",0,O84)-IF(P84="",0,P84))</f>
        <v>970</v>
      </c>
      <c r="Y84" s="10" t="n">
        <f aca="false">IF(OR(X84="",E84="",H84=""),"",IF(E84*H84+IF(O84="",0,O84)&lt;=0,"",X84/(E84*H84+IF(O84="",0,O84))))</f>
        <v>0.138472519628837</v>
      </c>
      <c r="Z84" s="10" t="n">
        <f aca="false">IF(OR(Y84="",多次统计数据!$B$8=""),"",Y84-多次统计数据!$B$8)</f>
        <v>0.0103414295559316</v>
      </c>
      <c r="AA84" s="13" t="n">
        <f aca="false">IF(OR(I84="",M84="",M84&lt;I84),"",M84-I84)</f>
        <v>7</v>
      </c>
      <c r="AB84" s="10" t="n">
        <f aca="false">IF(OR(A84="",多次统计数据!$B$8="",多次统计数据!$B$6&lt;=0,多次统计数据!$B$6&gt;=1),"",1-POWER(1+多次统计数据!$B$8,-多次统计数据!$B$6/(1-多次统计数据!$B$6)))</f>
        <v>0.119185074515542</v>
      </c>
      <c r="AC84" s="6" t="str">
        <f aca="false">IF(OR(AB84="",多次统计数据!$B$9=""),"",IF(多次统计数据!$B$9&lt;AB84,"低于上限","达到或超过上限"))</f>
        <v>低于上限</v>
      </c>
      <c r="AD84" s="2" t="s">
        <v>36</v>
      </c>
    </row>
    <row r="85" customFormat="false" ht="31.3" hidden="false" customHeight="false" outlineLevel="0" collapsed="false">
      <c r="A85" s="2" t="s">
        <v>211</v>
      </c>
      <c r="B85" s="2" t="s">
        <v>48</v>
      </c>
      <c r="C85" s="3" t="n">
        <v>117876</v>
      </c>
      <c r="D85" s="4" t="n">
        <v>0.01</v>
      </c>
      <c r="E85" s="3" t="n">
        <v>18.75</v>
      </c>
      <c r="F85" s="5" t="n">
        <f aca="false">IF(OR(C85="",D85="",E85="",N85="",C85&lt;=0,D85&lt;=0,E85&lt;=N85),"",ROUNDDOWN((C85*D85)/(E85-N85)/100,0)*100)</f>
        <v>1500</v>
      </c>
      <c r="G85" s="6" t="str">
        <f aca="false">IF(OR(A85="",F85="",E85="",N85="",E85&lt;=N85,账户数据!$B$7=""),"",IF(账户数据!$B$9+IF(H85="",F85*(E85-N85),0)&gt;=账户数据!$B$7,"禁止开仓","允许开仓"))</f>
        <v>禁止开仓</v>
      </c>
      <c r="H85" s="7" t="n">
        <v>1200</v>
      </c>
      <c r="I85" s="8" t="n">
        <v>46211</v>
      </c>
      <c r="J85" s="3" t="n">
        <v>20.62</v>
      </c>
      <c r="K85" s="3" t="n">
        <v>21</v>
      </c>
      <c r="L85" s="5" t="n">
        <f aca="false">IF(K85="","",H85)</f>
        <v>1200</v>
      </c>
      <c r="M85" s="8" t="n">
        <v>46212</v>
      </c>
      <c r="N85" s="3" t="n">
        <v>18</v>
      </c>
      <c r="O85" s="3" t="n">
        <v>0</v>
      </c>
      <c r="P85" s="3" t="n">
        <v>0</v>
      </c>
      <c r="Q85" s="9" t="s">
        <v>49</v>
      </c>
      <c r="R85" s="9" t="s">
        <v>163</v>
      </c>
      <c r="S85" s="9" t="s">
        <v>51</v>
      </c>
      <c r="T85" s="9" t="s">
        <v>35</v>
      </c>
      <c r="U85" s="10" t="n">
        <f aca="false">IF(OR(E85="",J85="",E85&lt;=0),"",(J85-E85)/E85)</f>
        <v>0.0997333333333334</v>
      </c>
      <c r="V85" s="10" t="n">
        <f aca="false">IF(OR(E85="",N85="",E85&lt;=0),"",(E85-N85)/E85)</f>
        <v>0.04</v>
      </c>
      <c r="W85" s="11" t="n">
        <f aca="false">IF(OR(U85="",V85="",V85&lt;=0),"",U85/V85)</f>
        <v>2.49333333333333</v>
      </c>
      <c r="X85" s="12" t="n">
        <f aca="false">IF(OR(K85="",L85="",E85="",H85=""),"",K85*L85-E85*H85-IF(O85="",0,O85)-IF(P85="",0,P85))</f>
        <v>2700</v>
      </c>
      <c r="Y85" s="10" t="n">
        <f aca="false">IF(OR(X85="",E85="",H85=""),"",IF(E85*H85+IF(O85="",0,O85)&lt;=0,"",X85/(E85*H85+IF(O85="",0,O85))))</f>
        <v>0.12</v>
      </c>
      <c r="Z85" s="10" t="n">
        <f aca="false">IF(OR(Y85="",多次统计数据!$B$8=""),"",Y85-多次统计数据!$B$8)</f>
        <v>-0.00813109007290491</v>
      </c>
      <c r="AA85" s="13" t="n">
        <f aca="false">IF(OR(I85="",M85="",M85&lt;I85),"",M85-I85)</f>
        <v>1</v>
      </c>
      <c r="AB85" s="10" t="n">
        <f aca="false">IF(OR(A85="",多次统计数据!$B$8="",多次统计数据!$B$6&lt;=0,多次统计数据!$B$6&gt;=1),"",1-POWER(1+多次统计数据!$B$8,-多次统计数据!$B$6/(1-多次统计数据!$B$6)))</f>
        <v>0.119185074515542</v>
      </c>
      <c r="AC85" s="6" t="str">
        <f aca="false">IF(OR(AB85="",多次统计数据!$B$9=""),"",IF(多次统计数据!$B$9&lt;AB85,"低于上限","达到或超过上限"))</f>
        <v>低于上限</v>
      </c>
      <c r="AD85" s="2" t="s">
        <v>36</v>
      </c>
    </row>
    <row r="86" customFormat="false" ht="16.4" hidden="false" customHeight="false" outlineLevel="0" collapsed="false">
      <c r="A86" s="2" t="s">
        <v>212</v>
      </c>
      <c r="B86" s="2" t="s">
        <v>53</v>
      </c>
      <c r="C86" s="3" t="n">
        <v>120576</v>
      </c>
      <c r="D86" s="4" t="n">
        <v>0.01</v>
      </c>
      <c r="E86" s="3" t="n">
        <v>20</v>
      </c>
      <c r="F86" s="5" t="n">
        <f aca="false">IF(OR(C86="",D86="",E86="",N86="",C86&lt;=0,D86&lt;=0,E86&lt;=N86),"",ROUNDDOWN((C86*D86)/(E86-N86)/100,0)*100)</f>
        <v>1200</v>
      </c>
      <c r="G86" s="6" t="str">
        <f aca="false">IF(OR(A86="",F86="",E86="",N86="",E86&lt;=N86,账户数据!$B$7=""),"",IF(账户数据!$B$9+IF(H86="",F86*(E86-N86),0)&gt;=账户数据!$B$7,"禁止开仓","允许开仓"))</f>
        <v>禁止开仓</v>
      </c>
      <c r="H86" s="7" t="n">
        <v>1200</v>
      </c>
      <c r="I86" s="8" t="n">
        <v>46212</v>
      </c>
      <c r="J86" s="3" t="n">
        <v>22</v>
      </c>
      <c r="K86" s="3" t="n">
        <v>18.8</v>
      </c>
      <c r="L86" s="5" t="n">
        <f aca="false">IF(K86="","",H86)</f>
        <v>1200</v>
      </c>
      <c r="M86" s="8" t="n">
        <v>46214</v>
      </c>
      <c r="N86" s="3" t="n">
        <v>19</v>
      </c>
      <c r="O86" s="3" t="n">
        <v>5</v>
      </c>
      <c r="P86" s="3" t="n">
        <v>5</v>
      </c>
      <c r="Q86" s="9" t="s">
        <v>54</v>
      </c>
      <c r="R86" s="9" t="s">
        <v>165</v>
      </c>
      <c r="S86" s="9" t="s">
        <v>56</v>
      </c>
      <c r="T86" s="9" t="s">
        <v>35</v>
      </c>
      <c r="U86" s="10" t="n">
        <f aca="false">IF(OR(E86="",J86="",E86&lt;=0),"",(J86-E86)/E86)</f>
        <v>0.1</v>
      </c>
      <c r="V86" s="10" t="n">
        <f aca="false">IF(OR(E86="",N86="",E86&lt;=0),"",(E86-N86)/E86)</f>
        <v>0.05</v>
      </c>
      <c r="W86" s="11" t="n">
        <f aca="false">IF(OR(U86="",V86="",V86&lt;=0),"",U86/V86)</f>
        <v>2</v>
      </c>
      <c r="X86" s="12" t="n">
        <f aca="false">IF(OR(K86="",L86="",E86="",H86=""),"",K86*L86-E86*H86-IF(O86="",0,O86)-IF(P86="",0,P86))</f>
        <v>-1450</v>
      </c>
      <c r="Y86" s="10" t="n">
        <f aca="false">IF(OR(X86="",E86="",H86=""),"",IF(E86*H86+IF(O86="",0,O86)&lt;=0,"",X86/(E86*H86+IF(O86="",0,O86))))</f>
        <v>-0.0604040824828161</v>
      </c>
      <c r="Z86" s="10" t="n">
        <f aca="false">IF(OR(Y86="",多次统计数据!$B$8=""),"",Y86-多次统计数据!$B$8)</f>
        <v>-0.188535172555721</v>
      </c>
      <c r="AA86" s="13" t="n">
        <f aca="false">IF(OR(I86="",M86="",M86&lt;I86),"",M86-I86)</f>
        <v>2</v>
      </c>
      <c r="AB86" s="10" t="n">
        <f aca="false">IF(OR(A86="",多次统计数据!$B$8="",多次统计数据!$B$6&lt;=0,多次统计数据!$B$6&gt;=1),"",1-POWER(1+多次统计数据!$B$8,-多次统计数据!$B$6/(1-多次统计数据!$B$6)))</f>
        <v>0.119185074515542</v>
      </c>
      <c r="AC86" s="6" t="str">
        <f aca="false">IF(OR(AB86="",多次统计数据!$B$9=""),"",IF(多次统计数据!$B$9&lt;AB86,"低于上限","达到或超过上限"))</f>
        <v>低于上限</v>
      </c>
      <c r="AD86" s="2" t="s">
        <v>57</v>
      </c>
    </row>
    <row r="87" customFormat="false" ht="16.4" hidden="false" customHeight="false" outlineLevel="0" collapsed="false">
      <c r="A87" s="2" t="s">
        <v>213</v>
      </c>
      <c r="B87" s="2" t="s">
        <v>59</v>
      </c>
      <c r="C87" s="3" t="n">
        <v>119126</v>
      </c>
      <c r="D87" s="4" t="n">
        <v>0.01</v>
      </c>
      <c r="E87" s="3" t="n">
        <v>21.25</v>
      </c>
      <c r="F87" s="5" t="n">
        <f aca="false">IF(OR(C87="",D87="",E87="",N87="",C87&lt;=0,D87&lt;=0,E87&lt;=N87),"",ROUNDDOWN((C87*D87)/(E87-N87)/100,0)*100)</f>
        <v>900</v>
      </c>
      <c r="G87" s="6" t="str">
        <f aca="false">IF(OR(A87="",F87="",E87="",N87="",E87&lt;=N87,账户数据!$B$7=""),"",IF(账户数据!$B$9+IF(H87="",F87*(E87-N87),0)&gt;=账户数据!$B$7,"禁止开仓","允许开仓"))</f>
        <v>禁止开仓</v>
      </c>
      <c r="H87" s="7" t="n">
        <v>100</v>
      </c>
      <c r="I87" s="8" t="n">
        <v>46213</v>
      </c>
      <c r="J87" s="3" t="n">
        <v>23.38</v>
      </c>
      <c r="K87" s="3" t="n">
        <v>20</v>
      </c>
      <c r="L87" s="5" t="n">
        <f aca="false">IF(K87="","",H87)</f>
        <v>100</v>
      </c>
      <c r="M87" s="8" t="n">
        <v>46216</v>
      </c>
      <c r="N87" s="3" t="n">
        <v>20</v>
      </c>
      <c r="O87" s="3" t="n">
        <v>5</v>
      </c>
      <c r="P87" s="3" t="n">
        <v>5</v>
      </c>
      <c r="Q87" s="2" t="s">
        <v>60</v>
      </c>
      <c r="R87" s="9" t="s">
        <v>167</v>
      </c>
      <c r="S87" s="9" t="s">
        <v>62</v>
      </c>
      <c r="T87" s="9" t="s">
        <v>35</v>
      </c>
      <c r="U87" s="10" t="n">
        <f aca="false">IF(OR(E87="",J87="",E87&lt;=0),"",(J87-E87)/E87)</f>
        <v>0.100235294117647</v>
      </c>
      <c r="V87" s="10" t="n">
        <f aca="false">IF(OR(E87="",N87="",E87&lt;=0),"",(E87-N87)/E87)</f>
        <v>0.0588235294117647</v>
      </c>
      <c r="W87" s="11" t="n">
        <f aca="false">IF(OR(U87="",V87="",V87&lt;=0),"",U87/V87)</f>
        <v>1.704</v>
      </c>
      <c r="X87" s="12" t="n">
        <f aca="false">IF(OR(K87="",L87="",E87="",H87=""),"",K87*L87-E87*H87-IF(O87="",0,O87)-IF(P87="",0,P87))</f>
        <v>-135</v>
      </c>
      <c r="Y87" s="10" t="n">
        <f aca="false">IF(OR(X87="",E87="",H87=""),"",IF(E87*H87+IF(O87="",0,O87)&lt;=0,"",X87/(E87*H87+IF(O87="",0,O87))))</f>
        <v>-0.0633802816901408</v>
      </c>
      <c r="Z87" s="10" t="n">
        <f aca="false">IF(OR(Y87="",多次统计数据!$B$8=""),"",Y87-多次统计数据!$B$8)</f>
        <v>-0.191511371763046</v>
      </c>
      <c r="AA87" s="13" t="n">
        <f aca="false">IF(OR(I87="",M87="",M87&lt;I87),"",M87-I87)</f>
        <v>3</v>
      </c>
      <c r="AB87" s="10" t="n">
        <f aca="false">IF(OR(A87="",多次统计数据!$B$8="",多次统计数据!$B$6&lt;=0,多次统计数据!$B$6&gt;=1),"",1-POWER(1+多次统计数据!$B$8,-多次统计数据!$B$6/(1-多次统计数据!$B$6)))</f>
        <v>0.119185074515542</v>
      </c>
      <c r="AC87" s="6" t="str">
        <f aca="false">IF(OR(AB87="",多次统计数据!$B$9=""),"",IF(多次统计数据!$B$9&lt;AB87,"低于上限","达到或超过上限"))</f>
        <v>低于上限</v>
      </c>
      <c r="AD87" s="2" t="s">
        <v>57</v>
      </c>
    </row>
    <row r="88" customFormat="false" ht="16.4" hidden="false" customHeight="false" outlineLevel="0" collapsed="false">
      <c r="A88" s="2" t="s">
        <v>214</v>
      </c>
      <c r="B88" s="2" t="s">
        <v>64</v>
      </c>
      <c r="C88" s="3" t="n">
        <v>118991</v>
      </c>
      <c r="D88" s="4" t="n">
        <v>0.01</v>
      </c>
      <c r="E88" s="3" t="n">
        <v>22.5</v>
      </c>
      <c r="F88" s="5" t="n">
        <f aca="false">IF(OR(C88="",D88="",E88="",N88="",C88&lt;=0,D88&lt;=0,E88&lt;=N88),"",ROUNDDOWN((C88*D88)/(E88-N88)/100,0)*100)</f>
        <v>700</v>
      </c>
      <c r="G88" s="6" t="str">
        <f aca="false">IF(OR(A88="",F88="",E88="",N88="",E88&lt;=N88,账户数据!$B$7=""),"",IF(账户数据!$B$9+IF(H88="",F88*(E88-N88),0)&gt;=账户数据!$B$7,"禁止开仓","允许开仓"))</f>
        <v>禁止开仓</v>
      </c>
      <c r="H88" s="7" t="n">
        <v>200</v>
      </c>
      <c r="I88" s="8" t="n">
        <v>46214</v>
      </c>
      <c r="J88" s="3" t="n">
        <v>24.75</v>
      </c>
      <c r="K88" s="3" t="n">
        <v>21</v>
      </c>
      <c r="L88" s="5" t="n">
        <f aca="false">IF(K88="","",H88)</f>
        <v>200</v>
      </c>
      <c r="M88" s="8" t="n">
        <v>46218</v>
      </c>
      <c r="N88" s="3" t="n">
        <v>21</v>
      </c>
      <c r="O88" s="3" t="n">
        <v>0</v>
      </c>
      <c r="P88" s="3" t="n">
        <v>5</v>
      </c>
      <c r="Q88" s="2" t="s">
        <v>65</v>
      </c>
      <c r="R88" s="9" t="s">
        <v>169</v>
      </c>
      <c r="S88" s="9" t="s">
        <v>67</v>
      </c>
      <c r="T88" s="9" t="s">
        <v>35</v>
      </c>
      <c r="U88" s="10" t="n">
        <f aca="false">IF(OR(E88="",J88="",E88&lt;=0),"",(J88-E88)/E88)</f>
        <v>0.1</v>
      </c>
      <c r="V88" s="10" t="n">
        <f aca="false">IF(OR(E88="",N88="",E88&lt;=0),"",(E88-N88)/E88)</f>
        <v>0.0666666666666667</v>
      </c>
      <c r="W88" s="11" t="n">
        <f aca="false">IF(OR(U88="",V88="",V88&lt;=0),"",U88/V88)</f>
        <v>1.5</v>
      </c>
      <c r="X88" s="12" t="n">
        <f aca="false">IF(OR(K88="",L88="",E88="",H88=""),"",K88*L88-E88*H88-IF(O88="",0,O88)-IF(P88="",0,P88))</f>
        <v>-305</v>
      </c>
      <c r="Y88" s="10" t="n">
        <f aca="false">IF(OR(X88="",E88="",H88=""),"",IF(E88*H88+IF(O88="",0,O88)&lt;=0,"",X88/(E88*H88+IF(O88="",0,O88))))</f>
        <v>-0.0677777777777778</v>
      </c>
      <c r="Z88" s="10" t="n">
        <f aca="false">IF(OR(Y88="",多次统计数据!$B$8=""),"",Y88-多次统计数据!$B$8)</f>
        <v>-0.195908867850683</v>
      </c>
      <c r="AA88" s="13" t="n">
        <f aca="false">IF(OR(I88="",M88="",M88&lt;I88),"",M88-I88)</f>
        <v>4</v>
      </c>
      <c r="AB88" s="10" t="n">
        <f aca="false">IF(OR(A88="",多次统计数据!$B$8="",多次统计数据!$B$6&lt;=0,多次统计数据!$B$6&gt;=1),"",1-POWER(1+多次统计数据!$B$8,-多次统计数据!$B$6/(1-多次统计数据!$B$6)))</f>
        <v>0.119185074515542</v>
      </c>
      <c r="AC88" s="6" t="str">
        <f aca="false">IF(OR(AB88="",多次统计数据!$B$9=""),"",IF(多次统计数据!$B$9&lt;AB88,"低于上限","达到或超过上限"))</f>
        <v>低于上限</v>
      </c>
      <c r="AD88" s="2" t="s">
        <v>57</v>
      </c>
    </row>
    <row r="89" customFormat="false" ht="31.3" hidden="false" customHeight="false" outlineLevel="0" collapsed="false">
      <c r="A89" s="2" t="s">
        <v>215</v>
      </c>
      <c r="B89" s="2" t="s">
        <v>69</v>
      </c>
      <c r="C89" s="3" t="n">
        <v>118686</v>
      </c>
      <c r="D89" s="4" t="n">
        <v>0.01</v>
      </c>
      <c r="E89" s="3" t="n">
        <v>10</v>
      </c>
      <c r="F89" s="5" t="n">
        <f aca="false">IF(OR(C89="",D89="",E89="",N89="",C89&lt;=0,D89&lt;=0,E89&lt;=N89),"",ROUNDDOWN((C89*D89)/(E89-N89)/100,0)*100)</f>
        <v>1500</v>
      </c>
      <c r="G89" s="6" t="str">
        <f aca="false">IF(OR(A89="",F89="",E89="",N89="",E89&lt;=N89,账户数据!$B$7=""),"",IF(账户数据!$B$9+IF(H89="",F89*(E89-N89),0)&gt;=账户数据!$B$7,"禁止开仓","允许开仓"))</f>
        <v>禁止开仓</v>
      </c>
      <c r="H89" s="7" t="n">
        <v>900</v>
      </c>
      <c r="I89" s="8" t="n">
        <v>46215</v>
      </c>
      <c r="J89" s="3" t="n">
        <v>11</v>
      </c>
      <c r="K89" s="3" t="n">
        <v>9.25</v>
      </c>
      <c r="L89" s="5" t="n">
        <f aca="false">IF(K89="","",H89)</f>
        <v>900</v>
      </c>
      <c r="M89" s="8" t="n">
        <v>46220</v>
      </c>
      <c r="N89" s="3" t="n">
        <v>9.25</v>
      </c>
      <c r="O89" s="3" t="n">
        <v>5</v>
      </c>
      <c r="P89" s="3" t="n">
        <v>0</v>
      </c>
      <c r="Q89" s="9" t="s">
        <v>70</v>
      </c>
      <c r="R89" s="9" t="s">
        <v>171</v>
      </c>
      <c r="S89" s="9" t="s">
        <v>72</v>
      </c>
      <c r="T89" s="9" t="s">
        <v>35</v>
      </c>
      <c r="U89" s="10" t="n">
        <f aca="false">IF(OR(E89="",J89="",E89&lt;=0),"",(J89-E89)/E89)</f>
        <v>0.1</v>
      </c>
      <c r="V89" s="10" t="n">
        <f aca="false">IF(OR(E89="",N89="",E89&lt;=0),"",(E89-N89)/E89)</f>
        <v>0.075</v>
      </c>
      <c r="W89" s="11" t="n">
        <f aca="false">IF(OR(U89="",V89="",V89&lt;=0),"",U89/V89)</f>
        <v>1.33333333333333</v>
      </c>
      <c r="X89" s="12" t="n">
        <f aca="false">IF(OR(K89="",L89="",E89="",H89=""),"",K89*L89-E89*H89-IF(O89="",0,O89)-IF(P89="",0,P89))</f>
        <v>-680</v>
      </c>
      <c r="Y89" s="10" t="n">
        <f aca="false">IF(OR(X89="",E89="",H89=""),"",IF(E89*H89+IF(O89="",0,O89)&lt;=0,"",X89/(E89*H89+IF(O89="",0,O89))))</f>
        <v>-0.0755136035535814</v>
      </c>
      <c r="Z89" s="10" t="n">
        <f aca="false">IF(OR(Y89="",多次统计数据!$B$8=""),"",Y89-多次统计数据!$B$8)</f>
        <v>-0.203644693626486</v>
      </c>
      <c r="AA89" s="13" t="n">
        <f aca="false">IF(OR(I89="",M89="",M89&lt;I89),"",M89-I89)</f>
        <v>5</v>
      </c>
      <c r="AB89" s="10" t="n">
        <f aca="false">IF(OR(A89="",多次统计数据!$B$8="",多次统计数据!$B$6&lt;=0,多次统计数据!$B$6&gt;=1),"",1-POWER(1+多次统计数据!$B$8,-多次统计数据!$B$6/(1-多次统计数据!$B$6)))</f>
        <v>0.119185074515542</v>
      </c>
      <c r="AC89" s="6" t="str">
        <f aca="false">IF(OR(AB89="",多次统计数据!$B$9=""),"",IF(多次统计数据!$B$9&lt;AB89,"低于上限","达到或超过上限"))</f>
        <v>低于上限</v>
      </c>
      <c r="AD89" s="2" t="s">
        <v>57</v>
      </c>
    </row>
    <row r="90" customFormat="false" ht="31.3" hidden="false" customHeight="false" outlineLevel="0" collapsed="false">
      <c r="A90" s="2" t="s">
        <v>216</v>
      </c>
      <c r="B90" s="2" t="s">
        <v>74</v>
      </c>
      <c r="C90" s="3" t="n">
        <v>118006</v>
      </c>
      <c r="D90" s="4" t="n">
        <v>0.01</v>
      </c>
      <c r="E90" s="3" t="n">
        <v>11.25</v>
      </c>
      <c r="F90" s="5" t="n">
        <f aca="false">IF(OR(C90="",D90="",E90="",N90="",C90&lt;=0,D90&lt;=0,E90&lt;=N90),"",ROUNDDOWN((C90*D90)/(E90-N90)/100,0)*100)</f>
        <v>1100</v>
      </c>
      <c r="G90" s="6" t="str">
        <f aca="false">IF(OR(A90="",F90="",E90="",N90="",E90&lt;=N90,账户数据!$B$7=""),"",IF(账户数据!$B$9+IF(H90="",F90*(E90-N90),0)&gt;=账户数据!$B$7,"禁止开仓","允许开仓"))</f>
        <v>禁止开仓</v>
      </c>
      <c r="H90" s="7" t="n">
        <v>800</v>
      </c>
      <c r="I90" s="8" t="n">
        <v>46216</v>
      </c>
      <c r="J90" s="3" t="n">
        <v>12.38</v>
      </c>
      <c r="K90" s="3" t="n">
        <v>11.25</v>
      </c>
      <c r="L90" s="5" t="n">
        <f aca="false">IF(K90="","",H90)</f>
        <v>800</v>
      </c>
      <c r="M90" s="8" t="n">
        <v>46222</v>
      </c>
      <c r="N90" s="3" t="n">
        <v>10.25</v>
      </c>
      <c r="O90" s="3" t="n">
        <v>0</v>
      </c>
      <c r="P90" s="3" t="n">
        <v>0</v>
      </c>
      <c r="Q90" s="9" t="s">
        <v>75</v>
      </c>
      <c r="R90" s="9" t="s">
        <v>33</v>
      </c>
      <c r="S90" s="9" t="s">
        <v>77</v>
      </c>
      <c r="T90" s="9" t="s">
        <v>35</v>
      </c>
      <c r="U90" s="10" t="n">
        <f aca="false">IF(OR(E90="",J90="",E90&lt;=0),"",(J90-E90)/E90)</f>
        <v>0.100444444444445</v>
      </c>
      <c r="V90" s="10" t="n">
        <f aca="false">IF(OR(E90="",N90="",E90&lt;=0),"",(E90-N90)/E90)</f>
        <v>0.0888888888888889</v>
      </c>
      <c r="W90" s="11" t="n">
        <f aca="false">IF(OR(U90="",V90="",V90&lt;=0),"",U90/V90)</f>
        <v>1.13</v>
      </c>
      <c r="X90" s="12" t="n">
        <f aca="false">IF(OR(K90="",L90="",E90="",H90=""),"",K90*L90-E90*H90-IF(O90="",0,O90)-IF(P90="",0,P90))</f>
        <v>0</v>
      </c>
      <c r="Y90" s="10" t="n">
        <f aca="false">IF(OR(X90="",E90="",H90=""),"",IF(E90*H90+IF(O90="",0,O90)&lt;=0,"",X90/(E90*H90+IF(O90="",0,O90))))</f>
        <v>0</v>
      </c>
      <c r="Z90" s="10" t="n">
        <f aca="false">IF(OR(Y90="",多次统计数据!$B$8=""),"",Y90-多次统计数据!$B$8)</f>
        <v>-0.128131090072905</v>
      </c>
      <c r="AA90" s="13" t="n">
        <f aca="false">IF(OR(I90="",M90="",M90&lt;I90),"",M90-I90)</f>
        <v>6</v>
      </c>
      <c r="AB90" s="10" t="n">
        <f aca="false">IF(OR(A90="",多次统计数据!$B$8="",多次统计数据!$B$6&lt;=0,多次统计数据!$B$6&gt;=1),"",1-POWER(1+多次统计数据!$B$8,-多次统计数据!$B$6/(1-多次统计数据!$B$6)))</f>
        <v>0.119185074515542</v>
      </c>
      <c r="AC90" s="6" t="str">
        <f aca="false">IF(OR(AB90="",多次统计数据!$B$9=""),"",IF(多次统计数据!$B$9&lt;AB90,"低于上限","达到或超过上限"))</f>
        <v>低于上限</v>
      </c>
      <c r="AD90" s="2" t="s">
        <v>78</v>
      </c>
    </row>
    <row r="91" customFormat="false" ht="31.3" hidden="false" customHeight="false" outlineLevel="0" collapsed="false">
      <c r="A91" s="2" t="s">
        <v>217</v>
      </c>
      <c r="B91" s="2" t="s">
        <v>80</v>
      </c>
      <c r="C91" s="3" t="n">
        <v>118006</v>
      </c>
      <c r="D91" s="4" t="n">
        <v>0.01</v>
      </c>
      <c r="E91" s="3" t="n">
        <v>12.5</v>
      </c>
      <c r="F91" s="5" t="n">
        <f aca="false">IF(OR(C91="",D91="",E91="",N91="",C91&lt;=0,D91&lt;=0,E91&lt;=N91),"",ROUNDDOWN((C91*D91)/(E91-N91)/100,0)*100)</f>
        <v>900</v>
      </c>
      <c r="G91" s="6" t="str">
        <f aca="false">IF(OR(A91="",F91="",E91="",N91="",E91&lt;=N91,账户数据!$B$7=""),"",IF(账户数据!$B$9+IF(H91="",F91*(E91-N91),0)&gt;=账户数据!$B$7,"禁止开仓","允许开仓"))</f>
        <v>禁止开仓</v>
      </c>
      <c r="H91" s="7" t="n">
        <v>900</v>
      </c>
      <c r="I91" s="8" t="n">
        <v>46217</v>
      </c>
      <c r="J91" s="3" t="n">
        <v>13.75</v>
      </c>
      <c r="K91" s="3"/>
      <c r="L91" s="5" t="str">
        <f aca="false">IF(K91="","",H91)</f>
        <v/>
      </c>
      <c r="M91" s="8"/>
      <c r="N91" s="3" t="n">
        <v>11.25</v>
      </c>
      <c r="O91" s="3" t="n">
        <v>0</v>
      </c>
      <c r="P91" s="3" t="n">
        <v>5</v>
      </c>
      <c r="Q91" s="9" t="s">
        <v>81</v>
      </c>
      <c r="R91" s="9" t="s">
        <v>40</v>
      </c>
      <c r="S91" s="9" t="s">
        <v>83</v>
      </c>
      <c r="T91" s="9"/>
      <c r="U91" s="10" t="n">
        <f aca="false">IF(OR(E91="",J91="",E91&lt;=0),"",(J91-E91)/E91)</f>
        <v>0.1</v>
      </c>
      <c r="V91" s="10" t="n">
        <f aca="false">IF(OR(E91="",N91="",E91&lt;=0),"",(E91-N91)/E91)</f>
        <v>0.1</v>
      </c>
      <c r="W91" s="11" t="n">
        <f aca="false">IF(OR(U91="",V91="",V91&lt;=0),"",U91/V91)</f>
        <v>1</v>
      </c>
      <c r="X91" s="12" t="str">
        <f aca="false">IF(OR(K91="",L91="",E91="",H91=""),"",K91*L91-E91*H91-IF(O91="",0,O91)-IF(P91="",0,P91))</f>
        <v/>
      </c>
      <c r="Y91" s="10" t="str">
        <f aca="false">IF(OR(X91="",E91="",H91=""),"",IF(E91*H91+IF(O91="",0,O91)&lt;=0,"",X91/(E91*H91+IF(O91="",0,O91))))</f>
        <v/>
      </c>
      <c r="Z91" s="10" t="str">
        <f aca="false">IF(OR(Y91="",多次统计数据!$B$8=""),"",Y91-多次统计数据!$B$8)</f>
        <v/>
      </c>
      <c r="AA91" s="13" t="str">
        <f aca="false">IF(OR(I91="",M91="",M91&lt;I91),"",M91-I91)</f>
        <v/>
      </c>
      <c r="AB91" s="10" t="n">
        <f aca="false">IF(OR(A91="",多次统计数据!$B$8="",多次统计数据!$B$6&lt;=0,多次统计数据!$B$6&gt;=1),"",1-POWER(1+多次统计数据!$B$8,-多次统计数据!$B$6/(1-多次统计数据!$B$6)))</f>
        <v>0.119185074515542</v>
      </c>
      <c r="AC91" s="6" t="str">
        <f aca="false">IF(OR(AB91="",多次统计数据!$B$9=""),"",IF(多次统计数据!$B$9&lt;AB91,"低于上限","达到或超过上限"))</f>
        <v>低于上限</v>
      </c>
      <c r="AD91" s="2"/>
    </row>
    <row r="92" customFormat="false" ht="16.4" hidden="false" customHeight="false" outlineLevel="0" collapsed="false">
      <c r="A92" s="2" t="s">
        <v>218</v>
      </c>
      <c r="B92" s="2" t="s">
        <v>31</v>
      </c>
      <c r="C92" s="3" t="n">
        <v>118006</v>
      </c>
      <c r="D92" s="4" t="n">
        <v>0.01</v>
      </c>
      <c r="E92" s="3" t="n">
        <v>13.75</v>
      </c>
      <c r="F92" s="5" t="n">
        <f aca="false">IF(OR(C92="",D92="",E92="",N92="",C92&lt;=0,D92&lt;=0,E92&lt;=N92),"",ROUNDDOWN((C92*D92)/(E92-N92)/100,0)*100)</f>
        <v>700</v>
      </c>
      <c r="G92" s="6" t="str">
        <f aca="false">IF(OR(A92="",F92="",E92="",N92="",E92&lt;=N92,账户数据!$B$7=""),"",IF(账户数据!$B$9+IF(H92="",F92*(E92-N92),0)&gt;=账户数据!$B$7,"禁止开仓","允许开仓"))</f>
        <v>禁止开仓</v>
      </c>
      <c r="H92" s="7" t="n">
        <v>100</v>
      </c>
      <c r="I92" s="8" t="n">
        <v>46218</v>
      </c>
      <c r="J92" s="3" t="n">
        <v>15.13</v>
      </c>
      <c r="K92" s="3" t="n">
        <v>15.54</v>
      </c>
      <c r="L92" s="5" t="n">
        <f aca="false">IF(K92="","",H92)</f>
        <v>100</v>
      </c>
      <c r="M92" s="8" t="n">
        <v>46219</v>
      </c>
      <c r="N92" s="3" t="n">
        <v>12.25</v>
      </c>
      <c r="O92" s="3" t="n">
        <v>5</v>
      </c>
      <c r="P92" s="3" t="n">
        <v>5</v>
      </c>
      <c r="Q92" s="9" t="s">
        <v>85</v>
      </c>
      <c r="R92" s="9" t="s">
        <v>45</v>
      </c>
      <c r="S92" s="9" t="s">
        <v>87</v>
      </c>
      <c r="T92" s="9" t="s">
        <v>35</v>
      </c>
      <c r="U92" s="10" t="n">
        <f aca="false">IF(OR(E92="",J92="",E92&lt;=0),"",(J92-E92)/E92)</f>
        <v>0.100363636363636</v>
      </c>
      <c r="V92" s="10" t="n">
        <f aca="false">IF(OR(E92="",N92="",E92&lt;=0),"",(E92-N92)/E92)</f>
        <v>0.109090909090909</v>
      </c>
      <c r="W92" s="11" t="n">
        <f aca="false">IF(OR(U92="",V92="",V92&lt;=0),"",U92/V92)</f>
        <v>0.920000000000001</v>
      </c>
      <c r="X92" s="12" t="n">
        <f aca="false">IF(OR(K92="",L92="",E92="",H92=""),"",K92*L92-E92*H92-IF(O92="",0,O92)-IF(P92="",0,P92))</f>
        <v>169</v>
      </c>
      <c r="Y92" s="10" t="n">
        <f aca="false">IF(OR(X92="",E92="",H92=""),"",IF(E92*H92+IF(O92="",0,O92)&lt;=0,"",X92/(E92*H92+IF(O92="",0,O92))))</f>
        <v>0.122463768115942</v>
      </c>
      <c r="Z92" s="10" t="n">
        <f aca="false">IF(OR(Y92="",多次统计数据!$B$8=""),"",Y92-多次统计数据!$B$8)</f>
        <v>-0.00566732195696287</v>
      </c>
      <c r="AA92" s="13" t="n">
        <f aca="false">IF(OR(I92="",M92="",M92&lt;I92),"",M92-I92)</f>
        <v>1</v>
      </c>
      <c r="AB92" s="10" t="n">
        <f aca="false">IF(OR(A92="",多次统计数据!$B$8="",多次统计数据!$B$6&lt;=0,多次统计数据!$B$6&gt;=1),"",1-POWER(1+多次统计数据!$B$8,-多次统计数据!$B$6/(1-多次统计数据!$B$6)))</f>
        <v>0.119185074515542</v>
      </c>
      <c r="AC92" s="6" t="str">
        <f aca="false">IF(OR(AB92="",多次统计数据!$B$9=""),"",IF(多次统计数据!$B$9&lt;AB92,"低于上限","达到或超过上限"))</f>
        <v>低于上限</v>
      </c>
      <c r="AD92" s="2" t="s">
        <v>36</v>
      </c>
    </row>
    <row r="93" customFormat="false" ht="16.4" hidden="false" customHeight="false" outlineLevel="0" collapsed="false">
      <c r="A93" s="2" t="s">
        <v>219</v>
      </c>
      <c r="B93" s="2" t="s">
        <v>38</v>
      </c>
      <c r="C93" s="3" t="n">
        <v>118175</v>
      </c>
      <c r="D93" s="4" t="n">
        <v>0.01</v>
      </c>
      <c r="E93" s="3" t="n">
        <v>15</v>
      </c>
      <c r="F93" s="5" t="n">
        <f aca="false">IF(OR(C93="",D93="",E93="",N93="",C93&lt;=0,D93&lt;=0,E93&lt;=N93),"",ROUNDDOWN((C93*D93)/(E93-N93)/100,0)*100)</f>
        <v>1500</v>
      </c>
      <c r="G93" s="6" t="str">
        <f aca="false">IF(OR(A93="",F93="",E93="",N93="",E93&lt;=N93,账户数据!$B$7=""),"",IF(账户数据!$B$9+IF(H93="",F93*(E93-N93),0)&gt;=账户数据!$B$7,"禁止开仓","允许开仓"))</f>
        <v>禁止开仓</v>
      </c>
      <c r="H93" s="7" t="n">
        <v>600</v>
      </c>
      <c r="I93" s="8" t="n">
        <v>46219</v>
      </c>
      <c r="J93" s="3" t="n">
        <v>16.5</v>
      </c>
      <c r="K93" s="3" t="n">
        <v>17.1</v>
      </c>
      <c r="L93" s="5" t="n">
        <f aca="false">IF(K93="","",H93)</f>
        <v>600</v>
      </c>
      <c r="M93" s="8" t="n">
        <v>46221</v>
      </c>
      <c r="N93" s="3" t="n">
        <v>14.25</v>
      </c>
      <c r="O93" s="3" t="n">
        <v>5</v>
      </c>
      <c r="P93" s="3" t="n">
        <v>0</v>
      </c>
      <c r="Q93" s="9" t="s">
        <v>89</v>
      </c>
      <c r="R93" s="9" t="s">
        <v>50</v>
      </c>
      <c r="S93" s="9" t="s">
        <v>91</v>
      </c>
      <c r="T93" s="9" t="s">
        <v>35</v>
      </c>
      <c r="U93" s="10" t="n">
        <f aca="false">IF(OR(E93="",J93="",E93&lt;=0),"",(J93-E93)/E93)</f>
        <v>0.1</v>
      </c>
      <c r="V93" s="10" t="n">
        <f aca="false">IF(OR(E93="",N93="",E93&lt;=0),"",(E93-N93)/E93)</f>
        <v>0.05</v>
      </c>
      <c r="W93" s="11" t="n">
        <f aca="false">IF(OR(U93="",V93="",V93&lt;=0),"",U93/V93)</f>
        <v>2</v>
      </c>
      <c r="X93" s="12" t="n">
        <f aca="false">IF(OR(K93="",L93="",E93="",H93=""),"",K93*L93-E93*H93-IF(O93="",0,O93)-IF(P93="",0,P93))</f>
        <v>1255</v>
      </c>
      <c r="Y93" s="10" t="n">
        <f aca="false">IF(OR(X93="",E93="",H93=""),"",IF(E93*H93+IF(O93="",0,O93)&lt;=0,"",X93/(E93*H93+IF(O93="",0,O93))))</f>
        <v>0.139367018323154</v>
      </c>
      <c r="Z93" s="10" t="n">
        <f aca="false">IF(OR(Y93="",多次统计数据!$B$8=""),"",Y93-多次统计数据!$B$8)</f>
        <v>0.0112359282502489</v>
      </c>
      <c r="AA93" s="13" t="n">
        <f aca="false">IF(OR(I93="",M93="",M93&lt;I93),"",M93-I93)</f>
        <v>2</v>
      </c>
      <c r="AB93" s="10" t="n">
        <f aca="false">IF(OR(A93="",多次统计数据!$B$8="",多次统计数据!$B$6&lt;=0,多次统计数据!$B$6&gt;=1),"",1-POWER(1+多次统计数据!$B$8,-多次统计数据!$B$6/(1-多次统计数据!$B$6)))</f>
        <v>0.119185074515542</v>
      </c>
      <c r="AC93" s="6" t="str">
        <f aca="false">IF(OR(AB93="",多次统计数据!$B$9=""),"",IF(多次统计数据!$B$9&lt;AB93,"低于上限","达到或超过上限"))</f>
        <v>低于上限</v>
      </c>
      <c r="AD93" s="2" t="s">
        <v>36</v>
      </c>
    </row>
    <row r="94" customFormat="false" ht="31.3" hidden="false" customHeight="false" outlineLevel="0" collapsed="false">
      <c r="A94" s="2" t="s">
        <v>220</v>
      </c>
      <c r="B94" s="2" t="s">
        <v>43</v>
      </c>
      <c r="C94" s="3" t="n">
        <v>119430</v>
      </c>
      <c r="D94" s="4" t="n">
        <v>0.01</v>
      </c>
      <c r="E94" s="3" t="n">
        <v>16.25</v>
      </c>
      <c r="F94" s="5" t="n">
        <f aca="false">IF(OR(C94="",D94="",E94="",N94="",C94&lt;=0,D94&lt;=0,E94&lt;=N94),"",ROUNDDOWN((C94*D94)/(E94-N94)/100,0)*100)</f>
        <v>1100</v>
      </c>
      <c r="G94" s="6" t="str">
        <f aca="false">IF(OR(A94="",F94="",E94="",N94="",E94&lt;=N94,账户数据!$B$7=""),"",IF(账户数据!$B$9+IF(H94="",F94*(E94-N94),0)&gt;=账户数据!$B$7,"禁止开仓","允许开仓"))</f>
        <v>禁止开仓</v>
      </c>
      <c r="H94" s="7" t="n">
        <v>600</v>
      </c>
      <c r="I94" s="8" t="n">
        <v>46220</v>
      </c>
      <c r="J94" s="3" t="n">
        <v>17.88</v>
      </c>
      <c r="K94" s="3" t="n">
        <v>18.2</v>
      </c>
      <c r="L94" s="5" t="n">
        <f aca="false">IF(K94="","",H94)</f>
        <v>600</v>
      </c>
      <c r="M94" s="8" t="n">
        <v>46223</v>
      </c>
      <c r="N94" s="3" t="n">
        <v>15.25</v>
      </c>
      <c r="O94" s="3" t="n">
        <v>0</v>
      </c>
      <c r="P94" s="3" t="n">
        <v>5</v>
      </c>
      <c r="Q94" s="9" t="s">
        <v>93</v>
      </c>
      <c r="R94" s="9" t="s">
        <v>55</v>
      </c>
      <c r="S94" s="9" t="s">
        <v>95</v>
      </c>
      <c r="T94" s="9" t="s">
        <v>35</v>
      </c>
      <c r="U94" s="10" t="n">
        <f aca="false">IF(OR(E94="",J94="",E94&lt;=0),"",(J94-E94)/E94)</f>
        <v>0.100307692307692</v>
      </c>
      <c r="V94" s="10" t="n">
        <f aca="false">IF(OR(E94="",N94="",E94&lt;=0),"",(E94-N94)/E94)</f>
        <v>0.0615384615384615</v>
      </c>
      <c r="W94" s="11" t="n">
        <f aca="false">IF(OR(U94="",V94="",V94&lt;=0),"",U94/V94)</f>
        <v>1.63</v>
      </c>
      <c r="X94" s="12" t="n">
        <f aca="false">IF(OR(K94="",L94="",E94="",H94=""),"",K94*L94-E94*H94-IF(O94="",0,O94)-IF(P94="",0,P94))</f>
        <v>1165</v>
      </c>
      <c r="Y94" s="10" t="n">
        <f aca="false">IF(OR(X94="",E94="",H94=""),"",IF(E94*H94+IF(O94="",0,O94)&lt;=0,"",X94/(E94*H94+IF(O94="",0,O94))))</f>
        <v>0.119487179487179</v>
      </c>
      <c r="Z94" s="10" t="n">
        <f aca="false">IF(OR(Y94="",多次统计数据!$B$8=""),"",Y94-多次统计数据!$B$8)</f>
        <v>-0.00864391058572542</v>
      </c>
      <c r="AA94" s="13" t="n">
        <f aca="false">IF(OR(I94="",M94="",M94&lt;I94),"",M94-I94)</f>
        <v>3</v>
      </c>
      <c r="AB94" s="10" t="n">
        <f aca="false">IF(OR(A94="",多次统计数据!$B$8="",多次统计数据!$B$6&lt;=0,多次统计数据!$B$6&gt;=1),"",1-POWER(1+多次统计数据!$B$8,-多次统计数据!$B$6/(1-多次统计数据!$B$6)))</f>
        <v>0.119185074515542</v>
      </c>
      <c r="AC94" s="6" t="str">
        <f aca="false">IF(OR(AB94="",多次统计数据!$B$9=""),"",IF(多次统计数据!$B$9&lt;AB94,"低于上限","达到或超过上限"))</f>
        <v>低于上限</v>
      </c>
      <c r="AD94" s="2" t="s">
        <v>36</v>
      </c>
    </row>
    <row r="95" customFormat="false" ht="31.3" hidden="false" customHeight="false" outlineLevel="0" collapsed="false">
      <c r="A95" s="2" t="s">
        <v>221</v>
      </c>
      <c r="B95" s="2" t="s">
        <v>48</v>
      </c>
      <c r="C95" s="3" t="n">
        <v>120595</v>
      </c>
      <c r="D95" s="4" t="n">
        <v>0.01</v>
      </c>
      <c r="E95" s="3" t="n">
        <v>17.5</v>
      </c>
      <c r="F95" s="5" t="n">
        <f aca="false">IF(OR(C95="",D95="",E95="",N95="",C95&lt;=0,D95&lt;=0,E95&lt;=N95),"",ROUNDDOWN((C95*D95)/(E95-N95)/100,0)*100)</f>
        <v>900</v>
      </c>
      <c r="G95" s="6" t="str">
        <f aca="false">IF(OR(A95="",F95="",E95="",N95="",E95&lt;=N95,账户数据!$B$7=""),"",IF(账户数据!$B$9+IF(H95="",F95*(E95-N95),0)&gt;=账户数据!$B$7,"禁止开仓","允许开仓"))</f>
        <v>禁止开仓</v>
      </c>
      <c r="H95" s="7" t="n">
        <v>700</v>
      </c>
      <c r="I95" s="8" t="n">
        <v>46221</v>
      </c>
      <c r="J95" s="3" t="n">
        <v>19.25</v>
      </c>
      <c r="K95" s="3" t="n">
        <v>19.78</v>
      </c>
      <c r="L95" s="5" t="n">
        <f aca="false">IF(K95="","",H95)</f>
        <v>700</v>
      </c>
      <c r="M95" s="8" t="n">
        <v>46225</v>
      </c>
      <c r="N95" s="3" t="n">
        <v>16.25</v>
      </c>
      <c r="O95" s="3" t="n">
        <v>5</v>
      </c>
      <c r="P95" s="3" t="n">
        <v>5</v>
      </c>
      <c r="Q95" s="9" t="s">
        <v>97</v>
      </c>
      <c r="R95" s="9" t="s">
        <v>61</v>
      </c>
      <c r="S95" s="9" t="s">
        <v>99</v>
      </c>
      <c r="T95" s="9" t="s">
        <v>35</v>
      </c>
      <c r="U95" s="10" t="n">
        <f aca="false">IF(OR(E95="",J95="",E95&lt;=0),"",(J95-E95)/E95)</f>
        <v>0.1</v>
      </c>
      <c r="V95" s="10" t="n">
        <f aca="false">IF(OR(E95="",N95="",E95&lt;=0),"",(E95-N95)/E95)</f>
        <v>0.0714285714285714</v>
      </c>
      <c r="W95" s="11" t="n">
        <f aca="false">IF(OR(U95="",V95="",V95&lt;=0),"",U95/V95)</f>
        <v>1.4</v>
      </c>
      <c r="X95" s="12" t="n">
        <f aca="false">IF(OR(K95="",L95="",E95="",H95=""),"",K95*L95-E95*H95-IF(O95="",0,O95)-IF(P95="",0,P95))</f>
        <v>1586</v>
      </c>
      <c r="Y95" s="10" t="n">
        <f aca="false">IF(OR(X95="",E95="",H95=""),"",IF(E95*H95+IF(O95="",0,O95)&lt;=0,"",X95/(E95*H95+IF(O95="",0,O95))))</f>
        <v>0.129416564667483</v>
      </c>
      <c r="Z95" s="10" t="n">
        <f aca="false">IF(OR(Y95="",多次统计数据!$B$8=""),"",Y95-多次统计数据!$B$8)</f>
        <v>0.00128547459457776</v>
      </c>
      <c r="AA95" s="13" t="n">
        <f aca="false">IF(OR(I95="",M95="",M95&lt;I95),"",M95-I95)</f>
        <v>4</v>
      </c>
      <c r="AB95" s="10" t="n">
        <f aca="false">IF(OR(A95="",多次统计数据!$B$8="",多次统计数据!$B$6&lt;=0,多次统计数据!$B$6&gt;=1),"",1-POWER(1+多次统计数据!$B$8,-多次统计数据!$B$6/(1-多次统计数据!$B$6)))</f>
        <v>0.119185074515542</v>
      </c>
      <c r="AC95" s="6" t="str">
        <f aca="false">IF(OR(AB95="",多次统计数据!$B$9=""),"",IF(多次统计数据!$B$9&lt;AB95,"低于上限","达到或超过上限"))</f>
        <v>低于上限</v>
      </c>
      <c r="AD95" s="2" t="s">
        <v>36</v>
      </c>
    </row>
    <row r="96" customFormat="false" ht="31.3" hidden="false" customHeight="false" outlineLevel="0" collapsed="false">
      <c r="A96" s="2" t="s">
        <v>222</v>
      </c>
      <c r="B96" s="2" t="s">
        <v>53</v>
      </c>
      <c r="C96" s="3" t="n">
        <v>122181</v>
      </c>
      <c r="D96" s="4" t="n">
        <v>0.01</v>
      </c>
      <c r="E96" s="3" t="n">
        <v>18.75</v>
      </c>
      <c r="F96" s="5" t="n">
        <f aca="false">IF(OR(C96="",D96="",E96="",N96="",C96&lt;=0,D96&lt;=0,E96&lt;=N96),"",ROUNDDOWN((C96*D96)/(E96-N96)/100,0)*100)</f>
        <v>800</v>
      </c>
      <c r="G96" s="6" t="str">
        <f aca="false">IF(OR(A96="",F96="",E96="",N96="",E96&lt;=N96,账户数据!$B$7=""),"",IF(账户数据!$B$9+IF(H96="",F96*(E96-N96),0)&gt;=账户数据!$B$7,"禁止开仓","允许开仓"))</f>
        <v>禁止开仓</v>
      </c>
      <c r="H96" s="7" t="n">
        <v>800</v>
      </c>
      <c r="I96" s="8" t="n">
        <v>46222</v>
      </c>
      <c r="J96" s="3" t="n">
        <v>20.62</v>
      </c>
      <c r="K96" s="3" t="n">
        <v>17.25</v>
      </c>
      <c r="L96" s="5" t="n">
        <f aca="false">IF(K96="","",H96)</f>
        <v>800</v>
      </c>
      <c r="M96" s="8" t="n">
        <v>46227</v>
      </c>
      <c r="N96" s="3" t="n">
        <v>17.25</v>
      </c>
      <c r="O96" s="3" t="n">
        <v>5</v>
      </c>
      <c r="P96" s="3" t="n">
        <v>5</v>
      </c>
      <c r="Q96" s="9" t="s">
        <v>101</v>
      </c>
      <c r="R96" s="9" t="s">
        <v>66</v>
      </c>
      <c r="S96" s="9" t="s">
        <v>103</v>
      </c>
      <c r="T96" s="9" t="s">
        <v>35</v>
      </c>
      <c r="U96" s="10" t="n">
        <f aca="false">IF(OR(E96="",J96="",E96&lt;=0),"",(J96-E96)/E96)</f>
        <v>0.0997333333333334</v>
      </c>
      <c r="V96" s="10" t="n">
        <f aca="false">IF(OR(E96="",N96="",E96&lt;=0),"",(E96-N96)/E96)</f>
        <v>0.08</v>
      </c>
      <c r="W96" s="11" t="n">
        <f aca="false">IF(OR(U96="",V96="",V96&lt;=0),"",U96/V96)</f>
        <v>1.24666666666667</v>
      </c>
      <c r="X96" s="12" t="n">
        <f aca="false">IF(OR(K96="",L96="",E96="",H96=""),"",K96*L96-E96*H96-IF(O96="",0,O96)-IF(P96="",0,P96))</f>
        <v>-1210</v>
      </c>
      <c r="Y96" s="10" t="n">
        <f aca="false">IF(OR(X96="",E96="",H96=""),"",IF(E96*H96+IF(O96="",0,O96)&lt;=0,"",X96/(E96*H96+IF(O96="",0,O96))))</f>
        <v>-0.0806397867377541</v>
      </c>
      <c r="Z96" s="10" t="n">
        <f aca="false">IF(OR(Y96="",多次统计数据!$B$8=""),"",Y96-多次统计数据!$B$8)</f>
        <v>-0.208770876810659</v>
      </c>
      <c r="AA96" s="13" t="n">
        <f aca="false">IF(OR(I96="",M96="",M96&lt;I96),"",M96-I96)</f>
        <v>5</v>
      </c>
      <c r="AB96" s="10" t="n">
        <f aca="false">IF(OR(A96="",多次统计数据!$B$8="",多次统计数据!$B$6&lt;=0,多次统计数据!$B$6&gt;=1),"",1-POWER(1+多次统计数据!$B$8,-多次统计数据!$B$6/(1-多次统计数据!$B$6)))</f>
        <v>0.119185074515542</v>
      </c>
      <c r="AC96" s="6" t="str">
        <f aca="false">IF(OR(AB96="",多次统计数据!$B$9=""),"",IF(多次统计数据!$B$9&lt;AB96,"低于上限","达到或超过上限"))</f>
        <v>低于上限</v>
      </c>
      <c r="AD96" s="2" t="s">
        <v>57</v>
      </c>
    </row>
    <row r="97" customFormat="false" ht="31.3" hidden="false" customHeight="false" outlineLevel="0" collapsed="false">
      <c r="A97" s="2" t="s">
        <v>223</v>
      </c>
      <c r="B97" s="2" t="s">
        <v>59</v>
      </c>
      <c r="C97" s="3" t="n">
        <v>120971</v>
      </c>
      <c r="D97" s="4" t="n">
        <v>0.01</v>
      </c>
      <c r="E97" s="3" t="n">
        <v>20</v>
      </c>
      <c r="F97" s="5" t="n">
        <f aca="false">IF(OR(C97="",D97="",E97="",N97="",C97&lt;=0,D97&lt;=0,E97&lt;=N97),"",ROUNDDOWN((C97*D97)/(E97-N97)/100,0)*100)</f>
        <v>1600</v>
      </c>
      <c r="G97" s="6" t="str">
        <f aca="false">IF(OR(A97="",F97="",E97="",N97="",E97&lt;=N97,账户数据!$B$7=""),"",IF(账户数据!$B$9+IF(H97="",F97*(E97-N97),0)&gt;=账户数据!$B$7,"禁止开仓","允许开仓"))</f>
        <v>禁止开仓</v>
      </c>
      <c r="H97" s="7" t="n">
        <v>300</v>
      </c>
      <c r="I97" s="8" t="n">
        <v>46223</v>
      </c>
      <c r="J97" s="3" t="n">
        <v>22</v>
      </c>
      <c r="K97" s="3" t="n">
        <v>19</v>
      </c>
      <c r="L97" s="5" t="n">
        <f aca="false">IF(K97="","",H97)</f>
        <v>300</v>
      </c>
      <c r="M97" s="8" t="n">
        <v>46227</v>
      </c>
      <c r="N97" s="3" t="n">
        <v>19.25</v>
      </c>
      <c r="O97" s="3" t="n">
        <v>0</v>
      </c>
      <c r="P97" s="3" t="n">
        <v>0</v>
      </c>
      <c r="Q97" s="9" t="s">
        <v>105</v>
      </c>
      <c r="R97" s="9" t="s">
        <v>71</v>
      </c>
      <c r="S97" s="9" t="s">
        <v>107</v>
      </c>
      <c r="T97" s="9" t="s">
        <v>35</v>
      </c>
      <c r="U97" s="10" t="n">
        <f aca="false">IF(OR(E97="",J97="",E97&lt;=0),"",(J97-E97)/E97)</f>
        <v>0.1</v>
      </c>
      <c r="V97" s="10" t="n">
        <f aca="false">IF(OR(E97="",N97="",E97&lt;=0),"",(E97-N97)/E97)</f>
        <v>0.0375</v>
      </c>
      <c r="W97" s="11" t="n">
        <f aca="false">IF(OR(U97="",V97="",V97&lt;=0),"",U97/V97)</f>
        <v>2.66666666666667</v>
      </c>
      <c r="X97" s="12" t="n">
        <f aca="false">IF(OR(K97="",L97="",E97="",H97=""),"",K97*L97-E97*H97-IF(O97="",0,O97)-IF(P97="",0,P97))</f>
        <v>-300</v>
      </c>
      <c r="Y97" s="10" t="n">
        <f aca="false">IF(OR(X97="",E97="",H97=""),"",IF(E97*H97+IF(O97="",0,O97)&lt;=0,"",X97/(E97*H97+IF(O97="",0,O97))))</f>
        <v>-0.05</v>
      </c>
      <c r="Z97" s="10" t="n">
        <f aca="false">IF(OR(Y97="",多次统计数据!$B$8=""),"",Y97-多次统计数据!$B$8)</f>
        <v>-0.178131090072905</v>
      </c>
      <c r="AA97" s="13" t="n">
        <f aca="false">IF(OR(I97="",M97="",M97&lt;I97),"",M97-I97)</f>
        <v>4</v>
      </c>
      <c r="AB97" s="10" t="n">
        <f aca="false">IF(OR(A97="",多次统计数据!$B$8="",多次统计数据!$B$6&lt;=0,多次统计数据!$B$6&gt;=1),"",1-POWER(1+多次统计数据!$B$8,-多次统计数据!$B$6/(1-多次统计数据!$B$6)))</f>
        <v>0.119185074515542</v>
      </c>
      <c r="AC97" s="6" t="str">
        <f aca="false">IF(OR(AB97="",多次统计数据!$B$9=""),"",IF(多次统计数据!$B$9&lt;AB97,"低于上限","达到或超过上限"))</f>
        <v>低于上限</v>
      </c>
      <c r="AD97" s="2" t="s">
        <v>57</v>
      </c>
    </row>
    <row r="98" customFormat="false" ht="16.4" hidden="false" customHeight="false" outlineLevel="0" collapsed="false">
      <c r="A98" s="2" t="s">
        <v>224</v>
      </c>
      <c r="B98" s="2" t="s">
        <v>64</v>
      </c>
      <c r="C98" s="3" t="n">
        <v>120671</v>
      </c>
      <c r="D98" s="4" t="n">
        <v>0.01</v>
      </c>
      <c r="E98" s="3" t="n">
        <v>21.25</v>
      </c>
      <c r="F98" s="5" t="n">
        <f aca="false">IF(OR(C98="",D98="",E98="",N98="",C98&lt;=0,D98&lt;=0,E98&lt;=N98),"",ROUNDDOWN((C98*D98)/(E98-N98)/100,0)*100)</f>
        <v>1200</v>
      </c>
      <c r="G98" s="6" t="str">
        <f aca="false">IF(OR(A98="",F98="",E98="",N98="",E98&lt;=N98,账户数据!$B$7=""),"",IF(账户数据!$B$9+IF(H98="",F98*(E98-N98),0)&gt;=账户数据!$B$7,"禁止开仓","允许开仓"))</f>
        <v>禁止开仓</v>
      </c>
      <c r="H98" s="7" t="n">
        <v>400</v>
      </c>
      <c r="I98" s="8" t="n">
        <v>46224</v>
      </c>
      <c r="J98" s="3" t="n">
        <v>23.38</v>
      </c>
      <c r="K98" s="3" t="n">
        <v>19.97</v>
      </c>
      <c r="L98" s="5" t="n">
        <f aca="false">IF(K98="","",H98)</f>
        <v>400</v>
      </c>
      <c r="M98" s="8" t="n">
        <v>46227</v>
      </c>
      <c r="N98" s="3" t="n">
        <v>20.25</v>
      </c>
      <c r="O98" s="3" t="n">
        <v>5</v>
      </c>
      <c r="P98" s="3" t="n">
        <v>5</v>
      </c>
      <c r="Q98" s="2" t="s">
        <v>109</v>
      </c>
      <c r="R98" s="9" t="s">
        <v>76</v>
      </c>
      <c r="S98" s="9" t="s">
        <v>111</v>
      </c>
      <c r="T98" s="9" t="s">
        <v>35</v>
      </c>
      <c r="U98" s="10" t="n">
        <f aca="false">IF(OR(E98="",J98="",E98&lt;=0),"",(J98-E98)/E98)</f>
        <v>0.100235294117647</v>
      </c>
      <c r="V98" s="10" t="n">
        <f aca="false">IF(OR(E98="",N98="",E98&lt;=0),"",(E98-N98)/E98)</f>
        <v>0.0470588235294118</v>
      </c>
      <c r="W98" s="11" t="n">
        <f aca="false">IF(OR(U98="",V98="",V98&lt;=0),"",U98/V98)</f>
        <v>2.13</v>
      </c>
      <c r="X98" s="12" t="n">
        <f aca="false">IF(OR(K98="",L98="",E98="",H98=""),"",K98*L98-E98*H98-IF(O98="",0,O98)-IF(P98="",0,P98))</f>
        <v>-522</v>
      </c>
      <c r="Y98" s="10" t="n">
        <f aca="false">IF(OR(X98="",E98="",H98=""),"",IF(E98*H98+IF(O98="",0,O98)&lt;=0,"",X98/(E98*H98+IF(O98="",0,O98))))</f>
        <v>-0.0613756613756614</v>
      </c>
      <c r="Z98" s="10" t="n">
        <f aca="false">IF(OR(Y98="",多次统计数据!$B$8=""),"",Y98-多次统计数据!$B$8)</f>
        <v>-0.189506751448566</v>
      </c>
      <c r="AA98" s="13" t="n">
        <f aca="false">IF(OR(I98="",M98="",M98&lt;I98),"",M98-I98)</f>
        <v>3</v>
      </c>
      <c r="AB98" s="10" t="n">
        <f aca="false">IF(OR(A98="",多次统计数据!$B$8="",多次统计数据!$B$6&lt;=0,多次统计数据!$B$6&gt;=1),"",1-POWER(1+多次统计数据!$B$8,-多次统计数据!$B$6/(1-多次统计数据!$B$6)))</f>
        <v>0.119185074515542</v>
      </c>
      <c r="AC98" s="6" t="str">
        <f aca="false">IF(OR(AB98="",多次统计数据!$B$9=""),"",IF(多次统计数据!$B$9&lt;AB98,"低于上限","达到或超过上限"))</f>
        <v>低于上限</v>
      </c>
      <c r="AD98" s="2" t="s">
        <v>57</v>
      </c>
    </row>
    <row r="99" customFormat="false" ht="16.4" hidden="false" customHeight="false" outlineLevel="0" collapsed="false">
      <c r="A99" s="2" t="s">
        <v>225</v>
      </c>
      <c r="B99" s="2" t="s">
        <v>69</v>
      </c>
      <c r="C99" s="3" t="n">
        <v>120149</v>
      </c>
      <c r="D99" s="4" t="n">
        <v>0.01</v>
      </c>
      <c r="E99" s="3" t="n">
        <v>22.5</v>
      </c>
      <c r="F99" s="5" t="n">
        <f aca="false">IF(OR(C99="",D99="",E99="",N99="",C99&lt;=0,D99&lt;=0,E99&lt;=N99),"",ROUNDDOWN((C99*D99)/(E99-N99)/100,0)*100)</f>
        <v>900</v>
      </c>
      <c r="G99" s="6" t="str">
        <f aca="false">IF(OR(A99="",F99="",E99="",N99="",E99&lt;=N99,账户数据!$B$7=""),"",IF(账户数据!$B$9+IF(H99="",F99*(E99-N99),0)&gt;=账户数据!$B$7,"禁止开仓","允许开仓"))</f>
        <v>禁止开仓</v>
      </c>
      <c r="H99" s="7" t="n">
        <v>500</v>
      </c>
      <c r="I99" s="8" t="n">
        <v>46225</v>
      </c>
      <c r="J99" s="3" t="n">
        <v>24.75</v>
      </c>
      <c r="K99" s="3" t="n">
        <v>21.25</v>
      </c>
      <c r="L99" s="5" t="n">
        <f aca="false">IF(K99="","",H99)</f>
        <v>500</v>
      </c>
      <c r="M99" s="8" t="n">
        <v>46226</v>
      </c>
      <c r="N99" s="3" t="n">
        <v>21.25</v>
      </c>
      <c r="O99" s="3" t="n">
        <v>5</v>
      </c>
      <c r="P99" s="3" t="n">
        <v>5</v>
      </c>
      <c r="Q99" s="9" t="s">
        <v>113</v>
      </c>
      <c r="R99" s="9" t="s">
        <v>82</v>
      </c>
      <c r="S99" s="9" t="s">
        <v>115</v>
      </c>
      <c r="T99" s="9" t="s">
        <v>35</v>
      </c>
      <c r="U99" s="10" t="n">
        <f aca="false">IF(OR(E99="",J99="",E99&lt;=0),"",(J99-E99)/E99)</f>
        <v>0.1</v>
      </c>
      <c r="V99" s="10" t="n">
        <f aca="false">IF(OR(E99="",N99="",E99&lt;=0),"",(E99-N99)/E99)</f>
        <v>0.0555555555555556</v>
      </c>
      <c r="W99" s="11" t="n">
        <f aca="false">IF(OR(U99="",V99="",V99&lt;=0),"",U99/V99)</f>
        <v>1.8</v>
      </c>
      <c r="X99" s="12" t="n">
        <f aca="false">IF(OR(K99="",L99="",E99="",H99=""),"",K99*L99-E99*H99-IF(O99="",0,O99)-IF(P99="",0,P99))</f>
        <v>-635</v>
      </c>
      <c r="Y99" s="10" t="n">
        <f aca="false">IF(OR(X99="",E99="",H99=""),"",IF(E99*H99+IF(O99="",0,O99)&lt;=0,"",X99/(E99*H99+IF(O99="",0,O99))))</f>
        <v>-0.0564193691692581</v>
      </c>
      <c r="Z99" s="10" t="n">
        <f aca="false">IF(OR(Y99="",多次统计数据!$B$8=""),"",Y99-多次统计数据!$B$8)</f>
        <v>-0.184550459242163</v>
      </c>
      <c r="AA99" s="13" t="n">
        <f aca="false">IF(OR(I99="",M99="",M99&lt;I99),"",M99-I99)</f>
        <v>1</v>
      </c>
      <c r="AB99" s="10" t="n">
        <f aca="false">IF(OR(A99="",多次统计数据!$B$8="",多次统计数据!$B$6&lt;=0,多次统计数据!$B$6&gt;=1),"",1-POWER(1+多次统计数据!$B$8,-多次统计数据!$B$6/(1-多次统计数据!$B$6)))</f>
        <v>0.119185074515542</v>
      </c>
      <c r="AC99" s="6" t="str">
        <f aca="false">IF(OR(AB99="",多次统计数据!$B$9=""),"",IF(多次统计数据!$B$9&lt;AB99,"低于上限","达到或超过上限"))</f>
        <v>低于上限</v>
      </c>
      <c r="AD99" s="2" t="s">
        <v>57</v>
      </c>
    </row>
    <row r="100" customFormat="false" ht="31.3" hidden="false" customHeight="false" outlineLevel="0" collapsed="false">
      <c r="A100" s="2" t="s">
        <v>226</v>
      </c>
      <c r="B100" s="2" t="s">
        <v>74</v>
      </c>
      <c r="C100" s="3" t="n">
        <v>119514</v>
      </c>
      <c r="D100" s="4" t="n">
        <v>0.01</v>
      </c>
      <c r="E100" s="3" t="n">
        <v>10</v>
      </c>
      <c r="F100" s="5" t="n">
        <f aca="false">IF(OR(C100="",D100="",E100="",N100="",C100&lt;=0,D100&lt;=0,E100&lt;=N100),"",ROUNDDOWN((C100*D100)/(E100-N100)/100,0)*100)</f>
        <v>700</v>
      </c>
      <c r="G100" s="6" t="str">
        <f aca="false">IF(OR(A100="",F100="",E100="",N100="",E100&lt;=N100,账户数据!$B$7=""),"",IF(账户数据!$B$9+IF(H100="",F100*(E100-N100),0)&gt;=账户数据!$B$7,"禁止开仓","允许开仓"))</f>
        <v>禁止开仓</v>
      </c>
      <c r="H100" s="7" t="n">
        <v>500</v>
      </c>
      <c r="I100" s="8" t="n">
        <v>46226</v>
      </c>
      <c r="J100" s="3" t="n">
        <v>11</v>
      </c>
      <c r="K100" s="3" t="n">
        <v>10</v>
      </c>
      <c r="L100" s="5" t="n">
        <f aca="false">IF(K100="","",H100)</f>
        <v>500</v>
      </c>
      <c r="M100" s="8" t="n">
        <v>46227</v>
      </c>
      <c r="N100" s="3" t="n">
        <v>8.5</v>
      </c>
      <c r="O100" s="3" t="n">
        <v>0</v>
      </c>
      <c r="P100" s="3" t="n">
        <v>0</v>
      </c>
      <c r="Q100" s="9" t="s">
        <v>117</v>
      </c>
      <c r="R100" s="9" t="s">
        <v>86</v>
      </c>
      <c r="S100" s="9" t="s">
        <v>119</v>
      </c>
      <c r="T100" s="9" t="s">
        <v>35</v>
      </c>
      <c r="U100" s="10" t="n">
        <f aca="false">IF(OR(E100="",J100="",E100&lt;=0),"",(J100-E100)/E100)</f>
        <v>0.1</v>
      </c>
      <c r="V100" s="10" t="n">
        <f aca="false">IF(OR(E100="",N100="",E100&lt;=0),"",(E100-N100)/E100)</f>
        <v>0.15</v>
      </c>
      <c r="W100" s="11" t="n">
        <f aca="false">IF(OR(U100="",V100="",V100&lt;=0),"",U100/V100)</f>
        <v>0.666666666666667</v>
      </c>
      <c r="X100" s="12" t="n">
        <f aca="false">IF(OR(K100="",L100="",E100="",H100=""),"",K100*L100-E100*H100-IF(O100="",0,O100)-IF(P100="",0,P100))</f>
        <v>0</v>
      </c>
      <c r="Y100" s="10" t="n">
        <f aca="false">IF(OR(X100="",E100="",H100=""),"",IF(E100*H100+IF(O100="",0,O100)&lt;=0,"",X100/(E100*H100+IF(O100="",0,O100))))</f>
        <v>0</v>
      </c>
      <c r="Z100" s="10" t="n">
        <f aca="false">IF(OR(Y100="",多次统计数据!$B$8=""),"",Y100-多次统计数据!$B$8)</f>
        <v>-0.128131090072905</v>
      </c>
      <c r="AA100" s="13" t="n">
        <f aca="false">IF(OR(I100="",M100="",M100&lt;I100),"",M100-I100)</f>
        <v>1</v>
      </c>
      <c r="AB100" s="10" t="n">
        <f aca="false">IF(OR(A100="",多次统计数据!$B$8="",多次统计数据!$B$6&lt;=0,多次统计数据!$B$6&gt;=1),"",1-POWER(1+多次统计数据!$B$8,-多次统计数据!$B$6/(1-多次统计数据!$B$6)))</f>
        <v>0.119185074515542</v>
      </c>
      <c r="AC100" s="6" t="str">
        <f aca="false">IF(OR(AB100="",多次统计数据!$B$9=""),"",IF(多次统计数据!$B$9&lt;AB100,"低于上限","达到或超过上限"))</f>
        <v>低于上限</v>
      </c>
      <c r="AD100" s="2" t="s">
        <v>78</v>
      </c>
    </row>
    <row r="101" customFormat="false" ht="31.3" hidden="false" customHeight="false" outlineLevel="0" collapsed="false">
      <c r="A101" s="2" t="s">
        <v>227</v>
      </c>
      <c r="B101" s="2" t="s">
        <v>80</v>
      </c>
      <c r="C101" s="3" t="n">
        <v>119514</v>
      </c>
      <c r="D101" s="4" t="n">
        <v>0.01</v>
      </c>
      <c r="E101" s="3" t="n">
        <v>11.25</v>
      </c>
      <c r="F101" s="5" t="n">
        <f aca="false">IF(OR(C101="",D101="",E101="",N101="",C101&lt;=0,D101&lt;=0,E101&lt;=N101),"",ROUNDDOWN((C101*D101)/(E101-N101)/100,0)*100)</f>
        <v>1500</v>
      </c>
      <c r="G101" s="6" t="str">
        <f aca="false">IF(OR(A101="",F101="",E101="",N101="",E101&lt;=N101,账户数据!$B$7=""),"",IF(账户数据!$B$9+IF(H101="",F101*(E101-N101),0)&gt;=账户数据!$B$7,"禁止开仓","允许开仓"))</f>
        <v>禁止开仓</v>
      </c>
      <c r="H101" s="7"/>
      <c r="I101" s="8" t="n">
        <v>46227</v>
      </c>
      <c r="J101" s="3" t="n">
        <v>12.38</v>
      </c>
      <c r="K101" s="3"/>
      <c r="L101" s="5" t="str">
        <f aca="false">IF(K101="","",H101)</f>
        <v/>
      </c>
      <c r="M101" s="8"/>
      <c r="N101" s="3" t="n">
        <v>10.5</v>
      </c>
      <c r="O101" s="3" t="n">
        <v>5</v>
      </c>
      <c r="P101" s="3" t="n">
        <v>0</v>
      </c>
      <c r="Q101" s="9" t="s">
        <v>121</v>
      </c>
      <c r="R101" s="9" t="s">
        <v>90</v>
      </c>
      <c r="S101" s="9" t="s">
        <v>123</v>
      </c>
      <c r="T101" s="9"/>
      <c r="U101" s="10" t="n">
        <f aca="false">IF(OR(E101="",J101="",E101&lt;=0),"",(J101-E101)/E101)</f>
        <v>0.100444444444445</v>
      </c>
      <c r="V101" s="10" t="n">
        <f aca="false">IF(OR(E101="",N101="",E101&lt;=0),"",(E101-N101)/E101)</f>
        <v>0.0666666666666667</v>
      </c>
      <c r="W101" s="11" t="n">
        <f aca="false">IF(OR(U101="",V101="",V101&lt;=0),"",U101/V101)</f>
        <v>1.50666666666667</v>
      </c>
      <c r="X101" s="12" t="str">
        <f aca="false">IF(OR(K101="",L101="",E101="",H101=""),"",K101*L101-E101*H101-IF(O101="",0,O101)-IF(P101="",0,P101))</f>
        <v/>
      </c>
      <c r="Y101" s="10" t="str">
        <f aca="false">IF(OR(X101="",E101="",H101=""),"",IF(E101*H101+IF(O101="",0,O101)&lt;=0,"",X101/(E101*H101+IF(O101="",0,O101))))</f>
        <v/>
      </c>
      <c r="Z101" s="10" t="str">
        <f aca="false">IF(OR(Y101="",多次统计数据!$B$8=""),"",Y101-多次统计数据!$B$8)</f>
        <v/>
      </c>
      <c r="AA101" s="13" t="str">
        <f aca="false">IF(OR(I101="",M101="",M101&lt;I101),"",M101-I101)</f>
        <v/>
      </c>
      <c r="AB101" s="10" t="n">
        <f aca="false">IF(OR(A101="",多次统计数据!$B$8="",多次统计数据!$B$6&lt;=0,多次统计数据!$B$6&gt;=1),"",1-POWER(1+多次统计数据!$B$8,-多次统计数据!$B$6/(1-多次统计数据!$B$6)))</f>
        <v>0.119185074515542</v>
      </c>
      <c r="AC101" s="6" t="str">
        <f aca="false">IF(OR(AB101="",多次统计数据!$B$9=""),"",IF(多次统计数据!$B$9&lt;AB101,"低于上限","达到或超过上限"))</f>
        <v>低于上限</v>
      </c>
      <c r="AD101" s="2"/>
    </row>
    <row r="102" customFormat="false" ht="15" hidden="false" customHeight="false" outlineLevel="0" collapsed="false">
      <c r="A102" s="9"/>
      <c r="B102" s="9"/>
      <c r="C102" s="3"/>
      <c r="D102" s="4"/>
      <c r="E102" s="3"/>
      <c r="F102" s="5" t="str">
        <f aca="false">IF(OR(C102="",D102="",E102="",N102="",C102&lt;=0,D102&lt;=0,E102&lt;=N102),"",ROUNDDOWN((C102*D102)/(E102-N102)/100,0)*100)</f>
        <v/>
      </c>
      <c r="G102" s="6" t="str">
        <f aca="false">IF(OR(A102="",F102="",E102="",N102="",E102&lt;=N102,账户数据!$B$7=""),"",IF(账户数据!$B$9+IF(H102="",F102*(E102-N102),0)&gt;=账户数据!$B$7,"禁止开仓","允许开仓"))</f>
        <v/>
      </c>
      <c r="H102" s="7"/>
      <c r="I102" s="8"/>
      <c r="J102" s="3"/>
      <c r="K102" s="3"/>
      <c r="L102" s="5" t="str">
        <f aca="false">IF(K102="","",H102)</f>
        <v/>
      </c>
      <c r="M102" s="8"/>
      <c r="N102" s="3"/>
      <c r="O102" s="3"/>
      <c r="P102" s="3"/>
      <c r="Q102" s="9"/>
      <c r="R102" s="9"/>
      <c r="S102" s="9"/>
      <c r="T102" s="9"/>
      <c r="U102" s="10" t="str">
        <f aca="false">IF(OR(E102="",J102="",E102&lt;=0),"",(J102-E102)/E102)</f>
        <v/>
      </c>
      <c r="V102" s="10" t="str">
        <f aca="false">IF(OR(E102="",N102="",E102&lt;=0),"",(E102-N102)/E102)</f>
        <v/>
      </c>
      <c r="W102" s="11" t="str">
        <f aca="false">IF(OR(U102="",V102="",V102&lt;=0),"",U102/V102)</f>
        <v/>
      </c>
      <c r="X102" s="12" t="str">
        <f aca="false">IF(OR(K102="",L102="",E102="",H102=""),"",K102*L102-E102*H102-IF(O102="",0,O102)-IF(P102="",0,P102))</f>
        <v/>
      </c>
      <c r="Y102" s="10" t="str">
        <f aca="false">IF(OR(X102="",E102="",H102=""),"",IF(E102*H102+IF(O102="",0,O102)&lt;=0,"",X102/(E102*H102+IF(O102="",0,O102))))</f>
        <v/>
      </c>
      <c r="Z102" s="10" t="str">
        <f aca="false">IF(OR(Y102="",多次统计数据!$B$8=""),"",Y102-多次统计数据!$B$8)</f>
        <v/>
      </c>
      <c r="AA102" s="13" t="str">
        <f aca="false">IF(OR(I102="",M102="",M102&lt;I102),"",M102-I102)</f>
        <v/>
      </c>
      <c r="AB102" s="10" t="str">
        <f aca="false">IF(OR(A102="",多次统计数据!$B$8="",多次统计数据!$B$6&lt;=0,多次统计数据!$B$6&gt;=1),"",1-POWER(1+多次统计数据!$B$8,-多次统计数据!$B$6/(1-多次统计数据!$B$6)))</f>
        <v/>
      </c>
      <c r="AC102" s="6" t="str">
        <f aca="false">IF(OR(AB102="",多次统计数据!$B$9=""),"",IF(多次统计数据!$B$9&lt;AB102,"低于上限","达到或超过上限"))</f>
        <v/>
      </c>
      <c r="AD102" s="2"/>
    </row>
    <row r="103" customFormat="false" ht="15" hidden="false" customHeight="false" outlineLevel="0" collapsed="false">
      <c r="A103" s="9"/>
      <c r="B103" s="9"/>
      <c r="C103" s="3"/>
      <c r="D103" s="4"/>
      <c r="E103" s="3"/>
      <c r="F103" s="5" t="str">
        <f aca="false">IF(OR(C103="",D103="",E103="",N103="",C103&lt;=0,D103&lt;=0,E103&lt;=N103),"",ROUNDDOWN((C103*D103)/(E103-N103)/100,0)*100)</f>
        <v/>
      </c>
      <c r="G103" s="6" t="str">
        <f aca="false">IF(OR(A103="",F103="",E103="",N103="",E103&lt;=N103,账户数据!$B$7=""),"",IF(账户数据!$B$9+IF(H103="",F103*(E103-N103),0)&gt;=账户数据!$B$7,"禁止开仓","允许开仓"))</f>
        <v/>
      </c>
      <c r="H103" s="7"/>
      <c r="I103" s="8"/>
      <c r="J103" s="3"/>
      <c r="K103" s="3"/>
      <c r="L103" s="5" t="str">
        <f aca="false">IF(K103="","",H103)</f>
        <v/>
      </c>
      <c r="M103" s="8"/>
      <c r="N103" s="3"/>
      <c r="O103" s="3"/>
      <c r="P103" s="3"/>
      <c r="Q103" s="9"/>
      <c r="R103" s="9"/>
      <c r="S103" s="9"/>
      <c r="T103" s="9"/>
      <c r="U103" s="10" t="str">
        <f aca="false">IF(OR(E103="",J103="",E103&lt;=0),"",(J103-E103)/E103)</f>
        <v/>
      </c>
      <c r="V103" s="10" t="str">
        <f aca="false">IF(OR(E103="",N103="",E103&lt;=0),"",(E103-N103)/E103)</f>
        <v/>
      </c>
      <c r="W103" s="11" t="str">
        <f aca="false">IF(OR(U103="",V103="",V103&lt;=0),"",U103/V103)</f>
        <v/>
      </c>
      <c r="X103" s="12" t="str">
        <f aca="false">IF(OR(K103="",L103="",E103="",H103=""),"",K103*L103-E103*H103-IF(O103="",0,O103)-IF(P103="",0,P103))</f>
        <v/>
      </c>
      <c r="Y103" s="10" t="str">
        <f aca="false">IF(OR(X103="",E103="",H103=""),"",IF(E103*H103+IF(O103="",0,O103)&lt;=0,"",X103/(E103*H103+IF(O103="",0,O103))))</f>
        <v/>
      </c>
      <c r="Z103" s="10" t="str">
        <f aca="false">IF(OR(Y103="",多次统计数据!$B$8=""),"",Y103-多次统计数据!$B$8)</f>
        <v/>
      </c>
      <c r="AA103" s="13" t="str">
        <f aca="false">IF(OR(I103="",M103="",M103&lt;I103),"",M103-I103)</f>
        <v/>
      </c>
      <c r="AB103" s="10" t="str">
        <f aca="false">IF(OR(A103="",多次统计数据!$B$8="",多次统计数据!$B$6&lt;=0,多次统计数据!$B$6&gt;=1),"",1-POWER(1+多次统计数据!$B$8,-多次统计数据!$B$6/(1-多次统计数据!$B$6)))</f>
        <v/>
      </c>
      <c r="AC103" s="6" t="str">
        <f aca="false">IF(OR(AB103="",多次统计数据!$B$9=""),"",IF(多次统计数据!$B$9&lt;AB103,"低于上限","达到或超过上限"))</f>
        <v/>
      </c>
      <c r="AD103" s="2"/>
    </row>
    <row r="104" customFormat="false" ht="15" hidden="false" customHeight="false" outlineLevel="0" collapsed="false">
      <c r="A104" s="9"/>
      <c r="B104" s="9"/>
      <c r="C104" s="3"/>
      <c r="D104" s="4"/>
      <c r="E104" s="3"/>
      <c r="F104" s="5" t="str">
        <f aca="false">IF(OR(C104="",D104="",E104="",N104="",C104&lt;=0,D104&lt;=0,E104&lt;=N104),"",ROUNDDOWN((C104*D104)/(E104-N104)/100,0)*100)</f>
        <v/>
      </c>
      <c r="G104" s="6" t="str">
        <f aca="false">IF(OR(A104="",F104="",E104="",N104="",E104&lt;=N104,账户数据!$B$7=""),"",IF(账户数据!$B$9+IF(H104="",F104*(E104-N104),0)&gt;=账户数据!$B$7,"禁止开仓","允许开仓"))</f>
        <v/>
      </c>
      <c r="H104" s="7"/>
      <c r="I104" s="8"/>
      <c r="J104" s="3"/>
      <c r="K104" s="3"/>
      <c r="L104" s="5" t="str">
        <f aca="false">IF(K104="","",H104)</f>
        <v/>
      </c>
      <c r="M104" s="8"/>
      <c r="N104" s="3"/>
      <c r="O104" s="3"/>
      <c r="P104" s="3"/>
      <c r="Q104" s="9"/>
      <c r="R104" s="9"/>
      <c r="S104" s="9"/>
      <c r="T104" s="9"/>
      <c r="U104" s="10" t="str">
        <f aca="false">IF(OR(E104="",J104="",E104&lt;=0),"",(J104-E104)/E104)</f>
        <v/>
      </c>
      <c r="V104" s="10" t="str">
        <f aca="false">IF(OR(E104="",N104="",E104&lt;=0),"",(E104-N104)/E104)</f>
        <v/>
      </c>
      <c r="W104" s="11" t="str">
        <f aca="false">IF(OR(U104="",V104="",V104&lt;=0),"",U104/V104)</f>
        <v/>
      </c>
      <c r="X104" s="12" t="str">
        <f aca="false">IF(OR(K104="",L104="",E104="",H104=""),"",K104*L104-E104*H104-IF(O104="",0,O104)-IF(P104="",0,P104))</f>
        <v/>
      </c>
      <c r="Y104" s="10" t="str">
        <f aca="false">IF(OR(X104="",E104="",H104=""),"",IF(E104*H104+IF(O104="",0,O104)&lt;=0,"",X104/(E104*H104+IF(O104="",0,O104))))</f>
        <v/>
      </c>
      <c r="Z104" s="10" t="str">
        <f aca="false">IF(OR(Y104="",多次统计数据!$B$8=""),"",Y104-多次统计数据!$B$8)</f>
        <v/>
      </c>
      <c r="AA104" s="13" t="str">
        <f aca="false">IF(OR(I104="",M104="",M104&lt;I104),"",M104-I104)</f>
        <v/>
      </c>
      <c r="AB104" s="10" t="str">
        <f aca="false">IF(OR(A104="",多次统计数据!$B$8="",多次统计数据!$B$6&lt;=0,多次统计数据!$B$6&gt;=1),"",1-POWER(1+多次统计数据!$B$8,-多次统计数据!$B$6/(1-多次统计数据!$B$6)))</f>
        <v/>
      </c>
      <c r="AC104" s="6" t="str">
        <f aca="false">IF(OR(AB104="",多次统计数据!$B$9=""),"",IF(多次统计数据!$B$9&lt;AB104,"低于上限","达到或超过上限"))</f>
        <v/>
      </c>
      <c r="AD104" s="2"/>
    </row>
    <row r="105" customFormat="false" ht="15" hidden="false" customHeight="false" outlineLevel="0" collapsed="false">
      <c r="A105" s="9"/>
      <c r="B105" s="9"/>
      <c r="C105" s="3"/>
      <c r="D105" s="4"/>
      <c r="E105" s="3"/>
      <c r="F105" s="5" t="str">
        <f aca="false">IF(OR(C105="",D105="",E105="",N105="",C105&lt;=0,D105&lt;=0,E105&lt;=N105),"",ROUNDDOWN((C105*D105)/(E105-N105)/100,0)*100)</f>
        <v/>
      </c>
      <c r="G105" s="6" t="str">
        <f aca="false">IF(OR(A105="",F105="",E105="",N105="",E105&lt;=N105,账户数据!$B$7=""),"",IF(账户数据!$B$9+IF(H105="",F105*(E105-N105),0)&gt;=账户数据!$B$7,"禁止开仓","允许开仓"))</f>
        <v/>
      </c>
      <c r="H105" s="7"/>
      <c r="I105" s="8"/>
      <c r="J105" s="3"/>
      <c r="K105" s="3"/>
      <c r="L105" s="5" t="str">
        <f aca="false">IF(K105="","",H105)</f>
        <v/>
      </c>
      <c r="M105" s="8"/>
      <c r="N105" s="3"/>
      <c r="O105" s="3"/>
      <c r="P105" s="3"/>
      <c r="Q105" s="9"/>
      <c r="R105" s="9"/>
      <c r="S105" s="9"/>
      <c r="T105" s="9"/>
      <c r="U105" s="10" t="str">
        <f aca="false">IF(OR(E105="",J105="",E105&lt;=0),"",(J105-E105)/E105)</f>
        <v/>
      </c>
      <c r="V105" s="10" t="str">
        <f aca="false">IF(OR(E105="",N105="",E105&lt;=0),"",(E105-N105)/E105)</f>
        <v/>
      </c>
      <c r="W105" s="11" t="str">
        <f aca="false">IF(OR(U105="",V105="",V105&lt;=0),"",U105/V105)</f>
        <v/>
      </c>
      <c r="X105" s="12" t="str">
        <f aca="false">IF(OR(K105="",L105="",E105="",H105=""),"",K105*L105-E105*H105-IF(O105="",0,O105)-IF(P105="",0,P105))</f>
        <v/>
      </c>
      <c r="Y105" s="10" t="str">
        <f aca="false">IF(OR(X105="",E105="",H105=""),"",IF(E105*H105+IF(O105="",0,O105)&lt;=0,"",X105/(E105*H105+IF(O105="",0,O105))))</f>
        <v/>
      </c>
      <c r="Z105" s="10" t="str">
        <f aca="false">IF(OR(Y105="",多次统计数据!$B$8=""),"",Y105-多次统计数据!$B$8)</f>
        <v/>
      </c>
      <c r="AA105" s="13" t="str">
        <f aca="false">IF(OR(I105="",M105="",M105&lt;I105),"",M105-I105)</f>
        <v/>
      </c>
      <c r="AB105" s="10" t="str">
        <f aca="false">IF(OR(A105="",多次统计数据!$B$8="",多次统计数据!$B$6&lt;=0,多次统计数据!$B$6&gt;=1),"",1-POWER(1+多次统计数据!$B$8,-多次统计数据!$B$6/(1-多次统计数据!$B$6)))</f>
        <v/>
      </c>
      <c r="AC105" s="6" t="str">
        <f aca="false">IF(OR(AB105="",多次统计数据!$B$9=""),"",IF(多次统计数据!$B$9&lt;AB105,"低于上限","达到或超过上限"))</f>
        <v/>
      </c>
      <c r="AD105" s="2"/>
    </row>
    <row r="106" customFormat="false" ht="15" hidden="false" customHeight="false" outlineLevel="0" collapsed="false">
      <c r="A106" s="9"/>
      <c r="B106" s="9"/>
      <c r="C106" s="3"/>
      <c r="D106" s="4"/>
      <c r="E106" s="3"/>
      <c r="F106" s="5" t="str">
        <f aca="false">IF(OR(C106="",D106="",E106="",N106="",C106&lt;=0,D106&lt;=0,E106&lt;=N106),"",ROUNDDOWN((C106*D106)/(E106-N106)/100,0)*100)</f>
        <v/>
      </c>
      <c r="G106" s="6" t="str">
        <f aca="false">IF(OR(A106="",F106="",E106="",N106="",E106&lt;=N106,账户数据!$B$7=""),"",IF(账户数据!$B$9+IF(H106="",F106*(E106-N106),0)&gt;=账户数据!$B$7,"禁止开仓","允许开仓"))</f>
        <v/>
      </c>
      <c r="H106" s="7"/>
      <c r="I106" s="8"/>
      <c r="J106" s="3"/>
      <c r="K106" s="3"/>
      <c r="L106" s="5" t="str">
        <f aca="false">IF(K106="","",H106)</f>
        <v/>
      </c>
      <c r="M106" s="8"/>
      <c r="N106" s="3"/>
      <c r="O106" s="3"/>
      <c r="P106" s="3"/>
      <c r="Q106" s="9"/>
      <c r="R106" s="9"/>
      <c r="S106" s="9"/>
      <c r="T106" s="9"/>
      <c r="U106" s="10" t="str">
        <f aca="false">IF(OR(E106="",J106="",E106&lt;=0),"",(J106-E106)/E106)</f>
        <v/>
      </c>
      <c r="V106" s="10" t="str">
        <f aca="false">IF(OR(E106="",N106="",E106&lt;=0),"",(E106-N106)/E106)</f>
        <v/>
      </c>
      <c r="W106" s="11" t="str">
        <f aca="false">IF(OR(U106="",V106="",V106&lt;=0),"",U106/V106)</f>
        <v/>
      </c>
      <c r="X106" s="12" t="str">
        <f aca="false">IF(OR(K106="",L106="",E106="",H106=""),"",K106*L106-E106*H106-IF(O106="",0,O106)-IF(P106="",0,P106))</f>
        <v/>
      </c>
      <c r="Y106" s="10" t="str">
        <f aca="false">IF(OR(X106="",E106="",H106=""),"",IF(E106*H106+IF(O106="",0,O106)&lt;=0,"",X106/(E106*H106+IF(O106="",0,O106))))</f>
        <v/>
      </c>
      <c r="Z106" s="10" t="str">
        <f aca="false">IF(OR(Y106="",多次统计数据!$B$8=""),"",Y106-多次统计数据!$B$8)</f>
        <v/>
      </c>
      <c r="AA106" s="13" t="str">
        <f aca="false">IF(OR(I106="",M106="",M106&lt;I106),"",M106-I106)</f>
        <v/>
      </c>
      <c r="AB106" s="10" t="str">
        <f aca="false">IF(OR(A106="",多次统计数据!$B$8="",多次统计数据!$B$6&lt;=0,多次统计数据!$B$6&gt;=1),"",1-POWER(1+多次统计数据!$B$8,-多次统计数据!$B$6/(1-多次统计数据!$B$6)))</f>
        <v/>
      </c>
      <c r="AC106" s="6" t="str">
        <f aca="false">IF(OR(AB106="",多次统计数据!$B$9=""),"",IF(多次统计数据!$B$9&lt;AB106,"低于上限","达到或超过上限"))</f>
        <v/>
      </c>
      <c r="AD106" s="2"/>
    </row>
    <row r="107" customFormat="false" ht="15" hidden="false" customHeight="false" outlineLevel="0" collapsed="false">
      <c r="A107" s="9"/>
      <c r="B107" s="9"/>
      <c r="C107" s="3"/>
      <c r="D107" s="4"/>
      <c r="E107" s="3"/>
      <c r="F107" s="5" t="str">
        <f aca="false">IF(OR(C107="",D107="",E107="",N107="",C107&lt;=0,D107&lt;=0,E107&lt;=N107),"",ROUNDDOWN((C107*D107)/(E107-N107)/100,0)*100)</f>
        <v/>
      </c>
      <c r="G107" s="6" t="str">
        <f aca="false">IF(OR(A107="",F107="",E107="",N107="",E107&lt;=N107,账户数据!$B$7=""),"",IF(账户数据!$B$9+IF(H107="",F107*(E107-N107),0)&gt;=账户数据!$B$7,"禁止开仓","允许开仓"))</f>
        <v/>
      </c>
      <c r="H107" s="7"/>
      <c r="I107" s="8"/>
      <c r="J107" s="3"/>
      <c r="K107" s="3"/>
      <c r="L107" s="5" t="str">
        <f aca="false">IF(K107="","",H107)</f>
        <v/>
      </c>
      <c r="M107" s="8"/>
      <c r="N107" s="3"/>
      <c r="O107" s="3"/>
      <c r="P107" s="3"/>
      <c r="Q107" s="9"/>
      <c r="R107" s="9"/>
      <c r="S107" s="9"/>
      <c r="T107" s="9"/>
      <c r="U107" s="10" t="str">
        <f aca="false">IF(OR(E107="",J107="",E107&lt;=0),"",(J107-E107)/E107)</f>
        <v/>
      </c>
      <c r="V107" s="10" t="str">
        <f aca="false">IF(OR(E107="",N107="",E107&lt;=0),"",(E107-N107)/E107)</f>
        <v/>
      </c>
      <c r="W107" s="11" t="str">
        <f aca="false">IF(OR(U107="",V107="",V107&lt;=0),"",U107/V107)</f>
        <v/>
      </c>
      <c r="X107" s="12" t="str">
        <f aca="false">IF(OR(K107="",L107="",E107="",H107=""),"",K107*L107-E107*H107-IF(O107="",0,O107)-IF(P107="",0,P107))</f>
        <v/>
      </c>
      <c r="Y107" s="10" t="str">
        <f aca="false">IF(OR(X107="",E107="",H107=""),"",IF(E107*H107+IF(O107="",0,O107)&lt;=0,"",X107/(E107*H107+IF(O107="",0,O107))))</f>
        <v/>
      </c>
      <c r="Z107" s="10" t="str">
        <f aca="false">IF(OR(Y107="",多次统计数据!$B$8=""),"",Y107-多次统计数据!$B$8)</f>
        <v/>
      </c>
      <c r="AA107" s="13" t="str">
        <f aca="false">IF(OR(I107="",M107="",M107&lt;I107),"",M107-I107)</f>
        <v/>
      </c>
      <c r="AB107" s="10" t="str">
        <f aca="false">IF(OR(A107="",多次统计数据!$B$8="",多次统计数据!$B$6&lt;=0,多次统计数据!$B$6&gt;=1),"",1-POWER(1+多次统计数据!$B$8,-多次统计数据!$B$6/(1-多次统计数据!$B$6)))</f>
        <v/>
      </c>
      <c r="AC107" s="6" t="str">
        <f aca="false">IF(OR(AB107="",多次统计数据!$B$9=""),"",IF(多次统计数据!$B$9&lt;AB107,"低于上限","达到或超过上限"))</f>
        <v/>
      </c>
      <c r="AD107" s="2"/>
    </row>
    <row r="108" customFormat="false" ht="15" hidden="false" customHeight="false" outlineLevel="0" collapsed="false">
      <c r="A108" s="9"/>
      <c r="B108" s="9"/>
      <c r="C108" s="3"/>
      <c r="D108" s="4"/>
      <c r="E108" s="3"/>
      <c r="F108" s="5" t="str">
        <f aca="false">IF(OR(C108="",D108="",E108="",N108="",C108&lt;=0,D108&lt;=0,E108&lt;=N108),"",ROUNDDOWN((C108*D108)/(E108-N108)/100,0)*100)</f>
        <v/>
      </c>
      <c r="G108" s="6" t="str">
        <f aca="false">IF(OR(A108="",F108="",E108="",N108="",E108&lt;=N108,账户数据!$B$7=""),"",IF(账户数据!$B$9+IF(H108="",F108*(E108-N108),0)&gt;=账户数据!$B$7,"禁止开仓","允许开仓"))</f>
        <v/>
      </c>
      <c r="H108" s="7"/>
      <c r="I108" s="8"/>
      <c r="J108" s="3"/>
      <c r="K108" s="3"/>
      <c r="L108" s="5" t="str">
        <f aca="false">IF(K108="","",H108)</f>
        <v/>
      </c>
      <c r="M108" s="8"/>
      <c r="N108" s="3"/>
      <c r="O108" s="3"/>
      <c r="P108" s="3"/>
      <c r="Q108" s="9"/>
      <c r="R108" s="9"/>
      <c r="S108" s="9"/>
      <c r="T108" s="9"/>
      <c r="U108" s="10" t="str">
        <f aca="false">IF(OR(E108="",J108="",E108&lt;=0),"",(J108-E108)/E108)</f>
        <v/>
      </c>
      <c r="V108" s="10" t="str">
        <f aca="false">IF(OR(E108="",N108="",E108&lt;=0),"",(E108-N108)/E108)</f>
        <v/>
      </c>
      <c r="W108" s="11" t="str">
        <f aca="false">IF(OR(U108="",V108="",V108&lt;=0),"",U108/V108)</f>
        <v/>
      </c>
      <c r="X108" s="12" t="str">
        <f aca="false">IF(OR(K108="",L108="",E108="",H108=""),"",K108*L108-E108*H108-IF(O108="",0,O108)-IF(P108="",0,P108))</f>
        <v/>
      </c>
      <c r="Y108" s="10" t="str">
        <f aca="false">IF(OR(X108="",E108="",H108=""),"",IF(E108*H108+IF(O108="",0,O108)&lt;=0,"",X108/(E108*H108+IF(O108="",0,O108))))</f>
        <v/>
      </c>
      <c r="Z108" s="10" t="str">
        <f aca="false">IF(OR(Y108="",多次统计数据!$B$8=""),"",Y108-多次统计数据!$B$8)</f>
        <v/>
      </c>
      <c r="AA108" s="13" t="str">
        <f aca="false">IF(OR(I108="",M108="",M108&lt;I108),"",M108-I108)</f>
        <v/>
      </c>
      <c r="AB108" s="10" t="str">
        <f aca="false">IF(OR(A108="",多次统计数据!$B$8="",多次统计数据!$B$6&lt;=0,多次统计数据!$B$6&gt;=1),"",1-POWER(1+多次统计数据!$B$8,-多次统计数据!$B$6/(1-多次统计数据!$B$6)))</f>
        <v/>
      </c>
      <c r="AC108" s="6" t="str">
        <f aca="false">IF(OR(AB108="",多次统计数据!$B$9=""),"",IF(多次统计数据!$B$9&lt;AB108,"低于上限","达到或超过上限"))</f>
        <v/>
      </c>
      <c r="AD108" s="2"/>
    </row>
    <row r="109" customFormat="false" ht="15" hidden="false" customHeight="false" outlineLevel="0" collapsed="false">
      <c r="A109" s="9"/>
      <c r="B109" s="9"/>
      <c r="C109" s="3"/>
      <c r="D109" s="4"/>
      <c r="E109" s="3"/>
      <c r="F109" s="5" t="str">
        <f aca="false">IF(OR(C109="",D109="",E109="",N109="",C109&lt;=0,D109&lt;=0,E109&lt;=N109),"",ROUNDDOWN((C109*D109)/(E109-N109)/100,0)*100)</f>
        <v/>
      </c>
      <c r="G109" s="6" t="str">
        <f aca="false">IF(OR(A109="",F109="",E109="",N109="",E109&lt;=N109,账户数据!$B$7=""),"",IF(账户数据!$B$9+IF(H109="",F109*(E109-N109),0)&gt;=账户数据!$B$7,"禁止开仓","允许开仓"))</f>
        <v/>
      </c>
      <c r="H109" s="7"/>
      <c r="I109" s="8"/>
      <c r="J109" s="3"/>
      <c r="K109" s="3"/>
      <c r="L109" s="5" t="str">
        <f aca="false">IF(K109="","",H109)</f>
        <v/>
      </c>
      <c r="M109" s="8"/>
      <c r="N109" s="3"/>
      <c r="O109" s="3"/>
      <c r="P109" s="3"/>
      <c r="Q109" s="9"/>
      <c r="R109" s="9"/>
      <c r="S109" s="9"/>
      <c r="T109" s="9"/>
      <c r="U109" s="10" t="str">
        <f aca="false">IF(OR(E109="",J109="",E109&lt;=0),"",(J109-E109)/E109)</f>
        <v/>
      </c>
      <c r="V109" s="10" t="str">
        <f aca="false">IF(OR(E109="",N109="",E109&lt;=0),"",(E109-N109)/E109)</f>
        <v/>
      </c>
      <c r="W109" s="11" t="str">
        <f aca="false">IF(OR(U109="",V109="",V109&lt;=0),"",U109/V109)</f>
        <v/>
      </c>
      <c r="X109" s="12" t="str">
        <f aca="false">IF(OR(K109="",L109="",E109="",H109=""),"",K109*L109-E109*H109-IF(O109="",0,O109)-IF(P109="",0,P109))</f>
        <v/>
      </c>
      <c r="Y109" s="10" t="str">
        <f aca="false">IF(OR(X109="",E109="",H109=""),"",IF(E109*H109+IF(O109="",0,O109)&lt;=0,"",X109/(E109*H109+IF(O109="",0,O109))))</f>
        <v/>
      </c>
      <c r="Z109" s="10" t="str">
        <f aca="false">IF(OR(Y109="",多次统计数据!$B$8=""),"",Y109-多次统计数据!$B$8)</f>
        <v/>
      </c>
      <c r="AA109" s="13" t="str">
        <f aca="false">IF(OR(I109="",M109="",M109&lt;I109),"",M109-I109)</f>
        <v/>
      </c>
      <c r="AB109" s="10" t="str">
        <f aca="false">IF(OR(A109="",多次统计数据!$B$8="",多次统计数据!$B$6&lt;=0,多次统计数据!$B$6&gt;=1),"",1-POWER(1+多次统计数据!$B$8,-多次统计数据!$B$6/(1-多次统计数据!$B$6)))</f>
        <v/>
      </c>
      <c r="AC109" s="6" t="str">
        <f aca="false">IF(OR(AB109="",多次统计数据!$B$9=""),"",IF(多次统计数据!$B$9&lt;AB109,"低于上限","达到或超过上限"))</f>
        <v/>
      </c>
      <c r="AD109" s="2"/>
    </row>
    <row r="110" customFormat="false" ht="15" hidden="false" customHeight="false" outlineLevel="0" collapsed="false">
      <c r="A110" s="9"/>
      <c r="B110" s="9"/>
      <c r="C110" s="3"/>
      <c r="D110" s="4"/>
      <c r="E110" s="3"/>
      <c r="F110" s="5" t="str">
        <f aca="false">IF(OR(C110="",D110="",E110="",N110="",C110&lt;=0,D110&lt;=0,E110&lt;=N110),"",ROUNDDOWN((C110*D110)/(E110-N110)/100,0)*100)</f>
        <v/>
      </c>
      <c r="G110" s="6" t="str">
        <f aca="false">IF(OR(A110="",F110="",E110="",N110="",E110&lt;=N110,账户数据!$B$7=""),"",IF(账户数据!$B$9+IF(H110="",F110*(E110-N110),0)&gt;=账户数据!$B$7,"禁止开仓","允许开仓"))</f>
        <v/>
      </c>
      <c r="H110" s="7"/>
      <c r="I110" s="8"/>
      <c r="J110" s="3"/>
      <c r="K110" s="3"/>
      <c r="L110" s="5" t="str">
        <f aca="false">IF(K110="","",H110)</f>
        <v/>
      </c>
      <c r="M110" s="8"/>
      <c r="N110" s="3"/>
      <c r="O110" s="3"/>
      <c r="P110" s="3"/>
      <c r="Q110" s="9"/>
      <c r="R110" s="9"/>
      <c r="S110" s="9"/>
      <c r="T110" s="9"/>
      <c r="U110" s="10" t="str">
        <f aca="false">IF(OR(E110="",J110="",E110&lt;=0),"",(J110-E110)/E110)</f>
        <v/>
      </c>
      <c r="V110" s="10" t="str">
        <f aca="false">IF(OR(E110="",N110="",E110&lt;=0),"",(E110-N110)/E110)</f>
        <v/>
      </c>
      <c r="W110" s="11" t="str">
        <f aca="false">IF(OR(U110="",V110="",V110&lt;=0),"",U110/V110)</f>
        <v/>
      </c>
      <c r="X110" s="12" t="str">
        <f aca="false">IF(OR(K110="",L110="",E110="",H110=""),"",K110*L110-E110*H110-IF(O110="",0,O110)-IF(P110="",0,P110))</f>
        <v/>
      </c>
      <c r="Y110" s="10" t="str">
        <f aca="false">IF(OR(X110="",E110="",H110=""),"",IF(E110*H110+IF(O110="",0,O110)&lt;=0,"",X110/(E110*H110+IF(O110="",0,O110))))</f>
        <v/>
      </c>
      <c r="Z110" s="10" t="str">
        <f aca="false">IF(OR(Y110="",多次统计数据!$B$8=""),"",Y110-多次统计数据!$B$8)</f>
        <v/>
      </c>
      <c r="AA110" s="13" t="str">
        <f aca="false">IF(OR(I110="",M110="",M110&lt;I110),"",M110-I110)</f>
        <v/>
      </c>
      <c r="AB110" s="10" t="str">
        <f aca="false">IF(OR(A110="",多次统计数据!$B$8="",多次统计数据!$B$6&lt;=0,多次统计数据!$B$6&gt;=1),"",1-POWER(1+多次统计数据!$B$8,-多次统计数据!$B$6/(1-多次统计数据!$B$6)))</f>
        <v/>
      </c>
      <c r="AC110" s="6" t="str">
        <f aca="false">IF(OR(AB110="",多次统计数据!$B$9=""),"",IF(多次统计数据!$B$9&lt;AB110,"低于上限","达到或超过上限"))</f>
        <v/>
      </c>
      <c r="AD110" s="2"/>
    </row>
    <row r="111" customFormat="false" ht="15" hidden="false" customHeight="false" outlineLevel="0" collapsed="false">
      <c r="A111" s="9"/>
      <c r="B111" s="9"/>
      <c r="C111" s="3"/>
      <c r="D111" s="4"/>
      <c r="E111" s="3"/>
      <c r="F111" s="5" t="str">
        <f aca="false">IF(OR(C111="",D111="",E111="",N111="",C111&lt;=0,D111&lt;=0,E111&lt;=N111),"",ROUNDDOWN((C111*D111)/(E111-N111)/100,0)*100)</f>
        <v/>
      </c>
      <c r="G111" s="6" t="str">
        <f aca="false">IF(OR(A111="",F111="",E111="",N111="",E111&lt;=N111,账户数据!$B$7=""),"",IF(账户数据!$B$9+IF(H111="",F111*(E111-N111),0)&gt;=账户数据!$B$7,"禁止开仓","允许开仓"))</f>
        <v/>
      </c>
      <c r="H111" s="7"/>
      <c r="I111" s="8"/>
      <c r="J111" s="3"/>
      <c r="K111" s="3"/>
      <c r="L111" s="5" t="str">
        <f aca="false">IF(K111="","",H111)</f>
        <v/>
      </c>
      <c r="M111" s="8"/>
      <c r="N111" s="3"/>
      <c r="O111" s="3"/>
      <c r="P111" s="3"/>
      <c r="Q111" s="9"/>
      <c r="R111" s="9"/>
      <c r="S111" s="9"/>
      <c r="T111" s="9"/>
      <c r="U111" s="10" t="str">
        <f aca="false">IF(OR(E111="",J111="",E111&lt;=0),"",(J111-E111)/E111)</f>
        <v/>
      </c>
      <c r="V111" s="10" t="str">
        <f aca="false">IF(OR(E111="",N111="",E111&lt;=0),"",(E111-N111)/E111)</f>
        <v/>
      </c>
      <c r="W111" s="11" t="str">
        <f aca="false">IF(OR(U111="",V111="",V111&lt;=0),"",U111/V111)</f>
        <v/>
      </c>
      <c r="X111" s="12" t="str">
        <f aca="false">IF(OR(K111="",L111="",E111="",H111=""),"",K111*L111-E111*H111-IF(O111="",0,O111)-IF(P111="",0,P111))</f>
        <v/>
      </c>
      <c r="Y111" s="10" t="str">
        <f aca="false">IF(OR(X111="",E111="",H111=""),"",IF(E111*H111+IF(O111="",0,O111)&lt;=0,"",X111/(E111*H111+IF(O111="",0,O111))))</f>
        <v/>
      </c>
      <c r="Z111" s="10" t="str">
        <f aca="false">IF(OR(Y111="",多次统计数据!$B$8=""),"",Y111-多次统计数据!$B$8)</f>
        <v/>
      </c>
      <c r="AA111" s="13" t="str">
        <f aca="false">IF(OR(I111="",M111="",M111&lt;I111),"",M111-I111)</f>
        <v/>
      </c>
      <c r="AB111" s="10" t="str">
        <f aca="false">IF(OR(A111="",多次统计数据!$B$8="",多次统计数据!$B$6&lt;=0,多次统计数据!$B$6&gt;=1),"",1-POWER(1+多次统计数据!$B$8,-多次统计数据!$B$6/(1-多次统计数据!$B$6)))</f>
        <v/>
      </c>
      <c r="AC111" s="6" t="str">
        <f aca="false">IF(OR(AB111="",多次统计数据!$B$9=""),"",IF(多次统计数据!$B$9&lt;AB111,"低于上限","达到或超过上限"))</f>
        <v/>
      </c>
      <c r="AD111" s="2"/>
    </row>
    <row r="112" customFormat="false" ht="15" hidden="false" customHeight="false" outlineLevel="0" collapsed="false">
      <c r="A112" s="9"/>
      <c r="B112" s="9"/>
      <c r="C112" s="3"/>
      <c r="D112" s="4"/>
      <c r="E112" s="3"/>
      <c r="F112" s="5" t="str">
        <f aca="false">IF(OR(C112="",D112="",E112="",N112="",C112&lt;=0,D112&lt;=0,E112&lt;=N112),"",ROUNDDOWN((C112*D112)/(E112-N112)/100,0)*100)</f>
        <v/>
      </c>
      <c r="G112" s="6" t="str">
        <f aca="false">IF(OR(A112="",F112="",E112="",N112="",E112&lt;=N112,账户数据!$B$7=""),"",IF(账户数据!$B$9+IF(H112="",F112*(E112-N112),0)&gt;=账户数据!$B$7,"禁止开仓","允许开仓"))</f>
        <v/>
      </c>
      <c r="H112" s="7"/>
      <c r="I112" s="8"/>
      <c r="J112" s="3"/>
      <c r="K112" s="3"/>
      <c r="L112" s="5" t="str">
        <f aca="false">IF(K112="","",H112)</f>
        <v/>
      </c>
      <c r="M112" s="8"/>
      <c r="N112" s="3"/>
      <c r="O112" s="3"/>
      <c r="P112" s="3"/>
      <c r="Q112" s="9"/>
      <c r="R112" s="9"/>
      <c r="S112" s="9"/>
      <c r="T112" s="9"/>
      <c r="U112" s="10" t="str">
        <f aca="false">IF(OR(E112="",J112="",E112&lt;=0),"",(J112-E112)/E112)</f>
        <v/>
      </c>
      <c r="V112" s="10" t="str">
        <f aca="false">IF(OR(E112="",N112="",E112&lt;=0),"",(E112-N112)/E112)</f>
        <v/>
      </c>
      <c r="W112" s="11" t="str">
        <f aca="false">IF(OR(U112="",V112="",V112&lt;=0),"",U112/V112)</f>
        <v/>
      </c>
      <c r="X112" s="12" t="str">
        <f aca="false">IF(OR(K112="",L112="",E112="",H112=""),"",K112*L112-E112*H112-IF(O112="",0,O112)-IF(P112="",0,P112))</f>
        <v/>
      </c>
      <c r="Y112" s="10" t="str">
        <f aca="false">IF(OR(X112="",E112="",H112=""),"",IF(E112*H112+IF(O112="",0,O112)&lt;=0,"",X112/(E112*H112+IF(O112="",0,O112))))</f>
        <v/>
      </c>
      <c r="Z112" s="10" t="str">
        <f aca="false">IF(OR(Y112="",多次统计数据!$B$8=""),"",Y112-多次统计数据!$B$8)</f>
        <v/>
      </c>
      <c r="AA112" s="13" t="str">
        <f aca="false">IF(OR(I112="",M112="",M112&lt;I112),"",M112-I112)</f>
        <v/>
      </c>
      <c r="AB112" s="10" t="str">
        <f aca="false">IF(OR(A112="",多次统计数据!$B$8="",多次统计数据!$B$6&lt;=0,多次统计数据!$B$6&gt;=1),"",1-POWER(1+多次统计数据!$B$8,-多次统计数据!$B$6/(1-多次统计数据!$B$6)))</f>
        <v/>
      </c>
      <c r="AC112" s="6" t="str">
        <f aca="false">IF(OR(AB112="",多次统计数据!$B$9=""),"",IF(多次统计数据!$B$9&lt;AB112,"低于上限","达到或超过上限"))</f>
        <v/>
      </c>
      <c r="AD112" s="2"/>
    </row>
    <row r="113" customFormat="false" ht="15" hidden="false" customHeight="false" outlineLevel="0" collapsed="false">
      <c r="A113" s="9"/>
      <c r="B113" s="9"/>
      <c r="C113" s="3"/>
      <c r="D113" s="4"/>
      <c r="E113" s="3"/>
      <c r="F113" s="5" t="str">
        <f aca="false">IF(OR(C113="",D113="",E113="",N113="",C113&lt;=0,D113&lt;=0,E113&lt;=N113),"",ROUNDDOWN((C113*D113)/(E113-N113)/100,0)*100)</f>
        <v/>
      </c>
      <c r="G113" s="6" t="str">
        <f aca="false">IF(OR(A113="",F113="",E113="",N113="",E113&lt;=N113,账户数据!$B$7=""),"",IF(账户数据!$B$9+IF(H113="",F113*(E113-N113),0)&gt;=账户数据!$B$7,"禁止开仓","允许开仓"))</f>
        <v/>
      </c>
      <c r="H113" s="7"/>
      <c r="I113" s="8"/>
      <c r="J113" s="3"/>
      <c r="K113" s="3"/>
      <c r="L113" s="5" t="str">
        <f aca="false">IF(K113="","",H113)</f>
        <v/>
      </c>
      <c r="M113" s="8"/>
      <c r="N113" s="3"/>
      <c r="O113" s="3"/>
      <c r="P113" s="3"/>
      <c r="Q113" s="9"/>
      <c r="R113" s="9"/>
      <c r="S113" s="9"/>
      <c r="T113" s="9"/>
      <c r="U113" s="10" t="str">
        <f aca="false">IF(OR(E113="",J113="",E113&lt;=0),"",(J113-E113)/E113)</f>
        <v/>
      </c>
      <c r="V113" s="10" t="str">
        <f aca="false">IF(OR(E113="",N113="",E113&lt;=0),"",(E113-N113)/E113)</f>
        <v/>
      </c>
      <c r="W113" s="11" t="str">
        <f aca="false">IF(OR(U113="",V113="",V113&lt;=0),"",U113/V113)</f>
        <v/>
      </c>
      <c r="X113" s="12" t="str">
        <f aca="false">IF(OR(K113="",L113="",E113="",H113=""),"",K113*L113-E113*H113-IF(O113="",0,O113)-IF(P113="",0,P113))</f>
        <v/>
      </c>
      <c r="Y113" s="10" t="str">
        <f aca="false">IF(OR(X113="",E113="",H113=""),"",IF(E113*H113+IF(O113="",0,O113)&lt;=0,"",X113/(E113*H113+IF(O113="",0,O113))))</f>
        <v/>
      </c>
      <c r="Z113" s="10" t="str">
        <f aca="false">IF(OR(Y113="",多次统计数据!$B$8=""),"",Y113-多次统计数据!$B$8)</f>
        <v/>
      </c>
      <c r="AA113" s="13" t="str">
        <f aca="false">IF(OR(I113="",M113="",M113&lt;I113),"",M113-I113)</f>
        <v/>
      </c>
      <c r="AB113" s="10" t="str">
        <f aca="false">IF(OR(A113="",多次统计数据!$B$8="",多次统计数据!$B$6&lt;=0,多次统计数据!$B$6&gt;=1),"",1-POWER(1+多次统计数据!$B$8,-多次统计数据!$B$6/(1-多次统计数据!$B$6)))</f>
        <v/>
      </c>
      <c r="AC113" s="6" t="str">
        <f aca="false">IF(OR(AB113="",多次统计数据!$B$9=""),"",IF(多次统计数据!$B$9&lt;AB113,"低于上限","达到或超过上限"))</f>
        <v/>
      </c>
      <c r="AD113" s="2"/>
    </row>
    <row r="114" customFormat="false" ht="15" hidden="false" customHeight="false" outlineLevel="0" collapsed="false">
      <c r="A114" s="9"/>
      <c r="B114" s="9"/>
      <c r="C114" s="3"/>
      <c r="D114" s="4"/>
      <c r="E114" s="3"/>
      <c r="F114" s="5" t="str">
        <f aca="false">IF(OR(C114="",D114="",E114="",N114="",C114&lt;=0,D114&lt;=0,E114&lt;=N114),"",ROUNDDOWN((C114*D114)/(E114-N114)/100,0)*100)</f>
        <v/>
      </c>
      <c r="G114" s="6" t="str">
        <f aca="false">IF(OR(A114="",F114="",E114="",N114="",E114&lt;=N114,账户数据!$B$7=""),"",IF(账户数据!$B$9+IF(H114="",F114*(E114-N114),0)&gt;=账户数据!$B$7,"禁止开仓","允许开仓"))</f>
        <v/>
      </c>
      <c r="H114" s="7"/>
      <c r="I114" s="8"/>
      <c r="J114" s="3"/>
      <c r="K114" s="3"/>
      <c r="L114" s="5" t="str">
        <f aca="false">IF(K114="","",H114)</f>
        <v/>
      </c>
      <c r="M114" s="8"/>
      <c r="N114" s="3"/>
      <c r="O114" s="3"/>
      <c r="P114" s="3"/>
      <c r="Q114" s="9"/>
      <c r="R114" s="9"/>
      <c r="S114" s="9"/>
      <c r="T114" s="9"/>
      <c r="U114" s="10" t="str">
        <f aca="false">IF(OR(E114="",J114="",E114&lt;=0),"",(J114-E114)/E114)</f>
        <v/>
      </c>
      <c r="V114" s="10" t="str">
        <f aca="false">IF(OR(E114="",N114="",E114&lt;=0),"",(E114-N114)/E114)</f>
        <v/>
      </c>
      <c r="W114" s="11" t="str">
        <f aca="false">IF(OR(U114="",V114="",V114&lt;=0),"",U114/V114)</f>
        <v/>
      </c>
      <c r="X114" s="12" t="str">
        <f aca="false">IF(OR(K114="",L114="",E114="",H114=""),"",K114*L114-E114*H114-IF(O114="",0,O114)-IF(P114="",0,P114))</f>
        <v/>
      </c>
      <c r="Y114" s="10" t="str">
        <f aca="false">IF(OR(X114="",E114="",H114=""),"",IF(E114*H114+IF(O114="",0,O114)&lt;=0,"",X114/(E114*H114+IF(O114="",0,O114))))</f>
        <v/>
      </c>
      <c r="Z114" s="10" t="str">
        <f aca="false">IF(OR(Y114="",多次统计数据!$B$8=""),"",Y114-多次统计数据!$B$8)</f>
        <v/>
      </c>
      <c r="AA114" s="13" t="str">
        <f aca="false">IF(OR(I114="",M114="",M114&lt;I114),"",M114-I114)</f>
        <v/>
      </c>
      <c r="AB114" s="10" t="str">
        <f aca="false">IF(OR(A114="",多次统计数据!$B$8="",多次统计数据!$B$6&lt;=0,多次统计数据!$B$6&gt;=1),"",1-POWER(1+多次统计数据!$B$8,-多次统计数据!$B$6/(1-多次统计数据!$B$6)))</f>
        <v/>
      </c>
      <c r="AC114" s="6" t="str">
        <f aca="false">IF(OR(AB114="",多次统计数据!$B$9=""),"",IF(多次统计数据!$B$9&lt;AB114,"低于上限","达到或超过上限"))</f>
        <v/>
      </c>
      <c r="AD114" s="2"/>
    </row>
    <row r="115" customFormat="false" ht="15" hidden="false" customHeight="false" outlineLevel="0" collapsed="false">
      <c r="A115" s="9"/>
      <c r="B115" s="9"/>
      <c r="C115" s="3"/>
      <c r="D115" s="4"/>
      <c r="E115" s="3"/>
      <c r="F115" s="5" t="str">
        <f aca="false">IF(OR(C115="",D115="",E115="",N115="",C115&lt;=0,D115&lt;=0,E115&lt;=N115),"",ROUNDDOWN((C115*D115)/(E115-N115)/100,0)*100)</f>
        <v/>
      </c>
      <c r="G115" s="6" t="str">
        <f aca="false">IF(OR(A115="",F115="",E115="",N115="",E115&lt;=N115,账户数据!$B$7=""),"",IF(账户数据!$B$9+IF(H115="",F115*(E115-N115),0)&gt;=账户数据!$B$7,"禁止开仓","允许开仓"))</f>
        <v/>
      </c>
      <c r="H115" s="7"/>
      <c r="I115" s="8"/>
      <c r="J115" s="3"/>
      <c r="K115" s="3"/>
      <c r="L115" s="5" t="str">
        <f aca="false">IF(K115="","",H115)</f>
        <v/>
      </c>
      <c r="M115" s="8"/>
      <c r="N115" s="3"/>
      <c r="O115" s="3"/>
      <c r="P115" s="3"/>
      <c r="Q115" s="9"/>
      <c r="R115" s="9"/>
      <c r="S115" s="9"/>
      <c r="T115" s="9"/>
      <c r="U115" s="10" t="str">
        <f aca="false">IF(OR(E115="",J115="",E115&lt;=0),"",(J115-E115)/E115)</f>
        <v/>
      </c>
      <c r="V115" s="10" t="str">
        <f aca="false">IF(OR(E115="",N115="",E115&lt;=0),"",(E115-N115)/E115)</f>
        <v/>
      </c>
      <c r="W115" s="11" t="str">
        <f aca="false">IF(OR(U115="",V115="",V115&lt;=0),"",U115/V115)</f>
        <v/>
      </c>
      <c r="X115" s="12" t="str">
        <f aca="false">IF(OR(K115="",L115="",E115="",H115=""),"",K115*L115-E115*H115-IF(O115="",0,O115)-IF(P115="",0,P115))</f>
        <v/>
      </c>
      <c r="Y115" s="10" t="str">
        <f aca="false">IF(OR(X115="",E115="",H115=""),"",IF(E115*H115+IF(O115="",0,O115)&lt;=0,"",X115/(E115*H115+IF(O115="",0,O115))))</f>
        <v/>
      </c>
      <c r="Z115" s="10" t="str">
        <f aca="false">IF(OR(Y115="",多次统计数据!$B$8=""),"",Y115-多次统计数据!$B$8)</f>
        <v/>
      </c>
      <c r="AA115" s="13" t="str">
        <f aca="false">IF(OR(I115="",M115="",M115&lt;I115),"",M115-I115)</f>
        <v/>
      </c>
      <c r="AB115" s="10" t="str">
        <f aca="false">IF(OR(A115="",多次统计数据!$B$8="",多次统计数据!$B$6&lt;=0,多次统计数据!$B$6&gt;=1),"",1-POWER(1+多次统计数据!$B$8,-多次统计数据!$B$6/(1-多次统计数据!$B$6)))</f>
        <v/>
      </c>
      <c r="AC115" s="6" t="str">
        <f aca="false">IF(OR(AB115="",多次统计数据!$B$9=""),"",IF(多次统计数据!$B$9&lt;AB115,"低于上限","达到或超过上限"))</f>
        <v/>
      </c>
      <c r="AD115" s="2"/>
    </row>
    <row r="116" customFormat="false" ht="15" hidden="false" customHeight="false" outlineLevel="0" collapsed="false">
      <c r="A116" s="9"/>
      <c r="B116" s="9"/>
      <c r="C116" s="3"/>
      <c r="D116" s="4"/>
      <c r="E116" s="3"/>
      <c r="F116" s="5" t="str">
        <f aca="false">IF(OR(C116="",D116="",E116="",N116="",C116&lt;=0,D116&lt;=0,E116&lt;=N116),"",ROUNDDOWN((C116*D116)/(E116-N116)/100,0)*100)</f>
        <v/>
      </c>
      <c r="G116" s="6" t="str">
        <f aca="false">IF(OR(A116="",F116="",E116="",N116="",E116&lt;=N116,账户数据!$B$7=""),"",IF(账户数据!$B$9+IF(H116="",F116*(E116-N116),0)&gt;=账户数据!$B$7,"禁止开仓","允许开仓"))</f>
        <v/>
      </c>
      <c r="H116" s="7"/>
      <c r="I116" s="8"/>
      <c r="J116" s="3"/>
      <c r="K116" s="3"/>
      <c r="L116" s="5" t="str">
        <f aca="false">IF(K116="","",H116)</f>
        <v/>
      </c>
      <c r="M116" s="8"/>
      <c r="N116" s="3"/>
      <c r="O116" s="3"/>
      <c r="P116" s="3"/>
      <c r="Q116" s="9"/>
      <c r="R116" s="9"/>
      <c r="S116" s="9"/>
      <c r="T116" s="9"/>
      <c r="U116" s="10" t="str">
        <f aca="false">IF(OR(E116="",J116="",E116&lt;=0),"",(J116-E116)/E116)</f>
        <v/>
      </c>
      <c r="V116" s="10" t="str">
        <f aca="false">IF(OR(E116="",N116="",E116&lt;=0),"",(E116-N116)/E116)</f>
        <v/>
      </c>
      <c r="W116" s="11" t="str">
        <f aca="false">IF(OR(U116="",V116="",V116&lt;=0),"",U116/V116)</f>
        <v/>
      </c>
      <c r="X116" s="12" t="str">
        <f aca="false">IF(OR(K116="",L116="",E116="",H116=""),"",K116*L116-E116*H116-IF(O116="",0,O116)-IF(P116="",0,P116))</f>
        <v/>
      </c>
      <c r="Y116" s="10" t="str">
        <f aca="false">IF(OR(X116="",E116="",H116=""),"",IF(E116*H116+IF(O116="",0,O116)&lt;=0,"",X116/(E116*H116+IF(O116="",0,O116))))</f>
        <v/>
      </c>
      <c r="Z116" s="10" t="str">
        <f aca="false">IF(OR(Y116="",多次统计数据!$B$8=""),"",Y116-多次统计数据!$B$8)</f>
        <v/>
      </c>
      <c r="AA116" s="13" t="str">
        <f aca="false">IF(OR(I116="",M116="",M116&lt;I116),"",M116-I116)</f>
        <v/>
      </c>
      <c r="AB116" s="10" t="str">
        <f aca="false">IF(OR(A116="",多次统计数据!$B$8="",多次统计数据!$B$6&lt;=0,多次统计数据!$B$6&gt;=1),"",1-POWER(1+多次统计数据!$B$8,-多次统计数据!$B$6/(1-多次统计数据!$B$6)))</f>
        <v/>
      </c>
      <c r="AC116" s="6" t="str">
        <f aca="false">IF(OR(AB116="",多次统计数据!$B$9=""),"",IF(多次统计数据!$B$9&lt;AB116,"低于上限","达到或超过上限"))</f>
        <v/>
      </c>
      <c r="AD116" s="2"/>
    </row>
    <row r="117" customFormat="false" ht="15" hidden="false" customHeight="false" outlineLevel="0" collapsed="false">
      <c r="A117" s="9"/>
      <c r="B117" s="9"/>
      <c r="C117" s="3"/>
      <c r="D117" s="4"/>
      <c r="E117" s="3"/>
      <c r="F117" s="5" t="str">
        <f aca="false">IF(OR(C117="",D117="",E117="",N117="",C117&lt;=0,D117&lt;=0,E117&lt;=N117),"",ROUNDDOWN((C117*D117)/(E117-N117)/100,0)*100)</f>
        <v/>
      </c>
      <c r="G117" s="6" t="str">
        <f aca="false">IF(OR(A117="",F117="",E117="",N117="",E117&lt;=N117,账户数据!$B$7=""),"",IF(账户数据!$B$9+IF(H117="",F117*(E117-N117),0)&gt;=账户数据!$B$7,"禁止开仓","允许开仓"))</f>
        <v/>
      </c>
      <c r="H117" s="7"/>
      <c r="I117" s="8"/>
      <c r="J117" s="3"/>
      <c r="K117" s="3"/>
      <c r="L117" s="5" t="str">
        <f aca="false">IF(K117="","",H117)</f>
        <v/>
      </c>
      <c r="M117" s="8"/>
      <c r="N117" s="3"/>
      <c r="O117" s="3"/>
      <c r="P117" s="3"/>
      <c r="Q117" s="9"/>
      <c r="R117" s="9"/>
      <c r="S117" s="9"/>
      <c r="T117" s="9"/>
      <c r="U117" s="10" t="str">
        <f aca="false">IF(OR(E117="",J117="",E117&lt;=0),"",(J117-E117)/E117)</f>
        <v/>
      </c>
      <c r="V117" s="10" t="str">
        <f aca="false">IF(OR(E117="",N117="",E117&lt;=0),"",(E117-N117)/E117)</f>
        <v/>
      </c>
      <c r="W117" s="11" t="str">
        <f aca="false">IF(OR(U117="",V117="",V117&lt;=0),"",U117/V117)</f>
        <v/>
      </c>
      <c r="X117" s="12" t="str">
        <f aca="false">IF(OR(K117="",L117="",E117="",H117=""),"",K117*L117-E117*H117-IF(O117="",0,O117)-IF(P117="",0,P117))</f>
        <v/>
      </c>
      <c r="Y117" s="10" t="str">
        <f aca="false">IF(OR(X117="",E117="",H117=""),"",IF(E117*H117+IF(O117="",0,O117)&lt;=0,"",X117/(E117*H117+IF(O117="",0,O117))))</f>
        <v/>
      </c>
      <c r="Z117" s="10" t="str">
        <f aca="false">IF(OR(Y117="",多次统计数据!$B$8=""),"",Y117-多次统计数据!$B$8)</f>
        <v/>
      </c>
      <c r="AA117" s="13" t="str">
        <f aca="false">IF(OR(I117="",M117="",M117&lt;I117),"",M117-I117)</f>
        <v/>
      </c>
      <c r="AB117" s="10" t="str">
        <f aca="false">IF(OR(A117="",多次统计数据!$B$8="",多次统计数据!$B$6&lt;=0,多次统计数据!$B$6&gt;=1),"",1-POWER(1+多次统计数据!$B$8,-多次统计数据!$B$6/(1-多次统计数据!$B$6)))</f>
        <v/>
      </c>
      <c r="AC117" s="6" t="str">
        <f aca="false">IF(OR(AB117="",多次统计数据!$B$9=""),"",IF(多次统计数据!$B$9&lt;AB117,"低于上限","达到或超过上限"))</f>
        <v/>
      </c>
      <c r="AD117" s="2"/>
    </row>
    <row r="118" customFormat="false" ht="15" hidden="false" customHeight="false" outlineLevel="0" collapsed="false">
      <c r="A118" s="9"/>
      <c r="B118" s="9"/>
      <c r="C118" s="3"/>
      <c r="D118" s="4"/>
      <c r="E118" s="3"/>
      <c r="F118" s="5" t="str">
        <f aca="false">IF(OR(C118="",D118="",E118="",N118="",C118&lt;=0,D118&lt;=0,E118&lt;=N118),"",ROUNDDOWN((C118*D118)/(E118-N118)/100,0)*100)</f>
        <v/>
      </c>
      <c r="G118" s="6" t="str">
        <f aca="false">IF(OR(A118="",F118="",E118="",N118="",E118&lt;=N118,账户数据!$B$7=""),"",IF(账户数据!$B$9+IF(H118="",F118*(E118-N118),0)&gt;=账户数据!$B$7,"禁止开仓","允许开仓"))</f>
        <v/>
      </c>
      <c r="H118" s="7"/>
      <c r="I118" s="8"/>
      <c r="J118" s="3"/>
      <c r="K118" s="3"/>
      <c r="L118" s="5" t="str">
        <f aca="false">IF(K118="","",H118)</f>
        <v/>
      </c>
      <c r="M118" s="8"/>
      <c r="N118" s="3"/>
      <c r="O118" s="3"/>
      <c r="P118" s="3"/>
      <c r="Q118" s="9"/>
      <c r="R118" s="9"/>
      <c r="S118" s="9"/>
      <c r="T118" s="9"/>
      <c r="U118" s="10" t="str">
        <f aca="false">IF(OR(E118="",J118="",E118&lt;=0),"",(J118-E118)/E118)</f>
        <v/>
      </c>
      <c r="V118" s="10" t="str">
        <f aca="false">IF(OR(E118="",N118="",E118&lt;=0),"",(E118-N118)/E118)</f>
        <v/>
      </c>
      <c r="W118" s="11" t="str">
        <f aca="false">IF(OR(U118="",V118="",V118&lt;=0),"",U118/V118)</f>
        <v/>
      </c>
      <c r="X118" s="12" t="str">
        <f aca="false">IF(OR(K118="",L118="",E118="",H118=""),"",K118*L118-E118*H118-IF(O118="",0,O118)-IF(P118="",0,P118))</f>
        <v/>
      </c>
      <c r="Y118" s="10" t="str">
        <f aca="false">IF(OR(X118="",E118="",H118=""),"",IF(E118*H118+IF(O118="",0,O118)&lt;=0,"",X118/(E118*H118+IF(O118="",0,O118))))</f>
        <v/>
      </c>
      <c r="Z118" s="10" t="str">
        <f aca="false">IF(OR(Y118="",多次统计数据!$B$8=""),"",Y118-多次统计数据!$B$8)</f>
        <v/>
      </c>
      <c r="AA118" s="13" t="str">
        <f aca="false">IF(OR(I118="",M118="",M118&lt;I118),"",M118-I118)</f>
        <v/>
      </c>
      <c r="AB118" s="10" t="str">
        <f aca="false">IF(OR(A118="",多次统计数据!$B$8="",多次统计数据!$B$6&lt;=0,多次统计数据!$B$6&gt;=1),"",1-POWER(1+多次统计数据!$B$8,-多次统计数据!$B$6/(1-多次统计数据!$B$6)))</f>
        <v/>
      </c>
      <c r="AC118" s="6" t="str">
        <f aca="false">IF(OR(AB118="",多次统计数据!$B$9=""),"",IF(多次统计数据!$B$9&lt;AB118,"低于上限","达到或超过上限"))</f>
        <v/>
      </c>
      <c r="AD118" s="2"/>
    </row>
    <row r="119" customFormat="false" ht="15" hidden="false" customHeight="false" outlineLevel="0" collapsed="false">
      <c r="A119" s="9"/>
      <c r="B119" s="9"/>
      <c r="C119" s="3"/>
      <c r="D119" s="4"/>
      <c r="E119" s="3"/>
      <c r="F119" s="5" t="str">
        <f aca="false">IF(OR(C119="",D119="",E119="",N119="",C119&lt;=0,D119&lt;=0,E119&lt;=N119),"",ROUNDDOWN((C119*D119)/(E119-N119)/100,0)*100)</f>
        <v/>
      </c>
      <c r="G119" s="6" t="str">
        <f aca="false">IF(OR(A119="",F119="",E119="",N119="",E119&lt;=N119,账户数据!$B$7=""),"",IF(账户数据!$B$9+IF(H119="",F119*(E119-N119),0)&gt;=账户数据!$B$7,"禁止开仓","允许开仓"))</f>
        <v/>
      </c>
      <c r="H119" s="7"/>
      <c r="I119" s="8"/>
      <c r="J119" s="3"/>
      <c r="K119" s="3"/>
      <c r="L119" s="5" t="str">
        <f aca="false">IF(K119="","",H119)</f>
        <v/>
      </c>
      <c r="M119" s="8"/>
      <c r="N119" s="3"/>
      <c r="O119" s="3"/>
      <c r="P119" s="3"/>
      <c r="Q119" s="9"/>
      <c r="R119" s="9"/>
      <c r="S119" s="9"/>
      <c r="T119" s="9"/>
      <c r="U119" s="10" t="str">
        <f aca="false">IF(OR(E119="",J119="",E119&lt;=0),"",(J119-E119)/E119)</f>
        <v/>
      </c>
      <c r="V119" s="10" t="str">
        <f aca="false">IF(OR(E119="",N119="",E119&lt;=0),"",(E119-N119)/E119)</f>
        <v/>
      </c>
      <c r="W119" s="11" t="str">
        <f aca="false">IF(OR(U119="",V119="",V119&lt;=0),"",U119/V119)</f>
        <v/>
      </c>
      <c r="X119" s="12" t="str">
        <f aca="false">IF(OR(K119="",L119="",E119="",H119=""),"",K119*L119-E119*H119-IF(O119="",0,O119)-IF(P119="",0,P119))</f>
        <v/>
      </c>
      <c r="Y119" s="10" t="str">
        <f aca="false">IF(OR(X119="",E119="",H119=""),"",IF(E119*H119+IF(O119="",0,O119)&lt;=0,"",X119/(E119*H119+IF(O119="",0,O119))))</f>
        <v/>
      </c>
      <c r="Z119" s="10" t="str">
        <f aca="false">IF(OR(Y119="",多次统计数据!$B$8=""),"",Y119-多次统计数据!$B$8)</f>
        <v/>
      </c>
      <c r="AA119" s="13" t="str">
        <f aca="false">IF(OR(I119="",M119="",M119&lt;I119),"",M119-I119)</f>
        <v/>
      </c>
      <c r="AB119" s="10" t="str">
        <f aca="false">IF(OR(A119="",多次统计数据!$B$8="",多次统计数据!$B$6&lt;=0,多次统计数据!$B$6&gt;=1),"",1-POWER(1+多次统计数据!$B$8,-多次统计数据!$B$6/(1-多次统计数据!$B$6)))</f>
        <v/>
      </c>
      <c r="AC119" s="6" t="str">
        <f aca="false">IF(OR(AB119="",多次统计数据!$B$9=""),"",IF(多次统计数据!$B$9&lt;AB119,"低于上限","达到或超过上限"))</f>
        <v/>
      </c>
      <c r="AD119" s="2"/>
    </row>
    <row r="120" customFormat="false" ht="15" hidden="false" customHeight="false" outlineLevel="0" collapsed="false">
      <c r="A120" s="9"/>
      <c r="B120" s="9"/>
      <c r="C120" s="3"/>
      <c r="D120" s="4"/>
      <c r="E120" s="3"/>
      <c r="F120" s="5" t="str">
        <f aca="false">IF(OR(C120="",D120="",E120="",N120="",C120&lt;=0,D120&lt;=0,E120&lt;=N120),"",ROUNDDOWN((C120*D120)/(E120-N120)/100,0)*100)</f>
        <v/>
      </c>
      <c r="G120" s="6" t="str">
        <f aca="false">IF(OR(A120="",F120="",E120="",N120="",E120&lt;=N120,账户数据!$B$7=""),"",IF(账户数据!$B$9+IF(H120="",F120*(E120-N120),0)&gt;=账户数据!$B$7,"禁止开仓","允许开仓"))</f>
        <v/>
      </c>
      <c r="H120" s="7"/>
      <c r="I120" s="8"/>
      <c r="J120" s="3"/>
      <c r="K120" s="3"/>
      <c r="L120" s="5" t="str">
        <f aca="false">IF(K120="","",H120)</f>
        <v/>
      </c>
      <c r="M120" s="8"/>
      <c r="N120" s="3"/>
      <c r="O120" s="3"/>
      <c r="P120" s="3"/>
      <c r="Q120" s="9"/>
      <c r="R120" s="9"/>
      <c r="S120" s="9"/>
      <c r="T120" s="9"/>
      <c r="U120" s="10" t="str">
        <f aca="false">IF(OR(E120="",J120="",E120&lt;=0),"",(J120-E120)/E120)</f>
        <v/>
      </c>
      <c r="V120" s="10" t="str">
        <f aca="false">IF(OR(E120="",N120="",E120&lt;=0),"",(E120-N120)/E120)</f>
        <v/>
      </c>
      <c r="W120" s="11" t="str">
        <f aca="false">IF(OR(U120="",V120="",V120&lt;=0),"",U120/V120)</f>
        <v/>
      </c>
      <c r="X120" s="12" t="str">
        <f aca="false">IF(OR(K120="",L120="",E120="",H120=""),"",K120*L120-E120*H120-IF(O120="",0,O120)-IF(P120="",0,P120))</f>
        <v/>
      </c>
      <c r="Y120" s="10" t="str">
        <f aca="false">IF(OR(X120="",E120="",H120=""),"",IF(E120*H120+IF(O120="",0,O120)&lt;=0,"",X120/(E120*H120+IF(O120="",0,O120))))</f>
        <v/>
      </c>
      <c r="Z120" s="10" t="str">
        <f aca="false">IF(OR(Y120="",多次统计数据!$B$8=""),"",Y120-多次统计数据!$B$8)</f>
        <v/>
      </c>
      <c r="AA120" s="13" t="str">
        <f aca="false">IF(OR(I120="",M120="",M120&lt;I120),"",M120-I120)</f>
        <v/>
      </c>
      <c r="AB120" s="10" t="str">
        <f aca="false">IF(OR(A120="",多次统计数据!$B$8="",多次统计数据!$B$6&lt;=0,多次统计数据!$B$6&gt;=1),"",1-POWER(1+多次统计数据!$B$8,-多次统计数据!$B$6/(1-多次统计数据!$B$6)))</f>
        <v/>
      </c>
      <c r="AC120" s="6" t="str">
        <f aca="false">IF(OR(AB120="",多次统计数据!$B$9=""),"",IF(多次统计数据!$B$9&lt;AB120,"低于上限","达到或超过上限"))</f>
        <v/>
      </c>
      <c r="AD120" s="2"/>
    </row>
    <row r="121" customFormat="false" ht="15" hidden="false" customHeight="false" outlineLevel="0" collapsed="false">
      <c r="A121" s="9"/>
      <c r="B121" s="9"/>
      <c r="C121" s="3"/>
      <c r="D121" s="4"/>
      <c r="E121" s="3"/>
      <c r="F121" s="5" t="str">
        <f aca="false">IF(OR(C121="",D121="",E121="",N121="",C121&lt;=0,D121&lt;=0,E121&lt;=N121),"",ROUNDDOWN((C121*D121)/(E121-N121)/100,0)*100)</f>
        <v/>
      </c>
      <c r="G121" s="6" t="str">
        <f aca="false">IF(OR(A121="",F121="",E121="",N121="",E121&lt;=N121,账户数据!$B$7=""),"",IF(账户数据!$B$9+IF(H121="",F121*(E121-N121),0)&gt;=账户数据!$B$7,"禁止开仓","允许开仓"))</f>
        <v/>
      </c>
      <c r="H121" s="7"/>
      <c r="I121" s="8"/>
      <c r="J121" s="3"/>
      <c r="K121" s="3"/>
      <c r="L121" s="5" t="str">
        <f aca="false">IF(K121="","",H121)</f>
        <v/>
      </c>
      <c r="M121" s="8"/>
      <c r="N121" s="3"/>
      <c r="O121" s="3"/>
      <c r="P121" s="3"/>
      <c r="Q121" s="9"/>
      <c r="R121" s="9"/>
      <c r="S121" s="9"/>
      <c r="T121" s="9"/>
      <c r="U121" s="10" t="str">
        <f aca="false">IF(OR(E121="",J121="",E121&lt;=0),"",(J121-E121)/E121)</f>
        <v/>
      </c>
      <c r="V121" s="10" t="str">
        <f aca="false">IF(OR(E121="",N121="",E121&lt;=0),"",(E121-N121)/E121)</f>
        <v/>
      </c>
      <c r="W121" s="11" t="str">
        <f aca="false">IF(OR(U121="",V121="",V121&lt;=0),"",U121/V121)</f>
        <v/>
      </c>
      <c r="X121" s="12" t="str">
        <f aca="false">IF(OR(K121="",L121="",E121="",H121=""),"",K121*L121-E121*H121-IF(O121="",0,O121)-IF(P121="",0,P121))</f>
        <v/>
      </c>
      <c r="Y121" s="10" t="str">
        <f aca="false">IF(OR(X121="",E121="",H121=""),"",IF(E121*H121+IF(O121="",0,O121)&lt;=0,"",X121/(E121*H121+IF(O121="",0,O121))))</f>
        <v/>
      </c>
      <c r="Z121" s="10" t="str">
        <f aca="false">IF(OR(Y121="",多次统计数据!$B$8=""),"",Y121-多次统计数据!$B$8)</f>
        <v/>
      </c>
      <c r="AA121" s="13" t="str">
        <f aca="false">IF(OR(I121="",M121="",M121&lt;I121),"",M121-I121)</f>
        <v/>
      </c>
      <c r="AB121" s="10" t="str">
        <f aca="false">IF(OR(A121="",多次统计数据!$B$8="",多次统计数据!$B$6&lt;=0,多次统计数据!$B$6&gt;=1),"",1-POWER(1+多次统计数据!$B$8,-多次统计数据!$B$6/(1-多次统计数据!$B$6)))</f>
        <v/>
      </c>
      <c r="AC121" s="6" t="str">
        <f aca="false">IF(OR(AB121="",多次统计数据!$B$9=""),"",IF(多次统计数据!$B$9&lt;AB121,"低于上限","达到或超过上限"))</f>
        <v/>
      </c>
      <c r="AD121" s="2"/>
    </row>
    <row r="122" customFormat="false" ht="15" hidden="false" customHeight="false" outlineLevel="0" collapsed="false">
      <c r="A122" s="9"/>
      <c r="B122" s="9"/>
      <c r="C122" s="3"/>
      <c r="D122" s="4"/>
      <c r="E122" s="3"/>
      <c r="F122" s="5" t="str">
        <f aca="false">IF(OR(C122="",D122="",E122="",N122="",C122&lt;=0,D122&lt;=0,E122&lt;=N122),"",ROUNDDOWN((C122*D122)/(E122-N122)/100,0)*100)</f>
        <v/>
      </c>
      <c r="G122" s="6" t="str">
        <f aca="false">IF(OR(A122="",F122="",E122="",N122="",E122&lt;=N122,账户数据!$B$7=""),"",IF(账户数据!$B$9+IF(H122="",F122*(E122-N122),0)&gt;=账户数据!$B$7,"禁止开仓","允许开仓"))</f>
        <v/>
      </c>
      <c r="H122" s="7"/>
      <c r="I122" s="8"/>
      <c r="J122" s="3"/>
      <c r="K122" s="3"/>
      <c r="L122" s="5" t="str">
        <f aca="false">IF(K122="","",H122)</f>
        <v/>
      </c>
      <c r="M122" s="8"/>
      <c r="N122" s="3"/>
      <c r="O122" s="3"/>
      <c r="P122" s="3"/>
      <c r="Q122" s="9"/>
      <c r="R122" s="9"/>
      <c r="S122" s="9"/>
      <c r="T122" s="9"/>
      <c r="U122" s="10" t="str">
        <f aca="false">IF(OR(E122="",J122="",E122&lt;=0),"",(J122-E122)/E122)</f>
        <v/>
      </c>
      <c r="V122" s="10" t="str">
        <f aca="false">IF(OR(E122="",N122="",E122&lt;=0),"",(E122-N122)/E122)</f>
        <v/>
      </c>
      <c r="W122" s="11" t="str">
        <f aca="false">IF(OR(U122="",V122="",V122&lt;=0),"",U122/V122)</f>
        <v/>
      </c>
      <c r="X122" s="12" t="str">
        <f aca="false">IF(OR(K122="",L122="",E122="",H122=""),"",K122*L122-E122*H122-IF(O122="",0,O122)-IF(P122="",0,P122))</f>
        <v/>
      </c>
      <c r="Y122" s="10" t="str">
        <f aca="false">IF(OR(X122="",E122="",H122=""),"",IF(E122*H122+IF(O122="",0,O122)&lt;=0,"",X122/(E122*H122+IF(O122="",0,O122))))</f>
        <v/>
      </c>
      <c r="Z122" s="10" t="str">
        <f aca="false">IF(OR(Y122="",多次统计数据!$B$8=""),"",Y122-多次统计数据!$B$8)</f>
        <v/>
      </c>
      <c r="AA122" s="13" t="str">
        <f aca="false">IF(OR(I122="",M122="",M122&lt;I122),"",M122-I122)</f>
        <v/>
      </c>
      <c r="AB122" s="10" t="str">
        <f aca="false">IF(OR(A122="",多次统计数据!$B$8="",多次统计数据!$B$6&lt;=0,多次统计数据!$B$6&gt;=1),"",1-POWER(1+多次统计数据!$B$8,-多次统计数据!$B$6/(1-多次统计数据!$B$6)))</f>
        <v/>
      </c>
      <c r="AC122" s="6" t="str">
        <f aca="false">IF(OR(AB122="",多次统计数据!$B$9=""),"",IF(多次统计数据!$B$9&lt;AB122,"低于上限","达到或超过上限"))</f>
        <v/>
      </c>
      <c r="AD122" s="2"/>
    </row>
    <row r="123" customFormat="false" ht="15" hidden="false" customHeight="false" outlineLevel="0" collapsed="false">
      <c r="A123" s="9"/>
      <c r="B123" s="9"/>
      <c r="C123" s="3"/>
      <c r="D123" s="4"/>
      <c r="E123" s="3"/>
      <c r="F123" s="5" t="str">
        <f aca="false">IF(OR(C123="",D123="",E123="",N123="",C123&lt;=0,D123&lt;=0,E123&lt;=N123),"",ROUNDDOWN((C123*D123)/(E123-N123)/100,0)*100)</f>
        <v/>
      </c>
      <c r="G123" s="6" t="str">
        <f aca="false">IF(OR(A123="",F123="",E123="",N123="",E123&lt;=N123,账户数据!$B$7=""),"",IF(账户数据!$B$9+IF(H123="",F123*(E123-N123),0)&gt;=账户数据!$B$7,"禁止开仓","允许开仓"))</f>
        <v/>
      </c>
      <c r="H123" s="7"/>
      <c r="I123" s="8"/>
      <c r="J123" s="3"/>
      <c r="K123" s="3"/>
      <c r="L123" s="5" t="str">
        <f aca="false">IF(K123="","",H123)</f>
        <v/>
      </c>
      <c r="M123" s="8"/>
      <c r="N123" s="3"/>
      <c r="O123" s="3"/>
      <c r="P123" s="3"/>
      <c r="Q123" s="9"/>
      <c r="R123" s="9"/>
      <c r="S123" s="9"/>
      <c r="T123" s="9"/>
      <c r="U123" s="10" t="str">
        <f aca="false">IF(OR(E123="",J123="",E123&lt;=0),"",(J123-E123)/E123)</f>
        <v/>
      </c>
      <c r="V123" s="10" t="str">
        <f aca="false">IF(OR(E123="",N123="",E123&lt;=0),"",(E123-N123)/E123)</f>
        <v/>
      </c>
      <c r="W123" s="11" t="str">
        <f aca="false">IF(OR(U123="",V123="",V123&lt;=0),"",U123/V123)</f>
        <v/>
      </c>
      <c r="X123" s="12" t="str">
        <f aca="false">IF(OR(K123="",L123="",E123="",H123=""),"",K123*L123-E123*H123-IF(O123="",0,O123)-IF(P123="",0,P123))</f>
        <v/>
      </c>
      <c r="Y123" s="10" t="str">
        <f aca="false">IF(OR(X123="",E123="",H123=""),"",IF(E123*H123+IF(O123="",0,O123)&lt;=0,"",X123/(E123*H123+IF(O123="",0,O123))))</f>
        <v/>
      </c>
      <c r="Z123" s="10" t="str">
        <f aca="false">IF(OR(Y123="",多次统计数据!$B$8=""),"",Y123-多次统计数据!$B$8)</f>
        <v/>
      </c>
      <c r="AA123" s="13" t="str">
        <f aca="false">IF(OR(I123="",M123="",M123&lt;I123),"",M123-I123)</f>
        <v/>
      </c>
      <c r="AB123" s="10" t="str">
        <f aca="false">IF(OR(A123="",多次统计数据!$B$8="",多次统计数据!$B$6&lt;=0,多次统计数据!$B$6&gt;=1),"",1-POWER(1+多次统计数据!$B$8,-多次统计数据!$B$6/(1-多次统计数据!$B$6)))</f>
        <v/>
      </c>
      <c r="AC123" s="6" t="str">
        <f aca="false">IF(OR(AB123="",多次统计数据!$B$9=""),"",IF(多次统计数据!$B$9&lt;AB123,"低于上限","达到或超过上限"))</f>
        <v/>
      </c>
      <c r="AD123" s="2"/>
    </row>
    <row r="124" customFormat="false" ht="15" hidden="false" customHeight="false" outlineLevel="0" collapsed="false">
      <c r="A124" s="9"/>
      <c r="B124" s="9"/>
      <c r="C124" s="3"/>
      <c r="D124" s="4"/>
      <c r="E124" s="3"/>
      <c r="F124" s="5" t="str">
        <f aca="false">IF(OR(C124="",D124="",E124="",N124="",C124&lt;=0,D124&lt;=0,E124&lt;=N124),"",ROUNDDOWN((C124*D124)/(E124-N124)/100,0)*100)</f>
        <v/>
      </c>
      <c r="G124" s="6" t="str">
        <f aca="false">IF(OR(A124="",F124="",E124="",N124="",E124&lt;=N124,账户数据!$B$7=""),"",IF(账户数据!$B$9+IF(H124="",F124*(E124-N124),0)&gt;=账户数据!$B$7,"禁止开仓","允许开仓"))</f>
        <v/>
      </c>
      <c r="H124" s="7"/>
      <c r="I124" s="8"/>
      <c r="J124" s="3"/>
      <c r="K124" s="3"/>
      <c r="L124" s="5" t="str">
        <f aca="false">IF(K124="","",H124)</f>
        <v/>
      </c>
      <c r="M124" s="8"/>
      <c r="N124" s="3"/>
      <c r="O124" s="3"/>
      <c r="P124" s="3"/>
      <c r="Q124" s="9"/>
      <c r="R124" s="9"/>
      <c r="S124" s="9"/>
      <c r="T124" s="9"/>
      <c r="U124" s="10" t="str">
        <f aca="false">IF(OR(E124="",J124="",E124&lt;=0),"",(J124-E124)/E124)</f>
        <v/>
      </c>
      <c r="V124" s="10" t="str">
        <f aca="false">IF(OR(E124="",N124="",E124&lt;=0),"",(E124-N124)/E124)</f>
        <v/>
      </c>
      <c r="W124" s="11" t="str">
        <f aca="false">IF(OR(U124="",V124="",V124&lt;=0),"",U124/V124)</f>
        <v/>
      </c>
      <c r="X124" s="12" t="str">
        <f aca="false">IF(OR(K124="",L124="",E124="",H124=""),"",K124*L124-E124*H124-IF(O124="",0,O124)-IF(P124="",0,P124))</f>
        <v/>
      </c>
      <c r="Y124" s="10" t="str">
        <f aca="false">IF(OR(X124="",E124="",H124=""),"",IF(E124*H124+IF(O124="",0,O124)&lt;=0,"",X124/(E124*H124+IF(O124="",0,O124))))</f>
        <v/>
      </c>
      <c r="Z124" s="10" t="str">
        <f aca="false">IF(OR(Y124="",多次统计数据!$B$8=""),"",Y124-多次统计数据!$B$8)</f>
        <v/>
      </c>
      <c r="AA124" s="13" t="str">
        <f aca="false">IF(OR(I124="",M124="",M124&lt;I124),"",M124-I124)</f>
        <v/>
      </c>
      <c r="AB124" s="10" t="str">
        <f aca="false">IF(OR(A124="",多次统计数据!$B$8="",多次统计数据!$B$6&lt;=0,多次统计数据!$B$6&gt;=1),"",1-POWER(1+多次统计数据!$B$8,-多次统计数据!$B$6/(1-多次统计数据!$B$6)))</f>
        <v/>
      </c>
      <c r="AC124" s="6" t="str">
        <f aca="false">IF(OR(AB124="",多次统计数据!$B$9=""),"",IF(多次统计数据!$B$9&lt;AB124,"低于上限","达到或超过上限"))</f>
        <v/>
      </c>
      <c r="AD124" s="2"/>
    </row>
    <row r="125" customFormat="false" ht="15" hidden="false" customHeight="false" outlineLevel="0" collapsed="false">
      <c r="A125" s="9"/>
      <c r="B125" s="9"/>
      <c r="C125" s="3"/>
      <c r="D125" s="4"/>
      <c r="E125" s="3"/>
      <c r="F125" s="5" t="str">
        <f aca="false">IF(OR(C125="",D125="",E125="",N125="",C125&lt;=0,D125&lt;=0,E125&lt;=N125),"",ROUNDDOWN((C125*D125)/(E125-N125)/100,0)*100)</f>
        <v/>
      </c>
      <c r="G125" s="6" t="str">
        <f aca="false">IF(OR(A125="",F125="",E125="",N125="",E125&lt;=N125,账户数据!$B$7=""),"",IF(账户数据!$B$9+IF(H125="",F125*(E125-N125),0)&gt;=账户数据!$B$7,"禁止开仓","允许开仓"))</f>
        <v/>
      </c>
      <c r="H125" s="7"/>
      <c r="I125" s="8"/>
      <c r="J125" s="3"/>
      <c r="K125" s="3"/>
      <c r="L125" s="5" t="str">
        <f aca="false">IF(K125="","",H125)</f>
        <v/>
      </c>
      <c r="M125" s="8"/>
      <c r="N125" s="3"/>
      <c r="O125" s="3"/>
      <c r="P125" s="3"/>
      <c r="Q125" s="9"/>
      <c r="R125" s="9"/>
      <c r="S125" s="9"/>
      <c r="T125" s="9"/>
      <c r="U125" s="10" t="str">
        <f aca="false">IF(OR(E125="",J125="",E125&lt;=0),"",(J125-E125)/E125)</f>
        <v/>
      </c>
      <c r="V125" s="10" t="str">
        <f aca="false">IF(OR(E125="",N125="",E125&lt;=0),"",(E125-N125)/E125)</f>
        <v/>
      </c>
      <c r="W125" s="11" t="str">
        <f aca="false">IF(OR(U125="",V125="",V125&lt;=0),"",U125/V125)</f>
        <v/>
      </c>
      <c r="X125" s="12" t="str">
        <f aca="false">IF(OR(K125="",L125="",E125="",H125=""),"",K125*L125-E125*H125-IF(O125="",0,O125)-IF(P125="",0,P125))</f>
        <v/>
      </c>
      <c r="Y125" s="10" t="str">
        <f aca="false">IF(OR(X125="",E125="",H125=""),"",IF(E125*H125+IF(O125="",0,O125)&lt;=0,"",X125/(E125*H125+IF(O125="",0,O125))))</f>
        <v/>
      </c>
      <c r="Z125" s="10" t="str">
        <f aca="false">IF(OR(Y125="",多次统计数据!$B$8=""),"",Y125-多次统计数据!$B$8)</f>
        <v/>
      </c>
      <c r="AA125" s="13" t="str">
        <f aca="false">IF(OR(I125="",M125="",M125&lt;I125),"",M125-I125)</f>
        <v/>
      </c>
      <c r="AB125" s="10" t="str">
        <f aca="false">IF(OR(A125="",多次统计数据!$B$8="",多次统计数据!$B$6&lt;=0,多次统计数据!$B$6&gt;=1),"",1-POWER(1+多次统计数据!$B$8,-多次统计数据!$B$6/(1-多次统计数据!$B$6)))</f>
        <v/>
      </c>
      <c r="AC125" s="6" t="str">
        <f aca="false">IF(OR(AB125="",多次统计数据!$B$9=""),"",IF(多次统计数据!$B$9&lt;AB125,"低于上限","达到或超过上限"))</f>
        <v/>
      </c>
      <c r="AD125" s="2"/>
    </row>
    <row r="126" customFormat="false" ht="15" hidden="false" customHeight="false" outlineLevel="0" collapsed="false">
      <c r="A126" s="9"/>
      <c r="B126" s="9"/>
      <c r="C126" s="3"/>
      <c r="D126" s="4"/>
      <c r="E126" s="3"/>
      <c r="F126" s="5" t="str">
        <f aca="false">IF(OR(C126="",D126="",E126="",N126="",C126&lt;=0,D126&lt;=0,E126&lt;=N126),"",ROUNDDOWN((C126*D126)/(E126-N126)/100,0)*100)</f>
        <v/>
      </c>
      <c r="G126" s="6" t="str">
        <f aca="false">IF(OR(A126="",F126="",E126="",N126="",E126&lt;=N126,账户数据!$B$7=""),"",IF(账户数据!$B$9+IF(H126="",F126*(E126-N126),0)&gt;=账户数据!$B$7,"禁止开仓","允许开仓"))</f>
        <v/>
      </c>
      <c r="H126" s="7"/>
      <c r="I126" s="8"/>
      <c r="J126" s="3"/>
      <c r="K126" s="3"/>
      <c r="L126" s="5" t="str">
        <f aca="false">IF(K126="","",H126)</f>
        <v/>
      </c>
      <c r="M126" s="8"/>
      <c r="N126" s="3"/>
      <c r="O126" s="3"/>
      <c r="P126" s="3"/>
      <c r="Q126" s="9"/>
      <c r="R126" s="9"/>
      <c r="S126" s="9"/>
      <c r="T126" s="9"/>
      <c r="U126" s="10" t="str">
        <f aca="false">IF(OR(E126="",J126="",E126&lt;=0),"",(J126-E126)/E126)</f>
        <v/>
      </c>
      <c r="V126" s="10" t="str">
        <f aca="false">IF(OR(E126="",N126="",E126&lt;=0),"",(E126-N126)/E126)</f>
        <v/>
      </c>
      <c r="W126" s="11" t="str">
        <f aca="false">IF(OR(U126="",V126="",V126&lt;=0),"",U126/V126)</f>
        <v/>
      </c>
      <c r="X126" s="12" t="str">
        <f aca="false">IF(OR(K126="",L126="",E126="",H126=""),"",K126*L126-E126*H126-IF(O126="",0,O126)-IF(P126="",0,P126))</f>
        <v/>
      </c>
      <c r="Y126" s="10" t="str">
        <f aca="false">IF(OR(X126="",E126="",H126=""),"",IF(E126*H126+IF(O126="",0,O126)&lt;=0,"",X126/(E126*H126+IF(O126="",0,O126))))</f>
        <v/>
      </c>
      <c r="Z126" s="10" t="str">
        <f aca="false">IF(OR(Y126="",多次统计数据!$B$8=""),"",Y126-多次统计数据!$B$8)</f>
        <v/>
      </c>
      <c r="AA126" s="13" t="str">
        <f aca="false">IF(OR(I126="",M126="",M126&lt;I126),"",M126-I126)</f>
        <v/>
      </c>
      <c r="AB126" s="10" t="str">
        <f aca="false">IF(OR(A126="",多次统计数据!$B$8="",多次统计数据!$B$6&lt;=0,多次统计数据!$B$6&gt;=1),"",1-POWER(1+多次统计数据!$B$8,-多次统计数据!$B$6/(1-多次统计数据!$B$6)))</f>
        <v/>
      </c>
      <c r="AC126" s="6" t="str">
        <f aca="false">IF(OR(AB126="",多次统计数据!$B$9=""),"",IF(多次统计数据!$B$9&lt;AB126,"低于上限","达到或超过上限"))</f>
        <v/>
      </c>
      <c r="AD126" s="2"/>
    </row>
    <row r="127" customFormat="false" ht="15" hidden="false" customHeight="false" outlineLevel="0" collapsed="false">
      <c r="A127" s="9"/>
      <c r="B127" s="9"/>
      <c r="C127" s="3"/>
      <c r="D127" s="4"/>
      <c r="E127" s="3"/>
      <c r="F127" s="5" t="str">
        <f aca="false">IF(OR(C127="",D127="",E127="",N127="",C127&lt;=0,D127&lt;=0,E127&lt;=N127),"",ROUNDDOWN((C127*D127)/(E127-N127)/100,0)*100)</f>
        <v/>
      </c>
      <c r="G127" s="6" t="str">
        <f aca="false">IF(OR(A127="",F127="",E127="",N127="",E127&lt;=N127,账户数据!$B$7=""),"",IF(账户数据!$B$9+IF(H127="",F127*(E127-N127),0)&gt;=账户数据!$B$7,"禁止开仓","允许开仓"))</f>
        <v/>
      </c>
      <c r="H127" s="7"/>
      <c r="I127" s="8"/>
      <c r="J127" s="3"/>
      <c r="K127" s="3"/>
      <c r="L127" s="5" t="str">
        <f aca="false">IF(K127="","",H127)</f>
        <v/>
      </c>
      <c r="M127" s="8"/>
      <c r="N127" s="3"/>
      <c r="O127" s="3"/>
      <c r="P127" s="3"/>
      <c r="Q127" s="9"/>
      <c r="R127" s="9"/>
      <c r="S127" s="9"/>
      <c r="T127" s="9"/>
      <c r="U127" s="10" t="str">
        <f aca="false">IF(OR(E127="",J127="",E127&lt;=0),"",(J127-E127)/E127)</f>
        <v/>
      </c>
      <c r="V127" s="10" t="str">
        <f aca="false">IF(OR(E127="",N127="",E127&lt;=0),"",(E127-N127)/E127)</f>
        <v/>
      </c>
      <c r="W127" s="11" t="str">
        <f aca="false">IF(OR(U127="",V127="",V127&lt;=0),"",U127/V127)</f>
        <v/>
      </c>
      <c r="X127" s="12" t="str">
        <f aca="false">IF(OR(K127="",L127="",E127="",H127=""),"",K127*L127-E127*H127-IF(O127="",0,O127)-IF(P127="",0,P127))</f>
        <v/>
      </c>
      <c r="Y127" s="10" t="str">
        <f aca="false">IF(OR(X127="",E127="",H127=""),"",IF(E127*H127+IF(O127="",0,O127)&lt;=0,"",X127/(E127*H127+IF(O127="",0,O127))))</f>
        <v/>
      </c>
      <c r="Z127" s="10" t="str">
        <f aca="false">IF(OR(Y127="",多次统计数据!$B$8=""),"",Y127-多次统计数据!$B$8)</f>
        <v/>
      </c>
      <c r="AA127" s="13" t="str">
        <f aca="false">IF(OR(I127="",M127="",M127&lt;I127),"",M127-I127)</f>
        <v/>
      </c>
      <c r="AB127" s="10" t="str">
        <f aca="false">IF(OR(A127="",多次统计数据!$B$8="",多次统计数据!$B$6&lt;=0,多次统计数据!$B$6&gt;=1),"",1-POWER(1+多次统计数据!$B$8,-多次统计数据!$B$6/(1-多次统计数据!$B$6)))</f>
        <v/>
      </c>
      <c r="AC127" s="6" t="str">
        <f aca="false">IF(OR(AB127="",多次统计数据!$B$9=""),"",IF(多次统计数据!$B$9&lt;AB127,"低于上限","达到或超过上限"))</f>
        <v/>
      </c>
      <c r="AD127" s="2"/>
    </row>
    <row r="128" customFormat="false" ht="15" hidden="false" customHeight="false" outlineLevel="0" collapsed="false">
      <c r="A128" s="9"/>
      <c r="B128" s="9"/>
      <c r="C128" s="3"/>
      <c r="D128" s="4"/>
      <c r="E128" s="3"/>
      <c r="F128" s="5" t="str">
        <f aca="false">IF(OR(C128="",D128="",E128="",N128="",C128&lt;=0,D128&lt;=0,E128&lt;=N128),"",ROUNDDOWN((C128*D128)/(E128-N128)/100,0)*100)</f>
        <v/>
      </c>
      <c r="G128" s="6" t="str">
        <f aca="false">IF(OR(A128="",F128="",E128="",N128="",E128&lt;=N128,账户数据!$B$7=""),"",IF(账户数据!$B$9+IF(H128="",F128*(E128-N128),0)&gt;=账户数据!$B$7,"禁止开仓","允许开仓"))</f>
        <v/>
      </c>
      <c r="H128" s="7"/>
      <c r="I128" s="8"/>
      <c r="J128" s="3"/>
      <c r="K128" s="3"/>
      <c r="L128" s="5" t="str">
        <f aca="false">IF(K128="","",H128)</f>
        <v/>
      </c>
      <c r="M128" s="8"/>
      <c r="N128" s="3"/>
      <c r="O128" s="3"/>
      <c r="P128" s="3"/>
      <c r="Q128" s="9"/>
      <c r="R128" s="9"/>
      <c r="S128" s="9"/>
      <c r="T128" s="9"/>
      <c r="U128" s="10" t="str">
        <f aca="false">IF(OR(E128="",J128="",E128&lt;=0),"",(J128-E128)/E128)</f>
        <v/>
      </c>
      <c r="V128" s="10" t="str">
        <f aca="false">IF(OR(E128="",N128="",E128&lt;=0),"",(E128-N128)/E128)</f>
        <v/>
      </c>
      <c r="W128" s="11" t="str">
        <f aca="false">IF(OR(U128="",V128="",V128&lt;=0),"",U128/V128)</f>
        <v/>
      </c>
      <c r="X128" s="12" t="str">
        <f aca="false">IF(OR(K128="",L128="",E128="",H128=""),"",K128*L128-E128*H128-IF(O128="",0,O128)-IF(P128="",0,P128))</f>
        <v/>
      </c>
      <c r="Y128" s="10" t="str">
        <f aca="false">IF(OR(X128="",E128="",H128=""),"",IF(E128*H128+IF(O128="",0,O128)&lt;=0,"",X128/(E128*H128+IF(O128="",0,O128))))</f>
        <v/>
      </c>
      <c r="Z128" s="10" t="str">
        <f aca="false">IF(OR(Y128="",多次统计数据!$B$8=""),"",Y128-多次统计数据!$B$8)</f>
        <v/>
      </c>
      <c r="AA128" s="13" t="str">
        <f aca="false">IF(OR(I128="",M128="",M128&lt;I128),"",M128-I128)</f>
        <v/>
      </c>
      <c r="AB128" s="10" t="str">
        <f aca="false">IF(OR(A128="",多次统计数据!$B$8="",多次统计数据!$B$6&lt;=0,多次统计数据!$B$6&gt;=1),"",1-POWER(1+多次统计数据!$B$8,-多次统计数据!$B$6/(1-多次统计数据!$B$6)))</f>
        <v/>
      </c>
      <c r="AC128" s="6" t="str">
        <f aca="false">IF(OR(AB128="",多次统计数据!$B$9=""),"",IF(多次统计数据!$B$9&lt;AB128,"低于上限","达到或超过上限"))</f>
        <v/>
      </c>
      <c r="AD128" s="2"/>
    </row>
    <row r="129" customFormat="false" ht="15" hidden="false" customHeight="false" outlineLevel="0" collapsed="false">
      <c r="A129" s="9"/>
      <c r="B129" s="9"/>
      <c r="C129" s="3"/>
      <c r="D129" s="4"/>
      <c r="E129" s="3"/>
      <c r="F129" s="5" t="str">
        <f aca="false">IF(OR(C129="",D129="",E129="",N129="",C129&lt;=0,D129&lt;=0,E129&lt;=N129),"",ROUNDDOWN((C129*D129)/(E129-N129)/100,0)*100)</f>
        <v/>
      </c>
      <c r="G129" s="6" t="str">
        <f aca="false">IF(OR(A129="",F129="",E129="",N129="",E129&lt;=N129,账户数据!$B$7=""),"",IF(账户数据!$B$9+IF(H129="",F129*(E129-N129),0)&gt;=账户数据!$B$7,"禁止开仓","允许开仓"))</f>
        <v/>
      </c>
      <c r="H129" s="7"/>
      <c r="I129" s="8"/>
      <c r="J129" s="3"/>
      <c r="K129" s="3"/>
      <c r="L129" s="5" t="str">
        <f aca="false">IF(K129="","",H129)</f>
        <v/>
      </c>
      <c r="M129" s="8"/>
      <c r="N129" s="3"/>
      <c r="O129" s="3"/>
      <c r="P129" s="3"/>
      <c r="Q129" s="9"/>
      <c r="R129" s="9"/>
      <c r="S129" s="9"/>
      <c r="T129" s="9"/>
      <c r="U129" s="10" t="str">
        <f aca="false">IF(OR(E129="",J129="",E129&lt;=0),"",(J129-E129)/E129)</f>
        <v/>
      </c>
      <c r="V129" s="10" t="str">
        <f aca="false">IF(OR(E129="",N129="",E129&lt;=0),"",(E129-N129)/E129)</f>
        <v/>
      </c>
      <c r="W129" s="11" t="str">
        <f aca="false">IF(OR(U129="",V129="",V129&lt;=0),"",U129/V129)</f>
        <v/>
      </c>
      <c r="X129" s="12" t="str">
        <f aca="false">IF(OR(K129="",L129="",E129="",H129=""),"",K129*L129-E129*H129-IF(O129="",0,O129)-IF(P129="",0,P129))</f>
        <v/>
      </c>
      <c r="Y129" s="10" t="str">
        <f aca="false">IF(OR(X129="",E129="",H129=""),"",IF(E129*H129+IF(O129="",0,O129)&lt;=0,"",X129/(E129*H129+IF(O129="",0,O129))))</f>
        <v/>
      </c>
      <c r="Z129" s="10" t="str">
        <f aca="false">IF(OR(Y129="",多次统计数据!$B$8=""),"",Y129-多次统计数据!$B$8)</f>
        <v/>
      </c>
      <c r="AA129" s="13" t="str">
        <f aca="false">IF(OR(I129="",M129="",M129&lt;I129),"",M129-I129)</f>
        <v/>
      </c>
      <c r="AB129" s="10" t="str">
        <f aca="false">IF(OR(A129="",多次统计数据!$B$8="",多次统计数据!$B$6&lt;=0,多次统计数据!$B$6&gt;=1),"",1-POWER(1+多次统计数据!$B$8,-多次统计数据!$B$6/(1-多次统计数据!$B$6)))</f>
        <v/>
      </c>
      <c r="AC129" s="6" t="str">
        <f aca="false">IF(OR(AB129="",多次统计数据!$B$9=""),"",IF(多次统计数据!$B$9&lt;AB129,"低于上限","达到或超过上限"))</f>
        <v/>
      </c>
      <c r="AD129" s="2"/>
    </row>
    <row r="130" customFormat="false" ht="15" hidden="false" customHeight="false" outlineLevel="0" collapsed="false">
      <c r="A130" s="9"/>
      <c r="B130" s="9"/>
      <c r="C130" s="3"/>
      <c r="D130" s="4"/>
      <c r="E130" s="3"/>
      <c r="F130" s="5" t="str">
        <f aca="false">IF(OR(C130="",D130="",E130="",N130="",C130&lt;=0,D130&lt;=0,E130&lt;=N130),"",ROUNDDOWN((C130*D130)/(E130-N130)/100,0)*100)</f>
        <v/>
      </c>
      <c r="G130" s="6" t="str">
        <f aca="false">IF(OR(A130="",F130="",E130="",N130="",E130&lt;=N130,账户数据!$B$7=""),"",IF(账户数据!$B$9+IF(H130="",F130*(E130-N130),0)&gt;=账户数据!$B$7,"禁止开仓","允许开仓"))</f>
        <v/>
      </c>
      <c r="H130" s="7"/>
      <c r="I130" s="8"/>
      <c r="J130" s="3"/>
      <c r="K130" s="3"/>
      <c r="L130" s="5" t="str">
        <f aca="false">IF(K130="","",H130)</f>
        <v/>
      </c>
      <c r="M130" s="8"/>
      <c r="N130" s="3"/>
      <c r="O130" s="3"/>
      <c r="P130" s="3"/>
      <c r="Q130" s="9"/>
      <c r="R130" s="9"/>
      <c r="S130" s="9"/>
      <c r="T130" s="9"/>
      <c r="U130" s="10" t="str">
        <f aca="false">IF(OR(E130="",J130="",E130&lt;=0),"",(J130-E130)/E130)</f>
        <v/>
      </c>
      <c r="V130" s="10" t="str">
        <f aca="false">IF(OR(E130="",N130="",E130&lt;=0),"",(E130-N130)/E130)</f>
        <v/>
      </c>
      <c r="W130" s="11" t="str">
        <f aca="false">IF(OR(U130="",V130="",V130&lt;=0),"",U130/V130)</f>
        <v/>
      </c>
      <c r="X130" s="12" t="str">
        <f aca="false">IF(OR(K130="",L130="",E130="",H130=""),"",K130*L130-E130*H130-IF(O130="",0,O130)-IF(P130="",0,P130))</f>
        <v/>
      </c>
      <c r="Y130" s="10" t="str">
        <f aca="false">IF(OR(X130="",E130="",H130=""),"",IF(E130*H130+IF(O130="",0,O130)&lt;=0,"",X130/(E130*H130+IF(O130="",0,O130))))</f>
        <v/>
      </c>
      <c r="Z130" s="10" t="str">
        <f aca="false">IF(OR(Y130="",多次统计数据!$B$8=""),"",Y130-多次统计数据!$B$8)</f>
        <v/>
      </c>
      <c r="AA130" s="13" t="str">
        <f aca="false">IF(OR(I130="",M130="",M130&lt;I130),"",M130-I130)</f>
        <v/>
      </c>
      <c r="AB130" s="10" t="str">
        <f aca="false">IF(OR(A130="",多次统计数据!$B$8="",多次统计数据!$B$6&lt;=0,多次统计数据!$B$6&gt;=1),"",1-POWER(1+多次统计数据!$B$8,-多次统计数据!$B$6/(1-多次统计数据!$B$6)))</f>
        <v/>
      </c>
      <c r="AC130" s="6" t="str">
        <f aca="false">IF(OR(AB130="",多次统计数据!$B$9=""),"",IF(多次统计数据!$B$9&lt;AB130,"低于上限","达到或超过上限"))</f>
        <v/>
      </c>
      <c r="AD130" s="2"/>
    </row>
    <row r="131" customFormat="false" ht="15" hidden="false" customHeight="false" outlineLevel="0" collapsed="false">
      <c r="A131" s="9"/>
      <c r="B131" s="9"/>
      <c r="C131" s="3"/>
      <c r="D131" s="4"/>
      <c r="E131" s="3"/>
      <c r="F131" s="5" t="str">
        <f aca="false">IF(OR(C131="",D131="",E131="",N131="",C131&lt;=0,D131&lt;=0,E131&lt;=N131),"",ROUNDDOWN((C131*D131)/(E131-N131)/100,0)*100)</f>
        <v/>
      </c>
      <c r="G131" s="6" t="str">
        <f aca="false">IF(OR(A131="",F131="",E131="",N131="",E131&lt;=N131,账户数据!$B$7=""),"",IF(账户数据!$B$9+IF(H131="",F131*(E131-N131),0)&gt;=账户数据!$B$7,"禁止开仓","允许开仓"))</f>
        <v/>
      </c>
      <c r="H131" s="7"/>
      <c r="I131" s="8"/>
      <c r="J131" s="3"/>
      <c r="K131" s="3"/>
      <c r="L131" s="5" t="str">
        <f aca="false">IF(K131="","",H131)</f>
        <v/>
      </c>
      <c r="M131" s="8"/>
      <c r="N131" s="3"/>
      <c r="O131" s="3"/>
      <c r="P131" s="3"/>
      <c r="Q131" s="9"/>
      <c r="R131" s="9"/>
      <c r="S131" s="9"/>
      <c r="T131" s="9"/>
      <c r="U131" s="10" t="str">
        <f aca="false">IF(OR(E131="",J131="",E131&lt;=0),"",(J131-E131)/E131)</f>
        <v/>
      </c>
      <c r="V131" s="10" t="str">
        <f aca="false">IF(OR(E131="",N131="",E131&lt;=0),"",(E131-N131)/E131)</f>
        <v/>
      </c>
      <c r="W131" s="11" t="str">
        <f aca="false">IF(OR(U131="",V131="",V131&lt;=0),"",U131/V131)</f>
        <v/>
      </c>
      <c r="X131" s="12" t="str">
        <f aca="false">IF(OR(K131="",L131="",E131="",H131=""),"",K131*L131-E131*H131-IF(O131="",0,O131)-IF(P131="",0,P131))</f>
        <v/>
      </c>
      <c r="Y131" s="10" t="str">
        <f aca="false">IF(OR(X131="",E131="",H131=""),"",IF(E131*H131+IF(O131="",0,O131)&lt;=0,"",X131/(E131*H131+IF(O131="",0,O131))))</f>
        <v/>
      </c>
      <c r="Z131" s="10" t="str">
        <f aca="false">IF(OR(Y131="",多次统计数据!$B$8=""),"",Y131-多次统计数据!$B$8)</f>
        <v/>
      </c>
      <c r="AA131" s="13" t="str">
        <f aca="false">IF(OR(I131="",M131="",M131&lt;I131),"",M131-I131)</f>
        <v/>
      </c>
      <c r="AB131" s="10" t="str">
        <f aca="false">IF(OR(A131="",多次统计数据!$B$8="",多次统计数据!$B$6&lt;=0,多次统计数据!$B$6&gt;=1),"",1-POWER(1+多次统计数据!$B$8,-多次统计数据!$B$6/(1-多次统计数据!$B$6)))</f>
        <v/>
      </c>
      <c r="AC131" s="6" t="str">
        <f aca="false">IF(OR(AB131="",多次统计数据!$B$9=""),"",IF(多次统计数据!$B$9&lt;AB131,"低于上限","达到或超过上限"))</f>
        <v/>
      </c>
      <c r="AD131" s="2"/>
    </row>
    <row r="132" customFormat="false" ht="15" hidden="false" customHeight="false" outlineLevel="0" collapsed="false">
      <c r="A132" s="9"/>
      <c r="B132" s="9"/>
      <c r="C132" s="3"/>
      <c r="D132" s="4"/>
      <c r="E132" s="3"/>
      <c r="F132" s="5" t="str">
        <f aca="false">IF(OR(C132="",D132="",E132="",N132="",C132&lt;=0,D132&lt;=0,E132&lt;=N132),"",ROUNDDOWN((C132*D132)/(E132-N132)/100,0)*100)</f>
        <v/>
      </c>
      <c r="G132" s="6" t="str">
        <f aca="false">IF(OR(A132="",F132="",E132="",N132="",E132&lt;=N132,账户数据!$B$7=""),"",IF(账户数据!$B$9+IF(H132="",F132*(E132-N132),0)&gt;=账户数据!$B$7,"禁止开仓","允许开仓"))</f>
        <v/>
      </c>
      <c r="H132" s="7"/>
      <c r="I132" s="8"/>
      <c r="J132" s="3"/>
      <c r="K132" s="3"/>
      <c r="L132" s="5" t="str">
        <f aca="false">IF(K132="","",H132)</f>
        <v/>
      </c>
      <c r="M132" s="8"/>
      <c r="N132" s="3"/>
      <c r="O132" s="3"/>
      <c r="P132" s="3"/>
      <c r="Q132" s="9"/>
      <c r="R132" s="9"/>
      <c r="S132" s="9"/>
      <c r="T132" s="9"/>
      <c r="U132" s="10" t="str">
        <f aca="false">IF(OR(E132="",J132="",E132&lt;=0),"",(J132-E132)/E132)</f>
        <v/>
      </c>
      <c r="V132" s="10" t="str">
        <f aca="false">IF(OR(E132="",N132="",E132&lt;=0),"",(E132-N132)/E132)</f>
        <v/>
      </c>
      <c r="W132" s="11" t="str">
        <f aca="false">IF(OR(U132="",V132="",V132&lt;=0),"",U132/V132)</f>
        <v/>
      </c>
      <c r="X132" s="12" t="str">
        <f aca="false">IF(OR(K132="",L132="",E132="",H132=""),"",K132*L132-E132*H132-IF(O132="",0,O132)-IF(P132="",0,P132))</f>
        <v/>
      </c>
      <c r="Y132" s="10" t="str">
        <f aca="false">IF(OR(X132="",E132="",H132=""),"",IF(E132*H132+IF(O132="",0,O132)&lt;=0,"",X132/(E132*H132+IF(O132="",0,O132))))</f>
        <v/>
      </c>
      <c r="Z132" s="10" t="str">
        <f aca="false">IF(OR(Y132="",多次统计数据!$B$8=""),"",Y132-多次统计数据!$B$8)</f>
        <v/>
      </c>
      <c r="AA132" s="13" t="str">
        <f aca="false">IF(OR(I132="",M132="",M132&lt;I132),"",M132-I132)</f>
        <v/>
      </c>
      <c r="AB132" s="10" t="str">
        <f aca="false">IF(OR(A132="",多次统计数据!$B$8="",多次统计数据!$B$6&lt;=0,多次统计数据!$B$6&gt;=1),"",1-POWER(1+多次统计数据!$B$8,-多次统计数据!$B$6/(1-多次统计数据!$B$6)))</f>
        <v/>
      </c>
      <c r="AC132" s="6" t="str">
        <f aca="false">IF(OR(AB132="",多次统计数据!$B$9=""),"",IF(多次统计数据!$B$9&lt;AB132,"低于上限","达到或超过上限"))</f>
        <v/>
      </c>
      <c r="AD132" s="2"/>
    </row>
    <row r="133" customFormat="false" ht="15" hidden="false" customHeight="false" outlineLevel="0" collapsed="false">
      <c r="A133" s="9"/>
      <c r="B133" s="9"/>
      <c r="C133" s="3"/>
      <c r="D133" s="4"/>
      <c r="E133" s="3"/>
      <c r="F133" s="5" t="str">
        <f aca="false">IF(OR(C133="",D133="",E133="",N133="",C133&lt;=0,D133&lt;=0,E133&lt;=N133),"",ROUNDDOWN((C133*D133)/(E133-N133)/100,0)*100)</f>
        <v/>
      </c>
      <c r="G133" s="6" t="str">
        <f aca="false">IF(OR(A133="",F133="",E133="",N133="",E133&lt;=N133,账户数据!$B$7=""),"",IF(账户数据!$B$9+IF(H133="",F133*(E133-N133),0)&gt;=账户数据!$B$7,"禁止开仓","允许开仓"))</f>
        <v/>
      </c>
      <c r="H133" s="7"/>
      <c r="I133" s="8"/>
      <c r="J133" s="3"/>
      <c r="K133" s="3"/>
      <c r="L133" s="5" t="str">
        <f aca="false">IF(K133="","",H133)</f>
        <v/>
      </c>
      <c r="M133" s="8"/>
      <c r="N133" s="3"/>
      <c r="O133" s="3"/>
      <c r="P133" s="3"/>
      <c r="Q133" s="9"/>
      <c r="R133" s="9"/>
      <c r="S133" s="9"/>
      <c r="T133" s="9"/>
      <c r="U133" s="10" t="str">
        <f aca="false">IF(OR(E133="",J133="",E133&lt;=0),"",(J133-E133)/E133)</f>
        <v/>
      </c>
      <c r="V133" s="10" t="str">
        <f aca="false">IF(OR(E133="",N133="",E133&lt;=0),"",(E133-N133)/E133)</f>
        <v/>
      </c>
      <c r="W133" s="11" t="str">
        <f aca="false">IF(OR(U133="",V133="",V133&lt;=0),"",U133/V133)</f>
        <v/>
      </c>
      <c r="X133" s="12" t="str">
        <f aca="false">IF(OR(K133="",L133="",E133="",H133=""),"",K133*L133-E133*H133-IF(O133="",0,O133)-IF(P133="",0,P133))</f>
        <v/>
      </c>
      <c r="Y133" s="10" t="str">
        <f aca="false">IF(OR(X133="",E133="",H133=""),"",IF(E133*H133+IF(O133="",0,O133)&lt;=0,"",X133/(E133*H133+IF(O133="",0,O133))))</f>
        <v/>
      </c>
      <c r="Z133" s="10" t="str">
        <f aca="false">IF(OR(Y133="",多次统计数据!$B$8=""),"",Y133-多次统计数据!$B$8)</f>
        <v/>
      </c>
      <c r="AA133" s="13" t="str">
        <f aca="false">IF(OR(I133="",M133="",M133&lt;I133),"",M133-I133)</f>
        <v/>
      </c>
      <c r="AB133" s="10" t="str">
        <f aca="false">IF(OR(A133="",多次统计数据!$B$8="",多次统计数据!$B$6&lt;=0,多次统计数据!$B$6&gt;=1),"",1-POWER(1+多次统计数据!$B$8,-多次统计数据!$B$6/(1-多次统计数据!$B$6)))</f>
        <v/>
      </c>
      <c r="AC133" s="6" t="str">
        <f aca="false">IF(OR(AB133="",多次统计数据!$B$9=""),"",IF(多次统计数据!$B$9&lt;AB133,"低于上限","达到或超过上限"))</f>
        <v/>
      </c>
      <c r="AD133" s="2"/>
    </row>
    <row r="134" customFormat="false" ht="15" hidden="false" customHeight="false" outlineLevel="0" collapsed="false">
      <c r="A134" s="9"/>
      <c r="B134" s="9"/>
      <c r="C134" s="3"/>
      <c r="D134" s="4"/>
      <c r="E134" s="3"/>
      <c r="F134" s="5" t="str">
        <f aca="false">IF(OR(C134="",D134="",E134="",N134="",C134&lt;=0,D134&lt;=0,E134&lt;=N134),"",ROUNDDOWN((C134*D134)/(E134-N134)/100,0)*100)</f>
        <v/>
      </c>
      <c r="G134" s="6" t="str">
        <f aca="false">IF(OR(A134="",F134="",E134="",N134="",E134&lt;=N134,账户数据!$B$7=""),"",IF(账户数据!$B$9+IF(H134="",F134*(E134-N134),0)&gt;=账户数据!$B$7,"禁止开仓","允许开仓"))</f>
        <v/>
      </c>
      <c r="H134" s="7"/>
      <c r="I134" s="8"/>
      <c r="J134" s="3"/>
      <c r="K134" s="3"/>
      <c r="L134" s="5" t="str">
        <f aca="false">IF(K134="","",H134)</f>
        <v/>
      </c>
      <c r="M134" s="8"/>
      <c r="N134" s="3"/>
      <c r="O134" s="3"/>
      <c r="P134" s="3"/>
      <c r="Q134" s="9"/>
      <c r="R134" s="9"/>
      <c r="S134" s="9"/>
      <c r="T134" s="9"/>
      <c r="U134" s="10" t="str">
        <f aca="false">IF(OR(E134="",J134="",E134&lt;=0),"",(J134-E134)/E134)</f>
        <v/>
      </c>
      <c r="V134" s="10" t="str">
        <f aca="false">IF(OR(E134="",N134="",E134&lt;=0),"",(E134-N134)/E134)</f>
        <v/>
      </c>
      <c r="W134" s="11" t="str">
        <f aca="false">IF(OR(U134="",V134="",V134&lt;=0),"",U134/V134)</f>
        <v/>
      </c>
      <c r="X134" s="12" t="str">
        <f aca="false">IF(OR(K134="",L134="",E134="",H134=""),"",K134*L134-E134*H134-IF(O134="",0,O134)-IF(P134="",0,P134))</f>
        <v/>
      </c>
      <c r="Y134" s="10" t="str">
        <f aca="false">IF(OR(X134="",E134="",H134=""),"",IF(E134*H134+IF(O134="",0,O134)&lt;=0,"",X134/(E134*H134+IF(O134="",0,O134))))</f>
        <v/>
      </c>
      <c r="Z134" s="10" t="str">
        <f aca="false">IF(OR(Y134="",多次统计数据!$B$8=""),"",Y134-多次统计数据!$B$8)</f>
        <v/>
      </c>
      <c r="AA134" s="13" t="str">
        <f aca="false">IF(OR(I134="",M134="",M134&lt;I134),"",M134-I134)</f>
        <v/>
      </c>
      <c r="AB134" s="10" t="str">
        <f aca="false">IF(OR(A134="",多次统计数据!$B$8="",多次统计数据!$B$6&lt;=0,多次统计数据!$B$6&gt;=1),"",1-POWER(1+多次统计数据!$B$8,-多次统计数据!$B$6/(1-多次统计数据!$B$6)))</f>
        <v/>
      </c>
      <c r="AC134" s="6" t="str">
        <f aca="false">IF(OR(AB134="",多次统计数据!$B$9=""),"",IF(多次统计数据!$B$9&lt;AB134,"低于上限","达到或超过上限"))</f>
        <v/>
      </c>
      <c r="AD134" s="2"/>
    </row>
    <row r="135" customFormat="false" ht="15" hidden="false" customHeight="false" outlineLevel="0" collapsed="false">
      <c r="A135" s="9"/>
      <c r="B135" s="9"/>
      <c r="C135" s="3"/>
      <c r="D135" s="4"/>
      <c r="E135" s="3"/>
      <c r="F135" s="5" t="str">
        <f aca="false">IF(OR(C135="",D135="",E135="",N135="",C135&lt;=0,D135&lt;=0,E135&lt;=N135),"",ROUNDDOWN((C135*D135)/(E135-N135)/100,0)*100)</f>
        <v/>
      </c>
      <c r="G135" s="6" t="str">
        <f aca="false">IF(OR(A135="",F135="",E135="",N135="",E135&lt;=N135,账户数据!$B$7=""),"",IF(账户数据!$B$9+IF(H135="",F135*(E135-N135),0)&gt;=账户数据!$B$7,"禁止开仓","允许开仓"))</f>
        <v/>
      </c>
      <c r="H135" s="7"/>
      <c r="I135" s="8"/>
      <c r="J135" s="3"/>
      <c r="K135" s="3"/>
      <c r="L135" s="5" t="str">
        <f aca="false">IF(K135="","",H135)</f>
        <v/>
      </c>
      <c r="M135" s="8"/>
      <c r="N135" s="3"/>
      <c r="O135" s="3"/>
      <c r="P135" s="3"/>
      <c r="Q135" s="9"/>
      <c r="R135" s="9"/>
      <c r="S135" s="9"/>
      <c r="T135" s="9"/>
      <c r="U135" s="10" t="str">
        <f aca="false">IF(OR(E135="",J135="",E135&lt;=0),"",(J135-E135)/E135)</f>
        <v/>
      </c>
      <c r="V135" s="10" t="str">
        <f aca="false">IF(OR(E135="",N135="",E135&lt;=0),"",(E135-N135)/E135)</f>
        <v/>
      </c>
      <c r="W135" s="11" t="str">
        <f aca="false">IF(OR(U135="",V135="",V135&lt;=0),"",U135/V135)</f>
        <v/>
      </c>
      <c r="X135" s="12" t="str">
        <f aca="false">IF(OR(K135="",L135="",E135="",H135=""),"",K135*L135-E135*H135-IF(O135="",0,O135)-IF(P135="",0,P135))</f>
        <v/>
      </c>
      <c r="Y135" s="10" t="str">
        <f aca="false">IF(OR(X135="",E135="",H135=""),"",IF(E135*H135+IF(O135="",0,O135)&lt;=0,"",X135/(E135*H135+IF(O135="",0,O135))))</f>
        <v/>
      </c>
      <c r="Z135" s="10" t="str">
        <f aca="false">IF(OR(Y135="",多次统计数据!$B$8=""),"",Y135-多次统计数据!$B$8)</f>
        <v/>
      </c>
      <c r="AA135" s="13" t="str">
        <f aca="false">IF(OR(I135="",M135="",M135&lt;I135),"",M135-I135)</f>
        <v/>
      </c>
      <c r="AB135" s="10" t="str">
        <f aca="false">IF(OR(A135="",多次统计数据!$B$8="",多次统计数据!$B$6&lt;=0,多次统计数据!$B$6&gt;=1),"",1-POWER(1+多次统计数据!$B$8,-多次统计数据!$B$6/(1-多次统计数据!$B$6)))</f>
        <v/>
      </c>
      <c r="AC135" s="6" t="str">
        <f aca="false">IF(OR(AB135="",多次统计数据!$B$9=""),"",IF(多次统计数据!$B$9&lt;AB135,"低于上限","达到或超过上限"))</f>
        <v/>
      </c>
      <c r="AD135" s="2"/>
    </row>
    <row r="136" customFormat="false" ht="15" hidden="false" customHeight="false" outlineLevel="0" collapsed="false">
      <c r="A136" s="9"/>
      <c r="B136" s="9"/>
      <c r="C136" s="3"/>
      <c r="D136" s="4"/>
      <c r="E136" s="3"/>
      <c r="F136" s="5" t="str">
        <f aca="false">IF(OR(C136="",D136="",E136="",N136="",C136&lt;=0,D136&lt;=0,E136&lt;=N136),"",ROUNDDOWN((C136*D136)/(E136-N136)/100,0)*100)</f>
        <v/>
      </c>
      <c r="G136" s="6" t="str">
        <f aca="false">IF(OR(A136="",F136="",E136="",N136="",E136&lt;=N136,账户数据!$B$7=""),"",IF(账户数据!$B$9+IF(H136="",F136*(E136-N136),0)&gt;=账户数据!$B$7,"禁止开仓","允许开仓"))</f>
        <v/>
      </c>
      <c r="H136" s="7"/>
      <c r="I136" s="8"/>
      <c r="J136" s="3"/>
      <c r="K136" s="3"/>
      <c r="L136" s="5" t="str">
        <f aca="false">IF(K136="","",H136)</f>
        <v/>
      </c>
      <c r="M136" s="8"/>
      <c r="N136" s="3"/>
      <c r="O136" s="3"/>
      <c r="P136" s="3"/>
      <c r="Q136" s="9"/>
      <c r="R136" s="9"/>
      <c r="S136" s="9"/>
      <c r="T136" s="9"/>
      <c r="U136" s="10" t="str">
        <f aca="false">IF(OR(E136="",J136="",E136&lt;=0),"",(J136-E136)/E136)</f>
        <v/>
      </c>
      <c r="V136" s="10" t="str">
        <f aca="false">IF(OR(E136="",N136="",E136&lt;=0),"",(E136-N136)/E136)</f>
        <v/>
      </c>
      <c r="W136" s="11" t="str">
        <f aca="false">IF(OR(U136="",V136="",V136&lt;=0),"",U136/V136)</f>
        <v/>
      </c>
      <c r="X136" s="12" t="str">
        <f aca="false">IF(OR(K136="",L136="",E136="",H136=""),"",K136*L136-E136*H136-IF(O136="",0,O136)-IF(P136="",0,P136))</f>
        <v/>
      </c>
      <c r="Y136" s="10" t="str">
        <f aca="false">IF(OR(X136="",E136="",H136=""),"",IF(E136*H136+IF(O136="",0,O136)&lt;=0,"",X136/(E136*H136+IF(O136="",0,O136))))</f>
        <v/>
      </c>
      <c r="Z136" s="10" t="str">
        <f aca="false">IF(OR(Y136="",多次统计数据!$B$8=""),"",Y136-多次统计数据!$B$8)</f>
        <v/>
      </c>
      <c r="AA136" s="13" t="str">
        <f aca="false">IF(OR(I136="",M136="",M136&lt;I136),"",M136-I136)</f>
        <v/>
      </c>
      <c r="AB136" s="10" t="str">
        <f aca="false">IF(OR(A136="",多次统计数据!$B$8="",多次统计数据!$B$6&lt;=0,多次统计数据!$B$6&gt;=1),"",1-POWER(1+多次统计数据!$B$8,-多次统计数据!$B$6/(1-多次统计数据!$B$6)))</f>
        <v/>
      </c>
      <c r="AC136" s="6" t="str">
        <f aca="false">IF(OR(AB136="",多次统计数据!$B$9=""),"",IF(多次统计数据!$B$9&lt;AB136,"低于上限","达到或超过上限"))</f>
        <v/>
      </c>
      <c r="AD136" s="2"/>
    </row>
    <row r="137" customFormat="false" ht="15" hidden="false" customHeight="false" outlineLevel="0" collapsed="false">
      <c r="A137" s="9"/>
      <c r="B137" s="9"/>
      <c r="C137" s="3"/>
      <c r="D137" s="4"/>
      <c r="E137" s="3"/>
      <c r="F137" s="5" t="str">
        <f aca="false">IF(OR(C137="",D137="",E137="",N137="",C137&lt;=0,D137&lt;=0,E137&lt;=N137),"",ROUNDDOWN((C137*D137)/(E137-N137)/100,0)*100)</f>
        <v/>
      </c>
      <c r="G137" s="6" t="str">
        <f aca="false">IF(OR(A137="",F137="",E137="",N137="",E137&lt;=N137,账户数据!$B$7=""),"",IF(账户数据!$B$9+IF(H137="",F137*(E137-N137),0)&gt;=账户数据!$B$7,"禁止开仓","允许开仓"))</f>
        <v/>
      </c>
      <c r="H137" s="7"/>
      <c r="I137" s="8"/>
      <c r="J137" s="3"/>
      <c r="K137" s="3"/>
      <c r="L137" s="5" t="str">
        <f aca="false">IF(K137="","",H137)</f>
        <v/>
      </c>
      <c r="M137" s="8"/>
      <c r="N137" s="3"/>
      <c r="O137" s="3"/>
      <c r="P137" s="3"/>
      <c r="Q137" s="9"/>
      <c r="R137" s="9"/>
      <c r="S137" s="9"/>
      <c r="T137" s="9"/>
      <c r="U137" s="10" t="str">
        <f aca="false">IF(OR(E137="",J137="",E137&lt;=0),"",(J137-E137)/E137)</f>
        <v/>
      </c>
      <c r="V137" s="10" t="str">
        <f aca="false">IF(OR(E137="",N137="",E137&lt;=0),"",(E137-N137)/E137)</f>
        <v/>
      </c>
      <c r="W137" s="11" t="str">
        <f aca="false">IF(OR(U137="",V137="",V137&lt;=0),"",U137/V137)</f>
        <v/>
      </c>
      <c r="X137" s="12" t="str">
        <f aca="false">IF(OR(K137="",L137="",E137="",H137=""),"",K137*L137-E137*H137-IF(O137="",0,O137)-IF(P137="",0,P137))</f>
        <v/>
      </c>
      <c r="Y137" s="10" t="str">
        <f aca="false">IF(OR(X137="",E137="",H137=""),"",IF(E137*H137+IF(O137="",0,O137)&lt;=0,"",X137/(E137*H137+IF(O137="",0,O137))))</f>
        <v/>
      </c>
      <c r="Z137" s="10" t="str">
        <f aca="false">IF(OR(Y137="",多次统计数据!$B$8=""),"",Y137-多次统计数据!$B$8)</f>
        <v/>
      </c>
      <c r="AA137" s="13" t="str">
        <f aca="false">IF(OR(I137="",M137="",M137&lt;I137),"",M137-I137)</f>
        <v/>
      </c>
      <c r="AB137" s="10" t="str">
        <f aca="false">IF(OR(A137="",多次统计数据!$B$8="",多次统计数据!$B$6&lt;=0,多次统计数据!$B$6&gt;=1),"",1-POWER(1+多次统计数据!$B$8,-多次统计数据!$B$6/(1-多次统计数据!$B$6)))</f>
        <v/>
      </c>
      <c r="AC137" s="6" t="str">
        <f aca="false">IF(OR(AB137="",多次统计数据!$B$9=""),"",IF(多次统计数据!$B$9&lt;AB137,"低于上限","达到或超过上限"))</f>
        <v/>
      </c>
      <c r="AD137" s="2"/>
    </row>
    <row r="138" customFormat="false" ht="15" hidden="false" customHeight="false" outlineLevel="0" collapsed="false">
      <c r="A138" s="9"/>
      <c r="B138" s="9"/>
      <c r="C138" s="3"/>
      <c r="D138" s="4"/>
      <c r="E138" s="3"/>
      <c r="F138" s="5" t="str">
        <f aca="false">IF(OR(C138="",D138="",E138="",N138="",C138&lt;=0,D138&lt;=0,E138&lt;=N138),"",ROUNDDOWN((C138*D138)/(E138-N138)/100,0)*100)</f>
        <v/>
      </c>
      <c r="G138" s="6" t="str">
        <f aca="false">IF(OR(A138="",F138="",E138="",N138="",E138&lt;=N138,账户数据!$B$7=""),"",IF(账户数据!$B$9+IF(H138="",F138*(E138-N138),0)&gt;=账户数据!$B$7,"禁止开仓","允许开仓"))</f>
        <v/>
      </c>
      <c r="H138" s="7"/>
      <c r="I138" s="8"/>
      <c r="J138" s="3"/>
      <c r="K138" s="3"/>
      <c r="L138" s="5" t="str">
        <f aca="false">IF(K138="","",H138)</f>
        <v/>
      </c>
      <c r="M138" s="8"/>
      <c r="N138" s="3"/>
      <c r="O138" s="3"/>
      <c r="P138" s="3"/>
      <c r="Q138" s="9"/>
      <c r="R138" s="9"/>
      <c r="S138" s="9"/>
      <c r="T138" s="9"/>
      <c r="U138" s="10" t="str">
        <f aca="false">IF(OR(E138="",J138="",E138&lt;=0),"",(J138-E138)/E138)</f>
        <v/>
      </c>
      <c r="V138" s="10" t="str">
        <f aca="false">IF(OR(E138="",N138="",E138&lt;=0),"",(E138-N138)/E138)</f>
        <v/>
      </c>
      <c r="W138" s="11" t="str">
        <f aca="false">IF(OR(U138="",V138="",V138&lt;=0),"",U138/V138)</f>
        <v/>
      </c>
      <c r="X138" s="12" t="str">
        <f aca="false">IF(OR(K138="",L138="",E138="",H138=""),"",K138*L138-E138*H138-IF(O138="",0,O138)-IF(P138="",0,P138))</f>
        <v/>
      </c>
      <c r="Y138" s="10" t="str">
        <f aca="false">IF(OR(X138="",E138="",H138=""),"",IF(E138*H138+IF(O138="",0,O138)&lt;=0,"",X138/(E138*H138+IF(O138="",0,O138))))</f>
        <v/>
      </c>
      <c r="Z138" s="10" t="str">
        <f aca="false">IF(OR(Y138="",多次统计数据!$B$8=""),"",Y138-多次统计数据!$B$8)</f>
        <v/>
      </c>
      <c r="AA138" s="13" t="str">
        <f aca="false">IF(OR(I138="",M138="",M138&lt;I138),"",M138-I138)</f>
        <v/>
      </c>
      <c r="AB138" s="10" t="str">
        <f aca="false">IF(OR(A138="",多次统计数据!$B$8="",多次统计数据!$B$6&lt;=0,多次统计数据!$B$6&gt;=1),"",1-POWER(1+多次统计数据!$B$8,-多次统计数据!$B$6/(1-多次统计数据!$B$6)))</f>
        <v/>
      </c>
      <c r="AC138" s="6" t="str">
        <f aca="false">IF(OR(AB138="",多次统计数据!$B$9=""),"",IF(多次统计数据!$B$9&lt;AB138,"低于上限","达到或超过上限"))</f>
        <v/>
      </c>
      <c r="AD138" s="2"/>
    </row>
    <row r="139" customFormat="false" ht="15" hidden="false" customHeight="false" outlineLevel="0" collapsed="false">
      <c r="A139" s="9"/>
      <c r="B139" s="9"/>
      <c r="C139" s="3"/>
      <c r="D139" s="4"/>
      <c r="E139" s="3"/>
      <c r="F139" s="5" t="str">
        <f aca="false">IF(OR(C139="",D139="",E139="",N139="",C139&lt;=0,D139&lt;=0,E139&lt;=N139),"",ROUNDDOWN((C139*D139)/(E139-N139)/100,0)*100)</f>
        <v/>
      </c>
      <c r="G139" s="6" t="str">
        <f aca="false">IF(OR(A139="",F139="",E139="",N139="",E139&lt;=N139,账户数据!$B$7=""),"",IF(账户数据!$B$9+IF(H139="",F139*(E139-N139),0)&gt;=账户数据!$B$7,"禁止开仓","允许开仓"))</f>
        <v/>
      </c>
      <c r="H139" s="7"/>
      <c r="I139" s="8"/>
      <c r="J139" s="3"/>
      <c r="K139" s="3"/>
      <c r="L139" s="5" t="str">
        <f aca="false">IF(K139="","",H139)</f>
        <v/>
      </c>
      <c r="M139" s="8"/>
      <c r="N139" s="3"/>
      <c r="O139" s="3"/>
      <c r="P139" s="3"/>
      <c r="Q139" s="9"/>
      <c r="R139" s="9"/>
      <c r="S139" s="9"/>
      <c r="T139" s="9"/>
      <c r="U139" s="10" t="str">
        <f aca="false">IF(OR(E139="",J139="",E139&lt;=0),"",(J139-E139)/E139)</f>
        <v/>
      </c>
      <c r="V139" s="10" t="str">
        <f aca="false">IF(OR(E139="",N139="",E139&lt;=0),"",(E139-N139)/E139)</f>
        <v/>
      </c>
      <c r="W139" s="11" t="str">
        <f aca="false">IF(OR(U139="",V139="",V139&lt;=0),"",U139/V139)</f>
        <v/>
      </c>
      <c r="X139" s="12" t="str">
        <f aca="false">IF(OR(K139="",L139="",E139="",H139=""),"",K139*L139-E139*H139-IF(O139="",0,O139)-IF(P139="",0,P139))</f>
        <v/>
      </c>
      <c r="Y139" s="10" t="str">
        <f aca="false">IF(OR(X139="",E139="",H139=""),"",IF(E139*H139+IF(O139="",0,O139)&lt;=0,"",X139/(E139*H139+IF(O139="",0,O139))))</f>
        <v/>
      </c>
      <c r="Z139" s="10" t="str">
        <f aca="false">IF(OR(Y139="",多次统计数据!$B$8=""),"",Y139-多次统计数据!$B$8)</f>
        <v/>
      </c>
      <c r="AA139" s="13" t="str">
        <f aca="false">IF(OR(I139="",M139="",M139&lt;I139),"",M139-I139)</f>
        <v/>
      </c>
      <c r="AB139" s="10" t="str">
        <f aca="false">IF(OR(A139="",多次统计数据!$B$8="",多次统计数据!$B$6&lt;=0,多次统计数据!$B$6&gt;=1),"",1-POWER(1+多次统计数据!$B$8,-多次统计数据!$B$6/(1-多次统计数据!$B$6)))</f>
        <v/>
      </c>
      <c r="AC139" s="6" t="str">
        <f aca="false">IF(OR(AB139="",多次统计数据!$B$9=""),"",IF(多次统计数据!$B$9&lt;AB139,"低于上限","达到或超过上限"))</f>
        <v/>
      </c>
      <c r="AD139" s="2"/>
    </row>
    <row r="140" customFormat="false" ht="15" hidden="false" customHeight="false" outlineLevel="0" collapsed="false">
      <c r="A140" s="9"/>
      <c r="B140" s="9"/>
      <c r="C140" s="3"/>
      <c r="D140" s="4"/>
      <c r="E140" s="3"/>
      <c r="F140" s="5" t="str">
        <f aca="false">IF(OR(C140="",D140="",E140="",N140="",C140&lt;=0,D140&lt;=0,E140&lt;=N140),"",ROUNDDOWN((C140*D140)/(E140-N140)/100,0)*100)</f>
        <v/>
      </c>
      <c r="G140" s="6" t="str">
        <f aca="false">IF(OR(A140="",F140="",E140="",N140="",E140&lt;=N140,账户数据!$B$7=""),"",IF(账户数据!$B$9+IF(H140="",F140*(E140-N140),0)&gt;=账户数据!$B$7,"禁止开仓","允许开仓"))</f>
        <v/>
      </c>
      <c r="H140" s="7"/>
      <c r="I140" s="8"/>
      <c r="J140" s="3"/>
      <c r="K140" s="3"/>
      <c r="L140" s="5" t="str">
        <f aca="false">IF(K140="","",H140)</f>
        <v/>
      </c>
      <c r="M140" s="8"/>
      <c r="N140" s="3"/>
      <c r="O140" s="3"/>
      <c r="P140" s="3"/>
      <c r="Q140" s="9"/>
      <c r="R140" s="9"/>
      <c r="S140" s="9"/>
      <c r="T140" s="9"/>
      <c r="U140" s="10" t="str">
        <f aca="false">IF(OR(E140="",J140="",E140&lt;=0),"",(J140-E140)/E140)</f>
        <v/>
      </c>
      <c r="V140" s="10" t="str">
        <f aca="false">IF(OR(E140="",N140="",E140&lt;=0),"",(E140-N140)/E140)</f>
        <v/>
      </c>
      <c r="W140" s="11" t="str">
        <f aca="false">IF(OR(U140="",V140="",V140&lt;=0),"",U140/V140)</f>
        <v/>
      </c>
      <c r="X140" s="12" t="str">
        <f aca="false">IF(OR(K140="",L140="",E140="",H140=""),"",K140*L140-E140*H140-IF(O140="",0,O140)-IF(P140="",0,P140))</f>
        <v/>
      </c>
      <c r="Y140" s="10" t="str">
        <f aca="false">IF(OR(X140="",E140="",H140=""),"",IF(E140*H140+IF(O140="",0,O140)&lt;=0,"",X140/(E140*H140+IF(O140="",0,O140))))</f>
        <v/>
      </c>
      <c r="Z140" s="10" t="str">
        <f aca="false">IF(OR(Y140="",多次统计数据!$B$8=""),"",Y140-多次统计数据!$B$8)</f>
        <v/>
      </c>
      <c r="AA140" s="13" t="str">
        <f aca="false">IF(OR(I140="",M140="",M140&lt;I140),"",M140-I140)</f>
        <v/>
      </c>
      <c r="AB140" s="10" t="str">
        <f aca="false">IF(OR(A140="",多次统计数据!$B$8="",多次统计数据!$B$6&lt;=0,多次统计数据!$B$6&gt;=1),"",1-POWER(1+多次统计数据!$B$8,-多次统计数据!$B$6/(1-多次统计数据!$B$6)))</f>
        <v/>
      </c>
      <c r="AC140" s="6" t="str">
        <f aca="false">IF(OR(AB140="",多次统计数据!$B$9=""),"",IF(多次统计数据!$B$9&lt;AB140,"低于上限","达到或超过上限"))</f>
        <v/>
      </c>
      <c r="AD140" s="2"/>
    </row>
    <row r="141" customFormat="false" ht="15" hidden="false" customHeight="false" outlineLevel="0" collapsed="false">
      <c r="A141" s="9"/>
      <c r="B141" s="9"/>
      <c r="C141" s="3"/>
      <c r="D141" s="4"/>
      <c r="E141" s="3"/>
      <c r="F141" s="5" t="str">
        <f aca="false">IF(OR(C141="",D141="",E141="",N141="",C141&lt;=0,D141&lt;=0,E141&lt;=N141),"",ROUNDDOWN((C141*D141)/(E141-N141)/100,0)*100)</f>
        <v/>
      </c>
      <c r="G141" s="6" t="str">
        <f aca="false">IF(OR(A141="",F141="",E141="",N141="",E141&lt;=N141,账户数据!$B$7=""),"",IF(账户数据!$B$9+IF(H141="",F141*(E141-N141),0)&gt;=账户数据!$B$7,"禁止开仓","允许开仓"))</f>
        <v/>
      </c>
      <c r="H141" s="7"/>
      <c r="I141" s="8"/>
      <c r="J141" s="3"/>
      <c r="K141" s="3"/>
      <c r="L141" s="5" t="str">
        <f aca="false">IF(K141="","",H141)</f>
        <v/>
      </c>
      <c r="M141" s="8"/>
      <c r="N141" s="3"/>
      <c r="O141" s="3"/>
      <c r="P141" s="3"/>
      <c r="Q141" s="9"/>
      <c r="R141" s="9"/>
      <c r="S141" s="9"/>
      <c r="T141" s="9"/>
      <c r="U141" s="10" t="str">
        <f aca="false">IF(OR(E141="",J141="",E141&lt;=0),"",(J141-E141)/E141)</f>
        <v/>
      </c>
      <c r="V141" s="10" t="str">
        <f aca="false">IF(OR(E141="",N141="",E141&lt;=0),"",(E141-N141)/E141)</f>
        <v/>
      </c>
      <c r="W141" s="11" t="str">
        <f aca="false">IF(OR(U141="",V141="",V141&lt;=0),"",U141/V141)</f>
        <v/>
      </c>
      <c r="X141" s="12" t="str">
        <f aca="false">IF(OR(K141="",L141="",E141="",H141=""),"",K141*L141-E141*H141-IF(O141="",0,O141)-IF(P141="",0,P141))</f>
        <v/>
      </c>
      <c r="Y141" s="10" t="str">
        <f aca="false">IF(OR(X141="",E141="",H141=""),"",IF(E141*H141+IF(O141="",0,O141)&lt;=0,"",X141/(E141*H141+IF(O141="",0,O141))))</f>
        <v/>
      </c>
      <c r="Z141" s="10" t="str">
        <f aca="false">IF(OR(Y141="",多次统计数据!$B$8=""),"",Y141-多次统计数据!$B$8)</f>
        <v/>
      </c>
      <c r="AA141" s="13" t="str">
        <f aca="false">IF(OR(I141="",M141="",M141&lt;I141),"",M141-I141)</f>
        <v/>
      </c>
      <c r="AB141" s="10" t="str">
        <f aca="false">IF(OR(A141="",多次统计数据!$B$8="",多次统计数据!$B$6&lt;=0,多次统计数据!$B$6&gt;=1),"",1-POWER(1+多次统计数据!$B$8,-多次统计数据!$B$6/(1-多次统计数据!$B$6)))</f>
        <v/>
      </c>
      <c r="AC141" s="6" t="str">
        <f aca="false">IF(OR(AB141="",多次统计数据!$B$9=""),"",IF(多次统计数据!$B$9&lt;AB141,"低于上限","达到或超过上限"))</f>
        <v/>
      </c>
      <c r="AD141" s="2"/>
    </row>
    <row r="142" customFormat="false" ht="15" hidden="false" customHeight="false" outlineLevel="0" collapsed="false">
      <c r="A142" s="9"/>
      <c r="B142" s="9"/>
      <c r="C142" s="3"/>
      <c r="D142" s="4"/>
      <c r="E142" s="3"/>
      <c r="F142" s="5" t="str">
        <f aca="false">IF(OR(C142="",D142="",E142="",N142="",C142&lt;=0,D142&lt;=0,E142&lt;=N142),"",ROUNDDOWN((C142*D142)/(E142-N142)/100,0)*100)</f>
        <v/>
      </c>
      <c r="G142" s="6" t="str">
        <f aca="false">IF(OR(A142="",F142="",E142="",N142="",E142&lt;=N142,账户数据!$B$7=""),"",IF(账户数据!$B$9+IF(H142="",F142*(E142-N142),0)&gt;=账户数据!$B$7,"禁止开仓","允许开仓"))</f>
        <v/>
      </c>
      <c r="H142" s="7"/>
      <c r="I142" s="8"/>
      <c r="J142" s="3"/>
      <c r="K142" s="3"/>
      <c r="L142" s="5" t="str">
        <f aca="false">IF(K142="","",H142)</f>
        <v/>
      </c>
      <c r="M142" s="8"/>
      <c r="N142" s="3"/>
      <c r="O142" s="3"/>
      <c r="P142" s="3"/>
      <c r="Q142" s="9"/>
      <c r="R142" s="9"/>
      <c r="S142" s="9"/>
      <c r="T142" s="9"/>
      <c r="U142" s="10" t="str">
        <f aca="false">IF(OR(E142="",J142="",E142&lt;=0),"",(J142-E142)/E142)</f>
        <v/>
      </c>
      <c r="V142" s="10" t="str">
        <f aca="false">IF(OR(E142="",N142="",E142&lt;=0),"",(E142-N142)/E142)</f>
        <v/>
      </c>
      <c r="W142" s="11" t="str">
        <f aca="false">IF(OR(U142="",V142="",V142&lt;=0),"",U142/V142)</f>
        <v/>
      </c>
      <c r="X142" s="12" t="str">
        <f aca="false">IF(OR(K142="",L142="",E142="",H142=""),"",K142*L142-E142*H142-IF(O142="",0,O142)-IF(P142="",0,P142))</f>
        <v/>
      </c>
      <c r="Y142" s="10" t="str">
        <f aca="false">IF(OR(X142="",E142="",H142=""),"",IF(E142*H142+IF(O142="",0,O142)&lt;=0,"",X142/(E142*H142+IF(O142="",0,O142))))</f>
        <v/>
      </c>
      <c r="Z142" s="10" t="str">
        <f aca="false">IF(OR(Y142="",多次统计数据!$B$8=""),"",Y142-多次统计数据!$B$8)</f>
        <v/>
      </c>
      <c r="AA142" s="13" t="str">
        <f aca="false">IF(OR(I142="",M142="",M142&lt;I142),"",M142-I142)</f>
        <v/>
      </c>
      <c r="AB142" s="10" t="str">
        <f aca="false">IF(OR(A142="",多次统计数据!$B$8="",多次统计数据!$B$6&lt;=0,多次统计数据!$B$6&gt;=1),"",1-POWER(1+多次统计数据!$B$8,-多次统计数据!$B$6/(1-多次统计数据!$B$6)))</f>
        <v/>
      </c>
      <c r="AC142" s="6" t="str">
        <f aca="false">IF(OR(AB142="",多次统计数据!$B$9=""),"",IF(多次统计数据!$B$9&lt;AB142,"低于上限","达到或超过上限"))</f>
        <v/>
      </c>
      <c r="AD142" s="2"/>
    </row>
    <row r="143" customFormat="false" ht="15" hidden="false" customHeight="false" outlineLevel="0" collapsed="false">
      <c r="A143" s="9"/>
      <c r="B143" s="9"/>
      <c r="C143" s="3"/>
      <c r="D143" s="4"/>
      <c r="E143" s="3"/>
      <c r="F143" s="5" t="str">
        <f aca="false">IF(OR(C143="",D143="",E143="",N143="",C143&lt;=0,D143&lt;=0,E143&lt;=N143),"",ROUNDDOWN((C143*D143)/(E143-N143)/100,0)*100)</f>
        <v/>
      </c>
      <c r="G143" s="6" t="str">
        <f aca="false">IF(OR(A143="",F143="",E143="",N143="",E143&lt;=N143,账户数据!$B$7=""),"",IF(账户数据!$B$9+IF(H143="",F143*(E143-N143),0)&gt;=账户数据!$B$7,"禁止开仓","允许开仓"))</f>
        <v/>
      </c>
      <c r="H143" s="7"/>
      <c r="I143" s="8"/>
      <c r="J143" s="3"/>
      <c r="K143" s="3"/>
      <c r="L143" s="5" t="str">
        <f aca="false">IF(K143="","",H143)</f>
        <v/>
      </c>
      <c r="M143" s="8"/>
      <c r="N143" s="3"/>
      <c r="O143" s="3"/>
      <c r="P143" s="3"/>
      <c r="Q143" s="9"/>
      <c r="R143" s="9"/>
      <c r="S143" s="9"/>
      <c r="T143" s="9"/>
      <c r="U143" s="10" t="str">
        <f aca="false">IF(OR(E143="",J143="",E143&lt;=0),"",(J143-E143)/E143)</f>
        <v/>
      </c>
      <c r="V143" s="10" t="str">
        <f aca="false">IF(OR(E143="",N143="",E143&lt;=0),"",(E143-N143)/E143)</f>
        <v/>
      </c>
      <c r="W143" s="11" t="str">
        <f aca="false">IF(OR(U143="",V143="",V143&lt;=0),"",U143/V143)</f>
        <v/>
      </c>
      <c r="X143" s="12" t="str">
        <f aca="false">IF(OR(K143="",L143="",E143="",H143=""),"",K143*L143-E143*H143-IF(O143="",0,O143)-IF(P143="",0,P143))</f>
        <v/>
      </c>
      <c r="Y143" s="10" t="str">
        <f aca="false">IF(OR(X143="",E143="",H143=""),"",IF(E143*H143+IF(O143="",0,O143)&lt;=0,"",X143/(E143*H143+IF(O143="",0,O143))))</f>
        <v/>
      </c>
      <c r="Z143" s="10" t="str">
        <f aca="false">IF(OR(Y143="",多次统计数据!$B$8=""),"",Y143-多次统计数据!$B$8)</f>
        <v/>
      </c>
      <c r="AA143" s="13" t="str">
        <f aca="false">IF(OR(I143="",M143="",M143&lt;I143),"",M143-I143)</f>
        <v/>
      </c>
      <c r="AB143" s="10" t="str">
        <f aca="false">IF(OR(A143="",多次统计数据!$B$8="",多次统计数据!$B$6&lt;=0,多次统计数据!$B$6&gt;=1),"",1-POWER(1+多次统计数据!$B$8,-多次统计数据!$B$6/(1-多次统计数据!$B$6)))</f>
        <v/>
      </c>
      <c r="AC143" s="6" t="str">
        <f aca="false">IF(OR(AB143="",多次统计数据!$B$9=""),"",IF(多次统计数据!$B$9&lt;AB143,"低于上限","达到或超过上限"))</f>
        <v/>
      </c>
      <c r="AD143" s="2"/>
    </row>
    <row r="144" customFormat="false" ht="15" hidden="false" customHeight="false" outlineLevel="0" collapsed="false">
      <c r="A144" s="9"/>
      <c r="B144" s="9"/>
      <c r="C144" s="3"/>
      <c r="D144" s="4"/>
      <c r="E144" s="3"/>
      <c r="F144" s="5" t="str">
        <f aca="false">IF(OR(C144="",D144="",E144="",N144="",C144&lt;=0,D144&lt;=0,E144&lt;=N144),"",ROUNDDOWN((C144*D144)/(E144-N144)/100,0)*100)</f>
        <v/>
      </c>
      <c r="G144" s="6" t="str">
        <f aca="false">IF(OR(A144="",F144="",E144="",N144="",E144&lt;=N144,账户数据!$B$7=""),"",IF(账户数据!$B$9+IF(H144="",F144*(E144-N144),0)&gt;=账户数据!$B$7,"禁止开仓","允许开仓"))</f>
        <v/>
      </c>
      <c r="H144" s="7"/>
      <c r="I144" s="8"/>
      <c r="J144" s="3"/>
      <c r="K144" s="3"/>
      <c r="L144" s="5" t="str">
        <f aca="false">IF(K144="","",H144)</f>
        <v/>
      </c>
      <c r="M144" s="8"/>
      <c r="N144" s="3"/>
      <c r="O144" s="3"/>
      <c r="P144" s="3"/>
      <c r="Q144" s="9"/>
      <c r="R144" s="9"/>
      <c r="S144" s="9"/>
      <c r="T144" s="9"/>
      <c r="U144" s="10" t="str">
        <f aca="false">IF(OR(E144="",J144="",E144&lt;=0),"",(J144-E144)/E144)</f>
        <v/>
      </c>
      <c r="V144" s="10" t="str">
        <f aca="false">IF(OR(E144="",N144="",E144&lt;=0),"",(E144-N144)/E144)</f>
        <v/>
      </c>
      <c r="W144" s="11" t="str">
        <f aca="false">IF(OR(U144="",V144="",V144&lt;=0),"",U144/V144)</f>
        <v/>
      </c>
      <c r="X144" s="12" t="str">
        <f aca="false">IF(OR(K144="",L144="",E144="",H144=""),"",K144*L144-E144*H144-IF(O144="",0,O144)-IF(P144="",0,P144))</f>
        <v/>
      </c>
      <c r="Y144" s="10" t="str">
        <f aca="false">IF(OR(X144="",E144="",H144=""),"",IF(E144*H144+IF(O144="",0,O144)&lt;=0,"",X144/(E144*H144+IF(O144="",0,O144))))</f>
        <v/>
      </c>
      <c r="Z144" s="10" t="str">
        <f aca="false">IF(OR(Y144="",多次统计数据!$B$8=""),"",Y144-多次统计数据!$B$8)</f>
        <v/>
      </c>
      <c r="AA144" s="13" t="str">
        <f aca="false">IF(OR(I144="",M144="",M144&lt;I144),"",M144-I144)</f>
        <v/>
      </c>
      <c r="AB144" s="10" t="str">
        <f aca="false">IF(OR(A144="",多次统计数据!$B$8="",多次统计数据!$B$6&lt;=0,多次统计数据!$B$6&gt;=1),"",1-POWER(1+多次统计数据!$B$8,-多次统计数据!$B$6/(1-多次统计数据!$B$6)))</f>
        <v/>
      </c>
      <c r="AC144" s="6" t="str">
        <f aca="false">IF(OR(AB144="",多次统计数据!$B$9=""),"",IF(多次统计数据!$B$9&lt;AB144,"低于上限","达到或超过上限"))</f>
        <v/>
      </c>
      <c r="AD144" s="2"/>
    </row>
    <row r="145" customFormat="false" ht="15" hidden="false" customHeight="false" outlineLevel="0" collapsed="false">
      <c r="A145" s="9"/>
      <c r="B145" s="9"/>
      <c r="C145" s="3"/>
      <c r="D145" s="4"/>
      <c r="E145" s="3"/>
      <c r="F145" s="5" t="str">
        <f aca="false">IF(OR(C145="",D145="",E145="",N145="",C145&lt;=0,D145&lt;=0,E145&lt;=N145),"",ROUNDDOWN((C145*D145)/(E145-N145)/100,0)*100)</f>
        <v/>
      </c>
      <c r="G145" s="6" t="str">
        <f aca="false">IF(OR(A145="",F145="",E145="",N145="",E145&lt;=N145,账户数据!$B$7=""),"",IF(账户数据!$B$9+IF(H145="",F145*(E145-N145),0)&gt;=账户数据!$B$7,"禁止开仓","允许开仓"))</f>
        <v/>
      </c>
      <c r="H145" s="7"/>
      <c r="I145" s="8"/>
      <c r="J145" s="3"/>
      <c r="K145" s="3"/>
      <c r="L145" s="5" t="str">
        <f aca="false">IF(K145="","",H145)</f>
        <v/>
      </c>
      <c r="M145" s="8"/>
      <c r="N145" s="3"/>
      <c r="O145" s="3"/>
      <c r="P145" s="3"/>
      <c r="Q145" s="9"/>
      <c r="R145" s="9"/>
      <c r="S145" s="9"/>
      <c r="T145" s="9"/>
      <c r="U145" s="10" t="str">
        <f aca="false">IF(OR(E145="",J145="",E145&lt;=0),"",(J145-E145)/E145)</f>
        <v/>
      </c>
      <c r="V145" s="10" t="str">
        <f aca="false">IF(OR(E145="",N145="",E145&lt;=0),"",(E145-N145)/E145)</f>
        <v/>
      </c>
      <c r="W145" s="11" t="str">
        <f aca="false">IF(OR(U145="",V145="",V145&lt;=0),"",U145/V145)</f>
        <v/>
      </c>
      <c r="X145" s="12" t="str">
        <f aca="false">IF(OR(K145="",L145="",E145="",H145=""),"",K145*L145-E145*H145-IF(O145="",0,O145)-IF(P145="",0,P145))</f>
        <v/>
      </c>
      <c r="Y145" s="10" t="str">
        <f aca="false">IF(OR(X145="",E145="",H145=""),"",IF(E145*H145+IF(O145="",0,O145)&lt;=0,"",X145/(E145*H145+IF(O145="",0,O145))))</f>
        <v/>
      </c>
      <c r="Z145" s="10" t="str">
        <f aca="false">IF(OR(Y145="",多次统计数据!$B$8=""),"",Y145-多次统计数据!$B$8)</f>
        <v/>
      </c>
      <c r="AA145" s="13" t="str">
        <f aca="false">IF(OR(I145="",M145="",M145&lt;I145),"",M145-I145)</f>
        <v/>
      </c>
      <c r="AB145" s="10" t="str">
        <f aca="false">IF(OR(A145="",多次统计数据!$B$8="",多次统计数据!$B$6&lt;=0,多次统计数据!$B$6&gt;=1),"",1-POWER(1+多次统计数据!$B$8,-多次统计数据!$B$6/(1-多次统计数据!$B$6)))</f>
        <v/>
      </c>
      <c r="AC145" s="6" t="str">
        <f aca="false">IF(OR(AB145="",多次统计数据!$B$9=""),"",IF(多次统计数据!$B$9&lt;AB145,"低于上限","达到或超过上限"))</f>
        <v/>
      </c>
      <c r="AD145" s="2"/>
    </row>
    <row r="146" customFormat="false" ht="15" hidden="false" customHeight="false" outlineLevel="0" collapsed="false">
      <c r="A146" s="9"/>
      <c r="B146" s="9"/>
      <c r="C146" s="3"/>
      <c r="D146" s="4"/>
      <c r="E146" s="3"/>
      <c r="F146" s="5" t="str">
        <f aca="false">IF(OR(C146="",D146="",E146="",N146="",C146&lt;=0,D146&lt;=0,E146&lt;=N146),"",ROUNDDOWN((C146*D146)/(E146-N146)/100,0)*100)</f>
        <v/>
      </c>
      <c r="G146" s="6" t="str">
        <f aca="false">IF(OR(A146="",F146="",E146="",N146="",E146&lt;=N146,账户数据!$B$7=""),"",IF(账户数据!$B$9+IF(H146="",F146*(E146-N146),0)&gt;=账户数据!$B$7,"禁止开仓","允许开仓"))</f>
        <v/>
      </c>
      <c r="H146" s="7"/>
      <c r="I146" s="8"/>
      <c r="J146" s="3"/>
      <c r="K146" s="3"/>
      <c r="L146" s="5" t="str">
        <f aca="false">IF(K146="","",H146)</f>
        <v/>
      </c>
      <c r="M146" s="8"/>
      <c r="N146" s="3"/>
      <c r="O146" s="3"/>
      <c r="P146" s="3"/>
      <c r="Q146" s="9"/>
      <c r="R146" s="9"/>
      <c r="S146" s="9"/>
      <c r="T146" s="9"/>
      <c r="U146" s="10" t="str">
        <f aca="false">IF(OR(E146="",J146="",E146&lt;=0),"",(J146-E146)/E146)</f>
        <v/>
      </c>
      <c r="V146" s="10" t="str">
        <f aca="false">IF(OR(E146="",N146="",E146&lt;=0),"",(E146-N146)/E146)</f>
        <v/>
      </c>
      <c r="W146" s="11" t="str">
        <f aca="false">IF(OR(U146="",V146="",V146&lt;=0),"",U146/V146)</f>
        <v/>
      </c>
      <c r="X146" s="12" t="str">
        <f aca="false">IF(OR(K146="",L146="",E146="",H146=""),"",K146*L146-E146*H146-IF(O146="",0,O146)-IF(P146="",0,P146))</f>
        <v/>
      </c>
      <c r="Y146" s="10" t="str">
        <f aca="false">IF(OR(X146="",E146="",H146=""),"",IF(E146*H146+IF(O146="",0,O146)&lt;=0,"",X146/(E146*H146+IF(O146="",0,O146))))</f>
        <v/>
      </c>
      <c r="Z146" s="10" t="str">
        <f aca="false">IF(OR(Y146="",多次统计数据!$B$8=""),"",Y146-多次统计数据!$B$8)</f>
        <v/>
      </c>
      <c r="AA146" s="13" t="str">
        <f aca="false">IF(OR(I146="",M146="",M146&lt;I146),"",M146-I146)</f>
        <v/>
      </c>
      <c r="AB146" s="10" t="str">
        <f aca="false">IF(OR(A146="",多次统计数据!$B$8="",多次统计数据!$B$6&lt;=0,多次统计数据!$B$6&gt;=1),"",1-POWER(1+多次统计数据!$B$8,-多次统计数据!$B$6/(1-多次统计数据!$B$6)))</f>
        <v/>
      </c>
      <c r="AC146" s="6" t="str">
        <f aca="false">IF(OR(AB146="",多次统计数据!$B$9=""),"",IF(多次统计数据!$B$9&lt;AB146,"低于上限","达到或超过上限"))</f>
        <v/>
      </c>
      <c r="AD146" s="2"/>
    </row>
    <row r="147" customFormat="false" ht="15" hidden="false" customHeight="false" outlineLevel="0" collapsed="false">
      <c r="A147" s="9"/>
      <c r="B147" s="9"/>
      <c r="C147" s="3"/>
      <c r="D147" s="4"/>
      <c r="E147" s="3"/>
      <c r="F147" s="5" t="str">
        <f aca="false">IF(OR(C147="",D147="",E147="",N147="",C147&lt;=0,D147&lt;=0,E147&lt;=N147),"",ROUNDDOWN((C147*D147)/(E147-N147)/100,0)*100)</f>
        <v/>
      </c>
      <c r="G147" s="6" t="str">
        <f aca="false">IF(OR(A147="",F147="",E147="",N147="",E147&lt;=N147,账户数据!$B$7=""),"",IF(账户数据!$B$9+IF(H147="",F147*(E147-N147),0)&gt;=账户数据!$B$7,"禁止开仓","允许开仓"))</f>
        <v/>
      </c>
      <c r="H147" s="7"/>
      <c r="I147" s="8"/>
      <c r="J147" s="3"/>
      <c r="K147" s="3"/>
      <c r="L147" s="5" t="str">
        <f aca="false">IF(K147="","",H147)</f>
        <v/>
      </c>
      <c r="M147" s="8"/>
      <c r="N147" s="3"/>
      <c r="O147" s="3"/>
      <c r="P147" s="3"/>
      <c r="Q147" s="9"/>
      <c r="R147" s="9"/>
      <c r="S147" s="9"/>
      <c r="T147" s="9"/>
      <c r="U147" s="10" t="str">
        <f aca="false">IF(OR(E147="",J147="",E147&lt;=0),"",(J147-E147)/E147)</f>
        <v/>
      </c>
      <c r="V147" s="10" t="str">
        <f aca="false">IF(OR(E147="",N147="",E147&lt;=0),"",(E147-N147)/E147)</f>
        <v/>
      </c>
      <c r="W147" s="11" t="str">
        <f aca="false">IF(OR(U147="",V147="",V147&lt;=0),"",U147/V147)</f>
        <v/>
      </c>
      <c r="X147" s="12" t="str">
        <f aca="false">IF(OR(K147="",L147="",E147="",H147=""),"",K147*L147-E147*H147-IF(O147="",0,O147)-IF(P147="",0,P147))</f>
        <v/>
      </c>
      <c r="Y147" s="10" t="str">
        <f aca="false">IF(OR(X147="",E147="",H147=""),"",IF(E147*H147+IF(O147="",0,O147)&lt;=0,"",X147/(E147*H147+IF(O147="",0,O147))))</f>
        <v/>
      </c>
      <c r="Z147" s="10" t="str">
        <f aca="false">IF(OR(Y147="",多次统计数据!$B$8=""),"",Y147-多次统计数据!$B$8)</f>
        <v/>
      </c>
      <c r="AA147" s="13" t="str">
        <f aca="false">IF(OR(I147="",M147="",M147&lt;I147),"",M147-I147)</f>
        <v/>
      </c>
      <c r="AB147" s="10" t="str">
        <f aca="false">IF(OR(A147="",多次统计数据!$B$8="",多次统计数据!$B$6&lt;=0,多次统计数据!$B$6&gt;=1),"",1-POWER(1+多次统计数据!$B$8,-多次统计数据!$B$6/(1-多次统计数据!$B$6)))</f>
        <v/>
      </c>
      <c r="AC147" s="6" t="str">
        <f aca="false">IF(OR(AB147="",多次统计数据!$B$9=""),"",IF(多次统计数据!$B$9&lt;AB147,"低于上限","达到或超过上限"))</f>
        <v/>
      </c>
      <c r="AD147" s="2"/>
    </row>
    <row r="148" customFormat="false" ht="15" hidden="false" customHeight="false" outlineLevel="0" collapsed="false">
      <c r="A148" s="9"/>
      <c r="B148" s="9"/>
      <c r="C148" s="3"/>
      <c r="D148" s="4"/>
      <c r="E148" s="3"/>
      <c r="F148" s="5" t="str">
        <f aca="false">IF(OR(C148="",D148="",E148="",N148="",C148&lt;=0,D148&lt;=0,E148&lt;=N148),"",ROUNDDOWN((C148*D148)/(E148-N148)/100,0)*100)</f>
        <v/>
      </c>
      <c r="G148" s="6" t="str">
        <f aca="false">IF(OR(A148="",F148="",E148="",N148="",E148&lt;=N148,账户数据!$B$7=""),"",IF(账户数据!$B$9+IF(H148="",F148*(E148-N148),0)&gt;=账户数据!$B$7,"禁止开仓","允许开仓"))</f>
        <v/>
      </c>
      <c r="H148" s="7"/>
      <c r="I148" s="8"/>
      <c r="J148" s="3"/>
      <c r="K148" s="3"/>
      <c r="L148" s="5" t="str">
        <f aca="false">IF(K148="","",H148)</f>
        <v/>
      </c>
      <c r="M148" s="8"/>
      <c r="N148" s="3"/>
      <c r="O148" s="3"/>
      <c r="P148" s="3"/>
      <c r="Q148" s="9"/>
      <c r="R148" s="9"/>
      <c r="S148" s="9"/>
      <c r="T148" s="9"/>
      <c r="U148" s="10" t="str">
        <f aca="false">IF(OR(E148="",J148="",E148&lt;=0),"",(J148-E148)/E148)</f>
        <v/>
      </c>
      <c r="V148" s="10" t="str">
        <f aca="false">IF(OR(E148="",N148="",E148&lt;=0),"",(E148-N148)/E148)</f>
        <v/>
      </c>
      <c r="W148" s="11" t="str">
        <f aca="false">IF(OR(U148="",V148="",V148&lt;=0),"",U148/V148)</f>
        <v/>
      </c>
      <c r="X148" s="12" t="str">
        <f aca="false">IF(OR(K148="",L148="",E148="",H148=""),"",K148*L148-E148*H148-IF(O148="",0,O148)-IF(P148="",0,P148))</f>
        <v/>
      </c>
      <c r="Y148" s="10" t="str">
        <f aca="false">IF(OR(X148="",E148="",H148=""),"",IF(E148*H148+IF(O148="",0,O148)&lt;=0,"",X148/(E148*H148+IF(O148="",0,O148))))</f>
        <v/>
      </c>
      <c r="Z148" s="10" t="str">
        <f aca="false">IF(OR(Y148="",多次统计数据!$B$8=""),"",Y148-多次统计数据!$B$8)</f>
        <v/>
      </c>
      <c r="AA148" s="13" t="str">
        <f aca="false">IF(OR(I148="",M148="",M148&lt;I148),"",M148-I148)</f>
        <v/>
      </c>
      <c r="AB148" s="10" t="str">
        <f aca="false">IF(OR(A148="",多次统计数据!$B$8="",多次统计数据!$B$6&lt;=0,多次统计数据!$B$6&gt;=1),"",1-POWER(1+多次统计数据!$B$8,-多次统计数据!$B$6/(1-多次统计数据!$B$6)))</f>
        <v/>
      </c>
      <c r="AC148" s="6" t="str">
        <f aca="false">IF(OR(AB148="",多次统计数据!$B$9=""),"",IF(多次统计数据!$B$9&lt;AB148,"低于上限","达到或超过上限"))</f>
        <v/>
      </c>
      <c r="AD148" s="2"/>
    </row>
    <row r="149" customFormat="false" ht="15" hidden="false" customHeight="false" outlineLevel="0" collapsed="false">
      <c r="A149" s="9"/>
      <c r="B149" s="9"/>
      <c r="C149" s="3"/>
      <c r="D149" s="4"/>
      <c r="E149" s="3"/>
      <c r="F149" s="5" t="str">
        <f aca="false">IF(OR(C149="",D149="",E149="",N149="",C149&lt;=0,D149&lt;=0,E149&lt;=N149),"",ROUNDDOWN((C149*D149)/(E149-N149)/100,0)*100)</f>
        <v/>
      </c>
      <c r="G149" s="6" t="str">
        <f aca="false">IF(OR(A149="",F149="",E149="",N149="",E149&lt;=N149,账户数据!$B$7=""),"",IF(账户数据!$B$9+IF(H149="",F149*(E149-N149),0)&gt;=账户数据!$B$7,"禁止开仓","允许开仓"))</f>
        <v/>
      </c>
      <c r="H149" s="7"/>
      <c r="I149" s="8"/>
      <c r="J149" s="3"/>
      <c r="K149" s="3"/>
      <c r="L149" s="5" t="str">
        <f aca="false">IF(K149="","",H149)</f>
        <v/>
      </c>
      <c r="M149" s="8"/>
      <c r="N149" s="3"/>
      <c r="O149" s="3"/>
      <c r="P149" s="3"/>
      <c r="Q149" s="9"/>
      <c r="R149" s="9"/>
      <c r="S149" s="9"/>
      <c r="T149" s="9"/>
      <c r="U149" s="10" t="str">
        <f aca="false">IF(OR(E149="",J149="",E149&lt;=0),"",(J149-E149)/E149)</f>
        <v/>
      </c>
      <c r="V149" s="10" t="str">
        <f aca="false">IF(OR(E149="",N149="",E149&lt;=0),"",(E149-N149)/E149)</f>
        <v/>
      </c>
      <c r="W149" s="11" t="str">
        <f aca="false">IF(OR(U149="",V149="",V149&lt;=0),"",U149/V149)</f>
        <v/>
      </c>
      <c r="X149" s="12" t="str">
        <f aca="false">IF(OR(K149="",L149="",E149="",H149=""),"",K149*L149-E149*H149-IF(O149="",0,O149)-IF(P149="",0,P149))</f>
        <v/>
      </c>
      <c r="Y149" s="10" t="str">
        <f aca="false">IF(OR(X149="",E149="",H149=""),"",IF(E149*H149+IF(O149="",0,O149)&lt;=0,"",X149/(E149*H149+IF(O149="",0,O149))))</f>
        <v/>
      </c>
      <c r="Z149" s="10" t="str">
        <f aca="false">IF(OR(Y149="",多次统计数据!$B$8=""),"",Y149-多次统计数据!$B$8)</f>
        <v/>
      </c>
      <c r="AA149" s="13" t="str">
        <f aca="false">IF(OR(I149="",M149="",M149&lt;I149),"",M149-I149)</f>
        <v/>
      </c>
      <c r="AB149" s="10" t="str">
        <f aca="false">IF(OR(A149="",多次统计数据!$B$8="",多次统计数据!$B$6&lt;=0,多次统计数据!$B$6&gt;=1),"",1-POWER(1+多次统计数据!$B$8,-多次统计数据!$B$6/(1-多次统计数据!$B$6)))</f>
        <v/>
      </c>
      <c r="AC149" s="6" t="str">
        <f aca="false">IF(OR(AB149="",多次统计数据!$B$9=""),"",IF(多次统计数据!$B$9&lt;AB149,"低于上限","达到或超过上限"))</f>
        <v/>
      </c>
      <c r="AD149" s="2"/>
    </row>
    <row r="150" customFormat="false" ht="15" hidden="false" customHeight="false" outlineLevel="0" collapsed="false">
      <c r="A150" s="9"/>
      <c r="B150" s="9"/>
      <c r="C150" s="3"/>
      <c r="D150" s="4"/>
      <c r="E150" s="3"/>
      <c r="F150" s="5" t="str">
        <f aca="false">IF(OR(C150="",D150="",E150="",N150="",C150&lt;=0,D150&lt;=0,E150&lt;=N150),"",ROUNDDOWN((C150*D150)/(E150-N150)/100,0)*100)</f>
        <v/>
      </c>
      <c r="G150" s="6" t="str">
        <f aca="false">IF(OR(A150="",F150="",E150="",N150="",E150&lt;=N150,账户数据!$B$7=""),"",IF(账户数据!$B$9+IF(H150="",F150*(E150-N150),0)&gt;=账户数据!$B$7,"禁止开仓","允许开仓"))</f>
        <v/>
      </c>
      <c r="H150" s="7"/>
      <c r="I150" s="8"/>
      <c r="J150" s="3"/>
      <c r="K150" s="3"/>
      <c r="L150" s="5" t="str">
        <f aca="false">IF(K150="","",H150)</f>
        <v/>
      </c>
      <c r="M150" s="8"/>
      <c r="N150" s="3"/>
      <c r="O150" s="3"/>
      <c r="P150" s="3"/>
      <c r="Q150" s="9"/>
      <c r="R150" s="9"/>
      <c r="S150" s="9"/>
      <c r="T150" s="9"/>
      <c r="U150" s="10" t="str">
        <f aca="false">IF(OR(E150="",J150="",E150&lt;=0),"",(J150-E150)/E150)</f>
        <v/>
      </c>
      <c r="V150" s="10" t="str">
        <f aca="false">IF(OR(E150="",N150="",E150&lt;=0),"",(E150-N150)/E150)</f>
        <v/>
      </c>
      <c r="W150" s="11" t="str">
        <f aca="false">IF(OR(U150="",V150="",V150&lt;=0),"",U150/V150)</f>
        <v/>
      </c>
      <c r="X150" s="12" t="str">
        <f aca="false">IF(OR(K150="",L150="",E150="",H150=""),"",K150*L150-E150*H150-IF(O150="",0,O150)-IF(P150="",0,P150))</f>
        <v/>
      </c>
      <c r="Y150" s="10" t="str">
        <f aca="false">IF(OR(X150="",E150="",H150=""),"",IF(E150*H150+IF(O150="",0,O150)&lt;=0,"",X150/(E150*H150+IF(O150="",0,O150))))</f>
        <v/>
      </c>
      <c r="Z150" s="10" t="str">
        <f aca="false">IF(OR(Y150="",多次统计数据!$B$8=""),"",Y150-多次统计数据!$B$8)</f>
        <v/>
      </c>
      <c r="AA150" s="13" t="str">
        <f aca="false">IF(OR(I150="",M150="",M150&lt;I150),"",M150-I150)</f>
        <v/>
      </c>
      <c r="AB150" s="10" t="str">
        <f aca="false">IF(OR(A150="",多次统计数据!$B$8="",多次统计数据!$B$6&lt;=0,多次统计数据!$B$6&gt;=1),"",1-POWER(1+多次统计数据!$B$8,-多次统计数据!$B$6/(1-多次统计数据!$B$6)))</f>
        <v/>
      </c>
      <c r="AC150" s="6" t="str">
        <f aca="false">IF(OR(AB150="",多次统计数据!$B$9=""),"",IF(多次统计数据!$B$9&lt;AB150,"低于上限","达到或超过上限"))</f>
        <v/>
      </c>
      <c r="AD150" s="2"/>
    </row>
    <row r="151" customFormat="false" ht="15" hidden="false" customHeight="false" outlineLevel="0" collapsed="false">
      <c r="A151" s="9"/>
      <c r="B151" s="9"/>
      <c r="C151" s="3"/>
      <c r="D151" s="4"/>
      <c r="E151" s="3"/>
      <c r="F151" s="5" t="str">
        <f aca="false">IF(OR(C151="",D151="",E151="",N151="",C151&lt;=0,D151&lt;=0,E151&lt;=N151),"",ROUNDDOWN((C151*D151)/(E151-N151)/100,0)*100)</f>
        <v/>
      </c>
      <c r="G151" s="6" t="str">
        <f aca="false">IF(OR(A151="",F151="",E151="",N151="",E151&lt;=N151,账户数据!$B$7=""),"",IF(账户数据!$B$9+IF(H151="",F151*(E151-N151),0)&gt;=账户数据!$B$7,"禁止开仓","允许开仓"))</f>
        <v/>
      </c>
      <c r="H151" s="7"/>
      <c r="I151" s="8"/>
      <c r="J151" s="3"/>
      <c r="K151" s="3"/>
      <c r="L151" s="5" t="str">
        <f aca="false">IF(K151="","",H151)</f>
        <v/>
      </c>
      <c r="M151" s="8"/>
      <c r="N151" s="3"/>
      <c r="O151" s="3"/>
      <c r="P151" s="3"/>
      <c r="Q151" s="9"/>
      <c r="R151" s="9"/>
      <c r="S151" s="9"/>
      <c r="T151" s="9"/>
      <c r="U151" s="10" t="str">
        <f aca="false">IF(OR(E151="",J151="",E151&lt;=0),"",(J151-E151)/E151)</f>
        <v/>
      </c>
      <c r="V151" s="10" t="str">
        <f aca="false">IF(OR(E151="",N151="",E151&lt;=0),"",(E151-N151)/E151)</f>
        <v/>
      </c>
      <c r="W151" s="11" t="str">
        <f aca="false">IF(OR(U151="",V151="",V151&lt;=0),"",U151/V151)</f>
        <v/>
      </c>
      <c r="X151" s="12" t="str">
        <f aca="false">IF(OR(K151="",L151="",E151="",H151=""),"",K151*L151-E151*H151-IF(O151="",0,O151)-IF(P151="",0,P151))</f>
        <v/>
      </c>
      <c r="Y151" s="10" t="str">
        <f aca="false">IF(OR(X151="",E151="",H151=""),"",IF(E151*H151+IF(O151="",0,O151)&lt;=0,"",X151/(E151*H151+IF(O151="",0,O151))))</f>
        <v/>
      </c>
      <c r="Z151" s="10" t="str">
        <f aca="false">IF(OR(Y151="",多次统计数据!$B$8=""),"",Y151-多次统计数据!$B$8)</f>
        <v/>
      </c>
      <c r="AA151" s="13" t="str">
        <f aca="false">IF(OR(I151="",M151="",M151&lt;I151),"",M151-I151)</f>
        <v/>
      </c>
      <c r="AB151" s="10" t="str">
        <f aca="false">IF(OR(A151="",多次统计数据!$B$8="",多次统计数据!$B$6&lt;=0,多次统计数据!$B$6&gt;=1),"",1-POWER(1+多次统计数据!$B$8,-多次统计数据!$B$6/(1-多次统计数据!$B$6)))</f>
        <v/>
      </c>
      <c r="AC151" s="6" t="str">
        <f aca="false">IF(OR(AB151="",多次统计数据!$B$9=""),"",IF(多次统计数据!$B$9&lt;AB151,"低于上限","达到或超过上限"))</f>
        <v/>
      </c>
      <c r="AD151" s="2"/>
    </row>
    <row r="152" customFormat="false" ht="15" hidden="false" customHeight="false" outlineLevel="0" collapsed="false">
      <c r="A152" s="9"/>
      <c r="B152" s="9"/>
      <c r="C152" s="3"/>
      <c r="D152" s="4"/>
      <c r="E152" s="3"/>
      <c r="F152" s="5" t="str">
        <f aca="false">IF(OR(C152="",D152="",E152="",N152="",C152&lt;=0,D152&lt;=0,E152&lt;=N152),"",ROUNDDOWN((C152*D152)/(E152-N152)/100,0)*100)</f>
        <v/>
      </c>
      <c r="G152" s="6" t="str">
        <f aca="false">IF(OR(A152="",F152="",E152="",N152="",E152&lt;=N152,账户数据!$B$7=""),"",IF(账户数据!$B$9+IF(H152="",F152*(E152-N152),0)&gt;=账户数据!$B$7,"禁止开仓","允许开仓"))</f>
        <v/>
      </c>
      <c r="H152" s="7"/>
      <c r="I152" s="8"/>
      <c r="J152" s="3"/>
      <c r="K152" s="3"/>
      <c r="L152" s="5" t="str">
        <f aca="false">IF(K152="","",H152)</f>
        <v/>
      </c>
      <c r="M152" s="8"/>
      <c r="N152" s="3"/>
      <c r="O152" s="3"/>
      <c r="P152" s="3"/>
      <c r="Q152" s="9"/>
      <c r="R152" s="9"/>
      <c r="S152" s="9"/>
      <c r="T152" s="9"/>
      <c r="U152" s="10" t="str">
        <f aca="false">IF(OR(E152="",J152="",E152&lt;=0),"",(J152-E152)/E152)</f>
        <v/>
      </c>
      <c r="V152" s="10" t="str">
        <f aca="false">IF(OR(E152="",N152="",E152&lt;=0),"",(E152-N152)/E152)</f>
        <v/>
      </c>
      <c r="W152" s="11" t="str">
        <f aca="false">IF(OR(U152="",V152="",V152&lt;=0),"",U152/V152)</f>
        <v/>
      </c>
      <c r="X152" s="12" t="str">
        <f aca="false">IF(OR(K152="",L152="",E152="",H152=""),"",K152*L152-E152*H152-IF(O152="",0,O152)-IF(P152="",0,P152))</f>
        <v/>
      </c>
      <c r="Y152" s="10" t="str">
        <f aca="false">IF(OR(X152="",E152="",H152=""),"",IF(E152*H152+IF(O152="",0,O152)&lt;=0,"",X152/(E152*H152+IF(O152="",0,O152))))</f>
        <v/>
      </c>
      <c r="Z152" s="10" t="str">
        <f aca="false">IF(OR(Y152="",多次统计数据!$B$8=""),"",Y152-多次统计数据!$B$8)</f>
        <v/>
      </c>
      <c r="AA152" s="13" t="str">
        <f aca="false">IF(OR(I152="",M152="",M152&lt;I152),"",M152-I152)</f>
        <v/>
      </c>
      <c r="AB152" s="10" t="str">
        <f aca="false">IF(OR(A152="",多次统计数据!$B$8="",多次统计数据!$B$6&lt;=0,多次统计数据!$B$6&gt;=1),"",1-POWER(1+多次统计数据!$B$8,-多次统计数据!$B$6/(1-多次统计数据!$B$6)))</f>
        <v/>
      </c>
      <c r="AC152" s="6" t="str">
        <f aca="false">IF(OR(AB152="",多次统计数据!$B$9=""),"",IF(多次统计数据!$B$9&lt;AB152,"低于上限","达到或超过上限"))</f>
        <v/>
      </c>
      <c r="AD152" s="2"/>
    </row>
    <row r="153" customFormat="false" ht="15" hidden="false" customHeight="false" outlineLevel="0" collapsed="false">
      <c r="A153" s="9"/>
      <c r="B153" s="9"/>
      <c r="C153" s="3"/>
      <c r="D153" s="4"/>
      <c r="E153" s="3"/>
      <c r="F153" s="5" t="str">
        <f aca="false">IF(OR(C153="",D153="",E153="",N153="",C153&lt;=0,D153&lt;=0,E153&lt;=N153),"",ROUNDDOWN((C153*D153)/(E153-N153)/100,0)*100)</f>
        <v/>
      </c>
      <c r="G153" s="6" t="str">
        <f aca="false">IF(OR(A153="",F153="",E153="",N153="",E153&lt;=N153,账户数据!$B$7=""),"",IF(账户数据!$B$9+IF(H153="",F153*(E153-N153),0)&gt;=账户数据!$B$7,"禁止开仓","允许开仓"))</f>
        <v/>
      </c>
      <c r="H153" s="7"/>
      <c r="I153" s="8"/>
      <c r="J153" s="3"/>
      <c r="K153" s="3"/>
      <c r="L153" s="5" t="str">
        <f aca="false">IF(K153="","",H153)</f>
        <v/>
      </c>
      <c r="M153" s="8"/>
      <c r="N153" s="3"/>
      <c r="O153" s="3"/>
      <c r="P153" s="3"/>
      <c r="Q153" s="9"/>
      <c r="R153" s="9"/>
      <c r="S153" s="9"/>
      <c r="T153" s="9"/>
      <c r="U153" s="10" t="str">
        <f aca="false">IF(OR(E153="",J153="",E153&lt;=0),"",(J153-E153)/E153)</f>
        <v/>
      </c>
      <c r="V153" s="10" t="str">
        <f aca="false">IF(OR(E153="",N153="",E153&lt;=0),"",(E153-N153)/E153)</f>
        <v/>
      </c>
      <c r="W153" s="11" t="str">
        <f aca="false">IF(OR(U153="",V153="",V153&lt;=0),"",U153/V153)</f>
        <v/>
      </c>
      <c r="X153" s="12" t="str">
        <f aca="false">IF(OR(K153="",L153="",E153="",H153=""),"",K153*L153-E153*H153-IF(O153="",0,O153)-IF(P153="",0,P153))</f>
        <v/>
      </c>
      <c r="Y153" s="10" t="str">
        <f aca="false">IF(OR(X153="",E153="",H153=""),"",IF(E153*H153+IF(O153="",0,O153)&lt;=0,"",X153/(E153*H153+IF(O153="",0,O153))))</f>
        <v/>
      </c>
      <c r="Z153" s="10" t="str">
        <f aca="false">IF(OR(Y153="",多次统计数据!$B$8=""),"",Y153-多次统计数据!$B$8)</f>
        <v/>
      </c>
      <c r="AA153" s="13" t="str">
        <f aca="false">IF(OR(I153="",M153="",M153&lt;I153),"",M153-I153)</f>
        <v/>
      </c>
      <c r="AB153" s="10" t="str">
        <f aca="false">IF(OR(A153="",多次统计数据!$B$8="",多次统计数据!$B$6&lt;=0,多次统计数据!$B$6&gt;=1),"",1-POWER(1+多次统计数据!$B$8,-多次统计数据!$B$6/(1-多次统计数据!$B$6)))</f>
        <v/>
      </c>
      <c r="AC153" s="6" t="str">
        <f aca="false">IF(OR(AB153="",多次统计数据!$B$9=""),"",IF(多次统计数据!$B$9&lt;AB153,"低于上限","达到或超过上限"))</f>
        <v/>
      </c>
      <c r="AD153" s="2"/>
    </row>
    <row r="154" customFormat="false" ht="15" hidden="false" customHeight="false" outlineLevel="0" collapsed="false">
      <c r="A154" s="9"/>
      <c r="B154" s="9"/>
      <c r="C154" s="3"/>
      <c r="D154" s="4"/>
      <c r="E154" s="3"/>
      <c r="F154" s="5" t="str">
        <f aca="false">IF(OR(C154="",D154="",E154="",N154="",C154&lt;=0,D154&lt;=0,E154&lt;=N154),"",ROUNDDOWN((C154*D154)/(E154-N154)/100,0)*100)</f>
        <v/>
      </c>
      <c r="G154" s="6" t="str">
        <f aca="false">IF(OR(A154="",F154="",E154="",N154="",E154&lt;=N154,账户数据!$B$7=""),"",IF(账户数据!$B$9+IF(H154="",F154*(E154-N154),0)&gt;=账户数据!$B$7,"禁止开仓","允许开仓"))</f>
        <v/>
      </c>
      <c r="H154" s="7"/>
      <c r="I154" s="8"/>
      <c r="J154" s="3"/>
      <c r="K154" s="3"/>
      <c r="L154" s="5" t="str">
        <f aca="false">IF(K154="","",H154)</f>
        <v/>
      </c>
      <c r="M154" s="8"/>
      <c r="N154" s="3"/>
      <c r="O154" s="3"/>
      <c r="P154" s="3"/>
      <c r="Q154" s="9"/>
      <c r="R154" s="9"/>
      <c r="S154" s="9"/>
      <c r="T154" s="9"/>
      <c r="U154" s="10" t="str">
        <f aca="false">IF(OR(E154="",J154="",E154&lt;=0),"",(J154-E154)/E154)</f>
        <v/>
      </c>
      <c r="V154" s="10" t="str">
        <f aca="false">IF(OR(E154="",N154="",E154&lt;=0),"",(E154-N154)/E154)</f>
        <v/>
      </c>
      <c r="W154" s="11" t="str">
        <f aca="false">IF(OR(U154="",V154="",V154&lt;=0),"",U154/V154)</f>
        <v/>
      </c>
      <c r="X154" s="12" t="str">
        <f aca="false">IF(OR(K154="",L154="",E154="",H154=""),"",K154*L154-E154*H154-IF(O154="",0,O154)-IF(P154="",0,P154))</f>
        <v/>
      </c>
      <c r="Y154" s="10" t="str">
        <f aca="false">IF(OR(X154="",E154="",H154=""),"",IF(E154*H154+IF(O154="",0,O154)&lt;=0,"",X154/(E154*H154+IF(O154="",0,O154))))</f>
        <v/>
      </c>
      <c r="Z154" s="10" t="str">
        <f aca="false">IF(OR(Y154="",多次统计数据!$B$8=""),"",Y154-多次统计数据!$B$8)</f>
        <v/>
      </c>
      <c r="AA154" s="13" t="str">
        <f aca="false">IF(OR(I154="",M154="",M154&lt;I154),"",M154-I154)</f>
        <v/>
      </c>
      <c r="AB154" s="10" t="str">
        <f aca="false">IF(OR(A154="",多次统计数据!$B$8="",多次统计数据!$B$6&lt;=0,多次统计数据!$B$6&gt;=1),"",1-POWER(1+多次统计数据!$B$8,-多次统计数据!$B$6/(1-多次统计数据!$B$6)))</f>
        <v/>
      </c>
      <c r="AC154" s="6" t="str">
        <f aca="false">IF(OR(AB154="",多次统计数据!$B$9=""),"",IF(多次统计数据!$B$9&lt;AB154,"低于上限","达到或超过上限"))</f>
        <v/>
      </c>
      <c r="AD154" s="2"/>
    </row>
    <row r="155" customFormat="false" ht="15" hidden="false" customHeight="false" outlineLevel="0" collapsed="false">
      <c r="A155" s="9"/>
      <c r="B155" s="9"/>
      <c r="C155" s="3"/>
      <c r="D155" s="4"/>
      <c r="E155" s="3"/>
      <c r="F155" s="5" t="str">
        <f aca="false">IF(OR(C155="",D155="",E155="",N155="",C155&lt;=0,D155&lt;=0,E155&lt;=N155),"",ROUNDDOWN((C155*D155)/(E155-N155)/100,0)*100)</f>
        <v/>
      </c>
      <c r="G155" s="6" t="str">
        <f aca="false">IF(OR(A155="",F155="",E155="",N155="",E155&lt;=N155,账户数据!$B$7=""),"",IF(账户数据!$B$9+IF(H155="",F155*(E155-N155),0)&gt;=账户数据!$B$7,"禁止开仓","允许开仓"))</f>
        <v/>
      </c>
      <c r="H155" s="7"/>
      <c r="I155" s="8"/>
      <c r="J155" s="3"/>
      <c r="K155" s="3"/>
      <c r="L155" s="5" t="str">
        <f aca="false">IF(K155="","",H155)</f>
        <v/>
      </c>
      <c r="M155" s="8"/>
      <c r="N155" s="3"/>
      <c r="O155" s="3"/>
      <c r="P155" s="3"/>
      <c r="Q155" s="9"/>
      <c r="R155" s="9"/>
      <c r="S155" s="9"/>
      <c r="T155" s="9"/>
      <c r="U155" s="10" t="str">
        <f aca="false">IF(OR(E155="",J155="",E155&lt;=0),"",(J155-E155)/E155)</f>
        <v/>
      </c>
      <c r="V155" s="10" t="str">
        <f aca="false">IF(OR(E155="",N155="",E155&lt;=0),"",(E155-N155)/E155)</f>
        <v/>
      </c>
      <c r="W155" s="11" t="str">
        <f aca="false">IF(OR(U155="",V155="",V155&lt;=0),"",U155/V155)</f>
        <v/>
      </c>
      <c r="X155" s="12" t="str">
        <f aca="false">IF(OR(K155="",L155="",E155="",H155=""),"",K155*L155-E155*H155-IF(O155="",0,O155)-IF(P155="",0,P155))</f>
        <v/>
      </c>
      <c r="Y155" s="10" t="str">
        <f aca="false">IF(OR(X155="",E155="",H155=""),"",IF(E155*H155+IF(O155="",0,O155)&lt;=0,"",X155/(E155*H155+IF(O155="",0,O155))))</f>
        <v/>
      </c>
      <c r="Z155" s="10" t="str">
        <f aca="false">IF(OR(Y155="",多次统计数据!$B$8=""),"",Y155-多次统计数据!$B$8)</f>
        <v/>
      </c>
      <c r="AA155" s="13" t="str">
        <f aca="false">IF(OR(I155="",M155="",M155&lt;I155),"",M155-I155)</f>
        <v/>
      </c>
      <c r="AB155" s="10" t="str">
        <f aca="false">IF(OR(A155="",多次统计数据!$B$8="",多次统计数据!$B$6&lt;=0,多次统计数据!$B$6&gt;=1),"",1-POWER(1+多次统计数据!$B$8,-多次统计数据!$B$6/(1-多次统计数据!$B$6)))</f>
        <v/>
      </c>
      <c r="AC155" s="6" t="str">
        <f aca="false">IF(OR(AB155="",多次统计数据!$B$9=""),"",IF(多次统计数据!$B$9&lt;AB155,"低于上限","达到或超过上限"))</f>
        <v/>
      </c>
      <c r="AD155" s="2"/>
    </row>
    <row r="156" customFormat="false" ht="15" hidden="false" customHeight="false" outlineLevel="0" collapsed="false">
      <c r="A156" s="9"/>
      <c r="B156" s="9"/>
      <c r="C156" s="3"/>
      <c r="D156" s="4"/>
      <c r="E156" s="3"/>
      <c r="F156" s="5" t="str">
        <f aca="false">IF(OR(C156="",D156="",E156="",N156="",C156&lt;=0,D156&lt;=0,E156&lt;=N156),"",ROUNDDOWN((C156*D156)/(E156-N156)/100,0)*100)</f>
        <v/>
      </c>
      <c r="G156" s="6" t="str">
        <f aca="false">IF(OR(A156="",F156="",E156="",N156="",E156&lt;=N156,账户数据!$B$7=""),"",IF(账户数据!$B$9+IF(H156="",F156*(E156-N156),0)&gt;=账户数据!$B$7,"禁止开仓","允许开仓"))</f>
        <v/>
      </c>
      <c r="H156" s="7"/>
      <c r="I156" s="8"/>
      <c r="J156" s="3"/>
      <c r="K156" s="3"/>
      <c r="L156" s="5" t="str">
        <f aca="false">IF(K156="","",H156)</f>
        <v/>
      </c>
      <c r="M156" s="8"/>
      <c r="N156" s="3"/>
      <c r="O156" s="3"/>
      <c r="P156" s="3"/>
      <c r="Q156" s="9"/>
      <c r="R156" s="9"/>
      <c r="S156" s="9"/>
      <c r="T156" s="9"/>
      <c r="U156" s="10" t="str">
        <f aca="false">IF(OR(E156="",J156="",E156&lt;=0),"",(J156-E156)/E156)</f>
        <v/>
      </c>
      <c r="V156" s="10" t="str">
        <f aca="false">IF(OR(E156="",N156="",E156&lt;=0),"",(E156-N156)/E156)</f>
        <v/>
      </c>
      <c r="W156" s="11" t="str">
        <f aca="false">IF(OR(U156="",V156="",V156&lt;=0),"",U156/V156)</f>
        <v/>
      </c>
      <c r="X156" s="12" t="str">
        <f aca="false">IF(OR(K156="",L156="",E156="",H156=""),"",K156*L156-E156*H156-IF(O156="",0,O156)-IF(P156="",0,P156))</f>
        <v/>
      </c>
      <c r="Y156" s="10" t="str">
        <f aca="false">IF(OR(X156="",E156="",H156=""),"",IF(E156*H156+IF(O156="",0,O156)&lt;=0,"",X156/(E156*H156+IF(O156="",0,O156))))</f>
        <v/>
      </c>
      <c r="Z156" s="10" t="str">
        <f aca="false">IF(OR(Y156="",多次统计数据!$B$8=""),"",Y156-多次统计数据!$B$8)</f>
        <v/>
      </c>
      <c r="AA156" s="13" t="str">
        <f aca="false">IF(OR(I156="",M156="",M156&lt;I156),"",M156-I156)</f>
        <v/>
      </c>
      <c r="AB156" s="10" t="str">
        <f aca="false">IF(OR(A156="",多次统计数据!$B$8="",多次统计数据!$B$6&lt;=0,多次统计数据!$B$6&gt;=1),"",1-POWER(1+多次统计数据!$B$8,-多次统计数据!$B$6/(1-多次统计数据!$B$6)))</f>
        <v/>
      </c>
      <c r="AC156" s="6" t="str">
        <f aca="false">IF(OR(AB156="",多次统计数据!$B$9=""),"",IF(多次统计数据!$B$9&lt;AB156,"低于上限","达到或超过上限"))</f>
        <v/>
      </c>
      <c r="AD156" s="2"/>
    </row>
    <row r="157" customFormat="false" ht="15" hidden="false" customHeight="false" outlineLevel="0" collapsed="false">
      <c r="A157" s="9"/>
      <c r="B157" s="9"/>
      <c r="C157" s="3"/>
      <c r="D157" s="4"/>
      <c r="E157" s="3"/>
      <c r="F157" s="5" t="str">
        <f aca="false">IF(OR(C157="",D157="",E157="",N157="",C157&lt;=0,D157&lt;=0,E157&lt;=N157),"",ROUNDDOWN((C157*D157)/(E157-N157)/100,0)*100)</f>
        <v/>
      </c>
      <c r="G157" s="6" t="str">
        <f aca="false">IF(OR(A157="",F157="",E157="",N157="",E157&lt;=N157,账户数据!$B$7=""),"",IF(账户数据!$B$9+IF(H157="",F157*(E157-N157),0)&gt;=账户数据!$B$7,"禁止开仓","允许开仓"))</f>
        <v/>
      </c>
      <c r="H157" s="7"/>
      <c r="I157" s="8"/>
      <c r="J157" s="3"/>
      <c r="K157" s="3"/>
      <c r="L157" s="5" t="str">
        <f aca="false">IF(K157="","",H157)</f>
        <v/>
      </c>
      <c r="M157" s="8"/>
      <c r="N157" s="3"/>
      <c r="O157" s="3"/>
      <c r="P157" s="3"/>
      <c r="Q157" s="9"/>
      <c r="R157" s="9"/>
      <c r="S157" s="9"/>
      <c r="T157" s="9"/>
      <c r="U157" s="10" t="str">
        <f aca="false">IF(OR(E157="",J157="",E157&lt;=0),"",(J157-E157)/E157)</f>
        <v/>
      </c>
      <c r="V157" s="10" t="str">
        <f aca="false">IF(OR(E157="",N157="",E157&lt;=0),"",(E157-N157)/E157)</f>
        <v/>
      </c>
      <c r="W157" s="11" t="str">
        <f aca="false">IF(OR(U157="",V157="",V157&lt;=0),"",U157/V157)</f>
        <v/>
      </c>
      <c r="X157" s="12" t="str">
        <f aca="false">IF(OR(K157="",L157="",E157="",H157=""),"",K157*L157-E157*H157-IF(O157="",0,O157)-IF(P157="",0,P157))</f>
        <v/>
      </c>
      <c r="Y157" s="10" t="str">
        <f aca="false">IF(OR(X157="",E157="",H157=""),"",IF(E157*H157+IF(O157="",0,O157)&lt;=0,"",X157/(E157*H157+IF(O157="",0,O157))))</f>
        <v/>
      </c>
      <c r="Z157" s="10" t="str">
        <f aca="false">IF(OR(Y157="",多次统计数据!$B$8=""),"",Y157-多次统计数据!$B$8)</f>
        <v/>
      </c>
      <c r="AA157" s="13" t="str">
        <f aca="false">IF(OR(I157="",M157="",M157&lt;I157),"",M157-I157)</f>
        <v/>
      </c>
      <c r="AB157" s="10" t="str">
        <f aca="false">IF(OR(A157="",多次统计数据!$B$8="",多次统计数据!$B$6&lt;=0,多次统计数据!$B$6&gt;=1),"",1-POWER(1+多次统计数据!$B$8,-多次统计数据!$B$6/(1-多次统计数据!$B$6)))</f>
        <v/>
      </c>
      <c r="AC157" s="6" t="str">
        <f aca="false">IF(OR(AB157="",多次统计数据!$B$9=""),"",IF(多次统计数据!$B$9&lt;AB157,"低于上限","达到或超过上限"))</f>
        <v/>
      </c>
      <c r="AD157" s="2"/>
    </row>
    <row r="158" customFormat="false" ht="15" hidden="false" customHeight="false" outlineLevel="0" collapsed="false">
      <c r="A158" s="9"/>
      <c r="B158" s="9"/>
      <c r="C158" s="3"/>
      <c r="D158" s="4"/>
      <c r="E158" s="3"/>
      <c r="F158" s="5" t="str">
        <f aca="false">IF(OR(C158="",D158="",E158="",N158="",C158&lt;=0,D158&lt;=0,E158&lt;=N158),"",ROUNDDOWN((C158*D158)/(E158-N158)/100,0)*100)</f>
        <v/>
      </c>
      <c r="G158" s="6" t="str">
        <f aca="false">IF(OR(A158="",F158="",E158="",N158="",E158&lt;=N158,账户数据!$B$7=""),"",IF(账户数据!$B$9+IF(H158="",F158*(E158-N158),0)&gt;=账户数据!$B$7,"禁止开仓","允许开仓"))</f>
        <v/>
      </c>
      <c r="H158" s="7"/>
      <c r="I158" s="8"/>
      <c r="J158" s="3"/>
      <c r="K158" s="3"/>
      <c r="L158" s="5" t="str">
        <f aca="false">IF(K158="","",H158)</f>
        <v/>
      </c>
      <c r="M158" s="8"/>
      <c r="N158" s="3"/>
      <c r="O158" s="3"/>
      <c r="P158" s="3"/>
      <c r="Q158" s="9"/>
      <c r="R158" s="9"/>
      <c r="S158" s="9"/>
      <c r="T158" s="9"/>
      <c r="U158" s="10" t="str">
        <f aca="false">IF(OR(E158="",J158="",E158&lt;=0),"",(J158-E158)/E158)</f>
        <v/>
      </c>
      <c r="V158" s="10" t="str">
        <f aca="false">IF(OR(E158="",N158="",E158&lt;=0),"",(E158-N158)/E158)</f>
        <v/>
      </c>
      <c r="W158" s="11" t="str">
        <f aca="false">IF(OR(U158="",V158="",V158&lt;=0),"",U158/V158)</f>
        <v/>
      </c>
      <c r="X158" s="12" t="str">
        <f aca="false">IF(OR(K158="",L158="",E158="",H158=""),"",K158*L158-E158*H158-IF(O158="",0,O158)-IF(P158="",0,P158))</f>
        <v/>
      </c>
      <c r="Y158" s="10" t="str">
        <f aca="false">IF(OR(X158="",E158="",H158=""),"",IF(E158*H158+IF(O158="",0,O158)&lt;=0,"",X158/(E158*H158+IF(O158="",0,O158))))</f>
        <v/>
      </c>
      <c r="Z158" s="10" t="str">
        <f aca="false">IF(OR(Y158="",多次统计数据!$B$8=""),"",Y158-多次统计数据!$B$8)</f>
        <v/>
      </c>
      <c r="AA158" s="13" t="str">
        <f aca="false">IF(OR(I158="",M158="",M158&lt;I158),"",M158-I158)</f>
        <v/>
      </c>
      <c r="AB158" s="10" t="str">
        <f aca="false">IF(OR(A158="",多次统计数据!$B$8="",多次统计数据!$B$6&lt;=0,多次统计数据!$B$6&gt;=1),"",1-POWER(1+多次统计数据!$B$8,-多次统计数据!$B$6/(1-多次统计数据!$B$6)))</f>
        <v/>
      </c>
      <c r="AC158" s="6" t="str">
        <f aca="false">IF(OR(AB158="",多次统计数据!$B$9=""),"",IF(多次统计数据!$B$9&lt;AB158,"低于上限","达到或超过上限"))</f>
        <v/>
      </c>
      <c r="AD158" s="2"/>
    </row>
    <row r="159" customFormat="false" ht="15" hidden="false" customHeight="false" outlineLevel="0" collapsed="false">
      <c r="A159" s="9"/>
      <c r="B159" s="9"/>
      <c r="C159" s="3"/>
      <c r="D159" s="4"/>
      <c r="E159" s="3"/>
      <c r="F159" s="5" t="str">
        <f aca="false">IF(OR(C159="",D159="",E159="",N159="",C159&lt;=0,D159&lt;=0,E159&lt;=N159),"",ROUNDDOWN((C159*D159)/(E159-N159)/100,0)*100)</f>
        <v/>
      </c>
      <c r="G159" s="6" t="str">
        <f aca="false">IF(OR(A159="",F159="",E159="",N159="",E159&lt;=N159,账户数据!$B$7=""),"",IF(账户数据!$B$9+IF(H159="",F159*(E159-N159),0)&gt;=账户数据!$B$7,"禁止开仓","允许开仓"))</f>
        <v/>
      </c>
      <c r="H159" s="7"/>
      <c r="I159" s="8"/>
      <c r="J159" s="3"/>
      <c r="K159" s="3"/>
      <c r="L159" s="5" t="str">
        <f aca="false">IF(K159="","",H159)</f>
        <v/>
      </c>
      <c r="M159" s="8"/>
      <c r="N159" s="3"/>
      <c r="O159" s="3"/>
      <c r="P159" s="3"/>
      <c r="Q159" s="9"/>
      <c r="R159" s="9"/>
      <c r="S159" s="9"/>
      <c r="T159" s="9"/>
      <c r="U159" s="10" t="str">
        <f aca="false">IF(OR(E159="",J159="",E159&lt;=0),"",(J159-E159)/E159)</f>
        <v/>
      </c>
      <c r="V159" s="10" t="str">
        <f aca="false">IF(OR(E159="",N159="",E159&lt;=0),"",(E159-N159)/E159)</f>
        <v/>
      </c>
      <c r="W159" s="11" t="str">
        <f aca="false">IF(OR(U159="",V159="",V159&lt;=0),"",U159/V159)</f>
        <v/>
      </c>
      <c r="X159" s="12" t="str">
        <f aca="false">IF(OR(K159="",L159="",E159="",H159=""),"",K159*L159-E159*H159-IF(O159="",0,O159)-IF(P159="",0,P159))</f>
        <v/>
      </c>
      <c r="Y159" s="10" t="str">
        <f aca="false">IF(OR(X159="",E159="",H159=""),"",IF(E159*H159+IF(O159="",0,O159)&lt;=0,"",X159/(E159*H159+IF(O159="",0,O159))))</f>
        <v/>
      </c>
      <c r="Z159" s="10" t="str">
        <f aca="false">IF(OR(Y159="",多次统计数据!$B$8=""),"",Y159-多次统计数据!$B$8)</f>
        <v/>
      </c>
      <c r="AA159" s="13" t="str">
        <f aca="false">IF(OR(I159="",M159="",M159&lt;I159),"",M159-I159)</f>
        <v/>
      </c>
      <c r="AB159" s="10" t="str">
        <f aca="false">IF(OR(A159="",多次统计数据!$B$8="",多次统计数据!$B$6&lt;=0,多次统计数据!$B$6&gt;=1),"",1-POWER(1+多次统计数据!$B$8,-多次统计数据!$B$6/(1-多次统计数据!$B$6)))</f>
        <v/>
      </c>
      <c r="AC159" s="6" t="str">
        <f aca="false">IF(OR(AB159="",多次统计数据!$B$9=""),"",IF(多次统计数据!$B$9&lt;AB159,"低于上限","达到或超过上限"))</f>
        <v/>
      </c>
      <c r="AD159" s="2"/>
    </row>
    <row r="160" customFormat="false" ht="15" hidden="false" customHeight="false" outlineLevel="0" collapsed="false">
      <c r="A160" s="9"/>
      <c r="B160" s="9"/>
      <c r="C160" s="3"/>
      <c r="D160" s="4"/>
      <c r="E160" s="3"/>
      <c r="F160" s="5" t="str">
        <f aca="false">IF(OR(C160="",D160="",E160="",N160="",C160&lt;=0,D160&lt;=0,E160&lt;=N160),"",ROUNDDOWN((C160*D160)/(E160-N160)/100,0)*100)</f>
        <v/>
      </c>
      <c r="G160" s="6" t="str">
        <f aca="false">IF(OR(A160="",F160="",E160="",N160="",E160&lt;=N160,账户数据!$B$7=""),"",IF(账户数据!$B$9+IF(H160="",F160*(E160-N160),0)&gt;=账户数据!$B$7,"禁止开仓","允许开仓"))</f>
        <v/>
      </c>
      <c r="H160" s="7"/>
      <c r="I160" s="8"/>
      <c r="J160" s="3"/>
      <c r="K160" s="3"/>
      <c r="L160" s="5" t="str">
        <f aca="false">IF(K160="","",H160)</f>
        <v/>
      </c>
      <c r="M160" s="8"/>
      <c r="N160" s="3"/>
      <c r="O160" s="3"/>
      <c r="P160" s="3"/>
      <c r="Q160" s="9"/>
      <c r="R160" s="9"/>
      <c r="S160" s="9"/>
      <c r="T160" s="9"/>
      <c r="U160" s="10" t="str">
        <f aca="false">IF(OR(E160="",J160="",E160&lt;=0),"",(J160-E160)/E160)</f>
        <v/>
      </c>
      <c r="V160" s="10" t="str">
        <f aca="false">IF(OR(E160="",N160="",E160&lt;=0),"",(E160-N160)/E160)</f>
        <v/>
      </c>
      <c r="W160" s="11" t="str">
        <f aca="false">IF(OR(U160="",V160="",V160&lt;=0),"",U160/V160)</f>
        <v/>
      </c>
      <c r="X160" s="12" t="str">
        <f aca="false">IF(OR(K160="",L160="",E160="",H160=""),"",K160*L160-E160*H160-IF(O160="",0,O160)-IF(P160="",0,P160))</f>
        <v/>
      </c>
      <c r="Y160" s="10" t="str">
        <f aca="false">IF(OR(X160="",E160="",H160=""),"",IF(E160*H160+IF(O160="",0,O160)&lt;=0,"",X160/(E160*H160+IF(O160="",0,O160))))</f>
        <v/>
      </c>
      <c r="Z160" s="10" t="str">
        <f aca="false">IF(OR(Y160="",多次统计数据!$B$8=""),"",Y160-多次统计数据!$B$8)</f>
        <v/>
      </c>
      <c r="AA160" s="13" t="str">
        <f aca="false">IF(OR(I160="",M160="",M160&lt;I160),"",M160-I160)</f>
        <v/>
      </c>
      <c r="AB160" s="10" t="str">
        <f aca="false">IF(OR(A160="",多次统计数据!$B$8="",多次统计数据!$B$6&lt;=0,多次统计数据!$B$6&gt;=1),"",1-POWER(1+多次统计数据!$B$8,-多次统计数据!$B$6/(1-多次统计数据!$B$6)))</f>
        <v/>
      </c>
      <c r="AC160" s="6" t="str">
        <f aca="false">IF(OR(AB160="",多次统计数据!$B$9=""),"",IF(多次统计数据!$B$9&lt;AB160,"低于上限","达到或超过上限"))</f>
        <v/>
      </c>
      <c r="AD160" s="2"/>
    </row>
    <row r="161" customFormat="false" ht="15" hidden="false" customHeight="false" outlineLevel="0" collapsed="false">
      <c r="A161" s="9"/>
      <c r="B161" s="9"/>
      <c r="C161" s="3"/>
      <c r="D161" s="4"/>
      <c r="E161" s="3"/>
      <c r="F161" s="5" t="str">
        <f aca="false">IF(OR(C161="",D161="",E161="",N161="",C161&lt;=0,D161&lt;=0,E161&lt;=N161),"",ROUNDDOWN((C161*D161)/(E161-N161)/100,0)*100)</f>
        <v/>
      </c>
      <c r="G161" s="6" t="str">
        <f aca="false">IF(OR(A161="",F161="",E161="",N161="",E161&lt;=N161,账户数据!$B$7=""),"",IF(账户数据!$B$9+IF(H161="",F161*(E161-N161),0)&gt;=账户数据!$B$7,"禁止开仓","允许开仓"))</f>
        <v/>
      </c>
      <c r="H161" s="7"/>
      <c r="I161" s="8"/>
      <c r="J161" s="3"/>
      <c r="K161" s="3"/>
      <c r="L161" s="5" t="str">
        <f aca="false">IF(K161="","",H161)</f>
        <v/>
      </c>
      <c r="M161" s="8"/>
      <c r="N161" s="3"/>
      <c r="O161" s="3"/>
      <c r="P161" s="3"/>
      <c r="Q161" s="9"/>
      <c r="R161" s="9"/>
      <c r="S161" s="9"/>
      <c r="T161" s="9"/>
      <c r="U161" s="10" t="str">
        <f aca="false">IF(OR(E161="",J161="",E161&lt;=0),"",(J161-E161)/E161)</f>
        <v/>
      </c>
      <c r="V161" s="10" t="str">
        <f aca="false">IF(OR(E161="",N161="",E161&lt;=0),"",(E161-N161)/E161)</f>
        <v/>
      </c>
      <c r="W161" s="11" t="str">
        <f aca="false">IF(OR(U161="",V161="",V161&lt;=0),"",U161/V161)</f>
        <v/>
      </c>
      <c r="X161" s="12" t="str">
        <f aca="false">IF(OR(K161="",L161="",E161="",H161=""),"",K161*L161-E161*H161-IF(O161="",0,O161)-IF(P161="",0,P161))</f>
        <v/>
      </c>
      <c r="Y161" s="10" t="str">
        <f aca="false">IF(OR(X161="",E161="",H161=""),"",IF(E161*H161+IF(O161="",0,O161)&lt;=0,"",X161/(E161*H161+IF(O161="",0,O161))))</f>
        <v/>
      </c>
      <c r="Z161" s="10" t="str">
        <f aca="false">IF(OR(Y161="",多次统计数据!$B$8=""),"",Y161-多次统计数据!$B$8)</f>
        <v/>
      </c>
      <c r="AA161" s="13" t="str">
        <f aca="false">IF(OR(I161="",M161="",M161&lt;I161),"",M161-I161)</f>
        <v/>
      </c>
      <c r="AB161" s="10" t="str">
        <f aca="false">IF(OR(A161="",多次统计数据!$B$8="",多次统计数据!$B$6&lt;=0,多次统计数据!$B$6&gt;=1),"",1-POWER(1+多次统计数据!$B$8,-多次统计数据!$B$6/(1-多次统计数据!$B$6)))</f>
        <v/>
      </c>
      <c r="AC161" s="6" t="str">
        <f aca="false">IF(OR(AB161="",多次统计数据!$B$9=""),"",IF(多次统计数据!$B$9&lt;AB161,"低于上限","达到或超过上限"))</f>
        <v/>
      </c>
      <c r="AD161" s="2"/>
    </row>
    <row r="162" customFormat="false" ht="15" hidden="false" customHeight="false" outlineLevel="0" collapsed="false">
      <c r="A162" s="9"/>
      <c r="B162" s="9"/>
      <c r="C162" s="3"/>
      <c r="D162" s="4"/>
      <c r="E162" s="3"/>
      <c r="F162" s="5" t="str">
        <f aca="false">IF(OR(C162="",D162="",E162="",N162="",C162&lt;=0,D162&lt;=0,E162&lt;=N162),"",ROUNDDOWN((C162*D162)/(E162-N162)/100,0)*100)</f>
        <v/>
      </c>
      <c r="G162" s="6" t="str">
        <f aca="false">IF(OR(A162="",F162="",E162="",N162="",E162&lt;=N162,账户数据!$B$7=""),"",IF(账户数据!$B$9+IF(H162="",F162*(E162-N162),0)&gt;=账户数据!$B$7,"禁止开仓","允许开仓"))</f>
        <v/>
      </c>
      <c r="H162" s="7"/>
      <c r="I162" s="8"/>
      <c r="J162" s="3"/>
      <c r="K162" s="3"/>
      <c r="L162" s="5" t="str">
        <f aca="false">IF(K162="","",H162)</f>
        <v/>
      </c>
      <c r="M162" s="8"/>
      <c r="N162" s="3"/>
      <c r="O162" s="3"/>
      <c r="P162" s="3"/>
      <c r="Q162" s="9"/>
      <c r="R162" s="9"/>
      <c r="S162" s="9"/>
      <c r="T162" s="9"/>
      <c r="U162" s="10" t="str">
        <f aca="false">IF(OR(E162="",J162="",E162&lt;=0),"",(J162-E162)/E162)</f>
        <v/>
      </c>
      <c r="V162" s="10" t="str">
        <f aca="false">IF(OR(E162="",N162="",E162&lt;=0),"",(E162-N162)/E162)</f>
        <v/>
      </c>
      <c r="W162" s="11" t="str">
        <f aca="false">IF(OR(U162="",V162="",V162&lt;=0),"",U162/V162)</f>
        <v/>
      </c>
      <c r="X162" s="12" t="str">
        <f aca="false">IF(OR(K162="",L162="",E162="",H162=""),"",K162*L162-E162*H162-IF(O162="",0,O162)-IF(P162="",0,P162))</f>
        <v/>
      </c>
      <c r="Y162" s="10" t="str">
        <f aca="false">IF(OR(X162="",E162="",H162=""),"",IF(E162*H162+IF(O162="",0,O162)&lt;=0,"",X162/(E162*H162+IF(O162="",0,O162))))</f>
        <v/>
      </c>
      <c r="Z162" s="10" t="str">
        <f aca="false">IF(OR(Y162="",多次统计数据!$B$8=""),"",Y162-多次统计数据!$B$8)</f>
        <v/>
      </c>
      <c r="AA162" s="13" t="str">
        <f aca="false">IF(OR(I162="",M162="",M162&lt;I162),"",M162-I162)</f>
        <v/>
      </c>
      <c r="AB162" s="10" t="str">
        <f aca="false">IF(OR(A162="",多次统计数据!$B$8="",多次统计数据!$B$6&lt;=0,多次统计数据!$B$6&gt;=1),"",1-POWER(1+多次统计数据!$B$8,-多次统计数据!$B$6/(1-多次统计数据!$B$6)))</f>
        <v/>
      </c>
      <c r="AC162" s="6" t="str">
        <f aca="false">IF(OR(AB162="",多次统计数据!$B$9=""),"",IF(多次统计数据!$B$9&lt;AB162,"低于上限","达到或超过上限"))</f>
        <v/>
      </c>
      <c r="AD162" s="2"/>
    </row>
    <row r="163" customFormat="false" ht="15" hidden="false" customHeight="false" outlineLevel="0" collapsed="false">
      <c r="A163" s="9"/>
      <c r="B163" s="9"/>
      <c r="C163" s="3"/>
      <c r="D163" s="4"/>
      <c r="E163" s="3"/>
      <c r="F163" s="5" t="str">
        <f aca="false">IF(OR(C163="",D163="",E163="",N163="",C163&lt;=0,D163&lt;=0,E163&lt;=N163),"",ROUNDDOWN((C163*D163)/(E163-N163)/100,0)*100)</f>
        <v/>
      </c>
      <c r="G163" s="6" t="str">
        <f aca="false">IF(OR(A163="",F163="",E163="",N163="",E163&lt;=N163,账户数据!$B$7=""),"",IF(账户数据!$B$9+IF(H163="",F163*(E163-N163),0)&gt;=账户数据!$B$7,"禁止开仓","允许开仓"))</f>
        <v/>
      </c>
      <c r="H163" s="7"/>
      <c r="I163" s="8"/>
      <c r="J163" s="3"/>
      <c r="K163" s="3"/>
      <c r="L163" s="5" t="str">
        <f aca="false">IF(K163="","",H163)</f>
        <v/>
      </c>
      <c r="M163" s="8"/>
      <c r="N163" s="3"/>
      <c r="O163" s="3"/>
      <c r="P163" s="3"/>
      <c r="Q163" s="9"/>
      <c r="R163" s="9"/>
      <c r="S163" s="9"/>
      <c r="T163" s="9"/>
      <c r="U163" s="10" t="str">
        <f aca="false">IF(OR(E163="",J163="",E163&lt;=0),"",(J163-E163)/E163)</f>
        <v/>
      </c>
      <c r="V163" s="10" t="str">
        <f aca="false">IF(OR(E163="",N163="",E163&lt;=0),"",(E163-N163)/E163)</f>
        <v/>
      </c>
      <c r="W163" s="11" t="str">
        <f aca="false">IF(OR(U163="",V163="",V163&lt;=0),"",U163/V163)</f>
        <v/>
      </c>
      <c r="X163" s="12" t="str">
        <f aca="false">IF(OR(K163="",L163="",E163="",H163=""),"",K163*L163-E163*H163-IF(O163="",0,O163)-IF(P163="",0,P163))</f>
        <v/>
      </c>
      <c r="Y163" s="10" t="str">
        <f aca="false">IF(OR(X163="",E163="",H163=""),"",IF(E163*H163+IF(O163="",0,O163)&lt;=0,"",X163/(E163*H163+IF(O163="",0,O163))))</f>
        <v/>
      </c>
      <c r="Z163" s="10" t="str">
        <f aca="false">IF(OR(Y163="",多次统计数据!$B$8=""),"",Y163-多次统计数据!$B$8)</f>
        <v/>
      </c>
      <c r="AA163" s="13" t="str">
        <f aca="false">IF(OR(I163="",M163="",M163&lt;I163),"",M163-I163)</f>
        <v/>
      </c>
      <c r="AB163" s="10" t="str">
        <f aca="false">IF(OR(A163="",多次统计数据!$B$8="",多次统计数据!$B$6&lt;=0,多次统计数据!$B$6&gt;=1),"",1-POWER(1+多次统计数据!$B$8,-多次统计数据!$B$6/(1-多次统计数据!$B$6)))</f>
        <v/>
      </c>
      <c r="AC163" s="6" t="str">
        <f aca="false">IF(OR(AB163="",多次统计数据!$B$9=""),"",IF(多次统计数据!$B$9&lt;AB163,"低于上限","达到或超过上限"))</f>
        <v/>
      </c>
      <c r="AD163" s="2"/>
    </row>
    <row r="164" customFormat="false" ht="15" hidden="false" customHeight="false" outlineLevel="0" collapsed="false">
      <c r="A164" s="9"/>
      <c r="B164" s="9"/>
      <c r="C164" s="3"/>
      <c r="D164" s="4"/>
      <c r="E164" s="3"/>
      <c r="F164" s="5" t="str">
        <f aca="false">IF(OR(C164="",D164="",E164="",N164="",C164&lt;=0,D164&lt;=0,E164&lt;=N164),"",ROUNDDOWN((C164*D164)/(E164-N164)/100,0)*100)</f>
        <v/>
      </c>
      <c r="G164" s="6" t="str">
        <f aca="false">IF(OR(A164="",F164="",E164="",N164="",E164&lt;=N164,账户数据!$B$7=""),"",IF(账户数据!$B$9+IF(H164="",F164*(E164-N164),0)&gt;=账户数据!$B$7,"禁止开仓","允许开仓"))</f>
        <v/>
      </c>
      <c r="H164" s="7"/>
      <c r="I164" s="8"/>
      <c r="J164" s="3"/>
      <c r="K164" s="3"/>
      <c r="L164" s="5" t="str">
        <f aca="false">IF(K164="","",H164)</f>
        <v/>
      </c>
      <c r="M164" s="8"/>
      <c r="N164" s="3"/>
      <c r="O164" s="3"/>
      <c r="P164" s="3"/>
      <c r="Q164" s="9"/>
      <c r="R164" s="9"/>
      <c r="S164" s="9"/>
      <c r="T164" s="9"/>
      <c r="U164" s="10" t="str">
        <f aca="false">IF(OR(E164="",J164="",E164&lt;=0),"",(J164-E164)/E164)</f>
        <v/>
      </c>
      <c r="V164" s="10" t="str">
        <f aca="false">IF(OR(E164="",N164="",E164&lt;=0),"",(E164-N164)/E164)</f>
        <v/>
      </c>
      <c r="W164" s="11" t="str">
        <f aca="false">IF(OR(U164="",V164="",V164&lt;=0),"",U164/V164)</f>
        <v/>
      </c>
      <c r="X164" s="12" t="str">
        <f aca="false">IF(OR(K164="",L164="",E164="",H164=""),"",K164*L164-E164*H164-IF(O164="",0,O164)-IF(P164="",0,P164))</f>
        <v/>
      </c>
      <c r="Y164" s="10" t="str">
        <f aca="false">IF(OR(X164="",E164="",H164=""),"",IF(E164*H164+IF(O164="",0,O164)&lt;=0,"",X164/(E164*H164+IF(O164="",0,O164))))</f>
        <v/>
      </c>
      <c r="Z164" s="10" t="str">
        <f aca="false">IF(OR(Y164="",多次统计数据!$B$8=""),"",Y164-多次统计数据!$B$8)</f>
        <v/>
      </c>
      <c r="AA164" s="13" t="str">
        <f aca="false">IF(OR(I164="",M164="",M164&lt;I164),"",M164-I164)</f>
        <v/>
      </c>
      <c r="AB164" s="10" t="str">
        <f aca="false">IF(OR(A164="",多次统计数据!$B$8="",多次统计数据!$B$6&lt;=0,多次统计数据!$B$6&gt;=1),"",1-POWER(1+多次统计数据!$B$8,-多次统计数据!$B$6/(1-多次统计数据!$B$6)))</f>
        <v/>
      </c>
      <c r="AC164" s="6" t="str">
        <f aca="false">IF(OR(AB164="",多次统计数据!$B$9=""),"",IF(多次统计数据!$B$9&lt;AB164,"低于上限","达到或超过上限"))</f>
        <v/>
      </c>
      <c r="AD164" s="2"/>
    </row>
    <row r="165" customFormat="false" ht="15" hidden="false" customHeight="false" outlineLevel="0" collapsed="false">
      <c r="A165" s="9"/>
      <c r="B165" s="9"/>
      <c r="C165" s="3"/>
      <c r="D165" s="4"/>
      <c r="E165" s="3"/>
      <c r="F165" s="5" t="str">
        <f aca="false">IF(OR(C165="",D165="",E165="",N165="",C165&lt;=0,D165&lt;=0,E165&lt;=N165),"",ROUNDDOWN((C165*D165)/(E165-N165)/100,0)*100)</f>
        <v/>
      </c>
      <c r="G165" s="6" t="str">
        <f aca="false">IF(OR(A165="",F165="",E165="",N165="",E165&lt;=N165,账户数据!$B$7=""),"",IF(账户数据!$B$9+IF(H165="",F165*(E165-N165),0)&gt;=账户数据!$B$7,"禁止开仓","允许开仓"))</f>
        <v/>
      </c>
      <c r="H165" s="7"/>
      <c r="I165" s="8"/>
      <c r="J165" s="3"/>
      <c r="K165" s="3"/>
      <c r="L165" s="5" t="str">
        <f aca="false">IF(K165="","",H165)</f>
        <v/>
      </c>
      <c r="M165" s="8"/>
      <c r="N165" s="3"/>
      <c r="O165" s="3"/>
      <c r="P165" s="3"/>
      <c r="Q165" s="9"/>
      <c r="R165" s="9"/>
      <c r="S165" s="9"/>
      <c r="T165" s="9"/>
      <c r="U165" s="10" t="str">
        <f aca="false">IF(OR(E165="",J165="",E165&lt;=0),"",(J165-E165)/E165)</f>
        <v/>
      </c>
      <c r="V165" s="10" t="str">
        <f aca="false">IF(OR(E165="",N165="",E165&lt;=0),"",(E165-N165)/E165)</f>
        <v/>
      </c>
      <c r="W165" s="11" t="str">
        <f aca="false">IF(OR(U165="",V165="",V165&lt;=0),"",U165/V165)</f>
        <v/>
      </c>
      <c r="X165" s="12" t="str">
        <f aca="false">IF(OR(K165="",L165="",E165="",H165=""),"",K165*L165-E165*H165-IF(O165="",0,O165)-IF(P165="",0,P165))</f>
        <v/>
      </c>
      <c r="Y165" s="10" t="str">
        <f aca="false">IF(OR(X165="",E165="",H165=""),"",IF(E165*H165+IF(O165="",0,O165)&lt;=0,"",X165/(E165*H165+IF(O165="",0,O165))))</f>
        <v/>
      </c>
      <c r="Z165" s="10" t="str">
        <f aca="false">IF(OR(Y165="",多次统计数据!$B$8=""),"",Y165-多次统计数据!$B$8)</f>
        <v/>
      </c>
      <c r="AA165" s="13" t="str">
        <f aca="false">IF(OR(I165="",M165="",M165&lt;I165),"",M165-I165)</f>
        <v/>
      </c>
      <c r="AB165" s="10" t="str">
        <f aca="false">IF(OR(A165="",多次统计数据!$B$8="",多次统计数据!$B$6&lt;=0,多次统计数据!$B$6&gt;=1),"",1-POWER(1+多次统计数据!$B$8,-多次统计数据!$B$6/(1-多次统计数据!$B$6)))</f>
        <v/>
      </c>
      <c r="AC165" s="6" t="str">
        <f aca="false">IF(OR(AB165="",多次统计数据!$B$9=""),"",IF(多次统计数据!$B$9&lt;AB165,"低于上限","达到或超过上限"))</f>
        <v/>
      </c>
      <c r="AD165" s="2"/>
    </row>
    <row r="166" customFormat="false" ht="15" hidden="false" customHeight="false" outlineLevel="0" collapsed="false">
      <c r="A166" s="9"/>
      <c r="B166" s="9"/>
      <c r="C166" s="3"/>
      <c r="D166" s="4"/>
      <c r="E166" s="3"/>
      <c r="F166" s="5" t="str">
        <f aca="false">IF(OR(C166="",D166="",E166="",N166="",C166&lt;=0,D166&lt;=0,E166&lt;=N166),"",ROUNDDOWN((C166*D166)/(E166-N166)/100,0)*100)</f>
        <v/>
      </c>
      <c r="G166" s="6" t="str">
        <f aca="false">IF(OR(A166="",F166="",E166="",N166="",E166&lt;=N166,账户数据!$B$7=""),"",IF(账户数据!$B$9+IF(H166="",F166*(E166-N166),0)&gt;=账户数据!$B$7,"禁止开仓","允许开仓"))</f>
        <v/>
      </c>
      <c r="H166" s="7"/>
      <c r="I166" s="8"/>
      <c r="J166" s="3"/>
      <c r="K166" s="3"/>
      <c r="L166" s="5" t="str">
        <f aca="false">IF(K166="","",H166)</f>
        <v/>
      </c>
      <c r="M166" s="8"/>
      <c r="N166" s="3"/>
      <c r="O166" s="3"/>
      <c r="P166" s="3"/>
      <c r="Q166" s="9"/>
      <c r="R166" s="9"/>
      <c r="S166" s="9"/>
      <c r="T166" s="9"/>
      <c r="U166" s="10" t="str">
        <f aca="false">IF(OR(E166="",J166="",E166&lt;=0),"",(J166-E166)/E166)</f>
        <v/>
      </c>
      <c r="V166" s="10" t="str">
        <f aca="false">IF(OR(E166="",N166="",E166&lt;=0),"",(E166-N166)/E166)</f>
        <v/>
      </c>
      <c r="W166" s="11" t="str">
        <f aca="false">IF(OR(U166="",V166="",V166&lt;=0),"",U166/V166)</f>
        <v/>
      </c>
      <c r="X166" s="12" t="str">
        <f aca="false">IF(OR(K166="",L166="",E166="",H166=""),"",K166*L166-E166*H166-IF(O166="",0,O166)-IF(P166="",0,P166))</f>
        <v/>
      </c>
      <c r="Y166" s="10" t="str">
        <f aca="false">IF(OR(X166="",E166="",H166=""),"",IF(E166*H166+IF(O166="",0,O166)&lt;=0,"",X166/(E166*H166+IF(O166="",0,O166))))</f>
        <v/>
      </c>
      <c r="Z166" s="10" t="str">
        <f aca="false">IF(OR(Y166="",多次统计数据!$B$8=""),"",Y166-多次统计数据!$B$8)</f>
        <v/>
      </c>
      <c r="AA166" s="13" t="str">
        <f aca="false">IF(OR(I166="",M166="",M166&lt;I166),"",M166-I166)</f>
        <v/>
      </c>
      <c r="AB166" s="10" t="str">
        <f aca="false">IF(OR(A166="",多次统计数据!$B$8="",多次统计数据!$B$6&lt;=0,多次统计数据!$B$6&gt;=1),"",1-POWER(1+多次统计数据!$B$8,-多次统计数据!$B$6/(1-多次统计数据!$B$6)))</f>
        <v/>
      </c>
      <c r="AC166" s="6" t="str">
        <f aca="false">IF(OR(AB166="",多次统计数据!$B$9=""),"",IF(多次统计数据!$B$9&lt;AB166,"低于上限","达到或超过上限"))</f>
        <v/>
      </c>
      <c r="AD166" s="2"/>
    </row>
    <row r="167" customFormat="false" ht="15" hidden="false" customHeight="false" outlineLevel="0" collapsed="false">
      <c r="A167" s="9"/>
      <c r="B167" s="9"/>
      <c r="C167" s="3"/>
      <c r="D167" s="4"/>
      <c r="E167" s="3"/>
      <c r="F167" s="5" t="str">
        <f aca="false">IF(OR(C167="",D167="",E167="",N167="",C167&lt;=0,D167&lt;=0,E167&lt;=N167),"",ROUNDDOWN((C167*D167)/(E167-N167)/100,0)*100)</f>
        <v/>
      </c>
      <c r="G167" s="6" t="str">
        <f aca="false">IF(OR(A167="",F167="",E167="",N167="",E167&lt;=N167,账户数据!$B$7=""),"",IF(账户数据!$B$9+IF(H167="",F167*(E167-N167),0)&gt;=账户数据!$B$7,"禁止开仓","允许开仓"))</f>
        <v/>
      </c>
      <c r="H167" s="7"/>
      <c r="I167" s="8"/>
      <c r="J167" s="3"/>
      <c r="K167" s="3"/>
      <c r="L167" s="5" t="str">
        <f aca="false">IF(K167="","",H167)</f>
        <v/>
      </c>
      <c r="M167" s="8"/>
      <c r="N167" s="3"/>
      <c r="O167" s="3"/>
      <c r="P167" s="3"/>
      <c r="Q167" s="9"/>
      <c r="R167" s="9"/>
      <c r="S167" s="9"/>
      <c r="T167" s="9"/>
      <c r="U167" s="10" t="str">
        <f aca="false">IF(OR(E167="",J167="",E167&lt;=0),"",(J167-E167)/E167)</f>
        <v/>
      </c>
      <c r="V167" s="10" t="str">
        <f aca="false">IF(OR(E167="",N167="",E167&lt;=0),"",(E167-N167)/E167)</f>
        <v/>
      </c>
      <c r="W167" s="11" t="str">
        <f aca="false">IF(OR(U167="",V167="",V167&lt;=0),"",U167/V167)</f>
        <v/>
      </c>
      <c r="X167" s="12" t="str">
        <f aca="false">IF(OR(K167="",L167="",E167="",H167=""),"",K167*L167-E167*H167-IF(O167="",0,O167)-IF(P167="",0,P167))</f>
        <v/>
      </c>
      <c r="Y167" s="10" t="str">
        <f aca="false">IF(OR(X167="",E167="",H167=""),"",IF(E167*H167+IF(O167="",0,O167)&lt;=0,"",X167/(E167*H167+IF(O167="",0,O167))))</f>
        <v/>
      </c>
      <c r="Z167" s="10" t="str">
        <f aca="false">IF(OR(Y167="",多次统计数据!$B$8=""),"",Y167-多次统计数据!$B$8)</f>
        <v/>
      </c>
      <c r="AA167" s="13" t="str">
        <f aca="false">IF(OR(I167="",M167="",M167&lt;I167),"",M167-I167)</f>
        <v/>
      </c>
      <c r="AB167" s="10" t="str">
        <f aca="false">IF(OR(A167="",多次统计数据!$B$8="",多次统计数据!$B$6&lt;=0,多次统计数据!$B$6&gt;=1),"",1-POWER(1+多次统计数据!$B$8,-多次统计数据!$B$6/(1-多次统计数据!$B$6)))</f>
        <v/>
      </c>
      <c r="AC167" s="6" t="str">
        <f aca="false">IF(OR(AB167="",多次统计数据!$B$9=""),"",IF(多次统计数据!$B$9&lt;AB167,"低于上限","达到或超过上限"))</f>
        <v/>
      </c>
      <c r="AD167" s="2"/>
    </row>
    <row r="168" customFormat="false" ht="15" hidden="false" customHeight="false" outlineLevel="0" collapsed="false">
      <c r="A168" s="9"/>
      <c r="B168" s="9"/>
      <c r="C168" s="3"/>
      <c r="D168" s="4"/>
      <c r="E168" s="3"/>
      <c r="F168" s="5" t="str">
        <f aca="false">IF(OR(C168="",D168="",E168="",N168="",C168&lt;=0,D168&lt;=0,E168&lt;=N168),"",ROUNDDOWN((C168*D168)/(E168-N168)/100,0)*100)</f>
        <v/>
      </c>
      <c r="G168" s="6" t="str">
        <f aca="false">IF(OR(A168="",F168="",E168="",N168="",E168&lt;=N168,账户数据!$B$7=""),"",IF(账户数据!$B$9+IF(H168="",F168*(E168-N168),0)&gt;=账户数据!$B$7,"禁止开仓","允许开仓"))</f>
        <v/>
      </c>
      <c r="H168" s="7"/>
      <c r="I168" s="8"/>
      <c r="J168" s="3"/>
      <c r="K168" s="3"/>
      <c r="L168" s="5" t="str">
        <f aca="false">IF(K168="","",H168)</f>
        <v/>
      </c>
      <c r="M168" s="8"/>
      <c r="N168" s="3"/>
      <c r="O168" s="3"/>
      <c r="P168" s="3"/>
      <c r="Q168" s="9"/>
      <c r="R168" s="9"/>
      <c r="S168" s="9"/>
      <c r="T168" s="9"/>
      <c r="U168" s="10" t="str">
        <f aca="false">IF(OR(E168="",J168="",E168&lt;=0),"",(J168-E168)/E168)</f>
        <v/>
      </c>
      <c r="V168" s="10" t="str">
        <f aca="false">IF(OR(E168="",N168="",E168&lt;=0),"",(E168-N168)/E168)</f>
        <v/>
      </c>
      <c r="W168" s="11" t="str">
        <f aca="false">IF(OR(U168="",V168="",V168&lt;=0),"",U168/V168)</f>
        <v/>
      </c>
      <c r="X168" s="12" t="str">
        <f aca="false">IF(OR(K168="",L168="",E168="",H168=""),"",K168*L168-E168*H168-IF(O168="",0,O168)-IF(P168="",0,P168))</f>
        <v/>
      </c>
      <c r="Y168" s="10" t="str">
        <f aca="false">IF(OR(X168="",E168="",H168=""),"",IF(E168*H168+IF(O168="",0,O168)&lt;=0,"",X168/(E168*H168+IF(O168="",0,O168))))</f>
        <v/>
      </c>
      <c r="Z168" s="10" t="str">
        <f aca="false">IF(OR(Y168="",多次统计数据!$B$8=""),"",Y168-多次统计数据!$B$8)</f>
        <v/>
      </c>
      <c r="AA168" s="13" t="str">
        <f aca="false">IF(OR(I168="",M168="",M168&lt;I168),"",M168-I168)</f>
        <v/>
      </c>
      <c r="AB168" s="10" t="str">
        <f aca="false">IF(OR(A168="",多次统计数据!$B$8="",多次统计数据!$B$6&lt;=0,多次统计数据!$B$6&gt;=1),"",1-POWER(1+多次统计数据!$B$8,-多次统计数据!$B$6/(1-多次统计数据!$B$6)))</f>
        <v/>
      </c>
      <c r="AC168" s="6" t="str">
        <f aca="false">IF(OR(AB168="",多次统计数据!$B$9=""),"",IF(多次统计数据!$B$9&lt;AB168,"低于上限","达到或超过上限"))</f>
        <v/>
      </c>
      <c r="AD168" s="2"/>
    </row>
    <row r="169" customFormat="false" ht="15" hidden="false" customHeight="false" outlineLevel="0" collapsed="false">
      <c r="A169" s="9"/>
      <c r="B169" s="9"/>
      <c r="C169" s="3"/>
      <c r="D169" s="4"/>
      <c r="E169" s="3"/>
      <c r="F169" s="5" t="str">
        <f aca="false">IF(OR(C169="",D169="",E169="",N169="",C169&lt;=0,D169&lt;=0,E169&lt;=N169),"",ROUNDDOWN((C169*D169)/(E169-N169)/100,0)*100)</f>
        <v/>
      </c>
      <c r="G169" s="6" t="str">
        <f aca="false">IF(OR(A169="",F169="",E169="",N169="",E169&lt;=N169,账户数据!$B$7=""),"",IF(账户数据!$B$9+IF(H169="",F169*(E169-N169),0)&gt;=账户数据!$B$7,"禁止开仓","允许开仓"))</f>
        <v/>
      </c>
      <c r="H169" s="7"/>
      <c r="I169" s="8"/>
      <c r="J169" s="3"/>
      <c r="K169" s="3"/>
      <c r="L169" s="5" t="str">
        <f aca="false">IF(K169="","",H169)</f>
        <v/>
      </c>
      <c r="M169" s="8"/>
      <c r="N169" s="3"/>
      <c r="O169" s="3"/>
      <c r="P169" s="3"/>
      <c r="Q169" s="9"/>
      <c r="R169" s="9"/>
      <c r="S169" s="9"/>
      <c r="T169" s="9"/>
      <c r="U169" s="10" t="str">
        <f aca="false">IF(OR(E169="",J169="",E169&lt;=0),"",(J169-E169)/E169)</f>
        <v/>
      </c>
      <c r="V169" s="10" t="str">
        <f aca="false">IF(OR(E169="",N169="",E169&lt;=0),"",(E169-N169)/E169)</f>
        <v/>
      </c>
      <c r="W169" s="11" t="str">
        <f aca="false">IF(OR(U169="",V169="",V169&lt;=0),"",U169/V169)</f>
        <v/>
      </c>
      <c r="X169" s="12" t="str">
        <f aca="false">IF(OR(K169="",L169="",E169="",H169=""),"",K169*L169-E169*H169-IF(O169="",0,O169)-IF(P169="",0,P169))</f>
        <v/>
      </c>
      <c r="Y169" s="10" t="str">
        <f aca="false">IF(OR(X169="",E169="",H169=""),"",IF(E169*H169+IF(O169="",0,O169)&lt;=0,"",X169/(E169*H169+IF(O169="",0,O169))))</f>
        <v/>
      </c>
      <c r="Z169" s="10" t="str">
        <f aca="false">IF(OR(Y169="",多次统计数据!$B$8=""),"",Y169-多次统计数据!$B$8)</f>
        <v/>
      </c>
      <c r="AA169" s="13" t="str">
        <f aca="false">IF(OR(I169="",M169="",M169&lt;I169),"",M169-I169)</f>
        <v/>
      </c>
      <c r="AB169" s="10" t="str">
        <f aca="false">IF(OR(A169="",多次统计数据!$B$8="",多次统计数据!$B$6&lt;=0,多次统计数据!$B$6&gt;=1),"",1-POWER(1+多次统计数据!$B$8,-多次统计数据!$B$6/(1-多次统计数据!$B$6)))</f>
        <v/>
      </c>
      <c r="AC169" s="6" t="str">
        <f aca="false">IF(OR(AB169="",多次统计数据!$B$9=""),"",IF(多次统计数据!$B$9&lt;AB169,"低于上限","达到或超过上限"))</f>
        <v/>
      </c>
      <c r="AD169" s="2"/>
    </row>
    <row r="170" customFormat="false" ht="15" hidden="false" customHeight="false" outlineLevel="0" collapsed="false">
      <c r="A170" s="9"/>
      <c r="B170" s="9"/>
      <c r="C170" s="3"/>
      <c r="D170" s="4"/>
      <c r="E170" s="3"/>
      <c r="F170" s="5" t="str">
        <f aca="false">IF(OR(C170="",D170="",E170="",N170="",C170&lt;=0,D170&lt;=0,E170&lt;=N170),"",ROUNDDOWN((C170*D170)/(E170-N170)/100,0)*100)</f>
        <v/>
      </c>
      <c r="G170" s="6" t="str">
        <f aca="false">IF(OR(A170="",F170="",E170="",N170="",E170&lt;=N170,账户数据!$B$7=""),"",IF(账户数据!$B$9+IF(H170="",F170*(E170-N170),0)&gt;=账户数据!$B$7,"禁止开仓","允许开仓"))</f>
        <v/>
      </c>
      <c r="H170" s="7"/>
      <c r="I170" s="8"/>
      <c r="J170" s="3"/>
      <c r="K170" s="3"/>
      <c r="L170" s="5" t="str">
        <f aca="false">IF(K170="","",H170)</f>
        <v/>
      </c>
      <c r="M170" s="8"/>
      <c r="N170" s="3"/>
      <c r="O170" s="3"/>
      <c r="P170" s="3"/>
      <c r="Q170" s="9"/>
      <c r="R170" s="9"/>
      <c r="S170" s="9"/>
      <c r="T170" s="9"/>
      <c r="U170" s="10" t="str">
        <f aca="false">IF(OR(E170="",J170="",E170&lt;=0),"",(J170-E170)/E170)</f>
        <v/>
      </c>
      <c r="V170" s="10" t="str">
        <f aca="false">IF(OR(E170="",N170="",E170&lt;=0),"",(E170-N170)/E170)</f>
        <v/>
      </c>
      <c r="W170" s="11" t="str">
        <f aca="false">IF(OR(U170="",V170="",V170&lt;=0),"",U170/V170)</f>
        <v/>
      </c>
      <c r="X170" s="12" t="str">
        <f aca="false">IF(OR(K170="",L170="",E170="",H170=""),"",K170*L170-E170*H170-IF(O170="",0,O170)-IF(P170="",0,P170))</f>
        <v/>
      </c>
      <c r="Y170" s="10" t="str">
        <f aca="false">IF(OR(X170="",E170="",H170=""),"",IF(E170*H170+IF(O170="",0,O170)&lt;=0,"",X170/(E170*H170+IF(O170="",0,O170))))</f>
        <v/>
      </c>
      <c r="Z170" s="10" t="str">
        <f aca="false">IF(OR(Y170="",多次统计数据!$B$8=""),"",Y170-多次统计数据!$B$8)</f>
        <v/>
      </c>
      <c r="AA170" s="13" t="str">
        <f aca="false">IF(OR(I170="",M170="",M170&lt;I170),"",M170-I170)</f>
        <v/>
      </c>
      <c r="AB170" s="10" t="str">
        <f aca="false">IF(OR(A170="",多次统计数据!$B$8="",多次统计数据!$B$6&lt;=0,多次统计数据!$B$6&gt;=1),"",1-POWER(1+多次统计数据!$B$8,-多次统计数据!$B$6/(1-多次统计数据!$B$6)))</f>
        <v/>
      </c>
      <c r="AC170" s="6" t="str">
        <f aca="false">IF(OR(AB170="",多次统计数据!$B$9=""),"",IF(多次统计数据!$B$9&lt;AB170,"低于上限","达到或超过上限"))</f>
        <v/>
      </c>
      <c r="AD170" s="2"/>
    </row>
    <row r="171" customFormat="false" ht="15" hidden="false" customHeight="false" outlineLevel="0" collapsed="false">
      <c r="A171" s="9"/>
      <c r="B171" s="9"/>
      <c r="C171" s="3"/>
      <c r="D171" s="4"/>
      <c r="E171" s="3"/>
      <c r="F171" s="5" t="str">
        <f aca="false">IF(OR(C171="",D171="",E171="",N171="",C171&lt;=0,D171&lt;=0,E171&lt;=N171),"",ROUNDDOWN((C171*D171)/(E171-N171)/100,0)*100)</f>
        <v/>
      </c>
      <c r="G171" s="6" t="str">
        <f aca="false">IF(OR(A171="",F171="",E171="",N171="",E171&lt;=N171,账户数据!$B$7=""),"",IF(账户数据!$B$9+IF(H171="",F171*(E171-N171),0)&gt;=账户数据!$B$7,"禁止开仓","允许开仓"))</f>
        <v/>
      </c>
      <c r="H171" s="7"/>
      <c r="I171" s="8"/>
      <c r="J171" s="3"/>
      <c r="K171" s="3"/>
      <c r="L171" s="5" t="str">
        <f aca="false">IF(K171="","",H171)</f>
        <v/>
      </c>
      <c r="M171" s="8"/>
      <c r="N171" s="3"/>
      <c r="O171" s="3"/>
      <c r="P171" s="3"/>
      <c r="Q171" s="9"/>
      <c r="R171" s="9"/>
      <c r="S171" s="9"/>
      <c r="T171" s="9"/>
      <c r="U171" s="10" t="str">
        <f aca="false">IF(OR(E171="",J171="",E171&lt;=0),"",(J171-E171)/E171)</f>
        <v/>
      </c>
      <c r="V171" s="10" t="str">
        <f aca="false">IF(OR(E171="",N171="",E171&lt;=0),"",(E171-N171)/E171)</f>
        <v/>
      </c>
      <c r="W171" s="11" t="str">
        <f aca="false">IF(OR(U171="",V171="",V171&lt;=0),"",U171/V171)</f>
        <v/>
      </c>
      <c r="X171" s="12" t="str">
        <f aca="false">IF(OR(K171="",L171="",E171="",H171=""),"",K171*L171-E171*H171-IF(O171="",0,O171)-IF(P171="",0,P171))</f>
        <v/>
      </c>
      <c r="Y171" s="10" t="str">
        <f aca="false">IF(OR(X171="",E171="",H171=""),"",IF(E171*H171+IF(O171="",0,O171)&lt;=0,"",X171/(E171*H171+IF(O171="",0,O171))))</f>
        <v/>
      </c>
      <c r="Z171" s="10" t="str">
        <f aca="false">IF(OR(Y171="",多次统计数据!$B$8=""),"",Y171-多次统计数据!$B$8)</f>
        <v/>
      </c>
      <c r="AA171" s="13" t="str">
        <f aca="false">IF(OR(I171="",M171="",M171&lt;I171),"",M171-I171)</f>
        <v/>
      </c>
      <c r="AB171" s="10" t="str">
        <f aca="false">IF(OR(A171="",多次统计数据!$B$8="",多次统计数据!$B$6&lt;=0,多次统计数据!$B$6&gt;=1),"",1-POWER(1+多次统计数据!$B$8,-多次统计数据!$B$6/(1-多次统计数据!$B$6)))</f>
        <v/>
      </c>
      <c r="AC171" s="6" t="str">
        <f aca="false">IF(OR(AB171="",多次统计数据!$B$9=""),"",IF(多次统计数据!$B$9&lt;AB171,"低于上限","达到或超过上限"))</f>
        <v/>
      </c>
      <c r="AD171" s="2"/>
    </row>
    <row r="172" customFormat="false" ht="15" hidden="false" customHeight="false" outlineLevel="0" collapsed="false">
      <c r="A172" s="9"/>
      <c r="B172" s="9"/>
      <c r="C172" s="3"/>
      <c r="D172" s="4"/>
      <c r="E172" s="3"/>
      <c r="F172" s="5" t="str">
        <f aca="false">IF(OR(C172="",D172="",E172="",N172="",C172&lt;=0,D172&lt;=0,E172&lt;=N172),"",ROUNDDOWN((C172*D172)/(E172-N172)/100,0)*100)</f>
        <v/>
      </c>
      <c r="G172" s="6" t="str">
        <f aca="false">IF(OR(A172="",F172="",E172="",N172="",E172&lt;=N172,账户数据!$B$7=""),"",IF(账户数据!$B$9+IF(H172="",F172*(E172-N172),0)&gt;=账户数据!$B$7,"禁止开仓","允许开仓"))</f>
        <v/>
      </c>
      <c r="H172" s="7"/>
      <c r="I172" s="8"/>
      <c r="J172" s="3"/>
      <c r="K172" s="3"/>
      <c r="L172" s="5" t="str">
        <f aca="false">IF(K172="","",H172)</f>
        <v/>
      </c>
      <c r="M172" s="8"/>
      <c r="N172" s="3"/>
      <c r="O172" s="3"/>
      <c r="P172" s="3"/>
      <c r="Q172" s="9"/>
      <c r="R172" s="9"/>
      <c r="S172" s="9"/>
      <c r="T172" s="9"/>
      <c r="U172" s="10" t="str">
        <f aca="false">IF(OR(E172="",J172="",E172&lt;=0),"",(J172-E172)/E172)</f>
        <v/>
      </c>
      <c r="V172" s="10" t="str">
        <f aca="false">IF(OR(E172="",N172="",E172&lt;=0),"",(E172-N172)/E172)</f>
        <v/>
      </c>
      <c r="W172" s="11" t="str">
        <f aca="false">IF(OR(U172="",V172="",V172&lt;=0),"",U172/V172)</f>
        <v/>
      </c>
      <c r="X172" s="12" t="str">
        <f aca="false">IF(OR(K172="",L172="",E172="",H172=""),"",K172*L172-E172*H172-IF(O172="",0,O172)-IF(P172="",0,P172))</f>
        <v/>
      </c>
      <c r="Y172" s="10" t="str">
        <f aca="false">IF(OR(X172="",E172="",H172=""),"",IF(E172*H172+IF(O172="",0,O172)&lt;=0,"",X172/(E172*H172+IF(O172="",0,O172))))</f>
        <v/>
      </c>
      <c r="Z172" s="10" t="str">
        <f aca="false">IF(OR(Y172="",多次统计数据!$B$8=""),"",Y172-多次统计数据!$B$8)</f>
        <v/>
      </c>
      <c r="AA172" s="13" t="str">
        <f aca="false">IF(OR(I172="",M172="",M172&lt;I172),"",M172-I172)</f>
        <v/>
      </c>
      <c r="AB172" s="10" t="str">
        <f aca="false">IF(OR(A172="",多次统计数据!$B$8="",多次统计数据!$B$6&lt;=0,多次统计数据!$B$6&gt;=1),"",1-POWER(1+多次统计数据!$B$8,-多次统计数据!$B$6/(1-多次统计数据!$B$6)))</f>
        <v/>
      </c>
      <c r="AC172" s="6" t="str">
        <f aca="false">IF(OR(AB172="",多次统计数据!$B$9=""),"",IF(多次统计数据!$B$9&lt;AB172,"低于上限","达到或超过上限"))</f>
        <v/>
      </c>
      <c r="AD172" s="2"/>
    </row>
    <row r="173" customFormat="false" ht="15" hidden="false" customHeight="false" outlineLevel="0" collapsed="false">
      <c r="A173" s="9"/>
      <c r="B173" s="9"/>
      <c r="C173" s="3"/>
      <c r="D173" s="4"/>
      <c r="E173" s="3"/>
      <c r="F173" s="5" t="str">
        <f aca="false">IF(OR(C173="",D173="",E173="",N173="",C173&lt;=0,D173&lt;=0,E173&lt;=N173),"",ROUNDDOWN((C173*D173)/(E173-N173)/100,0)*100)</f>
        <v/>
      </c>
      <c r="G173" s="6" t="str">
        <f aca="false">IF(OR(A173="",F173="",E173="",N173="",E173&lt;=N173,账户数据!$B$7=""),"",IF(账户数据!$B$9+IF(H173="",F173*(E173-N173),0)&gt;=账户数据!$B$7,"禁止开仓","允许开仓"))</f>
        <v/>
      </c>
      <c r="H173" s="7"/>
      <c r="I173" s="8"/>
      <c r="J173" s="3"/>
      <c r="K173" s="3"/>
      <c r="L173" s="5" t="str">
        <f aca="false">IF(K173="","",H173)</f>
        <v/>
      </c>
      <c r="M173" s="8"/>
      <c r="N173" s="3"/>
      <c r="O173" s="3"/>
      <c r="P173" s="3"/>
      <c r="Q173" s="9"/>
      <c r="R173" s="9"/>
      <c r="S173" s="9"/>
      <c r="T173" s="9"/>
      <c r="U173" s="10" t="str">
        <f aca="false">IF(OR(E173="",J173="",E173&lt;=0),"",(J173-E173)/E173)</f>
        <v/>
      </c>
      <c r="V173" s="10" t="str">
        <f aca="false">IF(OR(E173="",N173="",E173&lt;=0),"",(E173-N173)/E173)</f>
        <v/>
      </c>
      <c r="W173" s="11" t="str">
        <f aca="false">IF(OR(U173="",V173="",V173&lt;=0),"",U173/V173)</f>
        <v/>
      </c>
      <c r="X173" s="12" t="str">
        <f aca="false">IF(OR(K173="",L173="",E173="",H173=""),"",K173*L173-E173*H173-IF(O173="",0,O173)-IF(P173="",0,P173))</f>
        <v/>
      </c>
      <c r="Y173" s="10" t="str">
        <f aca="false">IF(OR(X173="",E173="",H173=""),"",IF(E173*H173+IF(O173="",0,O173)&lt;=0,"",X173/(E173*H173+IF(O173="",0,O173))))</f>
        <v/>
      </c>
      <c r="Z173" s="10" t="str">
        <f aca="false">IF(OR(Y173="",多次统计数据!$B$8=""),"",Y173-多次统计数据!$B$8)</f>
        <v/>
      </c>
      <c r="AA173" s="13" t="str">
        <f aca="false">IF(OR(I173="",M173="",M173&lt;I173),"",M173-I173)</f>
        <v/>
      </c>
      <c r="AB173" s="10" t="str">
        <f aca="false">IF(OR(A173="",多次统计数据!$B$8="",多次统计数据!$B$6&lt;=0,多次统计数据!$B$6&gt;=1),"",1-POWER(1+多次统计数据!$B$8,-多次统计数据!$B$6/(1-多次统计数据!$B$6)))</f>
        <v/>
      </c>
      <c r="AC173" s="6" t="str">
        <f aca="false">IF(OR(AB173="",多次统计数据!$B$9=""),"",IF(多次统计数据!$B$9&lt;AB173,"低于上限","达到或超过上限"))</f>
        <v/>
      </c>
      <c r="AD173" s="2"/>
    </row>
    <row r="174" customFormat="false" ht="15" hidden="false" customHeight="false" outlineLevel="0" collapsed="false">
      <c r="A174" s="9"/>
      <c r="B174" s="9"/>
      <c r="C174" s="3"/>
      <c r="D174" s="4"/>
      <c r="E174" s="3"/>
      <c r="F174" s="5" t="str">
        <f aca="false">IF(OR(C174="",D174="",E174="",N174="",C174&lt;=0,D174&lt;=0,E174&lt;=N174),"",ROUNDDOWN((C174*D174)/(E174-N174)/100,0)*100)</f>
        <v/>
      </c>
      <c r="G174" s="6" t="str">
        <f aca="false">IF(OR(A174="",F174="",E174="",N174="",E174&lt;=N174,账户数据!$B$7=""),"",IF(账户数据!$B$9+IF(H174="",F174*(E174-N174),0)&gt;=账户数据!$B$7,"禁止开仓","允许开仓"))</f>
        <v/>
      </c>
      <c r="H174" s="7"/>
      <c r="I174" s="8"/>
      <c r="J174" s="3"/>
      <c r="K174" s="3"/>
      <c r="L174" s="5" t="str">
        <f aca="false">IF(K174="","",H174)</f>
        <v/>
      </c>
      <c r="M174" s="8"/>
      <c r="N174" s="3"/>
      <c r="O174" s="3"/>
      <c r="P174" s="3"/>
      <c r="Q174" s="9"/>
      <c r="R174" s="9"/>
      <c r="S174" s="9"/>
      <c r="T174" s="9"/>
      <c r="U174" s="10" t="str">
        <f aca="false">IF(OR(E174="",J174="",E174&lt;=0),"",(J174-E174)/E174)</f>
        <v/>
      </c>
      <c r="V174" s="10" t="str">
        <f aca="false">IF(OR(E174="",N174="",E174&lt;=0),"",(E174-N174)/E174)</f>
        <v/>
      </c>
      <c r="W174" s="11" t="str">
        <f aca="false">IF(OR(U174="",V174="",V174&lt;=0),"",U174/V174)</f>
        <v/>
      </c>
      <c r="X174" s="12" t="str">
        <f aca="false">IF(OR(K174="",L174="",E174="",H174=""),"",K174*L174-E174*H174-IF(O174="",0,O174)-IF(P174="",0,P174))</f>
        <v/>
      </c>
      <c r="Y174" s="10" t="str">
        <f aca="false">IF(OR(X174="",E174="",H174=""),"",IF(E174*H174+IF(O174="",0,O174)&lt;=0,"",X174/(E174*H174+IF(O174="",0,O174))))</f>
        <v/>
      </c>
      <c r="Z174" s="10" t="str">
        <f aca="false">IF(OR(Y174="",多次统计数据!$B$8=""),"",Y174-多次统计数据!$B$8)</f>
        <v/>
      </c>
      <c r="AA174" s="13" t="str">
        <f aca="false">IF(OR(I174="",M174="",M174&lt;I174),"",M174-I174)</f>
        <v/>
      </c>
      <c r="AB174" s="10" t="str">
        <f aca="false">IF(OR(A174="",多次统计数据!$B$8="",多次统计数据!$B$6&lt;=0,多次统计数据!$B$6&gt;=1),"",1-POWER(1+多次统计数据!$B$8,-多次统计数据!$B$6/(1-多次统计数据!$B$6)))</f>
        <v/>
      </c>
      <c r="AC174" s="6" t="str">
        <f aca="false">IF(OR(AB174="",多次统计数据!$B$9=""),"",IF(多次统计数据!$B$9&lt;AB174,"低于上限","达到或超过上限"))</f>
        <v/>
      </c>
      <c r="AD174" s="2"/>
    </row>
    <row r="175" customFormat="false" ht="15" hidden="false" customHeight="false" outlineLevel="0" collapsed="false">
      <c r="A175" s="9"/>
      <c r="B175" s="9"/>
      <c r="C175" s="3"/>
      <c r="D175" s="4"/>
      <c r="E175" s="3"/>
      <c r="F175" s="5" t="str">
        <f aca="false">IF(OR(C175="",D175="",E175="",N175="",C175&lt;=0,D175&lt;=0,E175&lt;=N175),"",ROUNDDOWN((C175*D175)/(E175-N175)/100,0)*100)</f>
        <v/>
      </c>
      <c r="G175" s="6" t="str">
        <f aca="false">IF(OR(A175="",F175="",E175="",N175="",E175&lt;=N175,账户数据!$B$7=""),"",IF(账户数据!$B$9+IF(H175="",F175*(E175-N175),0)&gt;=账户数据!$B$7,"禁止开仓","允许开仓"))</f>
        <v/>
      </c>
      <c r="H175" s="7"/>
      <c r="I175" s="8"/>
      <c r="J175" s="3"/>
      <c r="K175" s="3"/>
      <c r="L175" s="5" t="str">
        <f aca="false">IF(K175="","",H175)</f>
        <v/>
      </c>
      <c r="M175" s="8"/>
      <c r="N175" s="3"/>
      <c r="O175" s="3"/>
      <c r="P175" s="3"/>
      <c r="Q175" s="9"/>
      <c r="R175" s="9"/>
      <c r="S175" s="9"/>
      <c r="T175" s="9"/>
      <c r="U175" s="10" t="str">
        <f aca="false">IF(OR(E175="",J175="",E175&lt;=0),"",(J175-E175)/E175)</f>
        <v/>
      </c>
      <c r="V175" s="10" t="str">
        <f aca="false">IF(OR(E175="",N175="",E175&lt;=0),"",(E175-N175)/E175)</f>
        <v/>
      </c>
      <c r="W175" s="11" t="str">
        <f aca="false">IF(OR(U175="",V175="",V175&lt;=0),"",U175/V175)</f>
        <v/>
      </c>
      <c r="X175" s="12" t="str">
        <f aca="false">IF(OR(K175="",L175="",E175="",H175=""),"",K175*L175-E175*H175-IF(O175="",0,O175)-IF(P175="",0,P175))</f>
        <v/>
      </c>
      <c r="Y175" s="10" t="str">
        <f aca="false">IF(OR(X175="",E175="",H175=""),"",IF(E175*H175+IF(O175="",0,O175)&lt;=0,"",X175/(E175*H175+IF(O175="",0,O175))))</f>
        <v/>
      </c>
      <c r="Z175" s="10" t="str">
        <f aca="false">IF(OR(Y175="",多次统计数据!$B$8=""),"",Y175-多次统计数据!$B$8)</f>
        <v/>
      </c>
      <c r="AA175" s="13" t="str">
        <f aca="false">IF(OR(I175="",M175="",M175&lt;I175),"",M175-I175)</f>
        <v/>
      </c>
      <c r="AB175" s="10" t="str">
        <f aca="false">IF(OR(A175="",多次统计数据!$B$8="",多次统计数据!$B$6&lt;=0,多次统计数据!$B$6&gt;=1),"",1-POWER(1+多次统计数据!$B$8,-多次统计数据!$B$6/(1-多次统计数据!$B$6)))</f>
        <v/>
      </c>
      <c r="AC175" s="6" t="str">
        <f aca="false">IF(OR(AB175="",多次统计数据!$B$9=""),"",IF(多次统计数据!$B$9&lt;AB175,"低于上限","达到或超过上限"))</f>
        <v/>
      </c>
      <c r="AD175" s="2"/>
    </row>
    <row r="176" customFormat="false" ht="15" hidden="false" customHeight="false" outlineLevel="0" collapsed="false">
      <c r="A176" s="9"/>
      <c r="B176" s="9"/>
      <c r="C176" s="3"/>
      <c r="D176" s="4"/>
      <c r="E176" s="3"/>
      <c r="F176" s="5" t="str">
        <f aca="false">IF(OR(C176="",D176="",E176="",N176="",C176&lt;=0,D176&lt;=0,E176&lt;=N176),"",ROUNDDOWN((C176*D176)/(E176-N176)/100,0)*100)</f>
        <v/>
      </c>
      <c r="G176" s="6" t="str">
        <f aca="false">IF(OR(A176="",F176="",E176="",N176="",E176&lt;=N176,账户数据!$B$7=""),"",IF(账户数据!$B$9+IF(H176="",F176*(E176-N176),0)&gt;=账户数据!$B$7,"禁止开仓","允许开仓"))</f>
        <v/>
      </c>
      <c r="H176" s="7"/>
      <c r="I176" s="8"/>
      <c r="J176" s="3"/>
      <c r="K176" s="3"/>
      <c r="L176" s="5" t="str">
        <f aca="false">IF(K176="","",H176)</f>
        <v/>
      </c>
      <c r="M176" s="8"/>
      <c r="N176" s="3"/>
      <c r="O176" s="3"/>
      <c r="P176" s="3"/>
      <c r="Q176" s="9"/>
      <c r="R176" s="9"/>
      <c r="S176" s="9"/>
      <c r="T176" s="9"/>
      <c r="U176" s="10" t="str">
        <f aca="false">IF(OR(E176="",J176="",E176&lt;=0),"",(J176-E176)/E176)</f>
        <v/>
      </c>
      <c r="V176" s="10" t="str">
        <f aca="false">IF(OR(E176="",N176="",E176&lt;=0),"",(E176-N176)/E176)</f>
        <v/>
      </c>
      <c r="W176" s="11" t="str">
        <f aca="false">IF(OR(U176="",V176="",V176&lt;=0),"",U176/V176)</f>
        <v/>
      </c>
      <c r="X176" s="12" t="str">
        <f aca="false">IF(OR(K176="",L176="",E176="",H176=""),"",K176*L176-E176*H176-IF(O176="",0,O176)-IF(P176="",0,P176))</f>
        <v/>
      </c>
      <c r="Y176" s="10" t="str">
        <f aca="false">IF(OR(X176="",E176="",H176=""),"",IF(E176*H176+IF(O176="",0,O176)&lt;=0,"",X176/(E176*H176+IF(O176="",0,O176))))</f>
        <v/>
      </c>
      <c r="Z176" s="10" t="str">
        <f aca="false">IF(OR(Y176="",多次统计数据!$B$8=""),"",Y176-多次统计数据!$B$8)</f>
        <v/>
      </c>
      <c r="AA176" s="13" t="str">
        <f aca="false">IF(OR(I176="",M176="",M176&lt;I176),"",M176-I176)</f>
        <v/>
      </c>
      <c r="AB176" s="10" t="str">
        <f aca="false">IF(OR(A176="",多次统计数据!$B$8="",多次统计数据!$B$6&lt;=0,多次统计数据!$B$6&gt;=1),"",1-POWER(1+多次统计数据!$B$8,-多次统计数据!$B$6/(1-多次统计数据!$B$6)))</f>
        <v/>
      </c>
      <c r="AC176" s="6" t="str">
        <f aca="false">IF(OR(AB176="",多次统计数据!$B$9=""),"",IF(多次统计数据!$B$9&lt;AB176,"低于上限","达到或超过上限"))</f>
        <v/>
      </c>
      <c r="AD176" s="2"/>
    </row>
    <row r="177" customFormat="false" ht="15" hidden="false" customHeight="false" outlineLevel="0" collapsed="false">
      <c r="A177" s="9"/>
      <c r="B177" s="9"/>
      <c r="C177" s="3"/>
      <c r="D177" s="4"/>
      <c r="E177" s="3"/>
      <c r="F177" s="5" t="str">
        <f aca="false">IF(OR(C177="",D177="",E177="",N177="",C177&lt;=0,D177&lt;=0,E177&lt;=N177),"",ROUNDDOWN((C177*D177)/(E177-N177)/100,0)*100)</f>
        <v/>
      </c>
      <c r="G177" s="6" t="str">
        <f aca="false">IF(OR(A177="",F177="",E177="",N177="",E177&lt;=N177,账户数据!$B$7=""),"",IF(账户数据!$B$9+IF(H177="",F177*(E177-N177),0)&gt;=账户数据!$B$7,"禁止开仓","允许开仓"))</f>
        <v/>
      </c>
      <c r="H177" s="7"/>
      <c r="I177" s="8"/>
      <c r="J177" s="3"/>
      <c r="K177" s="3"/>
      <c r="L177" s="5" t="str">
        <f aca="false">IF(K177="","",H177)</f>
        <v/>
      </c>
      <c r="M177" s="8"/>
      <c r="N177" s="3"/>
      <c r="O177" s="3"/>
      <c r="P177" s="3"/>
      <c r="Q177" s="9"/>
      <c r="R177" s="9"/>
      <c r="S177" s="9"/>
      <c r="T177" s="9"/>
      <c r="U177" s="10" t="str">
        <f aca="false">IF(OR(E177="",J177="",E177&lt;=0),"",(J177-E177)/E177)</f>
        <v/>
      </c>
      <c r="V177" s="10" t="str">
        <f aca="false">IF(OR(E177="",N177="",E177&lt;=0),"",(E177-N177)/E177)</f>
        <v/>
      </c>
      <c r="W177" s="11" t="str">
        <f aca="false">IF(OR(U177="",V177="",V177&lt;=0),"",U177/V177)</f>
        <v/>
      </c>
      <c r="X177" s="12" t="str">
        <f aca="false">IF(OR(K177="",L177="",E177="",H177=""),"",K177*L177-E177*H177-IF(O177="",0,O177)-IF(P177="",0,P177))</f>
        <v/>
      </c>
      <c r="Y177" s="10" t="str">
        <f aca="false">IF(OR(X177="",E177="",H177=""),"",IF(E177*H177+IF(O177="",0,O177)&lt;=0,"",X177/(E177*H177+IF(O177="",0,O177))))</f>
        <v/>
      </c>
      <c r="Z177" s="10" t="str">
        <f aca="false">IF(OR(Y177="",多次统计数据!$B$8=""),"",Y177-多次统计数据!$B$8)</f>
        <v/>
      </c>
      <c r="AA177" s="13" t="str">
        <f aca="false">IF(OR(I177="",M177="",M177&lt;I177),"",M177-I177)</f>
        <v/>
      </c>
      <c r="AB177" s="10" t="str">
        <f aca="false">IF(OR(A177="",多次统计数据!$B$8="",多次统计数据!$B$6&lt;=0,多次统计数据!$B$6&gt;=1),"",1-POWER(1+多次统计数据!$B$8,-多次统计数据!$B$6/(1-多次统计数据!$B$6)))</f>
        <v/>
      </c>
      <c r="AC177" s="6" t="str">
        <f aca="false">IF(OR(AB177="",多次统计数据!$B$9=""),"",IF(多次统计数据!$B$9&lt;AB177,"低于上限","达到或超过上限"))</f>
        <v/>
      </c>
      <c r="AD177" s="2"/>
    </row>
    <row r="178" customFormat="false" ht="15" hidden="false" customHeight="false" outlineLevel="0" collapsed="false">
      <c r="A178" s="9"/>
      <c r="B178" s="9"/>
      <c r="C178" s="3"/>
      <c r="D178" s="4"/>
      <c r="E178" s="3"/>
      <c r="F178" s="5" t="str">
        <f aca="false">IF(OR(C178="",D178="",E178="",N178="",C178&lt;=0,D178&lt;=0,E178&lt;=N178),"",ROUNDDOWN((C178*D178)/(E178-N178)/100,0)*100)</f>
        <v/>
      </c>
      <c r="G178" s="6" t="str">
        <f aca="false">IF(OR(A178="",F178="",E178="",N178="",E178&lt;=N178,账户数据!$B$7=""),"",IF(账户数据!$B$9+IF(H178="",F178*(E178-N178),0)&gt;=账户数据!$B$7,"禁止开仓","允许开仓"))</f>
        <v/>
      </c>
      <c r="H178" s="7"/>
      <c r="I178" s="8"/>
      <c r="J178" s="3"/>
      <c r="K178" s="3"/>
      <c r="L178" s="5" t="str">
        <f aca="false">IF(K178="","",H178)</f>
        <v/>
      </c>
      <c r="M178" s="8"/>
      <c r="N178" s="3"/>
      <c r="O178" s="3"/>
      <c r="P178" s="3"/>
      <c r="Q178" s="9"/>
      <c r="R178" s="9"/>
      <c r="S178" s="9"/>
      <c r="T178" s="9"/>
      <c r="U178" s="10" t="str">
        <f aca="false">IF(OR(E178="",J178="",E178&lt;=0),"",(J178-E178)/E178)</f>
        <v/>
      </c>
      <c r="V178" s="10" t="str">
        <f aca="false">IF(OR(E178="",N178="",E178&lt;=0),"",(E178-N178)/E178)</f>
        <v/>
      </c>
      <c r="W178" s="11" t="str">
        <f aca="false">IF(OR(U178="",V178="",V178&lt;=0),"",U178/V178)</f>
        <v/>
      </c>
      <c r="X178" s="12" t="str">
        <f aca="false">IF(OR(K178="",L178="",E178="",H178=""),"",K178*L178-E178*H178-IF(O178="",0,O178)-IF(P178="",0,P178))</f>
        <v/>
      </c>
      <c r="Y178" s="10" t="str">
        <f aca="false">IF(OR(X178="",E178="",H178=""),"",IF(E178*H178+IF(O178="",0,O178)&lt;=0,"",X178/(E178*H178+IF(O178="",0,O178))))</f>
        <v/>
      </c>
      <c r="Z178" s="10" t="str">
        <f aca="false">IF(OR(Y178="",多次统计数据!$B$8=""),"",Y178-多次统计数据!$B$8)</f>
        <v/>
      </c>
      <c r="AA178" s="13" t="str">
        <f aca="false">IF(OR(I178="",M178="",M178&lt;I178),"",M178-I178)</f>
        <v/>
      </c>
      <c r="AB178" s="10" t="str">
        <f aca="false">IF(OR(A178="",多次统计数据!$B$8="",多次统计数据!$B$6&lt;=0,多次统计数据!$B$6&gt;=1),"",1-POWER(1+多次统计数据!$B$8,-多次统计数据!$B$6/(1-多次统计数据!$B$6)))</f>
        <v/>
      </c>
      <c r="AC178" s="6" t="str">
        <f aca="false">IF(OR(AB178="",多次统计数据!$B$9=""),"",IF(多次统计数据!$B$9&lt;AB178,"低于上限","达到或超过上限"))</f>
        <v/>
      </c>
      <c r="AD178" s="2"/>
    </row>
    <row r="179" customFormat="false" ht="15" hidden="false" customHeight="false" outlineLevel="0" collapsed="false">
      <c r="A179" s="9"/>
      <c r="B179" s="9"/>
      <c r="C179" s="3"/>
      <c r="D179" s="4"/>
      <c r="E179" s="3"/>
      <c r="F179" s="5" t="str">
        <f aca="false">IF(OR(C179="",D179="",E179="",N179="",C179&lt;=0,D179&lt;=0,E179&lt;=N179),"",ROUNDDOWN((C179*D179)/(E179-N179)/100,0)*100)</f>
        <v/>
      </c>
      <c r="G179" s="6" t="str">
        <f aca="false">IF(OR(A179="",F179="",E179="",N179="",E179&lt;=N179,账户数据!$B$7=""),"",IF(账户数据!$B$9+IF(H179="",F179*(E179-N179),0)&gt;=账户数据!$B$7,"禁止开仓","允许开仓"))</f>
        <v/>
      </c>
      <c r="H179" s="7"/>
      <c r="I179" s="8"/>
      <c r="J179" s="3"/>
      <c r="K179" s="3"/>
      <c r="L179" s="5" t="str">
        <f aca="false">IF(K179="","",H179)</f>
        <v/>
      </c>
      <c r="M179" s="8"/>
      <c r="N179" s="3"/>
      <c r="O179" s="3"/>
      <c r="P179" s="3"/>
      <c r="Q179" s="9"/>
      <c r="R179" s="9"/>
      <c r="S179" s="9"/>
      <c r="T179" s="9"/>
      <c r="U179" s="10" t="str">
        <f aca="false">IF(OR(E179="",J179="",E179&lt;=0),"",(J179-E179)/E179)</f>
        <v/>
      </c>
      <c r="V179" s="10" t="str">
        <f aca="false">IF(OR(E179="",N179="",E179&lt;=0),"",(E179-N179)/E179)</f>
        <v/>
      </c>
      <c r="W179" s="11" t="str">
        <f aca="false">IF(OR(U179="",V179="",V179&lt;=0),"",U179/V179)</f>
        <v/>
      </c>
      <c r="X179" s="12" t="str">
        <f aca="false">IF(OR(K179="",L179="",E179="",H179=""),"",K179*L179-E179*H179-IF(O179="",0,O179)-IF(P179="",0,P179))</f>
        <v/>
      </c>
      <c r="Y179" s="10" t="str">
        <f aca="false">IF(OR(X179="",E179="",H179=""),"",IF(E179*H179+IF(O179="",0,O179)&lt;=0,"",X179/(E179*H179+IF(O179="",0,O179))))</f>
        <v/>
      </c>
      <c r="Z179" s="10" t="str">
        <f aca="false">IF(OR(Y179="",多次统计数据!$B$8=""),"",Y179-多次统计数据!$B$8)</f>
        <v/>
      </c>
      <c r="AA179" s="13" t="str">
        <f aca="false">IF(OR(I179="",M179="",M179&lt;I179),"",M179-I179)</f>
        <v/>
      </c>
      <c r="AB179" s="10" t="str">
        <f aca="false">IF(OR(A179="",多次统计数据!$B$8="",多次统计数据!$B$6&lt;=0,多次统计数据!$B$6&gt;=1),"",1-POWER(1+多次统计数据!$B$8,-多次统计数据!$B$6/(1-多次统计数据!$B$6)))</f>
        <v/>
      </c>
      <c r="AC179" s="6" t="str">
        <f aca="false">IF(OR(AB179="",多次统计数据!$B$9=""),"",IF(多次统计数据!$B$9&lt;AB179,"低于上限","达到或超过上限"))</f>
        <v/>
      </c>
      <c r="AD179" s="2"/>
    </row>
    <row r="180" customFormat="false" ht="15" hidden="false" customHeight="false" outlineLevel="0" collapsed="false">
      <c r="A180" s="9"/>
      <c r="B180" s="9"/>
      <c r="C180" s="3"/>
      <c r="D180" s="4"/>
      <c r="E180" s="3"/>
      <c r="F180" s="5" t="str">
        <f aca="false">IF(OR(C180="",D180="",E180="",N180="",C180&lt;=0,D180&lt;=0,E180&lt;=N180),"",ROUNDDOWN((C180*D180)/(E180-N180)/100,0)*100)</f>
        <v/>
      </c>
      <c r="G180" s="6" t="str">
        <f aca="false">IF(OR(A180="",F180="",E180="",N180="",E180&lt;=N180,账户数据!$B$7=""),"",IF(账户数据!$B$9+IF(H180="",F180*(E180-N180),0)&gt;=账户数据!$B$7,"禁止开仓","允许开仓"))</f>
        <v/>
      </c>
      <c r="H180" s="7"/>
      <c r="I180" s="8"/>
      <c r="J180" s="3"/>
      <c r="K180" s="3"/>
      <c r="L180" s="5" t="str">
        <f aca="false">IF(K180="","",H180)</f>
        <v/>
      </c>
      <c r="M180" s="8"/>
      <c r="N180" s="3"/>
      <c r="O180" s="3"/>
      <c r="P180" s="3"/>
      <c r="Q180" s="9"/>
      <c r="R180" s="9"/>
      <c r="S180" s="9"/>
      <c r="T180" s="9"/>
      <c r="U180" s="10" t="str">
        <f aca="false">IF(OR(E180="",J180="",E180&lt;=0),"",(J180-E180)/E180)</f>
        <v/>
      </c>
      <c r="V180" s="10" t="str">
        <f aca="false">IF(OR(E180="",N180="",E180&lt;=0),"",(E180-N180)/E180)</f>
        <v/>
      </c>
      <c r="W180" s="11" t="str">
        <f aca="false">IF(OR(U180="",V180="",V180&lt;=0),"",U180/V180)</f>
        <v/>
      </c>
      <c r="X180" s="12" t="str">
        <f aca="false">IF(OR(K180="",L180="",E180="",H180=""),"",K180*L180-E180*H180-IF(O180="",0,O180)-IF(P180="",0,P180))</f>
        <v/>
      </c>
      <c r="Y180" s="10" t="str">
        <f aca="false">IF(OR(X180="",E180="",H180=""),"",IF(E180*H180+IF(O180="",0,O180)&lt;=0,"",X180/(E180*H180+IF(O180="",0,O180))))</f>
        <v/>
      </c>
      <c r="Z180" s="10" t="str">
        <f aca="false">IF(OR(Y180="",多次统计数据!$B$8=""),"",Y180-多次统计数据!$B$8)</f>
        <v/>
      </c>
      <c r="AA180" s="13" t="str">
        <f aca="false">IF(OR(I180="",M180="",M180&lt;I180),"",M180-I180)</f>
        <v/>
      </c>
      <c r="AB180" s="10" t="str">
        <f aca="false">IF(OR(A180="",多次统计数据!$B$8="",多次统计数据!$B$6&lt;=0,多次统计数据!$B$6&gt;=1),"",1-POWER(1+多次统计数据!$B$8,-多次统计数据!$B$6/(1-多次统计数据!$B$6)))</f>
        <v/>
      </c>
      <c r="AC180" s="6" t="str">
        <f aca="false">IF(OR(AB180="",多次统计数据!$B$9=""),"",IF(多次统计数据!$B$9&lt;AB180,"低于上限","达到或超过上限"))</f>
        <v/>
      </c>
      <c r="AD180" s="2"/>
    </row>
    <row r="181" customFormat="false" ht="15" hidden="false" customHeight="false" outlineLevel="0" collapsed="false">
      <c r="A181" s="9"/>
      <c r="B181" s="9"/>
      <c r="C181" s="3"/>
      <c r="D181" s="4"/>
      <c r="E181" s="3"/>
      <c r="F181" s="5" t="str">
        <f aca="false">IF(OR(C181="",D181="",E181="",N181="",C181&lt;=0,D181&lt;=0,E181&lt;=N181),"",ROUNDDOWN((C181*D181)/(E181-N181)/100,0)*100)</f>
        <v/>
      </c>
      <c r="G181" s="6" t="str">
        <f aca="false">IF(OR(A181="",F181="",E181="",N181="",E181&lt;=N181,账户数据!$B$7=""),"",IF(账户数据!$B$9+IF(H181="",F181*(E181-N181),0)&gt;=账户数据!$B$7,"禁止开仓","允许开仓"))</f>
        <v/>
      </c>
      <c r="H181" s="7"/>
      <c r="I181" s="8"/>
      <c r="J181" s="3"/>
      <c r="K181" s="3"/>
      <c r="L181" s="5" t="str">
        <f aca="false">IF(K181="","",H181)</f>
        <v/>
      </c>
      <c r="M181" s="8"/>
      <c r="N181" s="3"/>
      <c r="O181" s="3"/>
      <c r="P181" s="3"/>
      <c r="Q181" s="9"/>
      <c r="R181" s="9"/>
      <c r="S181" s="9"/>
      <c r="T181" s="9"/>
      <c r="U181" s="10" t="str">
        <f aca="false">IF(OR(E181="",J181="",E181&lt;=0),"",(J181-E181)/E181)</f>
        <v/>
      </c>
      <c r="V181" s="10" t="str">
        <f aca="false">IF(OR(E181="",N181="",E181&lt;=0),"",(E181-N181)/E181)</f>
        <v/>
      </c>
      <c r="W181" s="11" t="str">
        <f aca="false">IF(OR(U181="",V181="",V181&lt;=0),"",U181/V181)</f>
        <v/>
      </c>
      <c r="X181" s="12" t="str">
        <f aca="false">IF(OR(K181="",L181="",E181="",H181=""),"",K181*L181-E181*H181-IF(O181="",0,O181)-IF(P181="",0,P181))</f>
        <v/>
      </c>
      <c r="Y181" s="10" t="str">
        <f aca="false">IF(OR(X181="",E181="",H181=""),"",IF(E181*H181+IF(O181="",0,O181)&lt;=0,"",X181/(E181*H181+IF(O181="",0,O181))))</f>
        <v/>
      </c>
      <c r="Z181" s="10" t="str">
        <f aca="false">IF(OR(Y181="",多次统计数据!$B$8=""),"",Y181-多次统计数据!$B$8)</f>
        <v/>
      </c>
      <c r="AA181" s="13" t="str">
        <f aca="false">IF(OR(I181="",M181="",M181&lt;I181),"",M181-I181)</f>
        <v/>
      </c>
      <c r="AB181" s="10" t="str">
        <f aca="false">IF(OR(A181="",多次统计数据!$B$8="",多次统计数据!$B$6&lt;=0,多次统计数据!$B$6&gt;=1),"",1-POWER(1+多次统计数据!$B$8,-多次统计数据!$B$6/(1-多次统计数据!$B$6)))</f>
        <v/>
      </c>
      <c r="AC181" s="6" t="str">
        <f aca="false">IF(OR(AB181="",多次统计数据!$B$9=""),"",IF(多次统计数据!$B$9&lt;AB181,"低于上限","达到或超过上限"))</f>
        <v/>
      </c>
      <c r="AD181" s="2"/>
    </row>
    <row r="182" customFormat="false" ht="15" hidden="false" customHeight="false" outlineLevel="0" collapsed="false">
      <c r="A182" s="9"/>
      <c r="B182" s="9"/>
      <c r="C182" s="3"/>
      <c r="D182" s="4"/>
      <c r="E182" s="3"/>
      <c r="F182" s="5" t="str">
        <f aca="false">IF(OR(C182="",D182="",E182="",N182="",C182&lt;=0,D182&lt;=0,E182&lt;=N182),"",ROUNDDOWN((C182*D182)/(E182-N182)/100,0)*100)</f>
        <v/>
      </c>
      <c r="G182" s="6" t="str">
        <f aca="false">IF(OR(A182="",F182="",E182="",N182="",E182&lt;=N182,账户数据!$B$7=""),"",IF(账户数据!$B$9+IF(H182="",F182*(E182-N182),0)&gt;=账户数据!$B$7,"禁止开仓","允许开仓"))</f>
        <v/>
      </c>
      <c r="H182" s="7"/>
      <c r="I182" s="8"/>
      <c r="J182" s="3"/>
      <c r="K182" s="3"/>
      <c r="L182" s="5" t="str">
        <f aca="false">IF(K182="","",H182)</f>
        <v/>
      </c>
      <c r="M182" s="8"/>
      <c r="N182" s="3"/>
      <c r="O182" s="3"/>
      <c r="P182" s="3"/>
      <c r="Q182" s="9"/>
      <c r="R182" s="9"/>
      <c r="S182" s="9"/>
      <c r="T182" s="9"/>
      <c r="U182" s="10" t="str">
        <f aca="false">IF(OR(E182="",J182="",E182&lt;=0),"",(J182-E182)/E182)</f>
        <v/>
      </c>
      <c r="V182" s="10" t="str">
        <f aca="false">IF(OR(E182="",N182="",E182&lt;=0),"",(E182-N182)/E182)</f>
        <v/>
      </c>
      <c r="W182" s="11" t="str">
        <f aca="false">IF(OR(U182="",V182="",V182&lt;=0),"",U182/V182)</f>
        <v/>
      </c>
      <c r="X182" s="12" t="str">
        <f aca="false">IF(OR(K182="",L182="",E182="",H182=""),"",K182*L182-E182*H182-IF(O182="",0,O182)-IF(P182="",0,P182))</f>
        <v/>
      </c>
      <c r="Y182" s="10" t="str">
        <f aca="false">IF(OR(X182="",E182="",H182=""),"",IF(E182*H182+IF(O182="",0,O182)&lt;=0,"",X182/(E182*H182+IF(O182="",0,O182))))</f>
        <v/>
      </c>
      <c r="Z182" s="10" t="str">
        <f aca="false">IF(OR(Y182="",多次统计数据!$B$8=""),"",Y182-多次统计数据!$B$8)</f>
        <v/>
      </c>
      <c r="AA182" s="13" t="str">
        <f aca="false">IF(OR(I182="",M182="",M182&lt;I182),"",M182-I182)</f>
        <v/>
      </c>
      <c r="AB182" s="10" t="str">
        <f aca="false">IF(OR(A182="",多次统计数据!$B$8="",多次统计数据!$B$6&lt;=0,多次统计数据!$B$6&gt;=1),"",1-POWER(1+多次统计数据!$B$8,-多次统计数据!$B$6/(1-多次统计数据!$B$6)))</f>
        <v/>
      </c>
      <c r="AC182" s="6" t="str">
        <f aca="false">IF(OR(AB182="",多次统计数据!$B$9=""),"",IF(多次统计数据!$B$9&lt;AB182,"低于上限","达到或超过上限"))</f>
        <v/>
      </c>
      <c r="AD182" s="2"/>
    </row>
    <row r="183" customFormat="false" ht="15" hidden="false" customHeight="false" outlineLevel="0" collapsed="false">
      <c r="A183" s="9"/>
      <c r="B183" s="9"/>
      <c r="C183" s="3"/>
      <c r="D183" s="4"/>
      <c r="E183" s="3"/>
      <c r="F183" s="5" t="str">
        <f aca="false">IF(OR(C183="",D183="",E183="",N183="",C183&lt;=0,D183&lt;=0,E183&lt;=N183),"",ROUNDDOWN((C183*D183)/(E183-N183)/100,0)*100)</f>
        <v/>
      </c>
      <c r="G183" s="6" t="str">
        <f aca="false">IF(OR(A183="",F183="",E183="",N183="",E183&lt;=N183,账户数据!$B$7=""),"",IF(账户数据!$B$9+IF(H183="",F183*(E183-N183),0)&gt;=账户数据!$B$7,"禁止开仓","允许开仓"))</f>
        <v/>
      </c>
      <c r="H183" s="7"/>
      <c r="I183" s="8"/>
      <c r="J183" s="3"/>
      <c r="K183" s="3"/>
      <c r="L183" s="5" t="str">
        <f aca="false">IF(K183="","",H183)</f>
        <v/>
      </c>
      <c r="M183" s="8"/>
      <c r="N183" s="3"/>
      <c r="O183" s="3"/>
      <c r="P183" s="3"/>
      <c r="Q183" s="9"/>
      <c r="R183" s="9"/>
      <c r="S183" s="9"/>
      <c r="T183" s="9"/>
      <c r="U183" s="10" t="str">
        <f aca="false">IF(OR(E183="",J183="",E183&lt;=0),"",(J183-E183)/E183)</f>
        <v/>
      </c>
      <c r="V183" s="10" t="str">
        <f aca="false">IF(OR(E183="",N183="",E183&lt;=0),"",(E183-N183)/E183)</f>
        <v/>
      </c>
      <c r="W183" s="11" t="str">
        <f aca="false">IF(OR(U183="",V183="",V183&lt;=0),"",U183/V183)</f>
        <v/>
      </c>
      <c r="X183" s="12" t="str">
        <f aca="false">IF(OR(K183="",L183="",E183="",H183=""),"",K183*L183-E183*H183-IF(O183="",0,O183)-IF(P183="",0,P183))</f>
        <v/>
      </c>
      <c r="Y183" s="10" t="str">
        <f aca="false">IF(OR(X183="",E183="",H183=""),"",IF(E183*H183+IF(O183="",0,O183)&lt;=0,"",X183/(E183*H183+IF(O183="",0,O183))))</f>
        <v/>
      </c>
      <c r="Z183" s="10" t="str">
        <f aca="false">IF(OR(Y183="",多次统计数据!$B$8=""),"",Y183-多次统计数据!$B$8)</f>
        <v/>
      </c>
      <c r="AA183" s="13" t="str">
        <f aca="false">IF(OR(I183="",M183="",M183&lt;I183),"",M183-I183)</f>
        <v/>
      </c>
      <c r="AB183" s="10" t="str">
        <f aca="false">IF(OR(A183="",多次统计数据!$B$8="",多次统计数据!$B$6&lt;=0,多次统计数据!$B$6&gt;=1),"",1-POWER(1+多次统计数据!$B$8,-多次统计数据!$B$6/(1-多次统计数据!$B$6)))</f>
        <v/>
      </c>
      <c r="AC183" s="6" t="str">
        <f aca="false">IF(OR(AB183="",多次统计数据!$B$9=""),"",IF(多次统计数据!$B$9&lt;AB183,"低于上限","达到或超过上限"))</f>
        <v/>
      </c>
      <c r="AD183" s="2"/>
    </row>
    <row r="184" customFormat="false" ht="15" hidden="false" customHeight="false" outlineLevel="0" collapsed="false">
      <c r="A184" s="9"/>
      <c r="B184" s="9"/>
      <c r="C184" s="3"/>
      <c r="D184" s="4"/>
      <c r="E184" s="3"/>
      <c r="F184" s="5" t="str">
        <f aca="false">IF(OR(C184="",D184="",E184="",N184="",C184&lt;=0,D184&lt;=0,E184&lt;=N184),"",ROUNDDOWN((C184*D184)/(E184-N184)/100,0)*100)</f>
        <v/>
      </c>
      <c r="G184" s="6" t="str">
        <f aca="false">IF(OR(A184="",F184="",E184="",N184="",E184&lt;=N184,账户数据!$B$7=""),"",IF(账户数据!$B$9+IF(H184="",F184*(E184-N184),0)&gt;=账户数据!$B$7,"禁止开仓","允许开仓"))</f>
        <v/>
      </c>
      <c r="H184" s="7"/>
      <c r="I184" s="8"/>
      <c r="J184" s="3"/>
      <c r="K184" s="3"/>
      <c r="L184" s="5" t="str">
        <f aca="false">IF(K184="","",H184)</f>
        <v/>
      </c>
      <c r="M184" s="8"/>
      <c r="N184" s="3"/>
      <c r="O184" s="3"/>
      <c r="P184" s="3"/>
      <c r="Q184" s="9"/>
      <c r="R184" s="9"/>
      <c r="S184" s="9"/>
      <c r="T184" s="9"/>
      <c r="U184" s="10" t="str">
        <f aca="false">IF(OR(E184="",J184="",E184&lt;=0),"",(J184-E184)/E184)</f>
        <v/>
      </c>
      <c r="V184" s="10" t="str">
        <f aca="false">IF(OR(E184="",N184="",E184&lt;=0),"",(E184-N184)/E184)</f>
        <v/>
      </c>
      <c r="W184" s="11" t="str">
        <f aca="false">IF(OR(U184="",V184="",V184&lt;=0),"",U184/V184)</f>
        <v/>
      </c>
      <c r="X184" s="12" t="str">
        <f aca="false">IF(OR(K184="",L184="",E184="",H184=""),"",K184*L184-E184*H184-IF(O184="",0,O184)-IF(P184="",0,P184))</f>
        <v/>
      </c>
      <c r="Y184" s="10" t="str">
        <f aca="false">IF(OR(X184="",E184="",H184=""),"",IF(E184*H184+IF(O184="",0,O184)&lt;=0,"",X184/(E184*H184+IF(O184="",0,O184))))</f>
        <v/>
      </c>
      <c r="Z184" s="10" t="str">
        <f aca="false">IF(OR(Y184="",多次统计数据!$B$8=""),"",Y184-多次统计数据!$B$8)</f>
        <v/>
      </c>
      <c r="AA184" s="13" t="str">
        <f aca="false">IF(OR(I184="",M184="",M184&lt;I184),"",M184-I184)</f>
        <v/>
      </c>
      <c r="AB184" s="10" t="str">
        <f aca="false">IF(OR(A184="",多次统计数据!$B$8="",多次统计数据!$B$6&lt;=0,多次统计数据!$B$6&gt;=1),"",1-POWER(1+多次统计数据!$B$8,-多次统计数据!$B$6/(1-多次统计数据!$B$6)))</f>
        <v/>
      </c>
      <c r="AC184" s="6" t="str">
        <f aca="false">IF(OR(AB184="",多次统计数据!$B$9=""),"",IF(多次统计数据!$B$9&lt;AB184,"低于上限","达到或超过上限"))</f>
        <v/>
      </c>
      <c r="AD184" s="2"/>
    </row>
    <row r="185" customFormat="false" ht="15" hidden="false" customHeight="false" outlineLevel="0" collapsed="false">
      <c r="A185" s="9"/>
      <c r="B185" s="9"/>
      <c r="C185" s="3"/>
      <c r="D185" s="4"/>
      <c r="E185" s="3"/>
      <c r="F185" s="5" t="str">
        <f aca="false">IF(OR(C185="",D185="",E185="",N185="",C185&lt;=0,D185&lt;=0,E185&lt;=N185),"",ROUNDDOWN((C185*D185)/(E185-N185)/100,0)*100)</f>
        <v/>
      </c>
      <c r="G185" s="6" t="str">
        <f aca="false">IF(OR(A185="",F185="",E185="",N185="",E185&lt;=N185,账户数据!$B$7=""),"",IF(账户数据!$B$9+IF(H185="",F185*(E185-N185),0)&gt;=账户数据!$B$7,"禁止开仓","允许开仓"))</f>
        <v/>
      </c>
      <c r="H185" s="7"/>
      <c r="I185" s="8"/>
      <c r="J185" s="3"/>
      <c r="K185" s="3"/>
      <c r="L185" s="5" t="str">
        <f aca="false">IF(K185="","",H185)</f>
        <v/>
      </c>
      <c r="M185" s="8"/>
      <c r="N185" s="3"/>
      <c r="O185" s="3"/>
      <c r="P185" s="3"/>
      <c r="Q185" s="9"/>
      <c r="R185" s="9"/>
      <c r="S185" s="9"/>
      <c r="T185" s="9"/>
      <c r="U185" s="10" t="str">
        <f aca="false">IF(OR(E185="",J185="",E185&lt;=0),"",(J185-E185)/E185)</f>
        <v/>
      </c>
      <c r="V185" s="10" t="str">
        <f aca="false">IF(OR(E185="",N185="",E185&lt;=0),"",(E185-N185)/E185)</f>
        <v/>
      </c>
      <c r="W185" s="11" t="str">
        <f aca="false">IF(OR(U185="",V185="",V185&lt;=0),"",U185/V185)</f>
        <v/>
      </c>
      <c r="X185" s="12" t="str">
        <f aca="false">IF(OR(K185="",L185="",E185="",H185=""),"",K185*L185-E185*H185-IF(O185="",0,O185)-IF(P185="",0,P185))</f>
        <v/>
      </c>
      <c r="Y185" s="10" t="str">
        <f aca="false">IF(OR(X185="",E185="",H185=""),"",IF(E185*H185+IF(O185="",0,O185)&lt;=0,"",X185/(E185*H185+IF(O185="",0,O185))))</f>
        <v/>
      </c>
      <c r="Z185" s="10" t="str">
        <f aca="false">IF(OR(Y185="",多次统计数据!$B$8=""),"",Y185-多次统计数据!$B$8)</f>
        <v/>
      </c>
      <c r="AA185" s="13" t="str">
        <f aca="false">IF(OR(I185="",M185="",M185&lt;I185),"",M185-I185)</f>
        <v/>
      </c>
      <c r="AB185" s="10" t="str">
        <f aca="false">IF(OR(A185="",多次统计数据!$B$8="",多次统计数据!$B$6&lt;=0,多次统计数据!$B$6&gt;=1),"",1-POWER(1+多次统计数据!$B$8,-多次统计数据!$B$6/(1-多次统计数据!$B$6)))</f>
        <v/>
      </c>
      <c r="AC185" s="6" t="str">
        <f aca="false">IF(OR(AB185="",多次统计数据!$B$9=""),"",IF(多次统计数据!$B$9&lt;AB185,"低于上限","达到或超过上限"))</f>
        <v/>
      </c>
      <c r="AD185" s="2"/>
    </row>
    <row r="186" customFormat="false" ht="15" hidden="false" customHeight="false" outlineLevel="0" collapsed="false">
      <c r="A186" s="9"/>
      <c r="B186" s="9"/>
      <c r="C186" s="3"/>
      <c r="D186" s="4"/>
      <c r="E186" s="3"/>
      <c r="F186" s="5" t="str">
        <f aca="false">IF(OR(C186="",D186="",E186="",N186="",C186&lt;=0,D186&lt;=0,E186&lt;=N186),"",ROUNDDOWN((C186*D186)/(E186-N186)/100,0)*100)</f>
        <v/>
      </c>
      <c r="G186" s="6" t="str">
        <f aca="false">IF(OR(A186="",F186="",E186="",N186="",E186&lt;=N186,账户数据!$B$7=""),"",IF(账户数据!$B$9+IF(H186="",F186*(E186-N186),0)&gt;=账户数据!$B$7,"禁止开仓","允许开仓"))</f>
        <v/>
      </c>
      <c r="H186" s="7"/>
      <c r="I186" s="8"/>
      <c r="J186" s="3"/>
      <c r="K186" s="3"/>
      <c r="L186" s="5" t="str">
        <f aca="false">IF(K186="","",H186)</f>
        <v/>
      </c>
      <c r="M186" s="8"/>
      <c r="N186" s="3"/>
      <c r="O186" s="3"/>
      <c r="P186" s="3"/>
      <c r="Q186" s="9"/>
      <c r="R186" s="9"/>
      <c r="S186" s="9"/>
      <c r="T186" s="9"/>
      <c r="U186" s="10" t="str">
        <f aca="false">IF(OR(E186="",J186="",E186&lt;=0),"",(J186-E186)/E186)</f>
        <v/>
      </c>
      <c r="V186" s="10" t="str">
        <f aca="false">IF(OR(E186="",N186="",E186&lt;=0),"",(E186-N186)/E186)</f>
        <v/>
      </c>
      <c r="W186" s="11" t="str">
        <f aca="false">IF(OR(U186="",V186="",V186&lt;=0),"",U186/V186)</f>
        <v/>
      </c>
      <c r="X186" s="12" t="str">
        <f aca="false">IF(OR(K186="",L186="",E186="",H186=""),"",K186*L186-E186*H186-IF(O186="",0,O186)-IF(P186="",0,P186))</f>
        <v/>
      </c>
      <c r="Y186" s="10" t="str">
        <f aca="false">IF(OR(X186="",E186="",H186=""),"",IF(E186*H186+IF(O186="",0,O186)&lt;=0,"",X186/(E186*H186+IF(O186="",0,O186))))</f>
        <v/>
      </c>
      <c r="Z186" s="10" t="str">
        <f aca="false">IF(OR(Y186="",多次统计数据!$B$8=""),"",Y186-多次统计数据!$B$8)</f>
        <v/>
      </c>
      <c r="AA186" s="13" t="str">
        <f aca="false">IF(OR(I186="",M186="",M186&lt;I186),"",M186-I186)</f>
        <v/>
      </c>
      <c r="AB186" s="10" t="str">
        <f aca="false">IF(OR(A186="",多次统计数据!$B$8="",多次统计数据!$B$6&lt;=0,多次统计数据!$B$6&gt;=1),"",1-POWER(1+多次统计数据!$B$8,-多次统计数据!$B$6/(1-多次统计数据!$B$6)))</f>
        <v/>
      </c>
      <c r="AC186" s="6" t="str">
        <f aca="false">IF(OR(AB186="",多次统计数据!$B$9=""),"",IF(多次统计数据!$B$9&lt;AB186,"低于上限","达到或超过上限"))</f>
        <v/>
      </c>
      <c r="AD186" s="2"/>
    </row>
    <row r="187" customFormat="false" ht="15" hidden="false" customHeight="false" outlineLevel="0" collapsed="false">
      <c r="A187" s="9"/>
      <c r="B187" s="9"/>
      <c r="C187" s="3"/>
      <c r="D187" s="4"/>
      <c r="E187" s="3"/>
      <c r="F187" s="5" t="str">
        <f aca="false">IF(OR(C187="",D187="",E187="",N187="",C187&lt;=0,D187&lt;=0,E187&lt;=N187),"",ROUNDDOWN((C187*D187)/(E187-N187)/100,0)*100)</f>
        <v/>
      </c>
      <c r="G187" s="6" t="str">
        <f aca="false">IF(OR(A187="",F187="",E187="",N187="",E187&lt;=N187,账户数据!$B$7=""),"",IF(账户数据!$B$9+IF(H187="",F187*(E187-N187),0)&gt;=账户数据!$B$7,"禁止开仓","允许开仓"))</f>
        <v/>
      </c>
      <c r="H187" s="7"/>
      <c r="I187" s="8"/>
      <c r="J187" s="3"/>
      <c r="K187" s="3"/>
      <c r="L187" s="5" t="str">
        <f aca="false">IF(K187="","",H187)</f>
        <v/>
      </c>
      <c r="M187" s="8"/>
      <c r="N187" s="3"/>
      <c r="O187" s="3"/>
      <c r="P187" s="3"/>
      <c r="Q187" s="9"/>
      <c r="R187" s="9"/>
      <c r="S187" s="9"/>
      <c r="T187" s="9"/>
      <c r="U187" s="10" t="str">
        <f aca="false">IF(OR(E187="",J187="",E187&lt;=0),"",(J187-E187)/E187)</f>
        <v/>
      </c>
      <c r="V187" s="10" t="str">
        <f aca="false">IF(OR(E187="",N187="",E187&lt;=0),"",(E187-N187)/E187)</f>
        <v/>
      </c>
      <c r="W187" s="11" t="str">
        <f aca="false">IF(OR(U187="",V187="",V187&lt;=0),"",U187/V187)</f>
        <v/>
      </c>
      <c r="X187" s="12" t="str">
        <f aca="false">IF(OR(K187="",L187="",E187="",H187=""),"",K187*L187-E187*H187-IF(O187="",0,O187)-IF(P187="",0,P187))</f>
        <v/>
      </c>
      <c r="Y187" s="10" t="str">
        <f aca="false">IF(OR(X187="",E187="",H187=""),"",IF(E187*H187+IF(O187="",0,O187)&lt;=0,"",X187/(E187*H187+IF(O187="",0,O187))))</f>
        <v/>
      </c>
      <c r="Z187" s="10" t="str">
        <f aca="false">IF(OR(Y187="",多次统计数据!$B$8=""),"",Y187-多次统计数据!$B$8)</f>
        <v/>
      </c>
      <c r="AA187" s="13" t="str">
        <f aca="false">IF(OR(I187="",M187="",M187&lt;I187),"",M187-I187)</f>
        <v/>
      </c>
      <c r="AB187" s="10" t="str">
        <f aca="false">IF(OR(A187="",多次统计数据!$B$8="",多次统计数据!$B$6&lt;=0,多次统计数据!$B$6&gt;=1),"",1-POWER(1+多次统计数据!$B$8,-多次统计数据!$B$6/(1-多次统计数据!$B$6)))</f>
        <v/>
      </c>
      <c r="AC187" s="6" t="str">
        <f aca="false">IF(OR(AB187="",多次统计数据!$B$9=""),"",IF(多次统计数据!$B$9&lt;AB187,"低于上限","达到或超过上限"))</f>
        <v/>
      </c>
      <c r="AD187" s="2"/>
    </row>
    <row r="188" customFormat="false" ht="15" hidden="false" customHeight="false" outlineLevel="0" collapsed="false">
      <c r="A188" s="9"/>
      <c r="B188" s="9"/>
      <c r="C188" s="3"/>
      <c r="D188" s="4"/>
      <c r="E188" s="3"/>
      <c r="F188" s="5" t="str">
        <f aca="false">IF(OR(C188="",D188="",E188="",N188="",C188&lt;=0,D188&lt;=0,E188&lt;=N188),"",ROUNDDOWN((C188*D188)/(E188-N188)/100,0)*100)</f>
        <v/>
      </c>
      <c r="G188" s="6" t="str">
        <f aca="false">IF(OR(A188="",F188="",E188="",N188="",E188&lt;=N188,账户数据!$B$7=""),"",IF(账户数据!$B$9+IF(H188="",F188*(E188-N188),0)&gt;=账户数据!$B$7,"禁止开仓","允许开仓"))</f>
        <v/>
      </c>
      <c r="H188" s="7"/>
      <c r="I188" s="8"/>
      <c r="J188" s="3"/>
      <c r="K188" s="3"/>
      <c r="L188" s="5" t="str">
        <f aca="false">IF(K188="","",H188)</f>
        <v/>
      </c>
      <c r="M188" s="8"/>
      <c r="N188" s="3"/>
      <c r="O188" s="3"/>
      <c r="P188" s="3"/>
      <c r="Q188" s="9"/>
      <c r="R188" s="9"/>
      <c r="S188" s="9"/>
      <c r="T188" s="9"/>
      <c r="U188" s="10" t="str">
        <f aca="false">IF(OR(E188="",J188="",E188&lt;=0),"",(J188-E188)/E188)</f>
        <v/>
      </c>
      <c r="V188" s="10" t="str">
        <f aca="false">IF(OR(E188="",N188="",E188&lt;=0),"",(E188-N188)/E188)</f>
        <v/>
      </c>
      <c r="W188" s="11" t="str">
        <f aca="false">IF(OR(U188="",V188="",V188&lt;=0),"",U188/V188)</f>
        <v/>
      </c>
      <c r="X188" s="12" t="str">
        <f aca="false">IF(OR(K188="",L188="",E188="",H188=""),"",K188*L188-E188*H188-IF(O188="",0,O188)-IF(P188="",0,P188))</f>
        <v/>
      </c>
      <c r="Y188" s="10" t="str">
        <f aca="false">IF(OR(X188="",E188="",H188=""),"",IF(E188*H188+IF(O188="",0,O188)&lt;=0,"",X188/(E188*H188+IF(O188="",0,O188))))</f>
        <v/>
      </c>
      <c r="Z188" s="10" t="str">
        <f aca="false">IF(OR(Y188="",多次统计数据!$B$8=""),"",Y188-多次统计数据!$B$8)</f>
        <v/>
      </c>
      <c r="AA188" s="13" t="str">
        <f aca="false">IF(OR(I188="",M188="",M188&lt;I188),"",M188-I188)</f>
        <v/>
      </c>
      <c r="AB188" s="10" t="str">
        <f aca="false">IF(OR(A188="",多次统计数据!$B$8="",多次统计数据!$B$6&lt;=0,多次统计数据!$B$6&gt;=1),"",1-POWER(1+多次统计数据!$B$8,-多次统计数据!$B$6/(1-多次统计数据!$B$6)))</f>
        <v/>
      </c>
      <c r="AC188" s="6" t="str">
        <f aca="false">IF(OR(AB188="",多次统计数据!$B$9=""),"",IF(多次统计数据!$B$9&lt;AB188,"低于上限","达到或超过上限"))</f>
        <v/>
      </c>
      <c r="AD188" s="2"/>
    </row>
    <row r="189" customFormat="false" ht="15" hidden="false" customHeight="false" outlineLevel="0" collapsed="false">
      <c r="A189" s="9"/>
      <c r="B189" s="9"/>
      <c r="C189" s="3"/>
      <c r="D189" s="4"/>
      <c r="E189" s="3"/>
      <c r="F189" s="5" t="str">
        <f aca="false">IF(OR(C189="",D189="",E189="",N189="",C189&lt;=0,D189&lt;=0,E189&lt;=N189),"",ROUNDDOWN((C189*D189)/(E189-N189)/100,0)*100)</f>
        <v/>
      </c>
      <c r="G189" s="6" t="str">
        <f aca="false">IF(OR(A189="",F189="",E189="",N189="",E189&lt;=N189,账户数据!$B$7=""),"",IF(账户数据!$B$9+IF(H189="",F189*(E189-N189),0)&gt;=账户数据!$B$7,"禁止开仓","允许开仓"))</f>
        <v/>
      </c>
      <c r="H189" s="7"/>
      <c r="I189" s="8"/>
      <c r="J189" s="3"/>
      <c r="K189" s="3"/>
      <c r="L189" s="5" t="str">
        <f aca="false">IF(K189="","",H189)</f>
        <v/>
      </c>
      <c r="M189" s="8"/>
      <c r="N189" s="3"/>
      <c r="O189" s="3"/>
      <c r="P189" s="3"/>
      <c r="Q189" s="9"/>
      <c r="R189" s="9"/>
      <c r="S189" s="9"/>
      <c r="T189" s="9"/>
      <c r="U189" s="10" t="str">
        <f aca="false">IF(OR(E189="",J189="",E189&lt;=0),"",(J189-E189)/E189)</f>
        <v/>
      </c>
      <c r="V189" s="10" t="str">
        <f aca="false">IF(OR(E189="",N189="",E189&lt;=0),"",(E189-N189)/E189)</f>
        <v/>
      </c>
      <c r="W189" s="11" t="str">
        <f aca="false">IF(OR(U189="",V189="",V189&lt;=0),"",U189/V189)</f>
        <v/>
      </c>
      <c r="X189" s="12" t="str">
        <f aca="false">IF(OR(K189="",L189="",E189="",H189=""),"",K189*L189-E189*H189-IF(O189="",0,O189)-IF(P189="",0,P189))</f>
        <v/>
      </c>
      <c r="Y189" s="10" t="str">
        <f aca="false">IF(OR(X189="",E189="",H189=""),"",IF(E189*H189+IF(O189="",0,O189)&lt;=0,"",X189/(E189*H189+IF(O189="",0,O189))))</f>
        <v/>
      </c>
      <c r="Z189" s="10" t="str">
        <f aca="false">IF(OR(Y189="",多次统计数据!$B$8=""),"",Y189-多次统计数据!$B$8)</f>
        <v/>
      </c>
      <c r="AA189" s="13" t="str">
        <f aca="false">IF(OR(I189="",M189="",M189&lt;I189),"",M189-I189)</f>
        <v/>
      </c>
      <c r="AB189" s="10" t="str">
        <f aca="false">IF(OR(A189="",多次统计数据!$B$8="",多次统计数据!$B$6&lt;=0,多次统计数据!$B$6&gt;=1),"",1-POWER(1+多次统计数据!$B$8,-多次统计数据!$B$6/(1-多次统计数据!$B$6)))</f>
        <v/>
      </c>
      <c r="AC189" s="6" t="str">
        <f aca="false">IF(OR(AB189="",多次统计数据!$B$9=""),"",IF(多次统计数据!$B$9&lt;AB189,"低于上限","达到或超过上限"))</f>
        <v/>
      </c>
      <c r="AD189" s="2"/>
    </row>
    <row r="190" customFormat="false" ht="15" hidden="false" customHeight="false" outlineLevel="0" collapsed="false">
      <c r="A190" s="9"/>
      <c r="B190" s="9"/>
      <c r="C190" s="3"/>
      <c r="D190" s="4"/>
      <c r="E190" s="3"/>
      <c r="F190" s="5" t="str">
        <f aca="false">IF(OR(C190="",D190="",E190="",N190="",C190&lt;=0,D190&lt;=0,E190&lt;=N190),"",ROUNDDOWN((C190*D190)/(E190-N190)/100,0)*100)</f>
        <v/>
      </c>
      <c r="G190" s="6" t="str">
        <f aca="false">IF(OR(A190="",F190="",E190="",N190="",E190&lt;=N190,账户数据!$B$7=""),"",IF(账户数据!$B$9+IF(H190="",F190*(E190-N190),0)&gt;=账户数据!$B$7,"禁止开仓","允许开仓"))</f>
        <v/>
      </c>
      <c r="H190" s="7"/>
      <c r="I190" s="8"/>
      <c r="J190" s="3"/>
      <c r="K190" s="3"/>
      <c r="L190" s="5" t="str">
        <f aca="false">IF(K190="","",H190)</f>
        <v/>
      </c>
      <c r="M190" s="8"/>
      <c r="N190" s="3"/>
      <c r="O190" s="3"/>
      <c r="P190" s="3"/>
      <c r="Q190" s="9"/>
      <c r="R190" s="9"/>
      <c r="S190" s="9"/>
      <c r="T190" s="9"/>
      <c r="U190" s="10" t="str">
        <f aca="false">IF(OR(E190="",J190="",E190&lt;=0),"",(J190-E190)/E190)</f>
        <v/>
      </c>
      <c r="V190" s="10" t="str">
        <f aca="false">IF(OR(E190="",N190="",E190&lt;=0),"",(E190-N190)/E190)</f>
        <v/>
      </c>
      <c r="W190" s="11" t="str">
        <f aca="false">IF(OR(U190="",V190="",V190&lt;=0),"",U190/V190)</f>
        <v/>
      </c>
      <c r="X190" s="12" t="str">
        <f aca="false">IF(OR(K190="",L190="",E190="",H190=""),"",K190*L190-E190*H190-IF(O190="",0,O190)-IF(P190="",0,P190))</f>
        <v/>
      </c>
      <c r="Y190" s="10" t="str">
        <f aca="false">IF(OR(X190="",E190="",H190=""),"",IF(E190*H190+IF(O190="",0,O190)&lt;=0,"",X190/(E190*H190+IF(O190="",0,O190))))</f>
        <v/>
      </c>
      <c r="Z190" s="10" t="str">
        <f aca="false">IF(OR(Y190="",多次统计数据!$B$8=""),"",Y190-多次统计数据!$B$8)</f>
        <v/>
      </c>
      <c r="AA190" s="13" t="str">
        <f aca="false">IF(OR(I190="",M190="",M190&lt;I190),"",M190-I190)</f>
        <v/>
      </c>
      <c r="AB190" s="10" t="str">
        <f aca="false">IF(OR(A190="",多次统计数据!$B$8="",多次统计数据!$B$6&lt;=0,多次统计数据!$B$6&gt;=1),"",1-POWER(1+多次统计数据!$B$8,-多次统计数据!$B$6/(1-多次统计数据!$B$6)))</f>
        <v/>
      </c>
      <c r="AC190" s="6" t="str">
        <f aca="false">IF(OR(AB190="",多次统计数据!$B$9=""),"",IF(多次统计数据!$B$9&lt;AB190,"低于上限","达到或超过上限"))</f>
        <v/>
      </c>
      <c r="AD190" s="2"/>
    </row>
    <row r="191" customFormat="false" ht="15" hidden="false" customHeight="false" outlineLevel="0" collapsed="false">
      <c r="A191" s="9"/>
      <c r="B191" s="9"/>
      <c r="C191" s="3"/>
      <c r="D191" s="4"/>
      <c r="E191" s="3"/>
      <c r="F191" s="5" t="str">
        <f aca="false">IF(OR(C191="",D191="",E191="",N191="",C191&lt;=0,D191&lt;=0,E191&lt;=N191),"",ROUNDDOWN((C191*D191)/(E191-N191)/100,0)*100)</f>
        <v/>
      </c>
      <c r="G191" s="6" t="str">
        <f aca="false">IF(OR(A191="",F191="",E191="",N191="",E191&lt;=N191,账户数据!$B$7=""),"",IF(账户数据!$B$9+IF(H191="",F191*(E191-N191),0)&gt;=账户数据!$B$7,"禁止开仓","允许开仓"))</f>
        <v/>
      </c>
      <c r="H191" s="7"/>
      <c r="I191" s="8"/>
      <c r="J191" s="3"/>
      <c r="K191" s="3"/>
      <c r="L191" s="5" t="str">
        <f aca="false">IF(K191="","",H191)</f>
        <v/>
      </c>
      <c r="M191" s="8"/>
      <c r="N191" s="3"/>
      <c r="O191" s="3"/>
      <c r="P191" s="3"/>
      <c r="Q191" s="9"/>
      <c r="R191" s="9"/>
      <c r="S191" s="9"/>
      <c r="T191" s="9"/>
      <c r="U191" s="10" t="str">
        <f aca="false">IF(OR(E191="",J191="",E191&lt;=0),"",(J191-E191)/E191)</f>
        <v/>
      </c>
      <c r="V191" s="10" t="str">
        <f aca="false">IF(OR(E191="",N191="",E191&lt;=0),"",(E191-N191)/E191)</f>
        <v/>
      </c>
      <c r="W191" s="11" t="str">
        <f aca="false">IF(OR(U191="",V191="",V191&lt;=0),"",U191/V191)</f>
        <v/>
      </c>
      <c r="X191" s="12" t="str">
        <f aca="false">IF(OR(K191="",L191="",E191="",H191=""),"",K191*L191-E191*H191-IF(O191="",0,O191)-IF(P191="",0,P191))</f>
        <v/>
      </c>
      <c r="Y191" s="10" t="str">
        <f aca="false">IF(OR(X191="",E191="",H191=""),"",IF(E191*H191+IF(O191="",0,O191)&lt;=0,"",X191/(E191*H191+IF(O191="",0,O191))))</f>
        <v/>
      </c>
      <c r="Z191" s="10" t="str">
        <f aca="false">IF(OR(Y191="",多次统计数据!$B$8=""),"",Y191-多次统计数据!$B$8)</f>
        <v/>
      </c>
      <c r="AA191" s="13" t="str">
        <f aca="false">IF(OR(I191="",M191="",M191&lt;I191),"",M191-I191)</f>
        <v/>
      </c>
      <c r="AB191" s="10" t="str">
        <f aca="false">IF(OR(A191="",多次统计数据!$B$8="",多次统计数据!$B$6&lt;=0,多次统计数据!$B$6&gt;=1),"",1-POWER(1+多次统计数据!$B$8,-多次统计数据!$B$6/(1-多次统计数据!$B$6)))</f>
        <v/>
      </c>
      <c r="AC191" s="6" t="str">
        <f aca="false">IF(OR(AB191="",多次统计数据!$B$9=""),"",IF(多次统计数据!$B$9&lt;AB191,"低于上限","达到或超过上限"))</f>
        <v/>
      </c>
      <c r="AD191" s="2"/>
    </row>
    <row r="192" customFormat="false" ht="15" hidden="false" customHeight="false" outlineLevel="0" collapsed="false">
      <c r="A192" s="9"/>
      <c r="B192" s="9"/>
      <c r="C192" s="3"/>
      <c r="D192" s="4"/>
      <c r="E192" s="3"/>
      <c r="F192" s="5" t="str">
        <f aca="false">IF(OR(C192="",D192="",E192="",N192="",C192&lt;=0,D192&lt;=0,E192&lt;=N192),"",ROUNDDOWN((C192*D192)/(E192-N192)/100,0)*100)</f>
        <v/>
      </c>
      <c r="G192" s="6" t="str">
        <f aca="false">IF(OR(A192="",F192="",E192="",N192="",E192&lt;=N192,账户数据!$B$7=""),"",IF(账户数据!$B$9+IF(H192="",F192*(E192-N192),0)&gt;=账户数据!$B$7,"禁止开仓","允许开仓"))</f>
        <v/>
      </c>
      <c r="H192" s="7"/>
      <c r="I192" s="8"/>
      <c r="J192" s="3"/>
      <c r="K192" s="3"/>
      <c r="L192" s="5" t="str">
        <f aca="false">IF(K192="","",H192)</f>
        <v/>
      </c>
      <c r="M192" s="8"/>
      <c r="N192" s="3"/>
      <c r="O192" s="3"/>
      <c r="P192" s="3"/>
      <c r="Q192" s="9"/>
      <c r="R192" s="9"/>
      <c r="S192" s="9"/>
      <c r="T192" s="9"/>
      <c r="U192" s="10" t="str">
        <f aca="false">IF(OR(E192="",J192="",E192&lt;=0),"",(J192-E192)/E192)</f>
        <v/>
      </c>
      <c r="V192" s="10" t="str">
        <f aca="false">IF(OR(E192="",N192="",E192&lt;=0),"",(E192-N192)/E192)</f>
        <v/>
      </c>
      <c r="W192" s="11" t="str">
        <f aca="false">IF(OR(U192="",V192="",V192&lt;=0),"",U192/V192)</f>
        <v/>
      </c>
      <c r="X192" s="12" t="str">
        <f aca="false">IF(OR(K192="",L192="",E192="",H192=""),"",K192*L192-E192*H192-IF(O192="",0,O192)-IF(P192="",0,P192))</f>
        <v/>
      </c>
      <c r="Y192" s="10" t="str">
        <f aca="false">IF(OR(X192="",E192="",H192=""),"",IF(E192*H192+IF(O192="",0,O192)&lt;=0,"",X192/(E192*H192+IF(O192="",0,O192))))</f>
        <v/>
      </c>
      <c r="Z192" s="10" t="str">
        <f aca="false">IF(OR(Y192="",多次统计数据!$B$8=""),"",Y192-多次统计数据!$B$8)</f>
        <v/>
      </c>
      <c r="AA192" s="13" t="str">
        <f aca="false">IF(OR(I192="",M192="",M192&lt;I192),"",M192-I192)</f>
        <v/>
      </c>
      <c r="AB192" s="10" t="str">
        <f aca="false">IF(OR(A192="",多次统计数据!$B$8="",多次统计数据!$B$6&lt;=0,多次统计数据!$B$6&gt;=1),"",1-POWER(1+多次统计数据!$B$8,-多次统计数据!$B$6/(1-多次统计数据!$B$6)))</f>
        <v/>
      </c>
      <c r="AC192" s="6" t="str">
        <f aca="false">IF(OR(AB192="",多次统计数据!$B$9=""),"",IF(多次统计数据!$B$9&lt;AB192,"低于上限","达到或超过上限"))</f>
        <v/>
      </c>
      <c r="AD192" s="2"/>
    </row>
    <row r="193" customFormat="false" ht="15" hidden="false" customHeight="false" outlineLevel="0" collapsed="false">
      <c r="A193" s="9"/>
      <c r="B193" s="9"/>
      <c r="C193" s="3"/>
      <c r="D193" s="4"/>
      <c r="E193" s="3"/>
      <c r="F193" s="5" t="str">
        <f aca="false">IF(OR(C193="",D193="",E193="",N193="",C193&lt;=0,D193&lt;=0,E193&lt;=N193),"",ROUNDDOWN((C193*D193)/(E193-N193)/100,0)*100)</f>
        <v/>
      </c>
      <c r="G193" s="6" t="str">
        <f aca="false">IF(OR(A193="",F193="",E193="",N193="",E193&lt;=N193,账户数据!$B$7=""),"",IF(账户数据!$B$9+IF(H193="",F193*(E193-N193),0)&gt;=账户数据!$B$7,"禁止开仓","允许开仓"))</f>
        <v/>
      </c>
      <c r="H193" s="7"/>
      <c r="I193" s="8"/>
      <c r="J193" s="3"/>
      <c r="K193" s="3"/>
      <c r="L193" s="5" t="str">
        <f aca="false">IF(K193="","",H193)</f>
        <v/>
      </c>
      <c r="M193" s="8"/>
      <c r="N193" s="3"/>
      <c r="O193" s="3"/>
      <c r="P193" s="3"/>
      <c r="Q193" s="9"/>
      <c r="R193" s="9"/>
      <c r="S193" s="9"/>
      <c r="T193" s="9"/>
      <c r="U193" s="10" t="str">
        <f aca="false">IF(OR(E193="",J193="",E193&lt;=0),"",(J193-E193)/E193)</f>
        <v/>
      </c>
      <c r="V193" s="10" t="str">
        <f aca="false">IF(OR(E193="",N193="",E193&lt;=0),"",(E193-N193)/E193)</f>
        <v/>
      </c>
      <c r="W193" s="11" t="str">
        <f aca="false">IF(OR(U193="",V193="",V193&lt;=0),"",U193/V193)</f>
        <v/>
      </c>
      <c r="X193" s="12" t="str">
        <f aca="false">IF(OR(K193="",L193="",E193="",H193=""),"",K193*L193-E193*H193-IF(O193="",0,O193)-IF(P193="",0,P193))</f>
        <v/>
      </c>
      <c r="Y193" s="10" t="str">
        <f aca="false">IF(OR(X193="",E193="",H193=""),"",IF(E193*H193+IF(O193="",0,O193)&lt;=0,"",X193/(E193*H193+IF(O193="",0,O193))))</f>
        <v/>
      </c>
      <c r="Z193" s="10" t="str">
        <f aca="false">IF(OR(Y193="",多次统计数据!$B$8=""),"",Y193-多次统计数据!$B$8)</f>
        <v/>
      </c>
      <c r="AA193" s="13" t="str">
        <f aca="false">IF(OR(I193="",M193="",M193&lt;I193),"",M193-I193)</f>
        <v/>
      </c>
      <c r="AB193" s="10" t="str">
        <f aca="false">IF(OR(A193="",多次统计数据!$B$8="",多次统计数据!$B$6&lt;=0,多次统计数据!$B$6&gt;=1),"",1-POWER(1+多次统计数据!$B$8,-多次统计数据!$B$6/(1-多次统计数据!$B$6)))</f>
        <v/>
      </c>
      <c r="AC193" s="6" t="str">
        <f aca="false">IF(OR(AB193="",多次统计数据!$B$9=""),"",IF(多次统计数据!$B$9&lt;AB193,"低于上限","达到或超过上限"))</f>
        <v/>
      </c>
      <c r="AD193" s="2"/>
    </row>
    <row r="194" customFormat="false" ht="15" hidden="false" customHeight="false" outlineLevel="0" collapsed="false">
      <c r="A194" s="9"/>
      <c r="B194" s="9"/>
      <c r="C194" s="3"/>
      <c r="D194" s="4"/>
      <c r="E194" s="3"/>
      <c r="F194" s="5" t="str">
        <f aca="false">IF(OR(C194="",D194="",E194="",N194="",C194&lt;=0,D194&lt;=0,E194&lt;=N194),"",ROUNDDOWN((C194*D194)/(E194-N194)/100,0)*100)</f>
        <v/>
      </c>
      <c r="G194" s="6" t="str">
        <f aca="false">IF(OR(A194="",F194="",E194="",N194="",E194&lt;=N194,账户数据!$B$7=""),"",IF(账户数据!$B$9+IF(H194="",F194*(E194-N194),0)&gt;=账户数据!$B$7,"禁止开仓","允许开仓"))</f>
        <v/>
      </c>
      <c r="H194" s="7"/>
      <c r="I194" s="8"/>
      <c r="J194" s="3"/>
      <c r="K194" s="3"/>
      <c r="L194" s="5" t="str">
        <f aca="false">IF(K194="","",H194)</f>
        <v/>
      </c>
      <c r="M194" s="8"/>
      <c r="N194" s="3"/>
      <c r="O194" s="3"/>
      <c r="P194" s="3"/>
      <c r="Q194" s="9"/>
      <c r="R194" s="9"/>
      <c r="S194" s="9"/>
      <c r="T194" s="9"/>
      <c r="U194" s="10" t="str">
        <f aca="false">IF(OR(E194="",J194="",E194&lt;=0),"",(J194-E194)/E194)</f>
        <v/>
      </c>
      <c r="V194" s="10" t="str">
        <f aca="false">IF(OR(E194="",N194="",E194&lt;=0),"",(E194-N194)/E194)</f>
        <v/>
      </c>
      <c r="W194" s="11" t="str">
        <f aca="false">IF(OR(U194="",V194="",V194&lt;=0),"",U194/V194)</f>
        <v/>
      </c>
      <c r="X194" s="12" t="str">
        <f aca="false">IF(OR(K194="",L194="",E194="",H194=""),"",K194*L194-E194*H194-IF(O194="",0,O194)-IF(P194="",0,P194))</f>
        <v/>
      </c>
      <c r="Y194" s="10" t="str">
        <f aca="false">IF(OR(X194="",E194="",H194=""),"",IF(E194*H194+IF(O194="",0,O194)&lt;=0,"",X194/(E194*H194+IF(O194="",0,O194))))</f>
        <v/>
      </c>
      <c r="Z194" s="10" t="str">
        <f aca="false">IF(OR(Y194="",多次统计数据!$B$8=""),"",Y194-多次统计数据!$B$8)</f>
        <v/>
      </c>
      <c r="AA194" s="13" t="str">
        <f aca="false">IF(OR(I194="",M194="",M194&lt;I194),"",M194-I194)</f>
        <v/>
      </c>
      <c r="AB194" s="10" t="str">
        <f aca="false">IF(OR(A194="",多次统计数据!$B$8="",多次统计数据!$B$6&lt;=0,多次统计数据!$B$6&gt;=1),"",1-POWER(1+多次统计数据!$B$8,-多次统计数据!$B$6/(1-多次统计数据!$B$6)))</f>
        <v/>
      </c>
      <c r="AC194" s="6" t="str">
        <f aca="false">IF(OR(AB194="",多次统计数据!$B$9=""),"",IF(多次统计数据!$B$9&lt;AB194,"低于上限","达到或超过上限"))</f>
        <v/>
      </c>
      <c r="AD194" s="2"/>
    </row>
    <row r="195" customFormat="false" ht="15" hidden="false" customHeight="false" outlineLevel="0" collapsed="false">
      <c r="A195" s="9"/>
      <c r="B195" s="9"/>
      <c r="C195" s="3"/>
      <c r="D195" s="4"/>
      <c r="E195" s="3"/>
      <c r="F195" s="5" t="str">
        <f aca="false">IF(OR(C195="",D195="",E195="",N195="",C195&lt;=0,D195&lt;=0,E195&lt;=N195),"",ROUNDDOWN((C195*D195)/(E195-N195)/100,0)*100)</f>
        <v/>
      </c>
      <c r="G195" s="6" t="str">
        <f aca="false">IF(OR(A195="",F195="",E195="",N195="",E195&lt;=N195,账户数据!$B$7=""),"",IF(账户数据!$B$9+IF(H195="",F195*(E195-N195),0)&gt;=账户数据!$B$7,"禁止开仓","允许开仓"))</f>
        <v/>
      </c>
      <c r="H195" s="7"/>
      <c r="I195" s="8"/>
      <c r="J195" s="3"/>
      <c r="K195" s="3"/>
      <c r="L195" s="5" t="str">
        <f aca="false">IF(K195="","",H195)</f>
        <v/>
      </c>
      <c r="M195" s="8"/>
      <c r="N195" s="3"/>
      <c r="O195" s="3"/>
      <c r="P195" s="3"/>
      <c r="Q195" s="9"/>
      <c r="R195" s="9"/>
      <c r="S195" s="9"/>
      <c r="T195" s="9"/>
      <c r="U195" s="10" t="str">
        <f aca="false">IF(OR(E195="",J195="",E195&lt;=0),"",(J195-E195)/E195)</f>
        <v/>
      </c>
      <c r="V195" s="10" t="str">
        <f aca="false">IF(OR(E195="",N195="",E195&lt;=0),"",(E195-N195)/E195)</f>
        <v/>
      </c>
      <c r="W195" s="11" t="str">
        <f aca="false">IF(OR(U195="",V195="",V195&lt;=0),"",U195/V195)</f>
        <v/>
      </c>
      <c r="X195" s="12" t="str">
        <f aca="false">IF(OR(K195="",L195="",E195="",H195=""),"",K195*L195-E195*H195-IF(O195="",0,O195)-IF(P195="",0,P195))</f>
        <v/>
      </c>
      <c r="Y195" s="10" t="str">
        <f aca="false">IF(OR(X195="",E195="",H195=""),"",IF(E195*H195+IF(O195="",0,O195)&lt;=0,"",X195/(E195*H195+IF(O195="",0,O195))))</f>
        <v/>
      </c>
      <c r="Z195" s="10" t="str">
        <f aca="false">IF(OR(Y195="",多次统计数据!$B$8=""),"",Y195-多次统计数据!$B$8)</f>
        <v/>
      </c>
      <c r="AA195" s="13" t="str">
        <f aca="false">IF(OR(I195="",M195="",M195&lt;I195),"",M195-I195)</f>
        <v/>
      </c>
      <c r="AB195" s="10" t="str">
        <f aca="false">IF(OR(A195="",多次统计数据!$B$8="",多次统计数据!$B$6&lt;=0,多次统计数据!$B$6&gt;=1),"",1-POWER(1+多次统计数据!$B$8,-多次统计数据!$B$6/(1-多次统计数据!$B$6)))</f>
        <v/>
      </c>
      <c r="AC195" s="6" t="str">
        <f aca="false">IF(OR(AB195="",多次统计数据!$B$9=""),"",IF(多次统计数据!$B$9&lt;AB195,"低于上限","达到或超过上限"))</f>
        <v/>
      </c>
      <c r="AD195" s="2"/>
    </row>
    <row r="196" customFormat="false" ht="15" hidden="false" customHeight="false" outlineLevel="0" collapsed="false">
      <c r="A196" s="9"/>
      <c r="B196" s="9"/>
      <c r="C196" s="3"/>
      <c r="D196" s="4"/>
      <c r="E196" s="3"/>
      <c r="F196" s="5" t="str">
        <f aca="false">IF(OR(C196="",D196="",E196="",N196="",C196&lt;=0,D196&lt;=0,E196&lt;=N196),"",ROUNDDOWN((C196*D196)/(E196-N196)/100,0)*100)</f>
        <v/>
      </c>
      <c r="G196" s="6" t="str">
        <f aca="false">IF(OR(A196="",F196="",E196="",N196="",E196&lt;=N196,账户数据!$B$7=""),"",IF(账户数据!$B$9+IF(H196="",F196*(E196-N196),0)&gt;=账户数据!$B$7,"禁止开仓","允许开仓"))</f>
        <v/>
      </c>
      <c r="H196" s="7"/>
      <c r="I196" s="8"/>
      <c r="J196" s="3"/>
      <c r="K196" s="3"/>
      <c r="L196" s="5" t="str">
        <f aca="false">IF(K196="","",H196)</f>
        <v/>
      </c>
      <c r="M196" s="8"/>
      <c r="N196" s="3"/>
      <c r="O196" s="3"/>
      <c r="P196" s="3"/>
      <c r="Q196" s="9"/>
      <c r="R196" s="9"/>
      <c r="S196" s="9"/>
      <c r="T196" s="9"/>
      <c r="U196" s="10" t="str">
        <f aca="false">IF(OR(E196="",J196="",E196&lt;=0),"",(J196-E196)/E196)</f>
        <v/>
      </c>
      <c r="V196" s="10" t="str">
        <f aca="false">IF(OR(E196="",N196="",E196&lt;=0),"",(E196-N196)/E196)</f>
        <v/>
      </c>
      <c r="W196" s="11" t="str">
        <f aca="false">IF(OR(U196="",V196="",V196&lt;=0),"",U196/V196)</f>
        <v/>
      </c>
      <c r="X196" s="12" t="str">
        <f aca="false">IF(OR(K196="",L196="",E196="",H196=""),"",K196*L196-E196*H196-IF(O196="",0,O196)-IF(P196="",0,P196))</f>
        <v/>
      </c>
      <c r="Y196" s="10" t="str">
        <f aca="false">IF(OR(X196="",E196="",H196=""),"",IF(E196*H196+IF(O196="",0,O196)&lt;=0,"",X196/(E196*H196+IF(O196="",0,O196))))</f>
        <v/>
      </c>
      <c r="Z196" s="10" t="str">
        <f aca="false">IF(OR(Y196="",多次统计数据!$B$8=""),"",Y196-多次统计数据!$B$8)</f>
        <v/>
      </c>
      <c r="AA196" s="13" t="str">
        <f aca="false">IF(OR(I196="",M196="",M196&lt;I196),"",M196-I196)</f>
        <v/>
      </c>
      <c r="AB196" s="10" t="str">
        <f aca="false">IF(OR(A196="",多次统计数据!$B$8="",多次统计数据!$B$6&lt;=0,多次统计数据!$B$6&gt;=1),"",1-POWER(1+多次统计数据!$B$8,-多次统计数据!$B$6/(1-多次统计数据!$B$6)))</f>
        <v/>
      </c>
      <c r="AC196" s="6" t="str">
        <f aca="false">IF(OR(AB196="",多次统计数据!$B$9=""),"",IF(多次统计数据!$B$9&lt;AB196,"低于上限","达到或超过上限"))</f>
        <v/>
      </c>
      <c r="AD196" s="2"/>
    </row>
    <row r="197" customFormat="false" ht="15" hidden="false" customHeight="false" outlineLevel="0" collapsed="false">
      <c r="A197" s="9"/>
      <c r="B197" s="9"/>
      <c r="C197" s="3"/>
      <c r="D197" s="4"/>
      <c r="E197" s="3"/>
      <c r="F197" s="5" t="str">
        <f aca="false">IF(OR(C197="",D197="",E197="",N197="",C197&lt;=0,D197&lt;=0,E197&lt;=N197),"",ROUNDDOWN((C197*D197)/(E197-N197)/100,0)*100)</f>
        <v/>
      </c>
      <c r="G197" s="6" t="str">
        <f aca="false">IF(OR(A197="",F197="",E197="",N197="",E197&lt;=N197,账户数据!$B$7=""),"",IF(账户数据!$B$9+IF(H197="",F197*(E197-N197),0)&gt;=账户数据!$B$7,"禁止开仓","允许开仓"))</f>
        <v/>
      </c>
      <c r="H197" s="7"/>
      <c r="I197" s="8"/>
      <c r="J197" s="3"/>
      <c r="K197" s="3"/>
      <c r="L197" s="5" t="str">
        <f aca="false">IF(K197="","",H197)</f>
        <v/>
      </c>
      <c r="M197" s="8"/>
      <c r="N197" s="3"/>
      <c r="O197" s="3"/>
      <c r="P197" s="3"/>
      <c r="Q197" s="9"/>
      <c r="R197" s="9"/>
      <c r="S197" s="9"/>
      <c r="T197" s="9"/>
      <c r="U197" s="10" t="str">
        <f aca="false">IF(OR(E197="",J197="",E197&lt;=0),"",(J197-E197)/E197)</f>
        <v/>
      </c>
      <c r="V197" s="10" t="str">
        <f aca="false">IF(OR(E197="",N197="",E197&lt;=0),"",(E197-N197)/E197)</f>
        <v/>
      </c>
      <c r="W197" s="11" t="str">
        <f aca="false">IF(OR(U197="",V197="",V197&lt;=0),"",U197/V197)</f>
        <v/>
      </c>
      <c r="X197" s="12" t="str">
        <f aca="false">IF(OR(K197="",L197="",E197="",H197=""),"",K197*L197-E197*H197-IF(O197="",0,O197)-IF(P197="",0,P197))</f>
        <v/>
      </c>
      <c r="Y197" s="10" t="str">
        <f aca="false">IF(OR(X197="",E197="",H197=""),"",IF(E197*H197+IF(O197="",0,O197)&lt;=0,"",X197/(E197*H197+IF(O197="",0,O197))))</f>
        <v/>
      </c>
      <c r="Z197" s="10" t="str">
        <f aca="false">IF(OR(Y197="",多次统计数据!$B$8=""),"",Y197-多次统计数据!$B$8)</f>
        <v/>
      </c>
      <c r="AA197" s="13" t="str">
        <f aca="false">IF(OR(I197="",M197="",M197&lt;I197),"",M197-I197)</f>
        <v/>
      </c>
      <c r="AB197" s="10" t="str">
        <f aca="false">IF(OR(A197="",多次统计数据!$B$8="",多次统计数据!$B$6&lt;=0,多次统计数据!$B$6&gt;=1),"",1-POWER(1+多次统计数据!$B$8,-多次统计数据!$B$6/(1-多次统计数据!$B$6)))</f>
        <v/>
      </c>
      <c r="AC197" s="6" t="str">
        <f aca="false">IF(OR(AB197="",多次统计数据!$B$9=""),"",IF(多次统计数据!$B$9&lt;AB197,"低于上限","达到或超过上限"))</f>
        <v/>
      </c>
      <c r="AD197" s="2"/>
    </row>
    <row r="198" customFormat="false" ht="15" hidden="false" customHeight="false" outlineLevel="0" collapsed="false">
      <c r="A198" s="9"/>
      <c r="B198" s="9"/>
      <c r="C198" s="3"/>
      <c r="D198" s="4"/>
      <c r="E198" s="3"/>
      <c r="F198" s="5" t="str">
        <f aca="false">IF(OR(C198="",D198="",E198="",N198="",C198&lt;=0,D198&lt;=0,E198&lt;=N198),"",ROUNDDOWN((C198*D198)/(E198-N198)/100,0)*100)</f>
        <v/>
      </c>
      <c r="G198" s="6" t="str">
        <f aca="false">IF(OR(A198="",F198="",E198="",N198="",E198&lt;=N198,账户数据!$B$7=""),"",IF(账户数据!$B$9+IF(H198="",F198*(E198-N198),0)&gt;=账户数据!$B$7,"禁止开仓","允许开仓"))</f>
        <v/>
      </c>
      <c r="H198" s="7"/>
      <c r="I198" s="8"/>
      <c r="J198" s="3"/>
      <c r="K198" s="3"/>
      <c r="L198" s="5" t="str">
        <f aca="false">IF(K198="","",H198)</f>
        <v/>
      </c>
      <c r="M198" s="8"/>
      <c r="N198" s="3"/>
      <c r="O198" s="3"/>
      <c r="P198" s="3"/>
      <c r="Q198" s="9"/>
      <c r="R198" s="9"/>
      <c r="S198" s="9"/>
      <c r="T198" s="9"/>
      <c r="U198" s="10" t="str">
        <f aca="false">IF(OR(E198="",J198="",E198&lt;=0),"",(J198-E198)/E198)</f>
        <v/>
      </c>
      <c r="V198" s="10" t="str">
        <f aca="false">IF(OR(E198="",N198="",E198&lt;=0),"",(E198-N198)/E198)</f>
        <v/>
      </c>
      <c r="W198" s="11" t="str">
        <f aca="false">IF(OR(U198="",V198="",V198&lt;=0),"",U198/V198)</f>
        <v/>
      </c>
      <c r="X198" s="12" t="str">
        <f aca="false">IF(OR(K198="",L198="",E198="",H198=""),"",K198*L198-E198*H198-IF(O198="",0,O198)-IF(P198="",0,P198))</f>
        <v/>
      </c>
      <c r="Y198" s="10" t="str">
        <f aca="false">IF(OR(X198="",E198="",H198=""),"",IF(E198*H198+IF(O198="",0,O198)&lt;=0,"",X198/(E198*H198+IF(O198="",0,O198))))</f>
        <v/>
      </c>
      <c r="Z198" s="10" t="str">
        <f aca="false">IF(OR(Y198="",多次统计数据!$B$8=""),"",Y198-多次统计数据!$B$8)</f>
        <v/>
      </c>
      <c r="AA198" s="13" t="str">
        <f aca="false">IF(OR(I198="",M198="",M198&lt;I198),"",M198-I198)</f>
        <v/>
      </c>
      <c r="AB198" s="10" t="str">
        <f aca="false">IF(OR(A198="",多次统计数据!$B$8="",多次统计数据!$B$6&lt;=0,多次统计数据!$B$6&gt;=1),"",1-POWER(1+多次统计数据!$B$8,-多次统计数据!$B$6/(1-多次统计数据!$B$6)))</f>
        <v/>
      </c>
      <c r="AC198" s="6" t="str">
        <f aca="false">IF(OR(AB198="",多次统计数据!$B$9=""),"",IF(多次统计数据!$B$9&lt;AB198,"低于上限","达到或超过上限"))</f>
        <v/>
      </c>
      <c r="AD198" s="2"/>
    </row>
    <row r="199" customFormat="false" ht="15" hidden="false" customHeight="false" outlineLevel="0" collapsed="false">
      <c r="A199" s="9"/>
      <c r="B199" s="9"/>
      <c r="C199" s="3"/>
      <c r="D199" s="4"/>
      <c r="E199" s="3"/>
      <c r="F199" s="5" t="str">
        <f aca="false">IF(OR(C199="",D199="",E199="",N199="",C199&lt;=0,D199&lt;=0,E199&lt;=N199),"",ROUNDDOWN((C199*D199)/(E199-N199)/100,0)*100)</f>
        <v/>
      </c>
      <c r="G199" s="6" t="str">
        <f aca="false">IF(OR(A199="",F199="",E199="",N199="",E199&lt;=N199,账户数据!$B$7=""),"",IF(账户数据!$B$9+IF(H199="",F199*(E199-N199),0)&gt;=账户数据!$B$7,"禁止开仓","允许开仓"))</f>
        <v/>
      </c>
      <c r="H199" s="7"/>
      <c r="I199" s="8"/>
      <c r="J199" s="3"/>
      <c r="K199" s="3"/>
      <c r="L199" s="5" t="str">
        <f aca="false">IF(K199="","",H199)</f>
        <v/>
      </c>
      <c r="M199" s="8"/>
      <c r="N199" s="3"/>
      <c r="O199" s="3"/>
      <c r="P199" s="3"/>
      <c r="Q199" s="9"/>
      <c r="R199" s="9"/>
      <c r="S199" s="9"/>
      <c r="T199" s="9"/>
      <c r="U199" s="10" t="str">
        <f aca="false">IF(OR(E199="",J199="",E199&lt;=0),"",(J199-E199)/E199)</f>
        <v/>
      </c>
      <c r="V199" s="10" t="str">
        <f aca="false">IF(OR(E199="",N199="",E199&lt;=0),"",(E199-N199)/E199)</f>
        <v/>
      </c>
      <c r="W199" s="11" t="str">
        <f aca="false">IF(OR(U199="",V199="",V199&lt;=0),"",U199/V199)</f>
        <v/>
      </c>
      <c r="X199" s="12" t="str">
        <f aca="false">IF(OR(K199="",L199="",E199="",H199=""),"",K199*L199-E199*H199-IF(O199="",0,O199)-IF(P199="",0,P199))</f>
        <v/>
      </c>
      <c r="Y199" s="10" t="str">
        <f aca="false">IF(OR(X199="",E199="",H199=""),"",IF(E199*H199+IF(O199="",0,O199)&lt;=0,"",X199/(E199*H199+IF(O199="",0,O199))))</f>
        <v/>
      </c>
      <c r="Z199" s="10" t="str">
        <f aca="false">IF(OR(Y199="",多次统计数据!$B$8=""),"",Y199-多次统计数据!$B$8)</f>
        <v/>
      </c>
      <c r="AA199" s="13" t="str">
        <f aca="false">IF(OR(I199="",M199="",M199&lt;I199),"",M199-I199)</f>
        <v/>
      </c>
      <c r="AB199" s="10" t="str">
        <f aca="false">IF(OR(A199="",多次统计数据!$B$8="",多次统计数据!$B$6&lt;=0,多次统计数据!$B$6&gt;=1),"",1-POWER(1+多次统计数据!$B$8,-多次统计数据!$B$6/(1-多次统计数据!$B$6)))</f>
        <v/>
      </c>
      <c r="AC199" s="6" t="str">
        <f aca="false">IF(OR(AB199="",多次统计数据!$B$9=""),"",IF(多次统计数据!$B$9&lt;AB199,"低于上限","达到或超过上限"))</f>
        <v/>
      </c>
      <c r="AD199" s="2"/>
    </row>
    <row r="200" customFormat="false" ht="15" hidden="false" customHeight="false" outlineLevel="0" collapsed="false">
      <c r="A200" s="9"/>
      <c r="B200" s="9"/>
      <c r="C200" s="3"/>
      <c r="D200" s="4"/>
      <c r="E200" s="3"/>
      <c r="F200" s="5" t="str">
        <f aca="false">IF(OR(C200="",D200="",E200="",N200="",C200&lt;=0,D200&lt;=0,E200&lt;=N200),"",ROUNDDOWN((C200*D200)/(E200-N200)/100,0)*100)</f>
        <v/>
      </c>
      <c r="G200" s="6" t="str">
        <f aca="false">IF(OR(A200="",F200="",E200="",N200="",E200&lt;=N200,账户数据!$B$7=""),"",IF(账户数据!$B$9+IF(H200="",F200*(E200-N200),0)&gt;=账户数据!$B$7,"禁止开仓","允许开仓"))</f>
        <v/>
      </c>
      <c r="H200" s="7"/>
      <c r="I200" s="8"/>
      <c r="J200" s="3"/>
      <c r="K200" s="3"/>
      <c r="L200" s="5" t="str">
        <f aca="false">IF(K200="","",H200)</f>
        <v/>
      </c>
      <c r="M200" s="8"/>
      <c r="N200" s="3"/>
      <c r="O200" s="3"/>
      <c r="P200" s="3"/>
      <c r="Q200" s="9"/>
      <c r="R200" s="9"/>
      <c r="S200" s="9"/>
      <c r="T200" s="9"/>
      <c r="U200" s="10" t="str">
        <f aca="false">IF(OR(E200="",J200="",E200&lt;=0),"",(J200-E200)/E200)</f>
        <v/>
      </c>
      <c r="V200" s="10" t="str">
        <f aca="false">IF(OR(E200="",N200="",E200&lt;=0),"",(E200-N200)/E200)</f>
        <v/>
      </c>
      <c r="W200" s="11" t="str">
        <f aca="false">IF(OR(U200="",V200="",V200&lt;=0),"",U200/V200)</f>
        <v/>
      </c>
      <c r="X200" s="12" t="str">
        <f aca="false">IF(OR(K200="",L200="",E200="",H200=""),"",K200*L200-E200*H200-IF(O200="",0,O200)-IF(P200="",0,P200))</f>
        <v/>
      </c>
      <c r="Y200" s="10" t="str">
        <f aca="false">IF(OR(X200="",E200="",H200=""),"",IF(E200*H200+IF(O200="",0,O200)&lt;=0,"",X200/(E200*H200+IF(O200="",0,O200))))</f>
        <v/>
      </c>
      <c r="Z200" s="10" t="str">
        <f aca="false">IF(OR(Y200="",多次统计数据!$B$8=""),"",Y200-多次统计数据!$B$8)</f>
        <v/>
      </c>
      <c r="AA200" s="13" t="str">
        <f aca="false">IF(OR(I200="",M200="",M200&lt;I200),"",M200-I200)</f>
        <v/>
      </c>
      <c r="AB200" s="10" t="str">
        <f aca="false">IF(OR(A200="",多次统计数据!$B$8="",多次统计数据!$B$6&lt;=0,多次统计数据!$B$6&gt;=1),"",1-POWER(1+多次统计数据!$B$8,-多次统计数据!$B$6/(1-多次统计数据!$B$6)))</f>
        <v/>
      </c>
      <c r="AC200" s="6" t="str">
        <f aca="false">IF(OR(AB200="",多次统计数据!$B$9=""),"",IF(多次统计数据!$B$9&lt;AB200,"低于上限","达到或超过上限"))</f>
        <v/>
      </c>
      <c r="AD200" s="2"/>
    </row>
    <row r="201" customFormat="false" ht="15" hidden="false" customHeight="false" outlineLevel="0" collapsed="false">
      <c r="A201" s="9"/>
      <c r="B201" s="9"/>
      <c r="C201" s="3"/>
      <c r="D201" s="4"/>
      <c r="E201" s="3"/>
      <c r="F201" s="5" t="str">
        <f aca="false">IF(OR(C201="",D201="",E201="",N201="",C201&lt;=0,D201&lt;=0,E201&lt;=N201),"",ROUNDDOWN((C201*D201)/(E201-N201)/100,0)*100)</f>
        <v/>
      </c>
      <c r="G201" s="6" t="str">
        <f aca="false">IF(OR(A201="",F201="",E201="",N201="",E201&lt;=N201,账户数据!$B$7=""),"",IF(账户数据!$B$9+IF(H201="",F201*(E201-N201),0)&gt;=账户数据!$B$7,"禁止开仓","允许开仓"))</f>
        <v/>
      </c>
      <c r="H201" s="7"/>
      <c r="I201" s="8"/>
      <c r="J201" s="3"/>
      <c r="K201" s="3"/>
      <c r="L201" s="5" t="str">
        <f aca="false">IF(K201="","",H201)</f>
        <v/>
      </c>
      <c r="M201" s="8"/>
      <c r="N201" s="3"/>
      <c r="O201" s="3"/>
      <c r="P201" s="3"/>
      <c r="Q201" s="9"/>
      <c r="R201" s="9"/>
      <c r="S201" s="9"/>
      <c r="T201" s="9"/>
      <c r="U201" s="10" t="str">
        <f aca="false">IF(OR(E201="",J201="",E201&lt;=0),"",(J201-E201)/E201)</f>
        <v/>
      </c>
      <c r="V201" s="10" t="str">
        <f aca="false">IF(OR(E201="",N201="",E201&lt;=0),"",(E201-N201)/E201)</f>
        <v/>
      </c>
      <c r="W201" s="11" t="str">
        <f aca="false">IF(OR(U201="",V201="",V201&lt;=0),"",U201/V201)</f>
        <v/>
      </c>
      <c r="X201" s="12" t="str">
        <f aca="false">IF(OR(K201="",L201="",E201="",H201=""),"",K201*L201-E201*H201-IF(O201="",0,O201)-IF(P201="",0,P201))</f>
        <v/>
      </c>
      <c r="Y201" s="10" t="str">
        <f aca="false">IF(OR(X201="",E201="",H201=""),"",IF(E201*H201+IF(O201="",0,O201)&lt;=0,"",X201/(E201*H201+IF(O201="",0,O201))))</f>
        <v/>
      </c>
      <c r="Z201" s="10" t="str">
        <f aca="false">IF(OR(Y201="",多次统计数据!$B$8=""),"",Y201-多次统计数据!$B$8)</f>
        <v/>
      </c>
      <c r="AA201" s="13" t="str">
        <f aca="false">IF(OR(I201="",M201="",M201&lt;I201),"",M201-I201)</f>
        <v/>
      </c>
      <c r="AB201" s="10" t="str">
        <f aca="false">IF(OR(A201="",多次统计数据!$B$8="",多次统计数据!$B$6&lt;=0,多次统计数据!$B$6&gt;=1),"",1-POWER(1+多次统计数据!$B$8,-多次统计数据!$B$6/(1-多次统计数据!$B$6)))</f>
        <v/>
      </c>
      <c r="AC201" s="6" t="str">
        <f aca="false">IF(OR(AB201="",多次统计数据!$B$9=""),"",IF(多次统计数据!$B$9&lt;AB201,"低于上限","达到或超过上限"))</f>
        <v/>
      </c>
      <c r="AD201" s="2"/>
    </row>
  </sheetData>
  <conditionalFormatting sqref="X2:X201">
    <cfRule type="cellIs" priority="2" operator="greaterThan" aboveAverage="0" equalAverage="0" bottom="0" percent="0" rank="0" text="" dxfId="8">
      <formula>0</formula>
    </cfRule>
    <cfRule type="cellIs" priority="3" operator="lessThan" aboveAverage="0" equalAverage="0" bottom="0" percent="0" rank="0" text="" dxfId="9">
      <formula>0</formula>
    </cfRule>
  </conditionalFormatting>
  <conditionalFormatting sqref="W2:W201">
    <cfRule type="cellIs" priority="4" operator="lessThan" aboveAverage="0" equalAverage="0" bottom="0" percent="0" rank="0" text="" dxfId="10">
      <formula>2</formula>
    </cfRule>
  </conditionalFormatting>
  <conditionalFormatting sqref="AC2:AC201">
    <cfRule type="expression" priority="5" aboveAverage="0" equalAverage="0" bottom="0" percent="0" rank="0" text="" dxfId="9">
      <formula>$AC2="达到或超过上限"</formula>
    </cfRule>
    <cfRule type="expression" priority="6" aboveAverage="0" equalAverage="0" bottom="0" percent="0" rank="0" text="" dxfId="8">
      <formula>$AC2="低于上限"</formula>
    </cfRule>
  </conditionalFormatting>
  <conditionalFormatting sqref="Y2:Y201">
    <cfRule type="cellIs" priority="7" operator="greaterThan" aboveAverage="0" equalAverage="0" bottom="0" percent="0" rank="0" text="" dxfId="8">
      <formula>0</formula>
    </cfRule>
    <cfRule type="cellIs" priority="8" operator="lessThan" aboveAverage="0" equalAverage="0" bottom="0" percent="0" rank="0" text="" dxfId="9">
      <formula>0</formula>
    </cfRule>
  </conditionalFormatting>
  <conditionalFormatting sqref="G2:G201">
    <cfRule type="expression" priority="9" aboveAverage="0" equalAverage="0" bottom="0" percent="0" rank="0" text="" dxfId="9">
      <formula>$G2="禁止开仓"</formula>
    </cfRule>
    <cfRule type="expression" priority="10" aboveAverage="0" equalAverage="0" bottom="0" percent="0" rank="0" text="" dxfId="8">
      <formula>$G2="允许开仓"</formula>
    </cfRule>
  </conditionalFormatting>
  <dataValidations count="8">
    <dataValidation allowBlank="true" errorStyle="stop" operator="greaterThan" showDropDown="false" showErrorMessage="false" showInputMessage="false" sqref="C2:C201 E2:E201 J2:K201 N2:N201" type="decimal">
      <formula1>0</formula1>
      <formula2>0</formula2>
    </dataValidation>
    <dataValidation allowBlank="true" errorStyle="stop" operator="between" showDropDown="false" showErrorMessage="false" showInputMessage="false" sqref="D2:D201" type="decimal">
      <formula1>0</formula1>
      <formula2>1</formula2>
    </dataValidation>
    <dataValidation allowBlank="true" errorStyle="stop" operator="greaterThanOrEqual" showDropDown="false" showErrorMessage="false" showInputMessage="false" sqref="O2:P201" type="decimal">
      <formula1>0</formula1>
      <formula2>0</formula2>
    </dataValidation>
    <dataValidation allowBlank="true" error="实际买入股数必须是大于0的100股整数倍" errorStyle="stop" errorTitle="实际买入股数无效" operator="between" showDropDown="false" showErrorMessage="true" showInputMessage="false" sqref="H2:H201" type="custom">
      <formula1>OR(H2="",AND(ISNUMBER(H2),H2&gt;0,MOD(H2,100)=0))</formula1>
      <formula2>0</formula2>
    </dataValidation>
    <dataValidation allowBlank="true" errorStyle="stop" operator="between" showDropDown="false" showErrorMessage="false" showInputMessage="false" sqref="I2:I201" type="date">
      <formula1>DATE(2000,1,1)</formula1>
      <formula2>DATE(2100,12,31)</formula2>
    </dataValidation>
    <dataValidation allowBlank="true" errorStyle="stop" operator="between" showDropDown="false" showErrorMessage="false" showInputMessage="false" sqref="M2:M201" type="custom">
      <formula1>OR(M2="",AND(ISNUMBER(M2),M2&gt;=I2))</formula1>
      <formula2>0</formula2>
    </dataValidation>
    <dataValidation allowBlank="true" errorStyle="stop" operator="between" showDropDown="false" showErrorMessage="false" showInputMessage="false" sqref="L2:L201" type="custom">
      <formula1>OR(L2="",L2=H2)</formula1>
      <formula2>0</formula2>
    </dataValidation>
    <dataValidation allowBlank="true" errorStyle="stop" operator="between" showDropDown="false" showErrorMessage="false" showInputMessage="false" sqref="AD2:AD201" type="list">
      <formula1>"1-差,2-较差,3-一般,4-良好,5-优秀"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12.74"/>
    <col collapsed="false" customWidth="true" hidden="false" outlineLevel="0" max="3" min="3" style="0" width="14.56"/>
    <col collapsed="false" customWidth="true" hidden="false" outlineLevel="0" max="4" min="4" style="0" width="12.74"/>
    <col collapsed="false" customWidth="true" hidden="false" outlineLevel="0" max="5" min="5" style="0" width="11.83"/>
    <col collapsed="false" customWidth="true" hidden="false" outlineLevel="0" max="8" min="6" style="0" width="21.84"/>
    <col collapsed="false" customWidth="true" hidden="false" outlineLevel="0" max="9" min="9" style="0" width="43.67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 customFormat="false" ht="16.4" hidden="false" customHeight="false" outlineLevel="0" collapsed="false">
      <c r="A2" s="2" t="s">
        <v>30</v>
      </c>
      <c r="B2" s="2" t="s">
        <v>31</v>
      </c>
      <c r="C2" s="9" t="s">
        <v>235</v>
      </c>
      <c r="D2" s="9" t="s">
        <v>236</v>
      </c>
      <c r="E2" s="8" t="n">
        <v>46128</v>
      </c>
      <c r="F2" s="9" t="s">
        <v>237</v>
      </c>
      <c r="G2" s="2" t="s">
        <v>238</v>
      </c>
      <c r="H2" s="9" t="s">
        <v>239</v>
      </c>
      <c r="I2" s="2" t="s">
        <v>240</v>
      </c>
    </row>
    <row r="3" customFormat="false" ht="16.4" hidden="false" customHeight="false" outlineLevel="0" collapsed="false">
      <c r="A3" s="2" t="s">
        <v>37</v>
      </c>
      <c r="B3" s="2" t="s">
        <v>38</v>
      </c>
      <c r="C3" s="9" t="s">
        <v>241</v>
      </c>
      <c r="D3" s="9" t="s">
        <v>236</v>
      </c>
      <c r="E3" s="8" t="n">
        <v>46129</v>
      </c>
      <c r="F3" s="9" t="s">
        <v>242</v>
      </c>
      <c r="G3" s="2" t="s">
        <v>243</v>
      </c>
      <c r="H3" s="9" t="s">
        <v>244</v>
      </c>
      <c r="I3" s="2" t="s">
        <v>245</v>
      </c>
    </row>
    <row r="4" customFormat="false" ht="16.4" hidden="false" customHeight="false" outlineLevel="0" collapsed="false">
      <c r="A4" s="2" t="s">
        <v>42</v>
      </c>
      <c r="B4" s="2" t="s">
        <v>43</v>
      </c>
      <c r="C4" s="9" t="s">
        <v>246</v>
      </c>
      <c r="D4" s="9" t="s">
        <v>236</v>
      </c>
      <c r="E4" s="8" t="n">
        <v>46130</v>
      </c>
      <c r="F4" s="2" t="s">
        <v>247</v>
      </c>
      <c r="G4" s="9" t="s">
        <v>248</v>
      </c>
      <c r="H4" s="9" t="s">
        <v>249</v>
      </c>
      <c r="I4" s="2" t="s">
        <v>250</v>
      </c>
    </row>
    <row r="5" customFormat="false" ht="16.4" hidden="false" customHeight="false" outlineLevel="0" collapsed="false">
      <c r="A5" s="2" t="s">
        <v>47</v>
      </c>
      <c r="B5" s="2" t="s">
        <v>48</v>
      </c>
      <c r="C5" s="9" t="s">
        <v>251</v>
      </c>
      <c r="D5" s="9" t="s">
        <v>236</v>
      </c>
      <c r="E5" s="8" t="n">
        <v>46131</v>
      </c>
      <c r="F5" s="9" t="s">
        <v>252</v>
      </c>
      <c r="G5" s="9" t="s">
        <v>253</v>
      </c>
      <c r="H5" s="9" t="s">
        <v>254</v>
      </c>
      <c r="I5" s="2" t="s">
        <v>255</v>
      </c>
    </row>
    <row r="6" customFormat="false" ht="16.4" hidden="false" customHeight="false" outlineLevel="0" collapsed="false">
      <c r="A6" s="2" t="s">
        <v>52</v>
      </c>
      <c r="B6" s="2" t="s">
        <v>53</v>
      </c>
      <c r="C6" s="9" t="s">
        <v>256</v>
      </c>
      <c r="D6" s="9" t="s">
        <v>236</v>
      </c>
      <c r="E6" s="8" t="n">
        <v>46132</v>
      </c>
      <c r="F6" s="9" t="s">
        <v>257</v>
      </c>
      <c r="G6" s="9" t="s">
        <v>258</v>
      </c>
      <c r="H6" s="9" t="s">
        <v>259</v>
      </c>
      <c r="I6" s="2" t="s">
        <v>260</v>
      </c>
    </row>
    <row r="7" customFormat="false" ht="16.4" hidden="false" customHeight="false" outlineLevel="0" collapsed="false">
      <c r="A7" s="2" t="s">
        <v>58</v>
      </c>
      <c r="B7" s="2" t="s">
        <v>59</v>
      </c>
      <c r="C7" s="9" t="s">
        <v>261</v>
      </c>
      <c r="D7" s="9" t="s">
        <v>236</v>
      </c>
      <c r="E7" s="8" t="n">
        <v>46133</v>
      </c>
      <c r="F7" s="2" t="s">
        <v>238</v>
      </c>
      <c r="G7" s="9" t="s">
        <v>239</v>
      </c>
      <c r="H7" s="9" t="s">
        <v>262</v>
      </c>
      <c r="I7" s="2" t="s">
        <v>263</v>
      </c>
    </row>
    <row r="8" customFormat="false" ht="16.4" hidden="false" customHeight="false" outlineLevel="0" collapsed="false">
      <c r="A8" s="2" t="s">
        <v>63</v>
      </c>
      <c r="B8" s="2" t="s">
        <v>64</v>
      </c>
      <c r="C8" s="9" t="s">
        <v>264</v>
      </c>
      <c r="D8" s="9" t="s">
        <v>236</v>
      </c>
      <c r="E8" s="8" t="n">
        <v>46134</v>
      </c>
      <c r="F8" s="2" t="s">
        <v>243</v>
      </c>
      <c r="G8" s="9" t="s">
        <v>244</v>
      </c>
      <c r="H8" s="2" t="s">
        <v>265</v>
      </c>
      <c r="I8" s="2" t="s">
        <v>266</v>
      </c>
    </row>
    <row r="9" customFormat="false" ht="16.4" hidden="false" customHeight="false" outlineLevel="0" collapsed="false">
      <c r="A9" s="2" t="s">
        <v>68</v>
      </c>
      <c r="B9" s="2" t="s">
        <v>69</v>
      </c>
      <c r="C9" s="9" t="s">
        <v>267</v>
      </c>
      <c r="D9" s="9" t="s">
        <v>236</v>
      </c>
      <c r="E9" s="8" t="n">
        <v>46135</v>
      </c>
      <c r="F9" s="9" t="s">
        <v>248</v>
      </c>
      <c r="G9" s="9" t="s">
        <v>249</v>
      </c>
      <c r="H9" s="9" t="s">
        <v>268</v>
      </c>
      <c r="I9" s="2" t="s">
        <v>269</v>
      </c>
    </row>
    <row r="10" customFormat="false" ht="16.4" hidden="false" customHeight="false" outlineLevel="0" collapsed="false">
      <c r="A10" s="2" t="s">
        <v>73</v>
      </c>
      <c r="B10" s="2" t="s">
        <v>74</v>
      </c>
      <c r="C10" s="9" t="s">
        <v>270</v>
      </c>
      <c r="D10" s="9" t="s">
        <v>236</v>
      </c>
      <c r="E10" s="8" t="n">
        <v>46136</v>
      </c>
      <c r="F10" s="9" t="s">
        <v>253</v>
      </c>
      <c r="G10" s="9" t="s">
        <v>254</v>
      </c>
      <c r="H10" s="9" t="s">
        <v>271</v>
      </c>
      <c r="I10" s="2" t="s">
        <v>272</v>
      </c>
    </row>
    <row r="11" customFormat="false" ht="16.4" hidden="false" customHeight="false" outlineLevel="0" collapsed="false">
      <c r="A11" s="2" t="s">
        <v>79</v>
      </c>
      <c r="B11" s="2" t="s">
        <v>80</v>
      </c>
      <c r="C11" s="9" t="s">
        <v>273</v>
      </c>
      <c r="D11" s="9" t="s">
        <v>236</v>
      </c>
      <c r="E11" s="8" t="n">
        <v>46137</v>
      </c>
      <c r="F11" s="9" t="s">
        <v>258</v>
      </c>
      <c r="G11" s="9" t="s">
        <v>259</v>
      </c>
      <c r="H11" s="9" t="s">
        <v>274</v>
      </c>
      <c r="I11" s="2" t="s">
        <v>275</v>
      </c>
    </row>
    <row r="12" customFormat="false" ht="16.4" hidden="false" customHeight="false" outlineLevel="0" collapsed="false">
      <c r="A12" s="2" t="s">
        <v>84</v>
      </c>
      <c r="B12" s="2" t="s">
        <v>31</v>
      </c>
      <c r="C12" s="9" t="s">
        <v>235</v>
      </c>
      <c r="D12" s="9" t="s">
        <v>236</v>
      </c>
      <c r="E12" s="8" t="n">
        <v>46138</v>
      </c>
      <c r="F12" s="9" t="s">
        <v>239</v>
      </c>
      <c r="G12" s="9" t="s">
        <v>262</v>
      </c>
      <c r="H12" s="9" t="s">
        <v>237</v>
      </c>
      <c r="I12" s="2" t="s">
        <v>276</v>
      </c>
    </row>
    <row r="13" customFormat="false" ht="16.4" hidden="false" customHeight="false" outlineLevel="0" collapsed="false">
      <c r="A13" s="2" t="s">
        <v>88</v>
      </c>
      <c r="B13" s="2" t="s">
        <v>38</v>
      </c>
      <c r="C13" s="9" t="s">
        <v>241</v>
      </c>
      <c r="D13" s="9" t="s">
        <v>236</v>
      </c>
      <c r="E13" s="8" t="n">
        <v>46139</v>
      </c>
      <c r="F13" s="9" t="s">
        <v>244</v>
      </c>
      <c r="G13" s="2" t="s">
        <v>265</v>
      </c>
      <c r="H13" s="9" t="s">
        <v>242</v>
      </c>
      <c r="I13" s="2" t="s">
        <v>277</v>
      </c>
    </row>
    <row r="14" customFormat="false" ht="16.4" hidden="false" customHeight="false" outlineLevel="0" collapsed="false">
      <c r="A14" s="2" t="s">
        <v>92</v>
      </c>
      <c r="B14" s="2" t="s">
        <v>43</v>
      </c>
      <c r="C14" s="9" t="s">
        <v>246</v>
      </c>
      <c r="D14" s="9" t="s">
        <v>236</v>
      </c>
      <c r="E14" s="8" t="n">
        <v>46140</v>
      </c>
      <c r="F14" s="9" t="s">
        <v>249</v>
      </c>
      <c r="G14" s="9" t="s">
        <v>268</v>
      </c>
      <c r="H14" s="2" t="s">
        <v>247</v>
      </c>
      <c r="I14" s="2" t="s">
        <v>278</v>
      </c>
    </row>
    <row r="15" customFormat="false" ht="16.4" hidden="false" customHeight="false" outlineLevel="0" collapsed="false">
      <c r="A15" s="2" t="s">
        <v>96</v>
      </c>
      <c r="B15" s="2" t="s">
        <v>48</v>
      </c>
      <c r="C15" s="9" t="s">
        <v>251</v>
      </c>
      <c r="D15" s="9" t="s">
        <v>236</v>
      </c>
      <c r="E15" s="8" t="n">
        <v>46141</v>
      </c>
      <c r="F15" s="9" t="s">
        <v>254</v>
      </c>
      <c r="G15" s="9" t="s">
        <v>271</v>
      </c>
      <c r="H15" s="9" t="s">
        <v>252</v>
      </c>
      <c r="I15" s="2" t="s">
        <v>279</v>
      </c>
    </row>
    <row r="16" customFormat="false" ht="16.4" hidden="false" customHeight="false" outlineLevel="0" collapsed="false">
      <c r="A16" s="2" t="s">
        <v>100</v>
      </c>
      <c r="B16" s="2" t="s">
        <v>53</v>
      </c>
      <c r="C16" s="9" t="s">
        <v>256</v>
      </c>
      <c r="D16" s="9" t="s">
        <v>236</v>
      </c>
      <c r="E16" s="8" t="n">
        <v>46142</v>
      </c>
      <c r="F16" s="9" t="s">
        <v>259</v>
      </c>
      <c r="G16" s="9" t="s">
        <v>274</v>
      </c>
      <c r="H16" s="9" t="s">
        <v>257</v>
      </c>
      <c r="I16" s="2" t="s">
        <v>280</v>
      </c>
    </row>
    <row r="17" customFormat="false" ht="16.4" hidden="false" customHeight="false" outlineLevel="0" collapsed="false">
      <c r="A17" s="2" t="s">
        <v>104</v>
      </c>
      <c r="B17" s="2" t="s">
        <v>59</v>
      </c>
      <c r="C17" s="9" t="s">
        <v>261</v>
      </c>
      <c r="D17" s="9" t="s">
        <v>236</v>
      </c>
      <c r="E17" s="8" t="n">
        <v>46143</v>
      </c>
      <c r="F17" s="9" t="s">
        <v>262</v>
      </c>
      <c r="G17" s="9" t="s">
        <v>237</v>
      </c>
      <c r="H17" s="2" t="s">
        <v>238</v>
      </c>
      <c r="I17" s="2" t="s">
        <v>281</v>
      </c>
    </row>
    <row r="18" customFormat="false" ht="16.4" hidden="false" customHeight="false" outlineLevel="0" collapsed="false">
      <c r="A18" s="2" t="s">
        <v>108</v>
      </c>
      <c r="B18" s="2" t="s">
        <v>64</v>
      </c>
      <c r="C18" s="9" t="s">
        <v>264</v>
      </c>
      <c r="D18" s="9" t="s">
        <v>236</v>
      </c>
      <c r="E18" s="8" t="n">
        <v>46144</v>
      </c>
      <c r="F18" s="2" t="s">
        <v>265</v>
      </c>
      <c r="G18" s="9" t="s">
        <v>242</v>
      </c>
      <c r="H18" s="2" t="s">
        <v>243</v>
      </c>
      <c r="I18" s="2" t="s">
        <v>282</v>
      </c>
    </row>
    <row r="19" customFormat="false" ht="16.4" hidden="false" customHeight="false" outlineLevel="0" collapsed="false">
      <c r="A19" s="2" t="s">
        <v>112</v>
      </c>
      <c r="B19" s="2" t="s">
        <v>69</v>
      </c>
      <c r="C19" s="9" t="s">
        <v>267</v>
      </c>
      <c r="D19" s="9" t="s">
        <v>236</v>
      </c>
      <c r="E19" s="8" t="n">
        <v>46145</v>
      </c>
      <c r="F19" s="9" t="s">
        <v>268</v>
      </c>
      <c r="G19" s="2" t="s">
        <v>247</v>
      </c>
      <c r="H19" s="9" t="s">
        <v>248</v>
      </c>
      <c r="I19" s="2" t="s">
        <v>283</v>
      </c>
    </row>
    <row r="20" customFormat="false" ht="16.4" hidden="false" customHeight="false" outlineLevel="0" collapsed="false">
      <c r="A20" s="2" t="s">
        <v>116</v>
      </c>
      <c r="B20" s="2" t="s">
        <v>74</v>
      </c>
      <c r="C20" s="9" t="s">
        <v>270</v>
      </c>
      <c r="D20" s="9" t="s">
        <v>236</v>
      </c>
      <c r="E20" s="8" t="n">
        <v>46146</v>
      </c>
      <c r="F20" s="9" t="s">
        <v>271</v>
      </c>
      <c r="G20" s="9" t="s">
        <v>252</v>
      </c>
      <c r="H20" s="9" t="s">
        <v>253</v>
      </c>
      <c r="I20" s="2" t="s">
        <v>284</v>
      </c>
    </row>
    <row r="21" customFormat="false" ht="16.4" hidden="false" customHeight="false" outlineLevel="0" collapsed="false">
      <c r="A21" s="2" t="s">
        <v>120</v>
      </c>
      <c r="B21" s="2" t="s">
        <v>80</v>
      </c>
      <c r="C21" s="9" t="s">
        <v>273</v>
      </c>
      <c r="D21" s="9" t="s">
        <v>236</v>
      </c>
      <c r="E21" s="8" t="n">
        <v>46147</v>
      </c>
      <c r="F21" s="9" t="s">
        <v>274</v>
      </c>
      <c r="G21" s="9" t="s">
        <v>257</v>
      </c>
      <c r="H21" s="9" t="s">
        <v>258</v>
      </c>
      <c r="I21" s="2" t="s">
        <v>285</v>
      </c>
    </row>
    <row r="22" customFormat="false" ht="16.4" hidden="false" customHeight="false" outlineLevel="0" collapsed="false">
      <c r="A22" s="2" t="s">
        <v>124</v>
      </c>
      <c r="B22" s="2" t="s">
        <v>31</v>
      </c>
      <c r="C22" s="9" t="s">
        <v>235</v>
      </c>
      <c r="D22" s="9" t="s">
        <v>236</v>
      </c>
      <c r="E22" s="8" t="n">
        <v>46148</v>
      </c>
      <c r="F22" s="9" t="s">
        <v>237</v>
      </c>
      <c r="G22" s="2" t="s">
        <v>238</v>
      </c>
      <c r="H22" s="9" t="s">
        <v>239</v>
      </c>
      <c r="I22" s="2" t="s">
        <v>286</v>
      </c>
    </row>
    <row r="23" customFormat="false" ht="16.4" hidden="false" customHeight="false" outlineLevel="0" collapsed="false">
      <c r="A23" s="2" t="s">
        <v>126</v>
      </c>
      <c r="B23" s="2" t="s">
        <v>38</v>
      </c>
      <c r="C23" s="9" t="s">
        <v>241</v>
      </c>
      <c r="D23" s="9" t="s">
        <v>236</v>
      </c>
      <c r="E23" s="8" t="n">
        <v>46149</v>
      </c>
      <c r="F23" s="9" t="s">
        <v>242</v>
      </c>
      <c r="G23" s="2" t="s">
        <v>243</v>
      </c>
      <c r="H23" s="9" t="s">
        <v>244</v>
      </c>
      <c r="I23" s="2" t="s">
        <v>287</v>
      </c>
    </row>
    <row r="24" customFormat="false" ht="16.4" hidden="false" customHeight="false" outlineLevel="0" collapsed="false">
      <c r="A24" s="2" t="s">
        <v>128</v>
      </c>
      <c r="B24" s="2" t="s">
        <v>43</v>
      </c>
      <c r="C24" s="9" t="s">
        <v>246</v>
      </c>
      <c r="D24" s="9" t="s">
        <v>236</v>
      </c>
      <c r="E24" s="8" t="n">
        <v>46150</v>
      </c>
      <c r="F24" s="2" t="s">
        <v>247</v>
      </c>
      <c r="G24" s="9" t="s">
        <v>248</v>
      </c>
      <c r="H24" s="9" t="s">
        <v>249</v>
      </c>
      <c r="I24" s="2" t="s">
        <v>288</v>
      </c>
    </row>
    <row r="25" customFormat="false" ht="16.4" hidden="false" customHeight="false" outlineLevel="0" collapsed="false">
      <c r="A25" s="2" t="s">
        <v>130</v>
      </c>
      <c r="B25" s="2" t="s">
        <v>48</v>
      </c>
      <c r="C25" s="9" t="s">
        <v>251</v>
      </c>
      <c r="D25" s="9" t="s">
        <v>236</v>
      </c>
      <c r="E25" s="8" t="n">
        <v>46151</v>
      </c>
      <c r="F25" s="9" t="s">
        <v>252</v>
      </c>
      <c r="G25" s="9" t="s">
        <v>253</v>
      </c>
      <c r="H25" s="9" t="s">
        <v>254</v>
      </c>
      <c r="I25" s="2" t="s">
        <v>289</v>
      </c>
    </row>
    <row r="26" customFormat="false" ht="16.4" hidden="false" customHeight="false" outlineLevel="0" collapsed="false">
      <c r="A26" s="2" t="s">
        <v>132</v>
      </c>
      <c r="B26" s="2" t="s">
        <v>53</v>
      </c>
      <c r="C26" s="9" t="s">
        <v>256</v>
      </c>
      <c r="D26" s="9" t="s">
        <v>236</v>
      </c>
      <c r="E26" s="8" t="n">
        <v>46152</v>
      </c>
      <c r="F26" s="9" t="s">
        <v>257</v>
      </c>
      <c r="G26" s="9" t="s">
        <v>258</v>
      </c>
      <c r="H26" s="9" t="s">
        <v>259</v>
      </c>
      <c r="I26" s="2" t="s">
        <v>290</v>
      </c>
    </row>
    <row r="27" customFormat="false" ht="16.4" hidden="false" customHeight="false" outlineLevel="0" collapsed="false">
      <c r="A27" s="2" t="s">
        <v>134</v>
      </c>
      <c r="B27" s="2" t="s">
        <v>59</v>
      </c>
      <c r="C27" s="9" t="s">
        <v>261</v>
      </c>
      <c r="D27" s="9" t="s">
        <v>236</v>
      </c>
      <c r="E27" s="8" t="n">
        <v>46153</v>
      </c>
      <c r="F27" s="2" t="s">
        <v>238</v>
      </c>
      <c r="G27" s="9" t="s">
        <v>239</v>
      </c>
      <c r="H27" s="9" t="s">
        <v>262</v>
      </c>
      <c r="I27" s="2" t="s">
        <v>291</v>
      </c>
    </row>
    <row r="28" customFormat="false" ht="16.4" hidden="false" customHeight="false" outlineLevel="0" collapsed="false">
      <c r="A28" s="2" t="s">
        <v>136</v>
      </c>
      <c r="B28" s="2" t="s">
        <v>64</v>
      </c>
      <c r="C28" s="9" t="s">
        <v>264</v>
      </c>
      <c r="D28" s="9" t="s">
        <v>236</v>
      </c>
      <c r="E28" s="8" t="n">
        <v>46154</v>
      </c>
      <c r="F28" s="2" t="s">
        <v>243</v>
      </c>
      <c r="G28" s="9" t="s">
        <v>244</v>
      </c>
      <c r="H28" s="2" t="s">
        <v>265</v>
      </c>
      <c r="I28" s="2" t="s">
        <v>292</v>
      </c>
    </row>
    <row r="29" customFormat="false" ht="16.4" hidden="false" customHeight="false" outlineLevel="0" collapsed="false">
      <c r="A29" s="2" t="s">
        <v>138</v>
      </c>
      <c r="B29" s="2" t="s">
        <v>69</v>
      </c>
      <c r="C29" s="9" t="s">
        <v>267</v>
      </c>
      <c r="D29" s="9" t="s">
        <v>236</v>
      </c>
      <c r="E29" s="8" t="n">
        <v>46155</v>
      </c>
      <c r="F29" s="9" t="s">
        <v>248</v>
      </c>
      <c r="G29" s="9" t="s">
        <v>249</v>
      </c>
      <c r="H29" s="9" t="s">
        <v>268</v>
      </c>
      <c r="I29" s="2" t="s">
        <v>293</v>
      </c>
    </row>
    <row r="30" customFormat="false" ht="16.4" hidden="false" customHeight="false" outlineLevel="0" collapsed="false">
      <c r="A30" s="2" t="s">
        <v>140</v>
      </c>
      <c r="B30" s="2" t="s">
        <v>74</v>
      </c>
      <c r="C30" s="9" t="s">
        <v>270</v>
      </c>
      <c r="D30" s="9" t="s">
        <v>236</v>
      </c>
      <c r="E30" s="8" t="n">
        <v>46156</v>
      </c>
      <c r="F30" s="9" t="s">
        <v>253</v>
      </c>
      <c r="G30" s="9" t="s">
        <v>254</v>
      </c>
      <c r="H30" s="9" t="s">
        <v>271</v>
      </c>
      <c r="I30" s="2" t="s">
        <v>294</v>
      </c>
    </row>
    <row r="31" customFormat="false" ht="16.4" hidden="false" customHeight="false" outlineLevel="0" collapsed="false">
      <c r="A31" s="2" t="s">
        <v>142</v>
      </c>
      <c r="B31" s="2" t="s">
        <v>80</v>
      </c>
      <c r="C31" s="9" t="s">
        <v>273</v>
      </c>
      <c r="D31" s="9" t="s">
        <v>236</v>
      </c>
      <c r="E31" s="8" t="n">
        <v>46157</v>
      </c>
      <c r="F31" s="9" t="s">
        <v>258</v>
      </c>
      <c r="G31" s="9" t="s">
        <v>259</v>
      </c>
      <c r="H31" s="9" t="s">
        <v>274</v>
      </c>
      <c r="I31" s="2" t="s">
        <v>295</v>
      </c>
    </row>
    <row r="32" customFormat="false" ht="16.4" hidden="false" customHeight="false" outlineLevel="0" collapsed="false">
      <c r="A32" s="2" t="s">
        <v>144</v>
      </c>
      <c r="B32" s="2" t="s">
        <v>31</v>
      </c>
      <c r="C32" s="9" t="s">
        <v>235</v>
      </c>
      <c r="D32" s="9" t="s">
        <v>236</v>
      </c>
      <c r="E32" s="8" t="n">
        <v>46158</v>
      </c>
      <c r="F32" s="9" t="s">
        <v>239</v>
      </c>
      <c r="G32" s="9" t="s">
        <v>262</v>
      </c>
      <c r="H32" s="9" t="s">
        <v>237</v>
      </c>
      <c r="I32" s="2" t="s">
        <v>296</v>
      </c>
    </row>
    <row r="33" customFormat="false" ht="16.4" hidden="false" customHeight="false" outlineLevel="0" collapsed="false">
      <c r="A33" s="2" t="s">
        <v>146</v>
      </c>
      <c r="B33" s="2" t="s">
        <v>38</v>
      </c>
      <c r="C33" s="9" t="s">
        <v>241</v>
      </c>
      <c r="D33" s="9" t="s">
        <v>236</v>
      </c>
      <c r="E33" s="8" t="n">
        <v>46159</v>
      </c>
      <c r="F33" s="9" t="s">
        <v>244</v>
      </c>
      <c r="G33" s="2" t="s">
        <v>265</v>
      </c>
      <c r="H33" s="9" t="s">
        <v>242</v>
      </c>
      <c r="I33" s="2" t="s">
        <v>297</v>
      </c>
    </row>
    <row r="34" customFormat="false" ht="16.4" hidden="false" customHeight="false" outlineLevel="0" collapsed="false">
      <c r="A34" s="2" t="s">
        <v>148</v>
      </c>
      <c r="B34" s="2" t="s">
        <v>43</v>
      </c>
      <c r="C34" s="9" t="s">
        <v>246</v>
      </c>
      <c r="D34" s="9" t="s">
        <v>236</v>
      </c>
      <c r="E34" s="8" t="n">
        <v>46160</v>
      </c>
      <c r="F34" s="9" t="s">
        <v>249</v>
      </c>
      <c r="G34" s="9" t="s">
        <v>268</v>
      </c>
      <c r="H34" s="2" t="s">
        <v>247</v>
      </c>
      <c r="I34" s="2" t="s">
        <v>298</v>
      </c>
    </row>
    <row r="35" customFormat="false" ht="16.4" hidden="false" customHeight="false" outlineLevel="0" collapsed="false">
      <c r="A35" s="2" t="s">
        <v>150</v>
      </c>
      <c r="B35" s="2" t="s">
        <v>48</v>
      </c>
      <c r="C35" s="9" t="s">
        <v>251</v>
      </c>
      <c r="D35" s="9" t="s">
        <v>236</v>
      </c>
      <c r="E35" s="8" t="n">
        <v>46161</v>
      </c>
      <c r="F35" s="9" t="s">
        <v>254</v>
      </c>
      <c r="G35" s="9" t="s">
        <v>271</v>
      </c>
      <c r="H35" s="9" t="s">
        <v>252</v>
      </c>
      <c r="I35" s="2" t="s">
        <v>299</v>
      </c>
    </row>
    <row r="36" customFormat="false" ht="16.4" hidden="false" customHeight="false" outlineLevel="0" collapsed="false">
      <c r="A36" s="2" t="s">
        <v>152</v>
      </c>
      <c r="B36" s="2" t="s">
        <v>53</v>
      </c>
      <c r="C36" s="9" t="s">
        <v>256</v>
      </c>
      <c r="D36" s="9" t="s">
        <v>236</v>
      </c>
      <c r="E36" s="8" t="n">
        <v>46162</v>
      </c>
      <c r="F36" s="9" t="s">
        <v>259</v>
      </c>
      <c r="G36" s="9" t="s">
        <v>274</v>
      </c>
      <c r="H36" s="9" t="s">
        <v>257</v>
      </c>
      <c r="I36" s="2" t="s">
        <v>300</v>
      </c>
    </row>
    <row r="37" customFormat="false" ht="16.4" hidden="false" customHeight="false" outlineLevel="0" collapsed="false">
      <c r="A37" s="2" t="s">
        <v>154</v>
      </c>
      <c r="B37" s="2" t="s">
        <v>59</v>
      </c>
      <c r="C37" s="9" t="s">
        <v>261</v>
      </c>
      <c r="D37" s="9" t="s">
        <v>236</v>
      </c>
      <c r="E37" s="8" t="n">
        <v>46163</v>
      </c>
      <c r="F37" s="9" t="s">
        <v>262</v>
      </c>
      <c r="G37" s="9" t="s">
        <v>237</v>
      </c>
      <c r="H37" s="2" t="s">
        <v>238</v>
      </c>
      <c r="I37" s="2" t="s">
        <v>301</v>
      </c>
    </row>
    <row r="38" customFormat="false" ht="16.4" hidden="false" customHeight="false" outlineLevel="0" collapsed="false">
      <c r="A38" s="2" t="s">
        <v>156</v>
      </c>
      <c r="B38" s="2" t="s">
        <v>64</v>
      </c>
      <c r="C38" s="9" t="s">
        <v>264</v>
      </c>
      <c r="D38" s="9" t="s">
        <v>236</v>
      </c>
      <c r="E38" s="8" t="n">
        <v>46164</v>
      </c>
      <c r="F38" s="2" t="s">
        <v>265</v>
      </c>
      <c r="G38" s="9" t="s">
        <v>242</v>
      </c>
      <c r="H38" s="2" t="s">
        <v>243</v>
      </c>
      <c r="I38" s="2" t="s">
        <v>302</v>
      </c>
    </row>
    <row r="39" customFormat="false" ht="16.4" hidden="false" customHeight="false" outlineLevel="0" collapsed="false">
      <c r="A39" s="2" t="s">
        <v>158</v>
      </c>
      <c r="B39" s="2" t="s">
        <v>69</v>
      </c>
      <c r="C39" s="9" t="s">
        <v>267</v>
      </c>
      <c r="D39" s="9" t="s">
        <v>236</v>
      </c>
      <c r="E39" s="8" t="n">
        <v>46165</v>
      </c>
      <c r="F39" s="9" t="s">
        <v>268</v>
      </c>
      <c r="G39" s="2" t="s">
        <v>247</v>
      </c>
      <c r="H39" s="9" t="s">
        <v>248</v>
      </c>
      <c r="I39" s="2" t="s">
        <v>303</v>
      </c>
    </row>
    <row r="40" customFormat="false" ht="16.4" hidden="false" customHeight="false" outlineLevel="0" collapsed="false">
      <c r="A40" s="2" t="s">
        <v>160</v>
      </c>
      <c r="B40" s="2" t="s">
        <v>74</v>
      </c>
      <c r="C40" s="9" t="s">
        <v>270</v>
      </c>
      <c r="D40" s="9" t="s">
        <v>236</v>
      </c>
      <c r="E40" s="8" t="n">
        <v>46166</v>
      </c>
      <c r="F40" s="9" t="s">
        <v>271</v>
      </c>
      <c r="G40" s="9" t="s">
        <v>252</v>
      </c>
      <c r="H40" s="9" t="s">
        <v>253</v>
      </c>
      <c r="I40" s="2" t="s">
        <v>304</v>
      </c>
    </row>
    <row r="41" customFormat="false" ht="16.4" hidden="false" customHeight="false" outlineLevel="0" collapsed="false">
      <c r="A41" s="2" t="s">
        <v>162</v>
      </c>
      <c r="B41" s="2" t="s">
        <v>80</v>
      </c>
      <c r="C41" s="9" t="s">
        <v>273</v>
      </c>
      <c r="D41" s="9" t="s">
        <v>236</v>
      </c>
      <c r="E41" s="8" t="n">
        <v>46167</v>
      </c>
      <c r="F41" s="9" t="s">
        <v>274</v>
      </c>
      <c r="G41" s="9" t="s">
        <v>257</v>
      </c>
      <c r="H41" s="9" t="s">
        <v>258</v>
      </c>
      <c r="I41" s="2" t="s">
        <v>305</v>
      </c>
    </row>
    <row r="42" customFormat="false" ht="16.4" hidden="false" customHeight="false" outlineLevel="0" collapsed="false">
      <c r="A42" s="2" t="s">
        <v>164</v>
      </c>
      <c r="B42" s="2" t="s">
        <v>31</v>
      </c>
      <c r="C42" s="9" t="s">
        <v>235</v>
      </c>
      <c r="D42" s="9" t="s">
        <v>236</v>
      </c>
      <c r="E42" s="8" t="n">
        <v>46168</v>
      </c>
      <c r="F42" s="9" t="s">
        <v>237</v>
      </c>
      <c r="G42" s="2" t="s">
        <v>238</v>
      </c>
      <c r="H42" s="9" t="s">
        <v>239</v>
      </c>
      <c r="I42" s="2" t="s">
        <v>306</v>
      </c>
    </row>
    <row r="43" customFormat="false" ht="16.4" hidden="false" customHeight="false" outlineLevel="0" collapsed="false">
      <c r="A43" s="2" t="s">
        <v>166</v>
      </c>
      <c r="B43" s="2" t="s">
        <v>38</v>
      </c>
      <c r="C43" s="9" t="s">
        <v>241</v>
      </c>
      <c r="D43" s="9" t="s">
        <v>236</v>
      </c>
      <c r="E43" s="8" t="n">
        <v>46169</v>
      </c>
      <c r="F43" s="9" t="s">
        <v>242</v>
      </c>
      <c r="G43" s="2" t="s">
        <v>243</v>
      </c>
      <c r="H43" s="9" t="s">
        <v>244</v>
      </c>
      <c r="I43" s="2" t="s">
        <v>307</v>
      </c>
    </row>
    <row r="44" customFormat="false" ht="16.4" hidden="false" customHeight="false" outlineLevel="0" collapsed="false">
      <c r="A44" s="2" t="s">
        <v>168</v>
      </c>
      <c r="B44" s="2" t="s">
        <v>43</v>
      </c>
      <c r="C44" s="9" t="s">
        <v>246</v>
      </c>
      <c r="D44" s="9" t="s">
        <v>236</v>
      </c>
      <c r="E44" s="8" t="n">
        <v>46170</v>
      </c>
      <c r="F44" s="2" t="s">
        <v>247</v>
      </c>
      <c r="G44" s="9" t="s">
        <v>248</v>
      </c>
      <c r="H44" s="9" t="s">
        <v>249</v>
      </c>
      <c r="I44" s="2" t="s">
        <v>308</v>
      </c>
    </row>
    <row r="45" customFormat="false" ht="16.4" hidden="false" customHeight="false" outlineLevel="0" collapsed="false">
      <c r="A45" s="2" t="s">
        <v>170</v>
      </c>
      <c r="B45" s="2" t="s">
        <v>48</v>
      </c>
      <c r="C45" s="9" t="s">
        <v>251</v>
      </c>
      <c r="D45" s="9" t="s">
        <v>236</v>
      </c>
      <c r="E45" s="8" t="n">
        <v>46171</v>
      </c>
      <c r="F45" s="9" t="s">
        <v>252</v>
      </c>
      <c r="G45" s="9" t="s">
        <v>253</v>
      </c>
      <c r="H45" s="9" t="s">
        <v>254</v>
      </c>
      <c r="I45" s="2" t="s">
        <v>309</v>
      </c>
    </row>
    <row r="46" customFormat="false" ht="16.4" hidden="false" customHeight="false" outlineLevel="0" collapsed="false">
      <c r="A46" s="2" t="s">
        <v>172</v>
      </c>
      <c r="B46" s="2" t="s">
        <v>53</v>
      </c>
      <c r="C46" s="9" t="s">
        <v>256</v>
      </c>
      <c r="D46" s="9" t="s">
        <v>236</v>
      </c>
      <c r="E46" s="8" t="n">
        <v>46172</v>
      </c>
      <c r="F46" s="9" t="s">
        <v>257</v>
      </c>
      <c r="G46" s="9" t="s">
        <v>258</v>
      </c>
      <c r="H46" s="9" t="s">
        <v>259</v>
      </c>
      <c r="I46" s="2" t="s">
        <v>310</v>
      </c>
    </row>
    <row r="47" customFormat="false" ht="16.4" hidden="false" customHeight="false" outlineLevel="0" collapsed="false">
      <c r="A47" s="2" t="s">
        <v>173</v>
      </c>
      <c r="B47" s="2" t="s">
        <v>59</v>
      </c>
      <c r="C47" s="9" t="s">
        <v>261</v>
      </c>
      <c r="D47" s="9" t="s">
        <v>236</v>
      </c>
      <c r="E47" s="8" t="n">
        <v>46173</v>
      </c>
      <c r="F47" s="2" t="s">
        <v>238</v>
      </c>
      <c r="G47" s="9" t="s">
        <v>239</v>
      </c>
      <c r="H47" s="9" t="s">
        <v>262</v>
      </c>
      <c r="I47" s="2" t="s">
        <v>311</v>
      </c>
    </row>
    <row r="48" customFormat="false" ht="16.4" hidden="false" customHeight="false" outlineLevel="0" collapsed="false">
      <c r="A48" s="2" t="s">
        <v>174</v>
      </c>
      <c r="B48" s="2" t="s">
        <v>64</v>
      </c>
      <c r="C48" s="9" t="s">
        <v>264</v>
      </c>
      <c r="D48" s="9" t="s">
        <v>236</v>
      </c>
      <c r="E48" s="8" t="n">
        <v>46174</v>
      </c>
      <c r="F48" s="2" t="s">
        <v>243</v>
      </c>
      <c r="G48" s="9" t="s">
        <v>244</v>
      </c>
      <c r="H48" s="2" t="s">
        <v>265</v>
      </c>
      <c r="I48" s="2" t="s">
        <v>312</v>
      </c>
    </row>
    <row r="49" customFormat="false" ht="16.4" hidden="false" customHeight="false" outlineLevel="0" collapsed="false">
      <c r="A49" s="2" t="s">
        <v>175</v>
      </c>
      <c r="B49" s="2" t="s">
        <v>69</v>
      </c>
      <c r="C49" s="9" t="s">
        <v>267</v>
      </c>
      <c r="D49" s="9" t="s">
        <v>236</v>
      </c>
      <c r="E49" s="8" t="n">
        <v>46175</v>
      </c>
      <c r="F49" s="9" t="s">
        <v>248</v>
      </c>
      <c r="G49" s="9" t="s">
        <v>249</v>
      </c>
      <c r="H49" s="9" t="s">
        <v>268</v>
      </c>
      <c r="I49" s="2" t="s">
        <v>313</v>
      </c>
    </row>
    <row r="50" customFormat="false" ht="16.4" hidden="false" customHeight="false" outlineLevel="0" collapsed="false">
      <c r="A50" s="2" t="s">
        <v>176</v>
      </c>
      <c r="B50" s="2" t="s">
        <v>74</v>
      </c>
      <c r="C50" s="9" t="s">
        <v>270</v>
      </c>
      <c r="D50" s="9" t="s">
        <v>236</v>
      </c>
      <c r="E50" s="8" t="n">
        <v>46176</v>
      </c>
      <c r="F50" s="9" t="s">
        <v>253</v>
      </c>
      <c r="G50" s="9" t="s">
        <v>254</v>
      </c>
      <c r="H50" s="9" t="s">
        <v>271</v>
      </c>
      <c r="I50" s="2" t="s">
        <v>314</v>
      </c>
    </row>
    <row r="51" customFormat="false" ht="16.4" hidden="false" customHeight="false" outlineLevel="0" collapsed="false">
      <c r="A51" s="2" t="s">
        <v>177</v>
      </c>
      <c r="B51" s="2" t="s">
        <v>80</v>
      </c>
      <c r="C51" s="9" t="s">
        <v>273</v>
      </c>
      <c r="D51" s="9" t="s">
        <v>236</v>
      </c>
      <c r="E51" s="8" t="n">
        <v>46177</v>
      </c>
      <c r="F51" s="9" t="s">
        <v>258</v>
      </c>
      <c r="G51" s="9" t="s">
        <v>259</v>
      </c>
      <c r="H51" s="9" t="s">
        <v>274</v>
      </c>
      <c r="I51" s="2" t="s">
        <v>315</v>
      </c>
    </row>
    <row r="52" customFormat="false" ht="16.4" hidden="false" customHeight="false" outlineLevel="0" collapsed="false">
      <c r="A52" s="2" t="s">
        <v>178</v>
      </c>
      <c r="B52" s="2" t="s">
        <v>31</v>
      </c>
      <c r="C52" s="9" t="s">
        <v>235</v>
      </c>
      <c r="D52" s="9" t="s">
        <v>236</v>
      </c>
      <c r="E52" s="8" t="n">
        <v>46178</v>
      </c>
      <c r="F52" s="9" t="s">
        <v>239</v>
      </c>
      <c r="G52" s="9" t="s">
        <v>262</v>
      </c>
      <c r="H52" s="9" t="s">
        <v>237</v>
      </c>
      <c r="I52" s="2" t="s">
        <v>316</v>
      </c>
    </row>
    <row r="53" customFormat="false" ht="16.4" hidden="false" customHeight="false" outlineLevel="0" collapsed="false">
      <c r="A53" s="2" t="s">
        <v>179</v>
      </c>
      <c r="B53" s="2" t="s">
        <v>38</v>
      </c>
      <c r="C53" s="9" t="s">
        <v>241</v>
      </c>
      <c r="D53" s="9" t="s">
        <v>236</v>
      </c>
      <c r="E53" s="8" t="n">
        <v>46179</v>
      </c>
      <c r="F53" s="9" t="s">
        <v>244</v>
      </c>
      <c r="G53" s="2" t="s">
        <v>265</v>
      </c>
      <c r="H53" s="9" t="s">
        <v>242</v>
      </c>
      <c r="I53" s="2" t="s">
        <v>317</v>
      </c>
    </row>
    <row r="54" customFormat="false" ht="16.4" hidden="false" customHeight="false" outlineLevel="0" collapsed="false">
      <c r="A54" s="2" t="s">
        <v>180</v>
      </c>
      <c r="B54" s="2" t="s">
        <v>43</v>
      </c>
      <c r="C54" s="9" t="s">
        <v>246</v>
      </c>
      <c r="D54" s="9" t="s">
        <v>236</v>
      </c>
      <c r="E54" s="8" t="n">
        <v>46180</v>
      </c>
      <c r="F54" s="9" t="s">
        <v>249</v>
      </c>
      <c r="G54" s="9" t="s">
        <v>268</v>
      </c>
      <c r="H54" s="2" t="s">
        <v>247</v>
      </c>
      <c r="I54" s="2" t="s">
        <v>318</v>
      </c>
    </row>
    <row r="55" customFormat="false" ht="16.4" hidden="false" customHeight="false" outlineLevel="0" collapsed="false">
      <c r="A55" s="2" t="s">
        <v>181</v>
      </c>
      <c r="B55" s="2" t="s">
        <v>48</v>
      </c>
      <c r="C55" s="9" t="s">
        <v>251</v>
      </c>
      <c r="D55" s="9" t="s">
        <v>236</v>
      </c>
      <c r="E55" s="8" t="n">
        <v>46181</v>
      </c>
      <c r="F55" s="9" t="s">
        <v>254</v>
      </c>
      <c r="G55" s="9" t="s">
        <v>271</v>
      </c>
      <c r="H55" s="9" t="s">
        <v>252</v>
      </c>
      <c r="I55" s="2" t="s">
        <v>319</v>
      </c>
    </row>
    <row r="56" customFormat="false" ht="16.4" hidden="false" customHeight="false" outlineLevel="0" collapsed="false">
      <c r="A56" s="2" t="s">
        <v>182</v>
      </c>
      <c r="B56" s="2" t="s">
        <v>53</v>
      </c>
      <c r="C56" s="9" t="s">
        <v>256</v>
      </c>
      <c r="D56" s="9" t="s">
        <v>236</v>
      </c>
      <c r="E56" s="8" t="n">
        <v>46182</v>
      </c>
      <c r="F56" s="9" t="s">
        <v>259</v>
      </c>
      <c r="G56" s="9" t="s">
        <v>274</v>
      </c>
      <c r="H56" s="9" t="s">
        <v>257</v>
      </c>
      <c r="I56" s="2" t="s">
        <v>320</v>
      </c>
    </row>
    <row r="57" customFormat="false" ht="16.4" hidden="false" customHeight="false" outlineLevel="0" collapsed="false">
      <c r="A57" s="2" t="s">
        <v>183</v>
      </c>
      <c r="B57" s="2" t="s">
        <v>59</v>
      </c>
      <c r="C57" s="9" t="s">
        <v>261</v>
      </c>
      <c r="D57" s="9" t="s">
        <v>236</v>
      </c>
      <c r="E57" s="8" t="n">
        <v>46183</v>
      </c>
      <c r="F57" s="9" t="s">
        <v>262</v>
      </c>
      <c r="G57" s="9" t="s">
        <v>237</v>
      </c>
      <c r="H57" s="2" t="s">
        <v>238</v>
      </c>
      <c r="I57" s="2" t="s">
        <v>321</v>
      </c>
    </row>
    <row r="58" customFormat="false" ht="16.4" hidden="false" customHeight="false" outlineLevel="0" collapsed="false">
      <c r="A58" s="2" t="s">
        <v>184</v>
      </c>
      <c r="B58" s="2" t="s">
        <v>64</v>
      </c>
      <c r="C58" s="9" t="s">
        <v>264</v>
      </c>
      <c r="D58" s="9" t="s">
        <v>236</v>
      </c>
      <c r="E58" s="8" t="n">
        <v>46184</v>
      </c>
      <c r="F58" s="2" t="s">
        <v>265</v>
      </c>
      <c r="G58" s="9" t="s">
        <v>242</v>
      </c>
      <c r="H58" s="2" t="s">
        <v>243</v>
      </c>
      <c r="I58" s="2" t="s">
        <v>322</v>
      </c>
    </row>
    <row r="59" customFormat="false" ht="16.4" hidden="false" customHeight="false" outlineLevel="0" collapsed="false">
      <c r="A59" s="2" t="s">
        <v>185</v>
      </c>
      <c r="B59" s="2" t="s">
        <v>69</v>
      </c>
      <c r="C59" s="9" t="s">
        <v>267</v>
      </c>
      <c r="D59" s="9" t="s">
        <v>236</v>
      </c>
      <c r="E59" s="8" t="n">
        <v>46185</v>
      </c>
      <c r="F59" s="9" t="s">
        <v>268</v>
      </c>
      <c r="G59" s="2" t="s">
        <v>247</v>
      </c>
      <c r="H59" s="9" t="s">
        <v>248</v>
      </c>
      <c r="I59" s="2" t="s">
        <v>323</v>
      </c>
    </row>
    <row r="60" customFormat="false" ht="16.4" hidden="false" customHeight="false" outlineLevel="0" collapsed="false">
      <c r="A60" s="2" t="s">
        <v>186</v>
      </c>
      <c r="B60" s="2" t="s">
        <v>74</v>
      </c>
      <c r="C60" s="9" t="s">
        <v>270</v>
      </c>
      <c r="D60" s="9" t="s">
        <v>236</v>
      </c>
      <c r="E60" s="8" t="n">
        <v>46186</v>
      </c>
      <c r="F60" s="9" t="s">
        <v>271</v>
      </c>
      <c r="G60" s="9" t="s">
        <v>252</v>
      </c>
      <c r="H60" s="9" t="s">
        <v>253</v>
      </c>
      <c r="I60" s="2" t="s">
        <v>324</v>
      </c>
    </row>
    <row r="61" customFormat="false" ht="16.4" hidden="false" customHeight="false" outlineLevel="0" collapsed="false">
      <c r="A61" s="2" t="s">
        <v>187</v>
      </c>
      <c r="B61" s="2" t="s">
        <v>80</v>
      </c>
      <c r="C61" s="9" t="s">
        <v>273</v>
      </c>
      <c r="D61" s="9" t="s">
        <v>236</v>
      </c>
      <c r="E61" s="8" t="n">
        <v>46187</v>
      </c>
      <c r="F61" s="9" t="s">
        <v>274</v>
      </c>
      <c r="G61" s="9" t="s">
        <v>257</v>
      </c>
      <c r="H61" s="9" t="s">
        <v>258</v>
      </c>
      <c r="I61" s="2" t="s">
        <v>325</v>
      </c>
    </row>
    <row r="62" customFormat="false" ht="16.4" hidden="false" customHeight="false" outlineLevel="0" collapsed="false">
      <c r="A62" s="2" t="s">
        <v>188</v>
      </c>
      <c r="B62" s="2" t="s">
        <v>31</v>
      </c>
      <c r="C62" s="9" t="s">
        <v>235</v>
      </c>
      <c r="D62" s="9" t="s">
        <v>236</v>
      </c>
      <c r="E62" s="8" t="n">
        <v>46188</v>
      </c>
      <c r="F62" s="9" t="s">
        <v>237</v>
      </c>
      <c r="G62" s="2" t="s">
        <v>238</v>
      </c>
      <c r="H62" s="9" t="s">
        <v>239</v>
      </c>
      <c r="I62" s="2" t="s">
        <v>326</v>
      </c>
    </row>
    <row r="63" customFormat="false" ht="16.4" hidden="false" customHeight="false" outlineLevel="0" collapsed="false">
      <c r="A63" s="2" t="s">
        <v>189</v>
      </c>
      <c r="B63" s="2" t="s">
        <v>38</v>
      </c>
      <c r="C63" s="9" t="s">
        <v>241</v>
      </c>
      <c r="D63" s="9" t="s">
        <v>236</v>
      </c>
      <c r="E63" s="8" t="n">
        <v>46189</v>
      </c>
      <c r="F63" s="9" t="s">
        <v>242</v>
      </c>
      <c r="G63" s="2" t="s">
        <v>243</v>
      </c>
      <c r="H63" s="9" t="s">
        <v>244</v>
      </c>
      <c r="I63" s="2" t="s">
        <v>327</v>
      </c>
    </row>
    <row r="64" customFormat="false" ht="16.4" hidden="false" customHeight="false" outlineLevel="0" collapsed="false">
      <c r="A64" s="2" t="s">
        <v>190</v>
      </c>
      <c r="B64" s="2" t="s">
        <v>43</v>
      </c>
      <c r="C64" s="9" t="s">
        <v>246</v>
      </c>
      <c r="D64" s="9" t="s">
        <v>236</v>
      </c>
      <c r="E64" s="8" t="n">
        <v>46190</v>
      </c>
      <c r="F64" s="2" t="s">
        <v>247</v>
      </c>
      <c r="G64" s="9" t="s">
        <v>248</v>
      </c>
      <c r="H64" s="9" t="s">
        <v>249</v>
      </c>
      <c r="I64" s="2" t="s">
        <v>328</v>
      </c>
    </row>
    <row r="65" customFormat="false" ht="16.4" hidden="false" customHeight="false" outlineLevel="0" collapsed="false">
      <c r="A65" s="2" t="s">
        <v>191</v>
      </c>
      <c r="B65" s="2" t="s">
        <v>48</v>
      </c>
      <c r="C65" s="9" t="s">
        <v>251</v>
      </c>
      <c r="D65" s="9" t="s">
        <v>236</v>
      </c>
      <c r="E65" s="8" t="n">
        <v>46191</v>
      </c>
      <c r="F65" s="9" t="s">
        <v>252</v>
      </c>
      <c r="G65" s="9" t="s">
        <v>253</v>
      </c>
      <c r="H65" s="9" t="s">
        <v>254</v>
      </c>
      <c r="I65" s="2" t="s">
        <v>329</v>
      </c>
    </row>
    <row r="66" customFormat="false" ht="16.4" hidden="false" customHeight="false" outlineLevel="0" collapsed="false">
      <c r="A66" s="2" t="s">
        <v>192</v>
      </c>
      <c r="B66" s="2" t="s">
        <v>53</v>
      </c>
      <c r="C66" s="9" t="s">
        <v>256</v>
      </c>
      <c r="D66" s="9" t="s">
        <v>236</v>
      </c>
      <c r="E66" s="8" t="n">
        <v>46192</v>
      </c>
      <c r="F66" s="9" t="s">
        <v>257</v>
      </c>
      <c r="G66" s="9" t="s">
        <v>258</v>
      </c>
      <c r="H66" s="9" t="s">
        <v>259</v>
      </c>
      <c r="I66" s="2" t="s">
        <v>330</v>
      </c>
    </row>
    <row r="67" customFormat="false" ht="16.4" hidden="false" customHeight="false" outlineLevel="0" collapsed="false">
      <c r="A67" s="2" t="s">
        <v>193</v>
      </c>
      <c r="B67" s="2" t="s">
        <v>59</v>
      </c>
      <c r="C67" s="9" t="s">
        <v>261</v>
      </c>
      <c r="D67" s="9" t="s">
        <v>236</v>
      </c>
      <c r="E67" s="8" t="n">
        <v>46193</v>
      </c>
      <c r="F67" s="2" t="s">
        <v>238</v>
      </c>
      <c r="G67" s="9" t="s">
        <v>239</v>
      </c>
      <c r="H67" s="9" t="s">
        <v>262</v>
      </c>
      <c r="I67" s="2" t="s">
        <v>331</v>
      </c>
    </row>
    <row r="68" customFormat="false" ht="16.4" hidden="false" customHeight="false" outlineLevel="0" collapsed="false">
      <c r="A68" s="2" t="s">
        <v>194</v>
      </c>
      <c r="B68" s="2" t="s">
        <v>64</v>
      </c>
      <c r="C68" s="9" t="s">
        <v>264</v>
      </c>
      <c r="D68" s="9" t="s">
        <v>236</v>
      </c>
      <c r="E68" s="8" t="n">
        <v>46194</v>
      </c>
      <c r="F68" s="2" t="s">
        <v>243</v>
      </c>
      <c r="G68" s="9" t="s">
        <v>244</v>
      </c>
      <c r="H68" s="2" t="s">
        <v>265</v>
      </c>
      <c r="I68" s="2" t="s">
        <v>332</v>
      </c>
    </row>
    <row r="69" customFormat="false" ht="16.4" hidden="false" customHeight="false" outlineLevel="0" collapsed="false">
      <c r="A69" s="2" t="s">
        <v>195</v>
      </c>
      <c r="B69" s="2" t="s">
        <v>69</v>
      </c>
      <c r="C69" s="9" t="s">
        <v>267</v>
      </c>
      <c r="D69" s="9" t="s">
        <v>236</v>
      </c>
      <c r="E69" s="8" t="n">
        <v>46195</v>
      </c>
      <c r="F69" s="9" t="s">
        <v>248</v>
      </c>
      <c r="G69" s="9" t="s">
        <v>249</v>
      </c>
      <c r="H69" s="9" t="s">
        <v>268</v>
      </c>
      <c r="I69" s="2" t="s">
        <v>333</v>
      </c>
    </row>
    <row r="70" customFormat="false" ht="16.4" hidden="false" customHeight="false" outlineLevel="0" collapsed="false">
      <c r="A70" s="2" t="s">
        <v>196</v>
      </c>
      <c r="B70" s="2" t="s">
        <v>74</v>
      </c>
      <c r="C70" s="9" t="s">
        <v>270</v>
      </c>
      <c r="D70" s="9" t="s">
        <v>236</v>
      </c>
      <c r="E70" s="8" t="n">
        <v>46196</v>
      </c>
      <c r="F70" s="9" t="s">
        <v>253</v>
      </c>
      <c r="G70" s="9" t="s">
        <v>254</v>
      </c>
      <c r="H70" s="9" t="s">
        <v>271</v>
      </c>
      <c r="I70" s="2" t="s">
        <v>334</v>
      </c>
    </row>
    <row r="71" customFormat="false" ht="16.4" hidden="false" customHeight="false" outlineLevel="0" collapsed="false">
      <c r="A71" s="2" t="s">
        <v>197</v>
      </c>
      <c r="B71" s="2" t="s">
        <v>80</v>
      </c>
      <c r="C71" s="9" t="s">
        <v>273</v>
      </c>
      <c r="D71" s="9" t="s">
        <v>236</v>
      </c>
      <c r="E71" s="8" t="n">
        <v>46197</v>
      </c>
      <c r="F71" s="9" t="s">
        <v>258</v>
      </c>
      <c r="G71" s="9" t="s">
        <v>259</v>
      </c>
      <c r="H71" s="9" t="s">
        <v>274</v>
      </c>
      <c r="I71" s="2" t="s">
        <v>335</v>
      </c>
    </row>
    <row r="72" customFormat="false" ht="16.4" hidden="false" customHeight="false" outlineLevel="0" collapsed="false">
      <c r="A72" s="2" t="s">
        <v>198</v>
      </c>
      <c r="B72" s="2" t="s">
        <v>31</v>
      </c>
      <c r="C72" s="9" t="s">
        <v>235</v>
      </c>
      <c r="D72" s="9" t="s">
        <v>236</v>
      </c>
      <c r="E72" s="8" t="n">
        <v>46198</v>
      </c>
      <c r="F72" s="9" t="s">
        <v>239</v>
      </c>
      <c r="G72" s="9" t="s">
        <v>262</v>
      </c>
      <c r="H72" s="9" t="s">
        <v>237</v>
      </c>
      <c r="I72" s="2" t="s">
        <v>336</v>
      </c>
    </row>
    <row r="73" customFormat="false" ht="16.4" hidden="false" customHeight="false" outlineLevel="0" collapsed="false">
      <c r="A73" s="2" t="s">
        <v>199</v>
      </c>
      <c r="B73" s="2" t="s">
        <v>38</v>
      </c>
      <c r="C73" s="9" t="s">
        <v>241</v>
      </c>
      <c r="D73" s="9" t="s">
        <v>236</v>
      </c>
      <c r="E73" s="8" t="n">
        <v>46199</v>
      </c>
      <c r="F73" s="9" t="s">
        <v>244</v>
      </c>
      <c r="G73" s="2" t="s">
        <v>265</v>
      </c>
      <c r="H73" s="9" t="s">
        <v>242</v>
      </c>
      <c r="I73" s="2" t="s">
        <v>337</v>
      </c>
    </row>
    <row r="74" customFormat="false" ht="16.4" hidden="false" customHeight="false" outlineLevel="0" collapsed="false">
      <c r="A74" s="2" t="s">
        <v>200</v>
      </c>
      <c r="B74" s="2" t="s">
        <v>43</v>
      </c>
      <c r="C74" s="9" t="s">
        <v>246</v>
      </c>
      <c r="D74" s="9" t="s">
        <v>236</v>
      </c>
      <c r="E74" s="8" t="n">
        <v>46200</v>
      </c>
      <c r="F74" s="9" t="s">
        <v>249</v>
      </c>
      <c r="G74" s="9" t="s">
        <v>268</v>
      </c>
      <c r="H74" s="2" t="s">
        <v>247</v>
      </c>
      <c r="I74" s="2" t="s">
        <v>338</v>
      </c>
    </row>
    <row r="75" customFormat="false" ht="16.4" hidden="false" customHeight="false" outlineLevel="0" collapsed="false">
      <c r="A75" s="2" t="s">
        <v>201</v>
      </c>
      <c r="B75" s="2" t="s">
        <v>48</v>
      </c>
      <c r="C75" s="9" t="s">
        <v>251</v>
      </c>
      <c r="D75" s="9" t="s">
        <v>236</v>
      </c>
      <c r="E75" s="8" t="n">
        <v>46201</v>
      </c>
      <c r="F75" s="9" t="s">
        <v>254</v>
      </c>
      <c r="G75" s="9" t="s">
        <v>271</v>
      </c>
      <c r="H75" s="9" t="s">
        <v>252</v>
      </c>
      <c r="I75" s="2" t="s">
        <v>339</v>
      </c>
    </row>
    <row r="76" customFormat="false" ht="16.4" hidden="false" customHeight="false" outlineLevel="0" collapsed="false">
      <c r="A76" s="2" t="s">
        <v>202</v>
      </c>
      <c r="B76" s="2" t="s">
        <v>53</v>
      </c>
      <c r="C76" s="9" t="s">
        <v>256</v>
      </c>
      <c r="D76" s="9" t="s">
        <v>236</v>
      </c>
      <c r="E76" s="8" t="n">
        <v>46202</v>
      </c>
      <c r="F76" s="9" t="s">
        <v>259</v>
      </c>
      <c r="G76" s="9" t="s">
        <v>274</v>
      </c>
      <c r="H76" s="9" t="s">
        <v>257</v>
      </c>
      <c r="I76" s="2" t="s">
        <v>340</v>
      </c>
    </row>
    <row r="77" customFormat="false" ht="16.4" hidden="false" customHeight="false" outlineLevel="0" collapsed="false">
      <c r="A77" s="2" t="s">
        <v>203</v>
      </c>
      <c r="B77" s="2" t="s">
        <v>59</v>
      </c>
      <c r="C77" s="9" t="s">
        <v>261</v>
      </c>
      <c r="D77" s="9" t="s">
        <v>236</v>
      </c>
      <c r="E77" s="8" t="n">
        <v>46203</v>
      </c>
      <c r="F77" s="9" t="s">
        <v>262</v>
      </c>
      <c r="G77" s="9" t="s">
        <v>237</v>
      </c>
      <c r="H77" s="2" t="s">
        <v>238</v>
      </c>
      <c r="I77" s="2" t="s">
        <v>341</v>
      </c>
    </row>
    <row r="78" customFormat="false" ht="16.4" hidden="false" customHeight="false" outlineLevel="0" collapsed="false">
      <c r="A78" s="2" t="s">
        <v>204</v>
      </c>
      <c r="B78" s="2" t="s">
        <v>64</v>
      </c>
      <c r="C78" s="9" t="s">
        <v>264</v>
      </c>
      <c r="D78" s="9" t="s">
        <v>236</v>
      </c>
      <c r="E78" s="8" t="n">
        <v>46204</v>
      </c>
      <c r="F78" s="2" t="s">
        <v>265</v>
      </c>
      <c r="G78" s="9" t="s">
        <v>242</v>
      </c>
      <c r="H78" s="2" t="s">
        <v>243</v>
      </c>
      <c r="I78" s="2" t="s">
        <v>342</v>
      </c>
    </row>
    <row r="79" customFormat="false" ht="16.4" hidden="false" customHeight="false" outlineLevel="0" collapsed="false">
      <c r="A79" s="2" t="s">
        <v>205</v>
      </c>
      <c r="B79" s="2" t="s">
        <v>69</v>
      </c>
      <c r="C79" s="9" t="s">
        <v>267</v>
      </c>
      <c r="D79" s="9" t="s">
        <v>236</v>
      </c>
      <c r="E79" s="8" t="n">
        <v>46205</v>
      </c>
      <c r="F79" s="9" t="s">
        <v>268</v>
      </c>
      <c r="G79" s="2" t="s">
        <v>247</v>
      </c>
      <c r="H79" s="9" t="s">
        <v>248</v>
      </c>
      <c r="I79" s="2" t="s">
        <v>343</v>
      </c>
    </row>
    <row r="80" customFormat="false" ht="16.4" hidden="false" customHeight="false" outlineLevel="0" collapsed="false">
      <c r="A80" s="2" t="s">
        <v>206</v>
      </c>
      <c r="B80" s="2" t="s">
        <v>74</v>
      </c>
      <c r="C80" s="9" t="s">
        <v>270</v>
      </c>
      <c r="D80" s="9" t="s">
        <v>236</v>
      </c>
      <c r="E80" s="8" t="n">
        <v>46206</v>
      </c>
      <c r="F80" s="9" t="s">
        <v>271</v>
      </c>
      <c r="G80" s="9" t="s">
        <v>252</v>
      </c>
      <c r="H80" s="9" t="s">
        <v>253</v>
      </c>
      <c r="I80" s="2" t="s">
        <v>344</v>
      </c>
    </row>
    <row r="81" customFormat="false" ht="16.4" hidden="false" customHeight="false" outlineLevel="0" collapsed="false">
      <c r="A81" s="2" t="s">
        <v>207</v>
      </c>
      <c r="B81" s="2" t="s">
        <v>80</v>
      </c>
      <c r="C81" s="9" t="s">
        <v>273</v>
      </c>
      <c r="D81" s="9" t="s">
        <v>236</v>
      </c>
      <c r="E81" s="8" t="n">
        <v>46207</v>
      </c>
      <c r="F81" s="9" t="s">
        <v>274</v>
      </c>
      <c r="G81" s="9" t="s">
        <v>257</v>
      </c>
      <c r="H81" s="9" t="s">
        <v>258</v>
      </c>
      <c r="I81" s="2" t="s">
        <v>345</v>
      </c>
    </row>
    <row r="82" customFormat="false" ht="16.4" hidden="false" customHeight="false" outlineLevel="0" collapsed="false">
      <c r="A82" s="2" t="s">
        <v>208</v>
      </c>
      <c r="B82" s="2" t="s">
        <v>31</v>
      </c>
      <c r="C82" s="9" t="s">
        <v>235</v>
      </c>
      <c r="D82" s="9" t="s">
        <v>236</v>
      </c>
      <c r="E82" s="8" t="n">
        <v>46208</v>
      </c>
      <c r="F82" s="9" t="s">
        <v>237</v>
      </c>
      <c r="G82" s="2" t="s">
        <v>238</v>
      </c>
      <c r="H82" s="9" t="s">
        <v>239</v>
      </c>
      <c r="I82" s="2" t="s">
        <v>346</v>
      </c>
    </row>
    <row r="83" customFormat="false" ht="16.4" hidden="false" customHeight="false" outlineLevel="0" collapsed="false">
      <c r="A83" s="2" t="s">
        <v>209</v>
      </c>
      <c r="B83" s="2" t="s">
        <v>38</v>
      </c>
      <c r="C83" s="9" t="s">
        <v>241</v>
      </c>
      <c r="D83" s="9" t="s">
        <v>236</v>
      </c>
      <c r="E83" s="8" t="n">
        <v>46209</v>
      </c>
      <c r="F83" s="9" t="s">
        <v>242</v>
      </c>
      <c r="G83" s="2" t="s">
        <v>243</v>
      </c>
      <c r="H83" s="9" t="s">
        <v>244</v>
      </c>
      <c r="I83" s="2" t="s">
        <v>347</v>
      </c>
    </row>
    <row r="84" customFormat="false" ht="16.4" hidden="false" customHeight="false" outlineLevel="0" collapsed="false">
      <c r="A84" s="2" t="s">
        <v>210</v>
      </c>
      <c r="B84" s="2" t="s">
        <v>43</v>
      </c>
      <c r="C84" s="9" t="s">
        <v>246</v>
      </c>
      <c r="D84" s="9" t="s">
        <v>236</v>
      </c>
      <c r="E84" s="8" t="n">
        <v>46210</v>
      </c>
      <c r="F84" s="2" t="s">
        <v>247</v>
      </c>
      <c r="G84" s="9" t="s">
        <v>248</v>
      </c>
      <c r="H84" s="9" t="s">
        <v>249</v>
      </c>
      <c r="I84" s="2" t="s">
        <v>348</v>
      </c>
    </row>
    <row r="85" customFormat="false" ht="16.4" hidden="false" customHeight="false" outlineLevel="0" collapsed="false">
      <c r="A85" s="2" t="s">
        <v>211</v>
      </c>
      <c r="B85" s="2" t="s">
        <v>48</v>
      </c>
      <c r="C85" s="9" t="s">
        <v>251</v>
      </c>
      <c r="D85" s="9" t="s">
        <v>236</v>
      </c>
      <c r="E85" s="8" t="n">
        <v>46211</v>
      </c>
      <c r="F85" s="9" t="s">
        <v>252</v>
      </c>
      <c r="G85" s="9" t="s">
        <v>253</v>
      </c>
      <c r="H85" s="9" t="s">
        <v>254</v>
      </c>
      <c r="I85" s="2" t="s">
        <v>349</v>
      </c>
    </row>
    <row r="86" customFormat="false" ht="16.4" hidden="false" customHeight="false" outlineLevel="0" collapsed="false">
      <c r="A86" s="2" t="s">
        <v>212</v>
      </c>
      <c r="B86" s="2" t="s">
        <v>53</v>
      </c>
      <c r="C86" s="9" t="s">
        <v>256</v>
      </c>
      <c r="D86" s="9" t="s">
        <v>236</v>
      </c>
      <c r="E86" s="8" t="n">
        <v>46212</v>
      </c>
      <c r="F86" s="9" t="s">
        <v>257</v>
      </c>
      <c r="G86" s="9" t="s">
        <v>258</v>
      </c>
      <c r="H86" s="9" t="s">
        <v>259</v>
      </c>
      <c r="I86" s="2" t="s">
        <v>350</v>
      </c>
    </row>
    <row r="87" customFormat="false" ht="16.4" hidden="false" customHeight="false" outlineLevel="0" collapsed="false">
      <c r="A87" s="2" t="s">
        <v>213</v>
      </c>
      <c r="B87" s="2" t="s">
        <v>59</v>
      </c>
      <c r="C87" s="9" t="s">
        <v>261</v>
      </c>
      <c r="D87" s="9" t="s">
        <v>236</v>
      </c>
      <c r="E87" s="8" t="n">
        <v>46213</v>
      </c>
      <c r="F87" s="2" t="s">
        <v>238</v>
      </c>
      <c r="G87" s="9" t="s">
        <v>239</v>
      </c>
      <c r="H87" s="9" t="s">
        <v>262</v>
      </c>
      <c r="I87" s="2" t="s">
        <v>351</v>
      </c>
    </row>
    <row r="88" customFormat="false" ht="16.4" hidden="false" customHeight="false" outlineLevel="0" collapsed="false">
      <c r="A88" s="2" t="s">
        <v>214</v>
      </c>
      <c r="B88" s="2" t="s">
        <v>64</v>
      </c>
      <c r="C88" s="9" t="s">
        <v>264</v>
      </c>
      <c r="D88" s="9" t="s">
        <v>236</v>
      </c>
      <c r="E88" s="8" t="n">
        <v>46214</v>
      </c>
      <c r="F88" s="2" t="s">
        <v>243</v>
      </c>
      <c r="G88" s="9" t="s">
        <v>244</v>
      </c>
      <c r="H88" s="2" t="s">
        <v>265</v>
      </c>
      <c r="I88" s="2" t="s">
        <v>352</v>
      </c>
    </row>
    <row r="89" customFormat="false" ht="16.4" hidden="false" customHeight="false" outlineLevel="0" collapsed="false">
      <c r="A89" s="2" t="s">
        <v>215</v>
      </c>
      <c r="B89" s="2" t="s">
        <v>69</v>
      </c>
      <c r="C89" s="9" t="s">
        <v>267</v>
      </c>
      <c r="D89" s="9" t="s">
        <v>236</v>
      </c>
      <c r="E89" s="8" t="n">
        <v>46215</v>
      </c>
      <c r="F89" s="9" t="s">
        <v>248</v>
      </c>
      <c r="G89" s="9" t="s">
        <v>249</v>
      </c>
      <c r="H89" s="9" t="s">
        <v>268</v>
      </c>
      <c r="I89" s="2" t="s">
        <v>353</v>
      </c>
    </row>
    <row r="90" customFormat="false" ht="16.4" hidden="false" customHeight="false" outlineLevel="0" collapsed="false">
      <c r="A90" s="2" t="s">
        <v>216</v>
      </c>
      <c r="B90" s="2" t="s">
        <v>74</v>
      </c>
      <c r="C90" s="9" t="s">
        <v>270</v>
      </c>
      <c r="D90" s="9" t="s">
        <v>236</v>
      </c>
      <c r="E90" s="8" t="n">
        <v>46216</v>
      </c>
      <c r="F90" s="9" t="s">
        <v>253</v>
      </c>
      <c r="G90" s="9" t="s">
        <v>254</v>
      </c>
      <c r="H90" s="9" t="s">
        <v>271</v>
      </c>
      <c r="I90" s="2" t="s">
        <v>354</v>
      </c>
    </row>
    <row r="91" customFormat="false" ht="16.4" hidden="false" customHeight="false" outlineLevel="0" collapsed="false">
      <c r="A91" s="2" t="s">
        <v>217</v>
      </c>
      <c r="B91" s="2" t="s">
        <v>80</v>
      </c>
      <c r="C91" s="9" t="s">
        <v>273</v>
      </c>
      <c r="D91" s="9" t="s">
        <v>236</v>
      </c>
      <c r="E91" s="8" t="n">
        <v>46217</v>
      </c>
      <c r="F91" s="9" t="s">
        <v>258</v>
      </c>
      <c r="G91" s="9" t="s">
        <v>259</v>
      </c>
      <c r="H91" s="9" t="s">
        <v>274</v>
      </c>
      <c r="I91" s="2" t="s">
        <v>355</v>
      </c>
    </row>
    <row r="92" customFormat="false" ht="16.4" hidden="false" customHeight="false" outlineLevel="0" collapsed="false">
      <c r="A92" s="2" t="s">
        <v>218</v>
      </c>
      <c r="B92" s="2" t="s">
        <v>31</v>
      </c>
      <c r="C92" s="9" t="s">
        <v>235</v>
      </c>
      <c r="D92" s="9" t="s">
        <v>236</v>
      </c>
      <c r="E92" s="8" t="n">
        <v>46218</v>
      </c>
      <c r="F92" s="9" t="s">
        <v>239</v>
      </c>
      <c r="G92" s="9" t="s">
        <v>262</v>
      </c>
      <c r="H92" s="9" t="s">
        <v>237</v>
      </c>
      <c r="I92" s="2" t="s">
        <v>356</v>
      </c>
    </row>
    <row r="93" customFormat="false" ht="16.4" hidden="false" customHeight="false" outlineLevel="0" collapsed="false">
      <c r="A93" s="2" t="s">
        <v>219</v>
      </c>
      <c r="B93" s="2" t="s">
        <v>38</v>
      </c>
      <c r="C93" s="9" t="s">
        <v>241</v>
      </c>
      <c r="D93" s="9" t="s">
        <v>236</v>
      </c>
      <c r="E93" s="8" t="n">
        <v>46219</v>
      </c>
      <c r="F93" s="9" t="s">
        <v>244</v>
      </c>
      <c r="G93" s="2" t="s">
        <v>265</v>
      </c>
      <c r="H93" s="9" t="s">
        <v>242</v>
      </c>
      <c r="I93" s="2" t="s">
        <v>357</v>
      </c>
    </row>
    <row r="94" customFormat="false" ht="16.4" hidden="false" customHeight="false" outlineLevel="0" collapsed="false">
      <c r="A94" s="2" t="s">
        <v>220</v>
      </c>
      <c r="B94" s="2" t="s">
        <v>43</v>
      </c>
      <c r="C94" s="9" t="s">
        <v>246</v>
      </c>
      <c r="D94" s="9" t="s">
        <v>236</v>
      </c>
      <c r="E94" s="8" t="n">
        <v>46220</v>
      </c>
      <c r="F94" s="9" t="s">
        <v>249</v>
      </c>
      <c r="G94" s="9" t="s">
        <v>268</v>
      </c>
      <c r="H94" s="2" t="s">
        <v>247</v>
      </c>
      <c r="I94" s="2" t="s">
        <v>358</v>
      </c>
    </row>
    <row r="95" customFormat="false" ht="16.4" hidden="false" customHeight="false" outlineLevel="0" collapsed="false">
      <c r="A95" s="2" t="s">
        <v>221</v>
      </c>
      <c r="B95" s="2" t="s">
        <v>48</v>
      </c>
      <c r="C95" s="9" t="s">
        <v>251</v>
      </c>
      <c r="D95" s="9" t="s">
        <v>236</v>
      </c>
      <c r="E95" s="8" t="n">
        <v>46221</v>
      </c>
      <c r="F95" s="9" t="s">
        <v>254</v>
      </c>
      <c r="G95" s="9" t="s">
        <v>271</v>
      </c>
      <c r="H95" s="9" t="s">
        <v>252</v>
      </c>
      <c r="I95" s="2" t="s">
        <v>359</v>
      </c>
    </row>
    <row r="96" customFormat="false" ht="16.4" hidden="false" customHeight="false" outlineLevel="0" collapsed="false">
      <c r="A96" s="2" t="s">
        <v>222</v>
      </c>
      <c r="B96" s="2" t="s">
        <v>53</v>
      </c>
      <c r="C96" s="9" t="s">
        <v>256</v>
      </c>
      <c r="D96" s="9" t="s">
        <v>236</v>
      </c>
      <c r="E96" s="8" t="n">
        <v>46222</v>
      </c>
      <c r="F96" s="9" t="s">
        <v>259</v>
      </c>
      <c r="G96" s="9" t="s">
        <v>274</v>
      </c>
      <c r="H96" s="9" t="s">
        <v>257</v>
      </c>
      <c r="I96" s="2" t="s">
        <v>360</v>
      </c>
    </row>
    <row r="97" customFormat="false" ht="16.4" hidden="false" customHeight="false" outlineLevel="0" collapsed="false">
      <c r="A97" s="2" t="s">
        <v>223</v>
      </c>
      <c r="B97" s="2" t="s">
        <v>59</v>
      </c>
      <c r="C97" s="9" t="s">
        <v>261</v>
      </c>
      <c r="D97" s="9" t="s">
        <v>236</v>
      </c>
      <c r="E97" s="8" t="n">
        <v>46223</v>
      </c>
      <c r="F97" s="9" t="s">
        <v>262</v>
      </c>
      <c r="G97" s="9" t="s">
        <v>237</v>
      </c>
      <c r="H97" s="2" t="s">
        <v>238</v>
      </c>
      <c r="I97" s="2" t="s">
        <v>361</v>
      </c>
    </row>
    <row r="98" customFormat="false" ht="16.4" hidden="false" customHeight="false" outlineLevel="0" collapsed="false">
      <c r="A98" s="2" t="s">
        <v>224</v>
      </c>
      <c r="B98" s="2" t="s">
        <v>64</v>
      </c>
      <c r="C98" s="9" t="s">
        <v>264</v>
      </c>
      <c r="D98" s="9" t="s">
        <v>236</v>
      </c>
      <c r="E98" s="8" t="n">
        <v>46224</v>
      </c>
      <c r="F98" s="2" t="s">
        <v>265</v>
      </c>
      <c r="G98" s="9" t="s">
        <v>242</v>
      </c>
      <c r="H98" s="2" t="s">
        <v>243</v>
      </c>
      <c r="I98" s="2" t="s">
        <v>362</v>
      </c>
    </row>
    <row r="99" customFormat="false" ht="16.4" hidden="false" customHeight="false" outlineLevel="0" collapsed="false">
      <c r="A99" s="2" t="s">
        <v>225</v>
      </c>
      <c r="B99" s="2" t="s">
        <v>69</v>
      </c>
      <c r="C99" s="9" t="s">
        <v>267</v>
      </c>
      <c r="D99" s="9" t="s">
        <v>236</v>
      </c>
      <c r="E99" s="8" t="n">
        <v>46225</v>
      </c>
      <c r="F99" s="9" t="s">
        <v>268</v>
      </c>
      <c r="G99" s="2" t="s">
        <v>247</v>
      </c>
      <c r="H99" s="9" t="s">
        <v>248</v>
      </c>
      <c r="I99" s="2" t="s">
        <v>363</v>
      </c>
    </row>
    <row r="100" customFormat="false" ht="16.4" hidden="false" customHeight="false" outlineLevel="0" collapsed="false">
      <c r="A100" s="2" t="s">
        <v>226</v>
      </c>
      <c r="B100" s="2" t="s">
        <v>74</v>
      </c>
      <c r="C100" s="9" t="s">
        <v>270</v>
      </c>
      <c r="D100" s="9" t="s">
        <v>236</v>
      </c>
      <c r="E100" s="8" t="n">
        <v>46226</v>
      </c>
      <c r="F100" s="9" t="s">
        <v>271</v>
      </c>
      <c r="G100" s="9" t="s">
        <v>252</v>
      </c>
      <c r="H100" s="9" t="s">
        <v>253</v>
      </c>
      <c r="I100" s="2" t="s">
        <v>364</v>
      </c>
    </row>
    <row r="101" customFormat="false" ht="16.4" hidden="false" customHeight="false" outlineLevel="0" collapsed="false">
      <c r="A101" s="2" t="s">
        <v>227</v>
      </c>
      <c r="B101" s="2" t="s">
        <v>80</v>
      </c>
      <c r="C101" s="9" t="s">
        <v>273</v>
      </c>
      <c r="D101" s="9" t="s">
        <v>236</v>
      </c>
      <c r="E101" s="8" t="n">
        <v>46227</v>
      </c>
      <c r="F101" s="9" t="s">
        <v>274</v>
      </c>
      <c r="G101" s="9" t="s">
        <v>257</v>
      </c>
      <c r="H101" s="9" t="s">
        <v>258</v>
      </c>
      <c r="I101" s="2" t="s">
        <v>365</v>
      </c>
    </row>
    <row r="102" customFormat="false" ht="15" hidden="false" customHeight="false" outlineLevel="0" collapsed="false">
      <c r="A102" s="9"/>
      <c r="B102" s="9"/>
      <c r="C102" s="9"/>
      <c r="D102" s="9"/>
      <c r="E102" s="8"/>
      <c r="F102" s="9"/>
      <c r="G102" s="9"/>
      <c r="H102" s="9"/>
      <c r="I102" s="9"/>
    </row>
    <row r="103" customFormat="false" ht="15" hidden="false" customHeight="false" outlineLevel="0" collapsed="false">
      <c r="A103" s="9"/>
      <c r="B103" s="9"/>
      <c r="C103" s="9"/>
      <c r="D103" s="9"/>
      <c r="E103" s="8"/>
      <c r="F103" s="9"/>
      <c r="G103" s="9"/>
      <c r="H103" s="9"/>
      <c r="I103" s="9"/>
    </row>
    <row r="104" customFormat="false" ht="15" hidden="false" customHeight="false" outlineLevel="0" collapsed="false">
      <c r="A104" s="9"/>
      <c r="B104" s="9"/>
      <c r="C104" s="9"/>
      <c r="D104" s="9"/>
      <c r="E104" s="8"/>
      <c r="F104" s="9"/>
      <c r="G104" s="9"/>
      <c r="H104" s="9"/>
      <c r="I104" s="9"/>
    </row>
    <row r="105" customFormat="false" ht="15" hidden="false" customHeight="false" outlineLevel="0" collapsed="false">
      <c r="A105" s="9"/>
      <c r="B105" s="9"/>
      <c r="C105" s="9"/>
      <c r="D105" s="9"/>
      <c r="E105" s="8"/>
      <c r="F105" s="9"/>
      <c r="G105" s="9"/>
      <c r="H105" s="9"/>
      <c r="I105" s="9"/>
    </row>
    <row r="106" customFormat="false" ht="15" hidden="false" customHeight="false" outlineLevel="0" collapsed="false">
      <c r="A106" s="9"/>
      <c r="B106" s="9"/>
      <c r="C106" s="9"/>
      <c r="D106" s="9"/>
      <c r="E106" s="8"/>
      <c r="F106" s="9"/>
      <c r="G106" s="9"/>
      <c r="H106" s="9"/>
      <c r="I106" s="9"/>
    </row>
    <row r="107" customFormat="false" ht="15" hidden="false" customHeight="false" outlineLevel="0" collapsed="false">
      <c r="A107" s="9"/>
      <c r="B107" s="9"/>
      <c r="C107" s="9"/>
      <c r="D107" s="9"/>
      <c r="E107" s="8"/>
      <c r="F107" s="9"/>
      <c r="G107" s="9"/>
      <c r="H107" s="9"/>
      <c r="I107" s="9"/>
    </row>
    <row r="108" customFormat="false" ht="15" hidden="false" customHeight="false" outlineLevel="0" collapsed="false">
      <c r="A108" s="9"/>
      <c r="B108" s="9"/>
      <c r="C108" s="9"/>
      <c r="D108" s="9"/>
      <c r="E108" s="8"/>
      <c r="F108" s="9"/>
      <c r="G108" s="9"/>
      <c r="H108" s="9"/>
      <c r="I108" s="9"/>
    </row>
    <row r="109" customFormat="false" ht="15" hidden="false" customHeight="false" outlineLevel="0" collapsed="false">
      <c r="A109" s="9"/>
      <c r="B109" s="9"/>
      <c r="C109" s="9"/>
      <c r="D109" s="9"/>
      <c r="E109" s="8"/>
      <c r="F109" s="9"/>
      <c r="G109" s="9"/>
      <c r="H109" s="9"/>
      <c r="I109" s="9"/>
    </row>
    <row r="110" customFormat="false" ht="15" hidden="false" customHeight="false" outlineLevel="0" collapsed="false">
      <c r="A110" s="9"/>
      <c r="B110" s="9"/>
      <c r="C110" s="9"/>
      <c r="D110" s="9"/>
      <c r="E110" s="8"/>
      <c r="F110" s="9"/>
      <c r="G110" s="9"/>
      <c r="H110" s="9"/>
      <c r="I110" s="9"/>
    </row>
    <row r="111" customFormat="false" ht="15" hidden="false" customHeight="false" outlineLevel="0" collapsed="false">
      <c r="A111" s="9"/>
      <c r="B111" s="9"/>
      <c r="C111" s="9"/>
      <c r="D111" s="9"/>
      <c r="E111" s="8"/>
      <c r="F111" s="9"/>
      <c r="G111" s="9"/>
      <c r="H111" s="9"/>
      <c r="I111" s="9"/>
    </row>
    <row r="112" customFormat="false" ht="15" hidden="false" customHeight="false" outlineLevel="0" collapsed="false">
      <c r="A112" s="9"/>
      <c r="B112" s="9"/>
      <c r="C112" s="9"/>
      <c r="D112" s="9"/>
      <c r="E112" s="8"/>
      <c r="F112" s="9"/>
      <c r="G112" s="9"/>
      <c r="H112" s="9"/>
      <c r="I112" s="9"/>
    </row>
    <row r="113" customFormat="false" ht="15" hidden="false" customHeight="false" outlineLevel="0" collapsed="false">
      <c r="A113" s="9"/>
      <c r="B113" s="9"/>
      <c r="C113" s="9"/>
      <c r="D113" s="9"/>
      <c r="E113" s="8"/>
      <c r="F113" s="9"/>
      <c r="G113" s="9"/>
      <c r="H113" s="9"/>
      <c r="I113" s="9"/>
    </row>
    <row r="114" customFormat="false" ht="15" hidden="false" customHeight="false" outlineLevel="0" collapsed="false">
      <c r="A114" s="9"/>
      <c r="B114" s="9"/>
      <c r="C114" s="9"/>
      <c r="D114" s="9"/>
      <c r="E114" s="8"/>
      <c r="F114" s="9"/>
      <c r="G114" s="9"/>
      <c r="H114" s="9"/>
      <c r="I114" s="9"/>
    </row>
    <row r="115" customFormat="false" ht="15" hidden="false" customHeight="false" outlineLevel="0" collapsed="false">
      <c r="A115" s="9"/>
      <c r="B115" s="9"/>
      <c r="C115" s="9"/>
      <c r="D115" s="9"/>
      <c r="E115" s="8"/>
      <c r="F115" s="9"/>
      <c r="G115" s="9"/>
      <c r="H115" s="9"/>
      <c r="I115" s="9"/>
    </row>
    <row r="116" customFormat="false" ht="15" hidden="false" customHeight="false" outlineLevel="0" collapsed="false">
      <c r="A116" s="9"/>
      <c r="B116" s="9"/>
      <c r="C116" s="9"/>
      <c r="D116" s="9"/>
      <c r="E116" s="8"/>
      <c r="F116" s="9"/>
      <c r="G116" s="9"/>
      <c r="H116" s="9"/>
      <c r="I116" s="9"/>
    </row>
    <row r="117" customFormat="false" ht="15" hidden="false" customHeight="false" outlineLevel="0" collapsed="false">
      <c r="A117" s="9"/>
      <c r="B117" s="9"/>
      <c r="C117" s="9"/>
      <c r="D117" s="9"/>
      <c r="E117" s="8"/>
      <c r="F117" s="9"/>
      <c r="G117" s="9"/>
      <c r="H117" s="9"/>
      <c r="I117" s="9"/>
    </row>
    <row r="118" customFormat="false" ht="15" hidden="false" customHeight="false" outlineLevel="0" collapsed="false">
      <c r="A118" s="9"/>
      <c r="B118" s="9"/>
      <c r="C118" s="9"/>
      <c r="D118" s="9"/>
      <c r="E118" s="8"/>
      <c r="F118" s="9"/>
      <c r="G118" s="9"/>
      <c r="H118" s="9"/>
      <c r="I118" s="9"/>
    </row>
    <row r="119" customFormat="false" ht="15" hidden="false" customHeight="false" outlineLevel="0" collapsed="false">
      <c r="A119" s="9"/>
      <c r="B119" s="9"/>
      <c r="C119" s="9"/>
      <c r="D119" s="9"/>
      <c r="E119" s="8"/>
      <c r="F119" s="9"/>
      <c r="G119" s="9"/>
      <c r="H119" s="9"/>
      <c r="I119" s="9"/>
    </row>
    <row r="120" customFormat="false" ht="15" hidden="false" customHeight="false" outlineLevel="0" collapsed="false">
      <c r="A120" s="9"/>
      <c r="B120" s="9"/>
      <c r="C120" s="9"/>
      <c r="D120" s="9"/>
      <c r="E120" s="8"/>
      <c r="F120" s="9"/>
      <c r="G120" s="9"/>
      <c r="H120" s="9"/>
      <c r="I120" s="9"/>
    </row>
    <row r="121" customFormat="false" ht="15" hidden="false" customHeight="false" outlineLevel="0" collapsed="false">
      <c r="A121" s="9"/>
      <c r="B121" s="9"/>
      <c r="C121" s="9"/>
      <c r="D121" s="9"/>
      <c r="E121" s="8"/>
      <c r="F121" s="9"/>
      <c r="G121" s="9"/>
      <c r="H121" s="9"/>
      <c r="I121" s="9"/>
    </row>
    <row r="122" customFormat="false" ht="15" hidden="false" customHeight="false" outlineLevel="0" collapsed="false">
      <c r="A122" s="9"/>
      <c r="B122" s="9"/>
      <c r="C122" s="9"/>
      <c r="D122" s="9"/>
      <c r="E122" s="8"/>
      <c r="F122" s="9"/>
      <c r="G122" s="9"/>
      <c r="H122" s="9"/>
      <c r="I122" s="9"/>
    </row>
    <row r="123" customFormat="false" ht="15" hidden="false" customHeight="false" outlineLevel="0" collapsed="false">
      <c r="A123" s="9"/>
      <c r="B123" s="9"/>
      <c r="C123" s="9"/>
      <c r="D123" s="9"/>
      <c r="E123" s="8"/>
      <c r="F123" s="9"/>
      <c r="G123" s="9"/>
      <c r="H123" s="9"/>
      <c r="I123" s="9"/>
    </row>
    <row r="124" customFormat="false" ht="15" hidden="false" customHeight="false" outlineLevel="0" collapsed="false">
      <c r="A124" s="9"/>
      <c r="B124" s="9"/>
      <c r="C124" s="9"/>
      <c r="D124" s="9"/>
      <c r="E124" s="8"/>
      <c r="F124" s="9"/>
      <c r="G124" s="9"/>
      <c r="H124" s="9"/>
      <c r="I124" s="9"/>
    </row>
    <row r="125" customFormat="false" ht="15" hidden="false" customHeight="false" outlineLevel="0" collapsed="false">
      <c r="A125" s="9"/>
      <c r="B125" s="9"/>
      <c r="C125" s="9"/>
      <c r="D125" s="9"/>
      <c r="E125" s="8"/>
      <c r="F125" s="9"/>
      <c r="G125" s="9"/>
      <c r="H125" s="9"/>
      <c r="I125" s="9"/>
    </row>
    <row r="126" customFormat="false" ht="15" hidden="false" customHeight="false" outlineLevel="0" collapsed="false">
      <c r="A126" s="9"/>
      <c r="B126" s="9"/>
      <c r="C126" s="9"/>
      <c r="D126" s="9"/>
      <c r="E126" s="8"/>
      <c r="F126" s="9"/>
      <c r="G126" s="9"/>
      <c r="H126" s="9"/>
      <c r="I126" s="9"/>
    </row>
    <row r="127" customFormat="false" ht="15" hidden="false" customHeight="false" outlineLevel="0" collapsed="false">
      <c r="A127" s="9"/>
      <c r="B127" s="9"/>
      <c r="C127" s="9"/>
      <c r="D127" s="9"/>
      <c r="E127" s="8"/>
      <c r="F127" s="9"/>
      <c r="G127" s="9"/>
      <c r="H127" s="9"/>
      <c r="I127" s="9"/>
    </row>
    <row r="128" customFormat="false" ht="15" hidden="false" customHeight="false" outlineLevel="0" collapsed="false">
      <c r="A128" s="9"/>
      <c r="B128" s="9"/>
      <c r="C128" s="9"/>
      <c r="D128" s="9"/>
      <c r="E128" s="8"/>
      <c r="F128" s="9"/>
      <c r="G128" s="9"/>
      <c r="H128" s="9"/>
      <c r="I128" s="9"/>
    </row>
    <row r="129" customFormat="false" ht="15" hidden="false" customHeight="false" outlineLevel="0" collapsed="false">
      <c r="A129" s="9"/>
      <c r="B129" s="9"/>
      <c r="C129" s="9"/>
      <c r="D129" s="9"/>
      <c r="E129" s="8"/>
      <c r="F129" s="9"/>
      <c r="G129" s="9"/>
      <c r="H129" s="9"/>
      <c r="I129" s="9"/>
    </row>
    <row r="130" customFormat="false" ht="15" hidden="false" customHeight="false" outlineLevel="0" collapsed="false">
      <c r="A130" s="9"/>
      <c r="B130" s="9"/>
      <c r="C130" s="9"/>
      <c r="D130" s="9"/>
      <c r="E130" s="8"/>
      <c r="F130" s="9"/>
      <c r="G130" s="9"/>
      <c r="H130" s="9"/>
      <c r="I130" s="9"/>
    </row>
    <row r="131" customFormat="false" ht="15" hidden="false" customHeight="false" outlineLevel="0" collapsed="false">
      <c r="A131" s="9"/>
      <c r="B131" s="9"/>
      <c r="C131" s="9"/>
      <c r="D131" s="9"/>
      <c r="E131" s="8"/>
      <c r="F131" s="9"/>
      <c r="G131" s="9"/>
      <c r="H131" s="9"/>
      <c r="I131" s="9"/>
    </row>
    <row r="132" customFormat="false" ht="15" hidden="false" customHeight="false" outlineLevel="0" collapsed="false">
      <c r="A132" s="9"/>
      <c r="B132" s="9"/>
      <c r="C132" s="9"/>
      <c r="D132" s="9"/>
      <c r="E132" s="8"/>
      <c r="F132" s="9"/>
      <c r="G132" s="9"/>
      <c r="H132" s="9"/>
      <c r="I132" s="9"/>
    </row>
    <row r="133" customFormat="false" ht="15" hidden="false" customHeight="false" outlineLevel="0" collapsed="false">
      <c r="A133" s="9"/>
      <c r="B133" s="9"/>
      <c r="C133" s="9"/>
      <c r="D133" s="9"/>
      <c r="E133" s="8"/>
      <c r="F133" s="9"/>
      <c r="G133" s="9"/>
      <c r="H133" s="9"/>
      <c r="I133" s="9"/>
    </row>
    <row r="134" customFormat="false" ht="15" hidden="false" customHeight="false" outlineLevel="0" collapsed="false">
      <c r="A134" s="9"/>
      <c r="B134" s="9"/>
      <c r="C134" s="9"/>
      <c r="D134" s="9"/>
      <c r="E134" s="8"/>
      <c r="F134" s="9"/>
      <c r="G134" s="9"/>
      <c r="H134" s="9"/>
      <c r="I134" s="9"/>
    </row>
    <row r="135" customFormat="false" ht="15" hidden="false" customHeight="false" outlineLevel="0" collapsed="false">
      <c r="A135" s="9"/>
      <c r="B135" s="9"/>
      <c r="C135" s="9"/>
      <c r="D135" s="9"/>
      <c r="E135" s="8"/>
      <c r="F135" s="9"/>
      <c r="G135" s="9"/>
      <c r="H135" s="9"/>
      <c r="I135" s="9"/>
    </row>
    <row r="136" customFormat="false" ht="15" hidden="false" customHeight="false" outlineLevel="0" collapsed="false">
      <c r="A136" s="9"/>
      <c r="B136" s="9"/>
      <c r="C136" s="9"/>
      <c r="D136" s="9"/>
      <c r="E136" s="8"/>
      <c r="F136" s="9"/>
      <c r="G136" s="9"/>
      <c r="H136" s="9"/>
      <c r="I136" s="9"/>
    </row>
    <row r="137" customFormat="false" ht="15" hidden="false" customHeight="false" outlineLevel="0" collapsed="false">
      <c r="A137" s="9"/>
      <c r="B137" s="9"/>
      <c r="C137" s="9"/>
      <c r="D137" s="9"/>
      <c r="E137" s="8"/>
      <c r="F137" s="9"/>
      <c r="G137" s="9"/>
      <c r="H137" s="9"/>
      <c r="I137" s="9"/>
    </row>
    <row r="138" customFormat="false" ht="15" hidden="false" customHeight="false" outlineLevel="0" collapsed="false">
      <c r="A138" s="9"/>
      <c r="B138" s="9"/>
      <c r="C138" s="9"/>
      <c r="D138" s="9"/>
      <c r="E138" s="8"/>
      <c r="F138" s="9"/>
      <c r="G138" s="9"/>
      <c r="H138" s="9"/>
      <c r="I138" s="9"/>
    </row>
    <row r="139" customFormat="false" ht="15" hidden="false" customHeight="false" outlineLevel="0" collapsed="false">
      <c r="A139" s="9"/>
      <c r="B139" s="9"/>
      <c r="C139" s="9"/>
      <c r="D139" s="9"/>
      <c r="E139" s="8"/>
      <c r="F139" s="9"/>
      <c r="G139" s="9"/>
      <c r="H139" s="9"/>
      <c r="I139" s="9"/>
    </row>
    <row r="140" customFormat="false" ht="15" hidden="false" customHeight="false" outlineLevel="0" collapsed="false">
      <c r="A140" s="9"/>
      <c r="B140" s="9"/>
      <c r="C140" s="9"/>
      <c r="D140" s="9"/>
      <c r="E140" s="8"/>
      <c r="F140" s="9"/>
      <c r="G140" s="9"/>
      <c r="H140" s="9"/>
      <c r="I140" s="9"/>
    </row>
    <row r="141" customFormat="false" ht="15" hidden="false" customHeight="false" outlineLevel="0" collapsed="false">
      <c r="A141" s="9"/>
      <c r="B141" s="9"/>
      <c r="C141" s="9"/>
      <c r="D141" s="9"/>
      <c r="E141" s="8"/>
      <c r="F141" s="9"/>
      <c r="G141" s="9"/>
      <c r="H141" s="9"/>
      <c r="I141" s="9"/>
    </row>
    <row r="142" customFormat="false" ht="15" hidden="false" customHeight="false" outlineLevel="0" collapsed="false">
      <c r="A142" s="9"/>
      <c r="B142" s="9"/>
      <c r="C142" s="9"/>
      <c r="D142" s="9"/>
      <c r="E142" s="8"/>
      <c r="F142" s="9"/>
      <c r="G142" s="9"/>
      <c r="H142" s="9"/>
      <c r="I142" s="9"/>
    </row>
    <row r="143" customFormat="false" ht="15" hidden="false" customHeight="false" outlineLevel="0" collapsed="false">
      <c r="A143" s="9"/>
      <c r="B143" s="9"/>
      <c r="C143" s="9"/>
      <c r="D143" s="9"/>
      <c r="E143" s="8"/>
      <c r="F143" s="9"/>
      <c r="G143" s="9"/>
      <c r="H143" s="9"/>
      <c r="I143" s="9"/>
    </row>
    <row r="144" customFormat="false" ht="15" hidden="false" customHeight="false" outlineLevel="0" collapsed="false">
      <c r="A144" s="9"/>
      <c r="B144" s="9"/>
      <c r="C144" s="9"/>
      <c r="D144" s="9"/>
      <c r="E144" s="8"/>
      <c r="F144" s="9"/>
      <c r="G144" s="9"/>
      <c r="H144" s="9"/>
      <c r="I144" s="9"/>
    </row>
    <row r="145" customFormat="false" ht="15" hidden="false" customHeight="false" outlineLevel="0" collapsed="false">
      <c r="A145" s="9"/>
      <c r="B145" s="9"/>
      <c r="C145" s="9"/>
      <c r="D145" s="9"/>
      <c r="E145" s="8"/>
      <c r="F145" s="9"/>
      <c r="G145" s="9"/>
      <c r="H145" s="9"/>
      <c r="I145" s="9"/>
    </row>
    <row r="146" customFormat="false" ht="15" hidden="false" customHeight="false" outlineLevel="0" collapsed="false">
      <c r="A146" s="9"/>
      <c r="B146" s="9"/>
      <c r="C146" s="9"/>
      <c r="D146" s="9"/>
      <c r="E146" s="8"/>
      <c r="F146" s="9"/>
      <c r="G146" s="9"/>
      <c r="H146" s="9"/>
      <c r="I146" s="9"/>
    </row>
    <row r="147" customFormat="false" ht="15" hidden="false" customHeight="false" outlineLevel="0" collapsed="false">
      <c r="A147" s="9"/>
      <c r="B147" s="9"/>
      <c r="C147" s="9"/>
      <c r="D147" s="9"/>
      <c r="E147" s="8"/>
      <c r="F147" s="9"/>
      <c r="G147" s="9"/>
      <c r="H147" s="9"/>
      <c r="I147" s="9"/>
    </row>
    <row r="148" customFormat="false" ht="15" hidden="false" customHeight="false" outlineLevel="0" collapsed="false">
      <c r="A148" s="9"/>
      <c r="B148" s="9"/>
      <c r="C148" s="9"/>
      <c r="D148" s="9"/>
      <c r="E148" s="8"/>
      <c r="F148" s="9"/>
      <c r="G148" s="9"/>
      <c r="H148" s="9"/>
      <c r="I148" s="9"/>
    </row>
    <row r="149" customFormat="false" ht="15" hidden="false" customHeight="false" outlineLevel="0" collapsed="false">
      <c r="A149" s="9"/>
      <c r="B149" s="9"/>
      <c r="C149" s="9"/>
      <c r="D149" s="9"/>
      <c r="E149" s="8"/>
      <c r="F149" s="9"/>
      <c r="G149" s="9"/>
      <c r="H149" s="9"/>
      <c r="I149" s="9"/>
    </row>
    <row r="150" customFormat="false" ht="15" hidden="false" customHeight="false" outlineLevel="0" collapsed="false">
      <c r="A150" s="9"/>
      <c r="B150" s="9"/>
      <c r="C150" s="9"/>
      <c r="D150" s="9"/>
      <c r="E150" s="8"/>
      <c r="F150" s="9"/>
      <c r="G150" s="9"/>
      <c r="H150" s="9"/>
      <c r="I150" s="9"/>
    </row>
    <row r="151" customFormat="false" ht="15" hidden="false" customHeight="false" outlineLevel="0" collapsed="false">
      <c r="A151" s="9"/>
      <c r="B151" s="9"/>
      <c r="C151" s="9"/>
      <c r="D151" s="9"/>
      <c r="E151" s="8"/>
      <c r="F151" s="9"/>
      <c r="G151" s="9"/>
      <c r="H151" s="9"/>
      <c r="I151" s="9"/>
    </row>
    <row r="152" customFormat="false" ht="15" hidden="false" customHeight="false" outlineLevel="0" collapsed="false">
      <c r="A152" s="9"/>
      <c r="B152" s="9"/>
      <c r="C152" s="9"/>
      <c r="D152" s="9"/>
      <c r="E152" s="8"/>
      <c r="F152" s="9"/>
      <c r="G152" s="9"/>
      <c r="H152" s="9"/>
      <c r="I152" s="9"/>
    </row>
    <row r="153" customFormat="false" ht="15" hidden="false" customHeight="false" outlineLevel="0" collapsed="false">
      <c r="A153" s="9"/>
      <c r="B153" s="9"/>
      <c r="C153" s="9"/>
      <c r="D153" s="9"/>
      <c r="E153" s="8"/>
      <c r="F153" s="9"/>
      <c r="G153" s="9"/>
      <c r="H153" s="9"/>
      <c r="I153" s="9"/>
    </row>
    <row r="154" customFormat="false" ht="15" hidden="false" customHeight="false" outlineLevel="0" collapsed="false">
      <c r="A154" s="9"/>
      <c r="B154" s="9"/>
      <c r="C154" s="9"/>
      <c r="D154" s="9"/>
      <c r="E154" s="8"/>
      <c r="F154" s="9"/>
      <c r="G154" s="9"/>
      <c r="H154" s="9"/>
      <c r="I154" s="9"/>
    </row>
    <row r="155" customFormat="false" ht="15" hidden="false" customHeight="false" outlineLevel="0" collapsed="false">
      <c r="A155" s="9"/>
      <c r="B155" s="9"/>
      <c r="C155" s="9"/>
      <c r="D155" s="9"/>
      <c r="E155" s="8"/>
      <c r="F155" s="9"/>
      <c r="G155" s="9"/>
      <c r="H155" s="9"/>
      <c r="I155" s="9"/>
    </row>
    <row r="156" customFormat="false" ht="15" hidden="false" customHeight="false" outlineLevel="0" collapsed="false">
      <c r="A156" s="9"/>
      <c r="B156" s="9"/>
      <c r="C156" s="9"/>
      <c r="D156" s="9"/>
      <c r="E156" s="8"/>
      <c r="F156" s="9"/>
      <c r="G156" s="9"/>
      <c r="H156" s="9"/>
      <c r="I156" s="9"/>
    </row>
    <row r="157" customFormat="false" ht="15" hidden="false" customHeight="false" outlineLevel="0" collapsed="false">
      <c r="A157" s="9"/>
      <c r="B157" s="9"/>
      <c r="C157" s="9"/>
      <c r="D157" s="9"/>
      <c r="E157" s="8"/>
      <c r="F157" s="9"/>
      <c r="G157" s="9"/>
      <c r="H157" s="9"/>
      <c r="I157" s="9"/>
    </row>
    <row r="158" customFormat="false" ht="15" hidden="false" customHeight="false" outlineLevel="0" collapsed="false">
      <c r="A158" s="9"/>
      <c r="B158" s="9"/>
      <c r="C158" s="9"/>
      <c r="D158" s="9"/>
      <c r="E158" s="8"/>
      <c r="F158" s="9"/>
      <c r="G158" s="9"/>
      <c r="H158" s="9"/>
      <c r="I158" s="9"/>
    </row>
    <row r="159" customFormat="false" ht="15" hidden="false" customHeight="false" outlineLevel="0" collapsed="false">
      <c r="A159" s="9"/>
      <c r="B159" s="9"/>
      <c r="C159" s="9"/>
      <c r="D159" s="9"/>
      <c r="E159" s="8"/>
      <c r="F159" s="9"/>
      <c r="G159" s="9"/>
      <c r="H159" s="9"/>
      <c r="I159" s="9"/>
    </row>
    <row r="160" customFormat="false" ht="15" hidden="false" customHeight="false" outlineLevel="0" collapsed="false">
      <c r="A160" s="9"/>
      <c r="B160" s="9"/>
      <c r="C160" s="9"/>
      <c r="D160" s="9"/>
      <c r="E160" s="8"/>
      <c r="F160" s="9"/>
      <c r="G160" s="9"/>
      <c r="H160" s="9"/>
      <c r="I160" s="9"/>
    </row>
    <row r="161" customFormat="false" ht="15" hidden="false" customHeight="false" outlineLevel="0" collapsed="false">
      <c r="A161" s="9"/>
      <c r="B161" s="9"/>
      <c r="C161" s="9"/>
      <c r="D161" s="9"/>
      <c r="E161" s="8"/>
      <c r="F161" s="9"/>
      <c r="G161" s="9"/>
      <c r="H161" s="9"/>
      <c r="I161" s="9"/>
    </row>
    <row r="162" customFormat="false" ht="15" hidden="false" customHeight="false" outlineLevel="0" collapsed="false">
      <c r="A162" s="9"/>
      <c r="B162" s="9"/>
      <c r="C162" s="9"/>
      <c r="D162" s="9"/>
      <c r="E162" s="8"/>
      <c r="F162" s="9"/>
      <c r="G162" s="9"/>
      <c r="H162" s="9"/>
      <c r="I162" s="9"/>
    </row>
    <row r="163" customFormat="false" ht="15" hidden="false" customHeight="false" outlineLevel="0" collapsed="false">
      <c r="A163" s="9"/>
      <c r="B163" s="9"/>
      <c r="C163" s="9"/>
      <c r="D163" s="9"/>
      <c r="E163" s="8"/>
      <c r="F163" s="9"/>
      <c r="G163" s="9"/>
      <c r="H163" s="9"/>
      <c r="I163" s="9"/>
    </row>
    <row r="164" customFormat="false" ht="15" hidden="false" customHeight="false" outlineLevel="0" collapsed="false">
      <c r="A164" s="9"/>
      <c r="B164" s="9"/>
      <c r="C164" s="9"/>
      <c r="D164" s="9"/>
      <c r="E164" s="8"/>
      <c r="F164" s="9"/>
      <c r="G164" s="9"/>
      <c r="H164" s="9"/>
      <c r="I164" s="9"/>
    </row>
    <row r="165" customFormat="false" ht="15" hidden="false" customHeight="false" outlineLevel="0" collapsed="false">
      <c r="A165" s="9"/>
      <c r="B165" s="9"/>
      <c r="C165" s="9"/>
      <c r="D165" s="9"/>
      <c r="E165" s="8"/>
      <c r="F165" s="9"/>
      <c r="G165" s="9"/>
      <c r="H165" s="9"/>
      <c r="I165" s="9"/>
    </row>
    <row r="166" customFormat="false" ht="15" hidden="false" customHeight="false" outlineLevel="0" collapsed="false">
      <c r="A166" s="9"/>
      <c r="B166" s="9"/>
      <c r="C166" s="9"/>
      <c r="D166" s="9"/>
      <c r="E166" s="8"/>
      <c r="F166" s="9"/>
      <c r="G166" s="9"/>
      <c r="H166" s="9"/>
      <c r="I166" s="9"/>
    </row>
    <row r="167" customFormat="false" ht="15" hidden="false" customHeight="false" outlineLevel="0" collapsed="false">
      <c r="A167" s="9"/>
      <c r="B167" s="9"/>
      <c r="C167" s="9"/>
      <c r="D167" s="9"/>
      <c r="E167" s="8"/>
      <c r="F167" s="9"/>
      <c r="G167" s="9"/>
      <c r="H167" s="9"/>
      <c r="I167" s="9"/>
    </row>
    <row r="168" customFormat="false" ht="15" hidden="false" customHeight="false" outlineLevel="0" collapsed="false">
      <c r="A168" s="9"/>
      <c r="B168" s="9"/>
      <c r="C168" s="9"/>
      <c r="D168" s="9"/>
      <c r="E168" s="8"/>
      <c r="F168" s="9"/>
      <c r="G168" s="9"/>
      <c r="H168" s="9"/>
      <c r="I168" s="9"/>
    </row>
    <row r="169" customFormat="false" ht="15" hidden="false" customHeight="false" outlineLevel="0" collapsed="false">
      <c r="A169" s="9"/>
      <c r="B169" s="9"/>
      <c r="C169" s="9"/>
      <c r="D169" s="9"/>
      <c r="E169" s="8"/>
      <c r="F169" s="9"/>
      <c r="G169" s="9"/>
      <c r="H169" s="9"/>
      <c r="I169" s="9"/>
    </row>
    <row r="170" customFormat="false" ht="15" hidden="false" customHeight="false" outlineLevel="0" collapsed="false">
      <c r="A170" s="9"/>
      <c r="B170" s="9"/>
      <c r="C170" s="9"/>
      <c r="D170" s="9"/>
      <c r="E170" s="8"/>
      <c r="F170" s="9"/>
      <c r="G170" s="9"/>
      <c r="H170" s="9"/>
      <c r="I170" s="9"/>
    </row>
    <row r="171" customFormat="false" ht="15" hidden="false" customHeight="false" outlineLevel="0" collapsed="false">
      <c r="A171" s="9"/>
      <c r="B171" s="9"/>
      <c r="C171" s="9"/>
      <c r="D171" s="9"/>
      <c r="E171" s="8"/>
      <c r="F171" s="9"/>
      <c r="G171" s="9"/>
      <c r="H171" s="9"/>
      <c r="I171" s="9"/>
    </row>
    <row r="172" customFormat="false" ht="15" hidden="false" customHeight="false" outlineLevel="0" collapsed="false">
      <c r="A172" s="9"/>
      <c r="B172" s="9"/>
      <c r="C172" s="9"/>
      <c r="D172" s="9"/>
      <c r="E172" s="8"/>
      <c r="F172" s="9"/>
      <c r="G172" s="9"/>
      <c r="H172" s="9"/>
      <c r="I172" s="9"/>
    </row>
    <row r="173" customFormat="false" ht="15" hidden="false" customHeight="false" outlineLevel="0" collapsed="false">
      <c r="A173" s="9"/>
      <c r="B173" s="9"/>
      <c r="C173" s="9"/>
      <c r="D173" s="9"/>
      <c r="E173" s="8"/>
      <c r="F173" s="9"/>
      <c r="G173" s="9"/>
      <c r="H173" s="9"/>
      <c r="I173" s="9"/>
    </row>
    <row r="174" customFormat="false" ht="15" hidden="false" customHeight="false" outlineLevel="0" collapsed="false">
      <c r="A174" s="9"/>
      <c r="B174" s="9"/>
      <c r="C174" s="9"/>
      <c r="D174" s="9"/>
      <c r="E174" s="8"/>
      <c r="F174" s="9"/>
      <c r="G174" s="9"/>
      <c r="H174" s="9"/>
      <c r="I174" s="9"/>
    </row>
    <row r="175" customFormat="false" ht="15" hidden="false" customHeight="false" outlineLevel="0" collapsed="false">
      <c r="A175" s="9"/>
      <c r="B175" s="9"/>
      <c r="C175" s="9"/>
      <c r="D175" s="9"/>
      <c r="E175" s="8"/>
      <c r="F175" s="9"/>
      <c r="G175" s="9"/>
      <c r="H175" s="9"/>
      <c r="I175" s="9"/>
    </row>
    <row r="176" customFormat="false" ht="15" hidden="false" customHeight="false" outlineLevel="0" collapsed="false">
      <c r="A176" s="9"/>
      <c r="B176" s="9"/>
      <c r="C176" s="9"/>
      <c r="D176" s="9"/>
      <c r="E176" s="8"/>
      <c r="F176" s="9"/>
      <c r="G176" s="9"/>
      <c r="H176" s="9"/>
      <c r="I176" s="9"/>
    </row>
    <row r="177" customFormat="false" ht="15" hidden="false" customHeight="false" outlineLevel="0" collapsed="false">
      <c r="A177" s="9"/>
      <c r="B177" s="9"/>
      <c r="C177" s="9"/>
      <c r="D177" s="9"/>
      <c r="E177" s="8"/>
      <c r="F177" s="9"/>
      <c r="G177" s="9"/>
      <c r="H177" s="9"/>
      <c r="I177" s="9"/>
    </row>
    <row r="178" customFormat="false" ht="15" hidden="false" customHeight="false" outlineLevel="0" collapsed="false">
      <c r="A178" s="9"/>
      <c r="B178" s="9"/>
      <c r="C178" s="9"/>
      <c r="D178" s="9"/>
      <c r="E178" s="8"/>
      <c r="F178" s="9"/>
      <c r="G178" s="9"/>
      <c r="H178" s="9"/>
      <c r="I178" s="9"/>
    </row>
    <row r="179" customFormat="false" ht="15" hidden="false" customHeight="false" outlineLevel="0" collapsed="false">
      <c r="A179" s="9"/>
      <c r="B179" s="9"/>
      <c r="C179" s="9"/>
      <c r="D179" s="9"/>
      <c r="E179" s="8"/>
      <c r="F179" s="9"/>
      <c r="G179" s="9"/>
      <c r="H179" s="9"/>
      <c r="I179" s="9"/>
    </row>
    <row r="180" customFormat="false" ht="15" hidden="false" customHeight="false" outlineLevel="0" collapsed="false">
      <c r="A180" s="9"/>
      <c r="B180" s="9"/>
      <c r="C180" s="9"/>
      <c r="D180" s="9"/>
      <c r="E180" s="8"/>
      <c r="F180" s="9"/>
      <c r="G180" s="9"/>
      <c r="H180" s="9"/>
      <c r="I180" s="9"/>
    </row>
    <row r="181" customFormat="false" ht="15" hidden="false" customHeight="false" outlineLevel="0" collapsed="false">
      <c r="A181" s="9"/>
      <c r="B181" s="9"/>
      <c r="C181" s="9"/>
      <c r="D181" s="9"/>
      <c r="E181" s="8"/>
      <c r="F181" s="9"/>
      <c r="G181" s="9"/>
      <c r="H181" s="9"/>
      <c r="I181" s="9"/>
    </row>
    <row r="182" customFormat="false" ht="15" hidden="false" customHeight="false" outlineLevel="0" collapsed="false">
      <c r="A182" s="9"/>
      <c r="B182" s="9"/>
      <c r="C182" s="9"/>
      <c r="D182" s="9"/>
      <c r="E182" s="8"/>
      <c r="F182" s="9"/>
      <c r="G182" s="9"/>
      <c r="H182" s="9"/>
      <c r="I182" s="9"/>
    </row>
    <row r="183" customFormat="false" ht="15" hidden="false" customHeight="false" outlineLevel="0" collapsed="false">
      <c r="A183" s="9"/>
      <c r="B183" s="9"/>
      <c r="C183" s="9"/>
      <c r="D183" s="9"/>
      <c r="E183" s="8"/>
      <c r="F183" s="9"/>
      <c r="G183" s="9"/>
      <c r="H183" s="9"/>
      <c r="I183" s="9"/>
    </row>
    <row r="184" customFormat="false" ht="15" hidden="false" customHeight="false" outlineLevel="0" collapsed="false">
      <c r="A184" s="9"/>
      <c r="B184" s="9"/>
      <c r="C184" s="9"/>
      <c r="D184" s="9"/>
      <c r="E184" s="8"/>
      <c r="F184" s="9"/>
      <c r="G184" s="9"/>
      <c r="H184" s="9"/>
      <c r="I184" s="9"/>
    </row>
    <row r="185" customFormat="false" ht="15" hidden="false" customHeight="false" outlineLevel="0" collapsed="false">
      <c r="A185" s="9"/>
      <c r="B185" s="9"/>
      <c r="C185" s="9"/>
      <c r="D185" s="9"/>
      <c r="E185" s="8"/>
      <c r="F185" s="9"/>
      <c r="G185" s="9"/>
      <c r="H185" s="9"/>
      <c r="I185" s="9"/>
    </row>
    <row r="186" customFormat="false" ht="15" hidden="false" customHeight="false" outlineLevel="0" collapsed="false">
      <c r="A186" s="9"/>
      <c r="B186" s="9"/>
      <c r="C186" s="9"/>
      <c r="D186" s="9"/>
      <c r="E186" s="8"/>
      <c r="F186" s="9"/>
      <c r="G186" s="9"/>
      <c r="H186" s="9"/>
      <c r="I186" s="9"/>
    </row>
    <row r="187" customFormat="false" ht="15" hidden="false" customHeight="false" outlineLevel="0" collapsed="false">
      <c r="A187" s="9"/>
      <c r="B187" s="9"/>
      <c r="C187" s="9"/>
      <c r="D187" s="9"/>
      <c r="E187" s="8"/>
      <c r="F187" s="9"/>
      <c r="G187" s="9"/>
      <c r="H187" s="9"/>
      <c r="I187" s="9"/>
    </row>
    <row r="188" customFormat="false" ht="15" hidden="false" customHeight="false" outlineLevel="0" collapsed="false">
      <c r="A188" s="9"/>
      <c r="B188" s="9"/>
      <c r="C188" s="9"/>
      <c r="D188" s="9"/>
      <c r="E188" s="8"/>
      <c r="F188" s="9"/>
      <c r="G188" s="9"/>
      <c r="H188" s="9"/>
      <c r="I188" s="9"/>
    </row>
    <row r="189" customFormat="false" ht="15" hidden="false" customHeight="false" outlineLevel="0" collapsed="false">
      <c r="A189" s="9"/>
      <c r="B189" s="9"/>
      <c r="C189" s="9"/>
      <c r="D189" s="9"/>
      <c r="E189" s="8"/>
      <c r="F189" s="9"/>
      <c r="G189" s="9"/>
      <c r="H189" s="9"/>
      <c r="I189" s="9"/>
    </row>
    <row r="190" customFormat="false" ht="15" hidden="false" customHeight="false" outlineLevel="0" collapsed="false">
      <c r="A190" s="9"/>
      <c r="B190" s="9"/>
      <c r="C190" s="9"/>
      <c r="D190" s="9"/>
      <c r="E190" s="8"/>
      <c r="F190" s="9"/>
      <c r="G190" s="9"/>
      <c r="H190" s="9"/>
      <c r="I190" s="9"/>
    </row>
    <row r="191" customFormat="false" ht="15" hidden="false" customHeight="false" outlineLevel="0" collapsed="false">
      <c r="A191" s="9"/>
      <c r="B191" s="9"/>
      <c r="C191" s="9"/>
      <c r="D191" s="9"/>
      <c r="E191" s="8"/>
      <c r="F191" s="9"/>
      <c r="G191" s="9"/>
      <c r="H191" s="9"/>
      <c r="I191" s="9"/>
    </row>
    <row r="192" customFormat="false" ht="15" hidden="false" customHeight="false" outlineLevel="0" collapsed="false">
      <c r="A192" s="9"/>
      <c r="B192" s="9"/>
      <c r="C192" s="9"/>
      <c r="D192" s="9"/>
      <c r="E192" s="8"/>
      <c r="F192" s="9"/>
      <c r="G192" s="9"/>
      <c r="H192" s="9"/>
      <c r="I192" s="9"/>
    </row>
    <row r="193" customFormat="false" ht="15" hidden="false" customHeight="false" outlineLevel="0" collapsed="false">
      <c r="A193" s="9"/>
      <c r="B193" s="9"/>
      <c r="C193" s="9"/>
      <c r="D193" s="9"/>
      <c r="E193" s="8"/>
      <c r="F193" s="9"/>
      <c r="G193" s="9"/>
      <c r="H193" s="9"/>
      <c r="I193" s="9"/>
    </row>
    <row r="194" customFormat="false" ht="15" hidden="false" customHeight="false" outlineLevel="0" collapsed="false">
      <c r="A194" s="9"/>
      <c r="B194" s="9"/>
      <c r="C194" s="9"/>
      <c r="D194" s="9"/>
      <c r="E194" s="8"/>
      <c r="F194" s="9"/>
      <c r="G194" s="9"/>
      <c r="H194" s="9"/>
      <c r="I194" s="9"/>
    </row>
    <row r="195" customFormat="false" ht="15" hidden="false" customHeight="false" outlineLevel="0" collapsed="false">
      <c r="A195" s="9"/>
      <c r="B195" s="9"/>
      <c r="C195" s="9"/>
      <c r="D195" s="9"/>
      <c r="E195" s="8"/>
      <c r="F195" s="9"/>
      <c r="G195" s="9"/>
      <c r="H195" s="9"/>
      <c r="I195" s="9"/>
    </row>
    <row r="196" customFormat="false" ht="15" hidden="false" customHeight="false" outlineLevel="0" collapsed="false">
      <c r="A196" s="9"/>
      <c r="B196" s="9"/>
      <c r="C196" s="9"/>
      <c r="D196" s="9"/>
      <c r="E196" s="8"/>
      <c r="F196" s="9"/>
      <c r="G196" s="9"/>
      <c r="H196" s="9"/>
      <c r="I196" s="9"/>
    </row>
    <row r="197" customFormat="false" ht="15" hidden="false" customHeight="false" outlineLevel="0" collapsed="false">
      <c r="A197" s="9"/>
      <c r="B197" s="9"/>
      <c r="C197" s="9"/>
      <c r="D197" s="9"/>
      <c r="E197" s="8"/>
      <c r="F197" s="9"/>
      <c r="G197" s="9"/>
      <c r="H197" s="9"/>
      <c r="I197" s="9"/>
    </row>
    <row r="198" customFormat="false" ht="15" hidden="false" customHeight="false" outlineLevel="0" collapsed="false">
      <c r="A198" s="9"/>
      <c r="B198" s="9"/>
      <c r="C198" s="9"/>
      <c r="D198" s="9"/>
      <c r="E198" s="8"/>
      <c r="F198" s="9"/>
      <c r="G198" s="9"/>
      <c r="H198" s="9"/>
      <c r="I198" s="9"/>
    </row>
    <row r="199" customFormat="false" ht="15" hidden="false" customHeight="false" outlineLevel="0" collapsed="false">
      <c r="A199" s="9"/>
      <c r="B199" s="9"/>
      <c r="C199" s="9"/>
      <c r="D199" s="9"/>
      <c r="E199" s="8"/>
      <c r="F199" s="9"/>
      <c r="G199" s="9"/>
      <c r="H199" s="9"/>
      <c r="I199" s="9"/>
    </row>
    <row r="200" customFormat="false" ht="15" hidden="false" customHeight="false" outlineLevel="0" collapsed="false">
      <c r="A200" s="9"/>
      <c r="B200" s="9"/>
      <c r="C200" s="9"/>
      <c r="D200" s="9"/>
      <c r="E200" s="8"/>
      <c r="F200" s="9"/>
      <c r="G200" s="9"/>
      <c r="H200" s="9"/>
      <c r="I200" s="9"/>
    </row>
    <row r="201" customFormat="false" ht="15" hidden="false" customHeight="false" outlineLevel="0" collapsed="false">
      <c r="A201" s="9"/>
      <c r="B201" s="9"/>
      <c r="C201" s="9"/>
      <c r="D201" s="9"/>
      <c r="E201" s="8"/>
      <c r="F201" s="9"/>
      <c r="G201" s="9"/>
      <c r="H201" s="9"/>
      <c r="I201" s="9"/>
    </row>
    <row r="202" customFormat="false" ht="15" hidden="false" customHeight="false" outlineLevel="0" collapsed="false">
      <c r="A202" s="9"/>
      <c r="B202" s="9"/>
      <c r="C202" s="9"/>
      <c r="D202" s="9"/>
      <c r="E202" s="8"/>
      <c r="F202" s="9"/>
      <c r="G202" s="9"/>
      <c r="H202" s="9"/>
      <c r="I202" s="9"/>
    </row>
    <row r="203" customFormat="false" ht="15" hidden="false" customHeight="false" outlineLevel="0" collapsed="false">
      <c r="A203" s="9"/>
      <c r="B203" s="9"/>
      <c r="C203" s="9"/>
      <c r="D203" s="9"/>
      <c r="E203" s="8"/>
      <c r="F203" s="9"/>
      <c r="G203" s="9"/>
      <c r="H203" s="9"/>
      <c r="I203" s="9"/>
    </row>
    <row r="204" customFormat="false" ht="15" hidden="false" customHeight="false" outlineLevel="0" collapsed="false">
      <c r="A204" s="9"/>
      <c r="B204" s="9"/>
      <c r="C204" s="9"/>
      <c r="D204" s="9"/>
      <c r="E204" s="8"/>
      <c r="F204" s="9"/>
      <c r="G204" s="9"/>
      <c r="H204" s="9"/>
      <c r="I204" s="9"/>
    </row>
    <row r="205" customFormat="false" ht="15" hidden="false" customHeight="false" outlineLevel="0" collapsed="false">
      <c r="A205" s="9"/>
      <c r="B205" s="9"/>
      <c r="C205" s="9"/>
      <c r="D205" s="9"/>
      <c r="E205" s="8"/>
      <c r="F205" s="9"/>
      <c r="G205" s="9"/>
      <c r="H205" s="9"/>
      <c r="I205" s="9"/>
    </row>
    <row r="206" customFormat="false" ht="15" hidden="false" customHeight="false" outlineLevel="0" collapsed="false">
      <c r="A206" s="9"/>
      <c r="B206" s="9"/>
      <c r="C206" s="9"/>
      <c r="D206" s="9"/>
      <c r="E206" s="8"/>
      <c r="F206" s="9"/>
      <c r="G206" s="9"/>
      <c r="H206" s="9"/>
      <c r="I206" s="9"/>
    </row>
    <row r="207" customFormat="false" ht="15" hidden="false" customHeight="false" outlineLevel="0" collapsed="false">
      <c r="A207" s="9"/>
      <c r="B207" s="9"/>
      <c r="C207" s="9"/>
      <c r="D207" s="9"/>
      <c r="E207" s="8"/>
      <c r="F207" s="9"/>
      <c r="G207" s="9"/>
      <c r="H207" s="9"/>
      <c r="I207" s="9"/>
    </row>
    <row r="208" customFormat="false" ht="15" hidden="false" customHeight="false" outlineLevel="0" collapsed="false">
      <c r="A208" s="9"/>
      <c r="B208" s="9"/>
      <c r="C208" s="9"/>
      <c r="D208" s="9"/>
      <c r="E208" s="8"/>
      <c r="F208" s="9"/>
      <c r="G208" s="9"/>
      <c r="H208" s="9"/>
      <c r="I208" s="9"/>
    </row>
    <row r="209" customFormat="false" ht="15" hidden="false" customHeight="false" outlineLevel="0" collapsed="false">
      <c r="A209" s="9"/>
      <c r="B209" s="9"/>
      <c r="C209" s="9"/>
      <c r="D209" s="9"/>
      <c r="E209" s="8"/>
      <c r="F209" s="9"/>
      <c r="G209" s="9"/>
      <c r="H209" s="9"/>
      <c r="I209" s="9"/>
    </row>
    <row r="210" customFormat="false" ht="15" hidden="false" customHeight="false" outlineLevel="0" collapsed="false">
      <c r="A210" s="9"/>
      <c r="B210" s="9"/>
      <c r="C210" s="9"/>
      <c r="D210" s="9"/>
      <c r="E210" s="8"/>
      <c r="F210" s="9"/>
      <c r="G210" s="9"/>
      <c r="H210" s="9"/>
      <c r="I210" s="9"/>
    </row>
    <row r="211" customFormat="false" ht="15" hidden="false" customHeight="false" outlineLevel="0" collapsed="false">
      <c r="A211" s="9"/>
      <c r="B211" s="9"/>
      <c r="C211" s="9"/>
      <c r="D211" s="9"/>
      <c r="E211" s="8"/>
      <c r="F211" s="9"/>
      <c r="G211" s="9"/>
      <c r="H211" s="9"/>
      <c r="I211" s="9"/>
    </row>
    <row r="212" customFormat="false" ht="15" hidden="false" customHeight="false" outlineLevel="0" collapsed="false">
      <c r="A212" s="9"/>
      <c r="B212" s="9"/>
      <c r="C212" s="9"/>
      <c r="D212" s="9"/>
      <c r="E212" s="8"/>
      <c r="F212" s="9"/>
      <c r="G212" s="9"/>
      <c r="H212" s="9"/>
      <c r="I212" s="9"/>
    </row>
    <row r="213" customFormat="false" ht="15" hidden="false" customHeight="false" outlineLevel="0" collapsed="false">
      <c r="A213" s="9"/>
      <c r="B213" s="9"/>
      <c r="C213" s="9"/>
      <c r="D213" s="9"/>
      <c r="E213" s="8"/>
      <c r="F213" s="9"/>
      <c r="G213" s="9"/>
      <c r="H213" s="9"/>
      <c r="I213" s="9"/>
    </row>
    <row r="214" customFormat="false" ht="15" hidden="false" customHeight="false" outlineLevel="0" collapsed="false">
      <c r="A214" s="9"/>
      <c r="B214" s="9"/>
      <c r="C214" s="9"/>
      <c r="D214" s="9"/>
      <c r="E214" s="8"/>
      <c r="F214" s="9"/>
      <c r="G214" s="9"/>
      <c r="H214" s="9"/>
      <c r="I214" s="9"/>
    </row>
    <row r="215" customFormat="false" ht="15" hidden="false" customHeight="false" outlineLevel="0" collapsed="false">
      <c r="A215" s="9"/>
      <c r="B215" s="9"/>
      <c r="C215" s="9"/>
      <c r="D215" s="9"/>
      <c r="E215" s="8"/>
      <c r="F215" s="9"/>
      <c r="G215" s="9"/>
      <c r="H215" s="9"/>
      <c r="I215" s="9"/>
    </row>
    <row r="216" customFormat="false" ht="15" hidden="false" customHeight="false" outlineLevel="0" collapsed="false">
      <c r="A216" s="9"/>
      <c r="B216" s="9"/>
      <c r="C216" s="9"/>
      <c r="D216" s="9"/>
      <c r="E216" s="8"/>
      <c r="F216" s="9"/>
      <c r="G216" s="9"/>
      <c r="H216" s="9"/>
      <c r="I216" s="9"/>
    </row>
    <row r="217" customFormat="false" ht="15" hidden="false" customHeight="false" outlineLevel="0" collapsed="false">
      <c r="A217" s="9"/>
      <c r="B217" s="9"/>
      <c r="C217" s="9"/>
      <c r="D217" s="9"/>
      <c r="E217" s="8"/>
      <c r="F217" s="9"/>
      <c r="G217" s="9"/>
      <c r="H217" s="9"/>
      <c r="I217" s="9"/>
    </row>
    <row r="218" customFormat="false" ht="15" hidden="false" customHeight="false" outlineLevel="0" collapsed="false">
      <c r="A218" s="9"/>
      <c r="B218" s="9"/>
      <c r="C218" s="9"/>
      <c r="D218" s="9"/>
      <c r="E218" s="8"/>
      <c r="F218" s="9"/>
      <c r="G218" s="9"/>
      <c r="H218" s="9"/>
      <c r="I218" s="9"/>
    </row>
    <row r="219" customFormat="false" ht="15" hidden="false" customHeight="false" outlineLevel="0" collapsed="false">
      <c r="A219" s="9"/>
      <c r="B219" s="9"/>
      <c r="C219" s="9"/>
      <c r="D219" s="9"/>
      <c r="E219" s="8"/>
      <c r="F219" s="9"/>
      <c r="G219" s="9"/>
      <c r="H219" s="9"/>
      <c r="I219" s="9"/>
    </row>
    <row r="220" customFormat="false" ht="15" hidden="false" customHeight="false" outlineLevel="0" collapsed="false">
      <c r="A220" s="9"/>
      <c r="B220" s="9"/>
      <c r="C220" s="9"/>
      <c r="D220" s="9"/>
      <c r="E220" s="8"/>
      <c r="F220" s="9"/>
      <c r="G220" s="9"/>
      <c r="H220" s="9"/>
      <c r="I220" s="9"/>
    </row>
    <row r="221" customFormat="false" ht="15" hidden="false" customHeight="false" outlineLevel="0" collapsed="false">
      <c r="A221" s="9"/>
      <c r="B221" s="9"/>
      <c r="C221" s="9"/>
      <c r="D221" s="9"/>
      <c r="E221" s="8"/>
      <c r="F221" s="9"/>
      <c r="G221" s="9"/>
      <c r="H221" s="9"/>
      <c r="I221" s="9"/>
    </row>
    <row r="222" customFormat="false" ht="15" hidden="false" customHeight="false" outlineLevel="0" collapsed="false">
      <c r="A222" s="9"/>
      <c r="B222" s="9"/>
      <c r="C222" s="9"/>
      <c r="D222" s="9"/>
      <c r="E222" s="8"/>
      <c r="F222" s="9"/>
      <c r="G222" s="9"/>
      <c r="H222" s="9"/>
      <c r="I222" s="9"/>
    </row>
    <row r="223" customFormat="false" ht="15" hidden="false" customHeight="false" outlineLevel="0" collapsed="false">
      <c r="A223" s="9"/>
      <c r="B223" s="9"/>
      <c r="C223" s="9"/>
      <c r="D223" s="9"/>
      <c r="E223" s="8"/>
      <c r="F223" s="9"/>
      <c r="G223" s="9"/>
      <c r="H223" s="9"/>
      <c r="I223" s="9"/>
    </row>
    <row r="224" customFormat="false" ht="15" hidden="false" customHeight="false" outlineLevel="0" collapsed="false">
      <c r="A224" s="9"/>
      <c r="B224" s="9"/>
      <c r="C224" s="9"/>
      <c r="D224" s="9"/>
      <c r="E224" s="8"/>
      <c r="F224" s="9"/>
      <c r="G224" s="9"/>
      <c r="H224" s="9"/>
      <c r="I224" s="9"/>
    </row>
    <row r="225" customFormat="false" ht="15" hidden="false" customHeight="false" outlineLevel="0" collapsed="false">
      <c r="A225" s="9"/>
      <c r="B225" s="9"/>
      <c r="C225" s="9"/>
      <c r="D225" s="9"/>
      <c r="E225" s="8"/>
      <c r="F225" s="9"/>
      <c r="G225" s="9"/>
      <c r="H225" s="9"/>
      <c r="I225" s="9"/>
    </row>
    <row r="226" customFormat="false" ht="15" hidden="false" customHeight="false" outlineLevel="0" collapsed="false">
      <c r="A226" s="9"/>
      <c r="B226" s="9"/>
      <c r="C226" s="9"/>
      <c r="D226" s="9"/>
      <c r="E226" s="8"/>
      <c r="F226" s="9"/>
      <c r="G226" s="9"/>
      <c r="H226" s="9"/>
      <c r="I226" s="9"/>
    </row>
    <row r="227" customFormat="false" ht="15" hidden="false" customHeight="false" outlineLevel="0" collapsed="false">
      <c r="A227" s="9"/>
      <c r="B227" s="9"/>
      <c r="C227" s="9"/>
      <c r="D227" s="9"/>
      <c r="E227" s="8"/>
      <c r="F227" s="9"/>
      <c r="G227" s="9"/>
      <c r="H227" s="9"/>
      <c r="I227" s="9"/>
    </row>
    <row r="228" customFormat="false" ht="15" hidden="false" customHeight="false" outlineLevel="0" collapsed="false">
      <c r="A228" s="9"/>
      <c r="B228" s="9"/>
      <c r="C228" s="9"/>
      <c r="D228" s="9"/>
      <c r="E228" s="8"/>
      <c r="F228" s="9"/>
      <c r="G228" s="9"/>
      <c r="H228" s="9"/>
      <c r="I228" s="9"/>
    </row>
    <row r="229" customFormat="false" ht="15" hidden="false" customHeight="false" outlineLevel="0" collapsed="false">
      <c r="A229" s="9"/>
      <c r="B229" s="9"/>
      <c r="C229" s="9"/>
      <c r="D229" s="9"/>
      <c r="E229" s="8"/>
      <c r="F229" s="9"/>
      <c r="G229" s="9"/>
      <c r="H229" s="9"/>
      <c r="I229" s="9"/>
    </row>
    <row r="230" customFormat="false" ht="15" hidden="false" customHeight="false" outlineLevel="0" collapsed="false">
      <c r="A230" s="9"/>
      <c r="B230" s="9"/>
      <c r="C230" s="9"/>
      <c r="D230" s="9"/>
      <c r="E230" s="8"/>
      <c r="F230" s="9"/>
      <c r="G230" s="9"/>
      <c r="H230" s="9"/>
      <c r="I230" s="9"/>
    </row>
    <row r="231" customFormat="false" ht="15" hidden="false" customHeight="false" outlineLevel="0" collapsed="false">
      <c r="A231" s="9"/>
      <c r="B231" s="9"/>
      <c r="C231" s="9"/>
      <c r="D231" s="9"/>
      <c r="E231" s="8"/>
      <c r="F231" s="9"/>
      <c r="G231" s="9"/>
      <c r="H231" s="9"/>
      <c r="I231" s="9"/>
    </row>
    <row r="232" customFormat="false" ht="15" hidden="false" customHeight="false" outlineLevel="0" collapsed="false">
      <c r="A232" s="9"/>
      <c r="B232" s="9"/>
      <c r="C232" s="9"/>
      <c r="D232" s="9"/>
      <c r="E232" s="8"/>
      <c r="F232" s="9"/>
      <c r="G232" s="9"/>
      <c r="H232" s="9"/>
      <c r="I232" s="9"/>
    </row>
    <row r="233" customFormat="false" ht="15" hidden="false" customHeight="false" outlineLevel="0" collapsed="false">
      <c r="A233" s="9"/>
      <c r="B233" s="9"/>
      <c r="C233" s="9"/>
      <c r="D233" s="9"/>
      <c r="E233" s="8"/>
      <c r="F233" s="9"/>
      <c r="G233" s="9"/>
      <c r="H233" s="9"/>
      <c r="I233" s="9"/>
    </row>
    <row r="234" customFormat="false" ht="15" hidden="false" customHeight="false" outlineLevel="0" collapsed="false">
      <c r="A234" s="9"/>
      <c r="B234" s="9"/>
      <c r="C234" s="9"/>
      <c r="D234" s="9"/>
      <c r="E234" s="8"/>
      <c r="F234" s="9"/>
      <c r="G234" s="9"/>
      <c r="H234" s="9"/>
      <c r="I234" s="9"/>
    </row>
    <row r="235" customFormat="false" ht="15" hidden="false" customHeight="false" outlineLevel="0" collapsed="false">
      <c r="A235" s="9"/>
      <c r="B235" s="9"/>
      <c r="C235" s="9"/>
      <c r="D235" s="9"/>
      <c r="E235" s="8"/>
      <c r="F235" s="9"/>
      <c r="G235" s="9"/>
      <c r="H235" s="9"/>
      <c r="I235" s="9"/>
    </row>
    <row r="236" customFormat="false" ht="15" hidden="false" customHeight="false" outlineLevel="0" collapsed="false">
      <c r="A236" s="9"/>
      <c r="B236" s="9"/>
      <c r="C236" s="9"/>
      <c r="D236" s="9"/>
      <c r="E236" s="8"/>
      <c r="F236" s="9"/>
      <c r="G236" s="9"/>
      <c r="H236" s="9"/>
      <c r="I236" s="9"/>
    </row>
    <row r="237" customFormat="false" ht="15" hidden="false" customHeight="false" outlineLevel="0" collapsed="false">
      <c r="A237" s="9"/>
      <c r="B237" s="9"/>
      <c r="C237" s="9"/>
      <c r="D237" s="9"/>
      <c r="E237" s="8"/>
      <c r="F237" s="9"/>
      <c r="G237" s="9"/>
      <c r="H237" s="9"/>
      <c r="I237" s="9"/>
    </row>
    <row r="238" customFormat="false" ht="15" hidden="false" customHeight="false" outlineLevel="0" collapsed="false">
      <c r="A238" s="9"/>
      <c r="B238" s="9"/>
      <c r="C238" s="9"/>
      <c r="D238" s="9"/>
      <c r="E238" s="8"/>
      <c r="F238" s="9"/>
      <c r="G238" s="9"/>
      <c r="H238" s="9"/>
      <c r="I238" s="9"/>
    </row>
    <row r="239" customFormat="false" ht="15" hidden="false" customHeight="false" outlineLevel="0" collapsed="false">
      <c r="A239" s="9"/>
      <c r="B239" s="9"/>
      <c r="C239" s="9"/>
      <c r="D239" s="9"/>
      <c r="E239" s="8"/>
      <c r="F239" s="9"/>
      <c r="G239" s="9"/>
      <c r="H239" s="9"/>
      <c r="I239" s="9"/>
    </row>
    <row r="240" customFormat="false" ht="15" hidden="false" customHeight="false" outlineLevel="0" collapsed="false">
      <c r="A240" s="9"/>
      <c r="B240" s="9"/>
      <c r="C240" s="9"/>
      <c r="D240" s="9"/>
      <c r="E240" s="8"/>
      <c r="F240" s="9"/>
      <c r="G240" s="9"/>
      <c r="H240" s="9"/>
      <c r="I240" s="9"/>
    </row>
    <row r="241" customFormat="false" ht="15" hidden="false" customHeight="false" outlineLevel="0" collapsed="false">
      <c r="A241" s="9"/>
      <c r="B241" s="9"/>
      <c r="C241" s="9"/>
      <c r="D241" s="9"/>
      <c r="E241" s="8"/>
      <c r="F241" s="9"/>
      <c r="G241" s="9"/>
      <c r="H241" s="9"/>
      <c r="I241" s="9"/>
    </row>
    <row r="242" customFormat="false" ht="15" hidden="false" customHeight="false" outlineLevel="0" collapsed="false">
      <c r="A242" s="9"/>
      <c r="B242" s="9"/>
      <c r="C242" s="9"/>
      <c r="D242" s="9"/>
      <c r="E242" s="8"/>
      <c r="F242" s="9"/>
      <c r="G242" s="9"/>
      <c r="H242" s="9"/>
      <c r="I242" s="9"/>
    </row>
    <row r="243" customFormat="false" ht="15" hidden="false" customHeight="false" outlineLevel="0" collapsed="false">
      <c r="A243" s="9"/>
      <c r="B243" s="9"/>
      <c r="C243" s="9"/>
      <c r="D243" s="9"/>
      <c r="E243" s="8"/>
      <c r="F243" s="9"/>
      <c r="G243" s="9"/>
      <c r="H243" s="9"/>
      <c r="I243" s="9"/>
    </row>
    <row r="244" customFormat="false" ht="15" hidden="false" customHeight="false" outlineLevel="0" collapsed="false">
      <c r="A244" s="9"/>
      <c r="B244" s="9"/>
      <c r="C244" s="9"/>
      <c r="D244" s="9"/>
      <c r="E244" s="8"/>
      <c r="F244" s="9"/>
      <c r="G244" s="9"/>
      <c r="H244" s="9"/>
      <c r="I244" s="9"/>
    </row>
    <row r="245" customFormat="false" ht="15" hidden="false" customHeight="false" outlineLevel="0" collapsed="false">
      <c r="A245" s="9"/>
      <c r="B245" s="9"/>
      <c r="C245" s="9"/>
      <c r="D245" s="9"/>
      <c r="E245" s="8"/>
      <c r="F245" s="9"/>
      <c r="G245" s="9"/>
      <c r="H245" s="9"/>
      <c r="I245" s="9"/>
    </row>
    <row r="246" customFormat="false" ht="15" hidden="false" customHeight="false" outlineLevel="0" collapsed="false">
      <c r="A246" s="9"/>
      <c r="B246" s="9"/>
      <c r="C246" s="9"/>
      <c r="D246" s="9"/>
      <c r="E246" s="8"/>
      <c r="F246" s="9"/>
      <c r="G246" s="9"/>
      <c r="H246" s="9"/>
      <c r="I246" s="9"/>
    </row>
    <row r="247" customFormat="false" ht="15" hidden="false" customHeight="false" outlineLevel="0" collapsed="false">
      <c r="A247" s="9"/>
      <c r="B247" s="9"/>
      <c r="C247" s="9"/>
      <c r="D247" s="9"/>
      <c r="E247" s="8"/>
      <c r="F247" s="9"/>
      <c r="G247" s="9"/>
      <c r="H247" s="9"/>
      <c r="I247" s="9"/>
    </row>
    <row r="248" customFormat="false" ht="15" hidden="false" customHeight="false" outlineLevel="0" collapsed="false">
      <c r="A248" s="9"/>
      <c r="B248" s="9"/>
      <c r="C248" s="9"/>
      <c r="D248" s="9"/>
      <c r="E248" s="8"/>
      <c r="F248" s="9"/>
      <c r="G248" s="9"/>
      <c r="H248" s="9"/>
      <c r="I248" s="9"/>
    </row>
    <row r="249" customFormat="false" ht="15" hidden="false" customHeight="false" outlineLevel="0" collapsed="false">
      <c r="A249" s="9"/>
      <c r="B249" s="9"/>
      <c r="C249" s="9"/>
      <c r="D249" s="9"/>
      <c r="E249" s="8"/>
      <c r="F249" s="9"/>
      <c r="G249" s="9"/>
      <c r="H249" s="9"/>
      <c r="I249" s="9"/>
    </row>
    <row r="250" customFormat="false" ht="15" hidden="false" customHeight="false" outlineLevel="0" collapsed="false">
      <c r="A250" s="9"/>
      <c r="B250" s="9"/>
      <c r="C250" s="9"/>
      <c r="D250" s="9"/>
      <c r="E250" s="8"/>
      <c r="F250" s="9"/>
      <c r="G250" s="9"/>
      <c r="H250" s="9"/>
      <c r="I250" s="9"/>
    </row>
    <row r="251" customFormat="false" ht="15" hidden="false" customHeight="false" outlineLevel="0" collapsed="false">
      <c r="A251" s="9"/>
      <c r="B251" s="9"/>
      <c r="C251" s="9"/>
      <c r="D251" s="9"/>
      <c r="E251" s="8"/>
      <c r="F251" s="9"/>
      <c r="G251" s="9"/>
      <c r="H251" s="9"/>
      <c r="I251" s="9"/>
    </row>
    <row r="252" customFormat="false" ht="15" hidden="false" customHeight="false" outlineLevel="0" collapsed="false">
      <c r="A252" s="9"/>
      <c r="B252" s="9"/>
      <c r="C252" s="9"/>
      <c r="D252" s="9"/>
      <c r="E252" s="8"/>
      <c r="F252" s="9"/>
      <c r="G252" s="9"/>
      <c r="H252" s="9"/>
      <c r="I252" s="9"/>
    </row>
    <row r="253" customFormat="false" ht="15" hidden="false" customHeight="false" outlineLevel="0" collapsed="false">
      <c r="A253" s="9"/>
      <c r="B253" s="9"/>
      <c r="C253" s="9"/>
      <c r="D253" s="9"/>
      <c r="E253" s="8"/>
      <c r="F253" s="9"/>
      <c r="G253" s="9"/>
      <c r="H253" s="9"/>
      <c r="I253" s="9"/>
    </row>
    <row r="254" customFormat="false" ht="15" hidden="false" customHeight="false" outlineLevel="0" collapsed="false">
      <c r="A254" s="9"/>
      <c r="B254" s="9"/>
      <c r="C254" s="9"/>
      <c r="D254" s="9"/>
      <c r="E254" s="8"/>
      <c r="F254" s="9"/>
      <c r="G254" s="9"/>
      <c r="H254" s="9"/>
      <c r="I254" s="9"/>
    </row>
    <row r="255" customFormat="false" ht="15" hidden="false" customHeight="false" outlineLevel="0" collapsed="false">
      <c r="A255" s="9"/>
      <c r="B255" s="9"/>
      <c r="C255" s="9"/>
      <c r="D255" s="9"/>
      <c r="E255" s="8"/>
      <c r="F255" s="9"/>
      <c r="G255" s="9"/>
      <c r="H255" s="9"/>
      <c r="I255" s="9"/>
    </row>
    <row r="256" customFormat="false" ht="15" hidden="false" customHeight="false" outlineLevel="0" collapsed="false">
      <c r="A256" s="9"/>
      <c r="B256" s="9"/>
      <c r="C256" s="9"/>
      <c r="D256" s="9"/>
      <c r="E256" s="8"/>
      <c r="F256" s="9"/>
      <c r="G256" s="9"/>
      <c r="H256" s="9"/>
      <c r="I256" s="9"/>
    </row>
    <row r="257" customFormat="false" ht="15" hidden="false" customHeight="false" outlineLevel="0" collapsed="false">
      <c r="A257" s="9"/>
      <c r="B257" s="9"/>
      <c r="C257" s="9"/>
      <c r="D257" s="9"/>
      <c r="E257" s="8"/>
      <c r="F257" s="9"/>
      <c r="G257" s="9"/>
      <c r="H257" s="9"/>
      <c r="I257" s="9"/>
    </row>
    <row r="258" customFormat="false" ht="15" hidden="false" customHeight="false" outlineLevel="0" collapsed="false">
      <c r="A258" s="9"/>
      <c r="B258" s="9"/>
      <c r="C258" s="9"/>
      <c r="D258" s="9"/>
      <c r="E258" s="8"/>
      <c r="F258" s="9"/>
      <c r="G258" s="9"/>
      <c r="H258" s="9"/>
      <c r="I258" s="9"/>
    </row>
    <row r="259" customFormat="false" ht="15" hidden="false" customHeight="false" outlineLevel="0" collapsed="false">
      <c r="A259" s="9"/>
      <c r="B259" s="9"/>
      <c r="C259" s="9"/>
      <c r="D259" s="9"/>
      <c r="E259" s="8"/>
      <c r="F259" s="9"/>
      <c r="G259" s="9"/>
      <c r="H259" s="9"/>
      <c r="I259" s="9"/>
    </row>
    <row r="260" customFormat="false" ht="15" hidden="false" customHeight="false" outlineLevel="0" collapsed="false">
      <c r="A260" s="9"/>
      <c r="B260" s="9"/>
      <c r="C260" s="9"/>
      <c r="D260" s="9"/>
      <c r="E260" s="8"/>
      <c r="F260" s="9"/>
      <c r="G260" s="9"/>
      <c r="H260" s="9"/>
      <c r="I260" s="9"/>
    </row>
    <row r="261" customFormat="false" ht="15" hidden="false" customHeight="false" outlineLevel="0" collapsed="false">
      <c r="A261" s="9"/>
      <c r="B261" s="9"/>
      <c r="C261" s="9"/>
      <c r="D261" s="9"/>
      <c r="E261" s="8"/>
      <c r="F261" s="9"/>
      <c r="G261" s="9"/>
      <c r="H261" s="9"/>
      <c r="I261" s="9"/>
    </row>
    <row r="262" customFormat="false" ht="15" hidden="false" customHeight="false" outlineLevel="0" collapsed="false">
      <c r="A262" s="9"/>
      <c r="B262" s="9"/>
      <c r="C262" s="9"/>
      <c r="D262" s="9"/>
      <c r="E262" s="8"/>
      <c r="F262" s="9"/>
      <c r="G262" s="9"/>
      <c r="H262" s="9"/>
      <c r="I262" s="9"/>
    </row>
    <row r="263" customFormat="false" ht="15" hidden="false" customHeight="false" outlineLevel="0" collapsed="false">
      <c r="A263" s="9"/>
      <c r="B263" s="9"/>
      <c r="C263" s="9"/>
      <c r="D263" s="9"/>
      <c r="E263" s="8"/>
      <c r="F263" s="9"/>
      <c r="G263" s="9"/>
      <c r="H263" s="9"/>
      <c r="I263" s="9"/>
    </row>
    <row r="264" customFormat="false" ht="15" hidden="false" customHeight="false" outlineLevel="0" collapsed="false">
      <c r="A264" s="9"/>
      <c r="B264" s="9"/>
      <c r="C264" s="9"/>
      <c r="D264" s="9"/>
      <c r="E264" s="8"/>
      <c r="F264" s="9"/>
      <c r="G264" s="9"/>
      <c r="H264" s="9"/>
      <c r="I264" s="9"/>
    </row>
    <row r="265" customFormat="false" ht="15" hidden="false" customHeight="false" outlineLevel="0" collapsed="false">
      <c r="A265" s="9"/>
      <c r="B265" s="9"/>
      <c r="C265" s="9"/>
      <c r="D265" s="9"/>
      <c r="E265" s="8"/>
      <c r="F265" s="9"/>
      <c r="G265" s="9"/>
      <c r="H265" s="9"/>
      <c r="I265" s="9"/>
    </row>
    <row r="266" customFormat="false" ht="15" hidden="false" customHeight="false" outlineLevel="0" collapsed="false">
      <c r="A266" s="9"/>
      <c r="B266" s="9"/>
      <c r="C266" s="9"/>
      <c r="D266" s="9"/>
      <c r="E266" s="8"/>
      <c r="F266" s="9"/>
      <c r="G266" s="9"/>
      <c r="H266" s="9"/>
      <c r="I266" s="9"/>
    </row>
    <row r="267" customFormat="false" ht="15" hidden="false" customHeight="false" outlineLevel="0" collapsed="false">
      <c r="A267" s="9"/>
      <c r="B267" s="9"/>
      <c r="C267" s="9"/>
      <c r="D267" s="9"/>
      <c r="E267" s="8"/>
      <c r="F267" s="9"/>
      <c r="G267" s="9"/>
      <c r="H267" s="9"/>
      <c r="I267" s="9"/>
    </row>
    <row r="268" customFormat="false" ht="15" hidden="false" customHeight="false" outlineLevel="0" collapsed="false">
      <c r="A268" s="9"/>
      <c r="B268" s="9"/>
      <c r="C268" s="9"/>
      <c r="D268" s="9"/>
      <c r="E268" s="8"/>
      <c r="F268" s="9"/>
      <c r="G268" s="9"/>
      <c r="H268" s="9"/>
      <c r="I268" s="9"/>
    </row>
    <row r="269" customFormat="false" ht="15" hidden="false" customHeight="false" outlineLevel="0" collapsed="false">
      <c r="A269" s="9"/>
      <c r="B269" s="9"/>
      <c r="C269" s="9"/>
      <c r="D269" s="9"/>
      <c r="E269" s="8"/>
      <c r="F269" s="9"/>
      <c r="G269" s="9"/>
      <c r="H269" s="9"/>
      <c r="I269" s="9"/>
    </row>
    <row r="270" customFormat="false" ht="15" hidden="false" customHeight="false" outlineLevel="0" collapsed="false">
      <c r="A270" s="9"/>
      <c r="B270" s="9"/>
      <c r="C270" s="9"/>
      <c r="D270" s="9"/>
      <c r="E270" s="8"/>
      <c r="F270" s="9"/>
      <c r="G270" s="9"/>
      <c r="H270" s="9"/>
      <c r="I270" s="9"/>
    </row>
    <row r="271" customFormat="false" ht="15" hidden="false" customHeight="false" outlineLevel="0" collapsed="false">
      <c r="A271" s="9"/>
      <c r="B271" s="9"/>
      <c r="C271" s="9"/>
      <c r="D271" s="9"/>
      <c r="E271" s="8"/>
      <c r="F271" s="9"/>
      <c r="G271" s="9"/>
      <c r="H271" s="9"/>
      <c r="I271" s="9"/>
    </row>
    <row r="272" customFormat="false" ht="15" hidden="false" customHeight="false" outlineLevel="0" collapsed="false">
      <c r="A272" s="9"/>
      <c r="B272" s="9"/>
      <c r="C272" s="9"/>
      <c r="D272" s="9"/>
      <c r="E272" s="8"/>
      <c r="F272" s="9"/>
      <c r="G272" s="9"/>
      <c r="H272" s="9"/>
      <c r="I272" s="9"/>
    </row>
    <row r="273" customFormat="false" ht="15" hidden="false" customHeight="false" outlineLevel="0" collapsed="false">
      <c r="A273" s="9"/>
      <c r="B273" s="9"/>
      <c r="C273" s="9"/>
      <c r="D273" s="9"/>
      <c r="E273" s="8"/>
      <c r="F273" s="9"/>
      <c r="G273" s="9"/>
      <c r="H273" s="9"/>
      <c r="I273" s="9"/>
    </row>
    <row r="274" customFormat="false" ht="15" hidden="false" customHeight="false" outlineLevel="0" collapsed="false">
      <c r="A274" s="9"/>
      <c r="B274" s="9"/>
      <c r="C274" s="9"/>
      <c r="D274" s="9"/>
      <c r="E274" s="8"/>
      <c r="F274" s="9"/>
      <c r="G274" s="9"/>
      <c r="H274" s="9"/>
      <c r="I274" s="9"/>
    </row>
    <row r="275" customFormat="false" ht="15" hidden="false" customHeight="false" outlineLevel="0" collapsed="false">
      <c r="A275" s="9"/>
      <c r="B275" s="9"/>
      <c r="C275" s="9"/>
      <c r="D275" s="9"/>
      <c r="E275" s="8"/>
      <c r="F275" s="9"/>
      <c r="G275" s="9"/>
      <c r="H275" s="9"/>
      <c r="I275" s="9"/>
    </row>
    <row r="276" customFormat="false" ht="15" hidden="false" customHeight="false" outlineLevel="0" collapsed="false">
      <c r="A276" s="9"/>
      <c r="B276" s="9"/>
      <c r="C276" s="9"/>
      <c r="D276" s="9"/>
      <c r="E276" s="8"/>
      <c r="F276" s="9"/>
      <c r="G276" s="9"/>
      <c r="H276" s="9"/>
      <c r="I276" s="9"/>
    </row>
    <row r="277" customFormat="false" ht="15" hidden="false" customHeight="false" outlineLevel="0" collapsed="false">
      <c r="A277" s="9"/>
      <c r="B277" s="9"/>
      <c r="C277" s="9"/>
      <c r="D277" s="9"/>
      <c r="E277" s="8"/>
      <c r="F277" s="9"/>
      <c r="G277" s="9"/>
      <c r="H277" s="9"/>
      <c r="I277" s="9"/>
    </row>
    <row r="278" customFormat="false" ht="15" hidden="false" customHeight="false" outlineLevel="0" collapsed="false">
      <c r="A278" s="9"/>
      <c r="B278" s="9"/>
      <c r="C278" s="9"/>
      <c r="D278" s="9"/>
      <c r="E278" s="8"/>
      <c r="F278" s="9"/>
      <c r="G278" s="9"/>
      <c r="H278" s="9"/>
      <c r="I278" s="9"/>
    </row>
    <row r="279" customFormat="false" ht="15" hidden="false" customHeight="false" outlineLevel="0" collapsed="false">
      <c r="A279" s="9"/>
      <c r="B279" s="9"/>
      <c r="C279" s="9"/>
      <c r="D279" s="9"/>
      <c r="E279" s="8"/>
      <c r="F279" s="9"/>
      <c r="G279" s="9"/>
      <c r="H279" s="9"/>
      <c r="I279" s="9"/>
    </row>
    <row r="280" customFormat="false" ht="15" hidden="false" customHeight="false" outlineLevel="0" collapsed="false">
      <c r="A280" s="9"/>
      <c r="B280" s="9"/>
      <c r="C280" s="9"/>
      <c r="D280" s="9"/>
      <c r="E280" s="8"/>
      <c r="F280" s="9"/>
      <c r="G280" s="9"/>
      <c r="H280" s="9"/>
      <c r="I280" s="9"/>
    </row>
    <row r="281" customFormat="false" ht="15" hidden="false" customHeight="false" outlineLevel="0" collapsed="false">
      <c r="A281" s="9"/>
      <c r="B281" s="9"/>
      <c r="C281" s="9"/>
      <c r="D281" s="9"/>
      <c r="E281" s="8"/>
      <c r="F281" s="9"/>
      <c r="G281" s="9"/>
      <c r="H281" s="9"/>
      <c r="I281" s="9"/>
    </row>
    <row r="282" customFormat="false" ht="15" hidden="false" customHeight="false" outlineLevel="0" collapsed="false">
      <c r="A282" s="9"/>
      <c r="B282" s="9"/>
      <c r="C282" s="9"/>
      <c r="D282" s="9"/>
      <c r="E282" s="8"/>
      <c r="F282" s="9"/>
      <c r="G282" s="9"/>
      <c r="H282" s="9"/>
      <c r="I282" s="9"/>
    </row>
    <row r="283" customFormat="false" ht="15" hidden="false" customHeight="false" outlineLevel="0" collapsed="false">
      <c r="A283" s="9"/>
      <c r="B283" s="9"/>
      <c r="C283" s="9"/>
      <c r="D283" s="9"/>
      <c r="E283" s="8"/>
      <c r="F283" s="9"/>
      <c r="G283" s="9"/>
      <c r="H283" s="9"/>
      <c r="I283" s="9"/>
    </row>
    <row r="284" customFormat="false" ht="15" hidden="false" customHeight="false" outlineLevel="0" collapsed="false">
      <c r="A284" s="9"/>
      <c r="B284" s="9"/>
      <c r="C284" s="9"/>
      <c r="D284" s="9"/>
      <c r="E284" s="8"/>
      <c r="F284" s="9"/>
      <c r="G284" s="9"/>
      <c r="H284" s="9"/>
      <c r="I284" s="9"/>
    </row>
    <row r="285" customFormat="false" ht="15" hidden="false" customHeight="false" outlineLevel="0" collapsed="false">
      <c r="A285" s="9"/>
      <c r="B285" s="9"/>
      <c r="C285" s="9"/>
      <c r="D285" s="9"/>
      <c r="E285" s="8"/>
      <c r="F285" s="9"/>
      <c r="G285" s="9"/>
      <c r="H285" s="9"/>
      <c r="I285" s="9"/>
    </row>
    <row r="286" customFormat="false" ht="15" hidden="false" customHeight="false" outlineLevel="0" collapsed="false">
      <c r="A286" s="9"/>
      <c r="B286" s="9"/>
      <c r="C286" s="9"/>
      <c r="D286" s="9"/>
      <c r="E286" s="8"/>
      <c r="F286" s="9"/>
      <c r="G286" s="9"/>
      <c r="H286" s="9"/>
      <c r="I286" s="9"/>
    </row>
    <row r="287" customFormat="false" ht="15" hidden="false" customHeight="false" outlineLevel="0" collapsed="false">
      <c r="A287" s="9"/>
      <c r="B287" s="9"/>
      <c r="C287" s="9"/>
      <c r="D287" s="9"/>
      <c r="E287" s="8"/>
      <c r="F287" s="9"/>
      <c r="G287" s="9"/>
      <c r="H287" s="9"/>
      <c r="I287" s="9"/>
    </row>
    <row r="288" customFormat="false" ht="15" hidden="false" customHeight="false" outlineLevel="0" collapsed="false">
      <c r="A288" s="9"/>
      <c r="B288" s="9"/>
      <c r="C288" s="9"/>
      <c r="D288" s="9"/>
      <c r="E288" s="8"/>
      <c r="F288" s="9"/>
      <c r="G288" s="9"/>
      <c r="H288" s="9"/>
      <c r="I288" s="9"/>
    </row>
    <row r="289" customFormat="false" ht="15" hidden="false" customHeight="false" outlineLevel="0" collapsed="false">
      <c r="A289" s="9"/>
      <c r="B289" s="9"/>
      <c r="C289" s="9"/>
      <c r="D289" s="9"/>
      <c r="E289" s="8"/>
      <c r="F289" s="9"/>
      <c r="G289" s="9"/>
      <c r="H289" s="9"/>
      <c r="I289" s="9"/>
    </row>
    <row r="290" customFormat="false" ht="15" hidden="false" customHeight="false" outlineLevel="0" collapsed="false">
      <c r="A290" s="9"/>
      <c r="B290" s="9"/>
      <c r="C290" s="9"/>
      <c r="D290" s="9"/>
      <c r="E290" s="8"/>
      <c r="F290" s="9"/>
      <c r="G290" s="9"/>
      <c r="H290" s="9"/>
      <c r="I290" s="9"/>
    </row>
    <row r="291" customFormat="false" ht="15" hidden="false" customHeight="false" outlineLevel="0" collapsed="false">
      <c r="A291" s="9"/>
      <c r="B291" s="9"/>
      <c r="C291" s="9"/>
      <c r="D291" s="9"/>
      <c r="E291" s="8"/>
      <c r="F291" s="9"/>
      <c r="G291" s="9"/>
      <c r="H291" s="9"/>
      <c r="I291" s="9"/>
    </row>
    <row r="292" customFormat="false" ht="15" hidden="false" customHeight="false" outlineLevel="0" collapsed="false">
      <c r="A292" s="9"/>
      <c r="B292" s="9"/>
      <c r="C292" s="9"/>
      <c r="D292" s="9"/>
      <c r="E292" s="8"/>
      <c r="F292" s="9"/>
      <c r="G292" s="9"/>
      <c r="H292" s="9"/>
      <c r="I292" s="9"/>
    </row>
    <row r="293" customFormat="false" ht="15" hidden="false" customHeight="false" outlineLevel="0" collapsed="false">
      <c r="A293" s="9"/>
      <c r="B293" s="9"/>
      <c r="C293" s="9"/>
      <c r="D293" s="9"/>
      <c r="E293" s="8"/>
      <c r="F293" s="9"/>
      <c r="G293" s="9"/>
      <c r="H293" s="9"/>
      <c r="I293" s="9"/>
    </row>
    <row r="294" customFormat="false" ht="15" hidden="false" customHeight="false" outlineLevel="0" collapsed="false">
      <c r="A294" s="9"/>
      <c r="B294" s="9"/>
      <c r="C294" s="9"/>
      <c r="D294" s="9"/>
      <c r="E294" s="8"/>
      <c r="F294" s="9"/>
      <c r="G294" s="9"/>
      <c r="H294" s="9"/>
      <c r="I294" s="9"/>
    </row>
    <row r="295" customFormat="false" ht="15" hidden="false" customHeight="false" outlineLevel="0" collapsed="false">
      <c r="A295" s="9"/>
      <c r="B295" s="9"/>
      <c r="C295" s="9"/>
      <c r="D295" s="9"/>
      <c r="E295" s="8"/>
      <c r="F295" s="9"/>
      <c r="G295" s="9"/>
      <c r="H295" s="9"/>
      <c r="I295" s="9"/>
    </row>
    <row r="296" customFormat="false" ht="15" hidden="false" customHeight="false" outlineLevel="0" collapsed="false">
      <c r="A296" s="9"/>
      <c r="B296" s="9"/>
      <c r="C296" s="9"/>
      <c r="D296" s="9"/>
      <c r="E296" s="8"/>
      <c r="F296" s="9"/>
      <c r="G296" s="9"/>
      <c r="H296" s="9"/>
      <c r="I296" s="9"/>
    </row>
    <row r="297" customFormat="false" ht="15" hidden="false" customHeight="false" outlineLevel="0" collapsed="false">
      <c r="A297" s="9"/>
      <c r="B297" s="9"/>
      <c r="C297" s="9"/>
      <c r="D297" s="9"/>
      <c r="E297" s="8"/>
      <c r="F297" s="9"/>
      <c r="G297" s="9"/>
      <c r="H297" s="9"/>
      <c r="I297" s="9"/>
    </row>
    <row r="298" customFormat="false" ht="15" hidden="false" customHeight="false" outlineLevel="0" collapsed="false">
      <c r="A298" s="9"/>
      <c r="B298" s="9"/>
      <c r="C298" s="9"/>
      <c r="D298" s="9"/>
      <c r="E298" s="8"/>
      <c r="F298" s="9"/>
      <c r="G298" s="9"/>
      <c r="H298" s="9"/>
      <c r="I298" s="9"/>
    </row>
    <row r="299" customFormat="false" ht="15" hidden="false" customHeight="false" outlineLevel="0" collapsed="false">
      <c r="A299" s="9"/>
      <c r="B299" s="9"/>
      <c r="C299" s="9"/>
      <c r="D299" s="9"/>
      <c r="E299" s="8"/>
      <c r="F299" s="9"/>
      <c r="G299" s="9"/>
      <c r="H299" s="9"/>
      <c r="I299" s="9"/>
    </row>
    <row r="300" customFormat="false" ht="15" hidden="false" customHeight="false" outlineLevel="0" collapsed="false">
      <c r="A300" s="9"/>
      <c r="B300" s="9"/>
      <c r="C300" s="9"/>
      <c r="D300" s="9"/>
      <c r="E300" s="8"/>
      <c r="F300" s="9"/>
      <c r="G300" s="9"/>
      <c r="H300" s="9"/>
      <c r="I300" s="9"/>
    </row>
    <row r="301" customFormat="false" ht="15" hidden="false" customHeight="false" outlineLevel="0" collapsed="false">
      <c r="A301" s="9"/>
      <c r="B301" s="9"/>
      <c r="C301" s="9"/>
      <c r="D301" s="9"/>
      <c r="E301" s="8"/>
      <c r="F301" s="9"/>
      <c r="G301" s="9"/>
      <c r="H301" s="9"/>
      <c r="I301" s="9"/>
    </row>
    <row r="302" customFormat="false" ht="15" hidden="false" customHeight="false" outlineLevel="0" collapsed="false">
      <c r="A302" s="9"/>
      <c r="B302" s="9"/>
      <c r="C302" s="9"/>
      <c r="D302" s="9"/>
      <c r="E302" s="8"/>
      <c r="F302" s="9"/>
      <c r="G302" s="9"/>
      <c r="H302" s="9"/>
      <c r="I302" s="9"/>
    </row>
    <row r="303" customFormat="false" ht="15" hidden="false" customHeight="false" outlineLevel="0" collapsed="false">
      <c r="A303" s="9"/>
      <c r="B303" s="9"/>
      <c r="C303" s="9"/>
      <c r="D303" s="9"/>
      <c r="E303" s="8"/>
      <c r="F303" s="9"/>
      <c r="G303" s="9"/>
      <c r="H303" s="9"/>
      <c r="I303" s="9"/>
    </row>
    <row r="304" customFormat="false" ht="15" hidden="false" customHeight="false" outlineLevel="0" collapsed="false">
      <c r="A304" s="9"/>
      <c r="B304" s="9"/>
      <c r="C304" s="9"/>
      <c r="D304" s="9"/>
      <c r="E304" s="8"/>
      <c r="F304" s="9"/>
      <c r="G304" s="9"/>
      <c r="H304" s="9"/>
      <c r="I304" s="9"/>
    </row>
    <row r="305" customFormat="false" ht="15" hidden="false" customHeight="false" outlineLevel="0" collapsed="false">
      <c r="A305" s="9"/>
      <c r="B305" s="9"/>
      <c r="C305" s="9"/>
      <c r="D305" s="9"/>
      <c r="E305" s="8"/>
      <c r="F305" s="9"/>
      <c r="G305" s="9"/>
      <c r="H305" s="9"/>
      <c r="I305" s="9"/>
    </row>
    <row r="306" customFormat="false" ht="15" hidden="false" customHeight="false" outlineLevel="0" collapsed="false">
      <c r="A306" s="9"/>
      <c r="B306" s="9"/>
      <c r="C306" s="9"/>
      <c r="D306" s="9"/>
      <c r="E306" s="8"/>
      <c r="F306" s="9"/>
      <c r="G306" s="9"/>
      <c r="H306" s="9"/>
      <c r="I306" s="9"/>
    </row>
    <row r="307" customFormat="false" ht="15" hidden="false" customHeight="false" outlineLevel="0" collapsed="false">
      <c r="A307" s="9"/>
      <c r="B307" s="9"/>
      <c r="C307" s="9"/>
      <c r="D307" s="9"/>
      <c r="E307" s="8"/>
      <c r="F307" s="9"/>
      <c r="G307" s="9"/>
      <c r="H307" s="9"/>
      <c r="I307" s="9"/>
    </row>
    <row r="308" customFormat="false" ht="15" hidden="false" customHeight="false" outlineLevel="0" collapsed="false">
      <c r="A308" s="9"/>
      <c r="B308" s="9"/>
      <c r="C308" s="9"/>
      <c r="D308" s="9"/>
      <c r="E308" s="8"/>
      <c r="F308" s="9"/>
      <c r="G308" s="9"/>
      <c r="H308" s="9"/>
      <c r="I308" s="9"/>
    </row>
    <row r="309" customFormat="false" ht="15" hidden="false" customHeight="false" outlineLevel="0" collapsed="false">
      <c r="A309" s="9"/>
      <c r="B309" s="9"/>
      <c r="C309" s="9"/>
      <c r="D309" s="9"/>
      <c r="E309" s="8"/>
      <c r="F309" s="9"/>
      <c r="G309" s="9"/>
      <c r="H309" s="9"/>
      <c r="I309" s="9"/>
    </row>
    <row r="310" customFormat="false" ht="15" hidden="false" customHeight="false" outlineLevel="0" collapsed="false">
      <c r="A310" s="9"/>
      <c r="B310" s="9"/>
      <c r="C310" s="9"/>
      <c r="D310" s="9"/>
      <c r="E310" s="8"/>
      <c r="F310" s="9"/>
      <c r="G310" s="9"/>
      <c r="H310" s="9"/>
      <c r="I310" s="9"/>
    </row>
    <row r="311" customFormat="false" ht="15" hidden="false" customHeight="false" outlineLevel="0" collapsed="false">
      <c r="A311" s="9"/>
      <c r="B311" s="9"/>
      <c r="C311" s="9"/>
      <c r="D311" s="9"/>
      <c r="E311" s="8"/>
      <c r="F311" s="9"/>
      <c r="G311" s="9"/>
      <c r="H311" s="9"/>
      <c r="I311" s="9"/>
    </row>
    <row r="312" customFormat="false" ht="15" hidden="false" customHeight="false" outlineLevel="0" collapsed="false">
      <c r="A312" s="9"/>
      <c r="B312" s="9"/>
      <c r="C312" s="9"/>
      <c r="D312" s="9"/>
      <c r="E312" s="8"/>
      <c r="F312" s="9"/>
      <c r="G312" s="9"/>
      <c r="H312" s="9"/>
      <c r="I312" s="9"/>
    </row>
    <row r="313" customFormat="false" ht="15" hidden="false" customHeight="false" outlineLevel="0" collapsed="false">
      <c r="A313" s="9"/>
      <c r="B313" s="9"/>
      <c r="C313" s="9"/>
      <c r="D313" s="9"/>
      <c r="E313" s="8"/>
      <c r="F313" s="9"/>
      <c r="G313" s="9"/>
      <c r="H313" s="9"/>
      <c r="I313" s="9"/>
    </row>
    <row r="314" customFormat="false" ht="15" hidden="false" customHeight="false" outlineLevel="0" collapsed="false">
      <c r="A314" s="9"/>
      <c r="B314" s="9"/>
      <c r="C314" s="9"/>
      <c r="D314" s="9"/>
      <c r="E314" s="8"/>
      <c r="F314" s="9"/>
      <c r="G314" s="9"/>
      <c r="H314" s="9"/>
      <c r="I314" s="9"/>
    </row>
    <row r="315" customFormat="false" ht="15" hidden="false" customHeight="false" outlineLevel="0" collapsed="false">
      <c r="A315" s="9"/>
      <c r="B315" s="9"/>
      <c r="C315" s="9"/>
      <c r="D315" s="9"/>
      <c r="E315" s="8"/>
      <c r="F315" s="9"/>
      <c r="G315" s="9"/>
      <c r="H315" s="9"/>
      <c r="I315" s="9"/>
    </row>
    <row r="316" customFormat="false" ht="15" hidden="false" customHeight="false" outlineLevel="0" collapsed="false">
      <c r="A316" s="9"/>
      <c r="B316" s="9"/>
      <c r="C316" s="9"/>
      <c r="D316" s="9"/>
      <c r="E316" s="8"/>
      <c r="F316" s="9"/>
      <c r="G316" s="9"/>
      <c r="H316" s="9"/>
      <c r="I316" s="9"/>
    </row>
    <row r="317" customFormat="false" ht="15" hidden="false" customHeight="false" outlineLevel="0" collapsed="false">
      <c r="A317" s="9"/>
      <c r="B317" s="9"/>
      <c r="C317" s="9"/>
      <c r="D317" s="9"/>
      <c r="E317" s="8"/>
      <c r="F317" s="9"/>
      <c r="G317" s="9"/>
      <c r="H317" s="9"/>
      <c r="I317" s="9"/>
    </row>
    <row r="318" customFormat="false" ht="15" hidden="false" customHeight="false" outlineLevel="0" collapsed="false">
      <c r="A318" s="9"/>
      <c r="B318" s="9"/>
      <c r="C318" s="9"/>
      <c r="D318" s="9"/>
      <c r="E318" s="8"/>
      <c r="F318" s="9"/>
      <c r="G318" s="9"/>
      <c r="H318" s="9"/>
      <c r="I318" s="9"/>
    </row>
    <row r="319" customFormat="false" ht="15" hidden="false" customHeight="false" outlineLevel="0" collapsed="false">
      <c r="A319" s="9"/>
      <c r="B319" s="9"/>
      <c r="C319" s="9"/>
      <c r="D319" s="9"/>
      <c r="E319" s="8"/>
      <c r="F319" s="9"/>
      <c r="G319" s="9"/>
      <c r="H319" s="9"/>
      <c r="I319" s="9"/>
    </row>
    <row r="320" customFormat="false" ht="15" hidden="false" customHeight="false" outlineLevel="0" collapsed="false">
      <c r="A320" s="9"/>
      <c r="B320" s="9"/>
      <c r="C320" s="9"/>
      <c r="D320" s="9"/>
      <c r="E320" s="8"/>
      <c r="F320" s="9"/>
      <c r="G320" s="9"/>
      <c r="H320" s="9"/>
      <c r="I320" s="9"/>
    </row>
    <row r="321" customFormat="false" ht="15" hidden="false" customHeight="false" outlineLevel="0" collapsed="false">
      <c r="A321" s="9"/>
      <c r="B321" s="9"/>
      <c r="C321" s="9"/>
      <c r="D321" s="9"/>
      <c r="E321" s="8"/>
      <c r="F321" s="9"/>
      <c r="G321" s="9"/>
      <c r="H321" s="9"/>
      <c r="I321" s="9"/>
    </row>
    <row r="322" customFormat="false" ht="15" hidden="false" customHeight="false" outlineLevel="0" collapsed="false">
      <c r="A322" s="9"/>
      <c r="B322" s="9"/>
      <c r="C322" s="9"/>
      <c r="D322" s="9"/>
      <c r="E322" s="8"/>
      <c r="F322" s="9"/>
      <c r="G322" s="9"/>
      <c r="H322" s="9"/>
      <c r="I322" s="9"/>
    </row>
    <row r="323" customFormat="false" ht="15" hidden="false" customHeight="false" outlineLevel="0" collapsed="false">
      <c r="A323" s="9"/>
      <c r="B323" s="9"/>
      <c r="C323" s="9"/>
      <c r="D323" s="9"/>
      <c r="E323" s="8"/>
      <c r="F323" s="9"/>
      <c r="G323" s="9"/>
      <c r="H323" s="9"/>
      <c r="I323" s="9"/>
    </row>
    <row r="324" customFormat="false" ht="15" hidden="false" customHeight="false" outlineLevel="0" collapsed="false">
      <c r="A324" s="9"/>
      <c r="B324" s="9"/>
      <c r="C324" s="9"/>
      <c r="D324" s="9"/>
      <c r="E324" s="8"/>
      <c r="F324" s="9"/>
      <c r="G324" s="9"/>
      <c r="H324" s="9"/>
      <c r="I324" s="9"/>
    </row>
    <row r="325" customFormat="false" ht="15" hidden="false" customHeight="false" outlineLevel="0" collapsed="false">
      <c r="A325" s="9"/>
      <c r="B325" s="9"/>
      <c r="C325" s="9"/>
      <c r="D325" s="9"/>
      <c r="E325" s="8"/>
      <c r="F325" s="9"/>
      <c r="G325" s="9"/>
      <c r="H325" s="9"/>
      <c r="I325" s="9"/>
    </row>
    <row r="326" customFormat="false" ht="15" hidden="false" customHeight="false" outlineLevel="0" collapsed="false">
      <c r="A326" s="9"/>
      <c r="B326" s="9"/>
      <c r="C326" s="9"/>
      <c r="D326" s="9"/>
      <c r="E326" s="8"/>
      <c r="F326" s="9"/>
      <c r="G326" s="9"/>
      <c r="H326" s="9"/>
      <c r="I326" s="9"/>
    </row>
    <row r="327" customFormat="false" ht="15" hidden="false" customHeight="false" outlineLevel="0" collapsed="false">
      <c r="A327" s="9"/>
      <c r="B327" s="9"/>
      <c r="C327" s="9"/>
      <c r="D327" s="9"/>
      <c r="E327" s="8"/>
      <c r="F327" s="9"/>
      <c r="G327" s="9"/>
      <c r="H327" s="9"/>
      <c r="I327" s="9"/>
    </row>
    <row r="328" customFormat="false" ht="15" hidden="false" customHeight="false" outlineLevel="0" collapsed="false">
      <c r="A328" s="9"/>
      <c r="B328" s="9"/>
      <c r="C328" s="9"/>
      <c r="D328" s="9"/>
      <c r="E328" s="8"/>
      <c r="F328" s="9"/>
      <c r="G328" s="9"/>
      <c r="H328" s="9"/>
      <c r="I328" s="9"/>
    </row>
    <row r="329" customFormat="false" ht="15" hidden="false" customHeight="false" outlineLevel="0" collapsed="false">
      <c r="A329" s="9"/>
      <c r="B329" s="9"/>
      <c r="C329" s="9"/>
      <c r="D329" s="9"/>
      <c r="E329" s="8"/>
      <c r="F329" s="9"/>
      <c r="G329" s="9"/>
      <c r="H329" s="9"/>
      <c r="I329" s="9"/>
    </row>
    <row r="330" customFormat="false" ht="15" hidden="false" customHeight="false" outlineLevel="0" collapsed="false">
      <c r="A330" s="9"/>
      <c r="B330" s="9"/>
      <c r="C330" s="9"/>
      <c r="D330" s="9"/>
      <c r="E330" s="8"/>
      <c r="F330" s="9"/>
      <c r="G330" s="9"/>
      <c r="H330" s="9"/>
      <c r="I330" s="9"/>
    </row>
    <row r="331" customFormat="false" ht="15" hidden="false" customHeight="false" outlineLevel="0" collapsed="false">
      <c r="A331" s="9"/>
      <c r="B331" s="9"/>
      <c r="C331" s="9"/>
      <c r="D331" s="9"/>
      <c r="E331" s="8"/>
      <c r="F331" s="9"/>
      <c r="G331" s="9"/>
      <c r="H331" s="9"/>
      <c r="I331" s="9"/>
    </row>
    <row r="332" customFormat="false" ht="15" hidden="false" customHeight="false" outlineLevel="0" collapsed="false">
      <c r="A332" s="9"/>
      <c r="B332" s="9"/>
      <c r="C332" s="9"/>
      <c r="D332" s="9"/>
      <c r="E332" s="8"/>
      <c r="F332" s="9"/>
      <c r="G332" s="9"/>
      <c r="H332" s="9"/>
      <c r="I332" s="9"/>
    </row>
    <row r="333" customFormat="false" ht="15" hidden="false" customHeight="false" outlineLevel="0" collapsed="false">
      <c r="A333" s="9"/>
      <c r="B333" s="9"/>
      <c r="C333" s="9"/>
      <c r="D333" s="9"/>
      <c r="E333" s="8"/>
      <c r="F333" s="9"/>
      <c r="G333" s="9"/>
      <c r="H333" s="9"/>
      <c r="I333" s="9"/>
    </row>
    <row r="334" customFormat="false" ht="15" hidden="false" customHeight="false" outlineLevel="0" collapsed="false">
      <c r="A334" s="9"/>
      <c r="B334" s="9"/>
      <c r="C334" s="9"/>
      <c r="D334" s="9"/>
      <c r="E334" s="8"/>
      <c r="F334" s="9"/>
      <c r="G334" s="9"/>
      <c r="H334" s="9"/>
      <c r="I334" s="9"/>
    </row>
    <row r="335" customFormat="false" ht="15" hidden="false" customHeight="false" outlineLevel="0" collapsed="false">
      <c r="A335" s="9"/>
      <c r="B335" s="9"/>
      <c r="C335" s="9"/>
      <c r="D335" s="9"/>
      <c r="E335" s="8"/>
      <c r="F335" s="9"/>
      <c r="G335" s="9"/>
      <c r="H335" s="9"/>
      <c r="I335" s="9"/>
    </row>
    <row r="336" customFormat="false" ht="15" hidden="false" customHeight="false" outlineLevel="0" collapsed="false">
      <c r="A336" s="9"/>
      <c r="B336" s="9"/>
      <c r="C336" s="9"/>
      <c r="D336" s="9"/>
      <c r="E336" s="8"/>
      <c r="F336" s="9"/>
      <c r="G336" s="9"/>
      <c r="H336" s="9"/>
      <c r="I336" s="9"/>
    </row>
    <row r="337" customFormat="false" ht="15" hidden="false" customHeight="false" outlineLevel="0" collapsed="false">
      <c r="A337" s="9"/>
      <c r="B337" s="9"/>
      <c r="C337" s="9"/>
      <c r="D337" s="9"/>
      <c r="E337" s="8"/>
      <c r="F337" s="9"/>
      <c r="G337" s="9"/>
      <c r="H337" s="9"/>
      <c r="I337" s="9"/>
    </row>
    <row r="338" customFormat="false" ht="15" hidden="false" customHeight="false" outlineLevel="0" collapsed="false">
      <c r="A338" s="9"/>
      <c r="B338" s="9"/>
      <c r="C338" s="9"/>
      <c r="D338" s="9"/>
      <c r="E338" s="8"/>
      <c r="F338" s="9"/>
      <c r="G338" s="9"/>
      <c r="H338" s="9"/>
      <c r="I338" s="9"/>
    </row>
    <row r="339" customFormat="false" ht="15" hidden="false" customHeight="false" outlineLevel="0" collapsed="false">
      <c r="A339" s="9"/>
      <c r="B339" s="9"/>
      <c r="C339" s="9"/>
      <c r="D339" s="9"/>
      <c r="E339" s="8"/>
      <c r="F339" s="9"/>
      <c r="G339" s="9"/>
      <c r="H339" s="9"/>
      <c r="I339" s="9"/>
    </row>
    <row r="340" customFormat="false" ht="15" hidden="false" customHeight="false" outlineLevel="0" collapsed="false">
      <c r="A340" s="9"/>
      <c r="B340" s="9"/>
      <c r="C340" s="9"/>
      <c r="D340" s="9"/>
      <c r="E340" s="8"/>
      <c r="F340" s="9"/>
      <c r="G340" s="9"/>
      <c r="H340" s="9"/>
      <c r="I340" s="9"/>
    </row>
    <row r="341" customFormat="false" ht="15" hidden="false" customHeight="false" outlineLevel="0" collapsed="false">
      <c r="A341" s="9"/>
      <c r="B341" s="9"/>
      <c r="C341" s="9"/>
      <c r="D341" s="9"/>
      <c r="E341" s="8"/>
      <c r="F341" s="9"/>
      <c r="G341" s="9"/>
      <c r="H341" s="9"/>
      <c r="I341" s="9"/>
    </row>
    <row r="342" customFormat="false" ht="15" hidden="false" customHeight="false" outlineLevel="0" collapsed="false">
      <c r="A342" s="9"/>
      <c r="B342" s="9"/>
      <c r="C342" s="9"/>
      <c r="D342" s="9"/>
      <c r="E342" s="8"/>
      <c r="F342" s="9"/>
      <c r="G342" s="9"/>
      <c r="H342" s="9"/>
      <c r="I342" s="9"/>
    </row>
    <row r="343" customFormat="false" ht="15" hidden="false" customHeight="false" outlineLevel="0" collapsed="false">
      <c r="A343" s="9"/>
      <c r="B343" s="9"/>
      <c r="C343" s="9"/>
      <c r="D343" s="9"/>
      <c r="E343" s="8"/>
      <c r="F343" s="9"/>
      <c r="G343" s="9"/>
      <c r="H343" s="9"/>
      <c r="I343" s="9"/>
    </row>
    <row r="344" customFormat="false" ht="15" hidden="false" customHeight="false" outlineLevel="0" collapsed="false">
      <c r="A344" s="9"/>
      <c r="B344" s="9"/>
      <c r="C344" s="9"/>
      <c r="D344" s="9"/>
      <c r="E344" s="8"/>
      <c r="F344" s="9"/>
      <c r="G344" s="9"/>
      <c r="H344" s="9"/>
      <c r="I344" s="9"/>
    </row>
    <row r="345" customFormat="false" ht="15" hidden="false" customHeight="false" outlineLevel="0" collapsed="false">
      <c r="A345" s="9"/>
      <c r="B345" s="9"/>
      <c r="C345" s="9"/>
      <c r="D345" s="9"/>
      <c r="E345" s="8"/>
      <c r="F345" s="9"/>
      <c r="G345" s="9"/>
      <c r="H345" s="9"/>
      <c r="I345" s="9"/>
    </row>
    <row r="346" customFormat="false" ht="15" hidden="false" customHeight="false" outlineLevel="0" collapsed="false">
      <c r="A346" s="9"/>
      <c r="B346" s="9"/>
      <c r="C346" s="9"/>
      <c r="D346" s="9"/>
      <c r="E346" s="8"/>
      <c r="F346" s="9"/>
      <c r="G346" s="9"/>
      <c r="H346" s="9"/>
      <c r="I346" s="9"/>
    </row>
    <row r="347" customFormat="false" ht="15" hidden="false" customHeight="false" outlineLevel="0" collapsed="false">
      <c r="A347" s="9"/>
      <c r="B347" s="9"/>
      <c r="C347" s="9"/>
      <c r="D347" s="9"/>
      <c r="E347" s="8"/>
      <c r="F347" s="9"/>
      <c r="G347" s="9"/>
      <c r="H347" s="9"/>
      <c r="I347" s="9"/>
    </row>
    <row r="348" customFormat="false" ht="15" hidden="false" customHeight="false" outlineLevel="0" collapsed="false">
      <c r="A348" s="9"/>
      <c r="B348" s="9"/>
      <c r="C348" s="9"/>
      <c r="D348" s="9"/>
      <c r="E348" s="8"/>
      <c r="F348" s="9"/>
      <c r="G348" s="9"/>
      <c r="H348" s="9"/>
      <c r="I348" s="9"/>
    </row>
    <row r="349" customFormat="false" ht="15" hidden="false" customHeight="false" outlineLevel="0" collapsed="false">
      <c r="A349" s="9"/>
      <c r="B349" s="9"/>
      <c r="C349" s="9"/>
      <c r="D349" s="9"/>
      <c r="E349" s="8"/>
      <c r="F349" s="9"/>
      <c r="G349" s="9"/>
      <c r="H349" s="9"/>
      <c r="I349" s="9"/>
    </row>
    <row r="350" customFormat="false" ht="15" hidden="false" customHeight="false" outlineLevel="0" collapsed="false">
      <c r="A350" s="9"/>
      <c r="B350" s="9"/>
      <c r="C350" s="9"/>
      <c r="D350" s="9"/>
      <c r="E350" s="8"/>
      <c r="F350" s="9"/>
      <c r="G350" s="9"/>
      <c r="H350" s="9"/>
      <c r="I350" s="9"/>
    </row>
    <row r="351" customFormat="false" ht="15" hidden="false" customHeight="false" outlineLevel="0" collapsed="false">
      <c r="A351" s="9"/>
      <c r="B351" s="9"/>
      <c r="C351" s="9"/>
      <c r="D351" s="9"/>
      <c r="E351" s="8"/>
      <c r="F351" s="9"/>
      <c r="G351" s="9"/>
      <c r="H351" s="9"/>
      <c r="I351" s="9"/>
    </row>
    <row r="352" customFormat="false" ht="15" hidden="false" customHeight="false" outlineLevel="0" collapsed="false">
      <c r="A352" s="9"/>
      <c r="B352" s="9"/>
      <c r="C352" s="9"/>
      <c r="D352" s="9"/>
      <c r="E352" s="8"/>
      <c r="F352" s="9"/>
      <c r="G352" s="9"/>
      <c r="H352" s="9"/>
      <c r="I352" s="9"/>
    </row>
    <row r="353" customFormat="false" ht="15" hidden="false" customHeight="false" outlineLevel="0" collapsed="false">
      <c r="A353" s="9"/>
      <c r="B353" s="9"/>
      <c r="C353" s="9"/>
      <c r="D353" s="9"/>
      <c r="E353" s="8"/>
      <c r="F353" s="9"/>
      <c r="G353" s="9"/>
      <c r="H353" s="9"/>
      <c r="I353" s="9"/>
    </row>
    <row r="354" customFormat="false" ht="15" hidden="false" customHeight="false" outlineLevel="0" collapsed="false">
      <c r="A354" s="9"/>
      <c r="B354" s="9"/>
      <c r="C354" s="9"/>
      <c r="D354" s="9"/>
      <c r="E354" s="8"/>
      <c r="F354" s="9"/>
      <c r="G354" s="9"/>
      <c r="H354" s="9"/>
      <c r="I354" s="9"/>
    </row>
    <row r="355" customFormat="false" ht="15" hidden="false" customHeight="false" outlineLevel="0" collapsed="false">
      <c r="A355" s="9"/>
      <c r="B355" s="9"/>
      <c r="C355" s="9"/>
      <c r="D355" s="9"/>
      <c r="E355" s="8"/>
      <c r="F355" s="9"/>
      <c r="G355" s="9"/>
      <c r="H355" s="9"/>
      <c r="I355" s="9"/>
    </row>
    <row r="356" customFormat="false" ht="15" hidden="false" customHeight="false" outlineLevel="0" collapsed="false">
      <c r="A356" s="9"/>
      <c r="B356" s="9"/>
      <c r="C356" s="9"/>
      <c r="D356" s="9"/>
      <c r="E356" s="8"/>
      <c r="F356" s="9"/>
      <c r="G356" s="9"/>
      <c r="H356" s="9"/>
      <c r="I356" s="9"/>
    </row>
    <row r="357" customFormat="false" ht="15" hidden="false" customHeight="false" outlineLevel="0" collapsed="false">
      <c r="A357" s="9"/>
      <c r="B357" s="9"/>
      <c r="C357" s="9"/>
      <c r="D357" s="9"/>
      <c r="E357" s="8"/>
      <c r="F357" s="9"/>
      <c r="G357" s="9"/>
      <c r="H357" s="9"/>
      <c r="I357" s="9"/>
    </row>
    <row r="358" customFormat="false" ht="15" hidden="false" customHeight="false" outlineLevel="0" collapsed="false">
      <c r="A358" s="9"/>
      <c r="B358" s="9"/>
      <c r="C358" s="9"/>
      <c r="D358" s="9"/>
      <c r="E358" s="8"/>
      <c r="F358" s="9"/>
      <c r="G358" s="9"/>
      <c r="H358" s="9"/>
      <c r="I358" s="9"/>
    </row>
    <row r="359" customFormat="false" ht="15" hidden="false" customHeight="false" outlineLevel="0" collapsed="false">
      <c r="A359" s="9"/>
      <c r="B359" s="9"/>
      <c r="C359" s="9"/>
      <c r="D359" s="9"/>
      <c r="E359" s="8"/>
      <c r="F359" s="9"/>
      <c r="G359" s="9"/>
      <c r="H359" s="9"/>
      <c r="I359" s="9"/>
    </row>
    <row r="360" customFormat="false" ht="15" hidden="false" customHeight="false" outlineLevel="0" collapsed="false">
      <c r="A360" s="9"/>
      <c r="B360" s="9"/>
      <c r="C360" s="9"/>
      <c r="D360" s="9"/>
      <c r="E360" s="8"/>
      <c r="F360" s="9"/>
      <c r="G360" s="9"/>
      <c r="H360" s="9"/>
      <c r="I360" s="9"/>
    </row>
    <row r="361" customFormat="false" ht="15" hidden="false" customHeight="false" outlineLevel="0" collapsed="false">
      <c r="A361" s="9"/>
      <c r="B361" s="9"/>
      <c r="C361" s="9"/>
      <c r="D361" s="9"/>
      <c r="E361" s="8"/>
      <c r="F361" s="9"/>
      <c r="G361" s="9"/>
      <c r="H361" s="9"/>
      <c r="I361" s="9"/>
    </row>
    <row r="362" customFormat="false" ht="15" hidden="false" customHeight="false" outlineLevel="0" collapsed="false">
      <c r="A362" s="9"/>
      <c r="B362" s="9"/>
      <c r="C362" s="9"/>
      <c r="D362" s="9"/>
      <c r="E362" s="8"/>
      <c r="F362" s="9"/>
      <c r="G362" s="9"/>
      <c r="H362" s="9"/>
      <c r="I362" s="9"/>
    </row>
    <row r="363" customFormat="false" ht="15" hidden="false" customHeight="false" outlineLevel="0" collapsed="false">
      <c r="A363" s="9"/>
      <c r="B363" s="9"/>
      <c r="C363" s="9"/>
      <c r="D363" s="9"/>
      <c r="E363" s="8"/>
      <c r="F363" s="9"/>
      <c r="G363" s="9"/>
      <c r="H363" s="9"/>
      <c r="I363" s="9"/>
    </row>
    <row r="364" customFormat="false" ht="15" hidden="false" customHeight="false" outlineLevel="0" collapsed="false">
      <c r="A364" s="9"/>
      <c r="B364" s="9"/>
      <c r="C364" s="9"/>
      <c r="D364" s="9"/>
      <c r="E364" s="8"/>
      <c r="F364" s="9"/>
      <c r="G364" s="9"/>
      <c r="H364" s="9"/>
      <c r="I364" s="9"/>
    </row>
    <row r="365" customFormat="false" ht="15" hidden="false" customHeight="false" outlineLevel="0" collapsed="false">
      <c r="A365" s="9"/>
      <c r="B365" s="9"/>
      <c r="C365" s="9"/>
      <c r="D365" s="9"/>
      <c r="E365" s="8"/>
      <c r="F365" s="9"/>
      <c r="G365" s="9"/>
      <c r="H365" s="9"/>
      <c r="I365" s="9"/>
    </row>
    <row r="366" customFormat="false" ht="15" hidden="false" customHeight="false" outlineLevel="0" collapsed="false">
      <c r="A366" s="9"/>
      <c r="B366" s="9"/>
      <c r="C366" s="9"/>
      <c r="D366" s="9"/>
      <c r="E366" s="8"/>
      <c r="F366" s="9"/>
      <c r="G366" s="9"/>
      <c r="H366" s="9"/>
      <c r="I366" s="9"/>
    </row>
    <row r="367" customFormat="false" ht="15" hidden="false" customHeight="false" outlineLevel="0" collapsed="false">
      <c r="A367" s="9"/>
      <c r="B367" s="9"/>
      <c r="C367" s="9"/>
      <c r="D367" s="9"/>
      <c r="E367" s="8"/>
      <c r="F367" s="9"/>
      <c r="G367" s="9"/>
      <c r="H367" s="9"/>
      <c r="I367" s="9"/>
    </row>
    <row r="368" customFormat="false" ht="15" hidden="false" customHeight="false" outlineLevel="0" collapsed="false">
      <c r="A368" s="9"/>
      <c r="B368" s="9"/>
      <c r="C368" s="9"/>
      <c r="D368" s="9"/>
      <c r="E368" s="8"/>
      <c r="F368" s="9"/>
      <c r="G368" s="9"/>
      <c r="H368" s="9"/>
      <c r="I368" s="9"/>
    </row>
    <row r="369" customFormat="false" ht="15" hidden="false" customHeight="false" outlineLevel="0" collapsed="false">
      <c r="A369" s="9"/>
      <c r="B369" s="9"/>
      <c r="C369" s="9"/>
      <c r="D369" s="9"/>
      <c r="E369" s="8"/>
      <c r="F369" s="9"/>
      <c r="G369" s="9"/>
      <c r="H369" s="9"/>
      <c r="I369" s="9"/>
    </row>
    <row r="370" customFormat="false" ht="15" hidden="false" customHeight="false" outlineLevel="0" collapsed="false">
      <c r="A370" s="9"/>
      <c r="B370" s="9"/>
      <c r="C370" s="9"/>
      <c r="D370" s="9"/>
      <c r="E370" s="8"/>
      <c r="F370" s="9"/>
      <c r="G370" s="9"/>
      <c r="H370" s="9"/>
      <c r="I370" s="9"/>
    </row>
    <row r="371" customFormat="false" ht="15" hidden="false" customHeight="false" outlineLevel="0" collapsed="false">
      <c r="A371" s="9"/>
      <c r="B371" s="9"/>
      <c r="C371" s="9"/>
      <c r="D371" s="9"/>
      <c r="E371" s="8"/>
      <c r="F371" s="9"/>
      <c r="G371" s="9"/>
      <c r="H371" s="9"/>
      <c r="I371" s="9"/>
    </row>
    <row r="372" customFormat="false" ht="15" hidden="false" customHeight="false" outlineLevel="0" collapsed="false">
      <c r="A372" s="9"/>
      <c r="B372" s="9"/>
      <c r="C372" s="9"/>
      <c r="D372" s="9"/>
      <c r="E372" s="8"/>
      <c r="F372" s="9"/>
      <c r="G372" s="9"/>
      <c r="H372" s="9"/>
      <c r="I372" s="9"/>
    </row>
    <row r="373" customFormat="false" ht="15" hidden="false" customHeight="false" outlineLevel="0" collapsed="false">
      <c r="A373" s="9"/>
      <c r="B373" s="9"/>
      <c r="C373" s="9"/>
      <c r="D373" s="9"/>
      <c r="E373" s="8"/>
      <c r="F373" s="9"/>
      <c r="G373" s="9"/>
      <c r="H373" s="9"/>
      <c r="I373" s="9"/>
    </row>
    <row r="374" customFormat="false" ht="15" hidden="false" customHeight="false" outlineLevel="0" collapsed="false">
      <c r="A374" s="9"/>
      <c r="B374" s="9"/>
      <c r="C374" s="9"/>
      <c r="D374" s="9"/>
      <c r="E374" s="8"/>
      <c r="F374" s="9"/>
      <c r="G374" s="9"/>
      <c r="H374" s="9"/>
      <c r="I374" s="9"/>
    </row>
    <row r="375" customFormat="false" ht="15" hidden="false" customHeight="false" outlineLevel="0" collapsed="false">
      <c r="A375" s="9"/>
      <c r="B375" s="9"/>
      <c r="C375" s="9"/>
      <c r="D375" s="9"/>
      <c r="E375" s="8"/>
      <c r="F375" s="9"/>
      <c r="G375" s="9"/>
      <c r="H375" s="9"/>
      <c r="I375" s="9"/>
    </row>
    <row r="376" customFormat="false" ht="15" hidden="false" customHeight="false" outlineLevel="0" collapsed="false">
      <c r="A376" s="9"/>
      <c r="B376" s="9"/>
      <c r="C376" s="9"/>
      <c r="D376" s="9"/>
      <c r="E376" s="8"/>
      <c r="F376" s="9"/>
      <c r="G376" s="9"/>
      <c r="H376" s="9"/>
      <c r="I376" s="9"/>
    </row>
    <row r="377" customFormat="false" ht="15" hidden="false" customHeight="false" outlineLevel="0" collapsed="false">
      <c r="A377" s="9"/>
      <c r="B377" s="9"/>
      <c r="C377" s="9"/>
      <c r="D377" s="9"/>
      <c r="E377" s="8"/>
      <c r="F377" s="9"/>
      <c r="G377" s="9"/>
      <c r="H377" s="9"/>
      <c r="I377" s="9"/>
    </row>
    <row r="378" customFormat="false" ht="15" hidden="false" customHeight="false" outlineLevel="0" collapsed="false">
      <c r="A378" s="9"/>
      <c r="B378" s="9"/>
      <c r="C378" s="9"/>
      <c r="D378" s="9"/>
      <c r="E378" s="8"/>
      <c r="F378" s="9"/>
      <c r="G378" s="9"/>
      <c r="H378" s="9"/>
      <c r="I378" s="9"/>
    </row>
    <row r="379" customFormat="false" ht="15" hidden="false" customHeight="false" outlineLevel="0" collapsed="false">
      <c r="A379" s="9"/>
      <c r="B379" s="9"/>
      <c r="C379" s="9"/>
      <c r="D379" s="9"/>
      <c r="E379" s="8"/>
      <c r="F379" s="9"/>
      <c r="G379" s="9"/>
      <c r="H379" s="9"/>
      <c r="I379" s="9"/>
    </row>
    <row r="380" customFormat="false" ht="15" hidden="false" customHeight="false" outlineLevel="0" collapsed="false">
      <c r="A380" s="9"/>
      <c r="B380" s="9"/>
      <c r="C380" s="9"/>
      <c r="D380" s="9"/>
      <c r="E380" s="8"/>
      <c r="F380" s="9"/>
      <c r="G380" s="9"/>
      <c r="H380" s="9"/>
      <c r="I380" s="9"/>
    </row>
    <row r="381" customFormat="false" ht="15" hidden="false" customHeight="false" outlineLevel="0" collapsed="false">
      <c r="A381" s="9"/>
      <c r="B381" s="9"/>
      <c r="C381" s="9"/>
      <c r="D381" s="9"/>
      <c r="E381" s="8"/>
      <c r="F381" s="9"/>
      <c r="G381" s="9"/>
      <c r="H381" s="9"/>
      <c r="I381" s="9"/>
    </row>
    <row r="382" customFormat="false" ht="15" hidden="false" customHeight="false" outlineLevel="0" collapsed="false">
      <c r="A382" s="9"/>
      <c r="B382" s="9"/>
      <c r="C382" s="9"/>
      <c r="D382" s="9"/>
      <c r="E382" s="8"/>
      <c r="F382" s="9"/>
      <c r="G382" s="9"/>
      <c r="H382" s="9"/>
      <c r="I382" s="9"/>
    </row>
    <row r="383" customFormat="false" ht="15" hidden="false" customHeight="false" outlineLevel="0" collapsed="false">
      <c r="A383" s="9"/>
      <c r="B383" s="9"/>
      <c r="C383" s="9"/>
      <c r="D383" s="9"/>
      <c r="E383" s="8"/>
      <c r="F383" s="9"/>
      <c r="G383" s="9"/>
      <c r="H383" s="9"/>
      <c r="I383" s="9"/>
    </row>
    <row r="384" customFormat="false" ht="15" hidden="false" customHeight="false" outlineLevel="0" collapsed="false">
      <c r="A384" s="9"/>
      <c r="B384" s="9"/>
      <c r="C384" s="9"/>
      <c r="D384" s="9"/>
      <c r="E384" s="8"/>
      <c r="F384" s="9"/>
      <c r="G384" s="9"/>
      <c r="H384" s="9"/>
      <c r="I384" s="9"/>
    </row>
    <row r="385" customFormat="false" ht="15" hidden="false" customHeight="false" outlineLevel="0" collapsed="false">
      <c r="A385" s="9"/>
      <c r="B385" s="9"/>
      <c r="C385" s="9"/>
      <c r="D385" s="9"/>
      <c r="E385" s="8"/>
      <c r="F385" s="9"/>
      <c r="G385" s="9"/>
      <c r="H385" s="9"/>
      <c r="I385" s="9"/>
    </row>
    <row r="386" customFormat="false" ht="15" hidden="false" customHeight="false" outlineLevel="0" collapsed="false">
      <c r="A386" s="9"/>
      <c r="B386" s="9"/>
      <c r="C386" s="9"/>
      <c r="D386" s="9"/>
      <c r="E386" s="8"/>
      <c r="F386" s="9"/>
      <c r="G386" s="9"/>
      <c r="H386" s="9"/>
      <c r="I386" s="9"/>
    </row>
    <row r="387" customFormat="false" ht="15" hidden="false" customHeight="false" outlineLevel="0" collapsed="false">
      <c r="A387" s="9"/>
      <c r="B387" s="9"/>
      <c r="C387" s="9"/>
      <c r="D387" s="9"/>
      <c r="E387" s="8"/>
      <c r="F387" s="9"/>
      <c r="G387" s="9"/>
      <c r="H387" s="9"/>
      <c r="I387" s="9"/>
    </row>
    <row r="388" customFormat="false" ht="15" hidden="false" customHeight="false" outlineLevel="0" collapsed="false">
      <c r="A388" s="9"/>
      <c r="B388" s="9"/>
      <c r="C388" s="9"/>
      <c r="D388" s="9"/>
      <c r="E388" s="8"/>
      <c r="F388" s="9"/>
      <c r="G388" s="9"/>
      <c r="H388" s="9"/>
      <c r="I388" s="9"/>
    </row>
    <row r="389" customFormat="false" ht="15" hidden="false" customHeight="false" outlineLevel="0" collapsed="false">
      <c r="A389" s="9"/>
      <c r="B389" s="9"/>
      <c r="C389" s="9"/>
      <c r="D389" s="9"/>
      <c r="E389" s="8"/>
      <c r="F389" s="9"/>
      <c r="G389" s="9"/>
      <c r="H389" s="9"/>
      <c r="I389" s="9"/>
    </row>
    <row r="390" customFormat="false" ht="15" hidden="false" customHeight="false" outlineLevel="0" collapsed="false">
      <c r="A390" s="9"/>
      <c r="B390" s="9"/>
      <c r="C390" s="9"/>
      <c r="D390" s="9"/>
      <c r="E390" s="8"/>
      <c r="F390" s="9"/>
      <c r="G390" s="9"/>
      <c r="H390" s="9"/>
      <c r="I390" s="9"/>
    </row>
    <row r="391" customFormat="false" ht="15" hidden="false" customHeight="false" outlineLevel="0" collapsed="false">
      <c r="A391" s="9"/>
      <c r="B391" s="9"/>
      <c r="C391" s="9"/>
      <c r="D391" s="9"/>
      <c r="E391" s="8"/>
      <c r="F391" s="9"/>
      <c r="G391" s="9"/>
      <c r="H391" s="9"/>
      <c r="I391" s="9"/>
    </row>
    <row r="392" customFormat="false" ht="15" hidden="false" customHeight="false" outlineLevel="0" collapsed="false">
      <c r="A392" s="9"/>
      <c r="B392" s="9"/>
      <c r="C392" s="9"/>
      <c r="D392" s="9"/>
      <c r="E392" s="8"/>
      <c r="F392" s="9"/>
      <c r="G392" s="9"/>
      <c r="H392" s="9"/>
      <c r="I392" s="9"/>
    </row>
    <row r="393" customFormat="false" ht="15" hidden="false" customHeight="false" outlineLevel="0" collapsed="false">
      <c r="A393" s="9"/>
      <c r="B393" s="9"/>
      <c r="C393" s="9"/>
      <c r="D393" s="9"/>
      <c r="E393" s="8"/>
      <c r="F393" s="9"/>
      <c r="G393" s="9"/>
      <c r="H393" s="9"/>
      <c r="I393" s="9"/>
    </row>
    <row r="394" customFormat="false" ht="15" hidden="false" customHeight="false" outlineLevel="0" collapsed="false">
      <c r="A394" s="9"/>
      <c r="B394" s="9"/>
      <c r="C394" s="9"/>
      <c r="D394" s="9"/>
      <c r="E394" s="8"/>
      <c r="F394" s="9"/>
      <c r="G394" s="9"/>
      <c r="H394" s="9"/>
      <c r="I394" s="9"/>
    </row>
    <row r="395" customFormat="false" ht="15" hidden="false" customHeight="false" outlineLevel="0" collapsed="false">
      <c r="A395" s="9"/>
      <c r="B395" s="9"/>
      <c r="C395" s="9"/>
      <c r="D395" s="9"/>
      <c r="E395" s="8"/>
      <c r="F395" s="9"/>
      <c r="G395" s="9"/>
      <c r="H395" s="9"/>
      <c r="I395" s="9"/>
    </row>
    <row r="396" customFormat="false" ht="15" hidden="false" customHeight="false" outlineLevel="0" collapsed="false">
      <c r="A396" s="9"/>
      <c r="B396" s="9"/>
      <c r="C396" s="9"/>
      <c r="D396" s="9"/>
      <c r="E396" s="8"/>
      <c r="F396" s="9"/>
      <c r="G396" s="9"/>
      <c r="H396" s="9"/>
      <c r="I396" s="9"/>
    </row>
    <row r="397" customFormat="false" ht="15" hidden="false" customHeight="false" outlineLevel="0" collapsed="false">
      <c r="A397" s="9"/>
      <c r="B397" s="9"/>
      <c r="C397" s="9"/>
      <c r="D397" s="9"/>
      <c r="E397" s="8"/>
      <c r="F397" s="9"/>
      <c r="G397" s="9"/>
      <c r="H397" s="9"/>
      <c r="I397" s="9"/>
    </row>
    <row r="398" customFormat="false" ht="15" hidden="false" customHeight="false" outlineLevel="0" collapsed="false">
      <c r="A398" s="9"/>
      <c r="B398" s="9"/>
      <c r="C398" s="9"/>
      <c r="D398" s="9"/>
      <c r="E398" s="8"/>
      <c r="F398" s="9"/>
      <c r="G398" s="9"/>
      <c r="H398" s="9"/>
      <c r="I398" s="9"/>
    </row>
    <row r="399" customFormat="false" ht="15" hidden="false" customHeight="false" outlineLevel="0" collapsed="false">
      <c r="A399" s="9"/>
      <c r="B399" s="9"/>
      <c r="C399" s="9"/>
      <c r="D399" s="9"/>
      <c r="E399" s="8"/>
      <c r="F399" s="9"/>
      <c r="G399" s="9"/>
      <c r="H399" s="9"/>
      <c r="I399" s="9"/>
    </row>
    <row r="400" customFormat="false" ht="15" hidden="false" customHeight="false" outlineLevel="0" collapsed="false">
      <c r="A400" s="9"/>
      <c r="B400" s="9"/>
      <c r="C400" s="9"/>
      <c r="D400" s="9"/>
      <c r="E400" s="8"/>
      <c r="F400" s="9"/>
      <c r="G400" s="9"/>
      <c r="H400" s="9"/>
      <c r="I400" s="9"/>
    </row>
    <row r="401" customFormat="false" ht="15" hidden="false" customHeight="false" outlineLevel="0" collapsed="false">
      <c r="A401" s="9"/>
      <c r="B401" s="9"/>
      <c r="C401" s="9"/>
      <c r="D401" s="9"/>
      <c r="E401" s="8"/>
      <c r="F401" s="9"/>
      <c r="G401" s="9"/>
      <c r="H401" s="9"/>
      <c r="I401" s="9"/>
    </row>
    <row r="402" customFormat="false" ht="15" hidden="false" customHeight="false" outlineLevel="0" collapsed="false">
      <c r="A402" s="9"/>
      <c r="B402" s="9"/>
      <c r="C402" s="9"/>
      <c r="D402" s="9"/>
      <c r="E402" s="8"/>
      <c r="F402" s="9"/>
      <c r="G402" s="9"/>
      <c r="H402" s="9"/>
      <c r="I402" s="9"/>
    </row>
    <row r="403" customFormat="false" ht="15" hidden="false" customHeight="false" outlineLevel="0" collapsed="false">
      <c r="A403" s="9"/>
      <c r="B403" s="9"/>
      <c r="C403" s="9"/>
      <c r="D403" s="9"/>
      <c r="E403" s="8"/>
      <c r="F403" s="9"/>
      <c r="G403" s="9"/>
      <c r="H403" s="9"/>
      <c r="I403" s="9"/>
    </row>
    <row r="404" customFormat="false" ht="15" hidden="false" customHeight="false" outlineLevel="0" collapsed="false">
      <c r="A404" s="9"/>
      <c r="B404" s="9"/>
      <c r="C404" s="9"/>
      <c r="D404" s="9"/>
      <c r="E404" s="8"/>
      <c r="F404" s="9"/>
      <c r="G404" s="9"/>
      <c r="H404" s="9"/>
      <c r="I404" s="9"/>
    </row>
    <row r="405" customFormat="false" ht="15" hidden="false" customHeight="false" outlineLevel="0" collapsed="false">
      <c r="A405" s="9"/>
      <c r="B405" s="9"/>
      <c r="C405" s="9"/>
      <c r="D405" s="9"/>
      <c r="E405" s="8"/>
      <c r="F405" s="9"/>
      <c r="G405" s="9"/>
      <c r="H405" s="9"/>
      <c r="I405" s="9"/>
    </row>
    <row r="406" customFormat="false" ht="15" hidden="false" customHeight="false" outlineLevel="0" collapsed="false">
      <c r="A406" s="9"/>
      <c r="B406" s="9"/>
      <c r="C406" s="9"/>
      <c r="D406" s="9"/>
      <c r="E406" s="8"/>
      <c r="F406" s="9"/>
      <c r="G406" s="9"/>
      <c r="H406" s="9"/>
      <c r="I406" s="9"/>
    </row>
    <row r="407" customFormat="false" ht="15" hidden="false" customHeight="false" outlineLevel="0" collapsed="false">
      <c r="A407" s="9"/>
      <c r="B407" s="9"/>
      <c r="C407" s="9"/>
      <c r="D407" s="9"/>
      <c r="E407" s="8"/>
      <c r="F407" s="9"/>
      <c r="G407" s="9"/>
      <c r="H407" s="9"/>
      <c r="I407" s="9"/>
    </row>
    <row r="408" customFormat="false" ht="15" hidden="false" customHeight="false" outlineLevel="0" collapsed="false">
      <c r="A408" s="9"/>
      <c r="B408" s="9"/>
      <c r="C408" s="9"/>
      <c r="D408" s="9"/>
      <c r="E408" s="8"/>
      <c r="F408" s="9"/>
      <c r="G408" s="9"/>
      <c r="H408" s="9"/>
      <c r="I408" s="9"/>
    </row>
    <row r="409" customFormat="false" ht="15" hidden="false" customHeight="false" outlineLevel="0" collapsed="false">
      <c r="A409" s="9"/>
      <c r="B409" s="9"/>
      <c r="C409" s="9"/>
      <c r="D409" s="9"/>
      <c r="E409" s="8"/>
      <c r="F409" s="9"/>
      <c r="G409" s="9"/>
      <c r="H409" s="9"/>
      <c r="I409" s="9"/>
    </row>
    <row r="410" customFormat="false" ht="15" hidden="false" customHeight="false" outlineLevel="0" collapsed="false">
      <c r="A410" s="9"/>
      <c r="B410" s="9"/>
      <c r="C410" s="9"/>
      <c r="D410" s="9"/>
      <c r="E410" s="8"/>
      <c r="F410" s="9"/>
      <c r="G410" s="9"/>
      <c r="H410" s="9"/>
      <c r="I410" s="9"/>
    </row>
    <row r="411" customFormat="false" ht="15" hidden="false" customHeight="false" outlineLevel="0" collapsed="false">
      <c r="A411" s="9"/>
      <c r="B411" s="9"/>
      <c r="C411" s="9"/>
      <c r="D411" s="9"/>
      <c r="E411" s="8"/>
      <c r="F411" s="9"/>
      <c r="G411" s="9"/>
      <c r="H411" s="9"/>
      <c r="I411" s="9"/>
    </row>
    <row r="412" customFormat="false" ht="15" hidden="false" customHeight="false" outlineLevel="0" collapsed="false">
      <c r="A412" s="9"/>
      <c r="B412" s="9"/>
      <c r="C412" s="9"/>
      <c r="D412" s="9"/>
      <c r="E412" s="8"/>
      <c r="F412" s="9"/>
      <c r="G412" s="9"/>
      <c r="H412" s="9"/>
      <c r="I412" s="9"/>
    </row>
    <row r="413" customFormat="false" ht="15" hidden="false" customHeight="false" outlineLevel="0" collapsed="false">
      <c r="A413" s="9"/>
      <c r="B413" s="9"/>
      <c r="C413" s="9"/>
      <c r="D413" s="9"/>
      <c r="E413" s="8"/>
      <c r="F413" s="9"/>
      <c r="G413" s="9"/>
      <c r="H413" s="9"/>
      <c r="I413" s="9"/>
    </row>
    <row r="414" customFormat="false" ht="15" hidden="false" customHeight="false" outlineLevel="0" collapsed="false">
      <c r="A414" s="9"/>
      <c r="B414" s="9"/>
      <c r="C414" s="9"/>
      <c r="D414" s="9"/>
      <c r="E414" s="8"/>
      <c r="F414" s="9"/>
      <c r="G414" s="9"/>
      <c r="H414" s="9"/>
      <c r="I414" s="9"/>
    </row>
    <row r="415" customFormat="false" ht="15" hidden="false" customHeight="false" outlineLevel="0" collapsed="false">
      <c r="A415" s="9"/>
      <c r="B415" s="9"/>
      <c r="C415" s="9"/>
      <c r="D415" s="9"/>
      <c r="E415" s="8"/>
      <c r="F415" s="9"/>
      <c r="G415" s="9"/>
      <c r="H415" s="9"/>
      <c r="I415" s="9"/>
    </row>
    <row r="416" customFormat="false" ht="15" hidden="false" customHeight="false" outlineLevel="0" collapsed="false">
      <c r="A416" s="9"/>
      <c r="B416" s="9"/>
      <c r="C416" s="9"/>
      <c r="D416" s="9"/>
      <c r="E416" s="8"/>
      <c r="F416" s="9"/>
      <c r="G416" s="9"/>
      <c r="H416" s="9"/>
      <c r="I416" s="9"/>
    </row>
    <row r="417" customFormat="false" ht="15" hidden="false" customHeight="false" outlineLevel="0" collapsed="false">
      <c r="A417" s="9"/>
      <c r="B417" s="9"/>
      <c r="C417" s="9"/>
      <c r="D417" s="9"/>
      <c r="E417" s="8"/>
      <c r="F417" s="9"/>
      <c r="G417" s="9"/>
      <c r="H417" s="9"/>
      <c r="I417" s="9"/>
    </row>
    <row r="418" customFormat="false" ht="15" hidden="false" customHeight="false" outlineLevel="0" collapsed="false">
      <c r="A418" s="9"/>
      <c r="B418" s="9"/>
      <c r="C418" s="9"/>
      <c r="D418" s="9"/>
      <c r="E418" s="8"/>
      <c r="F418" s="9"/>
      <c r="G418" s="9"/>
      <c r="H418" s="9"/>
      <c r="I418" s="9"/>
    </row>
    <row r="419" customFormat="false" ht="15" hidden="false" customHeight="false" outlineLevel="0" collapsed="false">
      <c r="A419" s="9"/>
      <c r="B419" s="9"/>
      <c r="C419" s="9"/>
      <c r="D419" s="9"/>
      <c r="E419" s="8"/>
      <c r="F419" s="9"/>
      <c r="G419" s="9"/>
      <c r="H419" s="9"/>
      <c r="I419" s="9"/>
    </row>
    <row r="420" customFormat="false" ht="15" hidden="false" customHeight="false" outlineLevel="0" collapsed="false">
      <c r="A420" s="9"/>
      <c r="B420" s="9"/>
      <c r="C420" s="9"/>
      <c r="D420" s="9"/>
      <c r="E420" s="8"/>
      <c r="F420" s="9"/>
      <c r="G420" s="9"/>
      <c r="H420" s="9"/>
      <c r="I420" s="9"/>
    </row>
    <row r="421" customFormat="false" ht="15" hidden="false" customHeight="false" outlineLevel="0" collapsed="false">
      <c r="A421" s="9"/>
      <c r="B421" s="9"/>
      <c r="C421" s="9"/>
      <c r="D421" s="9"/>
      <c r="E421" s="8"/>
      <c r="F421" s="9"/>
      <c r="G421" s="9"/>
      <c r="H421" s="9"/>
      <c r="I421" s="9"/>
    </row>
    <row r="422" customFormat="false" ht="15" hidden="false" customHeight="false" outlineLevel="0" collapsed="false">
      <c r="A422" s="9"/>
      <c r="B422" s="9"/>
      <c r="C422" s="9"/>
      <c r="D422" s="9"/>
      <c r="E422" s="8"/>
      <c r="F422" s="9"/>
      <c r="G422" s="9"/>
      <c r="H422" s="9"/>
      <c r="I422" s="9"/>
    </row>
    <row r="423" customFormat="false" ht="15" hidden="false" customHeight="false" outlineLevel="0" collapsed="false">
      <c r="A423" s="9"/>
      <c r="B423" s="9"/>
      <c r="C423" s="9"/>
      <c r="D423" s="9"/>
      <c r="E423" s="8"/>
      <c r="F423" s="9"/>
      <c r="G423" s="9"/>
      <c r="H423" s="9"/>
      <c r="I423" s="9"/>
    </row>
    <row r="424" customFormat="false" ht="15" hidden="false" customHeight="false" outlineLevel="0" collapsed="false">
      <c r="A424" s="9"/>
      <c r="B424" s="9"/>
      <c r="C424" s="9"/>
      <c r="D424" s="9"/>
      <c r="E424" s="8"/>
      <c r="F424" s="9"/>
      <c r="G424" s="9"/>
      <c r="H424" s="9"/>
      <c r="I424" s="9"/>
    </row>
    <row r="425" customFormat="false" ht="15" hidden="false" customHeight="false" outlineLevel="0" collapsed="false">
      <c r="A425" s="9"/>
      <c r="B425" s="9"/>
      <c r="C425" s="9"/>
      <c r="D425" s="9"/>
      <c r="E425" s="8"/>
      <c r="F425" s="9"/>
      <c r="G425" s="9"/>
      <c r="H425" s="9"/>
      <c r="I425" s="9"/>
    </row>
    <row r="426" customFormat="false" ht="15" hidden="false" customHeight="false" outlineLevel="0" collapsed="false">
      <c r="A426" s="9"/>
      <c r="B426" s="9"/>
      <c r="C426" s="9"/>
      <c r="D426" s="9"/>
      <c r="E426" s="8"/>
      <c r="F426" s="9"/>
      <c r="G426" s="9"/>
      <c r="H426" s="9"/>
      <c r="I426" s="9"/>
    </row>
    <row r="427" customFormat="false" ht="15" hidden="false" customHeight="false" outlineLevel="0" collapsed="false">
      <c r="A427" s="9"/>
      <c r="B427" s="9"/>
      <c r="C427" s="9"/>
      <c r="D427" s="9"/>
      <c r="E427" s="8"/>
      <c r="F427" s="9"/>
      <c r="G427" s="9"/>
      <c r="H427" s="9"/>
      <c r="I427" s="9"/>
    </row>
    <row r="428" customFormat="false" ht="15" hidden="false" customHeight="false" outlineLevel="0" collapsed="false">
      <c r="A428" s="9"/>
      <c r="B428" s="9"/>
      <c r="C428" s="9"/>
      <c r="D428" s="9"/>
      <c r="E428" s="8"/>
      <c r="F428" s="9"/>
      <c r="G428" s="9"/>
      <c r="H428" s="9"/>
      <c r="I428" s="9"/>
    </row>
    <row r="429" customFormat="false" ht="15" hidden="false" customHeight="false" outlineLevel="0" collapsed="false">
      <c r="A429" s="9"/>
      <c r="B429" s="9"/>
      <c r="C429" s="9"/>
      <c r="D429" s="9"/>
      <c r="E429" s="8"/>
      <c r="F429" s="9"/>
      <c r="G429" s="9"/>
      <c r="H429" s="9"/>
      <c r="I429" s="9"/>
    </row>
    <row r="430" customFormat="false" ht="15" hidden="false" customHeight="false" outlineLevel="0" collapsed="false">
      <c r="A430" s="9"/>
      <c r="B430" s="9"/>
      <c r="C430" s="9"/>
      <c r="D430" s="9"/>
      <c r="E430" s="8"/>
      <c r="F430" s="9"/>
      <c r="G430" s="9"/>
      <c r="H430" s="9"/>
      <c r="I430" s="9"/>
    </row>
    <row r="431" customFormat="false" ht="15" hidden="false" customHeight="false" outlineLevel="0" collapsed="false">
      <c r="A431" s="9"/>
      <c r="B431" s="9"/>
      <c r="C431" s="9"/>
      <c r="D431" s="9"/>
      <c r="E431" s="8"/>
      <c r="F431" s="9"/>
      <c r="G431" s="9"/>
      <c r="H431" s="9"/>
      <c r="I431" s="9"/>
    </row>
    <row r="432" customFormat="false" ht="15" hidden="false" customHeight="false" outlineLevel="0" collapsed="false">
      <c r="A432" s="9"/>
      <c r="B432" s="9"/>
      <c r="C432" s="9"/>
      <c r="D432" s="9"/>
      <c r="E432" s="8"/>
      <c r="F432" s="9"/>
      <c r="G432" s="9"/>
      <c r="H432" s="9"/>
      <c r="I432" s="9"/>
    </row>
    <row r="433" customFormat="false" ht="15" hidden="false" customHeight="false" outlineLevel="0" collapsed="false">
      <c r="A433" s="9"/>
      <c r="B433" s="9"/>
      <c r="C433" s="9"/>
      <c r="D433" s="9"/>
      <c r="E433" s="8"/>
      <c r="F433" s="9"/>
      <c r="G433" s="9"/>
      <c r="H433" s="9"/>
      <c r="I433" s="9"/>
    </row>
    <row r="434" customFormat="false" ht="15" hidden="false" customHeight="false" outlineLevel="0" collapsed="false">
      <c r="A434" s="9"/>
      <c r="B434" s="9"/>
      <c r="C434" s="9"/>
      <c r="D434" s="9"/>
      <c r="E434" s="8"/>
      <c r="F434" s="9"/>
      <c r="G434" s="9"/>
      <c r="H434" s="9"/>
      <c r="I434" s="9"/>
    </row>
    <row r="435" customFormat="false" ht="15" hidden="false" customHeight="false" outlineLevel="0" collapsed="false">
      <c r="A435" s="9"/>
      <c r="B435" s="9"/>
      <c r="C435" s="9"/>
      <c r="D435" s="9"/>
      <c r="E435" s="8"/>
      <c r="F435" s="9"/>
      <c r="G435" s="9"/>
      <c r="H435" s="9"/>
      <c r="I435" s="9"/>
    </row>
    <row r="436" customFormat="false" ht="15" hidden="false" customHeight="false" outlineLevel="0" collapsed="false">
      <c r="A436" s="9"/>
      <c r="B436" s="9"/>
      <c r="C436" s="9"/>
      <c r="D436" s="9"/>
      <c r="E436" s="8"/>
      <c r="F436" s="9"/>
      <c r="G436" s="9"/>
      <c r="H436" s="9"/>
      <c r="I436" s="9"/>
    </row>
    <row r="437" customFormat="false" ht="15" hidden="false" customHeight="false" outlineLevel="0" collapsed="false">
      <c r="A437" s="9"/>
      <c r="B437" s="9"/>
      <c r="C437" s="9"/>
      <c r="D437" s="9"/>
      <c r="E437" s="8"/>
      <c r="F437" s="9"/>
      <c r="G437" s="9"/>
      <c r="H437" s="9"/>
      <c r="I437" s="9"/>
    </row>
    <row r="438" customFormat="false" ht="15" hidden="false" customHeight="false" outlineLevel="0" collapsed="false">
      <c r="A438" s="9"/>
      <c r="B438" s="9"/>
      <c r="C438" s="9"/>
      <c r="D438" s="9"/>
      <c r="E438" s="8"/>
      <c r="F438" s="9"/>
      <c r="G438" s="9"/>
      <c r="H438" s="9"/>
      <c r="I438" s="9"/>
    </row>
    <row r="439" customFormat="false" ht="15" hidden="false" customHeight="false" outlineLevel="0" collapsed="false">
      <c r="A439" s="9"/>
      <c r="B439" s="9"/>
      <c r="C439" s="9"/>
      <c r="D439" s="9"/>
      <c r="E439" s="8"/>
      <c r="F439" s="9"/>
      <c r="G439" s="9"/>
      <c r="H439" s="9"/>
      <c r="I439" s="9"/>
    </row>
    <row r="440" customFormat="false" ht="15" hidden="false" customHeight="false" outlineLevel="0" collapsed="false">
      <c r="A440" s="9"/>
      <c r="B440" s="9"/>
      <c r="C440" s="9"/>
      <c r="D440" s="9"/>
      <c r="E440" s="8"/>
      <c r="F440" s="9"/>
      <c r="G440" s="9"/>
      <c r="H440" s="9"/>
      <c r="I440" s="9"/>
    </row>
    <row r="441" customFormat="false" ht="15" hidden="false" customHeight="false" outlineLevel="0" collapsed="false">
      <c r="A441" s="9"/>
      <c r="B441" s="9"/>
      <c r="C441" s="9"/>
      <c r="D441" s="9"/>
      <c r="E441" s="8"/>
      <c r="F441" s="9"/>
      <c r="G441" s="9"/>
      <c r="H441" s="9"/>
      <c r="I441" s="9"/>
    </row>
    <row r="442" customFormat="false" ht="15" hidden="false" customHeight="false" outlineLevel="0" collapsed="false">
      <c r="A442" s="9"/>
      <c r="B442" s="9"/>
      <c r="C442" s="9"/>
      <c r="D442" s="9"/>
      <c r="E442" s="8"/>
      <c r="F442" s="9"/>
      <c r="G442" s="9"/>
      <c r="H442" s="9"/>
      <c r="I442" s="9"/>
    </row>
    <row r="443" customFormat="false" ht="15" hidden="false" customHeight="false" outlineLevel="0" collapsed="false">
      <c r="A443" s="9"/>
      <c r="B443" s="9"/>
      <c r="C443" s="9"/>
      <c r="D443" s="9"/>
      <c r="E443" s="8"/>
      <c r="F443" s="9"/>
      <c r="G443" s="9"/>
      <c r="H443" s="9"/>
      <c r="I443" s="9"/>
    </row>
    <row r="444" customFormat="false" ht="15" hidden="false" customHeight="false" outlineLevel="0" collapsed="false">
      <c r="A444" s="9"/>
      <c r="B444" s="9"/>
      <c r="C444" s="9"/>
      <c r="D444" s="9"/>
      <c r="E444" s="8"/>
      <c r="F444" s="9"/>
      <c r="G444" s="9"/>
      <c r="H444" s="9"/>
      <c r="I444" s="9"/>
    </row>
    <row r="445" customFormat="false" ht="15" hidden="false" customHeight="false" outlineLevel="0" collapsed="false">
      <c r="A445" s="9"/>
      <c r="B445" s="9"/>
      <c r="C445" s="9"/>
      <c r="D445" s="9"/>
      <c r="E445" s="8"/>
      <c r="F445" s="9"/>
      <c r="G445" s="9"/>
      <c r="H445" s="9"/>
      <c r="I445" s="9"/>
    </row>
    <row r="446" customFormat="false" ht="15" hidden="false" customHeight="false" outlineLevel="0" collapsed="false">
      <c r="A446" s="9"/>
      <c r="B446" s="9"/>
      <c r="C446" s="9"/>
      <c r="D446" s="9"/>
      <c r="E446" s="8"/>
      <c r="F446" s="9"/>
      <c r="G446" s="9"/>
      <c r="H446" s="9"/>
      <c r="I446" s="9"/>
    </row>
    <row r="447" customFormat="false" ht="15" hidden="false" customHeight="false" outlineLevel="0" collapsed="false">
      <c r="A447" s="9"/>
      <c r="B447" s="9"/>
      <c r="C447" s="9"/>
      <c r="D447" s="9"/>
      <c r="E447" s="8"/>
      <c r="F447" s="9"/>
      <c r="G447" s="9"/>
      <c r="H447" s="9"/>
      <c r="I447" s="9"/>
    </row>
    <row r="448" customFormat="false" ht="15" hidden="false" customHeight="false" outlineLevel="0" collapsed="false">
      <c r="A448" s="9"/>
      <c r="B448" s="9"/>
      <c r="C448" s="9"/>
      <c r="D448" s="9"/>
      <c r="E448" s="8"/>
      <c r="F448" s="9"/>
      <c r="G448" s="9"/>
      <c r="H448" s="9"/>
      <c r="I448" s="9"/>
    </row>
    <row r="449" customFormat="false" ht="15" hidden="false" customHeight="false" outlineLevel="0" collapsed="false">
      <c r="A449" s="9"/>
      <c r="B449" s="9"/>
      <c r="C449" s="9"/>
      <c r="D449" s="9"/>
      <c r="E449" s="8"/>
      <c r="F449" s="9"/>
      <c r="G449" s="9"/>
      <c r="H449" s="9"/>
      <c r="I449" s="9"/>
    </row>
    <row r="450" customFormat="false" ht="15" hidden="false" customHeight="false" outlineLevel="0" collapsed="false">
      <c r="A450" s="9"/>
      <c r="B450" s="9"/>
      <c r="C450" s="9"/>
      <c r="D450" s="9"/>
      <c r="E450" s="8"/>
      <c r="F450" s="9"/>
      <c r="G450" s="9"/>
      <c r="H450" s="9"/>
      <c r="I450" s="9"/>
    </row>
    <row r="451" customFormat="false" ht="15" hidden="false" customHeight="false" outlineLevel="0" collapsed="false">
      <c r="A451" s="9"/>
      <c r="B451" s="9"/>
      <c r="C451" s="9"/>
      <c r="D451" s="9"/>
      <c r="E451" s="8"/>
      <c r="F451" s="9"/>
      <c r="G451" s="9"/>
      <c r="H451" s="9"/>
      <c r="I451" s="9"/>
    </row>
    <row r="452" customFormat="false" ht="15" hidden="false" customHeight="false" outlineLevel="0" collapsed="false">
      <c r="A452" s="9"/>
      <c r="B452" s="9"/>
      <c r="C452" s="9"/>
      <c r="D452" s="9"/>
      <c r="E452" s="8"/>
      <c r="F452" s="9"/>
      <c r="G452" s="9"/>
      <c r="H452" s="9"/>
      <c r="I452" s="9"/>
    </row>
    <row r="453" customFormat="false" ht="15" hidden="false" customHeight="false" outlineLevel="0" collapsed="false">
      <c r="A453" s="9"/>
      <c r="B453" s="9"/>
      <c r="C453" s="9"/>
      <c r="D453" s="9"/>
      <c r="E453" s="8"/>
      <c r="F453" s="9"/>
      <c r="G453" s="9"/>
      <c r="H453" s="9"/>
      <c r="I453" s="9"/>
    </row>
    <row r="454" customFormat="false" ht="15" hidden="false" customHeight="false" outlineLevel="0" collapsed="false">
      <c r="A454" s="9"/>
      <c r="B454" s="9"/>
      <c r="C454" s="9"/>
      <c r="D454" s="9"/>
      <c r="E454" s="8"/>
      <c r="F454" s="9"/>
      <c r="G454" s="9"/>
      <c r="H454" s="9"/>
      <c r="I454" s="9"/>
    </row>
    <row r="455" customFormat="false" ht="15" hidden="false" customHeight="false" outlineLevel="0" collapsed="false">
      <c r="A455" s="9"/>
      <c r="B455" s="9"/>
      <c r="C455" s="9"/>
      <c r="D455" s="9"/>
      <c r="E455" s="8"/>
      <c r="F455" s="9"/>
      <c r="G455" s="9"/>
      <c r="H455" s="9"/>
      <c r="I455" s="9"/>
    </row>
    <row r="456" customFormat="false" ht="15" hidden="false" customHeight="false" outlineLevel="0" collapsed="false">
      <c r="A456" s="9"/>
      <c r="B456" s="9"/>
      <c r="C456" s="9"/>
      <c r="D456" s="9"/>
      <c r="E456" s="8"/>
      <c r="F456" s="9"/>
      <c r="G456" s="9"/>
      <c r="H456" s="9"/>
      <c r="I456" s="9"/>
    </row>
    <row r="457" customFormat="false" ht="15" hidden="false" customHeight="false" outlineLevel="0" collapsed="false">
      <c r="A457" s="9"/>
      <c r="B457" s="9"/>
      <c r="C457" s="9"/>
      <c r="D457" s="9"/>
      <c r="E457" s="8"/>
      <c r="F457" s="9"/>
      <c r="G457" s="9"/>
      <c r="H457" s="9"/>
      <c r="I457" s="9"/>
    </row>
    <row r="458" customFormat="false" ht="15" hidden="false" customHeight="false" outlineLevel="0" collapsed="false">
      <c r="A458" s="9"/>
      <c r="B458" s="9"/>
      <c r="C458" s="9"/>
      <c r="D458" s="9"/>
      <c r="E458" s="8"/>
      <c r="F458" s="9"/>
      <c r="G458" s="9"/>
      <c r="H458" s="9"/>
      <c r="I458" s="9"/>
    </row>
    <row r="459" customFormat="false" ht="15" hidden="false" customHeight="false" outlineLevel="0" collapsed="false">
      <c r="A459" s="9"/>
      <c r="B459" s="9"/>
      <c r="C459" s="9"/>
      <c r="D459" s="9"/>
      <c r="E459" s="8"/>
      <c r="F459" s="9"/>
      <c r="G459" s="9"/>
      <c r="H459" s="9"/>
      <c r="I459" s="9"/>
    </row>
    <row r="460" customFormat="false" ht="15" hidden="false" customHeight="false" outlineLevel="0" collapsed="false">
      <c r="A460" s="9"/>
      <c r="B460" s="9"/>
      <c r="C460" s="9"/>
      <c r="D460" s="9"/>
      <c r="E460" s="8"/>
      <c r="F460" s="9"/>
      <c r="G460" s="9"/>
      <c r="H460" s="9"/>
      <c r="I460" s="9"/>
    </row>
    <row r="461" customFormat="false" ht="15" hidden="false" customHeight="false" outlineLevel="0" collapsed="false">
      <c r="A461" s="9"/>
      <c r="B461" s="9"/>
      <c r="C461" s="9"/>
      <c r="D461" s="9"/>
      <c r="E461" s="8"/>
      <c r="F461" s="9"/>
      <c r="G461" s="9"/>
      <c r="H461" s="9"/>
      <c r="I461" s="9"/>
    </row>
    <row r="462" customFormat="false" ht="15" hidden="false" customHeight="false" outlineLevel="0" collapsed="false">
      <c r="A462" s="9"/>
      <c r="B462" s="9"/>
      <c r="C462" s="9"/>
      <c r="D462" s="9"/>
      <c r="E462" s="8"/>
      <c r="F462" s="9"/>
      <c r="G462" s="9"/>
      <c r="H462" s="9"/>
      <c r="I462" s="9"/>
    </row>
    <row r="463" customFormat="false" ht="15" hidden="false" customHeight="false" outlineLevel="0" collapsed="false">
      <c r="A463" s="9"/>
      <c r="B463" s="9"/>
      <c r="C463" s="9"/>
      <c r="D463" s="9"/>
      <c r="E463" s="8"/>
      <c r="F463" s="9"/>
      <c r="G463" s="9"/>
      <c r="H463" s="9"/>
      <c r="I463" s="9"/>
    </row>
    <row r="464" customFormat="false" ht="15" hidden="false" customHeight="false" outlineLevel="0" collapsed="false">
      <c r="A464" s="9"/>
      <c r="B464" s="9"/>
      <c r="C464" s="9"/>
      <c r="D464" s="9"/>
      <c r="E464" s="8"/>
      <c r="F464" s="9"/>
      <c r="G464" s="9"/>
      <c r="H464" s="9"/>
      <c r="I464" s="9"/>
    </row>
    <row r="465" customFormat="false" ht="15" hidden="false" customHeight="false" outlineLevel="0" collapsed="false">
      <c r="A465" s="9"/>
      <c r="B465" s="9"/>
      <c r="C465" s="9"/>
      <c r="D465" s="9"/>
      <c r="E465" s="8"/>
      <c r="F465" s="9"/>
      <c r="G465" s="9"/>
      <c r="H465" s="9"/>
      <c r="I465" s="9"/>
    </row>
    <row r="466" customFormat="false" ht="15" hidden="false" customHeight="false" outlineLevel="0" collapsed="false">
      <c r="A466" s="9"/>
      <c r="B466" s="9"/>
      <c r="C466" s="9"/>
      <c r="D466" s="9"/>
      <c r="E466" s="8"/>
      <c r="F466" s="9"/>
      <c r="G466" s="9"/>
      <c r="H466" s="9"/>
      <c r="I466" s="9"/>
    </row>
    <row r="467" customFormat="false" ht="15" hidden="false" customHeight="false" outlineLevel="0" collapsed="false">
      <c r="A467" s="9"/>
      <c r="B467" s="9"/>
      <c r="C467" s="9"/>
      <c r="D467" s="9"/>
      <c r="E467" s="8"/>
      <c r="F467" s="9"/>
      <c r="G467" s="9"/>
      <c r="H467" s="9"/>
      <c r="I467" s="9"/>
    </row>
    <row r="468" customFormat="false" ht="15" hidden="false" customHeight="false" outlineLevel="0" collapsed="false">
      <c r="A468" s="9"/>
      <c r="B468" s="9"/>
      <c r="C468" s="9"/>
      <c r="D468" s="9"/>
      <c r="E468" s="8"/>
      <c r="F468" s="9"/>
      <c r="G468" s="9"/>
      <c r="H468" s="9"/>
      <c r="I468" s="9"/>
    </row>
    <row r="469" customFormat="false" ht="15" hidden="false" customHeight="false" outlineLevel="0" collapsed="false">
      <c r="A469" s="9"/>
      <c r="B469" s="9"/>
      <c r="C469" s="9"/>
      <c r="D469" s="9"/>
      <c r="E469" s="8"/>
      <c r="F469" s="9"/>
      <c r="G469" s="9"/>
      <c r="H469" s="9"/>
      <c r="I469" s="9"/>
    </row>
    <row r="470" customFormat="false" ht="15" hidden="false" customHeight="false" outlineLevel="0" collapsed="false">
      <c r="A470" s="9"/>
      <c r="B470" s="9"/>
      <c r="C470" s="9"/>
      <c r="D470" s="9"/>
      <c r="E470" s="8"/>
      <c r="F470" s="9"/>
      <c r="G470" s="9"/>
      <c r="H470" s="9"/>
      <c r="I470" s="9"/>
    </row>
    <row r="471" customFormat="false" ht="15" hidden="false" customHeight="false" outlineLevel="0" collapsed="false">
      <c r="A471" s="9"/>
      <c r="B471" s="9"/>
      <c r="C471" s="9"/>
      <c r="D471" s="9"/>
      <c r="E471" s="8"/>
      <c r="F471" s="9"/>
      <c r="G471" s="9"/>
      <c r="H471" s="9"/>
      <c r="I471" s="9"/>
    </row>
    <row r="472" customFormat="false" ht="15" hidden="false" customHeight="false" outlineLevel="0" collapsed="false">
      <c r="A472" s="9"/>
      <c r="B472" s="9"/>
      <c r="C472" s="9"/>
      <c r="D472" s="9"/>
      <c r="E472" s="8"/>
      <c r="F472" s="9"/>
      <c r="G472" s="9"/>
      <c r="H472" s="9"/>
      <c r="I472" s="9"/>
    </row>
    <row r="473" customFormat="false" ht="15" hidden="false" customHeight="false" outlineLevel="0" collapsed="false">
      <c r="A473" s="9"/>
      <c r="B473" s="9"/>
      <c r="C473" s="9"/>
      <c r="D473" s="9"/>
      <c r="E473" s="8"/>
      <c r="F473" s="9"/>
      <c r="G473" s="9"/>
      <c r="H473" s="9"/>
      <c r="I473" s="9"/>
    </row>
    <row r="474" customFormat="false" ht="15" hidden="false" customHeight="false" outlineLevel="0" collapsed="false">
      <c r="A474" s="9"/>
      <c r="B474" s="9"/>
      <c r="C474" s="9"/>
      <c r="D474" s="9"/>
      <c r="E474" s="8"/>
      <c r="F474" s="9"/>
      <c r="G474" s="9"/>
      <c r="H474" s="9"/>
      <c r="I474" s="9"/>
    </row>
    <row r="475" customFormat="false" ht="15" hidden="false" customHeight="false" outlineLevel="0" collapsed="false">
      <c r="A475" s="9"/>
      <c r="B475" s="9"/>
      <c r="C475" s="9"/>
      <c r="D475" s="9"/>
      <c r="E475" s="8"/>
      <c r="F475" s="9"/>
      <c r="G475" s="9"/>
      <c r="H475" s="9"/>
      <c r="I475" s="9"/>
    </row>
    <row r="476" customFormat="false" ht="15" hidden="false" customHeight="false" outlineLevel="0" collapsed="false">
      <c r="A476" s="9"/>
      <c r="B476" s="9"/>
      <c r="C476" s="9"/>
      <c r="D476" s="9"/>
      <c r="E476" s="8"/>
      <c r="F476" s="9"/>
      <c r="G476" s="9"/>
      <c r="H476" s="9"/>
      <c r="I476" s="9"/>
    </row>
    <row r="477" customFormat="false" ht="15" hidden="false" customHeight="false" outlineLevel="0" collapsed="false">
      <c r="A477" s="9"/>
      <c r="B477" s="9"/>
      <c r="C477" s="9"/>
      <c r="D477" s="9"/>
      <c r="E477" s="8"/>
      <c r="F477" s="9"/>
      <c r="G477" s="9"/>
      <c r="H477" s="9"/>
      <c r="I477" s="9"/>
    </row>
    <row r="478" customFormat="false" ht="15" hidden="false" customHeight="false" outlineLevel="0" collapsed="false">
      <c r="A478" s="9"/>
      <c r="B478" s="9"/>
      <c r="C478" s="9"/>
      <c r="D478" s="9"/>
      <c r="E478" s="8"/>
      <c r="F478" s="9"/>
      <c r="G478" s="9"/>
      <c r="H478" s="9"/>
      <c r="I478" s="9"/>
    </row>
    <row r="479" customFormat="false" ht="15" hidden="false" customHeight="false" outlineLevel="0" collapsed="false">
      <c r="A479" s="9"/>
      <c r="B479" s="9"/>
      <c r="C479" s="9"/>
      <c r="D479" s="9"/>
      <c r="E479" s="8"/>
      <c r="F479" s="9"/>
      <c r="G479" s="9"/>
      <c r="H479" s="9"/>
      <c r="I479" s="9"/>
    </row>
    <row r="480" customFormat="false" ht="15" hidden="false" customHeight="false" outlineLevel="0" collapsed="false">
      <c r="A480" s="9"/>
      <c r="B480" s="9"/>
      <c r="C480" s="9"/>
      <c r="D480" s="9"/>
      <c r="E480" s="8"/>
      <c r="F480" s="9"/>
      <c r="G480" s="9"/>
      <c r="H480" s="9"/>
      <c r="I480" s="9"/>
    </row>
    <row r="481" customFormat="false" ht="15" hidden="false" customHeight="false" outlineLevel="0" collapsed="false">
      <c r="A481" s="9"/>
      <c r="B481" s="9"/>
      <c r="C481" s="9"/>
      <c r="D481" s="9"/>
      <c r="E481" s="8"/>
      <c r="F481" s="9"/>
      <c r="G481" s="9"/>
      <c r="H481" s="9"/>
      <c r="I481" s="9"/>
    </row>
    <row r="482" customFormat="false" ht="15" hidden="false" customHeight="false" outlineLevel="0" collapsed="false">
      <c r="A482" s="9"/>
      <c r="B482" s="9"/>
      <c r="C482" s="9"/>
      <c r="D482" s="9"/>
      <c r="E482" s="8"/>
      <c r="F482" s="9"/>
      <c r="G482" s="9"/>
      <c r="H482" s="9"/>
      <c r="I482" s="9"/>
    </row>
    <row r="483" customFormat="false" ht="15" hidden="false" customHeight="false" outlineLevel="0" collapsed="false">
      <c r="A483" s="9"/>
      <c r="B483" s="9"/>
      <c r="C483" s="9"/>
      <c r="D483" s="9"/>
      <c r="E483" s="8"/>
      <c r="F483" s="9"/>
      <c r="G483" s="9"/>
      <c r="H483" s="9"/>
      <c r="I483" s="9"/>
    </row>
    <row r="484" customFormat="false" ht="15" hidden="false" customHeight="false" outlineLevel="0" collapsed="false">
      <c r="A484" s="9"/>
      <c r="B484" s="9"/>
      <c r="C484" s="9"/>
      <c r="D484" s="9"/>
      <c r="E484" s="8"/>
      <c r="F484" s="9"/>
      <c r="G484" s="9"/>
      <c r="H484" s="9"/>
      <c r="I484" s="9"/>
    </row>
    <row r="485" customFormat="false" ht="15" hidden="false" customHeight="false" outlineLevel="0" collapsed="false">
      <c r="A485" s="9"/>
      <c r="B485" s="9"/>
      <c r="C485" s="9"/>
      <c r="D485" s="9"/>
      <c r="E485" s="8"/>
      <c r="F485" s="9"/>
      <c r="G485" s="9"/>
      <c r="H485" s="9"/>
      <c r="I485" s="9"/>
    </row>
    <row r="486" customFormat="false" ht="15" hidden="false" customHeight="false" outlineLevel="0" collapsed="false">
      <c r="A486" s="9"/>
      <c r="B486" s="9"/>
      <c r="C486" s="9"/>
      <c r="D486" s="9"/>
      <c r="E486" s="8"/>
      <c r="F486" s="9"/>
      <c r="G486" s="9"/>
      <c r="H486" s="9"/>
      <c r="I486" s="9"/>
    </row>
    <row r="487" customFormat="false" ht="15" hidden="false" customHeight="false" outlineLevel="0" collapsed="false">
      <c r="A487" s="9"/>
      <c r="B487" s="9"/>
      <c r="C487" s="9"/>
      <c r="D487" s="9"/>
      <c r="E487" s="8"/>
      <c r="F487" s="9"/>
      <c r="G487" s="9"/>
      <c r="H487" s="9"/>
      <c r="I487" s="9"/>
    </row>
    <row r="488" customFormat="false" ht="15" hidden="false" customHeight="false" outlineLevel="0" collapsed="false">
      <c r="A488" s="9"/>
      <c r="B488" s="9"/>
      <c r="C488" s="9"/>
      <c r="D488" s="9"/>
      <c r="E488" s="8"/>
      <c r="F488" s="9"/>
      <c r="G488" s="9"/>
      <c r="H488" s="9"/>
      <c r="I488" s="9"/>
    </row>
    <row r="489" customFormat="false" ht="15" hidden="false" customHeight="false" outlineLevel="0" collapsed="false">
      <c r="A489" s="9"/>
      <c r="B489" s="9"/>
      <c r="C489" s="9"/>
      <c r="D489" s="9"/>
      <c r="E489" s="8"/>
      <c r="F489" s="9"/>
      <c r="G489" s="9"/>
      <c r="H489" s="9"/>
      <c r="I489" s="9"/>
    </row>
    <row r="490" customFormat="false" ht="15" hidden="false" customHeight="false" outlineLevel="0" collapsed="false">
      <c r="A490" s="9"/>
      <c r="B490" s="9"/>
      <c r="C490" s="9"/>
      <c r="D490" s="9"/>
      <c r="E490" s="8"/>
      <c r="F490" s="9"/>
      <c r="G490" s="9"/>
      <c r="H490" s="9"/>
      <c r="I490" s="9"/>
    </row>
    <row r="491" customFormat="false" ht="15" hidden="false" customHeight="false" outlineLevel="0" collapsed="false">
      <c r="A491" s="9"/>
      <c r="B491" s="9"/>
      <c r="C491" s="9"/>
      <c r="D491" s="9"/>
      <c r="E491" s="8"/>
      <c r="F491" s="9"/>
      <c r="G491" s="9"/>
      <c r="H491" s="9"/>
      <c r="I491" s="9"/>
    </row>
    <row r="492" customFormat="false" ht="15" hidden="false" customHeight="false" outlineLevel="0" collapsed="false">
      <c r="A492" s="9"/>
      <c r="B492" s="9"/>
      <c r="C492" s="9"/>
      <c r="D492" s="9"/>
      <c r="E492" s="8"/>
      <c r="F492" s="9"/>
      <c r="G492" s="9"/>
      <c r="H492" s="9"/>
      <c r="I492" s="9"/>
    </row>
    <row r="493" customFormat="false" ht="15" hidden="false" customHeight="false" outlineLevel="0" collapsed="false">
      <c r="A493" s="9"/>
      <c r="B493" s="9"/>
      <c r="C493" s="9"/>
      <c r="D493" s="9"/>
      <c r="E493" s="8"/>
      <c r="F493" s="9"/>
      <c r="G493" s="9"/>
      <c r="H493" s="9"/>
      <c r="I493" s="9"/>
    </row>
    <row r="494" customFormat="false" ht="15" hidden="false" customHeight="false" outlineLevel="0" collapsed="false">
      <c r="A494" s="9"/>
      <c r="B494" s="9"/>
      <c r="C494" s="9"/>
      <c r="D494" s="9"/>
      <c r="E494" s="8"/>
      <c r="F494" s="9"/>
      <c r="G494" s="9"/>
      <c r="H494" s="9"/>
      <c r="I494" s="9"/>
    </row>
    <row r="495" customFormat="false" ht="15" hidden="false" customHeight="false" outlineLevel="0" collapsed="false">
      <c r="A495" s="9"/>
      <c r="B495" s="9"/>
      <c r="C495" s="9"/>
      <c r="D495" s="9"/>
      <c r="E495" s="8"/>
      <c r="F495" s="9"/>
      <c r="G495" s="9"/>
      <c r="H495" s="9"/>
      <c r="I495" s="9"/>
    </row>
    <row r="496" customFormat="false" ht="15" hidden="false" customHeight="false" outlineLevel="0" collapsed="false">
      <c r="A496" s="9"/>
      <c r="B496" s="9"/>
      <c r="C496" s="9"/>
      <c r="D496" s="9"/>
      <c r="E496" s="8"/>
      <c r="F496" s="9"/>
      <c r="G496" s="9"/>
      <c r="H496" s="9"/>
      <c r="I496" s="9"/>
    </row>
    <row r="497" customFormat="false" ht="15" hidden="false" customHeight="false" outlineLevel="0" collapsed="false">
      <c r="A497" s="9"/>
      <c r="B497" s="9"/>
      <c r="C497" s="9"/>
      <c r="D497" s="9"/>
      <c r="E497" s="8"/>
      <c r="F497" s="9"/>
      <c r="G497" s="9"/>
      <c r="H497" s="9"/>
      <c r="I497" s="9"/>
    </row>
    <row r="498" customFormat="false" ht="15" hidden="false" customHeight="false" outlineLevel="0" collapsed="false">
      <c r="A498" s="9"/>
      <c r="B498" s="9"/>
      <c r="C498" s="9"/>
      <c r="D498" s="9"/>
      <c r="E498" s="8"/>
      <c r="F498" s="9"/>
      <c r="G498" s="9"/>
      <c r="H498" s="9"/>
      <c r="I498" s="9"/>
    </row>
    <row r="499" customFormat="false" ht="15" hidden="false" customHeight="false" outlineLevel="0" collapsed="false">
      <c r="A499" s="9"/>
      <c r="B499" s="9"/>
      <c r="C499" s="9"/>
      <c r="D499" s="9"/>
      <c r="E499" s="8"/>
      <c r="F499" s="9"/>
      <c r="G499" s="9"/>
      <c r="H499" s="9"/>
      <c r="I499" s="9"/>
    </row>
    <row r="500" customFormat="false" ht="15" hidden="false" customHeight="false" outlineLevel="0" collapsed="false">
      <c r="A500" s="9"/>
      <c r="B500" s="9"/>
      <c r="C500" s="9"/>
      <c r="D500" s="9"/>
      <c r="E500" s="8"/>
      <c r="F500" s="9"/>
      <c r="G500" s="9"/>
      <c r="H500" s="9"/>
      <c r="I500" s="9"/>
    </row>
    <row r="501" customFormat="false" ht="15" hidden="false" customHeight="false" outlineLevel="0" collapsed="false">
      <c r="A501" s="9"/>
      <c r="B501" s="9"/>
      <c r="C501" s="9"/>
      <c r="D501" s="9"/>
      <c r="E501" s="8"/>
      <c r="F501" s="9"/>
      <c r="G501" s="9"/>
      <c r="H501" s="9"/>
      <c r="I501" s="9"/>
    </row>
  </sheetData>
  <dataValidations count="3">
    <dataValidation allowBlank="true" errorStyle="stop" operator="between" showDropDown="false" showErrorMessage="false" showInputMessage="false" sqref="D2:D501" type="list">
      <formula1>"买入,持续追踪,卖出"</formula1>
      <formula2>0</formula2>
    </dataValidation>
    <dataValidation allowBlank="true" errorStyle="stop" operator="between" showDropDown="false" showErrorMessage="false" showInputMessage="false" sqref="E2:E501" type="date">
      <formula1>DATE(2000,1,1)</formula1>
      <formula2>DATE(2100,12,31)</formula2>
    </dataValidation>
    <dataValidation allowBlank="true" error="请从“技术指标”工作表维护的列表中选择" errorStyle="stop" errorTitle="技术指标无效" operator="between" showDropDown="false" showErrorMessage="true" showInputMessage="false" sqref="F2:H501" type="list">
      <formula1>技术指标列表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18.2"/>
    <col collapsed="false" customWidth="true" hidden="false" outlineLevel="0" max="3" min="3" style="0" width="65.51"/>
  </cols>
  <sheetData>
    <row r="1" customFormat="false" ht="16.4" hidden="false" customHeight="false" outlineLevel="0" collapsed="false">
      <c r="A1" s="14" t="s">
        <v>366</v>
      </c>
      <c r="B1" s="14" t="s">
        <v>367</v>
      </c>
      <c r="C1" s="14" t="s">
        <v>368</v>
      </c>
    </row>
    <row r="2" customFormat="false" ht="16.4" hidden="false" customHeight="false" outlineLevel="0" collapsed="false">
      <c r="A2" s="15" t="s">
        <v>369</v>
      </c>
      <c r="B2" s="5" t="n">
        <f aca="false">COUNT(单次交易!M2:M201)</f>
        <v>88</v>
      </c>
      <c r="C2" s="15" t="s">
        <v>370</v>
      </c>
    </row>
    <row r="3" customFormat="false" ht="16.4" hidden="false" customHeight="false" outlineLevel="0" collapsed="false">
      <c r="A3" s="15" t="s">
        <v>371</v>
      </c>
      <c r="B3" s="5" t="n">
        <f aca="false">COUNTIF(单次交易!X2:X201,"&gt;0")</f>
        <v>40</v>
      </c>
      <c r="C3" s="15" t="s">
        <v>372</v>
      </c>
    </row>
    <row r="4" customFormat="false" ht="16.4" hidden="false" customHeight="false" outlineLevel="0" collapsed="false">
      <c r="A4" s="15" t="s">
        <v>373</v>
      </c>
      <c r="B4" s="5" t="n">
        <f aca="false">COUNTIF(单次交易!X2:X201,"&lt;0")</f>
        <v>38</v>
      </c>
      <c r="C4" s="15" t="s">
        <v>374</v>
      </c>
    </row>
    <row r="5" customFormat="false" ht="16.4" hidden="false" customHeight="false" outlineLevel="0" collapsed="false">
      <c r="A5" s="15" t="s">
        <v>375</v>
      </c>
      <c r="B5" s="5" t="n">
        <f aca="false">COUNTIFS(单次交易!M2:M201,"&lt;&gt;",单次交易!X2:X201,"=0")</f>
        <v>10</v>
      </c>
      <c r="C5" s="15" t="s">
        <v>376</v>
      </c>
    </row>
    <row r="6" customFormat="false" ht="16.4" hidden="false" customHeight="false" outlineLevel="0" collapsed="false">
      <c r="A6" s="15" t="s">
        <v>377</v>
      </c>
      <c r="B6" s="10" t="n">
        <f aca="false">IFERROR(B3/(B3+B4),"")</f>
        <v>0.512820512820513</v>
      </c>
      <c r="C6" s="15" t="s">
        <v>378</v>
      </c>
    </row>
    <row r="7" customFormat="false" ht="16.4" hidden="false" customHeight="false" outlineLevel="0" collapsed="false">
      <c r="A7" s="15" t="s">
        <v>379</v>
      </c>
      <c r="B7" s="10" t="n">
        <f aca="false">IFERROR(B4/(B3+B4),"")</f>
        <v>0.487179487179487</v>
      </c>
      <c r="C7" s="15" t="s">
        <v>380</v>
      </c>
    </row>
    <row r="8" customFormat="false" ht="16.4" hidden="false" customHeight="false" outlineLevel="0" collapsed="false">
      <c r="A8" s="15" t="s">
        <v>381</v>
      </c>
      <c r="B8" s="10" t="n">
        <f aca="false">IFERROR(AVERAGEIF(单次交易!X2:X201,"&gt;0",单次交易!Y2:Y201),"")</f>
        <v>0.128131090072905</v>
      </c>
      <c r="C8" s="15" t="s">
        <v>382</v>
      </c>
    </row>
    <row r="9" customFormat="false" ht="16.4" hidden="false" customHeight="false" outlineLevel="0" collapsed="false">
      <c r="A9" s="15" t="s">
        <v>383</v>
      </c>
      <c r="B9" s="10" t="n">
        <f aca="false">IFERROR(-AVERAGEIF(单次交易!X2:X201,"&lt;0",单次交易!Y2:Y201),"")</f>
        <v>0.0796890392601819</v>
      </c>
      <c r="C9" s="15" t="s">
        <v>384</v>
      </c>
    </row>
    <row r="10" customFormat="false" ht="16.4" hidden="false" customHeight="false" outlineLevel="0" collapsed="false">
      <c r="A10" s="15" t="s">
        <v>385</v>
      </c>
      <c r="B10" s="5" t="n">
        <f aca="false">SUMIF(单次交易!X2:X201,"&gt;0",单次交易!AA2:AA201)</f>
        <v>155</v>
      </c>
      <c r="C10" s="15" t="s">
        <v>386</v>
      </c>
    </row>
    <row r="11" customFormat="false" ht="16.4" hidden="false" customHeight="false" outlineLevel="0" collapsed="false">
      <c r="A11" s="15" t="s">
        <v>387</v>
      </c>
      <c r="B11" s="5" t="n">
        <f aca="false">SUMIF(单次交易!X2:X201,"&lt;0",单次交易!AA2:AA201)</f>
        <v>144</v>
      </c>
      <c r="C11" s="15" t="s">
        <v>386</v>
      </c>
    </row>
    <row r="12" customFormat="false" ht="16.4" hidden="false" customHeight="false" outlineLevel="0" collapsed="false">
      <c r="A12" s="15" t="s">
        <v>388</v>
      </c>
      <c r="B12" s="12" t="n">
        <f aca="false">IFERROR(SUMPRODUCT(单次交易!E2:E201,单次交易!H2:H201)/COUNT(单次交易!H2:H201),"")</f>
        <v>8902.34375</v>
      </c>
      <c r="C12" s="15" t="s">
        <v>389</v>
      </c>
    </row>
    <row r="13" customFormat="false" ht="16.4" hidden="false" customHeight="false" outlineLevel="0" collapsed="false">
      <c r="A13" s="15" t="s">
        <v>390</v>
      </c>
      <c r="B13" s="10" t="n">
        <f aca="false">IF(OR(B6="",B7="",B8="",B9=""),"",B6*B8-B7*B9)</f>
        <v>0.026885386038837</v>
      </c>
      <c r="C13" s="15" t="s">
        <v>391</v>
      </c>
    </row>
    <row r="14" customFormat="false" ht="16.4" hidden="false" customHeight="false" outlineLevel="0" collapsed="false">
      <c r="A14" s="15" t="s">
        <v>392</v>
      </c>
      <c r="B14" s="10" t="n">
        <f aca="false">IF(OR(B3+B4=0,B8="",B9=""),"",POWER(1+B8,B3)*POWER(1-B9,B4)-1)</f>
        <v>4.29538220026151</v>
      </c>
      <c r="C14" s="15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18.2"/>
    <col collapsed="false" customWidth="true" hidden="false" outlineLevel="0" max="3" min="3" style="0" width="65.51"/>
  </cols>
  <sheetData>
    <row r="1" customFormat="false" ht="16.4" hidden="false" customHeight="false" outlineLevel="0" collapsed="false">
      <c r="A1" s="14" t="s">
        <v>366</v>
      </c>
      <c r="B1" s="14" t="s">
        <v>394</v>
      </c>
      <c r="C1" s="14" t="s">
        <v>395</v>
      </c>
    </row>
    <row r="2" customFormat="false" ht="16.4" hidden="false" customHeight="false" outlineLevel="0" collapsed="false">
      <c r="A2" s="15" t="s">
        <v>396</v>
      </c>
      <c r="B2" s="3" t="n">
        <v>100000</v>
      </c>
      <c r="C2" s="15" t="s">
        <v>397</v>
      </c>
    </row>
    <row r="3" customFormat="false" ht="16.4" hidden="false" customHeight="false" outlineLevel="0" collapsed="false">
      <c r="A3" s="15" t="s">
        <v>398</v>
      </c>
      <c r="B3" s="12" t="n">
        <f aca="false">IF(B2="","",B2+SUM(单次交易!X2:X201))</f>
        <v>119514</v>
      </c>
      <c r="C3" s="15" t="s">
        <v>399</v>
      </c>
    </row>
    <row r="4" customFormat="false" ht="16.4" hidden="false" customHeight="false" outlineLevel="0" collapsed="false">
      <c r="A4" s="15" t="s">
        <v>400</v>
      </c>
      <c r="B4" s="4" t="n">
        <v>0.01</v>
      </c>
      <c r="C4" s="15" t="s">
        <v>401</v>
      </c>
    </row>
    <row r="5" customFormat="false" ht="16.4" hidden="false" customHeight="false" outlineLevel="0" collapsed="false">
      <c r="A5" s="15" t="s">
        <v>402</v>
      </c>
      <c r="B5" s="12" t="n">
        <f aca="false">IF(B3="","",B3*B4)</f>
        <v>1195.14</v>
      </c>
      <c r="C5" s="15" t="s">
        <v>403</v>
      </c>
    </row>
    <row r="6" customFormat="false" ht="16.4" hidden="false" customHeight="false" outlineLevel="0" collapsed="false">
      <c r="A6" s="15" t="s">
        <v>404</v>
      </c>
      <c r="B6" s="4" t="n">
        <v>0.05</v>
      </c>
      <c r="C6" s="15" t="s">
        <v>405</v>
      </c>
    </row>
    <row r="7" customFormat="false" ht="16.4" hidden="false" customHeight="false" outlineLevel="0" collapsed="false">
      <c r="A7" s="15" t="s">
        <v>406</v>
      </c>
      <c r="B7" s="12" t="n">
        <f aca="false">IF(B3="","",B3*B6)</f>
        <v>5975.7</v>
      </c>
      <c r="C7" s="15" t="s">
        <v>407</v>
      </c>
    </row>
    <row r="8" customFormat="false" ht="16.4" hidden="false" customHeight="false" outlineLevel="0" collapsed="false">
      <c r="A8" s="15" t="s">
        <v>408</v>
      </c>
      <c r="B8" s="12" t="n">
        <f aca="true">SUMIFS(单次交易!X2:X201,单次交易!X2:X201,"&lt;0",单次交易!M2:M201,"&gt;="&amp;EOMONTH(TODAY(),-1)+1,单次交易!M2:M201,"&lt;="&amp;EOMONTH(TODAY(),0))</f>
        <v>-6618</v>
      </c>
      <c r="C8" s="15" t="s">
        <v>409</v>
      </c>
    </row>
    <row r="9" customFormat="false" ht="16.4" hidden="false" customHeight="false" outlineLevel="0" collapsed="false">
      <c r="A9" s="15" t="s">
        <v>410</v>
      </c>
      <c r="B9" s="12" t="n">
        <f aca="false">IFERROR(SUMPRODUCT((单次交易!M2:M201="")*(单次交易!H2:H201&gt;0)*(单次交易!E2:E201&gt;单次交易!N2:N201)*单次交易!H2:H201*(单次交易!E2:E201-单次交易!N2:N201)),0)</f>
        <v>8325</v>
      </c>
      <c r="C9" s="15" t="s">
        <v>411</v>
      </c>
    </row>
    <row r="10" customFormat="false" ht="16.4" hidden="false" customHeight="false" outlineLevel="0" collapsed="false">
      <c r="A10" s="15" t="s">
        <v>412</v>
      </c>
      <c r="B10" s="12" t="n">
        <f aca="false">IF(OR(B7="",B9=""),"",B7-B9)</f>
        <v>-2349.3</v>
      </c>
      <c r="C10" s="15" t="s">
        <v>413</v>
      </c>
    </row>
  </sheetData>
  <conditionalFormatting sqref="B8">
    <cfRule type="cellIs" priority="2" operator="lessThan" aboveAverage="0" equalAverage="0" bottom="0" percent="0" rank="0" text="" dxfId="9">
      <formula>0</formula>
    </cfRule>
  </conditionalFormatting>
  <conditionalFormatting sqref="B10">
    <cfRule type="cellIs" priority="3" operator="lessThan" aboveAverage="0" equalAverage="0" bottom="0" percent="0" rank="0" text="" dxfId="9">
      <formula>0</formula>
    </cfRule>
  </conditionalFormatting>
  <dataValidations count="2">
    <dataValidation allowBlank="false" errorStyle="stop" operator="greaterThan" showDropDown="false" showErrorMessage="false" showInputMessage="false" sqref="B2" type="decimal">
      <formula1>0</formula1>
      <formula2>0</formula2>
    </dataValidation>
    <dataValidation allowBlank="false" errorStyle="stop" operator="between" showDropDown="false" showErrorMessage="false" showInputMessage="false" sqref="B4 B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18.2"/>
    <col collapsed="false" customWidth="true" hidden="false" outlineLevel="0" max="3" min="3" style="0" width="65.51"/>
  </cols>
  <sheetData>
    <row r="1" customFormat="false" ht="16.4" hidden="false" customHeight="false" outlineLevel="0" collapsed="false">
      <c r="A1" s="14" t="s">
        <v>366</v>
      </c>
      <c r="B1" s="14" t="s">
        <v>394</v>
      </c>
      <c r="C1" s="14" t="s">
        <v>368</v>
      </c>
    </row>
    <row r="2" customFormat="false" ht="16.4" hidden="false" customHeight="false" outlineLevel="0" collapsed="false">
      <c r="A2" s="15" t="s">
        <v>414</v>
      </c>
      <c r="B2" s="12" t="n">
        <f aca="false">账户数据!B3</f>
        <v>119514</v>
      </c>
      <c r="C2" s="15" t="s">
        <v>415</v>
      </c>
    </row>
    <row r="3" customFormat="false" ht="16.4" hidden="false" customHeight="false" outlineLevel="0" collapsed="false">
      <c r="A3" s="15" t="s">
        <v>416</v>
      </c>
      <c r="B3" s="4" t="n">
        <v>0.1</v>
      </c>
      <c r="C3" s="15" t="s">
        <v>417</v>
      </c>
    </row>
    <row r="4" customFormat="false" ht="16.4" hidden="false" customHeight="false" outlineLevel="0" collapsed="false">
      <c r="A4" s="15" t="s">
        <v>418</v>
      </c>
      <c r="B4" s="12" t="n">
        <f aca="false">IF(OR(B2="",B3=""),"",B2*B3)</f>
        <v>11951.4</v>
      </c>
      <c r="C4" s="15" t="s">
        <v>419</v>
      </c>
    </row>
    <row r="5" customFormat="false" ht="16.4" hidden="false" customHeight="false" outlineLevel="0" collapsed="false">
      <c r="A5" s="15" t="s">
        <v>388</v>
      </c>
      <c r="B5" s="12" t="n">
        <f aca="false">多次统计数据!B12</f>
        <v>8902.34375</v>
      </c>
      <c r="C5" s="15" t="s">
        <v>420</v>
      </c>
    </row>
    <row r="6" customFormat="false" ht="16.4" hidden="false" customHeight="false" outlineLevel="0" collapsed="false">
      <c r="A6" s="15" t="s">
        <v>421</v>
      </c>
      <c r="B6" s="10" t="n">
        <f aca="false">多次统计数据!B13</f>
        <v>0.026885386038837</v>
      </c>
      <c r="C6" s="15" t="s">
        <v>422</v>
      </c>
    </row>
    <row r="7" customFormat="false" ht="16.4" hidden="false" customHeight="false" outlineLevel="0" collapsed="false">
      <c r="A7" s="15" t="s">
        <v>423</v>
      </c>
      <c r="B7" s="5" t="n">
        <f aca="false">IF(OR(B4="",B5="",B6="",B5&lt;=0,B6&lt;=0),"暂不可计算",ROUNDUP(B4/(B5*B6),0))</f>
        <v>50</v>
      </c>
      <c r="C7" s="15" t="s">
        <v>424</v>
      </c>
    </row>
  </sheetData>
  <dataValidations count="1">
    <dataValidation allowBlank="false" errorStyle="stop" operator="greaterThan" showDropDown="false" showErrorMessage="false" showInputMessage="false" sqref="B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6.38"/>
    <col collapsed="false" customWidth="true" hidden="false" outlineLevel="0" max="3" min="3" style="0" width="50.95"/>
  </cols>
  <sheetData>
    <row r="1" customFormat="false" ht="42" hidden="false" customHeight="true" outlineLevel="0" collapsed="false">
      <c r="A1" s="1" t="s">
        <v>425</v>
      </c>
      <c r="B1" s="1" t="s">
        <v>426</v>
      </c>
      <c r="C1" s="1" t="s">
        <v>427</v>
      </c>
    </row>
    <row r="2" customFormat="false" ht="16.4" hidden="false" customHeight="false" outlineLevel="0" collapsed="false">
      <c r="A2" s="9" t="s">
        <v>237</v>
      </c>
      <c r="B2" s="9" t="s">
        <v>428</v>
      </c>
      <c r="C2" s="9" t="s">
        <v>429</v>
      </c>
    </row>
    <row r="3" customFormat="false" ht="16.4" hidden="false" customHeight="false" outlineLevel="0" collapsed="false">
      <c r="A3" s="9" t="s">
        <v>242</v>
      </c>
      <c r="B3" s="9" t="s">
        <v>430</v>
      </c>
      <c r="C3" s="9" t="s">
        <v>431</v>
      </c>
    </row>
    <row r="4" customFormat="false" ht="16.4" hidden="false" customHeight="false" outlineLevel="0" collapsed="false">
      <c r="A4" s="2" t="s">
        <v>247</v>
      </c>
      <c r="B4" s="9" t="s">
        <v>432</v>
      </c>
      <c r="C4" s="9" t="s">
        <v>433</v>
      </c>
    </row>
    <row r="5" customFormat="false" ht="16.4" hidden="false" customHeight="false" outlineLevel="0" collapsed="false">
      <c r="A5" s="9" t="s">
        <v>252</v>
      </c>
      <c r="B5" s="9" t="s">
        <v>430</v>
      </c>
      <c r="C5" s="9" t="s">
        <v>434</v>
      </c>
    </row>
    <row r="6" customFormat="false" ht="16.4" hidden="false" customHeight="false" outlineLevel="0" collapsed="false">
      <c r="A6" s="9" t="s">
        <v>257</v>
      </c>
      <c r="B6" s="9" t="s">
        <v>435</v>
      </c>
      <c r="C6" s="9" t="s">
        <v>436</v>
      </c>
    </row>
    <row r="7" customFormat="false" ht="16.4" hidden="false" customHeight="false" outlineLevel="0" collapsed="false">
      <c r="A7" s="2" t="s">
        <v>238</v>
      </c>
      <c r="B7" s="9" t="s">
        <v>432</v>
      </c>
      <c r="C7" s="9" t="s">
        <v>437</v>
      </c>
    </row>
    <row r="8" customFormat="false" ht="16.4" hidden="false" customHeight="false" outlineLevel="0" collapsed="false">
      <c r="A8" s="2" t="s">
        <v>243</v>
      </c>
      <c r="B8" s="9" t="s">
        <v>432</v>
      </c>
      <c r="C8" s="9" t="s">
        <v>438</v>
      </c>
    </row>
    <row r="9" customFormat="false" ht="16.4" hidden="false" customHeight="false" outlineLevel="0" collapsed="false">
      <c r="A9" s="9" t="s">
        <v>248</v>
      </c>
      <c r="B9" s="9" t="s">
        <v>439</v>
      </c>
      <c r="C9" s="9" t="s">
        <v>440</v>
      </c>
    </row>
    <row r="10" customFormat="false" ht="16.4" hidden="false" customHeight="false" outlineLevel="0" collapsed="false">
      <c r="A10" s="9" t="s">
        <v>253</v>
      </c>
      <c r="B10" s="9" t="s">
        <v>441</v>
      </c>
      <c r="C10" s="9" t="s">
        <v>442</v>
      </c>
    </row>
    <row r="11" customFormat="false" ht="16.4" hidden="false" customHeight="false" outlineLevel="0" collapsed="false">
      <c r="A11" s="9" t="s">
        <v>258</v>
      </c>
      <c r="B11" s="9" t="s">
        <v>441</v>
      </c>
      <c r="C11" s="9" t="s">
        <v>443</v>
      </c>
    </row>
    <row r="12" customFormat="false" ht="16.4" hidden="false" customHeight="false" outlineLevel="0" collapsed="false">
      <c r="A12" s="9" t="s">
        <v>239</v>
      </c>
      <c r="B12" s="9" t="s">
        <v>428</v>
      </c>
      <c r="C12" s="9" t="s">
        <v>444</v>
      </c>
    </row>
    <row r="13" customFormat="false" ht="16.4" hidden="false" customHeight="false" outlineLevel="0" collapsed="false">
      <c r="A13" s="9" t="s">
        <v>244</v>
      </c>
      <c r="B13" s="9" t="s">
        <v>428</v>
      </c>
      <c r="C13" s="9" t="s">
        <v>445</v>
      </c>
    </row>
    <row r="14" customFormat="false" ht="16.4" hidden="false" customHeight="false" outlineLevel="0" collapsed="false">
      <c r="A14" s="9" t="s">
        <v>249</v>
      </c>
      <c r="B14" s="9" t="s">
        <v>430</v>
      </c>
      <c r="C14" s="9" t="s">
        <v>446</v>
      </c>
    </row>
    <row r="15" customFormat="false" ht="16.4" hidden="false" customHeight="false" outlineLevel="0" collapsed="false">
      <c r="A15" s="9" t="s">
        <v>254</v>
      </c>
      <c r="B15" s="9" t="s">
        <v>430</v>
      </c>
      <c r="C15" s="9" t="s">
        <v>447</v>
      </c>
    </row>
    <row r="16" customFormat="false" ht="16.4" hidden="false" customHeight="false" outlineLevel="0" collapsed="false">
      <c r="A16" s="9" t="s">
        <v>259</v>
      </c>
      <c r="B16" s="9" t="s">
        <v>435</v>
      </c>
      <c r="C16" s="9" t="s">
        <v>448</v>
      </c>
    </row>
    <row r="17" customFormat="false" ht="16.4" hidden="false" customHeight="false" outlineLevel="0" collapsed="false">
      <c r="A17" s="9" t="s">
        <v>262</v>
      </c>
      <c r="B17" s="9" t="s">
        <v>432</v>
      </c>
      <c r="C17" s="9" t="s">
        <v>449</v>
      </c>
    </row>
    <row r="18" customFormat="false" ht="16.4" hidden="false" customHeight="false" outlineLevel="0" collapsed="false">
      <c r="A18" s="2" t="s">
        <v>265</v>
      </c>
      <c r="B18" s="9" t="s">
        <v>439</v>
      </c>
      <c r="C18" s="9" t="s">
        <v>450</v>
      </c>
    </row>
    <row r="19" customFormat="false" ht="16.4" hidden="false" customHeight="false" outlineLevel="0" collapsed="false">
      <c r="A19" s="9" t="s">
        <v>268</v>
      </c>
      <c r="B19" s="9" t="s">
        <v>435</v>
      </c>
      <c r="C19" s="9" t="s">
        <v>451</v>
      </c>
    </row>
    <row r="20" customFormat="false" ht="16.4" hidden="false" customHeight="false" outlineLevel="0" collapsed="false">
      <c r="A20" s="9" t="s">
        <v>271</v>
      </c>
      <c r="B20" s="9" t="s">
        <v>452</v>
      </c>
      <c r="C20" s="9" t="s">
        <v>453</v>
      </c>
    </row>
    <row r="21" customFormat="false" ht="16.4" hidden="false" customHeight="false" outlineLevel="0" collapsed="false">
      <c r="A21" s="9" t="s">
        <v>274</v>
      </c>
      <c r="B21" s="9" t="s">
        <v>454</v>
      </c>
      <c r="C21" s="9" t="s">
        <v>455</v>
      </c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  <row r="24" customFormat="false" ht="15" hidden="false" customHeight="false" outlineLevel="0" collapsed="false">
      <c r="A24" s="9"/>
      <c r="B24" s="9"/>
      <c r="C24" s="9"/>
    </row>
    <row r="25" customFormat="false" ht="15" hidden="false" customHeight="false" outlineLevel="0" collapsed="false">
      <c r="A25" s="9"/>
      <c r="B25" s="9"/>
      <c r="C25" s="9"/>
    </row>
    <row r="26" customFormat="false" ht="15" hidden="false" customHeight="false" outlineLevel="0" collapsed="false">
      <c r="A26" s="9"/>
      <c r="B26" s="9"/>
      <c r="C26" s="9"/>
    </row>
    <row r="27" customFormat="false" ht="15" hidden="false" customHeight="false" outlineLevel="0" collapsed="false">
      <c r="A27" s="9"/>
      <c r="B27" s="9"/>
      <c r="C27" s="9"/>
    </row>
    <row r="28" customFormat="false" ht="15" hidden="false" customHeight="false" outlineLevel="0" collapsed="false">
      <c r="A28" s="9"/>
      <c r="B28" s="9"/>
      <c r="C28" s="9"/>
    </row>
    <row r="29" customFormat="false" ht="15" hidden="false" customHeight="false" outlineLevel="0" collapsed="false">
      <c r="A29" s="9"/>
      <c r="B29" s="9"/>
      <c r="C29" s="9"/>
    </row>
    <row r="30" customFormat="false" ht="15" hidden="false" customHeight="false" outlineLevel="0" collapsed="false">
      <c r="A30" s="9"/>
      <c r="B30" s="9"/>
      <c r="C30" s="9"/>
    </row>
    <row r="31" customFormat="false" ht="15" hidden="false" customHeight="false" outlineLevel="0" collapsed="false">
      <c r="A31" s="9"/>
      <c r="B31" s="9"/>
      <c r="C31" s="9"/>
    </row>
    <row r="32" customFormat="false" ht="15" hidden="false" customHeight="false" outlineLevel="0" collapsed="false">
      <c r="A32" s="9"/>
      <c r="B32" s="9"/>
      <c r="C32" s="9"/>
    </row>
    <row r="33" customFormat="false" ht="15" hidden="false" customHeight="false" outlineLevel="0" collapsed="false">
      <c r="A33" s="9"/>
      <c r="B33" s="9"/>
      <c r="C33" s="9"/>
    </row>
    <row r="34" customFormat="false" ht="15" hidden="false" customHeight="false" outlineLevel="0" collapsed="false">
      <c r="A34" s="9"/>
      <c r="B34" s="9"/>
      <c r="C34" s="9"/>
    </row>
    <row r="35" customFormat="false" ht="15" hidden="false" customHeight="false" outlineLevel="0" collapsed="false">
      <c r="A35" s="9"/>
      <c r="B35" s="9"/>
      <c r="C35" s="9"/>
    </row>
    <row r="36" customFormat="false" ht="15" hidden="false" customHeight="false" outlineLevel="0" collapsed="false">
      <c r="A36" s="9"/>
      <c r="B36" s="9"/>
      <c r="C36" s="9"/>
    </row>
    <row r="37" customFormat="false" ht="15" hidden="false" customHeight="false" outlineLevel="0" collapsed="false">
      <c r="A37" s="9"/>
      <c r="B37" s="9"/>
      <c r="C37" s="9"/>
    </row>
    <row r="38" customFormat="false" ht="15" hidden="false" customHeight="false" outlineLevel="0" collapsed="false">
      <c r="A38" s="9"/>
      <c r="B38" s="9"/>
      <c r="C38" s="9"/>
    </row>
    <row r="39" customFormat="false" ht="15" hidden="false" customHeight="false" outlineLevel="0" collapsed="false">
      <c r="A39" s="9"/>
      <c r="B39" s="9"/>
      <c r="C39" s="9"/>
    </row>
    <row r="40" customFormat="false" ht="15" hidden="false" customHeight="false" outlineLevel="0" collapsed="false">
      <c r="A40" s="9"/>
      <c r="B40" s="9"/>
      <c r="C40" s="9"/>
    </row>
    <row r="41" customFormat="false" ht="15" hidden="false" customHeight="false" outlineLevel="0" collapsed="false">
      <c r="A41" s="9"/>
      <c r="B41" s="9"/>
      <c r="C41" s="9"/>
    </row>
    <row r="42" customFormat="false" ht="15" hidden="false" customHeight="false" outlineLevel="0" collapsed="false">
      <c r="A42" s="9"/>
      <c r="B42" s="9"/>
      <c r="C42" s="9"/>
    </row>
    <row r="43" customFormat="false" ht="15" hidden="false" customHeight="false" outlineLevel="0" collapsed="false">
      <c r="A43" s="9"/>
      <c r="B43" s="9"/>
      <c r="C43" s="9"/>
    </row>
    <row r="44" customFormat="false" ht="15" hidden="false" customHeight="false" outlineLevel="0" collapsed="false">
      <c r="A44" s="9"/>
      <c r="B44" s="9"/>
      <c r="C44" s="9"/>
    </row>
    <row r="45" customFormat="false" ht="15" hidden="false" customHeight="false" outlineLevel="0" collapsed="false">
      <c r="A45" s="9"/>
      <c r="B45" s="9"/>
      <c r="C45" s="9"/>
    </row>
    <row r="46" customFormat="false" ht="15" hidden="false" customHeight="false" outlineLevel="0" collapsed="false">
      <c r="A46" s="9"/>
      <c r="B46" s="9"/>
      <c r="C46" s="9"/>
    </row>
    <row r="47" customFormat="false" ht="15" hidden="false" customHeight="false" outlineLevel="0" collapsed="false">
      <c r="A47" s="9"/>
      <c r="B47" s="9"/>
      <c r="C47" s="9"/>
    </row>
    <row r="48" customFormat="false" ht="15" hidden="false" customHeight="false" outlineLevel="0" collapsed="false">
      <c r="A48" s="9"/>
      <c r="B48" s="9"/>
      <c r="C48" s="9"/>
    </row>
    <row r="49" customFormat="false" ht="15" hidden="false" customHeight="false" outlineLevel="0" collapsed="false">
      <c r="A49" s="9"/>
      <c r="B49" s="9"/>
      <c r="C49" s="9"/>
    </row>
    <row r="50" customFormat="false" ht="15" hidden="false" customHeight="false" outlineLevel="0" collapsed="false">
      <c r="A50" s="9"/>
      <c r="B50" s="9"/>
      <c r="C50" s="9"/>
    </row>
    <row r="51" customFormat="false" ht="15" hidden="false" customHeight="false" outlineLevel="0" collapsed="false">
      <c r="A51" s="9"/>
      <c r="B51" s="9"/>
      <c r="C51" s="9"/>
    </row>
    <row r="52" customFormat="false" ht="15" hidden="false" customHeight="false" outlineLevel="0" collapsed="false">
      <c r="A52" s="9"/>
      <c r="B52" s="9"/>
      <c r="C52" s="9"/>
    </row>
    <row r="53" customFormat="false" ht="15" hidden="false" customHeight="false" outlineLevel="0" collapsed="false">
      <c r="A53" s="9"/>
      <c r="B53" s="9"/>
      <c r="C53" s="9"/>
    </row>
    <row r="54" customFormat="false" ht="15" hidden="false" customHeight="false" outlineLevel="0" collapsed="false">
      <c r="A54" s="9"/>
      <c r="B54" s="9"/>
      <c r="C54" s="9"/>
    </row>
    <row r="55" customFormat="false" ht="15" hidden="false" customHeight="false" outlineLevel="0" collapsed="false">
      <c r="A55" s="9"/>
      <c r="B55" s="9"/>
      <c r="C55" s="9"/>
    </row>
    <row r="56" customFormat="false" ht="15" hidden="false" customHeight="false" outlineLevel="0" collapsed="false">
      <c r="A56" s="9"/>
      <c r="B56" s="9"/>
      <c r="C56" s="9"/>
    </row>
    <row r="57" customFormat="false" ht="15" hidden="false" customHeight="false" outlineLevel="0" collapsed="false">
      <c r="A57" s="9"/>
      <c r="B57" s="9"/>
      <c r="C57" s="9"/>
    </row>
    <row r="58" customFormat="false" ht="15" hidden="false" customHeight="false" outlineLevel="0" collapsed="false">
      <c r="A58" s="9"/>
      <c r="B58" s="9"/>
      <c r="C58" s="9"/>
    </row>
    <row r="59" customFormat="false" ht="15" hidden="false" customHeight="false" outlineLevel="0" collapsed="false">
      <c r="A59" s="9"/>
      <c r="B59" s="9"/>
      <c r="C59" s="9"/>
    </row>
    <row r="60" customFormat="false" ht="15" hidden="false" customHeight="false" outlineLevel="0" collapsed="false">
      <c r="A60" s="9"/>
      <c r="B60" s="9"/>
      <c r="C60" s="9"/>
    </row>
    <row r="61" customFormat="false" ht="15" hidden="false" customHeight="false" outlineLevel="0" collapsed="false">
      <c r="A61" s="9"/>
      <c r="B61" s="9"/>
      <c r="C61" s="9"/>
    </row>
    <row r="62" customFormat="false" ht="15" hidden="false" customHeight="false" outlineLevel="0" collapsed="false">
      <c r="A62" s="9"/>
      <c r="B62" s="9"/>
      <c r="C62" s="9"/>
    </row>
    <row r="63" customFormat="false" ht="15" hidden="false" customHeight="false" outlineLevel="0" collapsed="false">
      <c r="A63" s="9"/>
      <c r="B63" s="9"/>
      <c r="C63" s="9"/>
    </row>
    <row r="64" customFormat="false" ht="15" hidden="false" customHeight="false" outlineLevel="0" collapsed="false">
      <c r="A64" s="9"/>
      <c r="B64" s="9"/>
      <c r="C64" s="9"/>
    </row>
    <row r="65" customFormat="false" ht="15" hidden="false" customHeight="false" outlineLevel="0" collapsed="false">
      <c r="A65" s="9"/>
      <c r="B65" s="9"/>
      <c r="C65" s="9"/>
    </row>
    <row r="66" customFormat="false" ht="15" hidden="false" customHeight="false" outlineLevel="0" collapsed="false">
      <c r="A66" s="9"/>
      <c r="B66" s="9"/>
      <c r="C66" s="9"/>
    </row>
    <row r="67" customFormat="false" ht="15" hidden="false" customHeight="false" outlineLevel="0" collapsed="false">
      <c r="A67" s="9"/>
      <c r="B67" s="9"/>
      <c r="C67" s="9"/>
    </row>
    <row r="68" customFormat="false" ht="15" hidden="false" customHeight="false" outlineLevel="0" collapsed="false">
      <c r="A68" s="9"/>
      <c r="B68" s="9"/>
      <c r="C68" s="9"/>
    </row>
    <row r="69" customFormat="false" ht="15" hidden="false" customHeight="false" outlineLevel="0" collapsed="false">
      <c r="A69" s="9"/>
      <c r="B69" s="9"/>
      <c r="C69" s="9"/>
    </row>
    <row r="70" customFormat="false" ht="15" hidden="false" customHeight="false" outlineLevel="0" collapsed="false">
      <c r="A70" s="9"/>
      <c r="B70" s="9"/>
      <c r="C70" s="9"/>
    </row>
    <row r="71" customFormat="false" ht="15" hidden="false" customHeight="false" outlineLevel="0" collapsed="false">
      <c r="A71" s="9"/>
      <c r="B71" s="9"/>
      <c r="C71" s="9"/>
    </row>
    <row r="72" customFormat="false" ht="15" hidden="false" customHeight="false" outlineLevel="0" collapsed="false">
      <c r="A72" s="9"/>
      <c r="B72" s="9"/>
      <c r="C72" s="9"/>
    </row>
    <row r="73" customFormat="false" ht="15" hidden="false" customHeight="false" outlineLevel="0" collapsed="false">
      <c r="A73" s="9"/>
      <c r="B73" s="9"/>
      <c r="C73" s="9"/>
    </row>
    <row r="74" customFormat="false" ht="15" hidden="false" customHeight="false" outlineLevel="0" collapsed="false">
      <c r="A74" s="9"/>
      <c r="B74" s="9"/>
      <c r="C74" s="9"/>
    </row>
    <row r="75" customFormat="false" ht="15" hidden="false" customHeight="false" outlineLevel="0" collapsed="false">
      <c r="A75" s="9"/>
      <c r="B75" s="9"/>
      <c r="C75" s="9"/>
    </row>
    <row r="76" customFormat="false" ht="15" hidden="false" customHeight="false" outlineLevel="0" collapsed="false">
      <c r="A76" s="9"/>
      <c r="B76" s="9"/>
      <c r="C76" s="9"/>
    </row>
    <row r="77" customFormat="false" ht="15" hidden="false" customHeight="false" outlineLevel="0" collapsed="false">
      <c r="A77" s="9"/>
      <c r="B77" s="9"/>
      <c r="C77" s="9"/>
    </row>
    <row r="78" customFormat="false" ht="15" hidden="false" customHeight="false" outlineLevel="0" collapsed="false">
      <c r="A78" s="9"/>
      <c r="B78" s="9"/>
      <c r="C78" s="9"/>
    </row>
    <row r="79" customFormat="false" ht="15" hidden="false" customHeight="false" outlineLevel="0" collapsed="false">
      <c r="A79" s="9"/>
      <c r="B79" s="9"/>
      <c r="C79" s="9"/>
    </row>
    <row r="80" customFormat="false" ht="15" hidden="false" customHeight="false" outlineLevel="0" collapsed="false">
      <c r="A80" s="9"/>
      <c r="B80" s="9"/>
      <c r="C80" s="9"/>
    </row>
    <row r="81" customFormat="false" ht="15" hidden="false" customHeight="false" outlineLevel="0" collapsed="false">
      <c r="A81" s="9"/>
      <c r="B81" s="9"/>
      <c r="C81" s="9"/>
    </row>
    <row r="82" customFormat="false" ht="15" hidden="false" customHeight="false" outlineLevel="0" collapsed="false">
      <c r="A82" s="9"/>
      <c r="B82" s="9"/>
      <c r="C82" s="9"/>
    </row>
    <row r="83" customFormat="false" ht="15" hidden="false" customHeight="false" outlineLevel="0" collapsed="false">
      <c r="A83" s="9"/>
      <c r="B83" s="9"/>
      <c r="C83" s="9"/>
    </row>
    <row r="84" customFormat="false" ht="15" hidden="false" customHeight="false" outlineLevel="0" collapsed="false">
      <c r="A84" s="9"/>
      <c r="B84" s="9"/>
      <c r="C84" s="9"/>
    </row>
    <row r="85" customFormat="false" ht="15" hidden="false" customHeight="false" outlineLevel="0" collapsed="false">
      <c r="A85" s="9"/>
      <c r="B85" s="9"/>
      <c r="C85" s="9"/>
    </row>
    <row r="86" customFormat="false" ht="15" hidden="false" customHeight="false" outlineLevel="0" collapsed="false">
      <c r="A86" s="9"/>
      <c r="B86" s="9"/>
      <c r="C86" s="9"/>
    </row>
    <row r="87" customFormat="false" ht="15" hidden="false" customHeight="false" outlineLevel="0" collapsed="false">
      <c r="A87" s="9"/>
      <c r="B87" s="9"/>
      <c r="C87" s="9"/>
    </row>
    <row r="88" customFormat="false" ht="15" hidden="false" customHeight="false" outlineLevel="0" collapsed="false">
      <c r="A88" s="9"/>
      <c r="B88" s="9"/>
      <c r="C88" s="9"/>
    </row>
    <row r="89" customFormat="false" ht="15" hidden="false" customHeight="false" outlineLevel="0" collapsed="false">
      <c r="A89" s="9"/>
      <c r="B89" s="9"/>
      <c r="C89" s="9"/>
    </row>
    <row r="90" customFormat="false" ht="15" hidden="false" customHeight="false" outlineLevel="0" collapsed="false">
      <c r="A90" s="9"/>
      <c r="B90" s="9"/>
      <c r="C90" s="9"/>
    </row>
    <row r="91" customFormat="false" ht="15" hidden="false" customHeight="false" outlineLevel="0" collapsed="false">
      <c r="A91" s="9"/>
      <c r="B91" s="9"/>
      <c r="C91" s="9"/>
    </row>
    <row r="92" customFormat="false" ht="15" hidden="false" customHeight="false" outlineLevel="0" collapsed="false">
      <c r="A92" s="9"/>
      <c r="B92" s="9"/>
      <c r="C92" s="9"/>
    </row>
    <row r="93" customFormat="false" ht="15" hidden="false" customHeight="false" outlineLevel="0" collapsed="false">
      <c r="A93" s="9"/>
      <c r="B93" s="9"/>
      <c r="C93" s="9"/>
    </row>
    <row r="94" customFormat="false" ht="15" hidden="false" customHeight="false" outlineLevel="0" collapsed="false">
      <c r="A94" s="9"/>
      <c r="B94" s="9"/>
      <c r="C94" s="9"/>
    </row>
    <row r="95" customFormat="false" ht="15" hidden="false" customHeight="false" outlineLevel="0" collapsed="false">
      <c r="A95" s="9"/>
      <c r="B95" s="9"/>
      <c r="C95" s="9"/>
    </row>
    <row r="96" customFormat="false" ht="15" hidden="false" customHeight="false" outlineLevel="0" collapsed="false">
      <c r="A96" s="9"/>
      <c r="B96" s="9"/>
      <c r="C96" s="9"/>
    </row>
    <row r="97" customFormat="false" ht="15" hidden="false" customHeight="false" outlineLevel="0" collapsed="false">
      <c r="A97" s="9"/>
      <c r="B97" s="9"/>
      <c r="C97" s="9"/>
    </row>
    <row r="98" customFormat="false" ht="15" hidden="false" customHeight="false" outlineLevel="0" collapsed="false">
      <c r="A98" s="9"/>
      <c r="B98" s="9"/>
      <c r="C98" s="9"/>
    </row>
    <row r="99" customFormat="false" ht="15" hidden="false" customHeight="false" outlineLevel="0" collapsed="false">
      <c r="A99" s="9"/>
      <c r="B99" s="9"/>
      <c r="C99" s="9"/>
    </row>
    <row r="100" customFormat="false" ht="15" hidden="false" customHeight="false" outlineLevel="0" collapsed="false">
      <c r="A100" s="9"/>
      <c r="B100" s="9"/>
      <c r="C100" s="9"/>
    </row>
    <row r="101" customFormat="false" ht="15" hidden="false" customHeight="false" outlineLevel="0" collapsed="false">
      <c r="A101" s="9"/>
      <c r="B101" s="9"/>
      <c r="C101" s="9"/>
    </row>
    <row r="102" customFormat="false" ht="15" hidden="false" customHeight="false" outlineLevel="0" collapsed="false">
      <c r="A102" s="9"/>
      <c r="B102" s="9"/>
      <c r="C102" s="9"/>
    </row>
    <row r="103" customFormat="false" ht="15" hidden="false" customHeight="false" outlineLevel="0" collapsed="false">
      <c r="A103" s="9"/>
      <c r="B103" s="9"/>
      <c r="C103" s="9"/>
    </row>
    <row r="104" customFormat="false" ht="15" hidden="false" customHeight="false" outlineLevel="0" collapsed="false">
      <c r="A104" s="9"/>
      <c r="B104" s="9"/>
      <c r="C104" s="9"/>
    </row>
    <row r="105" customFormat="false" ht="15" hidden="false" customHeight="false" outlineLevel="0" collapsed="false">
      <c r="A105" s="9"/>
      <c r="B105" s="9"/>
      <c r="C105" s="9"/>
    </row>
    <row r="106" customFormat="false" ht="15" hidden="false" customHeight="false" outlineLevel="0" collapsed="false">
      <c r="A106" s="9"/>
      <c r="B106" s="9"/>
      <c r="C106" s="9"/>
    </row>
    <row r="107" customFormat="false" ht="15" hidden="false" customHeight="false" outlineLevel="0" collapsed="false">
      <c r="A107" s="9"/>
      <c r="B107" s="9"/>
      <c r="C107" s="9"/>
    </row>
    <row r="108" customFormat="false" ht="15" hidden="false" customHeight="false" outlineLevel="0" collapsed="false">
      <c r="A108" s="9"/>
      <c r="B108" s="9"/>
      <c r="C108" s="9"/>
    </row>
    <row r="109" customFormat="false" ht="15" hidden="false" customHeight="false" outlineLevel="0" collapsed="false">
      <c r="A109" s="9"/>
      <c r="B109" s="9"/>
      <c r="C109" s="9"/>
    </row>
    <row r="110" customFormat="false" ht="15" hidden="false" customHeight="false" outlineLevel="0" collapsed="false">
      <c r="A110" s="9"/>
      <c r="B110" s="9"/>
      <c r="C110" s="9"/>
    </row>
    <row r="111" customFormat="false" ht="15" hidden="false" customHeight="false" outlineLevel="0" collapsed="false">
      <c r="A111" s="9"/>
      <c r="B111" s="9"/>
      <c r="C111" s="9"/>
    </row>
    <row r="112" customFormat="false" ht="15" hidden="false" customHeight="false" outlineLevel="0" collapsed="false">
      <c r="A112" s="9"/>
      <c r="B112" s="9"/>
      <c r="C112" s="9"/>
    </row>
    <row r="113" customFormat="false" ht="15" hidden="false" customHeight="false" outlineLevel="0" collapsed="false">
      <c r="A113" s="9"/>
      <c r="B113" s="9"/>
      <c r="C113" s="9"/>
    </row>
    <row r="114" customFormat="false" ht="15" hidden="false" customHeight="false" outlineLevel="0" collapsed="false">
      <c r="A114" s="9"/>
      <c r="B114" s="9"/>
      <c r="C114" s="9"/>
    </row>
    <row r="115" customFormat="false" ht="15" hidden="false" customHeight="false" outlineLevel="0" collapsed="false">
      <c r="A115" s="9"/>
      <c r="B115" s="9"/>
      <c r="C115" s="9"/>
    </row>
    <row r="116" customFormat="false" ht="15" hidden="false" customHeight="false" outlineLevel="0" collapsed="false">
      <c r="A116" s="9"/>
      <c r="B116" s="9"/>
      <c r="C116" s="9"/>
    </row>
    <row r="117" customFormat="false" ht="15" hidden="false" customHeight="false" outlineLevel="0" collapsed="false">
      <c r="A117" s="9"/>
      <c r="B117" s="9"/>
      <c r="C117" s="9"/>
    </row>
    <row r="118" customFormat="false" ht="15" hidden="false" customHeight="false" outlineLevel="0" collapsed="false">
      <c r="A118" s="9"/>
      <c r="B118" s="9"/>
      <c r="C118" s="9"/>
    </row>
    <row r="119" customFormat="false" ht="15" hidden="false" customHeight="false" outlineLevel="0" collapsed="false">
      <c r="A119" s="9"/>
      <c r="B119" s="9"/>
      <c r="C119" s="9"/>
    </row>
    <row r="120" customFormat="false" ht="15" hidden="false" customHeight="false" outlineLevel="0" collapsed="false">
      <c r="A120" s="9"/>
      <c r="B120" s="9"/>
      <c r="C120" s="9"/>
    </row>
    <row r="121" customFormat="false" ht="15" hidden="false" customHeight="false" outlineLevel="0" collapsed="false">
      <c r="A121" s="9"/>
      <c r="B121" s="9"/>
      <c r="C121" s="9"/>
    </row>
    <row r="122" customFormat="false" ht="15" hidden="false" customHeight="false" outlineLevel="0" collapsed="false">
      <c r="A122" s="9"/>
      <c r="B122" s="9"/>
      <c r="C122" s="9"/>
    </row>
    <row r="123" customFormat="false" ht="15" hidden="false" customHeight="false" outlineLevel="0" collapsed="false">
      <c r="A123" s="9"/>
      <c r="B123" s="9"/>
      <c r="C123" s="9"/>
    </row>
    <row r="124" customFormat="false" ht="15" hidden="false" customHeight="false" outlineLevel="0" collapsed="false">
      <c r="A124" s="9"/>
      <c r="B124" s="9"/>
      <c r="C124" s="9"/>
    </row>
    <row r="125" customFormat="false" ht="15" hidden="false" customHeight="false" outlineLevel="0" collapsed="false">
      <c r="A125" s="9"/>
      <c r="B125" s="9"/>
      <c r="C125" s="9"/>
    </row>
    <row r="126" customFormat="false" ht="15" hidden="false" customHeight="false" outlineLevel="0" collapsed="false">
      <c r="A126" s="9"/>
      <c r="B126" s="9"/>
      <c r="C126" s="9"/>
    </row>
    <row r="127" customFormat="false" ht="15" hidden="false" customHeight="false" outlineLevel="0" collapsed="false">
      <c r="A127" s="9"/>
      <c r="B127" s="9"/>
      <c r="C127" s="9"/>
    </row>
    <row r="128" customFormat="false" ht="15" hidden="false" customHeight="false" outlineLevel="0" collapsed="false">
      <c r="A128" s="9"/>
      <c r="B128" s="9"/>
      <c r="C128" s="9"/>
    </row>
    <row r="129" customFormat="false" ht="15" hidden="false" customHeight="false" outlineLevel="0" collapsed="false">
      <c r="A129" s="9"/>
      <c r="B129" s="9"/>
      <c r="C129" s="9"/>
    </row>
    <row r="130" customFormat="false" ht="15" hidden="false" customHeight="false" outlineLevel="0" collapsed="false">
      <c r="A130" s="9"/>
      <c r="B130" s="9"/>
      <c r="C130" s="9"/>
    </row>
    <row r="131" customFormat="false" ht="15" hidden="false" customHeight="false" outlineLevel="0" collapsed="false">
      <c r="A131" s="9"/>
      <c r="B131" s="9"/>
      <c r="C131" s="9"/>
    </row>
    <row r="132" customFormat="false" ht="15" hidden="false" customHeight="false" outlineLevel="0" collapsed="false">
      <c r="A132" s="9"/>
      <c r="B132" s="9"/>
      <c r="C132" s="9"/>
    </row>
    <row r="133" customFormat="false" ht="15" hidden="false" customHeight="false" outlineLevel="0" collapsed="false">
      <c r="A133" s="9"/>
      <c r="B133" s="9"/>
      <c r="C133" s="9"/>
    </row>
    <row r="134" customFormat="false" ht="15" hidden="false" customHeight="false" outlineLevel="0" collapsed="false">
      <c r="A134" s="9"/>
      <c r="B134" s="9"/>
      <c r="C134" s="9"/>
    </row>
    <row r="135" customFormat="false" ht="15" hidden="false" customHeight="false" outlineLevel="0" collapsed="false">
      <c r="A135" s="9"/>
      <c r="B135" s="9"/>
      <c r="C135" s="9"/>
    </row>
    <row r="136" customFormat="false" ht="15" hidden="false" customHeight="false" outlineLevel="0" collapsed="false">
      <c r="A136" s="9"/>
      <c r="B136" s="9"/>
      <c r="C136" s="9"/>
    </row>
    <row r="137" customFormat="false" ht="15" hidden="false" customHeight="false" outlineLevel="0" collapsed="false">
      <c r="A137" s="9"/>
      <c r="B137" s="9"/>
      <c r="C137" s="9"/>
    </row>
    <row r="138" customFormat="false" ht="15" hidden="false" customHeight="false" outlineLevel="0" collapsed="false">
      <c r="A138" s="9"/>
      <c r="B138" s="9"/>
      <c r="C138" s="9"/>
    </row>
    <row r="139" customFormat="false" ht="15" hidden="false" customHeight="false" outlineLevel="0" collapsed="false">
      <c r="A139" s="9"/>
      <c r="B139" s="9"/>
      <c r="C139" s="9"/>
    </row>
    <row r="140" customFormat="false" ht="15" hidden="false" customHeight="false" outlineLevel="0" collapsed="false">
      <c r="A140" s="9"/>
      <c r="B140" s="9"/>
      <c r="C140" s="9"/>
    </row>
    <row r="141" customFormat="false" ht="15" hidden="false" customHeight="false" outlineLevel="0" collapsed="false">
      <c r="A141" s="9"/>
      <c r="B141" s="9"/>
      <c r="C141" s="9"/>
    </row>
    <row r="142" customFormat="false" ht="15" hidden="false" customHeight="false" outlineLevel="0" collapsed="false">
      <c r="A142" s="9"/>
      <c r="B142" s="9"/>
      <c r="C142" s="9"/>
    </row>
    <row r="143" customFormat="false" ht="15" hidden="false" customHeight="false" outlineLevel="0" collapsed="false">
      <c r="A143" s="9"/>
      <c r="B143" s="9"/>
      <c r="C143" s="9"/>
    </row>
    <row r="144" customFormat="false" ht="15" hidden="false" customHeight="false" outlineLevel="0" collapsed="false">
      <c r="A144" s="9"/>
      <c r="B144" s="9"/>
      <c r="C144" s="9"/>
    </row>
    <row r="145" customFormat="false" ht="15" hidden="false" customHeight="false" outlineLevel="0" collapsed="false">
      <c r="A145" s="9"/>
      <c r="B145" s="9"/>
      <c r="C145" s="9"/>
    </row>
    <row r="146" customFormat="false" ht="15" hidden="false" customHeight="false" outlineLevel="0" collapsed="false">
      <c r="A146" s="9"/>
      <c r="B146" s="9"/>
      <c r="C146" s="9"/>
    </row>
    <row r="147" customFormat="false" ht="15" hidden="false" customHeight="false" outlineLevel="0" collapsed="false">
      <c r="A147" s="9"/>
      <c r="B147" s="9"/>
      <c r="C147" s="9"/>
    </row>
    <row r="148" customFormat="false" ht="15" hidden="false" customHeight="false" outlineLevel="0" collapsed="false">
      <c r="A148" s="9"/>
      <c r="B148" s="9"/>
      <c r="C148" s="9"/>
    </row>
    <row r="149" customFormat="false" ht="15" hidden="false" customHeight="false" outlineLevel="0" collapsed="false">
      <c r="A149" s="9"/>
      <c r="B149" s="9"/>
      <c r="C149" s="9"/>
    </row>
    <row r="150" customFormat="false" ht="15" hidden="false" customHeight="false" outlineLevel="0" collapsed="false">
      <c r="A150" s="9"/>
      <c r="B150" s="9"/>
      <c r="C150" s="9"/>
    </row>
    <row r="151" customFormat="false" ht="15" hidden="false" customHeight="false" outlineLevel="0" collapsed="false">
      <c r="A151" s="9"/>
      <c r="B151" s="9"/>
      <c r="C151" s="9"/>
    </row>
    <row r="152" customFormat="false" ht="15" hidden="false" customHeight="false" outlineLevel="0" collapsed="false">
      <c r="A152" s="9"/>
      <c r="B152" s="9"/>
      <c r="C152" s="9"/>
    </row>
    <row r="153" customFormat="false" ht="15" hidden="false" customHeight="false" outlineLevel="0" collapsed="false">
      <c r="A153" s="9"/>
      <c r="B153" s="9"/>
      <c r="C153" s="9"/>
    </row>
    <row r="154" customFormat="false" ht="15" hidden="false" customHeight="false" outlineLevel="0" collapsed="false">
      <c r="A154" s="9"/>
      <c r="B154" s="9"/>
      <c r="C154" s="9"/>
    </row>
    <row r="155" customFormat="false" ht="15" hidden="false" customHeight="false" outlineLevel="0" collapsed="false">
      <c r="A155" s="9"/>
      <c r="B155" s="9"/>
      <c r="C155" s="9"/>
    </row>
    <row r="156" customFormat="false" ht="15" hidden="false" customHeight="false" outlineLevel="0" collapsed="false">
      <c r="A156" s="9"/>
      <c r="B156" s="9"/>
      <c r="C156" s="9"/>
    </row>
    <row r="157" customFormat="false" ht="15" hidden="false" customHeight="false" outlineLevel="0" collapsed="false">
      <c r="A157" s="9"/>
      <c r="B157" s="9"/>
      <c r="C157" s="9"/>
    </row>
    <row r="158" customFormat="false" ht="15" hidden="false" customHeight="false" outlineLevel="0" collapsed="false">
      <c r="A158" s="9"/>
      <c r="B158" s="9"/>
      <c r="C158" s="9"/>
    </row>
    <row r="159" customFormat="false" ht="15" hidden="false" customHeight="false" outlineLevel="0" collapsed="false">
      <c r="A159" s="9"/>
      <c r="B159" s="9"/>
      <c r="C159" s="9"/>
    </row>
    <row r="160" customFormat="false" ht="15" hidden="false" customHeight="false" outlineLevel="0" collapsed="false">
      <c r="A160" s="9"/>
      <c r="B160" s="9"/>
      <c r="C160" s="9"/>
    </row>
    <row r="161" customFormat="false" ht="15" hidden="false" customHeight="false" outlineLevel="0" collapsed="false">
      <c r="A161" s="9"/>
      <c r="B161" s="9"/>
      <c r="C161" s="9"/>
    </row>
    <row r="162" customFormat="false" ht="15" hidden="false" customHeight="false" outlineLevel="0" collapsed="false">
      <c r="A162" s="9"/>
      <c r="B162" s="9"/>
      <c r="C162" s="9"/>
    </row>
    <row r="163" customFormat="false" ht="15" hidden="false" customHeight="false" outlineLevel="0" collapsed="false">
      <c r="A163" s="9"/>
      <c r="B163" s="9"/>
      <c r="C163" s="9"/>
    </row>
    <row r="164" customFormat="false" ht="15" hidden="false" customHeight="false" outlineLevel="0" collapsed="false">
      <c r="A164" s="9"/>
      <c r="B164" s="9"/>
      <c r="C164" s="9"/>
    </row>
    <row r="165" customFormat="false" ht="15" hidden="false" customHeight="false" outlineLevel="0" collapsed="false">
      <c r="A165" s="9"/>
      <c r="B165" s="9"/>
      <c r="C165" s="9"/>
    </row>
    <row r="166" customFormat="false" ht="15" hidden="false" customHeight="false" outlineLevel="0" collapsed="false">
      <c r="A166" s="9"/>
      <c r="B166" s="9"/>
      <c r="C166" s="9"/>
    </row>
    <row r="167" customFormat="false" ht="15" hidden="false" customHeight="false" outlineLevel="0" collapsed="false">
      <c r="A167" s="9"/>
      <c r="B167" s="9"/>
      <c r="C167" s="9"/>
    </row>
    <row r="168" customFormat="false" ht="15" hidden="false" customHeight="false" outlineLevel="0" collapsed="false">
      <c r="A168" s="9"/>
      <c r="B168" s="9"/>
      <c r="C168" s="9"/>
    </row>
    <row r="169" customFormat="false" ht="15" hidden="false" customHeight="false" outlineLevel="0" collapsed="false">
      <c r="A169" s="9"/>
      <c r="B169" s="9"/>
      <c r="C169" s="9"/>
    </row>
    <row r="170" customFormat="false" ht="15" hidden="false" customHeight="false" outlineLevel="0" collapsed="false">
      <c r="A170" s="9"/>
      <c r="B170" s="9"/>
      <c r="C170" s="9"/>
    </row>
    <row r="171" customFormat="false" ht="15" hidden="false" customHeight="false" outlineLevel="0" collapsed="false">
      <c r="A171" s="9"/>
      <c r="B171" s="9"/>
      <c r="C171" s="9"/>
    </row>
    <row r="172" customFormat="false" ht="15" hidden="false" customHeight="false" outlineLevel="0" collapsed="false">
      <c r="A172" s="9"/>
      <c r="B172" s="9"/>
      <c r="C172" s="9"/>
    </row>
    <row r="173" customFormat="false" ht="15" hidden="false" customHeight="false" outlineLevel="0" collapsed="false">
      <c r="A173" s="9"/>
      <c r="B173" s="9"/>
      <c r="C173" s="9"/>
    </row>
    <row r="174" customFormat="false" ht="15" hidden="false" customHeight="false" outlineLevel="0" collapsed="false">
      <c r="A174" s="9"/>
      <c r="B174" s="9"/>
      <c r="C174" s="9"/>
    </row>
    <row r="175" customFormat="false" ht="15" hidden="false" customHeight="false" outlineLevel="0" collapsed="false">
      <c r="A175" s="9"/>
      <c r="B175" s="9"/>
      <c r="C175" s="9"/>
    </row>
    <row r="176" customFormat="false" ht="15" hidden="false" customHeight="false" outlineLevel="0" collapsed="false">
      <c r="A176" s="9"/>
      <c r="B176" s="9"/>
      <c r="C176" s="9"/>
    </row>
    <row r="177" customFormat="false" ht="15" hidden="false" customHeight="false" outlineLevel="0" collapsed="false">
      <c r="A177" s="9"/>
      <c r="B177" s="9"/>
      <c r="C177" s="9"/>
    </row>
    <row r="178" customFormat="false" ht="15" hidden="false" customHeight="false" outlineLevel="0" collapsed="false">
      <c r="A178" s="9"/>
      <c r="B178" s="9"/>
      <c r="C178" s="9"/>
    </row>
    <row r="179" customFormat="false" ht="15" hidden="false" customHeight="false" outlineLevel="0" collapsed="false">
      <c r="A179" s="9"/>
      <c r="B179" s="9"/>
      <c r="C179" s="9"/>
    </row>
    <row r="180" customFormat="false" ht="15" hidden="false" customHeight="false" outlineLevel="0" collapsed="false">
      <c r="A180" s="9"/>
      <c r="B180" s="9"/>
      <c r="C180" s="9"/>
    </row>
    <row r="181" customFormat="false" ht="15" hidden="false" customHeight="false" outlineLevel="0" collapsed="false">
      <c r="A181" s="9"/>
      <c r="B181" s="9"/>
      <c r="C181" s="9"/>
    </row>
    <row r="182" customFormat="false" ht="15" hidden="false" customHeight="false" outlineLevel="0" collapsed="false">
      <c r="A182" s="9"/>
      <c r="B182" s="9"/>
      <c r="C182" s="9"/>
    </row>
    <row r="183" customFormat="false" ht="15" hidden="false" customHeight="false" outlineLevel="0" collapsed="false">
      <c r="A183" s="9"/>
      <c r="B183" s="9"/>
      <c r="C183" s="9"/>
    </row>
    <row r="184" customFormat="false" ht="15" hidden="false" customHeight="false" outlineLevel="0" collapsed="false">
      <c r="A184" s="9"/>
      <c r="B184" s="9"/>
      <c r="C184" s="9"/>
    </row>
    <row r="185" customFormat="false" ht="15" hidden="false" customHeight="false" outlineLevel="0" collapsed="false">
      <c r="A185" s="9"/>
      <c r="B185" s="9"/>
      <c r="C185" s="9"/>
    </row>
    <row r="186" customFormat="false" ht="15" hidden="false" customHeight="false" outlineLevel="0" collapsed="false">
      <c r="A186" s="9"/>
      <c r="B186" s="9"/>
      <c r="C186" s="9"/>
    </row>
    <row r="187" customFormat="false" ht="15" hidden="false" customHeight="false" outlineLevel="0" collapsed="false">
      <c r="A187" s="9"/>
      <c r="B187" s="9"/>
      <c r="C187" s="9"/>
    </row>
    <row r="188" customFormat="false" ht="15" hidden="false" customHeight="false" outlineLevel="0" collapsed="false">
      <c r="A188" s="9"/>
      <c r="B188" s="9"/>
      <c r="C188" s="9"/>
    </row>
    <row r="189" customFormat="false" ht="15" hidden="false" customHeight="false" outlineLevel="0" collapsed="false">
      <c r="A189" s="9"/>
      <c r="B189" s="9"/>
      <c r="C189" s="9"/>
    </row>
    <row r="190" customFormat="false" ht="15" hidden="false" customHeight="false" outlineLevel="0" collapsed="false">
      <c r="A190" s="9"/>
      <c r="B190" s="9"/>
      <c r="C190" s="9"/>
    </row>
    <row r="191" customFormat="false" ht="15" hidden="false" customHeight="false" outlineLevel="0" collapsed="false">
      <c r="A191" s="9"/>
      <c r="B191" s="9"/>
      <c r="C191" s="9"/>
    </row>
    <row r="192" customFormat="false" ht="15" hidden="false" customHeight="false" outlineLevel="0" collapsed="false">
      <c r="A192" s="9"/>
      <c r="B192" s="9"/>
      <c r="C192" s="9"/>
    </row>
    <row r="193" customFormat="false" ht="15" hidden="false" customHeight="false" outlineLevel="0" collapsed="false">
      <c r="A193" s="9"/>
      <c r="B193" s="9"/>
      <c r="C193" s="9"/>
    </row>
    <row r="194" customFormat="false" ht="15" hidden="false" customHeight="false" outlineLevel="0" collapsed="false">
      <c r="A194" s="9"/>
      <c r="B194" s="9"/>
      <c r="C194" s="9"/>
    </row>
    <row r="195" customFormat="false" ht="15" hidden="false" customHeight="false" outlineLevel="0" collapsed="false">
      <c r="A195" s="9"/>
      <c r="B195" s="9"/>
      <c r="C195" s="9"/>
    </row>
    <row r="196" customFormat="false" ht="15" hidden="false" customHeight="false" outlineLevel="0" collapsed="false">
      <c r="A196" s="9"/>
      <c r="B196" s="9"/>
      <c r="C196" s="9"/>
    </row>
    <row r="197" customFormat="false" ht="15" hidden="false" customHeight="false" outlineLevel="0" collapsed="false">
      <c r="A197" s="9"/>
      <c r="B197" s="9"/>
      <c r="C197" s="9"/>
    </row>
    <row r="198" customFormat="false" ht="15" hidden="false" customHeight="false" outlineLevel="0" collapsed="false">
      <c r="A198" s="9"/>
      <c r="B198" s="9"/>
      <c r="C198" s="9"/>
    </row>
    <row r="199" customFormat="false" ht="15" hidden="false" customHeight="false" outlineLevel="0" collapsed="false">
      <c r="A199" s="9"/>
      <c r="B199" s="9"/>
      <c r="C199" s="9"/>
    </row>
    <row r="200" customFormat="false" ht="15" hidden="false" customHeight="false" outlineLevel="0" collapsed="false">
      <c r="A200" s="9"/>
      <c r="B200" s="9"/>
      <c r="C200" s="9"/>
    </row>
    <row r="201" customFormat="false" ht="15" hidden="false" customHeight="false" outlineLevel="0" collapsed="false">
      <c r="A201" s="9"/>
      <c r="B201" s="9"/>
      <c r="C20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2026-07-24T01:52:02Z</dcterms:created>
  <dc:creator>openpyxl</dc:creator>
  <dc:description/>
  <dc:language>zh-CN</dc:language>
  <cp:lastModifiedBy/>
  <dcterms:modified xsi:type="dcterms:W3CDTF">2026-07-24T01:54:11Z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