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单次交易" sheetId="1" state="visible" r:id="rId3"/>
    <sheet name="买入理由" sheetId="2" state="visible" r:id="rId4"/>
    <sheet name="多次统计数据" sheetId="3" state="visible" r:id="rId5"/>
    <sheet name="账户数据" sheetId="4" state="visible" r:id="rId6"/>
    <sheet name="目标收益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Codex</author>
  </authors>
  <commentList>
    <comment ref="C1" authorId="0">
      <text>
        <r>
          <rPr>
            <sz val="10"/>
            <rFont val="Arial Unicode MS"/>
            <family val="2"/>
          </rPr>
          <t xml:space="preserve">开仓时从“账户数据”的当前总金额复制，并粘贴为数值；不要保留公式。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2</xdr:row>
                <xdr:rowOff>3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 Unicode MS"/>
            <family val="2"/>
          </rPr>
          <t xml:space="preserve">开仓时从“账户数据”的单次交易允许亏损比例复制，并粘贴为数值。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2</xdr:row>
                <xdr:rowOff>3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 Unicode MS"/>
            <family val="2"/>
          </rPr>
          <t xml:space="preserve">默认等于买入股数；本系统按一次卖出处理。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16</xdr:colOff>
                <xdr:row>2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<sst xmlns="http://schemas.openxmlformats.org/spreadsheetml/2006/main" count="242" uniqueCount="185">
  <si>
    <t xml:space="preserve">交易编号</t>
  </si>
  <si>
    <t xml:space="preserve">股票代码</t>
  </si>
  <si>
    <t xml:space="preserve">买入时账户金额</t>
  </si>
  <si>
    <t xml:space="preserve">本次允许亏损比例</t>
  </si>
  <si>
    <t xml:space="preserve">买入价</t>
  </si>
  <si>
    <t xml:space="preserve">买入股数</t>
  </si>
  <si>
    <t xml:space="preserve">买入日期</t>
  </si>
  <si>
    <t xml:space="preserve">期望卖出价</t>
  </si>
  <si>
    <t xml:space="preserve">实际卖出价</t>
  </si>
  <si>
    <t xml:space="preserve">卖出股数</t>
  </si>
  <si>
    <t xml:space="preserve">卖出日期</t>
  </si>
  <si>
    <t xml:space="preserve">止损价</t>
  </si>
  <si>
    <t xml:space="preserve">买入费用</t>
  </si>
  <si>
    <t xml:space="preserve">卖出费用</t>
  </si>
  <si>
    <t xml:space="preserve">买入价的由来</t>
  </si>
  <si>
    <t xml:space="preserve">止损价的由来</t>
  </si>
  <si>
    <t xml:space="preserve">期望卖出价的由来</t>
  </si>
  <si>
    <t xml:space="preserve">实际卖出价的由来</t>
  </si>
  <si>
    <t xml:space="preserve">期望盈利比例</t>
  </si>
  <si>
    <t xml:space="preserve">期望止损比例</t>
  </si>
  <si>
    <t xml:space="preserve">盈亏比</t>
  </si>
  <si>
    <t xml:space="preserve">实际盈亏金额</t>
  </si>
  <si>
    <t xml:space="preserve">实际收益率</t>
  </si>
  <si>
    <t xml:space="preserve">与平均盈利比例差值</t>
  </si>
  <si>
    <t xml:space="preserve">持有天数</t>
  </si>
  <si>
    <t xml:space="preserve">复利容许平均亏损上限</t>
  </si>
  <si>
    <t xml:space="preserve">复利风险判断</t>
  </si>
  <si>
    <t xml:space="preserve">交易打分评价</t>
  </si>
  <si>
    <t xml:space="preserve">T2026001</t>
  </si>
  <si>
    <t xml:space="preserve">600519</t>
  </si>
  <si>
    <t xml:space="preserve">箱体突破回踩</t>
  </si>
  <si>
    <t xml:space="preserve">前低下方</t>
  </si>
  <si>
    <t xml:space="preserve">前高附近</t>
  </si>
  <si>
    <t xml:space="preserve">按计划止盈</t>
  </si>
  <si>
    <r>
      <rPr>
        <sz val="11"/>
        <color theme="1"/>
        <rFont val="Calibri"/>
        <family val="2"/>
        <charset val="1"/>
      </rPr>
      <t xml:space="preserve">4-</t>
    </r>
    <r>
      <rPr>
        <sz val="11"/>
        <color theme="1"/>
        <rFont val="Arial Unicode MS"/>
        <family val="2"/>
      </rPr>
      <t xml:space="preserve">良好</t>
    </r>
  </si>
  <si>
    <t xml:space="preserve">T2026002</t>
  </si>
  <si>
    <t xml:space="preserve">000001</t>
  </si>
  <si>
    <t xml:space="preserve">均线企稳</t>
  </si>
  <si>
    <t xml:space="preserve">关键均线下方</t>
  </si>
  <si>
    <t xml:space="preserve">前高</t>
  </si>
  <si>
    <t xml:space="preserve">跌破止损</t>
  </si>
  <si>
    <r>
      <rPr>
        <sz val="11"/>
        <color theme="1"/>
        <rFont val="Calibri"/>
        <family val="2"/>
        <charset val="1"/>
      </rPr>
      <t xml:space="preserve">2-</t>
    </r>
    <r>
      <rPr>
        <sz val="11"/>
        <color theme="1"/>
        <rFont val="Arial Unicode MS"/>
        <family val="2"/>
      </rPr>
      <t xml:space="preserve">较差</t>
    </r>
  </si>
  <si>
    <t xml:space="preserve">T2026003</t>
  </si>
  <si>
    <t xml:space="preserve">300750</t>
  </si>
  <si>
    <t xml:space="preserve">放量突破</t>
  </si>
  <si>
    <t xml:space="preserve">突破位下方</t>
  </si>
  <si>
    <t xml:space="preserve">压力区</t>
  </si>
  <si>
    <t xml:space="preserve">分批计划的加权价</t>
  </si>
  <si>
    <r>
      <rPr>
        <sz val="11"/>
        <color theme="1"/>
        <rFont val="Calibri"/>
        <family val="2"/>
        <charset val="1"/>
      </rPr>
      <t xml:space="preserve">5-</t>
    </r>
    <r>
      <rPr>
        <sz val="11"/>
        <color theme="1"/>
        <rFont val="Arial Unicode MS"/>
        <family val="2"/>
      </rPr>
      <t xml:space="preserve">优秀</t>
    </r>
  </si>
  <si>
    <t xml:space="preserve">T2026004</t>
  </si>
  <si>
    <t xml:space="preserve">002594</t>
  </si>
  <si>
    <t xml:space="preserve">支撑位反弹</t>
  </si>
  <si>
    <t xml:space="preserve">支撑下方</t>
  </si>
  <si>
    <t xml:space="preserve">弱势退出</t>
  </si>
  <si>
    <t xml:space="preserve">T2026005</t>
  </si>
  <si>
    <t xml:space="preserve">601318</t>
  </si>
  <si>
    <t xml:space="preserve">横盘试仓</t>
  </si>
  <si>
    <t xml:space="preserve">箱体下沿</t>
  </si>
  <si>
    <t xml:space="preserve">箱体上沿</t>
  </si>
  <si>
    <t xml:space="preserve">信号失效持平退出</t>
  </si>
  <si>
    <r>
      <rPr>
        <sz val="11"/>
        <color theme="1"/>
        <rFont val="Calibri"/>
        <family val="2"/>
        <charset val="1"/>
      </rPr>
      <t xml:space="preserve">3-</t>
    </r>
    <r>
      <rPr>
        <sz val="11"/>
        <color theme="1"/>
        <rFont val="Arial Unicode MS"/>
        <family val="2"/>
      </rPr>
      <t xml:space="preserve">一般</t>
    </r>
  </si>
  <si>
    <t xml:space="preserve">T2026006</t>
  </si>
  <si>
    <t xml:space="preserve">688981</t>
  </si>
  <si>
    <t xml:space="preserve">行业趋势转强</t>
  </si>
  <si>
    <t xml:space="preserve">前高区域</t>
  </si>
  <si>
    <t xml:space="preserve">所属板块</t>
  </si>
  <si>
    <t xml:space="preserve">阶段</t>
  </si>
  <si>
    <t xml:space="preserve">记录日期</t>
  </si>
  <si>
    <r>
      <rPr>
        <b val="true"/>
        <sz val="11"/>
        <color rgb="FFFFFFFF"/>
        <rFont val="Arial Unicode MS"/>
        <family val="2"/>
      </rPr>
      <t xml:space="preserve">技术指标</t>
    </r>
    <r>
      <rPr>
        <b val="true"/>
        <sz val="11"/>
        <color rgb="FFFFFFFF"/>
        <rFont val="Cambria"/>
        <family val="0"/>
        <charset val="1"/>
      </rPr>
      <t xml:space="preserve">1</t>
    </r>
  </si>
  <si>
    <r>
      <rPr>
        <b val="true"/>
        <sz val="11"/>
        <color rgb="FFFFFFFF"/>
        <rFont val="Arial Unicode MS"/>
        <family val="2"/>
      </rPr>
      <t xml:space="preserve">技术指标</t>
    </r>
    <r>
      <rPr>
        <b val="true"/>
        <sz val="11"/>
        <color rgb="FFFFFFFF"/>
        <rFont val="Cambria"/>
        <family val="0"/>
        <charset val="1"/>
      </rPr>
      <t xml:space="preserve">2</t>
    </r>
  </si>
  <si>
    <r>
      <rPr>
        <b val="true"/>
        <sz val="11"/>
        <color rgb="FFFFFFFF"/>
        <rFont val="Arial Unicode MS"/>
        <family val="2"/>
      </rPr>
      <t xml:space="preserve">技术指标</t>
    </r>
    <r>
      <rPr>
        <b val="true"/>
        <sz val="11"/>
        <color rgb="FFFFFFFF"/>
        <rFont val="Cambria"/>
        <family val="0"/>
        <charset val="1"/>
      </rPr>
      <t xml:space="preserve">3</t>
    </r>
  </si>
  <si>
    <t xml:space="preserve">综述</t>
  </si>
  <si>
    <t xml:space="preserve">白酒</t>
  </si>
  <si>
    <t xml:space="preserve">买入</t>
  </si>
  <si>
    <t xml:space="preserve">箱体突破</t>
  </si>
  <si>
    <t xml:space="preserve">成交量放大</t>
  </si>
  <si>
    <t xml:space="preserve">板块同步</t>
  </si>
  <si>
    <t xml:space="preserve">回踩后站稳关键位</t>
  </si>
  <si>
    <t xml:space="preserve">持续追踪</t>
  </si>
  <si>
    <t xml:space="preserve">缩量整理</t>
  </si>
  <si>
    <t xml:space="preserve">支撑未破</t>
  </si>
  <si>
    <t xml:space="preserve">板块稳定</t>
  </si>
  <si>
    <t xml:space="preserve">继续按原计划观察</t>
  </si>
  <si>
    <t xml:space="preserve">卖出</t>
  </si>
  <si>
    <t xml:space="preserve">接近目标位</t>
  </si>
  <si>
    <t xml:space="preserve">动能减弱</t>
  </si>
  <si>
    <t xml:space="preserve">获利盘增加</t>
  </si>
  <si>
    <t xml:space="preserve">银行</t>
  </si>
  <si>
    <t xml:space="preserve">低位放量</t>
  </si>
  <si>
    <t xml:space="preserve">板块轮动</t>
  </si>
  <si>
    <t xml:space="preserve">尝试右侧确认</t>
  </si>
  <si>
    <t xml:space="preserve">跌破均线</t>
  </si>
  <si>
    <t xml:space="preserve">量能放大</t>
  </si>
  <si>
    <t xml:space="preserve">板块转弱</t>
  </si>
  <si>
    <t xml:space="preserve">触发止损退出</t>
  </si>
  <si>
    <t xml:space="preserve">新能源</t>
  </si>
  <si>
    <t xml:space="preserve">趋势向上</t>
  </si>
  <si>
    <t xml:space="preserve">板块共振</t>
  </si>
  <si>
    <t xml:space="preserve">突破有效后买入</t>
  </si>
  <si>
    <t xml:space="preserve">回踩不破</t>
  </si>
  <si>
    <t xml:space="preserve">量能健康</t>
  </si>
  <si>
    <t xml:space="preserve">相对强势</t>
  </si>
  <si>
    <t xml:space="preserve">持仓条件仍成立</t>
  </si>
  <si>
    <t xml:space="preserve">接近压力</t>
  </si>
  <si>
    <t xml:space="preserve">涨速放缓</t>
  </si>
  <si>
    <t xml:space="preserve">分歧增加</t>
  </si>
  <si>
    <t xml:space="preserve">按加权成交价记录</t>
  </si>
  <si>
    <t xml:space="preserve">汽车</t>
  </si>
  <si>
    <t xml:space="preserve">支撑反弹</t>
  </si>
  <si>
    <t xml:space="preserve">下影线</t>
  </si>
  <si>
    <t xml:space="preserve">板块一般</t>
  </si>
  <si>
    <t xml:space="preserve">小仓位验证</t>
  </si>
  <si>
    <t xml:space="preserve">支撑失效</t>
  </si>
  <si>
    <t xml:space="preserve">收盘跌破</t>
  </si>
  <si>
    <t xml:space="preserve">板块走弱</t>
  </si>
  <si>
    <t xml:space="preserve">执行止损</t>
  </si>
  <si>
    <t xml:space="preserve">保险</t>
  </si>
  <si>
    <t xml:space="preserve">横盘</t>
  </si>
  <si>
    <t xml:space="preserve">波动收窄</t>
  </si>
  <si>
    <t xml:space="preserve">板块中性</t>
  </si>
  <si>
    <t xml:space="preserve">等待方向选择</t>
  </si>
  <si>
    <t xml:space="preserve">信号消失</t>
  </si>
  <si>
    <t xml:space="preserve">量能不足</t>
  </si>
  <si>
    <t xml:space="preserve">无明显共振</t>
  </si>
  <si>
    <t xml:space="preserve">持平退出</t>
  </si>
  <si>
    <t xml:space="preserve">半导体</t>
  </si>
  <si>
    <t xml:space="preserve">行业转强</t>
  </si>
  <si>
    <t xml:space="preserve">突破平台</t>
  </si>
  <si>
    <t xml:space="preserve">成交放大</t>
  </si>
  <si>
    <t xml:space="preserve">未卖出，持续追踪</t>
  </si>
  <si>
    <t xml:space="preserve">指标</t>
  </si>
  <si>
    <t xml:space="preserve">当前统计</t>
  </si>
  <si>
    <t xml:space="preserve">口径说明</t>
  </si>
  <si>
    <t xml:space="preserve">已完成交易数</t>
  </si>
  <si>
    <t xml:space="preserve">存在卖出日期的交易</t>
  </si>
  <si>
    <t xml:space="preserve">盈利交易数</t>
  </si>
  <si>
    <r>
      <rPr>
        <sz val="11"/>
        <color theme="1"/>
        <rFont val="Arial Unicode MS"/>
        <family val="2"/>
      </rPr>
      <t xml:space="preserve">实际盈亏金额大于</t>
    </r>
    <r>
      <rPr>
        <sz val="11"/>
        <color theme="1"/>
        <rFont val="Calibri"/>
        <family val="2"/>
        <charset val="1"/>
      </rPr>
      <t xml:space="preserve">0</t>
    </r>
  </si>
  <si>
    <t xml:space="preserve">亏损交易数</t>
  </si>
  <si>
    <r>
      <rPr>
        <sz val="11"/>
        <color theme="1"/>
        <rFont val="Arial Unicode MS"/>
        <family val="2"/>
      </rPr>
      <t xml:space="preserve">实际盈亏金额小于</t>
    </r>
    <r>
      <rPr>
        <sz val="11"/>
        <color theme="1"/>
        <rFont val="Calibri"/>
        <family val="2"/>
        <charset val="1"/>
      </rPr>
      <t xml:space="preserve">0</t>
    </r>
  </si>
  <si>
    <t xml:space="preserve">持平交易数</t>
  </si>
  <si>
    <r>
      <rPr>
        <sz val="11"/>
        <color theme="1"/>
        <rFont val="Arial Unicode MS"/>
        <family val="2"/>
      </rPr>
      <t xml:space="preserve">已卖出且实际盈亏为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Arial Unicode MS"/>
        <family val="2"/>
      </rPr>
      <t xml:space="preserve">；不进入胜负样本</t>
    </r>
  </si>
  <si>
    <t xml:space="preserve">盈利概率</t>
  </si>
  <si>
    <r>
      <rPr>
        <sz val="11"/>
        <color theme="1"/>
        <rFont val="Arial Unicode MS"/>
        <family val="2"/>
      </rPr>
      <t xml:space="preserve">盈利数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Arial Unicode MS"/>
        <family val="2"/>
      </rPr>
      <t xml:space="preserve">胜负交易数</t>
    </r>
  </si>
  <si>
    <t xml:space="preserve">亏损概率</t>
  </si>
  <si>
    <r>
      <rPr>
        <sz val="11"/>
        <color theme="1"/>
        <rFont val="Arial Unicode MS"/>
        <family val="2"/>
      </rPr>
      <t xml:space="preserve">亏损数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Arial Unicode MS"/>
        <family val="2"/>
      </rPr>
      <t xml:space="preserve">胜负交易数</t>
    </r>
  </si>
  <si>
    <t xml:space="preserve">平均盈利百分比</t>
  </si>
  <si>
    <t xml:space="preserve">盈利交易实际收益率的平均值</t>
  </si>
  <si>
    <t xml:space="preserve">平均亏损百分比</t>
  </si>
  <si>
    <t xml:space="preserve">以正数显示亏损幅度</t>
  </si>
  <si>
    <t xml:space="preserve">盈利的持有总天数</t>
  </si>
  <si>
    <t xml:space="preserve">自然日</t>
  </si>
  <si>
    <t xml:space="preserve">亏损的持有总天数</t>
  </si>
  <si>
    <t xml:space="preserve">平均交易金额</t>
  </si>
  <si>
    <t xml:space="preserve">全部已填写买入价交易的平均买入金额，包含未卖出交易</t>
  </si>
  <si>
    <t xml:space="preserve">期望收益率</t>
  </si>
  <si>
    <t xml:space="preserve">盈利贡献减亏损贡献</t>
  </si>
  <si>
    <t xml:space="preserve">迄今为止的复利净利润率</t>
  </si>
  <si>
    <t xml:space="preserve">基于历史平均盈亏率的几何复利模拟</t>
  </si>
  <si>
    <t xml:space="preserve">值</t>
  </si>
  <si>
    <r>
      <rPr>
        <b val="true"/>
        <sz val="11"/>
        <color rgb="FFFFFFFF"/>
        <rFont val="Arial Unicode MS"/>
        <family val="2"/>
      </rPr>
      <t xml:space="preserve">录入</t>
    </r>
    <r>
      <rPr>
        <b val="true"/>
        <sz val="11"/>
        <color rgb="FFFFFFFF"/>
        <rFont val="Cambria"/>
        <family val="0"/>
        <charset val="1"/>
      </rPr>
      <t xml:space="preserve">/</t>
    </r>
    <r>
      <rPr>
        <b val="true"/>
        <sz val="11"/>
        <color rgb="FFFFFFFF"/>
        <rFont val="Arial Unicode MS"/>
        <family val="2"/>
      </rPr>
      <t xml:space="preserve">计算说明</t>
    </r>
  </si>
  <si>
    <t xml:space="preserve">初始总金额</t>
  </si>
  <si>
    <t xml:space="preserve">手动输入；当前金额从此值开始累计</t>
  </si>
  <si>
    <t xml:space="preserve">当前总金额</t>
  </si>
  <si>
    <t xml:space="preserve">初始总金额＋全部已实现盈亏</t>
  </si>
  <si>
    <t xml:space="preserve">单次交易允许的亏损比例</t>
  </si>
  <si>
    <r>
      <rPr>
        <sz val="11"/>
        <color theme="1"/>
        <rFont val="Arial Unicode MS"/>
        <family val="2"/>
      </rPr>
      <t xml:space="preserve">默认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Arial Unicode MS"/>
        <family val="2"/>
      </rPr>
      <t xml:space="preserve">，可调整；开仓时复制为交易快照</t>
    </r>
  </si>
  <si>
    <t xml:space="preserve">单次交易允许的亏损金额</t>
  </si>
  <si>
    <r>
      <rPr>
        <sz val="11"/>
        <color theme="1"/>
        <rFont val="Arial Unicode MS"/>
        <family val="2"/>
      </rPr>
      <t xml:space="preserve">当前总金额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Arial Unicode MS"/>
        <family val="2"/>
      </rPr>
      <t xml:space="preserve">单次允许亏损比例</t>
    </r>
  </si>
  <si>
    <t xml:space="preserve">累计交易允许的亏损比例</t>
  </si>
  <si>
    <r>
      <rPr>
        <sz val="11"/>
        <color theme="1"/>
        <rFont val="Arial Unicode MS"/>
        <family val="2"/>
      </rPr>
      <t xml:space="preserve">默认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Arial Unicode MS"/>
        <family val="2"/>
      </rPr>
      <t xml:space="preserve">，可调整</t>
    </r>
  </si>
  <si>
    <t xml:space="preserve">累计交易允许的亏损总金额</t>
  </si>
  <si>
    <r>
      <rPr>
        <sz val="11"/>
        <color theme="1"/>
        <rFont val="Arial Unicode MS"/>
        <family val="2"/>
      </rPr>
      <t xml:space="preserve">当前总金额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Arial Unicode MS"/>
        <family val="2"/>
      </rPr>
      <t xml:space="preserve">累计允许亏损比例</t>
    </r>
  </si>
  <si>
    <t xml:space="preserve">当月亏损金额</t>
  </si>
  <si>
    <t xml:space="preserve">按卖出日期统计本月已实现亏损，保留负号</t>
  </si>
  <si>
    <t xml:space="preserve">总金额</t>
  </si>
  <si>
    <t xml:space="preserve">来自账户当前总金额</t>
  </si>
  <si>
    <t xml:space="preserve">目标收益率</t>
  </si>
  <si>
    <t xml:space="preserve">手动输入</t>
  </si>
  <si>
    <t xml:space="preserve">目标收益金额</t>
  </si>
  <si>
    <r>
      <rPr>
        <sz val="11"/>
        <color theme="1"/>
        <rFont val="Arial Unicode MS"/>
        <family val="2"/>
      </rPr>
      <t xml:space="preserve">总金额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Arial Unicode MS"/>
        <family val="2"/>
      </rPr>
      <t xml:space="preserve">目标收益率</t>
    </r>
  </si>
  <si>
    <t xml:space="preserve">来自历史交易统计</t>
  </si>
  <si>
    <t xml:space="preserve">历史期望收益率</t>
  </si>
  <si>
    <t xml:space="preserve">来自历史胜率与平均盈亏</t>
  </si>
  <si>
    <t xml:space="preserve">所需投资笔数</t>
  </si>
  <si>
    <t xml:space="preserve">向上取整；历史期望收益率不为正时不计算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</si>
</sst>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¥#,##0.00;[RED]&quot;-¥&quot;#,##0.00"/>
    <numFmt numFmtId="166" formatCode="0.00%"/>
    <numFmt numFmtId="167" formatCode="yyyy\-mm\-dd"/>
    <numFmt numFmtId="168" formatCode="0.00"/>
    <numFmt numFmtId="169" formatCode="0"/>
  </numFmts>
  <fonts count="8">
    <font>
      <sz val="11"/>
      <color theme="1"/>
      <name val="Arial Unicode MS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 Unicode MS"/>
      <family val="2"/>
    </font>
    <font>
      <sz val="11"/>
      <color theme="1"/>
      <name val="Calibri"/>
      <family val="2"/>
      <charset val="1"/>
    </font>
    <font>
      <sz val="10"/>
      <name val="Arial Unicode MS"/>
      <family val="2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E2F3"/>
      </patternFill>
    </fill>
    <fill>
      <patternFill patternType="solid">
        <fgColor rgb="FFE7E6E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3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radeReasonLog" displayName="TradeReasonLog" ref="A1:I501" headerRowCount="1" totalsRowCount="0" totalsRowShown="0">
  <autoFilter ref="A1:I501"/>
  <tableColumns count="9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</tableColumns>
</table>
</file>

<file path=xl/tables/table2.xml><?xml version="1.0" encoding="utf-8"?>
<table xmlns="http://schemas.openxmlformats.org/spreadsheetml/2006/main" id="2" name="TradeRecords" displayName="TradeRecords" ref="A1:AB201" headerRowCount="1" totalsRowCount="0" totalsRowShown="0">
  <autoFilter ref="A1:AB201"/>
  <tableColumns count="28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股数"/>
    <tableColumn id="7" name="买入日期"/>
    <tableColumn id="8" name="期望卖出价"/>
    <tableColumn id="9" name="实际卖出价"/>
    <tableColumn id="10" name="卖出股数"/>
    <tableColumn id="11" name="卖出日期"/>
    <tableColumn id="12" name="止损价"/>
    <tableColumn id="13" name="买入费用"/>
    <tableColumn id="14" name="卖出费用"/>
    <tableColumn id="15" name="买入价的由来"/>
    <tableColumn id="16" name="止损价的由来"/>
    <tableColumn id="17" name="期望卖出价的由来"/>
    <tableColumn id="18" name="实际卖出价的由来"/>
    <tableColumn id="19" name="期望盈利比例"/>
    <tableColumn id="20" name="期望止损比例"/>
    <tableColumn id="21" name="盈亏比"/>
    <tableColumn id="22" name="实际盈亏金额"/>
    <tableColumn id="23" name="实际收益率"/>
    <tableColumn id="24" name="与平均盈利比例差值"/>
    <tableColumn id="25" name="持有天数"/>
    <tableColumn id="26" name="复利容许平均亏损上限"/>
    <tableColumn id="27" name="复利风险判断"/>
    <tableColumn id="28" name="交易打分评价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2" min="1" style="0" width="12.74"/>
    <col collapsed="false" customWidth="true" hidden="false" outlineLevel="0" max="3" min="3" style="0" width="15.47"/>
    <col collapsed="false" customWidth="true" hidden="false" outlineLevel="0" max="4" min="4" style="0" width="16.38"/>
    <col collapsed="false" customWidth="true" hidden="false" outlineLevel="0" max="6" min="5" style="0" width="12.74"/>
    <col collapsed="false" customWidth="true" hidden="false" outlineLevel="0" max="7" min="7" style="0" width="11.83"/>
    <col collapsed="false" customWidth="true" hidden="false" outlineLevel="0" max="10" min="8" style="0" width="12.74"/>
    <col collapsed="false" customWidth="true" hidden="false" outlineLevel="0" max="11" min="11" style="0" width="11.83"/>
    <col collapsed="false" customWidth="true" hidden="false" outlineLevel="0" max="14" min="12" style="0" width="12.74"/>
    <col collapsed="false" customWidth="true" hidden="false" outlineLevel="0" max="18" min="15" style="0" width="21.84"/>
    <col collapsed="false" customWidth="true" hidden="false" outlineLevel="0" max="25" min="19" style="0" width="12.74"/>
    <col collapsed="false" customWidth="true" hidden="false" outlineLevel="0" max="26" min="26" style="0" width="20.01"/>
    <col collapsed="false" customWidth="true" hidden="false" outlineLevel="0" max="28" min="27" style="0" width="16.38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customFormat="false" ht="16.4" hidden="false" customHeight="false" outlineLevel="0" collapsed="false">
      <c r="A2" s="2" t="s">
        <v>28</v>
      </c>
      <c r="B2" s="2" t="s">
        <v>29</v>
      </c>
      <c r="C2" s="3" t="n">
        <v>100000</v>
      </c>
      <c r="D2" s="4" t="n">
        <v>0.01</v>
      </c>
      <c r="E2" s="3" t="n">
        <v>10</v>
      </c>
      <c r="F2" s="5" t="n">
        <f aca="false">IF(OR(C2="",D2="",E2="",L2="",C2&lt;=0,D2&lt;=0,E2&lt;=L2),"",ROUNDDOWN((C2*D2)/(E2-L2)/100,0)*100)</f>
        <v>1000</v>
      </c>
      <c r="G2" s="6" t="n">
        <v>46147</v>
      </c>
      <c r="H2" s="3" t="n">
        <v>12</v>
      </c>
      <c r="I2" s="3" t="n">
        <v>11</v>
      </c>
      <c r="J2" s="5" t="n">
        <f aca="false">IF(I2="","",F2)</f>
        <v>1000</v>
      </c>
      <c r="K2" s="6" t="n">
        <v>46152</v>
      </c>
      <c r="L2" s="3" t="n">
        <v>9</v>
      </c>
      <c r="M2" s="3" t="n">
        <v>5</v>
      </c>
      <c r="N2" s="3" t="n">
        <v>5</v>
      </c>
      <c r="O2" s="7" t="s">
        <v>30</v>
      </c>
      <c r="P2" s="7" t="s">
        <v>31</v>
      </c>
      <c r="Q2" s="7" t="s">
        <v>32</v>
      </c>
      <c r="R2" s="7" t="s">
        <v>33</v>
      </c>
      <c r="S2" s="8" t="n">
        <f aca="false">IF(OR(E2="",H2="",E2&lt;=0),"",(H2-E2)/E2)</f>
        <v>0.2</v>
      </c>
      <c r="T2" s="8" t="n">
        <f aca="false">IF(OR(E2="",L2="",E2&lt;=0),"",(E2-L2)/E2)</f>
        <v>0.1</v>
      </c>
      <c r="U2" s="9" t="n">
        <f aca="false">IF(OR(S2="",T2="",T2&lt;=0),"",S2/T2)</f>
        <v>2</v>
      </c>
      <c r="V2" s="10" t="n">
        <f aca="false">IF(OR(I2="",J2="",E2="",F2=""),"",I2*J2-E2*F2-IF(M2="",0,M2)-IF(N2="",0,N2))</f>
        <v>990</v>
      </c>
      <c r="W2" s="8" t="n">
        <f aca="false">IF(OR(V2="",E2="",F2=""),"",IF(E2*F2+IF(M2="",0,M2)&lt;=0,"",V2/(E2*F2+IF(M2="",0,M2))))</f>
        <v>0.0989505247376312</v>
      </c>
      <c r="X2" s="8" t="n">
        <f aca="false">IF(OR(W2="",多次统计数据!$B$8=""),"",W2-多次统计数据!$B$8)</f>
        <v>-0.0101715220363827</v>
      </c>
      <c r="Y2" s="11" t="n">
        <f aca="false">IF(OR(G2="",K2="",K2&lt;G2),"",K2-G2)</f>
        <v>5</v>
      </c>
      <c r="Z2" s="8" t="n">
        <f aca="false">IF(OR(A2="",多次统计数据!$B$8="",多次统计数据!$B$6&lt;=0,多次统计数据!$B$6&gt;=1),"",1-POWER(1+多次统计数据!$B$8,-多次统计数据!$B$6/(1-多次统计数据!$B$6)))</f>
        <v>0.0983859685157335</v>
      </c>
      <c r="AA2" s="12" t="str">
        <f aca="false">IF(OR(Z2="",多次统计数据!$B$9=""),"",IF(多次统计数据!$B$9&lt;Z2,"低于上限","达到或超过上限"))</f>
        <v>低于上限</v>
      </c>
      <c r="AB2" s="2" t="s">
        <v>34</v>
      </c>
    </row>
    <row r="3" customFormat="false" ht="16.4" hidden="false" customHeight="false" outlineLevel="0" collapsed="false">
      <c r="A3" s="2" t="s">
        <v>35</v>
      </c>
      <c r="B3" s="2" t="s">
        <v>36</v>
      </c>
      <c r="C3" s="3" t="n">
        <v>100990</v>
      </c>
      <c r="D3" s="4" t="n">
        <v>0.01</v>
      </c>
      <c r="E3" s="3" t="n">
        <v>20</v>
      </c>
      <c r="F3" s="5" t="n">
        <f aca="false">IF(OR(C3="",D3="",E3="",L3="",C3&lt;=0,D3&lt;=0,E3&lt;=L3),"",ROUNDDOWN((C3*D3)/(E3-L3)/100,0)*100)</f>
        <v>1000</v>
      </c>
      <c r="G3" s="6" t="n">
        <v>46174</v>
      </c>
      <c r="H3" s="3" t="n">
        <v>23</v>
      </c>
      <c r="I3" s="3" t="n">
        <v>18.8</v>
      </c>
      <c r="J3" s="5" t="n">
        <f aca="false">IF(I3="","",F3)</f>
        <v>1000</v>
      </c>
      <c r="K3" s="6" t="n">
        <v>46177</v>
      </c>
      <c r="L3" s="3" t="n">
        <v>19</v>
      </c>
      <c r="M3" s="3" t="n">
        <v>5</v>
      </c>
      <c r="N3" s="3" t="n">
        <v>5</v>
      </c>
      <c r="O3" s="7" t="s">
        <v>37</v>
      </c>
      <c r="P3" s="7" t="s">
        <v>38</v>
      </c>
      <c r="Q3" s="7" t="s">
        <v>39</v>
      </c>
      <c r="R3" s="7" t="s">
        <v>40</v>
      </c>
      <c r="S3" s="8" t="n">
        <f aca="false">IF(OR(E3="",H3="",E3&lt;=0),"",(H3-E3)/E3)</f>
        <v>0.15</v>
      </c>
      <c r="T3" s="8" t="n">
        <f aca="false">IF(OR(E3="",L3="",E3&lt;=0),"",(E3-L3)/E3)</f>
        <v>0.05</v>
      </c>
      <c r="U3" s="9" t="n">
        <f aca="false">IF(OR(S3="",T3="",T3&lt;=0),"",S3/T3)</f>
        <v>3</v>
      </c>
      <c r="V3" s="10" t="n">
        <f aca="false">IF(OR(I3="",J3="",E3="",F3=""),"",I3*J3-E3*F3-IF(M3="",0,M3)-IF(N3="",0,N3))</f>
        <v>-1210</v>
      </c>
      <c r="W3" s="8" t="n">
        <f aca="false">IF(OR(V3="",E3="",F3=""),"",IF(E3*F3+IF(M3="",0,M3)&lt;=0,"",V3/(E3*F3+IF(M3="",0,M3))))</f>
        <v>-0.0604848787803049</v>
      </c>
      <c r="X3" s="8" t="n">
        <f aca="false">IF(OR(W3="",多次统计数据!$B$8=""),"",W3-多次统计数据!$B$8)</f>
        <v>-0.169606925554319</v>
      </c>
      <c r="Y3" s="11" t="n">
        <f aca="false">IF(OR(G3="",K3="",K3&lt;G3),"",K3-G3)</f>
        <v>3</v>
      </c>
      <c r="Z3" s="8" t="n">
        <f aca="false">IF(OR(A3="",多次统计数据!$B$8="",多次统计数据!$B$6&lt;=0,多次统计数据!$B$6&gt;=1),"",1-POWER(1+多次统计数据!$B$8,-多次统计数据!$B$6/(1-多次统计数据!$B$6)))</f>
        <v>0.0983859685157335</v>
      </c>
      <c r="AA3" s="12" t="str">
        <f aca="false">IF(OR(Z3="",多次统计数据!$B$9=""),"",IF(多次统计数据!$B$9&lt;Z3,"低于上限","达到或超过上限"))</f>
        <v>低于上限</v>
      </c>
      <c r="AB3" s="2" t="s">
        <v>41</v>
      </c>
    </row>
    <row r="4" customFormat="false" ht="16.4" hidden="false" customHeight="false" outlineLevel="0" collapsed="false">
      <c r="A4" s="2" t="s">
        <v>42</v>
      </c>
      <c r="B4" s="2" t="s">
        <v>43</v>
      </c>
      <c r="C4" s="3" t="n">
        <v>99780</v>
      </c>
      <c r="D4" s="4" t="n">
        <v>0.01</v>
      </c>
      <c r="E4" s="3" t="n">
        <v>25</v>
      </c>
      <c r="F4" s="5" t="n">
        <f aca="false">IF(OR(C4="",D4="",E4="",L4="",C4&lt;=0,D4&lt;=0,E4&lt;=L4),"",ROUNDDOWN((C4*D4)/(E4-L4)/100,0)*100)</f>
        <v>600</v>
      </c>
      <c r="G4" s="6" t="n">
        <v>46183</v>
      </c>
      <c r="H4" s="3" t="n">
        <v>29</v>
      </c>
      <c r="I4" s="3" t="n">
        <v>28</v>
      </c>
      <c r="J4" s="5" t="n">
        <f aca="false">IF(I4="","",F4)</f>
        <v>600</v>
      </c>
      <c r="K4" s="6" t="n">
        <v>46191</v>
      </c>
      <c r="L4" s="3" t="n">
        <v>23.5</v>
      </c>
      <c r="M4" s="3" t="n">
        <v>5</v>
      </c>
      <c r="N4" s="3" t="n">
        <v>5</v>
      </c>
      <c r="O4" s="7" t="s">
        <v>44</v>
      </c>
      <c r="P4" s="7" t="s">
        <v>45</v>
      </c>
      <c r="Q4" s="7" t="s">
        <v>46</v>
      </c>
      <c r="R4" s="7" t="s">
        <v>47</v>
      </c>
      <c r="S4" s="8" t="n">
        <f aca="false">IF(OR(E4="",H4="",E4&lt;=0),"",(H4-E4)/E4)</f>
        <v>0.16</v>
      </c>
      <c r="T4" s="8" t="n">
        <f aca="false">IF(OR(E4="",L4="",E4&lt;=0),"",(E4-L4)/E4)</f>
        <v>0.06</v>
      </c>
      <c r="U4" s="9" t="n">
        <f aca="false">IF(OR(S4="",T4="",T4&lt;=0),"",S4/T4)</f>
        <v>2.66666666666667</v>
      </c>
      <c r="V4" s="10" t="n">
        <f aca="false">IF(OR(I4="",J4="",E4="",F4=""),"",I4*J4-E4*F4-IF(M4="",0,M4)-IF(N4="",0,N4))</f>
        <v>1790</v>
      </c>
      <c r="W4" s="8" t="n">
        <f aca="false">IF(OR(V4="",E4="",F4=""),"",IF(E4*F4+IF(M4="",0,M4)&lt;=0,"",V4/(E4*F4+IF(M4="",0,M4))))</f>
        <v>0.119293568810397</v>
      </c>
      <c r="X4" s="8" t="n">
        <f aca="false">IF(OR(W4="",多次统计数据!$B$8=""),"",W4-多次统计数据!$B$8)</f>
        <v>0.0101715220363827</v>
      </c>
      <c r="Y4" s="11" t="n">
        <f aca="false">IF(OR(G4="",K4="",K4&lt;G4),"",K4-G4)</f>
        <v>8</v>
      </c>
      <c r="Z4" s="8" t="n">
        <f aca="false">IF(OR(A4="",多次统计数据!$B$8="",多次统计数据!$B$6&lt;=0,多次统计数据!$B$6&gt;=1),"",1-POWER(1+多次统计数据!$B$8,-多次统计数据!$B$6/(1-多次统计数据!$B$6)))</f>
        <v>0.0983859685157335</v>
      </c>
      <c r="AA4" s="12" t="str">
        <f aca="false">IF(OR(Z4="",多次统计数据!$B$9=""),"",IF(多次统计数据!$B$9&lt;Z4,"低于上限","达到或超过上限"))</f>
        <v>低于上限</v>
      </c>
      <c r="AB4" s="2" t="s">
        <v>48</v>
      </c>
    </row>
    <row r="5" customFormat="false" ht="16.4" hidden="false" customHeight="false" outlineLevel="0" collapsed="false">
      <c r="A5" s="2" t="s">
        <v>49</v>
      </c>
      <c r="B5" s="2" t="s">
        <v>50</v>
      </c>
      <c r="C5" s="3" t="n">
        <v>101570</v>
      </c>
      <c r="D5" s="4" t="n">
        <v>0.01</v>
      </c>
      <c r="E5" s="3" t="n">
        <v>15</v>
      </c>
      <c r="F5" s="5" t="n">
        <f aca="false">IF(OR(C5="",D5="",E5="",L5="",C5&lt;=0,D5&lt;=0,E5&lt;=L5),"",ROUNDDOWN((C5*D5)/(E5-L5)/100,0)*100)</f>
        <v>1200</v>
      </c>
      <c r="G5" s="6" t="n">
        <v>46204</v>
      </c>
      <c r="H5" s="3" t="n">
        <v>17</v>
      </c>
      <c r="I5" s="3" t="n">
        <v>14.4</v>
      </c>
      <c r="J5" s="5" t="n">
        <f aca="false">IF(I5="","",F5)</f>
        <v>1200</v>
      </c>
      <c r="K5" s="6" t="n">
        <v>46206</v>
      </c>
      <c r="L5" s="3" t="n">
        <v>14.2</v>
      </c>
      <c r="M5" s="3" t="n">
        <v>6</v>
      </c>
      <c r="N5" s="3" t="n">
        <v>6</v>
      </c>
      <c r="O5" s="7" t="s">
        <v>51</v>
      </c>
      <c r="P5" s="7" t="s">
        <v>52</v>
      </c>
      <c r="Q5" s="7" t="s">
        <v>39</v>
      </c>
      <c r="R5" s="7" t="s">
        <v>53</v>
      </c>
      <c r="S5" s="8" t="n">
        <f aca="false">IF(OR(E5="",H5="",E5&lt;=0),"",(H5-E5)/E5)</f>
        <v>0.133333333333333</v>
      </c>
      <c r="T5" s="8" t="n">
        <f aca="false">IF(OR(E5="",L5="",E5&lt;=0),"",(E5-L5)/E5)</f>
        <v>0.0533333333333334</v>
      </c>
      <c r="U5" s="9" t="n">
        <f aca="false">IF(OR(S5="",T5="",T5&lt;=0),"",S5/T5)</f>
        <v>2.5</v>
      </c>
      <c r="V5" s="10" t="n">
        <f aca="false">IF(OR(I5="",J5="",E5="",F5=""),"",I5*J5-E5*F5-IF(M5="",0,M5)-IF(N5="",0,N5))</f>
        <v>-732</v>
      </c>
      <c r="W5" s="8" t="n">
        <f aca="false">IF(OR(V5="",E5="",F5=""),"",IF(E5*F5+IF(M5="",0,M5)&lt;=0,"",V5/(E5*F5+IF(M5="",0,M5))))</f>
        <v>-0.040653115628124</v>
      </c>
      <c r="X5" s="8" t="n">
        <f aca="false">IF(OR(W5="",多次统计数据!$B$8=""),"",W5-多次统计数据!$B$8)</f>
        <v>-0.149775162402138</v>
      </c>
      <c r="Y5" s="11" t="n">
        <f aca="false">IF(OR(G5="",K5="",K5&lt;G5),"",K5-G5)</f>
        <v>2</v>
      </c>
      <c r="Z5" s="8" t="n">
        <f aca="false">IF(OR(A5="",多次统计数据!$B$8="",多次统计数据!$B$6&lt;=0,多次统计数据!$B$6&gt;=1),"",1-POWER(1+多次统计数据!$B$8,-多次统计数据!$B$6/(1-多次统计数据!$B$6)))</f>
        <v>0.0983859685157335</v>
      </c>
      <c r="AA5" s="12" t="str">
        <f aca="false">IF(OR(Z5="",多次统计数据!$B$9=""),"",IF(多次统计数据!$B$9&lt;Z5,"低于上限","达到或超过上限"))</f>
        <v>低于上限</v>
      </c>
      <c r="AB5" s="2" t="s">
        <v>41</v>
      </c>
    </row>
    <row r="6" customFormat="false" ht="16.4" hidden="false" customHeight="false" outlineLevel="0" collapsed="false">
      <c r="A6" s="2" t="s">
        <v>54</v>
      </c>
      <c r="B6" s="2" t="s">
        <v>55</v>
      </c>
      <c r="C6" s="3" t="n">
        <v>100838</v>
      </c>
      <c r="D6" s="4" t="n">
        <v>0.01</v>
      </c>
      <c r="E6" s="3" t="n">
        <v>30</v>
      </c>
      <c r="F6" s="5" t="n">
        <f aca="false">IF(OR(C6="",D6="",E6="",L6="",C6&lt;=0,D6&lt;=0,E6&lt;=L6),"",ROUNDDOWN((C6*D6)/(E6-L6)/100,0)*100)</f>
        <v>600</v>
      </c>
      <c r="G6" s="6" t="n">
        <v>46208</v>
      </c>
      <c r="H6" s="3" t="n">
        <v>33</v>
      </c>
      <c r="I6" s="3" t="n">
        <v>30</v>
      </c>
      <c r="J6" s="5" t="n">
        <f aca="false">IF(I6="","",F6)</f>
        <v>600</v>
      </c>
      <c r="K6" s="6" t="n">
        <v>46209</v>
      </c>
      <c r="L6" s="3" t="n">
        <v>28.5</v>
      </c>
      <c r="M6" s="3" t="n">
        <v>0</v>
      </c>
      <c r="N6" s="3" t="n">
        <v>0</v>
      </c>
      <c r="O6" s="7" t="s">
        <v>56</v>
      </c>
      <c r="P6" s="7" t="s">
        <v>57</v>
      </c>
      <c r="Q6" s="7" t="s">
        <v>58</v>
      </c>
      <c r="R6" s="7" t="s">
        <v>59</v>
      </c>
      <c r="S6" s="8" t="n">
        <f aca="false">IF(OR(E6="",H6="",E6&lt;=0),"",(H6-E6)/E6)</f>
        <v>0.1</v>
      </c>
      <c r="T6" s="8" t="n">
        <f aca="false">IF(OR(E6="",L6="",E6&lt;=0),"",(E6-L6)/E6)</f>
        <v>0.05</v>
      </c>
      <c r="U6" s="9" t="n">
        <f aca="false">IF(OR(S6="",T6="",T6&lt;=0),"",S6/T6)</f>
        <v>2</v>
      </c>
      <c r="V6" s="10" t="n">
        <f aca="false">IF(OR(I6="",J6="",E6="",F6=""),"",I6*J6-E6*F6-IF(M6="",0,M6)-IF(N6="",0,N6))</f>
        <v>0</v>
      </c>
      <c r="W6" s="8" t="n">
        <f aca="false">IF(OR(V6="",E6="",F6=""),"",IF(E6*F6+IF(M6="",0,M6)&lt;=0,"",V6/(E6*F6+IF(M6="",0,M6))))</f>
        <v>0</v>
      </c>
      <c r="X6" s="8" t="n">
        <f aca="false">IF(OR(W6="",多次统计数据!$B$8=""),"",W6-多次统计数据!$B$8)</f>
        <v>-0.109122046774014</v>
      </c>
      <c r="Y6" s="11" t="n">
        <f aca="false">IF(OR(G6="",K6="",K6&lt;G6),"",K6-G6)</f>
        <v>1</v>
      </c>
      <c r="Z6" s="8" t="n">
        <f aca="false">IF(OR(A6="",多次统计数据!$B$8="",多次统计数据!$B$6&lt;=0,多次统计数据!$B$6&gt;=1),"",1-POWER(1+多次统计数据!$B$8,-多次统计数据!$B$6/(1-多次统计数据!$B$6)))</f>
        <v>0.0983859685157335</v>
      </c>
      <c r="AA6" s="12" t="str">
        <f aca="false">IF(OR(Z6="",多次统计数据!$B$9=""),"",IF(多次统计数据!$B$9&lt;Z6,"低于上限","达到或超过上限"))</f>
        <v>低于上限</v>
      </c>
      <c r="AB6" s="2" t="s">
        <v>60</v>
      </c>
    </row>
    <row r="7" customFormat="false" ht="16.4" hidden="false" customHeight="false" outlineLevel="0" collapsed="false">
      <c r="A7" s="2" t="s">
        <v>61</v>
      </c>
      <c r="B7" s="2" t="s">
        <v>62</v>
      </c>
      <c r="C7" s="3" t="n">
        <v>100838</v>
      </c>
      <c r="D7" s="4" t="n">
        <v>0.01</v>
      </c>
      <c r="E7" s="3" t="n">
        <v>40</v>
      </c>
      <c r="F7" s="5" t="n">
        <f aca="false">IF(OR(C7="",D7="",E7="",L7="",C7&lt;=0,D7&lt;=0,E7&lt;=L7),"",ROUNDDOWN((C7*D7)/(E7-L7)/100,0)*100)</f>
        <v>500</v>
      </c>
      <c r="G7" s="6" t="n">
        <v>46213</v>
      </c>
      <c r="H7" s="3" t="n">
        <v>45</v>
      </c>
      <c r="I7" s="3"/>
      <c r="J7" s="5" t="str">
        <f aca="false">IF(I7="","",F7)</f>
        <v/>
      </c>
      <c r="K7" s="6"/>
      <c r="L7" s="3" t="n">
        <v>38</v>
      </c>
      <c r="M7" s="3" t="n">
        <v>5</v>
      </c>
      <c r="N7" s="3" t="n">
        <v>0</v>
      </c>
      <c r="O7" s="7" t="s">
        <v>63</v>
      </c>
      <c r="P7" s="7" t="s">
        <v>45</v>
      </c>
      <c r="Q7" s="7" t="s">
        <v>64</v>
      </c>
      <c r="R7" s="7"/>
      <c r="S7" s="8" t="n">
        <f aca="false">IF(OR(E7="",H7="",E7&lt;=0),"",(H7-E7)/E7)</f>
        <v>0.125</v>
      </c>
      <c r="T7" s="8" t="n">
        <f aca="false">IF(OR(E7="",L7="",E7&lt;=0),"",(E7-L7)/E7)</f>
        <v>0.05</v>
      </c>
      <c r="U7" s="9" t="n">
        <f aca="false">IF(OR(S7="",T7="",T7&lt;=0),"",S7/T7)</f>
        <v>2.5</v>
      </c>
      <c r="V7" s="10" t="str">
        <f aca="false">IF(OR(I7="",J7="",E7="",F7=""),"",I7*J7-E7*F7-IF(M7="",0,M7)-IF(N7="",0,N7))</f>
        <v/>
      </c>
      <c r="W7" s="8" t="str">
        <f aca="false">IF(OR(V7="",E7="",F7=""),"",IF(E7*F7+IF(M7="",0,M7)&lt;=0,"",V7/(E7*F7+IF(M7="",0,M7))))</f>
        <v/>
      </c>
      <c r="X7" s="8" t="str">
        <f aca="false">IF(OR(W7="",多次统计数据!$B$8=""),"",W7-多次统计数据!$B$8)</f>
        <v/>
      </c>
      <c r="Y7" s="11" t="str">
        <f aca="false">IF(OR(G7="",K7="",K7&lt;G7),"",K7-G7)</f>
        <v/>
      </c>
      <c r="Z7" s="8" t="n">
        <f aca="false">IF(OR(A7="",多次统计数据!$B$8="",多次统计数据!$B$6&lt;=0,多次统计数据!$B$6&gt;=1),"",1-POWER(1+多次统计数据!$B$8,-多次统计数据!$B$6/(1-多次统计数据!$B$6)))</f>
        <v>0.0983859685157335</v>
      </c>
      <c r="AA7" s="12" t="str">
        <f aca="false">IF(OR(Z7="",多次统计数据!$B$9=""),"",IF(多次统计数据!$B$9&lt;Z7,"低于上限","达到或超过上限"))</f>
        <v>低于上限</v>
      </c>
      <c r="AB7" s="2"/>
    </row>
    <row r="8" customFormat="false" ht="15" hidden="false" customHeight="false" outlineLevel="0" collapsed="false">
      <c r="A8" s="7"/>
      <c r="B8" s="7"/>
      <c r="C8" s="3"/>
      <c r="D8" s="4"/>
      <c r="E8" s="3"/>
      <c r="F8" s="5" t="str">
        <f aca="false">IF(OR(C8="",D8="",E8="",L8="",C8&lt;=0,D8&lt;=0,E8&lt;=L8),"",ROUNDDOWN((C8*D8)/(E8-L8)/100,0)*100)</f>
        <v/>
      </c>
      <c r="G8" s="6"/>
      <c r="H8" s="3"/>
      <c r="I8" s="3"/>
      <c r="J8" s="5" t="str">
        <f aca="false">IF(I8="","",F8)</f>
        <v/>
      </c>
      <c r="K8" s="6"/>
      <c r="L8" s="3"/>
      <c r="M8" s="3"/>
      <c r="N8" s="3"/>
      <c r="O8" s="7"/>
      <c r="P8" s="7"/>
      <c r="Q8" s="7"/>
      <c r="R8" s="7"/>
      <c r="S8" s="8" t="str">
        <f aca="false">IF(OR(E8="",H8="",E8&lt;=0),"",(H8-E8)/E8)</f>
        <v/>
      </c>
      <c r="T8" s="8" t="str">
        <f aca="false">IF(OR(E8="",L8="",E8&lt;=0),"",(E8-L8)/E8)</f>
        <v/>
      </c>
      <c r="U8" s="9" t="str">
        <f aca="false">IF(OR(S8="",T8="",T8&lt;=0),"",S8/T8)</f>
        <v/>
      </c>
      <c r="V8" s="10" t="str">
        <f aca="false">IF(OR(I8="",J8="",E8="",F8=""),"",I8*J8-E8*F8-IF(M8="",0,M8)-IF(N8="",0,N8))</f>
        <v/>
      </c>
      <c r="W8" s="8" t="str">
        <f aca="false">IF(OR(V8="",E8="",F8=""),"",IF(E8*F8+IF(M8="",0,M8)&lt;=0,"",V8/(E8*F8+IF(M8="",0,M8))))</f>
        <v/>
      </c>
      <c r="X8" s="8" t="str">
        <f aca="false">IF(OR(W8="",多次统计数据!$B$8=""),"",W8-多次统计数据!$B$8)</f>
        <v/>
      </c>
      <c r="Y8" s="11" t="str">
        <f aca="false">IF(OR(G8="",K8="",K8&lt;G8),"",K8-G8)</f>
        <v/>
      </c>
      <c r="Z8" s="8" t="str">
        <f aca="false">IF(OR(A8="",多次统计数据!$B$8="",多次统计数据!$B$6&lt;=0,多次统计数据!$B$6&gt;=1),"",1-POWER(1+多次统计数据!$B$8,-多次统计数据!$B$6/(1-多次统计数据!$B$6)))</f>
        <v/>
      </c>
      <c r="AA8" s="12" t="str">
        <f aca="false">IF(OR(Z8="",多次统计数据!$B$9=""),"",IF(多次统计数据!$B$9&lt;Z8,"低于上限","达到或超过上限"))</f>
        <v/>
      </c>
      <c r="AB8" s="2"/>
    </row>
    <row r="9" customFormat="false" ht="15" hidden="false" customHeight="false" outlineLevel="0" collapsed="false">
      <c r="A9" s="7"/>
      <c r="B9" s="7"/>
      <c r="C9" s="3"/>
      <c r="D9" s="4"/>
      <c r="E9" s="3"/>
      <c r="F9" s="5" t="str">
        <f aca="false">IF(OR(C9="",D9="",E9="",L9="",C9&lt;=0,D9&lt;=0,E9&lt;=L9),"",ROUNDDOWN((C9*D9)/(E9-L9)/100,0)*100)</f>
        <v/>
      </c>
      <c r="G9" s="6"/>
      <c r="H9" s="3"/>
      <c r="I9" s="3"/>
      <c r="J9" s="5" t="str">
        <f aca="false">IF(I9="","",F9)</f>
        <v/>
      </c>
      <c r="K9" s="6"/>
      <c r="L9" s="3"/>
      <c r="M9" s="3"/>
      <c r="N9" s="3"/>
      <c r="O9" s="7"/>
      <c r="P9" s="7"/>
      <c r="Q9" s="7"/>
      <c r="R9" s="7"/>
      <c r="S9" s="8" t="str">
        <f aca="false">IF(OR(E9="",H9="",E9&lt;=0),"",(H9-E9)/E9)</f>
        <v/>
      </c>
      <c r="T9" s="8" t="str">
        <f aca="false">IF(OR(E9="",L9="",E9&lt;=0),"",(E9-L9)/E9)</f>
        <v/>
      </c>
      <c r="U9" s="9" t="str">
        <f aca="false">IF(OR(S9="",T9="",T9&lt;=0),"",S9/T9)</f>
        <v/>
      </c>
      <c r="V9" s="10" t="str">
        <f aca="false">IF(OR(I9="",J9="",E9="",F9=""),"",I9*J9-E9*F9-IF(M9="",0,M9)-IF(N9="",0,N9))</f>
        <v/>
      </c>
      <c r="W9" s="8" t="str">
        <f aca="false">IF(OR(V9="",E9="",F9=""),"",IF(E9*F9+IF(M9="",0,M9)&lt;=0,"",V9/(E9*F9+IF(M9="",0,M9))))</f>
        <v/>
      </c>
      <c r="X9" s="8" t="str">
        <f aca="false">IF(OR(W9="",多次统计数据!$B$8=""),"",W9-多次统计数据!$B$8)</f>
        <v/>
      </c>
      <c r="Y9" s="11" t="str">
        <f aca="false">IF(OR(G9="",K9="",K9&lt;G9),"",K9-G9)</f>
        <v/>
      </c>
      <c r="Z9" s="8" t="str">
        <f aca="false">IF(OR(A9="",多次统计数据!$B$8="",多次统计数据!$B$6&lt;=0,多次统计数据!$B$6&gt;=1),"",1-POWER(1+多次统计数据!$B$8,-多次统计数据!$B$6/(1-多次统计数据!$B$6)))</f>
        <v/>
      </c>
      <c r="AA9" s="12" t="str">
        <f aca="false">IF(OR(Z9="",多次统计数据!$B$9=""),"",IF(多次统计数据!$B$9&lt;Z9,"低于上限","达到或超过上限"))</f>
        <v/>
      </c>
      <c r="AB9" s="2"/>
    </row>
    <row r="10" customFormat="false" ht="15" hidden="false" customHeight="false" outlineLevel="0" collapsed="false">
      <c r="A10" s="7"/>
      <c r="B10" s="7"/>
      <c r="C10" s="3"/>
      <c r="D10" s="4"/>
      <c r="E10" s="3"/>
      <c r="F10" s="5" t="str">
        <f aca="false">IF(OR(C10="",D10="",E10="",L10="",C10&lt;=0,D10&lt;=0,E10&lt;=L10),"",ROUNDDOWN((C10*D10)/(E10-L10)/100,0)*100)</f>
        <v/>
      </c>
      <c r="G10" s="6"/>
      <c r="H10" s="3"/>
      <c r="I10" s="3"/>
      <c r="J10" s="5" t="str">
        <f aca="false">IF(I10="","",F10)</f>
        <v/>
      </c>
      <c r="K10" s="6"/>
      <c r="L10" s="3"/>
      <c r="M10" s="3"/>
      <c r="N10" s="3"/>
      <c r="O10" s="7"/>
      <c r="P10" s="7"/>
      <c r="Q10" s="7"/>
      <c r="R10" s="7"/>
      <c r="S10" s="8" t="str">
        <f aca="false">IF(OR(E10="",H10="",E10&lt;=0),"",(H10-E10)/E10)</f>
        <v/>
      </c>
      <c r="T10" s="8" t="str">
        <f aca="false">IF(OR(E10="",L10="",E10&lt;=0),"",(E10-L10)/E10)</f>
        <v/>
      </c>
      <c r="U10" s="9" t="str">
        <f aca="false">IF(OR(S10="",T10="",T10&lt;=0),"",S10/T10)</f>
        <v/>
      </c>
      <c r="V10" s="10" t="str">
        <f aca="false">IF(OR(I10="",J10="",E10="",F10=""),"",I10*J10-E10*F10-IF(M10="",0,M10)-IF(N10="",0,N10))</f>
        <v/>
      </c>
      <c r="W10" s="8" t="str">
        <f aca="false">IF(OR(V10="",E10="",F10=""),"",IF(E10*F10+IF(M10="",0,M10)&lt;=0,"",V10/(E10*F10+IF(M10="",0,M10))))</f>
        <v/>
      </c>
      <c r="X10" s="8" t="str">
        <f aca="false">IF(OR(W10="",多次统计数据!$B$8=""),"",W10-多次统计数据!$B$8)</f>
        <v/>
      </c>
      <c r="Y10" s="11" t="str">
        <f aca="false">IF(OR(G10="",K10="",K10&lt;G10),"",K10-G10)</f>
        <v/>
      </c>
      <c r="Z10" s="8" t="str">
        <f aca="false">IF(OR(A10="",多次统计数据!$B$8="",多次统计数据!$B$6&lt;=0,多次统计数据!$B$6&gt;=1),"",1-POWER(1+多次统计数据!$B$8,-多次统计数据!$B$6/(1-多次统计数据!$B$6)))</f>
        <v/>
      </c>
      <c r="AA10" s="12" t="str">
        <f aca="false">IF(OR(Z10="",多次统计数据!$B$9=""),"",IF(多次统计数据!$B$9&lt;Z10,"低于上限","达到或超过上限"))</f>
        <v/>
      </c>
      <c r="AB10" s="2"/>
    </row>
    <row r="11" customFormat="false" ht="15" hidden="false" customHeight="false" outlineLevel="0" collapsed="false">
      <c r="A11" s="7"/>
      <c r="B11" s="7"/>
      <c r="C11" s="3"/>
      <c r="D11" s="4"/>
      <c r="E11" s="3"/>
      <c r="F11" s="5" t="str">
        <f aca="false">IF(OR(C11="",D11="",E11="",L11="",C11&lt;=0,D11&lt;=0,E11&lt;=L11),"",ROUNDDOWN((C11*D11)/(E11-L11)/100,0)*100)</f>
        <v/>
      </c>
      <c r="G11" s="6"/>
      <c r="H11" s="3"/>
      <c r="I11" s="3"/>
      <c r="J11" s="5" t="str">
        <f aca="false">IF(I11="","",F11)</f>
        <v/>
      </c>
      <c r="K11" s="6"/>
      <c r="L11" s="3"/>
      <c r="M11" s="3"/>
      <c r="N11" s="3"/>
      <c r="O11" s="7"/>
      <c r="P11" s="7"/>
      <c r="Q11" s="7"/>
      <c r="R11" s="7"/>
      <c r="S11" s="8" t="str">
        <f aca="false">IF(OR(E11="",H11="",E11&lt;=0),"",(H11-E11)/E11)</f>
        <v/>
      </c>
      <c r="T11" s="8" t="str">
        <f aca="false">IF(OR(E11="",L11="",E11&lt;=0),"",(E11-L11)/E11)</f>
        <v/>
      </c>
      <c r="U11" s="9" t="str">
        <f aca="false">IF(OR(S11="",T11="",T11&lt;=0),"",S11/T11)</f>
        <v/>
      </c>
      <c r="V11" s="10" t="str">
        <f aca="false">IF(OR(I11="",J11="",E11="",F11=""),"",I11*J11-E11*F11-IF(M11="",0,M11)-IF(N11="",0,N11))</f>
        <v/>
      </c>
      <c r="W11" s="8" t="str">
        <f aca="false">IF(OR(V11="",E11="",F11=""),"",IF(E11*F11+IF(M11="",0,M11)&lt;=0,"",V11/(E11*F11+IF(M11="",0,M11))))</f>
        <v/>
      </c>
      <c r="X11" s="8" t="str">
        <f aca="false">IF(OR(W11="",多次统计数据!$B$8=""),"",W11-多次统计数据!$B$8)</f>
        <v/>
      </c>
      <c r="Y11" s="11" t="str">
        <f aca="false">IF(OR(G11="",K11="",K11&lt;G11),"",K11-G11)</f>
        <v/>
      </c>
      <c r="Z11" s="8" t="str">
        <f aca="false">IF(OR(A11="",多次统计数据!$B$8="",多次统计数据!$B$6&lt;=0,多次统计数据!$B$6&gt;=1),"",1-POWER(1+多次统计数据!$B$8,-多次统计数据!$B$6/(1-多次统计数据!$B$6)))</f>
        <v/>
      </c>
      <c r="AA11" s="12" t="str">
        <f aca="false">IF(OR(Z11="",多次统计数据!$B$9=""),"",IF(多次统计数据!$B$9&lt;Z11,"低于上限","达到或超过上限"))</f>
        <v/>
      </c>
      <c r="AB11" s="2"/>
    </row>
    <row r="12" customFormat="false" ht="15" hidden="false" customHeight="false" outlineLevel="0" collapsed="false">
      <c r="A12" s="7"/>
      <c r="B12" s="7"/>
      <c r="C12" s="3"/>
      <c r="D12" s="4"/>
      <c r="E12" s="3"/>
      <c r="F12" s="5" t="str">
        <f aca="false">IF(OR(C12="",D12="",E12="",L12="",C12&lt;=0,D12&lt;=0,E12&lt;=L12),"",ROUNDDOWN((C12*D12)/(E12-L12)/100,0)*100)</f>
        <v/>
      </c>
      <c r="G12" s="6"/>
      <c r="H12" s="3"/>
      <c r="I12" s="3"/>
      <c r="J12" s="5" t="str">
        <f aca="false">IF(I12="","",F12)</f>
        <v/>
      </c>
      <c r="K12" s="6"/>
      <c r="L12" s="3"/>
      <c r="M12" s="3"/>
      <c r="N12" s="3"/>
      <c r="O12" s="7"/>
      <c r="P12" s="7"/>
      <c r="Q12" s="7"/>
      <c r="R12" s="7"/>
      <c r="S12" s="8" t="str">
        <f aca="false">IF(OR(E12="",H12="",E12&lt;=0),"",(H12-E12)/E12)</f>
        <v/>
      </c>
      <c r="T12" s="8" t="str">
        <f aca="false">IF(OR(E12="",L12="",E12&lt;=0),"",(E12-L12)/E12)</f>
        <v/>
      </c>
      <c r="U12" s="9" t="str">
        <f aca="false">IF(OR(S12="",T12="",T12&lt;=0),"",S12/T12)</f>
        <v/>
      </c>
      <c r="V12" s="10" t="str">
        <f aca="false">IF(OR(I12="",J12="",E12="",F12=""),"",I12*J12-E12*F12-IF(M12="",0,M12)-IF(N12="",0,N12))</f>
        <v/>
      </c>
      <c r="W12" s="8" t="str">
        <f aca="false">IF(OR(V12="",E12="",F12=""),"",IF(E12*F12+IF(M12="",0,M12)&lt;=0,"",V12/(E12*F12+IF(M12="",0,M12))))</f>
        <v/>
      </c>
      <c r="X12" s="8" t="str">
        <f aca="false">IF(OR(W12="",多次统计数据!$B$8=""),"",W12-多次统计数据!$B$8)</f>
        <v/>
      </c>
      <c r="Y12" s="11" t="str">
        <f aca="false">IF(OR(G12="",K12="",K12&lt;G12),"",K12-G12)</f>
        <v/>
      </c>
      <c r="Z12" s="8" t="str">
        <f aca="false">IF(OR(A12="",多次统计数据!$B$8="",多次统计数据!$B$6&lt;=0,多次统计数据!$B$6&gt;=1),"",1-POWER(1+多次统计数据!$B$8,-多次统计数据!$B$6/(1-多次统计数据!$B$6)))</f>
        <v/>
      </c>
      <c r="AA12" s="12" t="str">
        <f aca="false">IF(OR(Z12="",多次统计数据!$B$9=""),"",IF(多次统计数据!$B$9&lt;Z12,"低于上限","达到或超过上限"))</f>
        <v/>
      </c>
      <c r="AB12" s="2"/>
    </row>
    <row r="13" customFormat="false" ht="15" hidden="false" customHeight="false" outlineLevel="0" collapsed="false">
      <c r="A13" s="7"/>
      <c r="B13" s="7"/>
      <c r="C13" s="3"/>
      <c r="D13" s="4"/>
      <c r="E13" s="3"/>
      <c r="F13" s="5" t="str">
        <f aca="false">IF(OR(C13="",D13="",E13="",L13="",C13&lt;=0,D13&lt;=0,E13&lt;=L13),"",ROUNDDOWN((C13*D13)/(E13-L13)/100,0)*100)</f>
        <v/>
      </c>
      <c r="G13" s="6"/>
      <c r="H13" s="3"/>
      <c r="I13" s="3"/>
      <c r="J13" s="5" t="str">
        <f aca="false">IF(I13="","",F13)</f>
        <v/>
      </c>
      <c r="K13" s="6"/>
      <c r="L13" s="3"/>
      <c r="M13" s="3"/>
      <c r="N13" s="3"/>
      <c r="O13" s="7"/>
      <c r="P13" s="7"/>
      <c r="Q13" s="7"/>
      <c r="R13" s="7"/>
      <c r="S13" s="8" t="str">
        <f aca="false">IF(OR(E13="",H13="",E13&lt;=0),"",(H13-E13)/E13)</f>
        <v/>
      </c>
      <c r="T13" s="8" t="str">
        <f aca="false">IF(OR(E13="",L13="",E13&lt;=0),"",(E13-L13)/E13)</f>
        <v/>
      </c>
      <c r="U13" s="9" t="str">
        <f aca="false">IF(OR(S13="",T13="",T13&lt;=0),"",S13/T13)</f>
        <v/>
      </c>
      <c r="V13" s="10" t="str">
        <f aca="false">IF(OR(I13="",J13="",E13="",F13=""),"",I13*J13-E13*F13-IF(M13="",0,M13)-IF(N13="",0,N13))</f>
        <v/>
      </c>
      <c r="W13" s="8" t="str">
        <f aca="false">IF(OR(V13="",E13="",F13=""),"",IF(E13*F13+IF(M13="",0,M13)&lt;=0,"",V13/(E13*F13+IF(M13="",0,M13))))</f>
        <v/>
      </c>
      <c r="X13" s="8" t="str">
        <f aca="false">IF(OR(W13="",多次统计数据!$B$8=""),"",W13-多次统计数据!$B$8)</f>
        <v/>
      </c>
      <c r="Y13" s="11" t="str">
        <f aca="false">IF(OR(G13="",K13="",K13&lt;G13),"",K13-G13)</f>
        <v/>
      </c>
      <c r="Z13" s="8" t="str">
        <f aca="false">IF(OR(A13="",多次统计数据!$B$8="",多次统计数据!$B$6&lt;=0,多次统计数据!$B$6&gt;=1),"",1-POWER(1+多次统计数据!$B$8,-多次统计数据!$B$6/(1-多次统计数据!$B$6)))</f>
        <v/>
      </c>
      <c r="AA13" s="12" t="str">
        <f aca="false">IF(OR(Z13="",多次统计数据!$B$9=""),"",IF(多次统计数据!$B$9&lt;Z13,"低于上限","达到或超过上限"))</f>
        <v/>
      </c>
      <c r="AB13" s="2"/>
    </row>
    <row r="14" customFormat="false" ht="15" hidden="false" customHeight="false" outlineLevel="0" collapsed="false">
      <c r="A14" s="7"/>
      <c r="B14" s="7"/>
      <c r="C14" s="3"/>
      <c r="D14" s="4"/>
      <c r="E14" s="3"/>
      <c r="F14" s="5" t="str">
        <f aca="false">IF(OR(C14="",D14="",E14="",L14="",C14&lt;=0,D14&lt;=0,E14&lt;=L14),"",ROUNDDOWN((C14*D14)/(E14-L14)/100,0)*100)</f>
        <v/>
      </c>
      <c r="G14" s="6"/>
      <c r="H14" s="3"/>
      <c r="I14" s="3"/>
      <c r="J14" s="5" t="str">
        <f aca="false">IF(I14="","",F14)</f>
        <v/>
      </c>
      <c r="K14" s="6"/>
      <c r="L14" s="3"/>
      <c r="M14" s="3"/>
      <c r="N14" s="3"/>
      <c r="O14" s="7"/>
      <c r="P14" s="7"/>
      <c r="Q14" s="7"/>
      <c r="R14" s="7"/>
      <c r="S14" s="8" t="str">
        <f aca="false">IF(OR(E14="",H14="",E14&lt;=0),"",(H14-E14)/E14)</f>
        <v/>
      </c>
      <c r="T14" s="8" t="str">
        <f aca="false">IF(OR(E14="",L14="",E14&lt;=0),"",(E14-L14)/E14)</f>
        <v/>
      </c>
      <c r="U14" s="9" t="str">
        <f aca="false">IF(OR(S14="",T14="",T14&lt;=0),"",S14/T14)</f>
        <v/>
      </c>
      <c r="V14" s="10" t="str">
        <f aca="false">IF(OR(I14="",J14="",E14="",F14=""),"",I14*J14-E14*F14-IF(M14="",0,M14)-IF(N14="",0,N14))</f>
        <v/>
      </c>
      <c r="W14" s="8" t="str">
        <f aca="false">IF(OR(V14="",E14="",F14=""),"",IF(E14*F14+IF(M14="",0,M14)&lt;=0,"",V14/(E14*F14+IF(M14="",0,M14))))</f>
        <v/>
      </c>
      <c r="X14" s="8" t="str">
        <f aca="false">IF(OR(W14="",多次统计数据!$B$8=""),"",W14-多次统计数据!$B$8)</f>
        <v/>
      </c>
      <c r="Y14" s="11" t="str">
        <f aca="false">IF(OR(G14="",K14="",K14&lt;G14),"",K14-G14)</f>
        <v/>
      </c>
      <c r="Z14" s="8" t="str">
        <f aca="false">IF(OR(A14="",多次统计数据!$B$8="",多次统计数据!$B$6&lt;=0,多次统计数据!$B$6&gt;=1),"",1-POWER(1+多次统计数据!$B$8,-多次统计数据!$B$6/(1-多次统计数据!$B$6)))</f>
        <v/>
      </c>
      <c r="AA14" s="12" t="str">
        <f aca="false">IF(OR(Z14="",多次统计数据!$B$9=""),"",IF(多次统计数据!$B$9&lt;Z14,"低于上限","达到或超过上限"))</f>
        <v/>
      </c>
      <c r="AB14" s="2"/>
    </row>
    <row r="15" customFormat="false" ht="15" hidden="false" customHeight="false" outlineLevel="0" collapsed="false">
      <c r="A15" s="7"/>
      <c r="B15" s="7"/>
      <c r="C15" s="3"/>
      <c r="D15" s="4"/>
      <c r="E15" s="3"/>
      <c r="F15" s="5" t="str">
        <f aca="false">IF(OR(C15="",D15="",E15="",L15="",C15&lt;=0,D15&lt;=0,E15&lt;=L15),"",ROUNDDOWN((C15*D15)/(E15-L15)/100,0)*100)</f>
        <v/>
      </c>
      <c r="G15" s="6"/>
      <c r="H15" s="3"/>
      <c r="I15" s="3"/>
      <c r="J15" s="5" t="str">
        <f aca="false">IF(I15="","",F15)</f>
        <v/>
      </c>
      <c r="K15" s="6"/>
      <c r="L15" s="3"/>
      <c r="M15" s="3"/>
      <c r="N15" s="3"/>
      <c r="O15" s="7"/>
      <c r="P15" s="7"/>
      <c r="Q15" s="7"/>
      <c r="R15" s="7"/>
      <c r="S15" s="8" t="str">
        <f aca="false">IF(OR(E15="",H15="",E15&lt;=0),"",(H15-E15)/E15)</f>
        <v/>
      </c>
      <c r="T15" s="8" t="str">
        <f aca="false">IF(OR(E15="",L15="",E15&lt;=0),"",(E15-L15)/E15)</f>
        <v/>
      </c>
      <c r="U15" s="9" t="str">
        <f aca="false">IF(OR(S15="",T15="",T15&lt;=0),"",S15/T15)</f>
        <v/>
      </c>
      <c r="V15" s="10" t="str">
        <f aca="false">IF(OR(I15="",J15="",E15="",F15=""),"",I15*J15-E15*F15-IF(M15="",0,M15)-IF(N15="",0,N15))</f>
        <v/>
      </c>
      <c r="W15" s="8" t="str">
        <f aca="false">IF(OR(V15="",E15="",F15=""),"",IF(E15*F15+IF(M15="",0,M15)&lt;=0,"",V15/(E15*F15+IF(M15="",0,M15))))</f>
        <v/>
      </c>
      <c r="X15" s="8" t="str">
        <f aca="false">IF(OR(W15="",多次统计数据!$B$8=""),"",W15-多次统计数据!$B$8)</f>
        <v/>
      </c>
      <c r="Y15" s="11" t="str">
        <f aca="false">IF(OR(G15="",K15="",K15&lt;G15),"",K15-G15)</f>
        <v/>
      </c>
      <c r="Z15" s="8" t="str">
        <f aca="false">IF(OR(A15="",多次统计数据!$B$8="",多次统计数据!$B$6&lt;=0,多次统计数据!$B$6&gt;=1),"",1-POWER(1+多次统计数据!$B$8,-多次统计数据!$B$6/(1-多次统计数据!$B$6)))</f>
        <v/>
      </c>
      <c r="AA15" s="12" t="str">
        <f aca="false">IF(OR(Z15="",多次统计数据!$B$9=""),"",IF(多次统计数据!$B$9&lt;Z15,"低于上限","达到或超过上限"))</f>
        <v/>
      </c>
      <c r="AB15" s="2"/>
    </row>
    <row r="16" customFormat="false" ht="15" hidden="false" customHeight="false" outlineLevel="0" collapsed="false">
      <c r="A16" s="7"/>
      <c r="B16" s="7"/>
      <c r="C16" s="3"/>
      <c r="D16" s="4"/>
      <c r="E16" s="3"/>
      <c r="F16" s="5" t="str">
        <f aca="false">IF(OR(C16="",D16="",E16="",L16="",C16&lt;=0,D16&lt;=0,E16&lt;=L16),"",ROUNDDOWN((C16*D16)/(E16-L16)/100,0)*100)</f>
        <v/>
      </c>
      <c r="G16" s="6"/>
      <c r="H16" s="3"/>
      <c r="I16" s="3"/>
      <c r="J16" s="5" t="str">
        <f aca="false">IF(I16="","",F16)</f>
        <v/>
      </c>
      <c r="K16" s="6"/>
      <c r="L16" s="3"/>
      <c r="M16" s="3"/>
      <c r="N16" s="3"/>
      <c r="O16" s="7"/>
      <c r="P16" s="7"/>
      <c r="Q16" s="7"/>
      <c r="R16" s="7"/>
      <c r="S16" s="8" t="str">
        <f aca="false">IF(OR(E16="",H16="",E16&lt;=0),"",(H16-E16)/E16)</f>
        <v/>
      </c>
      <c r="T16" s="8" t="str">
        <f aca="false">IF(OR(E16="",L16="",E16&lt;=0),"",(E16-L16)/E16)</f>
        <v/>
      </c>
      <c r="U16" s="9" t="str">
        <f aca="false">IF(OR(S16="",T16="",T16&lt;=0),"",S16/T16)</f>
        <v/>
      </c>
      <c r="V16" s="10" t="str">
        <f aca="false">IF(OR(I16="",J16="",E16="",F16=""),"",I16*J16-E16*F16-IF(M16="",0,M16)-IF(N16="",0,N16))</f>
        <v/>
      </c>
      <c r="W16" s="8" t="str">
        <f aca="false">IF(OR(V16="",E16="",F16=""),"",IF(E16*F16+IF(M16="",0,M16)&lt;=0,"",V16/(E16*F16+IF(M16="",0,M16))))</f>
        <v/>
      </c>
      <c r="X16" s="8" t="str">
        <f aca="false">IF(OR(W16="",多次统计数据!$B$8=""),"",W16-多次统计数据!$B$8)</f>
        <v/>
      </c>
      <c r="Y16" s="11" t="str">
        <f aca="false">IF(OR(G16="",K16="",K16&lt;G16),"",K16-G16)</f>
        <v/>
      </c>
      <c r="Z16" s="8" t="str">
        <f aca="false">IF(OR(A16="",多次统计数据!$B$8="",多次统计数据!$B$6&lt;=0,多次统计数据!$B$6&gt;=1),"",1-POWER(1+多次统计数据!$B$8,-多次统计数据!$B$6/(1-多次统计数据!$B$6)))</f>
        <v/>
      </c>
      <c r="AA16" s="12" t="str">
        <f aca="false">IF(OR(Z16="",多次统计数据!$B$9=""),"",IF(多次统计数据!$B$9&lt;Z16,"低于上限","达到或超过上限"))</f>
        <v/>
      </c>
      <c r="AB16" s="2"/>
    </row>
    <row r="17" customFormat="false" ht="15" hidden="false" customHeight="false" outlineLevel="0" collapsed="false">
      <c r="A17" s="7"/>
      <c r="B17" s="7"/>
      <c r="C17" s="3"/>
      <c r="D17" s="4"/>
      <c r="E17" s="3"/>
      <c r="F17" s="5" t="str">
        <f aca="false">IF(OR(C17="",D17="",E17="",L17="",C17&lt;=0,D17&lt;=0,E17&lt;=L17),"",ROUNDDOWN((C17*D17)/(E17-L17)/100,0)*100)</f>
        <v/>
      </c>
      <c r="G17" s="6"/>
      <c r="H17" s="3"/>
      <c r="I17" s="3"/>
      <c r="J17" s="5" t="str">
        <f aca="false">IF(I17="","",F17)</f>
        <v/>
      </c>
      <c r="K17" s="6"/>
      <c r="L17" s="3"/>
      <c r="M17" s="3"/>
      <c r="N17" s="3"/>
      <c r="O17" s="7"/>
      <c r="P17" s="7"/>
      <c r="Q17" s="7"/>
      <c r="R17" s="7"/>
      <c r="S17" s="8" t="str">
        <f aca="false">IF(OR(E17="",H17="",E17&lt;=0),"",(H17-E17)/E17)</f>
        <v/>
      </c>
      <c r="T17" s="8" t="str">
        <f aca="false">IF(OR(E17="",L17="",E17&lt;=0),"",(E17-L17)/E17)</f>
        <v/>
      </c>
      <c r="U17" s="9" t="str">
        <f aca="false">IF(OR(S17="",T17="",T17&lt;=0),"",S17/T17)</f>
        <v/>
      </c>
      <c r="V17" s="10" t="str">
        <f aca="false">IF(OR(I17="",J17="",E17="",F17=""),"",I17*J17-E17*F17-IF(M17="",0,M17)-IF(N17="",0,N17))</f>
        <v/>
      </c>
      <c r="W17" s="8" t="str">
        <f aca="false">IF(OR(V17="",E17="",F17=""),"",IF(E17*F17+IF(M17="",0,M17)&lt;=0,"",V17/(E17*F17+IF(M17="",0,M17))))</f>
        <v/>
      </c>
      <c r="X17" s="8" t="str">
        <f aca="false">IF(OR(W17="",多次统计数据!$B$8=""),"",W17-多次统计数据!$B$8)</f>
        <v/>
      </c>
      <c r="Y17" s="11" t="str">
        <f aca="false">IF(OR(G17="",K17="",K17&lt;G17),"",K17-G17)</f>
        <v/>
      </c>
      <c r="Z17" s="8" t="str">
        <f aca="false">IF(OR(A17="",多次统计数据!$B$8="",多次统计数据!$B$6&lt;=0,多次统计数据!$B$6&gt;=1),"",1-POWER(1+多次统计数据!$B$8,-多次统计数据!$B$6/(1-多次统计数据!$B$6)))</f>
        <v/>
      </c>
      <c r="AA17" s="12" t="str">
        <f aca="false">IF(OR(Z17="",多次统计数据!$B$9=""),"",IF(多次统计数据!$B$9&lt;Z17,"低于上限","达到或超过上限"))</f>
        <v/>
      </c>
      <c r="AB17" s="2"/>
    </row>
    <row r="18" customFormat="false" ht="15" hidden="false" customHeight="false" outlineLevel="0" collapsed="false">
      <c r="A18" s="7"/>
      <c r="B18" s="7"/>
      <c r="C18" s="3"/>
      <c r="D18" s="4"/>
      <c r="E18" s="3"/>
      <c r="F18" s="5" t="str">
        <f aca="false">IF(OR(C18="",D18="",E18="",L18="",C18&lt;=0,D18&lt;=0,E18&lt;=L18),"",ROUNDDOWN((C18*D18)/(E18-L18)/100,0)*100)</f>
        <v/>
      </c>
      <c r="G18" s="6"/>
      <c r="H18" s="3"/>
      <c r="I18" s="3"/>
      <c r="J18" s="5" t="str">
        <f aca="false">IF(I18="","",F18)</f>
        <v/>
      </c>
      <c r="K18" s="6"/>
      <c r="L18" s="3"/>
      <c r="M18" s="3"/>
      <c r="N18" s="3"/>
      <c r="O18" s="7"/>
      <c r="P18" s="7"/>
      <c r="Q18" s="7"/>
      <c r="R18" s="7"/>
      <c r="S18" s="8" t="str">
        <f aca="false">IF(OR(E18="",H18="",E18&lt;=0),"",(H18-E18)/E18)</f>
        <v/>
      </c>
      <c r="T18" s="8" t="str">
        <f aca="false">IF(OR(E18="",L18="",E18&lt;=0),"",(E18-L18)/E18)</f>
        <v/>
      </c>
      <c r="U18" s="9" t="str">
        <f aca="false">IF(OR(S18="",T18="",T18&lt;=0),"",S18/T18)</f>
        <v/>
      </c>
      <c r="V18" s="10" t="str">
        <f aca="false">IF(OR(I18="",J18="",E18="",F18=""),"",I18*J18-E18*F18-IF(M18="",0,M18)-IF(N18="",0,N18))</f>
        <v/>
      </c>
      <c r="W18" s="8" t="str">
        <f aca="false">IF(OR(V18="",E18="",F18=""),"",IF(E18*F18+IF(M18="",0,M18)&lt;=0,"",V18/(E18*F18+IF(M18="",0,M18))))</f>
        <v/>
      </c>
      <c r="X18" s="8" t="str">
        <f aca="false">IF(OR(W18="",多次统计数据!$B$8=""),"",W18-多次统计数据!$B$8)</f>
        <v/>
      </c>
      <c r="Y18" s="11" t="str">
        <f aca="false">IF(OR(G18="",K18="",K18&lt;G18),"",K18-G18)</f>
        <v/>
      </c>
      <c r="Z18" s="8" t="str">
        <f aca="false">IF(OR(A18="",多次统计数据!$B$8="",多次统计数据!$B$6&lt;=0,多次统计数据!$B$6&gt;=1),"",1-POWER(1+多次统计数据!$B$8,-多次统计数据!$B$6/(1-多次统计数据!$B$6)))</f>
        <v/>
      </c>
      <c r="AA18" s="12" t="str">
        <f aca="false">IF(OR(Z18="",多次统计数据!$B$9=""),"",IF(多次统计数据!$B$9&lt;Z18,"低于上限","达到或超过上限"))</f>
        <v/>
      </c>
      <c r="AB18" s="2"/>
    </row>
    <row r="19" customFormat="false" ht="15" hidden="false" customHeight="false" outlineLevel="0" collapsed="false">
      <c r="A19" s="7"/>
      <c r="B19" s="7"/>
      <c r="C19" s="3"/>
      <c r="D19" s="4"/>
      <c r="E19" s="3"/>
      <c r="F19" s="5" t="str">
        <f aca="false">IF(OR(C19="",D19="",E19="",L19="",C19&lt;=0,D19&lt;=0,E19&lt;=L19),"",ROUNDDOWN((C19*D19)/(E19-L19)/100,0)*100)</f>
        <v/>
      </c>
      <c r="G19" s="6"/>
      <c r="H19" s="3"/>
      <c r="I19" s="3"/>
      <c r="J19" s="5" t="str">
        <f aca="false">IF(I19="","",F19)</f>
        <v/>
      </c>
      <c r="K19" s="6"/>
      <c r="L19" s="3"/>
      <c r="M19" s="3"/>
      <c r="N19" s="3"/>
      <c r="O19" s="7"/>
      <c r="P19" s="7"/>
      <c r="Q19" s="7"/>
      <c r="R19" s="7"/>
      <c r="S19" s="8" t="str">
        <f aca="false">IF(OR(E19="",H19="",E19&lt;=0),"",(H19-E19)/E19)</f>
        <v/>
      </c>
      <c r="T19" s="8" t="str">
        <f aca="false">IF(OR(E19="",L19="",E19&lt;=0),"",(E19-L19)/E19)</f>
        <v/>
      </c>
      <c r="U19" s="9" t="str">
        <f aca="false">IF(OR(S19="",T19="",T19&lt;=0),"",S19/T19)</f>
        <v/>
      </c>
      <c r="V19" s="10" t="str">
        <f aca="false">IF(OR(I19="",J19="",E19="",F19=""),"",I19*J19-E19*F19-IF(M19="",0,M19)-IF(N19="",0,N19))</f>
        <v/>
      </c>
      <c r="W19" s="8" t="str">
        <f aca="false">IF(OR(V19="",E19="",F19=""),"",IF(E19*F19+IF(M19="",0,M19)&lt;=0,"",V19/(E19*F19+IF(M19="",0,M19))))</f>
        <v/>
      </c>
      <c r="X19" s="8" t="str">
        <f aca="false">IF(OR(W19="",多次统计数据!$B$8=""),"",W19-多次统计数据!$B$8)</f>
        <v/>
      </c>
      <c r="Y19" s="11" t="str">
        <f aca="false">IF(OR(G19="",K19="",K19&lt;G19),"",K19-G19)</f>
        <v/>
      </c>
      <c r="Z19" s="8" t="str">
        <f aca="false">IF(OR(A19="",多次统计数据!$B$8="",多次统计数据!$B$6&lt;=0,多次统计数据!$B$6&gt;=1),"",1-POWER(1+多次统计数据!$B$8,-多次统计数据!$B$6/(1-多次统计数据!$B$6)))</f>
        <v/>
      </c>
      <c r="AA19" s="12" t="str">
        <f aca="false">IF(OR(Z19="",多次统计数据!$B$9=""),"",IF(多次统计数据!$B$9&lt;Z19,"低于上限","达到或超过上限"))</f>
        <v/>
      </c>
      <c r="AB19" s="2"/>
    </row>
    <row r="20" customFormat="false" ht="15" hidden="false" customHeight="false" outlineLevel="0" collapsed="false">
      <c r="A20" s="7"/>
      <c r="B20" s="7"/>
      <c r="C20" s="3"/>
      <c r="D20" s="4"/>
      <c r="E20" s="3"/>
      <c r="F20" s="5" t="str">
        <f aca="false">IF(OR(C20="",D20="",E20="",L20="",C20&lt;=0,D20&lt;=0,E20&lt;=L20),"",ROUNDDOWN((C20*D20)/(E20-L20)/100,0)*100)</f>
        <v/>
      </c>
      <c r="G20" s="6"/>
      <c r="H20" s="3"/>
      <c r="I20" s="3"/>
      <c r="J20" s="5" t="str">
        <f aca="false">IF(I20="","",F20)</f>
        <v/>
      </c>
      <c r="K20" s="6"/>
      <c r="L20" s="3"/>
      <c r="M20" s="3"/>
      <c r="N20" s="3"/>
      <c r="O20" s="7"/>
      <c r="P20" s="7"/>
      <c r="Q20" s="7"/>
      <c r="R20" s="7"/>
      <c r="S20" s="8" t="str">
        <f aca="false">IF(OR(E20="",H20="",E20&lt;=0),"",(H20-E20)/E20)</f>
        <v/>
      </c>
      <c r="T20" s="8" t="str">
        <f aca="false">IF(OR(E20="",L20="",E20&lt;=0),"",(E20-L20)/E20)</f>
        <v/>
      </c>
      <c r="U20" s="9" t="str">
        <f aca="false">IF(OR(S20="",T20="",T20&lt;=0),"",S20/T20)</f>
        <v/>
      </c>
      <c r="V20" s="10" t="str">
        <f aca="false">IF(OR(I20="",J20="",E20="",F20=""),"",I20*J20-E20*F20-IF(M20="",0,M20)-IF(N20="",0,N20))</f>
        <v/>
      </c>
      <c r="W20" s="8" t="str">
        <f aca="false">IF(OR(V20="",E20="",F20=""),"",IF(E20*F20+IF(M20="",0,M20)&lt;=0,"",V20/(E20*F20+IF(M20="",0,M20))))</f>
        <v/>
      </c>
      <c r="X20" s="8" t="str">
        <f aca="false">IF(OR(W20="",多次统计数据!$B$8=""),"",W20-多次统计数据!$B$8)</f>
        <v/>
      </c>
      <c r="Y20" s="11" t="str">
        <f aca="false">IF(OR(G20="",K20="",K20&lt;G20),"",K20-G20)</f>
        <v/>
      </c>
      <c r="Z20" s="8" t="str">
        <f aca="false">IF(OR(A20="",多次统计数据!$B$8="",多次统计数据!$B$6&lt;=0,多次统计数据!$B$6&gt;=1),"",1-POWER(1+多次统计数据!$B$8,-多次统计数据!$B$6/(1-多次统计数据!$B$6)))</f>
        <v/>
      </c>
      <c r="AA20" s="12" t="str">
        <f aca="false">IF(OR(Z20="",多次统计数据!$B$9=""),"",IF(多次统计数据!$B$9&lt;Z20,"低于上限","达到或超过上限"))</f>
        <v/>
      </c>
      <c r="AB20" s="2"/>
    </row>
    <row r="21" customFormat="false" ht="15" hidden="false" customHeight="false" outlineLevel="0" collapsed="false">
      <c r="A21" s="7"/>
      <c r="B21" s="7"/>
      <c r="C21" s="3"/>
      <c r="D21" s="4"/>
      <c r="E21" s="3"/>
      <c r="F21" s="5" t="str">
        <f aca="false">IF(OR(C21="",D21="",E21="",L21="",C21&lt;=0,D21&lt;=0,E21&lt;=L21),"",ROUNDDOWN((C21*D21)/(E21-L21)/100,0)*100)</f>
        <v/>
      </c>
      <c r="G21" s="6"/>
      <c r="H21" s="3"/>
      <c r="I21" s="3"/>
      <c r="J21" s="5" t="str">
        <f aca="false">IF(I21="","",F21)</f>
        <v/>
      </c>
      <c r="K21" s="6"/>
      <c r="L21" s="3"/>
      <c r="M21" s="3"/>
      <c r="N21" s="3"/>
      <c r="O21" s="7"/>
      <c r="P21" s="7"/>
      <c r="Q21" s="7"/>
      <c r="R21" s="7"/>
      <c r="S21" s="8" t="str">
        <f aca="false">IF(OR(E21="",H21="",E21&lt;=0),"",(H21-E21)/E21)</f>
        <v/>
      </c>
      <c r="T21" s="8" t="str">
        <f aca="false">IF(OR(E21="",L21="",E21&lt;=0),"",(E21-L21)/E21)</f>
        <v/>
      </c>
      <c r="U21" s="9" t="str">
        <f aca="false">IF(OR(S21="",T21="",T21&lt;=0),"",S21/T21)</f>
        <v/>
      </c>
      <c r="V21" s="10" t="str">
        <f aca="false">IF(OR(I21="",J21="",E21="",F21=""),"",I21*J21-E21*F21-IF(M21="",0,M21)-IF(N21="",0,N21))</f>
        <v/>
      </c>
      <c r="W21" s="8" t="str">
        <f aca="false">IF(OR(V21="",E21="",F21=""),"",IF(E21*F21+IF(M21="",0,M21)&lt;=0,"",V21/(E21*F21+IF(M21="",0,M21))))</f>
        <v/>
      </c>
      <c r="X21" s="8" t="str">
        <f aca="false">IF(OR(W21="",多次统计数据!$B$8=""),"",W21-多次统计数据!$B$8)</f>
        <v/>
      </c>
      <c r="Y21" s="11" t="str">
        <f aca="false">IF(OR(G21="",K21="",K21&lt;G21),"",K21-G21)</f>
        <v/>
      </c>
      <c r="Z21" s="8" t="str">
        <f aca="false">IF(OR(A21="",多次统计数据!$B$8="",多次统计数据!$B$6&lt;=0,多次统计数据!$B$6&gt;=1),"",1-POWER(1+多次统计数据!$B$8,-多次统计数据!$B$6/(1-多次统计数据!$B$6)))</f>
        <v/>
      </c>
      <c r="AA21" s="12" t="str">
        <f aca="false">IF(OR(Z21="",多次统计数据!$B$9=""),"",IF(多次统计数据!$B$9&lt;Z21,"低于上限","达到或超过上限"))</f>
        <v/>
      </c>
      <c r="AB21" s="2"/>
    </row>
    <row r="22" customFormat="false" ht="15" hidden="false" customHeight="false" outlineLevel="0" collapsed="false">
      <c r="A22" s="7"/>
      <c r="B22" s="7"/>
      <c r="C22" s="3"/>
      <c r="D22" s="4"/>
      <c r="E22" s="3"/>
      <c r="F22" s="5" t="str">
        <f aca="false">IF(OR(C22="",D22="",E22="",L22="",C22&lt;=0,D22&lt;=0,E22&lt;=L22),"",ROUNDDOWN((C22*D22)/(E22-L22)/100,0)*100)</f>
        <v/>
      </c>
      <c r="G22" s="6"/>
      <c r="H22" s="3"/>
      <c r="I22" s="3"/>
      <c r="J22" s="5" t="str">
        <f aca="false">IF(I22="","",F22)</f>
        <v/>
      </c>
      <c r="K22" s="6"/>
      <c r="L22" s="3"/>
      <c r="M22" s="3"/>
      <c r="N22" s="3"/>
      <c r="O22" s="7"/>
      <c r="P22" s="7"/>
      <c r="Q22" s="7"/>
      <c r="R22" s="7"/>
      <c r="S22" s="8" t="str">
        <f aca="false">IF(OR(E22="",H22="",E22&lt;=0),"",(H22-E22)/E22)</f>
        <v/>
      </c>
      <c r="T22" s="8" t="str">
        <f aca="false">IF(OR(E22="",L22="",E22&lt;=0),"",(E22-L22)/E22)</f>
        <v/>
      </c>
      <c r="U22" s="9" t="str">
        <f aca="false">IF(OR(S22="",T22="",T22&lt;=0),"",S22/T22)</f>
        <v/>
      </c>
      <c r="V22" s="10" t="str">
        <f aca="false">IF(OR(I22="",J22="",E22="",F22=""),"",I22*J22-E22*F22-IF(M22="",0,M22)-IF(N22="",0,N22))</f>
        <v/>
      </c>
      <c r="W22" s="8" t="str">
        <f aca="false">IF(OR(V22="",E22="",F22=""),"",IF(E22*F22+IF(M22="",0,M22)&lt;=0,"",V22/(E22*F22+IF(M22="",0,M22))))</f>
        <v/>
      </c>
      <c r="X22" s="8" t="str">
        <f aca="false">IF(OR(W22="",多次统计数据!$B$8=""),"",W22-多次统计数据!$B$8)</f>
        <v/>
      </c>
      <c r="Y22" s="11" t="str">
        <f aca="false">IF(OR(G22="",K22="",K22&lt;G22),"",K22-G22)</f>
        <v/>
      </c>
      <c r="Z22" s="8" t="str">
        <f aca="false">IF(OR(A22="",多次统计数据!$B$8="",多次统计数据!$B$6&lt;=0,多次统计数据!$B$6&gt;=1),"",1-POWER(1+多次统计数据!$B$8,-多次统计数据!$B$6/(1-多次统计数据!$B$6)))</f>
        <v/>
      </c>
      <c r="AA22" s="12" t="str">
        <f aca="false">IF(OR(Z22="",多次统计数据!$B$9=""),"",IF(多次统计数据!$B$9&lt;Z22,"低于上限","达到或超过上限"))</f>
        <v/>
      </c>
      <c r="AB22" s="2"/>
    </row>
    <row r="23" customFormat="false" ht="15" hidden="false" customHeight="false" outlineLevel="0" collapsed="false">
      <c r="A23" s="7"/>
      <c r="B23" s="7"/>
      <c r="C23" s="3"/>
      <c r="D23" s="4"/>
      <c r="E23" s="3"/>
      <c r="F23" s="5" t="str">
        <f aca="false">IF(OR(C23="",D23="",E23="",L23="",C23&lt;=0,D23&lt;=0,E23&lt;=L23),"",ROUNDDOWN((C23*D23)/(E23-L23)/100,0)*100)</f>
        <v/>
      </c>
      <c r="G23" s="6"/>
      <c r="H23" s="3"/>
      <c r="I23" s="3"/>
      <c r="J23" s="5" t="str">
        <f aca="false">IF(I23="","",F23)</f>
        <v/>
      </c>
      <c r="K23" s="6"/>
      <c r="L23" s="3"/>
      <c r="M23" s="3"/>
      <c r="N23" s="3"/>
      <c r="O23" s="7"/>
      <c r="P23" s="7"/>
      <c r="Q23" s="7"/>
      <c r="R23" s="7"/>
      <c r="S23" s="8" t="str">
        <f aca="false">IF(OR(E23="",H23="",E23&lt;=0),"",(H23-E23)/E23)</f>
        <v/>
      </c>
      <c r="T23" s="8" t="str">
        <f aca="false">IF(OR(E23="",L23="",E23&lt;=0),"",(E23-L23)/E23)</f>
        <v/>
      </c>
      <c r="U23" s="9" t="str">
        <f aca="false">IF(OR(S23="",T23="",T23&lt;=0),"",S23/T23)</f>
        <v/>
      </c>
      <c r="V23" s="10" t="str">
        <f aca="false">IF(OR(I23="",J23="",E23="",F23=""),"",I23*J23-E23*F23-IF(M23="",0,M23)-IF(N23="",0,N23))</f>
        <v/>
      </c>
      <c r="W23" s="8" t="str">
        <f aca="false">IF(OR(V23="",E23="",F23=""),"",IF(E23*F23+IF(M23="",0,M23)&lt;=0,"",V23/(E23*F23+IF(M23="",0,M23))))</f>
        <v/>
      </c>
      <c r="X23" s="8" t="str">
        <f aca="false">IF(OR(W23="",多次统计数据!$B$8=""),"",W23-多次统计数据!$B$8)</f>
        <v/>
      </c>
      <c r="Y23" s="11" t="str">
        <f aca="false">IF(OR(G23="",K23="",K23&lt;G23),"",K23-G23)</f>
        <v/>
      </c>
      <c r="Z23" s="8" t="str">
        <f aca="false">IF(OR(A23="",多次统计数据!$B$8="",多次统计数据!$B$6&lt;=0,多次统计数据!$B$6&gt;=1),"",1-POWER(1+多次统计数据!$B$8,-多次统计数据!$B$6/(1-多次统计数据!$B$6)))</f>
        <v/>
      </c>
      <c r="AA23" s="12" t="str">
        <f aca="false">IF(OR(Z23="",多次统计数据!$B$9=""),"",IF(多次统计数据!$B$9&lt;Z23,"低于上限","达到或超过上限"))</f>
        <v/>
      </c>
      <c r="AB23" s="2"/>
    </row>
    <row r="24" customFormat="false" ht="15" hidden="false" customHeight="false" outlineLevel="0" collapsed="false">
      <c r="A24" s="7"/>
      <c r="B24" s="7"/>
      <c r="C24" s="3"/>
      <c r="D24" s="4"/>
      <c r="E24" s="3"/>
      <c r="F24" s="5" t="str">
        <f aca="false">IF(OR(C24="",D24="",E24="",L24="",C24&lt;=0,D24&lt;=0,E24&lt;=L24),"",ROUNDDOWN((C24*D24)/(E24-L24)/100,0)*100)</f>
        <v/>
      </c>
      <c r="G24" s="6"/>
      <c r="H24" s="3"/>
      <c r="I24" s="3"/>
      <c r="J24" s="5" t="str">
        <f aca="false">IF(I24="","",F24)</f>
        <v/>
      </c>
      <c r="K24" s="6"/>
      <c r="L24" s="3"/>
      <c r="M24" s="3"/>
      <c r="N24" s="3"/>
      <c r="O24" s="7"/>
      <c r="P24" s="7"/>
      <c r="Q24" s="7"/>
      <c r="R24" s="7"/>
      <c r="S24" s="8" t="str">
        <f aca="false">IF(OR(E24="",H24="",E24&lt;=0),"",(H24-E24)/E24)</f>
        <v/>
      </c>
      <c r="T24" s="8" t="str">
        <f aca="false">IF(OR(E24="",L24="",E24&lt;=0),"",(E24-L24)/E24)</f>
        <v/>
      </c>
      <c r="U24" s="9" t="str">
        <f aca="false">IF(OR(S24="",T24="",T24&lt;=0),"",S24/T24)</f>
        <v/>
      </c>
      <c r="V24" s="10" t="str">
        <f aca="false">IF(OR(I24="",J24="",E24="",F24=""),"",I24*J24-E24*F24-IF(M24="",0,M24)-IF(N24="",0,N24))</f>
        <v/>
      </c>
      <c r="W24" s="8" t="str">
        <f aca="false">IF(OR(V24="",E24="",F24=""),"",IF(E24*F24+IF(M24="",0,M24)&lt;=0,"",V24/(E24*F24+IF(M24="",0,M24))))</f>
        <v/>
      </c>
      <c r="X24" s="8" t="str">
        <f aca="false">IF(OR(W24="",多次统计数据!$B$8=""),"",W24-多次统计数据!$B$8)</f>
        <v/>
      </c>
      <c r="Y24" s="11" t="str">
        <f aca="false">IF(OR(G24="",K24="",K24&lt;G24),"",K24-G24)</f>
        <v/>
      </c>
      <c r="Z24" s="8" t="str">
        <f aca="false">IF(OR(A24="",多次统计数据!$B$8="",多次统计数据!$B$6&lt;=0,多次统计数据!$B$6&gt;=1),"",1-POWER(1+多次统计数据!$B$8,-多次统计数据!$B$6/(1-多次统计数据!$B$6)))</f>
        <v/>
      </c>
      <c r="AA24" s="12" t="str">
        <f aca="false">IF(OR(Z24="",多次统计数据!$B$9=""),"",IF(多次统计数据!$B$9&lt;Z24,"低于上限","达到或超过上限"))</f>
        <v/>
      </c>
      <c r="AB24" s="2"/>
    </row>
    <row r="25" customFormat="false" ht="15" hidden="false" customHeight="false" outlineLevel="0" collapsed="false">
      <c r="A25" s="7"/>
      <c r="B25" s="7"/>
      <c r="C25" s="3"/>
      <c r="D25" s="4"/>
      <c r="E25" s="3"/>
      <c r="F25" s="5" t="str">
        <f aca="false">IF(OR(C25="",D25="",E25="",L25="",C25&lt;=0,D25&lt;=0,E25&lt;=L25),"",ROUNDDOWN((C25*D25)/(E25-L25)/100,0)*100)</f>
        <v/>
      </c>
      <c r="G25" s="6"/>
      <c r="H25" s="3"/>
      <c r="I25" s="3"/>
      <c r="J25" s="5" t="str">
        <f aca="false">IF(I25="","",F25)</f>
        <v/>
      </c>
      <c r="K25" s="6"/>
      <c r="L25" s="3"/>
      <c r="M25" s="3"/>
      <c r="N25" s="3"/>
      <c r="O25" s="7"/>
      <c r="P25" s="7"/>
      <c r="Q25" s="7"/>
      <c r="R25" s="7"/>
      <c r="S25" s="8" t="str">
        <f aca="false">IF(OR(E25="",H25="",E25&lt;=0),"",(H25-E25)/E25)</f>
        <v/>
      </c>
      <c r="T25" s="8" t="str">
        <f aca="false">IF(OR(E25="",L25="",E25&lt;=0),"",(E25-L25)/E25)</f>
        <v/>
      </c>
      <c r="U25" s="9" t="str">
        <f aca="false">IF(OR(S25="",T25="",T25&lt;=0),"",S25/T25)</f>
        <v/>
      </c>
      <c r="V25" s="10" t="str">
        <f aca="false">IF(OR(I25="",J25="",E25="",F25=""),"",I25*J25-E25*F25-IF(M25="",0,M25)-IF(N25="",0,N25))</f>
        <v/>
      </c>
      <c r="W25" s="8" t="str">
        <f aca="false">IF(OR(V25="",E25="",F25=""),"",IF(E25*F25+IF(M25="",0,M25)&lt;=0,"",V25/(E25*F25+IF(M25="",0,M25))))</f>
        <v/>
      </c>
      <c r="X25" s="8" t="str">
        <f aca="false">IF(OR(W25="",多次统计数据!$B$8=""),"",W25-多次统计数据!$B$8)</f>
        <v/>
      </c>
      <c r="Y25" s="11" t="str">
        <f aca="false">IF(OR(G25="",K25="",K25&lt;G25),"",K25-G25)</f>
        <v/>
      </c>
      <c r="Z25" s="8" t="str">
        <f aca="false">IF(OR(A25="",多次统计数据!$B$8="",多次统计数据!$B$6&lt;=0,多次统计数据!$B$6&gt;=1),"",1-POWER(1+多次统计数据!$B$8,-多次统计数据!$B$6/(1-多次统计数据!$B$6)))</f>
        <v/>
      </c>
      <c r="AA25" s="12" t="str">
        <f aca="false">IF(OR(Z25="",多次统计数据!$B$9=""),"",IF(多次统计数据!$B$9&lt;Z25,"低于上限","达到或超过上限"))</f>
        <v/>
      </c>
      <c r="AB25" s="2"/>
    </row>
    <row r="26" customFormat="false" ht="15" hidden="false" customHeight="false" outlineLevel="0" collapsed="false">
      <c r="A26" s="7"/>
      <c r="B26" s="7"/>
      <c r="C26" s="3"/>
      <c r="D26" s="4"/>
      <c r="E26" s="3"/>
      <c r="F26" s="5" t="str">
        <f aca="false">IF(OR(C26="",D26="",E26="",L26="",C26&lt;=0,D26&lt;=0,E26&lt;=L26),"",ROUNDDOWN((C26*D26)/(E26-L26)/100,0)*100)</f>
        <v/>
      </c>
      <c r="G26" s="6"/>
      <c r="H26" s="3"/>
      <c r="I26" s="3"/>
      <c r="J26" s="5" t="str">
        <f aca="false">IF(I26="","",F26)</f>
        <v/>
      </c>
      <c r="K26" s="6"/>
      <c r="L26" s="3"/>
      <c r="M26" s="3"/>
      <c r="N26" s="3"/>
      <c r="O26" s="7"/>
      <c r="P26" s="7"/>
      <c r="Q26" s="7"/>
      <c r="R26" s="7"/>
      <c r="S26" s="8" t="str">
        <f aca="false">IF(OR(E26="",H26="",E26&lt;=0),"",(H26-E26)/E26)</f>
        <v/>
      </c>
      <c r="T26" s="8" t="str">
        <f aca="false">IF(OR(E26="",L26="",E26&lt;=0),"",(E26-L26)/E26)</f>
        <v/>
      </c>
      <c r="U26" s="9" t="str">
        <f aca="false">IF(OR(S26="",T26="",T26&lt;=0),"",S26/T26)</f>
        <v/>
      </c>
      <c r="V26" s="10" t="str">
        <f aca="false">IF(OR(I26="",J26="",E26="",F26=""),"",I26*J26-E26*F26-IF(M26="",0,M26)-IF(N26="",0,N26))</f>
        <v/>
      </c>
      <c r="W26" s="8" t="str">
        <f aca="false">IF(OR(V26="",E26="",F26=""),"",IF(E26*F26+IF(M26="",0,M26)&lt;=0,"",V26/(E26*F26+IF(M26="",0,M26))))</f>
        <v/>
      </c>
      <c r="X26" s="8" t="str">
        <f aca="false">IF(OR(W26="",多次统计数据!$B$8=""),"",W26-多次统计数据!$B$8)</f>
        <v/>
      </c>
      <c r="Y26" s="11" t="str">
        <f aca="false">IF(OR(G26="",K26="",K26&lt;G26),"",K26-G26)</f>
        <v/>
      </c>
      <c r="Z26" s="8" t="str">
        <f aca="false">IF(OR(A26="",多次统计数据!$B$8="",多次统计数据!$B$6&lt;=0,多次统计数据!$B$6&gt;=1),"",1-POWER(1+多次统计数据!$B$8,-多次统计数据!$B$6/(1-多次统计数据!$B$6)))</f>
        <v/>
      </c>
      <c r="AA26" s="12" t="str">
        <f aca="false">IF(OR(Z26="",多次统计数据!$B$9=""),"",IF(多次统计数据!$B$9&lt;Z26,"低于上限","达到或超过上限"))</f>
        <v/>
      </c>
      <c r="AB26" s="2"/>
    </row>
    <row r="27" customFormat="false" ht="15" hidden="false" customHeight="false" outlineLevel="0" collapsed="false">
      <c r="A27" s="7"/>
      <c r="B27" s="7"/>
      <c r="C27" s="3"/>
      <c r="D27" s="4"/>
      <c r="E27" s="3"/>
      <c r="F27" s="5" t="str">
        <f aca="false">IF(OR(C27="",D27="",E27="",L27="",C27&lt;=0,D27&lt;=0,E27&lt;=L27),"",ROUNDDOWN((C27*D27)/(E27-L27)/100,0)*100)</f>
        <v/>
      </c>
      <c r="G27" s="6"/>
      <c r="H27" s="3"/>
      <c r="I27" s="3"/>
      <c r="J27" s="5" t="str">
        <f aca="false">IF(I27="","",F27)</f>
        <v/>
      </c>
      <c r="K27" s="6"/>
      <c r="L27" s="3"/>
      <c r="M27" s="3"/>
      <c r="N27" s="3"/>
      <c r="O27" s="7"/>
      <c r="P27" s="7"/>
      <c r="Q27" s="7"/>
      <c r="R27" s="7"/>
      <c r="S27" s="8" t="str">
        <f aca="false">IF(OR(E27="",H27="",E27&lt;=0),"",(H27-E27)/E27)</f>
        <v/>
      </c>
      <c r="T27" s="8" t="str">
        <f aca="false">IF(OR(E27="",L27="",E27&lt;=0),"",(E27-L27)/E27)</f>
        <v/>
      </c>
      <c r="U27" s="9" t="str">
        <f aca="false">IF(OR(S27="",T27="",T27&lt;=0),"",S27/T27)</f>
        <v/>
      </c>
      <c r="V27" s="10" t="str">
        <f aca="false">IF(OR(I27="",J27="",E27="",F27=""),"",I27*J27-E27*F27-IF(M27="",0,M27)-IF(N27="",0,N27))</f>
        <v/>
      </c>
      <c r="W27" s="8" t="str">
        <f aca="false">IF(OR(V27="",E27="",F27=""),"",IF(E27*F27+IF(M27="",0,M27)&lt;=0,"",V27/(E27*F27+IF(M27="",0,M27))))</f>
        <v/>
      </c>
      <c r="X27" s="8" t="str">
        <f aca="false">IF(OR(W27="",多次统计数据!$B$8=""),"",W27-多次统计数据!$B$8)</f>
        <v/>
      </c>
      <c r="Y27" s="11" t="str">
        <f aca="false">IF(OR(G27="",K27="",K27&lt;G27),"",K27-G27)</f>
        <v/>
      </c>
      <c r="Z27" s="8" t="str">
        <f aca="false">IF(OR(A27="",多次统计数据!$B$8="",多次统计数据!$B$6&lt;=0,多次统计数据!$B$6&gt;=1),"",1-POWER(1+多次统计数据!$B$8,-多次统计数据!$B$6/(1-多次统计数据!$B$6)))</f>
        <v/>
      </c>
      <c r="AA27" s="12" t="str">
        <f aca="false">IF(OR(Z27="",多次统计数据!$B$9=""),"",IF(多次统计数据!$B$9&lt;Z27,"低于上限","达到或超过上限"))</f>
        <v/>
      </c>
      <c r="AB27" s="2"/>
    </row>
    <row r="28" customFormat="false" ht="15" hidden="false" customHeight="false" outlineLevel="0" collapsed="false">
      <c r="A28" s="7"/>
      <c r="B28" s="7"/>
      <c r="C28" s="3"/>
      <c r="D28" s="4"/>
      <c r="E28" s="3"/>
      <c r="F28" s="5" t="str">
        <f aca="false">IF(OR(C28="",D28="",E28="",L28="",C28&lt;=0,D28&lt;=0,E28&lt;=L28),"",ROUNDDOWN((C28*D28)/(E28-L28)/100,0)*100)</f>
        <v/>
      </c>
      <c r="G28" s="6"/>
      <c r="H28" s="3"/>
      <c r="I28" s="3"/>
      <c r="J28" s="5" t="str">
        <f aca="false">IF(I28="","",F28)</f>
        <v/>
      </c>
      <c r="K28" s="6"/>
      <c r="L28" s="3"/>
      <c r="M28" s="3"/>
      <c r="N28" s="3"/>
      <c r="O28" s="7"/>
      <c r="P28" s="7"/>
      <c r="Q28" s="7"/>
      <c r="R28" s="7"/>
      <c r="S28" s="8" t="str">
        <f aca="false">IF(OR(E28="",H28="",E28&lt;=0),"",(H28-E28)/E28)</f>
        <v/>
      </c>
      <c r="T28" s="8" t="str">
        <f aca="false">IF(OR(E28="",L28="",E28&lt;=0),"",(E28-L28)/E28)</f>
        <v/>
      </c>
      <c r="U28" s="9" t="str">
        <f aca="false">IF(OR(S28="",T28="",T28&lt;=0),"",S28/T28)</f>
        <v/>
      </c>
      <c r="V28" s="10" t="str">
        <f aca="false">IF(OR(I28="",J28="",E28="",F28=""),"",I28*J28-E28*F28-IF(M28="",0,M28)-IF(N28="",0,N28))</f>
        <v/>
      </c>
      <c r="W28" s="8" t="str">
        <f aca="false">IF(OR(V28="",E28="",F28=""),"",IF(E28*F28+IF(M28="",0,M28)&lt;=0,"",V28/(E28*F28+IF(M28="",0,M28))))</f>
        <v/>
      </c>
      <c r="X28" s="8" t="str">
        <f aca="false">IF(OR(W28="",多次统计数据!$B$8=""),"",W28-多次统计数据!$B$8)</f>
        <v/>
      </c>
      <c r="Y28" s="11" t="str">
        <f aca="false">IF(OR(G28="",K28="",K28&lt;G28),"",K28-G28)</f>
        <v/>
      </c>
      <c r="Z28" s="8" t="str">
        <f aca="false">IF(OR(A28="",多次统计数据!$B$8="",多次统计数据!$B$6&lt;=0,多次统计数据!$B$6&gt;=1),"",1-POWER(1+多次统计数据!$B$8,-多次统计数据!$B$6/(1-多次统计数据!$B$6)))</f>
        <v/>
      </c>
      <c r="AA28" s="12" t="str">
        <f aca="false">IF(OR(Z28="",多次统计数据!$B$9=""),"",IF(多次统计数据!$B$9&lt;Z28,"低于上限","达到或超过上限"))</f>
        <v/>
      </c>
      <c r="AB28" s="2"/>
    </row>
    <row r="29" customFormat="false" ht="15" hidden="false" customHeight="false" outlineLevel="0" collapsed="false">
      <c r="A29" s="7"/>
      <c r="B29" s="7"/>
      <c r="C29" s="3"/>
      <c r="D29" s="4"/>
      <c r="E29" s="3"/>
      <c r="F29" s="5" t="str">
        <f aca="false">IF(OR(C29="",D29="",E29="",L29="",C29&lt;=0,D29&lt;=0,E29&lt;=L29),"",ROUNDDOWN((C29*D29)/(E29-L29)/100,0)*100)</f>
        <v/>
      </c>
      <c r="G29" s="6"/>
      <c r="H29" s="3"/>
      <c r="I29" s="3"/>
      <c r="J29" s="5" t="str">
        <f aca="false">IF(I29="","",F29)</f>
        <v/>
      </c>
      <c r="K29" s="6"/>
      <c r="L29" s="3"/>
      <c r="M29" s="3"/>
      <c r="N29" s="3"/>
      <c r="O29" s="7"/>
      <c r="P29" s="7"/>
      <c r="Q29" s="7"/>
      <c r="R29" s="7"/>
      <c r="S29" s="8" t="str">
        <f aca="false">IF(OR(E29="",H29="",E29&lt;=0),"",(H29-E29)/E29)</f>
        <v/>
      </c>
      <c r="T29" s="8" t="str">
        <f aca="false">IF(OR(E29="",L29="",E29&lt;=0),"",(E29-L29)/E29)</f>
        <v/>
      </c>
      <c r="U29" s="9" t="str">
        <f aca="false">IF(OR(S29="",T29="",T29&lt;=0),"",S29/T29)</f>
        <v/>
      </c>
      <c r="V29" s="10" t="str">
        <f aca="false">IF(OR(I29="",J29="",E29="",F29=""),"",I29*J29-E29*F29-IF(M29="",0,M29)-IF(N29="",0,N29))</f>
        <v/>
      </c>
      <c r="W29" s="8" t="str">
        <f aca="false">IF(OR(V29="",E29="",F29=""),"",IF(E29*F29+IF(M29="",0,M29)&lt;=0,"",V29/(E29*F29+IF(M29="",0,M29))))</f>
        <v/>
      </c>
      <c r="X29" s="8" t="str">
        <f aca="false">IF(OR(W29="",多次统计数据!$B$8=""),"",W29-多次统计数据!$B$8)</f>
        <v/>
      </c>
      <c r="Y29" s="11" t="str">
        <f aca="false">IF(OR(G29="",K29="",K29&lt;G29),"",K29-G29)</f>
        <v/>
      </c>
      <c r="Z29" s="8" t="str">
        <f aca="false">IF(OR(A29="",多次统计数据!$B$8="",多次统计数据!$B$6&lt;=0,多次统计数据!$B$6&gt;=1),"",1-POWER(1+多次统计数据!$B$8,-多次统计数据!$B$6/(1-多次统计数据!$B$6)))</f>
        <v/>
      </c>
      <c r="AA29" s="12" t="str">
        <f aca="false">IF(OR(Z29="",多次统计数据!$B$9=""),"",IF(多次统计数据!$B$9&lt;Z29,"低于上限","达到或超过上限"))</f>
        <v/>
      </c>
      <c r="AB29" s="2"/>
    </row>
    <row r="30" customFormat="false" ht="15" hidden="false" customHeight="false" outlineLevel="0" collapsed="false">
      <c r="A30" s="7"/>
      <c r="B30" s="7"/>
      <c r="C30" s="3"/>
      <c r="D30" s="4"/>
      <c r="E30" s="3"/>
      <c r="F30" s="5" t="str">
        <f aca="false">IF(OR(C30="",D30="",E30="",L30="",C30&lt;=0,D30&lt;=0,E30&lt;=L30),"",ROUNDDOWN((C30*D30)/(E30-L30)/100,0)*100)</f>
        <v/>
      </c>
      <c r="G30" s="6"/>
      <c r="H30" s="3"/>
      <c r="I30" s="3"/>
      <c r="J30" s="5" t="str">
        <f aca="false">IF(I30="","",F30)</f>
        <v/>
      </c>
      <c r="K30" s="6"/>
      <c r="L30" s="3"/>
      <c r="M30" s="3"/>
      <c r="N30" s="3"/>
      <c r="O30" s="7"/>
      <c r="P30" s="7"/>
      <c r="Q30" s="7"/>
      <c r="R30" s="7"/>
      <c r="S30" s="8" t="str">
        <f aca="false">IF(OR(E30="",H30="",E30&lt;=0),"",(H30-E30)/E30)</f>
        <v/>
      </c>
      <c r="T30" s="8" t="str">
        <f aca="false">IF(OR(E30="",L30="",E30&lt;=0),"",(E30-L30)/E30)</f>
        <v/>
      </c>
      <c r="U30" s="9" t="str">
        <f aca="false">IF(OR(S30="",T30="",T30&lt;=0),"",S30/T30)</f>
        <v/>
      </c>
      <c r="V30" s="10" t="str">
        <f aca="false">IF(OR(I30="",J30="",E30="",F30=""),"",I30*J30-E30*F30-IF(M30="",0,M30)-IF(N30="",0,N30))</f>
        <v/>
      </c>
      <c r="W30" s="8" t="str">
        <f aca="false">IF(OR(V30="",E30="",F30=""),"",IF(E30*F30+IF(M30="",0,M30)&lt;=0,"",V30/(E30*F30+IF(M30="",0,M30))))</f>
        <v/>
      </c>
      <c r="X30" s="8" t="str">
        <f aca="false">IF(OR(W30="",多次统计数据!$B$8=""),"",W30-多次统计数据!$B$8)</f>
        <v/>
      </c>
      <c r="Y30" s="11" t="str">
        <f aca="false">IF(OR(G30="",K30="",K30&lt;G30),"",K30-G30)</f>
        <v/>
      </c>
      <c r="Z30" s="8" t="str">
        <f aca="false">IF(OR(A30="",多次统计数据!$B$8="",多次统计数据!$B$6&lt;=0,多次统计数据!$B$6&gt;=1),"",1-POWER(1+多次统计数据!$B$8,-多次统计数据!$B$6/(1-多次统计数据!$B$6)))</f>
        <v/>
      </c>
      <c r="AA30" s="12" t="str">
        <f aca="false">IF(OR(Z30="",多次统计数据!$B$9=""),"",IF(多次统计数据!$B$9&lt;Z30,"低于上限","达到或超过上限"))</f>
        <v/>
      </c>
      <c r="AB30" s="2"/>
    </row>
    <row r="31" customFormat="false" ht="15" hidden="false" customHeight="false" outlineLevel="0" collapsed="false">
      <c r="A31" s="7"/>
      <c r="B31" s="7"/>
      <c r="C31" s="3"/>
      <c r="D31" s="4"/>
      <c r="E31" s="3"/>
      <c r="F31" s="5" t="str">
        <f aca="false">IF(OR(C31="",D31="",E31="",L31="",C31&lt;=0,D31&lt;=0,E31&lt;=L31),"",ROUNDDOWN((C31*D31)/(E31-L31)/100,0)*100)</f>
        <v/>
      </c>
      <c r="G31" s="6"/>
      <c r="H31" s="3"/>
      <c r="I31" s="3"/>
      <c r="J31" s="5" t="str">
        <f aca="false">IF(I31="","",F31)</f>
        <v/>
      </c>
      <c r="K31" s="6"/>
      <c r="L31" s="3"/>
      <c r="M31" s="3"/>
      <c r="N31" s="3"/>
      <c r="O31" s="7"/>
      <c r="P31" s="7"/>
      <c r="Q31" s="7"/>
      <c r="R31" s="7"/>
      <c r="S31" s="8" t="str">
        <f aca="false">IF(OR(E31="",H31="",E31&lt;=0),"",(H31-E31)/E31)</f>
        <v/>
      </c>
      <c r="T31" s="8" t="str">
        <f aca="false">IF(OR(E31="",L31="",E31&lt;=0),"",(E31-L31)/E31)</f>
        <v/>
      </c>
      <c r="U31" s="9" t="str">
        <f aca="false">IF(OR(S31="",T31="",T31&lt;=0),"",S31/T31)</f>
        <v/>
      </c>
      <c r="V31" s="10" t="str">
        <f aca="false">IF(OR(I31="",J31="",E31="",F31=""),"",I31*J31-E31*F31-IF(M31="",0,M31)-IF(N31="",0,N31))</f>
        <v/>
      </c>
      <c r="W31" s="8" t="str">
        <f aca="false">IF(OR(V31="",E31="",F31=""),"",IF(E31*F31+IF(M31="",0,M31)&lt;=0,"",V31/(E31*F31+IF(M31="",0,M31))))</f>
        <v/>
      </c>
      <c r="X31" s="8" t="str">
        <f aca="false">IF(OR(W31="",多次统计数据!$B$8=""),"",W31-多次统计数据!$B$8)</f>
        <v/>
      </c>
      <c r="Y31" s="11" t="str">
        <f aca="false">IF(OR(G31="",K31="",K31&lt;G31),"",K31-G31)</f>
        <v/>
      </c>
      <c r="Z31" s="8" t="str">
        <f aca="false">IF(OR(A31="",多次统计数据!$B$8="",多次统计数据!$B$6&lt;=0,多次统计数据!$B$6&gt;=1),"",1-POWER(1+多次统计数据!$B$8,-多次统计数据!$B$6/(1-多次统计数据!$B$6)))</f>
        <v/>
      </c>
      <c r="AA31" s="12" t="str">
        <f aca="false">IF(OR(Z31="",多次统计数据!$B$9=""),"",IF(多次统计数据!$B$9&lt;Z31,"低于上限","达到或超过上限"))</f>
        <v/>
      </c>
      <c r="AB31" s="2"/>
    </row>
    <row r="32" customFormat="false" ht="15" hidden="false" customHeight="false" outlineLevel="0" collapsed="false">
      <c r="A32" s="7"/>
      <c r="B32" s="7"/>
      <c r="C32" s="3"/>
      <c r="D32" s="4"/>
      <c r="E32" s="3"/>
      <c r="F32" s="5" t="str">
        <f aca="false">IF(OR(C32="",D32="",E32="",L32="",C32&lt;=0,D32&lt;=0,E32&lt;=L32),"",ROUNDDOWN((C32*D32)/(E32-L32)/100,0)*100)</f>
        <v/>
      </c>
      <c r="G32" s="6"/>
      <c r="H32" s="3"/>
      <c r="I32" s="3"/>
      <c r="J32" s="5" t="str">
        <f aca="false">IF(I32="","",F32)</f>
        <v/>
      </c>
      <c r="K32" s="6"/>
      <c r="L32" s="3"/>
      <c r="M32" s="3"/>
      <c r="N32" s="3"/>
      <c r="O32" s="7"/>
      <c r="P32" s="7"/>
      <c r="Q32" s="7"/>
      <c r="R32" s="7"/>
      <c r="S32" s="8" t="str">
        <f aca="false">IF(OR(E32="",H32="",E32&lt;=0),"",(H32-E32)/E32)</f>
        <v/>
      </c>
      <c r="T32" s="8" t="str">
        <f aca="false">IF(OR(E32="",L32="",E32&lt;=0),"",(E32-L32)/E32)</f>
        <v/>
      </c>
      <c r="U32" s="9" t="str">
        <f aca="false">IF(OR(S32="",T32="",T32&lt;=0),"",S32/T32)</f>
        <v/>
      </c>
      <c r="V32" s="10" t="str">
        <f aca="false">IF(OR(I32="",J32="",E32="",F32=""),"",I32*J32-E32*F32-IF(M32="",0,M32)-IF(N32="",0,N32))</f>
        <v/>
      </c>
      <c r="W32" s="8" t="str">
        <f aca="false">IF(OR(V32="",E32="",F32=""),"",IF(E32*F32+IF(M32="",0,M32)&lt;=0,"",V32/(E32*F32+IF(M32="",0,M32))))</f>
        <v/>
      </c>
      <c r="X32" s="8" t="str">
        <f aca="false">IF(OR(W32="",多次统计数据!$B$8=""),"",W32-多次统计数据!$B$8)</f>
        <v/>
      </c>
      <c r="Y32" s="11" t="str">
        <f aca="false">IF(OR(G32="",K32="",K32&lt;G32),"",K32-G32)</f>
        <v/>
      </c>
      <c r="Z32" s="8" t="str">
        <f aca="false">IF(OR(A32="",多次统计数据!$B$8="",多次统计数据!$B$6&lt;=0,多次统计数据!$B$6&gt;=1),"",1-POWER(1+多次统计数据!$B$8,-多次统计数据!$B$6/(1-多次统计数据!$B$6)))</f>
        <v/>
      </c>
      <c r="AA32" s="12" t="str">
        <f aca="false">IF(OR(Z32="",多次统计数据!$B$9=""),"",IF(多次统计数据!$B$9&lt;Z32,"低于上限","达到或超过上限"))</f>
        <v/>
      </c>
      <c r="AB32" s="2"/>
    </row>
    <row r="33" customFormat="false" ht="15" hidden="false" customHeight="false" outlineLevel="0" collapsed="false">
      <c r="A33" s="7"/>
      <c r="B33" s="7"/>
      <c r="C33" s="3"/>
      <c r="D33" s="4"/>
      <c r="E33" s="3"/>
      <c r="F33" s="5" t="str">
        <f aca="false">IF(OR(C33="",D33="",E33="",L33="",C33&lt;=0,D33&lt;=0,E33&lt;=L33),"",ROUNDDOWN((C33*D33)/(E33-L33)/100,0)*100)</f>
        <v/>
      </c>
      <c r="G33" s="6"/>
      <c r="H33" s="3"/>
      <c r="I33" s="3"/>
      <c r="J33" s="5" t="str">
        <f aca="false">IF(I33="","",F33)</f>
        <v/>
      </c>
      <c r="K33" s="6"/>
      <c r="L33" s="3"/>
      <c r="M33" s="3"/>
      <c r="N33" s="3"/>
      <c r="O33" s="7"/>
      <c r="P33" s="7"/>
      <c r="Q33" s="7"/>
      <c r="R33" s="7"/>
      <c r="S33" s="8" t="str">
        <f aca="false">IF(OR(E33="",H33="",E33&lt;=0),"",(H33-E33)/E33)</f>
        <v/>
      </c>
      <c r="T33" s="8" t="str">
        <f aca="false">IF(OR(E33="",L33="",E33&lt;=0),"",(E33-L33)/E33)</f>
        <v/>
      </c>
      <c r="U33" s="9" t="str">
        <f aca="false">IF(OR(S33="",T33="",T33&lt;=0),"",S33/T33)</f>
        <v/>
      </c>
      <c r="V33" s="10" t="str">
        <f aca="false">IF(OR(I33="",J33="",E33="",F33=""),"",I33*J33-E33*F33-IF(M33="",0,M33)-IF(N33="",0,N33))</f>
        <v/>
      </c>
      <c r="W33" s="8" t="str">
        <f aca="false">IF(OR(V33="",E33="",F33=""),"",IF(E33*F33+IF(M33="",0,M33)&lt;=0,"",V33/(E33*F33+IF(M33="",0,M33))))</f>
        <v/>
      </c>
      <c r="X33" s="8" t="str">
        <f aca="false">IF(OR(W33="",多次统计数据!$B$8=""),"",W33-多次统计数据!$B$8)</f>
        <v/>
      </c>
      <c r="Y33" s="11" t="str">
        <f aca="false">IF(OR(G33="",K33="",K33&lt;G33),"",K33-G33)</f>
        <v/>
      </c>
      <c r="Z33" s="8" t="str">
        <f aca="false">IF(OR(A33="",多次统计数据!$B$8="",多次统计数据!$B$6&lt;=0,多次统计数据!$B$6&gt;=1),"",1-POWER(1+多次统计数据!$B$8,-多次统计数据!$B$6/(1-多次统计数据!$B$6)))</f>
        <v/>
      </c>
      <c r="AA33" s="12" t="str">
        <f aca="false">IF(OR(Z33="",多次统计数据!$B$9=""),"",IF(多次统计数据!$B$9&lt;Z33,"低于上限","达到或超过上限"))</f>
        <v/>
      </c>
      <c r="AB33" s="2"/>
    </row>
    <row r="34" customFormat="false" ht="15" hidden="false" customHeight="false" outlineLevel="0" collapsed="false">
      <c r="A34" s="7"/>
      <c r="B34" s="7"/>
      <c r="C34" s="3"/>
      <c r="D34" s="4"/>
      <c r="E34" s="3"/>
      <c r="F34" s="5" t="str">
        <f aca="false">IF(OR(C34="",D34="",E34="",L34="",C34&lt;=0,D34&lt;=0,E34&lt;=L34),"",ROUNDDOWN((C34*D34)/(E34-L34)/100,0)*100)</f>
        <v/>
      </c>
      <c r="G34" s="6"/>
      <c r="H34" s="3"/>
      <c r="I34" s="3"/>
      <c r="J34" s="5" t="str">
        <f aca="false">IF(I34="","",F34)</f>
        <v/>
      </c>
      <c r="K34" s="6"/>
      <c r="L34" s="3"/>
      <c r="M34" s="3"/>
      <c r="N34" s="3"/>
      <c r="O34" s="7"/>
      <c r="P34" s="7"/>
      <c r="Q34" s="7"/>
      <c r="R34" s="7"/>
      <c r="S34" s="8" t="str">
        <f aca="false">IF(OR(E34="",H34="",E34&lt;=0),"",(H34-E34)/E34)</f>
        <v/>
      </c>
      <c r="T34" s="8" t="str">
        <f aca="false">IF(OR(E34="",L34="",E34&lt;=0),"",(E34-L34)/E34)</f>
        <v/>
      </c>
      <c r="U34" s="9" t="str">
        <f aca="false">IF(OR(S34="",T34="",T34&lt;=0),"",S34/T34)</f>
        <v/>
      </c>
      <c r="V34" s="10" t="str">
        <f aca="false">IF(OR(I34="",J34="",E34="",F34=""),"",I34*J34-E34*F34-IF(M34="",0,M34)-IF(N34="",0,N34))</f>
        <v/>
      </c>
      <c r="W34" s="8" t="str">
        <f aca="false">IF(OR(V34="",E34="",F34=""),"",IF(E34*F34+IF(M34="",0,M34)&lt;=0,"",V34/(E34*F34+IF(M34="",0,M34))))</f>
        <v/>
      </c>
      <c r="X34" s="8" t="str">
        <f aca="false">IF(OR(W34="",多次统计数据!$B$8=""),"",W34-多次统计数据!$B$8)</f>
        <v/>
      </c>
      <c r="Y34" s="11" t="str">
        <f aca="false">IF(OR(G34="",K34="",K34&lt;G34),"",K34-G34)</f>
        <v/>
      </c>
      <c r="Z34" s="8" t="str">
        <f aca="false">IF(OR(A34="",多次统计数据!$B$8="",多次统计数据!$B$6&lt;=0,多次统计数据!$B$6&gt;=1),"",1-POWER(1+多次统计数据!$B$8,-多次统计数据!$B$6/(1-多次统计数据!$B$6)))</f>
        <v/>
      </c>
      <c r="AA34" s="12" t="str">
        <f aca="false">IF(OR(Z34="",多次统计数据!$B$9=""),"",IF(多次统计数据!$B$9&lt;Z34,"低于上限","达到或超过上限"))</f>
        <v/>
      </c>
      <c r="AB34" s="2"/>
    </row>
    <row r="35" customFormat="false" ht="15" hidden="false" customHeight="false" outlineLevel="0" collapsed="false">
      <c r="A35" s="7"/>
      <c r="B35" s="7"/>
      <c r="C35" s="3"/>
      <c r="D35" s="4"/>
      <c r="E35" s="3"/>
      <c r="F35" s="5" t="str">
        <f aca="false">IF(OR(C35="",D35="",E35="",L35="",C35&lt;=0,D35&lt;=0,E35&lt;=L35),"",ROUNDDOWN((C35*D35)/(E35-L35)/100,0)*100)</f>
        <v/>
      </c>
      <c r="G35" s="6"/>
      <c r="H35" s="3"/>
      <c r="I35" s="3"/>
      <c r="J35" s="5" t="str">
        <f aca="false">IF(I35="","",F35)</f>
        <v/>
      </c>
      <c r="K35" s="6"/>
      <c r="L35" s="3"/>
      <c r="M35" s="3"/>
      <c r="N35" s="3"/>
      <c r="O35" s="7"/>
      <c r="P35" s="7"/>
      <c r="Q35" s="7"/>
      <c r="R35" s="7"/>
      <c r="S35" s="8" t="str">
        <f aca="false">IF(OR(E35="",H35="",E35&lt;=0),"",(H35-E35)/E35)</f>
        <v/>
      </c>
      <c r="T35" s="8" t="str">
        <f aca="false">IF(OR(E35="",L35="",E35&lt;=0),"",(E35-L35)/E35)</f>
        <v/>
      </c>
      <c r="U35" s="9" t="str">
        <f aca="false">IF(OR(S35="",T35="",T35&lt;=0),"",S35/T35)</f>
        <v/>
      </c>
      <c r="V35" s="10" t="str">
        <f aca="false">IF(OR(I35="",J35="",E35="",F35=""),"",I35*J35-E35*F35-IF(M35="",0,M35)-IF(N35="",0,N35))</f>
        <v/>
      </c>
      <c r="W35" s="8" t="str">
        <f aca="false">IF(OR(V35="",E35="",F35=""),"",IF(E35*F35+IF(M35="",0,M35)&lt;=0,"",V35/(E35*F35+IF(M35="",0,M35))))</f>
        <v/>
      </c>
      <c r="X35" s="8" t="str">
        <f aca="false">IF(OR(W35="",多次统计数据!$B$8=""),"",W35-多次统计数据!$B$8)</f>
        <v/>
      </c>
      <c r="Y35" s="11" t="str">
        <f aca="false">IF(OR(G35="",K35="",K35&lt;G35),"",K35-G35)</f>
        <v/>
      </c>
      <c r="Z35" s="8" t="str">
        <f aca="false">IF(OR(A35="",多次统计数据!$B$8="",多次统计数据!$B$6&lt;=0,多次统计数据!$B$6&gt;=1),"",1-POWER(1+多次统计数据!$B$8,-多次统计数据!$B$6/(1-多次统计数据!$B$6)))</f>
        <v/>
      </c>
      <c r="AA35" s="12" t="str">
        <f aca="false">IF(OR(Z35="",多次统计数据!$B$9=""),"",IF(多次统计数据!$B$9&lt;Z35,"低于上限","达到或超过上限"))</f>
        <v/>
      </c>
      <c r="AB35" s="2"/>
    </row>
    <row r="36" customFormat="false" ht="15" hidden="false" customHeight="false" outlineLevel="0" collapsed="false">
      <c r="A36" s="7"/>
      <c r="B36" s="7"/>
      <c r="C36" s="3"/>
      <c r="D36" s="4"/>
      <c r="E36" s="3"/>
      <c r="F36" s="5" t="str">
        <f aca="false">IF(OR(C36="",D36="",E36="",L36="",C36&lt;=0,D36&lt;=0,E36&lt;=L36),"",ROUNDDOWN((C36*D36)/(E36-L36)/100,0)*100)</f>
        <v/>
      </c>
      <c r="G36" s="6"/>
      <c r="H36" s="3"/>
      <c r="I36" s="3"/>
      <c r="J36" s="5" t="str">
        <f aca="false">IF(I36="","",F36)</f>
        <v/>
      </c>
      <c r="K36" s="6"/>
      <c r="L36" s="3"/>
      <c r="M36" s="3"/>
      <c r="N36" s="3"/>
      <c r="O36" s="7"/>
      <c r="P36" s="7"/>
      <c r="Q36" s="7"/>
      <c r="R36" s="7"/>
      <c r="S36" s="8" t="str">
        <f aca="false">IF(OR(E36="",H36="",E36&lt;=0),"",(H36-E36)/E36)</f>
        <v/>
      </c>
      <c r="T36" s="8" t="str">
        <f aca="false">IF(OR(E36="",L36="",E36&lt;=0),"",(E36-L36)/E36)</f>
        <v/>
      </c>
      <c r="U36" s="9" t="str">
        <f aca="false">IF(OR(S36="",T36="",T36&lt;=0),"",S36/T36)</f>
        <v/>
      </c>
      <c r="V36" s="10" t="str">
        <f aca="false">IF(OR(I36="",J36="",E36="",F36=""),"",I36*J36-E36*F36-IF(M36="",0,M36)-IF(N36="",0,N36))</f>
        <v/>
      </c>
      <c r="W36" s="8" t="str">
        <f aca="false">IF(OR(V36="",E36="",F36=""),"",IF(E36*F36+IF(M36="",0,M36)&lt;=0,"",V36/(E36*F36+IF(M36="",0,M36))))</f>
        <v/>
      </c>
      <c r="X36" s="8" t="str">
        <f aca="false">IF(OR(W36="",多次统计数据!$B$8=""),"",W36-多次统计数据!$B$8)</f>
        <v/>
      </c>
      <c r="Y36" s="11" t="str">
        <f aca="false">IF(OR(G36="",K36="",K36&lt;G36),"",K36-G36)</f>
        <v/>
      </c>
      <c r="Z36" s="8" t="str">
        <f aca="false">IF(OR(A36="",多次统计数据!$B$8="",多次统计数据!$B$6&lt;=0,多次统计数据!$B$6&gt;=1),"",1-POWER(1+多次统计数据!$B$8,-多次统计数据!$B$6/(1-多次统计数据!$B$6)))</f>
        <v/>
      </c>
      <c r="AA36" s="12" t="str">
        <f aca="false">IF(OR(Z36="",多次统计数据!$B$9=""),"",IF(多次统计数据!$B$9&lt;Z36,"低于上限","达到或超过上限"))</f>
        <v/>
      </c>
      <c r="AB36" s="2"/>
    </row>
    <row r="37" customFormat="false" ht="15" hidden="false" customHeight="false" outlineLevel="0" collapsed="false">
      <c r="A37" s="7"/>
      <c r="B37" s="7"/>
      <c r="C37" s="3"/>
      <c r="D37" s="4"/>
      <c r="E37" s="3"/>
      <c r="F37" s="5" t="str">
        <f aca="false">IF(OR(C37="",D37="",E37="",L37="",C37&lt;=0,D37&lt;=0,E37&lt;=L37),"",ROUNDDOWN((C37*D37)/(E37-L37)/100,0)*100)</f>
        <v/>
      </c>
      <c r="G37" s="6"/>
      <c r="H37" s="3"/>
      <c r="I37" s="3"/>
      <c r="J37" s="5" t="str">
        <f aca="false">IF(I37="","",F37)</f>
        <v/>
      </c>
      <c r="K37" s="6"/>
      <c r="L37" s="3"/>
      <c r="M37" s="3"/>
      <c r="N37" s="3"/>
      <c r="O37" s="7"/>
      <c r="P37" s="7"/>
      <c r="Q37" s="7"/>
      <c r="R37" s="7"/>
      <c r="S37" s="8" t="str">
        <f aca="false">IF(OR(E37="",H37="",E37&lt;=0),"",(H37-E37)/E37)</f>
        <v/>
      </c>
      <c r="T37" s="8" t="str">
        <f aca="false">IF(OR(E37="",L37="",E37&lt;=0),"",(E37-L37)/E37)</f>
        <v/>
      </c>
      <c r="U37" s="9" t="str">
        <f aca="false">IF(OR(S37="",T37="",T37&lt;=0),"",S37/T37)</f>
        <v/>
      </c>
      <c r="V37" s="10" t="str">
        <f aca="false">IF(OR(I37="",J37="",E37="",F37=""),"",I37*J37-E37*F37-IF(M37="",0,M37)-IF(N37="",0,N37))</f>
        <v/>
      </c>
      <c r="W37" s="8" t="str">
        <f aca="false">IF(OR(V37="",E37="",F37=""),"",IF(E37*F37+IF(M37="",0,M37)&lt;=0,"",V37/(E37*F37+IF(M37="",0,M37))))</f>
        <v/>
      </c>
      <c r="X37" s="8" t="str">
        <f aca="false">IF(OR(W37="",多次统计数据!$B$8=""),"",W37-多次统计数据!$B$8)</f>
        <v/>
      </c>
      <c r="Y37" s="11" t="str">
        <f aca="false">IF(OR(G37="",K37="",K37&lt;G37),"",K37-G37)</f>
        <v/>
      </c>
      <c r="Z37" s="8" t="str">
        <f aca="false">IF(OR(A37="",多次统计数据!$B$8="",多次统计数据!$B$6&lt;=0,多次统计数据!$B$6&gt;=1),"",1-POWER(1+多次统计数据!$B$8,-多次统计数据!$B$6/(1-多次统计数据!$B$6)))</f>
        <v/>
      </c>
      <c r="AA37" s="12" t="str">
        <f aca="false">IF(OR(Z37="",多次统计数据!$B$9=""),"",IF(多次统计数据!$B$9&lt;Z37,"低于上限","达到或超过上限"))</f>
        <v/>
      </c>
      <c r="AB37" s="2"/>
    </row>
    <row r="38" customFormat="false" ht="15" hidden="false" customHeight="false" outlineLevel="0" collapsed="false">
      <c r="A38" s="7"/>
      <c r="B38" s="7"/>
      <c r="C38" s="3"/>
      <c r="D38" s="4"/>
      <c r="E38" s="3"/>
      <c r="F38" s="5" t="str">
        <f aca="false">IF(OR(C38="",D38="",E38="",L38="",C38&lt;=0,D38&lt;=0,E38&lt;=L38),"",ROUNDDOWN((C38*D38)/(E38-L38)/100,0)*100)</f>
        <v/>
      </c>
      <c r="G38" s="6"/>
      <c r="H38" s="3"/>
      <c r="I38" s="3"/>
      <c r="J38" s="5" t="str">
        <f aca="false">IF(I38="","",F38)</f>
        <v/>
      </c>
      <c r="K38" s="6"/>
      <c r="L38" s="3"/>
      <c r="M38" s="3"/>
      <c r="N38" s="3"/>
      <c r="O38" s="7"/>
      <c r="P38" s="7"/>
      <c r="Q38" s="7"/>
      <c r="R38" s="7"/>
      <c r="S38" s="8" t="str">
        <f aca="false">IF(OR(E38="",H38="",E38&lt;=0),"",(H38-E38)/E38)</f>
        <v/>
      </c>
      <c r="T38" s="8" t="str">
        <f aca="false">IF(OR(E38="",L38="",E38&lt;=0),"",(E38-L38)/E38)</f>
        <v/>
      </c>
      <c r="U38" s="9" t="str">
        <f aca="false">IF(OR(S38="",T38="",T38&lt;=0),"",S38/T38)</f>
        <v/>
      </c>
      <c r="V38" s="10" t="str">
        <f aca="false">IF(OR(I38="",J38="",E38="",F38=""),"",I38*J38-E38*F38-IF(M38="",0,M38)-IF(N38="",0,N38))</f>
        <v/>
      </c>
      <c r="W38" s="8" t="str">
        <f aca="false">IF(OR(V38="",E38="",F38=""),"",IF(E38*F38+IF(M38="",0,M38)&lt;=0,"",V38/(E38*F38+IF(M38="",0,M38))))</f>
        <v/>
      </c>
      <c r="X38" s="8" t="str">
        <f aca="false">IF(OR(W38="",多次统计数据!$B$8=""),"",W38-多次统计数据!$B$8)</f>
        <v/>
      </c>
      <c r="Y38" s="11" t="str">
        <f aca="false">IF(OR(G38="",K38="",K38&lt;G38),"",K38-G38)</f>
        <v/>
      </c>
      <c r="Z38" s="8" t="str">
        <f aca="false">IF(OR(A38="",多次统计数据!$B$8="",多次统计数据!$B$6&lt;=0,多次统计数据!$B$6&gt;=1),"",1-POWER(1+多次统计数据!$B$8,-多次统计数据!$B$6/(1-多次统计数据!$B$6)))</f>
        <v/>
      </c>
      <c r="AA38" s="12" t="str">
        <f aca="false">IF(OR(Z38="",多次统计数据!$B$9=""),"",IF(多次统计数据!$B$9&lt;Z38,"低于上限","达到或超过上限"))</f>
        <v/>
      </c>
      <c r="AB38" s="2"/>
    </row>
    <row r="39" customFormat="false" ht="15" hidden="false" customHeight="false" outlineLevel="0" collapsed="false">
      <c r="A39" s="7"/>
      <c r="B39" s="7"/>
      <c r="C39" s="3"/>
      <c r="D39" s="4"/>
      <c r="E39" s="3"/>
      <c r="F39" s="5" t="str">
        <f aca="false">IF(OR(C39="",D39="",E39="",L39="",C39&lt;=0,D39&lt;=0,E39&lt;=L39),"",ROUNDDOWN((C39*D39)/(E39-L39)/100,0)*100)</f>
        <v/>
      </c>
      <c r="G39" s="6"/>
      <c r="H39" s="3"/>
      <c r="I39" s="3"/>
      <c r="J39" s="5" t="str">
        <f aca="false">IF(I39="","",F39)</f>
        <v/>
      </c>
      <c r="K39" s="6"/>
      <c r="L39" s="3"/>
      <c r="M39" s="3"/>
      <c r="N39" s="3"/>
      <c r="O39" s="7"/>
      <c r="P39" s="7"/>
      <c r="Q39" s="7"/>
      <c r="R39" s="7"/>
      <c r="S39" s="8" t="str">
        <f aca="false">IF(OR(E39="",H39="",E39&lt;=0),"",(H39-E39)/E39)</f>
        <v/>
      </c>
      <c r="T39" s="8" t="str">
        <f aca="false">IF(OR(E39="",L39="",E39&lt;=0),"",(E39-L39)/E39)</f>
        <v/>
      </c>
      <c r="U39" s="9" t="str">
        <f aca="false">IF(OR(S39="",T39="",T39&lt;=0),"",S39/T39)</f>
        <v/>
      </c>
      <c r="V39" s="10" t="str">
        <f aca="false">IF(OR(I39="",J39="",E39="",F39=""),"",I39*J39-E39*F39-IF(M39="",0,M39)-IF(N39="",0,N39))</f>
        <v/>
      </c>
      <c r="W39" s="8" t="str">
        <f aca="false">IF(OR(V39="",E39="",F39=""),"",IF(E39*F39+IF(M39="",0,M39)&lt;=0,"",V39/(E39*F39+IF(M39="",0,M39))))</f>
        <v/>
      </c>
      <c r="X39" s="8" t="str">
        <f aca="false">IF(OR(W39="",多次统计数据!$B$8=""),"",W39-多次统计数据!$B$8)</f>
        <v/>
      </c>
      <c r="Y39" s="11" t="str">
        <f aca="false">IF(OR(G39="",K39="",K39&lt;G39),"",K39-G39)</f>
        <v/>
      </c>
      <c r="Z39" s="8" t="str">
        <f aca="false">IF(OR(A39="",多次统计数据!$B$8="",多次统计数据!$B$6&lt;=0,多次统计数据!$B$6&gt;=1),"",1-POWER(1+多次统计数据!$B$8,-多次统计数据!$B$6/(1-多次统计数据!$B$6)))</f>
        <v/>
      </c>
      <c r="AA39" s="12" t="str">
        <f aca="false">IF(OR(Z39="",多次统计数据!$B$9=""),"",IF(多次统计数据!$B$9&lt;Z39,"低于上限","达到或超过上限"))</f>
        <v/>
      </c>
      <c r="AB39" s="2"/>
    </row>
    <row r="40" customFormat="false" ht="15" hidden="false" customHeight="false" outlineLevel="0" collapsed="false">
      <c r="A40" s="7"/>
      <c r="B40" s="7"/>
      <c r="C40" s="3"/>
      <c r="D40" s="4"/>
      <c r="E40" s="3"/>
      <c r="F40" s="5" t="str">
        <f aca="false">IF(OR(C40="",D40="",E40="",L40="",C40&lt;=0,D40&lt;=0,E40&lt;=L40),"",ROUNDDOWN((C40*D40)/(E40-L40)/100,0)*100)</f>
        <v/>
      </c>
      <c r="G40" s="6"/>
      <c r="H40" s="3"/>
      <c r="I40" s="3"/>
      <c r="J40" s="5" t="str">
        <f aca="false">IF(I40="","",F40)</f>
        <v/>
      </c>
      <c r="K40" s="6"/>
      <c r="L40" s="3"/>
      <c r="M40" s="3"/>
      <c r="N40" s="3"/>
      <c r="O40" s="7"/>
      <c r="P40" s="7"/>
      <c r="Q40" s="7"/>
      <c r="R40" s="7"/>
      <c r="S40" s="8" t="str">
        <f aca="false">IF(OR(E40="",H40="",E40&lt;=0),"",(H40-E40)/E40)</f>
        <v/>
      </c>
      <c r="T40" s="8" t="str">
        <f aca="false">IF(OR(E40="",L40="",E40&lt;=0),"",(E40-L40)/E40)</f>
        <v/>
      </c>
      <c r="U40" s="9" t="str">
        <f aca="false">IF(OR(S40="",T40="",T40&lt;=0),"",S40/T40)</f>
        <v/>
      </c>
      <c r="V40" s="10" t="str">
        <f aca="false">IF(OR(I40="",J40="",E40="",F40=""),"",I40*J40-E40*F40-IF(M40="",0,M40)-IF(N40="",0,N40))</f>
        <v/>
      </c>
      <c r="W40" s="8" t="str">
        <f aca="false">IF(OR(V40="",E40="",F40=""),"",IF(E40*F40+IF(M40="",0,M40)&lt;=0,"",V40/(E40*F40+IF(M40="",0,M40))))</f>
        <v/>
      </c>
      <c r="X40" s="8" t="str">
        <f aca="false">IF(OR(W40="",多次统计数据!$B$8=""),"",W40-多次统计数据!$B$8)</f>
        <v/>
      </c>
      <c r="Y40" s="11" t="str">
        <f aca="false">IF(OR(G40="",K40="",K40&lt;G40),"",K40-G40)</f>
        <v/>
      </c>
      <c r="Z40" s="8" t="str">
        <f aca="false">IF(OR(A40="",多次统计数据!$B$8="",多次统计数据!$B$6&lt;=0,多次统计数据!$B$6&gt;=1),"",1-POWER(1+多次统计数据!$B$8,-多次统计数据!$B$6/(1-多次统计数据!$B$6)))</f>
        <v/>
      </c>
      <c r="AA40" s="12" t="str">
        <f aca="false">IF(OR(Z40="",多次统计数据!$B$9=""),"",IF(多次统计数据!$B$9&lt;Z40,"低于上限","达到或超过上限"))</f>
        <v/>
      </c>
      <c r="AB40" s="2"/>
    </row>
    <row r="41" customFormat="false" ht="15" hidden="false" customHeight="false" outlineLevel="0" collapsed="false">
      <c r="A41" s="7"/>
      <c r="B41" s="7"/>
      <c r="C41" s="3"/>
      <c r="D41" s="4"/>
      <c r="E41" s="3"/>
      <c r="F41" s="5" t="str">
        <f aca="false">IF(OR(C41="",D41="",E41="",L41="",C41&lt;=0,D41&lt;=0,E41&lt;=L41),"",ROUNDDOWN((C41*D41)/(E41-L41)/100,0)*100)</f>
        <v/>
      </c>
      <c r="G41" s="6"/>
      <c r="H41" s="3"/>
      <c r="I41" s="3"/>
      <c r="J41" s="5" t="str">
        <f aca="false">IF(I41="","",F41)</f>
        <v/>
      </c>
      <c r="K41" s="6"/>
      <c r="L41" s="3"/>
      <c r="M41" s="3"/>
      <c r="N41" s="3"/>
      <c r="O41" s="7"/>
      <c r="P41" s="7"/>
      <c r="Q41" s="7"/>
      <c r="R41" s="7"/>
      <c r="S41" s="8" t="str">
        <f aca="false">IF(OR(E41="",H41="",E41&lt;=0),"",(H41-E41)/E41)</f>
        <v/>
      </c>
      <c r="T41" s="8" t="str">
        <f aca="false">IF(OR(E41="",L41="",E41&lt;=0),"",(E41-L41)/E41)</f>
        <v/>
      </c>
      <c r="U41" s="9" t="str">
        <f aca="false">IF(OR(S41="",T41="",T41&lt;=0),"",S41/T41)</f>
        <v/>
      </c>
      <c r="V41" s="10" t="str">
        <f aca="false">IF(OR(I41="",J41="",E41="",F41=""),"",I41*J41-E41*F41-IF(M41="",0,M41)-IF(N41="",0,N41))</f>
        <v/>
      </c>
      <c r="W41" s="8" t="str">
        <f aca="false">IF(OR(V41="",E41="",F41=""),"",IF(E41*F41+IF(M41="",0,M41)&lt;=0,"",V41/(E41*F41+IF(M41="",0,M41))))</f>
        <v/>
      </c>
      <c r="X41" s="8" t="str">
        <f aca="false">IF(OR(W41="",多次统计数据!$B$8=""),"",W41-多次统计数据!$B$8)</f>
        <v/>
      </c>
      <c r="Y41" s="11" t="str">
        <f aca="false">IF(OR(G41="",K41="",K41&lt;G41),"",K41-G41)</f>
        <v/>
      </c>
      <c r="Z41" s="8" t="str">
        <f aca="false">IF(OR(A41="",多次统计数据!$B$8="",多次统计数据!$B$6&lt;=0,多次统计数据!$B$6&gt;=1),"",1-POWER(1+多次统计数据!$B$8,-多次统计数据!$B$6/(1-多次统计数据!$B$6)))</f>
        <v/>
      </c>
      <c r="AA41" s="12" t="str">
        <f aca="false">IF(OR(Z41="",多次统计数据!$B$9=""),"",IF(多次统计数据!$B$9&lt;Z41,"低于上限","达到或超过上限"))</f>
        <v/>
      </c>
      <c r="AB41" s="2"/>
    </row>
    <row r="42" customFormat="false" ht="15" hidden="false" customHeight="false" outlineLevel="0" collapsed="false">
      <c r="A42" s="7"/>
      <c r="B42" s="7"/>
      <c r="C42" s="3"/>
      <c r="D42" s="4"/>
      <c r="E42" s="3"/>
      <c r="F42" s="5" t="str">
        <f aca="false">IF(OR(C42="",D42="",E42="",L42="",C42&lt;=0,D42&lt;=0,E42&lt;=L42),"",ROUNDDOWN((C42*D42)/(E42-L42)/100,0)*100)</f>
        <v/>
      </c>
      <c r="G42" s="6"/>
      <c r="H42" s="3"/>
      <c r="I42" s="3"/>
      <c r="J42" s="5" t="str">
        <f aca="false">IF(I42="","",F42)</f>
        <v/>
      </c>
      <c r="K42" s="6"/>
      <c r="L42" s="3"/>
      <c r="M42" s="3"/>
      <c r="N42" s="3"/>
      <c r="O42" s="7"/>
      <c r="P42" s="7"/>
      <c r="Q42" s="7"/>
      <c r="R42" s="7"/>
      <c r="S42" s="8" t="str">
        <f aca="false">IF(OR(E42="",H42="",E42&lt;=0),"",(H42-E42)/E42)</f>
        <v/>
      </c>
      <c r="T42" s="8" t="str">
        <f aca="false">IF(OR(E42="",L42="",E42&lt;=0),"",(E42-L42)/E42)</f>
        <v/>
      </c>
      <c r="U42" s="9" t="str">
        <f aca="false">IF(OR(S42="",T42="",T42&lt;=0),"",S42/T42)</f>
        <v/>
      </c>
      <c r="V42" s="10" t="str">
        <f aca="false">IF(OR(I42="",J42="",E42="",F42=""),"",I42*J42-E42*F42-IF(M42="",0,M42)-IF(N42="",0,N42))</f>
        <v/>
      </c>
      <c r="W42" s="8" t="str">
        <f aca="false">IF(OR(V42="",E42="",F42=""),"",IF(E42*F42+IF(M42="",0,M42)&lt;=0,"",V42/(E42*F42+IF(M42="",0,M42))))</f>
        <v/>
      </c>
      <c r="X42" s="8" t="str">
        <f aca="false">IF(OR(W42="",多次统计数据!$B$8=""),"",W42-多次统计数据!$B$8)</f>
        <v/>
      </c>
      <c r="Y42" s="11" t="str">
        <f aca="false">IF(OR(G42="",K42="",K42&lt;G42),"",K42-G42)</f>
        <v/>
      </c>
      <c r="Z42" s="8" t="str">
        <f aca="false">IF(OR(A42="",多次统计数据!$B$8="",多次统计数据!$B$6&lt;=0,多次统计数据!$B$6&gt;=1),"",1-POWER(1+多次统计数据!$B$8,-多次统计数据!$B$6/(1-多次统计数据!$B$6)))</f>
        <v/>
      </c>
      <c r="AA42" s="12" t="str">
        <f aca="false">IF(OR(Z42="",多次统计数据!$B$9=""),"",IF(多次统计数据!$B$9&lt;Z42,"低于上限","达到或超过上限"))</f>
        <v/>
      </c>
      <c r="AB42" s="2"/>
    </row>
    <row r="43" customFormat="false" ht="15" hidden="false" customHeight="false" outlineLevel="0" collapsed="false">
      <c r="A43" s="7"/>
      <c r="B43" s="7"/>
      <c r="C43" s="3"/>
      <c r="D43" s="4"/>
      <c r="E43" s="3"/>
      <c r="F43" s="5" t="str">
        <f aca="false">IF(OR(C43="",D43="",E43="",L43="",C43&lt;=0,D43&lt;=0,E43&lt;=L43),"",ROUNDDOWN((C43*D43)/(E43-L43)/100,0)*100)</f>
        <v/>
      </c>
      <c r="G43" s="6"/>
      <c r="H43" s="3"/>
      <c r="I43" s="3"/>
      <c r="J43" s="5" t="str">
        <f aca="false">IF(I43="","",F43)</f>
        <v/>
      </c>
      <c r="K43" s="6"/>
      <c r="L43" s="3"/>
      <c r="M43" s="3"/>
      <c r="N43" s="3"/>
      <c r="O43" s="7"/>
      <c r="P43" s="7"/>
      <c r="Q43" s="7"/>
      <c r="R43" s="7"/>
      <c r="S43" s="8" t="str">
        <f aca="false">IF(OR(E43="",H43="",E43&lt;=0),"",(H43-E43)/E43)</f>
        <v/>
      </c>
      <c r="T43" s="8" t="str">
        <f aca="false">IF(OR(E43="",L43="",E43&lt;=0),"",(E43-L43)/E43)</f>
        <v/>
      </c>
      <c r="U43" s="9" t="str">
        <f aca="false">IF(OR(S43="",T43="",T43&lt;=0),"",S43/T43)</f>
        <v/>
      </c>
      <c r="V43" s="10" t="str">
        <f aca="false">IF(OR(I43="",J43="",E43="",F43=""),"",I43*J43-E43*F43-IF(M43="",0,M43)-IF(N43="",0,N43))</f>
        <v/>
      </c>
      <c r="W43" s="8" t="str">
        <f aca="false">IF(OR(V43="",E43="",F43=""),"",IF(E43*F43+IF(M43="",0,M43)&lt;=0,"",V43/(E43*F43+IF(M43="",0,M43))))</f>
        <v/>
      </c>
      <c r="X43" s="8" t="str">
        <f aca="false">IF(OR(W43="",多次统计数据!$B$8=""),"",W43-多次统计数据!$B$8)</f>
        <v/>
      </c>
      <c r="Y43" s="11" t="str">
        <f aca="false">IF(OR(G43="",K43="",K43&lt;G43),"",K43-G43)</f>
        <v/>
      </c>
      <c r="Z43" s="8" t="str">
        <f aca="false">IF(OR(A43="",多次统计数据!$B$8="",多次统计数据!$B$6&lt;=0,多次统计数据!$B$6&gt;=1),"",1-POWER(1+多次统计数据!$B$8,-多次统计数据!$B$6/(1-多次统计数据!$B$6)))</f>
        <v/>
      </c>
      <c r="AA43" s="12" t="str">
        <f aca="false">IF(OR(Z43="",多次统计数据!$B$9=""),"",IF(多次统计数据!$B$9&lt;Z43,"低于上限","达到或超过上限"))</f>
        <v/>
      </c>
      <c r="AB43" s="2"/>
    </row>
    <row r="44" customFormat="false" ht="15" hidden="false" customHeight="false" outlineLevel="0" collapsed="false">
      <c r="A44" s="7"/>
      <c r="B44" s="7"/>
      <c r="C44" s="3"/>
      <c r="D44" s="4"/>
      <c r="E44" s="3"/>
      <c r="F44" s="5" t="str">
        <f aca="false">IF(OR(C44="",D44="",E44="",L44="",C44&lt;=0,D44&lt;=0,E44&lt;=L44),"",ROUNDDOWN((C44*D44)/(E44-L44)/100,0)*100)</f>
        <v/>
      </c>
      <c r="G44" s="6"/>
      <c r="H44" s="3"/>
      <c r="I44" s="3"/>
      <c r="J44" s="5" t="str">
        <f aca="false">IF(I44="","",F44)</f>
        <v/>
      </c>
      <c r="K44" s="6"/>
      <c r="L44" s="3"/>
      <c r="M44" s="3"/>
      <c r="N44" s="3"/>
      <c r="O44" s="7"/>
      <c r="P44" s="7"/>
      <c r="Q44" s="7"/>
      <c r="R44" s="7"/>
      <c r="S44" s="8" t="str">
        <f aca="false">IF(OR(E44="",H44="",E44&lt;=0),"",(H44-E44)/E44)</f>
        <v/>
      </c>
      <c r="T44" s="8" t="str">
        <f aca="false">IF(OR(E44="",L44="",E44&lt;=0),"",(E44-L44)/E44)</f>
        <v/>
      </c>
      <c r="U44" s="9" t="str">
        <f aca="false">IF(OR(S44="",T44="",T44&lt;=0),"",S44/T44)</f>
        <v/>
      </c>
      <c r="V44" s="10" t="str">
        <f aca="false">IF(OR(I44="",J44="",E44="",F44=""),"",I44*J44-E44*F44-IF(M44="",0,M44)-IF(N44="",0,N44))</f>
        <v/>
      </c>
      <c r="W44" s="8" t="str">
        <f aca="false">IF(OR(V44="",E44="",F44=""),"",IF(E44*F44+IF(M44="",0,M44)&lt;=0,"",V44/(E44*F44+IF(M44="",0,M44))))</f>
        <v/>
      </c>
      <c r="X44" s="8" t="str">
        <f aca="false">IF(OR(W44="",多次统计数据!$B$8=""),"",W44-多次统计数据!$B$8)</f>
        <v/>
      </c>
      <c r="Y44" s="11" t="str">
        <f aca="false">IF(OR(G44="",K44="",K44&lt;G44),"",K44-G44)</f>
        <v/>
      </c>
      <c r="Z44" s="8" t="str">
        <f aca="false">IF(OR(A44="",多次统计数据!$B$8="",多次统计数据!$B$6&lt;=0,多次统计数据!$B$6&gt;=1),"",1-POWER(1+多次统计数据!$B$8,-多次统计数据!$B$6/(1-多次统计数据!$B$6)))</f>
        <v/>
      </c>
      <c r="AA44" s="12" t="str">
        <f aca="false">IF(OR(Z44="",多次统计数据!$B$9=""),"",IF(多次统计数据!$B$9&lt;Z44,"低于上限","达到或超过上限"))</f>
        <v/>
      </c>
      <c r="AB44" s="2"/>
    </row>
    <row r="45" customFormat="false" ht="15" hidden="false" customHeight="false" outlineLevel="0" collapsed="false">
      <c r="A45" s="7"/>
      <c r="B45" s="7"/>
      <c r="C45" s="3"/>
      <c r="D45" s="4"/>
      <c r="E45" s="3"/>
      <c r="F45" s="5" t="str">
        <f aca="false">IF(OR(C45="",D45="",E45="",L45="",C45&lt;=0,D45&lt;=0,E45&lt;=L45),"",ROUNDDOWN((C45*D45)/(E45-L45)/100,0)*100)</f>
        <v/>
      </c>
      <c r="G45" s="6"/>
      <c r="H45" s="3"/>
      <c r="I45" s="3"/>
      <c r="J45" s="5" t="str">
        <f aca="false">IF(I45="","",F45)</f>
        <v/>
      </c>
      <c r="K45" s="6"/>
      <c r="L45" s="3"/>
      <c r="M45" s="3"/>
      <c r="N45" s="3"/>
      <c r="O45" s="7"/>
      <c r="P45" s="7"/>
      <c r="Q45" s="7"/>
      <c r="R45" s="7"/>
      <c r="S45" s="8" t="str">
        <f aca="false">IF(OR(E45="",H45="",E45&lt;=0),"",(H45-E45)/E45)</f>
        <v/>
      </c>
      <c r="T45" s="8" t="str">
        <f aca="false">IF(OR(E45="",L45="",E45&lt;=0),"",(E45-L45)/E45)</f>
        <v/>
      </c>
      <c r="U45" s="9" t="str">
        <f aca="false">IF(OR(S45="",T45="",T45&lt;=0),"",S45/T45)</f>
        <v/>
      </c>
      <c r="V45" s="10" t="str">
        <f aca="false">IF(OR(I45="",J45="",E45="",F45=""),"",I45*J45-E45*F45-IF(M45="",0,M45)-IF(N45="",0,N45))</f>
        <v/>
      </c>
      <c r="W45" s="8" t="str">
        <f aca="false">IF(OR(V45="",E45="",F45=""),"",IF(E45*F45+IF(M45="",0,M45)&lt;=0,"",V45/(E45*F45+IF(M45="",0,M45))))</f>
        <v/>
      </c>
      <c r="X45" s="8" t="str">
        <f aca="false">IF(OR(W45="",多次统计数据!$B$8=""),"",W45-多次统计数据!$B$8)</f>
        <v/>
      </c>
      <c r="Y45" s="11" t="str">
        <f aca="false">IF(OR(G45="",K45="",K45&lt;G45),"",K45-G45)</f>
        <v/>
      </c>
      <c r="Z45" s="8" t="str">
        <f aca="false">IF(OR(A45="",多次统计数据!$B$8="",多次统计数据!$B$6&lt;=0,多次统计数据!$B$6&gt;=1),"",1-POWER(1+多次统计数据!$B$8,-多次统计数据!$B$6/(1-多次统计数据!$B$6)))</f>
        <v/>
      </c>
      <c r="AA45" s="12" t="str">
        <f aca="false">IF(OR(Z45="",多次统计数据!$B$9=""),"",IF(多次统计数据!$B$9&lt;Z45,"低于上限","达到或超过上限"))</f>
        <v/>
      </c>
      <c r="AB45" s="2"/>
    </row>
    <row r="46" customFormat="false" ht="15" hidden="false" customHeight="false" outlineLevel="0" collapsed="false">
      <c r="A46" s="7"/>
      <c r="B46" s="7"/>
      <c r="C46" s="3"/>
      <c r="D46" s="4"/>
      <c r="E46" s="3"/>
      <c r="F46" s="5" t="str">
        <f aca="false">IF(OR(C46="",D46="",E46="",L46="",C46&lt;=0,D46&lt;=0,E46&lt;=L46),"",ROUNDDOWN((C46*D46)/(E46-L46)/100,0)*100)</f>
        <v/>
      </c>
      <c r="G46" s="6"/>
      <c r="H46" s="3"/>
      <c r="I46" s="3"/>
      <c r="J46" s="5" t="str">
        <f aca="false">IF(I46="","",F46)</f>
        <v/>
      </c>
      <c r="K46" s="6"/>
      <c r="L46" s="3"/>
      <c r="M46" s="3"/>
      <c r="N46" s="3"/>
      <c r="O46" s="7"/>
      <c r="P46" s="7"/>
      <c r="Q46" s="7"/>
      <c r="R46" s="7"/>
      <c r="S46" s="8" t="str">
        <f aca="false">IF(OR(E46="",H46="",E46&lt;=0),"",(H46-E46)/E46)</f>
        <v/>
      </c>
      <c r="T46" s="8" t="str">
        <f aca="false">IF(OR(E46="",L46="",E46&lt;=0),"",(E46-L46)/E46)</f>
        <v/>
      </c>
      <c r="U46" s="9" t="str">
        <f aca="false">IF(OR(S46="",T46="",T46&lt;=0),"",S46/T46)</f>
        <v/>
      </c>
      <c r="V46" s="10" t="str">
        <f aca="false">IF(OR(I46="",J46="",E46="",F46=""),"",I46*J46-E46*F46-IF(M46="",0,M46)-IF(N46="",0,N46))</f>
        <v/>
      </c>
      <c r="W46" s="8" t="str">
        <f aca="false">IF(OR(V46="",E46="",F46=""),"",IF(E46*F46+IF(M46="",0,M46)&lt;=0,"",V46/(E46*F46+IF(M46="",0,M46))))</f>
        <v/>
      </c>
      <c r="X46" s="8" t="str">
        <f aca="false">IF(OR(W46="",多次统计数据!$B$8=""),"",W46-多次统计数据!$B$8)</f>
        <v/>
      </c>
      <c r="Y46" s="11" t="str">
        <f aca="false">IF(OR(G46="",K46="",K46&lt;G46),"",K46-G46)</f>
        <v/>
      </c>
      <c r="Z46" s="8" t="str">
        <f aca="false">IF(OR(A46="",多次统计数据!$B$8="",多次统计数据!$B$6&lt;=0,多次统计数据!$B$6&gt;=1),"",1-POWER(1+多次统计数据!$B$8,-多次统计数据!$B$6/(1-多次统计数据!$B$6)))</f>
        <v/>
      </c>
      <c r="AA46" s="12" t="str">
        <f aca="false">IF(OR(Z46="",多次统计数据!$B$9=""),"",IF(多次统计数据!$B$9&lt;Z46,"低于上限","达到或超过上限"))</f>
        <v/>
      </c>
      <c r="AB46" s="2"/>
    </row>
    <row r="47" customFormat="false" ht="15" hidden="false" customHeight="false" outlineLevel="0" collapsed="false">
      <c r="A47" s="7"/>
      <c r="B47" s="7"/>
      <c r="C47" s="3"/>
      <c r="D47" s="4"/>
      <c r="E47" s="3"/>
      <c r="F47" s="5" t="str">
        <f aca="false">IF(OR(C47="",D47="",E47="",L47="",C47&lt;=0,D47&lt;=0,E47&lt;=L47),"",ROUNDDOWN((C47*D47)/(E47-L47)/100,0)*100)</f>
        <v/>
      </c>
      <c r="G47" s="6"/>
      <c r="H47" s="3"/>
      <c r="I47" s="3"/>
      <c r="J47" s="5" t="str">
        <f aca="false">IF(I47="","",F47)</f>
        <v/>
      </c>
      <c r="K47" s="6"/>
      <c r="L47" s="3"/>
      <c r="M47" s="3"/>
      <c r="N47" s="3"/>
      <c r="O47" s="7"/>
      <c r="P47" s="7"/>
      <c r="Q47" s="7"/>
      <c r="R47" s="7"/>
      <c r="S47" s="8" t="str">
        <f aca="false">IF(OR(E47="",H47="",E47&lt;=0),"",(H47-E47)/E47)</f>
        <v/>
      </c>
      <c r="T47" s="8" t="str">
        <f aca="false">IF(OR(E47="",L47="",E47&lt;=0),"",(E47-L47)/E47)</f>
        <v/>
      </c>
      <c r="U47" s="9" t="str">
        <f aca="false">IF(OR(S47="",T47="",T47&lt;=0),"",S47/T47)</f>
        <v/>
      </c>
      <c r="V47" s="10" t="str">
        <f aca="false">IF(OR(I47="",J47="",E47="",F47=""),"",I47*J47-E47*F47-IF(M47="",0,M47)-IF(N47="",0,N47))</f>
        <v/>
      </c>
      <c r="W47" s="8" t="str">
        <f aca="false">IF(OR(V47="",E47="",F47=""),"",IF(E47*F47+IF(M47="",0,M47)&lt;=0,"",V47/(E47*F47+IF(M47="",0,M47))))</f>
        <v/>
      </c>
      <c r="X47" s="8" t="str">
        <f aca="false">IF(OR(W47="",多次统计数据!$B$8=""),"",W47-多次统计数据!$B$8)</f>
        <v/>
      </c>
      <c r="Y47" s="11" t="str">
        <f aca="false">IF(OR(G47="",K47="",K47&lt;G47),"",K47-G47)</f>
        <v/>
      </c>
      <c r="Z47" s="8" t="str">
        <f aca="false">IF(OR(A47="",多次统计数据!$B$8="",多次统计数据!$B$6&lt;=0,多次统计数据!$B$6&gt;=1),"",1-POWER(1+多次统计数据!$B$8,-多次统计数据!$B$6/(1-多次统计数据!$B$6)))</f>
        <v/>
      </c>
      <c r="AA47" s="12" t="str">
        <f aca="false">IF(OR(Z47="",多次统计数据!$B$9=""),"",IF(多次统计数据!$B$9&lt;Z47,"低于上限","达到或超过上限"))</f>
        <v/>
      </c>
      <c r="AB47" s="2"/>
    </row>
    <row r="48" customFormat="false" ht="15" hidden="false" customHeight="false" outlineLevel="0" collapsed="false">
      <c r="A48" s="7"/>
      <c r="B48" s="7"/>
      <c r="C48" s="3"/>
      <c r="D48" s="4"/>
      <c r="E48" s="3"/>
      <c r="F48" s="5" t="str">
        <f aca="false">IF(OR(C48="",D48="",E48="",L48="",C48&lt;=0,D48&lt;=0,E48&lt;=L48),"",ROUNDDOWN((C48*D48)/(E48-L48)/100,0)*100)</f>
        <v/>
      </c>
      <c r="G48" s="6"/>
      <c r="H48" s="3"/>
      <c r="I48" s="3"/>
      <c r="J48" s="5" t="str">
        <f aca="false">IF(I48="","",F48)</f>
        <v/>
      </c>
      <c r="K48" s="6"/>
      <c r="L48" s="3"/>
      <c r="M48" s="3"/>
      <c r="N48" s="3"/>
      <c r="O48" s="7"/>
      <c r="P48" s="7"/>
      <c r="Q48" s="7"/>
      <c r="R48" s="7"/>
      <c r="S48" s="8" t="str">
        <f aca="false">IF(OR(E48="",H48="",E48&lt;=0),"",(H48-E48)/E48)</f>
        <v/>
      </c>
      <c r="T48" s="8" t="str">
        <f aca="false">IF(OR(E48="",L48="",E48&lt;=0),"",(E48-L48)/E48)</f>
        <v/>
      </c>
      <c r="U48" s="9" t="str">
        <f aca="false">IF(OR(S48="",T48="",T48&lt;=0),"",S48/T48)</f>
        <v/>
      </c>
      <c r="V48" s="10" t="str">
        <f aca="false">IF(OR(I48="",J48="",E48="",F48=""),"",I48*J48-E48*F48-IF(M48="",0,M48)-IF(N48="",0,N48))</f>
        <v/>
      </c>
      <c r="W48" s="8" t="str">
        <f aca="false">IF(OR(V48="",E48="",F48=""),"",IF(E48*F48+IF(M48="",0,M48)&lt;=0,"",V48/(E48*F48+IF(M48="",0,M48))))</f>
        <v/>
      </c>
      <c r="X48" s="8" t="str">
        <f aca="false">IF(OR(W48="",多次统计数据!$B$8=""),"",W48-多次统计数据!$B$8)</f>
        <v/>
      </c>
      <c r="Y48" s="11" t="str">
        <f aca="false">IF(OR(G48="",K48="",K48&lt;G48),"",K48-G48)</f>
        <v/>
      </c>
      <c r="Z48" s="8" t="str">
        <f aca="false">IF(OR(A48="",多次统计数据!$B$8="",多次统计数据!$B$6&lt;=0,多次统计数据!$B$6&gt;=1),"",1-POWER(1+多次统计数据!$B$8,-多次统计数据!$B$6/(1-多次统计数据!$B$6)))</f>
        <v/>
      </c>
      <c r="AA48" s="12" t="str">
        <f aca="false">IF(OR(Z48="",多次统计数据!$B$9=""),"",IF(多次统计数据!$B$9&lt;Z48,"低于上限","达到或超过上限"))</f>
        <v/>
      </c>
      <c r="AB48" s="2"/>
    </row>
    <row r="49" customFormat="false" ht="15" hidden="false" customHeight="false" outlineLevel="0" collapsed="false">
      <c r="A49" s="7"/>
      <c r="B49" s="7"/>
      <c r="C49" s="3"/>
      <c r="D49" s="4"/>
      <c r="E49" s="3"/>
      <c r="F49" s="5" t="str">
        <f aca="false">IF(OR(C49="",D49="",E49="",L49="",C49&lt;=0,D49&lt;=0,E49&lt;=L49),"",ROUNDDOWN((C49*D49)/(E49-L49)/100,0)*100)</f>
        <v/>
      </c>
      <c r="G49" s="6"/>
      <c r="H49" s="3"/>
      <c r="I49" s="3"/>
      <c r="J49" s="5" t="str">
        <f aca="false">IF(I49="","",F49)</f>
        <v/>
      </c>
      <c r="K49" s="6"/>
      <c r="L49" s="3"/>
      <c r="M49" s="3"/>
      <c r="N49" s="3"/>
      <c r="O49" s="7"/>
      <c r="P49" s="7"/>
      <c r="Q49" s="7"/>
      <c r="R49" s="7"/>
      <c r="S49" s="8" t="str">
        <f aca="false">IF(OR(E49="",H49="",E49&lt;=0),"",(H49-E49)/E49)</f>
        <v/>
      </c>
      <c r="T49" s="8" t="str">
        <f aca="false">IF(OR(E49="",L49="",E49&lt;=0),"",(E49-L49)/E49)</f>
        <v/>
      </c>
      <c r="U49" s="9" t="str">
        <f aca="false">IF(OR(S49="",T49="",T49&lt;=0),"",S49/T49)</f>
        <v/>
      </c>
      <c r="V49" s="10" t="str">
        <f aca="false">IF(OR(I49="",J49="",E49="",F49=""),"",I49*J49-E49*F49-IF(M49="",0,M49)-IF(N49="",0,N49))</f>
        <v/>
      </c>
      <c r="W49" s="8" t="str">
        <f aca="false">IF(OR(V49="",E49="",F49=""),"",IF(E49*F49+IF(M49="",0,M49)&lt;=0,"",V49/(E49*F49+IF(M49="",0,M49))))</f>
        <v/>
      </c>
      <c r="X49" s="8" t="str">
        <f aca="false">IF(OR(W49="",多次统计数据!$B$8=""),"",W49-多次统计数据!$B$8)</f>
        <v/>
      </c>
      <c r="Y49" s="11" t="str">
        <f aca="false">IF(OR(G49="",K49="",K49&lt;G49),"",K49-G49)</f>
        <v/>
      </c>
      <c r="Z49" s="8" t="str">
        <f aca="false">IF(OR(A49="",多次统计数据!$B$8="",多次统计数据!$B$6&lt;=0,多次统计数据!$B$6&gt;=1),"",1-POWER(1+多次统计数据!$B$8,-多次统计数据!$B$6/(1-多次统计数据!$B$6)))</f>
        <v/>
      </c>
      <c r="AA49" s="12" t="str">
        <f aca="false">IF(OR(Z49="",多次统计数据!$B$9=""),"",IF(多次统计数据!$B$9&lt;Z49,"低于上限","达到或超过上限"))</f>
        <v/>
      </c>
      <c r="AB49" s="2"/>
    </row>
    <row r="50" customFormat="false" ht="15" hidden="false" customHeight="false" outlineLevel="0" collapsed="false">
      <c r="A50" s="7"/>
      <c r="B50" s="7"/>
      <c r="C50" s="3"/>
      <c r="D50" s="4"/>
      <c r="E50" s="3"/>
      <c r="F50" s="5" t="str">
        <f aca="false">IF(OR(C50="",D50="",E50="",L50="",C50&lt;=0,D50&lt;=0,E50&lt;=L50),"",ROUNDDOWN((C50*D50)/(E50-L50)/100,0)*100)</f>
        <v/>
      </c>
      <c r="G50" s="6"/>
      <c r="H50" s="3"/>
      <c r="I50" s="3"/>
      <c r="J50" s="5" t="str">
        <f aca="false">IF(I50="","",F50)</f>
        <v/>
      </c>
      <c r="K50" s="6"/>
      <c r="L50" s="3"/>
      <c r="M50" s="3"/>
      <c r="N50" s="3"/>
      <c r="O50" s="7"/>
      <c r="P50" s="7"/>
      <c r="Q50" s="7"/>
      <c r="R50" s="7"/>
      <c r="S50" s="8" t="str">
        <f aca="false">IF(OR(E50="",H50="",E50&lt;=0),"",(H50-E50)/E50)</f>
        <v/>
      </c>
      <c r="T50" s="8" t="str">
        <f aca="false">IF(OR(E50="",L50="",E50&lt;=0),"",(E50-L50)/E50)</f>
        <v/>
      </c>
      <c r="U50" s="9" t="str">
        <f aca="false">IF(OR(S50="",T50="",T50&lt;=0),"",S50/T50)</f>
        <v/>
      </c>
      <c r="V50" s="10" t="str">
        <f aca="false">IF(OR(I50="",J50="",E50="",F50=""),"",I50*J50-E50*F50-IF(M50="",0,M50)-IF(N50="",0,N50))</f>
        <v/>
      </c>
      <c r="W50" s="8" t="str">
        <f aca="false">IF(OR(V50="",E50="",F50=""),"",IF(E50*F50+IF(M50="",0,M50)&lt;=0,"",V50/(E50*F50+IF(M50="",0,M50))))</f>
        <v/>
      </c>
      <c r="X50" s="8" t="str">
        <f aca="false">IF(OR(W50="",多次统计数据!$B$8=""),"",W50-多次统计数据!$B$8)</f>
        <v/>
      </c>
      <c r="Y50" s="11" t="str">
        <f aca="false">IF(OR(G50="",K50="",K50&lt;G50),"",K50-G50)</f>
        <v/>
      </c>
      <c r="Z50" s="8" t="str">
        <f aca="false">IF(OR(A50="",多次统计数据!$B$8="",多次统计数据!$B$6&lt;=0,多次统计数据!$B$6&gt;=1),"",1-POWER(1+多次统计数据!$B$8,-多次统计数据!$B$6/(1-多次统计数据!$B$6)))</f>
        <v/>
      </c>
      <c r="AA50" s="12" t="str">
        <f aca="false">IF(OR(Z50="",多次统计数据!$B$9=""),"",IF(多次统计数据!$B$9&lt;Z50,"低于上限","达到或超过上限"))</f>
        <v/>
      </c>
      <c r="AB50" s="2"/>
    </row>
    <row r="51" customFormat="false" ht="15" hidden="false" customHeight="false" outlineLevel="0" collapsed="false">
      <c r="A51" s="7"/>
      <c r="B51" s="7"/>
      <c r="C51" s="3"/>
      <c r="D51" s="4"/>
      <c r="E51" s="3"/>
      <c r="F51" s="5" t="str">
        <f aca="false">IF(OR(C51="",D51="",E51="",L51="",C51&lt;=0,D51&lt;=0,E51&lt;=L51),"",ROUNDDOWN((C51*D51)/(E51-L51)/100,0)*100)</f>
        <v/>
      </c>
      <c r="G51" s="6"/>
      <c r="H51" s="3"/>
      <c r="I51" s="3"/>
      <c r="J51" s="5" t="str">
        <f aca="false">IF(I51="","",F51)</f>
        <v/>
      </c>
      <c r="K51" s="6"/>
      <c r="L51" s="3"/>
      <c r="M51" s="3"/>
      <c r="N51" s="3"/>
      <c r="O51" s="7"/>
      <c r="P51" s="7"/>
      <c r="Q51" s="7"/>
      <c r="R51" s="7"/>
      <c r="S51" s="8" t="str">
        <f aca="false">IF(OR(E51="",H51="",E51&lt;=0),"",(H51-E51)/E51)</f>
        <v/>
      </c>
      <c r="T51" s="8" t="str">
        <f aca="false">IF(OR(E51="",L51="",E51&lt;=0),"",(E51-L51)/E51)</f>
        <v/>
      </c>
      <c r="U51" s="9" t="str">
        <f aca="false">IF(OR(S51="",T51="",T51&lt;=0),"",S51/T51)</f>
        <v/>
      </c>
      <c r="V51" s="10" t="str">
        <f aca="false">IF(OR(I51="",J51="",E51="",F51=""),"",I51*J51-E51*F51-IF(M51="",0,M51)-IF(N51="",0,N51))</f>
        <v/>
      </c>
      <c r="W51" s="8" t="str">
        <f aca="false">IF(OR(V51="",E51="",F51=""),"",IF(E51*F51+IF(M51="",0,M51)&lt;=0,"",V51/(E51*F51+IF(M51="",0,M51))))</f>
        <v/>
      </c>
      <c r="X51" s="8" t="str">
        <f aca="false">IF(OR(W51="",多次统计数据!$B$8=""),"",W51-多次统计数据!$B$8)</f>
        <v/>
      </c>
      <c r="Y51" s="11" t="str">
        <f aca="false">IF(OR(G51="",K51="",K51&lt;G51),"",K51-G51)</f>
        <v/>
      </c>
      <c r="Z51" s="8" t="str">
        <f aca="false">IF(OR(A51="",多次统计数据!$B$8="",多次统计数据!$B$6&lt;=0,多次统计数据!$B$6&gt;=1),"",1-POWER(1+多次统计数据!$B$8,-多次统计数据!$B$6/(1-多次统计数据!$B$6)))</f>
        <v/>
      </c>
      <c r="AA51" s="12" t="str">
        <f aca="false">IF(OR(Z51="",多次统计数据!$B$9=""),"",IF(多次统计数据!$B$9&lt;Z51,"低于上限","达到或超过上限"))</f>
        <v/>
      </c>
      <c r="AB51" s="2"/>
    </row>
    <row r="52" customFormat="false" ht="15" hidden="false" customHeight="false" outlineLevel="0" collapsed="false">
      <c r="A52" s="7"/>
      <c r="B52" s="7"/>
      <c r="C52" s="3"/>
      <c r="D52" s="4"/>
      <c r="E52" s="3"/>
      <c r="F52" s="5" t="str">
        <f aca="false">IF(OR(C52="",D52="",E52="",L52="",C52&lt;=0,D52&lt;=0,E52&lt;=L52),"",ROUNDDOWN((C52*D52)/(E52-L52)/100,0)*100)</f>
        <v/>
      </c>
      <c r="G52" s="6"/>
      <c r="H52" s="3"/>
      <c r="I52" s="3"/>
      <c r="J52" s="5" t="str">
        <f aca="false">IF(I52="","",F52)</f>
        <v/>
      </c>
      <c r="K52" s="6"/>
      <c r="L52" s="3"/>
      <c r="M52" s="3"/>
      <c r="N52" s="3"/>
      <c r="O52" s="7"/>
      <c r="P52" s="7"/>
      <c r="Q52" s="7"/>
      <c r="R52" s="7"/>
      <c r="S52" s="8" t="str">
        <f aca="false">IF(OR(E52="",H52="",E52&lt;=0),"",(H52-E52)/E52)</f>
        <v/>
      </c>
      <c r="T52" s="8" t="str">
        <f aca="false">IF(OR(E52="",L52="",E52&lt;=0),"",(E52-L52)/E52)</f>
        <v/>
      </c>
      <c r="U52" s="9" t="str">
        <f aca="false">IF(OR(S52="",T52="",T52&lt;=0),"",S52/T52)</f>
        <v/>
      </c>
      <c r="V52" s="10" t="str">
        <f aca="false">IF(OR(I52="",J52="",E52="",F52=""),"",I52*J52-E52*F52-IF(M52="",0,M52)-IF(N52="",0,N52))</f>
        <v/>
      </c>
      <c r="W52" s="8" t="str">
        <f aca="false">IF(OR(V52="",E52="",F52=""),"",IF(E52*F52+IF(M52="",0,M52)&lt;=0,"",V52/(E52*F52+IF(M52="",0,M52))))</f>
        <v/>
      </c>
      <c r="X52" s="8" t="str">
        <f aca="false">IF(OR(W52="",多次统计数据!$B$8=""),"",W52-多次统计数据!$B$8)</f>
        <v/>
      </c>
      <c r="Y52" s="11" t="str">
        <f aca="false">IF(OR(G52="",K52="",K52&lt;G52),"",K52-G52)</f>
        <v/>
      </c>
      <c r="Z52" s="8" t="str">
        <f aca="false">IF(OR(A52="",多次统计数据!$B$8="",多次统计数据!$B$6&lt;=0,多次统计数据!$B$6&gt;=1),"",1-POWER(1+多次统计数据!$B$8,-多次统计数据!$B$6/(1-多次统计数据!$B$6)))</f>
        <v/>
      </c>
      <c r="AA52" s="12" t="str">
        <f aca="false">IF(OR(Z52="",多次统计数据!$B$9=""),"",IF(多次统计数据!$B$9&lt;Z52,"低于上限","达到或超过上限"))</f>
        <v/>
      </c>
      <c r="AB52" s="2"/>
    </row>
    <row r="53" customFormat="false" ht="15" hidden="false" customHeight="false" outlineLevel="0" collapsed="false">
      <c r="A53" s="7"/>
      <c r="B53" s="7"/>
      <c r="C53" s="3"/>
      <c r="D53" s="4"/>
      <c r="E53" s="3"/>
      <c r="F53" s="5" t="str">
        <f aca="false">IF(OR(C53="",D53="",E53="",L53="",C53&lt;=0,D53&lt;=0,E53&lt;=L53),"",ROUNDDOWN((C53*D53)/(E53-L53)/100,0)*100)</f>
        <v/>
      </c>
      <c r="G53" s="6"/>
      <c r="H53" s="3"/>
      <c r="I53" s="3"/>
      <c r="J53" s="5" t="str">
        <f aca="false">IF(I53="","",F53)</f>
        <v/>
      </c>
      <c r="K53" s="6"/>
      <c r="L53" s="3"/>
      <c r="M53" s="3"/>
      <c r="N53" s="3"/>
      <c r="O53" s="7"/>
      <c r="P53" s="7"/>
      <c r="Q53" s="7"/>
      <c r="R53" s="7"/>
      <c r="S53" s="8" t="str">
        <f aca="false">IF(OR(E53="",H53="",E53&lt;=0),"",(H53-E53)/E53)</f>
        <v/>
      </c>
      <c r="T53" s="8" t="str">
        <f aca="false">IF(OR(E53="",L53="",E53&lt;=0),"",(E53-L53)/E53)</f>
        <v/>
      </c>
      <c r="U53" s="9" t="str">
        <f aca="false">IF(OR(S53="",T53="",T53&lt;=0),"",S53/T53)</f>
        <v/>
      </c>
      <c r="V53" s="10" t="str">
        <f aca="false">IF(OR(I53="",J53="",E53="",F53=""),"",I53*J53-E53*F53-IF(M53="",0,M53)-IF(N53="",0,N53))</f>
        <v/>
      </c>
      <c r="W53" s="8" t="str">
        <f aca="false">IF(OR(V53="",E53="",F53=""),"",IF(E53*F53+IF(M53="",0,M53)&lt;=0,"",V53/(E53*F53+IF(M53="",0,M53))))</f>
        <v/>
      </c>
      <c r="X53" s="8" t="str">
        <f aca="false">IF(OR(W53="",多次统计数据!$B$8=""),"",W53-多次统计数据!$B$8)</f>
        <v/>
      </c>
      <c r="Y53" s="11" t="str">
        <f aca="false">IF(OR(G53="",K53="",K53&lt;G53),"",K53-G53)</f>
        <v/>
      </c>
      <c r="Z53" s="8" t="str">
        <f aca="false">IF(OR(A53="",多次统计数据!$B$8="",多次统计数据!$B$6&lt;=0,多次统计数据!$B$6&gt;=1),"",1-POWER(1+多次统计数据!$B$8,-多次统计数据!$B$6/(1-多次统计数据!$B$6)))</f>
        <v/>
      </c>
      <c r="AA53" s="12" t="str">
        <f aca="false">IF(OR(Z53="",多次统计数据!$B$9=""),"",IF(多次统计数据!$B$9&lt;Z53,"低于上限","达到或超过上限"))</f>
        <v/>
      </c>
      <c r="AB53" s="2"/>
    </row>
    <row r="54" customFormat="false" ht="15" hidden="false" customHeight="false" outlineLevel="0" collapsed="false">
      <c r="A54" s="7"/>
      <c r="B54" s="7"/>
      <c r="C54" s="3"/>
      <c r="D54" s="4"/>
      <c r="E54" s="3"/>
      <c r="F54" s="5" t="str">
        <f aca="false">IF(OR(C54="",D54="",E54="",L54="",C54&lt;=0,D54&lt;=0,E54&lt;=L54),"",ROUNDDOWN((C54*D54)/(E54-L54)/100,0)*100)</f>
        <v/>
      </c>
      <c r="G54" s="6"/>
      <c r="H54" s="3"/>
      <c r="I54" s="3"/>
      <c r="J54" s="5" t="str">
        <f aca="false">IF(I54="","",F54)</f>
        <v/>
      </c>
      <c r="K54" s="6"/>
      <c r="L54" s="3"/>
      <c r="M54" s="3"/>
      <c r="N54" s="3"/>
      <c r="O54" s="7"/>
      <c r="P54" s="7"/>
      <c r="Q54" s="7"/>
      <c r="R54" s="7"/>
      <c r="S54" s="8" t="str">
        <f aca="false">IF(OR(E54="",H54="",E54&lt;=0),"",(H54-E54)/E54)</f>
        <v/>
      </c>
      <c r="T54" s="8" t="str">
        <f aca="false">IF(OR(E54="",L54="",E54&lt;=0),"",(E54-L54)/E54)</f>
        <v/>
      </c>
      <c r="U54" s="9" t="str">
        <f aca="false">IF(OR(S54="",T54="",T54&lt;=0),"",S54/T54)</f>
        <v/>
      </c>
      <c r="V54" s="10" t="str">
        <f aca="false">IF(OR(I54="",J54="",E54="",F54=""),"",I54*J54-E54*F54-IF(M54="",0,M54)-IF(N54="",0,N54))</f>
        <v/>
      </c>
      <c r="W54" s="8" t="str">
        <f aca="false">IF(OR(V54="",E54="",F54=""),"",IF(E54*F54+IF(M54="",0,M54)&lt;=0,"",V54/(E54*F54+IF(M54="",0,M54))))</f>
        <v/>
      </c>
      <c r="X54" s="8" t="str">
        <f aca="false">IF(OR(W54="",多次统计数据!$B$8=""),"",W54-多次统计数据!$B$8)</f>
        <v/>
      </c>
      <c r="Y54" s="11" t="str">
        <f aca="false">IF(OR(G54="",K54="",K54&lt;G54),"",K54-G54)</f>
        <v/>
      </c>
      <c r="Z54" s="8" t="str">
        <f aca="false">IF(OR(A54="",多次统计数据!$B$8="",多次统计数据!$B$6&lt;=0,多次统计数据!$B$6&gt;=1),"",1-POWER(1+多次统计数据!$B$8,-多次统计数据!$B$6/(1-多次统计数据!$B$6)))</f>
        <v/>
      </c>
      <c r="AA54" s="12" t="str">
        <f aca="false">IF(OR(Z54="",多次统计数据!$B$9=""),"",IF(多次统计数据!$B$9&lt;Z54,"低于上限","达到或超过上限"))</f>
        <v/>
      </c>
      <c r="AB54" s="2"/>
    </row>
    <row r="55" customFormat="false" ht="15" hidden="false" customHeight="false" outlineLevel="0" collapsed="false">
      <c r="A55" s="7"/>
      <c r="B55" s="7"/>
      <c r="C55" s="3"/>
      <c r="D55" s="4"/>
      <c r="E55" s="3"/>
      <c r="F55" s="5" t="str">
        <f aca="false">IF(OR(C55="",D55="",E55="",L55="",C55&lt;=0,D55&lt;=0,E55&lt;=L55),"",ROUNDDOWN((C55*D55)/(E55-L55)/100,0)*100)</f>
        <v/>
      </c>
      <c r="G55" s="6"/>
      <c r="H55" s="3"/>
      <c r="I55" s="3"/>
      <c r="J55" s="5" t="str">
        <f aca="false">IF(I55="","",F55)</f>
        <v/>
      </c>
      <c r="K55" s="6"/>
      <c r="L55" s="3"/>
      <c r="M55" s="3"/>
      <c r="N55" s="3"/>
      <c r="O55" s="7"/>
      <c r="P55" s="7"/>
      <c r="Q55" s="7"/>
      <c r="R55" s="7"/>
      <c r="S55" s="8" t="str">
        <f aca="false">IF(OR(E55="",H55="",E55&lt;=0),"",(H55-E55)/E55)</f>
        <v/>
      </c>
      <c r="T55" s="8" t="str">
        <f aca="false">IF(OR(E55="",L55="",E55&lt;=0),"",(E55-L55)/E55)</f>
        <v/>
      </c>
      <c r="U55" s="9" t="str">
        <f aca="false">IF(OR(S55="",T55="",T55&lt;=0),"",S55/T55)</f>
        <v/>
      </c>
      <c r="V55" s="10" t="str">
        <f aca="false">IF(OR(I55="",J55="",E55="",F55=""),"",I55*J55-E55*F55-IF(M55="",0,M55)-IF(N55="",0,N55))</f>
        <v/>
      </c>
      <c r="W55" s="8" t="str">
        <f aca="false">IF(OR(V55="",E55="",F55=""),"",IF(E55*F55+IF(M55="",0,M55)&lt;=0,"",V55/(E55*F55+IF(M55="",0,M55))))</f>
        <v/>
      </c>
      <c r="X55" s="8" t="str">
        <f aca="false">IF(OR(W55="",多次统计数据!$B$8=""),"",W55-多次统计数据!$B$8)</f>
        <v/>
      </c>
      <c r="Y55" s="11" t="str">
        <f aca="false">IF(OR(G55="",K55="",K55&lt;G55),"",K55-G55)</f>
        <v/>
      </c>
      <c r="Z55" s="8" t="str">
        <f aca="false">IF(OR(A55="",多次统计数据!$B$8="",多次统计数据!$B$6&lt;=0,多次统计数据!$B$6&gt;=1),"",1-POWER(1+多次统计数据!$B$8,-多次统计数据!$B$6/(1-多次统计数据!$B$6)))</f>
        <v/>
      </c>
      <c r="AA55" s="12" t="str">
        <f aca="false">IF(OR(Z55="",多次统计数据!$B$9=""),"",IF(多次统计数据!$B$9&lt;Z55,"低于上限","达到或超过上限"))</f>
        <v/>
      </c>
      <c r="AB55" s="2"/>
    </row>
    <row r="56" customFormat="false" ht="15" hidden="false" customHeight="false" outlineLevel="0" collapsed="false">
      <c r="A56" s="7"/>
      <c r="B56" s="7"/>
      <c r="C56" s="3"/>
      <c r="D56" s="4"/>
      <c r="E56" s="3"/>
      <c r="F56" s="5" t="str">
        <f aca="false">IF(OR(C56="",D56="",E56="",L56="",C56&lt;=0,D56&lt;=0,E56&lt;=L56),"",ROUNDDOWN((C56*D56)/(E56-L56)/100,0)*100)</f>
        <v/>
      </c>
      <c r="G56" s="6"/>
      <c r="H56" s="3"/>
      <c r="I56" s="3"/>
      <c r="J56" s="5" t="str">
        <f aca="false">IF(I56="","",F56)</f>
        <v/>
      </c>
      <c r="K56" s="6"/>
      <c r="L56" s="3"/>
      <c r="M56" s="3"/>
      <c r="N56" s="3"/>
      <c r="O56" s="7"/>
      <c r="P56" s="7"/>
      <c r="Q56" s="7"/>
      <c r="R56" s="7"/>
      <c r="S56" s="8" t="str">
        <f aca="false">IF(OR(E56="",H56="",E56&lt;=0),"",(H56-E56)/E56)</f>
        <v/>
      </c>
      <c r="T56" s="8" t="str">
        <f aca="false">IF(OR(E56="",L56="",E56&lt;=0),"",(E56-L56)/E56)</f>
        <v/>
      </c>
      <c r="U56" s="9" t="str">
        <f aca="false">IF(OR(S56="",T56="",T56&lt;=0),"",S56/T56)</f>
        <v/>
      </c>
      <c r="V56" s="10" t="str">
        <f aca="false">IF(OR(I56="",J56="",E56="",F56=""),"",I56*J56-E56*F56-IF(M56="",0,M56)-IF(N56="",0,N56))</f>
        <v/>
      </c>
      <c r="W56" s="8" t="str">
        <f aca="false">IF(OR(V56="",E56="",F56=""),"",IF(E56*F56+IF(M56="",0,M56)&lt;=0,"",V56/(E56*F56+IF(M56="",0,M56))))</f>
        <v/>
      </c>
      <c r="X56" s="8" t="str">
        <f aca="false">IF(OR(W56="",多次统计数据!$B$8=""),"",W56-多次统计数据!$B$8)</f>
        <v/>
      </c>
      <c r="Y56" s="11" t="str">
        <f aca="false">IF(OR(G56="",K56="",K56&lt;G56),"",K56-G56)</f>
        <v/>
      </c>
      <c r="Z56" s="8" t="str">
        <f aca="false">IF(OR(A56="",多次统计数据!$B$8="",多次统计数据!$B$6&lt;=0,多次统计数据!$B$6&gt;=1),"",1-POWER(1+多次统计数据!$B$8,-多次统计数据!$B$6/(1-多次统计数据!$B$6)))</f>
        <v/>
      </c>
      <c r="AA56" s="12" t="str">
        <f aca="false">IF(OR(Z56="",多次统计数据!$B$9=""),"",IF(多次统计数据!$B$9&lt;Z56,"低于上限","达到或超过上限"))</f>
        <v/>
      </c>
      <c r="AB56" s="2"/>
    </row>
    <row r="57" customFormat="false" ht="15" hidden="false" customHeight="false" outlineLevel="0" collapsed="false">
      <c r="A57" s="7"/>
      <c r="B57" s="7"/>
      <c r="C57" s="3"/>
      <c r="D57" s="4"/>
      <c r="E57" s="3"/>
      <c r="F57" s="5" t="str">
        <f aca="false">IF(OR(C57="",D57="",E57="",L57="",C57&lt;=0,D57&lt;=0,E57&lt;=L57),"",ROUNDDOWN((C57*D57)/(E57-L57)/100,0)*100)</f>
        <v/>
      </c>
      <c r="G57" s="6"/>
      <c r="H57" s="3"/>
      <c r="I57" s="3"/>
      <c r="J57" s="5" t="str">
        <f aca="false">IF(I57="","",F57)</f>
        <v/>
      </c>
      <c r="K57" s="6"/>
      <c r="L57" s="3"/>
      <c r="M57" s="3"/>
      <c r="N57" s="3"/>
      <c r="O57" s="7"/>
      <c r="P57" s="7"/>
      <c r="Q57" s="7"/>
      <c r="R57" s="7"/>
      <c r="S57" s="8" t="str">
        <f aca="false">IF(OR(E57="",H57="",E57&lt;=0),"",(H57-E57)/E57)</f>
        <v/>
      </c>
      <c r="T57" s="8" t="str">
        <f aca="false">IF(OR(E57="",L57="",E57&lt;=0),"",(E57-L57)/E57)</f>
        <v/>
      </c>
      <c r="U57" s="9" t="str">
        <f aca="false">IF(OR(S57="",T57="",T57&lt;=0),"",S57/T57)</f>
        <v/>
      </c>
      <c r="V57" s="10" t="str">
        <f aca="false">IF(OR(I57="",J57="",E57="",F57=""),"",I57*J57-E57*F57-IF(M57="",0,M57)-IF(N57="",0,N57))</f>
        <v/>
      </c>
      <c r="W57" s="8" t="str">
        <f aca="false">IF(OR(V57="",E57="",F57=""),"",IF(E57*F57+IF(M57="",0,M57)&lt;=0,"",V57/(E57*F57+IF(M57="",0,M57))))</f>
        <v/>
      </c>
      <c r="X57" s="8" t="str">
        <f aca="false">IF(OR(W57="",多次统计数据!$B$8=""),"",W57-多次统计数据!$B$8)</f>
        <v/>
      </c>
      <c r="Y57" s="11" t="str">
        <f aca="false">IF(OR(G57="",K57="",K57&lt;G57),"",K57-G57)</f>
        <v/>
      </c>
      <c r="Z57" s="8" t="str">
        <f aca="false">IF(OR(A57="",多次统计数据!$B$8="",多次统计数据!$B$6&lt;=0,多次统计数据!$B$6&gt;=1),"",1-POWER(1+多次统计数据!$B$8,-多次统计数据!$B$6/(1-多次统计数据!$B$6)))</f>
        <v/>
      </c>
      <c r="AA57" s="12" t="str">
        <f aca="false">IF(OR(Z57="",多次统计数据!$B$9=""),"",IF(多次统计数据!$B$9&lt;Z57,"低于上限","达到或超过上限"))</f>
        <v/>
      </c>
      <c r="AB57" s="2"/>
    </row>
    <row r="58" customFormat="false" ht="15" hidden="false" customHeight="false" outlineLevel="0" collapsed="false">
      <c r="A58" s="7"/>
      <c r="B58" s="7"/>
      <c r="C58" s="3"/>
      <c r="D58" s="4"/>
      <c r="E58" s="3"/>
      <c r="F58" s="5" t="str">
        <f aca="false">IF(OR(C58="",D58="",E58="",L58="",C58&lt;=0,D58&lt;=0,E58&lt;=L58),"",ROUNDDOWN((C58*D58)/(E58-L58)/100,0)*100)</f>
        <v/>
      </c>
      <c r="G58" s="6"/>
      <c r="H58" s="3"/>
      <c r="I58" s="3"/>
      <c r="J58" s="5" t="str">
        <f aca="false">IF(I58="","",F58)</f>
        <v/>
      </c>
      <c r="K58" s="6"/>
      <c r="L58" s="3"/>
      <c r="M58" s="3"/>
      <c r="N58" s="3"/>
      <c r="O58" s="7"/>
      <c r="P58" s="7"/>
      <c r="Q58" s="7"/>
      <c r="R58" s="7"/>
      <c r="S58" s="8" t="str">
        <f aca="false">IF(OR(E58="",H58="",E58&lt;=0),"",(H58-E58)/E58)</f>
        <v/>
      </c>
      <c r="T58" s="8" t="str">
        <f aca="false">IF(OR(E58="",L58="",E58&lt;=0),"",(E58-L58)/E58)</f>
        <v/>
      </c>
      <c r="U58" s="9" t="str">
        <f aca="false">IF(OR(S58="",T58="",T58&lt;=0),"",S58/T58)</f>
        <v/>
      </c>
      <c r="V58" s="10" t="str">
        <f aca="false">IF(OR(I58="",J58="",E58="",F58=""),"",I58*J58-E58*F58-IF(M58="",0,M58)-IF(N58="",0,N58))</f>
        <v/>
      </c>
      <c r="W58" s="8" t="str">
        <f aca="false">IF(OR(V58="",E58="",F58=""),"",IF(E58*F58+IF(M58="",0,M58)&lt;=0,"",V58/(E58*F58+IF(M58="",0,M58))))</f>
        <v/>
      </c>
      <c r="X58" s="8" t="str">
        <f aca="false">IF(OR(W58="",多次统计数据!$B$8=""),"",W58-多次统计数据!$B$8)</f>
        <v/>
      </c>
      <c r="Y58" s="11" t="str">
        <f aca="false">IF(OR(G58="",K58="",K58&lt;G58),"",K58-G58)</f>
        <v/>
      </c>
      <c r="Z58" s="8" t="str">
        <f aca="false">IF(OR(A58="",多次统计数据!$B$8="",多次统计数据!$B$6&lt;=0,多次统计数据!$B$6&gt;=1),"",1-POWER(1+多次统计数据!$B$8,-多次统计数据!$B$6/(1-多次统计数据!$B$6)))</f>
        <v/>
      </c>
      <c r="AA58" s="12" t="str">
        <f aca="false">IF(OR(Z58="",多次统计数据!$B$9=""),"",IF(多次统计数据!$B$9&lt;Z58,"低于上限","达到或超过上限"))</f>
        <v/>
      </c>
      <c r="AB58" s="2"/>
    </row>
    <row r="59" customFormat="false" ht="15" hidden="false" customHeight="false" outlineLevel="0" collapsed="false">
      <c r="A59" s="7"/>
      <c r="B59" s="7"/>
      <c r="C59" s="3"/>
      <c r="D59" s="4"/>
      <c r="E59" s="3"/>
      <c r="F59" s="5" t="str">
        <f aca="false">IF(OR(C59="",D59="",E59="",L59="",C59&lt;=0,D59&lt;=0,E59&lt;=L59),"",ROUNDDOWN((C59*D59)/(E59-L59)/100,0)*100)</f>
        <v/>
      </c>
      <c r="G59" s="6"/>
      <c r="H59" s="3"/>
      <c r="I59" s="3"/>
      <c r="J59" s="5" t="str">
        <f aca="false">IF(I59="","",F59)</f>
        <v/>
      </c>
      <c r="K59" s="6"/>
      <c r="L59" s="3"/>
      <c r="M59" s="3"/>
      <c r="N59" s="3"/>
      <c r="O59" s="7"/>
      <c r="P59" s="7"/>
      <c r="Q59" s="7"/>
      <c r="R59" s="7"/>
      <c r="S59" s="8" t="str">
        <f aca="false">IF(OR(E59="",H59="",E59&lt;=0),"",(H59-E59)/E59)</f>
        <v/>
      </c>
      <c r="T59" s="8" t="str">
        <f aca="false">IF(OR(E59="",L59="",E59&lt;=0),"",(E59-L59)/E59)</f>
        <v/>
      </c>
      <c r="U59" s="9" t="str">
        <f aca="false">IF(OR(S59="",T59="",T59&lt;=0),"",S59/T59)</f>
        <v/>
      </c>
      <c r="V59" s="10" t="str">
        <f aca="false">IF(OR(I59="",J59="",E59="",F59=""),"",I59*J59-E59*F59-IF(M59="",0,M59)-IF(N59="",0,N59))</f>
        <v/>
      </c>
      <c r="W59" s="8" t="str">
        <f aca="false">IF(OR(V59="",E59="",F59=""),"",IF(E59*F59+IF(M59="",0,M59)&lt;=0,"",V59/(E59*F59+IF(M59="",0,M59))))</f>
        <v/>
      </c>
      <c r="X59" s="8" t="str">
        <f aca="false">IF(OR(W59="",多次统计数据!$B$8=""),"",W59-多次统计数据!$B$8)</f>
        <v/>
      </c>
      <c r="Y59" s="11" t="str">
        <f aca="false">IF(OR(G59="",K59="",K59&lt;G59),"",K59-G59)</f>
        <v/>
      </c>
      <c r="Z59" s="8" t="str">
        <f aca="false">IF(OR(A59="",多次统计数据!$B$8="",多次统计数据!$B$6&lt;=0,多次统计数据!$B$6&gt;=1),"",1-POWER(1+多次统计数据!$B$8,-多次统计数据!$B$6/(1-多次统计数据!$B$6)))</f>
        <v/>
      </c>
      <c r="AA59" s="12" t="str">
        <f aca="false">IF(OR(Z59="",多次统计数据!$B$9=""),"",IF(多次统计数据!$B$9&lt;Z59,"低于上限","达到或超过上限"))</f>
        <v/>
      </c>
      <c r="AB59" s="2"/>
    </row>
    <row r="60" customFormat="false" ht="15" hidden="false" customHeight="false" outlineLevel="0" collapsed="false">
      <c r="A60" s="7"/>
      <c r="B60" s="7"/>
      <c r="C60" s="3"/>
      <c r="D60" s="4"/>
      <c r="E60" s="3"/>
      <c r="F60" s="5" t="str">
        <f aca="false">IF(OR(C60="",D60="",E60="",L60="",C60&lt;=0,D60&lt;=0,E60&lt;=L60),"",ROUNDDOWN((C60*D60)/(E60-L60)/100,0)*100)</f>
        <v/>
      </c>
      <c r="G60" s="6"/>
      <c r="H60" s="3"/>
      <c r="I60" s="3"/>
      <c r="J60" s="5" t="str">
        <f aca="false">IF(I60="","",F60)</f>
        <v/>
      </c>
      <c r="K60" s="6"/>
      <c r="L60" s="3"/>
      <c r="M60" s="3"/>
      <c r="N60" s="3"/>
      <c r="O60" s="7"/>
      <c r="P60" s="7"/>
      <c r="Q60" s="7"/>
      <c r="R60" s="7"/>
      <c r="S60" s="8" t="str">
        <f aca="false">IF(OR(E60="",H60="",E60&lt;=0),"",(H60-E60)/E60)</f>
        <v/>
      </c>
      <c r="T60" s="8" t="str">
        <f aca="false">IF(OR(E60="",L60="",E60&lt;=0),"",(E60-L60)/E60)</f>
        <v/>
      </c>
      <c r="U60" s="9" t="str">
        <f aca="false">IF(OR(S60="",T60="",T60&lt;=0),"",S60/T60)</f>
        <v/>
      </c>
      <c r="V60" s="10" t="str">
        <f aca="false">IF(OR(I60="",J60="",E60="",F60=""),"",I60*J60-E60*F60-IF(M60="",0,M60)-IF(N60="",0,N60))</f>
        <v/>
      </c>
      <c r="W60" s="8" t="str">
        <f aca="false">IF(OR(V60="",E60="",F60=""),"",IF(E60*F60+IF(M60="",0,M60)&lt;=0,"",V60/(E60*F60+IF(M60="",0,M60))))</f>
        <v/>
      </c>
      <c r="X60" s="8" t="str">
        <f aca="false">IF(OR(W60="",多次统计数据!$B$8=""),"",W60-多次统计数据!$B$8)</f>
        <v/>
      </c>
      <c r="Y60" s="11" t="str">
        <f aca="false">IF(OR(G60="",K60="",K60&lt;G60),"",K60-G60)</f>
        <v/>
      </c>
      <c r="Z60" s="8" t="str">
        <f aca="false">IF(OR(A60="",多次统计数据!$B$8="",多次统计数据!$B$6&lt;=0,多次统计数据!$B$6&gt;=1),"",1-POWER(1+多次统计数据!$B$8,-多次统计数据!$B$6/(1-多次统计数据!$B$6)))</f>
        <v/>
      </c>
      <c r="AA60" s="12" t="str">
        <f aca="false">IF(OR(Z60="",多次统计数据!$B$9=""),"",IF(多次统计数据!$B$9&lt;Z60,"低于上限","达到或超过上限"))</f>
        <v/>
      </c>
      <c r="AB60" s="2"/>
    </row>
    <row r="61" customFormat="false" ht="15" hidden="false" customHeight="false" outlineLevel="0" collapsed="false">
      <c r="A61" s="7"/>
      <c r="B61" s="7"/>
      <c r="C61" s="3"/>
      <c r="D61" s="4"/>
      <c r="E61" s="3"/>
      <c r="F61" s="5" t="str">
        <f aca="false">IF(OR(C61="",D61="",E61="",L61="",C61&lt;=0,D61&lt;=0,E61&lt;=L61),"",ROUNDDOWN((C61*D61)/(E61-L61)/100,0)*100)</f>
        <v/>
      </c>
      <c r="G61" s="6"/>
      <c r="H61" s="3"/>
      <c r="I61" s="3"/>
      <c r="J61" s="5" t="str">
        <f aca="false">IF(I61="","",F61)</f>
        <v/>
      </c>
      <c r="K61" s="6"/>
      <c r="L61" s="3"/>
      <c r="M61" s="3"/>
      <c r="N61" s="3"/>
      <c r="O61" s="7"/>
      <c r="P61" s="7"/>
      <c r="Q61" s="7"/>
      <c r="R61" s="7"/>
      <c r="S61" s="8" t="str">
        <f aca="false">IF(OR(E61="",H61="",E61&lt;=0),"",(H61-E61)/E61)</f>
        <v/>
      </c>
      <c r="T61" s="8" t="str">
        <f aca="false">IF(OR(E61="",L61="",E61&lt;=0),"",(E61-L61)/E61)</f>
        <v/>
      </c>
      <c r="U61" s="9" t="str">
        <f aca="false">IF(OR(S61="",T61="",T61&lt;=0),"",S61/T61)</f>
        <v/>
      </c>
      <c r="V61" s="10" t="str">
        <f aca="false">IF(OR(I61="",J61="",E61="",F61=""),"",I61*J61-E61*F61-IF(M61="",0,M61)-IF(N61="",0,N61))</f>
        <v/>
      </c>
      <c r="W61" s="8" t="str">
        <f aca="false">IF(OR(V61="",E61="",F61=""),"",IF(E61*F61+IF(M61="",0,M61)&lt;=0,"",V61/(E61*F61+IF(M61="",0,M61))))</f>
        <v/>
      </c>
      <c r="X61" s="8" t="str">
        <f aca="false">IF(OR(W61="",多次统计数据!$B$8=""),"",W61-多次统计数据!$B$8)</f>
        <v/>
      </c>
      <c r="Y61" s="11" t="str">
        <f aca="false">IF(OR(G61="",K61="",K61&lt;G61),"",K61-G61)</f>
        <v/>
      </c>
      <c r="Z61" s="8" t="str">
        <f aca="false">IF(OR(A61="",多次统计数据!$B$8="",多次统计数据!$B$6&lt;=0,多次统计数据!$B$6&gt;=1),"",1-POWER(1+多次统计数据!$B$8,-多次统计数据!$B$6/(1-多次统计数据!$B$6)))</f>
        <v/>
      </c>
      <c r="AA61" s="12" t="str">
        <f aca="false">IF(OR(Z61="",多次统计数据!$B$9=""),"",IF(多次统计数据!$B$9&lt;Z61,"低于上限","达到或超过上限"))</f>
        <v/>
      </c>
      <c r="AB61" s="2"/>
    </row>
    <row r="62" customFormat="false" ht="15" hidden="false" customHeight="false" outlineLevel="0" collapsed="false">
      <c r="A62" s="7"/>
      <c r="B62" s="7"/>
      <c r="C62" s="3"/>
      <c r="D62" s="4"/>
      <c r="E62" s="3"/>
      <c r="F62" s="5" t="str">
        <f aca="false">IF(OR(C62="",D62="",E62="",L62="",C62&lt;=0,D62&lt;=0,E62&lt;=L62),"",ROUNDDOWN((C62*D62)/(E62-L62)/100,0)*100)</f>
        <v/>
      </c>
      <c r="G62" s="6"/>
      <c r="H62" s="3"/>
      <c r="I62" s="3"/>
      <c r="J62" s="5" t="str">
        <f aca="false">IF(I62="","",F62)</f>
        <v/>
      </c>
      <c r="K62" s="6"/>
      <c r="L62" s="3"/>
      <c r="M62" s="3"/>
      <c r="N62" s="3"/>
      <c r="O62" s="7"/>
      <c r="P62" s="7"/>
      <c r="Q62" s="7"/>
      <c r="R62" s="7"/>
      <c r="S62" s="8" t="str">
        <f aca="false">IF(OR(E62="",H62="",E62&lt;=0),"",(H62-E62)/E62)</f>
        <v/>
      </c>
      <c r="T62" s="8" t="str">
        <f aca="false">IF(OR(E62="",L62="",E62&lt;=0),"",(E62-L62)/E62)</f>
        <v/>
      </c>
      <c r="U62" s="9" t="str">
        <f aca="false">IF(OR(S62="",T62="",T62&lt;=0),"",S62/T62)</f>
        <v/>
      </c>
      <c r="V62" s="10" t="str">
        <f aca="false">IF(OR(I62="",J62="",E62="",F62=""),"",I62*J62-E62*F62-IF(M62="",0,M62)-IF(N62="",0,N62))</f>
        <v/>
      </c>
      <c r="W62" s="8" t="str">
        <f aca="false">IF(OR(V62="",E62="",F62=""),"",IF(E62*F62+IF(M62="",0,M62)&lt;=0,"",V62/(E62*F62+IF(M62="",0,M62))))</f>
        <v/>
      </c>
      <c r="X62" s="8" t="str">
        <f aca="false">IF(OR(W62="",多次统计数据!$B$8=""),"",W62-多次统计数据!$B$8)</f>
        <v/>
      </c>
      <c r="Y62" s="11" t="str">
        <f aca="false">IF(OR(G62="",K62="",K62&lt;G62),"",K62-G62)</f>
        <v/>
      </c>
      <c r="Z62" s="8" t="str">
        <f aca="false">IF(OR(A62="",多次统计数据!$B$8="",多次统计数据!$B$6&lt;=0,多次统计数据!$B$6&gt;=1),"",1-POWER(1+多次统计数据!$B$8,-多次统计数据!$B$6/(1-多次统计数据!$B$6)))</f>
        <v/>
      </c>
      <c r="AA62" s="12" t="str">
        <f aca="false">IF(OR(Z62="",多次统计数据!$B$9=""),"",IF(多次统计数据!$B$9&lt;Z62,"低于上限","达到或超过上限"))</f>
        <v/>
      </c>
      <c r="AB62" s="2"/>
    </row>
    <row r="63" customFormat="false" ht="15" hidden="false" customHeight="false" outlineLevel="0" collapsed="false">
      <c r="A63" s="7"/>
      <c r="B63" s="7"/>
      <c r="C63" s="3"/>
      <c r="D63" s="4"/>
      <c r="E63" s="3"/>
      <c r="F63" s="5" t="str">
        <f aca="false">IF(OR(C63="",D63="",E63="",L63="",C63&lt;=0,D63&lt;=0,E63&lt;=L63),"",ROUNDDOWN((C63*D63)/(E63-L63)/100,0)*100)</f>
        <v/>
      </c>
      <c r="G63" s="6"/>
      <c r="H63" s="3"/>
      <c r="I63" s="3"/>
      <c r="J63" s="5" t="str">
        <f aca="false">IF(I63="","",F63)</f>
        <v/>
      </c>
      <c r="K63" s="6"/>
      <c r="L63" s="3"/>
      <c r="M63" s="3"/>
      <c r="N63" s="3"/>
      <c r="O63" s="7"/>
      <c r="P63" s="7"/>
      <c r="Q63" s="7"/>
      <c r="R63" s="7"/>
      <c r="S63" s="8" t="str">
        <f aca="false">IF(OR(E63="",H63="",E63&lt;=0),"",(H63-E63)/E63)</f>
        <v/>
      </c>
      <c r="T63" s="8" t="str">
        <f aca="false">IF(OR(E63="",L63="",E63&lt;=0),"",(E63-L63)/E63)</f>
        <v/>
      </c>
      <c r="U63" s="9" t="str">
        <f aca="false">IF(OR(S63="",T63="",T63&lt;=0),"",S63/T63)</f>
        <v/>
      </c>
      <c r="V63" s="10" t="str">
        <f aca="false">IF(OR(I63="",J63="",E63="",F63=""),"",I63*J63-E63*F63-IF(M63="",0,M63)-IF(N63="",0,N63))</f>
        <v/>
      </c>
      <c r="W63" s="8" t="str">
        <f aca="false">IF(OR(V63="",E63="",F63=""),"",IF(E63*F63+IF(M63="",0,M63)&lt;=0,"",V63/(E63*F63+IF(M63="",0,M63))))</f>
        <v/>
      </c>
      <c r="X63" s="8" t="str">
        <f aca="false">IF(OR(W63="",多次统计数据!$B$8=""),"",W63-多次统计数据!$B$8)</f>
        <v/>
      </c>
      <c r="Y63" s="11" t="str">
        <f aca="false">IF(OR(G63="",K63="",K63&lt;G63),"",K63-G63)</f>
        <v/>
      </c>
      <c r="Z63" s="8" t="str">
        <f aca="false">IF(OR(A63="",多次统计数据!$B$8="",多次统计数据!$B$6&lt;=0,多次统计数据!$B$6&gt;=1),"",1-POWER(1+多次统计数据!$B$8,-多次统计数据!$B$6/(1-多次统计数据!$B$6)))</f>
        <v/>
      </c>
      <c r="AA63" s="12" t="str">
        <f aca="false">IF(OR(Z63="",多次统计数据!$B$9=""),"",IF(多次统计数据!$B$9&lt;Z63,"低于上限","达到或超过上限"))</f>
        <v/>
      </c>
      <c r="AB63" s="2"/>
    </row>
    <row r="64" customFormat="false" ht="15" hidden="false" customHeight="false" outlineLevel="0" collapsed="false">
      <c r="A64" s="7"/>
      <c r="B64" s="7"/>
      <c r="C64" s="3"/>
      <c r="D64" s="4"/>
      <c r="E64" s="3"/>
      <c r="F64" s="5" t="str">
        <f aca="false">IF(OR(C64="",D64="",E64="",L64="",C64&lt;=0,D64&lt;=0,E64&lt;=L64),"",ROUNDDOWN((C64*D64)/(E64-L64)/100,0)*100)</f>
        <v/>
      </c>
      <c r="G64" s="6"/>
      <c r="H64" s="3"/>
      <c r="I64" s="3"/>
      <c r="J64" s="5" t="str">
        <f aca="false">IF(I64="","",F64)</f>
        <v/>
      </c>
      <c r="K64" s="6"/>
      <c r="L64" s="3"/>
      <c r="M64" s="3"/>
      <c r="N64" s="3"/>
      <c r="O64" s="7"/>
      <c r="P64" s="7"/>
      <c r="Q64" s="7"/>
      <c r="R64" s="7"/>
      <c r="S64" s="8" t="str">
        <f aca="false">IF(OR(E64="",H64="",E64&lt;=0),"",(H64-E64)/E64)</f>
        <v/>
      </c>
      <c r="T64" s="8" t="str">
        <f aca="false">IF(OR(E64="",L64="",E64&lt;=0),"",(E64-L64)/E64)</f>
        <v/>
      </c>
      <c r="U64" s="9" t="str">
        <f aca="false">IF(OR(S64="",T64="",T64&lt;=0),"",S64/T64)</f>
        <v/>
      </c>
      <c r="V64" s="10" t="str">
        <f aca="false">IF(OR(I64="",J64="",E64="",F64=""),"",I64*J64-E64*F64-IF(M64="",0,M64)-IF(N64="",0,N64))</f>
        <v/>
      </c>
      <c r="W64" s="8" t="str">
        <f aca="false">IF(OR(V64="",E64="",F64=""),"",IF(E64*F64+IF(M64="",0,M64)&lt;=0,"",V64/(E64*F64+IF(M64="",0,M64))))</f>
        <v/>
      </c>
      <c r="X64" s="8" t="str">
        <f aca="false">IF(OR(W64="",多次统计数据!$B$8=""),"",W64-多次统计数据!$B$8)</f>
        <v/>
      </c>
      <c r="Y64" s="11" t="str">
        <f aca="false">IF(OR(G64="",K64="",K64&lt;G64),"",K64-G64)</f>
        <v/>
      </c>
      <c r="Z64" s="8" t="str">
        <f aca="false">IF(OR(A64="",多次统计数据!$B$8="",多次统计数据!$B$6&lt;=0,多次统计数据!$B$6&gt;=1),"",1-POWER(1+多次统计数据!$B$8,-多次统计数据!$B$6/(1-多次统计数据!$B$6)))</f>
        <v/>
      </c>
      <c r="AA64" s="12" t="str">
        <f aca="false">IF(OR(Z64="",多次统计数据!$B$9=""),"",IF(多次统计数据!$B$9&lt;Z64,"低于上限","达到或超过上限"))</f>
        <v/>
      </c>
      <c r="AB64" s="2"/>
    </row>
    <row r="65" customFormat="false" ht="15" hidden="false" customHeight="false" outlineLevel="0" collapsed="false">
      <c r="A65" s="7"/>
      <c r="B65" s="7"/>
      <c r="C65" s="3"/>
      <c r="D65" s="4"/>
      <c r="E65" s="3"/>
      <c r="F65" s="5" t="str">
        <f aca="false">IF(OR(C65="",D65="",E65="",L65="",C65&lt;=0,D65&lt;=0,E65&lt;=L65),"",ROUNDDOWN((C65*D65)/(E65-L65)/100,0)*100)</f>
        <v/>
      </c>
      <c r="G65" s="6"/>
      <c r="H65" s="3"/>
      <c r="I65" s="3"/>
      <c r="J65" s="5" t="str">
        <f aca="false">IF(I65="","",F65)</f>
        <v/>
      </c>
      <c r="K65" s="6"/>
      <c r="L65" s="3"/>
      <c r="M65" s="3"/>
      <c r="N65" s="3"/>
      <c r="O65" s="7"/>
      <c r="P65" s="7"/>
      <c r="Q65" s="7"/>
      <c r="R65" s="7"/>
      <c r="S65" s="8" t="str">
        <f aca="false">IF(OR(E65="",H65="",E65&lt;=0),"",(H65-E65)/E65)</f>
        <v/>
      </c>
      <c r="T65" s="8" t="str">
        <f aca="false">IF(OR(E65="",L65="",E65&lt;=0),"",(E65-L65)/E65)</f>
        <v/>
      </c>
      <c r="U65" s="9" t="str">
        <f aca="false">IF(OR(S65="",T65="",T65&lt;=0),"",S65/T65)</f>
        <v/>
      </c>
      <c r="V65" s="10" t="str">
        <f aca="false">IF(OR(I65="",J65="",E65="",F65=""),"",I65*J65-E65*F65-IF(M65="",0,M65)-IF(N65="",0,N65))</f>
        <v/>
      </c>
      <c r="W65" s="8" t="str">
        <f aca="false">IF(OR(V65="",E65="",F65=""),"",IF(E65*F65+IF(M65="",0,M65)&lt;=0,"",V65/(E65*F65+IF(M65="",0,M65))))</f>
        <v/>
      </c>
      <c r="X65" s="8" t="str">
        <f aca="false">IF(OR(W65="",多次统计数据!$B$8=""),"",W65-多次统计数据!$B$8)</f>
        <v/>
      </c>
      <c r="Y65" s="11" t="str">
        <f aca="false">IF(OR(G65="",K65="",K65&lt;G65),"",K65-G65)</f>
        <v/>
      </c>
      <c r="Z65" s="8" t="str">
        <f aca="false">IF(OR(A65="",多次统计数据!$B$8="",多次统计数据!$B$6&lt;=0,多次统计数据!$B$6&gt;=1),"",1-POWER(1+多次统计数据!$B$8,-多次统计数据!$B$6/(1-多次统计数据!$B$6)))</f>
        <v/>
      </c>
      <c r="AA65" s="12" t="str">
        <f aca="false">IF(OR(Z65="",多次统计数据!$B$9=""),"",IF(多次统计数据!$B$9&lt;Z65,"低于上限","达到或超过上限"))</f>
        <v/>
      </c>
      <c r="AB65" s="2"/>
    </row>
    <row r="66" customFormat="false" ht="15" hidden="false" customHeight="false" outlineLevel="0" collapsed="false">
      <c r="A66" s="7"/>
      <c r="B66" s="7"/>
      <c r="C66" s="3"/>
      <c r="D66" s="4"/>
      <c r="E66" s="3"/>
      <c r="F66" s="5" t="str">
        <f aca="false">IF(OR(C66="",D66="",E66="",L66="",C66&lt;=0,D66&lt;=0,E66&lt;=L66),"",ROUNDDOWN((C66*D66)/(E66-L66)/100,0)*100)</f>
        <v/>
      </c>
      <c r="G66" s="6"/>
      <c r="H66" s="3"/>
      <c r="I66" s="3"/>
      <c r="J66" s="5" t="str">
        <f aca="false">IF(I66="","",F66)</f>
        <v/>
      </c>
      <c r="K66" s="6"/>
      <c r="L66" s="3"/>
      <c r="M66" s="3"/>
      <c r="N66" s="3"/>
      <c r="O66" s="7"/>
      <c r="P66" s="7"/>
      <c r="Q66" s="7"/>
      <c r="R66" s="7"/>
      <c r="S66" s="8" t="str">
        <f aca="false">IF(OR(E66="",H66="",E66&lt;=0),"",(H66-E66)/E66)</f>
        <v/>
      </c>
      <c r="T66" s="8" t="str">
        <f aca="false">IF(OR(E66="",L66="",E66&lt;=0),"",(E66-L66)/E66)</f>
        <v/>
      </c>
      <c r="U66" s="9" t="str">
        <f aca="false">IF(OR(S66="",T66="",T66&lt;=0),"",S66/T66)</f>
        <v/>
      </c>
      <c r="V66" s="10" t="str">
        <f aca="false">IF(OR(I66="",J66="",E66="",F66=""),"",I66*J66-E66*F66-IF(M66="",0,M66)-IF(N66="",0,N66))</f>
        <v/>
      </c>
      <c r="W66" s="8" t="str">
        <f aca="false">IF(OR(V66="",E66="",F66=""),"",IF(E66*F66+IF(M66="",0,M66)&lt;=0,"",V66/(E66*F66+IF(M66="",0,M66))))</f>
        <v/>
      </c>
      <c r="X66" s="8" t="str">
        <f aca="false">IF(OR(W66="",多次统计数据!$B$8=""),"",W66-多次统计数据!$B$8)</f>
        <v/>
      </c>
      <c r="Y66" s="11" t="str">
        <f aca="false">IF(OR(G66="",K66="",K66&lt;G66),"",K66-G66)</f>
        <v/>
      </c>
      <c r="Z66" s="8" t="str">
        <f aca="false">IF(OR(A66="",多次统计数据!$B$8="",多次统计数据!$B$6&lt;=0,多次统计数据!$B$6&gt;=1),"",1-POWER(1+多次统计数据!$B$8,-多次统计数据!$B$6/(1-多次统计数据!$B$6)))</f>
        <v/>
      </c>
      <c r="AA66" s="12" t="str">
        <f aca="false">IF(OR(Z66="",多次统计数据!$B$9=""),"",IF(多次统计数据!$B$9&lt;Z66,"低于上限","达到或超过上限"))</f>
        <v/>
      </c>
      <c r="AB66" s="2"/>
    </row>
    <row r="67" customFormat="false" ht="15" hidden="false" customHeight="false" outlineLevel="0" collapsed="false">
      <c r="A67" s="7"/>
      <c r="B67" s="7"/>
      <c r="C67" s="3"/>
      <c r="D67" s="4"/>
      <c r="E67" s="3"/>
      <c r="F67" s="5" t="str">
        <f aca="false">IF(OR(C67="",D67="",E67="",L67="",C67&lt;=0,D67&lt;=0,E67&lt;=L67),"",ROUNDDOWN((C67*D67)/(E67-L67)/100,0)*100)</f>
        <v/>
      </c>
      <c r="G67" s="6"/>
      <c r="H67" s="3"/>
      <c r="I67" s="3"/>
      <c r="J67" s="5" t="str">
        <f aca="false">IF(I67="","",F67)</f>
        <v/>
      </c>
      <c r="K67" s="6"/>
      <c r="L67" s="3"/>
      <c r="M67" s="3"/>
      <c r="N67" s="3"/>
      <c r="O67" s="7"/>
      <c r="P67" s="7"/>
      <c r="Q67" s="7"/>
      <c r="R67" s="7"/>
      <c r="S67" s="8" t="str">
        <f aca="false">IF(OR(E67="",H67="",E67&lt;=0),"",(H67-E67)/E67)</f>
        <v/>
      </c>
      <c r="T67" s="8" t="str">
        <f aca="false">IF(OR(E67="",L67="",E67&lt;=0),"",(E67-L67)/E67)</f>
        <v/>
      </c>
      <c r="U67" s="9" t="str">
        <f aca="false">IF(OR(S67="",T67="",T67&lt;=0),"",S67/T67)</f>
        <v/>
      </c>
      <c r="V67" s="10" t="str">
        <f aca="false">IF(OR(I67="",J67="",E67="",F67=""),"",I67*J67-E67*F67-IF(M67="",0,M67)-IF(N67="",0,N67))</f>
        <v/>
      </c>
      <c r="W67" s="8" t="str">
        <f aca="false">IF(OR(V67="",E67="",F67=""),"",IF(E67*F67+IF(M67="",0,M67)&lt;=0,"",V67/(E67*F67+IF(M67="",0,M67))))</f>
        <v/>
      </c>
      <c r="X67" s="8" t="str">
        <f aca="false">IF(OR(W67="",多次统计数据!$B$8=""),"",W67-多次统计数据!$B$8)</f>
        <v/>
      </c>
      <c r="Y67" s="11" t="str">
        <f aca="false">IF(OR(G67="",K67="",K67&lt;G67),"",K67-G67)</f>
        <v/>
      </c>
      <c r="Z67" s="8" t="str">
        <f aca="false">IF(OR(A67="",多次统计数据!$B$8="",多次统计数据!$B$6&lt;=0,多次统计数据!$B$6&gt;=1),"",1-POWER(1+多次统计数据!$B$8,-多次统计数据!$B$6/(1-多次统计数据!$B$6)))</f>
        <v/>
      </c>
      <c r="AA67" s="12" t="str">
        <f aca="false">IF(OR(Z67="",多次统计数据!$B$9=""),"",IF(多次统计数据!$B$9&lt;Z67,"低于上限","达到或超过上限"))</f>
        <v/>
      </c>
      <c r="AB67" s="2"/>
    </row>
    <row r="68" customFormat="false" ht="15" hidden="false" customHeight="false" outlineLevel="0" collapsed="false">
      <c r="A68" s="7"/>
      <c r="B68" s="7"/>
      <c r="C68" s="3"/>
      <c r="D68" s="4"/>
      <c r="E68" s="3"/>
      <c r="F68" s="5" t="str">
        <f aca="false">IF(OR(C68="",D68="",E68="",L68="",C68&lt;=0,D68&lt;=0,E68&lt;=L68),"",ROUNDDOWN((C68*D68)/(E68-L68)/100,0)*100)</f>
        <v/>
      </c>
      <c r="G68" s="6"/>
      <c r="H68" s="3"/>
      <c r="I68" s="3"/>
      <c r="J68" s="5" t="str">
        <f aca="false">IF(I68="","",F68)</f>
        <v/>
      </c>
      <c r="K68" s="6"/>
      <c r="L68" s="3"/>
      <c r="M68" s="3"/>
      <c r="N68" s="3"/>
      <c r="O68" s="7"/>
      <c r="P68" s="7"/>
      <c r="Q68" s="7"/>
      <c r="R68" s="7"/>
      <c r="S68" s="8" t="str">
        <f aca="false">IF(OR(E68="",H68="",E68&lt;=0),"",(H68-E68)/E68)</f>
        <v/>
      </c>
      <c r="T68" s="8" t="str">
        <f aca="false">IF(OR(E68="",L68="",E68&lt;=0),"",(E68-L68)/E68)</f>
        <v/>
      </c>
      <c r="U68" s="9" t="str">
        <f aca="false">IF(OR(S68="",T68="",T68&lt;=0),"",S68/T68)</f>
        <v/>
      </c>
      <c r="V68" s="10" t="str">
        <f aca="false">IF(OR(I68="",J68="",E68="",F68=""),"",I68*J68-E68*F68-IF(M68="",0,M68)-IF(N68="",0,N68))</f>
        <v/>
      </c>
      <c r="W68" s="8" t="str">
        <f aca="false">IF(OR(V68="",E68="",F68=""),"",IF(E68*F68+IF(M68="",0,M68)&lt;=0,"",V68/(E68*F68+IF(M68="",0,M68))))</f>
        <v/>
      </c>
      <c r="X68" s="8" t="str">
        <f aca="false">IF(OR(W68="",多次统计数据!$B$8=""),"",W68-多次统计数据!$B$8)</f>
        <v/>
      </c>
      <c r="Y68" s="11" t="str">
        <f aca="false">IF(OR(G68="",K68="",K68&lt;G68),"",K68-G68)</f>
        <v/>
      </c>
      <c r="Z68" s="8" t="str">
        <f aca="false">IF(OR(A68="",多次统计数据!$B$8="",多次统计数据!$B$6&lt;=0,多次统计数据!$B$6&gt;=1),"",1-POWER(1+多次统计数据!$B$8,-多次统计数据!$B$6/(1-多次统计数据!$B$6)))</f>
        <v/>
      </c>
      <c r="AA68" s="12" t="str">
        <f aca="false">IF(OR(Z68="",多次统计数据!$B$9=""),"",IF(多次统计数据!$B$9&lt;Z68,"低于上限","达到或超过上限"))</f>
        <v/>
      </c>
      <c r="AB68" s="2"/>
    </row>
    <row r="69" customFormat="false" ht="15" hidden="false" customHeight="false" outlineLevel="0" collapsed="false">
      <c r="A69" s="7"/>
      <c r="B69" s="7"/>
      <c r="C69" s="3"/>
      <c r="D69" s="4"/>
      <c r="E69" s="3"/>
      <c r="F69" s="5" t="str">
        <f aca="false">IF(OR(C69="",D69="",E69="",L69="",C69&lt;=0,D69&lt;=0,E69&lt;=L69),"",ROUNDDOWN((C69*D69)/(E69-L69)/100,0)*100)</f>
        <v/>
      </c>
      <c r="G69" s="6"/>
      <c r="H69" s="3"/>
      <c r="I69" s="3"/>
      <c r="J69" s="5" t="str">
        <f aca="false">IF(I69="","",F69)</f>
        <v/>
      </c>
      <c r="K69" s="6"/>
      <c r="L69" s="3"/>
      <c r="M69" s="3"/>
      <c r="N69" s="3"/>
      <c r="O69" s="7"/>
      <c r="P69" s="7"/>
      <c r="Q69" s="7"/>
      <c r="R69" s="7"/>
      <c r="S69" s="8" t="str">
        <f aca="false">IF(OR(E69="",H69="",E69&lt;=0),"",(H69-E69)/E69)</f>
        <v/>
      </c>
      <c r="T69" s="8" t="str">
        <f aca="false">IF(OR(E69="",L69="",E69&lt;=0),"",(E69-L69)/E69)</f>
        <v/>
      </c>
      <c r="U69" s="9" t="str">
        <f aca="false">IF(OR(S69="",T69="",T69&lt;=0),"",S69/T69)</f>
        <v/>
      </c>
      <c r="V69" s="10" t="str">
        <f aca="false">IF(OR(I69="",J69="",E69="",F69=""),"",I69*J69-E69*F69-IF(M69="",0,M69)-IF(N69="",0,N69))</f>
        <v/>
      </c>
      <c r="W69" s="8" t="str">
        <f aca="false">IF(OR(V69="",E69="",F69=""),"",IF(E69*F69+IF(M69="",0,M69)&lt;=0,"",V69/(E69*F69+IF(M69="",0,M69))))</f>
        <v/>
      </c>
      <c r="X69" s="8" t="str">
        <f aca="false">IF(OR(W69="",多次统计数据!$B$8=""),"",W69-多次统计数据!$B$8)</f>
        <v/>
      </c>
      <c r="Y69" s="11" t="str">
        <f aca="false">IF(OR(G69="",K69="",K69&lt;G69),"",K69-G69)</f>
        <v/>
      </c>
      <c r="Z69" s="8" t="str">
        <f aca="false">IF(OR(A69="",多次统计数据!$B$8="",多次统计数据!$B$6&lt;=0,多次统计数据!$B$6&gt;=1),"",1-POWER(1+多次统计数据!$B$8,-多次统计数据!$B$6/(1-多次统计数据!$B$6)))</f>
        <v/>
      </c>
      <c r="AA69" s="12" t="str">
        <f aca="false">IF(OR(Z69="",多次统计数据!$B$9=""),"",IF(多次统计数据!$B$9&lt;Z69,"低于上限","达到或超过上限"))</f>
        <v/>
      </c>
      <c r="AB69" s="2"/>
    </row>
    <row r="70" customFormat="false" ht="15" hidden="false" customHeight="false" outlineLevel="0" collapsed="false">
      <c r="A70" s="7"/>
      <c r="B70" s="7"/>
      <c r="C70" s="3"/>
      <c r="D70" s="4"/>
      <c r="E70" s="3"/>
      <c r="F70" s="5" t="str">
        <f aca="false">IF(OR(C70="",D70="",E70="",L70="",C70&lt;=0,D70&lt;=0,E70&lt;=L70),"",ROUNDDOWN((C70*D70)/(E70-L70)/100,0)*100)</f>
        <v/>
      </c>
      <c r="G70" s="6"/>
      <c r="H70" s="3"/>
      <c r="I70" s="3"/>
      <c r="J70" s="5" t="str">
        <f aca="false">IF(I70="","",F70)</f>
        <v/>
      </c>
      <c r="K70" s="6"/>
      <c r="L70" s="3"/>
      <c r="M70" s="3"/>
      <c r="N70" s="3"/>
      <c r="O70" s="7"/>
      <c r="P70" s="7"/>
      <c r="Q70" s="7"/>
      <c r="R70" s="7"/>
      <c r="S70" s="8" t="str">
        <f aca="false">IF(OR(E70="",H70="",E70&lt;=0),"",(H70-E70)/E70)</f>
        <v/>
      </c>
      <c r="T70" s="8" t="str">
        <f aca="false">IF(OR(E70="",L70="",E70&lt;=0),"",(E70-L70)/E70)</f>
        <v/>
      </c>
      <c r="U70" s="9" t="str">
        <f aca="false">IF(OR(S70="",T70="",T70&lt;=0),"",S70/T70)</f>
        <v/>
      </c>
      <c r="V70" s="10" t="str">
        <f aca="false">IF(OR(I70="",J70="",E70="",F70=""),"",I70*J70-E70*F70-IF(M70="",0,M70)-IF(N70="",0,N70))</f>
        <v/>
      </c>
      <c r="W70" s="8" t="str">
        <f aca="false">IF(OR(V70="",E70="",F70=""),"",IF(E70*F70+IF(M70="",0,M70)&lt;=0,"",V70/(E70*F70+IF(M70="",0,M70))))</f>
        <v/>
      </c>
      <c r="X70" s="8" t="str">
        <f aca="false">IF(OR(W70="",多次统计数据!$B$8=""),"",W70-多次统计数据!$B$8)</f>
        <v/>
      </c>
      <c r="Y70" s="11" t="str">
        <f aca="false">IF(OR(G70="",K70="",K70&lt;G70),"",K70-G70)</f>
        <v/>
      </c>
      <c r="Z70" s="8" t="str">
        <f aca="false">IF(OR(A70="",多次统计数据!$B$8="",多次统计数据!$B$6&lt;=0,多次统计数据!$B$6&gt;=1),"",1-POWER(1+多次统计数据!$B$8,-多次统计数据!$B$6/(1-多次统计数据!$B$6)))</f>
        <v/>
      </c>
      <c r="AA70" s="12" t="str">
        <f aca="false">IF(OR(Z70="",多次统计数据!$B$9=""),"",IF(多次统计数据!$B$9&lt;Z70,"低于上限","达到或超过上限"))</f>
        <v/>
      </c>
      <c r="AB70" s="2"/>
    </row>
    <row r="71" customFormat="false" ht="15" hidden="false" customHeight="false" outlineLevel="0" collapsed="false">
      <c r="A71" s="7"/>
      <c r="B71" s="7"/>
      <c r="C71" s="3"/>
      <c r="D71" s="4"/>
      <c r="E71" s="3"/>
      <c r="F71" s="5" t="str">
        <f aca="false">IF(OR(C71="",D71="",E71="",L71="",C71&lt;=0,D71&lt;=0,E71&lt;=L71),"",ROUNDDOWN((C71*D71)/(E71-L71)/100,0)*100)</f>
        <v/>
      </c>
      <c r="G71" s="6"/>
      <c r="H71" s="3"/>
      <c r="I71" s="3"/>
      <c r="J71" s="5" t="str">
        <f aca="false">IF(I71="","",F71)</f>
        <v/>
      </c>
      <c r="K71" s="6"/>
      <c r="L71" s="3"/>
      <c r="M71" s="3"/>
      <c r="N71" s="3"/>
      <c r="O71" s="7"/>
      <c r="P71" s="7"/>
      <c r="Q71" s="7"/>
      <c r="R71" s="7"/>
      <c r="S71" s="8" t="str">
        <f aca="false">IF(OR(E71="",H71="",E71&lt;=0),"",(H71-E71)/E71)</f>
        <v/>
      </c>
      <c r="T71" s="8" t="str">
        <f aca="false">IF(OR(E71="",L71="",E71&lt;=0),"",(E71-L71)/E71)</f>
        <v/>
      </c>
      <c r="U71" s="9" t="str">
        <f aca="false">IF(OR(S71="",T71="",T71&lt;=0),"",S71/T71)</f>
        <v/>
      </c>
      <c r="V71" s="10" t="str">
        <f aca="false">IF(OR(I71="",J71="",E71="",F71=""),"",I71*J71-E71*F71-IF(M71="",0,M71)-IF(N71="",0,N71))</f>
        <v/>
      </c>
      <c r="W71" s="8" t="str">
        <f aca="false">IF(OR(V71="",E71="",F71=""),"",IF(E71*F71+IF(M71="",0,M71)&lt;=0,"",V71/(E71*F71+IF(M71="",0,M71))))</f>
        <v/>
      </c>
      <c r="X71" s="8" t="str">
        <f aca="false">IF(OR(W71="",多次统计数据!$B$8=""),"",W71-多次统计数据!$B$8)</f>
        <v/>
      </c>
      <c r="Y71" s="11" t="str">
        <f aca="false">IF(OR(G71="",K71="",K71&lt;G71),"",K71-G71)</f>
        <v/>
      </c>
      <c r="Z71" s="8" t="str">
        <f aca="false">IF(OR(A71="",多次统计数据!$B$8="",多次统计数据!$B$6&lt;=0,多次统计数据!$B$6&gt;=1),"",1-POWER(1+多次统计数据!$B$8,-多次统计数据!$B$6/(1-多次统计数据!$B$6)))</f>
        <v/>
      </c>
      <c r="AA71" s="12" t="str">
        <f aca="false">IF(OR(Z71="",多次统计数据!$B$9=""),"",IF(多次统计数据!$B$9&lt;Z71,"低于上限","达到或超过上限"))</f>
        <v/>
      </c>
      <c r="AB71" s="2"/>
    </row>
    <row r="72" customFormat="false" ht="15" hidden="false" customHeight="false" outlineLevel="0" collapsed="false">
      <c r="A72" s="7"/>
      <c r="B72" s="7"/>
      <c r="C72" s="3"/>
      <c r="D72" s="4"/>
      <c r="E72" s="3"/>
      <c r="F72" s="5" t="str">
        <f aca="false">IF(OR(C72="",D72="",E72="",L72="",C72&lt;=0,D72&lt;=0,E72&lt;=L72),"",ROUNDDOWN((C72*D72)/(E72-L72)/100,0)*100)</f>
        <v/>
      </c>
      <c r="G72" s="6"/>
      <c r="H72" s="3"/>
      <c r="I72" s="3"/>
      <c r="J72" s="5" t="str">
        <f aca="false">IF(I72="","",F72)</f>
        <v/>
      </c>
      <c r="K72" s="6"/>
      <c r="L72" s="3"/>
      <c r="M72" s="3"/>
      <c r="N72" s="3"/>
      <c r="O72" s="7"/>
      <c r="P72" s="7"/>
      <c r="Q72" s="7"/>
      <c r="R72" s="7"/>
      <c r="S72" s="8" t="str">
        <f aca="false">IF(OR(E72="",H72="",E72&lt;=0),"",(H72-E72)/E72)</f>
        <v/>
      </c>
      <c r="T72" s="8" t="str">
        <f aca="false">IF(OR(E72="",L72="",E72&lt;=0),"",(E72-L72)/E72)</f>
        <v/>
      </c>
      <c r="U72" s="9" t="str">
        <f aca="false">IF(OR(S72="",T72="",T72&lt;=0),"",S72/T72)</f>
        <v/>
      </c>
      <c r="V72" s="10" t="str">
        <f aca="false">IF(OR(I72="",J72="",E72="",F72=""),"",I72*J72-E72*F72-IF(M72="",0,M72)-IF(N72="",0,N72))</f>
        <v/>
      </c>
      <c r="W72" s="8" t="str">
        <f aca="false">IF(OR(V72="",E72="",F72=""),"",IF(E72*F72+IF(M72="",0,M72)&lt;=0,"",V72/(E72*F72+IF(M72="",0,M72))))</f>
        <v/>
      </c>
      <c r="X72" s="8" t="str">
        <f aca="false">IF(OR(W72="",多次统计数据!$B$8=""),"",W72-多次统计数据!$B$8)</f>
        <v/>
      </c>
      <c r="Y72" s="11" t="str">
        <f aca="false">IF(OR(G72="",K72="",K72&lt;G72),"",K72-G72)</f>
        <v/>
      </c>
      <c r="Z72" s="8" t="str">
        <f aca="false">IF(OR(A72="",多次统计数据!$B$8="",多次统计数据!$B$6&lt;=0,多次统计数据!$B$6&gt;=1),"",1-POWER(1+多次统计数据!$B$8,-多次统计数据!$B$6/(1-多次统计数据!$B$6)))</f>
        <v/>
      </c>
      <c r="AA72" s="12" t="str">
        <f aca="false">IF(OR(Z72="",多次统计数据!$B$9=""),"",IF(多次统计数据!$B$9&lt;Z72,"低于上限","达到或超过上限"))</f>
        <v/>
      </c>
      <c r="AB72" s="2"/>
    </row>
    <row r="73" customFormat="false" ht="15" hidden="false" customHeight="false" outlineLevel="0" collapsed="false">
      <c r="A73" s="7"/>
      <c r="B73" s="7"/>
      <c r="C73" s="3"/>
      <c r="D73" s="4"/>
      <c r="E73" s="3"/>
      <c r="F73" s="5" t="str">
        <f aca="false">IF(OR(C73="",D73="",E73="",L73="",C73&lt;=0,D73&lt;=0,E73&lt;=L73),"",ROUNDDOWN((C73*D73)/(E73-L73)/100,0)*100)</f>
        <v/>
      </c>
      <c r="G73" s="6"/>
      <c r="H73" s="3"/>
      <c r="I73" s="3"/>
      <c r="J73" s="5" t="str">
        <f aca="false">IF(I73="","",F73)</f>
        <v/>
      </c>
      <c r="K73" s="6"/>
      <c r="L73" s="3"/>
      <c r="M73" s="3"/>
      <c r="N73" s="3"/>
      <c r="O73" s="7"/>
      <c r="P73" s="7"/>
      <c r="Q73" s="7"/>
      <c r="R73" s="7"/>
      <c r="S73" s="8" t="str">
        <f aca="false">IF(OR(E73="",H73="",E73&lt;=0),"",(H73-E73)/E73)</f>
        <v/>
      </c>
      <c r="T73" s="8" t="str">
        <f aca="false">IF(OR(E73="",L73="",E73&lt;=0),"",(E73-L73)/E73)</f>
        <v/>
      </c>
      <c r="U73" s="9" t="str">
        <f aca="false">IF(OR(S73="",T73="",T73&lt;=0),"",S73/T73)</f>
        <v/>
      </c>
      <c r="V73" s="10" t="str">
        <f aca="false">IF(OR(I73="",J73="",E73="",F73=""),"",I73*J73-E73*F73-IF(M73="",0,M73)-IF(N73="",0,N73))</f>
        <v/>
      </c>
      <c r="W73" s="8" t="str">
        <f aca="false">IF(OR(V73="",E73="",F73=""),"",IF(E73*F73+IF(M73="",0,M73)&lt;=0,"",V73/(E73*F73+IF(M73="",0,M73))))</f>
        <v/>
      </c>
      <c r="X73" s="8" t="str">
        <f aca="false">IF(OR(W73="",多次统计数据!$B$8=""),"",W73-多次统计数据!$B$8)</f>
        <v/>
      </c>
      <c r="Y73" s="11" t="str">
        <f aca="false">IF(OR(G73="",K73="",K73&lt;G73),"",K73-G73)</f>
        <v/>
      </c>
      <c r="Z73" s="8" t="str">
        <f aca="false">IF(OR(A73="",多次统计数据!$B$8="",多次统计数据!$B$6&lt;=0,多次统计数据!$B$6&gt;=1),"",1-POWER(1+多次统计数据!$B$8,-多次统计数据!$B$6/(1-多次统计数据!$B$6)))</f>
        <v/>
      </c>
      <c r="AA73" s="12" t="str">
        <f aca="false">IF(OR(Z73="",多次统计数据!$B$9=""),"",IF(多次统计数据!$B$9&lt;Z73,"低于上限","达到或超过上限"))</f>
        <v/>
      </c>
      <c r="AB73" s="2"/>
    </row>
    <row r="74" customFormat="false" ht="15" hidden="false" customHeight="false" outlineLevel="0" collapsed="false">
      <c r="A74" s="7"/>
      <c r="B74" s="7"/>
      <c r="C74" s="3"/>
      <c r="D74" s="4"/>
      <c r="E74" s="3"/>
      <c r="F74" s="5" t="str">
        <f aca="false">IF(OR(C74="",D74="",E74="",L74="",C74&lt;=0,D74&lt;=0,E74&lt;=L74),"",ROUNDDOWN((C74*D74)/(E74-L74)/100,0)*100)</f>
        <v/>
      </c>
      <c r="G74" s="6"/>
      <c r="H74" s="3"/>
      <c r="I74" s="3"/>
      <c r="J74" s="5" t="str">
        <f aca="false">IF(I74="","",F74)</f>
        <v/>
      </c>
      <c r="K74" s="6"/>
      <c r="L74" s="3"/>
      <c r="M74" s="3"/>
      <c r="N74" s="3"/>
      <c r="O74" s="7"/>
      <c r="P74" s="7"/>
      <c r="Q74" s="7"/>
      <c r="R74" s="7"/>
      <c r="S74" s="8" t="str">
        <f aca="false">IF(OR(E74="",H74="",E74&lt;=0),"",(H74-E74)/E74)</f>
        <v/>
      </c>
      <c r="T74" s="8" t="str">
        <f aca="false">IF(OR(E74="",L74="",E74&lt;=0),"",(E74-L74)/E74)</f>
        <v/>
      </c>
      <c r="U74" s="9" t="str">
        <f aca="false">IF(OR(S74="",T74="",T74&lt;=0),"",S74/T74)</f>
        <v/>
      </c>
      <c r="V74" s="10" t="str">
        <f aca="false">IF(OR(I74="",J74="",E74="",F74=""),"",I74*J74-E74*F74-IF(M74="",0,M74)-IF(N74="",0,N74))</f>
        <v/>
      </c>
      <c r="W74" s="8" t="str">
        <f aca="false">IF(OR(V74="",E74="",F74=""),"",IF(E74*F74+IF(M74="",0,M74)&lt;=0,"",V74/(E74*F74+IF(M74="",0,M74))))</f>
        <v/>
      </c>
      <c r="X74" s="8" t="str">
        <f aca="false">IF(OR(W74="",多次统计数据!$B$8=""),"",W74-多次统计数据!$B$8)</f>
        <v/>
      </c>
      <c r="Y74" s="11" t="str">
        <f aca="false">IF(OR(G74="",K74="",K74&lt;G74),"",K74-G74)</f>
        <v/>
      </c>
      <c r="Z74" s="8" t="str">
        <f aca="false">IF(OR(A74="",多次统计数据!$B$8="",多次统计数据!$B$6&lt;=0,多次统计数据!$B$6&gt;=1),"",1-POWER(1+多次统计数据!$B$8,-多次统计数据!$B$6/(1-多次统计数据!$B$6)))</f>
        <v/>
      </c>
      <c r="AA74" s="12" t="str">
        <f aca="false">IF(OR(Z74="",多次统计数据!$B$9=""),"",IF(多次统计数据!$B$9&lt;Z74,"低于上限","达到或超过上限"))</f>
        <v/>
      </c>
      <c r="AB74" s="2"/>
    </row>
    <row r="75" customFormat="false" ht="15" hidden="false" customHeight="false" outlineLevel="0" collapsed="false">
      <c r="A75" s="7"/>
      <c r="B75" s="7"/>
      <c r="C75" s="3"/>
      <c r="D75" s="4"/>
      <c r="E75" s="3"/>
      <c r="F75" s="5" t="str">
        <f aca="false">IF(OR(C75="",D75="",E75="",L75="",C75&lt;=0,D75&lt;=0,E75&lt;=L75),"",ROUNDDOWN((C75*D75)/(E75-L75)/100,0)*100)</f>
        <v/>
      </c>
      <c r="G75" s="6"/>
      <c r="H75" s="3"/>
      <c r="I75" s="3"/>
      <c r="J75" s="5" t="str">
        <f aca="false">IF(I75="","",F75)</f>
        <v/>
      </c>
      <c r="K75" s="6"/>
      <c r="L75" s="3"/>
      <c r="M75" s="3"/>
      <c r="N75" s="3"/>
      <c r="O75" s="7"/>
      <c r="P75" s="7"/>
      <c r="Q75" s="7"/>
      <c r="R75" s="7"/>
      <c r="S75" s="8" t="str">
        <f aca="false">IF(OR(E75="",H75="",E75&lt;=0),"",(H75-E75)/E75)</f>
        <v/>
      </c>
      <c r="T75" s="8" t="str">
        <f aca="false">IF(OR(E75="",L75="",E75&lt;=0),"",(E75-L75)/E75)</f>
        <v/>
      </c>
      <c r="U75" s="9" t="str">
        <f aca="false">IF(OR(S75="",T75="",T75&lt;=0),"",S75/T75)</f>
        <v/>
      </c>
      <c r="V75" s="10" t="str">
        <f aca="false">IF(OR(I75="",J75="",E75="",F75=""),"",I75*J75-E75*F75-IF(M75="",0,M75)-IF(N75="",0,N75))</f>
        <v/>
      </c>
      <c r="W75" s="8" t="str">
        <f aca="false">IF(OR(V75="",E75="",F75=""),"",IF(E75*F75+IF(M75="",0,M75)&lt;=0,"",V75/(E75*F75+IF(M75="",0,M75))))</f>
        <v/>
      </c>
      <c r="X75" s="8" t="str">
        <f aca="false">IF(OR(W75="",多次统计数据!$B$8=""),"",W75-多次统计数据!$B$8)</f>
        <v/>
      </c>
      <c r="Y75" s="11" t="str">
        <f aca="false">IF(OR(G75="",K75="",K75&lt;G75),"",K75-G75)</f>
        <v/>
      </c>
      <c r="Z75" s="8" t="str">
        <f aca="false">IF(OR(A75="",多次统计数据!$B$8="",多次统计数据!$B$6&lt;=0,多次统计数据!$B$6&gt;=1),"",1-POWER(1+多次统计数据!$B$8,-多次统计数据!$B$6/(1-多次统计数据!$B$6)))</f>
        <v/>
      </c>
      <c r="AA75" s="12" t="str">
        <f aca="false">IF(OR(Z75="",多次统计数据!$B$9=""),"",IF(多次统计数据!$B$9&lt;Z75,"低于上限","达到或超过上限"))</f>
        <v/>
      </c>
      <c r="AB75" s="2"/>
    </row>
    <row r="76" customFormat="false" ht="15" hidden="false" customHeight="false" outlineLevel="0" collapsed="false">
      <c r="A76" s="7"/>
      <c r="B76" s="7"/>
      <c r="C76" s="3"/>
      <c r="D76" s="4"/>
      <c r="E76" s="3"/>
      <c r="F76" s="5" t="str">
        <f aca="false">IF(OR(C76="",D76="",E76="",L76="",C76&lt;=0,D76&lt;=0,E76&lt;=L76),"",ROUNDDOWN((C76*D76)/(E76-L76)/100,0)*100)</f>
        <v/>
      </c>
      <c r="G76" s="6"/>
      <c r="H76" s="3"/>
      <c r="I76" s="3"/>
      <c r="J76" s="5" t="str">
        <f aca="false">IF(I76="","",F76)</f>
        <v/>
      </c>
      <c r="K76" s="6"/>
      <c r="L76" s="3"/>
      <c r="M76" s="3"/>
      <c r="N76" s="3"/>
      <c r="O76" s="7"/>
      <c r="P76" s="7"/>
      <c r="Q76" s="7"/>
      <c r="R76" s="7"/>
      <c r="S76" s="8" t="str">
        <f aca="false">IF(OR(E76="",H76="",E76&lt;=0),"",(H76-E76)/E76)</f>
        <v/>
      </c>
      <c r="T76" s="8" t="str">
        <f aca="false">IF(OR(E76="",L76="",E76&lt;=0),"",(E76-L76)/E76)</f>
        <v/>
      </c>
      <c r="U76" s="9" t="str">
        <f aca="false">IF(OR(S76="",T76="",T76&lt;=0),"",S76/T76)</f>
        <v/>
      </c>
      <c r="V76" s="10" t="str">
        <f aca="false">IF(OR(I76="",J76="",E76="",F76=""),"",I76*J76-E76*F76-IF(M76="",0,M76)-IF(N76="",0,N76))</f>
        <v/>
      </c>
      <c r="W76" s="8" t="str">
        <f aca="false">IF(OR(V76="",E76="",F76=""),"",IF(E76*F76+IF(M76="",0,M76)&lt;=0,"",V76/(E76*F76+IF(M76="",0,M76))))</f>
        <v/>
      </c>
      <c r="X76" s="8" t="str">
        <f aca="false">IF(OR(W76="",多次统计数据!$B$8=""),"",W76-多次统计数据!$B$8)</f>
        <v/>
      </c>
      <c r="Y76" s="11" t="str">
        <f aca="false">IF(OR(G76="",K76="",K76&lt;G76),"",K76-G76)</f>
        <v/>
      </c>
      <c r="Z76" s="8" t="str">
        <f aca="false">IF(OR(A76="",多次统计数据!$B$8="",多次统计数据!$B$6&lt;=0,多次统计数据!$B$6&gt;=1),"",1-POWER(1+多次统计数据!$B$8,-多次统计数据!$B$6/(1-多次统计数据!$B$6)))</f>
        <v/>
      </c>
      <c r="AA76" s="12" t="str">
        <f aca="false">IF(OR(Z76="",多次统计数据!$B$9=""),"",IF(多次统计数据!$B$9&lt;Z76,"低于上限","达到或超过上限"))</f>
        <v/>
      </c>
      <c r="AB76" s="2"/>
    </row>
    <row r="77" customFormat="false" ht="15" hidden="false" customHeight="false" outlineLevel="0" collapsed="false">
      <c r="A77" s="7"/>
      <c r="B77" s="7"/>
      <c r="C77" s="3"/>
      <c r="D77" s="4"/>
      <c r="E77" s="3"/>
      <c r="F77" s="5" t="str">
        <f aca="false">IF(OR(C77="",D77="",E77="",L77="",C77&lt;=0,D77&lt;=0,E77&lt;=L77),"",ROUNDDOWN((C77*D77)/(E77-L77)/100,0)*100)</f>
        <v/>
      </c>
      <c r="G77" s="6"/>
      <c r="H77" s="3"/>
      <c r="I77" s="3"/>
      <c r="J77" s="5" t="str">
        <f aca="false">IF(I77="","",F77)</f>
        <v/>
      </c>
      <c r="K77" s="6"/>
      <c r="L77" s="3"/>
      <c r="M77" s="3"/>
      <c r="N77" s="3"/>
      <c r="O77" s="7"/>
      <c r="P77" s="7"/>
      <c r="Q77" s="7"/>
      <c r="R77" s="7"/>
      <c r="S77" s="8" t="str">
        <f aca="false">IF(OR(E77="",H77="",E77&lt;=0),"",(H77-E77)/E77)</f>
        <v/>
      </c>
      <c r="T77" s="8" t="str">
        <f aca="false">IF(OR(E77="",L77="",E77&lt;=0),"",(E77-L77)/E77)</f>
        <v/>
      </c>
      <c r="U77" s="9" t="str">
        <f aca="false">IF(OR(S77="",T77="",T77&lt;=0),"",S77/T77)</f>
        <v/>
      </c>
      <c r="V77" s="10" t="str">
        <f aca="false">IF(OR(I77="",J77="",E77="",F77=""),"",I77*J77-E77*F77-IF(M77="",0,M77)-IF(N77="",0,N77))</f>
        <v/>
      </c>
      <c r="W77" s="8" t="str">
        <f aca="false">IF(OR(V77="",E77="",F77=""),"",IF(E77*F77+IF(M77="",0,M77)&lt;=0,"",V77/(E77*F77+IF(M77="",0,M77))))</f>
        <v/>
      </c>
      <c r="X77" s="8" t="str">
        <f aca="false">IF(OR(W77="",多次统计数据!$B$8=""),"",W77-多次统计数据!$B$8)</f>
        <v/>
      </c>
      <c r="Y77" s="11" t="str">
        <f aca="false">IF(OR(G77="",K77="",K77&lt;G77),"",K77-G77)</f>
        <v/>
      </c>
      <c r="Z77" s="8" t="str">
        <f aca="false">IF(OR(A77="",多次统计数据!$B$8="",多次统计数据!$B$6&lt;=0,多次统计数据!$B$6&gt;=1),"",1-POWER(1+多次统计数据!$B$8,-多次统计数据!$B$6/(1-多次统计数据!$B$6)))</f>
        <v/>
      </c>
      <c r="AA77" s="12" t="str">
        <f aca="false">IF(OR(Z77="",多次统计数据!$B$9=""),"",IF(多次统计数据!$B$9&lt;Z77,"低于上限","达到或超过上限"))</f>
        <v/>
      </c>
      <c r="AB77" s="2"/>
    </row>
    <row r="78" customFormat="false" ht="15" hidden="false" customHeight="false" outlineLevel="0" collapsed="false">
      <c r="A78" s="7"/>
      <c r="B78" s="7"/>
      <c r="C78" s="3"/>
      <c r="D78" s="4"/>
      <c r="E78" s="3"/>
      <c r="F78" s="5" t="str">
        <f aca="false">IF(OR(C78="",D78="",E78="",L78="",C78&lt;=0,D78&lt;=0,E78&lt;=L78),"",ROUNDDOWN((C78*D78)/(E78-L78)/100,0)*100)</f>
        <v/>
      </c>
      <c r="G78" s="6"/>
      <c r="H78" s="3"/>
      <c r="I78" s="3"/>
      <c r="J78" s="5" t="str">
        <f aca="false">IF(I78="","",F78)</f>
        <v/>
      </c>
      <c r="K78" s="6"/>
      <c r="L78" s="3"/>
      <c r="M78" s="3"/>
      <c r="N78" s="3"/>
      <c r="O78" s="7"/>
      <c r="P78" s="7"/>
      <c r="Q78" s="7"/>
      <c r="R78" s="7"/>
      <c r="S78" s="8" t="str">
        <f aca="false">IF(OR(E78="",H78="",E78&lt;=0),"",(H78-E78)/E78)</f>
        <v/>
      </c>
      <c r="T78" s="8" t="str">
        <f aca="false">IF(OR(E78="",L78="",E78&lt;=0),"",(E78-L78)/E78)</f>
        <v/>
      </c>
      <c r="U78" s="9" t="str">
        <f aca="false">IF(OR(S78="",T78="",T78&lt;=0),"",S78/T78)</f>
        <v/>
      </c>
      <c r="V78" s="10" t="str">
        <f aca="false">IF(OR(I78="",J78="",E78="",F78=""),"",I78*J78-E78*F78-IF(M78="",0,M78)-IF(N78="",0,N78))</f>
        <v/>
      </c>
      <c r="W78" s="8" t="str">
        <f aca="false">IF(OR(V78="",E78="",F78=""),"",IF(E78*F78+IF(M78="",0,M78)&lt;=0,"",V78/(E78*F78+IF(M78="",0,M78))))</f>
        <v/>
      </c>
      <c r="X78" s="8" t="str">
        <f aca="false">IF(OR(W78="",多次统计数据!$B$8=""),"",W78-多次统计数据!$B$8)</f>
        <v/>
      </c>
      <c r="Y78" s="11" t="str">
        <f aca="false">IF(OR(G78="",K78="",K78&lt;G78),"",K78-G78)</f>
        <v/>
      </c>
      <c r="Z78" s="8" t="str">
        <f aca="false">IF(OR(A78="",多次统计数据!$B$8="",多次统计数据!$B$6&lt;=0,多次统计数据!$B$6&gt;=1),"",1-POWER(1+多次统计数据!$B$8,-多次统计数据!$B$6/(1-多次统计数据!$B$6)))</f>
        <v/>
      </c>
      <c r="AA78" s="12" t="str">
        <f aca="false">IF(OR(Z78="",多次统计数据!$B$9=""),"",IF(多次统计数据!$B$9&lt;Z78,"低于上限","达到或超过上限"))</f>
        <v/>
      </c>
      <c r="AB78" s="2"/>
    </row>
    <row r="79" customFormat="false" ht="15" hidden="false" customHeight="false" outlineLevel="0" collapsed="false">
      <c r="A79" s="7"/>
      <c r="B79" s="7"/>
      <c r="C79" s="3"/>
      <c r="D79" s="4"/>
      <c r="E79" s="3"/>
      <c r="F79" s="5" t="str">
        <f aca="false">IF(OR(C79="",D79="",E79="",L79="",C79&lt;=0,D79&lt;=0,E79&lt;=L79),"",ROUNDDOWN((C79*D79)/(E79-L79)/100,0)*100)</f>
        <v/>
      </c>
      <c r="G79" s="6"/>
      <c r="H79" s="3"/>
      <c r="I79" s="3"/>
      <c r="J79" s="5" t="str">
        <f aca="false">IF(I79="","",F79)</f>
        <v/>
      </c>
      <c r="K79" s="6"/>
      <c r="L79" s="3"/>
      <c r="M79" s="3"/>
      <c r="N79" s="3"/>
      <c r="O79" s="7"/>
      <c r="P79" s="7"/>
      <c r="Q79" s="7"/>
      <c r="R79" s="7"/>
      <c r="S79" s="8" t="str">
        <f aca="false">IF(OR(E79="",H79="",E79&lt;=0),"",(H79-E79)/E79)</f>
        <v/>
      </c>
      <c r="T79" s="8" t="str">
        <f aca="false">IF(OR(E79="",L79="",E79&lt;=0),"",(E79-L79)/E79)</f>
        <v/>
      </c>
      <c r="U79" s="9" t="str">
        <f aca="false">IF(OR(S79="",T79="",T79&lt;=0),"",S79/T79)</f>
        <v/>
      </c>
      <c r="V79" s="10" t="str">
        <f aca="false">IF(OR(I79="",J79="",E79="",F79=""),"",I79*J79-E79*F79-IF(M79="",0,M79)-IF(N79="",0,N79))</f>
        <v/>
      </c>
      <c r="W79" s="8" t="str">
        <f aca="false">IF(OR(V79="",E79="",F79=""),"",IF(E79*F79+IF(M79="",0,M79)&lt;=0,"",V79/(E79*F79+IF(M79="",0,M79))))</f>
        <v/>
      </c>
      <c r="X79" s="8" t="str">
        <f aca="false">IF(OR(W79="",多次统计数据!$B$8=""),"",W79-多次统计数据!$B$8)</f>
        <v/>
      </c>
      <c r="Y79" s="11" t="str">
        <f aca="false">IF(OR(G79="",K79="",K79&lt;G79),"",K79-G79)</f>
        <v/>
      </c>
      <c r="Z79" s="8" t="str">
        <f aca="false">IF(OR(A79="",多次统计数据!$B$8="",多次统计数据!$B$6&lt;=0,多次统计数据!$B$6&gt;=1),"",1-POWER(1+多次统计数据!$B$8,-多次统计数据!$B$6/(1-多次统计数据!$B$6)))</f>
        <v/>
      </c>
      <c r="AA79" s="12" t="str">
        <f aca="false">IF(OR(Z79="",多次统计数据!$B$9=""),"",IF(多次统计数据!$B$9&lt;Z79,"低于上限","达到或超过上限"))</f>
        <v/>
      </c>
      <c r="AB79" s="2"/>
    </row>
    <row r="80" customFormat="false" ht="15" hidden="false" customHeight="false" outlineLevel="0" collapsed="false">
      <c r="A80" s="7"/>
      <c r="B80" s="7"/>
      <c r="C80" s="3"/>
      <c r="D80" s="4"/>
      <c r="E80" s="3"/>
      <c r="F80" s="5" t="str">
        <f aca="false">IF(OR(C80="",D80="",E80="",L80="",C80&lt;=0,D80&lt;=0,E80&lt;=L80),"",ROUNDDOWN((C80*D80)/(E80-L80)/100,0)*100)</f>
        <v/>
      </c>
      <c r="G80" s="6"/>
      <c r="H80" s="3"/>
      <c r="I80" s="3"/>
      <c r="J80" s="5" t="str">
        <f aca="false">IF(I80="","",F80)</f>
        <v/>
      </c>
      <c r="K80" s="6"/>
      <c r="L80" s="3"/>
      <c r="M80" s="3"/>
      <c r="N80" s="3"/>
      <c r="O80" s="7"/>
      <c r="P80" s="7"/>
      <c r="Q80" s="7"/>
      <c r="R80" s="7"/>
      <c r="S80" s="8" t="str">
        <f aca="false">IF(OR(E80="",H80="",E80&lt;=0),"",(H80-E80)/E80)</f>
        <v/>
      </c>
      <c r="T80" s="8" t="str">
        <f aca="false">IF(OR(E80="",L80="",E80&lt;=0),"",(E80-L80)/E80)</f>
        <v/>
      </c>
      <c r="U80" s="9" t="str">
        <f aca="false">IF(OR(S80="",T80="",T80&lt;=0),"",S80/T80)</f>
        <v/>
      </c>
      <c r="V80" s="10" t="str">
        <f aca="false">IF(OR(I80="",J80="",E80="",F80=""),"",I80*J80-E80*F80-IF(M80="",0,M80)-IF(N80="",0,N80))</f>
        <v/>
      </c>
      <c r="W80" s="8" t="str">
        <f aca="false">IF(OR(V80="",E80="",F80=""),"",IF(E80*F80+IF(M80="",0,M80)&lt;=0,"",V80/(E80*F80+IF(M80="",0,M80))))</f>
        <v/>
      </c>
      <c r="X80" s="8" t="str">
        <f aca="false">IF(OR(W80="",多次统计数据!$B$8=""),"",W80-多次统计数据!$B$8)</f>
        <v/>
      </c>
      <c r="Y80" s="11" t="str">
        <f aca="false">IF(OR(G80="",K80="",K80&lt;G80),"",K80-G80)</f>
        <v/>
      </c>
      <c r="Z80" s="8" t="str">
        <f aca="false">IF(OR(A80="",多次统计数据!$B$8="",多次统计数据!$B$6&lt;=0,多次统计数据!$B$6&gt;=1),"",1-POWER(1+多次统计数据!$B$8,-多次统计数据!$B$6/(1-多次统计数据!$B$6)))</f>
        <v/>
      </c>
      <c r="AA80" s="12" t="str">
        <f aca="false">IF(OR(Z80="",多次统计数据!$B$9=""),"",IF(多次统计数据!$B$9&lt;Z80,"低于上限","达到或超过上限"))</f>
        <v/>
      </c>
      <c r="AB80" s="2"/>
    </row>
    <row r="81" customFormat="false" ht="15" hidden="false" customHeight="false" outlineLevel="0" collapsed="false">
      <c r="A81" s="7"/>
      <c r="B81" s="7"/>
      <c r="C81" s="3"/>
      <c r="D81" s="4"/>
      <c r="E81" s="3"/>
      <c r="F81" s="5" t="str">
        <f aca="false">IF(OR(C81="",D81="",E81="",L81="",C81&lt;=0,D81&lt;=0,E81&lt;=L81),"",ROUNDDOWN((C81*D81)/(E81-L81)/100,0)*100)</f>
        <v/>
      </c>
      <c r="G81" s="6"/>
      <c r="H81" s="3"/>
      <c r="I81" s="3"/>
      <c r="J81" s="5" t="str">
        <f aca="false">IF(I81="","",F81)</f>
        <v/>
      </c>
      <c r="K81" s="6"/>
      <c r="L81" s="3"/>
      <c r="M81" s="3"/>
      <c r="N81" s="3"/>
      <c r="O81" s="7"/>
      <c r="P81" s="7"/>
      <c r="Q81" s="7"/>
      <c r="R81" s="7"/>
      <c r="S81" s="8" t="str">
        <f aca="false">IF(OR(E81="",H81="",E81&lt;=0),"",(H81-E81)/E81)</f>
        <v/>
      </c>
      <c r="T81" s="8" t="str">
        <f aca="false">IF(OR(E81="",L81="",E81&lt;=0),"",(E81-L81)/E81)</f>
        <v/>
      </c>
      <c r="U81" s="9" t="str">
        <f aca="false">IF(OR(S81="",T81="",T81&lt;=0),"",S81/T81)</f>
        <v/>
      </c>
      <c r="V81" s="10" t="str">
        <f aca="false">IF(OR(I81="",J81="",E81="",F81=""),"",I81*J81-E81*F81-IF(M81="",0,M81)-IF(N81="",0,N81))</f>
        <v/>
      </c>
      <c r="W81" s="8" t="str">
        <f aca="false">IF(OR(V81="",E81="",F81=""),"",IF(E81*F81+IF(M81="",0,M81)&lt;=0,"",V81/(E81*F81+IF(M81="",0,M81))))</f>
        <v/>
      </c>
      <c r="X81" s="8" t="str">
        <f aca="false">IF(OR(W81="",多次统计数据!$B$8=""),"",W81-多次统计数据!$B$8)</f>
        <v/>
      </c>
      <c r="Y81" s="11" t="str">
        <f aca="false">IF(OR(G81="",K81="",K81&lt;G81),"",K81-G81)</f>
        <v/>
      </c>
      <c r="Z81" s="8" t="str">
        <f aca="false">IF(OR(A81="",多次统计数据!$B$8="",多次统计数据!$B$6&lt;=0,多次统计数据!$B$6&gt;=1),"",1-POWER(1+多次统计数据!$B$8,-多次统计数据!$B$6/(1-多次统计数据!$B$6)))</f>
        <v/>
      </c>
      <c r="AA81" s="12" t="str">
        <f aca="false">IF(OR(Z81="",多次统计数据!$B$9=""),"",IF(多次统计数据!$B$9&lt;Z81,"低于上限","达到或超过上限"))</f>
        <v/>
      </c>
      <c r="AB81" s="2"/>
    </row>
    <row r="82" customFormat="false" ht="15" hidden="false" customHeight="false" outlineLevel="0" collapsed="false">
      <c r="A82" s="7"/>
      <c r="B82" s="7"/>
      <c r="C82" s="3"/>
      <c r="D82" s="4"/>
      <c r="E82" s="3"/>
      <c r="F82" s="5" t="str">
        <f aca="false">IF(OR(C82="",D82="",E82="",L82="",C82&lt;=0,D82&lt;=0,E82&lt;=L82),"",ROUNDDOWN((C82*D82)/(E82-L82)/100,0)*100)</f>
        <v/>
      </c>
      <c r="G82" s="6"/>
      <c r="H82" s="3"/>
      <c r="I82" s="3"/>
      <c r="J82" s="5" t="str">
        <f aca="false">IF(I82="","",F82)</f>
        <v/>
      </c>
      <c r="K82" s="6"/>
      <c r="L82" s="3"/>
      <c r="M82" s="3"/>
      <c r="N82" s="3"/>
      <c r="O82" s="7"/>
      <c r="P82" s="7"/>
      <c r="Q82" s="7"/>
      <c r="R82" s="7"/>
      <c r="S82" s="8" t="str">
        <f aca="false">IF(OR(E82="",H82="",E82&lt;=0),"",(H82-E82)/E82)</f>
        <v/>
      </c>
      <c r="T82" s="8" t="str">
        <f aca="false">IF(OR(E82="",L82="",E82&lt;=0),"",(E82-L82)/E82)</f>
        <v/>
      </c>
      <c r="U82" s="9" t="str">
        <f aca="false">IF(OR(S82="",T82="",T82&lt;=0),"",S82/T82)</f>
        <v/>
      </c>
      <c r="V82" s="10" t="str">
        <f aca="false">IF(OR(I82="",J82="",E82="",F82=""),"",I82*J82-E82*F82-IF(M82="",0,M82)-IF(N82="",0,N82))</f>
        <v/>
      </c>
      <c r="W82" s="8" t="str">
        <f aca="false">IF(OR(V82="",E82="",F82=""),"",IF(E82*F82+IF(M82="",0,M82)&lt;=0,"",V82/(E82*F82+IF(M82="",0,M82))))</f>
        <v/>
      </c>
      <c r="X82" s="8" t="str">
        <f aca="false">IF(OR(W82="",多次统计数据!$B$8=""),"",W82-多次统计数据!$B$8)</f>
        <v/>
      </c>
      <c r="Y82" s="11" t="str">
        <f aca="false">IF(OR(G82="",K82="",K82&lt;G82),"",K82-G82)</f>
        <v/>
      </c>
      <c r="Z82" s="8" t="str">
        <f aca="false">IF(OR(A82="",多次统计数据!$B$8="",多次统计数据!$B$6&lt;=0,多次统计数据!$B$6&gt;=1),"",1-POWER(1+多次统计数据!$B$8,-多次统计数据!$B$6/(1-多次统计数据!$B$6)))</f>
        <v/>
      </c>
      <c r="AA82" s="12" t="str">
        <f aca="false">IF(OR(Z82="",多次统计数据!$B$9=""),"",IF(多次统计数据!$B$9&lt;Z82,"低于上限","达到或超过上限"))</f>
        <v/>
      </c>
      <c r="AB82" s="2"/>
    </row>
    <row r="83" customFormat="false" ht="15" hidden="false" customHeight="false" outlineLevel="0" collapsed="false">
      <c r="A83" s="7"/>
      <c r="B83" s="7"/>
      <c r="C83" s="3"/>
      <c r="D83" s="4"/>
      <c r="E83" s="3"/>
      <c r="F83" s="5" t="str">
        <f aca="false">IF(OR(C83="",D83="",E83="",L83="",C83&lt;=0,D83&lt;=0,E83&lt;=L83),"",ROUNDDOWN((C83*D83)/(E83-L83)/100,0)*100)</f>
        <v/>
      </c>
      <c r="G83" s="6"/>
      <c r="H83" s="3"/>
      <c r="I83" s="3"/>
      <c r="J83" s="5" t="str">
        <f aca="false">IF(I83="","",F83)</f>
        <v/>
      </c>
      <c r="K83" s="6"/>
      <c r="L83" s="3"/>
      <c r="M83" s="3"/>
      <c r="N83" s="3"/>
      <c r="O83" s="7"/>
      <c r="P83" s="7"/>
      <c r="Q83" s="7"/>
      <c r="R83" s="7"/>
      <c r="S83" s="8" t="str">
        <f aca="false">IF(OR(E83="",H83="",E83&lt;=0),"",(H83-E83)/E83)</f>
        <v/>
      </c>
      <c r="T83" s="8" t="str">
        <f aca="false">IF(OR(E83="",L83="",E83&lt;=0),"",(E83-L83)/E83)</f>
        <v/>
      </c>
      <c r="U83" s="9" t="str">
        <f aca="false">IF(OR(S83="",T83="",T83&lt;=0),"",S83/T83)</f>
        <v/>
      </c>
      <c r="V83" s="10" t="str">
        <f aca="false">IF(OR(I83="",J83="",E83="",F83=""),"",I83*J83-E83*F83-IF(M83="",0,M83)-IF(N83="",0,N83))</f>
        <v/>
      </c>
      <c r="W83" s="8" t="str">
        <f aca="false">IF(OR(V83="",E83="",F83=""),"",IF(E83*F83+IF(M83="",0,M83)&lt;=0,"",V83/(E83*F83+IF(M83="",0,M83))))</f>
        <v/>
      </c>
      <c r="X83" s="8" t="str">
        <f aca="false">IF(OR(W83="",多次统计数据!$B$8=""),"",W83-多次统计数据!$B$8)</f>
        <v/>
      </c>
      <c r="Y83" s="11" t="str">
        <f aca="false">IF(OR(G83="",K83="",K83&lt;G83),"",K83-G83)</f>
        <v/>
      </c>
      <c r="Z83" s="8" t="str">
        <f aca="false">IF(OR(A83="",多次统计数据!$B$8="",多次统计数据!$B$6&lt;=0,多次统计数据!$B$6&gt;=1),"",1-POWER(1+多次统计数据!$B$8,-多次统计数据!$B$6/(1-多次统计数据!$B$6)))</f>
        <v/>
      </c>
      <c r="AA83" s="12" t="str">
        <f aca="false">IF(OR(Z83="",多次统计数据!$B$9=""),"",IF(多次统计数据!$B$9&lt;Z83,"低于上限","达到或超过上限"))</f>
        <v/>
      </c>
      <c r="AB83" s="2"/>
    </row>
    <row r="84" customFormat="false" ht="15" hidden="false" customHeight="false" outlineLevel="0" collapsed="false">
      <c r="A84" s="7"/>
      <c r="B84" s="7"/>
      <c r="C84" s="3"/>
      <c r="D84" s="4"/>
      <c r="E84" s="3"/>
      <c r="F84" s="5" t="str">
        <f aca="false">IF(OR(C84="",D84="",E84="",L84="",C84&lt;=0,D84&lt;=0,E84&lt;=L84),"",ROUNDDOWN((C84*D84)/(E84-L84)/100,0)*100)</f>
        <v/>
      </c>
      <c r="G84" s="6"/>
      <c r="H84" s="3"/>
      <c r="I84" s="3"/>
      <c r="J84" s="5" t="str">
        <f aca="false">IF(I84="","",F84)</f>
        <v/>
      </c>
      <c r="K84" s="6"/>
      <c r="L84" s="3"/>
      <c r="M84" s="3"/>
      <c r="N84" s="3"/>
      <c r="O84" s="7"/>
      <c r="P84" s="7"/>
      <c r="Q84" s="7"/>
      <c r="R84" s="7"/>
      <c r="S84" s="8" t="str">
        <f aca="false">IF(OR(E84="",H84="",E84&lt;=0),"",(H84-E84)/E84)</f>
        <v/>
      </c>
      <c r="T84" s="8" t="str">
        <f aca="false">IF(OR(E84="",L84="",E84&lt;=0),"",(E84-L84)/E84)</f>
        <v/>
      </c>
      <c r="U84" s="9" t="str">
        <f aca="false">IF(OR(S84="",T84="",T84&lt;=0),"",S84/T84)</f>
        <v/>
      </c>
      <c r="V84" s="10" t="str">
        <f aca="false">IF(OR(I84="",J84="",E84="",F84=""),"",I84*J84-E84*F84-IF(M84="",0,M84)-IF(N84="",0,N84))</f>
        <v/>
      </c>
      <c r="W84" s="8" t="str">
        <f aca="false">IF(OR(V84="",E84="",F84=""),"",IF(E84*F84+IF(M84="",0,M84)&lt;=0,"",V84/(E84*F84+IF(M84="",0,M84))))</f>
        <v/>
      </c>
      <c r="X84" s="8" t="str">
        <f aca="false">IF(OR(W84="",多次统计数据!$B$8=""),"",W84-多次统计数据!$B$8)</f>
        <v/>
      </c>
      <c r="Y84" s="11" t="str">
        <f aca="false">IF(OR(G84="",K84="",K84&lt;G84),"",K84-G84)</f>
        <v/>
      </c>
      <c r="Z84" s="8" t="str">
        <f aca="false">IF(OR(A84="",多次统计数据!$B$8="",多次统计数据!$B$6&lt;=0,多次统计数据!$B$6&gt;=1),"",1-POWER(1+多次统计数据!$B$8,-多次统计数据!$B$6/(1-多次统计数据!$B$6)))</f>
        <v/>
      </c>
      <c r="AA84" s="12" t="str">
        <f aca="false">IF(OR(Z84="",多次统计数据!$B$9=""),"",IF(多次统计数据!$B$9&lt;Z84,"低于上限","达到或超过上限"))</f>
        <v/>
      </c>
      <c r="AB84" s="2"/>
    </row>
    <row r="85" customFormat="false" ht="15" hidden="false" customHeight="false" outlineLevel="0" collapsed="false">
      <c r="A85" s="7"/>
      <c r="B85" s="7"/>
      <c r="C85" s="3"/>
      <c r="D85" s="4"/>
      <c r="E85" s="3"/>
      <c r="F85" s="5" t="str">
        <f aca="false">IF(OR(C85="",D85="",E85="",L85="",C85&lt;=0,D85&lt;=0,E85&lt;=L85),"",ROUNDDOWN((C85*D85)/(E85-L85)/100,0)*100)</f>
        <v/>
      </c>
      <c r="G85" s="6"/>
      <c r="H85" s="3"/>
      <c r="I85" s="3"/>
      <c r="J85" s="5" t="str">
        <f aca="false">IF(I85="","",F85)</f>
        <v/>
      </c>
      <c r="K85" s="6"/>
      <c r="L85" s="3"/>
      <c r="M85" s="3"/>
      <c r="N85" s="3"/>
      <c r="O85" s="7"/>
      <c r="P85" s="7"/>
      <c r="Q85" s="7"/>
      <c r="R85" s="7"/>
      <c r="S85" s="8" t="str">
        <f aca="false">IF(OR(E85="",H85="",E85&lt;=0),"",(H85-E85)/E85)</f>
        <v/>
      </c>
      <c r="T85" s="8" t="str">
        <f aca="false">IF(OR(E85="",L85="",E85&lt;=0),"",(E85-L85)/E85)</f>
        <v/>
      </c>
      <c r="U85" s="9" t="str">
        <f aca="false">IF(OR(S85="",T85="",T85&lt;=0),"",S85/T85)</f>
        <v/>
      </c>
      <c r="V85" s="10" t="str">
        <f aca="false">IF(OR(I85="",J85="",E85="",F85=""),"",I85*J85-E85*F85-IF(M85="",0,M85)-IF(N85="",0,N85))</f>
        <v/>
      </c>
      <c r="W85" s="8" t="str">
        <f aca="false">IF(OR(V85="",E85="",F85=""),"",IF(E85*F85+IF(M85="",0,M85)&lt;=0,"",V85/(E85*F85+IF(M85="",0,M85))))</f>
        <v/>
      </c>
      <c r="X85" s="8" t="str">
        <f aca="false">IF(OR(W85="",多次统计数据!$B$8=""),"",W85-多次统计数据!$B$8)</f>
        <v/>
      </c>
      <c r="Y85" s="11" t="str">
        <f aca="false">IF(OR(G85="",K85="",K85&lt;G85),"",K85-G85)</f>
        <v/>
      </c>
      <c r="Z85" s="8" t="str">
        <f aca="false">IF(OR(A85="",多次统计数据!$B$8="",多次统计数据!$B$6&lt;=0,多次统计数据!$B$6&gt;=1),"",1-POWER(1+多次统计数据!$B$8,-多次统计数据!$B$6/(1-多次统计数据!$B$6)))</f>
        <v/>
      </c>
      <c r="AA85" s="12" t="str">
        <f aca="false">IF(OR(Z85="",多次统计数据!$B$9=""),"",IF(多次统计数据!$B$9&lt;Z85,"低于上限","达到或超过上限"))</f>
        <v/>
      </c>
      <c r="AB85" s="2"/>
    </row>
    <row r="86" customFormat="false" ht="15" hidden="false" customHeight="false" outlineLevel="0" collapsed="false">
      <c r="A86" s="7"/>
      <c r="B86" s="7"/>
      <c r="C86" s="3"/>
      <c r="D86" s="4"/>
      <c r="E86" s="3"/>
      <c r="F86" s="5" t="str">
        <f aca="false">IF(OR(C86="",D86="",E86="",L86="",C86&lt;=0,D86&lt;=0,E86&lt;=L86),"",ROUNDDOWN((C86*D86)/(E86-L86)/100,0)*100)</f>
        <v/>
      </c>
      <c r="G86" s="6"/>
      <c r="H86" s="3"/>
      <c r="I86" s="3"/>
      <c r="J86" s="5" t="str">
        <f aca="false">IF(I86="","",F86)</f>
        <v/>
      </c>
      <c r="K86" s="6"/>
      <c r="L86" s="3"/>
      <c r="M86" s="3"/>
      <c r="N86" s="3"/>
      <c r="O86" s="7"/>
      <c r="P86" s="7"/>
      <c r="Q86" s="7"/>
      <c r="R86" s="7"/>
      <c r="S86" s="8" t="str">
        <f aca="false">IF(OR(E86="",H86="",E86&lt;=0),"",(H86-E86)/E86)</f>
        <v/>
      </c>
      <c r="T86" s="8" t="str">
        <f aca="false">IF(OR(E86="",L86="",E86&lt;=0),"",(E86-L86)/E86)</f>
        <v/>
      </c>
      <c r="U86" s="9" t="str">
        <f aca="false">IF(OR(S86="",T86="",T86&lt;=0),"",S86/T86)</f>
        <v/>
      </c>
      <c r="V86" s="10" t="str">
        <f aca="false">IF(OR(I86="",J86="",E86="",F86=""),"",I86*J86-E86*F86-IF(M86="",0,M86)-IF(N86="",0,N86))</f>
        <v/>
      </c>
      <c r="W86" s="8" t="str">
        <f aca="false">IF(OR(V86="",E86="",F86=""),"",IF(E86*F86+IF(M86="",0,M86)&lt;=0,"",V86/(E86*F86+IF(M86="",0,M86))))</f>
        <v/>
      </c>
      <c r="X86" s="8" t="str">
        <f aca="false">IF(OR(W86="",多次统计数据!$B$8=""),"",W86-多次统计数据!$B$8)</f>
        <v/>
      </c>
      <c r="Y86" s="11" t="str">
        <f aca="false">IF(OR(G86="",K86="",K86&lt;G86),"",K86-G86)</f>
        <v/>
      </c>
      <c r="Z86" s="8" t="str">
        <f aca="false">IF(OR(A86="",多次统计数据!$B$8="",多次统计数据!$B$6&lt;=0,多次统计数据!$B$6&gt;=1),"",1-POWER(1+多次统计数据!$B$8,-多次统计数据!$B$6/(1-多次统计数据!$B$6)))</f>
        <v/>
      </c>
      <c r="AA86" s="12" t="str">
        <f aca="false">IF(OR(Z86="",多次统计数据!$B$9=""),"",IF(多次统计数据!$B$9&lt;Z86,"低于上限","达到或超过上限"))</f>
        <v/>
      </c>
      <c r="AB86" s="2"/>
    </row>
    <row r="87" customFormat="false" ht="15" hidden="false" customHeight="false" outlineLevel="0" collapsed="false">
      <c r="A87" s="7"/>
      <c r="B87" s="7"/>
      <c r="C87" s="3"/>
      <c r="D87" s="4"/>
      <c r="E87" s="3"/>
      <c r="F87" s="5" t="str">
        <f aca="false">IF(OR(C87="",D87="",E87="",L87="",C87&lt;=0,D87&lt;=0,E87&lt;=L87),"",ROUNDDOWN((C87*D87)/(E87-L87)/100,0)*100)</f>
        <v/>
      </c>
      <c r="G87" s="6"/>
      <c r="H87" s="3"/>
      <c r="I87" s="3"/>
      <c r="J87" s="5" t="str">
        <f aca="false">IF(I87="","",F87)</f>
        <v/>
      </c>
      <c r="K87" s="6"/>
      <c r="L87" s="3"/>
      <c r="M87" s="3"/>
      <c r="N87" s="3"/>
      <c r="O87" s="7"/>
      <c r="P87" s="7"/>
      <c r="Q87" s="7"/>
      <c r="R87" s="7"/>
      <c r="S87" s="8" t="str">
        <f aca="false">IF(OR(E87="",H87="",E87&lt;=0),"",(H87-E87)/E87)</f>
        <v/>
      </c>
      <c r="T87" s="8" t="str">
        <f aca="false">IF(OR(E87="",L87="",E87&lt;=0),"",(E87-L87)/E87)</f>
        <v/>
      </c>
      <c r="U87" s="9" t="str">
        <f aca="false">IF(OR(S87="",T87="",T87&lt;=0),"",S87/T87)</f>
        <v/>
      </c>
      <c r="V87" s="10" t="str">
        <f aca="false">IF(OR(I87="",J87="",E87="",F87=""),"",I87*J87-E87*F87-IF(M87="",0,M87)-IF(N87="",0,N87))</f>
        <v/>
      </c>
      <c r="W87" s="8" t="str">
        <f aca="false">IF(OR(V87="",E87="",F87=""),"",IF(E87*F87+IF(M87="",0,M87)&lt;=0,"",V87/(E87*F87+IF(M87="",0,M87))))</f>
        <v/>
      </c>
      <c r="X87" s="8" t="str">
        <f aca="false">IF(OR(W87="",多次统计数据!$B$8=""),"",W87-多次统计数据!$B$8)</f>
        <v/>
      </c>
      <c r="Y87" s="11" t="str">
        <f aca="false">IF(OR(G87="",K87="",K87&lt;G87),"",K87-G87)</f>
        <v/>
      </c>
      <c r="Z87" s="8" t="str">
        <f aca="false">IF(OR(A87="",多次统计数据!$B$8="",多次统计数据!$B$6&lt;=0,多次统计数据!$B$6&gt;=1),"",1-POWER(1+多次统计数据!$B$8,-多次统计数据!$B$6/(1-多次统计数据!$B$6)))</f>
        <v/>
      </c>
      <c r="AA87" s="12" t="str">
        <f aca="false">IF(OR(Z87="",多次统计数据!$B$9=""),"",IF(多次统计数据!$B$9&lt;Z87,"低于上限","达到或超过上限"))</f>
        <v/>
      </c>
      <c r="AB87" s="2"/>
    </row>
    <row r="88" customFormat="false" ht="15" hidden="false" customHeight="false" outlineLevel="0" collapsed="false">
      <c r="A88" s="7"/>
      <c r="B88" s="7"/>
      <c r="C88" s="3"/>
      <c r="D88" s="4"/>
      <c r="E88" s="3"/>
      <c r="F88" s="5" t="str">
        <f aca="false">IF(OR(C88="",D88="",E88="",L88="",C88&lt;=0,D88&lt;=0,E88&lt;=L88),"",ROUNDDOWN((C88*D88)/(E88-L88)/100,0)*100)</f>
        <v/>
      </c>
      <c r="G88" s="6"/>
      <c r="H88" s="3"/>
      <c r="I88" s="3"/>
      <c r="J88" s="5" t="str">
        <f aca="false">IF(I88="","",F88)</f>
        <v/>
      </c>
      <c r="K88" s="6"/>
      <c r="L88" s="3"/>
      <c r="M88" s="3"/>
      <c r="N88" s="3"/>
      <c r="O88" s="7"/>
      <c r="P88" s="7"/>
      <c r="Q88" s="7"/>
      <c r="R88" s="7"/>
      <c r="S88" s="8" t="str">
        <f aca="false">IF(OR(E88="",H88="",E88&lt;=0),"",(H88-E88)/E88)</f>
        <v/>
      </c>
      <c r="T88" s="8" t="str">
        <f aca="false">IF(OR(E88="",L88="",E88&lt;=0),"",(E88-L88)/E88)</f>
        <v/>
      </c>
      <c r="U88" s="9" t="str">
        <f aca="false">IF(OR(S88="",T88="",T88&lt;=0),"",S88/T88)</f>
        <v/>
      </c>
      <c r="V88" s="10" t="str">
        <f aca="false">IF(OR(I88="",J88="",E88="",F88=""),"",I88*J88-E88*F88-IF(M88="",0,M88)-IF(N88="",0,N88))</f>
        <v/>
      </c>
      <c r="W88" s="8" t="str">
        <f aca="false">IF(OR(V88="",E88="",F88=""),"",IF(E88*F88+IF(M88="",0,M88)&lt;=0,"",V88/(E88*F88+IF(M88="",0,M88))))</f>
        <v/>
      </c>
      <c r="X88" s="8" t="str">
        <f aca="false">IF(OR(W88="",多次统计数据!$B$8=""),"",W88-多次统计数据!$B$8)</f>
        <v/>
      </c>
      <c r="Y88" s="11" t="str">
        <f aca="false">IF(OR(G88="",K88="",K88&lt;G88),"",K88-G88)</f>
        <v/>
      </c>
      <c r="Z88" s="8" t="str">
        <f aca="false">IF(OR(A88="",多次统计数据!$B$8="",多次统计数据!$B$6&lt;=0,多次统计数据!$B$6&gt;=1),"",1-POWER(1+多次统计数据!$B$8,-多次统计数据!$B$6/(1-多次统计数据!$B$6)))</f>
        <v/>
      </c>
      <c r="AA88" s="12" t="str">
        <f aca="false">IF(OR(Z88="",多次统计数据!$B$9=""),"",IF(多次统计数据!$B$9&lt;Z88,"低于上限","达到或超过上限"))</f>
        <v/>
      </c>
      <c r="AB88" s="2"/>
    </row>
    <row r="89" customFormat="false" ht="15" hidden="false" customHeight="false" outlineLevel="0" collapsed="false">
      <c r="A89" s="7"/>
      <c r="B89" s="7"/>
      <c r="C89" s="3"/>
      <c r="D89" s="4"/>
      <c r="E89" s="3"/>
      <c r="F89" s="5" t="str">
        <f aca="false">IF(OR(C89="",D89="",E89="",L89="",C89&lt;=0,D89&lt;=0,E89&lt;=L89),"",ROUNDDOWN((C89*D89)/(E89-L89)/100,0)*100)</f>
        <v/>
      </c>
      <c r="G89" s="6"/>
      <c r="H89" s="3"/>
      <c r="I89" s="3"/>
      <c r="J89" s="5" t="str">
        <f aca="false">IF(I89="","",F89)</f>
        <v/>
      </c>
      <c r="K89" s="6"/>
      <c r="L89" s="3"/>
      <c r="M89" s="3"/>
      <c r="N89" s="3"/>
      <c r="O89" s="7"/>
      <c r="P89" s="7"/>
      <c r="Q89" s="7"/>
      <c r="R89" s="7"/>
      <c r="S89" s="8" t="str">
        <f aca="false">IF(OR(E89="",H89="",E89&lt;=0),"",(H89-E89)/E89)</f>
        <v/>
      </c>
      <c r="T89" s="8" t="str">
        <f aca="false">IF(OR(E89="",L89="",E89&lt;=0),"",(E89-L89)/E89)</f>
        <v/>
      </c>
      <c r="U89" s="9" t="str">
        <f aca="false">IF(OR(S89="",T89="",T89&lt;=0),"",S89/T89)</f>
        <v/>
      </c>
      <c r="V89" s="10" t="str">
        <f aca="false">IF(OR(I89="",J89="",E89="",F89=""),"",I89*J89-E89*F89-IF(M89="",0,M89)-IF(N89="",0,N89))</f>
        <v/>
      </c>
      <c r="W89" s="8" t="str">
        <f aca="false">IF(OR(V89="",E89="",F89=""),"",IF(E89*F89+IF(M89="",0,M89)&lt;=0,"",V89/(E89*F89+IF(M89="",0,M89))))</f>
        <v/>
      </c>
      <c r="X89" s="8" t="str">
        <f aca="false">IF(OR(W89="",多次统计数据!$B$8=""),"",W89-多次统计数据!$B$8)</f>
        <v/>
      </c>
      <c r="Y89" s="11" t="str">
        <f aca="false">IF(OR(G89="",K89="",K89&lt;G89),"",K89-G89)</f>
        <v/>
      </c>
      <c r="Z89" s="8" t="str">
        <f aca="false">IF(OR(A89="",多次统计数据!$B$8="",多次统计数据!$B$6&lt;=0,多次统计数据!$B$6&gt;=1),"",1-POWER(1+多次统计数据!$B$8,-多次统计数据!$B$6/(1-多次统计数据!$B$6)))</f>
        <v/>
      </c>
      <c r="AA89" s="12" t="str">
        <f aca="false">IF(OR(Z89="",多次统计数据!$B$9=""),"",IF(多次统计数据!$B$9&lt;Z89,"低于上限","达到或超过上限"))</f>
        <v/>
      </c>
      <c r="AB89" s="2"/>
    </row>
    <row r="90" customFormat="false" ht="15" hidden="false" customHeight="false" outlineLevel="0" collapsed="false">
      <c r="A90" s="7"/>
      <c r="B90" s="7"/>
      <c r="C90" s="3"/>
      <c r="D90" s="4"/>
      <c r="E90" s="3"/>
      <c r="F90" s="5" t="str">
        <f aca="false">IF(OR(C90="",D90="",E90="",L90="",C90&lt;=0,D90&lt;=0,E90&lt;=L90),"",ROUNDDOWN((C90*D90)/(E90-L90)/100,0)*100)</f>
        <v/>
      </c>
      <c r="G90" s="6"/>
      <c r="H90" s="3"/>
      <c r="I90" s="3"/>
      <c r="J90" s="5" t="str">
        <f aca="false">IF(I90="","",F90)</f>
        <v/>
      </c>
      <c r="K90" s="6"/>
      <c r="L90" s="3"/>
      <c r="M90" s="3"/>
      <c r="N90" s="3"/>
      <c r="O90" s="7"/>
      <c r="P90" s="7"/>
      <c r="Q90" s="7"/>
      <c r="R90" s="7"/>
      <c r="S90" s="8" t="str">
        <f aca="false">IF(OR(E90="",H90="",E90&lt;=0),"",(H90-E90)/E90)</f>
        <v/>
      </c>
      <c r="T90" s="8" t="str">
        <f aca="false">IF(OR(E90="",L90="",E90&lt;=0),"",(E90-L90)/E90)</f>
        <v/>
      </c>
      <c r="U90" s="9" t="str">
        <f aca="false">IF(OR(S90="",T90="",T90&lt;=0),"",S90/T90)</f>
        <v/>
      </c>
      <c r="V90" s="10" t="str">
        <f aca="false">IF(OR(I90="",J90="",E90="",F90=""),"",I90*J90-E90*F90-IF(M90="",0,M90)-IF(N90="",0,N90))</f>
        <v/>
      </c>
      <c r="W90" s="8" t="str">
        <f aca="false">IF(OR(V90="",E90="",F90=""),"",IF(E90*F90+IF(M90="",0,M90)&lt;=0,"",V90/(E90*F90+IF(M90="",0,M90))))</f>
        <v/>
      </c>
      <c r="X90" s="8" t="str">
        <f aca="false">IF(OR(W90="",多次统计数据!$B$8=""),"",W90-多次统计数据!$B$8)</f>
        <v/>
      </c>
      <c r="Y90" s="11" t="str">
        <f aca="false">IF(OR(G90="",K90="",K90&lt;G90),"",K90-G90)</f>
        <v/>
      </c>
      <c r="Z90" s="8" t="str">
        <f aca="false">IF(OR(A90="",多次统计数据!$B$8="",多次统计数据!$B$6&lt;=0,多次统计数据!$B$6&gt;=1),"",1-POWER(1+多次统计数据!$B$8,-多次统计数据!$B$6/(1-多次统计数据!$B$6)))</f>
        <v/>
      </c>
      <c r="AA90" s="12" t="str">
        <f aca="false">IF(OR(Z90="",多次统计数据!$B$9=""),"",IF(多次统计数据!$B$9&lt;Z90,"低于上限","达到或超过上限"))</f>
        <v/>
      </c>
      <c r="AB90" s="2"/>
    </row>
    <row r="91" customFormat="false" ht="15" hidden="false" customHeight="false" outlineLevel="0" collapsed="false">
      <c r="A91" s="7"/>
      <c r="B91" s="7"/>
      <c r="C91" s="3"/>
      <c r="D91" s="4"/>
      <c r="E91" s="3"/>
      <c r="F91" s="5" t="str">
        <f aca="false">IF(OR(C91="",D91="",E91="",L91="",C91&lt;=0,D91&lt;=0,E91&lt;=L91),"",ROUNDDOWN((C91*D91)/(E91-L91)/100,0)*100)</f>
        <v/>
      </c>
      <c r="G91" s="6"/>
      <c r="H91" s="3"/>
      <c r="I91" s="3"/>
      <c r="J91" s="5" t="str">
        <f aca="false">IF(I91="","",F91)</f>
        <v/>
      </c>
      <c r="K91" s="6"/>
      <c r="L91" s="3"/>
      <c r="M91" s="3"/>
      <c r="N91" s="3"/>
      <c r="O91" s="7"/>
      <c r="P91" s="7"/>
      <c r="Q91" s="7"/>
      <c r="R91" s="7"/>
      <c r="S91" s="8" t="str">
        <f aca="false">IF(OR(E91="",H91="",E91&lt;=0),"",(H91-E91)/E91)</f>
        <v/>
      </c>
      <c r="T91" s="8" t="str">
        <f aca="false">IF(OR(E91="",L91="",E91&lt;=0),"",(E91-L91)/E91)</f>
        <v/>
      </c>
      <c r="U91" s="9" t="str">
        <f aca="false">IF(OR(S91="",T91="",T91&lt;=0),"",S91/T91)</f>
        <v/>
      </c>
      <c r="V91" s="10" t="str">
        <f aca="false">IF(OR(I91="",J91="",E91="",F91=""),"",I91*J91-E91*F91-IF(M91="",0,M91)-IF(N91="",0,N91))</f>
        <v/>
      </c>
      <c r="W91" s="8" t="str">
        <f aca="false">IF(OR(V91="",E91="",F91=""),"",IF(E91*F91+IF(M91="",0,M91)&lt;=0,"",V91/(E91*F91+IF(M91="",0,M91))))</f>
        <v/>
      </c>
      <c r="X91" s="8" t="str">
        <f aca="false">IF(OR(W91="",多次统计数据!$B$8=""),"",W91-多次统计数据!$B$8)</f>
        <v/>
      </c>
      <c r="Y91" s="11" t="str">
        <f aca="false">IF(OR(G91="",K91="",K91&lt;G91),"",K91-G91)</f>
        <v/>
      </c>
      <c r="Z91" s="8" t="str">
        <f aca="false">IF(OR(A91="",多次统计数据!$B$8="",多次统计数据!$B$6&lt;=0,多次统计数据!$B$6&gt;=1),"",1-POWER(1+多次统计数据!$B$8,-多次统计数据!$B$6/(1-多次统计数据!$B$6)))</f>
        <v/>
      </c>
      <c r="AA91" s="12" t="str">
        <f aca="false">IF(OR(Z91="",多次统计数据!$B$9=""),"",IF(多次统计数据!$B$9&lt;Z91,"低于上限","达到或超过上限"))</f>
        <v/>
      </c>
      <c r="AB91" s="2"/>
    </row>
    <row r="92" customFormat="false" ht="15" hidden="false" customHeight="false" outlineLevel="0" collapsed="false">
      <c r="A92" s="7"/>
      <c r="B92" s="7"/>
      <c r="C92" s="3"/>
      <c r="D92" s="4"/>
      <c r="E92" s="3"/>
      <c r="F92" s="5" t="str">
        <f aca="false">IF(OR(C92="",D92="",E92="",L92="",C92&lt;=0,D92&lt;=0,E92&lt;=L92),"",ROUNDDOWN((C92*D92)/(E92-L92)/100,0)*100)</f>
        <v/>
      </c>
      <c r="G92" s="6"/>
      <c r="H92" s="3"/>
      <c r="I92" s="3"/>
      <c r="J92" s="5" t="str">
        <f aca="false">IF(I92="","",F92)</f>
        <v/>
      </c>
      <c r="K92" s="6"/>
      <c r="L92" s="3"/>
      <c r="M92" s="3"/>
      <c r="N92" s="3"/>
      <c r="O92" s="7"/>
      <c r="P92" s="7"/>
      <c r="Q92" s="7"/>
      <c r="R92" s="7"/>
      <c r="S92" s="8" t="str">
        <f aca="false">IF(OR(E92="",H92="",E92&lt;=0),"",(H92-E92)/E92)</f>
        <v/>
      </c>
      <c r="T92" s="8" t="str">
        <f aca="false">IF(OR(E92="",L92="",E92&lt;=0),"",(E92-L92)/E92)</f>
        <v/>
      </c>
      <c r="U92" s="9" t="str">
        <f aca="false">IF(OR(S92="",T92="",T92&lt;=0),"",S92/T92)</f>
        <v/>
      </c>
      <c r="V92" s="10" t="str">
        <f aca="false">IF(OR(I92="",J92="",E92="",F92=""),"",I92*J92-E92*F92-IF(M92="",0,M92)-IF(N92="",0,N92))</f>
        <v/>
      </c>
      <c r="W92" s="8" t="str">
        <f aca="false">IF(OR(V92="",E92="",F92=""),"",IF(E92*F92+IF(M92="",0,M92)&lt;=0,"",V92/(E92*F92+IF(M92="",0,M92))))</f>
        <v/>
      </c>
      <c r="X92" s="8" t="str">
        <f aca="false">IF(OR(W92="",多次统计数据!$B$8=""),"",W92-多次统计数据!$B$8)</f>
        <v/>
      </c>
      <c r="Y92" s="11" t="str">
        <f aca="false">IF(OR(G92="",K92="",K92&lt;G92),"",K92-G92)</f>
        <v/>
      </c>
      <c r="Z92" s="8" t="str">
        <f aca="false">IF(OR(A92="",多次统计数据!$B$8="",多次统计数据!$B$6&lt;=0,多次统计数据!$B$6&gt;=1),"",1-POWER(1+多次统计数据!$B$8,-多次统计数据!$B$6/(1-多次统计数据!$B$6)))</f>
        <v/>
      </c>
      <c r="AA92" s="12" t="str">
        <f aca="false">IF(OR(Z92="",多次统计数据!$B$9=""),"",IF(多次统计数据!$B$9&lt;Z92,"低于上限","达到或超过上限"))</f>
        <v/>
      </c>
      <c r="AB92" s="2"/>
    </row>
    <row r="93" customFormat="false" ht="15" hidden="false" customHeight="false" outlineLevel="0" collapsed="false">
      <c r="A93" s="7"/>
      <c r="B93" s="7"/>
      <c r="C93" s="3"/>
      <c r="D93" s="4"/>
      <c r="E93" s="3"/>
      <c r="F93" s="5" t="str">
        <f aca="false">IF(OR(C93="",D93="",E93="",L93="",C93&lt;=0,D93&lt;=0,E93&lt;=L93),"",ROUNDDOWN((C93*D93)/(E93-L93)/100,0)*100)</f>
        <v/>
      </c>
      <c r="G93" s="6"/>
      <c r="H93" s="3"/>
      <c r="I93" s="3"/>
      <c r="J93" s="5" t="str">
        <f aca="false">IF(I93="","",F93)</f>
        <v/>
      </c>
      <c r="K93" s="6"/>
      <c r="L93" s="3"/>
      <c r="M93" s="3"/>
      <c r="N93" s="3"/>
      <c r="O93" s="7"/>
      <c r="P93" s="7"/>
      <c r="Q93" s="7"/>
      <c r="R93" s="7"/>
      <c r="S93" s="8" t="str">
        <f aca="false">IF(OR(E93="",H93="",E93&lt;=0),"",(H93-E93)/E93)</f>
        <v/>
      </c>
      <c r="T93" s="8" t="str">
        <f aca="false">IF(OR(E93="",L93="",E93&lt;=0),"",(E93-L93)/E93)</f>
        <v/>
      </c>
      <c r="U93" s="9" t="str">
        <f aca="false">IF(OR(S93="",T93="",T93&lt;=0),"",S93/T93)</f>
        <v/>
      </c>
      <c r="V93" s="10" t="str">
        <f aca="false">IF(OR(I93="",J93="",E93="",F93=""),"",I93*J93-E93*F93-IF(M93="",0,M93)-IF(N93="",0,N93))</f>
        <v/>
      </c>
      <c r="W93" s="8" t="str">
        <f aca="false">IF(OR(V93="",E93="",F93=""),"",IF(E93*F93+IF(M93="",0,M93)&lt;=0,"",V93/(E93*F93+IF(M93="",0,M93))))</f>
        <v/>
      </c>
      <c r="X93" s="8" t="str">
        <f aca="false">IF(OR(W93="",多次统计数据!$B$8=""),"",W93-多次统计数据!$B$8)</f>
        <v/>
      </c>
      <c r="Y93" s="11" t="str">
        <f aca="false">IF(OR(G93="",K93="",K93&lt;G93),"",K93-G93)</f>
        <v/>
      </c>
      <c r="Z93" s="8" t="str">
        <f aca="false">IF(OR(A93="",多次统计数据!$B$8="",多次统计数据!$B$6&lt;=0,多次统计数据!$B$6&gt;=1),"",1-POWER(1+多次统计数据!$B$8,-多次统计数据!$B$6/(1-多次统计数据!$B$6)))</f>
        <v/>
      </c>
      <c r="AA93" s="12" t="str">
        <f aca="false">IF(OR(Z93="",多次统计数据!$B$9=""),"",IF(多次统计数据!$B$9&lt;Z93,"低于上限","达到或超过上限"))</f>
        <v/>
      </c>
      <c r="AB93" s="2"/>
    </row>
    <row r="94" customFormat="false" ht="15" hidden="false" customHeight="false" outlineLevel="0" collapsed="false">
      <c r="A94" s="7"/>
      <c r="B94" s="7"/>
      <c r="C94" s="3"/>
      <c r="D94" s="4"/>
      <c r="E94" s="3"/>
      <c r="F94" s="5" t="str">
        <f aca="false">IF(OR(C94="",D94="",E94="",L94="",C94&lt;=0,D94&lt;=0,E94&lt;=L94),"",ROUNDDOWN((C94*D94)/(E94-L94)/100,0)*100)</f>
        <v/>
      </c>
      <c r="G94" s="6"/>
      <c r="H94" s="3"/>
      <c r="I94" s="3"/>
      <c r="J94" s="5" t="str">
        <f aca="false">IF(I94="","",F94)</f>
        <v/>
      </c>
      <c r="K94" s="6"/>
      <c r="L94" s="3"/>
      <c r="M94" s="3"/>
      <c r="N94" s="3"/>
      <c r="O94" s="7"/>
      <c r="P94" s="7"/>
      <c r="Q94" s="7"/>
      <c r="R94" s="7"/>
      <c r="S94" s="8" t="str">
        <f aca="false">IF(OR(E94="",H94="",E94&lt;=0),"",(H94-E94)/E94)</f>
        <v/>
      </c>
      <c r="T94" s="8" t="str">
        <f aca="false">IF(OR(E94="",L94="",E94&lt;=0),"",(E94-L94)/E94)</f>
        <v/>
      </c>
      <c r="U94" s="9" t="str">
        <f aca="false">IF(OR(S94="",T94="",T94&lt;=0),"",S94/T94)</f>
        <v/>
      </c>
      <c r="V94" s="10" t="str">
        <f aca="false">IF(OR(I94="",J94="",E94="",F94=""),"",I94*J94-E94*F94-IF(M94="",0,M94)-IF(N94="",0,N94))</f>
        <v/>
      </c>
      <c r="W94" s="8" t="str">
        <f aca="false">IF(OR(V94="",E94="",F94=""),"",IF(E94*F94+IF(M94="",0,M94)&lt;=0,"",V94/(E94*F94+IF(M94="",0,M94))))</f>
        <v/>
      </c>
      <c r="X94" s="8" t="str">
        <f aca="false">IF(OR(W94="",多次统计数据!$B$8=""),"",W94-多次统计数据!$B$8)</f>
        <v/>
      </c>
      <c r="Y94" s="11" t="str">
        <f aca="false">IF(OR(G94="",K94="",K94&lt;G94),"",K94-G94)</f>
        <v/>
      </c>
      <c r="Z94" s="8" t="str">
        <f aca="false">IF(OR(A94="",多次统计数据!$B$8="",多次统计数据!$B$6&lt;=0,多次统计数据!$B$6&gt;=1),"",1-POWER(1+多次统计数据!$B$8,-多次统计数据!$B$6/(1-多次统计数据!$B$6)))</f>
        <v/>
      </c>
      <c r="AA94" s="12" t="str">
        <f aca="false">IF(OR(Z94="",多次统计数据!$B$9=""),"",IF(多次统计数据!$B$9&lt;Z94,"低于上限","达到或超过上限"))</f>
        <v/>
      </c>
      <c r="AB94" s="2"/>
    </row>
    <row r="95" customFormat="false" ht="15" hidden="false" customHeight="false" outlineLevel="0" collapsed="false">
      <c r="A95" s="7"/>
      <c r="B95" s="7"/>
      <c r="C95" s="3"/>
      <c r="D95" s="4"/>
      <c r="E95" s="3"/>
      <c r="F95" s="5" t="str">
        <f aca="false">IF(OR(C95="",D95="",E95="",L95="",C95&lt;=0,D95&lt;=0,E95&lt;=L95),"",ROUNDDOWN((C95*D95)/(E95-L95)/100,0)*100)</f>
        <v/>
      </c>
      <c r="G95" s="6"/>
      <c r="H95" s="3"/>
      <c r="I95" s="3"/>
      <c r="J95" s="5" t="str">
        <f aca="false">IF(I95="","",F95)</f>
        <v/>
      </c>
      <c r="K95" s="6"/>
      <c r="L95" s="3"/>
      <c r="M95" s="3"/>
      <c r="N95" s="3"/>
      <c r="O95" s="7"/>
      <c r="P95" s="7"/>
      <c r="Q95" s="7"/>
      <c r="R95" s="7"/>
      <c r="S95" s="8" t="str">
        <f aca="false">IF(OR(E95="",H95="",E95&lt;=0),"",(H95-E95)/E95)</f>
        <v/>
      </c>
      <c r="T95" s="8" t="str">
        <f aca="false">IF(OR(E95="",L95="",E95&lt;=0),"",(E95-L95)/E95)</f>
        <v/>
      </c>
      <c r="U95" s="9" t="str">
        <f aca="false">IF(OR(S95="",T95="",T95&lt;=0),"",S95/T95)</f>
        <v/>
      </c>
      <c r="V95" s="10" t="str">
        <f aca="false">IF(OR(I95="",J95="",E95="",F95=""),"",I95*J95-E95*F95-IF(M95="",0,M95)-IF(N95="",0,N95))</f>
        <v/>
      </c>
      <c r="W95" s="8" t="str">
        <f aca="false">IF(OR(V95="",E95="",F95=""),"",IF(E95*F95+IF(M95="",0,M95)&lt;=0,"",V95/(E95*F95+IF(M95="",0,M95))))</f>
        <v/>
      </c>
      <c r="X95" s="8" t="str">
        <f aca="false">IF(OR(W95="",多次统计数据!$B$8=""),"",W95-多次统计数据!$B$8)</f>
        <v/>
      </c>
      <c r="Y95" s="11" t="str">
        <f aca="false">IF(OR(G95="",K95="",K95&lt;G95),"",K95-G95)</f>
        <v/>
      </c>
      <c r="Z95" s="8" t="str">
        <f aca="false">IF(OR(A95="",多次统计数据!$B$8="",多次统计数据!$B$6&lt;=0,多次统计数据!$B$6&gt;=1),"",1-POWER(1+多次统计数据!$B$8,-多次统计数据!$B$6/(1-多次统计数据!$B$6)))</f>
        <v/>
      </c>
      <c r="AA95" s="12" t="str">
        <f aca="false">IF(OR(Z95="",多次统计数据!$B$9=""),"",IF(多次统计数据!$B$9&lt;Z95,"低于上限","达到或超过上限"))</f>
        <v/>
      </c>
      <c r="AB95" s="2"/>
    </row>
    <row r="96" customFormat="false" ht="15" hidden="false" customHeight="false" outlineLevel="0" collapsed="false">
      <c r="A96" s="7"/>
      <c r="B96" s="7"/>
      <c r="C96" s="3"/>
      <c r="D96" s="4"/>
      <c r="E96" s="3"/>
      <c r="F96" s="5" t="str">
        <f aca="false">IF(OR(C96="",D96="",E96="",L96="",C96&lt;=0,D96&lt;=0,E96&lt;=L96),"",ROUNDDOWN((C96*D96)/(E96-L96)/100,0)*100)</f>
        <v/>
      </c>
      <c r="G96" s="6"/>
      <c r="H96" s="3"/>
      <c r="I96" s="3"/>
      <c r="J96" s="5" t="str">
        <f aca="false">IF(I96="","",F96)</f>
        <v/>
      </c>
      <c r="K96" s="6"/>
      <c r="L96" s="3"/>
      <c r="M96" s="3"/>
      <c r="N96" s="3"/>
      <c r="O96" s="7"/>
      <c r="P96" s="7"/>
      <c r="Q96" s="7"/>
      <c r="R96" s="7"/>
      <c r="S96" s="8" t="str">
        <f aca="false">IF(OR(E96="",H96="",E96&lt;=0),"",(H96-E96)/E96)</f>
        <v/>
      </c>
      <c r="T96" s="8" t="str">
        <f aca="false">IF(OR(E96="",L96="",E96&lt;=0),"",(E96-L96)/E96)</f>
        <v/>
      </c>
      <c r="U96" s="9" t="str">
        <f aca="false">IF(OR(S96="",T96="",T96&lt;=0),"",S96/T96)</f>
        <v/>
      </c>
      <c r="V96" s="10" t="str">
        <f aca="false">IF(OR(I96="",J96="",E96="",F96=""),"",I96*J96-E96*F96-IF(M96="",0,M96)-IF(N96="",0,N96))</f>
        <v/>
      </c>
      <c r="W96" s="8" t="str">
        <f aca="false">IF(OR(V96="",E96="",F96=""),"",IF(E96*F96+IF(M96="",0,M96)&lt;=0,"",V96/(E96*F96+IF(M96="",0,M96))))</f>
        <v/>
      </c>
      <c r="X96" s="8" t="str">
        <f aca="false">IF(OR(W96="",多次统计数据!$B$8=""),"",W96-多次统计数据!$B$8)</f>
        <v/>
      </c>
      <c r="Y96" s="11" t="str">
        <f aca="false">IF(OR(G96="",K96="",K96&lt;G96),"",K96-G96)</f>
        <v/>
      </c>
      <c r="Z96" s="8" t="str">
        <f aca="false">IF(OR(A96="",多次统计数据!$B$8="",多次统计数据!$B$6&lt;=0,多次统计数据!$B$6&gt;=1),"",1-POWER(1+多次统计数据!$B$8,-多次统计数据!$B$6/(1-多次统计数据!$B$6)))</f>
        <v/>
      </c>
      <c r="AA96" s="12" t="str">
        <f aca="false">IF(OR(Z96="",多次统计数据!$B$9=""),"",IF(多次统计数据!$B$9&lt;Z96,"低于上限","达到或超过上限"))</f>
        <v/>
      </c>
      <c r="AB96" s="2"/>
    </row>
    <row r="97" customFormat="false" ht="15" hidden="false" customHeight="false" outlineLevel="0" collapsed="false">
      <c r="A97" s="7"/>
      <c r="B97" s="7"/>
      <c r="C97" s="3"/>
      <c r="D97" s="4"/>
      <c r="E97" s="3"/>
      <c r="F97" s="5" t="str">
        <f aca="false">IF(OR(C97="",D97="",E97="",L97="",C97&lt;=0,D97&lt;=0,E97&lt;=L97),"",ROUNDDOWN((C97*D97)/(E97-L97)/100,0)*100)</f>
        <v/>
      </c>
      <c r="G97" s="6"/>
      <c r="H97" s="3"/>
      <c r="I97" s="3"/>
      <c r="J97" s="5" t="str">
        <f aca="false">IF(I97="","",F97)</f>
        <v/>
      </c>
      <c r="K97" s="6"/>
      <c r="L97" s="3"/>
      <c r="M97" s="3"/>
      <c r="N97" s="3"/>
      <c r="O97" s="7"/>
      <c r="P97" s="7"/>
      <c r="Q97" s="7"/>
      <c r="R97" s="7"/>
      <c r="S97" s="8" t="str">
        <f aca="false">IF(OR(E97="",H97="",E97&lt;=0),"",(H97-E97)/E97)</f>
        <v/>
      </c>
      <c r="T97" s="8" t="str">
        <f aca="false">IF(OR(E97="",L97="",E97&lt;=0),"",(E97-L97)/E97)</f>
        <v/>
      </c>
      <c r="U97" s="9" t="str">
        <f aca="false">IF(OR(S97="",T97="",T97&lt;=0),"",S97/T97)</f>
        <v/>
      </c>
      <c r="V97" s="10" t="str">
        <f aca="false">IF(OR(I97="",J97="",E97="",F97=""),"",I97*J97-E97*F97-IF(M97="",0,M97)-IF(N97="",0,N97))</f>
        <v/>
      </c>
      <c r="W97" s="8" t="str">
        <f aca="false">IF(OR(V97="",E97="",F97=""),"",IF(E97*F97+IF(M97="",0,M97)&lt;=0,"",V97/(E97*F97+IF(M97="",0,M97))))</f>
        <v/>
      </c>
      <c r="X97" s="8" t="str">
        <f aca="false">IF(OR(W97="",多次统计数据!$B$8=""),"",W97-多次统计数据!$B$8)</f>
        <v/>
      </c>
      <c r="Y97" s="11" t="str">
        <f aca="false">IF(OR(G97="",K97="",K97&lt;G97),"",K97-G97)</f>
        <v/>
      </c>
      <c r="Z97" s="8" t="str">
        <f aca="false">IF(OR(A97="",多次统计数据!$B$8="",多次统计数据!$B$6&lt;=0,多次统计数据!$B$6&gt;=1),"",1-POWER(1+多次统计数据!$B$8,-多次统计数据!$B$6/(1-多次统计数据!$B$6)))</f>
        <v/>
      </c>
      <c r="AA97" s="12" t="str">
        <f aca="false">IF(OR(Z97="",多次统计数据!$B$9=""),"",IF(多次统计数据!$B$9&lt;Z97,"低于上限","达到或超过上限"))</f>
        <v/>
      </c>
      <c r="AB97" s="2"/>
    </row>
    <row r="98" customFormat="false" ht="15" hidden="false" customHeight="false" outlineLevel="0" collapsed="false">
      <c r="A98" s="7"/>
      <c r="B98" s="7"/>
      <c r="C98" s="3"/>
      <c r="D98" s="4"/>
      <c r="E98" s="3"/>
      <c r="F98" s="5" t="str">
        <f aca="false">IF(OR(C98="",D98="",E98="",L98="",C98&lt;=0,D98&lt;=0,E98&lt;=L98),"",ROUNDDOWN((C98*D98)/(E98-L98)/100,0)*100)</f>
        <v/>
      </c>
      <c r="G98" s="6"/>
      <c r="H98" s="3"/>
      <c r="I98" s="3"/>
      <c r="J98" s="5" t="str">
        <f aca="false">IF(I98="","",F98)</f>
        <v/>
      </c>
      <c r="K98" s="6"/>
      <c r="L98" s="3"/>
      <c r="M98" s="3"/>
      <c r="N98" s="3"/>
      <c r="O98" s="7"/>
      <c r="P98" s="7"/>
      <c r="Q98" s="7"/>
      <c r="R98" s="7"/>
      <c r="S98" s="8" t="str">
        <f aca="false">IF(OR(E98="",H98="",E98&lt;=0),"",(H98-E98)/E98)</f>
        <v/>
      </c>
      <c r="T98" s="8" t="str">
        <f aca="false">IF(OR(E98="",L98="",E98&lt;=0),"",(E98-L98)/E98)</f>
        <v/>
      </c>
      <c r="U98" s="9" t="str">
        <f aca="false">IF(OR(S98="",T98="",T98&lt;=0),"",S98/T98)</f>
        <v/>
      </c>
      <c r="V98" s="10" t="str">
        <f aca="false">IF(OR(I98="",J98="",E98="",F98=""),"",I98*J98-E98*F98-IF(M98="",0,M98)-IF(N98="",0,N98))</f>
        <v/>
      </c>
      <c r="W98" s="8" t="str">
        <f aca="false">IF(OR(V98="",E98="",F98=""),"",IF(E98*F98+IF(M98="",0,M98)&lt;=0,"",V98/(E98*F98+IF(M98="",0,M98))))</f>
        <v/>
      </c>
      <c r="X98" s="8" t="str">
        <f aca="false">IF(OR(W98="",多次统计数据!$B$8=""),"",W98-多次统计数据!$B$8)</f>
        <v/>
      </c>
      <c r="Y98" s="11" t="str">
        <f aca="false">IF(OR(G98="",K98="",K98&lt;G98),"",K98-G98)</f>
        <v/>
      </c>
      <c r="Z98" s="8" t="str">
        <f aca="false">IF(OR(A98="",多次统计数据!$B$8="",多次统计数据!$B$6&lt;=0,多次统计数据!$B$6&gt;=1),"",1-POWER(1+多次统计数据!$B$8,-多次统计数据!$B$6/(1-多次统计数据!$B$6)))</f>
        <v/>
      </c>
      <c r="AA98" s="12" t="str">
        <f aca="false">IF(OR(Z98="",多次统计数据!$B$9=""),"",IF(多次统计数据!$B$9&lt;Z98,"低于上限","达到或超过上限"))</f>
        <v/>
      </c>
      <c r="AB98" s="2"/>
    </row>
    <row r="99" customFormat="false" ht="15" hidden="false" customHeight="false" outlineLevel="0" collapsed="false">
      <c r="A99" s="7"/>
      <c r="B99" s="7"/>
      <c r="C99" s="3"/>
      <c r="D99" s="4"/>
      <c r="E99" s="3"/>
      <c r="F99" s="5" t="str">
        <f aca="false">IF(OR(C99="",D99="",E99="",L99="",C99&lt;=0,D99&lt;=0,E99&lt;=L99),"",ROUNDDOWN((C99*D99)/(E99-L99)/100,0)*100)</f>
        <v/>
      </c>
      <c r="G99" s="6"/>
      <c r="H99" s="3"/>
      <c r="I99" s="3"/>
      <c r="J99" s="5" t="str">
        <f aca="false">IF(I99="","",F99)</f>
        <v/>
      </c>
      <c r="K99" s="6"/>
      <c r="L99" s="3"/>
      <c r="M99" s="3"/>
      <c r="N99" s="3"/>
      <c r="O99" s="7"/>
      <c r="P99" s="7"/>
      <c r="Q99" s="7"/>
      <c r="R99" s="7"/>
      <c r="S99" s="8" t="str">
        <f aca="false">IF(OR(E99="",H99="",E99&lt;=0),"",(H99-E99)/E99)</f>
        <v/>
      </c>
      <c r="T99" s="8" t="str">
        <f aca="false">IF(OR(E99="",L99="",E99&lt;=0),"",(E99-L99)/E99)</f>
        <v/>
      </c>
      <c r="U99" s="9" t="str">
        <f aca="false">IF(OR(S99="",T99="",T99&lt;=0),"",S99/T99)</f>
        <v/>
      </c>
      <c r="V99" s="10" t="str">
        <f aca="false">IF(OR(I99="",J99="",E99="",F99=""),"",I99*J99-E99*F99-IF(M99="",0,M99)-IF(N99="",0,N99))</f>
        <v/>
      </c>
      <c r="W99" s="8" t="str">
        <f aca="false">IF(OR(V99="",E99="",F99=""),"",IF(E99*F99+IF(M99="",0,M99)&lt;=0,"",V99/(E99*F99+IF(M99="",0,M99))))</f>
        <v/>
      </c>
      <c r="X99" s="8" t="str">
        <f aca="false">IF(OR(W99="",多次统计数据!$B$8=""),"",W99-多次统计数据!$B$8)</f>
        <v/>
      </c>
      <c r="Y99" s="11" t="str">
        <f aca="false">IF(OR(G99="",K99="",K99&lt;G99),"",K99-G99)</f>
        <v/>
      </c>
      <c r="Z99" s="8" t="str">
        <f aca="false">IF(OR(A99="",多次统计数据!$B$8="",多次统计数据!$B$6&lt;=0,多次统计数据!$B$6&gt;=1),"",1-POWER(1+多次统计数据!$B$8,-多次统计数据!$B$6/(1-多次统计数据!$B$6)))</f>
        <v/>
      </c>
      <c r="AA99" s="12" t="str">
        <f aca="false">IF(OR(Z99="",多次统计数据!$B$9=""),"",IF(多次统计数据!$B$9&lt;Z99,"低于上限","达到或超过上限"))</f>
        <v/>
      </c>
      <c r="AB99" s="2"/>
    </row>
    <row r="100" customFormat="false" ht="15" hidden="false" customHeight="false" outlineLevel="0" collapsed="false">
      <c r="A100" s="7"/>
      <c r="B100" s="7"/>
      <c r="C100" s="3"/>
      <c r="D100" s="4"/>
      <c r="E100" s="3"/>
      <c r="F100" s="5" t="str">
        <f aca="false">IF(OR(C100="",D100="",E100="",L100="",C100&lt;=0,D100&lt;=0,E100&lt;=L100),"",ROUNDDOWN((C100*D100)/(E100-L100)/100,0)*100)</f>
        <v/>
      </c>
      <c r="G100" s="6"/>
      <c r="H100" s="3"/>
      <c r="I100" s="3"/>
      <c r="J100" s="5" t="str">
        <f aca="false">IF(I100="","",F100)</f>
        <v/>
      </c>
      <c r="K100" s="6"/>
      <c r="L100" s="3"/>
      <c r="M100" s="3"/>
      <c r="N100" s="3"/>
      <c r="O100" s="7"/>
      <c r="P100" s="7"/>
      <c r="Q100" s="7"/>
      <c r="R100" s="7"/>
      <c r="S100" s="8" t="str">
        <f aca="false">IF(OR(E100="",H100="",E100&lt;=0),"",(H100-E100)/E100)</f>
        <v/>
      </c>
      <c r="T100" s="8" t="str">
        <f aca="false">IF(OR(E100="",L100="",E100&lt;=0),"",(E100-L100)/E100)</f>
        <v/>
      </c>
      <c r="U100" s="9" t="str">
        <f aca="false">IF(OR(S100="",T100="",T100&lt;=0),"",S100/T100)</f>
        <v/>
      </c>
      <c r="V100" s="10" t="str">
        <f aca="false">IF(OR(I100="",J100="",E100="",F100=""),"",I100*J100-E100*F100-IF(M100="",0,M100)-IF(N100="",0,N100))</f>
        <v/>
      </c>
      <c r="W100" s="8" t="str">
        <f aca="false">IF(OR(V100="",E100="",F100=""),"",IF(E100*F100+IF(M100="",0,M100)&lt;=0,"",V100/(E100*F100+IF(M100="",0,M100))))</f>
        <v/>
      </c>
      <c r="X100" s="8" t="str">
        <f aca="false">IF(OR(W100="",多次统计数据!$B$8=""),"",W100-多次统计数据!$B$8)</f>
        <v/>
      </c>
      <c r="Y100" s="11" t="str">
        <f aca="false">IF(OR(G100="",K100="",K100&lt;G100),"",K100-G100)</f>
        <v/>
      </c>
      <c r="Z100" s="8" t="str">
        <f aca="false">IF(OR(A100="",多次统计数据!$B$8="",多次统计数据!$B$6&lt;=0,多次统计数据!$B$6&gt;=1),"",1-POWER(1+多次统计数据!$B$8,-多次统计数据!$B$6/(1-多次统计数据!$B$6)))</f>
        <v/>
      </c>
      <c r="AA100" s="12" t="str">
        <f aca="false">IF(OR(Z100="",多次统计数据!$B$9=""),"",IF(多次统计数据!$B$9&lt;Z100,"低于上限","达到或超过上限"))</f>
        <v/>
      </c>
      <c r="AB100" s="2"/>
    </row>
    <row r="101" customFormat="false" ht="15" hidden="false" customHeight="false" outlineLevel="0" collapsed="false">
      <c r="A101" s="7"/>
      <c r="B101" s="7"/>
      <c r="C101" s="3"/>
      <c r="D101" s="4"/>
      <c r="E101" s="3"/>
      <c r="F101" s="5" t="str">
        <f aca="false">IF(OR(C101="",D101="",E101="",L101="",C101&lt;=0,D101&lt;=0,E101&lt;=L101),"",ROUNDDOWN((C101*D101)/(E101-L101)/100,0)*100)</f>
        <v/>
      </c>
      <c r="G101" s="6"/>
      <c r="H101" s="3"/>
      <c r="I101" s="3"/>
      <c r="J101" s="5" t="str">
        <f aca="false">IF(I101="","",F101)</f>
        <v/>
      </c>
      <c r="K101" s="6"/>
      <c r="L101" s="3"/>
      <c r="M101" s="3"/>
      <c r="N101" s="3"/>
      <c r="O101" s="7"/>
      <c r="P101" s="7"/>
      <c r="Q101" s="7"/>
      <c r="R101" s="7"/>
      <c r="S101" s="8" t="str">
        <f aca="false">IF(OR(E101="",H101="",E101&lt;=0),"",(H101-E101)/E101)</f>
        <v/>
      </c>
      <c r="T101" s="8" t="str">
        <f aca="false">IF(OR(E101="",L101="",E101&lt;=0),"",(E101-L101)/E101)</f>
        <v/>
      </c>
      <c r="U101" s="9" t="str">
        <f aca="false">IF(OR(S101="",T101="",T101&lt;=0),"",S101/T101)</f>
        <v/>
      </c>
      <c r="V101" s="10" t="str">
        <f aca="false">IF(OR(I101="",J101="",E101="",F101=""),"",I101*J101-E101*F101-IF(M101="",0,M101)-IF(N101="",0,N101))</f>
        <v/>
      </c>
      <c r="W101" s="8" t="str">
        <f aca="false">IF(OR(V101="",E101="",F101=""),"",IF(E101*F101+IF(M101="",0,M101)&lt;=0,"",V101/(E101*F101+IF(M101="",0,M101))))</f>
        <v/>
      </c>
      <c r="X101" s="8" t="str">
        <f aca="false">IF(OR(W101="",多次统计数据!$B$8=""),"",W101-多次统计数据!$B$8)</f>
        <v/>
      </c>
      <c r="Y101" s="11" t="str">
        <f aca="false">IF(OR(G101="",K101="",K101&lt;G101),"",K101-G101)</f>
        <v/>
      </c>
      <c r="Z101" s="8" t="str">
        <f aca="false">IF(OR(A101="",多次统计数据!$B$8="",多次统计数据!$B$6&lt;=0,多次统计数据!$B$6&gt;=1),"",1-POWER(1+多次统计数据!$B$8,-多次统计数据!$B$6/(1-多次统计数据!$B$6)))</f>
        <v/>
      </c>
      <c r="AA101" s="12" t="str">
        <f aca="false">IF(OR(Z101="",多次统计数据!$B$9=""),"",IF(多次统计数据!$B$9&lt;Z101,"低于上限","达到或超过上限"))</f>
        <v/>
      </c>
      <c r="AB101" s="2"/>
    </row>
    <row r="102" customFormat="false" ht="15" hidden="false" customHeight="false" outlineLevel="0" collapsed="false">
      <c r="A102" s="7"/>
      <c r="B102" s="7"/>
      <c r="C102" s="3"/>
      <c r="D102" s="4"/>
      <c r="E102" s="3"/>
      <c r="F102" s="5" t="str">
        <f aca="false">IF(OR(C102="",D102="",E102="",L102="",C102&lt;=0,D102&lt;=0,E102&lt;=L102),"",ROUNDDOWN((C102*D102)/(E102-L102)/100,0)*100)</f>
        <v/>
      </c>
      <c r="G102" s="6"/>
      <c r="H102" s="3"/>
      <c r="I102" s="3"/>
      <c r="J102" s="5" t="str">
        <f aca="false">IF(I102="","",F102)</f>
        <v/>
      </c>
      <c r="K102" s="6"/>
      <c r="L102" s="3"/>
      <c r="M102" s="3"/>
      <c r="N102" s="3"/>
      <c r="O102" s="7"/>
      <c r="P102" s="7"/>
      <c r="Q102" s="7"/>
      <c r="R102" s="7"/>
      <c r="S102" s="8" t="str">
        <f aca="false">IF(OR(E102="",H102="",E102&lt;=0),"",(H102-E102)/E102)</f>
        <v/>
      </c>
      <c r="T102" s="8" t="str">
        <f aca="false">IF(OR(E102="",L102="",E102&lt;=0),"",(E102-L102)/E102)</f>
        <v/>
      </c>
      <c r="U102" s="9" t="str">
        <f aca="false">IF(OR(S102="",T102="",T102&lt;=0),"",S102/T102)</f>
        <v/>
      </c>
      <c r="V102" s="10" t="str">
        <f aca="false">IF(OR(I102="",J102="",E102="",F102=""),"",I102*J102-E102*F102-IF(M102="",0,M102)-IF(N102="",0,N102))</f>
        <v/>
      </c>
      <c r="W102" s="8" t="str">
        <f aca="false">IF(OR(V102="",E102="",F102=""),"",IF(E102*F102+IF(M102="",0,M102)&lt;=0,"",V102/(E102*F102+IF(M102="",0,M102))))</f>
        <v/>
      </c>
      <c r="X102" s="8" t="str">
        <f aca="false">IF(OR(W102="",多次统计数据!$B$8=""),"",W102-多次统计数据!$B$8)</f>
        <v/>
      </c>
      <c r="Y102" s="11" t="str">
        <f aca="false">IF(OR(G102="",K102="",K102&lt;G102),"",K102-G102)</f>
        <v/>
      </c>
      <c r="Z102" s="8" t="str">
        <f aca="false">IF(OR(A102="",多次统计数据!$B$8="",多次统计数据!$B$6&lt;=0,多次统计数据!$B$6&gt;=1),"",1-POWER(1+多次统计数据!$B$8,-多次统计数据!$B$6/(1-多次统计数据!$B$6)))</f>
        <v/>
      </c>
      <c r="AA102" s="12" t="str">
        <f aca="false">IF(OR(Z102="",多次统计数据!$B$9=""),"",IF(多次统计数据!$B$9&lt;Z102,"低于上限","达到或超过上限"))</f>
        <v/>
      </c>
      <c r="AB102" s="2"/>
    </row>
    <row r="103" customFormat="false" ht="15" hidden="false" customHeight="false" outlineLevel="0" collapsed="false">
      <c r="A103" s="7"/>
      <c r="B103" s="7"/>
      <c r="C103" s="3"/>
      <c r="D103" s="4"/>
      <c r="E103" s="3"/>
      <c r="F103" s="5" t="str">
        <f aca="false">IF(OR(C103="",D103="",E103="",L103="",C103&lt;=0,D103&lt;=0,E103&lt;=L103),"",ROUNDDOWN((C103*D103)/(E103-L103)/100,0)*100)</f>
        <v/>
      </c>
      <c r="G103" s="6"/>
      <c r="H103" s="3"/>
      <c r="I103" s="3"/>
      <c r="J103" s="5" t="str">
        <f aca="false">IF(I103="","",F103)</f>
        <v/>
      </c>
      <c r="K103" s="6"/>
      <c r="L103" s="3"/>
      <c r="M103" s="3"/>
      <c r="N103" s="3"/>
      <c r="O103" s="7"/>
      <c r="P103" s="7"/>
      <c r="Q103" s="7"/>
      <c r="R103" s="7"/>
      <c r="S103" s="8" t="str">
        <f aca="false">IF(OR(E103="",H103="",E103&lt;=0),"",(H103-E103)/E103)</f>
        <v/>
      </c>
      <c r="T103" s="8" t="str">
        <f aca="false">IF(OR(E103="",L103="",E103&lt;=0),"",(E103-L103)/E103)</f>
        <v/>
      </c>
      <c r="U103" s="9" t="str">
        <f aca="false">IF(OR(S103="",T103="",T103&lt;=0),"",S103/T103)</f>
        <v/>
      </c>
      <c r="V103" s="10" t="str">
        <f aca="false">IF(OR(I103="",J103="",E103="",F103=""),"",I103*J103-E103*F103-IF(M103="",0,M103)-IF(N103="",0,N103))</f>
        <v/>
      </c>
      <c r="W103" s="8" t="str">
        <f aca="false">IF(OR(V103="",E103="",F103=""),"",IF(E103*F103+IF(M103="",0,M103)&lt;=0,"",V103/(E103*F103+IF(M103="",0,M103))))</f>
        <v/>
      </c>
      <c r="X103" s="8" t="str">
        <f aca="false">IF(OR(W103="",多次统计数据!$B$8=""),"",W103-多次统计数据!$B$8)</f>
        <v/>
      </c>
      <c r="Y103" s="11" t="str">
        <f aca="false">IF(OR(G103="",K103="",K103&lt;G103),"",K103-G103)</f>
        <v/>
      </c>
      <c r="Z103" s="8" t="str">
        <f aca="false">IF(OR(A103="",多次统计数据!$B$8="",多次统计数据!$B$6&lt;=0,多次统计数据!$B$6&gt;=1),"",1-POWER(1+多次统计数据!$B$8,-多次统计数据!$B$6/(1-多次统计数据!$B$6)))</f>
        <v/>
      </c>
      <c r="AA103" s="12" t="str">
        <f aca="false">IF(OR(Z103="",多次统计数据!$B$9=""),"",IF(多次统计数据!$B$9&lt;Z103,"低于上限","达到或超过上限"))</f>
        <v/>
      </c>
      <c r="AB103" s="2"/>
    </row>
    <row r="104" customFormat="false" ht="15" hidden="false" customHeight="false" outlineLevel="0" collapsed="false">
      <c r="A104" s="7"/>
      <c r="B104" s="7"/>
      <c r="C104" s="3"/>
      <c r="D104" s="4"/>
      <c r="E104" s="3"/>
      <c r="F104" s="5" t="str">
        <f aca="false">IF(OR(C104="",D104="",E104="",L104="",C104&lt;=0,D104&lt;=0,E104&lt;=L104),"",ROUNDDOWN((C104*D104)/(E104-L104)/100,0)*100)</f>
        <v/>
      </c>
      <c r="G104" s="6"/>
      <c r="H104" s="3"/>
      <c r="I104" s="3"/>
      <c r="J104" s="5" t="str">
        <f aca="false">IF(I104="","",F104)</f>
        <v/>
      </c>
      <c r="K104" s="6"/>
      <c r="L104" s="3"/>
      <c r="M104" s="3"/>
      <c r="N104" s="3"/>
      <c r="O104" s="7"/>
      <c r="P104" s="7"/>
      <c r="Q104" s="7"/>
      <c r="R104" s="7"/>
      <c r="S104" s="8" t="str">
        <f aca="false">IF(OR(E104="",H104="",E104&lt;=0),"",(H104-E104)/E104)</f>
        <v/>
      </c>
      <c r="T104" s="8" t="str">
        <f aca="false">IF(OR(E104="",L104="",E104&lt;=0),"",(E104-L104)/E104)</f>
        <v/>
      </c>
      <c r="U104" s="9" t="str">
        <f aca="false">IF(OR(S104="",T104="",T104&lt;=0),"",S104/T104)</f>
        <v/>
      </c>
      <c r="V104" s="10" t="str">
        <f aca="false">IF(OR(I104="",J104="",E104="",F104=""),"",I104*J104-E104*F104-IF(M104="",0,M104)-IF(N104="",0,N104))</f>
        <v/>
      </c>
      <c r="W104" s="8" t="str">
        <f aca="false">IF(OR(V104="",E104="",F104=""),"",IF(E104*F104+IF(M104="",0,M104)&lt;=0,"",V104/(E104*F104+IF(M104="",0,M104))))</f>
        <v/>
      </c>
      <c r="X104" s="8" t="str">
        <f aca="false">IF(OR(W104="",多次统计数据!$B$8=""),"",W104-多次统计数据!$B$8)</f>
        <v/>
      </c>
      <c r="Y104" s="11" t="str">
        <f aca="false">IF(OR(G104="",K104="",K104&lt;G104),"",K104-G104)</f>
        <v/>
      </c>
      <c r="Z104" s="8" t="str">
        <f aca="false">IF(OR(A104="",多次统计数据!$B$8="",多次统计数据!$B$6&lt;=0,多次统计数据!$B$6&gt;=1),"",1-POWER(1+多次统计数据!$B$8,-多次统计数据!$B$6/(1-多次统计数据!$B$6)))</f>
        <v/>
      </c>
      <c r="AA104" s="12" t="str">
        <f aca="false">IF(OR(Z104="",多次统计数据!$B$9=""),"",IF(多次统计数据!$B$9&lt;Z104,"低于上限","达到或超过上限"))</f>
        <v/>
      </c>
      <c r="AB104" s="2"/>
    </row>
    <row r="105" customFormat="false" ht="15" hidden="false" customHeight="false" outlineLevel="0" collapsed="false">
      <c r="A105" s="7"/>
      <c r="B105" s="7"/>
      <c r="C105" s="3"/>
      <c r="D105" s="4"/>
      <c r="E105" s="3"/>
      <c r="F105" s="5" t="str">
        <f aca="false">IF(OR(C105="",D105="",E105="",L105="",C105&lt;=0,D105&lt;=0,E105&lt;=L105),"",ROUNDDOWN((C105*D105)/(E105-L105)/100,0)*100)</f>
        <v/>
      </c>
      <c r="G105" s="6"/>
      <c r="H105" s="3"/>
      <c r="I105" s="3"/>
      <c r="J105" s="5" t="str">
        <f aca="false">IF(I105="","",F105)</f>
        <v/>
      </c>
      <c r="K105" s="6"/>
      <c r="L105" s="3"/>
      <c r="M105" s="3"/>
      <c r="N105" s="3"/>
      <c r="O105" s="7"/>
      <c r="P105" s="7"/>
      <c r="Q105" s="7"/>
      <c r="R105" s="7"/>
      <c r="S105" s="8" t="str">
        <f aca="false">IF(OR(E105="",H105="",E105&lt;=0),"",(H105-E105)/E105)</f>
        <v/>
      </c>
      <c r="T105" s="8" t="str">
        <f aca="false">IF(OR(E105="",L105="",E105&lt;=0),"",(E105-L105)/E105)</f>
        <v/>
      </c>
      <c r="U105" s="9" t="str">
        <f aca="false">IF(OR(S105="",T105="",T105&lt;=0),"",S105/T105)</f>
        <v/>
      </c>
      <c r="V105" s="10" t="str">
        <f aca="false">IF(OR(I105="",J105="",E105="",F105=""),"",I105*J105-E105*F105-IF(M105="",0,M105)-IF(N105="",0,N105))</f>
        <v/>
      </c>
      <c r="W105" s="8" t="str">
        <f aca="false">IF(OR(V105="",E105="",F105=""),"",IF(E105*F105+IF(M105="",0,M105)&lt;=0,"",V105/(E105*F105+IF(M105="",0,M105))))</f>
        <v/>
      </c>
      <c r="X105" s="8" t="str">
        <f aca="false">IF(OR(W105="",多次统计数据!$B$8=""),"",W105-多次统计数据!$B$8)</f>
        <v/>
      </c>
      <c r="Y105" s="11" t="str">
        <f aca="false">IF(OR(G105="",K105="",K105&lt;G105),"",K105-G105)</f>
        <v/>
      </c>
      <c r="Z105" s="8" t="str">
        <f aca="false">IF(OR(A105="",多次统计数据!$B$8="",多次统计数据!$B$6&lt;=0,多次统计数据!$B$6&gt;=1),"",1-POWER(1+多次统计数据!$B$8,-多次统计数据!$B$6/(1-多次统计数据!$B$6)))</f>
        <v/>
      </c>
      <c r="AA105" s="12" t="str">
        <f aca="false">IF(OR(Z105="",多次统计数据!$B$9=""),"",IF(多次统计数据!$B$9&lt;Z105,"低于上限","达到或超过上限"))</f>
        <v/>
      </c>
      <c r="AB105" s="2"/>
    </row>
    <row r="106" customFormat="false" ht="15" hidden="false" customHeight="false" outlineLevel="0" collapsed="false">
      <c r="A106" s="7"/>
      <c r="B106" s="7"/>
      <c r="C106" s="3"/>
      <c r="D106" s="4"/>
      <c r="E106" s="3"/>
      <c r="F106" s="5" t="str">
        <f aca="false">IF(OR(C106="",D106="",E106="",L106="",C106&lt;=0,D106&lt;=0,E106&lt;=L106),"",ROUNDDOWN((C106*D106)/(E106-L106)/100,0)*100)</f>
        <v/>
      </c>
      <c r="G106" s="6"/>
      <c r="H106" s="3"/>
      <c r="I106" s="3"/>
      <c r="J106" s="5" t="str">
        <f aca="false">IF(I106="","",F106)</f>
        <v/>
      </c>
      <c r="K106" s="6"/>
      <c r="L106" s="3"/>
      <c r="M106" s="3"/>
      <c r="N106" s="3"/>
      <c r="O106" s="7"/>
      <c r="P106" s="7"/>
      <c r="Q106" s="7"/>
      <c r="R106" s="7"/>
      <c r="S106" s="8" t="str">
        <f aca="false">IF(OR(E106="",H106="",E106&lt;=0),"",(H106-E106)/E106)</f>
        <v/>
      </c>
      <c r="T106" s="8" t="str">
        <f aca="false">IF(OR(E106="",L106="",E106&lt;=0),"",(E106-L106)/E106)</f>
        <v/>
      </c>
      <c r="U106" s="9" t="str">
        <f aca="false">IF(OR(S106="",T106="",T106&lt;=0),"",S106/T106)</f>
        <v/>
      </c>
      <c r="V106" s="10" t="str">
        <f aca="false">IF(OR(I106="",J106="",E106="",F106=""),"",I106*J106-E106*F106-IF(M106="",0,M106)-IF(N106="",0,N106))</f>
        <v/>
      </c>
      <c r="W106" s="8" t="str">
        <f aca="false">IF(OR(V106="",E106="",F106=""),"",IF(E106*F106+IF(M106="",0,M106)&lt;=0,"",V106/(E106*F106+IF(M106="",0,M106))))</f>
        <v/>
      </c>
      <c r="X106" s="8" t="str">
        <f aca="false">IF(OR(W106="",多次统计数据!$B$8=""),"",W106-多次统计数据!$B$8)</f>
        <v/>
      </c>
      <c r="Y106" s="11" t="str">
        <f aca="false">IF(OR(G106="",K106="",K106&lt;G106),"",K106-G106)</f>
        <v/>
      </c>
      <c r="Z106" s="8" t="str">
        <f aca="false">IF(OR(A106="",多次统计数据!$B$8="",多次统计数据!$B$6&lt;=0,多次统计数据!$B$6&gt;=1),"",1-POWER(1+多次统计数据!$B$8,-多次统计数据!$B$6/(1-多次统计数据!$B$6)))</f>
        <v/>
      </c>
      <c r="AA106" s="12" t="str">
        <f aca="false">IF(OR(Z106="",多次统计数据!$B$9=""),"",IF(多次统计数据!$B$9&lt;Z106,"低于上限","达到或超过上限"))</f>
        <v/>
      </c>
      <c r="AB106" s="2"/>
    </row>
    <row r="107" customFormat="false" ht="15" hidden="false" customHeight="false" outlineLevel="0" collapsed="false">
      <c r="A107" s="7"/>
      <c r="B107" s="7"/>
      <c r="C107" s="3"/>
      <c r="D107" s="4"/>
      <c r="E107" s="3"/>
      <c r="F107" s="5" t="str">
        <f aca="false">IF(OR(C107="",D107="",E107="",L107="",C107&lt;=0,D107&lt;=0,E107&lt;=L107),"",ROUNDDOWN((C107*D107)/(E107-L107)/100,0)*100)</f>
        <v/>
      </c>
      <c r="G107" s="6"/>
      <c r="H107" s="3"/>
      <c r="I107" s="3"/>
      <c r="J107" s="5" t="str">
        <f aca="false">IF(I107="","",F107)</f>
        <v/>
      </c>
      <c r="K107" s="6"/>
      <c r="L107" s="3"/>
      <c r="M107" s="3"/>
      <c r="N107" s="3"/>
      <c r="O107" s="7"/>
      <c r="P107" s="7"/>
      <c r="Q107" s="7"/>
      <c r="R107" s="7"/>
      <c r="S107" s="8" t="str">
        <f aca="false">IF(OR(E107="",H107="",E107&lt;=0),"",(H107-E107)/E107)</f>
        <v/>
      </c>
      <c r="T107" s="8" t="str">
        <f aca="false">IF(OR(E107="",L107="",E107&lt;=0),"",(E107-L107)/E107)</f>
        <v/>
      </c>
      <c r="U107" s="9" t="str">
        <f aca="false">IF(OR(S107="",T107="",T107&lt;=0),"",S107/T107)</f>
        <v/>
      </c>
      <c r="V107" s="10" t="str">
        <f aca="false">IF(OR(I107="",J107="",E107="",F107=""),"",I107*J107-E107*F107-IF(M107="",0,M107)-IF(N107="",0,N107))</f>
        <v/>
      </c>
      <c r="W107" s="8" t="str">
        <f aca="false">IF(OR(V107="",E107="",F107=""),"",IF(E107*F107+IF(M107="",0,M107)&lt;=0,"",V107/(E107*F107+IF(M107="",0,M107))))</f>
        <v/>
      </c>
      <c r="X107" s="8" t="str">
        <f aca="false">IF(OR(W107="",多次统计数据!$B$8=""),"",W107-多次统计数据!$B$8)</f>
        <v/>
      </c>
      <c r="Y107" s="11" t="str">
        <f aca="false">IF(OR(G107="",K107="",K107&lt;G107),"",K107-G107)</f>
        <v/>
      </c>
      <c r="Z107" s="8" t="str">
        <f aca="false">IF(OR(A107="",多次统计数据!$B$8="",多次统计数据!$B$6&lt;=0,多次统计数据!$B$6&gt;=1),"",1-POWER(1+多次统计数据!$B$8,-多次统计数据!$B$6/(1-多次统计数据!$B$6)))</f>
        <v/>
      </c>
      <c r="AA107" s="12" t="str">
        <f aca="false">IF(OR(Z107="",多次统计数据!$B$9=""),"",IF(多次统计数据!$B$9&lt;Z107,"低于上限","达到或超过上限"))</f>
        <v/>
      </c>
      <c r="AB107" s="2"/>
    </row>
    <row r="108" customFormat="false" ht="15" hidden="false" customHeight="false" outlineLevel="0" collapsed="false">
      <c r="A108" s="7"/>
      <c r="B108" s="7"/>
      <c r="C108" s="3"/>
      <c r="D108" s="4"/>
      <c r="E108" s="3"/>
      <c r="F108" s="5" t="str">
        <f aca="false">IF(OR(C108="",D108="",E108="",L108="",C108&lt;=0,D108&lt;=0,E108&lt;=L108),"",ROUNDDOWN((C108*D108)/(E108-L108)/100,0)*100)</f>
        <v/>
      </c>
      <c r="G108" s="6"/>
      <c r="H108" s="3"/>
      <c r="I108" s="3"/>
      <c r="J108" s="5" t="str">
        <f aca="false">IF(I108="","",F108)</f>
        <v/>
      </c>
      <c r="K108" s="6"/>
      <c r="L108" s="3"/>
      <c r="M108" s="3"/>
      <c r="N108" s="3"/>
      <c r="O108" s="7"/>
      <c r="P108" s="7"/>
      <c r="Q108" s="7"/>
      <c r="R108" s="7"/>
      <c r="S108" s="8" t="str">
        <f aca="false">IF(OR(E108="",H108="",E108&lt;=0),"",(H108-E108)/E108)</f>
        <v/>
      </c>
      <c r="T108" s="8" t="str">
        <f aca="false">IF(OR(E108="",L108="",E108&lt;=0),"",(E108-L108)/E108)</f>
        <v/>
      </c>
      <c r="U108" s="9" t="str">
        <f aca="false">IF(OR(S108="",T108="",T108&lt;=0),"",S108/T108)</f>
        <v/>
      </c>
      <c r="V108" s="10" t="str">
        <f aca="false">IF(OR(I108="",J108="",E108="",F108=""),"",I108*J108-E108*F108-IF(M108="",0,M108)-IF(N108="",0,N108))</f>
        <v/>
      </c>
      <c r="W108" s="8" t="str">
        <f aca="false">IF(OR(V108="",E108="",F108=""),"",IF(E108*F108+IF(M108="",0,M108)&lt;=0,"",V108/(E108*F108+IF(M108="",0,M108))))</f>
        <v/>
      </c>
      <c r="X108" s="8" t="str">
        <f aca="false">IF(OR(W108="",多次统计数据!$B$8=""),"",W108-多次统计数据!$B$8)</f>
        <v/>
      </c>
      <c r="Y108" s="11" t="str">
        <f aca="false">IF(OR(G108="",K108="",K108&lt;G108),"",K108-G108)</f>
        <v/>
      </c>
      <c r="Z108" s="8" t="str">
        <f aca="false">IF(OR(A108="",多次统计数据!$B$8="",多次统计数据!$B$6&lt;=0,多次统计数据!$B$6&gt;=1),"",1-POWER(1+多次统计数据!$B$8,-多次统计数据!$B$6/(1-多次统计数据!$B$6)))</f>
        <v/>
      </c>
      <c r="AA108" s="12" t="str">
        <f aca="false">IF(OR(Z108="",多次统计数据!$B$9=""),"",IF(多次统计数据!$B$9&lt;Z108,"低于上限","达到或超过上限"))</f>
        <v/>
      </c>
      <c r="AB108" s="2"/>
    </row>
    <row r="109" customFormat="false" ht="15" hidden="false" customHeight="false" outlineLevel="0" collapsed="false">
      <c r="A109" s="7"/>
      <c r="B109" s="7"/>
      <c r="C109" s="3"/>
      <c r="D109" s="4"/>
      <c r="E109" s="3"/>
      <c r="F109" s="5" t="str">
        <f aca="false">IF(OR(C109="",D109="",E109="",L109="",C109&lt;=0,D109&lt;=0,E109&lt;=L109),"",ROUNDDOWN((C109*D109)/(E109-L109)/100,0)*100)</f>
        <v/>
      </c>
      <c r="G109" s="6"/>
      <c r="H109" s="3"/>
      <c r="I109" s="3"/>
      <c r="J109" s="5" t="str">
        <f aca="false">IF(I109="","",F109)</f>
        <v/>
      </c>
      <c r="K109" s="6"/>
      <c r="L109" s="3"/>
      <c r="M109" s="3"/>
      <c r="N109" s="3"/>
      <c r="O109" s="7"/>
      <c r="P109" s="7"/>
      <c r="Q109" s="7"/>
      <c r="R109" s="7"/>
      <c r="S109" s="8" t="str">
        <f aca="false">IF(OR(E109="",H109="",E109&lt;=0),"",(H109-E109)/E109)</f>
        <v/>
      </c>
      <c r="T109" s="8" t="str">
        <f aca="false">IF(OR(E109="",L109="",E109&lt;=0),"",(E109-L109)/E109)</f>
        <v/>
      </c>
      <c r="U109" s="9" t="str">
        <f aca="false">IF(OR(S109="",T109="",T109&lt;=0),"",S109/T109)</f>
        <v/>
      </c>
      <c r="V109" s="10" t="str">
        <f aca="false">IF(OR(I109="",J109="",E109="",F109=""),"",I109*J109-E109*F109-IF(M109="",0,M109)-IF(N109="",0,N109))</f>
        <v/>
      </c>
      <c r="W109" s="8" t="str">
        <f aca="false">IF(OR(V109="",E109="",F109=""),"",IF(E109*F109+IF(M109="",0,M109)&lt;=0,"",V109/(E109*F109+IF(M109="",0,M109))))</f>
        <v/>
      </c>
      <c r="X109" s="8" t="str">
        <f aca="false">IF(OR(W109="",多次统计数据!$B$8=""),"",W109-多次统计数据!$B$8)</f>
        <v/>
      </c>
      <c r="Y109" s="11" t="str">
        <f aca="false">IF(OR(G109="",K109="",K109&lt;G109),"",K109-G109)</f>
        <v/>
      </c>
      <c r="Z109" s="8" t="str">
        <f aca="false">IF(OR(A109="",多次统计数据!$B$8="",多次统计数据!$B$6&lt;=0,多次统计数据!$B$6&gt;=1),"",1-POWER(1+多次统计数据!$B$8,-多次统计数据!$B$6/(1-多次统计数据!$B$6)))</f>
        <v/>
      </c>
      <c r="AA109" s="12" t="str">
        <f aca="false">IF(OR(Z109="",多次统计数据!$B$9=""),"",IF(多次统计数据!$B$9&lt;Z109,"低于上限","达到或超过上限"))</f>
        <v/>
      </c>
      <c r="AB109" s="2"/>
    </row>
    <row r="110" customFormat="false" ht="15" hidden="false" customHeight="false" outlineLevel="0" collapsed="false">
      <c r="A110" s="7"/>
      <c r="B110" s="7"/>
      <c r="C110" s="3"/>
      <c r="D110" s="4"/>
      <c r="E110" s="3"/>
      <c r="F110" s="5" t="str">
        <f aca="false">IF(OR(C110="",D110="",E110="",L110="",C110&lt;=0,D110&lt;=0,E110&lt;=L110),"",ROUNDDOWN((C110*D110)/(E110-L110)/100,0)*100)</f>
        <v/>
      </c>
      <c r="G110" s="6"/>
      <c r="H110" s="3"/>
      <c r="I110" s="3"/>
      <c r="J110" s="5" t="str">
        <f aca="false">IF(I110="","",F110)</f>
        <v/>
      </c>
      <c r="K110" s="6"/>
      <c r="L110" s="3"/>
      <c r="M110" s="3"/>
      <c r="N110" s="3"/>
      <c r="O110" s="7"/>
      <c r="P110" s="7"/>
      <c r="Q110" s="7"/>
      <c r="R110" s="7"/>
      <c r="S110" s="8" t="str">
        <f aca="false">IF(OR(E110="",H110="",E110&lt;=0),"",(H110-E110)/E110)</f>
        <v/>
      </c>
      <c r="T110" s="8" t="str">
        <f aca="false">IF(OR(E110="",L110="",E110&lt;=0),"",(E110-L110)/E110)</f>
        <v/>
      </c>
      <c r="U110" s="9" t="str">
        <f aca="false">IF(OR(S110="",T110="",T110&lt;=0),"",S110/T110)</f>
        <v/>
      </c>
      <c r="V110" s="10" t="str">
        <f aca="false">IF(OR(I110="",J110="",E110="",F110=""),"",I110*J110-E110*F110-IF(M110="",0,M110)-IF(N110="",0,N110))</f>
        <v/>
      </c>
      <c r="W110" s="8" t="str">
        <f aca="false">IF(OR(V110="",E110="",F110=""),"",IF(E110*F110+IF(M110="",0,M110)&lt;=0,"",V110/(E110*F110+IF(M110="",0,M110))))</f>
        <v/>
      </c>
      <c r="X110" s="8" t="str">
        <f aca="false">IF(OR(W110="",多次统计数据!$B$8=""),"",W110-多次统计数据!$B$8)</f>
        <v/>
      </c>
      <c r="Y110" s="11" t="str">
        <f aca="false">IF(OR(G110="",K110="",K110&lt;G110),"",K110-G110)</f>
        <v/>
      </c>
      <c r="Z110" s="8" t="str">
        <f aca="false">IF(OR(A110="",多次统计数据!$B$8="",多次统计数据!$B$6&lt;=0,多次统计数据!$B$6&gt;=1),"",1-POWER(1+多次统计数据!$B$8,-多次统计数据!$B$6/(1-多次统计数据!$B$6)))</f>
        <v/>
      </c>
      <c r="AA110" s="12" t="str">
        <f aca="false">IF(OR(Z110="",多次统计数据!$B$9=""),"",IF(多次统计数据!$B$9&lt;Z110,"低于上限","达到或超过上限"))</f>
        <v/>
      </c>
      <c r="AB110" s="2"/>
    </row>
    <row r="111" customFormat="false" ht="15" hidden="false" customHeight="false" outlineLevel="0" collapsed="false">
      <c r="A111" s="7"/>
      <c r="B111" s="7"/>
      <c r="C111" s="3"/>
      <c r="D111" s="4"/>
      <c r="E111" s="3"/>
      <c r="F111" s="5" t="str">
        <f aca="false">IF(OR(C111="",D111="",E111="",L111="",C111&lt;=0,D111&lt;=0,E111&lt;=L111),"",ROUNDDOWN((C111*D111)/(E111-L111)/100,0)*100)</f>
        <v/>
      </c>
      <c r="G111" s="6"/>
      <c r="H111" s="3"/>
      <c r="I111" s="3"/>
      <c r="J111" s="5" t="str">
        <f aca="false">IF(I111="","",F111)</f>
        <v/>
      </c>
      <c r="K111" s="6"/>
      <c r="L111" s="3"/>
      <c r="M111" s="3"/>
      <c r="N111" s="3"/>
      <c r="O111" s="7"/>
      <c r="P111" s="7"/>
      <c r="Q111" s="7"/>
      <c r="R111" s="7"/>
      <c r="S111" s="8" t="str">
        <f aca="false">IF(OR(E111="",H111="",E111&lt;=0),"",(H111-E111)/E111)</f>
        <v/>
      </c>
      <c r="T111" s="8" t="str">
        <f aca="false">IF(OR(E111="",L111="",E111&lt;=0),"",(E111-L111)/E111)</f>
        <v/>
      </c>
      <c r="U111" s="9" t="str">
        <f aca="false">IF(OR(S111="",T111="",T111&lt;=0),"",S111/T111)</f>
        <v/>
      </c>
      <c r="V111" s="10" t="str">
        <f aca="false">IF(OR(I111="",J111="",E111="",F111=""),"",I111*J111-E111*F111-IF(M111="",0,M111)-IF(N111="",0,N111))</f>
        <v/>
      </c>
      <c r="W111" s="8" t="str">
        <f aca="false">IF(OR(V111="",E111="",F111=""),"",IF(E111*F111+IF(M111="",0,M111)&lt;=0,"",V111/(E111*F111+IF(M111="",0,M111))))</f>
        <v/>
      </c>
      <c r="X111" s="8" t="str">
        <f aca="false">IF(OR(W111="",多次统计数据!$B$8=""),"",W111-多次统计数据!$B$8)</f>
        <v/>
      </c>
      <c r="Y111" s="11" t="str">
        <f aca="false">IF(OR(G111="",K111="",K111&lt;G111),"",K111-G111)</f>
        <v/>
      </c>
      <c r="Z111" s="8" t="str">
        <f aca="false">IF(OR(A111="",多次统计数据!$B$8="",多次统计数据!$B$6&lt;=0,多次统计数据!$B$6&gt;=1),"",1-POWER(1+多次统计数据!$B$8,-多次统计数据!$B$6/(1-多次统计数据!$B$6)))</f>
        <v/>
      </c>
      <c r="AA111" s="12" t="str">
        <f aca="false">IF(OR(Z111="",多次统计数据!$B$9=""),"",IF(多次统计数据!$B$9&lt;Z111,"低于上限","达到或超过上限"))</f>
        <v/>
      </c>
      <c r="AB111" s="2"/>
    </row>
    <row r="112" customFormat="false" ht="15" hidden="false" customHeight="false" outlineLevel="0" collapsed="false">
      <c r="A112" s="7"/>
      <c r="B112" s="7"/>
      <c r="C112" s="3"/>
      <c r="D112" s="4"/>
      <c r="E112" s="3"/>
      <c r="F112" s="5" t="str">
        <f aca="false">IF(OR(C112="",D112="",E112="",L112="",C112&lt;=0,D112&lt;=0,E112&lt;=L112),"",ROUNDDOWN((C112*D112)/(E112-L112)/100,0)*100)</f>
        <v/>
      </c>
      <c r="G112" s="6"/>
      <c r="H112" s="3"/>
      <c r="I112" s="3"/>
      <c r="J112" s="5" t="str">
        <f aca="false">IF(I112="","",F112)</f>
        <v/>
      </c>
      <c r="K112" s="6"/>
      <c r="L112" s="3"/>
      <c r="M112" s="3"/>
      <c r="N112" s="3"/>
      <c r="O112" s="7"/>
      <c r="P112" s="7"/>
      <c r="Q112" s="7"/>
      <c r="R112" s="7"/>
      <c r="S112" s="8" t="str">
        <f aca="false">IF(OR(E112="",H112="",E112&lt;=0),"",(H112-E112)/E112)</f>
        <v/>
      </c>
      <c r="T112" s="8" t="str">
        <f aca="false">IF(OR(E112="",L112="",E112&lt;=0),"",(E112-L112)/E112)</f>
        <v/>
      </c>
      <c r="U112" s="9" t="str">
        <f aca="false">IF(OR(S112="",T112="",T112&lt;=0),"",S112/T112)</f>
        <v/>
      </c>
      <c r="V112" s="10" t="str">
        <f aca="false">IF(OR(I112="",J112="",E112="",F112=""),"",I112*J112-E112*F112-IF(M112="",0,M112)-IF(N112="",0,N112))</f>
        <v/>
      </c>
      <c r="W112" s="8" t="str">
        <f aca="false">IF(OR(V112="",E112="",F112=""),"",IF(E112*F112+IF(M112="",0,M112)&lt;=0,"",V112/(E112*F112+IF(M112="",0,M112))))</f>
        <v/>
      </c>
      <c r="X112" s="8" t="str">
        <f aca="false">IF(OR(W112="",多次统计数据!$B$8=""),"",W112-多次统计数据!$B$8)</f>
        <v/>
      </c>
      <c r="Y112" s="11" t="str">
        <f aca="false">IF(OR(G112="",K112="",K112&lt;G112),"",K112-G112)</f>
        <v/>
      </c>
      <c r="Z112" s="8" t="str">
        <f aca="false">IF(OR(A112="",多次统计数据!$B$8="",多次统计数据!$B$6&lt;=0,多次统计数据!$B$6&gt;=1),"",1-POWER(1+多次统计数据!$B$8,-多次统计数据!$B$6/(1-多次统计数据!$B$6)))</f>
        <v/>
      </c>
      <c r="AA112" s="12" t="str">
        <f aca="false">IF(OR(Z112="",多次统计数据!$B$9=""),"",IF(多次统计数据!$B$9&lt;Z112,"低于上限","达到或超过上限"))</f>
        <v/>
      </c>
      <c r="AB112" s="2"/>
    </row>
    <row r="113" customFormat="false" ht="15" hidden="false" customHeight="false" outlineLevel="0" collapsed="false">
      <c r="A113" s="7"/>
      <c r="B113" s="7"/>
      <c r="C113" s="3"/>
      <c r="D113" s="4"/>
      <c r="E113" s="3"/>
      <c r="F113" s="5" t="str">
        <f aca="false">IF(OR(C113="",D113="",E113="",L113="",C113&lt;=0,D113&lt;=0,E113&lt;=L113),"",ROUNDDOWN((C113*D113)/(E113-L113)/100,0)*100)</f>
        <v/>
      </c>
      <c r="G113" s="6"/>
      <c r="H113" s="3"/>
      <c r="I113" s="3"/>
      <c r="J113" s="5" t="str">
        <f aca="false">IF(I113="","",F113)</f>
        <v/>
      </c>
      <c r="K113" s="6"/>
      <c r="L113" s="3"/>
      <c r="M113" s="3"/>
      <c r="N113" s="3"/>
      <c r="O113" s="7"/>
      <c r="P113" s="7"/>
      <c r="Q113" s="7"/>
      <c r="R113" s="7"/>
      <c r="S113" s="8" t="str">
        <f aca="false">IF(OR(E113="",H113="",E113&lt;=0),"",(H113-E113)/E113)</f>
        <v/>
      </c>
      <c r="T113" s="8" t="str">
        <f aca="false">IF(OR(E113="",L113="",E113&lt;=0),"",(E113-L113)/E113)</f>
        <v/>
      </c>
      <c r="U113" s="9" t="str">
        <f aca="false">IF(OR(S113="",T113="",T113&lt;=0),"",S113/T113)</f>
        <v/>
      </c>
      <c r="V113" s="10" t="str">
        <f aca="false">IF(OR(I113="",J113="",E113="",F113=""),"",I113*J113-E113*F113-IF(M113="",0,M113)-IF(N113="",0,N113))</f>
        <v/>
      </c>
      <c r="W113" s="8" t="str">
        <f aca="false">IF(OR(V113="",E113="",F113=""),"",IF(E113*F113+IF(M113="",0,M113)&lt;=0,"",V113/(E113*F113+IF(M113="",0,M113))))</f>
        <v/>
      </c>
      <c r="X113" s="8" t="str">
        <f aca="false">IF(OR(W113="",多次统计数据!$B$8=""),"",W113-多次统计数据!$B$8)</f>
        <v/>
      </c>
      <c r="Y113" s="11" t="str">
        <f aca="false">IF(OR(G113="",K113="",K113&lt;G113),"",K113-G113)</f>
        <v/>
      </c>
      <c r="Z113" s="8" t="str">
        <f aca="false">IF(OR(A113="",多次统计数据!$B$8="",多次统计数据!$B$6&lt;=0,多次统计数据!$B$6&gt;=1),"",1-POWER(1+多次统计数据!$B$8,-多次统计数据!$B$6/(1-多次统计数据!$B$6)))</f>
        <v/>
      </c>
      <c r="AA113" s="12" t="str">
        <f aca="false">IF(OR(Z113="",多次统计数据!$B$9=""),"",IF(多次统计数据!$B$9&lt;Z113,"低于上限","达到或超过上限"))</f>
        <v/>
      </c>
      <c r="AB113" s="2"/>
    </row>
    <row r="114" customFormat="false" ht="15" hidden="false" customHeight="false" outlineLevel="0" collapsed="false">
      <c r="A114" s="7"/>
      <c r="B114" s="7"/>
      <c r="C114" s="3"/>
      <c r="D114" s="4"/>
      <c r="E114" s="3"/>
      <c r="F114" s="5" t="str">
        <f aca="false">IF(OR(C114="",D114="",E114="",L114="",C114&lt;=0,D114&lt;=0,E114&lt;=L114),"",ROUNDDOWN((C114*D114)/(E114-L114)/100,0)*100)</f>
        <v/>
      </c>
      <c r="G114" s="6"/>
      <c r="H114" s="3"/>
      <c r="I114" s="3"/>
      <c r="J114" s="5" t="str">
        <f aca="false">IF(I114="","",F114)</f>
        <v/>
      </c>
      <c r="K114" s="6"/>
      <c r="L114" s="3"/>
      <c r="M114" s="3"/>
      <c r="N114" s="3"/>
      <c r="O114" s="7"/>
      <c r="P114" s="7"/>
      <c r="Q114" s="7"/>
      <c r="R114" s="7"/>
      <c r="S114" s="8" t="str">
        <f aca="false">IF(OR(E114="",H114="",E114&lt;=0),"",(H114-E114)/E114)</f>
        <v/>
      </c>
      <c r="T114" s="8" t="str">
        <f aca="false">IF(OR(E114="",L114="",E114&lt;=0),"",(E114-L114)/E114)</f>
        <v/>
      </c>
      <c r="U114" s="9" t="str">
        <f aca="false">IF(OR(S114="",T114="",T114&lt;=0),"",S114/T114)</f>
        <v/>
      </c>
      <c r="V114" s="10" t="str">
        <f aca="false">IF(OR(I114="",J114="",E114="",F114=""),"",I114*J114-E114*F114-IF(M114="",0,M114)-IF(N114="",0,N114))</f>
        <v/>
      </c>
      <c r="W114" s="8" t="str">
        <f aca="false">IF(OR(V114="",E114="",F114=""),"",IF(E114*F114+IF(M114="",0,M114)&lt;=0,"",V114/(E114*F114+IF(M114="",0,M114))))</f>
        <v/>
      </c>
      <c r="X114" s="8" t="str">
        <f aca="false">IF(OR(W114="",多次统计数据!$B$8=""),"",W114-多次统计数据!$B$8)</f>
        <v/>
      </c>
      <c r="Y114" s="11" t="str">
        <f aca="false">IF(OR(G114="",K114="",K114&lt;G114),"",K114-G114)</f>
        <v/>
      </c>
      <c r="Z114" s="8" t="str">
        <f aca="false">IF(OR(A114="",多次统计数据!$B$8="",多次统计数据!$B$6&lt;=0,多次统计数据!$B$6&gt;=1),"",1-POWER(1+多次统计数据!$B$8,-多次统计数据!$B$6/(1-多次统计数据!$B$6)))</f>
        <v/>
      </c>
      <c r="AA114" s="12" t="str">
        <f aca="false">IF(OR(Z114="",多次统计数据!$B$9=""),"",IF(多次统计数据!$B$9&lt;Z114,"低于上限","达到或超过上限"))</f>
        <v/>
      </c>
      <c r="AB114" s="2"/>
    </row>
    <row r="115" customFormat="false" ht="15" hidden="false" customHeight="false" outlineLevel="0" collapsed="false">
      <c r="A115" s="7"/>
      <c r="B115" s="7"/>
      <c r="C115" s="3"/>
      <c r="D115" s="4"/>
      <c r="E115" s="3"/>
      <c r="F115" s="5" t="str">
        <f aca="false">IF(OR(C115="",D115="",E115="",L115="",C115&lt;=0,D115&lt;=0,E115&lt;=L115),"",ROUNDDOWN((C115*D115)/(E115-L115)/100,0)*100)</f>
        <v/>
      </c>
      <c r="G115" s="6"/>
      <c r="H115" s="3"/>
      <c r="I115" s="3"/>
      <c r="J115" s="5" t="str">
        <f aca="false">IF(I115="","",F115)</f>
        <v/>
      </c>
      <c r="K115" s="6"/>
      <c r="L115" s="3"/>
      <c r="M115" s="3"/>
      <c r="N115" s="3"/>
      <c r="O115" s="7"/>
      <c r="P115" s="7"/>
      <c r="Q115" s="7"/>
      <c r="R115" s="7"/>
      <c r="S115" s="8" t="str">
        <f aca="false">IF(OR(E115="",H115="",E115&lt;=0),"",(H115-E115)/E115)</f>
        <v/>
      </c>
      <c r="T115" s="8" t="str">
        <f aca="false">IF(OR(E115="",L115="",E115&lt;=0),"",(E115-L115)/E115)</f>
        <v/>
      </c>
      <c r="U115" s="9" t="str">
        <f aca="false">IF(OR(S115="",T115="",T115&lt;=0),"",S115/T115)</f>
        <v/>
      </c>
      <c r="V115" s="10" t="str">
        <f aca="false">IF(OR(I115="",J115="",E115="",F115=""),"",I115*J115-E115*F115-IF(M115="",0,M115)-IF(N115="",0,N115))</f>
        <v/>
      </c>
      <c r="W115" s="8" t="str">
        <f aca="false">IF(OR(V115="",E115="",F115=""),"",IF(E115*F115+IF(M115="",0,M115)&lt;=0,"",V115/(E115*F115+IF(M115="",0,M115))))</f>
        <v/>
      </c>
      <c r="X115" s="8" t="str">
        <f aca="false">IF(OR(W115="",多次统计数据!$B$8=""),"",W115-多次统计数据!$B$8)</f>
        <v/>
      </c>
      <c r="Y115" s="11" t="str">
        <f aca="false">IF(OR(G115="",K115="",K115&lt;G115),"",K115-G115)</f>
        <v/>
      </c>
      <c r="Z115" s="8" t="str">
        <f aca="false">IF(OR(A115="",多次统计数据!$B$8="",多次统计数据!$B$6&lt;=0,多次统计数据!$B$6&gt;=1),"",1-POWER(1+多次统计数据!$B$8,-多次统计数据!$B$6/(1-多次统计数据!$B$6)))</f>
        <v/>
      </c>
      <c r="AA115" s="12" t="str">
        <f aca="false">IF(OR(Z115="",多次统计数据!$B$9=""),"",IF(多次统计数据!$B$9&lt;Z115,"低于上限","达到或超过上限"))</f>
        <v/>
      </c>
      <c r="AB115" s="2"/>
    </row>
    <row r="116" customFormat="false" ht="15" hidden="false" customHeight="false" outlineLevel="0" collapsed="false">
      <c r="A116" s="7"/>
      <c r="B116" s="7"/>
      <c r="C116" s="3"/>
      <c r="D116" s="4"/>
      <c r="E116" s="3"/>
      <c r="F116" s="5" t="str">
        <f aca="false">IF(OR(C116="",D116="",E116="",L116="",C116&lt;=0,D116&lt;=0,E116&lt;=L116),"",ROUNDDOWN((C116*D116)/(E116-L116)/100,0)*100)</f>
        <v/>
      </c>
      <c r="G116" s="6"/>
      <c r="H116" s="3"/>
      <c r="I116" s="3"/>
      <c r="J116" s="5" t="str">
        <f aca="false">IF(I116="","",F116)</f>
        <v/>
      </c>
      <c r="K116" s="6"/>
      <c r="L116" s="3"/>
      <c r="M116" s="3"/>
      <c r="N116" s="3"/>
      <c r="O116" s="7"/>
      <c r="P116" s="7"/>
      <c r="Q116" s="7"/>
      <c r="R116" s="7"/>
      <c r="S116" s="8" t="str">
        <f aca="false">IF(OR(E116="",H116="",E116&lt;=0),"",(H116-E116)/E116)</f>
        <v/>
      </c>
      <c r="T116" s="8" t="str">
        <f aca="false">IF(OR(E116="",L116="",E116&lt;=0),"",(E116-L116)/E116)</f>
        <v/>
      </c>
      <c r="U116" s="9" t="str">
        <f aca="false">IF(OR(S116="",T116="",T116&lt;=0),"",S116/T116)</f>
        <v/>
      </c>
      <c r="V116" s="10" t="str">
        <f aca="false">IF(OR(I116="",J116="",E116="",F116=""),"",I116*J116-E116*F116-IF(M116="",0,M116)-IF(N116="",0,N116))</f>
        <v/>
      </c>
      <c r="W116" s="8" t="str">
        <f aca="false">IF(OR(V116="",E116="",F116=""),"",IF(E116*F116+IF(M116="",0,M116)&lt;=0,"",V116/(E116*F116+IF(M116="",0,M116))))</f>
        <v/>
      </c>
      <c r="X116" s="8" t="str">
        <f aca="false">IF(OR(W116="",多次统计数据!$B$8=""),"",W116-多次统计数据!$B$8)</f>
        <v/>
      </c>
      <c r="Y116" s="11" t="str">
        <f aca="false">IF(OR(G116="",K116="",K116&lt;G116),"",K116-G116)</f>
        <v/>
      </c>
      <c r="Z116" s="8" t="str">
        <f aca="false">IF(OR(A116="",多次统计数据!$B$8="",多次统计数据!$B$6&lt;=0,多次统计数据!$B$6&gt;=1),"",1-POWER(1+多次统计数据!$B$8,-多次统计数据!$B$6/(1-多次统计数据!$B$6)))</f>
        <v/>
      </c>
      <c r="AA116" s="12" t="str">
        <f aca="false">IF(OR(Z116="",多次统计数据!$B$9=""),"",IF(多次统计数据!$B$9&lt;Z116,"低于上限","达到或超过上限"))</f>
        <v/>
      </c>
      <c r="AB116" s="2"/>
    </row>
    <row r="117" customFormat="false" ht="15" hidden="false" customHeight="false" outlineLevel="0" collapsed="false">
      <c r="A117" s="7"/>
      <c r="B117" s="7"/>
      <c r="C117" s="3"/>
      <c r="D117" s="4"/>
      <c r="E117" s="3"/>
      <c r="F117" s="5" t="str">
        <f aca="false">IF(OR(C117="",D117="",E117="",L117="",C117&lt;=0,D117&lt;=0,E117&lt;=L117),"",ROUNDDOWN((C117*D117)/(E117-L117)/100,0)*100)</f>
        <v/>
      </c>
      <c r="G117" s="6"/>
      <c r="H117" s="3"/>
      <c r="I117" s="3"/>
      <c r="J117" s="5" t="str">
        <f aca="false">IF(I117="","",F117)</f>
        <v/>
      </c>
      <c r="K117" s="6"/>
      <c r="L117" s="3"/>
      <c r="M117" s="3"/>
      <c r="N117" s="3"/>
      <c r="O117" s="7"/>
      <c r="P117" s="7"/>
      <c r="Q117" s="7"/>
      <c r="R117" s="7"/>
      <c r="S117" s="8" t="str">
        <f aca="false">IF(OR(E117="",H117="",E117&lt;=0),"",(H117-E117)/E117)</f>
        <v/>
      </c>
      <c r="T117" s="8" t="str">
        <f aca="false">IF(OR(E117="",L117="",E117&lt;=0),"",(E117-L117)/E117)</f>
        <v/>
      </c>
      <c r="U117" s="9" t="str">
        <f aca="false">IF(OR(S117="",T117="",T117&lt;=0),"",S117/T117)</f>
        <v/>
      </c>
      <c r="V117" s="10" t="str">
        <f aca="false">IF(OR(I117="",J117="",E117="",F117=""),"",I117*J117-E117*F117-IF(M117="",0,M117)-IF(N117="",0,N117))</f>
        <v/>
      </c>
      <c r="W117" s="8" t="str">
        <f aca="false">IF(OR(V117="",E117="",F117=""),"",IF(E117*F117+IF(M117="",0,M117)&lt;=0,"",V117/(E117*F117+IF(M117="",0,M117))))</f>
        <v/>
      </c>
      <c r="X117" s="8" t="str">
        <f aca="false">IF(OR(W117="",多次统计数据!$B$8=""),"",W117-多次统计数据!$B$8)</f>
        <v/>
      </c>
      <c r="Y117" s="11" t="str">
        <f aca="false">IF(OR(G117="",K117="",K117&lt;G117),"",K117-G117)</f>
        <v/>
      </c>
      <c r="Z117" s="8" t="str">
        <f aca="false">IF(OR(A117="",多次统计数据!$B$8="",多次统计数据!$B$6&lt;=0,多次统计数据!$B$6&gt;=1),"",1-POWER(1+多次统计数据!$B$8,-多次统计数据!$B$6/(1-多次统计数据!$B$6)))</f>
        <v/>
      </c>
      <c r="AA117" s="12" t="str">
        <f aca="false">IF(OR(Z117="",多次统计数据!$B$9=""),"",IF(多次统计数据!$B$9&lt;Z117,"低于上限","达到或超过上限"))</f>
        <v/>
      </c>
      <c r="AB117" s="2"/>
    </row>
    <row r="118" customFormat="false" ht="15" hidden="false" customHeight="false" outlineLevel="0" collapsed="false">
      <c r="A118" s="7"/>
      <c r="B118" s="7"/>
      <c r="C118" s="3"/>
      <c r="D118" s="4"/>
      <c r="E118" s="3"/>
      <c r="F118" s="5" t="str">
        <f aca="false">IF(OR(C118="",D118="",E118="",L118="",C118&lt;=0,D118&lt;=0,E118&lt;=L118),"",ROUNDDOWN((C118*D118)/(E118-L118)/100,0)*100)</f>
        <v/>
      </c>
      <c r="G118" s="6"/>
      <c r="H118" s="3"/>
      <c r="I118" s="3"/>
      <c r="J118" s="5" t="str">
        <f aca="false">IF(I118="","",F118)</f>
        <v/>
      </c>
      <c r="K118" s="6"/>
      <c r="L118" s="3"/>
      <c r="M118" s="3"/>
      <c r="N118" s="3"/>
      <c r="O118" s="7"/>
      <c r="P118" s="7"/>
      <c r="Q118" s="7"/>
      <c r="R118" s="7"/>
      <c r="S118" s="8" t="str">
        <f aca="false">IF(OR(E118="",H118="",E118&lt;=0),"",(H118-E118)/E118)</f>
        <v/>
      </c>
      <c r="T118" s="8" t="str">
        <f aca="false">IF(OR(E118="",L118="",E118&lt;=0),"",(E118-L118)/E118)</f>
        <v/>
      </c>
      <c r="U118" s="9" t="str">
        <f aca="false">IF(OR(S118="",T118="",T118&lt;=0),"",S118/T118)</f>
        <v/>
      </c>
      <c r="V118" s="10" t="str">
        <f aca="false">IF(OR(I118="",J118="",E118="",F118=""),"",I118*J118-E118*F118-IF(M118="",0,M118)-IF(N118="",0,N118))</f>
        <v/>
      </c>
      <c r="W118" s="8" t="str">
        <f aca="false">IF(OR(V118="",E118="",F118=""),"",IF(E118*F118+IF(M118="",0,M118)&lt;=0,"",V118/(E118*F118+IF(M118="",0,M118))))</f>
        <v/>
      </c>
      <c r="X118" s="8" t="str">
        <f aca="false">IF(OR(W118="",多次统计数据!$B$8=""),"",W118-多次统计数据!$B$8)</f>
        <v/>
      </c>
      <c r="Y118" s="11" t="str">
        <f aca="false">IF(OR(G118="",K118="",K118&lt;G118),"",K118-G118)</f>
        <v/>
      </c>
      <c r="Z118" s="8" t="str">
        <f aca="false">IF(OR(A118="",多次统计数据!$B$8="",多次统计数据!$B$6&lt;=0,多次统计数据!$B$6&gt;=1),"",1-POWER(1+多次统计数据!$B$8,-多次统计数据!$B$6/(1-多次统计数据!$B$6)))</f>
        <v/>
      </c>
      <c r="AA118" s="12" t="str">
        <f aca="false">IF(OR(Z118="",多次统计数据!$B$9=""),"",IF(多次统计数据!$B$9&lt;Z118,"低于上限","达到或超过上限"))</f>
        <v/>
      </c>
      <c r="AB118" s="2"/>
    </row>
    <row r="119" customFormat="false" ht="15" hidden="false" customHeight="false" outlineLevel="0" collapsed="false">
      <c r="A119" s="7"/>
      <c r="B119" s="7"/>
      <c r="C119" s="3"/>
      <c r="D119" s="4"/>
      <c r="E119" s="3"/>
      <c r="F119" s="5" t="str">
        <f aca="false">IF(OR(C119="",D119="",E119="",L119="",C119&lt;=0,D119&lt;=0,E119&lt;=L119),"",ROUNDDOWN((C119*D119)/(E119-L119)/100,0)*100)</f>
        <v/>
      </c>
      <c r="G119" s="6"/>
      <c r="H119" s="3"/>
      <c r="I119" s="3"/>
      <c r="J119" s="5" t="str">
        <f aca="false">IF(I119="","",F119)</f>
        <v/>
      </c>
      <c r="K119" s="6"/>
      <c r="L119" s="3"/>
      <c r="M119" s="3"/>
      <c r="N119" s="3"/>
      <c r="O119" s="7"/>
      <c r="P119" s="7"/>
      <c r="Q119" s="7"/>
      <c r="R119" s="7"/>
      <c r="S119" s="8" t="str">
        <f aca="false">IF(OR(E119="",H119="",E119&lt;=0),"",(H119-E119)/E119)</f>
        <v/>
      </c>
      <c r="T119" s="8" t="str">
        <f aca="false">IF(OR(E119="",L119="",E119&lt;=0),"",(E119-L119)/E119)</f>
        <v/>
      </c>
      <c r="U119" s="9" t="str">
        <f aca="false">IF(OR(S119="",T119="",T119&lt;=0),"",S119/T119)</f>
        <v/>
      </c>
      <c r="V119" s="10" t="str">
        <f aca="false">IF(OR(I119="",J119="",E119="",F119=""),"",I119*J119-E119*F119-IF(M119="",0,M119)-IF(N119="",0,N119))</f>
        <v/>
      </c>
      <c r="W119" s="8" t="str">
        <f aca="false">IF(OR(V119="",E119="",F119=""),"",IF(E119*F119+IF(M119="",0,M119)&lt;=0,"",V119/(E119*F119+IF(M119="",0,M119))))</f>
        <v/>
      </c>
      <c r="X119" s="8" t="str">
        <f aca="false">IF(OR(W119="",多次统计数据!$B$8=""),"",W119-多次统计数据!$B$8)</f>
        <v/>
      </c>
      <c r="Y119" s="11" t="str">
        <f aca="false">IF(OR(G119="",K119="",K119&lt;G119),"",K119-G119)</f>
        <v/>
      </c>
      <c r="Z119" s="8" t="str">
        <f aca="false">IF(OR(A119="",多次统计数据!$B$8="",多次统计数据!$B$6&lt;=0,多次统计数据!$B$6&gt;=1),"",1-POWER(1+多次统计数据!$B$8,-多次统计数据!$B$6/(1-多次统计数据!$B$6)))</f>
        <v/>
      </c>
      <c r="AA119" s="12" t="str">
        <f aca="false">IF(OR(Z119="",多次统计数据!$B$9=""),"",IF(多次统计数据!$B$9&lt;Z119,"低于上限","达到或超过上限"))</f>
        <v/>
      </c>
      <c r="AB119" s="2"/>
    </row>
    <row r="120" customFormat="false" ht="15" hidden="false" customHeight="false" outlineLevel="0" collapsed="false">
      <c r="A120" s="7"/>
      <c r="B120" s="7"/>
      <c r="C120" s="3"/>
      <c r="D120" s="4"/>
      <c r="E120" s="3"/>
      <c r="F120" s="5" t="str">
        <f aca="false">IF(OR(C120="",D120="",E120="",L120="",C120&lt;=0,D120&lt;=0,E120&lt;=L120),"",ROUNDDOWN((C120*D120)/(E120-L120)/100,0)*100)</f>
        <v/>
      </c>
      <c r="G120" s="6"/>
      <c r="H120" s="3"/>
      <c r="I120" s="3"/>
      <c r="J120" s="5" t="str">
        <f aca="false">IF(I120="","",F120)</f>
        <v/>
      </c>
      <c r="K120" s="6"/>
      <c r="L120" s="3"/>
      <c r="M120" s="3"/>
      <c r="N120" s="3"/>
      <c r="O120" s="7"/>
      <c r="P120" s="7"/>
      <c r="Q120" s="7"/>
      <c r="R120" s="7"/>
      <c r="S120" s="8" t="str">
        <f aca="false">IF(OR(E120="",H120="",E120&lt;=0),"",(H120-E120)/E120)</f>
        <v/>
      </c>
      <c r="T120" s="8" t="str">
        <f aca="false">IF(OR(E120="",L120="",E120&lt;=0),"",(E120-L120)/E120)</f>
        <v/>
      </c>
      <c r="U120" s="9" t="str">
        <f aca="false">IF(OR(S120="",T120="",T120&lt;=0),"",S120/T120)</f>
        <v/>
      </c>
      <c r="V120" s="10" t="str">
        <f aca="false">IF(OR(I120="",J120="",E120="",F120=""),"",I120*J120-E120*F120-IF(M120="",0,M120)-IF(N120="",0,N120))</f>
        <v/>
      </c>
      <c r="W120" s="8" t="str">
        <f aca="false">IF(OR(V120="",E120="",F120=""),"",IF(E120*F120+IF(M120="",0,M120)&lt;=0,"",V120/(E120*F120+IF(M120="",0,M120))))</f>
        <v/>
      </c>
      <c r="X120" s="8" t="str">
        <f aca="false">IF(OR(W120="",多次统计数据!$B$8=""),"",W120-多次统计数据!$B$8)</f>
        <v/>
      </c>
      <c r="Y120" s="11" t="str">
        <f aca="false">IF(OR(G120="",K120="",K120&lt;G120),"",K120-G120)</f>
        <v/>
      </c>
      <c r="Z120" s="8" t="str">
        <f aca="false">IF(OR(A120="",多次统计数据!$B$8="",多次统计数据!$B$6&lt;=0,多次统计数据!$B$6&gt;=1),"",1-POWER(1+多次统计数据!$B$8,-多次统计数据!$B$6/(1-多次统计数据!$B$6)))</f>
        <v/>
      </c>
      <c r="AA120" s="12" t="str">
        <f aca="false">IF(OR(Z120="",多次统计数据!$B$9=""),"",IF(多次统计数据!$B$9&lt;Z120,"低于上限","达到或超过上限"))</f>
        <v/>
      </c>
      <c r="AB120" s="2"/>
    </row>
    <row r="121" customFormat="false" ht="15" hidden="false" customHeight="false" outlineLevel="0" collapsed="false">
      <c r="A121" s="7"/>
      <c r="B121" s="7"/>
      <c r="C121" s="3"/>
      <c r="D121" s="4"/>
      <c r="E121" s="3"/>
      <c r="F121" s="5" t="str">
        <f aca="false">IF(OR(C121="",D121="",E121="",L121="",C121&lt;=0,D121&lt;=0,E121&lt;=L121),"",ROUNDDOWN((C121*D121)/(E121-L121)/100,0)*100)</f>
        <v/>
      </c>
      <c r="G121" s="6"/>
      <c r="H121" s="3"/>
      <c r="I121" s="3"/>
      <c r="J121" s="5" t="str">
        <f aca="false">IF(I121="","",F121)</f>
        <v/>
      </c>
      <c r="K121" s="6"/>
      <c r="L121" s="3"/>
      <c r="M121" s="3"/>
      <c r="N121" s="3"/>
      <c r="O121" s="7"/>
      <c r="P121" s="7"/>
      <c r="Q121" s="7"/>
      <c r="R121" s="7"/>
      <c r="S121" s="8" t="str">
        <f aca="false">IF(OR(E121="",H121="",E121&lt;=0),"",(H121-E121)/E121)</f>
        <v/>
      </c>
      <c r="T121" s="8" t="str">
        <f aca="false">IF(OR(E121="",L121="",E121&lt;=0),"",(E121-L121)/E121)</f>
        <v/>
      </c>
      <c r="U121" s="9" t="str">
        <f aca="false">IF(OR(S121="",T121="",T121&lt;=0),"",S121/T121)</f>
        <v/>
      </c>
      <c r="V121" s="10" t="str">
        <f aca="false">IF(OR(I121="",J121="",E121="",F121=""),"",I121*J121-E121*F121-IF(M121="",0,M121)-IF(N121="",0,N121))</f>
        <v/>
      </c>
      <c r="W121" s="8" t="str">
        <f aca="false">IF(OR(V121="",E121="",F121=""),"",IF(E121*F121+IF(M121="",0,M121)&lt;=0,"",V121/(E121*F121+IF(M121="",0,M121))))</f>
        <v/>
      </c>
      <c r="X121" s="8" t="str">
        <f aca="false">IF(OR(W121="",多次统计数据!$B$8=""),"",W121-多次统计数据!$B$8)</f>
        <v/>
      </c>
      <c r="Y121" s="11" t="str">
        <f aca="false">IF(OR(G121="",K121="",K121&lt;G121),"",K121-G121)</f>
        <v/>
      </c>
      <c r="Z121" s="8" t="str">
        <f aca="false">IF(OR(A121="",多次统计数据!$B$8="",多次统计数据!$B$6&lt;=0,多次统计数据!$B$6&gt;=1),"",1-POWER(1+多次统计数据!$B$8,-多次统计数据!$B$6/(1-多次统计数据!$B$6)))</f>
        <v/>
      </c>
      <c r="AA121" s="12" t="str">
        <f aca="false">IF(OR(Z121="",多次统计数据!$B$9=""),"",IF(多次统计数据!$B$9&lt;Z121,"低于上限","达到或超过上限"))</f>
        <v/>
      </c>
      <c r="AB121" s="2"/>
    </row>
    <row r="122" customFormat="false" ht="15" hidden="false" customHeight="false" outlineLevel="0" collapsed="false">
      <c r="A122" s="7"/>
      <c r="B122" s="7"/>
      <c r="C122" s="3"/>
      <c r="D122" s="4"/>
      <c r="E122" s="3"/>
      <c r="F122" s="5" t="str">
        <f aca="false">IF(OR(C122="",D122="",E122="",L122="",C122&lt;=0,D122&lt;=0,E122&lt;=L122),"",ROUNDDOWN((C122*D122)/(E122-L122)/100,0)*100)</f>
        <v/>
      </c>
      <c r="G122" s="6"/>
      <c r="H122" s="3"/>
      <c r="I122" s="3"/>
      <c r="J122" s="5" t="str">
        <f aca="false">IF(I122="","",F122)</f>
        <v/>
      </c>
      <c r="K122" s="6"/>
      <c r="L122" s="3"/>
      <c r="M122" s="3"/>
      <c r="N122" s="3"/>
      <c r="O122" s="7"/>
      <c r="P122" s="7"/>
      <c r="Q122" s="7"/>
      <c r="R122" s="7"/>
      <c r="S122" s="8" t="str">
        <f aca="false">IF(OR(E122="",H122="",E122&lt;=0),"",(H122-E122)/E122)</f>
        <v/>
      </c>
      <c r="T122" s="8" t="str">
        <f aca="false">IF(OR(E122="",L122="",E122&lt;=0),"",(E122-L122)/E122)</f>
        <v/>
      </c>
      <c r="U122" s="9" t="str">
        <f aca="false">IF(OR(S122="",T122="",T122&lt;=0),"",S122/T122)</f>
        <v/>
      </c>
      <c r="V122" s="10" t="str">
        <f aca="false">IF(OR(I122="",J122="",E122="",F122=""),"",I122*J122-E122*F122-IF(M122="",0,M122)-IF(N122="",0,N122))</f>
        <v/>
      </c>
      <c r="W122" s="8" t="str">
        <f aca="false">IF(OR(V122="",E122="",F122=""),"",IF(E122*F122+IF(M122="",0,M122)&lt;=0,"",V122/(E122*F122+IF(M122="",0,M122))))</f>
        <v/>
      </c>
      <c r="X122" s="8" t="str">
        <f aca="false">IF(OR(W122="",多次统计数据!$B$8=""),"",W122-多次统计数据!$B$8)</f>
        <v/>
      </c>
      <c r="Y122" s="11" t="str">
        <f aca="false">IF(OR(G122="",K122="",K122&lt;G122),"",K122-G122)</f>
        <v/>
      </c>
      <c r="Z122" s="8" t="str">
        <f aca="false">IF(OR(A122="",多次统计数据!$B$8="",多次统计数据!$B$6&lt;=0,多次统计数据!$B$6&gt;=1),"",1-POWER(1+多次统计数据!$B$8,-多次统计数据!$B$6/(1-多次统计数据!$B$6)))</f>
        <v/>
      </c>
      <c r="AA122" s="12" t="str">
        <f aca="false">IF(OR(Z122="",多次统计数据!$B$9=""),"",IF(多次统计数据!$B$9&lt;Z122,"低于上限","达到或超过上限"))</f>
        <v/>
      </c>
      <c r="AB122" s="2"/>
    </row>
    <row r="123" customFormat="false" ht="15" hidden="false" customHeight="false" outlineLevel="0" collapsed="false">
      <c r="A123" s="7"/>
      <c r="B123" s="7"/>
      <c r="C123" s="3"/>
      <c r="D123" s="4"/>
      <c r="E123" s="3"/>
      <c r="F123" s="5" t="str">
        <f aca="false">IF(OR(C123="",D123="",E123="",L123="",C123&lt;=0,D123&lt;=0,E123&lt;=L123),"",ROUNDDOWN((C123*D123)/(E123-L123)/100,0)*100)</f>
        <v/>
      </c>
      <c r="G123" s="6"/>
      <c r="H123" s="3"/>
      <c r="I123" s="3"/>
      <c r="J123" s="5" t="str">
        <f aca="false">IF(I123="","",F123)</f>
        <v/>
      </c>
      <c r="K123" s="6"/>
      <c r="L123" s="3"/>
      <c r="M123" s="3"/>
      <c r="N123" s="3"/>
      <c r="O123" s="7"/>
      <c r="P123" s="7"/>
      <c r="Q123" s="7"/>
      <c r="R123" s="7"/>
      <c r="S123" s="8" t="str">
        <f aca="false">IF(OR(E123="",H123="",E123&lt;=0),"",(H123-E123)/E123)</f>
        <v/>
      </c>
      <c r="T123" s="8" t="str">
        <f aca="false">IF(OR(E123="",L123="",E123&lt;=0),"",(E123-L123)/E123)</f>
        <v/>
      </c>
      <c r="U123" s="9" t="str">
        <f aca="false">IF(OR(S123="",T123="",T123&lt;=0),"",S123/T123)</f>
        <v/>
      </c>
      <c r="V123" s="10" t="str">
        <f aca="false">IF(OR(I123="",J123="",E123="",F123=""),"",I123*J123-E123*F123-IF(M123="",0,M123)-IF(N123="",0,N123))</f>
        <v/>
      </c>
      <c r="W123" s="8" t="str">
        <f aca="false">IF(OR(V123="",E123="",F123=""),"",IF(E123*F123+IF(M123="",0,M123)&lt;=0,"",V123/(E123*F123+IF(M123="",0,M123))))</f>
        <v/>
      </c>
      <c r="X123" s="8" t="str">
        <f aca="false">IF(OR(W123="",多次统计数据!$B$8=""),"",W123-多次统计数据!$B$8)</f>
        <v/>
      </c>
      <c r="Y123" s="11" t="str">
        <f aca="false">IF(OR(G123="",K123="",K123&lt;G123),"",K123-G123)</f>
        <v/>
      </c>
      <c r="Z123" s="8" t="str">
        <f aca="false">IF(OR(A123="",多次统计数据!$B$8="",多次统计数据!$B$6&lt;=0,多次统计数据!$B$6&gt;=1),"",1-POWER(1+多次统计数据!$B$8,-多次统计数据!$B$6/(1-多次统计数据!$B$6)))</f>
        <v/>
      </c>
      <c r="AA123" s="12" t="str">
        <f aca="false">IF(OR(Z123="",多次统计数据!$B$9=""),"",IF(多次统计数据!$B$9&lt;Z123,"低于上限","达到或超过上限"))</f>
        <v/>
      </c>
      <c r="AB123" s="2"/>
    </row>
    <row r="124" customFormat="false" ht="15" hidden="false" customHeight="false" outlineLevel="0" collapsed="false">
      <c r="A124" s="7"/>
      <c r="B124" s="7"/>
      <c r="C124" s="3"/>
      <c r="D124" s="4"/>
      <c r="E124" s="3"/>
      <c r="F124" s="5" t="str">
        <f aca="false">IF(OR(C124="",D124="",E124="",L124="",C124&lt;=0,D124&lt;=0,E124&lt;=L124),"",ROUNDDOWN((C124*D124)/(E124-L124)/100,0)*100)</f>
        <v/>
      </c>
      <c r="G124" s="6"/>
      <c r="H124" s="3"/>
      <c r="I124" s="3"/>
      <c r="J124" s="5" t="str">
        <f aca="false">IF(I124="","",F124)</f>
        <v/>
      </c>
      <c r="K124" s="6"/>
      <c r="L124" s="3"/>
      <c r="M124" s="3"/>
      <c r="N124" s="3"/>
      <c r="O124" s="7"/>
      <c r="P124" s="7"/>
      <c r="Q124" s="7"/>
      <c r="R124" s="7"/>
      <c r="S124" s="8" t="str">
        <f aca="false">IF(OR(E124="",H124="",E124&lt;=0),"",(H124-E124)/E124)</f>
        <v/>
      </c>
      <c r="T124" s="8" t="str">
        <f aca="false">IF(OR(E124="",L124="",E124&lt;=0),"",(E124-L124)/E124)</f>
        <v/>
      </c>
      <c r="U124" s="9" t="str">
        <f aca="false">IF(OR(S124="",T124="",T124&lt;=0),"",S124/T124)</f>
        <v/>
      </c>
      <c r="V124" s="10" t="str">
        <f aca="false">IF(OR(I124="",J124="",E124="",F124=""),"",I124*J124-E124*F124-IF(M124="",0,M124)-IF(N124="",0,N124))</f>
        <v/>
      </c>
      <c r="W124" s="8" t="str">
        <f aca="false">IF(OR(V124="",E124="",F124=""),"",IF(E124*F124+IF(M124="",0,M124)&lt;=0,"",V124/(E124*F124+IF(M124="",0,M124))))</f>
        <v/>
      </c>
      <c r="X124" s="8" t="str">
        <f aca="false">IF(OR(W124="",多次统计数据!$B$8=""),"",W124-多次统计数据!$B$8)</f>
        <v/>
      </c>
      <c r="Y124" s="11" t="str">
        <f aca="false">IF(OR(G124="",K124="",K124&lt;G124),"",K124-G124)</f>
        <v/>
      </c>
      <c r="Z124" s="8" t="str">
        <f aca="false">IF(OR(A124="",多次统计数据!$B$8="",多次统计数据!$B$6&lt;=0,多次统计数据!$B$6&gt;=1),"",1-POWER(1+多次统计数据!$B$8,-多次统计数据!$B$6/(1-多次统计数据!$B$6)))</f>
        <v/>
      </c>
      <c r="AA124" s="12" t="str">
        <f aca="false">IF(OR(Z124="",多次统计数据!$B$9=""),"",IF(多次统计数据!$B$9&lt;Z124,"低于上限","达到或超过上限"))</f>
        <v/>
      </c>
      <c r="AB124" s="2"/>
    </row>
    <row r="125" customFormat="false" ht="15" hidden="false" customHeight="false" outlineLevel="0" collapsed="false">
      <c r="A125" s="7"/>
      <c r="B125" s="7"/>
      <c r="C125" s="3"/>
      <c r="D125" s="4"/>
      <c r="E125" s="3"/>
      <c r="F125" s="5" t="str">
        <f aca="false">IF(OR(C125="",D125="",E125="",L125="",C125&lt;=0,D125&lt;=0,E125&lt;=L125),"",ROUNDDOWN((C125*D125)/(E125-L125)/100,0)*100)</f>
        <v/>
      </c>
      <c r="G125" s="6"/>
      <c r="H125" s="3"/>
      <c r="I125" s="3"/>
      <c r="J125" s="5" t="str">
        <f aca="false">IF(I125="","",F125)</f>
        <v/>
      </c>
      <c r="K125" s="6"/>
      <c r="L125" s="3"/>
      <c r="M125" s="3"/>
      <c r="N125" s="3"/>
      <c r="O125" s="7"/>
      <c r="P125" s="7"/>
      <c r="Q125" s="7"/>
      <c r="R125" s="7"/>
      <c r="S125" s="8" t="str">
        <f aca="false">IF(OR(E125="",H125="",E125&lt;=0),"",(H125-E125)/E125)</f>
        <v/>
      </c>
      <c r="T125" s="8" t="str">
        <f aca="false">IF(OR(E125="",L125="",E125&lt;=0),"",(E125-L125)/E125)</f>
        <v/>
      </c>
      <c r="U125" s="9" t="str">
        <f aca="false">IF(OR(S125="",T125="",T125&lt;=0),"",S125/T125)</f>
        <v/>
      </c>
      <c r="V125" s="10" t="str">
        <f aca="false">IF(OR(I125="",J125="",E125="",F125=""),"",I125*J125-E125*F125-IF(M125="",0,M125)-IF(N125="",0,N125))</f>
        <v/>
      </c>
      <c r="W125" s="8" t="str">
        <f aca="false">IF(OR(V125="",E125="",F125=""),"",IF(E125*F125+IF(M125="",0,M125)&lt;=0,"",V125/(E125*F125+IF(M125="",0,M125))))</f>
        <v/>
      </c>
      <c r="X125" s="8" t="str">
        <f aca="false">IF(OR(W125="",多次统计数据!$B$8=""),"",W125-多次统计数据!$B$8)</f>
        <v/>
      </c>
      <c r="Y125" s="11" t="str">
        <f aca="false">IF(OR(G125="",K125="",K125&lt;G125),"",K125-G125)</f>
        <v/>
      </c>
      <c r="Z125" s="8" t="str">
        <f aca="false">IF(OR(A125="",多次统计数据!$B$8="",多次统计数据!$B$6&lt;=0,多次统计数据!$B$6&gt;=1),"",1-POWER(1+多次统计数据!$B$8,-多次统计数据!$B$6/(1-多次统计数据!$B$6)))</f>
        <v/>
      </c>
      <c r="AA125" s="12" t="str">
        <f aca="false">IF(OR(Z125="",多次统计数据!$B$9=""),"",IF(多次统计数据!$B$9&lt;Z125,"低于上限","达到或超过上限"))</f>
        <v/>
      </c>
      <c r="AB125" s="2"/>
    </row>
    <row r="126" customFormat="false" ht="15" hidden="false" customHeight="false" outlineLevel="0" collapsed="false">
      <c r="A126" s="7"/>
      <c r="B126" s="7"/>
      <c r="C126" s="3"/>
      <c r="D126" s="4"/>
      <c r="E126" s="3"/>
      <c r="F126" s="5" t="str">
        <f aca="false">IF(OR(C126="",D126="",E126="",L126="",C126&lt;=0,D126&lt;=0,E126&lt;=L126),"",ROUNDDOWN((C126*D126)/(E126-L126)/100,0)*100)</f>
        <v/>
      </c>
      <c r="G126" s="6"/>
      <c r="H126" s="3"/>
      <c r="I126" s="3"/>
      <c r="J126" s="5" t="str">
        <f aca="false">IF(I126="","",F126)</f>
        <v/>
      </c>
      <c r="K126" s="6"/>
      <c r="L126" s="3"/>
      <c r="M126" s="3"/>
      <c r="N126" s="3"/>
      <c r="O126" s="7"/>
      <c r="P126" s="7"/>
      <c r="Q126" s="7"/>
      <c r="R126" s="7"/>
      <c r="S126" s="8" t="str">
        <f aca="false">IF(OR(E126="",H126="",E126&lt;=0),"",(H126-E126)/E126)</f>
        <v/>
      </c>
      <c r="T126" s="8" t="str">
        <f aca="false">IF(OR(E126="",L126="",E126&lt;=0),"",(E126-L126)/E126)</f>
        <v/>
      </c>
      <c r="U126" s="9" t="str">
        <f aca="false">IF(OR(S126="",T126="",T126&lt;=0),"",S126/T126)</f>
        <v/>
      </c>
      <c r="V126" s="10" t="str">
        <f aca="false">IF(OR(I126="",J126="",E126="",F126=""),"",I126*J126-E126*F126-IF(M126="",0,M126)-IF(N126="",0,N126))</f>
        <v/>
      </c>
      <c r="W126" s="8" t="str">
        <f aca="false">IF(OR(V126="",E126="",F126=""),"",IF(E126*F126+IF(M126="",0,M126)&lt;=0,"",V126/(E126*F126+IF(M126="",0,M126))))</f>
        <v/>
      </c>
      <c r="X126" s="8" t="str">
        <f aca="false">IF(OR(W126="",多次统计数据!$B$8=""),"",W126-多次统计数据!$B$8)</f>
        <v/>
      </c>
      <c r="Y126" s="11" t="str">
        <f aca="false">IF(OR(G126="",K126="",K126&lt;G126),"",K126-G126)</f>
        <v/>
      </c>
      <c r="Z126" s="8" t="str">
        <f aca="false">IF(OR(A126="",多次统计数据!$B$8="",多次统计数据!$B$6&lt;=0,多次统计数据!$B$6&gt;=1),"",1-POWER(1+多次统计数据!$B$8,-多次统计数据!$B$6/(1-多次统计数据!$B$6)))</f>
        <v/>
      </c>
      <c r="AA126" s="12" t="str">
        <f aca="false">IF(OR(Z126="",多次统计数据!$B$9=""),"",IF(多次统计数据!$B$9&lt;Z126,"低于上限","达到或超过上限"))</f>
        <v/>
      </c>
      <c r="AB126" s="2"/>
    </row>
    <row r="127" customFormat="false" ht="15" hidden="false" customHeight="false" outlineLevel="0" collapsed="false">
      <c r="A127" s="7"/>
      <c r="B127" s="7"/>
      <c r="C127" s="3"/>
      <c r="D127" s="4"/>
      <c r="E127" s="3"/>
      <c r="F127" s="5" t="str">
        <f aca="false">IF(OR(C127="",D127="",E127="",L127="",C127&lt;=0,D127&lt;=0,E127&lt;=L127),"",ROUNDDOWN((C127*D127)/(E127-L127)/100,0)*100)</f>
        <v/>
      </c>
      <c r="G127" s="6"/>
      <c r="H127" s="3"/>
      <c r="I127" s="3"/>
      <c r="J127" s="5" t="str">
        <f aca="false">IF(I127="","",F127)</f>
        <v/>
      </c>
      <c r="K127" s="6"/>
      <c r="L127" s="3"/>
      <c r="M127" s="3"/>
      <c r="N127" s="3"/>
      <c r="O127" s="7"/>
      <c r="P127" s="7"/>
      <c r="Q127" s="7"/>
      <c r="R127" s="7"/>
      <c r="S127" s="8" t="str">
        <f aca="false">IF(OR(E127="",H127="",E127&lt;=0),"",(H127-E127)/E127)</f>
        <v/>
      </c>
      <c r="T127" s="8" t="str">
        <f aca="false">IF(OR(E127="",L127="",E127&lt;=0),"",(E127-L127)/E127)</f>
        <v/>
      </c>
      <c r="U127" s="9" t="str">
        <f aca="false">IF(OR(S127="",T127="",T127&lt;=0),"",S127/T127)</f>
        <v/>
      </c>
      <c r="V127" s="10" t="str">
        <f aca="false">IF(OR(I127="",J127="",E127="",F127=""),"",I127*J127-E127*F127-IF(M127="",0,M127)-IF(N127="",0,N127))</f>
        <v/>
      </c>
      <c r="W127" s="8" t="str">
        <f aca="false">IF(OR(V127="",E127="",F127=""),"",IF(E127*F127+IF(M127="",0,M127)&lt;=0,"",V127/(E127*F127+IF(M127="",0,M127))))</f>
        <v/>
      </c>
      <c r="X127" s="8" t="str">
        <f aca="false">IF(OR(W127="",多次统计数据!$B$8=""),"",W127-多次统计数据!$B$8)</f>
        <v/>
      </c>
      <c r="Y127" s="11" t="str">
        <f aca="false">IF(OR(G127="",K127="",K127&lt;G127),"",K127-G127)</f>
        <v/>
      </c>
      <c r="Z127" s="8" t="str">
        <f aca="false">IF(OR(A127="",多次统计数据!$B$8="",多次统计数据!$B$6&lt;=0,多次统计数据!$B$6&gt;=1),"",1-POWER(1+多次统计数据!$B$8,-多次统计数据!$B$6/(1-多次统计数据!$B$6)))</f>
        <v/>
      </c>
      <c r="AA127" s="12" t="str">
        <f aca="false">IF(OR(Z127="",多次统计数据!$B$9=""),"",IF(多次统计数据!$B$9&lt;Z127,"低于上限","达到或超过上限"))</f>
        <v/>
      </c>
      <c r="AB127" s="2"/>
    </row>
    <row r="128" customFormat="false" ht="15" hidden="false" customHeight="false" outlineLevel="0" collapsed="false">
      <c r="A128" s="7"/>
      <c r="B128" s="7"/>
      <c r="C128" s="3"/>
      <c r="D128" s="4"/>
      <c r="E128" s="3"/>
      <c r="F128" s="5" t="str">
        <f aca="false">IF(OR(C128="",D128="",E128="",L128="",C128&lt;=0,D128&lt;=0,E128&lt;=L128),"",ROUNDDOWN((C128*D128)/(E128-L128)/100,0)*100)</f>
        <v/>
      </c>
      <c r="G128" s="6"/>
      <c r="H128" s="3"/>
      <c r="I128" s="3"/>
      <c r="J128" s="5" t="str">
        <f aca="false">IF(I128="","",F128)</f>
        <v/>
      </c>
      <c r="K128" s="6"/>
      <c r="L128" s="3"/>
      <c r="M128" s="3"/>
      <c r="N128" s="3"/>
      <c r="O128" s="7"/>
      <c r="P128" s="7"/>
      <c r="Q128" s="7"/>
      <c r="R128" s="7"/>
      <c r="S128" s="8" t="str">
        <f aca="false">IF(OR(E128="",H128="",E128&lt;=0),"",(H128-E128)/E128)</f>
        <v/>
      </c>
      <c r="T128" s="8" t="str">
        <f aca="false">IF(OR(E128="",L128="",E128&lt;=0),"",(E128-L128)/E128)</f>
        <v/>
      </c>
      <c r="U128" s="9" t="str">
        <f aca="false">IF(OR(S128="",T128="",T128&lt;=0),"",S128/T128)</f>
        <v/>
      </c>
      <c r="V128" s="10" t="str">
        <f aca="false">IF(OR(I128="",J128="",E128="",F128=""),"",I128*J128-E128*F128-IF(M128="",0,M128)-IF(N128="",0,N128))</f>
        <v/>
      </c>
      <c r="W128" s="8" t="str">
        <f aca="false">IF(OR(V128="",E128="",F128=""),"",IF(E128*F128+IF(M128="",0,M128)&lt;=0,"",V128/(E128*F128+IF(M128="",0,M128))))</f>
        <v/>
      </c>
      <c r="X128" s="8" t="str">
        <f aca="false">IF(OR(W128="",多次统计数据!$B$8=""),"",W128-多次统计数据!$B$8)</f>
        <v/>
      </c>
      <c r="Y128" s="11" t="str">
        <f aca="false">IF(OR(G128="",K128="",K128&lt;G128),"",K128-G128)</f>
        <v/>
      </c>
      <c r="Z128" s="8" t="str">
        <f aca="false">IF(OR(A128="",多次统计数据!$B$8="",多次统计数据!$B$6&lt;=0,多次统计数据!$B$6&gt;=1),"",1-POWER(1+多次统计数据!$B$8,-多次统计数据!$B$6/(1-多次统计数据!$B$6)))</f>
        <v/>
      </c>
      <c r="AA128" s="12" t="str">
        <f aca="false">IF(OR(Z128="",多次统计数据!$B$9=""),"",IF(多次统计数据!$B$9&lt;Z128,"低于上限","达到或超过上限"))</f>
        <v/>
      </c>
      <c r="AB128" s="2"/>
    </row>
    <row r="129" customFormat="false" ht="15" hidden="false" customHeight="false" outlineLevel="0" collapsed="false">
      <c r="A129" s="7"/>
      <c r="B129" s="7"/>
      <c r="C129" s="3"/>
      <c r="D129" s="4"/>
      <c r="E129" s="3"/>
      <c r="F129" s="5" t="str">
        <f aca="false">IF(OR(C129="",D129="",E129="",L129="",C129&lt;=0,D129&lt;=0,E129&lt;=L129),"",ROUNDDOWN((C129*D129)/(E129-L129)/100,0)*100)</f>
        <v/>
      </c>
      <c r="G129" s="6"/>
      <c r="H129" s="3"/>
      <c r="I129" s="3"/>
      <c r="J129" s="5" t="str">
        <f aca="false">IF(I129="","",F129)</f>
        <v/>
      </c>
      <c r="K129" s="6"/>
      <c r="L129" s="3"/>
      <c r="M129" s="3"/>
      <c r="N129" s="3"/>
      <c r="O129" s="7"/>
      <c r="P129" s="7"/>
      <c r="Q129" s="7"/>
      <c r="R129" s="7"/>
      <c r="S129" s="8" t="str">
        <f aca="false">IF(OR(E129="",H129="",E129&lt;=0),"",(H129-E129)/E129)</f>
        <v/>
      </c>
      <c r="T129" s="8" t="str">
        <f aca="false">IF(OR(E129="",L129="",E129&lt;=0),"",(E129-L129)/E129)</f>
        <v/>
      </c>
      <c r="U129" s="9" t="str">
        <f aca="false">IF(OR(S129="",T129="",T129&lt;=0),"",S129/T129)</f>
        <v/>
      </c>
      <c r="V129" s="10" t="str">
        <f aca="false">IF(OR(I129="",J129="",E129="",F129=""),"",I129*J129-E129*F129-IF(M129="",0,M129)-IF(N129="",0,N129))</f>
        <v/>
      </c>
      <c r="W129" s="8" t="str">
        <f aca="false">IF(OR(V129="",E129="",F129=""),"",IF(E129*F129+IF(M129="",0,M129)&lt;=0,"",V129/(E129*F129+IF(M129="",0,M129))))</f>
        <v/>
      </c>
      <c r="X129" s="8" t="str">
        <f aca="false">IF(OR(W129="",多次统计数据!$B$8=""),"",W129-多次统计数据!$B$8)</f>
        <v/>
      </c>
      <c r="Y129" s="11" t="str">
        <f aca="false">IF(OR(G129="",K129="",K129&lt;G129),"",K129-G129)</f>
        <v/>
      </c>
      <c r="Z129" s="8" t="str">
        <f aca="false">IF(OR(A129="",多次统计数据!$B$8="",多次统计数据!$B$6&lt;=0,多次统计数据!$B$6&gt;=1),"",1-POWER(1+多次统计数据!$B$8,-多次统计数据!$B$6/(1-多次统计数据!$B$6)))</f>
        <v/>
      </c>
      <c r="AA129" s="12" t="str">
        <f aca="false">IF(OR(Z129="",多次统计数据!$B$9=""),"",IF(多次统计数据!$B$9&lt;Z129,"低于上限","达到或超过上限"))</f>
        <v/>
      </c>
      <c r="AB129" s="2"/>
    </row>
    <row r="130" customFormat="false" ht="15" hidden="false" customHeight="false" outlineLevel="0" collapsed="false">
      <c r="A130" s="7"/>
      <c r="B130" s="7"/>
      <c r="C130" s="3"/>
      <c r="D130" s="4"/>
      <c r="E130" s="3"/>
      <c r="F130" s="5" t="str">
        <f aca="false">IF(OR(C130="",D130="",E130="",L130="",C130&lt;=0,D130&lt;=0,E130&lt;=L130),"",ROUNDDOWN((C130*D130)/(E130-L130)/100,0)*100)</f>
        <v/>
      </c>
      <c r="G130" s="6"/>
      <c r="H130" s="3"/>
      <c r="I130" s="3"/>
      <c r="J130" s="5" t="str">
        <f aca="false">IF(I130="","",F130)</f>
        <v/>
      </c>
      <c r="K130" s="6"/>
      <c r="L130" s="3"/>
      <c r="M130" s="3"/>
      <c r="N130" s="3"/>
      <c r="O130" s="7"/>
      <c r="P130" s="7"/>
      <c r="Q130" s="7"/>
      <c r="R130" s="7"/>
      <c r="S130" s="8" t="str">
        <f aca="false">IF(OR(E130="",H130="",E130&lt;=0),"",(H130-E130)/E130)</f>
        <v/>
      </c>
      <c r="T130" s="8" t="str">
        <f aca="false">IF(OR(E130="",L130="",E130&lt;=0),"",(E130-L130)/E130)</f>
        <v/>
      </c>
      <c r="U130" s="9" t="str">
        <f aca="false">IF(OR(S130="",T130="",T130&lt;=0),"",S130/T130)</f>
        <v/>
      </c>
      <c r="V130" s="10" t="str">
        <f aca="false">IF(OR(I130="",J130="",E130="",F130=""),"",I130*J130-E130*F130-IF(M130="",0,M130)-IF(N130="",0,N130))</f>
        <v/>
      </c>
      <c r="W130" s="8" t="str">
        <f aca="false">IF(OR(V130="",E130="",F130=""),"",IF(E130*F130+IF(M130="",0,M130)&lt;=0,"",V130/(E130*F130+IF(M130="",0,M130))))</f>
        <v/>
      </c>
      <c r="X130" s="8" t="str">
        <f aca="false">IF(OR(W130="",多次统计数据!$B$8=""),"",W130-多次统计数据!$B$8)</f>
        <v/>
      </c>
      <c r="Y130" s="11" t="str">
        <f aca="false">IF(OR(G130="",K130="",K130&lt;G130),"",K130-G130)</f>
        <v/>
      </c>
      <c r="Z130" s="8" t="str">
        <f aca="false">IF(OR(A130="",多次统计数据!$B$8="",多次统计数据!$B$6&lt;=0,多次统计数据!$B$6&gt;=1),"",1-POWER(1+多次统计数据!$B$8,-多次统计数据!$B$6/(1-多次统计数据!$B$6)))</f>
        <v/>
      </c>
      <c r="AA130" s="12" t="str">
        <f aca="false">IF(OR(Z130="",多次统计数据!$B$9=""),"",IF(多次统计数据!$B$9&lt;Z130,"低于上限","达到或超过上限"))</f>
        <v/>
      </c>
      <c r="AB130" s="2"/>
    </row>
    <row r="131" customFormat="false" ht="15" hidden="false" customHeight="false" outlineLevel="0" collapsed="false">
      <c r="A131" s="7"/>
      <c r="B131" s="7"/>
      <c r="C131" s="3"/>
      <c r="D131" s="4"/>
      <c r="E131" s="3"/>
      <c r="F131" s="5" t="str">
        <f aca="false">IF(OR(C131="",D131="",E131="",L131="",C131&lt;=0,D131&lt;=0,E131&lt;=L131),"",ROUNDDOWN((C131*D131)/(E131-L131)/100,0)*100)</f>
        <v/>
      </c>
      <c r="G131" s="6"/>
      <c r="H131" s="3"/>
      <c r="I131" s="3"/>
      <c r="J131" s="5" t="str">
        <f aca="false">IF(I131="","",F131)</f>
        <v/>
      </c>
      <c r="K131" s="6"/>
      <c r="L131" s="3"/>
      <c r="M131" s="3"/>
      <c r="N131" s="3"/>
      <c r="O131" s="7"/>
      <c r="P131" s="7"/>
      <c r="Q131" s="7"/>
      <c r="R131" s="7"/>
      <c r="S131" s="8" t="str">
        <f aca="false">IF(OR(E131="",H131="",E131&lt;=0),"",(H131-E131)/E131)</f>
        <v/>
      </c>
      <c r="T131" s="8" t="str">
        <f aca="false">IF(OR(E131="",L131="",E131&lt;=0),"",(E131-L131)/E131)</f>
        <v/>
      </c>
      <c r="U131" s="9" t="str">
        <f aca="false">IF(OR(S131="",T131="",T131&lt;=0),"",S131/T131)</f>
        <v/>
      </c>
      <c r="V131" s="10" t="str">
        <f aca="false">IF(OR(I131="",J131="",E131="",F131=""),"",I131*J131-E131*F131-IF(M131="",0,M131)-IF(N131="",0,N131))</f>
        <v/>
      </c>
      <c r="W131" s="8" t="str">
        <f aca="false">IF(OR(V131="",E131="",F131=""),"",IF(E131*F131+IF(M131="",0,M131)&lt;=0,"",V131/(E131*F131+IF(M131="",0,M131))))</f>
        <v/>
      </c>
      <c r="X131" s="8" t="str">
        <f aca="false">IF(OR(W131="",多次统计数据!$B$8=""),"",W131-多次统计数据!$B$8)</f>
        <v/>
      </c>
      <c r="Y131" s="11" t="str">
        <f aca="false">IF(OR(G131="",K131="",K131&lt;G131),"",K131-G131)</f>
        <v/>
      </c>
      <c r="Z131" s="8" t="str">
        <f aca="false">IF(OR(A131="",多次统计数据!$B$8="",多次统计数据!$B$6&lt;=0,多次统计数据!$B$6&gt;=1),"",1-POWER(1+多次统计数据!$B$8,-多次统计数据!$B$6/(1-多次统计数据!$B$6)))</f>
        <v/>
      </c>
      <c r="AA131" s="12" t="str">
        <f aca="false">IF(OR(Z131="",多次统计数据!$B$9=""),"",IF(多次统计数据!$B$9&lt;Z131,"低于上限","达到或超过上限"))</f>
        <v/>
      </c>
      <c r="AB131" s="2"/>
    </row>
    <row r="132" customFormat="false" ht="15" hidden="false" customHeight="false" outlineLevel="0" collapsed="false">
      <c r="A132" s="7"/>
      <c r="B132" s="7"/>
      <c r="C132" s="3"/>
      <c r="D132" s="4"/>
      <c r="E132" s="3"/>
      <c r="F132" s="5" t="str">
        <f aca="false">IF(OR(C132="",D132="",E132="",L132="",C132&lt;=0,D132&lt;=0,E132&lt;=L132),"",ROUNDDOWN((C132*D132)/(E132-L132)/100,0)*100)</f>
        <v/>
      </c>
      <c r="G132" s="6"/>
      <c r="H132" s="3"/>
      <c r="I132" s="3"/>
      <c r="J132" s="5" t="str">
        <f aca="false">IF(I132="","",F132)</f>
        <v/>
      </c>
      <c r="K132" s="6"/>
      <c r="L132" s="3"/>
      <c r="M132" s="3"/>
      <c r="N132" s="3"/>
      <c r="O132" s="7"/>
      <c r="P132" s="7"/>
      <c r="Q132" s="7"/>
      <c r="R132" s="7"/>
      <c r="S132" s="8" t="str">
        <f aca="false">IF(OR(E132="",H132="",E132&lt;=0),"",(H132-E132)/E132)</f>
        <v/>
      </c>
      <c r="T132" s="8" t="str">
        <f aca="false">IF(OR(E132="",L132="",E132&lt;=0),"",(E132-L132)/E132)</f>
        <v/>
      </c>
      <c r="U132" s="9" t="str">
        <f aca="false">IF(OR(S132="",T132="",T132&lt;=0),"",S132/T132)</f>
        <v/>
      </c>
      <c r="V132" s="10" t="str">
        <f aca="false">IF(OR(I132="",J132="",E132="",F132=""),"",I132*J132-E132*F132-IF(M132="",0,M132)-IF(N132="",0,N132))</f>
        <v/>
      </c>
      <c r="W132" s="8" t="str">
        <f aca="false">IF(OR(V132="",E132="",F132=""),"",IF(E132*F132+IF(M132="",0,M132)&lt;=0,"",V132/(E132*F132+IF(M132="",0,M132))))</f>
        <v/>
      </c>
      <c r="X132" s="8" t="str">
        <f aca="false">IF(OR(W132="",多次统计数据!$B$8=""),"",W132-多次统计数据!$B$8)</f>
        <v/>
      </c>
      <c r="Y132" s="11" t="str">
        <f aca="false">IF(OR(G132="",K132="",K132&lt;G132),"",K132-G132)</f>
        <v/>
      </c>
      <c r="Z132" s="8" t="str">
        <f aca="false">IF(OR(A132="",多次统计数据!$B$8="",多次统计数据!$B$6&lt;=0,多次统计数据!$B$6&gt;=1),"",1-POWER(1+多次统计数据!$B$8,-多次统计数据!$B$6/(1-多次统计数据!$B$6)))</f>
        <v/>
      </c>
      <c r="AA132" s="12" t="str">
        <f aca="false">IF(OR(Z132="",多次统计数据!$B$9=""),"",IF(多次统计数据!$B$9&lt;Z132,"低于上限","达到或超过上限"))</f>
        <v/>
      </c>
      <c r="AB132" s="2"/>
    </row>
    <row r="133" customFormat="false" ht="15" hidden="false" customHeight="false" outlineLevel="0" collapsed="false">
      <c r="A133" s="7"/>
      <c r="B133" s="7"/>
      <c r="C133" s="3"/>
      <c r="D133" s="4"/>
      <c r="E133" s="3"/>
      <c r="F133" s="5" t="str">
        <f aca="false">IF(OR(C133="",D133="",E133="",L133="",C133&lt;=0,D133&lt;=0,E133&lt;=L133),"",ROUNDDOWN((C133*D133)/(E133-L133)/100,0)*100)</f>
        <v/>
      </c>
      <c r="G133" s="6"/>
      <c r="H133" s="3"/>
      <c r="I133" s="3"/>
      <c r="J133" s="5" t="str">
        <f aca="false">IF(I133="","",F133)</f>
        <v/>
      </c>
      <c r="K133" s="6"/>
      <c r="L133" s="3"/>
      <c r="M133" s="3"/>
      <c r="N133" s="3"/>
      <c r="O133" s="7"/>
      <c r="P133" s="7"/>
      <c r="Q133" s="7"/>
      <c r="R133" s="7"/>
      <c r="S133" s="8" t="str">
        <f aca="false">IF(OR(E133="",H133="",E133&lt;=0),"",(H133-E133)/E133)</f>
        <v/>
      </c>
      <c r="T133" s="8" t="str">
        <f aca="false">IF(OR(E133="",L133="",E133&lt;=0),"",(E133-L133)/E133)</f>
        <v/>
      </c>
      <c r="U133" s="9" t="str">
        <f aca="false">IF(OR(S133="",T133="",T133&lt;=0),"",S133/T133)</f>
        <v/>
      </c>
      <c r="V133" s="10" t="str">
        <f aca="false">IF(OR(I133="",J133="",E133="",F133=""),"",I133*J133-E133*F133-IF(M133="",0,M133)-IF(N133="",0,N133))</f>
        <v/>
      </c>
      <c r="W133" s="8" t="str">
        <f aca="false">IF(OR(V133="",E133="",F133=""),"",IF(E133*F133+IF(M133="",0,M133)&lt;=0,"",V133/(E133*F133+IF(M133="",0,M133))))</f>
        <v/>
      </c>
      <c r="X133" s="8" t="str">
        <f aca="false">IF(OR(W133="",多次统计数据!$B$8=""),"",W133-多次统计数据!$B$8)</f>
        <v/>
      </c>
      <c r="Y133" s="11" t="str">
        <f aca="false">IF(OR(G133="",K133="",K133&lt;G133),"",K133-G133)</f>
        <v/>
      </c>
      <c r="Z133" s="8" t="str">
        <f aca="false">IF(OR(A133="",多次统计数据!$B$8="",多次统计数据!$B$6&lt;=0,多次统计数据!$B$6&gt;=1),"",1-POWER(1+多次统计数据!$B$8,-多次统计数据!$B$6/(1-多次统计数据!$B$6)))</f>
        <v/>
      </c>
      <c r="AA133" s="12" t="str">
        <f aca="false">IF(OR(Z133="",多次统计数据!$B$9=""),"",IF(多次统计数据!$B$9&lt;Z133,"低于上限","达到或超过上限"))</f>
        <v/>
      </c>
      <c r="AB133" s="2"/>
    </row>
    <row r="134" customFormat="false" ht="15" hidden="false" customHeight="false" outlineLevel="0" collapsed="false">
      <c r="A134" s="7"/>
      <c r="B134" s="7"/>
      <c r="C134" s="3"/>
      <c r="D134" s="4"/>
      <c r="E134" s="3"/>
      <c r="F134" s="5" t="str">
        <f aca="false">IF(OR(C134="",D134="",E134="",L134="",C134&lt;=0,D134&lt;=0,E134&lt;=L134),"",ROUNDDOWN((C134*D134)/(E134-L134)/100,0)*100)</f>
        <v/>
      </c>
      <c r="G134" s="6"/>
      <c r="H134" s="3"/>
      <c r="I134" s="3"/>
      <c r="J134" s="5" t="str">
        <f aca="false">IF(I134="","",F134)</f>
        <v/>
      </c>
      <c r="K134" s="6"/>
      <c r="L134" s="3"/>
      <c r="M134" s="3"/>
      <c r="N134" s="3"/>
      <c r="O134" s="7"/>
      <c r="P134" s="7"/>
      <c r="Q134" s="7"/>
      <c r="R134" s="7"/>
      <c r="S134" s="8" t="str">
        <f aca="false">IF(OR(E134="",H134="",E134&lt;=0),"",(H134-E134)/E134)</f>
        <v/>
      </c>
      <c r="T134" s="8" t="str">
        <f aca="false">IF(OR(E134="",L134="",E134&lt;=0),"",(E134-L134)/E134)</f>
        <v/>
      </c>
      <c r="U134" s="9" t="str">
        <f aca="false">IF(OR(S134="",T134="",T134&lt;=0),"",S134/T134)</f>
        <v/>
      </c>
      <c r="V134" s="10" t="str">
        <f aca="false">IF(OR(I134="",J134="",E134="",F134=""),"",I134*J134-E134*F134-IF(M134="",0,M134)-IF(N134="",0,N134))</f>
        <v/>
      </c>
      <c r="W134" s="8" t="str">
        <f aca="false">IF(OR(V134="",E134="",F134=""),"",IF(E134*F134+IF(M134="",0,M134)&lt;=0,"",V134/(E134*F134+IF(M134="",0,M134))))</f>
        <v/>
      </c>
      <c r="X134" s="8" t="str">
        <f aca="false">IF(OR(W134="",多次统计数据!$B$8=""),"",W134-多次统计数据!$B$8)</f>
        <v/>
      </c>
      <c r="Y134" s="11" t="str">
        <f aca="false">IF(OR(G134="",K134="",K134&lt;G134),"",K134-G134)</f>
        <v/>
      </c>
      <c r="Z134" s="8" t="str">
        <f aca="false">IF(OR(A134="",多次统计数据!$B$8="",多次统计数据!$B$6&lt;=0,多次统计数据!$B$6&gt;=1),"",1-POWER(1+多次统计数据!$B$8,-多次统计数据!$B$6/(1-多次统计数据!$B$6)))</f>
        <v/>
      </c>
      <c r="AA134" s="12" t="str">
        <f aca="false">IF(OR(Z134="",多次统计数据!$B$9=""),"",IF(多次统计数据!$B$9&lt;Z134,"低于上限","达到或超过上限"))</f>
        <v/>
      </c>
      <c r="AB134" s="2"/>
    </row>
    <row r="135" customFormat="false" ht="15" hidden="false" customHeight="false" outlineLevel="0" collapsed="false">
      <c r="A135" s="7"/>
      <c r="B135" s="7"/>
      <c r="C135" s="3"/>
      <c r="D135" s="4"/>
      <c r="E135" s="3"/>
      <c r="F135" s="5" t="str">
        <f aca="false">IF(OR(C135="",D135="",E135="",L135="",C135&lt;=0,D135&lt;=0,E135&lt;=L135),"",ROUNDDOWN((C135*D135)/(E135-L135)/100,0)*100)</f>
        <v/>
      </c>
      <c r="G135" s="6"/>
      <c r="H135" s="3"/>
      <c r="I135" s="3"/>
      <c r="J135" s="5" t="str">
        <f aca="false">IF(I135="","",F135)</f>
        <v/>
      </c>
      <c r="K135" s="6"/>
      <c r="L135" s="3"/>
      <c r="M135" s="3"/>
      <c r="N135" s="3"/>
      <c r="O135" s="7"/>
      <c r="P135" s="7"/>
      <c r="Q135" s="7"/>
      <c r="R135" s="7"/>
      <c r="S135" s="8" t="str">
        <f aca="false">IF(OR(E135="",H135="",E135&lt;=0),"",(H135-E135)/E135)</f>
        <v/>
      </c>
      <c r="T135" s="8" t="str">
        <f aca="false">IF(OR(E135="",L135="",E135&lt;=0),"",(E135-L135)/E135)</f>
        <v/>
      </c>
      <c r="U135" s="9" t="str">
        <f aca="false">IF(OR(S135="",T135="",T135&lt;=0),"",S135/T135)</f>
        <v/>
      </c>
      <c r="V135" s="10" t="str">
        <f aca="false">IF(OR(I135="",J135="",E135="",F135=""),"",I135*J135-E135*F135-IF(M135="",0,M135)-IF(N135="",0,N135))</f>
        <v/>
      </c>
      <c r="W135" s="8" t="str">
        <f aca="false">IF(OR(V135="",E135="",F135=""),"",IF(E135*F135+IF(M135="",0,M135)&lt;=0,"",V135/(E135*F135+IF(M135="",0,M135))))</f>
        <v/>
      </c>
      <c r="X135" s="8" t="str">
        <f aca="false">IF(OR(W135="",多次统计数据!$B$8=""),"",W135-多次统计数据!$B$8)</f>
        <v/>
      </c>
      <c r="Y135" s="11" t="str">
        <f aca="false">IF(OR(G135="",K135="",K135&lt;G135),"",K135-G135)</f>
        <v/>
      </c>
      <c r="Z135" s="8" t="str">
        <f aca="false">IF(OR(A135="",多次统计数据!$B$8="",多次统计数据!$B$6&lt;=0,多次统计数据!$B$6&gt;=1),"",1-POWER(1+多次统计数据!$B$8,-多次统计数据!$B$6/(1-多次统计数据!$B$6)))</f>
        <v/>
      </c>
      <c r="AA135" s="12" t="str">
        <f aca="false">IF(OR(Z135="",多次统计数据!$B$9=""),"",IF(多次统计数据!$B$9&lt;Z135,"低于上限","达到或超过上限"))</f>
        <v/>
      </c>
      <c r="AB135" s="2"/>
    </row>
    <row r="136" customFormat="false" ht="15" hidden="false" customHeight="false" outlineLevel="0" collapsed="false">
      <c r="A136" s="7"/>
      <c r="B136" s="7"/>
      <c r="C136" s="3"/>
      <c r="D136" s="4"/>
      <c r="E136" s="3"/>
      <c r="F136" s="5" t="str">
        <f aca="false">IF(OR(C136="",D136="",E136="",L136="",C136&lt;=0,D136&lt;=0,E136&lt;=L136),"",ROUNDDOWN((C136*D136)/(E136-L136)/100,0)*100)</f>
        <v/>
      </c>
      <c r="G136" s="6"/>
      <c r="H136" s="3"/>
      <c r="I136" s="3"/>
      <c r="J136" s="5" t="str">
        <f aca="false">IF(I136="","",F136)</f>
        <v/>
      </c>
      <c r="K136" s="6"/>
      <c r="L136" s="3"/>
      <c r="M136" s="3"/>
      <c r="N136" s="3"/>
      <c r="O136" s="7"/>
      <c r="P136" s="7"/>
      <c r="Q136" s="7"/>
      <c r="R136" s="7"/>
      <c r="S136" s="8" t="str">
        <f aca="false">IF(OR(E136="",H136="",E136&lt;=0),"",(H136-E136)/E136)</f>
        <v/>
      </c>
      <c r="T136" s="8" t="str">
        <f aca="false">IF(OR(E136="",L136="",E136&lt;=0),"",(E136-L136)/E136)</f>
        <v/>
      </c>
      <c r="U136" s="9" t="str">
        <f aca="false">IF(OR(S136="",T136="",T136&lt;=0),"",S136/T136)</f>
        <v/>
      </c>
      <c r="V136" s="10" t="str">
        <f aca="false">IF(OR(I136="",J136="",E136="",F136=""),"",I136*J136-E136*F136-IF(M136="",0,M136)-IF(N136="",0,N136))</f>
        <v/>
      </c>
      <c r="W136" s="8" t="str">
        <f aca="false">IF(OR(V136="",E136="",F136=""),"",IF(E136*F136+IF(M136="",0,M136)&lt;=0,"",V136/(E136*F136+IF(M136="",0,M136))))</f>
        <v/>
      </c>
      <c r="X136" s="8" t="str">
        <f aca="false">IF(OR(W136="",多次统计数据!$B$8=""),"",W136-多次统计数据!$B$8)</f>
        <v/>
      </c>
      <c r="Y136" s="11" t="str">
        <f aca="false">IF(OR(G136="",K136="",K136&lt;G136),"",K136-G136)</f>
        <v/>
      </c>
      <c r="Z136" s="8" t="str">
        <f aca="false">IF(OR(A136="",多次统计数据!$B$8="",多次统计数据!$B$6&lt;=0,多次统计数据!$B$6&gt;=1),"",1-POWER(1+多次统计数据!$B$8,-多次统计数据!$B$6/(1-多次统计数据!$B$6)))</f>
        <v/>
      </c>
      <c r="AA136" s="12" t="str">
        <f aca="false">IF(OR(Z136="",多次统计数据!$B$9=""),"",IF(多次统计数据!$B$9&lt;Z136,"低于上限","达到或超过上限"))</f>
        <v/>
      </c>
      <c r="AB136" s="2"/>
    </row>
    <row r="137" customFormat="false" ht="15" hidden="false" customHeight="false" outlineLevel="0" collapsed="false">
      <c r="A137" s="7"/>
      <c r="B137" s="7"/>
      <c r="C137" s="3"/>
      <c r="D137" s="4"/>
      <c r="E137" s="3"/>
      <c r="F137" s="5" t="str">
        <f aca="false">IF(OR(C137="",D137="",E137="",L137="",C137&lt;=0,D137&lt;=0,E137&lt;=L137),"",ROUNDDOWN((C137*D137)/(E137-L137)/100,0)*100)</f>
        <v/>
      </c>
      <c r="G137" s="6"/>
      <c r="H137" s="3"/>
      <c r="I137" s="3"/>
      <c r="J137" s="5" t="str">
        <f aca="false">IF(I137="","",F137)</f>
        <v/>
      </c>
      <c r="K137" s="6"/>
      <c r="L137" s="3"/>
      <c r="M137" s="3"/>
      <c r="N137" s="3"/>
      <c r="O137" s="7"/>
      <c r="P137" s="7"/>
      <c r="Q137" s="7"/>
      <c r="R137" s="7"/>
      <c r="S137" s="8" t="str">
        <f aca="false">IF(OR(E137="",H137="",E137&lt;=0),"",(H137-E137)/E137)</f>
        <v/>
      </c>
      <c r="T137" s="8" t="str">
        <f aca="false">IF(OR(E137="",L137="",E137&lt;=0),"",(E137-L137)/E137)</f>
        <v/>
      </c>
      <c r="U137" s="9" t="str">
        <f aca="false">IF(OR(S137="",T137="",T137&lt;=0),"",S137/T137)</f>
        <v/>
      </c>
      <c r="V137" s="10" t="str">
        <f aca="false">IF(OR(I137="",J137="",E137="",F137=""),"",I137*J137-E137*F137-IF(M137="",0,M137)-IF(N137="",0,N137))</f>
        <v/>
      </c>
      <c r="W137" s="8" t="str">
        <f aca="false">IF(OR(V137="",E137="",F137=""),"",IF(E137*F137+IF(M137="",0,M137)&lt;=0,"",V137/(E137*F137+IF(M137="",0,M137))))</f>
        <v/>
      </c>
      <c r="X137" s="8" t="str">
        <f aca="false">IF(OR(W137="",多次统计数据!$B$8=""),"",W137-多次统计数据!$B$8)</f>
        <v/>
      </c>
      <c r="Y137" s="11" t="str">
        <f aca="false">IF(OR(G137="",K137="",K137&lt;G137),"",K137-G137)</f>
        <v/>
      </c>
      <c r="Z137" s="8" t="str">
        <f aca="false">IF(OR(A137="",多次统计数据!$B$8="",多次统计数据!$B$6&lt;=0,多次统计数据!$B$6&gt;=1),"",1-POWER(1+多次统计数据!$B$8,-多次统计数据!$B$6/(1-多次统计数据!$B$6)))</f>
        <v/>
      </c>
      <c r="AA137" s="12" t="str">
        <f aca="false">IF(OR(Z137="",多次统计数据!$B$9=""),"",IF(多次统计数据!$B$9&lt;Z137,"低于上限","达到或超过上限"))</f>
        <v/>
      </c>
      <c r="AB137" s="2"/>
    </row>
    <row r="138" customFormat="false" ht="15" hidden="false" customHeight="false" outlineLevel="0" collapsed="false">
      <c r="A138" s="7"/>
      <c r="B138" s="7"/>
      <c r="C138" s="3"/>
      <c r="D138" s="4"/>
      <c r="E138" s="3"/>
      <c r="F138" s="5" t="str">
        <f aca="false">IF(OR(C138="",D138="",E138="",L138="",C138&lt;=0,D138&lt;=0,E138&lt;=L138),"",ROUNDDOWN((C138*D138)/(E138-L138)/100,0)*100)</f>
        <v/>
      </c>
      <c r="G138" s="6"/>
      <c r="H138" s="3"/>
      <c r="I138" s="3"/>
      <c r="J138" s="5" t="str">
        <f aca="false">IF(I138="","",F138)</f>
        <v/>
      </c>
      <c r="K138" s="6"/>
      <c r="L138" s="3"/>
      <c r="M138" s="3"/>
      <c r="N138" s="3"/>
      <c r="O138" s="7"/>
      <c r="P138" s="7"/>
      <c r="Q138" s="7"/>
      <c r="R138" s="7"/>
      <c r="S138" s="8" t="str">
        <f aca="false">IF(OR(E138="",H138="",E138&lt;=0),"",(H138-E138)/E138)</f>
        <v/>
      </c>
      <c r="T138" s="8" t="str">
        <f aca="false">IF(OR(E138="",L138="",E138&lt;=0),"",(E138-L138)/E138)</f>
        <v/>
      </c>
      <c r="U138" s="9" t="str">
        <f aca="false">IF(OR(S138="",T138="",T138&lt;=0),"",S138/T138)</f>
        <v/>
      </c>
      <c r="V138" s="10" t="str">
        <f aca="false">IF(OR(I138="",J138="",E138="",F138=""),"",I138*J138-E138*F138-IF(M138="",0,M138)-IF(N138="",0,N138))</f>
        <v/>
      </c>
      <c r="W138" s="8" t="str">
        <f aca="false">IF(OR(V138="",E138="",F138=""),"",IF(E138*F138+IF(M138="",0,M138)&lt;=0,"",V138/(E138*F138+IF(M138="",0,M138))))</f>
        <v/>
      </c>
      <c r="X138" s="8" t="str">
        <f aca="false">IF(OR(W138="",多次统计数据!$B$8=""),"",W138-多次统计数据!$B$8)</f>
        <v/>
      </c>
      <c r="Y138" s="11" t="str">
        <f aca="false">IF(OR(G138="",K138="",K138&lt;G138),"",K138-G138)</f>
        <v/>
      </c>
      <c r="Z138" s="8" t="str">
        <f aca="false">IF(OR(A138="",多次统计数据!$B$8="",多次统计数据!$B$6&lt;=0,多次统计数据!$B$6&gt;=1),"",1-POWER(1+多次统计数据!$B$8,-多次统计数据!$B$6/(1-多次统计数据!$B$6)))</f>
        <v/>
      </c>
      <c r="AA138" s="12" t="str">
        <f aca="false">IF(OR(Z138="",多次统计数据!$B$9=""),"",IF(多次统计数据!$B$9&lt;Z138,"低于上限","达到或超过上限"))</f>
        <v/>
      </c>
      <c r="AB138" s="2"/>
    </row>
    <row r="139" customFormat="false" ht="15" hidden="false" customHeight="false" outlineLevel="0" collapsed="false">
      <c r="A139" s="7"/>
      <c r="B139" s="7"/>
      <c r="C139" s="3"/>
      <c r="D139" s="4"/>
      <c r="E139" s="3"/>
      <c r="F139" s="5" t="str">
        <f aca="false">IF(OR(C139="",D139="",E139="",L139="",C139&lt;=0,D139&lt;=0,E139&lt;=L139),"",ROUNDDOWN((C139*D139)/(E139-L139)/100,0)*100)</f>
        <v/>
      </c>
      <c r="G139" s="6"/>
      <c r="H139" s="3"/>
      <c r="I139" s="3"/>
      <c r="J139" s="5" t="str">
        <f aca="false">IF(I139="","",F139)</f>
        <v/>
      </c>
      <c r="K139" s="6"/>
      <c r="L139" s="3"/>
      <c r="M139" s="3"/>
      <c r="N139" s="3"/>
      <c r="O139" s="7"/>
      <c r="P139" s="7"/>
      <c r="Q139" s="7"/>
      <c r="R139" s="7"/>
      <c r="S139" s="8" t="str">
        <f aca="false">IF(OR(E139="",H139="",E139&lt;=0),"",(H139-E139)/E139)</f>
        <v/>
      </c>
      <c r="T139" s="8" t="str">
        <f aca="false">IF(OR(E139="",L139="",E139&lt;=0),"",(E139-L139)/E139)</f>
        <v/>
      </c>
      <c r="U139" s="9" t="str">
        <f aca="false">IF(OR(S139="",T139="",T139&lt;=0),"",S139/T139)</f>
        <v/>
      </c>
      <c r="V139" s="10" t="str">
        <f aca="false">IF(OR(I139="",J139="",E139="",F139=""),"",I139*J139-E139*F139-IF(M139="",0,M139)-IF(N139="",0,N139))</f>
        <v/>
      </c>
      <c r="W139" s="8" t="str">
        <f aca="false">IF(OR(V139="",E139="",F139=""),"",IF(E139*F139+IF(M139="",0,M139)&lt;=0,"",V139/(E139*F139+IF(M139="",0,M139))))</f>
        <v/>
      </c>
      <c r="X139" s="8" t="str">
        <f aca="false">IF(OR(W139="",多次统计数据!$B$8=""),"",W139-多次统计数据!$B$8)</f>
        <v/>
      </c>
      <c r="Y139" s="11" t="str">
        <f aca="false">IF(OR(G139="",K139="",K139&lt;G139),"",K139-G139)</f>
        <v/>
      </c>
      <c r="Z139" s="8" t="str">
        <f aca="false">IF(OR(A139="",多次统计数据!$B$8="",多次统计数据!$B$6&lt;=0,多次统计数据!$B$6&gt;=1),"",1-POWER(1+多次统计数据!$B$8,-多次统计数据!$B$6/(1-多次统计数据!$B$6)))</f>
        <v/>
      </c>
      <c r="AA139" s="12" t="str">
        <f aca="false">IF(OR(Z139="",多次统计数据!$B$9=""),"",IF(多次统计数据!$B$9&lt;Z139,"低于上限","达到或超过上限"))</f>
        <v/>
      </c>
      <c r="AB139" s="2"/>
    </row>
    <row r="140" customFormat="false" ht="15" hidden="false" customHeight="false" outlineLevel="0" collapsed="false">
      <c r="A140" s="7"/>
      <c r="B140" s="7"/>
      <c r="C140" s="3"/>
      <c r="D140" s="4"/>
      <c r="E140" s="3"/>
      <c r="F140" s="5" t="str">
        <f aca="false">IF(OR(C140="",D140="",E140="",L140="",C140&lt;=0,D140&lt;=0,E140&lt;=L140),"",ROUNDDOWN((C140*D140)/(E140-L140)/100,0)*100)</f>
        <v/>
      </c>
      <c r="G140" s="6"/>
      <c r="H140" s="3"/>
      <c r="I140" s="3"/>
      <c r="J140" s="5" t="str">
        <f aca="false">IF(I140="","",F140)</f>
        <v/>
      </c>
      <c r="K140" s="6"/>
      <c r="L140" s="3"/>
      <c r="M140" s="3"/>
      <c r="N140" s="3"/>
      <c r="O140" s="7"/>
      <c r="P140" s="7"/>
      <c r="Q140" s="7"/>
      <c r="R140" s="7"/>
      <c r="S140" s="8" t="str">
        <f aca="false">IF(OR(E140="",H140="",E140&lt;=0),"",(H140-E140)/E140)</f>
        <v/>
      </c>
      <c r="T140" s="8" t="str">
        <f aca="false">IF(OR(E140="",L140="",E140&lt;=0),"",(E140-L140)/E140)</f>
        <v/>
      </c>
      <c r="U140" s="9" t="str">
        <f aca="false">IF(OR(S140="",T140="",T140&lt;=0),"",S140/T140)</f>
        <v/>
      </c>
      <c r="V140" s="10" t="str">
        <f aca="false">IF(OR(I140="",J140="",E140="",F140=""),"",I140*J140-E140*F140-IF(M140="",0,M140)-IF(N140="",0,N140))</f>
        <v/>
      </c>
      <c r="W140" s="8" t="str">
        <f aca="false">IF(OR(V140="",E140="",F140=""),"",IF(E140*F140+IF(M140="",0,M140)&lt;=0,"",V140/(E140*F140+IF(M140="",0,M140))))</f>
        <v/>
      </c>
      <c r="X140" s="8" t="str">
        <f aca="false">IF(OR(W140="",多次统计数据!$B$8=""),"",W140-多次统计数据!$B$8)</f>
        <v/>
      </c>
      <c r="Y140" s="11" t="str">
        <f aca="false">IF(OR(G140="",K140="",K140&lt;G140),"",K140-G140)</f>
        <v/>
      </c>
      <c r="Z140" s="8" t="str">
        <f aca="false">IF(OR(A140="",多次统计数据!$B$8="",多次统计数据!$B$6&lt;=0,多次统计数据!$B$6&gt;=1),"",1-POWER(1+多次统计数据!$B$8,-多次统计数据!$B$6/(1-多次统计数据!$B$6)))</f>
        <v/>
      </c>
      <c r="AA140" s="12" t="str">
        <f aca="false">IF(OR(Z140="",多次统计数据!$B$9=""),"",IF(多次统计数据!$B$9&lt;Z140,"低于上限","达到或超过上限"))</f>
        <v/>
      </c>
      <c r="AB140" s="2"/>
    </row>
    <row r="141" customFormat="false" ht="15" hidden="false" customHeight="false" outlineLevel="0" collapsed="false">
      <c r="A141" s="7"/>
      <c r="B141" s="7"/>
      <c r="C141" s="3"/>
      <c r="D141" s="4"/>
      <c r="E141" s="3"/>
      <c r="F141" s="5" t="str">
        <f aca="false">IF(OR(C141="",D141="",E141="",L141="",C141&lt;=0,D141&lt;=0,E141&lt;=L141),"",ROUNDDOWN((C141*D141)/(E141-L141)/100,0)*100)</f>
        <v/>
      </c>
      <c r="G141" s="6"/>
      <c r="H141" s="3"/>
      <c r="I141" s="3"/>
      <c r="J141" s="5" t="str">
        <f aca="false">IF(I141="","",F141)</f>
        <v/>
      </c>
      <c r="K141" s="6"/>
      <c r="L141" s="3"/>
      <c r="M141" s="3"/>
      <c r="N141" s="3"/>
      <c r="O141" s="7"/>
      <c r="P141" s="7"/>
      <c r="Q141" s="7"/>
      <c r="R141" s="7"/>
      <c r="S141" s="8" t="str">
        <f aca="false">IF(OR(E141="",H141="",E141&lt;=0),"",(H141-E141)/E141)</f>
        <v/>
      </c>
      <c r="T141" s="8" t="str">
        <f aca="false">IF(OR(E141="",L141="",E141&lt;=0),"",(E141-L141)/E141)</f>
        <v/>
      </c>
      <c r="U141" s="9" t="str">
        <f aca="false">IF(OR(S141="",T141="",T141&lt;=0),"",S141/T141)</f>
        <v/>
      </c>
      <c r="V141" s="10" t="str">
        <f aca="false">IF(OR(I141="",J141="",E141="",F141=""),"",I141*J141-E141*F141-IF(M141="",0,M141)-IF(N141="",0,N141))</f>
        <v/>
      </c>
      <c r="W141" s="8" t="str">
        <f aca="false">IF(OR(V141="",E141="",F141=""),"",IF(E141*F141+IF(M141="",0,M141)&lt;=0,"",V141/(E141*F141+IF(M141="",0,M141))))</f>
        <v/>
      </c>
      <c r="X141" s="8" t="str">
        <f aca="false">IF(OR(W141="",多次统计数据!$B$8=""),"",W141-多次统计数据!$B$8)</f>
        <v/>
      </c>
      <c r="Y141" s="11" t="str">
        <f aca="false">IF(OR(G141="",K141="",K141&lt;G141),"",K141-G141)</f>
        <v/>
      </c>
      <c r="Z141" s="8" t="str">
        <f aca="false">IF(OR(A141="",多次统计数据!$B$8="",多次统计数据!$B$6&lt;=0,多次统计数据!$B$6&gt;=1),"",1-POWER(1+多次统计数据!$B$8,-多次统计数据!$B$6/(1-多次统计数据!$B$6)))</f>
        <v/>
      </c>
      <c r="AA141" s="12" t="str">
        <f aca="false">IF(OR(Z141="",多次统计数据!$B$9=""),"",IF(多次统计数据!$B$9&lt;Z141,"低于上限","达到或超过上限"))</f>
        <v/>
      </c>
      <c r="AB141" s="2"/>
    </row>
    <row r="142" customFormat="false" ht="15" hidden="false" customHeight="false" outlineLevel="0" collapsed="false">
      <c r="A142" s="7"/>
      <c r="B142" s="7"/>
      <c r="C142" s="3"/>
      <c r="D142" s="4"/>
      <c r="E142" s="3"/>
      <c r="F142" s="5" t="str">
        <f aca="false">IF(OR(C142="",D142="",E142="",L142="",C142&lt;=0,D142&lt;=0,E142&lt;=L142),"",ROUNDDOWN((C142*D142)/(E142-L142)/100,0)*100)</f>
        <v/>
      </c>
      <c r="G142" s="6"/>
      <c r="H142" s="3"/>
      <c r="I142" s="3"/>
      <c r="J142" s="5" t="str">
        <f aca="false">IF(I142="","",F142)</f>
        <v/>
      </c>
      <c r="K142" s="6"/>
      <c r="L142" s="3"/>
      <c r="M142" s="3"/>
      <c r="N142" s="3"/>
      <c r="O142" s="7"/>
      <c r="P142" s="7"/>
      <c r="Q142" s="7"/>
      <c r="R142" s="7"/>
      <c r="S142" s="8" t="str">
        <f aca="false">IF(OR(E142="",H142="",E142&lt;=0),"",(H142-E142)/E142)</f>
        <v/>
      </c>
      <c r="T142" s="8" t="str">
        <f aca="false">IF(OR(E142="",L142="",E142&lt;=0),"",(E142-L142)/E142)</f>
        <v/>
      </c>
      <c r="U142" s="9" t="str">
        <f aca="false">IF(OR(S142="",T142="",T142&lt;=0),"",S142/T142)</f>
        <v/>
      </c>
      <c r="V142" s="10" t="str">
        <f aca="false">IF(OR(I142="",J142="",E142="",F142=""),"",I142*J142-E142*F142-IF(M142="",0,M142)-IF(N142="",0,N142))</f>
        <v/>
      </c>
      <c r="W142" s="8" t="str">
        <f aca="false">IF(OR(V142="",E142="",F142=""),"",IF(E142*F142+IF(M142="",0,M142)&lt;=0,"",V142/(E142*F142+IF(M142="",0,M142))))</f>
        <v/>
      </c>
      <c r="X142" s="8" t="str">
        <f aca="false">IF(OR(W142="",多次统计数据!$B$8=""),"",W142-多次统计数据!$B$8)</f>
        <v/>
      </c>
      <c r="Y142" s="11" t="str">
        <f aca="false">IF(OR(G142="",K142="",K142&lt;G142),"",K142-G142)</f>
        <v/>
      </c>
      <c r="Z142" s="8" t="str">
        <f aca="false">IF(OR(A142="",多次统计数据!$B$8="",多次统计数据!$B$6&lt;=0,多次统计数据!$B$6&gt;=1),"",1-POWER(1+多次统计数据!$B$8,-多次统计数据!$B$6/(1-多次统计数据!$B$6)))</f>
        <v/>
      </c>
      <c r="AA142" s="12" t="str">
        <f aca="false">IF(OR(Z142="",多次统计数据!$B$9=""),"",IF(多次统计数据!$B$9&lt;Z142,"低于上限","达到或超过上限"))</f>
        <v/>
      </c>
      <c r="AB142" s="2"/>
    </row>
    <row r="143" customFormat="false" ht="15" hidden="false" customHeight="false" outlineLevel="0" collapsed="false">
      <c r="A143" s="7"/>
      <c r="B143" s="7"/>
      <c r="C143" s="3"/>
      <c r="D143" s="4"/>
      <c r="E143" s="3"/>
      <c r="F143" s="5" t="str">
        <f aca="false">IF(OR(C143="",D143="",E143="",L143="",C143&lt;=0,D143&lt;=0,E143&lt;=L143),"",ROUNDDOWN((C143*D143)/(E143-L143)/100,0)*100)</f>
        <v/>
      </c>
      <c r="G143" s="6"/>
      <c r="H143" s="3"/>
      <c r="I143" s="3"/>
      <c r="J143" s="5" t="str">
        <f aca="false">IF(I143="","",F143)</f>
        <v/>
      </c>
      <c r="K143" s="6"/>
      <c r="L143" s="3"/>
      <c r="M143" s="3"/>
      <c r="N143" s="3"/>
      <c r="O143" s="7"/>
      <c r="P143" s="7"/>
      <c r="Q143" s="7"/>
      <c r="R143" s="7"/>
      <c r="S143" s="8" t="str">
        <f aca="false">IF(OR(E143="",H143="",E143&lt;=0),"",(H143-E143)/E143)</f>
        <v/>
      </c>
      <c r="T143" s="8" t="str">
        <f aca="false">IF(OR(E143="",L143="",E143&lt;=0),"",(E143-L143)/E143)</f>
        <v/>
      </c>
      <c r="U143" s="9" t="str">
        <f aca="false">IF(OR(S143="",T143="",T143&lt;=0),"",S143/T143)</f>
        <v/>
      </c>
      <c r="V143" s="10" t="str">
        <f aca="false">IF(OR(I143="",J143="",E143="",F143=""),"",I143*J143-E143*F143-IF(M143="",0,M143)-IF(N143="",0,N143))</f>
        <v/>
      </c>
      <c r="W143" s="8" t="str">
        <f aca="false">IF(OR(V143="",E143="",F143=""),"",IF(E143*F143+IF(M143="",0,M143)&lt;=0,"",V143/(E143*F143+IF(M143="",0,M143))))</f>
        <v/>
      </c>
      <c r="X143" s="8" t="str">
        <f aca="false">IF(OR(W143="",多次统计数据!$B$8=""),"",W143-多次统计数据!$B$8)</f>
        <v/>
      </c>
      <c r="Y143" s="11" t="str">
        <f aca="false">IF(OR(G143="",K143="",K143&lt;G143),"",K143-G143)</f>
        <v/>
      </c>
      <c r="Z143" s="8" t="str">
        <f aca="false">IF(OR(A143="",多次统计数据!$B$8="",多次统计数据!$B$6&lt;=0,多次统计数据!$B$6&gt;=1),"",1-POWER(1+多次统计数据!$B$8,-多次统计数据!$B$6/(1-多次统计数据!$B$6)))</f>
        <v/>
      </c>
      <c r="AA143" s="12" t="str">
        <f aca="false">IF(OR(Z143="",多次统计数据!$B$9=""),"",IF(多次统计数据!$B$9&lt;Z143,"低于上限","达到或超过上限"))</f>
        <v/>
      </c>
      <c r="AB143" s="2"/>
    </row>
    <row r="144" customFormat="false" ht="15" hidden="false" customHeight="false" outlineLevel="0" collapsed="false">
      <c r="A144" s="7"/>
      <c r="B144" s="7"/>
      <c r="C144" s="3"/>
      <c r="D144" s="4"/>
      <c r="E144" s="3"/>
      <c r="F144" s="5" t="str">
        <f aca="false">IF(OR(C144="",D144="",E144="",L144="",C144&lt;=0,D144&lt;=0,E144&lt;=L144),"",ROUNDDOWN((C144*D144)/(E144-L144)/100,0)*100)</f>
        <v/>
      </c>
      <c r="G144" s="6"/>
      <c r="H144" s="3"/>
      <c r="I144" s="3"/>
      <c r="J144" s="5" t="str">
        <f aca="false">IF(I144="","",F144)</f>
        <v/>
      </c>
      <c r="K144" s="6"/>
      <c r="L144" s="3"/>
      <c r="M144" s="3"/>
      <c r="N144" s="3"/>
      <c r="O144" s="7"/>
      <c r="P144" s="7"/>
      <c r="Q144" s="7"/>
      <c r="R144" s="7"/>
      <c r="S144" s="8" t="str">
        <f aca="false">IF(OR(E144="",H144="",E144&lt;=0),"",(H144-E144)/E144)</f>
        <v/>
      </c>
      <c r="T144" s="8" t="str">
        <f aca="false">IF(OR(E144="",L144="",E144&lt;=0),"",(E144-L144)/E144)</f>
        <v/>
      </c>
      <c r="U144" s="9" t="str">
        <f aca="false">IF(OR(S144="",T144="",T144&lt;=0),"",S144/T144)</f>
        <v/>
      </c>
      <c r="V144" s="10" t="str">
        <f aca="false">IF(OR(I144="",J144="",E144="",F144=""),"",I144*J144-E144*F144-IF(M144="",0,M144)-IF(N144="",0,N144))</f>
        <v/>
      </c>
      <c r="W144" s="8" t="str">
        <f aca="false">IF(OR(V144="",E144="",F144=""),"",IF(E144*F144+IF(M144="",0,M144)&lt;=0,"",V144/(E144*F144+IF(M144="",0,M144))))</f>
        <v/>
      </c>
      <c r="X144" s="8" t="str">
        <f aca="false">IF(OR(W144="",多次统计数据!$B$8=""),"",W144-多次统计数据!$B$8)</f>
        <v/>
      </c>
      <c r="Y144" s="11" t="str">
        <f aca="false">IF(OR(G144="",K144="",K144&lt;G144),"",K144-G144)</f>
        <v/>
      </c>
      <c r="Z144" s="8" t="str">
        <f aca="false">IF(OR(A144="",多次统计数据!$B$8="",多次统计数据!$B$6&lt;=0,多次统计数据!$B$6&gt;=1),"",1-POWER(1+多次统计数据!$B$8,-多次统计数据!$B$6/(1-多次统计数据!$B$6)))</f>
        <v/>
      </c>
      <c r="AA144" s="12" t="str">
        <f aca="false">IF(OR(Z144="",多次统计数据!$B$9=""),"",IF(多次统计数据!$B$9&lt;Z144,"低于上限","达到或超过上限"))</f>
        <v/>
      </c>
      <c r="AB144" s="2"/>
    </row>
    <row r="145" customFormat="false" ht="15" hidden="false" customHeight="false" outlineLevel="0" collapsed="false">
      <c r="A145" s="7"/>
      <c r="B145" s="7"/>
      <c r="C145" s="3"/>
      <c r="D145" s="4"/>
      <c r="E145" s="3"/>
      <c r="F145" s="5" t="str">
        <f aca="false">IF(OR(C145="",D145="",E145="",L145="",C145&lt;=0,D145&lt;=0,E145&lt;=L145),"",ROUNDDOWN((C145*D145)/(E145-L145)/100,0)*100)</f>
        <v/>
      </c>
      <c r="G145" s="6"/>
      <c r="H145" s="3"/>
      <c r="I145" s="3"/>
      <c r="J145" s="5" t="str">
        <f aca="false">IF(I145="","",F145)</f>
        <v/>
      </c>
      <c r="K145" s="6"/>
      <c r="L145" s="3"/>
      <c r="M145" s="3"/>
      <c r="N145" s="3"/>
      <c r="O145" s="7"/>
      <c r="P145" s="7"/>
      <c r="Q145" s="7"/>
      <c r="R145" s="7"/>
      <c r="S145" s="8" t="str">
        <f aca="false">IF(OR(E145="",H145="",E145&lt;=0),"",(H145-E145)/E145)</f>
        <v/>
      </c>
      <c r="T145" s="8" t="str">
        <f aca="false">IF(OR(E145="",L145="",E145&lt;=0),"",(E145-L145)/E145)</f>
        <v/>
      </c>
      <c r="U145" s="9" t="str">
        <f aca="false">IF(OR(S145="",T145="",T145&lt;=0),"",S145/T145)</f>
        <v/>
      </c>
      <c r="V145" s="10" t="str">
        <f aca="false">IF(OR(I145="",J145="",E145="",F145=""),"",I145*J145-E145*F145-IF(M145="",0,M145)-IF(N145="",0,N145))</f>
        <v/>
      </c>
      <c r="W145" s="8" t="str">
        <f aca="false">IF(OR(V145="",E145="",F145=""),"",IF(E145*F145+IF(M145="",0,M145)&lt;=0,"",V145/(E145*F145+IF(M145="",0,M145))))</f>
        <v/>
      </c>
      <c r="X145" s="8" t="str">
        <f aca="false">IF(OR(W145="",多次统计数据!$B$8=""),"",W145-多次统计数据!$B$8)</f>
        <v/>
      </c>
      <c r="Y145" s="11" t="str">
        <f aca="false">IF(OR(G145="",K145="",K145&lt;G145),"",K145-G145)</f>
        <v/>
      </c>
      <c r="Z145" s="8" t="str">
        <f aca="false">IF(OR(A145="",多次统计数据!$B$8="",多次统计数据!$B$6&lt;=0,多次统计数据!$B$6&gt;=1),"",1-POWER(1+多次统计数据!$B$8,-多次统计数据!$B$6/(1-多次统计数据!$B$6)))</f>
        <v/>
      </c>
      <c r="AA145" s="12" t="str">
        <f aca="false">IF(OR(Z145="",多次统计数据!$B$9=""),"",IF(多次统计数据!$B$9&lt;Z145,"低于上限","达到或超过上限"))</f>
        <v/>
      </c>
      <c r="AB145" s="2"/>
    </row>
    <row r="146" customFormat="false" ht="15" hidden="false" customHeight="false" outlineLevel="0" collapsed="false">
      <c r="A146" s="7"/>
      <c r="B146" s="7"/>
      <c r="C146" s="3"/>
      <c r="D146" s="4"/>
      <c r="E146" s="3"/>
      <c r="F146" s="5" t="str">
        <f aca="false">IF(OR(C146="",D146="",E146="",L146="",C146&lt;=0,D146&lt;=0,E146&lt;=L146),"",ROUNDDOWN((C146*D146)/(E146-L146)/100,0)*100)</f>
        <v/>
      </c>
      <c r="G146" s="6"/>
      <c r="H146" s="3"/>
      <c r="I146" s="3"/>
      <c r="J146" s="5" t="str">
        <f aca="false">IF(I146="","",F146)</f>
        <v/>
      </c>
      <c r="K146" s="6"/>
      <c r="L146" s="3"/>
      <c r="M146" s="3"/>
      <c r="N146" s="3"/>
      <c r="O146" s="7"/>
      <c r="P146" s="7"/>
      <c r="Q146" s="7"/>
      <c r="R146" s="7"/>
      <c r="S146" s="8" t="str">
        <f aca="false">IF(OR(E146="",H146="",E146&lt;=0),"",(H146-E146)/E146)</f>
        <v/>
      </c>
      <c r="T146" s="8" t="str">
        <f aca="false">IF(OR(E146="",L146="",E146&lt;=0),"",(E146-L146)/E146)</f>
        <v/>
      </c>
      <c r="U146" s="9" t="str">
        <f aca="false">IF(OR(S146="",T146="",T146&lt;=0),"",S146/T146)</f>
        <v/>
      </c>
      <c r="V146" s="10" t="str">
        <f aca="false">IF(OR(I146="",J146="",E146="",F146=""),"",I146*J146-E146*F146-IF(M146="",0,M146)-IF(N146="",0,N146))</f>
        <v/>
      </c>
      <c r="W146" s="8" t="str">
        <f aca="false">IF(OR(V146="",E146="",F146=""),"",IF(E146*F146+IF(M146="",0,M146)&lt;=0,"",V146/(E146*F146+IF(M146="",0,M146))))</f>
        <v/>
      </c>
      <c r="X146" s="8" t="str">
        <f aca="false">IF(OR(W146="",多次统计数据!$B$8=""),"",W146-多次统计数据!$B$8)</f>
        <v/>
      </c>
      <c r="Y146" s="11" t="str">
        <f aca="false">IF(OR(G146="",K146="",K146&lt;G146),"",K146-G146)</f>
        <v/>
      </c>
      <c r="Z146" s="8" t="str">
        <f aca="false">IF(OR(A146="",多次统计数据!$B$8="",多次统计数据!$B$6&lt;=0,多次统计数据!$B$6&gt;=1),"",1-POWER(1+多次统计数据!$B$8,-多次统计数据!$B$6/(1-多次统计数据!$B$6)))</f>
        <v/>
      </c>
      <c r="AA146" s="12" t="str">
        <f aca="false">IF(OR(Z146="",多次统计数据!$B$9=""),"",IF(多次统计数据!$B$9&lt;Z146,"低于上限","达到或超过上限"))</f>
        <v/>
      </c>
      <c r="AB146" s="2"/>
    </row>
    <row r="147" customFormat="false" ht="15" hidden="false" customHeight="false" outlineLevel="0" collapsed="false">
      <c r="A147" s="7"/>
      <c r="B147" s="7"/>
      <c r="C147" s="3"/>
      <c r="D147" s="4"/>
      <c r="E147" s="3"/>
      <c r="F147" s="5" t="str">
        <f aca="false">IF(OR(C147="",D147="",E147="",L147="",C147&lt;=0,D147&lt;=0,E147&lt;=L147),"",ROUNDDOWN((C147*D147)/(E147-L147)/100,0)*100)</f>
        <v/>
      </c>
      <c r="G147" s="6"/>
      <c r="H147" s="3"/>
      <c r="I147" s="3"/>
      <c r="J147" s="5" t="str">
        <f aca="false">IF(I147="","",F147)</f>
        <v/>
      </c>
      <c r="K147" s="6"/>
      <c r="L147" s="3"/>
      <c r="M147" s="3"/>
      <c r="N147" s="3"/>
      <c r="O147" s="7"/>
      <c r="P147" s="7"/>
      <c r="Q147" s="7"/>
      <c r="R147" s="7"/>
      <c r="S147" s="8" t="str">
        <f aca="false">IF(OR(E147="",H147="",E147&lt;=0),"",(H147-E147)/E147)</f>
        <v/>
      </c>
      <c r="T147" s="8" t="str">
        <f aca="false">IF(OR(E147="",L147="",E147&lt;=0),"",(E147-L147)/E147)</f>
        <v/>
      </c>
      <c r="U147" s="9" t="str">
        <f aca="false">IF(OR(S147="",T147="",T147&lt;=0),"",S147/T147)</f>
        <v/>
      </c>
      <c r="V147" s="10" t="str">
        <f aca="false">IF(OR(I147="",J147="",E147="",F147=""),"",I147*J147-E147*F147-IF(M147="",0,M147)-IF(N147="",0,N147))</f>
        <v/>
      </c>
      <c r="W147" s="8" t="str">
        <f aca="false">IF(OR(V147="",E147="",F147=""),"",IF(E147*F147+IF(M147="",0,M147)&lt;=0,"",V147/(E147*F147+IF(M147="",0,M147))))</f>
        <v/>
      </c>
      <c r="X147" s="8" t="str">
        <f aca="false">IF(OR(W147="",多次统计数据!$B$8=""),"",W147-多次统计数据!$B$8)</f>
        <v/>
      </c>
      <c r="Y147" s="11" t="str">
        <f aca="false">IF(OR(G147="",K147="",K147&lt;G147),"",K147-G147)</f>
        <v/>
      </c>
      <c r="Z147" s="8" t="str">
        <f aca="false">IF(OR(A147="",多次统计数据!$B$8="",多次统计数据!$B$6&lt;=0,多次统计数据!$B$6&gt;=1),"",1-POWER(1+多次统计数据!$B$8,-多次统计数据!$B$6/(1-多次统计数据!$B$6)))</f>
        <v/>
      </c>
      <c r="AA147" s="12" t="str">
        <f aca="false">IF(OR(Z147="",多次统计数据!$B$9=""),"",IF(多次统计数据!$B$9&lt;Z147,"低于上限","达到或超过上限"))</f>
        <v/>
      </c>
      <c r="AB147" s="2"/>
    </row>
    <row r="148" customFormat="false" ht="15" hidden="false" customHeight="false" outlineLevel="0" collapsed="false">
      <c r="A148" s="7"/>
      <c r="B148" s="7"/>
      <c r="C148" s="3"/>
      <c r="D148" s="4"/>
      <c r="E148" s="3"/>
      <c r="F148" s="5" t="str">
        <f aca="false">IF(OR(C148="",D148="",E148="",L148="",C148&lt;=0,D148&lt;=0,E148&lt;=L148),"",ROUNDDOWN((C148*D148)/(E148-L148)/100,0)*100)</f>
        <v/>
      </c>
      <c r="G148" s="6"/>
      <c r="H148" s="3"/>
      <c r="I148" s="3"/>
      <c r="J148" s="5" t="str">
        <f aca="false">IF(I148="","",F148)</f>
        <v/>
      </c>
      <c r="K148" s="6"/>
      <c r="L148" s="3"/>
      <c r="M148" s="3"/>
      <c r="N148" s="3"/>
      <c r="O148" s="7"/>
      <c r="P148" s="7"/>
      <c r="Q148" s="7"/>
      <c r="R148" s="7"/>
      <c r="S148" s="8" t="str">
        <f aca="false">IF(OR(E148="",H148="",E148&lt;=0),"",(H148-E148)/E148)</f>
        <v/>
      </c>
      <c r="T148" s="8" t="str">
        <f aca="false">IF(OR(E148="",L148="",E148&lt;=0),"",(E148-L148)/E148)</f>
        <v/>
      </c>
      <c r="U148" s="9" t="str">
        <f aca="false">IF(OR(S148="",T148="",T148&lt;=0),"",S148/T148)</f>
        <v/>
      </c>
      <c r="V148" s="10" t="str">
        <f aca="false">IF(OR(I148="",J148="",E148="",F148=""),"",I148*J148-E148*F148-IF(M148="",0,M148)-IF(N148="",0,N148))</f>
        <v/>
      </c>
      <c r="W148" s="8" t="str">
        <f aca="false">IF(OR(V148="",E148="",F148=""),"",IF(E148*F148+IF(M148="",0,M148)&lt;=0,"",V148/(E148*F148+IF(M148="",0,M148))))</f>
        <v/>
      </c>
      <c r="X148" s="8" t="str">
        <f aca="false">IF(OR(W148="",多次统计数据!$B$8=""),"",W148-多次统计数据!$B$8)</f>
        <v/>
      </c>
      <c r="Y148" s="11" t="str">
        <f aca="false">IF(OR(G148="",K148="",K148&lt;G148),"",K148-G148)</f>
        <v/>
      </c>
      <c r="Z148" s="8" t="str">
        <f aca="false">IF(OR(A148="",多次统计数据!$B$8="",多次统计数据!$B$6&lt;=0,多次统计数据!$B$6&gt;=1),"",1-POWER(1+多次统计数据!$B$8,-多次统计数据!$B$6/(1-多次统计数据!$B$6)))</f>
        <v/>
      </c>
      <c r="AA148" s="12" t="str">
        <f aca="false">IF(OR(Z148="",多次统计数据!$B$9=""),"",IF(多次统计数据!$B$9&lt;Z148,"低于上限","达到或超过上限"))</f>
        <v/>
      </c>
      <c r="AB148" s="2"/>
    </row>
    <row r="149" customFormat="false" ht="15" hidden="false" customHeight="false" outlineLevel="0" collapsed="false">
      <c r="A149" s="7"/>
      <c r="B149" s="7"/>
      <c r="C149" s="3"/>
      <c r="D149" s="4"/>
      <c r="E149" s="3"/>
      <c r="F149" s="5" t="str">
        <f aca="false">IF(OR(C149="",D149="",E149="",L149="",C149&lt;=0,D149&lt;=0,E149&lt;=L149),"",ROUNDDOWN((C149*D149)/(E149-L149)/100,0)*100)</f>
        <v/>
      </c>
      <c r="G149" s="6"/>
      <c r="H149" s="3"/>
      <c r="I149" s="3"/>
      <c r="J149" s="5" t="str">
        <f aca="false">IF(I149="","",F149)</f>
        <v/>
      </c>
      <c r="K149" s="6"/>
      <c r="L149" s="3"/>
      <c r="M149" s="3"/>
      <c r="N149" s="3"/>
      <c r="O149" s="7"/>
      <c r="P149" s="7"/>
      <c r="Q149" s="7"/>
      <c r="R149" s="7"/>
      <c r="S149" s="8" t="str">
        <f aca="false">IF(OR(E149="",H149="",E149&lt;=0),"",(H149-E149)/E149)</f>
        <v/>
      </c>
      <c r="T149" s="8" t="str">
        <f aca="false">IF(OR(E149="",L149="",E149&lt;=0),"",(E149-L149)/E149)</f>
        <v/>
      </c>
      <c r="U149" s="9" t="str">
        <f aca="false">IF(OR(S149="",T149="",T149&lt;=0),"",S149/T149)</f>
        <v/>
      </c>
      <c r="V149" s="10" t="str">
        <f aca="false">IF(OR(I149="",J149="",E149="",F149=""),"",I149*J149-E149*F149-IF(M149="",0,M149)-IF(N149="",0,N149))</f>
        <v/>
      </c>
      <c r="W149" s="8" t="str">
        <f aca="false">IF(OR(V149="",E149="",F149=""),"",IF(E149*F149+IF(M149="",0,M149)&lt;=0,"",V149/(E149*F149+IF(M149="",0,M149))))</f>
        <v/>
      </c>
      <c r="X149" s="8" t="str">
        <f aca="false">IF(OR(W149="",多次统计数据!$B$8=""),"",W149-多次统计数据!$B$8)</f>
        <v/>
      </c>
      <c r="Y149" s="11" t="str">
        <f aca="false">IF(OR(G149="",K149="",K149&lt;G149),"",K149-G149)</f>
        <v/>
      </c>
      <c r="Z149" s="8" t="str">
        <f aca="false">IF(OR(A149="",多次统计数据!$B$8="",多次统计数据!$B$6&lt;=0,多次统计数据!$B$6&gt;=1),"",1-POWER(1+多次统计数据!$B$8,-多次统计数据!$B$6/(1-多次统计数据!$B$6)))</f>
        <v/>
      </c>
      <c r="AA149" s="12" t="str">
        <f aca="false">IF(OR(Z149="",多次统计数据!$B$9=""),"",IF(多次统计数据!$B$9&lt;Z149,"低于上限","达到或超过上限"))</f>
        <v/>
      </c>
      <c r="AB149" s="2"/>
    </row>
    <row r="150" customFormat="false" ht="15" hidden="false" customHeight="false" outlineLevel="0" collapsed="false">
      <c r="A150" s="7"/>
      <c r="B150" s="7"/>
      <c r="C150" s="3"/>
      <c r="D150" s="4"/>
      <c r="E150" s="3"/>
      <c r="F150" s="5" t="str">
        <f aca="false">IF(OR(C150="",D150="",E150="",L150="",C150&lt;=0,D150&lt;=0,E150&lt;=L150),"",ROUNDDOWN((C150*D150)/(E150-L150)/100,0)*100)</f>
        <v/>
      </c>
      <c r="G150" s="6"/>
      <c r="H150" s="3"/>
      <c r="I150" s="3"/>
      <c r="J150" s="5" t="str">
        <f aca="false">IF(I150="","",F150)</f>
        <v/>
      </c>
      <c r="K150" s="6"/>
      <c r="L150" s="3"/>
      <c r="M150" s="3"/>
      <c r="N150" s="3"/>
      <c r="O150" s="7"/>
      <c r="P150" s="7"/>
      <c r="Q150" s="7"/>
      <c r="R150" s="7"/>
      <c r="S150" s="8" t="str">
        <f aca="false">IF(OR(E150="",H150="",E150&lt;=0),"",(H150-E150)/E150)</f>
        <v/>
      </c>
      <c r="T150" s="8" t="str">
        <f aca="false">IF(OR(E150="",L150="",E150&lt;=0),"",(E150-L150)/E150)</f>
        <v/>
      </c>
      <c r="U150" s="9" t="str">
        <f aca="false">IF(OR(S150="",T150="",T150&lt;=0),"",S150/T150)</f>
        <v/>
      </c>
      <c r="V150" s="10" t="str">
        <f aca="false">IF(OR(I150="",J150="",E150="",F150=""),"",I150*J150-E150*F150-IF(M150="",0,M150)-IF(N150="",0,N150))</f>
        <v/>
      </c>
      <c r="W150" s="8" t="str">
        <f aca="false">IF(OR(V150="",E150="",F150=""),"",IF(E150*F150+IF(M150="",0,M150)&lt;=0,"",V150/(E150*F150+IF(M150="",0,M150))))</f>
        <v/>
      </c>
      <c r="X150" s="8" t="str">
        <f aca="false">IF(OR(W150="",多次统计数据!$B$8=""),"",W150-多次统计数据!$B$8)</f>
        <v/>
      </c>
      <c r="Y150" s="11" t="str">
        <f aca="false">IF(OR(G150="",K150="",K150&lt;G150),"",K150-G150)</f>
        <v/>
      </c>
      <c r="Z150" s="8" t="str">
        <f aca="false">IF(OR(A150="",多次统计数据!$B$8="",多次统计数据!$B$6&lt;=0,多次统计数据!$B$6&gt;=1),"",1-POWER(1+多次统计数据!$B$8,-多次统计数据!$B$6/(1-多次统计数据!$B$6)))</f>
        <v/>
      </c>
      <c r="AA150" s="12" t="str">
        <f aca="false">IF(OR(Z150="",多次统计数据!$B$9=""),"",IF(多次统计数据!$B$9&lt;Z150,"低于上限","达到或超过上限"))</f>
        <v/>
      </c>
      <c r="AB150" s="2"/>
    </row>
    <row r="151" customFormat="false" ht="15" hidden="false" customHeight="false" outlineLevel="0" collapsed="false">
      <c r="A151" s="7"/>
      <c r="B151" s="7"/>
      <c r="C151" s="3"/>
      <c r="D151" s="4"/>
      <c r="E151" s="3"/>
      <c r="F151" s="5" t="str">
        <f aca="false">IF(OR(C151="",D151="",E151="",L151="",C151&lt;=0,D151&lt;=0,E151&lt;=L151),"",ROUNDDOWN((C151*D151)/(E151-L151)/100,0)*100)</f>
        <v/>
      </c>
      <c r="G151" s="6"/>
      <c r="H151" s="3"/>
      <c r="I151" s="3"/>
      <c r="J151" s="5" t="str">
        <f aca="false">IF(I151="","",F151)</f>
        <v/>
      </c>
      <c r="K151" s="6"/>
      <c r="L151" s="3"/>
      <c r="M151" s="3"/>
      <c r="N151" s="3"/>
      <c r="O151" s="7"/>
      <c r="P151" s="7"/>
      <c r="Q151" s="7"/>
      <c r="R151" s="7"/>
      <c r="S151" s="8" t="str">
        <f aca="false">IF(OR(E151="",H151="",E151&lt;=0),"",(H151-E151)/E151)</f>
        <v/>
      </c>
      <c r="T151" s="8" t="str">
        <f aca="false">IF(OR(E151="",L151="",E151&lt;=0),"",(E151-L151)/E151)</f>
        <v/>
      </c>
      <c r="U151" s="9" t="str">
        <f aca="false">IF(OR(S151="",T151="",T151&lt;=0),"",S151/T151)</f>
        <v/>
      </c>
      <c r="V151" s="10" t="str">
        <f aca="false">IF(OR(I151="",J151="",E151="",F151=""),"",I151*J151-E151*F151-IF(M151="",0,M151)-IF(N151="",0,N151))</f>
        <v/>
      </c>
      <c r="W151" s="8" t="str">
        <f aca="false">IF(OR(V151="",E151="",F151=""),"",IF(E151*F151+IF(M151="",0,M151)&lt;=0,"",V151/(E151*F151+IF(M151="",0,M151))))</f>
        <v/>
      </c>
      <c r="X151" s="8" t="str">
        <f aca="false">IF(OR(W151="",多次统计数据!$B$8=""),"",W151-多次统计数据!$B$8)</f>
        <v/>
      </c>
      <c r="Y151" s="11" t="str">
        <f aca="false">IF(OR(G151="",K151="",K151&lt;G151),"",K151-G151)</f>
        <v/>
      </c>
      <c r="Z151" s="8" t="str">
        <f aca="false">IF(OR(A151="",多次统计数据!$B$8="",多次统计数据!$B$6&lt;=0,多次统计数据!$B$6&gt;=1),"",1-POWER(1+多次统计数据!$B$8,-多次统计数据!$B$6/(1-多次统计数据!$B$6)))</f>
        <v/>
      </c>
      <c r="AA151" s="12" t="str">
        <f aca="false">IF(OR(Z151="",多次统计数据!$B$9=""),"",IF(多次统计数据!$B$9&lt;Z151,"低于上限","达到或超过上限"))</f>
        <v/>
      </c>
      <c r="AB151" s="2"/>
    </row>
    <row r="152" customFormat="false" ht="15" hidden="false" customHeight="false" outlineLevel="0" collapsed="false">
      <c r="A152" s="7"/>
      <c r="B152" s="7"/>
      <c r="C152" s="3"/>
      <c r="D152" s="4"/>
      <c r="E152" s="3"/>
      <c r="F152" s="5" t="str">
        <f aca="false">IF(OR(C152="",D152="",E152="",L152="",C152&lt;=0,D152&lt;=0,E152&lt;=L152),"",ROUNDDOWN((C152*D152)/(E152-L152)/100,0)*100)</f>
        <v/>
      </c>
      <c r="G152" s="6"/>
      <c r="H152" s="3"/>
      <c r="I152" s="3"/>
      <c r="J152" s="5" t="str">
        <f aca="false">IF(I152="","",F152)</f>
        <v/>
      </c>
      <c r="K152" s="6"/>
      <c r="L152" s="3"/>
      <c r="M152" s="3"/>
      <c r="N152" s="3"/>
      <c r="O152" s="7"/>
      <c r="P152" s="7"/>
      <c r="Q152" s="7"/>
      <c r="R152" s="7"/>
      <c r="S152" s="8" t="str">
        <f aca="false">IF(OR(E152="",H152="",E152&lt;=0),"",(H152-E152)/E152)</f>
        <v/>
      </c>
      <c r="T152" s="8" t="str">
        <f aca="false">IF(OR(E152="",L152="",E152&lt;=0),"",(E152-L152)/E152)</f>
        <v/>
      </c>
      <c r="U152" s="9" t="str">
        <f aca="false">IF(OR(S152="",T152="",T152&lt;=0),"",S152/T152)</f>
        <v/>
      </c>
      <c r="V152" s="10" t="str">
        <f aca="false">IF(OR(I152="",J152="",E152="",F152=""),"",I152*J152-E152*F152-IF(M152="",0,M152)-IF(N152="",0,N152))</f>
        <v/>
      </c>
      <c r="W152" s="8" t="str">
        <f aca="false">IF(OR(V152="",E152="",F152=""),"",IF(E152*F152+IF(M152="",0,M152)&lt;=0,"",V152/(E152*F152+IF(M152="",0,M152))))</f>
        <v/>
      </c>
      <c r="X152" s="8" t="str">
        <f aca="false">IF(OR(W152="",多次统计数据!$B$8=""),"",W152-多次统计数据!$B$8)</f>
        <v/>
      </c>
      <c r="Y152" s="11" t="str">
        <f aca="false">IF(OR(G152="",K152="",K152&lt;G152),"",K152-G152)</f>
        <v/>
      </c>
      <c r="Z152" s="8" t="str">
        <f aca="false">IF(OR(A152="",多次统计数据!$B$8="",多次统计数据!$B$6&lt;=0,多次统计数据!$B$6&gt;=1),"",1-POWER(1+多次统计数据!$B$8,-多次统计数据!$B$6/(1-多次统计数据!$B$6)))</f>
        <v/>
      </c>
      <c r="AA152" s="12" t="str">
        <f aca="false">IF(OR(Z152="",多次统计数据!$B$9=""),"",IF(多次统计数据!$B$9&lt;Z152,"低于上限","达到或超过上限"))</f>
        <v/>
      </c>
      <c r="AB152" s="2"/>
    </row>
    <row r="153" customFormat="false" ht="15" hidden="false" customHeight="false" outlineLevel="0" collapsed="false">
      <c r="A153" s="7"/>
      <c r="B153" s="7"/>
      <c r="C153" s="3"/>
      <c r="D153" s="4"/>
      <c r="E153" s="3"/>
      <c r="F153" s="5" t="str">
        <f aca="false">IF(OR(C153="",D153="",E153="",L153="",C153&lt;=0,D153&lt;=0,E153&lt;=L153),"",ROUNDDOWN((C153*D153)/(E153-L153)/100,0)*100)</f>
        <v/>
      </c>
      <c r="G153" s="6"/>
      <c r="H153" s="3"/>
      <c r="I153" s="3"/>
      <c r="J153" s="5" t="str">
        <f aca="false">IF(I153="","",F153)</f>
        <v/>
      </c>
      <c r="K153" s="6"/>
      <c r="L153" s="3"/>
      <c r="M153" s="3"/>
      <c r="N153" s="3"/>
      <c r="O153" s="7"/>
      <c r="P153" s="7"/>
      <c r="Q153" s="7"/>
      <c r="R153" s="7"/>
      <c r="S153" s="8" t="str">
        <f aca="false">IF(OR(E153="",H153="",E153&lt;=0),"",(H153-E153)/E153)</f>
        <v/>
      </c>
      <c r="T153" s="8" t="str">
        <f aca="false">IF(OR(E153="",L153="",E153&lt;=0),"",(E153-L153)/E153)</f>
        <v/>
      </c>
      <c r="U153" s="9" t="str">
        <f aca="false">IF(OR(S153="",T153="",T153&lt;=0),"",S153/T153)</f>
        <v/>
      </c>
      <c r="V153" s="10" t="str">
        <f aca="false">IF(OR(I153="",J153="",E153="",F153=""),"",I153*J153-E153*F153-IF(M153="",0,M153)-IF(N153="",0,N153))</f>
        <v/>
      </c>
      <c r="W153" s="8" t="str">
        <f aca="false">IF(OR(V153="",E153="",F153=""),"",IF(E153*F153+IF(M153="",0,M153)&lt;=0,"",V153/(E153*F153+IF(M153="",0,M153))))</f>
        <v/>
      </c>
      <c r="X153" s="8" t="str">
        <f aca="false">IF(OR(W153="",多次统计数据!$B$8=""),"",W153-多次统计数据!$B$8)</f>
        <v/>
      </c>
      <c r="Y153" s="11" t="str">
        <f aca="false">IF(OR(G153="",K153="",K153&lt;G153),"",K153-G153)</f>
        <v/>
      </c>
      <c r="Z153" s="8" t="str">
        <f aca="false">IF(OR(A153="",多次统计数据!$B$8="",多次统计数据!$B$6&lt;=0,多次统计数据!$B$6&gt;=1),"",1-POWER(1+多次统计数据!$B$8,-多次统计数据!$B$6/(1-多次统计数据!$B$6)))</f>
        <v/>
      </c>
      <c r="AA153" s="12" t="str">
        <f aca="false">IF(OR(Z153="",多次统计数据!$B$9=""),"",IF(多次统计数据!$B$9&lt;Z153,"低于上限","达到或超过上限"))</f>
        <v/>
      </c>
      <c r="AB153" s="2"/>
    </row>
    <row r="154" customFormat="false" ht="15" hidden="false" customHeight="false" outlineLevel="0" collapsed="false">
      <c r="A154" s="7"/>
      <c r="B154" s="7"/>
      <c r="C154" s="3"/>
      <c r="D154" s="4"/>
      <c r="E154" s="3"/>
      <c r="F154" s="5" t="str">
        <f aca="false">IF(OR(C154="",D154="",E154="",L154="",C154&lt;=0,D154&lt;=0,E154&lt;=L154),"",ROUNDDOWN((C154*D154)/(E154-L154)/100,0)*100)</f>
        <v/>
      </c>
      <c r="G154" s="6"/>
      <c r="H154" s="3"/>
      <c r="I154" s="3"/>
      <c r="J154" s="5" t="str">
        <f aca="false">IF(I154="","",F154)</f>
        <v/>
      </c>
      <c r="K154" s="6"/>
      <c r="L154" s="3"/>
      <c r="M154" s="3"/>
      <c r="N154" s="3"/>
      <c r="O154" s="7"/>
      <c r="P154" s="7"/>
      <c r="Q154" s="7"/>
      <c r="R154" s="7"/>
      <c r="S154" s="8" t="str">
        <f aca="false">IF(OR(E154="",H154="",E154&lt;=0),"",(H154-E154)/E154)</f>
        <v/>
      </c>
      <c r="T154" s="8" t="str">
        <f aca="false">IF(OR(E154="",L154="",E154&lt;=0),"",(E154-L154)/E154)</f>
        <v/>
      </c>
      <c r="U154" s="9" t="str">
        <f aca="false">IF(OR(S154="",T154="",T154&lt;=0),"",S154/T154)</f>
        <v/>
      </c>
      <c r="V154" s="10" t="str">
        <f aca="false">IF(OR(I154="",J154="",E154="",F154=""),"",I154*J154-E154*F154-IF(M154="",0,M154)-IF(N154="",0,N154))</f>
        <v/>
      </c>
      <c r="W154" s="8" t="str">
        <f aca="false">IF(OR(V154="",E154="",F154=""),"",IF(E154*F154+IF(M154="",0,M154)&lt;=0,"",V154/(E154*F154+IF(M154="",0,M154))))</f>
        <v/>
      </c>
      <c r="X154" s="8" t="str">
        <f aca="false">IF(OR(W154="",多次统计数据!$B$8=""),"",W154-多次统计数据!$B$8)</f>
        <v/>
      </c>
      <c r="Y154" s="11" t="str">
        <f aca="false">IF(OR(G154="",K154="",K154&lt;G154),"",K154-G154)</f>
        <v/>
      </c>
      <c r="Z154" s="8" t="str">
        <f aca="false">IF(OR(A154="",多次统计数据!$B$8="",多次统计数据!$B$6&lt;=0,多次统计数据!$B$6&gt;=1),"",1-POWER(1+多次统计数据!$B$8,-多次统计数据!$B$6/(1-多次统计数据!$B$6)))</f>
        <v/>
      </c>
      <c r="AA154" s="12" t="str">
        <f aca="false">IF(OR(Z154="",多次统计数据!$B$9=""),"",IF(多次统计数据!$B$9&lt;Z154,"低于上限","达到或超过上限"))</f>
        <v/>
      </c>
      <c r="AB154" s="2"/>
    </row>
    <row r="155" customFormat="false" ht="15" hidden="false" customHeight="false" outlineLevel="0" collapsed="false">
      <c r="A155" s="7"/>
      <c r="B155" s="7"/>
      <c r="C155" s="3"/>
      <c r="D155" s="4"/>
      <c r="E155" s="3"/>
      <c r="F155" s="5" t="str">
        <f aca="false">IF(OR(C155="",D155="",E155="",L155="",C155&lt;=0,D155&lt;=0,E155&lt;=L155),"",ROUNDDOWN((C155*D155)/(E155-L155)/100,0)*100)</f>
        <v/>
      </c>
      <c r="G155" s="6"/>
      <c r="H155" s="3"/>
      <c r="I155" s="3"/>
      <c r="J155" s="5" t="str">
        <f aca="false">IF(I155="","",F155)</f>
        <v/>
      </c>
      <c r="K155" s="6"/>
      <c r="L155" s="3"/>
      <c r="M155" s="3"/>
      <c r="N155" s="3"/>
      <c r="O155" s="7"/>
      <c r="P155" s="7"/>
      <c r="Q155" s="7"/>
      <c r="R155" s="7"/>
      <c r="S155" s="8" t="str">
        <f aca="false">IF(OR(E155="",H155="",E155&lt;=0),"",(H155-E155)/E155)</f>
        <v/>
      </c>
      <c r="T155" s="8" t="str">
        <f aca="false">IF(OR(E155="",L155="",E155&lt;=0),"",(E155-L155)/E155)</f>
        <v/>
      </c>
      <c r="U155" s="9" t="str">
        <f aca="false">IF(OR(S155="",T155="",T155&lt;=0),"",S155/T155)</f>
        <v/>
      </c>
      <c r="V155" s="10" t="str">
        <f aca="false">IF(OR(I155="",J155="",E155="",F155=""),"",I155*J155-E155*F155-IF(M155="",0,M155)-IF(N155="",0,N155))</f>
        <v/>
      </c>
      <c r="W155" s="8" t="str">
        <f aca="false">IF(OR(V155="",E155="",F155=""),"",IF(E155*F155+IF(M155="",0,M155)&lt;=0,"",V155/(E155*F155+IF(M155="",0,M155))))</f>
        <v/>
      </c>
      <c r="X155" s="8" t="str">
        <f aca="false">IF(OR(W155="",多次统计数据!$B$8=""),"",W155-多次统计数据!$B$8)</f>
        <v/>
      </c>
      <c r="Y155" s="11" t="str">
        <f aca="false">IF(OR(G155="",K155="",K155&lt;G155),"",K155-G155)</f>
        <v/>
      </c>
      <c r="Z155" s="8" t="str">
        <f aca="false">IF(OR(A155="",多次统计数据!$B$8="",多次统计数据!$B$6&lt;=0,多次统计数据!$B$6&gt;=1),"",1-POWER(1+多次统计数据!$B$8,-多次统计数据!$B$6/(1-多次统计数据!$B$6)))</f>
        <v/>
      </c>
      <c r="AA155" s="12" t="str">
        <f aca="false">IF(OR(Z155="",多次统计数据!$B$9=""),"",IF(多次统计数据!$B$9&lt;Z155,"低于上限","达到或超过上限"))</f>
        <v/>
      </c>
      <c r="AB155" s="2"/>
    </row>
    <row r="156" customFormat="false" ht="15" hidden="false" customHeight="false" outlineLevel="0" collapsed="false">
      <c r="A156" s="7"/>
      <c r="B156" s="7"/>
      <c r="C156" s="3"/>
      <c r="D156" s="4"/>
      <c r="E156" s="3"/>
      <c r="F156" s="5" t="str">
        <f aca="false">IF(OR(C156="",D156="",E156="",L156="",C156&lt;=0,D156&lt;=0,E156&lt;=L156),"",ROUNDDOWN((C156*D156)/(E156-L156)/100,0)*100)</f>
        <v/>
      </c>
      <c r="G156" s="6"/>
      <c r="H156" s="3"/>
      <c r="I156" s="3"/>
      <c r="J156" s="5" t="str">
        <f aca="false">IF(I156="","",F156)</f>
        <v/>
      </c>
      <c r="K156" s="6"/>
      <c r="L156" s="3"/>
      <c r="M156" s="3"/>
      <c r="N156" s="3"/>
      <c r="O156" s="7"/>
      <c r="P156" s="7"/>
      <c r="Q156" s="7"/>
      <c r="R156" s="7"/>
      <c r="S156" s="8" t="str">
        <f aca="false">IF(OR(E156="",H156="",E156&lt;=0),"",(H156-E156)/E156)</f>
        <v/>
      </c>
      <c r="T156" s="8" t="str">
        <f aca="false">IF(OR(E156="",L156="",E156&lt;=0),"",(E156-L156)/E156)</f>
        <v/>
      </c>
      <c r="U156" s="9" t="str">
        <f aca="false">IF(OR(S156="",T156="",T156&lt;=0),"",S156/T156)</f>
        <v/>
      </c>
      <c r="V156" s="10" t="str">
        <f aca="false">IF(OR(I156="",J156="",E156="",F156=""),"",I156*J156-E156*F156-IF(M156="",0,M156)-IF(N156="",0,N156))</f>
        <v/>
      </c>
      <c r="W156" s="8" t="str">
        <f aca="false">IF(OR(V156="",E156="",F156=""),"",IF(E156*F156+IF(M156="",0,M156)&lt;=0,"",V156/(E156*F156+IF(M156="",0,M156))))</f>
        <v/>
      </c>
      <c r="X156" s="8" t="str">
        <f aca="false">IF(OR(W156="",多次统计数据!$B$8=""),"",W156-多次统计数据!$B$8)</f>
        <v/>
      </c>
      <c r="Y156" s="11" t="str">
        <f aca="false">IF(OR(G156="",K156="",K156&lt;G156),"",K156-G156)</f>
        <v/>
      </c>
      <c r="Z156" s="8" t="str">
        <f aca="false">IF(OR(A156="",多次统计数据!$B$8="",多次统计数据!$B$6&lt;=0,多次统计数据!$B$6&gt;=1),"",1-POWER(1+多次统计数据!$B$8,-多次统计数据!$B$6/(1-多次统计数据!$B$6)))</f>
        <v/>
      </c>
      <c r="AA156" s="12" t="str">
        <f aca="false">IF(OR(Z156="",多次统计数据!$B$9=""),"",IF(多次统计数据!$B$9&lt;Z156,"低于上限","达到或超过上限"))</f>
        <v/>
      </c>
      <c r="AB156" s="2"/>
    </row>
    <row r="157" customFormat="false" ht="15" hidden="false" customHeight="false" outlineLevel="0" collapsed="false">
      <c r="A157" s="7"/>
      <c r="B157" s="7"/>
      <c r="C157" s="3"/>
      <c r="D157" s="4"/>
      <c r="E157" s="3"/>
      <c r="F157" s="5" t="str">
        <f aca="false">IF(OR(C157="",D157="",E157="",L157="",C157&lt;=0,D157&lt;=0,E157&lt;=L157),"",ROUNDDOWN((C157*D157)/(E157-L157)/100,0)*100)</f>
        <v/>
      </c>
      <c r="G157" s="6"/>
      <c r="H157" s="3"/>
      <c r="I157" s="3"/>
      <c r="J157" s="5" t="str">
        <f aca="false">IF(I157="","",F157)</f>
        <v/>
      </c>
      <c r="K157" s="6"/>
      <c r="L157" s="3"/>
      <c r="M157" s="3"/>
      <c r="N157" s="3"/>
      <c r="O157" s="7"/>
      <c r="P157" s="7"/>
      <c r="Q157" s="7"/>
      <c r="R157" s="7"/>
      <c r="S157" s="8" t="str">
        <f aca="false">IF(OR(E157="",H157="",E157&lt;=0),"",(H157-E157)/E157)</f>
        <v/>
      </c>
      <c r="T157" s="8" t="str">
        <f aca="false">IF(OR(E157="",L157="",E157&lt;=0),"",(E157-L157)/E157)</f>
        <v/>
      </c>
      <c r="U157" s="9" t="str">
        <f aca="false">IF(OR(S157="",T157="",T157&lt;=0),"",S157/T157)</f>
        <v/>
      </c>
      <c r="V157" s="10" t="str">
        <f aca="false">IF(OR(I157="",J157="",E157="",F157=""),"",I157*J157-E157*F157-IF(M157="",0,M157)-IF(N157="",0,N157))</f>
        <v/>
      </c>
      <c r="W157" s="8" t="str">
        <f aca="false">IF(OR(V157="",E157="",F157=""),"",IF(E157*F157+IF(M157="",0,M157)&lt;=0,"",V157/(E157*F157+IF(M157="",0,M157))))</f>
        <v/>
      </c>
      <c r="X157" s="8" t="str">
        <f aca="false">IF(OR(W157="",多次统计数据!$B$8=""),"",W157-多次统计数据!$B$8)</f>
        <v/>
      </c>
      <c r="Y157" s="11" t="str">
        <f aca="false">IF(OR(G157="",K157="",K157&lt;G157),"",K157-G157)</f>
        <v/>
      </c>
      <c r="Z157" s="8" t="str">
        <f aca="false">IF(OR(A157="",多次统计数据!$B$8="",多次统计数据!$B$6&lt;=0,多次统计数据!$B$6&gt;=1),"",1-POWER(1+多次统计数据!$B$8,-多次统计数据!$B$6/(1-多次统计数据!$B$6)))</f>
        <v/>
      </c>
      <c r="AA157" s="12" t="str">
        <f aca="false">IF(OR(Z157="",多次统计数据!$B$9=""),"",IF(多次统计数据!$B$9&lt;Z157,"低于上限","达到或超过上限"))</f>
        <v/>
      </c>
      <c r="AB157" s="2"/>
    </row>
    <row r="158" customFormat="false" ht="15" hidden="false" customHeight="false" outlineLevel="0" collapsed="false">
      <c r="A158" s="7"/>
      <c r="B158" s="7"/>
      <c r="C158" s="3"/>
      <c r="D158" s="4"/>
      <c r="E158" s="3"/>
      <c r="F158" s="5" t="str">
        <f aca="false">IF(OR(C158="",D158="",E158="",L158="",C158&lt;=0,D158&lt;=0,E158&lt;=L158),"",ROUNDDOWN((C158*D158)/(E158-L158)/100,0)*100)</f>
        <v/>
      </c>
      <c r="G158" s="6"/>
      <c r="H158" s="3"/>
      <c r="I158" s="3"/>
      <c r="J158" s="5" t="str">
        <f aca="false">IF(I158="","",F158)</f>
        <v/>
      </c>
      <c r="K158" s="6"/>
      <c r="L158" s="3"/>
      <c r="M158" s="3"/>
      <c r="N158" s="3"/>
      <c r="O158" s="7"/>
      <c r="P158" s="7"/>
      <c r="Q158" s="7"/>
      <c r="R158" s="7"/>
      <c r="S158" s="8" t="str">
        <f aca="false">IF(OR(E158="",H158="",E158&lt;=0),"",(H158-E158)/E158)</f>
        <v/>
      </c>
      <c r="T158" s="8" t="str">
        <f aca="false">IF(OR(E158="",L158="",E158&lt;=0),"",(E158-L158)/E158)</f>
        <v/>
      </c>
      <c r="U158" s="9" t="str">
        <f aca="false">IF(OR(S158="",T158="",T158&lt;=0),"",S158/T158)</f>
        <v/>
      </c>
      <c r="V158" s="10" t="str">
        <f aca="false">IF(OR(I158="",J158="",E158="",F158=""),"",I158*J158-E158*F158-IF(M158="",0,M158)-IF(N158="",0,N158))</f>
        <v/>
      </c>
      <c r="W158" s="8" t="str">
        <f aca="false">IF(OR(V158="",E158="",F158=""),"",IF(E158*F158+IF(M158="",0,M158)&lt;=0,"",V158/(E158*F158+IF(M158="",0,M158))))</f>
        <v/>
      </c>
      <c r="X158" s="8" t="str">
        <f aca="false">IF(OR(W158="",多次统计数据!$B$8=""),"",W158-多次统计数据!$B$8)</f>
        <v/>
      </c>
      <c r="Y158" s="11" t="str">
        <f aca="false">IF(OR(G158="",K158="",K158&lt;G158),"",K158-G158)</f>
        <v/>
      </c>
      <c r="Z158" s="8" t="str">
        <f aca="false">IF(OR(A158="",多次统计数据!$B$8="",多次统计数据!$B$6&lt;=0,多次统计数据!$B$6&gt;=1),"",1-POWER(1+多次统计数据!$B$8,-多次统计数据!$B$6/(1-多次统计数据!$B$6)))</f>
        <v/>
      </c>
      <c r="AA158" s="12" t="str">
        <f aca="false">IF(OR(Z158="",多次统计数据!$B$9=""),"",IF(多次统计数据!$B$9&lt;Z158,"低于上限","达到或超过上限"))</f>
        <v/>
      </c>
      <c r="AB158" s="2"/>
    </row>
    <row r="159" customFormat="false" ht="15" hidden="false" customHeight="false" outlineLevel="0" collapsed="false">
      <c r="A159" s="7"/>
      <c r="B159" s="7"/>
      <c r="C159" s="3"/>
      <c r="D159" s="4"/>
      <c r="E159" s="3"/>
      <c r="F159" s="5" t="str">
        <f aca="false">IF(OR(C159="",D159="",E159="",L159="",C159&lt;=0,D159&lt;=0,E159&lt;=L159),"",ROUNDDOWN((C159*D159)/(E159-L159)/100,0)*100)</f>
        <v/>
      </c>
      <c r="G159" s="6"/>
      <c r="H159" s="3"/>
      <c r="I159" s="3"/>
      <c r="J159" s="5" t="str">
        <f aca="false">IF(I159="","",F159)</f>
        <v/>
      </c>
      <c r="K159" s="6"/>
      <c r="L159" s="3"/>
      <c r="M159" s="3"/>
      <c r="N159" s="3"/>
      <c r="O159" s="7"/>
      <c r="P159" s="7"/>
      <c r="Q159" s="7"/>
      <c r="R159" s="7"/>
      <c r="S159" s="8" t="str">
        <f aca="false">IF(OR(E159="",H159="",E159&lt;=0),"",(H159-E159)/E159)</f>
        <v/>
      </c>
      <c r="T159" s="8" t="str">
        <f aca="false">IF(OR(E159="",L159="",E159&lt;=0),"",(E159-L159)/E159)</f>
        <v/>
      </c>
      <c r="U159" s="9" t="str">
        <f aca="false">IF(OR(S159="",T159="",T159&lt;=0),"",S159/T159)</f>
        <v/>
      </c>
      <c r="V159" s="10" t="str">
        <f aca="false">IF(OR(I159="",J159="",E159="",F159=""),"",I159*J159-E159*F159-IF(M159="",0,M159)-IF(N159="",0,N159))</f>
        <v/>
      </c>
      <c r="W159" s="8" t="str">
        <f aca="false">IF(OR(V159="",E159="",F159=""),"",IF(E159*F159+IF(M159="",0,M159)&lt;=0,"",V159/(E159*F159+IF(M159="",0,M159))))</f>
        <v/>
      </c>
      <c r="X159" s="8" t="str">
        <f aca="false">IF(OR(W159="",多次统计数据!$B$8=""),"",W159-多次统计数据!$B$8)</f>
        <v/>
      </c>
      <c r="Y159" s="11" t="str">
        <f aca="false">IF(OR(G159="",K159="",K159&lt;G159),"",K159-G159)</f>
        <v/>
      </c>
      <c r="Z159" s="8" t="str">
        <f aca="false">IF(OR(A159="",多次统计数据!$B$8="",多次统计数据!$B$6&lt;=0,多次统计数据!$B$6&gt;=1),"",1-POWER(1+多次统计数据!$B$8,-多次统计数据!$B$6/(1-多次统计数据!$B$6)))</f>
        <v/>
      </c>
      <c r="AA159" s="12" t="str">
        <f aca="false">IF(OR(Z159="",多次统计数据!$B$9=""),"",IF(多次统计数据!$B$9&lt;Z159,"低于上限","达到或超过上限"))</f>
        <v/>
      </c>
      <c r="AB159" s="2"/>
    </row>
    <row r="160" customFormat="false" ht="15" hidden="false" customHeight="false" outlineLevel="0" collapsed="false">
      <c r="A160" s="7"/>
      <c r="B160" s="7"/>
      <c r="C160" s="3"/>
      <c r="D160" s="4"/>
      <c r="E160" s="3"/>
      <c r="F160" s="5" t="str">
        <f aca="false">IF(OR(C160="",D160="",E160="",L160="",C160&lt;=0,D160&lt;=0,E160&lt;=L160),"",ROUNDDOWN((C160*D160)/(E160-L160)/100,0)*100)</f>
        <v/>
      </c>
      <c r="G160" s="6"/>
      <c r="H160" s="3"/>
      <c r="I160" s="3"/>
      <c r="J160" s="5" t="str">
        <f aca="false">IF(I160="","",F160)</f>
        <v/>
      </c>
      <c r="K160" s="6"/>
      <c r="L160" s="3"/>
      <c r="M160" s="3"/>
      <c r="N160" s="3"/>
      <c r="O160" s="7"/>
      <c r="P160" s="7"/>
      <c r="Q160" s="7"/>
      <c r="R160" s="7"/>
      <c r="S160" s="8" t="str">
        <f aca="false">IF(OR(E160="",H160="",E160&lt;=0),"",(H160-E160)/E160)</f>
        <v/>
      </c>
      <c r="T160" s="8" t="str">
        <f aca="false">IF(OR(E160="",L160="",E160&lt;=0),"",(E160-L160)/E160)</f>
        <v/>
      </c>
      <c r="U160" s="9" t="str">
        <f aca="false">IF(OR(S160="",T160="",T160&lt;=0),"",S160/T160)</f>
        <v/>
      </c>
      <c r="V160" s="10" t="str">
        <f aca="false">IF(OR(I160="",J160="",E160="",F160=""),"",I160*J160-E160*F160-IF(M160="",0,M160)-IF(N160="",0,N160))</f>
        <v/>
      </c>
      <c r="W160" s="8" t="str">
        <f aca="false">IF(OR(V160="",E160="",F160=""),"",IF(E160*F160+IF(M160="",0,M160)&lt;=0,"",V160/(E160*F160+IF(M160="",0,M160))))</f>
        <v/>
      </c>
      <c r="X160" s="8" t="str">
        <f aca="false">IF(OR(W160="",多次统计数据!$B$8=""),"",W160-多次统计数据!$B$8)</f>
        <v/>
      </c>
      <c r="Y160" s="11" t="str">
        <f aca="false">IF(OR(G160="",K160="",K160&lt;G160),"",K160-G160)</f>
        <v/>
      </c>
      <c r="Z160" s="8" t="str">
        <f aca="false">IF(OR(A160="",多次统计数据!$B$8="",多次统计数据!$B$6&lt;=0,多次统计数据!$B$6&gt;=1),"",1-POWER(1+多次统计数据!$B$8,-多次统计数据!$B$6/(1-多次统计数据!$B$6)))</f>
        <v/>
      </c>
      <c r="AA160" s="12" t="str">
        <f aca="false">IF(OR(Z160="",多次统计数据!$B$9=""),"",IF(多次统计数据!$B$9&lt;Z160,"低于上限","达到或超过上限"))</f>
        <v/>
      </c>
      <c r="AB160" s="2"/>
    </row>
    <row r="161" customFormat="false" ht="15" hidden="false" customHeight="false" outlineLevel="0" collapsed="false">
      <c r="A161" s="7"/>
      <c r="B161" s="7"/>
      <c r="C161" s="3"/>
      <c r="D161" s="4"/>
      <c r="E161" s="3"/>
      <c r="F161" s="5" t="str">
        <f aca="false">IF(OR(C161="",D161="",E161="",L161="",C161&lt;=0,D161&lt;=0,E161&lt;=L161),"",ROUNDDOWN((C161*D161)/(E161-L161)/100,0)*100)</f>
        <v/>
      </c>
      <c r="G161" s="6"/>
      <c r="H161" s="3"/>
      <c r="I161" s="3"/>
      <c r="J161" s="5" t="str">
        <f aca="false">IF(I161="","",F161)</f>
        <v/>
      </c>
      <c r="K161" s="6"/>
      <c r="L161" s="3"/>
      <c r="M161" s="3"/>
      <c r="N161" s="3"/>
      <c r="O161" s="7"/>
      <c r="P161" s="7"/>
      <c r="Q161" s="7"/>
      <c r="R161" s="7"/>
      <c r="S161" s="8" t="str">
        <f aca="false">IF(OR(E161="",H161="",E161&lt;=0),"",(H161-E161)/E161)</f>
        <v/>
      </c>
      <c r="T161" s="8" t="str">
        <f aca="false">IF(OR(E161="",L161="",E161&lt;=0),"",(E161-L161)/E161)</f>
        <v/>
      </c>
      <c r="U161" s="9" t="str">
        <f aca="false">IF(OR(S161="",T161="",T161&lt;=0),"",S161/T161)</f>
        <v/>
      </c>
      <c r="V161" s="10" t="str">
        <f aca="false">IF(OR(I161="",J161="",E161="",F161=""),"",I161*J161-E161*F161-IF(M161="",0,M161)-IF(N161="",0,N161))</f>
        <v/>
      </c>
      <c r="W161" s="8" t="str">
        <f aca="false">IF(OR(V161="",E161="",F161=""),"",IF(E161*F161+IF(M161="",0,M161)&lt;=0,"",V161/(E161*F161+IF(M161="",0,M161))))</f>
        <v/>
      </c>
      <c r="X161" s="8" t="str">
        <f aca="false">IF(OR(W161="",多次统计数据!$B$8=""),"",W161-多次统计数据!$B$8)</f>
        <v/>
      </c>
      <c r="Y161" s="11" t="str">
        <f aca="false">IF(OR(G161="",K161="",K161&lt;G161),"",K161-G161)</f>
        <v/>
      </c>
      <c r="Z161" s="8" t="str">
        <f aca="false">IF(OR(A161="",多次统计数据!$B$8="",多次统计数据!$B$6&lt;=0,多次统计数据!$B$6&gt;=1),"",1-POWER(1+多次统计数据!$B$8,-多次统计数据!$B$6/(1-多次统计数据!$B$6)))</f>
        <v/>
      </c>
      <c r="AA161" s="12" t="str">
        <f aca="false">IF(OR(Z161="",多次统计数据!$B$9=""),"",IF(多次统计数据!$B$9&lt;Z161,"低于上限","达到或超过上限"))</f>
        <v/>
      </c>
      <c r="AB161" s="2"/>
    </row>
    <row r="162" customFormat="false" ht="15" hidden="false" customHeight="false" outlineLevel="0" collapsed="false">
      <c r="A162" s="7"/>
      <c r="B162" s="7"/>
      <c r="C162" s="3"/>
      <c r="D162" s="4"/>
      <c r="E162" s="3"/>
      <c r="F162" s="5" t="str">
        <f aca="false">IF(OR(C162="",D162="",E162="",L162="",C162&lt;=0,D162&lt;=0,E162&lt;=L162),"",ROUNDDOWN((C162*D162)/(E162-L162)/100,0)*100)</f>
        <v/>
      </c>
      <c r="G162" s="6"/>
      <c r="H162" s="3"/>
      <c r="I162" s="3"/>
      <c r="J162" s="5" t="str">
        <f aca="false">IF(I162="","",F162)</f>
        <v/>
      </c>
      <c r="K162" s="6"/>
      <c r="L162" s="3"/>
      <c r="M162" s="3"/>
      <c r="N162" s="3"/>
      <c r="O162" s="7"/>
      <c r="P162" s="7"/>
      <c r="Q162" s="7"/>
      <c r="R162" s="7"/>
      <c r="S162" s="8" t="str">
        <f aca="false">IF(OR(E162="",H162="",E162&lt;=0),"",(H162-E162)/E162)</f>
        <v/>
      </c>
      <c r="T162" s="8" t="str">
        <f aca="false">IF(OR(E162="",L162="",E162&lt;=0),"",(E162-L162)/E162)</f>
        <v/>
      </c>
      <c r="U162" s="9" t="str">
        <f aca="false">IF(OR(S162="",T162="",T162&lt;=0),"",S162/T162)</f>
        <v/>
      </c>
      <c r="V162" s="10" t="str">
        <f aca="false">IF(OR(I162="",J162="",E162="",F162=""),"",I162*J162-E162*F162-IF(M162="",0,M162)-IF(N162="",0,N162))</f>
        <v/>
      </c>
      <c r="W162" s="8" t="str">
        <f aca="false">IF(OR(V162="",E162="",F162=""),"",IF(E162*F162+IF(M162="",0,M162)&lt;=0,"",V162/(E162*F162+IF(M162="",0,M162))))</f>
        <v/>
      </c>
      <c r="X162" s="8" t="str">
        <f aca="false">IF(OR(W162="",多次统计数据!$B$8=""),"",W162-多次统计数据!$B$8)</f>
        <v/>
      </c>
      <c r="Y162" s="11" t="str">
        <f aca="false">IF(OR(G162="",K162="",K162&lt;G162),"",K162-G162)</f>
        <v/>
      </c>
      <c r="Z162" s="8" t="str">
        <f aca="false">IF(OR(A162="",多次统计数据!$B$8="",多次统计数据!$B$6&lt;=0,多次统计数据!$B$6&gt;=1),"",1-POWER(1+多次统计数据!$B$8,-多次统计数据!$B$6/(1-多次统计数据!$B$6)))</f>
        <v/>
      </c>
      <c r="AA162" s="12" t="str">
        <f aca="false">IF(OR(Z162="",多次统计数据!$B$9=""),"",IF(多次统计数据!$B$9&lt;Z162,"低于上限","达到或超过上限"))</f>
        <v/>
      </c>
      <c r="AB162" s="2"/>
    </row>
    <row r="163" customFormat="false" ht="15" hidden="false" customHeight="false" outlineLevel="0" collapsed="false">
      <c r="A163" s="7"/>
      <c r="B163" s="7"/>
      <c r="C163" s="3"/>
      <c r="D163" s="4"/>
      <c r="E163" s="3"/>
      <c r="F163" s="5" t="str">
        <f aca="false">IF(OR(C163="",D163="",E163="",L163="",C163&lt;=0,D163&lt;=0,E163&lt;=L163),"",ROUNDDOWN((C163*D163)/(E163-L163)/100,0)*100)</f>
        <v/>
      </c>
      <c r="G163" s="6"/>
      <c r="H163" s="3"/>
      <c r="I163" s="3"/>
      <c r="J163" s="5" t="str">
        <f aca="false">IF(I163="","",F163)</f>
        <v/>
      </c>
      <c r="K163" s="6"/>
      <c r="L163" s="3"/>
      <c r="M163" s="3"/>
      <c r="N163" s="3"/>
      <c r="O163" s="7"/>
      <c r="P163" s="7"/>
      <c r="Q163" s="7"/>
      <c r="R163" s="7"/>
      <c r="S163" s="8" t="str">
        <f aca="false">IF(OR(E163="",H163="",E163&lt;=0),"",(H163-E163)/E163)</f>
        <v/>
      </c>
      <c r="T163" s="8" t="str">
        <f aca="false">IF(OR(E163="",L163="",E163&lt;=0),"",(E163-L163)/E163)</f>
        <v/>
      </c>
      <c r="U163" s="9" t="str">
        <f aca="false">IF(OR(S163="",T163="",T163&lt;=0),"",S163/T163)</f>
        <v/>
      </c>
      <c r="V163" s="10" t="str">
        <f aca="false">IF(OR(I163="",J163="",E163="",F163=""),"",I163*J163-E163*F163-IF(M163="",0,M163)-IF(N163="",0,N163))</f>
        <v/>
      </c>
      <c r="W163" s="8" t="str">
        <f aca="false">IF(OR(V163="",E163="",F163=""),"",IF(E163*F163+IF(M163="",0,M163)&lt;=0,"",V163/(E163*F163+IF(M163="",0,M163))))</f>
        <v/>
      </c>
      <c r="X163" s="8" t="str">
        <f aca="false">IF(OR(W163="",多次统计数据!$B$8=""),"",W163-多次统计数据!$B$8)</f>
        <v/>
      </c>
      <c r="Y163" s="11" t="str">
        <f aca="false">IF(OR(G163="",K163="",K163&lt;G163),"",K163-G163)</f>
        <v/>
      </c>
      <c r="Z163" s="8" t="str">
        <f aca="false">IF(OR(A163="",多次统计数据!$B$8="",多次统计数据!$B$6&lt;=0,多次统计数据!$B$6&gt;=1),"",1-POWER(1+多次统计数据!$B$8,-多次统计数据!$B$6/(1-多次统计数据!$B$6)))</f>
        <v/>
      </c>
      <c r="AA163" s="12" t="str">
        <f aca="false">IF(OR(Z163="",多次统计数据!$B$9=""),"",IF(多次统计数据!$B$9&lt;Z163,"低于上限","达到或超过上限"))</f>
        <v/>
      </c>
      <c r="AB163" s="2"/>
    </row>
    <row r="164" customFormat="false" ht="15" hidden="false" customHeight="false" outlineLevel="0" collapsed="false">
      <c r="A164" s="7"/>
      <c r="B164" s="7"/>
      <c r="C164" s="3"/>
      <c r="D164" s="4"/>
      <c r="E164" s="3"/>
      <c r="F164" s="5" t="str">
        <f aca="false">IF(OR(C164="",D164="",E164="",L164="",C164&lt;=0,D164&lt;=0,E164&lt;=L164),"",ROUNDDOWN((C164*D164)/(E164-L164)/100,0)*100)</f>
        <v/>
      </c>
      <c r="G164" s="6"/>
      <c r="H164" s="3"/>
      <c r="I164" s="3"/>
      <c r="J164" s="5" t="str">
        <f aca="false">IF(I164="","",F164)</f>
        <v/>
      </c>
      <c r="K164" s="6"/>
      <c r="L164" s="3"/>
      <c r="M164" s="3"/>
      <c r="N164" s="3"/>
      <c r="O164" s="7"/>
      <c r="P164" s="7"/>
      <c r="Q164" s="7"/>
      <c r="R164" s="7"/>
      <c r="S164" s="8" t="str">
        <f aca="false">IF(OR(E164="",H164="",E164&lt;=0),"",(H164-E164)/E164)</f>
        <v/>
      </c>
      <c r="T164" s="8" t="str">
        <f aca="false">IF(OR(E164="",L164="",E164&lt;=0),"",(E164-L164)/E164)</f>
        <v/>
      </c>
      <c r="U164" s="9" t="str">
        <f aca="false">IF(OR(S164="",T164="",T164&lt;=0),"",S164/T164)</f>
        <v/>
      </c>
      <c r="V164" s="10" t="str">
        <f aca="false">IF(OR(I164="",J164="",E164="",F164=""),"",I164*J164-E164*F164-IF(M164="",0,M164)-IF(N164="",0,N164))</f>
        <v/>
      </c>
      <c r="W164" s="8" t="str">
        <f aca="false">IF(OR(V164="",E164="",F164=""),"",IF(E164*F164+IF(M164="",0,M164)&lt;=0,"",V164/(E164*F164+IF(M164="",0,M164))))</f>
        <v/>
      </c>
      <c r="X164" s="8" t="str">
        <f aca="false">IF(OR(W164="",多次统计数据!$B$8=""),"",W164-多次统计数据!$B$8)</f>
        <v/>
      </c>
      <c r="Y164" s="11" t="str">
        <f aca="false">IF(OR(G164="",K164="",K164&lt;G164),"",K164-G164)</f>
        <v/>
      </c>
      <c r="Z164" s="8" t="str">
        <f aca="false">IF(OR(A164="",多次统计数据!$B$8="",多次统计数据!$B$6&lt;=0,多次统计数据!$B$6&gt;=1),"",1-POWER(1+多次统计数据!$B$8,-多次统计数据!$B$6/(1-多次统计数据!$B$6)))</f>
        <v/>
      </c>
      <c r="AA164" s="12" t="str">
        <f aca="false">IF(OR(Z164="",多次统计数据!$B$9=""),"",IF(多次统计数据!$B$9&lt;Z164,"低于上限","达到或超过上限"))</f>
        <v/>
      </c>
      <c r="AB164" s="2"/>
    </row>
    <row r="165" customFormat="false" ht="15" hidden="false" customHeight="false" outlineLevel="0" collapsed="false">
      <c r="A165" s="7"/>
      <c r="B165" s="7"/>
      <c r="C165" s="3"/>
      <c r="D165" s="4"/>
      <c r="E165" s="3"/>
      <c r="F165" s="5" t="str">
        <f aca="false">IF(OR(C165="",D165="",E165="",L165="",C165&lt;=0,D165&lt;=0,E165&lt;=L165),"",ROUNDDOWN((C165*D165)/(E165-L165)/100,0)*100)</f>
        <v/>
      </c>
      <c r="G165" s="6"/>
      <c r="H165" s="3"/>
      <c r="I165" s="3"/>
      <c r="J165" s="5" t="str">
        <f aca="false">IF(I165="","",F165)</f>
        <v/>
      </c>
      <c r="K165" s="6"/>
      <c r="L165" s="3"/>
      <c r="M165" s="3"/>
      <c r="N165" s="3"/>
      <c r="O165" s="7"/>
      <c r="P165" s="7"/>
      <c r="Q165" s="7"/>
      <c r="R165" s="7"/>
      <c r="S165" s="8" t="str">
        <f aca="false">IF(OR(E165="",H165="",E165&lt;=0),"",(H165-E165)/E165)</f>
        <v/>
      </c>
      <c r="T165" s="8" t="str">
        <f aca="false">IF(OR(E165="",L165="",E165&lt;=0),"",(E165-L165)/E165)</f>
        <v/>
      </c>
      <c r="U165" s="9" t="str">
        <f aca="false">IF(OR(S165="",T165="",T165&lt;=0),"",S165/T165)</f>
        <v/>
      </c>
      <c r="V165" s="10" t="str">
        <f aca="false">IF(OR(I165="",J165="",E165="",F165=""),"",I165*J165-E165*F165-IF(M165="",0,M165)-IF(N165="",0,N165))</f>
        <v/>
      </c>
      <c r="W165" s="8" t="str">
        <f aca="false">IF(OR(V165="",E165="",F165=""),"",IF(E165*F165+IF(M165="",0,M165)&lt;=0,"",V165/(E165*F165+IF(M165="",0,M165))))</f>
        <v/>
      </c>
      <c r="X165" s="8" t="str">
        <f aca="false">IF(OR(W165="",多次统计数据!$B$8=""),"",W165-多次统计数据!$B$8)</f>
        <v/>
      </c>
      <c r="Y165" s="11" t="str">
        <f aca="false">IF(OR(G165="",K165="",K165&lt;G165),"",K165-G165)</f>
        <v/>
      </c>
      <c r="Z165" s="8" t="str">
        <f aca="false">IF(OR(A165="",多次统计数据!$B$8="",多次统计数据!$B$6&lt;=0,多次统计数据!$B$6&gt;=1),"",1-POWER(1+多次统计数据!$B$8,-多次统计数据!$B$6/(1-多次统计数据!$B$6)))</f>
        <v/>
      </c>
      <c r="AA165" s="12" t="str">
        <f aca="false">IF(OR(Z165="",多次统计数据!$B$9=""),"",IF(多次统计数据!$B$9&lt;Z165,"低于上限","达到或超过上限"))</f>
        <v/>
      </c>
      <c r="AB165" s="2"/>
    </row>
    <row r="166" customFormat="false" ht="15" hidden="false" customHeight="false" outlineLevel="0" collapsed="false">
      <c r="A166" s="7"/>
      <c r="B166" s="7"/>
      <c r="C166" s="3"/>
      <c r="D166" s="4"/>
      <c r="E166" s="3"/>
      <c r="F166" s="5" t="str">
        <f aca="false">IF(OR(C166="",D166="",E166="",L166="",C166&lt;=0,D166&lt;=0,E166&lt;=L166),"",ROUNDDOWN((C166*D166)/(E166-L166)/100,0)*100)</f>
        <v/>
      </c>
      <c r="G166" s="6"/>
      <c r="H166" s="3"/>
      <c r="I166" s="3"/>
      <c r="J166" s="5" t="str">
        <f aca="false">IF(I166="","",F166)</f>
        <v/>
      </c>
      <c r="K166" s="6"/>
      <c r="L166" s="3"/>
      <c r="M166" s="3"/>
      <c r="N166" s="3"/>
      <c r="O166" s="7"/>
      <c r="P166" s="7"/>
      <c r="Q166" s="7"/>
      <c r="R166" s="7"/>
      <c r="S166" s="8" t="str">
        <f aca="false">IF(OR(E166="",H166="",E166&lt;=0),"",(H166-E166)/E166)</f>
        <v/>
      </c>
      <c r="T166" s="8" t="str">
        <f aca="false">IF(OR(E166="",L166="",E166&lt;=0),"",(E166-L166)/E166)</f>
        <v/>
      </c>
      <c r="U166" s="9" t="str">
        <f aca="false">IF(OR(S166="",T166="",T166&lt;=0),"",S166/T166)</f>
        <v/>
      </c>
      <c r="V166" s="10" t="str">
        <f aca="false">IF(OR(I166="",J166="",E166="",F166=""),"",I166*J166-E166*F166-IF(M166="",0,M166)-IF(N166="",0,N166))</f>
        <v/>
      </c>
      <c r="W166" s="8" t="str">
        <f aca="false">IF(OR(V166="",E166="",F166=""),"",IF(E166*F166+IF(M166="",0,M166)&lt;=0,"",V166/(E166*F166+IF(M166="",0,M166))))</f>
        <v/>
      </c>
      <c r="X166" s="8" t="str">
        <f aca="false">IF(OR(W166="",多次统计数据!$B$8=""),"",W166-多次统计数据!$B$8)</f>
        <v/>
      </c>
      <c r="Y166" s="11" t="str">
        <f aca="false">IF(OR(G166="",K166="",K166&lt;G166),"",K166-G166)</f>
        <v/>
      </c>
      <c r="Z166" s="8" t="str">
        <f aca="false">IF(OR(A166="",多次统计数据!$B$8="",多次统计数据!$B$6&lt;=0,多次统计数据!$B$6&gt;=1),"",1-POWER(1+多次统计数据!$B$8,-多次统计数据!$B$6/(1-多次统计数据!$B$6)))</f>
        <v/>
      </c>
      <c r="AA166" s="12" t="str">
        <f aca="false">IF(OR(Z166="",多次统计数据!$B$9=""),"",IF(多次统计数据!$B$9&lt;Z166,"低于上限","达到或超过上限"))</f>
        <v/>
      </c>
      <c r="AB166" s="2"/>
    </row>
    <row r="167" customFormat="false" ht="15" hidden="false" customHeight="false" outlineLevel="0" collapsed="false">
      <c r="A167" s="7"/>
      <c r="B167" s="7"/>
      <c r="C167" s="3"/>
      <c r="D167" s="4"/>
      <c r="E167" s="3"/>
      <c r="F167" s="5" t="str">
        <f aca="false">IF(OR(C167="",D167="",E167="",L167="",C167&lt;=0,D167&lt;=0,E167&lt;=L167),"",ROUNDDOWN((C167*D167)/(E167-L167)/100,0)*100)</f>
        <v/>
      </c>
      <c r="G167" s="6"/>
      <c r="H167" s="3"/>
      <c r="I167" s="3"/>
      <c r="J167" s="5" t="str">
        <f aca="false">IF(I167="","",F167)</f>
        <v/>
      </c>
      <c r="K167" s="6"/>
      <c r="L167" s="3"/>
      <c r="M167" s="3"/>
      <c r="N167" s="3"/>
      <c r="O167" s="7"/>
      <c r="P167" s="7"/>
      <c r="Q167" s="7"/>
      <c r="R167" s="7"/>
      <c r="S167" s="8" t="str">
        <f aca="false">IF(OR(E167="",H167="",E167&lt;=0),"",(H167-E167)/E167)</f>
        <v/>
      </c>
      <c r="T167" s="8" t="str">
        <f aca="false">IF(OR(E167="",L167="",E167&lt;=0),"",(E167-L167)/E167)</f>
        <v/>
      </c>
      <c r="U167" s="9" t="str">
        <f aca="false">IF(OR(S167="",T167="",T167&lt;=0),"",S167/T167)</f>
        <v/>
      </c>
      <c r="V167" s="10" t="str">
        <f aca="false">IF(OR(I167="",J167="",E167="",F167=""),"",I167*J167-E167*F167-IF(M167="",0,M167)-IF(N167="",0,N167))</f>
        <v/>
      </c>
      <c r="W167" s="8" t="str">
        <f aca="false">IF(OR(V167="",E167="",F167=""),"",IF(E167*F167+IF(M167="",0,M167)&lt;=0,"",V167/(E167*F167+IF(M167="",0,M167))))</f>
        <v/>
      </c>
      <c r="X167" s="8" t="str">
        <f aca="false">IF(OR(W167="",多次统计数据!$B$8=""),"",W167-多次统计数据!$B$8)</f>
        <v/>
      </c>
      <c r="Y167" s="11" t="str">
        <f aca="false">IF(OR(G167="",K167="",K167&lt;G167),"",K167-G167)</f>
        <v/>
      </c>
      <c r="Z167" s="8" t="str">
        <f aca="false">IF(OR(A167="",多次统计数据!$B$8="",多次统计数据!$B$6&lt;=0,多次统计数据!$B$6&gt;=1),"",1-POWER(1+多次统计数据!$B$8,-多次统计数据!$B$6/(1-多次统计数据!$B$6)))</f>
        <v/>
      </c>
      <c r="AA167" s="12" t="str">
        <f aca="false">IF(OR(Z167="",多次统计数据!$B$9=""),"",IF(多次统计数据!$B$9&lt;Z167,"低于上限","达到或超过上限"))</f>
        <v/>
      </c>
      <c r="AB167" s="2"/>
    </row>
    <row r="168" customFormat="false" ht="15" hidden="false" customHeight="false" outlineLevel="0" collapsed="false">
      <c r="A168" s="7"/>
      <c r="B168" s="7"/>
      <c r="C168" s="3"/>
      <c r="D168" s="4"/>
      <c r="E168" s="3"/>
      <c r="F168" s="5" t="str">
        <f aca="false">IF(OR(C168="",D168="",E168="",L168="",C168&lt;=0,D168&lt;=0,E168&lt;=L168),"",ROUNDDOWN((C168*D168)/(E168-L168)/100,0)*100)</f>
        <v/>
      </c>
      <c r="G168" s="6"/>
      <c r="H168" s="3"/>
      <c r="I168" s="3"/>
      <c r="J168" s="5" t="str">
        <f aca="false">IF(I168="","",F168)</f>
        <v/>
      </c>
      <c r="K168" s="6"/>
      <c r="L168" s="3"/>
      <c r="M168" s="3"/>
      <c r="N168" s="3"/>
      <c r="O168" s="7"/>
      <c r="P168" s="7"/>
      <c r="Q168" s="7"/>
      <c r="R168" s="7"/>
      <c r="S168" s="8" t="str">
        <f aca="false">IF(OR(E168="",H168="",E168&lt;=0),"",(H168-E168)/E168)</f>
        <v/>
      </c>
      <c r="T168" s="8" t="str">
        <f aca="false">IF(OR(E168="",L168="",E168&lt;=0),"",(E168-L168)/E168)</f>
        <v/>
      </c>
      <c r="U168" s="9" t="str">
        <f aca="false">IF(OR(S168="",T168="",T168&lt;=0),"",S168/T168)</f>
        <v/>
      </c>
      <c r="V168" s="10" t="str">
        <f aca="false">IF(OR(I168="",J168="",E168="",F168=""),"",I168*J168-E168*F168-IF(M168="",0,M168)-IF(N168="",0,N168))</f>
        <v/>
      </c>
      <c r="W168" s="8" t="str">
        <f aca="false">IF(OR(V168="",E168="",F168=""),"",IF(E168*F168+IF(M168="",0,M168)&lt;=0,"",V168/(E168*F168+IF(M168="",0,M168))))</f>
        <v/>
      </c>
      <c r="X168" s="8" t="str">
        <f aca="false">IF(OR(W168="",多次统计数据!$B$8=""),"",W168-多次统计数据!$B$8)</f>
        <v/>
      </c>
      <c r="Y168" s="11" t="str">
        <f aca="false">IF(OR(G168="",K168="",K168&lt;G168),"",K168-G168)</f>
        <v/>
      </c>
      <c r="Z168" s="8" t="str">
        <f aca="false">IF(OR(A168="",多次统计数据!$B$8="",多次统计数据!$B$6&lt;=0,多次统计数据!$B$6&gt;=1),"",1-POWER(1+多次统计数据!$B$8,-多次统计数据!$B$6/(1-多次统计数据!$B$6)))</f>
        <v/>
      </c>
      <c r="AA168" s="12" t="str">
        <f aca="false">IF(OR(Z168="",多次统计数据!$B$9=""),"",IF(多次统计数据!$B$9&lt;Z168,"低于上限","达到或超过上限"))</f>
        <v/>
      </c>
      <c r="AB168" s="2"/>
    </row>
    <row r="169" customFormat="false" ht="15" hidden="false" customHeight="false" outlineLevel="0" collapsed="false">
      <c r="A169" s="7"/>
      <c r="B169" s="7"/>
      <c r="C169" s="3"/>
      <c r="D169" s="4"/>
      <c r="E169" s="3"/>
      <c r="F169" s="5" t="str">
        <f aca="false">IF(OR(C169="",D169="",E169="",L169="",C169&lt;=0,D169&lt;=0,E169&lt;=L169),"",ROUNDDOWN((C169*D169)/(E169-L169)/100,0)*100)</f>
        <v/>
      </c>
      <c r="G169" s="6"/>
      <c r="H169" s="3"/>
      <c r="I169" s="3"/>
      <c r="J169" s="5" t="str">
        <f aca="false">IF(I169="","",F169)</f>
        <v/>
      </c>
      <c r="K169" s="6"/>
      <c r="L169" s="3"/>
      <c r="M169" s="3"/>
      <c r="N169" s="3"/>
      <c r="O169" s="7"/>
      <c r="P169" s="7"/>
      <c r="Q169" s="7"/>
      <c r="R169" s="7"/>
      <c r="S169" s="8" t="str">
        <f aca="false">IF(OR(E169="",H169="",E169&lt;=0),"",(H169-E169)/E169)</f>
        <v/>
      </c>
      <c r="T169" s="8" t="str">
        <f aca="false">IF(OR(E169="",L169="",E169&lt;=0),"",(E169-L169)/E169)</f>
        <v/>
      </c>
      <c r="U169" s="9" t="str">
        <f aca="false">IF(OR(S169="",T169="",T169&lt;=0),"",S169/T169)</f>
        <v/>
      </c>
      <c r="V169" s="10" t="str">
        <f aca="false">IF(OR(I169="",J169="",E169="",F169=""),"",I169*J169-E169*F169-IF(M169="",0,M169)-IF(N169="",0,N169))</f>
        <v/>
      </c>
      <c r="W169" s="8" t="str">
        <f aca="false">IF(OR(V169="",E169="",F169=""),"",IF(E169*F169+IF(M169="",0,M169)&lt;=0,"",V169/(E169*F169+IF(M169="",0,M169))))</f>
        <v/>
      </c>
      <c r="X169" s="8" t="str">
        <f aca="false">IF(OR(W169="",多次统计数据!$B$8=""),"",W169-多次统计数据!$B$8)</f>
        <v/>
      </c>
      <c r="Y169" s="11" t="str">
        <f aca="false">IF(OR(G169="",K169="",K169&lt;G169),"",K169-G169)</f>
        <v/>
      </c>
      <c r="Z169" s="8" t="str">
        <f aca="false">IF(OR(A169="",多次统计数据!$B$8="",多次统计数据!$B$6&lt;=0,多次统计数据!$B$6&gt;=1),"",1-POWER(1+多次统计数据!$B$8,-多次统计数据!$B$6/(1-多次统计数据!$B$6)))</f>
        <v/>
      </c>
      <c r="AA169" s="12" t="str">
        <f aca="false">IF(OR(Z169="",多次统计数据!$B$9=""),"",IF(多次统计数据!$B$9&lt;Z169,"低于上限","达到或超过上限"))</f>
        <v/>
      </c>
      <c r="AB169" s="2"/>
    </row>
    <row r="170" customFormat="false" ht="15" hidden="false" customHeight="false" outlineLevel="0" collapsed="false">
      <c r="A170" s="7"/>
      <c r="B170" s="7"/>
      <c r="C170" s="3"/>
      <c r="D170" s="4"/>
      <c r="E170" s="3"/>
      <c r="F170" s="5" t="str">
        <f aca="false">IF(OR(C170="",D170="",E170="",L170="",C170&lt;=0,D170&lt;=0,E170&lt;=L170),"",ROUNDDOWN((C170*D170)/(E170-L170)/100,0)*100)</f>
        <v/>
      </c>
      <c r="G170" s="6"/>
      <c r="H170" s="3"/>
      <c r="I170" s="3"/>
      <c r="J170" s="5" t="str">
        <f aca="false">IF(I170="","",F170)</f>
        <v/>
      </c>
      <c r="K170" s="6"/>
      <c r="L170" s="3"/>
      <c r="M170" s="3"/>
      <c r="N170" s="3"/>
      <c r="O170" s="7"/>
      <c r="P170" s="7"/>
      <c r="Q170" s="7"/>
      <c r="R170" s="7"/>
      <c r="S170" s="8" t="str">
        <f aca="false">IF(OR(E170="",H170="",E170&lt;=0),"",(H170-E170)/E170)</f>
        <v/>
      </c>
      <c r="T170" s="8" t="str">
        <f aca="false">IF(OR(E170="",L170="",E170&lt;=0),"",(E170-L170)/E170)</f>
        <v/>
      </c>
      <c r="U170" s="9" t="str">
        <f aca="false">IF(OR(S170="",T170="",T170&lt;=0),"",S170/T170)</f>
        <v/>
      </c>
      <c r="V170" s="10" t="str">
        <f aca="false">IF(OR(I170="",J170="",E170="",F170=""),"",I170*J170-E170*F170-IF(M170="",0,M170)-IF(N170="",0,N170))</f>
        <v/>
      </c>
      <c r="W170" s="8" t="str">
        <f aca="false">IF(OR(V170="",E170="",F170=""),"",IF(E170*F170+IF(M170="",0,M170)&lt;=0,"",V170/(E170*F170+IF(M170="",0,M170))))</f>
        <v/>
      </c>
      <c r="X170" s="8" t="str">
        <f aca="false">IF(OR(W170="",多次统计数据!$B$8=""),"",W170-多次统计数据!$B$8)</f>
        <v/>
      </c>
      <c r="Y170" s="11" t="str">
        <f aca="false">IF(OR(G170="",K170="",K170&lt;G170),"",K170-G170)</f>
        <v/>
      </c>
      <c r="Z170" s="8" t="str">
        <f aca="false">IF(OR(A170="",多次统计数据!$B$8="",多次统计数据!$B$6&lt;=0,多次统计数据!$B$6&gt;=1),"",1-POWER(1+多次统计数据!$B$8,-多次统计数据!$B$6/(1-多次统计数据!$B$6)))</f>
        <v/>
      </c>
      <c r="AA170" s="12" t="str">
        <f aca="false">IF(OR(Z170="",多次统计数据!$B$9=""),"",IF(多次统计数据!$B$9&lt;Z170,"低于上限","达到或超过上限"))</f>
        <v/>
      </c>
      <c r="AB170" s="2"/>
    </row>
    <row r="171" customFormat="false" ht="15" hidden="false" customHeight="false" outlineLevel="0" collapsed="false">
      <c r="A171" s="7"/>
      <c r="B171" s="7"/>
      <c r="C171" s="3"/>
      <c r="D171" s="4"/>
      <c r="E171" s="3"/>
      <c r="F171" s="5" t="str">
        <f aca="false">IF(OR(C171="",D171="",E171="",L171="",C171&lt;=0,D171&lt;=0,E171&lt;=L171),"",ROUNDDOWN((C171*D171)/(E171-L171)/100,0)*100)</f>
        <v/>
      </c>
      <c r="G171" s="6"/>
      <c r="H171" s="3"/>
      <c r="I171" s="3"/>
      <c r="J171" s="5" t="str">
        <f aca="false">IF(I171="","",F171)</f>
        <v/>
      </c>
      <c r="K171" s="6"/>
      <c r="L171" s="3"/>
      <c r="M171" s="3"/>
      <c r="N171" s="3"/>
      <c r="O171" s="7"/>
      <c r="P171" s="7"/>
      <c r="Q171" s="7"/>
      <c r="R171" s="7"/>
      <c r="S171" s="8" t="str">
        <f aca="false">IF(OR(E171="",H171="",E171&lt;=0),"",(H171-E171)/E171)</f>
        <v/>
      </c>
      <c r="T171" s="8" t="str">
        <f aca="false">IF(OR(E171="",L171="",E171&lt;=0),"",(E171-L171)/E171)</f>
        <v/>
      </c>
      <c r="U171" s="9" t="str">
        <f aca="false">IF(OR(S171="",T171="",T171&lt;=0),"",S171/T171)</f>
        <v/>
      </c>
      <c r="V171" s="10" t="str">
        <f aca="false">IF(OR(I171="",J171="",E171="",F171=""),"",I171*J171-E171*F171-IF(M171="",0,M171)-IF(N171="",0,N171))</f>
        <v/>
      </c>
      <c r="W171" s="8" t="str">
        <f aca="false">IF(OR(V171="",E171="",F171=""),"",IF(E171*F171+IF(M171="",0,M171)&lt;=0,"",V171/(E171*F171+IF(M171="",0,M171))))</f>
        <v/>
      </c>
      <c r="X171" s="8" t="str">
        <f aca="false">IF(OR(W171="",多次统计数据!$B$8=""),"",W171-多次统计数据!$B$8)</f>
        <v/>
      </c>
      <c r="Y171" s="11" t="str">
        <f aca="false">IF(OR(G171="",K171="",K171&lt;G171),"",K171-G171)</f>
        <v/>
      </c>
      <c r="Z171" s="8" t="str">
        <f aca="false">IF(OR(A171="",多次统计数据!$B$8="",多次统计数据!$B$6&lt;=0,多次统计数据!$B$6&gt;=1),"",1-POWER(1+多次统计数据!$B$8,-多次统计数据!$B$6/(1-多次统计数据!$B$6)))</f>
        <v/>
      </c>
      <c r="AA171" s="12" t="str">
        <f aca="false">IF(OR(Z171="",多次统计数据!$B$9=""),"",IF(多次统计数据!$B$9&lt;Z171,"低于上限","达到或超过上限"))</f>
        <v/>
      </c>
      <c r="AB171" s="2"/>
    </row>
    <row r="172" customFormat="false" ht="15" hidden="false" customHeight="false" outlineLevel="0" collapsed="false">
      <c r="A172" s="7"/>
      <c r="B172" s="7"/>
      <c r="C172" s="3"/>
      <c r="D172" s="4"/>
      <c r="E172" s="3"/>
      <c r="F172" s="5" t="str">
        <f aca="false">IF(OR(C172="",D172="",E172="",L172="",C172&lt;=0,D172&lt;=0,E172&lt;=L172),"",ROUNDDOWN((C172*D172)/(E172-L172)/100,0)*100)</f>
        <v/>
      </c>
      <c r="G172" s="6"/>
      <c r="H172" s="3"/>
      <c r="I172" s="3"/>
      <c r="J172" s="5" t="str">
        <f aca="false">IF(I172="","",F172)</f>
        <v/>
      </c>
      <c r="K172" s="6"/>
      <c r="L172" s="3"/>
      <c r="M172" s="3"/>
      <c r="N172" s="3"/>
      <c r="O172" s="7"/>
      <c r="P172" s="7"/>
      <c r="Q172" s="7"/>
      <c r="R172" s="7"/>
      <c r="S172" s="8" t="str">
        <f aca="false">IF(OR(E172="",H172="",E172&lt;=0),"",(H172-E172)/E172)</f>
        <v/>
      </c>
      <c r="T172" s="8" t="str">
        <f aca="false">IF(OR(E172="",L172="",E172&lt;=0),"",(E172-L172)/E172)</f>
        <v/>
      </c>
      <c r="U172" s="9" t="str">
        <f aca="false">IF(OR(S172="",T172="",T172&lt;=0),"",S172/T172)</f>
        <v/>
      </c>
      <c r="V172" s="10" t="str">
        <f aca="false">IF(OR(I172="",J172="",E172="",F172=""),"",I172*J172-E172*F172-IF(M172="",0,M172)-IF(N172="",0,N172))</f>
        <v/>
      </c>
      <c r="W172" s="8" t="str">
        <f aca="false">IF(OR(V172="",E172="",F172=""),"",IF(E172*F172+IF(M172="",0,M172)&lt;=0,"",V172/(E172*F172+IF(M172="",0,M172))))</f>
        <v/>
      </c>
      <c r="X172" s="8" t="str">
        <f aca="false">IF(OR(W172="",多次统计数据!$B$8=""),"",W172-多次统计数据!$B$8)</f>
        <v/>
      </c>
      <c r="Y172" s="11" t="str">
        <f aca="false">IF(OR(G172="",K172="",K172&lt;G172),"",K172-G172)</f>
        <v/>
      </c>
      <c r="Z172" s="8" t="str">
        <f aca="false">IF(OR(A172="",多次统计数据!$B$8="",多次统计数据!$B$6&lt;=0,多次统计数据!$B$6&gt;=1),"",1-POWER(1+多次统计数据!$B$8,-多次统计数据!$B$6/(1-多次统计数据!$B$6)))</f>
        <v/>
      </c>
      <c r="AA172" s="12" t="str">
        <f aca="false">IF(OR(Z172="",多次统计数据!$B$9=""),"",IF(多次统计数据!$B$9&lt;Z172,"低于上限","达到或超过上限"))</f>
        <v/>
      </c>
      <c r="AB172" s="2"/>
    </row>
    <row r="173" customFormat="false" ht="15" hidden="false" customHeight="false" outlineLevel="0" collapsed="false">
      <c r="A173" s="7"/>
      <c r="B173" s="7"/>
      <c r="C173" s="3"/>
      <c r="D173" s="4"/>
      <c r="E173" s="3"/>
      <c r="F173" s="5" t="str">
        <f aca="false">IF(OR(C173="",D173="",E173="",L173="",C173&lt;=0,D173&lt;=0,E173&lt;=L173),"",ROUNDDOWN((C173*D173)/(E173-L173)/100,0)*100)</f>
        <v/>
      </c>
      <c r="G173" s="6"/>
      <c r="H173" s="3"/>
      <c r="I173" s="3"/>
      <c r="J173" s="5" t="str">
        <f aca="false">IF(I173="","",F173)</f>
        <v/>
      </c>
      <c r="K173" s="6"/>
      <c r="L173" s="3"/>
      <c r="M173" s="3"/>
      <c r="N173" s="3"/>
      <c r="O173" s="7"/>
      <c r="P173" s="7"/>
      <c r="Q173" s="7"/>
      <c r="R173" s="7"/>
      <c r="S173" s="8" t="str">
        <f aca="false">IF(OR(E173="",H173="",E173&lt;=0),"",(H173-E173)/E173)</f>
        <v/>
      </c>
      <c r="T173" s="8" t="str">
        <f aca="false">IF(OR(E173="",L173="",E173&lt;=0),"",(E173-L173)/E173)</f>
        <v/>
      </c>
      <c r="U173" s="9" t="str">
        <f aca="false">IF(OR(S173="",T173="",T173&lt;=0),"",S173/T173)</f>
        <v/>
      </c>
      <c r="V173" s="10" t="str">
        <f aca="false">IF(OR(I173="",J173="",E173="",F173=""),"",I173*J173-E173*F173-IF(M173="",0,M173)-IF(N173="",0,N173))</f>
        <v/>
      </c>
      <c r="W173" s="8" t="str">
        <f aca="false">IF(OR(V173="",E173="",F173=""),"",IF(E173*F173+IF(M173="",0,M173)&lt;=0,"",V173/(E173*F173+IF(M173="",0,M173))))</f>
        <v/>
      </c>
      <c r="X173" s="8" t="str">
        <f aca="false">IF(OR(W173="",多次统计数据!$B$8=""),"",W173-多次统计数据!$B$8)</f>
        <v/>
      </c>
      <c r="Y173" s="11" t="str">
        <f aca="false">IF(OR(G173="",K173="",K173&lt;G173),"",K173-G173)</f>
        <v/>
      </c>
      <c r="Z173" s="8" t="str">
        <f aca="false">IF(OR(A173="",多次统计数据!$B$8="",多次统计数据!$B$6&lt;=0,多次统计数据!$B$6&gt;=1),"",1-POWER(1+多次统计数据!$B$8,-多次统计数据!$B$6/(1-多次统计数据!$B$6)))</f>
        <v/>
      </c>
      <c r="AA173" s="12" t="str">
        <f aca="false">IF(OR(Z173="",多次统计数据!$B$9=""),"",IF(多次统计数据!$B$9&lt;Z173,"低于上限","达到或超过上限"))</f>
        <v/>
      </c>
      <c r="AB173" s="2"/>
    </row>
    <row r="174" customFormat="false" ht="15" hidden="false" customHeight="false" outlineLevel="0" collapsed="false">
      <c r="A174" s="7"/>
      <c r="B174" s="7"/>
      <c r="C174" s="3"/>
      <c r="D174" s="4"/>
      <c r="E174" s="3"/>
      <c r="F174" s="5" t="str">
        <f aca="false">IF(OR(C174="",D174="",E174="",L174="",C174&lt;=0,D174&lt;=0,E174&lt;=L174),"",ROUNDDOWN((C174*D174)/(E174-L174)/100,0)*100)</f>
        <v/>
      </c>
      <c r="G174" s="6"/>
      <c r="H174" s="3"/>
      <c r="I174" s="3"/>
      <c r="J174" s="5" t="str">
        <f aca="false">IF(I174="","",F174)</f>
        <v/>
      </c>
      <c r="K174" s="6"/>
      <c r="L174" s="3"/>
      <c r="M174" s="3"/>
      <c r="N174" s="3"/>
      <c r="O174" s="7"/>
      <c r="P174" s="7"/>
      <c r="Q174" s="7"/>
      <c r="R174" s="7"/>
      <c r="S174" s="8" t="str">
        <f aca="false">IF(OR(E174="",H174="",E174&lt;=0),"",(H174-E174)/E174)</f>
        <v/>
      </c>
      <c r="T174" s="8" t="str">
        <f aca="false">IF(OR(E174="",L174="",E174&lt;=0),"",(E174-L174)/E174)</f>
        <v/>
      </c>
      <c r="U174" s="9" t="str">
        <f aca="false">IF(OR(S174="",T174="",T174&lt;=0),"",S174/T174)</f>
        <v/>
      </c>
      <c r="V174" s="10" t="str">
        <f aca="false">IF(OR(I174="",J174="",E174="",F174=""),"",I174*J174-E174*F174-IF(M174="",0,M174)-IF(N174="",0,N174))</f>
        <v/>
      </c>
      <c r="W174" s="8" t="str">
        <f aca="false">IF(OR(V174="",E174="",F174=""),"",IF(E174*F174+IF(M174="",0,M174)&lt;=0,"",V174/(E174*F174+IF(M174="",0,M174))))</f>
        <v/>
      </c>
      <c r="X174" s="8" t="str">
        <f aca="false">IF(OR(W174="",多次统计数据!$B$8=""),"",W174-多次统计数据!$B$8)</f>
        <v/>
      </c>
      <c r="Y174" s="11" t="str">
        <f aca="false">IF(OR(G174="",K174="",K174&lt;G174),"",K174-G174)</f>
        <v/>
      </c>
      <c r="Z174" s="8" t="str">
        <f aca="false">IF(OR(A174="",多次统计数据!$B$8="",多次统计数据!$B$6&lt;=0,多次统计数据!$B$6&gt;=1),"",1-POWER(1+多次统计数据!$B$8,-多次统计数据!$B$6/(1-多次统计数据!$B$6)))</f>
        <v/>
      </c>
      <c r="AA174" s="12" t="str">
        <f aca="false">IF(OR(Z174="",多次统计数据!$B$9=""),"",IF(多次统计数据!$B$9&lt;Z174,"低于上限","达到或超过上限"))</f>
        <v/>
      </c>
      <c r="AB174" s="2"/>
    </row>
    <row r="175" customFormat="false" ht="15" hidden="false" customHeight="false" outlineLevel="0" collapsed="false">
      <c r="A175" s="7"/>
      <c r="B175" s="7"/>
      <c r="C175" s="3"/>
      <c r="D175" s="4"/>
      <c r="E175" s="3"/>
      <c r="F175" s="5" t="str">
        <f aca="false">IF(OR(C175="",D175="",E175="",L175="",C175&lt;=0,D175&lt;=0,E175&lt;=L175),"",ROUNDDOWN((C175*D175)/(E175-L175)/100,0)*100)</f>
        <v/>
      </c>
      <c r="G175" s="6"/>
      <c r="H175" s="3"/>
      <c r="I175" s="3"/>
      <c r="J175" s="5" t="str">
        <f aca="false">IF(I175="","",F175)</f>
        <v/>
      </c>
      <c r="K175" s="6"/>
      <c r="L175" s="3"/>
      <c r="M175" s="3"/>
      <c r="N175" s="3"/>
      <c r="O175" s="7"/>
      <c r="P175" s="7"/>
      <c r="Q175" s="7"/>
      <c r="R175" s="7"/>
      <c r="S175" s="8" t="str">
        <f aca="false">IF(OR(E175="",H175="",E175&lt;=0),"",(H175-E175)/E175)</f>
        <v/>
      </c>
      <c r="T175" s="8" t="str">
        <f aca="false">IF(OR(E175="",L175="",E175&lt;=0),"",(E175-L175)/E175)</f>
        <v/>
      </c>
      <c r="U175" s="9" t="str">
        <f aca="false">IF(OR(S175="",T175="",T175&lt;=0),"",S175/T175)</f>
        <v/>
      </c>
      <c r="V175" s="10" t="str">
        <f aca="false">IF(OR(I175="",J175="",E175="",F175=""),"",I175*J175-E175*F175-IF(M175="",0,M175)-IF(N175="",0,N175))</f>
        <v/>
      </c>
      <c r="W175" s="8" t="str">
        <f aca="false">IF(OR(V175="",E175="",F175=""),"",IF(E175*F175+IF(M175="",0,M175)&lt;=0,"",V175/(E175*F175+IF(M175="",0,M175))))</f>
        <v/>
      </c>
      <c r="X175" s="8" t="str">
        <f aca="false">IF(OR(W175="",多次统计数据!$B$8=""),"",W175-多次统计数据!$B$8)</f>
        <v/>
      </c>
      <c r="Y175" s="11" t="str">
        <f aca="false">IF(OR(G175="",K175="",K175&lt;G175),"",K175-G175)</f>
        <v/>
      </c>
      <c r="Z175" s="8" t="str">
        <f aca="false">IF(OR(A175="",多次统计数据!$B$8="",多次统计数据!$B$6&lt;=0,多次统计数据!$B$6&gt;=1),"",1-POWER(1+多次统计数据!$B$8,-多次统计数据!$B$6/(1-多次统计数据!$B$6)))</f>
        <v/>
      </c>
      <c r="AA175" s="12" t="str">
        <f aca="false">IF(OR(Z175="",多次统计数据!$B$9=""),"",IF(多次统计数据!$B$9&lt;Z175,"低于上限","达到或超过上限"))</f>
        <v/>
      </c>
      <c r="AB175" s="2"/>
    </row>
    <row r="176" customFormat="false" ht="15" hidden="false" customHeight="false" outlineLevel="0" collapsed="false">
      <c r="A176" s="7"/>
      <c r="B176" s="7"/>
      <c r="C176" s="3"/>
      <c r="D176" s="4"/>
      <c r="E176" s="3"/>
      <c r="F176" s="5" t="str">
        <f aca="false">IF(OR(C176="",D176="",E176="",L176="",C176&lt;=0,D176&lt;=0,E176&lt;=L176),"",ROUNDDOWN((C176*D176)/(E176-L176)/100,0)*100)</f>
        <v/>
      </c>
      <c r="G176" s="6"/>
      <c r="H176" s="3"/>
      <c r="I176" s="3"/>
      <c r="J176" s="5" t="str">
        <f aca="false">IF(I176="","",F176)</f>
        <v/>
      </c>
      <c r="K176" s="6"/>
      <c r="L176" s="3"/>
      <c r="M176" s="3"/>
      <c r="N176" s="3"/>
      <c r="O176" s="7"/>
      <c r="P176" s="7"/>
      <c r="Q176" s="7"/>
      <c r="R176" s="7"/>
      <c r="S176" s="8" t="str">
        <f aca="false">IF(OR(E176="",H176="",E176&lt;=0),"",(H176-E176)/E176)</f>
        <v/>
      </c>
      <c r="T176" s="8" t="str">
        <f aca="false">IF(OR(E176="",L176="",E176&lt;=0),"",(E176-L176)/E176)</f>
        <v/>
      </c>
      <c r="U176" s="9" t="str">
        <f aca="false">IF(OR(S176="",T176="",T176&lt;=0),"",S176/T176)</f>
        <v/>
      </c>
      <c r="V176" s="10" t="str">
        <f aca="false">IF(OR(I176="",J176="",E176="",F176=""),"",I176*J176-E176*F176-IF(M176="",0,M176)-IF(N176="",0,N176))</f>
        <v/>
      </c>
      <c r="W176" s="8" t="str">
        <f aca="false">IF(OR(V176="",E176="",F176=""),"",IF(E176*F176+IF(M176="",0,M176)&lt;=0,"",V176/(E176*F176+IF(M176="",0,M176))))</f>
        <v/>
      </c>
      <c r="X176" s="8" t="str">
        <f aca="false">IF(OR(W176="",多次统计数据!$B$8=""),"",W176-多次统计数据!$B$8)</f>
        <v/>
      </c>
      <c r="Y176" s="11" t="str">
        <f aca="false">IF(OR(G176="",K176="",K176&lt;G176),"",K176-G176)</f>
        <v/>
      </c>
      <c r="Z176" s="8" t="str">
        <f aca="false">IF(OR(A176="",多次统计数据!$B$8="",多次统计数据!$B$6&lt;=0,多次统计数据!$B$6&gt;=1),"",1-POWER(1+多次统计数据!$B$8,-多次统计数据!$B$6/(1-多次统计数据!$B$6)))</f>
        <v/>
      </c>
      <c r="AA176" s="12" t="str">
        <f aca="false">IF(OR(Z176="",多次统计数据!$B$9=""),"",IF(多次统计数据!$B$9&lt;Z176,"低于上限","达到或超过上限"))</f>
        <v/>
      </c>
      <c r="AB176" s="2"/>
    </row>
    <row r="177" customFormat="false" ht="15" hidden="false" customHeight="false" outlineLevel="0" collapsed="false">
      <c r="A177" s="7"/>
      <c r="B177" s="7"/>
      <c r="C177" s="3"/>
      <c r="D177" s="4"/>
      <c r="E177" s="3"/>
      <c r="F177" s="5" t="str">
        <f aca="false">IF(OR(C177="",D177="",E177="",L177="",C177&lt;=0,D177&lt;=0,E177&lt;=L177),"",ROUNDDOWN((C177*D177)/(E177-L177)/100,0)*100)</f>
        <v/>
      </c>
      <c r="G177" s="6"/>
      <c r="H177" s="3"/>
      <c r="I177" s="3"/>
      <c r="J177" s="5" t="str">
        <f aca="false">IF(I177="","",F177)</f>
        <v/>
      </c>
      <c r="K177" s="6"/>
      <c r="L177" s="3"/>
      <c r="M177" s="3"/>
      <c r="N177" s="3"/>
      <c r="O177" s="7"/>
      <c r="P177" s="7"/>
      <c r="Q177" s="7"/>
      <c r="R177" s="7"/>
      <c r="S177" s="8" t="str">
        <f aca="false">IF(OR(E177="",H177="",E177&lt;=0),"",(H177-E177)/E177)</f>
        <v/>
      </c>
      <c r="T177" s="8" t="str">
        <f aca="false">IF(OR(E177="",L177="",E177&lt;=0),"",(E177-L177)/E177)</f>
        <v/>
      </c>
      <c r="U177" s="9" t="str">
        <f aca="false">IF(OR(S177="",T177="",T177&lt;=0),"",S177/T177)</f>
        <v/>
      </c>
      <c r="V177" s="10" t="str">
        <f aca="false">IF(OR(I177="",J177="",E177="",F177=""),"",I177*J177-E177*F177-IF(M177="",0,M177)-IF(N177="",0,N177))</f>
        <v/>
      </c>
      <c r="W177" s="8" t="str">
        <f aca="false">IF(OR(V177="",E177="",F177=""),"",IF(E177*F177+IF(M177="",0,M177)&lt;=0,"",V177/(E177*F177+IF(M177="",0,M177))))</f>
        <v/>
      </c>
      <c r="X177" s="8" t="str">
        <f aca="false">IF(OR(W177="",多次统计数据!$B$8=""),"",W177-多次统计数据!$B$8)</f>
        <v/>
      </c>
      <c r="Y177" s="11" t="str">
        <f aca="false">IF(OR(G177="",K177="",K177&lt;G177),"",K177-G177)</f>
        <v/>
      </c>
      <c r="Z177" s="8" t="str">
        <f aca="false">IF(OR(A177="",多次统计数据!$B$8="",多次统计数据!$B$6&lt;=0,多次统计数据!$B$6&gt;=1),"",1-POWER(1+多次统计数据!$B$8,-多次统计数据!$B$6/(1-多次统计数据!$B$6)))</f>
        <v/>
      </c>
      <c r="AA177" s="12" t="str">
        <f aca="false">IF(OR(Z177="",多次统计数据!$B$9=""),"",IF(多次统计数据!$B$9&lt;Z177,"低于上限","达到或超过上限"))</f>
        <v/>
      </c>
      <c r="AB177" s="2"/>
    </row>
    <row r="178" customFormat="false" ht="15" hidden="false" customHeight="false" outlineLevel="0" collapsed="false">
      <c r="A178" s="7"/>
      <c r="B178" s="7"/>
      <c r="C178" s="3"/>
      <c r="D178" s="4"/>
      <c r="E178" s="3"/>
      <c r="F178" s="5" t="str">
        <f aca="false">IF(OR(C178="",D178="",E178="",L178="",C178&lt;=0,D178&lt;=0,E178&lt;=L178),"",ROUNDDOWN((C178*D178)/(E178-L178)/100,0)*100)</f>
        <v/>
      </c>
      <c r="G178" s="6"/>
      <c r="H178" s="3"/>
      <c r="I178" s="3"/>
      <c r="J178" s="5" t="str">
        <f aca="false">IF(I178="","",F178)</f>
        <v/>
      </c>
      <c r="K178" s="6"/>
      <c r="L178" s="3"/>
      <c r="M178" s="3"/>
      <c r="N178" s="3"/>
      <c r="O178" s="7"/>
      <c r="P178" s="7"/>
      <c r="Q178" s="7"/>
      <c r="R178" s="7"/>
      <c r="S178" s="8" t="str">
        <f aca="false">IF(OR(E178="",H178="",E178&lt;=0),"",(H178-E178)/E178)</f>
        <v/>
      </c>
      <c r="T178" s="8" t="str">
        <f aca="false">IF(OR(E178="",L178="",E178&lt;=0),"",(E178-L178)/E178)</f>
        <v/>
      </c>
      <c r="U178" s="9" t="str">
        <f aca="false">IF(OR(S178="",T178="",T178&lt;=0),"",S178/T178)</f>
        <v/>
      </c>
      <c r="V178" s="10" t="str">
        <f aca="false">IF(OR(I178="",J178="",E178="",F178=""),"",I178*J178-E178*F178-IF(M178="",0,M178)-IF(N178="",0,N178))</f>
        <v/>
      </c>
      <c r="W178" s="8" t="str">
        <f aca="false">IF(OR(V178="",E178="",F178=""),"",IF(E178*F178+IF(M178="",0,M178)&lt;=0,"",V178/(E178*F178+IF(M178="",0,M178))))</f>
        <v/>
      </c>
      <c r="X178" s="8" t="str">
        <f aca="false">IF(OR(W178="",多次统计数据!$B$8=""),"",W178-多次统计数据!$B$8)</f>
        <v/>
      </c>
      <c r="Y178" s="11" t="str">
        <f aca="false">IF(OR(G178="",K178="",K178&lt;G178),"",K178-G178)</f>
        <v/>
      </c>
      <c r="Z178" s="8" t="str">
        <f aca="false">IF(OR(A178="",多次统计数据!$B$8="",多次统计数据!$B$6&lt;=0,多次统计数据!$B$6&gt;=1),"",1-POWER(1+多次统计数据!$B$8,-多次统计数据!$B$6/(1-多次统计数据!$B$6)))</f>
        <v/>
      </c>
      <c r="AA178" s="12" t="str">
        <f aca="false">IF(OR(Z178="",多次统计数据!$B$9=""),"",IF(多次统计数据!$B$9&lt;Z178,"低于上限","达到或超过上限"))</f>
        <v/>
      </c>
      <c r="AB178" s="2"/>
    </row>
    <row r="179" customFormat="false" ht="15" hidden="false" customHeight="false" outlineLevel="0" collapsed="false">
      <c r="A179" s="7"/>
      <c r="B179" s="7"/>
      <c r="C179" s="3"/>
      <c r="D179" s="4"/>
      <c r="E179" s="3"/>
      <c r="F179" s="5" t="str">
        <f aca="false">IF(OR(C179="",D179="",E179="",L179="",C179&lt;=0,D179&lt;=0,E179&lt;=L179),"",ROUNDDOWN((C179*D179)/(E179-L179)/100,0)*100)</f>
        <v/>
      </c>
      <c r="G179" s="6"/>
      <c r="H179" s="3"/>
      <c r="I179" s="3"/>
      <c r="J179" s="5" t="str">
        <f aca="false">IF(I179="","",F179)</f>
        <v/>
      </c>
      <c r="K179" s="6"/>
      <c r="L179" s="3"/>
      <c r="M179" s="3"/>
      <c r="N179" s="3"/>
      <c r="O179" s="7"/>
      <c r="P179" s="7"/>
      <c r="Q179" s="7"/>
      <c r="R179" s="7"/>
      <c r="S179" s="8" t="str">
        <f aca="false">IF(OR(E179="",H179="",E179&lt;=0),"",(H179-E179)/E179)</f>
        <v/>
      </c>
      <c r="T179" s="8" t="str">
        <f aca="false">IF(OR(E179="",L179="",E179&lt;=0),"",(E179-L179)/E179)</f>
        <v/>
      </c>
      <c r="U179" s="9" t="str">
        <f aca="false">IF(OR(S179="",T179="",T179&lt;=0),"",S179/T179)</f>
        <v/>
      </c>
      <c r="V179" s="10" t="str">
        <f aca="false">IF(OR(I179="",J179="",E179="",F179=""),"",I179*J179-E179*F179-IF(M179="",0,M179)-IF(N179="",0,N179))</f>
        <v/>
      </c>
      <c r="W179" s="8" t="str">
        <f aca="false">IF(OR(V179="",E179="",F179=""),"",IF(E179*F179+IF(M179="",0,M179)&lt;=0,"",V179/(E179*F179+IF(M179="",0,M179))))</f>
        <v/>
      </c>
      <c r="X179" s="8" t="str">
        <f aca="false">IF(OR(W179="",多次统计数据!$B$8=""),"",W179-多次统计数据!$B$8)</f>
        <v/>
      </c>
      <c r="Y179" s="11" t="str">
        <f aca="false">IF(OR(G179="",K179="",K179&lt;G179),"",K179-G179)</f>
        <v/>
      </c>
      <c r="Z179" s="8" t="str">
        <f aca="false">IF(OR(A179="",多次统计数据!$B$8="",多次统计数据!$B$6&lt;=0,多次统计数据!$B$6&gt;=1),"",1-POWER(1+多次统计数据!$B$8,-多次统计数据!$B$6/(1-多次统计数据!$B$6)))</f>
        <v/>
      </c>
      <c r="AA179" s="12" t="str">
        <f aca="false">IF(OR(Z179="",多次统计数据!$B$9=""),"",IF(多次统计数据!$B$9&lt;Z179,"低于上限","达到或超过上限"))</f>
        <v/>
      </c>
      <c r="AB179" s="2"/>
    </row>
    <row r="180" customFormat="false" ht="15" hidden="false" customHeight="false" outlineLevel="0" collapsed="false">
      <c r="A180" s="7"/>
      <c r="B180" s="7"/>
      <c r="C180" s="3"/>
      <c r="D180" s="4"/>
      <c r="E180" s="3"/>
      <c r="F180" s="5" t="str">
        <f aca="false">IF(OR(C180="",D180="",E180="",L180="",C180&lt;=0,D180&lt;=0,E180&lt;=L180),"",ROUNDDOWN((C180*D180)/(E180-L180)/100,0)*100)</f>
        <v/>
      </c>
      <c r="G180" s="6"/>
      <c r="H180" s="3"/>
      <c r="I180" s="3"/>
      <c r="J180" s="5" t="str">
        <f aca="false">IF(I180="","",F180)</f>
        <v/>
      </c>
      <c r="K180" s="6"/>
      <c r="L180" s="3"/>
      <c r="M180" s="3"/>
      <c r="N180" s="3"/>
      <c r="O180" s="7"/>
      <c r="P180" s="7"/>
      <c r="Q180" s="7"/>
      <c r="R180" s="7"/>
      <c r="S180" s="8" t="str">
        <f aca="false">IF(OR(E180="",H180="",E180&lt;=0),"",(H180-E180)/E180)</f>
        <v/>
      </c>
      <c r="T180" s="8" t="str">
        <f aca="false">IF(OR(E180="",L180="",E180&lt;=0),"",(E180-L180)/E180)</f>
        <v/>
      </c>
      <c r="U180" s="9" t="str">
        <f aca="false">IF(OR(S180="",T180="",T180&lt;=0),"",S180/T180)</f>
        <v/>
      </c>
      <c r="V180" s="10" t="str">
        <f aca="false">IF(OR(I180="",J180="",E180="",F180=""),"",I180*J180-E180*F180-IF(M180="",0,M180)-IF(N180="",0,N180))</f>
        <v/>
      </c>
      <c r="W180" s="8" t="str">
        <f aca="false">IF(OR(V180="",E180="",F180=""),"",IF(E180*F180+IF(M180="",0,M180)&lt;=0,"",V180/(E180*F180+IF(M180="",0,M180))))</f>
        <v/>
      </c>
      <c r="X180" s="8" t="str">
        <f aca="false">IF(OR(W180="",多次统计数据!$B$8=""),"",W180-多次统计数据!$B$8)</f>
        <v/>
      </c>
      <c r="Y180" s="11" t="str">
        <f aca="false">IF(OR(G180="",K180="",K180&lt;G180),"",K180-G180)</f>
        <v/>
      </c>
      <c r="Z180" s="8" t="str">
        <f aca="false">IF(OR(A180="",多次统计数据!$B$8="",多次统计数据!$B$6&lt;=0,多次统计数据!$B$6&gt;=1),"",1-POWER(1+多次统计数据!$B$8,-多次统计数据!$B$6/(1-多次统计数据!$B$6)))</f>
        <v/>
      </c>
      <c r="AA180" s="12" t="str">
        <f aca="false">IF(OR(Z180="",多次统计数据!$B$9=""),"",IF(多次统计数据!$B$9&lt;Z180,"低于上限","达到或超过上限"))</f>
        <v/>
      </c>
      <c r="AB180" s="2"/>
    </row>
    <row r="181" customFormat="false" ht="15" hidden="false" customHeight="false" outlineLevel="0" collapsed="false">
      <c r="A181" s="7"/>
      <c r="B181" s="7"/>
      <c r="C181" s="3"/>
      <c r="D181" s="4"/>
      <c r="E181" s="3"/>
      <c r="F181" s="5" t="str">
        <f aca="false">IF(OR(C181="",D181="",E181="",L181="",C181&lt;=0,D181&lt;=0,E181&lt;=L181),"",ROUNDDOWN((C181*D181)/(E181-L181)/100,0)*100)</f>
        <v/>
      </c>
      <c r="G181" s="6"/>
      <c r="H181" s="3"/>
      <c r="I181" s="3"/>
      <c r="J181" s="5" t="str">
        <f aca="false">IF(I181="","",F181)</f>
        <v/>
      </c>
      <c r="K181" s="6"/>
      <c r="L181" s="3"/>
      <c r="M181" s="3"/>
      <c r="N181" s="3"/>
      <c r="O181" s="7"/>
      <c r="P181" s="7"/>
      <c r="Q181" s="7"/>
      <c r="R181" s="7"/>
      <c r="S181" s="8" t="str">
        <f aca="false">IF(OR(E181="",H181="",E181&lt;=0),"",(H181-E181)/E181)</f>
        <v/>
      </c>
      <c r="T181" s="8" t="str">
        <f aca="false">IF(OR(E181="",L181="",E181&lt;=0),"",(E181-L181)/E181)</f>
        <v/>
      </c>
      <c r="U181" s="9" t="str">
        <f aca="false">IF(OR(S181="",T181="",T181&lt;=0),"",S181/T181)</f>
        <v/>
      </c>
      <c r="V181" s="10" t="str">
        <f aca="false">IF(OR(I181="",J181="",E181="",F181=""),"",I181*J181-E181*F181-IF(M181="",0,M181)-IF(N181="",0,N181))</f>
        <v/>
      </c>
      <c r="W181" s="8" t="str">
        <f aca="false">IF(OR(V181="",E181="",F181=""),"",IF(E181*F181+IF(M181="",0,M181)&lt;=0,"",V181/(E181*F181+IF(M181="",0,M181))))</f>
        <v/>
      </c>
      <c r="X181" s="8" t="str">
        <f aca="false">IF(OR(W181="",多次统计数据!$B$8=""),"",W181-多次统计数据!$B$8)</f>
        <v/>
      </c>
      <c r="Y181" s="11" t="str">
        <f aca="false">IF(OR(G181="",K181="",K181&lt;G181),"",K181-G181)</f>
        <v/>
      </c>
      <c r="Z181" s="8" t="str">
        <f aca="false">IF(OR(A181="",多次统计数据!$B$8="",多次统计数据!$B$6&lt;=0,多次统计数据!$B$6&gt;=1),"",1-POWER(1+多次统计数据!$B$8,-多次统计数据!$B$6/(1-多次统计数据!$B$6)))</f>
        <v/>
      </c>
      <c r="AA181" s="12" t="str">
        <f aca="false">IF(OR(Z181="",多次统计数据!$B$9=""),"",IF(多次统计数据!$B$9&lt;Z181,"低于上限","达到或超过上限"))</f>
        <v/>
      </c>
      <c r="AB181" s="2"/>
    </row>
    <row r="182" customFormat="false" ht="15" hidden="false" customHeight="false" outlineLevel="0" collapsed="false">
      <c r="A182" s="7"/>
      <c r="B182" s="7"/>
      <c r="C182" s="3"/>
      <c r="D182" s="4"/>
      <c r="E182" s="3"/>
      <c r="F182" s="5" t="str">
        <f aca="false">IF(OR(C182="",D182="",E182="",L182="",C182&lt;=0,D182&lt;=0,E182&lt;=L182),"",ROUNDDOWN((C182*D182)/(E182-L182)/100,0)*100)</f>
        <v/>
      </c>
      <c r="G182" s="6"/>
      <c r="H182" s="3"/>
      <c r="I182" s="3"/>
      <c r="J182" s="5" t="str">
        <f aca="false">IF(I182="","",F182)</f>
        <v/>
      </c>
      <c r="K182" s="6"/>
      <c r="L182" s="3"/>
      <c r="M182" s="3"/>
      <c r="N182" s="3"/>
      <c r="O182" s="7"/>
      <c r="P182" s="7"/>
      <c r="Q182" s="7"/>
      <c r="R182" s="7"/>
      <c r="S182" s="8" t="str">
        <f aca="false">IF(OR(E182="",H182="",E182&lt;=0),"",(H182-E182)/E182)</f>
        <v/>
      </c>
      <c r="T182" s="8" t="str">
        <f aca="false">IF(OR(E182="",L182="",E182&lt;=0),"",(E182-L182)/E182)</f>
        <v/>
      </c>
      <c r="U182" s="9" t="str">
        <f aca="false">IF(OR(S182="",T182="",T182&lt;=0),"",S182/T182)</f>
        <v/>
      </c>
      <c r="V182" s="10" t="str">
        <f aca="false">IF(OR(I182="",J182="",E182="",F182=""),"",I182*J182-E182*F182-IF(M182="",0,M182)-IF(N182="",0,N182))</f>
        <v/>
      </c>
      <c r="W182" s="8" t="str">
        <f aca="false">IF(OR(V182="",E182="",F182=""),"",IF(E182*F182+IF(M182="",0,M182)&lt;=0,"",V182/(E182*F182+IF(M182="",0,M182))))</f>
        <v/>
      </c>
      <c r="X182" s="8" t="str">
        <f aca="false">IF(OR(W182="",多次统计数据!$B$8=""),"",W182-多次统计数据!$B$8)</f>
        <v/>
      </c>
      <c r="Y182" s="11" t="str">
        <f aca="false">IF(OR(G182="",K182="",K182&lt;G182),"",K182-G182)</f>
        <v/>
      </c>
      <c r="Z182" s="8" t="str">
        <f aca="false">IF(OR(A182="",多次统计数据!$B$8="",多次统计数据!$B$6&lt;=0,多次统计数据!$B$6&gt;=1),"",1-POWER(1+多次统计数据!$B$8,-多次统计数据!$B$6/(1-多次统计数据!$B$6)))</f>
        <v/>
      </c>
      <c r="AA182" s="12" t="str">
        <f aca="false">IF(OR(Z182="",多次统计数据!$B$9=""),"",IF(多次统计数据!$B$9&lt;Z182,"低于上限","达到或超过上限"))</f>
        <v/>
      </c>
      <c r="AB182" s="2"/>
    </row>
    <row r="183" customFormat="false" ht="15" hidden="false" customHeight="false" outlineLevel="0" collapsed="false">
      <c r="A183" s="7"/>
      <c r="B183" s="7"/>
      <c r="C183" s="3"/>
      <c r="D183" s="4"/>
      <c r="E183" s="3"/>
      <c r="F183" s="5" t="str">
        <f aca="false">IF(OR(C183="",D183="",E183="",L183="",C183&lt;=0,D183&lt;=0,E183&lt;=L183),"",ROUNDDOWN((C183*D183)/(E183-L183)/100,0)*100)</f>
        <v/>
      </c>
      <c r="G183" s="6"/>
      <c r="H183" s="3"/>
      <c r="I183" s="3"/>
      <c r="J183" s="5" t="str">
        <f aca="false">IF(I183="","",F183)</f>
        <v/>
      </c>
      <c r="K183" s="6"/>
      <c r="L183" s="3"/>
      <c r="M183" s="3"/>
      <c r="N183" s="3"/>
      <c r="O183" s="7"/>
      <c r="P183" s="7"/>
      <c r="Q183" s="7"/>
      <c r="R183" s="7"/>
      <c r="S183" s="8" t="str">
        <f aca="false">IF(OR(E183="",H183="",E183&lt;=0),"",(H183-E183)/E183)</f>
        <v/>
      </c>
      <c r="T183" s="8" t="str">
        <f aca="false">IF(OR(E183="",L183="",E183&lt;=0),"",(E183-L183)/E183)</f>
        <v/>
      </c>
      <c r="U183" s="9" t="str">
        <f aca="false">IF(OR(S183="",T183="",T183&lt;=0),"",S183/T183)</f>
        <v/>
      </c>
      <c r="V183" s="10" t="str">
        <f aca="false">IF(OR(I183="",J183="",E183="",F183=""),"",I183*J183-E183*F183-IF(M183="",0,M183)-IF(N183="",0,N183))</f>
        <v/>
      </c>
      <c r="W183" s="8" t="str">
        <f aca="false">IF(OR(V183="",E183="",F183=""),"",IF(E183*F183+IF(M183="",0,M183)&lt;=0,"",V183/(E183*F183+IF(M183="",0,M183))))</f>
        <v/>
      </c>
      <c r="X183" s="8" t="str">
        <f aca="false">IF(OR(W183="",多次统计数据!$B$8=""),"",W183-多次统计数据!$B$8)</f>
        <v/>
      </c>
      <c r="Y183" s="11" t="str">
        <f aca="false">IF(OR(G183="",K183="",K183&lt;G183),"",K183-G183)</f>
        <v/>
      </c>
      <c r="Z183" s="8" t="str">
        <f aca="false">IF(OR(A183="",多次统计数据!$B$8="",多次统计数据!$B$6&lt;=0,多次统计数据!$B$6&gt;=1),"",1-POWER(1+多次统计数据!$B$8,-多次统计数据!$B$6/(1-多次统计数据!$B$6)))</f>
        <v/>
      </c>
      <c r="AA183" s="12" t="str">
        <f aca="false">IF(OR(Z183="",多次统计数据!$B$9=""),"",IF(多次统计数据!$B$9&lt;Z183,"低于上限","达到或超过上限"))</f>
        <v/>
      </c>
      <c r="AB183" s="2"/>
    </row>
    <row r="184" customFormat="false" ht="15" hidden="false" customHeight="false" outlineLevel="0" collapsed="false">
      <c r="A184" s="7"/>
      <c r="B184" s="7"/>
      <c r="C184" s="3"/>
      <c r="D184" s="4"/>
      <c r="E184" s="3"/>
      <c r="F184" s="5" t="str">
        <f aca="false">IF(OR(C184="",D184="",E184="",L184="",C184&lt;=0,D184&lt;=0,E184&lt;=L184),"",ROUNDDOWN((C184*D184)/(E184-L184)/100,0)*100)</f>
        <v/>
      </c>
      <c r="G184" s="6"/>
      <c r="H184" s="3"/>
      <c r="I184" s="3"/>
      <c r="J184" s="5" t="str">
        <f aca="false">IF(I184="","",F184)</f>
        <v/>
      </c>
      <c r="K184" s="6"/>
      <c r="L184" s="3"/>
      <c r="M184" s="3"/>
      <c r="N184" s="3"/>
      <c r="O184" s="7"/>
      <c r="P184" s="7"/>
      <c r="Q184" s="7"/>
      <c r="R184" s="7"/>
      <c r="S184" s="8" t="str">
        <f aca="false">IF(OR(E184="",H184="",E184&lt;=0),"",(H184-E184)/E184)</f>
        <v/>
      </c>
      <c r="T184" s="8" t="str">
        <f aca="false">IF(OR(E184="",L184="",E184&lt;=0),"",(E184-L184)/E184)</f>
        <v/>
      </c>
      <c r="U184" s="9" t="str">
        <f aca="false">IF(OR(S184="",T184="",T184&lt;=0),"",S184/T184)</f>
        <v/>
      </c>
      <c r="V184" s="10" t="str">
        <f aca="false">IF(OR(I184="",J184="",E184="",F184=""),"",I184*J184-E184*F184-IF(M184="",0,M184)-IF(N184="",0,N184))</f>
        <v/>
      </c>
      <c r="W184" s="8" t="str">
        <f aca="false">IF(OR(V184="",E184="",F184=""),"",IF(E184*F184+IF(M184="",0,M184)&lt;=0,"",V184/(E184*F184+IF(M184="",0,M184))))</f>
        <v/>
      </c>
      <c r="X184" s="8" t="str">
        <f aca="false">IF(OR(W184="",多次统计数据!$B$8=""),"",W184-多次统计数据!$B$8)</f>
        <v/>
      </c>
      <c r="Y184" s="11" t="str">
        <f aca="false">IF(OR(G184="",K184="",K184&lt;G184),"",K184-G184)</f>
        <v/>
      </c>
      <c r="Z184" s="8" t="str">
        <f aca="false">IF(OR(A184="",多次统计数据!$B$8="",多次统计数据!$B$6&lt;=0,多次统计数据!$B$6&gt;=1),"",1-POWER(1+多次统计数据!$B$8,-多次统计数据!$B$6/(1-多次统计数据!$B$6)))</f>
        <v/>
      </c>
      <c r="AA184" s="12" t="str">
        <f aca="false">IF(OR(Z184="",多次统计数据!$B$9=""),"",IF(多次统计数据!$B$9&lt;Z184,"低于上限","达到或超过上限"))</f>
        <v/>
      </c>
      <c r="AB184" s="2"/>
    </row>
    <row r="185" customFormat="false" ht="15" hidden="false" customHeight="false" outlineLevel="0" collapsed="false">
      <c r="A185" s="7"/>
      <c r="B185" s="7"/>
      <c r="C185" s="3"/>
      <c r="D185" s="4"/>
      <c r="E185" s="3"/>
      <c r="F185" s="5" t="str">
        <f aca="false">IF(OR(C185="",D185="",E185="",L185="",C185&lt;=0,D185&lt;=0,E185&lt;=L185),"",ROUNDDOWN((C185*D185)/(E185-L185)/100,0)*100)</f>
        <v/>
      </c>
      <c r="G185" s="6"/>
      <c r="H185" s="3"/>
      <c r="I185" s="3"/>
      <c r="J185" s="5" t="str">
        <f aca="false">IF(I185="","",F185)</f>
        <v/>
      </c>
      <c r="K185" s="6"/>
      <c r="L185" s="3"/>
      <c r="M185" s="3"/>
      <c r="N185" s="3"/>
      <c r="O185" s="7"/>
      <c r="P185" s="7"/>
      <c r="Q185" s="7"/>
      <c r="R185" s="7"/>
      <c r="S185" s="8" t="str">
        <f aca="false">IF(OR(E185="",H185="",E185&lt;=0),"",(H185-E185)/E185)</f>
        <v/>
      </c>
      <c r="T185" s="8" t="str">
        <f aca="false">IF(OR(E185="",L185="",E185&lt;=0),"",(E185-L185)/E185)</f>
        <v/>
      </c>
      <c r="U185" s="9" t="str">
        <f aca="false">IF(OR(S185="",T185="",T185&lt;=0),"",S185/T185)</f>
        <v/>
      </c>
      <c r="V185" s="10" t="str">
        <f aca="false">IF(OR(I185="",J185="",E185="",F185=""),"",I185*J185-E185*F185-IF(M185="",0,M185)-IF(N185="",0,N185))</f>
        <v/>
      </c>
      <c r="W185" s="8" t="str">
        <f aca="false">IF(OR(V185="",E185="",F185=""),"",IF(E185*F185+IF(M185="",0,M185)&lt;=0,"",V185/(E185*F185+IF(M185="",0,M185))))</f>
        <v/>
      </c>
      <c r="X185" s="8" t="str">
        <f aca="false">IF(OR(W185="",多次统计数据!$B$8=""),"",W185-多次统计数据!$B$8)</f>
        <v/>
      </c>
      <c r="Y185" s="11" t="str">
        <f aca="false">IF(OR(G185="",K185="",K185&lt;G185),"",K185-G185)</f>
        <v/>
      </c>
      <c r="Z185" s="8" t="str">
        <f aca="false">IF(OR(A185="",多次统计数据!$B$8="",多次统计数据!$B$6&lt;=0,多次统计数据!$B$6&gt;=1),"",1-POWER(1+多次统计数据!$B$8,-多次统计数据!$B$6/(1-多次统计数据!$B$6)))</f>
        <v/>
      </c>
      <c r="AA185" s="12" t="str">
        <f aca="false">IF(OR(Z185="",多次统计数据!$B$9=""),"",IF(多次统计数据!$B$9&lt;Z185,"低于上限","达到或超过上限"))</f>
        <v/>
      </c>
      <c r="AB185" s="2"/>
    </row>
    <row r="186" customFormat="false" ht="15" hidden="false" customHeight="false" outlineLevel="0" collapsed="false">
      <c r="A186" s="7"/>
      <c r="B186" s="7"/>
      <c r="C186" s="3"/>
      <c r="D186" s="4"/>
      <c r="E186" s="3"/>
      <c r="F186" s="5" t="str">
        <f aca="false">IF(OR(C186="",D186="",E186="",L186="",C186&lt;=0,D186&lt;=0,E186&lt;=L186),"",ROUNDDOWN((C186*D186)/(E186-L186)/100,0)*100)</f>
        <v/>
      </c>
      <c r="G186" s="6"/>
      <c r="H186" s="3"/>
      <c r="I186" s="3"/>
      <c r="J186" s="5" t="str">
        <f aca="false">IF(I186="","",F186)</f>
        <v/>
      </c>
      <c r="K186" s="6"/>
      <c r="L186" s="3"/>
      <c r="M186" s="3"/>
      <c r="N186" s="3"/>
      <c r="O186" s="7"/>
      <c r="P186" s="7"/>
      <c r="Q186" s="7"/>
      <c r="R186" s="7"/>
      <c r="S186" s="8" t="str">
        <f aca="false">IF(OR(E186="",H186="",E186&lt;=0),"",(H186-E186)/E186)</f>
        <v/>
      </c>
      <c r="T186" s="8" t="str">
        <f aca="false">IF(OR(E186="",L186="",E186&lt;=0),"",(E186-L186)/E186)</f>
        <v/>
      </c>
      <c r="U186" s="9" t="str">
        <f aca="false">IF(OR(S186="",T186="",T186&lt;=0),"",S186/T186)</f>
        <v/>
      </c>
      <c r="V186" s="10" t="str">
        <f aca="false">IF(OR(I186="",J186="",E186="",F186=""),"",I186*J186-E186*F186-IF(M186="",0,M186)-IF(N186="",0,N186))</f>
        <v/>
      </c>
      <c r="W186" s="8" t="str">
        <f aca="false">IF(OR(V186="",E186="",F186=""),"",IF(E186*F186+IF(M186="",0,M186)&lt;=0,"",V186/(E186*F186+IF(M186="",0,M186))))</f>
        <v/>
      </c>
      <c r="X186" s="8" t="str">
        <f aca="false">IF(OR(W186="",多次统计数据!$B$8=""),"",W186-多次统计数据!$B$8)</f>
        <v/>
      </c>
      <c r="Y186" s="11" t="str">
        <f aca="false">IF(OR(G186="",K186="",K186&lt;G186),"",K186-G186)</f>
        <v/>
      </c>
      <c r="Z186" s="8" t="str">
        <f aca="false">IF(OR(A186="",多次统计数据!$B$8="",多次统计数据!$B$6&lt;=0,多次统计数据!$B$6&gt;=1),"",1-POWER(1+多次统计数据!$B$8,-多次统计数据!$B$6/(1-多次统计数据!$B$6)))</f>
        <v/>
      </c>
      <c r="AA186" s="12" t="str">
        <f aca="false">IF(OR(Z186="",多次统计数据!$B$9=""),"",IF(多次统计数据!$B$9&lt;Z186,"低于上限","达到或超过上限"))</f>
        <v/>
      </c>
      <c r="AB186" s="2"/>
    </row>
    <row r="187" customFormat="false" ht="15" hidden="false" customHeight="false" outlineLevel="0" collapsed="false">
      <c r="A187" s="7"/>
      <c r="B187" s="7"/>
      <c r="C187" s="3"/>
      <c r="D187" s="4"/>
      <c r="E187" s="3"/>
      <c r="F187" s="5" t="str">
        <f aca="false">IF(OR(C187="",D187="",E187="",L187="",C187&lt;=0,D187&lt;=0,E187&lt;=L187),"",ROUNDDOWN((C187*D187)/(E187-L187)/100,0)*100)</f>
        <v/>
      </c>
      <c r="G187" s="6"/>
      <c r="H187" s="3"/>
      <c r="I187" s="3"/>
      <c r="J187" s="5" t="str">
        <f aca="false">IF(I187="","",F187)</f>
        <v/>
      </c>
      <c r="K187" s="6"/>
      <c r="L187" s="3"/>
      <c r="M187" s="3"/>
      <c r="N187" s="3"/>
      <c r="O187" s="7"/>
      <c r="P187" s="7"/>
      <c r="Q187" s="7"/>
      <c r="R187" s="7"/>
      <c r="S187" s="8" t="str">
        <f aca="false">IF(OR(E187="",H187="",E187&lt;=0),"",(H187-E187)/E187)</f>
        <v/>
      </c>
      <c r="T187" s="8" t="str">
        <f aca="false">IF(OR(E187="",L187="",E187&lt;=0),"",(E187-L187)/E187)</f>
        <v/>
      </c>
      <c r="U187" s="9" t="str">
        <f aca="false">IF(OR(S187="",T187="",T187&lt;=0),"",S187/T187)</f>
        <v/>
      </c>
      <c r="V187" s="10" t="str">
        <f aca="false">IF(OR(I187="",J187="",E187="",F187=""),"",I187*J187-E187*F187-IF(M187="",0,M187)-IF(N187="",0,N187))</f>
        <v/>
      </c>
      <c r="W187" s="8" t="str">
        <f aca="false">IF(OR(V187="",E187="",F187=""),"",IF(E187*F187+IF(M187="",0,M187)&lt;=0,"",V187/(E187*F187+IF(M187="",0,M187))))</f>
        <v/>
      </c>
      <c r="X187" s="8" t="str">
        <f aca="false">IF(OR(W187="",多次统计数据!$B$8=""),"",W187-多次统计数据!$B$8)</f>
        <v/>
      </c>
      <c r="Y187" s="11" t="str">
        <f aca="false">IF(OR(G187="",K187="",K187&lt;G187),"",K187-G187)</f>
        <v/>
      </c>
      <c r="Z187" s="8" t="str">
        <f aca="false">IF(OR(A187="",多次统计数据!$B$8="",多次统计数据!$B$6&lt;=0,多次统计数据!$B$6&gt;=1),"",1-POWER(1+多次统计数据!$B$8,-多次统计数据!$B$6/(1-多次统计数据!$B$6)))</f>
        <v/>
      </c>
      <c r="AA187" s="12" t="str">
        <f aca="false">IF(OR(Z187="",多次统计数据!$B$9=""),"",IF(多次统计数据!$B$9&lt;Z187,"低于上限","达到或超过上限"))</f>
        <v/>
      </c>
      <c r="AB187" s="2"/>
    </row>
    <row r="188" customFormat="false" ht="15" hidden="false" customHeight="false" outlineLevel="0" collapsed="false">
      <c r="A188" s="7"/>
      <c r="B188" s="7"/>
      <c r="C188" s="3"/>
      <c r="D188" s="4"/>
      <c r="E188" s="3"/>
      <c r="F188" s="5" t="str">
        <f aca="false">IF(OR(C188="",D188="",E188="",L188="",C188&lt;=0,D188&lt;=0,E188&lt;=L188),"",ROUNDDOWN((C188*D188)/(E188-L188)/100,0)*100)</f>
        <v/>
      </c>
      <c r="G188" s="6"/>
      <c r="H188" s="3"/>
      <c r="I188" s="3"/>
      <c r="J188" s="5" t="str">
        <f aca="false">IF(I188="","",F188)</f>
        <v/>
      </c>
      <c r="K188" s="6"/>
      <c r="L188" s="3"/>
      <c r="M188" s="3"/>
      <c r="N188" s="3"/>
      <c r="O188" s="7"/>
      <c r="P188" s="7"/>
      <c r="Q188" s="7"/>
      <c r="R188" s="7"/>
      <c r="S188" s="8" t="str">
        <f aca="false">IF(OR(E188="",H188="",E188&lt;=0),"",(H188-E188)/E188)</f>
        <v/>
      </c>
      <c r="T188" s="8" t="str">
        <f aca="false">IF(OR(E188="",L188="",E188&lt;=0),"",(E188-L188)/E188)</f>
        <v/>
      </c>
      <c r="U188" s="9" t="str">
        <f aca="false">IF(OR(S188="",T188="",T188&lt;=0),"",S188/T188)</f>
        <v/>
      </c>
      <c r="V188" s="10" t="str">
        <f aca="false">IF(OR(I188="",J188="",E188="",F188=""),"",I188*J188-E188*F188-IF(M188="",0,M188)-IF(N188="",0,N188))</f>
        <v/>
      </c>
      <c r="W188" s="8" t="str">
        <f aca="false">IF(OR(V188="",E188="",F188=""),"",IF(E188*F188+IF(M188="",0,M188)&lt;=0,"",V188/(E188*F188+IF(M188="",0,M188))))</f>
        <v/>
      </c>
      <c r="X188" s="8" t="str">
        <f aca="false">IF(OR(W188="",多次统计数据!$B$8=""),"",W188-多次统计数据!$B$8)</f>
        <v/>
      </c>
      <c r="Y188" s="11" t="str">
        <f aca="false">IF(OR(G188="",K188="",K188&lt;G188),"",K188-G188)</f>
        <v/>
      </c>
      <c r="Z188" s="8" t="str">
        <f aca="false">IF(OR(A188="",多次统计数据!$B$8="",多次统计数据!$B$6&lt;=0,多次统计数据!$B$6&gt;=1),"",1-POWER(1+多次统计数据!$B$8,-多次统计数据!$B$6/(1-多次统计数据!$B$6)))</f>
        <v/>
      </c>
      <c r="AA188" s="12" t="str">
        <f aca="false">IF(OR(Z188="",多次统计数据!$B$9=""),"",IF(多次统计数据!$B$9&lt;Z188,"低于上限","达到或超过上限"))</f>
        <v/>
      </c>
      <c r="AB188" s="2"/>
    </row>
    <row r="189" customFormat="false" ht="15" hidden="false" customHeight="false" outlineLevel="0" collapsed="false">
      <c r="A189" s="7"/>
      <c r="B189" s="7"/>
      <c r="C189" s="3"/>
      <c r="D189" s="4"/>
      <c r="E189" s="3"/>
      <c r="F189" s="5" t="str">
        <f aca="false">IF(OR(C189="",D189="",E189="",L189="",C189&lt;=0,D189&lt;=0,E189&lt;=L189),"",ROUNDDOWN((C189*D189)/(E189-L189)/100,0)*100)</f>
        <v/>
      </c>
      <c r="G189" s="6"/>
      <c r="H189" s="3"/>
      <c r="I189" s="3"/>
      <c r="J189" s="5" t="str">
        <f aca="false">IF(I189="","",F189)</f>
        <v/>
      </c>
      <c r="K189" s="6"/>
      <c r="L189" s="3"/>
      <c r="M189" s="3"/>
      <c r="N189" s="3"/>
      <c r="O189" s="7"/>
      <c r="P189" s="7"/>
      <c r="Q189" s="7"/>
      <c r="R189" s="7"/>
      <c r="S189" s="8" t="str">
        <f aca="false">IF(OR(E189="",H189="",E189&lt;=0),"",(H189-E189)/E189)</f>
        <v/>
      </c>
      <c r="T189" s="8" t="str">
        <f aca="false">IF(OR(E189="",L189="",E189&lt;=0),"",(E189-L189)/E189)</f>
        <v/>
      </c>
      <c r="U189" s="9" t="str">
        <f aca="false">IF(OR(S189="",T189="",T189&lt;=0),"",S189/T189)</f>
        <v/>
      </c>
      <c r="V189" s="10" t="str">
        <f aca="false">IF(OR(I189="",J189="",E189="",F189=""),"",I189*J189-E189*F189-IF(M189="",0,M189)-IF(N189="",0,N189))</f>
        <v/>
      </c>
      <c r="W189" s="8" t="str">
        <f aca="false">IF(OR(V189="",E189="",F189=""),"",IF(E189*F189+IF(M189="",0,M189)&lt;=0,"",V189/(E189*F189+IF(M189="",0,M189))))</f>
        <v/>
      </c>
      <c r="X189" s="8" t="str">
        <f aca="false">IF(OR(W189="",多次统计数据!$B$8=""),"",W189-多次统计数据!$B$8)</f>
        <v/>
      </c>
      <c r="Y189" s="11" t="str">
        <f aca="false">IF(OR(G189="",K189="",K189&lt;G189),"",K189-G189)</f>
        <v/>
      </c>
      <c r="Z189" s="8" t="str">
        <f aca="false">IF(OR(A189="",多次统计数据!$B$8="",多次统计数据!$B$6&lt;=0,多次统计数据!$B$6&gt;=1),"",1-POWER(1+多次统计数据!$B$8,-多次统计数据!$B$6/(1-多次统计数据!$B$6)))</f>
        <v/>
      </c>
      <c r="AA189" s="12" t="str">
        <f aca="false">IF(OR(Z189="",多次统计数据!$B$9=""),"",IF(多次统计数据!$B$9&lt;Z189,"低于上限","达到或超过上限"))</f>
        <v/>
      </c>
      <c r="AB189" s="2"/>
    </row>
    <row r="190" customFormat="false" ht="15" hidden="false" customHeight="false" outlineLevel="0" collapsed="false">
      <c r="A190" s="7"/>
      <c r="B190" s="7"/>
      <c r="C190" s="3"/>
      <c r="D190" s="4"/>
      <c r="E190" s="3"/>
      <c r="F190" s="5" t="str">
        <f aca="false">IF(OR(C190="",D190="",E190="",L190="",C190&lt;=0,D190&lt;=0,E190&lt;=L190),"",ROUNDDOWN((C190*D190)/(E190-L190)/100,0)*100)</f>
        <v/>
      </c>
      <c r="G190" s="6"/>
      <c r="H190" s="3"/>
      <c r="I190" s="3"/>
      <c r="J190" s="5" t="str">
        <f aca="false">IF(I190="","",F190)</f>
        <v/>
      </c>
      <c r="K190" s="6"/>
      <c r="L190" s="3"/>
      <c r="M190" s="3"/>
      <c r="N190" s="3"/>
      <c r="O190" s="7"/>
      <c r="P190" s="7"/>
      <c r="Q190" s="7"/>
      <c r="R190" s="7"/>
      <c r="S190" s="8" t="str">
        <f aca="false">IF(OR(E190="",H190="",E190&lt;=0),"",(H190-E190)/E190)</f>
        <v/>
      </c>
      <c r="T190" s="8" t="str">
        <f aca="false">IF(OR(E190="",L190="",E190&lt;=0),"",(E190-L190)/E190)</f>
        <v/>
      </c>
      <c r="U190" s="9" t="str">
        <f aca="false">IF(OR(S190="",T190="",T190&lt;=0),"",S190/T190)</f>
        <v/>
      </c>
      <c r="V190" s="10" t="str">
        <f aca="false">IF(OR(I190="",J190="",E190="",F190=""),"",I190*J190-E190*F190-IF(M190="",0,M190)-IF(N190="",0,N190))</f>
        <v/>
      </c>
      <c r="W190" s="8" t="str">
        <f aca="false">IF(OR(V190="",E190="",F190=""),"",IF(E190*F190+IF(M190="",0,M190)&lt;=0,"",V190/(E190*F190+IF(M190="",0,M190))))</f>
        <v/>
      </c>
      <c r="X190" s="8" t="str">
        <f aca="false">IF(OR(W190="",多次统计数据!$B$8=""),"",W190-多次统计数据!$B$8)</f>
        <v/>
      </c>
      <c r="Y190" s="11" t="str">
        <f aca="false">IF(OR(G190="",K190="",K190&lt;G190),"",K190-G190)</f>
        <v/>
      </c>
      <c r="Z190" s="8" t="str">
        <f aca="false">IF(OR(A190="",多次统计数据!$B$8="",多次统计数据!$B$6&lt;=0,多次统计数据!$B$6&gt;=1),"",1-POWER(1+多次统计数据!$B$8,-多次统计数据!$B$6/(1-多次统计数据!$B$6)))</f>
        <v/>
      </c>
      <c r="AA190" s="12" t="str">
        <f aca="false">IF(OR(Z190="",多次统计数据!$B$9=""),"",IF(多次统计数据!$B$9&lt;Z190,"低于上限","达到或超过上限"))</f>
        <v/>
      </c>
      <c r="AB190" s="2"/>
    </row>
    <row r="191" customFormat="false" ht="15" hidden="false" customHeight="false" outlineLevel="0" collapsed="false">
      <c r="A191" s="7"/>
      <c r="B191" s="7"/>
      <c r="C191" s="3"/>
      <c r="D191" s="4"/>
      <c r="E191" s="3"/>
      <c r="F191" s="5" t="str">
        <f aca="false">IF(OR(C191="",D191="",E191="",L191="",C191&lt;=0,D191&lt;=0,E191&lt;=L191),"",ROUNDDOWN((C191*D191)/(E191-L191)/100,0)*100)</f>
        <v/>
      </c>
      <c r="G191" s="6"/>
      <c r="H191" s="3"/>
      <c r="I191" s="3"/>
      <c r="J191" s="5" t="str">
        <f aca="false">IF(I191="","",F191)</f>
        <v/>
      </c>
      <c r="K191" s="6"/>
      <c r="L191" s="3"/>
      <c r="M191" s="3"/>
      <c r="N191" s="3"/>
      <c r="O191" s="7"/>
      <c r="P191" s="7"/>
      <c r="Q191" s="7"/>
      <c r="R191" s="7"/>
      <c r="S191" s="8" t="str">
        <f aca="false">IF(OR(E191="",H191="",E191&lt;=0),"",(H191-E191)/E191)</f>
        <v/>
      </c>
      <c r="T191" s="8" t="str">
        <f aca="false">IF(OR(E191="",L191="",E191&lt;=0),"",(E191-L191)/E191)</f>
        <v/>
      </c>
      <c r="U191" s="9" t="str">
        <f aca="false">IF(OR(S191="",T191="",T191&lt;=0),"",S191/T191)</f>
        <v/>
      </c>
      <c r="V191" s="10" t="str">
        <f aca="false">IF(OR(I191="",J191="",E191="",F191=""),"",I191*J191-E191*F191-IF(M191="",0,M191)-IF(N191="",0,N191))</f>
        <v/>
      </c>
      <c r="W191" s="8" t="str">
        <f aca="false">IF(OR(V191="",E191="",F191=""),"",IF(E191*F191+IF(M191="",0,M191)&lt;=0,"",V191/(E191*F191+IF(M191="",0,M191))))</f>
        <v/>
      </c>
      <c r="X191" s="8" t="str">
        <f aca="false">IF(OR(W191="",多次统计数据!$B$8=""),"",W191-多次统计数据!$B$8)</f>
        <v/>
      </c>
      <c r="Y191" s="11" t="str">
        <f aca="false">IF(OR(G191="",K191="",K191&lt;G191),"",K191-G191)</f>
        <v/>
      </c>
      <c r="Z191" s="8" t="str">
        <f aca="false">IF(OR(A191="",多次统计数据!$B$8="",多次统计数据!$B$6&lt;=0,多次统计数据!$B$6&gt;=1),"",1-POWER(1+多次统计数据!$B$8,-多次统计数据!$B$6/(1-多次统计数据!$B$6)))</f>
        <v/>
      </c>
      <c r="AA191" s="12" t="str">
        <f aca="false">IF(OR(Z191="",多次统计数据!$B$9=""),"",IF(多次统计数据!$B$9&lt;Z191,"低于上限","达到或超过上限"))</f>
        <v/>
      </c>
      <c r="AB191" s="2"/>
    </row>
    <row r="192" customFormat="false" ht="15" hidden="false" customHeight="false" outlineLevel="0" collapsed="false">
      <c r="A192" s="7"/>
      <c r="B192" s="7"/>
      <c r="C192" s="3"/>
      <c r="D192" s="4"/>
      <c r="E192" s="3"/>
      <c r="F192" s="5" t="str">
        <f aca="false">IF(OR(C192="",D192="",E192="",L192="",C192&lt;=0,D192&lt;=0,E192&lt;=L192),"",ROUNDDOWN((C192*D192)/(E192-L192)/100,0)*100)</f>
        <v/>
      </c>
      <c r="G192" s="6"/>
      <c r="H192" s="3"/>
      <c r="I192" s="3"/>
      <c r="J192" s="5" t="str">
        <f aca="false">IF(I192="","",F192)</f>
        <v/>
      </c>
      <c r="K192" s="6"/>
      <c r="L192" s="3"/>
      <c r="M192" s="3"/>
      <c r="N192" s="3"/>
      <c r="O192" s="7"/>
      <c r="P192" s="7"/>
      <c r="Q192" s="7"/>
      <c r="R192" s="7"/>
      <c r="S192" s="8" t="str">
        <f aca="false">IF(OR(E192="",H192="",E192&lt;=0),"",(H192-E192)/E192)</f>
        <v/>
      </c>
      <c r="T192" s="8" t="str">
        <f aca="false">IF(OR(E192="",L192="",E192&lt;=0),"",(E192-L192)/E192)</f>
        <v/>
      </c>
      <c r="U192" s="9" t="str">
        <f aca="false">IF(OR(S192="",T192="",T192&lt;=0),"",S192/T192)</f>
        <v/>
      </c>
      <c r="V192" s="10" t="str">
        <f aca="false">IF(OR(I192="",J192="",E192="",F192=""),"",I192*J192-E192*F192-IF(M192="",0,M192)-IF(N192="",0,N192))</f>
        <v/>
      </c>
      <c r="W192" s="8" t="str">
        <f aca="false">IF(OR(V192="",E192="",F192=""),"",IF(E192*F192+IF(M192="",0,M192)&lt;=0,"",V192/(E192*F192+IF(M192="",0,M192))))</f>
        <v/>
      </c>
      <c r="X192" s="8" t="str">
        <f aca="false">IF(OR(W192="",多次统计数据!$B$8=""),"",W192-多次统计数据!$B$8)</f>
        <v/>
      </c>
      <c r="Y192" s="11" t="str">
        <f aca="false">IF(OR(G192="",K192="",K192&lt;G192),"",K192-G192)</f>
        <v/>
      </c>
      <c r="Z192" s="8" t="str">
        <f aca="false">IF(OR(A192="",多次统计数据!$B$8="",多次统计数据!$B$6&lt;=0,多次统计数据!$B$6&gt;=1),"",1-POWER(1+多次统计数据!$B$8,-多次统计数据!$B$6/(1-多次统计数据!$B$6)))</f>
        <v/>
      </c>
      <c r="AA192" s="12" t="str">
        <f aca="false">IF(OR(Z192="",多次统计数据!$B$9=""),"",IF(多次统计数据!$B$9&lt;Z192,"低于上限","达到或超过上限"))</f>
        <v/>
      </c>
      <c r="AB192" s="2"/>
    </row>
    <row r="193" customFormat="false" ht="15" hidden="false" customHeight="false" outlineLevel="0" collapsed="false">
      <c r="A193" s="7"/>
      <c r="B193" s="7"/>
      <c r="C193" s="3"/>
      <c r="D193" s="4"/>
      <c r="E193" s="3"/>
      <c r="F193" s="5" t="str">
        <f aca="false">IF(OR(C193="",D193="",E193="",L193="",C193&lt;=0,D193&lt;=0,E193&lt;=L193),"",ROUNDDOWN((C193*D193)/(E193-L193)/100,0)*100)</f>
        <v/>
      </c>
      <c r="G193" s="6"/>
      <c r="H193" s="3"/>
      <c r="I193" s="3"/>
      <c r="J193" s="5" t="str">
        <f aca="false">IF(I193="","",F193)</f>
        <v/>
      </c>
      <c r="K193" s="6"/>
      <c r="L193" s="3"/>
      <c r="M193" s="3"/>
      <c r="N193" s="3"/>
      <c r="O193" s="7"/>
      <c r="P193" s="7"/>
      <c r="Q193" s="7"/>
      <c r="R193" s="7"/>
      <c r="S193" s="8" t="str">
        <f aca="false">IF(OR(E193="",H193="",E193&lt;=0),"",(H193-E193)/E193)</f>
        <v/>
      </c>
      <c r="T193" s="8" t="str">
        <f aca="false">IF(OR(E193="",L193="",E193&lt;=0),"",(E193-L193)/E193)</f>
        <v/>
      </c>
      <c r="U193" s="9" t="str">
        <f aca="false">IF(OR(S193="",T193="",T193&lt;=0),"",S193/T193)</f>
        <v/>
      </c>
      <c r="V193" s="10" t="str">
        <f aca="false">IF(OR(I193="",J193="",E193="",F193=""),"",I193*J193-E193*F193-IF(M193="",0,M193)-IF(N193="",0,N193))</f>
        <v/>
      </c>
      <c r="W193" s="8" t="str">
        <f aca="false">IF(OR(V193="",E193="",F193=""),"",IF(E193*F193+IF(M193="",0,M193)&lt;=0,"",V193/(E193*F193+IF(M193="",0,M193))))</f>
        <v/>
      </c>
      <c r="X193" s="8" t="str">
        <f aca="false">IF(OR(W193="",多次统计数据!$B$8=""),"",W193-多次统计数据!$B$8)</f>
        <v/>
      </c>
      <c r="Y193" s="11" t="str">
        <f aca="false">IF(OR(G193="",K193="",K193&lt;G193),"",K193-G193)</f>
        <v/>
      </c>
      <c r="Z193" s="8" t="str">
        <f aca="false">IF(OR(A193="",多次统计数据!$B$8="",多次统计数据!$B$6&lt;=0,多次统计数据!$B$6&gt;=1),"",1-POWER(1+多次统计数据!$B$8,-多次统计数据!$B$6/(1-多次统计数据!$B$6)))</f>
        <v/>
      </c>
      <c r="AA193" s="12" t="str">
        <f aca="false">IF(OR(Z193="",多次统计数据!$B$9=""),"",IF(多次统计数据!$B$9&lt;Z193,"低于上限","达到或超过上限"))</f>
        <v/>
      </c>
      <c r="AB193" s="2"/>
    </row>
    <row r="194" customFormat="false" ht="15" hidden="false" customHeight="false" outlineLevel="0" collapsed="false">
      <c r="A194" s="7"/>
      <c r="B194" s="7"/>
      <c r="C194" s="3"/>
      <c r="D194" s="4"/>
      <c r="E194" s="3"/>
      <c r="F194" s="5" t="str">
        <f aca="false">IF(OR(C194="",D194="",E194="",L194="",C194&lt;=0,D194&lt;=0,E194&lt;=L194),"",ROUNDDOWN((C194*D194)/(E194-L194)/100,0)*100)</f>
        <v/>
      </c>
      <c r="G194" s="6"/>
      <c r="H194" s="3"/>
      <c r="I194" s="3"/>
      <c r="J194" s="5" t="str">
        <f aca="false">IF(I194="","",F194)</f>
        <v/>
      </c>
      <c r="K194" s="6"/>
      <c r="L194" s="3"/>
      <c r="M194" s="3"/>
      <c r="N194" s="3"/>
      <c r="O194" s="7"/>
      <c r="P194" s="7"/>
      <c r="Q194" s="7"/>
      <c r="R194" s="7"/>
      <c r="S194" s="8" t="str">
        <f aca="false">IF(OR(E194="",H194="",E194&lt;=0),"",(H194-E194)/E194)</f>
        <v/>
      </c>
      <c r="T194" s="8" t="str">
        <f aca="false">IF(OR(E194="",L194="",E194&lt;=0),"",(E194-L194)/E194)</f>
        <v/>
      </c>
      <c r="U194" s="9" t="str">
        <f aca="false">IF(OR(S194="",T194="",T194&lt;=0),"",S194/T194)</f>
        <v/>
      </c>
      <c r="V194" s="10" t="str">
        <f aca="false">IF(OR(I194="",J194="",E194="",F194=""),"",I194*J194-E194*F194-IF(M194="",0,M194)-IF(N194="",0,N194))</f>
        <v/>
      </c>
      <c r="W194" s="8" t="str">
        <f aca="false">IF(OR(V194="",E194="",F194=""),"",IF(E194*F194+IF(M194="",0,M194)&lt;=0,"",V194/(E194*F194+IF(M194="",0,M194))))</f>
        <v/>
      </c>
      <c r="X194" s="8" t="str">
        <f aca="false">IF(OR(W194="",多次统计数据!$B$8=""),"",W194-多次统计数据!$B$8)</f>
        <v/>
      </c>
      <c r="Y194" s="11" t="str">
        <f aca="false">IF(OR(G194="",K194="",K194&lt;G194),"",K194-G194)</f>
        <v/>
      </c>
      <c r="Z194" s="8" t="str">
        <f aca="false">IF(OR(A194="",多次统计数据!$B$8="",多次统计数据!$B$6&lt;=0,多次统计数据!$B$6&gt;=1),"",1-POWER(1+多次统计数据!$B$8,-多次统计数据!$B$6/(1-多次统计数据!$B$6)))</f>
        <v/>
      </c>
      <c r="AA194" s="12" t="str">
        <f aca="false">IF(OR(Z194="",多次统计数据!$B$9=""),"",IF(多次统计数据!$B$9&lt;Z194,"低于上限","达到或超过上限"))</f>
        <v/>
      </c>
      <c r="AB194" s="2"/>
    </row>
    <row r="195" customFormat="false" ht="15" hidden="false" customHeight="false" outlineLevel="0" collapsed="false">
      <c r="A195" s="7"/>
      <c r="B195" s="7"/>
      <c r="C195" s="3"/>
      <c r="D195" s="4"/>
      <c r="E195" s="3"/>
      <c r="F195" s="5" t="str">
        <f aca="false">IF(OR(C195="",D195="",E195="",L195="",C195&lt;=0,D195&lt;=0,E195&lt;=L195),"",ROUNDDOWN((C195*D195)/(E195-L195)/100,0)*100)</f>
        <v/>
      </c>
      <c r="G195" s="6"/>
      <c r="H195" s="3"/>
      <c r="I195" s="3"/>
      <c r="J195" s="5" t="str">
        <f aca="false">IF(I195="","",F195)</f>
        <v/>
      </c>
      <c r="K195" s="6"/>
      <c r="L195" s="3"/>
      <c r="M195" s="3"/>
      <c r="N195" s="3"/>
      <c r="O195" s="7"/>
      <c r="P195" s="7"/>
      <c r="Q195" s="7"/>
      <c r="R195" s="7"/>
      <c r="S195" s="8" t="str">
        <f aca="false">IF(OR(E195="",H195="",E195&lt;=0),"",(H195-E195)/E195)</f>
        <v/>
      </c>
      <c r="T195" s="8" t="str">
        <f aca="false">IF(OR(E195="",L195="",E195&lt;=0),"",(E195-L195)/E195)</f>
        <v/>
      </c>
      <c r="U195" s="9" t="str">
        <f aca="false">IF(OR(S195="",T195="",T195&lt;=0),"",S195/T195)</f>
        <v/>
      </c>
      <c r="V195" s="10" t="str">
        <f aca="false">IF(OR(I195="",J195="",E195="",F195=""),"",I195*J195-E195*F195-IF(M195="",0,M195)-IF(N195="",0,N195))</f>
        <v/>
      </c>
      <c r="W195" s="8" t="str">
        <f aca="false">IF(OR(V195="",E195="",F195=""),"",IF(E195*F195+IF(M195="",0,M195)&lt;=0,"",V195/(E195*F195+IF(M195="",0,M195))))</f>
        <v/>
      </c>
      <c r="X195" s="8" t="str">
        <f aca="false">IF(OR(W195="",多次统计数据!$B$8=""),"",W195-多次统计数据!$B$8)</f>
        <v/>
      </c>
      <c r="Y195" s="11" t="str">
        <f aca="false">IF(OR(G195="",K195="",K195&lt;G195),"",K195-G195)</f>
        <v/>
      </c>
      <c r="Z195" s="8" t="str">
        <f aca="false">IF(OR(A195="",多次统计数据!$B$8="",多次统计数据!$B$6&lt;=0,多次统计数据!$B$6&gt;=1),"",1-POWER(1+多次统计数据!$B$8,-多次统计数据!$B$6/(1-多次统计数据!$B$6)))</f>
        <v/>
      </c>
      <c r="AA195" s="12" t="str">
        <f aca="false">IF(OR(Z195="",多次统计数据!$B$9=""),"",IF(多次统计数据!$B$9&lt;Z195,"低于上限","达到或超过上限"))</f>
        <v/>
      </c>
      <c r="AB195" s="2"/>
    </row>
    <row r="196" customFormat="false" ht="15" hidden="false" customHeight="false" outlineLevel="0" collapsed="false">
      <c r="A196" s="7"/>
      <c r="B196" s="7"/>
      <c r="C196" s="3"/>
      <c r="D196" s="4"/>
      <c r="E196" s="3"/>
      <c r="F196" s="5" t="str">
        <f aca="false">IF(OR(C196="",D196="",E196="",L196="",C196&lt;=0,D196&lt;=0,E196&lt;=L196),"",ROUNDDOWN((C196*D196)/(E196-L196)/100,0)*100)</f>
        <v/>
      </c>
      <c r="G196" s="6"/>
      <c r="H196" s="3"/>
      <c r="I196" s="3"/>
      <c r="J196" s="5" t="str">
        <f aca="false">IF(I196="","",F196)</f>
        <v/>
      </c>
      <c r="K196" s="6"/>
      <c r="L196" s="3"/>
      <c r="M196" s="3"/>
      <c r="N196" s="3"/>
      <c r="O196" s="7"/>
      <c r="P196" s="7"/>
      <c r="Q196" s="7"/>
      <c r="R196" s="7"/>
      <c r="S196" s="8" t="str">
        <f aca="false">IF(OR(E196="",H196="",E196&lt;=0),"",(H196-E196)/E196)</f>
        <v/>
      </c>
      <c r="T196" s="8" t="str">
        <f aca="false">IF(OR(E196="",L196="",E196&lt;=0),"",(E196-L196)/E196)</f>
        <v/>
      </c>
      <c r="U196" s="9" t="str">
        <f aca="false">IF(OR(S196="",T196="",T196&lt;=0),"",S196/T196)</f>
        <v/>
      </c>
      <c r="V196" s="10" t="str">
        <f aca="false">IF(OR(I196="",J196="",E196="",F196=""),"",I196*J196-E196*F196-IF(M196="",0,M196)-IF(N196="",0,N196))</f>
        <v/>
      </c>
      <c r="W196" s="8" t="str">
        <f aca="false">IF(OR(V196="",E196="",F196=""),"",IF(E196*F196+IF(M196="",0,M196)&lt;=0,"",V196/(E196*F196+IF(M196="",0,M196))))</f>
        <v/>
      </c>
      <c r="X196" s="8" t="str">
        <f aca="false">IF(OR(W196="",多次统计数据!$B$8=""),"",W196-多次统计数据!$B$8)</f>
        <v/>
      </c>
      <c r="Y196" s="11" t="str">
        <f aca="false">IF(OR(G196="",K196="",K196&lt;G196),"",K196-G196)</f>
        <v/>
      </c>
      <c r="Z196" s="8" t="str">
        <f aca="false">IF(OR(A196="",多次统计数据!$B$8="",多次统计数据!$B$6&lt;=0,多次统计数据!$B$6&gt;=1),"",1-POWER(1+多次统计数据!$B$8,-多次统计数据!$B$6/(1-多次统计数据!$B$6)))</f>
        <v/>
      </c>
      <c r="AA196" s="12" t="str">
        <f aca="false">IF(OR(Z196="",多次统计数据!$B$9=""),"",IF(多次统计数据!$B$9&lt;Z196,"低于上限","达到或超过上限"))</f>
        <v/>
      </c>
      <c r="AB196" s="2"/>
    </row>
    <row r="197" customFormat="false" ht="15" hidden="false" customHeight="false" outlineLevel="0" collapsed="false">
      <c r="A197" s="7"/>
      <c r="B197" s="7"/>
      <c r="C197" s="3"/>
      <c r="D197" s="4"/>
      <c r="E197" s="3"/>
      <c r="F197" s="5" t="str">
        <f aca="false">IF(OR(C197="",D197="",E197="",L197="",C197&lt;=0,D197&lt;=0,E197&lt;=L197),"",ROUNDDOWN((C197*D197)/(E197-L197)/100,0)*100)</f>
        <v/>
      </c>
      <c r="G197" s="6"/>
      <c r="H197" s="3"/>
      <c r="I197" s="3"/>
      <c r="J197" s="5" t="str">
        <f aca="false">IF(I197="","",F197)</f>
        <v/>
      </c>
      <c r="K197" s="6"/>
      <c r="L197" s="3"/>
      <c r="M197" s="3"/>
      <c r="N197" s="3"/>
      <c r="O197" s="7"/>
      <c r="P197" s="7"/>
      <c r="Q197" s="7"/>
      <c r="R197" s="7"/>
      <c r="S197" s="8" t="str">
        <f aca="false">IF(OR(E197="",H197="",E197&lt;=0),"",(H197-E197)/E197)</f>
        <v/>
      </c>
      <c r="T197" s="8" t="str">
        <f aca="false">IF(OR(E197="",L197="",E197&lt;=0),"",(E197-L197)/E197)</f>
        <v/>
      </c>
      <c r="U197" s="9" t="str">
        <f aca="false">IF(OR(S197="",T197="",T197&lt;=0),"",S197/T197)</f>
        <v/>
      </c>
      <c r="V197" s="10" t="str">
        <f aca="false">IF(OR(I197="",J197="",E197="",F197=""),"",I197*J197-E197*F197-IF(M197="",0,M197)-IF(N197="",0,N197))</f>
        <v/>
      </c>
      <c r="W197" s="8" t="str">
        <f aca="false">IF(OR(V197="",E197="",F197=""),"",IF(E197*F197+IF(M197="",0,M197)&lt;=0,"",V197/(E197*F197+IF(M197="",0,M197))))</f>
        <v/>
      </c>
      <c r="X197" s="8" t="str">
        <f aca="false">IF(OR(W197="",多次统计数据!$B$8=""),"",W197-多次统计数据!$B$8)</f>
        <v/>
      </c>
      <c r="Y197" s="11" t="str">
        <f aca="false">IF(OR(G197="",K197="",K197&lt;G197),"",K197-G197)</f>
        <v/>
      </c>
      <c r="Z197" s="8" t="str">
        <f aca="false">IF(OR(A197="",多次统计数据!$B$8="",多次统计数据!$B$6&lt;=0,多次统计数据!$B$6&gt;=1),"",1-POWER(1+多次统计数据!$B$8,-多次统计数据!$B$6/(1-多次统计数据!$B$6)))</f>
        <v/>
      </c>
      <c r="AA197" s="12" t="str">
        <f aca="false">IF(OR(Z197="",多次统计数据!$B$9=""),"",IF(多次统计数据!$B$9&lt;Z197,"低于上限","达到或超过上限"))</f>
        <v/>
      </c>
      <c r="AB197" s="2"/>
    </row>
    <row r="198" customFormat="false" ht="15" hidden="false" customHeight="false" outlineLevel="0" collapsed="false">
      <c r="A198" s="7"/>
      <c r="B198" s="7"/>
      <c r="C198" s="3"/>
      <c r="D198" s="4"/>
      <c r="E198" s="3"/>
      <c r="F198" s="5" t="str">
        <f aca="false">IF(OR(C198="",D198="",E198="",L198="",C198&lt;=0,D198&lt;=0,E198&lt;=L198),"",ROUNDDOWN((C198*D198)/(E198-L198)/100,0)*100)</f>
        <v/>
      </c>
      <c r="G198" s="6"/>
      <c r="H198" s="3"/>
      <c r="I198" s="3"/>
      <c r="J198" s="5" t="str">
        <f aca="false">IF(I198="","",F198)</f>
        <v/>
      </c>
      <c r="K198" s="6"/>
      <c r="L198" s="3"/>
      <c r="M198" s="3"/>
      <c r="N198" s="3"/>
      <c r="O198" s="7"/>
      <c r="P198" s="7"/>
      <c r="Q198" s="7"/>
      <c r="R198" s="7"/>
      <c r="S198" s="8" t="str">
        <f aca="false">IF(OR(E198="",H198="",E198&lt;=0),"",(H198-E198)/E198)</f>
        <v/>
      </c>
      <c r="T198" s="8" t="str">
        <f aca="false">IF(OR(E198="",L198="",E198&lt;=0),"",(E198-L198)/E198)</f>
        <v/>
      </c>
      <c r="U198" s="9" t="str">
        <f aca="false">IF(OR(S198="",T198="",T198&lt;=0),"",S198/T198)</f>
        <v/>
      </c>
      <c r="V198" s="10" t="str">
        <f aca="false">IF(OR(I198="",J198="",E198="",F198=""),"",I198*J198-E198*F198-IF(M198="",0,M198)-IF(N198="",0,N198))</f>
        <v/>
      </c>
      <c r="W198" s="8" t="str">
        <f aca="false">IF(OR(V198="",E198="",F198=""),"",IF(E198*F198+IF(M198="",0,M198)&lt;=0,"",V198/(E198*F198+IF(M198="",0,M198))))</f>
        <v/>
      </c>
      <c r="X198" s="8" t="str">
        <f aca="false">IF(OR(W198="",多次统计数据!$B$8=""),"",W198-多次统计数据!$B$8)</f>
        <v/>
      </c>
      <c r="Y198" s="11" t="str">
        <f aca="false">IF(OR(G198="",K198="",K198&lt;G198),"",K198-G198)</f>
        <v/>
      </c>
      <c r="Z198" s="8" t="str">
        <f aca="false">IF(OR(A198="",多次统计数据!$B$8="",多次统计数据!$B$6&lt;=0,多次统计数据!$B$6&gt;=1),"",1-POWER(1+多次统计数据!$B$8,-多次统计数据!$B$6/(1-多次统计数据!$B$6)))</f>
        <v/>
      </c>
      <c r="AA198" s="12" t="str">
        <f aca="false">IF(OR(Z198="",多次统计数据!$B$9=""),"",IF(多次统计数据!$B$9&lt;Z198,"低于上限","达到或超过上限"))</f>
        <v/>
      </c>
      <c r="AB198" s="2"/>
    </row>
    <row r="199" customFormat="false" ht="15" hidden="false" customHeight="false" outlineLevel="0" collapsed="false">
      <c r="A199" s="7"/>
      <c r="B199" s="7"/>
      <c r="C199" s="3"/>
      <c r="D199" s="4"/>
      <c r="E199" s="3"/>
      <c r="F199" s="5" t="str">
        <f aca="false">IF(OR(C199="",D199="",E199="",L199="",C199&lt;=0,D199&lt;=0,E199&lt;=L199),"",ROUNDDOWN((C199*D199)/(E199-L199)/100,0)*100)</f>
        <v/>
      </c>
      <c r="G199" s="6"/>
      <c r="H199" s="3"/>
      <c r="I199" s="3"/>
      <c r="J199" s="5" t="str">
        <f aca="false">IF(I199="","",F199)</f>
        <v/>
      </c>
      <c r="K199" s="6"/>
      <c r="L199" s="3"/>
      <c r="M199" s="3"/>
      <c r="N199" s="3"/>
      <c r="O199" s="7"/>
      <c r="P199" s="7"/>
      <c r="Q199" s="7"/>
      <c r="R199" s="7"/>
      <c r="S199" s="8" t="str">
        <f aca="false">IF(OR(E199="",H199="",E199&lt;=0),"",(H199-E199)/E199)</f>
        <v/>
      </c>
      <c r="T199" s="8" t="str">
        <f aca="false">IF(OR(E199="",L199="",E199&lt;=0),"",(E199-L199)/E199)</f>
        <v/>
      </c>
      <c r="U199" s="9" t="str">
        <f aca="false">IF(OR(S199="",T199="",T199&lt;=0),"",S199/T199)</f>
        <v/>
      </c>
      <c r="V199" s="10" t="str">
        <f aca="false">IF(OR(I199="",J199="",E199="",F199=""),"",I199*J199-E199*F199-IF(M199="",0,M199)-IF(N199="",0,N199))</f>
        <v/>
      </c>
      <c r="W199" s="8" t="str">
        <f aca="false">IF(OR(V199="",E199="",F199=""),"",IF(E199*F199+IF(M199="",0,M199)&lt;=0,"",V199/(E199*F199+IF(M199="",0,M199))))</f>
        <v/>
      </c>
      <c r="X199" s="8" t="str">
        <f aca="false">IF(OR(W199="",多次统计数据!$B$8=""),"",W199-多次统计数据!$B$8)</f>
        <v/>
      </c>
      <c r="Y199" s="11" t="str">
        <f aca="false">IF(OR(G199="",K199="",K199&lt;G199),"",K199-G199)</f>
        <v/>
      </c>
      <c r="Z199" s="8" t="str">
        <f aca="false">IF(OR(A199="",多次统计数据!$B$8="",多次统计数据!$B$6&lt;=0,多次统计数据!$B$6&gt;=1),"",1-POWER(1+多次统计数据!$B$8,-多次统计数据!$B$6/(1-多次统计数据!$B$6)))</f>
        <v/>
      </c>
      <c r="AA199" s="12" t="str">
        <f aca="false">IF(OR(Z199="",多次统计数据!$B$9=""),"",IF(多次统计数据!$B$9&lt;Z199,"低于上限","达到或超过上限"))</f>
        <v/>
      </c>
      <c r="AB199" s="2"/>
    </row>
    <row r="200" customFormat="false" ht="15" hidden="false" customHeight="false" outlineLevel="0" collapsed="false">
      <c r="A200" s="7"/>
      <c r="B200" s="7"/>
      <c r="C200" s="3"/>
      <c r="D200" s="4"/>
      <c r="E200" s="3"/>
      <c r="F200" s="5" t="str">
        <f aca="false">IF(OR(C200="",D200="",E200="",L200="",C200&lt;=0,D200&lt;=0,E200&lt;=L200),"",ROUNDDOWN((C200*D200)/(E200-L200)/100,0)*100)</f>
        <v/>
      </c>
      <c r="G200" s="6"/>
      <c r="H200" s="3"/>
      <c r="I200" s="3"/>
      <c r="J200" s="5" t="str">
        <f aca="false">IF(I200="","",F200)</f>
        <v/>
      </c>
      <c r="K200" s="6"/>
      <c r="L200" s="3"/>
      <c r="M200" s="3"/>
      <c r="N200" s="3"/>
      <c r="O200" s="7"/>
      <c r="P200" s="7"/>
      <c r="Q200" s="7"/>
      <c r="R200" s="7"/>
      <c r="S200" s="8" t="str">
        <f aca="false">IF(OR(E200="",H200="",E200&lt;=0),"",(H200-E200)/E200)</f>
        <v/>
      </c>
      <c r="T200" s="8" t="str">
        <f aca="false">IF(OR(E200="",L200="",E200&lt;=0),"",(E200-L200)/E200)</f>
        <v/>
      </c>
      <c r="U200" s="9" t="str">
        <f aca="false">IF(OR(S200="",T200="",T200&lt;=0),"",S200/T200)</f>
        <v/>
      </c>
      <c r="V200" s="10" t="str">
        <f aca="false">IF(OR(I200="",J200="",E200="",F200=""),"",I200*J200-E200*F200-IF(M200="",0,M200)-IF(N200="",0,N200))</f>
        <v/>
      </c>
      <c r="W200" s="8" t="str">
        <f aca="false">IF(OR(V200="",E200="",F200=""),"",IF(E200*F200+IF(M200="",0,M200)&lt;=0,"",V200/(E200*F200+IF(M200="",0,M200))))</f>
        <v/>
      </c>
      <c r="X200" s="8" t="str">
        <f aca="false">IF(OR(W200="",多次统计数据!$B$8=""),"",W200-多次统计数据!$B$8)</f>
        <v/>
      </c>
      <c r="Y200" s="11" t="str">
        <f aca="false">IF(OR(G200="",K200="",K200&lt;G200),"",K200-G200)</f>
        <v/>
      </c>
      <c r="Z200" s="8" t="str">
        <f aca="false">IF(OR(A200="",多次统计数据!$B$8="",多次统计数据!$B$6&lt;=0,多次统计数据!$B$6&gt;=1),"",1-POWER(1+多次统计数据!$B$8,-多次统计数据!$B$6/(1-多次统计数据!$B$6)))</f>
        <v/>
      </c>
      <c r="AA200" s="12" t="str">
        <f aca="false">IF(OR(Z200="",多次统计数据!$B$9=""),"",IF(多次统计数据!$B$9&lt;Z200,"低于上限","达到或超过上限"))</f>
        <v/>
      </c>
      <c r="AB200" s="2"/>
    </row>
    <row r="201" customFormat="false" ht="15" hidden="false" customHeight="false" outlineLevel="0" collapsed="false">
      <c r="A201" s="7"/>
      <c r="B201" s="7"/>
      <c r="C201" s="3"/>
      <c r="D201" s="4"/>
      <c r="E201" s="3"/>
      <c r="F201" s="5" t="str">
        <f aca="false">IF(OR(C201="",D201="",E201="",L201="",C201&lt;=0,D201&lt;=0,E201&lt;=L201),"",ROUNDDOWN((C201*D201)/(E201-L201)/100,0)*100)</f>
        <v/>
      </c>
      <c r="G201" s="6"/>
      <c r="H201" s="3"/>
      <c r="I201" s="3"/>
      <c r="J201" s="5" t="str">
        <f aca="false">IF(I201="","",F201)</f>
        <v/>
      </c>
      <c r="K201" s="6"/>
      <c r="L201" s="3"/>
      <c r="M201" s="3"/>
      <c r="N201" s="3"/>
      <c r="O201" s="7"/>
      <c r="P201" s="7"/>
      <c r="Q201" s="7"/>
      <c r="R201" s="7"/>
      <c r="S201" s="8" t="str">
        <f aca="false">IF(OR(E201="",H201="",E201&lt;=0),"",(H201-E201)/E201)</f>
        <v/>
      </c>
      <c r="T201" s="8" t="str">
        <f aca="false">IF(OR(E201="",L201="",E201&lt;=0),"",(E201-L201)/E201)</f>
        <v/>
      </c>
      <c r="U201" s="9" t="str">
        <f aca="false">IF(OR(S201="",T201="",T201&lt;=0),"",S201/T201)</f>
        <v/>
      </c>
      <c r="V201" s="10" t="str">
        <f aca="false">IF(OR(I201="",J201="",E201="",F201=""),"",I201*J201-E201*F201-IF(M201="",0,M201)-IF(N201="",0,N201))</f>
        <v/>
      </c>
      <c r="W201" s="8" t="str">
        <f aca="false">IF(OR(V201="",E201="",F201=""),"",IF(E201*F201+IF(M201="",0,M201)&lt;=0,"",V201/(E201*F201+IF(M201="",0,M201))))</f>
        <v/>
      </c>
      <c r="X201" s="8" t="str">
        <f aca="false">IF(OR(W201="",多次统计数据!$B$8=""),"",W201-多次统计数据!$B$8)</f>
        <v/>
      </c>
      <c r="Y201" s="11" t="str">
        <f aca="false">IF(OR(G201="",K201="",K201&lt;G201),"",K201-G201)</f>
        <v/>
      </c>
      <c r="Z201" s="8" t="str">
        <f aca="false">IF(OR(A201="",多次统计数据!$B$8="",多次统计数据!$B$6&lt;=0,多次统计数据!$B$6&gt;=1),"",1-POWER(1+多次统计数据!$B$8,-多次统计数据!$B$6/(1-多次统计数据!$B$6)))</f>
        <v/>
      </c>
      <c r="AA201" s="12" t="str">
        <f aca="false">IF(OR(Z201="",多次统计数据!$B$9=""),"",IF(多次统计数据!$B$9&lt;Z201,"低于上限","达到或超过上限"))</f>
        <v/>
      </c>
      <c r="AB201" s="2"/>
    </row>
  </sheetData>
  <conditionalFormatting sqref="V2:V201">
    <cfRule type="cellIs" priority="2" operator="greaterThan" aboveAverage="0" equalAverage="0" bottom="0" percent="0" rank="0" text="" dxfId="7">
      <formula>0</formula>
    </cfRule>
    <cfRule type="cellIs" priority="3" operator="lessThan" aboveAverage="0" equalAverage="0" bottom="0" percent="0" rank="0" text="" dxfId="8">
      <formula>0</formula>
    </cfRule>
  </conditionalFormatting>
  <conditionalFormatting sqref="U2:U201">
    <cfRule type="cellIs" priority="4" operator="lessThan" aboveAverage="0" equalAverage="0" bottom="0" percent="0" rank="0" text="" dxfId="9">
      <formula>2</formula>
    </cfRule>
  </conditionalFormatting>
  <conditionalFormatting sqref="AA2:AA201">
    <cfRule type="expression" priority="5" aboveAverage="0" equalAverage="0" bottom="0" percent="0" rank="0" text="" dxfId="8">
      <formula>$AA2="达到或超过上限"</formula>
    </cfRule>
    <cfRule type="expression" priority="6" aboveAverage="0" equalAverage="0" bottom="0" percent="0" rank="0" text="" dxfId="7">
      <formula>$AA2="低于上限"</formula>
    </cfRule>
  </conditionalFormatting>
  <conditionalFormatting sqref="X2:X201">
    <cfRule type="cellIs" priority="7" operator="greaterThan" aboveAverage="0" equalAverage="0" bottom="0" percent="0" rank="0" text="" dxfId="7">
      <formula>0</formula>
    </cfRule>
    <cfRule type="cellIs" priority="8" operator="lessThan" aboveAverage="0" equalAverage="0" bottom="0" percent="0" rank="0" text="" dxfId="8">
      <formula>0</formula>
    </cfRule>
  </conditionalFormatting>
  <dataValidations count="7">
    <dataValidation allowBlank="true" errorStyle="stop" operator="greaterThan" showDropDown="false" showErrorMessage="false" showInputMessage="false" sqref="C2:C201 E2:E201 H2:I201 L2:L201" type="decimal">
      <formula1>0</formula1>
      <formula2>0</formula2>
    </dataValidation>
    <dataValidation allowBlank="true" errorStyle="stop" operator="between" showDropDown="false" showErrorMessage="false" showInputMessage="false" sqref="D2:D201" type="decimal">
      <formula1>0</formula1>
      <formula2>1</formula2>
    </dataValidation>
    <dataValidation allowBlank="true" errorStyle="stop" operator="greaterThanOrEqual" showDropDown="false" showErrorMessage="false" showInputMessage="false" sqref="M2:N201" type="decimal">
      <formula1>0</formula1>
      <formula2>0</formula2>
    </dataValidation>
    <dataValidation allowBlank="true" errorStyle="stop" operator="between" showDropDown="false" showErrorMessage="false" showInputMessage="false" sqref="G2:G201" type="date">
      <formula1>DATE(2000,1,1)</formula1>
      <formula2>DATE(2100,12,31)</formula2>
    </dataValidation>
    <dataValidation allowBlank="true" errorStyle="stop" operator="between" showDropDown="false" showErrorMessage="false" showInputMessage="false" sqref="K2:K201" type="custom">
      <formula1>OR(K2="",AND(ISNUMBER(K2),K2&gt;=G2))</formula1>
      <formula2>0</formula2>
    </dataValidation>
    <dataValidation allowBlank="true" errorStyle="stop" operator="between" showDropDown="false" showErrorMessage="false" showInputMessage="false" sqref="J2:J201" type="custom">
      <formula1>OR(J2="",J2=F2)</formula1>
      <formula2>0</formula2>
    </dataValidation>
    <dataValidation allowBlank="true" errorStyle="stop" operator="between" showDropDown="false" showErrorMessage="false" showInputMessage="false" sqref="AB2:AB201" type="list">
      <formula1>"1-差,2-较差,3-一般,4-良好,5-优秀"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2" min="1" style="0" width="12.74"/>
    <col collapsed="false" customWidth="true" hidden="false" outlineLevel="0" max="3" min="3" style="0" width="14.56"/>
    <col collapsed="false" customWidth="true" hidden="false" outlineLevel="0" max="4" min="4" style="0" width="12.74"/>
    <col collapsed="false" customWidth="true" hidden="false" outlineLevel="0" max="5" min="5" style="0" width="11.83"/>
    <col collapsed="false" customWidth="true" hidden="false" outlineLevel="0" max="8" min="6" style="0" width="21.84"/>
    <col collapsed="false" customWidth="true" hidden="false" outlineLevel="0" max="9" min="9" style="0" width="43.67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65</v>
      </c>
      <c r="D1" s="1" t="s">
        <v>66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</row>
    <row r="2" customFormat="false" ht="16.4" hidden="false" customHeight="false" outlineLevel="0" collapsed="false">
      <c r="A2" s="2" t="s">
        <v>28</v>
      </c>
      <c r="B2" s="2" t="s">
        <v>29</v>
      </c>
      <c r="C2" s="7" t="s">
        <v>72</v>
      </c>
      <c r="D2" s="7" t="s">
        <v>73</v>
      </c>
      <c r="E2" s="6" t="n">
        <v>46147</v>
      </c>
      <c r="F2" s="7" t="s">
        <v>74</v>
      </c>
      <c r="G2" s="7" t="s">
        <v>75</v>
      </c>
      <c r="H2" s="7" t="s">
        <v>76</v>
      </c>
      <c r="I2" s="7" t="s">
        <v>77</v>
      </c>
    </row>
    <row r="3" customFormat="false" ht="16.4" hidden="false" customHeight="false" outlineLevel="0" collapsed="false">
      <c r="A3" s="2" t="s">
        <v>28</v>
      </c>
      <c r="B3" s="2" t="s">
        <v>29</v>
      </c>
      <c r="C3" s="7" t="s">
        <v>72</v>
      </c>
      <c r="D3" s="7" t="s">
        <v>78</v>
      </c>
      <c r="E3" s="6" t="n">
        <v>46149</v>
      </c>
      <c r="F3" s="7" t="s">
        <v>79</v>
      </c>
      <c r="G3" s="7" t="s">
        <v>80</v>
      </c>
      <c r="H3" s="7" t="s">
        <v>81</v>
      </c>
      <c r="I3" s="7" t="s">
        <v>82</v>
      </c>
    </row>
    <row r="4" customFormat="false" ht="16.4" hidden="false" customHeight="false" outlineLevel="0" collapsed="false">
      <c r="A4" s="2" t="s">
        <v>28</v>
      </c>
      <c r="B4" s="2" t="s">
        <v>29</v>
      </c>
      <c r="C4" s="7" t="s">
        <v>72</v>
      </c>
      <c r="D4" s="7" t="s">
        <v>83</v>
      </c>
      <c r="E4" s="6" t="n">
        <v>46152</v>
      </c>
      <c r="F4" s="7" t="s">
        <v>84</v>
      </c>
      <c r="G4" s="7" t="s">
        <v>85</v>
      </c>
      <c r="H4" s="7" t="s">
        <v>86</v>
      </c>
      <c r="I4" s="7" t="s">
        <v>33</v>
      </c>
    </row>
    <row r="5" customFormat="false" ht="16.4" hidden="false" customHeight="false" outlineLevel="0" collapsed="false">
      <c r="A5" s="2" t="s">
        <v>35</v>
      </c>
      <c r="B5" s="2" t="s">
        <v>36</v>
      </c>
      <c r="C5" s="7" t="s">
        <v>87</v>
      </c>
      <c r="D5" s="7" t="s">
        <v>73</v>
      </c>
      <c r="E5" s="6" t="n">
        <v>46174</v>
      </c>
      <c r="F5" s="7" t="s">
        <v>37</v>
      </c>
      <c r="G5" s="7" t="s">
        <v>88</v>
      </c>
      <c r="H5" s="7" t="s">
        <v>89</v>
      </c>
      <c r="I5" s="7" t="s">
        <v>90</v>
      </c>
    </row>
    <row r="6" customFormat="false" ht="16.4" hidden="false" customHeight="false" outlineLevel="0" collapsed="false">
      <c r="A6" s="2" t="s">
        <v>35</v>
      </c>
      <c r="B6" s="2" t="s">
        <v>36</v>
      </c>
      <c r="C6" s="7" t="s">
        <v>87</v>
      </c>
      <c r="D6" s="7" t="s">
        <v>83</v>
      </c>
      <c r="E6" s="6" t="n">
        <v>46177</v>
      </c>
      <c r="F6" s="7" t="s">
        <v>91</v>
      </c>
      <c r="G6" s="7" t="s">
        <v>92</v>
      </c>
      <c r="H6" s="7" t="s">
        <v>93</v>
      </c>
      <c r="I6" s="7" t="s">
        <v>94</v>
      </c>
    </row>
    <row r="7" customFormat="false" ht="16.4" hidden="false" customHeight="false" outlineLevel="0" collapsed="false">
      <c r="A7" s="2" t="s">
        <v>42</v>
      </c>
      <c r="B7" s="2" t="s">
        <v>43</v>
      </c>
      <c r="C7" s="7" t="s">
        <v>95</v>
      </c>
      <c r="D7" s="7" t="s">
        <v>73</v>
      </c>
      <c r="E7" s="6" t="n">
        <v>46183</v>
      </c>
      <c r="F7" s="7" t="s">
        <v>44</v>
      </c>
      <c r="G7" s="7" t="s">
        <v>96</v>
      </c>
      <c r="H7" s="7" t="s">
        <v>97</v>
      </c>
      <c r="I7" s="7" t="s">
        <v>98</v>
      </c>
    </row>
    <row r="8" customFormat="false" ht="16.4" hidden="false" customHeight="false" outlineLevel="0" collapsed="false">
      <c r="A8" s="2" t="s">
        <v>42</v>
      </c>
      <c r="B8" s="2" t="s">
        <v>43</v>
      </c>
      <c r="C8" s="7" t="s">
        <v>95</v>
      </c>
      <c r="D8" s="7" t="s">
        <v>78</v>
      </c>
      <c r="E8" s="6" t="n">
        <v>46187</v>
      </c>
      <c r="F8" s="7" t="s">
        <v>99</v>
      </c>
      <c r="G8" s="7" t="s">
        <v>100</v>
      </c>
      <c r="H8" s="7" t="s">
        <v>101</v>
      </c>
      <c r="I8" s="7" t="s">
        <v>102</v>
      </c>
    </row>
    <row r="9" customFormat="false" ht="16.4" hidden="false" customHeight="false" outlineLevel="0" collapsed="false">
      <c r="A9" s="2" t="s">
        <v>42</v>
      </c>
      <c r="B9" s="2" t="s">
        <v>43</v>
      </c>
      <c r="C9" s="7" t="s">
        <v>95</v>
      </c>
      <c r="D9" s="7" t="s">
        <v>83</v>
      </c>
      <c r="E9" s="6" t="n">
        <v>46191</v>
      </c>
      <c r="F9" s="7" t="s">
        <v>103</v>
      </c>
      <c r="G9" s="7" t="s">
        <v>104</v>
      </c>
      <c r="H9" s="7" t="s">
        <v>105</v>
      </c>
      <c r="I9" s="7" t="s">
        <v>106</v>
      </c>
    </row>
    <row r="10" customFormat="false" ht="16.4" hidden="false" customHeight="false" outlineLevel="0" collapsed="false">
      <c r="A10" s="2" t="s">
        <v>49</v>
      </c>
      <c r="B10" s="2" t="s">
        <v>50</v>
      </c>
      <c r="C10" s="7" t="s">
        <v>107</v>
      </c>
      <c r="D10" s="7" t="s">
        <v>73</v>
      </c>
      <c r="E10" s="6" t="n">
        <v>46204</v>
      </c>
      <c r="F10" s="7" t="s">
        <v>108</v>
      </c>
      <c r="G10" s="7" t="s">
        <v>109</v>
      </c>
      <c r="H10" s="7" t="s">
        <v>110</v>
      </c>
      <c r="I10" s="7" t="s">
        <v>111</v>
      </c>
    </row>
    <row r="11" customFormat="false" ht="16.4" hidden="false" customHeight="false" outlineLevel="0" collapsed="false">
      <c r="A11" s="2" t="s">
        <v>49</v>
      </c>
      <c r="B11" s="2" t="s">
        <v>50</v>
      </c>
      <c r="C11" s="7" t="s">
        <v>107</v>
      </c>
      <c r="D11" s="7" t="s">
        <v>83</v>
      </c>
      <c r="E11" s="6" t="n">
        <v>46206</v>
      </c>
      <c r="F11" s="7" t="s">
        <v>112</v>
      </c>
      <c r="G11" s="7" t="s">
        <v>113</v>
      </c>
      <c r="H11" s="7" t="s">
        <v>114</v>
      </c>
      <c r="I11" s="7" t="s">
        <v>115</v>
      </c>
    </row>
    <row r="12" customFormat="false" ht="16.4" hidden="false" customHeight="false" outlineLevel="0" collapsed="false">
      <c r="A12" s="2" t="s">
        <v>54</v>
      </c>
      <c r="B12" s="2" t="s">
        <v>55</v>
      </c>
      <c r="C12" s="7" t="s">
        <v>116</v>
      </c>
      <c r="D12" s="7" t="s">
        <v>73</v>
      </c>
      <c r="E12" s="6" t="n">
        <v>46208</v>
      </c>
      <c r="F12" s="7" t="s">
        <v>117</v>
      </c>
      <c r="G12" s="7" t="s">
        <v>118</v>
      </c>
      <c r="H12" s="7" t="s">
        <v>119</v>
      </c>
      <c r="I12" s="7" t="s">
        <v>120</v>
      </c>
    </row>
    <row r="13" customFormat="false" ht="16.4" hidden="false" customHeight="false" outlineLevel="0" collapsed="false">
      <c r="A13" s="2" t="s">
        <v>54</v>
      </c>
      <c r="B13" s="2" t="s">
        <v>55</v>
      </c>
      <c r="C13" s="7" t="s">
        <v>116</v>
      </c>
      <c r="D13" s="7" t="s">
        <v>83</v>
      </c>
      <c r="E13" s="6" t="n">
        <v>46209</v>
      </c>
      <c r="F13" s="7" t="s">
        <v>121</v>
      </c>
      <c r="G13" s="7" t="s">
        <v>122</v>
      </c>
      <c r="H13" s="7" t="s">
        <v>123</v>
      </c>
      <c r="I13" s="7" t="s">
        <v>124</v>
      </c>
    </row>
    <row r="14" customFormat="false" ht="16.4" hidden="false" customHeight="false" outlineLevel="0" collapsed="false">
      <c r="A14" s="2" t="s">
        <v>61</v>
      </c>
      <c r="B14" s="2" t="s">
        <v>62</v>
      </c>
      <c r="C14" s="7" t="s">
        <v>125</v>
      </c>
      <c r="D14" s="7" t="s">
        <v>73</v>
      </c>
      <c r="E14" s="6" t="n">
        <v>46213</v>
      </c>
      <c r="F14" s="7" t="s">
        <v>126</v>
      </c>
      <c r="G14" s="7" t="s">
        <v>127</v>
      </c>
      <c r="H14" s="7" t="s">
        <v>128</v>
      </c>
      <c r="I14" s="7" t="s">
        <v>129</v>
      </c>
    </row>
    <row r="15" customFormat="false" ht="15" hidden="false" customHeight="false" outlineLevel="0" collapsed="false">
      <c r="A15" s="7"/>
      <c r="B15" s="7"/>
      <c r="C15" s="7"/>
      <c r="D15" s="7"/>
      <c r="E15" s="6"/>
      <c r="F15" s="7"/>
      <c r="G15" s="7"/>
      <c r="H15" s="7"/>
      <c r="I15" s="7"/>
    </row>
    <row r="16" customFormat="false" ht="15" hidden="false" customHeight="false" outlineLevel="0" collapsed="false">
      <c r="A16" s="7"/>
      <c r="B16" s="7"/>
      <c r="C16" s="7"/>
      <c r="D16" s="7"/>
      <c r="E16" s="6"/>
      <c r="F16" s="7"/>
      <c r="G16" s="7"/>
      <c r="H16" s="7"/>
      <c r="I16" s="7"/>
    </row>
    <row r="17" customFormat="false" ht="15" hidden="false" customHeight="false" outlineLevel="0" collapsed="false">
      <c r="A17" s="7"/>
      <c r="B17" s="7"/>
      <c r="C17" s="7"/>
      <c r="D17" s="7"/>
      <c r="E17" s="6"/>
      <c r="F17" s="7"/>
      <c r="G17" s="7"/>
      <c r="H17" s="7"/>
      <c r="I17" s="7"/>
    </row>
    <row r="18" customFormat="false" ht="15" hidden="false" customHeight="false" outlineLevel="0" collapsed="false">
      <c r="A18" s="7"/>
      <c r="B18" s="7"/>
      <c r="C18" s="7"/>
      <c r="D18" s="7"/>
      <c r="E18" s="6"/>
      <c r="F18" s="7"/>
      <c r="G18" s="7"/>
      <c r="H18" s="7"/>
      <c r="I18" s="7"/>
    </row>
    <row r="19" customFormat="false" ht="15" hidden="false" customHeight="false" outlineLevel="0" collapsed="false">
      <c r="A19" s="7"/>
      <c r="B19" s="7"/>
      <c r="C19" s="7"/>
      <c r="D19" s="7"/>
      <c r="E19" s="6"/>
      <c r="F19" s="7"/>
      <c r="G19" s="7"/>
      <c r="H19" s="7"/>
      <c r="I19" s="7"/>
    </row>
    <row r="20" customFormat="false" ht="15" hidden="false" customHeight="false" outlineLevel="0" collapsed="false">
      <c r="A20" s="7"/>
      <c r="B20" s="7"/>
      <c r="C20" s="7"/>
      <c r="D20" s="7"/>
      <c r="E20" s="6"/>
      <c r="F20" s="7"/>
      <c r="G20" s="7"/>
      <c r="H20" s="7"/>
      <c r="I20" s="7"/>
    </row>
    <row r="21" customFormat="false" ht="15" hidden="false" customHeight="false" outlineLevel="0" collapsed="false">
      <c r="A21" s="7"/>
      <c r="B21" s="7"/>
      <c r="C21" s="7"/>
      <c r="D21" s="7"/>
      <c r="E21" s="6"/>
      <c r="F21" s="7"/>
      <c r="G21" s="7"/>
      <c r="H21" s="7"/>
      <c r="I21" s="7"/>
    </row>
    <row r="22" customFormat="false" ht="15" hidden="false" customHeight="false" outlineLevel="0" collapsed="false">
      <c r="A22" s="7"/>
      <c r="B22" s="7"/>
      <c r="C22" s="7"/>
      <c r="D22" s="7"/>
      <c r="E22" s="6"/>
      <c r="F22" s="7"/>
      <c r="G22" s="7"/>
      <c r="H22" s="7"/>
      <c r="I22" s="7"/>
    </row>
    <row r="23" customFormat="false" ht="15" hidden="false" customHeight="false" outlineLevel="0" collapsed="false">
      <c r="A23" s="7"/>
      <c r="B23" s="7"/>
      <c r="C23" s="7"/>
      <c r="D23" s="7"/>
      <c r="E23" s="6"/>
      <c r="F23" s="7"/>
      <c r="G23" s="7"/>
      <c r="H23" s="7"/>
      <c r="I23" s="7"/>
    </row>
    <row r="24" customFormat="false" ht="15" hidden="false" customHeight="false" outlineLevel="0" collapsed="false">
      <c r="A24" s="7"/>
      <c r="B24" s="7"/>
      <c r="C24" s="7"/>
      <c r="D24" s="7"/>
      <c r="E24" s="6"/>
      <c r="F24" s="7"/>
      <c r="G24" s="7"/>
      <c r="H24" s="7"/>
      <c r="I24" s="7"/>
    </row>
    <row r="25" customFormat="false" ht="15" hidden="false" customHeight="false" outlineLevel="0" collapsed="false">
      <c r="A25" s="7"/>
      <c r="B25" s="7"/>
      <c r="C25" s="7"/>
      <c r="D25" s="7"/>
      <c r="E25" s="6"/>
      <c r="F25" s="7"/>
      <c r="G25" s="7"/>
      <c r="H25" s="7"/>
      <c r="I25" s="7"/>
    </row>
    <row r="26" customFormat="false" ht="15" hidden="false" customHeight="false" outlineLevel="0" collapsed="false">
      <c r="A26" s="7"/>
      <c r="B26" s="7"/>
      <c r="C26" s="7"/>
      <c r="D26" s="7"/>
      <c r="E26" s="6"/>
      <c r="F26" s="7"/>
      <c r="G26" s="7"/>
      <c r="H26" s="7"/>
      <c r="I26" s="7"/>
    </row>
    <row r="27" customFormat="false" ht="15" hidden="false" customHeight="false" outlineLevel="0" collapsed="false">
      <c r="A27" s="7"/>
      <c r="B27" s="7"/>
      <c r="C27" s="7"/>
      <c r="D27" s="7"/>
      <c r="E27" s="6"/>
      <c r="F27" s="7"/>
      <c r="G27" s="7"/>
      <c r="H27" s="7"/>
      <c r="I27" s="7"/>
    </row>
    <row r="28" customFormat="false" ht="15" hidden="false" customHeight="false" outlineLevel="0" collapsed="false">
      <c r="A28" s="7"/>
      <c r="B28" s="7"/>
      <c r="C28" s="7"/>
      <c r="D28" s="7"/>
      <c r="E28" s="6"/>
      <c r="F28" s="7"/>
      <c r="G28" s="7"/>
      <c r="H28" s="7"/>
      <c r="I28" s="7"/>
    </row>
    <row r="29" customFormat="false" ht="15" hidden="false" customHeight="false" outlineLevel="0" collapsed="false">
      <c r="A29" s="7"/>
      <c r="B29" s="7"/>
      <c r="C29" s="7"/>
      <c r="D29" s="7"/>
      <c r="E29" s="6"/>
      <c r="F29" s="7"/>
      <c r="G29" s="7"/>
      <c r="H29" s="7"/>
      <c r="I29" s="7"/>
    </row>
    <row r="30" customFormat="false" ht="15" hidden="false" customHeight="false" outlineLevel="0" collapsed="false">
      <c r="A30" s="7"/>
      <c r="B30" s="7"/>
      <c r="C30" s="7"/>
      <c r="D30" s="7"/>
      <c r="E30" s="6"/>
      <c r="F30" s="7"/>
      <c r="G30" s="7"/>
      <c r="H30" s="7"/>
      <c r="I30" s="7"/>
    </row>
    <row r="31" customFormat="false" ht="15" hidden="false" customHeight="false" outlineLevel="0" collapsed="false">
      <c r="A31" s="7"/>
      <c r="B31" s="7"/>
      <c r="C31" s="7"/>
      <c r="D31" s="7"/>
      <c r="E31" s="6"/>
      <c r="F31" s="7"/>
      <c r="G31" s="7"/>
      <c r="H31" s="7"/>
      <c r="I31" s="7"/>
    </row>
    <row r="32" customFormat="false" ht="15" hidden="false" customHeight="false" outlineLevel="0" collapsed="false">
      <c r="A32" s="7"/>
      <c r="B32" s="7"/>
      <c r="C32" s="7"/>
      <c r="D32" s="7"/>
      <c r="E32" s="6"/>
      <c r="F32" s="7"/>
      <c r="G32" s="7"/>
      <c r="H32" s="7"/>
      <c r="I32" s="7"/>
    </row>
    <row r="33" customFormat="false" ht="15" hidden="false" customHeight="false" outlineLevel="0" collapsed="false">
      <c r="A33" s="7"/>
      <c r="B33" s="7"/>
      <c r="C33" s="7"/>
      <c r="D33" s="7"/>
      <c r="E33" s="6"/>
      <c r="F33" s="7"/>
      <c r="G33" s="7"/>
      <c r="H33" s="7"/>
      <c r="I33" s="7"/>
    </row>
    <row r="34" customFormat="false" ht="15" hidden="false" customHeight="false" outlineLevel="0" collapsed="false">
      <c r="A34" s="7"/>
      <c r="B34" s="7"/>
      <c r="C34" s="7"/>
      <c r="D34" s="7"/>
      <c r="E34" s="6"/>
      <c r="F34" s="7"/>
      <c r="G34" s="7"/>
      <c r="H34" s="7"/>
      <c r="I34" s="7"/>
    </row>
    <row r="35" customFormat="false" ht="15" hidden="false" customHeight="false" outlineLevel="0" collapsed="false">
      <c r="A35" s="7"/>
      <c r="B35" s="7"/>
      <c r="C35" s="7"/>
      <c r="D35" s="7"/>
      <c r="E35" s="6"/>
      <c r="F35" s="7"/>
      <c r="G35" s="7"/>
      <c r="H35" s="7"/>
      <c r="I35" s="7"/>
    </row>
    <row r="36" customFormat="false" ht="15" hidden="false" customHeight="false" outlineLevel="0" collapsed="false">
      <c r="A36" s="7"/>
      <c r="B36" s="7"/>
      <c r="C36" s="7"/>
      <c r="D36" s="7"/>
      <c r="E36" s="6"/>
      <c r="F36" s="7"/>
      <c r="G36" s="7"/>
      <c r="H36" s="7"/>
      <c r="I36" s="7"/>
    </row>
    <row r="37" customFormat="false" ht="15" hidden="false" customHeight="false" outlineLevel="0" collapsed="false">
      <c r="A37" s="7"/>
      <c r="B37" s="7"/>
      <c r="C37" s="7"/>
      <c r="D37" s="7"/>
      <c r="E37" s="6"/>
      <c r="F37" s="7"/>
      <c r="G37" s="7"/>
      <c r="H37" s="7"/>
      <c r="I37" s="7"/>
    </row>
    <row r="38" customFormat="false" ht="15" hidden="false" customHeight="false" outlineLevel="0" collapsed="false">
      <c r="A38" s="7"/>
      <c r="B38" s="7"/>
      <c r="C38" s="7"/>
      <c r="D38" s="7"/>
      <c r="E38" s="6"/>
      <c r="F38" s="7"/>
      <c r="G38" s="7"/>
      <c r="H38" s="7"/>
      <c r="I38" s="7"/>
    </row>
    <row r="39" customFormat="false" ht="15" hidden="false" customHeight="false" outlineLevel="0" collapsed="false">
      <c r="A39" s="7"/>
      <c r="B39" s="7"/>
      <c r="C39" s="7"/>
      <c r="D39" s="7"/>
      <c r="E39" s="6"/>
      <c r="F39" s="7"/>
      <c r="G39" s="7"/>
      <c r="H39" s="7"/>
      <c r="I39" s="7"/>
    </row>
    <row r="40" customFormat="false" ht="15" hidden="false" customHeight="false" outlineLevel="0" collapsed="false">
      <c r="A40" s="7"/>
      <c r="B40" s="7"/>
      <c r="C40" s="7"/>
      <c r="D40" s="7"/>
      <c r="E40" s="6"/>
      <c r="F40" s="7"/>
      <c r="G40" s="7"/>
      <c r="H40" s="7"/>
      <c r="I40" s="7"/>
    </row>
    <row r="41" customFormat="false" ht="15" hidden="false" customHeight="false" outlineLevel="0" collapsed="false">
      <c r="A41" s="7"/>
      <c r="B41" s="7"/>
      <c r="C41" s="7"/>
      <c r="D41" s="7"/>
      <c r="E41" s="6"/>
      <c r="F41" s="7"/>
      <c r="G41" s="7"/>
      <c r="H41" s="7"/>
      <c r="I41" s="7"/>
    </row>
    <row r="42" customFormat="false" ht="15" hidden="false" customHeight="false" outlineLevel="0" collapsed="false">
      <c r="A42" s="7"/>
      <c r="B42" s="7"/>
      <c r="C42" s="7"/>
      <c r="D42" s="7"/>
      <c r="E42" s="6"/>
      <c r="F42" s="7"/>
      <c r="G42" s="7"/>
      <c r="H42" s="7"/>
      <c r="I42" s="7"/>
    </row>
    <row r="43" customFormat="false" ht="15" hidden="false" customHeight="false" outlineLevel="0" collapsed="false">
      <c r="A43" s="7"/>
      <c r="B43" s="7"/>
      <c r="C43" s="7"/>
      <c r="D43" s="7"/>
      <c r="E43" s="6"/>
      <c r="F43" s="7"/>
      <c r="G43" s="7"/>
      <c r="H43" s="7"/>
      <c r="I43" s="7"/>
    </row>
    <row r="44" customFormat="false" ht="15" hidden="false" customHeight="false" outlineLevel="0" collapsed="false">
      <c r="A44" s="7"/>
      <c r="B44" s="7"/>
      <c r="C44" s="7"/>
      <c r="D44" s="7"/>
      <c r="E44" s="6"/>
      <c r="F44" s="7"/>
      <c r="G44" s="7"/>
      <c r="H44" s="7"/>
      <c r="I44" s="7"/>
    </row>
    <row r="45" customFormat="false" ht="15" hidden="false" customHeight="false" outlineLevel="0" collapsed="false">
      <c r="A45" s="7"/>
      <c r="B45" s="7"/>
      <c r="C45" s="7"/>
      <c r="D45" s="7"/>
      <c r="E45" s="6"/>
      <c r="F45" s="7"/>
      <c r="G45" s="7"/>
      <c r="H45" s="7"/>
      <c r="I45" s="7"/>
    </row>
    <row r="46" customFormat="false" ht="15" hidden="false" customHeight="false" outlineLevel="0" collapsed="false">
      <c r="A46" s="7"/>
      <c r="B46" s="7"/>
      <c r="C46" s="7"/>
      <c r="D46" s="7"/>
      <c r="E46" s="6"/>
      <c r="F46" s="7"/>
      <c r="G46" s="7"/>
      <c r="H46" s="7"/>
      <c r="I46" s="7"/>
    </row>
    <row r="47" customFormat="false" ht="15" hidden="false" customHeight="false" outlineLevel="0" collapsed="false">
      <c r="A47" s="7"/>
      <c r="B47" s="7"/>
      <c r="C47" s="7"/>
      <c r="D47" s="7"/>
      <c r="E47" s="6"/>
      <c r="F47" s="7"/>
      <c r="G47" s="7"/>
      <c r="H47" s="7"/>
      <c r="I47" s="7"/>
    </row>
    <row r="48" customFormat="false" ht="15" hidden="false" customHeight="false" outlineLevel="0" collapsed="false">
      <c r="A48" s="7"/>
      <c r="B48" s="7"/>
      <c r="C48" s="7"/>
      <c r="D48" s="7"/>
      <c r="E48" s="6"/>
      <c r="F48" s="7"/>
      <c r="G48" s="7"/>
      <c r="H48" s="7"/>
      <c r="I48" s="7"/>
    </row>
    <row r="49" customFormat="false" ht="15" hidden="false" customHeight="false" outlineLevel="0" collapsed="false">
      <c r="A49" s="7"/>
      <c r="B49" s="7"/>
      <c r="C49" s="7"/>
      <c r="D49" s="7"/>
      <c r="E49" s="6"/>
      <c r="F49" s="7"/>
      <c r="G49" s="7"/>
      <c r="H49" s="7"/>
      <c r="I49" s="7"/>
    </row>
    <row r="50" customFormat="false" ht="15" hidden="false" customHeight="false" outlineLevel="0" collapsed="false">
      <c r="A50" s="7"/>
      <c r="B50" s="7"/>
      <c r="C50" s="7"/>
      <c r="D50" s="7"/>
      <c r="E50" s="6"/>
      <c r="F50" s="7"/>
      <c r="G50" s="7"/>
      <c r="H50" s="7"/>
      <c r="I50" s="7"/>
    </row>
    <row r="51" customFormat="false" ht="15" hidden="false" customHeight="false" outlineLevel="0" collapsed="false">
      <c r="A51" s="7"/>
      <c r="B51" s="7"/>
      <c r="C51" s="7"/>
      <c r="D51" s="7"/>
      <c r="E51" s="6"/>
      <c r="F51" s="7"/>
      <c r="G51" s="7"/>
      <c r="H51" s="7"/>
      <c r="I51" s="7"/>
    </row>
    <row r="52" customFormat="false" ht="15" hidden="false" customHeight="false" outlineLevel="0" collapsed="false">
      <c r="A52" s="7"/>
      <c r="B52" s="7"/>
      <c r="C52" s="7"/>
      <c r="D52" s="7"/>
      <c r="E52" s="6"/>
      <c r="F52" s="7"/>
      <c r="G52" s="7"/>
      <c r="H52" s="7"/>
      <c r="I52" s="7"/>
    </row>
    <row r="53" customFormat="false" ht="15" hidden="false" customHeight="false" outlineLevel="0" collapsed="false">
      <c r="A53" s="7"/>
      <c r="B53" s="7"/>
      <c r="C53" s="7"/>
      <c r="D53" s="7"/>
      <c r="E53" s="6"/>
      <c r="F53" s="7"/>
      <c r="G53" s="7"/>
      <c r="H53" s="7"/>
      <c r="I53" s="7"/>
    </row>
    <row r="54" customFormat="false" ht="15" hidden="false" customHeight="false" outlineLevel="0" collapsed="false">
      <c r="A54" s="7"/>
      <c r="B54" s="7"/>
      <c r="C54" s="7"/>
      <c r="D54" s="7"/>
      <c r="E54" s="6"/>
      <c r="F54" s="7"/>
      <c r="G54" s="7"/>
      <c r="H54" s="7"/>
      <c r="I54" s="7"/>
    </row>
    <row r="55" customFormat="false" ht="15" hidden="false" customHeight="false" outlineLevel="0" collapsed="false">
      <c r="A55" s="7"/>
      <c r="B55" s="7"/>
      <c r="C55" s="7"/>
      <c r="D55" s="7"/>
      <c r="E55" s="6"/>
      <c r="F55" s="7"/>
      <c r="G55" s="7"/>
      <c r="H55" s="7"/>
      <c r="I55" s="7"/>
    </row>
    <row r="56" customFormat="false" ht="15" hidden="false" customHeight="false" outlineLevel="0" collapsed="false">
      <c r="A56" s="7"/>
      <c r="B56" s="7"/>
      <c r="C56" s="7"/>
      <c r="D56" s="7"/>
      <c r="E56" s="6"/>
      <c r="F56" s="7"/>
      <c r="G56" s="7"/>
      <c r="H56" s="7"/>
      <c r="I56" s="7"/>
    </row>
    <row r="57" customFormat="false" ht="15" hidden="false" customHeight="false" outlineLevel="0" collapsed="false">
      <c r="A57" s="7"/>
      <c r="B57" s="7"/>
      <c r="C57" s="7"/>
      <c r="D57" s="7"/>
      <c r="E57" s="6"/>
      <c r="F57" s="7"/>
      <c r="G57" s="7"/>
      <c r="H57" s="7"/>
      <c r="I57" s="7"/>
    </row>
    <row r="58" customFormat="false" ht="15" hidden="false" customHeight="false" outlineLevel="0" collapsed="false">
      <c r="A58" s="7"/>
      <c r="B58" s="7"/>
      <c r="C58" s="7"/>
      <c r="D58" s="7"/>
      <c r="E58" s="6"/>
      <c r="F58" s="7"/>
      <c r="G58" s="7"/>
      <c r="H58" s="7"/>
      <c r="I58" s="7"/>
    </row>
    <row r="59" customFormat="false" ht="15" hidden="false" customHeight="false" outlineLevel="0" collapsed="false">
      <c r="A59" s="7"/>
      <c r="B59" s="7"/>
      <c r="C59" s="7"/>
      <c r="D59" s="7"/>
      <c r="E59" s="6"/>
      <c r="F59" s="7"/>
      <c r="G59" s="7"/>
      <c r="H59" s="7"/>
      <c r="I59" s="7"/>
    </row>
    <row r="60" customFormat="false" ht="15" hidden="false" customHeight="false" outlineLevel="0" collapsed="false">
      <c r="A60" s="7"/>
      <c r="B60" s="7"/>
      <c r="C60" s="7"/>
      <c r="D60" s="7"/>
      <c r="E60" s="6"/>
      <c r="F60" s="7"/>
      <c r="G60" s="7"/>
      <c r="H60" s="7"/>
      <c r="I60" s="7"/>
    </row>
    <row r="61" customFormat="false" ht="15" hidden="false" customHeight="false" outlineLevel="0" collapsed="false">
      <c r="A61" s="7"/>
      <c r="B61" s="7"/>
      <c r="C61" s="7"/>
      <c r="D61" s="7"/>
      <c r="E61" s="6"/>
      <c r="F61" s="7"/>
      <c r="G61" s="7"/>
      <c r="H61" s="7"/>
      <c r="I61" s="7"/>
    </row>
    <row r="62" customFormat="false" ht="15" hidden="false" customHeight="false" outlineLevel="0" collapsed="false">
      <c r="A62" s="7"/>
      <c r="B62" s="7"/>
      <c r="C62" s="7"/>
      <c r="D62" s="7"/>
      <c r="E62" s="6"/>
      <c r="F62" s="7"/>
      <c r="G62" s="7"/>
      <c r="H62" s="7"/>
      <c r="I62" s="7"/>
    </row>
    <row r="63" customFormat="false" ht="15" hidden="false" customHeight="false" outlineLevel="0" collapsed="false">
      <c r="A63" s="7"/>
      <c r="B63" s="7"/>
      <c r="C63" s="7"/>
      <c r="D63" s="7"/>
      <c r="E63" s="6"/>
      <c r="F63" s="7"/>
      <c r="G63" s="7"/>
      <c r="H63" s="7"/>
      <c r="I63" s="7"/>
    </row>
    <row r="64" customFormat="false" ht="15" hidden="false" customHeight="false" outlineLevel="0" collapsed="false">
      <c r="A64" s="7"/>
      <c r="B64" s="7"/>
      <c r="C64" s="7"/>
      <c r="D64" s="7"/>
      <c r="E64" s="6"/>
      <c r="F64" s="7"/>
      <c r="G64" s="7"/>
      <c r="H64" s="7"/>
      <c r="I64" s="7"/>
    </row>
    <row r="65" customFormat="false" ht="15" hidden="false" customHeight="false" outlineLevel="0" collapsed="false">
      <c r="A65" s="7"/>
      <c r="B65" s="7"/>
      <c r="C65" s="7"/>
      <c r="D65" s="7"/>
      <c r="E65" s="6"/>
      <c r="F65" s="7"/>
      <c r="G65" s="7"/>
      <c r="H65" s="7"/>
      <c r="I65" s="7"/>
    </row>
    <row r="66" customFormat="false" ht="15" hidden="false" customHeight="false" outlineLevel="0" collapsed="false">
      <c r="A66" s="7"/>
      <c r="B66" s="7"/>
      <c r="C66" s="7"/>
      <c r="D66" s="7"/>
      <c r="E66" s="6"/>
      <c r="F66" s="7"/>
      <c r="G66" s="7"/>
      <c r="H66" s="7"/>
      <c r="I66" s="7"/>
    </row>
    <row r="67" customFormat="false" ht="15" hidden="false" customHeight="false" outlineLevel="0" collapsed="false">
      <c r="A67" s="7"/>
      <c r="B67" s="7"/>
      <c r="C67" s="7"/>
      <c r="D67" s="7"/>
      <c r="E67" s="6"/>
      <c r="F67" s="7"/>
      <c r="G67" s="7"/>
      <c r="H67" s="7"/>
      <c r="I67" s="7"/>
    </row>
    <row r="68" customFormat="false" ht="15" hidden="false" customHeight="false" outlineLevel="0" collapsed="false">
      <c r="A68" s="7"/>
      <c r="B68" s="7"/>
      <c r="C68" s="7"/>
      <c r="D68" s="7"/>
      <c r="E68" s="6"/>
      <c r="F68" s="7"/>
      <c r="G68" s="7"/>
      <c r="H68" s="7"/>
      <c r="I68" s="7"/>
    </row>
    <row r="69" customFormat="false" ht="15" hidden="false" customHeight="false" outlineLevel="0" collapsed="false">
      <c r="A69" s="7"/>
      <c r="B69" s="7"/>
      <c r="C69" s="7"/>
      <c r="D69" s="7"/>
      <c r="E69" s="6"/>
      <c r="F69" s="7"/>
      <c r="G69" s="7"/>
      <c r="H69" s="7"/>
      <c r="I69" s="7"/>
    </row>
    <row r="70" customFormat="false" ht="15" hidden="false" customHeight="false" outlineLevel="0" collapsed="false">
      <c r="A70" s="7"/>
      <c r="B70" s="7"/>
      <c r="C70" s="7"/>
      <c r="D70" s="7"/>
      <c r="E70" s="6"/>
      <c r="F70" s="7"/>
      <c r="G70" s="7"/>
      <c r="H70" s="7"/>
      <c r="I70" s="7"/>
    </row>
    <row r="71" customFormat="false" ht="15" hidden="false" customHeight="false" outlineLevel="0" collapsed="false">
      <c r="A71" s="7"/>
      <c r="B71" s="7"/>
      <c r="C71" s="7"/>
      <c r="D71" s="7"/>
      <c r="E71" s="6"/>
      <c r="F71" s="7"/>
      <c r="G71" s="7"/>
      <c r="H71" s="7"/>
      <c r="I71" s="7"/>
    </row>
    <row r="72" customFormat="false" ht="15" hidden="false" customHeight="false" outlineLevel="0" collapsed="false">
      <c r="A72" s="7"/>
      <c r="B72" s="7"/>
      <c r="C72" s="7"/>
      <c r="D72" s="7"/>
      <c r="E72" s="6"/>
      <c r="F72" s="7"/>
      <c r="G72" s="7"/>
      <c r="H72" s="7"/>
      <c r="I72" s="7"/>
    </row>
    <row r="73" customFormat="false" ht="15" hidden="false" customHeight="false" outlineLevel="0" collapsed="false">
      <c r="A73" s="7"/>
      <c r="B73" s="7"/>
      <c r="C73" s="7"/>
      <c r="D73" s="7"/>
      <c r="E73" s="6"/>
      <c r="F73" s="7"/>
      <c r="G73" s="7"/>
      <c r="H73" s="7"/>
      <c r="I73" s="7"/>
    </row>
    <row r="74" customFormat="false" ht="15" hidden="false" customHeight="false" outlineLevel="0" collapsed="false">
      <c r="A74" s="7"/>
      <c r="B74" s="7"/>
      <c r="C74" s="7"/>
      <c r="D74" s="7"/>
      <c r="E74" s="6"/>
      <c r="F74" s="7"/>
      <c r="G74" s="7"/>
      <c r="H74" s="7"/>
      <c r="I74" s="7"/>
    </row>
    <row r="75" customFormat="false" ht="15" hidden="false" customHeight="false" outlineLevel="0" collapsed="false">
      <c r="A75" s="7"/>
      <c r="B75" s="7"/>
      <c r="C75" s="7"/>
      <c r="D75" s="7"/>
      <c r="E75" s="6"/>
      <c r="F75" s="7"/>
      <c r="G75" s="7"/>
      <c r="H75" s="7"/>
      <c r="I75" s="7"/>
    </row>
    <row r="76" customFormat="false" ht="15" hidden="false" customHeight="false" outlineLevel="0" collapsed="false">
      <c r="A76" s="7"/>
      <c r="B76" s="7"/>
      <c r="C76" s="7"/>
      <c r="D76" s="7"/>
      <c r="E76" s="6"/>
      <c r="F76" s="7"/>
      <c r="G76" s="7"/>
      <c r="H76" s="7"/>
      <c r="I76" s="7"/>
    </row>
    <row r="77" customFormat="false" ht="15" hidden="false" customHeight="false" outlineLevel="0" collapsed="false">
      <c r="A77" s="7"/>
      <c r="B77" s="7"/>
      <c r="C77" s="7"/>
      <c r="D77" s="7"/>
      <c r="E77" s="6"/>
      <c r="F77" s="7"/>
      <c r="G77" s="7"/>
      <c r="H77" s="7"/>
      <c r="I77" s="7"/>
    </row>
    <row r="78" customFormat="false" ht="15" hidden="false" customHeight="false" outlineLevel="0" collapsed="false">
      <c r="A78" s="7"/>
      <c r="B78" s="7"/>
      <c r="C78" s="7"/>
      <c r="D78" s="7"/>
      <c r="E78" s="6"/>
      <c r="F78" s="7"/>
      <c r="G78" s="7"/>
      <c r="H78" s="7"/>
      <c r="I78" s="7"/>
    </row>
    <row r="79" customFormat="false" ht="15" hidden="false" customHeight="false" outlineLevel="0" collapsed="false">
      <c r="A79" s="7"/>
      <c r="B79" s="7"/>
      <c r="C79" s="7"/>
      <c r="D79" s="7"/>
      <c r="E79" s="6"/>
      <c r="F79" s="7"/>
      <c r="G79" s="7"/>
      <c r="H79" s="7"/>
      <c r="I79" s="7"/>
    </row>
    <row r="80" customFormat="false" ht="15" hidden="false" customHeight="false" outlineLevel="0" collapsed="false">
      <c r="A80" s="7"/>
      <c r="B80" s="7"/>
      <c r="C80" s="7"/>
      <c r="D80" s="7"/>
      <c r="E80" s="6"/>
      <c r="F80" s="7"/>
      <c r="G80" s="7"/>
      <c r="H80" s="7"/>
      <c r="I80" s="7"/>
    </row>
    <row r="81" customFormat="false" ht="15" hidden="false" customHeight="false" outlineLevel="0" collapsed="false">
      <c r="A81" s="7"/>
      <c r="B81" s="7"/>
      <c r="C81" s="7"/>
      <c r="D81" s="7"/>
      <c r="E81" s="6"/>
      <c r="F81" s="7"/>
      <c r="G81" s="7"/>
      <c r="H81" s="7"/>
      <c r="I81" s="7"/>
    </row>
    <row r="82" customFormat="false" ht="15" hidden="false" customHeight="false" outlineLevel="0" collapsed="false">
      <c r="A82" s="7"/>
      <c r="B82" s="7"/>
      <c r="C82" s="7"/>
      <c r="D82" s="7"/>
      <c r="E82" s="6"/>
      <c r="F82" s="7"/>
      <c r="G82" s="7"/>
      <c r="H82" s="7"/>
      <c r="I82" s="7"/>
    </row>
    <row r="83" customFormat="false" ht="15" hidden="false" customHeight="false" outlineLevel="0" collapsed="false">
      <c r="A83" s="7"/>
      <c r="B83" s="7"/>
      <c r="C83" s="7"/>
      <c r="D83" s="7"/>
      <c r="E83" s="6"/>
      <c r="F83" s="7"/>
      <c r="G83" s="7"/>
      <c r="H83" s="7"/>
      <c r="I83" s="7"/>
    </row>
    <row r="84" customFormat="false" ht="15" hidden="false" customHeight="false" outlineLevel="0" collapsed="false">
      <c r="A84" s="7"/>
      <c r="B84" s="7"/>
      <c r="C84" s="7"/>
      <c r="D84" s="7"/>
      <c r="E84" s="6"/>
      <c r="F84" s="7"/>
      <c r="G84" s="7"/>
      <c r="H84" s="7"/>
      <c r="I84" s="7"/>
    </row>
    <row r="85" customFormat="false" ht="15" hidden="false" customHeight="false" outlineLevel="0" collapsed="false">
      <c r="A85" s="7"/>
      <c r="B85" s="7"/>
      <c r="C85" s="7"/>
      <c r="D85" s="7"/>
      <c r="E85" s="6"/>
      <c r="F85" s="7"/>
      <c r="G85" s="7"/>
      <c r="H85" s="7"/>
      <c r="I85" s="7"/>
    </row>
    <row r="86" customFormat="false" ht="15" hidden="false" customHeight="false" outlineLevel="0" collapsed="false">
      <c r="A86" s="7"/>
      <c r="B86" s="7"/>
      <c r="C86" s="7"/>
      <c r="D86" s="7"/>
      <c r="E86" s="6"/>
      <c r="F86" s="7"/>
      <c r="G86" s="7"/>
      <c r="H86" s="7"/>
      <c r="I86" s="7"/>
    </row>
    <row r="87" customFormat="false" ht="15" hidden="false" customHeight="false" outlineLevel="0" collapsed="false">
      <c r="A87" s="7"/>
      <c r="B87" s="7"/>
      <c r="C87" s="7"/>
      <c r="D87" s="7"/>
      <c r="E87" s="6"/>
      <c r="F87" s="7"/>
      <c r="G87" s="7"/>
      <c r="H87" s="7"/>
      <c r="I87" s="7"/>
    </row>
    <row r="88" customFormat="false" ht="15" hidden="false" customHeight="false" outlineLevel="0" collapsed="false">
      <c r="A88" s="7"/>
      <c r="B88" s="7"/>
      <c r="C88" s="7"/>
      <c r="D88" s="7"/>
      <c r="E88" s="6"/>
      <c r="F88" s="7"/>
      <c r="G88" s="7"/>
      <c r="H88" s="7"/>
      <c r="I88" s="7"/>
    </row>
    <row r="89" customFormat="false" ht="15" hidden="false" customHeight="false" outlineLevel="0" collapsed="false">
      <c r="A89" s="7"/>
      <c r="B89" s="7"/>
      <c r="C89" s="7"/>
      <c r="D89" s="7"/>
      <c r="E89" s="6"/>
      <c r="F89" s="7"/>
      <c r="G89" s="7"/>
      <c r="H89" s="7"/>
      <c r="I89" s="7"/>
    </row>
    <row r="90" customFormat="false" ht="15" hidden="false" customHeight="false" outlineLevel="0" collapsed="false">
      <c r="A90" s="7"/>
      <c r="B90" s="7"/>
      <c r="C90" s="7"/>
      <c r="D90" s="7"/>
      <c r="E90" s="6"/>
      <c r="F90" s="7"/>
      <c r="G90" s="7"/>
      <c r="H90" s="7"/>
      <c r="I90" s="7"/>
    </row>
    <row r="91" customFormat="false" ht="15" hidden="false" customHeight="false" outlineLevel="0" collapsed="false">
      <c r="A91" s="7"/>
      <c r="B91" s="7"/>
      <c r="C91" s="7"/>
      <c r="D91" s="7"/>
      <c r="E91" s="6"/>
      <c r="F91" s="7"/>
      <c r="G91" s="7"/>
      <c r="H91" s="7"/>
      <c r="I91" s="7"/>
    </row>
    <row r="92" customFormat="false" ht="15" hidden="false" customHeight="false" outlineLevel="0" collapsed="false">
      <c r="A92" s="7"/>
      <c r="B92" s="7"/>
      <c r="C92" s="7"/>
      <c r="D92" s="7"/>
      <c r="E92" s="6"/>
      <c r="F92" s="7"/>
      <c r="G92" s="7"/>
      <c r="H92" s="7"/>
      <c r="I92" s="7"/>
    </row>
    <row r="93" customFormat="false" ht="15" hidden="false" customHeight="false" outlineLevel="0" collapsed="false">
      <c r="A93" s="7"/>
      <c r="B93" s="7"/>
      <c r="C93" s="7"/>
      <c r="D93" s="7"/>
      <c r="E93" s="6"/>
      <c r="F93" s="7"/>
      <c r="G93" s="7"/>
      <c r="H93" s="7"/>
      <c r="I93" s="7"/>
    </row>
    <row r="94" customFormat="false" ht="15" hidden="false" customHeight="false" outlineLevel="0" collapsed="false">
      <c r="A94" s="7"/>
      <c r="B94" s="7"/>
      <c r="C94" s="7"/>
      <c r="D94" s="7"/>
      <c r="E94" s="6"/>
      <c r="F94" s="7"/>
      <c r="G94" s="7"/>
      <c r="H94" s="7"/>
      <c r="I94" s="7"/>
    </row>
    <row r="95" customFormat="false" ht="15" hidden="false" customHeight="false" outlineLevel="0" collapsed="false">
      <c r="A95" s="7"/>
      <c r="B95" s="7"/>
      <c r="C95" s="7"/>
      <c r="D95" s="7"/>
      <c r="E95" s="6"/>
      <c r="F95" s="7"/>
      <c r="G95" s="7"/>
      <c r="H95" s="7"/>
      <c r="I95" s="7"/>
    </row>
    <row r="96" customFormat="false" ht="15" hidden="false" customHeight="false" outlineLevel="0" collapsed="false">
      <c r="A96" s="7"/>
      <c r="B96" s="7"/>
      <c r="C96" s="7"/>
      <c r="D96" s="7"/>
      <c r="E96" s="6"/>
      <c r="F96" s="7"/>
      <c r="G96" s="7"/>
      <c r="H96" s="7"/>
      <c r="I96" s="7"/>
    </row>
    <row r="97" customFormat="false" ht="15" hidden="false" customHeight="false" outlineLevel="0" collapsed="false">
      <c r="A97" s="7"/>
      <c r="B97" s="7"/>
      <c r="C97" s="7"/>
      <c r="D97" s="7"/>
      <c r="E97" s="6"/>
      <c r="F97" s="7"/>
      <c r="G97" s="7"/>
      <c r="H97" s="7"/>
      <c r="I97" s="7"/>
    </row>
    <row r="98" customFormat="false" ht="15" hidden="false" customHeight="false" outlineLevel="0" collapsed="false">
      <c r="A98" s="7"/>
      <c r="B98" s="7"/>
      <c r="C98" s="7"/>
      <c r="D98" s="7"/>
      <c r="E98" s="6"/>
      <c r="F98" s="7"/>
      <c r="G98" s="7"/>
      <c r="H98" s="7"/>
      <c r="I98" s="7"/>
    </row>
    <row r="99" customFormat="false" ht="15" hidden="false" customHeight="false" outlineLevel="0" collapsed="false">
      <c r="A99" s="7"/>
      <c r="B99" s="7"/>
      <c r="C99" s="7"/>
      <c r="D99" s="7"/>
      <c r="E99" s="6"/>
      <c r="F99" s="7"/>
      <c r="G99" s="7"/>
      <c r="H99" s="7"/>
      <c r="I99" s="7"/>
    </row>
    <row r="100" customFormat="false" ht="15" hidden="false" customHeight="false" outlineLevel="0" collapsed="false">
      <c r="A100" s="7"/>
      <c r="B100" s="7"/>
      <c r="C100" s="7"/>
      <c r="D100" s="7"/>
      <c r="E100" s="6"/>
      <c r="F100" s="7"/>
      <c r="G100" s="7"/>
      <c r="H100" s="7"/>
      <c r="I100" s="7"/>
    </row>
    <row r="101" customFormat="false" ht="15" hidden="false" customHeight="false" outlineLevel="0" collapsed="false">
      <c r="A101" s="7"/>
      <c r="B101" s="7"/>
      <c r="C101" s="7"/>
      <c r="D101" s="7"/>
      <c r="E101" s="6"/>
      <c r="F101" s="7"/>
      <c r="G101" s="7"/>
      <c r="H101" s="7"/>
      <c r="I101" s="7"/>
    </row>
    <row r="102" customFormat="false" ht="15" hidden="false" customHeight="false" outlineLevel="0" collapsed="false">
      <c r="A102" s="7"/>
      <c r="B102" s="7"/>
      <c r="C102" s="7"/>
      <c r="D102" s="7"/>
      <c r="E102" s="6"/>
      <c r="F102" s="7"/>
      <c r="G102" s="7"/>
      <c r="H102" s="7"/>
      <c r="I102" s="7"/>
    </row>
    <row r="103" customFormat="false" ht="15" hidden="false" customHeight="false" outlineLevel="0" collapsed="false">
      <c r="A103" s="7"/>
      <c r="B103" s="7"/>
      <c r="C103" s="7"/>
      <c r="D103" s="7"/>
      <c r="E103" s="6"/>
      <c r="F103" s="7"/>
      <c r="G103" s="7"/>
      <c r="H103" s="7"/>
      <c r="I103" s="7"/>
    </row>
    <row r="104" customFormat="false" ht="15" hidden="false" customHeight="false" outlineLevel="0" collapsed="false">
      <c r="A104" s="7"/>
      <c r="B104" s="7"/>
      <c r="C104" s="7"/>
      <c r="D104" s="7"/>
      <c r="E104" s="6"/>
      <c r="F104" s="7"/>
      <c r="G104" s="7"/>
      <c r="H104" s="7"/>
      <c r="I104" s="7"/>
    </row>
    <row r="105" customFormat="false" ht="15" hidden="false" customHeight="false" outlineLevel="0" collapsed="false">
      <c r="A105" s="7"/>
      <c r="B105" s="7"/>
      <c r="C105" s="7"/>
      <c r="D105" s="7"/>
      <c r="E105" s="6"/>
      <c r="F105" s="7"/>
      <c r="G105" s="7"/>
      <c r="H105" s="7"/>
      <c r="I105" s="7"/>
    </row>
    <row r="106" customFormat="false" ht="15" hidden="false" customHeight="false" outlineLevel="0" collapsed="false">
      <c r="A106" s="7"/>
      <c r="B106" s="7"/>
      <c r="C106" s="7"/>
      <c r="D106" s="7"/>
      <c r="E106" s="6"/>
      <c r="F106" s="7"/>
      <c r="G106" s="7"/>
      <c r="H106" s="7"/>
      <c r="I106" s="7"/>
    </row>
    <row r="107" customFormat="false" ht="15" hidden="false" customHeight="false" outlineLevel="0" collapsed="false">
      <c r="A107" s="7"/>
      <c r="B107" s="7"/>
      <c r="C107" s="7"/>
      <c r="D107" s="7"/>
      <c r="E107" s="6"/>
      <c r="F107" s="7"/>
      <c r="G107" s="7"/>
      <c r="H107" s="7"/>
      <c r="I107" s="7"/>
    </row>
    <row r="108" customFormat="false" ht="15" hidden="false" customHeight="false" outlineLevel="0" collapsed="false">
      <c r="A108" s="7"/>
      <c r="B108" s="7"/>
      <c r="C108" s="7"/>
      <c r="D108" s="7"/>
      <c r="E108" s="6"/>
      <c r="F108" s="7"/>
      <c r="G108" s="7"/>
      <c r="H108" s="7"/>
      <c r="I108" s="7"/>
    </row>
    <row r="109" customFormat="false" ht="15" hidden="false" customHeight="false" outlineLevel="0" collapsed="false">
      <c r="A109" s="7"/>
      <c r="B109" s="7"/>
      <c r="C109" s="7"/>
      <c r="D109" s="7"/>
      <c r="E109" s="6"/>
      <c r="F109" s="7"/>
      <c r="G109" s="7"/>
      <c r="H109" s="7"/>
      <c r="I109" s="7"/>
    </row>
    <row r="110" customFormat="false" ht="15" hidden="false" customHeight="false" outlineLevel="0" collapsed="false">
      <c r="A110" s="7"/>
      <c r="B110" s="7"/>
      <c r="C110" s="7"/>
      <c r="D110" s="7"/>
      <c r="E110" s="6"/>
      <c r="F110" s="7"/>
      <c r="G110" s="7"/>
      <c r="H110" s="7"/>
      <c r="I110" s="7"/>
    </row>
    <row r="111" customFormat="false" ht="15" hidden="false" customHeight="false" outlineLevel="0" collapsed="false">
      <c r="A111" s="7"/>
      <c r="B111" s="7"/>
      <c r="C111" s="7"/>
      <c r="D111" s="7"/>
      <c r="E111" s="6"/>
      <c r="F111" s="7"/>
      <c r="G111" s="7"/>
      <c r="H111" s="7"/>
      <c r="I111" s="7"/>
    </row>
    <row r="112" customFormat="false" ht="15" hidden="false" customHeight="false" outlineLevel="0" collapsed="false">
      <c r="A112" s="7"/>
      <c r="B112" s="7"/>
      <c r="C112" s="7"/>
      <c r="D112" s="7"/>
      <c r="E112" s="6"/>
      <c r="F112" s="7"/>
      <c r="G112" s="7"/>
      <c r="H112" s="7"/>
      <c r="I112" s="7"/>
    </row>
    <row r="113" customFormat="false" ht="15" hidden="false" customHeight="false" outlineLevel="0" collapsed="false">
      <c r="A113" s="7"/>
      <c r="B113" s="7"/>
      <c r="C113" s="7"/>
      <c r="D113" s="7"/>
      <c r="E113" s="6"/>
      <c r="F113" s="7"/>
      <c r="G113" s="7"/>
      <c r="H113" s="7"/>
      <c r="I113" s="7"/>
    </row>
    <row r="114" customFormat="false" ht="15" hidden="false" customHeight="false" outlineLevel="0" collapsed="false">
      <c r="A114" s="7"/>
      <c r="B114" s="7"/>
      <c r="C114" s="7"/>
      <c r="D114" s="7"/>
      <c r="E114" s="6"/>
      <c r="F114" s="7"/>
      <c r="G114" s="7"/>
      <c r="H114" s="7"/>
      <c r="I114" s="7"/>
    </row>
    <row r="115" customFormat="false" ht="15" hidden="false" customHeight="false" outlineLevel="0" collapsed="false">
      <c r="A115" s="7"/>
      <c r="B115" s="7"/>
      <c r="C115" s="7"/>
      <c r="D115" s="7"/>
      <c r="E115" s="6"/>
      <c r="F115" s="7"/>
      <c r="G115" s="7"/>
      <c r="H115" s="7"/>
      <c r="I115" s="7"/>
    </row>
    <row r="116" customFormat="false" ht="15" hidden="false" customHeight="false" outlineLevel="0" collapsed="false">
      <c r="A116" s="7"/>
      <c r="B116" s="7"/>
      <c r="C116" s="7"/>
      <c r="D116" s="7"/>
      <c r="E116" s="6"/>
      <c r="F116" s="7"/>
      <c r="G116" s="7"/>
      <c r="H116" s="7"/>
      <c r="I116" s="7"/>
    </row>
    <row r="117" customFormat="false" ht="15" hidden="false" customHeight="false" outlineLevel="0" collapsed="false">
      <c r="A117" s="7"/>
      <c r="B117" s="7"/>
      <c r="C117" s="7"/>
      <c r="D117" s="7"/>
      <c r="E117" s="6"/>
      <c r="F117" s="7"/>
      <c r="G117" s="7"/>
      <c r="H117" s="7"/>
      <c r="I117" s="7"/>
    </row>
    <row r="118" customFormat="false" ht="15" hidden="false" customHeight="false" outlineLevel="0" collapsed="false">
      <c r="A118" s="7"/>
      <c r="B118" s="7"/>
      <c r="C118" s="7"/>
      <c r="D118" s="7"/>
      <c r="E118" s="6"/>
      <c r="F118" s="7"/>
      <c r="G118" s="7"/>
      <c r="H118" s="7"/>
      <c r="I118" s="7"/>
    </row>
    <row r="119" customFormat="false" ht="15" hidden="false" customHeight="false" outlineLevel="0" collapsed="false">
      <c r="A119" s="7"/>
      <c r="B119" s="7"/>
      <c r="C119" s="7"/>
      <c r="D119" s="7"/>
      <c r="E119" s="6"/>
      <c r="F119" s="7"/>
      <c r="G119" s="7"/>
      <c r="H119" s="7"/>
      <c r="I119" s="7"/>
    </row>
    <row r="120" customFormat="false" ht="15" hidden="false" customHeight="false" outlineLevel="0" collapsed="false">
      <c r="A120" s="7"/>
      <c r="B120" s="7"/>
      <c r="C120" s="7"/>
      <c r="D120" s="7"/>
      <c r="E120" s="6"/>
      <c r="F120" s="7"/>
      <c r="G120" s="7"/>
      <c r="H120" s="7"/>
      <c r="I120" s="7"/>
    </row>
    <row r="121" customFormat="false" ht="15" hidden="false" customHeight="false" outlineLevel="0" collapsed="false">
      <c r="A121" s="7"/>
      <c r="B121" s="7"/>
      <c r="C121" s="7"/>
      <c r="D121" s="7"/>
      <c r="E121" s="6"/>
      <c r="F121" s="7"/>
      <c r="G121" s="7"/>
      <c r="H121" s="7"/>
      <c r="I121" s="7"/>
    </row>
    <row r="122" customFormat="false" ht="15" hidden="false" customHeight="false" outlineLevel="0" collapsed="false">
      <c r="A122" s="7"/>
      <c r="B122" s="7"/>
      <c r="C122" s="7"/>
      <c r="D122" s="7"/>
      <c r="E122" s="6"/>
      <c r="F122" s="7"/>
      <c r="G122" s="7"/>
      <c r="H122" s="7"/>
      <c r="I122" s="7"/>
    </row>
    <row r="123" customFormat="false" ht="15" hidden="false" customHeight="false" outlineLevel="0" collapsed="false">
      <c r="A123" s="7"/>
      <c r="B123" s="7"/>
      <c r="C123" s="7"/>
      <c r="D123" s="7"/>
      <c r="E123" s="6"/>
      <c r="F123" s="7"/>
      <c r="G123" s="7"/>
      <c r="H123" s="7"/>
      <c r="I123" s="7"/>
    </row>
    <row r="124" customFormat="false" ht="15" hidden="false" customHeight="false" outlineLevel="0" collapsed="false">
      <c r="A124" s="7"/>
      <c r="B124" s="7"/>
      <c r="C124" s="7"/>
      <c r="D124" s="7"/>
      <c r="E124" s="6"/>
      <c r="F124" s="7"/>
      <c r="G124" s="7"/>
      <c r="H124" s="7"/>
      <c r="I124" s="7"/>
    </row>
    <row r="125" customFormat="false" ht="15" hidden="false" customHeight="false" outlineLevel="0" collapsed="false">
      <c r="A125" s="7"/>
      <c r="B125" s="7"/>
      <c r="C125" s="7"/>
      <c r="D125" s="7"/>
      <c r="E125" s="6"/>
      <c r="F125" s="7"/>
      <c r="G125" s="7"/>
      <c r="H125" s="7"/>
      <c r="I125" s="7"/>
    </row>
    <row r="126" customFormat="false" ht="15" hidden="false" customHeight="false" outlineLevel="0" collapsed="false">
      <c r="A126" s="7"/>
      <c r="B126" s="7"/>
      <c r="C126" s="7"/>
      <c r="D126" s="7"/>
      <c r="E126" s="6"/>
      <c r="F126" s="7"/>
      <c r="G126" s="7"/>
      <c r="H126" s="7"/>
      <c r="I126" s="7"/>
    </row>
    <row r="127" customFormat="false" ht="15" hidden="false" customHeight="false" outlineLevel="0" collapsed="false">
      <c r="A127" s="7"/>
      <c r="B127" s="7"/>
      <c r="C127" s="7"/>
      <c r="D127" s="7"/>
      <c r="E127" s="6"/>
      <c r="F127" s="7"/>
      <c r="G127" s="7"/>
      <c r="H127" s="7"/>
      <c r="I127" s="7"/>
    </row>
    <row r="128" customFormat="false" ht="15" hidden="false" customHeight="false" outlineLevel="0" collapsed="false">
      <c r="A128" s="7"/>
      <c r="B128" s="7"/>
      <c r="C128" s="7"/>
      <c r="D128" s="7"/>
      <c r="E128" s="6"/>
      <c r="F128" s="7"/>
      <c r="G128" s="7"/>
      <c r="H128" s="7"/>
      <c r="I128" s="7"/>
    </row>
    <row r="129" customFormat="false" ht="15" hidden="false" customHeight="false" outlineLevel="0" collapsed="false">
      <c r="A129" s="7"/>
      <c r="B129" s="7"/>
      <c r="C129" s="7"/>
      <c r="D129" s="7"/>
      <c r="E129" s="6"/>
      <c r="F129" s="7"/>
      <c r="G129" s="7"/>
      <c r="H129" s="7"/>
      <c r="I129" s="7"/>
    </row>
    <row r="130" customFormat="false" ht="15" hidden="false" customHeight="false" outlineLevel="0" collapsed="false">
      <c r="A130" s="7"/>
      <c r="B130" s="7"/>
      <c r="C130" s="7"/>
      <c r="D130" s="7"/>
      <c r="E130" s="6"/>
      <c r="F130" s="7"/>
      <c r="G130" s="7"/>
      <c r="H130" s="7"/>
      <c r="I130" s="7"/>
    </row>
    <row r="131" customFormat="false" ht="15" hidden="false" customHeight="false" outlineLevel="0" collapsed="false">
      <c r="A131" s="7"/>
      <c r="B131" s="7"/>
      <c r="C131" s="7"/>
      <c r="D131" s="7"/>
      <c r="E131" s="6"/>
      <c r="F131" s="7"/>
      <c r="G131" s="7"/>
      <c r="H131" s="7"/>
      <c r="I131" s="7"/>
    </row>
    <row r="132" customFormat="false" ht="15" hidden="false" customHeight="false" outlineLevel="0" collapsed="false">
      <c r="A132" s="7"/>
      <c r="B132" s="7"/>
      <c r="C132" s="7"/>
      <c r="D132" s="7"/>
      <c r="E132" s="6"/>
      <c r="F132" s="7"/>
      <c r="G132" s="7"/>
      <c r="H132" s="7"/>
      <c r="I132" s="7"/>
    </row>
    <row r="133" customFormat="false" ht="15" hidden="false" customHeight="false" outlineLevel="0" collapsed="false">
      <c r="A133" s="7"/>
      <c r="B133" s="7"/>
      <c r="C133" s="7"/>
      <c r="D133" s="7"/>
      <c r="E133" s="6"/>
      <c r="F133" s="7"/>
      <c r="G133" s="7"/>
      <c r="H133" s="7"/>
      <c r="I133" s="7"/>
    </row>
    <row r="134" customFormat="false" ht="15" hidden="false" customHeight="false" outlineLevel="0" collapsed="false">
      <c r="A134" s="7"/>
      <c r="B134" s="7"/>
      <c r="C134" s="7"/>
      <c r="D134" s="7"/>
      <c r="E134" s="6"/>
      <c r="F134" s="7"/>
      <c r="G134" s="7"/>
      <c r="H134" s="7"/>
      <c r="I134" s="7"/>
    </row>
    <row r="135" customFormat="false" ht="15" hidden="false" customHeight="false" outlineLevel="0" collapsed="false">
      <c r="A135" s="7"/>
      <c r="B135" s="7"/>
      <c r="C135" s="7"/>
      <c r="D135" s="7"/>
      <c r="E135" s="6"/>
      <c r="F135" s="7"/>
      <c r="G135" s="7"/>
      <c r="H135" s="7"/>
      <c r="I135" s="7"/>
    </row>
    <row r="136" customFormat="false" ht="15" hidden="false" customHeight="false" outlineLevel="0" collapsed="false">
      <c r="A136" s="7"/>
      <c r="B136" s="7"/>
      <c r="C136" s="7"/>
      <c r="D136" s="7"/>
      <c r="E136" s="6"/>
      <c r="F136" s="7"/>
      <c r="G136" s="7"/>
      <c r="H136" s="7"/>
      <c r="I136" s="7"/>
    </row>
    <row r="137" customFormat="false" ht="15" hidden="false" customHeight="false" outlineLevel="0" collapsed="false">
      <c r="A137" s="7"/>
      <c r="B137" s="7"/>
      <c r="C137" s="7"/>
      <c r="D137" s="7"/>
      <c r="E137" s="6"/>
      <c r="F137" s="7"/>
      <c r="G137" s="7"/>
      <c r="H137" s="7"/>
      <c r="I137" s="7"/>
    </row>
    <row r="138" customFormat="false" ht="15" hidden="false" customHeight="false" outlineLevel="0" collapsed="false">
      <c r="A138" s="7"/>
      <c r="B138" s="7"/>
      <c r="C138" s="7"/>
      <c r="D138" s="7"/>
      <c r="E138" s="6"/>
      <c r="F138" s="7"/>
      <c r="G138" s="7"/>
      <c r="H138" s="7"/>
      <c r="I138" s="7"/>
    </row>
    <row r="139" customFormat="false" ht="15" hidden="false" customHeight="false" outlineLevel="0" collapsed="false">
      <c r="A139" s="7"/>
      <c r="B139" s="7"/>
      <c r="C139" s="7"/>
      <c r="D139" s="7"/>
      <c r="E139" s="6"/>
      <c r="F139" s="7"/>
      <c r="G139" s="7"/>
      <c r="H139" s="7"/>
      <c r="I139" s="7"/>
    </row>
    <row r="140" customFormat="false" ht="15" hidden="false" customHeight="false" outlineLevel="0" collapsed="false">
      <c r="A140" s="7"/>
      <c r="B140" s="7"/>
      <c r="C140" s="7"/>
      <c r="D140" s="7"/>
      <c r="E140" s="6"/>
      <c r="F140" s="7"/>
      <c r="G140" s="7"/>
      <c r="H140" s="7"/>
      <c r="I140" s="7"/>
    </row>
    <row r="141" customFormat="false" ht="15" hidden="false" customHeight="false" outlineLevel="0" collapsed="false">
      <c r="A141" s="7"/>
      <c r="B141" s="7"/>
      <c r="C141" s="7"/>
      <c r="D141" s="7"/>
      <c r="E141" s="6"/>
      <c r="F141" s="7"/>
      <c r="G141" s="7"/>
      <c r="H141" s="7"/>
      <c r="I141" s="7"/>
    </row>
    <row r="142" customFormat="false" ht="15" hidden="false" customHeight="false" outlineLevel="0" collapsed="false">
      <c r="A142" s="7"/>
      <c r="B142" s="7"/>
      <c r="C142" s="7"/>
      <c r="D142" s="7"/>
      <c r="E142" s="6"/>
      <c r="F142" s="7"/>
      <c r="G142" s="7"/>
      <c r="H142" s="7"/>
      <c r="I142" s="7"/>
    </row>
    <row r="143" customFormat="false" ht="15" hidden="false" customHeight="false" outlineLevel="0" collapsed="false">
      <c r="A143" s="7"/>
      <c r="B143" s="7"/>
      <c r="C143" s="7"/>
      <c r="D143" s="7"/>
      <c r="E143" s="6"/>
      <c r="F143" s="7"/>
      <c r="G143" s="7"/>
      <c r="H143" s="7"/>
      <c r="I143" s="7"/>
    </row>
    <row r="144" customFormat="false" ht="15" hidden="false" customHeight="false" outlineLevel="0" collapsed="false">
      <c r="A144" s="7"/>
      <c r="B144" s="7"/>
      <c r="C144" s="7"/>
      <c r="D144" s="7"/>
      <c r="E144" s="6"/>
      <c r="F144" s="7"/>
      <c r="G144" s="7"/>
      <c r="H144" s="7"/>
      <c r="I144" s="7"/>
    </row>
    <row r="145" customFormat="false" ht="15" hidden="false" customHeight="false" outlineLevel="0" collapsed="false">
      <c r="A145" s="7"/>
      <c r="B145" s="7"/>
      <c r="C145" s="7"/>
      <c r="D145" s="7"/>
      <c r="E145" s="6"/>
      <c r="F145" s="7"/>
      <c r="G145" s="7"/>
      <c r="H145" s="7"/>
      <c r="I145" s="7"/>
    </row>
    <row r="146" customFormat="false" ht="15" hidden="false" customHeight="false" outlineLevel="0" collapsed="false">
      <c r="A146" s="7"/>
      <c r="B146" s="7"/>
      <c r="C146" s="7"/>
      <c r="D146" s="7"/>
      <c r="E146" s="6"/>
      <c r="F146" s="7"/>
      <c r="G146" s="7"/>
      <c r="H146" s="7"/>
      <c r="I146" s="7"/>
    </row>
    <row r="147" customFormat="false" ht="15" hidden="false" customHeight="false" outlineLevel="0" collapsed="false">
      <c r="A147" s="7"/>
      <c r="B147" s="7"/>
      <c r="C147" s="7"/>
      <c r="D147" s="7"/>
      <c r="E147" s="6"/>
      <c r="F147" s="7"/>
      <c r="G147" s="7"/>
      <c r="H147" s="7"/>
      <c r="I147" s="7"/>
    </row>
    <row r="148" customFormat="false" ht="15" hidden="false" customHeight="false" outlineLevel="0" collapsed="false">
      <c r="A148" s="7"/>
      <c r="B148" s="7"/>
      <c r="C148" s="7"/>
      <c r="D148" s="7"/>
      <c r="E148" s="6"/>
      <c r="F148" s="7"/>
      <c r="G148" s="7"/>
      <c r="H148" s="7"/>
      <c r="I148" s="7"/>
    </row>
    <row r="149" customFormat="false" ht="15" hidden="false" customHeight="false" outlineLevel="0" collapsed="false">
      <c r="A149" s="7"/>
      <c r="B149" s="7"/>
      <c r="C149" s="7"/>
      <c r="D149" s="7"/>
      <c r="E149" s="6"/>
      <c r="F149" s="7"/>
      <c r="G149" s="7"/>
      <c r="H149" s="7"/>
      <c r="I149" s="7"/>
    </row>
    <row r="150" customFormat="false" ht="15" hidden="false" customHeight="false" outlineLevel="0" collapsed="false">
      <c r="A150" s="7"/>
      <c r="B150" s="7"/>
      <c r="C150" s="7"/>
      <c r="D150" s="7"/>
      <c r="E150" s="6"/>
      <c r="F150" s="7"/>
      <c r="G150" s="7"/>
      <c r="H150" s="7"/>
      <c r="I150" s="7"/>
    </row>
    <row r="151" customFormat="false" ht="15" hidden="false" customHeight="false" outlineLevel="0" collapsed="false">
      <c r="A151" s="7"/>
      <c r="B151" s="7"/>
      <c r="C151" s="7"/>
      <c r="D151" s="7"/>
      <c r="E151" s="6"/>
      <c r="F151" s="7"/>
      <c r="G151" s="7"/>
      <c r="H151" s="7"/>
      <c r="I151" s="7"/>
    </row>
    <row r="152" customFormat="false" ht="15" hidden="false" customHeight="false" outlineLevel="0" collapsed="false">
      <c r="A152" s="7"/>
      <c r="B152" s="7"/>
      <c r="C152" s="7"/>
      <c r="D152" s="7"/>
      <c r="E152" s="6"/>
      <c r="F152" s="7"/>
      <c r="G152" s="7"/>
      <c r="H152" s="7"/>
      <c r="I152" s="7"/>
    </row>
    <row r="153" customFormat="false" ht="15" hidden="false" customHeight="false" outlineLevel="0" collapsed="false">
      <c r="A153" s="7"/>
      <c r="B153" s="7"/>
      <c r="C153" s="7"/>
      <c r="D153" s="7"/>
      <c r="E153" s="6"/>
      <c r="F153" s="7"/>
      <c r="G153" s="7"/>
      <c r="H153" s="7"/>
      <c r="I153" s="7"/>
    </row>
    <row r="154" customFormat="false" ht="15" hidden="false" customHeight="false" outlineLevel="0" collapsed="false">
      <c r="A154" s="7"/>
      <c r="B154" s="7"/>
      <c r="C154" s="7"/>
      <c r="D154" s="7"/>
      <c r="E154" s="6"/>
      <c r="F154" s="7"/>
      <c r="G154" s="7"/>
      <c r="H154" s="7"/>
      <c r="I154" s="7"/>
    </row>
    <row r="155" customFormat="false" ht="15" hidden="false" customHeight="false" outlineLevel="0" collapsed="false">
      <c r="A155" s="7"/>
      <c r="B155" s="7"/>
      <c r="C155" s="7"/>
      <c r="D155" s="7"/>
      <c r="E155" s="6"/>
      <c r="F155" s="7"/>
      <c r="G155" s="7"/>
      <c r="H155" s="7"/>
      <c r="I155" s="7"/>
    </row>
    <row r="156" customFormat="false" ht="15" hidden="false" customHeight="false" outlineLevel="0" collapsed="false">
      <c r="A156" s="7"/>
      <c r="B156" s="7"/>
      <c r="C156" s="7"/>
      <c r="D156" s="7"/>
      <c r="E156" s="6"/>
      <c r="F156" s="7"/>
      <c r="G156" s="7"/>
      <c r="H156" s="7"/>
      <c r="I156" s="7"/>
    </row>
    <row r="157" customFormat="false" ht="15" hidden="false" customHeight="false" outlineLevel="0" collapsed="false">
      <c r="A157" s="7"/>
      <c r="B157" s="7"/>
      <c r="C157" s="7"/>
      <c r="D157" s="7"/>
      <c r="E157" s="6"/>
      <c r="F157" s="7"/>
      <c r="G157" s="7"/>
      <c r="H157" s="7"/>
      <c r="I157" s="7"/>
    </row>
    <row r="158" customFormat="false" ht="15" hidden="false" customHeight="false" outlineLevel="0" collapsed="false">
      <c r="A158" s="7"/>
      <c r="B158" s="7"/>
      <c r="C158" s="7"/>
      <c r="D158" s="7"/>
      <c r="E158" s="6"/>
      <c r="F158" s="7"/>
      <c r="G158" s="7"/>
      <c r="H158" s="7"/>
      <c r="I158" s="7"/>
    </row>
    <row r="159" customFormat="false" ht="15" hidden="false" customHeight="false" outlineLevel="0" collapsed="false">
      <c r="A159" s="7"/>
      <c r="B159" s="7"/>
      <c r="C159" s="7"/>
      <c r="D159" s="7"/>
      <c r="E159" s="6"/>
      <c r="F159" s="7"/>
      <c r="G159" s="7"/>
      <c r="H159" s="7"/>
      <c r="I159" s="7"/>
    </row>
    <row r="160" customFormat="false" ht="15" hidden="false" customHeight="false" outlineLevel="0" collapsed="false">
      <c r="A160" s="7"/>
      <c r="B160" s="7"/>
      <c r="C160" s="7"/>
      <c r="D160" s="7"/>
      <c r="E160" s="6"/>
      <c r="F160" s="7"/>
      <c r="G160" s="7"/>
      <c r="H160" s="7"/>
      <c r="I160" s="7"/>
    </row>
    <row r="161" customFormat="false" ht="15" hidden="false" customHeight="false" outlineLevel="0" collapsed="false">
      <c r="A161" s="7"/>
      <c r="B161" s="7"/>
      <c r="C161" s="7"/>
      <c r="D161" s="7"/>
      <c r="E161" s="6"/>
      <c r="F161" s="7"/>
      <c r="G161" s="7"/>
      <c r="H161" s="7"/>
      <c r="I161" s="7"/>
    </row>
    <row r="162" customFormat="false" ht="15" hidden="false" customHeight="false" outlineLevel="0" collapsed="false">
      <c r="A162" s="7"/>
      <c r="B162" s="7"/>
      <c r="C162" s="7"/>
      <c r="D162" s="7"/>
      <c r="E162" s="6"/>
      <c r="F162" s="7"/>
      <c r="G162" s="7"/>
      <c r="H162" s="7"/>
      <c r="I162" s="7"/>
    </row>
    <row r="163" customFormat="false" ht="15" hidden="false" customHeight="false" outlineLevel="0" collapsed="false">
      <c r="A163" s="7"/>
      <c r="B163" s="7"/>
      <c r="C163" s="7"/>
      <c r="D163" s="7"/>
      <c r="E163" s="6"/>
      <c r="F163" s="7"/>
      <c r="G163" s="7"/>
      <c r="H163" s="7"/>
      <c r="I163" s="7"/>
    </row>
    <row r="164" customFormat="false" ht="15" hidden="false" customHeight="false" outlineLevel="0" collapsed="false">
      <c r="A164" s="7"/>
      <c r="B164" s="7"/>
      <c r="C164" s="7"/>
      <c r="D164" s="7"/>
      <c r="E164" s="6"/>
      <c r="F164" s="7"/>
      <c r="G164" s="7"/>
      <c r="H164" s="7"/>
      <c r="I164" s="7"/>
    </row>
    <row r="165" customFormat="false" ht="15" hidden="false" customHeight="false" outlineLevel="0" collapsed="false">
      <c r="A165" s="7"/>
      <c r="B165" s="7"/>
      <c r="C165" s="7"/>
      <c r="D165" s="7"/>
      <c r="E165" s="6"/>
      <c r="F165" s="7"/>
      <c r="G165" s="7"/>
      <c r="H165" s="7"/>
      <c r="I165" s="7"/>
    </row>
    <row r="166" customFormat="false" ht="15" hidden="false" customHeight="false" outlineLevel="0" collapsed="false">
      <c r="A166" s="7"/>
      <c r="B166" s="7"/>
      <c r="C166" s="7"/>
      <c r="D166" s="7"/>
      <c r="E166" s="6"/>
      <c r="F166" s="7"/>
      <c r="G166" s="7"/>
      <c r="H166" s="7"/>
      <c r="I166" s="7"/>
    </row>
    <row r="167" customFormat="false" ht="15" hidden="false" customHeight="false" outlineLevel="0" collapsed="false">
      <c r="A167" s="7"/>
      <c r="B167" s="7"/>
      <c r="C167" s="7"/>
      <c r="D167" s="7"/>
      <c r="E167" s="6"/>
      <c r="F167" s="7"/>
      <c r="G167" s="7"/>
      <c r="H167" s="7"/>
      <c r="I167" s="7"/>
    </row>
    <row r="168" customFormat="false" ht="15" hidden="false" customHeight="false" outlineLevel="0" collapsed="false">
      <c r="A168" s="7"/>
      <c r="B168" s="7"/>
      <c r="C168" s="7"/>
      <c r="D168" s="7"/>
      <c r="E168" s="6"/>
      <c r="F168" s="7"/>
      <c r="G168" s="7"/>
      <c r="H168" s="7"/>
      <c r="I168" s="7"/>
    </row>
    <row r="169" customFormat="false" ht="15" hidden="false" customHeight="false" outlineLevel="0" collapsed="false">
      <c r="A169" s="7"/>
      <c r="B169" s="7"/>
      <c r="C169" s="7"/>
      <c r="D169" s="7"/>
      <c r="E169" s="6"/>
      <c r="F169" s="7"/>
      <c r="G169" s="7"/>
      <c r="H169" s="7"/>
      <c r="I169" s="7"/>
    </row>
    <row r="170" customFormat="false" ht="15" hidden="false" customHeight="false" outlineLevel="0" collapsed="false">
      <c r="A170" s="7"/>
      <c r="B170" s="7"/>
      <c r="C170" s="7"/>
      <c r="D170" s="7"/>
      <c r="E170" s="6"/>
      <c r="F170" s="7"/>
      <c r="G170" s="7"/>
      <c r="H170" s="7"/>
      <c r="I170" s="7"/>
    </row>
    <row r="171" customFormat="false" ht="15" hidden="false" customHeight="false" outlineLevel="0" collapsed="false">
      <c r="A171" s="7"/>
      <c r="B171" s="7"/>
      <c r="C171" s="7"/>
      <c r="D171" s="7"/>
      <c r="E171" s="6"/>
      <c r="F171" s="7"/>
      <c r="G171" s="7"/>
      <c r="H171" s="7"/>
      <c r="I171" s="7"/>
    </row>
    <row r="172" customFormat="false" ht="15" hidden="false" customHeight="false" outlineLevel="0" collapsed="false">
      <c r="A172" s="7"/>
      <c r="B172" s="7"/>
      <c r="C172" s="7"/>
      <c r="D172" s="7"/>
      <c r="E172" s="6"/>
      <c r="F172" s="7"/>
      <c r="G172" s="7"/>
      <c r="H172" s="7"/>
      <c r="I172" s="7"/>
    </row>
    <row r="173" customFormat="false" ht="15" hidden="false" customHeight="false" outlineLevel="0" collapsed="false">
      <c r="A173" s="7"/>
      <c r="B173" s="7"/>
      <c r="C173" s="7"/>
      <c r="D173" s="7"/>
      <c r="E173" s="6"/>
      <c r="F173" s="7"/>
      <c r="G173" s="7"/>
      <c r="H173" s="7"/>
      <c r="I173" s="7"/>
    </row>
    <row r="174" customFormat="false" ht="15" hidden="false" customHeight="false" outlineLevel="0" collapsed="false">
      <c r="A174" s="7"/>
      <c r="B174" s="7"/>
      <c r="C174" s="7"/>
      <c r="D174" s="7"/>
      <c r="E174" s="6"/>
      <c r="F174" s="7"/>
      <c r="G174" s="7"/>
      <c r="H174" s="7"/>
      <c r="I174" s="7"/>
    </row>
    <row r="175" customFormat="false" ht="15" hidden="false" customHeight="false" outlineLevel="0" collapsed="false">
      <c r="A175" s="7"/>
      <c r="B175" s="7"/>
      <c r="C175" s="7"/>
      <c r="D175" s="7"/>
      <c r="E175" s="6"/>
      <c r="F175" s="7"/>
      <c r="G175" s="7"/>
      <c r="H175" s="7"/>
      <c r="I175" s="7"/>
    </row>
    <row r="176" customFormat="false" ht="15" hidden="false" customHeight="false" outlineLevel="0" collapsed="false">
      <c r="A176" s="7"/>
      <c r="B176" s="7"/>
      <c r="C176" s="7"/>
      <c r="D176" s="7"/>
      <c r="E176" s="6"/>
      <c r="F176" s="7"/>
      <c r="G176" s="7"/>
      <c r="H176" s="7"/>
      <c r="I176" s="7"/>
    </row>
    <row r="177" customFormat="false" ht="15" hidden="false" customHeight="false" outlineLevel="0" collapsed="false">
      <c r="A177" s="7"/>
      <c r="B177" s="7"/>
      <c r="C177" s="7"/>
      <c r="D177" s="7"/>
      <c r="E177" s="6"/>
      <c r="F177" s="7"/>
      <c r="G177" s="7"/>
      <c r="H177" s="7"/>
      <c r="I177" s="7"/>
    </row>
    <row r="178" customFormat="false" ht="15" hidden="false" customHeight="false" outlineLevel="0" collapsed="false">
      <c r="A178" s="7"/>
      <c r="B178" s="7"/>
      <c r="C178" s="7"/>
      <c r="D178" s="7"/>
      <c r="E178" s="6"/>
      <c r="F178" s="7"/>
      <c r="G178" s="7"/>
      <c r="H178" s="7"/>
      <c r="I178" s="7"/>
    </row>
    <row r="179" customFormat="false" ht="15" hidden="false" customHeight="false" outlineLevel="0" collapsed="false">
      <c r="A179" s="7"/>
      <c r="B179" s="7"/>
      <c r="C179" s="7"/>
      <c r="D179" s="7"/>
      <c r="E179" s="6"/>
      <c r="F179" s="7"/>
      <c r="G179" s="7"/>
      <c r="H179" s="7"/>
      <c r="I179" s="7"/>
    </row>
    <row r="180" customFormat="false" ht="15" hidden="false" customHeight="false" outlineLevel="0" collapsed="false">
      <c r="A180" s="7"/>
      <c r="B180" s="7"/>
      <c r="C180" s="7"/>
      <c r="D180" s="7"/>
      <c r="E180" s="6"/>
      <c r="F180" s="7"/>
      <c r="G180" s="7"/>
      <c r="H180" s="7"/>
      <c r="I180" s="7"/>
    </row>
    <row r="181" customFormat="false" ht="15" hidden="false" customHeight="false" outlineLevel="0" collapsed="false">
      <c r="A181" s="7"/>
      <c r="B181" s="7"/>
      <c r="C181" s="7"/>
      <c r="D181" s="7"/>
      <c r="E181" s="6"/>
      <c r="F181" s="7"/>
      <c r="G181" s="7"/>
      <c r="H181" s="7"/>
      <c r="I181" s="7"/>
    </row>
    <row r="182" customFormat="false" ht="15" hidden="false" customHeight="false" outlineLevel="0" collapsed="false">
      <c r="A182" s="7"/>
      <c r="B182" s="7"/>
      <c r="C182" s="7"/>
      <c r="D182" s="7"/>
      <c r="E182" s="6"/>
      <c r="F182" s="7"/>
      <c r="G182" s="7"/>
      <c r="H182" s="7"/>
      <c r="I182" s="7"/>
    </row>
    <row r="183" customFormat="false" ht="15" hidden="false" customHeight="false" outlineLevel="0" collapsed="false">
      <c r="A183" s="7"/>
      <c r="B183" s="7"/>
      <c r="C183" s="7"/>
      <c r="D183" s="7"/>
      <c r="E183" s="6"/>
      <c r="F183" s="7"/>
      <c r="G183" s="7"/>
      <c r="H183" s="7"/>
      <c r="I183" s="7"/>
    </row>
    <row r="184" customFormat="false" ht="15" hidden="false" customHeight="false" outlineLevel="0" collapsed="false">
      <c r="A184" s="7"/>
      <c r="B184" s="7"/>
      <c r="C184" s="7"/>
      <c r="D184" s="7"/>
      <c r="E184" s="6"/>
      <c r="F184" s="7"/>
      <c r="G184" s="7"/>
      <c r="H184" s="7"/>
      <c r="I184" s="7"/>
    </row>
    <row r="185" customFormat="false" ht="15" hidden="false" customHeight="false" outlineLevel="0" collapsed="false">
      <c r="A185" s="7"/>
      <c r="B185" s="7"/>
      <c r="C185" s="7"/>
      <c r="D185" s="7"/>
      <c r="E185" s="6"/>
      <c r="F185" s="7"/>
      <c r="G185" s="7"/>
      <c r="H185" s="7"/>
      <c r="I185" s="7"/>
    </row>
    <row r="186" customFormat="false" ht="15" hidden="false" customHeight="false" outlineLevel="0" collapsed="false">
      <c r="A186" s="7"/>
      <c r="B186" s="7"/>
      <c r="C186" s="7"/>
      <c r="D186" s="7"/>
      <c r="E186" s="6"/>
      <c r="F186" s="7"/>
      <c r="G186" s="7"/>
      <c r="H186" s="7"/>
      <c r="I186" s="7"/>
    </row>
    <row r="187" customFormat="false" ht="15" hidden="false" customHeight="false" outlineLevel="0" collapsed="false">
      <c r="A187" s="7"/>
      <c r="B187" s="7"/>
      <c r="C187" s="7"/>
      <c r="D187" s="7"/>
      <c r="E187" s="6"/>
      <c r="F187" s="7"/>
      <c r="G187" s="7"/>
      <c r="H187" s="7"/>
      <c r="I187" s="7"/>
    </row>
    <row r="188" customFormat="false" ht="15" hidden="false" customHeight="false" outlineLevel="0" collapsed="false">
      <c r="A188" s="7"/>
      <c r="B188" s="7"/>
      <c r="C188" s="7"/>
      <c r="D188" s="7"/>
      <c r="E188" s="6"/>
      <c r="F188" s="7"/>
      <c r="G188" s="7"/>
      <c r="H188" s="7"/>
      <c r="I188" s="7"/>
    </row>
    <row r="189" customFormat="false" ht="15" hidden="false" customHeight="false" outlineLevel="0" collapsed="false">
      <c r="A189" s="7"/>
      <c r="B189" s="7"/>
      <c r="C189" s="7"/>
      <c r="D189" s="7"/>
      <c r="E189" s="6"/>
      <c r="F189" s="7"/>
      <c r="G189" s="7"/>
      <c r="H189" s="7"/>
      <c r="I189" s="7"/>
    </row>
    <row r="190" customFormat="false" ht="15" hidden="false" customHeight="false" outlineLevel="0" collapsed="false">
      <c r="A190" s="7"/>
      <c r="B190" s="7"/>
      <c r="C190" s="7"/>
      <c r="D190" s="7"/>
      <c r="E190" s="6"/>
      <c r="F190" s="7"/>
      <c r="G190" s="7"/>
      <c r="H190" s="7"/>
      <c r="I190" s="7"/>
    </row>
    <row r="191" customFormat="false" ht="15" hidden="false" customHeight="false" outlineLevel="0" collapsed="false">
      <c r="A191" s="7"/>
      <c r="B191" s="7"/>
      <c r="C191" s="7"/>
      <c r="D191" s="7"/>
      <c r="E191" s="6"/>
      <c r="F191" s="7"/>
      <c r="G191" s="7"/>
      <c r="H191" s="7"/>
      <c r="I191" s="7"/>
    </row>
    <row r="192" customFormat="false" ht="15" hidden="false" customHeight="false" outlineLevel="0" collapsed="false">
      <c r="A192" s="7"/>
      <c r="B192" s="7"/>
      <c r="C192" s="7"/>
      <c r="D192" s="7"/>
      <c r="E192" s="6"/>
      <c r="F192" s="7"/>
      <c r="G192" s="7"/>
      <c r="H192" s="7"/>
      <c r="I192" s="7"/>
    </row>
    <row r="193" customFormat="false" ht="15" hidden="false" customHeight="false" outlineLevel="0" collapsed="false">
      <c r="A193" s="7"/>
      <c r="B193" s="7"/>
      <c r="C193" s="7"/>
      <c r="D193" s="7"/>
      <c r="E193" s="6"/>
      <c r="F193" s="7"/>
      <c r="G193" s="7"/>
      <c r="H193" s="7"/>
      <c r="I193" s="7"/>
    </row>
    <row r="194" customFormat="false" ht="15" hidden="false" customHeight="false" outlineLevel="0" collapsed="false">
      <c r="A194" s="7"/>
      <c r="B194" s="7"/>
      <c r="C194" s="7"/>
      <c r="D194" s="7"/>
      <c r="E194" s="6"/>
      <c r="F194" s="7"/>
      <c r="G194" s="7"/>
      <c r="H194" s="7"/>
      <c r="I194" s="7"/>
    </row>
    <row r="195" customFormat="false" ht="15" hidden="false" customHeight="false" outlineLevel="0" collapsed="false">
      <c r="A195" s="7"/>
      <c r="B195" s="7"/>
      <c r="C195" s="7"/>
      <c r="D195" s="7"/>
      <c r="E195" s="6"/>
      <c r="F195" s="7"/>
      <c r="G195" s="7"/>
      <c r="H195" s="7"/>
      <c r="I195" s="7"/>
    </row>
    <row r="196" customFormat="false" ht="15" hidden="false" customHeight="false" outlineLevel="0" collapsed="false">
      <c r="A196" s="7"/>
      <c r="B196" s="7"/>
      <c r="C196" s="7"/>
      <c r="D196" s="7"/>
      <c r="E196" s="6"/>
      <c r="F196" s="7"/>
      <c r="G196" s="7"/>
      <c r="H196" s="7"/>
      <c r="I196" s="7"/>
    </row>
    <row r="197" customFormat="false" ht="15" hidden="false" customHeight="false" outlineLevel="0" collapsed="false">
      <c r="A197" s="7"/>
      <c r="B197" s="7"/>
      <c r="C197" s="7"/>
      <c r="D197" s="7"/>
      <c r="E197" s="6"/>
      <c r="F197" s="7"/>
      <c r="G197" s="7"/>
      <c r="H197" s="7"/>
      <c r="I197" s="7"/>
    </row>
    <row r="198" customFormat="false" ht="15" hidden="false" customHeight="false" outlineLevel="0" collapsed="false">
      <c r="A198" s="7"/>
      <c r="B198" s="7"/>
      <c r="C198" s="7"/>
      <c r="D198" s="7"/>
      <c r="E198" s="6"/>
      <c r="F198" s="7"/>
      <c r="G198" s="7"/>
      <c r="H198" s="7"/>
      <c r="I198" s="7"/>
    </row>
    <row r="199" customFormat="false" ht="15" hidden="false" customHeight="false" outlineLevel="0" collapsed="false">
      <c r="A199" s="7"/>
      <c r="B199" s="7"/>
      <c r="C199" s="7"/>
      <c r="D199" s="7"/>
      <c r="E199" s="6"/>
      <c r="F199" s="7"/>
      <c r="G199" s="7"/>
      <c r="H199" s="7"/>
      <c r="I199" s="7"/>
    </row>
    <row r="200" customFormat="false" ht="15" hidden="false" customHeight="false" outlineLevel="0" collapsed="false">
      <c r="A200" s="7"/>
      <c r="B200" s="7"/>
      <c r="C200" s="7"/>
      <c r="D200" s="7"/>
      <c r="E200" s="6"/>
      <c r="F200" s="7"/>
      <c r="G200" s="7"/>
      <c r="H200" s="7"/>
      <c r="I200" s="7"/>
    </row>
    <row r="201" customFormat="false" ht="15" hidden="false" customHeight="false" outlineLevel="0" collapsed="false">
      <c r="A201" s="7"/>
      <c r="B201" s="7"/>
      <c r="C201" s="7"/>
      <c r="D201" s="7"/>
      <c r="E201" s="6"/>
      <c r="F201" s="7"/>
      <c r="G201" s="7"/>
      <c r="H201" s="7"/>
      <c r="I201" s="7"/>
    </row>
    <row r="202" customFormat="false" ht="15" hidden="false" customHeight="false" outlineLevel="0" collapsed="false">
      <c r="A202" s="7"/>
      <c r="B202" s="7"/>
      <c r="C202" s="7"/>
      <c r="D202" s="7"/>
      <c r="E202" s="6"/>
      <c r="F202" s="7"/>
      <c r="G202" s="7"/>
      <c r="H202" s="7"/>
      <c r="I202" s="7"/>
    </row>
    <row r="203" customFormat="false" ht="15" hidden="false" customHeight="false" outlineLevel="0" collapsed="false">
      <c r="A203" s="7"/>
      <c r="B203" s="7"/>
      <c r="C203" s="7"/>
      <c r="D203" s="7"/>
      <c r="E203" s="6"/>
      <c r="F203" s="7"/>
      <c r="G203" s="7"/>
      <c r="H203" s="7"/>
      <c r="I203" s="7"/>
    </row>
    <row r="204" customFormat="false" ht="15" hidden="false" customHeight="false" outlineLevel="0" collapsed="false">
      <c r="A204" s="7"/>
      <c r="B204" s="7"/>
      <c r="C204" s="7"/>
      <c r="D204" s="7"/>
      <c r="E204" s="6"/>
      <c r="F204" s="7"/>
      <c r="G204" s="7"/>
      <c r="H204" s="7"/>
      <c r="I204" s="7"/>
    </row>
    <row r="205" customFormat="false" ht="15" hidden="false" customHeight="false" outlineLevel="0" collapsed="false">
      <c r="A205" s="7"/>
      <c r="B205" s="7"/>
      <c r="C205" s="7"/>
      <c r="D205" s="7"/>
      <c r="E205" s="6"/>
      <c r="F205" s="7"/>
      <c r="G205" s="7"/>
      <c r="H205" s="7"/>
      <c r="I205" s="7"/>
    </row>
    <row r="206" customFormat="false" ht="15" hidden="false" customHeight="false" outlineLevel="0" collapsed="false">
      <c r="A206" s="7"/>
      <c r="B206" s="7"/>
      <c r="C206" s="7"/>
      <c r="D206" s="7"/>
      <c r="E206" s="6"/>
      <c r="F206" s="7"/>
      <c r="G206" s="7"/>
      <c r="H206" s="7"/>
      <c r="I206" s="7"/>
    </row>
    <row r="207" customFormat="false" ht="15" hidden="false" customHeight="false" outlineLevel="0" collapsed="false">
      <c r="A207" s="7"/>
      <c r="B207" s="7"/>
      <c r="C207" s="7"/>
      <c r="D207" s="7"/>
      <c r="E207" s="6"/>
      <c r="F207" s="7"/>
      <c r="G207" s="7"/>
      <c r="H207" s="7"/>
      <c r="I207" s="7"/>
    </row>
    <row r="208" customFormat="false" ht="15" hidden="false" customHeight="false" outlineLevel="0" collapsed="false">
      <c r="A208" s="7"/>
      <c r="B208" s="7"/>
      <c r="C208" s="7"/>
      <c r="D208" s="7"/>
      <c r="E208" s="6"/>
      <c r="F208" s="7"/>
      <c r="G208" s="7"/>
      <c r="H208" s="7"/>
      <c r="I208" s="7"/>
    </row>
    <row r="209" customFormat="false" ht="15" hidden="false" customHeight="false" outlineLevel="0" collapsed="false">
      <c r="A209" s="7"/>
      <c r="B209" s="7"/>
      <c r="C209" s="7"/>
      <c r="D209" s="7"/>
      <c r="E209" s="6"/>
      <c r="F209" s="7"/>
      <c r="G209" s="7"/>
      <c r="H209" s="7"/>
      <c r="I209" s="7"/>
    </row>
    <row r="210" customFormat="false" ht="15" hidden="false" customHeight="false" outlineLevel="0" collapsed="false">
      <c r="A210" s="7"/>
      <c r="B210" s="7"/>
      <c r="C210" s="7"/>
      <c r="D210" s="7"/>
      <c r="E210" s="6"/>
      <c r="F210" s="7"/>
      <c r="G210" s="7"/>
      <c r="H210" s="7"/>
      <c r="I210" s="7"/>
    </row>
    <row r="211" customFormat="false" ht="15" hidden="false" customHeight="false" outlineLevel="0" collapsed="false">
      <c r="A211" s="7"/>
      <c r="B211" s="7"/>
      <c r="C211" s="7"/>
      <c r="D211" s="7"/>
      <c r="E211" s="6"/>
      <c r="F211" s="7"/>
      <c r="G211" s="7"/>
      <c r="H211" s="7"/>
      <c r="I211" s="7"/>
    </row>
    <row r="212" customFormat="false" ht="15" hidden="false" customHeight="false" outlineLevel="0" collapsed="false">
      <c r="A212" s="7"/>
      <c r="B212" s="7"/>
      <c r="C212" s="7"/>
      <c r="D212" s="7"/>
      <c r="E212" s="6"/>
      <c r="F212" s="7"/>
      <c r="G212" s="7"/>
      <c r="H212" s="7"/>
      <c r="I212" s="7"/>
    </row>
    <row r="213" customFormat="false" ht="15" hidden="false" customHeight="false" outlineLevel="0" collapsed="false">
      <c r="A213" s="7"/>
      <c r="B213" s="7"/>
      <c r="C213" s="7"/>
      <c r="D213" s="7"/>
      <c r="E213" s="6"/>
      <c r="F213" s="7"/>
      <c r="G213" s="7"/>
      <c r="H213" s="7"/>
      <c r="I213" s="7"/>
    </row>
    <row r="214" customFormat="false" ht="15" hidden="false" customHeight="false" outlineLevel="0" collapsed="false">
      <c r="A214" s="7"/>
      <c r="B214" s="7"/>
      <c r="C214" s="7"/>
      <c r="D214" s="7"/>
      <c r="E214" s="6"/>
      <c r="F214" s="7"/>
      <c r="G214" s="7"/>
      <c r="H214" s="7"/>
      <c r="I214" s="7"/>
    </row>
    <row r="215" customFormat="false" ht="15" hidden="false" customHeight="false" outlineLevel="0" collapsed="false">
      <c r="A215" s="7"/>
      <c r="B215" s="7"/>
      <c r="C215" s="7"/>
      <c r="D215" s="7"/>
      <c r="E215" s="6"/>
      <c r="F215" s="7"/>
      <c r="G215" s="7"/>
      <c r="H215" s="7"/>
      <c r="I215" s="7"/>
    </row>
    <row r="216" customFormat="false" ht="15" hidden="false" customHeight="false" outlineLevel="0" collapsed="false">
      <c r="A216" s="7"/>
      <c r="B216" s="7"/>
      <c r="C216" s="7"/>
      <c r="D216" s="7"/>
      <c r="E216" s="6"/>
      <c r="F216" s="7"/>
      <c r="G216" s="7"/>
      <c r="H216" s="7"/>
      <c r="I216" s="7"/>
    </row>
    <row r="217" customFormat="false" ht="15" hidden="false" customHeight="false" outlineLevel="0" collapsed="false">
      <c r="A217" s="7"/>
      <c r="B217" s="7"/>
      <c r="C217" s="7"/>
      <c r="D217" s="7"/>
      <c r="E217" s="6"/>
      <c r="F217" s="7"/>
      <c r="G217" s="7"/>
      <c r="H217" s="7"/>
      <c r="I217" s="7"/>
    </row>
    <row r="218" customFormat="false" ht="15" hidden="false" customHeight="false" outlineLevel="0" collapsed="false">
      <c r="A218" s="7"/>
      <c r="B218" s="7"/>
      <c r="C218" s="7"/>
      <c r="D218" s="7"/>
      <c r="E218" s="6"/>
      <c r="F218" s="7"/>
      <c r="G218" s="7"/>
      <c r="H218" s="7"/>
      <c r="I218" s="7"/>
    </row>
    <row r="219" customFormat="false" ht="15" hidden="false" customHeight="false" outlineLevel="0" collapsed="false">
      <c r="A219" s="7"/>
      <c r="B219" s="7"/>
      <c r="C219" s="7"/>
      <c r="D219" s="7"/>
      <c r="E219" s="6"/>
      <c r="F219" s="7"/>
      <c r="G219" s="7"/>
      <c r="H219" s="7"/>
      <c r="I219" s="7"/>
    </row>
    <row r="220" customFormat="false" ht="15" hidden="false" customHeight="false" outlineLevel="0" collapsed="false">
      <c r="A220" s="7"/>
      <c r="B220" s="7"/>
      <c r="C220" s="7"/>
      <c r="D220" s="7"/>
      <c r="E220" s="6"/>
      <c r="F220" s="7"/>
      <c r="G220" s="7"/>
      <c r="H220" s="7"/>
      <c r="I220" s="7"/>
    </row>
    <row r="221" customFormat="false" ht="15" hidden="false" customHeight="false" outlineLevel="0" collapsed="false">
      <c r="A221" s="7"/>
      <c r="B221" s="7"/>
      <c r="C221" s="7"/>
      <c r="D221" s="7"/>
      <c r="E221" s="6"/>
      <c r="F221" s="7"/>
      <c r="G221" s="7"/>
      <c r="H221" s="7"/>
      <c r="I221" s="7"/>
    </row>
    <row r="222" customFormat="false" ht="15" hidden="false" customHeight="false" outlineLevel="0" collapsed="false">
      <c r="A222" s="7"/>
      <c r="B222" s="7"/>
      <c r="C222" s="7"/>
      <c r="D222" s="7"/>
      <c r="E222" s="6"/>
      <c r="F222" s="7"/>
      <c r="G222" s="7"/>
      <c r="H222" s="7"/>
      <c r="I222" s="7"/>
    </row>
    <row r="223" customFormat="false" ht="15" hidden="false" customHeight="false" outlineLevel="0" collapsed="false">
      <c r="A223" s="7"/>
      <c r="B223" s="7"/>
      <c r="C223" s="7"/>
      <c r="D223" s="7"/>
      <c r="E223" s="6"/>
      <c r="F223" s="7"/>
      <c r="G223" s="7"/>
      <c r="H223" s="7"/>
      <c r="I223" s="7"/>
    </row>
    <row r="224" customFormat="false" ht="15" hidden="false" customHeight="false" outlineLevel="0" collapsed="false">
      <c r="A224" s="7"/>
      <c r="B224" s="7"/>
      <c r="C224" s="7"/>
      <c r="D224" s="7"/>
      <c r="E224" s="6"/>
      <c r="F224" s="7"/>
      <c r="G224" s="7"/>
      <c r="H224" s="7"/>
      <c r="I224" s="7"/>
    </row>
    <row r="225" customFormat="false" ht="15" hidden="false" customHeight="false" outlineLevel="0" collapsed="false">
      <c r="A225" s="7"/>
      <c r="B225" s="7"/>
      <c r="C225" s="7"/>
      <c r="D225" s="7"/>
      <c r="E225" s="6"/>
      <c r="F225" s="7"/>
      <c r="G225" s="7"/>
      <c r="H225" s="7"/>
      <c r="I225" s="7"/>
    </row>
    <row r="226" customFormat="false" ht="15" hidden="false" customHeight="false" outlineLevel="0" collapsed="false">
      <c r="A226" s="7"/>
      <c r="B226" s="7"/>
      <c r="C226" s="7"/>
      <c r="D226" s="7"/>
      <c r="E226" s="6"/>
      <c r="F226" s="7"/>
      <c r="G226" s="7"/>
      <c r="H226" s="7"/>
      <c r="I226" s="7"/>
    </row>
    <row r="227" customFormat="false" ht="15" hidden="false" customHeight="false" outlineLevel="0" collapsed="false">
      <c r="A227" s="7"/>
      <c r="B227" s="7"/>
      <c r="C227" s="7"/>
      <c r="D227" s="7"/>
      <c r="E227" s="6"/>
      <c r="F227" s="7"/>
      <c r="G227" s="7"/>
      <c r="H227" s="7"/>
      <c r="I227" s="7"/>
    </row>
    <row r="228" customFormat="false" ht="15" hidden="false" customHeight="false" outlineLevel="0" collapsed="false">
      <c r="A228" s="7"/>
      <c r="B228" s="7"/>
      <c r="C228" s="7"/>
      <c r="D228" s="7"/>
      <c r="E228" s="6"/>
      <c r="F228" s="7"/>
      <c r="G228" s="7"/>
      <c r="H228" s="7"/>
      <c r="I228" s="7"/>
    </row>
    <row r="229" customFormat="false" ht="15" hidden="false" customHeight="false" outlineLevel="0" collapsed="false">
      <c r="A229" s="7"/>
      <c r="B229" s="7"/>
      <c r="C229" s="7"/>
      <c r="D229" s="7"/>
      <c r="E229" s="6"/>
      <c r="F229" s="7"/>
      <c r="G229" s="7"/>
      <c r="H229" s="7"/>
      <c r="I229" s="7"/>
    </row>
    <row r="230" customFormat="false" ht="15" hidden="false" customHeight="false" outlineLevel="0" collapsed="false">
      <c r="A230" s="7"/>
      <c r="B230" s="7"/>
      <c r="C230" s="7"/>
      <c r="D230" s="7"/>
      <c r="E230" s="6"/>
      <c r="F230" s="7"/>
      <c r="G230" s="7"/>
      <c r="H230" s="7"/>
      <c r="I230" s="7"/>
    </row>
    <row r="231" customFormat="false" ht="15" hidden="false" customHeight="false" outlineLevel="0" collapsed="false">
      <c r="A231" s="7"/>
      <c r="B231" s="7"/>
      <c r="C231" s="7"/>
      <c r="D231" s="7"/>
      <c r="E231" s="6"/>
      <c r="F231" s="7"/>
      <c r="G231" s="7"/>
      <c r="H231" s="7"/>
      <c r="I231" s="7"/>
    </row>
    <row r="232" customFormat="false" ht="15" hidden="false" customHeight="false" outlineLevel="0" collapsed="false">
      <c r="A232" s="7"/>
      <c r="B232" s="7"/>
      <c r="C232" s="7"/>
      <c r="D232" s="7"/>
      <c r="E232" s="6"/>
      <c r="F232" s="7"/>
      <c r="G232" s="7"/>
      <c r="H232" s="7"/>
      <c r="I232" s="7"/>
    </row>
    <row r="233" customFormat="false" ht="15" hidden="false" customHeight="false" outlineLevel="0" collapsed="false">
      <c r="A233" s="7"/>
      <c r="B233" s="7"/>
      <c r="C233" s="7"/>
      <c r="D233" s="7"/>
      <c r="E233" s="6"/>
      <c r="F233" s="7"/>
      <c r="G233" s="7"/>
      <c r="H233" s="7"/>
      <c r="I233" s="7"/>
    </row>
    <row r="234" customFormat="false" ht="15" hidden="false" customHeight="false" outlineLevel="0" collapsed="false">
      <c r="A234" s="7"/>
      <c r="B234" s="7"/>
      <c r="C234" s="7"/>
      <c r="D234" s="7"/>
      <c r="E234" s="6"/>
      <c r="F234" s="7"/>
      <c r="G234" s="7"/>
      <c r="H234" s="7"/>
      <c r="I234" s="7"/>
    </row>
    <row r="235" customFormat="false" ht="15" hidden="false" customHeight="false" outlineLevel="0" collapsed="false">
      <c r="A235" s="7"/>
      <c r="B235" s="7"/>
      <c r="C235" s="7"/>
      <c r="D235" s="7"/>
      <c r="E235" s="6"/>
      <c r="F235" s="7"/>
      <c r="G235" s="7"/>
      <c r="H235" s="7"/>
      <c r="I235" s="7"/>
    </row>
    <row r="236" customFormat="false" ht="15" hidden="false" customHeight="false" outlineLevel="0" collapsed="false">
      <c r="A236" s="7"/>
      <c r="B236" s="7"/>
      <c r="C236" s="7"/>
      <c r="D236" s="7"/>
      <c r="E236" s="6"/>
      <c r="F236" s="7"/>
      <c r="G236" s="7"/>
      <c r="H236" s="7"/>
      <c r="I236" s="7"/>
    </row>
    <row r="237" customFormat="false" ht="15" hidden="false" customHeight="false" outlineLevel="0" collapsed="false">
      <c r="A237" s="7"/>
      <c r="B237" s="7"/>
      <c r="C237" s="7"/>
      <c r="D237" s="7"/>
      <c r="E237" s="6"/>
      <c r="F237" s="7"/>
      <c r="G237" s="7"/>
      <c r="H237" s="7"/>
      <c r="I237" s="7"/>
    </row>
    <row r="238" customFormat="false" ht="15" hidden="false" customHeight="false" outlineLevel="0" collapsed="false">
      <c r="A238" s="7"/>
      <c r="B238" s="7"/>
      <c r="C238" s="7"/>
      <c r="D238" s="7"/>
      <c r="E238" s="6"/>
      <c r="F238" s="7"/>
      <c r="G238" s="7"/>
      <c r="H238" s="7"/>
      <c r="I238" s="7"/>
    </row>
    <row r="239" customFormat="false" ht="15" hidden="false" customHeight="false" outlineLevel="0" collapsed="false">
      <c r="A239" s="7"/>
      <c r="B239" s="7"/>
      <c r="C239" s="7"/>
      <c r="D239" s="7"/>
      <c r="E239" s="6"/>
      <c r="F239" s="7"/>
      <c r="G239" s="7"/>
      <c r="H239" s="7"/>
      <c r="I239" s="7"/>
    </row>
    <row r="240" customFormat="false" ht="15" hidden="false" customHeight="false" outlineLevel="0" collapsed="false">
      <c r="A240" s="7"/>
      <c r="B240" s="7"/>
      <c r="C240" s="7"/>
      <c r="D240" s="7"/>
      <c r="E240" s="6"/>
      <c r="F240" s="7"/>
      <c r="G240" s="7"/>
      <c r="H240" s="7"/>
      <c r="I240" s="7"/>
    </row>
    <row r="241" customFormat="false" ht="15" hidden="false" customHeight="false" outlineLevel="0" collapsed="false">
      <c r="A241" s="7"/>
      <c r="B241" s="7"/>
      <c r="C241" s="7"/>
      <c r="D241" s="7"/>
      <c r="E241" s="6"/>
      <c r="F241" s="7"/>
      <c r="G241" s="7"/>
      <c r="H241" s="7"/>
      <c r="I241" s="7"/>
    </row>
    <row r="242" customFormat="false" ht="15" hidden="false" customHeight="false" outlineLevel="0" collapsed="false">
      <c r="A242" s="7"/>
      <c r="B242" s="7"/>
      <c r="C242" s="7"/>
      <c r="D242" s="7"/>
      <c r="E242" s="6"/>
      <c r="F242" s="7"/>
      <c r="G242" s="7"/>
      <c r="H242" s="7"/>
      <c r="I242" s="7"/>
    </row>
    <row r="243" customFormat="false" ht="15" hidden="false" customHeight="false" outlineLevel="0" collapsed="false">
      <c r="A243" s="7"/>
      <c r="B243" s="7"/>
      <c r="C243" s="7"/>
      <c r="D243" s="7"/>
      <c r="E243" s="6"/>
      <c r="F243" s="7"/>
      <c r="G243" s="7"/>
      <c r="H243" s="7"/>
      <c r="I243" s="7"/>
    </row>
    <row r="244" customFormat="false" ht="15" hidden="false" customHeight="false" outlineLevel="0" collapsed="false">
      <c r="A244" s="7"/>
      <c r="B244" s="7"/>
      <c r="C244" s="7"/>
      <c r="D244" s="7"/>
      <c r="E244" s="6"/>
      <c r="F244" s="7"/>
      <c r="G244" s="7"/>
      <c r="H244" s="7"/>
      <c r="I244" s="7"/>
    </row>
    <row r="245" customFormat="false" ht="15" hidden="false" customHeight="false" outlineLevel="0" collapsed="false">
      <c r="A245" s="7"/>
      <c r="B245" s="7"/>
      <c r="C245" s="7"/>
      <c r="D245" s="7"/>
      <c r="E245" s="6"/>
      <c r="F245" s="7"/>
      <c r="G245" s="7"/>
      <c r="H245" s="7"/>
      <c r="I245" s="7"/>
    </row>
    <row r="246" customFormat="false" ht="15" hidden="false" customHeight="false" outlineLevel="0" collapsed="false">
      <c r="A246" s="7"/>
      <c r="B246" s="7"/>
      <c r="C246" s="7"/>
      <c r="D246" s="7"/>
      <c r="E246" s="6"/>
      <c r="F246" s="7"/>
      <c r="G246" s="7"/>
      <c r="H246" s="7"/>
      <c r="I246" s="7"/>
    </row>
    <row r="247" customFormat="false" ht="15" hidden="false" customHeight="false" outlineLevel="0" collapsed="false">
      <c r="A247" s="7"/>
      <c r="B247" s="7"/>
      <c r="C247" s="7"/>
      <c r="D247" s="7"/>
      <c r="E247" s="6"/>
      <c r="F247" s="7"/>
      <c r="G247" s="7"/>
      <c r="H247" s="7"/>
      <c r="I247" s="7"/>
    </row>
    <row r="248" customFormat="false" ht="15" hidden="false" customHeight="false" outlineLevel="0" collapsed="false">
      <c r="A248" s="7"/>
      <c r="B248" s="7"/>
      <c r="C248" s="7"/>
      <c r="D248" s="7"/>
      <c r="E248" s="6"/>
      <c r="F248" s="7"/>
      <c r="G248" s="7"/>
      <c r="H248" s="7"/>
      <c r="I248" s="7"/>
    </row>
    <row r="249" customFormat="false" ht="15" hidden="false" customHeight="false" outlineLevel="0" collapsed="false">
      <c r="A249" s="7"/>
      <c r="B249" s="7"/>
      <c r="C249" s="7"/>
      <c r="D249" s="7"/>
      <c r="E249" s="6"/>
      <c r="F249" s="7"/>
      <c r="G249" s="7"/>
      <c r="H249" s="7"/>
      <c r="I249" s="7"/>
    </row>
    <row r="250" customFormat="false" ht="15" hidden="false" customHeight="false" outlineLevel="0" collapsed="false">
      <c r="A250" s="7"/>
      <c r="B250" s="7"/>
      <c r="C250" s="7"/>
      <c r="D250" s="7"/>
      <c r="E250" s="6"/>
      <c r="F250" s="7"/>
      <c r="G250" s="7"/>
      <c r="H250" s="7"/>
      <c r="I250" s="7"/>
    </row>
    <row r="251" customFormat="false" ht="15" hidden="false" customHeight="false" outlineLevel="0" collapsed="false">
      <c r="A251" s="7"/>
      <c r="B251" s="7"/>
      <c r="C251" s="7"/>
      <c r="D251" s="7"/>
      <c r="E251" s="6"/>
      <c r="F251" s="7"/>
      <c r="G251" s="7"/>
      <c r="H251" s="7"/>
      <c r="I251" s="7"/>
    </row>
    <row r="252" customFormat="false" ht="15" hidden="false" customHeight="false" outlineLevel="0" collapsed="false">
      <c r="A252" s="7"/>
      <c r="B252" s="7"/>
      <c r="C252" s="7"/>
      <c r="D252" s="7"/>
      <c r="E252" s="6"/>
      <c r="F252" s="7"/>
      <c r="G252" s="7"/>
      <c r="H252" s="7"/>
      <c r="I252" s="7"/>
    </row>
    <row r="253" customFormat="false" ht="15" hidden="false" customHeight="false" outlineLevel="0" collapsed="false">
      <c r="A253" s="7"/>
      <c r="B253" s="7"/>
      <c r="C253" s="7"/>
      <c r="D253" s="7"/>
      <c r="E253" s="6"/>
      <c r="F253" s="7"/>
      <c r="G253" s="7"/>
      <c r="H253" s="7"/>
      <c r="I253" s="7"/>
    </row>
    <row r="254" customFormat="false" ht="15" hidden="false" customHeight="false" outlineLevel="0" collapsed="false">
      <c r="A254" s="7"/>
      <c r="B254" s="7"/>
      <c r="C254" s="7"/>
      <c r="D254" s="7"/>
      <c r="E254" s="6"/>
      <c r="F254" s="7"/>
      <c r="G254" s="7"/>
      <c r="H254" s="7"/>
      <c r="I254" s="7"/>
    </row>
    <row r="255" customFormat="false" ht="15" hidden="false" customHeight="false" outlineLevel="0" collapsed="false">
      <c r="A255" s="7"/>
      <c r="B255" s="7"/>
      <c r="C255" s="7"/>
      <c r="D255" s="7"/>
      <c r="E255" s="6"/>
      <c r="F255" s="7"/>
      <c r="G255" s="7"/>
      <c r="H255" s="7"/>
      <c r="I255" s="7"/>
    </row>
    <row r="256" customFormat="false" ht="15" hidden="false" customHeight="false" outlineLevel="0" collapsed="false">
      <c r="A256" s="7"/>
      <c r="B256" s="7"/>
      <c r="C256" s="7"/>
      <c r="D256" s="7"/>
      <c r="E256" s="6"/>
      <c r="F256" s="7"/>
      <c r="G256" s="7"/>
      <c r="H256" s="7"/>
      <c r="I256" s="7"/>
    </row>
    <row r="257" customFormat="false" ht="15" hidden="false" customHeight="false" outlineLevel="0" collapsed="false">
      <c r="A257" s="7"/>
      <c r="B257" s="7"/>
      <c r="C257" s="7"/>
      <c r="D257" s="7"/>
      <c r="E257" s="6"/>
      <c r="F257" s="7"/>
      <c r="G257" s="7"/>
      <c r="H257" s="7"/>
      <c r="I257" s="7"/>
    </row>
    <row r="258" customFormat="false" ht="15" hidden="false" customHeight="false" outlineLevel="0" collapsed="false">
      <c r="A258" s="7"/>
      <c r="B258" s="7"/>
      <c r="C258" s="7"/>
      <c r="D258" s="7"/>
      <c r="E258" s="6"/>
      <c r="F258" s="7"/>
      <c r="G258" s="7"/>
      <c r="H258" s="7"/>
      <c r="I258" s="7"/>
    </row>
    <row r="259" customFormat="false" ht="15" hidden="false" customHeight="false" outlineLevel="0" collapsed="false">
      <c r="A259" s="7"/>
      <c r="B259" s="7"/>
      <c r="C259" s="7"/>
      <c r="D259" s="7"/>
      <c r="E259" s="6"/>
      <c r="F259" s="7"/>
      <c r="G259" s="7"/>
      <c r="H259" s="7"/>
      <c r="I259" s="7"/>
    </row>
    <row r="260" customFormat="false" ht="15" hidden="false" customHeight="false" outlineLevel="0" collapsed="false">
      <c r="A260" s="7"/>
      <c r="B260" s="7"/>
      <c r="C260" s="7"/>
      <c r="D260" s="7"/>
      <c r="E260" s="6"/>
      <c r="F260" s="7"/>
      <c r="G260" s="7"/>
      <c r="H260" s="7"/>
      <c r="I260" s="7"/>
    </row>
    <row r="261" customFormat="false" ht="15" hidden="false" customHeight="false" outlineLevel="0" collapsed="false">
      <c r="A261" s="7"/>
      <c r="B261" s="7"/>
      <c r="C261" s="7"/>
      <c r="D261" s="7"/>
      <c r="E261" s="6"/>
      <c r="F261" s="7"/>
      <c r="G261" s="7"/>
      <c r="H261" s="7"/>
      <c r="I261" s="7"/>
    </row>
    <row r="262" customFormat="false" ht="15" hidden="false" customHeight="false" outlineLevel="0" collapsed="false">
      <c r="A262" s="7"/>
      <c r="B262" s="7"/>
      <c r="C262" s="7"/>
      <c r="D262" s="7"/>
      <c r="E262" s="6"/>
      <c r="F262" s="7"/>
      <c r="G262" s="7"/>
      <c r="H262" s="7"/>
      <c r="I262" s="7"/>
    </row>
    <row r="263" customFormat="false" ht="15" hidden="false" customHeight="false" outlineLevel="0" collapsed="false">
      <c r="A263" s="7"/>
      <c r="B263" s="7"/>
      <c r="C263" s="7"/>
      <c r="D263" s="7"/>
      <c r="E263" s="6"/>
      <c r="F263" s="7"/>
      <c r="G263" s="7"/>
      <c r="H263" s="7"/>
      <c r="I263" s="7"/>
    </row>
    <row r="264" customFormat="false" ht="15" hidden="false" customHeight="false" outlineLevel="0" collapsed="false">
      <c r="A264" s="7"/>
      <c r="B264" s="7"/>
      <c r="C264" s="7"/>
      <c r="D264" s="7"/>
      <c r="E264" s="6"/>
      <c r="F264" s="7"/>
      <c r="G264" s="7"/>
      <c r="H264" s="7"/>
      <c r="I264" s="7"/>
    </row>
    <row r="265" customFormat="false" ht="15" hidden="false" customHeight="false" outlineLevel="0" collapsed="false">
      <c r="A265" s="7"/>
      <c r="B265" s="7"/>
      <c r="C265" s="7"/>
      <c r="D265" s="7"/>
      <c r="E265" s="6"/>
      <c r="F265" s="7"/>
      <c r="G265" s="7"/>
      <c r="H265" s="7"/>
      <c r="I265" s="7"/>
    </row>
    <row r="266" customFormat="false" ht="15" hidden="false" customHeight="false" outlineLevel="0" collapsed="false">
      <c r="A266" s="7"/>
      <c r="B266" s="7"/>
      <c r="C266" s="7"/>
      <c r="D266" s="7"/>
      <c r="E266" s="6"/>
      <c r="F266" s="7"/>
      <c r="G266" s="7"/>
      <c r="H266" s="7"/>
      <c r="I266" s="7"/>
    </row>
    <row r="267" customFormat="false" ht="15" hidden="false" customHeight="false" outlineLevel="0" collapsed="false">
      <c r="A267" s="7"/>
      <c r="B267" s="7"/>
      <c r="C267" s="7"/>
      <c r="D267" s="7"/>
      <c r="E267" s="6"/>
      <c r="F267" s="7"/>
      <c r="G267" s="7"/>
      <c r="H267" s="7"/>
      <c r="I267" s="7"/>
    </row>
    <row r="268" customFormat="false" ht="15" hidden="false" customHeight="false" outlineLevel="0" collapsed="false">
      <c r="A268" s="7"/>
      <c r="B268" s="7"/>
      <c r="C268" s="7"/>
      <c r="D268" s="7"/>
      <c r="E268" s="6"/>
      <c r="F268" s="7"/>
      <c r="G268" s="7"/>
      <c r="H268" s="7"/>
      <c r="I268" s="7"/>
    </row>
    <row r="269" customFormat="false" ht="15" hidden="false" customHeight="false" outlineLevel="0" collapsed="false">
      <c r="A269" s="7"/>
      <c r="B269" s="7"/>
      <c r="C269" s="7"/>
      <c r="D269" s="7"/>
      <c r="E269" s="6"/>
      <c r="F269" s="7"/>
      <c r="G269" s="7"/>
      <c r="H269" s="7"/>
      <c r="I269" s="7"/>
    </row>
    <row r="270" customFormat="false" ht="15" hidden="false" customHeight="false" outlineLevel="0" collapsed="false">
      <c r="A270" s="7"/>
      <c r="B270" s="7"/>
      <c r="C270" s="7"/>
      <c r="D270" s="7"/>
      <c r="E270" s="6"/>
      <c r="F270" s="7"/>
      <c r="G270" s="7"/>
      <c r="H270" s="7"/>
      <c r="I270" s="7"/>
    </row>
    <row r="271" customFormat="false" ht="15" hidden="false" customHeight="false" outlineLevel="0" collapsed="false">
      <c r="A271" s="7"/>
      <c r="B271" s="7"/>
      <c r="C271" s="7"/>
      <c r="D271" s="7"/>
      <c r="E271" s="6"/>
      <c r="F271" s="7"/>
      <c r="G271" s="7"/>
      <c r="H271" s="7"/>
      <c r="I271" s="7"/>
    </row>
    <row r="272" customFormat="false" ht="15" hidden="false" customHeight="false" outlineLevel="0" collapsed="false">
      <c r="A272" s="7"/>
      <c r="B272" s="7"/>
      <c r="C272" s="7"/>
      <c r="D272" s="7"/>
      <c r="E272" s="6"/>
      <c r="F272" s="7"/>
      <c r="G272" s="7"/>
      <c r="H272" s="7"/>
      <c r="I272" s="7"/>
    </row>
    <row r="273" customFormat="false" ht="15" hidden="false" customHeight="false" outlineLevel="0" collapsed="false">
      <c r="A273" s="7"/>
      <c r="B273" s="7"/>
      <c r="C273" s="7"/>
      <c r="D273" s="7"/>
      <c r="E273" s="6"/>
      <c r="F273" s="7"/>
      <c r="G273" s="7"/>
      <c r="H273" s="7"/>
      <c r="I273" s="7"/>
    </row>
    <row r="274" customFormat="false" ht="15" hidden="false" customHeight="false" outlineLevel="0" collapsed="false">
      <c r="A274" s="7"/>
      <c r="B274" s="7"/>
      <c r="C274" s="7"/>
      <c r="D274" s="7"/>
      <c r="E274" s="6"/>
      <c r="F274" s="7"/>
      <c r="G274" s="7"/>
      <c r="H274" s="7"/>
      <c r="I274" s="7"/>
    </row>
    <row r="275" customFormat="false" ht="15" hidden="false" customHeight="false" outlineLevel="0" collapsed="false">
      <c r="A275" s="7"/>
      <c r="B275" s="7"/>
      <c r="C275" s="7"/>
      <c r="D275" s="7"/>
      <c r="E275" s="6"/>
      <c r="F275" s="7"/>
      <c r="G275" s="7"/>
      <c r="H275" s="7"/>
      <c r="I275" s="7"/>
    </row>
    <row r="276" customFormat="false" ht="15" hidden="false" customHeight="false" outlineLevel="0" collapsed="false">
      <c r="A276" s="7"/>
      <c r="B276" s="7"/>
      <c r="C276" s="7"/>
      <c r="D276" s="7"/>
      <c r="E276" s="6"/>
      <c r="F276" s="7"/>
      <c r="G276" s="7"/>
      <c r="H276" s="7"/>
      <c r="I276" s="7"/>
    </row>
    <row r="277" customFormat="false" ht="15" hidden="false" customHeight="false" outlineLevel="0" collapsed="false">
      <c r="A277" s="7"/>
      <c r="B277" s="7"/>
      <c r="C277" s="7"/>
      <c r="D277" s="7"/>
      <c r="E277" s="6"/>
      <c r="F277" s="7"/>
      <c r="G277" s="7"/>
      <c r="H277" s="7"/>
      <c r="I277" s="7"/>
    </row>
    <row r="278" customFormat="false" ht="15" hidden="false" customHeight="false" outlineLevel="0" collapsed="false">
      <c r="A278" s="7"/>
      <c r="B278" s="7"/>
      <c r="C278" s="7"/>
      <c r="D278" s="7"/>
      <c r="E278" s="6"/>
      <c r="F278" s="7"/>
      <c r="G278" s="7"/>
      <c r="H278" s="7"/>
      <c r="I278" s="7"/>
    </row>
    <row r="279" customFormat="false" ht="15" hidden="false" customHeight="false" outlineLevel="0" collapsed="false">
      <c r="A279" s="7"/>
      <c r="B279" s="7"/>
      <c r="C279" s="7"/>
      <c r="D279" s="7"/>
      <c r="E279" s="6"/>
      <c r="F279" s="7"/>
      <c r="G279" s="7"/>
      <c r="H279" s="7"/>
      <c r="I279" s="7"/>
    </row>
    <row r="280" customFormat="false" ht="15" hidden="false" customHeight="false" outlineLevel="0" collapsed="false">
      <c r="A280" s="7"/>
      <c r="B280" s="7"/>
      <c r="C280" s="7"/>
      <c r="D280" s="7"/>
      <c r="E280" s="6"/>
      <c r="F280" s="7"/>
      <c r="G280" s="7"/>
      <c r="H280" s="7"/>
      <c r="I280" s="7"/>
    </row>
    <row r="281" customFormat="false" ht="15" hidden="false" customHeight="false" outlineLevel="0" collapsed="false">
      <c r="A281" s="7"/>
      <c r="B281" s="7"/>
      <c r="C281" s="7"/>
      <c r="D281" s="7"/>
      <c r="E281" s="6"/>
      <c r="F281" s="7"/>
      <c r="G281" s="7"/>
      <c r="H281" s="7"/>
      <c r="I281" s="7"/>
    </row>
    <row r="282" customFormat="false" ht="15" hidden="false" customHeight="false" outlineLevel="0" collapsed="false">
      <c r="A282" s="7"/>
      <c r="B282" s="7"/>
      <c r="C282" s="7"/>
      <c r="D282" s="7"/>
      <c r="E282" s="6"/>
      <c r="F282" s="7"/>
      <c r="G282" s="7"/>
      <c r="H282" s="7"/>
      <c r="I282" s="7"/>
    </row>
    <row r="283" customFormat="false" ht="15" hidden="false" customHeight="false" outlineLevel="0" collapsed="false">
      <c r="A283" s="7"/>
      <c r="B283" s="7"/>
      <c r="C283" s="7"/>
      <c r="D283" s="7"/>
      <c r="E283" s="6"/>
      <c r="F283" s="7"/>
      <c r="G283" s="7"/>
      <c r="H283" s="7"/>
      <c r="I283" s="7"/>
    </row>
    <row r="284" customFormat="false" ht="15" hidden="false" customHeight="false" outlineLevel="0" collapsed="false">
      <c r="A284" s="7"/>
      <c r="B284" s="7"/>
      <c r="C284" s="7"/>
      <c r="D284" s="7"/>
      <c r="E284" s="6"/>
      <c r="F284" s="7"/>
      <c r="G284" s="7"/>
      <c r="H284" s="7"/>
      <c r="I284" s="7"/>
    </row>
    <row r="285" customFormat="false" ht="15" hidden="false" customHeight="false" outlineLevel="0" collapsed="false">
      <c r="A285" s="7"/>
      <c r="B285" s="7"/>
      <c r="C285" s="7"/>
      <c r="D285" s="7"/>
      <c r="E285" s="6"/>
      <c r="F285" s="7"/>
      <c r="G285" s="7"/>
      <c r="H285" s="7"/>
      <c r="I285" s="7"/>
    </row>
    <row r="286" customFormat="false" ht="15" hidden="false" customHeight="false" outlineLevel="0" collapsed="false">
      <c r="A286" s="7"/>
      <c r="B286" s="7"/>
      <c r="C286" s="7"/>
      <c r="D286" s="7"/>
      <c r="E286" s="6"/>
      <c r="F286" s="7"/>
      <c r="G286" s="7"/>
      <c r="H286" s="7"/>
      <c r="I286" s="7"/>
    </row>
    <row r="287" customFormat="false" ht="15" hidden="false" customHeight="false" outlineLevel="0" collapsed="false">
      <c r="A287" s="7"/>
      <c r="B287" s="7"/>
      <c r="C287" s="7"/>
      <c r="D287" s="7"/>
      <c r="E287" s="6"/>
      <c r="F287" s="7"/>
      <c r="G287" s="7"/>
      <c r="H287" s="7"/>
      <c r="I287" s="7"/>
    </row>
    <row r="288" customFormat="false" ht="15" hidden="false" customHeight="false" outlineLevel="0" collapsed="false">
      <c r="A288" s="7"/>
      <c r="B288" s="7"/>
      <c r="C288" s="7"/>
      <c r="D288" s="7"/>
      <c r="E288" s="6"/>
      <c r="F288" s="7"/>
      <c r="G288" s="7"/>
      <c r="H288" s="7"/>
      <c r="I288" s="7"/>
    </row>
    <row r="289" customFormat="false" ht="15" hidden="false" customHeight="false" outlineLevel="0" collapsed="false">
      <c r="A289" s="7"/>
      <c r="B289" s="7"/>
      <c r="C289" s="7"/>
      <c r="D289" s="7"/>
      <c r="E289" s="6"/>
      <c r="F289" s="7"/>
      <c r="G289" s="7"/>
      <c r="H289" s="7"/>
      <c r="I289" s="7"/>
    </row>
    <row r="290" customFormat="false" ht="15" hidden="false" customHeight="false" outlineLevel="0" collapsed="false">
      <c r="A290" s="7"/>
      <c r="B290" s="7"/>
      <c r="C290" s="7"/>
      <c r="D290" s="7"/>
      <c r="E290" s="6"/>
      <c r="F290" s="7"/>
      <c r="G290" s="7"/>
      <c r="H290" s="7"/>
      <c r="I290" s="7"/>
    </row>
    <row r="291" customFormat="false" ht="15" hidden="false" customHeight="false" outlineLevel="0" collapsed="false">
      <c r="A291" s="7"/>
      <c r="B291" s="7"/>
      <c r="C291" s="7"/>
      <c r="D291" s="7"/>
      <c r="E291" s="6"/>
      <c r="F291" s="7"/>
      <c r="G291" s="7"/>
      <c r="H291" s="7"/>
      <c r="I291" s="7"/>
    </row>
    <row r="292" customFormat="false" ht="15" hidden="false" customHeight="false" outlineLevel="0" collapsed="false">
      <c r="A292" s="7"/>
      <c r="B292" s="7"/>
      <c r="C292" s="7"/>
      <c r="D292" s="7"/>
      <c r="E292" s="6"/>
      <c r="F292" s="7"/>
      <c r="G292" s="7"/>
      <c r="H292" s="7"/>
      <c r="I292" s="7"/>
    </row>
    <row r="293" customFormat="false" ht="15" hidden="false" customHeight="false" outlineLevel="0" collapsed="false">
      <c r="A293" s="7"/>
      <c r="B293" s="7"/>
      <c r="C293" s="7"/>
      <c r="D293" s="7"/>
      <c r="E293" s="6"/>
      <c r="F293" s="7"/>
      <c r="G293" s="7"/>
      <c r="H293" s="7"/>
      <c r="I293" s="7"/>
    </row>
    <row r="294" customFormat="false" ht="15" hidden="false" customHeight="false" outlineLevel="0" collapsed="false">
      <c r="A294" s="7"/>
      <c r="B294" s="7"/>
      <c r="C294" s="7"/>
      <c r="D294" s="7"/>
      <c r="E294" s="6"/>
      <c r="F294" s="7"/>
      <c r="G294" s="7"/>
      <c r="H294" s="7"/>
      <c r="I294" s="7"/>
    </row>
    <row r="295" customFormat="false" ht="15" hidden="false" customHeight="false" outlineLevel="0" collapsed="false">
      <c r="A295" s="7"/>
      <c r="B295" s="7"/>
      <c r="C295" s="7"/>
      <c r="D295" s="7"/>
      <c r="E295" s="6"/>
      <c r="F295" s="7"/>
      <c r="G295" s="7"/>
      <c r="H295" s="7"/>
      <c r="I295" s="7"/>
    </row>
    <row r="296" customFormat="false" ht="15" hidden="false" customHeight="false" outlineLevel="0" collapsed="false">
      <c r="A296" s="7"/>
      <c r="B296" s="7"/>
      <c r="C296" s="7"/>
      <c r="D296" s="7"/>
      <c r="E296" s="6"/>
      <c r="F296" s="7"/>
      <c r="G296" s="7"/>
      <c r="H296" s="7"/>
      <c r="I296" s="7"/>
    </row>
    <row r="297" customFormat="false" ht="15" hidden="false" customHeight="false" outlineLevel="0" collapsed="false">
      <c r="A297" s="7"/>
      <c r="B297" s="7"/>
      <c r="C297" s="7"/>
      <c r="D297" s="7"/>
      <c r="E297" s="6"/>
      <c r="F297" s="7"/>
      <c r="G297" s="7"/>
      <c r="H297" s="7"/>
      <c r="I297" s="7"/>
    </row>
    <row r="298" customFormat="false" ht="15" hidden="false" customHeight="false" outlineLevel="0" collapsed="false">
      <c r="A298" s="7"/>
      <c r="B298" s="7"/>
      <c r="C298" s="7"/>
      <c r="D298" s="7"/>
      <c r="E298" s="6"/>
      <c r="F298" s="7"/>
      <c r="G298" s="7"/>
      <c r="H298" s="7"/>
      <c r="I298" s="7"/>
    </row>
    <row r="299" customFormat="false" ht="15" hidden="false" customHeight="false" outlineLevel="0" collapsed="false">
      <c r="A299" s="7"/>
      <c r="B299" s="7"/>
      <c r="C299" s="7"/>
      <c r="D299" s="7"/>
      <c r="E299" s="6"/>
      <c r="F299" s="7"/>
      <c r="G299" s="7"/>
      <c r="H299" s="7"/>
      <c r="I299" s="7"/>
    </row>
    <row r="300" customFormat="false" ht="15" hidden="false" customHeight="false" outlineLevel="0" collapsed="false">
      <c r="A300" s="7"/>
      <c r="B300" s="7"/>
      <c r="C300" s="7"/>
      <c r="D300" s="7"/>
      <c r="E300" s="6"/>
      <c r="F300" s="7"/>
      <c r="G300" s="7"/>
      <c r="H300" s="7"/>
      <c r="I300" s="7"/>
    </row>
    <row r="301" customFormat="false" ht="15" hidden="false" customHeight="false" outlineLevel="0" collapsed="false">
      <c r="A301" s="7"/>
      <c r="B301" s="7"/>
      <c r="C301" s="7"/>
      <c r="D301" s="7"/>
      <c r="E301" s="6"/>
      <c r="F301" s="7"/>
      <c r="G301" s="7"/>
      <c r="H301" s="7"/>
      <c r="I301" s="7"/>
    </row>
    <row r="302" customFormat="false" ht="15" hidden="false" customHeight="false" outlineLevel="0" collapsed="false">
      <c r="A302" s="7"/>
      <c r="B302" s="7"/>
      <c r="C302" s="7"/>
      <c r="D302" s="7"/>
      <c r="E302" s="6"/>
      <c r="F302" s="7"/>
      <c r="G302" s="7"/>
      <c r="H302" s="7"/>
      <c r="I302" s="7"/>
    </row>
    <row r="303" customFormat="false" ht="15" hidden="false" customHeight="false" outlineLevel="0" collapsed="false">
      <c r="A303" s="7"/>
      <c r="B303" s="7"/>
      <c r="C303" s="7"/>
      <c r="D303" s="7"/>
      <c r="E303" s="6"/>
      <c r="F303" s="7"/>
      <c r="G303" s="7"/>
      <c r="H303" s="7"/>
      <c r="I303" s="7"/>
    </row>
    <row r="304" customFormat="false" ht="15" hidden="false" customHeight="false" outlineLevel="0" collapsed="false">
      <c r="A304" s="7"/>
      <c r="B304" s="7"/>
      <c r="C304" s="7"/>
      <c r="D304" s="7"/>
      <c r="E304" s="6"/>
      <c r="F304" s="7"/>
      <c r="G304" s="7"/>
      <c r="H304" s="7"/>
      <c r="I304" s="7"/>
    </row>
    <row r="305" customFormat="false" ht="15" hidden="false" customHeight="false" outlineLevel="0" collapsed="false">
      <c r="A305" s="7"/>
      <c r="B305" s="7"/>
      <c r="C305" s="7"/>
      <c r="D305" s="7"/>
      <c r="E305" s="6"/>
      <c r="F305" s="7"/>
      <c r="G305" s="7"/>
      <c r="H305" s="7"/>
      <c r="I305" s="7"/>
    </row>
    <row r="306" customFormat="false" ht="15" hidden="false" customHeight="false" outlineLevel="0" collapsed="false">
      <c r="A306" s="7"/>
      <c r="B306" s="7"/>
      <c r="C306" s="7"/>
      <c r="D306" s="7"/>
      <c r="E306" s="6"/>
      <c r="F306" s="7"/>
      <c r="G306" s="7"/>
      <c r="H306" s="7"/>
      <c r="I306" s="7"/>
    </row>
    <row r="307" customFormat="false" ht="15" hidden="false" customHeight="false" outlineLevel="0" collapsed="false">
      <c r="A307" s="7"/>
      <c r="B307" s="7"/>
      <c r="C307" s="7"/>
      <c r="D307" s="7"/>
      <c r="E307" s="6"/>
      <c r="F307" s="7"/>
      <c r="G307" s="7"/>
      <c r="H307" s="7"/>
      <c r="I307" s="7"/>
    </row>
    <row r="308" customFormat="false" ht="15" hidden="false" customHeight="false" outlineLevel="0" collapsed="false">
      <c r="A308" s="7"/>
      <c r="B308" s="7"/>
      <c r="C308" s="7"/>
      <c r="D308" s="7"/>
      <c r="E308" s="6"/>
      <c r="F308" s="7"/>
      <c r="G308" s="7"/>
      <c r="H308" s="7"/>
      <c r="I308" s="7"/>
    </row>
    <row r="309" customFormat="false" ht="15" hidden="false" customHeight="false" outlineLevel="0" collapsed="false">
      <c r="A309" s="7"/>
      <c r="B309" s="7"/>
      <c r="C309" s="7"/>
      <c r="D309" s="7"/>
      <c r="E309" s="6"/>
      <c r="F309" s="7"/>
      <c r="G309" s="7"/>
      <c r="H309" s="7"/>
      <c r="I309" s="7"/>
    </row>
    <row r="310" customFormat="false" ht="15" hidden="false" customHeight="false" outlineLevel="0" collapsed="false">
      <c r="A310" s="7"/>
      <c r="B310" s="7"/>
      <c r="C310" s="7"/>
      <c r="D310" s="7"/>
      <c r="E310" s="6"/>
      <c r="F310" s="7"/>
      <c r="G310" s="7"/>
      <c r="H310" s="7"/>
      <c r="I310" s="7"/>
    </row>
    <row r="311" customFormat="false" ht="15" hidden="false" customHeight="false" outlineLevel="0" collapsed="false">
      <c r="A311" s="7"/>
      <c r="B311" s="7"/>
      <c r="C311" s="7"/>
      <c r="D311" s="7"/>
      <c r="E311" s="6"/>
      <c r="F311" s="7"/>
      <c r="G311" s="7"/>
      <c r="H311" s="7"/>
      <c r="I311" s="7"/>
    </row>
    <row r="312" customFormat="false" ht="15" hidden="false" customHeight="false" outlineLevel="0" collapsed="false">
      <c r="A312" s="7"/>
      <c r="B312" s="7"/>
      <c r="C312" s="7"/>
      <c r="D312" s="7"/>
      <c r="E312" s="6"/>
      <c r="F312" s="7"/>
      <c r="G312" s="7"/>
      <c r="H312" s="7"/>
      <c r="I312" s="7"/>
    </row>
    <row r="313" customFormat="false" ht="15" hidden="false" customHeight="false" outlineLevel="0" collapsed="false">
      <c r="A313" s="7"/>
      <c r="B313" s="7"/>
      <c r="C313" s="7"/>
      <c r="D313" s="7"/>
      <c r="E313" s="6"/>
      <c r="F313" s="7"/>
      <c r="G313" s="7"/>
      <c r="H313" s="7"/>
      <c r="I313" s="7"/>
    </row>
    <row r="314" customFormat="false" ht="15" hidden="false" customHeight="false" outlineLevel="0" collapsed="false">
      <c r="A314" s="7"/>
      <c r="B314" s="7"/>
      <c r="C314" s="7"/>
      <c r="D314" s="7"/>
      <c r="E314" s="6"/>
      <c r="F314" s="7"/>
      <c r="G314" s="7"/>
      <c r="H314" s="7"/>
      <c r="I314" s="7"/>
    </row>
    <row r="315" customFormat="false" ht="15" hidden="false" customHeight="false" outlineLevel="0" collapsed="false">
      <c r="A315" s="7"/>
      <c r="B315" s="7"/>
      <c r="C315" s="7"/>
      <c r="D315" s="7"/>
      <c r="E315" s="6"/>
      <c r="F315" s="7"/>
      <c r="G315" s="7"/>
      <c r="H315" s="7"/>
      <c r="I315" s="7"/>
    </row>
    <row r="316" customFormat="false" ht="15" hidden="false" customHeight="false" outlineLevel="0" collapsed="false">
      <c r="A316" s="7"/>
      <c r="B316" s="7"/>
      <c r="C316" s="7"/>
      <c r="D316" s="7"/>
      <c r="E316" s="6"/>
      <c r="F316" s="7"/>
      <c r="G316" s="7"/>
      <c r="H316" s="7"/>
      <c r="I316" s="7"/>
    </row>
    <row r="317" customFormat="false" ht="15" hidden="false" customHeight="false" outlineLevel="0" collapsed="false">
      <c r="A317" s="7"/>
      <c r="B317" s="7"/>
      <c r="C317" s="7"/>
      <c r="D317" s="7"/>
      <c r="E317" s="6"/>
      <c r="F317" s="7"/>
      <c r="G317" s="7"/>
      <c r="H317" s="7"/>
      <c r="I317" s="7"/>
    </row>
    <row r="318" customFormat="false" ht="15" hidden="false" customHeight="false" outlineLevel="0" collapsed="false">
      <c r="A318" s="7"/>
      <c r="B318" s="7"/>
      <c r="C318" s="7"/>
      <c r="D318" s="7"/>
      <c r="E318" s="6"/>
      <c r="F318" s="7"/>
      <c r="G318" s="7"/>
      <c r="H318" s="7"/>
      <c r="I318" s="7"/>
    </row>
    <row r="319" customFormat="false" ht="15" hidden="false" customHeight="false" outlineLevel="0" collapsed="false">
      <c r="A319" s="7"/>
      <c r="B319" s="7"/>
      <c r="C319" s="7"/>
      <c r="D319" s="7"/>
      <c r="E319" s="6"/>
      <c r="F319" s="7"/>
      <c r="G319" s="7"/>
      <c r="H319" s="7"/>
      <c r="I319" s="7"/>
    </row>
    <row r="320" customFormat="false" ht="15" hidden="false" customHeight="false" outlineLevel="0" collapsed="false">
      <c r="A320" s="7"/>
      <c r="B320" s="7"/>
      <c r="C320" s="7"/>
      <c r="D320" s="7"/>
      <c r="E320" s="6"/>
      <c r="F320" s="7"/>
      <c r="G320" s="7"/>
      <c r="H320" s="7"/>
      <c r="I320" s="7"/>
    </row>
    <row r="321" customFormat="false" ht="15" hidden="false" customHeight="false" outlineLevel="0" collapsed="false">
      <c r="A321" s="7"/>
      <c r="B321" s="7"/>
      <c r="C321" s="7"/>
      <c r="D321" s="7"/>
      <c r="E321" s="6"/>
      <c r="F321" s="7"/>
      <c r="G321" s="7"/>
      <c r="H321" s="7"/>
      <c r="I321" s="7"/>
    </row>
    <row r="322" customFormat="false" ht="15" hidden="false" customHeight="false" outlineLevel="0" collapsed="false">
      <c r="A322" s="7"/>
      <c r="B322" s="7"/>
      <c r="C322" s="7"/>
      <c r="D322" s="7"/>
      <c r="E322" s="6"/>
      <c r="F322" s="7"/>
      <c r="G322" s="7"/>
      <c r="H322" s="7"/>
      <c r="I322" s="7"/>
    </row>
    <row r="323" customFormat="false" ht="15" hidden="false" customHeight="false" outlineLevel="0" collapsed="false">
      <c r="A323" s="7"/>
      <c r="B323" s="7"/>
      <c r="C323" s="7"/>
      <c r="D323" s="7"/>
      <c r="E323" s="6"/>
      <c r="F323" s="7"/>
      <c r="G323" s="7"/>
      <c r="H323" s="7"/>
      <c r="I323" s="7"/>
    </row>
    <row r="324" customFormat="false" ht="15" hidden="false" customHeight="false" outlineLevel="0" collapsed="false">
      <c r="A324" s="7"/>
      <c r="B324" s="7"/>
      <c r="C324" s="7"/>
      <c r="D324" s="7"/>
      <c r="E324" s="6"/>
      <c r="F324" s="7"/>
      <c r="G324" s="7"/>
      <c r="H324" s="7"/>
      <c r="I324" s="7"/>
    </row>
    <row r="325" customFormat="false" ht="15" hidden="false" customHeight="false" outlineLevel="0" collapsed="false">
      <c r="A325" s="7"/>
      <c r="B325" s="7"/>
      <c r="C325" s="7"/>
      <c r="D325" s="7"/>
      <c r="E325" s="6"/>
      <c r="F325" s="7"/>
      <c r="G325" s="7"/>
      <c r="H325" s="7"/>
      <c r="I325" s="7"/>
    </row>
    <row r="326" customFormat="false" ht="15" hidden="false" customHeight="false" outlineLevel="0" collapsed="false">
      <c r="A326" s="7"/>
      <c r="B326" s="7"/>
      <c r="C326" s="7"/>
      <c r="D326" s="7"/>
      <c r="E326" s="6"/>
      <c r="F326" s="7"/>
      <c r="G326" s="7"/>
      <c r="H326" s="7"/>
      <c r="I326" s="7"/>
    </row>
    <row r="327" customFormat="false" ht="15" hidden="false" customHeight="false" outlineLevel="0" collapsed="false">
      <c r="A327" s="7"/>
      <c r="B327" s="7"/>
      <c r="C327" s="7"/>
      <c r="D327" s="7"/>
      <c r="E327" s="6"/>
      <c r="F327" s="7"/>
      <c r="G327" s="7"/>
      <c r="H327" s="7"/>
      <c r="I327" s="7"/>
    </row>
    <row r="328" customFormat="false" ht="15" hidden="false" customHeight="false" outlineLevel="0" collapsed="false">
      <c r="A328" s="7"/>
      <c r="B328" s="7"/>
      <c r="C328" s="7"/>
      <c r="D328" s="7"/>
      <c r="E328" s="6"/>
      <c r="F328" s="7"/>
      <c r="G328" s="7"/>
      <c r="H328" s="7"/>
      <c r="I328" s="7"/>
    </row>
    <row r="329" customFormat="false" ht="15" hidden="false" customHeight="false" outlineLevel="0" collapsed="false">
      <c r="A329" s="7"/>
      <c r="B329" s="7"/>
      <c r="C329" s="7"/>
      <c r="D329" s="7"/>
      <c r="E329" s="6"/>
      <c r="F329" s="7"/>
      <c r="G329" s="7"/>
      <c r="H329" s="7"/>
      <c r="I329" s="7"/>
    </row>
    <row r="330" customFormat="false" ht="15" hidden="false" customHeight="false" outlineLevel="0" collapsed="false">
      <c r="A330" s="7"/>
      <c r="B330" s="7"/>
      <c r="C330" s="7"/>
      <c r="D330" s="7"/>
      <c r="E330" s="6"/>
      <c r="F330" s="7"/>
      <c r="G330" s="7"/>
      <c r="H330" s="7"/>
      <c r="I330" s="7"/>
    </row>
    <row r="331" customFormat="false" ht="15" hidden="false" customHeight="false" outlineLevel="0" collapsed="false">
      <c r="A331" s="7"/>
      <c r="B331" s="7"/>
      <c r="C331" s="7"/>
      <c r="D331" s="7"/>
      <c r="E331" s="6"/>
      <c r="F331" s="7"/>
      <c r="G331" s="7"/>
      <c r="H331" s="7"/>
      <c r="I331" s="7"/>
    </row>
    <row r="332" customFormat="false" ht="15" hidden="false" customHeight="false" outlineLevel="0" collapsed="false">
      <c r="A332" s="7"/>
      <c r="B332" s="7"/>
      <c r="C332" s="7"/>
      <c r="D332" s="7"/>
      <c r="E332" s="6"/>
      <c r="F332" s="7"/>
      <c r="G332" s="7"/>
      <c r="H332" s="7"/>
      <c r="I332" s="7"/>
    </row>
    <row r="333" customFormat="false" ht="15" hidden="false" customHeight="false" outlineLevel="0" collapsed="false">
      <c r="A333" s="7"/>
      <c r="B333" s="7"/>
      <c r="C333" s="7"/>
      <c r="D333" s="7"/>
      <c r="E333" s="6"/>
      <c r="F333" s="7"/>
      <c r="G333" s="7"/>
      <c r="H333" s="7"/>
      <c r="I333" s="7"/>
    </row>
    <row r="334" customFormat="false" ht="15" hidden="false" customHeight="false" outlineLevel="0" collapsed="false">
      <c r="A334" s="7"/>
      <c r="B334" s="7"/>
      <c r="C334" s="7"/>
      <c r="D334" s="7"/>
      <c r="E334" s="6"/>
      <c r="F334" s="7"/>
      <c r="G334" s="7"/>
      <c r="H334" s="7"/>
      <c r="I334" s="7"/>
    </row>
    <row r="335" customFormat="false" ht="15" hidden="false" customHeight="false" outlineLevel="0" collapsed="false">
      <c r="A335" s="7"/>
      <c r="B335" s="7"/>
      <c r="C335" s="7"/>
      <c r="D335" s="7"/>
      <c r="E335" s="6"/>
      <c r="F335" s="7"/>
      <c r="G335" s="7"/>
      <c r="H335" s="7"/>
      <c r="I335" s="7"/>
    </row>
    <row r="336" customFormat="false" ht="15" hidden="false" customHeight="false" outlineLevel="0" collapsed="false">
      <c r="A336" s="7"/>
      <c r="B336" s="7"/>
      <c r="C336" s="7"/>
      <c r="D336" s="7"/>
      <c r="E336" s="6"/>
      <c r="F336" s="7"/>
      <c r="G336" s="7"/>
      <c r="H336" s="7"/>
      <c r="I336" s="7"/>
    </row>
    <row r="337" customFormat="false" ht="15" hidden="false" customHeight="false" outlineLevel="0" collapsed="false">
      <c r="A337" s="7"/>
      <c r="B337" s="7"/>
      <c r="C337" s="7"/>
      <c r="D337" s="7"/>
      <c r="E337" s="6"/>
      <c r="F337" s="7"/>
      <c r="G337" s="7"/>
      <c r="H337" s="7"/>
      <c r="I337" s="7"/>
    </row>
    <row r="338" customFormat="false" ht="15" hidden="false" customHeight="false" outlineLevel="0" collapsed="false">
      <c r="A338" s="7"/>
      <c r="B338" s="7"/>
      <c r="C338" s="7"/>
      <c r="D338" s="7"/>
      <c r="E338" s="6"/>
      <c r="F338" s="7"/>
      <c r="G338" s="7"/>
      <c r="H338" s="7"/>
      <c r="I338" s="7"/>
    </row>
    <row r="339" customFormat="false" ht="15" hidden="false" customHeight="false" outlineLevel="0" collapsed="false">
      <c r="A339" s="7"/>
      <c r="B339" s="7"/>
      <c r="C339" s="7"/>
      <c r="D339" s="7"/>
      <c r="E339" s="6"/>
      <c r="F339" s="7"/>
      <c r="G339" s="7"/>
      <c r="H339" s="7"/>
      <c r="I339" s="7"/>
    </row>
    <row r="340" customFormat="false" ht="15" hidden="false" customHeight="false" outlineLevel="0" collapsed="false">
      <c r="A340" s="7"/>
      <c r="B340" s="7"/>
      <c r="C340" s="7"/>
      <c r="D340" s="7"/>
      <c r="E340" s="6"/>
      <c r="F340" s="7"/>
      <c r="G340" s="7"/>
      <c r="H340" s="7"/>
      <c r="I340" s="7"/>
    </row>
    <row r="341" customFormat="false" ht="15" hidden="false" customHeight="false" outlineLevel="0" collapsed="false">
      <c r="A341" s="7"/>
      <c r="B341" s="7"/>
      <c r="C341" s="7"/>
      <c r="D341" s="7"/>
      <c r="E341" s="6"/>
      <c r="F341" s="7"/>
      <c r="G341" s="7"/>
      <c r="H341" s="7"/>
      <c r="I341" s="7"/>
    </row>
    <row r="342" customFormat="false" ht="15" hidden="false" customHeight="false" outlineLevel="0" collapsed="false">
      <c r="A342" s="7"/>
      <c r="B342" s="7"/>
      <c r="C342" s="7"/>
      <c r="D342" s="7"/>
      <c r="E342" s="6"/>
      <c r="F342" s="7"/>
      <c r="G342" s="7"/>
      <c r="H342" s="7"/>
      <c r="I342" s="7"/>
    </row>
    <row r="343" customFormat="false" ht="15" hidden="false" customHeight="false" outlineLevel="0" collapsed="false">
      <c r="A343" s="7"/>
      <c r="B343" s="7"/>
      <c r="C343" s="7"/>
      <c r="D343" s="7"/>
      <c r="E343" s="6"/>
      <c r="F343" s="7"/>
      <c r="G343" s="7"/>
      <c r="H343" s="7"/>
      <c r="I343" s="7"/>
    </row>
    <row r="344" customFormat="false" ht="15" hidden="false" customHeight="false" outlineLevel="0" collapsed="false">
      <c r="A344" s="7"/>
      <c r="B344" s="7"/>
      <c r="C344" s="7"/>
      <c r="D344" s="7"/>
      <c r="E344" s="6"/>
      <c r="F344" s="7"/>
      <c r="G344" s="7"/>
      <c r="H344" s="7"/>
      <c r="I344" s="7"/>
    </row>
    <row r="345" customFormat="false" ht="15" hidden="false" customHeight="false" outlineLevel="0" collapsed="false">
      <c r="A345" s="7"/>
      <c r="B345" s="7"/>
      <c r="C345" s="7"/>
      <c r="D345" s="7"/>
      <c r="E345" s="6"/>
      <c r="F345" s="7"/>
      <c r="G345" s="7"/>
      <c r="H345" s="7"/>
      <c r="I345" s="7"/>
    </row>
    <row r="346" customFormat="false" ht="15" hidden="false" customHeight="false" outlineLevel="0" collapsed="false">
      <c r="A346" s="7"/>
      <c r="B346" s="7"/>
      <c r="C346" s="7"/>
      <c r="D346" s="7"/>
      <c r="E346" s="6"/>
      <c r="F346" s="7"/>
      <c r="G346" s="7"/>
      <c r="H346" s="7"/>
      <c r="I346" s="7"/>
    </row>
    <row r="347" customFormat="false" ht="15" hidden="false" customHeight="false" outlineLevel="0" collapsed="false">
      <c r="A347" s="7"/>
      <c r="B347" s="7"/>
      <c r="C347" s="7"/>
      <c r="D347" s="7"/>
      <c r="E347" s="6"/>
      <c r="F347" s="7"/>
      <c r="G347" s="7"/>
      <c r="H347" s="7"/>
      <c r="I347" s="7"/>
    </row>
    <row r="348" customFormat="false" ht="15" hidden="false" customHeight="false" outlineLevel="0" collapsed="false">
      <c r="A348" s="7"/>
      <c r="B348" s="7"/>
      <c r="C348" s="7"/>
      <c r="D348" s="7"/>
      <c r="E348" s="6"/>
      <c r="F348" s="7"/>
      <c r="G348" s="7"/>
      <c r="H348" s="7"/>
      <c r="I348" s="7"/>
    </row>
    <row r="349" customFormat="false" ht="15" hidden="false" customHeight="false" outlineLevel="0" collapsed="false">
      <c r="A349" s="7"/>
      <c r="B349" s="7"/>
      <c r="C349" s="7"/>
      <c r="D349" s="7"/>
      <c r="E349" s="6"/>
      <c r="F349" s="7"/>
      <c r="G349" s="7"/>
      <c r="H349" s="7"/>
      <c r="I349" s="7"/>
    </row>
    <row r="350" customFormat="false" ht="15" hidden="false" customHeight="false" outlineLevel="0" collapsed="false">
      <c r="A350" s="7"/>
      <c r="B350" s="7"/>
      <c r="C350" s="7"/>
      <c r="D350" s="7"/>
      <c r="E350" s="6"/>
      <c r="F350" s="7"/>
      <c r="G350" s="7"/>
      <c r="H350" s="7"/>
      <c r="I350" s="7"/>
    </row>
    <row r="351" customFormat="false" ht="15" hidden="false" customHeight="false" outlineLevel="0" collapsed="false">
      <c r="A351" s="7"/>
      <c r="B351" s="7"/>
      <c r="C351" s="7"/>
      <c r="D351" s="7"/>
      <c r="E351" s="6"/>
      <c r="F351" s="7"/>
      <c r="G351" s="7"/>
      <c r="H351" s="7"/>
      <c r="I351" s="7"/>
    </row>
    <row r="352" customFormat="false" ht="15" hidden="false" customHeight="false" outlineLevel="0" collapsed="false">
      <c r="A352" s="7"/>
      <c r="B352" s="7"/>
      <c r="C352" s="7"/>
      <c r="D352" s="7"/>
      <c r="E352" s="6"/>
      <c r="F352" s="7"/>
      <c r="G352" s="7"/>
      <c r="H352" s="7"/>
      <c r="I352" s="7"/>
    </row>
    <row r="353" customFormat="false" ht="15" hidden="false" customHeight="false" outlineLevel="0" collapsed="false">
      <c r="A353" s="7"/>
      <c r="B353" s="7"/>
      <c r="C353" s="7"/>
      <c r="D353" s="7"/>
      <c r="E353" s="6"/>
      <c r="F353" s="7"/>
      <c r="G353" s="7"/>
      <c r="H353" s="7"/>
      <c r="I353" s="7"/>
    </row>
    <row r="354" customFormat="false" ht="15" hidden="false" customHeight="false" outlineLevel="0" collapsed="false">
      <c r="A354" s="7"/>
      <c r="B354" s="7"/>
      <c r="C354" s="7"/>
      <c r="D354" s="7"/>
      <c r="E354" s="6"/>
      <c r="F354" s="7"/>
      <c r="G354" s="7"/>
      <c r="H354" s="7"/>
      <c r="I354" s="7"/>
    </row>
    <row r="355" customFormat="false" ht="15" hidden="false" customHeight="false" outlineLevel="0" collapsed="false">
      <c r="A355" s="7"/>
      <c r="B355" s="7"/>
      <c r="C355" s="7"/>
      <c r="D355" s="7"/>
      <c r="E355" s="6"/>
      <c r="F355" s="7"/>
      <c r="G355" s="7"/>
      <c r="H355" s="7"/>
      <c r="I355" s="7"/>
    </row>
    <row r="356" customFormat="false" ht="15" hidden="false" customHeight="false" outlineLevel="0" collapsed="false">
      <c r="A356" s="7"/>
      <c r="B356" s="7"/>
      <c r="C356" s="7"/>
      <c r="D356" s="7"/>
      <c r="E356" s="6"/>
      <c r="F356" s="7"/>
      <c r="G356" s="7"/>
      <c r="H356" s="7"/>
      <c r="I356" s="7"/>
    </row>
    <row r="357" customFormat="false" ht="15" hidden="false" customHeight="false" outlineLevel="0" collapsed="false">
      <c r="A357" s="7"/>
      <c r="B357" s="7"/>
      <c r="C357" s="7"/>
      <c r="D357" s="7"/>
      <c r="E357" s="6"/>
      <c r="F357" s="7"/>
      <c r="G357" s="7"/>
      <c r="H357" s="7"/>
      <c r="I357" s="7"/>
    </row>
    <row r="358" customFormat="false" ht="15" hidden="false" customHeight="false" outlineLevel="0" collapsed="false">
      <c r="A358" s="7"/>
      <c r="B358" s="7"/>
      <c r="C358" s="7"/>
      <c r="D358" s="7"/>
      <c r="E358" s="6"/>
      <c r="F358" s="7"/>
      <c r="G358" s="7"/>
      <c r="H358" s="7"/>
      <c r="I358" s="7"/>
    </row>
    <row r="359" customFormat="false" ht="15" hidden="false" customHeight="false" outlineLevel="0" collapsed="false">
      <c r="A359" s="7"/>
      <c r="B359" s="7"/>
      <c r="C359" s="7"/>
      <c r="D359" s="7"/>
      <c r="E359" s="6"/>
      <c r="F359" s="7"/>
      <c r="G359" s="7"/>
      <c r="H359" s="7"/>
      <c r="I359" s="7"/>
    </row>
    <row r="360" customFormat="false" ht="15" hidden="false" customHeight="false" outlineLevel="0" collapsed="false">
      <c r="A360" s="7"/>
      <c r="B360" s="7"/>
      <c r="C360" s="7"/>
      <c r="D360" s="7"/>
      <c r="E360" s="6"/>
      <c r="F360" s="7"/>
      <c r="G360" s="7"/>
      <c r="H360" s="7"/>
      <c r="I360" s="7"/>
    </row>
    <row r="361" customFormat="false" ht="15" hidden="false" customHeight="false" outlineLevel="0" collapsed="false">
      <c r="A361" s="7"/>
      <c r="B361" s="7"/>
      <c r="C361" s="7"/>
      <c r="D361" s="7"/>
      <c r="E361" s="6"/>
      <c r="F361" s="7"/>
      <c r="G361" s="7"/>
      <c r="H361" s="7"/>
      <c r="I361" s="7"/>
    </row>
    <row r="362" customFormat="false" ht="15" hidden="false" customHeight="false" outlineLevel="0" collapsed="false">
      <c r="A362" s="7"/>
      <c r="B362" s="7"/>
      <c r="C362" s="7"/>
      <c r="D362" s="7"/>
      <c r="E362" s="6"/>
      <c r="F362" s="7"/>
      <c r="G362" s="7"/>
      <c r="H362" s="7"/>
      <c r="I362" s="7"/>
    </row>
    <row r="363" customFormat="false" ht="15" hidden="false" customHeight="false" outlineLevel="0" collapsed="false">
      <c r="A363" s="7"/>
      <c r="B363" s="7"/>
      <c r="C363" s="7"/>
      <c r="D363" s="7"/>
      <c r="E363" s="6"/>
      <c r="F363" s="7"/>
      <c r="G363" s="7"/>
      <c r="H363" s="7"/>
      <c r="I363" s="7"/>
    </row>
    <row r="364" customFormat="false" ht="15" hidden="false" customHeight="false" outlineLevel="0" collapsed="false">
      <c r="A364" s="7"/>
      <c r="B364" s="7"/>
      <c r="C364" s="7"/>
      <c r="D364" s="7"/>
      <c r="E364" s="6"/>
      <c r="F364" s="7"/>
      <c r="G364" s="7"/>
      <c r="H364" s="7"/>
      <c r="I364" s="7"/>
    </row>
    <row r="365" customFormat="false" ht="15" hidden="false" customHeight="false" outlineLevel="0" collapsed="false">
      <c r="A365" s="7"/>
      <c r="B365" s="7"/>
      <c r="C365" s="7"/>
      <c r="D365" s="7"/>
      <c r="E365" s="6"/>
      <c r="F365" s="7"/>
      <c r="G365" s="7"/>
      <c r="H365" s="7"/>
      <c r="I365" s="7"/>
    </row>
    <row r="366" customFormat="false" ht="15" hidden="false" customHeight="false" outlineLevel="0" collapsed="false">
      <c r="A366" s="7"/>
      <c r="B366" s="7"/>
      <c r="C366" s="7"/>
      <c r="D366" s="7"/>
      <c r="E366" s="6"/>
      <c r="F366" s="7"/>
      <c r="G366" s="7"/>
      <c r="H366" s="7"/>
      <c r="I366" s="7"/>
    </row>
    <row r="367" customFormat="false" ht="15" hidden="false" customHeight="false" outlineLevel="0" collapsed="false">
      <c r="A367" s="7"/>
      <c r="B367" s="7"/>
      <c r="C367" s="7"/>
      <c r="D367" s="7"/>
      <c r="E367" s="6"/>
      <c r="F367" s="7"/>
      <c r="G367" s="7"/>
      <c r="H367" s="7"/>
      <c r="I367" s="7"/>
    </row>
    <row r="368" customFormat="false" ht="15" hidden="false" customHeight="false" outlineLevel="0" collapsed="false">
      <c r="A368" s="7"/>
      <c r="B368" s="7"/>
      <c r="C368" s="7"/>
      <c r="D368" s="7"/>
      <c r="E368" s="6"/>
      <c r="F368" s="7"/>
      <c r="G368" s="7"/>
      <c r="H368" s="7"/>
      <c r="I368" s="7"/>
    </row>
    <row r="369" customFormat="false" ht="15" hidden="false" customHeight="false" outlineLevel="0" collapsed="false">
      <c r="A369" s="7"/>
      <c r="B369" s="7"/>
      <c r="C369" s="7"/>
      <c r="D369" s="7"/>
      <c r="E369" s="6"/>
      <c r="F369" s="7"/>
      <c r="G369" s="7"/>
      <c r="H369" s="7"/>
      <c r="I369" s="7"/>
    </row>
    <row r="370" customFormat="false" ht="15" hidden="false" customHeight="false" outlineLevel="0" collapsed="false">
      <c r="A370" s="7"/>
      <c r="B370" s="7"/>
      <c r="C370" s="7"/>
      <c r="D370" s="7"/>
      <c r="E370" s="6"/>
      <c r="F370" s="7"/>
      <c r="G370" s="7"/>
      <c r="H370" s="7"/>
      <c r="I370" s="7"/>
    </row>
    <row r="371" customFormat="false" ht="15" hidden="false" customHeight="false" outlineLevel="0" collapsed="false">
      <c r="A371" s="7"/>
      <c r="B371" s="7"/>
      <c r="C371" s="7"/>
      <c r="D371" s="7"/>
      <c r="E371" s="6"/>
      <c r="F371" s="7"/>
      <c r="G371" s="7"/>
      <c r="H371" s="7"/>
      <c r="I371" s="7"/>
    </row>
    <row r="372" customFormat="false" ht="15" hidden="false" customHeight="false" outlineLevel="0" collapsed="false">
      <c r="A372" s="7"/>
      <c r="B372" s="7"/>
      <c r="C372" s="7"/>
      <c r="D372" s="7"/>
      <c r="E372" s="6"/>
      <c r="F372" s="7"/>
      <c r="G372" s="7"/>
      <c r="H372" s="7"/>
      <c r="I372" s="7"/>
    </row>
    <row r="373" customFormat="false" ht="15" hidden="false" customHeight="false" outlineLevel="0" collapsed="false">
      <c r="A373" s="7"/>
      <c r="B373" s="7"/>
      <c r="C373" s="7"/>
      <c r="D373" s="7"/>
      <c r="E373" s="6"/>
      <c r="F373" s="7"/>
      <c r="G373" s="7"/>
      <c r="H373" s="7"/>
      <c r="I373" s="7"/>
    </row>
    <row r="374" customFormat="false" ht="15" hidden="false" customHeight="false" outlineLevel="0" collapsed="false">
      <c r="A374" s="7"/>
      <c r="B374" s="7"/>
      <c r="C374" s="7"/>
      <c r="D374" s="7"/>
      <c r="E374" s="6"/>
      <c r="F374" s="7"/>
      <c r="G374" s="7"/>
      <c r="H374" s="7"/>
      <c r="I374" s="7"/>
    </row>
    <row r="375" customFormat="false" ht="15" hidden="false" customHeight="false" outlineLevel="0" collapsed="false">
      <c r="A375" s="7"/>
      <c r="B375" s="7"/>
      <c r="C375" s="7"/>
      <c r="D375" s="7"/>
      <c r="E375" s="6"/>
      <c r="F375" s="7"/>
      <c r="G375" s="7"/>
      <c r="H375" s="7"/>
      <c r="I375" s="7"/>
    </row>
    <row r="376" customFormat="false" ht="15" hidden="false" customHeight="false" outlineLevel="0" collapsed="false">
      <c r="A376" s="7"/>
      <c r="B376" s="7"/>
      <c r="C376" s="7"/>
      <c r="D376" s="7"/>
      <c r="E376" s="6"/>
      <c r="F376" s="7"/>
      <c r="G376" s="7"/>
      <c r="H376" s="7"/>
      <c r="I376" s="7"/>
    </row>
    <row r="377" customFormat="false" ht="15" hidden="false" customHeight="false" outlineLevel="0" collapsed="false">
      <c r="A377" s="7"/>
      <c r="B377" s="7"/>
      <c r="C377" s="7"/>
      <c r="D377" s="7"/>
      <c r="E377" s="6"/>
      <c r="F377" s="7"/>
      <c r="G377" s="7"/>
      <c r="H377" s="7"/>
      <c r="I377" s="7"/>
    </row>
    <row r="378" customFormat="false" ht="15" hidden="false" customHeight="false" outlineLevel="0" collapsed="false">
      <c r="A378" s="7"/>
      <c r="B378" s="7"/>
      <c r="C378" s="7"/>
      <c r="D378" s="7"/>
      <c r="E378" s="6"/>
      <c r="F378" s="7"/>
      <c r="G378" s="7"/>
      <c r="H378" s="7"/>
      <c r="I378" s="7"/>
    </row>
    <row r="379" customFormat="false" ht="15" hidden="false" customHeight="false" outlineLevel="0" collapsed="false">
      <c r="A379" s="7"/>
      <c r="B379" s="7"/>
      <c r="C379" s="7"/>
      <c r="D379" s="7"/>
      <c r="E379" s="6"/>
      <c r="F379" s="7"/>
      <c r="G379" s="7"/>
      <c r="H379" s="7"/>
      <c r="I379" s="7"/>
    </row>
    <row r="380" customFormat="false" ht="15" hidden="false" customHeight="false" outlineLevel="0" collapsed="false">
      <c r="A380" s="7"/>
      <c r="B380" s="7"/>
      <c r="C380" s="7"/>
      <c r="D380" s="7"/>
      <c r="E380" s="6"/>
      <c r="F380" s="7"/>
      <c r="G380" s="7"/>
      <c r="H380" s="7"/>
      <c r="I380" s="7"/>
    </row>
    <row r="381" customFormat="false" ht="15" hidden="false" customHeight="false" outlineLevel="0" collapsed="false">
      <c r="A381" s="7"/>
      <c r="B381" s="7"/>
      <c r="C381" s="7"/>
      <c r="D381" s="7"/>
      <c r="E381" s="6"/>
      <c r="F381" s="7"/>
      <c r="G381" s="7"/>
      <c r="H381" s="7"/>
      <c r="I381" s="7"/>
    </row>
    <row r="382" customFormat="false" ht="15" hidden="false" customHeight="false" outlineLevel="0" collapsed="false">
      <c r="A382" s="7"/>
      <c r="B382" s="7"/>
      <c r="C382" s="7"/>
      <c r="D382" s="7"/>
      <c r="E382" s="6"/>
      <c r="F382" s="7"/>
      <c r="G382" s="7"/>
      <c r="H382" s="7"/>
      <c r="I382" s="7"/>
    </row>
    <row r="383" customFormat="false" ht="15" hidden="false" customHeight="false" outlineLevel="0" collapsed="false">
      <c r="A383" s="7"/>
      <c r="B383" s="7"/>
      <c r="C383" s="7"/>
      <c r="D383" s="7"/>
      <c r="E383" s="6"/>
      <c r="F383" s="7"/>
      <c r="G383" s="7"/>
      <c r="H383" s="7"/>
      <c r="I383" s="7"/>
    </row>
    <row r="384" customFormat="false" ht="15" hidden="false" customHeight="false" outlineLevel="0" collapsed="false">
      <c r="A384" s="7"/>
      <c r="B384" s="7"/>
      <c r="C384" s="7"/>
      <c r="D384" s="7"/>
      <c r="E384" s="6"/>
      <c r="F384" s="7"/>
      <c r="G384" s="7"/>
      <c r="H384" s="7"/>
      <c r="I384" s="7"/>
    </row>
    <row r="385" customFormat="false" ht="15" hidden="false" customHeight="false" outlineLevel="0" collapsed="false">
      <c r="A385" s="7"/>
      <c r="B385" s="7"/>
      <c r="C385" s="7"/>
      <c r="D385" s="7"/>
      <c r="E385" s="6"/>
      <c r="F385" s="7"/>
      <c r="G385" s="7"/>
      <c r="H385" s="7"/>
      <c r="I385" s="7"/>
    </row>
    <row r="386" customFormat="false" ht="15" hidden="false" customHeight="false" outlineLevel="0" collapsed="false">
      <c r="A386" s="7"/>
      <c r="B386" s="7"/>
      <c r="C386" s="7"/>
      <c r="D386" s="7"/>
      <c r="E386" s="6"/>
      <c r="F386" s="7"/>
      <c r="G386" s="7"/>
      <c r="H386" s="7"/>
      <c r="I386" s="7"/>
    </row>
    <row r="387" customFormat="false" ht="15" hidden="false" customHeight="false" outlineLevel="0" collapsed="false">
      <c r="A387" s="7"/>
      <c r="B387" s="7"/>
      <c r="C387" s="7"/>
      <c r="D387" s="7"/>
      <c r="E387" s="6"/>
      <c r="F387" s="7"/>
      <c r="G387" s="7"/>
      <c r="H387" s="7"/>
      <c r="I387" s="7"/>
    </row>
    <row r="388" customFormat="false" ht="15" hidden="false" customHeight="false" outlineLevel="0" collapsed="false">
      <c r="A388" s="7"/>
      <c r="B388" s="7"/>
      <c r="C388" s="7"/>
      <c r="D388" s="7"/>
      <c r="E388" s="6"/>
      <c r="F388" s="7"/>
      <c r="G388" s="7"/>
      <c r="H388" s="7"/>
      <c r="I388" s="7"/>
    </row>
    <row r="389" customFormat="false" ht="15" hidden="false" customHeight="false" outlineLevel="0" collapsed="false">
      <c r="A389" s="7"/>
      <c r="B389" s="7"/>
      <c r="C389" s="7"/>
      <c r="D389" s="7"/>
      <c r="E389" s="6"/>
      <c r="F389" s="7"/>
      <c r="G389" s="7"/>
      <c r="H389" s="7"/>
      <c r="I389" s="7"/>
    </row>
    <row r="390" customFormat="false" ht="15" hidden="false" customHeight="false" outlineLevel="0" collapsed="false">
      <c r="A390" s="7"/>
      <c r="B390" s="7"/>
      <c r="C390" s="7"/>
      <c r="D390" s="7"/>
      <c r="E390" s="6"/>
      <c r="F390" s="7"/>
      <c r="G390" s="7"/>
      <c r="H390" s="7"/>
      <c r="I390" s="7"/>
    </row>
    <row r="391" customFormat="false" ht="15" hidden="false" customHeight="false" outlineLevel="0" collapsed="false">
      <c r="A391" s="7"/>
      <c r="B391" s="7"/>
      <c r="C391" s="7"/>
      <c r="D391" s="7"/>
      <c r="E391" s="6"/>
      <c r="F391" s="7"/>
      <c r="G391" s="7"/>
      <c r="H391" s="7"/>
      <c r="I391" s="7"/>
    </row>
    <row r="392" customFormat="false" ht="15" hidden="false" customHeight="false" outlineLevel="0" collapsed="false">
      <c r="A392" s="7"/>
      <c r="B392" s="7"/>
      <c r="C392" s="7"/>
      <c r="D392" s="7"/>
      <c r="E392" s="6"/>
      <c r="F392" s="7"/>
      <c r="G392" s="7"/>
      <c r="H392" s="7"/>
      <c r="I392" s="7"/>
    </row>
    <row r="393" customFormat="false" ht="15" hidden="false" customHeight="false" outlineLevel="0" collapsed="false">
      <c r="A393" s="7"/>
      <c r="B393" s="7"/>
      <c r="C393" s="7"/>
      <c r="D393" s="7"/>
      <c r="E393" s="6"/>
      <c r="F393" s="7"/>
      <c r="G393" s="7"/>
      <c r="H393" s="7"/>
      <c r="I393" s="7"/>
    </row>
    <row r="394" customFormat="false" ht="15" hidden="false" customHeight="false" outlineLevel="0" collapsed="false">
      <c r="A394" s="7"/>
      <c r="B394" s="7"/>
      <c r="C394" s="7"/>
      <c r="D394" s="7"/>
      <c r="E394" s="6"/>
      <c r="F394" s="7"/>
      <c r="G394" s="7"/>
      <c r="H394" s="7"/>
      <c r="I394" s="7"/>
    </row>
    <row r="395" customFormat="false" ht="15" hidden="false" customHeight="false" outlineLevel="0" collapsed="false">
      <c r="A395" s="7"/>
      <c r="B395" s="7"/>
      <c r="C395" s="7"/>
      <c r="D395" s="7"/>
      <c r="E395" s="6"/>
      <c r="F395" s="7"/>
      <c r="G395" s="7"/>
      <c r="H395" s="7"/>
      <c r="I395" s="7"/>
    </row>
    <row r="396" customFormat="false" ht="15" hidden="false" customHeight="false" outlineLevel="0" collapsed="false">
      <c r="A396" s="7"/>
      <c r="B396" s="7"/>
      <c r="C396" s="7"/>
      <c r="D396" s="7"/>
      <c r="E396" s="6"/>
      <c r="F396" s="7"/>
      <c r="G396" s="7"/>
      <c r="H396" s="7"/>
      <c r="I396" s="7"/>
    </row>
    <row r="397" customFormat="false" ht="15" hidden="false" customHeight="false" outlineLevel="0" collapsed="false">
      <c r="A397" s="7"/>
      <c r="B397" s="7"/>
      <c r="C397" s="7"/>
      <c r="D397" s="7"/>
      <c r="E397" s="6"/>
      <c r="F397" s="7"/>
      <c r="G397" s="7"/>
      <c r="H397" s="7"/>
      <c r="I397" s="7"/>
    </row>
    <row r="398" customFormat="false" ht="15" hidden="false" customHeight="false" outlineLevel="0" collapsed="false">
      <c r="A398" s="7"/>
      <c r="B398" s="7"/>
      <c r="C398" s="7"/>
      <c r="D398" s="7"/>
      <c r="E398" s="6"/>
      <c r="F398" s="7"/>
      <c r="G398" s="7"/>
      <c r="H398" s="7"/>
      <c r="I398" s="7"/>
    </row>
    <row r="399" customFormat="false" ht="15" hidden="false" customHeight="false" outlineLevel="0" collapsed="false">
      <c r="A399" s="7"/>
      <c r="B399" s="7"/>
      <c r="C399" s="7"/>
      <c r="D399" s="7"/>
      <c r="E399" s="6"/>
      <c r="F399" s="7"/>
      <c r="G399" s="7"/>
      <c r="H399" s="7"/>
      <c r="I399" s="7"/>
    </row>
    <row r="400" customFormat="false" ht="15" hidden="false" customHeight="false" outlineLevel="0" collapsed="false">
      <c r="A400" s="7"/>
      <c r="B400" s="7"/>
      <c r="C400" s="7"/>
      <c r="D400" s="7"/>
      <c r="E400" s="6"/>
      <c r="F400" s="7"/>
      <c r="G400" s="7"/>
      <c r="H400" s="7"/>
      <c r="I400" s="7"/>
    </row>
    <row r="401" customFormat="false" ht="15" hidden="false" customHeight="false" outlineLevel="0" collapsed="false">
      <c r="A401" s="7"/>
      <c r="B401" s="7"/>
      <c r="C401" s="7"/>
      <c r="D401" s="7"/>
      <c r="E401" s="6"/>
      <c r="F401" s="7"/>
      <c r="G401" s="7"/>
      <c r="H401" s="7"/>
      <c r="I401" s="7"/>
    </row>
    <row r="402" customFormat="false" ht="15" hidden="false" customHeight="false" outlineLevel="0" collapsed="false">
      <c r="A402" s="7"/>
      <c r="B402" s="7"/>
      <c r="C402" s="7"/>
      <c r="D402" s="7"/>
      <c r="E402" s="6"/>
      <c r="F402" s="7"/>
      <c r="G402" s="7"/>
      <c r="H402" s="7"/>
      <c r="I402" s="7"/>
    </row>
    <row r="403" customFormat="false" ht="15" hidden="false" customHeight="false" outlineLevel="0" collapsed="false">
      <c r="A403" s="7"/>
      <c r="B403" s="7"/>
      <c r="C403" s="7"/>
      <c r="D403" s="7"/>
      <c r="E403" s="6"/>
      <c r="F403" s="7"/>
      <c r="G403" s="7"/>
      <c r="H403" s="7"/>
      <c r="I403" s="7"/>
    </row>
    <row r="404" customFormat="false" ht="15" hidden="false" customHeight="false" outlineLevel="0" collapsed="false">
      <c r="A404" s="7"/>
      <c r="B404" s="7"/>
      <c r="C404" s="7"/>
      <c r="D404" s="7"/>
      <c r="E404" s="6"/>
      <c r="F404" s="7"/>
      <c r="G404" s="7"/>
      <c r="H404" s="7"/>
      <c r="I404" s="7"/>
    </row>
    <row r="405" customFormat="false" ht="15" hidden="false" customHeight="false" outlineLevel="0" collapsed="false">
      <c r="A405" s="7"/>
      <c r="B405" s="7"/>
      <c r="C405" s="7"/>
      <c r="D405" s="7"/>
      <c r="E405" s="6"/>
      <c r="F405" s="7"/>
      <c r="G405" s="7"/>
      <c r="H405" s="7"/>
      <c r="I405" s="7"/>
    </row>
    <row r="406" customFormat="false" ht="15" hidden="false" customHeight="false" outlineLevel="0" collapsed="false">
      <c r="A406" s="7"/>
      <c r="B406" s="7"/>
      <c r="C406" s="7"/>
      <c r="D406" s="7"/>
      <c r="E406" s="6"/>
      <c r="F406" s="7"/>
      <c r="G406" s="7"/>
      <c r="H406" s="7"/>
      <c r="I406" s="7"/>
    </row>
    <row r="407" customFormat="false" ht="15" hidden="false" customHeight="false" outlineLevel="0" collapsed="false">
      <c r="A407" s="7"/>
      <c r="B407" s="7"/>
      <c r="C407" s="7"/>
      <c r="D407" s="7"/>
      <c r="E407" s="6"/>
      <c r="F407" s="7"/>
      <c r="G407" s="7"/>
      <c r="H407" s="7"/>
      <c r="I407" s="7"/>
    </row>
    <row r="408" customFormat="false" ht="15" hidden="false" customHeight="false" outlineLevel="0" collapsed="false">
      <c r="A408" s="7"/>
      <c r="B408" s="7"/>
      <c r="C408" s="7"/>
      <c r="D408" s="7"/>
      <c r="E408" s="6"/>
      <c r="F408" s="7"/>
      <c r="G408" s="7"/>
      <c r="H408" s="7"/>
      <c r="I408" s="7"/>
    </row>
    <row r="409" customFormat="false" ht="15" hidden="false" customHeight="false" outlineLevel="0" collapsed="false">
      <c r="A409" s="7"/>
      <c r="B409" s="7"/>
      <c r="C409" s="7"/>
      <c r="D409" s="7"/>
      <c r="E409" s="6"/>
      <c r="F409" s="7"/>
      <c r="G409" s="7"/>
      <c r="H409" s="7"/>
      <c r="I409" s="7"/>
    </row>
    <row r="410" customFormat="false" ht="15" hidden="false" customHeight="false" outlineLevel="0" collapsed="false">
      <c r="A410" s="7"/>
      <c r="B410" s="7"/>
      <c r="C410" s="7"/>
      <c r="D410" s="7"/>
      <c r="E410" s="6"/>
      <c r="F410" s="7"/>
      <c r="G410" s="7"/>
      <c r="H410" s="7"/>
      <c r="I410" s="7"/>
    </row>
    <row r="411" customFormat="false" ht="15" hidden="false" customHeight="false" outlineLevel="0" collapsed="false">
      <c r="A411" s="7"/>
      <c r="B411" s="7"/>
      <c r="C411" s="7"/>
      <c r="D411" s="7"/>
      <c r="E411" s="6"/>
      <c r="F411" s="7"/>
      <c r="G411" s="7"/>
      <c r="H411" s="7"/>
      <c r="I411" s="7"/>
    </row>
    <row r="412" customFormat="false" ht="15" hidden="false" customHeight="false" outlineLevel="0" collapsed="false">
      <c r="A412" s="7"/>
      <c r="B412" s="7"/>
      <c r="C412" s="7"/>
      <c r="D412" s="7"/>
      <c r="E412" s="6"/>
      <c r="F412" s="7"/>
      <c r="G412" s="7"/>
      <c r="H412" s="7"/>
      <c r="I412" s="7"/>
    </row>
    <row r="413" customFormat="false" ht="15" hidden="false" customHeight="false" outlineLevel="0" collapsed="false">
      <c r="A413" s="7"/>
      <c r="B413" s="7"/>
      <c r="C413" s="7"/>
      <c r="D413" s="7"/>
      <c r="E413" s="6"/>
      <c r="F413" s="7"/>
      <c r="G413" s="7"/>
      <c r="H413" s="7"/>
      <c r="I413" s="7"/>
    </row>
    <row r="414" customFormat="false" ht="15" hidden="false" customHeight="false" outlineLevel="0" collapsed="false">
      <c r="A414" s="7"/>
      <c r="B414" s="7"/>
      <c r="C414" s="7"/>
      <c r="D414" s="7"/>
      <c r="E414" s="6"/>
      <c r="F414" s="7"/>
      <c r="G414" s="7"/>
      <c r="H414" s="7"/>
      <c r="I414" s="7"/>
    </row>
    <row r="415" customFormat="false" ht="15" hidden="false" customHeight="false" outlineLevel="0" collapsed="false">
      <c r="A415" s="7"/>
      <c r="B415" s="7"/>
      <c r="C415" s="7"/>
      <c r="D415" s="7"/>
      <c r="E415" s="6"/>
      <c r="F415" s="7"/>
      <c r="G415" s="7"/>
      <c r="H415" s="7"/>
      <c r="I415" s="7"/>
    </row>
    <row r="416" customFormat="false" ht="15" hidden="false" customHeight="false" outlineLevel="0" collapsed="false">
      <c r="A416" s="7"/>
      <c r="B416" s="7"/>
      <c r="C416" s="7"/>
      <c r="D416" s="7"/>
      <c r="E416" s="6"/>
      <c r="F416" s="7"/>
      <c r="G416" s="7"/>
      <c r="H416" s="7"/>
      <c r="I416" s="7"/>
    </row>
    <row r="417" customFormat="false" ht="15" hidden="false" customHeight="false" outlineLevel="0" collapsed="false">
      <c r="A417" s="7"/>
      <c r="B417" s="7"/>
      <c r="C417" s="7"/>
      <c r="D417" s="7"/>
      <c r="E417" s="6"/>
      <c r="F417" s="7"/>
      <c r="G417" s="7"/>
      <c r="H417" s="7"/>
      <c r="I417" s="7"/>
    </row>
    <row r="418" customFormat="false" ht="15" hidden="false" customHeight="false" outlineLevel="0" collapsed="false">
      <c r="A418" s="7"/>
      <c r="B418" s="7"/>
      <c r="C418" s="7"/>
      <c r="D418" s="7"/>
      <c r="E418" s="6"/>
      <c r="F418" s="7"/>
      <c r="G418" s="7"/>
      <c r="H418" s="7"/>
      <c r="I418" s="7"/>
    </row>
    <row r="419" customFormat="false" ht="15" hidden="false" customHeight="false" outlineLevel="0" collapsed="false">
      <c r="A419" s="7"/>
      <c r="B419" s="7"/>
      <c r="C419" s="7"/>
      <c r="D419" s="7"/>
      <c r="E419" s="6"/>
      <c r="F419" s="7"/>
      <c r="G419" s="7"/>
      <c r="H419" s="7"/>
      <c r="I419" s="7"/>
    </row>
    <row r="420" customFormat="false" ht="15" hidden="false" customHeight="false" outlineLevel="0" collapsed="false">
      <c r="A420" s="7"/>
      <c r="B420" s="7"/>
      <c r="C420" s="7"/>
      <c r="D420" s="7"/>
      <c r="E420" s="6"/>
      <c r="F420" s="7"/>
      <c r="G420" s="7"/>
      <c r="H420" s="7"/>
      <c r="I420" s="7"/>
    </row>
    <row r="421" customFormat="false" ht="15" hidden="false" customHeight="false" outlineLevel="0" collapsed="false">
      <c r="A421" s="7"/>
      <c r="B421" s="7"/>
      <c r="C421" s="7"/>
      <c r="D421" s="7"/>
      <c r="E421" s="6"/>
      <c r="F421" s="7"/>
      <c r="G421" s="7"/>
      <c r="H421" s="7"/>
      <c r="I421" s="7"/>
    </row>
    <row r="422" customFormat="false" ht="15" hidden="false" customHeight="false" outlineLevel="0" collapsed="false">
      <c r="A422" s="7"/>
      <c r="B422" s="7"/>
      <c r="C422" s="7"/>
      <c r="D422" s="7"/>
      <c r="E422" s="6"/>
      <c r="F422" s="7"/>
      <c r="G422" s="7"/>
      <c r="H422" s="7"/>
      <c r="I422" s="7"/>
    </row>
    <row r="423" customFormat="false" ht="15" hidden="false" customHeight="false" outlineLevel="0" collapsed="false">
      <c r="A423" s="7"/>
      <c r="B423" s="7"/>
      <c r="C423" s="7"/>
      <c r="D423" s="7"/>
      <c r="E423" s="6"/>
      <c r="F423" s="7"/>
      <c r="G423" s="7"/>
      <c r="H423" s="7"/>
      <c r="I423" s="7"/>
    </row>
    <row r="424" customFormat="false" ht="15" hidden="false" customHeight="false" outlineLevel="0" collapsed="false">
      <c r="A424" s="7"/>
      <c r="B424" s="7"/>
      <c r="C424" s="7"/>
      <c r="D424" s="7"/>
      <c r="E424" s="6"/>
      <c r="F424" s="7"/>
      <c r="G424" s="7"/>
      <c r="H424" s="7"/>
      <c r="I424" s="7"/>
    </row>
    <row r="425" customFormat="false" ht="15" hidden="false" customHeight="false" outlineLevel="0" collapsed="false">
      <c r="A425" s="7"/>
      <c r="B425" s="7"/>
      <c r="C425" s="7"/>
      <c r="D425" s="7"/>
      <c r="E425" s="6"/>
      <c r="F425" s="7"/>
      <c r="G425" s="7"/>
      <c r="H425" s="7"/>
      <c r="I425" s="7"/>
    </row>
    <row r="426" customFormat="false" ht="15" hidden="false" customHeight="false" outlineLevel="0" collapsed="false">
      <c r="A426" s="7"/>
      <c r="B426" s="7"/>
      <c r="C426" s="7"/>
      <c r="D426" s="7"/>
      <c r="E426" s="6"/>
      <c r="F426" s="7"/>
      <c r="G426" s="7"/>
      <c r="H426" s="7"/>
      <c r="I426" s="7"/>
    </row>
    <row r="427" customFormat="false" ht="15" hidden="false" customHeight="false" outlineLevel="0" collapsed="false">
      <c r="A427" s="7"/>
      <c r="B427" s="7"/>
      <c r="C427" s="7"/>
      <c r="D427" s="7"/>
      <c r="E427" s="6"/>
      <c r="F427" s="7"/>
      <c r="G427" s="7"/>
      <c r="H427" s="7"/>
      <c r="I427" s="7"/>
    </row>
    <row r="428" customFormat="false" ht="15" hidden="false" customHeight="false" outlineLevel="0" collapsed="false">
      <c r="A428" s="7"/>
      <c r="B428" s="7"/>
      <c r="C428" s="7"/>
      <c r="D428" s="7"/>
      <c r="E428" s="6"/>
      <c r="F428" s="7"/>
      <c r="G428" s="7"/>
      <c r="H428" s="7"/>
      <c r="I428" s="7"/>
    </row>
    <row r="429" customFormat="false" ht="15" hidden="false" customHeight="false" outlineLevel="0" collapsed="false">
      <c r="A429" s="7"/>
      <c r="B429" s="7"/>
      <c r="C429" s="7"/>
      <c r="D429" s="7"/>
      <c r="E429" s="6"/>
      <c r="F429" s="7"/>
      <c r="G429" s="7"/>
      <c r="H429" s="7"/>
      <c r="I429" s="7"/>
    </row>
    <row r="430" customFormat="false" ht="15" hidden="false" customHeight="false" outlineLevel="0" collapsed="false">
      <c r="A430" s="7"/>
      <c r="B430" s="7"/>
      <c r="C430" s="7"/>
      <c r="D430" s="7"/>
      <c r="E430" s="6"/>
      <c r="F430" s="7"/>
      <c r="G430" s="7"/>
      <c r="H430" s="7"/>
      <c r="I430" s="7"/>
    </row>
    <row r="431" customFormat="false" ht="15" hidden="false" customHeight="false" outlineLevel="0" collapsed="false">
      <c r="A431" s="7"/>
      <c r="B431" s="7"/>
      <c r="C431" s="7"/>
      <c r="D431" s="7"/>
      <c r="E431" s="6"/>
      <c r="F431" s="7"/>
      <c r="G431" s="7"/>
      <c r="H431" s="7"/>
      <c r="I431" s="7"/>
    </row>
    <row r="432" customFormat="false" ht="15" hidden="false" customHeight="false" outlineLevel="0" collapsed="false">
      <c r="A432" s="7"/>
      <c r="B432" s="7"/>
      <c r="C432" s="7"/>
      <c r="D432" s="7"/>
      <c r="E432" s="6"/>
      <c r="F432" s="7"/>
      <c r="G432" s="7"/>
      <c r="H432" s="7"/>
      <c r="I432" s="7"/>
    </row>
    <row r="433" customFormat="false" ht="15" hidden="false" customHeight="false" outlineLevel="0" collapsed="false">
      <c r="A433" s="7"/>
      <c r="B433" s="7"/>
      <c r="C433" s="7"/>
      <c r="D433" s="7"/>
      <c r="E433" s="6"/>
      <c r="F433" s="7"/>
      <c r="G433" s="7"/>
      <c r="H433" s="7"/>
      <c r="I433" s="7"/>
    </row>
    <row r="434" customFormat="false" ht="15" hidden="false" customHeight="false" outlineLevel="0" collapsed="false">
      <c r="A434" s="7"/>
      <c r="B434" s="7"/>
      <c r="C434" s="7"/>
      <c r="D434" s="7"/>
      <c r="E434" s="6"/>
      <c r="F434" s="7"/>
      <c r="G434" s="7"/>
      <c r="H434" s="7"/>
      <c r="I434" s="7"/>
    </row>
    <row r="435" customFormat="false" ht="15" hidden="false" customHeight="false" outlineLevel="0" collapsed="false">
      <c r="A435" s="7"/>
      <c r="B435" s="7"/>
      <c r="C435" s="7"/>
      <c r="D435" s="7"/>
      <c r="E435" s="6"/>
      <c r="F435" s="7"/>
      <c r="G435" s="7"/>
      <c r="H435" s="7"/>
      <c r="I435" s="7"/>
    </row>
    <row r="436" customFormat="false" ht="15" hidden="false" customHeight="false" outlineLevel="0" collapsed="false">
      <c r="A436" s="7"/>
      <c r="B436" s="7"/>
      <c r="C436" s="7"/>
      <c r="D436" s="7"/>
      <c r="E436" s="6"/>
      <c r="F436" s="7"/>
      <c r="G436" s="7"/>
      <c r="H436" s="7"/>
      <c r="I436" s="7"/>
    </row>
    <row r="437" customFormat="false" ht="15" hidden="false" customHeight="false" outlineLevel="0" collapsed="false">
      <c r="A437" s="7"/>
      <c r="B437" s="7"/>
      <c r="C437" s="7"/>
      <c r="D437" s="7"/>
      <c r="E437" s="6"/>
      <c r="F437" s="7"/>
      <c r="G437" s="7"/>
      <c r="H437" s="7"/>
      <c r="I437" s="7"/>
    </row>
    <row r="438" customFormat="false" ht="15" hidden="false" customHeight="false" outlineLevel="0" collapsed="false">
      <c r="A438" s="7"/>
      <c r="B438" s="7"/>
      <c r="C438" s="7"/>
      <c r="D438" s="7"/>
      <c r="E438" s="6"/>
      <c r="F438" s="7"/>
      <c r="G438" s="7"/>
      <c r="H438" s="7"/>
      <c r="I438" s="7"/>
    </row>
    <row r="439" customFormat="false" ht="15" hidden="false" customHeight="false" outlineLevel="0" collapsed="false">
      <c r="A439" s="7"/>
      <c r="B439" s="7"/>
      <c r="C439" s="7"/>
      <c r="D439" s="7"/>
      <c r="E439" s="6"/>
      <c r="F439" s="7"/>
      <c r="G439" s="7"/>
      <c r="H439" s="7"/>
      <c r="I439" s="7"/>
    </row>
    <row r="440" customFormat="false" ht="15" hidden="false" customHeight="false" outlineLevel="0" collapsed="false">
      <c r="A440" s="7"/>
      <c r="B440" s="7"/>
      <c r="C440" s="7"/>
      <c r="D440" s="7"/>
      <c r="E440" s="6"/>
      <c r="F440" s="7"/>
      <c r="G440" s="7"/>
      <c r="H440" s="7"/>
      <c r="I440" s="7"/>
    </row>
    <row r="441" customFormat="false" ht="15" hidden="false" customHeight="false" outlineLevel="0" collapsed="false">
      <c r="A441" s="7"/>
      <c r="B441" s="7"/>
      <c r="C441" s="7"/>
      <c r="D441" s="7"/>
      <c r="E441" s="6"/>
      <c r="F441" s="7"/>
      <c r="G441" s="7"/>
      <c r="H441" s="7"/>
      <c r="I441" s="7"/>
    </row>
    <row r="442" customFormat="false" ht="15" hidden="false" customHeight="false" outlineLevel="0" collapsed="false">
      <c r="A442" s="7"/>
      <c r="B442" s="7"/>
      <c r="C442" s="7"/>
      <c r="D442" s="7"/>
      <c r="E442" s="6"/>
      <c r="F442" s="7"/>
      <c r="G442" s="7"/>
      <c r="H442" s="7"/>
      <c r="I442" s="7"/>
    </row>
    <row r="443" customFormat="false" ht="15" hidden="false" customHeight="false" outlineLevel="0" collapsed="false">
      <c r="A443" s="7"/>
      <c r="B443" s="7"/>
      <c r="C443" s="7"/>
      <c r="D443" s="7"/>
      <c r="E443" s="6"/>
      <c r="F443" s="7"/>
      <c r="G443" s="7"/>
      <c r="H443" s="7"/>
      <c r="I443" s="7"/>
    </row>
    <row r="444" customFormat="false" ht="15" hidden="false" customHeight="false" outlineLevel="0" collapsed="false">
      <c r="A444" s="7"/>
      <c r="B444" s="7"/>
      <c r="C444" s="7"/>
      <c r="D444" s="7"/>
      <c r="E444" s="6"/>
      <c r="F444" s="7"/>
      <c r="G444" s="7"/>
      <c r="H444" s="7"/>
      <c r="I444" s="7"/>
    </row>
    <row r="445" customFormat="false" ht="15" hidden="false" customHeight="false" outlineLevel="0" collapsed="false">
      <c r="A445" s="7"/>
      <c r="B445" s="7"/>
      <c r="C445" s="7"/>
      <c r="D445" s="7"/>
      <c r="E445" s="6"/>
      <c r="F445" s="7"/>
      <c r="G445" s="7"/>
      <c r="H445" s="7"/>
      <c r="I445" s="7"/>
    </row>
    <row r="446" customFormat="false" ht="15" hidden="false" customHeight="false" outlineLevel="0" collapsed="false">
      <c r="A446" s="7"/>
      <c r="B446" s="7"/>
      <c r="C446" s="7"/>
      <c r="D446" s="7"/>
      <c r="E446" s="6"/>
      <c r="F446" s="7"/>
      <c r="G446" s="7"/>
      <c r="H446" s="7"/>
      <c r="I446" s="7"/>
    </row>
    <row r="447" customFormat="false" ht="15" hidden="false" customHeight="false" outlineLevel="0" collapsed="false">
      <c r="A447" s="7"/>
      <c r="B447" s="7"/>
      <c r="C447" s="7"/>
      <c r="D447" s="7"/>
      <c r="E447" s="6"/>
      <c r="F447" s="7"/>
      <c r="G447" s="7"/>
      <c r="H447" s="7"/>
      <c r="I447" s="7"/>
    </row>
    <row r="448" customFormat="false" ht="15" hidden="false" customHeight="false" outlineLevel="0" collapsed="false">
      <c r="A448" s="7"/>
      <c r="B448" s="7"/>
      <c r="C448" s="7"/>
      <c r="D448" s="7"/>
      <c r="E448" s="6"/>
      <c r="F448" s="7"/>
      <c r="G448" s="7"/>
      <c r="H448" s="7"/>
      <c r="I448" s="7"/>
    </row>
    <row r="449" customFormat="false" ht="15" hidden="false" customHeight="false" outlineLevel="0" collapsed="false">
      <c r="A449" s="7"/>
      <c r="B449" s="7"/>
      <c r="C449" s="7"/>
      <c r="D449" s="7"/>
      <c r="E449" s="6"/>
      <c r="F449" s="7"/>
      <c r="G449" s="7"/>
      <c r="H449" s="7"/>
      <c r="I449" s="7"/>
    </row>
    <row r="450" customFormat="false" ht="15" hidden="false" customHeight="false" outlineLevel="0" collapsed="false">
      <c r="A450" s="7"/>
      <c r="B450" s="7"/>
      <c r="C450" s="7"/>
      <c r="D450" s="7"/>
      <c r="E450" s="6"/>
      <c r="F450" s="7"/>
      <c r="G450" s="7"/>
      <c r="H450" s="7"/>
      <c r="I450" s="7"/>
    </row>
    <row r="451" customFormat="false" ht="15" hidden="false" customHeight="false" outlineLevel="0" collapsed="false">
      <c r="A451" s="7"/>
      <c r="B451" s="7"/>
      <c r="C451" s="7"/>
      <c r="D451" s="7"/>
      <c r="E451" s="6"/>
      <c r="F451" s="7"/>
      <c r="G451" s="7"/>
      <c r="H451" s="7"/>
      <c r="I451" s="7"/>
    </row>
    <row r="452" customFormat="false" ht="15" hidden="false" customHeight="false" outlineLevel="0" collapsed="false">
      <c r="A452" s="7"/>
      <c r="B452" s="7"/>
      <c r="C452" s="7"/>
      <c r="D452" s="7"/>
      <c r="E452" s="6"/>
      <c r="F452" s="7"/>
      <c r="G452" s="7"/>
      <c r="H452" s="7"/>
      <c r="I452" s="7"/>
    </row>
    <row r="453" customFormat="false" ht="15" hidden="false" customHeight="false" outlineLevel="0" collapsed="false">
      <c r="A453" s="7"/>
      <c r="B453" s="7"/>
      <c r="C453" s="7"/>
      <c r="D453" s="7"/>
      <c r="E453" s="6"/>
      <c r="F453" s="7"/>
      <c r="G453" s="7"/>
      <c r="H453" s="7"/>
      <c r="I453" s="7"/>
    </row>
    <row r="454" customFormat="false" ht="15" hidden="false" customHeight="false" outlineLevel="0" collapsed="false">
      <c r="A454" s="7"/>
      <c r="B454" s="7"/>
      <c r="C454" s="7"/>
      <c r="D454" s="7"/>
      <c r="E454" s="6"/>
      <c r="F454" s="7"/>
      <c r="G454" s="7"/>
      <c r="H454" s="7"/>
      <c r="I454" s="7"/>
    </row>
    <row r="455" customFormat="false" ht="15" hidden="false" customHeight="false" outlineLevel="0" collapsed="false">
      <c r="A455" s="7"/>
      <c r="B455" s="7"/>
      <c r="C455" s="7"/>
      <c r="D455" s="7"/>
      <c r="E455" s="6"/>
      <c r="F455" s="7"/>
      <c r="G455" s="7"/>
      <c r="H455" s="7"/>
      <c r="I455" s="7"/>
    </row>
    <row r="456" customFormat="false" ht="15" hidden="false" customHeight="false" outlineLevel="0" collapsed="false">
      <c r="A456" s="7"/>
      <c r="B456" s="7"/>
      <c r="C456" s="7"/>
      <c r="D456" s="7"/>
      <c r="E456" s="6"/>
      <c r="F456" s="7"/>
      <c r="G456" s="7"/>
      <c r="H456" s="7"/>
      <c r="I456" s="7"/>
    </row>
    <row r="457" customFormat="false" ht="15" hidden="false" customHeight="false" outlineLevel="0" collapsed="false">
      <c r="A457" s="7"/>
      <c r="B457" s="7"/>
      <c r="C457" s="7"/>
      <c r="D457" s="7"/>
      <c r="E457" s="6"/>
      <c r="F457" s="7"/>
      <c r="G457" s="7"/>
      <c r="H457" s="7"/>
      <c r="I457" s="7"/>
    </row>
    <row r="458" customFormat="false" ht="15" hidden="false" customHeight="false" outlineLevel="0" collapsed="false">
      <c r="A458" s="7"/>
      <c r="B458" s="7"/>
      <c r="C458" s="7"/>
      <c r="D458" s="7"/>
      <c r="E458" s="6"/>
      <c r="F458" s="7"/>
      <c r="G458" s="7"/>
      <c r="H458" s="7"/>
      <c r="I458" s="7"/>
    </row>
    <row r="459" customFormat="false" ht="15" hidden="false" customHeight="false" outlineLevel="0" collapsed="false">
      <c r="A459" s="7"/>
      <c r="B459" s="7"/>
      <c r="C459" s="7"/>
      <c r="D459" s="7"/>
      <c r="E459" s="6"/>
      <c r="F459" s="7"/>
      <c r="G459" s="7"/>
      <c r="H459" s="7"/>
      <c r="I459" s="7"/>
    </row>
    <row r="460" customFormat="false" ht="15" hidden="false" customHeight="false" outlineLevel="0" collapsed="false">
      <c r="A460" s="7"/>
      <c r="B460" s="7"/>
      <c r="C460" s="7"/>
      <c r="D460" s="7"/>
      <c r="E460" s="6"/>
      <c r="F460" s="7"/>
      <c r="G460" s="7"/>
      <c r="H460" s="7"/>
      <c r="I460" s="7"/>
    </row>
    <row r="461" customFormat="false" ht="15" hidden="false" customHeight="false" outlineLevel="0" collapsed="false">
      <c r="A461" s="7"/>
      <c r="B461" s="7"/>
      <c r="C461" s="7"/>
      <c r="D461" s="7"/>
      <c r="E461" s="6"/>
      <c r="F461" s="7"/>
      <c r="G461" s="7"/>
      <c r="H461" s="7"/>
      <c r="I461" s="7"/>
    </row>
    <row r="462" customFormat="false" ht="15" hidden="false" customHeight="false" outlineLevel="0" collapsed="false">
      <c r="A462" s="7"/>
      <c r="B462" s="7"/>
      <c r="C462" s="7"/>
      <c r="D462" s="7"/>
      <c r="E462" s="6"/>
      <c r="F462" s="7"/>
      <c r="G462" s="7"/>
      <c r="H462" s="7"/>
      <c r="I462" s="7"/>
    </row>
    <row r="463" customFormat="false" ht="15" hidden="false" customHeight="false" outlineLevel="0" collapsed="false">
      <c r="A463" s="7"/>
      <c r="B463" s="7"/>
      <c r="C463" s="7"/>
      <c r="D463" s="7"/>
      <c r="E463" s="6"/>
      <c r="F463" s="7"/>
      <c r="G463" s="7"/>
      <c r="H463" s="7"/>
      <c r="I463" s="7"/>
    </row>
    <row r="464" customFormat="false" ht="15" hidden="false" customHeight="false" outlineLevel="0" collapsed="false">
      <c r="A464" s="7"/>
      <c r="B464" s="7"/>
      <c r="C464" s="7"/>
      <c r="D464" s="7"/>
      <c r="E464" s="6"/>
      <c r="F464" s="7"/>
      <c r="G464" s="7"/>
      <c r="H464" s="7"/>
      <c r="I464" s="7"/>
    </row>
    <row r="465" customFormat="false" ht="15" hidden="false" customHeight="false" outlineLevel="0" collapsed="false">
      <c r="A465" s="7"/>
      <c r="B465" s="7"/>
      <c r="C465" s="7"/>
      <c r="D465" s="7"/>
      <c r="E465" s="6"/>
      <c r="F465" s="7"/>
      <c r="G465" s="7"/>
      <c r="H465" s="7"/>
      <c r="I465" s="7"/>
    </row>
    <row r="466" customFormat="false" ht="15" hidden="false" customHeight="false" outlineLevel="0" collapsed="false">
      <c r="A466" s="7"/>
      <c r="B466" s="7"/>
      <c r="C466" s="7"/>
      <c r="D466" s="7"/>
      <c r="E466" s="6"/>
      <c r="F466" s="7"/>
      <c r="G466" s="7"/>
      <c r="H466" s="7"/>
      <c r="I466" s="7"/>
    </row>
    <row r="467" customFormat="false" ht="15" hidden="false" customHeight="false" outlineLevel="0" collapsed="false">
      <c r="A467" s="7"/>
      <c r="B467" s="7"/>
      <c r="C467" s="7"/>
      <c r="D467" s="7"/>
      <c r="E467" s="6"/>
      <c r="F467" s="7"/>
      <c r="G467" s="7"/>
      <c r="H467" s="7"/>
      <c r="I467" s="7"/>
    </row>
    <row r="468" customFormat="false" ht="15" hidden="false" customHeight="false" outlineLevel="0" collapsed="false">
      <c r="A468" s="7"/>
      <c r="B468" s="7"/>
      <c r="C468" s="7"/>
      <c r="D468" s="7"/>
      <c r="E468" s="6"/>
      <c r="F468" s="7"/>
      <c r="G468" s="7"/>
      <c r="H468" s="7"/>
      <c r="I468" s="7"/>
    </row>
    <row r="469" customFormat="false" ht="15" hidden="false" customHeight="false" outlineLevel="0" collapsed="false">
      <c r="A469" s="7"/>
      <c r="B469" s="7"/>
      <c r="C469" s="7"/>
      <c r="D469" s="7"/>
      <c r="E469" s="6"/>
      <c r="F469" s="7"/>
      <c r="G469" s="7"/>
      <c r="H469" s="7"/>
      <c r="I469" s="7"/>
    </row>
    <row r="470" customFormat="false" ht="15" hidden="false" customHeight="false" outlineLevel="0" collapsed="false">
      <c r="A470" s="7"/>
      <c r="B470" s="7"/>
      <c r="C470" s="7"/>
      <c r="D470" s="7"/>
      <c r="E470" s="6"/>
      <c r="F470" s="7"/>
      <c r="G470" s="7"/>
      <c r="H470" s="7"/>
      <c r="I470" s="7"/>
    </row>
    <row r="471" customFormat="false" ht="15" hidden="false" customHeight="false" outlineLevel="0" collapsed="false">
      <c r="A471" s="7"/>
      <c r="B471" s="7"/>
      <c r="C471" s="7"/>
      <c r="D471" s="7"/>
      <c r="E471" s="6"/>
      <c r="F471" s="7"/>
      <c r="G471" s="7"/>
      <c r="H471" s="7"/>
      <c r="I471" s="7"/>
    </row>
    <row r="472" customFormat="false" ht="15" hidden="false" customHeight="false" outlineLevel="0" collapsed="false">
      <c r="A472" s="7"/>
      <c r="B472" s="7"/>
      <c r="C472" s="7"/>
      <c r="D472" s="7"/>
      <c r="E472" s="6"/>
      <c r="F472" s="7"/>
      <c r="G472" s="7"/>
      <c r="H472" s="7"/>
      <c r="I472" s="7"/>
    </row>
    <row r="473" customFormat="false" ht="15" hidden="false" customHeight="false" outlineLevel="0" collapsed="false">
      <c r="A473" s="7"/>
      <c r="B473" s="7"/>
      <c r="C473" s="7"/>
      <c r="D473" s="7"/>
      <c r="E473" s="6"/>
      <c r="F473" s="7"/>
      <c r="G473" s="7"/>
      <c r="H473" s="7"/>
      <c r="I473" s="7"/>
    </row>
    <row r="474" customFormat="false" ht="15" hidden="false" customHeight="false" outlineLevel="0" collapsed="false">
      <c r="A474" s="7"/>
      <c r="B474" s="7"/>
      <c r="C474" s="7"/>
      <c r="D474" s="7"/>
      <c r="E474" s="6"/>
      <c r="F474" s="7"/>
      <c r="G474" s="7"/>
      <c r="H474" s="7"/>
      <c r="I474" s="7"/>
    </row>
    <row r="475" customFormat="false" ht="15" hidden="false" customHeight="false" outlineLevel="0" collapsed="false">
      <c r="A475" s="7"/>
      <c r="B475" s="7"/>
      <c r="C475" s="7"/>
      <c r="D475" s="7"/>
      <c r="E475" s="6"/>
      <c r="F475" s="7"/>
      <c r="G475" s="7"/>
      <c r="H475" s="7"/>
      <c r="I475" s="7"/>
    </row>
    <row r="476" customFormat="false" ht="15" hidden="false" customHeight="false" outlineLevel="0" collapsed="false">
      <c r="A476" s="7"/>
      <c r="B476" s="7"/>
      <c r="C476" s="7"/>
      <c r="D476" s="7"/>
      <c r="E476" s="6"/>
      <c r="F476" s="7"/>
      <c r="G476" s="7"/>
      <c r="H476" s="7"/>
      <c r="I476" s="7"/>
    </row>
    <row r="477" customFormat="false" ht="15" hidden="false" customHeight="false" outlineLevel="0" collapsed="false">
      <c r="A477" s="7"/>
      <c r="B477" s="7"/>
      <c r="C477" s="7"/>
      <c r="D477" s="7"/>
      <c r="E477" s="6"/>
      <c r="F477" s="7"/>
      <c r="G477" s="7"/>
      <c r="H477" s="7"/>
      <c r="I477" s="7"/>
    </row>
    <row r="478" customFormat="false" ht="15" hidden="false" customHeight="false" outlineLevel="0" collapsed="false">
      <c r="A478" s="7"/>
      <c r="B478" s="7"/>
      <c r="C478" s="7"/>
      <c r="D478" s="7"/>
      <c r="E478" s="6"/>
      <c r="F478" s="7"/>
      <c r="G478" s="7"/>
      <c r="H478" s="7"/>
      <c r="I478" s="7"/>
    </row>
    <row r="479" customFormat="false" ht="15" hidden="false" customHeight="false" outlineLevel="0" collapsed="false">
      <c r="A479" s="7"/>
      <c r="B479" s="7"/>
      <c r="C479" s="7"/>
      <c r="D479" s="7"/>
      <c r="E479" s="6"/>
      <c r="F479" s="7"/>
      <c r="G479" s="7"/>
      <c r="H479" s="7"/>
      <c r="I479" s="7"/>
    </row>
    <row r="480" customFormat="false" ht="15" hidden="false" customHeight="false" outlineLevel="0" collapsed="false">
      <c r="A480" s="7"/>
      <c r="B480" s="7"/>
      <c r="C480" s="7"/>
      <c r="D480" s="7"/>
      <c r="E480" s="6"/>
      <c r="F480" s="7"/>
      <c r="G480" s="7"/>
      <c r="H480" s="7"/>
      <c r="I480" s="7"/>
    </row>
    <row r="481" customFormat="false" ht="15" hidden="false" customHeight="false" outlineLevel="0" collapsed="false">
      <c r="A481" s="7"/>
      <c r="B481" s="7"/>
      <c r="C481" s="7"/>
      <c r="D481" s="7"/>
      <c r="E481" s="6"/>
      <c r="F481" s="7"/>
      <c r="G481" s="7"/>
      <c r="H481" s="7"/>
      <c r="I481" s="7"/>
    </row>
    <row r="482" customFormat="false" ht="15" hidden="false" customHeight="false" outlineLevel="0" collapsed="false">
      <c r="A482" s="7"/>
      <c r="B482" s="7"/>
      <c r="C482" s="7"/>
      <c r="D482" s="7"/>
      <c r="E482" s="6"/>
      <c r="F482" s="7"/>
      <c r="G482" s="7"/>
      <c r="H482" s="7"/>
      <c r="I482" s="7"/>
    </row>
    <row r="483" customFormat="false" ht="15" hidden="false" customHeight="false" outlineLevel="0" collapsed="false">
      <c r="A483" s="7"/>
      <c r="B483" s="7"/>
      <c r="C483" s="7"/>
      <c r="D483" s="7"/>
      <c r="E483" s="6"/>
      <c r="F483" s="7"/>
      <c r="G483" s="7"/>
      <c r="H483" s="7"/>
      <c r="I483" s="7"/>
    </row>
    <row r="484" customFormat="false" ht="15" hidden="false" customHeight="false" outlineLevel="0" collapsed="false">
      <c r="A484" s="7"/>
      <c r="B484" s="7"/>
      <c r="C484" s="7"/>
      <c r="D484" s="7"/>
      <c r="E484" s="6"/>
      <c r="F484" s="7"/>
      <c r="G484" s="7"/>
      <c r="H484" s="7"/>
      <c r="I484" s="7"/>
    </row>
    <row r="485" customFormat="false" ht="15" hidden="false" customHeight="false" outlineLevel="0" collapsed="false">
      <c r="A485" s="7"/>
      <c r="B485" s="7"/>
      <c r="C485" s="7"/>
      <c r="D485" s="7"/>
      <c r="E485" s="6"/>
      <c r="F485" s="7"/>
      <c r="G485" s="7"/>
      <c r="H485" s="7"/>
      <c r="I485" s="7"/>
    </row>
    <row r="486" customFormat="false" ht="15" hidden="false" customHeight="false" outlineLevel="0" collapsed="false">
      <c r="A486" s="7"/>
      <c r="B486" s="7"/>
      <c r="C486" s="7"/>
      <c r="D486" s="7"/>
      <c r="E486" s="6"/>
      <c r="F486" s="7"/>
      <c r="G486" s="7"/>
      <c r="H486" s="7"/>
      <c r="I486" s="7"/>
    </row>
    <row r="487" customFormat="false" ht="15" hidden="false" customHeight="false" outlineLevel="0" collapsed="false">
      <c r="A487" s="7"/>
      <c r="B487" s="7"/>
      <c r="C487" s="7"/>
      <c r="D487" s="7"/>
      <c r="E487" s="6"/>
      <c r="F487" s="7"/>
      <c r="G487" s="7"/>
      <c r="H487" s="7"/>
      <c r="I487" s="7"/>
    </row>
    <row r="488" customFormat="false" ht="15" hidden="false" customHeight="false" outlineLevel="0" collapsed="false">
      <c r="A488" s="7"/>
      <c r="B488" s="7"/>
      <c r="C488" s="7"/>
      <c r="D488" s="7"/>
      <c r="E488" s="6"/>
      <c r="F488" s="7"/>
      <c r="G488" s="7"/>
      <c r="H488" s="7"/>
      <c r="I488" s="7"/>
    </row>
    <row r="489" customFormat="false" ht="15" hidden="false" customHeight="false" outlineLevel="0" collapsed="false">
      <c r="A489" s="7"/>
      <c r="B489" s="7"/>
      <c r="C489" s="7"/>
      <c r="D489" s="7"/>
      <c r="E489" s="6"/>
      <c r="F489" s="7"/>
      <c r="G489" s="7"/>
      <c r="H489" s="7"/>
      <c r="I489" s="7"/>
    </row>
    <row r="490" customFormat="false" ht="15" hidden="false" customHeight="false" outlineLevel="0" collapsed="false">
      <c r="A490" s="7"/>
      <c r="B490" s="7"/>
      <c r="C490" s="7"/>
      <c r="D490" s="7"/>
      <c r="E490" s="6"/>
      <c r="F490" s="7"/>
      <c r="G490" s="7"/>
      <c r="H490" s="7"/>
      <c r="I490" s="7"/>
    </row>
    <row r="491" customFormat="false" ht="15" hidden="false" customHeight="false" outlineLevel="0" collapsed="false">
      <c r="A491" s="7"/>
      <c r="B491" s="7"/>
      <c r="C491" s="7"/>
      <c r="D491" s="7"/>
      <c r="E491" s="6"/>
      <c r="F491" s="7"/>
      <c r="G491" s="7"/>
      <c r="H491" s="7"/>
      <c r="I491" s="7"/>
    </row>
    <row r="492" customFormat="false" ht="15" hidden="false" customHeight="false" outlineLevel="0" collapsed="false">
      <c r="A492" s="7"/>
      <c r="B492" s="7"/>
      <c r="C492" s="7"/>
      <c r="D492" s="7"/>
      <c r="E492" s="6"/>
      <c r="F492" s="7"/>
      <c r="G492" s="7"/>
      <c r="H492" s="7"/>
      <c r="I492" s="7"/>
    </row>
    <row r="493" customFormat="false" ht="15" hidden="false" customHeight="false" outlineLevel="0" collapsed="false">
      <c r="A493" s="7"/>
      <c r="B493" s="7"/>
      <c r="C493" s="7"/>
      <c r="D493" s="7"/>
      <c r="E493" s="6"/>
      <c r="F493" s="7"/>
      <c r="G493" s="7"/>
      <c r="H493" s="7"/>
      <c r="I493" s="7"/>
    </row>
    <row r="494" customFormat="false" ht="15" hidden="false" customHeight="false" outlineLevel="0" collapsed="false">
      <c r="A494" s="7"/>
      <c r="B494" s="7"/>
      <c r="C494" s="7"/>
      <c r="D494" s="7"/>
      <c r="E494" s="6"/>
      <c r="F494" s="7"/>
      <c r="G494" s="7"/>
      <c r="H494" s="7"/>
      <c r="I494" s="7"/>
    </row>
    <row r="495" customFormat="false" ht="15" hidden="false" customHeight="false" outlineLevel="0" collapsed="false">
      <c r="A495" s="7"/>
      <c r="B495" s="7"/>
      <c r="C495" s="7"/>
      <c r="D495" s="7"/>
      <c r="E495" s="6"/>
      <c r="F495" s="7"/>
      <c r="G495" s="7"/>
      <c r="H495" s="7"/>
      <c r="I495" s="7"/>
    </row>
    <row r="496" customFormat="false" ht="15" hidden="false" customHeight="false" outlineLevel="0" collapsed="false">
      <c r="A496" s="7"/>
      <c r="B496" s="7"/>
      <c r="C496" s="7"/>
      <c r="D496" s="7"/>
      <c r="E496" s="6"/>
      <c r="F496" s="7"/>
      <c r="G496" s="7"/>
      <c r="H496" s="7"/>
      <c r="I496" s="7"/>
    </row>
    <row r="497" customFormat="false" ht="15" hidden="false" customHeight="false" outlineLevel="0" collapsed="false">
      <c r="A497" s="7"/>
      <c r="B497" s="7"/>
      <c r="C497" s="7"/>
      <c r="D497" s="7"/>
      <c r="E497" s="6"/>
      <c r="F497" s="7"/>
      <c r="G497" s="7"/>
      <c r="H497" s="7"/>
      <c r="I497" s="7"/>
    </row>
    <row r="498" customFormat="false" ht="15" hidden="false" customHeight="false" outlineLevel="0" collapsed="false">
      <c r="A498" s="7"/>
      <c r="B498" s="7"/>
      <c r="C498" s="7"/>
      <c r="D498" s="7"/>
      <c r="E498" s="6"/>
      <c r="F498" s="7"/>
      <c r="G498" s="7"/>
      <c r="H498" s="7"/>
      <c r="I498" s="7"/>
    </row>
    <row r="499" customFormat="false" ht="15" hidden="false" customHeight="false" outlineLevel="0" collapsed="false">
      <c r="A499" s="7"/>
      <c r="B499" s="7"/>
      <c r="C499" s="7"/>
      <c r="D499" s="7"/>
      <c r="E499" s="6"/>
      <c r="F499" s="7"/>
      <c r="G499" s="7"/>
      <c r="H499" s="7"/>
      <c r="I499" s="7"/>
    </row>
    <row r="500" customFormat="false" ht="15" hidden="false" customHeight="false" outlineLevel="0" collapsed="false">
      <c r="A500" s="7"/>
      <c r="B500" s="7"/>
      <c r="C500" s="7"/>
      <c r="D500" s="7"/>
      <c r="E500" s="6"/>
      <c r="F500" s="7"/>
      <c r="G500" s="7"/>
      <c r="H500" s="7"/>
      <c r="I500" s="7"/>
    </row>
    <row r="501" customFormat="false" ht="15" hidden="false" customHeight="false" outlineLevel="0" collapsed="false">
      <c r="A501" s="7"/>
      <c r="B501" s="7"/>
      <c r="C501" s="7"/>
      <c r="D501" s="7"/>
      <c r="E501" s="6"/>
      <c r="F501" s="7"/>
      <c r="G501" s="7"/>
      <c r="H501" s="7"/>
      <c r="I501" s="7"/>
    </row>
  </sheetData>
  <dataValidations count="2">
    <dataValidation allowBlank="true" errorStyle="stop" operator="between" showDropDown="false" showErrorMessage="false" showInputMessage="false" sqref="D2:D501" type="list">
      <formula1>"买入,持续追踪,卖出"</formula1>
      <formula2>0</formula2>
    </dataValidation>
    <dataValidation allowBlank="true" errorStyle="stop" operator="between" showDropDown="false" showErrorMessage="false" showInputMessage="false" sqref="E2:E501" type="date">
      <formula1>DATE(2000,1,1)</formula1>
      <formula2>DATE(2100,12,31)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5.47"/>
    <col collapsed="false" customWidth="true" hidden="false" outlineLevel="0" max="2" min="2" style="0" width="18.2"/>
    <col collapsed="false" customWidth="true" hidden="false" outlineLevel="0" max="3" min="3" style="0" width="65.51"/>
  </cols>
  <sheetData>
    <row r="1" customFormat="false" ht="16.4" hidden="false" customHeight="false" outlineLevel="0" collapsed="false">
      <c r="A1" s="13" t="s">
        <v>130</v>
      </c>
      <c r="B1" s="13" t="s">
        <v>131</v>
      </c>
      <c r="C1" s="13" t="s">
        <v>132</v>
      </c>
    </row>
    <row r="2" customFormat="false" ht="16.4" hidden="false" customHeight="false" outlineLevel="0" collapsed="false">
      <c r="A2" s="14" t="s">
        <v>133</v>
      </c>
      <c r="B2" s="5" t="n">
        <f aca="false">COUNT(单次交易!K2:K201)</f>
        <v>5</v>
      </c>
      <c r="C2" s="14" t="s">
        <v>134</v>
      </c>
    </row>
    <row r="3" customFormat="false" ht="16.4" hidden="false" customHeight="false" outlineLevel="0" collapsed="false">
      <c r="A3" s="14" t="s">
        <v>135</v>
      </c>
      <c r="B3" s="5" t="n">
        <f aca="false">COUNTIF(单次交易!V2:V201,"&gt;0")</f>
        <v>2</v>
      </c>
      <c r="C3" s="14" t="s">
        <v>136</v>
      </c>
    </row>
    <row r="4" customFormat="false" ht="16.4" hidden="false" customHeight="false" outlineLevel="0" collapsed="false">
      <c r="A4" s="14" t="s">
        <v>137</v>
      </c>
      <c r="B4" s="5" t="n">
        <f aca="false">COUNTIF(单次交易!V2:V201,"&lt;0")</f>
        <v>2</v>
      </c>
      <c r="C4" s="14" t="s">
        <v>138</v>
      </c>
    </row>
    <row r="5" customFormat="false" ht="16.4" hidden="false" customHeight="false" outlineLevel="0" collapsed="false">
      <c r="A5" s="14" t="s">
        <v>139</v>
      </c>
      <c r="B5" s="5" t="n">
        <f aca="false">COUNTIFS(单次交易!K2:K201,"&lt;&gt;",单次交易!V2:V201,"=0")</f>
        <v>1</v>
      </c>
      <c r="C5" s="14" t="s">
        <v>140</v>
      </c>
    </row>
    <row r="6" customFormat="false" ht="16.4" hidden="false" customHeight="false" outlineLevel="0" collapsed="false">
      <c r="A6" s="14" t="s">
        <v>141</v>
      </c>
      <c r="B6" s="8" t="n">
        <f aca="false">IFERROR(B3/(B3+B4),"")</f>
        <v>0.5</v>
      </c>
      <c r="C6" s="14" t="s">
        <v>142</v>
      </c>
    </row>
    <row r="7" customFormat="false" ht="16.4" hidden="false" customHeight="false" outlineLevel="0" collapsed="false">
      <c r="A7" s="14" t="s">
        <v>143</v>
      </c>
      <c r="B7" s="8" t="n">
        <f aca="false">IFERROR(B4/(B3+B4),"")</f>
        <v>0.5</v>
      </c>
      <c r="C7" s="14" t="s">
        <v>144</v>
      </c>
    </row>
    <row r="8" customFormat="false" ht="16.4" hidden="false" customHeight="false" outlineLevel="0" collapsed="false">
      <c r="A8" s="14" t="s">
        <v>145</v>
      </c>
      <c r="B8" s="8" t="n">
        <f aca="false">IFERROR(AVERAGEIF(单次交易!V2:V201,"&gt;0",单次交易!W2:W201),"")</f>
        <v>0.109122046774014</v>
      </c>
      <c r="C8" s="14" t="s">
        <v>146</v>
      </c>
    </row>
    <row r="9" customFormat="false" ht="16.4" hidden="false" customHeight="false" outlineLevel="0" collapsed="false">
      <c r="A9" s="14" t="s">
        <v>147</v>
      </c>
      <c r="B9" s="8" t="n">
        <f aca="false">IFERROR(-AVERAGEIF(单次交易!V2:V201,"&lt;0",单次交易!W2:W201),"")</f>
        <v>0.0505689972042144</v>
      </c>
      <c r="C9" s="14" t="s">
        <v>148</v>
      </c>
    </row>
    <row r="10" customFormat="false" ht="16.4" hidden="false" customHeight="false" outlineLevel="0" collapsed="false">
      <c r="A10" s="14" t="s">
        <v>149</v>
      </c>
      <c r="B10" s="5" t="n">
        <f aca="false">SUMIF(单次交易!V2:V201,"&gt;0",单次交易!Y2:Y201)</f>
        <v>13</v>
      </c>
      <c r="C10" s="14" t="s">
        <v>150</v>
      </c>
    </row>
    <row r="11" customFormat="false" ht="16.4" hidden="false" customHeight="false" outlineLevel="0" collapsed="false">
      <c r="A11" s="14" t="s">
        <v>151</v>
      </c>
      <c r="B11" s="5" t="n">
        <f aca="false">SUMIF(单次交易!V2:V201,"&lt;0",单次交易!Y2:Y201)</f>
        <v>5</v>
      </c>
      <c r="C11" s="14" t="s">
        <v>150</v>
      </c>
    </row>
    <row r="12" customFormat="false" ht="16.4" hidden="false" customHeight="false" outlineLevel="0" collapsed="false">
      <c r="A12" s="14" t="s">
        <v>152</v>
      </c>
      <c r="B12" s="10" t="n">
        <f aca="false">IFERROR(SUMPRODUCT(单次交易!E2:E201,单次交易!F2:F201)/COUNT(单次交易!E2:E201),"")</f>
        <v>16833.3333333333</v>
      </c>
      <c r="C12" s="14" t="s">
        <v>153</v>
      </c>
    </row>
    <row r="13" customFormat="false" ht="16.4" hidden="false" customHeight="false" outlineLevel="0" collapsed="false">
      <c r="A13" s="14" t="s">
        <v>154</v>
      </c>
      <c r="B13" s="8" t="n">
        <f aca="false">IF(OR(B6="",B7="",B8="",B9=""),"",B6*B8-B7*B9)</f>
        <v>0.0292765247848997</v>
      </c>
      <c r="C13" s="14" t="s">
        <v>155</v>
      </c>
    </row>
    <row r="14" customFormat="false" ht="16.4" hidden="false" customHeight="false" outlineLevel="0" collapsed="false">
      <c r="A14" s="14" t="s">
        <v>156</v>
      </c>
      <c r="B14" s="8" t="n">
        <f aca="false">IF(OR(B3+B4=0,B8="",B9=""),"",POWER(1+B8,B3)*POWER(1-B9,B4)-1)</f>
        <v>0.108882410249855</v>
      </c>
      <c r="C14" s="14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5.47"/>
    <col collapsed="false" customWidth="true" hidden="false" outlineLevel="0" max="2" min="2" style="0" width="18.2"/>
    <col collapsed="false" customWidth="true" hidden="false" outlineLevel="0" max="3" min="3" style="0" width="65.51"/>
  </cols>
  <sheetData>
    <row r="1" customFormat="false" ht="16.4" hidden="false" customHeight="false" outlineLevel="0" collapsed="false">
      <c r="A1" s="13" t="s">
        <v>130</v>
      </c>
      <c r="B1" s="13" t="s">
        <v>158</v>
      </c>
      <c r="C1" s="13" t="s">
        <v>159</v>
      </c>
    </row>
    <row r="2" customFormat="false" ht="16.4" hidden="false" customHeight="false" outlineLevel="0" collapsed="false">
      <c r="A2" s="14" t="s">
        <v>160</v>
      </c>
      <c r="B2" s="3" t="n">
        <v>100000</v>
      </c>
      <c r="C2" s="14" t="s">
        <v>161</v>
      </c>
    </row>
    <row r="3" customFormat="false" ht="16.4" hidden="false" customHeight="false" outlineLevel="0" collapsed="false">
      <c r="A3" s="14" t="s">
        <v>162</v>
      </c>
      <c r="B3" s="10" t="n">
        <f aca="false">IF(B2="","",B2+SUM(单次交易!V2:V201))</f>
        <v>100838</v>
      </c>
      <c r="C3" s="14" t="s">
        <v>163</v>
      </c>
    </row>
    <row r="4" customFormat="false" ht="16.4" hidden="false" customHeight="false" outlineLevel="0" collapsed="false">
      <c r="A4" s="14" t="s">
        <v>164</v>
      </c>
      <c r="B4" s="4" t="n">
        <v>0.01</v>
      </c>
      <c r="C4" s="14" t="s">
        <v>165</v>
      </c>
    </row>
    <row r="5" customFormat="false" ht="16.4" hidden="false" customHeight="false" outlineLevel="0" collapsed="false">
      <c r="A5" s="14" t="s">
        <v>166</v>
      </c>
      <c r="B5" s="10" t="n">
        <f aca="false">IF(B3="","",B3*B4)</f>
        <v>1008.38</v>
      </c>
      <c r="C5" s="14" t="s">
        <v>167</v>
      </c>
    </row>
    <row r="6" customFormat="false" ht="16.4" hidden="false" customHeight="false" outlineLevel="0" collapsed="false">
      <c r="A6" s="14" t="s">
        <v>168</v>
      </c>
      <c r="B6" s="4" t="n">
        <v>0.05</v>
      </c>
      <c r="C6" s="14" t="s">
        <v>169</v>
      </c>
    </row>
    <row r="7" customFormat="false" ht="16.4" hidden="false" customHeight="false" outlineLevel="0" collapsed="false">
      <c r="A7" s="14" t="s">
        <v>170</v>
      </c>
      <c r="B7" s="10" t="n">
        <f aca="false">IF(B3="","",B3*B6)</f>
        <v>5041.9</v>
      </c>
      <c r="C7" s="14" t="s">
        <v>171</v>
      </c>
    </row>
    <row r="8" customFormat="false" ht="16.4" hidden="false" customHeight="false" outlineLevel="0" collapsed="false">
      <c r="A8" s="14" t="s">
        <v>172</v>
      </c>
      <c r="B8" s="10" t="n">
        <f aca="true">SUMIFS(单次交易!V2:V201,单次交易!V2:V201,"&lt;0",单次交易!K2:K201,"&gt;="&amp;EOMONTH(TODAY(),-1)+1,单次交易!K2:K201,"&lt;="&amp;EOMONTH(TODAY(),0))</f>
        <v>-732</v>
      </c>
      <c r="C8" s="14" t="s">
        <v>173</v>
      </c>
    </row>
  </sheetData>
  <conditionalFormatting sqref="B8">
    <cfRule type="cellIs" priority="2" operator="lessThan" aboveAverage="0" equalAverage="0" bottom="0" percent="0" rank="0" text="" dxfId="8">
      <formula>0</formula>
    </cfRule>
  </conditionalFormatting>
  <dataValidations count="2">
    <dataValidation allowBlank="false" errorStyle="stop" operator="greaterThan" showDropDown="false" showErrorMessage="false" showInputMessage="false" sqref="B2" type="decimal">
      <formula1>0</formula1>
      <formula2>0</formula2>
    </dataValidation>
    <dataValidation allowBlank="false" errorStyle="stop" operator="between" showDropDown="false" showErrorMessage="false" showInputMessage="false" sqref="B4 B6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0" width="25.47"/>
    <col collapsed="false" customWidth="true" hidden="false" outlineLevel="0" max="2" min="2" style="0" width="18.2"/>
    <col collapsed="false" customWidth="true" hidden="false" outlineLevel="0" max="3" min="3" style="0" width="65.51"/>
  </cols>
  <sheetData>
    <row r="1" customFormat="false" ht="16.4" hidden="false" customHeight="false" outlineLevel="0" collapsed="false">
      <c r="A1" s="13" t="s">
        <v>130</v>
      </c>
      <c r="B1" s="13" t="s">
        <v>158</v>
      </c>
      <c r="C1" s="13" t="s">
        <v>132</v>
      </c>
    </row>
    <row r="2" customFormat="false" ht="16.4" hidden="false" customHeight="false" outlineLevel="0" collapsed="false">
      <c r="A2" s="14" t="s">
        <v>174</v>
      </c>
      <c r="B2" s="10" t="n">
        <f aca="false">账户数据!B3</f>
        <v>100838</v>
      </c>
      <c r="C2" s="14" t="s">
        <v>175</v>
      </c>
    </row>
    <row r="3" customFormat="false" ht="16.4" hidden="false" customHeight="false" outlineLevel="0" collapsed="false">
      <c r="A3" s="14" t="s">
        <v>176</v>
      </c>
      <c r="B3" s="4" t="n">
        <v>0.1</v>
      </c>
      <c r="C3" s="14" t="s">
        <v>177</v>
      </c>
    </row>
    <row r="4" customFormat="false" ht="16.4" hidden="false" customHeight="false" outlineLevel="0" collapsed="false">
      <c r="A4" s="14" t="s">
        <v>178</v>
      </c>
      <c r="B4" s="10" t="n">
        <f aca="false">IF(OR(B2="",B3=""),"",B2*B3)</f>
        <v>10083.8</v>
      </c>
      <c r="C4" s="14" t="s">
        <v>179</v>
      </c>
    </row>
    <row r="5" customFormat="false" ht="16.4" hidden="false" customHeight="false" outlineLevel="0" collapsed="false">
      <c r="A5" s="14" t="s">
        <v>152</v>
      </c>
      <c r="B5" s="10" t="n">
        <f aca="false">多次统计数据!B12</f>
        <v>16833.3333333333</v>
      </c>
      <c r="C5" s="14" t="s">
        <v>180</v>
      </c>
    </row>
    <row r="6" customFormat="false" ht="16.4" hidden="false" customHeight="false" outlineLevel="0" collapsed="false">
      <c r="A6" s="14" t="s">
        <v>181</v>
      </c>
      <c r="B6" s="8" t="n">
        <f aca="false">多次统计数据!B13</f>
        <v>0.0292765247848997</v>
      </c>
      <c r="C6" s="14" t="s">
        <v>182</v>
      </c>
    </row>
    <row r="7" customFormat="false" ht="16.4" hidden="false" customHeight="false" outlineLevel="0" collapsed="false">
      <c r="A7" s="14" t="s">
        <v>183</v>
      </c>
      <c r="B7" s="5" t="n">
        <f aca="false">IF(OR(B4="",B5="",B6="",B5&lt;=0,B6&lt;=0),"暂不可计算",ROUNDUP(B4/(B5*B6),0))</f>
        <v>21</v>
      </c>
      <c r="C7" s="14" t="s">
        <v>184</v>
      </c>
    </row>
  </sheetData>
  <dataValidations count="1">
    <dataValidation allowBlank="false" errorStyle="stop" operator="greaterThan" showDropDown="false" showErrorMessage="false" showInputMessage="false" sqref="B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2026-07-24T01:06:06Z</dcterms:created>
  <dc:creator>openpyxl</dc:creator>
  <dc:description/>
  <dc:language>zh-CN</dc:language>
  <cp:lastModifiedBy/>
  <dcterms:modified xsi:type="dcterms:W3CDTF">2026-07-24T01:06:06Z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