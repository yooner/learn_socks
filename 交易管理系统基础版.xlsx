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73B8B4F1-DA4F-4CDC-A615-E637E8696692}" xr6:coauthVersionLast="47" xr6:coauthVersionMax="47" xr10:uidLastSave="{00000000-0000-0000-0000-000000000000}"/>
  <bookViews>
    <workbookView xWindow="-28920" yWindow="-120" windowWidth="29040" windowHeight="15840" activeTab="2" xr2:uid="{00000000-000D-0000-FFFF-FFFF00000000}"/>
  </bookViews>
  <sheets>
    <sheet name="单次交易" sheetId="1" r:id="rId1"/>
    <sheet name="持仓跟踪" sheetId="2" r:id="rId2"/>
    <sheet name="买入理由" sheetId="3" r:id="rId3"/>
    <sheet name="多次统计数据" sheetId="4" r:id="rId4"/>
    <sheet name="账户数据" sheetId="5" r:id="rId5"/>
    <sheet name="目标收益" sheetId="6" r:id="rId6"/>
    <sheet name="技术指标" sheetId="7" r:id="rId7"/>
  </sheets>
  <definedNames>
    <definedName name="_AccountRiskLimit">账户数据!$B$7</definedName>
    <definedName name="_LockStatus">账户数据!$B$23</definedName>
    <definedName name="_TrackRule">持仓跟踪!$AC$2:$AC$157</definedName>
    <definedName name="_TrackTradeId">持仓跟踪!$B$2:$B$157</definedName>
    <definedName name="_TrackType">持仓跟踪!$A$2:$A$157</definedName>
    <definedName name="_TradeIds">单次交易!$A$2:$A$102</definedName>
    <definedName name="技术指标列表">技术指标!$A$2:$A$201</definedName>
  </definedNames>
  <calcPr calcId="181029"/>
</workbook>
</file>

<file path=xl/calcChain.xml><?xml version="1.0" encoding="utf-8"?>
<calcChain xmlns="http://schemas.openxmlformats.org/spreadsheetml/2006/main">
  <c r="AC157" i="2" l="1"/>
  <c r="AB157" i="2"/>
  <c r="Z157" i="2"/>
  <c r="W157" i="2"/>
  <c r="T157" i="2"/>
  <c r="V157" i="2" s="1"/>
  <c r="S157" i="2"/>
  <c r="Q157" i="2"/>
  <c r="P157" i="2"/>
  <c r="O157" i="2"/>
  <c r="N157" i="2"/>
  <c r="C157" i="2"/>
  <c r="AC156" i="2"/>
  <c r="AB156" i="2"/>
  <c r="Z156" i="2"/>
  <c r="W156" i="2"/>
  <c r="T156" i="2"/>
  <c r="U156" i="2" s="1"/>
  <c r="S156" i="2"/>
  <c r="Q156" i="2"/>
  <c r="P156" i="2"/>
  <c r="O156" i="2"/>
  <c r="N156" i="2"/>
  <c r="C156" i="2"/>
  <c r="AC155" i="2"/>
  <c r="AB155" i="2"/>
  <c r="Z155" i="2"/>
  <c r="W155" i="2"/>
  <c r="T155" i="2"/>
  <c r="U155" i="2" s="1"/>
  <c r="S155" i="2"/>
  <c r="Q155" i="2"/>
  <c r="P155" i="2"/>
  <c r="O155" i="2"/>
  <c r="N155" i="2"/>
  <c r="C155" i="2"/>
  <c r="AC154" i="2"/>
  <c r="AB154" i="2"/>
  <c r="Z154" i="2"/>
  <c r="W154" i="2"/>
  <c r="T154" i="2"/>
  <c r="U154" i="2" s="1"/>
  <c r="S154" i="2"/>
  <c r="Q154" i="2"/>
  <c r="P154" i="2"/>
  <c r="O154" i="2"/>
  <c r="N154" i="2"/>
  <c r="C154" i="2"/>
  <c r="AC153" i="2"/>
  <c r="AB153" i="2"/>
  <c r="Z153" i="2"/>
  <c r="W153" i="2"/>
  <c r="T153" i="2"/>
  <c r="V153" i="2" s="1"/>
  <c r="S153" i="2"/>
  <c r="Q153" i="2"/>
  <c r="P153" i="2"/>
  <c r="O153" i="2"/>
  <c r="N153" i="2"/>
  <c r="C153" i="2"/>
  <c r="AC152" i="2"/>
  <c r="AB152" i="2"/>
  <c r="Z152" i="2"/>
  <c r="W152" i="2"/>
  <c r="T152" i="2"/>
  <c r="S152" i="2"/>
  <c r="Q152" i="2"/>
  <c r="P152" i="2"/>
  <c r="O152" i="2"/>
  <c r="N152" i="2"/>
  <c r="C152" i="2"/>
  <c r="AC151" i="2"/>
  <c r="AB151" i="2"/>
  <c r="Z151" i="2"/>
  <c r="W151" i="2"/>
  <c r="T151" i="2"/>
  <c r="V151" i="2" s="1"/>
  <c r="S151" i="2"/>
  <c r="Q151" i="2"/>
  <c r="P151" i="2"/>
  <c r="O151" i="2"/>
  <c r="N151" i="2"/>
  <c r="C151" i="2"/>
  <c r="AC150" i="2"/>
  <c r="AB150" i="2"/>
  <c r="Z150" i="2"/>
  <c r="W150" i="2"/>
  <c r="T150" i="2"/>
  <c r="S150" i="2"/>
  <c r="Q150" i="2"/>
  <c r="P150" i="2"/>
  <c r="O150" i="2"/>
  <c r="N150" i="2"/>
  <c r="C150" i="2"/>
  <c r="AC149" i="2"/>
  <c r="AB149" i="2"/>
  <c r="Z149" i="2"/>
  <c r="W149" i="2"/>
  <c r="T149" i="2"/>
  <c r="V149" i="2" s="1"/>
  <c r="S149" i="2"/>
  <c r="Q149" i="2"/>
  <c r="P149" i="2"/>
  <c r="O149" i="2"/>
  <c r="N149" i="2"/>
  <c r="C149" i="2"/>
  <c r="AC148" i="2"/>
  <c r="AB148" i="2"/>
  <c r="Z148" i="2"/>
  <c r="W148" i="2"/>
  <c r="T148" i="2"/>
  <c r="S148" i="2"/>
  <c r="Q148" i="2"/>
  <c r="P148" i="2"/>
  <c r="O148" i="2"/>
  <c r="N148" i="2"/>
  <c r="C148" i="2"/>
  <c r="AC147" i="2"/>
  <c r="AB147" i="2"/>
  <c r="Z147" i="2"/>
  <c r="W147" i="2"/>
  <c r="T147" i="2"/>
  <c r="S147" i="2"/>
  <c r="Q147" i="2"/>
  <c r="P147" i="2"/>
  <c r="O147" i="2"/>
  <c r="N147" i="2"/>
  <c r="C147" i="2"/>
  <c r="AC146" i="2"/>
  <c r="AB146" i="2"/>
  <c r="Z146" i="2"/>
  <c r="W146" i="2"/>
  <c r="T146" i="2"/>
  <c r="U146" i="2" s="1"/>
  <c r="S146" i="2"/>
  <c r="Q146" i="2"/>
  <c r="P146" i="2"/>
  <c r="O146" i="2"/>
  <c r="N146" i="2"/>
  <c r="C146" i="2"/>
  <c r="AC145" i="2"/>
  <c r="AB145" i="2"/>
  <c r="Z145" i="2"/>
  <c r="W145" i="2"/>
  <c r="T145" i="2"/>
  <c r="V145" i="2" s="1"/>
  <c r="S145" i="2"/>
  <c r="Q145" i="2"/>
  <c r="P145" i="2"/>
  <c r="O145" i="2"/>
  <c r="N145" i="2"/>
  <c r="C145" i="2"/>
  <c r="AC144" i="2"/>
  <c r="AB144" i="2"/>
  <c r="Z144" i="2"/>
  <c r="W144" i="2"/>
  <c r="T144" i="2"/>
  <c r="V144" i="2" s="1"/>
  <c r="S144" i="2"/>
  <c r="Q144" i="2"/>
  <c r="P144" i="2"/>
  <c r="O144" i="2"/>
  <c r="N144" i="2"/>
  <c r="C144" i="2"/>
  <c r="AC143" i="2"/>
  <c r="AB143" i="2"/>
  <c r="Z143" i="2"/>
  <c r="W143" i="2"/>
  <c r="T143" i="2"/>
  <c r="V143" i="2" s="1"/>
  <c r="S143" i="2"/>
  <c r="Q143" i="2"/>
  <c r="P143" i="2"/>
  <c r="O143" i="2"/>
  <c r="N143" i="2"/>
  <c r="C143" i="2"/>
  <c r="AC142" i="2"/>
  <c r="AB142" i="2"/>
  <c r="Z142" i="2"/>
  <c r="W142" i="2"/>
  <c r="T142" i="2"/>
  <c r="U142" i="2" s="1"/>
  <c r="S142" i="2"/>
  <c r="Q142" i="2"/>
  <c r="P142" i="2"/>
  <c r="O142" i="2"/>
  <c r="N142" i="2"/>
  <c r="C142" i="2"/>
  <c r="AC141" i="2"/>
  <c r="AB141" i="2"/>
  <c r="Z141" i="2"/>
  <c r="W141" i="2"/>
  <c r="T141" i="2"/>
  <c r="U141" i="2" s="1"/>
  <c r="S141" i="2"/>
  <c r="Q141" i="2"/>
  <c r="P141" i="2"/>
  <c r="O141" i="2"/>
  <c r="N141" i="2"/>
  <c r="C141" i="2"/>
  <c r="AC140" i="2"/>
  <c r="AB140" i="2"/>
  <c r="Z140" i="2"/>
  <c r="W140" i="2"/>
  <c r="T140" i="2"/>
  <c r="U140" i="2" s="1"/>
  <c r="S140" i="2"/>
  <c r="Q140" i="2"/>
  <c r="P140" i="2"/>
  <c r="O140" i="2"/>
  <c r="N140" i="2"/>
  <c r="C140" i="2"/>
  <c r="AC139" i="2"/>
  <c r="AB139" i="2"/>
  <c r="Z139" i="2"/>
  <c r="W139" i="2"/>
  <c r="T139" i="2"/>
  <c r="V139" i="2" s="1"/>
  <c r="S139" i="2"/>
  <c r="Q139" i="2"/>
  <c r="P139" i="2"/>
  <c r="O139" i="2"/>
  <c r="N139" i="2"/>
  <c r="C139" i="2"/>
  <c r="AC138" i="2"/>
  <c r="AB138" i="2"/>
  <c r="Z138" i="2"/>
  <c r="W138" i="2"/>
  <c r="T138" i="2"/>
  <c r="U138" i="2" s="1"/>
  <c r="S138" i="2"/>
  <c r="Q138" i="2"/>
  <c r="P138" i="2"/>
  <c r="O138" i="2"/>
  <c r="N138" i="2"/>
  <c r="C138" i="2"/>
  <c r="AC137" i="2"/>
  <c r="AB137" i="2"/>
  <c r="Z137" i="2"/>
  <c r="W137" i="2"/>
  <c r="T137" i="2"/>
  <c r="U137" i="2" s="1"/>
  <c r="S137" i="2"/>
  <c r="Q137" i="2"/>
  <c r="P137" i="2"/>
  <c r="O137" i="2"/>
  <c r="N137" i="2"/>
  <c r="C137" i="2"/>
  <c r="AC136" i="2"/>
  <c r="AB136" i="2"/>
  <c r="Z136" i="2"/>
  <c r="W136" i="2"/>
  <c r="T136" i="2"/>
  <c r="V136" i="2" s="1"/>
  <c r="S136" i="2"/>
  <c r="Q136" i="2"/>
  <c r="P136" i="2"/>
  <c r="O136" i="2"/>
  <c r="N136" i="2"/>
  <c r="C136" i="2"/>
  <c r="AC135" i="2"/>
  <c r="AB135" i="2"/>
  <c r="Z135" i="2"/>
  <c r="W135" i="2"/>
  <c r="T135" i="2"/>
  <c r="V135" i="2" s="1"/>
  <c r="S135" i="2"/>
  <c r="Q135" i="2"/>
  <c r="P135" i="2"/>
  <c r="O135" i="2"/>
  <c r="N135" i="2"/>
  <c r="C135" i="2"/>
  <c r="AC134" i="2"/>
  <c r="AB134" i="2"/>
  <c r="Z134" i="2"/>
  <c r="W134" i="2"/>
  <c r="T134" i="2"/>
  <c r="U134" i="2" s="1"/>
  <c r="S134" i="2"/>
  <c r="Q134" i="2"/>
  <c r="P134" i="2"/>
  <c r="O134" i="2"/>
  <c r="N134" i="2"/>
  <c r="C134" i="2"/>
  <c r="AC133" i="2"/>
  <c r="AB133" i="2"/>
  <c r="Z133" i="2"/>
  <c r="W133" i="2"/>
  <c r="T133" i="2"/>
  <c r="V133" i="2" s="1"/>
  <c r="S133" i="2"/>
  <c r="Q133" i="2"/>
  <c r="P133" i="2"/>
  <c r="O133" i="2"/>
  <c r="N133" i="2"/>
  <c r="C133" i="2"/>
  <c r="AC132" i="2"/>
  <c r="AB132" i="2"/>
  <c r="Z132" i="2"/>
  <c r="W132" i="2"/>
  <c r="V132" i="2"/>
  <c r="T132" i="2"/>
  <c r="U132" i="2" s="1"/>
  <c r="S132" i="2"/>
  <c r="Q132" i="2"/>
  <c r="P132" i="2"/>
  <c r="O132" i="2"/>
  <c r="N132" i="2"/>
  <c r="C132" i="2"/>
  <c r="AC131" i="2"/>
  <c r="AB131" i="2"/>
  <c r="Z131" i="2"/>
  <c r="W131" i="2"/>
  <c r="T131" i="2"/>
  <c r="V131" i="2" s="1"/>
  <c r="S131" i="2"/>
  <c r="Q131" i="2"/>
  <c r="P131" i="2"/>
  <c r="O131" i="2"/>
  <c r="N131" i="2"/>
  <c r="C131" i="2"/>
  <c r="AC130" i="2"/>
  <c r="AB130" i="2"/>
  <c r="Z130" i="2"/>
  <c r="W130" i="2"/>
  <c r="T130" i="2"/>
  <c r="V130" i="2" s="1"/>
  <c r="S130" i="2"/>
  <c r="Q130" i="2"/>
  <c r="P130" i="2"/>
  <c r="O130" i="2"/>
  <c r="N130" i="2"/>
  <c r="C130" i="2"/>
  <c r="AC129" i="2"/>
  <c r="AB129" i="2"/>
  <c r="Z129" i="2"/>
  <c r="W129" i="2"/>
  <c r="T129" i="2"/>
  <c r="V129" i="2" s="1"/>
  <c r="S129" i="2"/>
  <c r="Q129" i="2"/>
  <c r="P129" i="2"/>
  <c r="O129" i="2"/>
  <c r="N129" i="2"/>
  <c r="C129" i="2"/>
  <c r="AC128" i="2"/>
  <c r="AB128" i="2"/>
  <c r="Z128" i="2"/>
  <c r="W128" i="2"/>
  <c r="T128" i="2"/>
  <c r="S128" i="2"/>
  <c r="Q128" i="2"/>
  <c r="P128" i="2"/>
  <c r="O128" i="2"/>
  <c r="N128" i="2"/>
  <c r="C128" i="2"/>
  <c r="AC127" i="2"/>
  <c r="AB127" i="2"/>
  <c r="Z127" i="2"/>
  <c r="W127" i="2"/>
  <c r="T127" i="2"/>
  <c r="S127" i="2"/>
  <c r="Q127" i="2"/>
  <c r="P127" i="2"/>
  <c r="O127" i="2"/>
  <c r="N127" i="2"/>
  <c r="C127" i="2"/>
  <c r="AC126" i="2"/>
  <c r="AB126" i="2"/>
  <c r="Z126" i="2"/>
  <c r="W126" i="2"/>
  <c r="T126" i="2"/>
  <c r="U126" i="2" s="1"/>
  <c r="S126" i="2"/>
  <c r="Q126" i="2"/>
  <c r="P126" i="2"/>
  <c r="O126" i="2"/>
  <c r="N126" i="2"/>
  <c r="C126" i="2"/>
  <c r="AC125" i="2"/>
  <c r="AB125" i="2"/>
  <c r="Z125" i="2"/>
  <c r="W125" i="2"/>
  <c r="T125" i="2"/>
  <c r="V125" i="2" s="1"/>
  <c r="S125" i="2"/>
  <c r="Q125" i="2"/>
  <c r="P125" i="2"/>
  <c r="O125" i="2"/>
  <c r="N125" i="2"/>
  <c r="C125" i="2"/>
  <c r="AC124" i="2"/>
  <c r="AB124" i="2"/>
  <c r="Z124" i="2"/>
  <c r="W124" i="2"/>
  <c r="T124" i="2"/>
  <c r="V124" i="2" s="1"/>
  <c r="S124" i="2"/>
  <c r="Q124" i="2"/>
  <c r="P124" i="2"/>
  <c r="O124" i="2"/>
  <c r="N124" i="2"/>
  <c r="C124" i="2"/>
  <c r="AC123" i="2"/>
  <c r="AB123" i="2"/>
  <c r="Z123" i="2"/>
  <c r="W123" i="2"/>
  <c r="T123" i="2"/>
  <c r="U123" i="2" s="1"/>
  <c r="S123" i="2"/>
  <c r="Q123" i="2"/>
  <c r="P123" i="2"/>
  <c r="O123" i="2"/>
  <c r="N123" i="2"/>
  <c r="C123" i="2"/>
  <c r="AC122" i="2"/>
  <c r="AB122" i="2"/>
  <c r="Z122" i="2"/>
  <c r="W122" i="2"/>
  <c r="T122" i="2"/>
  <c r="V122" i="2" s="1"/>
  <c r="S122" i="2"/>
  <c r="Q122" i="2"/>
  <c r="P122" i="2"/>
  <c r="O122" i="2"/>
  <c r="N122" i="2"/>
  <c r="C122" i="2"/>
  <c r="AC121" i="2"/>
  <c r="AB121" i="2"/>
  <c r="Z121" i="2"/>
  <c r="W121" i="2"/>
  <c r="T121" i="2"/>
  <c r="U121" i="2" s="1"/>
  <c r="S121" i="2"/>
  <c r="Q121" i="2"/>
  <c r="P121" i="2"/>
  <c r="O121" i="2"/>
  <c r="N121" i="2"/>
  <c r="C121" i="2"/>
  <c r="AC120" i="2"/>
  <c r="AB120" i="2"/>
  <c r="Z120" i="2"/>
  <c r="W120" i="2"/>
  <c r="T120" i="2"/>
  <c r="U120" i="2" s="1"/>
  <c r="S120" i="2"/>
  <c r="Q120" i="2"/>
  <c r="P120" i="2"/>
  <c r="O120" i="2"/>
  <c r="N120" i="2"/>
  <c r="C120" i="2"/>
  <c r="AC119" i="2"/>
  <c r="AB119" i="2"/>
  <c r="Z119" i="2"/>
  <c r="W119" i="2"/>
  <c r="T119" i="2"/>
  <c r="U119" i="2" s="1"/>
  <c r="S119" i="2"/>
  <c r="Q119" i="2"/>
  <c r="P119" i="2"/>
  <c r="O119" i="2"/>
  <c r="N119" i="2"/>
  <c r="C119" i="2"/>
  <c r="AC118" i="2"/>
  <c r="AB118" i="2"/>
  <c r="Z118" i="2"/>
  <c r="W118" i="2"/>
  <c r="T118" i="2"/>
  <c r="U118" i="2" s="1"/>
  <c r="S118" i="2"/>
  <c r="Q118" i="2"/>
  <c r="P118" i="2"/>
  <c r="O118" i="2"/>
  <c r="N118" i="2"/>
  <c r="C118" i="2"/>
  <c r="AC117" i="2"/>
  <c r="AB117" i="2"/>
  <c r="Z117" i="2"/>
  <c r="W117" i="2"/>
  <c r="T117" i="2"/>
  <c r="V117" i="2" s="1"/>
  <c r="S117" i="2"/>
  <c r="Q117" i="2"/>
  <c r="P117" i="2"/>
  <c r="O117" i="2"/>
  <c r="N117" i="2"/>
  <c r="C117" i="2"/>
  <c r="AC116" i="2"/>
  <c r="AB116" i="2"/>
  <c r="Z116" i="2"/>
  <c r="W116" i="2"/>
  <c r="T116" i="2"/>
  <c r="V116" i="2" s="1"/>
  <c r="S116" i="2"/>
  <c r="Q116" i="2"/>
  <c r="P116" i="2"/>
  <c r="O116" i="2"/>
  <c r="N116" i="2"/>
  <c r="C116" i="2"/>
  <c r="AC115" i="2"/>
  <c r="AB115" i="2"/>
  <c r="Z115" i="2"/>
  <c r="W115" i="2"/>
  <c r="T115" i="2"/>
  <c r="U115" i="2" s="1"/>
  <c r="S115" i="2"/>
  <c r="Q115" i="2"/>
  <c r="P115" i="2"/>
  <c r="O115" i="2"/>
  <c r="N115" i="2"/>
  <c r="C115" i="2"/>
  <c r="AC114" i="2"/>
  <c r="AB114" i="2"/>
  <c r="Z114" i="2"/>
  <c r="W114" i="2"/>
  <c r="T114" i="2"/>
  <c r="S114" i="2"/>
  <c r="Q114" i="2"/>
  <c r="P114" i="2"/>
  <c r="O114" i="2"/>
  <c r="N114" i="2"/>
  <c r="C114" i="2"/>
  <c r="AC113" i="2"/>
  <c r="AB113" i="2"/>
  <c r="Z113" i="2"/>
  <c r="W113" i="2"/>
  <c r="T113" i="2"/>
  <c r="V113" i="2" s="1"/>
  <c r="S113" i="2"/>
  <c r="Q113" i="2"/>
  <c r="P113" i="2"/>
  <c r="O113" i="2"/>
  <c r="N113" i="2"/>
  <c r="C113" i="2"/>
  <c r="AC112" i="2"/>
  <c r="AB112" i="2"/>
  <c r="Z112" i="2"/>
  <c r="W112" i="2"/>
  <c r="T112" i="2"/>
  <c r="U112" i="2" s="1"/>
  <c r="S112" i="2"/>
  <c r="Q112" i="2"/>
  <c r="P112" i="2"/>
  <c r="O112" i="2"/>
  <c r="N112" i="2"/>
  <c r="C112" i="2"/>
  <c r="AC111" i="2"/>
  <c r="AB111" i="2"/>
  <c r="Z111" i="2"/>
  <c r="W111" i="2"/>
  <c r="T111" i="2"/>
  <c r="V111" i="2" s="1"/>
  <c r="S111" i="2"/>
  <c r="Q111" i="2"/>
  <c r="P111" i="2"/>
  <c r="O111" i="2"/>
  <c r="N111" i="2"/>
  <c r="C111" i="2"/>
  <c r="AC110" i="2"/>
  <c r="AB110" i="2"/>
  <c r="Z110" i="2"/>
  <c r="W110" i="2"/>
  <c r="T110" i="2"/>
  <c r="V110" i="2" s="1"/>
  <c r="S110" i="2"/>
  <c r="Q110" i="2"/>
  <c r="P110" i="2"/>
  <c r="O110" i="2"/>
  <c r="N110" i="2"/>
  <c r="C110" i="2"/>
  <c r="AC109" i="2"/>
  <c r="AB109" i="2"/>
  <c r="Z109" i="2"/>
  <c r="W109" i="2"/>
  <c r="T109" i="2"/>
  <c r="V109" i="2" s="1"/>
  <c r="S109" i="2"/>
  <c r="Q109" i="2"/>
  <c r="P109" i="2"/>
  <c r="O109" i="2"/>
  <c r="N109" i="2"/>
  <c r="C109" i="2"/>
  <c r="AC108" i="2"/>
  <c r="AB108" i="2"/>
  <c r="Z108" i="2"/>
  <c r="W108" i="2"/>
  <c r="T108" i="2"/>
  <c r="S108" i="2"/>
  <c r="Q108" i="2"/>
  <c r="P108" i="2"/>
  <c r="O108" i="2"/>
  <c r="N108" i="2"/>
  <c r="C108" i="2"/>
  <c r="AC107" i="2"/>
  <c r="AB107" i="2"/>
  <c r="Z107" i="2"/>
  <c r="W107" i="2"/>
  <c r="T107" i="2"/>
  <c r="S107" i="2"/>
  <c r="Q107" i="2"/>
  <c r="P107" i="2"/>
  <c r="O107" i="2"/>
  <c r="N107" i="2"/>
  <c r="C107" i="2"/>
  <c r="AC106" i="2"/>
  <c r="AB106" i="2"/>
  <c r="Z106" i="2"/>
  <c r="W106" i="2"/>
  <c r="T106" i="2"/>
  <c r="U106" i="2" s="1"/>
  <c r="S106" i="2"/>
  <c r="Q106" i="2"/>
  <c r="P106" i="2"/>
  <c r="O106" i="2"/>
  <c r="N106" i="2"/>
  <c r="C106" i="2"/>
  <c r="AC105" i="2"/>
  <c r="AB105" i="2"/>
  <c r="Z105" i="2"/>
  <c r="W105" i="2"/>
  <c r="T105" i="2"/>
  <c r="V105" i="2" s="1"/>
  <c r="S105" i="2"/>
  <c r="Q105" i="2"/>
  <c r="P105" i="2"/>
  <c r="O105" i="2"/>
  <c r="N105" i="2"/>
  <c r="C105" i="2"/>
  <c r="AC104" i="2"/>
  <c r="AB104" i="2"/>
  <c r="Z104" i="2"/>
  <c r="W104" i="2"/>
  <c r="T104" i="2"/>
  <c r="V104" i="2" s="1"/>
  <c r="S104" i="2"/>
  <c r="Q104" i="2"/>
  <c r="P104" i="2"/>
  <c r="O104" i="2"/>
  <c r="N104" i="2"/>
  <c r="C104" i="2"/>
  <c r="AC103" i="2"/>
  <c r="AB103" i="2"/>
  <c r="Z103" i="2"/>
  <c r="W103" i="2"/>
  <c r="T103" i="2"/>
  <c r="U103" i="2" s="1"/>
  <c r="S103" i="2"/>
  <c r="Q103" i="2"/>
  <c r="P103" i="2"/>
  <c r="O103" i="2"/>
  <c r="N103" i="2"/>
  <c r="C103" i="2"/>
  <c r="AC102" i="2"/>
  <c r="AB102" i="2"/>
  <c r="Z102" i="2"/>
  <c r="W102" i="2"/>
  <c r="T102" i="2"/>
  <c r="U102" i="2" s="1"/>
  <c r="S102" i="2"/>
  <c r="Q102" i="2"/>
  <c r="P102" i="2"/>
  <c r="O102" i="2"/>
  <c r="N102" i="2"/>
  <c r="C102" i="2"/>
  <c r="AC101" i="2"/>
  <c r="AB101" i="2"/>
  <c r="Z101" i="2"/>
  <c r="W101" i="2"/>
  <c r="T101" i="2"/>
  <c r="U101" i="2" s="1"/>
  <c r="S101" i="2"/>
  <c r="Q101" i="2"/>
  <c r="P101" i="2"/>
  <c r="O101" i="2"/>
  <c r="N101" i="2"/>
  <c r="C101" i="2"/>
  <c r="AC100" i="2"/>
  <c r="AB100" i="2"/>
  <c r="Z100" i="2"/>
  <c r="W100" i="2"/>
  <c r="T100" i="2"/>
  <c r="S100" i="2"/>
  <c r="Q100" i="2"/>
  <c r="P100" i="2"/>
  <c r="O100" i="2"/>
  <c r="N100" i="2"/>
  <c r="C100" i="2"/>
  <c r="AC99" i="2"/>
  <c r="AB99" i="2"/>
  <c r="Z99" i="2"/>
  <c r="W99" i="2"/>
  <c r="T99" i="2"/>
  <c r="V99" i="2" s="1"/>
  <c r="S99" i="2"/>
  <c r="Q99" i="2"/>
  <c r="P99" i="2"/>
  <c r="O99" i="2"/>
  <c r="N99" i="2"/>
  <c r="C99" i="2"/>
  <c r="AC98" i="2"/>
  <c r="AB98" i="2"/>
  <c r="Z98" i="2"/>
  <c r="W98" i="2"/>
  <c r="T98" i="2"/>
  <c r="U98" i="2" s="1"/>
  <c r="S98" i="2"/>
  <c r="Q98" i="2"/>
  <c r="P98" i="2"/>
  <c r="O98" i="2"/>
  <c r="N98" i="2"/>
  <c r="C98" i="2"/>
  <c r="AC97" i="2"/>
  <c r="AB97" i="2"/>
  <c r="Z97" i="2"/>
  <c r="W97" i="2"/>
  <c r="T97" i="2"/>
  <c r="V97" i="2" s="1"/>
  <c r="S97" i="2"/>
  <c r="Q97" i="2"/>
  <c r="P97" i="2"/>
  <c r="O97" i="2"/>
  <c r="N97" i="2"/>
  <c r="C97" i="2"/>
  <c r="AC96" i="2"/>
  <c r="AB96" i="2"/>
  <c r="Z96" i="2"/>
  <c r="W96" i="2"/>
  <c r="T96" i="2"/>
  <c r="V96" i="2" s="1"/>
  <c r="S96" i="2"/>
  <c r="Q96" i="2"/>
  <c r="P96" i="2"/>
  <c r="O96" i="2"/>
  <c r="N96" i="2"/>
  <c r="C96" i="2"/>
  <c r="AC95" i="2"/>
  <c r="AB95" i="2"/>
  <c r="Z95" i="2"/>
  <c r="W95" i="2"/>
  <c r="T95" i="2"/>
  <c r="V95" i="2" s="1"/>
  <c r="S95" i="2"/>
  <c r="Q95" i="2"/>
  <c r="P95" i="2"/>
  <c r="O95" i="2"/>
  <c r="N95" i="2"/>
  <c r="C95" i="2"/>
  <c r="AC94" i="2"/>
  <c r="AB94" i="2"/>
  <c r="Z94" i="2"/>
  <c r="W94" i="2"/>
  <c r="T94" i="2"/>
  <c r="S94" i="2"/>
  <c r="Q94" i="2"/>
  <c r="P94" i="2"/>
  <c r="O94" i="2"/>
  <c r="N94" i="2"/>
  <c r="C94" i="2"/>
  <c r="AC93" i="2"/>
  <c r="AB93" i="2"/>
  <c r="Z93" i="2"/>
  <c r="W93" i="2"/>
  <c r="T93" i="2"/>
  <c r="V93" i="2" s="1"/>
  <c r="S93" i="2"/>
  <c r="Q93" i="2"/>
  <c r="P93" i="2"/>
  <c r="O93" i="2"/>
  <c r="N93" i="2"/>
  <c r="C93" i="2"/>
  <c r="AC92" i="2"/>
  <c r="AB92" i="2"/>
  <c r="Z92" i="2"/>
  <c r="W92" i="2"/>
  <c r="T92" i="2"/>
  <c r="U92" i="2" s="1"/>
  <c r="S92" i="2"/>
  <c r="Q92" i="2"/>
  <c r="P92" i="2"/>
  <c r="O92" i="2"/>
  <c r="N92" i="2"/>
  <c r="C92" i="2"/>
  <c r="AC91" i="2"/>
  <c r="AB91" i="2"/>
  <c r="Z91" i="2"/>
  <c r="W91" i="2"/>
  <c r="T91" i="2"/>
  <c r="V91" i="2" s="1"/>
  <c r="S91" i="2"/>
  <c r="Q91" i="2"/>
  <c r="P91" i="2"/>
  <c r="O91" i="2"/>
  <c r="N91" i="2"/>
  <c r="C91" i="2"/>
  <c r="AC90" i="2"/>
  <c r="AB90" i="2"/>
  <c r="Z90" i="2"/>
  <c r="W90" i="2"/>
  <c r="T90" i="2"/>
  <c r="V90" i="2" s="1"/>
  <c r="S90" i="2"/>
  <c r="Q90" i="2"/>
  <c r="P90" i="2"/>
  <c r="O90" i="2"/>
  <c r="N90" i="2"/>
  <c r="C90" i="2"/>
  <c r="V120" i="2" l="1"/>
  <c r="V102" i="2"/>
  <c r="V137" i="2"/>
  <c r="V106" i="2"/>
  <c r="U122" i="2"/>
  <c r="U129" i="2"/>
  <c r="V101" i="2"/>
  <c r="U117" i="2"/>
  <c r="V142" i="2"/>
  <c r="V121" i="2"/>
  <c r="V126" i="2"/>
  <c r="U109" i="2"/>
  <c r="U149" i="2"/>
  <c r="U99" i="2"/>
  <c r="U116" i="2"/>
  <c r="V119" i="2"/>
  <c r="U151" i="2"/>
  <c r="V156" i="2"/>
  <c r="U131" i="2"/>
  <c r="U139" i="2"/>
  <c r="U91" i="2"/>
  <c r="U111" i="2"/>
  <c r="U136" i="2"/>
  <c r="U135" i="2"/>
  <c r="V138" i="2"/>
  <c r="U95" i="2"/>
  <c r="V103" i="2"/>
  <c r="U110" i="2"/>
  <c r="V123" i="2"/>
  <c r="U143" i="2"/>
  <c r="V98" i="2"/>
  <c r="V115" i="2"/>
  <c r="U157" i="2"/>
  <c r="U133" i="2"/>
  <c r="V141" i="2"/>
  <c r="V155" i="2"/>
  <c r="V92" i="2"/>
  <c r="U97" i="2"/>
  <c r="V154" i="2"/>
  <c r="U93" i="2"/>
  <c r="V118" i="2"/>
  <c r="V128" i="2"/>
  <c r="U128" i="2"/>
  <c r="U153" i="2"/>
  <c r="B2" i="4"/>
  <c r="B15" i="5"/>
  <c r="V146" i="2"/>
  <c r="U130" i="2"/>
  <c r="V150" i="2"/>
  <c r="U150" i="2"/>
  <c r="V148" i="2"/>
  <c r="U148" i="2"/>
  <c r="U100" i="2"/>
  <c r="V100" i="2"/>
  <c r="V112" i="2"/>
  <c r="U114" i="2"/>
  <c r="V114" i="2"/>
  <c r="U94" i="2"/>
  <c r="V94" i="2"/>
  <c r="V107" i="2"/>
  <c r="U107" i="2"/>
  <c r="V127" i="2"/>
  <c r="U127" i="2"/>
  <c r="U96" i="2"/>
  <c r="V140" i="2"/>
  <c r="V152" i="2"/>
  <c r="U152" i="2"/>
  <c r="V147" i="2"/>
  <c r="U147" i="2"/>
  <c r="V134" i="2"/>
  <c r="U90" i="2"/>
  <c r="V108" i="2"/>
  <c r="U108" i="2"/>
  <c r="U113" i="2"/>
  <c r="U105" i="2"/>
  <c r="U125" i="2"/>
  <c r="U145" i="2"/>
  <c r="U104" i="2"/>
  <c r="U124" i="2"/>
  <c r="U144" i="2"/>
  <c r="B9" i="5" l="1"/>
  <c r="B12" i="4"/>
  <c r="B5" i="6" s="1"/>
  <c r="B3" i="5"/>
  <c r="B23" i="5"/>
  <c r="B11" i="4"/>
  <c r="B2" i="6" l="1"/>
  <c r="B4" i="6" s="1"/>
  <c r="B11" i="5"/>
  <c r="B7" i="5"/>
  <c r="B5" i="5"/>
  <c r="B3" i="4"/>
  <c r="B8" i="5"/>
  <c r="B14" i="5"/>
  <c r="B18" i="5" s="1"/>
  <c r="B5" i="4"/>
  <c r="B4" i="4"/>
  <c r="B14" i="4"/>
  <c r="B10" i="4"/>
  <c r="B6" i="4" l="1"/>
  <c r="B20" i="5"/>
  <c r="B19" i="5"/>
  <c r="B7" i="4"/>
  <c r="B10" i="5"/>
  <c r="B8" i="4"/>
  <c r="B9" i="4"/>
  <c r="B21" i="5" l="1"/>
  <c r="B22" i="5" s="1"/>
  <c r="B13" i="4"/>
  <c r="B6" i="6" s="1"/>
  <c r="B7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C1" authorId="0" shapeId="0" xr:uid="{00000000-0006-0000-0000-000001000000}">
      <text>
        <r>
          <rPr>
            <sz val="11"/>
            <color rgb="FF000000"/>
            <rFont val="宋体"/>
            <charset val="134"/>
            <scheme val="minor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1"/>
            <color rgb="FF000000"/>
            <rFont val="宋体"/>
            <charset val="134"/>
            <scheme val="minor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1"/>
            <color rgb="FF000000"/>
            <rFont val="宋体"/>
            <charset val="134"/>
            <scheme val="minor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1"/>
            <color rgb="FF000000"/>
            <rFont val="宋体"/>
            <charset val="134"/>
            <scheme val="minor"/>
          </rPr>
          <t>开仓前必须在“持仓跟踪”填写至少一条规则有效的止损计划；同时检查连续亏损锁仓和原有风险额度。</t>
        </r>
      </text>
    </comment>
    <comment ref="H1" authorId="0" shapeId="0" xr:uid="{00000000-0006-0000-0000-000005000000}">
      <text>
        <r>
          <rPr>
            <sz val="11"/>
            <color rgb="FF000000"/>
            <rFont val="宋体"/>
            <charset val="134"/>
            <scheme val="minor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1"/>
            <color rgb="FF000000"/>
            <rFont val="宋体"/>
            <charset val="134"/>
            <scheme val="minor"/>
          </rPr>
          <t>卖出股数由“持仓跟踪”同步，按累计买入股数一次性全部卖出。</t>
        </r>
      </text>
    </comment>
    <comment ref="AE1" authorId="0" shapeId="0" xr:uid="{00000000-0006-0000-0000-000007000000}">
      <text>
        <r>
          <rPr>
            <sz val="11"/>
            <color rgb="FF000000"/>
            <rFont val="宋体"/>
            <charset val="134"/>
            <scheme val="minor"/>
          </rPr>
          <t>实际盈亏金额÷买入时账户金额快照；用于账户口径统计与逐笔复利。</t>
        </r>
      </text>
    </comment>
    <comment ref="AG1" authorId="0" shapeId="0" xr:uid="{00000000-0006-0000-0000-000008000000}">
      <text>
        <r>
          <rPr>
            <sz val="11"/>
            <color rgb="FF000000"/>
            <rFont val="宋体"/>
            <charset val="134"/>
            <scheme val="minor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9000000}">
      <text>
        <r>
          <rPr>
            <sz val="11"/>
            <color rgb="FF000000"/>
            <rFont val="宋体"/>
            <charset val="134"/>
            <scheme val="minor"/>
          </rPr>
          <t>需要第二批时先填价格，再填股数；股数录入时会检查锁仓和风险上限。</t>
        </r>
      </text>
    </comment>
    <comment ref="AM1" authorId="0" shapeId="0" xr:uid="{00000000-0006-0000-0000-00000A000000}">
      <text>
        <r>
          <rPr>
            <sz val="11"/>
            <color rgb="FF000000"/>
            <rFont val="宋体"/>
            <charset val="134"/>
            <scheme val="minor"/>
          </rPr>
          <t>第三批必须在第二批完整后填写，同样采用先价格、后股数。</t>
        </r>
      </text>
    </comment>
    <comment ref="AR1" authorId="0" shapeId="0" xr:uid="{00000000-0006-0000-0000-00000B000000}">
      <text>
        <r>
          <rPr>
            <sz val="11"/>
            <color rgb="FF000000"/>
            <rFont val="宋体"/>
            <charset val="134"/>
            <scheme val="minor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100-000001000000}">
      <text>
        <r>
          <rPr>
            <sz val="11"/>
            <color rgb="FF000000"/>
            <rFont val="宋体"/>
            <charset val="134"/>
            <scheme val="minor"/>
          </rPr>
          <t>同一张表同时记录止损计划和每日跟踪；先选择记录类型，再填写对应的蓝色输入列。</t>
        </r>
      </text>
    </comment>
    <comment ref="S1" authorId="0" shapeId="0" xr:uid="{00000000-0006-0000-0100-000002000000}">
      <text>
        <r>
          <rPr>
            <sz val="11"/>
            <color rgb="FF000000"/>
            <rFont val="宋体"/>
            <charset val="134"/>
            <scheme val="minor"/>
          </rPr>
          <t>当前有效止损取初始止损、已激活计划止损和历次人工上调止损的最大值，只升不降。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600-000001000000}">
      <text>
        <r>
          <rPr>
            <sz val="11"/>
            <color rgb="FF000000"/>
            <rFont val="宋体"/>
            <charset val="134"/>
            <scheme val="minor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<sst xmlns="http://schemas.openxmlformats.org/spreadsheetml/2006/main" count="238" uniqueCount="211">
  <si>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</si>
  <si>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</si>
  <si>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</si>
  <si>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</si>
  <si>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</si>
  <si>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</si>
  <si>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</si>
  <si>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</si>
  <si>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</si>
  <si>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</si>
  <si>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</t>
  </si>
  <si>
    <t>卖出股数</t>
  </si>
  <si>
    <t>卖出日期</t>
  </si>
  <si>
    <t>止损价</t>
  </si>
  <si>
    <t>买入总费用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</si>
  <si>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</si>
  <si>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</si>
  <si>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</si>
  <si>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</si>
  <si>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</si>
  <si>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</si>
  <si>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</si>
  <si>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</si>
  <si>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</si>
  <si>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</si>
  <si>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</si>
  <si>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</si>
  <si>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</si>
  <si>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</si>
  <si>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</si>
  <si>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</si>
  <si>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</si>
  <si>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</si>
  <si>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</si>
  <si>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</si>
  <si>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</si>
  <si>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第二批买入价</t>
  </si>
  <si>
    <t>第二批买入股数</t>
  </si>
  <si>
    <t>第三批买入价</t>
  </si>
  <si>
    <t>第三批买入股数</t>
  </si>
  <si>
    <t>实际加权买入价</t>
  </si>
  <si>
    <t>累计买入股数</t>
  </si>
  <si>
    <t>当前持仓风险</t>
  </si>
  <si>
    <t>分仓规则检查</t>
  </si>
  <si>
    <t>记录类型</t>
  </si>
  <si>
    <t>止损阶段序号</t>
  </si>
  <si>
    <t>激活价</t>
  </si>
  <si>
    <t>激活后止损价</t>
  </si>
  <si>
    <t>止损依据</t>
  </si>
  <si>
    <t>记录日期</t>
  </si>
  <si>
    <t>收盘价</t>
  </si>
  <si>
    <t>成交量</t>
  </si>
  <si>
    <t>量价分析</t>
  </si>
  <si>
    <t>当前阶段</t>
  </si>
  <si>
    <t>阶段判断理由</t>
  </si>
  <si>
    <t>初始止损</t>
  </si>
  <si>
    <t>历史最高收盘价</t>
  </si>
  <si>
    <t>已激活止损阶段</t>
  </si>
  <si>
    <t>当前计划止损</t>
  </si>
  <si>
    <t>人工上调止损</t>
  </si>
  <si>
    <t>当前有效止损</t>
  </si>
  <si>
    <t>下一阶段激活价</t>
  </si>
  <si>
    <t>下一阶段止损价</t>
  </si>
  <si>
    <t>距离下一阶段涨幅</t>
  </si>
  <si>
    <t>止损判断</t>
  </si>
  <si>
    <t>卖出动作</t>
  </si>
  <si>
    <t>实际卖出股数</t>
  </si>
  <si>
    <t>执行检查</t>
  </si>
  <si>
    <t>规则检查</t>
  </si>
  <si>
    <t>所属板块</t>
  </si>
  <si>
    <t>阶段</t>
  </si>
  <si>
    <t>技术指标1</t>
  </si>
  <si>
    <t>技术指标2</t>
  </si>
  <si>
    <t>技术指标3</t>
  </si>
  <si>
    <t>综述</t>
  </si>
  <si>
    <t>列2</t>
  </si>
  <si>
    <t>列3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</si>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</sst>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\¥#,##0.00;[Red]\-\¥#,##0.00"/>
    <numFmt numFmtId="179" formatCode="yyyy\-mm\-dd"/>
  </numFmts>
  <fonts count="6" x14ac:knownFonts="1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rgb="FFFF000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9"/>
      <name val="宋体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8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178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179" fontId="0" fillId="3" borderId="1" xfId="0" applyNumberFormat="1" applyFill="1" applyBorder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179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178" fontId="3" fillId="3" borderId="1" xfId="0" applyNumberFormat="1" applyFont="1" applyFill="1" applyBorder="1" applyAlignment="1">
      <alignment vertical="top" wrapText="1"/>
    </xf>
    <xf numFmtId="10" fontId="3" fillId="3" borderId="1" xfId="0" applyNumberFormat="1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179" fontId="3" fillId="3" borderId="1" xfId="0" applyNumberFormat="1" applyFont="1" applyFill="1" applyBorder="1" applyAlignment="1">
      <alignment vertical="top" wrapText="1"/>
    </xf>
    <xf numFmtId="178" fontId="3" fillId="4" borderId="1" xfId="0" applyNumberFormat="1" applyFont="1" applyFill="1" applyBorder="1" applyAlignment="1">
      <alignment vertical="top" wrapText="1"/>
    </xf>
    <xf numFmtId="179" fontId="3" fillId="4" borderId="1" xfId="0" applyNumberFormat="1" applyFont="1" applyFill="1" applyBorder="1" applyAlignment="1">
      <alignment vertical="top" wrapText="1"/>
    </xf>
    <xf numFmtId="10" fontId="3" fillId="4" borderId="1" xfId="0" applyNumberFormat="1" applyFont="1" applyFill="1" applyBorder="1" applyAlignment="1">
      <alignment vertical="top" wrapText="1"/>
    </xf>
    <xf numFmtId="2" fontId="3" fillId="4" borderId="1" xfId="0" applyNumberFormat="1" applyFont="1" applyFill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1" fontId="3" fillId="3" borderId="1" xfId="0" applyNumberFormat="1" applyFont="1" applyFill="1" applyBorder="1" applyAlignment="1">
      <alignment vertical="top" wrapText="1"/>
    </xf>
  </cellXfs>
  <cellStyles count="1">
    <cellStyle name="常规" xfId="0" builtinId="0"/>
  </cellStyles>
  <dxfs count="39"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Records" displayName="TradeRecords" ref="A1:AR102">
  <autoFilter ref="A1:AR102" xr:uid="{00000000-0009-0000-0100-000001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/>
    <tableColumn id="7" xr3:uid="{00000000-0010-0000-0000-000007000000}" name="开仓风险告警"/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"/>
    <tableColumn id="12" xr3:uid="{00000000-0010-0000-0000-00000C000000}" name="卖出股数"/>
    <tableColumn id="13" xr3:uid="{00000000-0010-0000-0000-00000D000000}" name="卖出日期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/>
    <tableColumn id="22" xr3:uid="{00000000-0010-0000-0000-000016000000}" name="期望止损比例"/>
    <tableColumn id="23" xr3:uid="{00000000-0010-0000-0000-000017000000}" name="盈亏比"/>
    <tableColumn id="24" xr3:uid="{00000000-0010-0000-0000-000018000000}" name="实际盈亏金额"/>
    <tableColumn id="25" xr3:uid="{00000000-0010-0000-0000-000019000000}" name="单笔仓位收益率"/>
    <tableColumn id="26" xr3:uid="{00000000-0010-0000-0000-00001A000000}" name="账户收益率与平均盈利率差值"/>
    <tableColumn id="27" xr3:uid="{00000000-0010-0000-0000-00001B000000}" name="持有天数"/>
    <tableColumn id="28" xr3:uid="{00000000-0010-0000-0000-00001C000000}" name="复利容许平均亏损上限"/>
    <tableColumn id="29" xr3:uid="{00000000-0010-0000-0000-00001D000000}" name="复利风险判断"/>
    <tableColumn id="30" xr3:uid="{00000000-0010-0000-0000-00001E000000}" name="交易打分评价"/>
    <tableColumn id="31" xr3:uid="{00000000-0010-0000-0000-00001F000000}" name="实际账户收益率"/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/>
    <tableColumn id="37" xr3:uid="{00000000-0010-0000-0000-000025000000}" name="第二批买入价"/>
    <tableColumn id="38" xr3:uid="{00000000-0010-0000-0000-000026000000}" name="第二批买入股数"/>
    <tableColumn id="39" xr3:uid="{00000000-0010-0000-0000-000027000000}" name="第三批买入价"/>
    <tableColumn id="40" xr3:uid="{00000000-0010-0000-0000-000028000000}" name="第三批买入股数"/>
    <tableColumn id="41" xr3:uid="{00000000-0010-0000-0000-000029000000}" name="实际加权买入价"/>
    <tableColumn id="42" xr3:uid="{00000000-0010-0000-0000-00002A000000}" name="累计买入股数"/>
    <tableColumn id="43" xr3:uid="{00000000-0010-0000-0000-00002B000000}" name="当前持仓风险"/>
    <tableColumn id="44" xr3:uid="{00000000-0010-0000-0000-00002C000000}" name="分仓规则检查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sitionTracking" displayName="PositionTracking" ref="A1:AC157">
  <autoFilter ref="A1:AC157" xr:uid="{00000000-0009-0000-0100-000002000000}"/>
  <tableColumns count="29">
    <tableColumn id="1" xr3:uid="{00000000-0010-0000-0100-000001000000}" name="记录类型"/>
    <tableColumn id="2" xr3:uid="{00000000-0010-0000-0100-000002000000}" name="交易编号"/>
    <tableColumn id="3" xr3:uid="{00000000-0010-0000-0100-000003000000}" name="股票代码">
      <calculatedColumnFormula>IF(B2="","",IFERROR(LOOKUP(2,1/(单次交易!$A$2:$A$102=B2),单次交易!$B$2:$B$102),""))</calculatedColumnFormula>
    </tableColumn>
    <tableColumn id="4" xr3:uid="{00000000-0010-0000-0100-000004000000}" name="止损阶段序号"/>
    <tableColumn id="5" xr3:uid="{00000000-0010-0000-0100-000005000000}" name="激活价"/>
    <tableColumn id="6" xr3:uid="{00000000-0010-0000-0100-000006000000}" name="激活后止损价"/>
    <tableColumn id="7" xr3:uid="{00000000-0010-0000-0100-000007000000}" name="止损依据"/>
    <tableColumn id="8" xr3:uid="{00000000-0010-0000-0100-000008000000}" name="记录日期"/>
    <tableColumn id="9" xr3:uid="{00000000-0010-0000-0100-000009000000}" name="收盘价"/>
    <tableColumn id="10" xr3:uid="{00000000-0010-0000-0100-00000A000000}" name="成交量"/>
    <tableColumn id="11" xr3:uid="{00000000-0010-0000-0100-00000B000000}" name="量价分析"/>
    <tableColumn id="12" xr3:uid="{00000000-0010-0000-0100-00000C000000}" name="当前阶段"/>
    <tableColumn id="13" xr3:uid="{00000000-0010-0000-0100-00000D000000}" name="阶段判断理由"/>
    <tableColumn id="14" xr3:uid="{00000000-0010-0000-0100-00000E000000}" name="初始止损">
      <calculatedColumnFormula>IF(B2="","",IFERROR(LOOKUP(2,1/(单次交易!$A$2:$A$102=B2),单次交易!$N$2:$N$102),""))</calculatedColumnFormula>
    </tableColumn>
    <tableColumn id="15" xr3:uid="{00000000-0010-0000-0100-00000F000000}" name="历史最高收盘价">
      <calculatedColumnFormula>IF(A2&lt;&gt;"每日跟踪","",IF(OR(B2="",H2="",I2=""),"",IFERROR(SUMPRODUCT(MAX((($A$2:$A$497="每日跟踪")*($B$2:$B$497=B2)*($H$2:$H$497&lt;=H2))*$I$2:$I$497)),"")))</calculatedColumnFormula>
    </tableColumn>
    <tableColumn id="16" xr3:uid="{00000000-0010-0000-0100-000010000000}" name="已激活止损阶段">
      <calculatedColumnFormula>IF(A2&lt;&gt;"每日跟踪","",IF(O2="","",IFERROR(SUMPRODUCT(MAX((($A$2:$A$497="止损计划")*($B$2:$B$497=B2)*($E$2:$E$497&lt;=O2))*$D$2:$D$497)),0)))</calculatedColumnFormula>
    </tableColumn>
    <tableColumn id="17" xr3:uid="{00000000-0010-0000-0100-000011000000}" name="当前计划止损">
      <calculatedColumnFormula>IF(A2&lt;&gt;"每日跟踪","",IF(N2="","",MAX(N2,IFERROR(SUMPRODUCT(MAX((($A$2:$A$497="止损计划")*($B$2:$B$497=B2)*($E$2:$E$497&lt;=O2))*$F$2:$F$497)),0))))</calculatedColumnFormula>
    </tableColumn>
    <tableColumn id="18" xr3:uid="{00000000-0010-0000-0100-000012000000}" name="人工上调止损"/>
    <tableColumn id="19" xr3:uid="{00000000-0010-0000-0100-000013000000}" name="当前有效止损">
      <calculatedColumnFormula>IF(A2&lt;&gt;"每日跟踪","",IF(Q2="","",MAX(Q2,IFERROR(SUMPRODUCT(MAX((($A$2:$A$497="每日跟踪")*($B$2:$B$497=B2)*($H$2:$H$497&lt;=H2))*$R$2:$R$497)),0))))</calculatedColumnFormula>
    </tableColumn>
    <tableColumn id="20" xr3:uid="{00000000-0010-0000-0100-000014000000}" name="下一阶段激活价">
      <calculatedColumnFormula>IF(A2&lt;&gt;"每日跟踪","",IF(O2="","",IF(COUNTIFS($A$2:$A$497,"止损计划",$B$2:$B$497,B2,$E$2:$E$497,"&gt;"&amp;O2)=0,"",INDEX($E$2:$E$497,MATCH(1,INDEX(($A$2:$A$497="止损计划")*($B$2:$B$497=B2)*($E$2:$E$497&gt;O2),0),0)))))</calculatedColumnFormula>
    </tableColumn>
    <tableColumn id="21" xr3:uid="{00000000-0010-0000-0100-000015000000}" name="下一阶段止损价">
      <calculatedColumnFormula>IF(OR(A2&lt;&gt;"每日跟踪",T2=""),"",IFERROR(SUMIFS($F$2:$F$497,$A$2:$A$497,"止损计划",$B$2:$B$497,B2,$E$2:$E$497,T2),""))</calculatedColumnFormula>
    </tableColumn>
    <tableColumn id="22" xr3:uid="{00000000-0010-0000-0100-000016000000}" name="距离下一阶段涨幅">
      <calculatedColumnFormula>IF(OR(A2&lt;&gt;"每日跟踪",T2="",I2="",I2&lt;=0),"",T2/I2-1)</calculatedColumnFormula>
    </tableColumn>
    <tableColumn id="23" xr3:uid="{00000000-0010-0000-0100-000017000000}" name="止损判断">
      <calculatedColumnFormula>IF(A2&lt;&gt;"每日跟踪","",IF(OR(I2="",S2=""),"",IF(I2&lt;=S2,"触发止损：应全部卖出","继续观察")))</calculatedColumnFormula>
    </tableColumn>
    <tableColumn id="24" xr3:uid="{00000000-0010-0000-0100-000018000000}" name="卖出动作"/>
    <tableColumn id="25" xr3:uid="{00000000-0010-0000-0100-000019000000}" name="实际卖出价"/>
    <tableColumn id="26" xr3:uid="{00000000-0010-0000-0100-00001A000000}" name="实际卖出股数">
      <calculatedColumnFormula>IF(X2&lt;&gt;"执行卖出","",IFERROR(LOOKUP(2,1/(单次交易!$A$2:$A$102=B2),单次交易!$AP$2:$AP$102),""))</calculatedColumnFormula>
    </tableColumn>
    <tableColumn id="27" xr3:uid="{00000000-0010-0000-0100-00001B000000}" name="卖出费用"/>
    <tableColumn id="28" xr3:uid="{00000000-0010-0000-0100-00001C000000}" name="执行检查">
      <calculatedColumnFormula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calculatedColumnFormula>
    </tableColumn>
    <tableColumn id="29" xr3:uid="{00000000-0010-0000-0100-00001D000000}" name="规则检查">
      <calculatedColumnFormula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$102=B2),单次交易!$E$2:$E$102)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radeReasonLog" displayName="TradeReasonLog" ref="A1:L399">
  <autoFilter ref="A1:L399" xr:uid="{00000000-0009-0000-0100-000003000000}"/>
  <tableColumns count="12">
    <tableColumn id="1" xr3:uid="{00000000-0010-0000-0200-000001000000}" name="交易编号"/>
    <tableColumn id="2" xr3:uid="{00000000-0010-0000-0200-000002000000}" name="股票代码"/>
    <tableColumn id="3" xr3:uid="{00000000-0010-0000-0200-000003000000}" name="所属板块"/>
    <tableColumn id="4" xr3:uid="{00000000-0010-0000-0200-000004000000}" name="阶段"/>
    <tableColumn id="5" xr3:uid="{00000000-0010-0000-0200-000005000000}" name="记录日期"/>
    <tableColumn id="6" xr3:uid="{00000000-0010-0000-0200-000006000000}" name="技术指标1"/>
    <tableColumn id="7" xr3:uid="{00000000-0010-0000-0200-000007000000}" name="技术指标2"/>
    <tableColumn id="8" xr3:uid="{00000000-0010-0000-0200-000008000000}" name="技术指标3"/>
    <tableColumn id="9" xr3:uid="{00000000-0010-0000-0200-000009000000}" name="综述"/>
    <tableColumn id="10" xr3:uid="{00000000-0010-0000-0200-00000A000000}" name="列1"/>
    <tableColumn id="11" xr3:uid="{00000000-0010-0000-0200-00000B000000}" name="列2"/>
    <tableColumn id="12" xr3:uid="{00000000-0010-0000-0200-00000C000000}" name="列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echnicalIndicatorCatalog" displayName="TechnicalIndicatorCatalog" ref="A1:C201">
  <autoFilter ref="A1:C201" xr:uid="{00000000-0009-0000-0100-000004000000}"/>
  <tableColumns count="3">
    <tableColumn id="1" xr3:uid="{00000000-0010-0000-0300-000001000000}" name="技术指标"/>
    <tableColumn id="2" xr3:uid="{00000000-0010-0000-0300-000002000000}" name="分类"/>
    <tableColumn id="3" xr3:uid="{00000000-0010-0000-0300-000003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18"/>
  <sheetViews>
    <sheetView topLeftCell="A69" zoomScale="115" zoomScaleNormal="115" workbookViewId="0">
      <pane xSplit="2" topLeftCell="E1" activePane="topRight" state="frozen"/>
      <selection pane="topRight" activeCell="A2" sqref="A2:XFD102"/>
    </sheetView>
  </sheetViews>
  <sheetFormatPr defaultColWidth="9" defaultRowHeight="13.5" x14ac:dyDescent="0.1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20.875" customWidth="1"/>
    <col min="38" max="38" width="18" customWidth="1"/>
    <col min="39" max="39" width="16" customWidth="1"/>
    <col min="40" max="43" width="18" customWidth="1"/>
    <col min="44" max="44" width="28" customWidth="1"/>
  </cols>
  <sheetData>
    <row r="1" spans="1:44" ht="42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4" t="s">
        <v>32</v>
      </c>
      <c r="AH1" s="14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4" t="s">
        <v>38</v>
      </c>
      <c r="AN1" s="14" t="s">
        <v>39</v>
      </c>
      <c r="AO1" s="14" t="s">
        <v>40</v>
      </c>
      <c r="AP1" s="14" t="s">
        <v>41</v>
      </c>
      <c r="AQ1" s="14" t="s">
        <v>42</v>
      </c>
      <c r="AR1" s="14" t="s">
        <v>43</v>
      </c>
    </row>
    <row r="2" spans="1:44" x14ac:dyDescent="0.15">
      <c r="A2" s="2"/>
      <c r="B2" s="2"/>
      <c r="C2" s="10"/>
      <c r="D2" s="6"/>
      <c r="E2" s="10"/>
      <c r="F2" s="8"/>
      <c r="G2" s="8"/>
      <c r="H2" s="2"/>
      <c r="I2" s="13"/>
      <c r="J2" s="10"/>
      <c r="K2" s="5"/>
      <c r="L2" s="8"/>
      <c r="M2" s="16"/>
      <c r="N2" s="10"/>
      <c r="O2" s="10"/>
      <c r="P2" s="5"/>
      <c r="Q2" s="2"/>
      <c r="R2" s="2"/>
      <c r="S2" s="2"/>
      <c r="T2" s="2"/>
      <c r="U2" s="7"/>
      <c r="V2" s="7"/>
      <c r="W2" s="17"/>
      <c r="X2" s="5"/>
      <c r="Y2" s="7"/>
      <c r="Z2" s="7"/>
      <c r="AA2" s="11"/>
      <c r="AB2" s="7"/>
      <c r="AC2" s="8"/>
      <c r="AD2" s="2"/>
      <c r="AE2" s="7"/>
      <c r="AG2" s="2"/>
      <c r="AH2" s="2"/>
      <c r="AI2" s="2"/>
      <c r="AJ2" s="8"/>
      <c r="AK2" s="10"/>
      <c r="AL2" s="12"/>
      <c r="AM2" s="10"/>
      <c r="AN2" s="12"/>
      <c r="AO2" s="5"/>
      <c r="AP2" s="11"/>
      <c r="AQ2" s="5"/>
      <c r="AR2" s="8"/>
    </row>
    <row r="3" spans="1:44" x14ac:dyDescent="0.15">
      <c r="A3" s="2"/>
      <c r="B3" s="2"/>
      <c r="C3" s="10"/>
      <c r="D3" s="6"/>
      <c r="E3" s="10"/>
      <c r="F3" s="8"/>
      <c r="G3" s="8"/>
      <c r="H3" s="2"/>
      <c r="I3" s="13"/>
      <c r="J3" s="10"/>
      <c r="K3" s="5"/>
      <c r="L3" s="8"/>
      <c r="M3" s="16"/>
      <c r="N3" s="10"/>
      <c r="O3" s="10"/>
      <c r="P3" s="5"/>
      <c r="Q3" s="2"/>
      <c r="R3" s="2"/>
      <c r="S3" s="2"/>
      <c r="T3" s="2"/>
      <c r="U3" s="7"/>
      <c r="V3" s="7"/>
      <c r="W3" s="17"/>
      <c r="X3" s="5"/>
      <c r="Y3" s="7"/>
      <c r="Z3" s="7"/>
      <c r="AA3" s="11"/>
      <c r="AB3" s="7"/>
      <c r="AC3" s="8"/>
      <c r="AD3" s="2"/>
      <c r="AE3" s="7"/>
      <c r="AG3" s="2"/>
      <c r="AH3" s="2"/>
      <c r="AI3" s="2"/>
      <c r="AJ3" s="8"/>
      <c r="AK3" s="10"/>
      <c r="AL3" s="12"/>
      <c r="AM3" s="10"/>
      <c r="AN3" s="12"/>
      <c r="AO3" s="5"/>
      <c r="AP3" s="11"/>
      <c r="AQ3" s="5"/>
      <c r="AR3" s="8"/>
    </row>
    <row r="4" spans="1:44" x14ac:dyDescent="0.15">
      <c r="A4" s="2"/>
      <c r="B4" s="2"/>
      <c r="C4" s="10"/>
      <c r="D4" s="6"/>
      <c r="E4" s="10"/>
      <c r="F4" s="8"/>
      <c r="G4" s="8"/>
      <c r="H4" s="2"/>
      <c r="I4" s="13"/>
      <c r="J4" s="10"/>
      <c r="K4" s="5"/>
      <c r="L4" s="8"/>
      <c r="M4" s="16"/>
      <c r="N4" s="10"/>
      <c r="O4" s="10"/>
      <c r="P4" s="5"/>
      <c r="Q4" s="2"/>
      <c r="R4" s="2"/>
      <c r="S4" s="2"/>
      <c r="T4" s="2"/>
      <c r="U4" s="7"/>
      <c r="V4" s="7"/>
      <c r="W4" s="17"/>
      <c r="X4" s="5"/>
      <c r="Y4" s="7"/>
      <c r="Z4" s="7"/>
      <c r="AA4" s="11"/>
      <c r="AB4" s="7"/>
      <c r="AC4" s="8"/>
      <c r="AD4" s="2"/>
      <c r="AE4" s="7"/>
      <c r="AG4" s="2"/>
      <c r="AH4" s="2"/>
      <c r="AI4" s="2"/>
      <c r="AJ4" s="8"/>
      <c r="AK4" s="10"/>
      <c r="AL4" s="12"/>
      <c r="AM4" s="10"/>
      <c r="AN4" s="12"/>
      <c r="AO4" s="5"/>
      <c r="AP4" s="11"/>
      <c r="AQ4" s="5"/>
      <c r="AR4" s="8"/>
    </row>
    <row r="5" spans="1:44" x14ac:dyDescent="0.15">
      <c r="A5" s="2"/>
      <c r="B5" s="2"/>
      <c r="C5" s="10"/>
      <c r="D5" s="6"/>
      <c r="E5" s="10"/>
      <c r="F5" s="8"/>
      <c r="G5" s="8"/>
      <c r="H5" s="2"/>
      <c r="I5" s="13"/>
      <c r="J5" s="10"/>
      <c r="K5" s="5"/>
      <c r="L5" s="8"/>
      <c r="M5" s="16"/>
      <c r="N5" s="10"/>
      <c r="O5" s="10"/>
      <c r="P5" s="5"/>
      <c r="Q5" s="2"/>
      <c r="R5" s="2"/>
      <c r="S5" s="2"/>
      <c r="T5" s="2"/>
      <c r="U5" s="7"/>
      <c r="V5" s="7"/>
      <c r="W5" s="17"/>
      <c r="X5" s="5"/>
      <c r="Y5" s="7"/>
      <c r="Z5" s="7"/>
      <c r="AA5" s="11"/>
      <c r="AB5" s="7"/>
      <c r="AC5" s="8"/>
      <c r="AD5" s="2"/>
      <c r="AE5" s="7"/>
      <c r="AG5" s="2"/>
      <c r="AH5" s="2"/>
      <c r="AI5" s="2"/>
      <c r="AJ5" s="8"/>
      <c r="AK5" s="10"/>
      <c r="AL5" s="12"/>
      <c r="AM5" s="10"/>
      <c r="AN5" s="12"/>
      <c r="AO5" s="5"/>
      <c r="AP5" s="11"/>
      <c r="AQ5" s="5"/>
      <c r="AR5" s="8"/>
    </row>
    <row r="6" spans="1:44" x14ac:dyDescent="0.15">
      <c r="A6" s="2"/>
      <c r="B6" s="2"/>
      <c r="C6" s="10"/>
      <c r="D6" s="6"/>
      <c r="E6" s="10"/>
      <c r="F6" s="8"/>
      <c r="G6" s="8"/>
      <c r="H6" s="2"/>
      <c r="I6" s="13"/>
      <c r="J6" s="10"/>
      <c r="K6" s="5"/>
      <c r="L6" s="8"/>
      <c r="M6" s="16"/>
      <c r="N6" s="10"/>
      <c r="O6" s="10"/>
      <c r="P6" s="5"/>
      <c r="Q6" s="2"/>
      <c r="R6" s="2"/>
      <c r="S6" s="2"/>
      <c r="T6" s="2"/>
      <c r="U6" s="7"/>
      <c r="V6" s="7"/>
      <c r="W6" s="17"/>
      <c r="X6" s="5"/>
      <c r="Y6" s="7"/>
      <c r="Z6" s="7"/>
      <c r="AA6" s="11"/>
      <c r="AB6" s="7"/>
      <c r="AC6" s="8"/>
      <c r="AD6" s="2"/>
      <c r="AE6" s="7"/>
      <c r="AG6" s="2"/>
      <c r="AH6" s="2"/>
      <c r="AI6" s="2"/>
      <c r="AJ6" s="8"/>
      <c r="AK6" s="10"/>
      <c r="AL6" s="12"/>
      <c r="AM6" s="10"/>
      <c r="AN6" s="12"/>
      <c r="AO6" s="5"/>
      <c r="AP6" s="11"/>
      <c r="AQ6" s="5"/>
      <c r="AR6" s="8"/>
    </row>
    <row r="7" spans="1:44" x14ac:dyDescent="0.15">
      <c r="A7" s="2"/>
      <c r="B7" s="2"/>
      <c r="C7" s="10"/>
      <c r="D7" s="6"/>
      <c r="E7" s="10"/>
      <c r="F7" s="8"/>
      <c r="G7" s="8"/>
      <c r="H7" s="2"/>
      <c r="I7" s="13"/>
      <c r="J7" s="10"/>
      <c r="K7" s="5"/>
      <c r="L7" s="8"/>
      <c r="M7" s="16"/>
      <c r="N7" s="10"/>
      <c r="O7" s="10"/>
      <c r="P7" s="5"/>
      <c r="Q7" s="2"/>
      <c r="R7" s="2"/>
      <c r="S7" s="2"/>
      <c r="T7" s="2"/>
      <c r="U7" s="7"/>
      <c r="V7" s="7"/>
      <c r="W7" s="17"/>
      <c r="X7" s="5"/>
      <c r="Y7" s="7"/>
      <c r="Z7" s="7"/>
      <c r="AA7" s="11"/>
      <c r="AB7" s="7"/>
      <c r="AC7" s="8"/>
      <c r="AD7" s="2"/>
      <c r="AE7" s="7"/>
      <c r="AG7" s="2"/>
      <c r="AH7" s="2"/>
      <c r="AI7" s="2"/>
      <c r="AJ7" s="8"/>
      <c r="AK7" s="10"/>
      <c r="AL7" s="12"/>
      <c r="AM7" s="10"/>
      <c r="AN7" s="12"/>
      <c r="AO7" s="5"/>
      <c r="AP7" s="11"/>
      <c r="AQ7" s="5"/>
      <c r="AR7" s="8"/>
    </row>
    <row r="8" spans="1:44" x14ac:dyDescent="0.15">
      <c r="A8" s="2"/>
      <c r="B8" s="2"/>
      <c r="C8" s="10"/>
      <c r="D8" s="6"/>
      <c r="E8" s="10"/>
      <c r="F8" s="8"/>
      <c r="G8" s="8"/>
      <c r="H8" s="2"/>
      <c r="I8" s="13"/>
      <c r="J8" s="10"/>
      <c r="K8" s="5"/>
      <c r="L8" s="8"/>
      <c r="M8" s="16"/>
      <c r="N8" s="10"/>
      <c r="O8" s="10"/>
      <c r="P8" s="5"/>
      <c r="Q8" s="2"/>
      <c r="R8" s="2"/>
      <c r="S8" s="2"/>
      <c r="T8" s="2"/>
      <c r="U8" s="7"/>
      <c r="V8" s="7"/>
      <c r="W8" s="17"/>
      <c r="X8" s="5"/>
      <c r="Y8" s="7"/>
      <c r="Z8" s="7"/>
      <c r="AA8" s="11"/>
      <c r="AB8" s="7"/>
      <c r="AC8" s="8"/>
      <c r="AD8" s="2"/>
      <c r="AE8" s="7"/>
      <c r="AG8" s="2"/>
      <c r="AH8" s="2"/>
      <c r="AI8" s="2"/>
      <c r="AJ8" s="8"/>
      <c r="AK8" s="10"/>
      <c r="AL8" s="12"/>
      <c r="AM8" s="10"/>
      <c r="AN8" s="12"/>
      <c r="AO8" s="5"/>
      <c r="AP8" s="11"/>
      <c r="AQ8" s="5"/>
      <c r="AR8" s="8"/>
    </row>
    <row r="9" spans="1:44" x14ac:dyDescent="0.15">
      <c r="A9" s="2"/>
      <c r="B9" s="2"/>
      <c r="C9" s="10"/>
      <c r="D9" s="6"/>
      <c r="E9" s="10"/>
      <c r="F9" s="8"/>
      <c r="G9" s="8"/>
      <c r="H9" s="2"/>
      <c r="I9" s="13"/>
      <c r="J9" s="10"/>
      <c r="K9" s="5"/>
      <c r="L9" s="8"/>
      <c r="M9" s="16"/>
      <c r="N9" s="10"/>
      <c r="O9" s="10"/>
      <c r="P9" s="5"/>
      <c r="Q9" s="2"/>
      <c r="R9" s="2"/>
      <c r="S9" s="2"/>
      <c r="T9" s="2"/>
      <c r="U9" s="7"/>
      <c r="V9" s="7"/>
      <c r="W9" s="17"/>
      <c r="X9" s="5"/>
      <c r="Y9" s="7"/>
      <c r="Z9" s="7"/>
      <c r="AA9" s="11"/>
      <c r="AB9" s="7"/>
      <c r="AC9" s="8"/>
      <c r="AD9" s="2"/>
      <c r="AE9" s="7"/>
      <c r="AG9" s="2"/>
      <c r="AH9" s="2"/>
      <c r="AI9" s="2"/>
      <c r="AJ9" s="8"/>
      <c r="AK9" s="10"/>
      <c r="AL9" s="12"/>
      <c r="AM9" s="10"/>
      <c r="AN9" s="12"/>
      <c r="AO9" s="5"/>
      <c r="AP9" s="11"/>
      <c r="AQ9" s="5"/>
      <c r="AR9" s="8"/>
    </row>
    <row r="10" spans="1:44" x14ac:dyDescent="0.15">
      <c r="A10" s="2"/>
      <c r="B10" s="2"/>
      <c r="C10" s="10"/>
      <c r="D10" s="6"/>
      <c r="E10" s="10"/>
      <c r="F10" s="8"/>
      <c r="G10" s="8"/>
      <c r="H10" s="2"/>
      <c r="I10" s="13"/>
      <c r="J10" s="10"/>
      <c r="K10" s="5"/>
      <c r="L10" s="8"/>
      <c r="M10" s="16"/>
      <c r="N10" s="10"/>
      <c r="O10" s="10"/>
      <c r="P10" s="5"/>
      <c r="Q10" s="2"/>
      <c r="R10" s="2"/>
      <c r="S10" s="2"/>
      <c r="T10" s="2"/>
      <c r="U10" s="7"/>
      <c r="V10" s="7"/>
      <c r="W10" s="17"/>
      <c r="X10" s="5"/>
      <c r="Y10" s="7"/>
      <c r="Z10" s="7"/>
      <c r="AA10" s="11"/>
      <c r="AB10" s="7"/>
      <c r="AC10" s="8"/>
      <c r="AD10" s="2"/>
      <c r="AE10" s="7"/>
      <c r="AG10" s="2"/>
      <c r="AH10" s="2"/>
      <c r="AI10" s="2"/>
      <c r="AJ10" s="8"/>
      <c r="AK10" s="10"/>
      <c r="AL10" s="12"/>
      <c r="AM10" s="10"/>
      <c r="AN10" s="12"/>
      <c r="AO10" s="5"/>
      <c r="AP10" s="11"/>
      <c r="AQ10" s="5"/>
      <c r="AR10" s="8"/>
    </row>
    <row r="11" spans="1:44" x14ac:dyDescent="0.15">
      <c r="A11" s="2"/>
      <c r="B11" s="2"/>
      <c r="C11" s="10"/>
      <c r="D11" s="6"/>
      <c r="E11" s="10"/>
      <c r="F11" s="8"/>
      <c r="G11" s="8"/>
      <c r="H11" s="2"/>
      <c r="I11" s="13"/>
      <c r="J11" s="10"/>
      <c r="K11" s="5"/>
      <c r="L11" s="8"/>
      <c r="M11" s="16"/>
      <c r="N11" s="10"/>
      <c r="O11" s="10"/>
      <c r="P11" s="5"/>
      <c r="Q11" s="2"/>
      <c r="R11" s="2"/>
      <c r="S11" s="2"/>
      <c r="T11" s="2"/>
      <c r="U11" s="7"/>
      <c r="V11" s="7"/>
      <c r="W11" s="17"/>
      <c r="X11" s="5"/>
      <c r="Y11" s="7"/>
      <c r="Z11" s="7"/>
      <c r="AA11" s="11"/>
      <c r="AB11" s="7"/>
      <c r="AC11" s="8"/>
      <c r="AD11" s="2"/>
      <c r="AE11" s="7"/>
      <c r="AG11" s="2"/>
      <c r="AH11" s="2"/>
      <c r="AI11" s="2"/>
      <c r="AJ11" s="8"/>
      <c r="AK11" s="10"/>
      <c r="AL11" s="12"/>
      <c r="AM11" s="10"/>
      <c r="AN11" s="12"/>
      <c r="AO11" s="5"/>
      <c r="AP11" s="11"/>
      <c r="AQ11" s="5"/>
      <c r="AR11" s="8"/>
    </row>
    <row r="12" spans="1:44" x14ac:dyDescent="0.15">
      <c r="A12" s="2"/>
      <c r="B12" s="2"/>
      <c r="C12" s="10"/>
      <c r="D12" s="6"/>
      <c r="E12" s="10"/>
      <c r="F12" s="8"/>
      <c r="G12" s="8"/>
      <c r="H12" s="2"/>
      <c r="I12" s="13"/>
      <c r="J12" s="10"/>
      <c r="K12" s="5"/>
      <c r="L12" s="8"/>
      <c r="M12" s="16"/>
      <c r="N12" s="10"/>
      <c r="O12" s="10"/>
      <c r="P12" s="5"/>
      <c r="Q12" s="2"/>
      <c r="R12" s="2"/>
      <c r="S12" s="2"/>
      <c r="T12" s="2"/>
      <c r="U12" s="7"/>
      <c r="V12" s="7"/>
      <c r="W12" s="17"/>
      <c r="X12" s="5"/>
      <c r="Y12" s="7"/>
      <c r="Z12" s="7"/>
      <c r="AA12" s="11"/>
      <c r="AB12" s="7"/>
      <c r="AC12" s="8"/>
      <c r="AD12" s="2"/>
      <c r="AE12" s="7"/>
      <c r="AG12" s="2"/>
      <c r="AH12" s="2"/>
      <c r="AI12" s="2"/>
      <c r="AJ12" s="8"/>
      <c r="AK12" s="10"/>
      <c r="AL12" s="12"/>
      <c r="AM12" s="10"/>
      <c r="AN12" s="12"/>
      <c r="AO12" s="5"/>
      <c r="AP12" s="11"/>
      <c r="AQ12" s="5"/>
      <c r="AR12" s="8"/>
    </row>
    <row r="13" spans="1:44" x14ac:dyDescent="0.15">
      <c r="A13" s="2"/>
      <c r="B13" s="2"/>
      <c r="C13" s="10"/>
      <c r="D13" s="6"/>
      <c r="E13" s="10"/>
      <c r="F13" s="8"/>
      <c r="G13" s="8"/>
      <c r="H13" s="2"/>
      <c r="I13" s="13"/>
      <c r="J13" s="10"/>
      <c r="K13" s="5"/>
      <c r="L13" s="8"/>
      <c r="M13" s="16"/>
      <c r="N13" s="10"/>
      <c r="O13" s="10"/>
      <c r="P13" s="5"/>
      <c r="Q13" s="2"/>
      <c r="R13" s="2"/>
      <c r="S13" s="2"/>
      <c r="T13" s="2"/>
      <c r="U13" s="7"/>
      <c r="V13" s="7"/>
      <c r="W13" s="17"/>
      <c r="X13" s="5"/>
      <c r="Y13" s="7"/>
      <c r="Z13" s="7"/>
      <c r="AA13" s="11"/>
      <c r="AB13" s="7"/>
      <c r="AC13" s="8"/>
      <c r="AD13" s="2"/>
      <c r="AE13" s="7"/>
      <c r="AG13" s="2"/>
      <c r="AH13" s="2"/>
      <c r="AI13" s="2"/>
      <c r="AJ13" s="8"/>
      <c r="AK13" s="10"/>
      <c r="AL13" s="12"/>
      <c r="AM13" s="10"/>
      <c r="AN13" s="12"/>
      <c r="AO13" s="5"/>
      <c r="AP13" s="11"/>
      <c r="AQ13" s="5"/>
      <c r="AR13" s="8"/>
    </row>
    <row r="14" spans="1:44" x14ac:dyDescent="0.15">
      <c r="A14" s="2"/>
      <c r="B14" s="2"/>
      <c r="C14" s="10"/>
      <c r="D14" s="6"/>
      <c r="E14" s="10"/>
      <c r="F14" s="8"/>
      <c r="G14" s="8"/>
      <c r="H14" s="2"/>
      <c r="I14" s="13"/>
      <c r="J14" s="10"/>
      <c r="K14" s="5"/>
      <c r="L14" s="8"/>
      <c r="M14" s="16"/>
      <c r="N14" s="10"/>
      <c r="O14" s="10"/>
      <c r="P14" s="5"/>
      <c r="Q14" s="2"/>
      <c r="R14" s="2"/>
      <c r="S14" s="2"/>
      <c r="T14" s="2"/>
      <c r="U14" s="7"/>
      <c r="V14" s="7"/>
      <c r="W14" s="17"/>
      <c r="X14" s="5"/>
      <c r="Y14" s="7"/>
      <c r="Z14" s="7"/>
      <c r="AA14" s="11"/>
      <c r="AB14" s="7"/>
      <c r="AC14" s="8"/>
      <c r="AD14" s="2"/>
      <c r="AE14" s="7"/>
      <c r="AG14" s="2"/>
      <c r="AH14" s="2"/>
      <c r="AI14" s="2"/>
      <c r="AJ14" s="8"/>
      <c r="AK14" s="10"/>
      <c r="AL14" s="12"/>
      <c r="AM14" s="10"/>
      <c r="AN14" s="12"/>
      <c r="AO14" s="5"/>
      <c r="AP14" s="11"/>
      <c r="AQ14" s="5"/>
      <c r="AR14" s="8"/>
    </row>
    <row r="15" spans="1:44" x14ac:dyDescent="0.15">
      <c r="A15" s="2"/>
      <c r="B15" s="2"/>
      <c r="C15" s="10"/>
      <c r="D15" s="6"/>
      <c r="E15" s="10"/>
      <c r="F15" s="8"/>
      <c r="G15" s="8"/>
      <c r="H15" s="2"/>
      <c r="I15" s="13"/>
      <c r="J15" s="10"/>
      <c r="K15" s="5"/>
      <c r="L15" s="8"/>
      <c r="M15" s="16"/>
      <c r="N15" s="10"/>
      <c r="O15" s="10"/>
      <c r="P15" s="5"/>
      <c r="Q15" s="2"/>
      <c r="R15" s="2"/>
      <c r="S15" s="2"/>
      <c r="T15" s="2"/>
      <c r="U15" s="7"/>
      <c r="V15" s="7"/>
      <c r="W15" s="17"/>
      <c r="X15" s="5"/>
      <c r="Y15" s="7"/>
      <c r="Z15" s="7"/>
      <c r="AA15" s="11"/>
      <c r="AB15" s="7"/>
      <c r="AC15" s="8"/>
      <c r="AD15" s="2"/>
      <c r="AE15" s="7"/>
      <c r="AG15" s="2"/>
      <c r="AH15" s="2"/>
      <c r="AI15" s="2"/>
      <c r="AJ15" s="8"/>
      <c r="AK15" s="10"/>
      <c r="AL15" s="12"/>
      <c r="AM15" s="10"/>
      <c r="AN15" s="12"/>
      <c r="AO15" s="5"/>
      <c r="AP15" s="11"/>
      <c r="AQ15" s="5"/>
      <c r="AR15" s="8"/>
    </row>
    <row r="16" spans="1:44" x14ac:dyDescent="0.15">
      <c r="A16" s="2"/>
      <c r="B16" s="2"/>
      <c r="C16" s="10"/>
      <c r="D16" s="6"/>
      <c r="E16" s="10"/>
      <c r="F16" s="8"/>
      <c r="G16" s="8"/>
      <c r="H16" s="2"/>
      <c r="I16" s="13"/>
      <c r="J16" s="10"/>
      <c r="K16" s="5"/>
      <c r="L16" s="8"/>
      <c r="M16" s="16"/>
      <c r="N16" s="10"/>
      <c r="O16" s="10"/>
      <c r="P16" s="5"/>
      <c r="Q16" s="2"/>
      <c r="R16" s="2"/>
      <c r="S16" s="2"/>
      <c r="T16" s="2"/>
      <c r="U16" s="7"/>
      <c r="V16" s="7"/>
      <c r="W16" s="17"/>
      <c r="X16" s="5"/>
      <c r="Y16" s="7"/>
      <c r="Z16" s="7"/>
      <c r="AA16" s="11"/>
      <c r="AB16" s="7"/>
      <c r="AC16" s="8"/>
      <c r="AD16" s="2"/>
      <c r="AE16" s="7"/>
      <c r="AG16" s="2"/>
      <c r="AH16" s="2"/>
      <c r="AI16" s="2"/>
      <c r="AJ16" s="8"/>
      <c r="AK16" s="10"/>
      <c r="AL16" s="12"/>
      <c r="AM16" s="10"/>
      <c r="AN16" s="12"/>
      <c r="AO16" s="5"/>
      <c r="AP16" s="11"/>
      <c r="AQ16" s="5"/>
      <c r="AR16" s="8"/>
    </row>
    <row r="17" spans="1:44" x14ac:dyDescent="0.15">
      <c r="A17" s="2"/>
      <c r="B17" s="2"/>
      <c r="C17" s="10"/>
      <c r="D17" s="6"/>
      <c r="E17" s="10"/>
      <c r="F17" s="8"/>
      <c r="G17" s="8"/>
      <c r="H17" s="2"/>
      <c r="I17" s="13"/>
      <c r="J17" s="10"/>
      <c r="K17" s="5"/>
      <c r="L17" s="8"/>
      <c r="M17" s="16"/>
      <c r="N17" s="10"/>
      <c r="O17" s="10"/>
      <c r="P17" s="5"/>
      <c r="Q17" s="2"/>
      <c r="R17" s="2"/>
      <c r="S17" s="2"/>
      <c r="T17" s="2"/>
      <c r="U17" s="7"/>
      <c r="V17" s="7"/>
      <c r="W17" s="17"/>
      <c r="X17" s="5"/>
      <c r="Y17" s="7"/>
      <c r="Z17" s="7"/>
      <c r="AA17" s="11"/>
      <c r="AB17" s="7"/>
      <c r="AC17" s="8"/>
      <c r="AD17" s="2"/>
      <c r="AE17" s="7"/>
      <c r="AG17" s="2"/>
      <c r="AH17" s="2"/>
      <c r="AI17" s="2"/>
      <c r="AJ17" s="8"/>
      <c r="AK17" s="10"/>
      <c r="AL17" s="12"/>
      <c r="AM17" s="10"/>
      <c r="AN17" s="12"/>
      <c r="AO17" s="5"/>
      <c r="AP17" s="11"/>
      <c r="AQ17" s="5"/>
      <c r="AR17" s="8"/>
    </row>
    <row r="18" spans="1:44" x14ac:dyDescent="0.15">
      <c r="A18" s="2"/>
      <c r="B18" s="2"/>
      <c r="C18" s="10"/>
      <c r="D18" s="6"/>
      <c r="E18" s="10"/>
      <c r="F18" s="8"/>
      <c r="G18" s="8"/>
      <c r="H18" s="2"/>
      <c r="I18" s="13"/>
      <c r="J18" s="10"/>
      <c r="K18" s="5"/>
      <c r="L18" s="8"/>
      <c r="M18" s="16"/>
      <c r="N18" s="10"/>
      <c r="O18" s="10"/>
      <c r="P18" s="5"/>
      <c r="Q18" s="2"/>
      <c r="R18" s="2"/>
      <c r="S18" s="2"/>
      <c r="T18" s="2"/>
      <c r="U18" s="7"/>
      <c r="V18" s="7"/>
      <c r="W18" s="17"/>
      <c r="X18" s="5"/>
      <c r="Y18" s="7"/>
      <c r="Z18" s="7"/>
      <c r="AA18" s="11"/>
      <c r="AB18" s="7"/>
      <c r="AC18" s="8"/>
      <c r="AD18" s="2"/>
      <c r="AE18" s="7"/>
      <c r="AG18" s="2"/>
      <c r="AH18" s="2"/>
      <c r="AI18" s="2"/>
      <c r="AJ18" s="8"/>
      <c r="AK18" s="10"/>
      <c r="AL18" s="12"/>
      <c r="AM18" s="10"/>
      <c r="AN18" s="12"/>
      <c r="AO18" s="5"/>
      <c r="AP18" s="11"/>
      <c r="AQ18" s="5"/>
      <c r="AR18" s="8"/>
    </row>
    <row r="19" spans="1:44" x14ac:dyDescent="0.15">
      <c r="A19" s="2"/>
      <c r="B19" s="2"/>
      <c r="C19" s="10"/>
      <c r="D19" s="6"/>
      <c r="E19" s="10"/>
      <c r="F19" s="8"/>
      <c r="G19" s="8"/>
      <c r="H19" s="2"/>
      <c r="I19" s="13"/>
      <c r="J19" s="10"/>
      <c r="K19" s="5"/>
      <c r="L19" s="8"/>
      <c r="M19" s="16"/>
      <c r="N19" s="10"/>
      <c r="O19" s="10"/>
      <c r="P19" s="5"/>
      <c r="Q19" s="2"/>
      <c r="R19" s="2"/>
      <c r="S19" s="2"/>
      <c r="T19" s="2"/>
      <c r="U19" s="7"/>
      <c r="V19" s="7"/>
      <c r="W19" s="17"/>
      <c r="X19" s="5"/>
      <c r="Y19" s="7"/>
      <c r="Z19" s="7"/>
      <c r="AA19" s="11"/>
      <c r="AB19" s="7"/>
      <c r="AC19" s="8"/>
      <c r="AD19" s="2"/>
      <c r="AE19" s="7"/>
      <c r="AG19" s="2"/>
      <c r="AH19" s="2"/>
      <c r="AI19" s="2"/>
      <c r="AJ19" s="8"/>
      <c r="AK19" s="10"/>
      <c r="AL19" s="12"/>
      <c r="AM19" s="10"/>
      <c r="AN19" s="12"/>
      <c r="AO19" s="5"/>
      <c r="AP19" s="11"/>
      <c r="AQ19" s="5"/>
      <c r="AR19" s="8"/>
    </row>
    <row r="20" spans="1:44" x14ac:dyDescent="0.15">
      <c r="A20" s="2"/>
      <c r="B20" s="2"/>
      <c r="C20" s="10"/>
      <c r="D20" s="6"/>
      <c r="E20" s="10"/>
      <c r="F20" s="8"/>
      <c r="G20" s="8"/>
      <c r="H20" s="2"/>
      <c r="I20" s="13"/>
      <c r="J20" s="10"/>
      <c r="K20" s="5"/>
      <c r="L20" s="8"/>
      <c r="M20" s="16"/>
      <c r="N20" s="10"/>
      <c r="O20" s="10"/>
      <c r="P20" s="5"/>
      <c r="Q20" s="2"/>
      <c r="R20" s="2"/>
      <c r="S20" s="2"/>
      <c r="T20" s="2"/>
      <c r="U20" s="7"/>
      <c r="V20" s="7"/>
      <c r="W20" s="17"/>
      <c r="X20" s="5"/>
      <c r="Y20" s="7"/>
      <c r="Z20" s="7"/>
      <c r="AA20" s="11"/>
      <c r="AB20" s="7"/>
      <c r="AC20" s="8"/>
      <c r="AD20" s="2"/>
      <c r="AE20" s="7"/>
      <c r="AG20" s="2"/>
      <c r="AH20" s="2"/>
      <c r="AI20" s="2"/>
      <c r="AJ20" s="8"/>
      <c r="AK20" s="10"/>
      <c r="AL20" s="12"/>
      <c r="AM20" s="10"/>
      <c r="AN20" s="12"/>
      <c r="AO20" s="5"/>
      <c r="AP20" s="11"/>
      <c r="AQ20" s="5"/>
      <c r="AR20" s="8"/>
    </row>
    <row r="21" spans="1:44" x14ac:dyDescent="0.15">
      <c r="A21" s="2"/>
      <c r="B21" s="2"/>
      <c r="C21" s="10"/>
      <c r="D21" s="6"/>
      <c r="E21" s="10"/>
      <c r="F21" s="8"/>
      <c r="G21" s="8"/>
      <c r="H21" s="2"/>
      <c r="I21" s="13"/>
      <c r="J21" s="10"/>
      <c r="K21" s="5"/>
      <c r="L21" s="8"/>
      <c r="M21" s="16"/>
      <c r="N21" s="10"/>
      <c r="O21" s="10"/>
      <c r="P21" s="5"/>
      <c r="Q21" s="2"/>
      <c r="R21" s="2"/>
      <c r="S21" s="2"/>
      <c r="T21" s="2"/>
      <c r="U21" s="7"/>
      <c r="V21" s="7"/>
      <c r="W21" s="17"/>
      <c r="X21" s="5"/>
      <c r="Y21" s="7"/>
      <c r="Z21" s="7"/>
      <c r="AA21" s="11"/>
      <c r="AB21" s="7"/>
      <c r="AC21" s="8"/>
      <c r="AD21" s="2"/>
      <c r="AE21" s="7"/>
      <c r="AG21" s="2"/>
      <c r="AH21" s="2"/>
      <c r="AI21" s="2"/>
      <c r="AJ21" s="8"/>
      <c r="AK21" s="10"/>
      <c r="AL21" s="12"/>
      <c r="AM21" s="10"/>
      <c r="AN21" s="12"/>
      <c r="AO21" s="5"/>
      <c r="AP21" s="11"/>
      <c r="AQ21" s="5"/>
      <c r="AR21" s="8"/>
    </row>
    <row r="22" spans="1:44" x14ac:dyDescent="0.15">
      <c r="A22" s="2"/>
      <c r="B22" s="2"/>
      <c r="C22" s="10"/>
      <c r="D22" s="6"/>
      <c r="E22" s="10"/>
      <c r="F22" s="8"/>
      <c r="G22" s="8"/>
      <c r="H22" s="2"/>
      <c r="I22" s="13"/>
      <c r="J22" s="10"/>
      <c r="K22" s="5"/>
      <c r="L22" s="8"/>
      <c r="M22" s="16"/>
      <c r="N22" s="10"/>
      <c r="O22" s="10"/>
      <c r="P22" s="5"/>
      <c r="Q22" s="2"/>
      <c r="R22" s="2"/>
      <c r="S22" s="2"/>
      <c r="T22" s="2"/>
      <c r="U22" s="7"/>
      <c r="V22" s="7"/>
      <c r="W22" s="17"/>
      <c r="X22" s="5"/>
      <c r="Y22" s="7"/>
      <c r="Z22" s="7"/>
      <c r="AA22" s="11"/>
      <c r="AB22" s="7"/>
      <c r="AC22" s="8"/>
      <c r="AD22" s="2"/>
      <c r="AE22" s="7"/>
      <c r="AG22" s="2"/>
      <c r="AH22" s="2"/>
      <c r="AI22" s="2"/>
      <c r="AJ22" s="8"/>
      <c r="AK22" s="10"/>
      <c r="AL22" s="12"/>
      <c r="AM22" s="10"/>
      <c r="AN22" s="12"/>
      <c r="AO22" s="5"/>
      <c r="AP22" s="11"/>
      <c r="AQ22" s="5"/>
      <c r="AR22" s="8"/>
    </row>
    <row r="23" spans="1:44" x14ac:dyDescent="0.15">
      <c r="A23" s="2"/>
      <c r="B23" s="2"/>
      <c r="C23" s="10"/>
      <c r="D23" s="6"/>
      <c r="E23" s="10"/>
      <c r="F23" s="8"/>
      <c r="G23" s="8"/>
      <c r="H23" s="2"/>
      <c r="I23" s="13"/>
      <c r="J23" s="10"/>
      <c r="K23" s="5"/>
      <c r="L23" s="8"/>
      <c r="M23" s="16"/>
      <c r="N23" s="10"/>
      <c r="O23" s="10"/>
      <c r="P23" s="5"/>
      <c r="Q23" s="2"/>
      <c r="R23" s="2"/>
      <c r="S23" s="2"/>
      <c r="T23" s="2"/>
      <c r="U23" s="7"/>
      <c r="V23" s="7"/>
      <c r="W23" s="17"/>
      <c r="X23" s="5"/>
      <c r="Y23" s="7"/>
      <c r="Z23" s="7"/>
      <c r="AA23" s="11"/>
      <c r="AB23" s="7"/>
      <c r="AC23" s="8"/>
      <c r="AD23" s="2"/>
      <c r="AE23" s="7"/>
      <c r="AG23" s="2"/>
      <c r="AH23" s="2"/>
      <c r="AI23" s="2"/>
      <c r="AJ23" s="8"/>
      <c r="AK23" s="10"/>
      <c r="AL23" s="12"/>
      <c r="AM23" s="10"/>
      <c r="AN23" s="12"/>
      <c r="AO23" s="5"/>
      <c r="AP23" s="11"/>
      <c r="AQ23" s="5"/>
      <c r="AR23" s="8"/>
    </row>
    <row r="24" spans="1:44" x14ac:dyDescent="0.15">
      <c r="A24" s="2"/>
      <c r="B24" s="2"/>
      <c r="C24" s="10"/>
      <c r="D24" s="6"/>
      <c r="E24" s="10"/>
      <c r="F24" s="8"/>
      <c r="G24" s="8"/>
      <c r="H24" s="2"/>
      <c r="I24" s="13"/>
      <c r="J24" s="10"/>
      <c r="K24" s="5"/>
      <c r="L24" s="8"/>
      <c r="M24" s="16"/>
      <c r="N24" s="10"/>
      <c r="O24" s="10"/>
      <c r="P24" s="5"/>
      <c r="Q24" s="2"/>
      <c r="R24" s="2"/>
      <c r="S24" s="2"/>
      <c r="T24" s="2"/>
      <c r="U24" s="7"/>
      <c r="V24" s="7"/>
      <c r="W24" s="17"/>
      <c r="X24" s="5"/>
      <c r="Y24" s="7"/>
      <c r="Z24" s="7"/>
      <c r="AA24" s="11"/>
      <c r="AB24" s="7"/>
      <c r="AC24" s="8"/>
      <c r="AD24" s="2"/>
      <c r="AE24" s="7"/>
      <c r="AG24" s="2"/>
      <c r="AH24" s="2"/>
      <c r="AI24" s="2"/>
      <c r="AJ24" s="8"/>
      <c r="AK24" s="10"/>
      <c r="AL24" s="12"/>
      <c r="AM24" s="10"/>
      <c r="AN24" s="12"/>
      <c r="AO24" s="5"/>
      <c r="AP24" s="11"/>
      <c r="AQ24" s="5"/>
      <c r="AR24" s="8"/>
    </row>
    <row r="25" spans="1:44" x14ac:dyDescent="0.15">
      <c r="A25" s="2"/>
      <c r="B25" s="2"/>
      <c r="C25" s="10"/>
      <c r="D25" s="6"/>
      <c r="E25" s="10"/>
      <c r="F25" s="8"/>
      <c r="G25" s="8"/>
      <c r="H25" s="2"/>
      <c r="I25" s="13"/>
      <c r="J25" s="10"/>
      <c r="K25" s="5"/>
      <c r="L25" s="8"/>
      <c r="M25" s="16"/>
      <c r="N25" s="10"/>
      <c r="O25" s="10"/>
      <c r="P25" s="5"/>
      <c r="Q25" s="2"/>
      <c r="R25" s="2"/>
      <c r="S25" s="2"/>
      <c r="T25" s="2"/>
      <c r="U25" s="7"/>
      <c r="V25" s="7"/>
      <c r="W25" s="17"/>
      <c r="X25" s="5"/>
      <c r="Y25" s="7"/>
      <c r="Z25" s="7"/>
      <c r="AA25" s="11"/>
      <c r="AB25" s="7"/>
      <c r="AC25" s="8"/>
      <c r="AD25" s="2"/>
      <c r="AE25" s="7"/>
      <c r="AG25" s="2"/>
      <c r="AH25" s="2"/>
      <c r="AI25" s="2"/>
      <c r="AJ25" s="8"/>
      <c r="AK25" s="10"/>
      <c r="AL25" s="12"/>
      <c r="AM25" s="10"/>
      <c r="AN25" s="12"/>
      <c r="AO25" s="5"/>
      <c r="AP25" s="11"/>
      <c r="AQ25" s="5"/>
      <c r="AR25" s="8"/>
    </row>
    <row r="26" spans="1:44" x14ac:dyDescent="0.15">
      <c r="A26" s="2"/>
      <c r="B26" s="2"/>
      <c r="C26" s="10"/>
      <c r="D26" s="6"/>
      <c r="E26" s="10"/>
      <c r="F26" s="8"/>
      <c r="G26" s="8"/>
      <c r="H26" s="2"/>
      <c r="I26" s="13"/>
      <c r="J26" s="10"/>
      <c r="K26" s="5"/>
      <c r="L26" s="8"/>
      <c r="M26" s="16"/>
      <c r="N26" s="10"/>
      <c r="O26" s="10"/>
      <c r="P26" s="5"/>
      <c r="Q26" s="2"/>
      <c r="R26" s="2"/>
      <c r="S26" s="2"/>
      <c r="T26" s="2"/>
      <c r="U26" s="7"/>
      <c r="V26" s="7"/>
      <c r="W26" s="17"/>
      <c r="X26" s="5"/>
      <c r="Y26" s="7"/>
      <c r="Z26" s="7"/>
      <c r="AA26" s="11"/>
      <c r="AB26" s="7"/>
      <c r="AC26" s="8"/>
      <c r="AD26" s="2"/>
      <c r="AE26" s="7"/>
      <c r="AG26" s="2"/>
      <c r="AH26" s="2"/>
      <c r="AI26" s="2"/>
      <c r="AJ26" s="8"/>
      <c r="AK26" s="10"/>
      <c r="AL26" s="12"/>
      <c r="AM26" s="10"/>
      <c r="AN26" s="12"/>
      <c r="AO26" s="5"/>
      <c r="AP26" s="11"/>
      <c r="AQ26" s="5"/>
      <c r="AR26" s="8"/>
    </row>
    <row r="27" spans="1:44" x14ac:dyDescent="0.15">
      <c r="A27" s="2"/>
      <c r="B27" s="2"/>
      <c r="C27" s="10"/>
      <c r="D27" s="6"/>
      <c r="E27" s="10"/>
      <c r="F27" s="8"/>
      <c r="G27" s="8"/>
      <c r="H27" s="2"/>
      <c r="I27" s="13"/>
      <c r="J27" s="10"/>
      <c r="K27" s="5"/>
      <c r="L27" s="8"/>
      <c r="M27" s="16"/>
      <c r="N27" s="10"/>
      <c r="O27" s="10"/>
      <c r="P27" s="5"/>
      <c r="Q27" s="2"/>
      <c r="R27" s="2"/>
      <c r="S27" s="2"/>
      <c r="T27" s="2"/>
      <c r="U27" s="7"/>
      <c r="V27" s="7"/>
      <c r="W27" s="17"/>
      <c r="X27" s="5"/>
      <c r="Y27" s="7"/>
      <c r="Z27" s="7"/>
      <c r="AA27" s="11"/>
      <c r="AB27" s="7"/>
      <c r="AC27" s="8"/>
      <c r="AD27" s="2"/>
      <c r="AE27" s="7"/>
      <c r="AG27" s="2"/>
      <c r="AH27" s="2"/>
      <c r="AI27" s="2"/>
      <c r="AJ27" s="8"/>
      <c r="AK27" s="10"/>
      <c r="AL27" s="12"/>
      <c r="AM27" s="10"/>
      <c r="AN27" s="12"/>
      <c r="AO27" s="5"/>
      <c r="AP27" s="11"/>
      <c r="AQ27" s="5"/>
      <c r="AR27" s="8"/>
    </row>
    <row r="28" spans="1:44" x14ac:dyDescent="0.15">
      <c r="A28" s="2"/>
      <c r="B28" s="2"/>
      <c r="C28" s="10"/>
      <c r="D28" s="6"/>
      <c r="E28" s="10"/>
      <c r="F28" s="8"/>
      <c r="G28" s="8"/>
      <c r="H28" s="2"/>
      <c r="I28" s="13"/>
      <c r="J28" s="10"/>
      <c r="K28" s="5"/>
      <c r="L28" s="8"/>
      <c r="M28" s="16"/>
      <c r="N28" s="10"/>
      <c r="O28" s="10"/>
      <c r="P28" s="5"/>
      <c r="Q28" s="2"/>
      <c r="R28" s="2"/>
      <c r="S28" s="2"/>
      <c r="T28" s="2"/>
      <c r="U28" s="7"/>
      <c r="V28" s="7"/>
      <c r="W28" s="17"/>
      <c r="X28" s="5"/>
      <c r="Y28" s="7"/>
      <c r="Z28" s="7"/>
      <c r="AA28" s="11"/>
      <c r="AB28" s="7"/>
      <c r="AC28" s="8"/>
      <c r="AD28" s="2"/>
      <c r="AE28" s="7"/>
      <c r="AG28" s="2"/>
      <c r="AH28" s="2"/>
      <c r="AI28" s="2"/>
      <c r="AJ28" s="8"/>
      <c r="AK28" s="10"/>
      <c r="AL28" s="12"/>
      <c r="AM28" s="10"/>
      <c r="AN28" s="12"/>
      <c r="AO28" s="5"/>
      <c r="AP28" s="11"/>
      <c r="AQ28" s="5"/>
      <c r="AR28" s="8"/>
    </row>
    <row r="29" spans="1:44" x14ac:dyDescent="0.15">
      <c r="A29" s="2"/>
      <c r="B29" s="2"/>
      <c r="C29" s="10"/>
      <c r="D29" s="6"/>
      <c r="E29" s="10"/>
      <c r="F29" s="8"/>
      <c r="G29" s="8"/>
      <c r="H29" s="2"/>
      <c r="I29" s="13"/>
      <c r="J29" s="10"/>
      <c r="K29" s="5"/>
      <c r="L29" s="8"/>
      <c r="M29" s="16"/>
      <c r="N29" s="10"/>
      <c r="O29" s="10"/>
      <c r="P29" s="5"/>
      <c r="Q29" s="2"/>
      <c r="R29" s="2"/>
      <c r="S29" s="2"/>
      <c r="T29" s="2"/>
      <c r="U29" s="7"/>
      <c r="V29" s="7"/>
      <c r="W29" s="17"/>
      <c r="X29" s="5"/>
      <c r="Y29" s="7"/>
      <c r="Z29" s="7"/>
      <c r="AA29" s="11"/>
      <c r="AB29" s="7"/>
      <c r="AC29" s="8"/>
      <c r="AD29" s="2"/>
      <c r="AE29" s="7"/>
      <c r="AG29" s="2"/>
      <c r="AH29" s="2"/>
      <c r="AI29" s="2"/>
      <c r="AJ29" s="8"/>
      <c r="AK29" s="10"/>
      <c r="AL29" s="12"/>
      <c r="AM29" s="10"/>
      <c r="AN29" s="12"/>
      <c r="AO29" s="5"/>
      <c r="AP29" s="11"/>
      <c r="AQ29" s="5"/>
      <c r="AR29" s="8"/>
    </row>
    <row r="30" spans="1:44" x14ac:dyDescent="0.15">
      <c r="A30" s="2"/>
      <c r="B30" s="2"/>
      <c r="C30" s="10"/>
      <c r="D30" s="6"/>
      <c r="E30" s="10"/>
      <c r="F30" s="8"/>
      <c r="G30" s="8"/>
      <c r="H30" s="2"/>
      <c r="I30" s="13"/>
      <c r="J30" s="10"/>
      <c r="K30" s="5"/>
      <c r="L30" s="8"/>
      <c r="M30" s="16"/>
      <c r="N30" s="10"/>
      <c r="O30" s="10"/>
      <c r="P30" s="5"/>
      <c r="Q30" s="2"/>
      <c r="R30" s="2"/>
      <c r="S30" s="2"/>
      <c r="T30" s="2"/>
      <c r="U30" s="7"/>
      <c r="V30" s="7"/>
      <c r="W30" s="17"/>
      <c r="X30" s="5"/>
      <c r="Y30" s="7"/>
      <c r="Z30" s="7"/>
      <c r="AA30" s="11"/>
      <c r="AB30" s="7"/>
      <c r="AC30" s="8"/>
      <c r="AD30" s="2"/>
      <c r="AE30" s="7"/>
      <c r="AG30" s="2"/>
      <c r="AH30" s="2"/>
      <c r="AI30" s="2"/>
      <c r="AJ30" s="8"/>
      <c r="AK30" s="10"/>
      <c r="AL30" s="12"/>
      <c r="AM30" s="10"/>
      <c r="AN30" s="12"/>
      <c r="AO30" s="5"/>
      <c r="AP30" s="11"/>
      <c r="AQ30" s="5"/>
      <c r="AR30" s="8"/>
    </row>
    <row r="31" spans="1:44" x14ac:dyDescent="0.15">
      <c r="A31" s="2"/>
      <c r="B31" s="2"/>
      <c r="C31" s="10"/>
      <c r="D31" s="6"/>
      <c r="E31" s="10"/>
      <c r="F31" s="8"/>
      <c r="G31" s="8"/>
      <c r="H31" s="2"/>
      <c r="I31" s="13"/>
      <c r="J31" s="10"/>
      <c r="K31" s="5"/>
      <c r="L31" s="8"/>
      <c r="M31" s="16"/>
      <c r="N31" s="10"/>
      <c r="O31" s="10"/>
      <c r="P31" s="5"/>
      <c r="Q31" s="2"/>
      <c r="R31" s="2"/>
      <c r="S31" s="2"/>
      <c r="T31" s="2"/>
      <c r="U31" s="7"/>
      <c r="V31" s="7"/>
      <c r="W31" s="17"/>
      <c r="X31" s="5"/>
      <c r="Y31" s="7"/>
      <c r="Z31" s="7"/>
      <c r="AA31" s="11"/>
      <c r="AB31" s="7"/>
      <c r="AC31" s="8"/>
      <c r="AD31" s="2"/>
      <c r="AE31" s="7"/>
      <c r="AG31" s="2"/>
      <c r="AH31" s="2"/>
      <c r="AI31" s="2"/>
      <c r="AJ31" s="8"/>
      <c r="AK31" s="10"/>
      <c r="AL31" s="12"/>
      <c r="AM31" s="10"/>
      <c r="AN31" s="12"/>
      <c r="AO31" s="5"/>
      <c r="AP31" s="11"/>
      <c r="AQ31" s="5"/>
      <c r="AR31" s="8"/>
    </row>
    <row r="32" spans="1:44" x14ac:dyDescent="0.15">
      <c r="A32" s="2"/>
      <c r="B32" s="2"/>
      <c r="C32" s="10"/>
      <c r="D32" s="6"/>
      <c r="E32" s="10"/>
      <c r="F32" s="8"/>
      <c r="G32" s="8"/>
      <c r="H32" s="2"/>
      <c r="I32" s="13"/>
      <c r="J32" s="10"/>
      <c r="K32" s="5"/>
      <c r="L32" s="8"/>
      <c r="M32" s="16"/>
      <c r="N32" s="10"/>
      <c r="O32" s="10"/>
      <c r="P32" s="5"/>
      <c r="Q32" s="2"/>
      <c r="R32" s="2"/>
      <c r="S32" s="2"/>
      <c r="T32" s="2"/>
      <c r="U32" s="7"/>
      <c r="V32" s="7"/>
      <c r="W32" s="17"/>
      <c r="X32" s="5"/>
      <c r="Y32" s="7"/>
      <c r="Z32" s="7"/>
      <c r="AA32" s="11"/>
      <c r="AB32" s="7"/>
      <c r="AC32" s="8"/>
      <c r="AD32" s="2"/>
      <c r="AE32" s="7"/>
      <c r="AG32" s="2"/>
      <c r="AH32" s="2"/>
      <c r="AI32" s="2"/>
      <c r="AJ32" s="8"/>
      <c r="AK32" s="10"/>
      <c r="AL32" s="12"/>
      <c r="AM32" s="10"/>
      <c r="AN32" s="12"/>
      <c r="AO32" s="5"/>
      <c r="AP32" s="11"/>
      <c r="AQ32" s="5"/>
      <c r="AR32" s="8"/>
    </row>
    <row r="33" spans="1:44" x14ac:dyDescent="0.15">
      <c r="A33" s="2"/>
      <c r="B33" s="2"/>
      <c r="C33" s="10"/>
      <c r="D33" s="6"/>
      <c r="E33" s="10"/>
      <c r="F33" s="8"/>
      <c r="G33" s="8"/>
      <c r="H33" s="2"/>
      <c r="I33" s="13"/>
      <c r="J33" s="10"/>
      <c r="K33" s="5"/>
      <c r="L33" s="8"/>
      <c r="M33" s="16"/>
      <c r="N33" s="10"/>
      <c r="O33" s="10"/>
      <c r="P33" s="5"/>
      <c r="Q33" s="2"/>
      <c r="R33" s="2"/>
      <c r="S33" s="2"/>
      <c r="T33" s="2"/>
      <c r="U33" s="7"/>
      <c r="V33" s="7"/>
      <c r="W33" s="17"/>
      <c r="X33" s="5"/>
      <c r="Y33" s="7"/>
      <c r="Z33" s="7"/>
      <c r="AA33" s="11"/>
      <c r="AB33" s="7"/>
      <c r="AC33" s="8"/>
      <c r="AD33" s="2"/>
      <c r="AE33" s="7"/>
      <c r="AG33" s="2"/>
      <c r="AH33" s="2"/>
      <c r="AI33" s="2"/>
      <c r="AJ33" s="8"/>
      <c r="AK33" s="10"/>
      <c r="AL33" s="12"/>
      <c r="AM33" s="10"/>
      <c r="AN33" s="12"/>
      <c r="AO33" s="5"/>
      <c r="AP33" s="11"/>
      <c r="AQ33" s="5"/>
      <c r="AR33" s="8"/>
    </row>
    <row r="34" spans="1:44" x14ac:dyDescent="0.15">
      <c r="A34" s="2"/>
      <c r="B34" s="2"/>
      <c r="C34" s="10"/>
      <c r="D34" s="6"/>
      <c r="E34" s="10"/>
      <c r="F34" s="8"/>
      <c r="G34" s="8"/>
      <c r="H34" s="2"/>
      <c r="I34" s="13"/>
      <c r="J34" s="10"/>
      <c r="K34" s="5"/>
      <c r="L34" s="8"/>
      <c r="M34" s="16"/>
      <c r="N34" s="10"/>
      <c r="O34" s="10"/>
      <c r="P34" s="5"/>
      <c r="Q34" s="2"/>
      <c r="R34" s="2"/>
      <c r="S34" s="2"/>
      <c r="T34" s="2"/>
      <c r="U34" s="7"/>
      <c r="V34" s="7"/>
      <c r="W34" s="17"/>
      <c r="X34" s="5"/>
      <c r="Y34" s="7"/>
      <c r="Z34" s="7"/>
      <c r="AA34" s="11"/>
      <c r="AB34" s="7"/>
      <c r="AC34" s="8"/>
      <c r="AD34" s="2"/>
      <c r="AE34" s="7"/>
      <c r="AG34" s="2"/>
      <c r="AH34" s="2"/>
      <c r="AI34" s="2"/>
      <c r="AJ34" s="8"/>
      <c r="AK34" s="10"/>
      <c r="AL34" s="12"/>
      <c r="AM34" s="10"/>
      <c r="AN34" s="12"/>
      <c r="AO34" s="5"/>
      <c r="AP34" s="11"/>
      <c r="AQ34" s="5"/>
      <c r="AR34" s="8"/>
    </row>
    <row r="35" spans="1:44" x14ac:dyDescent="0.15">
      <c r="A35" s="2"/>
      <c r="B35" s="2"/>
      <c r="C35" s="10"/>
      <c r="D35" s="6"/>
      <c r="E35" s="10"/>
      <c r="F35" s="8"/>
      <c r="G35" s="8"/>
      <c r="H35" s="2"/>
      <c r="I35" s="13"/>
      <c r="J35" s="10"/>
      <c r="K35" s="5"/>
      <c r="L35" s="8"/>
      <c r="M35" s="16"/>
      <c r="N35" s="10"/>
      <c r="O35" s="10"/>
      <c r="P35" s="5"/>
      <c r="Q35" s="2"/>
      <c r="R35" s="2"/>
      <c r="S35" s="2"/>
      <c r="T35" s="2"/>
      <c r="U35" s="7"/>
      <c r="V35" s="7"/>
      <c r="W35" s="17"/>
      <c r="X35" s="5"/>
      <c r="Y35" s="7"/>
      <c r="Z35" s="7"/>
      <c r="AA35" s="11"/>
      <c r="AB35" s="7"/>
      <c r="AC35" s="8"/>
      <c r="AD35" s="2"/>
      <c r="AE35" s="7"/>
      <c r="AG35" s="2"/>
      <c r="AH35" s="2"/>
      <c r="AI35" s="2"/>
      <c r="AJ35" s="8"/>
      <c r="AK35" s="10"/>
      <c r="AL35" s="12"/>
      <c r="AM35" s="10"/>
      <c r="AN35" s="12"/>
      <c r="AO35" s="5"/>
      <c r="AP35" s="11"/>
      <c r="AQ35" s="5"/>
      <c r="AR35" s="8"/>
    </row>
    <row r="36" spans="1:44" x14ac:dyDescent="0.15">
      <c r="A36" s="2"/>
      <c r="B36" s="2"/>
      <c r="C36" s="10"/>
      <c r="D36" s="6"/>
      <c r="E36" s="10"/>
      <c r="F36" s="8"/>
      <c r="G36" s="8"/>
      <c r="H36" s="2"/>
      <c r="I36" s="13"/>
      <c r="J36" s="10"/>
      <c r="K36" s="5"/>
      <c r="L36" s="8"/>
      <c r="M36" s="16"/>
      <c r="N36" s="10"/>
      <c r="O36" s="10"/>
      <c r="P36" s="5"/>
      <c r="Q36" s="2"/>
      <c r="R36" s="2"/>
      <c r="S36" s="2"/>
      <c r="T36" s="2"/>
      <c r="U36" s="7"/>
      <c r="V36" s="7"/>
      <c r="W36" s="17"/>
      <c r="X36" s="5"/>
      <c r="Y36" s="7"/>
      <c r="Z36" s="7"/>
      <c r="AA36" s="11"/>
      <c r="AB36" s="7"/>
      <c r="AC36" s="8"/>
      <c r="AD36" s="2"/>
      <c r="AE36" s="7"/>
      <c r="AG36" s="2"/>
      <c r="AH36" s="2"/>
      <c r="AI36" s="2"/>
      <c r="AJ36" s="8"/>
      <c r="AK36" s="10"/>
      <c r="AL36" s="12"/>
      <c r="AM36" s="10"/>
      <c r="AN36" s="12"/>
      <c r="AO36" s="5"/>
      <c r="AP36" s="11"/>
      <c r="AQ36" s="5"/>
      <c r="AR36" s="8"/>
    </row>
    <row r="37" spans="1:44" x14ac:dyDescent="0.15">
      <c r="A37" s="2"/>
      <c r="B37" s="2"/>
      <c r="C37" s="10"/>
      <c r="D37" s="6"/>
      <c r="E37" s="10"/>
      <c r="F37" s="8"/>
      <c r="G37" s="8"/>
      <c r="H37" s="2"/>
      <c r="I37" s="13"/>
      <c r="J37" s="10"/>
      <c r="K37" s="5"/>
      <c r="L37" s="8"/>
      <c r="M37" s="16"/>
      <c r="N37" s="10"/>
      <c r="O37" s="10"/>
      <c r="P37" s="5"/>
      <c r="Q37" s="2"/>
      <c r="R37" s="2"/>
      <c r="S37" s="2"/>
      <c r="T37" s="2"/>
      <c r="U37" s="7"/>
      <c r="V37" s="7"/>
      <c r="W37" s="17"/>
      <c r="X37" s="5"/>
      <c r="Y37" s="7"/>
      <c r="Z37" s="7"/>
      <c r="AA37" s="11"/>
      <c r="AB37" s="7"/>
      <c r="AC37" s="8"/>
      <c r="AD37" s="2"/>
      <c r="AE37" s="7"/>
      <c r="AG37" s="2"/>
      <c r="AH37" s="2"/>
      <c r="AI37" s="2"/>
      <c r="AJ37" s="8"/>
      <c r="AK37" s="10"/>
      <c r="AL37" s="12"/>
      <c r="AM37" s="10"/>
      <c r="AN37" s="12"/>
      <c r="AO37" s="5"/>
      <c r="AP37" s="11"/>
      <c r="AQ37" s="5"/>
      <c r="AR37" s="8"/>
    </row>
    <row r="38" spans="1:44" x14ac:dyDescent="0.15">
      <c r="A38" s="2"/>
      <c r="B38" s="2"/>
      <c r="C38" s="10"/>
      <c r="D38" s="6"/>
      <c r="E38" s="10"/>
      <c r="F38" s="8"/>
      <c r="G38" s="8"/>
      <c r="H38" s="2"/>
      <c r="I38" s="13"/>
      <c r="J38" s="10"/>
      <c r="K38" s="5"/>
      <c r="L38" s="8"/>
      <c r="M38" s="16"/>
      <c r="N38" s="10"/>
      <c r="O38" s="10"/>
      <c r="P38" s="5"/>
      <c r="Q38" s="2"/>
      <c r="R38" s="2"/>
      <c r="S38" s="2"/>
      <c r="T38" s="2"/>
      <c r="U38" s="7"/>
      <c r="V38" s="7"/>
      <c r="W38" s="17"/>
      <c r="X38" s="5"/>
      <c r="Y38" s="7"/>
      <c r="Z38" s="7"/>
      <c r="AA38" s="11"/>
      <c r="AB38" s="7"/>
      <c r="AC38" s="8"/>
      <c r="AD38" s="2"/>
      <c r="AE38" s="7"/>
      <c r="AG38" s="2"/>
      <c r="AH38" s="2"/>
      <c r="AI38" s="2"/>
      <c r="AJ38" s="8"/>
      <c r="AK38" s="10"/>
      <c r="AL38" s="12"/>
      <c r="AM38" s="10"/>
      <c r="AN38" s="12"/>
      <c r="AO38" s="5"/>
      <c r="AP38" s="11"/>
      <c r="AQ38" s="5"/>
      <c r="AR38" s="8"/>
    </row>
    <row r="39" spans="1:44" x14ac:dyDescent="0.15">
      <c r="A39" s="2"/>
      <c r="B39" s="2"/>
      <c r="C39" s="10"/>
      <c r="D39" s="6"/>
      <c r="E39" s="10"/>
      <c r="F39" s="8"/>
      <c r="G39" s="8"/>
      <c r="H39" s="2"/>
      <c r="I39" s="13"/>
      <c r="J39" s="10"/>
      <c r="K39" s="5"/>
      <c r="L39" s="8"/>
      <c r="M39" s="16"/>
      <c r="N39" s="10"/>
      <c r="O39" s="10"/>
      <c r="P39" s="5"/>
      <c r="Q39" s="2"/>
      <c r="R39" s="2"/>
      <c r="S39" s="2"/>
      <c r="T39" s="2"/>
      <c r="U39" s="7"/>
      <c r="V39" s="7"/>
      <c r="W39" s="17"/>
      <c r="X39" s="5"/>
      <c r="Y39" s="7"/>
      <c r="Z39" s="7"/>
      <c r="AA39" s="11"/>
      <c r="AB39" s="7"/>
      <c r="AC39" s="8"/>
      <c r="AD39" s="2"/>
      <c r="AE39" s="7"/>
      <c r="AG39" s="2"/>
      <c r="AH39" s="2"/>
      <c r="AI39" s="2"/>
      <c r="AJ39" s="8"/>
      <c r="AK39" s="10"/>
      <c r="AL39" s="12"/>
      <c r="AM39" s="10"/>
      <c r="AN39" s="12"/>
      <c r="AO39" s="5"/>
      <c r="AP39" s="11"/>
      <c r="AQ39" s="5"/>
      <c r="AR39" s="8"/>
    </row>
    <row r="40" spans="1:44" x14ac:dyDescent="0.15">
      <c r="A40" s="2"/>
      <c r="B40" s="2"/>
      <c r="C40" s="10"/>
      <c r="D40" s="6"/>
      <c r="E40" s="10"/>
      <c r="F40" s="8"/>
      <c r="G40" s="8"/>
      <c r="H40" s="2"/>
      <c r="I40" s="13"/>
      <c r="J40" s="10"/>
      <c r="K40" s="5"/>
      <c r="L40" s="8"/>
      <c r="M40" s="16"/>
      <c r="N40" s="10"/>
      <c r="O40" s="10"/>
      <c r="P40" s="5"/>
      <c r="Q40" s="2"/>
      <c r="R40" s="2"/>
      <c r="S40" s="2"/>
      <c r="T40" s="2"/>
      <c r="U40" s="7"/>
      <c r="V40" s="7"/>
      <c r="W40" s="17"/>
      <c r="X40" s="5"/>
      <c r="Y40" s="7"/>
      <c r="Z40" s="7"/>
      <c r="AA40" s="11"/>
      <c r="AB40" s="7"/>
      <c r="AC40" s="8"/>
      <c r="AD40" s="2"/>
      <c r="AE40" s="7"/>
      <c r="AG40" s="2"/>
      <c r="AH40" s="2"/>
      <c r="AI40" s="2"/>
      <c r="AJ40" s="8"/>
      <c r="AK40" s="10"/>
      <c r="AL40" s="12"/>
      <c r="AM40" s="10"/>
      <c r="AN40" s="12"/>
      <c r="AO40" s="5"/>
      <c r="AP40" s="11"/>
      <c r="AQ40" s="5"/>
      <c r="AR40" s="8"/>
    </row>
    <row r="41" spans="1:44" x14ac:dyDescent="0.15">
      <c r="A41" s="2"/>
      <c r="B41" s="2"/>
      <c r="C41" s="10"/>
      <c r="D41" s="6"/>
      <c r="E41" s="10"/>
      <c r="F41" s="8"/>
      <c r="G41" s="8"/>
      <c r="H41" s="2"/>
      <c r="I41" s="13"/>
      <c r="J41" s="10"/>
      <c r="K41" s="5"/>
      <c r="L41" s="8"/>
      <c r="M41" s="16"/>
      <c r="N41" s="10"/>
      <c r="O41" s="10"/>
      <c r="P41" s="5"/>
      <c r="Q41" s="2"/>
      <c r="R41" s="2"/>
      <c r="S41" s="2"/>
      <c r="T41" s="2"/>
      <c r="U41" s="7"/>
      <c r="V41" s="7"/>
      <c r="W41" s="17"/>
      <c r="X41" s="5"/>
      <c r="Y41" s="7"/>
      <c r="Z41" s="7"/>
      <c r="AA41" s="11"/>
      <c r="AB41" s="7"/>
      <c r="AC41" s="8"/>
      <c r="AD41" s="2"/>
      <c r="AE41" s="7"/>
      <c r="AG41" s="2"/>
      <c r="AH41" s="2"/>
      <c r="AI41" s="2"/>
      <c r="AJ41" s="8"/>
      <c r="AK41" s="10"/>
      <c r="AL41" s="12"/>
      <c r="AM41" s="10"/>
      <c r="AN41" s="12"/>
      <c r="AO41" s="5"/>
      <c r="AP41" s="11"/>
      <c r="AQ41" s="5"/>
      <c r="AR41" s="8"/>
    </row>
    <row r="42" spans="1:44" x14ac:dyDescent="0.15">
      <c r="A42" s="2"/>
      <c r="B42" s="2"/>
      <c r="C42" s="10"/>
      <c r="D42" s="6"/>
      <c r="E42" s="10"/>
      <c r="F42" s="8"/>
      <c r="G42" s="8"/>
      <c r="H42" s="2"/>
      <c r="I42" s="13"/>
      <c r="J42" s="10"/>
      <c r="K42" s="5"/>
      <c r="L42" s="8"/>
      <c r="M42" s="16"/>
      <c r="N42" s="10"/>
      <c r="O42" s="10"/>
      <c r="P42" s="5"/>
      <c r="Q42" s="2"/>
      <c r="R42" s="2"/>
      <c r="S42" s="2"/>
      <c r="T42" s="2"/>
      <c r="U42" s="7"/>
      <c r="V42" s="7"/>
      <c r="W42" s="17"/>
      <c r="X42" s="5"/>
      <c r="Y42" s="7"/>
      <c r="Z42" s="7"/>
      <c r="AA42" s="11"/>
      <c r="AB42" s="7"/>
      <c r="AC42" s="8"/>
      <c r="AD42" s="2"/>
      <c r="AE42" s="7"/>
      <c r="AG42" s="2"/>
      <c r="AH42" s="2"/>
      <c r="AI42" s="2"/>
      <c r="AJ42" s="8"/>
      <c r="AK42" s="10"/>
      <c r="AL42" s="12"/>
      <c r="AM42" s="10"/>
      <c r="AN42" s="12"/>
      <c r="AO42" s="5"/>
      <c r="AP42" s="11"/>
      <c r="AQ42" s="5"/>
      <c r="AR42" s="8"/>
    </row>
    <row r="43" spans="1:44" x14ac:dyDescent="0.15">
      <c r="A43" s="2"/>
      <c r="B43" s="2"/>
      <c r="C43" s="10"/>
      <c r="D43" s="6"/>
      <c r="E43" s="10"/>
      <c r="F43" s="8"/>
      <c r="G43" s="8"/>
      <c r="H43" s="2"/>
      <c r="I43" s="13"/>
      <c r="J43" s="10"/>
      <c r="K43" s="5"/>
      <c r="L43" s="8"/>
      <c r="M43" s="16"/>
      <c r="N43" s="10"/>
      <c r="O43" s="10"/>
      <c r="P43" s="5"/>
      <c r="Q43" s="2"/>
      <c r="R43" s="2"/>
      <c r="S43" s="2"/>
      <c r="T43" s="2"/>
      <c r="U43" s="7"/>
      <c r="V43" s="7"/>
      <c r="W43" s="17"/>
      <c r="X43" s="5"/>
      <c r="Y43" s="7"/>
      <c r="Z43" s="7"/>
      <c r="AA43" s="11"/>
      <c r="AB43" s="7"/>
      <c r="AC43" s="8"/>
      <c r="AD43" s="2"/>
      <c r="AE43" s="7"/>
      <c r="AG43" s="2"/>
      <c r="AH43" s="2"/>
      <c r="AI43" s="2"/>
      <c r="AJ43" s="8"/>
      <c r="AK43" s="10"/>
      <c r="AL43" s="12"/>
      <c r="AM43" s="10"/>
      <c r="AN43" s="12"/>
      <c r="AO43" s="5"/>
      <c r="AP43" s="11"/>
      <c r="AQ43" s="5"/>
      <c r="AR43" s="8"/>
    </row>
    <row r="44" spans="1:44" x14ac:dyDescent="0.15">
      <c r="A44" s="2"/>
      <c r="B44" s="2"/>
      <c r="C44" s="10"/>
      <c r="D44" s="6"/>
      <c r="E44" s="10"/>
      <c r="F44" s="8"/>
      <c r="G44" s="8"/>
      <c r="H44" s="2"/>
      <c r="I44" s="13"/>
      <c r="J44" s="10"/>
      <c r="K44" s="5"/>
      <c r="L44" s="8"/>
      <c r="M44" s="16"/>
      <c r="N44" s="10"/>
      <c r="O44" s="10"/>
      <c r="P44" s="5"/>
      <c r="Q44" s="2"/>
      <c r="R44" s="2"/>
      <c r="S44" s="2"/>
      <c r="T44" s="2"/>
      <c r="U44" s="7"/>
      <c r="V44" s="7"/>
      <c r="W44" s="17"/>
      <c r="X44" s="5"/>
      <c r="Y44" s="7"/>
      <c r="Z44" s="7"/>
      <c r="AA44" s="11"/>
      <c r="AB44" s="7"/>
      <c r="AC44" s="8"/>
      <c r="AD44" s="2"/>
      <c r="AE44" s="7"/>
      <c r="AG44" s="2"/>
      <c r="AH44" s="2"/>
      <c r="AI44" s="2"/>
      <c r="AJ44" s="8"/>
      <c r="AK44" s="10"/>
      <c r="AL44" s="12"/>
      <c r="AM44" s="10"/>
      <c r="AN44" s="12"/>
      <c r="AO44" s="5"/>
      <c r="AP44" s="11"/>
      <c r="AQ44" s="5"/>
      <c r="AR44" s="8"/>
    </row>
    <row r="45" spans="1:44" x14ac:dyDescent="0.15">
      <c r="A45" s="2"/>
      <c r="B45" s="2"/>
      <c r="C45" s="10"/>
      <c r="D45" s="6"/>
      <c r="E45" s="10"/>
      <c r="F45" s="8"/>
      <c r="G45" s="8"/>
      <c r="H45" s="2"/>
      <c r="I45" s="13"/>
      <c r="J45" s="10"/>
      <c r="K45" s="5"/>
      <c r="L45" s="8"/>
      <c r="M45" s="16"/>
      <c r="N45" s="10"/>
      <c r="O45" s="10"/>
      <c r="P45" s="5"/>
      <c r="Q45" s="2"/>
      <c r="R45" s="2"/>
      <c r="S45" s="2"/>
      <c r="T45" s="2"/>
      <c r="U45" s="7"/>
      <c r="V45" s="7"/>
      <c r="W45" s="17"/>
      <c r="X45" s="5"/>
      <c r="Y45" s="7"/>
      <c r="Z45" s="7"/>
      <c r="AA45" s="11"/>
      <c r="AB45" s="7"/>
      <c r="AC45" s="8"/>
      <c r="AD45" s="2"/>
      <c r="AE45" s="7"/>
      <c r="AG45" s="2"/>
      <c r="AH45" s="2"/>
      <c r="AI45" s="2"/>
      <c r="AJ45" s="8"/>
      <c r="AK45" s="10"/>
      <c r="AL45" s="12"/>
      <c r="AM45" s="10"/>
      <c r="AN45" s="12"/>
      <c r="AO45" s="5"/>
      <c r="AP45" s="11"/>
      <c r="AQ45" s="5"/>
      <c r="AR45" s="8"/>
    </row>
    <row r="46" spans="1:44" x14ac:dyDescent="0.15">
      <c r="A46" s="2"/>
      <c r="B46" s="2"/>
      <c r="C46" s="10"/>
      <c r="D46" s="6"/>
      <c r="E46" s="10"/>
      <c r="F46" s="8"/>
      <c r="G46" s="8"/>
      <c r="H46" s="2"/>
      <c r="I46" s="13"/>
      <c r="J46" s="10"/>
      <c r="K46" s="5"/>
      <c r="L46" s="8"/>
      <c r="M46" s="16"/>
      <c r="N46" s="10"/>
      <c r="O46" s="10"/>
      <c r="P46" s="5"/>
      <c r="Q46" s="2"/>
      <c r="R46" s="2"/>
      <c r="S46" s="2"/>
      <c r="T46" s="2"/>
      <c r="U46" s="7"/>
      <c r="V46" s="7"/>
      <c r="W46" s="17"/>
      <c r="X46" s="5"/>
      <c r="Y46" s="7"/>
      <c r="Z46" s="7"/>
      <c r="AA46" s="11"/>
      <c r="AB46" s="7"/>
      <c r="AC46" s="8"/>
      <c r="AD46" s="2"/>
      <c r="AE46" s="7"/>
      <c r="AG46" s="2"/>
      <c r="AH46" s="2"/>
      <c r="AI46" s="2"/>
      <c r="AJ46" s="8"/>
      <c r="AK46" s="10"/>
      <c r="AL46" s="12"/>
      <c r="AM46" s="10"/>
      <c r="AN46" s="12"/>
      <c r="AO46" s="5"/>
      <c r="AP46" s="11"/>
      <c r="AQ46" s="5"/>
      <c r="AR46" s="8"/>
    </row>
    <row r="47" spans="1:44" x14ac:dyDescent="0.15">
      <c r="A47" s="2"/>
      <c r="B47" s="2"/>
      <c r="C47" s="10"/>
      <c r="D47" s="6"/>
      <c r="E47" s="10"/>
      <c r="F47" s="8"/>
      <c r="G47" s="8"/>
      <c r="H47" s="2"/>
      <c r="I47" s="13"/>
      <c r="J47" s="10"/>
      <c r="K47" s="5"/>
      <c r="L47" s="8"/>
      <c r="M47" s="16"/>
      <c r="N47" s="10"/>
      <c r="O47" s="10"/>
      <c r="P47" s="5"/>
      <c r="Q47" s="2"/>
      <c r="R47" s="2"/>
      <c r="S47" s="2"/>
      <c r="T47" s="2"/>
      <c r="U47" s="7"/>
      <c r="V47" s="7"/>
      <c r="W47" s="17"/>
      <c r="X47" s="5"/>
      <c r="Y47" s="7"/>
      <c r="Z47" s="7"/>
      <c r="AA47" s="11"/>
      <c r="AB47" s="7"/>
      <c r="AC47" s="8"/>
      <c r="AD47" s="2"/>
      <c r="AE47" s="7"/>
      <c r="AG47" s="2"/>
      <c r="AH47" s="2"/>
      <c r="AI47" s="2"/>
      <c r="AJ47" s="8"/>
      <c r="AK47" s="10"/>
      <c r="AL47" s="12"/>
      <c r="AM47" s="10"/>
      <c r="AN47" s="12"/>
      <c r="AO47" s="5"/>
      <c r="AP47" s="11"/>
      <c r="AQ47" s="5"/>
      <c r="AR47" s="8"/>
    </row>
    <row r="48" spans="1:44" x14ac:dyDescent="0.15">
      <c r="A48" s="2"/>
      <c r="B48" s="2"/>
      <c r="C48" s="10"/>
      <c r="D48" s="6"/>
      <c r="E48" s="10"/>
      <c r="F48" s="8"/>
      <c r="G48" s="8"/>
      <c r="H48" s="2"/>
      <c r="I48" s="13"/>
      <c r="J48" s="10"/>
      <c r="K48" s="5"/>
      <c r="L48" s="8"/>
      <c r="M48" s="16"/>
      <c r="N48" s="10"/>
      <c r="O48" s="10"/>
      <c r="P48" s="5"/>
      <c r="Q48" s="2"/>
      <c r="R48" s="2"/>
      <c r="S48" s="2"/>
      <c r="T48" s="2"/>
      <c r="U48" s="7"/>
      <c r="V48" s="7"/>
      <c r="W48" s="17"/>
      <c r="X48" s="5"/>
      <c r="Y48" s="7"/>
      <c r="Z48" s="7"/>
      <c r="AA48" s="11"/>
      <c r="AB48" s="7"/>
      <c r="AC48" s="8"/>
      <c r="AD48" s="2"/>
      <c r="AE48" s="7"/>
      <c r="AG48" s="2"/>
      <c r="AH48" s="2"/>
      <c r="AI48" s="2"/>
      <c r="AJ48" s="8"/>
      <c r="AK48" s="10"/>
      <c r="AL48" s="12"/>
      <c r="AM48" s="10"/>
      <c r="AN48" s="12"/>
      <c r="AO48" s="5"/>
      <c r="AP48" s="11"/>
      <c r="AQ48" s="5"/>
      <c r="AR48" s="8"/>
    </row>
    <row r="49" spans="1:44" x14ac:dyDescent="0.15">
      <c r="A49" s="2"/>
      <c r="B49" s="2"/>
      <c r="C49" s="10"/>
      <c r="D49" s="6"/>
      <c r="E49" s="10"/>
      <c r="F49" s="8"/>
      <c r="G49" s="8"/>
      <c r="H49" s="2"/>
      <c r="I49" s="13"/>
      <c r="J49" s="10"/>
      <c r="K49" s="5"/>
      <c r="L49" s="8"/>
      <c r="M49" s="16"/>
      <c r="N49" s="10"/>
      <c r="O49" s="10"/>
      <c r="P49" s="5"/>
      <c r="Q49" s="2"/>
      <c r="R49" s="2"/>
      <c r="S49" s="2"/>
      <c r="T49" s="2"/>
      <c r="U49" s="7"/>
      <c r="V49" s="7"/>
      <c r="W49" s="17"/>
      <c r="X49" s="5"/>
      <c r="Y49" s="7"/>
      <c r="Z49" s="7"/>
      <c r="AA49" s="11"/>
      <c r="AB49" s="7"/>
      <c r="AC49" s="8"/>
      <c r="AD49" s="2"/>
      <c r="AE49" s="7"/>
      <c r="AG49" s="2"/>
      <c r="AH49" s="2"/>
      <c r="AI49" s="2"/>
      <c r="AJ49" s="8"/>
      <c r="AK49" s="10"/>
      <c r="AL49" s="12"/>
      <c r="AM49" s="10"/>
      <c r="AN49" s="12"/>
      <c r="AO49" s="5"/>
      <c r="AP49" s="11"/>
      <c r="AQ49" s="5"/>
      <c r="AR49" s="8"/>
    </row>
    <row r="50" spans="1:44" x14ac:dyDescent="0.15">
      <c r="A50" s="2"/>
      <c r="B50" s="2"/>
      <c r="C50" s="10"/>
      <c r="D50" s="6"/>
      <c r="E50" s="10"/>
      <c r="F50" s="8"/>
      <c r="G50" s="8"/>
      <c r="H50" s="2"/>
      <c r="I50" s="13"/>
      <c r="J50" s="10"/>
      <c r="K50" s="5"/>
      <c r="L50" s="8"/>
      <c r="M50" s="16"/>
      <c r="N50" s="10"/>
      <c r="O50" s="10"/>
      <c r="P50" s="5"/>
      <c r="Q50" s="2"/>
      <c r="R50" s="2"/>
      <c r="S50" s="2"/>
      <c r="T50" s="2"/>
      <c r="U50" s="7"/>
      <c r="V50" s="7"/>
      <c r="W50" s="17"/>
      <c r="X50" s="5"/>
      <c r="Y50" s="7"/>
      <c r="Z50" s="7"/>
      <c r="AA50" s="11"/>
      <c r="AB50" s="7"/>
      <c r="AC50" s="8"/>
      <c r="AD50" s="2"/>
      <c r="AE50" s="7"/>
      <c r="AG50" s="2"/>
      <c r="AH50" s="2"/>
      <c r="AI50" s="2"/>
      <c r="AJ50" s="8"/>
      <c r="AK50" s="10"/>
      <c r="AL50" s="12"/>
      <c r="AM50" s="10"/>
      <c r="AN50" s="12"/>
      <c r="AO50" s="5"/>
      <c r="AP50" s="11"/>
      <c r="AQ50" s="5"/>
      <c r="AR50" s="8"/>
    </row>
    <row r="51" spans="1:44" s="15" customFormat="1" x14ac:dyDescent="0.15">
      <c r="A51" s="18"/>
      <c r="B51" s="18"/>
      <c r="C51" s="19"/>
      <c r="D51" s="20"/>
      <c r="E51" s="19"/>
      <c r="F51" s="21"/>
      <c r="G51" s="21"/>
      <c r="H51" s="18"/>
      <c r="I51" s="22"/>
      <c r="J51" s="19"/>
      <c r="K51" s="23"/>
      <c r="L51" s="21"/>
      <c r="M51" s="24"/>
      <c r="N51" s="19"/>
      <c r="O51" s="19"/>
      <c r="P51" s="23"/>
      <c r="Q51" s="18"/>
      <c r="R51" s="18"/>
      <c r="S51" s="18"/>
      <c r="T51" s="18"/>
      <c r="U51" s="25"/>
      <c r="V51" s="25"/>
      <c r="W51" s="26"/>
      <c r="X51" s="23"/>
      <c r="Y51" s="25"/>
      <c r="Z51" s="25"/>
      <c r="AA51" s="27"/>
      <c r="AB51" s="25"/>
      <c r="AC51" s="21"/>
      <c r="AD51" s="18"/>
      <c r="AE51" s="25"/>
      <c r="AG51" s="18"/>
      <c r="AH51" s="18"/>
      <c r="AI51" s="18"/>
      <c r="AJ51" s="21"/>
      <c r="AK51" s="19"/>
      <c r="AL51" s="28"/>
      <c r="AM51" s="19"/>
      <c r="AN51" s="28"/>
      <c r="AO51" s="23"/>
      <c r="AP51" s="27"/>
      <c r="AQ51" s="23"/>
      <c r="AR51" s="21"/>
    </row>
    <row r="52" spans="1:44" x14ac:dyDescent="0.15">
      <c r="A52" s="2"/>
      <c r="B52" s="2"/>
      <c r="C52" s="10"/>
      <c r="D52" s="6"/>
      <c r="E52" s="10"/>
      <c r="F52" s="8"/>
      <c r="G52" s="8"/>
      <c r="H52" s="2"/>
      <c r="I52" s="13"/>
      <c r="J52" s="10"/>
      <c r="K52" s="5"/>
      <c r="L52" s="8"/>
      <c r="M52" s="16"/>
      <c r="N52" s="10"/>
      <c r="O52" s="10"/>
      <c r="P52" s="5"/>
      <c r="Q52" s="2"/>
      <c r="R52" s="2"/>
      <c r="S52" s="2"/>
      <c r="T52" s="2"/>
      <c r="U52" s="7"/>
      <c r="V52" s="7"/>
      <c r="W52" s="17"/>
      <c r="X52" s="5"/>
      <c r="Y52" s="7"/>
      <c r="Z52" s="7"/>
      <c r="AA52" s="11"/>
      <c r="AB52" s="7"/>
      <c r="AC52" s="8"/>
      <c r="AD52" s="2"/>
      <c r="AE52" s="7"/>
      <c r="AG52" s="2"/>
      <c r="AH52" s="2"/>
      <c r="AI52" s="2"/>
      <c r="AJ52" s="8"/>
      <c r="AK52" s="10"/>
      <c r="AL52" s="12"/>
      <c r="AM52" s="10"/>
      <c r="AN52" s="12"/>
      <c r="AO52" s="5"/>
      <c r="AP52" s="11"/>
      <c r="AQ52" s="5"/>
      <c r="AR52" s="8"/>
    </row>
    <row r="53" spans="1:44" x14ac:dyDescent="0.15">
      <c r="A53" s="2"/>
      <c r="B53" s="2"/>
      <c r="C53" s="10"/>
      <c r="D53" s="6"/>
      <c r="E53" s="10"/>
      <c r="F53" s="8"/>
      <c r="G53" s="8"/>
      <c r="H53" s="2"/>
      <c r="I53" s="13"/>
      <c r="J53" s="10"/>
      <c r="K53" s="5"/>
      <c r="L53" s="8"/>
      <c r="M53" s="16"/>
      <c r="N53" s="10"/>
      <c r="O53" s="10"/>
      <c r="P53" s="5"/>
      <c r="Q53" s="2"/>
      <c r="R53" s="2"/>
      <c r="S53" s="2"/>
      <c r="T53" s="2"/>
      <c r="U53" s="7"/>
      <c r="V53" s="7"/>
      <c r="W53" s="17"/>
      <c r="X53" s="5"/>
      <c r="Y53" s="7"/>
      <c r="Z53" s="7"/>
      <c r="AA53" s="11"/>
      <c r="AB53" s="7"/>
      <c r="AC53" s="8"/>
      <c r="AD53" s="2"/>
      <c r="AE53" s="7"/>
      <c r="AG53" s="2"/>
      <c r="AH53" s="2"/>
      <c r="AI53" s="2"/>
      <c r="AJ53" s="8"/>
      <c r="AK53" s="10"/>
      <c r="AL53" s="12"/>
      <c r="AM53" s="10"/>
      <c r="AN53" s="12"/>
      <c r="AO53" s="5"/>
      <c r="AP53" s="11"/>
      <c r="AQ53" s="5"/>
      <c r="AR53" s="8"/>
    </row>
    <row r="54" spans="1:44" x14ac:dyDescent="0.15">
      <c r="A54" s="2"/>
      <c r="B54" s="2"/>
      <c r="C54" s="10"/>
      <c r="D54" s="6"/>
      <c r="E54" s="10"/>
      <c r="F54" s="8"/>
      <c r="G54" s="8"/>
      <c r="H54" s="2"/>
      <c r="I54" s="13"/>
      <c r="J54" s="10"/>
      <c r="K54" s="5"/>
      <c r="L54" s="8"/>
      <c r="M54" s="16"/>
      <c r="N54" s="10"/>
      <c r="O54" s="10"/>
      <c r="P54" s="5"/>
      <c r="Q54" s="2"/>
      <c r="R54" s="2"/>
      <c r="S54" s="2"/>
      <c r="T54" s="2"/>
      <c r="U54" s="7"/>
      <c r="V54" s="7"/>
      <c r="W54" s="17"/>
      <c r="X54" s="5"/>
      <c r="Y54" s="7"/>
      <c r="Z54" s="7"/>
      <c r="AA54" s="11"/>
      <c r="AB54" s="7"/>
      <c r="AC54" s="8"/>
      <c r="AD54" s="2"/>
      <c r="AE54" s="7"/>
      <c r="AG54" s="2"/>
      <c r="AH54" s="2"/>
      <c r="AI54" s="2"/>
      <c r="AJ54" s="8"/>
      <c r="AK54" s="10"/>
      <c r="AL54" s="12"/>
      <c r="AM54" s="10"/>
      <c r="AN54" s="12"/>
      <c r="AO54" s="5"/>
      <c r="AP54" s="11"/>
      <c r="AQ54" s="5"/>
      <c r="AR54" s="8"/>
    </row>
    <row r="55" spans="1:44" x14ac:dyDescent="0.15">
      <c r="A55" s="2"/>
      <c r="B55" s="2"/>
      <c r="C55" s="10"/>
      <c r="D55" s="6"/>
      <c r="E55" s="10"/>
      <c r="F55" s="8"/>
      <c r="G55" s="8"/>
      <c r="H55" s="2"/>
      <c r="I55" s="13"/>
      <c r="J55" s="10"/>
      <c r="K55" s="5"/>
      <c r="L55" s="8"/>
      <c r="M55" s="16"/>
      <c r="N55" s="10"/>
      <c r="O55" s="10"/>
      <c r="P55" s="5"/>
      <c r="Q55" s="2"/>
      <c r="R55" s="2"/>
      <c r="S55" s="2"/>
      <c r="T55" s="2"/>
      <c r="U55" s="7"/>
      <c r="V55" s="7"/>
      <c r="W55" s="17"/>
      <c r="X55" s="5"/>
      <c r="Y55" s="7"/>
      <c r="Z55" s="7"/>
      <c r="AA55" s="11"/>
      <c r="AB55" s="7"/>
      <c r="AC55" s="8"/>
      <c r="AD55" s="2"/>
      <c r="AE55" s="7"/>
      <c r="AG55" s="2"/>
      <c r="AH55" s="2"/>
      <c r="AI55" s="2"/>
      <c r="AJ55" s="8"/>
      <c r="AK55" s="10"/>
      <c r="AL55" s="12"/>
      <c r="AM55" s="10"/>
      <c r="AN55" s="12"/>
      <c r="AO55" s="5"/>
      <c r="AP55" s="11"/>
      <c r="AQ55" s="5"/>
      <c r="AR55" s="8"/>
    </row>
    <row r="56" spans="1:44" s="15" customFormat="1" x14ac:dyDescent="0.15">
      <c r="A56" s="18"/>
      <c r="B56" s="18"/>
      <c r="C56" s="19"/>
      <c r="D56" s="20"/>
      <c r="E56" s="19"/>
      <c r="F56" s="21"/>
      <c r="G56" s="21"/>
      <c r="H56" s="18"/>
      <c r="I56" s="22"/>
      <c r="J56" s="19"/>
      <c r="K56" s="23"/>
      <c r="L56" s="21"/>
      <c r="M56" s="24"/>
      <c r="N56" s="19"/>
      <c r="O56" s="19"/>
      <c r="P56" s="23"/>
      <c r="Q56" s="18"/>
      <c r="R56" s="18"/>
      <c r="S56" s="18"/>
      <c r="T56" s="18"/>
      <c r="U56" s="25"/>
      <c r="V56" s="25"/>
      <c r="W56" s="26"/>
      <c r="X56" s="23"/>
      <c r="Y56" s="25"/>
      <c r="Z56" s="25"/>
      <c r="AA56" s="27"/>
      <c r="AB56" s="25"/>
      <c r="AC56" s="21"/>
      <c r="AD56" s="18"/>
      <c r="AE56" s="25"/>
      <c r="AG56" s="18"/>
      <c r="AH56" s="18"/>
      <c r="AI56" s="18"/>
      <c r="AJ56" s="21"/>
      <c r="AK56" s="19"/>
      <c r="AL56" s="28"/>
      <c r="AM56" s="19"/>
      <c r="AN56" s="28"/>
      <c r="AO56" s="23"/>
      <c r="AP56" s="27"/>
      <c r="AQ56" s="23"/>
      <c r="AR56" s="21"/>
    </row>
    <row r="57" spans="1:44" x14ac:dyDescent="0.15">
      <c r="A57" s="2"/>
      <c r="B57" s="2"/>
      <c r="C57" s="10"/>
      <c r="D57" s="6"/>
      <c r="E57" s="10"/>
      <c r="F57" s="8"/>
      <c r="G57" s="8"/>
      <c r="H57" s="2"/>
      <c r="I57" s="13"/>
      <c r="J57" s="10"/>
      <c r="K57" s="5"/>
      <c r="L57" s="8"/>
      <c r="M57" s="16"/>
      <c r="N57" s="10"/>
      <c r="O57" s="10"/>
      <c r="P57" s="5"/>
      <c r="Q57" s="2"/>
      <c r="R57" s="2"/>
      <c r="S57" s="2"/>
      <c r="T57" s="2"/>
      <c r="U57" s="7"/>
      <c r="V57" s="7"/>
      <c r="W57" s="17"/>
      <c r="X57" s="5"/>
      <c r="Y57" s="7"/>
      <c r="Z57" s="7"/>
      <c r="AA57" s="11"/>
      <c r="AB57" s="7"/>
      <c r="AC57" s="8"/>
      <c r="AD57" s="2"/>
      <c r="AE57" s="7"/>
      <c r="AG57" s="2"/>
      <c r="AH57" s="2"/>
      <c r="AI57" s="2"/>
      <c r="AJ57" s="8"/>
      <c r="AK57" s="10"/>
      <c r="AL57" s="12"/>
      <c r="AM57" s="10"/>
      <c r="AN57" s="12"/>
      <c r="AO57" s="5"/>
      <c r="AP57" s="11"/>
      <c r="AQ57" s="5"/>
      <c r="AR57" s="8"/>
    </row>
    <row r="58" spans="1:44" s="15" customFormat="1" x14ac:dyDescent="0.15">
      <c r="A58" s="18"/>
      <c r="B58" s="18"/>
      <c r="C58" s="19"/>
      <c r="D58" s="20"/>
      <c r="E58" s="19"/>
      <c r="F58" s="21"/>
      <c r="G58" s="21"/>
      <c r="H58" s="18"/>
      <c r="I58" s="22"/>
      <c r="J58" s="19"/>
      <c r="K58" s="23"/>
      <c r="L58" s="21"/>
      <c r="M58" s="24"/>
      <c r="N58" s="19"/>
      <c r="O58" s="19"/>
      <c r="P58" s="23"/>
      <c r="Q58" s="18"/>
      <c r="R58" s="18"/>
      <c r="S58" s="18"/>
      <c r="T58" s="18"/>
      <c r="U58" s="25"/>
      <c r="V58" s="25"/>
      <c r="W58" s="26"/>
      <c r="X58" s="23"/>
      <c r="Y58" s="25"/>
      <c r="Z58" s="25"/>
      <c r="AA58" s="27"/>
      <c r="AB58" s="25"/>
      <c r="AC58" s="21"/>
      <c r="AD58" s="18"/>
      <c r="AE58" s="25"/>
      <c r="AG58" s="18"/>
      <c r="AH58" s="18"/>
      <c r="AI58" s="18"/>
      <c r="AJ58" s="21"/>
      <c r="AK58" s="19"/>
      <c r="AL58" s="28"/>
      <c r="AM58" s="19"/>
      <c r="AN58" s="28"/>
      <c r="AO58" s="23"/>
      <c r="AP58" s="27"/>
      <c r="AQ58" s="23"/>
      <c r="AR58" s="21"/>
    </row>
    <row r="59" spans="1:44" x14ac:dyDescent="0.15">
      <c r="A59" s="2"/>
      <c r="B59" s="2"/>
      <c r="C59" s="10"/>
      <c r="D59" s="6"/>
      <c r="E59" s="10"/>
      <c r="F59" s="8"/>
      <c r="G59" s="8"/>
      <c r="H59" s="2"/>
      <c r="I59" s="13"/>
      <c r="J59" s="10"/>
      <c r="K59" s="5"/>
      <c r="L59" s="8"/>
      <c r="M59" s="16"/>
      <c r="N59" s="10"/>
      <c r="O59" s="10"/>
      <c r="P59" s="5"/>
      <c r="Q59" s="2"/>
      <c r="R59" s="2"/>
      <c r="S59" s="2"/>
      <c r="T59" s="2"/>
      <c r="U59" s="7"/>
      <c r="V59" s="7"/>
      <c r="W59" s="17"/>
      <c r="X59" s="5"/>
      <c r="Y59" s="7"/>
      <c r="Z59" s="7"/>
      <c r="AA59" s="11"/>
      <c r="AB59" s="7"/>
      <c r="AC59" s="8"/>
      <c r="AD59" s="2"/>
      <c r="AE59" s="7"/>
      <c r="AG59" s="2"/>
      <c r="AH59" s="2"/>
      <c r="AI59" s="2"/>
      <c r="AJ59" s="8"/>
      <c r="AK59" s="10"/>
      <c r="AL59" s="12"/>
      <c r="AM59" s="10"/>
      <c r="AN59" s="12"/>
      <c r="AO59" s="5"/>
      <c r="AP59" s="11"/>
      <c r="AQ59" s="5"/>
      <c r="AR59" s="8"/>
    </row>
    <row r="60" spans="1:44" s="15" customFormat="1" x14ac:dyDescent="0.15">
      <c r="A60" s="18"/>
      <c r="B60" s="18"/>
      <c r="C60" s="19"/>
      <c r="D60" s="20"/>
      <c r="E60" s="19"/>
      <c r="F60" s="21"/>
      <c r="G60" s="21"/>
      <c r="H60" s="18"/>
      <c r="I60" s="22"/>
      <c r="J60" s="19"/>
      <c r="K60" s="23"/>
      <c r="L60" s="21"/>
      <c r="M60" s="24"/>
      <c r="N60" s="19"/>
      <c r="O60" s="19"/>
      <c r="P60" s="23"/>
      <c r="Q60" s="18"/>
      <c r="R60" s="18"/>
      <c r="S60" s="18"/>
      <c r="T60" s="18"/>
      <c r="U60" s="25"/>
      <c r="V60" s="25"/>
      <c r="W60" s="26"/>
      <c r="X60" s="23"/>
      <c r="Y60" s="25"/>
      <c r="Z60" s="25"/>
      <c r="AA60" s="27"/>
      <c r="AB60" s="25"/>
      <c r="AC60" s="21"/>
      <c r="AD60" s="18"/>
      <c r="AE60" s="25"/>
      <c r="AG60" s="18"/>
      <c r="AH60" s="18"/>
      <c r="AI60" s="18"/>
      <c r="AJ60" s="21"/>
      <c r="AK60" s="19"/>
      <c r="AL60" s="28"/>
      <c r="AM60" s="19"/>
      <c r="AN60" s="28"/>
      <c r="AO60" s="23"/>
      <c r="AP60" s="27"/>
      <c r="AQ60" s="23"/>
      <c r="AR60" s="21"/>
    </row>
    <row r="61" spans="1:44" s="15" customFormat="1" x14ac:dyDescent="0.15">
      <c r="A61" s="18"/>
      <c r="B61" s="18"/>
      <c r="C61" s="19"/>
      <c r="D61" s="20"/>
      <c r="E61" s="19"/>
      <c r="F61" s="21"/>
      <c r="G61" s="21"/>
      <c r="H61" s="18"/>
      <c r="I61" s="22"/>
      <c r="J61" s="19"/>
      <c r="K61" s="23"/>
      <c r="L61" s="21"/>
      <c r="M61" s="24"/>
      <c r="N61" s="19"/>
      <c r="O61" s="19"/>
      <c r="P61" s="23"/>
      <c r="Q61" s="18"/>
      <c r="R61" s="18"/>
      <c r="S61" s="18"/>
      <c r="T61" s="18"/>
      <c r="U61" s="25"/>
      <c r="V61" s="25"/>
      <c r="W61" s="26"/>
      <c r="X61" s="23"/>
      <c r="Y61" s="25"/>
      <c r="Z61" s="25"/>
      <c r="AA61" s="27"/>
      <c r="AB61" s="25"/>
      <c r="AC61" s="21"/>
      <c r="AD61" s="18"/>
      <c r="AE61" s="25"/>
      <c r="AG61" s="18"/>
      <c r="AH61" s="18"/>
      <c r="AI61" s="18"/>
      <c r="AJ61" s="21"/>
      <c r="AK61" s="19"/>
      <c r="AL61" s="28"/>
      <c r="AM61" s="19"/>
      <c r="AN61" s="28"/>
      <c r="AO61" s="23"/>
      <c r="AP61" s="27"/>
      <c r="AQ61" s="23"/>
      <c r="AR61" s="21"/>
    </row>
    <row r="62" spans="1:44" x14ac:dyDescent="0.15">
      <c r="A62" s="2"/>
      <c r="B62" s="2"/>
      <c r="C62" s="10"/>
      <c r="D62" s="6"/>
      <c r="E62" s="10"/>
      <c r="F62" s="8"/>
      <c r="G62" s="8"/>
      <c r="H62" s="2"/>
      <c r="I62" s="13"/>
      <c r="J62" s="10"/>
      <c r="K62" s="5"/>
      <c r="L62" s="8"/>
      <c r="M62" s="16"/>
      <c r="N62" s="10"/>
      <c r="O62" s="10"/>
      <c r="P62" s="5"/>
      <c r="Q62" s="2"/>
      <c r="R62" s="2"/>
      <c r="S62" s="2"/>
      <c r="T62" s="2"/>
      <c r="U62" s="7"/>
      <c r="V62" s="7"/>
      <c r="W62" s="17"/>
      <c r="X62" s="5"/>
      <c r="Y62" s="7"/>
      <c r="Z62" s="7"/>
      <c r="AA62" s="11"/>
      <c r="AB62" s="7"/>
      <c r="AC62" s="8"/>
      <c r="AD62" s="2"/>
      <c r="AE62" s="7"/>
      <c r="AG62" s="2"/>
      <c r="AH62" s="2"/>
      <c r="AI62" s="2"/>
      <c r="AJ62" s="8"/>
      <c r="AK62" s="10"/>
      <c r="AL62" s="12"/>
      <c r="AM62" s="10"/>
      <c r="AN62" s="12"/>
      <c r="AO62" s="5"/>
      <c r="AP62" s="11"/>
      <c r="AQ62" s="5"/>
      <c r="AR62" s="8"/>
    </row>
    <row r="63" spans="1:44" s="15" customFormat="1" x14ac:dyDescent="0.15">
      <c r="A63" s="18"/>
      <c r="B63" s="18"/>
      <c r="C63" s="19"/>
      <c r="D63" s="20"/>
      <c r="E63" s="19"/>
      <c r="F63" s="21"/>
      <c r="G63" s="21"/>
      <c r="H63" s="18"/>
      <c r="I63" s="22"/>
      <c r="J63" s="19"/>
      <c r="K63" s="23"/>
      <c r="L63" s="21"/>
      <c r="M63" s="24"/>
      <c r="N63" s="19"/>
      <c r="O63" s="19"/>
      <c r="P63" s="23"/>
      <c r="Q63" s="18"/>
      <c r="R63" s="18"/>
      <c r="S63" s="18"/>
      <c r="T63" s="18"/>
      <c r="U63" s="25"/>
      <c r="V63" s="25"/>
      <c r="W63" s="26"/>
      <c r="X63" s="23"/>
      <c r="Y63" s="25"/>
      <c r="Z63" s="25"/>
      <c r="AA63" s="27"/>
      <c r="AB63" s="25"/>
      <c r="AC63" s="21"/>
      <c r="AD63" s="18"/>
      <c r="AE63" s="25"/>
      <c r="AG63" s="18"/>
      <c r="AH63" s="18"/>
      <c r="AI63" s="18"/>
      <c r="AJ63" s="21"/>
      <c r="AK63" s="19"/>
      <c r="AL63" s="28"/>
      <c r="AM63" s="19"/>
      <c r="AN63" s="28"/>
      <c r="AO63" s="23"/>
      <c r="AP63" s="27"/>
      <c r="AQ63" s="23"/>
      <c r="AR63" s="21"/>
    </row>
    <row r="64" spans="1:44" x14ac:dyDescent="0.15">
      <c r="A64" s="2"/>
      <c r="B64" s="2"/>
      <c r="C64" s="10"/>
      <c r="D64" s="6"/>
      <c r="E64" s="10"/>
      <c r="F64" s="8"/>
      <c r="G64" s="8"/>
      <c r="H64" s="2"/>
      <c r="I64" s="13"/>
      <c r="J64" s="10"/>
      <c r="K64" s="5"/>
      <c r="L64" s="8"/>
      <c r="M64" s="16"/>
      <c r="N64" s="10"/>
      <c r="O64" s="10"/>
      <c r="P64" s="5"/>
      <c r="Q64" s="2"/>
      <c r="R64" s="2"/>
      <c r="S64" s="2"/>
      <c r="T64" s="2"/>
      <c r="U64" s="7"/>
      <c r="V64" s="7"/>
      <c r="W64" s="17"/>
      <c r="X64" s="5"/>
      <c r="Y64" s="7"/>
      <c r="Z64" s="7"/>
      <c r="AA64" s="11"/>
      <c r="AB64" s="7"/>
      <c r="AC64" s="8"/>
      <c r="AD64" s="2"/>
      <c r="AE64" s="7"/>
      <c r="AG64" s="2"/>
      <c r="AH64" s="2"/>
      <c r="AI64" s="2"/>
      <c r="AJ64" s="8"/>
      <c r="AK64" s="10"/>
      <c r="AL64" s="12"/>
      <c r="AM64" s="10"/>
      <c r="AN64" s="12"/>
      <c r="AO64" s="5"/>
      <c r="AP64" s="11"/>
      <c r="AQ64" s="5"/>
      <c r="AR64" s="8"/>
    </row>
    <row r="65" spans="1:44" x14ac:dyDescent="0.15">
      <c r="A65" s="2"/>
      <c r="B65" s="2"/>
      <c r="C65" s="10"/>
      <c r="D65" s="6"/>
      <c r="E65" s="10"/>
      <c r="F65" s="8"/>
      <c r="G65" s="8"/>
      <c r="H65" s="2"/>
      <c r="I65" s="13"/>
      <c r="J65" s="10"/>
      <c r="K65" s="5"/>
      <c r="L65" s="8"/>
      <c r="M65" s="16"/>
      <c r="N65" s="10"/>
      <c r="O65" s="10"/>
      <c r="P65" s="5"/>
      <c r="Q65" s="2"/>
      <c r="R65" s="2"/>
      <c r="S65" s="2"/>
      <c r="T65" s="2"/>
      <c r="U65" s="7"/>
      <c r="V65" s="7"/>
      <c r="W65" s="17"/>
      <c r="X65" s="5"/>
      <c r="Y65" s="7"/>
      <c r="Z65" s="7"/>
      <c r="AA65" s="11"/>
      <c r="AB65" s="7"/>
      <c r="AC65" s="8"/>
      <c r="AD65" s="2"/>
      <c r="AE65" s="7"/>
      <c r="AG65" s="2"/>
      <c r="AH65" s="2"/>
      <c r="AI65" s="2"/>
      <c r="AJ65" s="8"/>
      <c r="AK65" s="10"/>
      <c r="AL65" s="12"/>
      <c r="AM65" s="10"/>
      <c r="AN65" s="12"/>
      <c r="AO65" s="5"/>
      <c r="AP65" s="11"/>
      <c r="AQ65" s="5"/>
      <c r="AR65" s="8"/>
    </row>
    <row r="66" spans="1:44" x14ac:dyDescent="0.15">
      <c r="A66" s="2"/>
      <c r="B66" s="2"/>
      <c r="C66" s="10"/>
      <c r="D66" s="6"/>
      <c r="E66" s="10"/>
      <c r="F66" s="8"/>
      <c r="G66" s="8"/>
      <c r="H66" s="2"/>
      <c r="I66" s="13"/>
      <c r="J66" s="10"/>
      <c r="K66" s="5"/>
      <c r="L66" s="8"/>
      <c r="M66" s="16"/>
      <c r="N66" s="10"/>
      <c r="O66" s="10"/>
      <c r="P66" s="5"/>
      <c r="Q66" s="2"/>
      <c r="R66" s="2"/>
      <c r="S66" s="2"/>
      <c r="T66" s="2"/>
      <c r="U66" s="7"/>
      <c r="V66" s="7"/>
      <c r="W66" s="17"/>
      <c r="X66" s="5"/>
      <c r="Y66" s="7"/>
      <c r="Z66" s="7"/>
      <c r="AA66" s="11"/>
      <c r="AB66" s="7"/>
      <c r="AC66" s="8"/>
      <c r="AD66" s="2"/>
      <c r="AE66" s="7"/>
      <c r="AG66" s="2"/>
      <c r="AH66" s="2"/>
      <c r="AI66" s="2"/>
      <c r="AJ66" s="8"/>
      <c r="AK66" s="10"/>
      <c r="AL66" s="12"/>
      <c r="AM66" s="10"/>
      <c r="AN66" s="12"/>
      <c r="AO66" s="5"/>
      <c r="AP66" s="11"/>
      <c r="AQ66" s="5"/>
      <c r="AR66" s="8"/>
    </row>
    <row r="67" spans="1:44" x14ac:dyDescent="0.15">
      <c r="A67" s="2"/>
      <c r="B67" s="2"/>
      <c r="C67" s="10"/>
      <c r="D67" s="6"/>
      <c r="E67" s="10"/>
      <c r="F67" s="8"/>
      <c r="G67" s="8"/>
      <c r="H67" s="2"/>
      <c r="I67" s="13"/>
      <c r="J67" s="10"/>
      <c r="K67" s="5"/>
      <c r="L67" s="8"/>
      <c r="M67" s="16"/>
      <c r="N67" s="10"/>
      <c r="O67" s="10"/>
      <c r="P67" s="5"/>
      <c r="Q67" s="2"/>
      <c r="R67" s="2"/>
      <c r="S67" s="2"/>
      <c r="T67" s="2"/>
      <c r="U67" s="7"/>
      <c r="V67" s="7"/>
      <c r="W67" s="17"/>
      <c r="X67" s="5"/>
      <c r="Y67" s="7"/>
      <c r="Z67" s="7"/>
      <c r="AA67" s="11"/>
      <c r="AB67" s="7"/>
      <c r="AC67" s="8"/>
      <c r="AD67" s="2"/>
      <c r="AE67" s="7"/>
      <c r="AG67" s="2"/>
      <c r="AH67" s="2"/>
      <c r="AI67" s="2"/>
      <c r="AJ67" s="8"/>
      <c r="AK67" s="10"/>
      <c r="AL67" s="12"/>
      <c r="AM67" s="10"/>
      <c r="AN67" s="12"/>
      <c r="AO67" s="5"/>
      <c r="AP67" s="11"/>
      <c r="AQ67" s="5"/>
      <c r="AR67" s="8"/>
    </row>
    <row r="68" spans="1:44" x14ac:dyDescent="0.15">
      <c r="A68" s="2"/>
      <c r="B68" s="2"/>
      <c r="C68" s="10"/>
      <c r="D68" s="6"/>
      <c r="E68" s="10"/>
      <c r="F68" s="8"/>
      <c r="G68" s="8"/>
      <c r="H68" s="2"/>
      <c r="I68" s="13"/>
      <c r="J68" s="10"/>
      <c r="K68" s="5"/>
      <c r="L68" s="8"/>
      <c r="M68" s="16"/>
      <c r="N68" s="10"/>
      <c r="O68" s="10"/>
      <c r="P68" s="5"/>
      <c r="Q68" s="2"/>
      <c r="R68" s="2"/>
      <c r="S68" s="2"/>
      <c r="T68" s="2"/>
      <c r="U68" s="7"/>
      <c r="V68" s="7"/>
      <c r="W68" s="17"/>
      <c r="X68" s="5"/>
      <c r="Y68" s="7"/>
      <c r="Z68" s="7"/>
      <c r="AA68" s="11"/>
      <c r="AB68" s="7"/>
      <c r="AC68" s="8"/>
      <c r="AD68" s="2"/>
      <c r="AE68" s="7"/>
      <c r="AG68" s="2"/>
      <c r="AH68" s="2"/>
      <c r="AI68" s="2"/>
      <c r="AJ68" s="8"/>
      <c r="AK68" s="10"/>
      <c r="AL68" s="12"/>
      <c r="AM68" s="10"/>
      <c r="AN68" s="12"/>
      <c r="AO68" s="5"/>
      <c r="AP68" s="11"/>
      <c r="AQ68" s="5"/>
      <c r="AR68" s="8"/>
    </row>
    <row r="69" spans="1:44" x14ac:dyDescent="0.15">
      <c r="A69" s="2"/>
      <c r="B69" s="2"/>
      <c r="C69" s="10"/>
      <c r="D69" s="6"/>
      <c r="E69" s="10"/>
      <c r="F69" s="8"/>
      <c r="G69" s="8"/>
      <c r="H69" s="2"/>
      <c r="I69" s="13"/>
      <c r="J69" s="10"/>
      <c r="K69" s="5"/>
      <c r="L69" s="8"/>
      <c r="M69" s="16"/>
      <c r="N69" s="10"/>
      <c r="O69" s="10"/>
      <c r="P69" s="5"/>
      <c r="Q69" s="2"/>
      <c r="R69" s="2"/>
      <c r="S69" s="2"/>
      <c r="T69" s="2"/>
      <c r="U69" s="7"/>
      <c r="V69" s="7"/>
      <c r="W69" s="17"/>
      <c r="X69" s="5"/>
      <c r="Y69" s="7"/>
      <c r="Z69" s="7"/>
      <c r="AA69" s="11"/>
      <c r="AB69" s="7"/>
      <c r="AC69" s="8"/>
      <c r="AD69" s="2"/>
      <c r="AE69" s="7"/>
      <c r="AG69" s="2"/>
      <c r="AH69" s="2"/>
      <c r="AI69" s="2"/>
      <c r="AJ69" s="8"/>
      <c r="AK69" s="10"/>
      <c r="AL69" s="12"/>
      <c r="AM69" s="10"/>
      <c r="AN69" s="12"/>
      <c r="AO69" s="5"/>
      <c r="AP69" s="11"/>
      <c r="AQ69" s="5"/>
      <c r="AR69" s="8"/>
    </row>
    <row r="70" spans="1:44" x14ac:dyDescent="0.15">
      <c r="A70" s="2"/>
      <c r="B70" s="2"/>
      <c r="C70" s="10"/>
      <c r="D70" s="6"/>
      <c r="E70" s="10"/>
      <c r="F70" s="8"/>
      <c r="G70" s="8"/>
      <c r="H70" s="2"/>
      <c r="I70" s="13"/>
      <c r="J70" s="10"/>
      <c r="K70" s="5"/>
      <c r="L70" s="8"/>
      <c r="M70" s="16"/>
      <c r="N70" s="10"/>
      <c r="O70" s="10"/>
      <c r="P70" s="5"/>
      <c r="Q70" s="2"/>
      <c r="R70" s="2"/>
      <c r="S70" s="2"/>
      <c r="T70" s="2"/>
      <c r="U70" s="7"/>
      <c r="V70" s="7"/>
      <c r="W70" s="17"/>
      <c r="X70" s="5"/>
      <c r="Y70" s="7"/>
      <c r="Z70" s="7"/>
      <c r="AA70" s="11"/>
      <c r="AB70" s="7"/>
      <c r="AC70" s="8"/>
      <c r="AD70" s="2"/>
      <c r="AE70" s="7"/>
      <c r="AG70" s="2"/>
      <c r="AH70" s="2"/>
      <c r="AI70" s="2"/>
      <c r="AJ70" s="8"/>
      <c r="AK70" s="10"/>
      <c r="AL70" s="12"/>
      <c r="AM70" s="10"/>
      <c r="AN70" s="12"/>
      <c r="AO70" s="5"/>
      <c r="AP70" s="11"/>
      <c r="AQ70" s="5"/>
      <c r="AR70" s="8"/>
    </row>
    <row r="71" spans="1:44" x14ac:dyDescent="0.15">
      <c r="A71" s="2"/>
      <c r="B71" s="2"/>
      <c r="C71" s="10"/>
      <c r="D71" s="6"/>
      <c r="E71" s="10"/>
      <c r="F71" s="8"/>
      <c r="G71" s="8"/>
      <c r="H71" s="2"/>
      <c r="I71" s="13"/>
      <c r="J71" s="10"/>
      <c r="K71" s="5"/>
      <c r="L71" s="8"/>
      <c r="M71" s="16"/>
      <c r="N71" s="10"/>
      <c r="O71" s="10"/>
      <c r="P71" s="5"/>
      <c r="Q71" s="2"/>
      <c r="R71" s="2"/>
      <c r="S71" s="2"/>
      <c r="T71" s="2"/>
      <c r="U71" s="7"/>
      <c r="V71" s="7"/>
      <c r="W71" s="17"/>
      <c r="X71" s="5"/>
      <c r="Y71" s="7"/>
      <c r="Z71" s="7"/>
      <c r="AA71" s="11"/>
      <c r="AB71" s="7"/>
      <c r="AC71" s="8"/>
      <c r="AD71" s="2"/>
      <c r="AE71" s="7"/>
      <c r="AG71" s="2"/>
      <c r="AH71" s="2"/>
      <c r="AI71" s="2"/>
      <c r="AJ71" s="8"/>
      <c r="AK71" s="10"/>
      <c r="AL71" s="12"/>
      <c r="AM71" s="10"/>
      <c r="AN71" s="12"/>
      <c r="AO71" s="5"/>
      <c r="AP71" s="11"/>
      <c r="AQ71" s="5"/>
      <c r="AR71" s="8"/>
    </row>
    <row r="72" spans="1:44" x14ac:dyDescent="0.15">
      <c r="A72" s="2"/>
      <c r="B72" s="2"/>
      <c r="C72" s="10"/>
      <c r="D72" s="6"/>
      <c r="E72" s="10"/>
      <c r="F72" s="8"/>
      <c r="G72" s="8"/>
      <c r="H72" s="2"/>
      <c r="I72" s="13"/>
      <c r="J72" s="10"/>
      <c r="K72" s="5"/>
      <c r="L72" s="8"/>
      <c r="M72" s="16"/>
      <c r="N72" s="10"/>
      <c r="O72" s="10"/>
      <c r="P72" s="5"/>
      <c r="Q72" s="2"/>
      <c r="R72" s="2"/>
      <c r="S72" s="2"/>
      <c r="T72" s="2"/>
      <c r="U72" s="7"/>
      <c r="V72" s="7"/>
      <c r="W72" s="17"/>
      <c r="X72" s="5"/>
      <c r="Y72" s="7"/>
      <c r="Z72" s="7"/>
      <c r="AA72" s="11"/>
      <c r="AB72" s="7"/>
      <c r="AC72" s="8"/>
      <c r="AD72" s="2"/>
      <c r="AE72" s="7"/>
      <c r="AG72" s="2"/>
      <c r="AH72" s="2"/>
      <c r="AI72" s="2"/>
      <c r="AJ72" s="8"/>
      <c r="AK72" s="10"/>
      <c r="AL72" s="12"/>
      <c r="AM72" s="10"/>
      <c r="AN72" s="12"/>
      <c r="AO72" s="5"/>
      <c r="AP72" s="11"/>
      <c r="AQ72" s="5"/>
      <c r="AR72" s="8"/>
    </row>
    <row r="73" spans="1:44" s="15" customFormat="1" x14ac:dyDescent="0.15">
      <c r="A73" s="18"/>
      <c r="B73" s="18"/>
      <c r="C73" s="19"/>
      <c r="D73" s="20"/>
      <c r="E73" s="19"/>
      <c r="F73" s="21"/>
      <c r="G73" s="21"/>
      <c r="H73" s="18"/>
      <c r="I73" s="22"/>
      <c r="J73" s="19"/>
      <c r="K73" s="23"/>
      <c r="L73" s="21"/>
      <c r="M73" s="24"/>
      <c r="N73" s="19"/>
      <c r="O73" s="19"/>
      <c r="P73" s="23"/>
      <c r="Q73" s="18"/>
      <c r="R73" s="18"/>
      <c r="S73" s="18"/>
      <c r="T73" s="18"/>
      <c r="U73" s="25"/>
      <c r="V73" s="25"/>
      <c r="W73" s="26"/>
      <c r="X73" s="23"/>
      <c r="Y73" s="25"/>
      <c r="Z73" s="25"/>
      <c r="AA73" s="27"/>
      <c r="AB73" s="25"/>
      <c r="AC73" s="21"/>
      <c r="AD73" s="18"/>
      <c r="AE73" s="25"/>
      <c r="AG73" s="18"/>
      <c r="AH73" s="18"/>
      <c r="AI73" s="18"/>
      <c r="AJ73" s="21"/>
      <c r="AK73" s="19"/>
      <c r="AL73" s="28"/>
      <c r="AM73" s="19"/>
      <c r="AN73" s="28"/>
      <c r="AO73" s="23"/>
      <c r="AP73" s="27"/>
      <c r="AQ73" s="23"/>
      <c r="AR73" s="21"/>
    </row>
    <row r="74" spans="1:44" x14ac:dyDescent="0.15">
      <c r="A74" s="2"/>
      <c r="B74" s="2"/>
      <c r="C74" s="10"/>
      <c r="D74" s="6"/>
      <c r="E74" s="10"/>
      <c r="F74" s="8"/>
      <c r="G74" s="8"/>
      <c r="H74" s="2"/>
      <c r="I74" s="13"/>
      <c r="J74" s="10"/>
      <c r="K74" s="5"/>
      <c r="L74" s="8"/>
      <c r="M74" s="16"/>
      <c r="N74" s="10"/>
      <c r="O74" s="10"/>
      <c r="P74" s="5"/>
      <c r="Q74" s="2"/>
      <c r="R74" s="2"/>
      <c r="S74" s="2"/>
      <c r="T74" s="2"/>
      <c r="U74" s="7"/>
      <c r="V74" s="7"/>
      <c r="W74" s="17"/>
      <c r="X74" s="5"/>
      <c r="Y74" s="7"/>
      <c r="Z74" s="7"/>
      <c r="AA74" s="11"/>
      <c r="AB74" s="7"/>
      <c r="AC74" s="8"/>
      <c r="AD74" s="2"/>
      <c r="AE74" s="7"/>
      <c r="AG74" s="2"/>
      <c r="AH74" s="2"/>
      <c r="AI74" s="2"/>
      <c r="AJ74" s="8"/>
      <c r="AK74" s="10"/>
      <c r="AL74" s="12"/>
      <c r="AM74" s="10"/>
      <c r="AN74" s="12"/>
      <c r="AO74" s="5"/>
      <c r="AP74" s="11"/>
      <c r="AQ74" s="5"/>
      <c r="AR74" s="8"/>
    </row>
    <row r="75" spans="1:44" s="15" customFormat="1" x14ac:dyDescent="0.15">
      <c r="A75" s="18"/>
      <c r="B75" s="18"/>
      <c r="C75" s="19"/>
      <c r="D75" s="20"/>
      <c r="E75" s="19"/>
      <c r="F75" s="21"/>
      <c r="G75" s="21"/>
      <c r="H75" s="18"/>
      <c r="I75" s="22"/>
      <c r="J75" s="19"/>
      <c r="K75" s="23"/>
      <c r="L75" s="21"/>
      <c r="M75" s="24"/>
      <c r="N75" s="19"/>
      <c r="O75" s="19"/>
      <c r="P75" s="23"/>
      <c r="Q75" s="18"/>
      <c r="R75" s="18"/>
      <c r="S75" s="18"/>
      <c r="T75" s="18"/>
      <c r="U75" s="25"/>
      <c r="V75" s="25"/>
      <c r="W75" s="26"/>
      <c r="X75" s="23"/>
      <c r="Y75" s="25"/>
      <c r="Z75" s="25"/>
      <c r="AA75" s="27"/>
      <c r="AB75" s="25"/>
      <c r="AC75" s="21"/>
      <c r="AD75" s="18"/>
      <c r="AE75" s="25"/>
      <c r="AG75" s="18"/>
      <c r="AH75" s="18"/>
      <c r="AI75" s="18"/>
      <c r="AJ75" s="21"/>
      <c r="AK75" s="19"/>
      <c r="AL75" s="28"/>
      <c r="AM75" s="19"/>
      <c r="AN75" s="28"/>
      <c r="AO75" s="23"/>
      <c r="AP75" s="27"/>
      <c r="AQ75" s="23"/>
      <c r="AR75" s="21"/>
    </row>
    <row r="76" spans="1:44" x14ac:dyDescent="0.15">
      <c r="A76" s="2"/>
      <c r="B76" s="2"/>
      <c r="C76" s="10"/>
      <c r="D76" s="6"/>
      <c r="E76" s="10"/>
      <c r="F76" s="8"/>
      <c r="G76" s="8"/>
      <c r="H76" s="2"/>
      <c r="I76" s="13"/>
      <c r="J76" s="10"/>
      <c r="K76" s="5"/>
      <c r="L76" s="8"/>
      <c r="M76" s="16"/>
      <c r="N76" s="10"/>
      <c r="O76" s="10"/>
      <c r="P76" s="5"/>
      <c r="Q76" s="2"/>
      <c r="R76" s="2"/>
      <c r="S76" s="2"/>
      <c r="T76" s="2"/>
      <c r="U76" s="7"/>
      <c r="V76" s="7"/>
      <c r="W76" s="17"/>
      <c r="X76" s="5"/>
      <c r="Y76" s="7"/>
      <c r="Z76" s="7"/>
      <c r="AA76" s="11"/>
      <c r="AB76" s="7"/>
      <c r="AC76" s="8"/>
      <c r="AD76" s="2"/>
      <c r="AE76" s="7"/>
      <c r="AG76" s="2"/>
      <c r="AH76" s="2"/>
      <c r="AI76" s="2"/>
      <c r="AJ76" s="8"/>
      <c r="AK76" s="10"/>
      <c r="AL76" s="12"/>
      <c r="AM76" s="10"/>
      <c r="AN76" s="12"/>
      <c r="AO76" s="5"/>
      <c r="AP76" s="11"/>
      <c r="AQ76" s="5"/>
      <c r="AR76" s="8"/>
    </row>
    <row r="77" spans="1:44" x14ac:dyDescent="0.15">
      <c r="A77" s="2"/>
      <c r="B77" s="2"/>
      <c r="C77" s="10"/>
      <c r="D77" s="6"/>
      <c r="E77" s="10"/>
      <c r="F77" s="8"/>
      <c r="G77" s="8"/>
      <c r="H77" s="2"/>
      <c r="I77" s="13"/>
      <c r="J77" s="10"/>
      <c r="K77" s="5"/>
      <c r="L77" s="8"/>
      <c r="M77" s="16"/>
      <c r="N77" s="10"/>
      <c r="O77" s="10"/>
      <c r="P77" s="5"/>
      <c r="Q77" s="2"/>
      <c r="R77" s="2"/>
      <c r="S77" s="2"/>
      <c r="T77" s="2"/>
      <c r="U77" s="7"/>
      <c r="V77" s="7"/>
      <c r="W77" s="17"/>
      <c r="X77" s="5"/>
      <c r="Y77" s="7"/>
      <c r="Z77" s="7"/>
      <c r="AA77" s="11"/>
      <c r="AB77" s="7"/>
      <c r="AC77" s="8"/>
      <c r="AD77" s="2"/>
      <c r="AE77" s="7"/>
      <c r="AG77" s="2"/>
      <c r="AH77" s="2"/>
      <c r="AI77" s="2"/>
      <c r="AJ77" s="8"/>
      <c r="AK77" s="10"/>
      <c r="AL77" s="12"/>
      <c r="AM77" s="10"/>
      <c r="AN77" s="12"/>
      <c r="AO77" s="5"/>
      <c r="AP77" s="11"/>
      <c r="AQ77" s="5"/>
      <c r="AR77" s="8"/>
    </row>
    <row r="78" spans="1:44" s="15" customFormat="1" x14ac:dyDescent="0.15">
      <c r="A78" s="18"/>
      <c r="B78" s="18"/>
      <c r="C78" s="19"/>
      <c r="D78" s="20"/>
      <c r="E78" s="19"/>
      <c r="F78" s="21"/>
      <c r="G78" s="21"/>
      <c r="H78" s="18"/>
      <c r="I78" s="22"/>
      <c r="J78" s="19"/>
      <c r="K78" s="23"/>
      <c r="L78" s="21"/>
      <c r="M78" s="24"/>
      <c r="N78" s="19"/>
      <c r="O78" s="19"/>
      <c r="P78" s="23"/>
      <c r="Q78" s="18"/>
      <c r="R78" s="18"/>
      <c r="S78" s="18"/>
      <c r="T78" s="18"/>
      <c r="U78" s="25"/>
      <c r="V78" s="25"/>
      <c r="W78" s="26"/>
      <c r="X78" s="23"/>
      <c r="Y78" s="25"/>
      <c r="Z78" s="25"/>
      <c r="AA78" s="27"/>
      <c r="AB78" s="25"/>
      <c r="AC78" s="21"/>
      <c r="AD78" s="18"/>
      <c r="AE78" s="25"/>
      <c r="AG78" s="18"/>
      <c r="AH78" s="18"/>
      <c r="AI78" s="18"/>
      <c r="AJ78" s="21"/>
      <c r="AK78" s="19"/>
      <c r="AL78" s="28"/>
      <c r="AM78" s="19"/>
      <c r="AN78" s="28"/>
      <c r="AO78" s="23"/>
      <c r="AP78" s="27"/>
      <c r="AQ78" s="23"/>
      <c r="AR78" s="21"/>
    </row>
    <row r="79" spans="1:44" x14ac:dyDescent="0.15">
      <c r="A79" s="2"/>
      <c r="B79" s="2"/>
      <c r="C79" s="10"/>
      <c r="D79" s="6"/>
      <c r="E79" s="10"/>
      <c r="F79" s="8"/>
      <c r="G79" s="8"/>
      <c r="H79" s="2"/>
      <c r="I79" s="13"/>
      <c r="J79" s="10"/>
      <c r="K79" s="5"/>
      <c r="L79" s="8"/>
      <c r="M79" s="16"/>
      <c r="N79" s="10"/>
      <c r="O79" s="10"/>
      <c r="P79" s="5"/>
      <c r="Q79" s="2"/>
      <c r="R79" s="2"/>
      <c r="S79" s="2"/>
      <c r="T79" s="2"/>
      <c r="U79" s="7"/>
      <c r="V79" s="7"/>
      <c r="W79" s="17"/>
      <c r="X79" s="5"/>
      <c r="Y79" s="7"/>
      <c r="Z79" s="7"/>
      <c r="AA79" s="11"/>
      <c r="AB79" s="7"/>
      <c r="AC79" s="8"/>
      <c r="AD79" s="2"/>
      <c r="AE79" s="7"/>
      <c r="AG79" s="2"/>
      <c r="AH79" s="2"/>
      <c r="AI79" s="2"/>
      <c r="AJ79" s="8"/>
      <c r="AK79" s="10"/>
      <c r="AL79" s="12"/>
      <c r="AM79" s="10"/>
      <c r="AN79" s="12"/>
      <c r="AO79" s="5"/>
      <c r="AP79" s="11"/>
      <c r="AQ79" s="5"/>
      <c r="AR79" s="8"/>
    </row>
    <row r="80" spans="1:44" x14ac:dyDescent="0.15">
      <c r="A80" s="2"/>
      <c r="B80" s="2"/>
      <c r="C80" s="10"/>
      <c r="D80" s="6"/>
      <c r="E80" s="10"/>
      <c r="F80" s="8"/>
      <c r="G80" s="8"/>
      <c r="H80" s="2"/>
      <c r="I80" s="13"/>
      <c r="J80" s="10"/>
      <c r="K80" s="5"/>
      <c r="L80" s="8"/>
      <c r="M80" s="16"/>
      <c r="N80" s="10"/>
      <c r="O80" s="10"/>
      <c r="P80" s="5"/>
      <c r="Q80" s="2"/>
      <c r="R80" s="2"/>
      <c r="S80" s="2"/>
      <c r="T80" s="2"/>
      <c r="U80" s="7"/>
      <c r="V80" s="7"/>
      <c r="W80" s="17"/>
      <c r="X80" s="5"/>
      <c r="Y80" s="7"/>
      <c r="Z80" s="7"/>
      <c r="AA80" s="11"/>
      <c r="AB80" s="7"/>
      <c r="AC80" s="8"/>
      <c r="AD80" s="2"/>
      <c r="AE80" s="7"/>
      <c r="AG80" s="2"/>
      <c r="AH80" s="2"/>
      <c r="AI80" s="2"/>
      <c r="AJ80" s="8"/>
      <c r="AK80" s="10"/>
      <c r="AL80" s="12"/>
      <c r="AM80" s="10"/>
      <c r="AN80" s="12"/>
      <c r="AO80" s="5"/>
      <c r="AP80" s="11"/>
      <c r="AQ80" s="5"/>
      <c r="AR80" s="8"/>
    </row>
    <row r="81" spans="1:44" x14ac:dyDescent="0.15">
      <c r="A81" s="2"/>
      <c r="B81" s="2"/>
      <c r="C81" s="10"/>
      <c r="D81" s="6"/>
      <c r="E81" s="10"/>
      <c r="F81" s="8"/>
      <c r="G81" s="8"/>
      <c r="H81" s="2"/>
      <c r="I81" s="13"/>
      <c r="J81" s="10"/>
      <c r="K81" s="5"/>
      <c r="L81" s="8"/>
      <c r="M81" s="16"/>
      <c r="N81" s="10"/>
      <c r="O81" s="10"/>
      <c r="P81" s="5"/>
      <c r="Q81" s="2"/>
      <c r="R81" s="2"/>
      <c r="S81" s="2"/>
      <c r="T81" s="2"/>
      <c r="U81" s="7"/>
      <c r="V81" s="7"/>
      <c r="W81" s="17"/>
      <c r="X81" s="5"/>
      <c r="Y81" s="7"/>
      <c r="Z81" s="7"/>
      <c r="AA81" s="11"/>
      <c r="AB81" s="7"/>
      <c r="AC81" s="8"/>
      <c r="AD81" s="2"/>
      <c r="AE81" s="7"/>
      <c r="AG81" s="2"/>
      <c r="AH81" s="2"/>
      <c r="AI81" s="2"/>
      <c r="AJ81" s="8"/>
      <c r="AK81" s="10"/>
      <c r="AL81" s="12"/>
      <c r="AM81" s="10"/>
      <c r="AN81" s="12"/>
      <c r="AO81" s="5"/>
      <c r="AP81" s="11"/>
      <c r="AQ81" s="5"/>
      <c r="AR81" s="8"/>
    </row>
    <row r="82" spans="1:44" s="15" customFormat="1" x14ac:dyDescent="0.15">
      <c r="A82" s="18"/>
      <c r="B82" s="18"/>
      <c r="C82" s="19"/>
      <c r="D82" s="20"/>
      <c r="E82" s="19"/>
      <c r="F82" s="21"/>
      <c r="G82" s="21"/>
      <c r="H82" s="18"/>
      <c r="I82" s="22"/>
      <c r="J82" s="19"/>
      <c r="K82" s="23"/>
      <c r="L82" s="21"/>
      <c r="M82" s="24"/>
      <c r="N82" s="19"/>
      <c r="O82" s="19"/>
      <c r="P82" s="23"/>
      <c r="Q82" s="18"/>
      <c r="R82" s="18"/>
      <c r="S82" s="18"/>
      <c r="T82" s="18"/>
      <c r="U82" s="25"/>
      <c r="V82" s="25"/>
      <c r="W82" s="26"/>
      <c r="X82" s="23"/>
      <c r="Y82" s="25"/>
      <c r="Z82" s="25"/>
      <c r="AA82" s="27"/>
      <c r="AB82" s="25"/>
      <c r="AC82" s="21"/>
      <c r="AD82" s="18"/>
      <c r="AE82" s="25"/>
      <c r="AG82" s="18"/>
      <c r="AH82" s="18"/>
      <c r="AI82" s="18"/>
      <c r="AJ82" s="21"/>
      <c r="AK82" s="19"/>
      <c r="AL82" s="28"/>
      <c r="AM82" s="19"/>
      <c r="AN82" s="28"/>
      <c r="AO82" s="23"/>
      <c r="AP82" s="27"/>
      <c r="AQ82" s="23"/>
      <c r="AR82" s="21"/>
    </row>
    <row r="83" spans="1:44" s="15" customFormat="1" x14ac:dyDescent="0.15">
      <c r="A83" s="18"/>
      <c r="B83" s="18"/>
      <c r="C83" s="19"/>
      <c r="D83" s="20"/>
      <c r="E83" s="19"/>
      <c r="F83" s="21"/>
      <c r="G83" s="21"/>
      <c r="H83" s="18"/>
      <c r="I83" s="22"/>
      <c r="J83" s="19"/>
      <c r="K83" s="23"/>
      <c r="L83" s="21"/>
      <c r="M83" s="24"/>
      <c r="N83" s="19"/>
      <c r="O83" s="19"/>
      <c r="P83" s="23"/>
      <c r="Q83" s="18"/>
      <c r="R83" s="18"/>
      <c r="S83" s="18"/>
      <c r="T83" s="18"/>
      <c r="U83" s="25"/>
      <c r="V83" s="25"/>
      <c r="W83" s="26"/>
      <c r="X83" s="23"/>
      <c r="Y83" s="25"/>
      <c r="Z83" s="25"/>
      <c r="AA83" s="27"/>
      <c r="AB83" s="25"/>
      <c r="AC83" s="21"/>
      <c r="AD83" s="18"/>
      <c r="AE83" s="25"/>
      <c r="AG83" s="18"/>
      <c r="AH83" s="18"/>
      <c r="AI83" s="18"/>
      <c r="AJ83" s="21"/>
      <c r="AK83" s="19"/>
      <c r="AL83" s="28"/>
      <c r="AM83" s="19"/>
      <c r="AN83" s="28"/>
      <c r="AO83" s="23"/>
      <c r="AP83" s="27"/>
      <c r="AQ83" s="23"/>
      <c r="AR83" s="21"/>
    </row>
    <row r="84" spans="1:44" s="15" customFormat="1" x14ac:dyDescent="0.15">
      <c r="A84" s="18"/>
      <c r="B84" s="18"/>
      <c r="C84" s="19"/>
      <c r="D84" s="20"/>
      <c r="E84" s="19"/>
      <c r="F84" s="21"/>
      <c r="G84" s="21"/>
      <c r="H84" s="18"/>
      <c r="I84" s="22"/>
      <c r="J84" s="19"/>
      <c r="K84" s="23"/>
      <c r="L84" s="21"/>
      <c r="M84" s="24"/>
      <c r="N84" s="19"/>
      <c r="O84" s="19"/>
      <c r="P84" s="23"/>
      <c r="Q84" s="18"/>
      <c r="R84" s="18"/>
      <c r="S84" s="18"/>
      <c r="T84" s="18"/>
      <c r="U84" s="25"/>
      <c r="V84" s="25"/>
      <c r="W84" s="26"/>
      <c r="X84" s="23"/>
      <c r="Y84" s="25"/>
      <c r="Z84" s="25"/>
      <c r="AA84" s="27"/>
      <c r="AB84" s="25"/>
      <c r="AC84" s="21"/>
      <c r="AD84" s="18"/>
      <c r="AE84" s="25"/>
      <c r="AG84" s="18"/>
      <c r="AH84" s="18"/>
      <c r="AI84" s="18"/>
      <c r="AJ84" s="21"/>
      <c r="AK84" s="19"/>
      <c r="AL84" s="28"/>
      <c r="AM84" s="19"/>
      <c r="AN84" s="28"/>
      <c r="AO84" s="23"/>
      <c r="AP84" s="27"/>
      <c r="AQ84" s="23"/>
      <c r="AR84" s="21"/>
    </row>
    <row r="85" spans="1:44" x14ac:dyDescent="0.15">
      <c r="A85" s="2"/>
      <c r="B85" s="2"/>
      <c r="C85" s="10"/>
      <c r="D85" s="6"/>
      <c r="E85" s="10"/>
      <c r="F85" s="8"/>
      <c r="G85" s="8"/>
      <c r="H85" s="2"/>
      <c r="I85" s="13"/>
      <c r="J85" s="10"/>
      <c r="K85" s="5"/>
      <c r="L85" s="8"/>
      <c r="M85" s="16"/>
      <c r="N85" s="10"/>
      <c r="O85" s="10"/>
      <c r="P85" s="5"/>
      <c r="Q85" s="2"/>
      <c r="R85" s="2"/>
      <c r="S85" s="2"/>
      <c r="T85" s="2"/>
      <c r="U85" s="7"/>
      <c r="V85" s="7"/>
      <c r="W85" s="17"/>
      <c r="X85" s="5"/>
      <c r="Y85" s="7"/>
      <c r="Z85" s="7"/>
      <c r="AA85" s="11"/>
      <c r="AB85" s="7"/>
      <c r="AC85" s="8"/>
      <c r="AD85" s="2"/>
      <c r="AE85" s="7"/>
      <c r="AG85" s="2"/>
      <c r="AH85" s="2"/>
      <c r="AI85" s="2"/>
      <c r="AJ85" s="8"/>
      <c r="AK85" s="10"/>
      <c r="AL85" s="12"/>
      <c r="AM85" s="10"/>
      <c r="AN85" s="12"/>
      <c r="AO85" s="5"/>
      <c r="AP85" s="11"/>
      <c r="AQ85" s="5"/>
      <c r="AR85" s="8"/>
    </row>
    <row r="86" spans="1:44" s="15" customFormat="1" x14ac:dyDescent="0.15">
      <c r="A86" s="18"/>
      <c r="B86" s="18"/>
      <c r="C86" s="19"/>
      <c r="D86" s="20"/>
      <c r="E86" s="19"/>
      <c r="F86" s="21"/>
      <c r="G86" s="21"/>
      <c r="H86" s="18"/>
      <c r="I86" s="22"/>
      <c r="J86" s="19"/>
      <c r="K86" s="23"/>
      <c r="L86" s="21"/>
      <c r="M86" s="24"/>
      <c r="N86" s="19"/>
      <c r="O86" s="19"/>
      <c r="P86" s="23"/>
      <c r="Q86" s="18"/>
      <c r="R86" s="18"/>
      <c r="S86" s="18"/>
      <c r="T86" s="18"/>
      <c r="U86" s="25"/>
      <c r="V86" s="25"/>
      <c r="W86" s="26"/>
      <c r="X86" s="23"/>
      <c r="Y86" s="25"/>
      <c r="Z86" s="25"/>
      <c r="AA86" s="27"/>
      <c r="AB86" s="25"/>
      <c r="AC86" s="21"/>
      <c r="AD86" s="18"/>
      <c r="AE86" s="25"/>
      <c r="AG86" s="18"/>
      <c r="AH86" s="18"/>
      <c r="AI86" s="18"/>
      <c r="AJ86" s="21"/>
      <c r="AK86" s="19"/>
      <c r="AL86" s="28"/>
      <c r="AM86" s="19"/>
      <c r="AN86" s="28"/>
      <c r="AO86" s="23"/>
      <c r="AP86" s="27"/>
      <c r="AQ86" s="23"/>
      <c r="AR86" s="21"/>
    </row>
    <row r="87" spans="1:44" x14ac:dyDescent="0.15">
      <c r="A87" s="2"/>
      <c r="B87" s="2"/>
      <c r="C87" s="10"/>
      <c r="D87" s="6"/>
      <c r="E87" s="10"/>
      <c r="F87" s="8"/>
      <c r="G87" s="8"/>
      <c r="H87" s="2"/>
      <c r="I87" s="13"/>
      <c r="J87" s="10"/>
      <c r="K87" s="5"/>
      <c r="L87" s="8"/>
      <c r="M87" s="16"/>
      <c r="N87" s="10"/>
      <c r="O87" s="10"/>
      <c r="P87" s="5"/>
      <c r="Q87" s="2"/>
      <c r="R87" s="2"/>
      <c r="S87" s="2"/>
      <c r="T87" s="2"/>
      <c r="U87" s="7"/>
      <c r="V87" s="7"/>
      <c r="W87" s="17"/>
      <c r="X87" s="5"/>
      <c r="Y87" s="7"/>
      <c r="Z87" s="7"/>
      <c r="AA87" s="11"/>
      <c r="AB87" s="7"/>
      <c r="AC87" s="8"/>
      <c r="AD87" s="2"/>
      <c r="AE87" s="7"/>
      <c r="AG87" s="2"/>
      <c r="AH87" s="2"/>
      <c r="AI87" s="2"/>
      <c r="AJ87" s="8"/>
      <c r="AK87" s="10"/>
      <c r="AL87" s="12"/>
      <c r="AM87" s="10"/>
      <c r="AN87" s="12"/>
      <c r="AO87" s="5"/>
      <c r="AP87" s="11"/>
      <c r="AQ87" s="5"/>
      <c r="AR87" s="8"/>
    </row>
    <row r="88" spans="1:44" x14ac:dyDescent="0.15">
      <c r="A88" s="2"/>
      <c r="B88" s="2"/>
      <c r="C88" s="10"/>
      <c r="D88" s="6"/>
      <c r="E88" s="10"/>
      <c r="F88" s="8"/>
      <c r="G88" s="8"/>
      <c r="H88" s="2"/>
      <c r="I88" s="13"/>
      <c r="J88" s="10"/>
      <c r="K88" s="5"/>
      <c r="L88" s="8"/>
      <c r="M88" s="16"/>
      <c r="N88" s="10"/>
      <c r="O88" s="10"/>
      <c r="P88" s="5"/>
      <c r="Q88" s="2"/>
      <c r="R88" s="2"/>
      <c r="S88" s="2"/>
      <c r="T88" s="2"/>
      <c r="U88" s="7"/>
      <c r="V88" s="7"/>
      <c r="W88" s="17"/>
      <c r="X88" s="5"/>
      <c r="Y88" s="7"/>
      <c r="Z88" s="7"/>
      <c r="AA88" s="11"/>
      <c r="AB88" s="7"/>
      <c r="AC88" s="8"/>
      <c r="AD88" s="2"/>
      <c r="AE88" s="7"/>
      <c r="AG88" s="2"/>
      <c r="AH88" s="2"/>
      <c r="AI88" s="2"/>
      <c r="AJ88" s="8"/>
      <c r="AK88" s="10"/>
      <c r="AL88" s="12"/>
      <c r="AM88" s="10"/>
      <c r="AN88" s="12"/>
      <c r="AO88" s="5"/>
      <c r="AP88" s="11"/>
      <c r="AQ88" s="5"/>
      <c r="AR88" s="8"/>
    </row>
    <row r="89" spans="1:44" x14ac:dyDescent="0.15">
      <c r="A89" s="2"/>
      <c r="B89" s="2"/>
      <c r="C89" s="10"/>
      <c r="D89" s="6"/>
      <c r="E89" s="10"/>
      <c r="F89" s="8"/>
      <c r="G89" s="8"/>
      <c r="H89" s="2"/>
      <c r="I89" s="13"/>
      <c r="J89" s="10"/>
      <c r="K89" s="5"/>
      <c r="L89" s="8"/>
      <c r="M89" s="16"/>
      <c r="N89" s="10"/>
      <c r="O89" s="10"/>
      <c r="P89" s="5"/>
      <c r="Q89" s="2"/>
      <c r="R89" s="2"/>
      <c r="S89" s="2"/>
      <c r="T89" s="2"/>
      <c r="U89" s="7"/>
      <c r="V89" s="7"/>
      <c r="W89" s="17"/>
      <c r="X89" s="5"/>
      <c r="Y89" s="7"/>
      <c r="Z89" s="7"/>
      <c r="AA89" s="11"/>
      <c r="AB89" s="7"/>
      <c r="AC89" s="8"/>
      <c r="AD89" s="2"/>
      <c r="AE89" s="7"/>
      <c r="AG89" s="2"/>
      <c r="AH89" s="2"/>
      <c r="AI89" s="2"/>
      <c r="AJ89" s="8"/>
      <c r="AK89" s="10"/>
      <c r="AL89" s="12"/>
      <c r="AM89" s="10"/>
      <c r="AN89" s="12"/>
      <c r="AO89" s="5"/>
      <c r="AP89" s="11"/>
      <c r="AQ89" s="5"/>
      <c r="AR89" s="8"/>
    </row>
    <row r="90" spans="1:44" x14ac:dyDescent="0.15">
      <c r="A90" s="2"/>
      <c r="B90" s="2"/>
      <c r="C90" s="10"/>
      <c r="D90" s="6"/>
      <c r="E90" s="10"/>
      <c r="F90" s="8"/>
      <c r="G90" s="8"/>
      <c r="H90" s="2"/>
      <c r="I90" s="13"/>
      <c r="J90" s="10"/>
      <c r="K90" s="5"/>
      <c r="L90" s="8"/>
      <c r="M90" s="16"/>
      <c r="N90" s="10"/>
      <c r="O90" s="10"/>
      <c r="P90" s="5"/>
      <c r="Q90" s="2"/>
      <c r="R90" s="2"/>
      <c r="S90" s="2"/>
      <c r="T90" s="2"/>
      <c r="U90" s="7"/>
      <c r="V90" s="7"/>
      <c r="W90" s="17"/>
      <c r="X90" s="5"/>
      <c r="Y90" s="7"/>
      <c r="Z90" s="7"/>
      <c r="AA90" s="11"/>
      <c r="AB90" s="7"/>
      <c r="AC90" s="8"/>
      <c r="AD90" s="2"/>
      <c r="AE90" s="7"/>
      <c r="AG90" s="2"/>
      <c r="AH90" s="2"/>
      <c r="AI90" s="2"/>
      <c r="AJ90" s="8"/>
      <c r="AK90" s="10"/>
      <c r="AL90" s="12"/>
      <c r="AM90" s="10"/>
      <c r="AN90" s="12"/>
      <c r="AO90" s="5"/>
      <c r="AP90" s="11"/>
      <c r="AQ90" s="5"/>
      <c r="AR90" s="8"/>
    </row>
    <row r="91" spans="1:44" x14ac:dyDescent="0.15">
      <c r="A91" s="2"/>
      <c r="B91" s="2"/>
      <c r="C91" s="10"/>
      <c r="D91" s="6"/>
      <c r="E91" s="10"/>
      <c r="F91" s="8"/>
      <c r="G91" s="8"/>
      <c r="H91" s="2"/>
      <c r="I91" s="13"/>
      <c r="J91" s="10"/>
      <c r="K91" s="5"/>
      <c r="L91" s="8"/>
      <c r="M91" s="16"/>
      <c r="N91" s="10"/>
      <c r="O91" s="10"/>
      <c r="P91" s="5"/>
      <c r="Q91" s="2"/>
      <c r="R91" s="2"/>
      <c r="S91" s="2"/>
      <c r="T91" s="2"/>
      <c r="U91" s="7"/>
      <c r="V91" s="7"/>
      <c r="W91" s="17"/>
      <c r="X91" s="5"/>
      <c r="Y91" s="7"/>
      <c r="Z91" s="7"/>
      <c r="AA91" s="11"/>
      <c r="AB91" s="7"/>
      <c r="AC91" s="8"/>
      <c r="AD91" s="2"/>
      <c r="AE91" s="7"/>
      <c r="AG91" s="2"/>
      <c r="AH91" s="2"/>
      <c r="AI91" s="2"/>
      <c r="AJ91" s="8"/>
      <c r="AK91" s="10"/>
      <c r="AL91" s="12"/>
      <c r="AM91" s="10"/>
      <c r="AN91" s="12"/>
      <c r="AO91" s="5"/>
      <c r="AP91" s="11"/>
      <c r="AQ91" s="5"/>
      <c r="AR91" s="8"/>
    </row>
    <row r="92" spans="1:44" x14ac:dyDescent="0.15">
      <c r="A92" s="2"/>
      <c r="B92" s="2"/>
      <c r="C92" s="10"/>
      <c r="D92" s="6"/>
      <c r="E92" s="10"/>
      <c r="F92" s="8"/>
      <c r="G92" s="8"/>
      <c r="H92" s="2"/>
      <c r="I92" s="13"/>
      <c r="J92" s="10"/>
      <c r="K92" s="5"/>
      <c r="L92" s="8"/>
      <c r="M92" s="16"/>
      <c r="N92" s="10"/>
      <c r="O92" s="10"/>
      <c r="P92" s="5"/>
      <c r="Q92" s="2"/>
      <c r="R92" s="2"/>
      <c r="S92" s="2"/>
      <c r="T92" s="2"/>
      <c r="U92" s="7"/>
      <c r="V92" s="7"/>
      <c r="W92" s="17"/>
      <c r="X92" s="5"/>
      <c r="Y92" s="7"/>
      <c r="Z92" s="7"/>
      <c r="AA92" s="11"/>
      <c r="AB92" s="7"/>
      <c r="AC92" s="8"/>
      <c r="AD92" s="2"/>
      <c r="AE92" s="7"/>
      <c r="AG92" s="2"/>
      <c r="AH92" s="2"/>
      <c r="AI92" s="2"/>
      <c r="AJ92" s="8"/>
      <c r="AK92" s="10"/>
      <c r="AL92" s="12"/>
      <c r="AM92" s="10"/>
      <c r="AN92" s="12"/>
      <c r="AO92" s="5"/>
      <c r="AP92" s="11"/>
      <c r="AQ92" s="5"/>
      <c r="AR92" s="8"/>
    </row>
    <row r="93" spans="1:44" x14ac:dyDescent="0.15">
      <c r="A93" s="2"/>
      <c r="B93" s="2"/>
      <c r="C93" s="10"/>
      <c r="D93" s="6"/>
      <c r="E93" s="10"/>
      <c r="F93" s="8"/>
      <c r="G93" s="8"/>
      <c r="H93" s="2"/>
      <c r="I93" s="13"/>
      <c r="J93" s="10"/>
      <c r="K93" s="5"/>
      <c r="L93" s="8"/>
      <c r="M93" s="16"/>
      <c r="N93" s="10"/>
      <c r="O93" s="10"/>
      <c r="P93" s="5"/>
      <c r="Q93" s="2"/>
      <c r="R93" s="2"/>
      <c r="S93" s="2"/>
      <c r="T93" s="2"/>
      <c r="U93" s="7"/>
      <c r="V93" s="7"/>
      <c r="W93" s="17"/>
      <c r="X93" s="5"/>
      <c r="Y93" s="7"/>
      <c r="Z93" s="7"/>
      <c r="AA93" s="11"/>
      <c r="AB93" s="7"/>
      <c r="AC93" s="8"/>
      <c r="AD93" s="2"/>
      <c r="AE93" s="7"/>
      <c r="AG93" s="2"/>
      <c r="AH93" s="2"/>
      <c r="AI93" s="2"/>
      <c r="AJ93" s="8"/>
      <c r="AK93" s="10"/>
      <c r="AL93" s="12"/>
      <c r="AM93" s="10"/>
      <c r="AN93" s="12"/>
      <c r="AO93" s="5"/>
      <c r="AP93" s="11"/>
      <c r="AQ93" s="5"/>
      <c r="AR93" s="8"/>
    </row>
    <row r="94" spans="1:44" x14ac:dyDescent="0.15">
      <c r="A94" s="2"/>
      <c r="B94" s="2"/>
      <c r="C94" s="10"/>
      <c r="D94" s="6"/>
      <c r="E94" s="10"/>
      <c r="F94" s="8"/>
      <c r="G94" s="8"/>
      <c r="H94" s="2"/>
      <c r="I94" s="13"/>
      <c r="J94" s="10"/>
      <c r="K94" s="5"/>
      <c r="L94" s="8"/>
      <c r="M94" s="16"/>
      <c r="N94" s="10"/>
      <c r="O94" s="10"/>
      <c r="P94" s="5"/>
      <c r="Q94" s="2"/>
      <c r="R94" s="2"/>
      <c r="S94" s="2"/>
      <c r="T94" s="2"/>
      <c r="U94" s="7"/>
      <c r="V94" s="7"/>
      <c r="W94" s="17"/>
      <c r="X94" s="5"/>
      <c r="Y94" s="7"/>
      <c r="Z94" s="7"/>
      <c r="AA94" s="11"/>
      <c r="AB94" s="7"/>
      <c r="AC94" s="8"/>
      <c r="AD94" s="2"/>
      <c r="AE94" s="7"/>
      <c r="AG94" s="2"/>
      <c r="AH94" s="2"/>
      <c r="AI94" s="2"/>
      <c r="AJ94" s="8"/>
      <c r="AK94" s="10"/>
      <c r="AL94" s="12"/>
      <c r="AM94" s="10"/>
      <c r="AN94" s="12"/>
      <c r="AO94" s="5"/>
      <c r="AP94" s="11"/>
      <c r="AQ94" s="5"/>
      <c r="AR94" s="8"/>
    </row>
    <row r="95" spans="1:44" x14ac:dyDescent="0.15">
      <c r="A95" s="2"/>
      <c r="B95" s="2"/>
      <c r="C95" s="10"/>
      <c r="D95" s="6"/>
      <c r="E95" s="10"/>
      <c r="F95" s="8"/>
      <c r="G95" s="8"/>
      <c r="H95" s="2"/>
      <c r="I95" s="13"/>
      <c r="J95" s="10"/>
      <c r="K95" s="5"/>
      <c r="L95" s="8"/>
      <c r="M95" s="16"/>
      <c r="N95" s="10"/>
      <c r="O95" s="10"/>
      <c r="P95" s="5"/>
      <c r="Q95" s="2"/>
      <c r="R95" s="2"/>
      <c r="S95" s="2"/>
      <c r="T95" s="2"/>
      <c r="U95" s="7"/>
      <c r="V95" s="7"/>
      <c r="W95" s="17"/>
      <c r="X95" s="5"/>
      <c r="Y95" s="7"/>
      <c r="Z95" s="7"/>
      <c r="AA95" s="11"/>
      <c r="AB95" s="7"/>
      <c r="AC95" s="8"/>
      <c r="AD95" s="2"/>
      <c r="AE95" s="7"/>
      <c r="AG95" s="2"/>
      <c r="AH95" s="2"/>
      <c r="AI95" s="2"/>
      <c r="AJ95" s="8"/>
      <c r="AK95" s="10"/>
      <c r="AL95" s="12"/>
      <c r="AM95" s="10"/>
      <c r="AN95" s="12"/>
      <c r="AO95" s="5"/>
      <c r="AP95" s="11"/>
      <c r="AQ95" s="5"/>
      <c r="AR95" s="8"/>
    </row>
    <row r="96" spans="1:44" x14ac:dyDescent="0.15">
      <c r="A96" s="2"/>
      <c r="B96" s="2"/>
      <c r="C96" s="10"/>
      <c r="D96" s="6"/>
      <c r="E96" s="10"/>
      <c r="F96" s="8"/>
      <c r="G96" s="8"/>
      <c r="H96" s="2"/>
      <c r="I96" s="13"/>
      <c r="J96" s="10"/>
      <c r="K96" s="5"/>
      <c r="L96" s="8"/>
      <c r="M96" s="16"/>
      <c r="N96" s="10"/>
      <c r="O96" s="10"/>
      <c r="P96" s="5"/>
      <c r="Q96" s="2"/>
      <c r="R96" s="2"/>
      <c r="S96" s="2"/>
      <c r="T96" s="2"/>
      <c r="U96" s="7"/>
      <c r="V96" s="7"/>
      <c r="W96" s="17"/>
      <c r="X96" s="5"/>
      <c r="Y96" s="7"/>
      <c r="Z96" s="7"/>
      <c r="AA96" s="11"/>
      <c r="AB96" s="7"/>
      <c r="AC96" s="8"/>
      <c r="AD96" s="2"/>
      <c r="AE96" s="7"/>
      <c r="AG96" s="2"/>
      <c r="AH96" s="2"/>
      <c r="AI96" s="2"/>
      <c r="AJ96" s="8"/>
      <c r="AK96" s="10"/>
      <c r="AL96" s="12"/>
      <c r="AM96" s="10"/>
      <c r="AN96" s="12"/>
      <c r="AO96" s="5"/>
      <c r="AP96" s="11"/>
      <c r="AQ96" s="5"/>
      <c r="AR96" s="8"/>
    </row>
    <row r="97" spans="1:44" x14ac:dyDescent="0.15">
      <c r="A97" s="2"/>
      <c r="B97" s="2"/>
      <c r="C97" s="10"/>
      <c r="D97" s="6"/>
      <c r="E97" s="10"/>
      <c r="F97" s="8"/>
      <c r="G97" s="8"/>
      <c r="H97" s="2"/>
      <c r="I97" s="13"/>
      <c r="J97" s="10"/>
      <c r="K97" s="5"/>
      <c r="L97" s="8"/>
      <c r="M97" s="16"/>
      <c r="N97" s="10"/>
      <c r="O97" s="10"/>
      <c r="P97" s="5"/>
      <c r="Q97" s="2"/>
      <c r="R97" s="2"/>
      <c r="S97" s="2"/>
      <c r="T97" s="2"/>
      <c r="U97" s="7"/>
      <c r="V97" s="7"/>
      <c r="W97" s="17"/>
      <c r="X97" s="5"/>
      <c r="Y97" s="7"/>
      <c r="Z97" s="7"/>
      <c r="AA97" s="11"/>
      <c r="AB97" s="7"/>
      <c r="AC97" s="8"/>
      <c r="AD97" s="2"/>
      <c r="AE97" s="7"/>
      <c r="AG97" s="2"/>
      <c r="AH97" s="2"/>
      <c r="AI97" s="2"/>
      <c r="AJ97" s="8"/>
      <c r="AK97" s="10"/>
      <c r="AL97" s="12"/>
      <c r="AM97" s="10"/>
      <c r="AN97" s="12"/>
      <c r="AO97" s="5"/>
      <c r="AP97" s="11"/>
      <c r="AQ97" s="5"/>
      <c r="AR97" s="8"/>
    </row>
    <row r="98" spans="1:44" x14ac:dyDescent="0.15">
      <c r="A98" s="2"/>
      <c r="B98" s="2"/>
      <c r="C98" s="10"/>
      <c r="D98" s="6"/>
      <c r="E98" s="10"/>
      <c r="F98" s="8"/>
      <c r="G98" s="8"/>
      <c r="H98" s="2"/>
      <c r="I98" s="13"/>
      <c r="J98" s="10"/>
      <c r="K98" s="5"/>
      <c r="L98" s="8"/>
      <c r="M98" s="16"/>
      <c r="N98" s="10"/>
      <c r="O98" s="10"/>
      <c r="P98" s="5"/>
      <c r="Q98" s="2"/>
      <c r="R98" s="2"/>
      <c r="S98" s="2"/>
      <c r="T98" s="2"/>
      <c r="U98" s="7"/>
      <c r="V98" s="7"/>
      <c r="W98" s="17"/>
      <c r="X98" s="5"/>
      <c r="Y98" s="7"/>
      <c r="Z98" s="7"/>
      <c r="AA98" s="11"/>
      <c r="AB98" s="7"/>
      <c r="AC98" s="8"/>
      <c r="AD98" s="2"/>
      <c r="AE98" s="7"/>
      <c r="AG98" s="2"/>
      <c r="AH98" s="2"/>
      <c r="AI98" s="2"/>
      <c r="AJ98" s="8"/>
      <c r="AK98" s="10"/>
      <c r="AL98" s="12"/>
      <c r="AM98" s="10"/>
      <c r="AN98" s="12"/>
      <c r="AO98" s="5"/>
      <c r="AP98" s="11"/>
      <c r="AQ98" s="5"/>
      <c r="AR98" s="8"/>
    </row>
    <row r="99" spans="1:44" x14ac:dyDescent="0.15">
      <c r="A99" s="2"/>
      <c r="B99" s="2"/>
      <c r="C99" s="10"/>
      <c r="D99" s="6"/>
      <c r="E99" s="10"/>
      <c r="F99" s="8"/>
      <c r="G99" s="8"/>
      <c r="H99" s="2"/>
      <c r="I99" s="13"/>
      <c r="J99" s="10"/>
      <c r="K99" s="5"/>
      <c r="L99" s="8"/>
      <c r="M99" s="16"/>
      <c r="N99" s="10"/>
      <c r="O99" s="10"/>
      <c r="P99" s="5"/>
      <c r="Q99" s="2"/>
      <c r="R99" s="2"/>
      <c r="S99" s="2"/>
      <c r="T99" s="2"/>
      <c r="U99" s="7"/>
      <c r="V99" s="7"/>
      <c r="W99" s="17"/>
      <c r="X99" s="5"/>
      <c r="Y99" s="7"/>
      <c r="Z99" s="7"/>
      <c r="AA99" s="11"/>
      <c r="AB99" s="7"/>
      <c r="AC99" s="8"/>
      <c r="AD99" s="2"/>
      <c r="AE99" s="7"/>
      <c r="AG99" s="2"/>
      <c r="AH99" s="2"/>
      <c r="AI99" s="2"/>
      <c r="AJ99" s="8"/>
      <c r="AK99" s="10"/>
      <c r="AL99" s="12"/>
      <c r="AM99" s="10"/>
      <c r="AN99" s="12"/>
      <c r="AO99" s="5"/>
      <c r="AP99" s="11"/>
      <c r="AQ99" s="5"/>
      <c r="AR99" s="8"/>
    </row>
    <row r="100" spans="1:44" x14ac:dyDescent="0.15">
      <c r="A100" s="2"/>
      <c r="B100" s="2"/>
      <c r="C100" s="10"/>
      <c r="D100" s="6"/>
      <c r="E100" s="10"/>
      <c r="F100" s="8"/>
      <c r="G100" s="8"/>
      <c r="H100" s="2"/>
      <c r="I100" s="13"/>
      <c r="J100" s="10"/>
      <c r="K100" s="5"/>
      <c r="L100" s="8"/>
      <c r="M100" s="16"/>
      <c r="N100" s="10"/>
      <c r="O100" s="10"/>
      <c r="P100" s="5"/>
      <c r="Q100" s="2"/>
      <c r="R100" s="2"/>
      <c r="S100" s="2"/>
      <c r="T100" s="2"/>
      <c r="U100" s="7"/>
      <c r="V100" s="7"/>
      <c r="W100" s="17"/>
      <c r="X100" s="5"/>
      <c r="Y100" s="7"/>
      <c r="Z100" s="7"/>
      <c r="AA100" s="11"/>
      <c r="AB100" s="7"/>
      <c r="AC100" s="8"/>
      <c r="AD100" s="2"/>
      <c r="AE100" s="7"/>
      <c r="AG100" s="2"/>
      <c r="AH100" s="2"/>
      <c r="AI100" s="2"/>
      <c r="AJ100" s="8"/>
      <c r="AK100" s="10"/>
      <c r="AL100" s="12"/>
      <c r="AM100" s="10"/>
      <c r="AN100" s="12"/>
      <c r="AO100" s="5"/>
      <c r="AP100" s="11"/>
      <c r="AQ100" s="5"/>
      <c r="AR100" s="8"/>
    </row>
    <row r="101" spans="1:44" x14ac:dyDescent="0.15">
      <c r="A101" s="2"/>
      <c r="B101" s="2"/>
      <c r="C101" s="10"/>
      <c r="D101" s="6"/>
      <c r="E101" s="10"/>
      <c r="F101" s="8"/>
      <c r="G101" s="8"/>
      <c r="H101" s="2"/>
      <c r="I101" s="13"/>
      <c r="J101" s="10"/>
      <c r="K101" s="5"/>
      <c r="L101" s="8"/>
      <c r="M101" s="16"/>
      <c r="N101" s="10"/>
      <c r="O101" s="10"/>
      <c r="P101" s="5"/>
      <c r="Q101" s="2"/>
      <c r="R101" s="2"/>
      <c r="S101" s="2"/>
      <c r="T101" s="2"/>
      <c r="U101" s="7"/>
      <c r="V101" s="7"/>
      <c r="W101" s="17"/>
      <c r="X101" s="5"/>
      <c r="Y101" s="7"/>
      <c r="Z101" s="7"/>
      <c r="AA101" s="11"/>
      <c r="AB101" s="7"/>
      <c r="AC101" s="8"/>
      <c r="AD101" s="2"/>
      <c r="AE101" s="7"/>
      <c r="AG101" s="2"/>
      <c r="AH101" s="2"/>
      <c r="AI101" s="2"/>
      <c r="AJ101" s="8"/>
      <c r="AK101" s="10"/>
      <c r="AL101" s="12"/>
      <c r="AM101" s="10"/>
      <c r="AN101" s="12"/>
      <c r="AO101" s="5"/>
      <c r="AP101" s="11"/>
      <c r="AQ101" s="5"/>
      <c r="AR101" s="8"/>
    </row>
    <row r="102" spans="1:44" x14ac:dyDescent="0.15">
      <c r="A102" s="2"/>
      <c r="B102" s="2"/>
      <c r="C102" s="10"/>
      <c r="D102" s="6"/>
      <c r="E102" s="10"/>
      <c r="F102" s="8"/>
      <c r="G102" s="8"/>
      <c r="H102" s="2"/>
      <c r="I102" s="13"/>
      <c r="J102" s="10"/>
      <c r="K102" s="5"/>
      <c r="L102" s="8"/>
      <c r="M102" s="16"/>
      <c r="N102" s="10"/>
      <c r="O102" s="10"/>
      <c r="P102" s="5"/>
      <c r="Q102" s="2"/>
      <c r="R102" s="2"/>
      <c r="S102" s="2"/>
      <c r="T102" s="2"/>
      <c r="U102" s="7"/>
      <c r="V102" s="7"/>
      <c r="W102" s="17"/>
      <c r="X102" s="5"/>
      <c r="Y102" s="7"/>
      <c r="Z102" s="7"/>
      <c r="AA102" s="11"/>
      <c r="AB102" s="7"/>
      <c r="AC102" s="8"/>
      <c r="AD102" s="2"/>
      <c r="AE102" s="7"/>
      <c r="AG102" s="2"/>
      <c r="AH102" s="2"/>
      <c r="AI102" s="2"/>
      <c r="AJ102" s="8"/>
      <c r="AK102" s="10"/>
      <c r="AL102" s="12"/>
      <c r="AM102" s="10"/>
      <c r="AN102" s="12"/>
      <c r="AO102" s="5"/>
      <c r="AP102" s="11"/>
      <c r="AQ102" s="5"/>
      <c r="AR102" s="8"/>
    </row>
    <row r="103" spans="1:44" x14ac:dyDescent="0.15">
      <c r="A103" s="2"/>
      <c r="B103" s="2"/>
      <c r="C103" s="10"/>
      <c r="D103" s="6"/>
      <c r="E103" s="10"/>
      <c r="F103" s="8"/>
      <c r="G103" s="8"/>
      <c r="H103" s="2"/>
      <c r="I103" s="13"/>
      <c r="J103" s="10"/>
      <c r="K103" s="5"/>
      <c r="L103" s="8"/>
      <c r="M103" s="16"/>
      <c r="N103" s="10"/>
      <c r="O103" s="10"/>
      <c r="P103" s="5"/>
      <c r="Q103" s="2"/>
      <c r="R103" s="2"/>
      <c r="S103" s="2"/>
      <c r="T103" s="2"/>
      <c r="U103" s="7"/>
      <c r="V103" s="7"/>
      <c r="W103" s="17"/>
      <c r="X103" s="5"/>
      <c r="Y103" s="7"/>
      <c r="Z103" s="7"/>
      <c r="AA103" s="11"/>
      <c r="AB103" s="7"/>
      <c r="AC103" s="8"/>
      <c r="AD103" s="2"/>
      <c r="AE103" s="7"/>
      <c r="AG103" s="2"/>
      <c r="AH103" s="2"/>
      <c r="AI103" s="2"/>
      <c r="AJ103" s="8"/>
      <c r="AK103" s="10"/>
      <c r="AL103" s="12"/>
      <c r="AM103" s="10"/>
      <c r="AN103" s="12"/>
      <c r="AO103" s="5"/>
      <c r="AP103" s="11"/>
      <c r="AQ103" s="5"/>
      <c r="AR103" s="8"/>
    </row>
    <row r="104" spans="1:44" x14ac:dyDescent="0.15">
      <c r="A104" s="2"/>
      <c r="B104" s="2"/>
      <c r="C104" s="10"/>
      <c r="D104" s="6"/>
      <c r="E104" s="10"/>
      <c r="F104" s="8"/>
      <c r="G104" s="8"/>
      <c r="H104" s="2"/>
      <c r="I104" s="13"/>
      <c r="J104" s="10"/>
      <c r="K104" s="5"/>
      <c r="L104" s="8"/>
      <c r="M104" s="16"/>
      <c r="N104" s="10"/>
      <c r="O104" s="10"/>
      <c r="P104" s="5"/>
      <c r="Q104" s="2"/>
      <c r="R104" s="2"/>
      <c r="S104" s="2"/>
      <c r="T104" s="2"/>
      <c r="U104" s="7"/>
      <c r="V104" s="7"/>
      <c r="W104" s="17"/>
      <c r="X104" s="5"/>
      <c r="Y104" s="7"/>
      <c r="Z104" s="7"/>
      <c r="AA104" s="11"/>
      <c r="AB104" s="7"/>
      <c r="AC104" s="8"/>
      <c r="AD104" s="2"/>
      <c r="AE104" s="7"/>
      <c r="AG104" s="2"/>
      <c r="AH104" s="2"/>
      <c r="AI104" s="2"/>
      <c r="AJ104" s="8"/>
      <c r="AK104" s="10"/>
      <c r="AL104" s="12"/>
      <c r="AM104" s="10"/>
      <c r="AN104" s="12"/>
      <c r="AO104" s="5"/>
      <c r="AP104" s="11"/>
      <c r="AQ104" s="5"/>
      <c r="AR104" s="8"/>
    </row>
    <row r="105" spans="1:44" x14ac:dyDescent="0.15">
      <c r="A105" s="2"/>
      <c r="B105" s="2"/>
      <c r="C105" s="10"/>
      <c r="D105" s="6"/>
      <c r="E105" s="10"/>
      <c r="F105" s="8"/>
      <c r="G105" s="8"/>
      <c r="H105" s="2"/>
      <c r="I105" s="13"/>
      <c r="J105" s="10"/>
      <c r="K105" s="5"/>
      <c r="L105" s="8"/>
      <c r="M105" s="16"/>
      <c r="N105" s="10"/>
      <c r="O105" s="10"/>
      <c r="P105" s="5"/>
      <c r="Q105" s="2"/>
      <c r="R105" s="2"/>
      <c r="S105" s="2"/>
      <c r="T105" s="2"/>
      <c r="U105" s="7"/>
      <c r="V105" s="7"/>
      <c r="W105" s="17"/>
      <c r="X105" s="5"/>
      <c r="Y105" s="7"/>
      <c r="Z105" s="7"/>
      <c r="AA105" s="11"/>
      <c r="AB105" s="7"/>
      <c r="AC105" s="8"/>
      <c r="AD105" s="2"/>
      <c r="AE105" s="7"/>
      <c r="AG105" s="2"/>
      <c r="AH105" s="2"/>
      <c r="AI105" s="2"/>
      <c r="AJ105" s="8"/>
      <c r="AK105" s="10"/>
      <c r="AL105" s="12"/>
      <c r="AM105" s="10"/>
      <c r="AN105" s="12"/>
      <c r="AO105" s="5"/>
      <c r="AP105" s="11"/>
      <c r="AQ105" s="5"/>
      <c r="AR105" s="8"/>
    </row>
    <row r="106" spans="1:44" x14ac:dyDescent="0.15">
      <c r="A106" s="2"/>
      <c r="B106" s="2"/>
      <c r="C106" s="10"/>
      <c r="D106" s="6"/>
      <c r="E106" s="10"/>
      <c r="F106" s="8"/>
      <c r="G106" s="8"/>
      <c r="H106" s="2"/>
      <c r="I106" s="13"/>
      <c r="J106" s="10"/>
      <c r="K106" s="5"/>
      <c r="L106" s="8"/>
      <c r="M106" s="16"/>
      <c r="N106" s="10"/>
      <c r="O106" s="10"/>
      <c r="P106" s="5"/>
      <c r="Q106" s="2"/>
      <c r="R106" s="2"/>
      <c r="S106" s="2"/>
      <c r="T106" s="2"/>
      <c r="U106" s="7"/>
      <c r="V106" s="7"/>
      <c r="W106" s="17"/>
      <c r="X106" s="5"/>
      <c r="Y106" s="7"/>
      <c r="Z106" s="7"/>
      <c r="AA106" s="11"/>
      <c r="AB106" s="7"/>
      <c r="AC106" s="8"/>
      <c r="AD106" s="2"/>
      <c r="AE106" s="7"/>
      <c r="AG106" s="2"/>
      <c r="AH106" s="2"/>
      <c r="AI106" s="2"/>
      <c r="AJ106" s="8"/>
      <c r="AK106" s="10"/>
      <c r="AL106" s="12"/>
      <c r="AM106" s="10"/>
      <c r="AN106" s="12"/>
      <c r="AO106" s="5"/>
      <c r="AP106" s="11"/>
      <c r="AQ106" s="5"/>
      <c r="AR106" s="8"/>
    </row>
    <row r="107" spans="1:44" x14ac:dyDescent="0.15">
      <c r="A107" s="2"/>
      <c r="B107" s="2"/>
      <c r="C107" s="10"/>
      <c r="D107" s="6"/>
      <c r="E107" s="10"/>
      <c r="F107" s="8"/>
      <c r="G107" s="8"/>
      <c r="H107" s="2"/>
      <c r="I107" s="13"/>
      <c r="J107" s="10"/>
      <c r="K107" s="5"/>
      <c r="L107" s="8"/>
      <c r="M107" s="16"/>
      <c r="N107" s="10"/>
      <c r="O107" s="10"/>
      <c r="P107" s="5"/>
      <c r="Q107" s="2"/>
      <c r="R107" s="2"/>
      <c r="S107" s="2"/>
      <c r="T107" s="2"/>
      <c r="U107" s="7"/>
      <c r="V107" s="7"/>
      <c r="W107" s="17"/>
      <c r="X107" s="5"/>
      <c r="Y107" s="7"/>
      <c r="Z107" s="7"/>
      <c r="AA107" s="11"/>
      <c r="AB107" s="7"/>
      <c r="AC107" s="8"/>
      <c r="AD107" s="2"/>
      <c r="AE107" s="7"/>
      <c r="AG107" s="2"/>
      <c r="AH107" s="2"/>
      <c r="AI107" s="2"/>
      <c r="AJ107" s="8"/>
      <c r="AK107" s="10"/>
      <c r="AL107" s="12"/>
      <c r="AM107" s="10"/>
      <c r="AN107" s="12"/>
      <c r="AO107" s="5"/>
      <c r="AP107" s="11"/>
      <c r="AQ107" s="5"/>
      <c r="AR107" s="8"/>
    </row>
    <row r="108" spans="1:44" x14ac:dyDescent="0.15">
      <c r="A108" s="2"/>
      <c r="B108" s="2"/>
      <c r="C108" s="10"/>
      <c r="D108" s="6"/>
      <c r="E108" s="10"/>
      <c r="F108" s="8"/>
      <c r="G108" s="8"/>
      <c r="H108" s="2"/>
      <c r="I108" s="13"/>
      <c r="J108" s="10"/>
      <c r="K108" s="5"/>
      <c r="L108" s="8"/>
      <c r="M108" s="16"/>
      <c r="N108" s="10"/>
      <c r="O108" s="10"/>
      <c r="P108" s="5"/>
      <c r="Q108" s="2"/>
      <c r="R108" s="2"/>
      <c r="S108" s="2"/>
      <c r="T108" s="2"/>
      <c r="U108" s="7"/>
      <c r="V108" s="7"/>
      <c r="W108" s="17"/>
      <c r="X108" s="5"/>
      <c r="Y108" s="7"/>
      <c r="Z108" s="7"/>
      <c r="AA108" s="11"/>
      <c r="AB108" s="7"/>
      <c r="AC108" s="8"/>
      <c r="AD108" s="2"/>
      <c r="AE108" s="7"/>
      <c r="AG108" s="2"/>
      <c r="AH108" s="2"/>
      <c r="AI108" s="2"/>
      <c r="AJ108" s="8"/>
      <c r="AK108" s="10"/>
      <c r="AL108" s="12"/>
      <c r="AM108" s="10"/>
      <c r="AN108" s="12"/>
      <c r="AO108" s="5"/>
      <c r="AP108" s="11"/>
      <c r="AQ108" s="5"/>
      <c r="AR108" s="8"/>
    </row>
    <row r="109" spans="1:44" x14ac:dyDescent="0.15">
      <c r="A109" s="2"/>
      <c r="B109" s="2"/>
      <c r="C109" s="10"/>
      <c r="D109" s="6"/>
      <c r="E109" s="10"/>
      <c r="F109" s="8"/>
      <c r="G109" s="8"/>
      <c r="H109" s="2"/>
      <c r="I109" s="13"/>
      <c r="J109" s="10"/>
      <c r="K109" s="5"/>
      <c r="L109" s="8"/>
      <c r="M109" s="16"/>
      <c r="N109" s="10"/>
      <c r="O109" s="10"/>
      <c r="P109" s="5"/>
      <c r="Q109" s="2"/>
      <c r="R109" s="2"/>
      <c r="S109" s="2"/>
      <c r="T109" s="2"/>
      <c r="U109" s="7"/>
      <c r="V109" s="7"/>
      <c r="W109" s="17"/>
      <c r="X109" s="5"/>
      <c r="Y109" s="7"/>
      <c r="Z109" s="7"/>
      <c r="AA109" s="11"/>
      <c r="AB109" s="7"/>
      <c r="AC109" s="8"/>
      <c r="AD109" s="2"/>
      <c r="AE109" s="7"/>
      <c r="AG109" s="2"/>
      <c r="AH109" s="2"/>
      <c r="AI109" s="2"/>
      <c r="AJ109" s="8"/>
      <c r="AK109" s="10"/>
      <c r="AL109" s="12"/>
      <c r="AM109" s="10"/>
      <c r="AN109" s="12"/>
      <c r="AO109" s="5"/>
      <c r="AP109" s="11"/>
      <c r="AQ109" s="5"/>
      <c r="AR109" s="8"/>
    </row>
    <row r="110" spans="1:44" x14ac:dyDescent="0.15">
      <c r="A110" s="2"/>
      <c r="B110" s="2"/>
      <c r="C110" s="10"/>
      <c r="D110" s="6"/>
      <c r="E110" s="10"/>
      <c r="F110" s="8"/>
      <c r="G110" s="8"/>
      <c r="H110" s="2"/>
      <c r="I110" s="13"/>
      <c r="J110" s="10"/>
      <c r="K110" s="5"/>
      <c r="L110" s="8"/>
      <c r="M110" s="16"/>
      <c r="N110" s="10"/>
      <c r="O110" s="10"/>
      <c r="P110" s="5"/>
      <c r="Q110" s="2"/>
      <c r="R110" s="2"/>
      <c r="S110" s="2"/>
      <c r="T110" s="2"/>
      <c r="U110" s="7"/>
      <c r="V110" s="7"/>
      <c r="W110" s="17"/>
      <c r="X110" s="5"/>
      <c r="Y110" s="7"/>
      <c r="Z110" s="7"/>
      <c r="AA110" s="11"/>
      <c r="AB110" s="7"/>
      <c r="AC110" s="8"/>
      <c r="AD110" s="2"/>
      <c r="AE110" s="7"/>
      <c r="AG110" s="2"/>
      <c r="AH110" s="2"/>
      <c r="AI110" s="2"/>
      <c r="AJ110" s="8"/>
      <c r="AK110" s="10"/>
      <c r="AL110" s="12"/>
      <c r="AM110" s="10"/>
      <c r="AN110" s="12"/>
      <c r="AO110" s="5"/>
      <c r="AP110" s="11"/>
      <c r="AQ110" s="5"/>
      <c r="AR110" s="8"/>
    </row>
    <row r="111" spans="1:44" x14ac:dyDescent="0.15">
      <c r="A111" s="2"/>
      <c r="B111" s="2"/>
      <c r="C111" s="10"/>
      <c r="D111" s="6"/>
      <c r="E111" s="10"/>
      <c r="F111" s="8"/>
      <c r="G111" s="8"/>
      <c r="H111" s="2"/>
      <c r="I111" s="13"/>
      <c r="J111" s="10"/>
      <c r="K111" s="5"/>
      <c r="L111" s="8"/>
      <c r="M111" s="16"/>
      <c r="N111" s="10"/>
      <c r="O111" s="10"/>
      <c r="P111" s="5"/>
      <c r="Q111" s="2"/>
      <c r="R111" s="2"/>
      <c r="S111" s="2"/>
      <c r="T111" s="2"/>
      <c r="U111" s="7"/>
      <c r="V111" s="7"/>
      <c r="W111" s="17"/>
      <c r="X111" s="5"/>
      <c r="Y111" s="7"/>
      <c r="Z111" s="7"/>
      <c r="AA111" s="11"/>
      <c r="AB111" s="7"/>
      <c r="AC111" s="8"/>
      <c r="AD111" s="2"/>
      <c r="AE111" s="7"/>
      <c r="AG111" s="2"/>
      <c r="AH111" s="2"/>
      <c r="AI111" s="2"/>
      <c r="AJ111" s="8"/>
      <c r="AK111" s="10"/>
      <c r="AL111" s="12"/>
      <c r="AM111" s="10"/>
      <c r="AN111" s="12"/>
      <c r="AO111" s="5"/>
      <c r="AP111" s="11"/>
      <c r="AQ111" s="5"/>
      <c r="AR111" s="8"/>
    </row>
    <row r="112" spans="1:44" x14ac:dyDescent="0.15">
      <c r="A112" s="2"/>
      <c r="B112" s="2"/>
      <c r="C112" s="10"/>
      <c r="D112" s="6"/>
      <c r="E112" s="10"/>
      <c r="F112" s="8"/>
      <c r="G112" s="8"/>
      <c r="H112" s="2"/>
      <c r="I112" s="13"/>
      <c r="J112" s="10"/>
      <c r="K112" s="5"/>
      <c r="L112" s="8"/>
      <c r="M112" s="16"/>
      <c r="N112" s="10"/>
      <c r="O112" s="10"/>
      <c r="P112" s="5"/>
      <c r="Q112" s="2"/>
      <c r="R112" s="2"/>
      <c r="S112" s="2"/>
      <c r="T112" s="2"/>
      <c r="U112" s="7"/>
      <c r="V112" s="7"/>
      <c r="W112" s="17"/>
      <c r="X112" s="5"/>
      <c r="Y112" s="7"/>
      <c r="Z112" s="7"/>
      <c r="AA112" s="11"/>
      <c r="AB112" s="7"/>
      <c r="AC112" s="8"/>
      <c r="AD112" s="2"/>
      <c r="AE112" s="7"/>
      <c r="AG112" s="2"/>
      <c r="AH112" s="2"/>
      <c r="AI112" s="2"/>
      <c r="AJ112" s="8"/>
      <c r="AK112" s="10"/>
      <c r="AL112" s="12"/>
      <c r="AM112" s="10"/>
      <c r="AN112" s="12"/>
      <c r="AO112" s="5"/>
      <c r="AP112" s="11"/>
      <c r="AQ112" s="5"/>
      <c r="AR112" s="8"/>
    </row>
    <row r="113" spans="1:44" x14ac:dyDescent="0.15">
      <c r="A113" s="2"/>
      <c r="B113" s="2"/>
      <c r="C113" s="10"/>
      <c r="D113" s="6"/>
      <c r="E113" s="10"/>
      <c r="F113" s="8"/>
      <c r="G113" s="8"/>
      <c r="H113" s="2"/>
      <c r="I113" s="13"/>
      <c r="J113" s="10"/>
      <c r="K113" s="5"/>
      <c r="L113" s="8"/>
      <c r="M113" s="16"/>
      <c r="N113" s="10"/>
      <c r="O113" s="10"/>
      <c r="P113" s="5"/>
      <c r="Q113" s="2"/>
      <c r="R113" s="2"/>
      <c r="S113" s="2"/>
      <c r="T113" s="2"/>
      <c r="U113" s="7"/>
      <c r="V113" s="7"/>
      <c r="W113" s="17"/>
      <c r="X113" s="5"/>
      <c r="Y113" s="7"/>
      <c r="Z113" s="7"/>
      <c r="AA113" s="11"/>
      <c r="AB113" s="7"/>
      <c r="AC113" s="8"/>
      <c r="AD113" s="2"/>
      <c r="AE113" s="7"/>
      <c r="AG113" s="2"/>
      <c r="AH113" s="2"/>
      <c r="AI113" s="2"/>
      <c r="AJ113" s="8"/>
      <c r="AK113" s="10"/>
      <c r="AL113" s="12"/>
      <c r="AM113" s="10"/>
      <c r="AN113" s="12"/>
      <c r="AO113" s="5"/>
      <c r="AP113" s="11"/>
      <c r="AQ113" s="5"/>
      <c r="AR113" s="8"/>
    </row>
    <row r="114" spans="1:44" x14ac:dyDescent="0.15">
      <c r="A114" s="2"/>
      <c r="B114" s="2"/>
      <c r="C114" s="10"/>
      <c r="D114" s="6"/>
      <c r="E114" s="10"/>
      <c r="F114" s="8"/>
      <c r="G114" s="8"/>
      <c r="H114" s="2"/>
      <c r="I114" s="13"/>
      <c r="J114" s="10"/>
      <c r="K114" s="5"/>
      <c r="L114" s="8"/>
      <c r="M114" s="16"/>
      <c r="N114" s="10"/>
      <c r="O114" s="10"/>
      <c r="P114" s="5"/>
      <c r="Q114" s="2"/>
      <c r="R114" s="2"/>
      <c r="S114" s="2"/>
      <c r="T114" s="2"/>
      <c r="U114" s="7"/>
      <c r="V114" s="7"/>
      <c r="W114" s="17"/>
      <c r="X114" s="5"/>
      <c r="Y114" s="7"/>
      <c r="Z114" s="7"/>
      <c r="AA114" s="11"/>
      <c r="AB114" s="7"/>
      <c r="AC114" s="8"/>
      <c r="AD114" s="2"/>
      <c r="AE114" s="7"/>
      <c r="AG114" s="2"/>
      <c r="AH114" s="2"/>
      <c r="AI114" s="2"/>
      <c r="AJ114" s="8"/>
      <c r="AK114" s="10"/>
      <c r="AL114" s="12"/>
      <c r="AM114" s="10"/>
      <c r="AN114" s="12"/>
      <c r="AO114" s="5"/>
      <c r="AP114" s="11"/>
      <c r="AQ114" s="5"/>
      <c r="AR114" s="8"/>
    </row>
    <row r="115" spans="1:44" x14ac:dyDescent="0.15">
      <c r="A115" s="2"/>
      <c r="B115" s="2"/>
      <c r="C115" s="10"/>
      <c r="D115" s="6"/>
      <c r="E115" s="10"/>
      <c r="F115" s="8"/>
      <c r="G115" s="8"/>
      <c r="H115" s="2"/>
      <c r="I115" s="13"/>
      <c r="J115" s="10"/>
      <c r="K115" s="5"/>
      <c r="L115" s="8"/>
      <c r="M115" s="16"/>
      <c r="N115" s="10"/>
      <c r="O115" s="10"/>
      <c r="P115" s="5"/>
      <c r="Q115" s="2"/>
      <c r="R115" s="2"/>
      <c r="S115" s="2"/>
      <c r="T115" s="2"/>
      <c r="U115" s="7"/>
      <c r="V115" s="7"/>
      <c r="W115" s="17"/>
      <c r="X115" s="5"/>
      <c r="Y115" s="7"/>
      <c r="Z115" s="7"/>
      <c r="AA115" s="11"/>
      <c r="AB115" s="7"/>
      <c r="AC115" s="8"/>
      <c r="AD115" s="2"/>
      <c r="AE115" s="7"/>
      <c r="AG115" s="2"/>
      <c r="AH115" s="2"/>
      <c r="AI115" s="2"/>
      <c r="AJ115" s="8"/>
      <c r="AK115" s="10"/>
      <c r="AL115" s="12"/>
      <c r="AM115" s="10"/>
      <c r="AN115" s="12"/>
      <c r="AO115" s="5"/>
      <c r="AP115" s="11"/>
      <c r="AQ115" s="5"/>
      <c r="AR115" s="8"/>
    </row>
    <row r="116" spans="1:44" x14ac:dyDescent="0.15">
      <c r="A116" s="2"/>
      <c r="B116" s="2"/>
      <c r="C116" s="10"/>
      <c r="D116" s="6"/>
      <c r="E116" s="10"/>
      <c r="F116" s="8"/>
      <c r="G116" s="8"/>
      <c r="H116" s="2"/>
      <c r="I116" s="13"/>
      <c r="J116" s="10"/>
      <c r="K116" s="5"/>
      <c r="L116" s="8"/>
      <c r="M116" s="16"/>
      <c r="N116" s="10"/>
      <c r="O116" s="10"/>
      <c r="P116" s="5"/>
      <c r="Q116" s="2"/>
      <c r="R116" s="2"/>
      <c r="S116" s="2"/>
      <c r="T116" s="2"/>
      <c r="U116" s="7"/>
      <c r="V116" s="7"/>
      <c r="W116" s="17"/>
      <c r="X116" s="5"/>
      <c r="Y116" s="7"/>
      <c r="Z116" s="7"/>
      <c r="AA116" s="11"/>
      <c r="AB116" s="7"/>
      <c r="AC116" s="8"/>
      <c r="AD116" s="2"/>
      <c r="AE116" s="7"/>
      <c r="AG116" s="2"/>
      <c r="AH116" s="2"/>
      <c r="AI116" s="2"/>
      <c r="AJ116" s="8"/>
      <c r="AK116" s="10"/>
      <c r="AL116" s="12"/>
      <c r="AM116" s="10"/>
      <c r="AN116" s="12"/>
      <c r="AO116" s="5"/>
      <c r="AP116" s="11"/>
      <c r="AQ116" s="5"/>
      <c r="AR116" s="8"/>
    </row>
    <row r="117" spans="1:44" x14ac:dyDescent="0.15">
      <c r="A117" s="2"/>
      <c r="B117" s="2"/>
      <c r="C117" s="10"/>
      <c r="D117" s="6"/>
      <c r="E117" s="10"/>
      <c r="F117" s="8"/>
      <c r="G117" s="8"/>
      <c r="H117" s="2"/>
      <c r="I117" s="13"/>
      <c r="J117" s="10"/>
      <c r="K117" s="5"/>
      <c r="L117" s="8"/>
      <c r="M117" s="16"/>
      <c r="N117" s="10"/>
      <c r="O117" s="10"/>
      <c r="P117" s="5"/>
      <c r="Q117" s="2"/>
      <c r="R117" s="2"/>
      <c r="S117" s="2"/>
      <c r="T117" s="2"/>
      <c r="U117" s="7"/>
      <c r="V117" s="7"/>
      <c r="W117" s="17"/>
      <c r="X117" s="5"/>
      <c r="Y117" s="7"/>
      <c r="Z117" s="7"/>
      <c r="AA117" s="11"/>
      <c r="AB117" s="7"/>
      <c r="AC117" s="8"/>
      <c r="AD117" s="2"/>
      <c r="AE117" s="7"/>
      <c r="AG117" s="2"/>
      <c r="AH117" s="2"/>
      <c r="AI117" s="2"/>
      <c r="AJ117" s="8"/>
      <c r="AK117" s="10"/>
      <c r="AL117" s="12"/>
      <c r="AM117" s="10"/>
      <c r="AN117" s="12"/>
      <c r="AO117" s="5"/>
      <c r="AP117" s="11"/>
      <c r="AQ117" s="5"/>
      <c r="AR117" s="8"/>
    </row>
    <row r="118" spans="1:44" x14ac:dyDescent="0.15">
      <c r="A118" s="2"/>
      <c r="B118" s="2"/>
      <c r="C118" s="10"/>
      <c r="D118" s="6"/>
      <c r="E118" s="10"/>
      <c r="F118" s="8"/>
      <c r="G118" s="8"/>
      <c r="H118" s="2"/>
      <c r="I118" s="13"/>
      <c r="J118" s="10"/>
      <c r="K118" s="5"/>
      <c r="L118" s="8"/>
      <c r="M118" s="16"/>
      <c r="N118" s="10"/>
      <c r="O118" s="10"/>
      <c r="P118" s="5"/>
      <c r="Q118" s="2"/>
      <c r="R118" s="2"/>
      <c r="S118" s="2"/>
      <c r="T118" s="2"/>
      <c r="U118" s="7"/>
      <c r="V118" s="7"/>
      <c r="W118" s="17"/>
      <c r="X118" s="5"/>
      <c r="Y118" s="7"/>
      <c r="Z118" s="7"/>
      <c r="AA118" s="11"/>
      <c r="AB118" s="7"/>
      <c r="AC118" s="8"/>
      <c r="AD118" s="2"/>
      <c r="AE118" s="7"/>
      <c r="AG118" s="2"/>
      <c r="AH118" s="2"/>
      <c r="AI118" s="2"/>
      <c r="AJ118" s="8"/>
      <c r="AK118" s="10"/>
      <c r="AL118" s="12"/>
      <c r="AM118" s="10"/>
      <c r="AN118" s="12"/>
      <c r="AO118" s="5"/>
      <c r="AP118" s="11"/>
      <c r="AQ118" s="5"/>
      <c r="AR118" s="8"/>
    </row>
  </sheetData>
  <phoneticPr fontId="5" type="noConversion"/>
  <conditionalFormatting sqref="G2:G102">
    <cfRule type="expression" dxfId="38" priority="167">
      <formula>$G2="禁止开仓"</formula>
    </cfRule>
    <cfRule type="expression" dxfId="37" priority="197">
      <formula>$G2="允许开仓"</formula>
    </cfRule>
    <cfRule type="expression" dxfId="36" priority="227">
      <formula>LEFT($G2,4)="禁止开仓"</formula>
    </cfRule>
    <cfRule type="expression" dxfId="35" priority="257">
      <formula>$G2="允许开仓（接近锁仓）"</formula>
    </cfRule>
  </conditionalFormatting>
  <conditionalFormatting sqref="G103:G118">
    <cfRule type="expression" dxfId="34" priority="181">
      <formula>$G103="允许开仓"</formula>
    </cfRule>
    <cfRule type="expression" dxfId="33" priority="151">
      <formula>$G103="禁止开仓"</formula>
    </cfRule>
    <cfRule type="expression" dxfId="32" priority="211">
      <formula>LEFT($G103,4)="禁止开仓"</formula>
    </cfRule>
    <cfRule type="expression" dxfId="31" priority="241">
      <formula>$G103="允许开仓（接近锁仓）"</formula>
    </cfRule>
  </conditionalFormatting>
  <conditionalFormatting sqref="W2:W102">
    <cfRule type="cellIs" dxfId="30" priority="77" operator="lessThan">
      <formula>2</formula>
    </cfRule>
  </conditionalFormatting>
  <conditionalFormatting sqref="W103:W118">
    <cfRule type="cellIs" dxfId="29" priority="61" operator="lessThan">
      <formula>2</formula>
    </cfRule>
  </conditionalFormatting>
  <conditionalFormatting sqref="X2:Y102 AE2:AE102">
    <cfRule type="cellIs" dxfId="28" priority="17" operator="greaterThan">
      <formula>0</formula>
    </cfRule>
    <cfRule type="cellIs" dxfId="27" priority="47" operator="lessThan">
      <formula>0</formula>
    </cfRule>
  </conditionalFormatting>
  <conditionalFormatting sqref="X103:Y118 AE103:AE118">
    <cfRule type="cellIs" dxfId="26" priority="1" operator="greaterThan">
      <formula>0</formula>
    </cfRule>
    <cfRule type="cellIs" dxfId="25" priority="31" operator="lessThan">
      <formula>0</formula>
    </cfRule>
  </conditionalFormatting>
  <conditionalFormatting sqref="AC2:AC102">
    <cfRule type="expression" dxfId="24" priority="137">
      <formula>$AC2="低于上限"</formula>
    </cfRule>
    <cfRule type="expression" dxfId="23" priority="107">
      <formula>$AC2="达到或超过上限"</formula>
    </cfRule>
  </conditionalFormatting>
  <conditionalFormatting sqref="AC103:AC118">
    <cfRule type="expression" dxfId="22" priority="91">
      <formula>$AC103="达到或超过上限"</formula>
    </cfRule>
    <cfRule type="expression" dxfId="21" priority="121">
      <formula>$AC103="低于上限"</formula>
    </cfRule>
  </conditionalFormatting>
  <conditionalFormatting sqref="AJ2:AJ102">
    <cfRule type="expression" dxfId="20" priority="317">
      <formula>$AJ2="周期与交易预期不匹配，请重新确认"</formula>
    </cfRule>
    <cfRule type="expression" dxfId="19" priority="347">
      <formula>$AJ2="匹配"</formula>
    </cfRule>
  </conditionalFormatting>
  <conditionalFormatting sqref="AJ103:AJ118">
    <cfRule type="expression" dxfId="18" priority="301">
      <formula>$AJ103="周期与交易预期不匹配，请重新确认"</formula>
    </cfRule>
    <cfRule type="expression" dxfId="17" priority="331">
      <formula>$AJ103="匹配"</formula>
    </cfRule>
  </conditionalFormatting>
  <conditionalFormatting sqref="AR2:AR102">
    <cfRule type="expression" dxfId="16" priority="377">
      <formula>LEFT($AR2,2)="违规"</formula>
    </cfRule>
    <cfRule type="expression" dxfId="15" priority="407">
      <formula>$AR2="通过"</formula>
    </cfRule>
  </conditionalFormatting>
  <conditionalFormatting sqref="AR103:AR118">
    <cfRule type="expression" dxfId="14" priority="361">
      <formula>LEFT($AR103,2)="违规"</formula>
    </cfRule>
    <cfRule type="expression" dxfId="13" priority="391">
      <formula>$AR103="通过"</formula>
    </cfRule>
  </conditionalFormatting>
  <dataValidations count="16">
    <dataValidation type="custom" allowBlank="1" sqref="M53" xr:uid="{00000000-0002-0000-0000-000000000000}">
      <formula1>OR(M53="",AND(ISNUMBER(M53),M53&gt;=#REF!))</formula1>
    </dataValidation>
    <dataValidation type="custom" allowBlank="1" sqref="M54 M2:M52 M56:M88" xr:uid="{00000000-0002-0000-0000-000001000000}">
      <formula1>OR(M2="",AND(ISNUMBER(M2),M2&gt;=I2))</formula1>
    </dataValidation>
    <dataValidation type="custom" allowBlank="1" sqref="M55" xr:uid="{00000000-0002-0000-0000-000002000000}">
      <formula1>OR(M55="",AND(ISNUMBER(M55),M55&gt;=I53))</formula1>
    </dataValidation>
    <dataValidation type="decimal" operator="greaterThan" allowBlank="1" sqref="C99 E99 J99 K99 N99 C100 E100 J100 K100 N100 C101 E101 J101 K101 N101 C102 E102 J102 K102 N102 C2:C98 E2:E98 N2:N98 J90:K98 J2:K89" xr:uid="{00000000-0002-0000-0000-000003000000}">
      <formula1>0</formula1>
    </dataValidation>
    <dataValidation type="decimal" allowBlank="1" sqref="D99 D100 D101 D102 D2:D98" xr:uid="{00000000-0002-0000-0000-000004000000}">
      <formula1>0</formula1>
      <formula2>1</formula2>
    </dataValidation>
    <dataValidation type="custom" allowBlank="1" showErrorMessage="1" errorTitle="当前禁止开仓、计划不完整或风险超限" error="请完成解锁、止损计划和交易预期，确保股数为100股整数倍，且单笔及账户风险均未超过上限" sqref="H99 H100 H101 H102 H2:H98" xr:uid="{00000000-0002-0000-0000-000005000000}">
      <formula1>OR(H2="",AND(_LockStatus&lt;&gt;"已锁仓",_LockStatus&lt;&gt;"解锁信息不完整",AG2&lt;&gt;"",AH2&lt;&gt;"",AI2&lt;&gt;"",COUNTIFS(_TrackType,"止损计划",_TrackTradeId,A2,_TrackRule,"计划有效")&gt;0,ISNUMBER(H2),H2&gt;0,H2=INT(H2),MOD(H2,100)=0,AQ2&lt;=C2*D2,SUM($AQ$2:$AQ$102)&lt;=_AccountRiskLimit))</formula1>
    </dataValidation>
    <dataValidation type="date" allowBlank="1" sqref="I99 I100 I101 I102 I2:I98" xr:uid="{00000000-0002-0000-0000-000006000000}">
      <formula1>DATE(2000,1,1)</formula1>
      <formula2>DATE(2100,12,31)</formula2>
    </dataValidation>
    <dataValidation type="custom" allowBlank="1" sqref="L99 L100 L101 L102 L2:L98" xr:uid="{00000000-0002-0000-0000-000007000000}">
      <formula1>OR(L2="",L2=H2)</formula1>
    </dataValidation>
    <dataValidation type="decimal" operator="greaterThanOrEqual" allowBlank="1" sqref="O99 P99 O100 P100 O101 P101 O102 P102 O90:P98 O2:P89" xr:uid="{00000000-0002-0000-0000-000008000000}">
      <formula1>0</formula1>
    </dataValidation>
    <dataValidation type="list" allowBlank="1" sqref="AD99 AD100 AD101 AD102 AD2:AD98" xr:uid="{00000000-0002-0000-0000-000009000000}">
      <formula1>"1-差,2-较差,3-一般,4-良好,5-优秀"</formula1>
    </dataValidation>
    <dataValidation type="list" allowBlank="1" showErrorMessage="1" errorTitle="交易预期无效" error="请从短期博反弹、突破冲新高、趋势波段中选择" sqref="AG99 AG100 AG101 AG102 AG2:AG98" xr:uid="{00000000-0002-0000-0000-00000A000000}">
      <formula1>"短期博反弹,突破冲新高,趋势波段"</formula1>
    </dataValidation>
    <dataValidation type="list" allowBlank="1" showErrorMessage="1" errorTitle="预期持有周期无效" error="请从预设的交易日范围中选择" sqref="AH99 AH100 AH101 AH102 AH2:AH98" xr:uid="{00000000-0002-0000-0000-00000B000000}">
      <formula1>"1～3个交易日,4～10个交易日,11～20个交易日,21～60个交易日,60个交易日以上"</formula1>
    </dataValidation>
    <dataValidation type="custom" allowBlank="1" showErrorMessage="1" errorTitle="第二批买入价无效" error="请填写大于0的价格；删除分仓时先删除股数" sqref="AK99 AK100 AK101 AK102 AK2:AK98" xr:uid="{00000000-0002-0000-0000-00000C000000}">
      <formula1>OR(AK2="",AND(ISNUMBER(AK2),AK2&gt;0))</formula1>
    </dataValidation>
    <dataValidation type="custom" allowBlank="1" showErrorMessage="1" errorTitle="第二批加仓被阻止" error="请先填写第二批价格并确认已解锁；股数必须为100股整数倍，且加仓后不能超过单笔或账户风险上限" sqref="AL99 AL100 AL101 AL102 AL2:AL98" xr:uid="{00000000-0002-0000-0000-00000D000000}">
      <formula1>OR(AL2="",AND(AK2&lt;&gt;"",ISNUMBER(AL2),AL2&gt;0,AL2=INT(AL2),MOD(AL2,100)=0,_LockStatus&lt;&gt;"已锁仓",_LockStatus&lt;&gt;"解锁信息不完整",AQ2&lt;=C2*D2,SUM($AQ$2:$AQ$102)&lt;=_AccountRiskLimit))</formula1>
    </dataValidation>
    <dataValidation type="custom" allowBlank="1" showErrorMessage="1" errorTitle="第三批买入价无效" error="请先完整填写第二批，再填写大于0的第三批价格" sqref="AM99 AM100 AM101 AM102 AM2:AM98" xr:uid="{00000000-0002-0000-0000-00000E000000}">
      <formula1>OR(AM2="",AND(ISNUMBER(AM2),AM2&gt;0,AND(AK2&lt;&gt;"",AL2&lt;&gt;"")))</formula1>
    </dataValidation>
    <dataValidation type="custom" allowBlank="1" showErrorMessage="1" errorTitle="第三批加仓被阻止" error="请先完整填写前两批并确认已解锁；股数必须为100股整数倍，且加仓后不能超过单笔或账户风险上限" sqref="AN99 AN100 AN101 AN102 AN2:AN98" xr:uid="{00000000-0002-0000-0000-00000F000000}">
      <formula1>OR(AN2="",AND(AK2&lt;&gt;"",AL2&lt;&gt;"",AM2&lt;&gt;"",ISNUMBER(AN2),AN2&gt;0,AN2=INT(AN2),MOD(AN2,100)=0,_LockStatus&lt;&gt;"已锁仓",_LockStatus&lt;&gt;"解锁信息不完整",AQ2&lt;=C2*D2,SUM($AQ$2:$AQ$102)&lt;=_AccountRiskLimit))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57"/>
  <sheetViews>
    <sheetView showGridLines="0" workbookViewId="0">
      <pane xSplit="3" ySplit="1" topLeftCell="D65" activePane="bottomRight" state="frozen"/>
      <selection pane="topRight"/>
      <selection pane="bottomLeft"/>
      <selection pane="bottomRight" activeCell="A2" sqref="A2:XFD89"/>
    </sheetView>
  </sheetViews>
  <sheetFormatPr defaultColWidth="9" defaultRowHeight="13.5" x14ac:dyDescent="0.15"/>
  <cols>
    <col min="1" max="3" width="14" customWidth="1"/>
    <col min="4" max="4" width="15" customWidth="1"/>
    <col min="5" max="5" width="12" customWidth="1"/>
    <col min="6" max="6" width="16" customWidth="1"/>
    <col min="7" max="7" width="28" customWidth="1"/>
    <col min="8" max="8" width="13" customWidth="1"/>
    <col min="9" max="9" width="12" customWidth="1"/>
    <col min="10" max="10" width="14" customWidth="1"/>
    <col min="11" max="11" width="28" customWidth="1"/>
    <col min="12" max="12" width="16" customWidth="1"/>
    <col min="13" max="13" width="30" customWidth="1"/>
    <col min="14" max="14" width="13" customWidth="1"/>
    <col min="15" max="15" width="16" customWidth="1"/>
    <col min="16" max="16" width="18" customWidth="1"/>
    <col min="17" max="17" width="15" customWidth="1"/>
    <col min="18" max="19" width="16" customWidth="1"/>
    <col min="20" max="22" width="18" customWidth="1"/>
    <col min="23" max="23" width="24" customWidth="1"/>
    <col min="24" max="25" width="14" customWidth="1"/>
    <col min="26" max="26" width="16" customWidth="1"/>
    <col min="27" max="27" width="14" customWidth="1"/>
    <col min="28" max="28" width="26" customWidth="1"/>
    <col min="29" max="29" width="28" customWidth="1"/>
  </cols>
  <sheetData>
    <row r="1" spans="1:29" ht="42" customHeight="1" x14ac:dyDescent="0.15">
      <c r="A1" s="14" t="s">
        <v>44</v>
      </c>
      <c r="B1" s="14" t="s">
        <v>0</v>
      </c>
      <c r="C1" s="14" t="s">
        <v>1</v>
      </c>
      <c r="D1" s="14" t="s">
        <v>45</v>
      </c>
      <c r="E1" s="14" t="s">
        <v>46</v>
      </c>
      <c r="F1" s="14" t="s">
        <v>47</v>
      </c>
      <c r="G1" s="14" t="s">
        <v>48</v>
      </c>
      <c r="H1" s="14" t="s">
        <v>49</v>
      </c>
      <c r="I1" s="14" t="s">
        <v>50</v>
      </c>
      <c r="J1" s="14" t="s">
        <v>51</v>
      </c>
      <c r="K1" s="14" t="s">
        <v>52</v>
      </c>
      <c r="L1" s="14" t="s">
        <v>53</v>
      </c>
      <c r="M1" s="14" t="s">
        <v>54</v>
      </c>
      <c r="N1" s="14" t="s">
        <v>55</v>
      </c>
      <c r="O1" s="14" t="s">
        <v>56</v>
      </c>
      <c r="P1" s="14" t="s">
        <v>57</v>
      </c>
      <c r="Q1" s="14" t="s">
        <v>58</v>
      </c>
      <c r="R1" s="14" t="s">
        <v>59</v>
      </c>
      <c r="S1" s="14" t="s">
        <v>60</v>
      </c>
      <c r="T1" s="14" t="s">
        <v>61</v>
      </c>
      <c r="U1" s="14" t="s">
        <v>62</v>
      </c>
      <c r="V1" s="14" t="s">
        <v>63</v>
      </c>
      <c r="W1" s="14" t="s">
        <v>64</v>
      </c>
      <c r="X1" s="14" t="s">
        <v>65</v>
      </c>
      <c r="Y1" s="14" t="s">
        <v>10</v>
      </c>
      <c r="Z1" s="14" t="s">
        <v>66</v>
      </c>
      <c r="AA1" s="14" t="s">
        <v>15</v>
      </c>
      <c r="AB1" s="14" t="s">
        <v>67</v>
      </c>
      <c r="AC1" s="14" t="s">
        <v>68</v>
      </c>
    </row>
    <row r="2" spans="1:29" x14ac:dyDescent="0.15">
      <c r="A2" s="2"/>
      <c r="B2" s="2"/>
      <c r="C2" s="8"/>
      <c r="D2" s="12"/>
      <c r="E2" s="10"/>
      <c r="F2" s="10"/>
      <c r="G2" s="2"/>
      <c r="H2" s="13"/>
      <c r="I2" s="10"/>
      <c r="J2" s="12"/>
      <c r="K2" s="2"/>
      <c r="L2" s="2"/>
      <c r="M2" s="2"/>
      <c r="N2" s="5"/>
      <c r="O2" s="5"/>
      <c r="P2" s="11"/>
      <c r="Q2" s="5"/>
      <c r="R2" s="10"/>
      <c r="S2" s="5"/>
      <c r="T2" s="5"/>
      <c r="U2" s="5"/>
      <c r="V2" s="7"/>
      <c r="W2" s="8"/>
      <c r="X2" s="2"/>
      <c r="Y2" s="10"/>
      <c r="Z2" s="11"/>
      <c r="AA2" s="10"/>
      <c r="AB2" s="8"/>
      <c r="AC2" s="8"/>
    </row>
    <row r="3" spans="1:29" x14ac:dyDescent="0.15">
      <c r="A3" s="2"/>
      <c r="B3" s="2"/>
      <c r="C3" s="8"/>
      <c r="D3" s="12"/>
      <c r="E3" s="10"/>
      <c r="F3" s="10"/>
      <c r="G3" s="2"/>
      <c r="H3" s="13"/>
      <c r="I3" s="10"/>
      <c r="J3" s="12"/>
      <c r="K3" s="2"/>
      <c r="L3" s="2"/>
      <c r="M3" s="2"/>
      <c r="N3" s="5"/>
      <c r="O3" s="5"/>
      <c r="P3" s="11"/>
      <c r="Q3" s="5"/>
      <c r="R3" s="10"/>
      <c r="S3" s="5"/>
      <c r="T3" s="5"/>
      <c r="U3" s="5"/>
      <c r="V3" s="7"/>
      <c r="W3" s="8"/>
      <c r="X3" s="2"/>
      <c r="Y3" s="10"/>
      <c r="Z3" s="11"/>
      <c r="AA3" s="10"/>
      <c r="AB3" s="8"/>
      <c r="AC3" s="8"/>
    </row>
    <row r="4" spans="1:29" x14ac:dyDescent="0.15">
      <c r="A4" s="2"/>
      <c r="B4" s="2"/>
      <c r="C4" s="8"/>
      <c r="D4" s="12"/>
      <c r="E4" s="10"/>
      <c r="F4" s="10"/>
      <c r="G4" s="2"/>
      <c r="H4" s="13"/>
      <c r="I4" s="10"/>
      <c r="J4" s="12"/>
      <c r="K4" s="2"/>
      <c r="L4" s="2"/>
      <c r="M4" s="2"/>
      <c r="N4" s="5"/>
      <c r="O4" s="5"/>
      <c r="P4" s="11"/>
      <c r="Q4" s="5"/>
      <c r="R4" s="10"/>
      <c r="S4" s="5"/>
      <c r="T4" s="5"/>
      <c r="U4" s="5"/>
      <c r="V4" s="7"/>
      <c r="W4" s="8"/>
      <c r="X4" s="2"/>
      <c r="Y4" s="10"/>
      <c r="Z4" s="11"/>
      <c r="AA4" s="10"/>
      <c r="AB4" s="8"/>
      <c r="AC4" s="8"/>
    </row>
    <row r="5" spans="1:29" x14ac:dyDescent="0.15">
      <c r="A5" s="2"/>
      <c r="B5" s="2"/>
      <c r="C5" s="8"/>
      <c r="D5" s="12"/>
      <c r="E5" s="10"/>
      <c r="F5" s="10"/>
      <c r="G5" s="2"/>
      <c r="H5" s="13"/>
      <c r="I5" s="10"/>
      <c r="J5" s="12"/>
      <c r="K5" s="2"/>
      <c r="L5" s="2"/>
      <c r="M5" s="2"/>
      <c r="N5" s="5"/>
      <c r="O5" s="5"/>
      <c r="P5" s="11"/>
      <c r="Q5" s="5"/>
      <c r="R5" s="10"/>
      <c r="S5" s="5"/>
      <c r="T5" s="5"/>
      <c r="U5" s="5"/>
      <c r="V5" s="7"/>
      <c r="W5" s="8"/>
      <c r="X5" s="2"/>
      <c r="Y5" s="10"/>
      <c r="Z5" s="11"/>
      <c r="AA5" s="10"/>
      <c r="AB5" s="8"/>
      <c r="AC5" s="8"/>
    </row>
    <row r="6" spans="1:29" x14ac:dyDescent="0.15">
      <c r="A6" s="2"/>
      <c r="B6" s="2"/>
      <c r="C6" s="8"/>
      <c r="D6" s="12"/>
      <c r="E6" s="10"/>
      <c r="F6" s="10"/>
      <c r="G6" s="2"/>
      <c r="H6" s="13"/>
      <c r="I6" s="10"/>
      <c r="J6" s="12"/>
      <c r="K6" s="2"/>
      <c r="L6" s="2"/>
      <c r="M6" s="2"/>
      <c r="N6" s="5"/>
      <c r="O6" s="5"/>
      <c r="P6" s="11"/>
      <c r="Q6" s="5"/>
      <c r="R6" s="10"/>
      <c r="S6" s="5"/>
      <c r="T6" s="5"/>
      <c r="U6" s="5"/>
      <c r="V6" s="7"/>
      <c r="W6" s="8"/>
      <c r="X6" s="2"/>
      <c r="Y6" s="10"/>
      <c r="Z6" s="11"/>
      <c r="AA6" s="10"/>
      <c r="AB6" s="8"/>
      <c r="AC6" s="8"/>
    </row>
    <row r="7" spans="1:29" x14ac:dyDescent="0.15">
      <c r="A7" s="2"/>
      <c r="B7" s="2"/>
      <c r="C7" s="8"/>
      <c r="D7" s="12"/>
      <c r="E7" s="10"/>
      <c r="F7" s="10"/>
      <c r="G7" s="2"/>
      <c r="H7" s="13"/>
      <c r="I7" s="10"/>
      <c r="J7" s="12"/>
      <c r="K7" s="2"/>
      <c r="L7" s="2"/>
      <c r="M7" s="2"/>
      <c r="N7" s="5"/>
      <c r="O7" s="5"/>
      <c r="P7" s="11"/>
      <c r="Q7" s="5"/>
      <c r="R7" s="10"/>
      <c r="S7" s="5"/>
      <c r="T7" s="5"/>
      <c r="U7" s="5"/>
      <c r="V7" s="7"/>
      <c r="W7" s="8"/>
      <c r="X7" s="2"/>
      <c r="Y7" s="10"/>
      <c r="Z7" s="11"/>
      <c r="AA7" s="10"/>
      <c r="AB7" s="8"/>
      <c r="AC7" s="8"/>
    </row>
    <row r="8" spans="1:29" x14ac:dyDescent="0.15">
      <c r="A8" s="2"/>
      <c r="B8" s="2"/>
      <c r="C8" s="8"/>
      <c r="D8" s="12"/>
      <c r="E8" s="10"/>
      <c r="F8" s="10"/>
      <c r="G8" s="2"/>
      <c r="H8" s="13"/>
      <c r="I8" s="10"/>
      <c r="J8" s="12"/>
      <c r="K8" s="2"/>
      <c r="L8" s="2"/>
      <c r="M8" s="2"/>
      <c r="N8" s="5"/>
      <c r="O8" s="5"/>
      <c r="P8" s="11"/>
      <c r="Q8" s="5"/>
      <c r="R8" s="10"/>
      <c r="S8" s="5"/>
      <c r="T8" s="5"/>
      <c r="U8" s="5"/>
      <c r="V8" s="7"/>
      <c r="W8" s="8"/>
      <c r="X8" s="2"/>
      <c r="Y8" s="10"/>
      <c r="Z8" s="11"/>
      <c r="AA8" s="10"/>
      <c r="AB8" s="8"/>
      <c r="AC8" s="8"/>
    </row>
    <row r="9" spans="1:29" x14ac:dyDescent="0.15">
      <c r="A9" s="2"/>
      <c r="B9" s="2"/>
      <c r="C9" s="8"/>
      <c r="D9" s="12"/>
      <c r="E9" s="10"/>
      <c r="F9" s="10"/>
      <c r="G9" s="2"/>
      <c r="H9" s="13"/>
      <c r="I9" s="10"/>
      <c r="J9" s="12"/>
      <c r="K9" s="2"/>
      <c r="L9" s="2"/>
      <c r="M9" s="2"/>
      <c r="N9" s="5"/>
      <c r="O9" s="5"/>
      <c r="P9" s="11"/>
      <c r="Q9" s="5"/>
      <c r="R9" s="10"/>
      <c r="S9" s="5"/>
      <c r="T9" s="5"/>
      <c r="U9" s="5"/>
      <c r="V9" s="7"/>
      <c r="W9" s="8"/>
      <c r="X9" s="2"/>
      <c r="Y9" s="10"/>
      <c r="Z9" s="11"/>
      <c r="AA9" s="10"/>
      <c r="AB9" s="8"/>
      <c r="AC9" s="8"/>
    </row>
    <row r="10" spans="1:29" x14ac:dyDescent="0.15">
      <c r="A10" s="2"/>
      <c r="B10" s="2"/>
      <c r="C10" s="8"/>
      <c r="D10" s="12"/>
      <c r="E10" s="10"/>
      <c r="F10" s="10"/>
      <c r="G10" s="2"/>
      <c r="H10" s="13"/>
      <c r="I10" s="10"/>
      <c r="J10" s="12"/>
      <c r="K10" s="2"/>
      <c r="L10" s="2"/>
      <c r="M10" s="2"/>
      <c r="N10" s="5"/>
      <c r="O10" s="5"/>
      <c r="P10" s="11"/>
      <c r="Q10" s="5"/>
      <c r="R10" s="10"/>
      <c r="S10" s="5"/>
      <c r="T10" s="5"/>
      <c r="U10" s="5"/>
      <c r="V10" s="7"/>
      <c r="W10" s="8"/>
      <c r="X10" s="2"/>
      <c r="Y10" s="10"/>
      <c r="Z10" s="11"/>
      <c r="AA10" s="10"/>
      <c r="AB10" s="8"/>
      <c r="AC10" s="8"/>
    </row>
    <row r="11" spans="1:29" x14ac:dyDescent="0.15">
      <c r="A11" s="2"/>
      <c r="B11" s="2"/>
      <c r="C11" s="8"/>
      <c r="D11" s="12"/>
      <c r="E11" s="10"/>
      <c r="F11" s="10"/>
      <c r="G11" s="2"/>
      <c r="H11" s="13"/>
      <c r="I11" s="10"/>
      <c r="J11" s="12"/>
      <c r="K11" s="2"/>
      <c r="L11" s="2"/>
      <c r="M11" s="2"/>
      <c r="N11" s="5"/>
      <c r="O11" s="5"/>
      <c r="P11" s="11"/>
      <c r="Q11" s="5"/>
      <c r="R11" s="10"/>
      <c r="S11" s="5"/>
      <c r="T11" s="5"/>
      <c r="U11" s="5"/>
      <c r="V11" s="7"/>
      <c r="W11" s="8"/>
      <c r="X11" s="2"/>
      <c r="Y11" s="10"/>
      <c r="Z11" s="11"/>
      <c r="AA11" s="10"/>
      <c r="AB11" s="8"/>
      <c r="AC11" s="8"/>
    </row>
    <row r="12" spans="1:29" x14ac:dyDescent="0.15">
      <c r="A12" s="2"/>
      <c r="B12" s="2"/>
      <c r="C12" s="8"/>
      <c r="D12" s="12"/>
      <c r="E12" s="10"/>
      <c r="F12" s="10"/>
      <c r="G12" s="2"/>
      <c r="H12" s="13"/>
      <c r="I12" s="10"/>
      <c r="J12" s="12"/>
      <c r="K12" s="2"/>
      <c r="L12" s="2"/>
      <c r="M12" s="2"/>
      <c r="N12" s="5"/>
      <c r="O12" s="5"/>
      <c r="P12" s="11"/>
      <c r="Q12" s="5"/>
      <c r="R12" s="10"/>
      <c r="S12" s="5"/>
      <c r="T12" s="5"/>
      <c r="U12" s="5"/>
      <c r="V12" s="7"/>
      <c r="W12" s="8"/>
      <c r="X12" s="2"/>
      <c r="Y12" s="10"/>
      <c r="Z12" s="11"/>
      <c r="AA12" s="10"/>
      <c r="AB12" s="8"/>
      <c r="AC12" s="8"/>
    </row>
    <row r="13" spans="1:29" x14ac:dyDescent="0.15">
      <c r="A13" s="2"/>
      <c r="B13" s="2"/>
      <c r="C13" s="8"/>
      <c r="D13" s="12"/>
      <c r="E13" s="10"/>
      <c r="F13" s="10"/>
      <c r="G13" s="2"/>
      <c r="H13" s="13"/>
      <c r="I13" s="10"/>
      <c r="J13" s="12"/>
      <c r="K13" s="2"/>
      <c r="L13" s="2"/>
      <c r="M13" s="2"/>
      <c r="N13" s="5"/>
      <c r="O13" s="5"/>
      <c r="P13" s="11"/>
      <c r="Q13" s="5"/>
      <c r="R13" s="10"/>
      <c r="S13" s="5"/>
      <c r="T13" s="5"/>
      <c r="U13" s="5"/>
      <c r="V13" s="7"/>
      <c r="W13" s="8"/>
      <c r="X13" s="2"/>
      <c r="Y13" s="10"/>
      <c r="Z13" s="11"/>
      <c r="AA13" s="10"/>
      <c r="AB13" s="8"/>
      <c r="AC13" s="8"/>
    </row>
    <row r="14" spans="1:29" x14ac:dyDescent="0.15">
      <c r="A14" s="2"/>
      <c r="B14" s="2"/>
      <c r="C14" s="8"/>
      <c r="D14" s="12"/>
      <c r="E14" s="10"/>
      <c r="F14" s="10"/>
      <c r="G14" s="2"/>
      <c r="H14" s="13"/>
      <c r="I14" s="10"/>
      <c r="J14" s="12"/>
      <c r="K14" s="2"/>
      <c r="L14" s="2"/>
      <c r="M14" s="2"/>
      <c r="N14" s="5"/>
      <c r="O14" s="5"/>
      <c r="P14" s="11"/>
      <c r="Q14" s="5"/>
      <c r="R14" s="10"/>
      <c r="S14" s="5"/>
      <c r="T14" s="5"/>
      <c r="U14" s="5"/>
      <c r="V14" s="7"/>
      <c r="W14" s="8"/>
      <c r="X14" s="2"/>
      <c r="Y14" s="10"/>
      <c r="Z14" s="11"/>
      <c r="AA14" s="10"/>
      <c r="AB14" s="8"/>
      <c r="AC14" s="8"/>
    </row>
    <row r="15" spans="1:29" x14ac:dyDescent="0.15">
      <c r="A15" s="2"/>
      <c r="B15" s="2"/>
      <c r="C15" s="8"/>
      <c r="D15" s="12"/>
      <c r="E15" s="10"/>
      <c r="F15" s="10"/>
      <c r="G15" s="2"/>
      <c r="H15" s="13"/>
      <c r="I15" s="10"/>
      <c r="J15" s="12"/>
      <c r="K15" s="2"/>
      <c r="L15" s="2"/>
      <c r="M15" s="2"/>
      <c r="N15" s="5"/>
      <c r="O15" s="5"/>
      <c r="P15" s="11"/>
      <c r="Q15" s="5"/>
      <c r="R15" s="10"/>
      <c r="S15" s="5"/>
      <c r="T15" s="5"/>
      <c r="U15" s="5"/>
      <c r="V15" s="7"/>
      <c r="W15" s="8"/>
      <c r="X15" s="2"/>
      <c r="Y15" s="10"/>
      <c r="Z15" s="11"/>
      <c r="AA15" s="10"/>
      <c r="AB15" s="8"/>
      <c r="AC15" s="8"/>
    </row>
    <row r="16" spans="1:29" x14ac:dyDescent="0.15">
      <c r="A16" s="2"/>
      <c r="B16" s="2"/>
      <c r="C16" s="8"/>
      <c r="D16" s="12"/>
      <c r="E16" s="10"/>
      <c r="F16" s="10"/>
      <c r="G16" s="2"/>
      <c r="H16" s="13"/>
      <c r="I16" s="10"/>
      <c r="J16" s="12"/>
      <c r="K16" s="2"/>
      <c r="L16" s="2"/>
      <c r="M16" s="2"/>
      <c r="N16" s="5"/>
      <c r="O16" s="5"/>
      <c r="P16" s="11"/>
      <c r="Q16" s="5"/>
      <c r="R16" s="10"/>
      <c r="S16" s="5"/>
      <c r="T16" s="5"/>
      <c r="U16" s="5"/>
      <c r="V16" s="7"/>
      <c r="W16" s="8"/>
      <c r="X16" s="2"/>
      <c r="Y16" s="10"/>
      <c r="Z16" s="11"/>
      <c r="AA16" s="10"/>
      <c r="AB16" s="8"/>
      <c r="AC16" s="8"/>
    </row>
    <row r="17" spans="1:29" x14ac:dyDescent="0.15">
      <c r="A17" s="2"/>
      <c r="B17" s="2"/>
      <c r="C17" s="8"/>
      <c r="D17" s="12"/>
      <c r="E17" s="10"/>
      <c r="F17" s="10"/>
      <c r="G17" s="2"/>
      <c r="H17" s="13"/>
      <c r="I17" s="10"/>
      <c r="J17" s="12"/>
      <c r="K17" s="2"/>
      <c r="L17" s="2"/>
      <c r="M17" s="2"/>
      <c r="N17" s="5"/>
      <c r="O17" s="5"/>
      <c r="P17" s="11"/>
      <c r="Q17" s="5"/>
      <c r="R17" s="10"/>
      <c r="S17" s="5"/>
      <c r="T17" s="5"/>
      <c r="U17" s="5"/>
      <c r="V17" s="7"/>
      <c r="W17" s="8"/>
      <c r="X17" s="2"/>
      <c r="Y17" s="10"/>
      <c r="Z17" s="11"/>
      <c r="AA17" s="10"/>
      <c r="AB17" s="8"/>
      <c r="AC17" s="8"/>
    </row>
    <row r="18" spans="1:29" x14ac:dyDescent="0.15">
      <c r="A18" s="2"/>
      <c r="B18" s="2"/>
      <c r="C18" s="8"/>
      <c r="D18" s="12"/>
      <c r="E18" s="10"/>
      <c r="F18" s="10"/>
      <c r="G18" s="2"/>
      <c r="H18" s="13"/>
      <c r="I18" s="10"/>
      <c r="J18" s="12"/>
      <c r="K18" s="2"/>
      <c r="L18" s="2"/>
      <c r="M18" s="2"/>
      <c r="N18" s="5"/>
      <c r="O18" s="5"/>
      <c r="P18" s="11"/>
      <c r="Q18" s="5"/>
      <c r="R18" s="10"/>
      <c r="S18" s="5"/>
      <c r="T18" s="5"/>
      <c r="U18" s="5"/>
      <c r="V18" s="7"/>
      <c r="W18" s="8"/>
      <c r="X18" s="2"/>
      <c r="Y18" s="10"/>
      <c r="Z18" s="11"/>
      <c r="AA18" s="10"/>
      <c r="AB18" s="8"/>
      <c r="AC18" s="8"/>
    </row>
    <row r="19" spans="1:29" x14ac:dyDescent="0.15">
      <c r="A19" s="2"/>
      <c r="B19" s="2"/>
      <c r="C19" s="8"/>
      <c r="D19" s="12"/>
      <c r="E19" s="10"/>
      <c r="F19" s="10"/>
      <c r="G19" s="2"/>
      <c r="H19" s="13"/>
      <c r="I19" s="10"/>
      <c r="J19" s="12"/>
      <c r="K19" s="2"/>
      <c r="L19" s="2"/>
      <c r="M19" s="2"/>
      <c r="N19" s="5"/>
      <c r="O19" s="5"/>
      <c r="P19" s="11"/>
      <c r="Q19" s="5"/>
      <c r="R19" s="10"/>
      <c r="S19" s="5"/>
      <c r="T19" s="5"/>
      <c r="U19" s="5"/>
      <c r="V19" s="7"/>
      <c r="W19" s="8"/>
      <c r="X19" s="2"/>
      <c r="Y19" s="10"/>
      <c r="Z19" s="11"/>
      <c r="AA19" s="10"/>
      <c r="AB19" s="8"/>
      <c r="AC19" s="8"/>
    </row>
    <row r="20" spans="1:29" x14ac:dyDescent="0.15">
      <c r="A20" s="2"/>
      <c r="B20" s="2"/>
      <c r="C20" s="8"/>
      <c r="D20" s="12"/>
      <c r="E20" s="10"/>
      <c r="F20" s="10"/>
      <c r="G20" s="2"/>
      <c r="H20" s="13"/>
      <c r="I20" s="10"/>
      <c r="J20" s="12"/>
      <c r="K20" s="2"/>
      <c r="L20" s="2"/>
      <c r="M20" s="2"/>
      <c r="N20" s="5"/>
      <c r="O20" s="5"/>
      <c r="P20" s="11"/>
      <c r="Q20" s="5"/>
      <c r="R20" s="10"/>
      <c r="S20" s="5"/>
      <c r="T20" s="5"/>
      <c r="U20" s="5"/>
      <c r="V20" s="7"/>
      <c r="W20" s="8"/>
      <c r="X20" s="2"/>
      <c r="Y20" s="10"/>
      <c r="Z20" s="11"/>
      <c r="AA20" s="10"/>
      <c r="AB20" s="8"/>
      <c r="AC20" s="8"/>
    </row>
    <row r="21" spans="1:29" x14ac:dyDescent="0.15">
      <c r="A21" s="2"/>
      <c r="B21" s="2"/>
      <c r="C21" s="8"/>
      <c r="D21" s="12"/>
      <c r="E21" s="10"/>
      <c r="F21" s="10"/>
      <c r="G21" s="2"/>
      <c r="H21" s="13"/>
      <c r="I21" s="10"/>
      <c r="J21" s="12"/>
      <c r="K21" s="2"/>
      <c r="L21" s="2"/>
      <c r="M21" s="2"/>
      <c r="N21" s="5"/>
      <c r="O21" s="5"/>
      <c r="P21" s="11"/>
      <c r="Q21" s="5"/>
      <c r="R21" s="10"/>
      <c r="S21" s="5"/>
      <c r="T21" s="5"/>
      <c r="U21" s="5"/>
      <c r="V21" s="7"/>
      <c r="W21" s="8"/>
      <c r="X21" s="2"/>
      <c r="Y21" s="10"/>
      <c r="Z21" s="11"/>
      <c r="AA21" s="10"/>
      <c r="AB21" s="8"/>
      <c r="AC21" s="8"/>
    </row>
    <row r="22" spans="1:29" x14ac:dyDescent="0.15">
      <c r="A22" s="2"/>
      <c r="B22" s="2"/>
      <c r="C22" s="8"/>
      <c r="D22" s="12"/>
      <c r="E22" s="10"/>
      <c r="F22" s="10"/>
      <c r="G22" s="2"/>
      <c r="H22" s="13"/>
      <c r="I22" s="10"/>
      <c r="J22" s="12"/>
      <c r="K22" s="2"/>
      <c r="L22" s="2"/>
      <c r="M22" s="2"/>
      <c r="N22" s="5"/>
      <c r="O22" s="5"/>
      <c r="P22" s="11"/>
      <c r="Q22" s="5"/>
      <c r="R22" s="10"/>
      <c r="S22" s="5"/>
      <c r="T22" s="5"/>
      <c r="U22" s="5"/>
      <c r="V22" s="7"/>
      <c r="W22" s="8"/>
      <c r="X22" s="2"/>
      <c r="Y22" s="10"/>
      <c r="Z22" s="11"/>
      <c r="AA22" s="10"/>
      <c r="AB22" s="8"/>
      <c r="AC22" s="8"/>
    </row>
    <row r="23" spans="1:29" x14ac:dyDescent="0.15">
      <c r="A23" s="2"/>
      <c r="B23" s="2"/>
      <c r="C23" s="8"/>
      <c r="D23" s="12"/>
      <c r="E23" s="10"/>
      <c r="F23" s="10"/>
      <c r="G23" s="2"/>
      <c r="H23" s="13"/>
      <c r="I23" s="10"/>
      <c r="J23" s="12"/>
      <c r="K23" s="2"/>
      <c r="L23" s="2"/>
      <c r="M23" s="2"/>
      <c r="N23" s="5"/>
      <c r="O23" s="5"/>
      <c r="P23" s="11"/>
      <c r="Q23" s="5"/>
      <c r="R23" s="10"/>
      <c r="S23" s="5"/>
      <c r="T23" s="5"/>
      <c r="U23" s="5"/>
      <c r="V23" s="7"/>
      <c r="W23" s="8"/>
      <c r="X23" s="2"/>
      <c r="Y23" s="10"/>
      <c r="Z23" s="11"/>
      <c r="AA23" s="10"/>
      <c r="AB23" s="8"/>
      <c r="AC23" s="8"/>
    </row>
    <row r="24" spans="1:29" x14ac:dyDescent="0.15">
      <c r="A24" s="2"/>
      <c r="B24" s="2"/>
      <c r="C24" s="8"/>
      <c r="D24" s="12"/>
      <c r="E24" s="10"/>
      <c r="F24" s="10"/>
      <c r="G24" s="2"/>
      <c r="H24" s="13"/>
      <c r="I24" s="10"/>
      <c r="J24" s="12"/>
      <c r="K24" s="2"/>
      <c r="L24" s="2"/>
      <c r="M24" s="2"/>
      <c r="N24" s="5"/>
      <c r="O24" s="5"/>
      <c r="P24" s="11"/>
      <c r="Q24" s="5"/>
      <c r="R24" s="10"/>
      <c r="S24" s="5"/>
      <c r="T24" s="5"/>
      <c r="U24" s="5"/>
      <c r="V24" s="7"/>
      <c r="W24" s="8"/>
      <c r="X24" s="2"/>
      <c r="Y24" s="10"/>
      <c r="Z24" s="11"/>
      <c r="AA24" s="10"/>
      <c r="AB24" s="8"/>
      <c r="AC24" s="8"/>
    </row>
    <row r="25" spans="1:29" x14ac:dyDescent="0.15">
      <c r="A25" s="2"/>
      <c r="B25" s="2"/>
      <c r="C25" s="8"/>
      <c r="D25" s="12"/>
      <c r="E25" s="10"/>
      <c r="F25" s="10"/>
      <c r="G25" s="2"/>
      <c r="H25" s="13"/>
      <c r="I25" s="10"/>
      <c r="J25" s="12"/>
      <c r="K25" s="2"/>
      <c r="L25" s="2"/>
      <c r="M25" s="2"/>
      <c r="N25" s="5"/>
      <c r="O25" s="5"/>
      <c r="P25" s="11"/>
      <c r="Q25" s="5"/>
      <c r="R25" s="10"/>
      <c r="S25" s="5"/>
      <c r="T25" s="5"/>
      <c r="U25" s="5"/>
      <c r="V25" s="7"/>
      <c r="W25" s="8"/>
      <c r="X25" s="2"/>
      <c r="Y25" s="10"/>
      <c r="Z25" s="11"/>
      <c r="AA25" s="10"/>
      <c r="AB25" s="8"/>
      <c r="AC25" s="8"/>
    </row>
    <row r="26" spans="1:29" x14ac:dyDescent="0.15">
      <c r="A26" s="2"/>
      <c r="B26" s="2"/>
      <c r="C26" s="8"/>
      <c r="D26" s="12"/>
      <c r="E26" s="10"/>
      <c r="F26" s="10"/>
      <c r="G26" s="2"/>
      <c r="H26" s="13"/>
      <c r="I26" s="10"/>
      <c r="J26" s="12"/>
      <c r="K26" s="2"/>
      <c r="L26" s="2"/>
      <c r="M26" s="2"/>
      <c r="N26" s="5"/>
      <c r="O26" s="5"/>
      <c r="P26" s="11"/>
      <c r="Q26" s="5"/>
      <c r="R26" s="10"/>
      <c r="S26" s="5"/>
      <c r="T26" s="5"/>
      <c r="U26" s="5"/>
      <c r="V26" s="7"/>
      <c r="W26" s="8"/>
      <c r="X26" s="2"/>
      <c r="Y26" s="10"/>
      <c r="Z26" s="11"/>
      <c r="AA26" s="10"/>
      <c r="AB26" s="8"/>
      <c r="AC26" s="8"/>
    </row>
    <row r="27" spans="1:29" x14ac:dyDescent="0.15">
      <c r="A27" s="2"/>
      <c r="B27" s="2"/>
      <c r="C27" s="8"/>
      <c r="D27" s="12"/>
      <c r="E27" s="10"/>
      <c r="F27" s="10"/>
      <c r="G27" s="2"/>
      <c r="H27" s="13"/>
      <c r="I27" s="10"/>
      <c r="J27" s="12"/>
      <c r="K27" s="2"/>
      <c r="L27" s="2"/>
      <c r="M27" s="2"/>
      <c r="N27" s="5"/>
      <c r="O27" s="5"/>
      <c r="P27" s="11"/>
      <c r="Q27" s="5"/>
      <c r="R27" s="10"/>
      <c r="S27" s="5"/>
      <c r="T27" s="5"/>
      <c r="U27" s="5"/>
      <c r="V27" s="7"/>
      <c r="W27" s="8"/>
      <c r="X27" s="2"/>
      <c r="Y27" s="10"/>
      <c r="Z27" s="11"/>
      <c r="AA27" s="10"/>
      <c r="AB27" s="8"/>
      <c r="AC27" s="8"/>
    </row>
    <row r="28" spans="1:29" x14ac:dyDescent="0.15">
      <c r="A28" s="2"/>
      <c r="B28" s="2"/>
      <c r="C28" s="8"/>
      <c r="D28" s="12"/>
      <c r="E28" s="10"/>
      <c r="F28" s="10"/>
      <c r="G28" s="2"/>
      <c r="H28" s="13"/>
      <c r="I28" s="10"/>
      <c r="J28" s="12"/>
      <c r="K28" s="2"/>
      <c r="L28" s="2"/>
      <c r="M28" s="2"/>
      <c r="N28" s="5"/>
      <c r="O28" s="5"/>
      <c r="P28" s="11"/>
      <c r="Q28" s="5"/>
      <c r="R28" s="10"/>
      <c r="S28" s="5"/>
      <c r="T28" s="5"/>
      <c r="U28" s="5"/>
      <c r="V28" s="7"/>
      <c r="W28" s="8"/>
      <c r="X28" s="2"/>
      <c r="Y28" s="10"/>
      <c r="Z28" s="11"/>
      <c r="AA28" s="10"/>
      <c r="AB28" s="8"/>
      <c r="AC28" s="8"/>
    </row>
    <row r="29" spans="1:29" x14ac:dyDescent="0.15">
      <c r="A29" s="2"/>
      <c r="B29" s="2"/>
      <c r="C29" s="8"/>
      <c r="D29" s="12"/>
      <c r="E29" s="10"/>
      <c r="F29" s="10"/>
      <c r="G29" s="2"/>
      <c r="H29" s="13"/>
      <c r="I29" s="10"/>
      <c r="J29" s="12"/>
      <c r="K29" s="2"/>
      <c r="L29" s="2"/>
      <c r="M29" s="2"/>
      <c r="N29" s="5"/>
      <c r="O29" s="5"/>
      <c r="P29" s="11"/>
      <c r="Q29" s="5"/>
      <c r="R29" s="10"/>
      <c r="S29" s="5"/>
      <c r="T29" s="5"/>
      <c r="U29" s="5"/>
      <c r="V29" s="7"/>
      <c r="W29" s="8"/>
      <c r="X29" s="2"/>
      <c r="Y29" s="10"/>
      <c r="Z29" s="11"/>
      <c r="AA29" s="10"/>
      <c r="AB29" s="8"/>
      <c r="AC29" s="8"/>
    </row>
    <row r="30" spans="1:29" x14ac:dyDescent="0.15">
      <c r="A30" s="2"/>
      <c r="B30" s="2"/>
      <c r="C30" s="8"/>
      <c r="D30" s="12"/>
      <c r="E30" s="10"/>
      <c r="F30" s="10"/>
      <c r="G30" s="2"/>
      <c r="H30" s="13"/>
      <c r="I30" s="10"/>
      <c r="J30" s="12"/>
      <c r="K30" s="2"/>
      <c r="L30" s="2"/>
      <c r="M30" s="2"/>
      <c r="N30" s="5"/>
      <c r="O30" s="5"/>
      <c r="P30" s="11"/>
      <c r="Q30" s="5"/>
      <c r="R30" s="10"/>
      <c r="S30" s="5"/>
      <c r="T30" s="5"/>
      <c r="U30" s="5"/>
      <c r="V30" s="7"/>
      <c r="W30" s="8"/>
      <c r="X30" s="2"/>
      <c r="Y30" s="10"/>
      <c r="Z30" s="11"/>
      <c r="AA30" s="10"/>
      <c r="AB30" s="8"/>
      <c r="AC30" s="8"/>
    </row>
    <row r="31" spans="1:29" x14ac:dyDescent="0.15">
      <c r="A31" s="2"/>
      <c r="B31" s="2"/>
      <c r="C31" s="8"/>
      <c r="D31" s="12"/>
      <c r="E31" s="10"/>
      <c r="F31" s="10"/>
      <c r="G31" s="2"/>
      <c r="H31" s="13"/>
      <c r="I31" s="10"/>
      <c r="J31" s="12"/>
      <c r="K31" s="2"/>
      <c r="L31" s="2"/>
      <c r="M31" s="2"/>
      <c r="N31" s="5"/>
      <c r="O31" s="5"/>
      <c r="P31" s="11"/>
      <c r="Q31" s="5"/>
      <c r="R31" s="10"/>
      <c r="S31" s="5"/>
      <c r="T31" s="5"/>
      <c r="U31" s="5"/>
      <c r="V31" s="7"/>
      <c r="W31" s="8"/>
      <c r="X31" s="2"/>
      <c r="Y31" s="10"/>
      <c r="Z31" s="11"/>
      <c r="AA31" s="10"/>
      <c r="AB31" s="8"/>
      <c r="AC31" s="8"/>
    </row>
    <row r="32" spans="1:29" x14ac:dyDescent="0.15">
      <c r="A32" s="2"/>
      <c r="B32" s="2"/>
      <c r="C32" s="8"/>
      <c r="D32" s="12"/>
      <c r="E32" s="10"/>
      <c r="F32" s="10"/>
      <c r="G32" s="2"/>
      <c r="H32" s="13"/>
      <c r="I32" s="10"/>
      <c r="J32" s="12"/>
      <c r="K32" s="2"/>
      <c r="L32" s="2"/>
      <c r="M32" s="2"/>
      <c r="N32" s="5"/>
      <c r="O32" s="5"/>
      <c r="P32" s="11"/>
      <c r="Q32" s="5"/>
      <c r="R32" s="10"/>
      <c r="S32" s="5"/>
      <c r="T32" s="5"/>
      <c r="U32" s="5"/>
      <c r="V32" s="7"/>
      <c r="W32" s="8"/>
      <c r="X32" s="2"/>
      <c r="Y32" s="10"/>
      <c r="Z32" s="11"/>
      <c r="AA32" s="10"/>
      <c r="AB32" s="8"/>
      <c r="AC32" s="8"/>
    </row>
    <row r="33" spans="1:29" x14ac:dyDescent="0.15">
      <c r="A33" s="2"/>
      <c r="B33" s="2"/>
      <c r="C33" s="8"/>
      <c r="D33" s="12"/>
      <c r="E33" s="10"/>
      <c r="F33" s="10"/>
      <c r="G33" s="2"/>
      <c r="H33" s="13"/>
      <c r="I33" s="10"/>
      <c r="J33" s="12"/>
      <c r="K33" s="2"/>
      <c r="L33" s="2"/>
      <c r="M33" s="2"/>
      <c r="N33" s="5"/>
      <c r="O33" s="5"/>
      <c r="P33" s="11"/>
      <c r="Q33" s="5"/>
      <c r="R33" s="10"/>
      <c r="S33" s="5"/>
      <c r="T33" s="5"/>
      <c r="U33" s="5"/>
      <c r="V33" s="7"/>
      <c r="W33" s="8"/>
      <c r="X33" s="2"/>
      <c r="Y33" s="10"/>
      <c r="Z33" s="11"/>
      <c r="AA33" s="10"/>
      <c r="AB33" s="8"/>
      <c r="AC33" s="8"/>
    </row>
    <row r="34" spans="1:29" x14ac:dyDescent="0.15">
      <c r="A34" s="2"/>
      <c r="B34" s="2"/>
      <c r="C34" s="8"/>
      <c r="D34" s="12"/>
      <c r="E34" s="10"/>
      <c r="F34" s="10"/>
      <c r="G34" s="2"/>
      <c r="H34" s="13"/>
      <c r="I34" s="10"/>
      <c r="J34" s="12"/>
      <c r="K34" s="2"/>
      <c r="L34" s="2"/>
      <c r="M34" s="2"/>
      <c r="N34" s="5"/>
      <c r="O34" s="5"/>
      <c r="P34" s="11"/>
      <c r="Q34" s="5"/>
      <c r="R34" s="10"/>
      <c r="S34" s="5"/>
      <c r="T34" s="5"/>
      <c r="U34" s="5"/>
      <c r="V34" s="7"/>
      <c r="W34" s="8"/>
      <c r="X34" s="2"/>
      <c r="Y34" s="10"/>
      <c r="Z34" s="11"/>
      <c r="AA34" s="10"/>
      <c r="AB34" s="8"/>
      <c r="AC34" s="8"/>
    </row>
    <row r="35" spans="1:29" x14ac:dyDescent="0.15">
      <c r="A35" s="2"/>
      <c r="B35" s="2"/>
      <c r="C35" s="8"/>
      <c r="D35" s="12"/>
      <c r="E35" s="10"/>
      <c r="F35" s="10"/>
      <c r="G35" s="2"/>
      <c r="H35" s="13"/>
      <c r="I35" s="10"/>
      <c r="J35" s="12"/>
      <c r="K35" s="2"/>
      <c r="L35" s="2"/>
      <c r="M35" s="2"/>
      <c r="N35" s="5"/>
      <c r="O35" s="5"/>
      <c r="P35" s="11"/>
      <c r="Q35" s="5"/>
      <c r="R35" s="10"/>
      <c r="S35" s="5"/>
      <c r="T35" s="5"/>
      <c r="U35" s="5"/>
      <c r="V35" s="7"/>
      <c r="W35" s="8"/>
      <c r="X35" s="2"/>
      <c r="Y35" s="10"/>
      <c r="Z35" s="11"/>
      <c r="AA35" s="10"/>
      <c r="AB35" s="8"/>
      <c r="AC35" s="8"/>
    </row>
    <row r="36" spans="1:29" x14ac:dyDescent="0.15">
      <c r="A36" s="2"/>
      <c r="B36" s="2"/>
      <c r="C36" s="8"/>
      <c r="D36" s="12"/>
      <c r="E36" s="10"/>
      <c r="F36" s="10"/>
      <c r="G36" s="2"/>
      <c r="H36" s="13"/>
      <c r="I36" s="10"/>
      <c r="J36" s="12"/>
      <c r="K36" s="2"/>
      <c r="L36" s="2"/>
      <c r="M36" s="2"/>
      <c r="N36" s="5"/>
      <c r="O36" s="5"/>
      <c r="P36" s="11"/>
      <c r="Q36" s="5"/>
      <c r="R36" s="10"/>
      <c r="S36" s="5"/>
      <c r="T36" s="5"/>
      <c r="U36" s="5"/>
      <c r="V36" s="7"/>
      <c r="W36" s="8"/>
      <c r="X36" s="2"/>
      <c r="Y36" s="10"/>
      <c r="Z36" s="11"/>
      <c r="AA36" s="10"/>
      <c r="AB36" s="8"/>
      <c r="AC36" s="8"/>
    </row>
    <row r="37" spans="1:29" x14ac:dyDescent="0.15">
      <c r="A37" s="2"/>
      <c r="B37" s="2"/>
      <c r="C37" s="8"/>
      <c r="D37" s="12"/>
      <c r="E37" s="10"/>
      <c r="F37" s="10"/>
      <c r="G37" s="2"/>
      <c r="H37" s="13"/>
      <c r="I37" s="10"/>
      <c r="J37" s="12"/>
      <c r="K37" s="2"/>
      <c r="L37" s="2"/>
      <c r="M37" s="2"/>
      <c r="N37" s="5"/>
      <c r="O37" s="5"/>
      <c r="P37" s="11"/>
      <c r="Q37" s="5"/>
      <c r="R37" s="10"/>
      <c r="S37" s="5"/>
      <c r="T37" s="5"/>
      <c r="U37" s="5"/>
      <c r="V37" s="7"/>
      <c r="W37" s="8"/>
      <c r="X37" s="2"/>
      <c r="Y37" s="10"/>
      <c r="Z37" s="11"/>
      <c r="AA37" s="10"/>
      <c r="AB37" s="8"/>
      <c r="AC37" s="8"/>
    </row>
    <row r="38" spans="1:29" x14ac:dyDescent="0.15">
      <c r="A38" s="2"/>
      <c r="B38" s="2"/>
      <c r="C38" s="8"/>
      <c r="D38" s="12"/>
      <c r="E38" s="10"/>
      <c r="F38" s="10"/>
      <c r="G38" s="2"/>
      <c r="H38" s="13"/>
      <c r="I38" s="10"/>
      <c r="J38" s="12"/>
      <c r="K38" s="2"/>
      <c r="L38" s="2"/>
      <c r="M38" s="2"/>
      <c r="N38" s="5"/>
      <c r="O38" s="5"/>
      <c r="P38" s="11"/>
      <c r="Q38" s="5"/>
      <c r="R38" s="10"/>
      <c r="S38" s="5"/>
      <c r="T38" s="5"/>
      <c r="U38" s="5"/>
      <c r="V38" s="7"/>
      <c r="W38" s="8"/>
      <c r="X38" s="2"/>
      <c r="Y38" s="10"/>
      <c r="Z38" s="11"/>
      <c r="AA38" s="10"/>
      <c r="AB38" s="8"/>
      <c r="AC38" s="8"/>
    </row>
    <row r="39" spans="1:29" x14ac:dyDescent="0.15">
      <c r="A39" s="2"/>
      <c r="B39" s="2"/>
      <c r="C39" s="8"/>
      <c r="D39" s="12"/>
      <c r="E39" s="10"/>
      <c r="F39" s="10"/>
      <c r="G39" s="2"/>
      <c r="H39" s="13"/>
      <c r="I39" s="10"/>
      <c r="J39" s="12"/>
      <c r="K39" s="2"/>
      <c r="L39" s="2"/>
      <c r="M39" s="2"/>
      <c r="N39" s="5"/>
      <c r="O39" s="5"/>
      <c r="P39" s="11"/>
      <c r="Q39" s="5"/>
      <c r="R39" s="10"/>
      <c r="S39" s="5"/>
      <c r="T39" s="5"/>
      <c r="U39" s="5"/>
      <c r="V39" s="7"/>
      <c r="W39" s="8"/>
      <c r="X39" s="2"/>
      <c r="Y39" s="10"/>
      <c r="Z39" s="11"/>
      <c r="AA39" s="10"/>
      <c r="AB39" s="8"/>
      <c r="AC39" s="8"/>
    </row>
    <row r="40" spans="1:29" x14ac:dyDescent="0.15">
      <c r="A40" s="2"/>
      <c r="B40" s="2"/>
      <c r="C40" s="8"/>
      <c r="D40" s="12"/>
      <c r="E40" s="10"/>
      <c r="F40" s="10"/>
      <c r="G40" s="2"/>
      <c r="H40" s="13"/>
      <c r="I40" s="10"/>
      <c r="J40" s="12"/>
      <c r="K40" s="2"/>
      <c r="L40" s="2"/>
      <c r="M40" s="2"/>
      <c r="N40" s="5"/>
      <c r="O40" s="5"/>
      <c r="P40" s="11"/>
      <c r="Q40" s="5"/>
      <c r="R40" s="10"/>
      <c r="S40" s="5"/>
      <c r="T40" s="5"/>
      <c r="U40" s="5"/>
      <c r="V40" s="7"/>
      <c r="W40" s="8"/>
      <c r="X40" s="2"/>
      <c r="Y40" s="10"/>
      <c r="Z40" s="11"/>
      <c r="AA40" s="10"/>
      <c r="AB40" s="8"/>
      <c r="AC40" s="8"/>
    </row>
    <row r="41" spans="1:29" x14ac:dyDescent="0.15">
      <c r="A41" s="2"/>
      <c r="B41" s="2"/>
      <c r="C41" s="8"/>
      <c r="D41" s="12"/>
      <c r="E41" s="10"/>
      <c r="F41" s="10"/>
      <c r="G41" s="2"/>
      <c r="H41" s="13"/>
      <c r="I41" s="10"/>
      <c r="J41" s="12"/>
      <c r="K41" s="2"/>
      <c r="L41" s="2"/>
      <c r="M41" s="2"/>
      <c r="N41" s="5"/>
      <c r="O41" s="5"/>
      <c r="P41" s="11"/>
      <c r="Q41" s="5"/>
      <c r="R41" s="10"/>
      <c r="S41" s="5"/>
      <c r="T41" s="5"/>
      <c r="U41" s="5"/>
      <c r="V41" s="7"/>
      <c r="W41" s="8"/>
      <c r="X41" s="2"/>
      <c r="Y41" s="10"/>
      <c r="Z41" s="11"/>
      <c r="AA41" s="10"/>
      <c r="AB41" s="8"/>
      <c r="AC41" s="8"/>
    </row>
    <row r="42" spans="1:29" x14ac:dyDescent="0.15">
      <c r="A42" s="2"/>
      <c r="B42" s="2"/>
      <c r="C42" s="8"/>
      <c r="D42" s="12"/>
      <c r="E42" s="10"/>
      <c r="F42" s="10"/>
      <c r="G42" s="2"/>
      <c r="H42" s="13"/>
      <c r="I42" s="10"/>
      <c r="J42" s="12"/>
      <c r="K42" s="2"/>
      <c r="L42" s="2"/>
      <c r="M42" s="2"/>
      <c r="N42" s="5"/>
      <c r="O42" s="5"/>
      <c r="P42" s="11"/>
      <c r="Q42" s="5"/>
      <c r="R42" s="10"/>
      <c r="S42" s="5"/>
      <c r="T42" s="5"/>
      <c r="U42" s="5"/>
      <c r="V42" s="7"/>
      <c r="W42" s="8"/>
      <c r="X42" s="2"/>
      <c r="Y42" s="10"/>
      <c r="Z42" s="11"/>
      <c r="AA42" s="10"/>
      <c r="AB42" s="8"/>
      <c r="AC42" s="8"/>
    </row>
    <row r="43" spans="1:29" x14ac:dyDescent="0.15">
      <c r="A43" s="2"/>
      <c r="B43" s="2"/>
      <c r="C43" s="8"/>
      <c r="D43" s="12"/>
      <c r="E43" s="10"/>
      <c r="F43" s="10"/>
      <c r="G43" s="2"/>
      <c r="H43" s="13"/>
      <c r="I43" s="10"/>
      <c r="J43" s="12"/>
      <c r="K43" s="2"/>
      <c r="L43" s="2"/>
      <c r="M43" s="2"/>
      <c r="N43" s="5"/>
      <c r="O43" s="5"/>
      <c r="P43" s="11"/>
      <c r="Q43" s="5"/>
      <c r="R43" s="10"/>
      <c r="S43" s="5"/>
      <c r="T43" s="5"/>
      <c r="U43" s="5"/>
      <c r="V43" s="7"/>
      <c r="W43" s="8"/>
      <c r="X43" s="2"/>
      <c r="Y43" s="10"/>
      <c r="Z43" s="11"/>
      <c r="AA43" s="10"/>
      <c r="AB43" s="8"/>
      <c r="AC43" s="8"/>
    </row>
    <row r="44" spans="1:29" x14ac:dyDescent="0.15">
      <c r="A44" s="2"/>
      <c r="B44" s="2"/>
      <c r="C44" s="8"/>
      <c r="D44" s="12"/>
      <c r="E44" s="10"/>
      <c r="F44" s="10"/>
      <c r="G44" s="2"/>
      <c r="H44" s="13"/>
      <c r="I44" s="10"/>
      <c r="J44" s="12"/>
      <c r="K44" s="2"/>
      <c r="L44" s="2"/>
      <c r="M44" s="2"/>
      <c r="N44" s="5"/>
      <c r="O44" s="5"/>
      <c r="P44" s="11"/>
      <c r="Q44" s="5"/>
      <c r="R44" s="10"/>
      <c r="S44" s="5"/>
      <c r="T44" s="5"/>
      <c r="U44" s="5"/>
      <c r="V44" s="7"/>
      <c r="W44" s="8"/>
      <c r="X44" s="2"/>
      <c r="Y44" s="10"/>
      <c r="Z44" s="11"/>
      <c r="AA44" s="10"/>
      <c r="AB44" s="8"/>
      <c r="AC44" s="8"/>
    </row>
    <row r="45" spans="1:29" x14ac:dyDescent="0.15">
      <c r="A45" s="2"/>
      <c r="B45" s="2"/>
      <c r="C45" s="8"/>
      <c r="D45" s="12"/>
      <c r="E45" s="10"/>
      <c r="F45" s="10"/>
      <c r="G45" s="2"/>
      <c r="H45" s="13"/>
      <c r="I45" s="10"/>
      <c r="J45" s="12"/>
      <c r="K45" s="2"/>
      <c r="L45" s="2"/>
      <c r="M45" s="2"/>
      <c r="N45" s="5"/>
      <c r="O45" s="5"/>
      <c r="P45" s="11"/>
      <c r="Q45" s="5"/>
      <c r="R45" s="10"/>
      <c r="S45" s="5"/>
      <c r="T45" s="5"/>
      <c r="U45" s="5"/>
      <c r="V45" s="7"/>
      <c r="W45" s="8"/>
      <c r="X45" s="2"/>
      <c r="Y45" s="10"/>
      <c r="Z45" s="11"/>
      <c r="AA45" s="10"/>
      <c r="AB45" s="8"/>
      <c r="AC45" s="8"/>
    </row>
    <row r="46" spans="1:29" x14ac:dyDescent="0.15">
      <c r="A46" s="2"/>
      <c r="B46" s="2"/>
      <c r="C46" s="8"/>
      <c r="D46" s="12"/>
      <c r="E46" s="10"/>
      <c r="F46" s="10"/>
      <c r="G46" s="2"/>
      <c r="H46" s="13"/>
      <c r="I46" s="10"/>
      <c r="J46" s="12"/>
      <c r="K46" s="2"/>
      <c r="L46" s="2"/>
      <c r="M46" s="2"/>
      <c r="N46" s="5"/>
      <c r="O46" s="5"/>
      <c r="P46" s="11"/>
      <c r="Q46" s="5"/>
      <c r="R46" s="10"/>
      <c r="S46" s="5"/>
      <c r="T46" s="5"/>
      <c r="U46" s="5"/>
      <c r="V46" s="7"/>
      <c r="W46" s="8"/>
      <c r="X46" s="2"/>
      <c r="Y46" s="10"/>
      <c r="Z46" s="11"/>
      <c r="AA46" s="10"/>
      <c r="AB46" s="8"/>
      <c r="AC46" s="8"/>
    </row>
    <row r="47" spans="1:29" x14ac:dyDescent="0.15">
      <c r="A47" s="2"/>
      <c r="B47" s="2"/>
      <c r="C47" s="8"/>
      <c r="D47" s="12"/>
      <c r="E47" s="10"/>
      <c r="F47" s="10"/>
      <c r="G47" s="2"/>
      <c r="H47" s="13"/>
      <c r="I47" s="10"/>
      <c r="J47" s="12"/>
      <c r="K47" s="2"/>
      <c r="L47" s="2"/>
      <c r="M47" s="2"/>
      <c r="N47" s="5"/>
      <c r="O47" s="5"/>
      <c r="P47" s="11"/>
      <c r="Q47" s="5"/>
      <c r="R47" s="10"/>
      <c r="S47" s="5"/>
      <c r="T47" s="5"/>
      <c r="U47" s="5"/>
      <c r="V47" s="7"/>
      <c r="W47" s="8"/>
      <c r="X47" s="2"/>
      <c r="Y47" s="10"/>
      <c r="Z47" s="11"/>
      <c r="AA47" s="10"/>
      <c r="AB47" s="8"/>
      <c r="AC47" s="8"/>
    </row>
    <row r="48" spans="1:29" x14ac:dyDescent="0.15">
      <c r="A48" s="2"/>
      <c r="B48" s="2"/>
      <c r="C48" s="8"/>
      <c r="D48" s="12"/>
      <c r="E48" s="10"/>
      <c r="F48" s="10"/>
      <c r="G48" s="2"/>
      <c r="H48" s="13"/>
      <c r="I48" s="10"/>
      <c r="J48" s="12"/>
      <c r="K48" s="2"/>
      <c r="L48" s="2"/>
      <c r="M48" s="2"/>
      <c r="N48" s="5"/>
      <c r="O48" s="5"/>
      <c r="P48" s="11"/>
      <c r="Q48" s="5"/>
      <c r="R48" s="10"/>
      <c r="S48" s="5"/>
      <c r="T48" s="5"/>
      <c r="U48" s="5"/>
      <c r="V48" s="7"/>
      <c r="W48" s="8"/>
      <c r="X48" s="2"/>
      <c r="Y48" s="10"/>
      <c r="Z48" s="11"/>
      <c r="AA48" s="10"/>
      <c r="AB48" s="8"/>
      <c r="AC48" s="8"/>
    </row>
    <row r="49" spans="1:29" x14ac:dyDescent="0.15">
      <c r="A49" s="2"/>
      <c r="B49" s="2"/>
      <c r="C49" s="8"/>
      <c r="D49" s="12"/>
      <c r="E49" s="10"/>
      <c r="F49" s="10"/>
      <c r="G49" s="2"/>
      <c r="H49" s="13"/>
      <c r="I49" s="10"/>
      <c r="J49" s="12"/>
      <c r="K49" s="2"/>
      <c r="L49" s="2"/>
      <c r="M49" s="2"/>
      <c r="N49" s="5"/>
      <c r="O49" s="5"/>
      <c r="P49" s="11"/>
      <c r="Q49" s="5"/>
      <c r="R49" s="10"/>
      <c r="S49" s="5"/>
      <c r="T49" s="5"/>
      <c r="U49" s="5"/>
      <c r="V49" s="7"/>
      <c r="W49" s="8"/>
      <c r="X49" s="2"/>
      <c r="Y49" s="10"/>
      <c r="Z49" s="11"/>
      <c r="AA49" s="10"/>
      <c r="AB49" s="8"/>
      <c r="AC49" s="8"/>
    </row>
    <row r="50" spans="1:29" x14ac:dyDescent="0.15">
      <c r="A50" s="2"/>
      <c r="B50" s="2"/>
      <c r="C50" s="8"/>
      <c r="D50" s="12"/>
      <c r="E50" s="10"/>
      <c r="F50" s="10"/>
      <c r="G50" s="2"/>
      <c r="H50" s="13"/>
      <c r="I50" s="10"/>
      <c r="J50" s="12"/>
      <c r="K50" s="2"/>
      <c r="L50" s="2"/>
      <c r="M50" s="2"/>
      <c r="N50" s="5"/>
      <c r="O50" s="5"/>
      <c r="P50" s="11"/>
      <c r="Q50" s="5"/>
      <c r="R50" s="10"/>
      <c r="S50" s="5"/>
      <c r="T50" s="5"/>
      <c r="U50" s="5"/>
      <c r="V50" s="7"/>
      <c r="W50" s="8"/>
      <c r="X50" s="2"/>
      <c r="Y50" s="10"/>
      <c r="Z50" s="11"/>
      <c r="AA50" s="10"/>
      <c r="AB50" s="8"/>
      <c r="AC50" s="8"/>
    </row>
    <row r="51" spans="1:29" x14ac:dyDescent="0.15">
      <c r="A51" s="2"/>
      <c r="B51" s="2"/>
      <c r="C51" s="8"/>
      <c r="D51" s="12"/>
      <c r="E51" s="10"/>
      <c r="F51" s="10"/>
      <c r="G51" s="2"/>
      <c r="H51" s="13"/>
      <c r="I51" s="10"/>
      <c r="J51" s="12"/>
      <c r="K51" s="2"/>
      <c r="L51" s="2"/>
      <c r="M51" s="2"/>
      <c r="N51" s="5"/>
      <c r="O51" s="5"/>
      <c r="P51" s="11"/>
      <c r="Q51" s="5"/>
      <c r="R51" s="10"/>
      <c r="S51" s="5"/>
      <c r="T51" s="5"/>
      <c r="U51" s="5"/>
      <c r="V51" s="7"/>
      <c r="W51" s="8"/>
      <c r="X51" s="2"/>
      <c r="Y51" s="10"/>
      <c r="Z51" s="11"/>
      <c r="AA51" s="10"/>
      <c r="AB51" s="8"/>
      <c r="AC51" s="8"/>
    </row>
    <row r="52" spans="1:29" x14ac:dyDescent="0.15">
      <c r="A52" s="2"/>
      <c r="B52" s="2"/>
      <c r="C52" s="8"/>
      <c r="D52" s="12"/>
      <c r="E52" s="10"/>
      <c r="F52" s="10"/>
      <c r="G52" s="2"/>
      <c r="H52" s="13"/>
      <c r="I52" s="10"/>
      <c r="J52" s="12"/>
      <c r="K52" s="2"/>
      <c r="L52" s="2"/>
      <c r="M52" s="2"/>
      <c r="N52" s="5"/>
      <c r="O52" s="5"/>
      <c r="P52" s="11"/>
      <c r="Q52" s="5"/>
      <c r="R52" s="10"/>
      <c r="S52" s="5"/>
      <c r="T52" s="5"/>
      <c r="U52" s="5"/>
      <c r="V52" s="7"/>
      <c r="W52" s="8"/>
      <c r="X52" s="2"/>
      <c r="Y52" s="10"/>
      <c r="Z52" s="11"/>
      <c r="AA52" s="10"/>
      <c r="AB52" s="8"/>
      <c r="AC52" s="8"/>
    </row>
    <row r="53" spans="1:29" x14ac:dyDescent="0.15">
      <c r="A53" s="2"/>
      <c r="B53" s="2"/>
      <c r="C53" s="8"/>
      <c r="D53" s="12"/>
      <c r="E53" s="10"/>
      <c r="F53" s="10"/>
      <c r="G53" s="2"/>
      <c r="H53" s="13"/>
      <c r="I53" s="10"/>
      <c r="J53" s="12"/>
      <c r="K53" s="2"/>
      <c r="L53" s="2"/>
      <c r="M53" s="2"/>
      <c r="N53" s="5"/>
      <c r="O53" s="5"/>
      <c r="P53" s="11"/>
      <c r="Q53" s="5"/>
      <c r="R53" s="10"/>
      <c r="S53" s="5"/>
      <c r="T53" s="5"/>
      <c r="U53" s="5"/>
      <c r="V53" s="7"/>
      <c r="W53" s="8"/>
      <c r="X53" s="2"/>
      <c r="Y53" s="10"/>
      <c r="Z53" s="11"/>
      <c r="AA53" s="10"/>
      <c r="AB53" s="8"/>
      <c r="AC53" s="8"/>
    </row>
    <row r="54" spans="1:29" x14ac:dyDescent="0.15">
      <c r="A54" s="2"/>
      <c r="B54" s="2"/>
      <c r="C54" s="8"/>
      <c r="D54" s="12"/>
      <c r="E54" s="10"/>
      <c r="F54" s="10"/>
      <c r="G54" s="2"/>
      <c r="H54" s="13"/>
      <c r="I54" s="10"/>
      <c r="J54" s="12"/>
      <c r="K54" s="2"/>
      <c r="L54" s="2"/>
      <c r="M54" s="2"/>
      <c r="N54" s="5"/>
      <c r="O54" s="5"/>
      <c r="P54" s="11"/>
      <c r="Q54" s="5"/>
      <c r="R54" s="10"/>
      <c r="S54" s="5"/>
      <c r="T54" s="5"/>
      <c r="U54" s="5"/>
      <c r="V54" s="7"/>
      <c r="W54" s="8"/>
      <c r="X54" s="2"/>
      <c r="Y54" s="10"/>
      <c r="Z54" s="11"/>
      <c r="AA54" s="10"/>
      <c r="AB54" s="8"/>
      <c r="AC54" s="8"/>
    </row>
    <row r="55" spans="1:29" x14ac:dyDescent="0.15">
      <c r="A55" s="2"/>
      <c r="B55" s="2"/>
      <c r="C55" s="8"/>
      <c r="D55" s="12"/>
      <c r="E55" s="10"/>
      <c r="F55" s="10"/>
      <c r="G55" s="2"/>
      <c r="H55" s="13"/>
      <c r="I55" s="10"/>
      <c r="J55" s="12"/>
      <c r="K55" s="2"/>
      <c r="L55" s="2"/>
      <c r="M55" s="2"/>
      <c r="N55" s="5"/>
      <c r="O55" s="5"/>
      <c r="P55" s="11"/>
      <c r="Q55" s="5"/>
      <c r="R55" s="10"/>
      <c r="S55" s="5"/>
      <c r="T55" s="5"/>
      <c r="U55" s="5"/>
      <c r="V55" s="7"/>
      <c r="W55" s="8"/>
      <c r="X55" s="2"/>
      <c r="Y55" s="10"/>
      <c r="Z55" s="11"/>
      <c r="AA55" s="10"/>
      <c r="AB55" s="8"/>
      <c r="AC55" s="8"/>
    </row>
    <row r="56" spans="1:29" x14ac:dyDescent="0.15">
      <c r="A56" s="2"/>
      <c r="B56" s="2"/>
      <c r="C56" s="8"/>
      <c r="D56" s="12"/>
      <c r="E56" s="10"/>
      <c r="F56" s="10"/>
      <c r="G56" s="2"/>
      <c r="H56" s="13"/>
      <c r="I56" s="10"/>
      <c r="J56" s="12"/>
      <c r="K56" s="2"/>
      <c r="L56" s="2"/>
      <c r="M56" s="2"/>
      <c r="N56" s="5"/>
      <c r="O56" s="5"/>
      <c r="P56" s="11"/>
      <c r="Q56" s="5"/>
      <c r="R56" s="10"/>
      <c r="S56" s="5"/>
      <c r="T56" s="5"/>
      <c r="U56" s="5"/>
      <c r="V56" s="7"/>
      <c r="W56" s="8"/>
      <c r="X56" s="2"/>
      <c r="Y56" s="10"/>
      <c r="Z56" s="11"/>
      <c r="AA56" s="10"/>
      <c r="AB56" s="8"/>
      <c r="AC56" s="8"/>
    </row>
    <row r="57" spans="1:29" x14ac:dyDescent="0.15">
      <c r="A57" s="2"/>
      <c r="B57" s="2"/>
      <c r="C57" s="8"/>
      <c r="D57" s="12"/>
      <c r="E57" s="10"/>
      <c r="F57" s="10"/>
      <c r="G57" s="2"/>
      <c r="H57" s="13"/>
      <c r="I57" s="10"/>
      <c r="J57" s="12"/>
      <c r="K57" s="2"/>
      <c r="L57" s="2"/>
      <c r="M57" s="2"/>
      <c r="N57" s="5"/>
      <c r="O57" s="5"/>
      <c r="P57" s="11"/>
      <c r="Q57" s="5"/>
      <c r="R57" s="10"/>
      <c r="S57" s="5"/>
      <c r="T57" s="5"/>
      <c r="U57" s="5"/>
      <c r="V57" s="7"/>
      <c r="W57" s="8"/>
      <c r="X57" s="2"/>
      <c r="Y57" s="10"/>
      <c r="Z57" s="11"/>
      <c r="AA57" s="10"/>
      <c r="AB57" s="8"/>
      <c r="AC57" s="8"/>
    </row>
    <row r="58" spans="1:29" x14ac:dyDescent="0.15">
      <c r="A58" s="2"/>
      <c r="B58" s="2"/>
      <c r="C58" s="8"/>
      <c r="D58" s="12"/>
      <c r="E58" s="10"/>
      <c r="F58" s="10"/>
      <c r="G58" s="2"/>
      <c r="H58" s="13"/>
      <c r="I58" s="10"/>
      <c r="J58" s="12"/>
      <c r="K58" s="2"/>
      <c r="L58" s="2"/>
      <c r="M58" s="2"/>
      <c r="N58" s="5"/>
      <c r="O58" s="5"/>
      <c r="P58" s="11"/>
      <c r="Q58" s="5"/>
      <c r="R58" s="10"/>
      <c r="S58" s="5"/>
      <c r="T58" s="5"/>
      <c r="U58" s="5"/>
      <c r="V58" s="7"/>
      <c r="W58" s="8"/>
      <c r="X58" s="2"/>
      <c r="Y58" s="10"/>
      <c r="Z58" s="11"/>
      <c r="AA58" s="10"/>
      <c r="AB58" s="8"/>
      <c r="AC58" s="8"/>
    </row>
    <row r="59" spans="1:29" x14ac:dyDescent="0.15">
      <c r="A59" s="2"/>
      <c r="B59" s="2"/>
      <c r="C59" s="8"/>
      <c r="D59" s="12"/>
      <c r="E59" s="10"/>
      <c r="F59" s="10"/>
      <c r="G59" s="2"/>
      <c r="H59" s="13"/>
      <c r="I59" s="10"/>
      <c r="J59" s="12"/>
      <c r="K59" s="2"/>
      <c r="L59" s="2"/>
      <c r="M59" s="2"/>
      <c r="N59" s="5"/>
      <c r="O59" s="5"/>
      <c r="P59" s="11"/>
      <c r="Q59" s="5"/>
      <c r="R59" s="10"/>
      <c r="S59" s="5"/>
      <c r="T59" s="5"/>
      <c r="U59" s="5"/>
      <c r="V59" s="7"/>
      <c r="W59" s="8"/>
      <c r="X59" s="2"/>
      <c r="Y59" s="10"/>
      <c r="Z59" s="11"/>
      <c r="AA59" s="10"/>
      <c r="AB59" s="8"/>
      <c r="AC59" s="8"/>
    </row>
    <row r="60" spans="1:29" x14ac:dyDescent="0.15">
      <c r="A60" s="2"/>
      <c r="B60" s="2"/>
      <c r="C60" s="8"/>
      <c r="D60" s="12"/>
      <c r="E60" s="10"/>
      <c r="F60" s="10"/>
      <c r="G60" s="2"/>
      <c r="H60" s="13"/>
      <c r="I60" s="10"/>
      <c r="J60" s="12"/>
      <c r="K60" s="2"/>
      <c r="L60" s="2"/>
      <c r="M60" s="2"/>
      <c r="N60" s="5"/>
      <c r="O60" s="5"/>
      <c r="P60" s="11"/>
      <c r="Q60" s="5"/>
      <c r="R60" s="10"/>
      <c r="S60" s="5"/>
      <c r="T60" s="5"/>
      <c r="U60" s="5"/>
      <c r="V60" s="7"/>
      <c r="W60" s="8"/>
      <c r="X60" s="2"/>
      <c r="Y60" s="10"/>
      <c r="Z60" s="11"/>
      <c r="AA60" s="10"/>
      <c r="AB60" s="8"/>
      <c r="AC60" s="8"/>
    </row>
    <row r="61" spans="1:29" x14ac:dyDescent="0.15">
      <c r="A61" s="2"/>
      <c r="B61" s="2"/>
      <c r="C61" s="8"/>
      <c r="D61" s="12"/>
      <c r="E61" s="10"/>
      <c r="F61" s="10"/>
      <c r="G61" s="2"/>
      <c r="H61" s="13"/>
      <c r="I61" s="10"/>
      <c r="J61" s="12"/>
      <c r="K61" s="2"/>
      <c r="L61" s="2"/>
      <c r="M61" s="2"/>
      <c r="N61" s="5"/>
      <c r="O61" s="5"/>
      <c r="P61" s="11"/>
      <c r="Q61" s="5"/>
      <c r="R61" s="10"/>
      <c r="S61" s="5"/>
      <c r="T61" s="5"/>
      <c r="U61" s="5"/>
      <c r="V61" s="7"/>
      <c r="W61" s="8"/>
      <c r="X61" s="2"/>
      <c r="Y61" s="10"/>
      <c r="Z61" s="11"/>
      <c r="AA61" s="10"/>
      <c r="AB61" s="8"/>
      <c r="AC61" s="8"/>
    </row>
    <row r="62" spans="1:29" x14ac:dyDescent="0.15">
      <c r="A62" s="2"/>
      <c r="B62" s="2"/>
      <c r="C62" s="8"/>
      <c r="D62" s="12"/>
      <c r="E62" s="10"/>
      <c r="F62" s="10"/>
      <c r="G62" s="2"/>
      <c r="H62" s="13"/>
      <c r="I62" s="10"/>
      <c r="J62" s="12"/>
      <c r="K62" s="2"/>
      <c r="L62" s="2"/>
      <c r="M62" s="2"/>
      <c r="N62" s="5"/>
      <c r="O62" s="5"/>
      <c r="P62" s="11"/>
      <c r="Q62" s="5"/>
      <c r="R62" s="10"/>
      <c r="S62" s="5"/>
      <c r="T62" s="5"/>
      <c r="U62" s="5"/>
      <c r="V62" s="7"/>
      <c r="W62" s="8"/>
      <c r="X62" s="2"/>
      <c r="Y62" s="10"/>
      <c r="Z62" s="11"/>
      <c r="AA62" s="10"/>
      <c r="AB62" s="8"/>
      <c r="AC62" s="8"/>
    </row>
    <row r="63" spans="1:29" x14ac:dyDescent="0.15">
      <c r="A63" s="2"/>
      <c r="B63" s="2"/>
      <c r="C63" s="8"/>
      <c r="D63" s="12"/>
      <c r="E63" s="10"/>
      <c r="F63" s="10"/>
      <c r="G63" s="2"/>
      <c r="H63" s="13"/>
      <c r="I63" s="10"/>
      <c r="J63" s="12"/>
      <c r="K63" s="2"/>
      <c r="L63" s="2"/>
      <c r="M63" s="2"/>
      <c r="N63" s="5"/>
      <c r="O63" s="5"/>
      <c r="P63" s="11"/>
      <c r="Q63" s="5"/>
      <c r="R63" s="10"/>
      <c r="S63" s="5"/>
      <c r="T63" s="5"/>
      <c r="U63" s="5"/>
      <c r="V63" s="7"/>
      <c r="W63" s="8"/>
      <c r="X63" s="2"/>
      <c r="Y63" s="10"/>
      <c r="Z63" s="11"/>
      <c r="AA63" s="10"/>
      <c r="AB63" s="8"/>
      <c r="AC63" s="8"/>
    </row>
    <row r="64" spans="1:29" x14ac:dyDescent="0.15">
      <c r="A64" s="2"/>
      <c r="B64" s="2"/>
      <c r="C64" s="8"/>
      <c r="D64" s="12"/>
      <c r="E64" s="10"/>
      <c r="F64" s="10"/>
      <c r="G64" s="2"/>
      <c r="H64" s="13"/>
      <c r="I64" s="10"/>
      <c r="J64" s="12"/>
      <c r="K64" s="2"/>
      <c r="L64" s="2"/>
      <c r="M64" s="2"/>
      <c r="N64" s="5"/>
      <c r="O64" s="5"/>
      <c r="P64" s="11"/>
      <c r="Q64" s="5"/>
      <c r="R64" s="10"/>
      <c r="S64" s="5"/>
      <c r="T64" s="5"/>
      <c r="U64" s="5"/>
      <c r="V64" s="7"/>
      <c r="W64" s="8"/>
      <c r="X64" s="2"/>
      <c r="Y64" s="10"/>
      <c r="Z64" s="11"/>
      <c r="AA64" s="10"/>
      <c r="AB64" s="8"/>
      <c r="AC64" s="8"/>
    </row>
    <row r="65" spans="1:29" x14ac:dyDescent="0.15">
      <c r="A65" s="2"/>
      <c r="B65" s="2"/>
      <c r="C65" s="8"/>
      <c r="D65" s="12"/>
      <c r="E65" s="10"/>
      <c r="F65" s="10"/>
      <c r="G65" s="2"/>
      <c r="H65" s="13"/>
      <c r="I65" s="10"/>
      <c r="J65" s="12"/>
      <c r="K65" s="2"/>
      <c r="L65" s="2"/>
      <c r="M65" s="2"/>
      <c r="N65" s="5"/>
      <c r="O65" s="5"/>
      <c r="P65" s="11"/>
      <c r="Q65" s="5"/>
      <c r="R65" s="10"/>
      <c r="S65" s="5"/>
      <c r="T65" s="5"/>
      <c r="U65" s="5"/>
      <c r="V65" s="7"/>
      <c r="W65" s="8"/>
      <c r="X65" s="2"/>
      <c r="Y65" s="10"/>
      <c r="Z65" s="11"/>
      <c r="AA65" s="10"/>
      <c r="AB65" s="8"/>
      <c r="AC65" s="8"/>
    </row>
    <row r="66" spans="1:29" x14ac:dyDescent="0.15">
      <c r="A66" s="2"/>
      <c r="B66" s="2"/>
      <c r="C66" s="8"/>
      <c r="D66" s="12"/>
      <c r="E66" s="10"/>
      <c r="F66" s="10"/>
      <c r="G66" s="2"/>
      <c r="H66" s="13"/>
      <c r="I66" s="10"/>
      <c r="J66" s="12"/>
      <c r="K66" s="2"/>
      <c r="L66" s="2"/>
      <c r="M66" s="2"/>
      <c r="N66" s="5"/>
      <c r="O66" s="5"/>
      <c r="P66" s="11"/>
      <c r="Q66" s="5"/>
      <c r="R66" s="10"/>
      <c r="S66" s="5"/>
      <c r="T66" s="5"/>
      <c r="U66" s="5"/>
      <c r="V66" s="7"/>
      <c r="W66" s="8"/>
      <c r="X66" s="2"/>
      <c r="Y66" s="10"/>
      <c r="Z66" s="11"/>
      <c r="AA66" s="10"/>
      <c r="AB66" s="8"/>
      <c r="AC66" s="8"/>
    </row>
    <row r="67" spans="1:29" x14ac:dyDescent="0.15">
      <c r="A67" s="2"/>
      <c r="B67" s="2"/>
      <c r="C67" s="8"/>
      <c r="D67" s="12"/>
      <c r="E67" s="10"/>
      <c r="F67" s="10"/>
      <c r="G67" s="2"/>
      <c r="H67" s="13"/>
      <c r="I67" s="10"/>
      <c r="J67" s="12"/>
      <c r="K67" s="2"/>
      <c r="L67" s="2"/>
      <c r="M67" s="2"/>
      <c r="N67" s="5"/>
      <c r="O67" s="5"/>
      <c r="P67" s="11"/>
      <c r="Q67" s="5"/>
      <c r="R67" s="10"/>
      <c r="S67" s="5"/>
      <c r="T67" s="5"/>
      <c r="U67" s="5"/>
      <c r="V67" s="7"/>
      <c r="W67" s="8"/>
      <c r="X67" s="2"/>
      <c r="Y67" s="10"/>
      <c r="Z67" s="11"/>
      <c r="AA67" s="10"/>
      <c r="AB67" s="8"/>
      <c r="AC67" s="8"/>
    </row>
    <row r="68" spans="1:29" x14ac:dyDescent="0.15">
      <c r="A68" s="2"/>
      <c r="B68" s="2"/>
      <c r="C68" s="8"/>
      <c r="D68" s="12"/>
      <c r="E68" s="10"/>
      <c r="F68" s="10"/>
      <c r="G68" s="2"/>
      <c r="H68" s="13"/>
      <c r="I68" s="10"/>
      <c r="J68" s="12"/>
      <c r="K68" s="2"/>
      <c r="L68" s="2"/>
      <c r="M68" s="2"/>
      <c r="N68" s="5"/>
      <c r="O68" s="5"/>
      <c r="P68" s="11"/>
      <c r="Q68" s="5"/>
      <c r="R68" s="10"/>
      <c r="S68" s="5"/>
      <c r="T68" s="5"/>
      <c r="U68" s="5"/>
      <c r="V68" s="7"/>
      <c r="W68" s="8"/>
      <c r="X68" s="2"/>
      <c r="Y68" s="10"/>
      <c r="Z68" s="11"/>
      <c r="AA68" s="10"/>
      <c r="AB68" s="8"/>
      <c r="AC68" s="8"/>
    </row>
    <row r="69" spans="1:29" x14ac:dyDescent="0.15">
      <c r="A69" s="2"/>
      <c r="B69" s="2"/>
      <c r="C69" s="8"/>
      <c r="D69" s="12"/>
      <c r="E69" s="10"/>
      <c r="F69" s="10"/>
      <c r="G69" s="2"/>
      <c r="H69" s="13"/>
      <c r="I69" s="10"/>
      <c r="J69" s="12"/>
      <c r="K69" s="2"/>
      <c r="L69" s="2"/>
      <c r="M69" s="2"/>
      <c r="N69" s="5"/>
      <c r="O69" s="5"/>
      <c r="P69" s="11"/>
      <c r="Q69" s="5"/>
      <c r="R69" s="10"/>
      <c r="S69" s="5"/>
      <c r="T69" s="5"/>
      <c r="U69" s="5"/>
      <c r="V69" s="7"/>
      <c r="W69" s="8"/>
      <c r="X69" s="2"/>
      <c r="Y69" s="10"/>
      <c r="Z69" s="11"/>
      <c r="AA69" s="10"/>
      <c r="AB69" s="8"/>
      <c r="AC69" s="8"/>
    </row>
    <row r="70" spans="1:29" x14ac:dyDescent="0.15">
      <c r="A70" s="2"/>
      <c r="B70" s="2"/>
      <c r="C70" s="8"/>
      <c r="D70" s="12"/>
      <c r="E70" s="10"/>
      <c r="F70" s="10"/>
      <c r="G70" s="2"/>
      <c r="H70" s="13"/>
      <c r="I70" s="10"/>
      <c r="J70" s="12"/>
      <c r="K70" s="2"/>
      <c r="L70" s="2"/>
      <c r="M70" s="2"/>
      <c r="N70" s="5"/>
      <c r="O70" s="5"/>
      <c r="P70" s="11"/>
      <c r="Q70" s="5"/>
      <c r="R70" s="10"/>
      <c r="S70" s="5"/>
      <c r="T70" s="5"/>
      <c r="U70" s="5"/>
      <c r="V70" s="7"/>
      <c r="W70" s="8"/>
      <c r="X70" s="2"/>
      <c r="Y70" s="10"/>
      <c r="Z70" s="11"/>
      <c r="AA70" s="10"/>
      <c r="AB70" s="8"/>
      <c r="AC70" s="8"/>
    </row>
    <row r="71" spans="1:29" x14ac:dyDescent="0.15">
      <c r="A71" s="2"/>
      <c r="B71" s="2"/>
      <c r="C71" s="8"/>
      <c r="D71" s="12"/>
      <c r="E71" s="10"/>
      <c r="F71" s="10"/>
      <c r="G71" s="2"/>
      <c r="H71" s="13"/>
      <c r="I71" s="10"/>
      <c r="J71" s="12"/>
      <c r="K71" s="2"/>
      <c r="L71" s="2"/>
      <c r="M71" s="2"/>
      <c r="N71" s="5"/>
      <c r="O71" s="5"/>
      <c r="P71" s="11"/>
      <c r="Q71" s="5"/>
      <c r="R71" s="10"/>
      <c r="S71" s="5"/>
      <c r="T71" s="5"/>
      <c r="U71" s="5"/>
      <c r="V71" s="7"/>
      <c r="W71" s="8"/>
      <c r="X71" s="2"/>
      <c r="Y71" s="10"/>
      <c r="Z71" s="11"/>
      <c r="AA71" s="10"/>
      <c r="AB71" s="8"/>
      <c r="AC71" s="8"/>
    </row>
    <row r="72" spans="1:29" x14ac:dyDescent="0.15">
      <c r="A72" s="2"/>
      <c r="B72" s="2"/>
      <c r="C72" s="8"/>
      <c r="D72" s="12"/>
      <c r="E72" s="10"/>
      <c r="F72" s="10"/>
      <c r="G72" s="2"/>
      <c r="H72" s="13"/>
      <c r="I72" s="10"/>
      <c r="J72" s="12"/>
      <c r="K72" s="2"/>
      <c r="L72" s="2"/>
      <c r="M72" s="2"/>
      <c r="N72" s="5"/>
      <c r="O72" s="5"/>
      <c r="P72" s="11"/>
      <c r="Q72" s="5"/>
      <c r="R72" s="10"/>
      <c r="S72" s="5"/>
      <c r="T72" s="5"/>
      <c r="U72" s="5"/>
      <c r="V72" s="7"/>
      <c r="W72" s="8"/>
      <c r="X72" s="2"/>
      <c r="Y72" s="10"/>
      <c r="Z72" s="11"/>
      <c r="AA72" s="10"/>
      <c r="AB72" s="8"/>
      <c r="AC72" s="8"/>
    </row>
    <row r="73" spans="1:29" x14ac:dyDescent="0.15">
      <c r="A73" s="2"/>
      <c r="B73" s="2"/>
      <c r="C73" s="8"/>
      <c r="D73" s="12"/>
      <c r="E73" s="10"/>
      <c r="F73" s="10"/>
      <c r="G73" s="2"/>
      <c r="H73" s="13"/>
      <c r="I73" s="10"/>
      <c r="J73" s="12"/>
      <c r="K73" s="2"/>
      <c r="L73" s="2"/>
      <c r="M73" s="2"/>
      <c r="N73" s="5"/>
      <c r="O73" s="5"/>
      <c r="P73" s="11"/>
      <c r="Q73" s="5"/>
      <c r="R73" s="10"/>
      <c r="S73" s="5"/>
      <c r="T73" s="5"/>
      <c r="U73" s="5"/>
      <c r="V73" s="7"/>
      <c r="W73" s="8"/>
      <c r="X73" s="2"/>
      <c r="Y73" s="10"/>
      <c r="Z73" s="11"/>
      <c r="AA73" s="10"/>
      <c r="AB73" s="8"/>
      <c r="AC73" s="8"/>
    </row>
    <row r="74" spans="1:29" x14ac:dyDescent="0.15">
      <c r="A74" s="2"/>
      <c r="B74" s="2"/>
      <c r="C74" s="8"/>
      <c r="D74" s="12"/>
      <c r="E74" s="10"/>
      <c r="F74" s="10"/>
      <c r="G74" s="2"/>
      <c r="H74" s="13"/>
      <c r="I74" s="10"/>
      <c r="J74" s="12"/>
      <c r="K74" s="2"/>
      <c r="L74" s="2"/>
      <c r="M74" s="2"/>
      <c r="N74" s="5"/>
      <c r="O74" s="5"/>
      <c r="P74" s="11"/>
      <c r="Q74" s="5"/>
      <c r="R74" s="10"/>
      <c r="S74" s="5"/>
      <c r="T74" s="5"/>
      <c r="U74" s="5"/>
      <c r="V74" s="7"/>
      <c r="W74" s="8"/>
      <c r="X74" s="2"/>
      <c r="Y74" s="10"/>
      <c r="Z74" s="11"/>
      <c r="AA74" s="10"/>
      <c r="AB74" s="8"/>
      <c r="AC74" s="8"/>
    </row>
    <row r="75" spans="1:29" x14ac:dyDescent="0.15">
      <c r="A75" s="2"/>
      <c r="B75" s="2"/>
      <c r="C75" s="8"/>
      <c r="D75" s="12"/>
      <c r="E75" s="10"/>
      <c r="F75" s="10"/>
      <c r="G75" s="2"/>
      <c r="H75" s="13"/>
      <c r="I75" s="10"/>
      <c r="J75" s="12"/>
      <c r="K75" s="2"/>
      <c r="L75" s="2"/>
      <c r="M75" s="2"/>
      <c r="N75" s="5"/>
      <c r="O75" s="5"/>
      <c r="P75" s="11"/>
      <c r="Q75" s="5"/>
      <c r="R75" s="10"/>
      <c r="S75" s="5"/>
      <c r="T75" s="5"/>
      <c r="U75" s="5"/>
      <c r="V75" s="7"/>
      <c r="W75" s="8"/>
      <c r="X75" s="2"/>
      <c r="Y75" s="10"/>
      <c r="Z75" s="11"/>
      <c r="AA75" s="10"/>
      <c r="AB75" s="8"/>
      <c r="AC75" s="8"/>
    </row>
    <row r="76" spans="1:29" x14ac:dyDescent="0.15">
      <c r="A76" s="2"/>
      <c r="B76" s="2"/>
      <c r="C76" s="8"/>
      <c r="D76" s="12"/>
      <c r="E76" s="10"/>
      <c r="F76" s="10"/>
      <c r="G76" s="2"/>
      <c r="H76" s="13"/>
      <c r="I76" s="10"/>
      <c r="J76" s="12"/>
      <c r="K76" s="2"/>
      <c r="L76" s="2"/>
      <c r="M76" s="2"/>
      <c r="N76" s="5"/>
      <c r="O76" s="5"/>
      <c r="P76" s="11"/>
      <c r="Q76" s="5"/>
      <c r="R76" s="10"/>
      <c r="S76" s="5"/>
      <c r="T76" s="5"/>
      <c r="U76" s="5"/>
      <c r="V76" s="7"/>
      <c r="W76" s="8"/>
      <c r="X76" s="2"/>
      <c r="Y76" s="10"/>
      <c r="Z76" s="11"/>
      <c r="AA76" s="10"/>
      <c r="AB76" s="8"/>
      <c r="AC76" s="8"/>
    </row>
    <row r="77" spans="1:29" x14ac:dyDescent="0.15">
      <c r="A77" s="2"/>
      <c r="B77" s="2"/>
      <c r="C77" s="8"/>
      <c r="D77" s="12"/>
      <c r="E77" s="10"/>
      <c r="F77" s="10"/>
      <c r="G77" s="2"/>
      <c r="H77" s="13"/>
      <c r="I77" s="10"/>
      <c r="J77" s="12"/>
      <c r="K77" s="2"/>
      <c r="L77" s="2"/>
      <c r="M77" s="2"/>
      <c r="N77" s="5"/>
      <c r="O77" s="5"/>
      <c r="P77" s="11"/>
      <c r="Q77" s="5"/>
      <c r="R77" s="10"/>
      <c r="S77" s="5"/>
      <c r="T77" s="5"/>
      <c r="U77" s="5"/>
      <c r="V77" s="7"/>
      <c r="W77" s="8"/>
      <c r="X77" s="2"/>
      <c r="Y77" s="10"/>
      <c r="Z77" s="11"/>
      <c r="AA77" s="10"/>
      <c r="AB77" s="8"/>
      <c r="AC77" s="8"/>
    </row>
    <row r="78" spans="1:29" x14ac:dyDescent="0.15">
      <c r="A78" s="2"/>
      <c r="B78" s="2"/>
      <c r="C78" s="8"/>
      <c r="D78" s="12"/>
      <c r="E78" s="10"/>
      <c r="F78" s="10"/>
      <c r="G78" s="2"/>
      <c r="H78" s="13"/>
      <c r="I78" s="10"/>
      <c r="J78" s="12"/>
      <c r="K78" s="2"/>
      <c r="L78" s="2"/>
      <c r="M78" s="2"/>
      <c r="N78" s="5"/>
      <c r="O78" s="5"/>
      <c r="P78" s="11"/>
      <c r="Q78" s="5"/>
      <c r="R78" s="10"/>
      <c r="S78" s="5"/>
      <c r="T78" s="5"/>
      <c r="U78" s="5"/>
      <c r="V78" s="7"/>
      <c r="W78" s="8"/>
      <c r="X78" s="2"/>
      <c r="Y78" s="10"/>
      <c r="Z78" s="11"/>
      <c r="AA78" s="10"/>
      <c r="AB78" s="8"/>
      <c r="AC78" s="8"/>
    </row>
    <row r="79" spans="1:29" x14ac:dyDescent="0.15">
      <c r="A79" s="2"/>
      <c r="B79" s="2"/>
      <c r="C79" s="8"/>
      <c r="D79" s="12"/>
      <c r="E79" s="10"/>
      <c r="F79" s="10"/>
      <c r="G79" s="2"/>
      <c r="H79" s="13"/>
      <c r="I79" s="10"/>
      <c r="J79" s="12"/>
      <c r="K79" s="2"/>
      <c r="L79" s="2"/>
      <c r="M79" s="2"/>
      <c r="N79" s="5"/>
      <c r="O79" s="5"/>
      <c r="P79" s="11"/>
      <c r="Q79" s="5"/>
      <c r="R79" s="10"/>
      <c r="S79" s="5"/>
      <c r="T79" s="5"/>
      <c r="U79" s="5"/>
      <c r="V79" s="7"/>
      <c r="W79" s="8"/>
      <c r="X79" s="2"/>
      <c r="Y79" s="10"/>
      <c r="Z79" s="11"/>
      <c r="AA79" s="10"/>
      <c r="AB79" s="8"/>
      <c r="AC79" s="8"/>
    </row>
    <row r="80" spans="1:29" x14ac:dyDescent="0.15">
      <c r="A80" s="2"/>
      <c r="B80" s="2"/>
      <c r="C80" s="8"/>
      <c r="D80" s="12"/>
      <c r="E80" s="10"/>
      <c r="F80" s="10"/>
      <c r="G80" s="2"/>
      <c r="H80" s="13"/>
      <c r="I80" s="10"/>
      <c r="J80" s="12"/>
      <c r="K80" s="2"/>
      <c r="L80" s="2"/>
      <c r="M80" s="2"/>
      <c r="N80" s="5"/>
      <c r="O80" s="5"/>
      <c r="P80" s="11"/>
      <c r="Q80" s="5"/>
      <c r="R80" s="10"/>
      <c r="S80" s="5"/>
      <c r="T80" s="5"/>
      <c r="U80" s="5"/>
      <c r="V80" s="7"/>
      <c r="W80" s="8"/>
      <c r="X80" s="2"/>
      <c r="Y80" s="10"/>
      <c r="Z80" s="11"/>
      <c r="AA80" s="10"/>
      <c r="AB80" s="8"/>
      <c r="AC80" s="8"/>
    </row>
    <row r="81" spans="1:29" x14ac:dyDescent="0.15">
      <c r="A81" s="2"/>
      <c r="B81" s="2"/>
      <c r="C81" s="8"/>
      <c r="D81" s="12"/>
      <c r="E81" s="10"/>
      <c r="F81" s="10"/>
      <c r="G81" s="2"/>
      <c r="H81" s="13"/>
      <c r="I81" s="10"/>
      <c r="J81" s="12"/>
      <c r="K81" s="2"/>
      <c r="L81" s="2"/>
      <c r="M81" s="2"/>
      <c r="N81" s="5"/>
      <c r="O81" s="5"/>
      <c r="P81" s="11"/>
      <c r="Q81" s="5"/>
      <c r="R81" s="10"/>
      <c r="S81" s="5"/>
      <c r="T81" s="5"/>
      <c r="U81" s="5"/>
      <c r="V81" s="7"/>
      <c r="W81" s="8"/>
      <c r="X81" s="2"/>
      <c r="Y81" s="10"/>
      <c r="Z81" s="11"/>
      <c r="AA81" s="10"/>
      <c r="AB81" s="8"/>
      <c r="AC81" s="8"/>
    </row>
    <row r="82" spans="1:29" x14ac:dyDescent="0.15">
      <c r="A82" s="2"/>
      <c r="B82" s="2"/>
      <c r="C82" s="8"/>
      <c r="D82" s="12"/>
      <c r="E82" s="10"/>
      <c r="F82" s="10"/>
      <c r="G82" s="2"/>
      <c r="H82" s="13"/>
      <c r="I82" s="10"/>
      <c r="J82" s="12"/>
      <c r="K82" s="2"/>
      <c r="L82" s="2"/>
      <c r="M82" s="2"/>
      <c r="N82" s="5"/>
      <c r="O82" s="5"/>
      <c r="P82" s="11"/>
      <c r="Q82" s="5"/>
      <c r="R82" s="10"/>
      <c r="S82" s="5"/>
      <c r="T82" s="5"/>
      <c r="U82" s="5"/>
      <c r="V82" s="7"/>
      <c r="W82" s="8"/>
      <c r="X82" s="2"/>
      <c r="Y82" s="10"/>
      <c r="Z82" s="11"/>
      <c r="AA82" s="10"/>
      <c r="AB82" s="8"/>
      <c r="AC82" s="8"/>
    </row>
    <row r="83" spans="1:29" x14ac:dyDescent="0.15">
      <c r="A83" s="2"/>
      <c r="B83" s="2"/>
      <c r="C83" s="8"/>
      <c r="D83" s="12"/>
      <c r="E83" s="10"/>
      <c r="F83" s="10"/>
      <c r="G83" s="2"/>
      <c r="H83" s="13"/>
      <c r="I83" s="10"/>
      <c r="J83" s="12"/>
      <c r="K83" s="2"/>
      <c r="L83" s="2"/>
      <c r="M83" s="2"/>
      <c r="N83" s="5"/>
      <c r="O83" s="5"/>
      <c r="P83" s="11"/>
      <c r="Q83" s="5"/>
      <c r="R83" s="10"/>
      <c r="S83" s="5"/>
      <c r="T83" s="5"/>
      <c r="U83" s="5"/>
      <c r="V83" s="7"/>
      <c r="W83" s="8"/>
      <c r="X83" s="2"/>
      <c r="Y83" s="10"/>
      <c r="Z83" s="11"/>
      <c r="AA83" s="10"/>
      <c r="AB83" s="8"/>
      <c r="AC83" s="8"/>
    </row>
    <row r="84" spans="1:29" x14ac:dyDescent="0.15">
      <c r="A84" s="2"/>
      <c r="B84" s="2"/>
      <c r="C84" s="8"/>
      <c r="D84" s="12"/>
      <c r="E84" s="10"/>
      <c r="F84" s="10"/>
      <c r="G84" s="2"/>
      <c r="H84" s="13"/>
      <c r="I84" s="10"/>
      <c r="J84" s="12"/>
      <c r="K84" s="2"/>
      <c r="L84" s="2"/>
      <c r="M84" s="2"/>
      <c r="N84" s="5"/>
      <c r="O84" s="5"/>
      <c r="P84" s="11"/>
      <c r="Q84" s="5"/>
      <c r="R84" s="10"/>
      <c r="S84" s="5"/>
      <c r="T84" s="5"/>
      <c r="U84" s="5"/>
      <c r="V84" s="7"/>
      <c r="W84" s="8"/>
      <c r="X84" s="2"/>
      <c r="Y84" s="10"/>
      <c r="Z84" s="11"/>
      <c r="AA84" s="10"/>
      <c r="AB84" s="8"/>
      <c r="AC84" s="8"/>
    </row>
    <row r="85" spans="1:29" x14ac:dyDescent="0.15">
      <c r="A85" s="2"/>
      <c r="B85" s="2"/>
      <c r="C85" s="8"/>
      <c r="D85" s="12"/>
      <c r="E85" s="10"/>
      <c r="F85" s="10"/>
      <c r="G85" s="2"/>
      <c r="H85" s="13"/>
      <c r="I85" s="10"/>
      <c r="J85" s="12"/>
      <c r="K85" s="2"/>
      <c r="L85" s="2"/>
      <c r="M85" s="2"/>
      <c r="N85" s="5"/>
      <c r="O85" s="5"/>
      <c r="P85" s="11"/>
      <c r="Q85" s="5"/>
      <c r="R85" s="10"/>
      <c r="S85" s="5"/>
      <c r="T85" s="5"/>
      <c r="U85" s="5"/>
      <c r="V85" s="7"/>
      <c r="W85" s="8"/>
      <c r="X85" s="2"/>
      <c r="Y85" s="10"/>
      <c r="Z85" s="11"/>
      <c r="AA85" s="10"/>
      <c r="AB85" s="8"/>
      <c r="AC85" s="8"/>
    </row>
    <row r="86" spans="1:29" x14ac:dyDescent="0.15">
      <c r="A86" s="2"/>
      <c r="B86" s="2"/>
      <c r="C86" s="8"/>
      <c r="D86" s="12"/>
      <c r="E86" s="10"/>
      <c r="F86" s="10"/>
      <c r="G86" s="2"/>
      <c r="H86" s="13"/>
      <c r="I86" s="10"/>
      <c r="J86" s="12"/>
      <c r="K86" s="2"/>
      <c r="L86" s="2"/>
      <c r="M86" s="2"/>
      <c r="N86" s="5"/>
      <c r="O86" s="5"/>
      <c r="P86" s="11"/>
      <c r="Q86" s="5"/>
      <c r="R86" s="10"/>
      <c r="S86" s="5"/>
      <c r="T86" s="5"/>
      <c r="U86" s="5"/>
      <c r="V86" s="7"/>
      <c r="W86" s="8"/>
      <c r="X86" s="2"/>
      <c r="Y86" s="10"/>
      <c r="Z86" s="11"/>
      <c r="AA86" s="10"/>
      <c r="AB86" s="8"/>
      <c r="AC86" s="8"/>
    </row>
    <row r="87" spans="1:29" x14ac:dyDescent="0.15">
      <c r="A87" s="2"/>
      <c r="B87" s="2"/>
      <c r="C87" s="8"/>
      <c r="D87" s="12"/>
      <c r="E87" s="10"/>
      <c r="F87" s="10"/>
      <c r="G87" s="2"/>
      <c r="H87" s="13"/>
      <c r="I87" s="10"/>
      <c r="J87" s="12"/>
      <c r="K87" s="2"/>
      <c r="L87" s="2"/>
      <c r="M87" s="2"/>
      <c r="N87" s="5"/>
      <c r="O87" s="5"/>
      <c r="P87" s="11"/>
      <c r="Q87" s="5"/>
      <c r="R87" s="10"/>
      <c r="S87" s="5"/>
      <c r="T87" s="5"/>
      <c r="U87" s="5"/>
      <c r="V87" s="7"/>
      <c r="W87" s="8"/>
      <c r="X87" s="2"/>
      <c r="Y87" s="10"/>
      <c r="Z87" s="11"/>
      <c r="AA87" s="10"/>
      <c r="AB87" s="8"/>
      <c r="AC87" s="8"/>
    </row>
    <row r="88" spans="1:29" x14ac:dyDescent="0.15">
      <c r="A88" s="2"/>
      <c r="B88" s="2"/>
      <c r="C88" s="8"/>
      <c r="D88" s="12"/>
      <c r="E88" s="10"/>
      <c r="F88" s="10"/>
      <c r="G88" s="2"/>
      <c r="H88" s="13"/>
      <c r="I88" s="10"/>
      <c r="J88" s="12"/>
      <c r="K88" s="2"/>
      <c r="L88" s="2"/>
      <c r="M88" s="2"/>
      <c r="N88" s="5"/>
      <c r="O88" s="5"/>
      <c r="P88" s="11"/>
      <c r="Q88" s="5"/>
      <c r="R88" s="10"/>
      <c r="S88" s="5"/>
      <c r="T88" s="5"/>
      <c r="U88" s="5"/>
      <c r="V88" s="7"/>
      <c r="W88" s="8"/>
      <c r="X88" s="2"/>
      <c r="Y88" s="10"/>
      <c r="Z88" s="11"/>
      <c r="AA88" s="10"/>
      <c r="AB88" s="8"/>
      <c r="AC88" s="8"/>
    </row>
    <row r="89" spans="1:29" x14ac:dyDescent="0.15">
      <c r="A89" s="2"/>
      <c r="B89" s="2"/>
      <c r="C89" s="8"/>
      <c r="D89" s="12"/>
      <c r="E89" s="10"/>
      <c r="F89" s="10"/>
      <c r="G89" s="2"/>
      <c r="H89" s="13"/>
      <c r="I89" s="10"/>
      <c r="J89" s="12"/>
      <c r="K89" s="2"/>
      <c r="L89" s="2"/>
      <c r="M89" s="2"/>
      <c r="N89" s="5"/>
      <c r="O89" s="5"/>
      <c r="P89" s="11"/>
      <c r="Q89" s="5"/>
      <c r="R89" s="10"/>
      <c r="S89" s="5"/>
      <c r="T89" s="5"/>
      <c r="U89" s="5"/>
      <c r="V89" s="7"/>
      <c r="W89" s="8"/>
      <c r="X89" s="2"/>
      <c r="Y89" s="10"/>
      <c r="Z89" s="11"/>
      <c r="AA89" s="10"/>
      <c r="AB89" s="8"/>
      <c r="AC89" s="8"/>
    </row>
    <row r="90" spans="1:29" x14ac:dyDescent="0.15">
      <c r="A90" s="2"/>
      <c r="B90" s="2"/>
      <c r="C90" s="8" t="str">
        <f>IF(B90="","",IFERROR(LOOKUP(2,1/(单次交易!$A$2:$A$88=B90),单次交易!$B$2:$B$88),""))</f>
        <v/>
      </c>
      <c r="D90" s="12"/>
      <c r="E90" s="10"/>
      <c r="F90" s="10"/>
      <c r="G90" s="2"/>
      <c r="H90" s="13"/>
      <c r="I90" s="10"/>
      <c r="J90" s="12"/>
      <c r="K90" s="2"/>
      <c r="L90" s="2"/>
      <c r="M90" s="2"/>
      <c r="N90" s="5" t="str">
        <f>IF(B90="","",IFERROR(LOOKUP(2,1/(单次交易!$A$2:$A$88=B90),单次交易!$N$2:$N$88),""))</f>
        <v/>
      </c>
      <c r="O90" s="5" t="str">
        <f t="shared" ref="O66:O97" si="0">IF(A90&lt;&gt;"每日跟踪","",IF(OR(B90="",H90="",I90=""),"",IFERROR(SUMPRODUCT(MAX((($A$2:$A$157="每日跟踪")*($B$2:$B$157=B90)*($H$2:$H$157&lt;=H90))*$I$2:$I$157)),"")))</f>
        <v/>
      </c>
      <c r="P90" s="11" t="str">
        <f t="shared" ref="P66:P97" si="1">IF(A90&lt;&gt;"每日跟踪","",IF(O90="","",IFERROR(SUMPRODUCT(MAX((($A$2:$A$157="止损计划")*($B$2:$B$157=B90)*($E$2:$E$157&lt;=O90))*$D$2:$D$157)),0)))</f>
        <v/>
      </c>
      <c r="Q90" s="5" t="str">
        <f t="shared" ref="Q66:Q97" si="2">IF(A90&lt;&gt;"每日跟踪","",IF(N90="","",MAX(N90,IFERROR(SUMPRODUCT(MAX((($A$2:$A$157="止损计划")*($B$2:$B$157=B90)*($E$2:$E$157&lt;=O90))*$F$2:$F$157)),0))))</f>
        <v/>
      </c>
      <c r="R90" s="10"/>
      <c r="S90" s="5" t="str">
        <f t="shared" ref="S66:S97" si="3">IF(A90&lt;&gt;"每日跟踪","",IF(Q90="","",MAX(Q90,IFERROR(SUMPRODUCT(MAX((($A$2:$A$157="每日跟踪")*($B$2:$B$157=B90)*($H$2:$H$157&lt;=H90))*$R$2:$R$157)),0))))</f>
        <v/>
      </c>
      <c r="T90" s="5" t="str">
        <f t="shared" ref="T66:T97" si="4">IF(A90&lt;&gt;"每日跟踪","",IF(O90="","",IF(COUNTIFS($A$2:$A$157,"止损计划",$B$2:$B$157,B90,$E$2:$E$157,"&gt;"&amp;O90)=0,"",INDEX($E$2:$E$157,MATCH(1,INDEX(($A$2:$A$157="止损计划")*($B$2:$B$157=B90)*($E$2:$E$157&gt;O90),0),0)))))</f>
        <v/>
      </c>
      <c r="U90" s="5" t="str">
        <f t="shared" ref="U66:U97" si="5">IF(OR(A90&lt;&gt;"每日跟踪",T90=""),"",IFERROR(SUMIFS($F$2:$F$157,$A$2:$A$157,"止损计划",$B$2:$B$157,B90,$E$2:$E$157,T90),""))</f>
        <v/>
      </c>
      <c r="V90" s="7" t="str">
        <f t="shared" ref="V42:V105" si="6">IF(OR(A90&lt;&gt;"每日跟踪",T90="",I90="",I90&lt;=0),"",T90/I90-1)</f>
        <v/>
      </c>
      <c r="W90" s="8" t="str">
        <f t="shared" ref="W42:W105" si="7">IF(A90&lt;&gt;"每日跟踪","",IF(OR(I90="",S90=""),"",IF(I90&lt;=S90,"触发止损：应全部卖出","继续观察")))</f>
        <v/>
      </c>
      <c r="X90" s="2"/>
      <c r="Y90" s="10"/>
      <c r="Z90" s="11" t="str">
        <f>IF(X90&lt;&gt;"执行卖出","",IFERROR(LOOKUP(2,1/(单次交易!$A$2:$A$88=B90),单次交易!$AP$2:$AP$88),""))</f>
        <v/>
      </c>
      <c r="AA90" s="10"/>
      <c r="AB90" s="8" t="str">
        <f t="shared" ref="AB42:AB105" si="8">IF(A90&lt;&gt;"每日跟踪","",IF(OR(B90="",H90="",I90="",J90="",K90="",L90="",M90=""),"待补充每日记录",IF(W90="触发止损：应全部卖出",IF(X90&lt;&gt;"执行卖出","违规：触发止损但未执行",IF(Y90="","待补充实际卖出价","卖出记录完整")),IF(X90="","待选择卖出动作",IF(X90="执行卖出",IF(Y90="","待补充实际卖出价","卖出记录完整"),"正常")))))</f>
        <v/>
      </c>
      <c r="AC90" s="8" t="str">
        <f>IF(A90="","",IF(A90="止损计划",IF(OR(B90="",D90="",E90="",F90="",G90=""),"计划不完整",IF(OR(D90&lt;1,D90&lt;&gt;INT(D90)),"阶段序号无效",IF(COUNTIFS($A$2:$A$157,"止损计划",$B$2:$B$157,B90,$D$2:$D$157,D90)&gt;1,"阶段序号重复",IF(E90&lt;=IFERROR(LOOKUP(2,1/(单次交易!$A$2:$A$88=B90),单次交易!$E$2:$E$88),0),"激活价须高于买入价",IF(F90&lt;N90,"止损价不得低于初始止损",IF(F90&gt;E90,"止损价不得高于激活价",IF(AND(COUNTIFS($A$2:$A$157,"止损计划",$B$2:$B$157,B90,$D$2:$D$157,"&lt;"&amp;D90)&gt;0,OR(E90&lt;=SUMPRODUCT(MAX((($A$2:$A$157="止损计划")*($B$2:$B$157=B90)*($D$2:$D$157&lt;D90))*$E$2:$E$157)),F90&lt;SUMPRODUCT(MAX((($A$2:$A$157="止损计划")*($B$2:$B$157=B90)*($D$2:$D$157&lt;D90))*$F$2:$F$157)))),"阶段价格必须逐级提高","计划有效"))))))),IF(A90="每日跟踪",IF(OR(B90="",H90="",I90="",J90=""),"每日数据不完整",IF(COUNTIFS($A$2:$A$157,"每日跟踪",$B$2:$B$157,B90,$H$2:$H$157,H90)&gt;1,"同一交易日期重复",IF(AND(R90&lt;&gt;"",R90&lt;S90),"人工止损无效：不能下调","跟踪有效"))),"记录类型无效")))</f>
        <v/>
      </c>
    </row>
    <row r="91" spans="1:29" x14ac:dyDescent="0.15">
      <c r="A91" s="2"/>
      <c r="B91" s="2"/>
      <c r="C91" s="8" t="str">
        <f>IF(B91="","",IFERROR(LOOKUP(2,1/(单次交易!$A$2:$A$88=B91),单次交易!$B$2:$B$88),""))</f>
        <v/>
      </c>
      <c r="D91" s="12"/>
      <c r="E91" s="10"/>
      <c r="F91" s="10"/>
      <c r="G91" s="2"/>
      <c r="H91" s="13"/>
      <c r="I91" s="10"/>
      <c r="J91" s="12"/>
      <c r="K91" s="2"/>
      <c r="L91" s="2"/>
      <c r="M91" s="2"/>
      <c r="N91" s="5" t="str">
        <f>IF(B91="","",IFERROR(LOOKUP(2,1/(单次交易!$A$2:$A$88=B91),单次交易!$N$2:$N$88),""))</f>
        <v/>
      </c>
      <c r="O91" s="5" t="str">
        <f t="shared" si="0"/>
        <v/>
      </c>
      <c r="P91" s="11" t="str">
        <f t="shared" si="1"/>
        <v/>
      </c>
      <c r="Q91" s="5" t="str">
        <f t="shared" si="2"/>
        <v/>
      </c>
      <c r="R91" s="10"/>
      <c r="S91" s="5" t="str">
        <f t="shared" si="3"/>
        <v/>
      </c>
      <c r="T91" s="5" t="str">
        <f t="shared" si="4"/>
        <v/>
      </c>
      <c r="U91" s="5" t="str">
        <f t="shared" si="5"/>
        <v/>
      </c>
      <c r="V91" s="7" t="str">
        <f t="shared" si="6"/>
        <v/>
      </c>
      <c r="W91" s="8" t="str">
        <f t="shared" si="7"/>
        <v/>
      </c>
      <c r="X91" s="2"/>
      <c r="Y91" s="10"/>
      <c r="Z91" s="11" t="str">
        <f>IF(X91&lt;&gt;"执行卖出","",IFERROR(LOOKUP(2,1/(单次交易!$A$2:$A$88=B91),单次交易!$AP$2:$AP$88),""))</f>
        <v/>
      </c>
      <c r="AA91" s="10"/>
      <c r="AB91" s="8" t="str">
        <f t="shared" si="8"/>
        <v/>
      </c>
      <c r="AC91" s="8" t="str">
        <f>IF(A91="","",IF(A91="止损计划",IF(OR(B91="",D91="",E91="",F91="",G91=""),"计划不完整",IF(OR(D91&lt;1,D91&lt;&gt;INT(D91)),"阶段序号无效",IF(COUNTIFS($A$2:$A$157,"止损计划",$B$2:$B$157,B91,$D$2:$D$157,D91)&gt;1,"阶段序号重复",IF(E91&lt;=IFERROR(LOOKUP(2,1/(单次交易!$A$2:$A$88=B91),单次交易!$E$2:$E$88),0),"激活价须高于买入价",IF(F91&lt;N91,"止损价不得低于初始止损",IF(F91&gt;E91,"止损价不得高于激活价",IF(AND(COUNTIFS($A$2:$A$157,"止损计划",$B$2:$B$157,B91,$D$2:$D$157,"&lt;"&amp;D91)&gt;0,OR(E91&lt;=SUMPRODUCT(MAX((($A$2:$A$157="止损计划")*($B$2:$B$157=B91)*($D$2:$D$157&lt;D91))*$E$2:$E$157)),F91&lt;SUMPRODUCT(MAX((($A$2:$A$157="止损计划")*($B$2:$B$157=B91)*($D$2:$D$157&lt;D91))*$F$2:$F$157)))),"阶段价格必须逐级提高","计划有效"))))))),IF(A91="每日跟踪",IF(OR(B91="",H91="",I91="",J91=""),"每日数据不完整",IF(COUNTIFS($A$2:$A$157,"每日跟踪",$B$2:$B$157,B91,$H$2:$H$157,H91)&gt;1,"同一交易日期重复",IF(AND(R91&lt;&gt;"",R91&lt;S91),"人工止损无效：不能下调","跟踪有效"))),"记录类型无效")))</f>
        <v/>
      </c>
    </row>
    <row r="92" spans="1:29" x14ac:dyDescent="0.15">
      <c r="A92" s="2"/>
      <c r="B92" s="2"/>
      <c r="C92" s="8" t="str">
        <f>IF(B92="","",IFERROR(LOOKUP(2,1/(单次交易!$A$2:$A$88=B92),单次交易!$B$2:$B$88),""))</f>
        <v/>
      </c>
      <c r="D92" s="12"/>
      <c r="E92" s="10"/>
      <c r="F92" s="10"/>
      <c r="G92" s="2"/>
      <c r="H92" s="13"/>
      <c r="I92" s="10"/>
      <c r="J92" s="12"/>
      <c r="K92" s="2"/>
      <c r="L92" s="2"/>
      <c r="M92" s="2"/>
      <c r="N92" s="5" t="str">
        <f>IF(B92="","",IFERROR(LOOKUP(2,1/(单次交易!$A$2:$A$88=B92),单次交易!$N$2:$N$88),""))</f>
        <v/>
      </c>
      <c r="O92" s="5" t="str">
        <f t="shared" si="0"/>
        <v/>
      </c>
      <c r="P92" s="11" t="str">
        <f t="shared" si="1"/>
        <v/>
      </c>
      <c r="Q92" s="5" t="str">
        <f t="shared" si="2"/>
        <v/>
      </c>
      <c r="R92" s="10"/>
      <c r="S92" s="5" t="str">
        <f t="shared" si="3"/>
        <v/>
      </c>
      <c r="T92" s="5" t="str">
        <f t="shared" si="4"/>
        <v/>
      </c>
      <c r="U92" s="5" t="str">
        <f t="shared" si="5"/>
        <v/>
      </c>
      <c r="V92" s="7" t="str">
        <f t="shared" si="6"/>
        <v/>
      </c>
      <c r="W92" s="8" t="str">
        <f t="shared" si="7"/>
        <v/>
      </c>
      <c r="X92" s="2"/>
      <c r="Y92" s="10"/>
      <c r="Z92" s="11" t="str">
        <f>IF(X92&lt;&gt;"执行卖出","",IFERROR(LOOKUP(2,1/(单次交易!$A$2:$A$88=B92),单次交易!$AP$2:$AP$88),""))</f>
        <v/>
      </c>
      <c r="AA92" s="10"/>
      <c r="AB92" s="8" t="str">
        <f t="shared" si="8"/>
        <v/>
      </c>
      <c r="AC92" s="8" t="str">
        <f>IF(A92="","",IF(A92="止损计划",IF(OR(B92="",D92="",E92="",F92="",G92=""),"计划不完整",IF(OR(D92&lt;1,D92&lt;&gt;INT(D92)),"阶段序号无效",IF(COUNTIFS($A$2:$A$157,"止损计划",$B$2:$B$157,B92,$D$2:$D$157,D92)&gt;1,"阶段序号重复",IF(E92&lt;=IFERROR(LOOKUP(2,1/(单次交易!$A$2:$A$88=B92),单次交易!$E$2:$E$88),0),"激活价须高于买入价",IF(F92&lt;N92,"止损价不得低于初始止损",IF(F92&gt;E92,"止损价不得高于激活价",IF(AND(COUNTIFS($A$2:$A$157,"止损计划",$B$2:$B$157,B92,$D$2:$D$157,"&lt;"&amp;D92)&gt;0,OR(E92&lt;=SUMPRODUCT(MAX((($A$2:$A$157="止损计划")*($B$2:$B$157=B92)*($D$2:$D$157&lt;D92))*$E$2:$E$157)),F92&lt;SUMPRODUCT(MAX((($A$2:$A$157="止损计划")*($B$2:$B$157=B92)*($D$2:$D$157&lt;D92))*$F$2:$F$157)))),"阶段价格必须逐级提高","计划有效"))))))),IF(A92="每日跟踪",IF(OR(B92="",H92="",I92="",J92=""),"每日数据不完整",IF(COUNTIFS($A$2:$A$157,"每日跟踪",$B$2:$B$157,B92,$H$2:$H$157,H92)&gt;1,"同一交易日期重复",IF(AND(R92&lt;&gt;"",R92&lt;S92),"人工止损无效：不能下调","跟踪有效"))),"记录类型无效")))</f>
        <v/>
      </c>
    </row>
    <row r="93" spans="1:29" x14ac:dyDescent="0.15">
      <c r="A93" s="2"/>
      <c r="B93" s="2"/>
      <c r="C93" s="8" t="str">
        <f>IF(B93="","",IFERROR(LOOKUP(2,1/(单次交易!$A$2:$A$88=B93),单次交易!$B$2:$B$88),""))</f>
        <v/>
      </c>
      <c r="D93" s="12"/>
      <c r="E93" s="10"/>
      <c r="F93" s="10"/>
      <c r="G93" s="2"/>
      <c r="H93" s="13"/>
      <c r="I93" s="10"/>
      <c r="J93" s="12"/>
      <c r="K93" s="2"/>
      <c r="L93" s="2"/>
      <c r="M93" s="2"/>
      <c r="N93" s="5" t="str">
        <f>IF(B93="","",IFERROR(LOOKUP(2,1/(单次交易!$A$2:$A$88=B93),单次交易!$N$2:$N$88),""))</f>
        <v/>
      </c>
      <c r="O93" s="5" t="str">
        <f t="shared" si="0"/>
        <v/>
      </c>
      <c r="P93" s="11" t="str">
        <f t="shared" si="1"/>
        <v/>
      </c>
      <c r="Q93" s="5" t="str">
        <f t="shared" si="2"/>
        <v/>
      </c>
      <c r="R93" s="10"/>
      <c r="S93" s="5" t="str">
        <f t="shared" si="3"/>
        <v/>
      </c>
      <c r="T93" s="5" t="str">
        <f t="shared" si="4"/>
        <v/>
      </c>
      <c r="U93" s="5" t="str">
        <f t="shared" si="5"/>
        <v/>
      </c>
      <c r="V93" s="7" t="str">
        <f t="shared" si="6"/>
        <v/>
      </c>
      <c r="W93" s="8" t="str">
        <f t="shared" si="7"/>
        <v/>
      </c>
      <c r="X93" s="2"/>
      <c r="Y93" s="10"/>
      <c r="Z93" s="11" t="str">
        <f>IF(X93&lt;&gt;"执行卖出","",IFERROR(LOOKUP(2,1/(单次交易!$A$2:$A$88=B93),单次交易!$AP$2:$AP$88),""))</f>
        <v/>
      </c>
      <c r="AA93" s="10"/>
      <c r="AB93" s="8" t="str">
        <f t="shared" si="8"/>
        <v/>
      </c>
      <c r="AC93" s="8" t="str">
        <f>IF(A93="","",IF(A93="止损计划",IF(OR(B93="",D93="",E93="",F93="",G93=""),"计划不完整",IF(OR(D93&lt;1,D93&lt;&gt;INT(D93)),"阶段序号无效",IF(COUNTIFS($A$2:$A$157,"止损计划",$B$2:$B$157,B93,$D$2:$D$157,D93)&gt;1,"阶段序号重复",IF(E93&lt;=IFERROR(LOOKUP(2,1/(单次交易!$A$2:$A$88=B93),单次交易!$E$2:$E$88),0),"激活价须高于买入价",IF(F93&lt;N93,"止损价不得低于初始止损",IF(F93&gt;E93,"止损价不得高于激活价",IF(AND(COUNTIFS($A$2:$A$157,"止损计划",$B$2:$B$157,B93,$D$2:$D$157,"&lt;"&amp;D93)&gt;0,OR(E93&lt;=SUMPRODUCT(MAX((($A$2:$A$157="止损计划")*($B$2:$B$157=B93)*($D$2:$D$157&lt;D93))*$E$2:$E$157)),F93&lt;SUMPRODUCT(MAX((($A$2:$A$157="止损计划")*($B$2:$B$157=B93)*($D$2:$D$157&lt;D93))*$F$2:$F$157)))),"阶段价格必须逐级提高","计划有效"))))))),IF(A93="每日跟踪",IF(OR(B93="",H93="",I93="",J93=""),"每日数据不完整",IF(COUNTIFS($A$2:$A$157,"每日跟踪",$B$2:$B$157,B93,$H$2:$H$157,H93)&gt;1,"同一交易日期重复",IF(AND(R93&lt;&gt;"",R93&lt;S93),"人工止损无效：不能下调","跟踪有效"))),"记录类型无效")))</f>
        <v/>
      </c>
    </row>
    <row r="94" spans="1:29" x14ac:dyDescent="0.15">
      <c r="A94" s="2"/>
      <c r="B94" s="2"/>
      <c r="C94" s="8" t="str">
        <f>IF(B94="","",IFERROR(LOOKUP(2,1/(单次交易!$A$2:$A$88=B94),单次交易!$B$2:$B$88),""))</f>
        <v/>
      </c>
      <c r="D94" s="12"/>
      <c r="E94" s="10"/>
      <c r="F94" s="10"/>
      <c r="G94" s="2"/>
      <c r="H94" s="13"/>
      <c r="I94" s="10"/>
      <c r="J94" s="12"/>
      <c r="K94" s="2"/>
      <c r="L94" s="2"/>
      <c r="M94" s="2"/>
      <c r="N94" s="5" t="str">
        <f>IF(B94="","",IFERROR(LOOKUP(2,1/(单次交易!$A$2:$A$88=B94),单次交易!$N$2:$N$88),""))</f>
        <v/>
      </c>
      <c r="O94" s="5" t="str">
        <f t="shared" si="0"/>
        <v/>
      </c>
      <c r="P94" s="11" t="str">
        <f t="shared" si="1"/>
        <v/>
      </c>
      <c r="Q94" s="5" t="str">
        <f t="shared" si="2"/>
        <v/>
      </c>
      <c r="R94" s="10"/>
      <c r="S94" s="5" t="str">
        <f t="shared" si="3"/>
        <v/>
      </c>
      <c r="T94" s="5" t="str">
        <f t="shared" si="4"/>
        <v/>
      </c>
      <c r="U94" s="5" t="str">
        <f t="shared" si="5"/>
        <v/>
      </c>
      <c r="V94" s="7" t="str">
        <f t="shared" si="6"/>
        <v/>
      </c>
      <c r="W94" s="8" t="str">
        <f t="shared" si="7"/>
        <v/>
      </c>
      <c r="X94" s="2"/>
      <c r="Y94" s="10"/>
      <c r="Z94" s="11" t="str">
        <f>IF(X94&lt;&gt;"执行卖出","",IFERROR(LOOKUP(2,1/(单次交易!$A$2:$A$88=B94),单次交易!$AP$2:$AP$88),""))</f>
        <v/>
      </c>
      <c r="AA94" s="10"/>
      <c r="AB94" s="8" t="str">
        <f t="shared" si="8"/>
        <v/>
      </c>
      <c r="AC94" s="8" t="str">
        <f>IF(A94="","",IF(A94="止损计划",IF(OR(B94="",D94="",E94="",F94="",G94=""),"计划不完整",IF(OR(D94&lt;1,D94&lt;&gt;INT(D94)),"阶段序号无效",IF(COUNTIFS($A$2:$A$157,"止损计划",$B$2:$B$157,B94,$D$2:$D$157,D94)&gt;1,"阶段序号重复",IF(E94&lt;=IFERROR(LOOKUP(2,1/(单次交易!$A$2:$A$88=B94),单次交易!$E$2:$E$88),0),"激活价须高于买入价",IF(F94&lt;N94,"止损价不得低于初始止损",IF(F94&gt;E94,"止损价不得高于激活价",IF(AND(COUNTIFS($A$2:$A$157,"止损计划",$B$2:$B$157,B94,$D$2:$D$157,"&lt;"&amp;D94)&gt;0,OR(E94&lt;=SUMPRODUCT(MAX((($A$2:$A$157="止损计划")*($B$2:$B$157=B94)*($D$2:$D$157&lt;D94))*$E$2:$E$157)),F94&lt;SUMPRODUCT(MAX((($A$2:$A$157="止损计划")*($B$2:$B$157=B94)*($D$2:$D$157&lt;D94))*$F$2:$F$157)))),"阶段价格必须逐级提高","计划有效"))))))),IF(A94="每日跟踪",IF(OR(B94="",H94="",I94="",J94=""),"每日数据不完整",IF(COUNTIFS($A$2:$A$157,"每日跟踪",$B$2:$B$157,B94,$H$2:$H$157,H94)&gt;1,"同一交易日期重复",IF(AND(R94&lt;&gt;"",R94&lt;S94),"人工止损无效：不能下调","跟踪有效"))),"记录类型无效")))</f>
        <v/>
      </c>
    </row>
    <row r="95" spans="1:29" x14ac:dyDescent="0.15">
      <c r="A95" s="2"/>
      <c r="B95" s="2"/>
      <c r="C95" s="8" t="str">
        <f>IF(B95="","",IFERROR(LOOKUP(2,1/(单次交易!$A$2:$A$88=B95),单次交易!$B$2:$B$88),""))</f>
        <v/>
      </c>
      <c r="D95" s="12"/>
      <c r="E95" s="10"/>
      <c r="F95" s="10"/>
      <c r="G95" s="2"/>
      <c r="H95" s="13"/>
      <c r="I95" s="10"/>
      <c r="J95" s="12"/>
      <c r="K95" s="2"/>
      <c r="L95" s="2"/>
      <c r="M95" s="2"/>
      <c r="N95" s="5" t="str">
        <f>IF(B95="","",IFERROR(LOOKUP(2,1/(单次交易!$A$2:$A$88=B95),单次交易!$N$2:$N$88),""))</f>
        <v/>
      </c>
      <c r="O95" s="5" t="str">
        <f t="shared" si="0"/>
        <v/>
      </c>
      <c r="P95" s="11" t="str">
        <f t="shared" si="1"/>
        <v/>
      </c>
      <c r="Q95" s="5" t="str">
        <f t="shared" si="2"/>
        <v/>
      </c>
      <c r="R95" s="10"/>
      <c r="S95" s="5" t="str">
        <f t="shared" si="3"/>
        <v/>
      </c>
      <c r="T95" s="5" t="str">
        <f t="shared" si="4"/>
        <v/>
      </c>
      <c r="U95" s="5" t="str">
        <f t="shared" si="5"/>
        <v/>
      </c>
      <c r="V95" s="7" t="str">
        <f t="shared" si="6"/>
        <v/>
      </c>
      <c r="W95" s="8" t="str">
        <f t="shared" si="7"/>
        <v/>
      </c>
      <c r="X95" s="2"/>
      <c r="Y95" s="10"/>
      <c r="Z95" s="11" t="str">
        <f>IF(X95&lt;&gt;"执行卖出","",IFERROR(LOOKUP(2,1/(单次交易!$A$2:$A$88=B95),单次交易!$AP$2:$AP$88),""))</f>
        <v/>
      </c>
      <c r="AA95" s="10"/>
      <c r="AB95" s="8" t="str">
        <f t="shared" si="8"/>
        <v/>
      </c>
      <c r="AC95" s="8" t="str">
        <f>IF(A95="","",IF(A95="止损计划",IF(OR(B95="",D95="",E95="",F95="",G95=""),"计划不完整",IF(OR(D95&lt;1,D95&lt;&gt;INT(D95)),"阶段序号无效",IF(COUNTIFS($A$2:$A$157,"止损计划",$B$2:$B$157,B95,$D$2:$D$157,D95)&gt;1,"阶段序号重复",IF(E95&lt;=IFERROR(LOOKUP(2,1/(单次交易!$A$2:$A$88=B95),单次交易!$E$2:$E$88),0),"激活价须高于买入价",IF(F95&lt;N95,"止损价不得低于初始止损",IF(F95&gt;E95,"止损价不得高于激活价",IF(AND(COUNTIFS($A$2:$A$157,"止损计划",$B$2:$B$157,B95,$D$2:$D$157,"&lt;"&amp;D95)&gt;0,OR(E95&lt;=SUMPRODUCT(MAX((($A$2:$A$157="止损计划")*($B$2:$B$157=B95)*($D$2:$D$157&lt;D95))*$E$2:$E$157)),F95&lt;SUMPRODUCT(MAX((($A$2:$A$157="止损计划")*($B$2:$B$157=B95)*($D$2:$D$157&lt;D95))*$F$2:$F$157)))),"阶段价格必须逐级提高","计划有效"))))))),IF(A95="每日跟踪",IF(OR(B95="",H95="",I95="",J95=""),"每日数据不完整",IF(COUNTIFS($A$2:$A$157,"每日跟踪",$B$2:$B$157,B95,$H$2:$H$157,H95)&gt;1,"同一交易日期重复",IF(AND(R95&lt;&gt;"",R95&lt;S95),"人工止损无效：不能下调","跟踪有效"))),"记录类型无效")))</f>
        <v/>
      </c>
    </row>
    <row r="96" spans="1:29" x14ac:dyDescent="0.15">
      <c r="A96" s="2"/>
      <c r="B96" s="2"/>
      <c r="C96" s="8" t="str">
        <f>IF(B96="","",IFERROR(LOOKUP(2,1/(单次交易!$A$2:$A$88=B96),单次交易!$B$2:$B$88),""))</f>
        <v/>
      </c>
      <c r="D96" s="12"/>
      <c r="E96" s="10"/>
      <c r="F96" s="10"/>
      <c r="G96" s="2"/>
      <c r="H96" s="13"/>
      <c r="I96" s="10"/>
      <c r="J96" s="12"/>
      <c r="K96" s="2"/>
      <c r="L96" s="2"/>
      <c r="M96" s="2"/>
      <c r="N96" s="5" t="str">
        <f>IF(B96="","",IFERROR(LOOKUP(2,1/(单次交易!$A$2:$A$88=B96),单次交易!$N$2:$N$88),""))</f>
        <v/>
      </c>
      <c r="O96" s="5" t="str">
        <f t="shared" si="0"/>
        <v/>
      </c>
      <c r="P96" s="11" t="str">
        <f t="shared" si="1"/>
        <v/>
      </c>
      <c r="Q96" s="5" t="str">
        <f t="shared" si="2"/>
        <v/>
      </c>
      <c r="R96" s="10"/>
      <c r="S96" s="5" t="str">
        <f t="shared" si="3"/>
        <v/>
      </c>
      <c r="T96" s="5" t="str">
        <f t="shared" si="4"/>
        <v/>
      </c>
      <c r="U96" s="5" t="str">
        <f t="shared" si="5"/>
        <v/>
      </c>
      <c r="V96" s="7" t="str">
        <f t="shared" si="6"/>
        <v/>
      </c>
      <c r="W96" s="8" t="str">
        <f t="shared" si="7"/>
        <v/>
      </c>
      <c r="X96" s="2"/>
      <c r="Y96" s="10"/>
      <c r="Z96" s="11" t="str">
        <f>IF(X96&lt;&gt;"执行卖出","",IFERROR(LOOKUP(2,1/(单次交易!$A$2:$A$88=B96),单次交易!$AP$2:$AP$88),""))</f>
        <v/>
      </c>
      <c r="AA96" s="10"/>
      <c r="AB96" s="8" t="str">
        <f t="shared" si="8"/>
        <v/>
      </c>
      <c r="AC96" s="8" t="str">
        <f>IF(A96="","",IF(A96="止损计划",IF(OR(B96="",D96="",E96="",F96="",G96=""),"计划不完整",IF(OR(D96&lt;1,D96&lt;&gt;INT(D96)),"阶段序号无效",IF(COUNTIFS($A$2:$A$157,"止损计划",$B$2:$B$157,B96,$D$2:$D$157,D96)&gt;1,"阶段序号重复",IF(E96&lt;=IFERROR(LOOKUP(2,1/(单次交易!$A$2:$A$88=B96),单次交易!$E$2:$E$88),0),"激活价须高于买入价",IF(F96&lt;N96,"止损价不得低于初始止损",IF(F96&gt;E96,"止损价不得高于激活价",IF(AND(COUNTIFS($A$2:$A$157,"止损计划",$B$2:$B$157,B96,$D$2:$D$157,"&lt;"&amp;D96)&gt;0,OR(E96&lt;=SUMPRODUCT(MAX((($A$2:$A$157="止损计划")*($B$2:$B$157=B96)*($D$2:$D$157&lt;D96))*$E$2:$E$157)),F96&lt;SUMPRODUCT(MAX((($A$2:$A$157="止损计划")*($B$2:$B$157=B96)*($D$2:$D$157&lt;D96))*$F$2:$F$157)))),"阶段价格必须逐级提高","计划有效"))))))),IF(A96="每日跟踪",IF(OR(B96="",H96="",I96="",J96=""),"每日数据不完整",IF(COUNTIFS($A$2:$A$157,"每日跟踪",$B$2:$B$157,B96,$H$2:$H$157,H96)&gt;1,"同一交易日期重复",IF(AND(R96&lt;&gt;"",R96&lt;S96),"人工止损无效：不能下调","跟踪有效"))),"记录类型无效")))</f>
        <v/>
      </c>
    </row>
    <row r="97" spans="1:29" x14ac:dyDescent="0.15">
      <c r="A97" s="2"/>
      <c r="B97" s="2"/>
      <c r="C97" s="8" t="str">
        <f>IF(B97="","",IFERROR(LOOKUP(2,1/(单次交易!$A$2:$A$88=B97),单次交易!$B$2:$B$88),""))</f>
        <v/>
      </c>
      <c r="D97" s="12"/>
      <c r="E97" s="10"/>
      <c r="F97" s="10"/>
      <c r="G97" s="2"/>
      <c r="H97" s="13"/>
      <c r="I97" s="10"/>
      <c r="J97" s="12"/>
      <c r="K97" s="2"/>
      <c r="L97" s="2"/>
      <c r="M97" s="2"/>
      <c r="N97" s="5" t="str">
        <f>IF(B97="","",IFERROR(LOOKUP(2,1/(单次交易!$A$2:$A$88=B97),单次交易!$N$2:$N$88),""))</f>
        <v/>
      </c>
      <c r="O97" s="5" t="str">
        <f t="shared" si="0"/>
        <v/>
      </c>
      <c r="P97" s="11" t="str">
        <f t="shared" si="1"/>
        <v/>
      </c>
      <c r="Q97" s="5" t="str">
        <f t="shared" si="2"/>
        <v/>
      </c>
      <c r="R97" s="10"/>
      <c r="S97" s="5" t="str">
        <f t="shared" si="3"/>
        <v/>
      </c>
      <c r="T97" s="5" t="str">
        <f t="shared" si="4"/>
        <v/>
      </c>
      <c r="U97" s="5" t="str">
        <f t="shared" si="5"/>
        <v/>
      </c>
      <c r="V97" s="7" t="str">
        <f t="shared" si="6"/>
        <v/>
      </c>
      <c r="W97" s="8" t="str">
        <f t="shared" si="7"/>
        <v/>
      </c>
      <c r="X97" s="2"/>
      <c r="Y97" s="10"/>
      <c r="Z97" s="11" t="str">
        <f>IF(X97&lt;&gt;"执行卖出","",IFERROR(LOOKUP(2,1/(单次交易!$A$2:$A$88=B97),单次交易!$AP$2:$AP$88),""))</f>
        <v/>
      </c>
      <c r="AA97" s="10"/>
      <c r="AB97" s="8" t="str">
        <f t="shared" si="8"/>
        <v/>
      </c>
      <c r="AC97" s="8" t="str">
        <f>IF(A97="","",IF(A97="止损计划",IF(OR(B97="",D97="",E97="",F97="",G97=""),"计划不完整",IF(OR(D97&lt;1,D97&lt;&gt;INT(D97)),"阶段序号无效",IF(COUNTIFS($A$2:$A$157,"止损计划",$B$2:$B$157,B97,$D$2:$D$157,D97)&gt;1,"阶段序号重复",IF(E97&lt;=IFERROR(LOOKUP(2,1/(单次交易!$A$2:$A$88=B97),单次交易!$E$2:$E$88),0),"激活价须高于买入价",IF(F97&lt;N97,"止损价不得低于初始止损",IF(F97&gt;E97,"止损价不得高于激活价",IF(AND(COUNTIFS($A$2:$A$157,"止损计划",$B$2:$B$157,B97,$D$2:$D$157,"&lt;"&amp;D97)&gt;0,OR(E97&lt;=SUMPRODUCT(MAX((($A$2:$A$157="止损计划")*($B$2:$B$157=B97)*($D$2:$D$157&lt;D97))*$E$2:$E$157)),F97&lt;SUMPRODUCT(MAX((($A$2:$A$157="止损计划")*($B$2:$B$157=B97)*($D$2:$D$157&lt;D97))*$F$2:$F$157)))),"阶段价格必须逐级提高","计划有效"))))))),IF(A97="每日跟踪",IF(OR(B97="",H97="",I97="",J97=""),"每日数据不完整",IF(COUNTIFS($A$2:$A$157,"每日跟踪",$B$2:$B$157,B97,$H$2:$H$157,H97)&gt;1,"同一交易日期重复",IF(AND(R97&lt;&gt;"",R97&lt;S97),"人工止损无效：不能下调","跟踪有效"))),"记录类型无效")))</f>
        <v/>
      </c>
    </row>
    <row r="98" spans="1:29" x14ac:dyDescent="0.15">
      <c r="A98" s="2"/>
      <c r="B98" s="2"/>
      <c r="C98" s="8" t="str">
        <f>IF(B98="","",IFERROR(LOOKUP(2,1/(单次交易!$A$2:$A$88=B98),单次交易!$B$2:$B$88),""))</f>
        <v/>
      </c>
      <c r="D98" s="12"/>
      <c r="E98" s="10"/>
      <c r="F98" s="10"/>
      <c r="G98" s="2"/>
      <c r="H98" s="13"/>
      <c r="I98" s="10"/>
      <c r="J98" s="12"/>
      <c r="K98" s="2"/>
      <c r="L98" s="2"/>
      <c r="M98" s="2"/>
      <c r="N98" s="5" t="str">
        <f>IF(B98="","",IFERROR(LOOKUP(2,1/(单次交易!$A$2:$A$88=B98),单次交易!$N$2:$N$88),""))</f>
        <v/>
      </c>
      <c r="O98" s="5" t="str">
        <f t="shared" ref="O98:O129" si="9">IF(A98&lt;&gt;"每日跟踪","",IF(OR(B98="",H98="",I98=""),"",IFERROR(SUMPRODUCT(MAX((($A$2:$A$157="每日跟踪")*($B$2:$B$157=B98)*($H$2:$H$157&lt;=H98))*$I$2:$I$157)),"")))</f>
        <v/>
      </c>
      <c r="P98" s="11" t="str">
        <f t="shared" ref="P98:P129" si="10">IF(A98&lt;&gt;"每日跟踪","",IF(O98="","",IFERROR(SUMPRODUCT(MAX((($A$2:$A$157="止损计划")*($B$2:$B$157=B98)*($E$2:$E$157&lt;=O98))*$D$2:$D$157)),0)))</f>
        <v/>
      </c>
      <c r="Q98" s="5" t="str">
        <f t="shared" ref="Q98:Q129" si="11">IF(A98&lt;&gt;"每日跟踪","",IF(N98="","",MAX(N98,IFERROR(SUMPRODUCT(MAX((($A$2:$A$157="止损计划")*($B$2:$B$157=B98)*($E$2:$E$157&lt;=O98))*$F$2:$F$157)),0))))</f>
        <v/>
      </c>
      <c r="R98" s="10"/>
      <c r="S98" s="5" t="str">
        <f t="shared" ref="S98:S129" si="12">IF(A98&lt;&gt;"每日跟踪","",IF(Q98="","",MAX(Q98,IFERROR(SUMPRODUCT(MAX((($A$2:$A$157="每日跟踪")*($B$2:$B$157=B98)*($H$2:$H$157&lt;=H98))*$R$2:$R$157)),0))))</f>
        <v/>
      </c>
      <c r="T98" s="5" t="str">
        <f t="shared" ref="T98:T129" si="13">IF(A98&lt;&gt;"每日跟踪","",IF(O98="","",IF(COUNTIFS($A$2:$A$157,"止损计划",$B$2:$B$157,B98,$E$2:$E$157,"&gt;"&amp;O98)=0,"",INDEX($E$2:$E$157,MATCH(1,INDEX(($A$2:$A$157="止损计划")*($B$2:$B$157=B98)*($E$2:$E$157&gt;O98),0),0)))))</f>
        <v/>
      </c>
      <c r="U98" s="5" t="str">
        <f t="shared" ref="U98:U129" si="14">IF(OR(A98&lt;&gt;"每日跟踪",T98=""),"",IFERROR(SUMIFS($F$2:$F$157,$A$2:$A$157,"止损计划",$B$2:$B$157,B98,$E$2:$E$157,T98),""))</f>
        <v/>
      </c>
      <c r="V98" s="7" t="str">
        <f t="shared" si="6"/>
        <v/>
      </c>
      <c r="W98" s="8" t="str">
        <f t="shared" si="7"/>
        <v/>
      </c>
      <c r="X98" s="2"/>
      <c r="Y98" s="10"/>
      <c r="Z98" s="11" t="str">
        <f>IF(X98&lt;&gt;"执行卖出","",IFERROR(LOOKUP(2,1/(单次交易!$A$2:$A$88=B98),单次交易!$AP$2:$AP$88),""))</f>
        <v/>
      </c>
      <c r="AA98" s="10"/>
      <c r="AB98" s="8" t="str">
        <f t="shared" si="8"/>
        <v/>
      </c>
      <c r="AC98" s="8" t="str">
        <f>IF(A98="","",IF(A98="止损计划",IF(OR(B98="",D98="",E98="",F98="",G98=""),"计划不完整",IF(OR(D98&lt;1,D98&lt;&gt;INT(D98)),"阶段序号无效",IF(COUNTIFS($A$2:$A$157,"止损计划",$B$2:$B$157,B98,$D$2:$D$157,D98)&gt;1,"阶段序号重复",IF(E98&lt;=IFERROR(LOOKUP(2,1/(单次交易!$A$2:$A$88=B98),单次交易!$E$2:$E$88),0),"激活价须高于买入价",IF(F98&lt;N98,"止损价不得低于初始止损",IF(F98&gt;E98,"止损价不得高于激活价",IF(AND(COUNTIFS($A$2:$A$157,"止损计划",$B$2:$B$157,B98,$D$2:$D$157,"&lt;"&amp;D98)&gt;0,OR(E98&lt;=SUMPRODUCT(MAX((($A$2:$A$157="止损计划")*($B$2:$B$157=B98)*($D$2:$D$157&lt;D98))*$E$2:$E$157)),F98&lt;SUMPRODUCT(MAX((($A$2:$A$157="止损计划")*($B$2:$B$157=B98)*($D$2:$D$157&lt;D98))*$F$2:$F$157)))),"阶段价格必须逐级提高","计划有效"))))))),IF(A98="每日跟踪",IF(OR(B98="",H98="",I98="",J98=""),"每日数据不完整",IF(COUNTIFS($A$2:$A$157,"每日跟踪",$B$2:$B$157,B98,$H$2:$H$157,H98)&gt;1,"同一交易日期重复",IF(AND(R98&lt;&gt;"",R98&lt;S98),"人工止损无效：不能下调","跟踪有效"))),"记录类型无效")))</f>
        <v/>
      </c>
    </row>
    <row r="99" spans="1:29" x14ac:dyDescent="0.15">
      <c r="A99" s="2"/>
      <c r="B99" s="2"/>
      <c r="C99" s="8" t="str">
        <f>IF(B99="","",IFERROR(LOOKUP(2,1/(单次交易!$A$2:$A$88=B99),单次交易!$B$2:$B$88),""))</f>
        <v/>
      </c>
      <c r="D99" s="12"/>
      <c r="E99" s="10"/>
      <c r="F99" s="10"/>
      <c r="G99" s="2"/>
      <c r="H99" s="13"/>
      <c r="I99" s="10"/>
      <c r="J99" s="12"/>
      <c r="K99" s="2"/>
      <c r="L99" s="2"/>
      <c r="M99" s="2"/>
      <c r="N99" s="5" t="str">
        <f>IF(B99="","",IFERROR(LOOKUP(2,1/(单次交易!$A$2:$A$88=B99),单次交易!$N$2:$N$88),""))</f>
        <v/>
      </c>
      <c r="O99" s="5" t="str">
        <f t="shared" si="9"/>
        <v/>
      </c>
      <c r="P99" s="11" t="str">
        <f t="shared" si="10"/>
        <v/>
      </c>
      <c r="Q99" s="5" t="str">
        <f t="shared" si="11"/>
        <v/>
      </c>
      <c r="R99" s="10"/>
      <c r="S99" s="5" t="str">
        <f t="shared" si="12"/>
        <v/>
      </c>
      <c r="T99" s="5" t="str">
        <f t="shared" si="13"/>
        <v/>
      </c>
      <c r="U99" s="5" t="str">
        <f t="shared" si="14"/>
        <v/>
      </c>
      <c r="V99" s="7" t="str">
        <f t="shared" si="6"/>
        <v/>
      </c>
      <c r="W99" s="8" t="str">
        <f t="shared" si="7"/>
        <v/>
      </c>
      <c r="X99" s="2"/>
      <c r="Y99" s="10"/>
      <c r="Z99" s="11" t="str">
        <f>IF(X99&lt;&gt;"执行卖出","",IFERROR(LOOKUP(2,1/(单次交易!$A$2:$A$88=B99),单次交易!$AP$2:$AP$88),""))</f>
        <v/>
      </c>
      <c r="AA99" s="10"/>
      <c r="AB99" s="8" t="str">
        <f t="shared" si="8"/>
        <v/>
      </c>
      <c r="AC99" s="8" t="str">
        <f>IF(A99="","",IF(A99="止损计划",IF(OR(B99="",D99="",E99="",F99="",G99=""),"计划不完整",IF(OR(D99&lt;1,D99&lt;&gt;INT(D99)),"阶段序号无效",IF(COUNTIFS($A$2:$A$157,"止损计划",$B$2:$B$157,B99,$D$2:$D$157,D99)&gt;1,"阶段序号重复",IF(E99&lt;=IFERROR(LOOKUP(2,1/(单次交易!$A$2:$A$88=B99),单次交易!$E$2:$E$88),0),"激活价须高于买入价",IF(F99&lt;N99,"止损价不得低于初始止损",IF(F99&gt;E99,"止损价不得高于激活价",IF(AND(COUNTIFS($A$2:$A$157,"止损计划",$B$2:$B$157,B99,$D$2:$D$157,"&lt;"&amp;D99)&gt;0,OR(E99&lt;=SUMPRODUCT(MAX((($A$2:$A$157="止损计划")*($B$2:$B$157=B99)*($D$2:$D$157&lt;D99))*$E$2:$E$157)),F99&lt;SUMPRODUCT(MAX((($A$2:$A$157="止损计划")*($B$2:$B$157=B99)*($D$2:$D$157&lt;D99))*$F$2:$F$157)))),"阶段价格必须逐级提高","计划有效"))))))),IF(A99="每日跟踪",IF(OR(B99="",H99="",I99="",J99=""),"每日数据不完整",IF(COUNTIFS($A$2:$A$157,"每日跟踪",$B$2:$B$157,B99,$H$2:$H$157,H99)&gt;1,"同一交易日期重复",IF(AND(R99&lt;&gt;"",R99&lt;S99),"人工止损无效：不能下调","跟踪有效"))),"记录类型无效")))</f>
        <v/>
      </c>
    </row>
    <row r="100" spans="1:29" x14ac:dyDescent="0.15">
      <c r="A100" s="2"/>
      <c r="B100" s="2"/>
      <c r="C100" s="8" t="str">
        <f>IF(B100="","",IFERROR(LOOKUP(2,1/(单次交易!$A$2:$A$88=B100),单次交易!$B$2:$B$88),""))</f>
        <v/>
      </c>
      <c r="D100" s="12"/>
      <c r="E100" s="10"/>
      <c r="F100" s="10"/>
      <c r="G100" s="2"/>
      <c r="H100" s="13"/>
      <c r="I100" s="10"/>
      <c r="J100" s="12"/>
      <c r="K100" s="2"/>
      <c r="L100" s="2"/>
      <c r="M100" s="2"/>
      <c r="N100" s="5" t="str">
        <f>IF(B100="","",IFERROR(LOOKUP(2,1/(单次交易!$A$2:$A$88=B100),单次交易!$N$2:$N$88),""))</f>
        <v/>
      </c>
      <c r="O100" s="5" t="str">
        <f t="shared" si="9"/>
        <v/>
      </c>
      <c r="P100" s="11" t="str">
        <f t="shared" si="10"/>
        <v/>
      </c>
      <c r="Q100" s="5" t="str">
        <f t="shared" si="11"/>
        <v/>
      </c>
      <c r="R100" s="10"/>
      <c r="S100" s="5" t="str">
        <f t="shared" si="12"/>
        <v/>
      </c>
      <c r="T100" s="5" t="str">
        <f t="shared" si="13"/>
        <v/>
      </c>
      <c r="U100" s="5" t="str">
        <f t="shared" si="14"/>
        <v/>
      </c>
      <c r="V100" s="7" t="str">
        <f t="shared" si="6"/>
        <v/>
      </c>
      <c r="W100" s="8" t="str">
        <f t="shared" si="7"/>
        <v/>
      </c>
      <c r="X100" s="2"/>
      <c r="Y100" s="10"/>
      <c r="Z100" s="11" t="str">
        <f>IF(X100&lt;&gt;"执行卖出","",IFERROR(LOOKUP(2,1/(单次交易!$A$2:$A$88=B100),单次交易!$AP$2:$AP$88),""))</f>
        <v/>
      </c>
      <c r="AA100" s="10"/>
      <c r="AB100" s="8" t="str">
        <f t="shared" si="8"/>
        <v/>
      </c>
      <c r="AC100" s="8" t="str">
        <f>IF(A100="","",IF(A100="止损计划",IF(OR(B100="",D100="",E100="",F100="",G100=""),"计划不完整",IF(OR(D100&lt;1,D100&lt;&gt;INT(D100)),"阶段序号无效",IF(COUNTIFS($A$2:$A$157,"止损计划",$B$2:$B$157,B100,$D$2:$D$157,D100)&gt;1,"阶段序号重复",IF(E100&lt;=IFERROR(LOOKUP(2,1/(单次交易!$A$2:$A$88=B100),单次交易!$E$2:$E$88),0),"激活价须高于买入价",IF(F100&lt;N100,"止损价不得低于初始止损",IF(F100&gt;E100,"止损价不得高于激活价",IF(AND(COUNTIFS($A$2:$A$157,"止损计划",$B$2:$B$157,B100,$D$2:$D$157,"&lt;"&amp;D100)&gt;0,OR(E100&lt;=SUMPRODUCT(MAX((($A$2:$A$157="止损计划")*($B$2:$B$157=B100)*($D$2:$D$157&lt;D100))*$E$2:$E$157)),F100&lt;SUMPRODUCT(MAX((($A$2:$A$157="止损计划")*($B$2:$B$157=B100)*($D$2:$D$157&lt;D100))*$F$2:$F$157)))),"阶段价格必须逐级提高","计划有效"))))))),IF(A100="每日跟踪",IF(OR(B100="",H100="",I100="",J100=""),"每日数据不完整",IF(COUNTIFS($A$2:$A$157,"每日跟踪",$B$2:$B$157,B100,$H$2:$H$157,H100)&gt;1,"同一交易日期重复",IF(AND(R100&lt;&gt;"",R100&lt;S100),"人工止损无效：不能下调","跟踪有效"))),"记录类型无效")))</f>
        <v/>
      </c>
    </row>
    <row r="101" spans="1:29" x14ac:dyDescent="0.15">
      <c r="A101" s="2"/>
      <c r="B101" s="2"/>
      <c r="C101" s="8" t="str">
        <f>IF(B101="","",IFERROR(LOOKUP(2,1/(单次交易!$A$2:$A$88=B101),单次交易!$B$2:$B$88),""))</f>
        <v/>
      </c>
      <c r="D101" s="12"/>
      <c r="E101" s="10"/>
      <c r="F101" s="10"/>
      <c r="G101" s="2"/>
      <c r="H101" s="13"/>
      <c r="I101" s="10"/>
      <c r="J101" s="12"/>
      <c r="K101" s="2"/>
      <c r="L101" s="2"/>
      <c r="M101" s="2"/>
      <c r="N101" s="5" t="str">
        <f>IF(B101="","",IFERROR(LOOKUP(2,1/(单次交易!$A$2:$A$88=B101),单次交易!$N$2:$N$88),""))</f>
        <v/>
      </c>
      <c r="O101" s="5" t="str">
        <f t="shared" si="9"/>
        <v/>
      </c>
      <c r="P101" s="11" t="str">
        <f t="shared" si="10"/>
        <v/>
      </c>
      <c r="Q101" s="5" t="str">
        <f t="shared" si="11"/>
        <v/>
      </c>
      <c r="R101" s="10"/>
      <c r="S101" s="5" t="str">
        <f t="shared" si="12"/>
        <v/>
      </c>
      <c r="T101" s="5" t="str">
        <f t="shared" si="13"/>
        <v/>
      </c>
      <c r="U101" s="5" t="str">
        <f t="shared" si="14"/>
        <v/>
      </c>
      <c r="V101" s="7" t="str">
        <f t="shared" si="6"/>
        <v/>
      </c>
      <c r="W101" s="8" t="str">
        <f t="shared" si="7"/>
        <v/>
      </c>
      <c r="X101" s="2"/>
      <c r="Y101" s="10"/>
      <c r="Z101" s="11" t="str">
        <f>IF(X101&lt;&gt;"执行卖出","",IFERROR(LOOKUP(2,1/(单次交易!$A$2:$A$88=B101),单次交易!$AP$2:$AP$88),""))</f>
        <v/>
      </c>
      <c r="AA101" s="10"/>
      <c r="AB101" s="8" t="str">
        <f t="shared" si="8"/>
        <v/>
      </c>
      <c r="AC101" s="8" t="str">
        <f>IF(A101="","",IF(A101="止损计划",IF(OR(B101="",D101="",E101="",F101="",G101=""),"计划不完整",IF(OR(D101&lt;1,D101&lt;&gt;INT(D101)),"阶段序号无效",IF(COUNTIFS($A$2:$A$157,"止损计划",$B$2:$B$157,B101,$D$2:$D$157,D101)&gt;1,"阶段序号重复",IF(E101&lt;=IFERROR(LOOKUP(2,1/(单次交易!$A$2:$A$88=B101),单次交易!$E$2:$E$88),0),"激活价须高于买入价",IF(F101&lt;N101,"止损价不得低于初始止损",IF(F101&gt;E101,"止损价不得高于激活价",IF(AND(COUNTIFS($A$2:$A$157,"止损计划",$B$2:$B$157,B101,$D$2:$D$157,"&lt;"&amp;D101)&gt;0,OR(E101&lt;=SUMPRODUCT(MAX((($A$2:$A$157="止损计划")*($B$2:$B$157=B101)*($D$2:$D$157&lt;D101))*$E$2:$E$157)),F101&lt;SUMPRODUCT(MAX((($A$2:$A$157="止损计划")*($B$2:$B$157=B101)*($D$2:$D$157&lt;D101))*$F$2:$F$157)))),"阶段价格必须逐级提高","计划有效"))))))),IF(A101="每日跟踪",IF(OR(B101="",H101="",I101="",J101=""),"每日数据不完整",IF(COUNTIFS($A$2:$A$157,"每日跟踪",$B$2:$B$157,B101,$H$2:$H$157,H101)&gt;1,"同一交易日期重复",IF(AND(R101&lt;&gt;"",R101&lt;S101),"人工止损无效：不能下调","跟踪有效"))),"记录类型无效")))</f>
        <v/>
      </c>
    </row>
    <row r="102" spans="1:29" x14ac:dyDescent="0.15">
      <c r="A102" s="2"/>
      <c r="B102" s="2"/>
      <c r="C102" s="8" t="str">
        <f>IF(B102="","",IFERROR(LOOKUP(2,1/(单次交易!$A$2:$A$88=B102),单次交易!$B$2:$B$88),""))</f>
        <v/>
      </c>
      <c r="D102" s="12"/>
      <c r="E102" s="10"/>
      <c r="F102" s="10"/>
      <c r="G102" s="2"/>
      <c r="H102" s="13"/>
      <c r="I102" s="10"/>
      <c r="J102" s="12"/>
      <c r="K102" s="2"/>
      <c r="L102" s="2"/>
      <c r="M102" s="2"/>
      <c r="N102" s="5" t="str">
        <f>IF(B102="","",IFERROR(LOOKUP(2,1/(单次交易!$A$2:$A$88=B102),单次交易!$N$2:$N$88),""))</f>
        <v/>
      </c>
      <c r="O102" s="5" t="str">
        <f t="shared" si="9"/>
        <v/>
      </c>
      <c r="P102" s="11" t="str">
        <f t="shared" si="10"/>
        <v/>
      </c>
      <c r="Q102" s="5" t="str">
        <f t="shared" si="11"/>
        <v/>
      </c>
      <c r="R102" s="10"/>
      <c r="S102" s="5" t="str">
        <f t="shared" si="12"/>
        <v/>
      </c>
      <c r="T102" s="5" t="str">
        <f t="shared" si="13"/>
        <v/>
      </c>
      <c r="U102" s="5" t="str">
        <f t="shared" si="14"/>
        <v/>
      </c>
      <c r="V102" s="7" t="str">
        <f t="shared" si="6"/>
        <v/>
      </c>
      <c r="W102" s="8" t="str">
        <f t="shared" si="7"/>
        <v/>
      </c>
      <c r="X102" s="2"/>
      <c r="Y102" s="10"/>
      <c r="Z102" s="11" t="str">
        <f>IF(X102&lt;&gt;"执行卖出","",IFERROR(LOOKUP(2,1/(单次交易!$A$2:$A$88=B102),单次交易!$AP$2:$AP$88),""))</f>
        <v/>
      </c>
      <c r="AA102" s="10"/>
      <c r="AB102" s="8" t="str">
        <f t="shared" si="8"/>
        <v/>
      </c>
      <c r="AC102" s="8" t="str">
        <f>IF(A102="","",IF(A102="止损计划",IF(OR(B102="",D102="",E102="",F102="",G102=""),"计划不完整",IF(OR(D102&lt;1,D102&lt;&gt;INT(D102)),"阶段序号无效",IF(COUNTIFS($A$2:$A$157,"止损计划",$B$2:$B$157,B102,$D$2:$D$157,D102)&gt;1,"阶段序号重复",IF(E102&lt;=IFERROR(LOOKUP(2,1/(单次交易!$A$2:$A$88=B102),单次交易!$E$2:$E$88),0),"激活价须高于买入价",IF(F102&lt;N102,"止损价不得低于初始止损",IF(F102&gt;E102,"止损价不得高于激活价",IF(AND(COUNTIFS($A$2:$A$157,"止损计划",$B$2:$B$157,B102,$D$2:$D$157,"&lt;"&amp;D102)&gt;0,OR(E102&lt;=SUMPRODUCT(MAX((($A$2:$A$157="止损计划")*($B$2:$B$157=B102)*($D$2:$D$157&lt;D102))*$E$2:$E$157)),F102&lt;SUMPRODUCT(MAX((($A$2:$A$157="止损计划")*($B$2:$B$157=B102)*($D$2:$D$157&lt;D102))*$F$2:$F$157)))),"阶段价格必须逐级提高","计划有效"))))))),IF(A102="每日跟踪",IF(OR(B102="",H102="",I102="",J102=""),"每日数据不完整",IF(COUNTIFS($A$2:$A$157,"每日跟踪",$B$2:$B$157,B102,$H$2:$H$157,H102)&gt;1,"同一交易日期重复",IF(AND(R102&lt;&gt;"",R102&lt;S102),"人工止损无效：不能下调","跟踪有效"))),"记录类型无效")))</f>
        <v/>
      </c>
    </row>
    <row r="103" spans="1:29" x14ac:dyDescent="0.15">
      <c r="A103" s="2"/>
      <c r="B103" s="2"/>
      <c r="C103" s="8" t="str">
        <f>IF(B103="","",IFERROR(LOOKUP(2,1/(单次交易!$A$2:$A$88=B103),单次交易!$B$2:$B$88),""))</f>
        <v/>
      </c>
      <c r="D103" s="12"/>
      <c r="E103" s="10"/>
      <c r="F103" s="10"/>
      <c r="G103" s="2"/>
      <c r="H103" s="13"/>
      <c r="I103" s="10"/>
      <c r="J103" s="12"/>
      <c r="K103" s="2"/>
      <c r="L103" s="2"/>
      <c r="M103" s="2"/>
      <c r="N103" s="5" t="str">
        <f>IF(B103="","",IFERROR(LOOKUP(2,1/(单次交易!$A$2:$A$88=B103),单次交易!$N$2:$N$88),""))</f>
        <v/>
      </c>
      <c r="O103" s="5" t="str">
        <f t="shared" si="9"/>
        <v/>
      </c>
      <c r="P103" s="11" t="str">
        <f t="shared" si="10"/>
        <v/>
      </c>
      <c r="Q103" s="5" t="str">
        <f t="shared" si="11"/>
        <v/>
      </c>
      <c r="R103" s="10"/>
      <c r="S103" s="5" t="str">
        <f t="shared" si="12"/>
        <v/>
      </c>
      <c r="T103" s="5" t="str">
        <f t="shared" si="13"/>
        <v/>
      </c>
      <c r="U103" s="5" t="str">
        <f t="shared" si="14"/>
        <v/>
      </c>
      <c r="V103" s="7" t="str">
        <f t="shared" si="6"/>
        <v/>
      </c>
      <c r="W103" s="8" t="str">
        <f t="shared" si="7"/>
        <v/>
      </c>
      <c r="X103" s="2"/>
      <c r="Y103" s="10"/>
      <c r="Z103" s="11" t="str">
        <f>IF(X103&lt;&gt;"执行卖出","",IFERROR(LOOKUP(2,1/(单次交易!$A$2:$A$88=B103),单次交易!$AP$2:$AP$88),""))</f>
        <v/>
      </c>
      <c r="AA103" s="10"/>
      <c r="AB103" s="8" t="str">
        <f t="shared" si="8"/>
        <v/>
      </c>
      <c r="AC103" s="8" t="str">
        <f>IF(A103="","",IF(A103="止损计划",IF(OR(B103="",D103="",E103="",F103="",G103=""),"计划不完整",IF(OR(D103&lt;1,D103&lt;&gt;INT(D103)),"阶段序号无效",IF(COUNTIFS($A$2:$A$157,"止损计划",$B$2:$B$157,B103,$D$2:$D$157,D103)&gt;1,"阶段序号重复",IF(E103&lt;=IFERROR(LOOKUP(2,1/(单次交易!$A$2:$A$88=B103),单次交易!$E$2:$E$88),0),"激活价须高于买入价",IF(F103&lt;N103,"止损价不得低于初始止损",IF(F103&gt;E103,"止损价不得高于激活价",IF(AND(COUNTIFS($A$2:$A$157,"止损计划",$B$2:$B$157,B103,$D$2:$D$157,"&lt;"&amp;D103)&gt;0,OR(E103&lt;=SUMPRODUCT(MAX((($A$2:$A$157="止损计划")*($B$2:$B$157=B103)*($D$2:$D$157&lt;D103))*$E$2:$E$157)),F103&lt;SUMPRODUCT(MAX((($A$2:$A$157="止损计划")*($B$2:$B$157=B103)*($D$2:$D$157&lt;D103))*$F$2:$F$157)))),"阶段价格必须逐级提高","计划有效"))))))),IF(A103="每日跟踪",IF(OR(B103="",H103="",I103="",J103=""),"每日数据不完整",IF(COUNTIFS($A$2:$A$157,"每日跟踪",$B$2:$B$157,B103,$H$2:$H$157,H103)&gt;1,"同一交易日期重复",IF(AND(R103&lt;&gt;"",R103&lt;S103),"人工止损无效：不能下调","跟踪有效"))),"记录类型无效")))</f>
        <v/>
      </c>
    </row>
    <row r="104" spans="1:29" x14ac:dyDescent="0.15">
      <c r="A104" s="2"/>
      <c r="B104" s="2"/>
      <c r="C104" s="8" t="str">
        <f>IF(B104="","",IFERROR(LOOKUP(2,1/(单次交易!$A$2:$A$88=B104),单次交易!$B$2:$B$88),""))</f>
        <v/>
      </c>
      <c r="D104" s="12"/>
      <c r="E104" s="10"/>
      <c r="F104" s="10"/>
      <c r="G104" s="2"/>
      <c r="H104" s="13"/>
      <c r="I104" s="10"/>
      <c r="J104" s="12"/>
      <c r="K104" s="2"/>
      <c r="L104" s="2"/>
      <c r="M104" s="2"/>
      <c r="N104" s="5" t="str">
        <f>IF(B104="","",IFERROR(LOOKUP(2,1/(单次交易!$A$2:$A$88=B104),单次交易!$N$2:$N$88),""))</f>
        <v/>
      </c>
      <c r="O104" s="5" t="str">
        <f t="shared" si="9"/>
        <v/>
      </c>
      <c r="P104" s="11" t="str">
        <f t="shared" si="10"/>
        <v/>
      </c>
      <c r="Q104" s="5" t="str">
        <f t="shared" si="11"/>
        <v/>
      </c>
      <c r="R104" s="10"/>
      <c r="S104" s="5" t="str">
        <f t="shared" si="12"/>
        <v/>
      </c>
      <c r="T104" s="5" t="str">
        <f t="shared" si="13"/>
        <v/>
      </c>
      <c r="U104" s="5" t="str">
        <f t="shared" si="14"/>
        <v/>
      </c>
      <c r="V104" s="7" t="str">
        <f t="shared" si="6"/>
        <v/>
      </c>
      <c r="W104" s="8" t="str">
        <f t="shared" si="7"/>
        <v/>
      </c>
      <c r="X104" s="2"/>
      <c r="Y104" s="10"/>
      <c r="Z104" s="11" t="str">
        <f>IF(X104&lt;&gt;"执行卖出","",IFERROR(LOOKUP(2,1/(单次交易!$A$2:$A$88=B104),单次交易!$AP$2:$AP$88),""))</f>
        <v/>
      </c>
      <c r="AA104" s="10"/>
      <c r="AB104" s="8" t="str">
        <f t="shared" si="8"/>
        <v/>
      </c>
      <c r="AC104" s="8" t="str">
        <f>IF(A104="","",IF(A104="止损计划",IF(OR(B104="",D104="",E104="",F104="",G104=""),"计划不完整",IF(OR(D104&lt;1,D104&lt;&gt;INT(D104)),"阶段序号无效",IF(COUNTIFS($A$2:$A$157,"止损计划",$B$2:$B$157,B104,$D$2:$D$157,D104)&gt;1,"阶段序号重复",IF(E104&lt;=IFERROR(LOOKUP(2,1/(单次交易!$A$2:$A$88=B104),单次交易!$E$2:$E$88),0),"激活价须高于买入价",IF(F104&lt;N104,"止损价不得低于初始止损",IF(F104&gt;E104,"止损价不得高于激活价",IF(AND(COUNTIFS($A$2:$A$157,"止损计划",$B$2:$B$157,B104,$D$2:$D$157,"&lt;"&amp;D104)&gt;0,OR(E104&lt;=SUMPRODUCT(MAX((($A$2:$A$157="止损计划")*($B$2:$B$157=B104)*($D$2:$D$157&lt;D104))*$E$2:$E$157)),F104&lt;SUMPRODUCT(MAX((($A$2:$A$157="止损计划")*($B$2:$B$157=B104)*($D$2:$D$157&lt;D104))*$F$2:$F$157)))),"阶段价格必须逐级提高","计划有效"))))))),IF(A104="每日跟踪",IF(OR(B104="",H104="",I104="",J104=""),"每日数据不完整",IF(COUNTIFS($A$2:$A$157,"每日跟踪",$B$2:$B$157,B104,$H$2:$H$157,H104)&gt;1,"同一交易日期重复",IF(AND(R104&lt;&gt;"",R104&lt;S104),"人工止损无效：不能下调","跟踪有效"))),"记录类型无效")))</f>
        <v/>
      </c>
    </row>
    <row r="105" spans="1:29" x14ac:dyDescent="0.15">
      <c r="A105" s="2"/>
      <c r="B105" s="2"/>
      <c r="C105" s="8" t="str">
        <f>IF(B105="","",IFERROR(LOOKUP(2,1/(单次交易!$A$2:$A$88=B105),单次交易!$B$2:$B$88),""))</f>
        <v/>
      </c>
      <c r="D105" s="12"/>
      <c r="E105" s="10"/>
      <c r="F105" s="10"/>
      <c r="G105" s="2"/>
      <c r="H105" s="13"/>
      <c r="I105" s="10"/>
      <c r="J105" s="12"/>
      <c r="K105" s="2"/>
      <c r="L105" s="2"/>
      <c r="M105" s="2"/>
      <c r="N105" s="5" t="str">
        <f>IF(B105="","",IFERROR(LOOKUP(2,1/(单次交易!$A$2:$A$88=B105),单次交易!$N$2:$N$88),""))</f>
        <v/>
      </c>
      <c r="O105" s="5" t="str">
        <f t="shared" si="9"/>
        <v/>
      </c>
      <c r="P105" s="11" t="str">
        <f t="shared" si="10"/>
        <v/>
      </c>
      <c r="Q105" s="5" t="str">
        <f t="shared" si="11"/>
        <v/>
      </c>
      <c r="R105" s="10"/>
      <c r="S105" s="5" t="str">
        <f t="shared" si="12"/>
        <v/>
      </c>
      <c r="T105" s="5" t="str">
        <f t="shared" si="13"/>
        <v/>
      </c>
      <c r="U105" s="5" t="str">
        <f t="shared" si="14"/>
        <v/>
      </c>
      <c r="V105" s="7" t="str">
        <f t="shared" si="6"/>
        <v/>
      </c>
      <c r="W105" s="8" t="str">
        <f t="shared" si="7"/>
        <v/>
      </c>
      <c r="X105" s="2"/>
      <c r="Y105" s="10"/>
      <c r="Z105" s="11" t="str">
        <f>IF(X105&lt;&gt;"执行卖出","",IFERROR(LOOKUP(2,1/(单次交易!$A$2:$A$88=B105),单次交易!$AP$2:$AP$88),""))</f>
        <v/>
      </c>
      <c r="AA105" s="10"/>
      <c r="AB105" s="8" t="str">
        <f t="shared" si="8"/>
        <v/>
      </c>
      <c r="AC105" s="8" t="str">
        <f>IF(A105="","",IF(A105="止损计划",IF(OR(B105="",D105="",E105="",F105="",G105=""),"计划不完整",IF(OR(D105&lt;1,D105&lt;&gt;INT(D105)),"阶段序号无效",IF(COUNTIFS($A$2:$A$157,"止损计划",$B$2:$B$157,B105,$D$2:$D$157,D105)&gt;1,"阶段序号重复",IF(E105&lt;=IFERROR(LOOKUP(2,1/(单次交易!$A$2:$A$88=B105),单次交易!$E$2:$E$88),0),"激活价须高于买入价",IF(F105&lt;N105,"止损价不得低于初始止损",IF(F105&gt;E105,"止损价不得高于激活价",IF(AND(COUNTIFS($A$2:$A$157,"止损计划",$B$2:$B$157,B105,$D$2:$D$157,"&lt;"&amp;D105)&gt;0,OR(E105&lt;=SUMPRODUCT(MAX((($A$2:$A$157="止损计划")*($B$2:$B$157=B105)*($D$2:$D$157&lt;D105))*$E$2:$E$157)),F105&lt;SUMPRODUCT(MAX((($A$2:$A$157="止损计划")*($B$2:$B$157=B105)*($D$2:$D$157&lt;D105))*$F$2:$F$157)))),"阶段价格必须逐级提高","计划有效"))))))),IF(A105="每日跟踪",IF(OR(B105="",H105="",I105="",J105=""),"每日数据不完整",IF(COUNTIFS($A$2:$A$157,"每日跟踪",$B$2:$B$157,B105,$H$2:$H$157,H105)&gt;1,"同一交易日期重复",IF(AND(R105&lt;&gt;"",R105&lt;S105),"人工止损无效：不能下调","跟踪有效"))),"记录类型无效")))</f>
        <v/>
      </c>
    </row>
    <row r="106" spans="1:29" x14ac:dyDescent="0.15">
      <c r="A106" s="2"/>
      <c r="B106" s="2"/>
      <c r="C106" s="8" t="str">
        <f>IF(B106="","",IFERROR(LOOKUP(2,1/(单次交易!$A$2:$A$88=B106),单次交易!$B$2:$B$88),""))</f>
        <v/>
      </c>
      <c r="D106" s="12"/>
      <c r="E106" s="10"/>
      <c r="F106" s="10"/>
      <c r="G106" s="2"/>
      <c r="H106" s="13"/>
      <c r="I106" s="10"/>
      <c r="J106" s="12"/>
      <c r="K106" s="2"/>
      <c r="L106" s="2"/>
      <c r="M106" s="2"/>
      <c r="N106" s="5" t="str">
        <f>IF(B106="","",IFERROR(LOOKUP(2,1/(单次交易!$A$2:$A$88=B106),单次交易!$N$2:$N$88),""))</f>
        <v/>
      </c>
      <c r="O106" s="5" t="str">
        <f t="shared" si="9"/>
        <v/>
      </c>
      <c r="P106" s="11" t="str">
        <f t="shared" si="10"/>
        <v/>
      </c>
      <c r="Q106" s="5" t="str">
        <f t="shared" si="11"/>
        <v/>
      </c>
      <c r="R106" s="10"/>
      <c r="S106" s="5" t="str">
        <f t="shared" si="12"/>
        <v/>
      </c>
      <c r="T106" s="5" t="str">
        <f t="shared" si="13"/>
        <v/>
      </c>
      <c r="U106" s="5" t="str">
        <f t="shared" si="14"/>
        <v/>
      </c>
      <c r="V106" s="7" t="str">
        <f t="shared" ref="V106:V157" si="15">IF(OR(A106&lt;&gt;"每日跟踪",T106="",I106="",I106&lt;=0),"",T106/I106-1)</f>
        <v/>
      </c>
      <c r="W106" s="8" t="str">
        <f t="shared" ref="W106:W157" si="16">IF(A106&lt;&gt;"每日跟踪","",IF(OR(I106="",S106=""),"",IF(I106&lt;=S106,"触发止损：应全部卖出","继续观察")))</f>
        <v/>
      </c>
      <c r="X106" s="2"/>
      <c r="Y106" s="10"/>
      <c r="Z106" s="11" t="str">
        <f>IF(X106&lt;&gt;"执行卖出","",IFERROR(LOOKUP(2,1/(单次交易!$A$2:$A$88=B106),单次交易!$AP$2:$AP$88),""))</f>
        <v/>
      </c>
      <c r="AA106" s="10"/>
      <c r="AB106" s="8" t="str">
        <f t="shared" ref="AB106:AB157" si="17">IF(A106&lt;&gt;"每日跟踪","",IF(OR(B106="",H106="",I106="",J106="",K106="",L106="",M106=""),"待补充每日记录",IF(W106="触发止损：应全部卖出",IF(X106&lt;&gt;"执行卖出","违规：触发止损但未执行",IF(Y106="","待补充实际卖出价","卖出记录完整")),IF(X106="","待选择卖出动作",IF(X106="执行卖出",IF(Y106="","待补充实际卖出价","卖出记录完整"),"正常")))))</f>
        <v/>
      </c>
      <c r="AC106" s="8" t="str">
        <f>IF(A106="","",IF(A106="止损计划",IF(OR(B106="",D106="",E106="",F106="",G106=""),"计划不完整",IF(OR(D106&lt;1,D106&lt;&gt;INT(D106)),"阶段序号无效",IF(COUNTIFS($A$2:$A$157,"止损计划",$B$2:$B$157,B106,$D$2:$D$157,D106)&gt;1,"阶段序号重复",IF(E106&lt;=IFERROR(LOOKUP(2,1/(单次交易!$A$2:$A$88=B106),单次交易!$E$2:$E$88),0),"激活价须高于买入价",IF(F106&lt;N106,"止损价不得低于初始止损",IF(F106&gt;E106,"止损价不得高于激活价",IF(AND(COUNTIFS($A$2:$A$157,"止损计划",$B$2:$B$157,B106,$D$2:$D$157,"&lt;"&amp;D106)&gt;0,OR(E106&lt;=SUMPRODUCT(MAX((($A$2:$A$157="止损计划")*($B$2:$B$157=B106)*($D$2:$D$157&lt;D106))*$E$2:$E$157)),F106&lt;SUMPRODUCT(MAX((($A$2:$A$157="止损计划")*($B$2:$B$157=B106)*($D$2:$D$157&lt;D106))*$F$2:$F$157)))),"阶段价格必须逐级提高","计划有效"))))))),IF(A106="每日跟踪",IF(OR(B106="",H106="",I106="",J106=""),"每日数据不完整",IF(COUNTIFS($A$2:$A$157,"每日跟踪",$B$2:$B$157,B106,$H$2:$H$157,H106)&gt;1,"同一交易日期重复",IF(AND(R106&lt;&gt;"",R106&lt;S106),"人工止损无效：不能下调","跟踪有效"))),"记录类型无效")))</f>
        <v/>
      </c>
    </row>
    <row r="107" spans="1:29" x14ac:dyDescent="0.15">
      <c r="A107" s="2"/>
      <c r="B107" s="2"/>
      <c r="C107" s="8" t="str">
        <f>IF(B107="","",IFERROR(LOOKUP(2,1/(单次交易!$A$2:$A$88=B107),单次交易!$B$2:$B$88),""))</f>
        <v/>
      </c>
      <c r="D107" s="12"/>
      <c r="E107" s="10"/>
      <c r="F107" s="10"/>
      <c r="G107" s="2"/>
      <c r="H107" s="13"/>
      <c r="I107" s="10"/>
      <c r="J107" s="12"/>
      <c r="K107" s="2"/>
      <c r="L107" s="2"/>
      <c r="M107" s="2"/>
      <c r="N107" s="5" t="str">
        <f>IF(B107="","",IFERROR(LOOKUP(2,1/(单次交易!$A$2:$A$88=B107),单次交易!$N$2:$N$88),""))</f>
        <v/>
      </c>
      <c r="O107" s="5" t="str">
        <f t="shared" si="9"/>
        <v/>
      </c>
      <c r="P107" s="11" t="str">
        <f t="shared" si="10"/>
        <v/>
      </c>
      <c r="Q107" s="5" t="str">
        <f t="shared" si="11"/>
        <v/>
      </c>
      <c r="R107" s="10"/>
      <c r="S107" s="5" t="str">
        <f t="shared" si="12"/>
        <v/>
      </c>
      <c r="T107" s="5" t="str">
        <f t="shared" si="13"/>
        <v/>
      </c>
      <c r="U107" s="5" t="str">
        <f t="shared" si="14"/>
        <v/>
      </c>
      <c r="V107" s="7" t="str">
        <f t="shared" si="15"/>
        <v/>
      </c>
      <c r="W107" s="8" t="str">
        <f t="shared" si="16"/>
        <v/>
      </c>
      <c r="X107" s="2"/>
      <c r="Y107" s="10"/>
      <c r="Z107" s="11" t="str">
        <f>IF(X107&lt;&gt;"执行卖出","",IFERROR(LOOKUP(2,1/(单次交易!$A$2:$A$88=B107),单次交易!$AP$2:$AP$88),""))</f>
        <v/>
      </c>
      <c r="AA107" s="10"/>
      <c r="AB107" s="8" t="str">
        <f t="shared" si="17"/>
        <v/>
      </c>
      <c r="AC107" s="8" t="str">
        <f>IF(A107="","",IF(A107="止损计划",IF(OR(B107="",D107="",E107="",F107="",G107=""),"计划不完整",IF(OR(D107&lt;1,D107&lt;&gt;INT(D107)),"阶段序号无效",IF(COUNTIFS($A$2:$A$157,"止损计划",$B$2:$B$157,B107,$D$2:$D$157,D107)&gt;1,"阶段序号重复",IF(E107&lt;=IFERROR(LOOKUP(2,1/(单次交易!$A$2:$A$88=B107),单次交易!$E$2:$E$88),0),"激活价须高于买入价",IF(F107&lt;N107,"止损价不得低于初始止损",IF(F107&gt;E107,"止损价不得高于激活价",IF(AND(COUNTIFS($A$2:$A$157,"止损计划",$B$2:$B$157,B107,$D$2:$D$157,"&lt;"&amp;D107)&gt;0,OR(E107&lt;=SUMPRODUCT(MAX((($A$2:$A$157="止损计划")*($B$2:$B$157=B107)*($D$2:$D$157&lt;D107))*$E$2:$E$157)),F107&lt;SUMPRODUCT(MAX((($A$2:$A$157="止损计划")*($B$2:$B$157=B107)*($D$2:$D$157&lt;D107))*$F$2:$F$157)))),"阶段价格必须逐级提高","计划有效"))))))),IF(A107="每日跟踪",IF(OR(B107="",H107="",I107="",J107=""),"每日数据不完整",IF(COUNTIFS($A$2:$A$157,"每日跟踪",$B$2:$B$157,B107,$H$2:$H$157,H107)&gt;1,"同一交易日期重复",IF(AND(R107&lt;&gt;"",R107&lt;S107),"人工止损无效：不能下调","跟踪有效"))),"记录类型无效")))</f>
        <v/>
      </c>
    </row>
    <row r="108" spans="1:29" x14ac:dyDescent="0.15">
      <c r="A108" s="2"/>
      <c r="B108" s="2"/>
      <c r="C108" s="8" t="str">
        <f>IF(B108="","",IFERROR(LOOKUP(2,1/(单次交易!$A$2:$A$88=B108),单次交易!$B$2:$B$88),""))</f>
        <v/>
      </c>
      <c r="D108" s="12"/>
      <c r="E108" s="10"/>
      <c r="F108" s="10"/>
      <c r="G108" s="2"/>
      <c r="H108" s="13"/>
      <c r="I108" s="10"/>
      <c r="J108" s="12"/>
      <c r="K108" s="2"/>
      <c r="L108" s="2"/>
      <c r="M108" s="2"/>
      <c r="N108" s="5" t="str">
        <f>IF(B108="","",IFERROR(LOOKUP(2,1/(单次交易!$A$2:$A$88=B108),单次交易!$N$2:$N$88),""))</f>
        <v/>
      </c>
      <c r="O108" s="5" t="str">
        <f t="shared" si="9"/>
        <v/>
      </c>
      <c r="P108" s="11" t="str">
        <f t="shared" si="10"/>
        <v/>
      </c>
      <c r="Q108" s="5" t="str">
        <f t="shared" si="11"/>
        <v/>
      </c>
      <c r="R108" s="10"/>
      <c r="S108" s="5" t="str">
        <f t="shared" si="12"/>
        <v/>
      </c>
      <c r="T108" s="5" t="str">
        <f t="shared" si="13"/>
        <v/>
      </c>
      <c r="U108" s="5" t="str">
        <f t="shared" si="14"/>
        <v/>
      </c>
      <c r="V108" s="7" t="str">
        <f t="shared" si="15"/>
        <v/>
      </c>
      <c r="W108" s="8" t="str">
        <f t="shared" si="16"/>
        <v/>
      </c>
      <c r="X108" s="2"/>
      <c r="Y108" s="10"/>
      <c r="Z108" s="11" t="str">
        <f>IF(X108&lt;&gt;"执行卖出","",IFERROR(LOOKUP(2,1/(单次交易!$A$2:$A$88=B108),单次交易!$AP$2:$AP$88),""))</f>
        <v/>
      </c>
      <c r="AA108" s="10"/>
      <c r="AB108" s="8" t="str">
        <f t="shared" si="17"/>
        <v/>
      </c>
      <c r="AC108" s="8" t="str">
        <f>IF(A108="","",IF(A108="止损计划",IF(OR(B108="",D108="",E108="",F108="",G108=""),"计划不完整",IF(OR(D108&lt;1,D108&lt;&gt;INT(D108)),"阶段序号无效",IF(COUNTIFS($A$2:$A$157,"止损计划",$B$2:$B$157,B108,$D$2:$D$157,D108)&gt;1,"阶段序号重复",IF(E108&lt;=IFERROR(LOOKUP(2,1/(单次交易!$A$2:$A$88=B108),单次交易!$E$2:$E$88),0),"激活价须高于买入价",IF(F108&lt;N108,"止损价不得低于初始止损",IF(F108&gt;E108,"止损价不得高于激活价",IF(AND(COUNTIFS($A$2:$A$157,"止损计划",$B$2:$B$157,B108,$D$2:$D$157,"&lt;"&amp;D108)&gt;0,OR(E108&lt;=SUMPRODUCT(MAX((($A$2:$A$157="止损计划")*($B$2:$B$157=B108)*($D$2:$D$157&lt;D108))*$E$2:$E$157)),F108&lt;SUMPRODUCT(MAX((($A$2:$A$157="止损计划")*($B$2:$B$157=B108)*($D$2:$D$157&lt;D108))*$F$2:$F$157)))),"阶段价格必须逐级提高","计划有效"))))))),IF(A108="每日跟踪",IF(OR(B108="",H108="",I108="",J108=""),"每日数据不完整",IF(COUNTIFS($A$2:$A$157,"每日跟踪",$B$2:$B$157,B108,$H$2:$H$157,H108)&gt;1,"同一交易日期重复",IF(AND(R108&lt;&gt;"",R108&lt;S108),"人工止损无效：不能下调","跟踪有效"))),"记录类型无效")))</f>
        <v/>
      </c>
    </row>
    <row r="109" spans="1:29" x14ac:dyDescent="0.15">
      <c r="A109" s="2"/>
      <c r="B109" s="2"/>
      <c r="C109" s="8" t="str">
        <f>IF(B109="","",IFERROR(LOOKUP(2,1/(单次交易!$A$2:$A$88=B109),单次交易!$B$2:$B$88),""))</f>
        <v/>
      </c>
      <c r="D109" s="12"/>
      <c r="E109" s="10"/>
      <c r="F109" s="10"/>
      <c r="G109" s="2"/>
      <c r="H109" s="13"/>
      <c r="I109" s="10"/>
      <c r="J109" s="12"/>
      <c r="K109" s="2"/>
      <c r="L109" s="2"/>
      <c r="M109" s="2"/>
      <c r="N109" s="5" t="str">
        <f>IF(B109="","",IFERROR(LOOKUP(2,1/(单次交易!$A$2:$A$88=B109),单次交易!$N$2:$N$88),""))</f>
        <v/>
      </c>
      <c r="O109" s="5" t="str">
        <f t="shared" si="9"/>
        <v/>
      </c>
      <c r="P109" s="11" t="str">
        <f t="shared" si="10"/>
        <v/>
      </c>
      <c r="Q109" s="5" t="str">
        <f t="shared" si="11"/>
        <v/>
      </c>
      <c r="R109" s="10"/>
      <c r="S109" s="5" t="str">
        <f t="shared" si="12"/>
        <v/>
      </c>
      <c r="T109" s="5" t="str">
        <f t="shared" si="13"/>
        <v/>
      </c>
      <c r="U109" s="5" t="str">
        <f t="shared" si="14"/>
        <v/>
      </c>
      <c r="V109" s="7" t="str">
        <f t="shared" si="15"/>
        <v/>
      </c>
      <c r="W109" s="8" t="str">
        <f t="shared" si="16"/>
        <v/>
      </c>
      <c r="X109" s="2"/>
      <c r="Y109" s="10"/>
      <c r="Z109" s="11" t="str">
        <f>IF(X109&lt;&gt;"执行卖出","",IFERROR(LOOKUP(2,1/(单次交易!$A$2:$A$88=B109),单次交易!$AP$2:$AP$88),""))</f>
        <v/>
      </c>
      <c r="AA109" s="10"/>
      <c r="AB109" s="8" t="str">
        <f t="shared" si="17"/>
        <v/>
      </c>
      <c r="AC109" s="8" t="str">
        <f>IF(A109="","",IF(A109="止损计划",IF(OR(B109="",D109="",E109="",F109="",G109=""),"计划不完整",IF(OR(D109&lt;1,D109&lt;&gt;INT(D109)),"阶段序号无效",IF(COUNTIFS($A$2:$A$157,"止损计划",$B$2:$B$157,B109,$D$2:$D$157,D109)&gt;1,"阶段序号重复",IF(E109&lt;=IFERROR(LOOKUP(2,1/(单次交易!$A$2:$A$88=B109),单次交易!$E$2:$E$88),0),"激活价须高于买入价",IF(F109&lt;N109,"止损价不得低于初始止损",IF(F109&gt;E109,"止损价不得高于激活价",IF(AND(COUNTIFS($A$2:$A$157,"止损计划",$B$2:$B$157,B109,$D$2:$D$157,"&lt;"&amp;D109)&gt;0,OR(E109&lt;=SUMPRODUCT(MAX((($A$2:$A$157="止损计划")*($B$2:$B$157=B109)*($D$2:$D$157&lt;D109))*$E$2:$E$157)),F109&lt;SUMPRODUCT(MAX((($A$2:$A$157="止损计划")*($B$2:$B$157=B109)*($D$2:$D$157&lt;D109))*$F$2:$F$157)))),"阶段价格必须逐级提高","计划有效"))))))),IF(A109="每日跟踪",IF(OR(B109="",H109="",I109="",J109=""),"每日数据不完整",IF(COUNTIFS($A$2:$A$157,"每日跟踪",$B$2:$B$157,B109,$H$2:$H$157,H109)&gt;1,"同一交易日期重复",IF(AND(R109&lt;&gt;"",R109&lt;S109),"人工止损无效：不能下调","跟踪有效"))),"记录类型无效")))</f>
        <v/>
      </c>
    </row>
    <row r="110" spans="1:29" x14ac:dyDescent="0.15">
      <c r="A110" s="2"/>
      <c r="B110" s="2"/>
      <c r="C110" s="8" t="str">
        <f>IF(B110="","",IFERROR(LOOKUP(2,1/(单次交易!$A$2:$A$88=B110),单次交易!$B$2:$B$88),""))</f>
        <v/>
      </c>
      <c r="D110" s="12"/>
      <c r="E110" s="10"/>
      <c r="F110" s="10"/>
      <c r="G110" s="2"/>
      <c r="H110" s="13"/>
      <c r="I110" s="10"/>
      <c r="J110" s="12"/>
      <c r="K110" s="2"/>
      <c r="L110" s="2"/>
      <c r="M110" s="2"/>
      <c r="N110" s="5" t="str">
        <f>IF(B110="","",IFERROR(LOOKUP(2,1/(单次交易!$A$2:$A$88=B110),单次交易!$N$2:$N$88),""))</f>
        <v/>
      </c>
      <c r="O110" s="5" t="str">
        <f t="shared" si="9"/>
        <v/>
      </c>
      <c r="P110" s="11" t="str">
        <f t="shared" si="10"/>
        <v/>
      </c>
      <c r="Q110" s="5" t="str">
        <f t="shared" si="11"/>
        <v/>
      </c>
      <c r="R110" s="10"/>
      <c r="S110" s="5" t="str">
        <f t="shared" si="12"/>
        <v/>
      </c>
      <c r="T110" s="5" t="str">
        <f t="shared" si="13"/>
        <v/>
      </c>
      <c r="U110" s="5" t="str">
        <f t="shared" si="14"/>
        <v/>
      </c>
      <c r="V110" s="7" t="str">
        <f t="shared" si="15"/>
        <v/>
      </c>
      <c r="W110" s="8" t="str">
        <f t="shared" si="16"/>
        <v/>
      </c>
      <c r="X110" s="2"/>
      <c r="Y110" s="10"/>
      <c r="Z110" s="11" t="str">
        <f>IF(X110&lt;&gt;"执行卖出","",IFERROR(LOOKUP(2,1/(单次交易!$A$2:$A$88=B110),单次交易!$AP$2:$AP$88),""))</f>
        <v/>
      </c>
      <c r="AA110" s="10"/>
      <c r="AB110" s="8" t="str">
        <f t="shared" si="17"/>
        <v/>
      </c>
      <c r="AC110" s="8" t="str">
        <f>IF(A110="","",IF(A110="止损计划",IF(OR(B110="",D110="",E110="",F110="",G110=""),"计划不完整",IF(OR(D110&lt;1,D110&lt;&gt;INT(D110)),"阶段序号无效",IF(COUNTIFS($A$2:$A$157,"止损计划",$B$2:$B$157,B110,$D$2:$D$157,D110)&gt;1,"阶段序号重复",IF(E110&lt;=IFERROR(LOOKUP(2,1/(单次交易!$A$2:$A$88=B110),单次交易!$E$2:$E$88),0),"激活价须高于买入价",IF(F110&lt;N110,"止损价不得低于初始止损",IF(F110&gt;E110,"止损价不得高于激活价",IF(AND(COUNTIFS($A$2:$A$157,"止损计划",$B$2:$B$157,B110,$D$2:$D$157,"&lt;"&amp;D110)&gt;0,OR(E110&lt;=SUMPRODUCT(MAX((($A$2:$A$157="止损计划")*($B$2:$B$157=B110)*($D$2:$D$157&lt;D110))*$E$2:$E$157)),F110&lt;SUMPRODUCT(MAX((($A$2:$A$157="止损计划")*($B$2:$B$157=B110)*($D$2:$D$157&lt;D110))*$F$2:$F$157)))),"阶段价格必须逐级提高","计划有效"))))))),IF(A110="每日跟踪",IF(OR(B110="",H110="",I110="",J110=""),"每日数据不完整",IF(COUNTIFS($A$2:$A$157,"每日跟踪",$B$2:$B$157,B110,$H$2:$H$157,H110)&gt;1,"同一交易日期重复",IF(AND(R110&lt;&gt;"",R110&lt;S110),"人工止损无效：不能下调","跟踪有效"))),"记录类型无效")))</f>
        <v/>
      </c>
    </row>
    <row r="111" spans="1:29" x14ac:dyDescent="0.15">
      <c r="A111" s="2"/>
      <c r="B111" s="2"/>
      <c r="C111" s="8" t="str">
        <f>IF(B111="","",IFERROR(LOOKUP(2,1/(单次交易!$A$2:$A$88=B111),单次交易!$B$2:$B$88),""))</f>
        <v/>
      </c>
      <c r="D111" s="12"/>
      <c r="E111" s="10"/>
      <c r="F111" s="10"/>
      <c r="G111" s="2"/>
      <c r="H111" s="13"/>
      <c r="I111" s="10"/>
      <c r="J111" s="12"/>
      <c r="K111" s="2"/>
      <c r="L111" s="2"/>
      <c r="M111" s="2"/>
      <c r="N111" s="5" t="str">
        <f>IF(B111="","",IFERROR(LOOKUP(2,1/(单次交易!$A$2:$A$88=B111),单次交易!$N$2:$N$88),""))</f>
        <v/>
      </c>
      <c r="O111" s="5" t="str">
        <f t="shared" si="9"/>
        <v/>
      </c>
      <c r="P111" s="11" t="str">
        <f t="shared" si="10"/>
        <v/>
      </c>
      <c r="Q111" s="5" t="str">
        <f t="shared" si="11"/>
        <v/>
      </c>
      <c r="R111" s="10"/>
      <c r="S111" s="5" t="str">
        <f t="shared" si="12"/>
        <v/>
      </c>
      <c r="T111" s="5" t="str">
        <f t="shared" si="13"/>
        <v/>
      </c>
      <c r="U111" s="5" t="str">
        <f t="shared" si="14"/>
        <v/>
      </c>
      <c r="V111" s="7" t="str">
        <f t="shared" si="15"/>
        <v/>
      </c>
      <c r="W111" s="8" t="str">
        <f t="shared" si="16"/>
        <v/>
      </c>
      <c r="X111" s="2"/>
      <c r="Y111" s="10"/>
      <c r="Z111" s="11" t="str">
        <f>IF(X111&lt;&gt;"执行卖出","",IFERROR(LOOKUP(2,1/(单次交易!$A$2:$A$88=B111),单次交易!$AP$2:$AP$88),""))</f>
        <v/>
      </c>
      <c r="AA111" s="10"/>
      <c r="AB111" s="8" t="str">
        <f t="shared" si="17"/>
        <v/>
      </c>
      <c r="AC111" s="8" t="str">
        <f>IF(A111="","",IF(A111="止损计划",IF(OR(B111="",D111="",E111="",F111="",G111=""),"计划不完整",IF(OR(D111&lt;1,D111&lt;&gt;INT(D111)),"阶段序号无效",IF(COUNTIFS($A$2:$A$157,"止损计划",$B$2:$B$157,B111,$D$2:$D$157,D111)&gt;1,"阶段序号重复",IF(E111&lt;=IFERROR(LOOKUP(2,1/(单次交易!$A$2:$A$88=B111),单次交易!$E$2:$E$88),0),"激活价须高于买入价",IF(F111&lt;N111,"止损价不得低于初始止损",IF(F111&gt;E111,"止损价不得高于激活价",IF(AND(COUNTIFS($A$2:$A$157,"止损计划",$B$2:$B$157,B111,$D$2:$D$157,"&lt;"&amp;D111)&gt;0,OR(E111&lt;=SUMPRODUCT(MAX((($A$2:$A$157="止损计划")*($B$2:$B$157=B111)*($D$2:$D$157&lt;D111))*$E$2:$E$157)),F111&lt;SUMPRODUCT(MAX((($A$2:$A$157="止损计划")*($B$2:$B$157=B111)*($D$2:$D$157&lt;D111))*$F$2:$F$157)))),"阶段价格必须逐级提高","计划有效"))))))),IF(A111="每日跟踪",IF(OR(B111="",H111="",I111="",J111=""),"每日数据不完整",IF(COUNTIFS($A$2:$A$157,"每日跟踪",$B$2:$B$157,B111,$H$2:$H$157,H111)&gt;1,"同一交易日期重复",IF(AND(R111&lt;&gt;"",R111&lt;S111),"人工止损无效：不能下调","跟踪有效"))),"记录类型无效")))</f>
        <v/>
      </c>
    </row>
    <row r="112" spans="1:29" x14ac:dyDescent="0.15">
      <c r="A112" s="2"/>
      <c r="B112" s="2"/>
      <c r="C112" s="8" t="str">
        <f>IF(B112="","",IFERROR(LOOKUP(2,1/(单次交易!$A$2:$A$88=B112),单次交易!$B$2:$B$88),""))</f>
        <v/>
      </c>
      <c r="D112" s="12"/>
      <c r="E112" s="10"/>
      <c r="F112" s="10"/>
      <c r="G112" s="2"/>
      <c r="H112" s="13"/>
      <c r="I112" s="10"/>
      <c r="J112" s="12"/>
      <c r="K112" s="2"/>
      <c r="L112" s="2"/>
      <c r="M112" s="2"/>
      <c r="N112" s="5" t="str">
        <f>IF(B112="","",IFERROR(LOOKUP(2,1/(单次交易!$A$2:$A$88=B112),单次交易!$N$2:$N$88),""))</f>
        <v/>
      </c>
      <c r="O112" s="5" t="str">
        <f t="shared" si="9"/>
        <v/>
      </c>
      <c r="P112" s="11" t="str">
        <f t="shared" si="10"/>
        <v/>
      </c>
      <c r="Q112" s="5" t="str">
        <f t="shared" si="11"/>
        <v/>
      </c>
      <c r="R112" s="10"/>
      <c r="S112" s="5" t="str">
        <f t="shared" si="12"/>
        <v/>
      </c>
      <c r="T112" s="5" t="str">
        <f t="shared" si="13"/>
        <v/>
      </c>
      <c r="U112" s="5" t="str">
        <f t="shared" si="14"/>
        <v/>
      </c>
      <c r="V112" s="7" t="str">
        <f t="shared" si="15"/>
        <v/>
      </c>
      <c r="W112" s="8" t="str">
        <f t="shared" si="16"/>
        <v/>
      </c>
      <c r="X112" s="2"/>
      <c r="Y112" s="10"/>
      <c r="Z112" s="11" t="str">
        <f>IF(X112&lt;&gt;"执行卖出","",IFERROR(LOOKUP(2,1/(单次交易!$A$2:$A$88=B112),单次交易!$AP$2:$AP$88),""))</f>
        <v/>
      </c>
      <c r="AA112" s="10"/>
      <c r="AB112" s="8" t="str">
        <f t="shared" si="17"/>
        <v/>
      </c>
      <c r="AC112" s="8" t="str">
        <f>IF(A112="","",IF(A112="止损计划",IF(OR(B112="",D112="",E112="",F112="",G112=""),"计划不完整",IF(OR(D112&lt;1,D112&lt;&gt;INT(D112)),"阶段序号无效",IF(COUNTIFS($A$2:$A$157,"止损计划",$B$2:$B$157,B112,$D$2:$D$157,D112)&gt;1,"阶段序号重复",IF(E112&lt;=IFERROR(LOOKUP(2,1/(单次交易!$A$2:$A$88=B112),单次交易!$E$2:$E$88),0),"激活价须高于买入价",IF(F112&lt;N112,"止损价不得低于初始止损",IF(F112&gt;E112,"止损价不得高于激活价",IF(AND(COUNTIFS($A$2:$A$157,"止损计划",$B$2:$B$157,B112,$D$2:$D$157,"&lt;"&amp;D112)&gt;0,OR(E112&lt;=SUMPRODUCT(MAX((($A$2:$A$157="止损计划")*($B$2:$B$157=B112)*($D$2:$D$157&lt;D112))*$E$2:$E$157)),F112&lt;SUMPRODUCT(MAX((($A$2:$A$157="止损计划")*($B$2:$B$157=B112)*($D$2:$D$157&lt;D112))*$F$2:$F$157)))),"阶段价格必须逐级提高","计划有效"))))))),IF(A112="每日跟踪",IF(OR(B112="",H112="",I112="",J112=""),"每日数据不完整",IF(COUNTIFS($A$2:$A$157,"每日跟踪",$B$2:$B$157,B112,$H$2:$H$157,H112)&gt;1,"同一交易日期重复",IF(AND(R112&lt;&gt;"",R112&lt;S112),"人工止损无效：不能下调","跟踪有效"))),"记录类型无效")))</f>
        <v/>
      </c>
    </row>
    <row r="113" spans="1:29" x14ac:dyDescent="0.15">
      <c r="A113" s="2"/>
      <c r="B113" s="2"/>
      <c r="C113" s="8" t="str">
        <f>IF(B113="","",IFERROR(LOOKUP(2,1/(单次交易!$A$2:$A$88=B113),单次交易!$B$2:$B$88),""))</f>
        <v/>
      </c>
      <c r="D113" s="12"/>
      <c r="E113" s="10"/>
      <c r="F113" s="10"/>
      <c r="G113" s="2"/>
      <c r="H113" s="13"/>
      <c r="I113" s="10"/>
      <c r="J113" s="12"/>
      <c r="K113" s="2"/>
      <c r="L113" s="2"/>
      <c r="M113" s="2"/>
      <c r="N113" s="5" t="str">
        <f>IF(B113="","",IFERROR(LOOKUP(2,1/(单次交易!$A$2:$A$88=B113),单次交易!$N$2:$N$88),""))</f>
        <v/>
      </c>
      <c r="O113" s="5" t="str">
        <f t="shared" si="9"/>
        <v/>
      </c>
      <c r="P113" s="11" t="str">
        <f t="shared" si="10"/>
        <v/>
      </c>
      <c r="Q113" s="5" t="str">
        <f t="shared" si="11"/>
        <v/>
      </c>
      <c r="R113" s="10"/>
      <c r="S113" s="5" t="str">
        <f t="shared" si="12"/>
        <v/>
      </c>
      <c r="T113" s="5" t="str">
        <f t="shared" si="13"/>
        <v/>
      </c>
      <c r="U113" s="5" t="str">
        <f t="shared" si="14"/>
        <v/>
      </c>
      <c r="V113" s="7" t="str">
        <f t="shared" si="15"/>
        <v/>
      </c>
      <c r="W113" s="8" t="str">
        <f t="shared" si="16"/>
        <v/>
      </c>
      <c r="X113" s="2"/>
      <c r="Y113" s="10"/>
      <c r="Z113" s="11" t="str">
        <f>IF(X113&lt;&gt;"执行卖出","",IFERROR(LOOKUP(2,1/(单次交易!$A$2:$A$88=B113),单次交易!$AP$2:$AP$88),""))</f>
        <v/>
      </c>
      <c r="AA113" s="10"/>
      <c r="AB113" s="8" t="str">
        <f t="shared" si="17"/>
        <v/>
      </c>
      <c r="AC113" s="8" t="str">
        <f>IF(A113="","",IF(A113="止损计划",IF(OR(B113="",D113="",E113="",F113="",G113=""),"计划不完整",IF(OR(D113&lt;1,D113&lt;&gt;INT(D113)),"阶段序号无效",IF(COUNTIFS($A$2:$A$157,"止损计划",$B$2:$B$157,B113,$D$2:$D$157,D113)&gt;1,"阶段序号重复",IF(E113&lt;=IFERROR(LOOKUP(2,1/(单次交易!$A$2:$A$88=B113),单次交易!$E$2:$E$88),0),"激活价须高于买入价",IF(F113&lt;N113,"止损价不得低于初始止损",IF(F113&gt;E113,"止损价不得高于激活价",IF(AND(COUNTIFS($A$2:$A$157,"止损计划",$B$2:$B$157,B113,$D$2:$D$157,"&lt;"&amp;D113)&gt;0,OR(E113&lt;=SUMPRODUCT(MAX((($A$2:$A$157="止损计划")*($B$2:$B$157=B113)*($D$2:$D$157&lt;D113))*$E$2:$E$157)),F113&lt;SUMPRODUCT(MAX((($A$2:$A$157="止损计划")*($B$2:$B$157=B113)*($D$2:$D$157&lt;D113))*$F$2:$F$157)))),"阶段价格必须逐级提高","计划有效"))))))),IF(A113="每日跟踪",IF(OR(B113="",H113="",I113="",J113=""),"每日数据不完整",IF(COUNTIFS($A$2:$A$157,"每日跟踪",$B$2:$B$157,B113,$H$2:$H$157,H113)&gt;1,"同一交易日期重复",IF(AND(R113&lt;&gt;"",R113&lt;S113),"人工止损无效：不能下调","跟踪有效"))),"记录类型无效")))</f>
        <v/>
      </c>
    </row>
    <row r="114" spans="1:29" x14ac:dyDescent="0.15">
      <c r="A114" s="2"/>
      <c r="B114" s="2"/>
      <c r="C114" s="8" t="str">
        <f>IF(B114="","",IFERROR(LOOKUP(2,1/(单次交易!$A$2:$A$88=B114),单次交易!$B$2:$B$88),""))</f>
        <v/>
      </c>
      <c r="D114" s="12"/>
      <c r="E114" s="10"/>
      <c r="F114" s="10"/>
      <c r="G114" s="2"/>
      <c r="H114" s="13"/>
      <c r="I114" s="10"/>
      <c r="J114" s="12"/>
      <c r="K114" s="2"/>
      <c r="L114" s="2"/>
      <c r="M114" s="2"/>
      <c r="N114" s="5" t="str">
        <f>IF(B114="","",IFERROR(LOOKUP(2,1/(单次交易!$A$2:$A$88=B114),单次交易!$N$2:$N$88),""))</f>
        <v/>
      </c>
      <c r="O114" s="5" t="str">
        <f t="shared" si="9"/>
        <v/>
      </c>
      <c r="P114" s="11" t="str">
        <f t="shared" si="10"/>
        <v/>
      </c>
      <c r="Q114" s="5" t="str">
        <f t="shared" si="11"/>
        <v/>
      </c>
      <c r="R114" s="10"/>
      <c r="S114" s="5" t="str">
        <f t="shared" si="12"/>
        <v/>
      </c>
      <c r="T114" s="5" t="str">
        <f t="shared" si="13"/>
        <v/>
      </c>
      <c r="U114" s="5" t="str">
        <f t="shared" si="14"/>
        <v/>
      </c>
      <c r="V114" s="7" t="str">
        <f t="shared" si="15"/>
        <v/>
      </c>
      <c r="W114" s="8" t="str">
        <f t="shared" si="16"/>
        <v/>
      </c>
      <c r="X114" s="2"/>
      <c r="Y114" s="10"/>
      <c r="Z114" s="11" t="str">
        <f>IF(X114&lt;&gt;"执行卖出","",IFERROR(LOOKUP(2,1/(单次交易!$A$2:$A$88=B114),单次交易!$AP$2:$AP$88),""))</f>
        <v/>
      </c>
      <c r="AA114" s="10"/>
      <c r="AB114" s="8" t="str">
        <f t="shared" si="17"/>
        <v/>
      </c>
      <c r="AC114" s="8" t="str">
        <f>IF(A114="","",IF(A114="止损计划",IF(OR(B114="",D114="",E114="",F114="",G114=""),"计划不完整",IF(OR(D114&lt;1,D114&lt;&gt;INT(D114)),"阶段序号无效",IF(COUNTIFS($A$2:$A$157,"止损计划",$B$2:$B$157,B114,$D$2:$D$157,D114)&gt;1,"阶段序号重复",IF(E114&lt;=IFERROR(LOOKUP(2,1/(单次交易!$A$2:$A$88=B114),单次交易!$E$2:$E$88),0),"激活价须高于买入价",IF(F114&lt;N114,"止损价不得低于初始止损",IF(F114&gt;E114,"止损价不得高于激活价",IF(AND(COUNTIFS($A$2:$A$157,"止损计划",$B$2:$B$157,B114,$D$2:$D$157,"&lt;"&amp;D114)&gt;0,OR(E114&lt;=SUMPRODUCT(MAX((($A$2:$A$157="止损计划")*($B$2:$B$157=B114)*($D$2:$D$157&lt;D114))*$E$2:$E$157)),F114&lt;SUMPRODUCT(MAX((($A$2:$A$157="止损计划")*($B$2:$B$157=B114)*($D$2:$D$157&lt;D114))*$F$2:$F$157)))),"阶段价格必须逐级提高","计划有效"))))))),IF(A114="每日跟踪",IF(OR(B114="",H114="",I114="",J114=""),"每日数据不完整",IF(COUNTIFS($A$2:$A$157,"每日跟踪",$B$2:$B$157,B114,$H$2:$H$157,H114)&gt;1,"同一交易日期重复",IF(AND(R114&lt;&gt;"",R114&lt;S114),"人工止损无效：不能下调","跟踪有效"))),"记录类型无效")))</f>
        <v/>
      </c>
    </row>
    <row r="115" spans="1:29" x14ac:dyDescent="0.15">
      <c r="A115" s="2"/>
      <c r="B115" s="2"/>
      <c r="C115" s="8" t="str">
        <f>IF(B115="","",IFERROR(LOOKUP(2,1/(单次交易!$A$2:$A$88=B115),单次交易!$B$2:$B$88),""))</f>
        <v/>
      </c>
      <c r="D115" s="12"/>
      <c r="E115" s="10"/>
      <c r="F115" s="10"/>
      <c r="G115" s="2"/>
      <c r="H115" s="13"/>
      <c r="I115" s="10"/>
      <c r="J115" s="12"/>
      <c r="K115" s="2"/>
      <c r="L115" s="2"/>
      <c r="M115" s="2"/>
      <c r="N115" s="5" t="str">
        <f>IF(B115="","",IFERROR(LOOKUP(2,1/(单次交易!$A$2:$A$88=B115),单次交易!$N$2:$N$88),""))</f>
        <v/>
      </c>
      <c r="O115" s="5" t="str">
        <f t="shared" si="9"/>
        <v/>
      </c>
      <c r="P115" s="11" t="str">
        <f t="shared" si="10"/>
        <v/>
      </c>
      <c r="Q115" s="5" t="str">
        <f t="shared" si="11"/>
        <v/>
      </c>
      <c r="R115" s="10"/>
      <c r="S115" s="5" t="str">
        <f t="shared" si="12"/>
        <v/>
      </c>
      <c r="T115" s="5" t="str">
        <f t="shared" si="13"/>
        <v/>
      </c>
      <c r="U115" s="5" t="str">
        <f t="shared" si="14"/>
        <v/>
      </c>
      <c r="V115" s="7" t="str">
        <f t="shared" si="15"/>
        <v/>
      </c>
      <c r="W115" s="8" t="str">
        <f t="shared" si="16"/>
        <v/>
      </c>
      <c r="X115" s="2"/>
      <c r="Y115" s="10"/>
      <c r="Z115" s="11" t="str">
        <f>IF(X115&lt;&gt;"执行卖出","",IFERROR(LOOKUP(2,1/(单次交易!$A$2:$A$88=B115),单次交易!$AP$2:$AP$88),""))</f>
        <v/>
      </c>
      <c r="AA115" s="10"/>
      <c r="AB115" s="8" t="str">
        <f t="shared" si="17"/>
        <v/>
      </c>
      <c r="AC115" s="8" t="str">
        <f>IF(A115="","",IF(A115="止损计划",IF(OR(B115="",D115="",E115="",F115="",G115=""),"计划不完整",IF(OR(D115&lt;1,D115&lt;&gt;INT(D115)),"阶段序号无效",IF(COUNTIFS($A$2:$A$157,"止损计划",$B$2:$B$157,B115,$D$2:$D$157,D115)&gt;1,"阶段序号重复",IF(E115&lt;=IFERROR(LOOKUP(2,1/(单次交易!$A$2:$A$88=B115),单次交易!$E$2:$E$88),0),"激活价须高于买入价",IF(F115&lt;N115,"止损价不得低于初始止损",IF(F115&gt;E115,"止损价不得高于激活价",IF(AND(COUNTIFS($A$2:$A$157,"止损计划",$B$2:$B$157,B115,$D$2:$D$157,"&lt;"&amp;D115)&gt;0,OR(E115&lt;=SUMPRODUCT(MAX((($A$2:$A$157="止损计划")*($B$2:$B$157=B115)*($D$2:$D$157&lt;D115))*$E$2:$E$157)),F115&lt;SUMPRODUCT(MAX((($A$2:$A$157="止损计划")*($B$2:$B$157=B115)*($D$2:$D$157&lt;D115))*$F$2:$F$157)))),"阶段价格必须逐级提高","计划有效"))))))),IF(A115="每日跟踪",IF(OR(B115="",H115="",I115="",J115=""),"每日数据不完整",IF(COUNTIFS($A$2:$A$157,"每日跟踪",$B$2:$B$157,B115,$H$2:$H$157,H115)&gt;1,"同一交易日期重复",IF(AND(R115&lt;&gt;"",R115&lt;S115),"人工止损无效：不能下调","跟踪有效"))),"记录类型无效")))</f>
        <v/>
      </c>
    </row>
    <row r="116" spans="1:29" x14ac:dyDescent="0.15">
      <c r="A116" s="2"/>
      <c r="B116" s="2"/>
      <c r="C116" s="8" t="str">
        <f>IF(B116="","",IFERROR(LOOKUP(2,1/(单次交易!$A$2:$A$88=B116),单次交易!$B$2:$B$88),""))</f>
        <v/>
      </c>
      <c r="D116" s="12"/>
      <c r="E116" s="10"/>
      <c r="F116" s="10"/>
      <c r="G116" s="2"/>
      <c r="H116" s="13"/>
      <c r="I116" s="10"/>
      <c r="J116" s="12"/>
      <c r="K116" s="2"/>
      <c r="L116" s="2"/>
      <c r="M116" s="2"/>
      <c r="N116" s="5" t="str">
        <f>IF(B116="","",IFERROR(LOOKUP(2,1/(单次交易!$A$2:$A$88=B116),单次交易!$N$2:$N$88),""))</f>
        <v/>
      </c>
      <c r="O116" s="5" t="str">
        <f t="shared" si="9"/>
        <v/>
      </c>
      <c r="P116" s="11" t="str">
        <f t="shared" si="10"/>
        <v/>
      </c>
      <c r="Q116" s="5" t="str">
        <f t="shared" si="11"/>
        <v/>
      </c>
      <c r="R116" s="10"/>
      <c r="S116" s="5" t="str">
        <f t="shared" si="12"/>
        <v/>
      </c>
      <c r="T116" s="5" t="str">
        <f t="shared" si="13"/>
        <v/>
      </c>
      <c r="U116" s="5" t="str">
        <f t="shared" si="14"/>
        <v/>
      </c>
      <c r="V116" s="7" t="str">
        <f t="shared" si="15"/>
        <v/>
      </c>
      <c r="W116" s="8" t="str">
        <f t="shared" si="16"/>
        <v/>
      </c>
      <c r="X116" s="2"/>
      <c r="Y116" s="10"/>
      <c r="Z116" s="11" t="str">
        <f>IF(X116&lt;&gt;"执行卖出","",IFERROR(LOOKUP(2,1/(单次交易!$A$2:$A$88=B116),单次交易!$AP$2:$AP$88),""))</f>
        <v/>
      </c>
      <c r="AA116" s="10"/>
      <c r="AB116" s="8" t="str">
        <f t="shared" si="17"/>
        <v/>
      </c>
      <c r="AC116" s="8" t="str">
        <f>IF(A116="","",IF(A116="止损计划",IF(OR(B116="",D116="",E116="",F116="",G116=""),"计划不完整",IF(OR(D116&lt;1,D116&lt;&gt;INT(D116)),"阶段序号无效",IF(COUNTIFS($A$2:$A$157,"止损计划",$B$2:$B$157,B116,$D$2:$D$157,D116)&gt;1,"阶段序号重复",IF(E116&lt;=IFERROR(LOOKUP(2,1/(单次交易!$A$2:$A$88=B116),单次交易!$E$2:$E$88),0),"激活价须高于买入价",IF(F116&lt;N116,"止损价不得低于初始止损",IF(F116&gt;E116,"止损价不得高于激活价",IF(AND(COUNTIFS($A$2:$A$157,"止损计划",$B$2:$B$157,B116,$D$2:$D$157,"&lt;"&amp;D116)&gt;0,OR(E116&lt;=SUMPRODUCT(MAX((($A$2:$A$157="止损计划")*($B$2:$B$157=B116)*($D$2:$D$157&lt;D116))*$E$2:$E$157)),F116&lt;SUMPRODUCT(MAX((($A$2:$A$157="止损计划")*($B$2:$B$157=B116)*($D$2:$D$157&lt;D116))*$F$2:$F$157)))),"阶段价格必须逐级提高","计划有效"))))))),IF(A116="每日跟踪",IF(OR(B116="",H116="",I116="",J116=""),"每日数据不完整",IF(COUNTIFS($A$2:$A$157,"每日跟踪",$B$2:$B$157,B116,$H$2:$H$157,H116)&gt;1,"同一交易日期重复",IF(AND(R116&lt;&gt;"",R116&lt;S116),"人工止损无效：不能下调","跟踪有效"))),"记录类型无效")))</f>
        <v/>
      </c>
    </row>
    <row r="117" spans="1:29" x14ac:dyDescent="0.15">
      <c r="A117" s="2"/>
      <c r="B117" s="2"/>
      <c r="C117" s="8" t="str">
        <f>IF(B117="","",IFERROR(LOOKUP(2,1/(单次交易!$A$2:$A$88=B117),单次交易!$B$2:$B$88),""))</f>
        <v/>
      </c>
      <c r="D117" s="12"/>
      <c r="E117" s="10"/>
      <c r="F117" s="10"/>
      <c r="G117" s="2"/>
      <c r="H117" s="13"/>
      <c r="I117" s="10"/>
      <c r="J117" s="12"/>
      <c r="K117" s="2"/>
      <c r="L117" s="2"/>
      <c r="M117" s="2"/>
      <c r="N117" s="5" t="str">
        <f>IF(B117="","",IFERROR(LOOKUP(2,1/(单次交易!$A$2:$A$88=B117),单次交易!$N$2:$N$88),""))</f>
        <v/>
      </c>
      <c r="O117" s="5" t="str">
        <f t="shared" si="9"/>
        <v/>
      </c>
      <c r="P117" s="11" t="str">
        <f t="shared" si="10"/>
        <v/>
      </c>
      <c r="Q117" s="5" t="str">
        <f t="shared" si="11"/>
        <v/>
      </c>
      <c r="R117" s="10"/>
      <c r="S117" s="5" t="str">
        <f t="shared" si="12"/>
        <v/>
      </c>
      <c r="T117" s="5" t="str">
        <f t="shared" si="13"/>
        <v/>
      </c>
      <c r="U117" s="5" t="str">
        <f t="shared" si="14"/>
        <v/>
      </c>
      <c r="V117" s="7" t="str">
        <f t="shared" si="15"/>
        <v/>
      </c>
      <c r="W117" s="8" t="str">
        <f t="shared" si="16"/>
        <v/>
      </c>
      <c r="X117" s="2"/>
      <c r="Y117" s="10"/>
      <c r="Z117" s="11" t="str">
        <f>IF(X117&lt;&gt;"执行卖出","",IFERROR(LOOKUP(2,1/(单次交易!$A$2:$A$88=B117),单次交易!$AP$2:$AP$88),""))</f>
        <v/>
      </c>
      <c r="AA117" s="10"/>
      <c r="AB117" s="8" t="str">
        <f t="shared" si="17"/>
        <v/>
      </c>
      <c r="AC117" s="8" t="str">
        <f>IF(A117="","",IF(A117="止损计划",IF(OR(B117="",D117="",E117="",F117="",G117=""),"计划不完整",IF(OR(D117&lt;1,D117&lt;&gt;INT(D117)),"阶段序号无效",IF(COUNTIFS($A$2:$A$157,"止损计划",$B$2:$B$157,B117,$D$2:$D$157,D117)&gt;1,"阶段序号重复",IF(E117&lt;=IFERROR(LOOKUP(2,1/(单次交易!$A$2:$A$88=B117),单次交易!$E$2:$E$88),0),"激活价须高于买入价",IF(F117&lt;N117,"止损价不得低于初始止损",IF(F117&gt;E117,"止损价不得高于激活价",IF(AND(COUNTIFS($A$2:$A$157,"止损计划",$B$2:$B$157,B117,$D$2:$D$157,"&lt;"&amp;D117)&gt;0,OR(E117&lt;=SUMPRODUCT(MAX((($A$2:$A$157="止损计划")*($B$2:$B$157=B117)*($D$2:$D$157&lt;D117))*$E$2:$E$157)),F117&lt;SUMPRODUCT(MAX((($A$2:$A$157="止损计划")*($B$2:$B$157=B117)*($D$2:$D$157&lt;D117))*$F$2:$F$157)))),"阶段价格必须逐级提高","计划有效"))))))),IF(A117="每日跟踪",IF(OR(B117="",H117="",I117="",J117=""),"每日数据不完整",IF(COUNTIFS($A$2:$A$157,"每日跟踪",$B$2:$B$157,B117,$H$2:$H$157,H117)&gt;1,"同一交易日期重复",IF(AND(R117&lt;&gt;"",R117&lt;S117),"人工止损无效：不能下调","跟踪有效"))),"记录类型无效")))</f>
        <v/>
      </c>
    </row>
    <row r="118" spans="1:29" x14ac:dyDescent="0.15">
      <c r="A118" s="2"/>
      <c r="B118" s="2"/>
      <c r="C118" s="8" t="str">
        <f>IF(B118="","",IFERROR(LOOKUP(2,1/(单次交易!$A$2:$A$88=B118),单次交易!$B$2:$B$88),""))</f>
        <v/>
      </c>
      <c r="D118" s="12"/>
      <c r="E118" s="10"/>
      <c r="F118" s="10"/>
      <c r="G118" s="2"/>
      <c r="H118" s="13"/>
      <c r="I118" s="10"/>
      <c r="J118" s="12"/>
      <c r="K118" s="2"/>
      <c r="L118" s="2"/>
      <c r="M118" s="2"/>
      <c r="N118" s="5" t="str">
        <f>IF(B118="","",IFERROR(LOOKUP(2,1/(单次交易!$A$2:$A$88=B118),单次交易!$N$2:$N$88),""))</f>
        <v/>
      </c>
      <c r="O118" s="5" t="str">
        <f t="shared" si="9"/>
        <v/>
      </c>
      <c r="P118" s="11" t="str">
        <f t="shared" si="10"/>
        <v/>
      </c>
      <c r="Q118" s="5" t="str">
        <f t="shared" si="11"/>
        <v/>
      </c>
      <c r="R118" s="10"/>
      <c r="S118" s="5" t="str">
        <f t="shared" si="12"/>
        <v/>
      </c>
      <c r="T118" s="5" t="str">
        <f t="shared" si="13"/>
        <v/>
      </c>
      <c r="U118" s="5" t="str">
        <f t="shared" si="14"/>
        <v/>
      </c>
      <c r="V118" s="7" t="str">
        <f t="shared" si="15"/>
        <v/>
      </c>
      <c r="W118" s="8" t="str">
        <f t="shared" si="16"/>
        <v/>
      </c>
      <c r="X118" s="2"/>
      <c r="Y118" s="10"/>
      <c r="Z118" s="11" t="str">
        <f>IF(X118&lt;&gt;"执行卖出","",IFERROR(LOOKUP(2,1/(单次交易!$A$2:$A$88=B118),单次交易!$AP$2:$AP$88),""))</f>
        <v/>
      </c>
      <c r="AA118" s="10"/>
      <c r="AB118" s="8" t="str">
        <f t="shared" si="17"/>
        <v/>
      </c>
      <c r="AC118" s="8" t="str">
        <f>IF(A118="","",IF(A118="止损计划",IF(OR(B118="",D118="",E118="",F118="",G118=""),"计划不完整",IF(OR(D118&lt;1,D118&lt;&gt;INT(D118)),"阶段序号无效",IF(COUNTIFS($A$2:$A$157,"止损计划",$B$2:$B$157,B118,$D$2:$D$157,D118)&gt;1,"阶段序号重复",IF(E118&lt;=IFERROR(LOOKUP(2,1/(单次交易!$A$2:$A$88=B118),单次交易!$E$2:$E$88),0),"激活价须高于买入价",IF(F118&lt;N118,"止损价不得低于初始止损",IF(F118&gt;E118,"止损价不得高于激活价",IF(AND(COUNTIFS($A$2:$A$157,"止损计划",$B$2:$B$157,B118,$D$2:$D$157,"&lt;"&amp;D118)&gt;0,OR(E118&lt;=SUMPRODUCT(MAX((($A$2:$A$157="止损计划")*($B$2:$B$157=B118)*($D$2:$D$157&lt;D118))*$E$2:$E$157)),F118&lt;SUMPRODUCT(MAX((($A$2:$A$157="止损计划")*($B$2:$B$157=B118)*($D$2:$D$157&lt;D118))*$F$2:$F$157)))),"阶段价格必须逐级提高","计划有效"))))))),IF(A118="每日跟踪",IF(OR(B118="",H118="",I118="",J118=""),"每日数据不完整",IF(COUNTIFS($A$2:$A$157,"每日跟踪",$B$2:$B$157,B118,$H$2:$H$157,H118)&gt;1,"同一交易日期重复",IF(AND(R118&lt;&gt;"",R118&lt;S118),"人工止损无效：不能下调","跟踪有效"))),"记录类型无效")))</f>
        <v/>
      </c>
    </row>
    <row r="119" spans="1:29" x14ac:dyDescent="0.15">
      <c r="A119" s="2"/>
      <c r="B119" s="2"/>
      <c r="C119" s="8" t="str">
        <f>IF(B119="","",IFERROR(LOOKUP(2,1/(单次交易!$A$2:$A$88=B119),单次交易!$B$2:$B$88),""))</f>
        <v/>
      </c>
      <c r="D119" s="12"/>
      <c r="E119" s="10"/>
      <c r="F119" s="10"/>
      <c r="G119" s="2"/>
      <c r="H119" s="13"/>
      <c r="I119" s="10"/>
      <c r="J119" s="12"/>
      <c r="K119" s="2"/>
      <c r="L119" s="2"/>
      <c r="M119" s="2"/>
      <c r="N119" s="5" t="str">
        <f>IF(B119="","",IFERROR(LOOKUP(2,1/(单次交易!$A$2:$A$88=B119),单次交易!$N$2:$N$88),""))</f>
        <v/>
      </c>
      <c r="O119" s="5" t="str">
        <f t="shared" si="9"/>
        <v/>
      </c>
      <c r="P119" s="11" t="str">
        <f t="shared" si="10"/>
        <v/>
      </c>
      <c r="Q119" s="5" t="str">
        <f t="shared" si="11"/>
        <v/>
      </c>
      <c r="R119" s="10"/>
      <c r="S119" s="5" t="str">
        <f t="shared" si="12"/>
        <v/>
      </c>
      <c r="T119" s="5" t="str">
        <f t="shared" si="13"/>
        <v/>
      </c>
      <c r="U119" s="5" t="str">
        <f t="shared" si="14"/>
        <v/>
      </c>
      <c r="V119" s="7" t="str">
        <f t="shared" si="15"/>
        <v/>
      </c>
      <c r="W119" s="8" t="str">
        <f t="shared" si="16"/>
        <v/>
      </c>
      <c r="X119" s="2"/>
      <c r="Y119" s="10"/>
      <c r="Z119" s="11" t="str">
        <f>IF(X119&lt;&gt;"执行卖出","",IFERROR(LOOKUP(2,1/(单次交易!$A$2:$A$88=B119),单次交易!$AP$2:$AP$88),""))</f>
        <v/>
      </c>
      <c r="AA119" s="10"/>
      <c r="AB119" s="8" t="str">
        <f t="shared" si="17"/>
        <v/>
      </c>
      <c r="AC119" s="8" t="str">
        <f>IF(A119="","",IF(A119="止损计划",IF(OR(B119="",D119="",E119="",F119="",G119=""),"计划不完整",IF(OR(D119&lt;1,D119&lt;&gt;INT(D119)),"阶段序号无效",IF(COUNTIFS($A$2:$A$157,"止损计划",$B$2:$B$157,B119,$D$2:$D$157,D119)&gt;1,"阶段序号重复",IF(E119&lt;=IFERROR(LOOKUP(2,1/(单次交易!$A$2:$A$88=B119),单次交易!$E$2:$E$88),0),"激活价须高于买入价",IF(F119&lt;N119,"止损价不得低于初始止损",IF(F119&gt;E119,"止损价不得高于激活价",IF(AND(COUNTIFS($A$2:$A$157,"止损计划",$B$2:$B$157,B119,$D$2:$D$157,"&lt;"&amp;D119)&gt;0,OR(E119&lt;=SUMPRODUCT(MAX((($A$2:$A$157="止损计划")*($B$2:$B$157=B119)*($D$2:$D$157&lt;D119))*$E$2:$E$157)),F119&lt;SUMPRODUCT(MAX((($A$2:$A$157="止损计划")*($B$2:$B$157=B119)*($D$2:$D$157&lt;D119))*$F$2:$F$157)))),"阶段价格必须逐级提高","计划有效"))))))),IF(A119="每日跟踪",IF(OR(B119="",H119="",I119="",J119=""),"每日数据不完整",IF(COUNTIFS($A$2:$A$157,"每日跟踪",$B$2:$B$157,B119,$H$2:$H$157,H119)&gt;1,"同一交易日期重复",IF(AND(R119&lt;&gt;"",R119&lt;S119),"人工止损无效：不能下调","跟踪有效"))),"记录类型无效")))</f>
        <v/>
      </c>
    </row>
    <row r="120" spans="1:29" x14ac:dyDescent="0.15">
      <c r="A120" s="2"/>
      <c r="B120" s="2"/>
      <c r="C120" s="8" t="str">
        <f>IF(B120="","",IFERROR(LOOKUP(2,1/(单次交易!$A$2:$A$88=B120),单次交易!$B$2:$B$88),""))</f>
        <v/>
      </c>
      <c r="D120" s="12"/>
      <c r="E120" s="10"/>
      <c r="F120" s="10"/>
      <c r="G120" s="2"/>
      <c r="H120" s="13"/>
      <c r="I120" s="10"/>
      <c r="J120" s="12"/>
      <c r="K120" s="2"/>
      <c r="L120" s="2"/>
      <c r="M120" s="2"/>
      <c r="N120" s="5" t="str">
        <f>IF(B120="","",IFERROR(LOOKUP(2,1/(单次交易!$A$2:$A$88=B120),单次交易!$N$2:$N$88),""))</f>
        <v/>
      </c>
      <c r="O120" s="5" t="str">
        <f t="shared" si="9"/>
        <v/>
      </c>
      <c r="P120" s="11" t="str">
        <f t="shared" si="10"/>
        <v/>
      </c>
      <c r="Q120" s="5" t="str">
        <f t="shared" si="11"/>
        <v/>
      </c>
      <c r="R120" s="10"/>
      <c r="S120" s="5" t="str">
        <f t="shared" si="12"/>
        <v/>
      </c>
      <c r="T120" s="5" t="str">
        <f t="shared" si="13"/>
        <v/>
      </c>
      <c r="U120" s="5" t="str">
        <f t="shared" si="14"/>
        <v/>
      </c>
      <c r="V120" s="7" t="str">
        <f t="shared" si="15"/>
        <v/>
      </c>
      <c r="W120" s="8" t="str">
        <f t="shared" si="16"/>
        <v/>
      </c>
      <c r="X120" s="2"/>
      <c r="Y120" s="10"/>
      <c r="Z120" s="11" t="str">
        <f>IF(X120&lt;&gt;"执行卖出","",IFERROR(LOOKUP(2,1/(单次交易!$A$2:$A$88=B120),单次交易!$AP$2:$AP$88),""))</f>
        <v/>
      </c>
      <c r="AA120" s="10"/>
      <c r="AB120" s="8" t="str">
        <f t="shared" si="17"/>
        <v/>
      </c>
      <c r="AC120" s="8" t="str">
        <f>IF(A120="","",IF(A120="止损计划",IF(OR(B120="",D120="",E120="",F120="",G120=""),"计划不完整",IF(OR(D120&lt;1,D120&lt;&gt;INT(D120)),"阶段序号无效",IF(COUNTIFS($A$2:$A$157,"止损计划",$B$2:$B$157,B120,$D$2:$D$157,D120)&gt;1,"阶段序号重复",IF(E120&lt;=IFERROR(LOOKUP(2,1/(单次交易!$A$2:$A$88=B120),单次交易!$E$2:$E$88),0),"激活价须高于买入价",IF(F120&lt;N120,"止损价不得低于初始止损",IF(F120&gt;E120,"止损价不得高于激活价",IF(AND(COUNTIFS($A$2:$A$157,"止损计划",$B$2:$B$157,B120,$D$2:$D$157,"&lt;"&amp;D120)&gt;0,OR(E120&lt;=SUMPRODUCT(MAX((($A$2:$A$157="止损计划")*($B$2:$B$157=B120)*($D$2:$D$157&lt;D120))*$E$2:$E$157)),F120&lt;SUMPRODUCT(MAX((($A$2:$A$157="止损计划")*($B$2:$B$157=B120)*($D$2:$D$157&lt;D120))*$F$2:$F$157)))),"阶段价格必须逐级提高","计划有效"))))))),IF(A120="每日跟踪",IF(OR(B120="",H120="",I120="",J120=""),"每日数据不完整",IF(COUNTIFS($A$2:$A$157,"每日跟踪",$B$2:$B$157,B120,$H$2:$H$157,H120)&gt;1,"同一交易日期重复",IF(AND(R120&lt;&gt;"",R120&lt;S120),"人工止损无效：不能下调","跟踪有效"))),"记录类型无效")))</f>
        <v/>
      </c>
    </row>
    <row r="121" spans="1:29" x14ac:dyDescent="0.15">
      <c r="A121" s="2"/>
      <c r="B121" s="2"/>
      <c r="C121" s="8" t="str">
        <f>IF(B121="","",IFERROR(LOOKUP(2,1/(单次交易!$A$2:$A$88=B121),单次交易!$B$2:$B$88),""))</f>
        <v/>
      </c>
      <c r="D121" s="12"/>
      <c r="E121" s="10"/>
      <c r="F121" s="10"/>
      <c r="G121" s="2"/>
      <c r="H121" s="13"/>
      <c r="I121" s="10"/>
      <c r="J121" s="12"/>
      <c r="K121" s="2"/>
      <c r="L121" s="2"/>
      <c r="M121" s="2"/>
      <c r="N121" s="5" t="str">
        <f>IF(B121="","",IFERROR(LOOKUP(2,1/(单次交易!$A$2:$A$88=B121),单次交易!$N$2:$N$88),""))</f>
        <v/>
      </c>
      <c r="O121" s="5" t="str">
        <f t="shared" si="9"/>
        <v/>
      </c>
      <c r="P121" s="11" t="str">
        <f t="shared" si="10"/>
        <v/>
      </c>
      <c r="Q121" s="5" t="str">
        <f t="shared" si="11"/>
        <v/>
      </c>
      <c r="R121" s="10"/>
      <c r="S121" s="5" t="str">
        <f t="shared" si="12"/>
        <v/>
      </c>
      <c r="T121" s="5" t="str">
        <f t="shared" si="13"/>
        <v/>
      </c>
      <c r="U121" s="5" t="str">
        <f t="shared" si="14"/>
        <v/>
      </c>
      <c r="V121" s="7" t="str">
        <f t="shared" si="15"/>
        <v/>
      </c>
      <c r="W121" s="8" t="str">
        <f t="shared" si="16"/>
        <v/>
      </c>
      <c r="X121" s="2"/>
      <c r="Y121" s="10"/>
      <c r="Z121" s="11" t="str">
        <f>IF(X121&lt;&gt;"执行卖出","",IFERROR(LOOKUP(2,1/(单次交易!$A$2:$A$88=B121),单次交易!$AP$2:$AP$88),""))</f>
        <v/>
      </c>
      <c r="AA121" s="10"/>
      <c r="AB121" s="8" t="str">
        <f t="shared" si="17"/>
        <v/>
      </c>
      <c r="AC121" s="8" t="str">
        <f>IF(A121="","",IF(A121="止损计划",IF(OR(B121="",D121="",E121="",F121="",G121=""),"计划不完整",IF(OR(D121&lt;1,D121&lt;&gt;INT(D121)),"阶段序号无效",IF(COUNTIFS($A$2:$A$157,"止损计划",$B$2:$B$157,B121,$D$2:$D$157,D121)&gt;1,"阶段序号重复",IF(E121&lt;=IFERROR(LOOKUP(2,1/(单次交易!$A$2:$A$88=B121),单次交易!$E$2:$E$88),0),"激活价须高于买入价",IF(F121&lt;N121,"止损价不得低于初始止损",IF(F121&gt;E121,"止损价不得高于激活价",IF(AND(COUNTIFS($A$2:$A$157,"止损计划",$B$2:$B$157,B121,$D$2:$D$157,"&lt;"&amp;D121)&gt;0,OR(E121&lt;=SUMPRODUCT(MAX((($A$2:$A$157="止损计划")*($B$2:$B$157=B121)*($D$2:$D$157&lt;D121))*$E$2:$E$157)),F121&lt;SUMPRODUCT(MAX((($A$2:$A$157="止损计划")*($B$2:$B$157=B121)*($D$2:$D$157&lt;D121))*$F$2:$F$157)))),"阶段价格必须逐级提高","计划有效"))))))),IF(A121="每日跟踪",IF(OR(B121="",H121="",I121="",J121=""),"每日数据不完整",IF(COUNTIFS($A$2:$A$157,"每日跟踪",$B$2:$B$157,B121,$H$2:$H$157,H121)&gt;1,"同一交易日期重复",IF(AND(R121&lt;&gt;"",R121&lt;S121),"人工止损无效：不能下调","跟踪有效"))),"记录类型无效")))</f>
        <v/>
      </c>
    </row>
    <row r="122" spans="1:29" x14ac:dyDescent="0.15">
      <c r="A122" s="2"/>
      <c r="B122" s="2"/>
      <c r="C122" s="8" t="str">
        <f>IF(B122="","",IFERROR(LOOKUP(2,1/(单次交易!$A$2:$A$88=B122),单次交易!$B$2:$B$88),""))</f>
        <v/>
      </c>
      <c r="D122" s="12"/>
      <c r="E122" s="10"/>
      <c r="F122" s="10"/>
      <c r="G122" s="2"/>
      <c r="H122" s="13"/>
      <c r="I122" s="10"/>
      <c r="J122" s="12"/>
      <c r="K122" s="2"/>
      <c r="L122" s="2"/>
      <c r="M122" s="2"/>
      <c r="N122" s="5" t="str">
        <f>IF(B122="","",IFERROR(LOOKUP(2,1/(单次交易!$A$2:$A$88=B122),单次交易!$N$2:$N$88),""))</f>
        <v/>
      </c>
      <c r="O122" s="5" t="str">
        <f t="shared" si="9"/>
        <v/>
      </c>
      <c r="P122" s="11" t="str">
        <f t="shared" si="10"/>
        <v/>
      </c>
      <c r="Q122" s="5" t="str">
        <f t="shared" si="11"/>
        <v/>
      </c>
      <c r="R122" s="10"/>
      <c r="S122" s="5" t="str">
        <f t="shared" si="12"/>
        <v/>
      </c>
      <c r="T122" s="5" t="str">
        <f t="shared" si="13"/>
        <v/>
      </c>
      <c r="U122" s="5" t="str">
        <f t="shared" si="14"/>
        <v/>
      </c>
      <c r="V122" s="7" t="str">
        <f t="shared" si="15"/>
        <v/>
      </c>
      <c r="W122" s="8" t="str">
        <f t="shared" si="16"/>
        <v/>
      </c>
      <c r="X122" s="2"/>
      <c r="Y122" s="10"/>
      <c r="Z122" s="11" t="str">
        <f>IF(X122&lt;&gt;"执行卖出","",IFERROR(LOOKUP(2,1/(单次交易!$A$2:$A$88=B122),单次交易!$AP$2:$AP$88),""))</f>
        <v/>
      </c>
      <c r="AA122" s="10"/>
      <c r="AB122" s="8" t="str">
        <f t="shared" si="17"/>
        <v/>
      </c>
      <c r="AC122" s="8" t="str">
        <f>IF(A122="","",IF(A122="止损计划",IF(OR(B122="",D122="",E122="",F122="",G122=""),"计划不完整",IF(OR(D122&lt;1,D122&lt;&gt;INT(D122)),"阶段序号无效",IF(COUNTIFS($A$2:$A$157,"止损计划",$B$2:$B$157,B122,$D$2:$D$157,D122)&gt;1,"阶段序号重复",IF(E122&lt;=IFERROR(LOOKUP(2,1/(单次交易!$A$2:$A$88=B122),单次交易!$E$2:$E$88),0),"激活价须高于买入价",IF(F122&lt;N122,"止损价不得低于初始止损",IF(F122&gt;E122,"止损价不得高于激活价",IF(AND(COUNTIFS($A$2:$A$157,"止损计划",$B$2:$B$157,B122,$D$2:$D$157,"&lt;"&amp;D122)&gt;0,OR(E122&lt;=SUMPRODUCT(MAX((($A$2:$A$157="止损计划")*($B$2:$B$157=B122)*($D$2:$D$157&lt;D122))*$E$2:$E$157)),F122&lt;SUMPRODUCT(MAX((($A$2:$A$157="止损计划")*($B$2:$B$157=B122)*($D$2:$D$157&lt;D122))*$F$2:$F$157)))),"阶段价格必须逐级提高","计划有效"))))))),IF(A122="每日跟踪",IF(OR(B122="",H122="",I122="",J122=""),"每日数据不完整",IF(COUNTIFS($A$2:$A$157,"每日跟踪",$B$2:$B$157,B122,$H$2:$H$157,H122)&gt;1,"同一交易日期重复",IF(AND(R122&lt;&gt;"",R122&lt;S122),"人工止损无效：不能下调","跟踪有效"))),"记录类型无效")))</f>
        <v/>
      </c>
    </row>
    <row r="123" spans="1:29" x14ac:dyDescent="0.15">
      <c r="A123" s="2"/>
      <c r="B123" s="2"/>
      <c r="C123" s="8" t="str">
        <f>IF(B123="","",IFERROR(LOOKUP(2,1/(单次交易!$A$2:$A$88=B123),单次交易!$B$2:$B$88),""))</f>
        <v/>
      </c>
      <c r="D123" s="12"/>
      <c r="E123" s="10"/>
      <c r="F123" s="10"/>
      <c r="G123" s="2"/>
      <c r="H123" s="13"/>
      <c r="I123" s="10"/>
      <c r="J123" s="12"/>
      <c r="K123" s="2"/>
      <c r="L123" s="2"/>
      <c r="M123" s="2"/>
      <c r="N123" s="5" t="str">
        <f>IF(B123="","",IFERROR(LOOKUP(2,1/(单次交易!$A$2:$A$88=B123),单次交易!$N$2:$N$88),""))</f>
        <v/>
      </c>
      <c r="O123" s="5" t="str">
        <f t="shared" si="9"/>
        <v/>
      </c>
      <c r="P123" s="11" t="str">
        <f t="shared" si="10"/>
        <v/>
      </c>
      <c r="Q123" s="5" t="str">
        <f t="shared" si="11"/>
        <v/>
      </c>
      <c r="R123" s="10"/>
      <c r="S123" s="5" t="str">
        <f t="shared" si="12"/>
        <v/>
      </c>
      <c r="T123" s="5" t="str">
        <f t="shared" si="13"/>
        <v/>
      </c>
      <c r="U123" s="5" t="str">
        <f t="shared" si="14"/>
        <v/>
      </c>
      <c r="V123" s="7" t="str">
        <f t="shared" si="15"/>
        <v/>
      </c>
      <c r="W123" s="8" t="str">
        <f t="shared" si="16"/>
        <v/>
      </c>
      <c r="X123" s="2"/>
      <c r="Y123" s="10"/>
      <c r="Z123" s="11" t="str">
        <f>IF(X123&lt;&gt;"执行卖出","",IFERROR(LOOKUP(2,1/(单次交易!$A$2:$A$88=B123),单次交易!$AP$2:$AP$88),""))</f>
        <v/>
      </c>
      <c r="AA123" s="10"/>
      <c r="AB123" s="8" t="str">
        <f t="shared" si="17"/>
        <v/>
      </c>
      <c r="AC123" s="8" t="str">
        <f>IF(A123="","",IF(A123="止损计划",IF(OR(B123="",D123="",E123="",F123="",G123=""),"计划不完整",IF(OR(D123&lt;1,D123&lt;&gt;INT(D123)),"阶段序号无效",IF(COUNTIFS($A$2:$A$157,"止损计划",$B$2:$B$157,B123,$D$2:$D$157,D123)&gt;1,"阶段序号重复",IF(E123&lt;=IFERROR(LOOKUP(2,1/(单次交易!$A$2:$A$88=B123),单次交易!$E$2:$E$88),0),"激活价须高于买入价",IF(F123&lt;N123,"止损价不得低于初始止损",IF(F123&gt;E123,"止损价不得高于激活价",IF(AND(COUNTIFS($A$2:$A$157,"止损计划",$B$2:$B$157,B123,$D$2:$D$157,"&lt;"&amp;D123)&gt;0,OR(E123&lt;=SUMPRODUCT(MAX((($A$2:$A$157="止损计划")*($B$2:$B$157=B123)*($D$2:$D$157&lt;D123))*$E$2:$E$157)),F123&lt;SUMPRODUCT(MAX((($A$2:$A$157="止损计划")*($B$2:$B$157=B123)*($D$2:$D$157&lt;D123))*$F$2:$F$157)))),"阶段价格必须逐级提高","计划有效"))))))),IF(A123="每日跟踪",IF(OR(B123="",H123="",I123="",J123=""),"每日数据不完整",IF(COUNTIFS($A$2:$A$157,"每日跟踪",$B$2:$B$157,B123,$H$2:$H$157,H123)&gt;1,"同一交易日期重复",IF(AND(R123&lt;&gt;"",R123&lt;S123),"人工止损无效：不能下调","跟踪有效"))),"记录类型无效")))</f>
        <v/>
      </c>
    </row>
    <row r="124" spans="1:29" x14ac:dyDescent="0.15">
      <c r="A124" s="2"/>
      <c r="B124" s="2"/>
      <c r="C124" s="8" t="str">
        <f>IF(B124="","",IFERROR(LOOKUP(2,1/(单次交易!$A$2:$A$88=B124),单次交易!$B$2:$B$88),""))</f>
        <v/>
      </c>
      <c r="D124" s="12"/>
      <c r="E124" s="10"/>
      <c r="F124" s="10"/>
      <c r="G124" s="2"/>
      <c r="H124" s="13"/>
      <c r="I124" s="10"/>
      <c r="J124" s="12"/>
      <c r="K124" s="2"/>
      <c r="L124" s="2"/>
      <c r="M124" s="2"/>
      <c r="N124" s="5" t="str">
        <f>IF(B124="","",IFERROR(LOOKUP(2,1/(单次交易!$A$2:$A$88=B124),单次交易!$N$2:$N$88),""))</f>
        <v/>
      </c>
      <c r="O124" s="5" t="str">
        <f t="shared" si="9"/>
        <v/>
      </c>
      <c r="P124" s="11" t="str">
        <f t="shared" si="10"/>
        <v/>
      </c>
      <c r="Q124" s="5" t="str">
        <f t="shared" si="11"/>
        <v/>
      </c>
      <c r="R124" s="10"/>
      <c r="S124" s="5" t="str">
        <f t="shared" si="12"/>
        <v/>
      </c>
      <c r="T124" s="5" t="str">
        <f t="shared" si="13"/>
        <v/>
      </c>
      <c r="U124" s="5" t="str">
        <f t="shared" si="14"/>
        <v/>
      </c>
      <c r="V124" s="7" t="str">
        <f t="shared" si="15"/>
        <v/>
      </c>
      <c r="W124" s="8" t="str">
        <f t="shared" si="16"/>
        <v/>
      </c>
      <c r="X124" s="2"/>
      <c r="Y124" s="10"/>
      <c r="Z124" s="11" t="str">
        <f>IF(X124&lt;&gt;"执行卖出","",IFERROR(LOOKUP(2,1/(单次交易!$A$2:$A$88=B124),单次交易!$AP$2:$AP$88),""))</f>
        <v/>
      </c>
      <c r="AA124" s="10"/>
      <c r="AB124" s="8" t="str">
        <f t="shared" si="17"/>
        <v/>
      </c>
      <c r="AC124" s="8" t="str">
        <f>IF(A124="","",IF(A124="止损计划",IF(OR(B124="",D124="",E124="",F124="",G124=""),"计划不完整",IF(OR(D124&lt;1,D124&lt;&gt;INT(D124)),"阶段序号无效",IF(COUNTIFS($A$2:$A$157,"止损计划",$B$2:$B$157,B124,$D$2:$D$157,D124)&gt;1,"阶段序号重复",IF(E124&lt;=IFERROR(LOOKUP(2,1/(单次交易!$A$2:$A$88=B124),单次交易!$E$2:$E$88),0),"激活价须高于买入价",IF(F124&lt;N124,"止损价不得低于初始止损",IF(F124&gt;E124,"止损价不得高于激活价",IF(AND(COUNTIFS($A$2:$A$157,"止损计划",$B$2:$B$157,B124,$D$2:$D$157,"&lt;"&amp;D124)&gt;0,OR(E124&lt;=SUMPRODUCT(MAX((($A$2:$A$157="止损计划")*($B$2:$B$157=B124)*($D$2:$D$157&lt;D124))*$E$2:$E$157)),F124&lt;SUMPRODUCT(MAX((($A$2:$A$157="止损计划")*($B$2:$B$157=B124)*($D$2:$D$157&lt;D124))*$F$2:$F$157)))),"阶段价格必须逐级提高","计划有效"))))))),IF(A124="每日跟踪",IF(OR(B124="",H124="",I124="",J124=""),"每日数据不完整",IF(COUNTIFS($A$2:$A$157,"每日跟踪",$B$2:$B$157,B124,$H$2:$H$157,H124)&gt;1,"同一交易日期重复",IF(AND(R124&lt;&gt;"",R124&lt;S124),"人工止损无效：不能下调","跟踪有效"))),"记录类型无效")))</f>
        <v/>
      </c>
    </row>
    <row r="125" spans="1:29" x14ac:dyDescent="0.15">
      <c r="A125" s="2"/>
      <c r="B125" s="2"/>
      <c r="C125" s="8" t="str">
        <f>IF(B125="","",IFERROR(LOOKUP(2,1/(单次交易!$A$2:$A$88=B125),单次交易!$B$2:$B$88),""))</f>
        <v/>
      </c>
      <c r="D125" s="12"/>
      <c r="E125" s="10"/>
      <c r="F125" s="10"/>
      <c r="G125" s="2"/>
      <c r="H125" s="13"/>
      <c r="I125" s="10"/>
      <c r="J125" s="12"/>
      <c r="K125" s="2"/>
      <c r="L125" s="2"/>
      <c r="M125" s="2"/>
      <c r="N125" s="5" t="str">
        <f>IF(B125="","",IFERROR(LOOKUP(2,1/(单次交易!$A$2:$A$88=B125),单次交易!$N$2:$N$88),""))</f>
        <v/>
      </c>
      <c r="O125" s="5" t="str">
        <f t="shared" si="9"/>
        <v/>
      </c>
      <c r="P125" s="11" t="str">
        <f t="shared" si="10"/>
        <v/>
      </c>
      <c r="Q125" s="5" t="str">
        <f t="shared" si="11"/>
        <v/>
      </c>
      <c r="R125" s="10"/>
      <c r="S125" s="5" t="str">
        <f t="shared" si="12"/>
        <v/>
      </c>
      <c r="T125" s="5" t="str">
        <f t="shared" si="13"/>
        <v/>
      </c>
      <c r="U125" s="5" t="str">
        <f t="shared" si="14"/>
        <v/>
      </c>
      <c r="V125" s="7" t="str">
        <f t="shared" si="15"/>
        <v/>
      </c>
      <c r="W125" s="8" t="str">
        <f t="shared" si="16"/>
        <v/>
      </c>
      <c r="X125" s="2"/>
      <c r="Y125" s="10"/>
      <c r="Z125" s="11" t="str">
        <f>IF(X125&lt;&gt;"执行卖出","",IFERROR(LOOKUP(2,1/(单次交易!$A$2:$A$88=B125),单次交易!$AP$2:$AP$88),""))</f>
        <v/>
      </c>
      <c r="AA125" s="10"/>
      <c r="AB125" s="8" t="str">
        <f t="shared" si="17"/>
        <v/>
      </c>
      <c r="AC125" s="8" t="str">
        <f>IF(A125="","",IF(A125="止损计划",IF(OR(B125="",D125="",E125="",F125="",G125=""),"计划不完整",IF(OR(D125&lt;1,D125&lt;&gt;INT(D125)),"阶段序号无效",IF(COUNTIFS($A$2:$A$157,"止损计划",$B$2:$B$157,B125,$D$2:$D$157,D125)&gt;1,"阶段序号重复",IF(E125&lt;=IFERROR(LOOKUP(2,1/(单次交易!$A$2:$A$88=B125),单次交易!$E$2:$E$88),0),"激活价须高于买入价",IF(F125&lt;N125,"止损价不得低于初始止损",IF(F125&gt;E125,"止损价不得高于激活价",IF(AND(COUNTIFS($A$2:$A$157,"止损计划",$B$2:$B$157,B125,$D$2:$D$157,"&lt;"&amp;D125)&gt;0,OR(E125&lt;=SUMPRODUCT(MAX((($A$2:$A$157="止损计划")*($B$2:$B$157=B125)*($D$2:$D$157&lt;D125))*$E$2:$E$157)),F125&lt;SUMPRODUCT(MAX((($A$2:$A$157="止损计划")*($B$2:$B$157=B125)*($D$2:$D$157&lt;D125))*$F$2:$F$157)))),"阶段价格必须逐级提高","计划有效"))))))),IF(A125="每日跟踪",IF(OR(B125="",H125="",I125="",J125=""),"每日数据不完整",IF(COUNTIFS($A$2:$A$157,"每日跟踪",$B$2:$B$157,B125,$H$2:$H$157,H125)&gt;1,"同一交易日期重复",IF(AND(R125&lt;&gt;"",R125&lt;S125),"人工止损无效：不能下调","跟踪有效"))),"记录类型无效")))</f>
        <v/>
      </c>
    </row>
    <row r="126" spans="1:29" x14ac:dyDescent="0.15">
      <c r="A126" s="2"/>
      <c r="B126" s="2"/>
      <c r="C126" s="8" t="str">
        <f>IF(B126="","",IFERROR(LOOKUP(2,1/(单次交易!$A$2:$A$88=B126),单次交易!$B$2:$B$88),""))</f>
        <v/>
      </c>
      <c r="D126" s="12"/>
      <c r="E126" s="10"/>
      <c r="F126" s="10"/>
      <c r="G126" s="2"/>
      <c r="H126" s="13"/>
      <c r="I126" s="10"/>
      <c r="J126" s="12"/>
      <c r="K126" s="2"/>
      <c r="L126" s="2"/>
      <c r="M126" s="2"/>
      <c r="N126" s="5" t="str">
        <f>IF(B126="","",IFERROR(LOOKUP(2,1/(单次交易!$A$2:$A$88=B126),单次交易!$N$2:$N$88),""))</f>
        <v/>
      </c>
      <c r="O126" s="5" t="str">
        <f t="shared" si="9"/>
        <v/>
      </c>
      <c r="P126" s="11" t="str">
        <f t="shared" si="10"/>
        <v/>
      </c>
      <c r="Q126" s="5" t="str">
        <f t="shared" si="11"/>
        <v/>
      </c>
      <c r="R126" s="10"/>
      <c r="S126" s="5" t="str">
        <f t="shared" si="12"/>
        <v/>
      </c>
      <c r="T126" s="5" t="str">
        <f t="shared" si="13"/>
        <v/>
      </c>
      <c r="U126" s="5" t="str">
        <f t="shared" si="14"/>
        <v/>
      </c>
      <c r="V126" s="7" t="str">
        <f t="shared" si="15"/>
        <v/>
      </c>
      <c r="W126" s="8" t="str">
        <f t="shared" si="16"/>
        <v/>
      </c>
      <c r="X126" s="2"/>
      <c r="Y126" s="10"/>
      <c r="Z126" s="11" t="str">
        <f>IF(X126&lt;&gt;"执行卖出","",IFERROR(LOOKUP(2,1/(单次交易!$A$2:$A$88=B126),单次交易!$AP$2:$AP$88),""))</f>
        <v/>
      </c>
      <c r="AA126" s="10"/>
      <c r="AB126" s="8" t="str">
        <f t="shared" si="17"/>
        <v/>
      </c>
      <c r="AC126" s="8" t="str">
        <f>IF(A126="","",IF(A126="止损计划",IF(OR(B126="",D126="",E126="",F126="",G126=""),"计划不完整",IF(OR(D126&lt;1,D126&lt;&gt;INT(D126)),"阶段序号无效",IF(COUNTIFS($A$2:$A$157,"止损计划",$B$2:$B$157,B126,$D$2:$D$157,D126)&gt;1,"阶段序号重复",IF(E126&lt;=IFERROR(LOOKUP(2,1/(单次交易!$A$2:$A$88=B126),单次交易!$E$2:$E$88),0),"激活价须高于买入价",IF(F126&lt;N126,"止损价不得低于初始止损",IF(F126&gt;E126,"止损价不得高于激活价",IF(AND(COUNTIFS($A$2:$A$157,"止损计划",$B$2:$B$157,B126,$D$2:$D$157,"&lt;"&amp;D126)&gt;0,OR(E126&lt;=SUMPRODUCT(MAX((($A$2:$A$157="止损计划")*($B$2:$B$157=B126)*($D$2:$D$157&lt;D126))*$E$2:$E$157)),F126&lt;SUMPRODUCT(MAX((($A$2:$A$157="止损计划")*($B$2:$B$157=B126)*($D$2:$D$157&lt;D126))*$F$2:$F$157)))),"阶段价格必须逐级提高","计划有效"))))))),IF(A126="每日跟踪",IF(OR(B126="",H126="",I126="",J126=""),"每日数据不完整",IF(COUNTIFS($A$2:$A$157,"每日跟踪",$B$2:$B$157,B126,$H$2:$H$157,H126)&gt;1,"同一交易日期重复",IF(AND(R126&lt;&gt;"",R126&lt;S126),"人工止损无效：不能下调","跟踪有效"))),"记录类型无效")))</f>
        <v/>
      </c>
    </row>
    <row r="127" spans="1:29" x14ac:dyDescent="0.15">
      <c r="A127" s="2"/>
      <c r="B127" s="2"/>
      <c r="C127" s="8" t="str">
        <f>IF(B127="","",IFERROR(LOOKUP(2,1/(单次交易!$A$2:$A$88=B127),单次交易!$B$2:$B$88),""))</f>
        <v/>
      </c>
      <c r="D127" s="12"/>
      <c r="E127" s="10"/>
      <c r="F127" s="10"/>
      <c r="G127" s="2"/>
      <c r="H127" s="13"/>
      <c r="I127" s="10"/>
      <c r="J127" s="12"/>
      <c r="K127" s="2"/>
      <c r="L127" s="2"/>
      <c r="M127" s="2"/>
      <c r="N127" s="5" t="str">
        <f>IF(B127="","",IFERROR(LOOKUP(2,1/(单次交易!$A$2:$A$88=B127),单次交易!$N$2:$N$88),""))</f>
        <v/>
      </c>
      <c r="O127" s="5" t="str">
        <f t="shared" si="9"/>
        <v/>
      </c>
      <c r="P127" s="11" t="str">
        <f t="shared" si="10"/>
        <v/>
      </c>
      <c r="Q127" s="5" t="str">
        <f t="shared" si="11"/>
        <v/>
      </c>
      <c r="R127" s="10"/>
      <c r="S127" s="5" t="str">
        <f t="shared" si="12"/>
        <v/>
      </c>
      <c r="T127" s="5" t="str">
        <f t="shared" si="13"/>
        <v/>
      </c>
      <c r="U127" s="5" t="str">
        <f t="shared" si="14"/>
        <v/>
      </c>
      <c r="V127" s="7" t="str">
        <f t="shared" si="15"/>
        <v/>
      </c>
      <c r="W127" s="8" t="str">
        <f t="shared" si="16"/>
        <v/>
      </c>
      <c r="X127" s="2"/>
      <c r="Y127" s="10"/>
      <c r="Z127" s="11" t="str">
        <f>IF(X127&lt;&gt;"执行卖出","",IFERROR(LOOKUP(2,1/(单次交易!$A$2:$A$88=B127),单次交易!$AP$2:$AP$88),""))</f>
        <v/>
      </c>
      <c r="AA127" s="10"/>
      <c r="AB127" s="8" t="str">
        <f t="shared" si="17"/>
        <v/>
      </c>
      <c r="AC127" s="8" t="str">
        <f>IF(A127="","",IF(A127="止损计划",IF(OR(B127="",D127="",E127="",F127="",G127=""),"计划不完整",IF(OR(D127&lt;1,D127&lt;&gt;INT(D127)),"阶段序号无效",IF(COUNTIFS($A$2:$A$157,"止损计划",$B$2:$B$157,B127,$D$2:$D$157,D127)&gt;1,"阶段序号重复",IF(E127&lt;=IFERROR(LOOKUP(2,1/(单次交易!$A$2:$A$88=B127),单次交易!$E$2:$E$88),0),"激活价须高于买入价",IF(F127&lt;N127,"止损价不得低于初始止损",IF(F127&gt;E127,"止损价不得高于激活价",IF(AND(COUNTIFS($A$2:$A$157,"止损计划",$B$2:$B$157,B127,$D$2:$D$157,"&lt;"&amp;D127)&gt;0,OR(E127&lt;=SUMPRODUCT(MAX((($A$2:$A$157="止损计划")*($B$2:$B$157=B127)*($D$2:$D$157&lt;D127))*$E$2:$E$157)),F127&lt;SUMPRODUCT(MAX((($A$2:$A$157="止损计划")*($B$2:$B$157=B127)*($D$2:$D$157&lt;D127))*$F$2:$F$157)))),"阶段价格必须逐级提高","计划有效"))))))),IF(A127="每日跟踪",IF(OR(B127="",H127="",I127="",J127=""),"每日数据不完整",IF(COUNTIFS($A$2:$A$157,"每日跟踪",$B$2:$B$157,B127,$H$2:$H$157,H127)&gt;1,"同一交易日期重复",IF(AND(R127&lt;&gt;"",R127&lt;S127),"人工止损无效：不能下调","跟踪有效"))),"记录类型无效")))</f>
        <v/>
      </c>
    </row>
    <row r="128" spans="1:29" x14ac:dyDescent="0.15">
      <c r="A128" s="2"/>
      <c r="B128" s="2"/>
      <c r="C128" s="8" t="str">
        <f>IF(B128="","",IFERROR(LOOKUP(2,1/(单次交易!$A$2:$A$88=B128),单次交易!$B$2:$B$88),""))</f>
        <v/>
      </c>
      <c r="D128" s="12"/>
      <c r="E128" s="10"/>
      <c r="F128" s="10"/>
      <c r="G128" s="2"/>
      <c r="H128" s="13"/>
      <c r="I128" s="10"/>
      <c r="J128" s="12"/>
      <c r="K128" s="2"/>
      <c r="L128" s="2"/>
      <c r="M128" s="2"/>
      <c r="N128" s="5" t="str">
        <f>IF(B128="","",IFERROR(LOOKUP(2,1/(单次交易!$A$2:$A$88=B128),单次交易!$N$2:$N$88),""))</f>
        <v/>
      </c>
      <c r="O128" s="5" t="str">
        <f t="shared" si="9"/>
        <v/>
      </c>
      <c r="P128" s="11" t="str">
        <f t="shared" si="10"/>
        <v/>
      </c>
      <c r="Q128" s="5" t="str">
        <f t="shared" si="11"/>
        <v/>
      </c>
      <c r="R128" s="10"/>
      <c r="S128" s="5" t="str">
        <f t="shared" si="12"/>
        <v/>
      </c>
      <c r="T128" s="5" t="str">
        <f t="shared" si="13"/>
        <v/>
      </c>
      <c r="U128" s="5" t="str">
        <f t="shared" si="14"/>
        <v/>
      </c>
      <c r="V128" s="7" t="str">
        <f t="shared" si="15"/>
        <v/>
      </c>
      <c r="W128" s="8" t="str">
        <f t="shared" si="16"/>
        <v/>
      </c>
      <c r="X128" s="2"/>
      <c r="Y128" s="10"/>
      <c r="Z128" s="11" t="str">
        <f>IF(X128&lt;&gt;"执行卖出","",IFERROR(LOOKUP(2,1/(单次交易!$A$2:$A$88=B128),单次交易!$AP$2:$AP$88),""))</f>
        <v/>
      </c>
      <c r="AA128" s="10"/>
      <c r="AB128" s="8" t="str">
        <f t="shared" si="17"/>
        <v/>
      </c>
      <c r="AC128" s="8" t="str">
        <f>IF(A128="","",IF(A128="止损计划",IF(OR(B128="",D128="",E128="",F128="",G128=""),"计划不完整",IF(OR(D128&lt;1,D128&lt;&gt;INT(D128)),"阶段序号无效",IF(COUNTIFS($A$2:$A$157,"止损计划",$B$2:$B$157,B128,$D$2:$D$157,D128)&gt;1,"阶段序号重复",IF(E128&lt;=IFERROR(LOOKUP(2,1/(单次交易!$A$2:$A$88=B128),单次交易!$E$2:$E$88),0),"激活价须高于买入价",IF(F128&lt;N128,"止损价不得低于初始止损",IF(F128&gt;E128,"止损价不得高于激活价",IF(AND(COUNTIFS($A$2:$A$157,"止损计划",$B$2:$B$157,B128,$D$2:$D$157,"&lt;"&amp;D128)&gt;0,OR(E128&lt;=SUMPRODUCT(MAX((($A$2:$A$157="止损计划")*($B$2:$B$157=B128)*($D$2:$D$157&lt;D128))*$E$2:$E$157)),F128&lt;SUMPRODUCT(MAX((($A$2:$A$157="止损计划")*($B$2:$B$157=B128)*($D$2:$D$157&lt;D128))*$F$2:$F$157)))),"阶段价格必须逐级提高","计划有效"))))))),IF(A128="每日跟踪",IF(OR(B128="",H128="",I128="",J128=""),"每日数据不完整",IF(COUNTIFS($A$2:$A$157,"每日跟踪",$B$2:$B$157,B128,$H$2:$H$157,H128)&gt;1,"同一交易日期重复",IF(AND(R128&lt;&gt;"",R128&lt;S128),"人工止损无效：不能下调","跟踪有效"))),"记录类型无效")))</f>
        <v/>
      </c>
    </row>
    <row r="129" spans="1:29" x14ac:dyDescent="0.15">
      <c r="A129" s="2"/>
      <c r="B129" s="2"/>
      <c r="C129" s="8" t="str">
        <f>IF(B129="","",IFERROR(LOOKUP(2,1/(单次交易!$A$2:$A$88=B129),单次交易!$B$2:$B$88),""))</f>
        <v/>
      </c>
      <c r="D129" s="12"/>
      <c r="E129" s="10"/>
      <c r="F129" s="10"/>
      <c r="G129" s="2"/>
      <c r="H129" s="13"/>
      <c r="I129" s="10"/>
      <c r="J129" s="12"/>
      <c r="K129" s="2"/>
      <c r="L129" s="2"/>
      <c r="M129" s="2"/>
      <c r="N129" s="5" t="str">
        <f>IF(B129="","",IFERROR(LOOKUP(2,1/(单次交易!$A$2:$A$88=B129),单次交易!$N$2:$N$88),""))</f>
        <v/>
      </c>
      <c r="O129" s="5" t="str">
        <f t="shared" si="9"/>
        <v/>
      </c>
      <c r="P129" s="11" t="str">
        <f t="shared" si="10"/>
        <v/>
      </c>
      <c r="Q129" s="5" t="str">
        <f t="shared" si="11"/>
        <v/>
      </c>
      <c r="R129" s="10"/>
      <c r="S129" s="5" t="str">
        <f t="shared" si="12"/>
        <v/>
      </c>
      <c r="T129" s="5" t="str">
        <f t="shared" si="13"/>
        <v/>
      </c>
      <c r="U129" s="5" t="str">
        <f t="shared" si="14"/>
        <v/>
      </c>
      <c r="V129" s="7" t="str">
        <f t="shared" si="15"/>
        <v/>
      </c>
      <c r="W129" s="8" t="str">
        <f t="shared" si="16"/>
        <v/>
      </c>
      <c r="X129" s="2"/>
      <c r="Y129" s="10"/>
      <c r="Z129" s="11" t="str">
        <f>IF(X129&lt;&gt;"执行卖出","",IFERROR(LOOKUP(2,1/(单次交易!$A$2:$A$88=B129),单次交易!$AP$2:$AP$88),""))</f>
        <v/>
      </c>
      <c r="AA129" s="10"/>
      <c r="AB129" s="8" t="str">
        <f t="shared" si="17"/>
        <v/>
      </c>
      <c r="AC129" s="8" t="str">
        <f>IF(A129="","",IF(A129="止损计划",IF(OR(B129="",D129="",E129="",F129="",G129=""),"计划不完整",IF(OR(D129&lt;1,D129&lt;&gt;INT(D129)),"阶段序号无效",IF(COUNTIFS($A$2:$A$157,"止损计划",$B$2:$B$157,B129,$D$2:$D$157,D129)&gt;1,"阶段序号重复",IF(E129&lt;=IFERROR(LOOKUP(2,1/(单次交易!$A$2:$A$88=B129),单次交易!$E$2:$E$88),0),"激活价须高于买入价",IF(F129&lt;N129,"止损价不得低于初始止损",IF(F129&gt;E129,"止损价不得高于激活价",IF(AND(COUNTIFS($A$2:$A$157,"止损计划",$B$2:$B$157,B129,$D$2:$D$157,"&lt;"&amp;D129)&gt;0,OR(E129&lt;=SUMPRODUCT(MAX((($A$2:$A$157="止损计划")*($B$2:$B$157=B129)*($D$2:$D$157&lt;D129))*$E$2:$E$157)),F129&lt;SUMPRODUCT(MAX((($A$2:$A$157="止损计划")*($B$2:$B$157=B129)*($D$2:$D$157&lt;D129))*$F$2:$F$157)))),"阶段价格必须逐级提高","计划有效"))))))),IF(A129="每日跟踪",IF(OR(B129="",H129="",I129="",J129=""),"每日数据不完整",IF(COUNTIFS($A$2:$A$157,"每日跟踪",$B$2:$B$157,B129,$H$2:$H$157,H129)&gt;1,"同一交易日期重复",IF(AND(R129&lt;&gt;"",R129&lt;S129),"人工止损无效：不能下调","跟踪有效"))),"记录类型无效")))</f>
        <v/>
      </c>
    </row>
    <row r="130" spans="1:29" x14ac:dyDescent="0.15">
      <c r="A130" s="2"/>
      <c r="B130" s="2"/>
      <c r="C130" s="8" t="str">
        <f>IF(B130="","",IFERROR(LOOKUP(2,1/(单次交易!$A$2:$A$88=B130),单次交易!$B$2:$B$88),""))</f>
        <v/>
      </c>
      <c r="D130" s="12"/>
      <c r="E130" s="10"/>
      <c r="F130" s="10"/>
      <c r="G130" s="2"/>
      <c r="H130" s="13"/>
      <c r="I130" s="10"/>
      <c r="J130" s="12"/>
      <c r="K130" s="2"/>
      <c r="L130" s="2"/>
      <c r="M130" s="2"/>
      <c r="N130" s="5" t="str">
        <f>IF(B130="","",IFERROR(LOOKUP(2,1/(单次交易!$A$2:$A$88=B130),单次交易!$N$2:$N$88),""))</f>
        <v/>
      </c>
      <c r="O130" s="5" t="str">
        <f t="shared" ref="O130:O157" si="18">IF(A130&lt;&gt;"每日跟踪","",IF(OR(B130="",H130="",I130=""),"",IFERROR(SUMPRODUCT(MAX((($A$2:$A$157="每日跟踪")*($B$2:$B$157=B130)*($H$2:$H$157&lt;=H130))*$I$2:$I$157)),"")))</f>
        <v/>
      </c>
      <c r="P130" s="11" t="str">
        <f t="shared" ref="P130:P157" si="19">IF(A130&lt;&gt;"每日跟踪","",IF(O130="","",IFERROR(SUMPRODUCT(MAX((($A$2:$A$157="止损计划")*($B$2:$B$157=B130)*($E$2:$E$157&lt;=O130))*$D$2:$D$157)),0)))</f>
        <v/>
      </c>
      <c r="Q130" s="5" t="str">
        <f t="shared" ref="Q130:Q157" si="20">IF(A130&lt;&gt;"每日跟踪","",IF(N130="","",MAX(N130,IFERROR(SUMPRODUCT(MAX((($A$2:$A$157="止损计划")*($B$2:$B$157=B130)*($E$2:$E$157&lt;=O130))*$F$2:$F$157)),0))))</f>
        <v/>
      </c>
      <c r="R130" s="10"/>
      <c r="S130" s="5" t="str">
        <f t="shared" ref="S130:S157" si="21">IF(A130&lt;&gt;"每日跟踪","",IF(Q130="","",MAX(Q130,IFERROR(SUMPRODUCT(MAX((($A$2:$A$157="每日跟踪")*($B$2:$B$157=B130)*($H$2:$H$157&lt;=H130))*$R$2:$R$157)),0))))</f>
        <v/>
      </c>
      <c r="T130" s="5" t="str">
        <f t="shared" ref="T130:T157" si="22">IF(A130&lt;&gt;"每日跟踪","",IF(O130="","",IF(COUNTIFS($A$2:$A$157,"止损计划",$B$2:$B$157,B130,$E$2:$E$157,"&gt;"&amp;O130)=0,"",INDEX($E$2:$E$157,MATCH(1,INDEX(($A$2:$A$157="止损计划")*($B$2:$B$157=B130)*($E$2:$E$157&gt;O130),0),0)))))</f>
        <v/>
      </c>
      <c r="U130" s="5" t="str">
        <f t="shared" ref="U130:U157" si="23">IF(OR(A130&lt;&gt;"每日跟踪",T130=""),"",IFERROR(SUMIFS($F$2:$F$157,$A$2:$A$157,"止损计划",$B$2:$B$157,B130,$E$2:$E$157,T130),""))</f>
        <v/>
      </c>
      <c r="V130" s="7" t="str">
        <f t="shared" si="15"/>
        <v/>
      </c>
      <c r="W130" s="8" t="str">
        <f t="shared" si="16"/>
        <v/>
      </c>
      <c r="X130" s="2"/>
      <c r="Y130" s="10"/>
      <c r="Z130" s="11" t="str">
        <f>IF(X130&lt;&gt;"执行卖出","",IFERROR(LOOKUP(2,1/(单次交易!$A$2:$A$88=B130),单次交易!$AP$2:$AP$88),""))</f>
        <v/>
      </c>
      <c r="AA130" s="10"/>
      <c r="AB130" s="8" t="str">
        <f t="shared" si="17"/>
        <v/>
      </c>
      <c r="AC130" s="8" t="str">
        <f>IF(A130="","",IF(A130="止损计划",IF(OR(B130="",D130="",E130="",F130="",G130=""),"计划不完整",IF(OR(D130&lt;1,D130&lt;&gt;INT(D130)),"阶段序号无效",IF(COUNTIFS($A$2:$A$157,"止损计划",$B$2:$B$157,B130,$D$2:$D$157,D130)&gt;1,"阶段序号重复",IF(E130&lt;=IFERROR(LOOKUP(2,1/(单次交易!$A$2:$A$88=B130),单次交易!$E$2:$E$88),0),"激活价须高于买入价",IF(F130&lt;N130,"止损价不得低于初始止损",IF(F130&gt;E130,"止损价不得高于激活价",IF(AND(COUNTIFS($A$2:$A$157,"止损计划",$B$2:$B$157,B130,$D$2:$D$157,"&lt;"&amp;D130)&gt;0,OR(E130&lt;=SUMPRODUCT(MAX((($A$2:$A$157="止损计划")*($B$2:$B$157=B130)*($D$2:$D$157&lt;D130))*$E$2:$E$157)),F130&lt;SUMPRODUCT(MAX((($A$2:$A$157="止损计划")*($B$2:$B$157=B130)*($D$2:$D$157&lt;D130))*$F$2:$F$157)))),"阶段价格必须逐级提高","计划有效"))))))),IF(A130="每日跟踪",IF(OR(B130="",H130="",I130="",J130=""),"每日数据不完整",IF(COUNTIFS($A$2:$A$157,"每日跟踪",$B$2:$B$157,B130,$H$2:$H$157,H130)&gt;1,"同一交易日期重复",IF(AND(R130&lt;&gt;"",R130&lt;S130),"人工止损无效：不能下调","跟踪有效"))),"记录类型无效")))</f>
        <v/>
      </c>
    </row>
    <row r="131" spans="1:29" x14ac:dyDescent="0.15">
      <c r="A131" s="2"/>
      <c r="B131" s="2"/>
      <c r="C131" s="8" t="str">
        <f>IF(B131="","",IFERROR(LOOKUP(2,1/(单次交易!$A$2:$A$88=B131),单次交易!$B$2:$B$88),""))</f>
        <v/>
      </c>
      <c r="D131" s="12"/>
      <c r="E131" s="10"/>
      <c r="F131" s="10"/>
      <c r="G131" s="2"/>
      <c r="H131" s="13"/>
      <c r="I131" s="10"/>
      <c r="J131" s="12"/>
      <c r="K131" s="2"/>
      <c r="L131" s="2"/>
      <c r="M131" s="2"/>
      <c r="N131" s="5" t="str">
        <f>IF(B131="","",IFERROR(LOOKUP(2,1/(单次交易!$A$2:$A$88=B131),单次交易!$N$2:$N$88),""))</f>
        <v/>
      </c>
      <c r="O131" s="5" t="str">
        <f t="shared" si="18"/>
        <v/>
      </c>
      <c r="P131" s="11" t="str">
        <f t="shared" si="19"/>
        <v/>
      </c>
      <c r="Q131" s="5" t="str">
        <f t="shared" si="20"/>
        <v/>
      </c>
      <c r="R131" s="10"/>
      <c r="S131" s="5" t="str">
        <f t="shared" si="21"/>
        <v/>
      </c>
      <c r="T131" s="5" t="str">
        <f t="shared" si="22"/>
        <v/>
      </c>
      <c r="U131" s="5" t="str">
        <f t="shared" si="23"/>
        <v/>
      </c>
      <c r="V131" s="7" t="str">
        <f t="shared" si="15"/>
        <v/>
      </c>
      <c r="W131" s="8" t="str">
        <f t="shared" si="16"/>
        <v/>
      </c>
      <c r="X131" s="2"/>
      <c r="Y131" s="10"/>
      <c r="Z131" s="11" t="str">
        <f>IF(X131&lt;&gt;"执行卖出","",IFERROR(LOOKUP(2,1/(单次交易!$A$2:$A$88=B131),单次交易!$AP$2:$AP$88),""))</f>
        <v/>
      </c>
      <c r="AA131" s="10"/>
      <c r="AB131" s="8" t="str">
        <f t="shared" si="17"/>
        <v/>
      </c>
      <c r="AC131" s="8" t="str">
        <f>IF(A131="","",IF(A131="止损计划",IF(OR(B131="",D131="",E131="",F131="",G131=""),"计划不完整",IF(OR(D131&lt;1,D131&lt;&gt;INT(D131)),"阶段序号无效",IF(COUNTIFS($A$2:$A$157,"止损计划",$B$2:$B$157,B131,$D$2:$D$157,D131)&gt;1,"阶段序号重复",IF(E131&lt;=IFERROR(LOOKUP(2,1/(单次交易!$A$2:$A$88=B131),单次交易!$E$2:$E$88),0),"激活价须高于买入价",IF(F131&lt;N131,"止损价不得低于初始止损",IF(F131&gt;E131,"止损价不得高于激活价",IF(AND(COUNTIFS($A$2:$A$157,"止损计划",$B$2:$B$157,B131,$D$2:$D$157,"&lt;"&amp;D131)&gt;0,OR(E131&lt;=SUMPRODUCT(MAX((($A$2:$A$157="止损计划")*($B$2:$B$157=B131)*($D$2:$D$157&lt;D131))*$E$2:$E$157)),F131&lt;SUMPRODUCT(MAX((($A$2:$A$157="止损计划")*($B$2:$B$157=B131)*($D$2:$D$157&lt;D131))*$F$2:$F$157)))),"阶段价格必须逐级提高","计划有效"))))))),IF(A131="每日跟踪",IF(OR(B131="",H131="",I131="",J131=""),"每日数据不完整",IF(COUNTIFS($A$2:$A$157,"每日跟踪",$B$2:$B$157,B131,$H$2:$H$157,H131)&gt;1,"同一交易日期重复",IF(AND(R131&lt;&gt;"",R131&lt;S131),"人工止损无效：不能下调","跟踪有效"))),"记录类型无效")))</f>
        <v/>
      </c>
    </row>
    <row r="132" spans="1:29" x14ac:dyDescent="0.15">
      <c r="A132" s="2"/>
      <c r="B132" s="2"/>
      <c r="C132" s="8" t="str">
        <f>IF(B132="","",IFERROR(LOOKUP(2,1/(单次交易!$A$2:$A$88=B132),单次交易!$B$2:$B$88),""))</f>
        <v/>
      </c>
      <c r="D132" s="12"/>
      <c r="E132" s="10"/>
      <c r="F132" s="10"/>
      <c r="G132" s="2"/>
      <c r="H132" s="13"/>
      <c r="I132" s="10"/>
      <c r="J132" s="12"/>
      <c r="K132" s="2"/>
      <c r="L132" s="2"/>
      <c r="M132" s="2"/>
      <c r="N132" s="5" t="str">
        <f>IF(B132="","",IFERROR(LOOKUP(2,1/(单次交易!$A$2:$A$88=B132),单次交易!$N$2:$N$88),""))</f>
        <v/>
      </c>
      <c r="O132" s="5" t="str">
        <f t="shared" si="18"/>
        <v/>
      </c>
      <c r="P132" s="11" t="str">
        <f t="shared" si="19"/>
        <v/>
      </c>
      <c r="Q132" s="5" t="str">
        <f t="shared" si="20"/>
        <v/>
      </c>
      <c r="R132" s="10"/>
      <c r="S132" s="5" t="str">
        <f t="shared" si="21"/>
        <v/>
      </c>
      <c r="T132" s="5" t="str">
        <f t="shared" si="22"/>
        <v/>
      </c>
      <c r="U132" s="5" t="str">
        <f t="shared" si="23"/>
        <v/>
      </c>
      <c r="V132" s="7" t="str">
        <f t="shared" si="15"/>
        <v/>
      </c>
      <c r="W132" s="8" t="str">
        <f t="shared" si="16"/>
        <v/>
      </c>
      <c r="X132" s="2"/>
      <c r="Y132" s="10"/>
      <c r="Z132" s="11" t="str">
        <f>IF(X132&lt;&gt;"执行卖出","",IFERROR(LOOKUP(2,1/(单次交易!$A$2:$A$88=B132),单次交易!$AP$2:$AP$88),""))</f>
        <v/>
      </c>
      <c r="AA132" s="10"/>
      <c r="AB132" s="8" t="str">
        <f t="shared" si="17"/>
        <v/>
      </c>
      <c r="AC132" s="8" t="str">
        <f>IF(A132="","",IF(A132="止损计划",IF(OR(B132="",D132="",E132="",F132="",G132=""),"计划不完整",IF(OR(D132&lt;1,D132&lt;&gt;INT(D132)),"阶段序号无效",IF(COUNTIFS($A$2:$A$157,"止损计划",$B$2:$B$157,B132,$D$2:$D$157,D132)&gt;1,"阶段序号重复",IF(E132&lt;=IFERROR(LOOKUP(2,1/(单次交易!$A$2:$A$88=B132),单次交易!$E$2:$E$88),0),"激活价须高于买入价",IF(F132&lt;N132,"止损价不得低于初始止损",IF(F132&gt;E132,"止损价不得高于激活价",IF(AND(COUNTIFS($A$2:$A$157,"止损计划",$B$2:$B$157,B132,$D$2:$D$157,"&lt;"&amp;D132)&gt;0,OR(E132&lt;=SUMPRODUCT(MAX((($A$2:$A$157="止损计划")*($B$2:$B$157=B132)*($D$2:$D$157&lt;D132))*$E$2:$E$157)),F132&lt;SUMPRODUCT(MAX((($A$2:$A$157="止损计划")*($B$2:$B$157=B132)*($D$2:$D$157&lt;D132))*$F$2:$F$157)))),"阶段价格必须逐级提高","计划有效"))))))),IF(A132="每日跟踪",IF(OR(B132="",H132="",I132="",J132=""),"每日数据不完整",IF(COUNTIFS($A$2:$A$157,"每日跟踪",$B$2:$B$157,B132,$H$2:$H$157,H132)&gt;1,"同一交易日期重复",IF(AND(R132&lt;&gt;"",R132&lt;S132),"人工止损无效：不能下调","跟踪有效"))),"记录类型无效")))</f>
        <v/>
      </c>
    </row>
    <row r="133" spans="1:29" x14ac:dyDescent="0.15">
      <c r="A133" s="2"/>
      <c r="B133" s="2"/>
      <c r="C133" s="8" t="str">
        <f>IF(B133="","",IFERROR(LOOKUP(2,1/(单次交易!$A$2:$A$88=B133),单次交易!$B$2:$B$88),""))</f>
        <v/>
      </c>
      <c r="D133" s="12"/>
      <c r="E133" s="10"/>
      <c r="F133" s="10"/>
      <c r="G133" s="2"/>
      <c r="H133" s="13"/>
      <c r="I133" s="10"/>
      <c r="J133" s="12"/>
      <c r="K133" s="2"/>
      <c r="L133" s="2"/>
      <c r="M133" s="2"/>
      <c r="N133" s="5" t="str">
        <f>IF(B133="","",IFERROR(LOOKUP(2,1/(单次交易!$A$2:$A$88=B133),单次交易!$N$2:$N$88),""))</f>
        <v/>
      </c>
      <c r="O133" s="5" t="str">
        <f t="shared" si="18"/>
        <v/>
      </c>
      <c r="P133" s="11" t="str">
        <f t="shared" si="19"/>
        <v/>
      </c>
      <c r="Q133" s="5" t="str">
        <f t="shared" si="20"/>
        <v/>
      </c>
      <c r="R133" s="10"/>
      <c r="S133" s="5" t="str">
        <f t="shared" si="21"/>
        <v/>
      </c>
      <c r="T133" s="5" t="str">
        <f t="shared" si="22"/>
        <v/>
      </c>
      <c r="U133" s="5" t="str">
        <f t="shared" si="23"/>
        <v/>
      </c>
      <c r="V133" s="7" t="str">
        <f t="shared" si="15"/>
        <v/>
      </c>
      <c r="W133" s="8" t="str">
        <f t="shared" si="16"/>
        <v/>
      </c>
      <c r="X133" s="2"/>
      <c r="Y133" s="10"/>
      <c r="Z133" s="11" t="str">
        <f>IF(X133&lt;&gt;"执行卖出","",IFERROR(LOOKUP(2,1/(单次交易!$A$2:$A$88=B133),单次交易!$AP$2:$AP$88),""))</f>
        <v/>
      </c>
      <c r="AA133" s="10"/>
      <c r="AB133" s="8" t="str">
        <f t="shared" si="17"/>
        <v/>
      </c>
      <c r="AC133" s="8" t="str">
        <f>IF(A133="","",IF(A133="止损计划",IF(OR(B133="",D133="",E133="",F133="",G133=""),"计划不完整",IF(OR(D133&lt;1,D133&lt;&gt;INT(D133)),"阶段序号无效",IF(COUNTIFS($A$2:$A$157,"止损计划",$B$2:$B$157,B133,$D$2:$D$157,D133)&gt;1,"阶段序号重复",IF(E133&lt;=IFERROR(LOOKUP(2,1/(单次交易!$A$2:$A$88=B133),单次交易!$E$2:$E$88),0),"激活价须高于买入价",IF(F133&lt;N133,"止损价不得低于初始止损",IF(F133&gt;E133,"止损价不得高于激活价",IF(AND(COUNTIFS($A$2:$A$157,"止损计划",$B$2:$B$157,B133,$D$2:$D$157,"&lt;"&amp;D133)&gt;0,OR(E133&lt;=SUMPRODUCT(MAX((($A$2:$A$157="止损计划")*($B$2:$B$157=B133)*($D$2:$D$157&lt;D133))*$E$2:$E$157)),F133&lt;SUMPRODUCT(MAX((($A$2:$A$157="止损计划")*($B$2:$B$157=B133)*($D$2:$D$157&lt;D133))*$F$2:$F$157)))),"阶段价格必须逐级提高","计划有效"))))))),IF(A133="每日跟踪",IF(OR(B133="",H133="",I133="",J133=""),"每日数据不完整",IF(COUNTIFS($A$2:$A$157,"每日跟踪",$B$2:$B$157,B133,$H$2:$H$157,H133)&gt;1,"同一交易日期重复",IF(AND(R133&lt;&gt;"",R133&lt;S133),"人工止损无效：不能下调","跟踪有效"))),"记录类型无效")))</f>
        <v/>
      </c>
    </row>
    <row r="134" spans="1:29" x14ac:dyDescent="0.15">
      <c r="A134" s="2"/>
      <c r="B134" s="2"/>
      <c r="C134" s="8" t="str">
        <f>IF(B134="","",IFERROR(LOOKUP(2,1/(单次交易!$A$2:$A$88=B134),单次交易!$B$2:$B$88),""))</f>
        <v/>
      </c>
      <c r="D134" s="12"/>
      <c r="E134" s="10"/>
      <c r="F134" s="10"/>
      <c r="G134" s="2"/>
      <c r="H134" s="13"/>
      <c r="I134" s="10"/>
      <c r="J134" s="12"/>
      <c r="K134" s="2"/>
      <c r="L134" s="2"/>
      <c r="M134" s="2"/>
      <c r="N134" s="5" t="str">
        <f>IF(B134="","",IFERROR(LOOKUP(2,1/(单次交易!$A$2:$A$88=B134),单次交易!$N$2:$N$88),""))</f>
        <v/>
      </c>
      <c r="O134" s="5" t="str">
        <f t="shared" si="18"/>
        <v/>
      </c>
      <c r="P134" s="11" t="str">
        <f t="shared" si="19"/>
        <v/>
      </c>
      <c r="Q134" s="5" t="str">
        <f t="shared" si="20"/>
        <v/>
      </c>
      <c r="R134" s="10"/>
      <c r="S134" s="5" t="str">
        <f t="shared" si="21"/>
        <v/>
      </c>
      <c r="T134" s="5" t="str">
        <f t="shared" si="22"/>
        <v/>
      </c>
      <c r="U134" s="5" t="str">
        <f t="shared" si="23"/>
        <v/>
      </c>
      <c r="V134" s="7" t="str">
        <f t="shared" si="15"/>
        <v/>
      </c>
      <c r="W134" s="8" t="str">
        <f t="shared" si="16"/>
        <v/>
      </c>
      <c r="X134" s="2"/>
      <c r="Y134" s="10"/>
      <c r="Z134" s="11" t="str">
        <f>IF(X134&lt;&gt;"执行卖出","",IFERROR(LOOKUP(2,1/(单次交易!$A$2:$A$88=B134),单次交易!$AP$2:$AP$88),""))</f>
        <v/>
      </c>
      <c r="AA134" s="10"/>
      <c r="AB134" s="8" t="str">
        <f t="shared" si="17"/>
        <v/>
      </c>
      <c r="AC134" s="8" t="str">
        <f>IF(A134="","",IF(A134="止损计划",IF(OR(B134="",D134="",E134="",F134="",G134=""),"计划不完整",IF(OR(D134&lt;1,D134&lt;&gt;INT(D134)),"阶段序号无效",IF(COUNTIFS($A$2:$A$157,"止损计划",$B$2:$B$157,B134,$D$2:$D$157,D134)&gt;1,"阶段序号重复",IF(E134&lt;=IFERROR(LOOKUP(2,1/(单次交易!$A$2:$A$88=B134),单次交易!$E$2:$E$88),0),"激活价须高于买入价",IF(F134&lt;N134,"止损价不得低于初始止损",IF(F134&gt;E134,"止损价不得高于激活价",IF(AND(COUNTIFS($A$2:$A$157,"止损计划",$B$2:$B$157,B134,$D$2:$D$157,"&lt;"&amp;D134)&gt;0,OR(E134&lt;=SUMPRODUCT(MAX((($A$2:$A$157="止损计划")*($B$2:$B$157=B134)*($D$2:$D$157&lt;D134))*$E$2:$E$157)),F134&lt;SUMPRODUCT(MAX((($A$2:$A$157="止损计划")*($B$2:$B$157=B134)*($D$2:$D$157&lt;D134))*$F$2:$F$157)))),"阶段价格必须逐级提高","计划有效"))))))),IF(A134="每日跟踪",IF(OR(B134="",H134="",I134="",J134=""),"每日数据不完整",IF(COUNTIFS($A$2:$A$157,"每日跟踪",$B$2:$B$157,B134,$H$2:$H$157,H134)&gt;1,"同一交易日期重复",IF(AND(R134&lt;&gt;"",R134&lt;S134),"人工止损无效：不能下调","跟踪有效"))),"记录类型无效")))</f>
        <v/>
      </c>
    </row>
    <row r="135" spans="1:29" x14ac:dyDescent="0.15">
      <c r="A135" s="2"/>
      <c r="B135" s="2"/>
      <c r="C135" s="8" t="str">
        <f>IF(B135="","",IFERROR(LOOKUP(2,1/(单次交易!$A$2:$A$88=B135),单次交易!$B$2:$B$88),""))</f>
        <v/>
      </c>
      <c r="D135" s="12"/>
      <c r="E135" s="10"/>
      <c r="F135" s="10"/>
      <c r="G135" s="2"/>
      <c r="H135" s="13"/>
      <c r="I135" s="10"/>
      <c r="J135" s="12"/>
      <c r="K135" s="2"/>
      <c r="L135" s="2"/>
      <c r="M135" s="2"/>
      <c r="N135" s="5" t="str">
        <f>IF(B135="","",IFERROR(LOOKUP(2,1/(单次交易!$A$2:$A$88=B135),单次交易!$N$2:$N$88),""))</f>
        <v/>
      </c>
      <c r="O135" s="5" t="str">
        <f t="shared" si="18"/>
        <v/>
      </c>
      <c r="P135" s="11" t="str">
        <f t="shared" si="19"/>
        <v/>
      </c>
      <c r="Q135" s="5" t="str">
        <f t="shared" si="20"/>
        <v/>
      </c>
      <c r="R135" s="10"/>
      <c r="S135" s="5" t="str">
        <f t="shared" si="21"/>
        <v/>
      </c>
      <c r="T135" s="5" t="str">
        <f t="shared" si="22"/>
        <v/>
      </c>
      <c r="U135" s="5" t="str">
        <f t="shared" si="23"/>
        <v/>
      </c>
      <c r="V135" s="7" t="str">
        <f t="shared" si="15"/>
        <v/>
      </c>
      <c r="W135" s="8" t="str">
        <f t="shared" si="16"/>
        <v/>
      </c>
      <c r="X135" s="2"/>
      <c r="Y135" s="10"/>
      <c r="Z135" s="11" t="str">
        <f>IF(X135&lt;&gt;"执行卖出","",IFERROR(LOOKUP(2,1/(单次交易!$A$2:$A$88=B135),单次交易!$AP$2:$AP$88),""))</f>
        <v/>
      </c>
      <c r="AA135" s="10"/>
      <c r="AB135" s="8" t="str">
        <f t="shared" si="17"/>
        <v/>
      </c>
      <c r="AC135" s="8" t="str">
        <f>IF(A135="","",IF(A135="止损计划",IF(OR(B135="",D135="",E135="",F135="",G135=""),"计划不完整",IF(OR(D135&lt;1,D135&lt;&gt;INT(D135)),"阶段序号无效",IF(COUNTIFS($A$2:$A$157,"止损计划",$B$2:$B$157,B135,$D$2:$D$157,D135)&gt;1,"阶段序号重复",IF(E135&lt;=IFERROR(LOOKUP(2,1/(单次交易!$A$2:$A$88=B135),单次交易!$E$2:$E$88),0),"激活价须高于买入价",IF(F135&lt;N135,"止损价不得低于初始止损",IF(F135&gt;E135,"止损价不得高于激活价",IF(AND(COUNTIFS($A$2:$A$157,"止损计划",$B$2:$B$157,B135,$D$2:$D$157,"&lt;"&amp;D135)&gt;0,OR(E135&lt;=SUMPRODUCT(MAX((($A$2:$A$157="止损计划")*($B$2:$B$157=B135)*($D$2:$D$157&lt;D135))*$E$2:$E$157)),F135&lt;SUMPRODUCT(MAX((($A$2:$A$157="止损计划")*($B$2:$B$157=B135)*($D$2:$D$157&lt;D135))*$F$2:$F$157)))),"阶段价格必须逐级提高","计划有效"))))))),IF(A135="每日跟踪",IF(OR(B135="",H135="",I135="",J135=""),"每日数据不完整",IF(COUNTIFS($A$2:$A$157,"每日跟踪",$B$2:$B$157,B135,$H$2:$H$157,H135)&gt;1,"同一交易日期重复",IF(AND(R135&lt;&gt;"",R135&lt;S135),"人工止损无效：不能下调","跟踪有效"))),"记录类型无效")))</f>
        <v/>
      </c>
    </row>
    <row r="136" spans="1:29" x14ac:dyDescent="0.15">
      <c r="A136" s="2"/>
      <c r="B136" s="2"/>
      <c r="C136" s="8" t="str">
        <f>IF(B136="","",IFERROR(LOOKUP(2,1/(单次交易!$A$2:$A$88=B136),单次交易!$B$2:$B$88),""))</f>
        <v/>
      </c>
      <c r="D136" s="12"/>
      <c r="E136" s="10"/>
      <c r="F136" s="10"/>
      <c r="G136" s="2"/>
      <c r="H136" s="13"/>
      <c r="I136" s="10"/>
      <c r="J136" s="12"/>
      <c r="K136" s="2"/>
      <c r="L136" s="2"/>
      <c r="M136" s="2"/>
      <c r="N136" s="5" t="str">
        <f>IF(B136="","",IFERROR(LOOKUP(2,1/(单次交易!$A$2:$A$88=B136),单次交易!$N$2:$N$88),""))</f>
        <v/>
      </c>
      <c r="O136" s="5" t="str">
        <f t="shared" si="18"/>
        <v/>
      </c>
      <c r="P136" s="11" t="str">
        <f t="shared" si="19"/>
        <v/>
      </c>
      <c r="Q136" s="5" t="str">
        <f t="shared" si="20"/>
        <v/>
      </c>
      <c r="R136" s="10"/>
      <c r="S136" s="5" t="str">
        <f t="shared" si="21"/>
        <v/>
      </c>
      <c r="T136" s="5" t="str">
        <f t="shared" si="22"/>
        <v/>
      </c>
      <c r="U136" s="5" t="str">
        <f t="shared" si="23"/>
        <v/>
      </c>
      <c r="V136" s="7" t="str">
        <f t="shared" si="15"/>
        <v/>
      </c>
      <c r="W136" s="8" t="str">
        <f t="shared" si="16"/>
        <v/>
      </c>
      <c r="X136" s="2"/>
      <c r="Y136" s="10"/>
      <c r="Z136" s="11" t="str">
        <f>IF(X136&lt;&gt;"执行卖出","",IFERROR(LOOKUP(2,1/(单次交易!$A$2:$A$88=B136),单次交易!$AP$2:$AP$88),""))</f>
        <v/>
      </c>
      <c r="AA136" s="10"/>
      <c r="AB136" s="8" t="str">
        <f t="shared" si="17"/>
        <v/>
      </c>
      <c r="AC136" s="8" t="str">
        <f>IF(A136="","",IF(A136="止损计划",IF(OR(B136="",D136="",E136="",F136="",G136=""),"计划不完整",IF(OR(D136&lt;1,D136&lt;&gt;INT(D136)),"阶段序号无效",IF(COUNTIFS($A$2:$A$157,"止损计划",$B$2:$B$157,B136,$D$2:$D$157,D136)&gt;1,"阶段序号重复",IF(E136&lt;=IFERROR(LOOKUP(2,1/(单次交易!$A$2:$A$88=B136),单次交易!$E$2:$E$88),0),"激活价须高于买入价",IF(F136&lt;N136,"止损价不得低于初始止损",IF(F136&gt;E136,"止损价不得高于激活价",IF(AND(COUNTIFS($A$2:$A$157,"止损计划",$B$2:$B$157,B136,$D$2:$D$157,"&lt;"&amp;D136)&gt;0,OR(E136&lt;=SUMPRODUCT(MAX((($A$2:$A$157="止损计划")*($B$2:$B$157=B136)*($D$2:$D$157&lt;D136))*$E$2:$E$157)),F136&lt;SUMPRODUCT(MAX((($A$2:$A$157="止损计划")*($B$2:$B$157=B136)*($D$2:$D$157&lt;D136))*$F$2:$F$157)))),"阶段价格必须逐级提高","计划有效"))))))),IF(A136="每日跟踪",IF(OR(B136="",H136="",I136="",J136=""),"每日数据不完整",IF(COUNTIFS($A$2:$A$157,"每日跟踪",$B$2:$B$157,B136,$H$2:$H$157,H136)&gt;1,"同一交易日期重复",IF(AND(R136&lt;&gt;"",R136&lt;S136),"人工止损无效：不能下调","跟踪有效"))),"记录类型无效")))</f>
        <v/>
      </c>
    </row>
    <row r="137" spans="1:29" x14ac:dyDescent="0.15">
      <c r="A137" s="2"/>
      <c r="B137" s="2"/>
      <c r="C137" s="8" t="str">
        <f>IF(B137="","",IFERROR(LOOKUP(2,1/(单次交易!$A$2:$A$88=B137),单次交易!$B$2:$B$88),""))</f>
        <v/>
      </c>
      <c r="D137" s="12"/>
      <c r="E137" s="10"/>
      <c r="F137" s="10"/>
      <c r="G137" s="2"/>
      <c r="H137" s="13"/>
      <c r="I137" s="10"/>
      <c r="J137" s="12"/>
      <c r="K137" s="2"/>
      <c r="L137" s="2"/>
      <c r="M137" s="2"/>
      <c r="N137" s="5" t="str">
        <f>IF(B137="","",IFERROR(LOOKUP(2,1/(单次交易!$A$2:$A$88=B137),单次交易!$N$2:$N$88),""))</f>
        <v/>
      </c>
      <c r="O137" s="5" t="str">
        <f t="shared" si="18"/>
        <v/>
      </c>
      <c r="P137" s="11" t="str">
        <f t="shared" si="19"/>
        <v/>
      </c>
      <c r="Q137" s="5" t="str">
        <f t="shared" si="20"/>
        <v/>
      </c>
      <c r="R137" s="10"/>
      <c r="S137" s="5" t="str">
        <f t="shared" si="21"/>
        <v/>
      </c>
      <c r="T137" s="5" t="str">
        <f t="shared" si="22"/>
        <v/>
      </c>
      <c r="U137" s="5" t="str">
        <f t="shared" si="23"/>
        <v/>
      </c>
      <c r="V137" s="7" t="str">
        <f t="shared" si="15"/>
        <v/>
      </c>
      <c r="W137" s="8" t="str">
        <f t="shared" si="16"/>
        <v/>
      </c>
      <c r="X137" s="2"/>
      <c r="Y137" s="10"/>
      <c r="Z137" s="11" t="str">
        <f>IF(X137&lt;&gt;"执行卖出","",IFERROR(LOOKUP(2,1/(单次交易!$A$2:$A$88=B137),单次交易!$AP$2:$AP$88),""))</f>
        <v/>
      </c>
      <c r="AA137" s="10"/>
      <c r="AB137" s="8" t="str">
        <f t="shared" si="17"/>
        <v/>
      </c>
      <c r="AC137" s="8" t="str">
        <f>IF(A137="","",IF(A137="止损计划",IF(OR(B137="",D137="",E137="",F137="",G137=""),"计划不完整",IF(OR(D137&lt;1,D137&lt;&gt;INT(D137)),"阶段序号无效",IF(COUNTIFS($A$2:$A$157,"止损计划",$B$2:$B$157,B137,$D$2:$D$157,D137)&gt;1,"阶段序号重复",IF(E137&lt;=IFERROR(LOOKUP(2,1/(单次交易!$A$2:$A$88=B137),单次交易!$E$2:$E$88),0),"激活价须高于买入价",IF(F137&lt;N137,"止损价不得低于初始止损",IF(F137&gt;E137,"止损价不得高于激活价",IF(AND(COUNTIFS($A$2:$A$157,"止损计划",$B$2:$B$157,B137,$D$2:$D$157,"&lt;"&amp;D137)&gt;0,OR(E137&lt;=SUMPRODUCT(MAX((($A$2:$A$157="止损计划")*($B$2:$B$157=B137)*($D$2:$D$157&lt;D137))*$E$2:$E$157)),F137&lt;SUMPRODUCT(MAX((($A$2:$A$157="止损计划")*($B$2:$B$157=B137)*($D$2:$D$157&lt;D137))*$F$2:$F$157)))),"阶段价格必须逐级提高","计划有效"))))))),IF(A137="每日跟踪",IF(OR(B137="",H137="",I137="",J137=""),"每日数据不完整",IF(COUNTIFS($A$2:$A$157,"每日跟踪",$B$2:$B$157,B137,$H$2:$H$157,H137)&gt;1,"同一交易日期重复",IF(AND(R137&lt;&gt;"",R137&lt;S137),"人工止损无效：不能下调","跟踪有效"))),"记录类型无效")))</f>
        <v/>
      </c>
    </row>
    <row r="138" spans="1:29" x14ac:dyDescent="0.15">
      <c r="A138" s="2"/>
      <c r="B138" s="2"/>
      <c r="C138" s="8" t="str">
        <f>IF(B138="","",IFERROR(LOOKUP(2,1/(单次交易!$A$2:$A$88=B138),单次交易!$B$2:$B$88),""))</f>
        <v/>
      </c>
      <c r="D138" s="12"/>
      <c r="E138" s="10"/>
      <c r="F138" s="10"/>
      <c r="G138" s="2"/>
      <c r="H138" s="13"/>
      <c r="I138" s="10"/>
      <c r="J138" s="12"/>
      <c r="K138" s="2"/>
      <c r="L138" s="2"/>
      <c r="M138" s="2"/>
      <c r="N138" s="5" t="str">
        <f>IF(B138="","",IFERROR(LOOKUP(2,1/(单次交易!$A$2:$A$88=B138),单次交易!$N$2:$N$88),""))</f>
        <v/>
      </c>
      <c r="O138" s="5" t="str">
        <f t="shared" si="18"/>
        <v/>
      </c>
      <c r="P138" s="11" t="str">
        <f t="shared" si="19"/>
        <v/>
      </c>
      <c r="Q138" s="5" t="str">
        <f t="shared" si="20"/>
        <v/>
      </c>
      <c r="R138" s="10"/>
      <c r="S138" s="5" t="str">
        <f t="shared" si="21"/>
        <v/>
      </c>
      <c r="T138" s="5" t="str">
        <f t="shared" si="22"/>
        <v/>
      </c>
      <c r="U138" s="5" t="str">
        <f t="shared" si="23"/>
        <v/>
      </c>
      <c r="V138" s="7" t="str">
        <f t="shared" si="15"/>
        <v/>
      </c>
      <c r="W138" s="8" t="str">
        <f t="shared" si="16"/>
        <v/>
      </c>
      <c r="X138" s="2"/>
      <c r="Y138" s="10"/>
      <c r="Z138" s="11" t="str">
        <f>IF(X138&lt;&gt;"执行卖出","",IFERROR(LOOKUP(2,1/(单次交易!$A$2:$A$88=B138),单次交易!$AP$2:$AP$88),""))</f>
        <v/>
      </c>
      <c r="AA138" s="10"/>
      <c r="AB138" s="8" t="str">
        <f t="shared" si="17"/>
        <v/>
      </c>
      <c r="AC138" s="8" t="str">
        <f>IF(A138="","",IF(A138="止损计划",IF(OR(B138="",D138="",E138="",F138="",G138=""),"计划不完整",IF(OR(D138&lt;1,D138&lt;&gt;INT(D138)),"阶段序号无效",IF(COUNTIFS($A$2:$A$157,"止损计划",$B$2:$B$157,B138,$D$2:$D$157,D138)&gt;1,"阶段序号重复",IF(E138&lt;=IFERROR(LOOKUP(2,1/(单次交易!$A$2:$A$88=B138),单次交易!$E$2:$E$88),0),"激活价须高于买入价",IF(F138&lt;N138,"止损价不得低于初始止损",IF(F138&gt;E138,"止损价不得高于激活价",IF(AND(COUNTIFS($A$2:$A$157,"止损计划",$B$2:$B$157,B138,$D$2:$D$157,"&lt;"&amp;D138)&gt;0,OR(E138&lt;=SUMPRODUCT(MAX((($A$2:$A$157="止损计划")*($B$2:$B$157=B138)*($D$2:$D$157&lt;D138))*$E$2:$E$157)),F138&lt;SUMPRODUCT(MAX((($A$2:$A$157="止损计划")*($B$2:$B$157=B138)*($D$2:$D$157&lt;D138))*$F$2:$F$157)))),"阶段价格必须逐级提高","计划有效"))))))),IF(A138="每日跟踪",IF(OR(B138="",H138="",I138="",J138=""),"每日数据不完整",IF(COUNTIFS($A$2:$A$157,"每日跟踪",$B$2:$B$157,B138,$H$2:$H$157,H138)&gt;1,"同一交易日期重复",IF(AND(R138&lt;&gt;"",R138&lt;S138),"人工止损无效：不能下调","跟踪有效"))),"记录类型无效")))</f>
        <v/>
      </c>
    </row>
    <row r="139" spans="1:29" x14ac:dyDescent="0.15">
      <c r="A139" s="2"/>
      <c r="B139" s="2"/>
      <c r="C139" s="8" t="str">
        <f>IF(B139="","",IFERROR(LOOKUP(2,1/(单次交易!$A$2:$A$88=B139),单次交易!$B$2:$B$88),""))</f>
        <v/>
      </c>
      <c r="D139" s="12"/>
      <c r="E139" s="10"/>
      <c r="F139" s="10"/>
      <c r="G139" s="2"/>
      <c r="H139" s="13"/>
      <c r="I139" s="10"/>
      <c r="J139" s="12"/>
      <c r="K139" s="2"/>
      <c r="L139" s="2"/>
      <c r="M139" s="2"/>
      <c r="N139" s="5" t="str">
        <f>IF(B139="","",IFERROR(LOOKUP(2,1/(单次交易!$A$2:$A$88=B139),单次交易!$N$2:$N$88),""))</f>
        <v/>
      </c>
      <c r="O139" s="5" t="str">
        <f t="shared" si="18"/>
        <v/>
      </c>
      <c r="P139" s="11" t="str">
        <f t="shared" si="19"/>
        <v/>
      </c>
      <c r="Q139" s="5" t="str">
        <f t="shared" si="20"/>
        <v/>
      </c>
      <c r="R139" s="10"/>
      <c r="S139" s="5" t="str">
        <f t="shared" si="21"/>
        <v/>
      </c>
      <c r="T139" s="5" t="str">
        <f t="shared" si="22"/>
        <v/>
      </c>
      <c r="U139" s="5" t="str">
        <f t="shared" si="23"/>
        <v/>
      </c>
      <c r="V139" s="7" t="str">
        <f t="shared" si="15"/>
        <v/>
      </c>
      <c r="W139" s="8" t="str">
        <f t="shared" si="16"/>
        <v/>
      </c>
      <c r="X139" s="2"/>
      <c r="Y139" s="10"/>
      <c r="Z139" s="11" t="str">
        <f>IF(X139&lt;&gt;"执行卖出","",IFERROR(LOOKUP(2,1/(单次交易!$A$2:$A$88=B139),单次交易!$AP$2:$AP$88),""))</f>
        <v/>
      </c>
      <c r="AA139" s="10"/>
      <c r="AB139" s="8" t="str">
        <f t="shared" si="17"/>
        <v/>
      </c>
      <c r="AC139" s="8" t="str">
        <f>IF(A139="","",IF(A139="止损计划",IF(OR(B139="",D139="",E139="",F139="",G139=""),"计划不完整",IF(OR(D139&lt;1,D139&lt;&gt;INT(D139)),"阶段序号无效",IF(COUNTIFS($A$2:$A$157,"止损计划",$B$2:$B$157,B139,$D$2:$D$157,D139)&gt;1,"阶段序号重复",IF(E139&lt;=IFERROR(LOOKUP(2,1/(单次交易!$A$2:$A$88=B139),单次交易!$E$2:$E$88),0),"激活价须高于买入价",IF(F139&lt;N139,"止损价不得低于初始止损",IF(F139&gt;E139,"止损价不得高于激活价",IF(AND(COUNTIFS($A$2:$A$157,"止损计划",$B$2:$B$157,B139,$D$2:$D$157,"&lt;"&amp;D139)&gt;0,OR(E139&lt;=SUMPRODUCT(MAX((($A$2:$A$157="止损计划")*($B$2:$B$157=B139)*($D$2:$D$157&lt;D139))*$E$2:$E$157)),F139&lt;SUMPRODUCT(MAX((($A$2:$A$157="止损计划")*($B$2:$B$157=B139)*($D$2:$D$157&lt;D139))*$F$2:$F$157)))),"阶段价格必须逐级提高","计划有效"))))))),IF(A139="每日跟踪",IF(OR(B139="",H139="",I139="",J139=""),"每日数据不完整",IF(COUNTIFS($A$2:$A$157,"每日跟踪",$B$2:$B$157,B139,$H$2:$H$157,H139)&gt;1,"同一交易日期重复",IF(AND(R139&lt;&gt;"",R139&lt;S139),"人工止损无效：不能下调","跟踪有效"))),"记录类型无效")))</f>
        <v/>
      </c>
    </row>
    <row r="140" spans="1:29" x14ac:dyDescent="0.15">
      <c r="A140" s="2"/>
      <c r="B140" s="2"/>
      <c r="C140" s="8" t="str">
        <f>IF(B140="","",IFERROR(LOOKUP(2,1/(单次交易!$A$2:$A$88=B140),单次交易!$B$2:$B$88),""))</f>
        <v/>
      </c>
      <c r="D140" s="12"/>
      <c r="E140" s="10"/>
      <c r="F140" s="10"/>
      <c r="G140" s="2"/>
      <c r="H140" s="13"/>
      <c r="I140" s="10"/>
      <c r="J140" s="12"/>
      <c r="K140" s="2"/>
      <c r="L140" s="2"/>
      <c r="M140" s="2"/>
      <c r="N140" s="5" t="str">
        <f>IF(B140="","",IFERROR(LOOKUP(2,1/(单次交易!$A$2:$A$88=B140),单次交易!$N$2:$N$88),""))</f>
        <v/>
      </c>
      <c r="O140" s="5" t="str">
        <f t="shared" si="18"/>
        <v/>
      </c>
      <c r="P140" s="11" t="str">
        <f t="shared" si="19"/>
        <v/>
      </c>
      <c r="Q140" s="5" t="str">
        <f t="shared" si="20"/>
        <v/>
      </c>
      <c r="R140" s="10"/>
      <c r="S140" s="5" t="str">
        <f t="shared" si="21"/>
        <v/>
      </c>
      <c r="T140" s="5" t="str">
        <f t="shared" si="22"/>
        <v/>
      </c>
      <c r="U140" s="5" t="str">
        <f t="shared" si="23"/>
        <v/>
      </c>
      <c r="V140" s="7" t="str">
        <f t="shared" si="15"/>
        <v/>
      </c>
      <c r="W140" s="8" t="str">
        <f t="shared" si="16"/>
        <v/>
      </c>
      <c r="X140" s="2"/>
      <c r="Y140" s="10"/>
      <c r="Z140" s="11" t="str">
        <f>IF(X140&lt;&gt;"执行卖出","",IFERROR(LOOKUP(2,1/(单次交易!$A$2:$A$88=B140),单次交易!$AP$2:$AP$88),""))</f>
        <v/>
      </c>
      <c r="AA140" s="10"/>
      <c r="AB140" s="8" t="str">
        <f t="shared" si="17"/>
        <v/>
      </c>
      <c r="AC140" s="8" t="str">
        <f>IF(A140="","",IF(A140="止损计划",IF(OR(B140="",D140="",E140="",F140="",G140=""),"计划不完整",IF(OR(D140&lt;1,D140&lt;&gt;INT(D140)),"阶段序号无效",IF(COUNTIFS($A$2:$A$157,"止损计划",$B$2:$B$157,B140,$D$2:$D$157,D140)&gt;1,"阶段序号重复",IF(E140&lt;=IFERROR(LOOKUP(2,1/(单次交易!$A$2:$A$88=B140),单次交易!$E$2:$E$88),0),"激活价须高于买入价",IF(F140&lt;N140,"止损价不得低于初始止损",IF(F140&gt;E140,"止损价不得高于激活价",IF(AND(COUNTIFS($A$2:$A$157,"止损计划",$B$2:$B$157,B140,$D$2:$D$157,"&lt;"&amp;D140)&gt;0,OR(E140&lt;=SUMPRODUCT(MAX((($A$2:$A$157="止损计划")*($B$2:$B$157=B140)*($D$2:$D$157&lt;D140))*$E$2:$E$157)),F140&lt;SUMPRODUCT(MAX((($A$2:$A$157="止损计划")*($B$2:$B$157=B140)*($D$2:$D$157&lt;D140))*$F$2:$F$157)))),"阶段价格必须逐级提高","计划有效"))))))),IF(A140="每日跟踪",IF(OR(B140="",H140="",I140="",J140=""),"每日数据不完整",IF(COUNTIFS($A$2:$A$157,"每日跟踪",$B$2:$B$157,B140,$H$2:$H$157,H140)&gt;1,"同一交易日期重复",IF(AND(R140&lt;&gt;"",R140&lt;S140),"人工止损无效：不能下调","跟踪有效"))),"记录类型无效")))</f>
        <v/>
      </c>
    </row>
    <row r="141" spans="1:29" x14ac:dyDescent="0.15">
      <c r="A141" s="2"/>
      <c r="B141" s="2"/>
      <c r="C141" s="8" t="str">
        <f>IF(B141="","",IFERROR(LOOKUP(2,1/(单次交易!$A$2:$A$88=B141),单次交易!$B$2:$B$88),""))</f>
        <v/>
      </c>
      <c r="D141" s="12"/>
      <c r="E141" s="10"/>
      <c r="F141" s="10"/>
      <c r="G141" s="2"/>
      <c r="H141" s="13"/>
      <c r="I141" s="10"/>
      <c r="J141" s="12"/>
      <c r="K141" s="2"/>
      <c r="L141" s="2"/>
      <c r="M141" s="2"/>
      <c r="N141" s="5" t="str">
        <f>IF(B141="","",IFERROR(LOOKUP(2,1/(单次交易!$A$2:$A$88=B141),单次交易!$N$2:$N$88),""))</f>
        <v/>
      </c>
      <c r="O141" s="5" t="str">
        <f t="shared" si="18"/>
        <v/>
      </c>
      <c r="P141" s="11" t="str">
        <f t="shared" si="19"/>
        <v/>
      </c>
      <c r="Q141" s="5" t="str">
        <f t="shared" si="20"/>
        <v/>
      </c>
      <c r="R141" s="10"/>
      <c r="S141" s="5" t="str">
        <f t="shared" si="21"/>
        <v/>
      </c>
      <c r="T141" s="5" t="str">
        <f t="shared" si="22"/>
        <v/>
      </c>
      <c r="U141" s="5" t="str">
        <f t="shared" si="23"/>
        <v/>
      </c>
      <c r="V141" s="7" t="str">
        <f t="shared" si="15"/>
        <v/>
      </c>
      <c r="W141" s="8" t="str">
        <f t="shared" si="16"/>
        <v/>
      </c>
      <c r="X141" s="2"/>
      <c r="Y141" s="10"/>
      <c r="Z141" s="11" t="str">
        <f>IF(X141&lt;&gt;"执行卖出","",IFERROR(LOOKUP(2,1/(单次交易!$A$2:$A$88=B141),单次交易!$AP$2:$AP$88),""))</f>
        <v/>
      </c>
      <c r="AA141" s="10"/>
      <c r="AB141" s="8" t="str">
        <f t="shared" si="17"/>
        <v/>
      </c>
      <c r="AC141" s="8" t="str">
        <f>IF(A141="","",IF(A141="止损计划",IF(OR(B141="",D141="",E141="",F141="",G141=""),"计划不完整",IF(OR(D141&lt;1,D141&lt;&gt;INT(D141)),"阶段序号无效",IF(COUNTIFS($A$2:$A$157,"止损计划",$B$2:$B$157,B141,$D$2:$D$157,D141)&gt;1,"阶段序号重复",IF(E141&lt;=IFERROR(LOOKUP(2,1/(单次交易!$A$2:$A$88=B141),单次交易!$E$2:$E$88),0),"激活价须高于买入价",IF(F141&lt;N141,"止损价不得低于初始止损",IF(F141&gt;E141,"止损价不得高于激活价",IF(AND(COUNTIFS($A$2:$A$157,"止损计划",$B$2:$B$157,B141,$D$2:$D$157,"&lt;"&amp;D141)&gt;0,OR(E141&lt;=SUMPRODUCT(MAX((($A$2:$A$157="止损计划")*($B$2:$B$157=B141)*($D$2:$D$157&lt;D141))*$E$2:$E$157)),F141&lt;SUMPRODUCT(MAX((($A$2:$A$157="止损计划")*($B$2:$B$157=B141)*($D$2:$D$157&lt;D141))*$F$2:$F$157)))),"阶段价格必须逐级提高","计划有效"))))))),IF(A141="每日跟踪",IF(OR(B141="",H141="",I141="",J141=""),"每日数据不完整",IF(COUNTIFS($A$2:$A$157,"每日跟踪",$B$2:$B$157,B141,$H$2:$H$157,H141)&gt;1,"同一交易日期重复",IF(AND(R141&lt;&gt;"",R141&lt;S141),"人工止损无效：不能下调","跟踪有效"))),"记录类型无效")))</f>
        <v/>
      </c>
    </row>
    <row r="142" spans="1:29" x14ac:dyDescent="0.15">
      <c r="A142" s="2"/>
      <c r="B142" s="2"/>
      <c r="C142" s="8" t="str">
        <f>IF(B142="","",IFERROR(LOOKUP(2,1/(单次交易!$A$2:$A$88=B142),单次交易!$B$2:$B$88),""))</f>
        <v/>
      </c>
      <c r="D142" s="12"/>
      <c r="E142" s="10"/>
      <c r="F142" s="10"/>
      <c r="G142" s="2"/>
      <c r="H142" s="13"/>
      <c r="I142" s="10"/>
      <c r="J142" s="12"/>
      <c r="K142" s="2"/>
      <c r="L142" s="2"/>
      <c r="M142" s="2"/>
      <c r="N142" s="5" t="str">
        <f>IF(B142="","",IFERROR(LOOKUP(2,1/(单次交易!$A$2:$A$88=B142),单次交易!$N$2:$N$88),""))</f>
        <v/>
      </c>
      <c r="O142" s="5" t="str">
        <f t="shared" si="18"/>
        <v/>
      </c>
      <c r="P142" s="11" t="str">
        <f t="shared" si="19"/>
        <v/>
      </c>
      <c r="Q142" s="5" t="str">
        <f t="shared" si="20"/>
        <v/>
      </c>
      <c r="R142" s="10"/>
      <c r="S142" s="5" t="str">
        <f t="shared" si="21"/>
        <v/>
      </c>
      <c r="T142" s="5" t="str">
        <f t="shared" si="22"/>
        <v/>
      </c>
      <c r="U142" s="5" t="str">
        <f t="shared" si="23"/>
        <v/>
      </c>
      <c r="V142" s="7" t="str">
        <f t="shared" si="15"/>
        <v/>
      </c>
      <c r="W142" s="8" t="str">
        <f t="shared" si="16"/>
        <v/>
      </c>
      <c r="X142" s="2"/>
      <c r="Y142" s="10"/>
      <c r="Z142" s="11" t="str">
        <f>IF(X142&lt;&gt;"执行卖出","",IFERROR(LOOKUP(2,1/(单次交易!$A$2:$A$88=B142),单次交易!$AP$2:$AP$88),""))</f>
        <v/>
      </c>
      <c r="AA142" s="10"/>
      <c r="AB142" s="8" t="str">
        <f t="shared" si="17"/>
        <v/>
      </c>
      <c r="AC142" s="8" t="str">
        <f>IF(A142="","",IF(A142="止损计划",IF(OR(B142="",D142="",E142="",F142="",G142=""),"计划不完整",IF(OR(D142&lt;1,D142&lt;&gt;INT(D142)),"阶段序号无效",IF(COUNTIFS($A$2:$A$157,"止损计划",$B$2:$B$157,B142,$D$2:$D$157,D142)&gt;1,"阶段序号重复",IF(E142&lt;=IFERROR(LOOKUP(2,1/(单次交易!$A$2:$A$88=B142),单次交易!$E$2:$E$88),0),"激活价须高于买入价",IF(F142&lt;N142,"止损价不得低于初始止损",IF(F142&gt;E142,"止损价不得高于激活价",IF(AND(COUNTIFS($A$2:$A$157,"止损计划",$B$2:$B$157,B142,$D$2:$D$157,"&lt;"&amp;D142)&gt;0,OR(E142&lt;=SUMPRODUCT(MAX((($A$2:$A$157="止损计划")*($B$2:$B$157=B142)*($D$2:$D$157&lt;D142))*$E$2:$E$157)),F142&lt;SUMPRODUCT(MAX((($A$2:$A$157="止损计划")*($B$2:$B$157=B142)*($D$2:$D$157&lt;D142))*$F$2:$F$157)))),"阶段价格必须逐级提高","计划有效"))))))),IF(A142="每日跟踪",IF(OR(B142="",H142="",I142="",J142=""),"每日数据不完整",IF(COUNTIFS($A$2:$A$157,"每日跟踪",$B$2:$B$157,B142,$H$2:$H$157,H142)&gt;1,"同一交易日期重复",IF(AND(R142&lt;&gt;"",R142&lt;S142),"人工止损无效：不能下调","跟踪有效"))),"记录类型无效")))</f>
        <v/>
      </c>
    </row>
    <row r="143" spans="1:29" x14ac:dyDescent="0.15">
      <c r="A143" s="2"/>
      <c r="B143" s="2"/>
      <c r="C143" s="8" t="str">
        <f>IF(B143="","",IFERROR(LOOKUP(2,1/(单次交易!$A$2:$A$88=B143),单次交易!$B$2:$B$88),""))</f>
        <v/>
      </c>
      <c r="D143" s="12"/>
      <c r="E143" s="10"/>
      <c r="F143" s="10"/>
      <c r="G143" s="2"/>
      <c r="H143" s="13"/>
      <c r="I143" s="10"/>
      <c r="J143" s="12"/>
      <c r="K143" s="2"/>
      <c r="L143" s="2"/>
      <c r="M143" s="2"/>
      <c r="N143" s="5" t="str">
        <f>IF(B143="","",IFERROR(LOOKUP(2,1/(单次交易!$A$2:$A$88=B143),单次交易!$N$2:$N$88),""))</f>
        <v/>
      </c>
      <c r="O143" s="5" t="str">
        <f t="shared" si="18"/>
        <v/>
      </c>
      <c r="P143" s="11" t="str">
        <f t="shared" si="19"/>
        <v/>
      </c>
      <c r="Q143" s="5" t="str">
        <f t="shared" si="20"/>
        <v/>
      </c>
      <c r="R143" s="10"/>
      <c r="S143" s="5" t="str">
        <f t="shared" si="21"/>
        <v/>
      </c>
      <c r="T143" s="5" t="str">
        <f t="shared" si="22"/>
        <v/>
      </c>
      <c r="U143" s="5" t="str">
        <f t="shared" si="23"/>
        <v/>
      </c>
      <c r="V143" s="7" t="str">
        <f t="shared" si="15"/>
        <v/>
      </c>
      <c r="W143" s="8" t="str">
        <f t="shared" si="16"/>
        <v/>
      </c>
      <c r="X143" s="2"/>
      <c r="Y143" s="10"/>
      <c r="Z143" s="11" t="str">
        <f>IF(X143&lt;&gt;"执行卖出","",IFERROR(LOOKUP(2,1/(单次交易!$A$2:$A$88=B143),单次交易!$AP$2:$AP$88),""))</f>
        <v/>
      </c>
      <c r="AA143" s="10"/>
      <c r="AB143" s="8" t="str">
        <f t="shared" si="17"/>
        <v/>
      </c>
      <c r="AC143" s="8" t="str">
        <f>IF(A143="","",IF(A143="止损计划",IF(OR(B143="",D143="",E143="",F143="",G143=""),"计划不完整",IF(OR(D143&lt;1,D143&lt;&gt;INT(D143)),"阶段序号无效",IF(COUNTIFS($A$2:$A$157,"止损计划",$B$2:$B$157,B143,$D$2:$D$157,D143)&gt;1,"阶段序号重复",IF(E143&lt;=IFERROR(LOOKUP(2,1/(单次交易!$A$2:$A$88=B143),单次交易!$E$2:$E$88),0),"激活价须高于买入价",IF(F143&lt;N143,"止损价不得低于初始止损",IF(F143&gt;E143,"止损价不得高于激活价",IF(AND(COUNTIFS($A$2:$A$157,"止损计划",$B$2:$B$157,B143,$D$2:$D$157,"&lt;"&amp;D143)&gt;0,OR(E143&lt;=SUMPRODUCT(MAX((($A$2:$A$157="止损计划")*($B$2:$B$157=B143)*($D$2:$D$157&lt;D143))*$E$2:$E$157)),F143&lt;SUMPRODUCT(MAX((($A$2:$A$157="止损计划")*($B$2:$B$157=B143)*($D$2:$D$157&lt;D143))*$F$2:$F$157)))),"阶段价格必须逐级提高","计划有效"))))))),IF(A143="每日跟踪",IF(OR(B143="",H143="",I143="",J143=""),"每日数据不完整",IF(COUNTIFS($A$2:$A$157,"每日跟踪",$B$2:$B$157,B143,$H$2:$H$157,H143)&gt;1,"同一交易日期重复",IF(AND(R143&lt;&gt;"",R143&lt;S143),"人工止损无效：不能下调","跟踪有效"))),"记录类型无效")))</f>
        <v/>
      </c>
    </row>
    <row r="144" spans="1:29" x14ac:dyDescent="0.15">
      <c r="A144" s="2"/>
      <c r="B144" s="2"/>
      <c r="C144" s="8" t="str">
        <f>IF(B144="","",IFERROR(LOOKUP(2,1/(单次交易!$A$2:$A$88=B144),单次交易!$B$2:$B$88),""))</f>
        <v/>
      </c>
      <c r="D144" s="12"/>
      <c r="E144" s="10"/>
      <c r="F144" s="10"/>
      <c r="G144" s="2"/>
      <c r="H144" s="13"/>
      <c r="I144" s="10"/>
      <c r="J144" s="12"/>
      <c r="K144" s="2"/>
      <c r="L144" s="2"/>
      <c r="M144" s="2"/>
      <c r="N144" s="5" t="str">
        <f>IF(B144="","",IFERROR(LOOKUP(2,1/(单次交易!$A$2:$A$88=B144),单次交易!$N$2:$N$88),""))</f>
        <v/>
      </c>
      <c r="O144" s="5" t="str">
        <f t="shared" si="18"/>
        <v/>
      </c>
      <c r="P144" s="11" t="str">
        <f t="shared" si="19"/>
        <v/>
      </c>
      <c r="Q144" s="5" t="str">
        <f t="shared" si="20"/>
        <v/>
      </c>
      <c r="R144" s="10"/>
      <c r="S144" s="5" t="str">
        <f t="shared" si="21"/>
        <v/>
      </c>
      <c r="T144" s="5" t="str">
        <f t="shared" si="22"/>
        <v/>
      </c>
      <c r="U144" s="5" t="str">
        <f t="shared" si="23"/>
        <v/>
      </c>
      <c r="V144" s="7" t="str">
        <f t="shared" si="15"/>
        <v/>
      </c>
      <c r="W144" s="8" t="str">
        <f t="shared" si="16"/>
        <v/>
      </c>
      <c r="X144" s="2"/>
      <c r="Y144" s="10"/>
      <c r="Z144" s="11" t="str">
        <f>IF(X144&lt;&gt;"执行卖出","",IFERROR(LOOKUP(2,1/(单次交易!$A$2:$A$88=B144),单次交易!$AP$2:$AP$88),""))</f>
        <v/>
      </c>
      <c r="AA144" s="10"/>
      <c r="AB144" s="8" t="str">
        <f t="shared" si="17"/>
        <v/>
      </c>
      <c r="AC144" s="8" t="str">
        <f>IF(A144="","",IF(A144="止损计划",IF(OR(B144="",D144="",E144="",F144="",G144=""),"计划不完整",IF(OR(D144&lt;1,D144&lt;&gt;INT(D144)),"阶段序号无效",IF(COUNTIFS($A$2:$A$157,"止损计划",$B$2:$B$157,B144,$D$2:$D$157,D144)&gt;1,"阶段序号重复",IF(E144&lt;=IFERROR(LOOKUP(2,1/(单次交易!$A$2:$A$88=B144),单次交易!$E$2:$E$88),0),"激活价须高于买入价",IF(F144&lt;N144,"止损价不得低于初始止损",IF(F144&gt;E144,"止损价不得高于激活价",IF(AND(COUNTIFS($A$2:$A$157,"止损计划",$B$2:$B$157,B144,$D$2:$D$157,"&lt;"&amp;D144)&gt;0,OR(E144&lt;=SUMPRODUCT(MAX((($A$2:$A$157="止损计划")*($B$2:$B$157=B144)*($D$2:$D$157&lt;D144))*$E$2:$E$157)),F144&lt;SUMPRODUCT(MAX((($A$2:$A$157="止损计划")*($B$2:$B$157=B144)*($D$2:$D$157&lt;D144))*$F$2:$F$157)))),"阶段价格必须逐级提高","计划有效"))))))),IF(A144="每日跟踪",IF(OR(B144="",H144="",I144="",J144=""),"每日数据不完整",IF(COUNTIFS($A$2:$A$157,"每日跟踪",$B$2:$B$157,B144,$H$2:$H$157,H144)&gt;1,"同一交易日期重复",IF(AND(R144&lt;&gt;"",R144&lt;S144),"人工止损无效：不能下调","跟踪有效"))),"记录类型无效")))</f>
        <v/>
      </c>
    </row>
    <row r="145" spans="1:29" x14ac:dyDescent="0.15">
      <c r="A145" s="2"/>
      <c r="B145" s="2"/>
      <c r="C145" s="8" t="str">
        <f>IF(B145="","",IFERROR(LOOKUP(2,1/(单次交易!$A$2:$A$88=B145),单次交易!$B$2:$B$88),""))</f>
        <v/>
      </c>
      <c r="D145" s="12"/>
      <c r="E145" s="10"/>
      <c r="F145" s="10"/>
      <c r="G145" s="2"/>
      <c r="H145" s="13"/>
      <c r="I145" s="10"/>
      <c r="J145" s="12"/>
      <c r="K145" s="2"/>
      <c r="L145" s="2"/>
      <c r="M145" s="2"/>
      <c r="N145" s="5" t="str">
        <f>IF(B145="","",IFERROR(LOOKUP(2,1/(单次交易!$A$2:$A$88=B145),单次交易!$N$2:$N$88),""))</f>
        <v/>
      </c>
      <c r="O145" s="5" t="str">
        <f t="shared" si="18"/>
        <v/>
      </c>
      <c r="P145" s="11" t="str">
        <f t="shared" si="19"/>
        <v/>
      </c>
      <c r="Q145" s="5" t="str">
        <f t="shared" si="20"/>
        <v/>
      </c>
      <c r="R145" s="10"/>
      <c r="S145" s="5" t="str">
        <f t="shared" si="21"/>
        <v/>
      </c>
      <c r="T145" s="5" t="str">
        <f t="shared" si="22"/>
        <v/>
      </c>
      <c r="U145" s="5" t="str">
        <f t="shared" si="23"/>
        <v/>
      </c>
      <c r="V145" s="7" t="str">
        <f t="shared" si="15"/>
        <v/>
      </c>
      <c r="W145" s="8" t="str">
        <f t="shared" si="16"/>
        <v/>
      </c>
      <c r="X145" s="2"/>
      <c r="Y145" s="10"/>
      <c r="Z145" s="11" t="str">
        <f>IF(X145&lt;&gt;"执行卖出","",IFERROR(LOOKUP(2,1/(单次交易!$A$2:$A$88=B145),单次交易!$AP$2:$AP$88),""))</f>
        <v/>
      </c>
      <c r="AA145" s="10"/>
      <c r="AB145" s="8" t="str">
        <f t="shared" si="17"/>
        <v/>
      </c>
      <c r="AC145" s="8" t="str">
        <f>IF(A145="","",IF(A145="止损计划",IF(OR(B145="",D145="",E145="",F145="",G145=""),"计划不完整",IF(OR(D145&lt;1,D145&lt;&gt;INT(D145)),"阶段序号无效",IF(COUNTIFS($A$2:$A$157,"止损计划",$B$2:$B$157,B145,$D$2:$D$157,D145)&gt;1,"阶段序号重复",IF(E145&lt;=IFERROR(LOOKUP(2,1/(单次交易!$A$2:$A$88=B145),单次交易!$E$2:$E$88),0),"激活价须高于买入价",IF(F145&lt;N145,"止损价不得低于初始止损",IF(F145&gt;E145,"止损价不得高于激活价",IF(AND(COUNTIFS($A$2:$A$157,"止损计划",$B$2:$B$157,B145,$D$2:$D$157,"&lt;"&amp;D145)&gt;0,OR(E145&lt;=SUMPRODUCT(MAX((($A$2:$A$157="止损计划")*($B$2:$B$157=B145)*($D$2:$D$157&lt;D145))*$E$2:$E$157)),F145&lt;SUMPRODUCT(MAX((($A$2:$A$157="止损计划")*($B$2:$B$157=B145)*($D$2:$D$157&lt;D145))*$F$2:$F$157)))),"阶段价格必须逐级提高","计划有效"))))))),IF(A145="每日跟踪",IF(OR(B145="",H145="",I145="",J145=""),"每日数据不完整",IF(COUNTIFS($A$2:$A$157,"每日跟踪",$B$2:$B$157,B145,$H$2:$H$157,H145)&gt;1,"同一交易日期重复",IF(AND(R145&lt;&gt;"",R145&lt;S145),"人工止损无效：不能下调","跟踪有效"))),"记录类型无效")))</f>
        <v/>
      </c>
    </row>
    <row r="146" spans="1:29" x14ac:dyDescent="0.15">
      <c r="A146" s="2"/>
      <c r="B146" s="2"/>
      <c r="C146" s="8" t="str">
        <f>IF(B146="","",IFERROR(LOOKUP(2,1/(单次交易!$A$2:$A$88=B146),单次交易!$B$2:$B$88),""))</f>
        <v/>
      </c>
      <c r="D146" s="12"/>
      <c r="E146" s="10"/>
      <c r="F146" s="10"/>
      <c r="G146" s="2"/>
      <c r="H146" s="13"/>
      <c r="I146" s="10"/>
      <c r="J146" s="12"/>
      <c r="K146" s="2"/>
      <c r="L146" s="2"/>
      <c r="M146" s="2"/>
      <c r="N146" s="5" t="str">
        <f>IF(B146="","",IFERROR(LOOKUP(2,1/(单次交易!$A$2:$A$88=B146),单次交易!$N$2:$N$88),""))</f>
        <v/>
      </c>
      <c r="O146" s="5" t="str">
        <f t="shared" si="18"/>
        <v/>
      </c>
      <c r="P146" s="11" t="str">
        <f t="shared" si="19"/>
        <v/>
      </c>
      <c r="Q146" s="5" t="str">
        <f t="shared" si="20"/>
        <v/>
      </c>
      <c r="R146" s="10"/>
      <c r="S146" s="5" t="str">
        <f t="shared" si="21"/>
        <v/>
      </c>
      <c r="T146" s="5" t="str">
        <f t="shared" si="22"/>
        <v/>
      </c>
      <c r="U146" s="5" t="str">
        <f t="shared" si="23"/>
        <v/>
      </c>
      <c r="V146" s="7" t="str">
        <f t="shared" si="15"/>
        <v/>
      </c>
      <c r="W146" s="8" t="str">
        <f t="shared" si="16"/>
        <v/>
      </c>
      <c r="X146" s="2"/>
      <c r="Y146" s="10"/>
      <c r="Z146" s="11" t="str">
        <f>IF(X146&lt;&gt;"执行卖出","",IFERROR(LOOKUP(2,1/(单次交易!$A$2:$A$88=B146),单次交易!$AP$2:$AP$88),""))</f>
        <v/>
      </c>
      <c r="AA146" s="10"/>
      <c r="AB146" s="8" t="str">
        <f t="shared" si="17"/>
        <v/>
      </c>
      <c r="AC146" s="8" t="str">
        <f>IF(A146="","",IF(A146="止损计划",IF(OR(B146="",D146="",E146="",F146="",G146=""),"计划不完整",IF(OR(D146&lt;1,D146&lt;&gt;INT(D146)),"阶段序号无效",IF(COUNTIFS($A$2:$A$157,"止损计划",$B$2:$B$157,B146,$D$2:$D$157,D146)&gt;1,"阶段序号重复",IF(E146&lt;=IFERROR(LOOKUP(2,1/(单次交易!$A$2:$A$88=B146),单次交易!$E$2:$E$88),0),"激活价须高于买入价",IF(F146&lt;N146,"止损价不得低于初始止损",IF(F146&gt;E146,"止损价不得高于激活价",IF(AND(COUNTIFS($A$2:$A$157,"止损计划",$B$2:$B$157,B146,$D$2:$D$157,"&lt;"&amp;D146)&gt;0,OR(E146&lt;=SUMPRODUCT(MAX((($A$2:$A$157="止损计划")*($B$2:$B$157=B146)*($D$2:$D$157&lt;D146))*$E$2:$E$157)),F146&lt;SUMPRODUCT(MAX((($A$2:$A$157="止损计划")*($B$2:$B$157=B146)*($D$2:$D$157&lt;D146))*$F$2:$F$157)))),"阶段价格必须逐级提高","计划有效"))))))),IF(A146="每日跟踪",IF(OR(B146="",H146="",I146="",J146=""),"每日数据不完整",IF(COUNTIFS($A$2:$A$157,"每日跟踪",$B$2:$B$157,B146,$H$2:$H$157,H146)&gt;1,"同一交易日期重复",IF(AND(R146&lt;&gt;"",R146&lt;S146),"人工止损无效：不能下调","跟踪有效"))),"记录类型无效")))</f>
        <v/>
      </c>
    </row>
    <row r="147" spans="1:29" x14ac:dyDescent="0.15">
      <c r="A147" s="2"/>
      <c r="B147" s="2"/>
      <c r="C147" s="8" t="str">
        <f>IF(B147="","",IFERROR(LOOKUP(2,1/(单次交易!$A$2:$A$88=B147),单次交易!$B$2:$B$88),""))</f>
        <v/>
      </c>
      <c r="D147" s="12"/>
      <c r="E147" s="10"/>
      <c r="F147" s="10"/>
      <c r="G147" s="2"/>
      <c r="H147" s="13"/>
      <c r="I147" s="10"/>
      <c r="J147" s="12"/>
      <c r="K147" s="2"/>
      <c r="L147" s="2"/>
      <c r="M147" s="2"/>
      <c r="N147" s="5" t="str">
        <f>IF(B147="","",IFERROR(LOOKUP(2,1/(单次交易!$A$2:$A$88=B147),单次交易!$N$2:$N$88),""))</f>
        <v/>
      </c>
      <c r="O147" s="5" t="str">
        <f t="shared" si="18"/>
        <v/>
      </c>
      <c r="P147" s="11" t="str">
        <f t="shared" si="19"/>
        <v/>
      </c>
      <c r="Q147" s="5" t="str">
        <f t="shared" si="20"/>
        <v/>
      </c>
      <c r="R147" s="10"/>
      <c r="S147" s="5" t="str">
        <f t="shared" si="21"/>
        <v/>
      </c>
      <c r="T147" s="5" t="str">
        <f t="shared" si="22"/>
        <v/>
      </c>
      <c r="U147" s="5" t="str">
        <f t="shared" si="23"/>
        <v/>
      </c>
      <c r="V147" s="7" t="str">
        <f t="shared" si="15"/>
        <v/>
      </c>
      <c r="W147" s="8" t="str">
        <f t="shared" si="16"/>
        <v/>
      </c>
      <c r="X147" s="2"/>
      <c r="Y147" s="10"/>
      <c r="Z147" s="11" t="str">
        <f>IF(X147&lt;&gt;"执行卖出","",IFERROR(LOOKUP(2,1/(单次交易!$A$2:$A$88=B147),单次交易!$AP$2:$AP$88),""))</f>
        <v/>
      </c>
      <c r="AA147" s="10"/>
      <c r="AB147" s="8" t="str">
        <f t="shared" si="17"/>
        <v/>
      </c>
      <c r="AC147" s="8" t="str">
        <f>IF(A147="","",IF(A147="止损计划",IF(OR(B147="",D147="",E147="",F147="",G147=""),"计划不完整",IF(OR(D147&lt;1,D147&lt;&gt;INT(D147)),"阶段序号无效",IF(COUNTIFS($A$2:$A$157,"止损计划",$B$2:$B$157,B147,$D$2:$D$157,D147)&gt;1,"阶段序号重复",IF(E147&lt;=IFERROR(LOOKUP(2,1/(单次交易!$A$2:$A$88=B147),单次交易!$E$2:$E$88),0),"激活价须高于买入价",IF(F147&lt;N147,"止损价不得低于初始止损",IF(F147&gt;E147,"止损价不得高于激活价",IF(AND(COUNTIFS($A$2:$A$157,"止损计划",$B$2:$B$157,B147,$D$2:$D$157,"&lt;"&amp;D147)&gt;0,OR(E147&lt;=SUMPRODUCT(MAX((($A$2:$A$157="止损计划")*($B$2:$B$157=B147)*($D$2:$D$157&lt;D147))*$E$2:$E$157)),F147&lt;SUMPRODUCT(MAX((($A$2:$A$157="止损计划")*($B$2:$B$157=B147)*($D$2:$D$157&lt;D147))*$F$2:$F$157)))),"阶段价格必须逐级提高","计划有效"))))))),IF(A147="每日跟踪",IF(OR(B147="",H147="",I147="",J147=""),"每日数据不完整",IF(COUNTIFS($A$2:$A$157,"每日跟踪",$B$2:$B$157,B147,$H$2:$H$157,H147)&gt;1,"同一交易日期重复",IF(AND(R147&lt;&gt;"",R147&lt;S147),"人工止损无效：不能下调","跟踪有效"))),"记录类型无效")))</f>
        <v/>
      </c>
    </row>
    <row r="148" spans="1:29" x14ac:dyDescent="0.15">
      <c r="A148" s="2"/>
      <c r="B148" s="2"/>
      <c r="C148" s="8" t="str">
        <f>IF(B148="","",IFERROR(LOOKUP(2,1/(单次交易!$A$2:$A$88=B148),单次交易!$B$2:$B$88),""))</f>
        <v/>
      </c>
      <c r="D148" s="12"/>
      <c r="E148" s="10"/>
      <c r="F148" s="10"/>
      <c r="G148" s="2"/>
      <c r="H148" s="13"/>
      <c r="I148" s="10"/>
      <c r="J148" s="12"/>
      <c r="K148" s="2"/>
      <c r="L148" s="2"/>
      <c r="M148" s="2"/>
      <c r="N148" s="5" t="str">
        <f>IF(B148="","",IFERROR(LOOKUP(2,1/(单次交易!$A$2:$A$88=B148),单次交易!$N$2:$N$88),""))</f>
        <v/>
      </c>
      <c r="O148" s="5" t="str">
        <f t="shared" si="18"/>
        <v/>
      </c>
      <c r="P148" s="11" t="str">
        <f t="shared" si="19"/>
        <v/>
      </c>
      <c r="Q148" s="5" t="str">
        <f t="shared" si="20"/>
        <v/>
      </c>
      <c r="R148" s="10"/>
      <c r="S148" s="5" t="str">
        <f t="shared" si="21"/>
        <v/>
      </c>
      <c r="T148" s="5" t="str">
        <f t="shared" si="22"/>
        <v/>
      </c>
      <c r="U148" s="5" t="str">
        <f t="shared" si="23"/>
        <v/>
      </c>
      <c r="V148" s="7" t="str">
        <f t="shared" si="15"/>
        <v/>
      </c>
      <c r="W148" s="8" t="str">
        <f t="shared" si="16"/>
        <v/>
      </c>
      <c r="X148" s="2"/>
      <c r="Y148" s="10"/>
      <c r="Z148" s="11" t="str">
        <f>IF(X148&lt;&gt;"执行卖出","",IFERROR(LOOKUP(2,1/(单次交易!$A$2:$A$88=B148),单次交易!$AP$2:$AP$88),""))</f>
        <v/>
      </c>
      <c r="AA148" s="10"/>
      <c r="AB148" s="8" t="str">
        <f t="shared" si="17"/>
        <v/>
      </c>
      <c r="AC148" s="8" t="str">
        <f>IF(A148="","",IF(A148="止损计划",IF(OR(B148="",D148="",E148="",F148="",G148=""),"计划不完整",IF(OR(D148&lt;1,D148&lt;&gt;INT(D148)),"阶段序号无效",IF(COUNTIFS($A$2:$A$157,"止损计划",$B$2:$B$157,B148,$D$2:$D$157,D148)&gt;1,"阶段序号重复",IF(E148&lt;=IFERROR(LOOKUP(2,1/(单次交易!$A$2:$A$88=B148),单次交易!$E$2:$E$88),0),"激活价须高于买入价",IF(F148&lt;N148,"止损价不得低于初始止损",IF(F148&gt;E148,"止损价不得高于激活价",IF(AND(COUNTIFS($A$2:$A$157,"止损计划",$B$2:$B$157,B148,$D$2:$D$157,"&lt;"&amp;D148)&gt;0,OR(E148&lt;=SUMPRODUCT(MAX((($A$2:$A$157="止损计划")*($B$2:$B$157=B148)*($D$2:$D$157&lt;D148))*$E$2:$E$157)),F148&lt;SUMPRODUCT(MAX((($A$2:$A$157="止损计划")*($B$2:$B$157=B148)*($D$2:$D$157&lt;D148))*$F$2:$F$157)))),"阶段价格必须逐级提高","计划有效"))))))),IF(A148="每日跟踪",IF(OR(B148="",H148="",I148="",J148=""),"每日数据不完整",IF(COUNTIFS($A$2:$A$157,"每日跟踪",$B$2:$B$157,B148,$H$2:$H$157,H148)&gt;1,"同一交易日期重复",IF(AND(R148&lt;&gt;"",R148&lt;S148),"人工止损无效：不能下调","跟踪有效"))),"记录类型无效")))</f>
        <v/>
      </c>
    </row>
    <row r="149" spans="1:29" x14ac:dyDescent="0.15">
      <c r="A149" s="2"/>
      <c r="B149" s="2"/>
      <c r="C149" s="8" t="str">
        <f>IF(B149="","",IFERROR(LOOKUP(2,1/(单次交易!$A$2:$A$88=B149),单次交易!$B$2:$B$88),""))</f>
        <v/>
      </c>
      <c r="D149" s="12"/>
      <c r="E149" s="10"/>
      <c r="F149" s="10"/>
      <c r="G149" s="2"/>
      <c r="H149" s="13"/>
      <c r="I149" s="10"/>
      <c r="J149" s="12"/>
      <c r="K149" s="2"/>
      <c r="L149" s="2"/>
      <c r="M149" s="2"/>
      <c r="N149" s="5" t="str">
        <f>IF(B149="","",IFERROR(LOOKUP(2,1/(单次交易!$A$2:$A$88=B149),单次交易!$N$2:$N$88),""))</f>
        <v/>
      </c>
      <c r="O149" s="5" t="str">
        <f t="shared" si="18"/>
        <v/>
      </c>
      <c r="P149" s="11" t="str">
        <f t="shared" si="19"/>
        <v/>
      </c>
      <c r="Q149" s="5" t="str">
        <f t="shared" si="20"/>
        <v/>
      </c>
      <c r="R149" s="10"/>
      <c r="S149" s="5" t="str">
        <f t="shared" si="21"/>
        <v/>
      </c>
      <c r="T149" s="5" t="str">
        <f t="shared" si="22"/>
        <v/>
      </c>
      <c r="U149" s="5" t="str">
        <f t="shared" si="23"/>
        <v/>
      </c>
      <c r="V149" s="7" t="str">
        <f t="shared" si="15"/>
        <v/>
      </c>
      <c r="W149" s="8" t="str">
        <f t="shared" si="16"/>
        <v/>
      </c>
      <c r="X149" s="2"/>
      <c r="Y149" s="10"/>
      <c r="Z149" s="11" t="str">
        <f>IF(X149&lt;&gt;"执行卖出","",IFERROR(LOOKUP(2,1/(单次交易!$A$2:$A$88=B149),单次交易!$AP$2:$AP$88),""))</f>
        <v/>
      </c>
      <c r="AA149" s="10"/>
      <c r="AB149" s="8" t="str">
        <f t="shared" si="17"/>
        <v/>
      </c>
      <c r="AC149" s="8" t="str">
        <f>IF(A149="","",IF(A149="止损计划",IF(OR(B149="",D149="",E149="",F149="",G149=""),"计划不完整",IF(OR(D149&lt;1,D149&lt;&gt;INT(D149)),"阶段序号无效",IF(COUNTIFS($A$2:$A$157,"止损计划",$B$2:$B$157,B149,$D$2:$D$157,D149)&gt;1,"阶段序号重复",IF(E149&lt;=IFERROR(LOOKUP(2,1/(单次交易!$A$2:$A$88=B149),单次交易!$E$2:$E$88),0),"激活价须高于买入价",IF(F149&lt;N149,"止损价不得低于初始止损",IF(F149&gt;E149,"止损价不得高于激活价",IF(AND(COUNTIFS($A$2:$A$157,"止损计划",$B$2:$B$157,B149,$D$2:$D$157,"&lt;"&amp;D149)&gt;0,OR(E149&lt;=SUMPRODUCT(MAX((($A$2:$A$157="止损计划")*($B$2:$B$157=B149)*($D$2:$D$157&lt;D149))*$E$2:$E$157)),F149&lt;SUMPRODUCT(MAX((($A$2:$A$157="止损计划")*($B$2:$B$157=B149)*($D$2:$D$157&lt;D149))*$F$2:$F$157)))),"阶段价格必须逐级提高","计划有效"))))))),IF(A149="每日跟踪",IF(OR(B149="",H149="",I149="",J149=""),"每日数据不完整",IF(COUNTIFS($A$2:$A$157,"每日跟踪",$B$2:$B$157,B149,$H$2:$H$157,H149)&gt;1,"同一交易日期重复",IF(AND(R149&lt;&gt;"",R149&lt;S149),"人工止损无效：不能下调","跟踪有效"))),"记录类型无效")))</f>
        <v/>
      </c>
    </row>
    <row r="150" spans="1:29" x14ac:dyDescent="0.15">
      <c r="A150" s="2"/>
      <c r="B150" s="2"/>
      <c r="C150" s="8" t="str">
        <f>IF(B150="","",IFERROR(LOOKUP(2,1/(单次交易!$A$2:$A$88=B150),单次交易!$B$2:$B$88),""))</f>
        <v/>
      </c>
      <c r="D150" s="12"/>
      <c r="E150" s="10"/>
      <c r="F150" s="10"/>
      <c r="G150" s="2"/>
      <c r="H150" s="13"/>
      <c r="I150" s="10"/>
      <c r="J150" s="12"/>
      <c r="K150" s="2"/>
      <c r="L150" s="2"/>
      <c r="M150" s="2"/>
      <c r="N150" s="5" t="str">
        <f>IF(B150="","",IFERROR(LOOKUP(2,1/(单次交易!$A$2:$A$88=B150),单次交易!$N$2:$N$88),""))</f>
        <v/>
      </c>
      <c r="O150" s="5" t="str">
        <f t="shared" si="18"/>
        <v/>
      </c>
      <c r="P150" s="11" t="str">
        <f t="shared" si="19"/>
        <v/>
      </c>
      <c r="Q150" s="5" t="str">
        <f t="shared" si="20"/>
        <v/>
      </c>
      <c r="R150" s="10"/>
      <c r="S150" s="5" t="str">
        <f t="shared" si="21"/>
        <v/>
      </c>
      <c r="T150" s="5" t="str">
        <f t="shared" si="22"/>
        <v/>
      </c>
      <c r="U150" s="5" t="str">
        <f t="shared" si="23"/>
        <v/>
      </c>
      <c r="V150" s="7" t="str">
        <f t="shared" si="15"/>
        <v/>
      </c>
      <c r="W150" s="8" t="str">
        <f t="shared" si="16"/>
        <v/>
      </c>
      <c r="X150" s="2"/>
      <c r="Y150" s="10"/>
      <c r="Z150" s="11" t="str">
        <f>IF(X150&lt;&gt;"执行卖出","",IFERROR(LOOKUP(2,1/(单次交易!$A$2:$A$88=B150),单次交易!$AP$2:$AP$88),""))</f>
        <v/>
      </c>
      <c r="AA150" s="10"/>
      <c r="AB150" s="8" t="str">
        <f t="shared" si="17"/>
        <v/>
      </c>
      <c r="AC150" s="8" t="str">
        <f>IF(A150="","",IF(A150="止损计划",IF(OR(B150="",D150="",E150="",F150="",G150=""),"计划不完整",IF(OR(D150&lt;1,D150&lt;&gt;INT(D150)),"阶段序号无效",IF(COUNTIFS($A$2:$A$157,"止损计划",$B$2:$B$157,B150,$D$2:$D$157,D150)&gt;1,"阶段序号重复",IF(E150&lt;=IFERROR(LOOKUP(2,1/(单次交易!$A$2:$A$88=B150),单次交易!$E$2:$E$88),0),"激活价须高于买入价",IF(F150&lt;N150,"止损价不得低于初始止损",IF(F150&gt;E150,"止损价不得高于激活价",IF(AND(COUNTIFS($A$2:$A$157,"止损计划",$B$2:$B$157,B150,$D$2:$D$157,"&lt;"&amp;D150)&gt;0,OR(E150&lt;=SUMPRODUCT(MAX((($A$2:$A$157="止损计划")*($B$2:$B$157=B150)*($D$2:$D$157&lt;D150))*$E$2:$E$157)),F150&lt;SUMPRODUCT(MAX((($A$2:$A$157="止损计划")*($B$2:$B$157=B150)*($D$2:$D$157&lt;D150))*$F$2:$F$157)))),"阶段价格必须逐级提高","计划有效"))))))),IF(A150="每日跟踪",IF(OR(B150="",H150="",I150="",J150=""),"每日数据不完整",IF(COUNTIFS($A$2:$A$157,"每日跟踪",$B$2:$B$157,B150,$H$2:$H$157,H150)&gt;1,"同一交易日期重复",IF(AND(R150&lt;&gt;"",R150&lt;S150),"人工止损无效：不能下调","跟踪有效"))),"记录类型无效")))</f>
        <v/>
      </c>
    </row>
    <row r="151" spans="1:29" x14ac:dyDescent="0.15">
      <c r="A151" s="2"/>
      <c r="B151" s="2"/>
      <c r="C151" s="8" t="str">
        <f>IF(B151="","",IFERROR(LOOKUP(2,1/(单次交易!$A$2:$A$88=B151),单次交易!$B$2:$B$88),""))</f>
        <v/>
      </c>
      <c r="D151" s="12"/>
      <c r="E151" s="10"/>
      <c r="F151" s="10"/>
      <c r="G151" s="2"/>
      <c r="H151" s="13"/>
      <c r="I151" s="10"/>
      <c r="J151" s="12"/>
      <c r="K151" s="2"/>
      <c r="L151" s="2"/>
      <c r="M151" s="2"/>
      <c r="N151" s="5" t="str">
        <f>IF(B151="","",IFERROR(LOOKUP(2,1/(单次交易!$A$2:$A$88=B151),单次交易!$N$2:$N$88),""))</f>
        <v/>
      </c>
      <c r="O151" s="5" t="str">
        <f t="shared" si="18"/>
        <v/>
      </c>
      <c r="P151" s="11" t="str">
        <f t="shared" si="19"/>
        <v/>
      </c>
      <c r="Q151" s="5" t="str">
        <f t="shared" si="20"/>
        <v/>
      </c>
      <c r="R151" s="10"/>
      <c r="S151" s="5" t="str">
        <f t="shared" si="21"/>
        <v/>
      </c>
      <c r="T151" s="5" t="str">
        <f t="shared" si="22"/>
        <v/>
      </c>
      <c r="U151" s="5" t="str">
        <f t="shared" si="23"/>
        <v/>
      </c>
      <c r="V151" s="7" t="str">
        <f t="shared" si="15"/>
        <v/>
      </c>
      <c r="W151" s="8" t="str">
        <f t="shared" si="16"/>
        <v/>
      </c>
      <c r="X151" s="2"/>
      <c r="Y151" s="10"/>
      <c r="Z151" s="11" t="str">
        <f>IF(X151&lt;&gt;"执行卖出","",IFERROR(LOOKUP(2,1/(单次交易!$A$2:$A$88=B151),单次交易!$AP$2:$AP$88),""))</f>
        <v/>
      </c>
      <c r="AA151" s="10"/>
      <c r="AB151" s="8" t="str">
        <f t="shared" si="17"/>
        <v/>
      </c>
      <c r="AC151" s="8" t="str">
        <f>IF(A151="","",IF(A151="止损计划",IF(OR(B151="",D151="",E151="",F151="",G151=""),"计划不完整",IF(OR(D151&lt;1,D151&lt;&gt;INT(D151)),"阶段序号无效",IF(COUNTIFS($A$2:$A$157,"止损计划",$B$2:$B$157,B151,$D$2:$D$157,D151)&gt;1,"阶段序号重复",IF(E151&lt;=IFERROR(LOOKUP(2,1/(单次交易!$A$2:$A$88=B151),单次交易!$E$2:$E$88),0),"激活价须高于买入价",IF(F151&lt;N151,"止损价不得低于初始止损",IF(F151&gt;E151,"止损价不得高于激活价",IF(AND(COUNTIFS($A$2:$A$157,"止损计划",$B$2:$B$157,B151,$D$2:$D$157,"&lt;"&amp;D151)&gt;0,OR(E151&lt;=SUMPRODUCT(MAX((($A$2:$A$157="止损计划")*($B$2:$B$157=B151)*($D$2:$D$157&lt;D151))*$E$2:$E$157)),F151&lt;SUMPRODUCT(MAX((($A$2:$A$157="止损计划")*($B$2:$B$157=B151)*($D$2:$D$157&lt;D151))*$F$2:$F$157)))),"阶段价格必须逐级提高","计划有效"))))))),IF(A151="每日跟踪",IF(OR(B151="",H151="",I151="",J151=""),"每日数据不完整",IF(COUNTIFS($A$2:$A$157,"每日跟踪",$B$2:$B$157,B151,$H$2:$H$157,H151)&gt;1,"同一交易日期重复",IF(AND(R151&lt;&gt;"",R151&lt;S151),"人工止损无效：不能下调","跟踪有效"))),"记录类型无效")))</f>
        <v/>
      </c>
    </row>
    <row r="152" spans="1:29" x14ac:dyDescent="0.15">
      <c r="A152" s="2"/>
      <c r="B152" s="2"/>
      <c r="C152" s="8" t="str">
        <f>IF(B152="","",IFERROR(LOOKUP(2,1/(单次交易!$A$2:$A$88=B152),单次交易!$B$2:$B$88),""))</f>
        <v/>
      </c>
      <c r="D152" s="12"/>
      <c r="E152" s="10"/>
      <c r="F152" s="10"/>
      <c r="G152" s="2"/>
      <c r="H152" s="13"/>
      <c r="I152" s="10"/>
      <c r="J152" s="12"/>
      <c r="K152" s="2"/>
      <c r="L152" s="2"/>
      <c r="M152" s="2"/>
      <c r="N152" s="5" t="str">
        <f>IF(B152="","",IFERROR(LOOKUP(2,1/(单次交易!$A$2:$A$88=B152),单次交易!$N$2:$N$88),""))</f>
        <v/>
      </c>
      <c r="O152" s="5" t="str">
        <f t="shared" si="18"/>
        <v/>
      </c>
      <c r="P152" s="11" t="str">
        <f t="shared" si="19"/>
        <v/>
      </c>
      <c r="Q152" s="5" t="str">
        <f t="shared" si="20"/>
        <v/>
      </c>
      <c r="R152" s="10"/>
      <c r="S152" s="5" t="str">
        <f t="shared" si="21"/>
        <v/>
      </c>
      <c r="T152" s="5" t="str">
        <f t="shared" si="22"/>
        <v/>
      </c>
      <c r="U152" s="5" t="str">
        <f t="shared" si="23"/>
        <v/>
      </c>
      <c r="V152" s="7" t="str">
        <f t="shared" si="15"/>
        <v/>
      </c>
      <c r="W152" s="8" t="str">
        <f t="shared" si="16"/>
        <v/>
      </c>
      <c r="X152" s="2"/>
      <c r="Y152" s="10"/>
      <c r="Z152" s="11" t="str">
        <f>IF(X152&lt;&gt;"执行卖出","",IFERROR(LOOKUP(2,1/(单次交易!$A$2:$A$88=B152),单次交易!$AP$2:$AP$88),""))</f>
        <v/>
      </c>
      <c r="AA152" s="10"/>
      <c r="AB152" s="8" t="str">
        <f t="shared" si="17"/>
        <v/>
      </c>
      <c r="AC152" s="8" t="str">
        <f>IF(A152="","",IF(A152="止损计划",IF(OR(B152="",D152="",E152="",F152="",G152=""),"计划不完整",IF(OR(D152&lt;1,D152&lt;&gt;INT(D152)),"阶段序号无效",IF(COUNTIFS($A$2:$A$157,"止损计划",$B$2:$B$157,B152,$D$2:$D$157,D152)&gt;1,"阶段序号重复",IF(E152&lt;=IFERROR(LOOKUP(2,1/(单次交易!$A$2:$A$88=B152),单次交易!$E$2:$E$88),0),"激活价须高于买入价",IF(F152&lt;N152,"止损价不得低于初始止损",IF(F152&gt;E152,"止损价不得高于激活价",IF(AND(COUNTIFS($A$2:$A$157,"止损计划",$B$2:$B$157,B152,$D$2:$D$157,"&lt;"&amp;D152)&gt;0,OR(E152&lt;=SUMPRODUCT(MAX((($A$2:$A$157="止损计划")*($B$2:$B$157=B152)*($D$2:$D$157&lt;D152))*$E$2:$E$157)),F152&lt;SUMPRODUCT(MAX((($A$2:$A$157="止损计划")*($B$2:$B$157=B152)*($D$2:$D$157&lt;D152))*$F$2:$F$157)))),"阶段价格必须逐级提高","计划有效"))))))),IF(A152="每日跟踪",IF(OR(B152="",H152="",I152="",J152=""),"每日数据不完整",IF(COUNTIFS($A$2:$A$157,"每日跟踪",$B$2:$B$157,B152,$H$2:$H$157,H152)&gt;1,"同一交易日期重复",IF(AND(R152&lt;&gt;"",R152&lt;S152),"人工止损无效：不能下调","跟踪有效"))),"记录类型无效")))</f>
        <v/>
      </c>
    </row>
    <row r="153" spans="1:29" x14ac:dyDescent="0.15">
      <c r="A153" s="2"/>
      <c r="B153" s="2"/>
      <c r="C153" s="8" t="str">
        <f>IF(B153="","",IFERROR(LOOKUP(2,1/(单次交易!$A$2:$A$88=B153),单次交易!$B$2:$B$88),""))</f>
        <v/>
      </c>
      <c r="D153" s="12"/>
      <c r="E153" s="10"/>
      <c r="F153" s="10"/>
      <c r="G153" s="2"/>
      <c r="H153" s="13"/>
      <c r="I153" s="10"/>
      <c r="J153" s="12"/>
      <c r="K153" s="2"/>
      <c r="L153" s="2"/>
      <c r="M153" s="2"/>
      <c r="N153" s="5" t="str">
        <f>IF(B153="","",IFERROR(LOOKUP(2,1/(单次交易!$A$2:$A$88=B153),单次交易!$N$2:$N$88),""))</f>
        <v/>
      </c>
      <c r="O153" s="5" t="str">
        <f t="shared" si="18"/>
        <v/>
      </c>
      <c r="P153" s="11" t="str">
        <f t="shared" si="19"/>
        <v/>
      </c>
      <c r="Q153" s="5" t="str">
        <f t="shared" si="20"/>
        <v/>
      </c>
      <c r="R153" s="10"/>
      <c r="S153" s="5" t="str">
        <f t="shared" si="21"/>
        <v/>
      </c>
      <c r="T153" s="5" t="str">
        <f t="shared" si="22"/>
        <v/>
      </c>
      <c r="U153" s="5" t="str">
        <f t="shared" si="23"/>
        <v/>
      </c>
      <c r="V153" s="7" t="str">
        <f t="shared" si="15"/>
        <v/>
      </c>
      <c r="W153" s="8" t="str">
        <f t="shared" si="16"/>
        <v/>
      </c>
      <c r="X153" s="2"/>
      <c r="Y153" s="10"/>
      <c r="Z153" s="11" t="str">
        <f>IF(X153&lt;&gt;"执行卖出","",IFERROR(LOOKUP(2,1/(单次交易!$A$2:$A$88=B153),单次交易!$AP$2:$AP$88),""))</f>
        <v/>
      </c>
      <c r="AA153" s="10"/>
      <c r="AB153" s="8" t="str">
        <f t="shared" si="17"/>
        <v/>
      </c>
      <c r="AC153" s="8" t="str">
        <f>IF(A153="","",IF(A153="止损计划",IF(OR(B153="",D153="",E153="",F153="",G153=""),"计划不完整",IF(OR(D153&lt;1,D153&lt;&gt;INT(D153)),"阶段序号无效",IF(COUNTIFS($A$2:$A$157,"止损计划",$B$2:$B$157,B153,$D$2:$D$157,D153)&gt;1,"阶段序号重复",IF(E153&lt;=IFERROR(LOOKUP(2,1/(单次交易!$A$2:$A$88=B153),单次交易!$E$2:$E$88),0),"激活价须高于买入价",IF(F153&lt;N153,"止损价不得低于初始止损",IF(F153&gt;E153,"止损价不得高于激活价",IF(AND(COUNTIFS($A$2:$A$157,"止损计划",$B$2:$B$157,B153,$D$2:$D$157,"&lt;"&amp;D153)&gt;0,OR(E153&lt;=SUMPRODUCT(MAX((($A$2:$A$157="止损计划")*($B$2:$B$157=B153)*($D$2:$D$157&lt;D153))*$E$2:$E$157)),F153&lt;SUMPRODUCT(MAX((($A$2:$A$157="止损计划")*($B$2:$B$157=B153)*($D$2:$D$157&lt;D153))*$F$2:$F$157)))),"阶段价格必须逐级提高","计划有效"))))))),IF(A153="每日跟踪",IF(OR(B153="",H153="",I153="",J153=""),"每日数据不完整",IF(COUNTIFS($A$2:$A$157,"每日跟踪",$B$2:$B$157,B153,$H$2:$H$157,H153)&gt;1,"同一交易日期重复",IF(AND(R153&lt;&gt;"",R153&lt;S153),"人工止损无效：不能下调","跟踪有效"))),"记录类型无效")))</f>
        <v/>
      </c>
    </row>
    <row r="154" spans="1:29" x14ac:dyDescent="0.15">
      <c r="A154" s="2"/>
      <c r="B154" s="2"/>
      <c r="C154" s="8" t="str">
        <f>IF(B154="","",IFERROR(LOOKUP(2,1/(单次交易!$A$2:$A$88=B154),单次交易!$B$2:$B$88),""))</f>
        <v/>
      </c>
      <c r="D154" s="12"/>
      <c r="E154" s="10"/>
      <c r="F154" s="10"/>
      <c r="G154" s="2"/>
      <c r="H154" s="13"/>
      <c r="I154" s="10"/>
      <c r="J154" s="12"/>
      <c r="K154" s="2"/>
      <c r="L154" s="2"/>
      <c r="M154" s="2"/>
      <c r="N154" s="5" t="str">
        <f>IF(B154="","",IFERROR(LOOKUP(2,1/(单次交易!$A$2:$A$88=B154),单次交易!$N$2:$N$88),""))</f>
        <v/>
      </c>
      <c r="O154" s="5" t="str">
        <f t="shared" si="18"/>
        <v/>
      </c>
      <c r="P154" s="11" t="str">
        <f t="shared" si="19"/>
        <v/>
      </c>
      <c r="Q154" s="5" t="str">
        <f t="shared" si="20"/>
        <v/>
      </c>
      <c r="R154" s="10"/>
      <c r="S154" s="5" t="str">
        <f t="shared" si="21"/>
        <v/>
      </c>
      <c r="T154" s="5" t="str">
        <f t="shared" si="22"/>
        <v/>
      </c>
      <c r="U154" s="5" t="str">
        <f t="shared" si="23"/>
        <v/>
      </c>
      <c r="V154" s="7" t="str">
        <f t="shared" si="15"/>
        <v/>
      </c>
      <c r="W154" s="8" t="str">
        <f t="shared" si="16"/>
        <v/>
      </c>
      <c r="X154" s="2"/>
      <c r="Y154" s="10"/>
      <c r="Z154" s="11" t="str">
        <f>IF(X154&lt;&gt;"执行卖出","",IFERROR(LOOKUP(2,1/(单次交易!$A$2:$A$88=B154),单次交易!$AP$2:$AP$88),""))</f>
        <v/>
      </c>
      <c r="AA154" s="10"/>
      <c r="AB154" s="8" t="str">
        <f t="shared" si="17"/>
        <v/>
      </c>
      <c r="AC154" s="8" t="str">
        <f>IF(A154="","",IF(A154="止损计划",IF(OR(B154="",D154="",E154="",F154="",G154=""),"计划不完整",IF(OR(D154&lt;1,D154&lt;&gt;INT(D154)),"阶段序号无效",IF(COUNTIFS($A$2:$A$157,"止损计划",$B$2:$B$157,B154,$D$2:$D$157,D154)&gt;1,"阶段序号重复",IF(E154&lt;=IFERROR(LOOKUP(2,1/(单次交易!$A$2:$A$88=B154),单次交易!$E$2:$E$88),0),"激活价须高于买入价",IF(F154&lt;N154,"止损价不得低于初始止损",IF(F154&gt;E154,"止损价不得高于激活价",IF(AND(COUNTIFS($A$2:$A$157,"止损计划",$B$2:$B$157,B154,$D$2:$D$157,"&lt;"&amp;D154)&gt;0,OR(E154&lt;=SUMPRODUCT(MAX((($A$2:$A$157="止损计划")*($B$2:$B$157=B154)*($D$2:$D$157&lt;D154))*$E$2:$E$157)),F154&lt;SUMPRODUCT(MAX((($A$2:$A$157="止损计划")*($B$2:$B$157=B154)*($D$2:$D$157&lt;D154))*$F$2:$F$157)))),"阶段价格必须逐级提高","计划有效"))))))),IF(A154="每日跟踪",IF(OR(B154="",H154="",I154="",J154=""),"每日数据不完整",IF(COUNTIFS($A$2:$A$157,"每日跟踪",$B$2:$B$157,B154,$H$2:$H$157,H154)&gt;1,"同一交易日期重复",IF(AND(R154&lt;&gt;"",R154&lt;S154),"人工止损无效：不能下调","跟踪有效"))),"记录类型无效")))</f>
        <v/>
      </c>
    </row>
    <row r="155" spans="1:29" x14ac:dyDescent="0.15">
      <c r="A155" s="2"/>
      <c r="B155" s="2"/>
      <c r="C155" s="8" t="str">
        <f>IF(B155="","",IFERROR(LOOKUP(2,1/(单次交易!$A$2:$A$88=B155),单次交易!$B$2:$B$88),""))</f>
        <v/>
      </c>
      <c r="D155" s="12"/>
      <c r="E155" s="10"/>
      <c r="F155" s="10"/>
      <c r="G155" s="2"/>
      <c r="H155" s="13"/>
      <c r="I155" s="10"/>
      <c r="J155" s="12"/>
      <c r="K155" s="2"/>
      <c r="L155" s="2"/>
      <c r="M155" s="2"/>
      <c r="N155" s="5" t="str">
        <f>IF(B155="","",IFERROR(LOOKUP(2,1/(单次交易!$A$2:$A$88=B155),单次交易!$N$2:$N$88),""))</f>
        <v/>
      </c>
      <c r="O155" s="5" t="str">
        <f t="shared" si="18"/>
        <v/>
      </c>
      <c r="P155" s="11" t="str">
        <f t="shared" si="19"/>
        <v/>
      </c>
      <c r="Q155" s="5" t="str">
        <f t="shared" si="20"/>
        <v/>
      </c>
      <c r="R155" s="10"/>
      <c r="S155" s="5" t="str">
        <f t="shared" si="21"/>
        <v/>
      </c>
      <c r="T155" s="5" t="str">
        <f t="shared" si="22"/>
        <v/>
      </c>
      <c r="U155" s="5" t="str">
        <f t="shared" si="23"/>
        <v/>
      </c>
      <c r="V155" s="7" t="str">
        <f t="shared" si="15"/>
        <v/>
      </c>
      <c r="W155" s="8" t="str">
        <f t="shared" si="16"/>
        <v/>
      </c>
      <c r="X155" s="2"/>
      <c r="Y155" s="10"/>
      <c r="Z155" s="11" t="str">
        <f>IF(X155&lt;&gt;"执行卖出","",IFERROR(LOOKUP(2,1/(单次交易!$A$2:$A$88=B155),单次交易!$AP$2:$AP$88),""))</f>
        <v/>
      </c>
      <c r="AA155" s="10"/>
      <c r="AB155" s="8" t="str">
        <f t="shared" si="17"/>
        <v/>
      </c>
      <c r="AC155" s="8" t="str">
        <f>IF(A155="","",IF(A155="止损计划",IF(OR(B155="",D155="",E155="",F155="",G155=""),"计划不完整",IF(OR(D155&lt;1,D155&lt;&gt;INT(D155)),"阶段序号无效",IF(COUNTIFS($A$2:$A$157,"止损计划",$B$2:$B$157,B155,$D$2:$D$157,D155)&gt;1,"阶段序号重复",IF(E155&lt;=IFERROR(LOOKUP(2,1/(单次交易!$A$2:$A$88=B155),单次交易!$E$2:$E$88),0),"激活价须高于买入价",IF(F155&lt;N155,"止损价不得低于初始止损",IF(F155&gt;E155,"止损价不得高于激活价",IF(AND(COUNTIFS($A$2:$A$157,"止损计划",$B$2:$B$157,B155,$D$2:$D$157,"&lt;"&amp;D155)&gt;0,OR(E155&lt;=SUMPRODUCT(MAX((($A$2:$A$157="止损计划")*($B$2:$B$157=B155)*($D$2:$D$157&lt;D155))*$E$2:$E$157)),F155&lt;SUMPRODUCT(MAX((($A$2:$A$157="止损计划")*($B$2:$B$157=B155)*($D$2:$D$157&lt;D155))*$F$2:$F$157)))),"阶段价格必须逐级提高","计划有效"))))))),IF(A155="每日跟踪",IF(OR(B155="",H155="",I155="",J155=""),"每日数据不完整",IF(COUNTIFS($A$2:$A$157,"每日跟踪",$B$2:$B$157,B155,$H$2:$H$157,H155)&gt;1,"同一交易日期重复",IF(AND(R155&lt;&gt;"",R155&lt;S155),"人工止损无效：不能下调","跟踪有效"))),"记录类型无效")))</f>
        <v/>
      </c>
    </row>
    <row r="156" spans="1:29" x14ac:dyDescent="0.15">
      <c r="A156" s="2"/>
      <c r="B156" s="2"/>
      <c r="C156" s="8" t="str">
        <f>IF(B156="","",IFERROR(LOOKUP(2,1/(单次交易!$A$2:$A$88=B156),单次交易!$B$2:$B$88),""))</f>
        <v/>
      </c>
      <c r="D156" s="12"/>
      <c r="E156" s="10"/>
      <c r="F156" s="10"/>
      <c r="G156" s="2"/>
      <c r="H156" s="13"/>
      <c r="I156" s="10"/>
      <c r="J156" s="12"/>
      <c r="K156" s="2"/>
      <c r="L156" s="2"/>
      <c r="M156" s="2"/>
      <c r="N156" s="5" t="str">
        <f>IF(B156="","",IFERROR(LOOKUP(2,1/(单次交易!$A$2:$A$88=B156),单次交易!$N$2:$N$88),""))</f>
        <v/>
      </c>
      <c r="O156" s="5" t="str">
        <f t="shared" si="18"/>
        <v/>
      </c>
      <c r="P156" s="11" t="str">
        <f t="shared" si="19"/>
        <v/>
      </c>
      <c r="Q156" s="5" t="str">
        <f t="shared" si="20"/>
        <v/>
      </c>
      <c r="R156" s="10"/>
      <c r="S156" s="5" t="str">
        <f t="shared" si="21"/>
        <v/>
      </c>
      <c r="T156" s="5" t="str">
        <f t="shared" si="22"/>
        <v/>
      </c>
      <c r="U156" s="5" t="str">
        <f t="shared" si="23"/>
        <v/>
      </c>
      <c r="V156" s="7" t="str">
        <f t="shared" si="15"/>
        <v/>
      </c>
      <c r="W156" s="8" t="str">
        <f t="shared" si="16"/>
        <v/>
      </c>
      <c r="X156" s="2"/>
      <c r="Y156" s="10"/>
      <c r="Z156" s="11" t="str">
        <f>IF(X156&lt;&gt;"执行卖出","",IFERROR(LOOKUP(2,1/(单次交易!$A$2:$A$88=B156),单次交易!$AP$2:$AP$88),""))</f>
        <v/>
      </c>
      <c r="AA156" s="10"/>
      <c r="AB156" s="8" t="str">
        <f t="shared" si="17"/>
        <v/>
      </c>
      <c r="AC156" s="8" t="str">
        <f>IF(A156="","",IF(A156="止损计划",IF(OR(B156="",D156="",E156="",F156="",G156=""),"计划不完整",IF(OR(D156&lt;1,D156&lt;&gt;INT(D156)),"阶段序号无效",IF(COUNTIFS($A$2:$A$157,"止损计划",$B$2:$B$157,B156,$D$2:$D$157,D156)&gt;1,"阶段序号重复",IF(E156&lt;=IFERROR(LOOKUP(2,1/(单次交易!$A$2:$A$88=B156),单次交易!$E$2:$E$88),0),"激活价须高于买入价",IF(F156&lt;N156,"止损价不得低于初始止损",IF(F156&gt;E156,"止损价不得高于激活价",IF(AND(COUNTIFS($A$2:$A$157,"止损计划",$B$2:$B$157,B156,$D$2:$D$157,"&lt;"&amp;D156)&gt;0,OR(E156&lt;=SUMPRODUCT(MAX((($A$2:$A$157="止损计划")*($B$2:$B$157=B156)*($D$2:$D$157&lt;D156))*$E$2:$E$157)),F156&lt;SUMPRODUCT(MAX((($A$2:$A$157="止损计划")*($B$2:$B$157=B156)*($D$2:$D$157&lt;D156))*$F$2:$F$157)))),"阶段价格必须逐级提高","计划有效"))))))),IF(A156="每日跟踪",IF(OR(B156="",H156="",I156="",J156=""),"每日数据不完整",IF(COUNTIFS($A$2:$A$157,"每日跟踪",$B$2:$B$157,B156,$H$2:$H$157,H156)&gt;1,"同一交易日期重复",IF(AND(R156&lt;&gt;"",R156&lt;S156),"人工止损无效：不能下调","跟踪有效"))),"记录类型无效")))</f>
        <v/>
      </c>
    </row>
    <row r="157" spans="1:29" x14ac:dyDescent="0.15">
      <c r="A157" s="2"/>
      <c r="B157" s="2"/>
      <c r="C157" s="8" t="str">
        <f>IF(B157="","",IFERROR(LOOKUP(2,1/(单次交易!$A$2:$A$88=B157),单次交易!$B$2:$B$88),""))</f>
        <v/>
      </c>
      <c r="D157" s="12"/>
      <c r="E157" s="10"/>
      <c r="F157" s="10"/>
      <c r="G157" s="2"/>
      <c r="H157" s="13"/>
      <c r="I157" s="10"/>
      <c r="J157" s="12"/>
      <c r="K157" s="2"/>
      <c r="L157" s="2"/>
      <c r="M157" s="2"/>
      <c r="N157" s="5" t="str">
        <f>IF(B157="","",IFERROR(LOOKUP(2,1/(单次交易!$A$2:$A$88=B157),单次交易!$N$2:$N$88),""))</f>
        <v/>
      </c>
      <c r="O157" s="5" t="str">
        <f t="shared" si="18"/>
        <v/>
      </c>
      <c r="P157" s="11" t="str">
        <f t="shared" si="19"/>
        <v/>
      </c>
      <c r="Q157" s="5" t="str">
        <f t="shared" si="20"/>
        <v/>
      </c>
      <c r="R157" s="10"/>
      <c r="S157" s="5" t="str">
        <f t="shared" si="21"/>
        <v/>
      </c>
      <c r="T157" s="5" t="str">
        <f t="shared" si="22"/>
        <v/>
      </c>
      <c r="U157" s="5" t="str">
        <f t="shared" si="23"/>
        <v/>
      </c>
      <c r="V157" s="7" t="str">
        <f t="shared" si="15"/>
        <v/>
      </c>
      <c r="W157" s="8" t="str">
        <f t="shared" si="16"/>
        <v/>
      </c>
      <c r="X157" s="2"/>
      <c r="Y157" s="10"/>
      <c r="Z157" s="11" t="str">
        <f>IF(X157&lt;&gt;"执行卖出","",IFERROR(LOOKUP(2,1/(单次交易!$A$2:$A$88=B157),单次交易!$AP$2:$AP$88),""))</f>
        <v/>
      </c>
      <c r="AA157" s="10"/>
      <c r="AB157" s="8" t="str">
        <f t="shared" si="17"/>
        <v/>
      </c>
      <c r="AC157" s="8" t="str">
        <f>IF(A157="","",IF(A157="止损计划",IF(OR(B157="",D157="",E157="",F157="",G157=""),"计划不完整",IF(OR(D157&lt;1,D157&lt;&gt;INT(D157)),"阶段序号无效",IF(COUNTIFS($A$2:$A$157,"止损计划",$B$2:$B$157,B157,$D$2:$D$157,D157)&gt;1,"阶段序号重复",IF(E157&lt;=IFERROR(LOOKUP(2,1/(单次交易!$A$2:$A$88=B157),单次交易!$E$2:$E$88),0),"激活价须高于买入价",IF(F157&lt;N157,"止损价不得低于初始止损",IF(F157&gt;E157,"止损价不得高于激活价",IF(AND(COUNTIFS($A$2:$A$157,"止损计划",$B$2:$B$157,B157,$D$2:$D$157,"&lt;"&amp;D157)&gt;0,OR(E157&lt;=SUMPRODUCT(MAX((($A$2:$A$157="止损计划")*($B$2:$B$157=B157)*($D$2:$D$157&lt;D157))*$E$2:$E$157)),F157&lt;SUMPRODUCT(MAX((($A$2:$A$157="止损计划")*($B$2:$B$157=B157)*($D$2:$D$157&lt;D157))*$F$2:$F$157)))),"阶段价格必须逐级提高","计划有效"))))))),IF(A157="每日跟踪",IF(OR(B157="",H157="",I157="",J157=""),"每日数据不完整",IF(COUNTIFS($A$2:$A$157,"每日跟踪",$B$2:$B$157,B157,$H$2:$H$157,H157)&gt;1,"同一交易日期重复",IF(AND(R157&lt;&gt;"",R157&lt;S157),"人工止损无效：不能下调","跟踪有效"))),"记录类型无效")))</f>
        <v/>
      </c>
    </row>
  </sheetData>
  <phoneticPr fontId="5" type="noConversion"/>
  <conditionalFormatting sqref="A89:B89 D89:AC89">
    <cfRule type="expression" dxfId="12" priority="18">
      <formula>$A89="止损计划"</formula>
    </cfRule>
  </conditionalFormatting>
  <conditionalFormatting sqref="A2:AC88">
    <cfRule type="expression" dxfId="11" priority="49">
      <formula>$A2="止损计划"</formula>
    </cfRule>
  </conditionalFormatting>
  <conditionalFormatting sqref="A90:AC157">
    <cfRule type="expression" dxfId="10" priority="4">
      <formula>$A90="止损计划"</formula>
    </cfRule>
  </conditionalFormatting>
  <conditionalFormatting sqref="C89">
    <cfRule type="expression" dxfId="9" priority="1">
      <formula>$A89="止损计划"</formula>
    </cfRule>
  </conditionalFormatting>
  <conditionalFormatting sqref="W2:W88">
    <cfRule type="expression" dxfId="8" priority="50">
      <formula>LEFT($W2,4)="触发止损"</formula>
    </cfRule>
  </conditionalFormatting>
  <conditionalFormatting sqref="W89:W157">
    <cfRule type="expression" dxfId="7" priority="19">
      <formula>LEFT($W89,4)="触发止损"</formula>
    </cfRule>
  </conditionalFormatting>
  <conditionalFormatting sqref="AB2:AC88">
    <cfRule type="expression" dxfId="6" priority="51">
      <formula>OR(LEFT($AB2,2)="违规",ISNUMBER(SEARCH("无效",$AC2)))</formula>
    </cfRule>
  </conditionalFormatting>
  <conditionalFormatting sqref="AB89:AC157">
    <cfRule type="expression" dxfId="5" priority="34">
      <formula>OR(LEFT($AB89,2)="违规",ISNUMBER(SEARCH("无效",$AC89)))</formula>
    </cfRule>
  </conditionalFormatting>
  <dataValidations count="8">
    <dataValidation type="list" allowBlank="1" sqref="A2:A157" xr:uid="{00000000-0002-0000-0100-000000000000}">
      <formula1>"止损计划,每日跟踪"</formula1>
    </dataValidation>
    <dataValidation type="list" allowBlank="1" sqref="B2:B157" xr:uid="{00000000-0002-0000-0100-000001000000}">
      <formula1>_TradeIds</formula1>
    </dataValidation>
    <dataValidation type="whole" operator="greaterThanOrEqual" allowBlank="1" sqref="D2:D157" xr:uid="{00000000-0002-0000-0100-000002000000}">
      <formula1>1</formula1>
    </dataValidation>
    <dataValidation type="date" allowBlank="1" sqref="H2:H157" xr:uid="{00000000-0002-0000-0100-000003000000}">
      <formula1>DATE(2000,1,1)</formula1>
      <formula2>DATE(2100,12,31)</formula2>
    </dataValidation>
    <dataValidation type="list" allowBlank="1" sqref="L2:L157" xr:uid="{00000000-0002-0000-0100-000004000000}">
      <formula1>"吸筹,启动,趋势上行,加速上涨,高位分歧,回调确认,破位,其他"</formula1>
    </dataValidation>
    <dataValidation type="decimal" operator="greaterThan" allowBlank="1" sqref="R2:R157 Y2:Y157 E2:F157 I2:J157" xr:uid="{00000000-0002-0000-0100-000005000000}">
      <formula1>0</formula1>
    </dataValidation>
    <dataValidation type="list" allowBlank="1" sqref="X2:X157" xr:uid="{00000000-0002-0000-0100-000006000000}">
      <formula1>"继续持有,执行卖出"</formula1>
    </dataValidation>
    <dataValidation type="decimal" operator="greaterThanOrEqual" allowBlank="1" sqref="AA2:AA157" xr:uid="{00000000-0002-0000-0100-000007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99"/>
  <sheetViews>
    <sheetView tabSelected="1" workbookViewId="0">
      <pane ySplit="1" topLeftCell="A91" activePane="bottomLeft" state="frozen"/>
      <selection pane="bottomLeft" activeCell="A2" sqref="A2:XFD100"/>
    </sheetView>
  </sheetViews>
  <sheetFormatPr defaultColWidth="9" defaultRowHeight="13.5" x14ac:dyDescent="0.15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spans="1:12" ht="42" customHeight="1" x14ac:dyDescent="0.15">
      <c r="A1" s="1" t="s">
        <v>0</v>
      </c>
      <c r="B1" s="1" t="s">
        <v>1</v>
      </c>
      <c r="C1" s="1" t="s">
        <v>69</v>
      </c>
      <c r="D1" s="1" t="s">
        <v>70</v>
      </c>
      <c r="E1" s="1" t="s">
        <v>49</v>
      </c>
      <c r="F1" s="1" t="s">
        <v>71</v>
      </c>
      <c r="G1" s="1" t="s">
        <v>72</v>
      </c>
      <c r="H1" s="1" t="s">
        <v>73</v>
      </c>
      <c r="I1" s="1" t="s">
        <v>74</v>
      </c>
      <c r="J1" t="s">
        <v>31</v>
      </c>
      <c r="K1" t="s">
        <v>75</v>
      </c>
      <c r="L1" t="s">
        <v>76</v>
      </c>
    </row>
    <row r="2" spans="1:12" x14ac:dyDescent="0.15">
      <c r="A2" s="2"/>
      <c r="B2" s="2"/>
      <c r="C2" s="2"/>
      <c r="D2" s="2"/>
      <c r="E2" s="13"/>
      <c r="F2" s="2"/>
      <c r="G2" s="2"/>
      <c r="H2" s="2"/>
      <c r="I2" s="2"/>
    </row>
    <row r="3" spans="1:12" x14ac:dyDescent="0.15">
      <c r="A3" s="2"/>
      <c r="B3" s="2"/>
      <c r="C3" s="2"/>
      <c r="D3" s="2"/>
      <c r="E3" s="13"/>
      <c r="F3" s="2"/>
      <c r="G3" s="2"/>
      <c r="H3" s="2"/>
      <c r="I3" s="2"/>
    </row>
    <row r="4" spans="1:12" x14ac:dyDescent="0.15">
      <c r="A4" s="2"/>
      <c r="B4" s="2"/>
      <c r="C4" s="2"/>
      <c r="D4" s="2"/>
      <c r="E4" s="13"/>
      <c r="F4" s="2"/>
      <c r="G4" s="2"/>
      <c r="H4" s="2"/>
      <c r="I4" s="2"/>
    </row>
    <row r="5" spans="1:12" x14ac:dyDescent="0.15">
      <c r="A5" s="2"/>
      <c r="B5" s="2"/>
      <c r="C5" s="2"/>
      <c r="D5" s="2"/>
      <c r="E5" s="13"/>
      <c r="F5" s="2"/>
      <c r="G5" s="2"/>
      <c r="H5" s="2"/>
      <c r="I5" s="2"/>
    </row>
    <row r="6" spans="1:12" x14ac:dyDescent="0.15">
      <c r="A6" s="2"/>
      <c r="B6" s="2"/>
      <c r="C6" s="2"/>
      <c r="D6" s="2"/>
      <c r="E6" s="13"/>
      <c r="F6" s="2"/>
      <c r="G6" s="2"/>
      <c r="H6" s="2"/>
      <c r="I6" s="2"/>
    </row>
    <row r="7" spans="1:12" x14ac:dyDescent="0.15">
      <c r="A7" s="2"/>
      <c r="B7" s="2"/>
      <c r="C7" s="2"/>
      <c r="D7" s="2"/>
      <c r="E7" s="13"/>
      <c r="F7" s="2"/>
      <c r="G7" s="2"/>
      <c r="H7" s="2"/>
      <c r="I7" s="2"/>
    </row>
    <row r="8" spans="1:12" x14ac:dyDescent="0.15">
      <c r="A8" s="2"/>
      <c r="B8" s="2"/>
      <c r="C8" s="2"/>
      <c r="D8" s="2"/>
      <c r="E8" s="13"/>
      <c r="F8" s="2"/>
      <c r="G8" s="2"/>
      <c r="H8" s="2"/>
      <c r="I8" s="2"/>
    </row>
    <row r="9" spans="1:12" x14ac:dyDescent="0.15">
      <c r="A9" s="2"/>
      <c r="B9" s="2"/>
      <c r="C9" s="2"/>
      <c r="D9" s="2"/>
      <c r="E9" s="13"/>
      <c r="F9" s="2"/>
      <c r="G9" s="2"/>
      <c r="H9" s="2"/>
      <c r="I9" s="2"/>
    </row>
    <row r="10" spans="1:12" x14ac:dyDescent="0.15">
      <c r="A10" s="2"/>
      <c r="B10" s="2"/>
      <c r="C10" s="2"/>
      <c r="D10" s="2"/>
      <c r="E10" s="13"/>
      <c r="F10" s="2"/>
      <c r="G10" s="2"/>
      <c r="H10" s="2"/>
      <c r="I10" s="2"/>
    </row>
    <row r="11" spans="1:12" x14ac:dyDescent="0.15">
      <c r="A11" s="2"/>
      <c r="B11" s="2"/>
      <c r="C11" s="2"/>
      <c r="D11" s="2"/>
      <c r="E11" s="13"/>
      <c r="F11" s="2"/>
      <c r="G11" s="2"/>
      <c r="H11" s="2"/>
      <c r="I11" s="2"/>
    </row>
    <row r="12" spans="1:12" x14ac:dyDescent="0.15">
      <c r="A12" s="2"/>
      <c r="B12" s="2"/>
      <c r="C12" s="2"/>
      <c r="D12" s="2"/>
      <c r="E12" s="13"/>
      <c r="F12" s="2"/>
      <c r="G12" s="2"/>
      <c r="H12" s="2"/>
      <c r="I12" s="2"/>
    </row>
    <row r="13" spans="1:12" x14ac:dyDescent="0.15">
      <c r="A13" s="2"/>
      <c r="B13" s="2"/>
      <c r="C13" s="2"/>
      <c r="D13" s="2"/>
      <c r="E13" s="13"/>
      <c r="F13" s="2"/>
      <c r="G13" s="2"/>
      <c r="H13" s="2"/>
      <c r="I13" s="2"/>
    </row>
    <row r="14" spans="1:12" x14ac:dyDescent="0.15">
      <c r="A14" s="2"/>
      <c r="B14" s="2"/>
      <c r="C14" s="2"/>
      <c r="D14" s="2"/>
      <c r="E14" s="13"/>
      <c r="F14" s="2"/>
      <c r="G14" s="2"/>
      <c r="H14" s="2"/>
      <c r="I14" s="2"/>
    </row>
    <row r="15" spans="1:12" x14ac:dyDescent="0.15">
      <c r="A15" s="2"/>
      <c r="B15" s="2"/>
      <c r="C15" s="2"/>
      <c r="D15" s="2"/>
      <c r="E15" s="13"/>
      <c r="F15" s="2"/>
      <c r="G15" s="2"/>
      <c r="H15" s="2"/>
      <c r="I15" s="2"/>
    </row>
    <row r="16" spans="1:12" x14ac:dyDescent="0.15">
      <c r="A16" s="2"/>
      <c r="B16" s="2"/>
      <c r="C16" s="2"/>
      <c r="D16" s="2"/>
      <c r="E16" s="13"/>
      <c r="F16" s="2"/>
      <c r="G16" s="2"/>
      <c r="H16" s="2"/>
      <c r="I16" s="2"/>
    </row>
    <row r="17" spans="1:9" x14ac:dyDescent="0.15">
      <c r="A17" s="2"/>
      <c r="B17" s="2"/>
      <c r="C17" s="2"/>
      <c r="D17" s="2"/>
      <c r="E17" s="13"/>
      <c r="F17" s="2"/>
      <c r="G17" s="2"/>
      <c r="H17" s="2"/>
      <c r="I17" s="2"/>
    </row>
    <row r="18" spans="1:9" x14ac:dyDescent="0.15">
      <c r="A18" s="2"/>
      <c r="B18" s="2"/>
      <c r="C18" s="2"/>
      <c r="D18" s="2"/>
      <c r="E18" s="13"/>
      <c r="F18" s="2"/>
      <c r="G18" s="2"/>
      <c r="H18" s="2"/>
      <c r="I18" s="2"/>
    </row>
    <row r="19" spans="1:9" x14ac:dyDescent="0.15">
      <c r="A19" s="2"/>
      <c r="B19" s="2"/>
      <c r="C19" s="2"/>
      <c r="D19" s="2"/>
      <c r="E19" s="13"/>
      <c r="F19" s="2"/>
      <c r="G19" s="2"/>
      <c r="H19" s="2"/>
      <c r="I19" s="2"/>
    </row>
    <row r="20" spans="1:9" x14ac:dyDescent="0.15">
      <c r="A20" s="2"/>
      <c r="B20" s="2"/>
      <c r="C20" s="2"/>
      <c r="D20" s="2"/>
      <c r="E20" s="13"/>
      <c r="F20" s="2"/>
      <c r="G20" s="2"/>
      <c r="H20" s="2"/>
      <c r="I20" s="2"/>
    </row>
    <row r="21" spans="1:9" x14ac:dyDescent="0.15">
      <c r="A21" s="2"/>
      <c r="B21" s="2"/>
      <c r="C21" s="2"/>
      <c r="D21" s="2"/>
      <c r="E21" s="13"/>
      <c r="F21" s="2"/>
      <c r="G21" s="2"/>
      <c r="H21" s="2"/>
      <c r="I21" s="2"/>
    </row>
    <row r="22" spans="1:9" x14ac:dyDescent="0.15">
      <c r="A22" s="2"/>
      <c r="B22" s="2"/>
      <c r="C22" s="2"/>
      <c r="D22" s="2"/>
      <c r="E22" s="13"/>
      <c r="F22" s="2"/>
      <c r="G22" s="2"/>
      <c r="H22" s="2"/>
      <c r="I22" s="2"/>
    </row>
    <row r="23" spans="1:9" x14ac:dyDescent="0.15">
      <c r="A23" s="2"/>
      <c r="B23" s="2"/>
      <c r="C23" s="2"/>
      <c r="D23" s="2"/>
      <c r="E23" s="13"/>
      <c r="F23" s="2"/>
      <c r="G23" s="2"/>
      <c r="H23" s="2"/>
      <c r="I23" s="2"/>
    </row>
    <row r="24" spans="1:9" x14ac:dyDescent="0.15">
      <c r="A24" s="2"/>
      <c r="B24" s="2"/>
      <c r="C24" s="2"/>
      <c r="D24" s="2"/>
      <c r="E24" s="13"/>
      <c r="F24" s="2"/>
      <c r="G24" s="2"/>
      <c r="H24" s="2"/>
      <c r="I24" s="2"/>
    </row>
    <row r="25" spans="1:9" x14ac:dyDescent="0.15">
      <c r="A25" s="2"/>
      <c r="B25" s="2"/>
      <c r="C25" s="2"/>
      <c r="D25" s="2"/>
      <c r="E25" s="13"/>
      <c r="F25" s="2"/>
      <c r="G25" s="2"/>
      <c r="H25" s="2"/>
      <c r="I25" s="2"/>
    </row>
    <row r="26" spans="1:9" x14ac:dyDescent="0.15">
      <c r="A26" s="2"/>
      <c r="B26" s="2"/>
      <c r="C26" s="2"/>
      <c r="D26" s="2"/>
      <c r="E26" s="13"/>
      <c r="F26" s="2"/>
      <c r="G26" s="2"/>
      <c r="H26" s="2"/>
      <c r="I26" s="2"/>
    </row>
    <row r="27" spans="1:9" x14ac:dyDescent="0.15">
      <c r="A27" s="2"/>
      <c r="B27" s="2"/>
      <c r="C27" s="2"/>
      <c r="D27" s="2"/>
      <c r="E27" s="13"/>
      <c r="F27" s="2"/>
      <c r="G27" s="2"/>
      <c r="H27" s="2"/>
      <c r="I27" s="2"/>
    </row>
    <row r="28" spans="1:9" x14ac:dyDescent="0.15">
      <c r="A28" s="2"/>
      <c r="B28" s="2"/>
      <c r="C28" s="2"/>
      <c r="D28" s="2"/>
      <c r="E28" s="13"/>
      <c r="F28" s="2"/>
      <c r="G28" s="2"/>
      <c r="H28" s="2"/>
      <c r="I28" s="2"/>
    </row>
    <row r="29" spans="1:9" x14ac:dyDescent="0.15">
      <c r="A29" s="2"/>
      <c r="B29" s="2"/>
      <c r="C29" s="2"/>
      <c r="D29" s="2"/>
      <c r="E29" s="13"/>
      <c r="F29" s="2"/>
      <c r="G29" s="2"/>
      <c r="H29" s="2"/>
      <c r="I29" s="2"/>
    </row>
    <row r="30" spans="1:9" x14ac:dyDescent="0.15">
      <c r="A30" s="2"/>
      <c r="B30" s="2"/>
      <c r="C30" s="2"/>
      <c r="D30" s="2"/>
      <c r="E30" s="13"/>
      <c r="F30" s="2"/>
      <c r="G30" s="2"/>
      <c r="H30" s="2"/>
      <c r="I30" s="2"/>
    </row>
    <row r="31" spans="1:9" x14ac:dyDescent="0.15">
      <c r="A31" s="2"/>
      <c r="B31" s="2"/>
      <c r="C31" s="2"/>
      <c r="D31" s="2"/>
      <c r="E31" s="13"/>
      <c r="F31" s="2"/>
      <c r="G31" s="2"/>
      <c r="H31" s="2"/>
      <c r="I31" s="2"/>
    </row>
    <row r="32" spans="1:9" x14ac:dyDescent="0.15">
      <c r="A32" s="2"/>
      <c r="B32" s="2"/>
      <c r="C32" s="2"/>
      <c r="D32" s="2"/>
      <c r="E32" s="13"/>
      <c r="F32" s="2"/>
      <c r="G32" s="2"/>
      <c r="H32" s="2"/>
      <c r="I32" s="2"/>
    </row>
    <row r="33" spans="1:9" x14ac:dyDescent="0.15">
      <c r="A33" s="2"/>
      <c r="B33" s="2"/>
      <c r="C33" s="2"/>
      <c r="D33" s="2"/>
      <c r="E33" s="13"/>
      <c r="F33" s="2"/>
      <c r="G33" s="2"/>
      <c r="H33" s="2"/>
      <c r="I33" s="2"/>
    </row>
    <row r="34" spans="1:9" x14ac:dyDescent="0.15">
      <c r="A34" s="2"/>
      <c r="B34" s="2"/>
      <c r="C34" s="2"/>
      <c r="D34" s="2"/>
      <c r="E34" s="13"/>
      <c r="F34" s="2"/>
      <c r="G34" s="2"/>
      <c r="H34" s="2"/>
      <c r="I34" s="2"/>
    </row>
    <row r="35" spans="1:9" x14ac:dyDescent="0.15">
      <c r="A35" s="2"/>
      <c r="B35" s="2"/>
      <c r="C35" s="2"/>
      <c r="D35" s="2"/>
      <c r="E35" s="13"/>
      <c r="F35" s="2"/>
      <c r="G35" s="2"/>
      <c r="H35" s="2"/>
      <c r="I35" s="2"/>
    </row>
    <row r="36" spans="1:9" x14ac:dyDescent="0.15">
      <c r="A36" s="2"/>
      <c r="B36" s="2"/>
      <c r="C36" s="2"/>
      <c r="D36" s="2"/>
      <c r="E36" s="13"/>
      <c r="F36" s="2"/>
      <c r="G36" s="2"/>
      <c r="H36" s="2"/>
      <c r="I36" s="2"/>
    </row>
    <row r="37" spans="1:9" x14ac:dyDescent="0.15">
      <c r="A37" s="2"/>
      <c r="B37" s="2"/>
      <c r="C37" s="2"/>
      <c r="D37" s="2"/>
      <c r="E37" s="13"/>
      <c r="F37" s="2"/>
      <c r="G37" s="2"/>
      <c r="H37" s="2"/>
      <c r="I37" s="2"/>
    </row>
    <row r="38" spans="1:9" x14ac:dyDescent="0.15">
      <c r="A38" s="2"/>
      <c r="B38" s="2"/>
      <c r="C38" s="2"/>
      <c r="D38" s="2"/>
      <c r="E38" s="13"/>
      <c r="F38" s="2"/>
      <c r="G38" s="2"/>
      <c r="H38" s="2"/>
      <c r="I38" s="2"/>
    </row>
    <row r="39" spans="1:9" x14ac:dyDescent="0.15">
      <c r="A39" s="2"/>
      <c r="B39" s="2"/>
      <c r="C39" s="2"/>
      <c r="D39" s="2"/>
      <c r="E39" s="13"/>
      <c r="F39" s="2"/>
      <c r="G39" s="2"/>
      <c r="H39" s="2"/>
      <c r="I39" s="2"/>
    </row>
    <row r="40" spans="1:9" x14ac:dyDescent="0.15">
      <c r="A40" s="2"/>
      <c r="B40" s="2"/>
      <c r="C40" s="2"/>
      <c r="D40" s="2"/>
      <c r="E40" s="13"/>
      <c r="F40" s="2"/>
      <c r="G40" s="2"/>
      <c r="H40" s="2"/>
      <c r="I40" s="2"/>
    </row>
    <row r="41" spans="1:9" x14ac:dyDescent="0.15">
      <c r="A41" s="2"/>
      <c r="B41" s="2"/>
      <c r="C41" s="2"/>
      <c r="D41" s="2"/>
      <c r="E41" s="13"/>
      <c r="F41" s="2"/>
      <c r="G41" s="2"/>
      <c r="H41" s="2"/>
      <c r="I41" s="2"/>
    </row>
    <row r="42" spans="1:9" x14ac:dyDescent="0.15">
      <c r="A42" s="2"/>
      <c r="B42" s="2"/>
      <c r="C42" s="2"/>
      <c r="D42" s="2"/>
      <c r="E42" s="13"/>
      <c r="F42" s="2"/>
      <c r="G42" s="2"/>
      <c r="H42" s="2"/>
      <c r="I42" s="2"/>
    </row>
    <row r="43" spans="1:9" x14ac:dyDescent="0.15">
      <c r="A43" s="2"/>
      <c r="B43" s="2"/>
      <c r="C43" s="2"/>
      <c r="D43" s="2"/>
      <c r="E43" s="13"/>
      <c r="F43" s="2"/>
      <c r="G43" s="2"/>
      <c r="H43" s="2"/>
      <c r="I43" s="2"/>
    </row>
    <row r="44" spans="1:9" x14ac:dyDescent="0.15">
      <c r="A44" s="2"/>
      <c r="B44" s="2"/>
      <c r="C44" s="2"/>
      <c r="D44" s="2"/>
      <c r="E44" s="13"/>
      <c r="F44" s="2"/>
      <c r="G44" s="2"/>
      <c r="H44" s="2"/>
      <c r="I44" s="2"/>
    </row>
    <row r="45" spans="1:9" x14ac:dyDescent="0.15">
      <c r="A45" s="2"/>
      <c r="B45" s="2"/>
      <c r="C45" s="2"/>
      <c r="D45" s="2"/>
      <c r="E45" s="13"/>
      <c r="F45" s="2"/>
      <c r="G45" s="2"/>
      <c r="H45" s="2"/>
      <c r="I45" s="2"/>
    </row>
    <row r="46" spans="1:9" x14ac:dyDescent="0.15">
      <c r="A46" s="2"/>
      <c r="B46" s="2"/>
      <c r="C46" s="2"/>
      <c r="D46" s="2"/>
      <c r="E46" s="13"/>
      <c r="F46" s="2"/>
      <c r="G46" s="2"/>
      <c r="H46" s="2"/>
      <c r="I46" s="2"/>
    </row>
    <row r="47" spans="1:9" x14ac:dyDescent="0.15">
      <c r="A47" s="2"/>
      <c r="B47" s="2"/>
      <c r="C47" s="2"/>
      <c r="D47" s="2"/>
      <c r="E47" s="13"/>
      <c r="F47" s="2"/>
      <c r="G47" s="2"/>
      <c r="H47" s="2"/>
      <c r="I47" s="2"/>
    </row>
    <row r="48" spans="1:9" x14ac:dyDescent="0.15">
      <c r="A48" s="2"/>
      <c r="B48" s="2"/>
      <c r="C48" s="2"/>
      <c r="D48" s="2"/>
      <c r="E48" s="13"/>
      <c r="F48" s="2"/>
      <c r="G48" s="2"/>
      <c r="H48" s="2"/>
      <c r="I48" s="2"/>
    </row>
    <row r="49" spans="1:9" x14ac:dyDescent="0.15">
      <c r="A49" s="2"/>
      <c r="B49" s="2"/>
      <c r="C49" s="2"/>
      <c r="D49" s="2"/>
      <c r="E49" s="13"/>
      <c r="F49" s="2"/>
      <c r="G49" s="2"/>
      <c r="H49" s="2"/>
      <c r="I49" s="2"/>
    </row>
    <row r="50" spans="1:9" x14ac:dyDescent="0.15">
      <c r="A50" s="2"/>
      <c r="B50" s="2"/>
      <c r="C50" s="2"/>
      <c r="D50" s="2"/>
      <c r="E50" s="13"/>
      <c r="F50" s="2"/>
      <c r="G50" s="2"/>
      <c r="H50" s="2"/>
      <c r="I50" s="2"/>
    </row>
    <row r="51" spans="1:9" x14ac:dyDescent="0.15">
      <c r="A51" s="2"/>
      <c r="B51" s="2"/>
      <c r="C51" s="2"/>
      <c r="D51" s="2"/>
      <c r="E51" s="13"/>
      <c r="F51" s="2"/>
      <c r="G51" s="2"/>
      <c r="H51" s="2"/>
      <c r="I51" s="2"/>
    </row>
    <row r="52" spans="1:9" x14ac:dyDescent="0.15">
      <c r="A52" s="2"/>
      <c r="B52" s="2"/>
      <c r="C52" s="2"/>
      <c r="D52" s="2"/>
      <c r="E52" s="13"/>
      <c r="F52" s="2"/>
      <c r="G52" s="2"/>
      <c r="H52" s="2"/>
      <c r="I52" s="2"/>
    </row>
    <row r="53" spans="1:9" x14ac:dyDescent="0.15">
      <c r="A53" s="2"/>
      <c r="B53" s="2"/>
      <c r="C53" s="2"/>
      <c r="D53" s="2"/>
      <c r="E53" s="13"/>
      <c r="F53" s="2"/>
      <c r="G53" s="2"/>
      <c r="H53" s="2"/>
      <c r="I53" s="2"/>
    </row>
    <row r="54" spans="1:9" x14ac:dyDescent="0.15">
      <c r="A54" s="2"/>
      <c r="B54" s="2"/>
      <c r="C54" s="2"/>
      <c r="D54" s="2"/>
      <c r="E54" s="13"/>
      <c r="F54" s="2"/>
      <c r="G54" s="2"/>
      <c r="H54" s="2"/>
      <c r="I54" s="2"/>
    </row>
    <row r="55" spans="1:9" x14ac:dyDescent="0.15">
      <c r="A55" s="2"/>
      <c r="B55" s="2"/>
      <c r="C55" s="2"/>
      <c r="D55" s="2"/>
      <c r="E55" s="13"/>
      <c r="F55" s="2"/>
      <c r="G55" s="2"/>
      <c r="H55" s="2"/>
      <c r="I55" s="2"/>
    </row>
    <row r="56" spans="1:9" x14ac:dyDescent="0.15">
      <c r="A56" s="2"/>
      <c r="B56" s="2"/>
      <c r="C56" s="2"/>
      <c r="D56" s="2"/>
      <c r="E56" s="13"/>
      <c r="F56" s="2"/>
      <c r="G56" s="2"/>
      <c r="H56" s="2"/>
      <c r="I56" s="2"/>
    </row>
    <row r="57" spans="1:9" x14ac:dyDescent="0.15">
      <c r="A57" s="2"/>
      <c r="B57" s="2"/>
      <c r="C57" s="2"/>
      <c r="D57" s="2"/>
      <c r="E57" s="13"/>
      <c r="F57" s="2"/>
      <c r="G57" s="2"/>
      <c r="H57" s="2"/>
      <c r="I57" s="2"/>
    </row>
    <row r="58" spans="1:9" x14ac:dyDescent="0.15">
      <c r="A58" s="2"/>
      <c r="B58" s="2"/>
      <c r="C58" s="2"/>
      <c r="D58" s="2"/>
      <c r="E58" s="13"/>
      <c r="F58" s="2"/>
      <c r="G58" s="2"/>
      <c r="H58" s="2"/>
      <c r="I58" s="2"/>
    </row>
    <row r="59" spans="1:9" x14ac:dyDescent="0.15">
      <c r="A59" s="2"/>
      <c r="B59" s="2"/>
      <c r="C59" s="2"/>
      <c r="D59" s="2"/>
      <c r="E59" s="13"/>
      <c r="F59" s="2"/>
      <c r="G59" s="2"/>
      <c r="H59" s="2"/>
      <c r="I59" s="2"/>
    </row>
    <row r="60" spans="1:9" x14ac:dyDescent="0.15">
      <c r="A60" s="2"/>
      <c r="B60" s="2"/>
      <c r="C60" s="2"/>
      <c r="D60" s="2"/>
      <c r="E60" s="13"/>
      <c r="F60" s="2"/>
      <c r="G60" s="2"/>
      <c r="H60" s="2"/>
      <c r="I60" s="2"/>
    </row>
    <row r="61" spans="1:9" x14ac:dyDescent="0.15">
      <c r="A61" s="2"/>
      <c r="B61" s="2"/>
      <c r="C61" s="2"/>
      <c r="D61" s="2"/>
      <c r="E61" s="13"/>
      <c r="F61" s="2"/>
      <c r="G61" s="2"/>
      <c r="H61" s="2"/>
      <c r="I61" s="2"/>
    </row>
    <row r="62" spans="1:9" x14ac:dyDescent="0.15">
      <c r="A62" s="2"/>
      <c r="B62" s="2"/>
      <c r="C62" s="2"/>
      <c r="D62" s="2"/>
      <c r="E62" s="13"/>
      <c r="F62" s="2"/>
      <c r="G62" s="2"/>
      <c r="H62" s="2"/>
      <c r="I62" s="2"/>
    </row>
    <row r="63" spans="1:9" x14ac:dyDescent="0.15">
      <c r="A63" s="2"/>
      <c r="B63" s="2"/>
      <c r="C63" s="2"/>
      <c r="D63" s="2"/>
      <c r="E63" s="13"/>
      <c r="F63" s="2"/>
      <c r="G63" s="2"/>
      <c r="H63" s="2"/>
      <c r="I63" s="2"/>
    </row>
    <row r="64" spans="1:9" x14ac:dyDescent="0.15">
      <c r="A64" s="2"/>
      <c r="B64" s="2"/>
      <c r="C64" s="2"/>
      <c r="D64" s="2"/>
      <c r="E64" s="13"/>
      <c r="F64" s="2"/>
      <c r="G64" s="2"/>
      <c r="H64" s="2"/>
      <c r="I64" s="2"/>
    </row>
    <row r="65" spans="1:9" x14ac:dyDescent="0.15">
      <c r="A65" s="2"/>
      <c r="B65" s="2"/>
      <c r="C65" s="2"/>
      <c r="D65" s="2"/>
      <c r="E65" s="13"/>
      <c r="F65" s="2"/>
      <c r="G65" s="2"/>
      <c r="H65" s="2"/>
      <c r="I65" s="2"/>
    </row>
    <row r="66" spans="1:9" x14ac:dyDescent="0.15">
      <c r="A66" s="2"/>
      <c r="B66" s="2"/>
      <c r="C66" s="2"/>
      <c r="D66" s="2"/>
      <c r="E66" s="13"/>
      <c r="F66" s="2"/>
      <c r="G66" s="2"/>
      <c r="H66" s="2"/>
      <c r="I66" s="2"/>
    </row>
    <row r="67" spans="1:9" x14ac:dyDescent="0.15">
      <c r="A67" s="2"/>
      <c r="B67" s="2"/>
      <c r="C67" s="2"/>
      <c r="D67" s="2"/>
      <c r="E67" s="13"/>
      <c r="F67" s="2"/>
      <c r="G67" s="2"/>
      <c r="H67" s="2"/>
      <c r="I67" s="2"/>
    </row>
    <row r="68" spans="1:9" x14ac:dyDescent="0.15">
      <c r="A68" s="2"/>
      <c r="B68" s="2"/>
      <c r="C68" s="2"/>
      <c r="D68" s="2"/>
      <c r="E68" s="13"/>
      <c r="F68" s="2"/>
      <c r="G68" s="2"/>
      <c r="H68" s="2"/>
      <c r="I68" s="2"/>
    </row>
    <row r="69" spans="1:9" x14ac:dyDescent="0.15">
      <c r="A69" s="2"/>
      <c r="B69" s="2"/>
      <c r="C69" s="2"/>
      <c r="D69" s="2"/>
      <c r="E69" s="13"/>
      <c r="F69" s="2"/>
      <c r="G69" s="2"/>
      <c r="H69" s="2"/>
      <c r="I69" s="2"/>
    </row>
    <row r="70" spans="1:9" x14ac:dyDescent="0.15">
      <c r="A70" s="2"/>
      <c r="B70" s="2"/>
      <c r="C70" s="2"/>
      <c r="D70" s="2"/>
      <c r="E70" s="13"/>
      <c r="F70" s="2"/>
      <c r="G70" s="2"/>
      <c r="H70" s="2"/>
      <c r="I70" s="2"/>
    </row>
    <row r="71" spans="1:9" x14ac:dyDescent="0.15">
      <c r="A71" s="2"/>
      <c r="B71" s="2"/>
      <c r="C71" s="2"/>
      <c r="D71" s="2"/>
      <c r="E71" s="13"/>
      <c r="F71" s="2"/>
      <c r="G71" s="2"/>
      <c r="H71" s="2"/>
      <c r="I71" s="2"/>
    </row>
    <row r="72" spans="1:9" x14ac:dyDescent="0.15">
      <c r="A72" s="2"/>
      <c r="B72" s="2"/>
      <c r="C72" s="2"/>
      <c r="D72" s="2"/>
      <c r="E72" s="13"/>
      <c r="F72" s="2"/>
      <c r="G72" s="2"/>
      <c r="H72" s="2"/>
      <c r="I72" s="2"/>
    </row>
    <row r="73" spans="1:9" x14ac:dyDescent="0.15">
      <c r="A73" s="2"/>
      <c r="B73" s="2"/>
      <c r="C73" s="2"/>
      <c r="D73" s="2"/>
      <c r="E73" s="13"/>
      <c r="F73" s="2"/>
      <c r="G73" s="2"/>
      <c r="H73" s="2"/>
      <c r="I73" s="2"/>
    </row>
    <row r="74" spans="1:9" x14ac:dyDescent="0.15">
      <c r="A74" s="2"/>
      <c r="B74" s="2"/>
      <c r="C74" s="2"/>
      <c r="D74" s="2"/>
      <c r="E74" s="13"/>
      <c r="F74" s="2"/>
      <c r="G74" s="2"/>
      <c r="H74" s="2"/>
      <c r="I74" s="2"/>
    </row>
    <row r="75" spans="1:9" x14ac:dyDescent="0.15">
      <c r="A75" s="2"/>
      <c r="B75" s="2"/>
      <c r="C75" s="2"/>
      <c r="D75" s="2"/>
      <c r="E75" s="13"/>
      <c r="F75" s="2"/>
      <c r="G75" s="2"/>
      <c r="H75" s="2"/>
      <c r="I75" s="2"/>
    </row>
    <row r="76" spans="1:9" x14ac:dyDescent="0.15">
      <c r="A76" s="2"/>
      <c r="B76" s="2"/>
      <c r="C76" s="2"/>
      <c r="D76" s="2"/>
      <c r="E76" s="13"/>
      <c r="F76" s="2"/>
      <c r="G76" s="2"/>
      <c r="H76" s="2"/>
      <c r="I76" s="2"/>
    </row>
    <row r="77" spans="1:9" x14ac:dyDescent="0.15">
      <c r="A77" s="2"/>
      <c r="B77" s="2"/>
      <c r="C77" s="2"/>
      <c r="D77" s="2"/>
      <c r="E77" s="13"/>
      <c r="F77" s="2"/>
      <c r="G77" s="2"/>
      <c r="H77" s="2"/>
      <c r="I77" s="2"/>
    </row>
    <row r="78" spans="1:9" x14ac:dyDescent="0.15">
      <c r="A78" s="2"/>
      <c r="B78" s="2"/>
      <c r="C78" s="2"/>
      <c r="D78" s="2"/>
      <c r="E78" s="13"/>
      <c r="F78" s="2"/>
      <c r="G78" s="2"/>
      <c r="H78" s="2"/>
      <c r="I78" s="2"/>
    </row>
    <row r="79" spans="1:9" x14ac:dyDescent="0.15">
      <c r="A79" s="2"/>
      <c r="B79" s="2"/>
      <c r="C79" s="2"/>
      <c r="D79" s="2"/>
      <c r="E79" s="13"/>
      <c r="F79" s="2"/>
      <c r="G79" s="2"/>
      <c r="H79" s="2"/>
      <c r="I79" s="2"/>
    </row>
    <row r="80" spans="1:9" x14ac:dyDescent="0.15">
      <c r="A80" s="2"/>
      <c r="B80" s="2"/>
      <c r="C80" s="2"/>
      <c r="D80" s="2"/>
      <c r="E80" s="13"/>
      <c r="F80" s="2"/>
      <c r="G80" s="2"/>
      <c r="H80" s="2"/>
      <c r="I80" s="2"/>
    </row>
    <row r="81" spans="1:9" x14ac:dyDescent="0.15">
      <c r="A81" s="2"/>
      <c r="B81" s="2"/>
      <c r="C81" s="2"/>
      <c r="D81" s="2"/>
      <c r="E81" s="13"/>
      <c r="F81" s="2"/>
      <c r="G81" s="2"/>
      <c r="H81" s="2"/>
      <c r="I81" s="2"/>
    </row>
    <row r="82" spans="1:9" x14ac:dyDescent="0.15">
      <c r="A82" s="2"/>
      <c r="B82" s="2"/>
      <c r="C82" s="2"/>
      <c r="D82" s="2"/>
      <c r="E82" s="13"/>
      <c r="F82" s="2"/>
      <c r="G82" s="2"/>
      <c r="H82" s="2"/>
      <c r="I82" s="2"/>
    </row>
    <row r="83" spans="1:9" x14ac:dyDescent="0.15">
      <c r="A83" s="2"/>
      <c r="B83" s="2"/>
      <c r="C83" s="2"/>
      <c r="D83" s="2"/>
      <c r="E83" s="13"/>
      <c r="F83" s="2"/>
      <c r="G83" s="2"/>
      <c r="H83" s="2"/>
      <c r="I83" s="2"/>
    </row>
    <row r="84" spans="1:9" x14ac:dyDescent="0.15">
      <c r="A84" s="2"/>
      <c r="B84" s="2"/>
      <c r="C84" s="2"/>
      <c r="D84" s="2"/>
      <c r="E84" s="13"/>
      <c r="F84" s="2"/>
      <c r="G84" s="2"/>
      <c r="H84" s="2"/>
      <c r="I84" s="2"/>
    </row>
    <row r="85" spans="1:9" x14ac:dyDescent="0.15">
      <c r="A85" s="2"/>
      <c r="B85" s="2"/>
      <c r="C85" s="2"/>
      <c r="D85" s="2"/>
      <c r="E85" s="13"/>
      <c r="F85" s="2"/>
      <c r="G85" s="2"/>
      <c r="H85" s="2"/>
      <c r="I85" s="2"/>
    </row>
    <row r="86" spans="1:9" x14ac:dyDescent="0.15">
      <c r="A86" s="2"/>
      <c r="B86" s="2"/>
      <c r="C86" s="2"/>
      <c r="D86" s="2"/>
      <c r="E86" s="13"/>
      <c r="F86" s="2"/>
      <c r="G86" s="2"/>
      <c r="H86" s="2"/>
      <c r="I86" s="2"/>
    </row>
    <row r="87" spans="1:9" x14ac:dyDescent="0.15">
      <c r="A87" s="2"/>
      <c r="B87" s="2"/>
      <c r="C87" s="2"/>
      <c r="D87" s="2"/>
      <c r="E87" s="13"/>
      <c r="F87" s="2"/>
      <c r="G87" s="2"/>
      <c r="H87" s="2"/>
      <c r="I87" s="2"/>
    </row>
    <row r="88" spans="1:9" x14ac:dyDescent="0.15">
      <c r="A88" s="2"/>
      <c r="B88" s="2"/>
      <c r="C88" s="2"/>
      <c r="D88" s="2"/>
      <c r="E88" s="13"/>
      <c r="F88" s="2"/>
      <c r="G88" s="2"/>
      <c r="H88" s="2"/>
      <c r="I88" s="2"/>
    </row>
    <row r="89" spans="1:9" x14ac:dyDescent="0.15">
      <c r="A89" s="2"/>
      <c r="B89" s="2"/>
      <c r="C89" s="2"/>
      <c r="D89" s="2"/>
      <c r="E89" s="13"/>
      <c r="F89" s="2"/>
      <c r="G89" s="2"/>
      <c r="H89" s="2"/>
      <c r="I89" s="2"/>
    </row>
    <row r="90" spans="1:9" x14ac:dyDescent="0.15">
      <c r="A90" s="2"/>
      <c r="B90" s="2"/>
      <c r="C90" s="2"/>
      <c r="D90" s="2"/>
      <c r="E90" s="13"/>
      <c r="F90" s="2"/>
      <c r="G90" s="2"/>
      <c r="H90" s="2"/>
      <c r="I90" s="2"/>
    </row>
    <row r="91" spans="1:9" x14ac:dyDescent="0.15">
      <c r="A91" s="2"/>
      <c r="B91" s="2"/>
      <c r="C91" s="2"/>
      <c r="D91" s="2"/>
      <c r="E91" s="13"/>
      <c r="F91" s="2"/>
      <c r="G91" s="2"/>
      <c r="H91" s="2"/>
      <c r="I91" s="2"/>
    </row>
    <row r="92" spans="1:9" x14ac:dyDescent="0.15">
      <c r="A92" s="2"/>
      <c r="B92" s="2"/>
      <c r="C92" s="2"/>
      <c r="D92" s="2"/>
      <c r="E92" s="13"/>
      <c r="F92" s="2"/>
      <c r="G92" s="2"/>
      <c r="H92" s="2"/>
      <c r="I92" s="2"/>
    </row>
    <row r="93" spans="1:9" x14ac:dyDescent="0.15">
      <c r="A93" s="2"/>
      <c r="B93" s="2"/>
      <c r="C93" s="2"/>
      <c r="D93" s="2"/>
      <c r="E93" s="13"/>
      <c r="F93" s="2"/>
      <c r="G93" s="2"/>
      <c r="H93" s="2"/>
      <c r="I93" s="2"/>
    </row>
    <row r="94" spans="1:9" x14ac:dyDescent="0.15">
      <c r="A94" s="2"/>
      <c r="B94" s="2"/>
      <c r="C94" s="2"/>
      <c r="D94" s="2"/>
      <c r="E94" s="13"/>
      <c r="F94" s="2"/>
      <c r="G94" s="2"/>
      <c r="H94" s="2"/>
      <c r="I94" s="2"/>
    </row>
    <row r="95" spans="1:9" x14ac:dyDescent="0.15">
      <c r="A95" s="2"/>
      <c r="B95" s="2"/>
      <c r="C95" s="2"/>
      <c r="D95" s="2"/>
      <c r="E95" s="13"/>
      <c r="F95" s="2"/>
      <c r="G95" s="2"/>
      <c r="H95" s="2"/>
      <c r="I95" s="2"/>
    </row>
    <row r="96" spans="1:9" x14ac:dyDescent="0.15">
      <c r="A96" s="2"/>
      <c r="B96" s="2"/>
      <c r="C96" s="2"/>
      <c r="D96" s="2"/>
      <c r="E96" s="13"/>
      <c r="F96" s="2"/>
      <c r="G96" s="2"/>
      <c r="H96" s="2"/>
      <c r="I96" s="2"/>
    </row>
    <row r="97" spans="1:9" x14ac:dyDescent="0.15">
      <c r="A97" s="2"/>
      <c r="B97" s="2"/>
      <c r="C97" s="2"/>
      <c r="D97" s="2"/>
      <c r="E97" s="13"/>
      <c r="F97" s="2"/>
      <c r="G97" s="2"/>
      <c r="H97" s="2"/>
      <c r="I97" s="2"/>
    </row>
    <row r="98" spans="1:9" x14ac:dyDescent="0.15">
      <c r="A98" s="2"/>
      <c r="B98" s="2"/>
      <c r="C98" s="2"/>
      <c r="D98" s="2"/>
      <c r="E98" s="13"/>
      <c r="F98" s="2"/>
      <c r="G98" s="2"/>
      <c r="H98" s="2"/>
      <c r="I98" s="2"/>
    </row>
    <row r="99" spans="1:9" x14ac:dyDescent="0.15">
      <c r="A99" s="2"/>
      <c r="B99" s="2"/>
      <c r="C99" s="2"/>
      <c r="D99" s="2"/>
      <c r="E99" s="13"/>
      <c r="F99" s="2"/>
      <c r="G99" s="2"/>
      <c r="H99" s="2"/>
      <c r="I99" s="2"/>
    </row>
    <row r="100" spans="1:9" x14ac:dyDescent="0.15">
      <c r="A100" s="2"/>
      <c r="B100" s="2"/>
      <c r="C100" s="2"/>
      <c r="D100" s="2"/>
      <c r="E100" s="13"/>
      <c r="F100" s="2"/>
      <c r="G100" s="2"/>
      <c r="H100" s="2"/>
      <c r="I100" s="2"/>
    </row>
    <row r="101" spans="1:9" x14ac:dyDescent="0.15">
      <c r="A101" s="2"/>
      <c r="B101" s="2"/>
      <c r="C101" s="2"/>
      <c r="D101" s="2"/>
      <c r="E101" s="13"/>
      <c r="F101" s="2"/>
      <c r="G101" s="2"/>
      <c r="H101" s="2"/>
      <c r="I101" s="2"/>
    </row>
    <row r="102" spans="1:9" x14ac:dyDescent="0.15">
      <c r="A102" s="2"/>
      <c r="B102" s="2"/>
      <c r="C102" s="2"/>
      <c r="D102" s="2"/>
      <c r="E102" s="13"/>
      <c r="F102" s="2"/>
      <c r="G102" s="2"/>
      <c r="H102" s="2"/>
      <c r="I102" s="2"/>
    </row>
    <row r="103" spans="1:9" x14ac:dyDescent="0.15">
      <c r="A103" s="2"/>
      <c r="B103" s="2"/>
      <c r="C103" s="2"/>
      <c r="D103" s="2"/>
      <c r="E103" s="13"/>
      <c r="F103" s="2"/>
      <c r="G103" s="2"/>
      <c r="H103" s="2"/>
      <c r="I103" s="2"/>
    </row>
    <row r="104" spans="1:9" x14ac:dyDescent="0.15">
      <c r="A104" s="2"/>
      <c r="B104" s="2"/>
      <c r="C104" s="2"/>
      <c r="D104" s="2"/>
      <c r="E104" s="13"/>
      <c r="F104" s="2"/>
      <c r="G104" s="2"/>
      <c r="H104" s="2"/>
      <c r="I104" s="2"/>
    </row>
    <row r="105" spans="1:9" x14ac:dyDescent="0.15">
      <c r="A105" s="2"/>
      <c r="B105" s="2"/>
      <c r="C105" s="2"/>
      <c r="D105" s="2"/>
      <c r="E105" s="13"/>
      <c r="F105" s="2"/>
      <c r="G105" s="2"/>
      <c r="H105" s="2"/>
      <c r="I105" s="2"/>
    </row>
    <row r="106" spans="1:9" x14ac:dyDescent="0.15">
      <c r="A106" s="2"/>
      <c r="B106" s="2"/>
      <c r="C106" s="2"/>
      <c r="D106" s="2"/>
      <c r="E106" s="13"/>
      <c r="F106" s="2"/>
      <c r="G106" s="2"/>
      <c r="H106" s="2"/>
      <c r="I106" s="2"/>
    </row>
    <row r="107" spans="1:9" x14ac:dyDescent="0.15">
      <c r="A107" s="2"/>
      <c r="B107" s="2"/>
      <c r="C107" s="2"/>
      <c r="D107" s="2"/>
      <c r="E107" s="13"/>
      <c r="F107" s="2"/>
      <c r="G107" s="2"/>
      <c r="H107" s="2"/>
      <c r="I107" s="2"/>
    </row>
    <row r="108" spans="1:9" x14ac:dyDescent="0.15">
      <c r="A108" s="2"/>
      <c r="B108" s="2"/>
      <c r="C108" s="2"/>
      <c r="D108" s="2"/>
      <c r="E108" s="13"/>
      <c r="F108" s="2"/>
      <c r="G108" s="2"/>
      <c r="H108" s="2"/>
      <c r="I108" s="2"/>
    </row>
    <row r="109" spans="1:9" x14ac:dyDescent="0.15">
      <c r="A109" s="2"/>
      <c r="B109" s="2"/>
      <c r="C109" s="2"/>
      <c r="D109" s="2"/>
      <c r="E109" s="13"/>
      <c r="F109" s="2"/>
      <c r="G109" s="2"/>
      <c r="H109" s="2"/>
      <c r="I109" s="2"/>
    </row>
    <row r="110" spans="1:9" x14ac:dyDescent="0.15">
      <c r="A110" s="2"/>
      <c r="B110" s="2"/>
      <c r="C110" s="2"/>
      <c r="D110" s="2"/>
      <c r="E110" s="13"/>
      <c r="F110" s="2"/>
      <c r="G110" s="2"/>
      <c r="H110" s="2"/>
      <c r="I110" s="2"/>
    </row>
    <row r="111" spans="1:9" x14ac:dyDescent="0.15">
      <c r="A111" s="2"/>
      <c r="B111" s="2"/>
      <c r="C111" s="2"/>
      <c r="D111" s="2"/>
      <c r="E111" s="13"/>
      <c r="F111" s="2"/>
      <c r="G111" s="2"/>
      <c r="H111" s="2"/>
      <c r="I111" s="2"/>
    </row>
    <row r="112" spans="1:9" x14ac:dyDescent="0.15">
      <c r="A112" s="2"/>
      <c r="B112" s="2"/>
      <c r="C112" s="2"/>
      <c r="D112" s="2"/>
      <c r="E112" s="13"/>
      <c r="F112" s="2"/>
      <c r="G112" s="2"/>
      <c r="H112" s="2"/>
      <c r="I112" s="2"/>
    </row>
    <row r="113" spans="1:9" x14ac:dyDescent="0.15">
      <c r="A113" s="2"/>
      <c r="B113" s="2"/>
      <c r="C113" s="2"/>
      <c r="D113" s="2"/>
      <c r="E113" s="13"/>
      <c r="F113" s="2"/>
      <c r="G113" s="2"/>
      <c r="H113" s="2"/>
      <c r="I113" s="2"/>
    </row>
    <row r="114" spans="1:9" x14ac:dyDescent="0.15">
      <c r="A114" s="2"/>
      <c r="B114" s="2"/>
      <c r="C114" s="2"/>
      <c r="D114" s="2"/>
      <c r="E114" s="13"/>
      <c r="F114" s="2"/>
      <c r="G114" s="2"/>
      <c r="H114" s="2"/>
      <c r="I114" s="2"/>
    </row>
    <row r="115" spans="1:9" x14ac:dyDescent="0.15">
      <c r="A115" s="2"/>
      <c r="B115" s="2"/>
      <c r="C115" s="2"/>
      <c r="D115" s="2"/>
      <c r="E115" s="13"/>
      <c r="F115" s="2"/>
      <c r="G115" s="2"/>
      <c r="H115" s="2"/>
      <c r="I115" s="2"/>
    </row>
    <row r="116" spans="1:9" x14ac:dyDescent="0.15">
      <c r="A116" s="2"/>
      <c r="B116" s="2"/>
      <c r="C116" s="2"/>
      <c r="D116" s="2"/>
      <c r="E116" s="13"/>
      <c r="F116" s="2"/>
      <c r="G116" s="2"/>
      <c r="H116" s="2"/>
      <c r="I116" s="2"/>
    </row>
    <row r="117" spans="1:9" x14ac:dyDescent="0.15">
      <c r="A117" s="2"/>
      <c r="B117" s="2"/>
      <c r="C117" s="2"/>
      <c r="D117" s="2"/>
      <c r="E117" s="13"/>
      <c r="F117" s="2"/>
      <c r="G117" s="2"/>
      <c r="H117" s="2"/>
      <c r="I117" s="2"/>
    </row>
    <row r="118" spans="1:9" x14ac:dyDescent="0.15">
      <c r="A118" s="2"/>
      <c r="B118" s="2"/>
      <c r="C118" s="2"/>
      <c r="D118" s="2"/>
      <c r="E118" s="13"/>
      <c r="F118" s="2"/>
      <c r="G118" s="2"/>
      <c r="H118" s="2"/>
      <c r="I118" s="2"/>
    </row>
    <row r="119" spans="1:9" x14ac:dyDescent="0.15">
      <c r="A119" s="2"/>
      <c r="B119" s="2"/>
      <c r="C119" s="2"/>
      <c r="D119" s="2"/>
      <c r="E119" s="13"/>
      <c r="F119" s="2"/>
      <c r="G119" s="2"/>
      <c r="H119" s="2"/>
      <c r="I119" s="2"/>
    </row>
    <row r="120" spans="1:9" x14ac:dyDescent="0.15">
      <c r="A120" s="2"/>
      <c r="B120" s="2"/>
      <c r="C120" s="2"/>
      <c r="D120" s="2"/>
      <c r="E120" s="13"/>
      <c r="F120" s="2"/>
      <c r="G120" s="2"/>
      <c r="H120" s="2"/>
      <c r="I120" s="2"/>
    </row>
    <row r="121" spans="1:9" x14ac:dyDescent="0.15">
      <c r="A121" s="2"/>
      <c r="B121" s="2"/>
      <c r="C121" s="2"/>
      <c r="D121" s="2"/>
      <c r="E121" s="13"/>
      <c r="F121" s="2"/>
      <c r="G121" s="2"/>
      <c r="H121" s="2"/>
      <c r="I121" s="2"/>
    </row>
    <row r="122" spans="1:9" x14ac:dyDescent="0.15">
      <c r="A122" s="2"/>
      <c r="B122" s="2"/>
      <c r="C122" s="2"/>
      <c r="D122" s="2"/>
      <c r="E122" s="13"/>
      <c r="F122" s="2"/>
      <c r="G122" s="2"/>
      <c r="H122" s="2"/>
      <c r="I122" s="2"/>
    </row>
    <row r="123" spans="1:9" x14ac:dyDescent="0.15">
      <c r="A123" s="2"/>
      <c r="B123" s="2"/>
      <c r="C123" s="2"/>
      <c r="D123" s="2"/>
      <c r="E123" s="13"/>
      <c r="F123" s="2"/>
      <c r="G123" s="2"/>
      <c r="H123" s="2"/>
      <c r="I123" s="2"/>
    </row>
    <row r="124" spans="1:9" x14ac:dyDescent="0.15">
      <c r="A124" s="2"/>
      <c r="B124" s="2"/>
      <c r="C124" s="2"/>
      <c r="D124" s="2"/>
      <c r="E124" s="13"/>
      <c r="F124" s="2"/>
      <c r="G124" s="2"/>
      <c r="H124" s="2"/>
      <c r="I124" s="2"/>
    </row>
    <row r="125" spans="1:9" x14ac:dyDescent="0.15">
      <c r="A125" s="2"/>
      <c r="B125" s="2"/>
      <c r="C125" s="2"/>
      <c r="D125" s="2"/>
      <c r="E125" s="13"/>
      <c r="F125" s="2"/>
      <c r="G125" s="2"/>
      <c r="H125" s="2"/>
      <c r="I125" s="2"/>
    </row>
    <row r="126" spans="1:9" x14ac:dyDescent="0.15">
      <c r="A126" s="2"/>
      <c r="B126" s="2"/>
      <c r="C126" s="2"/>
      <c r="D126" s="2"/>
      <c r="E126" s="13"/>
      <c r="F126" s="2"/>
      <c r="G126" s="2"/>
      <c r="H126" s="2"/>
      <c r="I126" s="2"/>
    </row>
    <row r="127" spans="1:9" x14ac:dyDescent="0.15">
      <c r="A127" s="2"/>
      <c r="B127" s="2"/>
      <c r="C127" s="2"/>
      <c r="D127" s="2"/>
      <c r="E127" s="13"/>
      <c r="F127" s="2"/>
      <c r="G127" s="2"/>
      <c r="H127" s="2"/>
      <c r="I127" s="2"/>
    </row>
    <row r="128" spans="1:9" x14ac:dyDescent="0.15">
      <c r="A128" s="2"/>
      <c r="B128" s="2"/>
      <c r="C128" s="2"/>
      <c r="D128" s="2"/>
      <c r="E128" s="13"/>
      <c r="F128" s="2"/>
      <c r="G128" s="2"/>
      <c r="H128" s="2"/>
      <c r="I128" s="2"/>
    </row>
    <row r="129" spans="1:9" x14ac:dyDescent="0.15">
      <c r="A129" s="2"/>
      <c r="B129" s="2"/>
      <c r="C129" s="2"/>
      <c r="D129" s="2"/>
      <c r="E129" s="13"/>
      <c r="F129" s="2"/>
      <c r="G129" s="2"/>
      <c r="H129" s="2"/>
      <c r="I129" s="2"/>
    </row>
    <row r="130" spans="1:9" x14ac:dyDescent="0.15">
      <c r="A130" s="2"/>
      <c r="B130" s="2"/>
      <c r="C130" s="2"/>
      <c r="D130" s="2"/>
      <c r="E130" s="13"/>
      <c r="F130" s="2"/>
      <c r="G130" s="2"/>
      <c r="H130" s="2"/>
      <c r="I130" s="2"/>
    </row>
    <row r="131" spans="1:9" x14ac:dyDescent="0.15">
      <c r="A131" s="2"/>
      <c r="B131" s="2"/>
      <c r="C131" s="2"/>
      <c r="D131" s="2"/>
      <c r="E131" s="13"/>
      <c r="F131" s="2"/>
      <c r="G131" s="2"/>
      <c r="H131" s="2"/>
      <c r="I131" s="2"/>
    </row>
    <row r="132" spans="1:9" x14ac:dyDescent="0.15">
      <c r="A132" s="2"/>
      <c r="B132" s="2"/>
      <c r="C132" s="2"/>
      <c r="D132" s="2"/>
      <c r="E132" s="13"/>
      <c r="F132" s="2"/>
      <c r="G132" s="2"/>
      <c r="H132" s="2"/>
      <c r="I132" s="2"/>
    </row>
    <row r="133" spans="1:9" x14ac:dyDescent="0.15">
      <c r="A133" s="2"/>
      <c r="B133" s="2"/>
      <c r="C133" s="2"/>
      <c r="D133" s="2"/>
      <c r="E133" s="13"/>
      <c r="F133" s="2"/>
      <c r="G133" s="2"/>
      <c r="H133" s="2"/>
      <c r="I133" s="2"/>
    </row>
    <row r="134" spans="1:9" x14ac:dyDescent="0.15">
      <c r="A134" s="2"/>
      <c r="B134" s="2"/>
      <c r="C134" s="2"/>
      <c r="D134" s="2"/>
      <c r="E134" s="13"/>
      <c r="F134" s="2"/>
      <c r="G134" s="2"/>
      <c r="H134" s="2"/>
      <c r="I134" s="2"/>
    </row>
    <row r="135" spans="1:9" x14ac:dyDescent="0.15">
      <c r="A135" s="2"/>
      <c r="B135" s="2"/>
      <c r="C135" s="2"/>
      <c r="D135" s="2"/>
      <c r="E135" s="13"/>
      <c r="F135" s="2"/>
      <c r="G135" s="2"/>
      <c r="H135" s="2"/>
      <c r="I135" s="2"/>
    </row>
    <row r="136" spans="1:9" x14ac:dyDescent="0.15">
      <c r="A136" s="2"/>
      <c r="B136" s="2"/>
      <c r="C136" s="2"/>
      <c r="D136" s="2"/>
      <c r="E136" s="13"/>
      <c r="F136" s="2"/>
      <c r="G136" s="2"/>
      <c r="H136" s="2"/>
      <c r="I136" s="2"/>
    </row>
    <row r="137" spans="1:9" x14ac:dyDescent="0.15">
      <c r="A137" s="2"/>
      <c r="B137" s="2"/>
      <c r="C137" s="2"/>
      <c r="D137" s="2"/>
      <c r="E137" s="13"/>
      <c r="F137" s="2"/>
      <c r="G137" s="2"/>
      <c r="H137" s="2"/>
      <c r="I137" s="2"/>
    </row>
    <row r="138" spans="1:9" x14ac:dyDescent="0.15">
      <c r="A138" s="2"/>
      <c r="B138" s="2"/>
      <c r="C138" s="2"/>
      <c r="D138" s="2"/>
      <c r="E138" s="13"/>
      <c r="F138" s="2"/>
      <c r="G138" s="2"/>
      <c r="H138" s="2"/>
      <c r="I138" s="2"/>
    </row>
    <row r="139" spans="1:9" x14ac:dyDescent="0.15">
      <c r="A139" s="2"/>
      <c r="B139" s="2"/>
      <c r="C139" s="2"/>
      <c r="D139" s="2"/>
      <c r="E139" s="13"/>
      <c r="F139" s="2"/>
      <c r="G139" s="2"/>
      <c r="H139" s="2"/>
      <c r="I139" s="2"/>
    </row>
    <row r="140" spans="1:9" x14ac:dyDescent="0.15">
      <c r="A140" s="2"/>
      <c r="B140" s="2"/>
      <c r="C140" s="2"/>
      <c r="D140" s="2"/>
      <c r="E140" s="13"/>
      <c r="F140" s="2"/>
      <c r="G140" s="2"/>
      <c r="H140" s="2"/>
      <c r="I140" s="2"/>
    </row>
    <row r="141" spans="1:9" x14ac:dyDescent="0.15">
      <c r="A141" s="2"/>
      <c r="B141" s="2"/>
      <c r="C141" s="2"/>
      <c r="D141" s="2"/>
      <c r="E141" s="13"/>
      <c r="F141" s="2"/>
      <c r="G141" s="2"/>
      <c r="H141" s="2"/>
      <c r="I141" s="2"/>
    </row>
    <row r="142" spans="1:9" x14ac:dyDescent="0.15">
      <c r="A142" s="2"/>
      <c r="B142" s="2"/>
      <c r="C142" s="2"/>
      <c r="D142" s="2"/>
      <c r="E142" s="13"/>
      <c r="F142" s="2"/>
      <c r="G142" s="2"/>
      <c r="H142" s="2"/>
      <c r="I142" s="2"/>
    </row>
    <row r="143" spans="1:9" x14ac:dyDescent="0.15">
      <c r="A143" s="2"/>
      <c r="B143" s="2"/>
      <c r="C143" s="2"/>
      <c r="D143" s="2"/>
      <c r="E143" s="13"/>
      <c r="F143" s="2"/>
      <c r="G143" s="2"/>
      <c r="H143" s="2"/>
      <c r="I143" s="2"/>
    </row>
    <row r="144" spans="1:9" x14ac:dyDescent="0.15">
      <c r="A144" s="2"/>
      <c r="B144" s="2"/>
      <c r="C144" s="2"/>
      <c r="D144" s="2"/>
      <c r="E144" s="13"/>
      <c r="F144" s="2"/>
      <c r="G144" s="2"/>
      <c r="H144" s="2"/>
      <c r="I144" s="2"/>
    </row>
    <row r="145" spans="1:9" x14ac:dyDescent="0.15">
      <c r="A145" s="2"/>
      <c r="B145" s="2"/>
      <c r="C145" s="2"/>
      <c r="D145" s="2"/>
      <c r="E145" s="13"/>
      <c r="F145" s="2"/>
      <c r="G145" s="2"/>
      <c r="H145" s="2"/>
      <c r="I145" s="2"/>
    </row>
    <row r="146" spans="1:9" x14ac:dyDescent="0.15">
      <c r="A146" s="2"/>
      <c r="B146" s="2"/>
      <c r="C146" s="2"/>
      <c r="D146" s="2"/>
      <c r="E146" s="13"/>
      <c r="F146" s="2"/>
      <c r="G146" s="2"/>
      <c r="H146" s="2"/>
      <c r="I146" s="2"/>
    </row>
    <row r="147" spans="1:9" x14ac:dyDescent="0.15">
      <c r="A147" s="2"/>
      <c r="B147" s="2"/>
      <c r="C147" s="2"/>
      <c r="D147" s="2"/>
      <c r="E147" s="13"/>
      <c r="F147" s="2"/>
      <c r="G147" s="2"/>
      <c r="H147" s="2"/>
      <c r="I147" s="2"/>
    </row>
    <row r="148" spans="1:9" x14ac:dyDescent="0.15">
      <c r="A148" s="2"/>
      <c r="B148" s="2"/>
      <c r="C148" s="2"/>
      <c r="D148" s="2"/>
      <c r="E148" s="13"/>
      <c r="F148" s="2"/>
      <c r="G148" s="2"/>
      <c r="H148" s="2"/>
      <c r="I148" s="2"/>
    </row>
    <row r="149" spans="1:9" x14ac:dyDescent="0.15">
      <c r="A149" s="2"/>
      <c r="B149" s="2"/>
      <c r="C149" s="2"/>
      <c r="D149" s="2"/>
      <c r="E149" s="13"/>
      <c r="F149" s="2"/>
      <c r="G149" s="2"/>
      <c r="H149" s="2"/>
      <c r="I149" s="2"/>
    </row>
    <row r="150" spans="1:9" x14ac:dyDescent="0.15">
      <c r="A150" s="2"/>
      <c r="B150" s="2"/>
      <c r="C150" s="2"/>
      <c r="D150" s="2"/>
      <c r="E150" s="13"/>
      <c r="F150" s="2"/>
      <c r="G150" s="2"/>
      <c r="H150" s="2"/>
      <c r="I150" s="2"/>
    </row>
    <row r="151" spans="1:9" x14ac:dyDescent="0.15">
      <c r="A151" s="2"/>
      <c r="B151" s="2"/>
      <c r="C151" s="2"/>
      <c r="D151" s="2"/>
      <c r="E151" s="13"/>
      <c r="F151" s="2"/>
      <c r="G151" s="2"/>
      <c r="H151" s="2"/>
      <c r="I151" s="2"/>
    </row>
    <row r="152" spans="1:9" x14ac:dyDescent="0.15">
      <c r="A152" s="2"/>
      <c r="B152" s="2"/>
      <c r="C152" s="2"/>
      <c r="D152" s="2"/>
      <c r="E152" s="13"/>
      <c r="F152" s="2"/>
      <c r="G152" s="2"/>
      <c r="H152" s="2"/>
      <c r="I152" s="2"/>
    </row>
    <row r="153" spans="1:9" x14ac:dyDescent="0.15">
      <c r="A153" s="2"/>
      <c r="B153" s="2"/>
      <c r="C153" s="2"/>
      <c r="D153" s="2"/>
      <c r="E153" s="13"/>
      <c r="F153" s="2"/>
      <c r="G153" s="2"/>
      <c r="H153" s="2"/>
      <c r="I153" s="2"/>
    </row>
    <row r="154" spans="1:9" x14ac:dyDescent="0.15">
      <c r="A154" s="2"/>
      <c r="B154" s="2"/>
      <c r="C154" s="2"/>
      <c r="D154" s="2"/>
      <c r="E154" s="13"/>
      <c r="F154" s="2"/>
      <c r="G154" s="2"/>
      <c r="H154" s="2"/>
      <c r="I154" s="2"/>
    </row>
    <row r="155" spans="1:9" x14ac:dyDescent="0.15">
      <c r="A155" s="2"/>
      <c r="B155" s="2"/>
      <c r="C155" s="2"/>
      <c r="D155" s="2"/>
      <c r="E155" s="13"/>
      <c r="F155" s="2"/>
      <c r="G155" s="2"/>
      <c r="H155" s="2"/>
      <c r="I155" s="2"/>
    </row>
    <row r="156" spans="1:9" x14ac:dyDescent="0.15">
      <c r="A156" s="2"/>
      <c r="B156" s="2"/>
      <c r="C156" s="2"/>
      <c r="D156" s="2"/>
      <c r="E156" s="13"/>
      <c r="F156" s="2"/>
      <c r="G156" s="2"/>
      <c r="H156" s="2"/>
      <c r="I156" s="2"/>
    </row>
    <row r="157" spans="1:9" x14ac:dyDescent="0.15">
      <c r="A157" s="2"/>
      <c r="B157" s="2"/>
      <c r="C157" s="2"/>
      <c r="D157" s="2"/>
      <c r="E157" s="13"/>
      <c r="F157" s="2"/>
      <c r="G157" s="2"/>
      <c r="H157" s="2"/>
      <c r="I157" s="2"/>
    </row>
    <row r="158" spans="1:9" x14ac:dyDescent="0.15">
      <c r="A158" s="2"/>
      <c r="B158" s="2"/>
      <c r="C158" s="2"/>
      <c r="D158" s="2"/>
      <c r="E158" s="13"/>
      <c r="F158" s="2"/>
      <c r="G158" s="2"/>
      <c r="H158" s="2"/>
      <c r="I158" s="2"/>
    </row>
    <row r="159" spans="1:9" x14ac:dyDescent="0.15">
      <c r="A159" s="2"/>
      <c r="B159" s="2"/>
      <c r="C159" s="2"/>
      <c r="D159" s="2"/>
      <c r="E159" s="13"/>
      <c r="F159" s="2"/>
      <c r="G159" s="2"/>
      <c r="H159" s="2"/>
      <c r="I159" s="2"/>
    </row>
    <row r="160" spans="1:9" x14ac:dyDescent="0.15">
      <c r="A160" s="2"/>
      <c r="B160" s="2"/>
      <c r="C160" s="2"/>
      <c r="D160" s="2"/>
      <c r="E160" s="13"/>
      <c r="F160" s="2"/>
      <c r="G160" s="2"/>
      <c r="H160" s="2"/>
      <c r="I160" s="2"/>
    </row>
    <row r="161" spans="1:9" x14ac:dyDescent="0.15">
      <c r="A161" s="2"/>
      <c r="B161" s="2"/>
      <c r="C161" s="2"/>
      <c r="D161" s="2"/>
      <c r="E161" s="13"/>
      <c r="F161" s="2"/>
      <c r="G161" s="2"/>
      <c r="H161" s="2"/>
      <c r="I161" s="2"/>
    </row>
    <row r="162" spans="1:9" x14ac:dyDescent="0.15">
      <c r="A162" s="2"/>
      <c r="B162" s="2"/>
      <c r="C162" s="2"/>
      <c r="D162" s="2"/>
      <c r="E162" s="13"/>
      <c r="F162" s="2"/>
      <c r="G162" s="2"/>
      <c r="H162" s="2"/>
      <c r="I162" s="2"/>
    </row>
    <row r="163" spans="1:9" x14ac:dyDescent="0.15">
      <c r="A163" s="2"/>
      <c r="B163" s="2"/>
      <c r="C163" s="2"/>
      <c r="D163" s="2"/>
      <c r="E163" s="13"/>
      <c r="F163" s="2"/>
      <c r="G163" s="2"/>
      <c r="H163" s="2"/>
      <c r="I163" s="2"/>
    </row>
    <row r="164" spans="1:9" x14ac:dyDescent="0.15">
      <c r="A164" s="2"/>
      <c r="B164" s="2"/>
      <c r="C164" s="2"/>
      <c r="D164" s="2"/>
      <c r="E164" s="13"/>
      <c r="F164" s="2"/>
      <c r="G164" s="2"/>
      <c r="H164" s="2"/>
      <c r="I164" s="2"/>
    </row>
    <row r="165" spans="1:9" x14ac:dyDescent="0.15">
      <c r="A165" s="2"/>
      <c r="B165" s="2"/>
      <c r="C165" s="2"/>
      <c r="D165" s="2"/>
      <c r="E165" s="13"/>
      <c r="F165" s="2"/>
      <c r="G165" s="2"/>
      <c r="H165" s="2"/>
      <c r="I165" s="2"/>
    </row>
    <row r="166" spans="1:9" x14ac:dyDescent="0.15">
      <c r="A166" s="2"/>
      <c r="B166" s="2"/>
      <c r="C166" s="2"/>
      <c r="D166" s="2"/>
      <c r="E166" s="13"/>
      <c r="F166" s="2"/>
      <c r="G166" s="2"/>
      <c r="H166" s="2"/>
      <c r="I166" s="2"/>
    </row>
    <row r="167" spans="1:9" x14ac:dyDescent="0.15">
      <c r="A167" s="2"/>
      <c r="B167" s="2"/>
      <c r="C167" s="2"/>
      <c r="D167" s="2"/>
      <c r="E167" s="13"/>
      <c r="F167" s="2"/>
      <c r="G167" s="2"/>
      <c r="H167" s="2"/>
      <c r="I167" s="2"/>
    </row>
    <row r="168" spans="1:9" x14ac:dyDescent="0.15">
      <c r="A168" s="2"/>
      <c r="B168" s="2"/>
      <c r="C168" s="2"/>
      <c r="D168" s="2"/>
      <c r="E168" s="13"/>
      <c r="F168" s="2"/>
      <c r="G168" s="2"/>
      <c r="H168" s="2"/>
      <c r="I168" s="2"/>
    </row>
    <row r="169" spans="1:9" x14ac:dyDescent="0.15">
      <c r="A169" s="2"/>
      <c r="B169" s="2"/>
      <c r="C169" s="2"/>
      <c r="D169" s="2"/>
      <c r="E169" s="13"/>
      <c r="F169" s="2"/>
      <c r="G169" s="2"/>
      <c r="H169" s="2"/>
      <c r="I169" s="2"/>
    </row>
    <row r="170" spans="1:9" x14ac:dyDescent="0.15">
      <c r="A170" s="2"/>
      <c r="B170" s="2"/>
      <c r="C170" s="2"/>
      <c r="D170" s="2"/>
      <c r="E170" s="13"/>
      <c r="F170" s="2"/>
      <c r="G170" s="2"/>
      <c r="H170" s="2"/>
      <c r="I170" s="2"/>
    </row>
    <row r="171" spans="1:9" x14ac:dyDescent="0.15">
      <c r="A171" s="2"/>
      <c r="B171" s="2"/>
      <c r="C171" s="2"/>
      <c r="D171" s="2"/>
      <c r="E171" s="13"/>
      <c r="F171" s="2"/>
      <c r="G171" s="2"/>
      <c r="H171" s="2"/>
      <c r="I171" s="2"/>
    </row>
    <row r="172" spans="1:9" x14ac:dyDescent="0.15">
      <c r="A172" s="2"/>
      <c r="B172" s="2"/>
      <c r="C172" s="2"/>
      <c r="D172" s="2"/>
      <c r="E172" s="13"/>
      <c r="F172" s="2"/>
      <c r="G172" s="2"/>
      <c r="H172" s="2"/>
      <c r="I172" s="2"/>
    </row>
    <row r="173" spans="1:9" x14ac:dyDescent="0.15">
      <c r="A173" s="2"/>
      <c r="B173" s="2"/>
      <c r="C173" s="2"/>
      <c r="D173" s="2"/>
      <c r="E173" s="13"/>
      <c r="F173" s="2"/>
      <c r="G173" s="2"/>
      <c r="H173" s="2"/>
      <c r="I173" s="2"/>
    </row>
    <row r="174" spans="1:9" x14ac:dyDescent="0.15">
      <c r="A174" s="2"/>
      <c r="B174" s="2"/>
      <c r="C174" s="2"/>
      <c r="D174" s="2"/>
      <c r="E174" s="13"/>
      <c r="F174" s="2"/>
      <c r="G174" s="2"/>
      <c r="H174" s="2"/>
      <c r="I174" s="2"/>
    </row>
    <row r="175" spans="1:9" x14ac:dyDescent="0.15">
      <c r="A175" s="2"/>
      <c r="B175" s="2"/>
      <c r="C175" s="2"/>
      <c r="D175" s="2"/>
      <c r="E175" s="13"/>
      <c r="F175" s="2"/>
      <c r="G175" s="2"/>
      <c r="H175" s="2"/>
      <c r="I175" s="2"/>
    </row>
    <row r="176" spans="1:9" x14ac:dyDescent="0.15">
      <c r="A176" s="2"/>
      <c r="B176" s="2"/>
      <c r="C176" s="2"/>
      <c r="D176" s="2"/>
      <c r="E176" s="13"/>
      <c r="F176" s="2"/>
      <c r="G176" s="2"/>
      <c r="H176" s="2"/>
      <c r="I176" s="2"/>
    </row>
    <row r="177" spans="1:9" x14ac:dyDescent="0.15">
      <c r="A177" s="2"/>
      <c r="B177" s="2"/>
      <c r="C177" s="2"/>
      <c r="D177" s="2"/>
      <c r="E177" s="13"/>
      <c r="F177" s="2"/>
      <c r="G177" s="2"/>
      <c r="H177" s="2"/>
      <c r="I177" s="2"/>
    </row>
    <row r="178" spans="1:9" x14ac:dyDescent="0.15">
      <c r="A178" s="2"/>
      <c r="B178" s="2"/>
      <c r="C178" s="2"/>
      <c r="D178" s="2"/>
      <c r="E178" s="13"/>
      <c r="F178" s="2"/>
      <c r="G178" s="2"/>
      <c r="H178" s="2"/>
      <c r="I178" s="2"/>
    </row>
    <row r="179" spans="1:9" x14ac:dyDescent="0.15">
      <c r="A179" s="2"/>
      <c r="B179" s="2"/>
      <c r="C179" s="2"/>
      <c r="D179" s="2"/>
      <c r="E179" s="13"/>
      <c r="F179" s="2"/>
      <c r="G179" s="2"/>
      <c r="H179" s="2"/>
      <c r="I179" s="2"/>
    </row>
    <row r="180" spans="1:9" x14ac:dyDescent="0.15">
      <c r="A180" s="2"/>
      <c r="B180" s="2"/>
      <c r="C180" s="2"/>
      <c r="D180" s="2"/>
      <c r="E180" s="13"/>
      <c r="F180" s="2"/>
      <c r="G180" s="2"/>
      <c r="H180" s="2"/>
      <c r="I180" s="2"/>
    </row>
    <row r="181" spans="1:9" x14ac:dyDescent="0.15">
      <c r="A181" s="2"/>
      <c r="B181" s="2"/>
      <c r="C181" s="2"/>
      <c r="D181" s="2"/>
      <c r="E181" s="13"/>
      <c r="F181" s="2"/>
      <c r="G181" s="2"/>
      <c r="H181" s="2"/>
      <c r="I181" s="2"/>
    </row>
    <row r="182" spans="1:9" x14ac:dyDescent="0.15">
      <c r="A182" s="2"/>
      <c r="B182" s="2"/>
      <c r="C182" s="2"/>
      <c r="D182" s="2"/>
      <c r="E182" s="13"/>
      <c r="F182" s="2"/>
      <c r="G182" s="2"/>
      <c r="H182" s="2"/>
      <c r="I182" s="2"/>
    </row>
    <row r="183" spans="1:9" x14ac:dyDescent="0.15">
      <c r="A183" s="2"/>
      <c r="B183" s="2"/>
      <c r="C183" s="2"/>
      <c r="D183" s="2"/>
      <c r="E183" s="13"/>
      <c r="F183" s="2"/>
      <c r="G183" s="2"/>
      <c r="H183" s="2"/>
      <c r="I183" s="2"/>
    </row>
    <row r="184" spans="1:9" x14ac:dyDescent="0.15">
      <c r="A184" s="2"/>
      <c r="B184" s="2"/>
      <c r="C184" s="2"/>
      <c r="D184" s="2"/>
      <c r="E184" s="13"/>
      <c r="F184" s="2"/>
      <c r="G184" s="2"/>
      <c r="H184" s="2"/>
      <c r="I184" s="2"/>
    </row>
    <row r="185" spans="1:9" x14ac:dyDescent="0.15">
      <c r="A185" s="2"/>
      <c r="B185" s="2"/>
      <c r="C185" s="2"/>
      <c r="D185" s="2"/>
      <c r="E185" s="13"/>
      <c r="F185" s="2"/>
      <c r="G185" s="2"/>
      <c r="H185" s="2"/>
      <c r="I185" s="2"/>
    </row>
    <row r="186" spans="1:9" x14ac:dyDescent="0.15">
      <c r="A186" s="2"/>
      <c r="B186" s="2"/>
      <c r="C186" s="2"/>
      <c r="D186" s="2"/>
      <c r="E186" s="13"/>
      <c r="F186" s="2"/>
      <c r="G186" s="2"/>
      <c r="H186" s="2"/>
      <c r="I186" s="2"/>
    </row>
    <row r="187" spans="1:9" x14ac:dyDescent="0.15">
      <c r="A187" s="2"/>
      <c r="B187" s="2"/>
      <c r="C187" s="2"/>
      <c r="D187" s="2"/>
      <c r="E187" s="13"/>
      <c r="F187" s="2"/>
      <c r="G187" s="2"/>
      <c r="H187" s="2"/>
      <c r="I187" s="2"/>
    </row>
    <row r="188" spans="1:9" x14ac:dyDescent="0.15">
      <c r="A188" s="2"/>
      <c r="B188" s="2"/>
      <c r="C188" s="2"/>
      <c r="D188" s="2"/>
      <c r="E188" s="13"/>
      <c r="F188" s="2"/>
      <c r="G188" s="2"/>
      <c r="H188" s="2"/>
      <c r="I188" s="2"/>
    </row>
    <row r="189" spans="1:9" x14ac:dyDescent="0.15">
      <c r="A189" s="2"/>
      <c r="B189" s="2"/>
      <c r="C189" s="2"/>
      <c r="D189" s="2"/>
      <c r="E189" s="13"/>
      <c r="F189" s="2"/>
      <c r="G189" s="2"/>
      <c r="H189" s="2"/>
      <c r="I189" s="2"/>
    </row>
    <row r="190" spans="1:9" x14ac:dyDescent="0.15">
      <c r="A190" s="2"/>
      <c r="B190" s="2"/>
      <c r="C190" s="2"/>
      <c r="D190" s="2"/>
      <c r="E190" s="13"/>
      <c r="F190" s="2"/>
      <c r="G190" s="2"/>
      <c r="H190" s="2"/>
      <c r="I190" s="2"/>
    </row>
    <row r="191" spans="1:9" x14ac:dyDescent="0.15">
      <c r="A191" s="2"/>
      <c r="B191" s="2"/>
      <c r="C191" s="2"/>
      <c r="D191" s="2"/>
      <c r="E191" s="13"/>
      <c r="F191" s="2"/>
      <c r="G191" s="2"/>
      <c r="H191" s="2"/>
      <c r="I191" s="2"/>
    </row>
    <row r="192" spans="1:9" x14ac:dyDescent="0.15">
      <c r="A192" s="2"/>
      <c r="B192" s="2"/>
      <c r="C192" s="2"/>
      <c r="D192" s="2"/>
      <c r="E192" s="13"/>
      <c r="F192" s="2"/>
      <c r="G192" s="2"/>
      <c r="H192" s="2"/>
      <c r="I192" s="2"/>
    </row>
    <row r="193" spans="1:9" x14ac:dyDescent="0.15">
      <c r="A193" s="2"/>
      <c r="B193" s="2"/>
      <c r="C193" s="2"/>
      <c r="D193" s="2"/>
      <c r="E193" s="13"/>
      <c r="F193" s="2"/>
      <c r="G193" s="2"/>
      <c r="H193" s="2"/>
      <c r="I193" s="2"/>
    </row>
    <row r="194" spans="1:9" x14ac:dyDescent="0.15">
      <c r="A194" s="2"/>
      <c r="B194" s="2"/>
      <c r="C194" s="2"/>
      <c r="D194" s="2"/>
      <c r="E194" s="13"/>
      <c r="F194" s="2"/>
      <c r="G194" s="2"/>
      <c r="H194" s="2"/>
      <c r="I194" s="2"/>
    </row>
    <row r="195" spans="1:9" x14ac:dyDescent="0.15">
      <c r="A195" s="2"/>
      <c r="B195" s="2"/>
      <c r="C195" s="2"/>
      <c r="D195" s="2"/>
      <c r="E195" s="13"/>
      <c r="F195" s="2"/>
      <c r="G195" s="2"/>
      <c r="H195" s="2"/>
      <c r="I195" s="2"/>
    </row>
    <row r="196" spans="1:9" x14ac:dyDescent="0.15">
      <c r="A196" s="2"/>
      <c r="B196" s="2"/>
      <c r="C196" s="2"/>
      <c r="D196" s="2"/>
      <c r="E196" s="13"/>
      <c r="F196" s="2"/>
      <c r="G196" s="2"/>
      <c r="H196" s="2"/>
      <c r="I196" s="2"/>
    </row>
    <row r="197" spans="1:9" x14ac:dyDescent="0.15">
      <c r="A197" s="2"/>
      <c r="B197" s="2"/>
      <c r="C197" s="2"/>
      <c r="D197" s="2"/>
      <c r="E197" s="13"/>
      <c r="F197" s="2"/>
      <c r="G197" s="2"/>
      <c r="H197" s="2"/>
      <c r="I197" s="2"/>
    </row>
    <row r="198" spans="1:9" x14ac:dyDescent="0.15">
      <c r="A198" s="2"/>
      <c r="B198" s="2"/>
      <c r="C198" s="2"/>
      <c r="D198" s="2"/>
      <c r="E198" s="13"/>
      <c r="F198" s="2"/>
      <c r="G198" s="2"/>
      <c r="H198" s="2"/>
      <c r="I198" s="2"/>
    </row>
    <row r="199" spans="1:9" x14ac:dyDescent="0.15">
      <c r="A199" s="2"/>
      <c r="B199" s="2"/>
      <c r="C199" s="2"/>
      <c r="D199" s="2"/>
      <c r="E199" s="13"/>
      <c r="F199" s="2"/>
      <c r="G199" s="2"/>
      <c r="H199" s="2"/>
      <c r="I199" s="2"/>
    </row>
    <row r="200" spans="1:9" x14ac:dyDescent="0.15">
      <c r="A200" s="2"/>
      <c r="B200" s="2"/>
      <c r="C200" s="2"/>
      <c r="D200" s="2"/>
      <c r="E200" s="13"/>
      <c r="F200" s="2"/>
      <c r="G200" s="2"/>
      <c r="H200" s="2"/>
      <c r="I200" s="2"/>
    </row>
    <row r="201" spans="1:9" x14ac:dyDescent="0.15">
      <c r="A201" s="2"/>
      <c r="B201" s="2"/>
      <c r="C201" s="2"/>
      <c r="D201" s="2"/>
      <c r="E201" s="13"/>
      <c r="F201" s="2"/>
      <c r="G201" s="2"/>
      <c r="H201" s="2"/>
      <c r="I201" s="2"/>
    </row>
    <row r="202" spans="1:9" x14ac:dyDescent="0.15">
      <c r="A202" s="2"/>
      <c r="B202" s="2"/>
      <c r="C202" s="2"/>
      <c r="D202" s="2"/>
      <c r="E202" s="13"/>
      <c r="F202" s="2"/>
      <c r="G202" s="2"/>
      <c r="H202" s="2"/>
      <c r="I202" s="2"/>
    </row>
    <row r="203" spans="1:9" x14ac:dyDescent="0.15">
      <c r="A203" s="2"/>
      <c r="B203" s="2"/>
      <c r="C203" s="2"/>
      <c r="D203" s="2"/>
      <c r="E203" s="13"/>
      <c r="F203" s="2"/>
      <c r="G203" s="2"/>
      <c r="H203" s="2"/>
      <c r="I203" s="2"/>
    </row>
    <row r="204" spans="1:9" x14ac:dyDescent="0.15">
      <c r="A204" s="2"/>
      <c r="B204" s="2"/>
      <c r="C204" s="2"/>
      <c r="D204" s="2"/>
      <c r="E204" s="13"/>
      <c r="F204" s="2"/>
      <c r="G204" s="2"/>
      <c r="H204" s="2"/>
      <c r="I204" s="2"/>
    </row>
    <row r="205" spans="1:9" x14ac:dyDescent="0.15">
      <c r="A205" s="2"/>
      <c r="B205" s="2"/>
      <c r="C205" s="2"/>
      <c r="D205" s="2"/>
      <c r="E205" s="13"/>
      <c r="F205" s="2"/>
      <c r="G205" s="2"/>
      <c r="H205" s="2"/>
      <c r="I205" s="2"/>
    </row>
    <row r="206" spans="1:9" x14ac:dyDescent="0.15">
      <c r="A206" s="2"/>
      <c r="B206" s="2"/>
      <c r="C206" s="2"/>
      <c r="D206" s="2"/>
      <c r="E206" s="13"/>
      <c r="F206" s="2"/>
      <c r="G206" s="2"/>
      <c r="H206" s="2"/>
      <c r="I206" s="2"/>
    </row>
    <row r="207" spans="1:9" x14ac:dyDescent="0.15">
      <c r="A207" s="2"/>
      <c r="B207" s="2"/>
      <c r="C207" s="2"/>
      <c r="D207" s="2"/>
      <c r="E207" s="13"/>
      <c r="F207" s="2"/>
      <c r="G207" s="2"/>
      <c r="H207" s="2"/>
      <c r="I207" s="2"/>
    </row>
    <row r="208" spans="1:9" x14ac:dyDescent="0.15">
      <c r="A208" s="2"/>
      <c r="B208" s="2"/>
      <c r="C208" s="2"/>
      <c r="D208" s="2"/>
      <c r="E208" s="13"/>
      <c r="F208" s="2"/>
      <c r="G208" s="2"/>
      <c r="H208" s="2"/>
      <c r="I208" s="2"/>
    </row>
    <row r="209" spans="1:9" x14ac:dyDescent="0.15">
      <c r="A209" s="2"/>
      <c r="B209" s="2"/>
      <c r="C209" s="2"/>
      <c r="D209" s="2"/>
      <c r="E209" s="13"/>
      <c r="F209" s="2"/>
      <c r="G209" s="2"/>
      <c r="H209" s="2"/>
      <c r="I209" s="2"/>
    </row>
    <row r="210" spans="1:9" x14ac:dyDescent="0.15">
      <c r="A210" s="2"/>
      <c r="B210" s="2"/>
      <c r="C210" s="2"/>
      <c r="D210" s="2"/>
      <c r="E210" s="13"/>
      <c r="F210" s="2"/>
      <c r="G210" s="2"/>
      <c r="H210" s="2"/>
      <c r="I210" s="2"/>
    </row>
    <row r="211" spans="1:9" x14ac:dyDescent="0.15">
      <c r="A211" s="2"/>
      <c r="B211" s="2"/>
      <c r="C211" s="2"/>
      <c r="D211" s="2"/>
      <c r="E211" s="13"/>
      <c r="F211" s="2"/>
      <c r="G211" s="2"/>
      <c r="H211" s="2"/>
      <c r="I211" s="2"/>
    </row>
    <row r="212" spans="1:9" x14ac:dyDescent="0.15">
      <c r="A212" s="2"/>
      <c r="B212" s="2"/>
      <c r="C212" s="2"/>
      <c r="D212" s="2"/>
      <c r="E212" s="13"/>
      <c r="F212" s="2"/>
      <c r="G212" s="2"/>
      <c r="H212" s="2"/>
      <c r="I212" s="2"/>
    </row>
    <row r="213" spans="1:9" x14ac:dyDescent="0.15">
      <c r="A213" s="2"/>
      <c r="B213" s="2"/>
      <c r="C213" s="2"/>
      <c r="D213" s="2"/>
      <c r="E213" s="13"/>
      <c r="F213" s="2"/>
      <c r="G213" s="2"/>
      <c r="H213" s="2"/>
      <c r="I213" s="2"/>
    </row>
    <row r="214" spans="1:9" x14ac:dyDescent="0.15">
      <c r="A214" s="2"/>
      <c r="B214" s="2"/>
      <c r="C214" s="2"/>
      <c r="D214" s="2"/>
      <c r="E214" s="13"/>
      <c r="F214" s="2"/>
      <c r="G214" s="2"/>
      <c r="H214" s="2"/>
      <c r="I214" s="2"/>
    </row>
    <row r="215" spans="1:9" x14ac:dyDescent="0.15">
      <c r="A215" s="2"/>
      <c r="B215" s="2"/>
      <c r="C215" s="2"/>
      <c r="D215" s="2"/>
      <c r="E215" s="13"/>
      <c r="F215" s="2"/>
      <c r="G215" s="2"/>
      <c r="H215" s="2"/>
      <c r="I215" s="2"/>
    </row>
    <row r="216" spans="1:9" x14ac:dyDescent="0.15">
      <c r="A216" s="2"/>
      <c r="B216" s="2"/>
      <c r="C216" s="2"/>
      <c r="D216" s="2"/>
      <c r="E216" s="13"/>
      <c r="F216" s="2"/>
      <c r="G216" s="2"/>
      <c r="H216" s="2"/>
      <c r="I216" s="2"/>
    </row>
    <row r="217" spans="1:9" x14ac:dyDescent="0.15">
      <c r="A217" s="2"/>
      <c r="B217" s="2"/>
      <c r="C217" s="2"/>
      <c r="D217" s="2"/>
      <c r="E217" s="13"/>
      <c r="F217" s="2"/>
      <c r="G217" s="2"/>
      <c r="H217" s="2"/>
      <c r="I217" s="2"/>
    </row>
    <row r="218" spans="1:9" x14ac:dyDescent="0.15">
      <c r="A218" s="2"/>
      <c r="B218" s="2"/>
      <c r="C218" s="2"/>
      <c r="D218" s="2"/>
      <c r="E218" s="13"/>
      <c r="F218" s="2"/>
      <c r="G218" s="2"/>
      <c r="H218" s="2"/>
      <c r="I218" s="2"/>
    </row>
    <row r="219" spans="1:9" x14ac:dyDescent="0.15">
      <c r="A219" s="2"/>
      <c r="B219" s="2"/>
      <c r="C219" s="2"/>
      <c r="D219" s="2"/>
      <c r="E219" s="13"/>
      <c r="F219" s="2"/>
      <c r="G219" s="2"/>
      <c r="H219" s="2"/>
      <c r="I219" s="2"/>
    </row>
    <row r="220" spans="1:9" x14ac:dyDescent="0.15">
      <c r="A220" s="2"/>
      <c r="B220" s="2"/>
      <c r="C220" s="2"/>
      <c r="D220" s="2"/>
      <c r="E220" s="13"/>
      <c r="F220" s="2"/>
      <c r="G220" s="2"/>
      <c r="H220" s="2"/>
      <c r="I220" s="2"/>
    </row>
    <row r="221" spans="1:9" x14ac:dyDescent="0.15">
      <c r="A221" s="2"/>
      <c r="B221" s="2"/>
      <c r="C221" s="2"/>
      <c r="D221" s="2"/>
      <c r="E221" s="13"/>
      <c r="F221" s="2"/>
      <c r="G221" s="2"/>
      <c r="H221" s="2"/>
      <c r="I221" s="2"/>
    </row>
    <row r="222" spans="1:9" x14ac:dyDescent="0.15">
      <c r="A222" s="2"/>
      <c r="B222" s="2"/>
      <c r="C222" s="2"/>
      <c r="D222" s="2"/>
      <c r="E222" s="13"/>
      <c r="F222" s="2"/>
      <c r="G222" s="2"/>
      <c r="H222" s="2"/>
      <c r="I222" s="2"/>
    </row>
    <row r="223" spans="1:9" x14ac:dyDescent="0.15">
      <c r="A223" s="2"/>
      <c r="B223" s="2"/>
      <c r="C223" s="2"/>
      <c r="D223" s="2"/>
      <c r="E223" s="13"/>
      <c r="F223" s="2"/>
      <c r="G223" s="2"/>
      <c r="H223" s="2"/>
      <c r="I223" s="2"/>
    </row>
    <row r="224" spans="1:9" x14ac:dyDescent="0.15">
      <c r="A224" s="2"/>
      <c r="B224" s="2"/>
      <c r="C224" s="2"/>
      <c r="D224" s="2"/>
      <c r="E224" s="13"/>
      <c r="F224" s="2"/>
      <c r="G224" s="2"/>
      <c r="H224" s="2"/>
      <c r="I224" s="2"/>
    </row>
    <row r="225" spans="1:9" x14ac:dyDescent="0.15">
      <c r="A225" s="2"/>
      <c r="B225" s="2"/>
      <c r="C225" s="2"/>
      <c r="D225" s="2"/>
      <c r="E225" s="13"/>
      <c r="F225" s="2"/>
      <c r="G225" s="2"/>
      <c r="H225" s="2"/>
      <c r="I225" s="2"/>
    </row>
    <row r="226" spans="1:9" x14ac:dyDescent="0.15">
      <c r="A226" s="2"/>
      <c r="B226" s="2"/>
      <c r="C226" s="2"/>
      <c r="D226" s="2"/>
      <c r="E226" s="13"/>
      <c r="F226" s="2"/>
      <c r="G226" s="2"/>
      <c r="H226" s="2"/>
      <c r="I226" s="2"/>
    </row>
    <row r="227" spans="1:9" x14ac:dyDescent="0.15">
      <c r="A227" s="2"/>
      <c r="B227" s="2"/>
      <c r="C227" s="2"/>
      <c r="D227" s="2"/>
      <c r="E227" s="13"/>
      <c r="F227" s="2"/>
      <c r="G227" s="2"/>
      <c r="H227" s="2"/>
      <c r="I227" s="2"/>
    </row>
    <row r="228" spans="1:9" x14ac:dyDescent="0.15">
      <c r="A228" s="2"/>
      <c r="B228" s="2"/>
      <c r="C228" s="2"/>
      <c r="D228" s="2"/>
      <c r="E228" s="13"/>
      <c r="F228" s="2"/>
      <c r="G228" s="2"/>
      <c r="H228" s="2"/>
      <c r="I228" s="2"/>
    </row>
    <row r="229" spans="1:9" x14ac:dyDescent="0.15">
      <c r="A229" s="2"/>
      <c r="B229" s="2"/>
      <c r="C229" s="2"/>
      <c r="D229" s="2"/>
      <c r="E229" s="13"/>
      <c r="F229" s="2"/>
      <c r="G229" s="2"/>
      <c r="H229" s="2"/>
      <c r="I229" s="2"/>
    </row>
    <row r="230" spans="1:9" x14ac:dyDescent="0.15">
      <c r="A230" s="2"/>
      <c r="B230" s="2"/>
      <c r="C230" s="2"/>
      <c r="D230" s="2"/>
      <c r="E230" s="13"/>
      <c r="F230" s="2"/>
      <c r="G230" s="2"/>
      <c r="H230" s="2"/>
      <c r="I230" s="2"/>
    </row>
    <row r="231" spans="1:9" x14ac:dyDescent="0.15">
      <c r="A231" s="2"/>
      <c r="B231" s="2"/>
      <c r="C231" s="2"/>
      <c r="D231" s="2"/>
      <c r="E231" s="13"/>
      <c r="F231" s="2"/>
      <c r="G231" s="2"/>
      <c r="H231" s="2"/>
      <c r="I231" s="2"/>
    </row>
    <row r="232" spans="1:9" x14ac:dyDescent="0.15">
      <c r="A232" s="2"/>
      <c r="B232" s="2"/>
      <c r="C232" s="2"/>
      <c r="D232" s="2"/>
      <c r="E232" s="13"/>
      <c r="F232" s="2"/>
      <c r="G232" s="2"/>
      <c r="H232" s="2"/>
      <c r="I232" s="2"/>
    </row>
    <row r="233" spans="1:9" x14ac:dyDescent="0.15">
      <c r="A233" s="2"/>
      <c r="B233" s="2"/>
      <c r="C233" s="2"/>
      <c r="D233" s="2"/>
      <c r="E233" s="13"/>
      <c r="F233" s="2"/>
      <c r="G233" s="2"/>
      <c r="H233" s="2"/>
      <c r="I233" s="2"/>
    </row>
    <row r="234" spans="1:9" x14ac:dyDescent="0.15">
      <c r="A234" s="2"/>
      <c r="B234" s="2"/>
      <c r="C234" s="2"/>
      <c r="D234" s="2"/>
      <c r="E234" s="13"/>
      <c r="F234" s="2"/>
      <c r="G234" s="2"/>
      <c r="H234" s="2"/>
      <c r="I234" s="2"/>
    </row>
    <row r="235" spans="1:9" x14ac:dyDescent="0.15">
      <c r="A235" s="2"/>
      <c r="B235" s="2"/>
      <c r="C235" s="2"/>
      <c r="D235" s="2"/>
      <c r="E235" s="13"/>
      <c r="F235" s="2"/>
      <c r="G235" s="2"/>
      <c r="H235" s="2"/>
      <c r="I235" s="2"/>
    </row>
    <row r="236" spans="1:9" x14ac:dyDescent="0.15">
      <c r="A236" s="2"/>
      <c r="B236" s="2"/>
      <c r="C236" s="2"/>
      <c r="D236" s="2"/>
      <c r="E236" s="13"/>
      <c r="F236" s="2"/>
      <c r="G236" s="2"/>
      <c r="H236" s="2"/>
      <c r="I236" s="2"/>
    </row>
    <row r="237" spans="1:9" x14ac:dyDescent="0.15">
      <c r="A237" s="2"/>
      <c r="B237" s="2"/>
      <c r="C237" s="2"/>
      <c r="D237" s="2"/>
      <c r="E237" s="13"/>
      <c r="F237" s="2"/>
      <c r="G237" s="2"/>
      <c r="H237" s="2"/>
      <c r="I237" s="2"/>
    </row>
    <row r="238" spans="1:9" x14ac:dyDescent="0.15">
      <c r="A238" s="2"/>
      <c r="B238" s="2"/>
      <c r="C238" s="2"/>
      <c r="D238" s="2"/>
      <c r="E238" s="13"/>
      <c r="F238" s="2"/>
      <c r="G238" s="2"/>
      <c r="H238" s="2"/>
      <c r="I238" s="2"/>
    </row>
    <row r="239" spans="1:9" x14ac:dyDescent="0.15">
      <c r="A239" s="2"/>
      <c r="B239" s="2"/>
      <c r="C239" s="2"/>
      <c r="D239" s="2"/>
      <c r="E239" s="13"/>
      <c r="F239" s="2"/>
      <c r="G239" s="2"/>
      <c r="H239" s="2"/>
      <c r="I239" s="2"/>
    </row>
    <row r="240" spans="1:9" x14ac:dyDescent="0.15">
      <c r="A240" s="2"/>
      <c r="B240" s="2"/>
      <c r="C240" s="2"/>
      <c r="D240" s="2"/>
      <c r="E240" s="13"/>
      <c r="F240" s="2"/>
      <c r="G240" s="2"/>
      <c r="H240" s="2"/>
      <c r="I240" s="2"/>
    </row>
    <row r="241" spans="1:9" x14ac:dyDescent="0.15">
      <c r="A241" s="2"/>
      <c r="B241" s="2"/>
      <c r="C241" s="2"/>
      <c r="D241" s="2"/>
      <c r="E241" s="13"/>
      <c r="F241" s="2"/>
      <c r="G241" s="2"/>
      <c r="H241" s="2"/>
      <c r="I241" s="2"/>
    </row>
    <row r="242" spans="1:9" x14ac:dyDescent="0.15">
      <c r="A242" s="2"/>
      <c r="B242" s="2"/>
      <c r="C242" s="2"/>
      <c r="D242" s="2"/>
      <c r="E242" s="13"/>
      <c r="F242" s="2"/>
      <c r="G242" s="2"/>
      <c r="H242" s="2"/>
      <c r="I242" s="2"/>
    </row>
    <row r="243" spans="1:9" x14ac:dyDescent="0.15">
      <c r="A243" s="2"/>
      <c r="B243" s="2"/>
      <c r="C243" s="2"/>
      <c r="D243" s="2"/>
      <c r="E243" s="13"/>
      <c r="F243" s="2"/>
      <c r="G243" s="2"/>
      <c r="H243" s="2"/>
      <c r="I243" s="2"/>
    </row>
    <row r="244" spans="1:9" x14ac:dyDescent="0.15">
      <c r="A244" s="2"/>
      <c r="B244" s="2"/>
      <c r="C244" s="2"/>
      <c r="D244" s="2"/>
      <c r="E244" s="13"/>
      <c r="F244" s="2"/>
      <c r="G244" s="2"/>
      <c r="H244" s="2"/>
      <c r="I244" s="2"/>
    </row>
    <row r="245" spans="1:9" x14ac:dyDescent="0.15">
      <c r="A245" s="2"/>
      <c r="B245" s="2"/>
      <c r="C245" s="2"/>
      <c r="D245" s="2"/>
      <c r="E245" s="13"/>
      <c r="F245" s="2"/>
      <c r="G245" s="2"/>
      <c r="H245" s="2"/>
      <c r="I245" s="2"/>
    </row>
    <row r="246" spans="1:9" x14ac:dyDescent="0.15">
      <c r="A246" s="2"/>
      <c r="B246" s="2"/>
      <c r="C246" s="2"/>
      <c r="D246" s="2"/>
      <c r="E246" s="13"/>
      <c r="F246" s="2"/>
      <c r="G246" s="2"/>
      <c r="H246" s="2"/>
      <c r="I246" s="2"/>
    </row>
    <row r="247" spans="1:9" x14ac:dyDescent="0.15">
      <c r="A247" s="2"/>
      <c r="B247" s="2"/>
      <c r="C247" s="2"/>
      <c r="D247" s="2"/>
      <c r="E247" s="13"/>
      <c r="F247" s="2"/>
      <c r="G247" s="2"/>
      <c r="H247" s="2"/>
      <c r="I247" s="2"/>
    </row>
    <row r="248" spans="1:9" x14ac:dyDescent="0.15">
      <c r="A248" s="2"/>
      <c r="B248" s="2"/>
      <c r="C248" s="2"/>
      <c r="D248" s="2"/>
      <c r="E248" s="13"/>
      <c r="F248" s="2"/>
      <c r="G248" s="2"/>
      <c r="H248" s="2"/>
      <c r="I248" s="2"/>
    </row>
    <row r="249" spans="1:9" x14ac:dyDescent="0.15">
      <c r="A249" s="2"/>
      <c r="B249" s="2"/>
      <c r="C249" s="2"/>
      <c r="D249" s="2"/>
      <c r="E249" s="13"/>
      <c r="F249" s="2"/>
      <c r="G249" s="2"/>
      <c r="H249" s="2"/>
      <c r="I249" s="2"/>
    </row>
    <row r="250" spans="1:9" x14ac:dyDescent="0.15">
      <c r="A250" s="2"/>
      <c r="B250" s="2"/>
      <c r="C250" s="2"/>
      <c r="D250" s="2"/>
      <c r="E250" s="13"/>
      <c r="F250" s="2"/>
      <c r="G250" s="2"/>
      <c r="H250" s="2"/>
      <c r="I250" s="2"/>
    </row>
    <row r="251" spans="1:9" x14ac:dyDescent="0.15">
      <c r="A251" s="2"/>
      <c r="B251" s="2"/>
      <c r="C251" s="2"/>
      <c r="D251" s="2"/>
      <c r="E251" s="13"/>
      <c r="F251" s="2"/>
      <c r="G251" s="2"/>
      <c r="H251" s="2"/>
      <c r="I251" s="2"/>
    </row>
    <row r="252" spans="1:9" x14ac:dyDescent="0.15">
      <c r="A252" s="2"/>
      <c r="B252" s="2"/>
      <c r="C252" s="2"/>
      <c r="D252" s="2"/>
      <c r="E252" s="13"/>
      <c r="F252" s="2"/>
      <c r="G252" s="2"/>
      <c r="H252" s="2"/>
      <c r="I252" s="2"/>
    </row>
    <row r="253" spans="1:9" x14ac:dyDescent="0.15">
      <c r="A253" s="2"/>
      <c r="B253" s="2"/>
      <c r="C253" s="2"/>
      <c r="D253" s="2"/>
      <c r="E253" s="13"/>
      <c r="F253" s="2"/>
      <c r="G253" s="2"/>
      <c r="H253" s="2"/>
      <c r="I253" s="2"/>
    </row>
    <row r="254" spans="1:9" x14ac:dyDescent="0.15">
      <c r="A254" s="2"/>
      <c r="B254" s="2"/>
      <c r="C254" s="2"/>
      <c r="D254" s="2"/>
      <c r="E254" s="13"/>
      <c r="F254" s="2"/>
      <c r="G254" s="2"/>
      <c r="H254" s="2"/>
      <c r="I254" s="2"/>
    </row>
    <row r="255" spans="1:9" x14ac:dyDescent="0.15">
      <c r="A255" s="2"/>
      <c r="B255" s="2"/>
      <c r="C255" s="2"/>
      <c r="D255" s="2"/>
      <c r="E255" s="13"/>
      <c r="F255" s="2"/>
      <c r="G255" s="2"/>
      <c r="H255" s="2"/>
      <c r="I255" s="2"/>
    </row>
    <row r="256" spans="1:9" x14ac:dyDescent="0.15">
      <c r="A256" s="2"/>
      <c r="B256" s="2"/>
      <c r="C256" s="2"/>
      <c r="D256" s="2"/>
      <c r="E256" s="13"/>
      <c r="F256" s="2"/>
      <c r="G256" s="2"/>
      <c r="H256" s="2"/>
      <c r="I256" s="2"/>
    </row>
    <row r="257" spans="1:9" x14ac:dyDescent="0.15">
      <c r="A257" s="2"/>
      <c r="B257" s="2"/>
      <c r="C257" s="2"/>
      <c r="D257" s="2"/>
      <c r="E257" s="13"/>
      <c r="F257" s="2"/>
      <c r="G257" s="2"/>
      <c r="H257" s="2"/>
      <c r="I257" s="2"/>
    </row>
    <row r="258" spans="1:9" x14ac:dyDescent="0.15">
      <c r="A258" s="2"/>
      <c r="B258" s="2"/>
      <c r="C258" s="2"/>
      <c r="D258" s="2"/>
      <c r="E258" s="13"/>
      <c r="F258" s="2"/>
      <c r="G258" s="2"/>
      <c r="H258" s="2"/>
      <c r="I258" s="2"/>
    </row>
    <row r="259" spans="1:9" x14ac:dyDescent="0.15">
      <c r="A259" s="2"/>
      <c r="B259" s="2"/>
      <c r="C259" s="2"/>
      <c r="D259" s="2"/>
      <c r="E259" s="13"/>
      <c r="F259" s="2"/>
      <c r="G259" s="2"/>
      <c r="H259" s="2"/>
      <c r="I259" s="2"/>
    </row>
    <row r="260" spans="1:9" x14ac:dyDescent="0.15">
      <c r="A260" s="2"/>
      <c r="B260" s="2"/>
      <c r="C260" s="2"/>
      <c r="D260" s="2"/>
      <c r="E260" s="13"/>
      <c r="F260" s="2"/>
      <c r="G260" s="2"/>
      <c r="H260" s="2"/>
      <c r="I260" s="2"/>
    </row>
    <row r="261" spans="1:9" x14ac:dyDescent="0.15">
      <c r="A261" s="2"/>
      <c r="B261" s="2"/>
      <c r="C261" s="2"/>
      <c r="D261" s="2"/>
      <c r="E261" s="13"/>
      <c r="F261" s="2"/>
      <c r="G261" s="2"/>
      <c r="H261" s="2"/>
      <c r="I261" s="2"/>
    </row>
    <row r="262" spans="1:9" x14ac:dyDescent="0.15">
      <c r="A262" s="2"/>
      <c r="B262" s="2"/>
      <c r="C262" s="2"/>
      <c r="D262" s="2"/>
      <c r="E262" s="13"/>
      <c r="F262" s="2"/>
      <c r="G262" s="2"/>
      <c r="H262" s="2"/>
      <c r="I262" s="2"/>
    </row>
    <row r="263" spans="1:9" x14ac:dyDescent="0.15">
      <c r="A263" s="2"/>
      <c r="B263" s="2"/>
      <c r="C263" s="2"/>
      <c r="D263" s="2"/>
      <c r="E263" s="13"/>
      <c r="F263" s="2"/>
      <c r="G263" s="2"/>
      <c r="H263" s="2"/>
      <c r="I263" s="2"/>
    </row>
    <row r="264" spans="1:9" x14ac:dyDescent="0.15">
      <c r="A264" s="2"/>
      <c r="B264" s="2"/>
      <c r="C264" s="2"/>
      <c r="D264" s="2"/>
      <c r="E264" s="13"/>
      <c r="F264" s="2"/>
      <c r="G264" s="2"/>
      <c r="H264" s="2"/>
      <c r="I264" s="2"/>
    </row>
    <row r="265" spans="1:9" x14ac:dyDescent="0.15">
      <c r="A265" s="2"/>
      <c r="B265" s="2"/>
      <c r="C265" s="2"/>
      <c r="D265" s="2"/>
      <c r="E265" s="13"/>
      <c r="F265" s="2"/>
      <c r="G265" s="2"/>
      <c r="H265" s="2"/>
      <c r="I265" s="2"/>
    </row>
    <row r="266" spans="1:9" x14ac:dyDescent="0.15">
      <c r="A266" s="2"/>
      <c r="B266" s="2"/>
      <c r="C266" s="2"/>
      <c r="D266" s="2"/>
      <c r="E266" s="13"/>
      <c r="F266" s="2"/>
      <c r="G266" s="2"/>
      <c r="H266" s="2"/>
      <c r="I266" s="2"/>
    </row>
    <row r="267" spans="1:9" x14ac:dyDescent="0.15">
      <c r="A267" s="2"/>
      <c r="B267" s="2"/>
      <c r="C267" s="2"/>
      <c r="D267" s="2"/>
      <c r="E267" s="13"/>
      <c r="F267" s="2"/>
      <c r="G267" s="2"/>
      <c r="H267" s="2"/>
      <c r="I267" s="2"/>
    </row>
    <row r="268" spans="1:9" x14ac:dyDescent="0.15">
      <c r="A268" s="2"/>
      <c r="B268" s="2"/>
      <c r="C268" s="2"/>
      <c r="D268" s="2"/>
      <c r="E268" s="13"/>
      <c r="F268" s="2"/>
      <c r="G268" s="2"/>
      <c r="H268" s="2"/>
      <c r="I268" s="2"/>
    </row>
    <row r="269" spans="1:9" x14ac:dyDescent="0.15">
      <c r="A269" s="2"/>
      <c r="B269" s="2"/>
      <c r="C269" s="2"/>
      <c r="D269" s="2"/>
      <c r="E269" s="13"/>
      <c r="F269" s="2"/>
      <c r="G269" s="2"/>
      <c r="H269" s="2"/>
      <c r="I269" s="2"/>
    </row>
    <row r="270" spans="1:9" x14ac:dyDescent="0.15">
      <c r="A270" s="2"/>
      <c r="B270" s="2"/>
      <c r="C270" s="2"/>
      <c r="D270" s="2"/>
      <c r="E270" s="13"/>
      <c r="F270" s="2"/>
      <c r="G270" s="2"/>
      <c r="H270" s="2"/>
      <c r="I270" s="2"/>
    </row>
    <row r="271" spans="1:9" x14ac:dyDescent="0.15">
      <c r="A271" s="2"/>
      <c r="B271" s="2"/>
      <c r="C271" s="2"/>
      <c r="D271" s="2"/>
      <c r="E271" s="13"/>
      <c r="F271" s="2"/>
      <c r="G271" s="2"/>
      <c r="H271" s="2"/>
      <c r="I271" s="2"/>
    </row>
    <row r="272" spans="1:9" x14ac:dyDescent="0.15">
      <c r="A272" s="2"/>
      <c r="B272" s="2"/>
      <c r="C272" s="2"/>
      <c r="D272" s="2"/>
      <c r="E272" s="13"/>
      <c r="F272" s="2"/>
      <c r="G272" s="2"/>
      <c r="H272" s="2"/>
      <c r="I272" s="2"/>
    </row>
    <row r="273" spans="1:9" x14ac:dyDescent="0.15">
      <c r="A273" s="2"/>
      <c r="B273" s="2"/>
      <c r="C273" s="2"/>
      <c r="D273" s="2"/>
      <c r="E273" s="13"/>
      <c r="F273" s="2"/>
      <c r="G273" s="2"/>
      <c r="H273" s="2"/>
      <c r="I273" s="2"/>
    </row>
    <row r="274" spans="1:9" x14ac:dyDescent="0.15">
      <c r="A274" s="2"/>
      <c r="B274" s="2"/>
      <c r="C274" s="2"/>
      <c r="D274" s="2"/>
      <c r="E274" s="13"/>
      <c r="F274" s="2"/>
      <c r="G274" s="2"/>
      <c r="H274" s="2"/>
      <c r="I274" s="2"/>
    </row>
    <row r="275" spans="1:9" x14ac:dyDescent="0.15">
      <c r="A275" s="2"/>
      <c r="B275" s="2"/>
      <c r="C275" s="2"/>
      <c r="D275" s="2"/>
      <c r="E275" s="13"/>
      <c r="F275" s="2"/>
      <c r="G275" s="2"/>
      <c r="H275" s="2"/>
      <c r="I275" s="2"/>
    </row>
    <row r="276" spans="1:9" x14ac:dyDescent="0.15">
      <c r="A276" s="2"/>
      <c r="B276" s="2"/>
      <c r="C276" s="2"/>
      <c r="D276" s="2"/>
      <c r="E276" s="13"/>
      <c r="F276" s="2"/>
      <c r="G276" s="2"/>
      <c r="H276" s="2"/>
      <c r="I276" s="2"/>
    </row>
    <row r="277" spans="1:9" x14ac:dyDescent="0.15">
      <c r="A277" s="2"/>
      <c r="B277" s="2"/>
      <c r="C277" s="2"/>
      <c r="D277" s="2"/>
      <c r="E277" s="13"/>
      <c r="F277" s="2"/>
      <c r="G277" s="2"/>
      <c r="H277" s="2"/>
      <c r="I277" s="2"/>
    </row>
    <row r="278" spans="1:9" x14ac:dyDescent="0.15">
      <c r="A278" s="2"/>
      <c r="B278" s="2"/>
      <c r="C278" s="2"/>
      <c r="D278" s="2"/>
      <c r="E278" s="13"/>
      <c r="F278" s="2"/>
      <c r="G278" s="2"/>
      <c r="H278" s="2"/>
      <c r="I278" s="2"/>
    </row>
    <row r="279" spans="1:9" x14ac:dyDescent="0.15">
      <c r="A279" s="2"/>
      <c r="B279" s="2"/>
      <c r="C279" s="2"/>
      <c r="D279" s="2"/>
      <c r="E279" s="13"/>
      <c r="F279" s="2"/>
      <c r="G279" s="2"/>
      <c r="H279" s="2"/>
      <c r="I279" s="2"/>
    </row>
    <row r="280" spans="1:9" x14ac:dyDescent="0.15">
      <c r="A280" s="2"/>
      <c r="B280" s="2"/>
      <c r="C280" s="2"/>
      <c r="D280" s="2"/>
      <c r="E280" s="13"/>
      <c r="F280" s="2"/>
      <c r="G280" s="2"/>
      <c r="H280" s="2"/>
      <c r="I280" s="2"/>
    </row>
    <row r="281" spans="1:9" x14ac:dyDescent="0.15">
      <c r="A281" s="2"/>
      <c r="B281" s="2"/>
      <c r="C281" s="2"/>
      <c r="D281" s="2"/>
      <c r="E281" s="13"/>
      <c r="F281" s="2"/>
      <c r="G281" s="2"/>
      <c r="H281" s="2"/>
      <c r="I281" s="2"/>
    </row>
    <row r="282" spans="1:9" x14ac:dyDescent="0.15">
      <c r="A282" s="2"/>
      <c r="B282" s="2"/>
      <c r="C282" s="2"/>
      <c r="D282" s="2"/>
      <c r="E282" s="13"/>
      <c r="F282" s="2"/>
      <c r="G282" s="2"/>
      <c r="H282" s="2"/>
      <c r="I282" s="2"/>
    </row>
    <row r="283" spans="1:9" x14ac:dyDescent="0.15">
      <c r="A283" s="2"/>
      <c r="B283" s="2"/>
      <c r="C283" s="2"/>
      <c r="D283" s="2"/>
      <c r="E283" s="13"/>
      <c r="F283" s="2"/>
      <c r="G283" s="2"/>
      <c r="H283" s="2"/>
      <c r="I283" s="2"/>
    </row>
    <row r="284" spans="1:9" x14ac:dyDescent="0.15">
      <c r="A284" s="2"/>
      <c r="B284" s="2"/>
      <c r="C284" s="2"/>
      <c r="D284" s="2"/>
      <c r="E284" s="13"/>
      <c r="F284" s="2"/>
      <c r="G284" s="2"/>
      <c r="H284" s="2"/>
      <c r="I284" s="2"/>
    </row>
    <row r="285" spans="1:9" x14ac:dyDescent="0.15">
      <c r="A285" s="2"/>
      <c r="B285" s="2"/>
      <c r="C285" s="2"/>
      <c r="D285" s="2"/>
      <c r="E285" s="13"/>
      <c r="F285" s="2"/>
      <c r="G285" s="2"/>
      <c r="H285" s="2"/>
      <c r="I285" s="2"/>
    </row>
    <row r="286" spans="1:9" x14ac:dyDescent="0.15">
      <c r="A286" s="2"/>
      <c r="B286" s="2"/>
      <c r="C286" s="2"/>
      <c r="D286" s="2"/>
      <c r="E286" s="13"/>
      <c r="F286" s="2"/>
      <c r="G286" s="2"/>
      <c r="H286" s="2"/>
      <c r="I286" s="2"/>
    </row>
    <row r="287" spans="1:9" x14ac:dyDescent="0.15">
      <c r="A287" s="2"/>
      <c r="B287" s="2"/>
      <c r="C287" s="2"/>
      <c r="D287" s="2"/>
      <c r="E287" s="13"/>
      <c r="F287" s="2"/>
      <c r="G287" s="2"/>
      <c r="H287" s="2"/>
      <c r="I287" s="2"/>
    </row>
    <row r="288" spans="1:9" x14ac:dyDescent="0.15">
      <c r="A288" s="2"/>
      <c r="B288" s="2"/>
      <c r="C288" s="2"/>
      <c r="D288" s="2"/>
      <c r="E288" s="13"/>
      <c r="F288" s="2"/>
      <c r="G288" s="2"/>
      <c r="H288" s="2"/>
      <c r="I288" s="2"/>
    </row>
    <row r="289" spans="1:9" x14ac:dyDescent="0.15">
      <c r="A289" s="2"/>
      <c r="B289" s="2"/>
      <c r="C289" s="2"/>
      <c r="D289" s="2"/>
      <c r="E289" s="13"/>
      <c r="F289" s="2"/>
      <c r="G289" s="2"/>
      <c r="H289" s="2"/>
      <c r="I289" s="2"/>
    </row>
    <row r="290" spans="1:9" x14ac:dyDescent="0.15">
      <c r="A290" s="2"/>
      <c r="B290" s="2"/>
      <c r="C290" s="2"/>
      <c r="D290" s="2"/>
      <c r="E290" s="13"/>
      <c r="F290" s="2"/>
      <c r="G290" s="2"/>
      <c r="H290" s="2"/>
      <c r="I290" s="2"/>
    </row>
    <row r="291" spans="1:9" x14ac:dyDescent="0.15">
      <c r="A291" s="2"/>
      <c r="B291" s="2"/>
      <c r="C291" s="2"/>
      <c r="D291" s="2"/>
      <c r="E291" s="13"/>
      <c r="F291" s="2"/>
      <c r="G291" s="2"/>
      <c r="H291" s="2"/>
      <c r="I291" s="2"/>
    </row>
    <row r="292" spans="1:9" x14ac:dyDescent="0.15">
      <c r="A292" s="2"/>
      <c r="B292" s="2"/>
      <c r="C292" s="2"/>
      <c r="D292" s="2"/>
      <c r="E292" s="13"/>
      <c r="F292" s="2"/>
      <c r="G292" s="2"/>
      <c r="H292" s="2"/>
      <c r="I292" s="2"/>
    </row>
    <row r="293" spans="1:9" x14ac:dyDescent="0.15">
      <c r="A293" s="2"/>
      <c r="B293" s="2"/>
      <c r="C293" s="2"/>
      <c r="D293" s="2"/>
      <c r="E293" s="13"/>
      <c r="F293" s="2"/>
      <c r="G293" s="2"/>
      <c r="H293" s="2"/>
      <c r="I293" s="2"/>
    </row>
    <row r="294" spans="1:9" x14ac:dyDescent="0.15">
      <c r="A294" s="2"/>
      <c r="B294" s="2"/>
      <c r="C294" s="2"/>
      <c r="D294" s="2"/>
      <c r="E294" s="13"/>
      <c r="F294" s="2"/>
      <c r="G294" s="2"/>
      <c r="H294" s="2"/>
      <c r="I294" s="2"/>
    </row>
    <row r="295" spans="1:9" x14ac:dyDescent="0.15">
      <c r="A295" s="2"/>
      <c r="B295" s="2"/>
      <c r="C295" s="2"/>
      <c r="D295" s="2"/>
      <c r="E295" s="13"/>
      <c r="F295" s="2"/>
      <c r="G295" s="2"/>
      <c r="H295" s="2"/>
      <c r="I295" s="2"/>
    </row>
    <row r="296" spans="1:9" x14ac:dyDescent="0.15">
      <c r="A296" s="2"/>
      <c r="B296" s="2"/>
      <c r="C296" s="2"/>
      <c r="D296" s="2"/>
      <c r="E296" s="13"/>
      <c r="F296" s="2"/>
      <c r="G296" s="2"/>
      <c r="H296" s="2"/>
      <c r="I296" s="2"/>
    </row>
    <row r="297" spans="1:9" x14ac:dyDescent="0.15">
      <c r="A297" s="2"/>
      <c r="B297" s="2"/>
      <c r="C297" s="2"/>
      <c r="D297" s="2"/>
      <c r="E297" s="13"/>
      <c r="F297" s="2"/>
      <c r="G297" s="2"/>
      <c r="H297" s="2"/>
      <c r="I297" s="2"/>
    </row>
    <row r="298" spans="1:9" x14ac:dyDescent="0.15">
      <c r="A298" s="2"/>
      <c r="B298" s="2"/>
      <c r="C298" s="2"/>
      <c r="D298" s="2"/>
      <c r="E298" s="13"/>
      <c r="F298" s="2"/>
      <c r="G298" s="2"/>
      <c r="H298" s="2"/>
      <c r="I298" s="2"/>
    </row>
    <row r="299" spans="1:9" x14ac:dyDescent="0.15">
      <c r="A299" s="2"/>
      <c r="B299" s="2"/>
      <c r="C299" s="2"/>
      <c r="D299" s="2"/>
      <c r="E299" s="13"/>
      <c r="F299" s="2"/>
      <c r="G299" s="2"/>
      <c r="H299" s="2"/>
      <c r="I299" s="2"/>
    </row>
    <row r="300" spans="1:9" x14ac:dyDescent="0.15">
      <c r="A300" s="2"/>
      <c r="B300" s="2"/>
      <c r="C300" s="2"/>
      <c r="D300" s="2"/>
      <c r="E300" s="13"/>
      <c r="F300" s="2"/>
      <c r="G300" s="2"/>
      <c r="H300" s="2"/>
      <c r="I300" s="2"/>
    </row>
    <row r="301" spans="1:9" x14ac:dyDescent="0.15">
      <c r="A301" s="2"/>
      <c r="B301" s="2"/>
      <c r="C301" s="2"/>
      <c r="D301" s="2"/>
      <c r="E301" s="13"/>
      <c r="F301" s="2"/>
      <c r="G301" s="2"/>
      <c r="H301" s="2"/>
      <c r="I301" s="2"/>
    </row>
    <row r="302" spans="1:9" x14ac:dyDescent="0.15">
      <c r="A302" s="2"/>
      <c r="B302" s="2"/>
      <c r="C302" s="2"/>
      <c r="D302" s="2"/>
      <c r="E302" s="13"/>
      <c r="F302" s="2"/>
      <c r="G302" s="2"/>
      <c r="H302" s="2"/>
      <c r="I302" s="2"/>
    </row>
    <row r="303" spans="1:9" x14ac:dyDescent="0.15">
      <c r="A303" s="2"/>
      <c r="B303" s="2"/>
      <c r="C303" s="2"/>
      <c r="D303" s="2"/>
      <c r="E303" s="13"/>
      <c r="F303" s="2"/>
      <c r="G303" s="2"/>
      <c r="H303" s="2"/>
      <c r="I303" s="2"/>
    </row>
    <row r="304" spans="1:9" x14ac:dyDescent="0.15">
      <c r="A304" s="2"/>
      <c r="B304" s="2"/>
      <c r="C304" s="2"/>
      <c r="D304" s="2"/>
      <c r="E304" s="13"/>
      <c r="F304" s="2"/>
      <c r="G304" s="2"/>
      <c r="H304" s="2"/>
      <c r="I304" s="2"/>
    </row>
    <row r="305" spans="1:9" x14ac:dyDescent="0.15">
      <c r="A305" s="2"/>
      <c r="B305" s="2"/>
      <c r="C305" s="2"/>
      <c r="D305" s="2"/>
      <c r="E305" s="13"/>
      <c r="F305" s="2"/>
      <c r="G305" s="2"/>
      <c r="H305" s="2"/>
      <c r="I305" s="2"/>
    </row>
    <row r="306" spans="1:9" x14ac:dyDescent="0.15">
      <c r="A306" s="2"/>
      <c r="B306" s="2"/>
      <c r="C306" s="2"/>
      <c r="D306" s="2"/>
      <c r="E306" s="13"/>
      <c r="F306" s="2"/>
      <c r="G306" s="2"/>
      <c r="H306" s="2"/>
      <c r="I306" s="2"/>
    </row>
    <row r="307" spans="1:9" x14ac:dyDescent="0.15">
      <c r="A307" s="2"/>
      <c r="B307" s="2"/>
      <c r="C307" s="2"/>
      <c r="D307" s="2"/>
      <c r="E307" s="13"/>
      <c r="F307" s="2"/>
      <c r="G307" s="2"/>
      <c r="H307" s="2"/>
      <c r="I307" s="2"/>
    </row>
    <row r="308" spans="1:9" x14ac:dyDescent="0.15">
      <c r="A308" s="2"/>
      <c r="B308" s="2"/>
      <c r="C308" s="2"/>
      <c r="D308" s="2"/>
      <c r="E308" s="13"/>
      <c r="F308" s="2"/>
      <c r="G308" s="2"/>
      <c r="H308" s="2"/>
      <c r="I308" s="2"/>
    </row>
    <row r="309" spans="1:9" x14ac:dyDescent="0.15">
      <c r="A309" s="2"/>
      <c r="B309" s="2"/>
      <c r="C309" s="2"/>
      <c r="D309" s="2"/>
      <c r="E309" s="13"/>
      <c r="F309" s="2"/>
      <c r="G309" s="2"/>
      <c r="H309" s="2"/>
      <c r="I309" s="2"/>
    </row>
    <row r="310" spans="1:9" x14ac:dyDescent="0.15">
      <c r="A310" s="2"/>
      <c r="B310" s="2"/>
      <c r="C310" s="2"/>
      <c r="D310" s="2"/>
      <c r="E310" s="13"/>
      <c r="F310" s="2"/>
      <c r="G310" s="2"/>
      <c r="H310" s="2"/>
      <c r="I310" s="2"/>
    </row>
    <row r="311" spans="1:9" x14ac:dyDescent="0.15">
      <c r="A311" s="2"/>
      <c r="B311" s="2"/>
      <c r="C311" s="2"/>
      <c r="D311" s="2"/>
      <c r="E311" s="13"/>
      <c r="F311" s="2"/>
      <c r="G311" s="2"/>
      <c r="H311" s="2"/>
      <c r="I311" s="2"/>
    </row>
    <row r="312" spans="1:9" x14ac:dyDescent="0.15">
      <c r="A312" s="2"/>
      <c r="B312" s="2"/>
      <c r="C312" s="2"/>
      <c r="D312" s="2"/>
      <c r="E312" s="13"/>
      <c r="F312" s="2"/>
      <c r="G312" s="2"/>
      <c r="H312" s="2"/>
      <c r="I312" s="2"/>
    </row>
    <row r="313" spans="1:9" x14ac:dyDescent="0.15">
      <c r="A313" s="2"/>
      <c r="B313" s="2"/>
      <c r="C313" s="2"/>
      <c r="D313" s="2"/>
      <c r="E313" s="13"/>
      <c r="F313" s="2"/>
      <c r="G313" s="2"/>
      <c r="H313" s="2"/>
      <c r="I313" s="2"/>
    </row>
    <row r="314" spans="1:9" x14ac:dyDescent="0.15">
      <c r="A314" s="2"/>
      <c r="B314" s="2"/>
      <c r="C314" s="2"/>
      <c r="D314" s="2"/>
      <c r="E314" s="13"/>
      <c r="F314" s="2"/>
      <c r="G314" s="2"/>
      <c r="H314" s="2"/>
      <c r="I314" s="2"/>
    </row>
    <row r="315" spans="1:9" x14ac:dyDescent="0.15">
      <c r="A315" s="2"/>
      <c r="B315" s="2"/>
      <c r="C315" s="2"/>
      <c r="D315" s="2"/>
      <c r="E315" s="13"/>
      <c r="F315" s="2"/>
      <c r="G315" s="2"/>
      <c r="H315" s="2"/>
      <c r="I315" s="2"/>
    </row>
    <row r="316" spans="1:9" x14ac:dyDescent="0.15">
      <c r="A316" s="2"/>
      <c r="B316" s="2"/>
      <c r="C316" s="2"/>
      <c r="D316" s="2"/>
      <c r="E316" s="13"/>
      <c r="F316" s="2"/>
      <c r="G316" s="2"/>
      <c r="H316" s="2"/>
      <c r="I316" s="2"/>
    </row>
    <row r="317" spans="1:9" x14ac:dyDescent="0.15">
      <c r="A317" s="2"/>
      <c r="B317" s="2"/>
      <c r="C317" s="2"/>
      <c r="D317" s="2"/>
      <c r="E317" s="13"/>
      <c r="F317" s="2"/>
      <c r="G317" s="2"/>
      <c r="H317" s="2"/>
      <c r="I317" s="2"/>
    </row>
    <row r="318" spans="1:9" x14ac:dyDescent="0.15">
      <c r="A318" s="2"/>
      <c r="B318" s="2"/>
      <c r="C318" s="2"/>
      <c r="D318" s="2"/>
      <c r="E318" s="13"/>
      <c r="F318" s="2"/>
      <c r="G318" s="2"/>
      <c r="H318" s="2"/>
      <c r="I318" s="2"/>
    </row>
    <row r="319" spans="1:9" x14ac:dyDescent="0.15">
      <c r="A319" s="2"/>
      <c r="B319" s="2"/>
      <c r="C319" s="2"/>
      <c r="D319" s="2"/>
      <c r="E319" s="13"/>
      <c r="F319" s="2"/>
      <c r="G319" s="2"/>
      <c r="H319" s="2"/>
      <c r="I319" s="2"/>
    </row>
    <row r="320" spans="1:9" x14ac:dyDescent="0.15">
      <c r="A320" s="2"/>
      <c r="B320" s="2"/>
      <c r="C320" s="2"/>
      <c r="D320" s="2"/>
      <c r="E320" s="13"/>
      <c r="F320" s="2"/>
      <c r="G320" s="2"/>
      <c r="H320" s="2"/>
      <c r="I320" s="2"/>
    </row>
    <row r="321" spans="1:9" x14ac:dyDescent="0.15">
      <c r="A321" s="2"/>
      <c r="B321" s="2"/>
      <c r="C321" s="2"/>
      <c r="D321" s="2"/>
      <c r="E321" s="13"/>
      <c r="F321" s="2"/>
      <c r="G321" s="2"/>
      <c r="H321" s="2"/>
      <c r="I321" s="2"/>
    </row>
    <row r="322" spans="1:9" x14ac:dyDescent="0.15">
      <c r="A322" s="2"/>
      <c r="B322" s="2"/>
      <c r="C322" s="2"/>
      <c r="D322" s="2"/>
      <c r="E322" s="13"/>
      <c r="F322" s="2"/>
      <c r="G322" s="2"/>
      <c r="H322" s="2"/>
      <c r="I322" s="2"/>
    </row>
    <row r="323" spans="1:9" x14ac:dyDescent="0.15">
      <c r="A323" s="2"/>
      <c r="B323" s="2"/>
      <c r="C323" s="2"/>
      <c r="D323" s="2"/>
      <c r="E323" s="13"/>
      <c r="F323" s="2"/>
      <c r="G323" s="2"/>
      <c r="H323" s="2"/>
      <c r="I323" s="2"/>
    </row>
    <row r="324" spans="1:9" x14ac:dyDescent="0.15">
      <c r="A324" s="2"/>
      <c r="B324" s="2"/>
      <c r="C324" s="2"/>
      <c r="D324" s="2"/>
      <c r="E324" s="13"/>
      <c r="F324" s="2"/>
      <c r="G324" s="2"/>
      <c r="H324" s="2"/>
      <c r="I324" s="2"/>
    </row>
    <row r="325" spans="1:9" x14ac:dyDescent="0.15">
      <c r="A325" s="2"/>
      <c r="B325" s="2"/>
      <c r="C325" s="2"/>
      <c r="D325" s="2"/>
      <c r="E325" s="13"/>
      <c r="F325" s="2"/>
      <c r="G325" s="2"/>
      <c r="H325" s="2"/>
      <c r="I325" s="2"/>
    </row>
    <row r="326" spans="1:9" x14ac:dyDescent="0.15">
      <c r="A326" s="2"/>
      <c r="B326" s="2"/>
      <c r="C326" s="2"/>
      <c r="D326" s="2"/>
      <c r="E326" s="13"/>
      <c r="F326" s="2"/>
      <c r="G326" s="2"/>
      <c r="H326" s="2"/>
      <c r="I326" s="2"/>
    </row>
    <row r="327" spans="1:9" x14ac:dyDescent="0.15">
      <c r="A327" s="2"/>
      <c r="B327" s="2"/>
      <c r="C327" s="2"/>
      <c r="D327" s="2"/>
      <c r="E327" s="13"/>
      <c r="F327" s="2"/>
      <c r="G327" s="2"/>
      <c r="H327" s="2"/>
      <c r="I327" s="2"/>
    </row>
    <row r="328" spans="1:9" x14ac:dyDescent="0.15">
      <c r="A328" s="2"/>
      <c r="B328" s="2"/>
      <c r="C328" s="2"/>
      <c r="D328" s="2"/>
      <c r="E328" s="13"/>
      <c r="F328" s="2"/>
      <c r="G328" s="2"/>
      <c r="H328" s="2"/>
      <c r="I328" s="2"/>
    </row>
    <row r="329" spans="1:9" x14ac:dyDescent="0.15">
      <c r="A329" s="2"/>
      <c r="B329" s="2"/>
      <c r="C329" s="2"/>
      <c r="D329" s="2"/>
      <c r="E329" s="13"/>
      <c r="F329" s="2"/>
      <c r="G329" s="2"/>
      <c r="H329" s="2"/>
      <c r="I329" s="2"/>
    </row>
    <row r="330" spans="1:9" x14ac:dyDescent="0.15">
      <c r="A330" s="2"/>
      <c r="B330" s="2"/>
      <c r="C330" s="2"/>
      <c r="D330" s="2"/>
      <c r="E330" s="13"/>
      <c r="F330" s="2"/>
      <c r="G330" s="2"/>
      <c r="H330" s="2"/>
      <c r="I330" s="2"/>
    </row>
    <row r="331" spans="1:9" x14ac:dyDescent="0.15">
      <c r="A331" s="2"/>
      <c r="B331" s="2"/>
      <c r="C331" s="2"/>
      <c r="D331" s="2"/>
      <c r="E331" s="13"/>
      <c r="F331" s="2"/>
      <c r="G331" s="2"/>
      <c r="H331" s="2"/>
      <c r="I331" s="2"/>
    </row>
    <row r="332" spans="1:9" x14ac:dyDescent="0.15">
      <c r="A332" s="2"/>
      <c r="B332" s="2"/>
      <c r="C332" s="2"/>
      <c r="D332" s="2"/>
      <c r="E332" s="13"/>
      <c r="F332" s="2"/>
      <c r="G332" s="2"/>
      <c r="H332" s="2"/>
      <c r="I332" s="2"/>
    </row>
    <row r="333" spans="1:9" x14ac:dyDescent="0.15">
      <c r="A333" s="2"/>
      <c r="B333" s="2"/>
      <c r="C333" s="2"/>
      <c r="D333" s="2"/>
      <c r="E333" s="13"/>
      <c r="F333" s="2"/>
      <c r="G333" s="2"/>
      <c r="H333" s="2"/>
      <c r="I333" s="2"/>
    </row>
    <row r="334" spans="1:9" x14ac:dyDescent="0.15">
      <c r="A334" s="2"/>
      <c r="B334" s="2"/>
      <c r="C334" s="2"/>
      <c r="D334" s="2"/>
      <c r="E334" s="13"/>
      <c r="F334" s="2"/>
      <c r="G334" s="2"/>
      <c r="H334" s="2"/>
      <c r="I334" s="2"/>
    </row>
    <row r="335" spans="1:9" x14ac:dyDescent="0.15">
      <c r="A335" s="2"/>
      <c r="B335" s="2"/>
      <c r="C335" s="2"/>
      <c r="D335" s="2"/>
      <c r="E335" s="13"/>
      <c r="F335" s="2"/>
      <c r="G335" s="2"/>
      <c r="H335" s="2"/>
      <c r="I335" s="2"/>
    </row>
    <row r="336" spans="1:9" x14ac:dyDescent="0.15">
      <c r="A336" s="2"/>
      <c r="B336" s="2"/>
      <c r="C336" s="2"/>
      <c r="D336" s="2"/>
      <c r="E336" s="13"/>
      <c r="F336" s="2"/>
      <c r="G336" s="2"/>
      <c r="H336" s="2"/>
      <c r="I336" s="2"/>
    </row>
    <row r="337" spans="1:9" x14ac:dyDescent="0.15">
      <c r="A337" s="2"/>
      <c r="B337" s="2"/>
      <c r="C337" s="2"/>
      <c r="D337" s="2"/>
      <c r="E337" s="13"/>
      <c r="F337" s="2"/>
      <c r="G337" s="2"/>
      <c r="H337" s="2"/>
      <c r="I337" s="2"/>
    </row>
    <row r="338" spans="1:9" x14ac:dyDescent="0.15">
      <c r="A338" s="2"/>
      <c r="B338" s="2"/>
      <c r="C338" s="2"/>
      <c r="D338" s="2"/>
      <c r="E338" s="13"/>
      <c r="F338" s="2"/>
      <c r="G338" s="2"/>
      <c r="H338" s="2"/>
      <c r="I338" s="2"/>
    </row>
    <row r="339" spans="1:9" x14ac:dyDescent="0.15">
      <c r="A339" s="2"/>
      <c r="B339" s="2"/>
      <c r="C339" s="2"/>
      <c r="D339" s="2"/>
      <c r="E339" s="13"/>
      <c r="F339" s="2"/>
      <c r="G339" s="2"/>
      <c r="H339" s="2"/>
      <c r="I339" s="2"/>
    </row>
    <row r="340" spans="1:9" x14ac:dyDescent="0.15">
      <c r="A340" s="2"/>
      <c r="B340" s="2"/>
      <c r="C340" s="2"/>
      <c r="D340" s="2"/>
      <c r="E340" s="13"/>
      <c r="F340" s="2"/>
      <c r="G340" s="2"/>
      <c r="H340" s="2"/>
      <c r="I340" s="2"/>
    </row>
    <row r="341" spans="1:9" x14ac:dyDescent="0.15">
      <c r="A341" s="2"/>
      <c r="B341" s="2"/>
      <c r="C341" s="2"/>
      <c r="D341" s="2"/>
      <c r="E341" s="13"/>
      <c r="F341" s="2"/>
      <c r="G341" s="2"/>
      <c r="H341" s="2"/>
      <c r="I341" s="2"/>
    </row>
    <row r="342" spans="1:9" x14ac:dyDescent="0.15">
      <c r="A342" s="2"/>
      <c r="B342" s="2"/>
      <c r="C342" s="2"/>
      <c r="D342" s="2"/>
      <c r="E342" s="13"/>
      <c r="F342" s="2"/>
      <c r="G342" s="2"/>
      <c r="H342" s="2"/>
      <c r="I342" s="2"/>
    </row>
    <row r="343" spans="1:9" x14ac:dyDescent="0.15">
      <c r="A343" s="2"/>
      <c r="B343" s="2"/>
      <c r="C343" s="2"/>
      <c r="D343" s="2"/>
      <c r="E343" s="13"/>
      <c r="F343" s="2"/>
      <c r="G343" s="2"/>
      <c r="H343" s="2"/>
      <c r="I343" s="2"/>
    </row>
    <row r="344" spans="1:9" x14ac:dyDescent="0.15">
      <c r="A344" s="2"/>
      <c r="B344" s="2"/>
      <c r="C344" s="2"/>
      <c r="D344" s="2"/>
      <c r="E344" s="13"/>
      <c r="F344" s="2"/>
      <c r="G344" s="2"/>
      <c r="H344" s="2"/>
      <c r="I344" s="2"/>
    </row>
    <row r="345" spans="1:9" x14ac:dyDescent="0.15">
      <c r="A345" s="2"/>
      <c r="B345" s="2"/>
      <c r="C345" s="2"/>
      <c r="D345" s="2"/>
      <c r="E345" s="13"/>
      <c r="F345" s="2"/>
      <c r="G345" s="2"/>
      <c r="H345" s="2"/>
      <c r="I345" s="2"/>
    </row>
    <row r="346" spans="1:9" x14ac:dyDescent="0.15">
      <c r="A346" s="2"/>
      <c r="B346" s="2"/>
      <c r="C346" s="2"/>
      <c r="D346" s="2"/>
      <c r="E346" s="13"/>
      <c r="F346" s="2"/>
      <c r="G346" s="2"/>
      <c r="H346" s="2"/>
      <c r="I346" s="2"/>
    </row>
    <row r="347" spans="1:9" x14ac:dyDescent="0.15">
      <c r="A347" s="2"/>
      <c r="B347" s="2"/>
      <c r="C347" s="2"/>
      <c r="D347" s="2"/>
      <c r="E347" s="13"/>
      <c r="F347" s="2"/>
      <c r="G347" s="2"/>
      <c r="H347" s="2"/>
      <c r="I347" s="2"/>
    </row>
    <row r="348" spans="1:9" x14ac:dyDescent="0.15">
      <c r="A348" s="2"/>
      <c r="B348" s="2"/>
      <c r="C348" s="2"/>
      <c r="D348" s="2"/>
      <c r="E348" s="13"/>
      <c r="F348" s="2"/>
      <c r="G348" s="2"/>
      <c r="H348" s="2"/>
      <c r="I348" s="2"/>
    </row>
    <row r="349" spans="1:9" x14ac:dyDescent="0.15">
      <c r="A349" s="2"/>
      <c r="B349" s="2"/>
      <c r="C349" s="2"/>
      <c r="D349" s="2"/>
      <c r="E349" s="13"/>
      <c r="F349" s="2"/>
      <c r="G349" s="2"/>
      <c r="H349" s="2"/>
      <c r="I349" s="2"/>
    </row>
    <row r="350" spans="1:9" x14ac:dyDescent="0.15">
      <c r="A350" s="2"/>
      <c r="B350" s="2"/>
      <c r="C350" s="2"/>
      <c r="D350" s="2"/>
      <c r="E350" s="13"/>
      <c r="F350" s="2"/>
      <c r="G350" s="2"/>
      <c r="H350" s="2"/>
      <c r="I350" s="2"/>
    </row>
    <row r="351" spans="1:9" x14ac:dyDescent="0.15">
      <c r="A351" s="2"/>
      <c r="B351" s="2"/>
      <c r="C351" s="2"/>
      <c r="D351" s="2"/>
      <c r="E351" s="13"/>
      <c r="F351" s="2"/>
      <c r="G351" s="2"/>
      <c r="H351" s="2"/>
      <c r="I351" s="2"/>
    </row>
    <row r="352" spans="1:9" x14ac:dyDescent="0.15">
      <c r="A352" s="2"/>
      <c r="B352" s="2"/>
      <c r="C352" s="2"/>
      <c r="D352" s="2"/>
      <c r="E352" s="13"/>
      <c r="F352" s="2"/>
      <c r="G352" s="2"/>
      <c r="H352" s="2"/>
      <c r="I352" s="2"/>
    </row>
    <row r="353" spans="1:9" x14ac:dyDescent="0.15">
      <c r="A353" s="2"/>
      <c r="B353" s="2"/>
      <c r="C353" s="2"/>
      <c r="D353" s="2"/>
      <c r="E353" s="13"/>
      <c r="F353" s="2"/>
      <c r="G353" s="2"/>
      <c r="H353" s="2"/>
      <c r="I353" s="2"/>
    </row>
    <row r="354" spans="1:9" x14ac:dyDescent="0.15">
      <c r="A354" s="2"/>
      <c r="B354" s="2"/>
      <c r="C354" s="2"/>
      <c r="D354" s="2"/>
      <c r="E354" s="13"/>
      <c r="F354" s="2"/>
      <c r="G354" s="2"/>
      <c r="H354" s="2"/>
      <c r="I354" s="2"/>
    </row>
    <row r="355" spans="1:9" x14ac:dyDescent="0.15">
      <c r="A355" s="2"/>
      <c r="B355" s="2"/>
      <c r="C355" s="2"/>
      <c r="D355" s="2"/>
      <c r="E355" s="13"/>
      <c r="F355" s="2"/>
      <c r="G355" s="2"/>
      <c r="H355" s="2"/>
      <c r="I355" s="2"/>
    </row>
    <row r="356" spans="1:9" x14ac:dyDescent="0.15">
      <c r="A356" s="2"/>
      <c r="B356" s="2"/>
      <c r="C356" s="2"/>
      <c r="D356" s="2"/>
      <c r="E356" s="13"/>
      <c r="F356" s="2"/>
      <c r="G356" s="2"/>
      <c r="H356" s="2"/>
      <c r="I356" s="2"/>
    </row>
    <row r="357" spans="1:9" x14ac:dyDescent="0.15">
      <c r="A357" s="2"/>
      <c r="B357" s="2"/>
      <c r="C357" s="2"/>
      <c r="D357" s="2"/>
      <c r="E357" s="13"/>
      <c r="F357" s="2"/>
      <c r="G357" s="2"/>
      <c r="H357" s="2"/>
      <c r="I357" s="2"/>
    </row>
    <row r="358" spans="1:9" x14ac:dyDescent="0.15">
      <c r="A358" s="2"/>
      <c r="B358" s="2"/>
      <c r="C358" s="2"/>
      <c r="D358" s="2"/>
      <c r="E358" s="13"/>
      <c r="F358" s="2"/>
      <c r="G358" s="2"/>
      <c r="H358" s="2"/>
      <c r="I358" s="2"/>
    </row>
    <row r="359" spans="1:9" x14ac:dyDescent="0.15">
      <c r="A359" s="2"/>
      <c r="B359" s="2"/>
      <c r="C359" s="2"/>
      <c r="D359" s="2"/>
      <c r="E359" s="13"/>
      <c r="F359" s="2"/>
      <c r="G359" s="2"/>
      <c r="H359" s="2"/>
      <c r="I359" s="2"/>
    </row>
    <row r="360" spans="1:9" x14ac:dyDescent="0.15">
      <c r="A360" s="2"/>
      <c r="B360" s="2"/>
      <c r="C360" s="2"/>
      <c r="D360" s="2"/>
      <c r="E360" s="13"/>
      <c r="F360" s="2"/>
      <c r="G360" s="2"/>
      <c r="H360" s="2"/>
      <c r="I360" s="2"/>
    </row>
    <row r="361" spans="1:9" x14ac:dyDescent="0.15">
      <c r="A361" s="2"/>
      <c r="B361" s="2"/>
      <c r="C361" s="2"/>
      <c r="D361" s="2"/>
      <c r="E361" s="13"/>
      <c r="F361" s="2"/>
      <c r="G361" s="2"/>
      <c r="H361" s="2"/>
      <c r="I361" s="2"/>
    </row>
    <row r="362" spans="1:9" x14ac:dyDescent="0.15">
      <c r="A362" s="2"/>
      <c r="B362" s="2"/>
      <c r="C362" s="2"/>
      <c r="D362" s="2"/>
      <c r="E362" s="13"/>
      <c r="F362" s="2"/>
      <c r="G362" s="2"/>
      <c r="H362" s="2"/>
      <c r="I362" s="2"/>
    </row>
    <row r="363" spans="1:9" x14ac:dyDescent="0.15">
      <c r="A363" s="2"/>
      <c r="B363" s="2"/>
      <c r="C363" s="2"/>
      <c r="D363" s="2"/>
      <c r="E363" s="13"/>
      <c r="F363" s="2"/>
      <c r="G363" s="2"/>
      <c r="H363" s="2"/>
      <c r="I363" s="2"/>
    </row>
    <row r="364" spans="1:9" x14ac:dyDescent="0.15">
      <c r="A364" s="2"/>
      <c r="B364" s="2"/>
      <c r="C364" s="2"/>
      <c r="D364" s="2"/>
      <c r="E364" s="13"/>
      <c r="F364" s="2"/>
      <c r="G364" s="2"/>
      <c r="H364" s="2"/>
      <c r="I364" s="2"/>
    </row>
    <row r="365" spans="1:9" x14ac:dyDescent="0.15">
      <c r="A365" s="2"/>
      <c r="B365" s="2"/>
      <c r="C365" s="2"/>
      <c r="D365" s="2"/>
      <c r="E365" s="13"/>
      <c r="F365" s="2"/>
      <c r="G365" s="2"/>
      <c r="H365" s="2"/>
      <c r="I365" s="2"/>
    </row>
    <row r="366" spans="1:9" x14ac:dyDescent="0.15">
      <c r="A366" s="2"/>
      <c r="B366" s="2"/>
      <c r="C366" s="2"/>
      <c r="D366" s="2"/>
      <c r="E366" s="13"/>
      <c r="F366" s="2"/>
      <c r="G366" s="2"/>
      <c r="H366" s="2"/>
      <c r="I366" s="2"/>
    </row>
    <row r="367" spans="1:9" x14ac:dyDescent="0.15">
      <c r="A367" s="2"/>
      <c r="B367" s="2"/>
      <c r="C367" s="2"/>
      <c r="D367" s="2"/>
      <c r="E367" s="13"/>
      <c r="F367" s="2"/>
      <c r="G367" s="2"/>
      <c r="H367" s="2"/>
      <c r="I367" s="2"/>
    </row>
    <row r="368" spans="1:9" x14ac:dyDescent="0.15">
      <c r="A368" s="2"/>
      <c r="B368" s="2"/>
      <c r="C368" s="2"/>
      <c r="D368" s="2"/>
      <c r="E368" s="13"/>
      <c r="F368" s="2"/>
      <c r="G368" s="2"/>
      <c r="H368" s="2"/>
      <c r="I368" s="2"/>
    </row>
    <row r="369" spans="1:9" x14ac:dyDescent="0.15">
      <c r="A369" s="2"/>
      <c r="B369" s="2"/>
      <c r="C369" s="2"/>
      <c r="D369" s="2"/>
      <c r="E369" s="13"/>
      <c r="F369" s="2"/>
      <c r="G369" s="2"/>
      <c r="H369" s="2"/>
      <c r="I369" s="2"/>
    </row>
    <row r="370" spans="1:9" x14ac:dyDescent="0.15">
      <c r="A370" s="2"/>
      <c r="B370" s="2"/>
      <c r="C370" s="2"/>
      <c r="D370" s="2"/>
      <c r="E370" s="13"/>
      <c r="F370" s="2"/>
      <c r="G370" s="2"/>
      <c r="H370" s="2"/>
      <c r="I370" s="2"/>
    </row>
    <row r="371" spans="1:9" x14ac:dyDescent="0.15">
      <c r="A371" s="2"/>
      <c r="B371" s="2"/>
      <c r="C371" s="2"/>
      <c r="D371" s="2"/>
      <c r="E371" s="13"/>
      <c r="F371" s="2"/>
      <c r="G371" s="2"/>
      <c r="H371" s="2"/>
      <c r="I371" s="2"/>
    </row>
    <row r="372" spans="1:9" x14ac:dyDescent="0.15">
      <c r="A372" s="2"/>
      <c r="B372" s="2"/>
      <c r="C372" s="2"/>
      <c r="D372" s="2"/>
      <c r="E372" s="13"/>
      <c r="F372" s="2"/>
      <c r="G372" s="2"/>
      <c r="H372" s="2"/>
      <c r="I372" s="2"/>
    </row>
    <row r="373" spans="1:9" x14ac:dyDescent="0.15">
      <c r="A373" s="2"/>
      <c r="B373" s="2"/>
      <c r="C373" s="2"/>
      <c r="D373" s="2"/>
      <c r="E373" s="13"/>
      <c r="F373" s="2"/>
      <c r="G373" s="2"/>
      <c r="H373" s="2"/>
      <c r="I373" s="2"/>
    </row>
    <row r="374" spans="1:9" x14ac:dyDescent="0.15">
      <c r="A374" s="2"/>
      <c r="B374" s="2"/>
      <c r="C374" s="2"/>
      <c r="D374" s="2"/>
      <c r="E374" s="13"/>
      <c r="F374" s="2"/>
      <c r="G374" s="2"/>
      <c r="H374" s="2"/>
      <c r="I374" s="2"/>
    </row>
    <row r="375" spans="1:9" x14ac:dyDescent="0.15">
      <c r="A375" s="2"/>
      <c r="B375" s="2"/>
      <c r="C375" s="2"/>
      <c r="D375" s="2"/>
      <c r="E375" s="13"/>
      <c r="F375" s="2"/>
      <c r="G375" s="2"/>
      <c r="H375" s="2"/>
      <c r="I375" s="2"/>
    </row>
    <row r="376" spans="1:9" x14ac:dyDescent="0.15">
      <c r="A376" s="2"/>
      <c r="B376" s="2"/>
      <c r="C376" s="2"/>
      <c r="D376" s="2"/>
      <c r="E376" s="13"/>
      <c r="F376" s="2"/>
      <c r="G376" s="2"/>
      <c r="H376" s="2"/>
      <c r="I376" s="2"/>
    </row>
    <row r="377" spans="1:9" x14ac:dyDescent="0.15">
      <c r="A377" s="2"/>
      <c r="B377" s="2"/>
      <c r="C377" s="2"/>
      <c r="D377" s="2"/>
      <c r="E377" s="13"/>
      <c r="F377" s="2"/>
      <c r="G377" s="2"/>
      <c r="H377" s="2"/>
      <c r="I377" s="2"/>
    </row>
    <row r="378" spans="1:9" x14ac:dyDescent="0.15">
      <c r="A378" s="2"/>
      <c r="B378" s="2"/>
      <c r="C378" s="2"/>
      <c r="D378" s="2"/>
      <c r="E378" s="13"/>
      <c r="F378" s="2"/>
      <c r="G378" s="2"/>
      <c r="H378" s="2"/>
      <c r="I378" s="2"/>
    </row>
    <row r="379" spans="1:9" x14ac:dyDescent="0.15">
      <c r="A379" s="2"/>
      <c r="B379" s="2"/>
      <c r="C379" s="2"/>
      <c r="D379" s="2"/>
      <c r="E379" s="13"/>
      <c r="F379" s="2"/>
      <c r="G379" s="2"/>
      <c r="H379" s="2"/>
      <c r="I379" s="2"/>
    </row>
    <row r="380" spans="1:9" x14ac:dyDescent="0.15">
      <c r="A380" s="2"/>
      <c r="B380" s="2"/>
      <c r="C380" s="2"/>
      <c r="D380" s="2"/>
      <c r="E380" s="13"/>
      <c r="F380" s="2"/>
      <c r="G380" s="2"/>
      <c r="H380" s="2"/>
      <c r="I380" s="2"/>
    </row>
    <row r="381" spans="1:9" x14ac:dyDescent="0.15">
      <c r="A381" s="2"/>
      <c r="B381" s="2"/>
      <c r="C381" s="2"/>
      <c r="D381" s="2"/>
      <c r="E381" s="13"/>
      <c r="F381" s="2"/>
      <c r="G381" s="2"/>
      <c r="H381" s="2"/>
      <c r="I381" s="2"/>
    </row>
    <row r="382" spans="1:9" x14ac:dyDescent="0.15">
      <c r="A382" s="2"/>
      <c r="B382" s="2"/>
      <c r="C382" s="2"/>
      <c r="D382" s="2"/>
      <c r="E382" s="13"/>
      <c r="F382" s="2"/>
      <c r="G382" s="2"/>
      <c r="H382" s="2"/>
      <c r="I382" s="2"/>
    </row>
    <row r="383" spans="1:9" x14ac:dyDescent="0.15">
      <c r="A383" s="2"/>
      <c r="B383" s="2"/>
      <c r="C383" s="2"/>
      <c r="D383" s="2"/>
      <c r="E383" s="13"/>
      <c r="F383" s="2"/>
      <c r="G383" s="2"/>
      <c r="H383" s="2"/>
      <c r="I383" s="2"/>
    </row>
    <row r="384" spans="1:9" x14ac:dyDescent="0.15">
      <c r="A384" s="2"/>
      <c r="B384" s="2"/>
      <c r="C384" s="2"/>
      <c r="D384" s="2"/>
      <c r="E384" s="13"/>
      <c r="F384" s="2"/>
      <c r="G384" s="2"/>
      <c r="H384" s="2"/>
      <c r="I384" s="2"/>
    </row>
    <row r="385" spans="1:9" x14ac:dyDescent="0.15">
      <c r="A385" s="2"/>
      <c r="B385" s="2"/>
      <c r="C385" s="2"/>
      <c r="D385" s="2"/>
      <c r="E385" s="13"/>
      <c r="F385" s="2"/>
      <c r="G385" s="2"/>
      <c r="H385" s="2"/>
      <c r="I385" s="2"/>
    </row>
    <row r="386" spans="1:9" x14ac:dyDescent="0.15">
      <c r="A386" s="2"/>
      <c r="B386" s="2"/>
      <c r="C386" s="2"/>
      <c r="D386" s="2"/>
      <c r="E386" s="13"/>
      <c r="F386" s="2"/>
      <c r="G386" s="2"/>
      <c r="H386" s="2"/>
      <c r="I386" s="2"/>
    </row>
    <row r="387" spans="1:9" x14ac:dyDescent="0.15">
      <c r="A387" s="2"/>
      <c r="B387" s="2"/>
      <c r="C387" s="2"/>
      <c r="D387" s="2"/>
      <c r="E387" s="13"/>
      <c r="F387" s="2"/>
      <c r="G387" s="2"/>
      <c r="H387" s="2"/>
      <c r="I387" s="2"/>
    </row>
    <row r="388" spans="1:9" x14ac:dyDescent="0.15">
      <c r="A388" s="2"/>
      <c r="B388" s="2"/>
      <c r="C388" s="2"/>
      <c r="D388" s="2"/>
      <c r="E388" s="13"/>
      <c r="F388" s="2"/>
      <c r="G388" s="2"/>
      <c r="H388" s="2"/>
      <c r="I388" s="2"/>
    </row>
    <row r="389" spans="1:9" x14ac:dyDescent="0.15">
      <c r="A389" s="2"/>
      <c r="B389" s="2"/>
      <c r="C389" s="2"/>
      <c r="D389" s="2"/>
      <c r="E389" s="13"/>
      <c r="F389" s="2"/>
      <c r="G389" s="2"/>
      <c r="H389" s="2"/>
      <c r="I389" s="2"/>
    </row>
    <row r="390" spans="1:9" x14ac:dyDescent="0.15">
      <c r="A390" s="2"/>
      <c r="B390" s="2"/>
      <c r="C390" s="2"/>
      <c r="D390" s="2"/>
      <c r="E390" s="13"/>
      <c r="F390" s="2"/>
      <c r="G390" s="2"/>
      <c r="H390" s="2"/>
      <c r="I390" s="2"/>
    </row>
    <row r="391" spans="1:9" x14ac:dyDescent="0.15">
      <c r="A391" s="2"/>
      <c r="B391" s="2"/>
      <c r="C391" s="2"/>
      <c r="D391" s="2"/>
      <c r="E391" s="13"/>
      <c r="F391" s="2"/>
      <c r="G391" s="2"/>
      <c r="H391" s="2"/>
      <c r="I391" s="2"/>
    </row>
    <row r="392" spans="1:9" x14ac:dyDescent="0.15">
      <c r="A392" s="2"/>
      <c r="B392" s="2"/>
      <c r="C392" s="2"/>
      <c r="D392" s="2"/>
      <c r="E392" s="13"/>
      <c r="F392" s="2"/>
      <c r="G392" s="2"/>
      <c r="H392" s="2"/>
      <c r="I392" s="2"/>
    </row>
    <row r="393" spans="1:9" x14ac:dyDescent="0.15">
      <c r="A393" s="2"/>
      <c r="B393" s="2"/>
      <c r="C393" s="2"/>
      <c r="D393" s="2"/>
      <c r="E393" s="13"/>
      <c r="F393" s="2"/>
      <c r="G393" s="2"/>
      <c r="H393" s="2"/>
      <c r="I393" s="2"/>
    </row>
    <row r="394" spans="1:9" x14ac:dyDescent="0.15">
      <c r="A394" s="2"/>
      <c r="B394" s="2"/>
      <c r="C394" s="2"/>
      <c r="D394" s="2"/>
      <c r="E394" s="13"/>
      <c r="F394" s="2"/>
      <c r="G394" s="2"/>
      <c r="H394" s="2"/>
      <c r="I394" s="2"/>
    </row>
    <row r="395" spans="1:9" x14ac:dyDescent="0.15">
      <c r="A395" s="2"/>
      <c r="B395" s="2"/>
      <c r="C395" s="2"/>
      <c r="D395" s="2"/>
      <c r="E395" s="13"/>
      <c r="F395" s="2"/>
      <c r="G395" s="2"/>
      <c r="H395" s="2"/>
      <c r="I395" s="2"/>
    </row>
    <row r="396" spans="1:9" x14ac:dyDescent="0.15">
      <c r="A396" s="2"/>
      <c r="B396" s="2"/>
      <c r="C396" s="2"/>
      <c r="D396" s="2"/>
      <c r="E396" s="13"/>
      <c r="F396" s="2"/>
      <c r="G396" s="2"/>
      <c r="H396" s="2"/>
      <c r="I396" s="2"/>
    </row>
    <row r="397" spans="1:9" x14ac:dyDescent="0.15">
      <c r="A397" s="2"/>
      <c r="B397" s="2"/>
      <c r="C397" s="2"/>
      <c r="D397" s="2"/>
      <c r="E397" s="13"/>
      <c r="F397" s="2"/>
      <c r="G397" s="2"/>
      <c r="H397" s="2"/>
      <c r="I397" s="2"/>
    </row>
    <row r="398" spans="1:9" x14ac:dyDescent="0.15">
      <c r="A398" s="2"/>
      <c r="B398" s="2"/>
      <c r="C398" s="2"/>
      <c r="D398" s="2"/>
      <c r="E398" s="13"/>
      <c r="F398" s="2"/>
      <c r="G398" s="2"/>
      <c r="H398" s="2"/>
      <c r="I398" s="2"/>
    </row>
    <row r="399" spans="1:9" x14ac:dyDescent="0.15">
      <c r="A399" s="2"/>
      <c r="B399" s="2"/>
      <c r="C399" s="2"/>
      <c r="D399" s="2"/>
      <c r="E399" s="13"/>
      <c r="F399" s="2"/>
      <c r="G399" s="2"/>
      <c r="H399" s="2"/>
      <c r="I399" s="2"/>
    </row>
  </sheetData>
  <phoneticPr fontId="5" type="noConversion"/>
  <dataValidations count="3">
    <dataValidation type="list" allowBlank="1" sqref="D2:D399" xr:uid="{00000000-0002-0000-0200-000000000000}">
      <formula1>"买入,持续追踪,卖出"</formula1>
    </dataValidation>
    <dataValidation type="date" allowBlank="1" sqref="E2:E399" xr:uid="{00000000-0002-0000-0200-000001000000}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399" xr:uid="{00000000-0002-0000-0200-000002000000}">
      <formula1>技术指标列表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pane ySplit="1" topLeftCell="A5" activePane="bottomLeft" state="frozen"/>
      <selection pane="bottomLeft" activeCell="C27" sqref="C27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77</v>
      </c>
      <c r="B1" s="3" t="s">
        <v>78</v>
      </c>
      <c r="C1" s="3" t="s">
        <v>79</v>
      </c>
    </row>
    <row r="2" spans="1:3" x14ac:dyDescent="0.15">
      <c r="A2" s="4" t="s">
        <v>80</v>
      </c>
      <c r="B2" s="8">
        <f>COUNT(单次交易!M2:M102)</f>
        <v>0</v>
      </c>
      <c r="C2" s="4" t="s">
        <v>81</v>
      </c>
    </row>
    <row r="3" spans="1:3" x14ac:dyDescent="0.15">
      <c r="A3" s="4" t="s">
        <v>82</v>
      </c>
      <c r="B3" s="8">
        <f>COUNTIF(单次交易!X2:X102,"&gt;0")</f>
        <v>0</v>
      </c>
      <c r="C3" s="4" t="s">
        <v>83</v>
      </c>
    </row>
    <row r="4" spans="1:3" x14ac:dyDescent="0.15">
      <c r="A4" s="4" t="s">
        <v>84</v>
      </c>
      <c r="B4" s="8">
        <f>COUNTIF(单次交易!X2:X102,"&lt;0")</f>
        <v>0</v>
      </c>
      <c r="C4" s="4" t="s">
        <v>85</v>
      </c>
    </row>
    <row r="5" spans="1:3" x14ac:dyDescent="0.15">
      <c r="A5" s="4" t="s">
        <v>86</v>
      </c>
      <c r="B5" s="8">
        <f>COUNTIFS(单次交易!M2:M102,"&lt;&gt;",单次交易!X2:X102,"=0")</f>
        <v>0</v>
      </c>
      <c r="C5" s="4" t="s">
        <v>87</v>
      </c>
    </row>
    <row r="6" spans="1:3" x14ac:dyDescent="0.15">
      <c r="A6" s="4" t="s">
        <v>88</v>
      </c>
      <c r="B6" s="7" t="str">
        <f>IFERROR(B3/(B3+B4),"")</f>
        <v/>
      </c>
      <c r="C6" s="4" t="s">
        <v>89</v>
      </c>
    </row>
    <row r="7" spans="1:3" x14ac:dyDescent="0.15">
      <c r="A7" s="4" t="s">
        <v>90</v>
      </c>
      <c r="B7" s="7" t="str">
        <f>IFERROR(B4/(B3+B4),"")</f>
        <v/>
      </c>
      <c r="C7" s="4" t="s">
        <v>91</v>
      </c>
    </row>
    <row r="8" spans="1:3" x14ac:dyDescent="0.15">
      <c r="A8" s="4" t="s">
        <v>92</v>
      </c>
      <c r="B8" s="7" t="str">
        <f>IFERROR(AVERAGEIF(单次交易!X2:X102,"&gt;0",单次交易!AE2:AE102),"")</f>
        <v/>
      </c>
      <c r="C8" s="4" t="s">
        <v>93</v>
      </c>
    </row>
    <row r="9" spans="1:3" x14ac:dyDescent="0.15">
      <c r="A9" s="4" t="s">
        <v>94</v>
      </c>
      <c r="B9" s="7" t="str">
        <f>IFERROR(-AVERAGEIF(单次交易!X2:X102,"&lt;0",单次交易!AE2:AE102),"")</f>
        <v/>
      </c>
      <c r="C9" s="4" t="s">
        <v>95</v>
      </c>
    </row>
    <row r="10" spans="1:3" x14ac:dyDescent="0.15">
      <c r="A10" s="4" t="s">
        <v>96</v>
      </c>
      <c r="B10" s="8">
        <f>SUMIF(单次交易!X2:X102,"&gt;0",单次交易!AA2:AA102)</f>
        <v>0</v>
      </c>
      <c r="C10" s="4" t="s">
        <v>97</v>
      </c>
    </row>
    <row r="11" spans="1:3" x14ac:dyDescent="0.15">
      <c r="A11" s="4" t="s">
        <v>98</v>
      </c>
      <c r="B11" s="8">
        <f>SUMIF(单次交易!X2:X102,"&lt;0",单次交易!AA2:AA102)</f>
        <v>0</v>
      </c>
      <c r="C11" s="4" t="s">
        <v>97</v>
      </c>
    </row>
    <row r="12" spans="1:3" x14ac:dyDescent="0.15">
      <c r="A12" s="4" t="s">
        <v>99</v>
      </c>
      <c r="B12" s="5" t="str">
        <f>IFERROR(SUMPRODUCT(单次交易!AO2:AO102,单次交易!AP2:AP102)/COUNT(单次交易!AP2:AP102),"")</f>
        <v/>
      </c>
      <c r="C12" s="4" t="s">
        <v>100</v>
      </c>
    </row>
    <row r="13" spans="1:3" x14ac:dyDescent="0.15">
      <c r="A13" s="4" t="s">
        <v>101</v>
      </c>
      <c r="B13" s="7" t="str">
        <f>IF(OR(B6="",B7="",B8="",B9=""),"",B6*B8-B7*B9)</f>
        <v/>
      </c>
      <c r="C13" s="4" t="s">
        <v>102</v>
      </c>
    </row>
    <row r="14" spans="1:3" x14ac:dyDescent="0.15">
      <c r="A14" s="4" t="s">
        <v>103</v>
      </c>
      <c r="B14" s="7" t="str">
        <f>IF(COUNT(单次交易!AE2:AE102)=0,"",EXP(SUMPRODUCT(IFERROR(LN(1+单次交易!AE2:AE102),0)))-1)</f>
        <v/>
      </c>
      <c r="C14" s="4" t="s">
        <v>104</v>
      </c>
    </row>
  </sheetData>
  <phoneticPr fontId="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3"/>
  <sheetViews>
    <sheetView showGridLines="0" workbookViewId="0">
      <pane ySplit="1" topLeftCell="A2" activePane="bottomLeft" state="frozen"/>
      <selection pane="bottomLeft" activeCell="A34" sqref="A34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9" t="s">
        <v>77</v>
      </c>
      <c r="B1" s="9" t="s">
        <v>105</v>
      </c>
      <c r="C1" s="9" t="s">
        <v>106</v>
      </c>
    </row>
    <row r="2" spans="1:3" x14ac:dyDescent="0.15">
      <c r="A2" s="4" t="s">
        <v>107</v>
      </c>
      <c r="B2" s="10">
        <v>100000</v>
      </c>
      <c r="C2" s="4" t="s">
        <v>108</v>
      </c>
    </row>
    <row r="3" spans="1:3" x14ac:dyDescent="0.15">
      <c r="A3" s="4" t="s">
        <v>109</v>
      </c>
      <c r="B3" s="5">
        <f>IF(B2="","",B2+SUM(单次交易!X2:X102))</f>
        <v>100000</v>
      </c>
      <c r="C3" s="4" t="s">
        <v>110</v>
      </c>
    </row>
    <row r="4" spans="1:3" x14ac:dyDescent="0.15">
      <c r="A4" s="4" t="s">
        <v>111</v>
      </c>
      <c r="B4" s="6">
        <v>0.02</v>
      </c>
      <c r="C4" s="4" t="s">
        <v>112</v>
      </c>
    </row>
    <row r="5" spans="1:3" x14ac:dyDescent="0.15">
      <c r="A5" s="4" t="s">
        <v>113</v>
      </c>
      <c r="B5" s="5">
        <f>IF(B3="","",B3*B4)</f>
        <v>2000</v>
      </c>
      <c r="C5" s="4" t="s">
        <v>114</v>
      </c>
    </row>
    <row r="6" spans="1:3" x14ac:dyDescent="0.15">
      <c r="A6" s="4" t="s">
        <v>115</v>
      </c>
      <c r="B6" s="6">
        <v>0.06</v>
      </c>
      <c r="C6" s="4" t="s">
        <v>116</v>
      </c>
    </row>
    <row r="7" spans="1:3" x14ac:dyDescent="0.15">
      <c r="A7" s="4" t="s">
        <v>117</v>
      </c>
      <c r="B7" s="5">
        <f>IF(B3="","",B3*B6)</f>
        <v>6000</v>
      </c>
      <c r="C7" s="4" t="s">
        <v>118</v>
      </c>
    </row>
    <row r="8" spans="1:3" x14ac:dyDescent="0.15">
      <c r="A8" s="4" t="s">
        <v>119</v>
      </c>
      <c r="B8" s="5">
        <f ca="1">SUMIFS(单次交易!X2:X102,单次交易!X2:X102,"&lt;0",单次交易!M2:M102,"&gt;="&amp;EOMONTH(TODAY(),-1)+1,单次交易!M2:M102,"&lt;="&amp;EOMONTH(TODAY(),0))</f>
        <v>0</v>
      </c>
      <c r="C8" s="4" t="s">
        <v>120</v>
      </c>
    </row>
    <row r="9" spans="1:3" x14ac:dyDescent="0.15">
      <c r="A9" s="4" t="s">
        <v>121</v>
      </c>
      <c r="B9" s="5">
        <f>IFERROR(SUM(单次交易!AQ2:AQ102),0)</f>
        <v>0</v>
      </c>
      <c r="C9" s="4" t="s">
        <v>122</v>
      </c>
    </row>
    <row r="10" spans="1:3" x14ac:dyDescent="0.15">
      <c r="A10" s="4" t="s">
        <v>123</v>
      </c>
      <c r="B10" s="5">
        <f>IF(OR(B7="",B9=""),"",B7-B9)</f>
        <v>6000</v>
      </c>
      <c r="C10" s="4" t="s">
        <v>124</v>
      </c>
    </row>
    <row r="11" spans="1:3" x14ac:dyDescent="0.15">
      <c r="A11" s="4" t="s">
        <v>125</v>
      </c>
      <c r="B11" s="7">
        <f>IF(OR(B2="",B3="",B2&lt;=0),"",B3/B2-1)</f>
        <v>0</v>
      </c>
      <c r="C11" s="4" t="s">
        <v>126</v>
      </c>
    </row>
    <row r="12" spans="1:3" x14ac:dyDescent="0.15">
      <c r="A12" s="4"/>
      <c r="B12" s="4"/>
      <c r="C12" s="4"/>
    </row>
    <row r="13" spans="1:3" x14ac:dyDescent="0.15">
      <c r="A13" s="4" t="s">
        <v>127</v>
      </c>
      <c r="B13" s="6">
        <v>0.06</v>
      </c>
      <c r="C13" s="4" t="s">
        <v>128</v>
      </c>
    </row>
    <row r="14" spans="1:3" x14ac:dyDescent="0.15">
      <c r="A14" s="4" t="s">
        <v>129</v>
      </c>
      <c r="B14" s="11">
        <f>IFERROR(LOOKUP(2,1/((单次交易!$M$2:$M$102&lt;&gt;"")*(单次交易!$X$2:$X$102&gt;0)),ROW(单次交易!$X$2:$X$102)-1),0)</f>
        <v>0</v>
      </c>
      <c r="C14" s="4" t="s">
        <v>130</v>
      </c>
    </row>
    <row r="15" spans="1:3" x14ac:dyDescent="0.15">
      <c r="A15" s="4" t="s">
        <v>131</v>
      </c>
      <c r="B15" s="11">
        <f>IFERROR(LOOKUP(2,1/(单次交易!$M$2:$M$102&lt;&gt;""),ROW(单次交易!$M$2:$M$102)-1),0)</f>
        <v>0</v>
      </c>
      <c r="C15" s="4" t="s">
        <v>132</v>
      </c>
    </row>
    <row r="16" spans="1:3" x14ac:dyDescent="0.15">
      <c r="A16" s="4" t="s">
        <v>133</v>
      </c>
      <c r="B16" s="12"/>
      <c r="C16" s="4" t="s">
        <v>134</v>
      </c>
    </row>
    <row r="17" spans="1:3" x14ac:dyDescent="0.15">
      <c r="A17" s="4" t="s">
        <v>135</v>
      </c>
      <c r="B17" s="2" t="s">
        <v>136</v>
      </c>
      <c r="C17" s="4" t="s">
        <v>137</v>
      </c>
    </row>
    <row r="18" spans="1:3" x14ac:dyDescent="0.15">
      <c r="A18" s="4" t="s">
        <v>138</v>
      </c>
      <c r="B18" s="11">
        <f>MAX(B14,IF(AND(ISNUMBER(B16),B16&gt;=1,B16&lt;=B15,B17&lt;&gt;""),B16,0))</f>
        <v>0</v>
      </c>
      <c r="C18" s="4" t="s">
        <v>139</v>
      </c>
    </row>
    <row r="19" spans="1:3" x14ac:dyDescent="0.15">
      <c r="A19" s="4" t="s">
        <v>140</v>
      </c>
      <c r="B19" s="5">
        <f>IF(B2="","",IF(B18=0,B2,B2+SUM(单次交易!#REF!:INDEX(单次交易!$X:$X,B18+1))))</f>
        <v>100000</v>
      </c>
      <c r="C19" s="4" t="s">
        <v>141</v>
      </c>
    </row>
    <row r="20" spans="1:3" x14ac:dyDescent="0.15">
      <c r="A20" s="4" t="s">
        <v>142</v>
      </c>
      <c r="B20" s="5">
        <f>IF(B18&gt;=B15,0,-SUMPRODUCT((ROW(单次交易!$X$2:$X$102)-1&gt;B18)*(单次交易!$M$2:$M$102&lt;&gt;"")*(IFERROR(单次交易!$X$2:$X$102,0)&lt;0)*IFERROR(单次交易!$X$2:$X$102,0)))</f>
        <v>0</v>
      </c>
      <c r="C20" s="4" t="s">
        <v>143</v>
      </c>
    </row>
    <row r="21" spans="1:3" x14ac:dyDescent="0.15">
      <c r="A21" s="4" t="s">
        <v>144</v>
      </c>
      <c r="B21" s="7">
        <f>IF(OR(B19="",B19&lt;=0),"",B20/B19)</f>
        <v>0</v>
      </c>
      <c r="C21" s="4" t="s">
        <v>145</v>
      </c>
    </row>
    <row r="22" spans="1:3" x14ac:dyDescent="0.15">
      <c r="A22" s="4" t="s">
        <v>146</v>
      </c>
      <c r="B22" s="7">
        <f>IF(OR(B13="",B13&lt;=0,B21=""),"",B21/B13)</f>
        <v>0</v>
      </c>
      <c r="C22" s="4" t="s">
        <v>147</v>
      </c>
    </row>
    <row r="23" spans="1:3" x14ac:dyDescent="0.15">
      <c r="A23" s="4" t="s">
        <v>148</v>
      </c>
      <c r="B23" s="8" t="str">
        <f>IF(OR(AND(B16&lt;&gt;"",B17=""),AND(B16="",B17&lt;&gt;""),AND(B16&lt;&gt;"",OR(NOT(ISNUMBER(B16)),B16&lt;1,B16&gt;B15,B16&lt;&gt;INT(B16)))),"解锁信息不完整",IF(B22&gt;=1,"已锁仓",IF(B22&gt;=0.8,"接近锁仓","正常")))</f>
        <v>解锁信息不完整</v>
      </c>
      <c r="C23" s="4" t="s">
        <v>149</v>
      </c>
    </row>
  </sheetData>
  <phoneticPr fontId="5" type="noConversion"/>
  <conditionalFormatting sqref="B8">
    <cfRule type="cellIs" dxfId="4" priority="1" operator="lessThan">
      <formula>0</formula>
    </cfRule>
  </conditionalFormatting>
  <conditionalFormatting sqref="B10">
    <cfRule type="cellIs" dxfId="3" priority="2" operator="lessThan">
      <formula>0</formula>
    </cfRule>
  </conditionalFormatting>
  <conditionalFormatting sqref="B23">
    <cfRule type="expression" dxfId="2" priority="3">
      <formula>$B$23="已锁仓"</formula>
    </cfRule>
    <cfRule type="expression" dxfId="1" priority="4">
      <formula>OR($B$23="接近锁仓",$B$23="解锁信息不完整")</formula>
    </cfRule>
    <cfRule type="expression" dxfId="0" priority="5">
      <formula>$B$23="正常"</formula>
    </cfRule>
  </conditionalFormatting>
  <dataValidations count="3">
    <dataValidation type="decimal" operator="greaterThan" sqref="B2" xr:uid="{00000000-0002-0000-0400-000000000000}">
      <formula1>0</formula1>
    </dataValidation>
    <dataValidation type="decimal" sqref="B4 B6 B13" xr:uid="{00000000-0002-0000-0400-000001000000}">
      <formula1>0</formula1>
      <formula2>1</formula2>
    </dataValidation>
    <dataValidation type="custom" allowBlank="1" showErrorMessage="1" errorTitle="解锁序号无效" error="请填写1到最近已完成记录序号之间的整数，并同时填写解锁原因" sqref="B16" xr:uid="{00000000-0002-0000-0400-000002000000}">
      <formula1>OR(B16="",AND(ISNUMBER(B16),B16=INT(B16),B16&gt;=1,B16&lt;=B15))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77</v>
      </c>
      <c r="B1" s="3" t="s">
        <v>105</v>
      </c>
      <c r="C1" s="3" t="s">
        <v>79</v>
      </c>
    </row>
    <row r="2" spans="1:3" x14ac:dyDescent="0.15">
      <c r="A2" s="4" t="s">
        <v>150</v>
      </c>
      <c r="B2" s="5">
        <f>账户数据!B3</f>
        <v>100000</v>
      </c>
      <c r="C2" s="4" t="s">
        <v>151</v>
      </c>
    </row>
    <row r="3" spans="1:3" x14ac:dyDescent="0.15">
      <c r="A3" s="4" t="s">
        <v>152</v>
      </c>
      <c r="B3" s="6">
        <v>0.1</v>
      </c>
      <c r="C3" s="4" t="s">
        <v>153</v>
      </c>
    </row>
    <row r="4" spans="1:3" x14ac:dyDescent="0.15">
      <c r="A4" s="4" t="s">
        <v>154</v>
      </c>
      <c r="B4" s="5">
        <f>IF(OR(B2="",B3=""),"",B2*B3)</f>
        <v>10000</v>
      </c>
      <c r="C4" s="4" t="s">
        <v>155</v>
      </c>
    </row>
    <row r="5" spans="1:3" x14ac:dyDescent="0.15">
      <c r="A5" s="4" t="s">
        <v>99</v>
      </c>
      <c r="B5" s="5" t="str">
        <f>多次统计数据!B12</f>
        <v/>
      </c>
      <c r="C5" s="4" t="s">
        <v>156</v>
      </c>
    </row>
    <row r="6" spans="1:3" x14ac:dyDescent="0.15">
      <c r="A6" s="4" t="s">
        <v>157</v>
      </c>
      <c r="B6" s="7" t="str">
        <f>多次统计数据!B13</f>
        <v/>
      </c>
      <c r="C6" s="4" t="s">
        <v>158</v>
      </c>
    </row>
    <row r="7" spans="1:3" x14ac:dyDescent="0.15">
      <c r="A7" s="4" t="s">
        <v>159</v>
      </c>
      <c r="B7" s="8" t="str">
        <f>IF(OR(B3="",B6="",B3&lt;=0,B6&lt;=0),"暂不可计算",ROUNDUP(LN(1+B3)/LN(1+B6),0))</f>
        <v>暂不可计算</v>
      </c>
      <c r="C7" s="4" t="s">
        <v>160</v>
      </c>
    </row>
  </sheetData>
  <phoneticPr fontId="5" type="noConversion"/>
  <dataValidations count="1">
    <dataValidation type="decimal" operator="greaterThan" sqref="B3" xr:uid="{00000000-0002-0000-0500-000000000000}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01"/>
  <sheetViews>
    <sheetView workbookViewId="0">
      <pane ySplit="1" topLeftCell="A17" activePane="bottomLeft" state="frozen"/>
      <selection pane="bottomLeft"/>
    </sheetView>
  </sheetViews>
  <sheetFormatPr defaultColWidth="9" defaultRowHeight="13.5" x14ac:dyDescent="0.15"/>
  <cols>
    <col min="1" max="1" width="22" customWidth="1"/>
    <col min="2" max="2" width="18" customWidth="1"/>
    <col min="3" max="3" width="56" customWidth="1"/>
  </cols>
  <sheetData>
    <row r="1" spans="1:3" ht="42" customHeight="1" x14ac:dyDescent="0.15">
      <c r="A1" s="1" t="s">
        <v>161</v>
      </c>
      <c r="B1" s="1" t="s">
        <v>162</v>
      </c>
      <c r="C1" s="1" t="s">
        <v>163</v>
      </c>
    </row>
    <row r="2" spans="1:3" x14ac:dyDescent="0.15">
      <c r="A2" s="2" t="s">
        <v>164</v>
      </c>
      <c r="B2" s="2" t="s">
        <v>165</v>
      </c>
      <c r="C2" s="2" t="s">
        <v>166</v>
      </c>
    </row>
    <row r="3" spans="1:3" x14ac:dyDescent="0.15">
      <c r="A3" s="2" t="s">
        <v>167</v>
      </c>
      <c r="B3" s="2" t="s">
        <v>168</v>
      </c>
      <c r="C3" s="2" t="s">
        <v>169</v>
      </c>
    </row>
    <row r="4" spans="1:3" x14ac:dyDescent="0.15">
      <c r="A4" s="2" t="s">
        <v>170</v>
      </c>
      <c r="B4" s="2" t="s">
        <v>171</v>
      </c>
      <c r="C4" s="2" t="s">
        <v>172</v>
      </c>
    </row>
    <row r="5" spans="1:3" x14ac:dyDescent="0.15">
      <c r="A5" s="2" t="s">
        <v>173</v>
      </c>
      <c r="B5" s="2" t="s">
        <v>168</v>
      </c>
      <c r="C5" s="2" t="s">
        <v>174</v>
      </c>
    </row>
    <row r="6" spans="1:3" x14ac:dyDescent="0.15">
      <c r="A6" s="2" t="s">
        <v>51</v>
      </c>
      <c r="B6" s="2" t="s">
        <v>175</v>
      </c>
      <c r="C6" s="2" t="s">
        <v>176</v>
      </c>
    </row>
    <row r="7" spans="1:3" x14ac:dyDescent="0.15">
      <c r="A7" s="2" t="s">
        <v>177</v>
      </c>
      <c r="B7" s="2" t="s">
        <v>171</v>
      </c>
      <c r="C7" s="2" t="s">
        <v>178</v>
      </c>
    </row>
    <row r="8" spans="1:3" x14ac:dyDescent="0.15">
      <c r="A8" s="2" t="s">
        <v>179</v>
      </c>
      <c r="B8" s="2" t="s">
        <v>171</v>
      </c>
      <c r="C8" s="2" t="s">
        <v>180</v>
      </c>
    </row>
    <row r="9" spans="1:3" x14ac:dyDescent="0.15">
      <c r="A9" s="2" t="s">
        <v>181</v>
      </c>
      <c r="B9" s="2" t="s">
        <v>182</v>
      </c>
      <c r="C9" s="2" t="s">
        <v>183</v>
      </c>
    </row>
    <row r="10" spans="1:3" x14ac:dyDescent="0.15">
      <c r="A10" s="2" t="s">
        <v>184</v>
      </c>
      <c r="B10" s="2" t="s">
        <v>185</v>
      </c>
      <c r="C10" s="2" t="s">
        <v>186</v>
      </c>
    </row>
    <row r="11" spans="1:3" x14ac:dyDescent="0.15">
      <c r="A11" s="2" t="s">
        <v>187</v>
      </c>
      <c r="B11" s="2" t="s">
        <v>185</v>
      </c>
      <c r="C11" s="2" t="s">
        <v>188</v>
      </c>
    </row>
    <row r="12" spans="1:3" x14ac:dyDescent="0.15">
      <c r="A12" s="2" t="s">
        <v>189</v>
      </c>
      <c r="B12" s="2" t="s">
        <v>165</v>
      </c>
      <c r="C12" s="2" t="s">
        <v>190</v>
      </c>
    </row>
    <row r="13" spans="1:3" x14ac:dyDescent="0.15">
      <c r="A13" s="2" t="s">
        <v>191</v>
      </c>
      <c r="B13" s="2" t="s">
        <v>165</v>
      </c>
      <c r="C13" s="2" t="s">
        <v>192</v>
      </c>
    </row>
    <row r="14" spans="1:3" x14ac:dyDescent="0.15">
      <c r="A14" s="2" t="s">
        <v>193</v>
      </c>
      <c r="B14" s="2" t="s">
        <v>168</v>
      </c>
      <c r="C14" s="2" t="s">
        <v>194</v>
      </c>
    </row>
    <row r="15" spans="1:3" x14ac:dyDescent="0.15">
      <c r="A15" s="2" t="s">
        <v>195</v>
      </c>
      <c r="B15" s="2" t="s">
        <v>168</v>
      </c>
      <c r="C15" s="2" t="s">
        <v>196</v>
      </c>
    </row>
    <row r="16" spans="1:3" x14ac:dyDescent="0.15">
      <c r="A16" s="2" t="s">
        <v>197</v>
      </c>
      <c r="B16" s="2" t="s">
        <v>175</v>
      </c>
      <c r="C16" s="2" t="s">
        <v>198</v>
      </c>
    </row>
    <row r="17" spans="1:3" x14ac:dyDescent="0.15">
      <c r="A17" s="2" t="s">
        <v>199</v>
      </c>
      <c r="B17" s="2" t="s">
        <v>171</v>
      </c>
      <c r="C17" s="2" t="s">
        <v>200</v>
      </c>
    </row>
    <row r="18" spans="1:3" x14ac:dyDescent="0.15">
      <c r="A18" s="2" t="s">
        <v>201</v>
      </c>
      <c r="B18" s="2" t="s">
        <v>182</v>
      </c>
      <c r="C18" s="2" t="s">
        <v>202</v>
      </c>
    </row>
    <row r="19" spans="1:3" x14ac:dyDescent="0.15">
      <c r="A19" s="2" t="s">
        <v>203</v>
      </c>
      <c r="B19" s="2" t="s">
        <v>175</v>
      </c>
      <c r="C19" s="2" t="s">
        <v>204</v>
      </c>
    </row>
    <row r="20" spans="1:3" x14ac:dyDescent="0.15">
      <c r="A20" s="2" t="s">
        <v>205</v>
      </c>
      <c r="B20" s="2" t="s">
        <v>206</v>
      </c>
      <c r="C20" s="2" t="s">
        <v>207</v>
      </c>
    </row>
    <row r="21" spans="1:3" x14ac:dyDescent="0.15">
      <c r="A21" s="2" t="s">
        <v>208</v>
      </c>
      <c r="B21" s="2" t="s">
        <v>209</v>
      </c>
      <c r="C21" s="2" t="s">
        <v>210</v>
      </c>
    </row>
    <row r="22" spans="1:3" x14ac:dyDescent="0.15">
      <c r="A22" s="2"/>
      <c r="B22" s="2"/>
      <c r="C22" s="2"/>
    </row>
    <row r="23" spans="1:3" x14ac:dyDescent="0.15">
      <c r="A23" s="2"/>
      <c r="B23" s="2"/>
      <c r="C23" s="2"/>
    </row>
    <row r="24" spans="1:3" x14ac:dyDescent="0.15">
      <c r="A24" s="2"/>
      <c r="B24" s="2"/>
      <c r="C24" s="2"/>
    </row>
    <row r="25" spans="1:3" x14ac:dyDescent="0.15">
      <c r="A25" s="2"/>
      <c r="B25" s="2"/>
      <c r="C25" s="2"/>
    </row>
    <row r="26" spans="1:3" x14ac:dyDescent="0.15">
      <c r="A26" s="2"/>
      <c r="B26" s="2"/>
      <c r="C26" s="2"/>
    </row>
    <row r="27" spans="1:3" x14ac:dyDescent="0.15">
      <c r="A27" s="2"/>
      <c r="B27" s="2"/>
      <c r="C27" s="2"/>
    </row>
    <row r="28" spans="1:3" x14ac:dyDescent="0.15">
      <c r="A28" s="2"/>
      <c r="B28" s="2"/>
      <c r="C28" s="2"/>
    </row>
    <row r="29" spans="1:3" x14ac:dyDescent="0.15">
      <c r="A29" s="2"/>
      <c r="B29" s="2"/>
      <c r="C29" s="2"/>
    </row>
    <row r="30" spans="1:3" x14ac:dyDescent="0.15">
      <c r="A30" s="2"/>
      <c r="B30" s="2"/>
      <c r="C30" s="2"/>
    </row>
    <row r="31" spans="1:3" x14ac:dyDescent="0.15">
      <c r="A31" s="2"/>
      <c r="B31" s="2"/>
      <c r="C31" s="2"/>
    </row>
    <row r="32" spans="1:3" x14ac:dyDescent="0.15">
      <c r="A32" s="2"/>
      <c r="B32" s="2"/>
      <c r="C32" s="2"/>
    </row>
    <row r="33" spans="1:3" x14ac:dyDescent="0.15">
      <c r="A33" s="2"/>
      <c r="B33" s="2"/>
      <c r="C33" s="2"/>
    </row>
    <row r="34" spans="1:3" x14ac:dyDescent="0.15">
      <c r="A34" s="2"/>
      <c r="B34" s="2"/>
      <c r="C34" s="2"/>
    </row>
    <row r="35" spans="1:3" x14ac:dyDescent="0.15">
      <c r="A35" s="2"/>
      <c r="B35" s="2"/>
      <c r="C35" s="2"/>
    </row>
    <row r="36" spans="1:3" x14ac:dyDescent="0.15">
      <c r="A36" s="2"/>
      <c r="B36" s="2"/>
      <c r="C36" s="2"/>
    </row>
    <row r="37" spans="1:3" x14ac:dyDescent="0.15">
      <c r="A37" s="2"/>
      <c r="B37" s="2"/>
      <c r="C37" s="2"/>
    </row>
    <row r="38" spans="1:3" x14ac:dyDescent="0.15">
      <c r="A38" s="2"/>
      <c r="B38" s="2"/>
      <c r="C38" s="2"/>
    </row>
    <row r="39" spans="1:3" x14ac:dyDescent="0.15">
      <c r="A39" s="2"/>
      <c r="B39" s="2"/>
      <c r="C39" s="2"/>
    </row>
    <row r="40" spans="1:3" x14ac:dyDescent="0.15">
      <c r="A40" s="2"/>
      <c r="B40" s="2"/>
      <c r="C40" s="2"/>
    </row>
    <row r="41" spans="1:3" x14ac:dyDescent="0.15">
      <c r="A41" s="2"/>
      <c r="B41" s="2"/>
      <c r="C41" s="2"/>
    </row>
    <row r="42" spans="1:3" x14ac:dyDescent="0.15">
      <c r="A42" s="2"/>
      <c r="B42" s="2"/>
      <c r="C42" s="2"/>
    </row>
    <row r="43" spans="1:3" x14ac:dyDescent="0.15">
      <c r="A43" s="2"/>
      <c r="B43" s="2"/>
      <c r="C43" s="2"/>
    </row>
    <row r="44" spans="1:3" x14ac:dyDescent="0.15">
      <c r="A44" s="2"/>
      <c r="B44" s="2"/>
      <c r="C44" s="2"/>
    </row>
    <row r="45" spans="1:3" x14ac:dyDescent="0.15">
      <c r="A45" s="2"/>
      <c r="B45" s="2"/>
      <c r="C45" s="2"/>
    </row>
    <row r="46" spans="1:3" x14ac:dyDescent="0.15">
      <c r="A46" s="2"/>
      <c r="B46" s="2"/>
      <c r="C46" s="2"/>
    </row>
    <row r="47" spans="1:3" x14ac:dyDescent="0.15">
      <c r="A47" s="2"/>
      <c r="B47" s="2"/>
      <c r="C47" s="2"/>
    </row>
    <row r="48" spans="1:3" x14ac:dyDescent="0.15">
      <c r="A48" s="2"/>
      <c r="B48" s="2"/>
      <c r="C48" s="2"/>
    </row>
    <row r="49" spans="1:3" x14ac:dyDescent="0.15">
      <c r="A49" s="2"/>
      <c r="B49" s="2"/>
      <c r="C49" s="2"/>
    </row>
    <row r="50" spans="1:3" x14ac:dyDescent="0.15">
      <c r="A50" s="2"/>
      <c r="B50" s="2"/>
      <c r="C50" s="2"/>
    </row>
    <row r="51" spans="1:3" x14ac:dyDescent="0.15">
      <c r="A51" s="2"/>
      <c r="B51" s="2"/>
      <c r="C51" s="2"/>
    </row>
    <row r="52" spans="1:3" x14ac:dyDescent="0.15">
      <c r="A52" s="2"/>
      <c r="B52" s="2"/>
      <c r="C52" s="2"/>
    </row>
    <row r="53" spans="1:3" x14ac:dyDescent="0.15">
      <c r="A53" s="2"/>
      <c r="B53" s="2"/>
      <c r="C53" s="2"/>
    </row>
    <row r="54" spans="1:3" x14ac:dyDescent="0.15">
      <c r="A54" s="2"/>
      <c r="B54" s="2"/>
      <c r="C54" s="2"/>
    </row>
    <row r="55" spans="1:3" x14ac:dyDescent="0.15">
      <c r="A55" s="2"/>
      <c r="B55" s="2"/>
      <c r="C55" s="2"/>
    </row>
    <row r="56" spans="1:3" x14ac:dyDescent="0.15">
      <c r="A56" s="2"/>
      <c r="B56" s="2"/>
      <c r="C56" s="2"/>
    </row>
    <row r="57" spans="1:3" x14ac:dyDescent="0.15">
      <c r="A57" s="2"/>
      <c r="B57" s="2"/>
      <c r="C57" s="2"/>
    </row>
    <row r="58" spans="1:3" x14ac:dyDescent="0.15">
      <c r="A58" s="2"/>
      <c r="B58" s="2"/>
      <c r="C58" s="2"/>
    </row>
    <row r="59" spans="1:3" x14ac:dyDescent="0.15">
      <c r="A59" s="2"/>
      <c r="B59" s="2"/>
      <c r="C59" s="2"/>
    </row>
    <row r="60" spans="1:3" x14ac:dyDescent="0.15">
      <c r="A60" s="2"/>
      <c r="B60" s="2"/>
      <c r="C60" s="2"/>
    </row>
    <row r="61" spans="1:3" x14ac:dyDescent="0.15">
      <c r="A61" s="2"/>
      <c r="B61" s="2"/>
      <c r="C61" s="2"/>
    </row>
    <row r="62" spans="1:3" x14ac:dyDescent="0.15">
      <c r="A62" s="2"/>
      <c r="B62" s="2"/>
      <c r="C62" s="2"/>
    </row>
    <row r="63" spans="1:3" x14ac:dyDescent="0.15">
      <c r="A63" s="2"/>
      <c r="B63" s="2"/>
      <c r="C63" s="2"/>
    </row>
    <row r="64" spans="1:3" x14ac:dyDescent="0.15">
      <c r="A64" s="2"/>
      <c r="B64" s="2"/>
      <c r="C64" s="2"/>
    </row>
    <row r="65" spans="1:3" x14ac:dyDescent="0.15">
      <c r="A65" s="2"/>
      <c r="B65" s="2"/>
      <c r="C65" s="2"/>
    </row>
    <row r="66" spans="1:3" x14ac:dyDescent="0.15">
      <c r="A66" s="2"/>
      <c r="B66" s="2"/>
      <c r="C66" s="2"/>
    </row>
    <row r="67" spans="1:3" x14ac:dyDescent="0.15">
      <c r="A67" s="2"/>
      <c r="B67" s="2"/>
      <c r="C67" s="2"/>
    </row>
    <row r="68" spans="1:3" x14ac:dyDescent="0.15">
      <c r="A68" s="2"/>
      <c r="B68" s="2"/>
      <c r="C68" s="2"/>
    </row>
    <row r="69" spans="1:3" x14ac:dyDescent="0.15">
      <c r="A69" s="2"/>
      <c r="B69" s="2"/>
      <c r="C69" s="2"/>
    </row>
    <row r="70" spans="1:3" x14ac:dyDescent="0.15">
      <c r="A70" s="2"/>
      <c r="B70" s="2"/>
      <c r="C70" s="2"/>
    </row>
    <row r="71" spans="1:3" x14ac:dyDescent="0.15">
      <c r="A71" s="2"/>
      <c r="B71" s="2"/>
      <c r="C71" s="2"/>
    </row>
    <row r="72" spans="1:3" x14ac:dyDescent="0.15">
      <c r="A72" s="2"/>
      <c r="B72" s="2"/>
      <c r="C72" s="2"/>
    </row>
    <row r="73" spans="1:3" x14ac:dyDescent="0.15">
      <c r="A73" s="2"/>
      <c r="B73" s="2"/>
      <c r="C73" s="2"/>
    </row>
    <row r="74" spans="1:3" x14ac:dyDescent="0.15">
      <c r="A74" s="2"/>
      <c r="B74" s="2"/>
      <c r="C74" s="2"/>
    </row>
    <row r="75" spans="1:3" x14ac:dyDescent="0.15">
      <c r="A75" s="2"/>
      <c r="B75" s="2"/>
      <c r="C75" s="2"/>
    </row>
    <row r="76" spans="1:3" x14ac:dyDescent="0.15">
      <c r="A76" s="2"/>
      <c r="B76" s="2"/>
      <c r="C76" s="2"/>
    </row>
    <row r="77" spans="1:3" x14ac:dyDescent="0.15">
      <c r="A77" s="2"/>
      <c r="B77" s="2"/>
      <c r="C77" s="2"/>
    </row>
    <row r="78" spans="1:3" x14ac:dyDescent="0.15">
      <c r="A78" s="2"/>
      <c r="B78" s="2"/>
      <c r="C78" s="2"/>
    </row>
    <row r="79" spans="1:3" x14ac:dyDescent="0.15">
      <c r="A79" s="2"/>
      <c r="B79" s="2"/>
      <c r="C79" s="2"/>
    </row>
    <row r="80" spans="1:3" x14ac:dyDescent="0.15">
      <c r="A80" s="2"/>
      <c r="B80" s="2"/>
      <c r="C80" s="2"/>
    </row>
    <row r="81" spans="1:3" x14ac:dyDescent="0.15">
      <c r="A81" s="2"/>
      <c r="B81" s="2"/>
      <c r="C81" s="2"/>
    </row>
    <row r="82" spans="1:3" x14ac:dyDescent="0.15">
      <c r="A82" s="2"/>
      <c r="B82" s="2"/>
      <c r="C82" s="2"/>
    </row>
    <row r="83" spans="1:3" x14ac:dyDescent="0.15">
      <c r="A83" s="2"/>
      <c r="B83" s="2"/>
      <c r="C83" s="2"/>
    </row>
    <row r="84" spans="1:3" x14ac:dyDescent="0.15">
      <c r="A84" s="2"/>
      <c r="B84" s="2"/>
      <c r="C84" s="2"/>
    </row>
    <row r="85" spans="1:3" x14ac:dyDescent="0.15">
      <c r="A85" s="2"/>
      <c r="B85" s="2"/>
      <c r="C85" s="2"/>
    </row>
    <row r="86" spans="1:3" x14ac:dyDescent="0.15">
      <c r="A86" s="2"/>
      <c r="B86" s="2"/>
      <c r="C86" s="2"/>
    </row>
    <row r="87" spans="1:3" x14ac:dyDescent="0.15">
      <c r="A87" s="2"/>
      <c r="B87" s="2"/>
      <c r="C87" s="2"/>
    </row>
    <row r="88" spans="1:3" x14ac:dyDescent="0.15">
      <c r="A88" s="2"/>
      <c r="B88" s="2"/>
      <c r="C88" s="2"/>
    </row>
    <row r="89" spans="1:3" x14ac:dyDescent="0.15">
      <c r="A89" s="2"/>
      <c r="B89" s="2"/>
      <c r="C89" s="2"/>
    </row>
    <row r="90" spans="1:3" x14ac:dyDescent="0.15">
      <c r="A90" s="2"/>
      <c r="B90" s="2"/>
      <c r="C90" s="2"/>
    </row>
    <row r="91" spans="1:3" x14ac:dyDescent="0.15">
      <c r="A91" s="2"/>
      <c r="B91" s="2"/>
      <c r="C91" s="2"/>
    </row>
    <row r="92" spans="1:3" x14ac:dyDescent="0.15">
      <c r="A92" s="2"/>
      <c r="B92" s="2"/>
      <c r="C92" s="2"/>
    </row>
    <row r="93" spans="1:3" x14ac:dyDescent="0.15">
      <c r="A93" s="2"/>
      <c r="B93" s="2"/>
      <c r="C93" s="2"/>
    </row>
    <row r="94" spans="1:3" x14ac:dyDescent="0.15">
      <c r="A94" s="2"/>
      <c r="B94" s="2"/>
      <c r="C94" s="2"/>
    </row>
    <row r="95" spans="1:3" x14ac:dyDescent="0.15">
      <c r="A95" s="2"/>
      <c r="B95" s="2"/>
      <c r="C95" s="2"/>
    </row>
    <row r="96" spans="1:3" x14ac:dyDescent="0.15">
      <c r="A96" s="2"/>
      <c r="B96" s="2"/>
      <c r="C96" s="2"/>
    </row>
    <row r="97" spans="1:3" x14ac:dyDescent="0.15">
      <c r="A97" s="2"/>
      <c r="B97" s="2"/>
      <c r="C97" s="2"/>
    </row>
    <row r="98" spans="1:3" x14ac:dyDescent="0.15">
      <c r="A98" s="2"/>
      <c r="B98" s="2"/>
      <c r="C98" s="2"/>
    </row>
    <row r="99" spans="1:3" x14ac:dyDescent="0.15">
      <c r="A99" s="2"/>
      <c r="B99" s="2"/>
      <c r="C99" s="2"/>
    </row>
    <row r="100" spans="1:3" x14ac:dyDescent="0.15">
      <c r="A100" s="2"/>
      <c r="B100" s="2"/>
      <c r="C100" s="2"/>
    </row>
    <row r="101" spans="1:3" x14ac:dyDescent="0.15">
      <c r="A101" s="2"/>
      <c r="B101" s="2"/>
      <c r="C101" s="2"/>
    </row>
    <row r="102" spans="1:3" x14ac:dyDescent="0.15">
      <c r="A102" s="2"/>
      <c r="B102" s="2"/>
      <c r="C102" s="2"/>
    </row>
    <row r="103" spans="1:3" x14ac:dyDescent="0.15">
      <c r="A103" s="2"/>
      <c r="B103" s="2"/>
      <c r="C103" s="2"/>
    </row>
    <row r="104" spans="1:3" x14ac:dyDescent="0.15">
      <c r="A104" s="2"/>
      <c r="B104" s="2"/>
      <c r="C104" s="2"/>
    </row>
    <row r="105" spans="1:3" x14ac:dyDescent="0.15">
      <c r="A105" s="2"/>
      <c r="B105" s="2"/>
      <c r="C105" s="2"/>
    </row>
    <row r="106" spans="1:3" x14ac:dyDescent="0.15">
      <c r="A106" s="2"/>
      <c r="B106" s="2"/>
      <c r="C106" s="2"/>
    </row>
    <row r="107" spans="1:3" x14ac:dyDescent="0.15">
      <c r="A107" s="2"/>
      <c r="B107" s="2"/>
      <c r="C107" s="2"/>
    </row>
    <row r="108" spans="1:3" x14ac:dyDescent="0.15">
      <c r="A108" s="2"/>
      <c r="B108" s="2"/>
      <c r="C108" s="2"/>
    </row>
    <row r="109" spans="1:3" x14ac:dyDescent="0.15">
      <c r="A109" s="2"/>
      <c r="B109" s="2"/>
      <c r="C109" s="2"/>
    </row>
    <row r="110" spans="1:3" x14ac:dyDescent="0.15">
      <c r="A110" s="2"/>
      <c r="B110" s="2"/>
      <c r="C110" s="2"/>
    </row>
    <row r="111" spans="1:3" x14ac:dyDescent="0.15">
      <c r="A111" s="2"/>
      <c r="B111" s="2"/>
      <c r="C111" s="2"/>
    </row>
    <row r="112" spans="1:3" x14ac:dyDescent="0.15">
      <c r="A112" s="2"/>
      <c r="B112" s="2"/>
      <c r="C112" s="2"/>
    </row>
    <row r="113" spans="1:3" x14ac:dyDescent="0.15">
      <c r="A113" s="2"/>
      <c r="B113" s="2"/>
      <c r="C113" s="2"/>
    </row>
    <row r="114" spans="1:3" x14ac:dyDescent="0.15">
      <c r="A114" s="2"/>
      <c r="B114" s="2"/>
      <c r="C114" s="2"/>
    </row>
    <row r="115" spans="1:3" x14ac:dyDescent="0.15">
      <c r="A115" s="2"/>
      <c r="B115" s="2"/>
      <c r="C115" s="2"/>
    </row>
    <row r="116" spans="1:3" x14ac:dyDescent="0.15">
      <c r="A116" s="2"/>
      <c r="B116" s="2"/>
      <c r="C116" s="2"/>
    </row>
    <row r="117" spans="1:3" x14ac:dyDescent="0.15">
      <c r="A117" s="2"/>
      <c r="B117" s="2"/>
      <c r="C117" s="2"/>
    </row>
    <row r="118" spans="1:3" x14ac:dyDescent="0.15">
      <c r="A118" s="2"/>
      <c r="B118" s="2"/>
      <c r="C118" s="2"/>
    </row>
    <row r="119" spans="1:3" x14ac:dyDescent="0.15">
      <c r="A119" s="2"/>
      <c r="B119" s="2"/>
      <c r="C119" s="2"/>
    </row>
    <row r="120" spans="1:3" x14ac:dyDescent="0.15">
      <c r="A120" s="2"/>
      <c r="B120" s="2"/>
      <c r="C120" s="2"/>
    </row>
    <row r="121" spans="1:3" x14ac:dyDescent="0.15">
      <c r="A121" s="2"/>
      <c r="B121" s="2"/>
      <c r="C121" s="2"/>
    </row>
    <row r="122" spans="1:3" x14ac:dyDescent="0.15">
      <c r="A122" s="2"/>
      <c r="B122" s="2"/>
      <c r="C122" s="2"/>
    </row>
    <row r="123" spans="1:3" x14ac:dyDescent="0.15">
      <c r="A123" s="2"/>
      <c r="B123" s="2"/>
      <c r="C123" s="2"/>
    </row>
    <row r="124" spans="1:3" x14ac:dyDescent="0.15">
      <c r="A124" s="2"/>
      <c r="B124" s="2"/>
      <c r="C124" s="2"/>
    </row>
    <row r="125" spans="1:3" x14ac:dyDescent="0.15">
      <c r="A125" s="2"/>
      <c r="B125" s="2"/>
      <c r="C125" s="2"/>
    </row>
    <row r="126" spans="1:3" x14ac:dyDescent="0.15">
      <c r="A126" s="2"/>
      <c r="B126" s="2"/>
      <c r="C126" s="2"/>
    </row>
    <row r="127" spans="1:3" x14ac:dyDescent="0.15">
      <c r="A127" s="2"/>
      <c r="B127" s="2"/>
      <c r="C127" s="2"/>
    </row>
    <row r="128" spans="1:3" x14ac:dyDescent="0.15">
      <c r="A128" s="2"/>
      <c r="B128" s="2"/>
      <c r="C128" s="2"/>
    </row>
    <row r="129" spans="1:3" x14ac:dyDescent="0.15">
      <c r="A129" s="2"/>
      <c r="B129" s="2"/>
      <c r="C129" s="2"/>
    </row>
    <row r="130" spans="1:3" x14ac:dyDescent="0.15">
      <c r="A130" s="2"/>
      <c r="B130" s="2"/>
      <c r="C130" s="2"/>
    </row>
    <row r="131" spans="1:3" x14ac:dyDescent="0.15">
      <c r="A131" s="2"/>
      <c r="B131" s="2"/>
      <c r="C131" s="2"/>
    </row>
    <row r="132" spans="1:3" x14ac:dyDescent="0.15">
      <c r="A132" s="2"/>
      <c r="B132" s="2"/>
      <c r="C132" s="2"/>
    </row>
    <row r="133" spans="1:3" x14ac:dyDescent="0.15">
      <c r="A133" s="2"/>
      <c r="B133" s="2"/>
      <c r="C133" s="2"/>
    </row>
    <row r="134" spans="1:3" x14ac:dyDescent="0.15">
      <c r="A134" s="2"/>
      <c r="B134" s="2"/>
      <c r="C134" s="2"/>
    </row>
    <row r="135" spans="1:3" x14ac:dyDescent="0.15">
      <c r="A135" s="2"/>
      <c r="B135" s="2"/>
      <c r="C135" s="2"/>
    </row>
    <row r="136" spans="1:3" x14ac:dyDescent="0.15">
      <c r="A136" s="2"/>
      <c r="B136" s="2"/>
      <c r="C136" s="2"/>
    </row>
    <row r="137" spans="1:3" x14ac:dyDescent="0.15">
      <c r="A137" s="2"/>
      <c r="B137" s="2"/>
      <c r="C137" s="2"/>
    </row>
    <row r="138" spans="1:3" x14ac:dyDescent="0.15">
      <c r="A138" s="2"/>
      <c r="B138" s="2"/>
      <c r="C138" s="2"/>
    </row>
    <row r="139" spans="1:3" x14ac:dyDescent="0.15">
      <c r="A139" s="2"/>
      <c r="B139" s="2"/>
      <c r="C139" s="2"/>
    </row>
    <row r="140" spans="1:3" x14ac:dyDescent="0.15">
      <c r="A140" s="2"/>
      <c r="B140" s="2"/>
      <c r="C140" s="2"/>
    </row>
    <row r="141" spans="1:3" x14ac:dyDescent="0.15">
      <c r="A141" s="2"/>
      <c r="B141" s="2"/>
      <c r="C141" s="2"/>
    </row>
    <row r="142" spans="1:3" x14ac:dyDescent="0.15">
      <c r="A142" s="2"/>
      <c r="B142" s="2"/>
      <c r="C142" s="2"/>
    </row>
    <row r="143" spans="1:3" x14ac:dyDescent="0.15">
      <c r="A143" s="2"/>
      <c r="B143" s="2"/>
      <c r="C143" s="2"/>
    </row>
    <row r="144" spans="1:3" x14ac:dyDescent="0.15">
      <c r="A144" s="2"/>
      <c r="B144" s="2"/>
      <c r="C144" s="2"/>
    </row>
    <row r="145" spans="1:3" x14ac:dyDescent="0.15">
      <c r="A145" s="2"/>
      <c r="B145" s="2"/>
      <c r="C145" s="2"/>
    </row>
    <row r="146" spans="1:3" x14ac:dyDescent="0.15">
      <c r="A146" s="2"/>
      <c r="B146" s="2"/>
      <c r="C146" s="2"/>
    </row>
    <row r="147" spans="1:3" x14ac:dyDescent="0.15">
      <c r="A147" s="2"/>
      <c r="B147" s="2"/>
      <c r="C147" s="2"/>
    </row>
    <row r="148" spans="1:3" x14ac:dyDescent="0.15">
      <c r="A148" s="2"/>
      <c r="B148" s="2"/>
      <c r="C148" s="2"/>
    </row>
    <row r="149" spans="1:3" x14ac:dyDescent="0.15">
      <c r="A149" s="2"/>
      <c r="B149" s="2"/>
      <c r="C149" s="2"/>
    </row>
    <row r="150" spans="1:3" x14ac:dyDescent="0.15">
      <c r="A150" s="2"/>
      <c r="B150" s="2"/>
      <c r="C150" s="2"/>
    </row>
    <row r="151" spans="1:3" x14ac:dyDescent="0.15">
      <c r="A151" s="2"/>
      <c r="B151" s="2"/>
      <c r="C151" s="2"/>
    </row>
    <row r="152" spans="1:3" x14ac:dyDescent="0.15">
      <c r="A152" s="2"/>
      <c r="B152" s="2"/>
      <c r="C152" s="2"/>
    </row>
    <row r="153" spans="1:3" x14ac:dyDescent="0.15">
      <c r="A153" s="2"/>
      <c r="B153" s="2"/>
      <c r="C153" s="2"/>
    </row>
    <row r="154" spans="1:3" x14ac:dyDescent="0.15">
      <c r="A154" s="2"/>
      <c r="B154" s="2"/>
      <c r="C154" s="2"/>
    </row>
    <row r="155" spans="1:3" x14ac:dyDescent="0.15">
      <c r="A155" s="2"/>
      <c r="B155" s="2"/>
      <c r="C155" s="2"/>
    </row>
    <row r="156" spans="1:3" x14ac:dyDescent="0.15">
      <c r="A156" s="2"/>
      <c r="B156" s="2"/>
      <c r="C156" s="2"/>
    </row>
    <row r="157" spans="1:3" x14ac:dyDescent="0.15">
      <c r="A157" s="2"/>
      <c r="B157" s="2"/>
      <c r="C157" s="2"/>
    </row>
    <row r="158" spans="1:3" x14ac:dyDescent="0.15">
      <c r="A158" s="2"/>
      <c r="B158" s="2"/>
      <c r="C158" s="2"/>
    </row>
    <row r="159" spans="1:3" x14ac:dyDescent="0.15">
      <c r="A159" s="2"/>
      <c r="B159" s="2"/>
      <c r="C159" s="2"/>
    </row>
    <row r="160" spans="1:3" x14ac:dyDescent="0.15">
      <c r="A160" s="2"/>
      <c r="B160" s="2"/>
      <c r="C160" s="2"/>
    </row>
    <row r="161" spans="1:3" x14ac:dyDescent="0.15">
      <c r="A161" s="2"/>
      <c r="B161" s="2"/>
      <c r="C161" s="2"/>
    </row>
    <row r="162" spans="1:3" x14ac:dyDescent="0.15">
      <c r="A162" s="2"/>
      <c r="B162" s="2"/>
      <c r="C162" s="2"/>
    </row>
    <row r="163" spans="1:3" x14ac:dyDescent="0.15">
      <c r="A163" s="2"/>
      <c r="B163" s="2"/>
      <c r="C163" s="2"/>
    </row>
    <row r="164" spans="1:3" x14ac:dyDescent="0.15">
      <c r="A164" s="2"/>
      <c r="B164" s="2"/>
      <c r="C164" s="2"/>
    </row>
    <row r="165" spans="1:3" x14ac:dyDescent="0.15">
      <c r="A165" s="2"/>
      <c r="B165" s="2"/>
      <c r="C165" s="2"/>
    </row>
    <row r="166" spans="1:3" x14ac:dyDescent="0.15">
      <c r="A166" s="2"/>
      <c r="B166" s="2"/>
      <c r="C166" s="2"/>
    </row>
    <row r="167" spans="1:3" x14ac:dyDescent="0.15">
      <c r="A167" s="2"/>
      <c r="B167" s="2"/>
      <c r="C167" s="2"/>
    </row>
    <row r="168" spans="1:3" x14ac:dyDescent="0.15">
      <c r="A168" s="2"/>
      <c r="B168" s="2"/>
      <c r="C168" s="2"/>
    </row>
    <row r="169" spans="1:3" x14ac:dyDescent="0.15">
      <c r="A169" s="2"/>
      <c r="B169" s="2"/>
      <c r="C169" s="2"/>
    </row>
    <row r="170" spans="1:3" x14ac:dyDescent="0.15">
      <c r="A170" s="2"/>
      <c r="B170" s="2"/>
      <c r="C170" s="2"/>
    </row>
    <row r="171" spans="1:3" x14ac:dyDescent="0.15">
      <c r="A171" s="2"/>
      <c r="B171" s="2"/>
      <c r="C171" s="2"/>
    </row>
    <row r="172" spans="1:3" x14ac:dyDescent="0.15">
      <c r="A172" s="2"/>
      <c r="B172" s="2"/>
      <c r="C172" s="2"/>
    </row>
    <row r="173" spans="1:3" x14ac:dyDescent="0.15">
      <c r="A173" s="2"/>
      <c r="B173" s="2"/>
      <c r="C173" s="2"/>
    </row>
    <row r="174" spans="1:3" x14ac:dyDescent="0.15">
      <c r="A174" s="2"/>
      <c r="B174" s="2"/>
      <c r="C174" s="2"/>
    </row>
    <row r="175" spans="1:3" x14ac:dyDescent="0.15">
      <c r="A175" s="2"/>
      <c r="B175" s="2"/>
      <c r="C175" s="2"/>
    </row>
    <row r="176" spans="1:3" x14ac:dyDescent="0.15">
      <c r="A176" s="2"/>
      <c r="B176" s="2"/>
      <c r="C176" s="2"/>
    </row>
    <row r="177" spans="1:3" x14ac:dyDescent="0.15">
      <c r="A177" s="2"/>
      <c r="B177" s="2"/>
      <c r="C177" s="2"/>
    </row>
    <row r="178" spans="1:3" x14ac:dyDescent="0.15">
      <c r="A178" s="2"/>
      <c r="B178" s="2"/>
      <c r="C178" s="2"/>
    </row>
    <row r="179" spans="1:3" x14ac:dyDescent="0.15">
      <c r="A179" s="2"/>
      <c r="B179" s="2"/>
      <c r="C179" s="2"/>
    </row>
    <row r="180" spans="1:3" x14ac:dyDescent="0.15">
      <c r="A180" s="2"/>
      <c r="B180" s="2"/>
      <c r="C180" s="2"/>
    </row>
    <row r="181" spans="1:3" x14ac:dyDescent="0.15">
      <c r="A181" s="2"/>
      <c r="B181" s="2"/>
      <c r="C181" s="2"/>
    </row>
    <row r="182" spans="1:3" x14ac:dyDescent="0.15">
      <c r="A182" s="2"/>
      <c r="B182" s="2"/>
      <c r="C182" s="2"/>
    </row>
    <row r="183" spans="1:3" x14ac:dyDescent="0.15">
      <c r="A183" s="2"/>
      <c r="B183" s="2"/>
      <c r="C183" s="2"/>
    </row>
    <row r="184" spans="1:3" x14ac:dyDescent="0.15">
      <c r="A184" s="2"/>
      <c r="B184" s="2"/>
      <c r="C184" s="2"/>
    </row>
    <row r="185" spans="1:3" x14ac:dyDescent="0.15">
      <c r="A185" s="2"/>
      <c r="B185" s="2"/>
      <c r="C185" s="2"/>
    </row>
    <row r="186" spans="1:3" x14ac:dyDescent="0.15">
      <c r="A186" s="2"/>
      <c r="B186" s="2"/>
      <c r="C186" s="2"/>
    </row>
    <row r="187" spans="1:3" x14ac:dyDescent="0.15">
      <c r="A187" s="2"/>
      <c r="B187" s="2"/>
      <c r="C187" s="2"/>
    </row>
    <row r="188" spans="1:3" x14ac:dyDescent="0.15">
      <c r="A188" s="2"/>
      <c r="B188" s="2"/>
      <c r="C188" s="2"/>
    </row>
    <row r="189" spans="1:3" x14ac:dyDescent="0.15">
      <c r="A189" s="2"/>
      <c r="B189" s="2"/>
      <c r="C189" s="2"/>
    </row>
    <row r="190" spans="1:3" x14ac:dyDescent="0.15">
      <c r="A190" s="2"/>
      <c r="B190" s="2"/>
      <c r="C190" s="2"/>
    </row>
    <row r="191" spans="1:3" x14ac:dyDescent="0.15">
      <c r="A191" s="2"/>
      <c r="B191" s="2"/>
      <c r="C191" s="2"/>
    </row>
    <row r="192" spans="1:3" x14ac:dyDescent="0.15">
      <c r="A192" s="2"/>
      <c r="B192" s="2"/>
      <c r="C192" s="2"/>
    </row>
    <row r="193" spans="1:3" x14ac:dyDescent="0.15">
      <c r="A193" s="2"/>
      <c r="B193" s="2"/>
      <c r="C193" s="2"/>
    </row>
    <row r="194" spans="1:3" x14ac:dyDescent="0.15">
      <c r="A194" s="2"/>
      <c r="B194" s="2"/>
      <c r="C194" s="2"/>
    </row>
    <row r="195" spans="1:3" x14ac:dyDescent="0.15">
      <c r="A195" s="2"/>
      <c r="B195" s="2"/>
      <c r="C195" s="2"/>
    </row>
    <row r="196" spans="1:3" x14ac:dyDescent="0.15">
      <c r="A196" s="2"/>
      <c r="B196" s="2"/>
      <c r="C196" s="2"/>
    </row>
    <row r="197" spans="1:3" x14ac:dyDescent="0.15">
      <c r="A197" s="2"/>
      <c r="B197" s="2"/>
      <c r="C197" s="2"/>
    </row>
    <row r="198" spans="1:3" x14ac:dyDescent="0.15">
      <c r="A198" s="2"/>
      <c r="B198" s="2"/>
      <c r="C198" s="2"/>
    </row>
    <row r="199" spans="1:3" x14ac:dyDescent="0.15">
      <c r="A199" s="2"/>
      <c r="B199" s="2"/>
      <c r="C199" s="2"/>
    </row>
    <row r="200" spans="1:3" x14ac:dyDescent="0.15">
      <c r="A200" s="2"/>
      <c r="B200" s="2"/>
      <c r="C200" s="2"/>
    </row>
    <row r="201" spans="1:3" x14ac:dyDescent="0.15">
      <c r="A201" s="2"/>
      <c r="B201" s="2"/>
      <c r="C201" s="2"/>
    </row>
  </sheetData>
  <phoneticPr fontId="5" type="noConversion"/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7</vt:i4>
      </vt:variant>
    </vt:vector>
  </HeadingPairs>
  <TitlesOfParts>
    <vt:vector size="14" baseType="lpstr">
      <vt:lpstr>单次交易</vt:lpstr>
      <vt:lpstr>持仓跟踪</vt:lpstr>
      <vt:lpstr>买入理由</vt:lpstr>
      <vt:lpstr>多次统计数据</vt:lpstr>
      <vt:lpstr>账户数据</vt:lpstr>
      <vt:lpstr>目标收益</vt:lpstr>
      <vt:lpstr>技术指标</vt:lpstr>
      <vt:lpstr>_AccountRiskLimit</vt:lpstr>
      <vt:lpstr>_LockStatus</vt:lpstr>
      <vt:lpstr>_TrackRule</vt:lpstr>
      <vt:lpstr>_TrackTradeId</vt:lpstr>
      <vt:lpstr>_TrackType</vt:lpstr>
      <vt:lpstr>_TradeIds</vt:lpstr>
      <vt:lpstr>技术指标列表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MIAO SHIJUN (缪士军)</cp:lastModifiedBy>
  <dcterms:created xsi:type="dcterms:W3CDTF">2026-07-27T00:10:00Z</dcterms:created>
  <dcterms:modified xsi:type="dcterms:W3CDTF">2026-08-31T01:01:38Z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