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单次交易" sheetId="1" r:id="rId1"/>
    <sheet name="持仓跟踪" sheetId="2" r:id="rId2"/>
    <sheet name="买入理由" sheetId="3" r:id="rId3"/>
    <sheet name="多次统计数据" sheetId="4" r:id="rId4"/>
    <sheet name="账户数据" sheetId="5" r:id="rId5"/>
    <sheet name="目标收益" sheetId="6" r:id="rId6"/>
    <sheet name="技术指标" sheetId="7" r:id="rId7"/>
  </sheets>
  <definedNames>
    <definedName name="_LockStatus">账户数据!$B$23</definedName>
    <definedName name="_AccountRiskLimit">账户数据!$B$7</definedName>
    <definedName name="_TrackRule">持仓跟踪!$AC$2:$AC$497</definedName>
    <definedName name="_TrackTradeId">持仓跟踪!$B$2:$B$497</definedName>
    <definedName name="_TrackType">持仓跟踪!$A$2:$A$497</definedName>
    <definedName name="_TradeIds">单次交易!$A$2:$A$201</definedName>
    <definedName name="技术指标列表">技术指标!$A$2:$A$201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C1" authorId="0">
      <text>
        <r>
          <rPr>
            <sz val="11"/>
            <color rgb="FF000000"/>
            <rFont val="宋体"/>
            <scheme val="minor"/>
            <charset val="0"/>
          </rPr>
          <t>开仓时从“账户数据”的当前总金额复制，并粘贴为数值；不要保留公式。</t>
        </r>
      </text>
    </comment>
    <comment ref="D1" authorId="0">
      <text>
        <r>
          <rPr>
            <sz val="11"/>
            <color rgb="FF000000"/>
            <rFont val="宋体"/>
            <scheme val="minor"/>
            <charset val="0"/>
          </rPr>
          <t>开仓时从“账户数据”的单次交易允许亏损比例复制，并粘贴为数值。</t>
        </r>
      </text>
    </comment>
    <comment ref="F1" authorId="0">
      <text>
        <r>
          <rPr>
            <sz val="11"/>
            <color rgb="FF000000"/>
            <rFont val="宋体"/>
            <scheme val="minor"/>
            <charset val="0"/>
          </rPr>
          <t>按账户快照、本次风险比例和止损距离计算；仅作仓位建议。</t>
        </r>
      </text>
    </comment>
    <comment ref="G1" authorId="0">
      <text>
        <r>
          <rPr>
            <sz val="11"/>
            <color rgb="FF000000"/>
            <rFont val="宋体"/>
            <scheme val="minor"/>
            <charset val="0"/>
          </rPr>
          <t>开仓前必须在“持仓跟踪”填写至少一条规则有效的止损计划；同时检查连续亏损锁仓和原有风险额度。</t>
        </r>
      </text>
    </comment>
    <comment ref="H1" authorId="0">
      <text>
        <r>
          <rPr>
            <sz val="11"/>
            <color rgb="FF000000"/>
            <rFont val="宋体"/>
            <scheme val="minor"/>
            <charset val="0"/>
          </rPr>
          <t>手动填写实际成交股数；后续盈亏、收益率和统计均引用此列。</t>
        </r>
      </text>
    </comment>
    <comment ref="L1" authorId="0">
      <text>
        <r>
          <rPr>
            <sz val="11"/>
            <color rgb="FF000000"/>
            <rFont val="宋体"/>
            <scheme val="minor"/>
            <charset val="0"/>
          </rPr>
          <t>卖出股数由“持仓跟踪”同步，按累计买入股数一次性全部卖出。</t>
        </r>
      </text>
    </comment>
    <comment ref="AE1" authorId="0">
      <text>
        <r>
          <rPr>
            <sz val="11"/>
            <color rgb="FF000000"/>
            <rFont val="宋体"/>
            <scheme val="minor"/>
            <charset val="0"/>
          </rPr>
          <t>实际盈亏金额÷买入时账户金额快照；用于账户口径统计与逐笔复利。</t>
        </r>
      </text>
    </comment>
    <comment ref="AG1" authorId="0">
      <text>
        <r>
          <rPr>
            <sz val="11"/>
            <color rgb="FF000000"/>
            <rFont val="宋体"/>
            <scheme val="minor"/>
            <charset val="0"/>
          </rPr>
          <t>开仓前必选：短期博反弹、突破冲新高或趋势波段。同时必须选择预期持有周期并填写选择理由。</t>
        </r>
      </text>
    </comment>
    <comment ref="AK1" authorId="0">
      <text>
        <r>
          <rPr>
            <sz val="11"/>
            <color rgb="FF000000"/>
            <rFont val="宋体"/>
            <scheme val="minor"/>
            <charset val="0"/>
          </rPr>
          <t>需要第二批时先填价格，再填股数；股数录入时会检查锁仓和风险上限。</t>
        </r>
      </text>
    </comment>
    <comment ref="AM1" authorId="0">
      <text>
        <r>
          <rPr>
            <sz val="11"/>
            <color rgb="FF000000"/>
            <rFont val="宋体"/>
            <scheme val="minor"/>
            <charset val="0"/>
          </rPr>
          <t>第三批必须在第二批完整后填写，同样采用先价格、后股数。</t>
        </r>
      </text>
    </comment>
    <comment ref="AR1" authorId="0">
      <text>
        <r>
          <rPr>
            <sz val="11"/>
            <color rgb="FF000000"/>
            <rFont val="宋体"/>
            <scheme val="minor"/>
            <charset val="0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1"/>
            <color rgb="FF000000"/>
            <rFont val="宋体"/>
            <scheme val="minor"/>
            <charset val="0"/>
          </rPr>
          <t>同一张表同时记录止损计划和每日跟踪；先选择记录类型，再填写对应的蓝色输入列。</t>
        </r>
      </text>
    </comment>
    <comment ref="S1" authorId="0">
      <text>
        <r>
          <rPr>
            <sz val="11"/>
            <color rgb="FF000000"/>
            <rFont val="宋体"/>
            <scheme val="minor"/>
            <charset val="0"/>
          </rPr>
          <t>当前有效止损取初始止损、已激活计划止损和历次人工上调止损的最大值，只升不降。</t>
        </r>
      </text>
    </comment>
  </commentList>
</comments>
</file>

<file path=xl/comments3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1"/>
            <color rgb="FF000000"/>
            <rFont val="宋体"/>
            <scheme val="minor"/>
            <charset val="0"/>
          </rPr>
          <t>可在本列继续添加或修改指标；买入理由页的三个下拉框会引用A2:A201。</t>
        </r>
      </text>
    </comment>
  </commentList>
</comments>
</file>

<file path=xl/sharedStrings.xml><?xml version="1.0" encoding="utf-8"?>
<sst xmlns="http://schemas.openxmlformats.org/spreadsheetml/2006/main" count="261" uniqueCount="219">
  <si>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</si>
  <si>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</si>
  <si>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</si>
  <si>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</si>
  <si>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</si>
  <si>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</si>
  <si>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</si>
  <si>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</si>
  <si>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</si>
  <si>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</si>
  <si>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</t>
  </si>
  <si>
    <t>卖出股数</t>
  </si>
  <si>
    <t>卖出日期</t>
  </si>
  <si>
    <t>止损价</t>
  </si>
  <si>
    <t>买入总费用</t>
  </si>
  <si>
    <t>卖出费用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</si>
  <si>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</si>
  <si>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</si>
  <si>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</si>
  <si>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</si>
  <si>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</si>
  <si>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</si>
  <si>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</si>
  <si>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实际盈亏金额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</si>
  <si>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</si>
  <si>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</si>
  <si>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</si>
  <si>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</si>
  <si>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</si>
  <si>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</si>
  <si>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</si>
  <si>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</si>
  <si>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</si>
  <si>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</si>
  <si>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</si>
  <si>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</si>
  <si>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第二批买入价</t>
  </si>
  <si>
    <t>第二批买入股数</t>
  </si>
  <si>
    <t>第三批买入价</t>
  </si>
  <si>
    <t>第三批买入股数</t>
  </si>
  <si>
    <t>实际加权买入价</t>
  </si>
  <si>
    <t>累计买入股数</t>
  </si>
  <si>
    <t>当前持仓风险</t>
  </si>
  <si>
    <t>分仓规则检查</t>
  </si>
  <si>
    <t>沪电股份</t>
  </si>
  <si>
    <t>记录类型</t>
  </si>
  <si>
    <t>止损阶段序号</t>
  </si>
  <si>
    <t>激活价</t>
  </si>
  <si>
    <t>激活后止损价</t>
  </si>
  <si>
    <t>止损依据</t>
  </si>
  <si>
    <t>记录日期</t>
  </si>
  <si>
    <t>收盘价</t>
  </si>
  <si>
    <t>成交量</t>
  </si>
  <si>
    <t>量价分析</t>
  </si>
  <si>
    <t>当前阶段</t>
  </si>
  <si>
    <t>阶段判断理由</t>
  </si>
  <si>
    <t>初始止损</t>
  </si>
  <si>
    <t>历史最高收盘价</t>
  </si>
  <si>
    <t>已激活止损阶段</t>
  </si>
  <si>
    <t>当前计划止损</t>
  </si>
  <si>
    <t>人工上调止损</t>
  </si>
  <si>
    <t>当前有效止损</t>
  </si>
  <si>
    <t>下一阶段激活价</t>
  </si>
  <si>
    <t>下一阶段止损价</t>
  </si>
  <si>
    <t>距离下一阶段涨幅</t>
  </si>
  <si>
    <t>止损判断</t>
  </si>
  <si>
    <t>卖出动作</t>
  </si>
  <si>
    <t>实际卖出股数</t>
  </si>
  <si>
    <t>执行检查</t>
  </si>
  <si>
    <t>规则检查</t>
  </si>
  <si>
    <t>所属板块</t>
  </si>
  <si>
    <t>阶段</t>
  </si>
  <si>
    <t>技术指标1</t>
  </si>
  <si>
    <t>技术指标2</t>
  </si>
  <si>
    <t>技术指标3</t>
  </si>
  <si>
    <t>综述</t>
  </si>
  <si>
    <t>列2</t>
  </si>
  <si>
    <t>列3</t>
  </si>
  <si>
    <t>沪电科技</t>
  </si>
  <si>
    <t>之前有交易量迅速放大的迹象</t>
  </si>
  <si>
    <t>上冲不利，可能继续下跌，尝试失败</t>
  </si>
  <si>
    <t>没有冲出震荡区呢，冲破了再买吧</t>
  </si>
  <si>
    <t>会不会有震仓</t>
  </si>
  <si>
    <t>上方压力大，趋势没有那么好，继续磨底，没有到拉伸的时候</t>
  </si>
  <si>
    <t>持续吸筹正仓，均线附近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</si>
  <si>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</si>
  <si>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</si>
  <si>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</si>
  <si>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</si>
  <si>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</si>
  <si>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</si>
  <si>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</si>
  <si>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</si>
  <si>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</si>
  <si>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</si>
  <si>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</si>
  <si>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</si>
  <si>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</si>
  <si>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</si>
  <si>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</si>
  <si>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</si>
  <si>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</si>
  <si>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</si>
  <si>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</si>
  <si>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</si>
  <si>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</si>
  <si>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</si>
  <si>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</si>
  <si>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</si>
  <si>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</si>
  <si>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</si>
  <si>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</si>
  <si>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</si>
  <si>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</si>
  <si>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</si>
  <si>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</si>
  <si>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</si>
  <si>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</si>
  <si>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</si>
  <si>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</si>
  <si>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</si>
  <si>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</si>
  <si>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</si>
  <si>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</si>
  <si>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</si>
  <si>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</si>
  <si>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</si>
  <si>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</si>
  <si>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</si>
  <si>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</si>
  <si>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</si>
  <si>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</si>
  <si>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</si>
  <si>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</si>
  <si>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</si>
  <si>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</si>
  <si>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</si>
  <si>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</si>
  <si>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</si>
  <si>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</si>
  <si>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</si>
  <si>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</si>
  <si>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</si>
  <si>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</si>
  <si>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已完成复盘，开始新的模拟周期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</si>
  <si>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</si>
  <si>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</si>
  <si>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</si>
  <si>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</si>
  <si>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</si>
  <si>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</si>
  <si>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</si>
  <si>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</si>
  <si>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</si>
  <si>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</si>
  <si>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</si>
  <si>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</si>
  <si>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</si>
  <si>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</si>
  <si>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</si>
  <si>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</si>
  <si>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</si>
  <si>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</si>
  <si>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</si>
  <si>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</si>
  <si>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</si>
  <si>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</si>
  <si>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</si>
  <si>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</si>
  <si>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技术指标</t>
  </si>
  <si>
    <t>分类</t>
  </si>
  <si>
    <t>说明</t>
  </si>
  <si>
    <t>蜡烛图</t>
  </si>
  <si>
    <t>价格形态</t>
  </si>
  <si>
    <t>观察实体、上下影线及组合形态</t>
  </si>
  <si>
    <t>趋势线</t>
  </si>
  <si>
    <t>趋势</t>
  </si>
  <si>
    <t>连接关键高点或低点判断趋势方向</t>
  </si>
  <si>
    <t>MACD</t>
  </si>
  <si>
    <t>动量</t>
  </si>
  <si>
    <t>观察快慢线、信号线和柱状图</t>
  </si>
  <si>
    <t>移动平均线</t>
  </si>
  <si>
    <t>观察价格与不同周期均线的位置关系</t>
  </si>
  <si>
    <t>量价</t>
  </si>
  <si>
    <t>确认突破、回调和趋势的参与强度</t>
  </si>
  <si>
    <t>RSI</t>
  </si>
  <si>
    <t>衡量相对强弱及超买超卖状态</t>
  </si>
  <si>
    <t>KDJ</t>
  </si>
  <si>
    <t>观察随机指标交叉和极值区域</t>
  </si>
  <si>
    <t>布林带</t>
  </si>
  <si>
    <t>波动</t>
  </si>
  <si>
    <t>观察价格相对中轨和上下轨的位置</t>
  </si>
  <si>
    <t>支撑位</t>
  </si>
  <si>
    <t>关键价位</t>
  </si>
  <si>
    <t>记录预期获得买盘支撑的价格区域</t>
  </si>
  <si>
    <t>压力位</t>
  </si>
  <si>
    <t>记录预期遇到卖压的价格区域</t>
  </si>
  <si>
    <t>缺口</t>
  </si>
  <si>
    <t>观察跳空缺口是否回补或延续</t>
  </si>
  <si>
    <t>形态突破</t>
  </si>
  <si>
    <t>观察平台、箱体或整理形态的突破</t>
  </si>
  <si>
    <t>均线金叉</t>
  </si>
  <si>
    <t>短周期均线上穿长周期均线</t>
  </si>
  <si>
    <t>均线死叉</t>
  </si>
  <si>
    <t>短周期均线下穿长周期均线</t>
  </si>
  <si>
    <t>量价背离</t>
  </si>
  <si>
    <t>价格和成交量变化方向不一致</t>
  </si>
  <si>
    <t>趋势背离</t>
  </si>
  <si>
    <t>价格走势与动量指标走势不一致</t>
  </si>
  <si>
    <t>ATR</t>
  </si>
  <si>
    <t>衡量真实波动幅度并辅助设置止损</t>
  </si>
  <si>
    <t>换手率</t>
  </si>
  <si>
    <t>衡量筹码交换活跃程度</t>
  </si>
  <si>
    <t>相对强弱</t>
  </si>
  <si>
    <t>比较</t>
  </si>
  <si>
    <t>比较个股与板块或指数的强弱</t>
  </si>
  <si>
    <t>板块共振</t>
  </si>
  <si>
    <t>市场环境</t>
  </si>
  <si>
    <t>确认个股信号与所属板块方向一致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</si>
</sst>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[Red]\-\¥#,##0.00"/>
    <numFmt numFmtId="177" formatCode="yyyy\-mm\-dd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vertical="top" wrapText="1"/>
    </xf>
    <xf numFmtId="0" fontId="4" fillId="0" borderId="0" xfId="0" applyFont="1"/>
    <xf numFmtId="2" fontId="0" fillId="4" borderId="1" xfId="0" applyNumberFormat="1" applyFill="1" applyBorder="1" applyAlignment="1">
      <alignment vertical="top" wrapText="1"/>
    </xf>
    <xf numFmtId="177" fontId="0" fillId="4" borderId="1" xfId="0" applyNumberForma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76" fontId="4" fillId="3" borderId="1" xfId="0" applyNumberFormat="1" applyFont="1" applyFill="1" applyBorder="1" applyAlignment="1">
      <alignment vertical="top" wrapText="1"/>
    </xf>
    <xf numFmtId="10" fontId="4" fillId="3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77" fontId="4" fillId="3" borderId="1" xfId="0" applyNumberFormat="1" applyFont="1" applyFill="1" applyBorder="1" applyAlignment="1">
      <alignment vertical="top" wrapText="1"/>
    </xf>
    <xf numFmtId="176" fontId="4" fillId="4" borderId="1" xfId="0" applyNumberFormat="1" applyFont="1" applyFill="1" applyBorder="1" applyAlignment="1">
      <alignment vertical="top" wrapText="1"/>
    </xf>
    <xf numFmtId="177" fontId="4" fillId="4" borderId="1" xfId="0" applyNumberFormat="1" applyFont="1" applyFill="1" applyBorder="1" applyAlignment="1">
      <alignment vertical="top" wrapText="1"/>
    </xf>
    <xf numFmtId="10" fontId="4" fillId="4" borderId="1" xfId="0" applyNumberFormat="1" applyFont="1" applyFill="1" applyBorder="1" applyAlignment="1">
      <alignment vertical="top" wrapText="1"/>
    </xf>
    <xf numFmtId="2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radeRecords" displayName="TradeRecords" ref="A1:AR201">
  <autoFilter xmlns:etc="http://www.wps.cn/officeDocument/2017/etCustomData" ref="A1:AR201" etc:filterBottomFollowUsedRange="0"/>
  <tableColumns count="44">
    <tableColumn id="1" name="交易编号"/>
    <tableColumn id="2" name="股票代码"/>
    <tableColumn id="3" name="买入时账户金额"/>
    <tableColumn id="4" name="本次允许亏损比例"/>
    <tableColumn id="5" name="第一批买入价"/>
    <tableColumn id="6" name="买入建议股数">
      <calculatedColumnFormula>IF(OR(C2="",D2="",E2="",N2="",C2&lt;=0,D2&lt;=0,E2&lt;=N2),"",ROUNDDOWN((C2*D2)/(E2-N2)/100,0)*100)</calculatedColumnFormula>
    </tableColumn>
    <tableColumn id="7" name="开仓风险告警">
      <calculatedColumnFormula>IF(OR(A2="",F2="",E2="",N2="",E2&lt;=N2,账户数据!$B$7=""),"",IF(账户数据!$B$9+IF(H2="",F2*(E2-N2),0)&gt;=账户数据!$B$7,"禁止开仓","允许开仓"))</calculatedColumnFormula>
    </tableColumn>
    <tableColumn id="8" name="第一批买入股数"/>
    <tableColumn id="9" name="首次买入日期"/>
    <tableColumn id="10" name="期望卖出价"/>
    <tableColumn id="11" name="实际卖出价">
      <calculatedColumnFormula>IF(A2="","",IFERROR(LOOKUP(2,1/((持仓跟踪!$B$2:$B$497=A2)*(持仓跟踪!$X$2:$X$497="执行卖出")*(持仓跟踪!$Y$2:$Y$497&lt;&gt;"")),持仓跟踪!$Y$2:$Y$497),""))</calculatedColumnFormula>
    </tableColumn>
    <tableColumn id="12" name="卖出股数">
      <calculatedColumnFormula>IF(K2="","",H2)</calculatedColumnFormula>
    </tableColumn>
    <tableColumn id="13" name="卖出日期">
      <calculatedColumnFormula>IF(A2="","",IFERROR(LOOKUP(2,1/((持仓跟踪!$B$2:$B$497=A2)*(持仓跟踪!$X$2:$X$497="执行卖出")*(持仓跟踪!$H$2:$H$497&lt;&gt;"")),持仓跟踪!$H$2:$H$497),""))</calculatedColumnFormula>
    </tableColumn>
    <tableColumn id="14" name="止损价"/>
    <tableColumn id="15" name="买入总费用"/>
    <tableColumn id="16" name="卖出费用">
      <calculatedColumnFormula>IF(A2="","",IFERROR(LOOKUP(2,1/((持仓跟踪!$B$2:$B$497=A2)*(持仓跟踪!$X$2:$X$497="执行卖出")*(持仓跟踪!$AA$2:$AA$497&lt;&gt;"")),持仓跟踪!$AA$2:$AA$497),""))</calculatedColumnFormula>
    </tableColumn>
    <tableColumn id="17" name="买入价的由来"/>
    <tableColumn id="18" name="止损价的由来"/>
    <tableColumn id="19" name="期望卖出价的由来"/>
    <tableColumn id="20" name="实际卖出价的由来"/>
    <tableColumn id="21" name="期望盈利比例">
      <calculatedColumnFormula>IF(OR(E2="",J2="",E2&lt;=0),"",(J2-E2)/E2)</calculatedColumnFormula>
    </tableColumn>
    <tableColumn id="22" name="期望止损比例">
      <calculatedColumnFormula>IF(OR(E2="",N2="",E2&lt;=0),"",(E2-N2)/E2)</calculatedColumnFormula>
    </tableColumn>
    <tableColumn id="23" name="盈亏比">
      <calculatedColumnFormula>IF(OR(U2="",V2="",V2&lt;=0),"",U2/V2)</calculatedColumnFormula>
    </tableColumn>
    <tableColumn id="24" name="实际盈亏金额">
      <calculatedColumnFormula>IF(OR(K2="",L2="",E2="",H2=""),"",K2*L2-E2*H2-IF(O2="",0,O2)-IF(P2="",0,P2))</calculatedColumnFormula>
    </tableColumn>
    <tableColumn id="25" name="单笔仓位收益率">
      <calculatedColumnFormula>IF(OR(X2="",E2="",H2=""),"",IF(E2*H2+IF(O2="",0,O2)&lt;=0,"",X2/(E2*H2+IF(O2="",0,O2))))</calculatedColumnFormula>
    </tableColumn>
    <tableColumn id="26" name="账户收益率与平均盈利率差值">
      <calculatedColumnFormula>IF(OR(AE2="",多次统计数据!$B$8=""),"",AE2-多次统计数据!$B$8)</calculatedColumnFormula>
    </tableColumn>
    <tableColumn id="27" name="持有天数">
      <calculatedColumnFormula>IF(OR(I2="",M2="",M2&lt;I2),"",M2-I2)</calculatedColumnFormula>
    </tableColumn>
    <tableColumn id="28" name="复利容许平均亏损上限">
      <calculatedColumnFormula>IF(OR(A2="",多次统计数据!$B$8="",多次统计数据!$B$6&lt;=0,多次统计数据!$B$6&gt;=1),"",1-POWER(1+多次统计数据!$B$8,-多次统计数据!$B$6/(1-多次统计数据!$B$6)))</calculatedColumnFormula>
    </tableColumn>
    <tableColumn id="29" name="复利风险判断">
      <calculatedColumnFormula>IF(OR(AB2="",多次统计数据!$B$9=""),"",IF(多次统计数据!$B$9&lt;AB2,"低于上限","达到或超过上限"))</calculatedColumnFormula>
    </tableColumn>
    <tableColumn id="30" name="交易打分评价"/>
    <tableColumn id="31" name="实际账户收益率">
      <calculatedColumnFormula>IF(OR(X2="",C2="",C2&lt;=0),"",X2/C2)</calculatedColumnFormula>
    </tableColumn>
    <tableColumn id="32" name="列1"/>
    <tableColumn id="33" name="交易预期类型"/>
    <tableColumn id="34" name="预期持有周期"/>
    <tableColumn id="35" name="预期选择理由"/>
    <tableColumn id="36" name="周期匹配检查">
      <calculatedColumnFormula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calculatedColumnFormula>
    </tableColumn>
    <tableColumn id="37" name="第二批买入价"/>
    <tableColumn id="38" name="第二批买入股数"/>
    <tableColumn id="39" name="第三批买入价"/>
    <tableColumn id="40" name="第三批买入股数"/>
    <tableColumn id="41" name="实际加权买入价">
      <calculatedColumnFormula>IF(OR(A2="",H2="",H2&lt;=0),"",(E2*H2+IF(AND(AK2&lt;&gt;"",AL2&lt;&gt;""),AK2*AL2,0)+IF(AND(AM2&lt;&gt;"",AN2&lt;&gt;""),AM2*AN2,0))/AP2)</calculatedColumnFormula>
    </tableColumn>
    <tableColumn id="42" name="累计买入股数">
      <calculatedColumnFormula>IF(OR(A2="",H2="",H2&lt;=0),"",H2+IF(AL2="",0,AL2)+IF(AN2="",0,AN2))</calculatedColumnFormula>
    </tableColumn>
    <tableColumn id="43" name="当前持仓风险">
      <calculatedColumnFormula>IF(A2="","",IF(M2&lt;&gt;"",0,IF(OR(H2="",N2=""),"",MAX(E2-MAX(N2,IFERROR(SUMPRODUCT(MAX(((持仓跟踪!$A$2:$A$497="每日跟踪")*(持仓跟踪!$B$2:$B$497=A2))*持仓跟踪!$S$2:$S$497)),0)),0)*H2+IF(OR(AK2="",AL2=""),0,MAX(AK2-MAX(N2,IFERROR(SUMPRODUCT(MAX(((持仓跟踪!$A$2:$A$497="每日跟踪")*(持仓跟踪!$B$2:$B$497=A2))*持仓跟踪!$S$2:$S$497)),0)),0)*AL2)+IF(OR(AM2="",AN2=""),0,MAX(AM2-MAX(N2,IFERROR(SUMPRODUCT(MAX(((持仓跟踪!$A$2:$A$497="每日跟踪")*(持仓跟踪!$B$2:$B$497=A2))*持仓跟踪!$S$2:$S$497)),0)),0)*AN2))))</calculatedColumnFormula>
    </tableColumn>
    <tableColumn id="44" name="分仓规则检查">
      <calculatedColumnFormula>IF(A2="","",IF(OR(E2="",H2=""),"违规：第一批价格或股数缺失",IF(OR(AND(AK2="",AL2&lt;&gt;""),AND(AK2&lt;&gt;"",AL2="")),"违规：第二批价格与股数须成对填写",IF(OR(AND(AM2="",AN2&lt;&gt;""),AND(AM2&lt;&gt;"",AN2="")),"违规：第三批价格与股数须成对填写",IF(AND(OR(AM2&lt;&gt;"",AN2&lt;&gt;""),OR(AK2="",AL2="")),"违规：必须先完成第二批",IF(OR(H2&lt;=0,H2&lt;&gt;INT(H2),MOD(H2,100)&lt;&gt;0,AND(AL2&lt;&gt;"",OR(AL2&lt;=0,AL2&lt;&gt;INT(AL2),MOD(AL2,100)&lt;&gt;0)),AND(AN2&lt;&gt;"",OR(AN2&lt;=0,AN2&lt;&gt;INT(AN2),MOD(AN2,100)&lt;&gt;0))),"违规：股数须为100股整数倍",IF(AND(OR(AL2&lt;&gt;"",AN2&lt;&gt;""),OR(_LockStatus="已锁仓",_LockStatus="解锁信息不完整")),"违规：锁仓期间禁止加仓",IF(AQ2&gt;C2*D2,"违规：超过单笔风险上限",IF(SUM($AQ$2:$AQ$201)&gt;账户数据!$B$7,"违规：超过账户风险上限","通过"))))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sitionTracking" displayName="PositionTracking" ref="A1:AC497">
  <autoFilter xmlns:etc="http://www.wps.cn/officeDocument/2017/etCustomData" ref="A1:AC497" etc:filterBottomFollowUsedRange="0"/>
  <tableColumns count="29">
    <tableColumn id="1" name="记录类型"/>
    <tableColumn id="2" name="交易编号"/>
    <tableColumn id="3" name="股票代码">
      <calculatedColumnFormula>IF(B2="","",IFERROR(LOOKUP(2,1/(单次交易!$A$2:$A$201=B2),单次交易!$B$2:$B$201),""))</calculatedColumnFormula>
    </tableColumn>
    <tableColumn id="4" name="止损阶段序号"/>
    <tableColumn id="5" name="激活价"/>
    <tableColumn id="6" name="激活后止损价"/>
    <tableColumn id="7" name="止损依据"/>
    <tableColumn id="8" name="记录日期"/>
    <tableColumn id="9" name="收盘价"/>
    <tableColumn id="10" name="成交量"/>
    <tableColumn id="11" name="量价分析"/>
    <tableColumn id="12" name="当前阶段"/>
    <tableColumn id="13" name="阶段判断理由"/>
    <tableColumn id="14" name="初始止损">
      <calculatedColumnFormula>IF(B2="","",IFERROR(LOOKUP(2,1/(单次交易!$A$2:$A$201=B2),单次交易!$N$2:$N$201),""))</calculatedColumnFormula>
    </tableColumn>
    <tableColumn id="15" name="历史最高收盘价">
      <calculatedColumnFormula>IF(A2&lt;&gt;"每日跟踪","",IF(OR(B2="",H2="",I2=""),"",IFERROR(SUMPRODUCT(MAX((($A$2:$A$497="每日跟踪")*($B$2:$B$497=B2)*($H$2:$H$497&lt;=H2))*$I$2:$I$497)),"")))</calculatedColumnFormula>
    </tableColumn>
    <tableColumn id="16" name="已激活止损阶段">
      <calculatedColumnFormula>IF(A2&lt;&gt;"每日跟踪","",IF(O2="","",IFERROR(SUMPRODUCT(MAX((($A$2:$A$497="止损计划")*($B$2:$B$497=B2)*($E$2:$E$497&lt;=O2))*$D$2:$D$497)),0)))</calculatedColumnFormula>
    </tableColumn>
    <tableColumn id="17" name="当前计划止损">
      <calculatedColumnFormula>IF(A2&lt;&gt;"每日跟踪","",IF(N2="","",MAX(N2,IFERROR(SUMPRODUCT(MAX((($A$2:$A$497="止损计划")*($B$2:$B$497=B2)*($E$2:$E$497&lt;=O2))*$F$2:$F$497)),0))))</calculatedColumnFormula>
    </tableColumn>
    <tableColumn id="18" name="人工上调止损"/>
    <tableColumn id="19" name="当前有效止损">
      <calculatedColumnFormula>IF(A2&lt;&gt;"每日跟踪","",IF(Q2="","",MAX(Q2,IFERROR(SUMPRODUCT(MAX((($A$2:$A$497="每日跟踪")*($B$2:$B$497=B2)*($H$2:$H$497&lt;=H2))*$R$2:$R$497)),0))))</calculatedColumnFormula>
    </tableColumn>
    <tableColumn id="20" name="下一阶段激活价">
      <calculatedColumnFormula>IF(A2&lt;&gt;"每日跟踪","",IF(O2="","",IF(COUNTIFS($A$2:$A$497,"止损计划",$B$2:$B$497,B2,$E$2:$E$497,"&gt;"&amp;O2)=0,"",INDEX($E$2:$E$497,MATCH(1,INDEX(($A$2:$A$497="止损计划")*($B$2:$B$497=B2)*($E$2:$E$497&gt;O2),0),0)))))</calculatedColumnFormula>
    </tableColumn>
    <tableColumn id="21" name="下一阶段止损价">
      <calculatedColumnFormula>IF(OR(A2&lt;&gt;"每日跟踪",T2=""),"",IFERROR(SUMIFS($F$2:$F$497,$A$2:$A$497,"止损计划",$B$2:$B$497,B2,$E$2:$E$497,T2),""))</calculatedColumnFormula>
    </tableColumn>
    <tableColumn id="22" name="距离下一阶段涨幅">
      <calculatedColumnFormula>IF(OR(A2&lt;&gt;"每日跟踪",T2="",I2="",I2&lt;=0),"",T2/I2-1)</calculatedColumnFormula>
    </tableColumn>
    <tableColumn id="23" name="止损判断">
      <calculatedColumnFormula>IF(A2&lt;&gt;"每日跟踪","",IF(OR(I2="",S2=""),"",IF(I2&lt;=S2,"触发止损：应全部卖出","继续观察")))</calculatedColumnFormula>
    </tableColumn>
    <tableColumn id="24" name="卖出动作"/>
    <tableColumn id="25" name="实际卖出价"/>
    <tableColumn id="26" name="实际卖出股数">
      <calculatedColumnFormula>IF(X2&lt;&gt;"执行卖出","",IFERROR(LOOKUP(2,1/(单次交易!$A$2:$A$201=B2),单次交易!$AP$2:$AP$201),""))</calculatedColumnFormula>
    </tableColumn>
    <tableColumn id="27" name="卖出费用"/>
    <tableColumn id="28" name="执行检查">
      <calculatedColumnFormula>IF(A2&lt;&gt;"每日跟踪","",IF(OR(B2="",H2="",I2="",J2="",K2="",L2="",M2=""),"待补充每日记录",IF(W2="触发止损：应全部卖出",IF(X2&lt;&gt;"执行卖出","违规：触发止损但未执行",IF(Y2="","待补充实际卖出价","卖出记录完整")),IF(X2="","待选择卖出动作",IF(X2="执行卖出",IF(Y2="","待补充实际卖出价","卖出记录完整"),"正常")))))</calculatedColumnFormula>
    </tableColumn>
    <tableColumn id="29" name="规则检查">
      <calculatedColumnFormula>IF(A2="","",IF(A2="止损计划",IF(OR(B2="",D2="",E2="",F2="",G2=""),"计划不完整",IF(OR(D2&lt;1,D2&lt;&gt;INT(D2)),"阶段序号无效",IF(COUNTIFS($A$2:$A$497,"止损计划",$B$2:$B$497,B2,$D$2:$D$497,D2)&gt;1,"阶段序号重复",IF(E2&lt;=IFERROR(LOOKUP(2,1/(单次交易!$A$2:$A$201=B2),单次交易!$E$2:$E$201),0),"激活价须高于买入价",IF(F2&lt;N2,"止损价不得低于初始止损",IF(F2&gt;E2,"止损价不得高于激活价",IF(AND(COUNTIFS($A$2:$A$497,"止损计划",$B$2:$B$497,B2,$D$2:$D$497,"&lt;"&amp;D2)&gt;0,OR(E2&lt;=SUMPRODUCT(MAX((($A$2:$A$497="止损计划")*($B$2:$B$497=B2)*($D$2:$D$497&lt;D2))*$E$2:$E$497)),F2&lt;SUMPRODUCT(MAX((($A$2:$A$497="止损计划")*($B$2:$B$497=B2)*($D$2:$D$497&lt;D2))*$F$2:$F$497)))),"阶段价格必须逐级提高","计划有效"))))))),IF(A2="每日跟踪",IF(OR(B2="",H2="",I2="",J2=""),"每日数据不完整",IF(COUNTIFS($A$2:$A$497,"每日跟踪",$B$2:$B$497,B2,$H$2:$H$497,H2)&gt;1,"同一交易日期重复",IF(AND(R2&lt;&gt;"",R2&lt;S2),"人工止损无效：不能下调","跟踪有效"))),"记录类型无效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deReasonLog" displayName="TradeReasonLog" ref="A1:L501">
  <autoFilter xmlns:etc="http://www.wps.cn/officeDocument/2017/etCustomData" ref="A1:L501" etc:filterBottomFollowUsedRange="0"/>
  <tableColumns count="12">
    <tableColumn id="1" name="交易编号"/>
    <tableColumn id="2" name="股票代码"/>
    <tableColumn id="3" name="所属板块"/>
    <tableColumn id="4" name="阶段"/>
    <tableColumn id="5" name="记录日期"/>
    <tableColumn id="6" name="技术指标1"/>
    <tableColumn id="7" name="技术指标2"/>
    <tableColumn id="8" name="技术指标3"/>
    <tableColumn id="9" name="综述"/>
    <tableColumn id="10" name="列1"/>
    <tableColumn id="11" name="列2"/>
    <tableColumn id="12" name="列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chnicalIndicatorCatalog" displayName="TechnicalIndicatorCatalog" ref="A1:C201">
  <autoFilter xmlns:etc="http://www.wps.cn/officeDocument/2017/etCustomData" ref="A1:C201" etc:filterBottomFollowUsedRange="0"/>
  <tableColumns count="3">
    <tableColumn id="1" name="技术指标"/>
    <tableColumn id="2" name="分类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01"/>
  <sheetViews>
    <sheetView tabSelected="1" zoomScale="115" zoomScaleNormal="115" topLeftCell="A163" workbookViewId="0">
      <pane xSplit="2" topLeftCell="C1" activePane="topRight" state="frozen"/>
      <selection/>
      <selection pane="topRight" activeCell="I175" sqref="I175"/>
    </sheetView>
  </sheetViews>
  <sheetFormatPr defaultColWidth="9" defaultRowHeight="16.8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25" customWidth="1"/>
    <col min="8" max="8" width="16" customWidth="1"/>
    <col min="9" max="9" width="13" customWidth="1"/>
    <col min="10" max="10" width="14.375" customWidth="1"/>
    <col min="11" max="11" width="15" customWidth="1"/>
    <col min="12" max="12" width="14" customWidth="1"/>
    <col min="13" max="13" width="13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20.875" customWidth="1"/>
    <col min="38" max="38" width="18" customWidth="1"/>
    <col min="39" max="39" width="16" customWidth="1"/>
    <col min="40" max="43" width="18" customWidth="1"/>
    <col min="44" max="44" width="28" customWidth="1"/>
  </cols>
  <sheetData>
    <row r="1" ht="42" customHeight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</row>
    <row r="2" ht="17" spans="1:44">
      <c r="A2" s="2"/>
      <c r="B2" s="2"/>
      <c r="C2" s="10"/>
      <c r="D2" s="6"/>
      <c r="E2" s="10"/>
      <c r="F2" s="8" t="str">
        <f t="shared" ref="F2:F33" si="0">IF(OR(C2="",D2="",E2="",N2="",C2&lt;=0,D2&lt;=0,E2&lt;=N2),"",ROUNDDOWN((C2*D2)/(E2-N2)/100,0)*100)</f>
        <v/>
      </c>
      <c r="G2" s="8" t="str">
        <f ca="1"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COUNTIFS(持仓跟踪!$A$2:$A$497,"止损计划",持仓跟踪!$B$2:$B$497,A2,持仓跟踪!$AC$2:$AC$497,"计划有效")=0,"禁止开仓：请先填写止损计划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" s="2"/>
      <c r="I2" s="15"/>
      <c r="J2" s="10"/>
      <c r="K2" s="10"/>
      <c r="L2" s="8" t="str">
        <f t="shared" ref="L2:L33" si="1">IF(K2="","",H2)</f>
        <v/>
      </c>
      <c r="M2" s="15"/>
      <c r="N2" s="10"/>
      <c r="O2" s="10"/>
      <c r="P2" s="10"/>
      <c r="Q2" s="2"/>
      <c r="R2" s="2"/>
      <c r="S2" s="2"/>
      <c r="T2" s="2"/>
      <c r="U2" s="7" t="str">
        <f t="shared" ref="U2:U33" si="2">IF(OR(AO2="",J2="",AO2&lt;=0),"",(J2-AO2)/AO2)</f>
        <v/>
      </c>
      <c r="V2" s="7" t="str">
        <f t="shared" ref="V2:V33" si="3">IF(OR(AO2="",N2="",AO2&lt;=0),"",(AO2-N2)/AO2)</f>
        <v/>
      </c>
      <c r="W2" s="22" t="str">
        <f t="shared" ref="W2:W33" si="4">IF(OR(U2="",V2="",V2&lt;=0),"",U2/V2)</f>
        <v/>
      </c>
      <c r="X2" s="5" t="str">
        <f t="shared" ref="X2:X33" si="5">IF(OR(K2="",L2="",AP2=""),"",K2*L2-(E2*H2+IF(AND(AK2&lt;&gt;"",AL2&lt;&gt;""),AK2*AL2,0)+IF(AND(AM2&lt;&gt;"",AN2&lt;&gt;""),AM2*AN2,0))-IF(O2="",0,O2)-IF(P2="",0,P2))</f>
        <v/>
      </c>
      <c r="Y2" s="7" t="str">
        <f t="shared" ref="Y2:Y33" si="6">IF(OR(X2="",AP2=""),"",IF((E2*H2+IF(AND(AK2&lt;&gt;"",AL2&lt;&gt;""),AK2*AL2,0)+IF(AND(AM2&lt;&gt;"",AN2&lt;&gt;""),AM2*AN2,0))+IF(O2="",0,O2)&lt;=0,"",X2/((E2*H2+IF(AND(AK2&lt;&gt;"",AL2&lt;&gt;""),AK2*AL2,0)+IF(AND(AM2&lt;&gt;"",AN2&lt;&gt;""),AM2*AN2,0))+IF(O2="",0,O2))))</f>
        <v/>
      </c>
      <c r="Z2" s="7" t="str">
        <f>IF(OR(AE2="",多次统计数据!$B$8=""),"",AE2-多次统计数据!$B$8)</f>
        <v/>
      </c>
      <c r="AA2" s="11" t="str">
        <f t="shared" ref="AA2:AA33" si="7">IF(OR(I2="",M2="",M2&lt;I2),"",M2-I2)</f>
        <v/>
      </c>
      <c r="AB2" s="7" t="str">
        <f>IF(OR(A2="",多次统计数据!$B$8="",多次统计数据!$B$6&lt;=0,多次统计数据!$B$6&gt;=1),"",1-POWER(1+多次统计数据!$B$8,-多次统计数据!$B$6/(1-多次统计数据!$B$6)))</f>
        <v/>
      </c>
      <c r="AC2" s="8" t="str">
        <f>IF(OR(AB2="",多次统计数据!$B$9=""),"",IF(多次统计数据!$B$9&lt;AB2,"低于上限","达到或超过上限"))</f>
        <v/>
      </c>
      <c r="AD2" s="2"/>
      <c r="AE2" s="7" t="str">
        <f t="shared" ref="AE2:AE33" si="8">IF(OR(X2="",C2="",C2&lt;=0),"",X2/C2)</f>
        <v/>
      </c>
      <c r="AG2" s="2"/>
      <c r="AH2" s="2"/>
      <c r="AI2" s="2"/>
      <c r="AJ2" s="8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/>
      </c>
      <c r="AK2" s="10"/>
      <c r="AL2" s="12"/>
      <c r="AM2" s="10"/>
      <c r="AN2" s="12"/>
      <c r="AO2" s="5" t="str">
        <f t="shared" ref="AO2:AO33" si="10">IF(OR(A2="",H2="",H2&lt;=0),"",(E2*H2+IF(AND(AK2&lt;&gt;"",AL2&lt;&gt;""),AK2*AL2,0)+IF(AND(AM2&lt;&gt;"",AN2&lt;&gt;""),AM2*AN2,0))/AP2)</f>
        <v/>
      </c>
      <c r="AP2" s="11" t="str">
        <f t="shared" ref="AP2:AP33" si="11">IF(OR(A2="",H2="",H2&lt;=0),"",H2+IF(AL2="",0,AL2)+IF(AN2="",0,AN2))</f>
        <v/>
      </c>
      <c r="AQ2" s="5" t="str">
        <f>IF(A2="","",IF(M2&lt;&gt;"",0,IF(OR(H2="",N2=""),"",MAX(E2-MAX(N2,IFERROR(SUMPRODUCT(MAX(((持仓跟踪!$A$2:$A$497="每日跟踪")*(持仓跟踪!$B$2:$B$497=A2))*持仓跟踪!$S$2:$S$497)),0)),0)*H2+IF(OR(AK2="",AL2=""),0,MAX(AK2-MAX(N2,IFERROR(SUMPRODUCT(MAX(((持仓跟踪!$A$2:$A$497="每日跟踪")*(持仓跟踪!$B$2:$B$497=A2))*持仓跟踪!$S$2:$S$497)),0)),0)*AL2)+IF(OR(AM2="",AN2=""),0,MAX(AM2-MAX(N2,IFERROR(SUMPRODUCT(MAX(((持仓跟踪!$A$2:$A$497="每日跟踪")*(持仓跟踪!$B$2:$B$497=A2))*持仓跟踪!$S$2:$S$497)),0)),0)*AN2))))</f>
        <v/>
      </c>
      <c r="AR2" s="8" t="str">
        <f ca="1">IF(A2="","",IF(OR(E2="",H2=""),"违规：第一批价格或股数缺失",IF(OR(AND(AK2="",AL2&lt;&gt;""),AND(AK2&lt;&gt;"",AL2="")),"违规：第二批价格与股数须成对填写",IF(OR(AND(AM2="",AN2&lt;&gt;""),AND(AM2&lt;&gt;"",AN2="")),"违规：第三批价格与股数须成对填写",IF(AND(OR(AM2&lt;&gt;"",AN2&lt;&gt;""),OR(AK2="",AL2="")),"违规：必须先完成第二批",IF(OR(H2&lt;=0,H2&lt;&gt;INT(H2),MOD(H2,100)&lt;&gt;0,AND(AL2&lt;&gt;"",OR(AL2&lt;=0,AL2&lt;&gt;INT(AL2),MOD(AL2,100)&lt;&gt;0)),AND(AN2&lt;&gt;"",OR(AN2&lt;=0,AN2&lt;&gt;INT(AN2),MOD(AN2,100)&lt;&gt;0))),"违规：股数须为100股整数倍",IF(AND(OR(AL2&lt;&gt;"",AN2&lt;&gt;""),OR(_LockStatus="已锁仓",_LockStatus="解锁信息不完整")),"违规：锁仓期间禁止加仓",IF(AQ2&gt;C2*D2,"违规：超过单笔风险上限",IF(SUM($AQ$2:$AQ$201)&gt;账户数据!$B$7,"违规：超过账户风险上限","通过")))))))))</f>
        <v/>
      </c>
    </row>
    <row r="3" ht="17" spans="1:44">
      <c r="A3" s="2"/>
      <c r="B3" s="2"/>
      <c r="C3" s="5" t="str">
        <f>IF(C2="","",C2+SUM(单次交易!Y2:Y201))</f>
        <v/>
      </c>
      <c r="D3" s="6"/>
      <c r="E3" s="10"/>
      <c r="F3" s="8" t="str">
        <f t="shared" si="0"/>
        <v/>
      </c>
      <c r="G3" s="8" t="str">
        <f ca="1"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COUNTIFS(持仓跟踪!$A$2:$A$497,"止损计划",持仓跟踪!$B$2:$B$497,A3,持仓跟踪!$AC$2:$AC$497,"计划有效")=0,"禁止开仓：请先填写止损计划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" s="2"/>
      <c r="I3" s="15"/>
      <c r="J3" s="10"/>
      <c r="K3" s="10"/>
      <c r="L3" s="8" t="str">
        <f t="shared" si="1"/>
        <v/>
      </c>
      <c r="M3" s="15"/>
      <c r="N3" s="10"/>
      <c r="O3" s="10"/>
      <c r="P3" s="10"/>
      <c r="Q3" s="2"/>
      <c r="R3" s="2"/>
      <c r="S3" s="2"/>
      <c r="T3" s="2"/>
      <c r="U3" s="7" t="str">
        <f t="shared" si="2"/>
        <v/>
      </c>
      <c r="V3" s="7" t="str">
        <f t="shared" si="3"/>
        <v/>
      </c>
      <c r="W3" s="22" t="str">
        <f t="shared" si="4"/>
        <v/>
      </c>
      <c r="X3" s="5" t="str">
        <f t="shared" si="5"/>
        <v/>
      </c>
      <c r="Y3" s="7" t="str">
        <f t="shared" si="6"/>
        <v/>
      </c>
      <c r="Z3" s="7" t="str">
        <f>IF(OR(AE3="",多次统计数据!$B$8=""),"",AE3-多次统计数据!$B$8)</f>
        <v/>
      </c>
      <c r="AA3" s="11" t="str">
        <f t="shared" si="7"/>
        <v/>
      </c>
      <c r="AB3" s="7" t="str">
        <f>IF(OR(A3="",多次统计数据!$B$8="",多次统计数据!$B$6&lt;=0,多次统计数据!$B$6&gt;=1),"",1-POWER(1+多次统计数据!$B$8,-多次统计数据!$B$6/(1-多次统计数据!$B$6)))</f>
        <v/>
      </c>
      <c r="AC3" s="8" t="str">
        <f>IF(OR(AB3="",多次统计数据!$B$9=""),"",IF(多次统计数据!$B$9&lt;AB3,"低于上限","达到或超过上限"))</f>
        <v/>
      </c>
      <c r="AD3" s="2"/>
      <c r="AE3" s="7" t="str">
        <f t="shared" si="8"/>
        <v/>
      </c>
      <c r="AG3" s="2"/>
      <c r="AH3" s="2"/>
      <c r="AI3" s="2"/>
      <c r="AJ3" s="8" t="str">
        <f t="shared" si="9"/>
        <v/>
      </c>
      <c r="AK3" s="10"/>
      <c r="AL3" s="12"/>
      <c r="AM3" s="10"/>
      <c r="AN3" s="12"/>
      <c r="AO3" s="5" t="str">
        <f t="shared" si="10"/>
        <v/>
      </c>
      <c r="AP3" s="11" t="str">
        <f t="shared" si="11"/>
        <v/>
      </c>
      <c r="AQ3" s="5" t="str">
        <f>IF(A3="","",IF(M3&lt;&gt;"",0,IF(OR(H3="",N3=""),"",MAX(E3-MAX(N3,IFERROR(SUMPRODUCT(MAX(((持仓跟踪!$A$2:$A$497="每日跟踪")*(持仓跟踪!$B$2:$B$497=A3))*持仓跟踪!$S$2:$S$497)),0)),0)*H3+IF(OR(AK3="",AL3=""),0,MAX(AK3-MAX(N3,IFERROR(SUMPRODUCT(MAX(((持仓跟踪!$A$2:$A$497="每日跟踪")*(持仓跟踪!$B$2:$B$497=A3))*持仓跟踪!$S$2:$S$497)),0)),0)*AL3)+IF(OR(AM3="",AN3=""),0,MAX(AM3-MAX(N3,IFERROR(SUMPRODUCT(MAX(((持仓跟踪!$A$2:$A$497="每日跟踪")*(持仓跟踪!$B$2:$B$497=A3))*持仓跟踪!$S$2:$S$497)),0)),0)*AN3))))</f>
        <v/>
      </c>
      <c r="AR3" s="8" t="str">
        <f ca="1">IF(A3="","",IF(OR(E3="",H3=""),"违规：第一批价格或股数缺失",IF(OR(AND(AK3="",AL3&lt;&gt;""),AND(AK3&lt;&gt;"",AL3="")),"违规：第二批价格与股数须成对填写",IF(OR(AND(AM3="",AN3&lt;&gt;""),AND(AM3&lt;&gt;"",AN3="")),"违规：第三批价格与股数须成对填写",IF(AND(OR(AM3&lt;&gt;"",AN3&lt;&gt;""),OR(AK3="",AL3="")),"违规：必须先完成第二批",IF(OR(H3&lt;=0,H3&lt;&gt;INT(H3),MOD(H3,100)&lt;&gt;0,AND(AL3&lt;&gt;"",OR(AL3&lt;=0,AL3&lt;&gt;INT(AL3),MOD(AL3,100)&lt;&gt;0)),AND(AN3&lt;&gt;"",OR(AN3&lt;=0,AN3&lt;&gt;INT(AN3),MOD(AN3,100)&lt;&gt;0))),"违规：股数须为100股整数倍",IF(AND(OR(AL3&lt;&gt;"",AN3&lt;&gt;""),OR(_LockStatus="已锁仓",_LockStatus="解锁信息不完整")),"违规：锁仓期间禁止加仓",IF(AQ3&gt;C3*D3,"违规：超过单笔风险上限",IF(SUM($AQ$2:$AQ$201)&gt;账户数据!$B$7,"违规：超过账户风险上限","通过")))))))))</f>
        <v/>
      </c>
    </row>
    <row r="4" ht="17" spans="1:44">
      <c r="A4" s="2"/>
      <c r="B4" s="2"/>
      <c r="C4" s="10"/>
      <c r="D4" s="6"/>
      <c r="E4" s="10"/>
      <c r="F4" s="8" t="str">
        <f t="shared" si="0"/>
        <v/>
      </c>
      <c r="G4" s="8" t="str">
        <f ca="1"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COUNTIFS(持仓跟踪!$A$2:$A$497,"止损计划",持仓跟踪!$B$2:$B$497,A4,持仓跟踪!$AC$2:$AC$497,"计划有效")=0,"禁止开仓：请先填写止损计划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" s="2"/>
      <c r="I4" s="15"/>
      <c r="J4" s="10"/>
      <c r="K4" s="10"/>
      <c r="L4" s="8" t="str">
        <f t="shared" si="1"/>
        <v/>
      </c>
      <c r="M4" s="15"/>
      <c r="N4" s="10"/>
      <c r="O4" s="10"/>
      <c r="P4" s="10"/>
      <c r="Q4" s="2"/>
      <c r="R4" s="2"/>
      <c r="S4" s="2"/>
      <c r="T4" s="2"/>
      <c r="U4" s="7" t="str">
        <f t="shared" si="2"/>
        <v/>
      </c>
      <c r="V4" s="7" t="str">
        <f t="shared" si="3"/>
        <v/>
      </c>
      <c r="W4" s="22" t="str">
        <f t="shared" si="4"/>
        <v/>
      </c>
      <c r="X4" s="5" t="str">
        <f t="shared" si="5"/>
        <v/>
      </c>
      <c r="Y4" s="7" t="str">
        <f t="shared" si="6"/>
        <v/>
      </c>
      <c r="Z4" s="7" t="str">
        <f>IF(OR(AE4="",多次统计数据!$B$8=""),"",AE4-多次统计数据!$B$8)</f>
        <v/>
      </c>
      <c r="AA4" s="11" t="str">
        <f t="shared" si="7"/>
        <v/>
      </c>
      <c r="AB4" s="7" t="str">
        <f>IF(OR(A4="",多次统计数据!$B$8="",多次统计数据!$B$6&lt;=0,多次统计数据!$B$6&gt;=1),"",1-POWER(1+多次统计数据!$B$8,-多次统计数据!$B$6/(1-多次统计数据!$B$6)))</f>
        <v/>
      </c>
      <c r="AC4" s="8" t="str">
        <f>IF(OR(AB4="",多次统计数据!$B$9=""),"",IF(多次统计数据!$B$9&lt;AB4,"低于上限","达到或超过上限"))</f>
        <v/>
      </c>
      <c r="AD4" s="2"/>
      <c r="AE4" s="7" t="str">
        <f t="shared" si="8"/>
        <v/>
      </c>
      <c r="AG4" s="2"/>
      <c r="AH4" s="2"/>
      <c r="AI4" s="2"/>
      <c r="AJ4" s="8" t="str">
        <f t="shared" si="9"/>
        <v/>
      </c>
      <c r="AK4" s="10"/>
      <c r="AL4" s="12"/>
      <c r="AM4" s="10"/>
      <c r="AN4" s="12"/>
      <c r="AO4" s="5" t="str">
        <f t="shared" si="10"/>
        <v/>
      </c>
      <c r="AP4" s="11" t="str">
        <f t="shared" si="11"/>
        <v/>
      </c>
      <c r="AQ4" s="5" t="str">
        <f>IF(A4="","",IF(M4&lt;&gt;"",0,IF(OR(H4="",N4=""),"",MAX(E4-MAX(N4,IFERROR(SUMPRODUCT(MAX(((持仓跟踪!$A$2:$A$497="每日跟踪")*(持仓跟踪!$B$2:$B$497=A4))*持仓跟踪!$S$2:$S$497)),0)),0)*H4+IF(OR(AK4="",AL4=""),0,MAX(AK4-MAX(N4,IFERROR(SUMPRODUCT(MAX(((持仓跟踪!$A$2:$A$497="每日跟踪")*(持仓跟踪!$B$2:$B$497=A4))*持仓跟踪!$S$2:$S$497)),0)),0)*AL4)+IF(OR(AM4="",AN4=""),0,MAX(AM4-MAX(N4,IFERROR(SUMPRODUCT(MAX(((持仓跟踪!$A$2:$A$497="每日跟踪")*(持仓跟踪!$B$2:$B$497=A4))*持仓跟踪!$S$2:$S$497)),0)),0)*AN4))))</f>
        <v/>
      </c>
      <c r="AR4" s="8" t="str">
        <f ca="1">IF(A4="","",IF(OR(E4="",H4=""),"违规：第一批价格或股数缺失",IF(OR(AND(AK4="",AL4&lt;&gt;""),AND(AK4&lt;&gt;"",AL4="")),"违规：第二批价格与股数须成对填写",IF(OR(AND(AM4="",AN4&lt;&gt;""),AND(AM4&lt;&gt;"",AN4="")),"违规：第三批价格与股数须成对填写",IF(AND(OR(AM4&lt;&gt;"",AN4&lt;&gt;""),OR(AK4="",AL4="")),"违规：必须先完成第二批",IF(OR(H4&lt;=0,H4&lt;&gt;INT(H4),MOD(H4,100)&lt;&gt;0,AND(AL4&lt;&gt;"",OR(AL4&lt;=0,AL4&lt;&gt;INT(AL4),MOD(AL4,100)&lt;&gt;0)),AND(AN4&lt;&gt;"",OR(AN4&lt;=0,AN4&lt;&gt;INT(AN4),MOD(AN4,100)&lt;&gt;0))),"违规：股数须为100股整数倍",IF(AND(OR(AL4&lt;&gt;"",AN4&lt;&gt;""),OR(_LockStatus="已锁仓",_LockStatus="解锁信息不完整")),"违规：锁仓期间禁止加仓",IF(AQ4&gt;C4*D4,"违规：超过单笔风险上限",IF(SUM($AQ$2:$AQ$201)&gt;账户数据!$B$7,"违规：超过账户风险上限","通过")))))))))</f>
        <v/>
      </c>
    </row>
    <row r="5" ht="17" spans="1:44">
      <c r="A5" s="2"/>
      <c r="B5" s="2"/>
      <c r="C5" s="10"/>
      <c r="D5" s="6"/>
      <c r="E5" s="10"/>
      <c r="F5" s="8" t="str">
        <f t="shared" si="0"/>
        <v/>
      </c>
      <c r="G5" s="8" t="str">
        <f ca="1"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COUNTIFS(持仓跟踪!$A$2:$A$497,"止损计划",持仓跟踪!$B$2:$B$497,A5,持仓跟踪!$AC$2:$AC$497,"计划有效")=0,"禁止开仓：请先填写止损计划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" s="2"/>
      <c r="I5" s="15"/>
      <c r="J5" s="10"/>
      <c r="K5" s="10"/>
      <c r="L5" s="8" t="str">
        <f t="shared" si="1"/>
        <v/>
      </c>
      <c r="M5" s="15"/>
      <c r="N5" s="10"/>
      <c r="O5" s="10"/>
      <c r="P5" s="10"/>
      <c r="Q5" s="2"/>
      <c r="R5" s="2"/>
      <c r="S5" s="2"/>
      <c r="T5" s="2"/>
      <c r="U5" s="7" t="str">
        <f t="shared" si="2"/>
        <v/>
      </c>
      <c r="V5" s="7" t="str">
        <f t="shared" si="3"/>
        <v/>
      </c>
      <c r="W5" s="22" t="str">
        <f t="shared" si="4"/>
        <v/>
      </c>
      <c r="X5" s="5" t="str">
        <f t="shared" si="5"/>
        <v/>
      </c>
      <c r="Y5" s="7" t="str">
        <f t="shared" si="6"/>
        <v/>
      </c>
      <c r="Z5" s="7" t="str">
        <f>IF(OR(AE5="",多次统计数据!$B$8=""),"",AE5-多次统计数据!$B$8)</f>
        <v/>
      </c>
      <c r="AA5" s="11" t="str">
        <f t="shared" si="7"/>
        <v/>
      </c>
      <c r="AB5" s="7" t="str">
        <f>IF(OR(A5="",多次统计数据!$B$8="",多次统计数据!$B$6&lt;=0,多次统计数据!$B$6&gt;=1),"",1-POWER(1+多次统计数据!$B$8,-多次统计数据!$B$6/(1-多次统计数据!$B$6)))</f>
        <v/>
      </c>
      <c r="AC5" s="8" t="str">
        <f>IF(OR(AB5="",多次统计数据!$B$9=""),"",IF(多次统计数据!$B$9&lt;AB5,"低于上限","达到或超过上限"))</f>
        <v/>
      </c>
      <c r="AD5" s="2"/>
      <c r="AE5" s="7" t="str">
        <f t="shared" si="8"/>
        <v/>
      </c>
      <c r="AG5" s="2"/>
      <c r="AH5" s="2"/>
      <c r="AI5" s="2"/>
      <c r="AJ5" s="8" t="str">
        <f t="shared" si="9"/>
        <v/>
      </c>
      <c r="AK5" s="10"/>
      <c r="AL5" s="12"/>
      <c r="AM5" s="10"/>
      <c r="AN5" s="12"/>
      <c r="AO5" s="5" t="str">
        <f t="shared" si="10"/>
        <v/>
      </c>
      <c r="AP5" s="11" t="str">
        <f t="shared" si="11"/>
        <v/>
      </c>
      <c r="AQ5" s="5" t="str">
        <f>IF(A5="","",IF(M5&lt;&gt;"",0,IF(OR(H5="",N5=""),"",MAX(E5-MAX(N5,IFERROR(SUMPRODUCT(MAX(((持仓跟踪!$A$2:$A$497="每日跟踪")*(持仓跟踪!$B$2:$B$497=A5))*持仓跟踪!$S$2:$S$497)),0)),0)*H5+IF(OR(AK5="",AL5=""),0,MAX(AK5-MAX(N5,IFERROR(SUMPRODUCT(MAX(((持仓跟踪!$A$2:$A$497="每日跟踪")*(持仓跟踪!$B$2:$B$497=A5))*持仓跟踪!$S$2:$S$497)),0)),0)*AL5)+IF(OR(AM5="",AN5=""),0,MAX(AM5-MAX(N5,IFERROR(SUMPRODUCT(MAX(((持仓跟踪!$A$2:$A$497="每日跟踪")*(持仓跟踪!$B$2:$B$497=A5))*持仓跟踪!$S$2:$S$497)),0)),0)*AN5))))</f>
        <v/>
      </c>
      <c r="AR5" s="8" t="str">
        <f ca="1">IF(A5="","",IF(OR(E5="",H5=""),"违规：第一批价格或股数缺失",IF(OR(AND(AK5="",AL5&lt;&gt;""),AND(AK5&lt;&gt;"",AL5="")),"违规：第二批价格与股数须成对填写",IF(OR(AND(AM5="",AN5&lt;&gt;""),AND(AM5&lt;&gt;"",AN5="")),"违规：第三批价格与股数须成对填写",IF(AND(OR(AM5&lt;&gt;"",AN5&lt;&gt;""),OR(AK5="",AL5="")),"违规：必须先完成第二批",IF(OR(H5&lt;=0,H5&lt;&gt;INT(H5),MOD(H5,100)&lt;&gt;0,AND(AL5&lt;&gt;"",OR(AL5&lt;=0,AL5&lt;&gt;INT(AL5),MOD(AL5,100)&lt;&gt;0)),AND(AN5&lt;&gt;"",OR(AN5&lt;=0,AN5&lt;&gt;INT(AN5),MOD(AN5,100)&lt;&gt;0))),"违规：股数须为100股整数倍",IF(AND(OR(AL5&lt;&gt;"",AN5&lt;&gt;""),OR(_LockStatus="已锁仓",_LockStatus="解锁信息不完整")),"违规：锁仓期间禁止加仓",IF(AQ5&gt;C5*D5,"违规：超过单笔风险上限",IF(SUM($AQ$2:$AQ$201)&gt;账户数据!$B$7,"违规：超过账户风险上限","通过")))))))))</f>
        <v/>
      </c>
    </row>
    <row r="6" ht="17" spans="1:44">
      <c r="A6" s="2"/>
      <c r="B6" s="2"/>
      <c r="C6" s="10"/>
      <c r="D6" s="6"/>
      <c r="E6" s="10"/>
      <c r="F6" s="8" t="str">
        <f t="shared" si="0"/>
        <v/>
      </c>
      <c r="G6" s="8" t="str">
        <f ca="1"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COUNTIFS(持仓跟踪!$A$2:$A$497,"止损计划",持仓跟踪!$B$2:$B$497,A6,持仓跟踪!$AC$2:$AC$497,"计划有效")=0,"禁止开仓：请先填写止损计划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" s="2"/>
      <c r="I6" s="15"/>
      <c r="J6" s="10"/>
      <c r="K6" s="10"/>
      <c r="L6" s="8" t="str">
        <f t="shared" si="1"/>
        <v/>
      </c>
      <c r="M6" s="15"/>
      <c r="N6" s="10"/>
      <c r="O6" s="10"/>
      <c r="P6" s="10"/>
      <c r="Q6" s="2"/>
      <c r="R6" s="2"/>
      <c r="S6" s="2"/>
      <c r="T6" s="2"/>
      <c r="U6" s="7" t="str">
        <f t="shared" si="2"/>
        <v/>
      </c>
      <c r="V6" s="7" t="str">
        <f t="shared" si="3"/>
        <v/>
      </c>
      <c r="W6" s="22" t="str">
        <f t="shared" si="4"/>
        <v/>
      </c>
      <c r="X6" s="5" t="str">
        <f t="shared" si="5"/>
        <v/>
      </c>
      <c r="Y6" s="7" t="str">
        <f t="shared" si="6"/>
        <v/>
      </c>
      <c r="Z6" s="7" t="str">
        <f>IF(OR(AE6="",多次统计数据!$B$8=""),"",AE6-多次统计数据!$B$8)</f>
        <v/>
      </c>
      <c r="AA6" s="11" t="str">
        <f t="shared" si="7"/>
        <v/>
      </c>
      <c r="AB6" s="7" t="str">
        <f>IF(OR(A6="",多次统计数据!$B$8="",多次统计数据!$B$6&lt;=0,多次统计数据!$B$6&gt;=1),"",1-POWER(1+多次统计数据!$B$8,-多次统计数据!$B$6/(1-多次统计数据!$B$6)))</f>
        <v/>
      </c>
      <c r="AC6" s="8" t="str">
        <f>IF(OR(AB6="",多次统计数据!$B$9=""),"",IF(多次统计数据!$B$9&lt;AB6,"低于上限","达到或超过上限"))</f>
        <v/>
      </c>
      <c r="AD6" s="2"/>
      <c r="AE6" s="7" t="str">
        <f t="shared" si="8"/>
        <v/>
      </c>
      <c r="AG6" s="2"/>
      <c r="AH6" s="2"/>
      <c r="AI6" s="2"/>
      <c r="AJ6" s="8" t="str">
        <f t="shared" si="9"/>
        <v/>
      </c>
      <c r="AK6" s="10"/>
      <c r="AL6" s="12"/>
      <c r="AM6" s="10"/>
      <c r="AN6" s="12"/>
      <c r="AO6" s="5" t="str">
        <f t="shared" si="10"/>
        <v/>
      </c>
      <c r="AP6" s="11" t="str">
        <f t="shared" si="11"/>
        <v/>
      </c>
      <c r="AQ6" s="5" t="str">
        <f>IF(A6="","",IF(M6&lt;&gt;"",0,IF(OR(H6="",N6=""),"",MAX(E6-MAX(N6,IFERROR(SUMPRODUCT(MAX(((持仓跟踪!$A$2:$A$497="每日跟踪")*(持仓跟踪!$B$2:$B$497=A6))*持仓跟踪!$S$2:$S$497)),0)),0)*H6+IF(OR(AK6="",AL6=""),0,MAX(AK6-MAX(N6,IFERROR(SUMPRODUCT(MAX(((持仓跟踪!$A$2:$A$497="每日跟踪")*(持仓跟踪!$B$2:$B$497=A6))*持仓跟踪!$S$2:$S$497)),0)),0)*AL6)+IF(OR(AM6="",AN6=""),0,MAX(AM6-MAX(N6,IFERROR(SUMPRODUCT(MAX(((持仓跟踪!$A$2:$A$497="每日跟踪")*(持仓跟踪!$B$2:$B$497=A6))*持仓跟踪!$S$2:$S$497)),0)),0)*AN6))))</f>
        <v/>
      </c>
      <c r="AR6" s="8" t="str">
        <f ca="1">IF(A6="","",IF(OR(E6="",H6=""),"违规：第一批价格或股数缺失",IF(OR(AND(AK6="",AL6&lt;&gt;""),AND(AK6&lt;&gt;"",AL6="")),"违规：第二批价格与股数须成对填写",IF(OR(AND(AM6="",AN6&lt;&gt;""),AND(AM6&lt;&gt;"",AN6="")),"违规：第三批价格与股数须成对填写",IF(AND(OR(AM6&lt;&gt;"",AN6&lt;&gt;""),OR(AK6="",AL6="")),"违规：必须先完成第二批",IF(OR(H6&lt;=0,H6&lt;&gt;INT(H6),MOD(H6,100)&lt;&gt;0,AND(AL6&lt;&gt;"",OR(AL6&lt;=0,AL6&lt;&gt;INT(AL6),MOD(AL6,100)&lt;&gt;0)),AND(AN6&lt;&gt;"",OR(AN6&lt;=0,AN6&lt;&gt;INT(AN6),MOD(AN6,100)&lt;&gt;0))),"违规：股数须为100股整数倍",IF(AND(OR(AL6&lt;&gt;"",AN6&lt;&gt;""),OR(_LockStatus="已锁仓",_LockStatus="解锁信息不完整")),"违规：锁仓期间禁止加仓",IF(AQ6&gt;C6*D6,"违规：超过单笔风险上限",IF(SUM($AQ$2:$AQ$201)&gt;账户数据!$B$7,"违规：超过账户风险上限","通过")))))))))</f>
        <v/>
      </c>
    </row>
    <row r="7" ht="17" spans="1:44">
      <c r="A7" s="2"/>
      <c r="B7" s="2"/>
      <c r="C7" s="10"/>
      <c r="D7" s="6"/>
      <c r="E7" s="10"/>
      <c r="F7" s="8" t="str">
        <f t="shared" si="0"/>
        <v/>
      </c>
      <c r="G7" s="8" t="str">
        <f ca="1"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COUNTIFS(持仓跟踪!$A$2:$A$497,"止损计划",持仓跟踪!$B$2:$B$497,A7,持仓跟踪!$AC$2:$AC$497,"计划有效")=0,"禁止开仓：请先填写止损计划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" s="2"/>
      <c r="I7" s="15"/>
      <c r="J7" s="10"/>
      <c r="K7" s="10"/>
      <c r="L7" s="8" t="str">
        <f t="shared" si="1"/>
        <v/>
      </c>
      <c r="M7" s="15"/>
      <c r="N7" s="10"/>
      <c r="O7" s="10"/>
      <c r="P7" s="10"/>
      <c r="Q7" s="2"/>
      <c r="R7" s="2"/>
      <c r="S7" s="2"/>
      <c r="T7" s="2"/>
      <c r="U7" s="7" t="str">
        <f t="shared" si="2"/>
        <v/>
      </c>
      <c r="V7" s="7" t="str">
        <f t="shared" si="3"/>
        <v/>
      </c>
      <c r="W7" s="22" t="str">
        <f t="shared" si="4"/>
        <v/>
      </c>
      <c r="X7" s="5" t="str">
        <f t="shared" si="5"/>
        <v/>
      </c>
      <c r="Y7" s="7" t="str">
        <f t="shared" si="6"/>
        <v/>
      </c>
      <c r="Z7" s="7" t="str">
        <f>IF(OR(AE7="",多次统计数据!$B$8=""),"",AE7-多次统计数据!$B$8)</f>
        <v/>
      </c>
      <c r="AA7" s="11" t="str">
        <f t="shared" si="7"/>
        <v/>
      </c>
      <c r="AB7" s="7" t="str">
        <f>IF(OR(A7="",多次统计数据!$B$8="",多次统计数据!$B$6&lt;=0,多次统计数据!$B$6&gt;=1),"",1-POWER(1+多次统计数据!$B$8,-多次统计数据!$B$6/(1-多次统计数据!$B$6)))</f>
        <v/>
      </c>
      <c r="AC7" s="8" t="str">
        <f>IF(OR(AB7="",多次统计数据!$B$9=""),"",IF(多次统计数据!$B$9&lt;AB7,"低于上限","达到或超过上限"))</f>
        <v/>
      </c>
      <c r="AD7" s="2"/>
      <c r="AE7" s="7" t="str">
        <f t="shared" si="8"/>
        <v/>
      </c>
      <c r="AG7" s="2"/>
      <c r="AH7" s="2"/>
      <c r="AI7" s="2"/>
      <c r="AJ7" s="8" t="str">
        <f t="shared" si="9"/>
        <v/>
      </c>
      <c r="AK7" s="10"/>
      <c r="AL7" s="12"/>
      <c r="AM7" s="10"/>
      <c r="AN7" s="12"/>
      <c r="AO7" s="5" t="str">
        <f t="shared" si="10"/>
        <v/>
      </c>
      <c r="AP7" s="11" t="str">
        <f t="shared" si="11"/>
        <v/>
      </c>
      <c r="AQ7" s="5" t="str">
        <f>IF(A7="","",IF(M7&lt;&gt;"",0,IF(OR(H7="",N7=""),"",MAX(E7-MAX(N7,IFERROR(SUMPRODUCT(MAX(((持仓跟踪!$A$2:$A$497="每日跟踪")*(持仓跟踪!$B$2:$B$497=A7))*持仓跟踪!$S$2:$S$497)),0)),0)*H7+IF(OR(AK7="",AL7=""),0,MAX(AK7-MAX(N7,IFERROR(SUMPRODUCT(MAX(((持仓跟踪!$A$2:$A$497="每日跟踪")*(持仓跟踪!$B$2:$B$497=A7))*持仓跟踪!$S$2:$S$497)),0)),0)*AL7)+IF(OR(AM7="",AN7=""),0,MAX(AM7-MAX(N7,IFERROR(SUMPRODUCT(MAX(((持仓跟踪!$A$2:$A$497="每日跟踪")*(持仓跟踪!$B$2:$B$497=A7))*持仓跟踪!$S$2:$S$497)),0)),0)*AN7))))</f>
        <v/>
      </c>
      <c r="AR7" s="8" t="str">
        <f ca="1">IF(A7="","",IF(OR(E7="",H7=""),"违规：第一批价格或股数缺失",IF(OR(AND(AK7="",AL7&lt;&gt;""),AND(AK7&lt;&gt;"",AL7="")),"违规：第二批价格与股数须成对填写",IF(OR(AND(AM7="",AN7&lt;&gt;""),AND(AM7&lt;&gt;"",AN7="")),"违规：第三批价格与股数须成对填写",IF(AND(OR(AM7&lt;&gt;"",AN7&lt;&gt;""),OR(AK7="",AL7="")),"违规：必须先完成第二批",IF(OR(H7&lt;=0,H7&lt;&gt;INT(H7),MOD(H7,100)&lt;&gt;0,AND(AL7&lt;&gt;"",OR(AL7&lt;=0,AL7&lt;&gt;INT(AL7),MOD(AL7,100)&lt;&gt;0)),AND(AN7&lt;&gt;"",OR(AN7&lt;=0,AN7&lt;&gt;INT(AN7),MOD(AN7,100)&lt;&gt;0))),"违规：股数须为100股整数倍",IF(AND(OR(AL7&lt;&gt;"",AN7&lt;&gt;""),OR(_LockStatus="已锁仓",_LockStatus="解锁信息不完整")),"违规：锁仓期间禁止加仓",IF(AQ7&gt;C7*D7,"违规：超过单笔风险上限",IF(SUM($AQ$2:$AQ$201)&gt;账户数据!$B$7,"违规：超过账户风险上限","通过")))))))))</f>
        <v/>
      </c>
    </row>
    <row r="8" ht="17" spans="1:44">
      <c r="A8" s="2"/>
      <c r="B8" s="2"/>
      <c r="C8" s="10"/>
      <c r="D8" s="6"/>
      <c r="E8" s="10"/>
      <c r="F8" s="8" t="str">
        <f t="shared" si="0"/>
        <v/>
      </c>
      <c r="G8" s="8" t="str">
        <f ca="1"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COUNTIFS(持仓跟踪!$A$2:$A$497,"止损计划",持仓跟踪!$B$2:$B$497,A8,持仓跟踪!$AC$2:$AC$497,"计划有效")=0,"禁止开仓：请先填写止损计划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" s="2"/>
      <c r="I8" s="15"/>
      <c r="J8" s="10"/>
      <c r="K8" s="10"/>
      <c r="L8" s="8" t="str">
        <f t="shared" si="1"/>
        <v/>
      </c>
      <c r="M8" s="15"/>
      <c r="N8" s="10"/>
      <c r="O8" s="10"/>
      <c r="P8" s="10"/>
      <c r="Q8" s="2"/>
      <c r="R8" s="2"/>
      <c r="S8" s="2"/>
      <c r="T8" s="2"/>
      <c r="U8" s="7" t="str">
        <f t="shared" si="2"/>
        <v/>
      </c>
      <c r="V8" s="7" t="str">
        <f t="shared" si="3"/>
        <v/>
      </c>
      <c r="W8" s="22" t="str">
        <f t="shared" si="4"/>
        <v/>
      </c>
      <c r="X8" s="5" t="str">
        <f t="shared" si="5"/>
        <v/>
      </c>
      <c r="Y8" s="7" t="str">
        <f t="shared" si="6"/>
        <v/>
      </c>
      <c r="Z8" s="7" t="str">
        <f>IF(OR(AE8="",多次统计数据!$B$8=""),"",AE8-多次统计数据!$B$8)</f>
        <v/>
      </c>
      <c r="AA8" s="11" t="str">
        <f t="shared" si="7"/>
        <v/>
      </c>
      <c r="AB8" s="7" t="str">
        <f>IF(OR(A8="",多次统计数据!$B$8="",多次统计数据!$B$6&lt;=0,多次统计数据!$B$6&gt;=1),"",1-POWER(1+多次统计数据!$B$8,-多次统计数据!$B$6/(1-多次统计数据!$B$6)))</f>
        <v/>
      </c>
      <c r="AC8" s="8" t="str">
        <f>IF(OR(AB8="",多次统计数据!$B$9=""),"",IF(多次统计数据!$B$9&lt;AB8,"低于上限","达到或超过上限"))</f>
        <v/>
      </c>
      <c r="AD8" s="2"/>
      <c r="AE8" s="7" t="str">
        <f t="shared" si="8"/>
        <v/>
      </c>
      <c r="AG8" s="2"/>
      <c r="AH8" s="2"/>
      <c r="AI8" s="2"/>
      <c r="AJ8" s="8" t="str">
        <f t="shared" si="9"/>
        <v/>
      </c>
      <c r="AK8" s="10"/>
      <c r="AL8" s="12"/>
      <c r="AM8" s="10"/>
      <c r="AN8" s="12"/>
      <c r="AO8" s="5" t="str">
        <f t="shared" si="10"/>
        <v/>
      </c>
      <c r="AP8" s="11" t="str">
        <f t="shared" si="11"/>
        <v/>
      </c>
      <c r="AQ8" s="5" t="str">
        <f>IF(A8="","",IF(M8&lt;&gt;"",0,IF(OR(H8="",N8=""),"",MAX(E8-MAX(N8,IFERROR(SUMPRODUCT(MAX(((持仓跟踪!$A$2:$A$497="每日跟踪")*(持仓跟踪!$B$2:$B$497=A8))*持仓跟踪!$S$2:$S$497)),0)),0)*H8+IF(OR(AK8="",AL8=""),0,MAX(AK8-MAX(N8,IFERROR(SUMPRODUCT(MAX(((持仓跟踪!$A$2:$A$497="每日跟踪")*(持仓跟踪!$B$2:$B$497=A8))*持仓跟踪!$S$2:$S$497)),0)),0)*AL8)+IF(OR(AM8="",AN8=""),0,MAX(AM8-MAX(N8,IFERROR(SUMPRODUCT(MAX(((持仓跟踪!$A$2:$A$497="每日跟踪")*(持仓跟踪!$B$2:$B$497=A8))*持仓跟踪!$S$2:$S$497)),0)),0)*AN8))))</f>
        <v/>
      </c>
      <c r="AR8" s="8" t="str">
        <f ca="1">IF(A8="","",IF(OR(E8="",H8=""),"违规：第一批价格或股数缺失",IF(OR(AND(AK8="",AL8&lt;&gt;""),AND(AK8&lt;&gt;"",AL8="")),"违规：第二批价格与股数须成对填写",IF(OR(AND(AM8="",AN8&lt;&gt;""),AND(AM8&lt;&gt;"",AN8="")),"违规：第三批价格与股数须成对填写",IF(AND(OR(AM8&lt;&gt;"",AN8&lt;&gt;""),OR(AK8="",AL8="")),"违规：必须先完成第二批",IF(OR(H8&lt;=0,H8&lt;&gt;INT(H8),MOD(H8,100)&lt;&gt;0,AND(AL8&lt;&gt;"",OR(AL8&lt;=0,AL8&lt;&gt;INT(AL8),MOD(AL8,100)&lt;&gt;0)),AND(AN8&lt;&gt;"",OR(AN8&lt;=0,AN8&lt;&gt;INT(AN8),MOD(AN8,100)&lt;&gt;0))),"违规：股数须为100股整数倍",IF(AND(OR(AL8&lt;&gt;"",AN8&lt;&gt;""),OR(_LockStatus="已锁仓",_LockStatus="解锁信息不完整")),"违规：锁仓期间禁止加仓",IF(AQ8&gt;C8*D8,"违规：超过单笔风险上限",IF(SUM($AQ$2:$AQ$201)&gt;账户数据!$B$7,"违规：超过账户风险上限","通过")))))))))</f>
        <v/>
      </c>
    </row>
    <row r="9" ht="17" spans="1:44">
      <c r="A9" s="2"/>
      <c r="B9" s="2"/>
      <c r="C9" s="10"/>
      <c r="D9" s="6"/>
      <c r="E9" s="10"/>
      <c r="F9" s="8" t="str">
        <f t="shared" si="0"/>
        <v/>
      </c>
      <c r="G9" s="8" t="str">
        <f ca="1"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COUNTIFS(持仓跟踪!$A$2:$A$497,"止损计划",持仓跟踪!$B$2:$B$497,A9,持仓跟踪!$AC$2:$AC$497,"计划有效")=0,"禁止开仓：请先填写止损计划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" s="2"/>
      <c r="I9" s="15"/>
      <c r="J9" s="10"/>
      <c r="K9" s="10"/>
      <c r="L9" s="8" t="str">
        <f t="shared" si="1"/>
        <v/>
      </c>
      <c r="M9" s="15"/>
      <c r="N9" s="10"/>
      <c r="O9" s="10"/>
      <c r="P9" s="10"/>
      <c r="Q9" s="2"/>
      <c r="R9" s="2"/>
      <c r="S9" s="2"/>
      <c r="T9" s="2"/>
      <c r="U9" s="7" t="str">
        <f t="shared" si="2"/>
        <v/>
      </c>
      <c r="V9" s="7" t="str">
        <f t="shared" si="3"/>
        <v/>
      </c>
      <c r="W9" s="22" t="str">
        <f t="shared" si="4"/>
        <v/>
      </c>
      <c r="X9" s="5" t="str">
        <f t="shared" si="5"/>
        <v/>
      </c>
      <c r="Y9" s="7" t="str">
        <f t="shared" si="6"/>
        <v/>
      </c>
      <c r="Z9" s="7" t="str">
        <f>IF(OR(AE9="",多次统计数据!$B$8=""),"",AE9-多次统计数据!$B$8)</f>
        <v/>
      </c>
      <c r="AA9" s="11" t="str">
        <f t="shared" si="7"/>
        <v/>
      </c>
      <c r="AB9" s="7" t="str">
        <f>IF(OR(A9="",多次统计数据!$B$8="",多次统计数据!$B$6&lt;=0,多次统计数据!$B$6&gt;=1),"",1-POWER(1+多次统计数据!$B$8,-多次统计数据!$B$6/(1-多次统计数据!$B$6)))</f>
        <v/>
      </c>
      <c r="AC9" s="8" t="str">
        <f>IF(OR(AB9="",多次统计数据!$B$9=""),"",IF(多次统计数据!$B$9&lt;AB9,"低于上限","达到或超过上限"))</f>
        <v/>
      </c>
      <c r="AD9" s="2"/>
      <c r="AE9" s="7" t="str">
        <f t="shared" si="8"/>
        <v/>
      </c>
      <c r="AG9" s="2"/>
      <c r="AH9" s="2"/>
      <c r="AI9" s="2"/>
      <c r="AJ9" s="8" t="str">
        <f t="shared" si="9"/>
        <v/>
      </c>
      <c r="AK9" s="10"/>
      <c r="AL9" s="12"/>
      <c r="AM9" s="10"/>
      <c r="AN9" s="12"/>
      <c r="AO9" s="5" t="str">
        <f t="shared" si="10"/>
        <v/>
      </c>
      <c r="AP9" s="11" t="str">
        <f t="shared" si="11"/>
        <v/>
      </c>
      <c r="AQ9" s="5" t="str">
        <f>IF(A9="","",IF(M9&lt;&gt;"",0,IF(OR(H9="",N9=""),"",MAX(E9-MAX(N9,IFERROR(SUMPRODUCT(MAX(((持仓跟踪!$A$2:$A$497="每日跟踪")*(持仓跟踪!$B$2:$B$497=A9))*持仓跟踪!$S$2:$S$497)),0)),0)*H9+IF(OR(AK9="",AL9=""),0,MAX(AK9-MAX(N9,IFERROR(SUMPRODUCT(MAX(((持仓跟踪!$A$2:$A$497="每日跟踪")*(持仓跟踪!$B$2:$B$497=A9))*持仓跟踪!$S$2:$S$497)),0)),0)*AL9)+IF(OR(AM9="",AN9=""),0,MAX(AM9-MAX(N9,IFERROR(SUMPRODUCT(MAX(((持仓跟踪!$A$2:$A$497="每日跟踪")*(持仓跟踪!$B$2:$B$497=A9))*持仓跟踪!$S$2:$S$497)),0)),0)*AN9))))</f>
        <v/>
      </c>
      <c r="AR9" s="8" t="str">
        <f ca="1">IF(A9="","",IF(OR(E9="",H9=""),"违规：第一批价格或股数缺失",IF(OR(AND(AK9="",AL9&lt;&gt;""),AND(AK9&lt;&gt;"",AL9="")),"违规：第二批价格与股数须成对填写",IF(OR(AND(AM9="",AN9&lt;&gt;""),AND(AM9&lt;&gt;"",AN9="")),"违规：第三批价格与股数须成对填写",IF(AND(OR(AM9&lt;&gt;"",AN9&lt;&gt;""),OR(AK9="",AL9="")),"违规：必须先完成第二批",IF(OR(H9&lt;=0,H9&lt;&gt;INT(H9),MOD(H9,100)&lt;&gt;0,AND(AL9&lt;&gt;"",OR(AL9&lt;=0,AL9&lt;&gt;INT(AL9),MOD(AL9,100)&lt;&gt;0)),AND(AN9&lt;&gt;"",OR(AN9&lt;=0,AN9&lt;&gt;INT(AN9),MOD(AN9,100)&lt;&gt;0))),"违规：股数须为100股整数倍",IF(AND(OR(AL9&lt;&gt;"",AN9&lt;&gt;""),OR(_LockStatus="已锁仓",_LockStatus="解锁信息不完整")),"违规：锁仓期间禁止加仓",IF(AQ9&gt;C9*D9,"违规：超过单笔风险上限",IF(SUM($AQ$2:$AQ$201)&gt;账户数据!$B$7,"违规：超过账户风险上限","通过")))))))))</f>
        <v/>
      </c>
    </row>
    <row r="10" ht="27" customHeight="1" spans="1:44">
      <c r="A10" s="2"/>
      <c r="B10" s="2"/>
      <c r="C10" s="10"/>
      <c r="D10" s="6"/>
      <c r="E10" s="10"/>
      <c r="F10" s="8" t="str">
        <f t="shared" si="0"/>
        <v/>
      </c>
      <c r="G10" s="8" t="str">
        <f ca="1"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COUNTIFS(持仓跟踪!$A$2:$A$497,"止损计划",持仓跟踪!$B$2:$B$497,A10,持仓跟踪!$AC$2:$AC$497,"计划有效")=0,"禁止开仓：请先填写止损计划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" s="2"/>
      <c r="I10" s="15"/>
      <c r="J10" s="10"/>
      <c r="K10" s="10"/>
      <c r="L10" s="8" t="str">
        <f t="shared" si="1"/>
        <v/>
      </c>
      <c r="M10" s="15"/>
      <c r="N10" s="10"/>
      <c r="O10" s="10"/>
      <c r="P10" s="10"/>
      <c r="Q10" s="2"/>
      <c r="R10" s="2"/>
      <c r="S10" s="2"/>
      <c r="T10" s="2"/>
      <c r="U10" s="7" t="str">
        <f t="shared" si="2"/>
        <v/>
      </c>
      <c r="V10" s="7" t="str">
        <f t="shared" si="3"/>
        <v/>
      </c>
      <c r="W10" s="22" t="str">
        <f t="shared" si="4"/>
        <v/>
      </c>
      <c r="X10" s="5" t="str">
        <f t="shared" si="5"/>
        <v/>
      </c>
      <c r="Y10" s="7" t="str">
        <f t="shared" si="6"/>
        <v/>
      </c>
      <c r="Z10" s="7" t="str">
        <f>IF(OR(AE10="",多次统计数据!$B$8=""),"",AE10-多次统计数据!$B$8)</f>
        <v/>
      </c>
      <c r="AA10" s="11" t="str">
        <f t="shared" si="7"/>
        <v/>
      </c>
      <c r="AB10" s="7" t="str">
        <f>IF(OR(A10="",多次统计数据!$B$8="",多次统计数据!$B$6&lt;=0,多次统计数据!$B$6&gt;=1),"",1-POWER(1+多次统计数据!$B$8,-多次统计数据!$B$6/(1-多次统计数据!$B$6)))</f>
        <v/>
      </c>
      <c r="AC10" s="8" t="str">
        <f>IF(OR(AB10="",多次统计数据!$B$9=""),"",IF(多次统计数据!$B$9&lt;AB10,"低于上限","达到或超过上限"))</f>
        <v/>
      </c>
      <c r="AD10" s="2"/>
      <c r="AE10" s="7" t="str">
        <f t="shared" si="8"/>
        <v/>
      </c>
      <c r="AG10" s="2"/>
      <c r="AH10" s="2"/>
      <c r="AI10" s="2"/>
      <c r="AJ10" s="8" t="str">
        <f t="shared" si="9"/>
        <v/>
      </c>
      <c r="AK10" s="10"/>
      <c r="AL10" s="12"/>
      <c r="AM10" s="10"/>
      <c r="AN10" s="12"/>
      <c r="AO10" s="5" t="str">
        <f t="shared" si="10"/>
        <v/>
      </c>
      <c r="AP10" s="11" t="str">
        <f t="shared" si="11"/>
        <v/>
      </c>
      <c r="AQ10" s="5" t="str">
        <f>IF(A10="","",IF(M10&lt;&gt;"",0,IF(OR(H10="",N10=""),"",MAX(E10-MAX(N10,IFERROR(SUMPRODUCT(MAX(((持仓跟踪!$A$2:$A$497="每日跟踪")*(持仓跟踪!$B$2:$B$497=A10))*持仓跟踪!$S$2:$S$497)),0)),0)*H10+IF(OR(AK10="",AL10=""),0,MAX(AK10-MAX(N10,IFERROR(SUMPRODUCT(MAX(((持仓跟踪!$A$2:$A$497="每日跟踪")*(持仓跟踪!$B$2:$B$497=A10))*持仓跟踪!$S$2:$S$497)),0)),0)*AL10)+IF(OR(AM10="",AN10=""),0,MAX(AM10-MAX(N10,IFERROR(SUMPRODUCT(MAX(((持仓跟踪!$A$2:$A$497="每日跟踪")*(持仓跟踪!$B$2:$B$497=A10))*持仓跟踪!$S$2:$S$497)),0)),0)*AN10))))</f>
        <v/>
      </c>
      <c r="AR10" s="8" t="str">
        <f ca="1">IF(A10="","",IF(OR(E10="",H10=""),"违规：第一批价格或股数缺失",IF(OR(AND(AK10="",AL10&lt;&gt;""),AND(AK10&lt;&gt;"",AL10="")),"违规：第二批价格与股数须成对填写",IF(OR(AND(AM10="",AN10&lt;&gt;""),AND(AM10&lt;&gt;"",AN10="")),"违规：第三批价格与股数须成对填写",IF(AND(OR(AM10&lt;&gt;"",AN10&lt;&gt;""),OR(AK10="",AL10="")),"违规：必须先完成第二批",IF(OR(H10&lt;=0,H10&lt;&gt;INT(H10),MOD(H10,100)&lt;&gt;0,AND(AL10&lt;&gt;"",OR(AL10&lt;=0,AL10&lt;&gt;INT(AL10),MOD(AL10,100)&lt;&gt;0)),AND(AN10&lt;&gt;"",OR(AN10&lt;=0,AN10&lt;&gt;INT(AN10),MOD(AN10,100)&lt;&gt;0))),"违规：股数须为100股整数倍",IF(AND(OR(AL10&lt;&gt;"",AN10&lt;&gt;""),OR(_LockStatus="已锁仓",_LockStatus="解锁信息不完整")),"违规：锁仓期间禁止加仓",IF(AQ10&gt;C10*D10,"违规：超过单笔风险上限",IF(SUM($AQ$2:$AQ$201)&gt;账户数据!$B$7,"违规：超过账户风险上限","通过")))))))))</f>
        <v/>
      </c>
    </row>
    <row r="11" ht="17" spans="1:44">
      <c r="A11" s="2"/>
      <c r="B11" s="2"/>
      <c r="C11" s="10"/>
      <c r="D11" s="6"/>
      <c r="E11" s="10"/>
      <c r="F11" s="8" t="str">
        <f t="shared" si="0"/>
        <v/>
      </c>
      <c r="G11" s="8" t="str">
        <f ca="1"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COUNTIFS(持仓跟踪!$A$2:$A$497,"止损计划",持仓跟踪!$B$2:$B$497,A11,持仓跟踪!$AC$2:$AC$497,"计划有效")=0,"禁止开仓：请先填写止损计划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" s="2"/>
      <c r="I11" s="15"/>
      <c r="J11" s="10"/>
      <c r="K11" s="10"/>
      <c r="L11" s="8" t="str">
        <f t="shared" si="1"/>
        <v/>
      </c>
      <c r="M11" s="15"/>
      <c r="N11" s="10"/>
      <c r="O11" s="10"/>
      <c r="P11" s="10"/>
      <c r="Q11" s="2"/>
      <c r="R11" s="2"/>
      <c r="S11" s="2"/>
      <c r="T11" s="2"/>
      <c r="U11" s="7" t="str">
        <f t="shared" si="2"/>
        <v/>
      </c>
      <c r="V11" s="7" t="str">
        <f t="shared" si="3"/>
        <v/>
      </c>
      <c r="W11" s="22" t="str">
        <f t="shared" si="4"/>
        <v/>
      </c>
      <c r="X11" s="5" t="str">
        <f t="shared" si="5"/>
        <v/>
      </c>
      <c r="Y11" s="7" t="str">
        <f t="shared" si="6"/>
        <v/>
      </c>
      <c r="Z11" s="7" t="str">
        <f>IF(OR(AE11="",多次统计数据!$B$8=""),"",AE11-多次统计数据!$B$8)</f>
        <v/>
      </c>
      <c r="AA11" s="11" t="str">
        <f t="shared" si="7"/>
        <v/>
      </c>
      <c r="AB11" s="7" t="str">
        <f>IF(OR(A11="",多次统计数据!$B$8="",多次统计数据!$B$6&lt;=0,多次统计数据!$B$6&gt;=1),"",1-POWER(1+多次统计数据!$B$8,-多次统计数据!$B$6/(1-多次统计数据!$B$6)))</f>
        <v/>
      </c>
      <c r="AC11" s="8" t="str">
        <f>IF(OR(AB11="",多次统计数据!$B$9=""),"",IF(多次统计数据!$B$9&lt;AB11,"低于上限","达到或超过上限"))</f>
        <v/>
      </c>
      <c r="AD11" s="2"/>
      <c r="AE11" s="7" t="str">
        <f t="shared" si="8"/>
        <v/>
      </c>
      <c r="AG11" s="2"/>
      <c r="AH11" s="2"/>
      <c r="AI11" s="2"/>
      <c r="AJ11" s="8" t="str">
        <f t="shared" si="9"/>
        <v/>
      </c>
      <c r="AK11" s="10"/>
      <c r="AL11" s="12"/>
      <c r="AM11" s="10"/>
      <c r="AN11" s="12"/>
      <c r="AO11" s="5" t="str">
        <f t="shared" si="10"/>
        <v/>
      </c>
      <c r="AP11" s="11" t="str">
        <f t="shared" si="11"/>
        <v/>
      </c>
      <c r="AQ11" s="5" t="str">
        <f>IF(A11="","",IF(M11&lt;&gt;"",0,IF(OR(H11="",N11=""),"",MAX(E11-MAX(N11,IFERROR(SUMPRODUCT(MAX(((持仓跟踪!$A$2:$A$497="每日跟踪")*(持仓跟踪!$B$2:$B$497=A11))*持仓跟踪!$S$2:$S$497)),0)),0)*H11+IF(OR(AK11="",AL11=""),0,MAX(AK11-MAX(N11,IFERROR(SUMPRODUCT(MAX(((持仓跟踪!$A$2:$A$497="每日跟踪")*(持仓跟踪!$B$2:$B$497=A11))*持仓跟踪!$S$2:$S$497)),0)),0)*AL11)+IF(OR(AM11="",AN11=""),0,MAX(AM11-MAX(N11,IFERROR(SUMPRODUCT(MAX(((持仓跟踪!$A$2:$A$497="每日跟踪")*(持仓跟踪!$B$2:$B$497=A11))*持仓跟踪!$S$2:$S$497)),0)),0)*AN11))))</f>
        <v/>
      </c>
      <c r="AR11" s="8" t="str">
        <f ca="1">IF(A11="","",IF(OR(E11="",H11=""),"违规：第一批价格或股数缺失",IF(OR(AND(AK11="",AL11&lt;&gt;""),AND(AK11&lt;&gt;"",AL11="")),"违规：第二批价格与股数须成对填写",IF(OR(AND(AM11="",AN11&lt;&gt;""),AND(AM11&lt;&gt;"",AN11="")),"违规：第三批价格与股数须成对填写",IF(AND(OR(AM11&lt;&gt;"",AN11&lt;&gt;""),OR(AK11="",AL11="")),"违规：必须先完成第二批",IF(OR(H11&lt;=0,H11&lt;&gt;INT(H11),MOD(H11,100)&lt;&gt;0,AND(AL11&lt;&gt;"",OR(AL11&lt;=0,AL11&lt;&gt;INT(AL11),MOD(AL11,100)&lt;&gt;0)),AND(AN11&lt;&gt;"",OR(AN11&lt;=0,AN11&lt;&gt;INT(AN11),MOD(AN11,100)&lt;&gt;0))),"违规：股数须为100股整数倍",IF(AND(OR(AL11&lt;&gt;"",AN11&lt;&gt;""),OR(_LockStatus="已锁仓",_LockStatus="解锁信息不完整")),"违规：锁仓期间禁止加仓",IF(AQ11&gt;C11*D11,"违规：超过单笔风险上限",IF(SUM($AQ$2:$AQ$201)&gt;账户数据!$B$7,"违规：超过账户风险上限","通过")))))))))</f>
        <v/>
      </c>
    </row>
    <row r="12" ht="17" spans="1:44">
      <c r="A12" s="2"/>
      <c r="B12" s="2"/>
      <c r="C12" s="10"/>
      <c r="D12" s="6"/>
      <c r="E12" s="10"/>
      <c r="F12" s="8" t="str">
        <f t="shared" si="0"/>
        <v/>
      </c>
      <c r="G12" s="8" t="str">
        <f ca="1"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COUNTIFS(持仓跟踪!$A$2:$A$497,"止损计划",持仓跟踪!$B$2:$B$497,A12,持仓跟踪!$AC$2:$AC$497,"计划有效")=0,"禁止开仓：请先填写止损计划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" s="2"/>
      <c r="I12" s="15"/>
      <c r="J12" s="10"/>
      <c r="K12" s="10"/>
      <c r="L12" s="8" t="str">
        <f t="shared" si="1"/>
        <v/>
      </c>
      <c r="M12" s="15"/>
      <c r="N12" s="10"/>
      <c r="O12" s="10"/>
      <c r="P12" s="10"/>
      <c r="Q12" s="2"/>
      <c r="R12" s="2"/>
      <c r="S12" s="2"/>
      <c r="T12" s="2"/>
      <c r="U12" s="7" t="str">
        <f t="shared" si="2"/>
        <v/>
      </c>
      <c r="V12" s="7" t="str">
        <f t="shared" si="3"/>
        <v/>
      </c>
      <c r="W12" s="22" t="str">
        <f t="shared" si="4"/>
        <v/>
      </c>
      <c r="X12" s="5" t="str">
        <f t="shared" si="5"/>
        <v/>
      </c>
      <c r="Y12" s="7" t="str">
        <f t="shared" si="6"/>
        <v/>
      </c>
      <c r="Z12" s="7" t="str">
        <f>IF(OR(AE12="",多次统计数据!$B$8=""),"",AE12-多次统计数据!$B$8)</f>
        <v/>
      </c>
      <c r="AA12" s="11" t="str">
        <f t="shared" si="7"/>
        <v/>
      </c>
      <c r="AB12" s="7" t="str">
        <f>IF(OR(A12="",多次统计数据!$B$8="",多次统计数据!$B$6&lt;=0,多次统计数据!$B$6&gt;=1),"",1-POWER(1+多次统计数据!$B$8,-多次统计数据!$B$6/(1-多次统计数据!$B$6)))</f>
        <v/>
      </c>
      <c r="AC12" s="8" t="str">
        <f>IF(OR(AB12="",多次统计数据!$B$9=""),"",IF(多次统计数据!$B$9&lt;AB12,"低于上限","达到或超过上限"))</f>
        <v/>
      </c>
      <c r="AD12" s="2"/>
      <c r="AE12" s="7" t="str">
        <f t="shared" si="8"/>
        <v/>
      </c>
      <c r="AG12" s="2"/>
      <c r="AH12" s="2"/>
      <c r="AI12" s="2"/>
      <c r="AJ12" s="8" t="str">
        <f t="shared" si="9"/>
        <v/>
      </c>
      <c r="AK12" s="10"/>
      <c r="AL12" s="12"/>
      <c r="AM12" s="10"/>
      <c r="AN12" s="12"/>
      <c r="AO12" s="5" t="str">
        <f t="shared" si="10"/>
        <v/>
      </c>
      <c r="AP12" s="11" t="str">
        <f t="shared" si="11"/>
        <v/>
      </c>
      <c r="AQ12" s="5" t="str">
        <f>IF(A12="","",IF(M12&lt;&gt;"",0,IF(OR(H12="",N12=""),"",MAX(E12-MAX(N12,IFERROR(SUMPRODUCT(MAX(((持仓跟踪!$A$2:$A$497="每日跟踪")*(持仓跟踪!$B$2:$B$497=A12))*持仓跟踪!$S$2:$S$497)),0)),0)*H12+IF(OR(AK12="",AL12=""),0,MAX(AK12-MAX(N12,IFERROR(SUMPRODUCT(MAX(((持仓跟踪!$A$2:$A$497="每日跟踪")*(持仓跟踪!$B$2:$B$497=A12))*持仓跟踪!$S$2:$S$497)),0)),0)*AL12)+IF(OR(AM12="",AN12=""),0,MAX(AM12-MAX(N12,IFERROR(SUMPRODUCT(MAX(((持仓跟踪!$A$2:$A$497="每日跟踪")*(持仓跟踪!$B$2:$B$497=A12))*持仓跟踪!$S$2:$S$497)),0)),0)*AN12))))</f>
        <v/>
      </c>
      <c r="AR12" s="8" t="str">
        <f ca="1">IF(A12="","",IF(OR(E12="",H12=""),"违规：第一批价格或股数缺失",IF(OR(AND(AK12="",AL12&lt;&gt;""),AND(AK12&lt;&gt;"",AL12="")),"违规：第二批价格与股数须成对填写",IF(OR(AND(AM12="",AN12&lt;&gt;""),AND(AM12&lt;&gt;"",AN12="")),"违规：第三批价格与股数须成对填写",IF(AND(OR(AM12&lt;&gt;"",AN12&lt;&gt;""),OR(AK12="",AL12="")),"违规：必须先完成第二批",IF(OR(H12&lt;=0,H12&lt;&gt;INT(H12),MOD(H12,100)&lt;&gt;0,AND(AL12&lt;&gt;"",OR(AL12&lt;=0,AL12&lt;&gt;INT(AL12),MOD(AL12,100)&lt;&gt;0)),AND(AN12&lt;&gt;"",OR(AN12&lt;=0,AN12&lt;&gt;INT(AN12),MOD(AN12,100)&lt;&gt;0))),"违规：股数须为100股整数倍",IF(AND(OR(AL12&lt;&gt;"",AN12&lt;&gt;""),OR(_LockStatus="已锁仓",_LockStatus="解锁信息不完整")),"违规：锁仓期间禁止加仓",IF(AQ12&gt;C12*D12,"违规：超过单笔风险上限",IF(SUM($AQ$2:$AQ$201)&gt;账户数据!$B$7,"违规：超过账户风险上限","通过")))))))))</f>
        <v/>
      </c>
    </row>
    <row r="13" ht="17" spans="1:44">
      <c r="A13" s="2"/>
      <c r="B13" s="2"/>
      <c r="C13" s="10"/>
      <c r="D13" s="6"/>
      <c r="E13" s="10"/>
      <c r="F13" s="8" t="str">
        <f t="shared" si="0"/>
        <v/>
      </c>
      <c r="G13" s="8" t="str">
        <f ca="1"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COUNTIFS(持仓跟踪!$A$2:$A$497,"止损计划",持仓跟踪!$B$2:$B$497,A13,持仓跟踪!$AC$2:$AC$497,"计划有效")=0,"禁止开仓：请先填写止损计划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" s="2"/>
      <c r="I13" s="15"/>
      <c r="J13" s="10"/>
      <c r="K13" s="10"/>
      <c r="L13" s="8" t="str">
        <f t="shared" si="1"/>
        <v/>
      </c>
      <c r="M13" s="15"/>
      <c r="N13" s="10"/>
      <c r="O13" s="10"/>
      <c r="P13" s="10"/>
      <c r="Q13" s="2"/>
      <c r="R13" s="2"/>
      <c r="S13" s="2"/>
      <c r="T13" s="2"/>
      <c r="U13" s="7" t="str">
        <f t="shared" si="2"/>
        <v/>
      </c>
      <c r="V13" s="7" t="str">
        <f t="shared" si="3"/>
        <v/>
      </c>
      <c r="W13" s="22" t="str">
        <f t="shared" si="4"/>
        <v/>
      </c>
      <c r="X13" s="5" t="str">
        <f t="shared" si="5"/>
        <v/>
      </c>
      <c r="Y13" s="7" t="str">
        <f t="shared" si="6"/>
        <v/>
      </c>
      <c r="Z13" s="7" t="str">
        <f>IF(OR(AE13="",多次统计数据!$B$8=""),"",AE13-多次统计数据!$B$8)</f>
        <v/>
      </c>
      <c r="AA13" s="11" t="str">
        <f t="shared" si="7"/>
        <v/>
      </c>
      <c r="AB13" s="7" t="str">
        <f>IF(OR(A13="",多次统计数据!$B$8="",多次统计数据!$B$6&lt;=0,多次统计数据!$B$6&gt;=1),"",1-POWER(1+多次统计数据!$B$8,-多次统计数据!$B$6/(1-多次统计数据!$B$6)))</f>
        <v/>
      </c>
      <c r="AC13" s="8" t="str">
        <f>IF(OR(AB13="",多次统计数据!$B$9=""),"",IF(多次统计数据!$B$9&lt;AB13,"低于上限","达到或超过上限"))</f>
        <v/>
      </c>
      <c r="AD13" s="2"/>
      <c r="AE13" s="7" t="str">
        <f t="shared" si="8"/>
        <v/>
      </c>
      <c r="AG13" s="2"/>
      <c r="AH13" s="2"/>
      <c r="AI13" s="2"/>
      <c r="AJ13" s="8" t="str">
        <f t="shared" si="9"/>
        <v/>
      </c>
      <c r="AK13" s="10"/>
      <c r="AL13" s="12"/>
      <c r="AM13" s="10"/>
      <c r="AN13" s="12"/>
      <c r="AO13" s="5" t="str">
        <f t="shared" si="10"/>
        <v/>
      </c>
      <c r="AP13" s="11" t="str">
        <f t="shared" si="11"/>
        <v/>
      </c>
      <c r="AQ13" s="5" t="str">
        <f>IF(A13="","",IF(M13&lt;&gt;"",0,IF(OR(H13="",N13=""),"",MAX(E13-MAX(N13,IFERROR(SUMPRODUCT(MAX(((持仓跟踪!$A$2:$A$497="每日跟踪")*(持仓跟踪!$B$2:$B$497=A13))*持仓跟踪!$S$2:$S$497)),0)),0)*H13+IF(OR(AK13="",AL13=""),0,MAX(AK13-MAX(N13,IFERROR(SUMPRODUCT(MAX(((持仓跟踪!$A$2:$A$497="每日跟踪")*(持仓跟踪!$B$2:$B$497=A13))*持仓跟踪!$S$2:$S$497)),0)),0)*AL13)+IF(OR(AM13="",AN13=""),0,MAX(AM13-MAX(N13,IFERROR(SUMPRODUCT(MAX(((持仓跟踪!$A$2:$A$497="每日跟踪")*(持仓跟踪!$B$2:$B$497=A13))*持仓跟踪!$S$2:$S$497)),0)),0)*AN13))))</f>
        <v/>
      </c>
      <c r="AR13" s="8" t="str">
        <f ca="1">IF(A13="","",IF(OR(E13="",H13=""),"违规：第一批价格或股数缺失",IF(OR(AND(AK13="",AL13&lt;&gt;""),AND(AK13&lt;&gt;"",AL13="")),"违规：第二批价格与股数须成对填写",IF(OR(AND(AM13="",AN13&lt;&gt;""),AND(AM13&lt;&gt;"",AN13="")),"违规：第三批价格与股数须成对填写",IF(AND(OR(AM13&lt;&gt;"",AN13&lt;&gt;""),OR(AK13="",AL13="")),"违规：必须先完成第二批",IF(OR(H13&lt;=0,H13&lt;&gt;INT(H13),MOD(H13,100)&lt;&gt;0,AND(AL13&lt;&gt;"",OR(AL13&lt;=0,AL13&lt;&gt;INT(AL13),MOD(AL13,100)&lt;&gt;0)),AND(AN13&lt;&gt;"",OR(AN13&lt;=0,AN13&lt;&gt;INT(AN13),MOD(AN13,100)&lt;&gt;0))),"违规：股数须为100股整数倍",IF(AND(OR(AL13&lt;&gt;"",AN13&lt;&gt;""),OR(_LockStatus="已锁仓",_LockStatus="解锁信息不完整")),"违规：锁仓期间禁止加仓",IF(AQ13&gt;C13*D13,"违规：超过单笔风险上限",IF(SUM($AQ$2:$AQ$201)&gt;账户数据!$B$7,"违规：超过账户风险上限","通过")))))))))</f>
        <v/>
      </c>
    </row>
    <row r="14" ht="17" spans="1:44">
      <c r="A14" s="2"/>
      <c r="B14" s="2"/>
      <c r="C14" s="10"/>
      <c r="D14" s="6"/>
      <c r="E14" s="10"/>
      <c r="F14" s="8" t="str">
        <f t="shared" si="0"/>
        <v/>
      </c>
      <c r="G14" s="8" t="str">
        <f ca="1"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COUNTIFS(持仓跟踪!$A$2:$A$497,"止损计划",持仓跟踪!$B$2:$B$497,A14,持仓跟踪!$AC$2:$AC$497,"计划有效")=0,"禁止开仓：请先填写止损计划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" s="2"/>
      <c r="I14" s="15"/>
      <c r="J14" s="10"/>
      <c r="K14" s="10"/>
      <c r="L14" s="8" t="str">
        <f t="shared" si="1"/>
        <v/>
      </c>
      <c r="M14" s="15"/>
      <c r="N14" s="10"/>
      <c r="O14" s="10"/>
      <c r="P14" s="10"/>
      <c r="Q14" s="2"/>
      <c r="R14" s="2"/>
      <c r="S14" s="2"/>
      <c r="T14" s="2"/>
      <c r="U14" s="7" t="str">
        <f t="shared" si="2"/>
        <v/>
      </c>
      <c r="V14" s="7" t="str">
        <f t="shared" si="3"/>
        <v/>
      </c>
      <c r="W14" s="22" t="str">
        <f t="shared" si="4"/>
        <v/>
      </c>
      <c r="X14" s="5" t="str">
        <f t="shared" si="5"/>
        <v/>
      </c>
      <c r="Y14" s="7" t="str">
        <f t="shared" si="6"/>
        <v/>
      </c>
      <c r="Z14" s="7" t="str">
        <f>IF(OR(AE14="",多次统计数据!$B$8=""),"",AE14-多次统计数据!$B$8)</f>
        <v/>
      </c>
      <c r="AA14" s="11" t="str">
        <f t="shared" si="7"/>
        <v/>
      </c>
      <c r="AB14" s="7" t="str">
        <f>IF(OR(A14="",多次统计数据!$B$8="",多次统计数据!$B$6&lt;=0,多次统计数据!$B$6&gt;=1),"",1-POWER(1+多次统计数据!$B$8,-多次统计数据!$B$6/(1-多次统计数据!$B$6)))</f>
        <v/>
      </c>
      <c r="AC14" s="8" t="str">
        <f>IF(OR(AB14="",多次统计数据!$B$9=""),"",IF(多次统计数据!$B$9&lt;AB14,"低于上限","达到或超过上限"))</f>
        <v/>
      </c>
      <c r="AD14" s="2"/>
      <c r="AE14" s="7" t="str">
        <f t="shared" si="8"/>
        <v/>
      </c>
      <c r="AG14" s="2"/>
      <c r="AH14" s="2"/>
      <c r="AI14" s="2"/>
      <c r="AJ14" s="8" t="str">
        <f t="shared" si="9"/>
        <v/>
      </c>
      <c r="AK14" s="10"/>
      <c r="AL14" s="12"/>
      <c r="AM14" s="10"/>
      <c r="AN14" s="12"/>
      <c r="AO14" s="5" t="str">
        <f t="shared" si="10"/>
        <v/>
      </c>
      <c r="AP14" s="11" t="str">
        <f t="shared" si="11"/>
        <v/>
      </c>
      <c r="AQ14" s="5" t="str">
        <f>IF(A14="","",IF(M14&lt;&gt;"",0,IF(OR(H14="",N14=""),"",MAX(E14-MAX(N14,IFERROR(SUMPRODUCT(MAX(((持仓跟踪!$A$2:$A$497="每日跟踪")*(持仓跟踪!$B$2:$B$497=A14))*持仓跟踪!$S$2:$S$497)),0)),0)*H14+IF(OR(AK14="",AL14=""),0,MAX(AK14-MAX(N14,IFERROR(SUMPRODUCT(MAX(((持仓跟踪!$A$2:$A$497="每日跟踪")*(持仓跟踪!$B$2:$B$497=A14))*持仓跟踪!$S$2:$S$497)),0)),0)*AL14)+IF(OR(AM14="",AN14=""),0,MAX(AM14-MAX(N14,IFERROR(SUMPRODUCT(MAX(((持仓跟踪!$A$2:$A$497="每日跟踪")*(持仓跟踪!$B$2:$B$497=A14))*持仓跟踪!$S$2:$S$497)),0)),0)*AN14))))</f>
        <v/>
      </c>
      <c r="AR14" s="8" t="str">
        <f ca="1">IF(A14="","",IF(OR(E14="",H14=""),"违规：第一批价格或股数缺失",IF(OR(AND(AK14="",AL14&lt;&gt;""),AND(AK14&lt;&gt;"",AL14="")),"违规：第二批价格与股数须成对填写",IF(OR(AND(AM14="",AN14&lt;&gt;""),AND(AM14&lt;&gt;"",AN14="")),"违规：第三批价格与股数须成对填写",IF(AND(OR(AM14&lt;&gt;"",AN14&lt;&gt;""),OR(AK14="",AL14="")),"违规：必须先完成第二批",IF(OR(H14&lt;=0,H14&lt;&gt;INT(H14),MOD(H14,100)&lt;&gt;0,AND(AL14&lt;&gt;"",OR(AL14&lt;=0,AL14&lt;&gt;INT(AL14),MOD(AL14,100)&lt;&gt;0)),AND(AN14&lt;&gt;"",OR(AN14&lt;=0,AN14&lt;&gt;INT(AN14),MOD(AN14,100)&lt;&gt;0))),"违规：股数须为100股整数倍",IF(AND(OR(AL14&lt;&gt;"",AN14&lt;&gt;""),OR(_LockStatus="已锁仓",_LockStatus="解锁信息不完整")),"违规：锁仓期间禁止加仓",IF(AQ14&gt;C14*D14,"违规：超过单笔风险上限",IF(SUM($AQ$2:$AQ$201)&gt;账户数据!$B$7,"违规：超过账户风险上限","通过")))))))))</f>
        <v/>
      </c>
    </row>
    <row r="15" ht="17" spans="1:44">
      <c r="A15" s="2"/>
      <c r="B15" s="2"/>
      <c r="C15" s="10"/>
      <c r="D15" s="6"/>
      <c r="E15" s="10"/>
      <c r="F15" s="8" t="str">
        <f t="shared" si="0"/>
        <v/>
      </c>
      <c r="G15" s="8" t="str">
        <f ca="1"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COUNTIFS(持仓跟踪!$A$2:$A$497,"止损计划",持仓跟踪!$B$2:$B$497,A15,持仓跟踪!$AC$2:$AC$497,"计划有效")=0,"禁止开仓：请先填写止损计划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" s="2"/>
      <c r="I15" s="15"/>
      <c r="J15" s="10"/>
      <c r="K15" s="10"/>
      <c r="L15" s="8" t="str">
        <f t="shared" si="1"/>
        <v/>
      </c>
      <c r="M15" s="15"/>
      <c r="N15" s="10"/>
      <c r="O15" s="10"/>
      <c r="P15" s="10"/>
      <c r="Q15" s="2"/>
      <c r="R15" s="2"/>
      <c r="S15" s="2"/>
      <c r="T15" s="2"/>
      <c r="U15" s="7" t="str">
        <f t="shared" si="2"/>
        <v/>
      </c>
      <c r="V15" s="7" t="str">
        <f t="shared" si="3"/>
        <v/>
      </c>
      <c r="W15" s="22" t="str">
        <f t="shared" si="4"/>
        <v/>
      </c>
      <c r="X15" s="5" t="str">
        <f t="shared" si="5"/>
        <v/>
      </c>
      <c r="Y15" s="7" t="str">
        <f t="shared" si="6"/>
        <v/>
      </c>
      <c r="Z15" s="7" t="str">
        <f>IF(OR(AE15="",多次统计数据!$B$8=""),"",AE15-多次统计数据!$B$8)</f>
        <v/>
      </c>
      <c r="AA15" s="11" t="str">
        <f t="shared" si="7"/>
        <v/>
      </c>
      <c r="AB15" s="7" t="str">
        <f>IF(OR(A15="",多次统计数据!$B$8="",多次统计数据!$B$6&lt;=0,多次统计数据!$B$6&gt;=1),"",1-POWER(1+多次统计数据!$B$8,-多次统计数据!$B$6/(1-多次统计数据!$B$6)))</f>
        <v/>
      </c>
      <c r="AC15" s="8" t="str">
        <f>IF(OR(AB15="",多次统计数据!$B$9=""),"",IF(多次统计数据!$B$9&lt;AB15,"低于上限","达到或超过上限"))</f>
        <v/>
      </c>
      <c r="AD15" s="2"/>
      <c r="AE15" s="7" t="str">
        <f t="shared" si="8"/>
        <v/>
      </c>
      <c r="AG15" s="2"/>
      <c r="AH15" s="2"/>
      <c r="AI15" s="2"/>
      <c r="AJ15" s="8" t="str">
        <f t="shared" si="9"/>
        <v/>
      </c>
      <c r="AK15" s="10"/>
      <c r="AL15" s="12"/>
      <c r="AM15" s="10"/>
      <c r="AN15" s="12"/>
      <c r="AO15" s="5" t="str">
        <f t="shared" si="10"/>
        <v/>
      </c>
      <c r="AP15" s="11" t="str">
        <f t="shared" si="11"/>
        <v/>
      </c>
      <c r="AQ15" s="5" t="str">
        <f>IF(A15="","",IF(M15&lt;&gt;"",0,IF(OR(H15="",N15=""),"",MAX(E15-MAX(N15,IFERROR(SUMPRODUCT(MAX(((持仓跟踪!$A$2:$A$497="每日跟踪")*(持仓跟踪!$B$2:$B$497=A15))*持仓跟踪!$S$2:$S$497)),0)),0)*H15+IF(OR(AK15="",AL15=""),0,MAX(AK15-MAX(N15,IFERROR(SUMPRODUCT(MAX(((持仓跟踪!$A$2:$A$497="每日跟踪")*(持仓跟踪!$B$2:$B$497=A15))*持仓跟踪!$S$2:$S$497)),0)),0)*AL15)+IF(OR(AM15="",AN15=""),0,MAX(AM15-MAX(N15,IFERROR(SUMPRODUCT(MAX(((持仓跟踪!$A$2:$A$497="每日跟踪")*(持仓跟踪!$B$2:$B$497=A15))*持仓跟踪!$S$2:$S$497)),0)),0)*AN15))))</f>
        <v/>
      </c>
      <c r="AR15" s="8" t="str">
        <f ca="1">IF(A15="","",IF(OR(E15="",H15=""),"违规：第一批价格或股数缺失",IF(OR(AND(AK15="",AL15&lt;&gt;""),AND(AK15&lt;&gt;"",AL15="")),"违规：第二批价格与股数须成对填写",IF(OR(AND(AM15="",AN15&lt;&gt;""),AND(AM15&lt;&gt;"",AN15="")),"违规：第三批价格与股数须成对填写",IF(AND(OR(AM15&lt;&gt;"",AN15&lt;&gt;""),OR(AK15="",AL15="")),"违规：必须先完成第二批",IF(OR(H15&lt;=0,H15&lt;&gt;INT(H15),MOD(H15,100)&lt;&gt;0,AND(AL15&lt;&gt;"",OR(AL15&lt;=0,AL15&lt;&gt;INT(AL15),MOD(AL15,100)&lt;&gt;0)),AND(AN15&lt;&gt;"",OR(AN15&lt;=0,AN15&lt;&gt;INT(AN15),MOD(AN15,100)&lt;&gt;0))),"违规：股数须为100股整数倍",IF(AND(OR(AL15&lt;&gt;"",AN15&lt;&gt;""),OR(_LockStatus="已锁仓",_LockStatus="解锁信息不完整")),"违规：锁仓期间禁止加仓",IF(AQ15&gt;C15*D15,"违规：超过单笔风险上限",IF(SUM($AQ$2:$AQ$201)&gt;账户数据!$B$7,"违规：超过账户风险上限","通过")))))))))</f>
        <v/>
      </c>
    </row>
    <row r="16" ht="17" spans="1:44">
      <c r="A16" s="2"/>
      <c r="B16" s="2"/>
      <c r="C16" s="10"/>
      <c r="D16" s="6"/>
      <c r="E16" s="10"/>
      <c r="F16" s="8" t="str">
        <f t="shared" si="0"/>
        <v/>
      </c>
      <c r="G16" s="8" t="str">
        <f ca="1"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COUNTIFS(持仓跟踪!$A$2:$A$497,"止损计划",持仓跟踪!$B$2:$B$497,A16,持仓跟踪!$AC$2:$AC$497,"计划有效")=0,"禁止开仓：请先填写止损计划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" s="2"/>
      <c r="I16" s="15"/>
      <c r="J16" s="10"/>
      <c r="K16" s="10"/>
      <c r="L16" s="8" t="str">
        <f t="shared" si="1"/>
        <v/>
      </c>
      <c r="M16" s="15"/>
      <c r="N16" s="10"/>
      <c r="O16" s="10"/>
      <c r="P16" s="10"/>
      <c r="Q16" s="2"/>
      <c r="R16" s="2"/>
      <c r="S16" s="2"/>
      <c r="T16" s="2"/>
      <c r="U16" s="7" t="str">
        <f t="shared" si="2"/>
        <v/>
      </c>
      <c r="V16" s="7" t="str">
        <f t="shared" si="3"/>
        <v/>
      </c>
      <c r="W16" s="22" t="str">
        <f t="shared" si="4"/>
        <v/>
      </c>
      <c r="X16" s="5" t="str">
        <f t="shared" si="5"/>
        <v/>
      </c>
      <c r="Y16" s="7" t="str">
        <f t="shared" si="6"/>
        <v/>
      </c>
      <c r="Z16" s="7" t="str">
        <f>IF(OR(AE16="",多次统计数据!$B$8=""),"",AE16-多次统计数据!$B$8)</f>
        <v/>
      </c>
      <c r="AA16" s="11" t="str">
        <f t="shared" si="7"/>
        <v/>
      </c>
      <c r="AB16" s="7" t="str">
        <f>IF(OR(A16="",多次统计数据!$B$8="",多次统计数据!$B$6&lt;=0,多次统计数据!$B$6&gt;=1),"",1-POWER(1+多次统计数据!$B$8,-多次统计数据!$B$6/(1-多次统计数据!$B$6)))</f>
        <v/>
      </c>
      <c r="AC16" s="8" t="str">
        <f>IF(OR(AB16="",多次统计数据!$B$9=""),"",IF(多次统计数据!$B$9&lt;AB16,"低于上限","达到或超过上限"))</f>
        <v/>
      </c>
      <c r="AD16" s="2"/>
      <c r="AE16" s="7" t="str">
        <f t="shared" si="8"/>
        <v/>
      </c>
      <c r="AG16" s="2"/>
      <c r="AH16" s="2"/>
      <c r="AI16" s="2"/>
      <c r="AJ16" s="8" t="str">
        <f t="shared" si="9"/>
        <v/>
      </c>
      <c r="AK16" s="10"/>
      <c r="AL16" s="12"/>
      <c r="AM16" s="10"/>
      <c r="AN16" s="12"/>
      <c r="AO16" s="5" t="str">
        <f t="shared" si="10"/>
        <v/>
      </c>
      <c r="AP16" s="11" t="str">
        <f t="shared" si="11"/>
        <v/>
      </c>
      <c r="AQ16" s="5" t="str">
        <f>IF(A16="","",IF(M16&lt;&gt;"",0,IF(OR(H16="",N16=""),"",MAX(E16-MAX(N16,IFERROR(SUMPRODUCT(MAX(((持仓跟踪!$A$2:$A$497="每日跟踪")*(持仓跟踪!$B$2:$B$497=A16))*持仓跟踪!$S$2:$S$497)),0)),0)*H16+IF(OR(AK16="",AL16=""),0,MAX(AK16-MAX(N16,IFERROR(SUMPRODUCT(MAX(((持仓跟踪!$A$2:$A$497="每日跟踪")*(持仓跟踪!$B$2:$B$497=A16))*持仓跟踪!$S$2:$S$497)),0)),0)*AL16)+IF(OR(AM16="",AN16=""),0,MAX(AM16-MAX(N16,IFERROR(SUMPRODUCT(MAX(((持仓跟踪!$A$2:$A$497="每日跟踪")*(持仓跟踪!$B$2:$B$497=A16))*持仓跟踪!$S$2:$S$497)),0)),0)*AN16))))</f>
        <v/>
      </c>
      <c r="AR16" s="8" t="str">
        <f ca="1">IF(A16="","",IF(OR(E16="",H16=""),"违规：第一批价格或股数缺失",IF(OR(AND(AK16="",AL16&lt;&gt;""),AND(AK16&lt;&gt;"",AL16="")),"违规：第二批价格与股数须成对填写",IF(OR(AND(AM16="",AN16&lt;&gt;""),AND(AM16&lt;&gt;"",AN16="")),"违规：第三批价格与股数须成对填写",IF(AND(OR(AM16&lt;&gt;"",AN16&lt;&gt;""),OR(AK16="",AL16="")),"违规：必须先完成第二批",IF(OR(H16&lt;=0,H16&lt;&gt;INT(H16),MOD(H16,100)&lt;&gt;0,AND(AL16&lt;&gt;"",OR(AL16&lt;=0,AL16&lt;&gt;INT(AL16),MOD(AL16,100)&lt;&gt;0)),AND(AN16&lt;&gt;"",OR(AN16&lt;=0,AN16&lt;&gt;INT(AN16),MOD(AN16,100)&lt;&gt;0))),"违规：股数须为100股整数倍",IF(AND(OR(AL16&lt;&gt;"",AN16&lt;&gt;""),OR(_LockStatus="已锁仓",_LockStatus="解锁信息不完整")),"违规：锁仓期间禁止加仓",IF(AQ16&gt;C16*D16,"违规：超过单笔风险上限",IF(SUM($AQ$2:$AQ$201)&gt;账户数据!$B$7,"违规：超过账户风险上限","通过")))))))))</f>
        <v/>
      </c>
    </row>
    <row r="17" ht="17" spans="1:44">
      <c r="A17" s="2"/>
      <c r="B17" s="2"/>
      <c r="C17" s="10"/>
      <c r="D17" s="6"/>
      <c r="E17" s="10"/>
      <c r="F17" s="8" t="str">
        <f t="shared" si="0"/>
        <v/>
      </c>
      <c r="G17" s="8" t="str">
        <f ca="1"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COUNTIFS(持仓跟踪!$A$2:$A$497,"止损计划",持仓跟踪!$B$2:$B$497,A17,持仓跟踪!$AC$2:$AC$497,"计划有效")=0,"禁止开仓：请先填写止损计划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" s="2"/>
      <c r="I17" s="15"/>
      <c r="J17" s="10"/>
      <c r="K17" s="10"/>
      <c r="L17" s="8" t="str">
        <f t="shared" si="1"/>
        <v/>
      </c>
      <c r="M17" s="15"/>
      <c r="N17" s="10"/>
      <c r="O17" s="10"/>
      <c r="P17" s="10"/>
      <c r="Q17" s="2"/>
      <c r="R17" s="2"/>
      <c r="S17" s="2"/>
      <c r="T17" s="2"/>
      <c r="U17" s="7" t="str">
        <f t="shared" si="2"/>
        <v/>
      </c>
      <c r="V17" s="7" t="str">
        <f t="shared" si="3"/>
        <v/>
      </c>
      <c r="W17" s="22" t="str">
        <f t="shared" si="4"/>
        <v/>
      </c>
      <c r="X17" s="5" t="str">
        <f t="shared" si="5"/>
        <v/>
      </c>
      <c r="Y17" s="7" t="str">
        <f t="shared" si="6"/>
        <v/>
      </c>
      <c r="Z17" s="7" t="str">
        <f>IF(OR(AE17="",多次统计数据!$B$8=""),"",AE17-多次统计数据!$B$8)</f>
        <v/>
      </c>
      <c r="AA17" s="11" t="str">
        <f t="shared" si="7"/>
        <v/>
      </c>
      <c r="AB17" s="7" t="str">
        <f>IF(OR(A17="",多次统计数据!$B$8="",多次统计数据!$B$6&lt;=0,多次统计数据!$B$6&gt;=1),"",1-POWER(1+多次统计数据!$B$8,-多次统计数据!$B$6/(1-多次统计数据!$B$6)))</f>
        <v/>
      </c>
      <c r="AC17" s="8" t="str">
        <f>IF(OR(AB17="",多次统计数据!$B$9=""),"",IF(多次统计数据!$B$9&lt;AB17,"低于上限","达到或超过上限"))</f>
        <v/>
      </c>
      <c r="AD17" s="2"/>
      <c r="AE17" s="7" t="str">
        <f t="shared" si="8"/>
        <v/>
      </c>
      <c r="AG17" s="2"/>
      <c r="AH17" s="2"/>
      <c r="AI17" s="2"/>
      <c r="AJ17" s="8" t="str">
        <f t="shared" si="9"/>
        <v/>
      </c>
      <c r="AK17" s="10"/>
      <c r="AL17" s="12"/>
      <c r="AM17" s="10"/>
      <c r="AN17" s="12"/>
      <c r="AO17" s="5" t="str">
        <f t="shared" si="10"/>
        <v/>
      </c>
      <c r="AP17" s="11" t="str">
        <f t="shared" si="11"/>
        <v/>
      </c>
      <c r="AQ17" s="5" t="str">
        <f>IF(A17="","",IF(M17&lt;&gt;"",0,IF(OR(H17="",N17=""),"",MAX(E17-MAX(N17,IFERROR(SUMPRODUCT(MAX(((持仓跟踪!$A$2:$A$497="每日跟踪")*(持仓跟踪!$B$2:$B$497=A17))*持仓跟踪!$S$2:$S$497)),0)),0)*H17+IF(OR(AK17="",AL17=""),0,MAX(AK17-MAX(N17,IFERROR(SUMPRODUCT(MAX(((持仓跟踪!$A$2:$A$497="每日跟踪")*(持仓跟踪!$B$2:$B$497=A17))*持仓跟踪!$S$2:$S$497)),0)),0)*AL17)+IF(OR(AM17="",AN17=""),0,MAX(AM17-MAX(N17,IFERROR(SUMPRODUCT(MAX(((持仓跟踪!$A$2:$A$497="每日跟踪")*(持仓跟踪!$B$2:$B$497=A17))*持仓跟踪!$S$2:$S$497)),0)),0)*AN17))))</f>
        <v/>
      </c>
      <c r="AR17" s="8" t="str">
        <f ca="1">IF(A17="","",IF(OR(E17="",H17=""),"违规：第一批价格或股数缺失",IF(OR(AND(AK17="",AL17&lt;&gt;""),AND(AK17&lt;&gt;"",AL17="")),"违规：第二批价格与股数须成对填写",IF(OR(AND(AM17="",AN17&lt;&gt;""),AND(AM17&lt;&gt;"",AN17="")),"违规：第三批价格与股数须成对填写",IF(AND(OR(AM17&lt;&gt;"",AN17&lt;&gt;""),OR(AK17="",AL17="")),"违规：必须先完成第二批",IF(OR(H17&lt;=0,H17&lt;&gt;INT(H17),MOD(H17,100)&lt;&gt;0,AND(AL17&lt;&gt;"",OR(AL17&lt;=0,AL17&lt;&gt;INT(AL17),MOD(AL17,100)&lt;&gt;0)),AND(AN17&lt;&gt;"",OR(AN17&lt;=0,AN17&lt;&gt;INT(AN17),MOD(AN17,100)&lt;&gt;0))),"违规：股数须为100股整数倍",IF(AND(OR(AL17&lt;&gt;"",AN17&lt;&gt;""),OR(_LockStatus="已锁仓",_LockStatus="解锁信息不完整")),"违规：锁仓期间禁止加仓",IF(AQ17&gt;C17*D17,"违规：超过单笔风险上限",IF(SUM($AQ$2:$AQ$201)&gt;账户数据!$B$7,"违规：超过账户风险上限","通过")))))))))</f>
        <v/>
      </c>
    </row>
    <row r="18" ht="17" spans="1:44">
      <c r="A18" s="2"/>
      <c r="B18" s="2"/>
      <c r="C18" s="10"/>
      <c r="D18" s="6"/>
      <c r="E18" s="10"/>
      <c r="F18" s="8" t="str">
        <f t="shared" si="0"/>
        <v/>
      </c>
      <c r="G18" s="8" t="str">
        <f ca="1"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COUNTIFS(持仓跟踪!$A$2:$A$497,"止损计划",持仓跟踪!$B$2:$B$497,A18,持仓跟踪!$AC$2:$AC$497,"计划有效")=0,"禁止开仓：请先填写止损计划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" s="2"/>
      <c r="I18" s="15"/>
      <c r="J18" s="10"/>
      <c r="K18" s="10"/>
      <c r="L18" s="8" t="str">
        <f t="shared" si="1"/>
        <v/>
      </c>
      <c r="M18" s="15"/>
      <c r="N18" s="10"/>
      <c r="O18" s="10"/>
      <c r="P18" s="10"/>
      <c r="Q18" s="2"/>
      <c r="R18" s="2"/>
      <c r="S18" s="2"/>
      <c r="T18" s="2"/>
      <c r="U18" s="7" t="str">
        <f t="shared" si="2"/>
        <v/>
      </c>
      <c r="V18" s="7" t="str">
        <f t="shared" si="3"/>
        <v/>
      </c>
      <c r="W18" s="22" t="str">
        <f t="shared" si="4"/>
        <v/>
      </c>
      <c r="X18" s="5" t="str">
        <f t="shared" si="5"/>
        <v/>
      </c>
      <c r="Y18" s="7" t="str">
        <f t="shared" si="6"/>
        <v/>
      </c>
      <c r="Z18" s="7" t="str">
        <f>IF(OR(AE18="",多次统计数据!$B$8=""),"",AE18-多次统计数据!$B$8)</f>
        <v/>
      </c>
      <c r="AA18" s="11" t="str">
        <f t="shared" si="7"/>
        <v/>
      </c>
      <c r="AB18" s="7" t="str">
        <f>IF(OR(A18="",多次统计数据!$B$8="",多次统计数据!$B$6&lt;=0,多次统计数据!$B$6&gt;=1),"",1-POWER(1+多次统计数据!$B$8,-多次统计数据!$B$6/(1-多次统计数据!$B$6)))</f>
        <v/>
      </c>
      <c r="AC18" s="8" t="str">
        <f>IF(OR(AB18="",多次统计数据!$B$9=""),"",IF(多次统计数据!$B$9&lt;AB18,"低于上限","达到或超过上限"))</f>
        <v/>
      </c>
      <c r="AD18" s="2"/>
      <c r="AE18" s="7" t="str">
        <f t="shared" si="8"/>
        <v/>
      </c>
      <c r="AG18" s="2"/>
      <c r="AH18" s="2"/>
      <c r="AI18" s="2"/>
      <c r="AJ18" s="8" t="str">
        <f t="shared" si="9"/>
        <v/>
      </c>
      <c r="AK18" s="10"/>
      <c r="AL18" s="12"/>
      <c r="AM18" s="10"/>
      <c r="AN18" s="12"/>
      <c r="AO18" s="5" t="str">
        <f t="shared" si="10"/>
        <v/>
      </c>
      <c r="AP18" s="11" t="str">
        <f t="shared" si="11"/>
        <v/>
      </c>
      <c r="AQ18" s="5" t="str">
        <f>IF(A18="","",IF(M18&lt;&gt;"",0,IF(OR(H18="",N18=""),"",MAX(E18-MAX(N18,IFERROR(SUMPRODUCT(MAX(((持仓跟踪!$A$2:$A$497="每日跟踪")*(持仓跟踪!$B$2:$B$497=A18))*持仓跟踪!$S$2:$S$497)),0)),0)*H18+IF(OR(AK18="",AL18=""),0,MAX(AK18-MAX(N18,IFERROR(SUMPRODUCT(MAX(((持仓跟踪!$A$2:$A$497="每日跟踪")*(持仓跟踪!$B$2:$B$497=A18))*持仓跟踪!$S$2:$S$497)),0)),0)*AL18)+IF(OR(AM18="",AN18=""),0,MAX(AM18-MAX(N18,IFERROR(SUMPRODUCT(MAX(((持仓跟踪!$A$2:$A$497="每日跟踪")*(持仓跟踪!$B$2:$B$497=A18))*持仓跟踪!$S$2:$S$497)),0)),0)*AN18))))</f>
        <v/>
      </c>
      <c r="AR18" s="8" t="str">
        <f ca="1">IF(A18="","",IF(OR(E18="",H18=""),"违规：第一批价格或股数缺失",IF(OR(AND(AK18="",AL18&lt;&gt;""),AND(AK18&lt;&gt;"",AL18="")),"违规：第二批价格与股数须成对填写",IF(OR(AND(AM18="",AN18&lt;&gt;""),AND(AM18&lt;&gt;"",AN18="")),"违规：第三批价格与股数须成对填写",IF(AND(OR(AM18&lt;&gt;"",AN18&lt;&gt;""),OR(AK18="",AL18="")),"违规：必须先完成第二批",IF(OR(H18&lt;=0,H18&lt;&gt;INT(H18),MOD(H18,100)&lt;&gt;0,AND(AL18&lt;&gt;"",OR(AL18&lt;=0,AL18&lt;&gt;INT(AL18),MOD(AL18,100)&lt;&gt;0)),AND(AN18&lt;&gt;"",OR(AN18&lt;=0,AN18&lt;&gt;INT(AN18),MOD(AN18,100)&lt;&gt;0))),"违规：股数须为100股整数倍",IF(AND(OR(AL18&lt;&gt;"",AN18&lt;&gt;""),OR(_LockStatus="已锁仓",_LockStatus="解锁信息不完整")),"违规：锁仓期间禁止加仓",IF(AQ18&gt;C18*D18,"违规：超过单笔风险上限",IF(SUM($AQ$2:$AQ$201)&gt;账户数据!$B$7,"违规：超过账户风险上限","通过")))))))))</f>
        <v/>
      </c>
    </row>
    <row r="19" ht="17" spans="1:44">
      <c r="A19" s="2"/>
      <c r="B19" s="2"/>
      <c r="C19" s="10"/>
      <c r="D19" s="6"/>
      <c r="E19" s="10"/>
      <c r="F19" s="8" t="str">
        <f t="shared" si="0"/>
        <v/>
      </c>
      <c r="G19" s="8" t="str">
        <f ca="1"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COUNTIFS(持仓跟踪!$A$2:$A$497,"止损计划",持仓跟踪!$B$2:$B$497,A19,持仓跟踪!$AC$2:$AC$497,"计划有效")=0,"禁止开仓：请先填写止损计划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" s="2"/>
      <c r="I19" s="15"/>
      <c r="J19" s="10"/>
      <c r="K19" s="10"/>
      <c r="L19" s="8" t="str">
        <f t="shared" si="1"/>
        <v/>
      </c>
      <c r="M19" s="15"/>
      <c r="N19" s="10"/>
      <c r="O19" s="10"/>
      <c r="P19" s="10"/>
      <c r="Q19" s="2"/>
      <c r="R19" s="2"/>
      <c r="S19" s="2"/>
      <c r="T19" s="2"/>
      <c r="U19" s="7" t="str">
        <f t="shared" si="2"/>
        <v/>
      </c>
      <c r="V19" s="7" t="str">
        <f t="shared" si="3"/>
        <v/>
      </c>
      <c r="W19" s="22" t="str">
        <f t="shared" si="4"/>
        <v/>
      </c>
      <c r="X19" s="5" t="str">
        <f t="shared" si="5"/>
        <v/>
      </c>
      <c r="Y19" s="7" t="str">
        <f t="shared" si="6"/>
        <v/>
      </c>
      <c r="Z19" s="7" t="str">
        <f>IF(OR(AE19="",多次统计数据!$B$8=""),"",AE19-多次统计数据!$B$8)</f>
        <v/>
      </c>
      <c r="AA19" s="11" t="str">
        <f t="shared" si="7"/>
        <v/>
      </c>
      <c r="AB19" s="7" t="str">
        <f>IF(OR(A19="",多次统计数据!$B$8="",多次统计数据!$B$6&lt;=0,多次统计数据!$B$6&gt;=1),"",1-POWER(1+多次统计数据!$B$8,-多次统计数据!$B$6/(1-多次统计数据!$B$6)))</f>
        <v/>
      </c>
      <c r="AC19" s="8" t="str">
        <f>IF(OR(AB19="",多次统计数据!$B$9=""),"",IF(多次统计数据!$B$9&lt;AB19,"低于上限","达到或超过上限"))</f>
        <v/>
      </c>
      <c r="AD19" s="2"/>
      <c r="AE19" s="7" t="str">
        <f t="shared" si="8"/>
        <v/>
      </c>
      <c r="AG19" s="2"/>
      <c r="AH19" s="2"/>
      <c r="AI19" s="2"/>
      <c r="AJ19" s="8" t="str">
        <f t="shared" si="9"/>
        <v/>
      </c>
      <c r="AK19" s="10"/>
      <c r="AL19" s="12"/>
      <c r="AM19" s="10"/>
      <c r="AN19" s="12"/>
      <c r="AO19" s="5" t="str">
        <f t="shared" si="10"/>
        <v/>
      </c>
      <c r="AP19" s="11" t="str">
        <f t="shared" si="11"/>
        <v/>
      </c>
      <c r="AQ19" s="5" t="str">
        <f>IF(A19="","",IF(M19&lt;&gt;"",0,IF(OR(H19="",N19=""),"",MAX(E19-MAX(N19,IFERROR(SUMPRODUCT(MAX(((持仓跟踪!$A$2:$A$497="每日跟踪")*(持仓跟踪!$B$2:$B$497=A19))*持仓跟踪!$S$2:$S$497)),0)),0)*H19+IF(OR(AK19="",AL19=""),0,MAX(AK19-MAX(N19,IFERROR(SUMPRODUCT(MAX(((持仓跟踪!$A$2:$A$497="每日跟踪")*(持仓跟踪!$B$2:$B$497=A19))*持仓跟踪!$S$2:$S$497)),0)),0)*AL19)+IF(OR(AM19="",AN19=""),0,MAX(AM19-MAX(N19,IFERROR(SUMPRODUCT(MAX(((持仓跟踪!$A$2:$A$497="每日跟踪")*(持仓跟踪!$B$2:$B$497=A19))*持仓跟踪!$S$2:$S$497)),0)),0)*AN19))))</f>
        <v/>
      </c>
      <c r="AR19" s="8" t="str">
        <f ca="1">IF(A19="","",IF(OR(E19="",H19=""),"违规：第一批价格或股数缺失",IF(OR(AND(AK19="",AL19&lt;&gt;""),AND(AK19&lt;&gt;"",AL19="")),"违规：第二批价格与股数须成对填写",IF(OR(AND(AM19="",AN19&lt;&gt;""),AND(AM19&lt;&gt;"",AN19="")),"违规：第三批价格与股数须成对填写",IF(AND(OR(AM19&lt;&gt;"",AN19&lt;&gt;""),OR(AK19="",AL19="")),"违规：必须先完成第二批",IF(OR(H19&lt;=0,H19&lt;&gt;INT(H19),MOD(H19,100)&lt;&gt;0,AND(AL19&lt;&gt;"",OR(AL19&lt;=0,AL19&lt;&gt;INT(AL19),MOD(AL19,100)&lt;&gt;0)),AND(AN19&lt;&gt;"",OR(AN19&lt;=0,AN19&lt;&gt;INT(AN19),MOD(AN19,100)&lt;&gt;0))),"违规：股数须为100股整数倍",IF(AND(OR(AL19&lt;&gt;"",AN19&lt;&gt;""),OR(_LockStatus="已锁仓",_LockStatus="解锁信息不完整")),"违规：锁仓期间禁止加仓",IF(AQ19&gt;C19*D19,"违规：超过单笔风险上限",IF(SUM($AQ$2:$AQ$201)&gt;账户数据!$B$7,"违规：超过账户风险上限","通过")))))))))</f>
        <v/>
      </c>
    </row>
    <row r="20" ht="17" spans="1:44">
      <c r="A20" s="2"/>
      <c r="B20" s="2"/>
      <c r="C20" s="10"/>
      <c r="D20" s="6"/>
      <c r="E20" s="10"/>
      <c r="F20" s="8" t="str">
        <f t="shared" si="0"/>
        <v/>
      </c>
      <c r="G20" s="8" t="str">
        <f ca="1"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COUNTIFS(持仓跟踪!$A$2:$A$497,"止损计划",持仓跟踪!$B$2:$B$497,A20,持仓跟踪!$AC$2:$AC$497,"计划有效")=0,"禁止开仓：请先填写止损计划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" s="2"/>
      <c r="I20" s="15"/>
      <c r="J20" s="10"/>
      <c r="K20" s="10"/>
      <c r="L20" s="8" t="str">
        <f t="shared" si="1"/>
        <v/>
      </c>
      <c r="M20" s="15"/>
      <c r="N20" s="10"/>
      <c r="O20" s="10"/>
      <c r="P20" s="10"/>
      <c r="Q20" s="2"/>
      <c r="R20" s="2"/>
      <c r="S20" s="2"/>
      <c r="T20" s="2"/>
      <c r="U20" s="7" t="str">
        <f t="shared" si="2"/>
        <v/>
      </c>
      <c r="V20" s="7" t="str">
        <f t="shared" si="3"/>
        <v/>
      </c>
      <c r="W20" s="22" t="str">
        <f t="shared" si="4"/>
        <v/>
      </c>
      <c r="X20" s="5" t="str">
        <f t="shared" si="5"/>
        <v/>
      </c>
      <c r="Y20" s="7" t="str">
        <f t="shared" si="6"/>
        <v/>
      </c>
      <c r="Z20" s="7" t="str">
        <f>IF(OR(AE20="",多次统计数据!$B$8=""),"",AE20-多次统计数据!$B$8)</f>
        <v/>
      </c>
      <c r="AA20" s="11" t="str">
        <f t="shared" si="7"/>
        <v/>
      </c>
      <c r="AB20" s="7" t="str">
        <f>IF(OR(A20="",多次统计数据!$B$8="",多次统计数据!$B$6&lt;=0,多次统计数据!$B$6&gt;=1),"",1-POWER(1+多次统计数据!$B$8,-多次统计数据!$B$6/(1-多次统计数据!$B$6)))</f>
        <v/>
      </c>
      <c r="AC20" s="8" t="str">
        <f>IF(OR(AB20="",多次统计数据!$B$9=""),"",IF(多次统计数据!$B$9&lt;AB20,"低于上限","达到或超过上限"))</f>
        <v/>
      </c>
      <c r="AD20" s="2"/>
      <c r="AE20" s="7" t="str">
        <f t="shared" si="8"/>
        <v/>
      </c>
      <c r="AG20" s="2"/>
      <c r="AH20" s="2"/>
      <c r="AI20" s="2"/>
      <c r="AJ20" s="8" t="str">
        <f t="shared" si="9"/>
        <v/>
      </c>
      <c r="AK20" s="10"/>
      <c r="AL20" s="12"/>
      <c r="AM20" s="10"/>
      <c r="AN20" s="12"/>
      <c r="AO20" s="5" t="str">
        <f t="shared" si="10"/>
        <v/>
      </c>
      <c r="AP20" s="11" t="str">
        <f t="shared" si="11"/>
        <v/>
      </c>
      <c r="AQ20" s="5" t="str">
        <f>IF(A20="","",IF(M20&lt;&gt;"",0,IF(OR(H20="",N20=""),"",MAX(E20-MAX(N20,IFERROR(SUMPRODUCT(MAX(((持仓跟踪!$A$2:$A$497="每日跟踪")*(持仓跟踪!$B$2:$B$497=A20))*持仓跟踪!$S$2:$S$497)),0)),0)*H20+IF(OR(AK20="",AL20=""),0,MAX(AK20-MAX(N20,IFERROR(SUMPRODUCT(MAX(((持仓跟踪!$A$2:$A$497="每日跟踪")*(持仓跟踪!$B$2:$B$497=A20))*持仓跟踪!$S$2:$S$497)),0)),0)*AL20)+IF(OR(AM20="",AN20=""),0,MAX(AM20-MAX(N20,IFERROR(SUMPRODUCT(MAX(((持仓跟踪!$A$2:$A$497="每日跟踪")*(持仓跟踪!$B$2:$B$497=A20))*持仓跟踪!$S$2:$S$497)),0)),0)*AN20))))</f>
        <v/>
      </c>
      <c r="AR20" s="8" t="str">
        <f ca="1">IF(A20="","",IF(OR(E20="",H20=""),"违规：第一批价格或股数缺失",IF(OR(AND(AK20="",AL20&lt;&gt;""),AND(AK20&lt;&gt;"",AL20="")),"违规：第二批价格与股数须成对填写",IF(OR(AND(AM20="",AN20&lt;&gt;""),AND(AM20&lt;&gt;"",AN20="")),"违规：第三批价格与股数须成对填写",IF(AND(OR(AM20&lt;&gt;"",AN20&lt;&gt;""),OR(AK20="",AL20="")),"违规：必须先完成第二批",IF(OR(H20&lt;=0,H20&lt;&gt;INT(H20),MOD(H20,100)&lt;&gt;0,AND(AL20&lt;&gt;"",OR(AL20&lt;=0,AL20&lt;&gt;INT(AL20),MOD(AL20,100)&lt;&gt;0)),AND(AN20&lt;&gt;"",OR(AN20&lt;=0,AN20&lt;&gt;INT(AN20),MOD(AN20,100)&lt;&gt;0))),"违规：股数须为100股整数倍",IF(AND(OR(AL20&lt;&gt;"",AN20&lt;&gt;""),OR(_LockStatus="已锁仓",_LockStatus="解锁信息不完整")),"违规：锁仓期间禁止加仓",IF(AQ20&gt;C20*D20,"违规：超过单笔风险上限",IF(SUM($AQ$2:$AQ$201)&gt;账户数据!$B$7,"违规：超过账户风险上限","通过")))))))))</f>
        <v/>
      </c>
    </row>
    <row r="21" ht="17" spans="1:44">
      <c r="A21" s="2"/>
      <c r="B21" s="2"/>
      <c r="C21" s="10"/>
      <c r="D21" s="6"/>
      <c r="E21" s="10"/>
      <c r="F21" s="8" t="str">
        <f t="shared" si="0"/>
        <v/>
      </c>
      <c r="G21" s="8" t="str">
        <f ca="1"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COUNTIFS(持仓跟踪!$A$2:$A$497,"止损计划",持仓跟踪!$B$2:$B$497,A21,持仓跟踪!$AC$2:$AC$497,"计划有效")=0,"禁止开仓：请先填写止损计划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1" s="2"/>
      <c r="I21" s="15"/>
      <c r="J21" s="10"/>
      <c r="K21" s="10"/>
      <c r="L21" s="8" t="str">
        <f t="shared" si="1"/>
        <v/>
      </c>
      <c r="M21" s="15"/>
      <c r="N21" s="10"/>
      <c r="O21" s="10"/>
      <c r="P21" s="10"/>
      <c r="Q21" s="2"/>
      <c r="R21" s="2"/>
      <c r="S21" s="2"/>
      <c r="T21" s="2"/>
      <c r="U21" s="7" t="str">
        <f t="shared" si="2"/>
        <v/>
      </c>
      <c r="V21" s="7" t="str">
        <f t="shared" si="3"/>
        <v/>
      </c>
      <c r="W21" s="22" t="str">
        <f t="shared" si="4"/>
        <v/>
      </c>
      <c r="X21" s="5" t="str">
        <f t="shared" si="5"/>
        <v/>
      </c>
      <c r="Y21" s="7" t="str">
        <f t="shared" si="6"/>
        <v/>
      </c>
      <c r="Z21" s="7" t="str">
        <f>IF(OR(AE21="",多次统计数据!$B$8=""),"",AE21-多次统计数据!$B$8)</f>
        <v/>
      </c>
      <c r="AA21" s="11" t="str">
        <f t="shared" si="7"/>
        <v/>
      </c>
      <c r="AB21" s="7" t="str">
        <f>IF(OR(A21="",多次统计数据!$B$8="",多次统计数据!$B$6&lt;=0,多次统计数据!$B$6&gt;=1),"",1-POWER(1+多次统计数据!$B$8,-多次统计数据!$B$6/(1-多次统计数据!$B$6)))</f>
        <v/>
      </c>
      <c r="AC21" s="8" t="str">
        <f>IF(OR(AB21="",多次统计数据!$B$9=""),"",IF(多次统计数据!$B$9&lt;AB21,"低于上限","达到或超过上限"))</f>
        <v/>
      </c>
      <c r="AD21" s="2"/>
      <c r="AE21" s="7" t="str">
        <f t="shared" si="8"/>
        <v/>
      </c>
      <c r="AG21" s="2"/>
      <c r="AH21" s="2"/>
      <c r="AI21" s="2"/>
      <c r="AJ21" s="8" t="str">
        <f t="shared" si="9"/>
        <v/>
      </c>
      <c r="AK21" s="10"/>
      <c r="AL21" s="12"/>
      <c r="AM21" s="10"/>
      <c r="AN21" s="12"/>
      <c r="AO21" s="5" t="str">
        <f t="shared" si="10"/>
        <v/>
      </c>
      <c r="AP21" s="11" t="str">
        <f t="shared" si="11"/>
        <v/>
      </c>
      <c r="AQ21" s="5" t="str">
        <f>IF(A21="","",IF(M21&lt;&gt;"",0,IF(OR(H21="",N21=""),"",MAX(E21-MAX(N21,IFERROR(SUMPRODUCT(MAX(((持仓跟踪!$A$2:$A$497="每日跟踪")*(持仓跟踪!$B$2:$B$497=A21))*持仓跟踪!$S$2:$S$497)),0)),0)*H21+IF(OR(AK21="",AL21=""),0,MAX(AK21-MAX(N21,IFERROR(SUMPRODUCT(MAX(((持仓跟踪!$A$2:$A$497="每日跟踪")*(持仓跟踪!$B$2:$B$497=A21))*持仓跟踪!$S$2:$S$497)),0)),0)*AL21)+IF(OR(AM21="",AN21=""),0,MAX(AM21-MAX(N21,IFERROR(SUMPRODUCT(MAX(((持仓跟踪!$A$2:$A$497="每日跟踪")*(持仓跟踪!$B$2:$B$497=A21))*持仓跟踪!$S$2:$S$497)),0)),0)*AN21))))</f>
        <v/>
      </c>
      <c r="AR21" s="8" t="str">
        <f ca="1">IF(A21="","",IF(OR(E21="",H21=""),"违规：第一批价格或股数缺失",IF(OR(AND(AK21="",AL21&lt;&gt;""),AND(AK21&lt;&gt;"",AL21="")),"违规：第二批价格与股数须成对填写",IF(OR(AND(AM21="",AN21&lt;&gt;""),AND(AM21&lt;&gt;"",AN21="")),"违规：第三批价格与股数须成对填写",IF(AND(OR(AM21&lt;&gt;"",AN21&lt;&gt;""),OR(AK21="",AL21="")),"违规：必须先完成第二批",IF(OR(H21&lt;=0,H21&lt;&gt;INT(H21),MOD(H21,100)&lt;&gt;0,AND(AL21&lt;&gt;"",OR(AL21&lt;=0,AL21&lt;&gt;INT(AL21),MOD(AL21,100)&lt;&gt;0)),AND(AN21&lt;&gt;"",OR(AN21&lt;=0,AN21&lt;&gt;INT(AN21),MOD(AN21,100)&lt;&gt;0))),"违规：股数须为100股整数倍",IF(AND(OR(AL21&lt;&gt;"",AN21&lt;&gt;""),OR(_LockStatus="已锁仓",_LockStatus="解锁信息不完整")),"违规：锁仓期间禁止加仓",IF(AQ21&gt;C21*D21,"违规：超过单笔风险上限",IF(SUM($AQ$2:$AQ$201)&gt;账户数据!$B$7,"违规：超过账户风险上限","通过")))))))))</f>
        <v/>
      </c>
    </row>
    <row r="22" ht="17" spans="1:44">
      <c r="A22" s="2"/>
      <c r="B22" s="2"/>
      <c r="C22" s="10"/>
      <c r="D22" s="6"/>
      <c r="E22" s="10"/>
      <c r="F22" s="8" t="str">
        <f t="shared" si="0"/>
        <v/>
      </c>
      <c r="G22" s="8" t="str">
        <f ca="1"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COUNTIFS(持仓跟踪!$A$2:$A$497,"止损计划",持仓跟踪!$B$2:$B$497,A22,持仓跟踪!$AC$2:$AC$497,"计划有效")=0,"禁止开仓：请先填写止损计划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2" s="2"/>
      <c r="I22" s="15"/>
      <c r="J22" s="10"/>
      <c r="K22" s="10"/>
      <c r="L22" s="8" t="str">
        <f t="shared" si="1"/>
        <v/>
      </c>
      <c r="M22" s="15"/>
      <c r="N22" s="10"/>
      <c r="O22" s="10"/>
      <c r="P22" s="10"/>
      <c r="Q22" s="2"/>
      <c r="R22" s="2"/>
      <c r="S22" s="2"/>
      <c r="T22" s="2"/>
      <c r="U22" s="7" t="str">
        <f t="shared" si="2"/>
        <v/>
      </c>
      <c r="V22" s="7" t="str">
        <f t="shared" si="3"/>
        <v/>
      </c>
      <c r="W22" s="22" t="str">
        <f t="shared" si="4"/>
        <v/>
      </c>
      <c r="X22" s="5" t="str">
        <f t="shared" si="5"/>
        <v/>
      </c>
      <c r="Y22" s="7" t="str">
        <f t="shared" si="6"/>
        <v/>
      </c>
      <c r="Z22" s="7" t="str">
        <f>IF(OR(AE22="",多次统计数据!$B$8=""),"",AE22-多次统计数据!$B$8)</f>
        <v/>
      </c>
      <c r="AA22" s="11" t="str">
        <f t="shared" si="7"/>
        <v/>
      </c>
      <c r="AB22" s="7" t="str">
        <f>IF(OR(A22="",多次统计数据!$B$8="",多次统计数据!$B$6&lt;=0,多次统计数据!$B$6&gt;=1),"",1-POWER(1+多次统计数据!$B$8,-多次统计数据!$B$6/(1-多次统计数据!$B$6)))</f>
        <v/>
      </c>
      <c r="AC22" s="8" t="str">
        <f>IF(OR(AB22="",多次统计数据!$B$9=""),"",IF(多次统计数据!$B$9&lt;AB22,"低于上限","达到或超过上限"))</f>
        <v/>
      </c>
      <c r="AD22" s="2"/>
      <c r="AE22" s="7" t="str">
        <f t="shared" si="8"/>
        <v/>
      </c>
      <c r="AG22" s="2"/>
      <c r="AH22" s="2"/>
      <c r="AI22" s="2"/>
      <c r="AJ22" s="8" t="str">
        <f t="shared" si="9"/>
        <v/>
      </c>
      <c r="AK22" s="10"/>
      <c r="AL22" s="12"/>
      <c r="AM22" s="10"/>
      <c r="AN22" s="12"/>
      <c r="AO22" s="5" t="str">
        <f t="shared" si="10"/>
        <v/>
      </c>
      <c r="AP22" s="11" t="str">
        <f t="shared" si="11"/>
        <v/>
      </c>
      <c r="AQ22" s="5" t="str">
        <f>IF(A22="","",IF(M22&lt;&gt;"",0,IF(OR(H22="",N22=""),"",MAX(E22-MAX(N22,IFERROR(SUMPRODUCT(MAX(((持仓跟踪!$A$2:$A$497="每日跟踪")*(持仓跟踪!$B$2:$B$497=A22))*持仓跟踪!$S$2:$S$497)),0)),0)*H22+IF(OR(AK22="",AL22=""),0,MAX(AK22-MAX(N22,IFERROR(SUMPRODUCT(MAX(((持仓跟踪!$A$2:$A$497="每日跟踪")*(持仓跟踪!$B$2:$B$497=A22))*持仓跟踪!$S$2:$S$497)),0)),0)*AL22)+IF(OR(AM22="",AN22=""),0,MAX(AM22-MAX(N22,IFERROR(SUMPRODUCT(MAX(((持仓跟踪!$A$2:$A$497="每日跟踪")*(持仓跟踪!$B$2:$B$497=A22))*持仓跟踪!$S$2:$S$497)),0)),0)*AN22))))</f>
        <v/>
      </c>
      <c r="AR22" s="8" t="str">
        <f ca="1">IF(A22="","",IF(OR(E22="",H22=""),"违规：第一批价格或股数缺失",IF(OR(AND(AK22="",AL22&lt;&gt;""),AND(AK22&lt;&gt;"",AL22="")),"违规：第二批价格与股数须成对填写",IF(OR(AND(AM22="",AN22&lt;&gt;""),AND(AM22&lt;&gt;"",AN22="")),"违规：第三批价格与股数须成对填写",IF(AND(OR(AM22&lt;&gt;"",AN22&lt;&gt;""),OR(AK22="",AL22="")),"违规：必须先完成第二批",IF(OR(H22&lt;=0,H22&lt;&gt;INT(H22),MOD(H22,100)&lt;&gt;0,AND(AL22&lt;&gt;"",OR(AL22&lt;=0,AL22&lt;&gt;INT(AL22),MOD(AL22,100)&lt;&gt;0)),AND(AN22&lt;&gt;"",OR(AN22&lt;=0,AN22&lt;&gt;INT(AN22),MOD(AN22,100)&lt;&gt;0))),"违规：股数须为100股整数倍",IF(AND(OR(AL22&lt;&gt;"",AN22&lt;&gt;""),OR(_LockStatus="已锁仓",_LockStatus="解锁信息不完整")),"违规：锁仓期间禁止加仓",IF(AQ22&gt;C22*D22,"违规：超过单笔风险上限",IF(SUM($AQ$2:$AQ$201)&gt;账户数据!$B$7,"违规：超过账户风险上限","通过")))))))))</f>
        <v/>
      </c>
    </row>
    <row r="23" ht="17" spans="1:44">
      <c r="A23" s="2"/>
      <c r="B23" s="2"/>
      <c r="C23" s="10"/>
      <c r="D23" s="6"/>
      <c r="E23" s="10"/>
      <c r="F23" s="8" t="str">
        <f t="shared" si="0"/>
        <v/>
      </c>
      <c r="G23" s="8" t="str">
        <f ca="1"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COUNTIFS(持仓跟踪!$A$2:$A$497,"止损计划",持仓跟踪!$B$2:$B$497,A23,持仓跟踪!$AC$2:$AC$497,"计划有效")=0,"禁止开仓：请先填写止损计划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3" s="2"/>
      <c r="I23" s="15"/>
      <c r="J23" s="10"/>
      <c r="K23" s="10"/>
      <c r="L23" s="8" t="str">
        <f t="shared" si="1"/>
        <v/>
      </c>
      <c r="M23" s="15"/>
      <c r="N23" s="10"/>
      <c r="O23" s="10"/>
      <c r="P23" s="10"/>
      <c r="Q23" s="2"/>
      <c r="R23" s="2"/>
      <c r="S23" s="2"/>
      <c r="T23" s="2"/>
      <c r="U23" s="7" t="str">
        <f t="shared" si="2"/>
        <v/>
      </c>
      <c r="V23" s="7" t="str">
        <f t="shared" si="3"/>
        <v/>
      </c>
      <c r="W23" s="22" t="str">
        <f t="shared" si="4"/>
        <v/>
      </c>
      <c r="X23" s="5" t="str">
        <f t="shared" si="5"/>
        <v/>
      </c>
      <c r="Y23" s="7" t="str">
        <f t="shared" si="6"/>
        <v/>
      </c>
      <c r="Z23" s="7" t="str">
        <f>IF(OR(AE23="",多次统计数据!$B$8=""),"",AE23-多次统计数据!$B$8)</f>
        <v/>
      </c>
      <c r="AA23" s="11" t="str">
        <f t="shared" si="7"/>
        <v/>
      </c>
      <c r="AB23" s="7" t="str">
        <f>IF(OR(A23="",多次统计数据!$B$8="",多次统计数据!$B$6&lt;=0,多次统计数据!$B$6&gt;=1),"",1-POWER(1+多次统计数据!$B$8,-多次统计数据!$B$6/(1-多次统计数据!$B$6)))</f>
        <v/>
      </c>
      <c r="AC23" s="8" t="str">
        <f>IF(OR(AB23="",多次统计数据!$B$9=""),"",IF(多次统计数据!$B$9&lt;AB23,"低于上限","达到或超过上限"))</f>
        <v/>
      </c>
      <c r="AD23" s="2"/>
      <c r="AE23" s="7" t="str">
        <f t="shared" si="8"/>
        <v/>
      </c>
      <c r="AG23" s="2"/>
      <c r="AH23" s="2"/>
      <c r="AI23" s="2"/>
      <c r="AJ23" s="8" t="str">
        <f t="shared" si="9"/>
        <v/>
      </c>
      <c r="AK23" s="10"/>
      <c r="AL23" s="12"/>
      <c r="AM23" s="10"/>
      <c r="AN23" s="12"/>
      <c r="AO23" s="5" t="str">
        <f t="shared" si="10"/>
        <v/>
      </c>
      <c r="AP23" s="11" t="str">
        <f t="shared" si="11"/>
        <v/>
      </c>
      <c r="AQ23" s="5" t="str">
        <f>IF(A23="","",IF(M23&lt;&gt;"",0,IF(OR(H23="",N23=""),"",MAX(E23-MAX(N23,IFERROR(SUMPRODUCT(MAX(((持仓跟踪!$A$2:$A$497="每日跟踪")*(持仓跟踪!$B$2:$B$497=A23))*持仓跟踪!$S$2:$S$497)),0)),0)*H23+IF(OR(AK23="",AL23=""),0,MAX(AK23-MAX(N23,IFERROR(SUMPRODUCT(MAX(((持仓跟踪!$A$2:$A$497="每日跟踪")*(持仓跟踪!$B$2:$B$497=A23))*持仓跟踪!$S$2:$S$497)),0)),0)*AL23)+IF(OR(AM23="",AN23=""),0,MAX(AM23-MAX(N23,IFERROR(SUMPRODUCT(MAX(((持仓跟踪!$A$2:$A$497="每日跟踪")*(持仓跟踪!$B$2:$B$497=A23))*持仓跟踪!$S$2:$S$497)),0)),0)*AN23))))</f>
        <v/>
      </c>
      <c r="AR23" s="8" t="str">
        <f ca="1">IF(A23="","",IF(OR(E23="",H23=""),"违规：第一批价格或股数缺失",IF(OR(AND(AK23="",AL23&lt;&gt;""),AND(AK23&lt;&gt;"",AL23="")),"违规：第二批价格与股数须成对填写",IF(OR(AND(AM23="",AN23&lt;&gt;""),AND(AM23&lt;&gt;"",AN23="")),"违规：第三批价格与股数须成对填写",IF(AND(OR(AM23&lt;&gt;"",AN23&lt;&gt;""),OR(AK23="",AL23="")),"违规：必须先完成第二批",IF(OR(H23&lt;=0,H23&lt;&gt;INT(H23),MOD(H23,100)&lt;&gt;0,AND(AL23&lt;&gt;"",OR(AL23&lt;=0,AL23&lt;&gt;INT(AL23),MOD(AL23,100)&lt;&gt;0)),AND(AN23&lt;&gt;"",OR(AN23&lt;=0,AN23&lt;&gt;INT(AN23),MOD(AN23,100)&lt;&gt;0))),"违规：股数须为100股整数倍",IF(AND(OR(AL23&lt;&gt;"",AN23&lt;&gt;""),OR(_LockStatus="已锁仓",_LockStatus="解锁信息不完整")),"违规：锁仓期间禁止加仓",IF(AQ23&gt;C23*D23,"违规：超过单笔风险上限",IF(SUM($AQ$2:$AQ$201)&gt;账户数据!$B$7,"违规：超过账户风险上限","通过")))))))))</f>
        <v/>
      </c>
    </row>
    <row r="24" ht="17" spans="1:44">
      <c r="A24" s="2"/>
      <c r="B24" s="2"/>
      <c r="C24" s="10"/>
      <c r="D24" s="6"/>
      <c r="E24" s="10"/>
      <c r="F24" s="8" t="str">
        <f t="shared" si="0"/>
        <v/>
      </c>
      <c r="G24" s="8" t="str">
        <f ca="1"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COUNTIFS(持仓跟踪!$A$2:$A$497,"止损计划",持仓跟踪!$B$2:$B$497,A24,持仓跟踪!$AC$2:$AC$497,"计划有效")=0,"禁止开仓：请先填写止损计划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4" s="2"/>
      <c r="I24" s="15"/>
      <c r="J24" s="10"/>
      <c r="K24" s="10"/>
      <c r="L24" s="8" t="str">
        <f t="shared" si="1"/>
        <v/>
      </c>
      <c r="M24" s="15"/>
      <c r="N24" s="10"/>
      <c r="O24" s="10"/>
      <c r="P24" s="10"/>
      <c r="Q24" s="2"/>
      <c r="R24" s="2"/>
      <c r="S24" s="2"/>
      <c r="T24" s="2"/>
      <c r="U24" s="7" t="str">
        <f t="shared" si="2"/>
        <v/>
      </c>
      <c r="V24" s="7" t="str">
        <f t="shared" si="3"/>
        <v/>
      </c>
      <c r="W24" s="22" t="str">
        <f t="shared" si="4"/>
        <v/>
      </c>
      <c r="X24" s="5" t="str">
        <f t="shared" si="5"/>
        <v/>
      </c>
      <c r="Y24" s="7" t="str">
        <f t="shared" si="6"/>
        <v/>
      </c>
      <c r="Z24" s="7" t="str">
        <f>IF(OR(AE24="",多次统计数据!$B$8=""),"",AE24-多次统计数据!$B$8)</f>
        <v/>
      </c>
      <c r="AA24" s="11" t="str">
        <f t="shared" si="7"/>
        <v/>
      </c>
      <c r="AB24" s="7" t="str">
        <f>IF(OR(A24="",多次统计数据!$B$8="",多次统计数据!$B$6&lt;=0,多次统计数据!$B$6&gt;=1),"",1-POWER(1+多次统计数据!$B$8,-多次统计数据!$B$6/(1-多次统计数据!$B$6)))</f>
        <v/>
      </c>
      <c r="AC24" s="8" t="str">
        <f>IF(OR(AB24="",多次统计数据!$B$9=""),"",IF(多次统计数据!$B$9&lt;AB24,"低于上限","达到或超过上限"))</f>
        <v/>
      </c>
      <c r="AD24" s="2"/>
      <c r="AE24" s="7" t="str">
        <f t="shared" si="8"/>
        <v/>
      </c>
      <c r="AG24" s="2"/>
      <c r="AH24" s="2"/>
      <c r="AI24" s="2"/>
      <c r="AJ24" s="8" t="str">
        <f t="shared" si="9"/>
        <v/>
      </c>
      <c r="AK24" s="10"/>
      <c r="AL24" s="12"/>
      <c r="AM24" s="10"/>
      <c r="AN24" s="12"/>
      <c r="AO24" s="5" t="str">
        <f t="shared" si="10"/>
        <v/>
      </c>
      <c r="AP24" s="11" t="str">
        <f t="shared" si="11"/>
        <v/>
      </c>
      <c r="AQ24" s="5" t="str">
        <f>IF(A24="","",IF(M24&lt;&gt;"",0,IF(OR(H24="",N24=""),"",MAX(E24-MAX(N24,IFERROR(SUMPRODUCT(MAX(((持仓跟踪!$A$2:$A$497="每日跟踪")*(持仓跟踪!$B$2:$B$497=A24))*持仓跟踪!$S$2:$S$497)),0)),0)*H24+IF(OR(AK24="",AL24=""),0,MAX(AK24-MAX(N24,IFERROR(SUMPRODUCT(MAX(((持仓跟踪!$A$2:$A$497="每日跟踪")*(持仓跟踪!$B$2:$B$497=A24))*持仓跟踪!$S$2:$S$497)),0)),0)*AL24)+IF(OR(AM24="",AN24=""),0,MAX(AM24-MAX(N24,IFERROR(SUMPRODUCT(MAX(((持仓跟踪!$A$2:$A$497="每日跟踪")*(持仓跟踪!$B$2:$B$497=A24))*持仓跟踪!$S$2:$S$497)),0)),0)*AN24))))</f>
        <v/>
      </c>
      <c r="AR24" s="8" t="str">
        <f ca="1">IF(A24="","",IF(OR(E24="",H24=""),"违规：第一批价格或股数缺失",IF(OR(AND(AK24="",AL24&lt;&gt;""),AND(AK24&lt;&gt;"",AL24="")),"违规：第二批价格与股数须成对填写",IF(OR(AND(AM24="",AN24&lt;&gt;""),AND(AM24&lt;&gt;"",AN24="")),"违规：第三批价格与股数须成对填写",IF(AND(OR(AM24&lt;&gt;"",AN24&lt;&gt;""),OR(AK24="",AL24="")),"违规：必须先完成第二批",IF(OR(H24&lt;=0,H24&lt;&gt;INT(H24),MOD(H24,100)&lt;&gt;0,AND(AL24&lt;&gt;"",OR(AL24&lt;=0,AL24&lt;&gt;INT(AL24),MOD(AL24,100)&lt;&gt;0)),AND(AN24&lt;&gt;"",OR(AN24&lt;=0,AN24&lt;&gt;INT(AN24),MOD(AN24,100)&lt;&gt;0))),"违规：股数须为100股整数倍",IF(AND(OR(AL24&lt;&gt;"",AN24&lt;&gt;""),OR(_LockStatus="已锁仓",_LockStatus="解锁信息不完整")),"违规：锁仓期间禁止加仓",IF(AQ24&gt;C24*D24,"违规：超过单笔风险上限",IF(SUM($AQ$2:$AQ$201)&gt;账户数据!$B$7,"违规：超过账户风险上限","通过")))))))))</f>
        <v/>
      </c>
    </row>
    <row r="25" ht="17" spans="1:44">
      <c r="A25" s="2"/>
      <c r="B25" s="2"/>
      <c r="C25" s="10"/>
      <c r="D25" s="6"/>
      <c r="E25" s="10"/>
      <c r="F25" s="8" t="str">
        <f t="shared" si="0"/>
        <v/>
      </c>
      <c r="G25" s="8" t="str">
        <f ca="1"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COUNTIFS(持仓跟踪!$A$2:$A$497,"止损计划",持仓跟踪!$B$2:$B$497,A25,持仓跟踪!$AC$2:$AC$497,"计划有效")=0,"禁止开仓：请先填写止损计划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5" s="2"/>
      <c r="I25" s="15"/>
      <c r="J25" s="10"/>
      <c r="K25" s="10"/>
      <c r="L25" s="8" t="str">
        <f t="shared" si="1"/>
        <v/>
      </c>
      <c r="M25" s="15"/>
      <c r="N25" s="10"/>
      <c r="O25" s="10"/>
      <c r="P25" s="10"/>
      <c r="Q25" s="2"/>
      <c r="R25" s="2"/>
      <c r="S25" s="2"/>
      <c r="T25" s="2"/>
      <c r="U25" s="7" t="str">
        <f t="shared" si="2"/>
        <v/>
      </c>
      <c r="V25" s="7" t="str">
        <f t="shared" si="3"/>
        <v/>
      </c>
      <c r="W25" s="22" t="str">
        <f t="shared" si="4"/>
        <v/>
      </c>
      <c r="X25" s="5" t="str">
        <f t="shared" si="5"/>
        <v/>
      </c>
      <c r="Y25" s="7" t="str">
        <f t="shared" si="6"/>
        <v/>
      </c>
      <c r="Z25" s="7" t="str">
        <f>IF(OR(AE25="",多次统计数据!$B$8=""),"",AE25-多次统计数据!$B$8)</f>
        <v/>
      </c>
      <c r="AA25" s="11" t="str">
        <f t="shared" si="7"/>
        <v/>
      </c>
      <c r="AB25" s="7" t="str">
        <f>IF(OR(A25="",多次统计数据!$B$8="",多次统计数据!$B$6&lt;=0,多次统计数据!$B$6&gt;=1),"",1-POWER(1+多次统计数据!$B$8,-多次统计数据!$B$6/(1-多次统计数据!$B$6)))</f>
        <v/>
      </c>
      <c r="AC25" s="8" t="str">
        <f>IF(OR(AB25="",多次统计数据!$B$9=""),"",IF(多次统计数据!$B$9&lt;AB25,"低于上限","达到或超过上限"))</f>
        <v/>
      </c>
      <c r="AD25" s="2"/>
      <c r="AE25" s="7" t="str">
        <f t="shared" si="8"/>
        <v/>
      </c>
      <c r="AG25" s="2"/>
      <c r="AH25" s="2"/>
      <c r="AI25" s="2"/>
      <c r="AJ25" s="8" t="str">
        <f t="shared" si="9"/>
        <v/>
      </c>
      <c r="AK25" s="10"/>
      <c r="AL25" s="12"/>
      <c r="AM25" s="10"/>
      <c r="AN25" s="12"/>
      <c r="AO25" s="5" t="str">
        <f t="shared" si="10"/>
        <v/>
      </c>
      <c r="AP25" s="11" t="str">
        <f t="shared" si="11"/>
        <v/>
      </c>
      <c r="AQ25" s="5" t="str">
        <f>IF(A25="","",IF(M25&lt;&gt;"",0,IF(OR(H25="",N25=""),"",MAX(E25-MAX(N25,IFERROR(SUMPRODUCT(MAX(((持仓跟踪!$A$2:$A$497="每日跟踪")*(持仓跟踪!$B$2:$B$497=A25))*持仓跟踪!$S$2:$S$497)),0)),0)*H25+IF(OR(AK25="",AL25=""),0,MAX(AK25-MAX(N25,IFERROR(SUMPRODUCT(MAX(((持仓跟踪!$A$2:$A$497="每日跟踪")*(持仓跟踪!$B$2:$B$497=A25))*持仓跟踪!$S$2:$S$497)),0)),0)*AL25)+IF(OR(AM25="",AN25=""),0,MAX(AM25-MAX(N25,IFERROR(SUMPRODUCT(MAX(((持仓跟踪!$A$2:$A$497="每日跟踪")*(持仓跟踪!$B$2:$B$497=A25))*持仓跟踪!$S$2:$S$497)),0)),0)*AN25))))</f>
        <v/>
      </c>
      <c r="AR25" s="8" t="str">
        <f ca="1">IF(A25="","",IF(OR(E25="",H25=""),"违规：第一批价格或股数缺失",IF(OR(AND(AK25="",AL25&lt;&gt;""),AND(AK25&lt;&gt;"",AL25="")),"违规：第二批价格与股数须成对填写",IF(OR(AND(AM25="",AN25&lt;&gt;""),AND(AM25&lt;&gt;"",AN25="")),"违规：第三批价格与股数须成对填写",IF(AND(OR(AM25&lt;&gt;"",AN25&lt;&gt;""),OR(AK25="",AL25="")),"违规：必须先完成第二批",IF(OR(H25&lt;=0,H25&lt;&gt;INT(H25),MOD(H25,100)&lt;&gt;0,AND(AL25&lt;&gt;"",OR(AL25&lt;=0,AL25&lt;&gt;INT(AL25),MOD(AL25,100)&lt;&gt;0)),AND(AN25&lt;&gt;"",OR(AN25&lt;=0,AN25&lt;&gt;INT(AN25),MOD(AN25,100)&lt;&gt;0))),"违规：股数须为100股整数倍",IF(AND(OR(AL25&lt;&gt;"",AN25&lt;&gt;""),OR(_LockStatus="已锁仓",_LockStatus="解锁信息不完整")),"违规：锁仓期间禁止加仓",IF(AQ25&gt;C25*D25,"违规：超过单笔风险上限",IF(SUM($AQ$2:$AQ$201)&gt;账户数据!$B$7,"违规：超过账户风险上限","通过")))))))))</f>
        <v/>
      </c>
    </row>
    <row r="26" ht="17" spans="1:44">
      <c r="A26" s="2"/>
      <c r="B26" s="2"/>
      <c r="C26" s="10"/>
      <c r="D26" s="6"/>
      <c r="E26" s="10"/>
      <c r="F26" s="8" t="str">
        <f t="shared" si="0"/>
        <v/>
      </c>
      <c r="G26" s="8" t="str">
        <f ca="1"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COUNTIFS(持仓跟踪!$A$2:$A$497,"止损计划",持仓跟踪!$B$2:$B$497,A26,持仓跟踪!$AC$2:$AC$497,"计划有效")=0,"禁止开仓：请先填写止损计划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6" s="2"/>
      <c r="I26" s="15"/>
      <c r="J26" s="10"/>
      <c r="K26" s="10"/>
      <c r="L26" s="8" t="str">
        <f t="shared" si="1"/>
        <v/>
      </c>
      <c r="M26" s="15"/>
      <c r="N26" s="10"/>
      <c r="O26" s="10"/>
      <c r="P26" s="10"/>
      <c r="Q26" s="2"/>
      <c r="R26" s="2"/>
      <c r="S26" s="2"/>
      <c r="T26" s="2"/>
      <c r="U26" s="7" t="str">
        <f t="shared" si="2"/>
        <v/>
      </c>
      <c r="V26" s="7" t="str">
        <f t="shared" si="3"/>
        <v/>
      </c>
      <c r="W26" s="22" t="str">
        <f t="shared" si="4"/>
        <v/>
      </c>
      <c r="X26" s="5" t="str">
        <f t="shared" si="5"/>
        <v/>
      </c>
      <c r="Y26" s="7" t="str">
        <f t="shared" si="6"/>
        <v/>
      </c>
      <c r="Z26" s="7" t="str">
        <f>IF(OR(AE26="",多次统计数据!$B$8=""),"",AE26-多次统计数据!$B$8)</f>
        <v/>
      </c>
      <c r="AA26" s="11" t="str">
        <f t="shared" si="7"/>
        <v/>
      </c>
      <c r="AB26" s="7" t="str">
        <f>IF(OR(A26="",多次统计数据!$B$8="",多次统计数据!$B$6&lt;=0,多次统计数据!$B$6&gt;=1),"",1-POWER(1+多次统计数据!$B$8,-多次统计数据!$B$6/(1-多次统计数据!$B$6)))</f>
        <v/>
      </c>
      <c r="AC26" s="8" t="str">
        <f>IF(OR(AB26="",多次统计数据!$B$9=""),"",IF(多次统计数据!$B$9&lt;AB26,"低于上限","达到或超过上限"))</f>
        <v/>
      </c>
      <c r="AD26" s="2"/>
      <c r="AE26" s="7" t="str">
        <f t="shared" si="8"/>
        <v/>
      </c>
      <c r="AG26" s="2"/>
      <c r="AH26" s="2"/>
      <c r="AI26" s="2"/>
      <c r="AJ26" s="8" t="str">
        <f t="shared" si="9"/>
        <v/>
      </c>
      <c r="AK26" s="10"/>
      <c r="AL26" s="12"/>
      <c r="AM26" s="10"/>
      <c r="AN26" s="12"/>
      <c r="AO26" s="5" t="str">
        <f t="shared" si="10"/>
        <v/>
      </c>
      <c r="AP26" s="11" t="str">
        <f t="shared" si="11"/>
        <v/>
      </c>
      <c r="AQ26" s="5" t="str">
        <f>IF(A26="","",IF(M26&lt;&gt;"",0,IF(OR(H26="",N26=""),"",MAX(E26-MAX(N26,IFERROR(SUMPRODUCT(MAX(((持仓跟踪!$A$2:$A$497="每日跟踪")*(持仓跟踪!$B$2:$B$497=A26))*持仓跟踪!$S$2:$S$497)),0)),0)*H26+IF(OR(AK26="",AL26=""),0,MAX(AK26-MAX(N26,IFERROR(SUMPRODUCT(MAX(((持仓跟踪!$A$2:$A$497="每日跟踪")*(持仓跟踪!$B$2:$B$497=A26))*持仓跟踪!$S$2:$S$497)),0)),0)*AL26)+IF(OR(AM26="",AN26=""),0,MAX(AM26-MAX(N26,IFERROR(SUMPRODUCT(MAX(((持仓跟踪!$A$2:$A$497="每日跟踪")*(持仓跟踪!$B$2:$B$497=A26))*持仓跟踪!$S$2:$S$497)),0)),0)*AN26))))</f>
        <v/>
      </c>
      <c r="AR26" s="8" t="str">
        <f ca="1">IF(A26="","",IF(OR(E26="",H26=""),"违规：第一批价格或股数缺失",IF(OR(AND(AK26="",AL26&lt;&gt;""),AND(AK26&lt;&gt;"",AL26="")),"违规：第二批价格与股数须成对填写",IF(OR(AND(AM26="",AN26&lt;&gt;""),AND(AM26&lt;&gt;"",AN26="")),"违规：第三批价格与股数须成对填写",IF(AND(OR(AM26&lt;&gt;"",AN26&lt;&gt;""),OR(AK26="",AL26="")),"违规：必须先完成第二批",IF(OR(H26&lt;=0,H26&lt;&gt;INT(H26),MOD(H26,100)&lt;&gt;0,AND(AL26&lt;&gt;"",OR(AL26&lt;=0,AL26&lt;&gt;INT(AL26),MOD(AL26,100)&lt;&gt;0)),AND(AN26&lt;&gt;"",OR(AN26&lt;=0,AN26&lt;&gt;INT(AN26),MOD(AN26,100)&lt;&gt;0))),"违规：股数须为100股整数倍",IF(AND(OR(AL26&lt;&gt;"",AN26&lt;&gt;""),OR(_LockStatus="已锁仓",_LockStatus="解锁信息不完整")),"违规：锁仓期间禁止加仓",IF(AQ26&gt;C26*D26,"违规：超过单笔风险上限",IF(SUM($AQ$2:$AQ$201)&gt;账户数据!$B$7,"违规：超过账户风险上限","通过")))))))))</f>
        <v/>
      </c>
    </row>
    <row r="27" ht="17" spans="1:44">
      <c r="A27" s="2"/>
      <c r="B27" s="2"/>
      <c r="C27" s="10"/>
      <c r="D27" s="6"/>
      <c r="E27" s="10"/>
      <c r="F27" s="8" t="str">
        <f t="shared" si="0"/>
        <v/>
      </c>
      <c r="G27" s="8" t="str">
        <f ca="1"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COUNTIFS(持仓跟踪!$A$2:$A$497,"止损计划",持仓跟踪!$B$2:$B$497,A27,持仓跟踪!$AC$2:$AC$497,"计划有效")=0,"禁止开仓：请先填写止损计划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7" s="2"/>
      <c r="I27" s="15"/>
      <c r="J27" s="10"/>
      <c r="K27" s="10"/>
      <c r="L27" s="8" t="str">
        <f t="shared" si="1"/>
        <v/>
      </c>
      <c r="M27" s="15"/>
      <c r="N27" s="10"/>
      <c r="O27" s="10"/>
      <c r="P27" s="10"/>
      <c r="Q27" s="2"/>
      <c r="R27" s="2"/>
      <c r="S27" s="2"/>
      <c r="T27" s="2"/>
      <c r="U27" s="7" t="str">
        <f t="shared" si="2"/>
        <v/>
      </c>
      <c r="V27" s="7" t="str">
        <f t="shared" si="3"/>
        <v/>
      </c>
      <c r="W27" s="22" t="str">
        <f t="shared" si="4"/>
        <v/>
      </c>
      <c r="X27" s="5" t="str">
        <f t="shared" si="5"/>
        <v/>
      </c>
      <c r="Y27" s="7" t="str">
        <f t="shared" si="6"/>
        <v/>
      </c>
      <c r="Z27" s="7" t="str">
        <f>IF(OR(AE27="",多次统计数据!$B$8=""),"",AE27-多次统计数据!$B$8)</f>
        <v/>
      </c>
      <c r="AA27" s="11" t="str">
        <f t="shared" si="7"/>
        <v/>
      </c>
      <c r="AB27" s="7" t="str">
        <f>IF(OR(A27="",多次统计数据!$B$8="",多次统计数据!$B$6&lt;=0,多次统计数据!$B$6&gt;=1),"",1-POWER(1+多次统计数据!$B$8,-多次统计数据!$B$6/(1-多次统计数据!$B$6)))</f>
        <v/>
      </c>
      <c r="AC27" s="8" t="str">
        <f>IF(OR(AB27="",多次统计数据!$B$9=""),"",IF(多次统计数据!$B$9&lt;AB27,"低于上限","达到或超过上限"))</f>
        <v/>
      </c>
      <c r="AD27" s="2"/>
      <c r="AE27" s="7" t="str">
        <f t="shared" si="8"/>
        <v/>
      </c>
      <c r="AG27" s="2"/>
      <c r="AH27" s="2"/>
      <c r="AI27" s="2"/>
      <c r="AJ27" s="8" t="str">
        <f t="shared" si="9"/>
        <v/>
      </c>
      <c r="AK27" s="10"/>
      <c r="AL27" s="12"/>
      <c r="AM27" s="10"/>
      <c r="AN27" s="12"/>
      <c r="AO27" s="5" t="str">
        <f t="shared" si="10"/>
        <v/>
      </c>
      <c r="AP27" s="11" t="str">
        <f t="shared" si="11"/>
        <v/>
      </c>
      <c r="AQ27" s="5" t="str">
        <f>IF(A27="","",IF(M27&lt;&gt;"",0,IF(OR(H27="",N27=""),"",MAX(E27-MAX(N27,IFERROR(SUMPRODUCT(MAX(((持仓跟踪!$A$2:$A$497="每日跟踪")*(持仓跟踪!$B$2:$B$497=A27))*持仓跟踪!$S$2:$S$497)),0)),0)*H27+IF(OR(AK27="",AL27=""),0,MAX(AK27-MAX(N27,IFERROR(SUMPRODUCT(MAX(((持仓跟踪!$A$2:$A$497="每日跟踪")*(持仓跟踪!$B$2:$B$497=A27))*持仓跟踪!$S$2:$S$497)),0)),0)*AL27)+IF(OR(AM27="",AN27=""),0,MAX(AM27-MAX(N27,IFERROR(SUMPRODUCT(MAX(((持仓跟踪!$A$2:$A$497="每日跟踪")*(持仓跟踪!$B$2:$B$497=A27))*持仓跟踪!$S$2:$S$497)),0)),0)*AN27))))</f>
        <v/>
      </c>
      <c r="AR27" s="8" t="str">
        <f ca="1">IF(A27="","",IF(OR(E27="",H27=""),"违规：第一批价格或股数缺失",IF(OR(AND(AK27="",AL27&lt;&gt;""),AND(AK27&lt;&gt;"",AL27="")),"违规：第二批价格与股数须成对填写",IF(OR(AND(AM27="",AN27&lt;&gt;""),AND(AM27&lt;&gt;"",AN27="")),"违规：第三批价格与股数须成对填写",IF(AND(OR(AM27&lt;&gt;"",AN27&lt;&gt;""),OR(AK27="",AL27="")),"违规：必须先完成第二批",IF(OR(H27&lt;=0,H27&lt;&gt;INT(H27),MOD(H27,100)&lt;&gt;0,AND(AL27&lt;&gt;"",OR(AL27&lt;=0,AL27&lt;&gt;INT(AL27),MOD(AL27,100)&lt;&gt;0)),AND(AN27&lt;&gt;"",OR(AN27&lt;=0,AN27&lt;&gt;INT(AN27),MOD(AN27,100)&lt;&gt;0))),"违规：股数须为100股整数倍",IF(AND(OR(AL27&lt;&gt;"",AN27&lt;&gt;""),OR(_LockStatus="已锁仓",_LockStatus="解锁信息不完整")),"违规：锁仓期间禁止加仓",IF(AQ27&gt;C27*D27,"违规：超过单笔风险上限",IF(SUM($AQ$2:$AQ$201)&gt;账户数据!$B$7,"违规：超过账户风险上限","通过")))))))))</f>
        <v/>
      </c>
    </row>
    <row r="28" ht="17" spans="1:44">
      <c r="A28" s="2"/>
      <c r="B28" s="2"/>
      <c r="C28" s="10"/>
      <c r="D28" s="6"/>
      <c r="E28" s="10"/>
      <c r="F28" s="8" t="str">
        <f t="shared" si="0"/>
        <v/>
      </c>
      <c r="G28" s="8" t="str">
        <f ca="1"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COUNTIFS(持仓跟踪!$A$2:$A$497,"止损计划",持仓跟踪!$B$2:$B$497,A28,持仓跟踪!$AC$2:$AC$497,"计划有效")=0,"禁止开仓：请先填写止损计划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8" s="2"/>
      <c r="I28" s="15"/>
      <c r="J28" s="10"/>
      <c r="K28" s="10"/>
      <c r="L28" s="8" t="str">
        <f t="shared" si="1"/>
        <v/>
      </c>
      <c r="M28" s="15"/>
      <c r="N28" s="10"/>
      <c r="O28" s="10"/>
      <c r="P28" s="10"/>
      <c r="Q28" s="2"/>
      <c r="R28" s="2"/>
      <c r="S28" s="2"/>
      <c r="T28" s="2"/>
      <c r="U28" s="7" t="str">
        <f t="shared" si="2"/>
        <v/>
      </c>
      <c r="V28" s="7" t="str">
        <f t="shared" si="3"/>
        <v/>
      </c>
      <c r="W28" s="22" t="str">
        <f t="shared" si="4"/>
        <v/>
      </c>
      <c r="X28" s="5" t="str">
        <f t="shared" si="5"/>
        <v/>
      </c>
      <c r="Y28" s="7" t="str">
        <f t="shared" si="6"/>
        <v/>
      </c>
      <c r="Z28" s="7" t="str">
        <f>IF(OR(AE28="",多次统计数据!$B$8=""),"",AE28-多次统计数据!$B$8)</f>
        <v/>
      </c>
      <c r="AA28" s="11" t="str">
        <f t="shared" si="7"/>
        <v/>
      </c>
      <c r="AB28" s="7" t="str">
        <f>IF(OR(A28="",多次统计数据!$B$8="",多次统计数据!$B$6&lt;=0,多次统计数据!$B$6&gt;=1),"",1-POWER(1+多次统计数据!$B$8,-多次统计数据!$B$6/(1-多次统计数据!$B$6)))</f>
        <v/>
      </c>
      <c r="AC28" s="8" t="str">
        <f>IF(OR(AB28="",多次统计数据!$B$9=""),"",IF(多次统计数据!$B$9&lt;AB28,"低于上限","达到或超过上限"))</f>
        <v/>
      </c>
      <c r="AD28" s="2"/>
      <c r="AE28" s="7" t="str">
        <f t="shared" si="8"/>
        <v/>
      </c>
      <c r="AG28" s="2"/>
      <c r="AH28" s="2"/>
      <c r="AI28" s="2"/>
      <c r="AJ28" s="8" t="str">
        <f t="shared" si="9"/>
        <v/>
      </c>
      <c r="AK28" s="10"/>
      <c r="AL28" s="12"/>
      <c r="AM28" s="10"/>
      <c r="AN28" s="12"/>
      <c r="AO28" s="5" t="str">
        <f t="shared" si="10"/>
        <v/>
      </c>
      <c r="AP28" s="11" t="str">
        <f t="shared" si="11"/>
        <v/>
      </c>
      <c r="AQ28" s="5" t="str">
        <f>IF(A28="","",IF(M28&lt;&gt;"",0,IF(OR(H28="",N28=""),"",MAX(E28-MAX(N28,IFERROR(SUMPRODUCT(MAX(((持仓跟踪!$A$2:$A$497="每日跟踪")*(持仓跟踪!$B$2:$B$497=A28))*持仓跟踪!$S$2:$S$497)),0)),0)*H28+IF(OR(AK28="",AL28=""),0,MAX(AK28-MAX(N28,IFERROR(SUMPRODUCT(MAX(((持仓跟踪!$A$2:$A$497="每日跟踪")*(持仓跟踪!$B$2:$B$497=A28))*持仓跟踪!$S$2:$S$497)),0)),0)*AL28)+IF(OR(AM28="",AN28=""),0,MAX(AM28-MAX(N28,IFERROR(SUMPRODUCT(MAX(((持仓跟踪!$A$2:$A$497="每日跟踪")*(持仓跟踪!$B$2:$B$497=A28))*持仓跟踪!$S$2:$S$497)),0)),0)*AN28))))</f>
        <v/>
      </c>
      <c r="AR28" s="8" t="str">
        <f ca="1">IF(A28="","",IF(OR(E28="",H28=""),"违规：第一批价格或股数缺失",IF(OR(AND(AK28="",AL28&lt;&gt;""),AND(AK28&lt;&gt;"",AL28="")),"违规：第二批价格与股数须成对填写",IF(OR(AND(AM28="",AN28&lt;&gt;""),AND(AM28&lt;&gt;"",AN28="")),"违规：第三批价格与股数须成对填写",IF(AND(OR(AM28&lt;&gt;"",AN28&lt;&gt;""),OR(AK28="",AL28="")),"违规：必须先完成第二批",IF(OR(H28&lt;=0,H28&lt;&gt;INT(H28),MOD(H28,100)&lt;&gt;0,AND(AL28&lt;&gt;"",OR(AL28&lt;=0,AL28&lt;&gt;INT(AL28),MOD(AL28,100)&lt;&gt;0)),AND(AN28&lt;&gt;"",OR(AN28&lt;=0,AN28&lt;&gt;INT(AN28),MOD(AN28,100)&lt;&gt;0))),"违规：股数须为100股整数倍",IF(AND(OR(AL28&lt;&gt;"",AN28&lt;&gt;""),OR(_LockStatus="已锁仓",_LockStatus="解锁信息不完整")),"违规：锁仓期间禁止加仓",IF(AQ28&gt;C28*D28,"违规：超过单笔风险上限",IF(SUM($AQ$2:$AQ$201)&gt;账户数据!$B$7,"违规：超过账户风险上限","通过")))))))))</f>
        <v/>
      </c>
    </row>
    <row r="29" ht="17" spans="1:44">
      <c r="A29" s="2"/>
      <c r="B29" s="2"/>
      <c r="C29" s="10"/>
      <c r="D29" s="6"/>
      <c r="E29" s="10"/>
      <c r="F29" s="8" t="str">
        <f t="shared" si="0"/>
        <v/>
      </c>
      <c r="G29" s="8" t="str">
        <f ca="1"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COUNTIFS(持仓跟踪!$A$2:$A$497,"止损计划",持仓跟踪!$B$2:$B$497,A29,持仓跟踪!$AC$2:$AC$497,"计划有效")=0,"禁止开仓：请先填写止损计划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9" s="2"/>
      <c r="I29" s="15"/>
      <c r="J29" s="10"/>
      <c r="K29" s="10"/>
      <c r="L29" s="8" t="str">
        <f t="shared" si="1"/>
        <v/>
      </c>
      <c r="M29" s="15"/>
      <c r="N29" s="10"/>
      <c r="O29" s="10"/>
      <c r="P29" s="10"/>
      <c r="Q29" s="2"/>
      <c r="R29" s="2"/>
      <c r="S29" s="2"/>
      <c r="T29" s="2"/>
      <c r="U29" s="7" t="str">
        <f t="shared" si="2"/>
        <v/>
      </c>
      <c r="V29" s="7" t="str">
        <f t="shared" si="3"/>
        <v/>
      </c>
      <c r="W29" s="22" t="str">
        <f t="shared" si="4"/>
        <v/>
      </c>
      <c r="X29" s="5" t="str">
        <f t="shared" si="5"/>
        <v/>
      </c>
      <c r="Y29" s="7" t="str">
        <f t="shared" si="6"/>
        <v/>
      </c>
      <c r="Z29" s="7" t="str">
        <f>IF(OR(AE29="",多次统计数据!$B$8=""),"",AE29-多次统计数据!$B$8)</f>
        <v/>
      </c>
      <c r="AA29" s="11" t="str">
        <f t="shared" si="7"/>
        <v/>
      </c>
      <c r="AB29" s="7" t="str">
        <f>IF(OR(A29="",多次统计数据!$B$8="",多次统计数据!$B$6&lt;=0,多次统计数据!$B$6&gt;=1),"",1-POWER(1+多次统计数据!$B$8,-多次统计数据!$B$6/(1-多次统计数据!$B$6)))</f>
        <v/>
      </c>
      <c r="AC29" s="8" t="str">
        <f>IF(OR(AB29="",多次统计数据!$B$9=""),"",IF(多次统计数据!$B$9&lt;AB29,"低于上限","达到或超过上限"))</f>
        <v/>
      </c>
      <c r="AD29" s="2"/>
      <c r="AE29" s="7" t="str">
        <f t="shared" si="8"/>
        <v/>
      </c>
      <c r="AG29" s="2"/>
      <c r="AH29" s="2"/>
      <c r="AI29" s="2"/>
      <c r="AJ29" s="8" t="str">
        <f t="shared" si="9"/>
        <v/>
      </c>
      <c r="AK29" s="10"/>
      <c r="AL29" s="12"/>
      <c r="AM29" s="10"/>
      <c r="AN29" s="12"/>
      <c r="AO29" s="5" t="str">
        <f t="shared" si="10"/>
        <v/>
      </c>
      <c r="AP29" s="11" t="str">
        <f t="shared" si="11"/>
        <v/>
      </c>
      <c r="AQ29" s="5" t="str">
        <f>IF(A29="","",IF(M29&lt;&gt;"",0,IF(OR(H29="",N29=""),"",MAX(E29-MAX(N29,IFERROR(SUMPRODUCT(MAX(((持仓跟踪!$A$2:$A$497="每日跟踪")*(持仓跟踪!$B$2:$B$497=A29))*持仓跟踪!$S$2:$S$497)),0)),0)*H29+IF(OR(AK29="",AL29=""),0,MAX(AK29-MAX(N29,IFERROR(SUMPRODUCT(MAX(((持仓跟踪!$A$2:$A$497="每日跟踪")*(持仓跟踪!$B$2:$B$497=A29))*持仓跟踪!$S$2:$S$497)),0)),0)*AL29)+IF(OR(AM29="",AN29=""),0,MAX(AM29-MAX(N29,IFERROR(SUMPRODUCT(MAX(((持仓跟踪!$A$2:$A$497="每日跟踪")*(持仓跟踪!$B$2:$B$497=A29))*持仓跟踪!$S$2:$S$497)),0)),0)*AN29))))</f>
        <v/>
      </c>
      <c r="AR29" s="8" t="str">
        <f ca="1">IF(A29="","",IF(OR(E29="",H29=""),"违规：第一批价格或股数缺失",IF(OR(AND(AK29="",AL29&lt;&gt;""),AND(AK29&lt;&gt;"",AL29="")),"违规：第二批价格与股数须成对填写",IF(OR(AND(AM29="",AN29&lt;&gt;""),AND(AM29&lt;&gt;"",AN29="")),"违规：第三批价格与股数须成对填写",IF(AND(OR(AM29&lt;&gt;"",AN29&lt;&gt;""),OR(AK29="",AL29="")),"违规：必须先完成第二批",IF(OR(H29&lt;=0,H29&lt;&gt;INT(H29),MOD(H29,100)&lt;&gt;0,AND(AL29&lt;&gt;"",OR(AL29&lt;=0,AL29&lt;&gt;INT(AL29),MOD(AL29,100)&lt;&gt;0)),AND(AN29&lt;&gt;"",OR(AN29&lt;=0,AN29&lt;&gt;INT(AN29),MOD(AN29,100)&lt;&gt;0))),"违规：股数须为100股整数倍",IF(AND(OR(AL29&lt;&gt;"",AN29&lt;&gt;""),OR(_LockStatus="已锁仓",_LockStatus="解锁信息不完整")),"违规：锁仓期间禁止加仓",IF(AQ29&gt;C29*D29,"违规：超过单笔风险上限",IF(SUM($AQ$2:$AQ$201)&gt;账户数据!$B$7,"违规：超过账户风险上限","通过")))))))))</f>
        <v/>
      </c>
    </row>
    <row r="30" ht="17" spans="1:44">
      <c r="A30" s="2"/>
      <c r="B30" s="2"/>
      <c r="C30" s="10"/>
      <c r="D30" s="6"/>
      <c r="E30" s="10"/>
      <c r="F30" s="8" t="str">
        <f t="shared" si="0"/>
        <v/>
      </c>
      <c r="G30" s="8" t="str">
        <f ca="1"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COUNTIFS(持仓跟踪!$A$2:$A$497,"止损计划",持仓跟踪!$B$2:$B$497,A30,持仓跟踪!$AC$2:$AC$497,"计划有效")=0,"禁止开仓：请先填写止损计划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0" s="2"/>
      <c r="I30" s="15"/>
      <c r="J30" s="10"/>
      <c r="K30" s="10"/>
      <c r="L30" s="8" t="str">
        <f t="shared" si="1"/>
        <v/>
      </c>
      <c r="M30" s="15"/>
      <c r="N30" s="10"/>
      <c r="O30" s="10"/>
      <c r="P30" s="10"/>
      <c r="Q30" s="2"/>
      <c r="R30" s="2"/>
      <c r="S30" s="2"/>
      <c r="T30" s="2"/>
      <c r="U30" s="7" t="str">
        <f t="shared" si="2"/>
        <v/>
      </c>
      <c r="V30" s="7" t="str">
        <f t="shared" si="3"/>
        <v/>
      </c>
      <c r="W30" s="22" t="str">
        <f t="shared" si="4"/>
        <v/>
      </c>
      <c r="X30" s="5" t="str">
        <f t="shared" si="5"/>
        <v/>
      </c>
      <c r="Y30" s="7" t="str">
        <f t="shared" si="6"/>
        <v/>
      </c>
      <c r="Z30" s="7" t="str">
        <f>IF(OR(AE30="",多次统计数据!$B$8=""),"",AE30-多次统计数据!$B$8)</f>
        <v/>
      </c>
      <c r="AA30" s="11" t="str">
        <f t="shared" si="7"/>
        <v/>
      </c>
      <c r="AB30" s="7" t="str">
        <f>IF(OR(A30="",多次统计数据!$B$8="",多次统计数据!$B$6&lt;=0,多次统计数据!$B$6&gt;=1),"",1-POWER(1+多次统计数据!$B$8,-多次统计数据!$B$6/(1-多次统计数据!$B$6)))</f>
        <v/>
      </c>
      <c r="AC30" s="8" t="str">
        <f>IF(OR(AB30="",多次统计数据!$B$9=""),"",IF(多次统计数据!$B$9&lt;AB30,"低于上限","达到或超过上限"))</f>
        <v/>
      </c>
      <c r="AD30" s="2"/>
      <c r="AE30" s="7" t="str">
        <f t="shared" si="8"/>
        <v/>
      </c>
      <c r="AG30" s="2"/>
      <c r="AH30" s="2"/>
      <c r="AI30" s="2"/>
      <c r="AJ30" s="8" t="str">
        <f t="shared" si="9"/>
        <v/>
      </c>
      <c r="AK30" s="10"/>
      <c r="AL30" s="12"/>
      <c r="AM30" s="10"/>
      <c r="AN30" s="12"/>
      <c r="AO30" s="5" t="str">
        <f t="shared" si="10"/>
        <v/>
      </c>
      <c r="AP30" s="11" t="str">
        <f t="shared" si="11"/>
        <v/>
      </c>
      <c r="AQ30" s="5" t="str">
        <f>IF(A30="","",IF(M30&lt;&gt;"",0,IF(OR(H30="",N30=""),"",MAX(E30-MAX(N30,IFERROR(SUMPRODUCT(MAX(((持仓跟踪!$A$2:$A$497="每日跟踪")*(持仓跟踪!$B$2:$B$497=A30))*持仓跟踪!$S$2:$S$497)),0)),0)*H30+IF(OR(AK30="",AL30=""),0,MAX(AK30-MAX(N30,IFERROR(SUMPRODUCT(MAX(((持仓跟踪!$A$2:$A$497="每日跟踪")*(持仓跟踪!$B$2:$B$497=A30))*持仓跟踪!$S$2:$S$497)),0)),0)*AL30)+IF(OR(AM30="",AN30=""),0,MAX(AM30-MAX(N30,IFERROR(SUMPRODUCT(MAX(((持仓跟踪!$A$2:$A$497="每日跟踪")*(持仓跟踪!$B$2:$B$497=A30))*持仓跟踪!$S$2:$S$497)),0)),0)*AN30))))</f>
        <v/>
      </c>
      <c r="AR30" s="8" t="str">
        <f ca="1">IF(A30="","",IF(OR(E30="",H30=""),"违规：第一批价格或股数缺失",IF(OR(AND(AK30="",AL30&lt;&gt;""),AND(AK30&lt;&gt;"",AL30="")),"违规：第二批价格与股数须成对填写",IF(OR(AND(AM30="",AN30&lt;&gt;""),AND(AM30&lt;&gt;"",AN30="")),"违规：第三批价格与股数须成对填写",IF(AND(OR(AM30&lt;&gt;"",AN30&lt;&gt;""),OR(AK30="",AL30="")),"违规：必须先完成第二批",IF(OR(H30&lt;=0,H30&lt;&gt;INT(H30),MOD(H30,100)&lt;&gt;0,AND(AL30&lt;&gt;"",OR(AL30&lt;=0,AL30&lt;&gt;INT(AL30),MOD(AL30,100)&lt;&gt;0)),AND(AN30&lt;&gt;"",OR(AN30&lt;=0,AN30&lt;&gt;INT(AN30),MOD(AN30,100)&lt;&gt;0))),"违规：股数须为100股整数倍",IF(AND(OR(AL30&lt;&gt;"",AN30&lt;&gt;""),OR(_LockStatus="已锁仓",_LockStatus="解锁信息不完整")),"违规：锁仓期间禁止加仓",IF(AQ30&gt;C30*D30,"违规：超过单笔风险上限",IF(SUM($AQ$2:$AQ$201)&gt;账户数据!$B$7,"违规：超过账户风险上限","通过")))))))))</f>
        <v/>
      </c>
    </row>
    <row r="31" ht="17" spans="1:44">
      <c r="A31" s="2"/>
      <c r="B31" s="2"/>
      <c r="C31" s="10"/>
      <c r="D31" s="6"/>
      <c r="E31" s="10"/>
      <c r="F31" s="8" t="str">
        <f t="shared" si="0"/>
        <v/>
      </c>
      <c r="G31" s="8" t="str">
        <f ca="1"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COUNTIFS(持仓跟踪!$A$2:$A$497,"止损计划",持仓跟踪!$B$2:$B$497,A31,持仓跟踪!$AC$2:$AC$497,"计划有效")=0,"禁止开仓：请先填写止损计划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1" s="2"/>
      <c r="I31" s="15"/>
      <c r="J31" s="10"/>
      <c r="K31" s="10"/>
      <c r="L31" s="8" t="str">
        <f t="shared" si="1"/>
        <v/>
      </c>
      <c r="M31" s="15"/>
      <c r="N31" s="10"/>
      <c r="O31" s="10"/>
      <c r="P31" s="10"/>
      <c r="Q31" s="2"/>
      <c r="R31" s="2"/>
      <c r="S31" s="2"/>
      <c r="T31" s="2"/>
      <c r="U31" s="7" t="str">
        <f t="shared" si="2"/>
        <v/>
      </c>
      <c r="V31" s="7" t="str">
        <f t="shared" si="3"/>
        <v/>
      </c>
      <c r="W31" s="22" t="str">
        <f t="shared" si="4"/>
        <v/>
      </c>
      <c r="X31" s="5" t="str">
        <f t="shared" si="5"/>
        <v/>
      </c>
      <c r="Y31" s="7" t="str">
        <f t="shared" si="6"/>
        <v/>
      </c>
      <c r="Z31" s="7" t="str">
        <f>IF(OR(AE31="",多次统计数据!$B$8=""),"",AE31-多次统计数据!$B$8)</f>
        <v/>
      </c>
      <c r="AA31" s="11" t="str">
        <f t="shared" si="7"/>
        <v/>
      </c>
      <c r="AB31" s="7" t="str">
        <f>IF(OR(A31="",多次统计数据!$B$8="",多次统计数据!$B$6&lt;=0,多次统计数据!$B$6&gt;=1),"",1-POWER(1+多次统计数据!$B$8,-多次统计数据!$B$6/(1-多次统计数据!$B$6)))</f>
        <v/>
      </c>
      <c r="AC31" s="8" t="str">
        <f>IF(OR(AB31="",多次统计数据!$B$9=""),"",IF(多次统计数据!$B$9&lt;AB31,"低于上限","达到或超过上限"))</f>
        <v/>
      </c>
      <c r="AD31" s="2"/>
      <c r="AE31" s="7" t="str">
        <f t="shared" si="8"/>
        <v/>
      </c>
      <c r="AG31" s="2"/>
      <c r="AH31" s="2"/>
      <c r="AI31" s="2"/>
      <c r="AJ31" s="8" t="str">
        <f t="shared" si="9"/>
        <v/>
      </c>
      <c r="AK31" s="10"/>
      <c r="AL31" s="12"/>
      <c r="AM31" s="10"/>
      <c r="AN31" s="12"/>
      <c r="AO31" s="5" t="str">
        <f t="shared" si="10"/>
        <v/>
      </c>
      <c r="AP31" s="11" t="str">
        <f t="shared" si="11"/>
        <v/>
      </c>
      <c r="AQ31" s="5" t="str">
        <f>IF(A31="","",IF(M31&lt;&gt;"",0,IF(OR(H31="",N31=""),"",MAX(E31-MAX(N31,IFERROR(SUMPRODUCT(MAX(((持仓跟踪!$A$2:$A$497="每日跟踪")*(持仓跟踪!$B$2:$B$497=A31))*持仓跟踪!$S$2:$S$497)),0)),0)*H31+IF(OR(AK31="",AL31=""),0,MAX(AK31-MAX(N31,IFERROR(SUMPRODUCT(MAX(((持仓跟踪!$A$2:$A$497="每日跟踪")*(持仓跟踪!$B$2:$B$497=A31))*持仓跟踪!$S$2:$S$497)),0)),0)*AL31)+IF(OR(AM31="",AN31=""),0,MAX(AM31-MAX(N31,IFERROR(SUMPRODUCT(MAX(((持仓跟踪!$A$2:$A$497="每日跟踪")*(持仓跟踪!$B$2:$B$497=A31))*持仓跟踪!$S$2:$S$497)),0)),0)*AN31))))</f>
        <v/>
      </c>
      <c r="AR31" s="8" t="str">
        <f ca="1">IF(A31="","",IF(OR(E31="",H31=""),"违规：第一批价格或股数缺失",IF(OR(AND(AK31="",AL31&lt;&gt;""),AND(AK31&lt;&gt;"",AL31="")),"违规：第二批价格与股数须成对填写",IF(OR(AND(AM31="",AN31&lt;&gt;""),AND(AM31&lt;&gt;"",AN31="")),"违规：第三批价格与股数须成对填写",IF(AND(OR(AM31&lt;&gt;"",AN31&lt;&gt;""),OR(AK31="",AL31="")),"违规：必须先完成第二批",IF(OR(H31&lt;=0,H31&lt;&gt;INT(H31),MOD(H31,100)&lt;&gt;0,AND(AL31&lt;&gt;"",OR(AL31&lt;=0,AL31&lt;&gt;INT(AL31),MOD(AL31,100)&lt;&gt;0)),AND(AN31&lt;&gt;"",OR(AN31&lt;=0,AN31&lt;&gt;INT(AN31),MOD(AN31,100)&lt;&gt;0))),"违规：股数须为100股整数倍",IF(AND(OR(AL31&lt;&gt;"",AN31&lt;&gt;""),OR(_LockStatus="已锁仓",_LockStatus="解锁信息不完整")),"违规：锁仓期间禁止加仓",IF(AQ31&gt;C31*D31,"违规：超过单笔风险上限",IF(SUM($AQ$2:$AQ$201)&gt;账户数据!$B$7,"违规：超过账户风险上限","通过")))))))))</f>
        <v/>
      </c>
    </row>
    <row r="32" ht="17" spans="1:44">
      <c r="A32" s="2"/>
      <c r="B32" s="2"/>
      <c r="C32" s="10"/>
      <c r="D32" s="6"/>
      <c r="E32" s="10"/>
      <c r="F32" s="8" t="str">
        <f t="shared" si="0"/>
        <v/>
      </c>
      <c r="G32" s="8" t="str">
        <f ca="1"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COUNTIFS(持仓跟踪!$A$2:$A$497,"止损计划",持仓跟踪!$B$2:$B$497,A32,持仓跟踪!$AC$2:$AC$497,"计划有效")=0,"禁止开仓：请先填写止损计划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2" s="2"/>
      <c r="I32" s="15"/>
      <c r="J32" s="10"/>
      <c r="K32" s="10"/>
      <c r="L32" s="8" t="str">
        <f t="shared" si="1"/>
        <v/>
      </c>
      <c r="M32" s="15"/>
      <c r="N32" s="10"/>
      <c r="O32" s="10"/>
      <c r="P32" s="10"/>
      <c r="Q32" s="2"/>
      <c r="R32" s="2"/>
      <c r="S32" s="2"/>
      <c r="T32" s="2"/>
      <c r="U32" s="7" t="str">
        <f t="shared" si="2"/>
        <v/>
      </c>
      <c r="V32" s="7" t="str">
        <f t="shared" si="3"/>
        <v/>
      </c>
      <c r="W32" s="22" t="str">
        <f t="shared" si="4"/>
        <v/>
      </c>
      <c r="X32" s="5" t="str">
        <f t="shared" si="5"/>
        <v/>
      </c>
      <c r="Y32" s="7" t="str">
        <f t="shared" si="6"/>
        <v/>
      </c>
      <c r="Z32" s="7" t="str">
        <f>IF(OR(AE32="",多次统计数据!$B$8=""),"",AE32-多次统计数据!$B$8)</f>
        <v/>
      </c>
      <c r="AA32" s="11" t="str">
        <f t="shared" si="7"/>
        <v/>
      </c>
      <c r="AB32" s="7" t="str">
        <f>IF(OR(A32="",多次统计数据!$B$8="",多次统计数据!$B$6&lt;=0,多次统计数据!$B$6&gt;=1),"",1-POWER(1+多次统计数据!$B$8,-多次统计数据!$B$6/(1-多次统计数据!$B$6)))</f>
        <v/>
      </c>
      <c r="AC32" s="8" t="str">
        <f>IF(OR(AB32="",多次统计数据!$B$9=""),"",IF(多次统计数据!$B$9&lt;AB32,"低于上限","达到或超过上限"))</f>
        <v/>
      </c>
      <c r="AD32" s="2"/>
      <c r="AE32" s="7" t="str">
        <f t="shared" si="8"/>
        <v/>
      </c>
      <c r="AG32" s="2"/>
      <c r="AH32" s="2"/>
      <c r="AI32" s="2"/>
      <c r="AJ32" s="8" t="str">
        <f t="shared" si="9"/>
        <v/>
      </c>
      <c r="AK32" s="10"/>
      <c r="AL32" s="12"/>
      <c r="AM32" s="10"/>
      <c r="AN32" s="12"/>
      <c r="AO32" s="5" t="str">
        <f t="shared" si="10"/>
        <v/>
      </c>
      <c r="AP32" s="11" t="str">
        <f t="shared" si="11"/>
        <v/>
      </c>
      <c r="AQ32" s="5" t="str">
        <f>IF(A32="","",IF(M32&lt;&gt;"",0,IF(OR(H32="",N32=""),"",MAX(E32-MAX(N32,IFERROR(SUMPRODUCT(MAX(((持仓跟踪!$A$2:$A$497="每日跟踪")*(持仓跟踪!$B$2:$B$497=A32))*持仓跟踪!$S$2:$S$497)),0)),0)*H32+IF(OR(AK32="",AL32=""),0,MAX(AK32-MAX(N32,IFERROR(SUMPRODUCT(MAX(((持仓跟踪!$A$2:$A$497="每日跟踪")*(持仓跟踪!$B$2:$B$497=A32))*持仓跟踪!$S$2:$S$497)),0)),0)*AL32)+IF(OR(AM32="",AN32=""),0,MAX(AM32-MAX(N32,IFERROR(SUMPRODUCT(MAX(((持仓跟踪!$A$2:$A$497="每日跟踪")*(持仓跟踪!$B$2:$B$497=A32))*持仓跟踪!$S$2:$S$497)),0)),0)*AN32))))</f>
        <v/>
      </c>
      <c r="AR32" s="8" t="str">
        <f ca="1">IF(A32="","",IF(OR(E32="",H32=""),"违规：第一批价格或股数缺失",IF(OR(AND(AK32="",AL32&lt;&gt;""),AND(AK32&lt;&gt;"",AL32="")),"违规：第二批价格与股数须成对填写",IF(OR(AND(AM32="",AN32&lt;&gt;""),AND(AM32&lt;&gt;"",AN32="")),"违规：第三批价格与股数须成对填写",IF(AND(OR(AM32&lt;&gt;"",AN32&lt;&gt;""),OR(AK32="",AL32="")),"违规：必须先完成第二批",IF(OR(H32&lt;=0,H32&lt;&gt;INT(H32),MOD(H32,100)&lt;&gt;0,AND(AL32&lt;&gt;"",OR(AL32&lt;=0,AL32&lt;&gt;INT(AL32),MOD(AL32,100)&lt;&gt;0)),AND(AN32&lt;&gt;"",OR(AN32&lt;=0,AN32&lt;&gt;INT(AN32),MOD(AN32,100)&lt;&gt;0))),"违规：股数须为100股整数倍",IF(AND(OR(AL32&lt;&gt;"",AN32&lt;&gt;""),OR(_LockStatus="已锁仓",_LockStatus="解锁信息不完整")),"违规：锁仓期间禁止加仓",IF(AQ32&gt;C32*D32,"违规：超过单笔风险上限",IF(SUM($AQ$2:$AQ$201)&gt;账户数据!$B$7,"违规：超过账户风险上限","通过")))))))))</f>
        <v/>
      </c>
    </row>
    <row r="33" ht="17" spans="1:44">
      <c r="A33" s="2"/>
      <c r="B33" s="2"/>
      <c r="C33" s="10"/>
      <c r="D33" s="6"/>
      <c r="E33" s="10"/>
      <c r="F33" s="8" t="str">
        <f t="shared" si="0"/>
        <v/>
      </c>
      <c r="G33" s="8" t="str">
        <f ca="1"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COUNTIFS(持仓跟踪!$A$2:$A$497,"止损计划",持仓跟踪!$B$2:$B$497,A33,持仓跟踪!$AC$2:$AC$497,"计划有效")=0,"禁止开仓：请先填写止损计划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3" s="2"/>
      <c r="I33" s="15"/>
      <c r="J33" s="10"/>
      <c r="K33" s="10"/>
      <c r="L33" s="8" t="str">
        <f t="shared" si="1"/>
        <v/>
      </c>
      <c r="M33" s="15"/>
      <c r="N33" s="10"/>
      <c r="O33" s="10"/>
      <c r="P33" s="10"/>
      <c r="Q33" s="2"/>
      <c r="R33" s="2"/>
      <c r="S33" s="2"/>
      <c r="T33" s="2"/>
      <c r="U33" s="7" t="str">
        <f t="shared" si="2"/>
        <v/>
      </c>
      <c r="V33" s="7" t="str">
        <f t="shared" si="3"/>
        <v/>
      </c>
      <c r="W33" s="22" t="str">
        <f t="shared" si="4"/>
        <v/>
      </c>
      <c r="X33" s="5" t="str">
        <f t="shared" si="5"/>
        <v/>
      </c>
      <c r="Y33" s="7" t="str">
        <f t="shared" si="6"/>
        <v/>
      </c>
      <c r="Z33" s="7" t="str">
        <f>IF(OR(AE33="",多次统计数据!$B$8=""),"",AE33-多次统计数据!$B$8)</f>
        <v/>
      </c>
      <c r="AA33" s="11" t="str">
        <f t="shared" si="7"/>
        <v/>
      </c>
      <c r="AB33" s="7" t="str">
        <f>IF(OR(A33="",多次统计数据!$B$8="",多次统计数据!$B$6&lt;=0,多次统计数据!$B$6&gt;=1),"",1-POWER(1+多次统计数据!$B$8,-多次统计数据!$B$6/(1-多次统计数据!$B$6)))</f>
        <v/>
      </c>
      <c r="AC33" s="8" t="str">
        <f>IF(OR(AB33="",多次统计数据!$B$9=""),"",IF(多次统计数据!$B$9&lt;AB33,"低于上限","达到或超过上限"))</f>
        <v/>
      </c>
      <c r="AD33" s="2"/>
      <c r="AE33" s="7" t="str">
        <f t="shared" si="8"/>
        <v/>
      </c>
      <c r="AG33" s="2"/>
      <c r="AH33" s="2"/>
      <c r="AI33" s="2"/>
      <c r="AJ33" s="8" t="str">
        <f t="shared" si="9"/>
        <v/>
      </c>
      <c r="AK33" s="10"/>
      <c r="AL33" s="12"/>
      <c r="AM33" s="10"/>
      <c r="AN33" s="12"/>
      <c r="AO33" s="5" t="str">
        <f t="shared" si="10"/>
        <v/>
      </c>
      <c r="AP33" s="11" t="str">
        <f t="shared" si="11"/>
        <v/>
      </c>
      <c r="AQ33" s="5" t="str">
        <f>IF(A33="","",IF(M33&lt;&gt;"",0,IF(OR(H33="",N33=""),"",MAX(E33-MAX(N33,IFERROR(SUMPRODUCT(MAX(((持仓跟踪!$A$2:$A$497="每日跟踪")*(持仓跟踪!$B$2:$B$497=A33))*持仓跟踪!$S$2:$S$497)),0)),0)*H33+IF(OR(AK33="",AL33=""),0,MAX(AK33-MAX(N33,IFERROR(SUMPRODUCT(MAX(((持仓跟踪!$A$2:$A$497="每日跟踪")*(持仓跟踪!$B$2:$B$497=A33))*持仓跟踪!$S$2:$S$497)),0)),0)*AL33)+IF(OR(AM33="",AN33=""),0,MAX(AM33-MAX(N33,IFERROR(SUMPRODUCT(MAX(((持仓跟踪!$A$2:$A$497="每日跟踪")*(持仓跟踪!$B$2:$B$497=A33))*持仓跟踪!$S$2:$S$497)),0)),0)*AN33))))</f>
        <v/>
      </c>
      <c r="AR33" s="8" t="str">
        <f ca="1">IF(A33="","",IF(OR(E33="",H33=""),"违规：第一批价格或股数缺失",IF(OR(AND(AK33="",AL33&lt;&gt;""),AND(AK33&lt;&gt;"",AL33="")),"违规：第二批价格与股数须成对填写",IF(OR(AND(AM33="",AN33&lt;&gt;""),AND(AM33&lt;&gt;"",AN33="")),"违规：第三批价格与股数须成对填写",IF(AND(OR(AM33&lt;&gt;"",AN33&lt;&gt;""),OR(AK33="",AL33="")),"违规：必须先完成第二批",IF(OR(H33&lt;=0,H33&lt;&gt;INT(H33),MOD(H33,100)&lt;&gt;0,AND(AL33&lt;&gt;"",OR(AL33&lt;=0,AL33&lt;&gt;INT(AL33),MOD(AL33,100)&lt;&gt;0)),AND(AN33&lt;&gt;"",OR(AN33&lt;=0,AN33&lt;&gt;INT(AN33),MOD(AN33,100)&lt;&gt;0))),"违规：股数须为100股整数倍",IF(AND(OR(AL33&lt;&gt;"",AN33&lt;&gt;""),OR(_LockStatus="已锁仓",_LockStatus="解锁信息不完整")),"违规：锁仓期间禁止加仓",IF(AQ33&gt;C33*D33,"违规：超过单笔风险上限",IF(SUM($AQ$2:$AQ$201)&gt;账户数据!$B$7,"违规：超过账户风险上限","通过")))))))))</f>
        <v/>
      </c>
    </row>
    <row r="34" ht="17" spans="1:44">
      <c r="A34" s="2"/>
      <c r="B34" s="2"/>
      <c r="C34" s="10"/>
      <c r="D34" s="6"/>
      <c r="E34" s="10"/>
      <c r="F34" s="8" t="str">
        <f t="shared" ref="F34:F65" si="12">IF(OR(C34="",D34="",E34="",N34="",C34&lt;=0,D34&lt;=0,E34&lt;=N34),"",ROUNDDOWN((C34*D34)/(E34-N34)/100,0)*100)</f>
        <v/>
      </c>
      <c r="G34" s="8" t="str">
        <f ca="1"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COUNTIFS(持仓跟踪!$A$2:$A$497,"止损计划",持仓跟踪!$B$2:$B$497,A34,持仓跟踪!$AC$2:$AC$497,"计划有效")=0,"禁止开仓：请先填写止损计划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4" s="2"/>
      <c r="I34" s="15"/>
      <c r="J34" s="10"/>
      <c r="K34" s="10"/>
      <c r="L34" s="8" t="str">
        <f t="shared" ref="L34:L65" si="13">IF(K34="","",H34)</f>
        <v/>
      </c>
      <c r="M34" s="15"/>
      <c r="N34" s="10"/>
      <c r="O34" s="10"/>
      <c r="P34" s="10"/>
      <c r="Q34" s="2"/>
      <c r="R34" s="2"/>
      <c r="S34" s="2"/>
      <c r="T34" s="2"/>
      <c r="U34" s="7" t="str">
        <f t="shared" ref="U34:U65" si="14">IF(OR(AO34="",J34="",AO34&lt;=0),"",(J34-AO34)/AO34)</f>
        <v/>
      </c>
      <c r="V34" s="7" t="str">
        <f t="shared" ref="V34:V65" si="15">IF(OR(AO34="",N34="",AO34&lt;=0),"",(AO34-N34)/AO34)</f>
        <v/>
      </c>
      <c r="W34" s="22" t="str">
        <f t="shared" ref="W34:W65" si="16">IF(OR(U34="",V34="",V34&lt;=0),"",U34/V34)</f>
        <v/>
      </c>
      <c r="X34" s="5" t="str">
        <f t="shared" ref="X34:X65" si="17">IF(OR(K34="",L34="",AP34=""),"",K34*L34-(E34*H34+IF(AND(AK34&lt;&gt;"",AL34&lt;&gt;""),AK34*AL34,0)+IF(AND(AM34&lt;&gt;"",AN34&lt;&gt;""),AM34*AN34,0))-IF(O34="",0,O34)-IF(P34="",0,P34))</f>
        <v/>
      </c>
      <c r="Y34" s="7" t="str">
        <f t="shared" ref="Y34:Y65" si="18">IF(OR(X34="",AP34=""),"",IF((E34*H34+IF(AND(AK34&lt;&gt;"",AL34&lt;&gt;""),AK34*AL34,0)+IF(AND(AM34&lt;&gt;"",AN34&lt;&gt;""),AM34*AN34,0))+IF(O34="",0,O34)&lt;=0,"",X34/((E34*H34+IF(AND(AK34&lt;&gt;"",AL34&lt;&gt;""),AK34*AL34,0)+IF(AND(AM34&lt;&gt;"",AN34&lt;&gt;""),AM34*AN34,0))+IF(O34="",0,O34))))</f>
        <v/>
      </c>
      <c r="Z34" s="7" t="str">
        <f>IF(OR(AE34="",多次统计数据!$B$8=""),"",AE34-多次统计数据!$B$8)</f>
        <v/>
      </c>
      <c r="AA34" s="11" t="str">
        <f t="shared" ref="AA34:AA65" si="19">IF(OR(I34="",M34="",M34&lt;I34),"",M34-I34)</f>
        <v/>
      </c>
      <c r="AB34" s="7" t="str">
        <f>IF(OR(A34="",多次统计数据!$B$8="",多次统计数据!$B$6&lt;=0,多次统计数据!$B$6&gt;=1),"",1-POWER(1+多次统计数据!$B$8,-多次统计数据!$B$6/(1-多次统计数据!$B$6)))</f>
        <v/>
      </c>
      <c r="AC34" s="8" t="str">
        <f>IF(OR(AB34="",多次统计数据!$B$9=""),"",IF(多次统计数据!$B$9&lt;AB34,"低于上限","达到或超过上限"))</f>
        <v/>
      </c>
      <c r="AD34" s="2"/>
      <c r="AE34" s="7" t="str">
        <f t="shared" ref="AE34:AE65" si="20">IF(OR(X34="",C34="",C34&lt;=0),"",X34/C34)</f>
        <v/>
      </c>
      <c r="AG34" s="2"/>
      <c r="AH34" s="2"/>
      <c r="AI34" s="2"/>
      <c r="AJ34" s="8" t="str">
        <f t="shared" ref="AJ34:AJ65" si="21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10"/>
      <c r="AL34" s="12"/>
      <c r="AM34" s="10"/>
      <c r="AN34" s="12"/>
      <c r="AO34" s="5" t="str">
        <f t="shared" ref="AO34:AO65" si="22">IF(OR(A34="",H34="",H34&lt;=0),"",(E34*H34+IF(AND(AK34&lt;&gt;"",AL34&lt;&gt;""),AK34*AL34,0)+IF(AND(AM34&lt;&gt;"",AN34&lt;&gt;""),AM34*AN34,0))/AP34)</f>
        <v/>
      </c>
      <c r="AP34" s="11" t="str">
        <f t="shared" ref="AP34:AP65" si="23">IF(OR(A34="",H34="",H34&lt;=0),"",H34+IF(AL34="",0,AL34)+IF(AN34="",0,AN34))</f>
        <v/>
      </c>
      <c r="AQ34" s="5" t="str">
        <f>IF(A34="","",IF(M34&lt;&gt;"",0,IF(OR(H34="",N34=""),"",MAX(E34-MAX(N34,IFERROR(SUMPRODUCT(MAX(((持仓跟踪!$A$2:$A$497="每日跟踪")*(持仓跟踪!$B$2:$B$497=A34))*持仓跟踪!$S$2:$S$497)),0)),0)*H34+IF(OR(AK34="",AL34=""),0,MAX(AK34-MAX(N34,IFERROR(SUMPRODUCT(MAX(((持仓跟踪!$A$2:$A$497="每日跟踪")*(持仓跟踪!$B$2:$B$497=A34))*持仓跟踪!$S$2:$S$497)),0)),0)*AL34)+IF(OR(AM34="",AN34=""),0,MAX(AM34-MAX(N34,IFERROR(SUMPRODUCT(MAX(((持仓跟踪!$A$2:$A$497="每日跟踪")*(持仓跟踪!$B$2:$B$497=A34))*持仓跟踪!$S$2:$S$497)),0)),0)*AN34))))</f>
        <v/>
      </c>
      <c r="AR34" s="8" t="str">
        <f ca="1">IF(A34="","",IF(OR(E34="",H34=""),"违规：第一批价格或股数缺失",IF(OR(AND(AK34="",AL34&lt;&gt;""),AND(AK34&lt;&gt;"",AL34="")),"违规：第二批价格与股数须成对填写",IF(OR(AND(AM34="",AN34&lt;&gt;""),AND(AM34&lt;&gt;"",AN34="")),"违规：第三批价格与股数须成对填写",IF(AND(OR(AM34&lt;&gt;"",AN34&lt;&gt;""),OR(AK34="",AL34="")),"违规：必须先完成第二批",IF(OR(H34&lt;=0,H34&lt;&gt;INT(H34),MOD(H34,100)&lt;&gt;0,AND(AL34&lt;&gt;"",OR(AL34&lt;=0,AL34&lt;&gt;INT(AL34),MOD(AL34,100)&lt;&gt;0)),AND(AN34&lt;&gt;"",OR(AN34&lt;=0,AN34&lt;&gt;INT(AN34),MOD(AN34,100)&lt;&gt;0))),"违规：股数须为100股整数倍",IF(AND(OR(AL34&lt;&gt;"",AN34&lt;&gt;""),OR(_LockStatus="已锁仓",_LockStatus="解锁信息不完整")),"违规：锁仓期间禁止加仓",IF(AQ34&gt;C34*D34,"违规：超过单笔风险上限",IF(SUM($AQ$2:$AQ$201)&gt;账户数据!$B$7,"违规：超过账户风险上限","通过")))))))))</f>
        <v/>
      </c>
    </row>
    <row r="35" ht="17" spans="1:44">
      <c r="A35" s="2"/>
      <c r="B35" s="2"/>
      <c r="C35" s="10"/>
      <c r="D35" s="6"/>
      <c r="E35" s="10"/>
      <c r="F35" s="8" t="str">
        <f t="shared" si="12"/>
        <v/>
      </c>
      <c r="G35" s="8" t="str">
        <f ca="1"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COUNTIFS(持仓跟踪!$A$2:$A$497,"止损计划",持仓跟踪!$B$2:$B$497,A35,持仓跟踪!$AC$2:$AC$497,"计划有效")=0,"禁止开仓：请先填写止损计划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5" s="2"/>
      <c r="I35" s="15"/>
      <c r="J35" s="10"/>
      <c r="K35" s="10"/>
      <c r="L35" s="8" t="str">
        <f t="shared" si="13"/>
        <v/>
      </c>
      <c r="M35" s="15"/>
      <c r="N35" s="10"/>
      <c r="O35" s="10"/>
      <c r="P35" s="10"/>
      <c r="Q35" s="2"/>
      <c r="R35" s="2"/>
      <c r="S35" s="2"/>
      <c r="T35" s="2"/>
      <c r="U35" s="7" t="str">
        <f t="shared" si="14"/>
        <v/>
      </c>
      <c r="V35" s="7" t="str">
        <f t="shared" si="15"/>
        <v/>
      </c>
      <c r="W35" s="22" t="str">
        <f t="shared" si="16"/>
        <v/>
      </c>
      <c r="X35" s="5" t="str">
        <f t="shared" si="17"/>
        <v/>
      </c>
      <c r="Y35" s="7" t="str">
        <f t="shared" si="18"/>
        <v/>
      </c>
      <c r="Z35" s="7" t="str">
        <f>IF(OR(AE35="",多次统计数据!$B$8=""),"",AE35-多次统计数据!$B$8)</f>
        <v/>
      </c>
      <c r="AA35" s="11" t="str">
        <f t="shared" si="19"/>
        <v/>
      </c>
      <c r="AB35" s="7" t="str">
        <f>IF(OR(A35="",多次统计数据!$B$8="",多次统计数据!$B$6&lt;=0,多次统计数据!$B$6&gt;=1),"",1-POWER(1+多次统计数据!$B$8,-多次统计数据!$B$6/(1-多次统计数据!$B$6)))</f>
        <v/>
      </c>
      <c r="AC35" s="8" t="str">
        <f>IF(OR(AB35="",多次统计数据!$B$9=""),"",IF(多次统计数据!$B$9&lt;AB35,"低于上限","达到或超过上限"))</f>
        <v/>
      </c>
      <c r="AD35" s="2"/>
      <c r="AE35" s="7" t="str">
        <f t="shared" si="20"/>
        <v/>
      </c>
      <c r="AG35" s="2"/>
      <c r="AH35" s="2"/>
      <c r="AI35" s="2"/>
      <c r="AJ35" s="8" t="str">
        <f t="shared" si="21"/>
        <v/>
      </c>
      <c r="AK35" s="10"/>
      <c r="AL35" s="12"/>
      <c r="AM35" s="10"/>
      <c r="AN35" s="12"/>
      <c r="AO35" s="5" t="str">
        <f t="shared" si="22"/>
        <v/>
      </c>
      <c r="AP35" s="11" t="str">
        <f t="shared" si="23"/>
        <v/>
      </c>
      <c r="AQ35" s="5" t="str">
        <f>IF(A35="","",IF(M35&lt;&gt;"",0,IF(OR(H35="",N35=""),"",MAX(E35-MAX(N35,IFERROR(SUMPRODUCT(MAX(((持仓跟踪!$A$2:$A$497="每日跟踪")*(持仓跟踪!$B$2:$B$497=A35))*持仓跟踪!$S$2:$S$497)),0)),0)*H35+IF(OR(AK35="",AL35=""),0,MAX(AK35-MAX(N35,IFERROR(SUMPRODUCT(MAX(((持仓跟踪!$A$2:$A$497="每日跟踪")*(持仓跟踪!$B$2:$B$497=A35))*持仓跟踪!$S$2:$S$497)),0)),0)*AL35)+IF(OR(AM35="",AN35=""),0,MAX(AM35-MAX(N35,IFERROR(SUMPRODUCT(MAX(((持仓跟踪!$A$2:$A$497="每日跟踪")*(持仓跟踪!$B$2:$B$497=A35))*持仓跟踪!$S$2:$S$497)),0)),0)*AN35))))</f>
        <v/>
      </c>
      <c r="AR35" s="8" t="str">
        <f ca="1">IF(A35="","",IF(OR(E35="",H35=""),"违规：第一批价格或股数缺失",IF(OR(AND(AK35="",AL35&lt;&gt;""),AND(AK35&lt;&gt;"",AL35="")),"违规：第二批价格与股数须成对填写",IF(OR(AND(AM35="",AN35&lt;&gt;""),AND(AM35&lt;&gt;"",AN35="")),"违规：第三批价格与股数须成对填写",IF(AND(OR(AM35&lt;&gt;"",AN35&lt;&gt;""),OR(AK35="",AL35="")),"违规：必须先完成第二批",IF(OR(H35&lt;=0,H35&lt;&gt;INT(H35),MOD(H35,100)&lt;&gt;0,AND(AL35&lt;&gt;"",OR(AL35&lt;=0,AL35&lt;&gt;INT(AL35),MOD(AL35,100)&lt;&gt;0)),AND(AN35&lt;&gt;"",OR(AN35&lt;=0,AN35&lt;&gt;INT(AN35),MOD(AN35,100)&lt;&gt;0))),"违规：股数须为100股整数倍",IF(AND(OR(AL35&lt;&gt;"",AN35&lt;&gt;""),OR(_LockStatus="已锁仓",_LockStatus="解锁信息不完整")),"违规：锁仓期间禁止加仓",IF(AQ35&gt;C35*D35,"违规：超过单笔风险上限",IF(SUM($AQ$2:$AQ$201)&gt;账户数据!$B$7,"违规：超过账户风险上限","通过")))))))))</f>
        <v/>
      </c>
    </row>
    <row r="36" ht="17" spans="1:44">
      <c r="A36" s="2"/>
      <c r="B36" s="2"/>
      <c r="C36" s="10"/>
      <c r="D36" s="6"/>
      <c r="E36" s="10"/>
      <c r="F36" s="8" t="str">
        <f t="shared" si="12"/>
        <v/>
      </c>
      <c r="G36" s="8" t="str">
        <f ca="1"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COUNTIFS(持仓跟踪!$A$2:$A$497,"止损计划",持仓跟踪!$B$2:$B$497,A36,持仓跟踪!$AC$2:$AC$497,"计划有效")=0,"禁止开仓：请先填写止损计划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6" s="2"/>
      <c r="I36" s="15"/>
      <c r="J36" s="10"/>
      <c r="K36" s="10"/>
      <c r="L36" s="8" t="str">
        <f t="shared" si="13"/>
        <v/>
      </c>
      <c r="M36" s="15"/>
      <c r="N36" s="10"/>
      <c r="O36" s="10"/>
      <c r="P36" s="10"/>
      <c r="Q36" s="2"/>
      <c r="R36" s="2"/>
      <c r="S36" s="2"/>
      <c r="T36" s="2"/>
      <c r="U36" s="7" t="str">
        <f t="shared" si="14"/>
        <v/>
      </c>
      <c r="V36" s="7" t="str">
        <f t="shared" si="15"/>
        <v/>
      </c>
      <c r="W36" s="22" t="str">
        <f t="shared" si="16"/>
        <v/>
      </c>
      <c r="X36" s="5" t="str">
        <f t="shared" si="17"/>
        <v/>
      </c>
      <c r="Y36" s="7" t="str">
        <f t="shared" si="18"/>
        <v/>
      </c>
      <c r="Z36" s="7" t="str">
        <f>IF(OR(AE36="",多次统计数据!$B$8=""),"",AE36-多次统计数据!$B$8)</f>
        <v/>
      </c>
      <c r="AA36" s="11" t="str">
        <f t="shared" si="19"/>
        <v/>
      </c>
      <c r="AB36" s="7" t="str">
        <f>IF(OR(A36="",多次统计数据!$B$8="",多次统计数据!$B$6&lt;=0,多次统计数据!$B$6&gt;=1),"",1-POWER(1+多次统计数据!$B$8,-多次统计数据!$B$6/(1-多次统计数据!$B$6)))</f>
        <v/>
      </c>
      <c r="AC36" s="8" t="str">
        <f>IF(OR(AB36="",多次统计数据!$B$9=""),"",IF(多次统计数据!$B$9&lt;AB36,"低于上限","达到或超过上限"))</f>
        <v/>
      </c>
      <c r="AD36" s="2"/>
      <c r="AE36" s="7" t="str">
        <f t="shared" si="20"/>
        <v/>
      </c>
      <c r="AG36" s="2"/>
      <c r="AH36" s="2"/>
      <c r="AI36" s="2"/>
      <c r="AJ36" s="8" t="str">
        <f t="shared" si="21"/>
        <v/>
      </c>
      <c r="AK36" s="10"/>
      <c r="AL36" s="12"/>
      <c r="AM36" s="10"/>
      <c r="AN36" s="12"/>
      <c r="AO36" s="5" t="str">
        <f t="shared" si="22"/>
        <v/>
      </c>
      <c r="AP36" s="11" t="str">
        <f t="shared" si="23"/>
        <v/>
      </c>
      <c r="AQ36" s="5" t="str">
        <f>IF(A36="","",IF(M36&lt;&gt;"",0,IF(OR(H36="",N36=""),"",MAX(E36-MAX(N36,IFERROR(SUMPRODUCT(MAX(((持仓跟踪!$A$2:$A$497="每日跟踪")*(持仓跟踪!$B$2:$B$497=A36))*持仓跟踪!$S$2:$S$497)),0)),0)*H36+IF(OR(AK36="",AL36=""),0,MAX(AK36-MAX(N36,IFERROR(SUMPRODUCT(MAX(((持仓跟踪!$A$2:$A$497="每日跟踪")*(持仓跟踪!$B$2:$B$497=A36))*持仓跟踪!$S$2:$S$497)),0)),0)*AL36)+IF(OR(AM36="",AN36=""),0,MAX(AM36-MAX(N36,IFERROR(SUMPRODUCT(MAX(((持仓跟踪!$A$2:$A$497="每日跟踪")*(持仓跟踪!$B$2:$B$497=A36))*持仓跟踪!$S$2:$S$497)),0)),0)*AN36))))</f>
        <v/>
      </c>
      <c r="AR36" s="8" t="str">
        <f ca="1">IF(A36="","",IF(OR(E36="",H36=""),"违规：第一批价格或股数缺失",IF(OR(AND(AK36="",AL36&lt;&gt;""),AND(AK36&lt;&gt;"",AL36="")),"违规：第二批价格与股数须成对填写",IF(OR(AND(AM36="",AN36&lt;&gt;""),AND(AM36&lt;&gt;"",AN36="")),"违规：第三批价格与股数须成对填写",IF(AND(OR(AM36&lt;&gt;"",AN36&lt;&gt;""),OR(AK36="",AL36="")),"违规：必须先完成第二批",IF(OR(H36&lt;=0,H36&lt;&gt;INT(H36),MOD(H36,100)&lt;&gt;0,AND(AL36&lt;&gt;"",OR(AL36&lt;=0,AL36&lt;&gt;INT(AL36),MOD(AL36,100)&lt;&gt;0)),AND(AN36&lt;&gt;"",OR(AN36&lt;=0,AN36&lt;&gt;INT(AN36),MOD(AN36,100)&lt;&gt;0))),"违规：股数须为100股整数倍",IF(AND(OR(AL36&lt;&gt;"",AN36&lt;&gt;""),OR(_LockStatus="已锁仓",_LockStatus="解锁信息不完整")),"违规：锁仓期间禁止加仓",IF(AQ36&gt;C36*D36,"违规：超过单笔风险上限",IF(SUM($AQ$2:$AQ$201)&gt;账户数据!$B$7,"违规：超过账户风险上限","通过")))))))))</f>
        <v/>
      </c>
    </row>
    <row r="37" ht="17" spans="1:44">
      <c r="A37" s="2"/>
      <c r="B37" s="2"/>
      <c r="C37" s="10"/>
      <c r="D37" s="6"/>
      <c r="E37" s="10"/>
      <c r="F37" s="8" t="str">
        <f t="shared" si="12"/>
        <v/>
      </c>
      <c r="G37" s="8" t="str">
        <f ca="1"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COUNTIFS(持仓跟踪!$A$2:$A$497,"止损计划",持仓跟踪!$B$2:$B$497,A37,持仓跟踪!$AC$2:$AC$497,"计划有效")=0,"禁止开仓：请先填写止损计划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7" s="2"/>
      <c r="I37" s="15"/>
      <c r="J37" s="10"/>
      <c r="K37" s="10"/>
      <c r="L37" s="8" t="str">
        <f t="shared" si="13"/>
        <v/>
      </c>
      <c r="M37" s="15"/>
      <c r="N37" s="10"/>
      <c r="O37" s="10"/>
      <c r="P37" s="10"/>
      <c r="Q37" s="2"/>
      <c r="R37" s="2"/>
      <c r="S37" s="2"/>
      <c r="T37" s="2"/>
      <c r="U37" s="7" t="str">
        <f t="shared" si="14"/>
        <v/>
      </c>
      <c r="V37" s="7" t="str">
        <f t="shared" si="15"/>
        <v/>
      </c>
      <c r="W37" s="22" t="str">
        <f t="shared" si="16"/>
        <v/>
      </c>
      <c r="X37" s="5" t="str">
        <f t="shared" si="17"/>
        <v/>
      </c>
      <c r="Y37" s="7" t="str">
        <f t="shared" si="18"/>
        <v/>
      </c>
      <c r="Z37" s="7" t="str">
        <f>IF(OR(AE37="",多次统计数据!$B$8=""),"",AE37-多次统计数据!$B$8)</f>
        <v/>
      </c>
      <c r="AA37" s="11" t="str">
        <f t="shared" si="19"/>
        <v/>
      </c>
      <c r="AB37" s="7" t="str">
        <f>IF(OR(A37="",多次统计数据!$B$8="",多次统计数据!$B$6&lt;=0,多次统计数据!$B$6&gt;=1),"",1-POWER(1+多次统计数据!$B$8,-多次统计数据!$B$6/(1-多次统计数据!$B$6)))</f>
        <v/>
      </c>
      <c r="AC37" s="8" t="str">
        <f>IF(OR(AB37="",多次统计数据!$B$9=""),"",IF(多次统计数据!$B$9&lt;AB37,"低于上限","达到或超过上限"))</f>
        <v/>
      </c>
      <c r="AD37" s="2"/>
      <c r="AE37" s="7" t="str">
        <f t="shared" si="20"/>
        <v/>
      </c>
      <c r="AG37" s="2"/>
      <c r="AH37" s="2"/>
      <c r="AI37" s="2"/>
      <c r="AJ37" s="8" t="str">
        <f t="shared" si="21"/>
        <v/>
      </c>
      <c r="AK37" s="10"/>
      <c r="AL37" s="12"/>
      <c r="AM37" s="10"/>
      <c r="AN37" s="12"/>
      <c r="AO37" s="5" t="str">
        <f t="shared" si="22"/>
        <v/>
      </c>
      <c r="AP37" s="11" t="str">
        <f t="shared" si="23"/>
        <v/>
      </c>
      <c r="AQ37" s="5" t="str">
        <f>IF(A37="","",IF(M37&lt;&gt;"",0,IF(OR(H37="",N37=""),"",MAX(E37-MAX(N37,IFERROR(SUMPRODUCT(MAX(((持仓跟踪!$A$2:$A$497="每日跟踪")*(持仓跟踪!$B$2:$B$497=A37))*持仓跟踪!$S$2:$S$497)),0)),0)*H37+IF(OR(AK37="",AL37=""),0,MAX(AK37-MAX(N37,IFERROR(SUMPRODUCT(MAX(((持仓跟踪!$A$2:$A$497="每日跟踪")*(持仓跟踪!$B$2:$B$497=A37))*持仓跟踪!$S$2:$S$497)),0)),0)*AL37)+IF(OR(AM37="",AN37=""),0,MAX(AM37-MAX(N37,IFERROR(SUMPRODUCT(MAX(((持仓跟踪!$A$2:$A$497="每日跟踪")*(持仓跟踪!$B$2:$B$497=A37))*持仓跟踪!$S$2:$S$497)),0)),0)*AN37))))</f>
        <v/>
      </c>
      <c r="AR37" s="8" t="str">
        <f ca="1">IF(A37="","",IF(OR(E37="",H37=""),"违规：第一批价格或股数缺失",IF(OR(AND(AK37="",AL37&lt;&gt;""),AND(AK37&lt;&gt;"",AL37="")),"违规：第二批价格与股数须成对填写",IF(OR(AND(AM37="",AN37&lt;&gt;""),AND(AM37&lt;&gt;"",AN37="")),"违规：第三批价格与股数须成对填写",IF(AND(OR(AM37&lt;&gt;"",AN37&lt;&gt;""),OR(AK37="",AL37="")),"违规：必须先完成第二批",IF(OR(H37&lt;=0,H37&lt;&gt;INT(H37),MOD(H37,100)&lt;&gt;0,AND(AL37&lt;&gt;"",OR(AL37&lt;=0,AL37&lt;&gt;INT(AL37),MOD(AL37,100)&lt;&gt;0)),AND(AN37&lt;&gt;"",OR(AN37&lt;=0,AN37&lt;&gt;INT(AN37),MOD(AN37,100)&lt;&gt;0))),"违规：股数须为100股整数倍",IF(AND(OR(AL37&lt;&gt;"",AN37&lt;&gt;""),OR(_LockStatus="已锁仓",_LockStatus="解锁信息不完整")),"违规：锁仓期间禁止加仓",IF(AQ37&gt;C37*D37,"违规：超过单笔风险上限",IF(SUM($AQ$2:$AQ$201)&gt;账户数据!$B$7,"违规：超过账户风险上限","通过")))))))))</f>
        <v/>
      </c>
    </row>
    <row r="38" ht="17" spans="1:44">
      <c r="A38" s="2"/>
      <c r="B38" s="2"/>
      <c r="C38" s="10"/>
      <c r="D38" s="6"/>
      <c r="E38" s="10"/>
      <c r="F38" s="8" t="str">
        <f t="shared" si="12"/>
        <v/>
      </c>
      <c r="G38" s="8" t="str">
        <f ca="1"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COUNTIFS(持仓跟踪!$A$2:$A$497,"止损计划",持仓跟踪!$B$2:$B$497,A38,持仓跟踪!$AC$2:$AC$497,"计划有效")=0,"禁止开仓：请先填写止损计划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8" s="2"/>
      <c r="I38" s="15"/>
      <c r="J38" s="10"/>
      <c r="K38" s="10"/>
      <c r="L38" s="8" t="str">
        <f t="shared" si="13"/>
        <v/>
      </c>
      <c r="M38" s="15"/>
      <c r="N38" s="10"/>
      <c r="O38" s="10"/>
      <c r="P38" s="10"/>
      <c r="Q38" s="2"/>
      <c r="R38" s="2"/>
      <c r="S38" s="2"/>
      <c r="T38" s="2"/>
      <c r="U38" s="7" t="str">
        <f t="shared" si="14"/>
        <v/>
      </c>
      <c r="V38" s="7" t="str">
        <f t="shared" si="15"/>
        <v/>
      </c>
      <c r="W38" s="22" t="str">
        <f t="shared" si="16"/>
        <v/>
      </c>
      <c r="X38" s="5" t="str">
        <f t="shared" si="17"/>
        <v/>
      </c>
      <c r="Y38" s="7" t="str">
        <f t="shared" si="18"/>
        <v/>
      </c>
      <c r="Z38" s="7" t="str">
        <f>IF(OR(AE38="",多次统计数据!$B$8=""),"",AE38-多次统计数据!$B$8)</f>
        <v/>
      </c>
      <c r="AA38" s="11" t="str">
        <f t="shared" si="19"/>
        <v/>
      </c>
      <c r="AB38" s="7" t="str">
        <f>IF(OR(A38="",多次统计数据!$B$8="",多次统计数据!$B$6&lt;=0,多次统计数据!$B$6&gt;=1),"",1-POWER(1+多次统计数据!$B$8,-多次统计数据!$B$6/(1-多次统计数据!$B$6)))</f>
        <v/>
      </c>
      <c r="AC38" s="8" t="str">
        <f>IF(OR(AB38="",多次统计数据!$B$9=""),"",IF(多次统计数据!$B$9&lt;AB38,"低于上限","达到或超过上限"))</f>
        <v/>
      </c>
      <c r="AD38" s="2"/>
      <c r="AE38" s="7" t="str">
        <f t="shared" si="20"/>
        <v/>
      </c>
      <c r="AG38" s="2"/>
      <c r="AH38" s="2"/>
      <c r="AI38" s="2"/>
      <c r="AJ38" s="8" t="str">
        <f t="shared" si="21"/>
        <v/>
      </c>
      <c r="AK38" s="10"/>
      <c r="AL38" s="12"/>
      <c r="AM38" s="10"/>
      <c r="AN38" s="12"/>
      <c r="AO38" s="5" t="str">
        <f t="shared" si="22"/>
        <v/>
      </c>
      <c r="AP38" s="11" t="str">
        <f t="shared" si="23"/>
        <v/>
      </c>
      <c r="AQ38" s="5" t="str">
        <f>IF(A38="","",IF(M38&lt;&gt;"",0,IF(OR(H38="",N38=""),"",MAX(E38-MAX(N38,IFERROR(SUMPRODUCT(MAX(((持仓跟踪!$A$2:$A$497="每日跟踪")*(持仓跟踪!$B$2:$B$497=A38))*持仓跟踪!$S$2:$S$497)),0)),0)*H38+IF(OR(AK38="",AL38=""),0,MAX(AK38-MAX(N38,IFERROR(SUMPRODUCT(MAX(((持仓跟踪!$A$2:$A$497="每日跟踪")*(持仓跟踪!$B$2:$B$497=A38))*持仓跟踪!$S$2:$S$497)),0)),0)*AL38)+IF(OR(AM38="",AN38=""),0,MAX(AM38-MAX(N38,IFERROR(SUMPRODUCT(MAX(((持仓跟踪!$A$2:$A$497="每日跟踪")*(持仓跟踪!$B$2:$B$497=A38))*持仓跟踪!$S$2:$S$497)),0)),0)*AN38))))</f>
        <v/>
      </c>
      <c r="AR38" s="8" t="str">
        <f ca="1">IF(A38="","",IF(OR(E38="",H38=""),"违规：第一批价格或股数缺失",IF(OR(AND(AK38="",AL38&lt;&gt;""),AND(AK38&lt;&gt;"",AL38="")),"违规：第二批价格与股数须成对填写",IF(OR(AND(AM38="",AN38&lt;&gt;""),AND(AM38&lt;&gt;"",AN38="")),"违规：第三批价格与股数须成对填写",IF(AND(OR(AM38&lt;&gt;"",AN38&lt;&gt;""),OR(AK38="",AL38="")),"违规：必须先完成第二批",IF(OR(H38&lt;=0,H38&lt;&gt;INT(H38),MOD(H38,100)&lt;&gt;0,AND(AL38&lt;&gt;"",OR(AL38&lt;=0,AL38&lt;&gt;INT(AL38),MOD(AL38,100)&lt;&gt;0)),AND(AN38&lt;&gt;"",OR(AN38&lt;=0,AN38&lt;&gt;INT(AN38),MOD(AN38,100)&lt;&gt;0))),"违规：股数须为100股整数倍",IF(AND(OR(AL38&lt;&gt;"",AN38&lt;&gt;""),OR(_LockStatus="已锁仓",_LockStatus="解锁信息不完整")),"违规：锁仓期间禁止加仓",IF(AQ38&gt;C38*D38,"违规：超过单笔风险上限",IF(SUM($AQ$2:$AQ$201)&gt;账户数据!$B$7,"违规：超过账户风险上限","通过")))))))))</f>
        <v/>
      </c>
    </row>
    <row r="39" ht="17" spans="1:44">
      <c r="A39" s="2"/>
      <c r="B39" s="2"/>
      <c r="C39" s="10"/>
      <c r="D39" s="6"/>
      <c r="E39" s="10"/>
      <c r="F39" s="8" t="str">
        <f t="shared" si="12"/>
        <v/>
      </c>
      <c r="G39" s="8" t="str">
        <f ca="1"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COUNTIFS(持仓跟踪!$A$2:$A$497,"止损计划",持仓跟踪!$B$2:$B$497,A39,持仓跟踪!$AC$2:$AC$497,"计划有效")=0,"禁止开仓：请先填写止损计划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9" s="2"/>
      <c r="I39" s="15"/>
      <c r="J39" s="10"/>
      <c r="K39" s="10"/>
      <c r="L39" s="8" t="str">
        <f t="shared" si="13"/>
        <v/>
      </c>
      <c r="M39" s="15"/>
      <c r="N39" s="10"/>
      <c r="O39" s="10"/>
      <c r="P39" s="10"/>
      <c r="Q39" s="2"/>
      <c r="R39" s="2"/>
      <c r="S39" s="2"/>
      <c r="T39" s="2"/>
      <c r="U39" s="7" t="str">
        <f t="shared" si="14"/>
        <v/>
      </c>
      <c r="V39" s="7" t="str">
        <f t="shared" si="15"/>
        <v/>
      </c>
      <c r="W39" s="22" t="str">
        <f t="shared" si="16"/>
        <v/>
      </c>
      <c r="X39" s="5" t="str">
        <f t="shared" si="17"/>
        <v/>
      </c>
      <c r="Y39" s="7" t="str">
        <f t="shared" si="18"/>
        <v/>
      </c>
      <c r="Z39" s="7" t="str">
        <f>IF(OR(AE39="",多次统计数据!$B$8=""),"",AE39-多次统计数据!$B$8)</f>
        <v/>
      </c>
      <c r="AA39" s="11" t="str">
        <f t="shared" si="19"/>
        <v/>
      </c>
      <c r="AB39" s="7" t="str">
        <f>IF(OR(A39="",多次统计数据!$B$8="",多次统计数据!$B$6&lt;=0,多次统计数据!$B$6&gt;=1),"",1-POWER(1+多次统计数据!$B$8,-多次统计数据!$B$6/(1-多次统计数据!$B$6)))</f>
        <v/>
      </c>
      <c r="AC39" s="8" t="str">
        <f>IF(OR(AB39="",多次统计数据!$B$9=""),"",IF(多次统计数据!$B$9&lt;AB39,"低于上限","达到或超过上限"))</f>
        <v/>
      </c>
      <c r="AD39" s="2"/>
      <c r="AE39" s="7" t="str">
        <f t="shared" si="20"/>
        <v/>
      </c>
      <c r="AG39" s="2"/>
      <c r="AH39" s="2"/>
      <c r="AI39" s="2"/>
      <c r="AJ39" s="8" t="str">
        <f t="shared" si="21"/>
        <v/>
      </c>
      <c r="AK39" s="10"/>
      <c r="AL39" s="12"/>
      <c r="AM39" s="10"/>
      <c r="AN39" s="12"/>
      <c r="AO39" s="5" t="str">
        <f t="shared" si="22"/>
        <v/>
      </c>
      <c r="AP39" s="11" t="str">
        <f t="shared" si="23"/>
        <v/>
      </c>
      <c r="AQ39" s="5" t="str">
        <f>IF(A39="","",IF(M39&lt;&gt;"",0,IF(OR(H39="",N39=""),"",MAX(E39-MAX(N39,IFERROR(SUMPRODUCT(MAX(((持仓跟踪!$A$2:$A$497="每日跟踪")*(持仓跟踪!$B$2:$B$497=A39))*持仓跟踪!$S$2:$S$497)),0)),0)*H39+IF(OR(AK39="",AL39=""),0,MAX(AK39-MAX(N39,IFERROR(SUMPRODUCT(MAX(((持仓跟踪!$A$2:$A$497="每日跟踪")*(持仓跟踪!$B$2:$B$497=A39))*持仓跟踪!$S$2:$S$497)),0)),0)*AL39)+IF(OR(AM39="",AN39=""),0,MAX(AM39-MAX(N39,IFERROR(SUMPRODUCT(MAX(((持仓跟踪!$A$2:$A$497="每日跟踪")*(持仓跟踪!$B$2:$B$497=A39))*持仓跟踪!$S$2:$S$497)),0)),0)*AN39))))</f>
        <v/>
      </c>
      <c r="AR39" s="8" t="str">
        <f ca="1">IF(A39="","",IF(OR(E39="",H39=""),"违规：第一批价格或股数缺失",IF(OR(AND(AK39="",AL39&lt;&gt;""),AND(AK39&lt;&gt;"",AL39="")),"违规：第二批价格与股数须成对填写",IF(OR(AND(AM39="",AN39&lt;&gt;""),AND(AM39&lt;&gt;"",AN39="")),"违规：第三批价格与股数须成对填写",IF(AND(OR(AM39&lt;&gt;"",AN39&lt;&gt;""),OR(AK39="",AL39="")),"违规：必须先完成第二批",IF(OR(H39&lt;=0,H39&lt;&gt;INT(H39),MOD(H39,100)&lt;&gt;0,AND(AL39&lt;&gt;"",OR(AL39&lt;=0,AL39&lt;&gt;INT(AL39),MOD(AL39,100)&lt;&gt;0)),AND(AN39&lt;&gt;"",OR(AN39&lt;=0,AN39&lt;&gt;INT(AN39),MOD(AN39,100)&lt;&gt;0))),"违规：股数须为100股整数倍",IF(AND(OR(AL39&lt;&gt;"",AN39&lt;&gt;""),OR(_LockStatus="已锁仓",_LockStatus="解锁信息不完整")),"违规：锁仓期间禁止加仓",IF(AQ39&gt;C39*D39,"违规：超过单笔风险上限",IF(SUM($AQ$2:$AQ$201)&gt;账户数据!$B$7,"违规：超过账户风险上限","通过")))))))))</f>
        <v/>
      </c>
    </row>
    <row r="40" ht="17" spans="1:44">
      <c r="A40" s="2"/>
      <c r="B40" s="2"/>
      <c r="C40" s="10"/>
      <c r="D40" s="6"/>
      <c r="E40" s="10"/>
      <c r="F40" s="8" t="str">
        <f t="shared" si="12"/>
        <v/>
      </c>
      <c r="G40" s="8" t="str">
        <f ca="1"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COUNTIFS(持仓跟踪!$A$2:$A$497,"止损计划",持仓跟踪!$B$2:$B$497,A40,持仓跟踪!$AC$2:$AC$497,"计划有效")=0,"禁止开仓：请先填写止损计划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0" s="2"/>
      <c r="I40" s="15"/>
      <c r="J40" s="10"/>
      <c r="K40" s="10"/>
      <c r="L40" s="8" t="str">
        <f t="shared" si="13"/>
        <v/>
      </c>
      <c r="M40" s="15"/>
      <c r="N40" s="10"/>
      <c r="O40" s="10"/>
      <c r="P40" s="10"/>
      <c r="Q40" s="2"/>
      <c r="R40" s="2"/>
      <c r="S40" s="2"/>
      <c r="T40" s="2"/>
      <c r="U40" s="7" t="str">
        <f t="shared" si="14"/>
        <v/>
      </c>
      <c r="V40" s="7" t="str">
        <f t="shared" si="15"/>
        <v/>
      </c>
      <c r="W40" s="22" t="str">
        <f t="shared" si="16"/>
        <v/>
      </c>
      <c r="X40" s="5" t="str">
        <f t="shared" si="17"/>
        <v/>
      </c>
      <c r="Y40" s="7" t="str">
        <f t="shared" si="18"/>
        <v/>
      </c>
      <c r="Z40" s="7" t="str">
        <f>IF(OR(AE40="",多次统计数据!$B$8=""),"",AE40-多次统计数据!$B$8)</f>
        <v/>
      </c>
      <c r="AA40" s="11" t="str">
        <f t="shared" si="19"/>
        <v/>
      </c>
      <c r="AB40" s="7" t="str">
        <f>IF(OR(A40="",多次统计数据!$B$8="",多次统计数据!$B$6&lt;=0,多次统计数据!$B$6&gt;=1),"",1-POWER(1+多次统计数据!$B$8,-多次统计数据!$B$6/(1-多次统计数据!$B$6)))</f>
        <v/>
      </c>
      <c r="AC40" s="8" t="str">
        <f>IF(OR(AB40="",多次统计数据!$B$9=""),"",IF(多次统计数据!$B$9&lt;AB40,"低于上限","达到或超过上限"))</f>
        <v/>
      </c>
      <c r="AD40" s="2"/>
      <c r="AE40" s="7" t="str">
        <f t="shared" si="20"/>
        <v/>
      </c>
      <c r="AG40" s="2"/>
      <c r="AH40" s="2"/>
      <c r="AI40" s="2"/>
      <c r="AJ40" s="8" t="str">
        <f t="shared" si="21"/>
        <v/>
      </c>
      <c r="AK40" s="10"/>
      <c r="AL40" s="12"/>
      <c r="AM40" s="10"/>
      <c r="AN40" s="12"/>
      <c r="AO40" s="5" t="str">
        <f t="shared" si="22"/>
        <v/>
      </c>
      <c r="AP40" s="11" t="str">
        <f t="shared" si="23"/>
        <v/>
      </c>
      <c r="AQ40" s="5" t="str">
        <f>IF(A40="","",IF(M40&lt;&gt;"",0,IF(OR(H40="",N40=""),"",MAX(E40-MAX(N40,IFERROR(SUMPRODUCT(MAX(((持仓跟踪!$A$2:$A$497="每日跟踪")*(持仓跟踪!$B$2:$B$497=A40))*持仓跟踪!$S$2:$S$497)),0)),0)*H40+IF(OR(AK40="",AL40=""),0,MAX(AK40-MAX(N40,IFERROR(SUMPRODUCT(MAX(((持仓跟踪!$A$2:$A$497="每日跟踪")*(持仓跟踪!$B$2:$B$497=A40))*持仓跟踪!$S$2:$S$497)),0)),0)*AL40)+IF(OR(AM40="",AN40=""),0,MAX(AM40-MAX(N40,IFERROR(SUMPRODUCT(MAX(((持仓跟踪!$A$2:$A$497="每日跟踪")*(持仓跟踪!$B$2:$B$497=A40))*持仓跟踪!$S$2:$S$497)),0)),0)*AN40))))</f>
        <v/>
      </c>
      <c r="AR40" s="8" t="str">
        <f ca="1">IF(A40="","",IF(OR(E40="",H40=""),"违规：第一批价格或股数缺失",IF(OR(AND(AK40="",AL40&lt;&gt;""),AND(AK40&lt;&gt;"",AL40="")),"违规：第二批价格与股数须成对填写",IF(OR(AND(AM40="",AN40&lt;&gt;""),AND(AM40&lt;&gt;"",AN40="")),"违规：第三批价格与股数须成对填写",IF(AND(OR(AM40&lt;&gt;"",AN40&lt;&gt;""),OR(AK40="",AL40="")),"违规：必须先完成第二批",IF(OR(H40&lt;=0,H40&lt;&gt;INT(H40),MOD(H40,100)&lt;&gt;0,AND(AL40&lt;&gt;"",OR(AL40&lt;=0,AL40&lt;&gt;INT(AL40),MOD(AL40,100)&lt;&gt;0)),AND(AN40&lt;&gt;"",OR(AN40&lt;=0,AN40&lt;&gt;INT(AN40),MOD(AN40,100)&lt;&gt;0))),"违规：股数须为100股整数倍",IF(AND(OR(AL40&lt;&gt;"",AN40&lt;&gt;""),OR(_LockStatus="已锁仓",_LockStatus="解锁信息不完整")),"违规：锁仓期间禁止加仓",IF(AQ40&gt;C40*D40,"违规：超过单笔风险上限",IF(SUM($AQ$2:$AQ$201)&gt;账户数据!$B$7,"违规：超过账户风险上限","通过")))))))))</f>
        <v/>
      </c>
    </row>
    <row r="41" ht="17" spans="1:44">
      <c r="A41" s="2"/>
      <c r="B41" s="2"/>
      <c r="C41" s="10"/>
      <c r="D41" s="6"/>
      <c r="E41" s="10"/>
      <c r="F41" s="8" t="str">
        <f t="shared" si="12"/>
        <v/>
      </c>
      <c r="G41" s="8" t="str">
        <f ca="1"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COUNTIFS(持仓跟踪!$A$2:$A$497,"止损计划",持仓跟踪!$B$2:$B$497,A41,持仓跟踪!$AC$2:$AC$497,"计划有效")=0,"禁止开仓：请先填写止损计划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1" s="2"/>
      <c r="I41" s="15"/>
      <c r="J41" s="10"/>
      <c r="K41" s="10"/>
      <c r="L41" s="8" t="str">
        <f t="shared" si="13"/>
        <v/>
      </c>
      <c r="M41" s="15"/>
      <c r="N41" s="10"/>
      <c r="O41" s="10"/>
      <c r="P41" s="10"/>
      <c r="Q41" s="2"/>
      <c r="R41" s="2"/>
      <c r="S41" s="2"/>
      <c r="T41" s="2"/>
      <c r="U41" s="7" t="str">
        <f t="shared" si="14"/>
        <v/>
      </c>
      <c r="V41" s="7" t="str">
        <f t="shared" si="15"/>
        <v/>
      </c>
      <c r="W41" s="22" t="str">
        <f t="shared" si="16"/>
        <v/>
      </c>
      <c r="X41" s="5" t="str">
        <f t="shared" si="17"/>
        <v/>
      </c>
      <c r="Y41" s="7" t="str">
        <f t="shared" si="18"/>
        <v/>
      </c>
      <c r="Z41" s="7" t="str">
        <f>IF(OR(AE41="",多次统计数据!$B$8=""),"",AE41-多次统计数据!$B$8)</f>
        <v/>
      </c>
      <c r="AA41" s="11" t="str">
        <f t="shared" si="19"/>
        <v/>
      </c>
      <c r="AB41" s="7" t="str">
        <f>IF(OR(A41="",多次统计数据!$B$8="",多次统计数据!$B$6&lt;=0,多次统计数据!$B$6&gt;=1),"",1-POWER(1+多次统计数据!$B$8,-多次统计数据!$B$6/(1-多次统计数据!$B$6)))</f>
        <v/>
      </c>
      <c r="AC41" s="8" t="str">
        <f>IF(OR(AB41="",多次统计数据!$B$9=""),"",IF(多次统计数据!$B$9&lt;AB41,"低于上限","达到或超过上限"))</f>
        <v/>
      </c>
      <c r="AD41" s="2"/>
      <c r="AE41" s="7" t="str">
        <f t="shared" si="20"/>
        <v/>
      </c>
      <c r="AG41" s="2"/>
      <c r="AH41" s="2"/>
      <c r="AI41" s="2"/>
      <c r="AJ41" s="8" t="str">
        <f t="shared" si="21"/>
        <v/>
      </c>
      <c r="AK41" s="10"/>
      <c r="AL41" s="12"/>
      <c r="AM41" s="10"/>
      <c r="AN41" s="12"/>
      <c r="AO41" s="5" t="str">
        <f t="shared" si="22"/>
        <v/>
      </c>
      <c r="AP41" s="11" t="str">
        <f t="shared" si="23"/>
        <v/>
      </c>
      <c r="AQ41" s="5" t="str">
        <f>IF(A41="","",IF(M41&lt;&gt;"",0,IF(OR(H41="",N41=""),"",MAX(E41-MAX(N41,IFERROR(SUMPRODUCT(MAX(((持仓跟踪!$A$2:$A$497="每日跟踪")*(持仓跟踪!$B$2:$B$497=A41))*持仓跟踪!$S$2:$S$497)),0)),0)*H41+IF(OR(AK41="",AL41=""),0,MAX(AK41-MAX(N41,IFERROR(SUMPRODUCT(MAX(((持仓跟踪!$A$2:$A$497="每日跟踪")*(持仓跟踪!$B$2:$B$497=A41))*持仓跟踪!$S$2:$S$497)),0)),0)*AL41)+IF(OR(AM41="",AN41=""),0,MAX(AM41-MAX(N41,IFERROR(SUMPRODUCT(MAX(((持仓跟踪!$A$2:$A$497="每日跟踪")*(持仓跟踪!$B$2:$B$497=A41))*持仓跟踪!$S$2:$S$497)),0)),0)*AN41))))</f>
        <v/>
      </c>
      <c r="AR41" s="8" t="str">
        <f ca="1">IF(A41="","",IF(OR(E41="",H41=""),"违规：第一批价格或股数缺失",IF(OR(AND(AK41="",AL41&lt;&gt;""),AND(AK41&lt;&gt;"",AL41="")),"违规：第二批价格与股数须成对填写",IF(OR(AND(AM41="",AN41&lt;&gt;""),AND(AM41&lt;&gt;"",AN41="")),"违规：第三批价格与股数须成对填写",IF(AND(OR(AM41&lt;&gt;"",AN41&lt;&gt;""),OR(AK41="",AL41="")),"违规：必须先完成第二批",IF(OR(H41&lt;=0,H41&lt;&gt;INT(H41),MOD(H41,100)&lt;&gt;0,AND(AL41&lt;&gt;"",OR(AL41&lt;=0,AL41&lt;&gt;INT(AL41),MOD(AL41,100)&lt;&gt;0)),AND(AN41&lt;&gt;"",OR(AN41&lt;=0,AN41&lt;&gt;INT(AN41),MOD(AN41,100)&lt;&gt;0))),"违规：股数须为100股整数倍",IF(AND(OR(AL41&lt;&gt;"",AN41&lt;&gt;""),OR(_LockStatus="已锁仓",_LockStatus="解锁信息不完整")),"违规：锁仓期间禁止加仓",IF(AQ41&gt;C41*D41,"违规：超过单笔风险上限",IF(SUM($AQ$2:$AQ$201)&gt;账户数据!$B$7,"违规：超过账户风险上限","通过")))))))))</f>
        <v/>
      </c>
    </row>
    <row r="42" ht="17" spans="1:44">
      <c r="A42" s="2"/>
      <c r="B42" s="2"/>
      <c r="C42" s="10"/>
      <c r="D42" s="6"/>
      <c r="E42" s="10"/>
      <c r="F42" s="8" t="str">
        <f t="shared" si="12"/>
        <v/>
      </c>
      <c r="G42" s="8" t="str">
        <f ca="1"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COUNTIFS(持仓跟踪!$A$2:$A$497,"止损计划",持仓跟踪!$B$2:$B$497,A42,持仓跟踪!$AC$2:$AC$497,"计划有效")=0,"禁止开仓：请先填写止损计划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2" s="2"/>
      <c r="I42" s="15"/>
      <c r="J42" s="10"/>
      <c r="K42" s="10"/>
      <c r="L42" s="8" t="str">
        <f t="shared" si="13"/>
        <v/>
      </c>
      <c r="M42" s="15"/>
      <c r="N42" s="10"/>
      <c r="O42" s="10"/>
      <c r="P42" s="10"/>
      <c r="Q42" s="2"/>
      <c r="R42" s="2"/>
      <c r="S42" s="2"/>
      <c r="T42" s="2"/>
      <c r="U42" s="7" t="str">
        <f t="shared" si="14"/>
        <v/>
      </c>
      <c r="V42" s="7" t="str">
        <f t="shared" si="15"/>
        <v/>
      </c>
      <c r="W42" s="22" t="str">
        <f t="shared" si="16"/>
        <v/>
      </c>
      <c r="X42" s="5" t="str">
        <f t="shared" si="17"/>
        <v/>
      </c>
      <c r="Y42" s="7" t="str">
        <f t="shared" si="18"/>
        <v/>
      </c>
      <c r="Z42" s="7" t="str">
        <f>IF(OR(AE42="",多次统计数据!$B$8=""),"",AE42-多次统计数据!$B$8)</f>
        <v/>
      </c>
      <c r="AA42" s="11" t="str">
        <f t="shared" si="19"/>
        <v/>
      </c>
      <c r="AB42" s="7" t="str">
        <f>IF(OR(A42="",多次统计数据!$B$8="",多次统计数据!$B$6&lt;=0,多次统计数据!$B$6&gt;=1),"",1-POWER(1+多次统计数据!$B$8,-多次统计数据!$B$6/(1-多次统计数据!$B$6)))</f>
        <v/>
      </c>
      <c r="AC42" s="8" t="str">
        <f>IF(OR(AB42="",多次统计数据!$B$9=""),"",IF(多次统计数据!$B$9&lt;AB42,"低于上限","达到或超过上限"))</f>
        <v/>
      </c>
      <c r="AD42" s="2"/>
      <c r="AE42" s="7" t="str">
        <f t="shared" si="20"/>
        <v/>
      </c>
      <c r="AG42" s="2"/>
      <c r="AH42" s="2"/>
      <c r="AI42" s="2"/>
      <c r="AJ42" s="8" t="str">
        <f t="shared" si="21"/>
        <v/>
      </c>
      <c r="AK42" s="10"/>
      <c r="AL42" s="12"/>
      <c r="AM42" s="10"/>
      <c r="AN42" s="12"/>
      <c r="AO42" s="5" t="str">
        <f t="shared" si="22"/>
        <v/>
      </c>
      <c r="AP42" s="11" t="str">
        <f t="shared" si="23"/>
        <v/>
      </c>
      <c r="AQ42" s="5" t="str">
        <f>IF(A42="","",IF(M42&lt;&gt;"",0,IF(OR(H42="",N42=""),"",MAX(E42-MAX(N42,IFERROR(SUMPRODUCT(MAX(((持仓跟踪!$A$2:$A$497="每日跟踪")*(持仓跟踪!$B$2:$B$497=A42))*持仓跟踪!$S$2:$S$497)),0)),0)*H42+IF(OR(AK42="",AL42=""),0,MAX(AK42-MAX(N42,IFERROR(SUMPRODUCT(MAX(((持仓跟踪!$A$2:$A$497="每日跟踪")*(持仓跟踪!$B$2:$B$497=A42))*持仓跟踪!$S$2:$S$497)),0)),0)*AL42)+IF(OR(AM42="",AN42=""),0,MAX(AM42-MAX(N42,IFERROR(SUMPRODUCT(MAX(((持仓跟踪!$A$2:$A$497="每日跟踪")*(持仓跟踪!$B$2:$B$497=A42))*持仓跟踪!$S$2:$S$497)),0)),0)*AN42))))</f>
        <v/>
      </c>
      <c r="AR42" s="8" t="str">
        <f ca="1">IF(A42="","",IF(OR(E42="",H42=""),"违规：第一批价格或股数缺失",IF(OR(AND(AK42="",AL42&lt;&gt;""),AND(AK42&lt;&gt;"",AL42="")),"违规：第二批价格与股数须成对填写",IF(OR(AND(AM42="",AN42&lt;&gt;""),AND(AM42&lt;&gt;"",AN42="")),"违规：第三批价格与股数须成对填写",IF(AND(OR(AM42&lt;&gt;"",AN42&lt;&gt;""),OR(AK42="",AL42="")),"违规：必须先完成第二批",IF(OR(H42&lt;=0,H42&lt;&gt;INT(H42),MOD(H42,100)&lt;&gt;0,AND(AL42&lt;&gt;"",OR(AL42&lt;=0,AL42&lt;&gt;INT(AL42),MOD(AL42,100)&lt;&gt;0)),AND(AN42&lt;&gt;"",OR(AN42&lt;=0,AN42&lt;&gt;INT(AN42),MOD(AN42,100)&lt;&gt;0))),"违规：股数须为100股整数倍",IF(AND(OR(AL42&lt;&gt;"",AN42&lt;&gt;""),OR(_LockStatus="已锁仓",_LockStatus="解锁信息不完整")),"违规：锁仓期间禁止加仓",IF(AQ42&gt;C42*D42,"违规：超过单笔风险上限",IF(SUM($AQ$2:$AQ$201)&gt;账户数据!$B$7,"违规：超过账户风险上限","通过")))))))))</f>
        <v/>
      </c>
    </row>
    <row r="43" ht="17" spans="1:44">
      <c r="A43" s="2"/>
      <c r="B43" s="2"/>
      <c r="C43" s="10"/>
      <c r="D43" s="6"/>
      <c r="E43" s="10"/>
      <c r="F43" s="8" t="str">
        <f t="shared" si="12"/>
        <v/>
      </c>
      <c r="G43" s="8" t="str">
        <f ca="1"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COUNTIFS(持仓跟踪!$A$2:$A$497,"止损计划",持仓跟踪!$B$2:$B$497,A43,持仓跟踪!$AC$2:$AC$497,"计划有效")=0,"禁止开仓：请先填写止损计划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3" s="2"/>
      <c r="I43" s="15"/>
      <c r="J43" s="10"/>
      <c r="K43" s="10"/>
      <c r="L43" s="8" t="str">
        <f t="shared" si="13"/>
        <v/>
      </c>
      <c r="M43" s="15"/>
      <c r="N43" s="10"/>
      <c r="O43" s="10"/>
      <c r="P43" s="10"/>
      <c r="Q43" s="2"/>
      <c r="R43" s="2"/>
      <c r="S43" s="2"/>
      <c r="T43" s="2"/>
      <c r="U43" s="7" t="str">
        <f t="shared" si="14"/>
        <v/>
      </c>
      <c r="V43" s="7" t="str">
        <f t="shared" si="15"/>
        <v/>
      </c>
      <c r="W43" s="22" t="str">
        <f t="shared" si="16"/>
        <v/>
      </c>
      <c r="X43" s="5" t="str">
        <f t="shared" si="17"/>
        <v/>
      </c>
      <c r="Y43" s="7" t="str">
        <f t="shared" si="18"/>
        <v/>
      </c>
      <c r="Z43" s="7" t="str">
        <f>IF(OR(AE43="",多次统计数据!$B$8=""),"",AE43-多次统计数据!$B$8)</f>
        <v/>
      </c>
      <c r="AA43" s="11" t="str">
        <f t="shared" si="19"/>
        <v/>
      </c>
      <c r="AB43" s="7" t="str">
        <f>IF(OR(A43="",多次统计数据!$B$8="",多次统计数据!$B$6&lt;=0,多次统计数据!$B$6&gt;=1),"",1-POWER(1+多次统计数据!$B$8,-多次统计数据!$B$6/(1-多次统计数据!$B$6)))</f>
        <v/>
      </c>
      <c r="AC43" s="8" t="str">
        <f>IF(OR(AB43="",多次统计数据!$B$9=""),"",IF(多次统计数据!$B$9&lt;AB43,"低于上限","达到或超过上限"))</f>
        <v/>
      </c>
      <c r="AD43" s="2"/>
      <c r="AE43" s="7" t="str">
        <f t="shared" si="20"/>
        <v/>
      </c>
      <c r="AG43" s="2"/>
      <c r="AH43" s="2"/>
      <c r="AI43" s="2"/>
      <c r="AJ43" s="8" t="str">
        <f t="shared" si="21"/>
        <v/>
      </c>
      <c r="AK43" s="10"/>
      <c r="AL43" s="12"/>
      <c r="AM43" s="10"/>
      <c r="AN43" s="12"/>
      <c r="AO43" s="5" t="str">
        <f t="shared" si="22"/>
        <v/>
      </c>
      <c r="AP43" s="11" t="str">
        <f t="shared" si="23"/>
        <v/>
      </c>
      <c r="AQ43" s="5" t="str">
        <f>IF(A43="","",IF(M43&lt;&gt;"",0,IF(OR(H43="",N43=""),"",MAX(E43-MAX(N43,IFERROR(SUMPRODUCT(MAX(((持仓跟踪!$A$2:$A$497="每日跟踪")*(持仓跟踪!$B$2:$B$497=A43))*持仓跟踪!$S$2:$S$497)),0)),0)*H43+IF(OR(AK43="",AL43=""),0,MAX(AK43-MAX(N43,IFERROR(SUMPRODUCT(MAX(((持仓跟踪!$A$2:$A$497="每日跟踪")*(持仓跟踪!$B$2:$B$497=A43))*持仓跟踪!$S$2:$S$497)),0)),0)*AL43)+IF(OR(AM43="",AN43=""),0,MAX(AM43-MAX(N43,IFERROR(SUMPRODUCT(MAX(((持仓跟踪!$A$2:$A$497="每日跟踪")*(持仓跟踪!$B$2:$B$497=A43))*持仓跟踪!$S$2:$S$497)),0)),0)*AN43))))</f>
        <v/>
      </c>
      <c r="AR43" s="8" t="str">
        <f ca="1">IF(A43="","",IF(OR(E43="",H43=""),"违规：第一批价格或股数缺失",IF(OR(AND(AK43="",AL43&lt;&gt;""),AND(AK43&lt;&gt;"",AL43="")),"违规：第二批价格与股数须成对填写",IF(OR(AND(AM43="",AN43&lt;&gt;""),AND(AM43&lt;&gt;"",AN43="")),"违规：第三批价格与股数须成对填写",IF(AND(OR(AM43&lt;&gt;"",AN43&lt;&gt;""),OR(AK43="",AL43="")),"违规：必须先完成第二批",IF(OR(H43&lt;=0,H43&lt;&gt;INT(H43),MOD(H43,100)&lt;&gt;0,AND(AL43&lt;&gt;"",OR(AL43&lt;=0,AL43&lt;&gt;INT(AL43),MOD(AL43,100)&lt;&gt;0)),AND(AN43&lt;&gt;"",OR(AN43&lt;=0,AN43&lt;&gt;INT(AN43),MOD(AN43,100)&lt;&gt;0))),"违规：股数须为100股整数倍",IF(AND(OR(AL43&lt;&gt;"",AN43&lt;&gt;""),OR(_LockStatus="已锁仓",_LockStatus="解锁信息不完整")),"违规：锁仓期间禁止加仓",IF(AQ43&gt;C43*D43,"违规：超过单笔风险上限",IF(SUM($AQ$2:$AQ$201)&gt;账户数据!$B$7,"违规：超过账户风险上限","通过")))))))))</f>
        <v/>
      </c>
    </row>
    <row r="44" ht="17" spans="1:44">
      <c r="A44" s="2"/>
      <c r="B44" s="2"/>
      <c r="C44" s="10"/>
      <c r="D44" s="6"/>
      <c r="E44" s="10"/>
      <c r="F44" s="8" t="str">
        <f t="shared" si="12"/>
        <v/>
      </c>
      <c r="G44" s="8" t="str">
        <f ca="1"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COUNTIFS(持仓跟踪!$A$2:$A$497,"止损计划",持仓跟踪!$B$2:$B$497,A44,持仓跟踪!$AC$2:$AC$497,"计划有效")=0,"禁止开仓：请先填写止损计划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4" s="2"/>
      <c r="I44" s="15"/>
      <c r="J44" s="10"/>
      <c r="K44" s="10"/>
      <c r="L44" s="8" t="str">
        <f t="shared" si="13"/>
        <v/>
      </c>
      <c r="M44" s="15"/>
      <c r="N44" s="10"/>
      <c r="O44" s="10"/>
      <c r="P44" s="10"/>
      <c r="Q44" s="2"/>
      <c r="R44" s="2"/>
      <c r="S44" s="2"/>
      <c r="T44" s="2"/>
      <c r="U44" s="7" t="str">
        <f t="shared" si="14"/>
        <v/>
      </c>
      <c r="V44" s="7" t="str">
        <f t="shared" si="15"/>
        <v/>
      </c>
      <c r="W44" s="22" t="str">
        <f t="shared" si="16"/>
        <v/>
      </c>
      <c r="X44" s="5" t="str">
        <f t="shared" si="17"/>
        <v/>
      </c>
      <c r="Y44" s="7" t="str">
        <f t="shared" si="18"/>
        <v/>
      </c>
      <c r="Z44" s="7" t="str">
        <f>IF(OR(AE44="",多次统计数据!$B$8=""),"",AE44-多次统计数据!$B$8)</f>
        <v/>
      </c>
      <c r="AA44" s="11" t="str">
        <f t="shared" si="19"/>
        <v/>
      </c>
      <c r="AB44" s="7" t="str">
        <f>IF(OR(A44="",多次统计数据!$B$8="",多次统计数据!$B$6&lt;=0,多次统计数据!$B$6&gt;=1),"",1-POWER(1+多次统计数据!$B$8,-多次统计数据!$B$6/(1-多次统计数据!$B$6)))</f>
        <v/>
      </c>
      <c r="AC44" s="8" t="str">
        <f>IF(OR(AB44="",多次统计数据!$B$9=""),"",IF(多次统计数据!$B$9&lt;AB44,"低于上限","达到或超过上限"))</f>
        <v/>
      </c>
      <c r="AD44" s="2"/>
      <c r="AE44" s="7" t="str">
        <f t="shared" si="20"/>
        <v/>
      </c>
      <c r="AG44" s="2"/>
      <c r="AH44" s="2"/>
      <c r="AI44" s="2"/>
      <c r="AJ44" s="8" t="str">
        <f t="shared" si="21"/>
        <v/>
      </c>
      <c r="AK44" s="10"/>
      <c r="AL44" s="12"/>
      <c r="AM44" s="10"/>
      <c r="AN44" s="12"/>
      <c r="AO44" s="5" t="str">
        <f t="shared" si="22"/>
        <v/>
      </c>
      <c r="AP44" s="11" t="str">
        <f t="shared" si="23"/>
        <v/>
      </c>
      <c r="AQ44" s="5" t="str">
        <f>IF(A44="","",IF(M44&lt;&gt;"",0,IF(OR(H44="",N44=""),"",MAX(E44-MAX(N44,IFERROR(SUMPRODUCT(MAX(((持仓跟踪!$A$2:$A$497="每日跟踪")*(持仓跟踪!$B$2:$B$497=A44))*持仓跟踪!$S$2:$S$497)),0)),0)*H44+IF(OR(AK44="",AL44=""),0,MAX(AK44-MAX(N44,IFERROR(SUMPRODUCT(MAX(((持仓跟踪!$A$2:$A$497="每日跟踪")*(持仓跟踪!$B$2:$B$497=A44))*持仓跟踪!$S$2:$S$497)),0)),0)*AL44)+IF(OR(AM44="",AN44=""),0,MAX(AM44-MAX(N44,IFERROR(SUMPRODUCT(MAX(((持仓跟踪!$A$2:$A$497="每日跟踪")*(持仓跟踪!$B$2:$B$497=A44))*持仓跟踪!$S$2:$S$497)),0)),0)*AN44))))</f>
        <v/>
      </c>
      <c r="AR44" s="8" t="str">
        <f ca="1">IF(A44="","",IF(OR(E44="",H44=""),"违规：第一批价格或股数缺失",IF(OR(AND(AK44="",AL44&lt;&gt;""),AND(AK44&lt;&gt;"",AL44="")),"违规：第二批价格与股数须成对填写",IF(OR(AND(AM44="",AN44&lt;&gt;""),AND(AM44&lt;&gt;"",AN44="")),"违规：第三批价格与股数须成对填写",IF(AND(OR(AM44&lt;&gt;"",AN44&lt;&gt;""),OR(AK44="",AL44="")),"违规：必须先完成第二批",IF(OR(H44&lt;=0,H44&lt;&gt;INT(H44),MOD(H44,100)&lt;&gt;0,AND(AL44&lt;&gt;"",OR(AL44&lt;=0,AL44&lt;&gt;INT(AL44),MOD(AL44,100)&lt;&gt;0)),AND(AN44&lt;&gt;"",OR(AN44&lt;=0,AN44&lt;&gt;INT(AN44),MOD(AN44,100)&lt;&gt;0))),"违规：股数须为100股整数倍",IF(AND(OR(AL44&lt;&gt;"",AN44&lt;&gt;""),OR(_LockStatus="已锁仓",_LockStatus="解锁信息不完整")),"违规：锁仓期间禁止加仓",IF(AQ44&gt;C44*D44,"违规：超过单笔风险上限",IF(SUM($AQ$2:$AQ$201)&gt;账户数据!$B$7,"违规：超过账户风险上限","通过")))))))))</f>
        <v/>
      </c>
    </row>
    <row r="45" ht="17" spans="1:44">
      <c r="A45" s="2"/>
      <c r="B45" s="2"/>
      <c r="C45" s="10"/>
      <c r="D45" s="6"/>
      <c r="E45" s="10"/>
      <c r="F45" s="8" t="str">
        <f t="shared" si="12"/>
        <v/>
      </c>
      <c r="G45" s="8" t="str">
        <f ca="1"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COUNTIFS(持仓跟踪!$A$2:$A$497,"止损计划",持仓跟踪!$B$2:$B$497,A45,持仓跟踪!$AC$2:$AC$497,"计划有效")=0,"禁止开仓：请先填写止损计划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5" s="2"/>
      <c r="I45" s="15"/>
      <c r="J45" s="10"/>
      <c r="K45" s="10"/>
      <c r="L45" s="8" t="str">
        <f t="shared" si="13"/>
        <v/>
      </c>
      <c r="M45" s="15"/>
      <c r="N45" s="10"/>
      <c r="O45" s="10"/>
      <c r="P45" s="10"/>
      <c r="Q45" s="2"/>
      <c r="R45" s="2"/>
      <c r="S45" s="2"/>
      <c r="T45" s="2"/>
      <c r="U45" s="7" t="str">
        <f t="shared" si="14"/>
        <v/>
      </c>
      <c r="V45" s="7" t="str">
        <f t="shared" si="15"/>
        <v/>
      </c>
      <c r="W45" s="22" t="str">
        <f t="shared" si="16"/>
        <v/>
      </c>
      <c r="X45" s="5" t="str">
        <f t="shared" si="17"/>
        <v/>
      </c>
      <c r="Y45" s="7" t="str">
        <f t="shared" si="18"/>
        <v/>
      </c>
      <c r="Z45" s="7" t="str">
        <f>IF(OR(AE45="",多次统计数据!$B$8=""),"",AE45-多次统计数据!$B$8)</f>
        <v/>
      </c>
      <c r="AA45" s="11" t="str">
        <f t="shared" si="19"/>
        <v/>
      </c>
      <c r="AB45" s="7" t="str">
        <f>IF(OR(A45="",多次统计数据!$B$8="",多次统计数据!$B$6&lt;=0,多次统计数据!$B$6&gt;=1),"",1-POWER(1+多次统计数据!$B$8,-多次统计数据!$B$6/(1-多次统计数据!$B$6)))</f>
        <v/>
      </c>
      <c r="AC45" s="8" t="str">
        <f>IF(OR(AB45="",多次统计数据!$B$9=""),"",IF(多次统计数据!$B$9&lt;AB45,"低于上限","达到或超过上限"))</f>
        <v/>
      </c>
      <c r="AD45" s="2"/>
      <c r="AE45" s="7" t="str">
        <f t="shared" si="20"/>
        <v/>
      </c>
      <c r="AG45" s="2"/>
      <c r="AH45" s="2"/>
      <c r="AI45" s="2"/>
      <c r="AJ45" s="8" t="str">
        <f t="shared" si="21"/>
        <v/>
      </c>
      <c r="AK45" s="10"/>
      <c r="AL45" s="12"/>
      <c r="AM45" s="10"/>
      <c r="AN45" s="12"/>
      <c r="AO45" s="5" t="str">
        <f t="shared" si="22"/>
        <v/>
      </c>
      <c r="AP45" s="11" t="str">
        <f t="shared" si="23"/>
        <v/>
      </c>
      <c r="AQ45" s="5" t="str">
        <f>IF(A45="","",IF(M45&lt;&gt;"",0,IF(OR(H45="",N45=""),"",MAX(E45-MAX(N45,IFERROR(SUMPRODUCT(MAX(((持仓跟踪!$A$2:$A$497="每日跟踪")*(持仓跟踪!$B$2:$B$497=A45))*持仓跟踪!$S$2:$S$497)),0)),0)*H45+IF(OR(AK45="",AL45=""),0,MAX(AK45-MAX(N45,IFERROR(SUMPRODUCT(MAX(((持仓跟踪!$A$2:$A$497="每日跟踪")*(持仓跟踪!$B$2:$B$497=A45))*持仓跟踪!$S$2:$S$497)),0)),0)*AL45)+IF(OR(AM45="",AN45=""),0,MAX(AM45-MAX(N45,IFERROR(SUMPRODUCT(MAX(((持仓跟踪!$A$2:$A$497="每日跟踪")*(持仓跟踪!$B$2:$B$497=A45))*持仓跟踪!$S$2:$S$497)),0)),0)*AN45))))</f>
        <v/>
      </c>
      <c r="AR45" s="8" t="str">
        <f ca="1">IF(A45="","",IF(OR(E45="",H45=""),"违规：第一批价格或股数缺失",IF(OR(AND(AK45="",AL45&lt;&gt;""),AND(AK45&lt;&gt;"",AL45="")),"违规：第二批价格与股数须成对填写",IF(OR(AND(AM45="",AN45&lt;&gt;""),AND(AM45&lt;&gt;"",AN45="")),"违规：第三批价格与股数须成对填写",IF(AND(OR(AM45&lt;&gt;"",AN45&lt;&gt;""),OR(AK45="",AL45="")),"违规：必须先完成第二批",IF(OR(H45&lt;=0,H45&lt;&gt;INT(H45),MOD(H45,100)&lt;&gt;0,AND(AL45&lt;&gt;"",OR(AL45&lt;=0,AL45&lt;&gt;INT(AL45),MOD(AL45,100)&lt;&gt;0)),AND(AN45&lt;&gt;"",OR(AN45&lt;=0,AN45&lt;&gt;INT(AN45),MOD(AN45,100)&lt;&gt;0))),"违规：股数须为100股整数倍",IF(AND(OR(AL45&lt;&gt;"",AN45&lt;&gt;""),OR(_LockStatus="已锁仓",_LockStatus="解锁信息不完整")),"违规：锁仓期间禁止加仓",IF(AQ45&gt;C45*D45,"违规：超过单笔风险上限",IF(SUM($AQ$2:$AQ$201)&gt;账户数据!$B$7,"违规：超过账户风险上限","通过")))))))))</f>
        <v/>
      </c>
    </row>
    <row r="46" ht="17" spans="1:44">
      <c r="A46" s="2"/>
      <c r="B46" s="2"/>
      <c r="C46" s="10"/>
      <c r="D46" s="6"/>
      <c r="E46" s="10"/>
      <c r="F46" s="8" t="str">
        <f t="shared" si="12"/>
        <v/>
      </c>
      <c r="G46" s="8" t="str">
        <f ca="1"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COUNTIFS(持仓跟踪!$A$2:$A$497,"止损计划",持仓跟踪!$B$2:$B$497,A46,持仓跟踪!$AC$2:$AC$497,"计划有效")=0,"禁止开仓：请先填写止损计划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6" s="2"/>
      <c r="I46" s="15"/>
      <c r="J46" s="10"/>
      <c r="K46" s="10"/>
      <c r="L46" s="8" t="str">
        <f t="shared" si="13"/>
        <v/>
      </c>
      <c r="M46" s="15"/>
      <c r="N46" s="10"/>
      <c r="O46" s="10"/>
      <c r="P46" s="10"/>
      <c r="Q46" s="2"/>
      <c r="R46" s="2"/>
      <c r="S46" s="2"/>
      <c r="T46" s="2"/>
      <c r="U46" s="7" t="str">
        <f t="shared" si="14"/>
        <v/>
      </c>
      <c r="V46" s="7" t="str">
        <f t="shared" si="15"/>
        <v/>
      </c>
      <c r="W46" s="22" t="str">
        <f t="shared" si="16"/>
        <v/>
      </c>
      <c r="X46" s="5" t="str">
        <f t="shared" si="17"/>
        <v/>
      </c>
      <c r="Y46" s="7" t="str">
        <f t="shared" si="18"/>
        <v/>
      </c>
      <c r="Z46" s="7" t="str">
        <f>IF(OR(AE46="",多次统计数据!$B$8=""),"",AE46-多次统计数据!$B$8)</f>
        <v/>
      </c>
      <c r="AA46" s="11" t="str">
        <f t="shared" si="19"/>
        <v/>
      </c>
      <c r="AB46" s="7" t="str">
        <f>IF(OR(A46="",多次统计数据!$B$8="",多次统计数据!$B$6&lt;=0,多次统计数据!$B$6&gt;=1),"",1-POWER(1+多次统计数据!$B$8,-多次统计数据!$B$6/(1-多次统计数据!$B$6)))</f>
        <v/>
      </c>
      <c r="AC46" s="8" t="str">
        <f>IF(OR(AB46="",多次统计数据!$B$9=""),"",IF(多次统计数据!$B$9&lt;AB46,"低于上限","达到或超过上限"))</f>
        <v/>
      </c>
      <c r="AD46" s="2"/>
      <c r="AE46" s="7" t="str">
        <f t="shared" si="20"/>
        <v/>
      </c>
      <c r="AG46" s="2"/>
      <c r="AH46" s="2"/>
      <c r="AI46" s="2"/>
      <c r="AJ46" s="8" t="str">
        <f t="shared" si="21"/>
        <v/>
      </c>
      <c r="AK46" s="10"/>
      <c r="AL46" s="12"/>
      <c r="AM46" s="10"/>
      <c r="AN46" s="12"/>
      <c r="AO46" s="5" t="str">
        <f t="shared" si="22"/>
        <v/>
      </c>
      <c r="AP46" s="11" t="str">
        <f t="shared" si="23"/>
        <v/>
      </c>
      <c r="AQ46" s="5" t="str">
        <f>IF(A46="","",IF(M46&lt;&gt;"",0,IF(OR(H46="",N46=""),"",MAX(E46-MAX(N46,IFERROR(SUMPRODUCT(MAX(((持仓跟踪!$A$2:$A$497="每日跟踪")*(持仓跟踪!$B$2:$B$497=A46))*持仓跟踪!$S$2:$S$497)),0)),0)*H46+IF(OR(AK46="",AL46=""),0,MAX(AK46-MAX(N46,IFERROR(SUMPRODUCT(MAX(((持仓跟踪!$A$2:$A$497="每日跟踪")*(持仓跟踪!$B$2:$B$497=A46))*持仓跟踪!$S$2:$S$497)),0)),0)*AL46)+IF(OR(AM46="",AN46=""),0,MAX(AM46-MAX(N46,IFERROR(SUMPRODUCT(MAX(((持仓跟踪!$A$2:$A$497="每日跟踪")*(持仓跟踪!$B$2:$B$497=A46))*持仓跟踪!$S$2:$S$497)),0)),0)*AN46))))</f>
        <v/>
      </c>
      <c r="AR46" s="8" t="str">
        <f ca="1">IF(A46="","",IF(OR(E46="",H46=""),"违规：第一批价格或股数缺失",IF(OR(AND(AK46="",AL46&lt;&gt;""),AND(AK46&lt;&gt;"",AL46="")),"违规：第二批价格与股数须成对填写",IF(OR(AND(AM46="",AN46&lt;&gt;""),AND(AM46&lt;&gt;"",AN46="")),"违规：第三批价格与股数须成对填写",IF(AND(OR(AM46&lt;&gt;"",AN46&lt;&gt;""),OR(AK46="",AL46="")),"违规：必须先完成第二批",IF(OR(H46&lt;=0,H46&lt;&gt;INT(H46),MOD(H46,100)&lt;&gt;0,AND(AL46&lt;&gt;"",OR(AL46&lt;=0,AL46&lt;&gt;INT(AL46),MOD(AL46,100)&lt;&gt;0)),AND(AN46&lt;&gt;"",OR(AN46&lt;=0,AN46&lt;&gt;INT(AN46),MOD(AN46,100)&lt;&gt;0))),"违规：股数须为100股整数倍",IF(AND(OR(AL46&lt;&gt;"",AN46&lt;&gt;""),OR(_LockStatus="已锁仓",_LockStatus="解锁信息不完整")),"违规：锁仓期间禁止加仓",IF(AQ46&gt;C46*D46,"违规：超过单笔风险上限",IF(SUM($AQ$2:$AQ$201)&gt;账户数据!$B$7,"违规：超过账户风险上限","通过")))))))))</f>
        <v/>
      </c>
    </row>
    <row r="47" ht="17" spans="1:44">
      <c r="A47" s="2"/>
      <c r="B47" s="2"/>
      <c r="C47" s="10"/>
      <c r="D47" s="6"/>
      <c r="E47" s="10"/>
      <c r="F47" s="8" t="str">
        <f t="shared" si="12"/>
        <v/>
      </c>
      <c r="G47" s="8" t="str">
        <f ca="1"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COUNTIFS(持仓跟踪!$A$2:$A$497,"止损计划",持仓跟踪!$B$2:$B$497,A47,持仓跟踪!$AC$2:$AC$497,"计划有效")=0,"禁止开仓：请先填写止损计划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7" s="2"/>
      <c r="I47" s="15"/>
      <c r="J47" s="10"/>
      <c r="K47" s="10"/>
      <c r="L47" s="8" t="str">
        <f t="shared" si="13"/>
        <v/>
      </c>
      <c r="M47" s="15"/>
      <c r="N47" s="10"/>
      <c r="O47" s="10"/>
      <c r="P47" s="10"/>
      <c r="Q47" s="2"/>
      <c r="R47" s="2"/>
      <c r="S47" s="2"/>
      <c r="T47" s="2"/>
      <c r="U47" s="7" t="str">
        <f t="shared" si="14"/>
        <v/>
      </c>
      <c r="V47" s="7" t="str">
        <f t="shared" si="15"/>
        <v/>
      </c>
      <c r="W47" s="22" t="str">
        <f t="shared" si="16"/>
        <v/>
      </c>
      <c r="X47" s="5" t="str">
        <f t="shared" si="17"/>
        <v/>
      </c>
      <c r="Y47" s="7" t="str">
        <f t="shared" si="18"/>
        <v/>
      </c>
      <c r="Z47" s="7" t="str">
        <f>IF(OR(AE47="",多次统计数据!$B$8=""),"",AE47-多次统计数据!$B$8)</f>
        <v/>
      </c>
      <c r="AA47" s="11" t="str">
        <f t="shared" si="19"/>
        <v/>
      </c>
      <c r="AB47" s="7" t="str">
        <f>IF(OR(A47="",多次统计数据!$B$8="",多次统计数据!$B$6&lt;=0,多次统计数据!$B$6&gt;=1),"",1-POWER(1+多次统计数据!$B$8,-多次统计数据!$B$6/(1-多次统计数据!$B$6)))</f>
        <v/>
      </c>
      <c r="AC47" s="8" t="str">
        <f>IF(OR(AB47="",多次统计数据!$B$9=""),"",IF(多次统计数据!$B$9&lt;AB47,"低于上限","达到或超过上限"))</f>
        <v/>
      </c>
      <c r="AD47" s="2"/>
      <c r="AE47" s="7" t="str">
        <f t="shared" si="20"/>
        <v/>
      </c>
      <c r="AG47" s="2"/>
      <c r="AH47" s="2"/>
      <c r="AI47" s="2"/>
      <c r="AJ47" s="8" t="str">
        <f t="shared" si="21"/>
        <v/>
      </c>
      <c r="AK47" s="10"/>
      <c r="AL47" s="12"/>
      <c r="AM47" s="10"/>
      <c r="AN47" s="12"/>
      <c r="AO47" s="5" t="str">
        <f t="shared" si="22"/>
        <v/>
      </c>
      <c r="AP47" s="11" t="str">
        <f t="shared" si="23"/>
        <v/>
      </c>
      <c r="AQ47" s="5" t="str">
        <f>IF(A47="","",IF(M47&lt;&gt;"",0,IF(OR(H47="",N47=""),"",MAX(E47-MAX(N47,IFERROR(SUMPRODUCT(MAX(((持仓跟踪!$A$2:$A$497="每日跟踪")*(持仓跟踪!$B$2:$B$497=A47))*持仓跟踪!$S$2:$S$497)),0)),0)*H47+IF(OR(AK47="",AL47=""),0,MAX(AK47-MAX(N47,IFERROR(SUMPRODUCT(MAX(((持仓跟踪!$A$2:$A$497="每日跟踪")*(持仓跟踪!$B$2:$B$497=A47))*持仓跟踪!$S$2:$S$497)),0)),0)*AL47)+IF(OR(AM47="",AN47=""),0,MAX(AM47-MAX(N47,IFERROR(SUMPRODUCT(MAX(((持仓跟踪!$A$2:$A$497="每日跟踪")*(持仓跟踪!$B$2:$B$497=A47))*持仓跟踪!$S$2:$S$497)),0)),0)*AN47))))</f>
        <v/>
      </c>
      <c r="AR47" s="8" t="str">
        <f ca="1">IF(A47="","",IF(OR(E47="",H47=""),"违规：第一批价格或股数缺失",IF(OR(AND(AK47="",AL47&lt;&gt;""),AND(AK47&lt;&gt;"",AL47="")),"违规：第二批价格与股数须成对填写",IF(OR(AND(AM47="",AN47&lt;&gt;""),AND(AM47&lt;&gt;"",AN47="")),"违规：第三批价格与股数须成对填写",IF(AND(OR(AM47&lt;&gt;"",AN47&lt;&gt;""),OR(AK47="",AL47="")),"违规：必须先完成第二批",IF(OR(H47&lt;=0,H47&lt;&gt;INT(H47),MOD(H47,100)&lt;&gt;0,AND(AL47&lt;&gt;"",OR(AL47&lt;=0,AL47&lt;&gt;INT(AL47),MOD(AL47,100)&lt;&gt;0)),AND(AN47&lt;&gt;"",OR(AN47&lt;=0,AN47&lt;&gt;INT(AN47),MOD(AN47,100)&lt;&gt;0))),"违规：股数须为100股整数倍",IF(AND(OR(AL47&lt;&gt;"",AN47&lt;&gt;""),OR(_LockStatus="已锁仓",_LockStatus="解锁信息不完整")),"违规：锁仓期间禁止加仓",IF(AQ47&gt;C47*D47,"违规：超过单笔风险上限",IF(SUM($AQ$2:$AQ$201)&gt;账户数据!$B$7,"违规：超过账户风险上限","通过")))))))))</f>
        <v/>
      </c>
    </row>
    <row r="48" ht="17" spans="1:44">
      <c r="A48" s="2"/>
      <c r="B48" s="2"/>
      <c r="C48" s="10"/>
      <c r="D48" s="6"/>
      <c r="E48" s="10"/>
      <c r="F48" s="8" t="str">
        <f t="shared" si="12"/>
        <v/>
      </c>
      <c r="G48" s="8" t="str">
        <f ca="1"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COUNTIFS(持仓跟踪!$A$2:$A$497,"止损计划",持仓跟踪!$B$2:$B$497,A48,持仓跟踪!$AC$2:$AC$497,"计划有效")=0,"禁止开仓：请先填写止损计划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8" s="2"/>
      <c r="I48" s="15"/>
      <c r="J48" s="10"/>
      <c r="K48" s="10"/>
      <c r="L48" s="8" t="str">
        <f t="shared" si="13"/>
        <v/>
      </c>
      <c r="M48" s="15"/>
      <c r="N48" s="10"/>
      <c r="O48" s="10"/>
      <c r="P48" s="10"/>
      <c r="Q48" s="2"/>
      <c r="R48" s="2"/>
      <c r="S48" s="2"/>
      <c r="T48" s="2"/>
      <c r="U48" s="7" t="str">
        <f t="shared" si="14"/>
        <v/>
      </c>
      <c r="V48" s="7" t="str">
        <f t="shared" si="15"/>
        <v/>
      </c>
      <c r="W48" s="22" t="str">
        <f t="shared" si="16"/>
        <v/>
      </c>
      <c r="X48" s="5" t="str">
        <f t="shared" si="17"/>
        <v/>
      </c>
      <c r="Y48" s="7" t="str">
        <f t="shared" si="18"/>
        <v/>
      </c>
      <c r="Z48" s="7" t="str">
        <f>IF(OR(AE48="",多次统计数据!$B$8=""),"",AE48-多次统计数据!$B$8)</f>
        <v/>
      </c>
      <c r="AA48" s="11" t="str">
        <f t="shared" si="19"/>
        <v/>
      </c>
      <c r="AB48" s="7" t="str">
        <f>IF(OR(A48="",多次统计数据!$B$8="",多次统计数据!$B$6&lt;=0,多次统计数据!$B$6&gt;=1),"",1-POWER(1+多次统计数据!$B$8,-多次统计数据!$B$6/(1-多次统计数据!$B$6)))</f>
        <v/>
      </c>
      <c r="AC48" s="8" t="str">
        <f>IF(OR(AB48="",多次统计数据!$B$9=""),"",IF(多次统计数据!$B$9&lt;AB48,"低于上限","达到或超过上限"))</f>
        <v/>
      </c>
      <c r="AD48" s="2"/>
      <c r="AE48" s="7" t="str">
        <f t="shared" si="20"/>
        <v/>
      </c>
      <c r="AG48" s="2"/>
      <c r="AH48" s="2"/>
      <c r="AI48" s="2"/>
      <c r="AJ48" s="8" t="str">
        <f t="shared" si="21"/>
        <v/>
      </c>
      <c r="AK48" s="10"/>
      <c r="AL48" s="12"/>
      <c r="AM48" s="10"/>
      <c r="AN48" s="12"/>
      <c r="AO48" s="5" t="str">
        <f t="shared" si="22"/>
        <v/>
      </c>
      <c r="AP48" s="11" t="str">
        <f t="shared" si="23"/>
        <v/>
      </c>
      <c r="AQ48" s="5" t="str">
        <f>IF(A48="","",IF(M48&lt;&gt;"",0,IF(OR(H48="",N48=""),"",MAX(E48-MAX(N48,IFERROR(SUMPRODUCT(MAX(((持仓跟踪!$A$2:$A$497="每日跟踪")*(持仓跟踪!$B$2:$B$497=A48))*持仓跟踪!$S$2:$S$497)),0)),0)*H48+IF(OR(AK48="",AL48=""),0,MAX(AK48-MAX(N48,IFERROR(SUMPRODUCT(MAX(((持仓跟踪!$A$2:$A$497="每日跟踪")*(持仓跟踪!$B$2:$B$497=A48))*持仓跟踪!$S$2:$S$497)),0)),0)*AL48)+IF(OR(AM48="",AN48=""),0,MAX(AM48-MAX(N48,IFERROR(SUMPRODUCT(MAX(((持仓跟踪!$A$2:$A$497="每日跟踪")*(持仓跟踪!$B$2:$B$497=A48))*持仓跟踪!$S$2:$S$497)),0)),0)*AN48))))</f>
        <v/>
      </c>
      <c r="AR48" s="8" t="str">
        <f ca="1">IF(A48="","",IF(OR(E48="",H48=""),"违规：第一批价格或股数缺失",IF(OR(AND(AK48="",AL48&lt;&gt;""),AND(AK48&lt;&gt;"",AL48="")),"违规：第二批价格与股数须成对填写",IF(OR(AND(AM48="",AN48&lt;&gt;""),AND(AM48&lt;&gt;"",AN48="")),"违规：第三批价格与股数须成对填写",IF(AND(OR(AM48&lt;&gt;"",AN48&lt;&gt;""),OR(AK48="",AL48="")),"违规：必须先完成第二批",IF(OR(H48&lt;=0,H48&lt;&gt;INT(H48),MOD(H48,100)&lt;&gt;0,AND(AL48&lt;&gt;"",OR(AL48&lt;=0,AL48&lt;&gt;INT(AL48),MOD(AL48,100)&lt;&gt;0)),AND(AN48&lt;&gt;"",OR(AN48&lt;=0,AN48&lt;&gt;INT(AN48),MOD(AN48,100)&lt;&gt;0))),"违规：股数须为100股整数倍",IF(AND(OR(AL48&lt;&gt;"",AN48&lt;&gt;""),OR(_LockStatus="已锁仓",_LockStatus="解锁信息不完整")),"违规：锁仓期间禁止加仓",IF(AQ48&gt;C48*D48,"违规：超过单笔风险上限",IF(SUM($AQ$2:$AQ$201)&gt;账户数据!$B$7,"违规：超过账户风险上限","通过")))))))))</f>
        <v/>
      </c>
    </row>
    <row r="49" ht="17" spans="1:44">
      <c r="A49" s="2"/>
      <c r="B49" s="2"/>
      <c r="C49" s="10"/>
      <c r="D49" s="6"/>
      <c r="E49" s="10"/>
      <c r="F49" s="8" t="str">
        <f t="shared" si="12"/>
        <v/>
      </c>
      <c r="G49" s="8" t="str">
        <f ca="1"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COUNTIFS(持仓跟踪!$A$2:$A$497,"止损计划",持仓跟踪!$B$2:$B$497,A49,持仓跟踪!$AC$2:$AC$497,"计划有效")=0,"禁止开仓：请先填写止损计划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9" s="2"/>
      <c r="I49" s="15"/>
      <c r="J49" s="10"/>
      <c r="K49" s="10"/>
      <c r="L49" s="8" t="str">
        <f t="shared" si="13"/>
        <v/>
      </c>
      <c r="M49" s="15"/>
      <c r="N49" s="10"/>
      <c r="O49" s="10"/>
      <c r="P49" s="10"/>
      <c r="Q49" s="2"/>
      <c r="R49" s="2"/>
      <c r="S49" s="2"/>
      <c r="T49" s="2"/>
      <c r="U49" s="7" t="str">
        <f t="shared" si="14"/>
        <v/>
      </c>
      <c r="V49" s="7" t="str">
        <f t="shared" si="15"/>
        <v/>
      </c>
      <c r="W49" s="22" t="str">
        <f t="shared" si="16"/>
        <v/>
      </c>
      <c r="X49" s="5" t="str">
        <f t="shared" si="17"/>
        <v/>
      </c>
      <c r="Y49" s="7" t="str">
        <f t="shared" si="18"/>
        <v/>
      </c>
      <c r="Z49" s="7" t="str">
        <f>IF(OR(AE49="",多次统计数据!$B$8=""),"",AE49-多次统计数据!$B$8)</f>
        <v/>
      </c>
      <c r="AA49" s="11" t="str">
        <f t="shared" si="19"/>
        <v/>
      </c>
      <c r="AB49" s="7" t="str">
        <f>IF(OR(A49="",多次统计数据!$B$8="",多次统计数据!$B$6&lt;=0,多次统计数据!$B$6&gt;=1),"",1-POWER(1+多次统计数据!$B$8,-多次统计数据!$B$6/(1-多次统计数据!$B$6)))</f>
        <v/>
      </c>
      <c r="AC49" s="8" t="str">
        <f>IF(OR(AB49="",多次统计数据!$B$9=""),"",IF(多次统计数据!$B$9&lt;AB49,"低于上限","达到或超过上限"))</f>
        <v/>
      </c>
      <c r="AD49" s="2"/>
      <c r="AE49" s="7" t="str">
        <f t="shared" si="20"/>
        <v/>
      </c>
      <c r="AG49" s="2"/>
      <c r="AH49" s="2"/>
      <c r="AI49" s="2"/>
      <c r="AJ49" s="8" t="str">
        <f t="shared" si="21"/>
        <v/>
      </c>
      <c r="AK49" s="10"/>
      <c r="AL49" s="12"/>
      <c r="AM49" s="10"/>
      <c r="AN49" s="12"/>
      <c r="AO49" s="5" t="str">
        <f t="shared" si="22"/>
        <v/>
      </c>
      <c r="AP49" s="11" t="str">
        <f t="shared" si="23"/>
        <v/>
      </c>
      <c r="AQ49" s="5" t="str">
        <f>IF(A49="","",IF(M49&lt;&gt;"",0,IF(OR(H49="",N49=""),"",MAX(E49-MAX(N49,IFERROR(SUMPRODUCT(MAX(((持仓跟踪!$A$2:$A$497="每日跟踪")*(持仓跟踪!$B$2:$B$497=A49))*持仓跟踪!$S$2:$S$497)),0)),0)*H49+IF(OR(AK49="",AL49=""),0,MAX(AK49-MAX(N49,IFERROR(SUMPRODUCT(MAX(((持仓跟踪!$A$2:$A$497="每日跟踪")*(持仓跟踪!$B$2:$B$497=A49))*持仓跟踪!$S$2:$S$497)),0)),0)*AL49)+IF(OR(AM49="",AN49=""),0,MAX(AM49-MAX(N49,IFERROR(SUMPRODUCT(MAX(((持仓跟踪!$A$2:$A$497="每日跟踪")*(持仓跟踪!$B$2:$B$497=A49))*持仓跟踪!$S$2:$S$497)),0)),0)*AN49))))</f>
        <v/>
      </c>
      <c r="AR49" s="8" t="str">
        <f ca="1">IF(A49="","",IF(OR(E49="",H49=""),"违规：第一批价格或股数缺失",IF(OR(AND(AK49="",AL49&lt;&gt;""),AND(AK49&lt;&gt;"",AL49="")),"违规：第二批价格与股数须成对填写",IF(OR(AND(AM49="",AN49&lt;&gt;""),AND(AM49&lt;&gt;"",AN49="")),"违规：第三批价格与股数须成对填写",IF(AND(OR(AM49&lt;&gt;"",AN49&lt;&gt;""),OR(AK49="",AL49="")),"违规：必须先完成第二批",IF(OR(H49&lt;=0,H49&lt;&gt;INT(H49),MOD(H49,100)&lt;&gt;0,AND(AL49&lt;&gt;"",OR(AL49&lt;=0,AL49&lt;&gt;INT(AL49),MOD(AL49,100)&lt;&gt;0)),AND(AN49&lt;&gt;"",OR(AN49&lt;=0,AN49&lt;&gt;INT(AN49),MOD(AN49,100)&lt;&gt;0))),"违规：股数须为100股整数倍",IF(AND(OR(AL49&lt;&gt;"",AN49&lt;&gt;""),OR(_LockStatus="已锁仓",_LockStatus="解锁信息不完整")),"违规：锁仓期间禁止加仓",IF(AQ49&gt;C49*D49,"违规：超过单笔风险上限",IF(SUM($AQ$2:$AQ$201)&gt;账户数据!$B$7,"违规：超过账户风险上限","通过")))))))))</f>
        <v/>
      </c>
    </row>
    <row r="50" ht="17" spans="1:44">
      <c r="A50" s="2"/>
      <c r="B50" s="2"/>
      <c r="C50" s="10"/>
      <c r="D50" s="6"/>
      <c r="E50" s="10"/>
      <c r="F50" s="8" t="str">
        <f t="shared" si="12"/>
        <v/>
      </c>
      <c r="G50" s="8" t="str">
        <f ca="1"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COUNTIFS(持仓跟踪!$A$2:$A$497,"止损计划",持仓跟踪!$B$2:$B$497,A50,持仓跟踪!$AC$2:$AC$497,"计划有效")=0,"禁止开仓：请先填写止损计划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0" s="2"/>
      <c r="I50" s="15"/>
      <c r="J50" s="10"/>
      <c r="K50" s="10"/>
      <c r="L50" s="8" t="str">
        <f t="shared" si="13"/>
        <v/>
      </c>
      <c r="M50" s="15"/>
      <c r="N50" s="10"/>
      <c r="O50" s="10"/>
      <c r="P50" s="10"/>
      <c r="Q50" s="2"/>
      <c r="R50" s="2"/>
      <c r="S50" s="2"/>
      <c r="T50" s="2"/>
      <c r="U50" s="7" t="str">
        <f t="shared" si="14"/>
        <v/>
      </c>
      <c r="V50" s="7" t="str">
        <f t="shared" si="15"/>
        <v/>
      </c>
      <c r="W50" s="22" t="str">
        <f t="shared" si="16"/>
        <v/>
      </c>
      <c r="X50" s="5" t="str">
        <f t="shared" si="17"/>
        <v/>
      </c>
      <c r="Y50" s="7" t="str">
        <f t="shared" si="18"/>
        <v/>
      </c>
      <c r="Z50" s="7" t="str">
        <f>IF(OR(AE50="",多次统计数据!$B$8=""),"",AE50-多次统计数据!$B$8)</f>
        <v/>
      </c>
      <c r="AA50" s="11" t="str">
        <f t="shared" si="19"/>
        <v/>
      </c>
      <c r="AB50" s="7" t="str">
        <f>IF(OR(A50="",多次统计数据!$B$8="",多次统计数据!$B$6&lt;=0,多次统计数据!$B$6&gt;=1),"",1-POWER(1+多次统计数据!$B$8,-多次统计数据!$B$6/(1-多次统计数据!$B$6)))</f>
        <v/>
      </c>
      <c r="AC50" s="8" t="str">
        <f>IF(OR(AB50="",多次统计数据!$B$9=""),"",IF(多次统计数据!$B$9&lt;AB50,"低于上限","达到或超过上限"))</f>
        <v/>
      </c>
      <c r="AD50" s="2"/>
      <c r="AE50" s="7" t="str">
        <f t="shared" si="20"/>
        <v/>
      </c>
      <c r="AG50" s="2"/>
      <c r="AH50" s="2"/>
      <c r="AI50" s="2"/>
      <c r="AJ50" s="8" t="str">
        <f t="shared" si="21"/>
        <v/>
      </c>
      <c r="AK50" s="10"/>
      <c r="AL50" s="12"/>
      <c r="AM50" s="10"/>
      <c r="AN50" s="12"/>
      <c r="AO50" s="5" t="str">
        <f t="shared" si="22"/>
        <v/>
      </c>
      <c r="AP50" s="11" t="str">
        <f t="shared" si="23"/>
        <v/>
      </c>
      <c r="AQ50" s="5" t="str">
        <f>IF(A50="","",IF(M50&lt;&gt;"",0,IF(OR(H50="",N50=""),"",MAX(E50-MAX(N50,IFERROR(SUMPRODUCT(MAX(((持仓跟踪!$A$2:$A$497="每日跟踪")*(持仓跟踪!$B$2:$B$497=A50))*持仓跟踪!$S$2:$S$497)),0)),0)*H50+IF(OR(AK50="",AL50=""),0,MAX(AK50-MAX(N50,IFERROR(SUMPRODUCT(MAX(((持仓跟踪!$A$2:$A$497="每日跟踪")*(持仓跟踪!$B$2:$B$497=A50))*持仓跟踪!$S$2:$S$497)),0)),0)*AL50)+IF(OR(AM50="",AN50=""),0,MAX(AM50-MAX(N50,IFERROR(SUMPRODUCT(MAX(((持仓跟踪!$A$2:$A$497="每日跟踪")*(持仓跟踪!$B$2:$B$497=A50))*持仓跟踪!$S$2:$S$497)),0)),0)*AN50))))</f>
        <v/>
      </c>
      <c r="AR50" s="8" t="str">
        <f ca="1">IF(A50="","",IF(OR(E50="",H50=""),"违规：第一批价格或股数缺失",IF(OR(AND(AK50="",AL50&lt;&gt;""),AND(AK50&lt;&gt;"",AL50="")),"违规：第二批价格与股数须成对填写",IF(OR(AND(AM50="",AN50&lt;&gt;""),AND(AM50&lt;&gt;"",AN50="")),"违规：第三批价格与股数须成对填写",IF(AND(OR(AM50&lt;&gt;"",AN50&lt;&gt;""),OR(AK50="",AL50="")),"违规：必须先完成第二批",IF(OR(H50&lt;=0,H50&lt;&gt;INT(H50),MOD(H50,100)&lt;&gt;0,AND(AL50&lt;&gt;"",OR(AL50&lt;=0,AL50&lt;&gt;INT(AL50),MOD(AL50,100)&lt;&gt;0)),AND(AN50&lt;&gt;"",OR(AN50&lt;=0,AN50&lt;&gt;INT(AN50),MOD(AN50,100)&lt;&gt;0))),"违规：股数须为100股整数倍",IF(AND(OR(AL50&lt;&gt;"",AN50&lt;&gt;""),OR(_LockStatus="已锁仓",_LockStatus="解锁信息不完整")),"违规：锁仓期间禁止加仓",IF(AQ50&gt;C50*D50,"违规：超过单笔风险上限",IF(SUM($AQ$2:$AQ$201)&gt;账户数据!$B$7,"违规：超过账户风险上限","通过")))))))))</f>
        <v/>
      </c>
    </row>
    <row r="51" ht="17" spans="1:44">
      <c r="A51" s="2"/>
      <c r="B51" s="2"/>
      <c r="C51" s="10"/>
      <c r="D51" s="6"/>
      <c r="E51" s="10"/>
      <c r="F51" s="8" t="str">
        <f t="shared" si="12"/>
        <v/>
      </c>
      <c r="G51" s="8" t="str">
        <f ca="1"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COUNTIFS(持仓跟踪!$A$2:$A$497,"止损计划",持仓跟踪!$B$2:$B$497,A51,持仓跟踪!$AC$2:$AC$497,"计划有效")=0,"禁止开仓：请先填写止损计划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1" s="2"/>
      <c r="I51" s="15"/>
      <c r="J51" s="10"/>
      <c r="K51" s="10"/>
      <c r="L51" s="8" t="str">
        <f t="shared" si="13"/>
        <v/>
      </c>
      <c r="M51" s="15"/>
      <c r="N51" s="10"/>
      <c r="O51" s="10"/>
      <c r="P51" s="10"/>
      <c r="Q51" s="2"/>
      <c r="R51" s="2"/>
      <c r="S51" s="2"/>
      <c r="T51" s="2"/>
      <c r="U51" s="7" t="str">
        <f t="shared" si="14"/>
        <v/>
      </c>
      <c r="V51" s="7" t="str">
        <f t="shared" si="15"/>
        <v/>
      </c>
      <c r="W51" s="22" t="str">
        <f t="shared" si="16"/>
        <v/>
      </c>
      <c r="X51" s="5" t="str">
        <f t="shared" si="17"/>
        <v/>
      </c>
      <c r="Y51" s="7" t="str">
        <f t="shared" si="18"/>
        <v/>
      </c>
      <c r="Z51" s="7" t="str">
        <f>IF(OR(AE51="",多次统计数据!$B$8=""),"",AE51-多次统计数据!$B$8)</f>
        <v/>
      </c>
      <c r="AA51" s="11" t="str">
        <f t="shared" si="19"/>
        <v/>
      </c>
      <c r="AB51" s="7" t="str">
        <f>IF(OR(A51="",多次统计数据!$B$8="",多次统计数据!$B$6&lt;=0,多次统计数据!$B$6&gt;=1),"",1-POWER(1+多次统计数据!$B$8,-多次统计数据!$B$6/(1-多次统计数据!$B$6)))</f>
        <v/>
      </c>
      <c r="AC51" s="8" t="str">
        <f>IF(OR(AB51="",多次统计数据!$B$9=""),"",IF(多次统计数据!$B$9&lt;AB51,"低于上限","达到或超过上限"))</f>
        <v/>
      </c>
      <c r="AD51" s="2"/>
      <c r="AE51" s="7" t="str">
        <f t="shared" si="20"/>
        <v/>
      </c>
      <c r="AG51" s="2"/>
      <c r="AH51" s="2"/>
      <c r="AI51" s="2"/>
      <c r="AJ51" s="8" t="str">
        <f t="shared" si="21"/>
        <v/>
      </c>
      <c r="AK51" s="10"/>
      <c r="AL51" s="12"/>
      <c r="AM51" s="10"/>
      <c r="AN51" s="12"/>
      <c r="AO51" s="5" t="str">
        <f t="shared" si="22"/>
        <v/>
      </c>
      <c r="AP51" s="11" t="str">
        <f t="shared" si="23"/>
        <v/>
      </c>
      <c r="AQ51" s="5" t="str">
        <f>IF(A51="","",IF(M51&lt;&gt;"",0,IF(OR(H51="",N51=""),"",MAX(E51-MAX(N51,IFERROR(SUMPRODUCT(MAX(((持仓跟踪!$A$2:$A$497="每日跟踪")*(持仓跟踪!$B$2:$B$497=A51))*持仓跟踪!$S$2:$S$497)),0)),0)*H51+IF(OR(AK51="",AL51=""),0,MAX(AK51-MAX(N51,IFERROR(SUMPRODUCT(MAX(((持仓跟踪!$A$2:$A$497="每日跟踪")*(持仓跟踪!$B$2:$B$497=A51))*持仓跟踪!$S$2:$S$497)),0)),0)*AL51)+IF(OR(AM51="",AN51=""),0,MAX(AM51-MAX(N51,IFERROR(SUMPRODUCT(MAX(((持仓跟踪!$A$2:$A$497="每日跟踪")*(持仓跟踪!$B$2:$B$497=A51))*持仓跟踪!$S$2:$S$497)),0)),0)*AN51))))</f>
        <v/>
      </c>
      <c r="AR51" s="8" t="str">
        <f ca="1">IF(A51="","",IF(OR(E51="",H51=""),"违规：第一批价格或股数缺失",IF(OR(AND(AK51="",AL51&lt;&gt;""),AND(AK51&lt;&gt;"",AL51="")),"违规：第二批价格与股数须成对填写",IF(OR(AND(AM51="",AN51&lt;&gt;""),AND(AM51&lt;&gt;"",AN51="")),"违规：第三批价格与股数须成对填写",IF(AND(OR(AM51&lt;&gt;"",AN51&lt;&gt;""),OR(AK51="",AL51="")),"违规：必须先完成第二批",IF(OR(H51&lt;=0,H51&lt;&gt;INT(H51),MOD(H51,100)&lt;&gt;0,AND(AL51&lt;&gt;"",OR(AL51&lt;=0,AL51&lt;&gt;INT(AL51),MOD(AL51,100)&lt;&gt;0)),AND(AN51&lt;&gt;"",OR(AN51&lt;=0,AN51&lt;&gt;INT(AN51),MOD(AN51,100)&lt;&gt;0))),"违规：股数须为100股整数倍",IF(AND(OR(AL51&lt;&gt;"",AN51&lt;&gt;""),OR(_LockStatus="已锁仓",_LockStatus="解锁信息不完整")),"违规：锁仓期间禁止加仓",IF(AQ51&gt;C51*D51,"违规：超过单笔风险上限",IF(SUM($AQ$2:$AQ$201)&gt;账户数据!$B$7,"违规：超过账户风险上限","通过")))))))))</f>
        <v/>
      </c>
    </row>
    <row r="52" ht="17" spans="1:44">
      <c r="A52" s="2"/>
      <c r="B52" s="2"/>
      <c r="C52" s="10"/>
      <c r="D52" s="6"/>
      <c r="E52" s="10"/>
      <c r="F52" s="8" t="str">
        <f t="shared" si="12"/>
        <v/>
      </c>
      <c r="G52" s="8" t="str">
        <f ca="1"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COUNTIFS(持仓跟踪!$A$2:$A$497,"止损计划",持仓跟踪!$B$2:$B$497,A52,持仓跟踪!$AC$2:$AC$497,"计划有效")=0,"禁止开仓：请先填写止损计划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2" s="2"/>
      <c r="I52" s="15"/>
      <c r="J52" s="10"/>
      <c r="K52" s="10"/>
      <c r="L52" s="8" t="str">
        <f t="shared" si="13"/>
        <v/>
      </c>
      <c r="M52" s="15"/>
      <c r="N52" s="10"/>
      <c r="O52" s="10"/>
      <c r="P52" s="10"/>
      <c r="Q52" s="2"/>
      <c r="R52" s="2"/>
      <c r="S52" s="2"/>
      <c r="T52" s="2"/>
      <c r="U52" s="7" t="str">
        <f t="shared" si="14"/>
        <v/>
      </c>
      <c r="V52" s="7" t="str">
        <f t="shared" si="15"/>
        <v/>
      </c>
      <c r="W52" s="22" t="str">
        <f t="shared" si="16"/>
        <v/>
      </c>
      <c r="X52" s="5" t="str">
        <f t="shared" si="17"/>
        <v/>
      </c>
      <c r="Y52" s="7" t="str">
        <f t="shared" si="18"/>
        <v/>
      </c>
      <c r="Z52" s="7" t="str">
        <f>IF(OR(AE52="",多次统计数据!$B$8=""),"",AE52-多次统计数据!$B$8)</f>
        <v/>
      </c>
      <c r="AA52" s="11" t="str">
        <f t="shared" si="19"/>
        <v/>
      </c>
      <c r="AB52" s="7" t="str">
        <f>IF(OR(A52="",多次统计数据!$B$8="",多次统计数据!$B$6&lt;=0,多次统计数据!$B$6&gt;=1),"",1-POWER(1+多次统计数据!$B$8,-多次统计数据!$B$6/(1-多次统计数据!$B$6)))</f>
        <v/>
      </c>
      <c r="AC52" s="8" t="str">
        <f>IF(OR(AB52="",多次统计数据!$B$9=""),"",IF(多次统计数据!$B$9&lt;AB52,"低于上限","达到或超过上限"))</f>
        <v/>
      </c>
      <c r="AD52" s="2"/>
      <c r="AE52" s="7" t="str">
        <f t="shared" si="20"/>
        <v/>
      </c>
      <c r="AG52" s="2"/>
      <c r="AH52" s="2"/>
      <c r="AI52" s="2"/>
      <c r="AJ52" s="8" t="str">
        <f t="shared" si="21"/>
        <v/>
      </c>
      <c r="AK52" s="10"/>
      <c r="AL52" s="12"/>
      <c r="AM52" s="10"/>
      <c r="AN52" s="12"/>
      <c r="AO52" s="5" t="str">
        <f t="shared" si="22"/>
        <v/>
      </c>
      <c r="AP52" s="11" t="str">
        <f t="shared" si="23"/>
        <v/>
      </c>
      <c r="AQ52" s="5" t="str">
        <f>IF(A52="","",IF(M52&lt;&gt;"",0,IF(OR(H52="",N52=""),"",MAX(E52-MAX(N52,IFERROR(SUMPRODUCT(MAX(((持仓跟踪!$A$2:$A$497="每日跟踪")*(持仓跟踪!$B$2:$B$497=A52))*持仓跟踪!$S$2:$S$497)),0)),0)*H52+IF(OR(AK52="",AL52=""),0,MAX(AK52-MAX(N52,IFERROR(SUMPRODUCT(MAX(((持仓跟踪!$A$2:$A$497="每日跟踪")*(持仓跟踪!$B$2:$B$497=A52))*持仓跟踪!$S$2:$S$497)),0)),0)*AL52)+IF(OR(AM52="",AN52=""),0,MAX(AM52-MAX(N52,IFERROR(SUMPRODUCT(MAX(((持仓跟踪!$A$2:$A$497="每日跟踪")*(持仓跟踪!$B$2:$B$497=A52))*持仓跟踪!$S$2:$S$497)),0)),0)*AN52))))</f>
        <v/>
      </c>
      <c r="AR52" s="8" t="str">
        <f ca="1">IF(A52="","",IF(OR(E52="",H52=""),"违规：第一批价格或股数缺失",IF(OR(AND(AK52="",AL52&lt;&gt;""),AND(AK52&lt;&gt;"",AL52="")),"违规：第二批价格与股数须成对填写",IF(OR(AND(AM52="",AN52&lt;&gt;""),AND(AM52&lt;&gt;"",AN52="")),"违规：第三批价格与股数须成对填写",IF(AND(OR(AM52&lt;&gt;"",AN52&lt;&gt;""),OR(AK52="",AL52="")),"违规：必须先完成第二批",IF(OR(H52&lt;=0,H52&lt;&gt;INT(H52),MOD(H52,100)&lt;&gt;0,AND(AL52&lt;&gt;"",OR(AL52&lt;=0,AL52&lt;&gt;INT(AL52),MOD(AL52,100)&lt;&gt;0)),AND(AN52&lt;&gt;"",OR(AN52&lt;=0,AN52&lt;&gt;INT(AN52),MOD(AN52,100)&lt;&gt;0))),"违规：股数须为100股整数倍",IF(AND(OR(AL52&lt;&gt;"",AN52&lt;&gt;""),OR(_LockStatus="已锁仓",_LockStatus="解锁信息不完整")),"违规：锁仓期间禁止加仓",IF(AQ52&gt;C52*D52,"违规：超过单笔风险上限",IF(SUM($AQ$2:$AQ$201)&gt;账户数据!$B$7,"违规：超过账户风险上限","通过")))))))))</f>
        <v/>
      </c>
    </row>
    <row r="53" ht="17" spans="1:44">
      <c r="A53" s="2"/>
      <c r="B53" s="2"/>
      <c r="C53" s="10"/>
      <c r="D53" s="6"/>
      <c r="E53" s="10"/>
      <c r="F53" s="8" t="str">
        <f t="shared" si="12"/>
        <v/>
      </c>
      <c r="G53" s="8" t="str">
        <f ca="1"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COUNTIFS(持仓跟踪!$A$2:$A$497,"止损计划",持仓跟踪!$B$2:$B$497,A53,持仓跟踪!$AC$2:$AC$497,"计划有效")=0,"禁止开仓：请先填写止损计划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3" s="2"/>
      <c r="I53" s="15"/>
      <c r="J53" s="10"/>
      <c r="K53" s="10"/>
      <c r="L53" s="8" t="str">
        <f t="shared" si="13"/>
        <v/>
      </c>
      <c r="M53" s="15"/>
      <c r="N53" s="10"/>
      <c r="O53" s="10"/>
      <c r="P53" s="10"/>
      <c r="Q53" s="2"/>
      <c r="R53" s="2"/>
      <c r="S53" s="2"/>
      <c r="T53" s="2"/>
      <c r="U53" s="7" t="str">
        <f t="shared" si="14"/>
        <v/>
      </c>
      <c r="V53" s="7" t="str">
        <f t="shared" si="15"/>
        <v/>
      </c>
      <c r="W53" s="22" t="str">
        <f t="shared" si="16"/>
        <v/>
      </c>
      <c r="X53" s="5" t="str">
        <f t="shared" si="17"/>
        <v/>
      </c>
      <c r="Y53" s="7" t="str">
        <f t="shared" si="18"/>
        <v/>
      </c>
      <c r="Z53" s="7" t="str">
        <f>IF(OR(AE53="",多次统计数据!$B$8=""),"",AE53-多次统计数据!$B$8)</f>
        <v/>
      </c>
      <c r="AA53" s="11" t="str">
        <f t="shared" si="19"/>
        <v/>
      </c>
      <c r="AB53" s="7" t="str">
        <f>IF(OR(A53="",多次统计数据!$B$8="",多次统计数据!$B$6&lt;=0,多次统计数据!$B$6&gt;=1),"",1-POWER(1+多次统计数据!$B$8,-多次统计数据!$B$6/(1-多次统计数据!$B$6)))</f>
        <v/>
      </c>
      <c r="AC53" s="8" t="str">
        <f>IF(OR(AB53="",多次统计数据!$B$9=""),"",IF(多次统计数据!$B$9&lt;AB53,"低于上限","达到或超过上限"))</f>
        <v/>
      </c>
      <c r="AD53" s="2"/>
      <c r="AE53" s="7" t="str">
        <f t="shared" si="20"/>
        <v/>
      </c>
      <c r="AG53" s="2"/>
      <c r="AH53" s="2"/>
      <c r="AI53" s="2"/>
      <c r="AJ53" s="8" t="str">
        <f t="shared" si="21"/>
        <v/>
      </c>
      <c r="AK53" s="10"/>
      <c r="AL53" s="12"/>
      <c r="AM53" s="10"/>
      <c r="AN53" s="12"/>
      <c r="AO53" s="5" t="str">
        <f t="shared" si="22"/>
        <v/>
      </c>
      <c r="AP53" s="11" t="str">
        <f t="shared" si="23"/>
        <v/>
      </c>
      <c r="AQ53" s="5" t="str">
        <f>IF(A53="","",IF(M53&lt;&gt;"",0,IF(OR(H53="",N53=""),"",MAX(E53-MAX(N53,IFERROR(SUMPRODUCT(MAX(((持仓跟踪!$A$2:$A$497="每日跟踪")*(持仓跟踪!$B$2:$B$497=A53))*持仓跟踪!$S$2:$S$497)),0)),0)*H53+IF(OR(AK53="",AL53=""),0,MAX(AK53-MAX(N53,IFERROR(SUMPRODUCT(MAX(((持仓跟踪!$A$2:$A$497="每日跟踪")*(持仓跟踪!$B$2:$B$497=A53))*持仓跟踪!$S$2:$S$497)),0)),0)*AL53)+IF(OR(AM53="",AN53=""),0,MAX(AM53-MAX(N53,IFERROR(SUMPRODUCT(MAX(((持仓跟踪!$A$2:$A$497="每日跟踪")*(持仓跟踪!$B$2:$B$497=A53))*持仓跟踪!$S$2:$S$497)),0)),0)*AN53))))</f>
        <v/>
      </c>
      <c r="AR53" s="8" t="str">
        <f ca="1">IF(A53="","",IF(OR(E53="",H53=""),"违规：第一批价格或股数缺失",IF(OR(AND(AK53="",AL53&lt;&gt;""),AND(AK53&lt;&gt;"",AL53="")),"违规：第二批价格与股数须成对填写",IF(OR(AND(AM53="",AN53&lt;&gt;""),AND(AM53&lt;&gt;"",AN53="")),"违规：第三批价格与股数须成对填写",IF(AND(OR(AM53&lt;&gt;"",AN53&lt;&gt;""),OR(AK53="",AL53="")),"违规：必须先完成第二批",IF(OR(H53&lt;=0,H53&lt;&gt;INT(H53),MOD(H53,100)&lt;&gt;0,AND(AL53&lt;&gt;"",OR(AL53&lt;=0,AL53&lt;&gt;INT(AL53),MOD(AL53,100)&lt;&gt;0)),AND(AN53&lt;&gt;"",OR(AN53&lt;=0,AN53&lt;&gt;INT(AN53),MOD(AN53,100)&lt;&gt;0))),"违规：股数须为100股整数倍",IF(AND(OR(AL53&lt;&gt;"",AN53&lt;&gt;""),OR(_LockStatus="已锁仓",_LockStatus="解锁信息不完整")),"违规：锁仓期间禁止加仓",IF(AQ53&gt;C53*D53,"违规：超过单笔风险上限",IF(SUM($AQ$2:$AQ$201)&gt;账户数据!$B$7,"违规：超过账户风险上限","通过")))))))))</f>
        <v/>
      </c>
    </row>
    <row r="54" ht="17" spans="1:44">
      <c r="A54" s="2"/>
      <c r="B54" s="2"/>
      <c r="C54" s="10"/>
      <c r="D54" s="6"/>
      <c r="E54" s="10"/>
      <c r="F54" s="8" t="str">
        <f t="shared" si="12"/>
        <v/>
      </c>
      <c r="G54" s="8" t="str">
        <f ca="1"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COUNTIFS(持仓跟踪!$A$2:$A$497,"止损计划",持仓跟踪!$B$2:$B$497,A54,持仓跟踪!$AC$2:$AC$497,"计划有效")=0,"禁止开仓：请先填写止损计划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4" s="2"/>
      <c r="I54" s="15"/>
      <c r="J54" s="10"/>
      <c r="K54" s="10"/>
      <c r="L54" s="8" t="str">
        <f t="shared" si="13"/>
        <v/>
      </c>
      <c r="M54" s="15"/>
      <c r="N54" s="10"/>
      <c r="O54" s="10"/>
      <c r="P54" s="10"/>
      <c r="Q54" s="2"/>
      <c r="R54" s="2"/>
      <c r="S54" s="2"/>
      <c r="T54" s="2"/>
      <c r="U54" s="7" t="str">
        <f t="shared" si="14"/>
        <v/>
      </c>
      <c r="V54" s="7" t="str">
        <f t="shared" si="15"/>
        <v/>
      </c>
      <c r="W54" s="22" t="str">
        <f t="shared" si="16"/>
        <v/>
      </c>
      <c r="X54" s="5" t="str">
        <f t="shared" si="17"/>
        <v/>
      </c>
      <c r="Y54" s="7" t="str">
        <f t="shared" si="18"/>
        <v/>
      </c>
      <c r="Z54" s="7" t="str">
        <f>IF(OR(AE54="",多次统计数据!$B$8=""),"",AE54-多次统计数据!$B$8)</f>
        <v/>
      </c>
      <c r="AA54" s="11" t="str">
        <f t="shared" si="19"/>
        <v/>
      </c>
      <c r="AB54" s="7" t="str">
        <f>IF(OR(A54="",多次统计数据!$B$8="",多次统计数据!$B$6&lt;=0,多次统计数据!$B$6&gt;=1),"",1-POWER(1+多次统计数据!$B$8,-多次统计数据!$B$6/(1-多次统计数据!$B$6)))</f>
        <v/>
      </c>
      <c r="AC54" s="8" t="str">
        <f>IF(OR(AB54="",多次统计数据!$B$9=""),"",IF(多次统计数据!$B$9&lt;AB54,"低于上限","达到或超过上限"))</f>
        <v/>
      </c>
      <c r="AD54" s="2"/>
      <c r="AE54" s="7" t="str">
        <f t="shared" si="20"/>
        <v/>
      </c>
      <c r="AG54" s="2"/>
      <c r="AH54" s="2"/>
      <c r="AI54" s="2"/>
      <c r="AJ54" s="8" t="str">
        <f t="shared" si="21"/>
        <v/>
      </c>
      <c r="AK54" s="10"/>
      <c r="AL54" s="12"/>
      <c r="AM54" s="10"/>
      <c r="AN54" s="12"/>
      <c r="AO54" s="5" t="str">
        <f t="shared" si="22"/>
        <v/>
      </c>
      <c r="AP54" s="11" t="str">
        <f t="shared" si="23"/>
        <v/>
      </c>
      <c r="AQ54" s="5" t="str">
        <f>IF(A54="","",IF(M54&lt;&gt;"",0,IF(OR(H54="",N54=""),"",MAX(E54-MAX(N54,IFERROR(SUMPRODUCT(MAX(((持仓跟踪!$A$2:$A$497="每日跟踪")*(持仓跟踪!$B$2:$B$497=A54))*持仓跟踪!$S$2:$S$497)),0)),0)*H54+IF(OR(AK54="",AL54=""),0,MAX(AK54-MAX(N54,IFERROR(SUMPRODUCT(MAX(((持仓跟踪!$A$2:$A$497="每日跟踪")*(持仓跟踪!$B$2:$B$497=A54))*持仓跟踪!$S$2:$S$497)),0)),0)*AL54)+IF(OR(AM54="",AN54=""),0,MAX(AM54-MAX(N54,IFERROR(SUMPRODUCT(MAX(((持仓跟踪!$A$2:$A$497="每日跟踪")*(持仓跟踪!$B$2:$B$497=A54))*持仓跟踪!$S$2:$S$497)),0)),0)*AN54))))</f>
        <v/>
      </c>
      <c r="AR54" s="8" t="str">
        <f ca="1">IF(A54="","",IF(OR(E54="",H54=""),"违规：第一批价格或股数缺失",IF(OR(AND(AK54="",AL54&lt;&gt;""),AND(AK54&lt;&gt;"",AL54="")),"违规：第二批价格与股数须成对填写",IF(OR(AND(AM54="",AN54&lt;&gt;""),AND(AM54&lt;&gt;"",AN54="")),"违规：第三批价格与股数须成对填写",IF(AND(OR(AM54&lt;&gt;"",AN54&lt;&gt;""),OR(AK54="",AL54="")),"违规：必须先完成第二批",IF(OR(H54&lt;=0,H54&lt;&gt;INT(H54),MOD(H54,100)&lt;&gt;0,AND(AL54&lt;&gt;"",OR(AL54&lt;=0,AL54&lt;&gt;INT(AL54),MOD(AL54,100)&lt;&gt;0)),AND(AN54&lt;&gt;"",OR(AN54&lt;=0,AN54&lt;&gt;INT(AN54),MOD(AN54,100)&lt;&gt;0))),"违规：股数须为100股整数倍",IF(AND(OR(AL54&lt;&gt;"",AN54&lt;&gt;""),OR(_LockStatus="已锁仓",_LockStatus="解锁信息不完整")),"违规：锁仓期间禁止加仓",IF(AQ54&gt;C54*D54,"违规：超过单笔风险上限",IF(SUM($AQ$2:$AQ$201)&gt;账户数据!$B$7,"违规：超过账户风险上限","通过")))))))))</f>
        <v/>
      </c>
    </row>
    <row r="55" ht="17" spans="1:44">
      <c r="A55" s="2"/>
      <c r="B55" s="2"/>
      <c r="C55" s="10"/>
      <c r="D55" s="6"/>
      <c r="E55" s="10"/>
      <c r="F55" s="8" t="str">
        <f t="shared" si="12"/>
        <v/>
      </c>
      <c r="G55" s="8" t="str">
        <f ca="1"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COUNTIFS(持仓跟踪!$A$2:$A$497,"止损计划",持仓跟踪!$B$2:$B$497,A55,持仓跟踪!$AC$2:$AC$497,"计划有效")=0,"禁止开仓：请先填写止损计划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5" s="2"/>
      <c r="I55" s="15"/>
      <c r="J55" s="10"/>
      <c r="K55" s="10"/>
      <c r="L55" s="8" t="str">
        <f t="shared" si="13"/>
        <v/>
      </c>
      <c r="M55" s="15"/>
      <c r="N55" s="10"/>
      <c r="O55" s="10"/>
      <c r="P55" s="10"/>
      <c r="Q55" s="2"/>
      <c r="R55" s="2"/>
      <c r="S55" s="2"/>
      <c r="T55" s="2"/>
      <c r="U55" s="7" t="str">
        <f t="shared" si="14"/>
        <v/>
      </c>
      <c r="V55" s="7" t="str">
        <f t="shared" si="15"/>
        <v/>
      </c>
      <c r="W55" s="22" t="str">
        <f t="shared" si="16"/>
        <v/>
      </c>
      <c r="X55" s="5" t="str">
        <f t="shared" si="17"/>
        <v/>
      </c>
      <c r="Y55" s="7" t="str">
        <f t="shared" si="18"/>
        <v/>
      </c>
      <c r="Z55" s="7" t="str">
        <f>IF(OR(AE55="",多次统计数据!$B$8=""),"",AE55-多次统计数据!$B$8)</f>
        <v/>
      </c>
      <c r="AA55" s="11" t="str">
        <f t="shared" si="19"/>
        <v/>
      </c>
      <c r="AB55" s="7" t="str">
        <f>IF(OR(A55="",多次统计数据!$B$8="",多次统计数据!$B$6&lt;=0,多次统计数据!$B$6&gt;=1),"",1-POWER(1+多次统计数据!$B$8,-多次统计数据!$B$6/(1-多次统计数据!$B$6)))</f>
        <v/>
      </c>
      <c r="AC55" s="8" t="str">
        <f>IF(OR(AB55="",多次统计数据!$B$9=""),"",IF(多次统计数据!$B$9&lt;AB55,"低于上限","达到或超过上限"))</f>
        <v/>
      </c>
      <c r="AD55" s="2"/>
      <c r="AE55" s="7" t="str">
        <f t="shared" si="20"/>
        <v/>
      </c>
      <c r="AG55" s="2"/>
      <c r="AH55" s="2"/>
      <c r="AI55" s="2"/>
      <c r="AJ55" s="8" t="str">
        <f t="shared" si="21"/>
        <v/>
      </c>
      <c r="AK55" s="10"/>
      <c r="AL55" s="12"/>
      <c r="AM55" s="10"/>
      <c r="AN55" s="12"/>
      <c r="AO55" s="5" t="str">
        <f t="shared" si="22"/>
        <v/>
      </c>
      <c r="AP55" s="11" t="str">
        <f t="shared" si="23"/>
        <v/>
      </c>
      <c r="AQ55" s="5" t="str">
        <f>IF(A55="","",IF(M55&lt;&gt;"",0,IF(OR(H55="",N55=""),"",MAX(E55-MAX(N55,IFERROR(SUMPRODUCT(MAX(((持仓跟踪!$A$2:$A$497="每日跟踪")*(持仓跟踪!$B$2:$B$497=A55))*持仓跟踪!$S$2:$S$497)),0)),0)*H55+IF(OR(AK55="",AL55=""),0,MAX(AK55-MAX(N55,IFERROR(SUMPRODUCT(MAX(((持仓跟踪!$A$2:$A$497="每日跟踪")*(持仓跟踪!$B$2:$B$497=A55))*持仓跟踪!$S$2:$S$497)),0)),0)*AL55)+IF(OR(AM55="",AN55=""),0,MAX(AM55-MAX(N55,IFERROR(SUMPRODUCT(MAX(((持仓跟踪!$A$2:$A$497="每日跟踪")*(持仓跟踪!$B$2:$B$497=A55))*持仓跟踪!$S$2:$S$497)),0)),0)*AN55))))</f>
        <v/>
      </c>
      <c r="AR55" s="8" t="str">
        <f ca="1">IF(A55="","",IF(OR(E55="",H55=""),"违规：第一批价格或股数缺失",IF(OR(AND(AK55="",AL55&lt;&gt;""),AND(AK55&lt;&gt;"",AL55="")),"违规：第二批价格与股数须成对填写",IF(OR(AND(AM55="",AN55&lt;&gt;""),AND(AM55&lt;&gt;"",AN55="")),"违规：第三批价格与股数须成对填写",IF(AND(OR(AM55&lt;&gt;"",AN55&lt;&gt;""),OR(AK55="",AL55="")),"违规：必须先完成第二批",IF(OR(H55&lt;=0,H55&lt;&gt;INT(H55),MOD(H55,100)&lt;&gt;0,AND(AL55&lt;&gt;"",OR(AL55&lt;=0,AL55&lt;&gt;INT(AL55),MOD(AL55,100)&lt;&gt;0)),AND(AN55&lt;&gt;"",OR(AN55&lt;=0,AN55&lt;&gt;INT(AN55),MOD(AN55,100)&lt;&gt;0))),"违规：股数须为100股整数倍",IF(AND(OR(AL55&lt;&gt;"",AN55&lt;&gt;""),OR(_LockStatus="已锁仓",_LockStatus="解锁信息不完整")),"违规：锁仓期间禁止加仓",IF(AQ55&gt;C55*D55,"违规：超过单笔风险上限",IF(SUM($AQ$2:$AQ$201)&gt;账户数据!$B$7,"违规：超过账户风险上限","通过")))))))))</f>
        <v/>
      </c>
    </row>
    <row r="56" ht="17" spans="1:44">
      <c r="A56" s="2"/>
      <c r="B56" s="2"/>
      <c r="C56" s="10"/>
      <c r="D56" s="6"/>
      <c r="E56" s="10"/>
      <c r="F56" s="8" t="str">
        <f t="shared" si="12"/>
        <v/>
      </c>
      <c r="G56" s="8" t="str">
        <f ca="1"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COUNTIFS(持仓跟踪!$A$2:$A$497,"止损计划",持仓跟踪!$B$2:$B$497,A56,持仓跟踪!$AC$2:$AC$497,"计划有效")=0,"禁止开仓：请先填写止损计划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6" s="2"/>
      <c r="I56" s="15"/>
      <c r="J56" s="10"/>
      <c r="K56" s="10"/>
      <c r="L56" s="8" t="str">
        <f t="shared" si="13"/>
        <v/>
      </c>
      <c r="M56" s="15"/>
      <c r="N56" s="10"/>
      <c r="O56" s="10"/>
      <c r="P56" s="10"/>
      <c r="Q56" s="2"/>
      <c r="R56" s="2"/>
      <c r="S56" s="2"/>
      <c r="T56" s="2"/>
      <c r="U56" s="7" t="str">
        <f t="shared" si="14"/>
        <v/>
      </c>
      <c r="V56" s="7" t="str">
        <f t="shared" si="15"/>
        <v/>
      </c>
      <c r="W56" s="22" t="str">
        <f t="shared" si="16"/>
        <v/>
      </c>
      <c r="X56" s="5" t="str">
        <f t="shared" si="17"/>
        <v/>
      </c>
      <c r="Y56" s="7" t="str">
        <f t="shared" si="18"/>
        <v/>
      </c>
      <c r="Z56" s="7" t="str">
        <f>IF(OR(AE56="",多次统计数据!$B$8=""),"",AE56-多次统计数据!$B$8)</f>
        <v/>
      </c>
      <c r="AA56" s="11" t="str">
        <f t="shared" si="19"/>
        <v/>
      </c>
      <c r="AB56" s="7" t="str">
        <f>IF(OR(A56="",多次统计数据!$B$8="",多次统计数据!$B$6&lt;=0,多次统计数据!$B$6&gt;=1),"",1-POWER(1+多次统计数据!$B$8,-多次统计数据!$B$6/(1-多次统计数据!$B$6)))</f>
        <v/>
      </c>
      <c r="AC56" s="8" t="str">
        <f>IF(OR(AB56="",多次统计数据!$B$9=""),"",IF(多次统计数据!$B$9&lt;AB56,"低于上限","达到或超过上限"))</f>
        <v/>
      </c>
      <c r="AD56" s="2"/>
      <c r="AE56" s="7" t="str">
        <f t="shared" si="20"/>
        <v/>
      </c>
      <c r="AG56" s="2"/>
      <c r="AH56" s="2"/>
      <c r="AI56" s="2"/>
      <c r="AJ56" s="8" t="str">
        <f t="shared" si="21"/>
        <v/>
      </c>
      <c r="AK56" s="10"/>
      <c r="AL56" s="12"/>
      <c r="AM56" s="10"/>
      <c r="AN56" s="12"/>
      <c r="AO56" s="5" t="str">
        <f t="shared" si="22"/>
        <v/>
      </c>
      <c r="AP56" s="11" t="str">
        <f t="shared" si="23"/>
        <v/>
      </c>
      <c r="AQ56" s="5" t="str">
        <f>IF(A56="","",IF(M56&lt;&gt;"",0,IF(OR(H56="",N56=""),"",MAX(E56-MAX(N56,IFERROR(SUMPRODUCT(MAX(((持仓跟踪!$A$2:$A$497="每日跟踪")*(持仓跟踪!$B$2:$B$497=A56))*持仓跟踪!$S$2:$S$497)),0)),0)*H56+IF(OR(AK56="",AL56=""),0,MAX(AK56-MAX(N56,IFERROR(SUMPRODUCT(MAX(((持仓跟踪!$A$2:$A$497="每日跟踪")*(持仓跟踪!$B$2:$B$497=A56))*持仓跟踪!$S$2:$S$497)),0)),0)*AL56)+IF(OR(AM56="",AN56=""),0,MAX(AM56-MAX(N56,IFERROR(SUMPRODUCT(MAX(((持仓跟踪!$A$2:$A$497="每日跟踪")*(持仓跟踪!$B$2:$B$497=A56))*持仓跟踪!$S$2:$S$497)),0)),0)*AN56))))</f>
        <v/>
      </c>
      <c r="AR56" s="8" t="str">
        <f ca="1">IF(A56="","",IF(OR(E56="",H56=""),"违规：第一批价格或股数缺失",IF(OR(AND(AK56="",AL56&lt;&gt;""),AND(AK56&lt;&gt;"",AL56="")),"违规：第二批价格与股数须成对填写",IF(OR(AND(AM56="",AN56&lt;&gt;""),AND(AM56&lt;&gt;"",AN56="")),"违规：第三批价格与股数须成对填写",IF(AND(OR(AM56&lt;&gt;"",AN56&lt;&gt;""),OR(AK56="",AL56="")),"违规：必须先完成第二批",IF(OR(H56&lt;=0,H56&lt;&gt;INT(H56),MOD(H56,100)&lt;&gt;0,AND(AL56&lt;&gt;"",OR(AL56&lt;=0,AL56&lt;&gt;INT(AL56),MOD(AL56,100)&lt;&gt;0)),AND(AN56&lt;&gt;"",OR(AN56&lt;=0,AN56&lt;&gt;INT(AN56),MOD(AN56,100)&lt;&gt;0))),"违规：股数须为100股整数倍",IF(AND(OR(AL56&lt;&gt;"",AN56&lt;&gt;""),OR(_LockStatus="已锁仓",_LockStatus="解锁信息不完整")),"违规：锁仓期间禁止加仓",IF(AQ56&gt;C56*D56,"违规：超过单笔风险上限",IF(SUM($AQ$2:$AQ$201)&gt;账户数据!$B$7,"违规：超过账户风险上限","通过")))))))))</f>
        <v/>
      </c>
    </row>
    <row r="57" ht="17" spans="1:44">
      <c r="A57" s="2"/>
      <c r="B57" s="2"/>
      <c r="C57" s="10"/>
      <c r="D57" s="6"/>
      <c r="E57" s="10"/>
      <c r="F57" s="8" t="str">
        <f t="shared" si="12"/>
        <v/>
      </c>
      <c r="G57" s="8" t="str">
        <f ca="1"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COUNTIFS(持仓跟踪!$A$2:$A$497,"止损计划",持仓跟踪!$B$2:$B$497,A57,持仓跟踪!$AC$2:$AC$497,"计划有效")=0,"禁止开仓：请先填写止损计划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7" s="2"/>
      <c r="I57" s="15"/>
      <c r="J57" s="10"/>
      <c r="K57" s="10"/>
      <c r="L57" s="8" t="str">
        <f t="shared" si="13"/>
        <v/>
      </c>
      <c r="M57" s="15"/>
      <c r="N57" s="10"/>
      <c r="O57" s="10"/>
      <c r="P57" s="10"/>
      <c r="Q57" s="2"/>
      <c r="R57" s="2"/>
      <c r="S57" s="2"/>
      <c r="T57" s="2"/>
      <c r="U57" s="7" t="str">
        <f t="shared" si="14"/>
        <v/>
      </c>
      <c r="V57" s="7" t="str">
        <f t="shared" si="15"/>
        <v/>
      </c>
      <c r="W57" s="22" t="str">
        <f t="shared" si="16"/>
        <v/>
      </c>
      <c r="X57" s="5" t="str">
        <f t="shared" si="17"/>
        <v/>
      </c>
      <c r="Y57" s="7" t="str">
        <f t="shared" si="18"/>
        <v/>
      </c>
      <c r="Z57" s="7" t="str">
        <f>IF(OR(AE57="",多次统计数据!$B$8=""),"",AE57-多次统计数据!$B$8)</f>
        <v/>
      </c>
      <c r="AA57" s="11" t="str">
        <f t="shared" si="19"/>
        <v/>
      </c>
      <c r="AB57" s="7" t="str">
        <f>IF(OR(A57="",多次统计数据!$B$8="",多次统计数据!$B$6&lt;=0,多次统计数据!$B$6&gt;=1),"",1-POWER(1+多次统计数据!$B$8,-多次统计数据!$B$6/(1-多次统计数据!$B$6)))</f>
        <v/>
      </c>
      <c r="AC57" s="8" t="str">
        <f>IF(OR(AB57="",多次统计数据!$B$9=""),"",IF(多次统计数据!$B$9&lt;AB57,"低于上限","达到或超过上限"))</f>
        <v/>
      </c>
      <c r="AD57" s="2"/>
      <c r="AE57" s="7" t="str">
        <f t="shared" si="20"/>
        <v/>
      </c>
      <c r="AG57" s="2"/>
      <c r="AH57" s="2"/>
      <c r="AI57" s="2"/>
      <c r="AJ57" s="8" t="str">
        <f t="shared" si="21"/>
        <v/>
      </c>
      <c r="AK57" s="10"/>
      <c r="AL57" s="12"/>
      <c r="AM57" s="10"/>
      <c r="AN57" s="12"/>
      <c r="AO57" s="5" t="str">
        <f t="shared" si="22"/>
        <v/>
      </c>
      <c r="AP57" s="11" t="str">
        <f t="shared" si="23"/>
        <v/>
      </c>
      <c r="AQ57" s="5" t="str">
        <f>IF(A57="","",IF(M57&lt;&gt;"",0,IF(OR(H57="",N57=""),"",MAX(E57-MAX(N57,IFERROR(SUMPRODUCT(MAX(((持仓跟踪!$A$2:$A$497="每日跟踪")*(持仓跟踪!$B$2:$B$497=A57))*持仓跟踪!$S$2:$S$497)),0)),0)*H57+IF(OR(AK57="",AL57=""),0,MAX(AK57-MAX(N57,IFERROR(SUMPRODUCT(MAX(((持仓跟踪!$A$2:$A$497="每日跟踪")*(持仓跟踪!$B$2:$B$497=A57))*持仓跟踪!$S$2:$S$497)),0)),0)*AL57)+IF(OR(AM57="",AN57=""),0,MAX(AM57-MAX(N57,IFERROR(SUMPRODUCT(MAX(((持仓跟踪!$A$2:$A$497="每日跟踪")*(持仓跟踪!$B$2:$B$497=A57))*持仓跟踪!$S$2:$S$497)),0)),0)*AN57))))</f>
        <v/>
      </c>
      <c r="AR57" s="8" t="str">
        <f ca="1">IF(A57="","",IF(OR(E57="",H57=""),"违规：第一批价格或股数缺失",IF(OR(AND(AK57="",AL57&lt;&gt;""),AND(AK57&lt;&gt;"",AL57="")),"违规：第二批价格与股数须成对填写",IF(OR(AND(AM57="",AN57&lt;&gt;""),AND(AM57&lt;&gt;"",AN57="")),"违规：第三批价格与股数须成对填写",IF(AND(OR(AM57&lt;&gt;"",AN57&lt;&gt;""),OR(AK57="",AL57="")),"违规：必须先完成第二批",IF(OR(H57&lt;=0,H57&lt;&gt;INT(H57),MOD(H57,100)&lt;&gt;0,AND(AL57&lt;&gt;"",OR(AL57&lt;=0,AL57&lt;&gt;INT(AL57),MOD(AL57,100)&lt;&gt;0)),AND(AN57&lt;&gt;"",OR(AN57&lt;=0,AN57&lt;&gt;INT(AN57),MOD(AN57,100)&lt;&gt;0))),"违规：股数须为100股整数倍",IF(AND(OR(AL57&lt;&gt;"",AN57&lt;&gt;""),OR(_LockStatus="已锁仓",_LockStatus="解锁信息不完整")),"违规：锁仓期间禁止加仓",IF(AQ57&gt;C57*D57,"违规：超过单笔风险上限",IF(SUM($AQ$2:$AQ$201)&gt;账户数据!$B$7,"违规：超过账户风险上限","通过")))))))))</f>
        <v/>
      </c>
    </row>
    <row r="58" ht="17" spans="1:44">
      <c r="A58" s="2"/>
      <c r="B58" s="2"/>
      <c r="C58" s="10"/>
      <c r="D58" s="6"/>
      <c r="E58" s="10"/>
      <c r="F58" s="8" t="str">
        <f t="shared" si="12"/>
        <v/>
      </c>
      <c r="G58" s="8" t="str">
        <f ca="1"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COUNTIFS(持仓跟踪!$A$2:$A$497,"止损计划",持仓跟踪!$B$2:$B$497,A58,持仓跟踪!$AC$2:$AC$497,"计划有效")=0,"禁止开仓：请先填写止损计划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8" s="2"/>
      <c r="I58" s="15"/>
      <c r="J58" s="10"/>
      <c r="K58" s="10"/>
      <c r="L58" s="8" t="str">
        <f t="shared" si="13"/>
        <v/>
      </c>
      <c r="M58" s="15"/>
      <c r="N58" s="10"/>
      <c r="O58" s="10"/>
      <c r="P58" s="10"/>
      <c r="Q58" s="2"/>
      <c r="R58" s="2"/>
      <c r="S58" s="2"/>
      <c r="T58" s="2"/>
      <c r="U58" s="7" t="str">
        <f t="shared" si="14"/>
        <v/>
      </c>
      <c r="V58" s="7" t="str">
        <f t="shared" si="15"/>
        <v/>
      </c>
      <c r="W58" s="22" t="str">
        <f t="shared" si="16"/>
        <v/>
      </c>
      <c r="X58" s="5" t="str">
        <f t="shared" si="17"/>
        <v/>
      </c>
      <c r="Y58" s="7" t="str">
        <f t="shared" si="18"/>
        <v/>
      </c>
      <c r="Z58" s="7" t="str">
        <f>IF(OR(AE58="",多次统计数据!$B$8=""),"",AE58-多次统计数据!$B$8)</f>
        <v/>
      </c>
      <c r="AA58" s="11" t="str">
        <f t="shared" si="19"/>
        <v/>
      </c>
      <c r="AB58" s="7" t="str">
        <f>IF(OR(A58="",多次统计数据!$B$8="",多次统计数据!$B$6&lt;=0,多次统计数据!$B$6&gt;=1),"",1-POWER(1+多次统计数据!$B$8,-多次统计数据!$B$6/(1-多次统计数据!$B$6)))</f>
        <v/>
      </c>
      <c r="AC58" s="8" t="str">
        <f>IF(OR(AB58="",多次统计数据!$B$9=""),"",IF(多次统计数据!$B$9&lt;AB58,"低于上限","达到或超过上限"))</f>
        <v/>
      </c>
      <c r="AD58" s="2"/>
      <c r="AE58" s="7" t="str">
        <f t="shared" si="20"/>
        <v/>
      </c>
      <c r="AG58" s="2"/>
      <c r="AH58" s="2"/>
      <c r="AI58" s="2"/>
      <c r="AJ58" s="8" t="str">
        <f t="shared" si="21"/>
        <v/>
      </c>
      <c r="AK58" s="10"/>
      <c r="AL58" s="12"/>
      <c r="AM58" s="10"/>
      <c r="AN58" s="12"/>
      <c r="AO58" s="5" t="str">
        <f t="shared" si="22"/>
        <v/>
      </c>
      <c r="AP58" s="11" t="str">
        <f t="shared" si="23"/>
        <v/>
      </c>
      <c r="AQ58" s="5" t="str">
        <f>IF(A58="","",IF(M58&lt;&gt;"",0,IF(OR(H58="",N58=""),"",MAX(E58-MAX(N58,IFERROR(SUMPRODUCT(MAX(((持仓跟踪!$A$2:$A$497="每日跟踪")*(持仓跟踪!$B$2:$B$497=A58))*持仓跟踪!$S$2:$S$497)),0)),0)*H58+IF(OR(AK58="",AL58=""),0,MAX(AK58-MAX(N58,IFERROR(SUMPRODUCT(MAX(((持仓跟踪!$A$2:$A$497="每日跟踪")*(持仓跟踪!$B$2:$B$497=A58))*持仓跟踪!$S$2:$S$497)),0)),0)*AL58)+IF(OR(AM58="",AN58=""),0,MAX(AM58-MAX(N58,IFERROR(SUMPRODUCT(MAX(((持仓跟踪!$A$2:$A$497="每日跟踪")*(持仓跟踪!$B$2:$B$497=A58))*持仓跟踪!$S$2:$S$497)),0)),0)*AN58))))</f>
        <v/>
      </c>
      <c r="AR58" s="8" t="str">
        <f ca="1">IF(A58="","",IF(OR(E58="",H58=""),"违规：第一批价格或股数缺失",IF(OR(AND(AK58="",AL58&lt;&gt;""),AND(AK58&lt;&gt;"",AL58="")),"违规：第二批价格与股数须成对填写",IF(OR(AND(AM58="",AN58&lt;&gt;""),AND(AM58&lt;&gt;"",AN58="")),"违规：第三批价格与股数须成对填写",IF(AND(OR(AM58&lt;&gt;"",AN58&lt;&gt;""),OR(AK58="",AL58="")),"违规：必须先完成第二批",IF(OR(H58&lt;=0,H58&lt;&gt;INT(H58),MOD(H58,100)&lt;&gt;0,AND(AL58&lt;&gt;"",OR(AL58&lt;=0,AL58&lt;&gt;INT(AL58),MOD(AL58,100)&lt;&gt;0)),AND(AN58&lt;&gt;"",OR(AN58&lt;=0,AN58&lt;&gt;INT(AN58),MOD(AN58,100)&lt;&gt;0))),"违规：股数须为100股整数倍",IF(AND(OR(AL58&lt;&gt;"",AN58&lt;&gt;""),OR(_LockStatus="已锁仓",_LockStatus="解锁信息不完整")),"违规：锁仓期间禁止加仓",IF(AQ58&gt;C58*D58,"违规：超过单笔风险上限",IF(SUM($AQ$2:$AQ$201)&gt;账户数据!$B$7,"违规：超过账户风险上限","通过")))))))))</f>
        <v/>
      </c>
    </row>
    <row r="59" ht="17" spans="1:44">
      <c r="A59" s="2"/>
      <c r="B59" s="2"/>
      <c r="C59" s="10"/>
      <c r="D59" s="6"/>
      <c r="E59" s="10"/>
      <c r="F59" s="8" t="str">
        <f t="shared" si="12"/>
        <v/>
      </c>
      <c r="G59" s="8" t="str">
        <f ca="1"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COUNTIFS(持仓跟踪!$A$2:$A$497,"止损计划",持仓跟踪!$B$2:$B$497,A59,持仓跟踪!$AC$2:$AC$497,"计划有效")=0,"禁止开仓：请先填写止损计划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9" s="2"/>
      <c r="I59" s="15"/>
      <c r="J59" s="10"/>
      <c r="K59" s="10"/>
      <c r="L59" s="8" t="str">
        <f t="shared" si="13"/>
        <v/>
      </c>
      <c r="M59" s="15"/>
      <c r="N59" s="10"/>
      <c r="O59" s="10"/>
      <c r="P59" s="10"/>
      <c r="Q59" s="2"/>
      <c r="R59" s="2"/>
      <c r="S59" s="2"/>
      <c r="T59" s="2"/>
      <c r="U59" s="7" t="str">
        <f t="shared" si="14"/>
        <v/>
      </c>
      <c r="V59" s="7" t="str">
        <f t="shared" si="15"/>
        <v/>
      </c>
      <c r="W59" s="22" t="str">
        <f t="shared" si="16"/>
        <v/>
      </c>
      <c r="X59" s="5" t="str">
        <f t="shared" si="17"/>
        <v/>
      </c>
      <c r="Y59" s="7" t="str">
        <f t="shared" si="18"/>
        <v/>
      </c>
      <c r="Z59" s="7" t="str">
        <f>IF(OR(AE59="",多次统计数据!$B$8=""),"",AE59-多次统计数据!$B$8)</f>
        <v/>
      </c>
      <c r="AA59" s="11" t="str">
        <f t="shared" si="19"/>
        <v/>
      </c>
      <c r="AB59" s="7" t="str">
        <f>IF(OR(A59="",多次统计数据!$B$8="",多次统计数据!$B$6&lt;=0,多次统计数据!$B$6&gt;=1),"",1-POWER(1+多次统计数据!$B$8,-多次统计数据!$B$6/(1-多次统计数据!$B$6)))</f>
        <v/>
      </c>
      <c r="AC59" s="8" t="str">
        <f>IF(OR(AB59="",多次统计数据!$B$9=""),"",IF(多次统计数据!$B$9&lt;AB59,"低于上限","达到或超过上限"))</f>
        <v/>
      </c>
      <c r="AD59" s="2"/>
      <c r="AE59" s="7" t="str">
        <f t="shared" si="20"/>
        <v/>
      </c>
      <c r="AG59" s="2"/>
      <c r="AH59" s="2"/>
      <c r="AI59" s="2"/>
      <c r="AJ59" s="8" t="str">
        <f t="shared" si="21"/>
        <v/>
      </c>
      <c r="AK59" s="10"/>
      <c r="AL59" s="12"/>
      <c r="AM59" s="10"/>
      <c r="AN59" s="12"/>
      <c r="AO59" s="5" t="str">
        <f t="shared" si="22"/>
        <v/>
      </c>
      <c r="AP59" s="11" t="str">
        <f t="shared" si="23"/>
        <v/>
      </c>
      <c r="AQ59" s="5" t="str">
        <f>IF(A59="","",IF(M59&lt;&gt;"",0,IF(OR(H59="",N59=""),"",MAX(E59-MAX(N59,IFERROR(SUMPRODUCT(MAX(((持仓跟踪!$A$2:$A$497="每日跟踪")*(持仓跟踪!$B$2:$B$497=A59))*持仓跟踪!$S$2:$S$497)),0)),0)*H59+IF(OR(AK59="",AL59=""),0,MAX(AK59-MAX(N59,IFERROR(SUMPRODUCT(MAX(((持仓跟踪!$A$2:$A$497="每日跟踪")*(持仓跟踪!$B$2:$B$497=A59))*持仓跟踪!$S$2:$S$497)),0)),0)*AL59)+IF(OR(AM59="",AN59=""),0,MAX(AM59-MAX(N59,IFERROR(SUMPRODUCT(MAX(((持仓跟踪!$A$2:$A$497="每日跟踪")*(持仓跟踪!$B$2:$B$497=A59))*持仓跟踪!$S$2:$S$497)),0)),0)*AN59))))</f>
        <v/>
      </c>
      <c r="AR59" s="8" t="str">
        <f ca="1">IF(A59="","",IF(OR(E59="",H59=""),"违规：第一批价格或股数缺失",IF(OR(AND(AK59="",AL59&lt;&gt;""),AND(AK59&lt;&gt;"",AL59="")),"违规：第二批价格与股数须成对填写",IF(OR(AND(AM59="",AN59&lt;&gt;""),AND(AM59&lt;&gt;"",AN59="")),"违规：第三批价格与股数须成对填写",IF(AND(OR(AM59&lt;&gt;"",AN59&lt;&gt;""),OR(AK59="",AL59="")),"违规：必须先完成第二批",IF(OR(H59&lt;=0,H59&lt;&gt;INT(H59),MOD(H59,100)&lt;&gt;0,AND(AL59&lt;&gt;"",OR(AL59&lt;=0,AL59&lt;&gt;INT(AL59),MOD(AL59,100)&lt;&gt;0)),AND(AN59&lt;&gt;"",OR(AN59&lt;=0,AN59&lt;&gt;INT(AN59),MOD(AN59,100)&lt;&gt;0))),"违规：股数须为100股整数倍",IF(AND(OR(AL59&lt;&gt;"",AN59&lt;&gt;""),OR(_LockStatus="已锁仓",_LockStatus="解锁信息不完整")),"违规：锁仓期间禁止加仓",IF(AQ59&gt;C59*D59,"违规：超过单笔风险上限",IF(SUM($AQ$2:$AQ$201)&gt;账户数据!$B$7,"违规：超过账户风险上限","通过")))))))))</f>
        <v/>
      </c>
    </row>
    <row r="60" ht="17" spans="1:44">
      <c r="A60" s="2"/>
      <c r="B60" s="2"/>
      <c r="C60" s="10"/>
      <c r="D60" s="6"/>
      <c r="E60" s="10"/>
      <c r="F60" s="8" t="str">
        <f t="shared" si="12"/>
        <v/>
      </c>
      <c r="G60" s="8" t="str">
        <f ca="1"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COUNTIFS(持仓跟踪!$A$2:$A$497,"止损计划",持仓跟踪!$B$2:$B$497,A60,持仓跟踪!$AC$2:$AC$497,"计划有效")=0,"禁止开仓：请先填写止损计划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0" s="2"/>
      <c r="I60" s="15"/>
      <c r="J60" s="10"/>
      <c r="K60" s="10"/>
      <c r="L60" s="8" t="str">
        <f t="shared" si="13"/>
        <v/>
      </c>
      <c r="M60" s="15"/>
      <c r="N60" s="10"/>
      <c r="O60" s="10"/>
      <c r="P60" s="10"/>
      <c r="Q60" s="2"/>
      <c r="R60" s="2"/>
      <c r="S60" s="2"/>
      <c r="T60" s="2"/>
      <c r="U60" s="7" t="str">
        <f t="shared" si="14"/>
        <v/>
      </c>
      <c r="V60" s="7" t="str">
        <f t="shared" si="15"/>
        <v/>
      </c>
      <c r="W60" s="22" t="str">
        <f t="shared" si="16"/>
        <v/>
      </c>
      <c r="X60" s="5" t="str">
        <f t="shared" si="17"/>
        <v/>
      </c>
      <c r="Y60" s="7" t="str">
        <f t="shared" si="18"/>
        <v/>
      </c>
      <c r="Z60" s="7" t="str">
        <f>IF(OR(AE60="",多次统计数据!$B$8=""),"",AE60-多次统计数据!$B$8)</f>
        <v/>
      </c>
      <c r="AA60" s="11" t="str">
        <f t="shared" si="19"/>
        <v/>
      </c>
      <c r="AB60" s="7" t="str">
        <f>IF(OR(A60="",多次统计数据!$B$8="",多次统计数据!$B$6&lt;=0,多次统计数据!$B$6&gt;=1),"",1-POWER(1+多次统计数据!$B$8,-多次统计数据!$B$6/(1-多次统计数据!$B$6)))</f>
        <v/>
      </c>
      <c r="AC60" s="8" t="str">
        <f>IF(OR(AB60="",多次统计数据!$B$9=""),"",IF(多次统计数据!$B$9&lt;AB60,"低于上限","达到或超过上限"))</f>
        <v/>
      </c>
      <c r="AD60" s="2"/>
      <c r="AE60" s="7" t="str">
        <f t="shared" si="20"/>
        <v/>
      </c>
      <c r="AG60" s="2"/>
      <c r="AH60" s="2"/>
      <c r="AI60" s="2"/>
      <c r="AJ60" s="8" t="str">
        <f t="shared" si="21"/>
        <v/>
      </c>
      <c r="AK60" s="10"/>
      <c r="AL60" s="12"/>
      <c r="AM60" s="10"/>
      <c r="AN60" s="12"/>
      <c r="AO60" s="5" t="str">
        <f t="shared" si="22"/>
        <v/>
      </c>
      <c r="AP60" s="11" t="str">
        <f t="shared" si="23"/>
        <v/>
      </c>
      <c r="AQ60" s="5" t="str">
        <f>IF(A60="","",IF(M60&lt;&gt;"",0,IF(OR(H60="",N60=""),"",MAX(E60-MAX(N60,IFERROR(SUMPRODUCT(MAX(((持仓跟踪!$A$2:$A$497="每日跟踪")*(持仓跟踪!$B$2:$B$497=A60))*持仓跟踪!$S$2:$S$497)),0)),0)*H60+IF(OR(AK60="",AL60=""),0,MAX(AK60-MAX(N60,IFERROR(SUMPRODUCT(MAX(((持仓跟踪!$A$2:$A$497="每日跟踪")*(持仓跟踪!$B$2:$B$497=A60))*持仓跟踪!$S$2:$S$497)),0)),0)*AL60)+IF(OR(AM60="",AN60=""),0,MAX(AM60-MAX(N60,IFERROR(SUMPRODUCT(MAX(((持仓跟踪!$A$2:$A$497="每日跟踪")*(持仓跟踪!$B$2:$B$497=A60))*持仓跟踪!$S$2:$S$497)),0)),0)*AN60))))</f>
        <v/>
      </c>
      <c r="AR60" s="8" t="str">
        <f ca="1">IF(A60="","",IF(OR(E60="",H60=""),"违规：第一批价格或股数缺失",IF(OR(AND(AK60="",AL60&lt;&gt;""),AND(AK60&lt;&gt;"",AL60="")),"违规：第二批价格与股数须成对填写",IF(OR(AND(AM60="",AN60&lt;&gt;""),AND(AM60&lt;&gt;"",AN60="")),"违规：第三批价格与股数须成对填写",IF(AND(OR(AM60&lt;&gt;"",AN60&lt;&gt;""),OR(AK60="",AL60="")),"违规：必须先完成第二批",IF(OR(H60&lt;=0,H60&lt;&gt;INT(H60),MOD(H60,100)&lt;&gt;0,AND(AL60&lt;&gt;"",OR(AL60&lt;=0,AL60&lt;&gt;INT(AL60),MOD(AL60,100)&lt;&gt;0)),AND(AN60&lt;&gt;"",OR(AN60&lt;=0,AN60&lt;&gt;INT(AN60),MOD(AN60,100)&lt;&gt;0))),"违规：股数须为100股整数倍",IF(AND(OR(AL60&lt;&gt;"",AN60&lt;&gt;""),OR(_LockStatus="已锁仓",_LockStatus="解锁信息不完整")),"违规：锁仓期间禁止加仓",IF(AQ60&gt;C60*D60,"违规：超过单笔风险上限",IF(SUM($AQ$2:$AQ$201)&gt;账户数据!$B$7,"违规：超过账户风险上限","通过")))))))))</f>
        <v/>
      </c>
    </row>
    <row r="61" ht="17" spans="1:44">
      <c r="A61" s="2"/>
      <c r="B61" s="2"/>
      <c r="C61" s="10"/>
      <c r="D61" s="6"/>
      <c r="E61" s="10"/>
      <c r="F61" s="8" t="str">
        <f t="shared" si="12"/>
        <v/>
      </c>
      <c r="G61" s="8" t="str">
        <f ca="1"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COUNTIFS(持仓跟踪!$A$2:$A$497,"止损计划",持仓跟踪!$B$2:$B$497,A61,持仓跟踪!$AC$2:$AC$497,"计划有效")=0,"禁止开仓：请先填写止损计划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1" s="2"/>
      <c r="I61" s="15"/>
      <c r="J61" s="10"/>
      <c r="K61" s="10"/>
      <c r="L61" s="8" t="str">
        <f t="shared" si="13"/>
        <v/>
      </c>
      <c r="M61" s="15"/>
      <c r="N61" s="10"/>
      <c r="O61" s="10"/>
      <c r="P61" s="10"/>
      <c r="Q61" s="2"/>
      <c r="R61" s="2"/>
      <c r="S61" s="2"/>
      <c r="T61" s="2"/>
      <c r="U61" s="7" t="str">
        <f t="shared" si="14"/>
        <v/>
      </c>
      <c r="V61" s="7" t="str">
        <f t="shared" si="15"/>
        <v/>
      </c>
      <c r="W61" s="22" t="str">
        <f t="shared" si="16"/>
        <v/>
      </c>
      <c r="X61" s="5" t="str">
        <f t="shared" si="17"/>
        <v/>
      </c>
      <c r="Y61" s="7" t="str">
        <f t="shared" si="18"/>
        <v/>
      </c>
      <c r="Z61" s="7" t="str">
        <f>IF(OR(AE61="",多次统计数据!$B$8=""),"",AE61-多次统计数据!$B$8)</f>
        <v/>
      </c>
      <c r="AA61" s="11" t="str">
        <f t="shared" si="19"/>
        <v/>
      </c>
      <c r="AB61" s="7" t="str">
        <f>IF(OR(A61="",多次统计数据!$B$8="",多次统计数据!$B$6&lt;=0,多次统计数据!$B$6&gt;=1),"",1-POWER(1+多次统计数据!$B$8,-多次统计数据!$B$6/(1-多次统计数据!$B$6)))</f>
        <v/>
      </c>
      <c r="AC61" s="8" t="str">
        <f>IF(OR(AB61="",多次统计数据!$B$9=""),"",IF(多次统计数据!$B$9&lt;AB61,"低于上限","达到或超过上限"))</f>
        <v/>
      </c>
      <c r="AD61" s="2"/>
      <c r="AE61" s="7" t="str">
        <f t="shared" si="20"/>
        <v/>
      </c>
      <c r="AG61" s="2"/>
      <c r="AH61" s="2"/>
      <c r="AI61" s="2"/>
      <c r="AJ61" s="8" t="str">
        <f t="shared" si="21"/>
        <v/>
      </c>
      <c r="AK61" s="10"/>
      <c r="AL61" s="12"/>
      <c r="AM61" s="10"/>
      <c r="AN61" s="12"/>
      <c r="AO61" s="5" t="str">
        <f t="shared" si="22"/>
        <v/>
      </c>
      <c r="AP61" s="11" t="str">
        <f t="shared" si="23"/>
        <v/>
      </c>
      <c r="AQ61" s="5" t="str">
        <f>IF(A61="","",IF(M61&lt;&gt;"",0,IF(OR(H61="",N61=""),"",MAX(E61-MAX(N61,IFERROR(SUMPRODUCT(MAX(((持仓跟踪!$A$2:$A$497="每日跟踪")*(持仓跟踪!$B$2:$B$497=A61))*持仓跟踪!$S$2:$S$497)),0)),0)*H61+IF(OR(AK61="",AL61=""),0,MAX(AK61-MAX(N61,IFERROR(SUMPRODUCT(MAX(((持仓跟踪!$A$2:$A$497="每日跟踪")*(持仓跟踪!$B$2:$B$497=A61))*持仓跟踪!$S$2:$S$497)),0)),0)*AL61)+IF(OR(AM61="",AN61=""),0,MAX(AM61-MAX(N61,IFERROR(SUMPRODUCT(MAX(((持仓跟踪!$A$2:$A$497="每日跟踪")*(持仓跟踪!$B$2:$B$497=A61))*持仓跟踪!$S$2:$S$497)),0)),0)*AN61))))</f>
        <v/>
      </c>
      <c r="AR61" s="8" t="str">
        <f ca="1">IF(A61="","",IF(OR(E61="",H61=""),"违规：第一批价格或股数缺失",IF(OR(AND(AK61="",AL61&lt;&gt;""),AND(AK61&lt;&gt;"",AL61="")),"违规：第二批价格与股数须成对填写",IF(OR(AND(AM61="",AN61&lt;&gt;""),AND(AM61&lt;&gt;"",AN61="")),"违规：第三批价格与股数须成对填写",IF(AND(OR(AM61&lt;&gt;"",AN61&lt;&gt;""),OR(AK61="",AL61="")),"违规：必须先完成第二批",IF(OR(H61&lt;=0,H61&lt;&gt;INT(H61),MOD(H61,100)&lt;&gt;0,AND(AL61&lt;&gt;"",OR(AL61&lt;=0,AL61&lt;&gt;INT(AL61),MOD(AL61,100)&lt;&gt;0)),AND(AN61&lt;&gt;"",OR(AN61&lt;=0,AN61&lt;&gt;INT(AN61),MOD(AN61,100)&lt;&gt;0))),"违规：股数须为100股整数倍",IF(AND(OR(AL61&lt;&gt;"",AN61&lt;&gt;""),OR(_LockStatus="已锁仓",_LockStatus="解锁信息不完整")),"违规：锁仓期间禁止加仓",IF(AQ61&gt;C61*D61,"违规：超过单笔风险上限",IF(SUM($AQ$2:$AQ$201)&gt;账户数据!$B$7,"违规：超过账户风险上限","通过")))))))))</f>
        <v/>
      </c>
    </row>
    <row r="62" ht="17" spans="1:44">
      <c r="A62" s="2"/>
      <c r="B62" s="2"/>
      <c r="C62" s="10"/>
      <c r="D62" s="6"/>
      <c r="E62" s="10"/>
      <c r="F62" s="8" t="str">
        <f t="shared" si="12"/>
        <v/>
      </c>
      <c r="G62" s="8" t="str">
        <f ca="1"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COUNTIFS(持仓跟踪!$A$2:$A$497,"止损计划",持仓跟踪!$B$2:$B$497,A62,持仓跟踪!$AC$2:$AC$497,"计划有效")=0,"禁止开仓：请先填写止损计划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2" s="2"/>
      <c r="I62" s="15"/>
      <c r="J62" s="10"/>
      <c r="K62" s="10"/>
      <c r="L62" s="8" t="str">
        <f t="shared" si="13"/>
        <v/>
      </c>
      <c r="M62" s="15"/>
      <c r="N62" s="10"/>
      <c r="O62" s="10"/>
      <c r="P62" s="10"/>
      <c r="Q62" s="2"/>
      <c r="R62" s="2"/>
      <c r="S62" s="2"/>
      <c r="T62" s="2"/>
      <c r="U62" s="7" t="str">
        <f t="shared" si="14"/>
        <v/>
      </c>
      <c r="V62" s="7" t="str">
        <f t="shared" si="15"/>
        <v/>
      </c>
      <c r="W62" s="22" t="str">
        <f t="shared" si="16"/>
        <v/>
      </c>
      <c r="X62" s="5" t="str">
        <f t="shared" si="17"/>
        <v/>
      </c>
      <c r="Y62" s="7" t="str">
        <f t="shared" si="18"/>
        <v/>
      </c>
      <c r="Z62" s="7" t="str">
        <f>IF(OR(AE62="",多次统计数据!$B$8=""),"",AE62-多次统计数据!$B$8)</f>
        <v/>
      </c>
      <c r="AA62" s="11" t="str">
        <f t="shared" si="19"/>
        <v/>
      </c>
      <c r="AB62" s="7" t="str">
        <f>IF(OR(A62="",多次统计数据!$B$8="",多次统计数据!$B$6&lt;=0,多次统计数据!$B$6&gt;=1),"",1-POWER(1+多次统计数据!$B$8,-多次统计数据!$B$6/(1-多次统计数据!$B$6)))</f>
        <v/>
      </c>
      <c r="AC62" s="8" t="str">
        <f>IF(OR(AB62="",多次统计数据!$B$9=""),"",IF(多次统计数据!$B$9&lt;AB62,"低于上限","达到或超过上限"))</f>
        <v/>
      </c>
      <c r="AD62" s="2"/>
      <c r="AE62" s="7" t="str">
        <f t="shared" si="20"/>
        <v/>
      </c>
      <c r="AG62" s="2"/>
      <c r="AH62" s="2"/>
      <c r="AI62" s="2"/>
      <c r="AJ62" s="8" t="str">
        <f t="shared" si="21"/>
        <v/>
      </c>
      <c r="AK62" s="10"/>
      <c r="AL62" s="12"/>
      <c r="AM62" s="10"/>
      <c r="AN62" s="12"/>
      <c r="AO62" s="5" t="str">
        <f t="shared" si="22"/>
        <v/>
      </c>
      <c r="AP62" s="11" t="str">
        <f t="shared" si="23"/>
        <v/>
      </c>
      <c r="AQ62" s="5" t="str">
        <f>IF(A62="","",IF(M62&lt;&gt;"",0,IF(OR(H62="",N62=""),"",MAX(E62-MAX(N62,IFERROR(SUMPRODUCT(MAX(((持仓跟踪!$A$2:$A$497="每日跟踪")*(持仓跟踪!$B$2:$B$497=A62))*持仓跟踪!$S$2:$S$497)),0)),0)*H62+IF(OR(AK62="",AL62=""),0,MAX(AK62-MAX(N62,IFERROR(SUMPRODUCT(MAX(((持仓跟踪!$A$2:$A$497="每日跟踪")*(持仓跟踪!$B$2:$B$497=A62))*持仓跟踪!$S$2:$S$497)),0)),0)*AL62)+IF(OR(AM62="",AN62=""),0,MAX(AM62-MAX(N62,IFERROR(SUMPRODUCT(MAX(((持仓跟踪!$A$2:$A$497="每日跟踪")*(持仓跟踪!$B$2:$B$497=A62))*持仓跟踪!$S$2:$S$497)),0)),0)*AN62))))</f>
        <v/>
      </c>
      <c r="AR62" s="8" t="str">
        <f ca="1">IF(A62="","",IF(OR(E62="",H62=""),"违规：第一批价格或股数缺失",IF(OR(AND(AK62="",AL62&lt;&gt;""),AND(AK62&lt;&gt;"",AL62="")),"违规：第二批价格与股数须成对填写",IF(OR(AND(AM62="",AN62&lt;&gt;""),AND(AM62&lt;&gt;"",AN62="")),"违规：第三批价格与股数须成对填写",IF(AND(OR(AM62&lt;&gt;"",AN62&lt;&gt;""),OR(AK62="",AL62="")),"违规：必须先完成第二批",IF(OR(H62&lt;=0,H62&lt;&gt;INT(H62),MOD(H62,100)&lt;&gt;0,AND(AL62&lt;&gt;"",OR(AL62&lt;=0,AL62&lt;&gt;INT(AL62),MOD(AL62,100)&lt;&gt;0)),AND(AN62&lt;&gt;"",OR(AN62&lt;=0,AN62&lt;&gt;INT(AN62),MOD(AN62,100)&lt;&gt;0))),"违规：股数须为100股整数倍",IF(AND(OR(AL62&lt;&gt;"",AN62&lt;&gt;""),OR(_LockStatus="已锁仓",_LockStatus="解锁信息不完整")),"违规：锁仓期间禁止加仓",IF(AQ62&gt;C62*D62,"违规：超过单笔风险上限",IF(SUM($AQ$2:$AQ$201)&gt;账户数据!$B$7,"违规：超过账户风险上限","通过")))))))))</f>
        <v/>
      </c>
    </row>
    <row r="63" ht="17" spans="1:44">
      <c r="A63" s="2"/>
      <c r="B63" s="2"/>
      <c r="C63" s="10"/>
      <c r="D63" s="6"/>
      <c r="E63" s="10"/>
      <c r="F63" s="8" t="str">
        <f t="shared" si="12"/>
        <v/>
      </c>
      <c r="G63" s="8" t="str">
        <f ca="1"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COUNTIFS(持仓跟踪!$A$2:$A$497,"止损计划",持仓跟踪!$B$2:$B$497,A63,持仓跟踪!$AC$2:$AC$497,"计划有效")=0,"禁止开仓：请先填写止损计划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3" s="2"/>
      <c r="I63" s="15"/>
      <c r="J63" s="10"/>
      <c r="K63" s="10"/>
      <c r="L63" s="8" t="str">
        <f t="shared" si="13"/>
        <v/>
      </c>
      <c r="M63" s="15"/>
      <c r="N63" s="10"/>
      <c r="O63" s="10"/>
      <c r="P63" s="10"/>
      <c r="Q63" s="2"/>
      <c r="R63" s="2"/>
      <c r="S63" s="2"/>
      <c r="T63" s="2"/>
      <c r="U63" s="7" t="str">
        <f t="shared" si="14"/>
        <v/>
      </c>
      <c r="V63" s="7" t="str">
        <f t="shared" si="15"/>
        <v/>
      </c>
      <c r="W63" s="22" t="str">
        <f t="shared" si="16"/>
        <v/>
      </c>
      <c r="X63" s="5" t="str">
        <f t="shared" si="17"/>
        <v/>
      </c>
      <c r="Y63" s="7" t="str">
        <f t="shared" si="18"/>
        <v/>
      </c>
      <c r="Z63" s="7" t="str">
        <f>IF(OR(AE63="",多次统计数据!$B$8=""),"",AE63-多次统计数据!$B$8)</f>
        <v/>
      </c>
      <c r="AA63" s="11" t="str">
        <f t="shared" si="19"/>
        <v/>
      </c>
      <c r="AB63" s="7" t="str">
        <f>IF(OR(A63="",多次统计数据!$B$8="",多次统计数据!$B$6&lt;=0,多次统计数据!$B$6&gt;=1),"",1-POWER(1+多次统计数据!$B$8,-多次统计数据!$B$6/(1-多次统计数据!$B$6)))</f>
        <v/>
      </c>
      <c r="AC63" s="8" t="str">
        <f>IF(OR(AB63="",多次统计数据!$B$9=""),"",IF(多次统计数据!$B$9&lt;AB63,"低于上限","达到或超过上限"))</f>
        <v/>
      </c>
      <c r="AD63" s="2"/>
      <c r="AE63" s="7" t="str">
        <f t="shared" si="20"/>
        <v/>
      </c>
      <c r="AG63" s="2"/>
      <c r="AH63" s="2"/>
      <c r="AI63" s="2"/>
      <c r="AJ63" s="8" t="str">
        <f t="shared" si="21"/>
        <v/>
      </c>
      <c r="AK63" s="10"/>
      <c r="AL63" s="12"/>
      <c r="AM63" s="10"/>
      <c r="AN63" s="12"/>
      <c r="AO63" s="5" t="str">
        <f t="shared" si="22"/>
        <v/>
      </c>
      <c r="AP63" s="11" t="str">
        <f t="shared" si="23"/>
        <v/>
      </c>
      <c r="AQ63" s="5" t="str">
        <f>IF(A63="","",IF(M63&lt;&gt;"",0,IF(OR(H63="",N63=""),"",MAX(E63-MAX(N63,IFERROR(SUMPRODUCT(MAX(((持仓跟踪!$A$2:$A$497="每日跟踪")*(持仓跟踪!$B$2:$B$497=A63))*持仓跟踪!$S$2:$S$497)),0)),0)*H63+IF(OR(AK63="",AL63=""),0,MAX(AK63-MAX(N63,IFERROR(SUMPRODUCT(MAX(((持仓跟踪!$A$2:$A$497="每日跟踪")*(持仓跟踪!$B$2:$B$497=A63))*持仓跟踪!$S$2:$S$497)),0)),0)*AL63)+IF(OR(AM63="",AN63=""),0,MAX(AM63-MAX(N63,IFERROR(SUMPRODUCT(MAX(((持仓跟踪!$A$2:$A$497="每日跟踪")*(持仓跟踪!$B$2:$B$497=A63))*持仓跟踪!$S$2:$S$497)),0)),0)*AN63))))</f>
        <v/>
      </c>
      <c r="AR63" s="8" t="str">
        <f ca="1">IF(A63="","",IF(OR(E63="",H63=""),"违规：第一批价格或股数缺失",IF(OR(AND(AK63="",AL63&lt;&gt;""),AND(AK63&lt;&gt;"",AL63="")),"违规：第二批价格与股数须成对填写",IF(OR(AND(AM63="",AN63&lt;&gt;""),AND(AM63&lt;&gt;"",AN63="")),"违规：第三批价格与股数须成对填写",IF(AND(OR(AM63&lt;&gt;"",AN63&lt;&gt;""),OR(AK63="",AL63="")),"违规：必须先完成第二批",IF(OR(H63&lt;=0,H63&lt;&gt;INT(H63),MOD(H63,100)&lt;&gt;0,AND(AL63&lt;&gt;"",OR(AL63&lt;=0,AL63&lt;&gt;INT(AL63),MOD(AL63,100)&lt;&gt;0)),AND(AN63&lt;&gt;"",OR(AN63&lt;=0,AN63&lt;&gt;INT(AN63),MOD(AN63,100)&lt;&gt;0))),"违规：股数须为100股整数倍",IF(AND(OR(AL63&lt;&gt;"",AN63&lt;&gt;""),OR(_LockStatus="已锁仓",_LockStatus="解锁信息不完整")),"违规：锁仓期间禁止加仓",IF(AQ63&gt;C63*D63,"违规：超过单笔风险上限",IF(SUM($AQ$2:$AQ$201)&gt;账户数据!$B$7,"违规：超过账户风险上限","通过")))))))))</f>
        <v/>
      </c>
    </row>
    <row r="64" ht="17" spans="1:44">
      <c r="A64" s="2"/>
      <c r="B64" s="2"/>
      <c r="C64" s="10"/>
      <c r="D64" s="6"/>
      <c r="E64" s="10"/>
      <c r="F64" s="8" t="str">
        <f t="shared" si="12"/>
        <v/>
      </c>
      <c r="G64" s="8" t="str">
        <f ca="1"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COUNTIFS(持仓跟踪!$A$2:$A$497,"止损计划",持仓跟踪!$B$2:$B$497,A64,持仓跟踪!$AC$2:$AC$497,"计划有效")=0,"禁止开仓：请先填写止损计划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4" s="2"/>
      <c r="I64" s="15"/>
      <c r="J64" s="10"/>
      <c r="K64" s="10"/>
      <c r="L64" s="8" t="str">
        <f t="shared" si="13"/>
        <v/>
      </c>
      <c r="M64" s="15"/>
      <c r="N64" s="10"/>
      <c r="O64" s="10"/>
      <c r="P64" s="10"/>
      <c r="Q64" s="2"/>
      <c r="R64" s="2"/>
      <c r="S64" s="2"/>
      <c r="T64" s="2"/>
      <c r="U64" s="7" t="str">
        <f t="shared" si="14"/>
        <v/>
      </c>
      <c r="V64" s="7" t="str">
        <f t="shared" si="15"/>
        <v/>
      </c>
      <c r="W64" s="22" t="str">
        <f t="shared" si="16"/>
        <v/>
      </c>
      <c r="X64" s="5" t="str">
        <f t="shared" si="17"/>
        <v/>
      </c>
      <c r="Y64" s="7" t="str">
        <f t="shared" si="18"/>
        <v/>
      </c>
      <c r="Z64" s="7" t="str">
        <f>IF(OR(AE64="",多次统计数据!$B$8=""),"",AE64-多次统计数据!$B$8)</f>
        <v/>
      </c>
      <c r="AA64" s="11" t="str">
        <f t="shared" si="19"/>
        <v/>
      </c>
      <c r="AB64" s="7" t="str">
        <f>IF(OR(A64="",多次统计数据!$B$8="",多次统计数据!$B$6&lt;=0,多次统计数据!$B$6&gt;=1),"",1-POWER(1+多次统计数据!$B$8,-多次统计数据!$B$6/(1-多次统计数据!$B$6)))</f>
        <v/>
      </c>
      <c r="AC64" s="8" t="str">
        <f>IF(OR(AB64="",多次统计数据!$B$9=""),"",IF(多次统计数据!$B$9&lt;AB64,"低于上限","达到或超过上限"))</f>
        <v/>
      </c>
      <c r="AD64" s="2"/>
      <c r="AE64" s="7" t="str">
        <f t="shared" si="20"/>
        <v/>
      </c>
      <c r="AG64" s="2"/>
      <c r="AH64" s="2"/>
      <c r="AI64" s="2"/>
      <c r="AJ64" s="8" t="str">
        <f t="shared" si="21"/>
        <v/>
      </c>
      <c r="AK64" s="10"/>
      <c r="AL64" s="12"/>
      <c r="AM64" s="10"/>
      <c r="AN64" s="12"/>
      <c r="AO64" s="5" t="str">
        <f t="shared" si="22"/>
        <v/>
      </c>
      <c r="AP64" s="11" t="str">
        <f t="shared" si="23"/>
        <v/>
      </c>
      <c r="AQ64" s="5" t="str">
        <f>IF(A64="","",IF(M64&lt;&gt;"",0,IF(OR(H64="",N64=""),"",MAX(E64-MAX(N64,IFERROR(SUMPRODUCT(MAX(((持仓跟踪!$A$2:$A$497="每日跟踪")*(持仓跟踪!$B$2:$B$497=A64))*持仓跟踪!$S$2:$S$497)),0)),0)*H64+IF(OR(AK64="",AL64=""),0,MAX(AK64-MAX(N64,IFERROR(SUMPRODUCT(MAX(((持仓跟踪!$A$2:$A$497="每日跟踪")*(持仓跟踪!$B$2:$B$497=A64))*持仓跟踪!$S$2:$S$497)),0)),0)*AL64)+IF(OR(AM64="",AN64=""),0,MAX(AM64-MAX(N64,IFERROR(SUMPRODUCT(MAX(((持仓跟踪!$A$2:$A$497="每日跟踪")*(持仓跟踪!$B$2:$B$497=A64))*持仓跟踪!$S$2:$S$497)),0)),0)*AN64))))</f>
        <v/>
      </c>
      <c r="AR64" s="8" t="str">
        <f ca="1">IF(A64="","",IF(OR(E64="",H64=""),"违规：第一批价格或股数缺失",IF(OR(AND(AK64="",AL64&lt;&gt;""),AND(AK64&lt;&gt;"",AL64="")),"违规：第二批价格与股数须成对填写",IF(OR(AND(AM64="",AN64&lt;&gt;""),AND(AM64&lt;&gt;"",AN64="")),"违规：第三批价格与股数须成对填写",IF(AND(OR(AM64&lt;&gt;"",AN64&lt;&gt;""),OR(AK64="",AL64="")),"违规：必须先完成第二批",IF(OR(H64&lt;=0,H64&lt;&gt;INT(H64),MOD(H64,100)&lt;&gt;0,AND(AL64&lt;&gt;"",OR(AL64&lt;=0,AL64&lt;&gt;INT(AL64),MOD(AL64,100)&lt;&gt;0)),AND(AN64&lt;&gt;"",OR(AN64&lt;=0,AN64&lt;&gt;INT(AN64),MOD(AN64,100)&lt;&gt;0))),"违规：股数须为100股整数倍",IF(AND(OR(AL64&lt;&gt;"",AN64&lt;&gt;""),OR(_LockStatus="已锁仓",_LockStatus="解锁信息不完整")),"违规：锁仓期间禁止加仓",IF(AQ64&gt;C64*D64,"违规：超过单笔风险上限",IF(SUM($AQ$2:$AQ$201)&gt;账户数据!$B$7,"违规：超过账户风险上限","通过")))))))))</f>
        <v/>
      </c>
    </row>
    <row r="65" ht="17" spans="1:44">
      <c r="A65" s="2"/>
      <c r="B65" s="2"/>
      <c r="C65" s="10"/>
      <c r="D65" s="6"/>
      <c r="E65" s="10"/>
      <c r="F65" s="8" t="str">
        <f t="shared" si="12"/>
        <v/>
      </c>
      <c r="G65" s="8" t="str">
        <f ca="1"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COUNTIFS(持仓跟踪!$A$2:$A$497,"止损计划",持仓跟踪!$B$2:$B$497,A65,持仓跟踪!$AC$2:$AC$497,"计划有效")=0,"禁止开仓：请先填写止损计划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5" s="2"/>
      <c r="I65" s="15"/>
      <c r="J65" s="10"/>
      <c r="K65" s="10"/>
      <c r="L65" s="8" t="str">
        <f t="shared" si="13"/>
        <v/>
      </c>
      <c r="M65" s="15"/>
      <c r="N65" s="10"/>
      <c r="O65" s="10"/>
      <c r="P65" s="10"/>
      <c r="Q65" s="2"/>
      <c r="R65" s="2"/>
      <c r="S65" s="2"/>
      <c r="T65" s="2"/>
      <c r="U65" s="7" t="str">
        <f t="shared" si="14"/>
        <v/>
      </c>
      <c r="V65" s="7" t="str">
        <f t="shared" si="15"/>
        <v/>
      </c>
      <c r="W65" s="22" t="str">
        <f t="shared" si="16"/>
        <v/>
      </c>
      <c r="X65" s="5" t="str">
        <f t="shared" si="17"/>
        <v/>
      </c>
      <c r="Y65" s="7" t="str">
        <f t="shared" si="18"/>
        <v/>
      </c>
      <c r="Z65" s="7" t="str">
        <f>IF(OR(AE65="",多次统计数据!$B$8=""),"",AE65-多次统计数据!$B$8)</f>
        <v/>
      </c>
      <c r="AA65" s="11" t="str">
        <f t="shared" si="19"/>
        <v/>
      </c>
      <c r="AB65" s="7" t="str">
        <f>IF(OR(A65="",多次统计数据!$B$8="",多次统计数据!$B$6&lt;=0,多次统计数据!$B$6&gt;=1),"",1-POWER(1+多次统计数据!$B$8,-多次统计数据!$B$6/(1-多次统计数据!$B$6)))</f>
        <v/>
      </c>
      <c r="AC65" s="8" t="str">
        <f>IF(OR(AB65="",多次统计数据!$B$9=""),"",IF(多次统计数据!$B$9&lt;AB65,"低于上限","达到或超过上限"))</f>
        <v/>
      </c>
      <c r="AD65" s="2"/>
      <c r="AE65" s="7" t="str">
        <f t="shared" si="20"/>
        <v/>
      </c>
      <c r="AG65" s="2"/>
      <c r="AH65" s="2"/>
      <c r="AI65" s="2"/>
      <c r="AJ65" s="8" t="str">
        <f t="shared" si="21"/>
        <v/>
      </c>
      <c r="AK65" s="10"/>
      <c r="AL65" s="12"/>
      <c r="AM65" s="10"/>
      <c r="AN65" s="12"/>
      <c r="AO65" s="5" t="str">
        <f t="shared" si="22"/>
        <v/>
      </c>
      <c r="AP65" s="11" t="str">
        <f t="shared" si="23"/>
        <v/>
      </c>
      <c r="AQ65" s="5" t="str">
        <f>IF(A65="","",IF(M65&lt;&gt;"",0,IF(OR(H65="",N65=""),"",MAX(E65-MAX(N65,IFERROR(SUMPRODUCT(MAX(((持仓跟踪!$A$2:$A$497="每日跟踪")*(持仓跟踪!$B$2:$B$497=A65))*持仓跟踪!$S$2:$S$497)),0)),0)*H65+IF(OR(AK65="",AL65=""),0,MAX(AK65-MAX(N65,IFERROR(SUMPRODUCT(MAX(((持仓跟踪!$A$2:$A$497="每日跟踪")*(持仓跟踪!$B$2:$B$497=A65))*持仓跟踪!$S$2:$S$497)),0)),0)*AL65)+IF(OR(AM65="",AN65=""),0,MAX(AM65-MAX(N65,IFERROR(SUMPRODUCT(MAX(((持仓跟踪!$A$2:$A$497="每日跟踪")*(持仓跟踪!$B$2:$B$497=A65))*持仓跟踪!$S$2:$S$497)),0)),0)*AN65))))</f>
        <v/>
      </c>
      <c r="AR65" s="8" t="str">
        <f ca="1">IF(A65="","",IF(OR(E65="",H65=""),"违规：第一批价格或股数缺失",IF(OR(AND(AK65="",AL65&lt;&gt;""),AND(AK65&lt;&gt;"",AL65="")),"违规：第二批价格与股数须成对填写",IF(OR(AND(AM65="",AN65&lt;&gt;""),AND(AM65&lt;&gt;"",AN65="")),"违规：第三批价格与股数须成对填写",IF(AND(OR(AM65&lt;&gt;"",AN65&lt;&gt;""),OR(AK65="",AL65="")),"违规：必须先完成第二批",IF(OR(H65&lt;=0,H65&lt;&gt;INT(H65),MOD(H65,100)&lt;&gt;0,AND(AL65&lt;&gt;"",OR(AL65&lt;=0,AL65&lt;&gt;INT(AL65),MOD(AL65,100)&lt;&gt;0)),AND(AN65&lt;&gt;"",OR(AN65&lt;=0,AN65&lt;&gt;INT(AN65),MOD(AN65,100)&lt;&gt;0))),"违规：股数须为100股整数倍",IF(AND(OR(AL65&lt;&gt;"",AN65&lt;&gt;""),OR(_LockStatus="已锁仓",_LockStatus="解锁信息不完整")),"违规：锁仓期间禁止加仓",IF(AQ65&gt;C65*D65,"违规：超过单笔风险上限",IF(SUM($AQ$2:$AQ$201)&gt;账户数据!$B$7,"违规：超过账户风险上限","通过")))))))))</f>
        <v/>
      </c>
    </row>
    <row r="66" ht="17" spans="1:44">
      <c r="A66" s="2"/>
      <c r="B66" s="2"/>
      <c r="C66" s="10"/>
      <c r="D66" s="6"/>
      <c r="E66" s="10"/>
      <c r="F66" s="8" t="str">
        <f t="shared" ref="F66:F97" si="24">IF(OR(C66="",D66="",E66="",N66="",C66&lt;=0,D66&lt;=0,E66&lt;=N66),"",ROUNDDOWN((C66*D66)/(E66-N66)/100,0)*100)</f>
        <v/>
      </c>
      <c r="G66" s="8" t="str">
        <f ca="1"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COUNTIFS(持仓跟踪!$A$2:$A$497,"止损计划",持仓跟踪!$B$2:$B$497,A66,持仓跟踪!$AC$2:$AC$497,"计划有效")=0,"禁止开仓：请先填写止损计划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6" s="2"/>
      <c r="I66" s="15"/>
      <c r="J66" s="10"/>
      <c r="K66" s="10"/>
      <c r="L66" s="8" t="str">
        <f t="shared" ref="L66:L97" si="25">IF(K66="","",H66)</f>
        <v/>
      </c>
      <c r="M66" s="15"/>
      <c r="N66" s="10"/>
      <c r="O66" s="10"/>
      <c r="P66" s="10"/>
      <c r="Q66" s="2"/>
      <c r="R66" s="2"/>
      <c r="S66" s="2"/>
      <c r="T66" s="2"/>
      <c r="U66" s="7" t="str">
        <f t="shared" ref="U66:U97" si="26">IF(OR(AO66="",J66="",AO66&lt;=0),"",(J66-AO66)/AO66)</f>
        <v/>
      </c>
      <c r="V66" s="7" t="str">
        <f t="shared" ref="V66:V97" si="27">IF(OR(AO66="",N66="",AO66&lt;=0),"",(AO66-N66)/AO66)</f>
        <v/>
      </c>
      <c r="W66" s="22" t="str">
        <f t="shared" ref="W66:W97" si="28">IF(OR(U66="",V66="",V66&lt;=0),"",U66/V66)</f>
        <v/>
      </c>
      <c r="X66" s="5" t="str">
        <f t="shared" ref="X66:X97" si="29">IF(OR(K66="",L66="",AP66=""),"",K66*L66-(E66*H66+IF(AND(AK66&lt;&gt;"",AL66&lt;&gt;""),AK66*AL66,0)+IF(AND(AM66&lt;&gt;"",AN66&lt;&gt;""),AM66*AN66,0))-IF(O66="",0,O66)-IF(P66="",0,P66))</f>
        <v/>
      </c>
      <c r="Y66" s="7" t="str">
        <f t="shared" ref="Y66:Y97" si="30">IF(OR(X66="",AP66=""),"",IF((E66*H66+IF(AND(AK66&lt;&gt;"",AL66&lt;&gt;""),AK66*AL66,0)+IF(AND(AM66&lt;&gt;"",AN66&lt;&gt;""),AM66*AN66,0))+IF(O66="",0,O66)&lt;=0,"",X66/((E66*H66+IF(AND(AK66&lt;&gt;"",AL66&lt;&gt;""),AK66*AL66,0)+IF(AND(AM66&lt;&gt;"",AN66&lt;&gt;""),AM66*AN66,0))+IF(O66="",0,O66))))</f>
        <v/>
      </c>
      <c r="Z66" s="7" t="str">
        <f>IF(OR(AE66="",多次统计数据!$B$8=""),"",AE66-多次统计数据!$B$8)</f>
        <v/>
      </c>
      <c r="AA66" s="11" t="str">
        <f t="shared" ref="AA66:AA97" si="31">IF(OR(I66="",M66="",M66&lt;I66),"",M66-I66)</f>
        <v/>
      </c>
      <c r="AB66" s="7" t="str">
        <f>IF(OR(A66="",多次统计数据!$B$8="",多次统计数据!$B$6&lt;=0,多次统计数据!$B$6&gt;=1),"",1-POWER(1+多次统计数据!$B$8,-多次统计数据!$B$6/(1-多次统计数据!$B$6)))</f>
        <v/>
      </c>
      <c r="AC66" s="8" t="str">
        <f>IF(OR(AB66="",多次统计数据!$B$9=""),"",IF(多次统计数据!$B$9&lt;AB66,"低于上限","达到或超过上限"))</f>
        <v/>
      </c>
      <c r="AD66" s="2"/>
      <c r="AE66" s="7" t="str">
        <f t="shared" ref="AE66:AE97" si="32">IF(OR(X66="",C66="",C66&lt;=0),"",X66/C66)</f>
        <v/>
      </c>
      <c r="AG66" s="2"/>
      <c r="AH66" s="2"/>
      <c r="AI66" s="2"/>
      <c r="AJ66" s="8" t="str">
        <f t="shared" ref="AJ66:AJ97" si="33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10"/>
      <c r="AL66" s="12"/>
      <c r="AM66" s="10"/>
      <c r="AN66" s="12"/>
      <c r="AO66" s="5" t="str">
        <f t="shared" ref="AO66:AO97" si="34">IF(OR(A66="",H66="",H66&lt;=0),"",(E66*H66+IF(AND(AK66&lt;&gt;"",AL66&lt;&gt;""),AK66*AL66,0)+IF(AND(AM66&lt;&gt;"",AN66&lt;&gt;""),AM66*AN66,0))/AP66)</f>
        <v/>
      </c>
      <c r="AP66" s="11" t="str">
        <f t="shared" ref="AP66:AP97" si="35">IF(OR(A66="",H66="",H66&lt;=0),"",H66+IF(AL66="",0,AL66)+IF(AN66="",0,AN66))</f>
        <v/>
      </c>
      <c r="AQ66" s="5" t="str">
        <f>IF(A66="","",IF(M66&lt;&gt;"",0,IF(OR(H66="",N66=""),"",MAX(E66-MAX(N66,IFERROR(SUMPRODUCT(MAX(((持仓跟踪!$A$2:$A$497="每日跟踪")*(持仓跟踪!$B$2:$B$497=A66))*持仓跟踪!$S$2:$S$497)),0)),0)*H66+IF(OR(AK66="",AL66=""),0,MAX(AK66-MAX(N66,IFERROR(SUMPRODUCT(MAX(((持仓跟踪!$A$2:$A$497="每日跟踪")*(持仓跟踪!$B$2:$B$497=A66))*持仓跟踪!$S$2:$S$497)),0)),0)*AL66)+IF(OR(AM66="",AN66=""),0,MAX(AM66-MAX(N66,IFERROR(SUMPRODUCT(MAX(((持仓跟踪!$A$2:$A$497="每日跟踪")*(持仓跟踪!$B$2:$B$497=A66))*持仓跟踪!$S$2:$S$497)),0)),0)*AN66))))</f>
        <v/>
      </c>
      <c r="AR66" s="8" t="str">
        <f ca="1">IF(A66="","",IF(OR(E66="",H66=""),"违规：第一批价格或股数缺失",IF(OR(AND(AK66="",AL66&lt;&gt;""),AND(AK66&lt;&gt;"",AL66="")),"违规：第二批价格与股数须成对填写",IF(OR(AND(AM66="",AN66&lt;&gt;""),AND(AM66&lt;&gt;"",AN66="")),"违规：第三批价格与股数须成对填写",IF(AND(OR(AM66&lt;&gt;"",AN66&lt;&gt;""),OR(AK66="",AL66="")),"违规：必须先完成第二批",IF(OR(H66&lt;=0,H66&lt;&gt;INT(H66),MOD(H66,100)&lt;&gt;0,AND(AL66&lt;&gt;"",OR(AL66&lt;=0,AL66&lt;&gt;INT(AL66),MOD(AL66,100)&lt;&gt;0)),AND(AN66&lt;&gt;"",OR(AN66&lt;=0,AN66&lt;&gt;INT(AN66),MOD(AN66,100)&lt;&gt;0))),"违规：股数须为100股整数倍",IF(AND(OR(AL66&lt;&gt;"",AN66&lt;&gt;""),OR(_LockStatus="已锁仓",_LockStatus="解锁信息不完整")),"违规：锁仓期间禁止加仓",IF(AQ66&gt;C66*D66,"违规：超过单笔风险上限",IF(SUM($AQ$2:$AQ$201)&gt;账户数据!$B$7,"违规：超过账户风险上限","通过")))))))))</f>
        <v/>
      </c>
    </row>
    <row r="67" ht="17" spans="1:44">
      <c r="A67" s="2"/>
      <c r="B67" s="2"/>
      <c r="C67" s="10"/>
      <c r="D67" s="6"/>
      <c r="E67" s="10"/>
      <c r="F67" s="8" t="str">
        <f t="shared" si="24"/>
        <v/>
      </c>
      <c r="G67" s="8" t="str">
        <f ca="1"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COUNTIFS(持仓跟踪!$A$2:$A$497,"止损计划",持仓跟踪!$B$2:$B$497,A67,持仓跟踪!$AC$2:$AC$497,"计划有效")=0,"禁止开仓：请先填写止损计划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7" s="2"/>
      <c r="I67" s="15"/>
      <c r="J67" s="10"/>
      <c r="K67" s="10"/>
      <c r="L67" s="8" t="str">
        <f t="shared" si="25"/>
        <v/>
      </c>
      <c r="M67" s="15"/>
      <c r="N67" s="10"/>
      <c r="O67" s="10"/>
      <c r="P67" s="10"/>
      <c r="Q67" s="2"/>
      <c r="R67" s="2"/>
      <c r="S67" s="2"/>
      <c r="T67" s="2"/>
      <c r="U67" s="7" t="str">
        <f t="shared" si="26"/>
        <v/>
      </c>
      <c r="V67" s="7" t="str">
        <f t="shared" si="27"/>
        <v/>
      </c>
      <c r="W67" s="22" t="str">
        <f t="shared" si="28"/>
        <v/>
      </c>
      <c r="X67" s="5" t="str">
        <f t="shared" si="29"/>
        <v/>
      </c>
      <c r="Y67" s="7" t="str">
        <f t="shared" si="30"/>
        <v/>
      </c>
      <c r="Z67" s="7" t="str">
        <f>IF(OR(AE67="",多次统计数据!$B$8=""),"",AE67-多次统计数据!$B$8)</f>
        <v/>
      </c>
      <c r="AA67" s="11" t="str">
        <f t="shared" si="31"/>
        <v/>
      </c>
      <c r="AB67" s="7" t="str">
        <f>IF(OR(A67="",多次统计数据!$B$8="",多次统计数据!$B$6&lt;=0,多次统计数据!$B$6&gt;=1),"",1-POWER(1+多次统计数据!$B$8,-多次统计数据!$B$6/(1-多次统计数据!$B$6)))</f>
        <v/>
      </c>
      <c r="AC67" s="8" t="str">
        <f>IF(OR(AB67="",多次统计数据!$B$9=""),"",IF(多次统计数据!$B$9&lt;AB67,"低于上限","达到或超过上限"))</f>
        <v/>
      </c>
      <c r="AD67" s="2"/>
      <c r="AE67" s="7" t="str">
        <f t="shared" si="32"/>
        <v/>
      </c>
      <c r="AG67" s="2"/>
      <c r="AH67" s="2"/>
      <c r="AI67" s="2"/>
      <c r="AJ67" s="8" t="str">
        <f t="shared" si="33"/>
        <v/>
      </c>
      <c r="AK67" s="10"/>
      <c r="AL67" s="12"/>
      <c r="AM67" s="10"/>
      <c r="AN67" s="12"/>
      <c r="AO67" s="5" t="str">
        <f t="shared" si="34"/>
        <v/>
      </c>
      <c r="AP67" s="11" t="str">
        <f t="shared" si="35"/>
        <v/>
      </c>
      <c r="AQ67" s="5" t="str">
        <f>IF(A67="","",IF(M67&lt;&gt;"",0,IF(OR(H67="",N67=""),"",MAX(E67-MAX(N67,IFERROR(SUMPRODUCT(MAX(((持仓跟踪!$A$2:$A$497="每日跟踪")*(持仓跟踪!$B$2:$B$497=A67))*持仓跟踪!$S$2:$S$497)),0)),0)*H67+IF(OR(AK67="",AL67=""),0,MAX(AK67-MAX(N67,IFERROR(SUMPRODUCT(MAX(((持仓跟踪!$A$2:$A$497="每日跟踪")*(持仓跟踪!$B$2:$B$497=A67))*持仓跟踪!$S$2:$S$497)),0)),0)*AL67)+IF(OR(AM67="",AN67=""),0,MAX(AM67-MAX(N67,IFERROR(SUMPRODUCT(MAX(((持仓跟踪!$A$2:$A$497="每日跟踪")*(持仓跟踪!$B$2:$B$497=A67))*持仓跟踪!$S$2:$S$497)),0)),0)*AN67))))</f>
        <v/>
      </c>
      <c r="AR67" s="8" t="str">
        <f ca="1">IF(A67="","",IF(OR(E67="",H67=""),"违规：第一批价格或股数缺失",IF(OR(AND(AK67="",AL67&lt;&gt;""),AND(AK67&lt;&gt;"",AL67="")),"违规：第二批价格与股数须成对填写",IF(OR(AND(AM67="",AN67&lt;&gt;""),AND(AM67&lt;&gt;"",AN67="")),"违规：第三批价格与股数须成对填写",IF(AND(OR(AM67&lt;&gt;"",AN67&lt;&gt;""),OR(AK67="",AL67="")),"违规：必须先完成第二批",IF(OR(H67&lt;=0,H67&lt;&gt;INT(H67),MOD(H67,100)&lt;&gt;0,AND(AL67&lt;&gt;"",OR(AL67&lt;=0,AL67&lt;&gt;INT(AL67),MOD(AL67,100)&lt;&gt;0)),AND(AN67&lt;&gt;"",OR(AN67&lt;=0,AN67&lt;&gt;INT(AN67),MOD(AN67,100)&lt;&gt;0))),"违规：股数须为100股整数倍",IF(AND(OR(AL67&lt;&gt;"",AN67&lt;&gt;""),OR(_LockStatus="已锁仓",_LockStatus="解锁信息不完整")),"违规：锁仓期间禁止加仓",IF(AQ67&gt;C67*D67,"违规：超过单笔风险上限",IF(SUM($AQ$2:$AQ$201)&gt;账户数据!$B$7,"违规：超过账户风险上限","通过")))))))))</f>
        <v/>
      </c>
    </row>
    <row r="68" ht="17" spans="1:44">
      <c r="A68" s="2"/>
      <c r="B68" s="2"/>
      <c r="C68" s="10"/>
      <c r="D68" s="6"/>
      <c r="E68" s="10"/>
      <c r="F68" s="8" t="str">
        <f t="shared" si="24"/>
        <v/>
      </c>
      <c r="G68" s="8" t="str">
        <f ca="1"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COUNTIFS(持仓跟踪!$A$2:$A$497,"止损计划",持仓跟踪!$B$2:$B$497,A68,持仓跟踪!$AC$2:$AC$497,"计划有效")=0,"禁止开仓：请先填写止损计划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8" s="2"/>
      <c r="I68" s="15"/>
      <c r="J68" s="10"/>
      <c r="K68" s="10"/>
      <c r="L68" s="8" t="str">
        <f t="shared" si="25"/>
        <v/>
      </c>
      <c r="M68" s="15"/>
      <c r="N68" s="10"/>
      <c r="O68" s="10"/>
      <c r="P68" s="10"/>
      <c r="Q68" s="2"/>
      <c r="R68" s="2"/>
      <c r="S68" s="2"/>
      <c r="T68" s="2"/>
      <c r="U68" s="7" t="str">
        <f t="shared" si="26"/>
        <v/>
      </c>
      <c r="V68" s="7" t="str">
        <f t="shared" si="27"/>
        <v/>
      </c>
      <c r="W68" s="22" t="str">
        <f t="shared" si="28"/>
        <v/>
      </c>
      <c r="X68" s="5" t="str">
        <f t="shared" si="29"/>
        <v/>
      </c>
      <c r="Y68" s="7" t="str">
        <f t="shared" si="30"/>
        <v/>
      </c>
      <c r="Z68" s="7" t="str">
        <f>IF(OR(AE68="",多次统计数据!$B$8=""),"",AE68-多次统计数据!$B$8)</f>
        <v/>
      </c>
      <c r="AA68" s="11" t="str">
        <f t="shared" si="31"/>
        <v/>
      </c>
      <c r="AB68" s="7" t="str">
        <f>IF(OR(A68="",多次统计数据!$B$8="",多次统计数据!$B$6&lt;=0,多次统计数据!$B$6&gt;=1),"",1-POWER(1+多次统计数据!$B$8,-多次统计数据!$B$6/(1-多次统计数据!$B$6)))</f>
        <v/>
      </c>
      <c r="AC68" s="8" t="str">
        <f>IF(OR(AB68="",多次统计数据!$B$9=""),"",IF(多次统计数据!$B$9&lt;AB68,"低于上限","达到或超过上限"))</f>
        <v/>
      </c>
      <c r="AD68" s="2"/>
      <c r="AE68" s="7" t="str">
        <f t="shared" si="32"/>
        <v/>
      </c>
      <c r="AG68" s="2"/>
      <c r="AH68" s="2"/>
      <c r="AI68" s="2"/>
      <c r="AJ68" s="8" t="str">
        <f t="shared" si="33"/>
        <v/>
      </c>
      <c r="AK68" s="10"/>
      <c r="AL68" s="12"/>
      <c r="AM68" s="10"/>
      <c r="AN68" s="12"/>
      <c r="AO68" s="5" t="str">
        <f t="shared" si="34"/>
        <v/>
      </c>
      <c r="AP68" s="11" t="str">
        <f t="shared" si="35"/>
        <v/>
      </c>
      <c r="AQ68" s="5" t="str">
        <f>IF(A68="","",IF(M68&lt;&gt;"",0,IF(OR(H68="",N68=""),"",MAX(E68-MAX(N68,IFERROR(SUMPRODUCT(MAX(((持仓跟踪!$A$2:$A$497="每日跟踪")*(持仓跟踪!$B$2:$B$497=A68))*持仓跟踪!$S$2:$S$497)),0)),0)*H68+IF(OR(AK68="",AL68=""),0,MAX(AK68-MAX(N68,IFERROR(SUMPRODUCT(MAX(((持仓跟踪!$A$2:$A$497="每日跟踪")*(持仓跟踪!$B$2:$B$497=A68))*持仓跟踪!$S$2:$S$497)),0)),0)*AL68)+IF(OR(AM68="",AN68=""),0,MAX(AM68-MAX(N68,IFERROR(SUMPRODUCT(MAX(((持仓跟踪!$A$2:$A$497="每日跟踪")*(持仓跟踪!$B$2:$B$497=A68))*持仓跟踪!$S$2:$S$497)),0)),0)*AN68))))</f>
        <v/>
      </c>
      <c r="AR68" s="8" t="str">
        <f ca="1">IF(A68="","",IF(OR(E68="",H68=""),"违规：第一批价格或股数缺失",IF(OR(AND(AK68="",AL68&lt;&gt;""),AND(AK68&lt;&gt;"",AL68="")),"违规：第二批价格与股数须成对填写",IF(OR(AND(AM68="",AN68&lt;&gt;""),AND(AM68&lt;&gt;"",AN68="")),"违规：第三批价格与股数须成对填写",IF(AND(OR(AM68&lt;&gt;"",AN68&lt;&gt;""),OR(AK68="",AL68="")),"违规：必须先完成第二批",IF(OR(H68&lt;=0,H68&lt;&gt;INT(H68),MOD(H68,100)&lt;&gt;0,AND(AL68&lt;&gt;"",OR(AL68&lt;=0,AL68&lt;&gt;INT(AL68),MOD(AL68,100)&lt;&gt;0)),AND(AN68&lt;&gt;"",OR(AN68&lt;=0,AN68&lt;&gt;INT(AN68),MOD(AN68,100)&lt;&gt;0))),"违规：股数须为100股整数倍",IF(AND(OR(AL68&lt;&gt;"",AN68&lt;&gt;""),OR(_LockStatus="已锁仓",_LockStatus="解锁信息不完整")),"违规：锁仓期间禁止加仓",IF(AQ68&gt;C68*D68,"违规：超过单笔风险上限",IF(SUM($AQ$2:$AQ$201)&gt;账户数据!$B$7,"违规：超过账户风险上限","通过")))))))))</f>
        <v/>
      </c>
    </row>
    <row r="69" ht="17" spans="1:44">
      <c r="A69" s="2"/>
      <c r="B69" s="2"/>
      <c r="C69" s="10"/>
      <c r="D69" s="6"/>
      <c r="E69" s="10"/>
      <c r="F69" s="8" t="str">
        <f t="shared" si="24"/>
        <v/>
      </c>
      <c r="G69" s="8" t="str">
        <f ca="1"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COUNTIFS(持仓跟踪!$A$2:$A$497,"止损计划",持仓跟踪!$B$2:$B$497,A69,持仓跟踪!$AC$2:$AC$497,"计划有效")=0,"禁止开仓：请先填写止损计划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9" s="2"/>
      <c r="I69" s="15"/>
      <c r="J69" s="10"/>
      <c r="K69" s="10"/>
      <c r="L69" s="8" t="str">
        <f t="shared" si="25"/>
        <v/>
      </c>
      <c r="M69" s="15"/>
      <c r="N69" s="10"/>
      <c r="O69" s="10"/>
      <c r="P69" s="10"/>
      <c r="Q69" s="2"/>
      <c r="R69" s="2"/>
      <c r="S69" s="2"/>
      <c r="T69" s="2"/>
      <c r="U69" s="7" t="str">
        <f t="shared" si="26"/>
        <v/>
      </c>
      <c r="V69" s="7" t="str">
        <f t="shared" si="27"/>
        <v/>
      </c>
      <c r="W69" s="22" t="str">
        <f t="shared" si="28"/>
        <v/>
      </c>
      <c r="X69" s="5" t="str">
        <f t="shared" si="29"/>
        <v/>
      </c>
      <c r="Y69" s="7" t="str">
        <f t="shared" si="30"/>
        <v/>
      </c>
      <c r="Z69" s="7" t="str">
        <f>IF(OR(AE69="",多次统计数据!$B$8=""),"",AE69-多次统计数据!$B$8)</f>
        <v/>
      </c>
      <c r="AA69" s="11" t="str">
        <f t="shared" si="31"/>
        <v/>
      </c>
      <c r="AB69" s="7" t="str">
        <f>IF(OR(A69="",多次统计数据!$B$8="",多次统计数据!$B$6&lt;=0,多次统计数据!$B$6&gt;=1),"",1-POWER(1+多次统计数据!$B$8,-多次统计数据!$B$6/(1-多次统计数据!$B$6)))</f>
        <v/>
      </c>
      <c r="AC69" s="8" t="str">
        <f>IF(OR(AB69="",多次统计数据!$B$9=""),"",IF(多次统计数据!$B$9&lt;AB69,"低于上限","达到或超过上限"))</f>
        <v/>
      </c>
      <c r="AD69" s="2"/>
      <c r="AE69" s="7" t="str">
        <f t="shared" si="32"/>
        <v/>
      </c>
      <c r="AG69" s="2"/>
      <c r="AH69" s="2"/>
      <c r="AI69" s="2"/>
      <c r="AJ69" s="8" t="str">
        <f t="shared" si="33"/>
        <v/>
      </c>
      <c r="AK69" s="10"/>
      <c r="AL69" s="12"/>
      <c r="AM69" s="10"/>
      <c r="AN69" s="12"/>
      <c r="AO69" s="5" t="str">
        <f t="shared" si="34"/>
        <v/>
      </c>
      <c r="AP69" s="11" t="str">
        <f t="shared" si="35"/>
        <v/>
      </c>
      <c r="AQ69" s="5" t="str">
        <f>IF(A69="","",IF(M69&lt;&gt;"",0,IF(OR(H69="",N69=""),"",MAX(E69-MAX(N69,IFERROR(SUMPRODUCT(MAX(((持仓跟踪!$A$2:$A$497="每日跟踪")*(持仓跟踪!$B$2:$B$497=A69))*持仓跟踪!$S$2:$S$497)),0)),0)*H69+IF(OR(AK69="",AL69=""),0,MAX(AK69-MAX(N69,IFERROR(SUMPRODUCT(MAX(((持仓跟踪!$A$2:$A$497="每日跟踪")*(持仓跟踪!$B$2:$B$497=A69))*持仓跟踪!$S$2:$S$497)),0)),0)*AL69)+IF(OR(AM69="",AN69=""),0,MAX(AM69-MAX(N69,IFERROR(SUMPRODUCT(MAX(((持仓跟踪!$A$2:$A$497="每日跟踪")*(持仓跟踪!$B$2:$B$497=A69))*持仓跟踪!$S$2:$S$497)),0)),0)*AN69))))</f>
        <v/>
      </c>
      <c r="AR69" s="8" t="str">
        <f ca="1">IF(A69="","",IF(OR(E69="",H69=""),"违规：第一批价格或股数缺失",IF(OR(AND(AK69="",AL69&lt;&gt;""),AND(AK69&lt;&gt;"",AL69="")),"违规：第二批价格与股数须成对填写",IF(OR(AND(AM69="",AN69&lt;&gt;""),AND(AM69&lt;&gt;"",AN69="")),"违规：第三批价格与股数须成对填写",IF(AND(OR(AM69&lt;&gt;"",AN69&lt;&gt;""),OR(AK69="",AL69="")),"违规：必须先完成第二批",IF(OR(H69&lt;=0,H69&lt;&gt;INT(H69),MOD(H69,100)&lt;&gt;0,AND(AL69&lt;&gt;"",OR(AL69&lt;=0,AL69&lt;&gt;INT(AL69),MOD(AL69,100)&lt;&gt;0)),AND(AN69&lt;&gt;"",OR(AN69&lt;=0,AN69&lt;&gt;INT(AN69),MOD(AN69,100)&lt;&gt;0))),"违规：股数须为100股整数倍",IF(AND(OR(AL69&lt;&gt;"",AN69&lt;&gt;""),OR(_LockStatus="已锁仓",_LockStatus="解锁信息不完整")),"违规：锁仓期间禁止加仓",IF(AQ69&gt;C69*D69,"违规：超过单笔风险上限",IF(SUM($AQ$2:$AQ$201)&gt;账户数据!$B$7,"违规：超过账户风险上限","通过")))))))))</f>
        <v/>
      </c>
    </row>
    <row r="70" ht="17" spans="1:44">
      <c r="A70" s="2"/>
      <c r="B70" s="2"/>
      <c r="C70" s="10"/>
      <c r="D70" s="6"/>
      <c r="E70" s="10"/>
      <c r="F70" s="8" t="str">
        <f t="shared" si="24"/>
        <v/>
      </c>
      <c r="G70" s="8" t="str">
        <f ca="1"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COUNTIFS(持仓跟踪!$A$2:$A$497,"止损计划",持仓跟踪!$B$2:$B$497,A70,持仓跟踪!$AC$2:$AC$497,"计划有效")=0,"禁止开仓：请先填写止损计划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0" s="2"/>
      <c r="I70" s="15"/>
      <c r="J70" s="10"/>
      <c r="K70" s="10"/>
      <c r="L70" s="8" t="str">
        <f t="shared" si="25"/>
        <v/>
      </c>
      <c r="M70" s="15"/>
      <c r="N70" s="10"/>
      <c r="O70" s="10"/>
      <c r="P70" s="10"/>
      <c r="Q70" s="2"/>
      <c r="R70" s="2"/>
      <c r="S70" s="2"/>
      <c r="T70" s="2"/>
      <c r="U70" s="7" t="str">
        <f t="shared" si="26"/>
        <v/>
      </c>
      <c r="V70" s="7" t="str">
        <f t="shared" si="27"/>
        <v/>
      </c>
      <c r="W70" s="22" t="str">
        <f t="shared" si="28"/>
        <v/>
      </c>
      <c r="X70" s="5" t="str">
        <f t="shared" si="29"/>
        <v/>
      </c>
      <c r="Y70" s="7" t="str">
        <f t="shared" si="30"/>
        <v/>
      </c>
      <c r="Z70" s="7" t="str">
        <f>IF(OR(AE70="",多次统计数据!$B$8=""),"",AE70-多次统计数据!$B$8)</f>
        <v/>
      </c>
      <c r="AA70" s="11" t="str">
        <f t="shared" si="31"/>
        <v/>
      </c>
      <c r="AB70" s="7" t="str">
        <f>IF(OR(A70="",多次统计数据!$B$8="",多次统计数据!$B$6&lt;=0,多次统计数据!$B$6&gt;=1),"",1-POWER(1+多次统计数据!$B$8,-多次统计数据!$B$6/(1-多次统计数据!$B$6)))</f>
        <v/>
      </c>
      <c r="AC70" s="8" t="str">
        <f>IF(OR(AB70="",多次统计数据!$B$9=""),"",IF(多次统计数据!$B$9&lt;AB70,"低于上限","达到或超过上限"))</f>
        <v/>
      </c>
      <c r="AD70" s="2"/>
      <c r="AE70" s="7" t="str">
        <f t="shared" si="32"/>
        <v/>
      </c>
      <c r="AG70" s="2"/>
      <c r="AH70" s="2"/>
      <c r="AI70" s="2"/>
      <c r="AJ70" s="8" t="str">
        <f t="shared" si="33"/>
        <v/>
      </c>
      <c r="AK70" s="10"/>
      <c r="AL70" s="12"/>
      <c r="AM70" s="10"/>
      <c r="AN70" s="12"/>
      <c r="AO70" s="5" t="str">
        <f t="shared" si="34"/>
        <v/>
      </c>
      <c r="AP70" s="11" t="str">
        <f t="shared" si="35"/>
        <v/>
      </c>
      <c r="AQ70" s="5" t="str">
        <f>IF(A70="","",IF(M70&lt;&gt;"",0,IF(OR(H70="",N70=""),"",MAX(E70-MAX(N70,IFERROR(SUMPRODUCT(MAX(((持仓跟踪!$A$2:$A$497="每日跟踪")*(持仓跟踪!$B$2:$B$497=A70))*持仓跟踪!$S$2:$S$497)),0)),0)*H70+IF(OR(AK70="",AL70=""),0,MAX(AK70-MAX(N70,IFERROR(SUMPRODUCT(MAX(((持仓跟踪!$A$2:$A$497="每日跟踪")*(持仓跟踪!$B$2:$B$497=A70))*持仓跟踪!$S$2:$S$497)),0)),0)*AL70)+IF(OR(AM70="",AN70=""),0,MAX(AM70-MAX(N70,IFERROR(SUMPRODUCT(MAX(((持仓跟踪!$A$2:$A$497="每日跟踪")*(持仓跟踪!$B$2:$B$497=A70))*持仓跟踪!$S$2:$S$497)),0)),0)*AN70))))</f>
        <v/>
      </c>
      <c r="AR70" s="8" t="str">
        <f ca="1">IF(A70="","",IF(OR(E70="",H70=""),"违规：第一批价格或股数缺失",IF(OR(AND(AK70="",AL70&lt;&gt;""),AND(AK70&lt;&gt;"",AL70="")),"违规：第二批价格与股数须成对填写",IF(OR(AND(AM70="",AN70&lt;&gt;""),AND(AM70&lt;&gt;"",AN70="")),"违规：第三批价格与股数须成对填写",IF(AND(OR(AM70&lt;&gt;"",AN70&lt;&gt;""),OR(AK70="",AL70="")),"违规：必须先完成第二批",IF(OR(H70&lt;=0,H70&lt;&gt;INT(H70),MOD(H70,100)&lt;&gt;0,AND(AL70&lt;&gt;"",OR(AL70&lt;=0,AL70&lt;&gt;INT(AL70),MOD(AL70,100)&lt;&gt;0)),AND(AN70&lt;&gt;"",OR(AN70&lt;=0,AN70&lt;&gt;INT(AN70),MOD(AN70,100)&lt;&gt;0))),"违规：股数须为100股整数倍",IF(AND(OR(AL70&lt;&gt;"",AN70&lt;&gt;""),OR(_LockStatus="已锁仓",_LockStatus="解锁信息不完整")),"违规：锁仓期间禁止加仓",IF(AQ70&gt;C70*D70,"违规：超过单笔风险上限",IF(SUM($AQ$2:$AQ$201)&gt;账户数据!$B$7,"违规：超过账户风险上限","通过")))))))))</f>
        <v/>
      </c>
    </row>
    <row r="71" ht="17" spans="1:44">
      <c r="A71" s="2"/>
      <c r="B71" s="2"/>
      <c r="C71" s="10"/>
      <c r="D71" s="6"/>
      <c r="E71" s="10"/>
      <c r="F71" s="8" t="str">
        <f t="shared" si="24"/>
        <v/>
      </c>
      <c r="G71" s="8" t="str">
        <f ca="1"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COUNTIFS(持仓跟踪!$A$2:$A$497,"止损计划",持仓跟踪!$B$2:$B$497,A71,持仓跟踪!$AC$2:$AC$497,"计划有效")=0,"禁止开仓：请先填写止损计划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1" s="2"/>
      <c r="I71" s="15"/>
      <c r="J71" s="10"/>
      <c r="K71" s="10"/>
      <c r="L71" s="8" t="str">
        <f t="shared" si="25"/>
        <v/>
      </c>
      <c r="M71" s="15"/>
      <c r="N71" s="10"/>
      <c r="O71" s="10"/>
      <c r="P71" s="10"/>
      <c r="Q71" s="2"/>
      <c r="R71" s="2"/>
      <c r="S71" s="2"/>
      <c r="T71" s="2"/>
      <c r="U71" s="7" t="str">
        <f t="shared" si="26"/>
        <v/>
      </c>
      <c r="V71" s="7" t="str">
        <f t="shared" si="27"/>
        <v/>
      </c>
      <c r="W71" s="22" t="str">
        <f t="shared" si="28"/>
        <v/>
      </c>
      <c r="X71" s="5" t="str">
        <f t="shared" si="29"/>
        <v/>
      </c>
      <c r="Y71" s="7" t="str">
        <f t="shared" si="30"/>
        <v/>
      </c>
      <c r="Z71" s="7" t="str">
        <f>IF(OR(AE71="",多次统计数据!$B$8=""),"",AE71-多次统计数据!$B$8)</f>
        <v/>
      </c>
      <c r="AA71" s="11" t="str">
        <f t="shared" si="31"/>
        <v/>
      </c>
      <c r="AB71" s="7" t="str">
        <f>IF(OR(A71="",多次统计数据!$B$8="",多次统计数据!$B$6&lt;=0,多次统计数据!$B$6&gt;=1),"",1-POWER(1+多次统计数据!$B$8,-多次统计数据!$B$6/(1-多次统计数据!$B$6)))</f>
        <v/>
      </c>
      <c r="AC71" s="8" t="str">
        <f>IF(OR(AB71="",多次统计数据!$B$9=""),"",IF(多次统计数据!$B$9&lt;AB71,"低于上限","达到或超过上限"))</f>
        <v/>
      </c>
      <c r="AD71" s="2"/>
      <c r="AE71" s="7" t="str">
        <f t="shared" si="32"/>
        <v/>
      </c>
      <c r="AG71" s="2"/>
      <c r="AH71" s="2"/>
      <c r="AI71" s="2"/>
      <c r="AJ71" s="8" t="str">
        <f t="shared" si="33"/>
        <v/>
      </c>
      <c r="AK71" s="10"/>
      <c r="AL71" s="12"/>
      <c r="AM71" s="10"/>
      <c r="AN71" s="12"/>
      <c r="AO71" s="5" t="str">
        <f t="shared" si="34"/>
        <v/>
      </c>
      <c r="AP71" s="11" t="str">
        <f t="shared" si="35"/>
        <v/>
      </c>
      <c r="AQ71" s="5" t="str">
        <f>IF(A71="","",IF(M71&lt;&gt;"",0,IF(OR(H71="",N71=""),"",MAX(E71-MAX(N71,IFERROR(SUMPRODUCT(MAX(((持仓跟踪!$A$2:$A$497="每日跟踪")*(持仓跟踪!$B$2:$B$497=A71))*持仓跟踪!$S$2:$S$497)),0)),0)*H71+IF(OR(AK71="",AL71=""),0,MAX(AK71-MAX(N71,IFERROR(SUMPRODUCT(MAX(((持仓跟踪!$A$2:$A$497="每日跟踪")*(持仓跟踪!$B$2:$B$497=A71))*持仓跟踪!$S$2:$S$497)),0)),0)*AL71)+IF(OR(AM71="",AN71=""),0,MAX(AM71-MAX(N71,IFERROR(SUMPRODUCT(MAX(((持仓跟踪!$A$2:$A$497="每日跟踪")*(持仓跟踪!$B$2:$B$497=A71))*持仓跟踪!$S$2:$S$497)),0)),0)*AN71))))</f>
        <v/>
      </c>
      <c r="AR71" s="8" t="str">
        <f ca="1">IF(A71="","",IF(OR(E71="",H71=""),"违规：第一批价格或股数缺失",IF(OR(AND(AK71="",AL71&lt;&gt;""),AND(AK71&lt;&gt;"",AL71="")),"违规：第二批价格与股数须成对填写",IF(OR(AND(AM71="",AN71&lt;&gt;""),AND(AM71&lt;&gt;"",AN71="")),"违规：第三批价格与股数须成对填写",IF(AND(OR(AM71&lt;&gt;"",AN71&lt;&gt;""),OR(AK71="",AL71="")),"违规：必须先完成第二批",IF(OR(H71&lt;=0,H71&lt;&gt;INT(H71),MOD(H71,100)&lt;&gt;0,AND(AL71&lt;&gt;"",OR(AL71&lt;=0,AL71&lt;&gt;INT(AL71),MOD(AL71,100)&lt;&gt;0)),AND(AN71&lt;&gt;"",OR(AN71&lt;=0,AN71&lt;&gt;INT(AN71),MOD(AN71,100)&lt;&gt;0))),"违规：股数须为100股整数倍",IF(AND(OR(AL71&lt;&gt;"",AN71&lt;&gt;""),OR(_LockStatus="已锁仓",_LockStatus="解锁信息不完整")),"违规：锁仓期间禁止加仓",IF(AQ71&gt;C71*D71,"违规：超过单笔风险上限",IF(SUM($AQ$2:$AQ$201)&gt;账户数据!$B$7,"违规：超过账户风险上限","通过")))))))))</f>
        <v/>
      </c>
    </row>
    <row r="72" ht="17" spans="1:44">
      <c r="A72" s="2"/>
      <c r="B72" s="2"/>
      <c r="C72" s="10"/>
      <c r="D72" s="6"/>
      <c r="E72" s="10"/>
      <c r="F72" s="8" t="str">
        <f t="shared" si="24"/>
        <v/>
      </c>
      <c r="G72" s="8" t="str">
        <f ca="1"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COUNTIFS(持仓跟踪!$A$2:$A$497,"止损计划",持仓跟踪!$B$2:$B$497,A72,持仓跟踪!$AC$2:$AC$497,"计划有效")=0,"禁止开仓：请先填写止损计划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2" s="2"/>
      <c r="I72" s="15"/>
      <c r="J72" s="10"/>
      <c r="K72" s="10"/>
      <c r="L72" s="8" t="str">
        <f t="shared" si="25"/>
        <v/>
      </c>
      <c r="M72" s="15"/>
      <c r="N72" s="10"/>
      <c r="O72" s="10"/>
      <c r="P72" s="10"/>
      <c r="Q72" s="2"/>
      <c r="R72" s="2"/>
      <c r="S72" s="2"/>
      <c r="T72" s="2"/>
      <c r="U72" s="7" t="str">
        <f t="shared" si="26"/>
        <v/>
      </c>
      <c r="V72" s="7" t="str">
        <f t="shared" si="27"/>
        <v/>
      </c>
      <c r="W72" s="22" t="str">
        <f t="shared" si="28"/>
        <v/>
      </c>
      <c r="X72" s="5" t="str">
        <f t="shared" si="29"/>
        <v/>
      </c>
      <c r="Y72" s="7" t="str">
        <f t="shared" si="30"/>
        <v/>
      </c>
      <c r="Z72" s="7" t="str">
        <f>IF(OR(AE72="",多次统计数据!$B$8=""),"",AE72-多次统计数据!$B$8)</f>
        <v/>
      </c>
      <c r="AA72" s="11" t="str">
        <f t="shared" si="31"/>
        <v/>
      </c>
      <c r="AB72" s="7" t="str">
        <f>IF(OR(A72="",多次统计数据!$B$8="",多次统计数据!$B$6&lt;=0,多次统计数据!$B$6&gt;=1),"",1-POWER(1+多次统计数据!$B$8,-多次统计数据!$B$6/(1-多次统计数据!$B$6)))</f>
        <v/>
      </c>
      <c r="AC72" s="8" t="str">
        <f>IF(OR(AB72="",多次统计数据!$B$9=""),"",IF(多次统计数据!$B$9&lt;AB72,"低于上限","达到或超过上限"))</f>
        <v/>
      </c>
      <c r="AD72" s="2"/>
      <c r="AE72" s="7" t="str">
        <f t="shared" si="32"/>
        <v/>
      </c>
      <c r="AG72" s="2"/>
      <c r="AH72" s="2"/>
      <c r="AI72" s="2"/>
      <c r="AJ72" s="8" t="str">
        <f t="shared" si="33"/>
        <v/>
      </c>
      <c r="AK72" s="10"/>
      <c r="AL72" s="12"/>
      <c r="AM72" s="10"/>
      <c r="AN72" s="12"/>
      <c r="AO72" s="5" t="str">
        <f t="shared" si="34"/>
        <v/>
      </c>
      <c r="AP72" s="11" t="str">
        <f t="shared" si="35"/>
        <v/>
      </c>
      <c r="AQ72" s="5" t="str">
        <f>IF(A72="","",IF(M72&lt;&gt;"",0,IF(OR(H72="",N72=""),"",MAX(E72-MAX(N72,IFERROR(SUMPRODUCT(MAX(((持仓跟踪!$A$2:$A$497="每日跟踪")*(持仓跟踪!$B$2:$B$497=A72))*持仓跟踪!$S$2:$S$497)),0)),0)*H72+IF(OR(AK72="",AL72=""),0,MAX(AK72-MAX(N72,IFERROR(SUMPRODUCT(MAX(((持仓跟踪!$A$2:$A$497="每日跟踪")*(持仓跟踪!$B$2:$B$497=A72))*持仓跟踪!$S$2:$S$497)),0)),0)*AL72)+IF(OR(AM72="",AN72=""),0,MAX(AM72-MAX(N72,IFERROR(SUMPRODUCT(MAX(((持仓跟踪!$A$2:$A$497="每日跟踪")*(持仓跟踪!$B$2:$B$497=A72))*持仓跟踪!$S$2:$S$497)),0)),0)*AN72))))</f>
        <v/>
      </c>
      <c r="AR72" s="8" t="str">
        <f ca="1">IF(A72="","",IF(OR(E72="",H72=""),"违规：第一批价格或股数缺失",IF(OR(AND(AK72="",AL72&lt;&gt;""),AND(AK72&lt;&gt;"",AL72="")),"违规：第二批价格与股数须成对填写",IF(OR(AND(AM72="",AN72&lt;&gt;""),AND(AM72&lt;&gt;"",AN72="")),"违规：第三批价格与股数须成对填写",IF(AND(OR(AM72&lt;&gt;"",AN72&lt;&gt;""),OR(AK72="",AL72="")),"违规：必须先完成第二批",IF(OR(H72&lt;=0,H72&lt;&gt;INT(H72),MOD(H72,100)&lt;&gt;0,AND(AL72&lt;&gt;"",OR(AL72&lt;=0,AL72&lt;&gt;INT(AL72),MOD(AL72,100)&lt;&gt;0)),AND(AN72&lt;&gt;"",OR(AN72&lt;=0,AN72&lt;&gt;INT(AN72),MOD(AN72,100)&lt;&gt;0))),"违规：股数须为100股整数倍",IF(AND(OR(AL72&lt;&gt;"",AN72&lt;&gt;""),OR(_LockStatus="已锁仓",_LockStatus="解锁信息不完整")),"违规：锁仓期间禁止加仓",IF(AQ72&gt;C72*D72,"违规：超过单笔风险上限",IF(SUM($AQ$2:$AQ$201)&gt;账户数据!$B$7,"违规：超过账户风险上限","通过")))))))))</f>
        <v/>
      </c>
    </row>
    <row r="73" ht="17" spans="1:44">
      <c r="A73" s="2"/>
      <c r="B73" s="2"/>
      <c r="C73" s="10"/>
      <c r="D73" s="6"/>
      <c r="E73" s="10"/>
      <c r="F73" s="8" t="str">
        <f t="shared" si="24"/>
        <v/>
      </c>
      <c r="G73" s="8" t="str">
        <f ca="1"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COUNTIFS(持仓跟踪!$A$2:$A$497,"止损计划",持仓跟踪!$B$2:$B$497,A73,持仓跟踪!$AC$2:$AC$497,"计划有效")=0,"禁止开仓：请先填写止损计划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3" s="2"/>
      <c r="I73" s="15"/>
      <c r="J73" s="10"/>
      <c r="K73" s="10"/>
      <c r="L73" s="8" t="str">
        <f t="shared" si="25"/>
        <v/>
      </c>
      <c r="M73" s="15"/>
      <c r="N73" s="10"/>
      <c r="O73" s="10"/>
      <c r="P73" s="10"/>
      <c r="Q73" s="2"/>
      <c r="R73" s="2"/>
      <c r="S73" s="2"/>
      <c r="T73" s="2"/>
      <c r="U73" s="7" t="str">
        <f t="shared" si="26"/>
        <v/>
      </c>
      <c r="V73" s="7" t="str">
        <f t="shared" si="27"/>
        <v/>
      </c>
      <c r="W73" s="22" t="str">
        <f t="shared" si="28"/>
        <v/>
      </c>
      <c r="X73" s="5" t="str">
        <f t="shared" si="29"/>
        <v/>
      </c>
      <c r="Y73" s="7" t="str">
        <f t="shared" si="30"/>
        <v/>
      </c>
      <c r="Z73" s="7" t="str">
        <f>IF(OR(AE73="",多次统计数据!$B$8=""),"",AE73-多次统计数据!$B$8)</f>
        <v/>
      </c>
      <c r="AA73" s="11" t="str">
        <f t="shared" si="31"/>
        <v/>
      </c>
      <c r="AB73" s="7" t="str">
        <f>IF(OR(A73="",多次统计数据!$B$8="",多次统计数据!$B$6&lt;=0,多次统计数据!$B$6&gt;=1),"",1-POWER(1+多次统计数据!$B$8,-多次统计数据!$B$6/(1-多次统计数据!$B$6)))</f>
        <v/>
      </c>
      <c r="AC73" s="8" t="str">
        <f>IF(OR(AB73="",多次统计数据!$B$9=""),"",IF(多次统计数据!$B$9&lt;AB73,"低于上限","达到或超过上限"))</f>
        <v/>
      </c>
      <c r="AD73" s="2"/>
      <c r="AE73" s="7" t="str">
        <f t="shared" si="32"/>
        <v/>
      </c>
      <c r="AG73" s="2"/>
      <c r="AH73" s="2"/>
      <c r="AI73" s="2"/>
      <c r="AJ73" s="8" t="str">
        <f t="shared" si="33"/>
        <v/>
      </c>
      <c r="AK73" s="10"/>
      <c r="AL73" s="12"/>
      <c r="AM73" s="10"/>
      <c r="AN73" s="12"/>
      <c r="AO73" s="5" t="str">
        <f t="shared" si="34"/>
        <v/>
      </c>
      <c r="AP73" s="11" t="str">
        <f t="shared" si="35"/>
        <v/>
      </c>
      <c r="AQ73" s="5" t="str">
        <f>IF(A73="","",IF(M73&lt;&gt;"",0,IF(OR(H73="",N73=""),"",MAX(E73-MAX(N73,IFERROR(SUMPRODUCT(MAX(((持仓跟踪!$A$2:$A$497="每日跟踪")*(持仓跟踪!$B$2:$B$497=A73))*持仓跟踪!$S$2:$S$497)),0)),0)*H73+IF(OR(AK73="",AL73=""),0,MAX(AK73-MAX(N73,IFERROR(SUMPRODUCT(MAX(((持仓跟踪!$A$2:$A$497="每日跟踪")*(持仓跟踪!$B$2:$B$497=A73))*持仓跟踪!$S$2:$S$497)),0)),0)*AL73)+IF(OR(AM73="",AN73=""),0,MAX(AM73-MAX(N73,IFERROR(SUMPRODUCT(MAX(((持仓跟踪!$A$2:$A$497="每日跟踪")*(持仓跟踪!$B$2:$B$497=A73))*持仓跟踪!$S$2:$S$497)),0)),0)*AN73))))</f>
        <v/>
      </c>
      <c r="AR73" s="8" t="str">
        <f ca="1">IF(A73="","",IF(OR(E73="",H73=""),"违规：第一批价格或股数缺失",IF(OR(AND(AK73="",AL73&lt;&gt;""),AND(AK73&lt;&gt;"",AL73="")),"违规：第二批价格与股数须成对填写",IF(OR(AND(AM73="",AN73&lt;&gt;""),AND(AM73&lt;&gt;"",AN73="")),"违规：第三批价格与股数须成对填写",IF(AND(OR(AM73&lt;&gt;"",AN73&lt;&gt;""),OR(AK73="",AL73="")),"违规：必须先完成第二批",IF(OR(H73&lt;=0,H73&lt;&gt;INT(H73),MOD(H73,100)&lt;&gt;0,AND(AL73&lt;&gt;"",OR(AL73&lt;=0,AL73&lt;&gt;INT(AL73),MOD(AL73,100)&lt;&gt;0)),AND(AN73&lt;&gt;"",OR(AN73&lt;=0,AN73&lt;&gt;INT(AN73),MOD(AN73,100)&lt;&gt;0))),"违规：股数须为100股整数倍",IF(AND(OR(AL73&lt;&gt;"",AN73&lt;&gt;""),OR(_LockStatus="已锁仓",_LockStatus="解锁信息不完整")),"违规：锁仓期间禁止加仓",IF(AQ73&gt;C73*D73,"违规：超过单笔风险上限",IF(SUM($AQ$2:$AQ$201)&gt;账户数据!$B$7,"违规：超过账户风险上限","通过")))))))))</f>
        <v/>
      </c>
    </row>
    <row r="74" ht="17" spans="1:44">
      <c r="A74" s="2"/>
      <c r="B74" s="2"/>
      <c r="C74" s="10"/>
      <c r="D74" s="6"/>
      <c r="E74" s="10"/>
      <c r="F74" s="8" t="str">
        <f t="shared" si="24"/>
        <v/>
      </c>
      <c r="G74" s="8" t="str">
        <f ca="1"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COUNTIFS(持仓跟踪!$A$2:$A$497,"止损计划",持仓跟踪!$B$2:$B$497,A74,持仓跟踪!$AC$2:$AC$497,"计划有效")=0,"禁止开仓：请先填写止损计划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4" s="2"/>
      <c r="I74" s="15"/>
      <c r="J74" s="10"/>
      <c r="K74" s="10"/>
      <c r="L74" s="8" t="str">
        <f t="shared" si="25"/>
        <v/>
      </c>
      <c r="M74" s="15"/>
      <c r="N74" s="10"/>
      <c r="O74" s="10"/>
      <c r="P74" s="10"/>
      <c r="Q74" s="2"/>
      <c r="R74" s="2"/>
      <c r="S74" s="2"/>
      <c r="T74" s="2"/>
      <c r="U74" s="7" t="str">
        <f t="shared" si="26"/>
        <v/>
      </c>
      <c r="V74" s="7" t="str">
        <f t="shared" si="27"/>
        <v/>
      </c>
      <c r="W74" s="22" t="str">
        <f t="shared" si="28"/>
        <v/>
      </c>
      <c r="X74" s="5" t="str">
        <f t="shared" si="29"/>
        <v/>
      </c>
      <c r="Y74" s="7" t="str">
        <f t="shared" si="30"/>
        <v/>
      </c>
      <c r="Z74" s="7" t="str">
        <f>IF(OR(AE74="",多次统计数据!$B$8=""),"",AE74-多次统计数据!$B$8)</f>
        <v/>
      </c>
      <c r="AA74" s="11" t="str">
        <f t="shared" si="31"/>
        <v/>
      </c>
      <c r="AB74" s="7" t="str">
        <f>IF(OR(A74="",多次统计数据!$B$8="",多次统计数据!$B$6&lt;=0,多次统计数据!$B$6&gt;=1),"",1-POWER(1+多次统计数据!$B$8,-多次统计数据!$B$6/(1-多次统计数据!$B$6)))</f>
        <v/>
      </c>
      <c r="AC74" s="8" t="str">
        <f>IF(OR(AB74="",多次统计数据!$B$9=""),"",IF(多次统计数据!$B$9&lt;AB74,"低于上限","达到或超过上限"))</f>
        <v/>
      </c>
      <c r="AD74" s="2"/>
      <c r="AE74" s="7" t="str">
        <f t="shared" si="32"/>
        <v/>
      </c>
      <c r="AG74" s="2"/>
      <c r="AH74" s="2"/>
      <c r="AI74" s="2"/>
      <c r="AJ74" s="8" t="str">
        <f t="shared" si="33"/>
        <v/>
      </c>
      <c r="AK74" s="10"/>
      <c r="AL74" s="12"/>
      <c r="AM74" s="10"/>
      <c r="AN74" s="12"/>
      <c r="AO74" s="5" t="str">
        <f t="shared" si="34"/>
        <v/>
      </c>
      <c r="AP74" s="11" t="str">
        <f t="shared" si="35"/>
        <v/>
      </c>
      <c r="AQ74" s="5" t="str">
        <f>IF(A74="","",IF(M74&lt;&gt;"",0,IF(OR(H74="",N74=""),"",MAX(E74-MAX(N74,IFERROR(SUMPRODUCT(MAX(((持仓跟踪!$A$2:$A$497="每日跟踪")*(持仓跟踪!$B$2:$B$497=A74))*持仓跟踪!$S$2:$S$497)),0)),0)*H74+IF(OR(AK74="",AL74=""),0,MAX(AK74-MAX(N74,IFERROR(SUMPRODUCT(MAX(((持仓跟踪!$A$2:$A$497="每日跟踪")*(持仓跟踪!$B$2:$B$497=A74))*持仓跟踪!$S$2:$S$497)),0)),0)*AL74)+IF(OR(AM74="",AN74=""),0,MAX(AM74-MAX(N74,IFERROR(SUMPRODUCT(MAX(((持仓跟踪!$A$2:$A$497="每日跟踪")*(持仓跟踪!$B$2:$B$497=A74))*持仓跟踪!$S$2:$S$497)),0)),0)*AN74))))</f>
        <v/>
      </c>
      <c r="AR74" s="8" t="str">
        <f ca="1">IF(A74="","",IF(OR(E74="",H74=""),"违规：第一批价格或股数缺失",IF(OR(AND(AK74="",AL74&lt;&gt;""),AND(AK74&lt;&gt;"",AL74="")),"违规：第二批价格与股数须成对填写",IF(OR(AND(AM74="",AN74&lt;&gt;""),AND(AM74&lt;&gt;"",AN74="")),"违规：第三批价格与股数须成对填写",IF(AND(OR(AM74&lt;&gt;"",AN74&lt;&gt;""),OR(AK74="",AL74="")),"违规：必须先完成第二批",IF(OR(H74&lt;=0,H74&lt;&gt;INT(H74),MOD(H74,100)&lt;&gt;0,AND(AL74&lt;&gt;"",OR(AL74&lt;=0,AL74&lt;&gt;INT(AL74),MOD(AL74,100)&lt;&gt;0)),AND(AN74&lt;&gt;"",OR(AN74&lt;=0,AN74&lt;&gt;INT(AN74),MOD(AN74,100)&lt;&gt;0))),"违规：股数须为100股整数倍",IF(AND(OR(AL74&lt;&gt;"",AN74&lt;&gt;""),OR(_LockStatus="已锁仓",_LockStatus="解锁信息不完整")),"违规：锁仓期间禁止加仓",IF(AQ74&gt;C74*D74,"违规：超过单笔风险上限",IF(SUM($AQ$2:$AQ$201)&gt;账户数据!$B$7,"违规：超过账户风险上限","通过")))))))))</f>
        <v/>
      </c>
    </row>
    <row r="75" ht="17" spans="1:44">
      <c r="A75" s="2"/>
      <c r="B75" s="13"/>
      <c r="C75" s="10"/>
      <c r="D75" s="6"/>
      <c r="E75" s="10"/>
      <c r="F75" s="8" t="str">
        <f t="shared" si="24"/>
        <v/>
      </c>
      <c r="G75" s="8" t="str">
        <f ca="1"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COUNTIFS(持仓跟踪!$A$2:$A$497,"止损计划",持仓跟踪!$B$2:$B$497,A75,持仓跟踪!$AC$2:$AC$497,"计划有效")=0,"禁止开仓：请先填写止损计划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5" s="2"/>
      <c r="I75" s="15"/>
      <c r="J75" s="10"/>
      <c r="K75" s="10"/>
      <c r="L75" s="8" t="str">
        <f t="shared" si="25"/>
        <v/>
      </c>
      <c r="M75" s="15"/>
      <c r="N75" s="10"/>
      <c r="O75" s="10"/>
      <c r="P75" s="10"/>
      <c r="Q75" s="2"/>
      <c r="R75" s="2"/>
      <c r="S75" s="2"/>
      <c r="T75" s="2"/>
      <c r="U75" s="7" t="str">
        <f t="shared" si="26"/>
        <v/>
      </c>
      <c r="V75" s="7" t="str">
        <f t="shared" si="27"/>
        <v/>
      </c>
      <c r="W75" s="22" t="str">
        <f t="shared" si="28"/>
        <v/>
      </c>
      <c r="X75" s="5" t="str">
        <f t="shared" si="29"/>
        <v/>
      </c>
      <c r="Y75" s="7" t="str">
        <f t="shared" si="30"/>
        <v/>
      </c>
      <c r="Z75" s="7" t="str">
        <f>IF(OR(AE75="",多次统计数据!$B$8=""),"",AE75-多次统计数据!$B$8)</f>
        <v/>
      </c>
      <c r="AA75" s="11" t="str">
        <f t="shared" si="31"/>
        <v/>
      </c>
      <c r="AB75" s="7" t="str">
        <f>IF(OR(A75="",多次统计数据!$B$8="",多次统计数据!$B$6&lt;=0,多次统计数据!$B$6&gt;=1),"",1-POWER(1+多次统计数据!$B$8,-多次统计数据!$B$6/(1-多次统计数据!$B$6)))</f>
        <v/>
      </c>
      <c r="AC75" s="8" t="str">
        <f>IF(OR(AB75="",多次统计数据!$B$9=""),"",IF(多次统计数据!$B$9&lt;AB75,"低于上限","达到或超过上限"))</f>
        <v/>
      </c>
      <c r="AD75" s="2"/>
      <c r="AE75" s="7" t="str">
        <f t="shared" si="32"/>
        <v/>
      </c>
      <c r="AF75" s="16"/>
      <c r="AG75" s="2"/>
      <c r="AH75" s="2"/>
      <c r="AI75" s="2"/>
      <c r="AJ75" s="8" t="str">
        <f t="shared" si="33"/>
        <v/>
      </c>
      <c r="AK75" s="10"/>
      <c r="AL75" s="12"/>
      <c r="AM75" s="10"/>
      <c r="AN75" s="12"/>
      <c r="AO75" s="5" t="str">
        <f t="shared" si="34"/>
        <v/>
      </c>
      <c r="AP75" s="11" t="str">
        <f t="shared" si="35"/>
        <v/>
      </c>
      <c r="AQ75" s="5" t="str">
        <f>IF(A75="","",IF(M75&lt;&gt;"",0,IF(OR(H75="",N75=""),"",MAX(E75-MAX(N75,IFERROR(SUMPRODUCT(MAX(((持仓跟踪!$A$2:$A$497="每日跟踪")*(持仓跟踪!$B$2:$B$497=A75))*持仓跟踪!$S$2:$S$497)),0)),0)*H75+IF(OR(AK75="",AL75=""),0,MAX(AK75-MAX(N75,IFERROR(SUMPRODUCT(MAX(((持仓跟踪!$A$2:$A$497="每日跟踪")*(持仓跟踪!$B$2:$B$497=A75))*持仓跟踪!$S$2:$S$497)),0)),0)*AL75)+IF(OR(AM75="",AN75=""),0,MAX(AM75-MAX(N75,IFERROR(SUMPRODUCT(MAX(((持仓跟踪!$A$2:$A$497="每日跟踪")*(持仓跟踪!$B$2:$B$497=A75))*持仓跟踪!$S$2:$S$497)),0)),0)*AN75))))</f>
        <v/>
      </c>
      <c r="AR75" s="8" t="str">
        <f ca="1">IF(A75="","",IF(OR(E75="",H75=""),"违规：第一批价格或股数缺失",IF(OR(AND(AK75="",AL75&lt;&gt;""),AND(AK75&lt;&gt;"",AL75="")),"违规：第二批价格与股数须成对填写",IF(OR(AND(AM75="",AN75&lt;&gt;""),AND(AM75&lt;&gt;"",AN75="")),"违规：第三批价格与股数须成对填写",IF(AND(OR(AM75&lt;&gt;"",AN75&lt;&gt;""),OR(AK75="",AL75="")),"违规：必须先完成第二批",IF(OR(H75&lt;=0,H75&lt;&gt;INT(H75),MOD(H75,100)&lt;&gt;0,AND(AL75&lt;&gt;"",OR(AL75&lt;=0,AL75&lt;&gt;INT(AL75),MOD(AL75,100)&lt;&gt;0)),AND(AN75&lt;&gt;"",OR(AN75&lt;=0,AN75&lt;&gt;INT(AN75),MOD(AN75,100)&lt;&gt;0))),"违规：股数须为100股整数倍",IF(AND(OR(AL75&lt;&gt;"",AN75&lt;&gt;""),OR(_LockStatus="已锁仓",_LockStatus="解锁信息不完整")),"违规：锁仓期间禁止加仓",IF(AQ75&gt;C75*D75,"违规：超过单笔风险上限",IF(SUM($AQ$2:$AQ$201)&gt;账户数据!$B$7,"违规：超过账户风险上限","通过")))))))))</f>
        <v/>
      </c>
    </row>
    <row r="76" ht="17" spans="1:44">
      <c r="A76" s="2"/>
      <c r="B76" s="13"/>
      <c r="C76" s="10"/>
      <c r="D76" s="6"/>
      <c r="E76" s="10"/>
      <c r="F76" s="8" t="str">
        <f t="shared" si="24"/>
        <v/>
      </c>
      <c r="G76" s="8" t="str">
        <f ca="1"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COUNTIFS(持仓跟踪!$A$2:$A$497,"止损计划",持仓跟踪!$B$2:$B$497,A76,持仓跟踪!$AC$2:$AC$497,"计划有效")=0,"禁止开仓：请先填写止损计划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6" s="2"/>
      <c r="I76" s="15"/>
      <c r="J76" s="10"/>
      <c r="K76" s="10"/>
      <c r="L76" s="8" t="str">
        <f t="shared" si="25"/>
        <v/>
      </c>
      <c r="M76" s="15"/>
      <c r="N76" s="10"/>
      <c r="O76" s="10"/>
      <c r="P76" s="10"/>
      <c r="Q76" s="2"/>
      <c r="R76" s="2"/>
      <c r="S76" s="2"/>
      <c r="T76" s="2"/>
      <c r="U76" s="7" t="str">
        <f t="shared" si="26"/>
        <v/>
      </c>
      <c r="V76" s="7" t="str">
        <f t="shared" si="27"/>
        <v/>
      </c>
      <c r="W76" s="22" t="str">
        <f t="shared" si="28"/>
        <v/>
      </c>
      <c r="X76" s="5" t="str">
        <f t="shared" si="29"/>
        <v/>
      </c>
      <c r="Y76" s="7" t="str">
        <f t="shared" si="30"/>
        <v/>
      </c>
      <c r="Z76" s="7" t="str">
        <f>IF(OR(AE76="",多次统计数据!$B$8=""),"",AE76-多次统计数据!$B$8)</f>
        <v/>
      </c>
      <c r="AA76" s="11" t="str">
        <f t="shared" si="31"/>
        <v/>
      </c>
      <c r="AB76" s="7" t="str">
        <f>IF(OR(A76="",多次统计数据!$B$8="",多次统计数据!$B$6&lt;=0,多次统计数据!$B$6&gt;=1),"",1-POWER(1+多次统计数据!$B$8,-多次统计数据!$B$6/(1-多次统计数据!$B$6)))</f>
        <v/>
      </c>
      <c r="AC76" s="8" t="str">
        <f>IF(OR(AB76="",多次统计数据!$B$9=""),"",IF(多次统计数据!$B$9&lt;AB76,"低于上限","达到或超过上限"))</f>
        <v/>
      </c>
      <c r="AD76" s="2"/>
      <c r="AE76" s="7" t="str">
        <f t="shared" si="32"/>
        <v/>
      </c>
      <c r="AF76" s="16"/>
      <c r="AG76" s="2"/>
      <c r="AH76" s="2"/>
      <c r="AI76" s="2"/>
      <c r="AJ76" s="8" t="str">
        <f t="shared" si="33"/>
        <v/>
      </c>
      <c r="AK76" s="10"/>
      <c r="AL76" s="12"/>
      <c r="AM76" s="10"/>
      <c r="AN76" s="12"/>
      <c r="AO76" s="5" t="str">
        <f t="shared" si="34"/>
        <v/>
      </c>
      <c r="AP76" s="11" t="str">
        <f t="shared" si="35"/>
        <v/>
      </c>
      <c r="AQ76" s="5" t="str">
        <f>IF(A76="","",IF(M76&lt;&gt;"",0,IF(OR(H76="",N76=""),"",MAX(E76-MAX(N76,IFERROR(SUMPRODUCT(MAX(((持仓跟踪!$A$2:$A$497="每日跟踪")*(持仓跟踪!$B$2:$B$497=A76))*持仓跟踪!$S$2:$S$497)),0)),0)*H76+IF(OR(AK76="",AL76=""),0,MAX(AK76-MAX(N76,IFERROR(SUMPRODUCT(MAX(((持仓跟踪!$A$2:$A$497="每日跟踪")*(持仓跟踪!$B$2:$B$497=A76))*持仓跟踪!$S$2:$S$497)),0)),0)*AL76)+IF(OR(AM76="",AN76=""),0,MAX(AM76-MAX(N76,IFERROR(SUMPRODUCT(MAX(((持仓跟踪!$A$2:$A$497="每日跟踪")*(持仓跟踪!$B$2:$B$497=A76))*持仓跟踪!$S$2:$S$497)),0)),0)*AN76))))</f>
        <v/>
      </c>
      <c r="AR76" s="8" t="str">
        <f ca="1">IF(A76="","",IF(OR(E76="",H76=""),"违规：第一批价格或股数缺失",IF(OR(AND(AK76="",AL76&lt;&gt;""),AND(AK76&lt;&gt;"",AL76="")),"违规：第二批价格与股数须成对填写",IF(OR(AND(AM76="",AN76&lt;&gt;""),AND(AM76&lt;&gt;"",AN76="")),"违规：第三批价格与股数须成对填写",IF(AND(OR(AM76&lt;&gt;"",AN76&lt;&gt;""),OR(AK76="",AL76="")),"违规：必须先完成第二批",IF(OR(H76&lt;=0,H76&lt;&gt;INT(H76),MOD(H76,100)&lt;&gt;0,AND(AL76&lt;&gt;"",OR(AL76&lt;=0,AL76&lt;&gt;INT(AL76),MOD(AL76,100)&lt;&gt;0)),AND(AN76&lt;&gt;"",OR(AN76&lt;=0,AN76&lt;&gt;INT(AN76),MOD(AN76,100)&lt;&gt;0))),"违规：股数须为100股整数倍",IF(AND(OR(AL76&lt;&gt;"",AN76&lt;&gt;""),OR(_LockStatus="已锁仓",_LockStatus="解锁信息不完整")),"违规：锁仓期间禁止加仓",IF(AQ76&gt;C76*D76,"违规：超过单笔风险上限",IF(SUM($AQ$2:$AQ$201)&gt;账户数据!$B$7,"违规：超过账户风险上限","通过")))))))))</f>
        <v/>
      </c>
    </row>
    <row r="77" ht="17" spans="1:44">
      <c r="A77" s="2"/>
      <c r="B77" s="13"/>
      <c r="C77" s="10"/>
      <c r="D77" s="6"/>
      <c r="E77" s="10"/>
      <c r="F77" s="8" t="str">
        <f t="shared" si="24"/>
        <v/>
      </c>
      <c r="G77" s="8" t="str">
        <f ca="1"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COUNTIFS(持仓跟踪!$A$2:$A$497,"止损计划",持仓跟踪!$B$2:$B$497,A77,持仓跟踪!$AC$2:$AC$497,"计划有效")=0,"禁止开仓：请先填写止损计划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7" s="2"/>
      <c r="I77" s="15"/>
      <c r="J77" s="10"/>
      <c r="K77" s="10"/>
      <c r="L77" s="8" t="str">
        <f t="shared" si="25"/>
        <v/>
      </c>
      <c r="M77" s="15"/>
      <c r="N77" s="10"/>
      <c r="O77" s="10"/>
      <c r="P77" s="10"/>
      <c r="Q77" s="2"/>
      <c r="R77" s="2"/>
      <c r="S77" s="2"/>
      <c r="T77" s="2"/>
      <c r="U77" s="7" t="str">
        <f t="shared" si="26"/>
        <v/>
      </c>
      <c r="V77" s="7" t="str">
        <f t="shared" si="27"/>
        <v/>
      </c>
      <c r="W77" s="22" t="str">
        <f t="shared" si="28"/>
        <v/>
      </c>
      <c r="X77" s="5" t="str">
        <f t="shared" si="29"/>
        <v/>
      </c>
      <c r="Y77" s="7" t="str">
        <f t="shared" si="30"/>
        <v/>
      </c>
      <c r="Z77" s="7" t="str">
        <f>IF(OR(AE77="",多次统计数据!$B$8=""),"",AE77-多次统计数据!$B$8)</f>
        <v/>
      </c>
      <c r="AA77" s="11" t="str">
        <f t="shared" si="31"/>
        <v/>
      </c>
      <c r="AB77" s="7" t="str">
        <f>IF(OR(A77="",多次统计数据!$B$8="",多次统计数据!$B$6&lt;=0,多次统计数据!$B$6&gt;=1),"",1-POWER(1+多次统计数据!$B$8,-多次统计数据!$B$6/(1-多次统计数据!$B$6)))</f>
        <v/>
      </c>
      <c r="AC77" s="8" t="str">
        <f>IF(OR(AB77="",多次统计数据!$B$9=""),"",IF(多次统计数据!$B$9&lt;AB77,"低于上限","达到或超过上限"))</f>
        <v/>
      </c>
      <c r="AD77" s="2"/>
      <c r="AE77" s="7" t="str">
        <f t="shared" si="32"/>
        <v/>
      </c>
      <c r="AF77" s="16"/>
      <c r="AG77" s="2"/>
      <c r="AH77" s="2"/>
      <c r="AI77" s="2"/>
      <c r="AJ77" s="8" t="str">
        <f t="shared" si="33"/>
        <v/>
      </c>
      <c r="AK77" s="10"/>
      <c r="AL77" s="12"/>
      <c r="AM77" s="10"/>
      <c r="AN77" s="12"/>
      <c r="AO77" s="5" t="str">
        <f t="shared" si="34"/>
        <v/>
      </c>
      <c r="AP77" s="11" t="str">
        <f t="shared" si="35"/>
        <v/>
      </c>
      <c r="AQ77" s="5" t="str">
        <f>IF(A77="","",IF(M77&lt;&gt;"",0,IF(OR(H77="",N77=""),"",MAX(E77-MAX(N77,IFERROR(SUMPRODUCT(MAX(((持仓跟踪!$A$2:$A$497="每日跟踪")*(持仓跟踪!$B$2:$B$497=A77))*持仓跟踪!$S$2:$S$497)),0)),0)*H77+IF(OR(AK77="",AL77=""),0,MAX(AK77-MAX(N77,IFERROR(SUMPRODUCT(MAX(((持仓跟踪!$A$2:$A$497="每日跟踪")*(持仓跟踪!$B$2:$B$497=A77))*持仓跟踪!$S$2:$S$497)),0)),0)*AL77)+IF(OR(AM77="",AN77=""),0,MAX(AM77-MAX(N77,IFERROR(SUMPRODUCT(MAX(((持仓跟踪!$A$2:$A$497="每日跟踪")*(持仓跟踪!$B$2:$B$497=A77))*持仓跟踪!$S$2:$S$497)),0)),0)*AN77))))</f>
        <v/>
      </c>
      <c r="AR77" s="8" t="str">
        <f ca="1">IF(A77="","",IF(OR(E77="",H77=""),"违规：第一批价格或股数缺失",IF(OR(AND(AK77="",AL77&lt;&gt;""),AND(AK77&lt;&gt;"",AL77="")),"违规：第二批价格与股数须成对填写",IF(OR(AND(AM77="",AN77&lt;&gt;""),AND(AM77&lt;&gt;"",AN77="")),"违规：第三批价格与股数须成对填写",IF(AND(OR(AM77&lt;&gt;"",AN77&lt;&gt;""),OR(AK77="",AL77="")),"违规：必须先完成第二批",IF(OR(H77&lt;=0,H77&lt;&gt;INT(H77),MOD(H77,100)&lt;&gt;0,AND(AL77&lt;&gt;"",OR(AL77&lt;=0,AL77&lt;&gt;INT(AL77),MOD(AL77,100)&lt;&gt;0)),AND(AN77&lt;&gt;"",OR(AN77&lt;=0,AN77&lt;&gt;INT(AN77),MOD(AN77,100)&lt;&gt;0))),"违规：股数须为100股整数倍",IF(AND(OR(AL77&lt;&gt;"",AN77&lt;&gt;""),OR(_LockStatus="已锁仓",_LockStatus="解锁信息不完整")),"违规：锁仓期间禁止加仓",IF(AQ77&gt;C77*D77,"违规：超过单笔风险上限",IF(SUM($AQ$2:$AQ$201)&gt;账户数据!$B$7,"违规：超过账户风险上限","通过")))))))))</f>
        <v/>
      </c>
    </row>
    <row r="78" ht="17" spans="1:44">
      <c r="A78" s="2"/>
      <c r="B78" s="2"/>
      <c r="C78" s="10"/>
      <c r="D78" s="6"/>
      <c r="E78" s="10"/>
      <c r="F78" s="8" t="str">
        <f t="shared" si="24"/>
        <v/>
      </c>
      <c r="G78" s="8" t="str">
        <f ca="1"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COUNTIFS(持仓跟踪!$A$2:$A$497,"止损计划",持仓跟踪!$B$2:$B$497,A78,持仓跟踪!$AC$2:$AC$497,"计划有效")=0,"禁止开仓：请先填写止损计划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8" s="2"/>
      <c r="I78" s="15"/>
      <c r="J78" s="10"/>
      <c r="K78" s="10"/>
      <c r="L78" s="8" t="str">
        <f t="shared" si="25"/>
        <v/>
      </c>
      <c r="M78" s="15"/>
      <c r="N78" s="10"/>
      <c r="O78" s="10"/>
      <c r="P78" s="10"/>
      <c r="Q78" s="2"/>
      <c r="R78" s="2"/>
      <c r="S78" s="2"/>
      <c r="T78" s="2"/>
      <c r="U78" s="7" t="str">
        <f t="shared" si="26"/>
        <v/>
      </c>
      <c r="V78" s="7" t="str">
        <f t="shared" si="27"/>
        <v/>
      </c>
      <c r="W78" s="22" t="str">
        <f t="shared" si="28"/>
        <v/>
      </c>
      <c r="X78" s="5" t="str">
        <f t="shared" si="29"/>
        <v/>
      </c>
      <c r="Y78" s="7" t="str">
        <f t="shared" si="30"/>
        <v/>
      </c>
      <c r="Z78" s="7" t="str">
        <f>IF(OR(AE78="",多次统计数据!$B$8=""),"",AE78-多次统计数据!$B$8)</f>
        <v/>
      </c>
      <c r="AA78" s="11" t="str">
        <f t="shared" si="31"/>
        <v/>
      </c>
      <c r="AB78" s="7" t="str">
        <f>IF(OR(A78="",多次统计数据!$B$8="",多次统计数据!$B$6&lt;=0,多次统计数据!$B$6&gt;=1),"",1-POWER(1+多次统计数据!$B$8,-多次统计数据!$B$6/(1-多次统计数据!$B$6)))</f>
        <v/>
      </c>
      <c r="AC78" s="8" t="str">
        <f>IF(OR(AB78="",多次统计数据!$B$9=""),"",IF(多次统计数据!$B$9&lt;AB78,"低于上限","达到或超过上限"))</f>
        <v/>
      </c>
      <c r="AD78" s="2"/>
      <c r="AE78" s="7" t="str">
        <f t="shared" si="32"/>
        <v/>
      </c>
      <c r="AG78" s="2"/>
      <c r="AH78" s="2"/>
      <c r="AI78" s="2"/>
      <c r="AJ78" s="8" t="str">
        <f t="shared" si="33"/>
        <v/>
      </c>
      <c r="AK78" s="10"/>
      <c r="AL78" s="12"/>
      <c r="AM78" s="10"/>
      <c r="AN78" s="12"/>
      <c r="AO78" s="5" t="str">
        <f t="shared" si="34"/>
        <v/>
      </c>
      <c r="AP78" s="11" t="str">
        <f t="shared" si="35"/>
        <v/>
      </c>
      <c r="AQ78" s="5" t="str">
        <f>IF(A78="","",IF(M78&lt;&gt;"",0,IF(OR(H78="",N78=""),"",MAX(E78-MAX(N78,IFERROR(SUMPRODUCT(MAX(((持仓跟踪!$A$2:$A$497="每日跟踪")*(持仓跟踪!$B$2:$B$497=A78))*持仓跟踪!$S$2:$S$497)),0)),0)*H78+IF(OR(AK78="",AL78=""),0,MAX(AK78-MAX(N78,IFERROR(SUMPRODUCT(MAX(((持仓跟踪!$A$2:$A$497="每日跟踪")*(持仓跟踪!$B$2:$B$497=A78))*持仓跟踪!$S$2:$S$497)),0)),0)*AL78)+IF(OR(AM78="",AN78=""),0,MAX(AM78-MAX(N78,IFERROR(SUMPRODUCT(MAX(((持仓跟踪!$A$2:$A$497="每日跟踪")*(持仓跟踪!$B$2:$B$497=A78))*持仓跟踪!$S$2:$S$497)),0)),0)*AN78))))</f>
        <v/>
      </c>
      <c r="AR78" s="8" t="str">
        <f ca="1">IF(A78="","",IF(OR(E78="",H78=""),"违规：第一批价格或股数缺失",IF(OR(AND(AK78="",AL78&lt;&gt;""),AND(AK78&lt;&gt;"",AL78="")),"违规：第二批价格与股数须成对填写",IF(OR(AND(AM78="",AN78&lt;&gt;""),AND(AM78&lt;&gt;"",AN78="")),"违规：第三批价格与股数须成对填写",IF(AND(OR(AM78&lt;&gt;"",AN78&lt;&gt;""),OR(AK78="",AL78="")),"违规：必须先完成第二批",IF(OR(H78&lt;=0,H78&lt;&gt;INT(H78),MOD(H78,100)&lt;&gt;0,AND(AL78&lt;&gt;"",OR(AL78&lt;=0,AL78&lt;&gt;INT(AL78),MOD(AL78,100)&lt;&gt;0)),AND(AN78&lt;&gt;"",OR(AN78&lt;=0,AN78&lt;&gt;INT(AN78),MOD(AN78,100)&lt;&gt;0))),"违规：股数须为100股整数倍",IF(AND(OR(AL78&lt;&gt;"",AN78&lt;&gt;""),OR(_LockStatus="已锁仓",_LockStatus="解锁信息不完整")),"违规：锁仓期间禁止加仓",IF(AQ78&gt;C78*D78,"违规：超过单笔风险上限",IF(SUM($AQ$2:$AQ$201)&gt;账户数据!$B$7,"违规：超过账户风险上限","通过")))))))))</f>
        <v/>
      </c>
    </row>
    <row r="79" ht="17" spans="1:44">
      <c r="A79" s="2"/>
      <c r="B79" s="2"/>
      <c r="C79" s="10"/>
      <c r="D79" s="6"/>
      <c r="E79" s="10"/>
      <c r="F79" s="8" t="str">
        <f t="shared" si="24"/>
        <v/>
      </c>
      <c r="G79" s="8" t="str">
        <f ca="1"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COUNTIFS(持仓跟踪!$A$2:$A$497,"止损计划",持仓跟踪!$B$2:$B$497,A79,持仓跟踪!$AC$2:$AC$497,"计划有效")=0,"禁止开仓：请先填写止损计划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9" s="2"/>
      <c r="I79" s="15"/>
      <c r="J79" s="10"/>
      <c r="K79" s="10"/>
      <c r="L79" s="8" t="str">
        <f t="shared" si="25"/>
        <v/>
      </c>
      <c r="M79" s="15"/>
      <c r="N79" s="10"/>
      <c r="O79" s="10"/>
      <c r="P79" s="10"/>
      <c r="Q79" s="2"/>
      <c r="R79" s="2"/>
      <c r="S79" s="2"/>
      <c r="T79" s="2"/>
      <c r="U79" s="7" t="str">
        <f t="shared" si="26"/>
        <v/>
      </c>
      <c r="V79" s="7" t="str">
        <f t="shared" si="27"/>
        <v/>
      </c>
      <c r="W79" s="22" t="str">
        <f t="shared" si="28"/>
        <v/>
      </c>
      <c r="X79" s="5" t="str">
        <f t="shared" si="29"/>
        <v/>
      </c>
      <c r="Y79" s="7" t="str">
        <f t="shared" si="30"/>
        <v/>
      </c>
      <c r="Z79" s="7" t="str">
        <f>IF(OR(AE79="",多次统计数据!$B$8=""),"",AE79-多次统计数据!$B$8)</f>
        <v/>
      </c>
      <c r="AA79" s="11" t="str">
        <f t="shared" si="31"/>
        <v/>
      </c>
      <c r="AB79" s="7" t="str">
        <f>IF(OR(A79="",多次统计数据!$B$8="",多次统计数据!$B$6&lt;=0,多次统计数据!$B$6&gt;=1),"",1-POWER(1+多次统计数据!$B$8,-多次统计数据!$B$6/(1-多次统计数据!$B$6)))</f>
        <v/>
      </c>
      <c r="AC79" s="8" t="str">
        <f>IF(OR(AB79="",多次统计数据!$B$9=""),"",IF(多次统计数据!$B$9&lt;AB79,"低于上限","达到或超过上限"))</f>
        <v/>
      </c>
      <c r="AD79" s="2"/>
      <c r="AE79" s="7" t="str">
        <f t="shared" si="32"/>
        <v/>
      </c>
      <c r="AG79" s="2"/>
      <c r="AH79" s="2"/>
      <c r="AI79" s="2"/>
      <c r="AJ79" s="8" t="str">
        <f t="shared" si="33"/>
        <v/>
      </c>
      <c r="AK79" s="10"/>
      <c r="AL79" s="12"/>
      <c r="AM79" s="10"/>
      <c r="AN79" s="12"/>
      <c r="AO79" s="5" t="str">
        <f t="shared" si="34"/>
        <v/>
      </c>
      <c r="AP79" s="11" t="str">
        <f t="shared" si="35"/>
        <v/>
      </c>
      <c r="AQ79" s="5" t="str">
        <f>IF(A79="","",IF(M79&lt;&gt;"",0,IF(OR(H79="",N79=""),"",MAX(E79-MAX(N79,IFERROR(SUMPRODUCT(MAX(((持仓跟踪!$A$2:$A$497="每日跟踪")*(持仓跟踪!$B$2:$B$497=A79))*持仓跟踪!$S$2:$S$497)),0)),0)*H79+IF(OR(AK79="",AL79=""),0,MAX(AK79-MAX(N79,IFERROR(SUMPRODUCT(MAX(((持仓跟踪!$A$2:$A$497="每日跟踪")*(持仓跟踪!$B$2:$B$497=A79))*持仓跟踪!$S$2:$S$497)),0)),0)*AL79)+IF(OR(AM79="",AN79=""),0,MAX(AM79-MAX(N79,IFERROR(SUMPRODUCT(MAX(((持仓跟踪!$A$2:$A$497="每日跟踪")*(持仓跟踪!$B$2:$B$497=A79))*持仓跟踪!$S$2:$S$497)),0)),0)*AN79))))</f>
        <v/>
      </c>
      <c r="AR79" s="8" t="str">
        <f ca="1">IF(A79="","",IF(OR(E79="",H79=""),"违规：第一批价格或股数缺失",IF(OR(AND(AK79="",AL79&lt;&gt;""),AND(AK79&lt;&gt;"",AL79="")),"违规：第二批价格与股数须成对填写",IF(OR(AND(AM79="",AN79&lt;&gt;""),AND(AM79&lt;&gt;"",AN79="")),"违规：第三批价格与股数须成对填写",IF(AND(OR(AM79&lt;&gt;"",AN79&lt;&gt;""),OR(AK79="",AL79="")),"违规：必须先完成第二批",IF(OR(H79&lt;=0,H79&lt;&gt;INT(H79),MOD(H79,100)&lt;&gt;0,AND(AL79&lt;&gt;"",OR(AL79&lt;=0,AL79&lt;&gt;INT(AL79),MOD(AL79,100)&lt;&gt;0)),AND(AN79&lt;&gt;"",OR(AN79&lt;=0,AN79&lt;&gt;INT(AN79),MOD(AN79,100)&lt;&gt;0))),"违规：股数须为100股整数倍",IF(AND(OR(AL79&lt;&gt;"",AN79&lt;&gt;""),OR(_LockStatus="已锁仓",_LockStatus="解锁信息不完整")),"违规：锁仓期间禁止加仓",IF(AQ79&gt;C79*D79,"违规：超过单笔风险上限",IF(SUM($AQ$2:$AQ$201)&gt;账户数据!$B$7,"违规：超过账户风险上限","通过")))))))))</f>
        <v/>
      </c>
    </row>
    <row r="80" ht="17" spans="1:44">
      <c r="A80" s="2"/>
      <c r="B80" s="2"/>
      <c r="C80" s="10"/>
      <c r="D80" s="6"/>
      <c r="E80" s="10"/>
      <c r="F80" s="8" t="str">
        <f t="shared" si="24"/>
        <v/>
      </c>
      <c r="G80" s="8" t="str">
        <f ca="1"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COUNTIFS(持仓跟踪!$A$2:$A$497,"止损计划",持仓跟踪!$B$2:$B$497,A80,持仓跟踪!$AC$2:$AC$497,"计划有效")=0,"禁止开仓：请先填写止损计划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0" s="2"/>
      <c r="I80" s="15"/>
      <c r="J80" s="10"/>
      <c r="K80" s="10"/>
      <c r="L80" s="8" t="str">
        <f t="shared" si="25"/>
        <v/>
      </c>
      <c r="M80" s="15"/>
      <c r="N80" s="10"/>
      <c r="O80" s="10"/>
      <c r="P80" s="10"/>
      <c r="Q80" s="2"/>
      <c r="R80" s="2"/>
      <c r="S80" s="2"/>
      <c r="T80" s="2"/>
      <c r="U80" s="7" t="str">
        <f t="shared" si="26"/>
        <v/>
      </c>
      <c r="V80" s="7" t="str">
        <f t="shared" si="27"/>
        <v/>
      </c>
      <c r="W80" s="22" t="str">
        <f t="shared" si="28"/>
        <v/>
      </c>
      <c r="X80" s="5" t="str">
        <f t="shared" si="29"/>
        <v/>
      </c>
      <c r="Y80" s="7" t="str">
        <f t="shared" si="30"/>
        <v/>
      </c>
      <c r="Z80" s="7" t="str">
        <f>IF(OR(AE80="",多次统计数据!$B$8=""),"",AE80-多次统计数据!$B$8)</f>
        <v/>
      </c>
      <c r="AA80" s="11" t="str">
        <f t="shared" si="31"/>
        <v/>
      </c>
      <c r="AB80" s="7" t="str">
        <f>IF(OR(A80="",多次统计数据!$B$8="",多次统计数据!$B$6&lt;=0,多次统计数据!$B$6&gt;=1),"",1-POWER(1+多次统计数据!$B$8,-多次统计数据!$B$6/(1-多次统计数据!$B$6)))</f>
        <v/>
      </c>
      <c r="AC80" s="8" t="str">
        <f>IF(OR(AB80="",多次统计数据!$B$9=""),"",IF(多次统计数据!$B$9&lt;AB80,"低于上限","达到或超过上限"))</f>
        <v/>
      </c>
      <c r="AD80" s="2"/>
      <c r="AE80" s="7" t="str">
        <f t="shared" si="32"/>
        <v/>
      </c>
      <c r="AG80" s="2"/>
      <c r="AH80" s="2"/>
      <c r="AI80" s="2"/>
      <c r="AJ80" s="8" t="str">
        <f t="shared" si="33"/>
        <v/>
      </c>
      <c r="AK80" s="10"/>
      <c r="AL80" s="12"/>
      <c r="AM80" s="10"/>
      <c r="AN80" s="12"/>
      <c r="AO80" s="5" t="str">
        <f t="shared" si="34"/>
        <v/>
      </c>
      <c r="AP80" s="11" t="str">
        <f t="shared" si="35"/>
        <v/>
      </c>
      <c r="AQ80" s="5" t="str">
        <f>IF(A80="","",IF(M80&lt;&gt;"",0,IF(OR(H80="",N80=""),"",MAX(E80-MAX(N80,IFERROR(SUMPRODUCT(MAX(((持仓跟踪!$A$2:$A$497="每日跟踪")*(持仓跟踪!$B$2:$B$497=A80))*持仓跟踪!$S$2:$S$497)),0)),0)*H80+IF(OR(AK80="",AL80=""),0,MAX(AK80-MAX(N80,IFERROR(SUMPRODUCT(MAX(((持仓跟踪!$A$2:$A$497="每日跟踪")*(持仓跟踪!$B$2:$B$497=A80))*持仓跟踪!$S$2:$S$497)),0)),0)*AL80)+IF(OR(AM80="",AN80=""),0,MAX(AM80-MAX(N80,IFERROR(SUMPRODUCT(MAX(((持仓跟踪!$A$2:$A$497="每日跟踪")*(持仓跟踪!$B$2:$B$497=A80))*持仓跟踪!$S$2:$S$497)),0)),0)*AN80))))</f>
        <v/>
      </c>
      <c r="AR80" s="8" t="str">
        <f ca="1">IF(A80="","",IF(OR(E80="",H80=""),"违规：第一批价格或股数缺失",IF(OR(AND(AK80="",AL80&lt;&gt;""),AND(AK80&lt;&gt;"",AL80="")),"违规：第二批价格与股数须成对填写",IF(OR(AND(AM80="",AN80&lt;&gt;""),AND(AM80&lt;&gt;"",AN80="")),"违规：第三批价格与股数须成对填写",IF(AND(OR(AM80&lt;&gt;"",AN80&lt;&gt;""),OR(AK80="",AL80="")),"违规：必须先完成第二批",IF(OR(H80&lt;=0,H80&lt;&gt;INT(H80),MOD(H80,100)&lt;&gt;0,AND(AL80&lt;&gt;"",OR(AL80&lt;=0,AL80&lt;&gt;INT(AL80),MOD(AL80,100)&lt;&gt;0)),AND(AN80&lt;&gt;"",OR(AN80&lt;=0,AN80&lt;&gt;INT(AN80),MOD(AN80,100)&lt;&gt;0))),"违规：股数须为100股整数倍",IF(AND(OR(AL80&lt;&gt;"",AN80&lt;&gt;""),OR(_LockStatus="已锁仓",_LockStatus="解锁信息不完整")),"违规：锁仓期间禁止加仓",IF(AQ80&gt;C80*D80,"违规：超过单笔风险上限",IF(SUM($AQ$2:$AQ$201)&gt;账户数据!$B$7,"违规：超过账户风险上限","通过")))))))))</f>
        <v/>
      </c>
    </row>
    <row r="81" ht="17" spans="1:44">
      <c r="A81" s="2"/>
      <c r="B81" s="2"/>
      <c r="C81" s="10"/>
      <c r="D81" s="6"/>
      <c r="E81" s="10"/>
      <c r="F81" s="8" t="str">
        <f t="shared" si="24"/>
        <v/>
      </c>
      <c r="G81" s="8" t="str">
        <f ca="1"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COUNTIFS(持仓跟踪!$A$2:$A$497,"止损计划",持仓跟踪!$B$2:$B$497,A81,持仓跟踪!$AC$2:$AC$497,"计划有效")=0,"禁止开仓：请先填写止损计划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1" s="2"/>
      <c r="I81" s="15"/>
      <c r="J81" s="10"/>
      <c r="K81" s="10"/>
      <c r="L81" s="8" t="str">
        <f t="shared" si="25"/>
        <v/>
      </c>
      <c r="M81" s="15"/>
      <c r="N81" s="10"/>
      <c r="O81" s="10"/>
      <c r="P81" s="10"/>
      <c r="Q81" s="2"/>
      <c r="R81" s="2"/>
      <c r="S81" s="2"/>
      <c r="T81" s="2"/>
      <c r="U81" s="7" t="str">
        <f t="shared" si="26"/>
        <v/>
      </c>
      <c r="V81" s="7" t="str">
        <f t="shared" si="27"/>
        <v/>
      </c>
      <c r="W81" s="22" t="str">
        <f t="shared" si="28"/>
        <v/>
      </c>
      <c r="X81" s="5" t="str">
        <f t="shared" si="29"/>
        <v/>
      </c>
      <c r="Y81" s="7" t="str">
        <f t="shared" si="30"/>
        <v/>
      </c>
      <c r="Z81" s="7" t="str">
        <f>IF(OR(AE81="",多次统计数据!$B$8=""),"",AE81-多次统计数据!$B$8)</f>
        <v/>
      </c>
      <c r="AA81" s="11" t="str">
        <f t="shared" si="31"/>
        <v/>
      </c>
      <c r="AB81" s="7" t="str">
        <f>IF(OR(A81="",多次统计数据!$B$8="",多次统计数据!$B$6&lt;=0,多次统计数据!$B$6&gt;=1),"",1-POWER(1+多次统计数据!$B$8,-多次统计数据!$B$6/(1-多次统计数据!$B$6)))</f>
        <v/>
      </c>
      <c r="AC81" s="8" t="str">
        <f>IF(OR(AB81="",多次统计数据!$B$9=""),"",IF(多次统计数据!$B$9&lt;AB81,"低于上限","达到或超过上限"))</f>
        <v/>
      </c>
      <c r="AD81" s="2"/>
      <c r="AE81" s="7" t="str">
        <f t="shared" si="32"/>
        <v/>
      </c>
      <c r="AG81" s="2"/>
      <c r="AH81" s="2"/>
      <c r="AI81" s="2"/>
      <c r="AJ81" s="8" t="str">
        <f t="shared" si="33"/>
        <v/>
      </c>
      <c r="AK81" s="10"/>
      <c r="AL81" s="12"/>
      <c r="AM81" s="10"/>
      <c r="AN81" s="12"/>
      <c r="AO81" s="5" t="str">
        <f t="shared" si="34"/>
        <v/>
      </c>
      <c r="AP81" s="11" t="str">
        <f t="shared" si="35"/>
        <v/>
      </c>
      <c r="AQ81" s="5" t="str">
        <f>IF(A81="","",IF(M81&lt;&gt;"",0,IF(OR(H81="",N81=""),"",MAX(E81-MAX(N81,IFERROR(SUMPRODUCT(MAX(((持仓跟踪!$A$2:$A$497="每日跟踪")*(持仓跟踪!$B$2:$B$497=A81))*持仓跟踪!$S$2:$S$497)),0)),0)*H81+IF(OR(AK81="",AL81=""),0,MAX(AK81-MAX(N81,IFERROR(SUMPRODUCT(MAX(((持仓跟踪!$A$2:$A$497="每日跟踪")*(持仓跟踪!$B$2:$B$497=A81))*持仓跟踪!$S$2:$S$497)),0)),0)*AL81)+IF(OR(AM81="",AN81=""),0,MAX(AM81-MAX(N81,IFERROR(SUMPRODUCT(MAX(((持仓跟踪!$A$2:$A$497="每日跟踪")*(持仓跟踪!$B$2:$B$497=A81))*持仓跟踪!$S$2:$S$497)),0)),0)*AN81))))</f>
        <v/>
      </c>
      <c r="AR81" s="8" t="str">
        <f ca="1">IF(A81="","",IF(OR(E81="",H81=""),"违规：第一批价格或股数缺失",IF(OR(AND(AK81="",AL81&lt;&gt;""),AND(AK81&lt;&gt;"",AL81="")),"违规：第二批价格与股数须成对填写",IF(OR(AND(AM81="",AN81&lt;&gt;""),AND(AM81&lt;&gt;"",AN81="")),"违规：第三批价格与股数须成对填写",IF(AND(OR(AM81&lt;&gt;"",AN81&lt;&gt;""),OR(AK81="",AL81="")),"违规：必须先完成第二批",IF(OR(H81&lt;=0,H81&lt;&gt;INT(H81),MOD(H81,100)&lt;&gt;0,AND(AL81&lt;&gt;"",OR(AL81&lt;=0,AL81&lt;&gt;INT(AL81),MOD(AL81,100)&lt;&gt;0)),AND(AN81&lt;&gt;"",OR(AN81&lt;=0,AN81&lt;&gt;INT(AN81),MOD(AN81,100)&lt;&gt;0))),"违规：股数须为100股整数倍",IF(AND(OR(AL81&lt;&gt;"",AN81&lt;&gt;""),OR(_LockStatus="已锁仓",_LockStatus="解锁信息不完整")),"违规：锁仓期间禁止加仓",IF(AQ81&gt;C81*D81,"违规：超过单笔风险上限",IF(SUM($AQ$2:$AQ$201)&gt;账户数据!$B$7,"违规：超过账户风险上限","通过")))))))))</f>
        <v/>
      </c>
    </row>
    <row r="82" ht="17" spans="1:44">
      <c r="A82" s="2"/>
      <c r="B82" s="2"/>
      <c r="C82" s="10"/>
      <c r="D82" s="6"/>
      <c r="E82" s="10"/>
      <c r="F82" s="8" t="str">
        <f t="shared" si="24"/>
        <v/>
      </c>
      <c r="G82" s="8" t="str">
        <f ca="1"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COUNTIFS(持仓跟踪!$A$2:$A$497,"止损计划",持仓跟踪!$B$2:$B$497,A82,持仓跟踪!$AC$2:$AC$497,"计划有效")=0,"禁止开仓：请先填写止损计划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2" s="2"/>
      <c r="I82" s="15"/>
      <c r="J82" s="10"/>
      <c r="K82" s="10"/>
      <c r="L82" s="8" t="str">
        <f t="shared" si="25"/>
        <v/>
      </c>
      <c r="M82" s="15"/>
      <c r="N82" s="10"/>
      <c r="O82" s="10"/>
      <c r="P82" s="10"/>
      <c r="Q82" s="2"/>
      <c r="R82" s="2"/>
      <c r="S82" s="2"/>
      <c r="T82" s="2"/>
      <c r="U82" s="7" t="str">
        <f t="shared" si="26"/>
        <v/>
      </c>
      <c r="V82" s="7" t="str">
        <f t="shared" si="27"/>
        <v/>
      </c>
      <c r="W82" s="22" t="str">
        <f t="shared" si="28"/>
        <v/>
      </c>
      <c r="X82" s="5" t="str">
        <f t="shared" si="29"/>
        <v/>
      </c>
      <c r="Y82" s="7" t="str">
        <f t="shared" si="30"/>
        <v/>
      </c>
      <c r="Z82" s="7" t="str">
        <f>IF(OR(AE82="",多次统计数据!$B$8=""),"",AE82-多次统计数据!$B$8)</f>
        <v/>
      </c>
      <c r="AA82" s="11" t="str">
        <f t="shared" si="31"/>
        <v/>
      </c>
      <c r="AB82" s="7" t="str">
        <f>IF(OR(A82="",多次统计数据!$B$8="",多次统计数据!$B$6&lt;=0,多次统计数据!$B$6&gt;=1),"",1-POWER(1+多次统计数据!$B$8,-多次统计数据!$B$6/(1-多次统计数据!$B$6)))</f>
        <v/>
      </c>
      <c r="AC82" s="8" t="str">
        <f>IF(OR(AB82="",多次统计数据!$B$9=""),"",IF(多次统计数据!$B$9&lt;AB82,"低于上限","达到或超过上限"))</f>
        <v/>
      </c>
      <c r="AD82" s="2"/>
      <c r="AE82" s="7" t="str">
        <f t="shared" si="32"/>
        <v/>
      </c>
      <c r="AG82" s="2"/>
      <c r="AH82" s="2"/>
      <c r="AI82" s="2"/>
      <c r="AJ82" s="8" t="str">
        <f t="shared" si="33"/>
        <v/>
      </c>
      <c r="AK82" s="10"/>
      <c r="AL82" s="12"/>
      <c r="AM82" s="10"/>
      <c r="AN82" s="12"/>
      <c r="AO82" s="5" t="str">
        <f t="shared" si="34"/>
        <v/>
      </c>
      <c r="AP82" s="11" t="str">
        <f t="shared" si="35"/>
        <v/>
      </c>
      <c r="AQ82" s="5" t="str">
        <f>IF(A82="","",IF(M82&lt;&gt;"",0,IF(OR(H82="",N82=""),"",MAX(E82-MAX(N82,IFERROR(SUMPRODUCT(MAX(((持仓跟踪!$A$2:$A$497="每日跟踪")*(持仓跟踪!$B$2:$B$497=A82))*持仓跟踪!$S$2:$S$497)),0)),0)*H82+IF(OR(AK82="",AL82=""),0,MAX(AK82-MAX(N82,IFERROR(SUMPRODUCT(MAX(((持仓跟踪!$A$2:$A$497="每日跟踪")*(持仓跟踪!$B$2:$B$497=A82))*持仓跟踪!$S$2:$S$497)),0)),0)*AL82)+IF(OR(AM82="",AN82=""),0,MAX(AM82-MAX(N82,IFERROR(SUMPRODUCT(MAX(((持仓跟踪!$A$2:$A$497="每日跟踪")*(持仓跟踪!$B$2:$B$497=A82))*持仓跟踪!$S$2:$S$497)),0)),0)*AN82))))</f>
        <v/>
      </c>
      <c r="AR82" s="8" t="str">
        <f ca="1">IF(A82="","",IF(OR(E82="",H82=""),"违规：第一批价格或股数缺失",IF(OR(AND(AK82="",AL82&lt;&gt;""),AND(AK82&lt;&gt;"",AL82="")),"违规：第二批价格与股数须成对填写",IF(OR(AND(AM82="",AN82&lt;&gt;""),AND(AM82&lt;&gt;"",AN82="")),"违规：第三批价格与股数须成对填写",IF(AND(OR(AM82&lt;&gt;"",AN82&lt;&gt;""),OR(AK82="",AL82="")),"违规：必须先完成第二批",IF(OR(H82&lt;=0,H82&lt;&gt;INT(H82),MOD(H82,100)&lt;&gt;0,AND(AL82&lt;&gt;"",OR(AL82&lt;=0,AL82&lt;&gt;INT(AL82),MOD(AL82,100)&lt;&gt;0)),AND(AN82&lt;&gt;"",OR(AN82&lt;=0,AN82&lt;&gt;INT(AN82),MOD(AN82,100)&lt;&gt;0))),"违规：股数须为100股整数倍",IF(AND(OR(AL82&lt;&gt;"",AN82&lt;&gt;""),OR(_LockStatus="已锁仓",_LockStatus="解锁信息不完整")),"违规：锁仓期间禁止加仓",IF(AQ82&gt;C82*D82,"违规：超过单笔风险上限",IF(SUM($AQ$2:$AQ$201)&gt;账户数据!$B$7,"违规：超过账户风险上限","通过")))))))))</f>
        <v/>
      </c>
    </row>
    <row r="83" ht="17" spans="1:44">
      <c r="A83" s="2"/>
      <c r="B83" s="2"/>
      <c r="C83" s="10"/>
      <c r="D83" s="6"/>
      <c r="E83" s="10"/>
      <c r="F83" s="8" t="str">
        <f t="shared" si="24"/>
        <v/>
      </c>
      <c r="G83" s="8" t="str">
        <f ca="1"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COUNTIFS(持仓跟踪!$A$2:$A$497,"止损计划",持仓跟踪!$B$2:$B$497,A83,持仓跟踪!$AC$2:$AC$497,"计划有效")=0,"禁止开仓：请先填写止损计划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3" s="2"/>
      <c r="I83" s="15"/>
      <c r="J83" s="10"/>
      <c r="K83" s="10"/>
      <c r="L83" s="8" t="str">
        <f t="shared" si="25"/>
        <v/>
      </c>
      <c r="M83" s="15"/>
      <c r="N83" s="10"/>
      <c r="O83" s="10"/>
      <c r="P83" s="10"/>
      <c r="Q83" s="2"/>
      <c r="R83" s="2"/>
      <c r="S83" s="2"/>
      <c r="T83" s="2"/>
      <c r="U83" s="7" t="str">
        <f t="shared" si="26"/>
        <v/>
      </c>
      <c r="V83" s="7" t="str">
        <f t="shared" si="27"/>
        <v/>
      </c>
      <c r="W83" s="22" t="str">
        <f t="shared" si="28"/>
        <v/>
      </c>
      <c r="X83" s="5" t="str">
        <f t="shared" si="29"/>
        <v/>
      </c>
      <c r="Y83" s="7" t="str">
        <f t="shared" si="30"/>
        <v/>
      </c>
      <c r="Z83" s="7" t="str">
        <f>IF(OR(AE83="",多次统计数据!$B$8=""),"",AE83-多次统计数据!$B$8)</f>
        <v/>
      </c>
      <c r="AA83" s="11" t="str">
        <f t="shared" si="31"/>
        <v/>
      </c>
      <c r="AB83" s="7" t="str">
        <f>IF(OR(A83="",多次统计数据!$B$8="",多次统计数据!$B$6&lt;=0,多次统计数据!$B$6&gt;=1),"",1-POWER(1+多次统计数据!$B$8,-多次统计数据!$B$6/(1-多次统计数据!$B$6)))</f>
        <v/>
      </c>
      <c r="AC83" s="8" t="str">
        <f>IF(OR(AB83="",多次统计数据!$B$9=""),"",IF(多次统计数据!$B$9&lt;AB83,"低于上限","达到或超过上限"))</f>
        <v/>
      </c>
      <c r="AD83" s="2"/>
      <c r="AE83" s="7" t="str">
        <f t="shared" si="32"/>
        <v/>
      </c>
      <c r="AG83" s="2"/>
      <c r="AH83" s="2"/>
      <c r="AI83" s="2"/>
      <c r="AJ83" s="8" t="str">
        <f t="shared" si="33"/>
        <v/>
      </c>
      <c r="AK83" s="10"/>
      <c r="AL83" s="12"/>
      <c r="AM83" s="10"/>
      <c r="AN83" s="12"/>
      <c r="AO83" s="5" t="str">
        <f t="shared" si="34"/>
        <v/>
      </c>
      <c r="AP83" s="11" t="str">
        <f t="shared" si="35"/>
        <v/>
      </c>
      <c r="AQ83" s="5" t="str">
        <f>IF(A83="","",IF(M83&lt;&gt;"",0,IF(OR(H83="",N83=""),"",MAX(E83-MAX(N83,IFERROR(SUMPRODUCT(MAX(((持仓跟踪!$A$2:$A$497="每日跟踪")*(持仓跟踪!$B$2:$B$497=A83))*持仓跟踪!$S$2:$S$497)),0)),0)*H83+IF(OR(AK83="",AL83=""),0,MAX(AK83-MAX(N83,IFERROR(SUMPRODUCT(MAX(((持仓跟踪!$A$2:$A$497="每日跟踪")*(持仓跟踪!$B$2:$B$497=A83))*持仓跟踪!$S$2:$S$497)),0)),0)*AL83)+IF(OR(AM83="",AN83=""),0,MAX(AM83-MAX(N83,IFERROR(SUMPRODUCT(MAX(((持仓跟踪!$A$2:$A$497="每日跟踪")*(持仓跟踪!$B$2:$B$497=A83))*持仓跟踪!$S$2:$S$497)),0)),0)*AN83))))</f>
        <v/>
      </c>
      <c r="AR83" s="8" t="str">
        <f ca="1">IF(A83="","",IF(OR(E83="",H83=""),"违规：第一批价格或股数缺失",IF(OR(AND(AK83="",AL83&lt;&gt;""),AND(AK83&lt;&gt;"",AL83="")),"违规：第二批价格与股数须成对填写",IF(OR(AND(AM83="",AN83&lt;&gt;""),AND(AM83&lt;&gt;"",AN83="")),"违规：第三批价格与股数须成对填写",IF(AND(OR(AM83&lt;&gt;"",AN83&lt;&gt;""),OR(AK83="",AL83="")),"违规：必须先完成第二批",IF(OR(H83&lt;=0,H83&lt;&gt;INT(H83),MOD(H83,100)&lt;&gt;0,AND(AL83&lt;&gt;"",OR(AL83&lt;=0,AL83&lt;&gt;INT(AL83),MOD(AL83,100)&lt;&gt;0)),AND(AN83&lt;&gt;"",OR(AN83&lt;=0,AN83&lt;&gt;INT(AN83),MOD(AN83,100)&lt;&gt;0))),"违规：股数须为100股整数倍",IF(AND(OR(AL83&lt;&gt;"",AN83&lt;&gt;""),OR(_LockStatus="已锁仓",_LockStatus="解锁信息不完整")),"违规：锁仓期间禁止加仓",IF(AQ83&gt;C83*D83,"违规：超过单笔风险上限",IF(SUM($AQ$2:$AQ$201)&gt;账户数据!$B$7,"违规：超过账户风险上限","通过")))))))))</f>
        <v/>
      </c>
    </row>
    <row r="84" ht="17" spans="1:44">
      <c r="A84" s="2"/>
      <c r="B84" s="2"/>
      <c r="C84" s="10"/>
      <c r="D84" s="6"/>
      <c r="E84" s="10"/>
      <c r="F84" s="8" t="str">
        <f t="shared" si="24"/>
        <v/>
      </c>
      <c r="G84" s="8" t="str">
        <f ca="1"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COUNTIFS(持仓跟踪!$A$2:$A$497,"止损计划",持仓跟踪!$B$2:$B$497,A84,持仓跟踪!$AC$2:$AC$497,"计划有效")=0,"禁止开仓：请先填写止损计划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4" s="2"/>
      <c r="I84" s="15"/>
      <c r="J84" s="10"/>
      <c r="K84" s="10"/>
      <c r="L84" s="8" t="str">
        <f t="shared" si="25"/>
        <v/>
      </c>
      <c r="M84" s="15"/>
      <c r="N84" s="10"/>
      <c r="O84" s="10"/>
      <c r="P84" s="10"/>
      <c r="Q84" s="2"/>
      <c r="R84" s="2"/>
      <c r="S84" s="2"/>
      <c r="T84" s="2"/>
      <c r="U84" s="7" t="str">
        <f t="shared" si="26"/>
        <v/>
      </c>
      <c r="V84" s="7" t="str">
        <f t="shared" si="27"/>
        <v/>
      </c>
      <c r="W84" s="22" t="str">
        <f t="shared" si="28"/>
        <v/>
      </c>
      <c r="X84" s="5" t="str">
        <f t="shared" si="29"/>
        <v/>
      </c>
      <c r="Y84" s="7" t="str">
        <f t="shared" si="30"/>
        <v/>
      </c>
      <c r="Z84" s="7" t="str">
        <f>IF(OR(AE84="",多次统计数据!$B$8=""),"",AE84-多次统计数据!$B$8)</f>
        <v/>
      </c>
      <c r="AA84" s="11" t="str">
        <f t="shared" si="31"/>
        <v/>
      </c>
      <c r="AB84" s="7" t="str">
        <f>IF(OR(A84="",多次统计数据!$B$8="",多次统计数据!$B$6&lt;=0,多次统计数据!$B$6&gt;=1),"",1-POWER(1+多次统计数据!$B$8,-多次统计数据!$B$6/(1-多次统计数据!$B$6)))</f>
        <v/>
      </c>
      <c r="AC84" s="8" t="str">
        <f>IF(OR(AB84="",多次统计数据!$B$9=""),"",IF(多次统计数据!$B$9&lt;AB84,"低于上限","达到或超过上限"))</f>
        <v/>
      </c>
      <c r="AD84" s="2"/>
      <c r="AE84" s="7" t="str">
        <f t="shared" si="32"/>
        <v/>
      </c>
      <c r="AG84" s="2"/>
      <c r="AH84" s="2"/>
      <c r="AI84" s="2"/>
      <c r="AJ84" s="8" t="str">
        <f t="shared" si="33"/>
        <v/>
      </c>
      <c r="AK84" s="10"/>
      <c r="AL84" s="12"/>
      <c r="AM84" s="10"/>
      <c r="AN84" s="12"/>
      <c r="AO84" s="5" t="str">
        <f t="shared" si="34"/>
        <v/>
      </c>
      <c r="AP84" s="11" t="str">
        <f t="shared" si="35"/>
        <v/>
      </c>
      <c r="AQ84" s="5" t="str">
        <f>IF(A84="","",IF(M84&lt;&gt;"",0,IF(OR(H84="",N84=""),"",MAX(E84-MAX(N84,IFERROR(SUMPRODUCT(MAX(((持仓跟踪!$A$2:$A$497="每日跟踪")*(持仓跟踪!$B$2:$B$497=A84))*持仓跟踪!$S$2:$S$497)),0)),0)*H84+IF(OR(AK84="",AL84=""),0,MAX(AK84-MAX(N84,IFERROR(SUMPRODUCT(MAX(((持仓跟踪!$A$2:$A$497="每日跟踪")*(持仓跟踪!$B$2:$B$497=A84))*持仓跟踪!$S$2:$S$497)),0)),0)*AL84)+IF(OR(AM84="",AN84=""),0,MAX(AM84-MAX(N84,IFERROR(SUMPRODUCT(MAX(((持仓跟踪!$A$2:$A$497="每日跟踪")*(持仓跟踪!$B$2:$B$497=A84))*持仓跟踪!$S$2:$S$497)),0)),0)*AN84))))</f>
        <v/>
      </c>
      <c r="AR84" s="8" t="str">
        <f ca="1">IF(A84="","",IF(OR(E84="",H84=""),"违规：第一批价格或股数缺失",IF(OR(AND(AK84="",AL84&lt;&gt;""),AND(AK84&lt;&gt;"",AL84="")),"违规：第二批价格与股数须成对填写",IF(OR(AND(AM84="",AN84&lt;&gt;""),AND(AM84&lt;&gt;"",AN84="")),"违规：第三批价格与股数须成对填写",IF(AND(OR(AM84&lt;&gt;"",AN84&lt;&gt;""),OR(AK84="",AL84="")),"违规：必须先完成第二批",IF(OR(H84&lt;=0,H84&lt;&gt;INT(H84),MOD(H84,100)&lt;&gt;0,AND(AL84&lt;&gt;"",OR(AL84&lt;=0,AL84&lt;&gt;INT(AL84),MOD(AL84,100)&lt;&gt;0)),AND(AN84&lt;&gt;"",OR(AN84&lt;=0,AN84&lt;&gt;INT(AN84),MOD(AN84,100)&lt;&gt;0))),"违规：股数须为100股整数倍",IF(AND(OR(AL84&lt;&gt;"",AN84&lt;&gt;""),OR(_LockStatus="已锁仓",_LockStatus="解锁信息不完整")),"违规：锁仓期间禁止加仓",IF(AQ84&gt;C84*D84,"违规：超过单笔风险上限",IF(SUM($AQ$2:$AQ$201)&gt;账户数据!$B$7,"违规：超过账户风险上限","通过")))))))))</f>
        <v/>
      </c>
    </row>
    <row r="85" ht="17" spans="1:44">
      <c r="A85" s="2"/>
      <c r="B85" s="2"/>
      <c r="C85" s="10"/>
      <c r="D85" s="6"/>
      <c r="E85" s="10"/>
      <c r="F85" s="8" t="str">
        <f t="shared" si="24"/>
        <v/>
      </c>
      <c r="G85" s="8" t="str">
        <f ca="1"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COUNTIFS(持仓跟踪!$A$2:$A$497,"止损计划",持仓跟踪!$B$2:$B$497,A85,持仓跟踪!$AC$2:$AC$497,"计划有效")=0,"禁止开仓：请先填写止损计划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5" s="2"/>
      <c r="I85" s="15"/>
      <c r="J85" s="10"/>
      <c r="K85" s="10"/>
      <c r="L85" s="8" t="str">
        <f t="shared" si="25"/>
        <v/>
      </c>
      <c r="M85" s="15"/>
      <c r="N85" s="10"/>
      <c r="O85" s="10"/>
      <c r="P85" s="10"/>
      <c r="Q85" s="2"/>
      <c r="R85" s="2"/>
      <c r="S85" s="2"/>
      <c r="T85" s="2"/>
      <c r="U85" s="7" t="str">
        <f t="shared" si="26"/>
        <v/>
      </c>
      <c r="V85" s="7" t="str">
        <f t="shared" si="27"/>
        <v/>
      </c>
      <c r="W85" s="22" t="str">
        <f t="shared" si="28"/>
        <v/>
      </c>
      <c r="X85" s="5" t="str">
        <f t="shared" si="29"/>
        <v/>
      </c>
      <c r="Y85" s="7" t="str">
        <f t="shared" si="30"/>
        <v/>
      </c>
      <c r="Z85" s="7" t="str">
        <f>IF(OR(AE85="",多次统计数据!$B$8=""),"",AE85-多次统计数据!$B$8)</f>
        <v/>
      </c>
      <c r="AA85" s="11" t="str">
        <f t="shared" si="31"/>
        <v/>
      </c>
      <c r="AB85" s="7" t="str">
        <f>IF(OR(A85="",多次统计数据!$B$8="",多次统计数据!$B$6&lt;=0,多次统计数据!$B$6&gt;=1),"",1-POWER(1+多次统计数据!$B$8,-多次统计数据!$B$6/(1-多次统计数据!$B$6)))</f>
        <v/>
      </c>
      <c r="AC85" s="8" t="str">
        <f>IF(OR(AB85="",多次统计数据!$B$9=""),"",IF(多次统计数据!$B$9&lt;AB85,"低于上限","达到或超过上限"))</f>
        <v/>
      </c>
      <c r="AD85" s="2"/>
      <c r="AE85" s="7" t="str">
        <f t="shared" si="32"/>
        <v/>
      </c>
      <c r="AG85" s="2"/>
      <c r="AH85" s="2"/>
      <c r="AI85" s="2"/>
      <c r="AJ85" s="8" t="str">
        <f t="shared" si="33"/>
        <v/>
      </c>
      <c r="AK85" s="10"/>
      <c r="AL85" s="12"/>
      <c r="AM85" s="10"/>
      <c r="AN85" s="12"/>
      <c r="AO85" s="5" t="str">
        <f t="shared" si="34"/>
        <v/>
      </c>
      <c r="AP85" s="11" t="str">
        <f t="shared" si="35"/>
        <v/>
      </c>
      <c r="AQ85" s="5" t="str">
        <f>IF(A85="","",IF(M85&lt;&gt;"",0,IF(OR(H85="",N85=""),"",MAX(E85-MAX(N85,IFERROR(SUMPRODUCT(MAX(((持仓跟踪!$A$2:$A$497="每日跟踪")*(持仓跟踪!$B$2:$B$497=A85))*持仓跟踪!$S$2:$S$497)),0)),0)*H85+IF(OR(AK85="",AL85=""),0,MAX(AK85-MAX(N85,IFERROR(SUMPRODUCT(MAX(((持仓跟踪!$A$2:$A$497="每日跟踪")*(持仓跟踪!$B$2:$B$497=A85))*持仓跟踪!$S$2:$S$497)),0)),0)*AL85)+IF(OR(AM85="",AN85=""),0,MAX(AM85-MAX(N85,IFERROR(SUMPRODUCT(MAX(((持仓跟踪!$A$2:$A$497="每日跟踪")*(持仓跟踪!$B$2:$B$497=A85))*持仓跟踪!$S$2:$S$497)),0)),0)*AN85))))</f>
        <v/>
      </c>
      <c r="AR85" s="8" t="str">
        <f ca="1">IF(A85="","",IF(OR(E85="",H85=""),"违规：第一批价格或股数缺失",IF(OR(AND(AK85="",AL85&lt;&gt;""),AND(AK85&lt;&gt;"",AL85="")),"违规：第二批价格与股数须成对填写",IF(OR(AND(AM85="",AN85&lt;&gt;""),AND(AM85&lt;&gt;"",AN85="")),"违规：第三批价格与股数须成对填写",IF(AND(OR(AM85&lt;&gt;"",AN85&lt;&gt;""),OR(AK85="",AL85="")),"违规：必须先完成第二批",IF(OR(H85&lt;=0,H85&lt;&gt;INT(H85),MOD(H85,100)&lt;&gt;0,AND(AL85&lt;&gt;"",OR(AL85&lt;=0,AL85&lt;&gt;INT(AL85),MOD(AL85,100)&lt;&gt;0)),AND(AN85&lt;&gt;"",OR(AN85&lt;=0,AN85&lt;&gt;INT(AN85),MOD(AN85,100)&lt;&gt;0))),"违规：股数须为100股整数倍",IF(AND(OR(AL85&lt;&gt;"",AN85&lt;&gt;""),OR(_LockStatus="已锁仓",_LockStatus="解锁信息不完整")),"违规：锁仓期间禁止加仓",IF(AQ85&gt;C85*D85,"违规：超过单笔风险上限",IF(SUM($AQ$2:$AQ$201)&gt;账户数据!$B$7,"违规：超过账户风险上限","通过")))))))))</f>
        <v/>
      </c>
    </row>
    <row r="86" ht="17" spans="1:44">
      <c r="A86" s="2"/>
      <c r="B86" s="2"/>
      <c r="C86" s="10"/>
      <c r="D86" s="6"/>
      <c r="E86" s="10"/>
      <c r="F86" s="8" t="str">
        <f t="shared" si="24"/>
        <v/>
      </c>
      <c r="G86" s="8" t="str">
        <f ca="1"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COUNTIFS(持仓跟踪!$A$2:$A$497,"止损计划",持仓跟踪!$B$2:$B$497,A86,持仓跟踪!$AC$2:$AC$497,"计划有效")=0,"禁止开仓：请先填写止损计划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6" s="2"/>
      <c r="I86" s="15"/>
      <c r="J86" s="10"/>
      <c r="K86" s="10"/>
      <c r="L86" s="8" t="str">
        <f t="shared" si="25"/>
        <v/>
      </c>
      <c r="M86" s="15"/>
      <c r="N86" s="10"/>
      <c r="O86" s="10"/>
      <c r="P86" s="10"/>
      <c r="Q86" s="2"/>
      <c r="R86" s="2"/>
      <c r="S86" s="2"/>
      <c r="T86" s="2"/>
      <c r="U86" s="7" t="str">
        <f t="shared" si="26"/>
        <v/>
      </c>
      <c r="V86" s="7" t="str">
        <f t="shared" si="27"/>
        <v/>
      </c>
      <c r="W86" s="22" t="str">
        <f t="shared" si="28"/>
        <v/>
      </c>
      <c r="X86" s="5" t="str">
        <f t="shared" si="29"/>
        <v/>
      </c>
      <c r="Y86" s="7" t="str">
        <f t="shared" si="30"/>
        <v/>
      </c>
      <c r="Z86" s="7" t="str">
        <f>IF(OR(AE86="",多次统计数据!$B$8=""),"",AE86-多次统计数据!$B$8)</f>
        <v/>
      </c>
      <c r="AA86" s="11" t="str">
        <f t="shared" si="31"/>
        <v/>
      </c>
      <c r="AB86" s="7" t="str">
        <f>IF(OR(A86="",多次统计数据!$B$8="",多次统计数据!$B$6&lt;=0,多次统计数据!$B$6&gt;=1),"",1-POWER(1+多次统计数据!$B$8,-多次统计数据!$B$6/(1-多次统计数据!$B$6)))</f>
        <v/>
      </c>
      <c r="AC86" s="8" t="str">
        <f>IF(OR(AB86="",多次统计数据!$B$9=""),"",IF(多次统计数据!$B$9&lt;AB86,"低于上限","达到或超过上限"))</f>
        <v/>
      </c>
      <c r="AD86" s="2"/>
      <c r="AE86" s="7" t="str">
        <f t="shared" si="32"/>
        <v/>
      </c>
      <c r="AG86" s="2"/>
      <c r="AH86" s="2"/>
      <c r="AI86" s="2"/>
      <c r="AJ86" s="8" t="str">
        <f t="shared" si="33"/>
        <v/>
      </c>
      <c r="AK86" s="10"/>
      <c r="AL86" s="12"/>
      <c r="AM86" s="10"/>
      <c r="AN86" s="12"/>
      <c r="AO86" s="5" t="str">
        <f t="shared" si="34"/>
        <v/>
      </c>
      <c r="AP86" s="11" t="str">
        <f t="shared" si="35"/>
        <v/>
      </c>
      <c r="AQ86" s="5" t="str">
        <f>IF(A86="","",IF(M86&lt;&gt;"",0,IF(OR(H86="",N86=""),"",MAX(E86-MAX(N86,IFERROR(SUMPRODUCT(MAX(((持仓跟踪!$A$2:$A$497="每日跟踪")*(持仓跟踪!$B$2:$B$497=A86))*持仓跟踪!$S$2:$S$497)),0)),0)*H86+IF(OR(AK86="",AL86=""),0,MAX(AK86-MAX(N86,IFERROR(SUMPRODUCT(MAX(((持仓跟踪!$A$2:$A$497="每日跟踪")*(持仓跟踪!$B$2:$B$497=A86))*持仓跟踪!$S$2:$S$497)),0)),0)*AL86)+IF(OR(AM86="",AN86=""),0,MAX(AM86-MAX(N86,IFERROR(SUMPRODUCT(MAX(((持仓跟踪!$A$2:$A$497="每日跟踪")*(持仓跟踪!$B$2:$B$497=A86))*持仓跟踪!$S$2:$S$497)),0)),0)*AN86))))</f>
        <v/>
      </c>
      <c r="AR86" s="8" t="str">
        <f ca="1">IF(A86="","",IF(OR(E86="",H86=""),"违规：第一批价格或股数缺失",IF(OR(AND(AK86="",AL86&lt;&gt;""),AND(AK86&lt;&gt;"",AL86="")),"违规：第二批价格与股数须成对填写",IF(OR(AND(AM86="",AN86&lt;&gt;""),AND(AM86&lt;&gt;"",AN86="")),"违规：第三批价格与股数须成对填写",IF(AND(OR(AM86&lt;&gt;"",AN86&lt;&gt;""),OR(AK86="",AL86="")),"违规：必须先完成第二批",IF(OR(H86&lt;=0,H86&lt;&gt;INT(H86),MOD(H86,100)&lt;&gt;0,AND(AL86&lt;&gt;"",OR(AL86&lt;=0,AL86&lt;&gt;INT(AL86),MOD(AL86,100)&lt;&gt;0)),AND(AN86&lt;&gt;"",OR(AN86&lt;=0,AN86&lt;&gt;INT(AN86),MOD(AN86,100)&lt;&gt;0))),"违规：股数须为100股整数倍",IF(AND(OR(AL86&lt;&gt;"",AN86&lt;&gt;""),OR(_LockStatus="已锁仓",_LockStatus="解锁信息不完整")),"违规：锁仓期间禁止加仓",IF(AQ86&gt;C86*D86,"违规：超过单笔风险上限",IF(SUM($AQ$2:$AQ$201)&gt;账户数据!$B$7,"违规：超过账户风险上限","通过")))))))))</f>
        <v/>
      </c>
    </row>
    <row r="87" ht="17" spans="1:44">
      <c r="A87" s="2"/>
      <c r="B87" s="2"/>
      <c r="C87" s="10"/>
      <c r="D87" s="6"/>
      <c r="E87" s="10"/>
      <c r="F87" s="8" t="str">
        <f t="shared" si="24"/>
        <v/>
      </c>
      <c r="G87" s="8" t="str">
        <f ca="1"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COUNTIFS(持仓跟踪!$A$2:$A$497,"止损计划",持仓跟踪!$B$2:$B$497,A87,持仓跟踪!$AC$2:$AC$497,"计划有效")=0,"禁止开仓：请先填写止损计划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7" s="2"/>
      <c r="I87" s="15"/>
      <c r="J87" s="10"/>
      <c r="K87" s="10"/>
      <c r="L87" s="8" t="str">
        <f t="shared" si="25"/>
        <v/>
      </c>
      <c r="M87" s="15"/>
      <c r="N87" s="10"/>
      <c r="O87" s="10"/>
      <c r="P87" s="10"/>
      <c r="Q87" s="2"/>
      <c r="R87" s="2"/>
      <c r="S87" s="2"/>
      <c r="T87" s="2"/>
      <c r="U87" s="7" t="str">
        <f t="shared" si="26"/>
        <v/>
      </c>
      <c r="V87" s="7" t="str">
        <f t="shared" si="27"/>
        <v/>
      </c>
      <c r="W87" s="22" t="str">
        <f t="shared" si="28"/>
        <v/>
      </c>
      <c r="X87" s="5" t="str">
        <f t="shared" si="29"/>
        <v/>
      </c>
      <c r="Y87" s="7" t="str">
        <f t="shared" si="30"/>
        <v/>
      </c>
      <c r="Z87" s="7" t="str">
        <f>IF(OR(AE87="",多次统计数据!$B$8=""),"",AE87-多次统计数据!$B$8)</f>
        <v/>
      </c>
      <c r="AA87" s="11" t="str">
        <f t="shared" si="31"/>
        <v/>
      </c>
      <c r="AB87" s="7" t="str">
        <f>IF(OR(A87="",多次统计数据!$B$8="",多次统计数据!$B$6&lt;=0,多次统计数据!$B$6&gt;=1),"",1-POWER(1+多次统计数据!$B$8,-多次统计数据!$B$6/(1-多次统计数据!$B$6)))</f>
        <v/>
      </c>
      <c r="AC87" s="8" t="str">
        <f>IF(OR(AB87="",多次统计数据!$B$9=""),"",IF(多次统计数据!$B$9&lt;AB87,"低于上限","达到或超过上限"))</f>
        <v/>
      </c>
      <c r="AD87" s="2"/>
      <c r="AE87" s="7" t="str">
        <f t="shared" si="32"/>
        <v/>
      </c>
      <c r="AG87" s="2"/>
      <c r="AH87" s="2"/>
      <c r="AI87" s="2"/>
      <c r="AJ87" s="8" t="str">
        <f t="shared" si="33"/>
        <v/>
      </c>
      <c r="AK87" s="10"/>
      <c r="AL87" s="12"/>
      <c r="AM87" s="10"/>
      <c r="AN87" s="12"/>
      <c r="AO87" s="5" t="str">
        <f t="shared" si="34"/>
        <v/>
      </c>
      <c r="AP87" s="11" t="str">
        <f t="shared" si="35"/>
        <v/>
      </c>
      <c r="AQ87" s="5" t="str">
        <f>IF(A87="","",IF(M87&lt;&gt;"",0,IF(OR(H87="",N87=""),"",MAX(E87-MAX(N87,IFERROR(SUMPRODUCT(MAX(((持仓跟踪!$A$2:$A$497="每日跟踪")*(持仓跟踪!$B$2:$B$497=A87))*持仓跟踪!$S$2:$S$497)),0)),0)*H87+IF(OR(AK87="",AL87=""),0,MAX(AK87-MAX(N87,IFERROR(SUMPRODUCT(MAX(((持仓跟踪!$A$2:$A$497="每日跟踪")*(持仓跟踪!$B$2:$B$497=A87))*持仓跟踪!$S$2:$S$497)),0)),0)*AL87)+IF(OR(AM87="",AN87=""),0,MAX(AM87-MAX(N87,IFERROR(SUMPRODUCT(MAX(((持仓跟踪!$A$2:$A$497="每日跟踪")*(持仓跟踪!$B$2:$B$497=A87))*持仓跟踪!$S$2:$S$497)),0)),0)*AN87))))</f>
        <v/>
      </c>
      <c r="AR87" s="8" t="str">
        <f ca="1">IF(A87="","",IF(OR(E87="",H87=""),"违规：第一批价格或股数缺失",IF(OR(AND(AK87="",AL87&lt;&gt;""),AND(AK87&lt;&gt;"",AL87="")),"违规：第二批价格与股数须成对填写",IF(OR(AND(AM87="",AN87&lt;&gt;""),AND(AM87&lt;&gt;"",AN87="")),"违规：第三批价格与股数须成对填写",IF(AND(OR(AM87&lt;&gt;"",AN87&lt;&gt;""),OR(AK87="",AL87="")),"违规：必须先完成第二批",IF(OR(H87&lt;=0,H87&lt;&gt;INT(H87),MOD(H87,100)&lt;&gt;0,AND(AL87&lt;&gt;"",OR(AL87&lt;=0,AL87&lt;&gt;INT(AL87),MOD(AL87,100)&lt;&gt;0)),AND(AN87&lt;&gt;"",OR(AN87&lt;=0,AN87&lt;&gt;INT(AN87),MOD(AN87,100)&lt;&gt;0))),"违规：股数须为100股整数倍",IF(AND(OR(AL87&lt;&gt;"",AN87&lt;&gt;""),OR(_LockStatus="已锁仓",_LockStatus="解锁信息不完整")),"违规：锁仓期间禁止加仓",IF(AQ87&gt;C87*D87,"违规：超过单笔风险上限",IF(SUM($AQ$2:$AQ$201)&gt;账户数据!$B$7,"违规：超过账户风险上限","通过")))))))))</f>
        <v/>
      </c>
    </row>
    <row r="88" ht="17" spans="1:44">
      <c r="A88" s="2"/>
      <c r="B88" s="2"/>
      <c r="C88" s="10"/>
      <c r="D88" s="6"/>
      <c r="E88" s="10"/>
      <c r="F88" s="8" t="str">
        <f t="shared" si="24"/>
        <v/>
      </c>
      <c r="G88" s="8" t="str">
        <f ca="1"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COUNTIFS(持仓跟踪!$A$2:$A$497,"止损计划",持仓跟踪!$B$2:$B$497,A88,持仓跟踪!$AC$2:$AC$497,"计划有效")=0,"禁止开仓：请先填写止损计划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8" s="2"/>
      <c r="I88" s="15"/>
      <c r="J88" s="10"/>
      <c r="K88" s="10"/>
      <c r="L88" s="8" t="str">
        <f t="shared" si="25"/>
        <v/>
      </c>
      <c r="M88" s="15"/>
      <c r="N88" s="10"/>
      <c r="O88" s="10"/>
      <c r="P88" s="10"/>
      <c r="Q88" s="2"/>
      <c r="R88" s="2"/>
      <c r="S88" s="2"/>
      <c r="T88" s="2"/>
      <c r="U88" s="7" t="str">
        <f t="shared" si="26"/>
        <v/>
      </c>
      <c r="V88" s="7" t="str">
        <f t="shared" si="27"/>
        <v/>
      </c>
      <c r="W88" s="22" t="str">
        <f t="shared" si="28"/>
        <v/>
      </c>
      <c r="X88" s="5" t="str">
        <f t="shared" si="29"/>
        <v/>
      </c>
      <c r="Y88" s="7" t="str">
        <f t="shared" si="30"/>
        <v/>
      </c>
      <c r="Z88" s="7" t="str">
        <f>IF(OR(AE88="",多次统计数据!$B$8=""),"",AE88-多次统计数据!$B$8)</f>
        <v/>
      </c>
      <c r="AA88" s="11" t="str">
        <f t="shared" si="31"/>
        <v/>
      </c>
      <c r="AB88" s="7" t="str">
        <f>IF(OR(A88="",多次统计数据!$B$8="",多次统计数据!$B$6&lt;=0,多次统计数据!$B$6&gt;=1),"",1-POWER(1+多次统计数据!$B$8,-多次统计数据!$B$6/(1-多次统计数据!$B$6)))</f>
        <v/>
      </c>
      <c r="AC88" s="8" t="str">
        <f>IF(OR(AB88="",多次统计数据!$B$9=""),"",IF(多次统计数据!$B$9&lt;AB88,"低于上限","达到或超过上限"))</f>
        <v/>
      </c>
      <c r="AD88" s="2"/>
      <c r="AE88" s="7" t="str">
        <f t="shared" si="32"/>
        <v/>
      </c>
      <c r="AG88" s="2"/>
      <c r="AH88" s="2"/>
      <c r="AI88" s="2"/>
      <c r="AJ88" s="8" t="str">
        <f t="shared" si="33"/>
        <v/>
      </c>
      <c r="AK88" s="10"/>
      <c r="AL88" s="12"/>
      <c r="AM88" s="10"/>
      <c r="AN88" s="12"/>
      <c r="AO88" s="5" t="str">
        <f t="shared" si="34"/>
        <v/>
      </c>
      <c r="AP88" s="11" t="str">
        <f t="shared" si="35"/>
        <v/>
      </c>
      <c r="AQ88" s="5" t="str">
        <f>IF(A88="","",IF(M88&lt;&gt;"",0,IF(OR(H88="",N88=""),"",MAX(E88-MAX(N88,IFERROR(SUMPRODUCT(MAX(((持仓跟踪!$A$2:$A$497="每日跟踪")*(持仓跟踪!$B$2:$B$497=A88))*持仓跟踪!$S$2:$S$497)),0)),0)*H88+IF(OR(AK88="",AL88=""),0,MAX(AK88-MAX(N88,IFERROR(SUMPRODUCT(MAX(((持仓跟踪!$A$2:$A$497="每日跟踪")*(持仓跟踪!$B$2:$B$497=A88))*持仓跟踪!$S$2:$S$497)),0)),0)*AL88)+IF(OR(AM88="",AN88=""),0,MAX(AM88-MAX(N88,IFERROR(SUMPRODUCT(MAX(((持仓跟踪!$A$2:$A$497="每日跟踪")*(持仓跟踪!$B$2:$B$497=A88))*持仓跟踪!$S$2:$S$497)),0)),0)*AN88))))</f>
        <v/>
      </c>
      <c r="AR88" s="8" t="str">
        <f ca="1">IF(A88="","",IF(OR(E88="",H88=""),"违规：第一批价格或股数缺失",IF(OR(AND(AK88="",AL88&lt;&gt;""),AND(AK88&lt;&gt;"",AL88="")),"违规：第二批价格与股数须成对填写",IF(OR(AND(AM88="",AN88&lt;&gt;""),AND(AM88&lt;&gt;"",AN88="")),"违规：第三批价格与股数须成对填写",IF(AND(OR(AM88&lt;&gt;"",AN88&lt;&gt;""),OR(AK88="",AL88="")),"违规：必须先完成第二批",IF(OR(H88&lt;=0,H88&lt;&gt;INT(H88),MOD(H88,100)&lt;&gt;0,AND(AL88&lt;&gt;"",OR(AL88&lt;=0,AL88&lt;&gt;INT(AL88),MOD(AL88,100)&lt;&gt;0)),AND(AN88&lt;&gt;"",OR(AN88&lt;=0,AN88&lt;&gt;INT(AN88),MOD(AN88,100)&lt;&gt;0))),"违规：股数须为100股整数倍",IF(AND(OR(AL88&lt;&gt;"",AN88&lt;&gt;""),OR(_LockStatus="已锁仓",_LockStatus="解锁信息不完整")),"违规：锁仓期间禁止加仓",IF(AQ88&gt;C88*D88,"违规：超过单笔风险上限",IF(SUM($AQ$2:$AQ$201)&gt;账户数据!$B$7,"违规：超过账户风险上限","通过")))))))))</f>
        <v/>
      </c>
    </row>
    <row r="89" ht="17" spans="1:44">
      <c r="A89" s="2"/>
      <c r="B89" s="2"/>
      <c r="C89" s="10"/>
      <c r="D89" s="6"/>
      <c r="E89" s="10"/>
      <c r="F89" s="8" t="str">
        <f t="shared" si="24"/>
        <v/>
      </c>
      <c r="G89" s="8" t="str">
        <f ca="1"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COUNTIFS(持仓跟踪!$A$2:$A$497,"止损计划",持仓跟踪!$B$2:$B$497,A89,持仓跟踪!$AC$2:$AC$497,"计划有效")=0,"禁止开仓：请先填写止损计划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9" s="2"/>
      <c r="I89" s="15"/>
      <c r="J89" s="10"/>
      <c r="K89" s="10"/>
      <c r="L89" s="8" t="str">
        <f t="shared" si="25"/>
        <v/>
      </c>
      <c r="M89" s="15"/>
      <c r="N89" s="10"/>
      <c r="O89" s="10"/>
      <c r="P89" s="10"/>
      <c r="Q89" s="2"/>
      <c r="R89" s="2"/>
      <c r="S89" s="2"/>
      <c r="T89" s="2"/>
      <c r="U89" s="7" t="str">
        <f t="shared" si="26"/>
        <v/>
      </c>
      <c r="V89" s="7" t="str">
        <f t="shared" si="27"/>
        <v/>
      </c>
      <c r="W89" s="22" t="str">
        <f t="shared" si="28"/>
        <v/>
      </c>
      <c r="X89" s="5" t="str">
        <f t="shared" si="29"/>
        <v/>
      </c>
      <c r="Y89" s="7" t="str">
        <f t="shared" si="30"/>
        <v/>
      </c>
      <c r="Z89" s="7" t="str">
        <f>IF(OR(AE89="",多次统计数据!$B$8=""),"",AE89-多次统计数据!$B$8)</f>
        <v/>
      </c>
      <c r="AA89" s="11" t="str">
        <f t="shared" si="31"/>
        <v/>
      </c>
      <c r="AB89" s="7" t="str">
        <f>IF(OR(A89="",多次统计数据!$B$8="",多次统计数据!$B$6&lt;=0,多次统计数据!$B$6&gt;=1),"",1-POWER(1+多次统计数据!$B$8,-多次统计数据!$B$6/(1-多次统计数据!$B$6)))</f>
        <v/>
      </c>
      <c r="AC89" s="8" t="str">
        <f>IF(OR(AB89="",多次统计数据!$B$9=""),"",IF(多次统计数据!$B$9&lt;AB89,"低于上限","达到或超过上限"))</f>
        <v/>
      </c>
      <c r="AD89" s="2"/>
      <c r="AE89" s="7" t="str">
        <f t="shared" si="32"/>
        <v/>
      </c>
      <c r="AG89" s="2"/>
      <c r="AH89" s="2"/>
      <c r="AI89" s="2"/>
      <c r="AJ89" s="8" t="str">
        <f t="shared" si="33"/>
        <v/>
      </c>
      <c r="AK89" s="10"/>
      <c r="AL89" s="12"/>
      <c r="AM89" s="10"/>
      <c r="AN89" s="12"/>
      <c r="AO89" s="5" t="str">
        <f t="shared" si="34"/>
        <v/>
      </c>
      <c r="AP89" s="11" t="str">
        <f t="shared" si="35"/>
        <v/>
      </c>
      <c r="AQ89" s="5" t="str">
        <f>IF(A89="","",IF(M89&lt;&gt;"",0,IF(OR(H89="",N89=""),"",MAX(E89-MAX(N89,IFERROR(SUMPRODUCT(MAX(((持仓跟踪!$A$2:$A$497="每日跟踪")*(持仓跟踪!$B$2:$B$497=A89))*持仓跟踪!$S$2:$S$497)),0)),0)*H89+IF(OR(AK89="",AL89=""),0,MAX(AK89-MAX(N89,IFERROR(SUMPRODUCT(MAX(((持仓跟踪!$A$2:$A$497="每日跟踪")*(持仓跟踪!$B$2:$B$497=A89))*持仓跟踪!$S$2:$S$497)),0)),0)*AL89)+IF(OR(AM89="",AN89=""),0,MAX(AM89-MAX(N89,IFERROR(SUMPRODUCT(MAX(((持仓跟踪!$A$2:$A$497="每日跟踪")*(持仓跟踪!$B$2:$B$497=A89))*持仓跟踪!$S$2:$S$497)),0)),0)*AN89))))</f>
        <v/>
      </c>
      <c r="AR89" s="8" t="str">
        <f ca="1">IF(A89="","",IF(OR(E89="",H89=""),"违规：第一批价格或股数缺失",IF(OR(AND(AK89="",AL89&lt;&gt;""),AND(AK89&lt;&gt;"",AL89="")),"违规：第二批价格与股数须成对填写",IF(OR(AND(AM89="",AN89&lt;&gt;""),AND(AM89&lt;&gt;"",AN89="")),"违规：第三批价格与股数须成对填写",IF(AND(OR(AM89&lt;&gt;"",AN89&lt;&gt;""),OR(AK89="",AL89="")),"违规：必须先完成第二批",IF(OR(H89&lt;=0,H89&lt;&gt;INT(H89),MOD(H89,100)&lt;&gt;0,AND(AL89&lt;&gt;"",OR(AL89&lt;=0,AL89&lt;&gt;INT(AL89),MOD(AL89,100)&lt;&gt;0)),AND(AN89&lt;&gt;"",OR(AN89&lt;=0,AN89&lt;&gt;INT(AN89),MOD(AN89,100)&lt;&gt;0))),"违规：股数须为100股整数倍",IF(AND(OR(AL89&lt;&gt;"",AN89&lt;&gt;""),OR(_LockStatus="已锁仓",_LockStatus="解锁信息不完整")),"违规：锁仓期间禁止加仓",IF(AQ89&gt;C89*D89,"违规：超过单笔风险上限",IF(SUM($AQ$2:$AQ$201)&gt;账户数据!$B$7,"违规：超过账户风险上限","通过")))))))))</f>
        <v/>
      </c>
    </row>
    <row r="90" ht="17" spans="1:44">
      <c r="A90" s="2"/>
      <c r="B90" s="2"/>
      <c r="C90" s="10"/>
      <c r="D90" s="6"/>
      <c r="E90" s="10"/>
      <c r="F90" s="8" t="str">
        <f t="shared" si="24"/>
        <v/>
      </c>
      <c r="G90" s="8" t="str">
        <f ca="1"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COUNTIFS(持仓跟踪!$A$2:$A$497,"止损计划",持仓跟踪!$B$2:$B$497,A90,持仓跟踪!$AC$2:$AC$497,"计划有效")=0,"禁止开仓：请先填写止损计划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0" s="2"/>
      <c r="I90" s="15"/>
      <c r="J90" s="10"/>
      <c r="K90" s="10"/>
      <c r="L90" s="8" t="str">
        <f t="shared" si="25"/>
        <v/>
      </c>
      <c r="M90" s="15"/>
      <c r="N90" s="10"/>
      <c r="O90" s="10"/>
      <c r="P90" s="10"/>
      <c r="Q90" s="2"/>
      <c r="R90" s="2"/>
      <c r="S90" s="2"/>
      <c r="T90" s="2"/>
      <c r="U90" s="7" t="str">
        <f t="shared" si="26"/>
        <v/>
      </c>
      <c r="V90" s="7" t="str">
        <f t="shared" si="27"/>
        <v/>
      </c>
      <c r="W90" s="22" t="str">
        <f t="shared" si="28"/>
        <v/>
      </c>
      <c r="X90" s="5" t="str">
        <f t="shared" si="29"/>
        <v/>
      </c>
      <c r="Y90" s="7" t="str">
        <f t="shared" si="30"/>
        <v/>
      </c>
      <c r="Z90" s="7" t="str">
        <f>IF(OR(AE90="",多次统计数据!$B$8=""),"",AE90-多次统计数据!$B$8)</f>
        <v/>
      </c>
      <c r="AA90" s="11" t="str">
        <f t="shared" si="31"/>
        <v/>
      </c>
      <c r="AB90" s="7" t="str">
        <f>IF(OR(A90="",多次统计数据!$B$8="",多次统计数据!$B$6&lt;=0,多次统计数据!$B$6&gt;=1),"",1-POWER(1+多次统计数据!$B$8,-多次统计数据!$B$6/(1-多次统计数据!$B$6)))</f>
        <v/>
      </c>
      <c r="AC90" s="8" t="str">
        <f>IF(OR(AB90="",多次统计数据!$B$9=""),"",IF(多次统计数据!$B$9&lt;AB90,"低于上限","达到或超过上限"))</f>
        <v/>
      </c>
      <c r="AD90" s="2"/>
      <c r="AE90" s="7" t="str">
        <f t="shared" si="32"/>
        <v/>
      </c>
      <c r="AG90" s="2"/>
      <c r="AH90" s="2"/>
      <c r="AI90" s="2"/>
      <c r="AJ90" s="8" t="str">
        <f t="shared" si="33"/>
        <v/>
      </c>
      <c r="AK90" s="10"/>
      <c r="AL90" s="12"/>
      <c r="AM90" s="10"/>
      <c r="AN90" s="12"/>
      <c r="AO90" s="5" t="str">
        <f t="shared" si="34"/>
        <v/>
      </c>
      <c r="AP90" s="11" t="str">
        <f t="shared" si="35"/>
        <v/>
      </c>
      <c r="AQ90" s="5" t="str">
        <f>IF(A90="","",IF(M90&lt;&gt;"",0,IF(OR(H90="",N90=""),"",MAX(E90-MAX(N90,IFERROR(SUMPRODUCT(MAX(((持仓跟踪!$A$2:$A$497="每日跟踪")*(持仓跟踪!$B$2:$B$497=A90))*持仓跟踪!$S$2:$S$497)),0)),0)*H90+IF(OR(AK90="",AL90=""),0,MAX(AK90-MAX(N90,IFERROR(SUMPRODUCT(MAX(((持仓跟踪!$A$2:$A$497="每日跟踪")*(持仓跟踪!$B$2:$B$497=A90))*持仓跟踪!$S$2:$S$497)),0)),0)*AL90)+IF(OR(AM90="",AN90=""),0,MAX(AM90-MAX(N90,IFERROR(SUMPRODUCT(MAX(((持仓跟踪!$A$2:$A$497="每日跟踪")*(持仓跟踪!$B$2:$B$497=A90))*持仓跟踪!$S$2:$S$497)),0)),0)*AN90))))</f>
        <v/>
      </c>
      <c r="AR90" s="8" t="str">
        <f ca="1">IF(A90="","",IF(OR(E90="",H90=""),"违规：第一批价格或股数缺失",IF(OR(AND(AK90="",AL90&lt;&gt;""),AND(AK90&lt;&gt;"",AL90="")),"违规：第二批价格与股数须成对填写",IF(OR(AND(AM90="",AN90&lt;&gt;""),AND(AM90&lt;&gt;"",AN90="")),"违规：第三批价格与股数须成对填写",IF(AND(OR(AM90&lt;&gt;"",AN90&lt;&gt;""),OR(AK90="",AL90="")),"违规：必须先完成第二批",IF(OR(H90&lt;=0,H90&lt;&gt;INT(H90),MOD(H90,100)&lt;&gt;0,AND(AL90&lt;&gt;"",OR(AL90&lt;=0,AL90&lt;&gt;INT(AL90),MOD(AL90,100)&lt;&gt;0)),AND(AN90&lt;&gt;"",OR(AN90&lt;=0,AN90&lt;&gt;INT(AN90),MOD(AN90,100)&lt;&gt;0))),"违规：股数须为100股整数倍",IF(AND(OR(AL90&lt;&gt;"",AN90&lt;&gt;""),OR(_LockStatus="已锁仓",_LockStatus="解锁信息不完整")),"违规：锁仓期间禁止加仓",IF(AQ90&gt;C90*D90,"违规：超过单笔风险上限",IF(SUM($AQ$2:$AQ$201)&gt;账户数据!$B$7,"违规：超过账户风险上限","通过")))))))))</f>
        <v/>
      </c>
    </row>
    <row r="91" ht="17" spans="1:44">
      <c r="A91" s="2"/>
      <c r="B91" s="2"/>
      <c r="C91" s="10"/>
      <c r="D91" s="6"/>
      <c r="E91" s="10"/>
      <c r="F91" s="8" t="str">
        <f t="shared" si="24"/>
        <v/>
      </c>
      <c r="G91" s="8" t="str">
        <f ca="1"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COUNTIFS(持仓跟踪!$A$2:$A$497,"止损计划",持仓跟踪!$B$2:$B$497,A91,持仓跟踪!$AC$2:$AC$497,"计划有效")=0,"禁止开仓：请先填写止损计划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1" s="2"/>
      <c r="I91" s="15"/>
      <c r="J91" s="10"/>
      <c r="K91" s="10"/>
      <c r="L91" s="8" t="str">
        <f t="shared" si="25"/>
        <v/>
      </c>
      <c r="M91" s="15"/>
      <c r="N91" s="10"/>
      <c r="O91" s="10"/>
      <c r="P91" s="10"/>
      <c r="Q91" s="2"/>
      <c r="R91" s="2"/>
      <c r="S91" s="2"/>
      <c r="T91" s="2"/>
      <c r="U91" s="7" t="str">
        <f t="shared" si="26"/>
        <v/>
      </c>
      <c r="V91" s="7" t="str">
        <f t="shared" si="27"/>
        <v/>
      </c>
      <c r="W91" s="22" t="str">
        <f t="shared" si="28"/>
        <v/>
      </c>
      <c r="X91" s="5" t="str">
        <f t="shared" si="29"/>
        <v/>
      </c>
      <c r="Y91" s="7" t="str">
        <f t="shared" si="30"/>
        <v/>
      </c>
      <c r="Z91" s="7" t="str">
        <f>IF(OR(AE91="",多次统计数据!$B$8=""),"",AE91-多次统计数据!$B$8)</f>
        <v/>
      </c>
      <c r="AA91" s="11" t="str">
        <f t="shared" si="31"/>
        <v/>
      </c>
      <c r="AB91" s="7" t="str">
        <f>IF(OR(A91="",多次统计数据!$B$8="",多次统计数据!$B$6&lt;=0,多次统计数据!$B$6&gt;=1),"",1-POWER(1+多次统计数据!$B$8,-多次统计数据!$B$6/(1-多次统计数据!$B$6)))</f>
        <v/>
      </c>
      <c r="AC91" s="8" t="str">
        <f>IF(OR(AB91="",多次统计数据!$B$9=""),"",IF(多次统计数据!$B$9&lt;AB91,"低于上限","达到或超过上限"))</f>
        <v/>
      </c>
      <c r="AD91" s="2"/>
      <c r="AE91" s="7" t="str">
        <f t="shared" si="32"/>
        <v/>
      </c>
      <c r="AG91" s="2"/>
      <c r="AH91" s="2"/>
      <c r="AI91" s="2"/>
      <c r="AJ91" s="8" t="str">
        <f t="shared" si="33"/>
        <v/>
      </c>
      <c r="AK91" s="10"/>
      <c r="AL91" s="12"/>
      <c r="AM91" s="10"/>
      <c r="AN91" s="12"/>
      <c r="AO91" s="5" t="str">
        <f t="shared" si="34"/>
        <v/>
      </c>
      <c r="AP91" s="11" t="str">
        <f t="shared" si="35"/>
        <v/>
      </c>
      <c r="AQ91" s="5" t="str">
        <f>IF(A91="","",IF(M91&lt;&gt;"",0,IF(OR(H91="",N91=""),"",MAX(E91-MAX(N91,IFERROR(SUMPRODUCT(MAX(((持仓跟踪!$A$2:$A$497="每日跟踪")*(持仓跟踪!$B$2:$B$497=A91))*持仓跟踪!$S$2:$S$497)),0)),0)*H91+IF(OR(AK91="",AL91=""),0,MAX(AK91-MAX(N91,IFERROR(SUMPRODUCT(MAX(((持仓跟踪!$A$2:$A$497="每日跟踪")*(持仓跟踪!$B$2:$B$497=A91))*持仓跟踪!$S$2:$S$497)),0)),0)*AL91)+IF(OR(AM91="",AN91=""),0,MAX(AM91-MAX(N91,IFERROR(SUMPRODUCT(MAX(((持仓跟踪!$A$2:$A$497="每日跟踪")*(持仓跟踪!$B$2:$B$497=A91))*持仓跟踪!$S$2:$S$497)),0)),0)*AN91))))</f>
        <v/>
      </c>
      <c r="AR91" s="8" t="str">
        <f ca="1">IF(A91="","",IF(OR(E91="",H91=""),"违规：第一批价格或股数缺失",IF(OR(AND(AK91="",AL91&lt;&gt;""),AND(AK91&lt;&gt;"",AL91="")),"违规：第二批价格与股数须成对填写",IF(OR(AND(AM91="",AN91&lt;&gt;""),AND(AM91&lt;&gt;"",AN91="")),"违规：第三批价格与股数须成对填写",IF(AND(OR(AM91&lt;&gt;"",AN91&lt;&gt;""),OR(AK91="",AL91="")),"违规：必须先完成第二批",IF(OR(H91&lt;=0,H91&lt;&gt;INT(H91),MOD(H91,100)&lt;&gt;0,AND(AL91&lt;&gt;"",OR(AL91&lt;=0,AL91&lt;&gt;INT(AL91),MOD(AL91,100)&lt;&gt;0)),AND(AN91&lt;&gt;"",OR(AN91&lt;=0,AN91&lt;&gt;INT(AN91),MOD(AN91,100)&lt;&gt;0))),"违规：股数须为100股整数倍",IF(AND(OR(AL91&lt;&gt;"",AN91&lt;&gt;""),OR(_LockStatus="已锁仓",_LockStatus="解锁信息不完整")),"违规：锁仓期间禁止加仓",IF(AQ91&gt;C91*D91,"违规：超过单笔风险上限",IF(SUM($AQ$2:$AQ$201)&gt;账户数据!$B$7,"违规：超过账户风险上限","通过")))))))))</f>
        <v/>
      </c>
    </row>
    <row r="92" ht="17" spans="1:44">
      <c r="A92" s="2"/>
      <c r="B92" s="2"/>
      <c r="C92" s="10"/>
      <c r="D92" s="6"/>
      <c r="E92" s="10"/>
      <c r="F92" s="8" t="str">
        <f t="shared" si="24"/>
        <v/>
      </c>
      <c r="G92" s="8" t="str">
        <f ca="1"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COUNTIFS(持仓跟踪!$A$2:$A$497,"止损计划",持仓跟踪!$B$2:$B$497,A92,持仓跟踪!$AC$2:$AC$497,"计划有效")=0,"禁止开仓：请先填写止损计划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2" s="2"/>
      <c r="I92" s="15"/>
      <c r="J92" s="10"/>
      <c r="K92" s="10"/>
      <c r="L92" s="8" t="str">
        <f t="shared" si="25"/>
        <v/>
      </c>
      <c r="M92" s="15"/>
      <c r="N92" s="10"/>
      <c r="O92" s="10"/>
      <c r="P92" s="10"/>
      <c r="Q92" s="2"/>
      <c r="R92" s="2"/>
      <c r="S92" s="2"/>
      <c r="T92" s="2"/>
      <c r="U92" s="7" t="str">
        <f t="shared" si="26"/>
        <v/>
      </c>
      <c r="V92" s="7" t="str">
        <f t="shared" si="27"/>
        <v/>
      </c>
      <c r="W92" s="22" t="str">
        <f t="shared" si="28"/>
        <v/>
      </c>
      <c r="X92" s="5" t="str">
        <f t="shared" si="29"/>
        <v/>
      </c>
      <c r="Y92" s="7" t="str">
        <f t="shared" si="30"/>
        <v/>
      </c>
      <c r="Z92" s="7" t="str">
        <f>IF(OR(AE92="",多次统计数据!$B$8=""),"",AE92-多次统计数据!$B$8)</f>
        <v/>
      </c>
      <c r="AA92" s="11" t="str">
        <f t="shared" si="31"/>
        <v/>
      </c>
      <c r="AB92" s="7" t="str">
        <f>IF(OR(A92="",多次统计数据!$B$8="",多次统计数据!$B$6&lt;=0,多次统计数据!$B$6&gt;=1),"",1-POWER(1+多次统计数据!$B$8,-多次统计数据!$B$6/(1-多次统计数据!$B$6)))</f>
        <v/>
      </c>
      <c r="AC92" s="8" t="str">
        <f>IF(OR(AB92="",多次统计数据!$B$9=""),"",IF(多次统计数据!$B$9&lt;AB92,"低于上限","达到或超过上限"))</f>
        <v/>
      </c>
      <c r="AD92" s="2"/>
      <c r="AE92" s="7" t="str">
        <f t="shared" si="32"/>
        <v/>
      </c>
      <c r="AG92" s="2"/>
      <c r="AH92" s="2"/>
      <c r="AI92" s="2"/>
      <c r="AJ92" s="8" t="str">
        <f t="shared" si="33"/>
        <v/>
      </c>
      <c r="AK92" s="10"/>
      <c r="AL92" s="12"/>
      <c r="AM92" s="10"/>
      <c r="AN92" s="12"/>
      <c r="AO92" s="5" t="str">
        <f t="shared" si="34"/>
        <v/>
      </c>
      <c r="AP92" s="11" t="str">
        <f t="shared" si="35"/>
        <v/>
      </c>
      <c r="AQ92" s="5" t="str">
        <f>IF(A92="","",IF(M92&lt;&gt;"",0,IF(OR(H92="",N92=""),"",MAX(E92-MAX(N92,IFERROR(SUMPRODUCT(MAX(((持仓跟踪!$A$2:$A$497="每日跟踪")*(持仓跟踪!$B$2:$B$497=A92))*持仓跟踪!$S$2:$S$497)),0)),0)*H92+IF(OR(AK92="",AL92=""),0,MAX(AK92-MAX(N92,IFERROR(SUMPRODUCT(MAX(((持仓跟踪!$A$2:$A$497="每日跟踪")*(持仓跟踪!$B$2:$B$497=A92))*持仓跟踪!$S$2:$S$497)),0)),0)*AL92)+IF(OR(AM92="",AN92=""),0,MAX(AM92-MAX(N92,IFERROR(SUMPRODUCT(MAX(((持仓跟踪!$A$2:$A$497="每日跟踪")*(持仓跟踪!$B$2:$B$497=A92))*持仓跟踪!$S$2:$S$497)),0)),0)*AN92))))</f>
        <v/>
      </c>
      <c r="AR92" s="8" t="str">
        <f ca="1">IF(A92="","",IF(OR(E92="",H92=""),"违规：第一批价格或股数缺失",IF(OR(AND(AK92="",AL92&lt;&gt;""),AND(AK92&lt;&gt;"",AL92="")),"违规：第二批价格与股数须成对填写",IF(OR(AND(AM92="",AN92&lt;&gt;""),AND(AM92&lt;&gt;"",AN92="")),"违规：第三批价格与股数须成对填写",IF(AND(OR(AM92&lt;&gt;"",AN92&lt;&gt;""),OR(AK92="",AL92="")),"违规：必须先完成第二批",IF(OR(H92&lt;=0,H92&lt;&gt;INT(H92),MOD(H92,100)&lt;&gt;0,AND(AL92&lt;&gt;"",OR(AL92&lt;=0,AL92&lt;&gt;INT(AL92),MOD(AL92,100)&lt;&gt;0)),AND(AN92&lt;&gt;"",OR(AN92&lt;=0,AN92&lt;&gt;INT(AN92),MOD(AN92,100)&lt;&gt;0))),"违规：股数须为100股整数倍",IF(AND(OR(AL92&lt;&gt;"",AN92&lt;&gt;""),OR(_LockStatus="已锁仓",_LockStatus="解锁信息不完整")),"违规：锁仓期间禁止加仓",IF(AQ92&gt;C92*D92,"违规：超过单笔风险上限",IF(SUM($AQ$2:$AQ$201)&gt;账户数据!$B$7,"违规：超过账户风险上限","通过")))))))))</f>
        <v/>
      </c>
    </row>
    <row r="93" ht="17" spans="1:44">
      <c r="A93" s="2"/>
      <c r="B93" s="2"/>
      <c r="C93" s="10"/>
      <c r="D93" s="6"/>
      <c r="E93" s="10"/>
      <c r="F93" s="8" t="str">
        <f t="shared" si="24"/>
        <v/>
      </c>
      <c r="G93" s="8" t="str">
        <f ca="1"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COUNTIFS(持仓跟踪!$A$2:$A$497,"止损计划",持仓跟踪!$B$2:$B$497,A93,持仓跟踪!$AC$2:$AC$497,"计划有效")=0,"禁止开仓：请先填写止损计划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3" s="2"/>
      <c r="I93" s="15"/>
      <c r="J93" s="10"/>
      <c r="K93" s="10"/>
      <c r="L93" s="8" t="str">
        <f t="shared" si="25"/>
        <v/>
      </c>
      <c r="M93" s="15"/>
      <c r="N93" s="10"/>
      <c r="O93" s="10"/>
      <c r="P93" s="10"/>
      <c r="Q93" s="2"/>
      <c r="R93" s="2"/>
      <c r="S93" s="2"/>
      <c r="T93" s="2"/>
      <c r="U93" s="7" t="str">
        <f t="shared" si="26"/>
        <v/>
      </c>
      <c r="V93" s="7" t="str">
        <f t="shared" si="27"/>
        <v/>
      </c>
      <c r="W93" s="22" t="str">
        <f t="shared" si="28"/>
        <v/>
      </c>
      <c r="X93" s="5" t="str">
        <f t="shared" si="29"/>
        <v/>
      </c>
      <c r="Y93" s="7" t="str">
        <f t="shared" si="30"/>
        <v/>
      </c>
      <c r="Z93" s="7" t="str">
        <f>IF(OR(AE93="",多次统计数据!$B$8=""),"",AE93-多次统计数据!$B$8)</f>
        <v/>
      </c>
      <c r="AA93" s="11" t="str">
        <f t="shared" si="31"/>
        <v/>
      </c>
      <c r="AB93" s="7" t="str">
        <f>IF(OR(A93="",多次统计数据!$B$8="",多次统计数据!$B$6&lt;=0,多次统计数据!$B$6&gt;=1),"",1-POWER(1+多次统计数据!$B$8,-多次统计数据!$B$6/(1-多次统计数据!$B$6)))</f>
        <v/>
      </c>
      <c r="AC93" s="8" t="str">
        <f>IF(OR(AB93="",多次统计数据!$B$9=""),"",IF(多次统计数据!$B$9&lt;AB93,"低于上限","达到或超过上限"))</f>
        <v/>
      </c>
      <c r="AD93" s="2"/>
      <c r="AE93" s="7" t="str">
        <f t="shared" si="32"/>
        <v/>
      </c>
      <c r="AG93" s="2"/>
      <c r="AH93" s="2"/>
      <c r="AI93" s="2"/>
      <c r="AJ93" s="8" t="str">
        <f t="shared" si="33"/>
        <v/>
      </c>
      <c r="AK93" s="10"/>
      <c r="AL93" s="12"/>
      <c r="AM93" s="10"/>
      <c r="AN93" s="12"/>
      <c r="AO93" s="5" t="str">
        <f t="shared" si="34"/>
        <v/>
      </c>
      <c r="AP93" s="11" t="str">
        <f t="shared" si="35"/>
        <v/>
      </c>
      <c r="AQ93" s="5" t="str">
        <f>IF(A93="","",IF(M93&lt;&gt;"",0,IF(OR(H93="",N93=""),"",MAX(E93-MAX(N93,IFERROR(SUMPRODUCT(MAX(((持仓跟踪!$A$2:$A$497="每日跟踪")*(持仓跟踪!$B$2:$B$497=A93))*持仓跟踪!$S$2:$S$497)),0)),0)*H93+IF(OR(AK93="",AL93=""),0,MAX(AK93-MAX(N93,IFERROR(SUMPRODUCT(MAX(((持仓跟踪!$A$2:$A$497="每日跟踪")*(持仓跟踪!$B$2:$B$497=A93))*持仓跟踪!$S$2:$S$497)),0)),0)*AL93)+IF(OR(AM93="",AN93=""),0,MAX(AM93-MAX(N93,IFERROR(SUMPRODUCT(MAX(((持仓跟踪!$A$2:$A$497="每日跟踪")*(持仓跟踪!$B$2:$B$497=A93))*持仓跟踪!$S$2:$S$497)),0)),0)*AN93))))</f>
        <v/>
      </c>
      <c r="AR93" s="8" t="str">
        <f ca="1">IF(A93="","",IF(OR(E93="",H93=""),"违规：第一批价格或股数缺失",IF(OR(AND(AK93="",AL93&lt;&gt;""),AND(AK93&lt;&gt;"",AL93="")),"违规：第二批价格与股数须成对填写",IF(OR(AND(AM93="",AN93&lt;&gt;""),AND(AM93&lt;&gt;"",AN93="")),"违规：第三批价格与股数须成对填写",IF(AND(OR(AM93&lt;&gt;"",AN93&lt;&gt;""),OR(AK93="",AL93="")),"违规：必须先完成第二批",IF(OR(H93&lt;=0,H93&lt;&gt;INT(H93),MOD(H93,100)&lt;&gt;0,AND(AL93&lt;&gt;"",OR(AL93&lt;=0,AL93&lt;&gt;INT(AL93),MOD(AL93,100)&lt;&gt;0)),AND(AN93&lt;&gt;"",OR(AN93&lt;=0,AN93&lt;&gt;INT(AN93),MOD(AN93,100)&lt;&gt;0))),"违规：股数须为100股整数倍",IF(AND(OR(AL93&lt;&gt;"",AN93&lt;&gt;""),OR(_LockStatus="已锁仓",_LockStatus="解锁信息不完整")),"违规：锁仓期间禁止加仓",IF(AQ93&gt;C93*D93,"违规：超过单笔风险上限",IF(SUM($AQ$2:$AQ$201)&gt;账户数据!$B$7,"违规：超过账户风险上限","通过")))))))))</f>
        <v/>
      </c>
    </row>
    <row r="94" ht="17" spans="1:44">
      <c r="A94" s="2"/>
      <c r="B94" s="2"/>
      <c r="C94" s="10"/>
      <c r="D94" s="6"/>
      <c r="E94" s="10"/>
      <c r="F94" s="8" t="str">
        <f t="shared" si="24"/>
        <v/>
      </c>
      <c r="G94" s="8" t="str">
        <f ca="1"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COUNTIFS(持仓跟踪!$A$2:$A$497,"止损计划",持仓跟踪!$B$2:$B$497,A94,持仓跟踪!$AC$2:$AC$497,"计划有效")=0,"禁止开仓：请先填写止损计划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4" s="2"/>
      <c r="I94" s="15"/>
      <c r="J94" s="10"/>
      <c r="K94" s="10"/>
      <c r="L94" s="8" t="str">
        <f t="shared" si="25"/>
        <v/>
      </c>
      <c r="M94" s="15"/>
      <c r="N94" s="10"/>
      <c r="O94" s="10"/>
      <c r="P94" s="10"/>
      <c r="Q94" s="2"/>
      <c r="R94" s="2"/>
      <c r="S94" s="2"/>
      <c r="T94" s="2"/>
      <c r="U94" s="7" t="str">
        <f t="shared" si="26"/>
        <v/>
      </c>
      <c r="V94" s="7" t="str">
        <f t="shared" si="27"/>
        <v/>
      </c>
      <c r="W94" s="22" t="str">
        <f t="shared" si="28"/>
        <v/>
      </c>
      <c r="X94" s="5" t="str">
        <f t="shared" si="29"/>
        <v/>
      </c>
      <c r="Y94" s="7" t="str">
        <f t="shared" si="30"/>
        <v/>
      </c>
      <c r="Z94" s="7" t="str">
        <f>IF(OR(AE94="",多次统计数据!$B$8=""),"",AE94-多次统计数据!$B$8)</f>
        <v/>
      </c>
      <c r="AA94" s="11" t="str">
        <f t="shared" si="31"/>
        <v/>
      </c>
      <c r="AB94" s="7" t="str">
        <f>IF(OR(A94="",多次统计数据!$B$8="",多次统计数据!$B$6&lt;=0,多次统计数据!$B$6&gt;=1),"",1-POWER(1+多次统计数据!$B$8,-多次统计数据!$B$6/(1-多次统计数据!$B$6)))</f>
        <v/>
      </c>
      <c r="AC94" s="8" t="str">
        <f>IF(OR(AB94="",多次统计数据!$B$9=""),"",IF(多次统计数据!$B$9&lt;AB94,"低于上限","达到或超过上限"))</f>
        <v/>
      </c>
      <c r="AD94" s="2"/>
      <c r="AE94" s="7" t="str">
        <f t="shared" si="32"/>
        <v/>
      </c>
      <c r="AG94" s="2"/>
      <c r="AH94" s="2"/>
      <c r="AI94" s="2"/>
      <c r="AJ94" s="8" t="str">
        <f t="shared" si="33"/>
        <v/>
      </c>
      <c r="AK94" s="10"/>
      <c r="AL94" s="12"/>
      <c r="AM94" s="10"/>
      <c r="AN94" s="12"/>
      <c r="AO94" s="5" t="str">
        <f t="shared" si="34"/>
        <v/>
      </c>
      <c r="AP94" s="11" t="str">
        <f t="shared" si="35"/>
        <v/>
      </c>
      <c r="AQ94" s="5" t="str">
        <f>IF(A94="","",IF(M94&lt;&gt;"",0,IF(OR(H94="",N94=""),"",MAX(E94-MAX(N94,IFERROR(SUMPRODUCT(MAX(((持仓跟踪!$A$2:$A$497="每日跟踪")*(持仓跟踪!$B$2:$B$497=A94))*持仓跟踪!$S$2:$S$497)),0)),0)*H94+IF(OR(AK94="",AL94=""),0,MAX(AK94-MAX(N94,IFERROR(SUMPRODUCT(MAX(((持仓跟踪!$A$2:$A$497="每日跟踪")*(持仓跟踪!$B$2:$B$497=A94))*持仓跟踪!$S$2:$S$497)),0)),0)*AL94)+IF(OR(AM94="",AN94=""),0,MAX(AM94-MAX(N94,IFERROR(SUMPRODUCT(MAX(((持仓跟踪!$A$2:$A$497="每日跟踪")*(持仓跟踪!$B$2:$B$497=A94))*持仓跟踪!$S$2:$S$497)),0)),0)*AN94))))</f>
        <v/>
      </c>
      <c r="AR94" s="8" t="str">
        <f ca="1">IF(A94="","",IF(OR(E94="",H94=""),"违规：第一批价格或股数缺失",IF(OR(AND(AK94="",AL94&lt;&gt;""),AND(AK94&lt;&gt;"",AL94="")),"违规：第二批价格与股数须成对填写",IF(OR(AND(AM94="",AN94&lt;&gt;""),AND(AM94&lt;&gt;"",AN94="")),"违规：第三批价格与股数须成对填写",IF(AND(OR(AM94&lt;&gt;"",AN94&lt;&gt;""),OR(AK94="",AL94="")),"违规：必须先完成第二批",IF(OR(H94&lt;=0,H94&lt;&gt;INT(H94),MOD(H94,100)&lt;&gt;0,AND(AL94&lt;&gt;"",OR(AL94&lt;=0,AL94&lt;&gt;INT(AL94),MOD(AL94,100)&lt;&gt;0)),AND(AN94&lt;&gt;"",OR(AN94&lt;=0,AN94&lt;&gt;INT(AN94),MOD(AN94,100)&lt;&gt;0))),"违规：股数须为100股整数倍",IF(AND(OR(AL94&lt;&gt;"",AN94&lt;&gt;""),OR(_LockStatus="已锁仓",_LockStatus="解锁信息不完整")),"违规：锁仓期间禁止加仓",IF(AQ94&gt;C94*D94,"违规：超过单笔风险上限",IF(SUM($AQ$2:$AQ$201)&gt;账户数据!$B$7,"违规：超过账户风险上限","通过")))))))))</f>
        <v/>
      </c>
    </row>
    <row r="95" ht="17" spans="1:44">
      <c r="A95" s="2"/>
      <c r="B95" s="2"/>
      <c r="C95" s="10"/>
      <c r="D95" s="6"/>
      <c r="E95" s="10"/>
      <c r="F95" s="8" t="str">
        <f t="shared" si="24"/>
        <v/>
      </c>
      <c r="G95" s="8" t="str">
        <f ca="1"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COUNTIFS(持仓跟踪!$A$2:$A$497,"止损计划",持仓跟踪!$B$2:$B$497,A95,持仓跟踪!$AC$2:$AC$497,"计划有效")=0,"禁止开仓：请先填写止损计划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5" s="2"/>
      <c r="I95" s="15"/>
      <c r="J95" s="10"/>
      <c r="K95" s="10"/>
      <c r="L95" s="8" t="str">
        <f t="shared" si="25"/>
        <v/>
      </c>
      <c r="M95" s="15"/>
      <c r="N95" s="10"/>
      <c r="O95" s="10"/>
      <c r="P95" s="10"/>
      <c r="Q95" s="2"/>
      <c r="R95" s="2"/>
      <c r="S95" s="2"/>
      <c r="T95" s="2"/>
      <c r="U95" s="7" t="str">
        <f t="shared" si="26"/>
        <v/>
      </c>
      <c r="V95" s="7" t="str">
        <f t="shared" si="27"/>
        <v/>
      </c>
      <c r="W95" s="22" t="str">
        <f t="shared" si="28"/>
        <v/>
      </c>
      <c r="X95" s="5" t="str">
        <f t="shared" si="29"/>
        <v/>
      </c>
      <c r="Y95" s="7" t="str">
        <f t="shared" si="30"/>
        <v/>
      </c>
      <c r="Z95" s="7" t="str">
        <f>IF(OR(AE95="",多次统计数据!$B$8=""),"",AE95-多次统计数据!$B$8)</f>
        <v/>
      </c>
      <c r="AA95" s="11" t="str">
        <f t="shared" si="31"/>
        <v/>
      </c>
      <c r="AB95" s="7" t="str">
        <f>IF(OR(A95="",多次统计数据!$B$8="",多次统计数据!$B$6&lt;=0,多次统计数据!$B$6&gt;=1),"",1-POWER(1+多次统计数据!$B$8,-多次统计数据!$B$6/(1-多次统计数据!$B$6)))</f>
        <v/>
      </c>
      <c r="AC95" s="8" t="str">
        <f>IF(OR(AB95="",多次统计数据!$B$9=""),"",IF(多次统计数据!$B$9&lt;AB95,"低于上限","达到或超过上限"))</f>
        <v/>
      </c>
      <c r="AD95" s="2"/>
      <c r="AE95" s="7" t="str">
        <f t="shared" si="32"/>
        <v/>
      </c>
      <c r="AG95" s="2"/>
      <c r="AH95" s="2"/>
      <c r="AI95" s="2"/>
      <c r="AJ95" s="8" t="str">
        <f t="shared" si="33"/>
        <v/>
      </c>
      <c r="AK95" s="10"/>
      <c r="AL95" s="12"/>
      <c r="AM95" s="10"/>
      <c r="AN95" s="12"/>
      <c r="AO95" s="5" t="str">
        <f t="shared" si="34"/>
        <v/>
      </c>
      <c r="AP95" s="11" t="str">
        <f t="shared" si="35"/>
        <v/>
      </c>
      <c r="AQ95" s="5" t="str">
        <f>IF(A95="","",IF(M95&lt;&gt;"",0,IF(OR(H95="",N95=""),"",MAX(E95-MAX(N95,IFERROR(SUMPRODUCT(MAX(((持仓跟踪!$A$2:$A$497="每日跟踪")*(持仓跟踪!$B$2:$B$497=A95))*持仓跟踪!$S$2:$S$497)),0)),0)*H95+IF(OR(AK95="",AL95=""),0,MAX(AK95-MAX(N95,IFERROR(SUMPRODUCT(MAX(((持仓跟踪!$A$2:$A$497="每日跟踪")*(持仓跟踪!$B$2:$B$497=A95))*持仓跟踪!$S$2:$S$497)),0)),0)*AL95)+IF(OR(AM95="",AN95=""),0,MAX(AM95-MAX(N95,IFERROR(SUMPRODUCT(MAX(((持仓跟踪!$A$2:$A$497="每日跟踪")*(持仓跟踪!$B$2:$B$497=A95))*持仓跟踪!$S$2:$S$497)),0)),0)*AN95))))</f>
        <v/>
      </c>
      <c r="AR95" s="8" t="str">
        <f ca="1">IF(A95="","",IF(OR(E95="",H95=""),"违规：第一批价格或股数缺失",IF(OR(AND(AK95="",AL95&lt;&gt;""),AND(AK95&lt;&gt;"",AL95="")),"违规：第二批价格与股数须成对填写",IF(OR(AND(AM95="",AN95&lt;&gt;""),AND(AM95&lt;&gt;"",AN95="")),"违规：第三批价格与股数须成对填写",IF(AND(OR(AM95&lt;&gt;"",AN95&lt;&gt;""),OR(AK95="",AL95="")),"违规：必须先完成第二批",IF(OR(H95&lt;=0,H95&lt;&gt;INT(H95),MOD(H95,100)&lt;&gt;0,AND(AL95&lt;&gt;"",OR(AL95&lt;=0,AL95&lt;&gt;INT(AL95),MOD(AL95,100)&lt;&gt;0)),AND(AN95&lt;&gt;"",OR(AN95&lt;=0,AN95&lt;&gt;INT(AN95),MOD(AN95,100)&lt;&gt;0))),"违规：股数须为100股整数倍",IF(AND(OR(AL95&lt;&gt;"",AN95&lt;&gt;""),OR(_LockStatus="已锁仓",_LockStatus="解锁信息不完整")),"违规：锁仓期间禁止加仓",IF(AQ95&gt;C95*D95,"违规：超过单笔风险上限",IF(SUM($AQ$2:$AQ$201)&gt;账户数据!$B$7,"违规：超过账户风险上限","通过")))))))))</f>
        <v/>
      </c>
    </row>
    <row r="96" ht="17" spans="1:44">
      <c r="A96" s="2"/>
      <c r="B96" s="2"/>
      <c r="C96" s="10"/>
      <c r="D96" s="6"/>
      <c r="E96" s="10"/>
      <c r="F96" s="8" t="str">
        <f t="shared" si="24"/>
        <v/>
      </c>
      <c r="G96" s="8" t="str">
        <f ca="1"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COUNTIFS(持仓跟踪!$A$2:$A$497,"止损计划",持仓跟踪!$B$2:$B$497,A96,持仓跟踪!$AC$2:$AC$497,"计划有效")=0,"禁止开仓：请先填写止损计划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6" s="2"/>
      <c r="I96" s="15"/>
      <c r="J96" s="10"/>
      <c r="K96" s="10"/>
      <c r="L96" s="8" t="str">
        <f t="shared" si="25"/>
        <v/>
      </c>
      <c r="M96" s="15"/>
      <c r="N96" s="10"/>
      <c r="O96" s="10"/>
      <c r="P96" s="10"/>
      <c r="Q96" s="2"/>
      <c r="R96" s="2"/>
      <c r="S96" s="2"/>
      <c r="T96" s="2"/>
      <c r="U96" s="7" t="str">
        <f t="shared" si="26"/>
        <v/>
      </c>
      <c r="V96" s="7" t="str">
        <f t="shared" si="27"/>
        <v/>
      </c>
      <c r="W96" s="22" t="str">
        <f t="shared" si="28"/>
        <v/>
      </c>
      <c r="X96" s="5" t="str">
        <f t="shared" si="29"/>
        <v/>
      </c>
      <c r="Y96" s="7" t="str">
        <f t="shared" si="30"/>
        <v/>
      </c>
      <c r="Z96" s="7" t="str">
        <f>IF(OR(AE96="",多次统计数据!$B$8=""),"",AE96-多次统计数据!$B$8)</f>
        <v/>
      </c>
      <c r="AA96" s="11" t="str">
        <f t="shared" si="31"/>
        <v/>
      </c>
      <c r="AB96" s="7" t="str">
        <f>IF(OR(A96="",多次统计数据!$B$8="",多次统计数据!$B$6&lt;=0,多次统计数据!$B$6&gt;=1),"",1-POWER(1+多次统计数据!$B$8,-多次统计数据!$B$6/(1-多次统计数据!$B$6)))</f>
        <v/>
      </c>
      <c r="AC96" s="8" t="str">
        <f>IF(OR(AB96="",多次统计数据!$B$9=""),"",IF(多次统计数据!$B$9&lt;AB96,"低于上限","达到或超过上限"))</f>
        <v/>
      </c>
      <c r="AD96" s="2"/>
      <c r="AE96" s="7" t="str">
        <f t="shared" si="32"/>
        <v/>
      </c>
      <c r="AG96" s="2"/>
      <c r="AH96" s="2"/>
      <c r="AI96" s="2"/>
      <c r="AJ96" s="8" t="str">
        <f t="shared" si="33"/>
        <v/>
      </c>
      <c r="AK96" s="10"/>
      <c r="AL96" s="12"/>
      <c r="AM96" s="10"/>
      <c r="AN96" s="12"/>
      <c r="AO96" s="5" t="str">
        <f t="shared" si="34"/>
        <v/>
      </c>
      <c r="AP96" s="11" t="str">
        <f t="shared" si="35"/>
        <v/>
      </c>
      <c r="AQ96" s="5" t="str">
        <f>IF(A96="","",IF(M96&lt;&gt;"",0,IF(OR(H96="",N96=""),"",MAX(E96-MAX(N96,IFERROR(SUMPRODUCT(MAX(((持仓跟踪!$A$2:$A$497="每日跟踪")*(持仓跟踪!$B$2:$B$497=A96))*持仓跟踪!$S$2:$S$497)),0)),0)*H96+IF(OR(AK96="",AL96=""),0,MAX(AK96-MAX(N96,IFERROR(SUMPRODUCT(MAX(((持仓跟踪!$A$2:$A$497="每日跟踪")*(持仓跟踪!$B$2:$B$497=A96))*持仓跟踪!$S$2:$S$497)),0)),0)*AL96)+IF(OR(AM96="",AN96=""),0,MAX(AM96-MAX(N96,IFERROR(SUMPRODUCT(MAX(((持仓跟踪!$A$2:$A$497="每日跟踪")*(持仓跟踪!$B$2:$B$497=A96))*持仓跟踪!$S$2:$S$497)),0)),0)*AN96))))</f>
        <v/>
      </c>
      <c r="AR96" s="8" t="str">
        <f ca="1">IF(A96="","",IF(OR(E96="",H96=""),"违规：第一批价格或股数缺失",IF(OR(AND(AK96="",AL96&lt;&gt;""),AND(AK96&lt;&gt;"",AL96="")),"违规：第二批价格与股数须成对填写",IF(OR(AND(AM96="",AN96&lt;&gt;""),AND(AM96&lt;&gt;"",AN96="")),"违规：第三批价格与股数须成对填写",IF(AND(OR(AM96&lt;&gt;"",AN96&lt;&gt;""),OR(AK96="",AL96="")),"违规：必须先完成第二批",IF(OR(H96&lt;=0,H96&lt;&gt;INT(H96),MOD(H96,100)&lt;&gt;0,AND(AL96&lt;&gt;"",OR(AL96&lt;=0,AL96&lt;&gt;INT(AL96),MOD(AL96,100)&lt;&gt;0)),AND(AN96&lt;&gt;"",OR(AN96&lt;=0,AN96&lt;&gt;INT(AN96),MOD(AN96,100)&lt;&gt;0))),"违规：股数须为100股整数倍",IF(AND(OR(AL96&lt;&gt;"",AN96&lt;&gt;""),OR(_LockStatus="已锁仓",_LockStatus="解锁信息不完整")),"违规：锁仓期间禁止加仓",IF(AQ96&gt;C96*D96,"违规：超过单笔风险上限",IF(SUM($AQ$2:$AQ$201)&gt;账户数据!$B$7,"违规：超过账户风险上限","通过")))))))))</f>
        <v/>
      </c>
    </row>
    <row r="97" ht="17" spans="1:44">
      <c r="A97" s="2"/>
      <c r="B97" s="13"/>
      <c r="C97" s="10"/>
      <c r="D97" s="6"/>
      <c r="E97" s="10"/>
      <c r="F97" s="8" t="str">
        <f t="shared" si="24"/>
        <v/>
      </c>
      <c r="G97" s="8" t="str">
        <f ca="1"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COUNTIFS(持仓跟踪!$A$2:$A$497,"止损计划",持仓跟踪!$B$2:$B$497,A97,持仓跟踪!$AC$2:$AC$497,"计划有效")=0,"禁止开仓：请先填写止损计划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7" s="2"/>
      <c r="I97" s="15"/>
      <c r="J97" s="10"/>
      <c r="K97" s="10"/>
      <c r="L97" s="8" t="str">
        <f t="shared" si="25"/>
        <v/>
      </c>
      <c r="M97" s="15"/>
      <c r="N97" s="10"/>
      <c r="O97" s="10"/>
      <c r="P97" s="10"/>
      <c r="Q97" s="2"/>
      <c r="R97" s="2"/>
      <c r="S97" s="2"/>
      <c r="T97" s="2"/>
      <c r="U97" s="7" t="str">
        <f t="shared" si="26"/>
        <v/>
      </c>
      <c r="V97" s="7" t="str">
        <f t="shared" si="27"/>
        <v/>
      </c>
      <c r="W97" s="22" t="str">
        <f t="shared" si="28"/>
        <v/>
      </c>
      <c r="X97" s="5" t="str">
        <f t="shared" si="29"/>
        <v/>
      </c>
      <c r="Y97" s="7" t="str">
        <f t="shared" si="30"/>
        <v/>
      </c>
      <c r="Z97" s="7" t="str">
        <f>IF(OR(AE97="",多次统计数据!$B$8=""),"",AE97-多次统计数据!$B$8)</f>
        <v/>
      </c>
      <c r="AA97" s="11" t="str">
        <f t="shared" si="31"/>
        <v/>
      </c>
      <c r="AB97" s="7" t="str">
        <f>IF(OR(A97="",多次统计数据!$B$8="",多次统计数据!$B$6&lt;=0,多次统计数据!$B$6&gt;=1),"",1-POWER(1+多次统计数据!$B$8,-多次统计数据!$B$6/(1-多次统计数据!$B$6)))</f>
        <v/>
      </c>
      <c r="AC97" s="8" t="str">
        <f>IF(OR(AB97="",多次统计数据!$B$9=""),"",IF(多次统计数据!$B$9&lt;AB97,"低于上限","达到或超过上限"))</f>
        <v/>
      </c>
      <c r="AD97" s="2"/>
      <c r="AE97" s="7" t="str">
        <f t="shared" si="32"/>
        <v/>
      </c>
      <c r="AF97" s="16"/>
      <c r="AG97" s="2"/>
      <c r="AH97" s="2"/>
      <c r="AI97" s="2"/>
      <c r="AJ97" s="8" t="str">
        <f t="shared" si="33"/>
        <v/>
      </c>
      <c r="AK97" s="10"/>
      <c r="AL97" s="12"/>
      <c r="AM97" s="10"/>
      <c r="AN97" s="12"/>
      <c r="AO97" s="5" t="str">
        <f t="shared" si="34"/>
        <v/>
      </c>
      <c r="AP97" s="11" t="str">
        <f t="shared" si="35"/>
        <v/>
      </c>
      <c r="AQ97" s="5" t="str">
        <f>IF(A97="","",IF(M97&lt;&gt;"",0,IF(OR(H97="",N97=""),"",MAX(E97-MAX(N97,IFERROR(SUMPRODUCT(MAX(((持仓跟踪!$A$2:$A$497="每日跟踪")*(持仓跟踪!$B$2:$B$497=A97))*持仓跟踪!$S$2:$S$497)),0)),0)*H97+IF(OR(AK97="",AL97=""),0,MAX(AK97-MAX(N97,IFERROR(SUMPRODUCT(MAX(((持仓跟踪!$A$2:$A$497="每日跟踪")*(持仓跟踪!$B$2:$B$497=A97))*持仓跟踪!$S$2:$S$497)),0)),0)*AL97)+IF(OR(AM97="",AN97=""),0,MAX(AM97-MAX(N97,IFERROR(SUMPRODUCT(MAX(((持仓跟踪!$A$2:$A$497="每日跟踪")*(持仓跟踪!$B$2:$B$497=A97))*持仓跟踪!$S$2:$S$497)),0)),0)*AN97))))</f>
        <v/>
      </c>
      <c r="AR97" s="8" t="str">
        <f ca="1">IF(A97="","",IF(OR(E97="",H97=""),"违规：第一批价格或股数缺失",IF(OR(AND(AK97="",AL97&lt;&gt;""),AND(AK97&lt;&gt;"",AL97="")),"违规：第二批价格与股数须成对填写",IF(OR(AND(AM97="",AN97&lt;&gt;""),AND(AM97&lt;&gt;"",AN97="")),"违规：第三批价格与股数须成对填写",IF(AND(OR(AM97&lt;&gt;"",AN97&lt;&gt;""),OR(AK97="",AL97="")),"违规：必须先完成第二批",IF(OR(H97&lt;=0,H97&lt;&gt;INT(H97),MOD(H97,100)&lt;&gt;0,AND(AL97&lt;&gt;"",OR(AL97&lt;=0,AL97&lt;&gt;INT(AL97),MOD(AL97,100)&lt;&gt;0)),AND(AN97&lt;&gt;"",OR(AN97&lt;=0,AN97&lt;&gt;INT(AN97),MOD(AN97,100)&lt;&gt;0))),"违规：股数须为100股整数倍",IF(AND(OR(AL97&lt;&gt;"",AN97&lt;&gt;""),OR(_LockStatus="已锁仓",_LockStatus="解锁信息不完整")),"违规：锁仓期间禁止加仓",IF(AQ97&gt;C97*D97,"违规：超过单笔风险上限",IF(SUM($AQ$2:$AQ$201)&gt;账户数据!$B$7,"违规：超过账户风险上限","通过")))))))))</f>
        <v/>
      </c>
    </row>
    <row r="98" ht="17" spans="1:44">
      <c r="A98" s="2"/>
      <c r="B98" s="13"/>
      <c r="C98" s="10"/>
      <c r="D98" s="6"/>
      <c r="E98" s="10"/>
      <c r="F98" s="8" t="str">
        <f t="shared" ref="F98:F129" si="36">IF(OR(C98="",D98="",E98="",N98="",C98&lt;=0,D98&lt;=0,E98&lt;=N98),"",ROUNDDOWN((C98*D98)/(E98-N98)/100,0)*100)</f>
        <v/>
      </c>
      <c r="G98" s="8" t="str">
        <f ca="1"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COUNTIFS(持仓跟踪!$A$2:$A$497,"止损计划",持仓跟踪!$B$2:$B$497,A98,持仓跟踪!$AC$2:$AC$497,"计划有效")=0,"禁止开仓：请先填写止损计划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8" s="2"/>
      <c r="I98" s="15"/>
      <c r="J98" s="10"/>
      <c r="K98" s="10"/>
      <c r="L98" s="8" t="str">
        <f t="shared" ref="L98:L103" si="37">IF(K98="","",H98)</f>
        <v/>
      </c>
      <c r="M98" s="15"/>
      <c r="N98" s="10"/>
      <c r="O98" s="10"/>
      <c r="P98" s="10"/>
      <c r="Q98" s="2"/>
      <c r="R98" s="2"/>
      <c r="S98" s="2"/>
      <c r="T98" s="2"/>
      <c r="U98" s="7" t="str">
        <f t="shared" ref="U98:U129" si="38">IF(OR(AO98="",J98="",AO98&lt;=0),"",(J98-AO98)/AO98)</f>
        <v/>
      </c>
      <c r="V98" s="7" t="str">
        <f t="shared" ref="V98:V129" si="39">IF(OR(AO98="",N98="",AO98&lt;=0),"",(AO98-N98)/AO98)</f>
        <v/>
      </c>
      <c r="W98" s="22" t="str">
        <f t="shared" ref="W98:W129" si="40">IF(OR(U98="",V98="",V98&lt;=0),"",U98/V98)</f>
        <v/>
      </c>
      <c r="X98" s="5" t="str">
        <f t="shared" ref="X98:X129" si="41">IF(OR(K98="",L98="",AP98=""),"",K98*L98-(E98*H98+IF(AND(AK98&lt;&gt;"",AL98&lt;&gt;""),AK98*AL98,0)+IF(AND(AM98&lt;&gt;"",AN98&lt;&gt;""),AM98*AN98,0))-IF(O98="",0,O98)-IF(P98="",0,P98))</f>
        <v/>
      </c>
      <c r="Y98" s="7" t="str">
        <f t="shared" ref="Y98:Y129" si="42">IF(OR(X98="",AP98=""),"",IF((E98*H98+IF(AND(AK98&lt;&gt;"",AL98&lt;&gt;""),AK98*AL98,0)+IF(AND(AM98&lt;&gt;"",AN98&lt;&gt;""),AM98*AN98,0))+IF(O98="",0,O98)&lt;=0,"",X98/((E98*H98+IF(AND(AK98&lt;&gt;"",AL98&lt;&gt;""),AK98*AL98,0)+IF(AND(AM98&lt;&gt;"",AN98&lt;&gt;""),AM98*AN98,0))+IF(O98="",0,O98))))</f>
        <v/>
      </c>
      <c r="Z98" s="7" t="str">
        <f>IF(OR(AE98="",多次统计数据!$B$8=""),"",AE98-多次统计数据!$B$8)</f>
        <v/>
      </c>
      <c r="AA98" s="11" t="str">
        <f t="shared" ref="AA98:AA129" si="43">IF(OR(I98="",M98="",M98&lt;I98),"",M98-I98)</f>
        <v/>
      </c>
      <c r="AB98" s="7" t="str">
        <f>IF(OR(A98="",多次统计数据!$B$8="",多次统计数据!$B$6&lt;=0,多次统计数据!$B$6&gt;=1),"",1-POWER(1+多次统计数据!$B$8,-多次统计数据!$B$6/(1-多次统计数据!$B$6)))</f>
        <v/>
      </c>
      <c r="AC98" s="8" t="str">
        <f>IF(OR(AB98="",多次统计数据!$B$9=""),"",IF(多次统计数据!$B$9&lt;AB98,"低于上限","达到或超过上限"))</f>
        <v/>
      </c>
      <c r="AD98" s="2"/>
      <c r="AE98" s="7" t="str">
        <f t="shared" ref="AE98:AE129" si="44">IF(OR(X98="",C98="",C98&lt;=0),"",X98/C98)</f>
        <v/>
      </c>
      <c r="AF98" s="16"/>
      <c r="AG98" s="2"/>
      <c r="AH98" s="2"/>
      <c r="AI98" s="2"/>
      <c r="AJ98" s="8" t="str">
        <f t="shared" ref="AJ98:AJ129" si="45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10"/>
      <c r="AL98" s="12"/>
      <c r="AM98" s="10"/>
      <c r="AN98" s="12"/>
      <c r="AO98" s="5" t="str">
        <f t="shared" ref="AO98:AO129" si="46">IF(OR(A98="",H98="",H98&lt;=0),"",(E98*H98+IF(AND(AK98&lt;&gt;"",AL98&lt;&gt;""),AK98*AL98,0)+IF(AND(AM98&lt;&gt;"",AN98&lt;&gt;""),AM98*AN98,0))/AP98)</f>
        <v/>
      </c>
      <c r="AP98" s="11" t="str">
        <f t="shared" ref="AP98:AP129" si="47">IF(OR(A98="",H98="",H98&lt;=0),"",H98+IF(AL98="",0,AL98)+IF(AN98="",0,AN98))</f>
        <v/>
      </c>
      <c r="AQ98" s="5" t="str">
        <f>IF(A98="","",IF(M98&lt;&gt;"",0,IF(OR(H98="",N98=""),"",MAX(E98-MAX(N98,IFERROR(SUMPRODUCT(MAX(((持仓跟踪!$A$2:$A$497="每日跟踪")*(持仓跟踪!$B$2:$B$497=A98))*持仓跟踪!$S$2:$S$497)),0)),0)*H98+IF(OR(AK98="",AL98=""),0,MAX(AK98-MAX(N98,IFERROR(SUMPRODUCT(MAX(((持仓跟踪!$A$2:$A$497="每日跟踪")*(持仓跟踪!$B$2:$B$497=A98))*持仓跟踪!$S$2:$S$497)),0)),0)*AL98)+IF(OR(AM98="",AN98=""),0,MAX(AM98-MAX(N98,IFERROR(SUMPRODUCT(MAX(((持仓跟踪!$A$2:$A$497="每日跟踪")*(持仓跟踪!$B$2:$B$497=A98))*持仓跟踪!$S$2:$S$497)),0)),0)*AN98))))</f>
        <v/>
      </c>
      <c r="AR98" s="8" t="str">
        <f ca="1">IF(A98="","",IF(OR(E98="",H98=""),"违规：第一批价格或股数缺失",IF(OR(AND(AK98="",AL98&lt;&gt;""),AND(AK98&lt;&gt;"",AL98="")),"违规：第二批价格与股数须成对填写",IF(OR(AND(AM98="",AN98&lt;&gt;""),AND(AM98&lt;&gt;"",AN98="")),"违规：第三批价格与股数须成对填写",IF(AND(OR(AM98&lt;&gt;"",AN98&lt;&gt;""),OR(AK98="",AL98="")),"违规：必须先完成第二批",IF(OR(H98&lt;=0,H98&lt;&gt;INT(H98),MOD(H98,100)&lt;&gt;0,AND(AL98&lt;&gt;"",OR(AL98&lt;=0,AL98&lt;&gt;INT(AL98),MOD(AL98,100)&lt;&gt;0)),AND(AN98&lt;&gt;"",OR(AN98&lt;=0,AN98&lt;&gt;INT(AN98),MOD(AN98,100)&lt;&gt;0))),"违规：股数须为100股整数倍",IF(AND(OR(AL98&lt;&gt;"",AN98&lt;&gt;""),OR(_LockStatus="已锁仓",_LockStatus="解锁信息不完整")),"违规：锁仓期间禁止加仓",IF(AQ98&gt;C98*D98,"违规：超过单笔风险上限",IF(SUM($AQ$2:$AQ$201)&gt;账户数据!$B$7,"违规：超过账户风险上限","通过")))))))))</f>
        <v/>
      </c>
    </row>
    <row r="99" ht="17" spans="1:44">
      <c r="A99" s="2"/>
      <c r="B99" s="13"/>
      <c r="C99" s="10"/>
      <c r="D99" s="6"/>
      <c r="E99" s="10"/>
      <c r="F99" s="8" t="str">
        <f t="shared" si="36"/>
        <v/>
      </c>
      <c r="G99" s="8" t="str">
        <f ca="1"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COUNTIFS(持仓跟踪!$A$2:$A$497,"止损计划",持仓跟踪!$B$2:$B$497,A99,持仓跟踪!$AC$2:$AC$497,"计划有效")=0,"禁止开仓：请先填写止损计划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9" s="2"/>
      <c r="I99" s="15"/>
      <c r="J99" s="10"/>
      <c r="K99" s="10"/>
      <c r="L99" s="8" t="str">
        <f t="shared" si="37"/>
        <v/>
      </c>
      <c r="M99" s="15"/>
      <c r="N99" s="10"/>
      <c r="O99" s="10"/>
      <c r="P99" s="10"/>
      <c r="Q99" s="2"/>
      <c r="R99" s="2"/>
      <c r="S99" s="2"/>
      <c r="T99" s="2"/>
      <c r="U99" s="7" t="str">
        <f t="shared" si="38"/>
        <v/>
      </c>
      <c r="V99" s="7" t="str">
        <f t="shared" si="39"/>
        <v/>
      </c>
      <c r="W99" s="22" t="str">
        <f t="shared" si="40"/>
        <v/>
      </c>
      <c r="X99" s="5" t="str">
        <f t="shared" si="41"/>
        <v/>
      </c>
      <c r="Y99" s="7" t="str">
        <f t="shared" si="42"/>
        <v/>
      </c>
      <c r="Z99" s="7" t="str">
        <f>IF(OR(AE99="",多次统计数据!$B$8=""),"",AE99-多次统计数据!$B$8)</f>
        <v/>
      </c>
      <c r="AA99" s="11" t="str">
        <f t="shared" si="43"/>
        <v/>
      </c>
      <c r="AB99" s="7" t="str">
        <f>IF(OR(A99="",多次统计数据!$B$8="",多次统计数据!$B$6&lt;=0,多次统计数据!$B$6&gt;=1),"",1-POWER(1+多次统计数据!$B$8,-多次统计数据!$B$6/(1-多次统计数据!$B$6)))</f>
        <v/>
      </c>
      <c r="AC99" s="8" t="str">
        <f>IF(OR(AB99="",多次统计数据!$B$9=""),"",IF(多次统计数据!$B$9&lt;AB99,"低于上限","达到或超过上限"))</f>
        <v/>
      </c>
      <c r="AD99" s="2"/>
      <c r="AE99" s="7" t="str">
        <f t="shared" si="44"/>
        <v/>
      </c>
      <c r="AF99" s="16"/>
      <c r="AG99" s="2"/>
      <c r="AH99" s="2"/>
      <c r="AI99" s="2"/>
      <c r="AJ99" s="8" t="str">
        <f t="shared" si="45"/>
        <v/>
      </c>
      <c r="AK99" s="10"/>
      <c r="AL99" s="12"/>
      <c r="AM99" s="10"/>
      <c r="AN99" s="12"/>
      <c r="AO99" s="5" t="str">
        <f t="shared" si="46"/>
        <v/>
      </c>
      <c r="AP99" s="11" t="str">
        <f t="shared" si="47"/>
        <v/>
      </c>
      <c r="AQ99" s="5" t="str">
        <f>IF(A99="","",IF(M99&lt;&gt;"",0,IF(OR(H99="",N99=""),"",MAX(E99-MAX(N99,IFERROR(SUMPRODUCT(MAX(((持仓跟踪!$A$2:$A$497="每日跟踪")*(持仓跟踪!$B$2:$B$497=A99))*持仓跟踪!$S$2:$S$497)),0)),0)*H99+IF(OR(AK99="",AL99=""),0,MAX(AK99-MAX(N99,IFERROR(SUMPRODUCT(MAX(((持仓跟踪!$A$2:$A$497="每日跟踪")*(持仓跟踪!$B$2:$B$497=A99))*持仓跟踪!$S$2:$S$497)),0)),0)*AL99)+IF(OR(AM99="",AN99=""),0,MAX(AM99-MAX(N99,IFERROR(SUMPRODUCT(MAX(((持仓跟踪!$A$2:$A$497="每日跟踪")*(持仓跟踪!$B$2:$B$497=A99))*持仓跟踪!$S$2:$S$497)),0)),0)*AN99))))</f>
        <v/>
      </c>
      <c r="AR99" s="8" t="str">
        <f ca="1">IF(A99="","",IF(OR(E99="",H99=""),"违规：第一批价格或股数缺失",IF(OR(AND(AK99="",AL99&lt;&gt;""),AND(AK99&lt;&gt;"",AL99="")),"违规：第二批价格与股数须成对填写",IF(OR(AND(AM99="",AN99&lt;&gt;""),AND(AM99&lt;&gt;"",AN99="")),"违规：第三批价格与股数须成对填写",IF(AND(OR(AM99&lt;&gt;"",AN99&lt;&gt;""),OR(AK99="",AL99="")),"违规：必须先完成第二批",IF(OR(H99&lt;=0,H99&lt;&gt;INT(H99),MOD(H99,100)&lt;&gt;0,AND(AL99&lt;&gt;"",OR(AL99&lt;=0,AL99&lt;&gt;INT(AL99),MOD(AL99,100)&lt;&gt;0)),AND(AN99&lt;&gt;"",OR(AN99&lt;=0,AN99&lt;&gt;INT(AN99),MOD(AN99,100)&lt;&gt;0))),"违规：股数须为100股整数倍",IF(AND(OR(AL99&lt;&gt;"",AN99&lt;&gt;""),OR(_LockStatus="已锁仓",_LockStatus="解锁信息不完整")),"违规：锁仓期间禁止加仓",IF(AQ99&gt;C99*D99,"违规：超过单笔风险上限",IF(SUM($AQ$2:$AQ$201)&gt;账户数据!$B$7,"违规：超过账户风险上限","通过")))))))))</f>
        <v/>
      </c>
    </row>
    <row r="100" ht="17" spans="1:44">
      <c r="A100" s="2"/>
      <c r="B100" s="13"/>
      <c r="C100" s="10"/>
      <c r="D100" s="6"/>
      <c r="E100" s="10"/>
      <c r="F100" s="8" t="str">
        <f t="shared" si="36"/>
        <v/>
      </c>
      <c r="G100" s="8" t="str">
        <f ca="1"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COUNTIFS(持仓跟踪!$A$2:$A$497,"止损计划",持仓跟踪!$B$2:$B$497,A100,持仓跟踪!$AC$2:$AC$497,"计划有效")=0,"禁止开仓：请先填写止损计划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0" s="2"/>
      <c r="I100" s="15"/>
      <c r="J100" s="10"/>
      <c r="K100" s="10"/>
      <c r="L100" s="8" t="str">
        <f t="shared" si="37"/>
        <v/>
      </c>
      <c r="M100" s="15"/>
      <c r="N100" s="10"/>
      <c r="O100" s="10"/>
      <c r="P100" s="10"/>
      <c r="Q100" s="2"/>
      <c r="R100" s="2"/>
      <c r="S100" s="2"/>
      <c r="T100" s="2"/>
      <c r="U100" s="7" t="str">
        <f t="shared" si="38"/>
        <v/>
      </c>
      <c r="V100" s="7" t="str">
        <f t="shared" si="39"/>
        <v/>
      </c>
      <c r="W100" s="22" t="str">
        <f t="shared" si="40"/>
        <v/>
      </c>
      <c r="X100" s="5" t="str">
        <f t="shared" si="41"/>
        <v/>
      </c>
      <c r="Y100" s="7" t="str">
        <f t="shared" si="42"/>
        <v/>
      </c>
      <c r="Z100" s="7" t="str">
        <f>IF(OR(AE100="",多次统计数据!$B$8=""),"",AE100-多次统计数据!$B$8)</f>
        <v/>
      </c>
      <c r="AA100" s="11" t="str">
        <f t="shared" si="43"/>
        <v/>
      </c>
      <c r="AB100" s="7" t="str">
        <f>IF(OR(A100="",多次统计数据!$B$8="",多次统计数据!$B$6&lt;=0,多次统计数据!$B$6&gt;=1),"",1-POWER(1+多次统计数据!$B$8,-多次统计数据!$B$6/(1-多次统计数据!$B$6)))</f>
        <v/>
      </c>
      <c r="AC100" s="8" t="str">
        <f>IF(OR(AB100="",多次统计数据!$B$9=""),"",IF(多次统计数据!$B$9&lt;AB100,"低于上限","达到或超过上限"))</f>
        <v/>
      </c>
      <c r="AD100" s="2"/>
      <c r="AE100" s="7" t="str">
        <f t="shared" si="44"/>
        <v/>
      </c>
      <c r="AG100" s="2"/>
      <c r="AH100" s="2"/>
      <c r="AI100" s="2"/>
      <c r="AJ100" s="8" t="str">
        <f t="shared" si="45"/>
        <v/>
      </c>
      <c r="AK100" s="10"/>
      <c r="AL100" s="12"/>
      <c r="AM100" s="10"/>
      <c r="AN100" s="12"/>
      <c r="AO100" s="5" t="str">
        <f t="shared" si="46"/>
        <v/>
      </c>
      <c r="AP100" s="11" t="str">
        <f t="shared" si="47"/>
        <v/>
      </c>
      <c r="AQ100" s="5" t="str">
        <f>IF(A100="","",IF(M100&lt;&gt;"",0,IF(OR(H100="",N100=""),"",MAX(E100-MAX(N100,IFERROR(SUMPRODUCT(MAX(((持仓跟踪!$A$2:$A$497="每日跟踪")*(持仓跟踪!$B$2:$B$497=A100))*持仓跟踪!$S$2:$S$497)),0)),0)*H100+IF(OR(AK100="",AL100=""),0,MAX(AK100-MAX(N100,IFERROR(SUMPRODUCT(MAX(((持仓跟踪!$A$2:$A$497="每日跟踪")*(持仓跟踪!$B$2:$B$497=A100))*持仓跟踪!$S$2:$S$497)),0)),0)*AL100)+IF(OR(AM100="",AN100=""),0,MAX(AM100-MAX(N100,IFERROR(SUMPRODUCT(MAX(((持仓跟踪!$A$2:$A$497="每日跟踪")*(持仓跟踪!$B$2:$B$497=A100))*持仓跟踪!$S$2:$S$497)),0)),0)*AN100))))</f>
        <v/>
      </c>
      <c r="AR100" s="8" t="str">
        <f ca="1">IF(A100="","",IF(OR(E100="",H100=""),"违规：第一批价格或股数缺失",IF(OR(AND(AK100="",AL100&lt;&gt;""),AND(AK100&lt;&gt;"",AL100="")),"违规：第二批价格与股数须成对填写",IF(OR(AND(AM100="",AN100&lt;&gt;""),AND(AM100&lt;&gt;"",AN100="")),"违规：第三批价格与股数须成对填写",IF(AND(OR(AM100&lt;&gt;"",AN100&lt;&gt;""),OR(AK100="",AL100="")),"违规：必须先完成第二批",IF(OR(H100&lt;=0,H100&lt;&gt;INT(H100),MOD(H100,100)&lt;&gt;0,AND(AL100&lt;&gt;"",OR(AL100&lt;=0,AL100&lt;&gt;INT(AL100),MOD(AL100,100)&lt;&gt;0)),AND(AN100&lt;&gt;"",OR(AN100&lt;=0,AN100&lt;&gt;INT(AN100),MOD(AN100,100)&lt;&gt;0))),"违规：股数须为100股整数倍",IF(AND(OR(AL100&lt;&gt;"",AN100&lt;&gt;""),OR(_LockStatus="已锁仓",_LockStatus="解锁信息不完整")),"违规：锁仓期间禁止加仓",IF(AQ100&gt;C100*D100,"违规：超过单笔风险上限",IF(SUM($AQ$2:$AQ$201)&gt;账户数据!$B$7,"违规：超过账户风险上限","通过")))))))))</f>
        <v/>
      </c>
    </row>
    <row r="101" ht="17" spans="1:44">
      <c r="A101" s="2"/>
      <c r="B101" s="13"/>
      <c r="C101" s="10"/>
      <c r="D101" s="6"/>
      <c r="E101" s="10"/>
      <c r="F101" s="8" t="str">
        <f t="shared" si="36"/>
        <v/>
      </c>
      <c r="G101" s="8" t="str">
        <f ca="1"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COUNTIFS(持仓跟踪!$A$2:$A$497,"止损计划",持仓跟踪!$B$2:$B$497,A101,持仓跟踪!$AC$2:$AC$497,"计划有效")=0,"禁止开仓：请先填写止损计划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1" s="2"/>
      <c r="I101" s="15"/>
      <c r="J101" s="10"/>
      <c r="K101" s="10"/>
      <c r="L101" s="8" t="str">
        <f t="shared" si="37"/>
        <v/>
      </c>
      <c r="M101" s="15"/>
      <c r="N101" s="10"/>
      <c r="O101" s="10"/>
      <c r="P101" s="10"/>
      <c r="Q101" s="2"/>
      <c r="R101" s="2"/>
      <c r="S101" s="2"/>
      <c r="T101" s="2"/>
      <c r="U101" s="7" t="str">
        <f t="shared" si="38"/>
        <v/>
      </c>
      <c r="V101" s="7" t="str">
        <f t="shared" si="39"/>
        <v/>
      </c>
      <c r="W101" s="22" t="str">
        <f t="shared" si="40"/>
        <v/>
      </c>
      <c r="X101" s="5" t="str">
        <f t="shared" si="41"/>
        <v/>
      </c>
      <c r="Y101" s="7" t="str">
        <f t="shared" si="42"/>
        <v/>
      </c>
      <c r="Z101" s="7" t="str">
        <f>IF(OR(AE101="",多次统计数据!$B$8=""),"",AE101-多次统计数据!$B$8)</f>
        <v/>
      </c>
      <c r="AA101" s="11" t="str">
        <f t="shared" si="43"/>
        <v/>
      </c>
      <c r="AB101" s="7" t="str">
        <f>IF(OR(A101="",多次统计数据!$B$8="",多次统计数据!$B$6&lt;=0,多次统计数据!$B$6&gt;=1),"",1-POWER(1+多次统计数据!$B$8,-多次统计数据!$B$6/(1-多次统计数据!$B$6)))</f>
        <v/>
      </c>
      <c r="AC101" s="8" t="str">
        <f>IF(OR(AB101="",多次统计数据!$B$9=""),"",IF(多次统计数据!$B$9&lt;AB101,"低于上限","达到或超过上限"))</f>
        <v/>
      </c>
      <c r="AD101" s="2"/>
      <c r="AE101" s="7" t="str">
        <f t="shared" si="44"/>
        <v/>
      </c>
      <c r="AG101" s="2"/>
      <c r="AH101" s="2"/>
      <c r="AI101" s="2"/>
      <c r="AJ101" s="8" t="str">
        <f t="shared" si="45"/>
        <v/>
      </c>
      <c r="AK101" s="10"/>
      <c r="AL101" s="12"/>
      <c r="AM101" s="10"/>
      <c r="AN101" s="12"/>
      <c r="AO101" s="5" t="str">
        <f t="shared" si="46"/>
        <v/>
      </c>
      <c r="AP101" s="11" t="str">
        <f t="shared" si="47"/>
        <v/>
      </c>
      <c r="AQ101" s="5" t="str">
        <f>IF(A101="","",IF(M101&lt;&gt;"",0,IF(OR(H101="",N101=""),"",MAX(E101-MAX(N101,IFERROR(SUMPRODUCT(MAX(((持仓跟踪!$A$2:$A$497="每日跟踪")*(持仓跟踪!$B$2:$B$497=A101))*持仓跟踪!$S$2:$S$497)),0)),0)*H101+IF(OR(AK101="",AL101=""),0,MAX(AK101-MAX(N101,IFERROR(SUMPRODUCT(MAX(((持仓跟踪!$A$2:$A$497="每日跟踪")*(持仓跟踪!$B$2:$B$497=A101))*持仓跟踪!$S$2:$S$497)),0)),0)*AL101)+IF(OR(AM101="",AN101=""),0,MAX(AM101-MAX(N101,IFERROR(SUMPRODUCT(MAX(((持仓跟踪!$A$2:$A$497="每日跟踪")*(持仓跟踪!$B$2:$B$497=A101))*持仓跟踪!$S$2:$S$497)),0)),0)*AN101))))</f>
        <v/>
      </c>
      <c r="AR101" s="8" t="str">
        <f ca="1">IF(A101="","",IF(OR(E101="",H101=""),"违规：第一批价格或股数缺失",IF(OR(AND(AK101="",AL101&lt;&gt;""),AND(AK101&lt;&gt;"",AL101="")),"违规：第二批价格与股数须成对填写",IF(OR(AND(AM101="",AN101&lt;&gt;""),AND(AM101&lt;&gt;"",AN101="")),"违规：第三批价格与股数须成对填写",IF(AND(OR(AM101&lt;&gt;"",AN101&lt;&gt;""),OR(AK101="",AL101="")),"违规：必须先完成第二批",IF(OR(H101&lt;=0,H101&lt;&gt;INT(H101),MOD(H101,100)&lt;&gt;0,AND(AL101&lt;&gt;"",OR(AL101&lt;=0,AL101&lt;&gt;INT(AL101),MOD(AL101,100)&lt;&gt;0)),AND(AN101&lt;&gt;"",OR(AN101&lt;=0,AN101&lt;&gt;INT(AN101),MOD(AN101,100)&lt;&gt;0))),"违规：股数须为100股整数倍",IF(AND(OR(AL101&lt;&gt;"",AN101&lt;&gt;""),OR(_LockStatus="已锁仓",_LockStatus="解锁信息不完整")),"违规：锁仓期间禁止加仓",IF(AQ101&gt;C101*D101,"违规：超过单笔风险上限",IF(SUM($AQ$2:$AQ$201)&gt;账户数据!$B$7,"违规：超过账户风险上限","通过")))))))))</f>
        <v/>
      </c>
    </row>
    <row r="102" ht="17" spans="1:44">
      <c r="A102" s="2"/>
      <c r="B102" s="13"/>
      <c r="C102" s="10"/>
      <c r="D102" s="6"/>
      <c r="E102" s="10"/>
      <c r="F102" s="8" t="str">
        <f t="shared" si="36"/>
        <v/>
      </c>
      <c r="G102" s="8" t="str">
        <f ca="1"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COUNTIFS(持仓跟踪!$A$2:$A$497,"止损计划",持仓跟踪!$B$2:$B$497,A102,持仓跟踪!$AC$2:$AC$497,"计划有效")=0,"禁止开仓：请先填写止损计划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2" s="2"/>
      <c r="I102" s="15"/>
      <c r="J102" s="10"/>
      <c r="K102" s="19"/>
      <c r="L102" s="8" t="str">
        <f t="shared" si="37"/>
        <v/>
      </c>
      <c r="M102" s="15"/>
      <c r="N102" s="10"/>
      <c r="O102" s="10"/>
      <c r="P102" s="10"/>
      <c r="Q102" s="2"/>
      <c r="R102" s="2"/>
      <c r="S102" s="2"/>
      <c r="T102" s="2"/>
      <c r="U102" s="7" t="str">
        <f t="shared" si="38"/>
        <v/>
      </c>
      <c r="V102" s="7" t="str">
        <f t="shared" si="39"/>
        <v/>
      </c>
      <c r="W102" s="22" t="str">
        <f t="shared" si="40"/>
        <v/>
      </c>
      <c r="X102" s="5" t="str">
        <f t="shared" si="41"/>
        <v/>
      </c>
      <c r="Y102" s="7" t="str">
        <f t="shared" si="42"/>
        <v/>
      </c>
      <c r="Z102" s="7" t="str">
        <f>IF(OR(AE102="",多次统计数据!$B$8=""),"",AE102-多次统计数据!$B$8)</f>
        <v/>
      </c>
      <c r="AA102" s="11" t="str">
        <f t="shared" si="43"/>
        <v/>
      </c>
      <c r="AB102" s="7" t="str">
        <f>IF(OR(A102="",多次统计数据!$B$8="",多次统计数据!$B$6&lt;=0,多次统计数据!$B$6&gt;=1),"",1-POWER(1+多次统计数据!$B$8,-多次统计数据!$B$6/(1-多次统计数据!$B$6)))</f>
        <v/>
      </c>
      <c r="AC102" s="8" t="str">
        <f>IF(OR(AB102="",多次统计数据!$B$9=""),"",IF(多次统计数据!$B$9&lt;AB102,"低于上限","达到或超过上限"))</f>
        <v/>
      </c>
      <c r="AD102" s="2"/>
      <c r="AE102" s="7" t="str">
        <f t="shared" si="44"/>
        <v/>
      </c>
      <c r="AG102" s="2"/>
      <c r="AH102" s="2"/>
      <c r="AI102" s="2"/>
      <c r="AJ102" s="8" t="str">
        <f t="shared" si="45"/>
        <v/>
      </c>
      <c r="AK102" s="10"/>
      <c r="AL102" s="12"/>
      <c r="AM102" s="10"/>
      <c r="AN102" s="12"/>
      <c r="AO102" s="5" t="str">
        <f t="shared" si="46"/>
        <v/>
      </c>
      <c r="AP102" s="11" t="str">
        <f t="shared" si="47"/>
        <v/>
      </c>
      <c r="AQ102" s="5" t="str">
        <f>IF(A102="","",IF(M102&lt;&gt;"",0,IF(OR(H102="",N102=""),"",MAX(E102-MAX(N102,IFERROR(SUMPRODUCT(MAX(((持仓跟踪!$A$2:$A$497="每日跟踪")*(持仓跟踪!$B$2:$B$497=A102))*持仓跟踪!$S$2:$S$497)),0)),0)*H102+IF(OR(AK102="",AL102=""),0,MAX(AK102-MAX(N102,IFERROR(SUMPRODUCT(MAX(((持仓跟踪!$A$2:$A$497="每日跟踪")*(持仓跟踪!$B$2:$B$497=A102))*持仓跟踪!$S$2:$S$497)),0)),0)*AL102)+IF(OR(AM102="",AN102=""),0,MAX(AM102-MAX(N102,IFERROR(SUMPRODUCT(MAX(((持仓跟踪!$A$2:$A$497="每日跟踪")*(持仓跟踪!$B$2:$B$497=A102))*持仓跟踪!$S$2:$S$497)),0)),0)*AN102))))</f>
        <v/>
      </c>
      <c r="AR102" s="8" t="str">
        <f ca="1">IF(A102="","",IF(OR(E102="",H102=""),"违规：第一批价格或股数缺失",IF(OR(AND(AK102="",AL102&lt;&gt;""),AND(AK102&lt;&gt;"",AL102="")),"违规：第二批价格与股数须成对填写",IF(OR(AND(AM102="",AN102&lt;&gt;""),AND(AM102&lt;&gt;"",AN102="")),"违规：第三批价格与股数须成对填写",IF(AND(OR(AM102&lt;&gt;"",AN102&lt;&gt;""),OR(AK102="",AL102="")),"违规：必须先完成第二批",IF(OR(H102&lt;=0,H102&lt;&gt;INT(H102),MOD(H102,100)&lt;&gt;0,AND(AL102&lt;&gt;"",OR(AL102&lt;=0,AL102&lt;&gt;INT(AL102),MOD(AL102,100)&lt;&gt;0)),AND(AN102&lt;&gt;"",OR(AN102&lt;=0,AN102&lt;&gt;INT(AN102),MOD(AN102,100)&lt;&gt;0))),"违规：股数须为100股整数倍",IF(AND(OR(AL102&lt;&gt;"",AN102&lt;&gt;""),OR(_LockStatus="已锁仓",_LockStatus="解锁信息不完整")),"违规：锁仓期间禁止加仓",IF(AQ102&gt;C102*D102,"违规：超过单笔风险上限",IF(SUM($AQ$2:$AQ$201)&gt;账户数据!$B$7,"违规：超过账户风险上限","通过")))))))))</f>
        <v/>
      </c>
    </row>
    <row r="103" ht="17" spans="1:44">
      <c r="A103" s="2"/>
      <c r="B103" s="13"/>
      <c r="C103" s="10"/>
      <c r="D103" s="6"/>
      <c r="E103" s="10"/>
      <c r="F103" s="8" t="str">
        <f t="shared" si="36"/>
        <v/>
      </c>
      <c r="G103" s="8" t="str">
        <f ca="1"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COUNTIFS(持仓跟踪!$A$2:$A$497,"止损计划",持仓跟踪!$B$2:$B$497,A103,持仓跟踪!$AC$2:$AC$497,"计划有效")=0,"禁止开仓：请先填写止损计划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3" s="2"/>
      <c r="I103" s="15"/>
      <c r="J103" s="10"/>
      <c r="K103" s="10"/>
      <c r="L103" s="8" t="str">
        <f t="shared" si="37"/>
        <v/>
      </c>
      <c r="M103" s="15"/>
      <c r="N103" s="10"/>
      <c r="O103" s="10"/>
      <c r="P103" s="10"/>
      <c r="Q103" s="2"/>
      <c r="R103" s="2"/>
      <c r="S103" s="2"/>
      <c r="T103" s="2"/>
      <c r="U103" s="7" t="str">
        <f t="shared" si="38"/>
        <v/>
      </c>
      <c r="V103" s="7" t="str">
        <f t="shared" si="39"/>
        <v/>
      </c>
      <c r="W103" s="22" t="str">
        <f t="shared" si="40"/>
        <v/>
      </c>
      <c r="X103" s="5" t="str">
        <f t="shared" si="41"/>
        <v/>
      </c>
      <c r="Y103" s="7" t="str">
        <f t="shared" si="42"/>
        <v/>
      </c>
      <c r="Z103" s="7" t="str">
        <f>IF(OR(AE103="",多次统计数据!$B$8=""),"",AE103-多次统计数据!$B$8)</f>
        <v/>
      </c>
      <c r="AA103" s="11" t="str">
        <f t="shared" si="43"/>
        <v/>
      </c>
      <c r="AB103" s="7" t="str">
        <f>IF(OR(A103="",多次统计数据!$B$8="",多次统计数据!$B$6&lt;=0,多次统计数据!$B$6&gt;=1),"",1-POWER(1+多次统计数据!$B$8,-多次统计数据!$B$6/(1-多次统计数据!$B$6)))</f>
        <v/>
      </c>
      <c r="AC103" s="8" t="str">
        <f>IF(OR(AB103="",多次统计数据!$B$9=""),"",IF(多次统计数据!$B$9&lt;AB103,"低于上限","达到或超过上限"))</f>
        <v/>
      </c>
      <c r="AD103" s="2"/>
      <c r="AE103" s="7" t="str">
        <f t="shared" si="44"/>
        <v/>
      </c>
      <c r="AG103" s="2"/>
      <c r="AH103" s="2"/>
      <c r="AI103" s="2"/>
      <c r="AJ103" s="8" t="str">
        <f t="shared" si="45"/>
        <v/>
      </c>
      <c r="AK103" s="10"/>
      <c r="AL103" s="12"/>
      <c r="AM103" s="10"/>
      <c r="AN103" s="12"/>
      <c r="AO103" s="5" t="str">
        <f t="shared" si="46"/>
        <v/>
      </c>
      <c r="AP103" s="11" t="str">
        <f t="shared" si="47"/>
        <v/>
      </c>
      <c r="AQ103" s="5" t="str">
        <f>IF(A103="","",IF(M103&lt;&gt;"",0,IF(OR(H103="",N103=""),"",MAX(E103-MAX(N103,IFERROR(SUMPRODUCT(MAX(((持仓跟踪!$A$2:$A$497="每日跟踪")*(持仓跟踪!$B$2:$B$497=A103))*持仓跟踪!$S$2:$S$497)),0)),0)*H103+IF(OR(AK103="",AL103=""),0,MAX(AK103-MAX(N103,IFERROR(SUMPRODUCT(MAX(((持仓跟踪!$A$2:$A$497="每日跟踪")*(持仓跟踪!$B$2:$B$497=A103))*持仓跟踪!$S$2:$S$497)),0)),0)*AL103)+IF(OR(AM103="",AN103=""),0,MAX(AM103-MAX(N103,IFERROR(SUMPRODUCT(MAX(((持仓跟踪!$A$2:$A$497="每日跟踪")*(持仓跟踪!$B$2:$B$497=A103))*持仓跟踪!$S$2:$S$497)),0)),0)*AN103))))</f>
        <v/>
      </c>
      <c r="AR103" s="8" t="str">
        <f ca="1">IF(A103="","",IF(OR(E103="",H103=""),"违规：第一批价格或股数缺失",IF(OR(AND(AK103="",AL103&lt;&gt;""),AND(AK103&lt;&gt;"",AL103="")),"违规：第二批价格与股数须成对填写",IF(OR(AND(AM103="",AN103&lt;&gt;""),AND(AM103&lt;&gt;"",AN103="")),"违规：第三批价格与股数须成对填写",IF(AND(OR(AM103&lt;&gt;"",AN103&lt;&gt;""),OR(AK103="",AL103="")),"违规：必须先完成第二批",IF(OR(H103&lt;=0,H103&lt;&gt;INT(H103),MOD(H103,100)&lt;&gt;0,AND(AL103&lt;&gt;"",OR(AL103&lt;=0,AL103&lt;&gt;INT(AL103),MOD(AL103,100)&lt;&gt;0)),AND(AN103&lt;&gt;"",OR(AN103&lt;=0,AN103&lt;&gt;INT(AN103),MOD(AN103,100)&lt;&gt;0))),"违规：股数须为100股整数倍",IF(AND(OR(AL103&lt;&gt;"",AN103&lt;&gt;""),OR(_LockStatus="已锁仓",_LockStatus="解锁信息不完整")),"违规：锁仓期间禁止加仓",IF(AQ103&gt;C103*D103,"违规：超过单笔风险上限",IF(SUM($AQ$2:$AQ$201)&gt;账户数据!$B$7,"违规：超过账户风险上限","通过")))))))))</f>
        <v/>
      </c>
    </row>
    <row r="104" ht="27" customHeight="1" spans="1:44">
      <c r="A104" s="2"/>
      <c r="B104" s="13"/>
      <c r="C104" s="10"/>
      <c r="D104" s="6"/>
      <c r="E104" s="10"/>
      <c r="F104" s="8" t="str">
        <f t="shared" si="36"/>
        <v/>
      </c>
      <c r="G104" s="8" t="str">
        <f ca="1"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COUNTIFS(持仓跟踪!$A$2:$A$497,"止损计划",持仓跟踪!$B$2:$B$497,A104,持仓跟踪!$AC$2:$AC$497,"计划有效")=0,"禁止开仓：请先填写止损计划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4" s="2"/>
      <c r="I104" s="15"/>
      <c r="J104" s="10"/>
      <c r="K104" s="5"/>
      <c r="L104" s="8"/>
      <c r="M104" s="23" t="str">
        <f>IF(A104="","",IFERROR(LOOKUP(2,1/((持仓跟踪!$B$2:$B$497=A104)*(持仓跟踪!$X$2:$X$497="执行卖出")*(持仓跟踪!$H$2:$H$497&lt;&gt;"")),持仓跟踪!$H$2:$H$497),""))</f>
        <v/>
      </c>
      <c r="N104" s="10"/>
      <c r="O104" s="10"/>
      <c r="P104" s="5" t="str">
        <f>IF(A104="","",IFERROR(LOOKUP(2,1/((持仓跟踪!$B$2:$B$497=A104)*(持仓跟踪!$X$2:$X$497="执行卖出")*(持仓跟踪!$AA$2:$AA$497&lt;&gt;"")),持仓跟踪!$AA$2:$AA$497),""))</f>
        <v/>
      </c>
      <c r="Q104" s="2"/>
      <c r="R104" s="2"/>
      <c r="S104" s="2"/>
      <c r="T104" s="2"/>
      <c r="U104" s="7" t="str">
        <f t="shared" si="38"/>
        <v/>
      </c>
      <c r="V104" s="7" t="str">
        <f t="shared" si="39"/>
        <v/>
      </c>
      <c r="W104" s="22" t="str">
        <f t="shared" si="40"/>
        <v/>
      </c>
      <c r="X104" s="5" t="str">
        <f t="shared" si="41"/>
        <v/>
      </c>
      <c r="Y104" s="7" t="str">
        <f t="shared" si="42"/>
        <v/>
      </c>
      <c r="Z104" s="7" t="str">
        <f>IF(OR(AE104="",多次统计数据!$B$8=""),"",AE104-多次统计数据!$B$8)</f>
        <v/>
      </c>
      <c r="AA104" s="11" t="str">
        <f t="shared" si="43"/>
        <v/>
      </c>
      <c r="AB104" s="7" t="str">
        <f>IF(OR(A104="",多次统计数据!$B$8="",多次统计数据!$B$6&lt;=0,多次统计数据!$B$6&gt;=1),"",1-POWER(1+多次统计数据!$B$8,-多次统计数据!$B$6/(1-多次统计数据!$B$6)))</f>
        <v/>
      </c>
      <c r="AC104" s="8" t="str">
        <f>IF(OR(AB104="",多次统计数据!$B$9=""),"",IF(多次统计数据!$B$9&lt;AB104,"低于上限","达到或超过上限"))</f>
        <v/>
      </c>
      <c r="AD104" s="2"/>
      <c r="AE104" s="7" t="str">
        <f t="shared" si="44"/>
        <v/>
      </c>
      <c r="AF104" s="16"/>
      <c r="AG104" s="2"/>
      <c r="AH104" s="2"/>
      <c r="AI104" s="13"/>
      <c r="AJ104" s="8" t="str">
        <f t="shared" si="45"/>
        <v/>
      </c>
      <c r="AK104" s="10"/>
      <c r="AL104" s="12"/>
      <c r="AM104" s="10"/>
      <c r="AN104" s="12"/>
      <c r="AO104" s="5" t="str">
        <f t="shared" si="46"/>
        <v/>
      </c>
      <c r="AP104" s="11" t="str">
        <f t="shared" si="47"/>
        <v/>
      </c>
      <c r="AQ104" s="5" t="str">
        <f>IF(A104="","",IF(M104&lt;&gt;"",0,IF(OR(H104="",N104=""),"",MAX(E104-MAX(N104,IFERROR(SUMPRODUCT(MAX(((持仓跟踪!$A$2:$A$497="每日跟踪")*(持仓跟踪!$B$2:$B$497=A104))*持仓跟踪!$S$2:$S$497)),0)),0)*H104+IF(OR(AK104="",AL104=""),0,MAX(AK104-MAX(N104,IFERROR(SUMPRODUCT(MAX(((持仓跟踪!$A$2:$A$497="每日跟踪")*(持仓跟踪!$B$2:$B$497=A104))*持仓跟踪!$S$2:$S$497)),0)),0)*AL104)+IF(OR(AM104="",AN104=""),0,MAX(AM104-MAX(N104,IFERROR(SUMPRODUCT(MAX(((持仓跟踪!$A$2:$A$497="每日跟踪")*(持仓跟踪!$B$2:$B$497=A104))*持仓跟踪!$S$2:$S$497)),0)),0)*AN104))))</f>
        <v/>
      </c>
      <c r="AR104" s="8" t="str">
        <f ca="1">IF(A104="","",IF(OR(E104="",H104=""),"违规：第一批价格或股数缺失",IF(OR(AND(AK104="",AL104&lt;&gt;""),AND(AK104&lt;&gt;"",AL104="")),"违规：第二批价格与股数须成对填写",IF(OR(AND(AM104="",AN104&lt;&gt;""),AND(AM104&lt;&gt;"",AN104="")),"违规：第三批价格与股数须成对填写",IF(AND(OR(AM104&lt;&gt;"",AN104&lt;&gt;""),OR(AK104="",AL104="")),"违规：必须先完成第二批",IF(OR(H104&lt;=0,H104&lt;&gt;INT(H104),MOD(H104,100)&lt;&gt;0,AND(AL104&lt;&gt;"",OR(AL104&lt;=0,AL104&lt;&gt;INT(AL104),MOD(AL104,100)&lt;&gt;0)),AND(AN104&lt;&gt;"",OR(AN104&lt;=0,AN104&lt;&gt;INT(AN104),MOD(AN104,100)&lt;&gt;0))),"违规：股数须为100股整数倍",IF(AND(OR(AL104&lt;&gt;"",AN104&lt;&gt;""),OR(_LockStatus="已锁仓",_LockStatus="解锁信息不完整")),"违规：锁仓期间禁止加仓",IF(AQ104&gt;C104*D104,"违规：超过单笔风险上限",IF(SUM($AQ$2:$AQ$201)&gt;账户数据!$B$7,"违规：超过账户风险上限","通过")))))))))</f>
        <v/>
      </c>
    </row>
    <row r="105" ht="17" spans="1:44">
      <c r="A105" s="2"/>
      <c r="B105" s="13"/>
      <c r="C105" s="10"/>
      <c r="D105" s="6"/>
      <c r="E105" s="10"/>
      <c r="F105" s="8" t="str">
        <f t="shared" si="36"/>
        <v/>
      </c>
      <c r="G105" s="8" t="str">
        <f ca="1"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COUNTIFS(持仓跟踪!$A$2:$A$497,"止损计划",持仓跟踪!$B$2:$B$497,A105,持仓跟踪!$AC$2:$AC$497,"计划有效")=0,"禁止开仓：请先填写止损计划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5" s="2"/>
      <c r="I105" s="15"/>
      <c r="J105" s="10"/>
      <c r="K105" s="5" t="str">
        <f>IF(A105="","",IFERROR(LOOKUP(2,1/((持仓跟踪!$B$2:$B$497=A105)*(持仓跟踪!$X$2:$X$497="执行卖出")*(持仓跟踪!$Y$2:$Y$497&lt;&gt;"")),持仓跟踪!$Y$2:$Y$497),""))</f>
        <v/>
      </c>
      <c r="L105" s="8" t="str">
        <f>IF(A105="","",IFERROR(LOOKUP(2,1/((持仓跟踪!$B$2:$B$497=A105)*(持仓跟踪!$X$2:$X$497="执行卖出")*(持仓跟踪!$Z$2:$Z$497&lt;&gt;"")),持仓跟踪!$Z$2:$Z$497),""))</f>
        <v/>
      </c>
      <c r="M105" s="23" t="str">
        <f>IF(A105="","",IFERROR(LOOKUP(2,1/((持仓跟踪!$B$2:$B$497=A105)*(持仓跟踪!$X$2:$X$497="执行卖出")*(持仓跟踪!$H$2:$H$497&lt;&gt;"")),持仓跟踪!$H$2:$H$497),""))</f>
        <v/>
      </c>
      <c r="N105" s="10"/>
      <c r="O105" s="10"/>
      <c r="P105" s="5" t="str">
        <f>IF(A105="","",IFERROR(LOOKUP(2,1/((持仓跟踪!$B$2:$B$497=A105)*(持仓跟踪!$X$2:$X$497="执行卖出")*(持仓跟踪!$AA$2:$AA$497&lt;&gt;"")),持仓跟踪!$AA$2:$AA$497),""))</f>
        <v/>
      </c>
      <c r="Q105" s="2"/>
      <c r="R105" s="2"/>
      <c r="S105" s="2"/>
      <c r="T105" s="2"/>
      <c r="U105" s="7" t="str">
        <f t="shared" si="38"/>
        <v/>
      </c>
      <c r="V105" s="7" t="str">
        <f t="shared" si="39"/>
        <v/>
      </c>
      <c r="W105" s="22" t="str">
        <f t="shared" si="40"/>
        <v/>
      </c>
      <c r="X105" s="5" t="str">
        <f t="shared" si="41"/>
        <v/>
      </c>
      <c r="Y105" s="7" t="str">
        <f t="shared" si="42"/>
        <v/>
      </c>
      <c r="Z105" s="7" t="str">
        <f>IF(OR(AE105="",多次统计数据!$B$8=""),"",AE105-多次统计数据!$B$8)</f>
        <v/>
      </c>
      <c r="AA105" s="11" t="str">
        <f t="shared" si="43"/>
        <v/>
      </c>
      <c r="AB105" s="7" t="str">
        <f>IF(OR(A105="",多次统计数据!$B$8="",多次统计数据!$B$6&lt;=0,多次统计数据!$B$6&gt;=1),"",1-POWER(1+多次统计数据!$B$8,-多次统计数据!$B$6/(1-多次统计数据!$B$6)))</f>
        <v/>
      </c>
      <c r="AC105" s="8" t="str">
        <f>IF(OR(AB105="",多次统计数据!$B$9=""),"",IF(多次统计数据!$B$9&lt;AB105,"低于上限","达到或超过上限"))</f>
        <v/>
      </c>
      <c r="AD105" s="2"/>
      <c r="AE105" s="7" t="str">
        <f t="shared" si="44"/>
        <v/>
      </c>
      <c r="AG105" s="2"/>
      <c r="AH105" s="2"/>
      <c r="AI105" s="13"/>
      <c r="AJ105" s="8" t="str">
        <f t="shared" si="45"/>
        <v/>
      </c>
      <c r="AK105" s="10"/>
      <c r="AL105" s="12"/>
      <c r="AM105" s="10"/>
      <c r="AN105" s="12"/>
      <c r="AO105" s="5" t="str">
        <f t="shared" si="46"/>
        <v/>
      </c>
      <c r="AP105" s="11" t="str">
        <f t="shared" si="47"/>
        <v/>
      </c>
      <c r="AQ105" s="5" t="str">
        <f>IF(A105="","",IF(M105&lt;&gt;"",0,IF(OR(H105="",N105=""),"",MAX(E105-MAX(N105,IFERROR(SUMPRODUCT(MAX(((持仓跟踪!$A$2:$A$497="每日跟踪")*(持仓跟踪!$B$2:$B$497=A105))*持仓跟踪!$S$2:$S$497)),0)),0)*H105+IF(OR(AK105="",AL105=""),0,MAX(AK105-MAX(N105,IFERROR(SUMPRODUCT(MAX(((持仓跟踪!$A$2:$A$497="每日跟踪")*(持仓跟踪!$B$2:$B$497=A105))*持仓跟踪!$S$2:$S$497)),0)),0)*AL105)+IF(OR(AM105="",AN105=""),0,MAX(AM105-MAX(N105,IFERROR(SUMPRODUCT(MAX(((持仓跟踪!$A$2:$A$497="每日跟踪")*(持仓跟踪!$B$2:$B$497=A105))*持仓跟踪!$S$2:$S$497)),0)),0)*AN105))))</f>
        <v/>
      </c>
      <c r="AR105" s="8" t="str">
        <f ca="1">IF(A105="","",IF(OR(E105="",H105=""),"违规：第一批价格或股数缺失",IF(OR(AND(AK105="",AL105&lt;&gt;""),AND(AK105&lt;&gt;"",AL105="")),"违规：第二批价格与股数须成对填写",IF(OR(AND(AM105="",AN105&lt;&gt;""),AND(AM105&lt;&gt;"",AN105="")),"违规：第三批价格与股数须成对填写",IF(AND(OR(AM105&lt;&gt;"",AN105&lt;&gt;""),OR(AK105="",AL105="")),"违规：必须先完成第二批",IF(OR(H105&lt;=0,H105&lt;&gt;INT(H105),MOD(H105,100)&lt;&gt;0,AND(AL105&lt;&gt;"",OR(AL105&lt;=0,AL105&lt;&gt;INT(AL105),MOD(AL105,100)&lt;&gt;0)),AND(AN105&lt;&gt;"",OR(AN105&lt;=0,AN105&lt;&gt;INT(AN105),MOD(AN105,100)&lt;&gt;0))),"违规：股数须为100股整数倍",IF(AND(OR(AL105&lt;&gt;"",AN105&lt;&gt;""),OR(_LockStatus="已锁仓",_LockStatus="解锁信息不完整")),"违规：锁仓期间禁止加仓",IF(AQ105&gt;C105*D105,"违规：超过单笔风险上限",IF(SUM($AQ$2:$AQ$201)&gt;账户数据!$B$7,"违规：超过账户风险上限","通过")))))))))</f>
        <v/>
      </c>
    </row>
    <row r="106" ht="17" spans="1:44">
      <c r="A106" s="2"/>
      <c r="B106" s="13"/>
      <c r="C106" s="10"/>
      <c r="D106" s="6"/>
      <c r="E106" s="10"/>
      <c r="F106" s="8" t="str">
        <f t="shared" si="36"/>
        <v/>
      </c>
      <c r="G106" s="8" t="str">
        <f ca="1"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COUNTIFS(持仓跟踪!$A$2:$A$497,"止损计划",持仓跟踪!$B$2:$B$497,A106,持仓跟踪!$AC$2:$AC$497,"计划有效")=0,"禁止开仓：请先填写止损计划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6" s="2"/>
      <c r="I106" s="15"/>
      <c r="J106" s="10"/>
      <c r="K106" s="5" t="str">
        <f>IF(A106="","",IFERROR(LOOKUP(2,1/((持仓跟踪!$B$2:$B$497=A106)*(持仓跟踪!$X$2:$X$497="执行卖出")*(持仓跟踪!$Y$2:$Y$497&lt;&gt;"")),持仓跟踪!$Y$2:$Y$497),""))</f>
        <v/>
      </c>
      <c r="L106" s="8" t="str">
        <f>IF(A106="","",IFERROR(LOOKUP(2,1/((持仓跟踪!$B$2:$B$497=A106)*(持仓跟踪!$X$2:$X$497="执行卖出")*(持仓跟踪!$Z$2:$Z$497&lt;&gt;"")),持仓跟踪!$Z$2:$Z$497),""))</f>
        <v/>
      </c>
      <c r="M106" s="23" t="str">
        <f>IF(A106="","",IFERROR(LOOKUP(2,1/((持仓跟踪!$B$2:$B$497=A106)*(持仓跟踪!$X$2:$X$497="执行卖出")*(持仓跟踪!$H$2:$H$497&lt;&gt;"")),持仓跟踪!$H$2:$H$497),""))</f>
        <v/>
      </c>
      <c r="N106" s="10"/>
      <c r="O106" s="10"/>
      <c r="P106" s="5" t="str">
        <f>IF(A106="","",IFERROR(LOOKUP(2,1/((持仓跟踪!$B$2:$B$497=A106)*(持仓跟踪!$X$2:$X$497="执行卖出")*(持仓跟踪!$AA$2:$AA$497&lt;&gt;"")),持仓跟踪!$AA$2:$AA$497),""))</f>
        <v/>
      </c>
      <c r="Q106" s="2"/>
      <c r="R106" s="2"/>
      <c r="S106" s="2"/>
      <c r="T106" s="2"/>
      <c r="U106" s="7" t="str">
        <f t="shared" si="38"/>
        <v/>
      </c>
      <c r="V106" s="7" t="str">
        <f t="shared" si="39"/>
        <v/>
      </c>
      <c r="W106" s="22" t="str">
        <f t="shared" si="40"/>
        <v/>
      </c>
      <c r="X106" s="5" t="str">
        <f t="shared" si="41"/>
        <v/>
      </c>
      <c r="Y106" s="7" t="str">
        <f t="shared" si="42"/>
        <v/>
      </c>
      <c r="Z106" s="7" t="str">
        <f>IF(OR(AE106="",多次统计数据!$B$8=""),"",AE106-多次统计数据!$B$8)</f>
        <v/>
      </c>
      <c r="AA106" s="11" t="str">
        <f t="shared" si="43"/>
        <v/>
      </c>
      <c r="AB106" s="7" t="str">
        <f>IF(OR(A106="",多次统计数据!$B$8="",多次统计数据!$B$6&lt;=0,多次统计数据!$B$6&gt;=1),"",1-POWER(1+多次统计数据!$B$8,-多次统计数据!$B$6/(1-多次统计数据!$B$6)))</f>
        <v/>
      </c>
      <c r="AC106" s="8" t="str">
        <f>IF(OR(AB106="",多次统计数据!$B$9=""),"",IF(多次统计数据!$B$9&lt;AB106,"低于上限","达到或超过上限"))</f>
        <v/>
      </c>
      <c r="AD106" s="2"/>
      <c r="AE106" s="7" t="str">
        <f t="shared" si="44"/>
        <v/>
      </c>
      <c r="AG106" s="2"/>
      <c r="AH106" s="2"/>
      <c r="AI106" s="2"/>
      <c r="AJ106" s="8" t="str">
        <f t="shared" si="45"/>
        <v/>
      </c>
      <c r="AK106" s="10"/>
      <c r="AL106" s="12"/>
      <c r="AM106" s="10"/>
      <c r="AN106" s="12"/>
      <c r="AO106" s="5" t="str">
        <f t="shared" si="46"/>
        <v/>
      </c>
      <c r="AP106" s="11" t="str">
        <f t="shared" si="47"/>
        <v/>
      </c>
      <c r="AQ106" s="5" t="str">
        <f>IF(A106="","",IF(M106&lt;&gt;"",0,IF(OR(H106="",N106=""),"",MAX(E106-MAX(N106,IFERROR(SUMPRODUCT(MAX(((持仓跟踪!$A$2:$A$497="每日跟踪")*(持仓跟踪!$B$2:$B$497=A106))*持仓跟踪!$S$2:$S$497)),0)),0)*H106+IF(OR(AK106="",AL106=""),0,MAX(AK106-MAX(N106,IFERROR(SUMPRODUCT(MAX(((持仓跟踪!$A$2:$A$497="每日跟踪")*(持仓跟踪!$B$2:$B$497=A106))*持仓跟踪!$S$2:$S$497)),0)),0)*AL106)+IF(OR(AM106="",AN106=""),0,MAX(AM106-MAX(N106,IFERROR(SUMPRODUCT(MAX(((持仓跟踪!$A$2:$A$497="每日跟踪")*(持仓跟踪!$B$2:$B$497=A106))*持仓跟踪!$S$2:$S$497)),0)),0)*AN106))))</f>
        <v/>
      </c>
      <c r="AR106" s="8" t="str">
        <f ca="1">IF(A106="","",IF(OR(E106="",H106=""),"违规：第一批价格或股数缺失",IF(OR(AND(AK106="",AL106&lt;&gt;""),AND(AK106&lt;&gt;"",AL106="")),"违规：第二批价格与股数须成对填写",IF(OR(AND(AM106="",AN106&lt;&gt;""),AND(AM106&lt;&gt;"",AN106="")),"违规：第三批价格与股数须成对填写",IF(AND(OR(AM106&lt;&gt;"",AN106&lt;&gt;""),OR(AK106="",AL106="")),"违规：必须先完成第二批",IF(OR(H106&lt;=0,H106&lt;&gt;INT(H106),MOD(H106,100)&lt;&gt;0,AND(AL106&lt;&gt;"",OR(AL106&lt;=0,AL106&lt;&gt;INT(AL106),MOD(AL106,100)&lt;&gt;0)),AND(AN106&lt;&gt;"",OR(AN106&lt;=0,AN106&lt;&gt;INT(AN106),MOD(AN106,100)&lt;&gt;0))),"违规：股数须为100股整数倍",IF(AND(OR(AL106&lt;&gt;"",AN106&lt;&gt;""),OR(_LockStatus="已锁仓",_LockStatus="解锁信息不完整")),"违规：锁仓期间禁止加仓",IF(AQ106&gt;C106*D106,"违规：超过单笔风险上限",IF(SUM($AQ$2:$AQ$201)&gt;账户数据!$B$7,"违规：超过账户风险上限","通过")))))))))</f>
        <v/>
      </c>
    </row>
    <row r="107" ht="17" spans="1:44">
      <c r="A107" s="2"/>
      <c r="B107" s="13"/>
      <c r="C107" s="10"/>
      <c r="D107" s="6"/>
      <c r="E107" s="10"/>
      <c r="F107" s="8" t="str">
        <f t="shared" si="36"/>
        <v/>
      </c>
      <c r="G107" s="8" t="str">
        <f ca="1"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COUNTIFS(持仓跟踪!$A$2:$A$497,"止损计划",持仓跟踪!$B$2:$B$497,A107,持仓跟踪!$AC$2:$AC$497,"计划有效")=0,"禁止开仓：请先填写止损计划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7" s="2"/>
      <c r="I107" s="15"/>
      <c r="J107" s="10"/>
      <c r="K107" s="5" t="str">
        <f>IF(A107="","",IFERROR(LOOKUP(2,1/((持仓跟踪!$B$2:$B$497=A107)*(持仓跟踪!$X$2:$X$497="执行卖出")*(持仓跟踪!$Y$2:$Y$497&lt;&gt;"")),持仓跟踪!$Y$2:$Y$497),""))</f>
        <v/>
      </c>
      <c r="L107" s="8" t="str">
        <f>IF(A107="","",IFERROR(LOOKUP(2,1/((持仓跟踪!$B$2:$B$497=A107)*(持仓跟踪!$X$2:$X$497="执行卖出")*(持仓跟踪!$Z$2:$Z$497&lt;&gt;"")),持仓跟踪!$Z$2:$Z$497),""))</f>
        <v/>
      </c>
      <c r="M107" s="23" t="str">
        <f>IF(A107="","",IFERROR(LOOKUP(2,1/((持仓跟踪!$B$2:$B$497=A107)*(持仓跟踪!$X$2:$X$497="执行卖出")*(持仓跟踪!$H$2:$H$497&lt;&gt;"")),持仓跟踪!$H$2:$H$497),""))</f>
        <v/>
      </c>
      <c r="N107" s="10"/>
      <c r="O107" s="10"/>
      <c r="P107" s="5" t="str">
        <f>IF(A107="","",IFERROR(LOOKUP(2,1/((持仓跟踪!$B$2:$B$497=A107)*(持仓跟踪!$X$2:$X$497="执行卖出")*(持仓跟踪!$AA$2:$AA$497&lt;&gt;"")),持仓跟踪!$AA$2:$AA$497),""))</f>
        <v/>
      </c>
      <c r="Q107" s="2"/>
      <c r="R107" s="2"/>
      <c r="S107" s="2"/>
      <c r="T107" s="2"/>
      <c r="U107" s="7" t="str">
        <f t="shared" si="38"/>
        <v/>
      </c>
      <c r="V107" s="7" t="str">
        <f t="shared" si="39"/>
        <v/>
      </c>
      <c r="W107" s="22" t="str">
        <f t="shared" si="40"/>
        <v/>
      </c>
      <c r="X107" s="5" t="str">
        <f t="shared" si="41"/>
        <v/>
      </c>
      <c r="Y107" s="7" t="str">
        <f t="shared" si="42"/>
        <v/>
      </c>
      <c r="Z107" s="7" t="str">
        <f>IF(OR(AE107="",多次统计数据!$B$8=""),"",AE107-多次统计数据!$B$8)</f>
        <v/>
      </c>
      <c r="AA107" s="11" t="str">
        <f t="shared" si="43"/>
        <v/>
      </c>
      <c r="AB107" s="7" t="str">
        <f>IF(OR(A107="",多次统计数据!$B$8="",多次统计数据!$B$6&lt;=0,多次统计数据!$B$6&gt;=1),"",1-POWER(1+多次统计数据!$B$8,-多次统计数据!$B$6/(1-多次统计数据!$B$6)))</f>
        <v/>
      </c>
      <c r="AC107" s="8" t="str">
        <f>IF(OR(AB107="",多次统计数据!$B$9=""),"",IF(多次统计数据!$B$9&lt;AB107,"低于上限","达到或超过上限"))</f>
        <v/>
      </c>
      <c r="AD107" s="2"/>
      <c r="AE107" s="7" t="str">
        <f t="shared" si="44"/>
        <v/>
      </c>
      <c r="AG107" s="2"/>
      <c r="AH107" s="2"/>
      <c r="AI107" s="2"/>
      <c r="AJ107" s="8" t="str">
        <f t="shared" si="45"/>
        <v/>
      </c>
      <c r="AK107" s="10"/>
      <c r="AL107" s="12"/>
      <c r="AM107" s="10"/>
      <c r="AN107" s="12"/>
      <c r="AO107" s="5" t="str">
        <f t="shared" si="46"/>
        <v/>
      </c>
      <c r="AP107" s="11" t="str">
        <f t="shared" si="47"/>
        <v/>
      </c>
      <c r="AQ107" s="5" t="str">
        <f>IF(A107="","",IF(M107&lt;&gt;"",0,IF(OR(H107="",N107=""),"",MAX(E107-MAX(N107,IFERROR(SUMPRODUCT(MAX(((持仓跟踪!$A$2:$A$497="每日跟踪")*(持仓跟踪!$B$2:$B$497=A107))*持仓跟踪!$S$2:$S$497)),0)),0)*H107+IF(OR(AK107="",AL107=""),0,MAX(AK107-MAX(N107,IFERROR(SUMPRODUCT(MAX(((持仓跟踪!$A$2:$A$497="每日跟踪")*(持仓跟踪!$B$2:$B$497=A107))*持仓跟踪!$S$2:$S$497)),0)),0)*AL107)+IF(OR(AM107="",AN107=""),0,MAX(AM107-MAX(N107,IFERROR(SUMPRODUCT(MAX(((持仓跟踪!$A$2:$A$497="每日跟踪")*(持仓跟踪!$B$2:$B$497=A107))*持仓跟踪!$S$2:$S$497)),0)),0)*AN107))))</f>
        <v/>
      </c>
      <c r="AR107" s="8" t="str">
        <f ca="1">IF(A107="","",IF(OR(E107="",H107=""),"违规：第一批价格或股数缺失",IF(OR(AND(AK107="",AL107&lt;&gt;""),AND(AK107&lt;&gt;"",AL107="")),"违规：第二批价格与股数须成对填写",IF(OR(AND(AM107="",AN107&lt;&gt;""),AND(AM107&lt;&gt;"",AN107="")),"违规：第三批价格与股数须成对填写",IF(AND(OR(AM107&lt;&gt;"",AN107&lt;&gt;""),OR(AK107="",AL107="")),"违规：必须先完成第二批",IF(OR(H107&lt;=0,H107&lt;&gt;INT(H107),MOD(H107,100)&lt;&gt;0,AND(AL107&lt;&gt;"",OR(AL107&lt;=0,AL107&lt;&gt;INT(AL107),MOD(AL107,100)&lt;&gt;0)),AND(AN107&lt;&gt;"",OR(AN107&lt;=0,AN107&lt;&gt;INT(AN107),MOD(AN107,100)&lt;&gt;0))),"违规：股数须为100股整数倍",IF(AND(OR(AL107&lt;&gt;"",AN107&lt;&gt;""),OR(_LockStatus="已锁仓",_LockStatus="解锁信息不完整")),"违规：锁仓期间禁止加仓",IF(AQ107&gt;C107*D107,"违规：超过单笔风险上限",IF(SUM($AQ$2:$AQ$201)&gt;账户数据!$B$7,"违规：超过账户风险上限","通过")))))))))</f>
        <v/>
      </c>
    </row>
    <row r="108" ht="17" spans="1:44">
      <c r="A108" s="2"/>
      <c r="B108" s="2"/>
      <c r="C108" s="10"/>
      <c r="D108" s="6"/>
      <c r="E108" s="10"/>
      <c r="F108" s="8" t="str">
        <f t="shared" si="36"/>
        <v/>
      </c>
      <c r="G108" s="8" t="str">
        <f ca="1"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COUNTIFS(持仓跟踪!$A$2:$A$497,"止损计划",持仓跟踪!$B$2:$B$497,A108,持仓跟踪!$AC$2:$AC$497,"计划有效")=0,"禁止开仓：请先填写止损计划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8" s="2"/>
      <c r="I108" s="15"/>
      <c r="J108" s="10"/>
      <c r="K108" s="5" t="str">
        <f>IF(A108="","",IFERROR(LOOKUP(2,1/((持仓跟踪!$B$2:$B$497=A108)*(持仓跟踪!$X$2:$X$497="执行卖出")*(持仓跟踪!$Y$2:$Y$497&lt;&gt;"")),持仓跟踪!$Y$2:$Y$497),""))</f>
        <v/>
      </c>
      <c r="L108" s="8" t="str">
        <f>IF(A108="","",IFERROR(LOOKUP(2,1/((持仓跟踪!$B$2:$B$497=A108)*(持仓跟踪!$X$2:$X$497="执行卖出")*(持仓跟踪!$Z$2:$Z$497&lt;&gt;"")),持仓跟踪!$Z$2:$Z$497),""))</f>
        <v/>
      </c>
      <c r="M108" s="23" t="str">
        <f>IF(A108="","",IFERROR(LOOKUP(2,1/((持仓跟踪!$B$2:$B$497=A108)*(持仓跟踪!$X$2:$X$497="执行卖出")*(持仓跟踪!$H$2:$H$497&lt;&gt;"")),持仓跟踪!$H$2:$H$497),""))</f>
        <v/>
      </c>
      <c r="N108" s="10"/>
      <c r="O108" s="10"/>
      <c r="P108" s="5" t="str">
        <f>IF(A108="","",IFERROR(LOOKUP(2,1/((持仓跟踪!$B$2:$B$497=A108)*(持仓跟踪!$X$2:$X$497="执行卖出")*(持仓跟踪!$AA$2:$AA$497&lt;&gt;"")),持仓跟踪!$AA$2:$AA$497),""))</f>
        <v/>
      </c>
      <c r="Q108" s="2"/>
      <c r="R108" s="2"/>
      <c r="S108" s="2"/>
      <c r="T108" s="2"/>
      <c r="U108" s="7" t="str">
        <f t="shared" si="38"/>
        <v/>
      </c>
      <c r="V108" s="7" t="str">
        <f t="shared" si="39"/>
        <v/>
      </c>
      <c r="W108" s="22" t="str">
        <f t="shared" si="40"/>
        <v/>
      </c>
      <c r="X108" s="5" t="str">
        <f t="shared" si="41"/>
        <v/>
      </c>
      <c r="Y108" s="7" t="str">
        <f t="shared" si="42"/>
        <v/>
      </c>
      <c r="Z108" s="7" t="str">
        <f>IF(OR(AE108="",多次统计数据!$B$8=""),"",AE108-多次统计数据!$B$8)</f>
        <v/>
      </c>
      <c r="AA108" s="11" t="str">
        <f t="shared" si="43"/>
        <v/>
      </c>
      <c r="AB108" s="7" t="str">
        <f>IF(OR(A108="",多次统计数据!$B$8="",多次统计数据!$B$6&lt;=0,多次统计数据!$B$6&gt;=1),"",1-POWER(1+多次统计数据!$B$8,-多次统计数据!$B$6/(1-多次统计数据!$B$6)))</f>
        <v/>
      </c>
      <c r="AC108" s="8" t="str">
        <f>IF(OR(AB108="",多次统计数据!$B$9=""),"",IF(多次统计数据!$B$9&lt;AB108,"低于上限","达到或超过上限"))</f>
        <v/>
      </c>
      <c r="AD108" s="2"/>
      <c r="AE108" s="7" t="str">
        <f t="shared" si="44"/>
        <v/>
      </c>
      <c r="AG108" s="2"/>
      <c r="AH108" s="2"/>
      <c r="AI108" s="2"/>
      <c r="AJ108" s="8" t="str">
        <f t="shared" si="45"/>
        <v/>
      </c>
      <c r="AK108" s="10"/>
      <c r="AL108" s="12"/>
      <c r="AM108" s="10"/>
      <c r="AN108" s="12"/>
      <c r="AO108" s="5" t="str">
        <f t="shared" si="46"/>
        <v/>
      </c>
      <c r="AP108" s="11" t="str">
        <f t="shared" si="47"/>
        <v/>
      </c>
      <c r="AQ108" s="5" t="str">
        <f>IF(A108="","",IF(M108&lt;&gt;"",0,IF(OR(H108="",N108=""),"",MAX(E108-MAX(N108,IFERROR(SUMPRODUCT(MAX(((持仓跟踪!$A$2:$A$497="每日跟踪")*(持仓跟踪!$B$2:$B$497=A108))*持仓跟踪!$S$2:$S$497)),0)),0)*H108+IF(OR(AK108="",AL108=""),0,MAX(AK108-MAX(N108,IFERROR(SUMPRODUCT(MAX(((持仓跟踪!$A$2:$A$497="每日跟踪")*(持仓跟踪!$B$2:$B$497=A108))*持仓跟踪!$S$2:$S$497)),0)),0)*AL108)+IF(OR(AM108="",AN108=""),0,MAX(AM108-MAX(N108,IFERROR(SUMPRODUCT(MAX(((持仓跟踪!$A$2:$A$497="每日跟踪")*(持仓跟踪!$B$2:$B$497=A108))*持仓跟踪!$S$2:$S$497)),0)),0)*AN108))))</f>
        <v/>
      </c>
      <c r="AR108" s="8" t="str">
        <f ca="1">IF(A108="","",IF(OR(E108="",H108=""),"违规：第一批价格或股数缺失",IF(OR(AND(AK108="",AL108&lt;&gt;""),AND(AK108&lt;&gt;"",AL108="")),"违规：第二批价格与股数须成对填写",IF(OR(AND(AM108="",AN108&lt;&gt;""),AND(AM108&lt;&gt;"",AN108="")),"违规：第三批价格与股数须成对填写",IF(AND(OR(AM108&lt;&gt;"",AN108&lt;&gt;""),OR(AK108="",AL108="")),"违规：必须先完成第二批",IF(OR(H108&lt;=0,H108&lt;&gt;INT(H108),MOD(H108,100)&lt;&gt;0,AND(AL108&lt;&gt;"",OR(AL108&lt;=0,AL108&lt;&gt;INT(AL108),MOD(AL108,100)&lt;&gt;0)),AND(AN108&lt;&gt;"",OR(AN108&lt;=0,AN108&lt;&gt;INT(AN108),MOD(AN108,100)&lt;&gt;0))),"违规：股数须为100股整数倍",IF(AND(OR(AL108&lt;&gt;"",AN108&lt;&gt;""),OR(_LockStatus="已锁仓",_LockStatus="解锁信息不完整")),"违规：锁仓期间禁止加仓",IF(AQ108&gt;C108*D108,"违规：超过单笔风险上限",IF(SUM($AQ$2:$AQ$201)&gt;账户数据!$B$7,"违规：超过账户风险上限","通过")))))))))</f>
        <v/>
      </c>
    </row>
    <row r="109" ht="17" spans="1:44">
      <c r="A109" s="2"/>
      <c r="B109" s="2"/>
      <c r="C109" s="10"/>
      <c r="D109" s="6"/>
      <c r="E109" s="10"/>
      <c r="F109" s="8" t="str">
        <f t="shared" si="36"/>
        <v/>
      </c>
      <c r="G109" s="8" t="str">
        <f ca="1"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COUNTIFS(持仓跟踪!$A$2:$A$497,"止损计划",持仓跟踪!$B$2:$B$497,A109,持仓跟踪!$AC$2:$AC$497,"计划有效")=0,"禁止开仓：请先填写止损计划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9" s="2"/>
      <c r="I109" s="15"/>
      <c r="J109" s="10"/>
      <c r="K109" s="5"/>
      <c r="L109" s="8" t="str">
        <f>IF(A109="","",IFERROR(LOOKUP(2,1/((持仓跟踪!$B$2:$B$497=A109)*(持仓跟踪!$X$2:$X$497="执行卖出")*(持仓跟踪!$Z$2:$Z$497&lt;&gt;"")),持仓跟踪!$Z$2:$Z$497),""))</f>
        <v/>
      </c>
      <c r="M109" s="23" t="str">
        <f>IF(A109="","",IFERROR(LOOKUP(2,1/((持仓跟踪!$B$2:$B$497=A109)*(持仓跟踪!$X$2:$X$497="执行卖出")*(持仓跟踪!$H$2:$H$497&lt;&gt;"")),持仓跟踪!$H$2:$H$497),""))</f>
        <v/>
      </c>
      <c r="N109" s="10"/>
      <c r="O109" s="10"/>
      <c r="P109" s="5" t="str">
        <f>IF(A109="","",IFERROR(LOOKUP(2,1/((持仓跟踪!$B$2:$B$497=A109)*(持仓跟踪!$X$2:$X$497="执行卖出")*(持仓跟踪!$AA$2:$AA$497&lt;&gt;"")),持仓跟踪!$AA$2:$AA$497),""))</f>
        <v/>
      </c>
      <c r="Q109" s="2"/>
      <c r="R109" s="2"/>
      <c r="S109" s="2"/>
      <c r="T109" s="2"/>
      <c r="U109" s="7" t="str">
        <f t="shared" si="38"/>
        <v/>
      </c>
      <c r="V109" s="7" t="str">
        <f t="shared" si="39"/>
        <v/>
      </c>
      <c r="W109" s="22" t="str">
        <f t="shared" si="40"/>
        <v/>
      </c>
      <c r="X109" s="5" t="str">
        <f t="shared" si="41"/>
        <v/>
      </c>
      <c r="Y109" s="7" t="str">
        <f t="shared" si="42"/>
        <v/>
      </c>
      <c r="Z109" s="7" t="str">
        <f>IF(OR(AE109="",多次统计数据!$B$8=""),"",AE109-多次统计数据!$B$8)</f>
        <v/>
      </c>
      <c r="AA109" s="11" t="str">
        <f t="shared" si="43"/>
        <v/>
      </c>
      <c r="AB109" s="7" t="str">
        <f>IF(OR(A109="",多次统计数据!$B$8="",多次统计数据!$B$6&lt;=0,多次统计数据!$B$6&gt;=1),"",1-POWER(1+多次统计数据!$B$8,-多次统计数据!$B$6/(1-多次统计数据!$B$6)))</f>
        <v/>
      </c>
      <c r="AC109" s="8" t="str">
        <f>IF(OR(AB109="",多次统计数据!$B$9=""),"",IF(多次统计数据!$B$9&lt;AB109,"低于上限","达到或超过上限"))</f>
        <v/>
      </c>
      <c r="AD109" s="2"/>
      <c r="AE109" s="7" t="str">
        <f t="shared" si="44"/>
        <v/>
      </c>
      <c r="AG109" s="2"/>
      <c r="AH109" s="2"/>
      <c r="AI109" s="2"/>
      <c r="AJ109" s="8" t="str">
        <f t="shared" si="45"/>
        <v/>
      </c>
      <c r="AK109" s="10"/>
      <c r="AL109" s="12"/>
      <c r="AM109" s="10"/>
      <c r="AN109" s="12"/>
      <c r="AO109" s="5" t="str">
        <f t="shared" si="46"/>
        <v/>
      </c>
      <c r="AP109" s="11" t="str">
        <f t="shared" si="47"/>
        <v/>
      </c>
      <c r="AQ109" s="5" t="str">
        <f>IF(A109="","",IF(M109&lt;&gt;"",0,IF(OR(H109="",N109=""),"",MAX(E109-MAX(N109,IFERROR(SUMPRODUCT(MAX(((持仓跟踪!$A$2:$A$497="每日跟踪")*(持仓跟踪!$B$2:$B$497=A109))*持仓跟踪!$S$2:$S$497)),0)),0)*H109+IF(OR(AK109="",AL109=""),0,MAX(AK109-MAX(N109,IFERROR(SUMPRODUCT(MAX(((持仓跟踪!$A$2:$A$497="每日跟踪")*(持仓跟踪!$B$2:$B$497=A109))*持仓跟踪!$S$2:$S$497)),0)),0)*AL109)+IF(OR(AM109="",AN109=""),0,MAX(AM109-MAX(N109,IFERROR(SUMPRODUCT(MAX(((持仓跟踪!$A$2:$A$497="每日跟踪")*(持仓跟踪!$B$2:$B$497=A109))*持仓跟踪!$S$2:$S$497)),0)),0)*AN109))))</f>
        <v/>
      </c>
      <c r="AR109" s="8" t="str">
        <f ca="1">IF(A109="","",IF(OR(E109="",H109=""),"违规：第一批价格或股数缺失",IF(OR(AND(AK109="",AL109&lt;&gt;""),AND(AK109&lt;&gt;"",AL109="")),"违规：第二批价格与股数须成对填写",IF(OR(AND(AM109="",AN109&lt;&gt;""),AND(AM109&lt;&gt;"",AN109="")),"违规：第三批价格与股数须成对填写",IF(AND(OR(AM109&lt;&gt;"",AN109&lt;&gt;""),OR(AK109="",AL109="")),"违规：必须先完成第二批",IF(OR(H109&lt;=0,H109&lt;&gt;INT(H109),MOD(H109,100)&lt;&gt;0,AND(AL109&lt;&gt;"",OR(AL109&lt;=0,AL109&lt;&gt;INT(AL109),MOD(AL109,100)&lt;&gt;0)),AND(AN109&lt;&gt;"",OR(AN109&lt;=0,AN109&lt;&gt;INT(AN109),MOD(AN109,100)&lt;&gt;0))),"违规：股数须为100股整数倍",IF(AND(OR(AL109&lt;&gt;"",AN109&lt;&gt;""),OR(_LockStatus="已锁仓",_LockStatus="解锁信息不完整")),"违规：锁仓期间禁止加仓",IF(AQ109&gt;C109*D109,"违规：超过单笔风险上限",IF(SUM($AQ$2:$AQ$201)&gt;账户数据!$B$7,"违规：超过账户风险上限","通过")))))))))</f>
        <v/>
      </c>
    </row>
    <row r="110" ht="17" spans="1:44">
      <c r="A110" s="2"/>
      <c r="B110" s="2"/>
      <c r="C110" s="10"/>
      <c r="D110" s="6"/>
      <c r="E110" s="10"/>
      <c r="F110" s="8" t="str">
        <f t="shared" si="36"/>
        <v/>
      </c>
      <c r="G110" s="8" t="str">
        <f ca="1"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COUNTIFS(持仓跟踪!$A$2:$A$497,"止损计划",持仓跟踪!$B$2:$B$497,A110,持仓跟踪!$AC$2:$AC$497,"计划有效")=0,"禁止开仓：请先填写止损计划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0" s="2"/>
      <c r="I110" s="15"/>
      <c r="J110" s="10"/>
      <c r="K110" s="5" t="str">
        <f>IF(A110="","",IFERROR(LOOKUP(2,1/((持仓跟踪!$B$2:$B$497=A110)*(持仓跟踪!$X$2:$X$497="执行卖出")*(持仓跟踪!$Y$2:$Y$497&lt;&gt;"")),持仓跟踪!$Y$2:$Y$497),""))</f>
        <v/>
      </c>
      <c r="L110" s="8" t="str">
        <f>IF(A110="","",IFERROR(LOOKUP(2,1/((持仓跟踪!$B$2:$B$497=A110)*(持仓跟踪!$X$2:$X$497="执行卖出")*(持仓跟踪!$Z$2:$Z$497&lt;&gt;"")),持仓跟踪!$Z$2:$Z$497),""))</f>
        <v/>
      </c>
      <c r="M110" s="23" t="str">
        <f>IF(A110="","",IFERROR(LOOKUP(2,1/((持仓跟踪!$B$2:$B$497=A110)*(持仓跟踪!$X$2:$X$497="执行卖出")*(持仓跟踪!$H$2:$H$497&lt;&gt;"")),持仓跟踪!$H$2:$H$497),""))</f>
        <v/>
      </c>
      <c r="N110" s="10"/>
      <c r="O110" s="10"/>
      <c r="P110" s="5" t="str">
        <f>IF(A110="","",IFERROR(LOOKUP(2,1/((持仓跟踪!$B$2:$B$497=A110)*(持仓跟踪!$X$2:$X$497="执行卖出")*(持仓跟踪!$AA$2:$AA$497&lt;&gt;"")),持仓跟踪!$AA$2:$AA$497),""))</f>
        <v/>
      </c>
      <c r="Q110" s="2"/>
      <c r="R110" s="2"/>
      <c r="S110" s="2"/>
      <c r="T110" s="2"/>
      <c r="U110" s="7" t="str">
        <f t="shared" si="38"/>
        <v/>
      </c>
      <c r="V110" s="7" t="str">
        <f t="shared" si="39"/>
        <v/>
      </c>
      <c r="W110" s="22" t="str">
        <f t="shared" si="40"/>
        <v/>
      </c>
      <c r="X110" s="5" t="str">
        <f t="shared" si="41"/>
        <v/>
      </c>
      <c r="Y110" s="7" t="str">
        <f t="shared" si="42"/>
        <v/>
      </c>
      <c r="Z110" s="7" t="str">
        <f>IF(OR(AE110="",多次统计数据!$B$8=""),"",AE110-多次统计数据!$B$8)</f>
        <v/>
      </c>
      <c r="AA110" s="11" t="str">
        <f t="shared" si="43"/>
        <v/>
      </c>
      <c r="AB110" s="7" t="str">
        <f>IF(OR(A110="",多次统计数据!$B$8="",多次统计数据!$B$6&lt;=0,多次统计数据!$B$6&gt;=1),"",1-POWER(1+多次统计数据!$B$8,-多次统计数据!$B$6/(1-多次统计数据!$B$6)))</f>
        <v/>
      </c>
      <c r="AC110" s="8" t="str">
        <f>IF(OR(AB110="",多次统计数据!$B$9=""),"",IF(多次统计数据!$B$9&lt;AB110,"低于上限","达到或超过上限"))</f>
        <v/>
      </c>
      <c r="AD110" s="2"/>
      <c r="AE110" s="7" t="str">
        <f t="shared" si="44"/>
        <v/>
      </c>
      <c r="AG110" s="2"/>
      <c r="AH110" s="2"/>
      <c r="AI110" s="2"/>
      <c r="AJ110" s="8" t="str">
        <f t="shared" si="45"/>
        <v/>
      </c>
      <c r="AK110" s="10"/>
      <c r="AL110" s="12"/>
      <c r="AM110" s="10"/>
      <c r="AN110" s="12"/>
      <c r="AO110" s="5" t="str">
        <f t="shared" si="46"/>
        <v/>
      </c>
      <c r="AP110" s="11" t="str">
        <f t="shared" si="47"/>
        <v/>
      </c>
      <c r="AQ110" s="5" t="str">
        <f>IF(A110="","",IF(M110&lt;&gt;"",0,IF(OR(H110="",N110=""),"",MAX(E110-MAX(N110,IFERROR(SUMPRODUCT(MAX(((持仓跟踪!$A$2:$A$497="每日跟踪")*(持仓跟踪!$B$2:$B$497=A110))*持仓跟踪!$S$2:$S$497)),0)),0)*H110+IF(OR(AK110="",AL110=""),0,MAX(AK110-MAX(N110,IFERROR(SUMPRODUCT(MAX(((持仓跟踪!$A$2:$A$497="每日跟踪")*(持仓跟踪!$B$2:$B$497=A110))*持仓跟踪!$S$2:$S$497)),0)),0)*AL110)+IF(OR(AM110="",AN110=""),0,MAX(AM110-MAX(N110,IFERROR(SUMPRODUCT(MAX(((持仓跟踪!$A$2:$A$497="每日跟踪")*(持仓跟踪!$B$2:$B$497=A110))*持仓跟踪!$S$2:$S$497)),0)),0)*AN110))))</f>
        <v/>
      </c>
      <c r="AR110" s="8" t="str">
        <f ca="1">IF(A110="","",IF(OR(E110="",H110=""),"违规：第一批价格或股数缺失",IF(OR(AND(AK110="",AL110&lt;&gt;""),AND(AK110&lt;&gt;"",AL110="")),"违规：第二批价格与股数须成对填写",IF(OR(AND(AM110="",AN110&lt;&gt;""),AND(AM110&lt;&gt;"",AN110="")),"违规：第三批价格与股数须成对填写",IF(AND(OR(AM110&lt;&gt;"",AN110&lt;&gt;""),OR(AK110="",AL110="")),"违规：必须先完成第二批",IF(OR(H110&lt;=0,H110&lt;&gt;INT(H110),MOD(H110,100)&lt;&gt;0,AND(AL110&lt;&gt;"",OR(AL110&lt;=0,AL110&lt;&gt;INT(AL110),MOD(AL110,100)&lt;&gt;0)),AND(AN110&lt;&gt;"",OR(AN110&lt;=0,AN110&lt;&gt;INT(AN110),MOD(AN110,100)&lt;&gt;0))),"违规：股数须为100股整数倍",IF(AND(OR(AL110&lt;&gt;"",AN110&lt;&gt;""),OR(_LockStatus="已锁仓",_LockStatus="解锁信息不完整")),"违规：锁仓期间禁止加仓",IF(AQ110&gt;C110*D110,"违规：超过单笔风险上限",IF(SUM($AQ$2:$AQ$201)&gt;账户数据!$B$7,"违规：超过账户风险上限","通过")))))))))</f>
        <v/>
      </c>
    </row>
    <row r="111" ht="17" spans="1:44">
      <c r="A111" s="2"/>
      <c r="B111" s="2"/>
      <c r="C111" s="10"/>
      <c r="D111" s="6"/>
      <c r="E111" s="10"/>
      <c r="F111" s="8" t="str">
        <f t="shared" si="36"/>
        <v/>
      </c>
      <c r="G111" s="8" t="str">
        <f ca="1"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COUNTIFS(持仓跟踪!$A$2:$A$497,"止损计划",持仓跟踪!$B$2:$B$497,A111,持仓跟踪!$AC$2:$AC$497,"计划有效")=0,"禁止开仓：请先填写止损计划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1" s="2"/>
      <c r="I111" s="15"/>
      <c r="J111" s="10"/>
      <c r="K111" s="5"/>
      <c r="L111" s="8" t="str">
        <f>IF(A111="","",IFERROR(LOOKUP(2,1/((持仓跟踪!$B$2:$B$497=A111)*(持仓跟踪!$X$2:$X$497="执行卖出")*(持仓跟踪!$Z$2:$Z$497&lt;&gt;"")),持仓跟踪!$Z$2:$Z$497),""))</f>
        <v/>
      </c>
      <c r="M111" s="23" t="str">
        <f>IF(A111="","",IFERROR(LOOKUP(2,1/((持仓跟踪!$B$2:$B$497=A111)*(持仓跟踪!$X$2:$X$497="执行卖出")*(持仓跟踪!$H$2:$H$497&lt;&gt;"")),持仓跟踪!$H$2:$H$497),""))</f>
        <v/>
      </c>
      <c r="N111" s="10"/>
      <c r="O111" s="10"/>
      <c r="P111" s="5" t="str">
        <f>IF(A111="","",IFERROR(LOOKUP(2,1/((持仓跟踪!$B$2:$B$497=A111)*(持仓跟踪!$X$2:$X$497="执行卖出")*(持仓跟踪!$AA$2:$AA$497&lt;&gt;"")),持仓跟踪!$AA$2:$AA$497),""))</f>
        <v/>
      </c>
      <c r="Q111" s="2"/>
      <c r="R111" s="2"/>
      <c r="S111" s="2"/>
      <c r="T111" s="2"/>
      <c r="U111" s="7" t="str">
        <f t="shared" si="38"/>
        <v/>
      </c>
      <c r="V111" s="7" t="str">
        <f t="shared" si="39"/>
        <v/>
      </c>
      <c r="W111" s="22" t="str">
        <f t="shared" si="40"/>
        <v/>
      </c>
      <c r="X111" s="5" t="str">
        <f t="shared" si="41"/>
        <v/>
      </c>
      <c r="Y111" s="7" t="str">
        <f t="shared" si="42"/>
        <v/>
      </c>
      <c r="Z111" s="7" t="str">
        <f>IF(OR(AE111="",多次统计数据!$B$8=""),"",AE111-多次统计数据!$B$8)</f>
        <v/>
      </c>
      <c r="AA111" s="11" t="str">
        <f t="shared" si="43"/>
        <v/>
      </c>
      <c r="AB111" s="7" t="str">
        <f>IF(OR(A111="",多次统计数据!$B$8="",多次统计数据!$B$6&lt;=0,多次统计数据!$B$6&gt;=1),"",1-POWER(1+多次统计数据!$B$8,-多次统计数据!$B$6/(1-多次统计数据!$B$6)))</f>
        <v/>
      </c>
      <c r="AC111" s="8" t="str">
        <f>IF(OR(AB111="",多次统计数据!$B$9=""),"",IF(多次统计数据!$B$9&lt;AB111,"低于上限","达到或超过上限"))</f>
        <v/>
      </c>
      <c r="AD111" s="2"/>
      <c r="AE111" s="7" t="str">
        <f t="shared" si="44"/>
        <v/>
      </c>
      <c r="AG111" s="2"/>
      <c r="AH111" s="2"/>
      <c r="AI111" s="2"/>
      <c r="AJ111" s="8" t="str">
        <f t="shared" si="45"/>
        <v/>
      </c>
      <c r="AK111" s="10"/>
      <c r="AL111" s="12"/>
      <c r="AM111" s="10"/>
      <c r="AN111" s="12"/>
      <c r="AO111" s="5" t="str">
        <f t="shared" si="46"/>
        <v/>
      </c>
      <c r="AP111" s="11" t="str">
        <f t="shared" si="47"/>
        <v/>
      </c>
      <c r="AQ111" s="5" t="str">
        <f>IF(A111="","",IF(M111&lt;&gt;"",0,IF(OR(H111="",N111=""),"",MAX(E111-MAX(N111,IFERROR(SUMPRODUCT(MAX(((持仓跟踪!$A$2:$A$497="每日跟踪")*(持仓跟踪!$B$2:$B$497=A111))*持仓跟踪!$S$2:$S$497)),0)),0)*H111+IF(OR(AK111="",AL111=""),0,MAX(AK111-MAX(N111,IFERROR(SUMPRODUCT(MAX(((持仓跟踪!$A$2:$A$497="每日跟踪")*(持仓跟踪!$B$2:$B$497=A111))*持仓跟踪!$S$2:$S$497)),0)),0)*AL111)+IF(OR(AM111="",AN111=""),0,MAX(AM111-MAX(N111,IFERROR(SUMPRODUCT(MAX(((持仓跟踪!$A$2:$A$497="每日跟踪")*(持仓跟踪!$B$2:$B$497=A111))*持仓跟踪!$S$2:$S$497)),0)),0)*AN111))))</f>
        <v/>
      </c>
      <c r="AR111" s="8" t="str">
        <f ca="1">IF(A111="","",IF(OR(E111="",H111=""),"违规：第一批价格或股数缺失",IF(OR(AND(AK111="",AL111&lt;&gt;""),AND(AK111&lt;&gt;"",AL111="")),"违规：第二批价格与股数须成对填写",IF(OR(AND(AM111="",AN111&lt;&gt;""),AND(AM111&lt;&gt;"",AN111="")),"违规：第三批价格与股数须成对填写",IF(AND(OR(AM111&lt;&gt;"",AN111&lt;&gt;""),OR(AK111="",AL111="")),"违规：必须先完成第二批",IF(OR(H111&lt;=0,H111&lt;&gt;INT(H111),MOD(H111,100)&lt;&gt;0,AND(AL111&lt;&gt;"",OR(AL111&lt;=0,AL111&lt;&gt;INT(AL111),MOD(AL111,100)&lt;&gt;0)),AND(AN111&lt;&gt;"",OR(AN111&lt;=0,AN111&lt;&gt;INT(AN111),MOD(AN111,100)&lt;&gt;0))),"违规：股数须为100股整数倍",IF(AND(OR(AL111&lt;&gt;"",AN111&lt;&gt;""),OR(_LockStatus="已锁仓",_LockStatus="解锁信息不完整")),"违规：锁仓期间禁止加仓",IF(AQ111&gt;C111*D111,"违规：超过单笔风险上限",IF(SUM($AQ$2:$AQ$201)&gt;账户数据!$B$7,"违规：超过账户风险上限","通过")))))))))</f>
        <v/>
      </c>
    </row>
    <row r="112" ht="17" spans="1:44">
      <c r="A112" s="2"/>
      <c r="B112" s="2"/>
      <c r="C112" s="10"/>
      <c r="D112" s="6"/>
      <c r="E112" s="10"/>
      <c r="F112" s="8" t="str">
        <f t="shared" si="36"/>
        <v/>
      </c>
      <c r="G112" s="8" t="str">
        <f ca="1"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COUNTIFS(持仓跟踪!$A$2:$A$497,"止损计划",持仓跟踪!$B$2:$B$497,A112,持仓跟踪!$AC$2:$AC$497,"计划有效")=0,"禁止开仓：请先填写止损计划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2" s="2"/>
      <c r="I112" s="15"/>
      <c r="J112" s="10"/>
      <c r="K112" s="5"/>
      <c r="L112" s="8" t="str">
        <f>IF(A112="","",IFERROR(LOOKUP(2,1/((持仓跟踪!$B$2:$B$497=A112)*(持仓跟踪!$X$2:$X$497="执行卖出")*(持仓跟踪!$Z$2:$Z$497&lt;&gt;"")),持仓跟踪!$Z$2:$Z$497),""))</f>
        <v/>
      </c>
      <c r="M112" s="23" t="str">
        <f>IF(A112="","",IFERROR(LOOKUP(2,1/((持仓跟踪!$B$2:$B$497=A112)*(持仓跟踪!$X$2:$X$497="执行卖出")*(持仓跟踪!$H$2:$H$497&lt;&gt;"")),持仓跟踪!$H$2:$H$497),""))</f>
        <v/>
      </c>
      <c r="N112" s="10"/>
      <c r="O112" s="10"/>
      <c r="P112" s="5" t="str">
        <f>IF(A112="","",IFERROR(LOOKUP(2,1/((持仓跟踪!$B$2:$B$497=A112)*(持仓跟踪!$X$2:$X$497="执行卖出")*(持仓跟踪!$AA$2:$AA$497&lt;&gt;"")),持仓跟踪!$AA$2:$AA$497),""))</f>
        <v/>
      </c>
      <c r="Q112" s="2"/>
      <c r="R112" s="2"/>
      <c r="S112" s="2"/>
      <c r="T112" s="2"/>
      <c r="U112" s="7" t="str">
        <f t="shared" si="38"/>
        <v/>
      </c>
      <c r="V112" s="7" t="str">
        <f t="shared" si="39"/>
        <v/>
      </c>
      <c r="W112" s="22" t="str">
        <f t="shared" si="40"/>
        <v/>
      </c>
      <c r="X112" s="5" t="str">
        <f t="shared" si="41"/>
        <v/>
      </c>
      <c r="Y112" s="7" t="str">
        <f t="shared" si="42"/>
        <v/>
      </c>
      <c r="Z112" s="7" t="str">
        <f>IF(OR(AE112="",多次统计数据!$B$8=""),"",AE112-多次统计数据!$B$8)</f>
        <v/>
      </c>
      <c r="AA112" s="11" t="str">
        <f t="shared" si="43"/>
        <v/>
      </c>
      <c r="AB112" s="7" t="str">
        <f>IF(OR(A112="",多次统计数据!$B$8="",多次统计数据!$B$6&lt;=0,多次统计数据!$B$6&gt;=1),"",1-POWER(1+多次统计数据!$B$8,-多次统计数据!$B$6/(1-多次统计数据!$B$6)))</f>
        <v/>
      </c>
      <c r="AC112" s="8" t="str">
        <f>IF(OR(AB112="",多次统计数据!$B$9=""),"",IF(多次统计数据!$B$9&lt;AB112,"低于上限","达到或超过上限"))</f>
        <v/>
      </c>
      <c r="AD112" s="2"/>
      <c r="AE112" s="7" t="str">
        <f t="shared" si="44"/>
        <v/>
      </c>
      <c r="AG112" s="2"/>
      <c r="AH112" s="2"/>
      <c r="AI112" s="2"/>
      <c r="AJ112" s="8" t="str">
        <f t="shared" si="45"/>
        <v/>
      </c>
      <c r="AK112" s="10"/>
      <c r="AL112" s="12"/>
      <c r="AM112" s="10"/>
      <c r="AN112" s="12"/>
      <c r="AO112" s="5" t="str">
        <f t="shared" si="46"/>
        <v/>
      </c>
      <c r="AP112" s="11" t="str">
        <f t="shared" si="47"/>
        <v/>
      </c>
      <c r="AQ112" s="5" t="str">
        <f>IF(A112="","",IF(M112&lt;&gt;"",0,IF(OR(H112="",N112=""),"",MAX(E112-MAX(N112,IFERROR(SUMPRODUCT(MAX(((持仓跟踪!$A$2:$A$497="每日跟踪")*(持仓跟踪!$B$2:$B$497=A112))*持仓跟踪!$S$2:$S$497)),0)),0)*H112+IF(OR(AK112="",AL112=""),0,MAX(AK112-MAX(N112,IFERROR(SUMPRODUCT(MAX(((持仓跟踪!$A$2:$A$497="每日跟踪")*(持仓跟踪!$B$2:$B$497=A112))*持仓跟踪!$S$2:$S$497)),0)),0)*AL112)+IF(OR(AM112="",AN112=""),0,MAX(AM112-MAX(N112,IFERROR(SUMPRODUCT(MAX(((持仓跟踪!$A$2:$A$497="每日跟踪")*(持仓跟踪!$B$2:$B$497=A112))*持仓跟踪!$S$2:$S$497)),0)),0)*AN112))))</f>
        <v/>
      </c>
      <c r="AR112" s="8" t="str">
        <f ca="1">IF(A112="","",IF(OR(E112="",H112=""),"违规：第一批价格或股数缺失",IF(OR(AND(AK112="",AL112&lt;&gt;""),AND(AK112&lt;&gt;"",AL112="")),"违规：第二批价格与股数须成对填写",IF(OR(AND(AM112="",AN112&lt;&gt;""),AND(AM112&lt;&gt;"",AN112="")),"违规：第三批价格与股数须成对填写",IF(AND(OR(AM112&lt;&gt;"",AN112&lt;&gt;""),OR(AK112="",AL112="")),"违规：必须先完成第二批",IF(OR(H112&lt;=0,H112&lt;&gt;INT(H112),MOD(H112,100)&lt;&gt;0,AND(AL112&lt;&gt;"",OR(AL112&lt;=0,AL112&lt;&gt;INT(AL112),MOD(AL112,100)&lt;&gt;0)),AND(AN112&lt;&gt;"",OR(AN112&lt;=0,AN112&lt;&gt;INT(AN112),MOD(AN112,100)&lt;&gt;0))),"违规：股数须为100股整数倍",IF(AND(OR(AL112&lt;&gt;"",AN112&lt;&gt;""),OR(_LockStatus="已锁仓",_LockStatus="解锁信息不完整")),"违规：锁仓期间禁止加仓",IF(AQ112&gt;C112*D112,"违规：超过单笔风险上限",IF(SUM($AQ$2:$AQ$201)&gt;账户数据!$B$7,"违规：超过账户风险上限","通过")))))))))</f>
        <v/>
      </c>
    </row>
    <row r="113" ht="17" spans="1:44">
      <c r="A113" s="2"/>
      <c r="B113" s="2"/>
      <c r="C113" s="10"/>
      <c r="D113" s="6"/>
      <c r="E113" s="10"/>
      <c r="F113" s="8" t="str">
        <f t="shared" si="36"/>
        <v/>
      </c>
      <c r="G113" s="8" t="str">
        <f ca="1"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COUNTIFS(持仓跟踪!$A$2:$A$497,"止损计划",持仓跟踪!$B$2:$B$497,A113,持仓跟踪!$AC$2:$AC$497,"计划有效")=0,"禁止开仓：请先填写止损计划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3" s="2"/>
      <c r="I113" s="15"/>
      <c r="J113" s="10"/>
      <c r="K113" s="5" t="str">
        <f>IF(A113="","",IFERROR(LOOKUP(2,1/((持仓跟踪!$B$2:$B$497=A113)*(持仓跟踪!$X$2:$X$497="执行卖出")*(持仓跟踪!$Y$2:$Y$497&lt;&gt;"")),持仓跟踪!$Y$2:$Y$497),""))</f>
        <v/>
      </c>
      <c r="L113" s="8" t="str">
        <f>IF(A113="","",IFERROR(LOOKUP(2,1/((持仓跟踪!$B$2:$B$497=A113)*(持仓跟踪!$X$2:$X$497="执行卖出")*(持仓跟踪!$Z$2:$Z$497&lt;&gt;"")),持仓跟踪!$Z$2:$Z$497),""))</f>
        <v/>
      </c>
      <c r="M113" s="23" t="str">
        <f>IF(A113="","",IFERROR(LOOKUP(2,1/((持仓跟踪!$B$2:$B$497=A113)*(持仓跟踪!$X$2:$X$497="执行卖出")*(持仓跟踪!$H$2:$H$497&lt;&gt;"")),持仓跟踪!$H$2:$H$497),""))</f>
        <v/>
      </c>
      <c r="N113" s="10"/>
      <c r="O113" s="10"/>
      <c r="P113" s="5" t="str">
        <f>IF(A113="","",IFERROR(LOOKUP(2,1/((持仓跟踪!$B$2:$B$497=A113)*(持仓跟踪!$X$2:$X$497="执行卖出")*(持仓跟踪!$AA$2:$AA$497&lt;&gt;"")),持仓跟踪!$AA$2:$AA$497),""))</f>
        <v/>
      </c>
      <c r="Q113" s="2"/>
      <c r="R113" s="2"/>
      <c r="S113" s="2"/>
      <c r="T113" s="2"/>
      <c r="U113" s="7" t="str">
        <f t="shared" si="38"/>
        <v/>
      </c>
      <c r="V113" s="7" t="str">
        <f t="shared" si="39"/>
        <v/>
      </c>
      <c r="W113" s="22" t="str">
        <f t="shared" si="40"/>
        <v/>
      </c>
      <c r="X113" s="5" t="str">
        <f t="shared" si="41"/>
        <v/>
      </c>
      <c r="Y113" s="7" t="str">
        <f t="shared" si="42"/>
        <v/>
      </c>
      <c r="Z113" s="7" t="str">
        <f>IF(OR(AE113="",多次统计数据!$B$8=""),"",AE113-多次统计数据!$B$8)</f>
        <v/>
      </c>
      <c r="AA113" s="11" t="str">
        <f t="shared" si="43"/>
        <v/>
      </c>
      <c r="AB113" s="7" t="str">
        <f>IF(OR(A113="",多次统计数据!$B$8="",多次统计数据!$B$6&lt;=0,多次统计数据!$B$6&gt;=1),"",1-POWER(1+多次统计数据!$B$8,-多次统计数据!$B$6/(1-多次统计数据!$B$6)))</f>
        <v/>
      </c>
      <c r="AC113" s="8" t="str">
        <f>IF(OR(AB113="",多次统计数据!$B$9=""),"",IF(多次统计数据!$B$9&lt;AB113,"低于上限","达到或超过上限"))</f>
        <v/>
      </c>
      <c r="AD113" s="2"/>
      <c r="AE113" s="7" t="str">
        <f t="shared" si="44"/>
        <v/>
      </c>
      <c r="AG113" s="2"/>
      <c r="AH113" s="2"/>
      <c r="AI113" s="2"/>
      <c r="AJ113" s="8" t="str">
        <f t="shared" si="45"/>
        <v/>
      </c>
      <c r="AK113" s="10"/>
      <c r="AL113" s="12"/>
      <c r="AM113" s="10"/>
      <c r="AN113" s="12"/>
      <c r="AO113" s="5" t="str">
        <f t="shared" si="46"/>
        <v/>
      </c>
      <c r="AP113" s="11" t="str">
        <f t="shared" si="47"/>
        <v/>
      </c>
      <c r="AQ113" s="5" t="str">
        <f>IF(A113="","",IF(M113&lt;&gt;"",0,IF(OR(H113="",N113=""),"",MAX(E113-MAX(N113,IFERROR(SUMPRODUCT(MAX(((持仓跟踪!$A$2:$A$497="每日跟踪")*(持仓跟踪!$B$2:$B$497=A113))*持仓跟踪!$S$2:$S$497)),0)),0)*H113+IF(OR(AK113="",AL113=""),0,MAX(AK113-MAX(N113,IFERROR(SUMPRODUCT(MAX(((持仓跟踪!$A$2:$A$497="每日跟踪")*(持仓跟踪!$B$2:$B$497=A113))*持仓跟踪!$S$2:$S$497)),0)),0)*AL113)+IF(OR(AM113="",AN113=""),0,MAX(AM113-MAX(N113,IFERROR(SUMPRODUCT(MAX(((持仓跟踪!$A$2:$A$497="每日跟踪")*(持仓跟踪!$B$2:$B$497=A113))*持仓跟踪!$S$2:$S$497)),0)),0)*AN113))))</f>
        <v/>
      </c>
      <c r="AR113" s="8" t="str">
        <f ca="1">IF(A113="","",IF(OR(E113="",H113=""),"违规：第一批价格或股数缺失",IF(OR(AND(AK113="",AL113&lt;&gt;""),AND(AK113&lt;&gt;"",AL113="")),"违规：第二批价格与股数须成对填写",IF(OR(AND(AM113="",AN113&lt;&gt;""),AND(AM113&lt;&gt;"",AN113="")),"违规：第三批价格与股数须成对填写",IF(AND(OR(AM113&lt;&gt;"",AN113&lt;&gt;""),OR(AK113="",AL113="")),"违规：必须先完成第二批",IF(OR(H113&lt;=0,H113&lt;&gt;INT(H113),MOD(H113,100)&lt;&gt;0,AND(AL113&lt;&gt;"",OR(AL113&lt;=0,AL113&lt;&gt;INT(AL113),MOD(AL113,100)&lt;&gt;0)),AND(AN113&lt;&gt;"",OR(AN113&lt;=0,AN113&lt;&gt;INT(AN113),MOD(AN113,100)&lt;&gt;0))),"违规：股数须为100股整数倍",IF(AND(OR(AL113&lt;&gt;"",AN113&lt;&gt;""),OR(_LockStatus="已锁仓",_LockStatus="解锁信息不完整")),"违规：锁仓期间禁止加仓",IF(AQ113&gt;C113*D113,"违规：超过单笔风险上限",IF(SUM($AQ$2:$AQ$201)&gt;账户数据!$B$7,"违规：超过账户风险上限","通过")))))))))</f>
        <v/>
      </c>
    </row>
    <row r="114" ht="17" spans="1:44">
      <c r="A114" s="2"/>
      <c r="B114" s="2"/>
      <c r="C114" s="10"/>
      <c r="D114" s="6"/>
      <c r="E114" s="10"/>
      <c r="F114" s="8" t="str">
        <f t="shared" si="36"/>
        <v/>
      </c>
      <c r="G114" s="8" t="str">
        <f ca="1"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COUNTIFS(持仓跟踪!$A$2:$A$497,"止损计划",持仓跟踪!$B$2:$B$497,A114,持仓跟踪!$AC$2:$AC$497,"计划有效")=0,"禁止开仓：请先填写止损计划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4" s="2"/>
      <c r="I114" s="15"/>
      <c r="J114" s="10"/>
      <c r="K114" s="5"/>
      <c r="L114" s="8"/>
      <c r="M114" s="23"/>
      <c r="N114" s="10"/>
      <c r="O114" s="10"/>
      <c r="P114" s="5" t="str">
        <f>IF(A114="","",IFERROR(LOOKUP(2,1/((持仓跟踪!$B$2:$B$497=A114)*(持仓跟踪!$X$2:$X$497="执行卖出")*(持仓跟踪!$AA$2:$AA$497&lt;&gt;"")),持仓跟踪!$AA$2:$AA$497),""))</f>
        <v/>
      </c>
      <c r="Q114" s="2"/>
      <c r="R114" s="2"/>
      <c r="S114" s="2"/>
      <c r="T114" s="2"/>
      <c r="U114" s="7" t="str">
        <f t="shared" si="38"/>
        <v/>
      </c>
      <c r="V114" s="7" t="str">
        <f t="shared" si="39"/>
        <v/>
      </c>
      <c r="W114" s="22" t="str">
        <f t="shared" si="40"/>
        <v/>
      </c>
      <c r="X114" s="5" t="str">
        <f t="shared" si="41"/>
        <v/>
      </c>
      <c r="Y114" s="7" t="str">
        <f t="shared" si="42"/>
        <v/>
      </c>
      <c r="Z114" s="7" t="str">
        <f>IF(OR(AE114="",多次统计数据!$B$8=""),"",AE114-多次统计数据!$B$8)</f>
        <v/>
      </c>
      <c r="AA114" s="11" t="str">
        <f t="shared" si="43"/>
        <v/>
      </c>
      <c r="AB114" s="7" t="str">
        <f>IF(OR(A114="",多次统计数据!$B$8="",多次统计数据!$B$6&lt;=0,多次统计数据!$B$6&gt;=1),"",1-POWER(1+多次统计数据!$B$8,-多次统计数据!$B$6/(1-多次统计数据!$B$6)))</f>
        <v/>
      </c>
      <c r="AC114" s="8" t="str">
        <f>IF(OR(AB114="",多次统计数据!$B$9=""),"",IF(多次统计数据!$B$9&lt;AB114,"低于上限","达到或超过上限"))</f>
        <v/>
      </c>
      <c r="AD114" s="2"/>
      <c r="AE114" s="7" t="str">
        <f t="shared" si="44"/>
        <v/>
      </c>
      <c r="AG114" s="2"/>
      <c r="AH114" s="2"/>
      <c r="AI114" s="2"/>
      <c r="AJ114" s="8" t="str">
        <f t="shared" si="45"/>
        <v/>
      </c>
      <c r="AK114" s="10"/>
      <c r="AL114" s="12"/>
      <c r="AM114" s="10"/>
      <c r="AN114" s="12"/>
      <c r="AO114" s="5" t="str">
        <f t="shared" si="46"/>
        <v/>
      </c>
      <c r="AP114" s="11" t="str">
        <f t="shared" si="47"/>
        <v/>
      </c>
      <c r="AQ114" s="5" t="str">
        <f>IF(A114="","",IF(M114&lt;&gt;"",0,IF(OR(H114="",N114=""),"",MAX(E114-MAX(N114,IFERROR(SUMPRODUCT(MAX(((持仓跟踪!$A$2:$A$497="每日跟踪")*(持仓跟踪!$B$2:$B$497=A114))*持仓跟踪!$S$2:$S$497)),0)),0)*H114+IF(OR(AK114="",AL114=""),0,MAX(AK114-MAX(N114,IFERROR(SUMPRODUCT(MAX(((持仓跟踪!$A$2:$A$497="每日跟踪")*(持仓跟踪!$B$2:$B$497=A114))*持仓跟踪!$S$2:$S$497)),0)),0)*AL114)+IF(OR(AM114="",AN114=""),0,MAX(AM114-MAX(N114,IFERROR(SUMPRODUCT(MAX(((持仓跟踪!$A$2:$A$497="每日跟踪")*(持仓跟踪!$B$2:$B$497=A114))*持仓跟踪!$S$2:$S$497)),0)),0)*AN114))))</f>
        <v/>
      </c>
      <c r="AR114" s="8" t="str">
        <f ca="1">IF(A114="","",IF(OR(E114="",H114=""),"违规：第一批价格或股数缺失",IF(OR(AND(AK114="",AL114&lt;&gt;""),AND(AK114&lt;&gt;"",AL114="")),"违规：第二批价格与股数须成对填写",IF(OR(AND(AM114="",AN114&lt;&gt;""),AND(AM114&lt;&gt;"",AN114="")),"违规：第三批价格与股数须成对填写",IF(AND(OR(AM114&lt;&gt;"",AN114&lt;&gt;""),OR(AK114="",AL114="")),"违规：必须先完成第二批",IF(OR(H114&lt;=0,H114&lt;&gt;INT(H114),MOD(H114,100)&lt;&gt;0,AND(AL114&lt;&gt;"",OR(AL114&lt;=0,AL114&lt;&gt;INT(AL114),MOD(AL114,100)&lt;&gt;0)),AND(AN114&lt;&gt;"",OR(AN114&lt;=0,AN114&lt;&gt;INT(AN114),MOD(AN114,100)&lt;&gt;0))),"违规：股数须为100股整数倍",IF(AND(OR(AL114&lt;&gt;"",AN114&lt;&gt;""),OR(_LockStatus="已锁仓",_LockStatus="解锁信息不完整")),"违规：锁仓期间禁止加仓",IF(AQ114&gt;C114*D114,"违规：超过单笔风险上限",IF(SUM($AQ$2:$AQ$201)&gt;账户数据!$B$7,"违规：超过账户风险上限","通过")))))))))</f>
        <v/>
      </c>
    </row>
    <row r="115" ht="17" spans="1:44">
      <c r="A115" s="2"/>
      <c r="B115" s="2"/>
      <c r="C115" s="10"/>
      <c r="D115" s="6"/>
      <c r="E115" s="10"/>
      <c r="F115" s="8" t="str">
        <f t="shared" si="36"/>
        <v/>
      </c>
      <c r="G115" s="8" t="str">
        <f ca="1"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COUNTIFS(持仓跟踪!$A$2:$A$497,"止损计划",持仓跟踪!$B$2:$B$497,A115,持仓跟踪!$AC$2:$AC$497,"计划有效")=0,"禁止开仓：请先填写止损计划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5" s="2"/>
      <c r="I115" s="15"/>
      <c r="J115" s="10"/>
      <c r="K115" s="5" t="str">
        <f>IF(A115="","",IFERROR(LOOKUP(2,1/((持仓跟踪!$B$2:$B$497=A115)*(持仓跟踪!$X$2:$X$497="执行卖出")*(持仓跟踪!$Y$2:$Y$497&lt;&gt;"")),持仓跟踪!$Y$2:$Y$497),""))</f>
        <v/>
      </c>
      <c r="L115" s="8" t="str">
        <f>IF(A115="","",IFERROR(LOOKUP(2,1/((持仓跟踪!$B$2:$B$497=A115)*(持仓跟踪!$X$2:$X$497="执行卖出")*(持仓跟踪!$Z$2:$Z$497&lt;&gt;"")),持仓跟踪!$Z$2:$Z$497),""))</f>
        <v/>
      </c>
      <c r="M115" s="23" t="str">
        <f>IF(A115="","",IFERROR(LOOKUP(2,1/((持仓跟踪!$B$2:$B$497=A115)*(持仓跟踪!$X$2:$X$497="执行卖出")*(持仓跟踪!$H$2:$H$497&lt;&gt;"")),持仓跟踪!$H$2:$H$497),""))</f>
        <v/>
      </c>
      <c r="N115" s="10"/>
      <c r="O115" s="10"/>
      <c r="P115" s="5" t="str">
        <f>IF(A115="","",IFERROR(LOOKUP(2,1/((持仓跟踪!$B$2:$B$497=A115)*(持仓跟踪!$X$2:$X$497="执行卖出")*(持仓跟踪!$AA$2:$AA$497&lt;&gt;"")),持仓跟踪!$AA$2:$AA$497),""))</f>
        <v/>
      </c>
      <c r="Q115" s="2"/>
      <c r="R115" s="2"/>
      <c r="S115" s="2"/>
      <c r="T115" s="2"/>
      <c r="U115" s="7" t="str">
        <f t="shared" si="38"/>
        <v/>
      </c>
      <c r="V115" s="7" t="str">
        <f t="shared" si="39"/>
        <v/>
      </c>
      <c r="W115" s="22" t="str">
        <f t="shared" si="40"/>
        <v/>
      </c>
      <c r="X115" s="5" t="str">
        <f t="shared" si="41"/>
        <v/>
      </c>
      <c r="Y115" s="7" t="str">
        <f t="shared" si="42"/>
        <v/>
      </c>
      <c r="Z115" s="7" t="str">
        <f>IF(OR(AE115="",多次统计数据!$B$8=""),"",AE115-多次统计数据!$B$8)</f>
        <v/>
      </c>
      <c r="AA115" s="11" t="str">
        <f t="shared" si="43"/>
        <v/>
      </c>
      <c r="AB115" s="7" t="str">
        <f>IF(OR(A115="",多次统计数据!$B$8="",多次统计数据!$B$6&lt;=0,多次统计数据!$B$6&gt;=1),"",1-POWER(1+多次统计数据!$B$8,-多次统计数据!$B$6/(1-多次统计数据!$B$6)))</f>
        <v/>
      </c>
      <c r="AC115" s="8" t="str">
        <f>IF(OR(AB115="",多次统计数据!$B$9=""),"",IF(多次统计数据!$B$9&lt;AB115,"低于上限","达到或超过上限"))</f>
        <v/>
      </c>
      <c r="AD115" s="2"/>
      <c r="AE115" s="7" t="str">
        <f t="shared" si="44"/>
        <v/>
      </c>
      <c r="AG115" s="2"/>
      <c r="AH115" s="2"/>
      <c r="AI115" s="2"/>
      <c r="AJ115" s="8" t="str">
        <f t="shared" si="45"/>
        <v/>
      </c>
      <c r="AK115" s="10"/>
      <c r="AL115" s="12"/>
      <c r="AM115" s="10"/>
      <c r="AN115" s="12"/>
      <c r="AO115" s="5" t="str">
        <f t="shared" si="46"/>
        <v/>
      </c>
      <c r="AP115" s="11" t="str">
        <f t="shared" si="47"/>
        <v/>
      </c>
      <c r="AQ115" s="5" t="str">
        <f>IF(A115="","",IF(M115&lt;&gt;"",0,IF(OR(H115="",N115=""),"",MAX(E115-MAX(N115,IFERROR(SUMPRODUCT(MAX(((持仓跟踪!$A$2:$A$497="每日跟踪")*(持仓跟踪!$B$2:$B$497=A115))*持仓跟踪!$S$2:$S$497)),0)),0)*H115+IF(OR(AK115="",AL115=""),0,MAX(AK115-MAX(N115,IFERROR(SUMPRODUCT(MAX(((持仓跟踪!$A$2:$A$497="每日跟踪")*(持仓跟踪!$B$2:$B$497=A115))*持仓跟踪!$S$2:$S$497)),0)),0)*AL115)+IF(OR(AM115="",AN115=""),0,MAX(AM115-MAX(N115,IFERROR(SUMPRODUCT(MAX(((持仓跟踪!$A$2:$A$497="每日跟踪")*(持仓跟踪!$B$2:$B$497=A115))*持仓跟踪!$S$2:$S$497)),0)),0)*AN115))))</f>
        <v/>
      </c>
      <c r="AR115" s="8" t="str">
        <f ca="1">IF(A115="","",IF(OR(E115="",H115=""),"违规：第一批价格或股数缺失",IF(OR(AND(AK115="",AL115&lt;&gt;""),AND(AK115&lt;&gt;"",AL115="")),"违规：第二批价格与股数须成对填写",IF(OR(AND(AM115="",AN115&lt;&gt;""),AND(AM115&lt;&gt;"",AN115="")),"违规：第三批价格与股数须成对填写",IF(AND(OR(AM115&lt;&gt;"",AN115&lt;&gt;""),OR(AK115="",AL115="")),"违规：必须先完成第二批",IF(OR(H115&lt;=0,H115&lt;&gt;INT(H115),MOD(H115,100)&lt;&gt;0,AND(AL115&lt;&gt;"",OR(AL115&lt;=0,AL115&lt;&gt;INT(AL115),MOD(AL115,100)&lt;&gt;0)),AND(AN115&lt;&gt;"",OR(AN115&lt;=0,AN115&lt;&gt;INT(AN115),MOD(AN115,100)&lt;&gt;0))),"违规：股数须为100股整数倍",IF(AND(OR(AL115&lt;&gt;"",AN115&lt;&gt;""),OR(_LockStatus="已锁仓",_LockStatus="解锁信息不完整")),"违规：锁仓期间禁止加仓",IF(AQ115&gt;C115*D115,"违规：超过单笔风险上限",IF(SUM($AQ$2:$AQ$201)&gt;账户数据!$B$7,"违规：超过账户风险上限","通过")))))))))</f>
        <v/>
      </c>
    </row>
    <row r="116" ht="17" spans="1:44">
      <c r="A116" s="2"/>
      <c r="B116" s="2"/>
      <c r="C116" s="10"/>
      <c r="D116" s="6"/>
      <c r="E116" s="10"/>
      <c r="F116" s="8" t="str">
        <f t="shared" si="36"/>
        <v/>
      </c>
      <c r="G116" s="8" t="str">
        <f ca="1"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COUNTIFS(持仓跟踪!$A$2:$A$497,"止损计划",持仓跟踪!$B$2:$B$497,A116,持仓跟踪!$AC$2:$AC$497,"计划有效")=0,"禁止开仓：请先填写止损计划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6" s="2"/>
      <c r="I116" s="15"/>
      <c r="J116" s="10"/>
      <c r="K116" s="5" t="str">
        <f>IF(A116="","",IFERROR(LOOKUP(2,1/((持仓跟踪!$B$2:$B$497=A116)*(持仓跟踪!$X$2:$X$497="执行卖出")*(持仓跟踪!$Y$2:$Y$497&lt;&gt;"")),持仓跟踪!$Y$2:$Y$497),""))</f>
        <v/>
      </c>
      <c r="L116" s="8" t="str">
        <f>IF(A116="","",IFERROR(LOOKUP(2,1/((持仓跟踪!$B$2:$B$497=A116)*(持仓跟踪!$X$2:$X$497="执行卖出")*(持仓跟踪!$Z$2:$Z$497&lt;&gt;"")),持仓跟踪!$Z$2:$Z$497),""))</f>
        <v/>
      </c>
      <c r="M116" s="23" t="str">
        <f>IF(A116="","",IFERROR(LOOKUP(2,1/((持仓跟踪!$B$2:$B$497=A116)*(持仓跟踪!$X$2:$X$497="执行卖出")*(持仓跟踪!$H$2:$H$497&lt;&gt;"")),持仓跟踪!$H$2:$H$497),""))</f>
        <v/>
      </c>
      <c r="N116" s="10"/>
      <c r="O116" s="10"/>
      <c r="P116" s="5" t="str">
        <f>IF(A116="","",IFERROR(LOOKUP(2,1/((持仓跟踪!$B$2:$B$497=A116)*(持仓跟踪!$X$2:$X$497="执行卖出")*(持仓跟踪!$AA$2:$AA$497&lt;&gt;"")),持仓跟踪!$AA$2:$AA$497),""))</f>
        <v/>
      </c>
      <c r="Q116" s="2"/>
      <c r="R116" s="2"/>
      <c r="S116" s="2"/>
      <c r="T116" s="2"/>
      <c r="U116" s="7" t="str">
        <f t="shared" si="38"/>
        <v/>
      </c>
      <c r="V116" s="7" t="str">
        <f t="shared" si="39"/>
        <v/>
      </c>
      <c r="W116" s="22" t="str">
        <f t="shared" si="40"/>
        <v/>
      </c>
      <c r="X116" s="5" t="str">
        <f t="shared" si="41"/>
        <v/>
      </c>
      <c r="Y116" s="7" t="str">
        <f t="shared" si="42"/>
        <v/>
      </c>
      <c r="Z116" s="7" t="str">
        <f>IF(OR(AE116="",多次统计数据!$B$8=""),"",AE116-多次统计数据!$B$8)</f>
        <v/>
      </c>
      <c r="AA116" s="11" t="str">
        <f t="shared" si="43"/>
        <v/>
      </c>
      <c r="AB116" s="7" t="str">
        <f>IF(OR(A116="",多次统计数据!$B$8="",多次统计数据!$B$6&lt;=0,多次统计数据!$B$6&gt;=1),"",1-POWER(1+多次统计数据!$B$8,-多次统计数据!$B$6/(1-多次统计数据!$B$6)))</f>
        <v/>
      </c>
      <c r="AC116" s="8" t="str">
        <f>IF(OR(AB116="",多次统计数据!$B$9=""),"",IF(多次统计数据!$B$9&lt;AB116,"低于上限","达到或超过上限"))</f>
        <v/>
      </c>
      <c r="AD116" s="2"/>
      <c r="AE116" s="7" t="str">
        <f t="shared" si="44"/>
        <v/>
      </c>
      <c r="AG116" s="2"/>
      <c r="AH116" s="2"/>
      <c r="AI116" s="2"/>
      <c r="AJ116" s="8" t="str">
        <f t="shared" si="45"/>
        <v/>
      </c>
      <c r="AK116" s="10"/>
      <c r="AL116" s="12"/>
      <c r="AM116" s="10"/>
      <c r="AN116" s="12"/>
      <c r="AO116" s="5" t="str">
        <f t="shared" si="46"/>
        <v/>
      </c>
      <c r="AP116" s="11" t="str">
        <f t="shared" si="47"/>
        <v/>
      </c>
      <c r="AQ116" s="5" t="str">
        <f>IF(A116="","",IF(M116&lt;&gt;"",0,IF(OR(H116="",N116=""),"",MAX(E116-MAX(N116,IFERROR(SUMPRODUCT(MAX(((持仓跟踪!$A$2:$A$497="每日跟踪")*(持仓跟踪!$B$2:$B$497=A116))*持仓跟踪!$S$2:$S$497)),0)),0)*H116+IF(OR(AK116="",AL116=""),0,MAX(AK116-MAX(N116,IFERROR(SUMPRODUCT(MAX(((持仓跟踪!$A$2:$A$497="每日跟踪")*(持仓跟踪!$B$2:$B$497=A116))*持仓跟踪!$S$2:$S$497)),0)),0)*AL116)+IF(OR(AM116="",AN116=""),0,MAX(AM116-MAX(N116,IFERROR(SUMPRODUCT(MAX(((持仓跟踪!$A$2:$A$497="每日跟踪")*(持仓跟踪!$B$2:$B$497=A116))*持仓跟踪!$S$2:$S$497)),0)),0)*AN116))))</f>
        <v/>
      </c>
      <c r="AR116" s="8" t="str">
        <f ca="1">IF(A116="","",IF(OR(E116="",H116=""),"违规：第一批价格或股数缺失",IF(OR(AND(AK116="",AL116&lt;&gt;""),AND(AK116&lt;&gt;"",AL116="")),"违规：第二批价格与股数须成对填写",IF(OR(AND(AM116="",AN116&lt;&gt;""),AND(AM116&lt;&gt;"",AN116="")),"违规：第三批价格与股数须成对填写",IF(AND(OR(AM116&lt;&gt;"",AN116&lt;&gt;""),OR(AK116="",AL116="")),"违规：必须先完成第二批",IF(OR(H116&lt;=0,H116&lt;&gt;INT(H116),MOD(H116,100)&lt;&gt;0,AND(AL116&lt;&gt;"",OR(AL116&lt;=0,AL116&lt;&gt;INT(AL116),MOD(AL116,100)&lt;&gt;0)),AND(AN116&lt;&gt;"",OR(AN116&lt;=0,AN116&lt;&gt;INT(AN116),MOD(AN116,100)&lt;&gt;0))),"违规：股数须为100股整数倍",IF(AND(OR(AL116&lt;&gt;"",AN116&lt;&gt;""),OR(_LockStatus="已锁仓",_LockStatus="解锁信息不完整")),"违规：锁仓期间禁止加仓",IF(AQ116&gt;C116*D116,"违规：超过单笔风险上限",IF(SUM($AQ$2:$AQ$201)&gt;账户数据!$B$7,"违规：超过账户风险上限","通过")))))))))</f>
        <v/>
      </c>
    </row>
    <row r="117" ht="17" spans="1:44">
      <c r="A117" s="2"/>
      <c r="B117" s="2"/>
      <c r="C117" s="10"/>
      <c r="D117" s="6"/>
      <c r="E117" s="10"/>
      <c r="F117" s="8" t="str">
        <f t="shared" si="36"/>
        <v/>
      </c>
      <c r="G117" s="8" t="str">
        <f ca="1"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COUNTIFS(持仓跟踪!$A$2:$A$497,"止损计划",持仓跟踪!$B$2:$B$497,A117,持仓跟踪!$AC$2:$AC$497,"计划有效")=0,"禁止开仓：请先填写止损计划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7" s="2"/>
      <c r="I117" s="15"/>
      <c r="J117" s="10"/>
      <c r="K117" s="5" t="str">
        <f>IF(A117="","",IFERROR(LOOKUP(2,1/((持仓跟踪!$B$2:$B$497=A117)*(持仓跟踪!$X$2:$X$497="执行卖出")*(持仓跟踪!$Y$2:$Y$497&lt;&gt;"")),持仓跟踪!$Y$2:$Y$497),""))</f>
        <v/>
      </c>
      <c r="L117" s="8" t="str">
        <f>IF(A117="","",IFERROR(LOOKUP(2,1/((持仓跟踪!$B$2:$B$497=A117)*(持仓跟踪!$X$2:$X$497="执行卖出")*(持仓跟踪!$Z$2:$Z$497&lt;&gt;"")),持仓跟踪!$Z$2:$Z$497),""))</f>
        <v/>
      </c>
      <c r="M117" s="23" t="str">
        <f>IF(A117="","",IFERROR(LOOKUP(2,1/((持仓跟踪!$B$2:$B$497=A117)*(持仓跟踪!$X$2:$X$497="执行卖出")*(持仓跟踪!$H$2:$H$497&lt;&gt;"")),持仓跟踪!$H$2:$H$497),""))</f>
        <v/>
      </c>
      <c r="N117" s="10"/>
      <c r="O117" s="10"/>
      <c r="P117" s="5" t="str">
        <f>IF(A117="","",IFERROR(LOOKUP(2,1/((持仓跟踪!$B$2:$B$497=A117)*(持仓跟踪!$X$2:$X$497="执行卖出")*(持仓跟踪!$AA$2:$AA$497&lt;&gt;"")),持仓跟踪!$AA$2:$AA$497),""))</f>
        <v/>
      </c>
      <c r="Q117" s="2"/>
      <c r="R117" s="2"/>
      <c r="S117" s="2"/>
      <c r="T117" s="2"/>
      <c r="U117" s="7" t="str">
        <f t="shared" si="38"/>
        <v/>
      </c>
      <c r="V117" s="7" t="str">
        <f t="shared" si="39"/>
        <v/>
      </c>
      <c r="W117" s="22" t="str">
        <f t="shared" si="40"/>
        <v/>
      </c>
      <c r="X117" s="5" t="str">
        <f t="shared" si="41"/>
        <v/>
      </c>
      <c r="Y117" s="7" t="str">
        <f t="shared" si="42"/>
        <v/>
      </c>
      <c r="Z117" s="7" t="str">
        <f>IF(OR(AE117="",多次统计数据!$B$8=""),"",AE117-多次统计数据!$B$8)</f>
        <v/>
      </c>
      <c r="AA117" s="11" t="str">
        <f t="shared" si="43"/>
        <v/>
      </c>
      <c r="AB117" s="7" t="str">
        <f>IF(OR(A117="",多次统计数据!$B$8="",多次统计数据!$B$6&lt;=0,多次统计数据!$B$6&gt;=1),"",1-POWER(1+多次统计数据!$B$8,-多次统计数据!$B$6/(1-多次统计数据!$B$6)))</f>
        <v/>
      </c>
      <c r="AC117" s="8" t="str">
        <f>IF(OR(AB117="",多次统计数据!$B$9=""),"",IF(多次统计数据!$B$9&lt;AB117,"低于上限","达到或超过上限"))</f>
        <v/>
      </c>
      <c r="AD117" s="2"/>
      <c r="AE117" s="7" t="str">
        <f t="shared" si="44"/>
        <v/>
      </c>
      <c r="AG117" s="2"/>
      <c r="AH117" s="2"/>
      <c r="AI117" s="2"/>
      <c r="AJ117" s="8" t="str">
        <f t="shared" si="45"/>
        <v/>
      </c>
      <c r="AK117" s="10"/>
      <c r="AL117" s="12"/>
      <c r="AM117" s="10"/>
      <c r="AN117" s="12"/>
      <c r="AO117" s="5" t="str">
        <f t="shared" si="46"/>
        <v/>
      </c>
      <c r="AP117" s="11" t="str">
        <f t="shared" si="47"/>
        <v/>
      </c>
      <c r="AQ117" s="5" t="str">
        <f>IF(A117="","",IF(M117&lt;&gt;"",0,IF(OR(H117="",N117=""),"",MAX(E117-MAX(N117,IFERROR(SUMPRODUCT(MAX(((持仓跟踪!$A$2:$A$497="每日跟踪")*(持仓跟踪!$B$2:$B$497=A117))*持仓跟踪!$S$2:$S$497)),0)),0)*H117+IF(OR(AK117="",AL117=""),0,MAX(AK117-MAX(N117,IFERROR(SUMPRODUCT(MAX(((持仓跟踪!$A$2:$A$497="每日跟踪")*(持仓跟踪!$B$2:$B$497=A117))*持仓跟踪!$S$2:$S$497)),0)),0)*AL117)+IF(OR(AM117="",AN117=""),0,MAX(AM117-MAX(N117,IFERROR(SUMPRODUCT(MAX(((持仓跟踪!$A$2:$A$497="每日跟踪")*(持仓跟踪!$B$2:$B$497=A117))*持仓跟踪!$S$2:$S$497)),0)),0)*AN117))))</f>
        <v/>
      </c>
      <c r="AR117" s="8" t="str">
        <f ca="1">IF(A117="","",IF(OR(E117="",H117=""),"违规：第一批价格或股数缺失",IF(OR(AND(AK117="",AL117&lt;&gt;""),AND(AK117&lt;&gt;"",AL117="")),"违规：第二批价格与股数须成对填写",IF(OR(AND(AM117="",AN117&lt;&gt;""),AND(AM117&lt;&gt;"",AN117="")),"违规：第三批价格与股数须成对填写",IF(AND(OR(AM117&lt;&gt;"",AN117&lt;&gt;""),OR(AK117="",AL117="")),"违规：必须先完成第二批",IF(OR(H117&lt;=0,H117&lt;&gt;INT(H117),MOD(H117,100)&lt;&gt;0,AND(AL117&lt;&gt;"",OR(AL117&lt;=0,AL117&lt;&gt;INT(AL117),MOD(AL117,100)&lt;&gt;0)),AND(AN117&lt;&gt;"",OR(AN117&lt;=0,AN117&lt;&gt;INT(AN117),MOD(AN117,100)&lt;&gt;0))),"违规：股数须为100股整数倍",IF(AND(OR(AL117&lt;&gt;"",AN117&lt;&gt;""),OR(_LockStatus="已锁仓",_LockStatus="解锁信息不完整")),"违规：锁仓期间禁止加仓",IF(AQ117&gt;C117*D117,"违规：超过单笔风险上限",IF(SUM($AQ$2:$AQ$201)&gt;账户数据!$B$7,"违规：超过账户风险上限","通过")))))))))</f>
        <v/>
      </c>
    </row>
    <row r="118" ht="17" spans="1:44">
      <c r="A118" s="2"/>
      <c r="B118" s="2"/>
      <c r="C118" s="10"/>
      <c r="D118" s="6"/>
      <c r="E118" s="10"/>
      <c r="F118" s="8" t="str">
        <f t="shared" si="36"/>
        <v/>
      </c>
      <c r="G118" s="8" t="str">
        <f ca="1"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COUNTIFS(持仓跟踪!$A$2:$A$497,"止损计划",持仓跟踪!$B$2:$B$497,A118,持仓跟踪!$AC$2:$AC$497,"计划有效")=0,"禁止开仓：请先填写止损计划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8" s="2"/>
      <c r="I118" s="15"/>
      <c r="J118" s="10"/>
      <c r="K118" s="5" t="str">
        <f>IF(A118="","",IFERROR(LOOKUP(2,1/((持仓跟踪!$B$2:$B$497=A118)*(持仓跟踪!$X$2:$X$497="执行卖出")*(持仓跟踪!$Y$2:$Y$497&lt;&gt;"")),持仓跟踪!$Y$2:$Y$497),""))</f>
        <v/>
      </c>
      <c r="L118" s="8" t="str">
        <f>IF(A118="","",IFERROR(LOOKUP(2,1/((持仓跟踪!$B$2:$B$497=A118)*(持仓跟踪!$X$2:$X$497="执行卖出")*(持仓跟踪!$Z$2:$Z$497&lt;&gt;"")),持仓跟踪!$Z$2:$Z$497),""))</f>
        <v/>
      </c>
      <c r="M118" s="23" t="str">
        <f>IF(A118="","",IFERROR(LOOKUP(2,1/((持仓跟踪!$B$2:$B$497=A118)*(持仓跟踪!$X$2:$X$497="执行卖出")*(持仓跟踪!$H$2:$H$497&lt;&gt;"")),持仓跟踪!$H$2:$H$497),""))</f>
        <v/>
      </c>
      <c r="N118" s="10"/>
      <c r="O118" s="10"/>
      <c r="P118" s="5" t="str">
        <f>IF(A118="","",IFERROR(LOOKUP(2,1/((持仓跟踪!$B$2:$B$497=A118)*(持仓跟踪!$X$2:$X$497="执行卖出")*(持仓跟踪!$AA$2:$AA$497&lt;&gt;"")),持仓跟踪!$AA$2:$AA$497),""))</f>
        <v/>
      </c>
      <c r="Q118" s="2"/>
      <c r="R118" s="2"/>
      <c r="S118" s="2"/>
      <c r="T118" s="2"/>
      <c r="U118" s="7" t="str">
        <f t="shared" si="38"/>
        <v/>
      </c>
      <c r="V118" s="7" t="str">
        <f t="shared" si="39"/>
        <v/>
      </c>
      <c r="W118" s="22" t="str">
        <f t="shared" si="40"/>
        <v/>
      </c>
      <c r="X118" s="5" t="str">
        <f t="shared" si="41"/>
        <v/>
      </c>
      <c r="Y118" s="7" t="str">
        <f t="shared" si="42"/>
        <v/>
      </c>
      <c r="Z118" s="7" t="str">
        <f>IF(OR(AE118="",多次统计数据!$B$8=""),"",AE118-多次统计数据!$B$8)</f>
        <v/>
      </c>
      <c r="AA118" s="11" t="str">
        <f t="shared" si="43"/>
        <v/>
      </c>
      <c r="AB118" s="7" t="str">
        <f>IF(OR(A118="",多次统计数据!$B$8="",多次统计数据!$B$6&lt;=0,多次统计数据!$B$6&gt;=1),"",1-POWER(1+多次统计数据!$B$8,-多次统计数据!$B$6/(1-多次统计数据!$B$6)))</f>
        <v/>
      </c>
      <c r="AC118" s="8" t="str">
        <f>IF(OR(AB118="",多次统计数据!$B$9=""),"",IF(多次统计数据!$B$9&lt;AB118,"低于上限","达到或超过上限"))</f>
        <v/>
      </c>
      <c r="AD118" s="2"/>
      <c r="AE118" s="7" t="str">
        <f t="shared" si="44"/>
        <v/>
      </c>
      <c r="AG118" s="2"/>
      <c r="AH118" s="2"/>
      <c r="AI118" s="2"/>
      <c r="AJ118" s="8" t="str">
        <f t="shared" si="45"/>
        <v/>
      </c>
      <c r="AK118" s="10"/>
      <c r="AL118" s="12"/>
      <c r="AM118" s="10"/>
      <c r="AN118" s="12"/>
      <c r="AO118" s="5" t="str">
        <f t="shared" si="46"/>
        <v/>
      </c>
      <c r="AP118" s="11" t="str">
        <f t="shared" si="47"/>
        <v/>
      </c>
      <c r="AQ118" s="5" t="str">
        <f>IF(A118="","",IF(M118&lt;&gt;"",0,IF(OR(H118="",N118=""),"",MAX(E118-MAX(N118,IFERROR(SUMPRODUCT(MAX(((持仓跟踪!$A$2:$A$497="每日跟踪")*(持仓跟踪!$B$2:$B$497=A118))*持仓跟踪!$S$2:$S$497)),0)),0)*H118+IF(OR(AK118="",AL118=""),0,MAX(AK118-MAX(N118,IFERROR(SUMPRODUCT(MAX(((持仓跟踪!$A$2:$A$497="每日跟踪")*(持仓跟踪!$B$2:$B$497=A118))*持仓跟踪!$S$2:$S$497)),0)),0)*AL118)+IF(OR(AM118="",AN118=""),0,MAX(AM118-MAX(N118,IFERROR(SUMPRODUCT(MAX(((持仓跟踪!$A$2:$A$497="每日跟踪")*(持仓跟踪!$B$2:$B$497=A118))*持仓跟踪!$S$2:$S$497)),0)),0)*AN118))))</f>
        <v/>
      </c>
      <c r="AR118" s="8" t="str">
        <f ca="1">IF(A118="","",IF(OR(E118="",H118=""),"违规：第一批价格或股数缺失",IF(OR(AND(AK118="",AL118&lt;&gt;""),AND(AK118&lt;&gt;"",AL118="")),"违规：第二批价格与股数须成对填写",IF(OR(AND(AM118="",AN118&lt;&gt;""),AND(AM118&lt;&gt;"",AN118="")),"违规：第三批价格与股数须成对填写",IF(AND(OR(AM118&lt;&gt;"",AN118&lt;&gt;""),OR(AK118="",AL118="")),"违规：必须先完成第二批",IF(OR(H118&lt;=0,H118&lt;&gt;INT(H118),MOD(H118,100)&lt;&gt;0,AND(AL118&lt;&gt;"",OR(AL118&lt;=0,AL118&lt;&gt;INT(AL118),MOD(AL118,100)&lt;&gt;0)),AND(AN118&lt;&gt;"",OR(AN118&lt;=0,AN118&lt;&gt;INT(AN118),MOD(AN118,100)&lt;&gt;0))),"违规：股数须为100股整数倍",IF(AND(OR(AL118&lt;&gt;"",AN118&lt;&gt;""),OR(_LockStatus="已锁仓",_LockStatus="解锁信息不完整")),"违规：锁仓期间禁止加仓",IF(AQ118&gt;C118*D118,"违规：超过单笔风险上限",IF(SUM($AQ$2:$AQ$201)&gt;账户数据!$B$7,"违规：超过账户风险上限","通过")))))))))</f>
        <v/>
      </c>
    </row>
    <row r="119" ht="17" spans="1:44">
      <c r="A119" s="2"/>
      <c r="B119" s="2"/>
      <c r="C119" s="10"/>
      <c r="D119" s="6"/>
      <c r="E119" s="10"/>
      <c r="F119" s="8" t="str">
        <f t="shared" si="36"/>
        <v/>
      </c>
      <c r="G119" s="8" t="str">
        <f ca="1"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COUNTIFS(持仓跟踪!$A$2:$A$497,"止损计划",持仓跟踪!$B$2:$B$497,A119,持仓跟踪!$AC$2:$AC$497,"计划有效")=0,"禁止开仓：请先填写止损计划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9" s="2"/>
      <c r="I119" s="15"/>
      <c r="J119" s="10"/>
      <c r="K119" s="5" t="str">
        <f>IF(A119="","",IFERROR(LOOKUP(2,1/((持仓跟踪!$B$2:$B$497=A119)*(持仓跟踪!$X$2:$X$497="执行卖出")*(持仓跟踪!$Y$2:$Y$497&lt;&gt;"")),持仓跟踪!$Y$2:$Y$497),""))</f>
        <v/>
      </c>
      <c r="L119" s="8" t="str">
        <f>IF(A119="","",IFERROR(LOOKUP(2,1/((持仓跟踪!$B$2:$B$497=A119)*(持仓跟踪!$X$2:$X$497="执行卖出")*(持仓跟踪!$Z$2:$Z$497&lt;&gt;"")),持仓跟踪!$Z$2:$Z$497),""))</f>
        <v/>
      </c>
      <c r="M119" s="23" t="str">
        <f>IF(A119="","",IFERROR(LOOKUP(2,1/((持仓跟踪!$B$2:$B$497=A119)*(持仓跟踪!$X$2:$X$497="执行卖出")*(持仓跟踪!$H$2:$H$497&lt;&gt;"")),持仓跟踪!$H$2:$H$497),""))</f>
        <v/>
      </c>
      <c r="N119" s="10"/>
      <c r="O119" s="10"/>
      <c r="P119" s="5" t="str">
        <f>IF(A119="","",IFERROR(LOOKUP(2,1/((持仓跟踪!$B$2:$B$497=A119)*(持仓跟踪!$X$2:$X$497="执行卖出")*(持仓跟踪!$AA$2:$AA$497&lt;&gt;"")),持仓跟踪!$AA$2:$AA$497),""))</f>
        <v/>
      </c>
      <c r="Q119" s="2"/>
      <c r="R119" s="2"/>
      <c r="S119" s="2"/>
      <c r="T119" s="2"/>
      <c r="U119" s="7" t="str">
        <f t="shared" si="38"/>
        <v/>
      </c>
      <c r="V119" s="7" t="str">
        <f t="shared" si="39"/>
        <v/>
      </c>
      <c r="W119" s="22" t="str">
        <f t="shared" si="40"/>
        <v/>
      </c>
      <c r="X119" s="5" t="str">
        <f t="shared" si="41"/>
        <v/>
      </c>
      <c r="Y119" s="7" t="str">
        <f t="shared" si="42"/>
        <v/>
      </c>
      <c r="Z119" s="7" t="str">
        <f>IF(OR(AE119="",多次统计数据!$B$8=""),"",AE119-多次统计数据!$B$8)</f>
        <v/>
      </c>
      <c r="AA119" s="11" t="str">
        <f t="shared" si="43"/>
        <v/>
      </c>
      <c r="AB119" s="7" t="str">
        <f>IF(OR(A119="",多次统计数据!$B$8="",多次统计数据!$B$6&lt;=0,多次统计数据!$B$6&gt;=1),"",1-POWER(1+多次统计数据!$B$8,-多次统计数据!$B$6/(1-多次统计数据!$B$6)))</f>
        <v/>
      </c>
      <c r="AC119" s="8" t="str">
        <f>IF(OR(AB119="",多次统计数据!$B$9=""),"",IF(多次统计数据!$B$9&lt;AB119,"低于上限","达到或超过上限"))</f>
        <v/>
      </c>
      <c r="AD119" s="2"/>
      <c r="AE119" s="7" t="str">
        <f t="shared" si="44"/>
        <v/>
      </c>
      <c r="AG119" s="2"/>
      <c r="AH119" s="2"/>
      <c r="AI119" s="2"/>
      <c r="AJ119" s="8" t="str">
        <f t="shared" si="45"/>
        <v/>
      </c>
      <c r="AK119" s="10"/>
      <c r="AL119" s="12"/>
      <c r="AM119" s="10"/>
      <c r="AN119" s="12"/>
      <c r="AO119" s="5" t="str">
        <f t="shared" si="46"/>
        <v/>
      </c>
      <c r="AP119" s="11" t="str">
        <f t="shared" si="47"/>
        <v/>
      </c>
      <c r="AQ119" s="5" t="str">
        <f>IF(A119="","",IF(M119&lt;&gt;"",0,IF(OR(H119="",N119=""),"",MAX(E119-MAX(N119,IFERROR(SUMPRODUCT(MAX(((持仓跟踪!$A$2:$A$497="每日跟踪")*(持仓跟踪!$B$2:$B$497=A119))*持仓跟踪!$S$2:$S$497)),0)),0)*H119+IF(OR(AK119="",AL119=""),0,MAX(AK119-MAX(N119,IFERROR(SUMPRODUCT(MAX(((持仓跟踪!$A$2:$A$497="每日跟踪")*(持仓跟踪!$B$2:$B$497=A119))*持仓跟踪!$S$2:$S$497)),0)),0)*AL119)+IF(OR(AM119="",AN119=""),0,MAX(AM119-MAX(N119,IFERROR(SUMPRODUCT(MAX(((持仓跟踪!$A$2:$A$497="每日跟踪")*(持仓跟踪!$B$2:$B$497=A119))*持仓跟踪!$S$2:$S$497)),0)),0)*AN119))))</f>
        <v/>
      </c>
      <c r="AR119" s="8" t="str">
        <f ca="1">IF(A119="","",IF(OR(E119="",H119=""),"违规：第一批价格或股数缺失",IF(OR(AND(AK119="",AL119&lt;&gt;""),AND(AK119&lt;&gt;"",AL119="")),"违规：第二批价格与股数须成对填写",IF(OR(AND(AM119="",AN119&lt;&gt;""),AND(AM119&lt;&gt;"",AN119="")),"违规：第三批价格与股数须成对填写",IF(AND(OR(AM119&lt;&gt;"",AN119&lt;&gt;""),OR(AK119="",AL119="")),"违规：必须先完成第二批",IF(OR(H119&lt;=0,H119&lt;&gt;INT(H119),MOD(H119,100)&lt;&gt;0,AND(AL119&lt;&gt;"",OR(AL119&lt;=0,AL119&lt;&gt;INT(AL119),MOD(AL119,100)&lt;&gt;0)),AND(AN119&lt;&gt;"",OR(AN119&lt;=0,AN119&lt;&gt;INT(AN119),MOD(AN119,100)&lt;&gt;0))),"违规：股数须为100股整数倍",IF(AND(OR(AL119&lt;&gt;"",AN119&lt;&gt;""),OR(_LockStatus="已锁仓",_LockStatus="解锁信息不完整")),"违规：锁仓期间禁止加仓",IF(AQ119&gt;C119*D119,"违规：超过单笔风险上限",IF(SUM($AQ$2:$AQ$201)&gt;账户数据!$B$7,"违规：超过账户风险上限","通过")))))))))</f>
        <v/>
      </c>
    </row>
    <row r="120" ht="17" spans="1:44">
      <c r="A120" s="2"/>
      <c r="B120" s="2"/>
      <c r="C120" s="10"/>
      <c r="D120" s="6"/>
      <c r="E120" s="10"/>
      <c r="F120" s="8" t="str">
        <f t="shared" si="36"/>
        <v/>
      </c>
      <c r="G120" s="8" t="str">
        <f ca="1"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COUNTIFS(持仓跟踪!$A$2:$A$497,"止损计划",持仓跟踪!$B$2:$B$497,A120,持仓跟踪!$AC$2:$AC$497,"计划有效")=0,"禁止开仓：请先填写止损计划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0" s="2"/>
      <c r="I120" s="15"/>
      <c r="J120" s="10"/>
      <c r="K120" s="5" t="str">
        <f>IF(A120="","",IFERROR(LOOKUP(2,1/((持仓跟踪!$B$2:$B$497=A120)*(持仓跟踪!$X$2:$X$497="执行卖出")*(持仓跟踪!$Y$2:$Y$497&lt;&gt;"")),持仓跟踪!$Y$2:$Y$497),""))</f>
        <v/>
      </c>
      <c r="L120" s="8" t="str">
        <f>IF(A120="","",IFERROR(LOOKUP(2,1/((持仓跟踪!$B$2:$B$497=A120)*(持仓跟踪!$X$2:$X$497="执行卖出")*(持仓跟踪!$Z$2:$Z$497&lt;&gt;"")),持仓跟踪!$Z$2:$Z$497),""))</f>
        <v/>
      </c>
      <c r="M120" s="23" t="str">
        <f>IF(A120="","",IFERROR(LOOKUP(2,1/((持仓跟踪!$B$2:$B$497=A120)*(持仓跟踪!$X$2:$X$497="执行卖出")*(持仓跟踪!$H$2:$H$497&lt;&gt;"")),持仓跟踪!$H$2:$H$497),""))</f>
        <v/>
      </c>
      <c r="N120" s="10"/>
      <c r="O120" s="10"/>
      <c r="P120" s="5" t="str">
        <f>IF(A120="","",IFERROR(LOOKUP(2,1/((持仓跟踪!$B$2:$B$497=A120)*(持仓跟踪!$X$2:$X$497="执行卖出")*(持仓跟踪!$AA$2:$AA$497&lt;&gt;"")),持仓跟踪!$AA$2:$AA$497),""))</f>
        <v/>
      </c>
      <c r="Q120" s="2"/>
      <c r="R120" s="2"/>
      <c r="S120" s="2"/>
      <c r="T120" s="2"/>
      <c r="U120" s="7" t="str">
        <f t="shared" si="38"/>
        <v/>
      </c>
      <c r="V120" s="7" t="str">
        <f t="shared" si="39"/>
        <v/>
      </c>
      <c r="W120" s="22" t="str">
        <f t="shared" si="40"/>
        <v/>
      </c>
      <c r="X120" s="5" t="str">
        <f t="shared" si="41"/>
        <v/>
      </c>
      <c r="Y120" s="7" t="str">
        <f t="shared" si="42"/>
        <v/>
      </c>
      <c r="Z120" s="7" t="str">
        <f>IF(OR(AE120="",多次统计数据!$B$8=""),"",AE120-多次统计数据!$B$8)</f>
        <v/>
      </c>
      <c r="AA120" s="11" t="str">
        <f t="shared" si="43"/>
        <v/>
      </c>
      <c r="AB120" s="7" t="str">
        <f>IF(OR(A120="",多次统计数据!$B$8="",多次统计数据!$B$6&lt;=0,多次统计数据!$B$6&gt;=1),"",1-POWER(1+多次统计数据!$B$8,-多次统计数据!$B$6/(1-多次统计数据!$B$6)))</f>
        <v/>
      </c>
      <c r="AC120" s="8" t="str">
        <f>IF(OR(AB120="",多次统计数据!$B$9=""),"",IF(多次统计数据!$B$9&lt;AB120,"低于上限","达到或超过上限"))</f>
        <v/>
      </c>
      <c r="AD120" s="2"/>
      <c r="AE120" s="7" t="str">
        <f t="shared" si="44"/>
        <v/>
      </c>
      <c r="AG120" s="2"/>
      <c r="AH120" s="2"/>
      <c r="AI120" s="2"/>
      <c r="AJ120" s="8" t="str">
        <f t="shared" si="45"/>
        <v/>
      </c>
      <c r="AK120" s="10"/>
      <c r="AL120" s="12"/>
      <c r="AM120" s="10"/>
      <c r="AN120" s="12"/>
      <c r="AO120" s="5" t="str">
        <f t="shared" si="46"/>
        <v/>
      </c>
      <c r="AP120" s="11" t="str">
        <f t="shared" si="47"/>
        <v/>
      </c>
      <c r="AQ120" s="5" t="str">
        <f>IF(A120="","",IF(M120&lt;&gt;"",0,IF(OR(H120="",N120=""),"",MAX(E120-MAX(N120,IFERROR(SUMPRODUCT(MAX(((持仓跟踪!$A$2:$A$497="每日跟踪")*(持仓跟踪!$B$2:$B$497=A120))*持仓跟踪!$S$2:$S$497)),0)),0)*H120+IF(OR(AK120="",AL120=""),0,MAX(AK120-MAX(N120,IFERROR(SUMPRODUCT(MAX(((持仓跟踪!$A$2:$A$497="每日跟踪")*(持仓跟踪!$B$2:$B$497=A120))*持仓跟踪!$S$2:$S$497)),0)),0)*AL120)+IF(OR(AM120="",AN120=""),0,MAX(AM120-MAX(N120,IFERROR(SUMPRODUCT(MAX(((持仓跟踪!$A$2:$A$497="每日跟踪")*(持仓跟踪!$B$2:$B$497=A120))*持仓跟踪!$S$2:$S$497)),0)),0)*AN120))))</f>
        <v/>
      </c>
      <c r="AR120" s="8" t="str">
        <f ca="1">IF(A120="","",IF(OR(E120="",H120=""),"违规：第一批价格或股数缺失",IF(OR(AND(AK120="",AL120&lt;&gt;""),AND(AK120&lt;&gt;"",AL120="")),"违规：第二批价格与股数须成对填写",IF(OR(AND(AM120="",AN120&lt;&gt;""),AND(AM120&lt;&gt;"",AN120="")),"违规：第三批价格与股数须成对填写",IF(AND(OR(AM120&lt;&gt;"",AN120&lt;&gt;""),OR(AK120="",AL120="")),"违规：必须先完成第二批",IF(OR(H120&lt;=0,H120&lt;&gt;INT(H120),MOD(H120,100)&lt;&gt;0,AND(AL120&lt;&gt;"",OR(AL120&lt;=0,AL120&lt;&gt;INT(AL120),MOD(AL120,100)&lt;&gt;0)),AND(AN120&lt;&gt;"",OR(AN120&lt;=0,AN120&lt;&gt;INT(AN120),MOD(AN120,100)&lt;&gt;0))),"违规：股数须为100股整数倍",IF(AND(OR(AL120&lt;&gt;"",AN120&lt;&gt;""),OR(_LockStatus="已锁仓",_LockStatus="解锁信息不完整")),"违规：锁仓期间禁止加仓",IF(AQ120&gt;C120*D120,"违规：超过单笔风险上限",IF(SUM($AQ$2:$AQ$201)&gt;账户数据!$B$7,"违规：超过账户风险上限","通过")))))))))</f>
        <v/>
      </c>
    </row>
    <row r="121" ht="17" spans="1:44">
      <c r="A121" s="2"/>
      <c r="B121" s="2"/>
      <c r="C121" s="10"/>
      <c r="D121" s="6"/>
      <c r="E121" s="10"/>
      <c r="F121" s="8" t="str">
        <f t="shared" si="36"/>
        <v/>
      </c>
      <c r="G121" s="8" t="str">
        <f ca="1"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COUNTIFS(持仓跟踪!$A$2:$A$497,"止损计划",持仓跟踪!$B$2:$B$497,A121,持仓跟踪!$AC$2:$AC$497,"计划有效")=0,"禁止开仓：请先填写止损计划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1" s="2"/>
      <c r="I121" s="15"/>
      <c r="J121" s="10"/>
      <c r="K121" s="5" t="str">
        <f>IF(A121="","",IFERROR(LOOKUP(2,1/((持仓跟踪!$B$2:$B$497=A121)*(持仓跟踪!$X$2:$X$497="执行卖出")*(持仓跟踪!$Y$2:$Y$497&lt;&gt;"")),持仓跟踪!$Y$2:$Y$497),""))</f>
        <v/>
      </c>
      <c r="L121" s="8" t="str">
        <f>IF(A121="","",IFERROR(LOOKUP(2,1/((持仓跟踪!$B$2:$B$497=A121)*(持仓跟踪!$X$2:$X$497="执行卖出")*(持仓跟踪!$Z$2:$Z$497&lt;&gt;"")),持仓跟踪!$Z$2:$Z$497),""))</f>
        <v/>
      </c>
      <c r="M121" s="23" t="str">
        <f>IF(A121="","",IFERROR(LOOKUP(2,1/((持仓跟踪!$B$2:$B$497=A121)*(持仓跟踪!$X$2:$X$497="执行卖出")*(持仓跟踪!$H$2:$H$497&lt;&gt;"")),持仓跟踪!$H$2:$H$497),""))</f>
        <v/>
      </c>
      <c r="N121" s="10"/>
      <c r="O121" s="10"/>
      <c r="P121" s="5" t="str">
        <f>IF(A121="","",IFERROR(LOOKUP(2,1/((持仓跟踪!$B$2:$B$497=A121)*(持仓跟踪!$X$2:$X$497="执行卖出")*(持仓跟踪!$AA$2:$AA$497&lt;&gt;"")),持仓跟踪!$AA$2:$AA$497),""))</f>
        <v/>
      </c>
      <c r="Q121" s="2"/>
      <c r="R121" s="2"/>
      <c r="S121" s="2"/>
      <c r="T121" s="2"/>
      <c r="U121" s="7" t="str">
        <f t="shared" si="38"/>
        <v/>
      </c>
      <c r="V121" s="7" t="str">
        <f t="shared" si="39"/>
        <v/>
      </c>
      <c r="W121" s="22" t="str">
        <f t="shared" si="40"/>
        <v/>
      </c>
      <c r="X121" s="5" t="str">
        <f t="shared" si="41"/>
        <v/>
      </c>
      <c r="Y121" s="7" t="str">
        <f t="shared" si="42"/>
        <v/>
      </c>
      <c r="Z121" s="7" t="str">
        <f>IF(OR(AE121="",多次统计数据!$B$8=""),"",AE121-多次统计数据!$B$8)</f>
        <v/>
      </c>
      <c r="AA121" s="11" t="str">
        <f t="shared" si="43"/>
        <v/>
      </c>
      <c r="AB121" s="7" t="str">
        <f>IF(OR(A121="",多次统计数据!$B$8="",多次统计数据!$B$6&lt;=0,多次统计数据!$B$6&gt;=1),"",1-POWER(1+多次统计数据!$B$8,-多次统计数据!$B$6/(1-多次统计数据!$B$6)))</f>
        <v/>
      </c>
      <c r="AC121" s="8" t="str">
        <f>IF(OR(AB121="",多次统计数据!$B$9=""),"",IF(多次统计数据!$B$9&lt;AB121,"低于上限","达到或超过上限"))</f>
        <v/>
      </c>
      <c r="AD121" s="2"/>
      <c r="AE121" s="7" t="str">
        <f t="shared" si="44"/>
        <v/>
      </c>
      <c r="AG121" s="2"/>
      <c r="AH121" s="2"/>
      <c r="AI121" s="2"/>
      <c r="AJ121" s="8" t="str">
        <f t="shared" si="45"/>
        <v/>
      </c>
      <c r="AK121" s="10"/>
      <c r="AL121" s="12"/>
      <c r="AM121" s="10"/>
      <c r="AN121" s="12"/>
      <c r="AO121" s="5" t="str">
        <f t="shared" si="46"/>
        <v/>
      </c>
      <c r="AP121" s="11" t="str">
        <f t="shared" si="47"/>
        <v/>
      </c>
      <c r="AQ121" s="5" t="str">
        <f>IF(A121="","",IF(M121&lt;&gt;"",0,IF(OR(H121="",N121=""),"",MAX(E121-MAX(N121,IFERROR(SUMPRODUCT(MAX(((持仓跟踪!$A$2:$A$497="每日跟踪")*(持仓跟踪!$B$2:$B$497=A121))*持仓跟踪!$S$2:$S$497)),0)),0)*H121+IF(OR(AK121="",AL121=""),0,MAX(AK121-MAX(N121,IFERROR(SUMPRODUCT(MAX(((持仓跟踪!$A$2:$A$497="每日跟踪")*(持仓跟踪!$B$2:$B$497=A121))*持仓跟踪!$S$2:$S$497)),0)),0)*AL121)+IF(OR(AM121="",AN121=""),0,MAX(AM121-MAX(N121,IFERROR(SUMPRODUCT(MAX(((持仓跟踪!$A$2:$A$497="每日跟踪")*(持仓跟踪!$B$2:$B$497=A121))*持仓跟踪!$S$2:$S$497)),0)),0)*AN121))))</f>
        <v/>
      </c>
      <c r="AR121" s="8" t="str">
        <f ca="1">IF(A121="","",IF(OR(E121="",H121=""),"违规：第一批价格或股数缺失",IF(OR(AND(AK121="",AL121&lt;&gt;""),AND(AK121&lt;&gt;"",AL121="")),"违规：第二批价格与股数须成对填写",IF(OR(AND(AM121="",AN121&lt;&gt;""),AND(AM121&lt;&gt;"",AN121="")),"违规：第三批价格与股数须成对填写",IF(AND(OR(AM121&lt;&gt;"",AN121&lt;&gt;""),OR(AK121="",AL121="")),"违规：必须先完成第二批",IF(OR(H121&lt;=0,H121&lt;&gt;INT(H121),MOD(H121,100)&lt;&gt;0,AND(AL121&lt;&gt;"",OR(AL121&lt;=0,AL121&lt;&gt;INT(AL121),MOD(AL121,100)&lt;&gt;0)),AND(AN121&lt;&gt;"",OR(AN121&lt;=0,AN121&lt;&gt;INT(AN121),MOD(AN121,100)&lt;&gt;0))),"违规：股数须为100股整数倍",IF(AND(OR(AL121&lt;&gt;"",AN121&lt;&gt;""),OR(_LockStatus="已锁仓",_LockStatus="解锁信息不完整")),"违规：锁仓期间禁止加仓",IF(AQ121&gt;C121*D121,"违规：超过单笔风险上限",IF(SUM($AQ$2:$AQ$201)&gt;账户数据!$B$7,"违规：超过账户风险上限","通过")))))))))</f>
        <v/>
      </c>
    </row>
    <row r="122" ht="17" spans="1:44">
      <c r="A122" s="2"/>
      <c r="B122" s="2"/>
      <c r="C122" s="10"/>
      <c r="D122" s="6"/>
      <c r="E122" s="10"/>
      <c r="F122" s="8" t="str">
        <f t="shared" si="36"/>
        <v/>
      </c>
      <c r="G122" s="8" t="str">
        <f ca="1"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COUNTIFS(持仓跟踪!$A$2:$A$497,"止损计划",持仓跟踪!$B$2:$B$497,A122,持仓跟踪!$AC$2:$AC$497,"计划有效")=0,"禁止开仓：请先填写止损计划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2" s="2"/>
      <c r="I122" s="15"/>
      <c r="J122" s="10"/>
      <c r="K122" s="5" t="str">
        <f>IF(A122="","",IFERROR(LOOKUP(2,1/((持仓跟踪!$B$2:$B$497=A122)*(持仓跟踪!$X$2:$X$497="执行卖出")*(持仓跟踪!$Y$2:$Y$497&lt;&gt;"")),持仓跟踪!$Y$2:$Y$497),""))</f>
        <v/>
      </c>
      <c r="L122" s="8" t="str">
        <f>IF(A122="","",IFERROR(LOOKUP(2,1/((持仓跟踪!$B$2:$B$497=A122)*(持仓跟踪!$X$2:$X$497="执行卖出")*(持仓跟踪!$Z$2:$Z$497&lt;&gt;"")),持仓跟踪!$Z$2:$Z$497),""))</f>
        <v/>
      </c>
      <c r="M122" s="23" t="str">
        <f>IF(A122="","",IFERROR(LOOKUP(2,1/((持仓跟踪!$B$2:$B$497=A122)*(持仓跟踪!$X$2:$X$497="执行卖出")*(持仓跟踪!$H$2:$H$497&lt;&gt;"")),持仓跟踪!$H$2:$H$497),""))</f>
        <v/>
      </c>
      <c r="N122" s="10"/>
      <c r="O122" s="10"/>
      <c r="P122" s="5" t="str">
        <f>IF(A122="","",IFERROR(LOOKUP(2,1/((持仓跟踪!$B$2:$B$497=A122)*(持仓跟踪!$X$2:$X$497="执行卖出")*(持仓跟踪!$AA$2:$AA$497&lt;&gt;"")),持仓跟踪!$AA$2:$AA$497),""))</f>
        <v/>
      </c>
      <c r="Q122" s="2"/>
      <c r="R122" s="2"/>
      <c r="S122" s="2"/>
      <c r="T122" s="2"/>
      <c r="U122" s="7" t="str">
        <f t="shared" si="38"/>
        <v/>
      </c>
      <c r="V122" s="7" t="str">
        <f t="shared" si="39"/>
        <v/>
      </c>
      <c r="W122" s="22" t="str">
        <f t="shared" si="40"/>
        <v/>
      </c>
      <c r="X122" s="5" t="str">
        <f t="shared" si="41"/>
        <v/>
      </c>
      <c r="Y122" s="7" t="str">
        <f t="shared" si="42"/>
        <v/>
      </c>
      <c r="Z122" s="7" t="str">
        <f>IF(OR(AE122="",多次统计数据!$B$8=""),"",AE122-多次统计数据!$B$8)</f>
        <v/>
      </c>
      <c r="AA122" s="11" t="str">
        <f t="shared" si="43"/>
        <v/>
      </c>
      <c r="AB122" s="7" t="str">
        <f>IF(OR(A122="",多次统计数据!$B$8="",多次统计数据!$B$6&lt;=0,多次统计数据!$B$6&gt;=1),"",1-POWER(1+多次统计数据!$B$8,-多次统计数据!$B$6/(1-多次统计数据!$B$6)))</f>
        <v/>
      </c>
      <c r="AC122" s="8" t="str">
        <f>IF(OR(AB122="",多次统计数据!$B$9=""),"",IF(多次统计数据!$B$9&lt;AB122,"低于上限","达到或超过上限"))</f>
        <v/>
      </c>
      <c r="AD122" s="2"/>
      <c r="AE122" s="7" t="str">
        <f t="shared" si="44"/>
        <v/>
      </c>
      <c r="AG122" s="2"/>
      <c r="AH122" s="2"/>
      <c r="AI122" s="2"/>
      <c r="AJ122" s="8" t="str">
        <f t="shared" si="45"/>
        <v/>
      </c>
      <c r="AK122" s="10"/>
      <c r="AL122" s="12"/>
      <c r="AM122" s="10"/>
      <c r="AN122" s="12"/>
      <c r="AO122" s="5" t="str">
        <f t="shared" si="46"/>
        <v/>
      </c>
      <c r="AP122" s="11" t="str">
        <f t="shared" si="47"/>
        <v/>
      </c>
      <c r="AQ122" s="5" t="str">
        <f>IF(A122="","",IF(M122&lt;&gt;"",0,IF(OR(H122="",N122=""),"",MAX(E122-MAX(N122,IFERROR(SUMPRODUCT(MAX(((持仓跟踪!$A$2:$A$497="每日跟踪")*(持仓跟踪!$B$2:$B$497=A122))*持仓跟踪!$S$2:$S$497)),0)),0)*H122+IF(OR(AK122="",AL122=""),0,MAX(AK122-MAX(N122,IFERROR(SUMPRODUCT(MAX(((持仓跟踪!$A$2:$A$497="每日跟踪")*(持仓跟踪!$B$2:$B$497=A122))*持仓跟踪!$S$2:$S$497)),0)),0)*AL122)+IF(OR(AM122="",AN122=""),0,MAX(AM122-MAX(N122,IFERROR(SUMPRODUCT(MAX(((持仓跟踪!$A$2:$A$497="每日跟踪")*(持仓跟踪!$B$2:$B$497=A122))*持仓跟踪!$S$2:$S$497)),0)),0)*AN122))))</f>
        <v/>
      </c>
      <c r="AR122" s="8" t="str">
        <f ca="1">IF(A122="","",IF(OR(E122="",H122=""),"违规：第一批价格或股数缺失",IF(OR(AND(AK122="",AL122&lt;&gt;""),AND(AK122&lt;&gt;"",AL122="")),"违规：第二批价格与股数须成对填写",IF(OR(AND(AM122="",AN122&lt;&gt;""),AND(AM122&lt;&gt;"",AN122="")),"违规：第三批价格与股数须成对填写",IF(AND(OR(AM122&lt;&gt;"",AN122&lt;&gt;""),OR(AK122="",AL122="")),"违规：必须先完成第二批",IF(OR(H122&lt;=0,H122&lt;&gt;INT(H122),MOD(H122,100)&lt;&gt;0,AND(AL122&lt;&gt;"",OR(AL122&lt;=0,AL122&lt;&gt;INT(AL122),MOD(AL122,100)&lt;&gt;0)),AND(AN122&lt;&gt;"",OR(AN122&lt;=0,AN122&lt;&gt;INT(AN122),MOD(AN122,100)&lt;&gt;0))),"违规：股数须为100股整数倍",IF(AND(OR(AL122&lt;&gt;"",AN122&lt;&gt;""),OR(_LockStatus="已锁仓",_LockStatus="解锁信息不完整")),"违规：锁仓期间禁止加仓",IF(AQ122&gt;C122*D122,"违规：超过单笔风险上限",IF(SUM($AQ$2:$AQ$201)&gt;账户数据!$B$7,"违规：超过账户风险上限","通过")))))))))</f>
        <v/>
      </c>
    </row>
    <row r="123" ht="17" spans="1:44">
      <c r="A123" s="2"/>
      <c r="B123" s="2"/>
      <c r="C123" s="10"/>
      <c r="D123" s="6"/>
      <c r="E123" s="10"/>
      <c r="F123" s="8" t="str">
        <f t="shared" si="36"/>
        <v/>
      </c>
      <c r="G123" s="8" t="str">
        <f ca="1"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COUNTIFS(持仓跟踪!$A$2:$A$497,"止损计划",持仓跟踪!$B$2:$B$497,A123,持仓跟踪!$AC$2:$AC$497,"计划有效")=0,"禁止开仓：请先填写止损计划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3" s="2"/>
      <c r="I123" s="15"/>
      <c r="J123" s="10"/>
      <c r="K123" s="5" t="str">
        <f>IF(A123="","",IFERROR(LOOKUP(2,1/((持仓跟踪!$B$2:$B$497=A123)*(持仓跟踪!$X$2:$X$497="执行卖出")*(持仓跟踪!$Y$2:$Y$497&lt;&gt;"")),持仓跟踪!$Y$2:$Y$497),""))</f>
        <v/>
      </c>
      <c r="L123" s="8" t="str">
        <f>IF(A123="","",IFERROR(LOOKUP(2,1/((持仓跟踪!$B$2:$B$497=A123)*(持仓跟踪!$X$2:$X$497="执行卖出")*(持仓跟踪!$Z$2:$Z$497&lt;&gt;"")),持仓跟踪!$Z$2:$Z$497),""))</f>
        <v/>
      </c>
      <c r="M123" s="23" t="str">
        <f>IF(A123="","",IFERROR(LOOKUP(2,1/((持仓跟踪!$B$2:$B$497=A123)*(持仓跟踪!$X$2:$X$497="执行卖出")*(持仓跟踪!$H$2:$H$497&lt;&gt;"")),持仓跟踪!$H$2:$H$497),""))</f>
        <v/>
      </c>
      <c r="N123" s="10"/>
      <c r="O123" s="10"/>
      <c r="P123" s="5" t="str">
        <f>IF(A123="","",IFERROR(LOOKUP(2,1/((持仓跟踪!$B$2:$B$497=A123)*(持仓跟踪!$X$2:$X$497="执行卖出")*(持仓跟踪!$AA$2:$AA$497&lt;&gt;"")),持仓跟踪!$AA$2:$AA$497),""))</f>
        <v/>
      </c>
      <c r="Q123" s="2"/>
      <c r="R123" s="2"/>
      <c r="S123" s="2"/>
      <c r="T123" s="2"/>
      <c r="U123" s="7" t="str">
        <f t="shared" si="38"/>
        <v/>
      </c>
      <c r="V123" s="7" t="str">
        <f t="shared" si="39"/>
        <v/>
      </c>
      <c r="W123" s="22" t="str">
        <f t="shared" si="40"/>
        <v/>
      </c>
      <c r="X123" s="5" t="str">
        <f t="shared" si="41"/>
        <v/>
      </c>
      <c r="Y123" s="7" t="str">
        <f t="shared" si="42"/>
        <v/>
      </c>
      <c r="Z123" s="7" t="str">
        <f>IF(OR(AE123="",多次统计数据!$B$8=""),"",AE123-多次统计数据!$B$8)</f>
        <v/>
      </c>
      <c r="AA123" s="11" t="str">
        <f t="shared" si="43"/>
        <v/>
      </c>
      <c r="AB123" s="7" t="str">
        <f>IF(OR(A123="",多次统计数据!$B$8="",多次统计数据!$B$6&lt;=0,多次统计数据!$B$6&gt;=1),"",1-POWER(1+多次统计数据!$B$8,-多次统计数据!$B$6/(1-多次统计数据!$B$6)))</f>
        <v/>
      </c>
      <c r="AC123" s="8" t="str">
        <f>IF(OR(AB123="",多次统计数据!$B$9=""),"",IF(多次统计数据!$B$9&lt;AB123,"低于上限","达到或超过上限"))</f>
        <v/>
      </c>
      <c r="AD123" s="2"/>
      <c r="AE123" s="7" t="str">
        <f t="shared" si="44"/>
        <v/>
      </c>
      <c r="AG123" s="2"/>
      <c r="AH123" s="2"/>
      <c r="AI123" s="2"/>
      <c r="AJ123" s="8" t="str">
        <f t="shared" si="45"/>
        <v/>
      </c>
      <c r="AK123" s="10"/>
      <c r="AL123" s="12"/>
      <c r="AM123" s="10"/>
      <c r="AN123" s="12"/>
      <c r="AO123" s="5" t="str">
        <f t="shared" si="46"/>
        <v/>
      </c>
      <c r="AP123" s="11" t="str">
        <f t="shared" si="47"/>
        <v/>
      </c>
      <c r="AQ123" s="5" t="str">
        <f>IF(A123="","",IF(M123&lt;&gt;"",0,IF(OR(H123="",N123=""),"",MAX(E123-MAX(N123,IFERROR(SUMPRODUCT(MAX(((持仓跟踪!$A$2:$A$497="每日跟踪")*(持仓跟踪!$B$2:$B$497=A123))*持仓跟踪!$S$2:$S$497)),0)),0)*H123+IF(OR(AK123="",AL123=""),0,MAX(AK123-MAX(N123,IFERROR(SUMPRODUCT(MAX(((持仓跟踪!$A$2:$A$497="每日跟踪")*(持仓跟踪!$B$2:$B$497=A123))*持仓跟踪!$S$2:$S$497)),0)),0)*AL123)+IF(OR(AM123="",AN123=""),0,MAX(AM123-MAX(N123,IFERROR(SUMPRODUCT(MAX(((持仓跟踪!$A$2:$A$497="每日跟踪")*(持仓跟踪!$B$2:$B$497=A123))*持仓跟踪!$S$2:$S$497)),0)),0)*AN123))))</f>
        <v/>
      </c>
      <c r="AR123" s="8" t="str">
        <f ca="1">IF(A123="","",IF(OR(E123="",H123=""),"违规：第一批价格或股数缺失",IF(OR(AND(AK123="",AL123&lt;&gt;""),AND(AK123&lt;&gt;"",AL123="")),"违规：第二批价格与股数须成对填写",IF(OR(AND(AM123="",AN123&lt;&gt;""),AND(AM123&lt;&gt;"",AN123="")),"违规：第三批价格与股数须成对填写",IF(AND(OR(AM123&lt;&gt;"",AN123&lt;&gt;""),OR(AK123="",AL123="")),"违规：必须先完成第二批",IF(OR(H123&lt;=0,H123&lt;&gt;INT(H123),MOD(H123,100)&lt;&gt;0,AND(AL123&lt;&gt;"",OR(AL123&lt;=0,AL123&lt;&gt;INT(AL123),MOD(AL123,100)&lt;&gt;0)),AND(AN123&lt;&gt;"",OR(AN123&lt;=0,AN123&lt;&gt;INT(AN123),MOD(AN123,100)&lt;&gt;0))),"违规：股数须为100股整数倍",IF(AND(OR(AL123&lt;&gt;"",AN123&lt;&gt;""),OR(_LockStatus="已锁仓",_LockStatus="解锁信息不完整")),"违规：锁仓期间禁止加仓",IF(AQ123&gt;C123*D123,"违规：超过单笔风险上限",IF(SUM($AQ$2:$AQ$201)&gt;账户数据!$B$7,"违规：超过账户风险上限","通过")))))))))</f>
        <v/>
      </c>
    </row>
    <row r="124" ht="17" spans="1:44">
      <c r="A124" s="2"/>
      <c r="B124" s="2"/>
      <c r="C124" s="10"/>
      <c r="D124" s="6"/>
      <c r="E124" s="10"/>
      <c r="F124" s="8" t="str">
        <f t="shared" si="36"/>
        <v/>
      </c>
      <c r="G124" s="8" t="str">
        <f ca="1"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COUNTIFS(持仓跟踪!$A$2:$A$497,"止损计划",持仓跟踪!$B$2:$B$497,A124,持仓跟踪!$AC$2:$AC$497,"计划有效")=0,"禁止开仓：请先填写止损计划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4" s="2"/>
      <c r="I124" s="15"/>
      <c r="J124" s="10"/>
      <c r="K124" s="5" t="str">
        <f>IF(A124="","",IFERROR(LOOKUP(2,1/((持仓跟踪!$B$2:$B$497=A124)*(持仓跟踪!$X$2:$X$497="执行卖出")*(持仓跟踪!$Y$2:$Y$497&lt;&gt;"")),持仓跟踪!$Y$2:$Y$497),""))</f>
        <v/>
      </c>
      <c r="L124" s="8" t="str">
        <f>IF(A124="","",IFERROR(LOOKUP(2,1/((持仓跟踪!$B$2:$B$497=A124)*(持仓跟踪!$X$2:$X$497="执行卖出")*(持仓跟踪!$Z$2:$Z$497&lt;&gt;"")),持仓跟踪!$Z$2:$Z$497),""))</f>
        <v/>
      </c>
      <c r="M124" s="23" t="str">
        <f>IF(A124="","",IFERROR(LOOKUP(2,1/((持仓跟踪!$B$2:$B$497=A124)*(持仓跟踪!$X$2:$X$497="执行卖出")*(持仓跟踪!$H$2:$H$497&lt;&gt;"")),持仓跟踪!$H$2:$H$497),""))</f>
        <v/>
      </c>
      <c r="N124" s="10"/>
      <c r="O124" s="10"/>
      <c r="P124" s="5" t="str">
        <f>IF(A124="","",IFERROR(LOOKUP(2,1/((持仓跟踪!$B$2:$B$497=A124)*(持仓跟踪!$X$2:$X$497="执行卖出")*(持仓跟踪!$AA$2:$AA$497&lt;&gt;"")),持仓跟踪!$AA$2:$AA$497),""))</f>
        <v/>
      </c>
      <c r="Q124" s="2"/>
      <c r="R124" s="2"/>
      <c r="S124" s="2"/>
      <c r="T124" s="2"/>
      <c r="U124" s="7" t="str">
        <f t="shared" si="38"/>
        <v/>
      </c>
      <c r="V124" s="7" t="str">
        <f t="shared" si="39"/>
        <v/>
      </c>
      <c r="W124" s="22" t="str">
        <f t="shared" si="40"/>
        <v/>
      </c>
      <c r="X124" s="5" t="str">
        <f t="shared" si="41"/>
        <v/>
      </c>
      <c r="Y124" s="7" t="str">
        <f t="shared" si="42"/>
        <v/>
      </c>
      <c r="Z124" s="7" t="str">
        <f>IF(OR(AE124="",多次统计数据!$B$8=""),"",AE124-多次统计数据!$B$8)</f>
        <v/>
      </c>
      <c r="AA124" s="11" t="str">
        <f t="shared" si="43"/>
        <v/>
      </c>
      <c r="AB124" s="7" t="str">
        <f>IF(OR(A124="",多次统计数据!$B$8="",多次统计数据!$B$6&lt;=0,多次统计数据!$B$6&gt;=1),"",1-POWER(1+多次统计数据!$B$8,-多次统计数据!$B$6/(1-多次统计数据!$B$6)))</f>
        <v/>
      </c>
      <c r="AC124" s="8" t="str">
        <f>IF(OR(AB124="",多次统计数据!$B$9=""),"",IF(多次统计数据!$B$9&lt;AB124,"低于上限","达到或超过上限"))</f>
        <v/>
      </c>
      <c r="AD124" s="2"/>
      <c r="AE124" s="7" t="str">
        <f t="shared" si="44"/>
        <v/>
      </c>
      <c r="AG124" s="2"/>
      <c r="AH124" s="2"/>
      <c r="AI124" s="2"/>
      <c r="AJ124" s="8" t="str">
        <f t="shared" si="45"/>
        <v/>
      </c>
      <c r="AK124" s="10"/>
      <c r="AL124" s="12"/>
      <c r="AM124" s="10"/>
      <c r="AN124" s="12"/>
      <c r="AO124" s="5" t="str">
        <f t="shared" si="46"/>
        <v/>
      </c>
      <c r="AP124" s="11" t="str">
        <f t="shared" si="47"/>
        <v/>
      </c>
      <c r="AQ124" s="5" t="str">
        <f>IF(A124="","",IF(M124&lt;&gt;"",0,IF(OR(H124="",N124=""),"",MAX(E124-MAX(N124,IFERROR(SUMPRODUCT(MAX(((持仓跟踪!$A$2:$A$497="每日跟踪")*(持仓跟踪!$B$2:$B$497=A124))*持仓跟踪!$S$2:$S$497)),0)),0)*H124+IF(OR(AK124="",AL124=""),0,MAX(AK124-MAX(N124,IFERROR(SUMPRODUCT(MAX(((持仓跟踪!$A$2:$A$497="每日跟踪")*(持仓跟踪!$B$2:$B$497=A124))*持仓跟踪!$S$2:$S$497)),0)),0)*AL124)+IF(OR(AM124="",AN124=""),0,MAX(AM124-MAX(N124,IFERROR(SUMPRODUCT(MAX(((持仓跟踪!$A$2:$A$497="每日跟踪")*(持仓跟踪!$B$2:$B$497=A124))*持仓跟踪!$S$2:$S$497)),0)),0)*AN124))))</f>
        <v/>
      </c>
      <c r="AR124" s="8" t="str">
        <f ca="1">IF(A124="","",IF(OR(E124="",H124=""),"违规：第一批价格或股数缺失",IF(OR(AND(AK124="",AL124&lt;&gt;""),AND(AK124&lt;&gt;"",AL124="")),"违规：第二批价格与股数须成对填写",IF(OR(AND(AM124="",AN124&lt;&gt;""),AND(AM124&lt;&gt;"",AN124="")),"违规：第三批价格与股数须成对填写",IF(AND(OR(AM124&lt;&gt;"",AN124&lt;&gt;""),OR(AK124="",AL124="")),"违规：必须先完成第二批",IF(OR(H124&lt;=0,H124&lt;&gt;INT(H124),MOD(H124,100)&lt;&gt;0,AND(AL124&lt;&gt;"",OR(AL124&lt;=0,AL124&lt;&gt;INT(AL124),MOD(AL124,100)&lt;&gt;0)),AND(AN124&lt;&gt;"",OR(AN124&lt;=0,AN124&lt;&gt;INT(AN124),MOD(AN124,100)&lt;&gt;0))),"违规：股数须为100股整数倍",IF(AND(OR(AL124&lt;&gt;"",AN124&lt;&gt;""),OR(_LockStatus="已锁仓",_LockStatus="解锁信息不完整")),"违规：锁仓期间禁止加仓",IF(AQ124&gt;C124*D124,"违规：超过单笔风险上限",IF(SUM($AQ$2:$AQ$201)&gt;账户数据!$B$7,"违规：超过账户风险上限","通过")))))))))</f>
        <v/>
      </c>
    </row>
    <row r="125" ht="17" spans="1:44">
      <c r="A125" s="2"/>
      <c r="B125" s="2"/>
      <c r="C125" s="10"/>
      <c r="D125" s="6"/>
      <c r="E125" s="10"/>
      <c r="F125" s="8" t="str">
        <f t="shared" si="36"/>
        <v/>
      </c>
      <c r="G125" s="8" t="str">
        <f ca="1"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COUNTIFS(持仓跟踪!$A$2:$A$497,"止损计划",持仓跟踪!$B$2:$B$497,A125,持仓跟踪!$AC$2:$AC$497,"计划有效")=0,"禁止开仓：请先填写止损计划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5" s="2"/>
      <c r="I125" s="15"/>
      <c r="J125" s="10"/>
      <c r="K125" s="5" t="str">
        <f>IF(A125="","",IFERROR(LOOKUP(2,1/((持仓跟踪!$B$2:$B$497=A125)*(持仓跟踪!$X$2:$X$497="执行卖出")*(持仓跟踪!$Y$2:$Y$497&lt;&gt;"")),持仓跟踪!$Y$2:$Y$497),""))</f>
        <v/>
      </c>
      <c r="L125" s="8" t="str">
        <f>IF(A125="","",IFERROR(LOOKUP(2,1/((持仓跟踪!$B$2:$B$497=A125)*(持仓跟踪!$X$2:$X$497="执行卖出")*(持仓跟踪!$Z$2:$Z$497&lt;&gt;"")),持仓跟踪!$Z$2:$Z$497),""))</f>
        <v/>
      </c>
      <c r="M125" s="23" t="str">
        <f>IF(A125="","",IFERROR(LOOKUP(2,1/((持仓跟踪!$B$2:$B$497=A125)*(持仓跟踪!$X$2:$X$497="执行卖出")*(持仓跟踪!$H$2:$H$497&lt;&gt;"")),持仓跟踪!$H$2:$H$497),""))</f>
        <v/>
      </c>
      <c r="N125" s="10"/>
      <c r="O125" s="10"/>
      <c r="P125" s="5" t="str">
        <f>IF(A125="","",IFERROR(LOOKUP(2,1/((持仓跟踪!$B$2:$B$497=A125)*(持仓跟踪!$X$2:$X$497="执行卖出")*(持仓跟踪!$AA$2:$AA$497&lt;&gt;"")),持仓跟踪!$AA$2:$AA$497),""))</f>
        <v/>
      </c>
      <c r="Q125" s="2"/>
      <c r="R125" s="2"/>
      <c r="S125" s="2"/>
      <c r="T125" s="2"/>
      <c r="U125" s="7" t="str">
        <f t="shared" si="38"/>
        <v/>
      </c>
      <c r="V125" s="7" t="str">
        <f t="shared" si="39"/>
        <v/>
      </c>
      <c r="W125" s="22" t="str">
        <f t="shared" si="40"/>
        <v/>
      </c>
      <c r="X125" s="5" t="str">
        <f t="shared" si="41"/>
        <v/>
      </c>
      <c r="Y125" s="7" t="str">
        <f t="shared" si="42"/>
        <v/>
      </c>
      <c r="Z125" s="7" t="str">
        <f>IF(OR(AE125="",多次统计数据!$B$8=""),"",AE125-多次统计数据!$B$8)</f>
        <v/>
      </c>
      <c r="AA125" s="11" t="str">
        <f t="shared" si="43"/>
        <v/>
      </c>
      <c r="AB125" s="7" t="str">
        <f>IF(OR(A125="",多次统计数据!$B$8="",多次统计数据!$B$6&lt;=0,多次统计数据!$B$6&gt;=1),"",1-POWER(1+多次统计数据!$B$8,-多次统计数据!$B$6/(1-多次统计数据!$B$6)))</f>
        <v/>
      </c>
      <c r="AC125" s="8" t="str">
        <f>IF(OR(AB125="",多次统计数据!$B$9=""),"",IF(多次统计数据!$B$9&lt;AB125,"低于上限","达到或超过上限"))</f>
        <v/>
      </c>
      <c r="AD125" s="2"/>
      <c r="AE125" s="7" t="str">
        <f t="shared" si="44"/>
        <v/>
      </c>
      <c r="AG125" s="2"/>
      <c r="AH125" s="2"/>
      <c r="AI125" s="2"/>
      <c r="AJ125" s="8" t="str">
        <f t="shared" si="45"/>
        <v/>
      </c>
      <c r="AK125" s="10"/>
      <c r="AL125" s="12"/>
      <c r="AM125" s="10"/>
      <c r="AN125" s="12"/>
      <c r="AO125" s="5" t="str">
        <f t="shared" si="46"/>
        <v/>
      </c>
      <c r="AP125" s="11" t="str">
        <f t="shared" si="47"/>
        <v/>
      </c>
      <c r="AQ125" s="5" t="str">
        <f>IF(A125="","",IF(M125&lt;&gt;"",0,IF(OR(H125="",N125=""),"",MAX(E125-MAX(N125,IFERROR(SUMPRODUCT(MAX(((持仓跟踪!$A$2:$A$497="每日跟踪")*(持仓跟踪!$B$2:$B$497=A125))*持仓跟踪!$S$2:$S$497)),0)),0)*H125+IF(OR(AK125="",AL125=""),0,MAX(AK125-MAX(N125,IFERROR(SUMPRODUCT(MAX(((持仓跟踪!$A$2:$A$497="每日跟踪")*(持仓跟踪!$B$2:$B$497=A125))*持仓跟踪!$S$2:$S$497)),0)),0)*AL125)+IF(OR(AM125="",AN125=""),0,MAX(AM125-MAX(N125,IFERROR(SUMPRODUCT(MAX(((持仓跟踪!$A$2:$A$497="每日跟踪")*(持仓跟踪!$B$2:$B$497=A125))*持仓跟踪!$S$2:$S$497)),0)),0)*AN125))))</f>
        <v/>
      </c>
      <c r="AR125" s="8" t="str">
        <f ca="1">IF(A125="","",IF(OR(E125="",H125=""),"违规：第一批价格或股数缺失",IF(OR(AND(AK125="",AL125&lt;&gt;""),AND(AK125&lt;&gt;"",AL125="")),"违规：第二批价格与股数须成对填写",IF(OR(AND(AM125="",AN125&lt;&gt;""),AND(AM125&lt;&gt;"",AN125="")),"违规：第三批价格与股数须成对填写",IF(AND(OR(AM125&lt;&gt;"",AN125&lt;&gt;""),OR(AK125="",AL125="")),"违规：必须先完成第二批",IF(OR(H125&lt;=0,H125&lt;&gt;INT(H125),MOD(H125,100)&lt;&gt;0,AND(AL125&lt;&gt;"",OR(AL125&lt;=0,AL125&lt;&gt;INT(AL125),MOD(AL125,100)&lt;&gt;0)),AND(AN125&lt;&gt;"",OR(AN125&lt;=0,AN125&lt;&gt;INT(AN125),MOD(AN125,100)&lt;&gt;0))),"违规：股数须为100股整数倍",IF(AND(OR(AL125&lt;&gt;"",AN125&lt;&gt;""),OR(_LockStatus="已锁仓",_LockStatus="解锁信息不完整")),"违规：锁仓期间禁止加仓",IF(AQ125&gt;C125*D125,"违规：超过单笔风险上限",IF(SUM($AQ$2:$AQ$201)&gt;账户数据!$B$7,"违规：超过账户风险上限","通过")))))))))</f>
        <v/>
      </c>
    </row>
    <row r="126" ht="17" spans="1:44">
      <c r="A126" s="2"/>
      <c r="B126" s="2"/>
      <c r="C126" s="10"/>
      <c r="D126" s="6"/>
      <c r="E126" s="10"/>
      <c r="F126" s="8" t="str">
        <f t="shared" si="36"/>
        <v/>
      </c>
      <c r="G126" s="8" t="str">
        <f ca="1"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COUNTIFS(持仓跟踪!$A$2:$A$497,"止损计划",持仓跟踪!$B$2:$B$497,A126,持仓跟踪!$AC$2:$AC$497,"计划有效")=0,"禁止开仓：请先填写止损计划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6" s="2"/>
      <c r="I126" s="15"/>
      <c r="J126" s="10"/>
      <c r="K126" s="5" t="str">
        <f>IF(A126="","",IFERROR(LOOKUP(2,1/((持仓跟踪!$B$2:$B$497=A126)*(持仓跟踪!$X$2:$X$497="执行卖出")*(持仓跟踪!$Y$2:$Y$497&lt;&gt;"")),持仓跟踪!$Y$2:$Y$497),""))</f>
        <v/>
      </c>
      <c r="L126" s="8" t="str">
        <f>IF(A126="","",IFERROR(LOOKUP(2,1/((持仓跟踪!$B$2:$B$497=A126)*(持仓跟踪!$X$2:$X$497="执行卖出")*(持仓跟踪!$Z$2:$Z$497&lt;&gt;"")),持仓跟踪!$Z$2:$Z$497),""))</f>
        <v/>
      </c>
      <c r="M126" s="23" t="str">
        <f>IF(A126="","",IFERROR(LOOKUP(2,1/((持仓跟踪!$B$2:$B$497=A126)*(持仓跟踪!$X$2:$X$497="执行卖出")*(持仓跟踪!$H$2:$H$497&lt;&gt;"")),持仓跟踪!$H$2:$H$497),""))</f>
        <v/>
      </c>
      <c r="N126" s="10"/>
      <c r="O126" s="10"/>
      <c r="P126" s="5" t="str">
        <f>IF(A126="","",IFERROR(LOOKUP(2,1/((持仓跟踪!$B$2:$B$497=A126)*(持仓跟踪!$X$2:$X$497="执行卖出")*(持仓跟踪!$AA$2:$AA$497&lt;&gt;"")),持仓跟踪!$AA$2:$AA$497),""))</f>
        <v/>
      </c>
      <c r="Q126" s="2"/>
      <c r="R126" s="2"/>
      <c r="S126" s="2"/>
      <c r="T126" s="2"/>
      <c r="U126" s="7" t="str">
        <f t="shared" si="38"/>
        <v/>
      </c>
      <c r="V126" s="7" t="str">
        <f t="shared" si="39"/>
        <v/>
      </c>
      <c r="W126" s="22" t="str">
        <f t="shared" si="40"/>
        <v/>
      </c>
      <c r="X126" s="5" t="str">
        <f t="shared" si="41"/>
        <v/>
      </c>
      <c r="Y126" s="7" t="str">
        <f t="shared" si="42"/>
        <v/>
      </c>
      <c r="Z126" s="7" t="str">
        <f>IF(OR(AE126="",多次统计数据!$B$8=""),"",AE126-多次统计数据!$B$8)</f>
        <v/>
      </c>
      <c r="AA126" s="11" t="str">
        <f t="shared" si="43"/>
        <v/>
      </c>
      <c r="AB126" s="7" t="str">
        <f>IF(OR(A126="",多次统计数据!$B$8="",多次统计数据!$B$6&lt;=0,多次统计数据!$B$6&gt;=1),"",1-POWER(1+多次统计数据!$B$8,-多次统计数据!$B$6/(1-多次统计数据!$B$6)))</f>
        <v/>
      </c>
      <c r="AC126" s="8" t="str">
        <f>IF(OR(AB126="",多次统计数据!$B$9=""),"",IF(多次统计数据!$B$9&lt;AB126,"低于上限","达到或超过上限"))</f>
        <v/>
      </c>
      <c r="AD126" s="2"/>
      <c r="AE126" s="7" t="str">
        <f t="shared" si="44"/>
        <v/>
      </c>
      <c r="AG126" s="2"/>
      <c r="AH126" s="2"/>
      <c r="AI126" s="2"/>
      <c r="AJ126" s="8" t="str">
        <f t="shared" si="45"/>
        <v/>
      </c>
      <c r="AK126" s="10"/>
      <c r="AL126" s="12"/>
      <c r="AM126" s="10"/>
      <c r="AN126" s="12"/>
      <c r="AO126" s="5" t="str">
        <f t="shared" si="46"/>
        <v/>
      </c>
      <c r="AP126" s="11" t="str">
        <f t="shared" si="47"/>
        <v/>
      </c>
      <c r="AQ126" s="5" t="str">
        <f>IF(A126="","",IF(M126&lt;&gt;"",0,IF(OR(H126="",N126=""),"",MAX(E126-MAX(N126,IFERROR(SUMPRODUCT(MAX(((持仓跟踪!$A$2:$A$497="每日跟踪")*(持仓跟踪!$B$2:$B$497=A126))*持仓跟踪!$S$2:$S$497)),0)),0)*H126+IF(OR(AK126="",AL126=""),0,MAX(AK126-MAX(N126,IFERROR(SUMPRODUCT(MAX(((持仓跟踪!$A$2:$A$497="每日跟踪")*(持仓跟踪!$B$2:$B$497=A126))*持仓跟踪!$S$2:$S$497)),0)),0)*AL126)+IF(OR(AM126="",AN126=""),0,MAX(AM126-MAX(N126,IFERROR(SUMPRODUCT(MAX(((持仓跟踪!$A$2:$A$497="每日跟踪")*(持仓跟踪!$B$2:$B$497=A126))*持仓跟踪!$S$2:$S$497)),0)),0)*AN126))))</f>
        <v/>
      </c>
      <c r="AR126" s="8" t="str">
        <f ca="1">IF(A126="","",IF(OR(E126="",H126=""),"违规：第一批价格或股数缺失",IF(OR(AND(AK126="",AL126&lt;&gt;""),AND(AK126&lt;&gt;"",AL126="")),"违规：第二批价格与股数须成对填写",IF(OR(AND(AM126="",AN126&lt;&gt;""),AND(AM126&lt;&gt;"",AN126="")),"违规：第三批价格与股数须成对填写",IF(AND(OR(AM126&lt;&gt;"",AN126&lt;&gt;""),OR(AK126="",AL126="")),"违规：必须先完成第二批",IF(OR(H126&lt;=0,H126&lt;&gt;INT(H126),MOD(H126,100)&lt;&gt;0,AND(AL126&lt;&gt;"",OR(AL126&lt;=0,AL126&lt;&gt;INT(AL126),MOD(AL126,100)&lt;&gt;0)),AND(AN126&lt;&gt;"",OR(AN126&lt;=0,AN126&lt;&gt;INT(AN126),MOD(AN126,100)&lt;&gt;0))),"违规：股数须为100股整数倍",IF(AND(OR(AL126&lt;&gt;"",AN126&lt;&gt;""),OR(_LockStatus="已锁仓",_LockStatus="解锁信息不完整")),"违规：锁仓期间禁止加仓",IF(AQ126&gt;C126*D126,"违规：超过单笔风险上限",IF(SUM($AQ$2:$AQ$201)&gt;账户数据!$B$7,"违规：超过账户风险上限","通过")))))))))</f>
        <v/>
      </c>
    </row>
    <row r="127" ht="17" spans="1:44">
      <c r="A127" s="2"/>
      <c r="B127" s="2"/>
      <c r="C127" s="10"/>
      <c r="D127" s="6"/>
      <c r="E127" s="10"/>
      <c r="F127" s="8" t="str">
        <f t="shared" si="36"/>
        <v/>
      </c>
      <c r="G127" s="8" t="str">
        <f ca="1"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COUNTIFS(持仓跟踪!$A$2:$A$497,"止损计划",持仓跟踪!$B$2:$B$497,A127,持仓跟踪!$AC$2:$AC$497,"计划有效")=0,"禁止开仓：请先填写止损计划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7" s="2"/>
      <c r="I127" s="15"/>
      <c r="J127" s="10"/>
      <c r="K127" s="5" t="str">
        <f>IF(A127="","",IFERROR(LOOKUP(2,1/((持仓跟踪!$B$2:$B$497=A127)*(持仓跟踪!$X$2:$X$497="执行卖出")*(持仓跟踪!$Y$2:$Y$497&lt;&gt;"")),持仓跟踪!$Y$2:$Y$497),""))</f>
        <v/>
      </c>
      <c r="L127" s="8" t="str">
        <f>IF(A127="","",IFERROR(LOOKUP(2,1/((持仓跟踪!$B$2:$B$497=A127)*(持仓跟踪!$X$2:$X$497="执行卖出")*(持仓跟踪!$Z$2:$Z$497&lt;&gt;"")),持仓跟踪!$Z$2:$Z$497),""))</f>
        <v/>
      </c>
      <c r="M127" s="23" t="str">
        <f>IF(A127="","",IFERROR(LOOKUP(2,1/((持仓跟踪!$B$2:$B$497=A127)*(持仓跟踪!$X$2:$X$497="执行卖出")*(持仓跟踪!$H$2:$H$497&lt;&gt;"")),持仓跟踪!$H$2:$H$497),""))</f>
        <v/>
      </c>
      <c r="N127" s="10"/>
      <c r="O127" s="10"/>
      <c r="P127" s="5" t="str">
        <f>IF(A127="","",IFERROR(LOOKUP(2,1/((持仓跟踪!$B$2:$B$497=A127)*(持仓跟踪!$X$2:$X$497="执行卖出")*(持仓跟踪!$AA$2:$AA$497&lt;&gt;"")),持仓跟踪!$AA$2:$AA$497),""))</f>
        <v/>
      </c>
      <c r="Q127" s="2"/>
      <c r="R127" s="2"/>
      <c r="S127" s="2"/>
      <c r="T127" s="2"/>
      <c r="U127" s="7" t="str">
        <f t="shared" si="38"/>
        <v/>
      </c>
      <c r="V127" s="7" t="str">
        <f t="shared" si="39"/>
        <v/>
      </c>
      <c r="W127" s="22" t="str">
        <f t="shared" si="40"/>
        <v/>
      </c>
      <c r="X127" s="5" t="str">
        <f t="shared" si="41"/>
        <v/>
      </c>
      <c r="Y127" s="7" t="str">
        <f t="shared" si="42"/>
        <v/>
      </c>
      <c r="Z127" s="7" t="str">
        <f>IF(OR(AE127="",多次统计数据!$B$8=""),"",AE127-多次统计数据!$B$8)</f>
        <v/>
      </c>
      <c r="AA127" s="11" t="str">
        <f t="shared" si="43"/>
        <v/>
      </c>
      <c r="AB127" s="7" t="str">
        <f>IF(OR(A127="",多次统计数据!$B$8="",多次统计数据!$B$6&lt;=0,多次统计数据!$B$6&gt;=1),"",1-POWER(1+多次统计数据!$B$8,-多次统计数据!$B$6/(1-多次统计数据!$B$6)))</f>
        <v/>
      </c>
      <c r="AC127" s="8" t="str">
        <f>IF(OR(AB127="",多次统计数据!$B$9=""),"",IF(多次统计数据!$B$9&lt;AB127,"低于上限","达到或超过上限"))</f>
        <v/>
      </c>
      <c r="AD127" s="2"/>
      <c r="AE127" s="7" t="str">
        <f t="shared" si="44"/>
        <v/>
      </c>
      <c r="AG127" s="2"/>
      <c r="AH127" s="2"/>
      <c r="AI127" s="2"/>
      <c r="AJ127" s="8" t="str">
        <f t="shared" si="45"/>
        <v/>
      </c>
      <c r="AK127" s="10"/>
      <c r="AL127" s="12"/>
      <c r="AM127" s="10"/>
      <c r="AN127" s="12"/>
      <c r="AO127" s="5" t="str">
        <f t="shared" si="46"/>
        <v/>
      </c>
      <c r="AP127" s="11" t="str">
        <f t="shared" si="47"/>
        <v/>
      </c>
      <c r="AQ127" s="5" t="str">
        <f>IF(A127="","",IF(M127&lt;&gt;"",0,IF(OR(H127="",N127=""),"",MAX(E127-MAX(N127,IFERROR(SUMPRODUCT(MAX(((持仓跟踪!$A$2:$A$497="每日跟踪")*(持仓跟踪!$B$2:$B$497=A127))*持仓跟踪!$S$2:$S$497)),0)),0)*H127+IF(OR(AK127="",AL127=""),0,MAX(AK127-MAX(N127,IFERROR(SUMPRODUCT(MAX(((持仓跟踪!$A$2:$A$497="每日跟踪")*(持仓跟踪!$B$2:$B$497=A127))*持仓跟踪!$S$2:$S$497)),0)),0)*AL127)+IF(OR(AM127="",AN127=""),0,MAX(AM127-MAX(N127,IFERROR(SUMPRODUCT(MAX(((持仓跟踪!$A$2:$A$497="每日跟踪")*(持仓跟踪!$B$2:$B$497=A127))*持仓跟踪!$S$2:$S$497)),0)),0)*AN127))))</f>
        <v/>
      </c>
      <c r="AR127" s="8" t="str">
        <f ca="1">IF(A127="","",IF(OR(E127="",H127=""),"违规：第一批价格或股数缺失",IF(OR(AND(AK127="",AL127&lt;&gt;""),AND(AK127&lt;&gt;"",AL127="")),"违规：第二批价格与股数须成对填写",IF(OR(AND(AM127="",AN127&lt;&gt;""),AND(AM127&lt;&gt;"",AN127="")),"违规：第三批价格与股数须成对填写",IF(AND(OR(AM127&lt;&gt;"",AN127&lt;&gt;""),OR(AK127="",AL127="")),"违规：必须先完成第二批",IF(OR(H127&lt;=0,H127&lt;&gt;INT(H127),MOD(H127,100)&lt;&gt;0,AND(AL127&lt;&gt;"",OR(AL127&lt;=0,AL127&lt;&gt;INT(AL127),MOD(AL127,100)&lt;&gt;0)),AND(AN127&lt;&gt;"",OR(AN127&lt;=0,AN127&lt;&gt;INT(AN127),MOD(AN127,100)&lt;&gt;0))),"违规：股数须为100股整数倍",IF(AND(OR(AL127&lt;&gt;"",AN127&lt;&gt;""),OR(_LockStatus="已锁仓",_LockStatus="解锁信息不完整")),"违规：锁仓期间禁止加仓",IF(AQ127&gt;C127*D127,"违规：超过单笔风险上限",IF(SUM($AQ$2:$AQ$201)&gt;账户数据!$B$7,"违规：超过账户风险上限","通过")))))))))</f>
        <v/>
      </c>
    </row>
    <row r="128" ht="17" spans="1:44">
      <c r="A128" s="2"/>
      <c r="B128" s="2"/>
      <c r="C128" s="10"/>
      <c r="D128" s="6"/>
      <c r="E128" s="10"/>
      <c r="F128" s="8" t="str">
        <f t="shared" si="36"/>
        <v/>
      </c>
      <c r="G128" s="8" t="str">
        <f ca="1"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COUNTIFS(持仓跟踪!$A$2:$A$497,"止损计划",持仓跟踪!$B$2:$B$497,A128,持仓跟踪!$AC$2:$AC$497,"计划有效")=0,"禁止开仓：请先填写止损计划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8" s="2"/>
      <c r="I128" s="15"/>
      <c r="J128" s="10"/>
      <c r="K128" s="5" t="str">
        <f>IF(A128="","",IFERROR(LOOKUP(2,1/((持仓跟踪!$B$2:$B$497=A128)*(持仓跟踪!$X$2:$X$497="执行卖出")*(持仓跟踪!$Y$2:$Y$497&lt;&gt;"")),持仓跟踪!$Y$2:$Y$497),""))</f>
        <v/>
      </c>
      <c r="L128" s="8" t="str">
        <f>IF(A128="","",IFERROR(LOOKUP(2,1/((持仓跟踪!$B$2:$B$497=A128)*(持仓跟踪!$X$2:$X$497="执行卖出")*(持仓跟踪!$Z$2:$Z$497&lt;&gt;"")),持仓跟踪!$Z$2:$Z$497),""))</f>
        <v/>
      </c>
      <c r="M128" s="23" t="str">
        <f>IF(A128="","",IFERROR(LOOKUP(2,1/((持仓跟踪!$B$2:$B$497=A128)*(持仓跟踪!$X$2:$X$497="执行卖出")*(持仓跟踪!$H$2:$H$497&lt;&gt;"")),持仓跟踪!$H$2:$H$497),""))</f>
        <v/>
      </c>
      <c r="N128" s="10"/>
      <c r="O128" s="10"/>
      <c r="P128" s="5" t="str">
        <f>IF(A128="","",IFERROR(LOOKUP(2,1/((持仓跟踪!$B$2:$B$497=A128)*(持仓跟踪!$X$2:$X$497="执行卖出")*(持仓跟踪!$AA$2:$AA$497&lt;&gt;"")),持仓跟踪!$AA$2:$AA$497),""))</f>
        <v/>
      </c>
      <c r="Q128" s="2"/>
      <c r="R128" s="2"/>
      <c r="S128" s="2"/>
      <c r="T128" s="2"/>
      <c r="U128" s="7" t="str">
        <f t="shared" si="38"/>
        <v/>
      </c>
      <c r="V128" s="7" t="str">
        <f t="shared" si="39"/>
        <v/>
      </c>
      <c r="W128" s="22" t="str">
        <f t="shared" si="40"/>
        <v/>
      </c>
      <c r="X128" s="5" t="str">
        <f t="shared" si="41"/>
        <v/>
      </c>
      <c r="Y128" s="7" t="str">
        <f t="shared" si="42"/>
        <v/>
      </c>
      <c r="Z128" s="7" t="str">
        <f>IF(OR(AE128="",多次统计数据!$B$8=""),"",AE128-多次统计数据!$B$8)</f>
        <v/>
      </c>
      <c r="AA128" s="11" t="str">
        <f t="shared" si="43"/>
        <v/>
      </c>
      <c r="AB128" s="7" t="str">
        <f>IF(OR(A128="",多次统计数据!$B$8="",多次统计数据!$B$6&lt;=0,多次统计数据!$B$6&gt;=1),"",1-POWER(1+多次统计数据!$B$8,-多次统计数据!$B$6/(1-多次统计数据!$B$6)))</f>
        <v/>
      </c>
      <c r="AC128" s="8" t="str">
        <f>IF(OR(AB128="",多次统计数据!$B$9=""),"",IF(多次统计数据!$B$9&lt;AB128,"低于上限","达到或超过上限"))</f>
        <v/>
      </c>
      <c r="AD128" s="2"/>
      <c r="AE128" s="7" t="str">
        <f t="shared" si="44"/>
        <v/>
      </c>
      <c r="AG128" s="2"/>
      <c r="AH128" s="2"/>
      <c r="AI128" s="2"/>
      <c r="AJ128" s="8" t="str">
        <f t="shared" si="45"/>
        <v/>
      </c>
      <c r="AK128" s="10"/>
      <c r="AL128" s="12"/>
      <c r="AM128" s="10"/>
      <c r="AN128" s="12"/>
      <c r="AO128" s="5" t="str">
        <f t="shared" si="46"/>
        <v/>
      </c>
      <c r="AP128" s="11" t="str">
        <f t="shared" si="47"/>
        <v/>
      </c>
      <c r="AQ128" s="5" t="str">
        <f>IF(A128="","",IF(M128&lt;&gt;"",0,IF(OR(H128="",N128=""),"",MAX(E128-MAX(N128,IFERROR(SUMPRODUCT(MAX(((持仓跟踪!$A$2:$A$497="每日跟踪")*(持仓跟踪!$B$2:$B$497=A128))*持仓跟踪!$S$2:$S$497)),0)),0)*H128+IF(OR(AK128="",AL128=""),0,MAX(AK128-MAX(N128,IFERROR(SUMPRODUCT(MAX(((持仓跟踪!$A$2:$A$497="每日跟踪")*(持仓跟踪!$B$2:$B$497=A128))*持仓跟踪!$S$2:$S$497)),0)),0)*AL128)+IF(OR(AM128="",AN128=""),0,MAX(AM128-MAX(N128,IFERROR(SUMPRODUCT(MAX(((持仓跟踪!$A$2:$A$497="每日跟踪")*(持仓跟踪!$B$2:$B$497=A128))*持仓跟踪!$S$2:$S$497)),0)),0)*AN128))))</f>
        <v/>
      </c>
      <c r="AR128" s="8" t="str">
        <f ca="1">IF(A128="","",IF(OR(E128="",H128=""),"违规：第一批价格或股数缺失",IF(OR(AND(AK128="",AL128&lt;&gt;""),AND(AK128&lt;&gt;"",AL128="")),"违规：第二批价格与股数须成对填写",IF(OR(AND(AM128="",AN128&lt;&gt;""),AND(AM128&lt;&gt;"",AN128="")),"违规：第三批价格与股数须成对填写",IF(AND(OR(AM128&lt;&gt;"",AN128&lt;&gt;""),OR(AK128="",AL128="")),"违规：必须先完成第二批",IF(OR(H128&lt;=0,H128&lt;&gt;INT(H128),MOD(H128,100)&lt;&gt;0,AND(AL128&lt;&gt;"",OR(AL128&lt;=0,AL128&lt;&gt;INT(AL128),MOD(AL128,100)&lt;&gt;0)),AND(AN128&lt;&gt;"",OR(AN128&lt;=0,AN128&lt;&gt;INT(AN128),MOD(AN128,100)&lt;&gt;0))),"违规：股数须为100股整数倍",IF(AND(OR(AL128&lt;&gt;"",AN128&lt;&gt;""),OR(_LockStatus="已锁仓",_LockStatus="解锁信息不完整")),"违规：锁仓期间禁止加仓",IF(AQ128&gt;C128*D128,"违规：超过单笔风险上限",IF(SUM($AQ$2:$AQ$201)&gt;账户数据!$B$7,"违规：超过账户风险上限","通过")))))))))</f>
        <v/>
      </c>
    </row>
    <row r="129" ht="17" spans="1:44">
      <c r="A129" s="2"/>
      <c r="B129" s="2"/>
      <c r="C129" s="10"/>
      <c r="D129" s="6"/>
      <c r="E129" s="10"/>
      <c r="F129" s="8" t="str">
        <f t="shared" si="36"/>
        <v/>
      </c>
      <c r="G129" s="8" t="str">
        <f ca="1"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COUNTIFS(持仓跟踪!$A$2:$A$497,"止损计划",持仓跟踪!$B$2:$B$497,A129,持仓跟踪!$AC$2:$AC$497,"计划有效")=0,"禁止开仓：请先填写止损计划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9" s="2"/>
      <c r="I129" s="15"/>
      <c r="J129" s="10"/>
      <c r="K129" s="5" t="str">
        <f>IF(A129="","",IFERROR(LOOKUP(2,1/((持仓跟踪!$B$2:$B$497=A129)*(持仓跟踪!$X$2:$X$497="执行卖出")*(持仓跟踪!$Y$2:$Y$497&lt;&gt;"")),持仓跟踪!$Y$2:$Y$497),""))</f>
        <v/>
      </c>
      <c r="L129" s="8" t="str">
        <f>IF(A129="","",IFERROR(LOOKUP(2,1/((持仓跟踪!$B$2:$B$497=A129)*(持仓跟踪!$X$2:$X$497="执行卖出")*(持仓跟踪!$Z$2:$Z$497&lt;&gt;"")),持仓跟踪!$Z$2:$Z$497),""))</f>
        <v/>
      </c>
      <c r="M129" s="23" t="str">
        <f>IF(A129="","",IFERROR(LOOKUP(2,1/((持仓跟踪!$B$2:$B$497=A129)*(持仓跟踪!$X$2:$X$497="执行卖出")*(持仓跟踪!$H$2:$H$497&lt;&gt;"")),持仓跟踪!$H$2:$H$497),""))</f>
        <v/>
      </c>
      <c r="N129" s="10"/>
      <c r="O129" s="10"/>
      <c r="P129" s="5" t="str">
        <f>IF(A129="","",IFERROR(LOOKUP(2,1/((持仓跟踪!$B$2:$B$497=A129)*(持仓跟踪!$X$2:$X$497="执行卖出")*(持仓跟踪!$AA$2:$AA$497&lt;&gt;"")),持仓跟踪!$AA$2:$AA$497),""))</f>
        <v/>
      </c>
      <c r="Q129" s="2"/>
      <c r="R129" s="2"/>
      <c r="S129" s="2"/>
      <c r="T129" s="2"/>
      <c r="U129" s="7" t="str">
        <f t="shared" si="38"/>
        <v/>
      </c>
      <c r="V129" s="7" t="str">
        <f t="shared" si="39"/>
        <v/>
      </c>
      <c r="W129" s="22" t="str">
        <f t="shared" si="40"/>
        <v/>
      </c>
      <c r="X129" s="5" t="str">
        <f t="shared" si="41"/>
        <v/>
      </c>
      <c r="Y129" s="7" t="str">
        <f t="shared" si="42"/>
        <v/>
      </c>
      <c r="Z129" s="7" t="str">
        <f>IF(OR(AE129="",多次统计数据!$B$8=""),"",AE129-多次统计数据!$B$8)</f>
        <v/>
      </c>
      <c r="AA129" s="11" t="str">
        <f t="shared" si="43"/>
        <v/>
      </c>
      <c r="AB129" s="7" t="str">
        <f>IF(OR(A129="",多次统计数据!$B$8="",多次统计数据!$B$6&lt;=0,多次统计数据!$B$6&gt;=1),"",1-POWER(1+多次统计数据!$B$8,-多次统计数据!$B$6/(1-多次统计数据!$B$6)))</f>
        <v/>
      </c>
      <c r="AC129" s="8" t="str">
        <f>IF(OR(AB129="",多次统计数据!$B$9=""),"",IF(多次统计数据!$B$9&lt;AB129,"低于上限","达到或超过上限"))</f>
        <v/>
      </c>
      <c r="AD129" s="2"/>
      <c r="AE129" s="7" t="str">
        <f t="shared" si="44"/>
        <v/>
      </c>
      <c r="AG129" s="2"/>
      <c r="AH129" s="2"/>
      <c r="AI129" s="2"/>
      <c r="AJ129" s="8" t="str">
        <f t="shared" si="45"/>
        <v/>
      </c>
      <c r="AK129" s="10"/>
      <c r="AL129" s="12"/>
      <c r="AM129" s="10"/>
      <c r="AN129" s="12"/>
      <c r="AO129" s="5" t="str">
        <f t="shared" si="46"/>
        <v/>
      </c>
      <c r="AP129" s="11" t="str">
        <f t="shared" si="47"/>
        <v/>
      </c>
      <c r="AQ129" s="5" t="str">
        <f>IF(A129="","",IF(M129&lt;&gt;"",0,IF(OR(H129="",N129=""),"",MAX(E129-MAX(N129,IFERROR(SUMPRODUCT(MAX(((持仓跟踪!$A$2:$A$497="每日跟踪")*(持仓跟踪!$B$2:$B$497=A129))*持仓跟踪!$S$2:$S$497)),0)),0)*H129+IF(OR(AK129="",AL129=""),0,MAX(AK129-MAX(N129,IFERROR(SUMPRODUCT(MAX(((持仓跟踪!$A$2:$A$497="每日跟踪")*(持仓跟踪!$B$2:$B$497=A129))*持仓跟踪!$S$2:$S$497)),0)),0)*AL129)+IF(OR(AM129="",AN129=""),0,MAX(AM129-MAX(N129,IFERROR(SUMPRODUCT(MAX(((持仓跟踪!$A$2:$A$497="每日跟踪")*(持仓跟踪!$B$2:$B$497=A129))*持仓跟踪!$S$2:$S$497)),0)),0)*AN129))))</f>
        <v/>
      </c>
      <c r="AR129" s="8" t="str">
        <f ca="1">IF(A129="","",IF(OR(E129="",H129=""),"违规：第一批价格或股数缺失",IF(OR(AND(AK129="",AL129&lt;&gt;""),AND(AK129&lt;&gt;"",AL129="")),"违规：第二批价格与股数须成对填写",IF(OR(AND(AM129="",AN129&lt;&gt;""),AND(AM129&lt;&gt;"",AN129="")),"违规：第三批价格与股数须成对填写",IF(AND(OR(AM129&lt;&gt;"",AN129&lt;&gt;""),OR(AK129="",AL129="")),"违规：必须先完成第二批",IF(OR(H129&lt;=0,H129&lt;&gt;INT(H129),MOD(H129,100)&lt;&gt;0,AND(AL129&lt;&gt;"",OR(AL129&lt;=0,AL129&lt;&gt;INT(AL129),MOD(AL129,100)&lt;&gt;0)),AND(AN129&lt;&gt;"",OR(AN129&lt;=0,AN129&lt;&gt;INT(AN129),MOD(AN129,100)&lt;&gt;0))),"违规：股数须为100股整数倍",IF(AND(OR(AL129&lt;&gt;"",AN129&lt;&gt;""),OR(_LockStatus="已锁仓",_LockStatus="解锁信息不完整")),"违规：锁仓期间禁止加仓",IF(AQ129&gt;C129*D129,"违规：超过单笔风险上限",IF(SUM($AQ$2:$AQ$201)&gt;账户数据!$B$7,"违规：超过账户风险上限","通过")))))))))</f>
        <v/>
      </c>
    </row>
    <row r="130" ht="17" spans="1:44">
      <c r="A130" s="2"/>
      <c r="B130" s="2"/>
      <c r="C130" s="10"/>
      <c r="D130" s="6"/>
      <c r="E130" s="10"/>
      <c r="F130" s="8" t="str">
        <f t="shared" ref="F130:F161" si="48">IF(OR(C130="",D130="",E130="",N130="",C130&lt;=0,D130&lt;=0,E130&lt;=N130),"",ROUNDDOWN((C130*D130)/(E130-N130)/100,0)*100)</f>
        <v/>
      </c>
      <c r="G130" s="8" t="str">
        <f ca="1"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COUNTIFS(持仓跟踪!$A$2:$A$497,"止损计划",持仓跟踪!$B$2:$B$497,A130,持仓跟踪!$AC$2:$AC$497,"计划有效")=0,"禁止开仓：请先填写止损计划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0" s="2"/>
      <c r="I130" s="15"/>
      <c r="J130" s="10"/>
      <c r="K130" s="5" t="str">
        <f>IF(A130="","",IFERROR(LOOKUP(2,1/((持仓跟踪!$B$2:$B$497=A130)*(持仓跟踪!$X$2:$X$497="执行卖出")*(持仓跟踪!$Y$2:$Y$497&lt;&gt;"")),持仓跟踪!$Y$2:$Y$497),""))</f>
        <v/>
      </c>
      <c r="L130" s="8" t="str">
        <f>IF(A130="","",IFERROR(LOOKUP(2,1/((持仓跟踪!$B$2:$B$497=A130)*(持仓跟踪!$X$2:$X$497="执行卖出")*(持仓跟踪!$Z$2:$Z$497&lt;&gt;"")),持仓跟踪!$Z$2:$Z$497),""))</f>
        <v/>
      </c>
      <c r="M130" s="23" t="str">
        <f>IF(A130="","",IFERROR(LOOKUP(2,1/((持仓跟踪!$B$2:$B$497=A130)*(持仓跟踪!$X$2:$X$497="执行卖出")*(持仓跟踪!$H$2:$H$497&lt;&gt;"")),持仓跟踪!$H$2:$H$497),""))</f>
        <v/>
      </c>
      <c r="N130" s="10"/>
      <c r="O130" s="10"/>
      <c r="P130" s="5" t="str">
        <f>IF(A130="","",IFERROR(LOOKUP(2,1/((持仓跟踪!$B$2:$B$497=A130)*(持仓跟踪!$X$2:$X$497="执行卖出")*(持仓跟踪!$AA$2:$AA$497&lt;&gt;"")),持仓跟踪!$AA$2:$AA$497),""))</f>
        <v/>
      </c>
      <c r="Q130" s="2"/>
      <c r="R130" s="2"/>
      <c r="S130" s="2"/>
      <c r="T130" s="2"/>
      <c r="U130" s="7" t="str">
        <f t="shared" ref="U130:U161" si="49">IF(OR(AO130="",J130="",AO130&lt;=0),"",(J130-AO130)/AO130)</f>
        <v/>
      </c>
      <c r="V130" s="7" t="str">
        <f t="shared" ref="V130:V161" si="50">IF(OR(AO130="",N130="",AO130&lt;=0),"",(AO130-N130)/AO130)</f>
        <v/>
      </c>
      <c r="W130" s="22" t="str">
        <f t="shared" ref="W130:W161" si="51">IF(OR(U130="",V130="",V130&lt;=0),"",U130/V130)</f>
        <v/>
      </c>
      <c r="X130" s="5" t="str">
        <f t="shared" ref="X130:X161" si="52">IF(OR(K130="",L130="",AP130=""),"",K130*L130-(E130*H130+IF(AND(AK130&lt;&gt;"",AL130&lt;&gt;""),AK130*AL130,0)+IF(AND(AM130&lt;&gt;"",AN130&lt;&gt;""),AM130*AN130,0))-IF(O130="",0,O130)-IF(P130="",0,P130))</f>
        <v/>
      </c>
      <c r="Y130" s="7" t="str">
        <f t="shared" ref="Y130:Y161" si="53">IF(OR(X130="",AP130=""),"",IF((E130*H130+IF(AND(AK130&lt;&gt;"",AL130&lt;&gt;""),AK130*AL130,0)+IF(AND(AM130&lt;&gt;"",AN130&lt;&gt;""),AM130*AN130,0))+IF(O130="",0,O130)&lt;=0,"",X130/((E130*H130+IF(AND(AK130&lt;&gt;"",AL130&lt;&gt;""),AK130*AL130,0)+IF(AND(AM130&lt;&gt;"",AN130&lt;&gt;""),AM130*AN130,0))+IF(O130="",0,O130))))</f>
        <v/>
      </c>
      <c r="Z130" s="7" t="str">
        <f>IF(OR(AE130="",多次统计数据!$B$8=""),"",AE130-多次统计数据!$B$8)</f>
        <v/>
      </c>
      <c r="AA130" s="11" t="str">
        <f t="shared" ref="AA130:AA161" si="54">IF(OR(I130="",M130="",M130&lt;I130),"",M130-I130)</f>
        <v/>
      </c>
      <c r="AB130" s="7" t="str">
        <f>IF(OR(A130="",多次统计数据!$B$8="",多次统计数据!$B$6&lt;=0,多次统计数据!$B$6&gt;=1),"",1-POWER(1+多次统计数据!$B$8,-多次统计数据!$B$6/(1-多次统计数据!$B$6)))</f>
        <v/>
      </c>
      <c r="AC130" s="8" t="str">
        <f>IF(OR(AB130="",多次统计数据!$B$9=""),"",IF(多次统计数据!$B$9&lt;AB130,"低于上限","达到或超过上限"))</f>
        <v/>
      </c>
      <c r="AD130" s="2"/>
      <c r="AE130" s="7" t="str">
        <f t="shared" ref="AE130:AE161" si="55">IF(OR(X130="",C130="",C130&lt;=0),"",X130/C130)</f>
        <v/>
      </c>
      <c r="AG130" s="2"/>
      <c r="AH130" s="2"/>
      <c r="AI130" s="2"/>
      <c r="AJ130" s="8" t="str">
        <f t="shared" ref="AJ130:AJ161" si="56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10"/>
      <c r="AL130" s="12"/>
      <c r="AM130" s="10"/>
      <c r="AN130" s="12"/>
      <c r="AO130" s="5" t="str">
        <f t="shared" ref="AO130:AO161" si="57">IF(OR(A130="",H130="",H130&lt;=0),"",(E130*H130+IF(AND(AK130&lt;&gt;"",AL130&lt;&gt;""),AK130*AL130,0)+IF(AND(AM130&lt;&gt;"",AN130&lt;&gt;""),AM130*AN130,0))/AP130)</f>
        <v/>
      </c>
      <c r="AP130" s="11" t="str">
        <f t="shared" ref="AP130:AP161" si="58">IF(OR(A130="",H130="",H130&lt;=0),"",H130+IF(AL130="",0,AL130)+IF(AN130="",0,AN130))</f>
        <v/>
      </c>
      <c r="AQ130" s="5" t="str">
        <f>IF(A130="","",IF(M130&lt;&gt;"",0,IF(OR(H130="",N130=""),"",MAX(E130-MAX(N130,IFERROR(SUMPRODUCT(MAX(((持仓跟踪!$A$2:$A$497="每日跟踪")*(持仓跟踪!$B$2:$B$497=A130))*持仓跟踪!$S$2:$S$497)),0)),0)*H130+IF(OR(AK130="",AL130=""),0,MAX(AK130-MAX(N130,IFERROR(SUMPRODUCT(MAX(((持仓跟踪!$A$2:$A$497="每日跟踪")*(持仓跟踪!$B$2:$B$497=A130))*持仓跟踪!$S$2:$S$497)),0)),0)*AL130)+IF(OR(AM130="",AN130=""),0,MAX(AM130-MAX(N130,IFERROR(SUMPRODUCT(MAX(((持仓跟踪!$A$2:$A$497="每日跟踪")*(持仓跟踪!$B$2:$B$497=A130))*持仓跟踪!$S$2:$S$497)),0)),0)*AN130))))</f>
        <v/>
      </c>
      <c r="AR130" s="8" t="str">
        <f ca="1">IF(A130="","",IF(OR(E130="",H130=""),"违规：第一批价格或股数缺失",IF(OR(AND(AK130="",AL130&lt;&gt;""),AND(AK130&lt;&gt;"",AL130="")),"违规：第二批价格与股数须成对填写",IF(OR(AND(AM130="",AN130&lt;&gt;""),AND(AM130&lt;&gt;"",AN130="")),"违规：第三批价格与股数须成对填写",IF(AND(OR(AM130&lt;&gt;"",AN130&lt;&gt;""),OR(AK130="",AL130="")),"违规：必须先完成第二批",IF(OR(H130&lt;=0,H130&lt;&gt;INT(H130),MOD(H130,100)&lt;&gt;0,AND(AL130&lt;&gt;"",OR(AL130&lt;=0,AL130&lt;&gt;INT(AL130),MOD(AL130,100)&lt;&gt;0)),AND(AN130&lt;&gt;"",OR(AN130&lt;=0,AN130&lt;&gt;INT(AN130),MOD(AN130,100)&lt;&gt;0))),"违规：股数须为100股整数倍",IF(AND(OR(AL130&lt;&gt;"",AN130&lt;&gt;""),OR(_LockStatus="已锁仓",_LockStatus="解锁信息不完整")),"违规：锁仓期间禁止加仓",IF(AQ130&gt;C130*D130,"违规：超过单笔风险上限",IF(SUM($AQ$2:$AQ$201)&gt;账户数据!$B$7,"违规：超过账户风险上限","通过")))))))))</f>
        <v/>
      </c>
    </row>
    <row r="131" ht="17" spans="1:44">
      <c r="A131" s="2"/>
      <c r="B131" s="2"/>
      <c r="C131" s="10"/>
      <c r="D131" s="6"/>
      <c r="E131" s="10"/>
      <c r="F131" s="8" t="str">
        <f t="shared" si="48"/>
        <v/>
      </c>
      <c r="G131" s="8" t="str">
        <f ca="1"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COUNTIFS(持仓跟踪!$A$2:$A$497,"止损计划",持仓跟踪!$B$2:$B$497,A131,持仓跟踪!$AC$2:$AC$497,"计划有效")=0,"禁止开仓：请先填写止损计划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1" s="2"/>
      <c r="I131" s="15"/>
      <c r="J131" s="10"/>
      <c r="K131" s="5" t="str">
        <f>IF(A131="","",IFERROR(LOOKUP(2,1/((持仓跟踪!$B$2:$B$497=A131)*(持仓跟踪!$X$2:$X$497="执行卖出")*(持仓跟踪!$Y$2:$Y$497&lt;&gt;"")),持仓跟踪!$Y$2:$Y$497),""))</f>
        <v/>
      </c>
      <c r="L131" s="8" t="str">
        <f>IF(A131="","",IFERROR(LOOKUP(2,1/((持仓跟踪!$B$2:$B$497=A131)*(持仓跟踪!$X$2:$X$497="执行卖出")*(持仓跟踪!$Z$2:$Z$497&lt;&gt;"")),持仓跟踪!$Z$2:$Z$497),""))</f>
        <v/>
      </c>
      <c r="M131" s="23" t="str">
        <f>IF(A131="","",IFERROR(LOOKUP(2,1/((持仓跟踪!$B$2:$B$497=A131)*(持仓跟踪!$X$2:$X$497="执行卖出")*(持仓跟踪!$H$2:$H$497&lt;&gt;"")),持仓跟踪!$H$2:$H$497),""))</f>
        <v/>
      </c>
      <c r="N131" s="10"/>
      <c r="O131" s="10"/>
      <c r="P131" s="5" t="str">
        <f>IF(A131="","",IFERROR(LOOKUP(2,1/((持仓跟踪!$B$2:$B$497=A131)*(持仓跟踪!$X$2:$X$497="执行卖出")*(持仓跟踪!$AA$2:$AA$497&lt;&gt;"")),持仓跟踪!$AA$2:$AA$497),""))</f>
        <v/>
      </c>
      <c r="Q131" s="2"/>
      <c r="R131" s="2"/>
      <c r="S131" s="2"/>
      <c r="T131" s="2"/>
      <c r="U131" s="7" t="str">
        <f t="shared" si="49"/>
        <v/>
      </c>
      <c r="V131" s="7" t="str">
        <f t="shared" si="50"/>
        <v/>
      </c>
      <c r="W131" s="22" t="str">
        <f t="shared" si="51"/>
        <v/>
      </c>
      <c r="X131" s="5" t="str">
        <f t="shared" si="52"/>
        <v/>
      </c>
      <c r="Y131" s="7" t="str">
        <f t="shared" si="53"/>
        <v/>
      </c>
      <c r="Z131" s="7" t="str">
        <f>IF(OR(AE131="",多次统计数据!$B$8=""),"",AE131-多次统计数据!$B$8)</f>
        <v/>
      </c>
      <c r="AA131" s="11" t="str">
        <f t="shared" si="54"/>
        <v/>
      </c>
      <c r="AB131" s="7" t="str">
        <f>IF(OR(A131="",多次统计数据!$B$8="",多次统计数据!$B$6&lt;=0,多次统计数据!$B$6&gt;=1),"",1-POWER(1+多次统计数据!$B$8,-多次统计数据!$B$6/(1-多次统计数据!$B$6)))</f>
        <v/>
      </c>
      <c r="AC131" s="8" t="str">
        <f>IF(OR(AB131="",多次统计数据!$B$9=""),"",IF(多次统计数据!$B$9&lt;AB131,"低于上限","达到或超过上限"))</f>
        <v/>
      </c>
      <c r="AD131" s="2"/>
      <c r="AE131" s="7" t="str">
        <f t="shared" si="55"/>
        <v/>
      </c>
      <c r="AG131" s="2"/>
      <c r="AH131" s="2"/>
      <c r="AI131" s="2"/>
      <c r="AJ131" s="8" t="str">
        <f t="shared" si="56"/>
        <v/>
      </c>
      <c r="AK131" s="10"/>
      <c r="AL131" s="12"/>
      <c r="AM131" s="10"/>
      <c r="AN131" s="12"/>
      <c r="AO131" s="5" t="str">
        <f t="shared" si="57"/>
        <v/>
      </c>
      <c r="AP131" s="11" t="str">
        <f t="shared" si="58"/>
        <v/>
      </c>
      <c r="AQ131" s="5" t="str">
        <f>IF(A131="","",IF(M131&lt;&gt;"",0,IF(OR(H131="",N131=""),"",MAX(E131-MAX(N131,IFERROR(SUMPRODUCT(MAX(((持仓跟踪!$A$2:$A$497="每日跟踪")*(持仓跟踪!$B$2:$B$497=A131))*持仓跟踪!$S$2:$S$497)),0)),0)*H131+IF(OR(AK131="",AL131=""),0,MAX(AK131-MAX(N131,IFERROR(SUMPRODUCT(MAX(((持仓跟踪!$A$2:$A$497="每日跟踪")*(持仓跟踪!$B$2:$B$497=A131))*持仓跟踪!$S$2:$S$497)),0)),0)*AL131)+IF(OR(AM131="",AN131=""),0,MAX(AM131-MAX(N131,IFERROR(SUMPRODUCT(MAX(((持仓跟踪!$A$2:$A$497="每日跟踪")*(持仓跟踪!$B$2:$B$497=A131))*持仓跟踪!$S$2:$S$497)),0)),0)*AN131))))</f>
        <v/>
      </c>
      <c r="AR131" s="8" t="str">
        <f ca="1">IF(A131="","",IF(OR(E131="",H131=""),"违规：第一批价格或股数缺失",IF(OR(AND(AK131="",AL131&lt;&gt;""),AND(AK131&lt;&gt;"",AL131="")),"违规：第二批价格与股数须成对填写",IF(OR(AND(AM131="",AN131&lt;&gt;""),AND(AM131&lt;&gt;"",AN131="")),"违规：第三批价格与股数须成对填写",IF(AND(OR(AM131&lt;&gt;"",AN131&lt;&gt;""),OR(AK131="",AL131="")),"违规：必须先完成第二批",IF(OR(H131&lt;=0,H131&lt;&gt;INT(H131),MOD(H131,100)&lt;&gt;0,AND(AL131&lt;&gt;"",OR(AL131&lt;=0,AL131&lt;&gt;INT(AL131),MOD(AL131,100)&lt;&gt;0)),AND(AN131&lt;&gt;"",OR(AN131&lt;=0,AN131&lt;&gt;INT(AN131),MOD(AN131,100)&lt;&gt;0))),"违规：股数须为100股整数倍",IF(AND(OR(AL131&lt;&gt;"",AN131&lt;&gt;""),OR(_LockStatus="已锁仓",_LockStatus="解锁信息不完整")),"违规：锁仓期间禁止加仓",IF(AQ131&gt;C131*D131,"违规：超过单笔风险上限",IF(SUM($AQ$2:$AQ$201)&gt;账户数据!$B$7,"违规：超过账户风险上限","通过")))))))))</f>
        <v/>
      </c>
    </row>
    <row r="132" ht="17" spans="1:44">
      <c r="A132" s="2"/>
      <c r="B132" s="2"/>
      <c r="C132" s="10"/>
      <c r="D132" s="6"/>
      <c r="E132" s="10"/>
      <c r="F132" s="8" t="str">
        <f t="shared" si="48"/>
        <v/>
      </c>
      <c r="G132" s="8" t="str">
        <f ca="1"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COUNTIFS(持仓跟踪!$A$2:$A$497,"止损计划",持仓跟踪!$B$2:$B$497,A132,持仓跟踪!$AC$2:$AC$497,"计划有效")=0,"禁止开仓：请先填写止损计划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2" s="2"/>
      <c r="I132" s="15"/>
      <c r="J132" s="10"/>
      <c r="K132" s="5" t="str">
        <f>IF(A132="","",IFERROR(LOOKUP(2,1/((持仓跟踪!$B$2:$B$497=A132)*(持仓跟踪!$X$2:$X$497="执行卖出")*(持仓跟踪!$Y$2:$Y$497&lt;&gt;"")),持仓跟踪!$Y$2:$Y$497),""))</f>
        <v/>
      </c>
      <c r="L132" s="8" t="str">
        <f>IF(A132="","",IFERROR(LOOKUP(2,1/((持仓跟踪!$B$2:$B$497=A132)*(持仓跟踪!$X$2:$X$497="执行卖出")*(持仓跟踪!$Z$2:$Z$497&lt;&gt;"")),持仓跟踪!$Z$2:$Z$497),""))</f>
        <v/>
      </c>
      <c r="M132" s="23" t="str">
        <f>IF(A132="","",IFERROR(LOOKUP(2,1/((持仓跟踪!$B$2:$B$497=A132)*(持仓跟踪!$X$2:$X$497="执行卖出")*(持仓跟踪!$H$2:$H$497&lt;&gt;"")),持仓跟踪!$H$2:$H$497),""))</f>
        <v/>
      </c>
      <c r="N132" s="10"/>
      <c r="O132" s="10"/>
      <c r="P132" s="5" t="str">
        <f>IF(A132="","",IFERROR(LOOKUP(2,1/((持仓跟踪!$B$2:$B$497=A132)*(持仓跟踪!$X$2:$X$497="执行卖出")*(持仓跟踪!$AA$2:$AA$497&lt;&gt;"")),持仓跟踪!$AA$2:$AA$497),""))</f>
        <v/>
      </c>
      <c r="Q132" s="2"/>
      <c r="R132" s="2"/>
      <c r="S132" s="2"/>
      <c r="T132" s="2"/>
      <c r="U132" s="7" t="str">
        <f t="shared" si="49"/>
        <v/>
      </c>
      <c r="V132" s="7" t="str">
        <f t="shared" si="50"/>
        <v/>
      </c>
      <c r="W132" s="22" t="str">
        <f t="shared" si="51"/>
        <v/>
      </c>
      <c r="X132" s="5" t="str">
        <f t="shared" si="52"/>
        <v/>
      </c>
      <c r="Y132" s="7" t="str">
        <f t="shared" si="53"/>
        <v/>
      </c>
      <c r="Z132" s="7" t="str">
        <f>IF(OR(AE132="",多次统计数据!$B$8=""),"",AE132-多次统计数据!$B$8)</f>
        <v/>
      </c>
      <c r="AA132" s="11" t="str">
        <f t="shared" si="54"/>
        <v/>
      </c>
      <c r="AB132" s="7" t="str">
        <f>IF(OR(A132="",多次统计数据!$B$8="",多次统计数据!$B$6&lt;=0,多次统计数据!$B$6&gt;=1),"",1-POWER(1+多次统计数据!$B$8,-多次统计数据!$B$6/(1-多次统计数据!$B$6)))</f>
        <v/>
      </c>
      <c r="AC132" s="8" t="str">
        <f>IF(OR(AB132="",多次统计数据!$B$9=""),"",IF(多次统计数据!$B$9&lt;AB132,"低于上限","达到或超过上限"))</f>
        <v/>
      </c>
      <c r="AD132" s="2"/>
      <c r="AE132" s="7" t="str">
        <f t="shared" si="55"/>
        <v/>
      </c>
      <c r="AG132" s="2"/>
      <c r="AH132" s="2"/>
      <c r="AI132" s="2"/>
      <c r="AJ132" s="8" t="str">
        <f t="shared" si="56"/>
        <v/>
      </c>
      <c r="AK132" s="10"/>
      <c r="AL132" s="12"/>
      <c r="AM132" s="10"/>
      <c r="AN132" s="12"/>
      <c r="AO132" s="5" t="str">
        <f t="shared" si="57"/>
        <v/>
      </c>
      <c r="AP132" s="11" t="str">
        <f t="shared" si="58"/>
        <v/>
      </c>
      <c r="AQ132" s="5" t="str">
        <f>IF(A132="","",IF(M132&lt;&gt;"",0,IF(OR(H132="",N132=""),"",MAX(E132-MAX(N132,IFERROR(SUMPRODUCT(MAX(((持仓跟踪!$A$2:$A$497="每日跟踪")*(持仓跟踪!$B$2:$B$497=A132))*持仓跟踪!$S$2:$S$497)),0)),0)*H132+IF(OR(AK132="",AL132=""),0,MAX(AK132-MAX(N132,IFERROR(SUMPRODUCT(MAX(((持仓跟踪!$A$2:$A$497="每日跟踪")*(持仓跟踪!$B$2:$B$497=A132))*持仓跟踪!$S$2:$S$497)),0)),0)*AL132)+IF(OR(AM132="",AN132=""),0,MAX(AM132-MAX(N132,IFERROR(SUMPRODUCT(MAX(((持仓跟踪!$A$2:$A$497="每日跟踪")*(持仓跟踪!$B$2:$B$497=A132))*持仓跟踪!$S$2:$S$497)),0)),0)*AN132))))</f>
        <v/>
      </c>
      <c r="AR132" s="8" t="str">
        <f ca="1">IF(A132="","",IF(OR(E132="",H132=""),"违规：第一批价格或股数缺失",IF(OR(AND(AK132="",AL132&lt;&gt;""),AND(AK132&lt;&gt;"",AL132="")),"违规：第二批价格与股数须成对填写",IF(OR(AND(AM132="",AN132&lt;&gt;""),AND(AM132&lt;&gt;"",AN132="")),"违规：第三批价格与股数须成对填写",IF(AND(OR(AM132&lt;&gt;"",AN132&lt;&gt;""),OR(AK132="",AL132="")),"违规：必须先完成第二批",IF(OR(H132&lt;=0,H132&lt;&gt;INT(H132),MOD(H132,100)&lt;&gt;0,AND(AL132&lt;&gt;"",OR(AL132&lt;=0,AL132&lt;&gt;INT(AL132),MOD(AL132,100)&lt;&gt;0)),AND(AN132&lt;&gt;"",OR(AN132&lt;=0,AN132&lt;&gt;INT(AN132),MOD(AN132,100)&lt;&gt;0))),"违规：股数须为100股整数倍",IF(AND(OR(AL132&lt;&gt;"",AN132&lt;&gt;""),OR(_LockStatus="已锁仓",_LockStatus="解锁信息不完整")),"违规：锁仓期间禁止加仓",IF(AQ132&gt;C132*D132,"违规：超过单笔风险上限",IF(SUM($AQ$2:$AQ$201)&gt;账户数据!$B$7,"违规：超过账户风险上限","通过")))))))))</f>
        <v/>
      </c>
    </row>
    <row r="133" ht="17" spans="1:44">
      <c r="A133" s="2"/>
      <c r="B133" s="2"/>
      <c r="C133" s="10"/>
      <c r="D133" s="6"/>
      <c r="E133" s="10"/>
      <c r="F133" s="8" t="str">
        <f t="shared" si="48"/>
        <v/>
      </c>
      <c r="G133" s="8" t="str">
        <f ca="1"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COUNTIFS(持仓跟踪!$A$2:$A$497,"止损计划",持仓跟踪!$B$2:$B$497,A133,持仓跟踪!$AC$2:$AC$497,"计划有效")=0,"禁止开仓：请先填写止损计划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3" s="2"/>
      <c r="I133" s="15"/>
      <c r="J133" s="10"/>
      <c r="K133" s="5" t="str">
        <f>IF(A133="","",IFERROR(LOOKUP(2,1/((持仓跟踪!$B$2:$B$497=A133)*(持仓跟踪!$X$2:$X$497="执行卖出")*(持仓跟踪!$Y$2:$Y$497&lt;&gt;"")),持仓跟踪!$Y$2:$Y$497),""))</f>
        <v/>
      </c>
      <c r="L133" s="8" t="str">
        <f>IF(A133="","",IFERROR(LOOKUP(2,1/((持仓跟踪!$B$2:$B$497=A133)*(持仓跟踪!$X$2:$X$497="执行卖出")*(持仓跟踪!$Z$2:$Z$497&lt;&gt;"")),持仓跟踪!$Z$2:$Z$497),""))</f>
        <v/>
      </c>
      <c r="M133" s="23" t="str">
        <f>IF(A133="","",IFERROR(LOOKUP(2,1/((持仓跟踪!$B$2:$B$497=A133)*(持仓跟踪!$X$2:$X$497="执行卖出")*(持仓跟踪!$H$2:$H$497&lt;&gt;"")),持仓跟踪!$H$2:$H$497),""))</f>
        <v/>
      </c>
      <c r="N133" s="10"/>
      <c r="O133" s="10"/>
      <c r="P133" s="5" t="str">
        <f>IF(A133="","",IFERROR(LOOKUP(2,1/((持仓跟踪!$B$2:$B$497=A133)*(持仓跟踪!$X$2:$X$497="执行卖出")*(持仓跟踪!$AA$2:$AA$497&lt;&gt;"")),持仓跟踪!$AA$2:$AA$497),""))</f>
        <v/>
      </c>
      <c r="Q133" s="2"/>
      <c r="R133" s="2"/>
      <c r="S133" s="2"/>
      <c r="T133" s="2"/>
      <c r="U133" s="7" t="str">
        <f t="shared" si="49"/>
        <v/>
      </c>
      <c r="V133" s="7" t="str">
        <f t="shared" si="50"/>
        <v/>
      </c>
      <c r="W133" s="22" t="str">
        <f t="shared" si="51"/>
        <v/>
      </c>
      <c r="X133" s="5" t="str">
        <f t="shared" si="52"/>
        <v/>
      </c>
      <c r="Y133" s="7" t="str">
        <f t="shared" si="53"/>
        <v/>
      </c>
      <c r="Z133" s="7" t="str">
        <f>IF(OR(AE133="",多次统计数据!$B$8=""),"",AE133-多次统计数据!$B$8)</f>
        <v/>
      </c>
      <c r="AA133" s="11" t="str">
        <f t="shared" si="54"/>
        <v/>
      </c>
      <c r="AB133" s="7" t="str">
        <f>IF(OR(A133="",多次统计数据!$B$8="",多次统计数据!$B$6&lt;=0,多次统计数据!$B$6&gt;=1),"",1-POWER(1+多次统计数据!$B$8,-多次统计数据!$B$6/(1-多次统计数据!$B$6)))</f>
        <v/>
      </c>
      <c r="AC133" s="8" t="str">
        <f>IF(OR(AB133="",多次统计数据!$B$9=""),"",IF(多次统计数据!$B$9&lt;AB133,"低于上限","达到或超过上限"))</f>
        <v/>
      </c>
      <c r="AD133" s="2"/>
      <c r="AE133" s="7" t="str">
        <f t="shared" si="55"/>
        <v/>
      </c>
      <c r="AG133" s="2"/>
      <c r="AH133" s="2"/>
      <c r="AI133" s="2"/>
      <c r="AJ133" s="8" t="str">
        <f t="shared" si="56"/>
        <v/>
      </c>
      <c r="AK133" s="10"/>
      <c r="AL133" s="12"/>
      <c r="AM133" s="10"/>
      <c r="AN133" s="12"/>
      <c r="AO133" s="5" t="str">
        <f t="shared" si="57"/>
        <v/>
      </c>
      <c r="AP133" s="11" t="str">
        <f t="shared" si="58"/>
        <v/>
      </c>
      <c r="AQ133" s="5" t="str">
        <f>IF(A133="","",IF(M133&lt;&gt;"",0,IF(OR(H133="",N133=""),"",MAX(E133-MAX(N133,IFERROR(SUMPRODUCT(MAX(((持仓跟踪!$A$2:$A$497="每日跟踪")*(持仓跟踪!$B$2:$B$497=A133))*持仓跟踪!$S$2:$S$497)),0)),0)*H133+IF(OR(AK133="",AL133=""),0,MAX(AK133-MAX(N133,IFERROR(SUMPRODUCT(MAX(((持仓跟踪!$A$2:$A$497="每日跟踪")*(持仓跟踪!$B$2:$B$497=A133))*持仓跟踪!$S$2:$S$497)),0)),0)*AL133)+IF(OR(AM133="",AN133=""),0,MAX(AM133-MAX(N133,IFERROR(SUMPRODUCT(MAX(((持仓跟踪!$A$2:$A$497="每日跟踪")*(持仓跟踪!$B$2:$B$497=A133))*持仓跟踪!$S$2:$S$497)),0)),0)*AN133))))</f>
        <v/>
      </c>
      <c r="AR133" s="8" t="str">
        <f ca="1">IF(A133="","",IF(OR(E133="",H133=""),"违规：第一批价格或股数缺失",IF(OR(AND(AK133="",AL133&lt;&gt;""),AND(AK133&lt;&gt;"",AL133="")),"违规：第二批价格与股数须成对填写",IF(OR(AND(AM133="",AN133&lt;&gt;""),AND(AM133&lt;&gt;"",AN133="")),"违规：第三批价格与股数须成对填写",IF(AND(OR(AM133&lt;&gt;"",AN133&lt;&gt;""),OR(AK133="",AL133="")),"违规：必须先完成第二批",IF(OR(H133&lt;=0,H133&lt;&gt;INT(H133),MOD(H133,100)&lt;&gt;0,AND(AL133&lt;&gt;"",OR(AL133&lt;=0,AL133&lt;&gt;INT(AL133),MOD(AL133,100)&lt;&gt;0)),AND(AN133&lt;&gt;"",OR(AN133&lt;=0,AN133&lt;&gt;INT(AN133),MOD(AN133,100)&lt;&gt;0))),"违规：股数须为100股整数倍",IF(AND(OR(AL133&lt;&gt;"",AN133&lt;&gt;""),OR(_LockStatus="已锁仓",_LockStatus="解锁信息不完整")),"违规：锁仓期间禁止加仓",IF(AQ133&gt;C133*D133,"违规：超过单笔风险上限",IF(SUM($AQ$2:$AQ$201)&gt;账户数据!$B$7,"违规：超过账户风险上限","通过")))))))))</f>
        <v/>
      </c>
    </row>
    <row r="134" ht="17" spans="1:44">
      <c r="A134" s="2"/>
      <c r="B134" s="2"/>
      <c r="C134" s="10"/>
      <c r="D134" s="6"/>
      <c r="E134" s="10"/>
      <c r="F134" s="8" t="str">
        <f t="shared" si="48"/>
        <v/>
      </c>
      <c r="G134" s="8" t="str">
        <f ca="1"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COUNTIFS(持仓跟踪!$A$2:$A$497,"止损计划",持仓跟踪!$B$2:$B$497,A134,持仓跟踪!$AC$2:$AC$497,"计划有效")=0,"禁止开仓：请先填写止损计划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4" s="2"/>
      <c r="I134" s="15"/>
      <c r="J134" s="10"/>
      <c r="K134" s="5" t="str">
        <f>IF(A134="","",IFERROR(LOOKUP(2,1/((持仓跟踪!$B$2:$B$497=A134)*(持仓跟踪!$X$2:$X$497="执行卖出")*(持仓跟踪!$Y$2:$Y$497&lt;&gt;"")),持仓跟踪!$Y$2:$Y$497),""))</f>
        <v/>
      </c>
      <c r="L134" s="8" t="str">
        <f>IF(A134="","",IFERROR(LOOKUP(2,1/((持仓跟踪!$B$2:$B$497=A134)*(持仓跟踪!$X$2:$X$497="执行卖出")*(持仓跟踪!$Z$2:$Z$497&lt;&gt;"")),持仓跟踪!$Z$2:$Z$497),""))</f>
        <v/>
      </c>
      <c r="M134" s="23" t="str">
        <f>IF(A134="","",IFERROR(LOOKUP(2,1/((持仓跟踪!$B$2:$B$497=A134)*(持仓跟踪!$X$2:$X$497="执行卖出")*(持仓跟踪!$H$2:$H$497&lt;&gt;"")),持仓跟踪!$H$2:$H$497),""))</f>
        <v/>
      </c>
      <c r="N134" s="10"/>
      <c r="O134" s="10"/>
      <c r="P134" s="5" t="str">
        <f>IF(A134="","",IFERROR(LOOKUP(2,1/((持仓跟踪!$B$2:$B$497=A134)*(持仓跟踪!$X$2:$X$497="执行卖出")*(持仓跟踪!$AA$2:$AA$497&lt;&gt;"")),持仓跟踪!$AA$2:$AA$497),""))</f>
        <v/>
      </c>
      <c r="Q134" s="2"/>
      <c r="R134" s="2"/>
      <c r="S134" s="2"/>
      <c r="T134" s="2"/>
      <c r="U134" s="7" t="str">
        <f t="shared" si="49"/>
        <v/>
      </c>
      <c r="V134" s="7" t="str">
        <f t="shared" si="50"/>
        <v/>
      </c>
      <c r="W134" s="22" t="str">
        <f t="shared" si="51"/>
        <v/>
      </c>
      <c r="X134" s="5" t="str">
        <f t="shared" si="52"/>
        <v/>
      </c>
      <c r="Y134" s="7" t="str">
        <f t="shared" si="53"/>
        <v/>
      </c>
      <c r="Z134" s="7" t="str">
        <f>IF(OR(AE134="",多次统计数据!$B$8=""),"",AE134-多次统计数据!$B$8)</f>
        <v/>
      </c>
      <c r="AA134" s="11" t="str">
        <f t="shared" si="54"/>
        <v/>
      </c>
      <c r="AB134" s="7" t="str">
        <f>IF(OR(A134="",多次统计数据!$B$8="",多次统计数据!$B$6&lt;=0,多次统计数据!$B$6&gt;=1),"",1-POWER(1+多次统计数据!$B$8,-多次统计数据!$B$6/(1-多次统计数据!$B$6)))</f>
        <v/>
      </c>
      <c r="AC134" s="8" t="str">
        <f>IF(OR(AB134="",多次统计数据!$B$9=""),"",IF(多次统计数据!$B$9&lt;AB134,"低于上限","达到或超过上限"))</f>
        <v/>
      </c>
      <c r="AD134" s="2"/>
      <c r="AE134" s="7" t="str">
        <f t="shared" si="55"/>
        <v/>
      </c>
      <c r="AG134" s="2"/>
      <c r="AH134" s="2"/>
      <c r="AI134" s="2"/>
      <c r="AJ134" s="8" t="str">
        <f t="shared" si="56"/>
        <v/>
      </c>
      <c r="AK134" s="10"/>
      <c r="AL134" s="12"/>
      <c r="AM134" s="10"/>
      <c r="AN134" s="12"/>
      <c r="AO134" s="5" t="str">
        <f t="shared" si="57"/>
        <v/>
      </c>
      <c r="AP134" s="11" t="str">
        <f t="shared" si="58"/>
        <v/>
      </c>
      <c r="AQ134" s="5" t="str">
        <f>IF(A134="","",IF(M134&lt;&gt;"",0,IF(OR(H134="",N134=""),"",MAX(E134-MAX(N134,IFERROR(SUMPRODUCT(MAX(((持仓跟踪!$A$2:$A$497="每日跟踪")*(持仓跟踪!$B$2:$B$497=A134))*持仓跟踪!$S$2:$S$497)),0)),0)*H134+IF(OR(AK134="",AL134=""),0,MAX(AK134-MAX(N134,IFERROR(SUMPRODUCT(MAX(((持仓跟踪!$A$2:$A$497="每日跟踪")*(持仓跟踪!$B$2:$B$497=A134))*持仓跟踪!$S$2:$S$497)),0)),0)*AL134)+IF(OR(AM134="",AN134=""),0,MAX(AM134-MAX(N134,IFERROR(SUMPRODUCT(MAX(((持仓跟踪!$A$2:$A$497="每日跟踪")*(持仓跟踪!$B$2:$B$497=A134))*持仓跟踪!$S$2:$S$497)),0)),0)*AN134))))</f>
        <v/>
      </c>
      <c r="AR134" s="8" t="str">
        <f ca="1">IF(A134="","",IF(OR(E134="",H134=""),"违规：第一批价格或股数缺失",IF(OR(AND(AK134="",AL134&lt;&gt;""),AND(AK134&lt;&gt;"",AL134="")),"违规：第二批价格与股数须成对填写",IF(OR(AND(AM134="",AN134&lt;&gt;""),AND(AM134&lt;&gt;"",AN134="")),"违规：第三批价格与股数须成对填写",IF(AND(OR(AM134&lt;&gt;"",AN134&lt;&gt;""),OR(AK134="",AL134="")),"违规：必须先完成第二批",IF(OR(H134&lt;=0,H134&lt;&gt;INT(H134),MOD(H134,100)&lt;&gt;0,AND(AL134&lt;&gt;"",OR(AL134&lt;=0,AL134&lt;&gt;INT(AL134),MOD(AL134,100)&lt;&gt;0)),AND(AN134&lt;&gt;"",OR(AN134&lt;=0,AN134&lt;&gt;INT(AN134),MOD(AN134,100)&lt;&gt;0))),"违规：股数须为100股整数倍",IF(AND(OR(AL134&lt;&gt;"",AN134&lt;&gt;""),OR(_LockStatus="已锁仓",_LockStatus="解锁信息不完整")),"违规：锁仓期间禁止加仓",IF(AQ134&gt;C134*D134,"违规：超过单笔风险上限",IF(SUM($AQ$2:$AQ$201)&gt;账户数据!$B$7,"违规：超过账户风险上限","通过")))))))))</f>
        <v/>
      </c>
    </row>
    <row r="135" ht="17" spans="1:44">
      <c r="A135" s="2"/>
      <c r="B135" s="2"/>
      <c r="C135" s="10"/>
      <c r="D135" s="6"/>
      <c r="E135" s="10"/>
      <c r="F135" s="8" t="str">
        <f t="shared" si="48"/>
        <v/>
      </c>
      <c r="G135" s="8" t="str">
        <f ca="1"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COUNTIFS(持仓跟踪!$A$2:$A$497,"止损计划",持仓跟踪!$B$2:$B$497,A135,持仓跟踪!$AC$2:$AC$497,"计划有效")=0,"禁止开仓：请先填写止损计划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5" s="2"/>
      <c r="I135" s="15"/>
      <c r="J135" s="10"/>
      <c r="K135" s="5" t="str">
        <f>IF(A135="","",IFERROR(LOOKUP(2,1/((持仓跟踪!$B$2:$B$497=A135)*(持仓跟踪!$X$2:$X$497="执行卖出")*(持仓跟踪!$Y$2:$Y$497&lt;&gt;"")),持仓跟踪!$Y$2:$Y$497),""))</f>
        <v/>
      </c>
      <c r="L135" s="8" t="str">
        <f>IF(A135="","",IFERROR(LOOKUP(2,1/((持仓跟踪!$B$2:$B$497=A135)*(持仓跟踪!$X$2:$X$497="执行卖出")*(持仓跟踪!$Z$2:$Z$497&lt;&gt;"")),持仓跟踪!$Z$2:$Z$497),""))</f>
        <v/>
      </c>
      <c r="M135" s="23" t="str">
        <f>IF(A135="","",IFERROR(LOOKUP(2,1/((持仓跟踪!$B$2:$B$497=A135)*(持仓跟踪!$X$2:$X$497="执行卖出")*(持仓跟踪!$H$2:$H$497&lt;&gt;"")),持仓跟踪!$H$2:$H$497),""))</f>
        <v/>
      </c>
      <c r="N135" s="10"/>
      <c r="O135" s="10"/>
      <c r="P135" s="5" t="str">
        <f>IF(A135="","",IFERROR(LOOKUP(2,1/((持仓跟踪!$B$2:$B$497=A135)*(持仓跟踪!$X$2:$X$497="执行卖出")*(持仓跟踪!$AA$2:$AA$497&lt;&gt;"")),持仓跟踪!$AA$2:$AA$497),""))</f>
        <v/>
      </c>
      <c r="Q135" s="2"/>
      <c r="R135" s="2"/>
      <c r="S135" s="2"/>
      <c r="T135" s="2"/>
      <c r="U135" s="7" t="str">
        <f t="shared" si="49"/>
        <v/>
      </c>
      <c r="V135" s="7" t="str">
        <f t="shared" si="50"/>
        <v/>
      </c>
      <c r="W135" s="22" t="str">
        <f t="shared" si="51"/>
        <v/>
      </c>
      <c r="X135" s="5" t="str">
        <f t="shared" si="52"/>
        <v/>
      </c>
      <c r="Y135" s="7" t="str">
        <f t="shared" si="53"/>
        <v/>
      </c>
      <c r="Z135" s="7" t="str">
        <f>IF(OR(AE135="",多次统计数据!$B$8=""),"",AE135-多次统计数据!$B$8)</f>
        <v/>
      </c>
      <c r="AA135" s="11" t="str">
        <f t="shared" si="54"/>
        <v/>
      </c>
      <c r="AB135" s="7" t="str">
        <f>IF(OR(A135="",多次统计数据!$B$8="",多次统计数据!$B$6&lt;=0,多次统计数据!$B$6&gt;=1),"",1-POWER(1+多次统计数据!$B$8,-多次统计数据!$B$6/(1-多次统计数据!$B$6)))</f>
        <v/>
      </c>
      <c r="AC135" s="8" t="str">
        <f>IF(OR(AB135="",多次统计数据!$B$9=""),"",IF(多次统计数据!$B$9&lt;AB135,"低于上限","达到或超过上限"))</f>
        <v/>
      </c>
      <c r="AD135" s="2"/>
      <c r="AE135" s="7" t="str">
        <f t="shared" si="55"/>
        <v/>
      </c>
      <c r="AG135" s="2"/>
      <c r="AH135" s="2"/>
      <c r="AI135" s="2"/>
      <c r="AJ135" s="8" t="str">
        <f t="shared" si="56"/>
        <v/>
      </c>
      <c r="AK135" s="10"/>
      <c r="AL135" s="12"/>
      <c r="AM135" s="10"/>
      <c r="AN135" s="12"/>
      <c r="AO135" s="5" t="str">
        <f t="shared" si="57"/>
        <v/>
      </c>
      <c r="AP135" s="11" t="str">
        <f t="shared" si="58"/>
        <v/>
      </c>
      <c r="AQ135" s="5" t="str">
        <f>IF(A135="","",IF(M135&lt;&gt;"",0,IF(OR(H135="",N135=""),"",MAX(E135-MAX(N135,IFERROR(SUMPRODUCT(MAX(((持仓跟踪!$A$2:$A$497="每日跟踪")*(持仓跟踪!$B$2:$B$497=A135))*持仓跟踪!$S$2:$S$497)),0)),0)*H135+IF(OR(AK135="",AL135=""),0,MAX(AK135-MAX(N135,IFERROR(SUMPRODUCT(MAX(((持仓跟踪!$A$2:$A$497="每日跟踪")*(持仓跟踪!$B$2:$B$497=A135))*持仓跟踪!$S$2:$S$497)),0)),0)*AL135)+IF(OR(AM135="",AN135=""),0,MAX(AM135-MAX(N135,IFERROR(SUMPRODUCT(MAX(((持仓跟踪!$A$2:$A$497="每日跟踪")*(持仓跟踪!$B$2:$B$497=A135))*持仓跟踪!$S$2:$S$497)),0)),0)*AN135))))</f>
        <v/>
      </c>
      <c r="AR135" s="8" t="str">
        <f ca="1">IF(A135="","",IF(OR(E135="",H135=""),"违规：第一批价格或股数缺失",IF(OR(AND(AK135="",AL135&lt;&gt;""),AND(AK135&lt;&gt;"",AL135="")),"违规：第二批价格与股数须成对填写",IF(OR(AND(AM135="",AN135&lt;&gt;""),AND(AM135&lt;&gt;"",AN135="")),"违规：第三批价格与股数须成对填写",IF(AND(OR(AM135&lt;&gt;"",AN135&lt;&gt;""),OR(AK135="",AL135="")),"违规：必须先完成第二批",IF(OR(H135&lt;=0,H135&lt;&gt;INT(H135),MOD(H135,100)&lt;&gt;0,AND(AL135&lt;&gt;"",OR(AL135&lt;=0,AL135&lt;&gt;INT(AL135),MOD(AL135,100)&lt;&gt;0)),AND(AN135&lt;&gt;"",OR(AN135&lt;=0,AN135&lt;&gt;INT(AN135),MOD(AN135,100)&lt;&gt;0))),"违规：股数须为100股整数倍",IF(AND(OR(AL135&lt;&gt;"",AN135&lt;&gt;""),OR(_LockStatus="已锁仓",_LockStatus="解锁信息不完整")),"违规：锁仓期间禁止加仓",IF(AQ135&gt;C135*D135,"违规：超过单笔风险上限",IF(SUM($AQ$2:$AQ$201)&gt;账户数据!$B$7,"违规：超过账户风险上限","通过")))))))))</f>
        <v/>
      </c>
    </row>
    <row r="136" ht="17" spans="1:44">
      <c r="A136" s="2"/>
      <c r="B136" s="2"/>
      <c r="C136" s="10"/>
      <c r="D136" s="6"/>
      <c r="E136" s="10"/>
      <c r="F136" s="8" t="str">
        <f t="shared" si="48"/>
        <v/>
      </c>
      <c r="G136" s="8" t="str">
        <f ca="1"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COUNTIFS(持仓跟踪!$A$2:$A$497,"止损计划",持仓跟踪!$B$2:$B$497,A136,持仓跟踪!$AC$2:$AC$497,"计划有效")=0,"禁止开仓：请先填写止损计划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6" s="2"/>
      <c r="I136" s="15"/>
      <c r="J136" s="10"/>
      <c r="K136" s="5" t="str">
        <f>IF(A136="","",IFERROR(LOOKUP(2,1/((持仓跟踪!$B$2:$B$497=A136)*(持仓跟踪!$X$2:$X$497="执行卖出")*(持仓跟踪!$Y$2:$Y$497&lt;&gt;"")),持仓跟踪!$Y$2:$Y$497),""))</f>
        <v/>
      </c>
      <c r="L136" s="8" t="str">
        <f>IF(A136="","",IFERROR(LOOKUP(2,1/((持仓跟踪!$B$2:$B$497=A136)*(持仓跟踪!$X$2:$X$497="执行卖出")*(持仓跟踪!$Z$2:$Z$497&lt;&gt;"")),持仓跟踪!$Z$2:$Z$497),""))</f>
        <v/>
      </c>
      <c r="M136" s="23" t="str">
        <f>IF(A136="","",IFERROR(LOOKUP(2,1/((持仓跟踪!$B$2:$B$497=A136)*(持仓跟踪!$X$2:$X$497="执行卖出")*(持仓跟踪!$H$2:$H$497&lt;&gt;"")),持仓跟踪!$H$2:$H$497),""))</f>
        <v/>
      </c>
      <c r="N136" s="10"/>
      <c r="O136" s="10"/>
      <c r="P136" s="5" t="str">
        <f>IF(A136="","",IFERROR(LOOKUP(2,1/((持仓跟踪!$B$2:$B$497=A136)*(持仓跟踪!$X$2:$X$497="执行卖出")*(持仓跟踪!$AA$2:$AA$497&lt;&gt;"")),持仓跟踪!$AA$2:$AA$497),""))</f>
        <v/>
      </c>
      <c r="Q136" s="2"/>
      <c r="R136" s="2"/>
      <c r="S136" s="2"/>
      <c r="T136" s="2"/>
      <c r="U136" s="7" t="str">
        <f t="shared" si="49"/>
        <v/>
      </c>
      <c r="V136" s="7" t="str">
        <f t="shared" si="50"/>
        <v/>
      </c>
      <c r="W136" s="22" t="str">
        <f t="shared" si="51"/>
        <v/>
      </c>
      <c r="X136" s="5" t="str">
        <f t="shared" si="52"/>
        <v/>
      </c>
      <c r="Y136" s="7" t="str">
        <f t="shared" si="53"/>
        <v/>
      </c>
      <c r="Z136" s="7" t="str">
        <f>IF(OR(AE136="",多次统计数据!$B$8=""),"",AE136-多次统计数据!$B$8)</f>
        <v/>
      </c>
      <c r="AA136" s="11" t="str">
        <f t="shared" si="54"/>
        <v/>
      </c>
      <c r="AB136" s="7" t="str">
        <f>IF(OR(A136="",多次统计数据!$B$8="",多次统计数据!$B$6&lt;=0,多次统计数据!$B$6&gt;=1),"",1-POWER(1+多次统计数据!$B$8,-多次统计数据!$B$6/(1-多次统计数据!$B$6)))</f>
        <v/>
      </c>
      <c r="AC136" s="8" t="str">
        <f>IF(OR(AB136="",多次统计数据!$B$9=""),"",IF(多次统计数据!$B$9&lt;AB136,"低于上限","达到或超过上限"))</f>
        <v/>
      </c>
      <c r="AD136" s="2"/>
      <c r="AE136" s="7" t="str">
        <f t="shared" si="55"/>
        <v/>
      </c>
      <c r="AG136" s="2"/>
      <c r="AH136" s="2"/>
      <c r="AI136" s="2"/>
      <c r="AJ136" s="8" t="str">
        <f t="shared" si="56"/>
        <v/>
      </c>
      <c r="AK136" s="10"/>
      <c r="AL136" s="12"/>
      <c r="AM136" s="10"/>
      <c r="AN136" s="12"/>
      <c r="AO136" s="5" t="str">
        <f t="shared" si="57"/>
        <v/>
      </c>
      <c r="AP136" s="11" t="str">
        <f t="shared" si="58"/>
        <v/>
      </c>
      <c r="AQ136" s="5" t="str">
        <f>IF(A136="","",IF(M136&lt;&gt;"",0,IF(OR(H136="",N136=""),"",MAX(E136-MAX(N136,IFERROR(SUMPRODUCT(MAX(((持仓跟踪!$A$2:$A$497="每日跟踪")*(持仓跟踪!$B$2:$B$497=A136))*持仓跟踪!$S$2:$S$497)),0)),0)*H136+IF(OR(AK136="",AL136=""),0,MAX(AK136-MAX(N136,IFERROR(SUMPRODUCT(MAX(((持仓跟踪!$A$2:$A$497="每日跟踪")*(持仓跟踪!$B$2:$B$497=A136))*持仓跟踪!$S$2:$S$497)),0)),0)*AL136)+IF(OR(AM136="",AN136=""),0,MAX(AM136-MAX(N136,IFERROR(SUMPRODUCT(MAX(((持仓跟踪!$A$2:$A$497="每日跟踪")*(持仓跟踪!$B$2:$B$497=A136))*持仓跟踪!$S$2:$S$497)),0)),0)*AN136))))</f>
        <v/>
      </c>
      <c r="AR136" s="8" t="str">
        <f ca="1">IF(A136="","",IF(OR(E136="",H136=""),"违规：第一批价格或股数缺失",IF(OR(AND(AK136="",AL136&lt;&gt;""),AND(AK136&lt;&gt;"",AL136="")),"违规：第二批价格与股数须成对填写",IF(OR(AND(AM136="",AN136&lt;&gt;""),AND(AM136&lt;&gt;"",AN136="")),"违规：第三批价格与股数须成对填写",IF(AND(OR(AM136&lt;&gt;"",AN136&lt;&gt;""),OR(AK136="",AL136="")),"违规：必须先完成第二批",IF(OR(H136&lt;=0,H136&lt;&gt;INT(H136),MOD(H136,100)&lt;&gt;0,AND(AL136&lt;&gt;"",OR(AL136&lt;=0,AL136&lt;&gt;INT(AL136),MOD(AL136,100)&lt;&gt;0)),AND(AN136&lt;&gt;"",OR(AN136&lt;=0,AN136&lt;&gt;INT(AN136),MOD(AN136,100)&lt;&gt;0))),"违规：股数须为100股整数倍",IF(AND(OR(AL136&lt;&gt;"",AN136&lt;&gt;""),OR(_LockStatus="已锁仓",_LockStatus="解锁信息不完整")),"违规：锁仓期间禁止加仓",IF(AQ136&gt;C136*D136,"违规：超过单笔风险上限",IF(SUM($AQ$2:$AQ$201)&gt;账户数据!$B$7,"违规：超过账户风险上限","通过")))))))))</f>
        <v/>
      </c>
    </row>
    <row r="137" ht="17" spans="1:44">
      <c r="A137" s="2"/>
      <c r="B137" s="2"/>
      <c r="C137" s="10"/>
      <c r="D137" s="6"/>
      <c r="E137" s="10"/>
      <c r="F137" s="8" t="str">
        <f t="shared" si="48"/>
        <v/>
      </c>
      <c r="G137" s="8" t="str">
        <f ca="1"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COUNTIFS(持仓跟踪!$A$2:$A$497,"止损计划",持仓跟踪!$B$2:$B$497,A137,持仓跟踪!$AC$2:$AC$497,"计划有效")=0,"禁止开仓：请先填写止损计划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7" s="2"/>
      <c r="I137" s="15"/>
      <c r="J137" s="10"/>
      <c r="K137" s="5" t="str">
        <f>IF(A137="","",IFERROR(LOOKUP(2,1/((持仓跟踪!$B$2:$B$497=A137)*(持仓跟踪!$X$2:$X$497="执行卖出")*(持仓跟踪!$Y$2:$Y$497&lt;&gt;"")),持仓跟踪!$Y$2:$Y$497),""))</f>
        <v/>
      </c>
      <c r="L137" s="8" t="str">
        <f>IF(A137="","",IFERROR(LOOKUP(2,1/((持仓跟踪!$B$2:$B$497=A137)*(持仓跟踪!$X$2:$X$497="执行卖出")*(持仓跟踪!$Z$2:$Z$497&lt;&gt;"")),持仓跟踪!$Z$2:$Z$497),""))</f>
        <v/>
      </c>
      <c r="M137" s="23" t="str">
        <f>IF(A137="","",IFERROR(LOOKUP(2,1/((持仓跟踪!$B$2:$B$497=A137)*(持仓跟踪!$X$2:$X$497="执行卖出")*(持仓跟踪!$H$2:$H$497&lt;&gt;"")),持仓跟踪!$H$2:$H$497),""))</f>
        <v/>
      </c>
      <c r="N137" s="10"/>
      <c r="O137" s="10"/>
      <c r="P137" s="5" t="str">
        <f>IF(A137="","",IFERROR(LOOKUP(2,1/((持仓跟踪!$B$2:$B$497=A137)*(持仓跟踪!$X$2:$X$497="执行卖出")*(持仓跟踪!$AA$2:$AA$497&lt;&gt;"")),持仓跟踪!$AA$2:$AA$497),""))</f>
        <v/>
      </c>
      <c r="Q137" s="2"/>
      <c r="R137" s="2"/>
      <c r="S137" s="2"/>
      <c r="T137" s="2"/>
      <c r="U137" s="7" t="str">
        <f t="shared" si="49"/>
        <v/>
      </c>
      <c r="V137" s="7" t="str">
        <f t="shared" si="50"/>
        <v/>
      </c>
      <c r="W137" s="22" t="str">
        <f t="shared" si="51"/>
        <v/>
      </c>
      <c r="X137" s="5" t="str">
        <f t="shared" si="52"/>
        <v/>
      </c>
      <c r="Y137" s="7" t="str">
        <f t="shared" si="53"/>
        <v/>
      </c>
      <c r="Z137" s="7" t="str">
        <f>IF(OR(AE137="",多次统计数据!$B$8=""),"",AE137-多次统计数据!$B$8)</f>
        <v/>
      </c>
      <c r="AA137" s="11" t="str">
        <f t="shared" si="54"/>
        <v/>
      </c>
      <c r="AB137" s="7" t="str">
        <f>IF(OR(A137="",多次统计数据!$B$8="",多次统计数据!$B$6&lt;=0,多次统计数据!$B$6&gt;=1),"",1-POWER(1+多次统计数据!$B$8,-多次统计数据!$B$6/(1-多次统计数据!$B$6)))</f>
        <v/>
      </c>
      <c r="AC137" s="8" t="str">
        <f>IF(OR(AB137="",多次统计数据!$B$9=""),"",IF(多次统计数据!$B$9&lt;AB137,"低于上限","达到或超过上限"))</f>
        <v/>
      </c>
      <c r="AD137" s="2"/>
      <c r="AE137" s="7" t="str">
        <f t="shared" si="55"/>
        <v/>
      </c>
      <c r="AG137" s="2"/>
      <c r="AH137" s="2"/>
      <c r="AI137" s="2"/>
      <c r="AJ137" s="8" t="str">
        <f t="shared" si="56"/>
        <v/>
      </c>
      <c r="AK137" s="10"/>
      <c r="AL137" s="12"/>
      <c r="AM137" s="10"/>
      <c r="AN137" s="12"/>
      <c r="AO137" s="5" t="str">
        <f t="shared" si="57"/>
        <v/>
      </c>
      <c r="AP137" s="11" t="str">
        <f t="shared" si="58"/>
        <v/>
      </c>
      <c r="AQ137" s="5" t="str">
        <f>IF(A137="","",IF(M137&lt;&gt;"",0,IF(OR(H137="",N137=""),"",MAX(E137-MAX(N137,IFERROR(SUMPRODUCT(MAX(((持仓跟踪!$A$2:$A$497="每日跟踪")*(持仓跟踪!$B$2:$B$497=A137))*持仓跟踪!$S$2:$S$497)),0)),0)*H137+IF(OR(AK137="",AL137=""),0,MAX(AK137-MAX(N137,IFERROR(SUMPRODUCT(MAX(((持仓跟踪!$A$2:$A$497="每日跟踪")*(持仓跟踪!$B$2:$B$497=A137))*持仓跟踪!$S$2:$S$497)),0)),0)*AL137)+IF(OR(AM137="",AN137=""),0,MAX(AM137-MAX(N137,IFERROR(SUMPRODUCT(MAX(((持仓跟踪!$A$2:$A$497="每日跟踪")*(持仓跟踪!$B$2:$B$497=A137))*持仓跟踪!$S$2:$S$497)),0)),0)*AN137))))</f>
        <v/>
      </c>
      <c r="AR137" s="8" t="str">
        <f ca="1">IF(A137="","",IF(OR(E137="",H137=""),"违规：第一批价格或股数缺失",IF(OR(AND(AK137="",AL137&lt;&gt;""),AND(AK137&lt;&gt;"",AL137="")),"违规：第二批价格与股数须成对填写",IF(OR(AND(AM137="",AN137&lt;&gt;""),AND(AM137&lt;&gt;"",AN137="")),"违规：第三批价格与股数须成对填写",IF(AND(OR(AM137&lt;&gt;"",AN137&lt;&gt;""),OR(AK137="",AL137="")),"违规：必须先完成第二批",IF(OR(H137&lt;=0,H137&lt;&gt;INT(H137),MOD(H137,100)&lt;&gt;0,AND(AL137&lt;&gt;"",OR(AL137&lt;=0,AL137&lt;&gt;INT(AL137),MOD(AL137,100)&lt;&gt;0)),AND(AN137&lt;&gt;"",OR(AN137&lt;=0,AN137&lt;&gt;INT(AN137),MOD(AN137,100)&lt;&gt;0))),"违规：股数须为100股整数倍",IF(AND(OR(AL137&lt;&gt;"",AN137&lt;&gt;""),OR(_LockStatus="已锁仓",_LockStatus="解锁信息不完整")),"违规：锁仓期间禁止加仓",IF(AQ137&gt;C137*D137,"违规：超过单笔风险上限",IF(SUM($AQ$2:$AQ$201)&gt;账户数据!$B$7,"违规：超过账户风险上限","通过")))))))))</f>
        <v/>
      </c>
    </row>
    <row r="138" ht="17" spans="1:44">
      <c r="A138" s="2"/>
      <c r="B138" s="2"/>
      <c r="C138" s="10"/>
      <c r="D138" s="6"/>
      <c r="E138" s="10"/>
      <c r="F138" s="8" t="str">
        <f t="shared" si="48"/>
        <v/>
      </c>
      <c r="G138" s="8" t="str">
        <f ca="1"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COUNTIFS(持仓跟踪!$A$2:$A$497,"止损计划",持仓跟踪!$B$2:$B$497,A138,持仓跟踪!$AC$2:$AC$497,"计划有效")=0,"禁止开仓：请先填写止损计划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8" s="2"/>
      <c r="I138" s="15"/>
      <c r="J138" s="10"/>
      <c r="K138" s="5" t="str">
        <f>IF(A138="","",IFERROR(LOOKUP(2,1/((持仓跟踪!$B$2:$B$497=A138)*(持仓跟踪!$X$2:$X$497="执行卖出")*(持仓跟踪!$Y$2:$Y$497&lt;&gt;"")),持仓跟踪!$Y$2:$Y$497),""))</f>
        <v/>
      </c>
      <c r="L138" s="8" t="str">
        <f>IF(A138="","",IFERROR(LOOKUP(2,1/((持仓跟踪!$B$2:$B$497=A138)*(持仓跟踪!$X$2:$X$497="执行卖出")*(持仓跟踪!$Z$2:$Z$497&lt;&gt;"")),持仓跟踪!$Z$2:$Z$497),""))</f>
        <v/>
      </c>
      <c r="M138" s="23" t="str">
        <f>IF(A138="","",IFERROR(LOOKUP(2,1/((持仓跟踪!$B$2:$B$497=A138)*(持仓跟踪!$X$2:$X$497="执行卖出")*(持仓跟踪!$H$2:$H$497&lt;&gt;"")),持仓跟踪!$H$2:$H$497),""))</f>
        <v/>
      </c>
      <c r="N138" s="10"/>
      <c r="O138" s="10"/>
      <c r="P138" s="5" t="str">
        <f>IF(A138="","",IFERROR(LOOKUP(2,1/((持仓跟踪!$B$2:$B$497=A138)*(持仓跟踪!$X$2:$X$497="执行卖出")*(持仓跟踪!$AA$2:$AA$497&lt;&gt;"")),持仓跟踪!$AA$2:$AA$497),""))</f>
        <v/>
      </c>
      <c r="Q138" s="2"/>
      <c r="R138" s="2"/>
      <c r="S138" s="2"/>
      <c r="T138" s="2"/>
      <c r="U138" s="7" t="str">
        <f t="shared" si="49"/>
        <v/>
      </c>
      <c r="V138" s="7" t="str">
        <f t="shared" si="50"/>
        <v/>
      </c>
      <c r="W138" s="22" t="str">
        <f t="shared" si="51"/>
        <v/>
      </c>
      <c r="X138" s="5" t="str">
        <f t="shared" si="52"/>
        <v/>
      </c>
      <c r="Y138" s="7" t="str">
        <f t="shared" si="53"/>
        <v/>
      </c>
      <c r="Z138" s="7" t="str">
        <f>IF(OR(AE138="",多次统计数据!$B$8=""),"",AE138-多次统计数据!$B$8)</f>
        <v/>
      </c>
      <c r="AA138" s="11" t="str">
        <f t="shared" si="54"/>
        <v/>
      </c>
      <c r="AB138" s="7" t="str">
        <f>IF(OR(A138="",多次统计数据!$B$8="",多次统计数据!$B$6&lt;=0,多次统计数据!$B$6&gt;=1),"",1-POWER(1+多次统计数据!$B$8,-多次统计数据!$B$6/(1-多次统计数据!$B$6)))</f>
        <v/>
      </c>
      <c r="AC138" s="8" t="str">
        <f>IF(OR(AB138="",多次统计数据!$B$9=""),"",IF(多次统计数据!$B$9&lt;AB138,"低于上限","达到或超过上限"))</f>
        <v/>
      </c>
      <c r="AD138" s="2"/>
      <c r="AE138" s="7" t="str">
        <f t="shared" si="55"/>
        <v/>
      </c>
      <c r="AG138" s="2"/>
      <c r="AH138" s="2"/>
      <c r="AI138" s="2"/>
      <c r="AJ138" s="8" t="str">
        <f t="shared" si="56"/>
        <v/>
      </c>
      <c r="AK138" s="10"/>
      <c r="AL138" s="12"/>
      <c r="AM138" s="10"/>
      <c r="AN138" s="12"/>
      <c r="AO138" s="5" t="str">
        <f t="shared" si="57"/>
        <v/>
      </c>
      <c r="AP138" s="11" t="str">
        <f t="shared" si="58"/>
        <v/>
      </c>
      <c r="AQ138" s="5" t="str">
        <f>IF(A138="","",IF(M138&lt;&gt;"",0,IF(OR(H138="",N138=""),"",MAX(E138-MAX(N138,IFERROR(SUMPRODUCT(MAX(((持仓跟踪!$A$2:$A$497="每日跟踪")*(持仓跟踪!$B$2:$B$497=A138))*持仓跟踪!$S$2:$S$497)),0)),0)*H138+IF(OR(AK138="",AL138=""),0,MAX(AK138-MAX(N138,IFERROR(SUMPRODUCT(MAX(((持仓跟踪!$A$2:$A$497="每日跟踪")*(持仓跟踪!$B$2:$B$497=A138))*持仓跟踪!$S$2:$S$497)),0)),0)*AL138)+IF(OR(AM138="",AN138=""),0,MAX(AM138-MAX(N138,IFERROR(SUMPRODUCT(MAX(((持仓跟踪!$A$2:$A$497="每日跟踪")*(持仓跟踪!$B$2:$B$497=A138))*持仓跟踪!$S$2:$S$497)),0)),0)*AN138))))</f>
        <v/>
      </c>
      <c r="AR138" s="8" t="str">
        <f ca="1">IF(A138="","",IF(OR(E138="",H138=""),"违规：第一批价格或股数缺失",IF(OR(AND(AK138="",AL138&lt;&gt;""),AND(AK138&lt;&gt;"",AL138="")),"违规：第二批价格与股数须成对填写",IF(OR(AND(AM138="",AN138&lt;&gt;""),AND(AM138&lt;&gt;"",AN138="")),"违规：第三批价格与股数须成对填写",IF(AND(OR(AM138&lt;&gt;"",AN138&lt;&gt;""),OR(AK138="",AL138="")),"违规：必须先完成第二批",IF(OR(H138&lt;=0,H138&lt;&gt;INT(H138),MOD(H138,100)&lt;&gt;0,AND(AL138&lt;&gt;"",OR(AL138&lt;=0,AL138&lt;&gt;INT(AL138),MOD(AL138,100)&lt;&gt;0)),AND(AN138&lt;&gt;"",OR(AN138&lt;=0,AN138&lt;&gt;INT(AN138),MOD(AN138,100)&lt;&gt;0))),"违规：股数须为100股整数倍",IF(AND(OR(AL138&lt;&gt;"",AN138&lt;&gt;""),OR(_LockStatus="已锁仓",_LockStatus="解锁信息不完整")),"违规：锁仓期间禁止加仓",IF(AQ138&gt;C138*D138,"违规：超过单笔风险上限",IF(SUM($AQ$2:$AQ$201)&gt;账户数据!$B$7,"违规：超过账户风险上限","通过")))))))))</f>
        <v/>
      </c>
    </row>
    <row r="139" ht="17" spans="1:44">
      <c r="A139" s="2"/>
      <c r="B139" s="2"/>
      <c r="C139" s="10"/>
      <c r="D139" s="6"/>
      <c r="E139" s="10"/>
      <c r="F139" s="8" t="str">
        <f t="shared" si="48"/>
        <v/>
      </c>
      <c r="G139" s="8" t="str">
        <f ca="1"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COUNTIFS(持仓跟踪!$A$2:$A$497,"止损计划",持仓跟踪!$B$2:$B$497,A139,持仓跟踪!$AC$2:$AC$497,"计划有效")=0,"禁止开仓：请先填写止损计划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9" s="2"/>
      <c r="I139" s="15"/>
      <c r="J139" s="10"/>
      <c r="K139" s="5" t="str">
        <f>IF(A139="","",IFERROR(LOOKUP(2,1/((持仓跟踪!$B$2:$B$497=A139)*(持仓跟踪!$X$2:$X$497="执行卖出")*(持仓跟踪!$Y$2:$Y$497&lt;&gt;"")),持仓跟踪!$Y$2:$Y$497),""))</f>
        <v/>
      </c>
      <c r="L139" s="8" t="str">
        <f>IF(A139="","",IFERROR(LOOKUP(2,1/((持仓跟踪!$B$2:$B$497=A139)*(持仓跟踪!$X$2:$X$497="执行卖出")*(持仓跟踪!$Z$2:$Z$497&lt;&gt;"")),持仓跟踪!$Z$2:$Z$497),""))</f>
        <v/>
      </c>
      <c r="M139" s="23" t="str">
        <f>IF(A139="","",IFERROR(LOOKUP(2,1/((持仓跟踪!$B$2:$B$497=A139)*(持仓跟踪!$X$2:$X$497="执行卖出")*(持仓跟踪!$H$2:$H$497&lt;&gt;"")),持仓跟踪!$H$2:$H$497),""))</f>
        <v/>
      </c>
      <c r="N139" s="10"/>
      <c r="O139" s="10"/>
      <c r="P139" s="5" t="str">
        <f>IF(A139="","",IFERROR(LOOKUP(2,1/((持仓跟踪!$B$2:$B$497=A139)*(持仓跟踪!$X$2:$X$497="执行卖出")*(持仓跟踪!$AA$2:$AA$497&lt;&gt;"")),持仓跟踪!$AA$2:$AA$497),""))</f>
        <v/>
      </c>
      <c r="Q139" s="2"/>
      <c r="R139" s="2"/>
      <c r="S139" s="2"/>
      <c r="T139" s="2"/>
      <c r="U139" s="7" t="str">
        <f t="shared" si="49"/>
        <v/>
      </c>
      <c r="V139" s="7" t="str">
        <f t="shared" si="50"/>
        <v/>
      </c>
      <c r="W139" s="22" t="str">
        <f t="shared" si="51"/>
        <v/>
      </c>
      <c r="X139" s="5" t="str">
        <f t="shared" si="52"/>
        <v/>
      </c>
      <c r="Y139" s="7" t="str">
        <f t="shared" si="53"/>
        <v/>
      </c>
      <c r="Z139" s="7" t="str">
        <f>IF(OR(AE139="",多次统计数据!$B$8=""),"",AE139-多次统计数据!$B$8)</f>
        <v/>
      </c>
      <c r="AA139" s="11" t="str">
        <f t="shared" si="54"/>
        <v/>
      </c>
      <c r="AB139" s="7" t="str">
        <f>IF(OR(A139="",多次统计数据!$B$8="",多次统计数据!$B$6&lt;=0,多次统计数据!$B$6&gt;=1),"",1-POWER(1+多次统计数据!$B$8,-多次统计数据!$B$6/(1-多次统计数据!$B$6)))</f>
        <v/>
      </c>
      <c r="AC139" s="8" t="str">
        <f>IF(OR(AB139="",多次统计数据!$B$9=""),"",IF(多次统计数据!$B$9&lt;AB139,"低于上限","达到或超过上限"))</f>
        <v/>
      </c>
      <c r="AD139" s="2"/>
      <c r="AE139" s="7" t="str">
        <f t="shared" si="55"/>
        <v/>
      </c>
      <c r="AG139" s="2"/>
      <c r="AH139" s="2"/>
      <c r="AI139" s="2"/>
      <c r="AJ139" s="8" t="str">
        <f t="shared" si="56"/>
        <v/>
      </c>
      <c r="AK139" s="10"/>
      <c r="AL139" s="12"/>
      <c r="AM139" s="10"/>
      <c r="AN139" s="12"/>
      <c r="AO139" s="5" t="str">
        <f t="shared" si="57"/>
        <v/>
      </c>
      <c r="AP139" s="11" t="str">
        <f t="shared" si="58"/>
        <v/>
      </c>
      <c r="AQ139" s="5" t="str">
        <f>IF(A139="","",IF(M139&lt;&gt;"",0,IF(OR(H139="",N139=""),"",MAX(E139-MAX(N139,IFERROR(SUMPRODUCT(MAX(((持仓跟踪!$A$2:$A$497="每日跟踪")*(持仓跟踪!$B$2:$B$497=A139))*持仓跟踪!$S$2:$S$497)),0)),0)*H139+IF(OR(AK139="",AL139=""),0,MAX(AK139-MAX(N139,IFERROR(SUMPRODUCT(MAX(((持仓跟踪!$A$2:$A$497="每日跟踪")*(持仓跟踪!$B$2:$B$497=A139))*持仓跟踪!$S$2:$S$497)),0)),0)*AL139)+IF(OR(AM139="",AN139=""),0,MAX(AM139-MAX(N139,IFERROR(SUMPRODUCT(MAX(((持仓跟踪!$A$2:$A$497="每日跟踪")*(持仓跟踪!$B$2:$B$497=A139))*持仓跟踪!$S$2:$S$497)),0)),0)*AN139))))</f>
        <v/>
      </c>
      <c r="AR139" s="8" t="str">
        <f ca="1">IF(A139="","",IF(OR(E139="",H139=""),"违规：第一批价格或股数缺失",IF(OR(AND(AK139="",AL139&lt;&gt;""),AND(AK139&lt;&gt;"",AL139="")),"违规：第二批价格与股数须成对填写",IF(OR(AND(AM139="",AN139&lt;&gt;""),AND(AM139&lt;&gt;"",AN139="")),"违规：第三批价格与股数须成对填写",IF(AND(OR(AM139&lt;&gt;"",AN139&lt;&gt;""),OR(AK139="",AL139="")),"违规：必须先完成第二批",IF(OR(H139&lt;=0,H139&lt;&gt;INT(H139),MOD(H139,100)&lt;&gt;0,AND(AL139&lt;&gt;"",OR(AL139&lt;=0,AL139&lt;&gt;INT(AL139),MOD(AL139,100)&lt;&gt;0)),AND(AN139&lt;&gt;"",OR(AN139&lt;=0,AN139&lt;&gt;INT(AN139),MOD(AN139,100)&lt;&gt;0))),"违规：股数须为100股整数倍",IF(AND(OR(AL139&lt;&gt;"",AN139&lt;&gt;""),OR(_LockStatus="已锁仓",_LockStatus="解锁信息不完整")),"违规：锁仓期间禁止加仓",IF(AQ139&gt;C139*D139,"违规：超过单笔风险上限",IF(SUM($AQ$2:$AQ$201)&gt;账户数据!$B$7,"违规：超过账户风险上限","通过")))))))))</f>
        <v/>
      </c>
    </row>
    <row r="140" ht="17" spans="1:44">
      <c r="A140" s="2"/>
      <c r="B140" s="2"/>
      <c r="C140" s="10"/>
      <c r="D140" s="6"/>
      <c r="E140" s="10"/>
      <c r="F140" s="8" t="str">
        <f t="shared" si="48"/>
        <v/>
      </c>
      <c r="G140" s="8" t="str">
        <f ca="1"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COUNTIFS(持仓跟踪!$A$2:$A$497,"止损计划",持仓跟踪!$B$2:$B$497,A140,持仓跟踪!$AC$2:$AC$497,"计划有效")=0,"禁止开仓：请先填写止损计划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0" s="2"/>
      <c r="I140" s="15"/>
      <c r="J140" s="10"/>
      <c r="K140" s="5" t="str">
        <f>IF(A140="","",IFERROR(LOOKUP(2,1/((持仓跟踪!$B$2:$B$497=A140)*(持仓跟踪!$X$2:$X$497="执行卖出")*(持仓跟踪!$Y$2:$Y$497&lt;&gt;"")),持仓跟踪!$Y$2:$Y$497),""))</f>
        <v/>
      </c>
      <c r="L140" s="8" t="str">
        <f>IF(A140="","",IFERROR(LOOKUP(2,1/((持仓跟踪!$B$2:$B$497=A140)*(持仓跟踪!$X$2:$X$497="执行卖出")*(持仓跟踪!$Z$2:$Z$497&lt;&gt;"")),持仓跟踪!$Z$2:$Z$497),""))</f>
        <v/>
      </c>
      <c r="M140" s="23" t="str">
        <f>IF(A140="","",IFERROR(LOOKUP(2,1/((持仓跟踪!$B$2:$B$497=A140)*(持仓跟踪!$X$2:$X$497="执行卖出")*(持仓跟踪!$H$2:$H$497&lt;&gt;"")),持仓跟踪!$H$2:$H$497),""))</f>
        <v/>
      </c>
      <c r="N140" s="10"/>
      <c r="O140" s="10"/>
      <c r="P140" s="5" t="str">
        <f>IF(A140="","",IFERROR(LOOKUP(2,1/((持仓跟踪!$B$2:$B$497=A140)*(持仓跟踪!$X$2:$X$497="执行卖出")*(持仓跟踪!$AA$2:$AA$497&lt;&gt;"")),持仓跟踪!$AA$2:$AA$497),""))</f>
        <v/>
      </c>
      <c r="Q140" s="2"/>
      <c r="R140" s="2"/>
      <c r="S140" s="2"/>
      <c r="T140" s="2"/>
      <c r="U140" s="7" t="str">
        <f t="shared" si="49"/>
        <v/>
      </c>
      <c r="V140" s="7" t="str">
        <f t="shared" si="50"/>
        <v/>
      </c>
      <c r="W140" s="22" t="str">
        <f t="shared" si="51"/>
        <v/>
      </c>
      <c r="X140" s="5" t="str">
        <f t="shared" si="52"/>
        <v/>
      </c>
      <c r="Y140" s="7" t="str">
        <f t="shared" si="53"/>
        <v/>
      </c>
      <c r="Z140" s="7" t="str">
        <f>IF(OR(AE140="",多次统计数据!$B$8=""),"",AE140-多次统计数据!$B$8)</f>
        <v/>
      </c>
      <c r="AA140" s="11" t="str">
        <f t="shared" si="54"/>
        <v/>
      </c>
      <c r="AB140" s="7" t="str">
        <f>IF(OR(A140="",多次统计数据!$B$8="",多次统计数据!$B$6&lt;=0,多次统计数据!$B$6&gt;=1),"",1-POWER(1+多次统计数据!$B$8,-多次统计数据!$B$6/(1-多次统计数据!$B$6)))</f>
        <v/>
      </c>
      <c r="AC140" s="8" t="str">
        <f>IF(OR(AB140="",多次统计数据!$B$9=""),"",IF(多次统计数据!$B$9&lt;AB140,"低于上限","达到或超过上限"))</f>
        <v/>
      </c>
      <c r="AD140" s="2"/>
      <c r="AE140" s="7" t="str">
        <f t="shared" si="55"/>
        <v/>
      </c>
      <c r="AG140" s="2"/>
      <c r="AH140" s="2"/>
      <c r="AI140" s="2"/>
      <c r="AJ140" s="8" t="str">
        <f t="shared" si="56"/>
        <v/>
      </c>
      <c r="AK140" s="10"/>
      <c r="AL140" s="12"/>
      <c r="AM140" s="10"/>
      <c r="AN140" s="12"/>
      <c r="AO140" s="5" t="str">
        <f t="shared" si="57"/>
        <v/>
      </c>
      <c r="AP140" s="11" t="str">
        <f t="shared" si="58"/>
        <v/>
      </c>
      <c r="AQ140" s="5" t="str">
        <f>IF(A140="","",IF(M140&lt;&gt;"",0,IF(OR(H140="",N140=""),"",MAX(E140-MAX(N140,IFERROR(SUMPRODUCT(MAX(((持仓跟踪!$A$2:$A$497="每日跟踪")*(持仓跟踪!$B$2:$B$497=A140))*持仓跟踪!$S$2:$S$497)),0)),0)*H140+IF(OR(AK140="",AL140=""),0,MAX(AK140-MAX(N140,IFERROR(SUMPRODUCT(MAX(((持仓跟踪!$A$2:$A$497="每日跟踪")*(持仓跟踪!$B$2:$B$497=A140))*持仓跟踪!$S$2:$S$497)),0)),0)*AL140)+IF(OR(AM140="",AN140=""),0,MAX(AM140-MAX(N140,IFERROR(SUMPRODUCT(MAX(((持仓跟踪!$A$2:$A$497="每日跟踪")*(持仓跟踪!$B$2:$B$497=A140))*持仓跟踪!$S$2:$S$497)),0)),0)*AN140))))</f>
        <v/>
      </c>
      <c r="AR140" s="8" t="str">
        <f ca="1">IF(A140="","",IF(OR(E140="",H140=""),"违规：第一批价格或股数缺失",IF(OR(AND(AK140="",AL140&lt;&gt;""),AND(AK140&lt;&gt;"",AL140="")),"违规：第二批价格与股数须成对填写",IF(OR(AND(AM140="",AN140&lt;&gt;""),AND(AM140&lt;&gt;"",AN140="")),"违规：第三批价格与股数须成对填写",IF(AND(OR(AM140&lt;&gt;"",AN140&lt;&gt;""),OR(AK140="",AL140="")),"违规：必须先完成第二批",IF(OR(H140&lt;=0,H140&lt;&gt;INT(H140),MOD(H140,100)&lt;&gt;0,AND(AL140&lt;&gt;"",OR(AL140&lt;=0,AL140&lt;&gt;INT(AL140),MOD(AL140,100)&lt;&gt;0)),AND(AN140&lt;&gt;"",OR(AN140&lt;=0,AN140&lt;&gt;INT(AN140),MOD(AN140,100)&lt;&gt;0))),"违规：股数须为100股整数倍",IF(AND(OR(AL140&lt;&gt;"",AN140&lt;&gt;""),OR(_LockStatus="已锁仓",_LockStatus="解锁信息不完整")),"违规：锁仓期间禁止加仓",IF(AQ140&gt;C140*D140,"违规：超过单笔风险上限",IF(SUM($AQ$2:$AQ$201)&gt;账户数据!$B$7,"违规：超过账户风险上限","通过")))))))))</f>
        <v/>
      </c>
    </row>
    <row r="141" ht="17" spans="1:44">
      <c r="A141" s="2"/>
      <c r="B141" s="2"/>
      <c r="C141" s="10"/>
      <c r="D141" s="6"/>
      <c r="E141" s="10"/>
      <c r="F141" s="8" t="str">
        <f t="shared" si="48"/>
        <v/>
      </c>
      <c r="G141" s="8" t="str">
        <f ca="1"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COUNTIFS(持仓跟踪!$A$2:$A$497,"止损计划",持仓跟踪!$B$2:$B$497,A141,持仓跟踪!$AC$2:$AC$497,"计划有效")=0,"禁止开仓：请先填写止损计划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1" s="2"/>
      <c r="I141" s="15"/>
      <c r="J141" s="10"/>
      <c r="K141" s="5" t="str">
        <f>IF(A141="","",IFERROR(LOOKUP(2,1/((持仓跟踪!$B$2:$B$497=A141)*(持仓跟踪!$X$2:$X$497="执行卖出")*(持仓跟踪!$Y$2:$Y$497&lt;&gt;"")),持仓跟踪!$Y$2:$Y$497),""))</f>
        <v/>
      </c>
      <c r="L141" s="8" t="str">
        <f>IF(A141="","",IFERROR(LOOKUP(2,1/((持仓跟踪!$B$2:$B$497=A141)*(持仓跟踪!$X$2:$X$497="执行卖出")*(持仓跟踪!$Z$2:$Z$497&lt;&gt;"")),持仓跟踪!$Z$2:$Z$497),""))</f>
        <v/>
      </c>
      <c r="M141" s="23" t="str">
        <f>IF(A141="","",IFERROR(LOOKUP(2,1/((持仓跟踪!$B$2:$B$497=A141)*(持仓跟踪!$X$2:$X$497="执行卖出")*(持仓跟踪!$H$2:$H$497&lt;&gt;"")),持仓跟踪!$H$2:$H$497),""))</f>
        <v/>
      </c>
      <c r="N141" s="10"/>
      <c r="O141" s="10"/>
      <c r="P141" s="5" t="str">
        <f>IF(A141="","",IFERROR(LOOKUP(2,1/((持仓跟踪!$B$2:$B$497=A141)*(持仓跟踪!$X$2:$X$497="执行卖出")*(持仓跟踪!$AA$2:$AA$497&lt;&gt;"")),持仓跟踪!$AA$2:$AA$497),""))</f>
        <v/>
      </c>
      <c r="Q141" s="2"/>
      <c r="R141" s="2"/>
      <c r="S141" s="2"/>
      <c r="T141" s="2"/>
      <c r="U141" s="7" t="str">
        <f t="shared" si="49"/>
        <v/>
      </c>
      <c r="V141" s="7" t="str">
        <f t="shared" si="50"/>
        <v/>
      </c>
      <c r="W141" s="22" t="str">
        <f t="shared" si="51"/>
        <v/>
      </c>
      <c r="X141" s="5" t="str">
        <f t="shared" si="52"/>
        <v/>
      </c>
      <c r="Y141" s="7" t="str">
        <f t="shared" si="53"/>
        <v/>
      </c>
      <c r="Z141" s="7" t="str">
        <f>IF(OR(AE141="",多次统计数据!$B$8=""),"",AE141-多次统计数据!$B$8)</f>
        <v/>
      </c>
      <c r="AA141" s="11" t="str">
        <f t="shared" si="54"/>
        <v/>
      </c>
      <c r="AB141" s="7" t="str">
        <f>IF(OR(A141="",多次统计数据!$B$8="",多次统计数据!$B$6&lt;=0,多次统计数据!$B$6&gt;=1),"",1-POWER(1+多次统计数据!$B$8,-多次统计数据!$B$6/(1-多次统计数据!$B$6)))</f>
        <v/>
      </c>
      <c r="AC141" s="8" t="str">
        <f>IF(OR(AB141="",多次统计数据!$B$9=""),"",IF(多次统计数据!$B$9&lt;AB141,"低于上限","达到或超过上限"))</f>
        <v/>
      </c>
      <c r="AD141" s="2"/>
      <c r="AE141" s="7" t="str">
        <f t="shared" si="55"/>
        <v/>
      </c>
      <c r="AG141" s="2"/>
      <c r="AH141" s="2"/>
      <c r="AI141" s="2"/>
      <c r="AJ141" s="8" t="str">
        <f t="shared" si="56"/>
        <v/>
      </c>
      <c r="AK141" s="10"/>
      <c r="AL141" s="12"/>
      <c r="AM141" s="10"/>
      <c r="AN141" s="12"/>
      <c r="AO141" s="5" t="str">
        <f t="shared" si="57"/>
        <v/>
      </c>
      <c r="AP141" s="11" t="str">
        <f t="shared" si="58"/>
        <v/>
      </c>
      <c r="AQ141" s="5" t="str">
        <f>IF(A141="","",IF(M141&lt;&gt;"",0,IF(OR(H141="",N141=""),"",MAX(E141-MAX(N141,IFERROR(SUMPRODUCT(MAX(((持仓跟踪!$A$2:$A$497="每日跟踪")*(持仓跟踪!$B$2:$B$497=A141))*持仓跟踪!$S$2:$S$497)),0)),0)*H141+IF(OR(AK141="",AL141=""),0,MAX(AK141-MAX(N141,IFERROR(SUMPRODUCT(MAX(((持仓跟踪!$A$2:$A$497="每日跟踪")*(持仓跟踪!$B$2:$B$497=A141))*持仓跟踪!$S$2:$S$497)),0)),0)*AL141)+IF(OR(AM141="",AN141=""),0,MAX(AM141-MAX(N141,IFERROR(SUMPRODUCT(MAX(((持仓跟踪!$A$2:$A$497="每日跟踪")*(持仓跟踪!$B$2:$B$497=A141))*持仓跟踪!$S$2:$S$497)),0)),0)*AN141))))</f>
        <v/>
      </c>
      <c r="AR141" s="8" t="str">
        <f ca="1">IF(A141="","",IF(OR(E141="",H141=""),"违规：第一批价格或股数缺失",IF(OR(AND(AK141="",AL141&lt;&gt;""),AND(AK141&lt;&gt;"",AL141="")),"违规：第二批价格与股数须成对填写",IF(OR(AND(AM141="",AN141&lt;&gt;""),AND(AM141&lt;&gt;"",AN141="")),"违规：第三批价格与股数须成对填写",IF(AND(OR(AM141&lt;&gt;"",AN141&lt;&gt;""),OR(AK141="",AL141="")),"违规：必须先完成第二批",IF(OR(H141&lt;=0,H141&lt;&gt;INT(H141),MOD(H141,100)&lt;&gt;0,AND(AL141&lt;&gt;"",OR(AL141&lt;=0,AL141&lt;&gt;INT(AL141),MOD(AL141,100)&lt;&gt;0)),AND(AN141&lt;&gt;"",OR(AN141&lt;=0,AN141&lt;&gt;INT(AN141),MOD(AN141,100)&lt;&gt;0))),"违规：股数须为100股整数倍",IF(AND(OR(AL141&lt;&gt;"",AN141&lt;&gt;""),OR(_LockStatus="已锁仓",_LockStatus="解锁信息不完整")),"违规：锁仓期间禁止加仓",IF(AQ141&gt;C141*D141,"违规：超过单笔风险上限",IF(SUM($AQ$2:$AQ$201)&gt;账户数据!$B$7,"违规：超过账户风险上限","通过")))))))))</f>
        <v/>
      </c>
    </row>
    <row r="142" ht="17" spans="1:44">
      <c r="A142" s="2"/>
      <c r="B142" s="2"/>
      <c r="C142" s="10"/>
      <c r="D142" s="6"/>
      <c r="E142" s="10"/>
      <c r="F142" s="8" t="str">
        <f t="shared" si="48"/>
        <v/>
      </c>
      <c r="G142" s="8" t="str">
        <f ca="1"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COUNTIFS(持仓跟踪!$A$2:$A$497,"止损计划",持仓跟踪!$B$2:$B$497,A142,持仓跟踪!$AC$2:$AC$497,"计划有效")=0,"禁止开仓：请先填写止损计划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2" s="2"/>
      <c r="I142" s="15"/>
      <c r="J142" s="10"/>
      <c r="K142" s="5" t="str">
        <f>IF(A142="","",IFERROR(LOOKUP(2,1/((持仓跟踪!$B$2:$B$497=A142)*(持仓跟踪!$X$2:$X$497="执行卖出")*(持仓跟踪!$Y$2:$Y$497&lt;&gt;"")),持仓跟踪!$Y$2:$Y$497),""))</f>
        <v/>
      </c>
      <c r="L142" s="8" t="str">
        <f>IF(A142="","",IFERROR(LOOKUP(2,1/((持仓跟踪!$B$2:$B$497=A142)*(持仓跟踪!$X$2:$X$497="执行卖出")*(持仓跟踪!$Z$2:$Z$497&lt;&gt;"")),持仓跟踪!$Z$2:$Z$497),""))</f>
        <v/>
      </c>
      <c r="M142" s="23" t="str">
        <f>IF(A142="","",IFERROR(LOOKUP(2,1/((持仓跟踪!$B$2:$B$497=A142)*(持仓跟踪!$X$2:$X$497="执行卖出")*(持仓跟踪!$H$2:$H$497&lt;&gt;"")),持仓跟踪!$H$2:$H$497),""))</f>
        <v/>
      </c>
      <c r="N142" s="10"/>
      <c r="O142" s="10"/>
      <c r="P142" s="5" t="str">
        <f>IF(A142="","",IFERROR(LOOKUP(2,1/((持仓跟踪!$B$2:$B$497=A142)*(持仓跟踪!$X$2:$X$497="执行卖出")*(持仓跟踪!$AA$2:$AA$497&lt;&gt;"")),持仓跟踪!$AA$2:$AA$497),""))</f>
        <v/>
      </c>
      <c r="Q142" s="2"/>
      <c r="R142" s="2"/>
      <c r="S142" s="2"/>
      <c r="T142" s="2"/>
      <c r="U142" s="7" t="str">
        <f t="shared" si="49"/>
        <v/>
      </c>
      <c r="V142" s="7" t="str">
        <f t="shared" si="50"/>
        <v/>
      </c>
      <c r="W142" s="22" t="str">
        <f t="shared" si="51"/>
        <v/>
      </c>
      <c r="X142" s="5" t="str">
        <f t="shared" si="52"/>
        <v/>
      </c>
      <c r="Y142" s="7" t="str">
        <f t="shared" si="53"/>
        <v/>
      </c>
      <c r="Z142" s="7" t="str">
        <f>IF(OR(AE142="",多次统计数据!$B$8=""),"",AE142-多次统计数据!$B$8)</f>
        <v/>
      </c>
      <c r="AA142" s="11" t="str">
        <f t="shared" si="54"/>
        <v/>
      </c>
      <c r="AB142" s="7" t="str">
        <f>IF(OR(A142="",多次统计数据!$B$8="",多次统计数据!$B$6&lt;=0,多次统计数据!$B$6&gt;=1),"",1-POWER(1+多次统计数据!$B$8,-多次统计数据!$B$6/(1-多次统计数据!$B$6)))</f>
        <v/>
      </c>
      <c r="AC142" s="8" t="str">
        <f>IF(OR(AB142="",多次统计数据!$B$9=""),"",IF(多次统计数据!$B$9&lt;AB142,"低于上限","达到或超过上限"))</f>
        <v/>
      </c>
      <c r="AD142" s="2"/>
      <c r="AE142" s="7" t="str">
        <f t="shared" si="55"/>
        <v/>
      </c>
      <c r="AG142" s="2"/>
      <c r="AH142" s="2"/>
      <c r="AI142" s="2"/>
      <c r="AJ142" s="8" t="str">
        <f t="shared" si="56"/>
        <v/>
      </c>
      <c r="AK142" s="10"/>
      <c r="AL142" s="12"/>
      <c r="AM142" s="10"/>
      <c r="AN142" s="12"/>
      <c r="AO142" s="5" t="str">
        <f t="shared" si="57"/>
        <v/>
      </c>
      <c r="AP142" s="11" t="str">
        <f t="shared" si="58"/>
        <v/>
      </c>
      <c r="AQ142" s="5" t="str">
        <f>IF(A142="","",IF(M142&lt;&gt;"",0,IF(OR(H142="",N142=""),"",MAX(E142-MAX(N142,IFERROR(SUMPRODUCT(MAX(((持仓跟踪!$A$2:$A$497="每日跟踪")*(持仓跟踪!$B$2:$B$497=A142))*持仓跟踪!$S$2:$S$497)),0)),0)*H142+IF(OR(AK142="",AL142=""),0,MAX(AK142-MAX(N142,IFERROR(SUMPRODUCT(MAX(((持仓跟踪!$A$2:$A$497="每日跟踪")*(持仓跟踪!$B$2:$B$497=A142))*持仓跟踪!$S$2:$S$497)),0)),0)*AL142)+IF(OR(AM142="",AN142=""),0,MAX(AM142-MAX(N142,IFERROR(SUMPRODUCT(MAX(((持仓跟踪!$A$2:$A$497="每日跟踪")*(持仓跟踪!$B$2:$B$497=A142))*持仓跟踪!$S$2:$S$497)),0)),0)*AN142))))</f>
        <v/>
      </c>
      <c r="AR142" s="8" t="str">
        <f ca="1">IF(A142="","",IF(OR(E142="",H142=""),"违规：第一批价格或股数缺失",IF(OR(AND(AK142="",AL142&lt;&gt;""),AND(AK142&lt;&gt;"",AL142="")),"违规：第二批价格与股数须成对填写",IF(OR(AND(AM142="",AN142&lt;&gt;""),AND(AM142&lt;&gt;"",AN142="")),"违规：第三批价格与股数须成对填写",IF(AND(OR(AM142&lt;&gt;"",AN142&lt;&gt;""),OR(AK142="",AL142="")),"违规：必须先完成第二批",IF(OR(H142&lt;=0,H142&lt;&gt;INT(H142),MOD(H142,100)&lt;&gt;0,AND(AL142&lt;&gt;"",OR(AL142&lt;=0,AL142&lt;&gt;INT(AL142),MOD(AL142,100)&lt;&gt;0)),AND(AN142&lt;&gt;"",OR(AN142&lt;=0,AN142&lt;&gt;INT(AN142),MOD(AN142,100)&lt;&gt;0))),"违规：股数须为100股整数倍",IF(AND(OR(AL142&lt;&gt;"",AN142&lt;&gt;""),OR(_LockStatus="已锁仓",_LockStatus="解锁信息不完整")),"违规：锁仓期间禁止加仓",IF(AQ142&gt;C142*D142,"违规：超过单笔风险上限",IF(SUM($AQ$2:$AQ$201)&gt;账户数据!$B$7,"违规：超过账户风险上限","通过")))))))))</f>
        <v/>
      </c>
    </row>
    <row r="143" ht="17" spans="1:44">
      <c r="A143" s="2"/>
      <c r="B143" s="2"/>
      <c r="C143" s="10"/>
      <c r="D143" s="6"/>
      <c r="E143" s="10"/>
      <c r="F143" s="8" t="str">
        <f t="shared" si="48"/>
        <v/>
      </c>
      <c r="G143" s="8" t="str">
        <f ca="1"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COUNTIFS(持仓跟踪!$A$2:$A$497,"止损计划",持仓跟踪!$B$2:$B$497,A143,持仓跟踪!$AC$2:$AC$497,"计划有效")=0,"禁止开仓：请先填写止损计划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3" s="2"/>
      <c r="I143" s="15"/>
      <c r="J143" s="10"/>
      <c r="K143" s="5" t="str">
        <f>IF(A143="","",IFERROR(LOOKUP(2,1/((持仓跟踪!$B$2:$B$497=A143)*(持仓跟踪!$X$2:$X$497="执行卖出")*(持仓跟踪!$Y$2:$Y$497&lt;&gt;"")),持仓跟踪!$Y$2:$Y$497),""))</f>
        <v/>
      </c>
      <c r="L143" s="8" t="str">
        <f>IF(A143="","",IFERROR(LOOKUP(2,1/((持仓跟踪!$B$2:$B$497=A143)*(持仓跟踪!$X$2:$X$497="执行卖出")*(持仓跟踪!$Z$2:$Z$497&lt;&gt;"")),持仓跟踪!$Z$2:$Z$497),""))</f>
        <v/>
      </c>
      <c r="M143" s="23" t="str">
        <f>IF(A143="","",IFERROR(LOOKUP(2,1/((持仓跟踪!$B$2:$B$497=A143)*(持仓跟踪!$X$2:$X$497="执行卖出")*(持仓跟踪!$H$2:$H$497&lt;&gt;"")),持仓跟踪!$H$2:$H$497),""))</f>
        <v/>
      </c>
      <c r="N143" s="10"/>
      <c r="O143" s="10"/>
      <c r="P143" s="5" t="str">
        <f>IF(A143="","",IFERROR(LOOKUP(2,1/((持仓跟踪!$B$2:$B$497=A143)*(持仓跟踪!$X$2:$X$497="执行卖出")*(持仓跟踪!$AA$2:$AA$497&lt;&gt;"")),持仓跟踪!$AA$2:$AA$497),""))</f>
        <v/>
      </c>
      <c r="Q143" s="2"/>
      <c r="R143" s="2"/>
      <c r="S143" s="2"/>
      <c r="T143" s="2"/>
      <c r="U143" s="7" t="str">
        <f t="shared" si="49"/>
        <v/>
      </c>
      <c r="V143" s="7" t="str">
        <f t="shared" si="50"/>
        <v/>
      </c>
      <c r="W143" s="22" t="str">
        <f t="shared" si="51"/>
        <v/>
      </c>
      <c r="X143" s="5" t="str">
        <f t="shared" si="52"/>
        <v/>
      </c>
      <c r="Y143" s="7" t="str">
        <f t="shared" si="53"/>
        <v/>
      </c>
      <c r="Z143" s="7" t="str">
        <f>IF(OR(AE143="",多次统计数据!$B$8=""),"",AE143-多次统计数据!$B$8)</f>
        <v/>
      </c>
      <c r="AA143" s="11" t="str">
        <f t="shared" si="54"/>
        <v/>
      </c>
      <c r="AB143" s="7" t="str">
        <f>IF(OR(A143="",多次统计数据!$B$8="",多次统计数据!$B$6&lt;=0,多次统计数据!$B$6&gt;=1),"",1-POWER(1+多次统计数据!$B$8,-多次统计数据!$B$6/(1-多次统计数据!$B$6)))</f>
        <v/>
      </c>
      <c r="AC143" s="8" t="str">
        <f>IF(OR(AB143="",多次统计数据!$B$9=""),"",IF(多次统计数据!$B$9&lt;AB143,"低于上限","达到或超过上限"))</f>
        <v/>
      </c>
      <c r="AD143" s="2"/>
      <c r="AE143" s="7" t="str">
        <f t="shared" si="55"/>
        <v/>
      </c>
      <c r="AG143" s="2"/>
      <c r="AH143" s="2"/>
      <c r="AI143" s="2"/>
      <c r="AJ143" s="8" t="str">
        <f t="shared" si="56"/>
        <v/>
      </c>
      <c r="AK143" s="10"/>
      <c r="AL143" s="12"/>
      <c r="AM143" s="10"/>
      <c r="AN143" s="12"/>
      <c r="AO143" s="5" t="str">
        <f t="shared" si="57"/>
        <v/>
      </c>
      <c r="AP143" s="11" t="str">
        <f t="shared" si="58"/>
        <v/>
      </c>
      <c r="AQ143" s="5" t="str">
        <f>IF(A143="","",IF(M143&lt;&gt;"",0,IF(OR(H143="",N143=""),"",MAX(E143-MAX(N143,IFERROR(SUMPRODUCT(MAX(((持仓跟踪!$A$2:$A$497="每日跟踪")*(持仓跟踪!$B$2:$B$497=A143))*持仓跟踪!$S$2:$S$497)),0)),0)*H143+IF(OR(AK143="",AL143=""),0,MAX(AK143-MAX(N143,IFERROR(SUMPRODUCT(MAX(((持仓跟踪!$A$2:$A$497="每日跟踪")*(持仓跟踪!$B$2:$B$497=A143))*持仓跟踪!$S$2:$S$497)),0)),0)*AL143)+IF(OR(AM143="",AN143=""),0,MAX(AM143-MAX(N143,IFERROR(SUMPRODUCT(MAX(((持仓跟踪!$A$2:$A$497="每日跟踪")*(持仓跟踪!$B$2:$B$497=A143))*持仓跟踪!$S$2:$S$497)),0)),0)*AN143))))</f>
        <v/>
      </c>
      <c r="AR143" s="8" t="str">
        <f ca="1">IF(A143="","",IF(OR(E143="",H143=""),"违规：第一批价格或股数缺失",IF(OR(AND(AK143="",AL143&lt;&gt;""),AND(AK143&lt;&gt;"",AL143="")),"违规：第二批价格与股数须成对填写",IF(OR(AND(AM143="",AN143&lt;&gt;""),AND(AM143&lt;&gt;"",AN143="")),"违规：第三批价格与股数须成对填写",IF(AND(OR(AM143&lt;&gt;"",AN143&lt;&gt;""),OR(AK143="",AL143="")),"违规：必须先完成第二批",IF(OR(H143&lt;=0,H143&lt;&gt;INT(H143),MOD(H143,100)&lt;&gt;0,AND(AL143&lt;&gt;"",OR(AL143&lt;=0,AL143&lt;&gt;INT(AL143),MOD(AL143,100)&lt;&gt;0)),AND(AN143&lt;&gt;"",OR(AN143&lt;=0,AN143&lt;&gt;INT(AN143),MOD(AN143,100)&lt;&gt;0))),"违规：股数须为100股整数倍",IF(AND(OR(AL143&lt;&gt;"",AN143&lt;&gt;""),OR(_LockStatus="已锁仓",_LockStatus="解锁信息不完整")),"违规：锁仓期间禁止加仓",IF(AQ143&gt;C143*D143,"违规：超过单笔风险上限",IF(SUM($AQ$2:$AQ$201)&gt;账户数据!$B$7,"违规：超过账户风险上限","通过")))))))))</f>
        <v/>
      </c>
    </row>
    <row r="144" ht="17" spans="1:44">
      <c r="A144" s="2"/>
      <c r="B144" s="2"/>
      <c r="C144" s="10"/>
      <c r="D144" s="6"/>
      <c r="E144" s="10"/>
      <c r="F144" s="8" t="str">
        <f t="shared" si="48"/>
        <v/>
      </c>
      <c r="G144" s="8" t="str">
        <f ca="1"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COUNTIFS(持仓跟踪!$A$2:$A$497,"止损计划",持仓跟踪!$B$2:$B$497,A144,持仓跟踪!$AC$2:$AC$497,"计划有效")=0,"禁止开仓：请先填写止损计划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4" s="2"/>
      <c r="I144" s="15"/>
      <c r="J144" s="10"/>
      <c r="K144" s="5" t="str">
        <f>IF(A144="","",IFERROR(LOOKUP(2,1/((持仓跟踪!$B$2:$B$497=A144)*(持仓跟踪!$X$2:$X$497="执行卖出")*(持仓跟踪!$Y$2:$Y$497&lt;&gt;"")),持仓跟踪!$Y$2:$Y$497),""))</f>
        <v/>
      </c>
      <c r="L144" s="8" t="str">
        <f>IF(A144="","",IFERROR(LOOKUP(2,1/((持仓跟踪!$B$2:$B$497=A144)*(持仓跟踪!$X$2:$X$497="执行卖出")*(持仓跟踪!$Z$2:$Z$497&lt;&gt;"")),持仓跟踪!$Z$2:$Z$497),""))</f>
        <v/>
      </c>
      <c r="M144" s="23" t="str">
        <f>IF(A144="","",IFERROR(LOOKUP(2,1/((持仓跟踪!$B$2:$B$497=A144)*(持仓跟踪!$X$2:$X$497="执行卖出")*(持仓跟踪!$H$2:$H$497&lt;&gt;"")),持仓跟踪!$H$2:$H$497),""))</f>
        <v/>
      </c>
      <c r="N144" s="10"/>
      <c r="O144" s="10"/>
      <c r="P144" s="5" t="str">
        <f>IF(A144="","",IFERROR(LOOKUP(2,1/((持仓跟踪!$B$2:$B$497=A144)*(持仓跟踪!$X$2:$X$497="执行卖出")*(持仓跟踪!$AA$2:$AA$497&lt;&gt;"")),持仓跟踪!$AA$2:$AA$497),""))</f>
        <v/>
      </c>
      <c r="Q144" s="2"/>
      <c r="R144" s="2"/>
      <c r="S144" s="2"/>
      <c r="T144" s="2"/>
      <c r="U144" s="7" t="str">
        <f t="shared" si="49"/>
        <v/>
      </c>
      <c r="V144" s="7" t="str">
        <f t="shared" si="50"/>
        <v/>
      </c>
      <c r="W144" s="22" t="str">
        <f t="shared" si="51"/>
        <v/>
      </c>
      <c r="X144" s="5" t="str">
        <f t="shared" si="52"/>
        <v/>
      </c>
      <c r="Y144" s="7" t="str">
        <f t="shared" si="53"/>
        <v/>
      </c>
      <c r="Z144" s="7" t="str">
        <f>IF(OR(AE144="",多次统计数据!$B$8=""),"",AE144-多次统计数据!$B$8)</f>
        <v/>
      </c>
      <c r="AA144" s="11" t="str">
        <f t="shared" si="54"/>
        <v/>
      </c>
      <c r="AB144" s="7" t="str">
        <f>IF(OR(A144="",多次统计数据!$B$8="",多次统计数据!$B$6&lt;=0,多次统计数据!$B$6&gt;=1),"",1-POWER(1+多次统计数据!$B$8,-多次统计数据!$B$6/(1-多次统计数据!$B$6)))</f>
        <v/>
      </c>
      <c r="AC144" s="8" t="str">
        <f>IF(OR(AB144="",多次统计数据!$B$9=""),"",IF(多次统计数据!$B$9&lt;AB144,"低于上限","达到或超过上限"))</f>
        <v/>
      </c>
      <c r="AD144" s="2"/>
      <c r="AE144" s="7" t="str">
        <f t="shared" si="55"/>
        <v/>
      </c>
      <c r="AG144" s="2"/>
      <c r="AH144" s="2"/>
      <c r="AI144" s="2"/>
      <c r="AJ144" s="8" t="str">
        <f t="shared" si="56"/>
        <v/>
      </c>
      <c r="AK144" s="10"/>
      <c r="AL144" s="12"/>
      <c r="AM144" s="10"/>
      <c r="AN144" s="12"/>
      <c r="AO144" s="5" t="str">
        <f t="shared" si="57"/>
        <v/>
      </c>
      <c r="AP144" s="11" t="str">
        <f t="shared" si="58"/>
        <v/>
      </c>
      <c r="AQ144" s="5" t="str">
        <f>IF(A144="","",IF(M144&lt;&gt;"",0,IF(OR(H144="",N144=""),"",MAX(E144-MAX(N144,IFERROR(SUMPRODUCT(MAX(((持仓跟踪!$A$2:$A$497="每日跟踪")*(持仓跟踪!$B$2:$B$497=A144))*持仓跟踪!$S$2:$S$497)),0)),0)*H144+IF(OR(AK144="",AL144=""),0,MAX(AK144-MAX(N144,IFERROR(SUMPRODUCT(MAX(((持仓跟踪!$A$2:$A$497="每日跟踪")*(持仓跟踪!$B$2:$B$497=A144))*持仓跟踪!$S$2:$S$497)),0)),0)*AL144)+IF(OR(AM144="",AN144=""),0,MAX(AM144-MAX(N144,IFERROR(SUMPRODUCT(MAX(((持仓跟踪!$A$2:$A$497="每日跟踪")*(持仓跟踪!$B$2:$B$497=A144))*持仓跟踪!$S$2:$S$497)),0)),0)*AN144))))</f>
        <v/>
      </c>
      <c r="AR144" s="8" t="str">
        <f ca="1">IF(A144="","",IF(OR(E144="",H144=""),"违规：第一批价格或股数缺失",IF(OR(AND(AK144="",AL144&lt;&gt;""),AND(AK144&lt;&gt;"",AL144="")),"违规：第二批价格与股数须成对填写",IF(OR(AND(AM144="",AN144&lt;&gt;""),AND(AM144&lt;&gt;"",AN144="")),"违规：第三批价格与股数须成对填写",IF(AND(OR(AM144&lt;&gt;"",AN144&lt;&gt;""),OR(AK144="",AL144="")),"违规：必须先完成第二批",IF(OR(H144&lt;=0,H144&lt;&gt;INT(H144),MOD(H144,100)&lt;&gt;0,AND(AL144&lt;&gt;"",OR(AL144&lt;=0,AL144&lt;&gt;INT(AL144),MOD(AL144,100)&lt;&gt;0)),AND(AN144&lt;&gt;"",OR(AN144&lt;=0,AN144&lt;&gt;INT(AN144),MOD(AN144,100)&lt;&gt;0))),"违规：股数须为100股整数倍",IF(AND(OR(AL144&lt;&gt;"",AN144&lt;&gt;""),OR(_LockStatus="已锁仓",_LockStatus="解锁信息不完整")),"违规：锁仓期间禁止加仓",IF(AQ144&gt;C144*D144,"违规：超过单笔风险上限",IF(SUM($AQ$2:$AQ$201)&gt;账户数据!$B$7,"违规：超过账户风险上限","通过")))))))))</f>
        <v/>
      </c>
    </row>
    <row r="145" ht="17" spans="1:44">
      <c r="A145" s="2"/>
      <c r="B145" s="2"/>
      <c r="C145" s="10"/>
      <c r="D145" s="6"/>
      <c r="E145" s="10"/>
      <c r="F145" s="8" t="str">
        <f t="shared" si="48"/>
        <v/>
      </c>
      <c r="G145" s="8" t="str">
        <f ca="1"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COUNTIFS(持仓跟踪!$A$2:$A$497,"止损计划",持仓跟踪!$B$2:$B$497,A145,持仓跟踪!$AC$2:$AC$497,"计划有效")=0,"禁止开仓：请先填写止损计划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5" s="2"/>
      <c r="I145" s="15"/>
      <c r="J145" s="10"/>
      <c r="K145" s="5" t="str">
        <f>IF(A145="","",IFERROR(LOOKUP(2,1/((持仓跟踪!$B$2:$B$497=A145)*(持仓跟踪!$X$2:$X$497="执行卖出")*(持仓跟踪!$Y$2:$Y$497&lt;&gt;"")),持仓跟踪!$Y$2:$Y$497),""))</f>
        <v/>
      </c>
      <c r="L145" s="8" t="str">
        <f>IF(A145="","",IFERROR(LOOKUP(2,1/((持仓跟踪!$B$2:$B$497=A145)*(持仓跟踪!$X$2:$X$497="执行卖出")*(持仓跟踪!$Z$2:$Z$497&lt;&gt;"")),持仓跟踪!$Z$2:$Z$497),""))</f>
        <v/>
      </c>
      <c r="M145" s="23" t="str">
        <f>IF(A145="","",IFERROR(LOOKUP(2,1/((持仓跟踪!$B$2:$B$497=A145)*(持仓跟踪!$X$2:$X$497="执行卖出")*(持仓跟踪!$H$2:$H$497&lt;&gt;"")),持仓跟踪!$H$2:$H$497),""))</f>
        <v/>
      </c>
      <c r="N145" s="10"/>
      <c r="O145" s="10"/>
      <c r="P145" s="5" t="str">
        <f>IF(A145="","",IFERROR(LOOKUP(2,1/((持仓跟踪!$B$2:$B$497=A145)*(持仓跟踪!$X$2:$X$497="执行卖出")*(持仓跟踪!$AA$2:$AA$497&lt;&gt;"")),持仓跟踪!$AA$2:$AA$497),""))</f>
        <v/>
      </c>
      <c r="Q145" s="2"/>
      <c r="R145" s="2"/>
      <c r="S145" s="2"/>
      <c r="T145" s="2"/>
      <c r="U145" s="7" t="str">
        <f t="shared" si="49"/>
        <v/>
      </c>
      <c r="V145" s="7" t="str">
        <f t="shared" si="50"/>
        <v/>
      </c>
      <c r="W145" s="22" t="str">
        <f t="shared" si="51"/>
        <v/>
      </c>
      <c r="X145" s="5" t="str">
        <f t="shared" si="52"/>
        <v/>
      </c>
      <c r="Y145" s="7" t="str">
        <f t="shared" si="53"/>
        <v/>
      </c>
      <c r="Z145" s="7" t="str">
        <f>IF(OR(AE145="",多次统计数据!$B$8=""),"",AE145-多次统计数据!$B$8)</f>
        <v/>
      </c>
      <c r="AA145" s="11" t="str">
        <f t="shared" si="54"/>
        <v/>
      </c>
      <c r="AB145" s="7" t="str">
        <f>IF(OR(A145="",多次统计数据!$B$8="",多次统计数据!$B$6&lt;=0,多次统计数据!$B$6&gt;=1),"",1-POWER(1+多次统计数据!$B$8,-多次统计数据!$B$6/(1-多次统计数据!$B$6)))</f>
        <v/>
      </c>
      <c r="AC145" s="8" t="str">
        <f>IF(OR(AB145="",多次统计数据!$B$9=""),"",IF(多次统计数据!$B$9&lt;AB145,"低于上限","达到或超过上限"))</f>
        <v/>
      </c>
      <c r="AD145" s="2"/>
      <c r="AE145" s="7" t="str">
        <f t="shared" si="55"/>
        <v/>
      </c>
      <c r="AG145" s="2"/>
      <c r="AH145" s="2"/>
      <c r="AI145" s="2"/>
      <c r="AJ145" s="8" t="str">
        <f t="shared" si="56"/>
        <v/>
      </c>
      <c r="AK145" s="10"/>
      <c r="AL145" s="12"/>
      <c r="AM145" s="10"/>
      <c r="AN145" s="12"/>
      <c r="AO145" s="5" t="str">
        <f t="shared" si="57"/>
        <v/>
      </c>
      <c r="AP145" s="11" t="str">
        <f t="shared" si="58"/>
        <v/>
      </c>
      <c r="AQ145" s="5" t="str">
        <f>IF(A145="","",IF(M145&lt;&gt;"",0,IF(OR(H145="",N145=""),"",MAX(E145-MAX(N145,IFERROR(SUMPRODUCT(MAX(((持仓跟踪!$A$2:$A$497="每日跟踪")*(持仓跟踪!$B$2:$B$497=A145))*持仓跟踪!$S$2:$S$497)),0)),0)*H145+IF(OR(AK145="",AL145=""),0,MAX(AK145-MAX(N145,IFERROR(SUMPRODUCT(MAX(((持仓跟踪!$A$2:$A$497="每日跟踪")*(持仓跟踪!$B$2:$B$497=A145))*持仓跟踪!$S$2:$S$497)),0)),0)*AL145)+IF(OR(AM145="",AN145=""),0,MAX(AM145-MAX(N145,IFERROR(SUMPRODUCT(MAX(((持仓跟踪!$A$2:$A$497="每日跟踪")*(持仓跟踪!$B$2:$B$497=A145))*持仓跟踪!$S$2:$S$497)),0)),0)*AN145))))</f>
        <v/>
      </c>
      <c r="AR145" s="8" t="str">
        <f ca="1">IF(A145="","",IF(OR(E145="",H145=""),"违规：第一批价格或股数缺失",IF(OR(AND(AK145="",AL145&lt;&gt;""),AND(AK145&lt;&gt;"",AL145="")),"违规：第二批价格与股数须成对填写",IF(OR(AND(AM145="",AN145&lt;&gt;""),AND(AM145&lt;&gt;"",AN145="")),"违规：第三批价格与股数须成对填写",IF(AND(OR(AM145&lt;&gt;"",AN145&lt;&gt;""),OR(AK145="",AL145="")),"违规：必须先完成第二批",IF(OR(H145&lt;=0,H145&lt;&gt;INT(H145),MOD(H145,100)&lt;&gt;0,AND(AL145&lt;&gt;"",OR(AL145&lt;=0,AL145&lt;&gt;INT(AL145),MOD(AL145,100)&lt;&gt;0)),AND(AN145&lt;&gt;"",OR(AN145&lt;=0,AN145&lt;&gt;INT(AN145),MOD(AN145,100)&lt;&gt;0))),"违规：股数须为100股整数倍",IF(AND(OR(AL145&lt;&gt;"",AN145&lt;&gt;""),OR(_LockStatus="已锁仓",_LockStatus="解锁信息不完整")),"违规：锁仓期间禁止加仓",IF(AQ145&gt;C145*D145,"违规：超过单笔风险上限",IF(SUM($AQ$2:$AQ$201)&gt;账户数据!$B$7,"违规：超过账户风险上限","通过")))))))))</f>
        <v/>
      </c>
    </row>
    <row r="146" ht="17" spans="1:44">
      <c r="A146" s="2"/>
      <c r="B146" s="2"/>
      <c r="C146" s="10"/>
      <c r="D146" s="6"/>
      <c r="E146" s="10"/>
      <c r="F146" s="8" t="str">
        <f t="shared" si="48"/>
        <v/>
      </c>
      <c r="G146" s="8" t="str">
        <f ca="1"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COUNTIFS(持仓跟踪!$A$2:$A$497,"止损计划",持仓跟踪!$B$2:$B$497,A146,持仓跟踪!$AC$2:$AC$497,"计划有效")=0,"禁止开仓：请先填写止损计划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6" s="2"/>
      <c r="I146" s="15"/>
      <c r="J146" s="10"/>
      <c r="K146" s="5" t="str">
        <f>IF(A146="","",IFERROR(LOOKUP(2,1/((持仓跟踪!$B$2:$B$497=A146)*(持仓跟踪!$X$2:$X$497="执行卖出")*(持仓跟踪!$Y$2:$Y$497&lt;&gt;"")),持仓跟踪!$Y$2:$Y$497),""))</f>
        <v/>
      </c>
      <c r="L146" s="8" t="str">
        <f>IF(A146="","",IFERROR(LOOKUP(2,1/((持仓跟踪!$B$2:$B$497=A146)*(持仓跟踪!$X$2:$X$497="执行卖出")*(持仓跟踪!$Z$2:$Z$497&lt;&gt;"")),持仓跟踪!$Z$2:$Z$497),""))</f>
        <v/>
      </c>
      <c r="M146" s="23" t="str">
        <f>IF(A146="","",IFERROR(LOOKUP(2,1/((持仓跟踪!$B$2:$B$497=A146)*(持仓跟踪!$X$2:$X$497="执行卖出")*(持仓跟踪!$H$2:$H$497&lt;&gt;"")),持仓跟踪!$H$2:$H$497),""))</f>
        <v/>
      </c>
      <c r="N146" s="10"/>
      <c r="O146" s="10"/>
      <c r="P146" s="5" t="str">
        <f>IF(A146="","",IFERROR(LOOKUP(2,1/((持仓跟踪!$B$2:$B$497=A146)*(持仓跟踪!$X$2:$X$497="执行卖出")*(持仓跟踪!$AA$2:$AA$497&lt;&gt;"")),持仓跟踪!$AA$2:$AA$497),""))</f>
        <v/>
      </c>
      <c r="Q146" s="2"/>
      <c r="R146" s="2"/>
      <c r="S146" s="2"/>
      <c r="T146" s="2"/>
      <c r="U146" s="7" t="str">
        <f t="shared" si="49"/>
        <v/>
      </c>
      <c r="V146" s="7" t="str">
        <f t="shared" si="50"/>
        <v/>
      </c>
      <c r="W146" s="22" t="str">
        <f t="shared" si="51"/>
        <v/>
      </c>
      <c r="X146" s="5" t="str">
        <f t="shared" si="52"/>
        <v/>
      </c>
      <c r="Y146" s="7" t="str">
        <f t="shared" si="53"/>
        <v/>
      </c>
      <c r="Z146" s="7" t="str">
        <f>IF(OR(AE146="",多次统计数据!$B$8=""),"",AE146-多次统计数据!$B$8)</f>
        <v/>
      </c>
      <c r="AA146" s="11" t="str">
        <f t="shared" si="54"/>
        <v/>
      </c>
      <c r="AB146" s="7" t="str">
        <f>IF(OR(A146="",多次统计数据!$B$8="",多次统计数据!$B$6&lt;=0,多次统计数据!$B$6&gt;=1),"",1-POWER(1+多次统计数据!$B$8,-多次统计数据!$B$6/(1-多次统计数据!$B$6)))</f>
        <v/>
      </c>
      <c r="AC146" s="8" t="str">
        <f>IF(OR(AB146="",多次统计数据!$B$9=""),"",IF(多次统计数据!$B$9&lt;AB146,"低于上限","达到或超过上限"))</f>
        <v/>
      </c>
      <c r="AD146" s="2"/>
      <c r="AE146" s="7" t="str">
        <f t="shared" si="55"/>
        <v/>
      </c>
      <c r="AG146" s="2"/>
      <c r="AH146" s="2"/>
      <c r="AI146" s="2"/>
      <c r="AJ146" s="8" t="str">
        <f t="shared" si="56"/>
        <v/>
      </c>
      <c r="AK146" s="10"/>
      <c r="AL146" s="12"/>
      <c r="AM146" s="10"/>
      <c r="AN146" s="12"/>
      <c r="AO146" s="5" t="str">
        <f t="shared" si="57"/>
        <v/>
      </c>
      <c r="AP146" s="11" t="str">
        <f t="shared" si="58"/>
        <v/>
      </c>
      <c r="AQ146" s="5" t="str">
        <f>IF(A146="","",IF(M146&lt;&gt;"",0,IF(OR(H146="",N146=""),"",MAX(E146-MAX(N146,IFERROR(SUMPRODUCT(MAX(((持仓跟踪!$A$2:$A$497="每日跟踪")*(持仓跟踪!$B$2:$B$497=A146))*持仓跟踪!$S$2:$S$497)),0)),0)*H146+IF(OR(AK146="",AL146=""),0,MAX(AK146-MAX(N146,IFERROR(SUMPRODUCT(MAX(((持仓跟踪!$A$2:$A$497="每日跟踪")*(持仓跟踪!$B$2:$B$497=A146))*持仓跟踪!$S$2:$S$497)),0)),0)*AL146)+IF(OR(AM146="",AN146=""),0,MAX(AM146-MAX(N146,IFERROR(SUMPRODUCT(MAX(((持仓跟踪!$A$2:$A$497="每日跟踪")*(持仓跟踪!$B$2:$B$497=A146))*持仓跟踪!$S$2:$S$497)),0)),0)*AN146))))</f>
        <v/>
      </c>
      <c r="AR146" s="8" t="str">
        <f ca="1">IF(A146="","",IF(OR(E146="",H146=""),"违规：第一批价格或股数缺失",IF(OR(AND(AK146="",AL146&lt;&gt;""),AND(AK146&lt;&gt;"",AL146="")),"违规：第二批价格与股数须成对填写",IF(OR(AND(AM146="",AN146&lt;&gt;""),AND(AM146&lt;&gt;"",AN146="")),"违规：第三批价格与股数须成对填写",IF(AND(OR(AM146&lt;&gt;"",AN146&lt;&gt;""),OR(AK146="",AL146="")),"违规：必须先完成第二批",IF(OR(H146&lt;=0,H146&lt;&gt;INT(H146),MOD(H146,100)&lt;&gt;0,AND(AL146&lt;&gt;"",OR(AL146&lt;=0,AL146&lt;&gt;INT(AL146),MOD(AL146,100)&lt;&gt;0)),AND(AN146&lt;&gt;"",OR(AN146&lt;=0,AN146&lt;&gt;INT(AN146),MOD(AN146,100)&lt;&gt;0))),"违规：股数须为100股整数倍",IF(AND(OR(AL146&lt;&gt;"",AN146&lt;&gt;""),OR(_LockStatus="已锁仓",_LockStatus="解锁信息不完整")),"违规：锁仓期间禁止加仓",IF(AQ146&gt;C146*D146,"违规：超过单笔风险上限",IF(SUM($AQ$2:$AQ$201)&gt;账户数据!$B$7,"违规：超过账户风险上限","通过")))))))))</f>
        <v/>
      </c>
    </row>
    <row r="147" ht="17" spans="1:44">
      <c r="A147" s="2"/>
      <c r="B147" s="2"/>
      <c r="C147" s="10"/>
      <c r="D147" s="6"/>
      <c r="E147" s="10"/>
      <c r="F147" s="8" t="str">
        <f t="shared" si="48"/>
        <v/>
      </c>
      <c r="G147" s="8" t="str">
        <f ca="1"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COUNTIFS(持仓跟踪!$A$2:$A$497,"止损计划",持仓跟踪!$B$2:$B$497,A147,持仓跟踪!$AC$2:$AC$497,"计划有效")=0,"禁止开仓：请先填写止损计划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7" s="2"/>
      <c r="I147" s="15"/>
      <c r="J147" s="10"/>
      <c r="K147" s="5" t="str">
        <f>IF(A147="","",IFERROR(LOOKUP(2,1/((持仓跟踪!$B$2:$B$497=A147)*(持仓跟踪!$X$2:$X$497="执行卖出")*(持仓跟踪!$Y$2:$Y$497&lt;&gt;"")),持仓跟踪!$Y$2:$Y$497),""))</f>
        <v/>
      </c>
      <c r="L147" s="8" t="str">
        <f>IF(A147="","",IFERROR(LOOKUP(2,1/((持仓跟踪!$B$2:$B$497=A147)*(持仓跟踪!$X$2:$X$497="执行卖出")*(持仓跟踪!$Z$2:$Z$497&lt;&gt;"")),持仓跟踪!$Z$2:$Z$497),""))</f>
        <v/>
      </c>
      <c r="M147" s="23" t="str">
        <f>IF(A147="","",IFERROR(LOOKUP(2,1/((持仓跟踪!$B$2:$B$497=A147)*(持仓跟踪!$X$2:$X$497="执行卖出")*(持仓跟踪!$H$2:$H$497&lt;&gt;"")),持仓跟踪!$H$2:$H$497),""))</f>
        <v/>
      </c>
      <c r="N147" s="10"/>
      <c r="O147" s="10"/>
      <c r="P147" s="5" t="str">
        <f>IF(A147="","",IFERROR(LOOKUP(2,1/((持仓跟踪!$B$2:$B$497=A147)*(持仓跟踪!$X$2:$X$497="执行卖出")*(持仓跟踪!$AA$2:$AA$497&lt;&gt;"")),持仓跟踪!$AA$2:$AA$497),""))</f>
        <v/>
      </c>
      <c r="Q147" s="2"/>
      <c r="R147" s="2"/>
      <c r="S147" s="2"/>
      <c r="T147" s="2"/>
      <c r="U147" s="7" t="str">
        <f t="shared" si="49"/>
        <v/>
      </c>
      <c r="V147" s="7" t="str">
        <f t="shared" si="50"/>
        <v/>
      </c>
      <c r="W147" s="22" t="str">
        <f t="shared" si="51"/>
        <v/>
      </c>
      <c r="X147" s="5" t="str">
        <f t="shared" si="52"/>
        <v/>
      </c>
      <c r="Y147" s="7" t="str">
        <f t="shared" si="53"/>
        <v/>
      </c>
      <c r="Z147" s="7" t="str">
        <f>IF(OR(AE147="",多次统计数据!$B$8=""),"",AE147-多次统计数据!$B$8)</f>
        <v/>
      </c>
      <c r="AA147" s="11" t="str">
        <f t="shared" si="54"/>
        <v/>
      </c>
      <c r="AB147" s="7" t="str">
        <f>IF(OR(A147="",多次统计数据!$B$8="",多次统计数据!$B$6&lt;=0,多次统计数据!$B$6&gt;=1),"",1-POWER(1+多次统计数据!$B$8,-多次统计数据!$B$6/(1-多次统计数据!$B$6)))</f>
        <v/>
      </c>
      <c r="AC147" s="8" t="str">
        <f>IF(OR(AB147="",多次统计数据!$B$9=""),"",IF(多次统计数据!$B$9&lt;AB147,"低于上限","达到或超过上限"))</f>
        <v/>
      </c>
      <c r="AD147" s="2"/>
      <c r="AE147" s="7" t="str">
        <f t="shared" si="55"/>
        <v/>
      </c>
      <c r="AG147" s="2"/>
      <c r="AH147" s="2"/>
      <c r="AI147" s="2"/>
      <c r="AJ147" s="8" t="str">
        <f t="shared" si="56"/>
        <v/>
      </c>
      <c r="AK147" s="10"/>
      <c r="AL147" s="12"/>
      <c r="AM147" s="10"/>
      <c r="AN147" s="12"/>
      <c r="AO147" s="5" t="str">
        <f t="shared" si="57"/>
        <v/>
      </c>
      <c r="AP147" s="11" t="str">
        <f t="shared" si="58"/>
        <v/>
      </c>
      <c r="AQ147" s="5" t="str">
        <f>IF(A147="","",IF(M147&lt;&gt;"",0,IF(OR(H147="",N147=""),"",MAX(E147-MAX(N147,IFERROR(SUMPRODUCT(MAX(((持仓跟踪!$A$2:$A$497="每日跟踪")*(持仓跟踪!$B$2:$B$497=A147))*持仓跟踪!$S$2:$S$497)),0)),0)*H147+IF(OR(AK147="",AL147=""),0,MAX(AK147-MAX(N147,IFERROR(SUMPRODUCT(MAX(((持仓跟踪!$A$2:$A$497="每日跟踪")*(持仓跟踪!$B$2:$B$497=A147))*持仓跟踪!$S$2:$S$497)),0)),0)*AL147)+IF(OR(AM147="",AN147=""),0,MAX(AM147-MAX(N147,IFERROR(SUMPRODUCT(MAX(((持仓跟踪!$A$2:$A$497="每日跟踪")*(持仓跟踪!$B$2:$B$497=A147))*持仓跟踪!$S$2:$S$497)),0)),0)*AN147))))</f>
        <v/>
      </c>
      <c r="AR147" s="8" t="str">
        <f ca="1">IF(A147="","",IF(OR(E147="",H147=""),"违规：第一批价格或股数缺失",IF(OR(AND(AK147="",AL147&lt;&gt;""),AND(AK147&lt;&gt;"",AL147="")),"违规：第二批价格与股数须成对填写",IF(OR(AND(AM147="",AN147&lt;&gt;""),AND(AM147&lt;&gt;"",AN147="")),"违规：第三批价格与股数须成对填写",IF(AND(OR(AM147&lt;&gt;"",AN147&lt;&gt;""),OR(AK147="",AL147="")),"违规：必须先完成第二批",IF(OR(H147&lt;=0,H147&lt;&gt;INT(H147),MOD(H147,100)&lt;&gt;0,AND(AL147&lt;&gt;"",OR(AL147&lt;=0,AL147&lt;&gt;INT(AL147),MOD(AL147,100)&lt;&gt;0)),AND(AN147&lt;&gt;"",OR(AN147&lt;=0,AN147&lt;&gt;INT(AN147),MOD(AN147,100)&lt;&gt;0))),"违规：股数须为100股整数倍",IF(AND(OR(AL147&lt;&gt;"",AN147&lt;&gt;""),OR(_LockStatus="已锁仓",_LockStatus="解锁信息不完整")),"违规：锁仓期间禁止加仓",IF(AQ147&gt;C147*D147,"违规：超过单笔风险上限",IF(SUM($AQ$2:$AQ$201)&gt;账户数据!$B$7,"违规：超过账户风险上限","通过")))))))))</f>
        <v/>
      </c>
    </row>
    <row r="148" ht="17" spans="1:44">
      <c r="A148" s="2"/>
      <c r="B148" s="2"/>
      <c r="C148" s="10"/>
      <c r="D148" s="6"/>
      <c r="E148" s="10"/>
      <c r="F148" s="8" t="str">
        <f t="shared" si="48"/>
        <v/>
      </c>
      <c r="G148" s="8" t="str">
        <f ca="1"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COUNTIFS(持仓跟踪!$A$2:$A$497,"止损计划",持仓跟踪!$B$2:$B$497,A148,持仓跟踪!$AC$2:$AC$497,"计划有效")=0,"禁止开仓：请先填写止损计划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8" s="2"/>
      <c r="I148" s="15"/>
      <c r="J148" s="10"/>
      <c r="K148" s="5" t="str">
        <f>IF(A148="","",IFERROR(LOOKUP(2,1/((持仓跟踪!$B$2:$B$497=A148)*(持仓跟踪!$X$2:$X$497="执行卖出")*(持仓跟踪!$Y$2:$Y$497&lt;&gt;"")),持仓跟踪!$Y$2:$Y$497),""))</f>
        <v/>
      </c>
      <c r="L148" s="8" t="str">
        <f>IF(A148="","",IFERROR(LOOKUP(2,1/((持仓跟踪!$B$2:$B$497=A148)*(持仓跟踪!$X$2:$X$497="执行卖出")*(持仓跟踪!$Z$2:$Z$497&lt;&gt;"")),持仓跟踪!$Z$2:$Z$497),""))</f>
        <v/>
      </c>
      <c r="M148" s="23" t="str">
        <f>IF(A148="","",IFERROR(LOOKUP(2,1/((持仓跟踪!$B$2:$B$497=A148)*(持仓跟踪!$X$2:$X$497="执行卖出")*(持仓跟踪!$H$2:$H$497&lt;&gt;"")),持仓跟踪!$H$2:$H$497),""))</f>
        <v/>
      </c>
      <c r="N148" s="10"/>
      <c r="O148" s="10"/>
      <c r="P148" s="5" t="str">
        <f>IF(A148="","",IFERROR(LOOKUP(2,1/((持仓跟踪!$B$2:$B$497=A148)*(持仓跟踪!$X$2:$X$497="执行卖出")*(持仓跟踪!$AA$2:$AA$497&lt;&gt;"")),持仓跟踪!$AA$2:$AA$497),""))</f>
        <v/>
      </c>
      <c r="Q148" s="2"/>
      <c r="R148" s="2"/>
      <c r="S148" s="2"/>
      <c r="T148" s="2"/>
      <c r="U148" s="7" t="str">
        <f t="shared" si="49"/>
        <v/>
      </c>
      <c r="V148" s="7" t="str">
        <f t="shared" si="50"/>
        <v/>
      </c>
      <c r="W148" s="22" t="str">
        <f t="shared" si="51"/>
        <v/>
      </c>
      <c r="X148" s="5" t="str">
        <f t="shared" si="52"/>
        <v/>
      </c>
      <c r="Y148" s="7" t="str">
        <f t="shared" si="53"/>
        <v/>
      </c>
      <c r="Z148" s="7" t="str">
        <f>IF(OR(AE148="",多次统计数据!$B$8=""),"",AE148-多次统计数据!$B$8)</f>
        <v/>
      </c>
      <c r="AA148" s="11" t="str">
        <f t="shared" si="54"/>
        <v/>
      </c>
      <c r="AB148" s="7" t="str">
        <f>IF(OR(A148="",多次统计数据!$B$8="",多次统计数据!$B$6&lt;=0,多次统计数据!$B$6&gt;=1),"",1-POWER(1+多次统计数据!$B$8,-多次统计数据!$B$6/(1-多次统计数据!$B$6)))</f>
        <v/>
      </c>
      <c r="AC148" s="8" t="str">
        <f>IF(OR(AB148="",多次统计数据!$B$9=""),"",IF(多次统计数据!$B$9&lt;AB148,"低于上限","达到或超过上限"))</f>
        <v/>
      </c>
      <c r="AD148" s="2"/>
      <c r="AE148" s="7" t="str">
        <f t="shared" si="55"/>
        <v/>
      </c>
      <c r="AG148" s="2"/>
      <c r="AH148" s="2"/>
      <c r="AI148" s="2"/>
      <c r="AJ148" s="8" t="str">
        <f t="shared" si="56"/>
        <v/>
      </c>
      <c r="AK148" s="10"/>
      <c r="AL148" s="12"/>
      <c r="AM148" s="10"/>
      <c r="AN148" s="12"/>
      <c r="AO148" s="5" t="str">
        <f t="shared" si="57"/>
        <v/>
      </c>
      <c r="AP148" s="11" t="str">
        <f t="shared" si="58"/>
        <v/>
      </c>
      <c r="AQ148" s="5" t="str">
        <f>IF(A148="","",IF(M148&lt;&gt;"",0,IF(OR(H148="",N148=""),"",MAX(E148-MAX(N148,IFERROR(SUMPRODUCT(MAX(((持仓跟踪!$A$2:$A$497="每日跟踪")*(持仓跟踪!$B$2:$B$497=A148))*持仓跟踪!$S$2:$S$497)),0)),0)*H148+IF(OR(AK148="",AL148=""),0,MAX(AK148-MAX(N148,IFERROR(SUMPRODUCT(MAX(((持仓跟踪!$A$2:$A$497="每日跟踪")*(持仓跟踪!$B$2:$B$497=A148))*持仓跟踪!$S$2:$S$497)),0)),0)*AL148)+IF(OR(AM148="",AN148=""),0,MAX(AM148-MAX(N148,IFERROR(SUMPRODUCT(MAX(((持仓跟踪!$A$2:$A$497="每日跟踪")*(持仓跟踪!$B$2:$B$497=A148))*持仓跟踪!$S$2:$S$497)),0)),0)*AN148))))</f>
        <v/>
      </c>
      <c r="AR148" s="8" t="str">
        <f ca="1">IF(A148="","",IF(OR(E148="",H148=""),"违规：第一批价格或股数缺失",IF(OR(AND(AK148="",AL148&lt;&gt;""),AND(AK148&lt;&gt;"",AL148="")),"违规：第二批价格与股数须成对填写",IF(OR(AND(AM148="",AN148&lt;&gt;""),AND(AM148&lt;&gt;"",AN148="")),"违规：第三批价格与股数须成对填写",IF(AND(OR(AM148&lt;&gt;"",AN148&lt;&gt;""),OR(AK148="",AL148="")),"违规：必须先完成第二批",IF(OR(H148&lt;=0,H148&lt;&gt;INT(H148),MOD(H148,100)&lt;&gt;0,AND(AL148&lt;&gt;"",OR(AL148&lt;=0,AL148&lt;&gt;INT(AL148),MOD(AL148,100)&lt;&gt;0)),AND(AN148&lt;&gt;"",OR(AN148&lt;=0,AN148&lt;&gt;INT(AN148),MOD(AN148,100)&lt;&gt;0))),"违规：股数须为100股整数倍",IF(AND(OR(AL148&lt;&gt;"",AN148&lt;&gt;""),OR(_LockStatus="已锁仓",_LockStatus="解锁信息不完整")),"违规：锁仓期间禁止加仓",IF(AQ148&gt;C148*D148,"违规：超过单笔风险上限",IF(SUM($AQ$2:$AQ$201)&gt;账户数据!$B$7,"违规：超过账户风险上限","通过")))))))))</f>
        <v/>
      </c>
    </row>
    <row r="149" ht="17" spans="1:44">
      <c r="A149" s="2"/>
      <c r="B149" s="2"/>
      <c r="C149" s="10"/>
      <c r="D149" s="6"/>
      <c r="E149" s="10"/>
      <c r="F149" s="8" t="str">
        <f t="shared" si="48"/>
        <v/>
      </c>
      <c r="G149" s="8" t="str">
        <f ca="1"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COUNTIFS(持仓跟踪!$A$2:$A$497,"止损计划",持仓跟踪!$B$2:$B$497,A149,持仓跟踪!$AC$2:$AC$497,"计划有效")=0,"禁止开仓：请先填写止损计划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9" s="2"/>
      <c r="I149" s="15"/>
      <c r="J149" s="10"/>
      <c r="K149" s="5" t="str">
        <f>IF(A149="","",IFERROR(LOOKUP(2,1/((持仓跟踪!$B$2:$B$497=A149)*(持仓跟踪!$X$2:$X$497="执行卖出")*(持仓跟踪!$Y$2:$Y$497&lt;&gt;"")),持仓跟踪!$Y$2:$Y$497),""))</f>
        <v/>
      </c>
      <c r="L149" s="8" t="str">
        <f>IF(A149="","",IFERROR(LOOKUP(2,1/((持仓跟踪!$B$2:$B$497=A149)*(持仓跟踪!$X$2:$X$497="执行卖出")*(持仓跟踪!$Z$2:$Z$497&lt;&gt;"")),持仓跟踪!$Z$2:$Z$497),""))</f>
        <v/>
      </c>
      <c r="M149" s="23" t="str">
        <f>IF(A149="","",IFERROR(LOOKUP(2,1/((持仓跟踪!$B$2:$B$497=A149)*(持仓跟踪!$X$2:$X$497="执行卖出")*(持仓跟踪!$H$2:$H$497&lt;&gt;"")),持仓跟踪!$H$2:$H$497),""))</f>
        <v/>
      </c>
      <c r="N149" s="10"/>
      <c r="O149" s="10"/>
      <c r="P149" s="5" t="str">
        <f>IF(A149="","",IFERROR(LOOKUP(2,1/((持仓跟踪!$B$2:$B$497=A149)*(持仓跟踪!$X$2:$X$497="执行卖出")*(持仓跟踪!$AA$2:$AA$497&lt;&gt;"")),持仓跟踪!$AA$2:$AA$497),""))</f>
        <v/>
      </c>
      <c r="Q149" s="2"/>
      <c r="R149" s="2"/>
      <c r="S149" s="2"/>
      <c r="T149" s="2"/>
      <c r="U149" s="7" t="str">
        <f t="shared" si="49"/>
        <v/>
      </c>
      <c r="V149" s="7" t="str">
        <f t="shared" si="50"/>
        <v/>
      </c>
      <c r="W149" s="22" t="str">
        <f t="shared" si="51"/>
        <v/>
      </c>
      <c r="X149" s="5" t="str">
        <f t="shared" si="52"/>
        <v/>
      </c>
      <c r="Y149" s="7" t="str">
        <f t="shared" si="53"/>
        <v/>
      </c>
      <c r="Z149" s="7" t="str">
        <f>IF(OR(AE149="",多次统计数据!$B$8=""),"",AE149-多次统计数据!$B$8)</f>
        <v/>
      </c>
      <c r="AA149" s="11" t="str">
        <f t="shared" si="54"/>
        <v/>
      </c>
      <c r="AB149" s="7" t="str">
        <f>IF(OR(A149="",多次统计数据!$B$8="",多次统计数据!$B$6&lt;=0,多次统计数据!$B$6&gt;=1),"",1-POWER(1+多次统计数据!$B$8,-多次统计数据!$B$6/(1-多次统计数据!$B$6)))</f>
        <v/>
      </c>
      <c r="AC149" s="8" t="str">
        <f>IF(OR(AB149="",多次统计数据!$B$9=""),"",IF(多次统计数据!$B$9&lt;AB149,"低于上限","达到或超过上限"))</f>
        <v/>
      </c>
      <c r="AD149" s="2"/>
      <c r="AE149" s="7" t="str">
        <f t="shared" si="55"/>
        <v/>
      </c>
      <c r="AG149" s="2"/>
      <c r="AH149" s="2"/>
      <c r="AI149" s="2"/>
      <c r="AJ149" s="8" t="str">
        <f t="shared" si="56"/>
        <v/>
      </c>
      <c r="AK149" s="10"/>
      <c r="AL149" s="12"/>
      <c r="AM149" s="10"/>
      <c r="AN149" s="12"/>
      <c r="AO149" s="5" t="str">
        <f t="shared" si="57"/>
        <v/>
      </c>
      <c r="AP149" s="11" t="str">
        <f t="shared" si="58"/>
        <v/>
      </c>
      <c r="AQ149" s="5" t="str">
        <f>IF(A149="","",IF(M149&lt;&gt;"",0,IF(OR(H149="",N149=""),"",MAX(E149-MAX(N149,IFERROR(SUMPRODUCT(MAX(((持仓跟踪!$A$2:$A$497="每日跟踪")*(持仓跟踪!$B$2:$B$497=A149))*持仓跟踪!$S$2:$S$497)),0)),0)*H149+IF(OR(AK149="",AL149=""),0,MAX(AK149-MAX(N149,IFERROR(SUMPRODUCT(MAX(((持仓跟踪!$A$2:$A$497="每日跟踪")*(持仓跟踪!$B$2:$B$497=A149))*持仓跟踪!$S$2:$S$497)),0)),0)*AL149)+IF(OR(AM149="",AN149=""),0,MAX(AM149-MAX(N149,IFERROR(SUMPRODUCT(MAX(((持仓跟踪!$A$2:$A$497="每日跟踪")*(持仓跟踪!$B$2:$B$497=A149))*持仓跟踪!$S$2:$S$497)),0)),0)*AN149))))</f>
        <v/>
      </c>
      <c r="AR149" s="8" t="str">
        <f ca="1">IF(A149="","",IF(OR(E149="",H149=""),"违规：第一批价格或股数缺失",IF(OR(AND(AK149="",AL149&lt;&gt;""),AND(AK149&lt;&gt;"",AL149="")),"违规：第二批价格与股数须成对填写",IF(OR(AND(AM149="",AN149&lt;&gt;""),AND(AM149&lt;&gt;"",AN149="")),"违规：第三批价格与股数须成对填写",IF(AND(OR(AM149&lt;&gt;"",AN149&lt;&gt;""),OR(AK149="",AL149="")),"违规：必须先完成第二批",IF(OR(H149&lt;=0,H149&lt;&gt;INT(H149),MOD(H149,100)&lt;&gt;0,AND(AL149&lt;&gt;"",OR(AL149&lt;=0,AL149&lt;&gt;INT(AL149),MOD(AL149,100)&lt;&gt;0)),AND(AN149&lt;&gt;"",OR(AN149&lt;=0,AN149&lt;&gt;INT(AN149),MOD(AN149,100)&lt;&gt;0))),"违规：股数须为100股整数倍",IF(AND(OR(AL149&lt;&gt;"",AN149&lt;&gt;""),OR(_LockStatus="已锁仓",_LockStatus="解锁信息不完整")),"违规：锁仓期间禁止加仓",IF(AQ149&gt;C149*D149,"违规：超过单笔风险上限",IF(SUM($AQ$2:$AQ$201)&gt;账户数据!$B$7,"违规：超过账户风险上限","通过")))))))))</f>
        <v/>
      </c>
    </row>
    <row r="150" ht="17" spans="1:44">
      <c r="A150" s="2"/>
      <c r="B150" s="2"/>
      <c r="C150" s="10"/>
      <c r="D150" s="6"/>
      <c r="E150" s="10"/>
      <c r="F150" s="8" t="str">
        <f t="shared" si="48"/>
        <v/>
      </c>
      <c r="G150" s="8" t="str">
        <f ca="1"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COUNTIFS(持仓跟踪!$A$2:$A$497,"止损计划",持仓跟踪!$B$2:$B$497,A150,持仓跟踪!$AC$2:$AC$497,"计划有效")=0,"禁止开仓：请先填写止损计划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0" s="2"/>
      <c r="I150" s="15"/>
      <c r="J150" s="10"/>
      <c r="K150" s="5" t="str">
        <f>IF(A150="","",IFERROR(LOOKUP(2,1/((持仓跟踪!$B$2:$B$497=A150)*(持仓跟踪!$X$2:$X$497="执行卖出")*(持仓跟踪!$Y$2:$Y$497&lt;&gt;"")),持仓跟踪!$Y$2:$Y$497),""))</f>
        <v/>
      </c>
      <c r="L150" s="8" t="str">
        <f>IF(A150="","",IFERROR(LOOKUP(2,1/((持仓跟踪!$B$2:$B$497=A150)*(持仓跟踪!$X$2:$X$497="执行卖出")*(持仓跟踪!$Z$2:$Z$497&lt;&gt;"")),持仓跟踪!$Z$2:$Z$497),""))</f>
        <v/>
      </c>
      <c r="M150" s="23" t="str">
        <f>IF(A150="","",IFERROR(LOOKUP(2,1/((持仓跟踪!$B$2:$B$497=A150)*(持仓跟踪!$X$2:$X$497="执行卖出")*(持仓跟踪!$H$2:$H$497&lt;&gt;"")),持仓跟踪!$H$2:$H$497),""))</f>
        <v/>
      </c>
      <c r="N150" s="10"/>
      <c r="O150" s="10"/>
      <c r="P150" s="5" t="str">
        <f>IF(A150="","",IFERROR(LOOKUP(2,1/((持仓跟踪!$B$2:$B$497=A150)*(持仓跟踪!$X$2:$X$497="执行卖出")*(持仓跟踪!$AA$2:$AA$497&lt;&gt;"")),持仓跟踪!$AA$2:$AA$497),""))</f>
        <v/>
      </c>
      <c r="Q150" s="2"/>
      <c r="R150" s="2"/>
      <c r="S150" s="2"/>
      <c r="T150" s="2"/>
      <c r="U150" s="7" t="str">
        <f t="shared" si="49"/>
        <v/>
      </c>
      <c r="V150" s="7" t="str">
        <f t="shared" si="50"/>
        <v/>
      </c>
      <c r="W150" s="22" t="str">
        <f t="shared" si="51"/>
        <v/>
      </c>
      <c r="X150" s="5" t="str">
        <f t="shared" si="52"/>
        <v/>
      </c>
      <c r="Y150" s="7" t="str">
        <f t="shared" si="53"/>
        <v/>
      </c>
      <c r="Z150" s="7" t="str">
        <f>IF(OR(AE150="",多次统计数据!$B$8=""),"",AE150-多次统计数据!$B$8)</f>
        <v/>
      </c>
      <c r="AA150" s="11" t="str">
        <f t="shared" si="54"/>
        <v/>
      </c>
      <c r="AB150" s="7" t="str">
        <f>IF(OR(A150="",多次统计数据!$B$8="",多次统计数据!$B$6&lt;=0,多次统计数据!$B$6&gt;=1),"",1-POWER(1+多次统计数据!$B$8,-多次统计数据!$B$6/(1-多次统计数据!$B$6)))</f>
        <v/>
      </c>
      <c r="AC150" s="8" t="str">
        <f>IF(OR(AB150="",多次统计数据!$B$9=""),"",IF(多次统计数据!$B$9&lt;AB150,"低于上限","达到或超过上限"))</f>
        <v/>
      </c>
      <c r="AD150" s="2"/>
      <c r="AE150" s="7" t="str">
        <f t="shared" si="55"/>
        <v/>
      </c>
      <c r="AG150" s="2"/>
      <c r="AH150" s="2"/>
      <c r="AI150" s="2"/>
      <c r="AJ150" s="8" t="str">
        <f t="shared" si="56"/>
        <v/>
      </c>
      <c r="AK150" s="10"/>
      <c r="AL150" s="12"/>
      <c r="AM150" s="10"/>
      <c r="AN150" s="12"/>
      <c r="AO150" s="5" t="str">
        <f t="shared" si="57"/>
        <v/>
      </c>
      <c r="AP150" s="11" t="str">
        <f t="shared" si="58"/>
        <v/>
      </c>
      <c r="AQ150" s="5" t="str">
        <f>IF(A150="","",IF(M150&lt;&gt;"",0,IF(OR(H150="",N150=""),"",MAX(E150-MAX(N150,IFERROR(SUMPRODUCT(MAX(((持仓跟踪!$A$2:$A$497="每日跟踪")*(持仓跟踪!$B$2:$B$497=A150))*持仓跟踪!$S$2:$S$497)),0)),0)*H150+IF(OR(AK150="",AL150=""),0,MAX(AK150-MAX(N150,IFERROR(SUMPRODUCT(MAX(((持仓跟踪!$A$2:$A$497="每日跟踪")*(持仓跟踪!$B$2:$B$497=A150))*持仓跟踪!$S$2:$S$497)),0)),0)*AL150)+IF(OR(AM150="",AN150=""),0,MAX(AM150-MAX(N150,IFERROR(SUMPRODUCT(MAX(((持仓跟踪!$A$2:$A$497="每日跟踪")*(持仓跟踪!$B$2:$B$497=A150))*持仓跟踪!$S$2:$S$497)),0)),0)*AN150))))</f>
        <v/>
      </c>
      <c r="AR150" s="8" t="str">
        <f ca="1">IF(A150="","",IF(OR(E150="",H150=""),"违规：第一批价格或股数缺失",IF(OR(AND(AK150="",AL150&lt;&gt;""),AND(AK150&lt;&gt;"",AL150="")),"违规：第二批价格与股数须成对填写",IF(OR(AND(AM150="",AN150&lt;&gt;""),AND(AM150&lt;&gt;"",AN150="")),"违规：第三批价格与股数须成对填写",IF(AND(OR(AM150&lt;&gt;"",AN150&lt;&gt;""),OR(AK150="",AL150="")),"违规：必须先完成第二批",IF(OR(H150&lt;=0,H150&lt;&gt;INT(H150),MOD(H150,100)&lt;&gt;0,AND(AL150&lt;&gt;"",OR(AL150&lt;=0,AL150&lt;&gt;INT(AL150),MOD(AL150,100)&lt;&gt;0)),AND(AN150&lt;&gt;"",OR(AN150&lt;=0,AN150&lt;&gt;INT(AN150),MOD(AN150,100)&lt;&gt;0))),"违规：股数须为100股整数倍",IF(AND(OR(AL150&lt;&gt;"",AN150&lt;&gt;""),OR(_LockStatus="已锁仓",_LockStatus="解锁信息不完整")),"违规：锁仓期间禁止加仓",IF(AQ150&gt;C150*D150,"违规：超过单笔风险上限",IF(SUM($AQ$2:$AQ$201)&gt;账户数据!$B$7,"违规：超过账户风险上限","通过")))))))))</f>
        <v/>
      </c>
    </row>
    <row r="151" ht="17" spans="1:44">
      <c r="A151" s="2"/>
      <c r="B151" s="2"/>
      <c r="C151" s="10"/>
      <c r="D151" s="6"/>
      <c r="E151" s="10"/>
      <c r="F151" s="8" t="str">
        <f t="shared" si="48"/>
        <v/>
      </c>
      <c r="G151" s="8" t="str">
        <f ca="1"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COUNTIFS(持仓跟踪!$A$2:$A$497,"止损计划",持仓跟踪!$B$2:$B$497,A151,持仓跟踪!$AC$2:$AC$497,"计划有效")=0,"禁止开仓：请先填写止损计划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1" s="2"/>
      <c r="I151" s="15"/>
      <c r="J151" s="10"/>
      <c r="K151" s="5" t="str">
        <f>IF(A151="","",IFERROR(LOOKUP(2,1/((持仓跟踪!$B$2:$B$497=A151)*(持仓跟踪!$X$2:$X$497="执行卖出")*(持仓跟踪!$Y$2:$Y$497&lt;&gt;"")),持仓跟踪!$Y$2:$Y$497),""))</f>
        <v/>
      </c>
      <c r="L151" s="8" t="str">
        <f>IF(A151="","",IFERROR(LOOKUP(2,1/((持仓跟踪!$B$2:$B$497=A151)*(持仓跟踪!$X$2:$X$497="执行卖出")*(持仓跟踪!$Z$2:$Z$497&lt;&gt;"")),持仓跟踪!$Z$2:$Z$497),""))</f>
        <v/>
      </c>
      <c r="M151" s="23" t="str">
        <f>IF(A151="","",IFERROR(LOOKUP(2,1/((持仓跟踪!$B$2:$B$497=A151)*(持仓跟踪!$X$2:$X$497="执行卖出")*(持仓跟踪!$H$2:$H$497&lt;&gt;"")),持仓跟踪!$H$2:$H$497),""))</f>
        <v/>
      </c>
      <c r="N151" s="10"/>
      <c r="O151" s="10"/>
      <c r="P151" s="5" t="str">
        <f>IF(A151="","",IFERROR(LOOKUP(2,1/((持仓跟踪!$B$2:$B$497=A151)*(持仓跟踪!$X$2:$X$497="执行卖出")*(持仓跟踪!$AA$2:$AA$497&lt;&gt;"")),持仓跟踪!$AA$2:$AA$497),""))</f>
        <v/>
      </c>
      <c r="Q151" s="2"/>
      <c r="R151" s="2"/>
      <c r="S151" s="2"/>
      <c r="T151" s="2"/>
      <c r="U151" s="7" t="str">
        <f t="shared" si="49"/>
        <v/>
      </c>
      <c r="V151" s="7" t="str">
        <f t="shared" si="50"/>
        <v/>
      </c>
      <c r="W151" s="22" t="str">
        <f t="shared" si="51"/>
        <v/>
      </c>
      <c r="X151" s="5" t="str">
        <f t="shared" si="52"/>
        <v/>
      </c>
      <c r="Y151" s="7" t="str">
        <f t="shared" si="53"/>
        <v/>
      </c>
      <c r="Z151" s="7" t="str">
        <f>IF(OR(AE151="",多次统计数据!$B$8=""),"",AE151-多次统计数据!$B$8)</f>
        <v/>
      </c>
      <c r="AA151" s="11" t="str">
        <f t="shared" si="54"/>
        <v/>
      </c>
      <c r="AB151" s="7" t="str">
        <f>IF(OR(A151="",多次统计数据!$B$8="",多次统计数据!$B$6&lt;=0,多次统计数据!$B$6&gt;=1),"",1-POWER(1+多次统计数据!$B$8,-多次统计数据!$B$6/(1-多次统计数据!$B$6)))</f>
        <v/>
      </c>
      <c r="AC151" s="8" t="str">
        <f>IF(OR(AB151="",多次统计数据!$B$9=""),"",IF(多次统计数据!$B$9&lt;AB151,"低于上限","达到或超过上限"))</f>
        <v/>
      </c>
      <c r="AD151" s="2"/>
      <c r="AE151" s="7" t="str">
        <f t="shared" si="55"/>
        <v/>
      </c>
      <c r="AG151" s="2"/>
      <c r="AH151" s="2"/>
      <c r="AI151" s="2"/>
      <c r="AJ151" s="8" t="str">
        <f t="shared" si="56"/>
        <v/>
      </c>
      <c r="AK151" s="10"/>
      <c r="AL151" s="12"/>
      <c r="AM151" s="10"/>
      <c r="AN151" s="12"/>
      <c r="AO151" s="5" t="str">
        <f t="shared" si="57"/>
        <v/>
      </c>
      <c r="AP151" s="11" t="str">
        <f t="shared" si="58"/>
        <v/>
      </c>
      <c r="AQ151" s="5" t="str">
        <f>IF(A151="","",IF(M151&lt;&gt;"",0,IF(OR(H151="",N151=""),"",MAX(E151-MAX(N151,IFERROR(SUMPRODUCT(MAX(((持仓跟踪!$A$2:$A$497="每日跟踪")*(持仓跟踪!$B$2:$B$497=A151))*持仓跟踪!$S$2:$S$497)),0)),0)*H151+IF(OR(AK151="",AL151=""),0,MAX(AK151-MAX(N151,IFERROR(SUMPRODUCT(MAX(((持仓跟踪!$A$2:$A$497="每日跟踪")*(持仓跟踪!$B$2:$B$497=A151))*持仓跟踪!$S$2:$S$497)),0)),0)*AL151)+IF(OR(AM151="",AN151=""),0,MAX(AM151-MAX(N151,IFERROR(SUMPRODUCT(MAX(((持仓跟踪!$A$2:$A$497="每日跟踪")*(持仓跟踪!$B$2:$B$497=A151))*持仓跟踪!$S$2:$S$497)),0)),0)*AN151))))</f>
        <v/>
      </c>
      <c r="AR151" s="8" t="str">
        <f ca="1">IF(A151="","",IF(OR(E151="",H151=""),"违规：第一批价格或股数缺失",IF(OR(AND(AK151="",AL151&lt;&gt;""),AND(AK151&lt;&gt;"",AL151="")),"违规：第二批价格与股数须成对填写",IF(OR(AND(AM151="",AN151&lt;&gt;""),AND(AM151&lt;&gt;"",AN151="")),"违规：第三批价格与股数须成对填写",IF(AND(OR(AM151&lt;&gt;"",AN151&lt;&gt;""),OR(AK151="",AL151="")),"违规：必须先完成第二批",IF(OR(H151&lt;=0,H151&lt;&gt;INT(H151),MOD(H151,100)&lt;&gt;0,AND(AL151&lt;&gt;"",OR(AL151&lt;=0,AL151&lt;&gt;INT(AL151),MOD(AL151,100)&lt;&gt;0)),AND(AN151&lt;&gt;"",OR(AN151&lt;=0,AN151&lt;&gt;INT(AN151),MOD(AN151,100)&lt;&gt;0))),"违规：股数须为100股整数倍",IF(AND(OR(AL151&lt;&gt;"",AN151&lt;&gt;""),OR(_LockStatus="已锁仓",_LockStatus="解锁信息不完整")),"违规：锁仓期间禁止加仓",IF(AQ151&gt;C151*D151,"违规：超过单笔风险上限",IF(SUM($AQ$2:$AQ$201)&gt;账户数据!$B$7,"违规：超过账户风险上限","通过")))))))))</f>
        <v/>
      </c>
    </row>
    <row r="152" ht="17" spans="1:44">
      <c r="A152" s="2"/>
      <c r="B152" s="2"/>
      <c r="C152" s="10"/>
      <c r="D152" s="6"/>
      <c r="E152" s="10"/>
      <c r="F152" s="8" t="str">
        <f t="shared" si="48"/>
        <v/>
      </c>
      <c r="G152" s="8" t="str">
        <f ca="1"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COUNTIFS(持仓跟踪!$A$2:$A$497,"止损计划",持仓跟踪!$B$2:$B$497,A152,持仓跟踪!$AC$2:$AC$497,"计划有效")=0,"禁止开仓：请先填写止损计划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2" s="2"/>
      <c r="I152" s="15"/>
      <c r="J152" s="10"/>
      <c r="K152" s="5" t="str">
        <f>IF(A152="","",IFERROR(LOOKUP(2,1/((持仓跟踪!$B$2:$B$497=A152)*(持仓跟踪!$X$2:$X$497="执行卖出")*(持仓跟踪!$Y$2:$Y$497&lt;&gt;"")),持仓跟踪!$Y$2:$Y$497),""))</f>
        <v/>
      </c>
      <c r="L152" s="8" t="str">
        <f>IF(A152="","",IFERROR(LOOKUP(2,1/((持仓跟踪!$B$2:$B$497=A152)*(持仓跟踪!$X$2:$X$497="执行卖出")*(持仓跟踪!$Z$2:$Z$497&lt;&gt;"")),持仓跟踪!$Z$2:$Z$497),""))</f>
        <v/>
      </c>
      <c r="M152" s="23" t="str">
        <f>IF(A152="","",IFERROR(LOOKUP(2,1/((持仓跟踪!$B$2:$B$497=A152)*(持仓跟踪!$X$2:$X$497="执行卖出")*(持仓跟踪!$H$2:$H$497&lt;&gt;"")),持仓跟踪!$H$2:$H$497),""))</f>
        <v/>
      </c>
      <c r="N152" s="10"/>
      <c r="O152" s="10"/>
      <c r="P152" s="5" t="str">
        <f>IF(A152="","",IFERROR(LOOKUP(2,1/((持仓跟踪!$B$2:$B$497=A152)*(持仓跟踪!$X$2:$X$497="执行卖出")*(持仓跟踪!$AA$2:$AA$497&lt;&gt;"")),持仓跟踪!$AA$2:$AA$497),""))</f>
        <v/>
      </c>
      <c r="Q152" s="2"/>
      <c r="R152" s="2"/>
      <c r="S152" s="2"/>
      <c r="T152" s="2"/>
      <c r="U152" s="7" t="str">
        <f t="shared" si="49"/>
        <v/>
      </c>
      <c r="V152" s="7" t="str">
        <f t="shared" si="50"/>
        <v/>
      </c>
      <c r="W152" s="22" t="str">
        <f t="shared" si="51"/>
        <v/>
      </c>
      <c r="X152" s="5" t="str">
        <f t="shared" si="52"/>
        <v/>
      </c>
      <c r="Y152" s="7" t="str">
        <f t="shared" si="53"/>
        <v/>
      </c>
      <c r="Z152" s="7" t="str">
        <f>IF(OR(AE152="",多次统计数据!$B$8=""),"",AE152-多次统计数据!$B$8)</f>
        <v/>
      </c>
      <c r="AA152" s="11" t="str">
        <f t="shared" si="54"/>
        <v/>
      </c>
      <c r="AB152" s="7" t="str">
        <f>IF(OR(A152="",多次统计数据!$B$8="",多次统计数据!$B$6&lt;=0,多次统计数据!$B$6&gt;=1),"",1-POWER(1+多次统计数据!$B$8,-多次统计数据!$B$6/(1-多次统计数据!$B$6)))</f>
        <v/>
      </c>
      <c r="AC152" s="8" t="str">
        <f>IF(OR(AB152="",多次统计数据!$B$9=""),"",IF(多次统计数据!$B$9&lt;AB152,"低于上限","达到或超过上限"))</f>
        <v/>
      </c>
      <c r="AD152" s="2"/>
      <c r="AE152" s="7" t="str">
        <f t="shared" si="55"/>
        <v/>
      </c>
      <c r="AG152" s="2"/>
      <c r="AH152" s="2"/>
      <c r="AI152" s="2"/>
      <c r="AJ152" s="8" t="str">
        <f t="shared" si="56"/>
        <v/>
      </c>
      <c r="AK152" s="10"/>
      <c r="AL152" s="12"/>
      <c r="AM152" s="10"/>
      <c r="AN152" s="12"/>
      <c r="AO152" s="5" t="str">
        <f t="shared" si="57"/>
        <v/>
      </c>
      <c r="AP152" s="11" t="str">
        <f t="shared" si="58"/>
        <v/>
      </c>
      <c r="AQ152" s="5" t="str">
        <f>IF(A152="","",IF(M152&lt;&gt;"",0,IF(OR(H152="",N152=""),"",MAX(E152-MAX(N152,IFERROR(SUMPRODUCT(MAX(((持仓跟踪!$A$2:$A$497="每日跟踪")*(持仓跟踪!$B$2:$B$497=A152))*持仓跟踪!$S$2:$S$497)),0)),0)*H152+IF(OR(AK152="",AL152=""),0,MAX(AK152-MAX(N152,IFERROR(SUMPRODUCT(MAX(((持仓跟踪!$A$2:$A$497="每日跟踪")*(持仓跟踪!$B$2:$B$497=A152))*持仓跟踪!$S$2:$S$497)),0)),0)*AL152)+IF(OR(AM152="",AN152=""),0,MAX(AM152-MAX(N152,IFERROR(SUMPRODUCT(MAX(((持仓跟踪!$A$2:$A$497="每日跟踪")*(持仓跟踪!$B$2:$B$497=A152))*持仓跟踪!$S$2:$S$497)),0)),0)*AN152))))</f>
        <v/>
      </c>
      <c r="AR152" s="8" t="str">
        <f ca="1">IF(A152="","",IF(OR(E152="",H152=""),"违规：第一批价格或股数缺失",IF(OR(AND(AK152="",AL152&lt;&gt;""),AND(AK152&lt;&gt;"",AL152="")),"违规：第二批价格与股数须成对填写",IF(OR(AND(AM152="",AN152&lt;&gt;""),AND(AM152&lt;&gt;"",AN152="")),"违规：第三批价格与股数须成对填写",IF(AND(OR(AM152&lt;&gt;"",AN152&lt;&gt;""),OR(AK152="",AL152="")),"违规：必须先完成第二批",IF(OR(H152&lt;=0,H152&lt;&gt;INT(H152),MOD(H152,100)&lt;&gt;0,AND(AL152&lt;&gt;"",OR(AL152&lt;=0,AL152&lt;&gt;INT(AL152),MOD(AL152,100)&lt;&gt;0)),AND(AN152&lt;&gt;"",OR(AN152&lt;=0,AN152&lt;&gt;INT(AN152),MOD(AN152,100)&lt;&gt;0))),"违规：股数须为100股整数倍",IF(AND(OR(AL152&lt;&gt;"",AN152&lt;&gt;""),OR(_LockStatus="已锁仓",_LockStatus="解锁信息不完整")),"违规：锁仓期间禁止加仓",IF(AQ152&gt;C152*D152,"违规：超过单笔风险上限",IF(SUM($AQ$2:$AQ$201)&gt;账户数据!$B$7,"违规：超过账户风险上限","通过")))))))))</f>
        <v/>
      </c>
    </row>
    <row r="153" ht="17" spans="1:44">
      <c r="A153" s="2"/>
      <c r="B153" s="2"/>
      <c r="C153" s="10"/>
      <c r="D153" s="6"/>
      <c r="E153" s="10"/>
      <c r="F153" s="8" t="str">
        <f t="shared" si="48"/>
        <v/>
      </c>
      <c r="G153" s="8" t="str">
        <f ca="1"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COUNTIFS(持仓跟踪!$A$2:$A$497,"止损计划",持仓跟踪!$B$2:$B$497,A153,持仓跟踪!$AC$2:$AC$497,"计划有效")=0,"禁止开仓：请先填写止损计划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3" s="2"/>
      <c r="I153" s="15"/>
      <c r="J153" s="10"/>
      <c r="K153" s="5" t="str">
        <f>IF(A153="","",IFERROR(LOOKUP(2,1/((持仓跟踪!$B$2:$B$497=A153)*(持仓跟踪!$X$2:$X$497="执行卖出")*(持仓跟踪!$Y$2:$Y$497&lt;&gt;"")),持仓跟踪!$Y$2:$Y$497),""))</f>
        <v/>
      </c>
      <c r="L153" s="8" t="str">
        <f>IF(A153="","",IFERROR(LOOKUP(2,1/((持仓跟踪!$B$2:$B$497=A153)*(持仓跟踪!$X$2:$X$497="执行卖出")*(持仓跟踪!$Z$2:$Z$497&lt;&gt;"")),持仓跟踪!$Z$2:$Z$497),""))</f>
        <v/>
      </c>
      <c r="M153" s="23" t="str">
        <f>IF(A153="","",IFERROR(LOOKUP(2,1/((持仓跟踪!$B$2:$B$497=A153)*(持仓跟踪!$X$2:$X$497="执行卖出")*(持仓跟踪!$H$2:$H$497&lt;&gt;"")),持仓跟踪!$H$2:$H$497),""))</f>
        <v/>
      </c>
      <c r="N153" s="10"/>
      <c r="O153" s="10"/>
      <c r="P153" s="5" t="str">
        <f>IF(A153="","",IFERROR(LOOKUP(2,1/((持仓跟踪!$B$2:$B$497=A153)*(持仓跟踪!$X$2:$X$497="执行卖出")*(持仓跟踪!$AA$2:$AA$497&lt;&gt;"")),持仓跟踪!$AA$2:$AA$497),""))</f>
        <v/>
      </c>
      <c r="Q153" s="2"/>
      <c r="R153" s="2"/>
      <c r="S153" s="2"/>
      <c r="T153" s="2"/>
      <c r="U153" s="7" t="str">
        <f t="shared" si="49"/>
        <v/>
      </c>
      <c r="V153" s="7" t="str">
        <f t="shared" si="50"/>
        <v/>
      </c>
      <c r="W153" s="22" t="str">
        <f t="shared" si="51"/>
        <v/>
      </c>
      <c r="X153" s="5" t="str">
        <f t="shared" si="52"/>
        <v/>
      </c>
      <c r="Y153" s="7" t="str">
        <f t="shared" si="53"/>
        <v/>
      </c>
      <c r="Z153" s="7" t="str">
        <f>IF(OR(AE153="",多次统计数据!$B$8=""),"",AE153-多次统计数据!$B$8)</f>
        <v/>
      </c>
      <c r="AA153" s="11" t="str">
        <f t="shared" si="54"/>
        <v/>
      </c>
      <c r="AB153" s="7" t="str">
        <f>IF(OR(A153="",多次统计数据!$B$8="",多次统计数据!$B$6&lt;=0,多次统计数据!$B$6&gt;=1),"",1-POWER(1+多次统计数据!$B$8,-多次统计数据!$B$6/(1-多次统计数据!$B$6)))</f>
        <v/>
      </c>
      <c r="AC153" s="8" t="str">
        <f>IF(OR(AB153="",多次统计数据!$B$9=""),"",IF(多次统计数据!$B$9&lt;AB153,"低于上限","达到或超过上限"))</f>
        <v/>
      </c>
      <c r="AD153" s="2"/>
      <c r="AE153" s="7" t="str">
        <f t="shared" si="55"/>
        <v/>
      </c>
      <c r="AG153" s="2"/>
      <c r="AH153" s="2"/>
      <c r="AI153" s="2"/>
      <c r="AJ153" s="8" t="str">
        <f t="shared" si="56"/>
        <v/>
      </c>
      <c r="AK153" s="10"/>
      <c r="AL153" s="12"/>
      <c r="AM153" s="10"/>
      <c r="AN153" s="12"/>
      <c r="AO153" s="5" t="str">
        <f t="shared" si="57"/>
        <v/>
      </c>
      <c r="AP153" s="11" t="str">
        <f t="shared" si="58"/>
        <v/>
      </c>
      <c r="AQ153" s="5" t="str">
        <f>IF(A153="","",IF(M153&lt;&gt;"",0,IF(OR(H153="",N153=""),"",MAX(E153-MAX(N153,IFERROR(SUMPRODUCT(MAX(((持仓跟踪!$A$2:$A$497="每日跟踪")*(持仓跟踪!$B$2:$B$497=A153))*持仓跟踪!$S$2:$S$497)),0)),0)*H153+IF(OR(AK153="",AL153=""),0,MAX(AK153-MAX(N153,IFERROR(SUMPRODUCT(MAX(((持仓跟踪!$A$2:$A$497="每日跟踪")*(持仓跟踪!$B$2:$B$497=A153))*持仓跟踪!$S$2:$S$497)),0)),0)*AL153)+IF(OR(AM153="",AN153=""),0,MAX(AM153-MAX(N153,IFERROR(SUMPRODUCT(MAX(((持仓跟踪!$A$2:$A$497="每日跟踪")*(持仓跟踪!$B$2:$B$497=A153))*持仓跟踪!$S$2:$S$497)),0)),0)*AN153))))</f>
        <v/>
      </c>
      <c r="AR153" s="8" t="str">
        <f ca="1">IF(A153="","",IF(OR(E153="",H153=""),"违规：第一批价格或股数缺失",IF(OR(AND(AK153="",AL153&lt;&gt;""),AND(AK153&lt;&gt;"",AL153="")),"违规：第二批价格与股数须成对填写",IF(OR(AND(AM153="",AN153&lt;&gt;""),AND(AM153&lt;&gt;"",AN153="")),"违规：第三批价格与股数须成对填写",IF(AND(OR(AM153&lt;&gt;"",AN153&lt;&gt;""),OR(AK153="",AL153="")),"违规：必须先完成第二批",IF(OR(H153&lt;=0,H153&lt;&gt;INT(H153),MOD(H153,100)&lt;&gt;0,AND(AL153&lt;&gt;"",OR(AL153&lt;=0,AL153&lt;&gt;INT(AL153),MOD(AL153,100)&lt;&gt;0)),AND(AN153&lt;&gt;"",OR(AN153&lt;=0,AN153&lt;&gt;INT(AN153),MOD(AN153,100)&lt;&gt;0))),"违规：股数须为100股整数倍",IF(AND(OR(AL153&lt;&gt;"",AN153&lt;&gt;""),OR(_LockStatus="已锁仓",_LockStatus="解锁信息不完整")),"违规：锁仓期间禁止加仓",IF(AQ153&gt;C153*D153,"违规：超过单笔风险上限",IF(SUM($AQ$2:$AQ$201)&gt;账户数据!$B$7,"违规：超过账户风险上限","通过")))))))))</f>
        <v/>
      </c>
    </row>
    <row r="154" ht="17" spans="1:44">
      <c r="A154" s="2"/>
      <c r="B154" s="2"/>
      <c r="C154" s="10"/>
      <c r="D154" s="6"/>
      <c r="E154" s="10"/>
      <c r="F154" s="8" t="str">
        <f t="shared" si="48"/>
        <v/>
      </c>
      <c r="G154" s="8" t="str">
        <f ca="1"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COUNTIFS(持仓跟踪!$A$2:$A$497,"止损计划",持仓跟踪!$B$2:$B$497,A154,持仓跟踪!$AC$2:$AC$497,"计划有效")=0,"禁止开仓：请先填写止损计划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4" s="2"/>
      <c r="I154" s="15"/>
      <c r="J154" s="10"/>
      <c r="K154" s="5" t="str">
        <f>IF(A154="","",IFERROR(LOOKUP(2,1/((持仓跟踪!$B$2:$B$497=A154)*(持仓跟踪!$X$2:$X$497="执行卖出")*(持仓跟踪!$Y$2:$Y$497&lt;&gt;"")),持仓跟踪!$Y$2:$Y$497),""))</f>
        <v/>
      </c>
      <c r="L154" s="8" t="str">
        <f>IF(A154="","",IFERROR(LOOKUP(2,1/((持仓跟踪!$B$2:$B$497=A154)*(持仓跟踪!$X$2:$X$497="执行卖出")*(持仓跟踪!$Z$2:$Z$497&lt;&gt;"")),持仓跟踪!$Z$2:$Z$497),""))</f>
        <v/>
      </c>
      <c r="M154" s="23" t="str">
        <f>IF(A154="","",IFERROR(LOOKUP(2,1/((持仓跟踪!$B$2:$B$497=A154)*(持仓跟踪!$X$2:$X$497="执行卖出")*(持仓跟踪!$H$2:$H$497&lt;&gt;"")),持仓跟踪!$H$2:$H$497),""))</f>
        <v/>
      </c>
      <c r="N154" s="10"/>
      <c r="O154" s="10"/>
      <c r="P154" s="5" t="str">
        <f>IF(A154="","",IFERROR(LOOKUP(2,1/((持仓跟踪!$B$2:$B$497=A154)*(持仓跟踪!$X$2:$X$497="执行卖出")*(持仓跟踪!$AA$2:$AA$497&lt;&gt;"")),持仓跟踪!$AA$2:$AA$497),""))</f>
        <v/>
      </c>
      <c r="Q154" s="2"/>
      <c r="R154" s="2"/>
      <c r="S154" s="2"/>
      <c r="T154" s="2"/>
      <c r="U154" s="7" t="str">
        <f t="shared" si="49"/>
        <v/>
      </c>
      <c r="V154" s="7" t="str">
        <f t="shared" si="50"/>
        <v/>
      </c>
      <c r="W154" s="22" t="str">
        <f t="shared" si="51"/>
        <v/>
      </c>
      <c r="X154" s="5" t="str">
        <f t="shared" si="52"/>
        <v/>
      </c>
      <c r="Y154" s="7" t="str">
        <f t="shared" si="53"/>
        <v/>
      </c>
      <c r="Z154" s="7" t="str">
        <f>IF(OR(AE154="",多次统计数据!$B$8=""),"",AE154-多次统计数据!$B$8)</f>
        <v/>
      </c>
      <c r="AA154" s="11" t="str">
        <f t="shared" si="54"/>
        <v/>
      </c>
      <c r="AB154" s="7" t="str">
        <f>IF(OR(A154="",多次统计数据!$B$8="",多次统计数据!$B$6&lt;=0,多次统计数据!$B$6&gt;=1),"",1-POWER(1+多次统计数据!$B$8,-多次统计数据!$B$6/(1-多次统计数据!$B$6)))</f>
        <v/>
      </c>
      <c r="AC154" s="8" t="str">
        <f>IF(OR(AB154="",多次统计数据!$B$9=""),"",IF(多次统计数据!$B$9&lt;AB154,"低于上限","达到或超过上限"))</f>
        <v/>
      </c>
      <c r="AD154" s="2"/>
      <c r="AE154" s="7" t="str">
        <f t="shared" si="55"/>
        <v/>
      </c>
      <c r="AG154" s="2"/>
      <c r="AH154" s="2"/>
      <c r="AI154" s="2"/>
      <c r="AJ154" s="8" t="str">
        <f t="shared" si="56"/>
        <v/>
      </c>
      <c r="AK154" s="10"/>
      <c r="AL154" s="12"/>
      <c r="AM154" s="10"/>
      <c r="AN154" s="12"/>
      <c r="AO154" s="5" t="str">
        <f t="shared" si="57"/>
        <v/>
      </c>
      <c r="AP154" s="11" t="str">
        <f t="shared" si="58"/>
        <v/>
      </c>
      <c r="AQ154" s="5" t="str">
        <f>IF(A154="","",IF(M154&lt;&gt;"",0,IF(OR(H154="",N154=""),"",MAX(E154-MAX(N154,IFERROR(SUMPRODUCT(MAX(((持仓跟踪!$A$2:$A$497="每日跟踪")*(持仓跟踪!$B$2:$B$497=A154))*持仓跟踪!$S$2:$S$497)),0)),0)*H154+IF(OR(AK154="",AL154=""),0,MAX(AK154-MAX(N154,IFERROR(SUMPRODUCT(MAX(((持仓跟踪!$A$2:$A$497="每日跟踪")*(持仓跟踪!$B$2:$B$497=A154))*持仓跟踪!$S$2:$S$497)),0)),0)*AL154)+IF(OR(AM154="",AN154=""),0,MAX(AM154-MAX(N154,IFERROR(SUMPRODUCT(MAX(((持仓跟踪!$A$2:$A$497="每日跟踪")*(持仓跟踪!$B$2:$B$497=A154))*持仓跟踪!$S$2:$S$497)),0)),0)*AN154))))</f>
        <v/>
      </c>
      <c r="AR154" s="8" t="str">
        <f ca="1">IF(A154="","",IF(OR(E154="",H154=""),"违规：第一批价格或股数缺失",IF(OR(AND(AK154="",AL154&lt;&gt;""),AND(AK154&lt;&gt;"",AL154="")),"违规：第二批价格与股数须成对填写",IF(OR(AND(AM154="",AN154&lt;&gt;""),AND(AM154&lt;&gt;"",AN154="")),"违规：第三批价格与股数须成对填写",IF(AND(OR(AM154&lt;&gt;"",AN154&lt;&gt;""),OR(AK154="",AL154="")),"违规：必须先完成第二批",IF(OR(H154&lt;=0,H154&lt;&gt;INT(H154),MOD(H154,100)&lt;&gt;0,AND(AL154&lt;&gt;"",OR(AL154&lt;=0,AL154&lt;&gt;INT(AL154),MOD(AL154,100)&lt;&gt;0)),AND(AN154&lt;&gt;"",OR(AN154&lt;=0,AN154&lt;&gt;INT(AN154),MOD(AN154,100)&lt;&gt;0))),"违规：股数须为100股整数倍",IF(AND(OR(AL154&lt;&gt;"",AN154&lt;&gt;""),OR(_LockStatus="已锁仓",_LockStatus="解锁信息不完整")),"违规：锁仓期间禁止加仓",IF(AQ154&gt;C154*D154,"违规：超过单笔风险上限",IF(SUM($AQ$2:$AQ$201)&gt;账户数据!$B$7,"违规：超过账户风险上限","通过")))))))))</f>
        <v/>
      </c>
    </row>
    <row r="155" ht="17" spans="1:44">
      <c r="A155" s="2"/>
      <c r="B155" s="2"/>
      <c r="C155" s="10"/>
      <c r="D155" s="6"/>
      <c r="E155" s="10"/>
      <c r="F155" s="8" t="str">
        <f t="shared" si="48"/>
        <v/>
      </c>
      <c r="G155" s="8" t="str">
        <f ca="1"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COUNTIFS(持仓跟踪!$A$2:$A$497,"止损计划",持仓跟踪!$B$2:$B$497,A155,持仓跟踪!$AC$2:$AC$497,"计划有效")=0,"禁止开仓：请先填写止损计划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5" s="2"/>
      <c r="I155" s="15"/>
      <c r="J155" s="10"/>
      <c r="K155" s="5" t="str">
        <f>IF(A155="","",IFERROR(LOOKUP(2,1/((持仓跟踪!$B$2:$B$497=A155)*(持仓跟踪!$X$2:$X$497="执行卖出")*(持仓跟踪!$Y$2:$Y$497&lt;&gt;"")),持仓跟踪!$Y$2:$Y$497),""))</f>
        <v/>
      </c>
      <c r="L155" s="8" t="str">
        <f>IF(A155="","",IFERROR(LOOKUP(2,1/((持仓跟踪!$B$2:$B$497=A155)*(持仓跟踪!$X$2:$X$497="执行卖出")*(持仓跟踪!$Z$2:$Z$497&lt;&gt;"")),持仓跟踪!$Z$2:$Z$497),""))</f>
        <v/>
      </c>
      <c r="M155" s="23" t="str">
        <f>IF(A155="","",IFERROR(LOOKUP(2,1/((持仓跟踪!$B$2:$B$497=A155)*(持仓跟踪!$X$2:$X$497="执行卖出")*(持仓跟踪!$H$2:$H$497&lt;&gt;"")),持仓跟踪!$H$2:$H$497),""))</f>
        <v/>
      </c>
      <c r="N155" s="10"/>
      <c r="O155" s="10"/>
      <c r="P155" s="5" t="str">
        <f>IF(A155="","",IFERROR(LOOKUP(2,1/((持仓跟踪!$B$2:$B$497=A155)*(持仓跟踪!$X$2:$X$497="执行卖出")*(持仓跟踪!$AA$2:$AA$497&lt;&gt;"")),持仓跟踪!$AA$2:$AA$497),""))</f>
        <v/>
      </c>
      <c r="Q155" s="2"/>
      <c r="R155" s="2"/>
      <c r="S155" s="2"/>
      <c r="T155" s="2"/>
      <c r="U155" s="7" t="str">
        <f t="shared" si="49"/>
        <v/>
      </c>
      <c r="V155" s="7" t="str">
        <f t="shared" si="50"/>
        <v/>
      </c>
      <c r="W155" s="22" t="str">
        <f t="shared" si="51"/>
        <v/>
      </c>
      <c r="X155" s="5" t="str">
        <f t="shared" si="52"/>
        <v/>
      </c>
      <c r="Y155" s="7" t="str">
        <f t="shared" si="53"/>
        <v/>
      </c>
      <c r="Z155" s="7" t="str">
        <f>IF(OR(AE155="",多次统计数据!$B$8=""),"",AE155-多次统计数据!$B$8)</f>
        <v/>
      </c>
      <c r="AA155" s="11" t="str">
        <f t="shared" si="54"/>
        <v/>
      </c>
      <c r="AB155" s="7" t="str">
        <f>IF(OR(A155="",多次统计数据!$B$8="",多次统计数据!$B$6&lt;=0,多次统计数据!$B$6&gt;=1),"",1-POWER(1+多次统计数据!$B$8,-多次统计数据!$B$6/(1-多次统计数据!$B$6)))</f>
        <v/>
      </c>
      <c r="AC155" s="8" t="str">
        <f>IF(OR(AB155="",多次统计数据!$B$9=""),"",IF(多次统计数据!$B$9&lt;AB155,"低于上限","达到或超过上限"))</f>
        <v/>
      </c>
      <c r="AD155" s="2"/>
      <c r="AE155" s="7" t="str">
        <f t="shared" si="55"/>
        <v/>
      </c>
      <c r="AG155" s="2"/>
      <c r="AH155" s="2"/>
      <c r="AI155" s="2"/>
      <c r="AJ155" s="8" t="str">
        <f t="shared" si="56"/>
        <v/>
      </c>
      <c r="AK155" s="10"/>
      <c r="AL155" s="12"/>
      <c r="AM155" s="10"/>
      <c r="AN155" s="12"/>
      <c r="AO155" s="5" t="str">
        <f t="shared" si="57"/>
        <v/>
      </c>
      <c r="AP155" s="11" t="str">
        <f t="shared" si="58"/>
        <v/>
      </c>
      <c r="AQ155" s="5" t="str">
        <f>IF(A155="","",IF(M155&lt;&gt;"",0,IF(OR(H155="",N155=""),"",MAX(E155-MAX(N155,IFERROR(SUMPRODUCT(MAX(((持仓跟踪!$A$2:$A$497="每日跟踪")*(持仓跟踪!$B$2:$B$497=A155))*持仓跟踪!$S$2:$S$497)),0)),0)*H155+IF(OR(AK155="",AL155=""),0,MAX(AK155-MAX(N155,IFERROR(SUMPRODUCT(MAX(((持仓跟踪!$A$2:$A$497="每日跟踪")*(持仓跟踪!$B$2:$B$497=A155))*持仓跟踪!$S$2:$S$497)),0)),0)*AL155)+IF(OR(AM155="",AN155=""),0,MAX(AM155-MAX(N155,IFERROR(SUMPRODUCT(MAX(((持仓跟踪!$A$2:$A$497="每日跟踪")*(持仓跟踪!$B$2:$B$497=A155))*持仓跟踪!$S$2:$S$497)),0)),0)*AN155))))</f>
        <v/>
      </c>
      <c r="AR155" s="8" t="str">
        <f ca="1">IF(A155="","",IF(OR(E155="",H155=""),"违规：第一批价格或股数缺失",IF(OR(AND(AK155="",AL155&lt;&gt;""),AND(AK155&lt;&gt;"",AL155="")),"违规：第二批价格与股数须成对填写",IF(OR(AND(AM155="",AN155&lt;&gt;""),AND(AM155&lt;&gt;"",AN155="")),"违规：第三批价格与股数须成对填写",IF(AND(OR(AM155&lt;&gt;"",AN155&lt;&gt;""),OR(AK155="",AL155="")),"违规：必须先完成第二批",IF(OR(H155&lt;=0,H155&lt;&gt;INT(H155),MOD(H155,100)&lt;&gt;0,AND(AL155&lt;&gt;"",OR(AL155&lt;=0,AL155&lt;&gt;INT(AL155),MOD(AL155,100)&lt;&gt;0)),AND(AN155&lt;&gt;"",OR(AN155&lt;=0,AN155&lt;&gt;INT(AN155),MOD(AN155,100)&lt;&gt;0))),"违规：股数须为100股整数倍",IF(AND(OR(AL155&lt;&gt;"",AN155&lt;&gt;""),OR(_LockStatus="已锁仓",_LockStatus="解锁信息不完整")),"违规：锁仓期间禁止加仓",IF(AQ155&gt;C155*D155,"违规：超过单笔风险上限",IF(SUM($AQ$2:$AQ$201)&gt;账户数据!$B$7,"违规：超过账户风险上限","通过")))))))))</f>
        <v/>
      </c>
    </row>
    <row r="156" ht="17" spans="1:44">
      <c r="A156" s="2"/>
      <c r="B156" s="2"/>
      <c r="C156" s="10"/>
      <c r="D156" s="6"/>
      <c r="E156" s="10"/>
      <c r="F156" s="8" t="str">
        <f t="shared" si="48"/>
        <v/>
      </c>
      <c r="G156" s="8" t="str">
        <f ca="1"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COUNTIFS(持仓跟踪!$A$2:$A$497,"止损计划",持仓跟踪!$B$2:$B$497,A156,持仓跟踪!$AC$2:$AC$497,"计划有效")=0,"禁止开仓：请先填写止损计划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6" s="2"/>
      <c r="I156" s="15"/>
      <c r="J156" s="10"/>
      <c r="K156" s="5" t="str">
        <f>IF(A156="","",IFERROR(LOOKUP(2,1/((持仓跟踪!$B$2:$B$497=A156)*(持仓跟踪!$X$2:$X$497="执行卖出")*(持仓跟踪!$Y$2:$Y$497&lt;&gt;"")),持仓跟踪!$Y$2:$Y$497),""))</f>
        <v/>
      </c>
      <c r="L156" s="8" t="str">
        <f>IF(A156="","",IFERROR(LOOKUP(2,1/((持仓跟踪!$B$2:$B$497=A156)*(持仓跟踪!$X$2:$X$497="执行卖出")*(持仓跟踪!$Z$2:$Z$497&lt;&gt;"")),持仓跟踪!$Z$2:$Z$497),""))</f>
        <v/>
      </c>
      <c r="M156" s="23" t="str">
        <f>IF(A156="","",IFERROR(LOOKUP(2,1/((持仓跟踪!$B$2:$B$497=A156)*(持仓跟踪!$X$2:$X$497="执行卖出")*(持仓跟踪!$H$2:$H$497&lt;&gt;"")),持仓跟踪!$H$2:$H$497),""))</f>
        <v/>
      </c>
      <c r="N156" s="10"/>
      <c r="O156" s="10"/>
      <c r="P156" s="5" t="str">
        <f>IF(A156="","",IFERROR(LOOKUP(2,1/((持仓跟踪!$B$2:$B$497=A156)*(持仓跟踪!$X$2:$X$497="执行卖出")*(持仓跟踪!$AA$2:$AA$497&lt;&gt;"")),持仓跟踪!$AA$2:$AA$497),""))</f>
        <v/>
      </c>
      <c r="Q156" s="2"/>
      <c r="R156" s="2"/>
      <c r="S156" s="2"/>
      <c r="T156" s="2"/>
      <c r="U156" s="7" t="str">
        <f t="shared" si="49"/>
        <v/>
      </c>
      <c r="V156" s="7" t="str">
        <f t="shared" si="50"/>
        <v/>
      </c>
      <c r="W156" s="22" t="str">
        <f t="shared" si="51"/>
        <v/>
      </c>
      <c r="X156" s="5" t="str">
        <f t="shared" si="52"/>
        <v/>
      </c>
      <c r="Y156" s="7" t="str">
        <f t="shared" si="53"/>
        <v/>
      </c>
      <c r="Z156" s="7" t="str">
        <f>IF(OR(AE156="",多次统计数据!$B$8=""),"",AE156-多次统计数据!$B$8)</f>
        <v/>
      </c>
      <c r="AA156" s="11" t="str">
        <f t="shared" si="54"/>
        <v/>
      </c>
      <c r="AB156" s="7" t="str">
        <f>IF(OR(A156="",多次统计数据!$B$8="",多次统计数据!$B$6&lt;=0,多次统计数据!$B$6&gt;=1),"",1-POWER(1+多次统计数据!$B$8,-多次统计数据!$B$6/(1-多次统计数据!$B$6)))</f>
        <v/>
      </c>
      <c r="AC156" s="8" t="str">
        <f>IF(OR(AB156="",多次统计数据!$B$9=""),"",IF(多次统计数据!$B$9&lt;AB156,"低于上限","达到或超过上限"))</f>
        <v/>
      </c>
      <c r="AD156" s="2"/>
      <c r="AE156" s="7" t="str">
        <f t="shared" si="55"/>
        <v/>
      </c>
      <c r="AG156" s="2"/>
      <c r="AH156" s="2"/>
      <c r="AI156" s="2"/>
      <c r="AJ156" s="8" t="str">
        <f t="shared" si="56"/>
        <v/>
      </c>
      <c r="AK156" s="10"/>
      <c r="AL156" s="12"/>
      <c r="AM156" s="10"/>
      <c r="AN156" s="12"/>
      <c r="AO156" s="5" t="str">
        <f t="shared" si="57"/>
        <v/>
      </c>
      <c r="AP156" s="11" t="str">
        <f t="shared" si="58"/>
        <v/>
      </c>
      <c r="AQ156" s="5" t="str">
        <f>IF(A156="","",IF(M156&lt;&gt;"",0,IF(OR(H156="",N156=""),"",MAX(E156-MAX(N156,IFERROR(SUMPRODUCT(MAX(((持仓跟踪!$A$2:$A$497="每日跟踪")*(持仓跟踪!$B$2:$B$497=A156))*持仓跟踪!$S$2:$S$497)),0)),0)*H156+IF(OR(AK156="",AL156=""),0,MAX(AK156-MAX(N156,IFERROR(SUMPRODUCT(MAX(((持仓跟踪!$A$2:$A$497="每日跟踪")*(持仓跟踪!$B$2:$B$497=A156))*持仓跟踪!$S$2:$S$497)),0)),0)*AL156)+IF(OR(AM156="",AN156=""),0,MAX(AM156-MAX(N156,IFERROR(SUMPRODUCT(MAX(((持仓跟踪!$A$2:$A$497="每日跟踪")*(持仓跟踪!$B$2:$B$497=A156))*持仓跟踪!$S$2:$S$497)),0)),0)*AN156))))</f>
        <v/>
      </c>
      <c r="AR156" s="8" t="str">
        <f ca="1">IF(A156="","",IF(OR(E156="",H156=""),"违规：第一批价格或股数缺失",IF(OR(AND(AK156="",AL156&lt;&gt;""),AND(AK156&lt;&gt;"",AL156="")),"违规：第二批价格与股数须成对填写",IF(OR(AND(AM156="",AN156&lt;&gt;""),AND(AM156&lt;&gt;"",AN156="")),"违规：第三批价格与股数须成对填写",IF(AND(OR(AM156&lt;&gt;"",AN156&lt;&gt;""),OR(AK156="",AL156="")),"违规：必须先完成第二批",IF(OR(H156&lt;=0,H156&lt;&gt;INT(H156),MOD(H156,100)&lt;&gt;0,AND(AL156&lt;&gt;"",OR(AL156&lt;=0,AL156&lt;&gt;INT(AL156),MOD(AL156,100)&lt;&gt;0)),AND(AN156&lt;&gt;"",OR(AN156&lt;=0,AN156&lt;&gt;INT(AN156),MOD(AN156,100)&lt;&gt;0))),"违规：股数须为100股整数倍",IF(AND(OR(AL156&lt;&gt;"",AN156&lt;&gt;""),OR(_LockStatus="已锁仓",_LockStatus="解锁信息不完整")),"违规：锁仓期间禁止加仓",IF(AQ156&gt;C156*D156,"违规：超过单笔风险上限",IF(SUM($AQ$2:$AQ$201)&gt;账户数据!$B$7,"违规：超过账户风险上限","通过")))))))))</f>
        <v/>
      </c>
    </row>
    <row r="157" ht="17" spans="1:44">
      <c r="A157" s="2"/>
      <c r="B157" s="2"/>
      <c r="C157" s="10"/>
      <c r="D157" s="6"/>
      <c r="E157" s="10"/>
      <c r="F157" s="8" t="str">
        <f t="shared" si="48"/>
        <v/>
      </c>
      <c r="G157" s="8" t="str">
        <f ca="1"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COUNTIFS(持仓跟踪!$A$2:$A$497,"止损计划",持仓跟踪!$B$2:$B$497,A157,持仓跟踪!$AC$2:$AC$497,"计划有效")=0,"禁止开仓：请先填写止损计划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7" s="2"/>
      <c r="I157" s="15"/>
      <c r="J157" s="10"/>
      <c r="K157" s="5" t="str">
        <f>IF(A157="","",IFERROR(LOOKUP(2,1/((持仓跟踪!$B$2:$B$497=A157)*(持仓跟踪!$X$2:$X$497="执行卖出")*(持仓跟踪!$Y$2:$Y$497&lt;&gt;"")),持仓跟踪!$Y$2:$Y$497),""))</f>
        <v/>
      </c>
      <c r="L157" s="8" t="str">
        <f>IF(A157="","",IFERROR(LOOKUP(2,1/((持仓跟踪!$B$2:$B$497=A157)*(持仓跟踪!$X$2:$X$497="执行卖出")*(持仓跟踪!$Z$2:$Z$497&lt;&gt;"")),持仓跟踪!$Z$2:$Z$497),""))</f>
        <v/>
      </c>
      <c r="M157" s="23" t="str">
        <f>IF(A157="","",IFERROR(LOOKUP(2,1/((持仓跟踪!$B$2:$B$497=A157)*(持仓跟踪!$X$2:$X$497="执行卖出")*(持仓跟踪!$H$2:$H$497&lt;&gt;"")),持仓跟踪!$H$2:$H$497),""))</f>
        <v/>
      </c>
      <c r="N157" s="10"/>
      <c r="O157" s="10"/>
      <c r="P157" s="5" t="str">
        <f>IF(A157="","",IFERROR(LOOKUP(2,1/((持仓跟踪!$B$2:$B$497=A157)*(持仓跟踪!$X$2:$X$497="执行卖出")*(持仓跟踪!$AA$2:$AA$497&lt;&gt;"")),持仓跟踪!$AA$2:$AA$497),""))</f>
        <v/>
      </c>
      <c r="Q157" s="2"/>
      <c r="R157" s="2"/>
      <c r="S157" s="2"/>
      <c r="T157" s="2"/>
      <c r="U157" s="7" t="str">
        <f t="shared" si="49"/>
        <v/>
      </c>
      <c r="V157" s="7" t="str">
        <f t="shared" si="50"/>
        <v/>
      </c>
      <c r="W157" s="22" t="str">
        <f t="shared" si="51"/>
        <v/>
      </c>
      <c r="X157" s="5" t="str">
        <f t="shared" si="52"/>
        <v/>
      </c>
      <c r="Y157" s="7" t="str">
        <f t="shared" si="53"/>
        <v/>
      </c>
      <c r="Z157" s="7" t="str">
        <f>IF(OR(AE157="",多次统计数据!$B$8=""),"",AE157-多次统计数据!$B$8)</f>
        <v/>
      </c>
      <c r="AA157" s="11" t="str">
        <f t="shared" si="54"/>
        <v/>
      </c>
      <c r="AB157" s="7" t="str">
        <f>IF(OR(A157="",多次统计数据!$B$8="",多次统计数据!$B$6&lt;=0,多次统计数据!$B$6&gt;=1),"",1-POWER(1+多次统计数据!$B$8,-多次统计数据!$B$6/(1-多次统计数据!$B$6)))</f>
        <v/>
      </c>
      <c r="AC157" s="8" t="str">
        <f>IF(OR(AB157="",多次统计数据!$B$9=""),"",IF(多次统计数据!$B$9&lt;AB157,"低于上限","达到或超过上限"))</f>
        <v/>
      </c>
      <c r="AD157" s="2"/>
      <c r="AE157" s="7" t="str">
        <f t="shared" si="55"/>
        <v/>
      </c>
      <c r="AG157" s="2"/>
      <c r="AH157" s="2"/>
      <c r="AI157" s="2"/>
      <c r="AJ157" s="8" t="str">
        <f t="shared" si="56"/>
        <v/>
      </c>
      <c r="AK157" s="10"/>
      <c r="AL157" s="12"/>
      <c r="AM157" s="10"/>
      <c r="AN157" s="12"/>
      <c r="AO157" s="5" t="str">
        <f t="shared" si="57"/>
        <v/>
      </c>
      <c r="AP157" s="11" t="str">
        <f t="shared" si="58"/>
        <v/>
      </c>
      <c r="AQ157" s="5" t="str">
        <f>IF(A157="","",IF(M157&lt;&gt;"",0,IF(OR(H157="",N157=""),"",MAX(E157-MAX(N157,IFERROR(SUMPRODUCT(MAX(((持仓跟踪!$A$2:$A$497="每日跟踪")*(持仓跟踪!$B$2:$B$497=A157))*持仓跟踪!$S$2:$S$497)),0)),0)*H157+IF(OR(AK157="",AL157=""),0,MAX(AK157-MAX(N157,IFERROR(SUMPRODUCT(MAX(((持仓跟踪!$A$2:$A$497="每日跟踪")*(持仓跟踪!$B$2:$B$497=A157))*持仓跟踪!$S$2:$S$497)),0)),0)*AL157)+IF(OR(AM157="",AN157=""),0,MAX(AM157-MAX(N157,IFERROR(SUMPRODUCT(MAX(((持仓跟踪!$A$2:$A$497="每日跟踪")*(持仓跟踪!$B$2:$B$497=A157))*持仓跟踪!$S$2:$S$497)),0)),0)*AN157))))</f>
        <v/>
      </c>
      <c r="AR157" s="8" t="str">
        <f ca="1">IF(A157="","",IF(OR(E157="",H157=""),"违规：第一批价格或股数缺失",IF(OR(AND(AK157="",AL157&lt;&gt;""),AND(AK157&lt;&gt;"",AL157="")),"违规：第二批价格与股数须成对填写",IF(OR(AND(AM157="",AN157&lt;&gt;""),AND(AM157&lt;&gt;"",AN157="")),"违规：第三批价格与股数须成对填写",IF(AND(OR(AM157&lt;&gt;"",AN157&lt;&gt;""),OR(AK157="",AL157="")),"违规：必须先完成第二批",IF(OR(H157&lt;=0,H157&lt;&gt;INT(H157),MOD(H157,100)&lt;&gt;0,AND(AL157&lt;&gt;"",OR(AL157&lt;=0,AL157&lt;&gt;INT(AL157),MOD(AL157,100)&lt;&gt;0)),AND(AN157&lt;&gt;"",OR(AN157&lt;=0,AN157&lt;&gt;INT(AN157),MOD(AN157,100)&lt;&gt;0))),"违规：股数须为100股整数倍",IF(AND(OR(AL157&lt;&gt;"",AN157&lt;&gt;""),OR(_LockStatus="已锁仓",_LockStatus="解锁信息不完整")),"违规：锁仓期间禁止加仓",IF(AQ157&gt;C157*D157,"违规：超过单笔风险上限",IF(SUM($AQ$2:$AQ$201)&gt;账户数据!$B$7,"违规：超过账户风险上限","通过")))))))))</f>
        <v/>
      </c>
    </row>
    <row r="158" ht="17" spans="1:44">
      <c r="A158" s="2"/>
      <c r="B158" s="2"/>
      <c r="C158" s="10"/>
      <c r="D158" s="6"/>
      <c r="E158" s="10"/>
      <c r="F158" s="8" t="str">
        <f t="shared" si="48"/>
        <v/>
      </c>
      <c r="G158" s="8" t="str">
        <f ca="1"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COUNTIFS(持仓跟踪!$A$2:$A$497,"止损计划",持仓跟踪!$B$2:$B$497,A158,持仓跟踪!$AC$2:$AC$497,"计划有效")=0,"禁止开仓：请先填写止损计划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8" s="2"/>
      <c r="I158" s="15"/>
      <c r="J158" s="10"/>
      <c r="K158" s="5" t="str">
        <f>IF(A158="","",IFERROR(LOOKUP(2,1/((持仓跟踪!$B$2:$B$497=A158)*(持仓跟踪!$X$2:$X$497="执行卖出")*(持仓跟踪!$Y$2:$Y$497&lt;&gt;"")),持仓跟踪!$Y$2:$Y$497),""))</f>
        <v/>
      </c>
      <c r="L158" s="8" t="str">
        <f>IF(A158="","",IFERROR(LOOKUP(2,1/((持仓跟踪!$B$2:$B$497=A158)*(持仓跟踪!$X$2:$X$497="执行卖出")*(持仓跟踪!$Z$2:$Z$497&lt;&gt;"")),持仓跟踪!$Z$2:$Z$497),""))</f>
        <v/>
      </c>
      <c r="M158" s="23" t="str">
        <f>IF(A158="","",IFERROR(LOOKUP(2,1/((持仓跟踪!$B$2:$B$497=A158)*(持仓跟踪!$X$2:$X$497="执行卖出")*(持仓跟踪!$H$2:$H$497&lt;&gt;"")),持仓跟踪!$H$2:$H$497),""))</f>
        <v/>
      </c>
      <c r="N158" s="10"/>
      <c r="O158" s="10"/>
      <c r="P158" s="5" t="str">
        <f>IF(A158="","",IFERROR(LOOKUP(2,1/((持仓跟踪!$B$2:$B$497=A158)*(持仓跟踪!$X$2:$X$497="执行卖出")*(持仓跟踪!$AA$2:$AA$497&lt;&gt;"")),持仓跟踪!$AA$2:$AA$497),""))</f>
        <v/>
      </c>
      <c r="Q158" s="2"/>
      <c r="R158" s="2"/>
      <c r="S158" s="2"/>
      <c r="T158" s="2"/>
      <c r="U158" s="7" t="str">
        <f t="shared" si="49"/>
        <v/>
      </c>
      <c r="V158" s="7" t="str">
        <f t="shared" si="50"/>
        <v/>
      </c>
      <c r="W158" s="22" t="str">
        <f t="shared" si="51"/>
        <v/>
      </c>
      <c r="X158" s="5" t="str">
        <f t="shared" si="52"/>
        <v/>
      </c>
      <c r="Y158" s="7" t="str">
        <f t="shared" si="53"/>
        <v/>
      </c>
      <c r="Z158" s="7" t="str">
        <f>IF(OR(AE158="",多次统计数据!$B$8=""),"",AE158-多次统计数据!$B$8)</f>
        <v/>
      </c>
      <c r="AA158" s="11" t="str">
        <f t="shared" si="54"/>
        <v/>
      </c>
      <c r="AB158" s="7" t="str">
        <f>IF(OR(A158="",多次统计数据!$B$8="",多次统计数据!$B$6&lt;=0,多次统计数据!$B$6&gt;=1),"",1-POWER(1+多次统计数据!$B$8,-多次统计数据!$B$6/(1-多次统计数据!$B$6)))</f>
        <v/>
      </c>
      <c r="AC158" s="8" t="str">
        <f>IF(OR(AB158="",多次统计数据!$B$9=""),"",IF(多次统计数据!$B$9&lt;AB158,"低于上限","达到或超过上限"))</f>
        <v/>
      </c>
      <c r="AD158" s="2"/>
      <c r="AE158" s="7" t="str">
        <f t="shared" si="55"/>
        <v/>
      </c>
      <c r="AG158" s="2"/>
      <c r="AH158" s="2"/>
      <c r="AI158" s="2"/>
      <c r="AJ158" s="8" t="str">
        <f t="shared" si="56"/>
        <v/>
      </c>
      <c r="AK158" s="10"/>
      <c r="AL158" s="12"/>
      <c r="AM158" s="10"/>
      <c r="AN158" s="12"/>
      <c r="AO158" s="5" t="str">
        <f t="shared" si="57"/>
        <v/>
      </c>
      <c r="AP158" s="11" t="str">
        <f t="shared" si="58"/>
        <v/>
      </c>
      <c r="AQ158" s="5" t="str">
        <f>IF(A158="","",IF(M158&lt;&gt;"",0,IF(OR(H158="",N158=""),"",MAX(E158-MAX(N158,IFERROR(SUMPRODUCT(MAX(((持仓跟踪!$A$2:$A$497="每日跟踪")*(持仓跟踪!$B$2:$B$497=A158))*持仓跟踪!$S$2:$S$497)),0)),0)*H158+IF(OR(AK158="",AL158=""),0,MAX(AK158-MAX(N158,IFERROR(SUMPRODUCT(MAX(((持仓跟踪!$A$2:$A$497="每日跟踪")*(持仓跟踪!$B$2:$B$497=A158))*持仓跟踪!$S$2:$S$497)),0)),0)*AL158)+IF(OR(AM158="",AN158=""),0,MAX(AM158-MAX(N158,IFERROR(SUMPRODUCT(MAX(((持仓跟踪!$A$2:$A$497="每日跟踪")*(持仓跟踪!$B$2:$B$497=A158))*持仓跟踪!$S$2:$S$497)),0)),0)*AN158))))</f>
        <v/>
      </c>
      <c r="AR158" s="8" t="str">
        <f ca="1">IF(A158="","",IF(OR(E158="",H158=""),"违规：第一批价格或股数缺失",IF(OR(AND(AK158="",AL158&lt;&gt;""),AND(AK158&lt;&gt;"",AL158="")),"违规：第二批价格与股数须成对填写",IF(OR(AND(AM158="",AN158&lt;&gt;""),AND(AM158&lt;&gt;"",AN158="")),"违规：第三批价格与股数须成对填写",IF(AND(OR(AM158&lt;&gt;"",AN158&lt;&gt;""),OR(AK158="",AL158="")),"违规：必须先完成第二批",IF(OR(H158&lt;=0,H158&lt;&gt;INT(H158),MOD(H158,100)&lt;&gt;0,AND(AL158&lt;&gt;"",OR(AL158&lt;=0,AL158&lt;&gt;INT(AL158),MOD(AL158,100)&lt;&gt;0)),AND(AN158&lt;&gt;"",OR(AN158&lt;=0,AN158&lt;&gt;INT(AN158),MOD(AN158,100)&lt;&gt;0))),"违规：股数须为100股整数倍",IF(AND(OR(AL158&lt;&gt;"",AN158&lt;&gt;""),OR(_LockStatus="已锁仓",_LockStatus="解锁信息不完整")),"违规：锁仓期间禁止加仓",IF(AQ158&gt;C158*D158,"违规：超过单笔风险上限",IF(SUM($AQ$2:$AQ$201)&gt;账户数据!$B$7,"违规：超过账户风险上限","通过")))))))))</f>
        <v/>
      </c>
    </row>
    <row r="159" ht="17" spans="1:44">
      <c r="A159" s="2"/>
      <c r="B159" s="2"/>
      <c r="C159" s="10"/>
      <c r="D159" s="6"/>
      <c r="E159" s="10"/>
      <c r="F159" s="8" t="str">
        <f t="shared" si="48"/>
        <v/>
      </c>
      <c r="G159" s="8" t="str">
        <f ca="1"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COUNTIFS(持仓跟踪!$A$2:$A$497,"止损计划",持仓跟踪!$B$2:$B$497,A159,持仓跟踪!$AC$2:$AC$497,"计划有效")=0,"禁止开仓：请先填写止损计划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9" s="2"/>
      <c r="I159" s="15"/>
      <c r="J159" s="10"/>
      <c r="K159" s="5" t="str">
        <f>IF(A159="","",IFERROR(LOOKUP(2,1/((持仓跟踪!$B$2:$B$497=A159)*(持仓跟踪!$X$2:$X$497="执行卖出")*(持仓跟踪!$Y$2:$Y$497&lt;&gt;"")),持仓跟踪!$Y$2:$Y$497),""))</f>
        <v/>
      </c>
      <c r="L159" s="8" t="str">
        <f>IF(A159="","",IFERROR(LOOKUP(2,1/((持仓跟踪!$B$2:$B$497=A159)*(持仓跟踪!$X$2:$X$497="执行卖出")*(持仓跟踪!$Z$2:$Z$497&lt;&gt;"")),持仓跟踪!$Z$2:$Z$497),""))</f>
        <v/>
      </c>
      <c r="M159" s="23" t="str">
        <f>IF(A159="","",IFERROR(LOOKUP(2,1/((持仓跟踪!$B$2:$B$497=A159)*(持仓跟踪!$X$2:$X$497="执行卖出")*(持仓跟踪!$H$2:$H$497&lt;&gt;"")),持仓跟踪!$H$2:$H$497),""))</f>
        <v/>
      </c>
      <c r="N159" s="10"/>
      <c r="O159" s="10"/>
      <c r="P159" s="5" t="str">
        <f>IF(A159="","",IFERROR(LOOKUP(2,1/((持仓跟踪!$B$2:$B$497=A159)*(持仓跟踪!$X$2:$X$497="执行卖出")*(持仓跟踪!$AA$2:$AA$497&lt;&gt;"")),持仓跟踪!$AA$2:$AA$497),""))</f>
        <v/>
      </c>
      <c r="Q159" s="2"/>
      <c r="R159" s="2"/>
      <c r="S159" s="2"/>
      <c r="T159" s="2"/>
      <c r="U159" s="7" t="str">
        <f t="shared" si="49"/>
        <v/>
      </c>
      <c r="V159" s="7" t="str">
        <f t="shared" si="50"/>
        <v/>
      </c>
      <c r="W159" s="22" t="str">
        <f t="shared" si="51"/>
        <v/>
      </c>
      <c r="X159" s="5" t="str">
        <f t="shared" si="52"/>
        <v/>
      </c>
      <c r="Y159" s="7" t="str">
        <f t="shared" si="53"/>
        <v/>
      </c>
      <c r="Z159" s="7" t="str">
        <f>IF(OR(AE159="",多次统计数据!$B$8=""),"",AE159-多次统计数据!$B$8)</f>
        <v/>
      </c>
      <c r="AA159" s="11" t="str">
        <f t="shared" si="54"/>
        <v/>
      </c>
      <c r="AB159" s="7" t="str">
        <f>IF(OR(A159="",多次统计数据!$B$8="",多次统计数据!$B$6&lt;=0,多次统计数据!$B$6&gt;=1),"",1-POWER(1+多次统计数据!$B$8,-多次统计数据!$B$6/(1-多次统计数据!$B$6)))</f>
        <v/>
      </c>
      <c r="AC159" s="8" t="str">
        <f>IF(OR(AB159="",多次统计数据!$B$9=""),"",IF(多次统计数据!$B$9&lt;AB159,"低于上限","达到或超过上限"))</f>
        <v/>
      </c>
      <c r="AD159" s="2"/>
      <c r="AE159" s="7" t="str">
        <f t="shared" si="55"/>
        <v/>
      </c>
      <c r="AG159" s="2"/>
      <c r="AH159" s="2"/>
      <c r="AI159" s="2"/>
      <c r="AJ159" s="8" t="str">
        <f t="shared" si="56"/>
        <v/>
      </c>
      <c r="AK159" s="10"/>
      <c r="AL159" s="12"/>
      <c r="AM159" s="10"/>
      <c r="AN159" s="12"/>
      <c r="AO159" s="5" t="str">
        <f t="shared" si="57"/>
        <v/>
      </c>
      <c r="AP159" s="11" t="str">
        <f t="shared" si="58"/>
        <v/>
      </c>
      <c r="AQ159" s="5" t="str">
        <f>IF(A159="","",IF(M159&lt;&gt;"",0,IF(OR(H159="",N159=""),"",MAX(E159-MAX(N159,IFERROR(SUMPRODUCT(MAX(((持仓跟踪!$A$2:$A$497="每日跟踪")*(持仓跟踪!$B$2:$B$497=A159))*持仓跟踪!$S$2:$S$497)),0)),0)*H159+IF(OR(AK159="",AL159=""),0,MAX(AK159-MAX(N159,IFERROR(SUMPRODUCT(MAX(((持仓跟踪!$A$2:$A$497="每日跟踪")*(持仓跟踪!$B$2:$B$497=A159))*持仓跟踪!$S$2:$S$497)),0)),0)*AL159)+IF(OR(AM159="",AN159=""),0,MAX(AM159-MAX(N159,IFERROR(SUMPRODUCT(MAX(((持仓跟踪!$A$2:$A$497="每日跟踪")*(持仓跟踪!$B$2:$B$497=A159))*持仓跟踪!$S$2:$S$497)),0)),0)*AN159))))</f>
        <v/>
      </c>
      <c r="AR159" s="8" t="str">
        <f ca="1">IF(A159="","",IF(OR(E159="",H159=""),"违规：第一批价格或股数缺失",IF(OR(AND(AK159="",AL159&lt;&gt;""),AND(AK159&lt;&gt;"",AL159="")),"违规：第二批价格与股数须成对填写",IF(OR(AND(AM159="",AN159&lt;&gt;""),AND(AM159&lt;&gt;"",AN159="")),"违规：第三批价格与股数须成对填写",IF(AND(OR(AM159&lt;&gt;"",AN159&lt;&gt;""),OR(AK159="",AL159="")),"违规：必须先完成第二批",IF(OR(H159&lt;=0,H159&lt;&gt;INT(H159),MOD(H159,100)&lt;&gt;0,AND(AL159&lt;&gt;"",OR(AL159&lt;=0,AL159&lt;&gt;INT(AL159),MOD(AL159,100)&lt;&gt;0)),AND(AN159&lt;&gt;"",OR(AN159&lt;=0,AN159&lt;&gt;INT(AN159),MOD(AN159,100)&lt;&gt;0))),"违规：股数须为100股整数倍",IF(AND(OR(AL159&lt;&gt;"",AN159&lt;&gt;""),OR(_LockStatus="已锁仓",_LockStatus="解锁信息不完整")),"违规：锁仓期间禁止加仓",IF(AQ159&gt;C159*D159,"违规：超过单笔风险上限",IF(SUM($AQ$2:$AQ$201)&gt;账户数据!$B$7,"违规：超过账户风险上限","通过")))))))))</f>
        <v/>
      </c>
    </row>
    <row r="160" ht="17" spans="1:44">
      <c r="A160" s="2"/>
      <c r="B160" s="2"/>
      <c r="C160" s="10"/>
      <c r="D160" s="6"/>
      <c r="E160" s="10"/>
      <c r="F160" s="8" t="str">
        <f t="shared" si="48"/>
        <v/>
      </c>
      <c r="G160" s="8" t="str">
        <f ca="1"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COUNTIFS(持仓跟踪!$A$2:$A$497,"止损计划",持仓跟踪!$B$2:$B$497,A160,持仓跟踪!$AC$2:$AC$497,"计划有效")=0,"禁止开仓：请先填写止损计划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0" s="2"/>
      <c r="I160" s="15"/>
      <c r="J160" s="10"/>
      <c r="K160" s="5" t="str">
        <f>IF(A160="","",IFERROR(LOOKUP(2,1/((持仓跟踪!$B$2:$B$497=A160)*(持仓跟踪!$X$2:$X$497="执行卖出")*(持仓跟踪!$Y$2:$Y$497&lt;&gt;"")),持仓跟踪!$Y$2:$Y$497),""))</f>
        <v/>
      </c>
      <c r="L160" s="8" t="str">
        <f>IF(A160="","",IFERROR(LOOKUP(2,1/((持仓跟踪!$B$2:$B$497=A160)*(持仓跟踪!$X$2:$X$497="执行卖出")*(持仓跟踪!$Z$2:$Z$497&lt;&gt;"")),持仓跟踪!$Z$2:$Z$497),""))</f>
        <v/>
      </c>
      <c r="M160" s="23" t="str">
        <f>IF(A160="","",IFERROR(LOOKUP(2,1/((持仓跟踪!$B$2:$B$497=A160)*(持仓跟踪!$X$2:$X$497="执行卖出")*(持仓跟踪!$H$2:$H$497&lt;&gt;"")),持仓跟踪!$H$2:$H$497),""))</f>
        <v/>
      </c>
      <c r="N160" s="10"/>
      <c r="O160" s="10"/>
      <c r="P160" s="5" t="str">
        <f>IF(A160="","",IFERROR(LOOKUP(2,1/((持仓跟踪!$B$2:$B$497=A160)*(持仓跟踪!$X$2:$X$497="执行卖出")*(持仓跟踪!$AA$2:$AA$497&lt;&gt;"")),持仓跟踪!$AA$2:$AA$497),""))</f>
        <v/>
      </c>
      <c r="Q160" s="2"/>
      <c r="R160" s="2"/>
      <c r="S160" s="2"/>
      <c r="T160" s="2"/>
      <c r="U160" s="7" t="str">
        <f t="shared" si="49"/>
        <v/>
      </c>
      <c r="V160" s="7" t="str">
        <f t="shared" si="50"/>
        <v/>
      </c>
      <c r="W160" s="22" t="str">
        <f t="shared" si="51"/>
        <v/>
      </c>
      <c r="X160" s="5" t="str">
        <f t="shared" si="52"/>
        <v/>
      </c>
      <c r="Y160" s="7" t="str">
        <f t="shared" si="53"/>
        <v/>
      </c>
      <c r="Z160" s="7" t="str">
        <f>IF(OR(AE160="",多次统计数据!$B$8=""),"",AE160-多次统计数据!$B$8)</f>
        <v/>
      </c>
      <c r="AA160" s="11" t="str">
        <f t="shared" si="54"/>
        <v/>
      </c>
      <c r="AB160" s="7" t="str">
        <f>IF(OR(A160="",多次统计数据!$B$8="",多次统计数据!$B$6&lt;=0,多次统计数据!$B$6&gt;=1),"",1-POWER(1+多次统计数据!$B$8,-多次统计数据!$B$6/(1-多次统计数据!$B$6)))</f>
        <v/>
      </c>
      <c r="AC160" s="8" t="str">
        <f>IF(OR(AB160="",多次统计数据!$B$9=""),"",IF(多次统计数据!$B$9&lt;AB160,"低于上限","达到或超过上限"))</f>
        <v/>
      </c>
      <c r="AD160" s="2"/>
      <c r="AE160" s="7" t="str">
        <f t="shared" si="55"/>
        <v/>
      </c>
      <c r="AG160" s="2"/>
      <c r="AH160" s="2"/>
      <c r="AI160" s="2"/>
      <c r="AJ160" s="8" t="str">
        <f t="shared" si="56"/>
        <v/>
      </c>
      <c r="AK160" s="10"/>
      <c r="AL160" s="12"/>
      <c r="AM160" s="10"/>
      <c r="AN160" s="12"/>
      <c r="AO160" s="5" t="str">
        <f t="shared" si="57"/>
        <v/>
      </c>
      <c r="AP160" s="11" t="str">
        <f t="shared" si="58"/>
        <v/>
      </c>
      <c r="AQ160" s="5" t="str">
        <f>IF(A160="","",IF(M160&lt;&gt;"",0,IF(OR(H160="",N160=""),"",MAX(E160-MAX(N160,IFERROR(SUMPRODUCT(MAX(((持仓跟踪!$A$2:$A$497="每日跟踪")*(持仓跟踪!$B$2:$B$497=A160))*持仓跟踪!$S$2:$S$497)),0)),0)*H160+IF(OR(AK160="",AL160=""),0,MAX(AK160-MAX(N160,IFERROR(SUMPRODUCT(MAX(((持仓跟踪!$A$2:$A$497="每日跟踪")*(持仓跟踪!$B$2:$B$497=A160))*持仓跟踪!$S$2:$S$497)),0)),0)*AL160)+IF(OR(AM160="",AN160=""),0,MAX(AM160-MAX(N160,IFERROR(SUMPRODUCT(MAX(((持仓跟踪!$A$2:$A$497="每日跟踪")*(持仓跟踪!$B$2:$B$497=A160))*持仓跟踪!$S$2:$S$497)),0)),0)*AN160))))</f>
        <v/>
      </c>
      <c r="AR160" s="8" t="str">
        <f ca="1">IF(A160="","",IF(OR(E160="",H160=""),"违规：第一批价格或股数缺失",IF(OR(AND(AK160="",AL160&lt;&gt;""),AND(AK160&lt;&gt;"",AL160="")),"违规：第二批价格与股数须成对填写",IF(OR(AND(AM160="",AN160&lt;&gt;""),AND(AM160&lt;&gt;"",AN160="")),"违规：第三批价格与股数须成对填写",IF(AND(OR(AM160&lt;&gt;"",AN160&lt;&gt;""),OR(AK160="",AL160="")),"违规：必须先完成第二批",IF(OR(H160&lt;=0,H160&lt;&gt;INT(H160),MOD(H160,100)&lt;&gt;0,AND(AL160&lt;&gt;"",OR(AL160&lt;=0,AL160&lt;&gt;INT(AL160),MOD(AL160,100)&lt;&gt;0)),AND(AN160&lt;&gt;"",OR(AN160&lt;=0,AN160&lt;&gt;INT(AN160),MOD(AN160,100)&lt;&gt;0))),"违规：股数须为100股整数倍",IF(AND(OR(AL160&lt;&gt;"",AN160&lt;&gt;""),OR(_LockStatus="已锁仓",_LockStatus="解锁信息不完整")),"违规：锁仓期间禁止加仓",IF(AQ160&gt;C160*D160,"违规：超过单笔风险上限",IF(SUM($AQ$2:$AQ$201)&gt;账户数据!$B$7,"违规：超过账户风险上限","通过")))))))))</f>
        <v/>
      </c>
    </row>
    <row r="161" ht="17" spans="1:44">
      <c r="A161" s="2"/>
      <c r="B161" s="2"/>
      <c r="C161" s="10"/>
      <c r="D161" s="6"/>
      <c r="E161" s="10"/>
      <c r="F161" s="8" t="str">
        <f t="shared" si="48"/>
        <v/>
      </c>
      <c r="G161" s="8" t="str">
        <f ca="1"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COUNTIFS(持仓跟踪!$A$2:$A$497,"止损计划",持仓跟踪!$B$2:$B$497,A161,持仓跟踪!$AC$2:$AC$497,"计划有效")=0,"禁止开仓：请先填写止损计划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1" s="2"/>
      <c r="I161" s="15"/>
      <c r="J161" s="10"/>
      <c r="K161" s="5" t="str">
        <f>IF(A161="","",IFERROR(LOOKUP(2,1/((持仓跟踪!$B$2:$B$497=A161)*(持仓跟踪!$X$2:$X$497="执行卖出")*(持仓跟踪!$Y$2:$Y$497&lt;&gt;"")),持仓跟踪!$Y$2:$Y$497),""))</f>
        <v/>
      </c>
      <c r="L161" s="8" t="str">
        <f>IF(A161="","",IFERROR(LOOKUP(2,1/((持仓跟踪!$B$2:$B$497=A161)*(持仓跟踪!$X$2:$X$497="执行卖出")*(持仓跟踪!$Z$2:$Z$497&lt;&gt;"")),持仓跟踪!$Z$2:$Z$497),""))</f>
        <v/>
      </c>
      <c r="M161" s="23" t="str">
        <f>IF(A161="","",IFERROR(LOOKUP(2,1/((持仓跟踪!$B$2:$B$497=A161)*(持仓跟踪!$X$2:$X$497="执行卖出")*(持仓跟踪!$H$2:$H$497&lt;&gt;"")),持仓跟踪!$H$2:$H$497),""))</f>
        <v/>
      </c>
      <c r="N161" s="10"/>
      <c r="O161" s="10"/>
      <c r="P161" s="5" t="str">
        <f>IF(A161="","",IFERROR(LOOKUP(2,1/((持仓跟踪!$B$2:$B$497=A161)*(持仓跟踪!$X$2:$X$497="执行卖出")*(持仓跟踪!$AA$2:$AA$497&lt;&gt;"")),持仓跟踪!$AA$2:$AA$497),""))</f>
        <v/>
      </c>
      <c r="Q161" s="2"/>
      <c r="R161" s="2"/>
      <c r="S161" s="2"/>
      <c r="T161" s="2"/>
      <c r="U161" s="7" t="str">
        <f t="shared" si="49"/>
        <v/>
      </c>
      <c r="V161" s="7" t="str">
        <f t="shared" si="50"/>
        <v/>
      </c>
      <c r="W161" s="22" t="str">
        <f t="shared" si="51"/>
        <v/>
      </c>
      <c r="X161" s="5" t="str">
        <f t="shared" si="52"/>
        <v/>
      </c>
      <c r="Y161" s="7" t="str">
        <f t="shared" si="53"/>
        <v/>
      </c>
      <c r="Z161" s="7" t="str">
        <f>IF(OR(AE161="",多次统计数据!$B$8=""),"",AE161-多次统计数据!$B$8)</f>
        <v/>
      </c>
      <c r="AA161" s="11" t="str">
        <f t="shared" si="54"/>
        <v/>
      </c>
      <c r="AB161" s="7" t="str">
        <f>IF(OR(A161="",多次统计数据!$B$8="",多次统计数据!$B$6&lt;=0,多次统计数据!$B$6&gt;=1),"",1-POWER(1+多次统计数据!$B$8,-多次统计数据!$B$6/(1-多次统计数据!$B$6)))</f>
        <v/>
      </c>
      <c r="AC161" s="8" t="str">
        <f>IF(OR(AB161="",多次统计数据!$B$9=""),"",IF(多次统计数据!$B$9&lt;AB161,"低于上限","达到或超过上限"))</f>
        <v/>
      </c>
      <c r="AD161" s="2"/>
      <c r="AE161" s="7" t="str">
        <f t="shared" si="55"/>
        <v/>
      </c>
      <c r="AG161" s="2"/>
      <c r="AH161" s="2"/>
      <c r="AI161" s="2"/>
      <c r="AJ161" s="8" t="str">
        <f t="shared" si="56"/>
        <v/>
      </c>
      <c r="AK161" s="10"/>
      <c r="AL161" s="12"/>
      <c r="AM161" s="10"/>
      <c r="AN161" s="12"/>
      <c r="AO161" s="5" t="str">
        <f t="shared" si="57"/>
        <v/>
      </c>
      <c r="AP161" s="11" t="str">
        <f t="shared" si="58"/>
        <v/>
      </c>
      <c r="AQ161" s="5" t="str">
        <f>IF(A161="","",IF(M161&lt;&gt;"",0,IF(OR(H161="",N161=""),"",MAX(E161-MAX(N161,IFERROR(SUMPRODUCT(MAX(((持仓跟踪!$A$2:$A$497="每日跟踪")*(持仓跟踪!$B$2:$B$497=A161))*持仓跟踪!$S$2:$S$497)),0)),0)*H161+IF(OR(AK161="",AL161=""),0,MAX(AK161-MAX(N161,IFERROR(SUMPRODUCT(MAX(((持仓跟踪!$A$2:$A$497="每日跟踪")*(持仓跟踪!$B$2:$B$497=A161))*持仓跟踪!$S$2:$S$497)),0)),0)*AL161)+IF(OR(AM161="",AN161=""),0,MAX(AM161-MAX(N161,IFERROR(SUMPRODUCT(MAX(((持仓跟踪!$A$2:$A$497="每日跟踪")*(持仓跟踪!$B$2:$B$497=A161))*持仓跟踪!$S$2:$S$497)),0)),0)*AN161))))</f>
        <v/>
      </c>
      <c r="AR161" s="8" t="str">
        <f ca="1">IF(A161="","",IF(OR(E161="",H161=""),"违规：第一批价格或股数缺失",IF(OR(AND(AK161="",AL161&lt;&gt;""),AND(AK161&lt;&gt;"",AL161="")),"违规：第二批价格与股数须成对填写",IF(OR(AND(AM161="",AN161&lt;&gt;""),AND(AM161&lt;&gt;"",AN161="")),"违规：第三批价格与股数须成对填写",IF(AND(OR(AM161&lt;&gt;"",AN161&lt;&gt;""),OR(AK161="",AL161="")),"违规：必须先完成第二批",IF(OR(H161&lt;=0,H161&lt;&gt;INT(H161),MOD(H161,100)&lt;&gt;0,AND(AL161&lt;&gt;"",OR(AL161&lt;=0,AL161&lt;&gt;INT(AL161),MOD(AL161,100)&lt;&gt;0)),AND(AN161&lt;&gt;"",OR(AN161&lt;=0,AN161&lt;&gt;INT(AN161),MOD(AN161,100)&lt;&gt;0))),"违规：股数须为100股整数倍",IF(AND(OR(AL161&lt;&gt;"",AN161&lt;&gt;""),OR(_LockStatus="已锁仓",_LockStatus="解锁信息不完整")),"违规：锁仓期间禁止加仓",IF(AQ161&gt;C161*D161,"违规：超过单笔风险上限",IF(SUM($AQ$2:$AQ$201)&gt;账户数据!$B$7,"违规：超过账户风险上限","通过")))))))))</f>
        <v/>
      </c>
    </row>
    <row r="162" ht="17" spans="1:44">
      <c r="A162" s="2"/>
      <c r="B162" s="2"/>
      <c r="C162" s="10"/>
      <c r="D162" s="6"/>
      <c r="E162" s="10"/>
      <c r="F162" s="8" t="str">
        <f t="shared" ref="F162:F193" si="59">IF(OR(C162="",D162="",E162="",N162="",C162&lt;=0,D162&lt;=0,E162&lt;=N162),"",ROUNDDOWN((C162*D162)/(E162-N162)/100,0)*100)</f>
        <v/>
      </c>
      <c r="G162" s="8" t="str">
        <f ca="1"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COUNTIFS(持仓跟踪!$A$2:$A$497,"止损计划",持仓跟踪!$B$2:$B$497,A162,持仓跟踪!$AC$2:$AC$497,"计划有效")=0,"禁止开仓：请先填写止损计划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2" s="2"/>
      <c r="I162" s="15"/>
      <c r="J162" s="10"/>
      <c r="K162" s="5" t="str">
        <f>IF(A162="","",IFERROR(LOOKUP(2,1/((持仓跟踪!$B$2:$B$497=A162)*(持仓跟踪!$X$2:$X$497="执行卖出")*(持仓跟踪!$Y$2:$Y$497&lt;&gt;"")),持仓跟踪!$Y$2:$Y$497),""))</f>
        <v/>
      </c>
      <c r="L162" s="8" t="str">
        <f>IF(A162="","",IFERROR(LOOKUP(2,1/((持仓跟踪!$B$2:$B$497=A162)*(持仓跟踪!$X$2:$X$497="执行卖出")*(持仓跟踪!$Z$2:$Z$497&lt;&gt;"")),持仓跟踪!$Z$2:$Z$497),""))</f>
        <v/>
      </c>
      <c r="M162" s="23" t="str">
        <f>IF(A162="","",IFERROR(LOOKUP(2,1/((持仓跟踪!$B$2:$B$497=A162)*(持仓跟踪!$X$2:$X$497="执行卖出")*(持仓跟踪!$H$2:$H$497&lt;&gt;"")),持仓跟踪!$H$2:$H$497),""))</f>
        <v/>
      </c>
      <c r="N162" s="10"/>
      <c r="O162" s="10"/>
      <c r="P162" s="5" t="str">
        <f>IF(A162="","",IFERROR(LOOKUP(2,1/((持仓跟踪!$B$2:$B$497=A162)*(持仓跟踪!$X$2:$X$497="执行卖出")*(持仓跟踪!$AA$2:$AA$497&lt;&gt;"")),持仓跟踪!$AA$2:$AA$497),""))</f>
        <v/>
      </c>
      <c r="Q162" s="2"/>
      <c r="R162" s="2"/>
      <c r="S162" s="2"/>
      <c r="T162" s="2"/>
      <c r="U162" s="7" t="str">
        <f t="shared" ref="U162:U193" si="60">IF(OR(AO162="",J162="",AO162&lt;=0),"",(J162-AO162)/AO162)</f>
        <v/>
      </c>
      <c r="V162" s="7" t="str">
        <f t="shared" ref="V162:V193" si="61">IF(OR(AO162="",N162="",AO162&lt;=0),"",(AO162-N162)/AO162)</f>
        <v/>
      </c>
      <c r="W162" s="22" t="str">
        <f t="shared" ref="W162:W193" si="62">IF(OR(U162="",V162="",V162&lt;=0),"",U162/V162)</f>
        <v/>
      </c>
      <c r="X162" s="5" t="str">
        <f t="shared" ref="X162:X193" si="63">IF(OR(K162="",L162="",AP162=""),"",K162*L162-(E162*H162+IF(AND(AK162&lt;&gt;"",AL162&lt;&gt;""),AK162*AL162,0)+IF(AND(AM162&lt;&gt;"",AN162&lt;&gt;""),AM162*AN162,0))-IF(O162="",0,O162)-IF(P162="",0,P162))</f>
        <v/>
      </c>
      <c r="Y162" s="7" t="str">
        <f t="shared" ref="Y162:Y193" si="64">IF(OR(X162="",AP162=""),"",IF((E162*H162+IF(AND(AK162&lt;&gt;"",AL162&lt;&gt;""),AK162*AL162,0)+IF(AND(AM162&lt;&gt;"",AN162&lt;&gt;""),AM162*AN162,0))+IF(O162="",0,O162)&lt;=0,"",X162/((E162*H162+IF(AND(AK162&lt;&gt;"",AL162&lt;&gt;""),AK162*AL162,0)+IF(AND(AM162&lt;&gt;"",AN162&lt;&gt;""),AM162*AN162,0))+IF(O162="",0,O162))))</f>
        <v/>
      </c>
      <c r="Z162" s="7" t="str">
        <f>IF(OR(AE162="",多次统计数据!$B$8=""),"",AE162-多次统计数据!$B$8)</f>
        <v/>
      </c>
      <c r="AA162" s="11" t="str">
        <f t="shared" ref="AA162:AA193" si="65">IF(OR(I162="",M162="",M162&lt;I162),"",M162-I162)</f>
        <v/>
      </c>
      <c r="AB162" s="7" t="str">
        <f>IF(OR(A162="",多次统计数据!$B$8="",多次统计数据!$B$6&lt;=0,多次统计数据!$B$6&gt;=1),"",1-POWER(1+多次统计数据!$B$8,-多次统计数据!$B$6/(1-多次统计数据!$B$6)))</f>
        <v/>
      </c>
      <c r="AC162" s="8" t="str">
        <f>IF(OR(AB162="",多次统计数据!$B$9=""),"",IF(多次统计数据!$B$9&lt;AB162,"低于上限","达到或超过上限"))</f>
        <v/>
      </c>
      <c r="AD162" s="2"/>
      <c r="AE162" s="7" t="str">
        <f t="shared" ref="AE162:AE193" si="66">IF(OR(X162="",C162="",C162&lt;=0),"",X162/C162)</f>
        <v/>
      </c>
      <c r="AG162" s="2"/>
      <c r="AH162" s="2"/>
      <c r="AI162" s="2"/>
      <c r="AJ162" s="8" t="str">
        <f t="shared" ref="AJ162:AJ193" si="67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10"/>
      <c r="AL162" s="12"/>
      <c r="AM162" s="10"/>
      <c r="AN162" s="12"/>
      <c r="AO162" s="5" t="str">
        <f t="shared" ref="AO162:AO193" si="68">IF(OR(A162="",H162="",H162&lt;=0),"",(E162*H162+IF(AND(AK162&lt;&gt;"",AL162&lt;&gt;""),AK162*AL162,0)+IF(AND(AM162&lt;&gt;"",AN162&lt;&gt;""),AM162*AN162,0))/AP162)</f>
        <v/>
      </c>
      <c r="AP162" s="11" t="str">
        <f t="shared" ref="AP162:AP193" si="69">IF(OR(A162="",H162="",H162&lt;=0),"",H162+IF(AL162="",0,AL162)+IF(AN162="",0,AN162))</f>
        <v/>
      </c>
      <c r="AQ162" s="5" t="str">
        <f>IF(A162="","",IF(M162&lt;&gt;"",0,IF(OR(H162="",N162=""),"",MAX(E162-MAX(N162,IFERROR(SUMPRODUCT(MAX(((持仓跟踪!$A$2:$A$497="每日跟踪")*(持仓跟踪!$B$2:$B$497=A162))*持仓跟踪!$S$2:$S$497)),0)),0)*H162+IF(OR(AK162="",AL162=""),0,MAX(AK162-MAX(N162,IFERROR(SUMPRODUCT(MAX(((持仓跟踪!$A$2:$A$497="每日跟踪")*(持仓跟踪!$B$2:$B$497=A162))*持仓跟踪!$S$2:$S$497)),0)),0)*AL162)+IF(OR(AM162="",AN162=""),0,MAX(AM162-MAX(N162,IFERROR(SUMPRODUCT(MAX(((持仓跟踪!$A$2:$A$497="每日跟踪")*(持仓跟踪!$B$2:$B$497=A162))*持仓跟踪!$S$2:$S$497)),0)),0)*AN162))))</f>
        <v/>
      </c>
      <c r="AR162" s="8" t="str">
        <f ca="1">IF(A162="","",IF(OR(E162="",H162=""),"违规：第一批价格或股数缺失",IF(OR(AND(AK162="",AL162&lt;&gt;""),AND(AK162&lt;&gt;"",AL162="")),"违规：第二批价格与股数须成对填写",IF(OR(AND(AM162="",AN162&lt;&gt;""),AND(AM162&lt;&gt;"",AN162="")),"违规：第三批价格与股数须成对填写",IF(AND(OR(AM162&lt;&gt;"",AN162&lt;&gt;""),OR(AK162="",AL162="")),"违规：必须先完成第二批",IF(OR(H162&lt;=0,H162&lt;&gt;INT(H162),MOD(H162,100)&lt;&gt;0,AND(AL162&lt;&gt;"",OR(AL162&lt;=0,AL162&lt;&gt;INT(AL162),MOD(AL162,100)&lt;&gt;0)),AND(AN162&lt;&gt;"",OR(AN162&lt;=0,AN162&lt;&gt;INT(AN162),MOD(AN162,100)&lt;&gt;0))),"违规：股数须为100股整数倍",IF(AND(OR(AL162&lt;&gt;"",AN162&lt;&gt;""),OR(_LockStatus="已锁仓",_LockStatus="解锁信息不完整")),"违规：锁仓期间禁止加仓",IF(AQ162&gt;C162*D162,"违规：超过单笔风险上限",IF(SUM($AQ$2:$AQ$201)&gt;账户数据!$B$7,"违规：超过账户风险上限","通过")))))))))</f>
        <v/>
      </c>
    </row>
    <row r="163" ht="17" spans="1:44">
      <c r="A163" s="2"/>
      <c r="B163" s="2"/>
      <c r="C163" s="10"/>
      <c r="D163" s="6"/>
      <c r="E163" s="10"/>
      <c r="F163" s="8" t="str">
        <f t="shared" si="59"/>
        <v/>
      </c>
      <c r="G163" s="8" t="str">
        <f ca="1"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COUNTIFS(持仓跟踪!$A$2:$A$497,"止损计划",持仓跟踪!$B$2:$B$497,A163,持仓跟踪!$AC$2:$AC$497,"计划有效")=0,"禁止开仓：请先填写止损计划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3" s="2"/>
      <c r="I163" s="15"/>
      <c r="J163" s="10"/>
      <c r="K163" s="5" t="str">
        <f>IF(A163="","",IFERROR(LOOKUP(2,1/((持仓跟踪!$B$2:$B$497=A163)*(持仓跟踪!$X$2:$X$497="执行卖出")*(持仓跟踪!$Y$2:$Y$497&lt;&gt;"")),持仓跟踪!$Y$2:$Y$497),""))</f>
        <v/>
      </c>
      <c r="L163" s="8" t="str">
        <f>IF(A163="","",IFERROR(LOOKUP(2,1/((持仓跟踪!$B$2:$B$497=A163)*(持仓跟踪!$X$2:$X$497="执行卖出")*(持仓跟踪!$Z$2:$Z$497&lt;&gt;"")),持仓跟踪!$Z$2:$Z$497),""))</f>
        <v/>
      </c>
      <c r="M163" s="23" t="str">
        <f>IF(A163="","",IFERROR(LOOKUP(2,1/((持仓跟踪!$B$2:$B$497=A163)*(持仓跟踪!$X$2:$X$497="执行卖出")*(持仓跟踪!$H$2:$H$497&lt;&gt;"")),持仓跟踪!$H$2:$H$497),""))</f>
        <v/>
      </c>
      <c r="N163" s="10"/>
      <c r="O163" s="10"/>
      <c r="P163" s="5" t="str">
        <f>IF(A163="","",IFERROR(LOOKUP(2,1/((持仓跟踪!$B$2:$B$497=A163)*(持仓跟踪!$X$2:$X$497="执行卖出")*(持仓跟踪!$AA$2:$AA$497&lt;&gt;"")),持仓跟踪!$AA$2:$AA$497),""))</f>
        <v/>
      </c>
      <c r="Q163" s="2"/>
      <c r="R163" s="2"/>
      <c r="S163" s="2"/>
      <c r="T163" s="2"/>
      <c r="U163" s="7" t="str">
        <f t="shared" si="60"/>
        <v/>
      </c>
      <c r="V163" s="7" t="str">
        <f t="shared" si="61"/>
        <v/>
      </c>
      <c r="W163" s="22" t="str">
        <f t="shared" si="62"/>
        <v/>
      </c>
      <c r="X163" s="5" t="str">
        <f t="shared" si="63"/>
        <v/>
      </c>
      <c r="Y163" s="7" t="str">
        <f t="shared" si="64"/>
        <v/>
      </c>
      <c r="Z163" s="7" t="str">
        <f>IF(OR(AE163="",多次统计数据!$B$8=""),"",AE163-多次统计数据!$B$8)</f>
        <v/>
      </c>
      <c r="AA163" s="11" t="str">
        <f t="shared" si="65"/>
        <v/>
      </c>
      <c r="AB163" s="7" t="str">
        <f>IF(OR(A163="",多次统计数据!$B$8="",多次统计数据!$B$6&lt;=0,多次统计数据!$B$6&gt;=1),"",1-POWER(1+多次统计数据!$B$8,-多次统计数据!$B$6/(1-多次统计数据!$B$6)))</f>
        <v/>
      </c>
      <c r="AC163" s="8" t="str">
        <f>IF(OR(AB163="",多次统计数据!$B$9=""),"",IF(多次统计数据!$B$9&lt;AB163,"低于上限","达到或超过上限"))</f>
        <v/>
      </c>
      <c r="AD163" s="2"/>
      <c r="AE163" s="7" t="str">
        <f t="shared" si="66"/>
        <v/>
      </c>
      <c r="AG163" s="2"/>
      <c r="AH163" s="2"/>
      <c r="AI163" s="2"/>
      <c r="AJ163" s="8" t="str">
        <f t="shared" si="67"/>
        <v/>
      </c>
      <c r="AK163" s="10"/>
      <c r="AL163" s="12"/>
      <c r="AM163" s="10"/>
      <c r="AN163" s="12"/>
      <c r="AO163" s="5" t="str">
        <f t="shared" si="68"/>
        <v/>
      </c>
      <c r="AP163" s="11" t="str">
        <f t="shared" si="69"/>
        <v/>
      </c>
      <c r="AQ163" s="5" t="str">
        <f>IF(A163="","",IF(M163&lt;&gt;"",0,IF(OR(H163="",N163=""),"",MAX(E163-MAX(N163,IFERROR(SUMPRODUCT(MAX(((持仓跟踪!$A$2:$A$497="每日跟踪")*(持仓跟踪!$B$2:$B$497=A163))*持仓跟踪!$S$2:$S$497)),0)),0)*H163+IF(OR(AK163="",AL163=""),0,MAX(AK163-MAX(N163,IFERROR(SUMPRODUCT(MAX(((持仓跟踪!$A$2:$A$497="每日跟踪")*(持仓跟踪!$B$2:$B$497=A163))*持仓跟踪!$S$2:$S$497)),0)),0)*AL163)+IF(OR(AM163="",AN163=""),0,MAX(AM163-MAX(N163,IFERROR(SUMPRODUCT(MAX(((持仓跟踪!$A$2:$A$497="每日跟踪")*(持仓跟踪!$B$2:$B$497=A163))*持仓跟踪!$S$2:$S$497)),0)),0)*AN163))))</f>
        <v/>
      </c>
      <c r="AR163" s="8" t="str">
        <f ca="1">IF(A163="","",IF(OR(E163="",H163=""),"违规：第一批价格或股数缺失",IF(OR(AND(AK163="",AL163&lt;&gt;""),AND(AK163&lt;&gt;"",AL163="")),"违规：第二批价格与股数须成对填写",IF(OR(AND(AM163="",AN163&lt;&gt;""),AND(AM163&lt;&gt;"",AN163="")),"违规：第三批价格与股数须成对填写",IF(AND(OR(AM163&lt;&gt;"",AN163&lt;&gt;""),OR(AK163="",AL163="")),"违规：必须先完成第二批",IF(OR(H163&lt;=0,H163&lt;&gt;INT(H163),MOD(H163,100)&lt;&gt;0,AND(AL163&lt;&gt;"",OR(AL163&lt;=0,AL163&lt;&gt;INT(AL163),MOD(AL163,100)&lt;&gt;0)),AND(AN163&lt;&gt;"",OR(AN163&lt;=0,AN163&lt;&gt;INT(AN163),MOD(AN163,100)&lt;&gt;0))),"违规：股数须为100股整数倍",IF(AND(OR(AL163&lt;&gt;"",AN163&lt;&gt;""),OR(_LockStatus="已锁仓",_LockStatus="解锁信息不完整")),"违规：锁仓期间禁止加仓",IF(AQ163&gt;C163*D163,"违规：超过单笔风险上限",IF(SUM($AQ$2:$AQ$201)&gt;账户数据!$B$7,"违规：超过账户风险上限","通过")))))))))</f>
        <v/>
      </c>
    </row>
    <row r="164" ht="17" spans="1:44">
      <c r="A164" s="2"/>
      <c r="B164" s="2"/>
      <c r="C164" s="10"/>
      <c r="D164" s="6"/>
      <c r="E164" s="10"/>
      <c r="F164" s="8" t="str">
        <f t="shared" si="59"/>
        <v/>
      </c>
      <c r="G164" s="8" t="str">
        <f ca="1"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COUNTIFS(持仓跟踪!$A$2:$A$497,"止损计划",持仓跟踪!$B$2:$B$497,A164,持仓跟踪!$AC$2:$AC$497,"计划有效")=0,"禁止开仓：请先填写止损计划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4" s="2"/>
      <c r="I164" s="15"/>
      <c r="J164" s="10"/>
      <c r="K164" s="5" t="str">
        <f>IF(A164="","",IFERROR(LOOKUP(2,1/((持仓跟踪!$B$2:$B$497=A164)*(持仓跟踪!$X$2:$X$497="执行卖出")*(持仓跟踪!$Y$2:$Y$497&lt;&gt;"")),持仓跟踪!$Y$2:$Y$497),""))</f>
        <v/>
      </c>
      <c r="L164" s="8" t="str">
        <f>IF(A164="","",IFERROR(LOOKUP(2,1/((持仓跟踪!$B$2:$B$497=A164)*(持仓跟踪!$X$2:$X$497="执行卖出")*(持仓跟踪!$Z$2:$Z$497&lt;&gt;"")),持仓跟踪!$Z$2:$Z$497),""))</f>
        <v/>
      </c>
      <c r="M164" s="23" t="str">
        <f>IF(A164="","",IFERROR(LOOKUP(2,1/((持仓跟踪!$B$2:$B$497=A164)*(持仓跟踪!$X$2:$X$497="执行卖出")*(持仓跟踪!$H$2:$H$497&lt;&gt;"")),持仓跟踪!$H$2:$H$497),""))</f>
        <v/>
      </c>
      <c r="N164" s="10"/>
      <c r="O164" s="10"/>
      <c r="P164" s="5" t="str">
        <f>IF(A164="","",IFERROR(LOOKUP(2,1/((持仓跟踪!$B$2:$B$497=A164)*(持仓跟踪!$X$2:$X$497="执行卖出")*(持仓跟踪!$AA$2:$AA$497&lt;&gt;"")),持仓跟踪!$AA$2:$AA$497),""))</f>
        <v/>
      </c>
      <c r="Q164" s="2"/>
      <c r="R164" s="2"/>
      <c r="S164" s="2"/>
      <c r="T164" s="2"/>
      <c r="U164" s="7" t="str">
        <f t="shared" si="60"/>
        <v/>
      </c>
      <c r="V164" s="7" t="str">
        <f t="shared" si="61"/>
        <v/>
      </c>
      <c r="W164" s="22" t="str">
        <f t="shared" si="62"/>
        <v/>
      </c>
      <c r="X164" s="5" t="str">
        <f t="shared" si="63"/>
        <v/>
      </c>
      <c r="Y164" s="7" t="str">
        <f t="shared" si="64"/>
        <v/>
      </c>
      <c r="Z164" s="7" t="str">
        <f>IF(OR(AE164="",多次统计数据!$B$8=""),"",AE164-多次统计数据!$B$8)</f>
        <v/>
      </c>
      <c r="AA164" s="11" t="str">
        <f t="shared" si="65"/>
        <v/>
      </c>
      <c r="AB164" s="7" t="str">
        <f>IF(OR(A164="",多次统计数据!$B$8="",多次统计数据!$B$6&lt;=0,多次统计数据!$B$6&gt;=1),"",1-POWER(1+多次统计数据!$B$8,-多次统计数据!$B$6/(1-多次统计数据!$B$6)))</f>
        <v/>
      </c>
      <c r="AC164" s="8" t="str">
        <f>IF(OR(AB164="",多次统计数据!$B$9=""),"",IF(多次统计数据!$B$9&lt;AB164,"低于上限","达到或超过上限"))</f>
        <v/>
      </c>
      <c r="AD164" s="2"/>
      <c r="AE164" s="7" t="str">
        <f t="shared" si="66"/>
        <v/>
      </c>
      <c r="AG164" s="2"/>
      <c r="AH164" s="2"/>
      <c r="AI164" s="2"/>
      <c r="AJ164" s="8" t="str">
        <f t="shared" si="67"/>
        <v/>
      </c>
      <c r="AK164" s="10"/>
      <c r="AL164" s="12"/>
      <c r="AM164" s="10"/>
      <c r="AN164" s="12"/>
      <c r="AO164" s="5" t="str">
        <f t="shared" si="68"/>
        <v/>
      </c>
      <c r="AP164" s="11" t="str">
        <f t="shared" si="69"/>
        <v/>
      </c>
      <c r="AQ164" s="5" t="str">
        <f>IF(A164="","",IF(M164&lt;&gt;"",0,IF(OR(H164="",N164=""),"",MAX(E164-MAX(N164,IFERROR(SUMPRODUCT(MAX(((持仓跟踪!$A$2:$A$497="每日跟踪")*(持仓跟踪!$B$2:$B$497=A164))*持仓跟踪!$S$2:$S$497)),0)),0)*H164+IF(OR(AK164="",AL164=""),0,MAX(AK164-MAX(N164,IFERROR(SUMPRODUCT(MAX(((持仓跟踪!$A$2:$A$497="每日跟踪")*(持仓跟踪!$B$2:$B$497=A164))*持仓跟踪!$S$2:$S$497)),0)),0)*AL164)+IF(OR(AM164="",AN164=""),0,MAX(AM164-MAX(N164,IFERROR(SUMPRODUCT(MAX(((持仓跟踪!$A$2:$A$497="每日跟踪")*(持仓跟踪!$B$2:$B$497=A164))*持仓跟踪!$S$2:$S$497)),0)),0)*AN164))))</f>
        <v/>
      </c>
      <c r="AR164" s="8" t="str">
        <f ca="1">IF(A164="","",IF(OR(E164="",H164=""),"违规：第一批价格或股数缺失",IF(OR(AND(AK164="",AL164&lt;&gt;""),AND(AK164&lt;&gt;"",AL164="")),"违规：第二批价格与股数须成对填写",IF(OR(AND(AM164="",AN164&lt;&gt;""),AND(AM164&lt;&gt;"",AN164="")),"违规：第三批价格与股数须成对填写",IF(AND(OR(AM164&lt;&gt;"",AN164&lt;&gt;""),OR(AK164="",AL164="")),"违规：必须先完成第二批",IF(OR(H164&lt;=0,H164&lt;&gt;INT(H164),MOD(H164,100)&lt;&gt;0,AND(AL164&lt;&gt;"",OR(AL164&lt;=0,AL164&lt;&gt;INT(AL164),MOD(AL164,100)&lt;&gt;0)),AND(AN164&lt;&gt;"",OR(AN164&lt;=0,AN164&lt;&gt;INT(AN164),MOD(AN164,100)&lt;&gt;0))),"违规：股数须为100股整数倍",IF(AND(OR(AL164&lt;&gt;"",AN164&lt;&gt;""),OR(_LockStatus="已锁仓",_LockStatus="解锁信息不完整")),"违规：锁仓期间禁止加仓",IF(AQ164&gt;C164*D164,"违规：超过单笔风险上限",IF(SUM($AQ$2:$AQ$201)&gt;账户数据!$B$7,"违规：超过账户风险上限","通过")))))))))</f>
        <v/>
      </c>
    </row>
    <row r="165" ht="17" spans="1:44">
      <c r="A165" s="2"/>
      <c r="B165" s="2"/>
      <c r="C165" s="10"/>
      <c r="D165" s="6"/>
      <c r="E165" s="10"/>
      <c r="F165" s="8" t="str">
        <f t="shared" si="59"/>
        <v/>
      </c>
      <c r="G165" s="8" t="str">
        <f ca="1"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COUNTIFS(持仓跟踪!$A$2:$A$497,"止损计划",持仓跟踪!$B$2:$B$497,A165,持仓跟踪!$AC$2:$AC$497,"计划有效")=0,"禁止开仓：请先填写止损计划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5" s="2"/>
      <c r="I165" s="15"/>
      <c r="J165" s="10"/>
      <c r="K165" s="5" t="str">
        <f>IF(A165="","",IFERROR(LOOKUP(2,1/((持仓跟踪!$B$2:$B$497=A165)*(持仓跟踪!$X$2:$X$497="执行卖出")*(持仓跟踪!$Y$2:$Y$497&lt;&gt;"")),持仓跟踪!$Y$2:$Y$497),""))</f>
        <v/>
      </c>
      <c r="L165" s="8" t="str">
        <f>IF(A165="","",IFERROR(LOOKUP(2,1/((持仓跟踪!$B$2:$B$497=A165)*(持仓跟踪!$X$2:$X$497="执行卖出")*(持仓跟踪!$Z$2:$Z$497&lt;&gt;"")),持仓跟踪!$Z$2:$Z$497),""))</f>
        <v/>
      </c>
      <c r="M165" s="23" t="str">
        <f>IF(A165="","",IFERROR(LOOKUP(2,1/((持仓跟踪!$B$2:$B$497=A165)*(持仓跟踪!$X$2:$X$497="执行卖出")*(持仓跟踪!$H$2:$H$497&lt;&gt;"")),持仓跟踪!$H$2:$H$497),""))</f>
        <v/>
      </c>
      <c r="N165" s="10"/>
      <c r="O165" s="10"/>
      <c r="P165" s="5" t="str">
        <f>IF(A165="","",IFERROR(LOOKUP(2,1/((持仓跟踪!$B$2:$B$497=A165)*(持仓跟踪!$X$2:$X$497="执行卖出")*(持仓跟踪!$AA$2:$AA$497&lt;&gt;"")),持仓跟踪!$AA$2:$AA$497),""))</f>
        <v/>
      </c>
      <c r="Q165" s="2"/>
      <c r="R165" s="2"/>
      <c r="S165" s="2"/>
      <c r="T165" s="2"/>
      <c r="U165" s="7" t="str">
        <f t="shared" si="60"/>
        <v/>
      </c>
      <c r="V165" s="7" t="str">
        <f t="shared" si="61"/>
        <v/>
      </c>
      <c r="W165" s="22" t="str">
        <f t="shared" si="62"/>
        <v/>
      </c>
      <c r="X165" s="5" t="str">
        <f t="shared" si="63"/>
        <v/>
      </c>
      <c r="Y165" s="7" t="str">
        <f t="shared" si="64"/>
        <v/>
      </c>
      <c r="Z165" s="7" t="str">
        <f>IF(OR(AE165="",多次统计数据!$B$8=""),"",AE165-多次统计数据!$B$8)</f>
        <v/>
      </c>
      <c r="AA165" s="11" t="str">
        <f t="shared" si="65"/>
        <v/>
      </c>
      <c r="AB165" s="7" t="str">
        <f>IF(OR(A165="",多次统计数据!$B$8="",多次统计数据!$B$6&lt;=0,多次统计数据!$B$6&gt;=1),"",1-POWER(1+多次统计数据!$B$8,-多次统计数据!$B$6/(1-多次统计数据!$B$6)))</f>
        <v/>
      </c>
      <c r="AC165" s="8" t="str">
        <f>IF(OR(AB165="",多次统计数据!$B$9=""),"",IF(多次统计数据!$B$9&lt;AB165,"低于上限","达到或超过上限"))</f>
        <v/>
      </c>
      <c r="AD165" s="2"/>
      <c r="AE165" s="7" t="str">
        <f t="shared" si="66"/>
        <v/>
      </c>
      <c r="AG165" s="2"/>
      <c r="AH165" s="2"/>
      <c r="AI165" s="2"/>
      <c r="AJ165" s="8" t="str">
        <f t="shared" si="67"/>
        <v/>
      </c>
      <c r="AK165" s="10"/>
      <c r="AL165" s="12"/>
      <c r="AM165" s="10"/>
      <c r="AN165" s="12"/>
      <c r="AO165" s="5" t="str">
        <f t="shared" si="68"/>
        <v/>
      </c>
      <c r="AP165" s="11" t="str">
        <f t="shared" si="69"/>
        <v/>
      </c>
      <c r="AQ165" s="5" t="str">
        <f>IF(A165="","",IF(M165&lt;&gt;"",0,IF(OR(H165="",N165=""),"",MAX(E165-MAX(N165,IFERROR(SUMPRODUCT(MAX(((持仓跟踪!$A$2:$A$497="每日跟踪")*(持仓跟踪!$B$2:$B$497=A165))*持仓跟踪!$S$2:$S$497)),0)),0)*H165+IF(OR(AK165="",AL165=""),0,MAX(AK165-MAX(N165,IFERROR(SUMPRODUCT(MAX(((持仓跟踪!$A$2:$A$497="每日跟踪")*(持仓跟踪!$B$2:$B$497=A165))*持仓跟踪!$S$2:$S$497)),0)),0)*AL165)+IF(OR(AM165="",AN165=""),0,MAX(AM165-MAX(N165,IFERROR(SUMPRODUCT(MAX(((持仓跟踪!$A$2:$A$497="每日跟踪")*(持仓跟踪!$B$2:$B$497=A165))*持仓跟踪!$S$2:$S$497)),0)),0)*AN165))))</f>
        <v/>
      </c>
      <c r="AR165" s="8" t="str">
        <f ca="1">IF(A165="","",IF(OR(E165="",H165=""),"违规：第一批价格或股数缺失",IF(OR(AND(AK165="",AL165&lt;&gt;""),AND(AK165&lt;&gt;"",AL165="")),"违规：第二批价格与股数须成对填写",IF(OR(AND(AM165="",AN165&lt;&gt;""),AND(AM165&lt;&gt;"",AN165="")),"违规：第三批价格与股数须成对填写",IF(AND(OR(AM165&lt;&gt;"",AN165&lt;&gt;""),OR(AK165="",AL165="")),"违规：必须先完成第二批",IF(OR(H165&lt;=0,H165&lt;&gt;INT(H165),MOD(H165,100)&lt;&gt;0,AND(AL165&lt;&gt;"",OR(AL165&lt;=0,AL165&lt;&gt;INT(AL165),MOD(AL165,100)&lt;&gt;0)),AND(AN165&lt;&gt;"",OR(AN165&lt;=0,AN165&lt;&gt;INT(AN165),MOD(AN165,100)&lt;&gt;0))),"违规：股数须为100股整数倍",IF(AND(OR(AL165&lt;&gt;"",AN165&lt;&gt;""),OR(_LockStatus="已锁仓",_LockStatus="解锁信息不完整")),"违规：锁仓期间禁止加仓",IF(AQ165&gt;C165*D165,"违规：超过单笔风险上限",IF(SUM($AQ$2:$AQ$201)&gt;账户数据!$B$7,"违规：超过账户风险上限","通过")))))))))</f>
        <v/>
      </c>
    </row>
    <row r="166" ht="17" spans="1:44">
      <c r="A166" s="2">
        <v>1</v>
      </c>
      <c r="B166" s="13" t="s">
        <v>44</v>
      </c>
      <c r="C166" s="10">
        <v>100000</v>
      </c>
      <c r="D166" s="6">
        <v>0.02</v>
      </c>
      <c r="E166" s="10">
        <v>5.11</v>
      </c>
      <c r="F166" s="8">
        <f t="shared" si="59"/>
        <v>3200</v>
      </c>
      <c r="G166" s="8" t="str">
        <f ca="1"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COUNTIFS(持仓跟踪!$A$2:$A$497,"止损计划",持仓跟踪!$B$2:$B$497,A166,持仓跟踪!$AC$2:$AC$497,"计划有效")=0,"禁止开仓：请先填写止损计划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66" s="2">
        <v>3200</v>
      </c>
      <c r="I166" s="15">
        <v>43420</v>
      </c>
      <c r="J166" s="10">
        <v>6</v>
      </c>
      <c r="K166" s="5">
        <v>4.41</v>
      </c>
      <c r="L166" s="8">
        <v>3200</v>
      </c>
      <c r="M166" s="23">
        <v>43424</v>
      </c>
      <c r="N166" s="10">
        <v>4.5</v>
      </c>
      <c r="O166" s="10"/>
      <c r="P166" s="5" t="str">
        <f>IF(A166="","",IFERROR(LOOKUP(2,1/((持仓跟踪!$B$2:$B$497=A166)*(持仓跟踪!$X$2:$X$497="执行卖出")*(持仓跟踪!$AA$2:$AA$497&lt;&gt;"")),持仓跟踪!$AA$2:$AA$497),""))</f>
        <v/>
      </c>
      <c r="Q166" s="2"/>
      <c r="R166" s="2"/>
      <c r="S166" s="2"/>
      <c r="T166" s="2"/>
      <c r="U166" s="7">
        <f t="shared" si="60"/>
        <v>0.174168297455969</v>
      </c>
      <c r="V166" s="7">
        <f t="shared" si="61"/>
        <v>0.119373776908024</v>
      </c>
      <c r="W166" s="22">
        <f t="shared" si="62"/>
        <v>1.45901639344262</v>
      </c>
      <c r="X166" s="5">
        <f t="shared" si="63"/>
        <v>-2240</v>
      </c>
      <c r="Y166" s="7">
        <f t="shared" si="64"/>
        <v>-0.136986301369863</v>
      </c>
      <c r="Z166" s="7">
        <f>IF(OR(AE166="",多次统计数据!$B$8=""),"",AE166-多次统计数据!$B$8)</f>
        <v>-0.0795206053262915</v>
      </c>
      <c r="AA166" s="11">
        <f t="shared" si="65"/>
        <v>4</v>
      </c>
      <c r="AB166" s="7">
        <f>IF(OR(A166="",多次统计数据!$B$8="",多次统计数据!$B$6&lt;=0,多次统计数据!$B$6&gt;=1),"",1-POWER(1+多次统计数据!$B$8,-多次统计数据!$B$6/(1-多次统计数据!$B$6)))</f>
        <v>0.0434660928439765</v>
      </c>
      <c r="AC166" s="8" t="str">
        <f>IF(OR(AB166="",多次统计数据!$B$9=""),"",IF(多次统计数据!$B$9&lt;AB166,"低于上限","达到或超过上限"))</f>
        <v>低于上限</v>
      </c>
      <c r="AD166" s="2"/>
      <c r="AE166" s="7">
        <f t="shared" si="66"/>
        <v>-0.0224</v>
      </c>
      <c r="AG166" s="2"/>
      <c r="AH166" s="2"/>
      <c r="AI166" s="2"/>
      <c r="AJ166" s="8" t="str">
        <f t="shared" si="67"/>
        <v/>
      </c>
      <c r="AK166" s="10"/>
      <c r="AL166" s="12"/>
      <c r="AM166" s="10"/>
      <c r="AN166" s="12"/>
      <c r="AO166" s="5">
        <f t="shared" si="68"/>
        <v>5.11</v>
      </c>
      <c r="AP166" s="11">
        <f t="shared" si="69"/>
        <v>3200</v>
      </c>
      <c r="AQ166" s="5">
        <f>IF(A166="","",IF(M166&lt;&gt;"",0,IF(OR(H166="",N166=""),"",MAX(E166-MAX(N166,IFERROR(SUMPRODUCT(MAX(((持仓跟踪!$A$2:$A$497="每日跟踪")*(持仓跟踪!$B$2:$B$497=A166))*持仓跟踪!$S$2:$S$497)),0)),0)*H166+IF(OR(AK166="",AL166=""),0,MAX(AK166-MAX(N166,IFERROR(SUMPRODUCT(MAX(((持仓跟踪!$A$2:$A$497="每日跟踪")*(持仓跟踪!$B$2:$B$497=A166))*持仓跟踪!$S$2:$S$497)),0)),0)*AL166)+IF(OR(AM166="",AN166=""),0,MAX(AM166-MAX(N166,IFERROR(SUMPRODUCT(MAX(((持仓跟踪!$A$2:$A$497="每日跟踪")*(持仓跟踪!$B$2:$B$497=A166))*持仓跟踪!$S$2:$S$497)),0)),0)*AN166))))</f>
        <v>0</v>
      </c>
      <c r="AR166" s="8" t="str">
        <f ca="1">IF(A166="","",IF(OR(E166="",H166=""),"违规：第一批价格或股数缺失",IF(OR(AND(AK166="",AL166&lt;&gt;""),AND(AK166&lt;&gt;"",AL166="")),"违规：第二批价格与股数须成对填写",IF(OR(AND(AM166="",AN166&lt;&gt;""),AND(AM166&lt;&gt;"",AN166="")),"违规：第三批价格与股数须成对填写",IF(AND(OR(AM166&lt;&gt;"",AN166&lt;&gt;""),OR(AK166="",AL166="")),"违规：必须先完成第二批",IF(OR(H166&lt;=0,H166&lt;&gt;INT(H166),MOD(H166,100)&lt;&gt;0,AND(AL166&lt;&gt;"",OR(AL166&lt;=0,AL166&lt;&gt;INT(AL166),MOD(AL166,100)&lt;&gt;0)),AND(AN166&lt;&gt;"",OR(AN166&lt;=0,AN166&lt;&gt;INT(AN166),MOD(AN166,100)&lt;&gt;0))),"违规：股数须为100股整数倍",IF(AND(OR(AL166&lt;&gt;"",AN166&lt;&gt;""),OR(_LockStatus="已锁仓",_LockStatus="解锁信息不完整")),"违规：锁仓期间禁止加仓",IF(AQ166&gt;C166*D166,"违规：超过单笔风险上限",IF(SUM($AQ$2:$AQ$201)&gt;账户数据!$B$7,"违规：超过账户风险上限","通过")))))))))</f>
        <v>通过</v>
      </c>
    </row>
    <row r="167" ht="17" spans="1:44">
      <c r="A167" s="2">
        <v>2</v>
      </c>
      <c r="B167" s="13" t="s">
        <v>44</v>
      </c>
      <c r="C167" s="10">
        <v>97760</v>
      </c>
      <c r="D167" s="6">
        <v>0.02</v>
      </c>
      <c r="E167" s="10">
        <v>4.87</v>
      </c>
      <c r="F167" s="8">
        <f t="shared" si="59"/>
        <v>5200</v>
      </c>
      <c r="G167" s="8" t="str">
        <f ca="1"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COUNTIFS(持仓跟踪!$A$2:$A$497,"止损计划",持仓跟踪!$B$2:$B$497,A167,持仓跟踪!$AC$2:$AC$497,"计划有效")=0,"禁止开仓：请先填写止损计划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67" s="2">
        <v>5200</v>
      </c>
      <c r="I167" s="15">
        <v>43479</v>
      </c>
      <c r="J167" s="10">
        <v>5.5</v>
      </c>
      <c r="K167" s="5">
        <v>7.84</v>
      </c>
      <c r="L167" s="8">
        <v>5200</v>
      </c>
      <c r="M167" s="23">
        <v>43521</v>
      </c>
      <c r="N167" s="10">
        <v>4.5</v>
      </c>
      <c r="O167" s="10"/>
      <c r="P167" s="5" t="str">
        <f>IF(A167="","",IFERROR(LOOKUP(2,1/((持仓跟踪!$B$2:$B$497=A167)*(持仓跟踪!$X$2:$X$497="执行卖出")*(持仓跟踪!$AA$2:$AA$497&lt;&gt;"")),持仓跟踪!$AA$2:$AA$497),""))</f>
        <v/>
      </c>
      <c r="Q167" s="2"/>
      <c r="R167" s="2"/>
      <c r="S167" s="2"/>
      <c r="T167" s="2"/>
      <c r="U167" s="7">
        <f t="shared" si="60"/>
        <v>0.129363449691992</v>
      </c>
      <c r="V167" s="7">
        <f t="shared" si="61"/>
        <v>0.0759753593429158</v>
      </c>
      <c r="W167" s="22">
        <f t="shared" si="62"/>
        <v>1.7027027027027</v>
      </c>
      <c r="X167" s="5">
        <f t="shared" si="63"/>
        <v>15444</v>
      </c>
      <c r="Y167" s="7">
        <f t="shared" si="64"/>
        <v>0.609856262833676</v>
      </c>
      <c r="Z167" s="7">
        <f>IF(OR(AE167="",多次统计数据!$B$8=""),"",AE167-多次统计数据!$B$8)</f>
        <v>0.100858118077964</v>
      </c>
      <c r="AA167" s="11">
        <f t="shared" si="65"/>
        <v>42</v>
      </c>
      <c r="AB167" s="7">
        <f>IF(OR(A167="",多次统计数据!$B$8="",多次统计数据!$B$6&lt;=0,多次统计数据!$B$6&gt;=1),"",1-POWER(1+多次统计数据!$B$8,-多次统计数据!$B$6/(1-多次统计数据!$B$6)))</f>
        <v>0.0434660928439765</v>
      </c>
      <c r="AC167" s="8" t="str">
        <f>IF(OR(AB167="",多次统计数据!$B$9=""),"",IF(多次统计数据!$B$9&lt;AB167,"低于上限","达到或超过上限"))</f>
        <v>低于上限</v>
      </c>
      <c r="AD167" s="2"/>
      <c r="AE167" s="7">
        <f t="shared" si="66"/>
        <v>0.157978723404255</v>
      </c>
      <c r="AG167" s="2"/>
      <c r="AH167" s="2"/>
      <c r="AI167" s="2"/>
      <c r="AJ167" s="8" t="str">
        <f t="shared" si="67"/>
        <v/>
      </c>
      <c r="AK167" s="10"/>
      <c r="AL167" s="12"/>
      <c r="AM167" s="10"/>
      <c r="AN167" s="12"/>
      <c r="AO167" s="5">
        <f t="shared" si="68"/>
        <v>4.87</v>
      </c>
      <c r="AP167" s="11">
        <f t="shared" si="69"/>
        <v>5200</v>
      </c>
      <c r="AQ167" s="5">
        <f>IF(A167="","",IF(M167&lt;&gt;"",0,IF(OR(H167="",N167=""),"",MAX(E167-MAX(N167,IFERROR(SUMPRODUCT(MAX(((持仓跟踪!$A$2:$A$497="每日跟踪")*(持仓跟踪!$B$2:$B$497=A167))*持仓跟踪!$S$2:$S$497)),0)),0)*H167+IF(OR(AK167="",AL167=""),0,MAX(AK167-MAX(N167,IFERROR(SUMPRODUCT(MAX(((持仓跟踪!$A$2:$A$497="每日跟踪")*(持仓跟踪!$B$2:$B$497=A167))*持仓跟踪!$S$2:$S$497)),0)),0)*AL167)+IF(OR(AM167="",AN167=""),0,MAX(AM167-MAX(N167,IFERROR(SUMPRODUCT(MAX(((持仓跟踪!$A$2:$A$497="每日跟踪")*(持仓跟踪!$B$2:$B$497=A167))*持仓跟踪!$S$2:$S$497)),0)),0)*AN167))))</f>
        <v>0</v>
      </c>
      <c r="AR167" s="8" t="str">
        <f ca="1">IF(A167="","",IF(OR(E167="",H167=""),"违规：第一批价格或股数缺失",IF(OR(AND(AK167="",AL167&lt;&gt;""),AND(AK167&lt;&gt;"",AL167="")),"违规：第二批价格与股数须成对填写",IF(OR(AND(AM167="",AN167&lt;&gt;""),AND(AM167&lt;&gt;"",AN167="")),"违规：第三批价格与股数须成对填写",IF(AND(OR(AM167&lt;&gt;"",AN167&lt;&gt;""),OR(AK167="",AL167="")),"违规：必须先完成第二批",IF(OR(H167&lt;=0,H167&lt;&gt;INT(H167),MOD(H167,100)&lt;&gt;0,AND(AL167&lt;&gt;"",OR(AL167&lt;=0,AL167&lt;&gt;INT(AL167),MOD(AL167,100)&lt;&gt;0)),AND(AN167&lt;&gt;"",OR(AN167&lt;=0,AN167&lt;&gt;INT(AN167),MOD(AN167,100)&lt;&gt;0))),"违规：股数须为100股整数倍",IF(AND(OR(AL167&lt;&gt;"",AN167&lt;&gt;""),OR(_LockStatus="已锁仓",_LockStatus="解锁信息不完整")),"违规：锁仓期间禁止加仓",IF(AQ167&gt;C167*D167,"违规：超过单笔风险上限",IF(SUM($AQ$2:$AQ$201)&gt;账户数据!$B$7,"违规：超过账户风险上限","通过")))))))))</f>
        <v>通过</v>
      </c>
    </row>
    <row r="168" ht="17" spans="1:44">
      <c r="A168" s="2">
        <v>3</v>
      </c>
      <c r="B168" s="13" t="s">
        <v>44</v>
      </c>
      <c r="C168" s="10">
        <v>113204</v>
      </c>
      <c r="D168" s="6">
        <v>0.02</v>
      </c>
      <c r="E168" s="10">
        <v>20.45</v>
      </c>
      <c r="F168" s="8">
        <f t="shared" si="59"/>
        <v>1800</v>
      </c>
      <c r="G168" s="8" t="str">
        <f ca="1"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COUNTIFS(持仓跟踪!$A$2:$A$497,"止损计划",持仓跟踪!$B$2:$B$497,A168,持仓跟踪!$AC$2:$AC$497,"计划有效")=0,"禁止开仓：请先填写止损计划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68" s="2">
        <v>1800</v>
      </c>
      <c r="I168" s="15">
        <v>43487</v>
      </c>
      <c r="J168" s="10">
        <v>22</v>
      </c>
      <c r="K168" s="5">
        <v>17.45</v>
      </c>
      <c r="L168" s="8">
        <v>1800</v>
      </c>
      <c r="M168" s="23">
        <v>43864</v>
      </c>
      <c r="N168" s="10">
        <v>19.2</v>
      </c>
      <c r="O168" s="10"/>
      <c r="P168" s="5" t="str">
        <f>IF(A168="","",IFERROR(LOOKUP(2,1/((持仓跟踪!$B$2:$B$497=A168)*(持仓跟踪!$X$2:$X$497="执行卖出")*(持仓跟踪!$AA$2:$AA$497&lt;&gt;"")),持仓跟踪!$AA$2:$AA$497),""))</f>
        <v/>
      </c>
      <c r="Q168" s="2"/>
      <c r="R168" s="2"/>
      <c r="S168" s="2"/>
      <c r="T168" s="2"/>
      <c r="U168" s="7">
        <f t="shared" si="60"/>
        <v>0.0757946210268949</v>
      </c>
      <c r="V168" s="7">
        <f t="shared" si="61"/>
        <v>0.0611246943765281</v>
      </c>
      <c r="W168" s="22">
        <f t="shared" si="62"/>
        <v>1.24</v>
      </c>
      <c r="X168" s="5">
        <f t="shared" si="63"/>
        <v>-5400</v>
      </c>
      <c r="Y168" s="7">
        <f t="shared" si="64"/>
        <v>-0.146699266503667</v>
      </c>
      <c r="Z168" s="7">
        <f>IF(OR(AE168="",多次统计数据!$B$8=""),"",AE168-多次统计数据!$B$8)</f>
        <v>-0.104822099973124</v>
      </c>
      <c r="AA168" s="11">
        <f t="shared" si="65"/>
        <v>377</v>
      </c>
      <c r="AB168" s="7">
        <f>IF(OR(A168="",多次统计数据!$B$8="",多次统计数据!$B$6&lt;=0,多次统计数据!$B$6&gt;=1),"",1-POWER(1+多次统计数据!$B$8,-多次统计数据!$B$6/(1-多次统计数据!$B$6)))</f>
        <v>0.0434660928439765</v>
      </c>
      <c r="AC168" s="8" t="str">
        <f>IF(OR(AB168="",多次统计数据!$B$9=""),"",IF(多次统计数据!$B$9&lt;AB168,"低于上限","达到或超过上限"))</f>
        <v>低于上限</v>
      </c>
      <c r="AD168" s="2"/>
      <c r="AE168" s="7">
        <f t="shared" si="66"/>
        <v>-0.0477014946468323</v>
      </c>
      <c r="AG168" s="2"/>
      <c r="AH168" s="2"/>
      <c r="AI168" s="2"/>
      <c r="AJ168" s="8" t="str">
        <f t="shared" si="67"/>
        <v/>
      </c>
      <c r="AK168" s="10"/>
      <c r="AL168" s="12"/>
      <c r="AM168" s="10"/>
      <c r="AN168" s="12"/>
      <c r="AO168" s="5">
        <f t="shared" si="68"/>
        <v>20.45</v>
      </c>
      <c r="AP168" s="11">
        <f t="shared" si="69"/>
        <v>1800</v>
      </c>
      <c r="AQ168" s="5">
        <f>IF(A168="","",IF(M168&lt;&gt;"",0,IF(OR(H168="",N168=""),"",MAX(E168-MAX(N168,IFERROR(SUMPRODUCT(MAX(((持仓跟踪!$A$2:$A$497="每日跟踪")*(持仓跟踪!$B$2:$B$497=A168))*持仓跟踪!$S$2:$S$497)),0)),0)*H168+IF(OR(AK168="",AL168=""),0,MAX(AK168-MAX(N168,IFERROR(SUMPRODUCT(MAX(((持仓跟踪!$A$2:$A$497="每日跟踪")*(持仓跟踪!$B$2:$B$497=A168))*持仓跟踪!$S$2:$S$497)),0)),0)*AL168)+IF(OR(AM168="",AN168=""),0,MAX(AM168-MAX(N168,IFERROR(SUMPRODUCT(MAX(((持仓跟踪!$A$2:$A$497="每日跟踪")*(持仓跟踪!$B$2:$B$497=A168))*持仓跟踪!$S$2:$S$497)),0)),0)*AN168))))</f>
        <v>0</v>
      </c>
      <c r="AR168" s="8" t="str">
        <f ca="1">IF(A168="","",IF(OR(E168="",H168=""),"违规：第一批价格或股数缺失",IF(OR(AND(AK168="",AL168&lt;&gt;""),AND(AK168&lt;&gt;"",AL168="")),"违规：第二批价格与股数须成对填写",IF(OR(AND(AM168="",AN168&lt;&gt;""),AND(AM168&lt;&gt;"",AN168="")),"违规：第三批价格与股数须成对填写",IF(AND(OR(AM168&lt;&gt;"",AN168&lt;&gt;""),OR(AK168="",AL168="")),"违规：必须先完成第二批",IF(OR(H168&lt;=0,H168&lt;&gt;INT(H168),MOD(H168,100)&lt;&gt;0,AND(AL168&lt;&gt;"",OR(AL168&lt;=0,AL168&lt;&gt;INT(AL168),MOD(AL168,100)&lt;&gt;0)),AND(AN168&lt;&gt;"",OR(AN168&lt;=0,AN168&lt;&gt;INT(AN168),MOD(AN168,100)&lt;&gt;0))),"违规：股数须为100股整数倍",IF(AND(OR(AL168&lt;&gt;"",AN168&lt;&gt;""),OR(_LockStatus="已锁仓",_LockStatus="解锁信息不完整")),"违规：锁仓期间禁止加仓",IF(AQ168&gt;C168*D168,"违规：超过单笔风险上限",IF(SUM($AQ$2:$AQ$201)&gt;账户数据!$B$7,"违规：超过账户风险上限","通过")))))))))</f>
        <v>通过</v>
      </c>
    </row>
    <row r="169" s="21" customFormat="1" ht="17" spans="1:44">
      <c r="A169" s="24">
        <v>4</v>
      </c>
      <c r="B169" s="24" t="s">
        <v>44</v>
      </c>
      <c r="C169" s="25">
        <v>107804</v>
      </c>
      <c r="D169" s="26">
        <v>0.02</v>
      </c>
      <c r="E169" s="25">
        <v>20.97</v>
      </c>
      <c r="F169" s="27">
        <f t="shared" si="59"/>
        <v>2200</v>
      </c>
      <c r="G169" s="27" t="str">
        <f ca="1"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COUNTIFS(持仓跟踪!$A$2:$A$497,"止损计划",持仓跟踪!$B$2:$B$497,A169,持仓跟踪!$AC$2:$AC$497,"计划有效")=0,"禁止开仓：请先填写止损计划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69" s="24">
        <v>2200</v>
      </c>
      <c r="I169" s="28">
        <v>43882</v>
      </c>
      <c r="J169" s="25">
        <v>23</v>
      </c>
      <c r="K169" s="29">
        <v>23.65</v>
      </c>
      <c r="L169" s="27">
        <v>2200</v>
      </c>
      <c r="M169" s="30">
        <v>43893</v>
      </c>
      <c r="N169" s="25">
        <v>20</v>
      </c>
      <c r="O169" s="25"/>
      <c r="P169" s="29" t="str">
        <f>IF(A169="","",IFERROR(LOOKUP(2,1/((持仓跟踪!$B$2:$B$497=A169)*(持仓跟踪!$X$2:$X$497="执行卖出")*(持仓跟踪!$AA$2:$AA$497&lt;&gt;"")),持仓跟踪!$AA$2:$AA$497),""))</f>
        <v/>
      </c>
      <c r="Q169" s="24"/>
      <c r="R169" s="24"/>
      <c r="S169" s="24"/>
      <c r="T169" s="24"/>
      <c r="U169" s="31">
        <f t="shared" si="60"/>
        <v>0.0968049594659037</v>
      </c>
      <c r="V169" s="31">
        <f t="shared" si="61"/>
        <v>0.0462565569861707</v>
      </c>
      <c r="W169" s="32">
        <f t="shared" si="62"/>
        <v>2.09278350515464</v>
      </c>
      <c r="X169" s="29">
        <f t="shared" si="63"/>
        <v>5896</v>
      </c>
      <c r="Y169" s="31">
        <f t="shared" si="64"/>
        <v>0.127801621363853</v>
      </c>
      <c r="Z169" s="31">
        <f>IF(OR(AE169="",多次统计数据!$B$8=""),"",AE169-多次统计数据!$B$8)</f>
        <v>-0.00242875715739241</v>
      </c>
      <c r="AA169" s="33">
        <f t="shared" si="65"/>
        <v>11</v>
      </c>
      <c r="AB169" s="31">
        <f>IF(OR(A169="",多次统计数据!$B$8="",多次统计数据!$B$6&lt;=0,多次统计数据!$B$6&gt;=1),"",1-POWER(1+多次统计数据!$B$8,-多次统计数据!$B$6/(1-多次统计数据!$B$6)))</f>
        <v>0.0434660928439765</v>
      </c>
      <c r="AC169" s="27" t="str">
        <f>IF(OR(AB169="",多次统计数据!$B$9=""),"",IF(多次统计数据!$B$9&lt;AB169,"低于上限","达到或超过上限"))</f>
        <v>低于上限</v>
      </c>
      <c r="AD169" s="24"/>
      <c r="AE169" s="31">
        <f t="shared" si="66"/>
        <v>0.0546918481688991</v>
      </c>
      <c r="AG169" s="24"/>
      <c r="AH169" s="24"/>
      <c r="AI169" s="24"/>
      <c r="AJ169" s="27" t="str">
        <f t="shared" si="67"/>
        <v/>
      </c>
      <c r="AK169" s="25"/>
      <c r="AL169" s="34"/>
      <c r="AM169" s="25"/>
      <c r="AN169" s="34"/>
      <c r="AO169" s="29">
        <f t="shared" si="68"/>
        <v>20.97</v>
      </c>
      <c r="AP169" s="33">
        <f t="shared" si="69"/>
        <v>2200</v>
      </c>
      <c r="AQ169" s="29">
        <f>IF(A169="","",IF(M169&lt;&gt;"",0,IF(OR(H169="",N169=""),"",MAX(E169-MAX(N169,IFERROR(SUMPRODUCT(MAX(((持仓跟踪!$A$2:$A$497="每日跟踪")*(持仓跟踪!$B$2:$B$497=A169))*持仓跟踪!$S$2:$S$497)),0)),0)*H169+IF(OR(AK169="",AL169=""),0,MAX(AK169-MAX(N169,IFERROR(SUMPRODUCT(MAX(((持仓跟踪!$A$2:$A$497="每日跟踪")*(持仓跟踪!$B$2:$B$497=A169))*持仓跟踪!$S$2:$S$497)),0)),0)*AL169)+IF(OR(AM169="",AN169=""),0,MAX(AM169-MAX(N169,IFERROR(SUMPRODUCT(MAX(((持仓跟踪!$A$2:$A$497="每日跟踪")*(持仓跟踪!$B$2:$B$497=A169))*持仓跟踪!$S$2:$S$497)),0)),0)*AN169))))</f>
        <v>0</v>
      </c>
      <c r="AR169" s="27" t="str">
        <f ca="1">IF(A169="","",IF(OR(E169="",H169=""),"违规：第一批价格或股数缺失",IF(OR(AND(AK169="",AL169&lt;&gt;""),AND(AK169&lt;&gt;"",AL169="")),"违规：第二批价格与股数须成对填写",IF(OR(AND(AM169="",AN169&lt;&gt;""),AND(AM169&lt;&gt;"",AN169="")),"违规：第三批价格与股数须成对填写",IF(AND(OR(AM169&lt;&gt;"",AN169&lt;&gt;""),OR(AK169="",AL169="")),"违规：必须先完成第二批",IF(OR(H169&lt;=0,H169&lt;&gt;INT(H169),MOD(H169,100)&lt;&gt;0,AND(AL169&lt;&gt;"",OR(AL169&lt;=0,AL169&lt;&gt;INT(AL169),MOD(AL169,100)&lt;&gt;0)),AND(AN169&lt;&gt;"",OR(AN169&lt;=0,AN169&lt;&gt;INT(AN169),MOD(AN169,100)&lt;&gt;0))),"违规：股数须为100股整数倍",IF(AND(OR(AL169&lt;&gt;"",AN169&lt;&gt;""),OR(_LockStatus="已锁仓",_LockStatus="解锁信息不完整")),"违规：锁仓期间禁止加仓",IF(AQ169&gt;C169*D169,"违规：超过单笔风险上限",IF(SUM($AQ$2:$AQ$201)&gt;账户数据!$B$7,"违规：超过账户风险上限","通过")))))))))</f>
        <v>通过</v>
      </c>
    </row>
    <row r="170" ht="17" spans="1:44">
      <c r="A170" s="2">
        <v>5</v>
      </c>
      <c r="B170" s="13" t="s">
        <v>44</v>
      </c>
      <c r="C170" s="10">
        <v>113700</v>
      </c>
      <c r="D170" s="6">
        <v>0.02</v>
      </c>
      <c r="E170" s="10">
        <v>22.61</v>
      </c>
      <c r="F170" s="8">
        <f t="shared" si="59"/>
        <v>1400</v>
      </c>
      <c r="G170" s="8" t="str">
        <f ca="1"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COUNTIFS(持仓跟踪!$A$2:$A$497,"止损计划",持仓跟踪!$B$2:$B$497,A170,持仓跟踪!$AC$2:$AC$497,"计划有效")=0,"禁止开仓：请先填写止损计划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70" s="2">
        <v>1400</v>
      </c>
      <c r="I170" s="15">
        <v>43896</v>
      </c>
      <c r="J170" s="10">
        <v>25</v>
      </c>
      <c r="K170" s="5">
        <v>19.42</v>
      </c>
      <c r="L170" s="8">
        <v>1400</v>
      </c>
      <c r="M170" s="23">
        <v>43920</v>
      </c>
      <c r="N170" s="10">
        <v>21</v>
      </c>
      <c r="O170" s="10"/>
      <c r="P170" s="5" t="str">
        <f>IF(A170="","",IFERROR(LOOKUP(2,1/((持仓跟踪!$B$2:$B$497=A170)*(持仓跟踪!$X$2:$X$497="执行卖出")*(持仓跟踪!$AA$2:$AA$497&lt;&gt;"")),持仓跟踪!$AA$2:$AA$497),""))</f>
        <v/>
      </c>
      <c r="Q170" s="2"/>
      <c r="R170" s="2"/>
      <c r="S170" s="2"/>
      <c r="T170" s="2"/>
      <c r="U170" s="7">
        <f t="shared" si="60"/>
        <v>0.105705440070765</v>
      </c>
      <c r="V170" s="7">
        <f t="shared" si="61"/>
        <v>0.0712074303405573</v>
      </c>
      <c r="W170" s="22">
        <f t="shared" si="62"/>
        <v>1.48447204968944</v>
      </c>
      <c r="X170" s="5">
        <f t="shared" si="63"/>
        <v>-4466</v>
      </c>
      <c r="Y170" s="7">
        <f t="shared" si="64"/>
        <v>-0.14108801415303</v>
      </c>
      <c r="Z170" s="7">
        <f>IF(OR(AE170="",多次统计数据!$B$8=""),"",AE170-多次统计数据!$B$8)</f>
        <v>-0.0963994091961244</v>
      </c>
      <c r="AA170" s="11">
        <f t="shared" si="65"/>
        <v>24</v>
      </c>
      <c r="AB170" s="7">
        <f>IF(OR(A170="",多次统计数据!$B$8="",多次统计数据!$B$6&lt;=0,多次统计数据!$B$6&gt;=1),"",1-POWER(1+多次统计数据!$B$8,-多次统计数据!$B$6/(1-多次统计数据!$B$6)))</f>
        <v>0.0434660928439765</v>
      </c>
      <c r="AC170" s="8" t="str">
        <f>IF(OR(AB170="",多次统计数据!$B$9=""),"",IF(多次统计数据!$B$9&lt;AB170,"低于上限","达到或超过上限"))</f>
        <v>低于上限</v>
      </c>
      <c r="AD170" s="2"/>
      <c r="AE170" s="7">
        <f t="shared" si="66"/>
        <v>-0.0392788038698329</v>
      </c>
      <c r="AG170" s="2"/>
      <c r="AH170" s="2"/>
      <c r="AI170" s="2"/>
      <c r="AJ170" s="8" t="str">
        <f t="shared" si="67"/>
        <v/>
      </c>
      <c r="AK170" s="10"/>
      <c r="AL170" s="12"/>
      <c r="AM170" s="10"/>
      <c r="AN170" s="12"/>
      <c r="AO170" s="5">
        <f t="shared" si="68"/>
        <v>22.61</v>
      </c>
      <c r="AP170" s="11">
        <f t="shared" si="69"/>
        <v>1400</v>
      </c>
      <c r="AQ170" s="5">
        <f>IF(A170="","",IF(M170&lt;&gt;"",0,IF(OR(H170="",N170=""),"",MAX(E170-MAX(N170,IFERROR(SUMPRODUCT(MAX(((持仓跟踪!$A$2:$A$497="每日跟踪")*(持仓跟踪!$B$2:$B$497=A170))*持仓跟踪!$S$2:$S$497)),0)),0)*H170+IF(OR(AK170="",AL170=""),0,MAX(AK170-MAX(N170,IFERROR(SUMPRODUCT(MAX(((持仓跟踪!$A$2:$A$497="每日跟踪")*(持仓跟踪!$B$2:$B$497=A170))*持仓跟踪!$S$2:$S$497)),0)),0)*AL170)+IF(OR(AM170="",AN170=""),0,MAX(AM170-MAX(N170,IFERROR(SUMPRODUCT(MAX(((持仓跟踪!$A$2:$A$497="每日跟踪")*(持仓跟踪!$B$2:$B$497=A170))*持仓跟踪!$S$2:$S$497)),0)),0)*AN170))))</f>
        <v>0</v>
      </c>
      <c r="AR170" s="8" t="str">
        <f ca="1">IF(A170="","",IF(OR(E170="",H170=""),"违规：第一批价格或股数缺失",IF(OR(AND(AK170="",AL170&lt;&gt;""),AND(AK170&lt;&gt;"",AL170="")),"违规：第二批价格与股数须成对填写",IF(OR(AND(AM170="",AN170&lt;&gt;""),AND(AM170&lt;&gt;"",AN170="")),"违规：第三批价格与股数须成对填写",IF(AND(OR(AM170&lt;&gt;"",AN170&lt;&gt;""),OR(AK170="",AL170="")),"违规：必须先完成第二批",IF(OR(H170&lt;=0,H170&lt;&gt;INT(H170),MOD(H170,100)&lt;&gt;0,AND(AL170&lt;&gt;"",OR(AL170&lt;=0,AL170&lt;&gt;INT(AL170),MOD(AL170,100)&lt;&gt;0)),AND(AN170&lt;&gt;"",OR(AN170&lt;=0,AN170&lt;&gt;INT(AN170),MOD(AN170,100)&lt;&gt;0))),"违规：股数须为100股整数倍",IF(AND(OR(AL170&lt;&gt;"",AN170&lt;&gt;""),OR(_LockStatus="已锁仓",_LockStatus="解锁信息不完整")),"违规：锁仓期间禁止加仓",IF(AQ170&gt;C170*D170,"违规：超过单笔风险上限",IF(SUM($AQ$2:$AQ$201)&gt;账户数据!$B$7,"违规：超过账户风险上限","通过")))))))))</f>
        <v>通过</v>
      </c>
    </row>
    <row r="171" ht="17" spans="1:44">
      <c r="A171" s="2">
        <v>6</v>
      </c>
      <c r="B171" s="13" t="s">
        <v>44</v>
      </c>
      <c r="C171" s="10">
        <v>109234</v>
      </c>
      <c r="D171" s="6">
        <v>0.02</v>
      </c>
      <c r="E171" s="10">
        <v>23.1</v>
      </c>
      <c r="F171" s="8">
        <f t="shared" si="59"/>
        <v>1900</v>
      </c>
      <c r="G171" s="8" t="str">
        <f ca="1"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COUNTIFS(持仓跟踪!$A$2:$A$497,"止损计划",持仓跟踪!$B$2:$B$497,A171,持仓跟踪!$AC$2:$AC$497,"计划有效")=0,"禁止开仓：请先填写止损计划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71" s="2">
        <v>1900</v>
      </c>
      <c r="I171" s="15">
        <v>43957</v>
      </c>
      <c r="J171" s="10">
        <v>25</v>
      </c>
      <c r="K171" s="5">
        <v>20.75</v>
      </c>
      <c r="L171" s="8">
        <v>1900</v>
      </c>
      <c r="M171" s="23">
        <v>43969</v>
      </c>
      <c r="N171" s="10">
        <v>22</v>
      </c>
      <c r="O171" s="10"/>
      <c r="P171" s="5" t="str">
        <f>IF(A171="","",IFERROR(LOOKUP(2,1/((持仓跟踪!$B$2:$B$497=A171)*(持仓跟踪!$X$2:$X$497="执行卖出")*(持仓跟踪!$AA$2:$AA$497&lt;&gt;"")),持仓跟踪!$AA$2:$AA$497),""))</f>
        <v/>
      </c>
      <c r="Q171" s="2"/>
      <c r="R171" s="2"/>
      <c r="S171" s="2"/>
      <c r="T171" s="2"/>
      <c r="U171" s="7">
        <f t="shared" si="60"/>
        <v>0.0822510822510822</v>
      </c>
      <c r="V171" s="7">
        <f t="shared" si="61"/>
        <v>0.0476190476190477</v>
      </c>
      <c r="W171" s="22">
        <f t="shared" si="62"/>
        <v>1.72727272727272</v>
      </c>
      <c r="X171" s="5">
        <f t="shared" si="63"/>
        <v>-4465</v>
      </c>
      <c r="Y171" s="7">
        <f t="shared" si="64"/>
        <v>-0.101731601731602</v>
      </c>
      <c r="Z171" s="7">
        <f>IF(OR(AE171="",多次统计数据!$B$8=""),"",AE171-多次统计数据!$B$8)</f>
        <v>-0.0979961568944846</v>
      </c>
      <c r="AA171" s="11">
        <f t="shared" si="65"/>
        <v>12</v>
      </c>
      <c r="AB171" s="7">
        <f>IF(OR(A171="",多次统计数据!$B$8="",多次统计数据!$B$6&lt;=0,多次统计数据!$B$6&gt;=1),"",1-POWER(1+多次统计数据!$B$8,-多次统计数据!$B$6/(1-多次统计数据!$B$6)))</f>
        <v>0.0434660928439765</v>
      </c>
      <c r="AC171" s="8" t="str">
        <f>IF(OR(AB171="",多次统计数据!$B$9=""),"",IF(多次统计数据!$B$9&lt;AB171,"低于上限","达到或超过上限"))</f>
        <v>低于上限</v>
      </c>
      <c r="AD171" s="2"/>
      <c r="AE171" s="7">
        <f t="shared" si="66"/>
        <v>-0.0408755515681931</v>
      </c>
      <c r="AG171" s="2"/>
      <c r="AH171" s="2"/>
      <c r="AI171" s="2"/>
      <c r="AJ171" s="8" t="str">
        <f t="shared" si="67"/>
        <v/>
      </c>
      <c r="AK171" s="10"/>
      <c r="AL171" s="12"/>
      <c r="AM171" s="10"/>
      <c r="AN171" s="12"/>
      <c r="AO171" s="5">
        <f t="shared" si="68"/>
        <v>23.1</v>
      </c>
      <c r="AP171" s="11">
        <f t="shared" si="69"/>
        <v>1900</v>
      </c>
      <c r="AQ171" s="5">
        <f>IF(A171="","",IF(M171&lt;&gt;"",0,IF(OR(H171="",N171=""),"",MAX(E171-MAX(N171,IFERROR(SUMPRODUCT(MAX(((持仓跟踪!$A$2:$A$497="每日跟踪")*(持仓跟踪!$B$2:$B$497=A171))*持仓跟踪!$S$2:$S$497)),0)),0)*H171+IF(OR(AK171="",AL171=""),0,MAX(AK171-MAX(N171,IFERROR(SUMPRODUCT(MAX(((持仓跟踪!$A$2:$A$497="每日跟踪")*(持仓跟踪!$B$2:$B$497=A171))*持仓跟踪!$S$2:$S$497)),0)),0)*AL171)+IF(OR(AM171="",AN171=""),0,MAX(AM171-MAX(N171,IFERROR(SUMPRODUCT(MAX(((持仓跟踪!$A$2:$A$497="每日跟踪")*(持仓跟踪!$B$2:$B$497=A171))*持仓跟踪!$S$2:$S$497)),0)),0)*AN171))))</f>
        <v>0</v>
      </c>
      <c r="AR171" s="8" t="str">
        <f ca="1">IF(A171="","",IF(OR(E171="",H171=""),"违规：第一批价格或股数缺失",IF(OR(AND(AK171="",AL171&lt;&gt;""),AND(AK171&lt;&gt;"",AL171="")),"违规：第二批价格与股数须成对填写",IF(OR(AND(AM171="",AN171&lt;&gt;""),AND(AM171&lt;&gt;"",AN171="")),"违规：第三批价格与股数须成对填写",IF(AND(OR(AM171&lt;&gt;"",AN171&lt;&gt;""),OR(AK171="",AL171="")),"违规：必须先完成第二批",IF(OR(H171&lt;=0,H171&lt;&gt;INT(H171),MOD(H171,100)&lt;&gt;0,AND(AL171&lt;&gt;"",OR(AL171&lt;=0,AL171&lt;&gt;INT(AL171),MOD(AL171,100)&lt;&gt;0)),AND(AN171&lt;&gt;"",OR(AN171&lt;=0,AN171&lt;&gt;INT(AN171),MOD(AN171,100)&lt;&gt;0))),"违规：股数须为100股整数倍",IF(AND(OR(AL171&lt;&gt;"",AN171&lt;&gt;""),OR(_LockStatus="已锁仓",_LockStatus="解锁信息不完整")),"违规：锁仓期间禁止加仓",IF(AQ171&gt;C171*D171,"违规：超过单笔风险上限",IF(SUM($AQ$2:$AQ$201)&gt;账户数据!$B$7,"违规：超过账户风险上限","通过")))))))))</f>
        <v>通过</v>
      </c>
    </row>
    <row r="172" ht="17" spans="1:44">
      <c r="A172" s="2">
        <v>7</v>
      </c>
      <c r="B172" s="13" t="s">
        <v>44</v>
      </c>
      <c r="C172" s="10">
        <v>104769</v>
      </c>
      <c r="D172" s="6">
        <v>0.02</v>
      </c>
      <c r="E172" s="10">
        <v>22.2</v>
      </c>
      <c r="F172" s="8">
        <f t="shared" si="59"/>
        <v>1700</v>
      </c>
      <c r="G172" s="8" t="str">
        <f ca="1"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COUNTIFS(持仓跟踪!$A$2:$A$497,"止损计划",持仓跟踪!$B$2:$B$497,A172,持仓跟踪!$AC$2:$AC$497,"计划有效")=0,"禁止开仓：请先填写止损计划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72" s="2">
        <v>1700</v>
      </c>
      <c r="I172" s="15">
        <v>44018</v>
      </c>
      <c r="J172" s="10">
        <v>25</v>
      </c>
      <c r="K172" s="5">
        <v>19.94</v>
      </c>
      <c r="L172" s="8">
        <v>1700</v>
      </c>
      <c r="M172" s="23">
        <v>44028</v>
      </c>
      <c r="N172" s="10">
        <v>21</v>
      </c>
      <c r="O172" s="10"/>
      <c r="P172" s="5" t="str">
        <f>IF(A172="","",IFERROR(LOOKUP(2,1/((持仓跟踪!$B$2:$B$497=A172)*(持仓跟踪!$X$2:$X$497="执行卖出")*(持仓跟踪!$AA$2:$AA$497&lt;&gt;"")),持仓跟踪!$AA$2:$AA$497),""))</f>
        <v/>
      </c>
      <c r="Q172" s="2"/>
      <c r="R172" s="2"/>
      <c r="S172" s="2"/>
      <c r="T172" s="2"/>
      <c r="U172" s="7">
        <f t="shared" si="60"/>
        <v>0.126126126126126</v>
      </c>
      <c r="V172" s="7">
        <f t="shared" si="61"/>
        <v>0.054054054054054</v>
      </c>
      <c r="W172" s="22">
        <f t="shared" si="62"/>
        <v>2.33333333333334</v>
      </c>
      <c r="X172" s="5">
        <f t="shared" si="63"/>
        <v>-3842</v>
      </c>
      <c r="Y172" s="7">
        <f t="shared" si="64"/>
        <v>-0.101801801801802</v>
      </c>
      <c r="Z172" s="7">
        <f>IF(OR(AE172="",多次统计数据!$B$8=""),"",AE172-多次统计数据!$B$8)</f>
        <v>-0.093791758052766</v>
      </c>
      <c r="AA172" s="11">
        <f t="shared" si="65"/>
        <v>10</v>
      </c>
      <c r="AB172" s="7">
        <f>IF(OR(A172="",多次统计数据!$B$8="",多次统计数据!$B$6&lt;=0,多次统计数据!$B$6&gt;=1),"",1-POWER(1+多次统计数据!$B$8,-多次统计数据!$B$6/(1-多次统计数据!$B$6)))</f>
        <v>0.0434660928439765</v>
      </c>
      <c r="AC172" s="8" t="str">
        <f>IF(OR(AB172="",多次统计数据!$B$9=""),"",IF(多次统计数据!$B$9&lt;AB172,"低于上限","达到或超过上限"))</f>
        <v>低于上限</v>
      </c>
      <c r="AD172" s="2"/>
      <c r="AE172" s="7">
        <f t="shared" si="66"/>
        <v>-0.0366711527264744</v>
      </c>
      <c r="AG172" s="2"/>
      <c r="AH172" s="2"/>
      <c r="AI172" s="2"/>
      <c r="AJ172" s="8" t="str">
        <f t="shared" si="67"/>
        <v/>
      </c>
      <c r="AK172" s="10"/>
      <c r="AL172" s="12"/>
      <c r="AM172" s="10"/>
      <c r="AN172" s="12"/>
      <c r="AO172" s="5">
        <f t="shared" si="68"/>
        <v>22.2</v>
      </c>
      <c r="AP172" s="11">
        <f t="shared" si="69"/>
        <v>1700</v>
      </c>
      <c r="AQ172" s="5">
        <f>IF(A172="","",IF(M172&lt;&gt;"",0,IF(OR(H172="",N172=""),"",MAX(E172-MAX(N172,IFERROR(SUMPRODUCT(MAX(((持仓跟踪!$A$2:$A$497="每日跟踪")*(持仓跟踪!$B$2:$B$497=A172))*持仓跟踪!$S$2:$S$497)),0)),0)*H172+IF(OR(AK172="",AL172=""),0,MAX(AK172-MAX(N172,IFERROR(SUMPRODUCT(MAX(((持仓跟踪!$A$2:$A$497="每日跟踪")*(持仓跟踪!$B$2:$B$497=A172))*持仓跟踪!$S$2:$S$497)),0)),0)*AL172)+IF(OR(AM172="",AN172=""),0,MAX(AM172-MAX(N172,IFERROR(SUMPRODUCT(MAX(((持仓跟踪!$A$2:$A$497="每日跟踪")*(持仓跟踪!$B$2:$B$497=A172))*持仓跟踪!$S$2:$S$497)),0)),0)*AN172))))</f>
        <v>0</v>
      </c>
      <c r="AR172" s="8" t="str">
        <f ca="1">IF(A172="","",IF(OR(E172="",H172=""),"违规：第一批价格或股数缺失",IF(OR(AND(AK172="",AL172&lt;&gt;""),AND(AK172&lt;&gt;"",AL172="")),"违规：第二批价格与股数须成对填写",IF(OR(AND(AM172="",AN172&lt;&gt;""),AND(AM172&lt;&gt;"",AN172="")),"违规：第三批价格与股数须成对填写",IF(AND(OR(AM172&lt;&gt;"",AN172&lt;&gt;""),OR(AK172="",AL172="")),"违规：必须先完成第二批",IF(OR(H172&lt;=0,H172&lt;&gt;INT(H172),MOD(H172,100)&lt;&gt;0,AND(AL172&lt;&gt;"",OR(AL172&lt;=0,AL172&lt;&gt;INT(AL172),MOD(AL172,100)&lt;&gt;0)),AND(AN172&lt;&gt;"",OR(AN172&lt;=0,AN172&lt;&gt;INT(AN172),MOD(AN172,100)&lt;&gt;0))),"违规：股数须为100股整数倍",IF(AND(OR(AL172&lt;&gt;"",AN172&lt;&gt;""),OR(_LockStatus="已锁仓",_LockStatus="解锁信息不完整")),"违规：锁仓期间禁止加仓",IF(AQ172&gt;C172*D172,"违规：超过单笔风险上限",IF(SUM($AQ$2:$AQ$201)&gt;账户数据!$B$7,"违规：超过账户风险上限","通过")))))))))</f>
        <v>通过</v>
      </c>
    </row>
    <row r="173" ht="17" spans="1:44">
      <c r="A173" s="2">
        <v>8</v>
      </c>
      <c r="B173" s="13" t="s">
        <v>44</v>
      </c>
      <c r="C173" s="10">
        <v>100927</v>
      </c>
      <c r="D173" s="6">
        <v>0.02</v>
      </c>
      <c r="E173" s="10">
        <v>16.51</v>
      </c>
      <c r="F173" s="8">
        <f t="shared" si="59"/>
        <v>3900</v>
      </c>
      <c r="G173" s="8" t="str">
        <f ca="1"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COUNTIFS(持仓跟踪!$A$2:$A$497,"止损计划",持仓跟踪!$B$2:$B$497,A173,持仓跟踪!$AC$2:$AC$497,"计划有效")=0,"禁止开仓：请先填写止损计划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73" s="2">
        <v>3900</v>
      </c>
      <c r="I173" s="15">
        <v>44076</v>
      </c>
      <c r="J173" s="10">
        <v>17.5</v>
      </c>
      <c r="K173" s="5">
        <v>16.57</v>
      </c>
      <c r="L173" s="8">
        <v>3900</v>
      </c>
      <c r="M173" s="23">
        <v>44168</v>
      </c>
      <c r="N173" s="10">
        <v>16</v>
      </c>
      <c r="O173" s="10"/>
      <c r="P173" s="5" t="str">
        <f>IF(A173="","",IFERROR(LOOKUP(2,1/((持仓跟踪!$B$2:$B$497=A173)*(持仓跟踪!$X$2:$X$497="执行卖出")*(持仓跟踪!$AA$2:$AA$497&lt;&gt;"")),持仓跟踪!$AA$2:$AA$497),""))</f>
        <v/>
      </c>
      <c r="Q173" s="2"/>
      <c r="R173" s="2"/>
      <c r="S173" s="2"/>
      <c r="T173" s="2"/>
      <c r="U173" s="7">
        <f t="shared" si="60"/>
        <v>0.0599636583888551</v>
      </c>
      <c r="V173" s="7">
        <f t="shared" si="61"/>
        <v>0.0308903694730467</v>
      </c>
      <c r="W173" s="22">
        <f t="shared" si="62"/>
        <v>1.94117647058823</v>
      </c>
      <c r="X173" s="5">
        <f t="shared" si="63"/>
        <v>233.999999999993</v>
      </c>
      <c r="Y173" s="7">
        <f t="shared" si="64"/>
        <v>0.00363416111447596</v>
      </c>
      <c r="Z173" s="7">
        <f>IF(OR(AE173="",多次统计数据!$B$8=""),"",AE173-多次统计数据!$B$8)</f>
        <v>-0.0548020978902239</v>
      </c>
      <c r="AA173" s="11">
        <f t="shared" si="65"/>
        <v>92</v>
      </c>
      <c r="AB173" s="7">
        <f>IF(OR(A173="",多次统计数据!$B$8="",多次统计数据!$B$6&lt;=0,多次统计数据!$B$6&gt;=1),"",1-POWER(1+多次统计数据!$B$8,-多次统计数据!$B$6/(1-多次统计数据!$B$6)))</f>
        <v>0.0434660928439765</v>
      </c>
      <c r="AC173" s="8" t="str">
        <f>IF(OR(AB173="",多次统计数据!$B$9=""),"",IF(多次统计数据!$B$9&lt;AB173,"低于上限","达到或超过上限"))</f>
        <v>低于上限</v>
      </c>
      <c r="AD173" s="2"/>
      <c r="AE173" s="7">
        <f t="shared" si="66"/>
        <v>0.00231850743606758</v>
      </c>
      <c r="AG173" s="2"/>
      <c r="AH173" s="2"/>
      <c r="AI173" s="2"/>
      <c r="AJ173" s="8" t="str">
        <f t="shared" si="67"/>
        <v/>
      </c>
      <c r="AK173" s="10"/>
      <c r="AL173" s="12"/>
      <c r="AM173" s="10"/>
      <c r="AN173" s="12"/>
      <c r="AO173" s="5">
        <f t="shared" si="68"/>
        <v>16.51</v>
      </c>
      <c r="AP173" s="11">
        <f t="shared" si="69"/>
        <v>3900</v>
      </c>
      <c r="AQ173" s="5">
        <f>IF(A173="","",IF(M173&lt;&gt;"",0,IF(OR(H173="",N173=""),"",MAX(E173-MAX(N173,IFERROR(SUMPRODUCT(MAX(((持仓跟踪!$A$2:$A$497="每日跟踪")*(持仓跟踪!$B$2:$B$497=A173))*持仓跟踪!$S$2:$S$497)),0)),0)*H173+IF(OR(AK173="",AL173=""),0,MAX(AK173-MAX(N173,IFERROR(SUMPRODUCT(MAX(((持仓跟踪!$A$2:$A$497="每日跟踪")*(持仓跟踪!$B$2:$B$497=A173))*持仓跟踪!$S$2:$S$497)),0)),0)*AL173)+IF(OR(AM173="",AN173=""),0,MAX(AM173-MAX(N173,IFERROR(SUMPRODUCT(MAX(((持仓跟踪!$A$2:$A$497="每日跟踪")*(持仓跟踪!$B$2:$B$497=A173))*持仓跟踪!$S$2:$S$497)),0)),0)*AN173))))</f>
        <v>0</v>
      </c>
      <c r="AR173" s="8" t="str">
        <f ca="1">IF(A173="","",IF(OR(E173="",H173=""),"违规：第一批价格或股数缺失",IF(OR(AND(AK173="",AL173&lt;&gt;""),AND(AK173&lt;&gt;"",AL173="")),"违规：第二批价格与股数须成对填写",IF(OR(AND(AM173="",AN173&lt;&gt;""),AND(AM173&lt;&gt;"",AN173="")),"违规：第三批价格与股数须成对填写",IF(AND(OR(AM173&lt;&gt;"",AN173&lt;&gt;""),OR(AK173="",AL173="")),"违规：必须先完成第二批",IF(OR(H173&lt;=0,H173&lt;&gt;INT(H173),MOD(H173,100)&lt;&gt;0,AND(AL173&lt;&gt;"",OR(AL173&lt;=0,AL173&lt;&gt;INT(AL173),MOD(AL173,100)&lt;&gt;0)),AND(AN173&lt;&gt;"",OR(AN173&lt;=0,AN173&lt;&gt;INT(AN173),MOD(AN173,100)&lt;&gt;0))),"违规：股数须为100股整数倍",IF(AND(OR(AL173&lt;&gt;"",AN173&lt;&gt;""),OR(_LockStatus="已锁仓",_LockStatus="解锁信息不完整")),"违规：锁仓期间禁止加仓",IF(AQ173&gt;C173*D173,"违规：超过单笔风险上限",IF(SUM($AQ$2:$AQ$201)&gt;账户数据!$B$7,"违规：超过账户风险上限","通过")))))))))</f>
        <v>通过</v>
      </c>
    </row>
    <row r="174" ht="17" spans="1:44">
      <c r="A174" s="2">
        <v>9</v>
      </c>
      <c r="B174" s="13" t="s">
        <v>44</v>
      </c>
      <c r="C174" s="10">
        <v>101161</v>
      </c>
      <c r="D174" s="6">
        <v>0.02</v>
      </c>
      <c r="E174" s="10">
        <v>15.57</v>
      </c>
      <c r="F174" s="8">
        <f t="shared" si="59"/>
        <v>3500</v>
      </c>
      <c r="G174" s="8" t="str">
        <f ca="1"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COUNTIFS(持仓跟踪!$A$2:$A$497,"止损计划",持仓跟踪!$B$2:$B$497,A174,持仓跟踪!$AC$2:$AC$497,"计划有效")=0,"禁止开仓：请先填写止损计划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74" s="2">
        <v>3500</v>
      </c>
      <c r="I174" s="15">
        <v>44204</v>
      </c>
      <c r="J174" s="10">
        <v>16.5</v>
      </c>
      <c r="K174" s="5">
        <v>15.96</v>
      </c>
      <c r="L174" s="8">
        <v>3500</v>
      </c>
      <c r="M174" s="23">
        <v>44214</v>
      </c>
      <c r="N174" s="10">
        <v>15</v>
      </c>
      <c r="O174" s="10"/>
      <c r="P174" s="5" t="str">
        <f>IF(A174="","",IFERROR(LOOKUP(2,1/((持仓跟踪!$B$2:$B$497=A174)*(持仓跟踪!$X$2:$X$497="执行卖出")*(持仓跟踪!$AA$2:$AA$497&lt;&gt;"")),持仓跟踪!$AA$2:$AA$497),""))</f>
        <v/>
      </c>
      <c r="Q174" s="2"/>
      <c r="R174" s="2"/>
      <c r="S174" s="2"/>
      <c r="T174" s="2"/>
      <c r="U174" s="7">
        <f t="shared" si="60"/>
        <v>0.0597302504816956</v>
      </c>
      <c r="V174" s="7">
        <f t="shared" si="61"/>
        <v>0.0366088631984586</v>
      </c>
      <c r="W174" s="22">
        <f t="shared" si="62"/>
        <v>1.63157894736842</v>
      </c>
      <c r="X174" s="5">
        <f t="shared" si="63"/>
        <v>1365</v>
      </c>
      <c r="Y174" s="7">
        <f t="shared" si="64"/>
        <v>0.0250481695568401</v>
      </c>
      <c r="Z174" s="7">
        <f>IF(OR(AE174="",多次统计数据!$B$8=""),"",AE174-多次统计数据!$B$8)</f>
        <v>-0.0436272630303474</v>
      </c>
      <c r="AA174" s="11">
        <f t="shared" si="65"/>
        <v>10</v>
      </c>
      <c r="AB174" s="7">
        <f>IF(OR(A174="",多次统计数据!$B$8="",多次统计数据!$B$6&lt;=0,多次统计数据!$B$6&gt;=1),"",1-POWER(1+多次统计数据!$B$8,-多次统计数据!$B$6/(1-多次统计数据!$B$6)))</f>
        <v>0.0434660928439765</v>
      </c>
      <c r="AC174" s="8" t="str">
        <f>IF(OR(AB174="",多次统计数据!$B$9=""),"",IF(多次统计数据!$B$9&lt;AB174,"低于上限","达到或超过上限"))</f>
        <v>低于上限</v>
      </c>
      <c r="AD174" s="2"/>
      <c r="AE174" s="7">
        <f t="shared" si="66"/>
        <v>0.0134933422959441</v>
      </c>
      <c r="AG174" s="2"/>
      <c r="AH174" s="2"/>
      <c r="AI174" s="2"/>
      <c r="AJ174" s="8" t="str">
        <f t="shared" si="67"/>
        <v/>
      </c>
      <c r="AK174" s="10"/>
      <c r="AL174" s="12"/>
      <c r="AM174" s="10"/>
      <c r="AN174" s="12"/>
      <c r="AO174" s="5">
        <f t="shared" si="68"/>
        <v>15.57</v>
      </c>
      <c r="AP174" s="11">
        <f t="shared" si="69"/>
        <v>3500</v>
      </c>
      <c r="AQ174" s="5">
        <f>IF(A174="","",IF(M174&lt;&gt;"",0,IF(OR(H174="",N174=""),"",MAX(E174-MAX(N174,IFERROR(SUMPRODUCT(MAX(((持仓跟踪!$A$2:$A$497="每日跟踪")*(持仓跟踪!$B$2:$B$497=A174))*持仓跟踪!$S$2:$S$497)),0)),0)*H174+IF(OR(AK174="",AL174=""),0,MAX(AK174-MAX(N174,IFERROR(SUMPRODUCT(MAX(((持仓跟踪!$A$2:$A$497="每日跟踪")*(持仓跟踪!$B$2:$B$497=A174))*持仓跟踪!$S$2:$S$497)),0)),0)*AL174)+IF(OR(AM174="",AN174=""),0,MAX(AM174-MAX(N174,IFERROR(SUMPRODUCT(MAX(((持仓跟踪!$A$2:$A$497="每日跟踪")*(持仓跟踪!$B$2:$B$497=A174))*持仓跟踪!$S$2:$S$497)),0)),0)*AN174))))</f>
        <v>0</v>
      </c>
      <c r="AR174" s="8" t="str">
        <f ca="1">IF(A174="","",IF(OR(E174="",H174=""),"违规：第一批价格或股数缺失",IF(OR(AND(AK174="",AL174&lt;&gt;""),AND(AK174&lt;&gt;"",AL174="")),"违规：第二批价格与股数须成对填写",IF(OR(AND(AM174="",AN174&lt;&gt;""),AND(AM174&lt;&gt;"",AN174="")),"违规：第三批价格与股数须成对填写",IF(AND(OR(AM174&lt;&gt;"",AN174&lt;&gt;""),OR(AK174="",AL174="")),"违规：必须先完成第二批",IF(OR(H174&lt;=0,H174&lt;&gt;INT(H174),MOD(H174,100)&lt;&gt;0,AND(AL174&lt;&gt;"",OR(AL174&lt;=0,AL174&lt;&gt;INT(AL174),MOD(AL174,100)&lt;&gt;0)),AND(AN174&lt;&gt;"",OR(AN174&lt;=0,AN174&lt;&gt;INT(AN174),MOD(AN174,100)&lt;&gt;0))),"违规：股数须为100股整数倍",IF(AND(OR(AL174&lt;&gt;"",AN174&lt;&gt;""),OR(_LockStatus="已锁仓",_LockStatus="解锁信息不完整")),"违规：锁仓期间禁止加仓",IF(AQ174&gt;C174*D174,"违规：超过单笔风险上限",IF(SUM($AQ$2:$AQ$201)&gt;账户数据!$B$7,"违规：超过账户风险上限","通过")))))))))</f>
        <v>通过</v>
      </c>
    </row>
    <row r="175" ht="34" spans="1:44">
      <c r="A175" s="2">
        <v>10</v>
      </c>
      <c r="B175" s="13" t="s">
        <v>44</v>
      </c>
      <c r="C175" s="10">
        <v>102526</v>
      </c>
      <c r="D175" s="6">
        <v>0.02</v>
      </c>
      <c r="E175" s="10">
        <v>14.96</v>
      </c>
      <c r="F175" s="8">
        <f t="shared" si="59"/>
        <v>2600</v>
      </c>
      <c r="G175" s="8" t="str">
        <f ca="1"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COUNTIFS(持仓跟踪!$A$2:$A$497,"止损计划",持仓跟踪!$B$2:$B$497,A175,持仓跟踪!$AC$2:$AC$497,"计划有效")=0,"禁止开仓：请先填写止损计划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75" s="2">
        <v>2600</v>
      </c>
      <c r="I175" s="15">
        <v>44217</v>
      </c>
      <c r="J175" s="10"/>
      <c r="K175" s="5" t="str">
        <f>IF(A175="","",IFERROR(LOOKUP(2,1/((持仓跟踪!$B$2:$B$497=A175)*(持仓跟踪!$X$2:$X$497="执行卖出")*(持仓跟踪!$Y$2:$Y$497&lt;&gt;"")),持仓跟踪!$Y$2:$Y$497),""))</f>
        <v/>
      </c>
      <c r="L175" s="8" t="str">
        <f>IF(A175="","",IFERROR(LOOKUP(2,1/((持仓跟踪!$B$2:$B$497=A175)*(持仓跟踪!$X$2:$X$497="执行卖出")*(持仓跟踪!$Z$2:$Z$497&lt;&gt;"")),持仓跟踪!$Z$2:$Z$497),""))</f>
        <v/>
      </c>
      <c r="M175" s="23" t="str">
        <f>IF(A175="","",IFERROR(LOOKUP(2,1/((持仓跟踪!$B$2:$B$497=A175)*(持仓跟踪!$X$2:$X$497="执行卖出")*(持仓跟踪!$H$2:$H$497&lt;&gt;"")),持仓跟踪!$H$2:$H$497),""))</f>
        <v/>
      </c>
      <c r="N175" s="10">
        <v>14.2</v>
      </c>
      <c r="O175" s="10"/>
      <c r="P175" s="5" t="str">
        <f>IF(A175="","",IFERROR(LOOKUP(2,1/((持仓跟踪!$B$2:$B$497=A175)*(持仓跟踪!$X$2:$X$497="执行卖出")*(持仓跟踪!$AA$2:$AA$497&lt;&gt;"")),持仓跟踪!$AA$2:$AA$497),""))</f>
        <v/>
      </c>
      <c r="Q175" s="2"/>
      <c r="R175" s="2"/>
      <c r="S175" s="2"/>
      <c r="T175" s="2"/>
      <c r="U175" s="7" t="str">
        <f t="shared" si="60"/>
        <v/>
      </c>
      <c r="V175" s="7">
        <f t="shared" si="61"/>
        <v>0.0508021390374333</v>
      </c>
      <c r="W175" s="22" t="str">
        <f t="shared" si="62"/>
        <v/>
      </c>
      <c r="X175" s="5" t="str">
        <f t="shared" si="63"/>
        <v/>
      </c>
      <c r="Y175" s="7" t="str">
        <f t="shared" si="64"/>
        <v/>
      </c>
      <c r="Z175" s="7" t="str">
        <f>IF(OR(AE175="",多次统计数据!$B$8=""),"",AE175-多次统计数据!$B$8)</f>
        <v/>
      </c>
      <c r="AA175" s="11" t="str">
        <f t="shared" si="65"/>
        <v/>
      </c>
      <c r="AB175" s="7">
        <f>IF(OR(A175="",多次统计数据!$B$8="",多次统计数据!$B$6&lt;=0,多次统计数据!$B$6&gt;=1),"",1-POWER(1+多次统计数据!$B$8,-多次统计数据!$B$6/(1-多次统计数据!$B$6)))</f>
        <v>0.0434660928439765</v>
      </c>
      <c r="AC175" s="8" t="str">
        <f>IF(OR(AB175="",多次统计数据!$B$9=""),"",IF(多次统计数据!$B$9&lt;AB175,"低于上限","达到或超过上限"))</f>
        <v>低于上限</v>
      </c>
      <c r="AD175" s="2"/>
      <c r="AE175" s="7" t="str">
        <f t="shared" si="66"/>
        <v/>
      </c>
      <c r="AG175" s="2"/>
      <c r="AH175" s="2"/>
      <c r="AI175" s="2"/>
      <c r="AJ175" s="8" t="str">
        <f t="shared" si="67"/>
        <v/>
      </c>
      <c r="AK175" s="10"/>
      <c r="AL175" s="12"/>
      <c r="AM175" s="10"/>
      <c r="AN175" s="12"/>
      <c r="AO175" s="5">
        <f t="shared" si="68"/>
        <v>14.96</v>
      </c>
      <c r="AP175" s="11">
        <f t="shared" si="69"/>
        <v>2600</v>
      </c>
      <c r="AQ175" s="5">
        <f>IF(A175="","",IF(M175&lt;&gt;"",0,IF(OR(H175="",N175=""),"",MAX(E175-MAX(N175,IFERROR(SUMPRODUCT(MAX(((持仓跟踪!$A$2:$A$497="每日跟踪")*(持仓跟踪!$B$2:$B$497=A175))*持仓跟踪!$S$2:$S$497)),0)),0)*H175+IF(OR(AK175="",AL175=""),0,MAX(AK175-MAX(N175,IFERROR(SUMPRODUCT(MAX(((持仓跟踪!$A$2:$A$497="每日跟踪")*(持仓跟踪!$B$2:$B$497=A175))*持仓跟踪!$S$2:$S$497)),0)),0)*AL175)+IF(OR(AM175="",AN175=""),0,MAX(AM175-MAX(N175,IFERROR(SUMPRODUCT(MAX(((持仓跟踪!$A$2:$A$497="每日跟踪")*(持仓跟踪!$B$2:$B$497=A175))*持仓跟踪!$S$2:$S$497)),0)),0)*AN175))))</f>
        <v>1976</v>
      </c>
      <c r="AR175" s="8" t="str">
        <f ca="1">IF(A175="","",IF(OR(E175="",H175=""),"违规：第一批价格或股数缺失",IF(OR(AND(AK175="",AL175&lt;&gt;""),AND(AK175&lt;&gt;"",AL175="")),"违规：第二批价格与股数须成对填写",IF(OR(AND(AM175="",AN175&lt;&gt;""),AND(AM175&lt;&gt;"",AN175="")),"违规：第三批价格与股数须成对填写",IF(AND(OR(AM175&lt;&gt;"",AN175&lt;&gt;""),OR(AK175="",AL175="")),"违规：必须先完成第二批",IF(OR(H175&lt;=0,H175&lt;&gt;INT(H175),MOD(H175,100)&lt;&gt;0,AND(AL175&lt;&gt;"",OR(AL175&lt;=0,AL175&lt;&gt;INT(AL175),MOD(AL175,100)&lt;&gt;0)),AND(AN175&lt;&gt;"",OR(AN175&lt;=0,AN175&lt;&gt;INT(AN175),MOD(AN175,100)&lt;&gt;0))),"违规：股数须为100股整数倍",IF(AND(OR(AL175&lt;&gt;"",AN175&lt;&gt;""),OR(_LockStatus="已锁仓",_LockStatus="解锁信息不完整")),"违规：锁仓期间禁止加仓",IF(AQ175&gt;C175*D175,"违规：超过单笔风险上限",IF(SUM($AQ$2:$AQ$201)&gt;账户数据!$B$7,"违规：超过账户风险上限","通过")))))))))</f>
        <v>通过</v>
      </c>
    </row>
    <row r="176" ht="17" spans="1:44">
      <c r="A176" s="2"/>
      <c r="B176" s="2"/>
      <c r="C176" s="10"/>
      <c r="D176" s="6"/>
      <c r="E176" s="10"/>
      <c r="F176" s="8" t="str">
        <f t="shared" si="59"/>
        <v/>
      </c>
      <c r="G176" s="8" t="str">
        <f ca="1"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COUNTIFS(持仓跟踪!$A$2:$A$497,"止损计划",持仓跟踪!$B$2:$B$497,A176,持仓跟踪!$AC$2:$AC$497,"计划有效")=0,"禁止开仓：请先填写止损计划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6" s="2"/>
      <c r="I176" s="15"/>
      <c r="J176" s="10"/>
      <c r="K176" s="5" t="str">
        <f>IF(A176="","",IFERROR(LOOKUP(2,1/((持仓跟踪!$B$2:$B$497=A176)*(持仓跟踪!$X$2:$X$497="执行卖出")*(持仓跟踪!$Y$2:$Y$497&lt;&gt;"")),持仓跟踪!$Y$2:$Y$497),""))</f>
        <v/>
      </c>
      <c r="L176" s="8" t="str">
        <f>IF(A176="","",IFERROR(LOOKUP(2,1/((持仓跟踪!$B$2:$B$497=A176)*(持仓跟踪!$X$2:$X$497="执行卖出")*(持仓跟踪!$Z$2:$Z$497&lt;&gt;"")),持仓跟踪!$Z$2:$Z$497),""))</f>
        <v/>
      </c>
      <c r="M176" s="23" t="str">
        <f>IF(A176="","",IFERROR(LOOKUP(2,1/((持仓跟踪!$B$2:$B$497=A176)*(持仓跟踪!$X$2:$X$497="执行卖出")*(持仓跟踪!$H$2:$H$497&lt;&gt;"")),持仓跟踪!$H$2:$H$497),""))</f>
        <v/>
      </c>
      <c r="N176" s="10"/>
      <c r="O176" s="10"/>
      <c r="P176" s="5" t="str">
        <f>IF(A176="","",IFERROR(LOOKUP(2,1/((持仓跟踪!$B$2:$B$497=A176)*(持仓跟踪!$X$2:$X$497="执行卖出")*(持仓跟踪!$AA$2:$AA$497&lt;&gt;"")),持仓跟踪!$AA$2:$AA$497),""))</f>
        <v/>
      </c>
      <c r="Q176" s="2"/>
      <c r="R176" s="2"/>
      <c r="S176" s="2"/>
      <c r="T176" s="2"/>
      <c r="U176" s="7" t="str">
        <f t="shared" si="60"/>
        <v/>
      </c>
      <c r="V176" s="7" t="str">
        <f t="shared" si="61"/>
        <v/>
      </c>
      <c r="W176" s="22" t="str">
        <f t="shared" si="62"/>
        <v/>
      </c>
      <c r="X176" s="5" t="str">
        <f t="shared" si="63"/>
        <v/>
      </c>
      <c r="Y176" s="7" t="str">
        <f t="shared" si="64"/>
        <v/>
      </c>
      <c r="Z176" s="7" t="str">
        <f>IF(OR(AE176="",多次统计数据!$B$8=""),"",AE176-多次统计数据!$B$8)</f>
        <v/>
      </c>
      <c r="AA176" s="11" t="str">
        <f t="shared" si="65"/>
        <v/>
      </c>
      <c r="AB176" s="7" t="str">
        <f>IF(OR(A176="",多次统计数据!$B$8="",多次统计数据!$B$6&lt;=0,多次统计数据!$B$6&gt;=1),"",1-POWER(1+多次统计数据!$B$8,-多次统计数据!$B$6/(1-多次统计数据!$B$6)))</f>
        <v/>
      </c>
      <c r="AC176" s="8" t="str">
        <f>IF(OR(AB176="",多次统计数据!$B$9=""),"",IF(多次统计数据!$B$9&lt;AB176,"低于上限","达到或超过上限"))</f>
        <v/>
      </c>
      <c r="AD176" s="2"/>
      <c r="AE176" s="7" t="str">
        <f t="shared" si="66"/>
        <v/>
      </c>
      <c r="AG176" s="2"/>
      <c r="AH176" s="2"/>
      <c r="AI176" s="2"/>
      <c r="AJ176" s="8" t="str">
        <f t="shared" si="67"/>
        <v/>
      </c>
      <c r="AK176" s="10"/>
      <c r="AL176" s="12"/>
      <c r="AM176" s="10"/>
      <c r="AN176" s="12"/>
      <c r="AO176" s="5" t="str">
        <f t="shared" si="68"/>
        <v/>
      </c>
      <c r="AP176" s="11" t="str">
        <f t="shared" si="69"/>
        <v/>
      </c>
      <c r="AQ176" s="5" t="str">
        <f>IF(A176="","",IF(M176&lt;&gt;"",0,IF(OR(H176="",N176=""),"",MAX(E176-MAX(N176,IFERROR(SUMPRODUCT(MAX(((持仓跟踪!$A$2:$A$497="每日跟踪")*(持仓跟踪!$B$2:$B$497=A176))*持仓跟踪!$S$2:$S$497)),0)),0)*H176+IF(OR(AK176="",AL176=""),0,MAX(AK176-MAX(N176,IFERROR(SUMPRODUCT(MAX(((持仓跟踪!$A$2:$A$497="每日跟踪")*(持仓跟踪!$B$2:$B$497=A176))*持仓跟踪!$S$2:$S$497)),0)),0)*AL176)+IF(OR(AM176="",AN176=""),0,MAX(AM176-MAX(N176,IFERROR(SUMPRODUCT(MAX(((持仓跟踪!$A$2:$A$497="每日跟踪")*(持仓跟踪!$B$2:$B$497=A176))*持仓跟踪!$S$2:$S$497)),0)),0)*AN176))))</f>
        <v/>
      </c>
      <c r="AR176" s="8" t="str">
        <f ca="1">IF(A176="","",IF(OR(E176="",H176=""),"违规：第一批价格或股数缺失",IF(OR(AND(AK176="",AL176&lt;&gt;""),AND(AK176&lt;&gt;"",AL176="")),"违规：第二批价格与股数须成对填写",IF(OR(AND(AM176="",AN176&lt;&gt;""),AND(AM176&lt;&gt;"",AN176="")),"违规：第三批价格与股数须成对填写",IF(AND(OR(AM176&lt;&gt;"",AN176&lt;&gt;""),OR(AK176="",AL176="")),"违规：必须先完成第二批",IF(OR(H176&lt;=0,H176&lt;&gt;INT(H176),MOD(H176,100)&lt;&gt;0,AND(AL176&lt;&gt;"",OR(AL176&lt;=0,AL176&lt;&gt;INT(AL176),MOD(AL176,100)&lt;&gt;0)),AND(AN176&lt;&gt;"",OR(AN176&lt;=0,AN176&lt;&gt;INT(AN176),MOD(AN176,100)&lt;&gt;0))),"违规：股数须为100股整数倍",IF(AND(OR(AL176&lt;&gt;"",AN176&lt;&gt;""),OR(_LockStatus="已锁仓",_LockStatus="解锁信息不完整")),"违规：锁仓期间禁止加仓",IF(AQ176&gt;C176*D176,"违规：超过单笔风险上限",IF(SUM($AQ$2:$AQ$201)&gt;账户数据!$B$7,"违规：超过账户风险上限","通过")))))))))</f>
        <v/>
      </c>
    </row>
    <row r="177" ht="17" spans="1:44">
      <c r="A177" s="2"/>
      <c r="B177" s="2"/>
      <c r="C177" s="10"/>
      <c r="D177" s="6"/>
      <c r="E177" s="10"/>
      <c r="F177" s="8" t="str">
        <f t="shared" si="59"/>
        <v/>
      </c>
      <c r="G177" s="8" t="str">
        <f ca="1"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COUNTIFS(持仓跟踪!$A$2:$A$497,"止损计划",持仓跟踪!$B$2:$B$497,A177,持仓跟踪!$AC$2:$AC$497,"计划有效")=0,"禁止开仓：请先填写止损计划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7" s="2"/>
      <c r="I177" s="15"/>
      <c r="J177" s="10"/>
      <c r="K177" s="5" t="str">
        <f>IF(A177="","",IFERROR(LOOKUP(2,1/((持仓跟踪!$B$2:$B$497=A177)*(持仓跟踪!$X$2:$X$497="执行卖出")*(持仓跟踪!$Y$2:$Y$497&lt;&gt;"")),持仓跟踪!$Y$2:$Y$497),""))</f>
        <v/>
      </c>
      <c r="L177" s="8" t="str">
        <f>IF(A177="","",IFERROR(LOOKUP(2,1/((持仓跟踪!$B$2:$B$497=A177)*(持仓跟踪!$X$2:$X$497="执行卖出")*(持仓跟踪!$Z$2:$Z$497&lt;&gt;"")),持仓跟踪!$Z$2:$Z$497),""))</f>
        <v/>
      </c>
      <c r="M177" s="23" t="str">
        <f>IF(A177="","",IFERROR(LOOKUP(2,1/((持仓跟踪!$B$2:$B$497=A177)*(持仓跟踪!$X$2:$X$497="执行卖出")*(持仓跟踪!$H$2:$H$497&lt;&gt;"")),持仓跟踪!$H$2:$H$497),""))</f>
        <v/>
      </c>
      <c r="N177" s="10"/>
      <c r="O177" s="10"/>
      <c r="P177" s="5" t="str">
        <f>IF(A177="","",IFERROR(LOOKUP(2,1/((持仓跟踪!$B$2:$B$497=A177)*(持仓跟踪!$X$2:$X$497="执行卖出")*(持仓跟踪!$AA$2:$AA$497&lt;&gt;"")),持仓跟踪!$AA$2:$AA$497),""))</f>
        <v/>
      </c>
      <c r="Q177" s="2"/>
      <c r="R177" s="2"/>
      <c r="S177" s="2"/>
      <c r="T177" s="2"/>
      <c r="U177" s="7" t="str">
        <f t="shared" si="60"/>
        <v/>
      </c>
      <c r="V177" s="7" t="str">
        <f t="shared" si="61"/>
        <v/>
      </c>
      <c r="W177" s="22" t="str">
        <f t="shared" si="62"/>
        <v/>
      </c>
      <c r="X177" s="5" t="str">
        <f t="shared" si="63"/>
        <v/>
      </c>
      <c r="Y177" s="7" t="str">
        <f t="shared" si="64"/>
        <v/>
      </c>
      <c r="Z177" s="7" t="str">
        <f>IF(OR(AE177="",多次统计数据!$B$8=""),"",AE177-多次统计数据!$B$8)</f>
        <v/>
      </c>
      <c r="AA177" s="11" t="str">
        <f t="shared" si="65"/>
        <v/>
      </c>
      <c r="AB177" s="7" t="str">
        <f>IF(OR(A177="",多次统计数据!$B$8="",多次统计数据!$B$6&lt;=0,多次统计数据!$B$6&gt;=1),"",1-POWER(1+多次统计数据!$B$8,-多次统计数据!$B$6/(1-多次统计数据!$B$6)))</f>
        <v/>
      </c>
      <c r="AC177" s="8" t="str">
        <f>IF(OR(AB177="",多次统计数据!$B$9=""),"",IF(多次统计数据!$B$9&lt;AB177,"低于上限","达到或超过上限"))</f>
        <v/>
      </c>
      <c r="AD177" s="2"/>
      <c r="AE177" s="7" t="str">
        <f t="shared" si="66"/>
        <v/>
      </c>
      <c r="AG177" s="2"/>
      <c r="AH177" s="2"/>
      <c r="AI177" s="2"/>
      <c r="AJ177" s="8" t="str">
        <f t="shared" si="67"/>
        <v/>
      </c>
      <c r="AK177" s="10"/>
      <c r="AL177" s="12"/>
      <c r="AM177" s="10"/>
      <c r="AN177" s="12"/>
      <c r="AO177" s="5" t="str">
        <f t="shared" si="68"/>
        <v/>
      </c>
      <c r="AP177" s="11" t="str">
        <f t="shared" si="69"/>
        <v/>
      </c>
      <c r="AQ177" s="5" t="str">
        <f>IF(A177="","",IF(M177&lt;&gt;"",0,IF(OR(H177="",N177=""),"",MAX(E177-MAX(N177,IFERROR(SUMPRODUCT(MAX(((持仓跟踪!$A$2:$A$497="每日跟踪")*(持仓跟踪!$B$2:$B$497=A177))*持仓跟踪!$S$2:$S$497)),0)),0)*H177+IF(OR(AK177="",AL177=""),0,MAX(AK177-MAX(N177,IFERROR(SUMPRODUCT(MAX(((持仓跟踪!$A$2:$A$497="每日跟踪")*(持仓跟踪!$B$2:$B$497=A177))*持仓跟踪!$S$2:$S$497)),0)),0)*AL177)+IF(OR(AM177="",AN177=""),0,MAX(AM177-MAX(N177,IFERROR(SUMPRODUCT(MAX(((持仓跟踪!$A$2:$A$497="每日跟踪")*(持仓跟踪!$B$2:$B$497=A177))*持仓跟踪!$S$2:$S$497)),0)),0)*AN177))))</f>
        <v/>
      </c>
      <c r="AR177" s="8" t="str">
        <f ca="1">IF(A177="","",IF(OR(E177="",H177=""),"违规：第一批价格或股数缺失",IF(OR(AND(AK177="",AL177&lt;&gt;""),AND(AK177&lt;&gt;"",AL177="")),"违规：第二批价格与股数须成对填写",IF(OR(AND(AM177="",AN177&lt;&gt;""),AND(AM177&lt;&gt;"",AN177="")),"违规：第三批价格与股数须成对填写",IF(AND(OR(AM177&lt;&gt;"",AN177&lt;&gt;""),OR(AK177="",AL177="")),"违规：必须先完成第二批",IF(OR(H177&lt;=0,H177&lt;&gt;INT(H177),MOD(H177,100)&lt;&gt;0,AND(AL177&lt;&gt;"",OR(AL177&lt;=0,AL177&lt;&gt;INT(AL177),MOD(AL177,100)&lt;&gt;0)),AND(AN177&lt;&gt;"",OR(AN177&lt;=0,AN177&lt;&gt;INT(AN177),MOD(AN177,100)&lt;&gt;0))),"违规：股数须为100股整数倍",IF(AND(OR(AL177&lt;&gt;"",AN177&lt;&gt;""),OR(_LockStatus="已锁仓",_LockStatus="解锁信息不完整")),"违规：锁仓期间禁止加仓",IF(AQ177&gt;C177*D177,"违规：超过单笔风险上限",IF(SUM($AQ$2:$AQ$201)&gt;账户数据!$B$7,"违规：超过账户风险上限","通过")))))))))</f>
        <v/>
      </c>
    </row>
    <row r="178" ht="17" spans="1:44">
      <c r="A178" s="2"/>
      <c r="B178" s="2"/>
      <c r="C178" s="10"/>
      <c r="D178" s="6"/>
      <c r="E178" s="10"/>
      <c r="F178" s="8" t="str">
        <f t="shared" si="59"/>
        <v/>
      </c>
      <c r="G178" s="8" t="str">
        <f ca="1"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COUNTIFS(持仓跟踪!$A$2:$A$497,"止损计划",持仓跟踪!$B$2:$B$497,A178,持仓跟踪!$AC$2:$AC$497,"计划有效")=0,"禁止开仓：请先填写止损计划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8" s="2"/>
      <c r="I178" s="15"/>
      <c r="J178" s="10"/>
      <c r="K178" s="5" t="str">
        <f>IF(A178="","",IFERROR(LOOKUP(2,1/((持仓跟踪!$B$2:$B$497=A178)*(持仓跟踪!$X$2:$X$497="执行卖出")*(持仓跟踪!$Y$2:$Y$497&lt;&gt;"")),持仓跟踪!$Y$2:$Y$497),""))</f>
        <v/>
      </c>
      <c r="L178" s="8" t="str">
        <f>IF(A178="","",IFERROR(LOOKUP(2,1/((持仓跟踪!$B$2:$B$497=A178)*(持仓跟踪!$X$2:$X$497="执行卖出")*(持仓跟踪!$Z$2:$Z$497&lt;&gt;"")),持仓跟踪!$Z$2:$Z$497),""))</f>
        <v/>
      </c>
      <c r="M178" s="23" t="str">
        <f>IF(A178="","",IFERROR(LOOKUP(2,1/((持仓跟踪!$B$2:$B$497=A178)*(持仓跟踪!$X$2:$X$497="执行卖出")*(持仓跟踪!$H$2:$H$497&lt;&gt;"")),持仓跟踪!$H$2:$H$497),""))</f>
        <v/>
      </c>
      <c r="N178" s="10"/>
      <c r="O178" s="10"/>
      <c r="P178" s="5" t="str">
        <f>IF(A178="","",IFERROR(LOOKUP(2,1/((持仓跟踪!$B$2:$B$497=A178)*(持仓跟踪!$X$2:$X$497="执行卖出")*(持仓跟踪!$AA$2:$AA$497&lt;&gt;"")),持仓跟踪!$AA$2:$AA$497),""))</f>
        <v/>
      </c>
      <c r="Q178" s="2"/>
      <c r="R178" s="2"/>
      <c r="S178" s="2"/>
      <c r="T178" s="2"/>
      <c r="U178" s="7" t="str">
        <f t="shared" si="60"/>
        <v/>
      </c>
      <c r="V178" s="7" t="str">
        <f t="shared" si="61"/>
        <v/>
      </c>
      <c r="W178" s="22" t="str">
        <f t="shared" si="62"/>
        <v/>
      </c>
      <c r="X178" s="5" t="str">
        <f t="shared" si="63"/>
        <v/>
      </c>
      <c r="Y178" s="7" t="str">
        <f t="shared" si="64"/>
        <v/>
      </c>
      <c r="Z178" s="7" t="str">
        <f>IF(OR(AE178="",多次统计数据!$B$8=""),"",AE178-多次统计数据!$B$8)</f>
        <v/>
      </c>
      <c r="AA178" s="11" t="str">
        <f t="shared" si="65"/>
        <v/>
      </c>
      <c r="AB178" s="7" t="str">
        <f>IF(OR(A178="",多次统计数据!$B$8="",多次统计数据!$B$6&lt;=0,多次统计数据!$B$6&gt;=1),"",1-POWER(1+多次统计数据!$B$8,-多次统计数据!$B$6/(1-多次统计数据!$B$6)))</f>
        <v/>
      </c>
      <c r="AC178" s="8" t="str">
        <f>IF(OR(AB178="",多次统计数据!$B$9=""),"",IF(多次统计数据!$B$9&lt;AB178,"低于上限","达到或超过上限"))</f>
        <v/>
      </c>
      <c r="AD178" s="2"/>
      <c r="AE178" s="7" t="str">
        <f t="shared" si="66"/>
        <v/>
      </c>
      <c r="AG178" s="2"/>
      <c r="AH178" s="2"/>
      <c r="AI178" s="2"/>
      <c r="AJ178" s="8" t="str">
        <f t="shared" si="67"/>
        <v/>
      </c>
      <c r="AK178" s="10"/>
      <c r="AL178" s="12"/>
      <c r="AM178" s="10"/>
      <c r="AN178" s="12"/>
      <c r="AO178" s="5" t="str">
        <f t="shared" si="68"/>
        <v/>
      </c>
      <c r="AP178" s="11" t="str">
        <f t="shared" si="69"/>
        <v/>
      </c>
      <c r="AQ178" s="5" t="str">
        <f>IF(A178="","",IF(M178&lt;&gt;"",0,IF(OR(H178="",N178=""),"",MAX(E178-MAX(N178,IFERROR(SUMPRODUCT(MAX(((持仓跟踪!$A$2:$A$497="每日跟踪")*(持仓跟踪!$B$2:$B$497=A178))*持仓跟踪!$S$2:$S$497)),0)),0)*H178+IF(OR(AK178="",AL178=""),0,MAX(AK178-MAX(N178,IFERROR(SUMPRODUCT(MAX(((持仓跟踪!$A$2:$A$497="每日跟踪")*(持仓跟踪!$B$2:$B$497=A178))*持仓跟踪!$S$2:$S$497)),0)),0)*AL178)+IF(OR(AM178="",AN178=""),0,MAX(AM178-MAX(N178,IFERROR(SUMPRODUCT(MAX(((持仓跟踪!$A$2:$A$497="每日跟踪")*(持仓跟踪!$B$2:$B$497=A178))*持仓跟踪!$S$2:$S$497)),0)),0)*AN178))))</f>
        <v/>
      </c>
      <c r="AR178" s="8" t="str">
        <f ca="1">IF(A178="","",IF(OR(E178="",H178=""),"违规：第一批价格或股数缺失",IF(OR(AND(AK178="",AL178&lt;&gt;""),AND(AK178&lt;&gt;"",AL178="")),"违规：第二批价格与股数须成对填写",IF(OR(AND(AM178="",AN178&lt;&gt;""),AND(AM178&lt;&gt;"",AN178="")),"违规：第三批价格与股数须成对填写",IF(AND(OR(AM178&lt;&gt;"",AN178&lt;&gt;""),OR(AK178="",AL178="")),"违规：必须先完成第二批",IF(OR(H178&lt;=0,H178&lt;&gt;INT(H178),MOD(H178,100)&lt;&gt;0,AND(AL178&lt;&gt;"",OR(AL178&lt;=0,AL178&lt;&gt;INT(AL178),MOD(AL178,100)&lt;&gt;0)),AND(AN178&lt;&gt;"",OR(AN178&lt;=0,AN178&lt;&gt;INT(AN178),MOD(AN178,100)&lt;&gt;0))),"违规：股数须为100股整数倍",IF(AND(OR(AL178&lt;&gt;"",AN178&lt;&gt;""),OR(_LockStatus="已锁仓",_LockStatus="解锁信息不完整")),"违规：锁仓期间禁止加仓",IF(AQ178&gt;C178*D178,"违规：超过单笔风险上限",IF(SUM($AQ$2:$AQ$201)&gt;账户数据!$B$7,"违规：超过账户风险上限","通过")))))))))</f>
        <v/>
      </c>
    </row>
    <row r="179" ht="17" spans="1:44">
      <c r="A179" s="2"/>
      <c r="B179" s="2"/>
      <c r="C179" s="10"/>
      <c r="D179" s="6"/>
      <c r="E179" s="10"/>
      <c r="F179" s="8" t="str">
        <f t="shared" si="59"/>
        <v/>
      </c>
      <c r="G179" s="8" t="str">
        <f ca="1"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COUNTIFS(持仓跟踪!$A$2:$A$497,"止损计划",持仓跟踪!$B$2:$B$497,A179,持仓跟踪!$AC$2:$AC$497,"计划有效")=0,"禁止开仓：请先填写止损计划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9" s="2"/>
      <c r="I179" s="15"/>
      <c r="J179" s="10"/>
      <c r="K179" s="5" t="str">
        <f>IF(A179="","",IFERROR(LOOKUP(2,1/((持仓跟踪!$B$2:$B$497=A179)*(持仓跟踪!$X$2:$X$497="执行卖出")*(持仓跟踪!$Y$2:$Y$497&lt;&gt;"")),持仓跟踪!$Y$2:$Y$497),""))</f>
        <v/>
      </c>
      <c r="L179" s="8" t="str">
        <f>IF(A179="","",IFERROR(LOOKUP(2,1/((持仓跟踪!$B$2:$B$497=A179)*(持仓跟踪!$X$2:$X$497="执行卖出")*(持仓跟踪!$Z$2:$Z$497&lt;&gt;"")),持仓跟踪!$Z$2:$Z$497),""))</f>
        <v/>
      </c>
      <c r="M179" s="23" t="str">
        <f>IF(A179="","",IFERROR(LOOKUP(2,1/((持仓跟踪!$B$2:$B$497=A179)*(持仓跟踪!$X$2:$X$497="执行卖出")*(持仓跟踪!$H$2:$H$497&lt;&gt;"")),持仓跟踪!$H$2:$H$497),""))</f>
        <v/>
      </c>
      <c r="N179" s="10"/>
      <c r="O179" s="10"/>
      <c r="P179" s="5" t="str">
        <f>IF(A179="","",IFERROR(LOOKUP(2,1/((持仓跟踪!$B$2:$B$497=A179)*(持仓跟踪!$X$2:$X$497="执行卖出")*(持仓跟踪!$AA$2:$AA$497&lt;&gt;"")),持仓跟踪!$AA$2:$AA$497),""))</f>
        <v/>
      </c>
      <c r="Q179" s="2"/>
      <c r="R179" s="2"/>
      <c r="S179" s="2"/>
      <c r="T179" s="2"/>
      <c r="U179" s="7" t="str">
        <f t="shared" si="60"/>
        <v/>
      </c>
      <c r="V179" s="7" t="str">
        <f t="shared" si="61"/>
        <v/>
      </c>
      <c r="W179" s="22" t="str">
        <f t="shared" si="62"/>
        <v/>
      </c>
      <c r="X179" s="5" t="str">
        <f t="shared" si="63"/>
        <v/>
      </c>
      <c r="Y179" s="7" t="str">
        <f t="shared" si="64"/>
        <v/>
      </c>
      <c r="Z179" s="7" t="str">
        <f>IF(OR(AE179="",多次统计数据!$B$8=""),"",AE179-多次统计数据!$B$8)</f>
        <v/>
      </c>
      <c r="AA179" s="11" t="str">
        <f t="shared" si="65"/>
        <v/>
      </c>
      <c r="AB179" s="7" t="str">
        <f>IF(OR(A179="",多次统计数据!$B$8="",多次统计数据!$B$6&lt;=0,多次统计数据!$B$6&gt;=1),"",1-POWER(1+多次统计数据!$B$8,-多次统计数据!$B$6/(1-多次统计数据!$B$6)))</f>
        <v/>
      </c>
      <c r="AC179" s="8" t="str">
        <f>IF(OR(AB179="",多次统计数据!$B$9=""),"",IF(多次统计数据!$B$9&lt;AB179,"低于上限","达到或超过上限"))</f>
        <v/>
      </c>
      <c r="AD179" s="2"/>
      <c r="AE179" s="7" t="str">
        <f t="shared" si="66"/>
        <v/>
      </c>
      <c r="AG179" s="2"/>
      <c r="AH179" s="2"/>
      <c r="AI179" s="2"/>
      <c r="AJ179" s="8" t="str">
        <f t="shared" si="67"/>
        <v/>
      </c>
      <c r="AK179" s="10"/>
      <c r="AL179" s="12"/>
      <c r="AM179" s="10"/>
      <c r="AN179" s="12"/>
      <c r="AO179" s="5" t="str">
        <f t="shared" si="68"/>
        <v/>
      </c>
      <c r="AP179" s="11" t="str">
        <f t="shared" si="69"/>
        <v/>
      </c>
      <c r="AQ179" s="5" t="str">
        <f>IF(A179="","",IF(M179&lt;&gt;"",0,IF(OR(H179="",N179=""),"",MAX(E179-MAX(N179,IFERROR(SUMPRODUCT(MAX(((持仓跟踪!$A$2:$A$497="每日跟踪")*(持仓跟踪!$B$2:$B$497=A179))*持仓跟踪!$S$2:$S$497)),0)),0)*H179+IF(OR(AK179="",AL179=""),0,MAX(AK179-MAX(N179,IFERROR(SUMPRODUCT(MAX(((持仓跟踪!$A$2:$A$497="每日跟踪")*(持仓跟踪!$B$2:$B$497=A179))*持仓跟踪!$S$2:$S$497)),0)),0)*AL179)+IF(OR(AM179="",AN179=""),0,MAX(AM179-MAX(N179,IFERROR(SUMPRODUCT(MAX(((持仓跟踪!$A$2:$A$497="每日跟踪")*(持仓跟踪!$B$2:$B$497=A179))*持仓跟踪!$S$2:$S$497)),0)),0)*AN179))))</f>
        <v/>
      </c>
      <c r="AR179" s="8" t="str">
        <f ca="1">IF(A179="","",IF(OR(E179="",H179=""),"违规：第一批价格或股数缺失",IF(OR(AND(AK179="",AL179&lt;&gt;""),AND(AK179&lt;&gt;"",AL179="")),"违规：第二批价格与股数须成对填写",IF(OR(AND(AM179="",AN179&lt;&gt;""),AND(AM179&lt;&gt;"",AN179="")),"违规：第三批价格与股数须成对填写",IF(AND(OR(AM179&lt;&gt;"",AN179&lt;&gt;""),OR(AK179="",AL179="")),"违规：必须先完成第二批",IF(OR(H179&lt;=0,H179&lt;&gt;INT(H179),MOD(H179,100)&lt;&gt;0,AND(AL179&lt;&gt;"",OR(AL179&lt;=0,AL179&lt;&gt;INT(AL179),MOD(AL179,100)&lt;&gt;0)),AND(AN179&lt;&gt;"",OR(AN179&lt;=0,AN179&lt;&gt;INT(AN179),MOD(AN179,100)&lt;&gt;0))),"违规：股数须为100股整数倍",IF(AND(OR(AL179&lt;&gt;"",AN179&lt;&gt;""),OR(_LockStatus="已锁仓",_LockStatus="解锁信息不完整")),"违规：锁仓期间禁止加仓",IF(AQ179&gt;C179*D179,"违规：超过单笔风险上限",IF(SUM($AQ$2:$AQ$201)&gt;账户数据!$B$7,"违规：超过账户风险上限","通过")))))))))</f>
        <v/>
      </c>
    </row>
    <row r="180" ht="17" spans="1:44">
      <c r="A180" s="2"/>
      <c r="B180" s="2"/>
      <c r="C180" s="10"/>
      <c r="D180" s="6"/>
      <c r="E180" s="10"/>
      <c r="F180" s="8" t="str">
        <f t="shared" si="59"/>
        <v/>
      </c>
      <c r="G180" s="8" t="str">
        <f ca="1"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COUNTIFS(持仓跟踪!$A$2:$A$497,"止损计划",持仓跟踪!$B$2:$B$497,A180,持仓跟踪!$AC$2:$AC$497,"计划有效")=0,"禁止开仓：请先填写止损计划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0" s="2"/>
      <c r="I180" s="15"/>
      <c r="J180" s="10"/>
      <c r="K180" s="5" t="str">
        <f>IF(A180="","",IFERROR(LOOKUP(2,1/((持仓跟踪!$B$2:$B$497=A180)*(持仓跟踪!$X$2:$X$497="执行卖出")*(持仓跟踪!$Y$2:$Y$497&lt;&gt;"")),持仓跟踪!$Y$2:$Y$497),""))</f>
        <v/>
      </c>
      <c r="L180" s="8" t="str">
        <f>IF(A180="","",IFERROR(LOOKUP(2,1/((持仓跟踪!$B$2:$B$497=A180)*(持仓跟踪!$X$2:$X$497="执行卖出")*(持仓跟踪!$Z$2:$Z$497&lt;&gt;"")),持仓跟踪!$Z$2:$Z$497),""))</f>
        <v/>
      </c>
      <c r="M180" s="23" t="str">
        <f>IF(A180="","",IFERROR(LOOKUP(2,1/((持仓跟踪!$B$2:$B$497=A180)*(持仓跟踪!$X$2:$X$497="执行卖出")*(持仓跟踪!$H$2:$H$497&lt;&gt;"")),持仓跟踪!$H$2:$H$497),""))</f>
        <v/>
      </c>
      <c r="N180" s="10"/>
      <c r="O180" s="10"/>
      <c r="P180" s="5" t="str">
        <f>IF(A180="","",IFERROR(LOOKUP(2,1/((持仓跟踪!$B$2:$B$497=A180)*(持仓跟踪!$X$2:$X$497="执行卖出")*(持仓跟踪!$AA$2:$AA$497&lt;&gt;"")),持仓跟踪!$AA$2:$AA$497),""))</f>
        <v/>
      </c>
      <c r="Q180" s="2"/>
      <c r="R180" s="2"/>
      <c r="S180" s="2"/>
      <c r="T180" s="2"/>
      <c r="U180" s="7" t="str">
        <f t="shared" si="60"/>
        <v/>
      </c>
      <c r="V180" s="7" t="str">
        <f t="shared" si="61"/>
        <v/>
      </c>
      <c r="W180" s="22" t="str">
        <f t="shared" si="62"/>
        <v/>
      </c>
      <c r="X180" s="5" t="str">
        <f t="shared" si="63"/>
        <v/>
      </c>
      <c r="Y180" s="7" t="str">
        <f t="shared" si="64"/>
        <v/>
      </c>
      <c r="Z180" s="7" t="str">
        <f>IF(OR(AE180="",多次统计数据!$B$8=""),"",AE180-多次统计数据!$B$8)</f>
        <v/>
      </c>
      <c r="AA180" s="11" t="str">
        <f t="shared" si="65"/>
        <v/>
      </c>
      <c r="AB180" s="7" t="str">
        <f>IF(OR(A180="",多次统计数据!$B$8="",多次统计数据!$B$6&lt;=0,多次统计数据!$B$6&gt;=1),"",1-POWER(1+多次统计数据!$B$8,-多次统计数据!$B$6/(1-多次统计数据!$B$6)))</f>
        <v/>
      </c>
      <c r="AC180" s="8" t="str">
        <f>IF(OR(AB180="",多次统计数据!$B$9=""),"",IF(多次统计数据!$B$9&lt;AB180,"低于上限","达到或超过上限"))</f>
        <v/>
      </c>
      <c r="AD180" s="2"/>
      <c r="AE180" s="7" t="str">
        <f t="shared" si="66"/>
        <v/>
      </c>
      <c r="AG180" s="2"/>
      <c r="AH180" s="2"/>
      <c r="AI180" s="2"/>
      <c r="AJ180" s="8" t="str">
        <f t="shared" si="67"/>
        <v/>
      </c>
      <c r="AK180" s="10"/>
      <c r="AL180" s="12"/>
      <c r="AM180" s="10"/>
      <c r="AN180" s="12"/>
      <c r="AO180" s="5" t="str">
        <f t="shared" si="68"/>
        <v/>
      </c>
      <c r="AP180" s="11" t="str">
        <f t="shared" si="69"/>
        <v/>
      </c>
      <c r="AQ180" s="5" t="str">
        <f>IF(A180="","",IF(M180&lt;&gt;"",0,IF(OR(H180="",N180=""),"",MAX(E180-MAX(N180,IFERROR(SUMPRODUCT(MAX(((持仓跟踪!$A$2:$A$497="每日跟踪")*(持仓跟踪!$B$2:$B$497=A180))*持仓跟踪!$S$2:$S$497)),0)),0)*H180+IF(OR(AK180="",AL180=""),0,MAX(AK180-MAX(N180,IFERROR(SUMPRODUCT(MAX(((持仓跟踪!$A$2:$A$497="每日跟踪")*(持仓跟踪!$B$2:$B$497=A180))*持仓跟踪!$S$2:$S$497)),0)),0)*AL180)+IF(OR(AM180="",AN180=""),0,MAX(AM180-MAX(N180,IFERROR(SUMPRODUCT(MAX(((持仓跟踪!$A$2:$A$497="每日跟踪")*(持仓跟踪!$B$2:$B$497=A180))*持仓跟踪!$S$2:$S$497)),0)),0)*AN180))))</f>
        <v/>
      </c>
      <c r="AR180" s="8" t="str">
        <f ca="1">IF(A180="","",IF(OR(E180="",H180=""),"违规：第一批价格或股数缺失",IF(OR(AND(AK180="",AL180&lt;&gt;""),AND(AK180&lt;&gt;"",AL180="")),"违规：第二批价格与股数须成对填写",IF(OR(AND(AM180="",AN180&lt;&gt;""),AND(AM180&lt;&gt;"",AN180="")),"违规：第三批价格与股数须成对填写",IF(AND(OR(AM180&lt;&gt;"",AN180&lt;&gt;""),OR(AK180="",AL180="")),"违规：必须先完成第二批",IF(OR(H180&lt;=0,H180&lt;&gt;INT(H180),MOD(H180,100)&lt;&gt;0,AND(AL180&lt;&gt;"",OR(AL180&lt;=0,AL180&lt;&gt;INT(AL180),MOD(AL180,100)&lt;&gt;0)),AND(AN180&lt;&gt;"",OR(AN180&lt;=0,AN180&lt;&gt;INT(AN180),MOD(AN180,100)&lt;&gt;0))),"违规：股数须为100股整数倍",IF(AND(OR(AL180&lt;&gt;"",AN180&lt;&gt;""),OR(_LockStatus="已锁仓",_LockStatus="解锁信息不完整")),"违规：锁仓期间禁止加仓",IF(AQ180&gt;C180*D180,"违规：超过单笔风险上限",IF(SUM($AQ$2:$AQ$201)&gt;账户数据!$B$7,"违规：超过账户风险上限","通过")))))))))</f>
        <v/>
      </c>
    </row>
    <row r="181" ht="17" spans="1:44">
      <c r="A181" s="2"/>
      <c r="B181" s="2"/>
      <c r="C181" s="10"/>
      <c r="D181" s="6"/>
      <c r="E181" s="10"/>
      <c r="F181" s="8" t="str">
        <f t="shared" si="59"/>
        <v/>
      </c>
      <c r="G181" s="8" t="str">
        <f ca="1"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COUNTIFS(持仓跟踪!$A$2:$A$497,"止损计划",持仓跟踪!$B$2:$B$497,A181,持仓跟踪!$AC$2:$AC$497,"计划有效")=0,"禁止开仓：请先填写止损计划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1" s="2"/>
      <c r="I181" s="15"/>
      <c r="J181" s="10"/>
      <c r="K181" s="5" t="str">
        <f>IF(A181="","",IFERROR(LOOKUP(2,1/((持仓跟踪!$B$2:$B$497=A181)*(持仓跟踪!$X$2:$X$497="执行卖出")*(持仓跟踪!$Y$2:$Y$497&lt;&gt;"")),持仓跟踪!$Y$2:$Y$497),""))</f>
        <v/>
      </c>
      <c r="L181" s="8" t="str">
        <f>IF(A181="","",IFERROR(LOOKUP(2,1/((持仓跟踪!$B$2:$B$497=A181)*(持仓跟踪!$X$2:$X$497="执行卖出")*(持仓跟踪!$Z$2:$Z$497&lt;&gt;"")),持仓跟踪!$Z$2:$Z$497),""))</f>
        <v/>
      </c>
      <c r="M181" s="23" t="str">
        <f>IF(A181="","",IFERROR(LOOKUP(2,1/((持仓跟踪!$B$2:$B$497=A181)*(持仓跟踪!$X$2:$X$497="执行卖出")*(持仓跟踪!$H$2:$H$497&lt;&gt;"")),持仓跟踪!$H$2:$H$497),""))</f>
        <v/>
      </c>
      <c r="N181" s="10"/>
      <c r="O181" s="10"/>
      <c r="P181" s="5" t="str">
        <f>IF(A181="","",IFERROR(LOOKUP(2,1/((持仓跟踪!$B$2:$B$497=A181)*(持仓跟踪!$X$2:$X$497="执行卖出")*(持仓跟踪!$AA$2:$AA$497&lt;&gt;"")),持仓跟踪!$AA$2:$AA$497),""))</f>
        <v/>
      </c>
      <c r="Q181" s="2"/>
      <c r="R181" s="2"/>
      <c r="S181" s="2"/>
      <c r="T181" s="2"/>
      <c r="U181" s="7" t="str">
        <f t="shared" si="60"/>
        <v/>
      </c>
      <c r="V181" s="7" t="str">
        <f t="shared" si="61"/>
        <v/>
      </c>
      <c r="W181" s="22" t="str">
        <f t="shared" si="62"/>
        <v/>
      </c>
      <c r="X181" s="5" t="str">
        <f t="shared" si="63"/>
        <v/>
      </c>
      <c r="Y181" s="7" t="str">
        <f t="shared" si="64"/>
        <v/>
      </c>
      <c r="Z181" s="7" t="str">
        <f>IF(OR(AE181="",多次统计数据!$B$8=""),"",AE181-多次统计数据!$B$8)</f>
        <v/>
      </c>
      <c r="AA181" s="11" t="str">
        <f t="shared" si="65"/>
        <v/>
      </c>
      <c r="AB181" s="7" t="str">
        <f>IF(OR(A181="",多次统计数据!$B$8="",多次统计数据!$B$6&lt;=0,多次统计数据!$B$6&gt;=1),"",1-POWER(1+多次统计数据!$B$8,-多次统计数据!$B$6/(1-多次统计数据!$B$6)))</f>
        <v/>
      </c>
      <c r="AC181" s="8" t="str">
        <f>IF(OR(AB181="",多次统计数据!$B$9=""),"",IF(多次统计数据!$B$9&lt;AB181,"低于上限","达到或超过上限"))</f>
        <v/>
      </c>
      <c r="AD181" s="2"/>
      <c r="AE181" s="7" t="str">
        <f t="shared" si="66"/>
        <v/>
      </c>
      <c r="AG181" s="2"/>
      <c r="AH181" s="2"/>
      <c r="AI181" s="2"/>
      <c r="AJ181" s="8" t="str">
        <f t="shared" si="67"/>
        <v/>
      </c>
      <c r="AK181" s="10"/>
      <c r="AL181" s="12"/>
      <c r="AM181" s="10"/>
      <c r="AN181" s="12"/>
      <c r="AO181" s="5" t="str">
        <f t="shared" si="68"/>
        <v/>
      </c>
      <c r="AP181" s="11" t="str">
        <f t="shared" si="69"/>
        <v/>
      </c>
      <c r="AQ181" s="5" t="str">
        <f>IF(A181="","",IF(M181&lt;&gt;"",0,IF(OR(H181="",N181=""),"",MAX(E181-MAX(N181,IFERROR(SUMPRODUCT(MAX(((持仓跟踪!$A$2:$A$497="每日跟踪")*(持仓跟踪!$B$2:$B$497=A181))*持仓跟踪!$S$2:$S$497)),0)),0)*H181+IF(OR(AK181="",AL181=""),0,MAX(AK181-MAX(N181,IFERROR(SUMPRODUCT(MAX(((持仓跟踪!$A$2:$A$497="每日跟踪")*(持仓跟踪!$B$2:$B$497=A181))*持仓跟踪!$S$2:$S$497)),0)),0)*AL181)+IF(OR(AM181="",AN181=""),0,MAX(AM181-MAX(N181,IFERROR(SUMPRODUCT(MAX(((持仓跟踪!$A$2:$A$497="每日跟踪")*(持仓跟踪!$B$2:$B$497=A181))*持仓跟踪!$S$2:$S$497)),0)),0)*AN181))))</f>
        <v/>
      </c>
      <c r="AR181" s="8" t="str">
        <f ca="1">IF(A181="","",IF(OR(E181="",H181=""),"违规：第一批价格或股数缺失",IF(OR(AND(AK181="",AL181&lt;&gt;""),AND(AK181&lt;&gt;"",AL181="")),"违规：第二批价格与股数须成对填写",IF(OR(AND(AM181="",AN181&lt;&gt;""),AND(AM181&lt;&gt;"",AN181="")),"违规：第三批价格与股数须成对填写",IF(AND(OR(AM181&lt;&gt;"",AN181&lt;&gt;""),OR(AK181="",AL181="")),"违规：必须先完成第二批",IF(OR(H181&lt;=0,H181&lt;&gt;INT(H181),MOD(H181,100)&lt;&gt;0,AND(AL181&lt;&gt;"",OR(AL181&lt;=0,AL181&lt;&gt;INT(AL181),MOD(AL181,100)&lt;&gt;0)),AND(AN181&lt;&gt;"",OR(AN181&lt;=0,AN181&lt;&gt;INT(AN181),MOD(AN181,100)&lt;&gt;0))),"违规：股数须为100股整数倍",IF(AND(OR(AL181&lt;&gt;"",AN181&lt;&gt;""),OR(_LockStatus="已锁仓",_LockStatus="解锁信息不完整")),"违规：锁仓期间禁止加仓",IF(AQ181&gt;C181*D181,"违规：超过单笔风险上限",IF(SUM($AQ$2:$AQ$201)&gt;账户数据!$B$7,"违规：超过账户风险上限","通过")))))))))</f>
        <v/>
      </c>
    </row>
    <row r="182" ht="17" spans="1:44">
      <c r="A182" s="2"/>
      <c r="B182" s="2"/>
      <c r="C182" s="10"/>
      <c r="D182" s="6"/>
      <c r="E182" s="10"/>
      <c r="F182" s="8" t="str">
        <f t="shared" si="59"/>
        <v/>
      </c>
      <c r="G182" s="8" t="str">
        <f ca="1"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COUNTIFS(持仓跟踪!$A$2:$A$497,"止损计划",持仓跟踪!$B$2:$B$497,A182,持仓跟踪!$AC$2:$AC$497,"计划有效")=0,"禁止开仓：请先填写止损计划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2" s="2"/>
      <c r="I182" s="15"/>
      <c r="J182" s="10"/>
      <c r="K182" s="5" t="str">
        <f>IF(A182="","",IFERROR(LOOKUP(2,1/((持仓跟踪!$B$2:$B$497=A182)*(持仓跟踪!$X$2:$X$497="执行卖出")*(持仓跟踪!$Y$2:$Y$497&lt;&gt;"")),持仓跟踪!$Y$2:$Y$497),""))</f>
        <v/>
      </c>
      <c r="L182" s="8" t="str">
        <f>IF(A182="","",IFERROR(LOOKUP(2,1/((持仓跟踪!$B$2:$B$497=A182)*(持仓跟踪!$X$2:$X$497="执行卖出")*(持仓跟踪!$Z$2:$Z$497&lt;&gt;"")),持仓跟踪!$Z$2:$Z$497),""))</f>
        <v/>
      </c>
      <c r="M182" s="23" t="str">
        <f>IF(A182="","",IFERROR(LOOKUP(2,1/((持仓跟踪!$B$2:$B$497=A182)*(持仓跟踪!$X$2:$X$497="执行卖出")*(持仓跟踪!$H$2:$H$497&lt;&gt;"")),持仓跟踪!$H$2:$H$497),""))</f>
        <v/>
      </c>
      <c r="N182" s="10"/>
      <c r="O182" s="10"/>
      <c r="P182" s="5" t="str">
        <f>IF(A182="","",IFERROR(LOOKUP(2,1/((持仓跟踪!$B$2:$B$497=A182)*(持仓跟踪!$X$2:$X$497="执行卖出")*(持仓跟踪!$AA$2:$AA$497&lt;&gt;"")),持仓跟踪!$AA$2:$AA$497),""))</f>
        <v/>
      </c>
      <c r="Q182" s="2"/>
      <c r="R182" s="2"/>
      <c r="S182" s="2"/>
      <c r="T182" s="2"/>
      <c r="U182" s="7" t="str">
        <f t="shared" si="60"/>
        <v/>
      </c>
      <c r="V182" s="7" t="str">
        <f t="shared" si="61"/>
        <v/>
      </c>
      <c r="W182" s="22" t="str">
        <f t="shared" si="62"/>
        <v/>
      </c>
      <c r="X182" s="5" t="str">
        <f t="shared" si="63"/>
        <v/>
      </c>
      <c r="Y182" s="7" t="str">
        <f t="shared" si="64"/>
        <v/>
      </c>
      <c r="Z182" s="7" t="str">
        <f>IF(OR(AE182="",多次统计数据!$B$8=""),"",AE182-多次统计数据!$B$8)</f>
        <v/>
      </c>
      <c r="AA182" s="11" t="str">
        <f t="shared" si="65"/>
        <v/>
      </c>
      <c r="AB182" s="7" t="str">
        <f>IF(OR(A182="",多次统计数据!$B$8="",多次统计数据!$B$6&lt;=0,多次统计数据!$B$6&gt;=1),"",1-POWER(1+多次统计数据!$B$8,-多次统计数据!$B$6/(1-多次统计数据!$B$6)))</f>
        <v/>
      </c>
      <c r="AC182" s="8" t="str">
        <f>IF(OR(AB182="",多次统计数据!$B$9=""),"",IF(多次统计数据!$B$9&lt;AB182,"低于上限","达到或超过上限"))</f>
        <v/>
      </c>
      <c r="AD182" s="2"/>
      <c r="AE182" s="7" t="str">
        <f t="shared" si="66"/>
        <v/>
      </c>
      <c r="AG182" s="2"/>
      <c r="AH182" s="2"/>
      <c r="AI182" s="2"/>
      <c r="AJ182" s="8" t="str">
        <f t="shared" si="67"/>
        <v/>
      </c>
      <c r="AK182" s="10"/>
      <c r="AL182" s="12"/>
      <c r="AM182" s="10"/>
      <c r="AN182" s="12"/>
      <c r="AO182" s="5" t="str">
        <f t="shared" si="68"/>
        <v/>
      </c>
      <c r="AP182" s="11" t="str">
        <f t="shared" si="69"/>
        <v/>
      </c>
      <c r="AQ182" s="5" t="str">
        <f>IF(A182="","",IF(M182&lt;&gt;"",0,IF(OR(H182="",N182=""),"",MAX(E182-MAX(N182,IFERROR(SUMPRODUCT(MAX(((持仓跟踪!$A$2:$A$497="每日跟踪")*(持仓跟踪!$B$2:$B$497=A182))*持仓跟踪!$S$2:$S$497)),0)),0)*H182+IF(OR(AK182="",AL182=""),0,MAX(AK182-MAX(N182,IFERROR(SUMPRODUCT(MAX(((持仓跟踪!$A$2:$A$497="每日跟踪")*(持仓跟踪!$B$2:$B$497=A182))*持仓跟踪!$S$2:$S$497)),0)),0)*AL182)+IF(OR(AM182="",AN182=""),0,MAX(AM182-MAX(N182,IFERROR(SUMPRODUCT(MAX(((持仓跟踪!$A$2:$A$497="每日跟踪")*(持仓跟踪!$B$2:$B$497=A182))*持仓跟踪!$S$2:$S$497)),0)),0)*AN182))))</f>
        <v/>
      </c>
      <c r="AR182" s="8" t="str">
        <f ca="1">IF(A182="","",IF(OR(E182="",H182=""),"违规：第一批价格或股数缺失",IF(OR(AND(AK182="",AL182&lt;&gt;""),AND(AK182&lt;&gt;"",AL182="")),"违规：第二批价格与股数须成对填写",IF(OR(AND(AM182="",AN182&lt;&gt;""),AND(AM182&lt;&gt;"",AN182="")),"违规：第三批价格与股数须成对填写",IF(AND(OR(AM182&lt;&gt;"",AN182&lt;&gt;""),OR(AK182="",AL182="")),"违规：必须先完成第二批",IF(OR(H182&lt;=0,H182&lt;&gt;INT(H182),MOD(H182,100)&lt;&gt;0,AND(AL182&lt;&gt;"",OR(AL182&lt;=0,AL182&lt;&gt;INT(AL182),MOD(AL182,100)&lt;&gt;0)),AND(AN182&lt;&gt;"",OR(AN182&lt;=0,AN182&lt;&gt;INT(AN182),MOD(AN182,100)&lt;&gt;0))),"违规：股数须为100股整数倍",IF(AND(OR(AL182&lt;&gt;"",AN182&lt;&gt;""),OR(_LockStatus="已锁仓",_LockStatus="解锁信息不完整")),"违规：锁仓期间禁止加仓",IF(AQ182&gt;C182*D182,"违规：超过单笔风险上限",IF(SUM($AQ$2:$AQ$201)&gt;账户数据!$B$7,"违规：超过账户风险上限","通过")))))))))</f>
        <v/>
      </c>
    </row>
    <row r="183" ht="17" spans="1:44">
      <c r="A183" s="2"/>
      <c r="B183" s="2"/>
      <c r="C183" s="10"/>
      <c r="D183" s="6"/>
      <c r="E183" s="10"/>
      <c r="F183" s="8" t="str">
        <f t="shared" si="59"/>
        <v/>
      </c>
      <c r="G183" s="8" t="str">
        <f ca="1"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COUNTIFS(持仓跟踪!$A$2:$A$497,"止损计划",持仓跟踪!$B$2:$B$497,A183,持仓跟踪!$AC$2:$AC$497,"计划有效")=0,"禁止开仓：请先填写止损计划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3" s="2"/>
      <c r="I183" s="15"/>
      <c r="J183" s="10"/>
      <c r="K183" s="5" t="str">
        <f>IF(A183="","",IFERROR(LOOKUP(2,1/((持仓跟踪!$B$2:$B$497=A183)*(持仓跟踪!$X$2:$X$497="执行卖出")*(持仓跟踪!$Y$2:$Y$497&lt;&gt;"")),持仓跟踪!$Y$2:$Y$497),""))</f>
        <v/>
      </c>
      <c r="L183" s="8" t="str">
        <f>IF(A183="","",IFERROR(LOOKUP(2,1/((持仓跟踪!$B$2:$B$497=A183)*(持仓跟踪!$X$2:$X$497="执行卖出")*(持仓跟踪!$Z$2:$Z$497&lt;&gt;"")),持仓跟踪!$Z$2:$Z$497),""))</f>
        <v/>
      </c>
      <c r="M183" s="23" t="str">
        <f>IF(A183="","",IFERROR(LOOKUP(2,1/((持仓跟踪!$B$2:$B$497=A183)*(持仓跟踪!$X$2:$X$497="执行卖出")*(持仓跟踪!$H$2:$H$497&lt;&gt;"")),持仓跟踪!$H$2:$H$497),""))</f>
        <v/>
      </c>
      <c r="N183" s="10"/>
      <c r="O183" s="10"/>
      <c r="P183" s="5" t="str">
        <f>IF(A183="","",IFERROR(LOOKUP(2,1/((持仓跟踪!$B$2:$B$497=A183)*(持仓跟踪!$X$2:$X$497="执行卖出")*(持仓跟踪!$AA$2:$AA$497&lt;&gt;"")),持仓跟踪!$AA$2:$AA$497),""))</f>
        <v/>
      </c>
      <c r="Q183" s="2"/>
      <c r="R183" s="2"/>
      <c r="S183" s="2"/>
      <c r="T183" s="2"/>
      <c r="U183" s="7" t="str">
        <f t="shared" si="60"/>
        <v/>
      </c>
      <c r="V183" s="7" t="str">
        <f t="shared" si="61"/>
        <v/>
      </c>
      <c r="W183" s="22" t="str">
        <f t="shared" si="62"/>
        <v/>
      </c>
      <c r="X183" s="5" t="str">
        <f t="shared" si="63"/>
        <v/>
      </c>
      <c r="Y183" s="7" t="str">
        <f t="shared" si="64"/>
        <v/>
      </c>
      <c r="Z183" s="7" t="str">
        <f>IF(OR(AE183="",多次统计数据!$B$8=""),"",AE183-多次统计数据!$B$8)</f>
        <v/>
      </c>
      <c r="AA183" s="11" t="str">
        <f t="shared" si="65"/>
        <v/>
      </c>
      <c r="AB183" s="7" t="str">
        <f>IF(OR(A183="",多次统计数据!$B$8="",多次统计数据!$B$6&lt;=0,多次统计数据!$B$6&gt;=1),"",1-POWER(1+多次统计数据!$B$8,-多次统计数据!$B$6/(1-多次统计数据!$B$6)))</f>
        <v/>
      </c>
      <c r="AC183" s="8" t="str">
        <f>IF(OR(AB183="",多次统计数据!$B$9=""),"",IF(多次统计数据!$B$9&lt;AB183,"低于上限","达到或超过上限"))</f>
        <v/>
      </c>
      <c r="AD183" s="2"/>
      <c r="AE183" s="7" t="str">
        <f t="shared" si="66"/>
        <v/>
      </c>
      <c r="AG183" s="2"/>
      <c r="AH183" s="2"/>
      <c r="AI183" s="2"/>
      <c r="AJ183" s="8" t="str">
        <f t="shared" si="67"/>
        <v/>
      </c>
      <c r="AK183" s="10"/>
      <c r="AL183" s="12"/>
      <c r="AM183" s="10"/>
      <c r="AN183" s="12"/>
      <c r="AO183" s="5" t="str">
        <f t="shared" si="68"/>
        <v/>
      </c>
      <c r="AP183" s="11" t="str">
        <f t="shared" si="69"/>
        <v/>
      </c>
      <c r="AQ183" s="5" t="str">
        <f>IF(A183="","",IF(M183&lt;&gt;"",0,IF(OR(H183="",N183=""),"",MAX(E183-MAX(N183,IFERROR(SUMPRODUCT(MAX(((持仓跟踪!$A$2:$A$497="每日跟踪")*(持仓跟踪!$B$2:$B$497=A183))*持仓跟踪!$S$2:$S$497)),0)),0)*H183+IF(OR(AK183="",AL183=""),0,MAX(AK183-MAX(N183,IFERROR(SUMPRODUCT(MAX(((持仓跟踪!$A$2:$A$497="每日跟踪")*(持仓跟踪!$B$2:$B$497=A183))*持仓跟踪!$S$2:$S$497)),0)),0)*AL183)+IF(OR(AM183="",AN183=""),0,MAX(AM183-MAX(N183,IFERROR(SUMPRODUCT(MAX(((持仓跟踪!$A$2:$A$497="每日跟踪")*(持仓跟踪!$B$2:$B$497=A183))*持仓跟踪!$S$2:$S$497)),0)),0)*AN183))))</f>
        <v/>
      </c>
      <c r="AR183" s="8" t="str">
        <f ca="1">IF(A183="","",IF(OR(E183="",H183=""),"违规：第一批价格或股数缺失",IF(OR(AND(AK183="",AL183&lt;&gt;""),AND(AK183&lt;&gt;"",AL183="")),"违规：第二批价格与股数须成对填写",IF(OR(AND(AM183="",AN183&lt;&gt;""),AND(AM183&lt;&gt;"",AN183="")),"违规：第三批价格与股数须成对填写",IF(AND(OR(AM183&lt;&gt;"",AN183&lt;&gt;""),OR(AK183="",AL183="")),"违规：必须先完成第二批",IF(OR(H183&lt;=0,H183&lt;&gt;INT(H183),MOD(H183,100)&lt;&gt;0,AND(AL183&lt;&gt;"",OR(AL183&lt;=0,AL183&lt;&gt;INT(AL183),MOD(AL183,100)&lt;&gt;0)),AND(AN183&lt;&gt;"",OR(AN183&lt;=0,AN183&lt;&gt;INT(AN183),MOD(AN183,100)&lt;&gt;0))),"违规：股数须为100股整数倍",IF(AND(OR(AL183&lt;&gt;"",AN183&lt;&gt;""),OR(_LockStatus="已锁仓",_LockStatus="解锁信息不完整")),"违规：锁仓期间禁止加仓",IF(AQ183&gt;C183*D183,"违规：超过单笔风险上限",IF(SUM($AQ$2:$AQ$201)&gt;账户数据!$B$7,"违规：超过账户风险上限","通过")))))))))</f>
        <v/>
      </c>
    </row>
    <row r="184" ht="17" spans="1:44">
      <c r="A184" s="2"/>
      <c r="B184" s="2"/>
      <c r="C184" s="10"/>
      <c r="D184" s="6"/>
      <c r="E184" s="10"/>
      <c r="F184" s="8" t="str">
        <f t="shared" si="59"/>
        <v/>
      </c>
      <c r="G184" s="8" t="str">
        <f ca="1"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COUNTIFS(持仓跟踪!$A$2:$A$497,"止损计划",持仓跟踪!$B$2:$B$497,A184,持仓跟踪!$AC$2:$AC$497,"计划有效")=0,"禁止开仓：请先填写止损计划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4" s="2"/>
      <c r="I184" s="15"/>
      <c r="J184" s="10"/>
      <c r="K184" s="5" t="str">
        <f>IF(A184="","",IFERROR(LOOKUP(2,1/((持仓跟踪!$B$2:$B$497=A184)*(持仓跟踪!$X$2:$X$497="执行卖出")*(持仓跟踪!$Y$2:$Y$497&lt;&gt;"")),持仓跟踪!$Y$2:$Y$497),""))</f>
        <v/>
      </c>
      <c r="L184" s="8" t="str">
        <f>IF(A184="","",IFERROR(LOOKUP(2,1/((持仓跟踪!$B$2:$B$497=A184)*(持仓跟踪!$X$2:$X$497="执行卖出")*(持仓跟踪!$Z$2:$Z$497&lt;&gt;"")),持仓跟踪!$Z$2:$Z$497),""))</f>
        <v/>
      </c>
      <c r="M184" s="23" t="str">
        <f>IF(A184="","",IFERROR(LOOKUP(2,1/((持仓跟踪!$B$2:$B$497=A184)*(持仓跟踪!$X$2:$X$497="执行卖出")*(持仓跟踪!$H$2:$H$497&lt;&gt;"")),持仓跟踪!$H$2:$H$497),""))</f>
        <v/>
      </c>
      <c r="N184" s="10"/>
      <c r="O184" s="10"/>
      <c r="P184" s="5" t="str">
        <f>IF(A184="","",IFERROR(LOOKUP(2,1/((持仓跟踪!$B$2:$B$497=A184)*(持仓跟踪!$X$2:$X$497="执行卖出")*(持仓跟踪!$AA$2:$AA$497&lt;&gt;"")),持仓跟踪!$AA$2:$AA$497),""))</f>
        <v/>
      </c>
      <c r="Q184" s="2"/>
      <c r="R184" s="2"/>
      <c r="S184" s="2"/>
      <c r="T184" s="2"/>
      <c r="U184" s="7" t="str">
        <f t="shared" si="60"/>
        <v/>
      </c>
      <c r="V184" s="7" t="str">
        <f t="shared" si="61"/>
        <v/>
      </c>
      <c r="W184" s="22" t="str">
        <f t="shared" si="62"/>
        <v/>
      </c>
      <c r="X184" s="5" t="str">
        <f t="shared" si="63"/>
        <v/>
      </c>
      <c r="Y184" s="7" t="str">
        <f t="shared" si="64"/>
        <v/>
      </c>
      <c r="Z184" s="7" t="str">
        <f>IF(OR(AE184="",多次统计数据!$B$8=""),"",AE184-多次统计数据!$B$8)</f>
        <v/>
      </c>
      <c r="AA184" s="11" t="str">
        <f t="shared" si="65"/>
        <v/>
      </c>
      <c r="AB184" s="7" t="str">
        <f>IF(OR(A184="",多次统计数据!$B$8="",多次统计数据!$B$6&lt;=0,多次统计数据!$B$6&gt;=1),"",1-POWER(1+多次统计数据!$B$8,-多次统计数据!$B$6/(1-多次统计数据!$B$6)))</f>
        <v/>
      </c>
      <c r="AC184" s="8" t="str">
        <f>IF(OR(AB184="",多次统计数据!$B$9=""),"",IF(多次统计数据!$B$9&lt;AB184,"低于上限","达到或超过上限"))</f>
        <v/>
      </c>
      <c r="AD184" s="2"/>
      <c r="AE184" s="7" t="str">
        <f t="shared" si="66"/>
        <v/>
      </c>
      <c r="AG184" s="2"/>
      <c r="AH184" s="2"/>
      <c r="AI184" s="2"/>
      <c r="AJ184" s="8" t="str">
        <f t="shared" si="67"/>
        <v/>
      </c>
      <c r="AK184" s="10"/>
      <c r="AL184" s="12"/>
      <c r="AM184" s="10"/>
      <c r="AN184" s="12"/>
      <c r="AO184" s="5" t="str">
        <f t="shared" si="68"/>
        <v/>
      </c>
      <c r="AP184" s="11" t="str">
        <f t="shared" si="69"/>
        <v/>
      </c>
      <c r="AQ184" s="5" t="str">
        <f>IF(A184="","",IF(M184&lt;&gt;"",0,IF(OR(H184="",N184=""),"",MAX(E184-MAX(N184,IFERROR(SUMPRODUCT(MAX(((持仓跟踪!$A$2:$A$497="每日跟踪")*(持仓跟踪!$B$2:$B$497=A184))*持仓跟踪!$S$2:$S$497)),0)),0)*H184+IF(OR(AK184="",AL184=""),0,MAX(AK184-MAX(N184,IFERROR(SUMPRODUCT(MAX(((持仓跟踪!$A$2:$A$497="每日跟踪")*(持仓跟踪!$B$2:$B$497=A184))*持仓跟踪!$S$2:$S$497)),0)),0)*AL184)+IF(OR(AM184="",AN184=""),0,MAX(AM184-MAX(N184,IFERROR(SUMPRODUCT(MAX(((持仓跟踪!$A$2:$A$497="每日跟踪")*(持仓跟踪!$B$2:$B$497=A184))*持仓跟踪!$S$2:$S$497)),0)),0)*AN184))))</f>
        <v/>
      </c>
      <c r="AR184" s="8" t="str">
        <f ca="1">IF(A184="","",IF(OR(E184="",H184=""),"违规：第一批价格或股数缺失",IF(OR(AND(AK184="",AL184&lt;&gt;""),AND(AK184&lt;&gt;"",AL184="")),"违规：第二批价格与股数须成对填写",IF(OR(AND(AM184="",AN184&lt;&gt;""),AND(AM184&lt;&gt;"",AN184="")),"违规：第三批价格与股数须成对填写",IF(AND(OR(AM184&lt;&gt;"",AN184&lt;&gt;""),OR(AK184="",AL184="")),"违规：必须先完成第二批",IF(OR(H184&lt;=0,H184&lt;&gt;INT(H184),MOD(H184,100)&lt;&gt;0,AND(AL184&lt;&gt;"",OR(AL184&lt;=0,AL184&lt;&gt;INT(AL184),MOD(AL184,100)&lt;&gt;0)),AND(AN184&lt;&gt;"",OR(AN184&lt;=0,AN184&lt;&gt;INT(AN184),MOD(AN184,100)&lt;&gt;0))),"违规：股数须为100股整数倍",IF(AND(OR(AL184&lt;&gt;"",AN184&lt;&gt;""),OR(_LockStatus="已锁仓",_LockStatus="解锁信息不完整")),"违规：锁仓期间禁止加仓",IF(AQ184&gt;C184*D184,"违规：超过单笔风险上限",IF(SUM($AQ$2:$AQ$201)&gt;账户数据!$B$7,"违规：超过账户风险上限","通过")))))))))</f>
        <v/>
      </c>
    </row>
    <row r="185" ht="17" spans="1:44">
      <c r="A185" s="2"/>
      <c r="B185" s="2"/>
      <c r="C185" s="10"/>
      <c r="D185" s="6"/>
      <c r="E185" s="10"/>
      <c r="F185" s="8" t="str">
        <f t="shared" si="59"/>
        <v/>
      </c>
      <c r="G185" s="8" t="str">
        <f ca="1"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COUNTIFS(持仓跟踪!$A$2:$A$497,"止损计划",持仓跟踪!$B$2:$B$497,A185,持仓跟踪!$AC$2:$AC$497,"计划有效")=0,"禁止开仓：请先填写止损计划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5" s="2"/>
      <c r="I185" s="15"/>
      <c r="J185" s="10"/>
      <c r="K185" s="5" t="str">
        <f>IF(A185="","",IFERROR(LOOKUP(2,1/((持仓跟踪!$B$2:$B$497=A185)*(持仓跟踪!$X$2:$X$497="执行卖出")*(持仓跟踪!$Y$2:$Y$497&lt;&gt;"")),持仓跟踪!$Y$2:$Y$497),""))</f>
        <v/>
      </c>
      <c r="L185" s="8" t="str">
        <f>IF(A185="","",IFERROR(LOOKUP(2,1/((持仓跟踪!$B$2:$B$497=A185)*(持仓跟踪!$X$2:$X$497="执行卖出")*(持仓跟踪!$Z$2:$Z$497&lt;&gt;"")),持仓跟踪!$Z$2:$Z$497),""))</f>
        <v/>
      </c>
      <c r="M185" s="23" t="str">
        <f>IF(A185="","",IFERROR(LOOKUP(2,1/((持仓跟踪!$B$2:$B$497=A185)*(持仓跟踪!$X$2:$X$497="执行卖出")*(持仓跟踪!$H$2:$H$497&lt;&gt;"")),持仓跟踪!$H$2:$H$497),""))</f>
        <v/>
      </c>
      <c r="N185" s="10"/>
      <c r="O185" s="10"/>
      <c r="P185" s="5" t="str">
        <f>IF(A185="","",IFERROR(LOOKUP(2,1/((持仓跟踪!$B$2:$B$497=A185)*(持仓跟踪!$X$2:$X$497="执行卖出")*(持仓跟踪!$AA$2:$AA$497&lt;&gt;"")),持仓跟踪!$AA$2:$AA$497),""))</f>
        <v/>
      </c>
      <c r="Q185" s="2"/>
      <c r="R185" s="2"/>
      <c r="S185" s="2"/>
      <c r="T185" s="2"/>
      <c r="U185" s="7" t="str">
        <f t="shared" si="60"/>
        <v/>
      </c>
      <c r="V185" s="7" t="str">
        <f t="shared" si="61"/>
        <v/>
      </c>
      <c r="W185" s="22" t="str">
        <f t="shared" si="62"/>
        <v/>
      </c>
      <c r="X185" s="5" t="str">
        <f t="shared" si="63"/>
        <v/>
      </c>
      <c r="Y185" s="7" t="str">
        <f t="shared" si="64"/>
        <v/>
      </c>
      <c r="Z185" s="7" t="str">
        <f>IF(OR(AE185="",多次统计数据!$B$8=""),"",AE185-多次统计数据!$B$8)</f>
        <v/>
      </c>
      <c r="AA185" s="11" t="str">
        <f t="shared" si="65"/>
        <v/>
      </c>
      <c r="AB185" s="7" t="str">
        <f>IF(OR(A185="",多次统计数据!$B$8="",多次统计数据!$B$6&lt;=0,多次统计数据!$B$6&gt;=1),"",1-POWER(1+多次统计数据!$B$8,-多次统计数据!$B$6/(1-多次统计数据!$B$6)))</f>
        <v/>
      </c>
      <c r="AC185" s="8" t="str">
        <f>IF(OR(AB185="",多次统计数据!$B$9=""),"",IF(多次统计数据!$B$9&lt;AB185,"低于上限","达到或超过上限"))</f>
        <v/>
      </c>
      <c r="AD185" s="2"/>
      <c r="AE185" s="7" t="str">
        <f t="shared" si="66"/>
        <v/>
      </c>
      <c r="AG185" s="2"/>
      <c r="AH185" s="2"/>
      <c r="AI185" s="2"/>
      <c r="AJ185" s="8" t="str">
        <f t="shared" si="67"/>
        <v/>
      </c>
      <c r="AK185" s="10"/>
      <c r="AL185" s="12"/>
      <c r="AM185" s="10"/>
      <c r="AN185" s="12"/>
      <c r="AO185" s="5" t="str">
        <f t="shared" si="68"/>
        <v/>
      </c>
      <c r="AP185" s="11" t="str">
        <f t="shared" si="69"/>
        <v/>
      </c>
      <c r="AQ185" s="5" t="str">
        <f>IF(A185="","",IF(M185&lt;&gt;"",0,IF(OR(H185="",N185=""),"",MAX(E185-MAX(N185,IFERROR(SUMPRODUCT(MAX(((持仓跟踪!$A$2:$A$497="每日跟踪")*(持仓跟踪!$B$2:$B$497=A185))*持仓跟踪!$S$2:$S$497)),0)),0)*H185+IF(OR(AK185="",AL185=""),0,MAX(AK185-MAX(N185,IFERROR(SUMPRODUCT(MAX(((持仓跟踪!$A$2:$A$497="每日跟踪")*(持仓跟踪!$B$2:$B$497=A185))*持仓跟踪!$S$2:$S$497)),0)),0)*AL185)+IF(OR(AM185="",AN185=""),0,MAX(AM185-MAX(N185,IFERROR(SUMPRODUCT(MAX(((持仓跟踪!$A$2:$A$497="每日跟踪")*(持仓跟踪!$B$2:$B$497=A185))*持仓跟踪!$S$2:$S$497)),0)),0)*AN185))))</f>
        <v/>
      </c>
      <c r="AR185" s="8" t="str">
        <f ca="1">IF(A185="","",IF(OR(E185="",H185=""),"违规：第一批价格或股数缺失",IF(OR(AND(AK185="",AL185&lt;&gt;""),AND(AK185&lt;&gt;"",AL185="")),"违规：第二批价格与股数须成对填写",IF(OR(AND(AM185="",AN185&lt;&gt;""),AND(AM185&lt;&gt;"",AN185="")),"违规：第三批价格与股数须成对填写",IF(AND(OR(AM185&lt;&gt;"",AN185&lt;&gt;""),OR(AK185="",AL185="")),"违规：必须先完成第二批",IF(OR(H185&lt;=0,H185&lt;&gt;INT(H185),MOD(H185,100)&lt;&gt;0,AND(AL185&lt;&gt;"",OR(AL185&lt;=0,AL185&lt;&gt;INT(AL185),MOD(AL185,100)&lt;&gt;0)),AND(AN185&lt;&gt;"",OR(AN185&lt;=0,AN185&lt;&gt;INT(AN185),MOD(AN185,100)&lt;&gt;0))),"违规：股数须为100股整数倍",IF(AND(OR(AL185&lt;&gt;"",AN185&lt;&gt;""),OR(_LockStatus="已锁仓",_LockStatus="解锁信息不完整")),"违规：锁仓期间禁止加仓",IF(AQ185&gt;C185*D185,"违规：超过单笔风险上限",IF(SUM($AQ$2:$AQ$201)&gt;账户数据!$B$7,"违规：超过账户风险上限","通过")))))))))</f>
        <v/>
      </c>
    </row>
    <row r="186" ht="17" spans="1:44">
      <c r="A186" s="2"/>
      <c r="B186" s="2"/>
      <c r="C186" s="10"/>
      <c r="D186" s="6"/>
      <c r="E186" s="10"/>
      <c r="F186" s="8" t="str">
        <f t="shared" si="59"/>
        <v/>
      </c>
      <c r="G186" s="8" t="str">
        <f ca="1"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COUNTIFS(持仓跟踪!$A$2:$A$497,"止损计划",持仓跟踪!$B$2:$B$497,A186,持仓跟踪!$AC$2:$AC$497,"计划有效")=0,"禁止开仓：请先填写止损计划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6" s="2"/>
      <c r="I186" s="15"/>
      <c r="J186" s="10"/>
      <c r="K186" s="5" t="str">
        <f>IF(A186="","",IFERROR(LOOKUP(2,1/((持仓跟踪!$B$2:$B$497=A186)*(持仓跟踪!$X$2:$X$497="执行卖出")*(持仓跟踪!$Y$2:$Y$497&lt;&gt;"")),持仓跟踪!$Y$2:$Y$497),""))</f>
        <v/>
      </c>
      <c r="L186" s="8" t="str">
        <f>IF(A186="","",IFERROR(LOOKUP(2,1/((持仓跟踪!$B$2:$B$497=A186)*(持仓跟踪!$X$2:$X$497="执行卖出")*(持仓跟踪!$Z$2:$Z$497&lt;&gt;"")),持仓跟踪!$Z$2:$Z$497),""))</f>
        <v/>
      </c>
      <c r="M186" s="23" t="str">
        <f>IF(A186="","",IFERROR(LOOKUP(2,1/((持仓跟踪!$B$2:$B$497=A186)*(持仓跟踪!$X$2:$X$497="执行卖出")*(持仓跟踪!$H$2:$H$497&lt;&gt;"")),持仓跟踪!$H$2:$H$497),""))</f>
        <v/>
      </c>
      <c r="N186" s="10"/>
      <c r="O186" s="10"/>
      <c r="P186" s="5" t="str">
        <f>IF(A186="","",IFERROR(LOOKUP(2,1/((持仓跟踪!$B$2:$B$497=A186)*(持仓跟踪!$X$2:$X$497="执行卖出")*(持仓跟踪!$AA$2:$AA$497&lt;&gt;"")),持仓跟踪!$AA$2:$AA$497),""))</f>
        <v/>
      </c>
      <c r="Q186" s="2"/>
      <c r="R186" s="2"/>
      <c r="S186" s="2"/>
      <c r="T186" s="2"/>
      <c r="U186" s="7" t="str">
        <f t="shared" si="60"/>
        <v/>
      </c>
      <c r="V186" s="7" t="str">
        <f t="shared" si="61"/>
        <v/>
      </c>
      <c r="W186" s="22" t="str">
        <f t="shared" si="62"/>
        <v/>
      </c>
      <c r="X186" s="5" t="str">
        <f t="shared" si="63"/>
        <v/>
      </c>
      <c r="Y186" s="7" t="str">
        <f t="shared" si="64"/>
        <v/>
      </c>
      <c r="Z186" s="7" t="str">
        <f>IF(OR(AE186="",多次统计数据!$B$8=""),"",AE186-多次统计数据!$B$8)</f>
        <v/>
      </c>
      <c r="AA186" s="11" t="str">
        <f t="shared" si="65"/>
        <v/>
      </c>
      <c r="AB186" s="7" t="str">
        <f>IF(OR(A186="",多次统计数据!$B$8="",多次统计数据!$B$6&lt;=0,多次统计数据!$B$6&gt;=1),"",1-POWER(1+多次统计数据!$B$8,-多次统计数据!$B$6/(1-多次统计数据!$B$6)))</f>
        <v/>
      </c>
      <c r="AC186" s="8" t="str">
        <f>IF(OR(AB186="",多次统计数据!$B$9=""),"",IF(多次统计数据!$B$9&lt;AB186,"低于上限","达到或超过上限"))</f>
        <v/>
      </c>
      <c r="AD186" s="2"/>
      <c r="AE186" s="7" t="str">
        <f t="shared" si="66"/>
        <v/>
      </c>
      <c r="AG186" s="2"/>
      <c r="AH186" s="2"/>
      <c r="AI186" s="2"/>
      <c r="AJ186" s="8" t="str">
        <f t="shared" si="67"/>
        <v/>
      </c>
      <c r="AK186" s="10"/>
      <c r="AL186" s="12"/>
      <c r="AM186" s="10"/>
      <c r="AN186" s="12"/>
      <c r="AO186" s="5" t="str">
        <f t="shared" si="68"/>
        <v/>
      </c>
      <c r="AP186" s="11" t="str">
        <f t="shared" si="69"/>
        <v/>
      </c>
      <c r="AQ186" s="5" t="str">
        <f>IF(A186="","",IF(M186&lt;&gt;"",0,IF(OR(H186="",N186=""),"",MAX(E186-MAX(N186,IFERROR(SUMPRODUCT(MAX(((持仓跟踪!$A$2:$A$497="每日跟踪")*(持仓跟踪!$B$2:$B$497=A186))*持仓跟踪!$S$2:$S$497)),0)),0)*H186+IF(OR(AK186="",AL186=""),0,MAX(AK186-MAX(N186,IFERROR(SUMPRODUCT(MAX(((持仓跟踪!$A$2:$A$497="每日跟踪")*(持仓跟踪!$B$2:$B$497=A186))*持仓跟踪!$S$2:$S$497)),0)),0)*AL186)+IF(OR(AM186="",AN186=""),0,MAX(AM186-MAX(N186,IFERROR(SUMPRODUCT(MAX(((持仓跟踪!$A$2:$A$497="每日跟踪")*(持仓跟踪!$B$2:$B$497=A186))*持仓跟踪!$S$2:$S$497)),0)),0)*AN186))))</f>
        <v/>
      </c>
      <c r="AR186" s="8" t="str">
        <f ca="1">IF(A186="","",IF(OR(E186="",H186=""),"违规：第一批价格或股数缺失",IF(OR(AND(AK186="",AL186&lt;&gt;""),AND(AK186&lt;&gt;"",AL186="")),"违规：第二批价格与股数须成对填写",IF(OR(AND(AM186="",AN186&lt;&gt;""),AND(AM186&lt;&gt;"",AN186="")),"违规：第三批价格与股数须成对填写",IF(AND(OR(AM186&lt;&gt;"",AN186&lt;&gt;""),OR(AK186="",AL186="")),"违规：必须先完成第二批",IF(OR(H186&lt;=0,H186&lt;&gt;INT(H186),MOD(H186,100)&lt;&gt;0,AND(AL186&lt;&gt;"",OR(AL186&lt;=0,AL186&lt;&gt;INT(AL186),MOD(AL186,100)&lt;&gt;0)),AND(AN186&lt;&gt;"",OR(AN186&lt;=0,AN186&lt;&gt;INT(AN186),MOD(AN186,100)&lt;&gt;0))),"违规：股数须为100股整数倍",IF(AND(OR(AL186&lt;&gt;"",AN186&lt;&gt;""),OR(_LockStatus="已锁仓",_LockStatus="解锁信息不完整")),"违规：锁仓期间禁止加仓",IF(AQ186&gt;C186*D186,"违规：超过单笔风险上限",IF(SUM($AQ$2:$AQ$201)&gt;账户数据!$B$7,"违规：超过账户风险上限","通过")))))))))</f>
        <v/>
      </c>
    </row>
    <row r="187" ht="17" spans="1:44">
      <c r="A187" s="2"/>
      <c r="B187" s="2"/>
      <c r="C187" s="10"/>
      <c r="D187" s="6"/>
      <c r="E187" s="10"/>
      <c r="F187" s="8" t="str">
        <f t="shared" si="59"/>
        <v/>
      </c>
      <c r="G187" s="8" t="str">
        <f ca="1"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COUNTIFS(持仓跟踪!$A$2:$A$497,"止损计划",持仓跟踪!$B$2:$B$497,A187,持仓跟踪!$AC$2:$AC$497,"计划有效")=0,"禁止开仓：请先填写止损计划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7" s="2"/>
      <c r="I187" s="15"/>
      <c r="J187" s="10"/>
      <c r="K187" s="5" t="str">
        <f>IF(A187="","",IFERROR(LOOKUP(2,1/((持仓跟踪!$B$2:$B$497=A187)*(持仓跟踪!$X$2:$X$497="执行卖出")*(持仓跟踪!$Y$2:$Y$497&lt;&gt;"")),持仓跟踪!$Y$2:$Y$497),""))</f>
        <v/>
      </c>
      <c r="L187" s="8" t="str">
        <f>IF(A187="","",IFERROR(LOOKUP(2,1/((持仓跟踪!$B$2:$B$497=A187)*(持仓跟踪!$X$2:$X$497="执行卖出")*(持仓跟踪!$Z$2:$Z$497&lt;&gt;"")),持仓跟踪!$Z$2:$Z$497),""))</f>
        <v/>
      </c>
      <c r="M187" s="23" t="str">
        <f>IF(A187="","",IFERROR(LOOKUP(2,1/((持仓跟踪!$B$2:$B$497=A187)*(持仓跟踪!$X$2:$X$497="执行卖出")*(持仓跟踪!$H$2:$H$497&lt;&gt;"")),持仓跟踪!$H$2:$H$497),""))</f>
        <v/>
      </c>
      <c r="N187" s="10"/>
      <c r="O187" s="10"/>
      <c r="P187" s="5" t="str">
        <f>IF(A187="","",IFERROR(LOOKUP(2,1/((持仓跟踪!$B$2:$B$497=A187)*(持仓跟踪!$X$2:$X$497="执行卖出")*(持仓跟踪!$AA$2:$AA$497&lt;&gt;"")),持仓跟踪!$AA$2:$AA$497),""))</f>
        <v/>
      </c>
      <c r="Q187" s="2"/>
      <c r="R187" s="2"/>
      <c r="S187" s="2"/>
      <c r="T187" s="2"/>
      <c r="U187" s="7" t="str">
        <f t="shared" si="60"/>
        <v/>
      </c>
      <c r="V187" s="7" t="str">
        <f t="shared" si="61"/>
        <v/>
      </c>
      <c r="W187" s="22" t="str">
        <f t="shared" si="62"/>
        <v/>
      </c>
      <c r="X187" s="5" t="str">
        <f t="shared" si="63"/>
        <v/>
      </c>
      <c r="Y187" s="7" t="str">
        <f t="shared" si="64"/>
        <v/>
      </c>
      <c r="Z187" s="7" t="str">
        <f>IF(OR(AE187="",多次统计数据!$B$8=""),"",AE187-多次统计数据!$B$8)</f>
        <v/>
      </c>
      <c r="AA187" s="11" t="str">
        <f t="shared" si="65"/>
        <v/>
      </c>
      <c r="AB187" s="7" t="str">
        <f>IF(OR(A187="",多次统计数据!$B$8="",多次统计数据!$B$6&lt;=0,多次统计数据!$B$6&gt;=1),"",1-POWER(1+多次统计数据!$B$8,-多次统计数据!$B$6/(1-多次统计数据!$B$6)))</f>
        <v/>
      </c>
      <c r="AC187" s="8" t="str">
        <f>IF(OR(AB187="",多次统计数据!$B$9=""),"",IF(多次统计数据!$B$9&lt;AB187,"低于上限","达到或超过上限"))</f>
        <v/>
      </c>
      <c r="AD187" s="2"/>
      <c r="AE187" s="7" t="str">
        <f t="shared" si="66"/>
        <v/>
      </c>
      <c r="AG187" s="2"/>
      <c r="AH187" s="2"/>
      <c r="AI187" s="2"/>
      <c r="AJ187" s="8" t="str">
        <f t="shared" si="67"/>
        <v/>
      </c>
      <c r="AK187" s="10"/>
      <c r="AL187" s="12"/>
      <c r="AM187" s="10"/>
      <c r="AN187" s="12"/>
      <c r="AO187" s="5" t="str">
        <f t="shared" si="68"/>
        <v/>
      </c>
      <c r="AP187" s="11" t="str">
        <f t="shared" si="69"/>
        <v/>
      </c>
      <c r="AQ187" s="5" t="str">
        <f>IF(A187="","",IF(M187&lt;&gt;"",0,IF(OR(H187="",N187=""),"",MAX(E187-MAX(N187,IFERROR(SUMPRODUCT(MAX(((持仓跟踪!$A$2:$A$497="每日跟踪")*(持仓跟踪!$B$2:$B$497=A187))*持仓跟踪!$S$2:$S$497)),0)),0)*H187+IF(OR(AK187="",AL187=""),0,MAX(AK187-MAX(N187,IFERROR(SUMPRODUCT(MAX(((持仓跟踪!$A$2:$A$497="每日跟踪")*(持仓跟踪!$B$2:$B$497=A187))*持仓跟踪!$S$2:$S$497)),0)),0)*AL187)+IF(OR(AM187="",AN187=""),0,MAX(AM187-MAX(N187,IFERROR(SUMPRODUCT(MAX(((持仓跟踪!$A$2:$A$497="每日跟踪")*(持仓跟踪!$B$2:$B$497=A187))*持仓跟踪!$S$2:$S$497)),0)),0)*AN187))))</f>
        <v/>
      </c>
      <c r="AR187" s="8" t="str">
        <f ca="1">IF(A187="","",IF(OR(E187="",H187=""),"违规：第一批价格或股数缺失",IF(OR(AND(AK187="",AL187&lt;&gt;""),AND(AK187&lt;&gt;"",AL187="")),"违规：第二批价格与股数须成对填写",IF(OR(AND(AM187="",AN187&lt;&gt;""),AND(AM187&lt;&gt;"",AN187="")),"违规：第三批价格与股数须成对填写",IF(AND(OR(AM187&lt;&gt;"",AN187&lt;&gt;""),OR(AK187="",AL187="")),"违规：必须先完成第二批",IF(OR(H187&lt;=0,H187&lt;&gt;INT(H187),MOD(H187,100)&lt;&gt;0,AND(AL187&lt;&gt;"",OR(AL187&lt;=0,AL187&lt;&gt;INT(AL187),MOD(AL187,100)&lt;&gt;0)),AND(AN187&lt;&gt;"",OR(AN187&lt;=0,AN187&lt;&gt;INT(AN187),MOD(AN187,100)&lt;&gt;0))),"违规：股数须为100股整数倍",IF(AND(OR(AL187&lt;&gt;"",AN187&lt;&gt;""),OR(_LockStatus="已锁仓",_LockStatus="解锁信息不完整")),"违规：锁仓期间禁止加仓",IF(AQ187&gt;C187*D187,"违规：超过单笔风险上限",IF(SUM($AQ$2:$AQ$201)&gt;账户数据!$B$7,"违规：超过账户风险上限","通过")))))))))</f>
        <v/>
      </c>
    </row>
    <row r="188" ht="17" spans="1:44">
      <c r="A188" s="2"/>
      <c r="B188" s="2"/>
      <c r="C188" s="10"/>
      <c r="D188" s="6"/>
      <c r="E188" s="10"/>
      <c r="F188" s="8" t="str">
        <f t="shared" si="59"/>
        <v/>
      </c>
      <c r="G188" s="8" t="str">
        <f ca="1"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COUNTIFS(持仓跟踪!$A$2:$A$497,"止损计划",持仓跟踪!$B$2:$B$497,A188,持仓跟踪!$AC$2:$AC$497,"计划有效")=0,"禁止开仓：请先填写止损计划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8" s="2"/>
      <c r="I188" s="15"/>
      <c r="J188" s="10"/>
      <c r="K188" s="5" t="str">
        <f>IF(A188="","",IFERROR(LOOKUP(2,1/((持仓跟踪!$B$2:$B$497=A188)*(持仓跟踪!$X$2:$X$497="执行卖出")*(持仓跟踪!$Y$2:$Y$497&lt;&gt;"")),持仓跟踪!$Y$2:$Y$497),""))</f>
        <v/>
      </c>
      <c r="L188" s="8" t="str">
        <f>IF(A188="","",IFERROR(LOOKUP(2,1/((持仓跟踪!$B$2:$B$497=A188)*(持仓跟踪!$X$2:$X$497="执行卖出")*(持仓跟踪!$Z$2:$Z$497&lt;&gt;"")),持仓跟踪!$Z$2:$Z$497),""))</f>
        <v/>
      </c>
      <c r="M188" s="23" t="str">
        <f>IF(A188="","",IFERROR(LOOKUP(2,1/((持仓跟踪!$B$2:$B$497=A188)*(持仓跟踪!$X$2:$X$497="执行卖出")*(持仓跟踪!$H$2:$H$497&lt;&gt;"")),持仓跟踪!$H$2:$H$497),""))</f>
        <v/>
      </c>
      <c r="N188" s="10"/>
      <c r="O188" s="10"/>
      <c r="P188" s="5" t="str">
        <f>IF(A188="","",IFERROR(LOOKUP(2,1/((持仓跟踪!$B$2:$B$497=A188)*(持仓跟踪!$X$2:$X$497="执行卖出")*(持仓跟踪!$AA$2:$AA$497&lt;&gt;"")),持仓跟踪!$AA$2:$AA$497),""))</f>
        <v/>
      </c>
      <c r="Q188" s="2"/>
      <c r="R188" s="2"/>
      <c r="S188" s="2"/>
      <c r="T188" s="2"/>
      <c r="U188" s="7" t="str">
        <f t="shared" si="60"/>
        <v/>
      </c>
      <c r="V188" s="7" t="str">
        <f t="shared" si="61"/>
        <v/>
      </c>
      <c r="W188" s="22" t="str">
        <f t="shared" si="62"/>
        <v/>
      </c>
      <c r="X188" s="5" t="str">
        <f t="shared" si="63"/>
        <v/>
      </c>
      <c r="Y188" s="7" t="str">
        <f t="shared" si="64"/>
        <v/>
      </c>
      <c r="Z188" s="7" t="str">
        <f>IF(OR(AE188="",多次统计数据!$B$8=""),"",AE188-多次统计数据!$B$8)</f>
        <v/>
      </c>
      <c r="AA188" s="11" t="str">
        <f t="shared" si="65"/>
        <v/>
      </c>
      <c r="AB188" s="7" t="str">
        <f>IF(OR(A188="",多次统计数据!$B$8="",多次统计数据!$B$6&lt;=0,多次统计数据!$B$6&gt;=1),"",1-POWER(1+多次统计数据!$B$8,-多次统计数据!$B$6/(1-多次统计数据!$B$6)))</f>
        <v/>
      </c>
      <c r="AC188" s="8" t="str">
        <f>IF(OR(AB188="",多次统计数据!$B$9=""),"",IF(多次统计数据!$B$9&lt;AB188,"低于上限","达到或超过上限"))</f>
        <v/>
      </c>
      <c r="AD188" s="2"/>
      <c r="AE188" s="7" t="str">
        <f t="shared" si="66"/>
        <v/>
      </c>
      <c r="AG188" s="2"/>
      <c r="AH188" s="2"/>
      <c r="AI188" s="2"/>
      <c r="AJ188" s="8" t="str">
        <f t="shared" si="67"/>
        <v/>
      </c>
      <c r="AK188" s="10"/>
      <c r="AL188" s="12"/>
      <c r="AM188" s="10"/>
      <c r="AN188" s="12"/>
      <c r="AO188" s="5" t="str">
        <f t="shared" si="68"/>
        <v/>
      </c>
      <c r="AP188" s="11" t="str">
        <f t="shared" si="69"/>
        <v/>
      </c>
      <c r="AQ188" s="5" t="str">
        <f>IF(A188="","",IF(M188&lt;&gt;"",0,IF(OR(H188="",N188=""),"",MAX(E188-MAX(N188,IFERROR(SUMPRODUCT(MAX(((持仓跟踪!$A$2:$A$497="每日跟踪")*(持仓跟踪!$B$2:$B$497=A188))*持仓跟踪!$S$2:$S$497)),0)),0)*H188+IF(OR(AK188="",AL188=""),0,MAX(AK188-MAX(N188,IFERROR(SUMPRODUCT(MAX(((持仓跟踪!$A$2:$A$497="每日跟踪")*(持仓跟踪!$B$2:$B$497=A188))*持仓跟踪!$S$2:$S$497)),0)),0)*AL188)+IF(OR(AM188="",AN188=""),0,MAX(AM188-MAX(N188,IFERROR(SUMPRODUCT(MAX(((持仓跟踪!$A$2:$A$497="每日跟踪")*(持仓跟踪!$B$2:$B$497=A188))*持仓跟踪!$S$2:$S$497)),0)),0)*AN188))))</f>
        <v/>
      </c>
      <c r="AR188" s="8" t="str">
        <f ca="1">IF(A188="","",IF(OR(E188="",H188=""),"违规：第一批价格或股数缺失",IF(OR(AND(AK188="",AL188&lt;&gt;""),AND(AK188&lt;&gt;"",AL188="")),"违规：第二批价格与股数须成对填写",IF(OR(AND(AM188="",AN188&lt;&gt;""),AND(AM188&lt;&gt;"",AN188="")),"违规：第三批价格与股数须成对填写",IF(AND(OR(AM188&lt;&gt;"",AN188&lt;&gt;""),OR(AK188="",AL188="")),"违规：必须先完成第二批",IF(OR(H188&lt;=0,H188&lt;&gt;INT(H188),MOD(H188,100)&lt;&gt;0,AND(AL188&lt;&gt;"",OR(AL188&lt;=0,AL188&lt;&gt;INT(AL188),MOD(AL188,100)&lt;&gt;0)),AND(AN188&lt;&gt;"",OR(AN188&lt;=0,AN188&lt;&gt;INT(AN188),MOD(AN188,100)&lt;&gt;0))),"违规：股数须为100股整数倍",IF(AND(OR(AL188&lt;&gt;"",AN188&lt;&gt;""),OR(_LockStatus="已锁仓",_LockStatus="解锁信息不完整")),"违规：锁仓期间禁止加仓",IF(AQ188&gt;C188*D188,"违规：超过单笔风险上限",IF(SUM($AQ$2:$AQ$201)&gt;账户数据!$B$7,"违规：超过账户风险上限","通过")))))))))</f>
        <v/>
      </c>
    </row>
    <row r="189" ht="17" spans="1:44">
      <c r="A189" s="2"/>
      <c r="B189" s="2"/>
      <c r="C189" s="10"/>
      <c r="D189" s="6"/>
      <c r="E189" s="10"/>
      <c r="F189" s="8" t="str">
        <f t="shared" si="59"/>
        <v/>
      </c>
      <c r="G189" s="8" t="str">
        <f ca="1"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COUNTIFS(持仓跟踪!$A$2:$A$497,"止损计划",持仓跟踪!$B$2:$B$497,A189,持仓跟踪!$AC$2:$AC$497,"计划有效")=0,"禁止开仓：请先填写止损计划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9" s="2"/>
      <c r="I189" s="15"/>
      <c r="J189" s="10"/>
      <c r="K189" s="5" t="str">
        <f>IF(A189="","",IFERROR(LOOKUP(2,1/((持仓跟踪!$B$2:$B$497=A189)*(持仓跟踪!$X$2:$X$497="执行卖出")*(持仓跟踪!$Y$2:$Y$497&lt;&gt;"")),持仓跟踪!$Y$2:$Y$497),""))</f>
        <v/>
      </c>
      <c r="L189" s="8" t="str">
        <f>IF(A189="","",IFERROR(LOOKUP(2,1/((持仓跟踪!$B$2:$B$497=A189)*(持仓跟踪!$X$2:$X$497="执行卖出")*(持仓跟踪!$Z$2:$Z$497&lt;&gt;"")),持仓跟踪!$Z$2:$Z$497),""))</f>
        <v/>
      </c>
      <c r="M189" s="23" t="str">
        <f>IF(A189="","",IFERROR(LOOKUP(2,1/((持仓跟踪!$B$2:$B$497=A189)*(持仓跟踪!$X$2:$X$497="执行卖出")*(持仓跟踪!$H$2:$H$497&lt;&gt;"")),持仓跟踪!$H$2:$H$497),""))</f>
        <v/>
      </c>
      <c r="N189" s="10"/>
      <c r="O189" s="10"/>
      <c r="P189" s="5" t="str">
        <f>IF(A189="","",IFERROR(LOOKUP(2,1/((持仓跟踪!$B$2:$B$497=A189)*(持仓跟踪!$X$2:$X$497="执行卖出")*(持仓跟踪!$AA$2:$AA$497&lt;&gt;"")),持仓跟踪!$AA$2:$AA$497),""))</f>
        <v/>
      </c>
      <c r="Q189" s="2"/>
      <c r="R189" s="2"/>
      <c r="S189" s="2"/>
      <c r="T189" s="2"/>
      <c r="U189" s="7" t="str">
        <f t="shared" si="60"/>
        <v/>
      </c>
      <c r="V189" s="7" t="str">
        <f t="shared" si="61"/>
        <v/>
      </c>
      <c r="W189" s="22" t="str">
        <f t="shared" si="62"/>
        <v/>
      </c>
      <c r="X189" s="5" t="str">
        <f t="shared" si="63"/>
        <v/>
      </c>
      <c r="Y189" s="7" t="str">
        <f t="shared" si="64"/>
        <v/>
      </c>
      <c r="Z189" s="7" t="str">
        <f>IF(OR(AE189="",多次统计数据!$B$8=""),"",AE189-多次统计数据!$B$8)</f>
        <v/>
      </c>
      <c r="AA189" s="11" t="str">
        <f t="shared" si="65"/>
        <v/>
      </c>
      <c r="AB189" s="7" t="str">
        <f>IF(OR(A189="",多次统计数据!$B$8="",多次统计数据!$B$6&lt;=0,多次统计数据!$B$6&gt;=1),"",1-POWER(1+多次统计数据!$B$8,-多次统计数据!$B$6/(1-多次统计数据!$B$6)))</f>
        <v/>
      </c>
      <c r="AC189" s="8" t="str">
        <f>IF(OR(AB189="",多次统计数据!$B$9=""),"",IF(多次统计数据!$B$9&lt;AB189,"低于上限","达到或超过上限"))</f>
        <v/>
      </c>
      <c r="AD189" s="2"/>
      <c r="AE189" s="7" t="str">
        <f t="shared" si="66"/>
        <v/>
      </c>
      <c r="AG189" s="2"/>
      <c r="AH189" s="2"/>
      <c r="AI189" s="2"/>
      <c r="AJ189" s="8" t="str">
        <f t="shared" si="67"/>
        <v/>
      </c>
      <c r="AK189" s="10"/>
      <c r="AL189" s="12"/>
      <c r="AM189" s="10"/>
      <c r="AN189" s="12"/>
      <c r="AO189" s="5" t="str">
        <f t="shared" si="68"/>
        <v/>
      </c>
      <c r="AP189" s="11" t="str">
        <f t="shared" si="69"/>
        <v/>
      </c>
      <c r="AQ189" s="5" t="str">
        <f>IF(A189="","",IF(M189&lt;&gt;"",0,IF(OR(H189="",N189=""),"",MAX(E189-MAX(N189,IFERROR(SUMPRODUCT(MAX(((持仓跟踪!$A$2:$A$497="每日跟踪")*(持仓跟踪!$B$2:$B$497=A189))*持仓跟踪!$S$2:$S$497)),0)),0)*H189+IF(OR(AK189="",AL189=""),0,MAX(AK189-MAX(N189,IFERROR(SUMPRODUCT(MAX(((持仓跟踪!$A$2:$A$497="每日跟踪")*(持仓跟踪!$B$2:$B$497=A189))*持仓跟踪!$S$2:$S$497)),0)),0)*AL189)+IF(OR(AM189="",AN189=""),0,MAX(AM189-MAX(N189,IFERROR(SUMPRODUCT(MAX(((持仓跟踪!$A$2:$A$497="每日跟踪")*(持仓跟踪!$B$2:$B$497=A189))*持仓跟踪!$S$2:$S$497)),0)),0)*AN189))))</f>
        <v/>
      </c>
      <c r="AR189" s="8" t="str">
        <f ca="1">IF(A189="","",IF(OR(E189="",H189=""),"违规：第一批价格或股数缺失",IF(OR(AND(AK189="",AL189&lt;&gt;""),AND(AK189&lt;&gt;"",AL189="")),"违规：第二批价格与股数须成对填写",IF(OR(AND(AM189="",AN189&lt;&gt;""),AND(AM189&lt;&gt;"",AN189="")),"违规：第三批价格与股数须成对填写",IF(AND(OR(AM189&lt;&gt;"",AN189&lt;&gt;""),OR(AK189="",AL189="")),"违规：必须先完成第二批",IF(OR(H189&lt;=0,H189&lt;&gt;INT(H189),MOD(H189,100)&lt;&gt;0,AND(AL189&lt;&gt;"",OR(AL189&lt;=0,AL189&lt;&gt;INT(AL189),MOD(AL189,100)&lt;&gt;0)),AND(AN189&lt;&gt;"",OR(AN189&lt;=0,AN189&lt;&gt;INT(AN189),MOD(AN189,100)&lt;&gt;0))),"违规：股数须为100股整数倍",IF(AND(OR(AL189&lt;&gt;"",AN189&lt;&gt;""),OR(_LockStatus="已锁仓",_LockStatus="解锁信息不完整")),"违规：锁仓期间禁止加仓",IF(AQ189&gt;C189*D189,"违规：超过单笔风险上限",IF(SUM($AQ$2:$AQ$201)&gt;账户数据!$B$7,"违规：超过账户风险上限","通过")))))))))</f>
        <v/>
      </c>
    </row>
    <row r="190" ht="17" spans="1:44">
      <c r="A190" s="2"/>
      <c r="B190" s="2"/>
      <c r="C190" s="10"/>
      <c r="D190" s="6"/>
      <c r="E190" s="10"/>
      <c r="F190" s="8" t="str">
        <f t="shared" si="59"/>
        <v/>
      </c>
      <c r="G190" s="8" t="str">
        <f ca="1"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COUNTIFS(持仓跟踪!$A$2:$A$497,"止损计划",持仓跟踪!$B$2:$B$497,A190,持仓跟踪!$AC$2:$AC$497,"计划有效")=0,"禁止开仓：请先填写止损计划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0" s="2"/>
      <c r="I190" s="15"/>
      <c r="J190" s="10"/>
      <c r="K190" s="5" t="str">
        <f>IF(A190="","",IFERROR(LOOKUP(2,1/((持仓跟踪!$B$2:$B$497=A190)*(持仓跟踪!$X$2:$X$497="执行卖出")*(持仓跟踪!$Y$2:$Y$497&lt;&gt;"")),持仓跟踪!$Y$2:$Y$497),""))</f>
        <v/>
      </c>
      <c r="L190" s="8" t="str">
        <f>IF(A190="","",IFERROR(LOOKUP(2,1/((持仓跟踪!$B$2:$B$497=A190)*(持仓跟踪!$X$2:$X$497="执行卖出")*(持仓跟踪!$Z$2:$Z$497&lt;&gt;"")),持仓跟踪!$Z$2:$Z$497),""))</f>
        <v/>
      </c>
      <c r="M190" s="23" t="str">
        <f>IF(A190="","",IFERROR(LOOKUP(2,1/((持仓跟踪!$B$2:$B$497=A190)*(持仓跟踪!$X$2:$X$497="执行卖出")*(持仓跟踪!$H$2:$H$497&lt;&gt;"")),持仓跟踪!$H$2:$H$497),""))</f>
        <v/>
      </c>
      <c r="N190" s="10"/>
      <c r="O190" s="10"/>
      <c r="P190" s="5" t="str">
        <f>IF(A190="","",IFERROR(LOOKUP(2,1/((持仓跟踪!$B$2:$B$497=A190)*(持仓跟踪!$X$2:$X$497="执行卖出")*(持仓跟踪!$AA$2:$AA$497&lt;&gt;"")),持仓跟踪!$AA$2:$AA$497),""))</f>
        <v/>
      </c>
      <c r="Q190" s="2"/>
      <c r="R190" s="2"/>
      <c r="S190" s="2"/>
      <c r="T190" s="2"/>
      <c r="U190" s="7" t="str">
        <f t="shared" si="60"/>
        <v/>
      </c>
      <c r="V190" s="7" t="str">
        <f t="shared" si="61"/>
        <v/>
      </c>
      <c r="W190" s="22" t="str">
        <f t="shared" si="62"/>
        <v/>
      </c>
      <c r="X190" s="5" t="str">
        <f t="shared" si="63"/>
        <v/>
      </c>
      <c r="Y190" s="7" t="str">
        <f t="shared" si="64"/>
        <v/>
      </c>
      <c r="Z190" s="7" t="str">
        <f>IF(OR(AE190="",多次统计数据!$B$8=""),"",AE190-多次统计数据!$B$8)</f>
        <v/>
      </c>
      <c r="AA190" s="11" t="str">
        <f t="shared" si="65"/>
        <v/>
      </c>
      <c r="AB190" s="7" t="str">
        <f>IF(OR(A190="",多次统计数据!$B$8="",多次统计数据!$B$6&lt;=0,多次统计数据!$B$6&gt;=1),"",1-POWER(1+多次统计数据!$B$8,-多次统计数据!$B$6/(1-多次统计数据!$B$6)))</f>
        <v/>
      </c>
      <c r="AC190" s="8" t="str">
        <f>IF(OR(AB190="",多次统计数据!$B$9=""),"",IF(多次统计数据!$B$9&lt;AB190,"低于上限","达到或超过上限"))</f>
        <v/>
      </c>
      <c r="AD190" s="2"/>
      <c r="AE190" s="7" t="str">
        <f t="shared" si="66"/>
        <v/>
      </c>
      <c r="AG190" s="2"/>
      <c r="AH190" s="2"/>
      <c r="AI190" s="2"/>
      <c r="AJ190" s="8" t="str">
        <f t="shared" si="67"/>
        <v/>
      </c>
      <c r="AK190" s="10"/>
      <c r="AL190" s="12"/>
      <c r="AM190" s="10"/>
      <c r="AN190" s="12"/>
      <c r="AO190" s="5" t="str">
        <f t="shared" si="68"/>
        <v/>
      </c>
      <c r="AP190" s="11" t="str">
        <f t="shared" si="69"/>
        <v/>
      </c>
      <c r="AQ190" s="5" t="str">
        <f>IF(A190="","",IF(M190&lt;&gt;"",0,IF(OR(H190="",N190=""),"",MAX(E190-MAX(N190,IFERROR(SUMPRODUCT(MAX(((持仓跟踪!$A$2:$A$497="每日跟踪")*(持仓跟踪!$B$2:$B$497=A190))*持仓跟踪!$S$2:$S$497)),0)),0)*H190+IF(OR(AK190="",AL190=""),0,MAX(AK190-MAX(N190,IFERROR(SUMPRODUCT(MAX(((持仓跟踪!$A$2:$A$497="每日跟踪")*(持仓跟踪!$B$2:$B$497=A190))*持仓跟踪!$S$2:$S$497)),0)),0)*AL190)+IF(OR(AM190="",AN190=""),0,MAX(AM190-MAX(N190,IFERROR(SUMPRODUCT(MAX(((持仓跟踪!$A$2:$A$497="每日跟踪")*(持仓跟踪!$B$2:$B$497=A190))*持仓跟踪!$S$2:$S$497)),0)),0)*AN190))))</f>
        <v/>
      </c>
      <c r="AR190" s="8" t="str">
        <f ca="1">IF(A190="","",IF(OR(E190="",H190=""),"违规：第一批价格或股数缺失",IF(OR(AND(AK190="",AL190&lt;&gt;""),AND(AK190&lt;&gt;"",AL190="")),"违规：第二批价格与股数须成对填写",IF(OR(AND(AM190="",AN190&lt;&gt;""),AND(AM190&lt;&gt;"",AN190="")),"违规：第三批价格与股数须成对填写",IF(AND(OR(AM190&lt;&gt;"",AN190&lt;&gt;""),OR(AK190="",AL190="")),"违规：必须先完成第二批",IF(OR(H190&lt;=0,H190&lt;&gt;INT(H190),MOD(H190,100)&lt;&gt;0,AND(AL190&lt;&gt;"",OR(AL190&lt;=0,AL190&lt;&gt;INT(AL190),MOD(AL190,100)&lt;&gt;0)),AND(AN190&lt;&gt;"",OR(AN190&lt;=0,AN190&lt;&gt;INT(AN190),MOD(AN190,100)&lt;&gt;0))),"违规：股数须为100股整数倍",IF(AND(OR(AL190&lt;&gt;"",AN190&lt;&gt;""),OR(_LockStatus="已锁仓",_LockStatus="解锁信息不完整")),"违规：锁仓期间禁止加仓",IF(AQ190&gt;C190*D190,"违规：超过单笔风险上限",IF(SUM($AQ$2:$AQ$201)&gt;账户数据!$B$7,"违规：超过账户风险上限","通过")))))))))</f>
        <v/>
      </c>
    </row>
    <row r="191" ht="17" spans="1:44">
      <c r="A191" s="2"/>
      <c r="B191" s="2"/>
      <c r="C191" s="10"/>
      <c r="D191" s="6"/>
      <c r="E191" s="10"/>
      <c r="F191" s="8" t="str">
        <f t="shared" si="59"/>
        <v/>
      </c>
      <c r="G191" s="8" t="str">
        <f ca="1"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COUNTIFS(持仓跟踪!$A$2:$A$497,"止损计划",持仓跟踪!$B$2:$B$497,A191,持仓跟踪!$AC$2:$AC$497,"计划有效")=0,"禁止开仓：请先填写止损计划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1" s="2"/>
      <c r="I191" s="15"/>
      <c r="J191" s="10"/>
      <c r="K191" s="5" t="str">
        <f>IF(A191="","",IFERROR(LOOKUP(2,1/((持仓跟踪!$B$2:$B$497=A191)*(持仓跟踪!$X$2:$X$497="执行卖出")*(持仓跟踪!$Y$2:$Y$497&lt;&gt;"")),持仓跟踪!$Y$2:$Y$497),""))</f>
        <v/>
      </c>
      <c r="L191" s="8" t="str">
        <f>IF(A191="","",IFERROR(LOOKUP(2,1/((持仓跟踪!$B$2:$B$497=A191)*(持仓跟踪!$X$2:$X$497="执行卖出")*(持仓跟踪!$Z$2:$Z$497&lt;&gt;"")),持仓跟踪!$Z$2:$Z$497),""))</f>
        <v/>
      </c>
      <c r="M191" s="23" t="str">
        <f>IF(A191="","",IFERROR(LOOKUP(2,1/((持仓跟踪!$B$2:$B$497=A191)*(持仓跟踪!$X$2:$X$497="执行卖出")*(持仓跟踪!$H$2:$H$497&lt;&gt;"")),持仓跟踪!$H$2:$H$497),""))</f>
        <v/>
      </c>
      <c r="N191" s="10"/>
      <c r="O191" s="10"/>
      <c r="P191" s="5" t="str">
        <f>IF(A191="","",IFERROR(LOOKUP(2,1/((持仓跟踪!$B$2:$B$497=A191)*(持仓跟踪!$X$2:$X$497="执行卖出")*(持仓跟踪!$AA$2:$AA$497&lt;&gt;"")),持仓跟踪!$AA$2:$AA$497),""))</f>
        <v/>
      </c>
      <c r="Q191" s="2"/>
      <c r="R191" s="2"/>
      <c r="S191" s="2"/>
      <c r="T191" s="2"/>
      <c r="U191" s="7" t="str">
        <f t="shared" si="60"/>
        <v/>
      </c>
      <c r="V191" s="7" t="str">
        <f t="shared" si="61"/>
        <v/>
      </c>
      <c r="W191" s="22" t="str">
        <f t="shared" si="62"/>
        <v/>
      </c>
      <c r="X191" s="5" t="str">
        <f t="shared" si="63"/>
        <v/>
      </c>
      <c r="Y191" s="7" t="str">
        <f t="shared" si="64"/>
        <v/>
      </c>
      <c r="Z191" s="7" t="str">
        <f>IF(OR(AE191="",多次统计数据!$B$8=""),"",AE191-多次统计数据!$B$8)</f>
        <v/>
      </c>
      <c r="AA191" s="11" t="str">
        <f t="shared" si="65"/>
        <v/>
      </c>
      <c r="AB191" s="7" t="str">
        <f>IF(OR(A191="",多次统计数据!$B$8="",多次统计数据!$B$6&lt;=0,多次统计数据!$B$6&gt;=1),"",1-POWER(1+多次统计数据!$B$8,-多次统计数据!$B$6/(1-多次统计数据!$B$6)))</f>
        <v/>
      </c>
      <c r="AC191" s="8" t="str">
        <f>IF(OR(AB191="",多次统计数据!$B$9=""),"",IF(多次统计数据!$B$9&lt;AB191,"低于上限","达到或超过上限"))</f>
        <v/>
      </c>
      <c r="AD191" s="2"/>
      <c r="AE191" s="7" t="str">
        <f t="shared" si="66"/>
        <v/>
      </c>
      <c r="AG191" s="2"/>
      <c r="AH191" s="2"/>
      <c r="AI191" s="2"/>
      <c r="AJ191" s="8" t="str">
        <f t="shared" si="67"/>
        <v/>
      </c>
      <c r="AK191" s="10"/>
      <c r="AL191" s="12"/>
      <c r="AM191" s="10"/>
      <c r="AN191" s="12"/>
      <c r="AO191" s="5" t="str">
        <f t="shared" si="68"/>
        <v/>
      </c>
      <c r="AP191" s="11" t="str">
        <f t="shared" si="69"/>
        <v/>
      </c>
      <c r="AQ191" s="5" t="str">
        <f>IF(A191="","",IF(M191&lt;&gt;"",0,IF(OR(H191="",N191=""),"",MAX(E191-MAX(N191,IFERROR(SUMPRODUCT(MAX(((持仓跟踪!$A$2:$A$497="每日跟踪")*(持仓跟踪!$B$2:$B$497=A191))*持仓跟踪!$S$2:$S$497)),0)),0)*H191+IF(OR(AK191="",AL191=""),0,MAX(AK191-MAX(N191,IFERROR(SUMPRODUCT(MAX(((持仓跟踪!$A$2:$A$497="每日跟踪")*(持仓跟踪!$B$2:$B$497=A191))*持仓跟踪!$S$2:$S$497)),0)),0)*AL191)+IF(OR(AM191="",AN191=""),0,MAX(AM191-MAX(N191,IFERROR(SUMPRODUCT(MAX(((持仓跟踪!$A$2:$A$497="每日跟踪")*(持仓跟踪!$B$2:$B$497=A191))*持仓跟踪!$S$2:$S$497)),0)),0)*AN191))))</f>
        <v/>
      </c>
      <c r="AR191" s="8" t="str">
        <f ca="1">IF(A191="","",IF(OR(E191="",H191=""),"违规：第一批价格或股数缺失",IF(OR(AND(AK191="",AL191&lt;&gt;""),AND(AK191&lt;&gt;"",AL191="")),"违规：第二批价格与股数须成对填写",IF(OR(AND(AM191="",AN191&lt;&gt;""),AND(AM191&lt;&gt;"",AN191="")),"违规：第三批价格与股数须成对填写",IF(AND(OR(AM191&lt;&gt;"",AN191&lt;&gt;""),OR(AK191="",AL191="")),"违规：必须先完成第二批",IF(OR(H191&lt;=0,H191&lt;&gt;INT(H191),MOD(H191,100)&lt;&gt;0,AND(AL191&lt;&gt;"",OR(AL191&lt;=0,AL191&lt;&gt;INT(AL191),MOD(AL191,100)&lt;&gt;0)),AND(AN191&lt;&gt;"",OR(AN191&lt;=0,AN191&lt;&gt;INT(AN191),MOD(AN191,100)&lt;&gt;0))),"违规：股数须为100股整数倍",IF(AND(OR(AL191&lt;&gt;"",AN191&lt;&gt;""),OR(_LockStatus="已锁仓",_LockStatus="解锁信息不完整")),"违规：锁仓期间禁止加仓",IF(AQ191&gt;C191*D191,"违规：超过单笔风险上限",IF(SUM($AQ$2:$AQ$201)&gt;账户数据!$B$7,"违规：超过账户风险上限","通过")))))))))</f>
        <v/>
      </c>
    </row>
    <row r="192" ht="17" spans="1:44">
      <c r="A192" s="2"/>
      <c r="B192" s="2"/>
      <c r="C192" s="10"/>
      <c r="D192" s="6"/>
      <c r="E192" s="10"/>
      <c r="F192" s="8" t="str">
        <f t="shared" si="59"/>
        <v/>
      </c>
      <c r="G192" s="8" t="str">
        <f ca="1"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COUNTIFS(持仓跟踪!$A$2:$A$497,"止损计划",持仓跟踪!$B$2:$B$497,A192,持仓跟踪!$AC$2:$AC$497,"计划有效")=0,"禁止开仓：请先填写止损计划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2" s="2"/>
      <c r="I192" s="15"/>
      <c r="J192" s="10"/>
      <c r="K192" s="5" t="str">
        <f>IF(A192="","",IFERROR(LOOKUP(2,1/((持仓跟踪!$B$2:$B$497=A192)*(持仓跟踪!$X$2:$X$497="执行卖出")*(持仓跟踪!$Y$2:$Y$497&lt;&gt;"")),持仓跟踪!$Y$2:$Y$497),""))</f>
        <v/>
      </c>
      <c r="L192" s="8" t="str">
        <f>IF(A192="","",IFERROR(LOOKUP(2,1/((持仓跟踪!$B$2:$B$497=A192)*(持仓跟踪!$X$2:$X$497="执行卖出")*(持仓跟踪!$Z$2:$Z$497&lt;&gt;"")),持仓跟踪!$Z$2:$Z$497),""))</f>
        <v/>
      </c>
      <c r="M192" s="23" t="str">
        <f>IF(A192="","",IFERROR(LOOKUP(2,1/((持仓跟踪!$B$2:$B$497=A192)*(持仓跟踪!$X$2:$X$497="执行卖出")*(持仓跟踪!$H$2:$H$497&lt;&gt;"")),持仓跟踪!$H$2:$H$497),""))</f>
        <v/>
      </c>
      <c r="N192" s="10"/>
      <c r="O192" s="10"/>
      <c r="P192" s="5" t="str">
        <f>IF(A192="","",IFERROR(LOOKUP(2,1/((持仓跟踪!$B$2:$B$497=A192)*(持仓跟踪!$X$2:$X$497="执行卖出")*(持仓跟踪!$AA$2:$AA$497&lt;&gt;"")),持仓跟踪!$AA$2:$AA$497),""))</f>
        <v/>
      </c>
      <c r="Q192" s="2"/>
      <c r="R192" s="2"/>
      <c r="S192" s="2"/>
      <c r="T192" s="2"/>
      <c r="U192" s="7" t="str">
        <f t="shared" si="60"/>
        <v/>
      </c>
      <c r="V192" s="7" t="str">
        <f t="shared" si="61"/>
        <v/>
      </c>
      <c r="W192" s="22" t="str">
        <f t="shared" si="62"/>
        <v/>
      </c>
      <c r="X192" s="5" t="str">
        <f t="shared" si="63"/>
        <v/>
      </c>
      <c r="Y192" s="7" t="str">
        <f t="shared" si="64"/>
        <v/>
      </c>
      <c r="Z192" s="7" t="str">
        <f>IF(OR(AE192="",多次统计数据!$B$8=""),"",AE192-多次统计数据!$B$8)</f>
        <v/>
      </c>
      <c r="AA192" s="11" t="str">
        <f t="shared" si="65"/>
        <v/>
      </c>
      <c r="AB192" s="7" t="str">
        <f>IF(OR(A192="",多次统计数据!$B$8="",多次统计数据!$B$6&lt;=0,多次统计数据!$B$6&gt;=1),"",1-POWER(1+多次统计数据!$B$8,-多次统计数据!$B$6/(1-多次统计数据!$B$6)))</f>
        <v/>
      </c>
      <c r="AC192" s="8" t="str">
        <f>IF(OR(AB192="",多次统计数据!$B$9=""),"",IF(多次统计数据!$B$9&lt;AB192,"低于上限","达到或超过上限"))</f>
        <v/>
      </c>
      <c r="AD192" s="2"/>
      <c r="AE192" s="7" t="str">
        <f t="shared" si="66"/>
        <v/>
      </c>
      <c r="AG192" s="2"/>
      <c r="AH192" s="2"/>
      <c r="AI192" s="2"/>
      <c r="AJ192" s="8" t="str">
        <f t="shared" si="67"/>
        <v/>
      </c>
      <c r="AK192" s="10"/>
      <c r="AL192" s="12"/>
      <c r="AM192" s="10"/>
      <c r="AN192" s="12"/>
      <c r="AO192" s="5" t="str">
        <f t="shared" si="68"/>
        <v/>
      </c>
      <c r="AP192" s="11" t="str">
        <f t="shared" si="69"/>
        <v/>
      </c>
      <c r="AQ192" s="5" t="str">
        <f>IF(A192="","",IF(M192&lt;&gt;"",0,IF(OR(H192="",N192=""),"",MAX(E192-MAX(N192,IFERROR(SUMPRODUCT(MAX(((持仓跟踪!$A$2:$A$497="每日跟踪")*(持仓跟踪!$B$2:$B$497=A192))*持仓跟踪!$S$2:$S$497)),0)),0)*H192+IF(OR(AK192="",AL192=""),0,MAX(AK192-MAX(N192,IFERROR(SUMPRODUCT(MAX(((持仓跟踪!$A$2:$A$497="每日跟踪")*(持仓跟踪!$B$2:$B$497=A192))*持仓跟踪!$S$2:$S$497)),0)),0)*AL192)+IF(OR(AM192="",AN192=""),0,MAX(AM192-MAX(N192,IFERROR(SUMPRODUCT(MAX(((持仓跟踪!$A$2:$A$497="每日跟踪")*(持仓跟踪!$B$2:$B$497=A192))*持仓跟踪!$S$2:$S$497)),0)),0)*AN192))))</f>
        <v/>
      </c>
      <c r="AR192" s="8" t="str">
        <f ca="1">IF(A192="","",IF(OR(E192="",H192=""),"违规：第一批价格或股数缺失",IF(OR(AND(AK192="",AL192&lt;&gt;""),AND(AK192&lt;&gt;"",AL192="")),"违规：第二批价格与股数须成对填写",IF(OR(AND(AM192="",AN192&lt;&gt;""),AND(AM192&lt;&gt;"",AN192="")),"违规：第三批价格与股数须成对填写",IF(AND(OR(AM192&lt;&gt;"",AN192&lt;&gt;""),OR(AK192="",AL192="")),"违规：必须先完成第二批",IF(OR(H192&lt;=0,H192&lt;&gt;INT(H192),MOD(H192,100)&lt;&gt;0,AND(AL192&lt;&gt;"",OR(AL192&lt;=0,AL192&lt;&gt;INT(AL192),MOD(AL192,100)&lt;&gt;0)),AND(AN192&lt;&gt;"",OR(AN192&lt;=0,AN192&lt;&gt;INT(AN192),MOD(AN192,100)&lt;&gt;0))),"违规：股数须为100股整数倍",IF(AND(OR(AL192&lt;&gt;"",AN192&lt;&gt;""),OR(_LockStatus="已锁仓",_LockStatus="解锁信息不完整")),"违规：锁仓期间禁止加仓",IF(AQ192&gt;C192*D192,"违规：超过单笔风险上限",IF(SUM($AQ$2:$AQ$201)&gt;账户数据!$B$7,"违规：超过账户风险上限","通过")))))))))</f>
        <v/>
      </c>
    </row>
    <row r="193" ht="17" spans="1:44">
      <c r="A193" s="2"/>
      <c r="B193" s="2"/>
      <c r="C193" s="10"/>
      <c r="D193" s="6"/>
      <c r="E193" s="10"/>
      <c r="F193" s="8" t="str">
        <f t="shared" si="59"/>
        <v/>
      </c>
      <c r="G193" s="8" t="str">
        <f ca="1"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COUNTIFS(持仓跟踪!$A$2:$A$497,"止损计划",持仓跟踪!$B$2:$B$497,A193,持仓跟踪!$AC$2:$AC$497,"计划有效")=0,"禁止开仓：请先填写止损计划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3" s="2"/>
      <c r="I193" s="15"/>
      <c r="J193" s="10"/>
      <c r="K193" s="5" t="str">
        <f>IF(A193="","",IFERROR(LOOKUP(2,1/((持仓跟踪!$B$2:$B$497=A193)*(持仓跟踪!$X$2:$X$497="执行卖出")*(持仓跟踪!$Y$2:$Y$497&lt;&gt;"")),持仓跟踪!$Y$2:$Y$497),""))</f>
        <v/>
      </c>
      <c r="L193" s="8" t="str">
        <f>IF(A193="","",IFERROR(LOOKUP(2,1/((持仓跟踪!$B$2:$B$497=A193)*(持仓跟踪!$X$2:$X$497="执行卖出")*(持仓跟踪!$Z$2:$Z$497&lt;&gt;"")),持仓跟踪!$Z$2:$Z$497),""))</f>
        <v/>
      </c>
      <c r="M193" s="23" t="str">
        <f>IF(A193="","",IFERROR(LOOKUP(2,1/((持仓跟踪!$B$2:$B$497=A193)*(持仓跟踪!$X$2:$X$497="执行卖出")*(持仓跟踪!$H$2:$H$497&lt;&gt;"")),持仓跟踪!$H$2:$H$497),""))</f>
        <v/>
      </c>
      <c r="N193" s="10"/>
      <c r="O193" s="10"/>
      <c r="P193" s="5" t="str">
        <f>IF(A193="","",IFERROR(LOOKUP(2,1/((持仓跟踪!$B$2:$B$497=A193)*(持仓跟踪!$X$2:$X$497="执行卖出")*(持仓跟踪!$AA$2:$AA$497&lt;&gt;"")),持仓跟踪!$AA$2:$AA$497),""))</f>
        <v/>
      </c>
      <c r="Q193" s="2"/>
      <c r="R193" s="2"/>
      <c r="S193" s="2"/>
      <c r="T193" s="2"/>
      <c r="U193" s="7" t="str">
        <f t="shared" si="60"/>
        <v/>
      </c>
      <c r="V193" s="7" t="str">
        <f t="shared" si="61"/>
        <v/>
      </c>
      <c r="W193" s="22" t="str">
        <f t="shared" si="62"/>
        <v/>
      </c>
      <c r="X193" s="5" t="str">
        <f t="shared" si="63"/>
        <v/>
      </c>
      <c r="Y193" s="7" t="str">
        <f t="shared" si="64"/>
        <v/>
      </c>
      <c r="Z193" s="7" t="str">
        <f>IF(OR(AE193="",多次统计数据!$B$8=""),"",AE193-多次统计数据!$B$8)</f>
        <v/>
      </c>
      <c r="AA193" s="11" t="str">
        <f t="shared" si="65"/>
        <v/>
      </c>
      <c r="AB193" s="7" t="str">
        <f>IF(OR(A193="",多次统计数据!$B$8="",多次统计数据!$B$6&lt;=0,多次统计数据!$B$6&gt;=1),"",1-POWER(1+多次统计数据!$B$8,-多次统计数据!$B$6/(1-多次统计数据!$B$6)))</f>
        <v/>
      </c>
      <c r="AC193" s="8" t="str">
        <f>IF(OR(AB193="",多次统计数据!$B$9=""),"",IF(多次统计数据!$B$9&lt;AB193,"低于上限","达到或超过上限"))</f>
        <v/>
      </c>
      <c r="AD193" s="2"/>
      <c r="AE193" s="7" t="str">
        <f t="shared" si="66"/>
        <v/>
      </c>
      <c r="AG193" s="2"/>
      <c r="AH193" s="2"/>
      <c r="AI193" s="2"/>
      <c r="AJ193" s="8" t="str">
        <f t="shared" si="67"/>
        <v/>
      </c>
      <c r="AK193" s="10"/>
      <c r="AL193" s="12"/>
      <c r="AM193" s="10"/>
      <c r="AN193" s="12"/>
      <c r="AO193" s="5" t="str">
        <f t="shared" si="68"/>
        <v/>
      </c>
      <c r="AP193" s="11" t="str">
        <f t="shared" si="69"/>
        <v/>
      </c>
      <c r="AQ193" s="5" t="str">
        <f>IF(A193="","",IF(M193&lt;&gt;"",0,IF(OR(H193="",N193=""),"",MAX(E193-MAX(N193,IFERROR(SUMPRODUCT(MAX(((持仓跟踪!$A$2:$A$497="每日跟踪")*(持仓跟踪!$B$2:$B$497=A193))*持仓跟踪!$S$2:$S$497)),0)),0)*H193+IF(OR(AK193="",AL193=""),0,MAX(AK193-MAX(N193,IFERROR(SUMPRODUCT(MAX(((持仓跟踪!$A$2:$A$497="每日跟踪")*(持仓跟踪!$B$2:$B$497=A193))*持仓跟踪!$S$2:$S$497)),0)),0)*AL193)+IF(OR(AM193="",AN193=""),0,MAX(AM193-MAX(N193,IFERROR(SUMPRODUCT(MAX(((持仓跟踪!$A$2:$A$497="每日跟踪")*(持仓跟踪!$B$2:$B$497=A193))*持仓跟踪!$S$2:$S$497)),0)),0)*AN193))))</f>
        <v/>
      </c>
      <c r="AR193" s="8" t="str">
        <f ca="1">IF(A193="","",IF(OR(E193="",H193=""),"违规：第一批价格或股数缺失",IF(OR(AND(AK193="",AL193&lt;&gt;""),AND(AK193&lt;&gt;"",AL193="")),"违规：第二批价格与股数须成对填写",IF(OR(AND(AM193="",AN193&lt;&gt;""),AND(AM193&lt;&gt;"",AN193="")),"违规：第三批价格与股数须成对填写",IF(AND(OR(AM193&lt;&gt;"",AN193&lt;&gt;""),OR(AK193="",AL193="")),"违规：必须先完成第二批",IF(OR(H193&lt;=0,H193&lt;&gt;INT(H193),MOD(H193,100)&lt;&gt;0,AND(AL193&lt;&gt;"",OR(AL193&lt;=0,AL193&lt;&gt;INT(AL193),MOD(AL193,100)&lt;&gt;0)),AND(AN193&lt;&gt;"",OR(AN193&lt;=0,AN193&lt;&gt;INT(AN193),MOD(AN193,100)&lt;&gt;0))),"违规：股数须为100股整数倍",IF(AND(OR(AL193&lt;&gt;"",AN193&lt;&gt;""),OR(_LockStatus="已锁仓",_LockStatus="解锁信息不完整")),"违规：锁仓期间禁止加仓",IF(AQ193&gt;C193*D193,"违规：超过单笔风险上限",IF(SUM($AQ$2:$AQ$201)&gt;账户数据!$B$7,"违规：超过账户风险上限","通过")))))))))</f>
        <v/>
      </c>
    </row>
    <row r="194" ht="17" spans="1:44">
      <c r="A194" s="2"/>
      <c r="B194" s="2"/>
      <c r="C194" s="10"/>
      <c r="D194" s="6"/>
      <c r="E194" s="10"/>
      <c r="F194" s="8" t="str">
        <f t="shared" ref="F194:F201" si="70">IF(OR(C194="",D194="",E194="",N194="",C194&lt;=0,D194&lt;=0,E194&lt;=N194),"",ROUNDDOWN((C194*D194)/(E194-N194)/100,0)*100)</f>
        <v/>
      </c>
      <c r="G194" s="8" t="str">
        <f ca="1"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COUNTIFS(持仓跟踪!$A$2:$A$497,"止损计划",持仓跟踪!$B$2:$B$497,A194,持仓跟踪!$AC$2:$AC$497,"计划有效")=0,"禁止开仓：请先填写止损计划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4" s="2"/>
      <c r="I194" s="15"/>
      <c r="J194" s="10"/>
      <c r="K194" s="5" t="str">
        <f>IF(A194="","",IFERROR(LOOKUP(2,1/((持仓跟踪!$B$2:$B$497=A194)*(持仓跟踪!$X$2:$X$497="执行卖出")*(持仓跟踪!$Y$2:$Y$497&lt;&gt;"")),持仓跟踪!$Y$2:$Y$497),""))</f>
        <v/>
      </c>
      <c r="L194" s="8" t="str">
        <f>IF(A194="","",IFERROR(LOOKUP(2,1/((持仓跟踪!$B$2:$B$497=A194)*(持仓跟踪!$X$2:$X$497="执行卖出")*(持仓跟踪!$Z$2:$Z$497&lt;&gt;"")),持仓跟踪!$Z$2:$Z$497),""))</f>
        <v/>
      </c>
      <c r="M194" s="23" t="str">
        <f>IF(A194="","",IFERROR(LOOKUP(2,1/((持仓跟踪!$B$2:$B$497=A194)*(持仓跟踪!$X$2:$X$497="执行卖出")*(持仓跟踪!$H$2:$H$497&lt;&gt;"")),持仓跟踪!$H$2:$H$497),""))</f>
        <v/>
      </c>
      <c r="N194" s="10"/>
      <c r="O194" s="10"/>
      <c r="P194" s="5" t="str">
        <f>IF(A194="","",IFERROR(LOOKUP(2,1/((持仓跟踪!$B$2:$B$497=A194)*(持仓跟踪!$X$2:$X$497="执行卖出")*(持仓跟踪!$AA$2:$AA$497&lt;&gt;"")),持仓跟踪!$AA$2:$AA$497),""))</f>
        <v/>
      </c>
      <c r="Q194" s="2"/>
      <c r="R194" s="2"/>
      <c r="S194" s="2"/>
      <c r="T194" s="2"/>
      <c r="U194" s="7" t="str">
        <f t="shared" ref="U194:U201" si="71">IF(OR(AO194="",J194="",AO194&lt;=0),"",(J194-AO194)/AO194)</f>
        <v/>
      </c>
      <c r="V194" s="7" t="str">
        <f t="shared" ref="V194:V201" si="72">IF(OR(AO194="",N194="",AO194&lt;=0),"",(AO194-N194)/AO194)</f>
        <v/>
      </c>
      <c r="W194" s="22" t="str">
        <f t="shared" ref="W194:W201" si="73">IF(OR(U194="",V194="",V194&lt;=0),"",U194/V194)</f>
        <v/>
      </c>
      <c r="X194" s="5" t="str">
        <f t="shared" ref="X194:X201" si="74">IF(OR(K194="",L194="",AP194=""),"",K194*L194-(E194*H194+IF(AND(AK194&lt;&gt;"",AL194&lt;&gt;""),AK194*AL194,0)+IF(AND(AM194&lt;&gt;"",AN194&lt;&gt;""),AM194*AN194,0))-IF(O194="",0,O194)-IF(P194="",0,P194))</f>
        <v/>
      </c>
      <c r="Y194" s="7" t="str">
        <f t="shared" ref="Y194:Y201" si="75">IF(OR(X194="",AP194=""),"",IF((E194*H194+IF(AND(AK194&lt;&gt;"",AL194&lt;&gt;""),AK194*AL194,0)+IF(AND(AM194&lt;&gt;"",AN194&lt;&gt;""),AM194*AN194,0))+IF(O194="",0,O194)&lt;=0,"",X194/((E194*H194+IF(AND(AK194&lt;&gt;"",AL194&lt;&gt;""),AK194*AL194,0)+IF(AND(AM194&lt;&gt;"",AN194&lt;&gt;""),AM194*AN194,0))+IF(O194="",0,O194))))</f>
        <v/>
      </c>
      <c r="Z194" s="7" t="str">
        <f>IF(OR(AE194="",多次统计数据!$B$8=""),"",AE194-多次统计数据!$B$8)</f>
        <v/>
      </c>
      <c r="AA194" s="11" t="str">
        <f t="shared" ref="AA194:AA201" si="76">IF(OR(I194="",M194="",M194&lt;I194),"",M194-I194)</f>
        <v/>
      </c>
      <c r="AB194" s="7" t="str">
        <f>IF(OR(A194="",多次统计数据!$B$8="",多次统计数据!$B$6&lt;=0,多次统计数据!$B$6&gt;=1),"",1-POWER(1+多次统计数据!$B$8,-多次统计数据!$B$6/(1-多次统计数据!$B$6)))</f>
        <v/>
      </c>
      <c r="AC194" s="8" t="str">
        <f>IF(OR(AB194="",多次统计数据!$B$9=""),"",IF(多次统计数据!$B$9&lt;AB194,"低于上限","达到或超过上限"))</f>
        <v/>
      </c>
      <c r="AD194" s="2"/>
      <c r="AE194" s="7" t="str">
        <f t="shared" ref="AE194:AE201" si="77">IF(OR(X194="",C194="",C194&lt;=0),"",X194/C194)</f>
        <v/>
      </c>
      <c r="AG194" s="2"/>
      <c r="AH194" s="2"/>
      <c r="AI194" s="2"/>
      <c r="AJ194" s="8" t="str">
        <f t="shared" ref="AJ194:AJ201" si="78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10"/>
      <c r="AL194" s="12"/>
      <c r="AM194" s="10"/>
      <c r="AN194" s="12"/>
      <c r="AO194" s="5" t="str">
        <f t="shared" ref="AO194:AO201" si="79">IF(OR(A194="",H194="",H194&lt;=0),"",(E194*H194+IF(AND(AK194&lt;&gt;"",AL194&lt;&gt;""),AK194*AL194,0)+IF(AND(AM194&lt;&gt;"",AN194&lt;&gt;""),AM194*AN194,0))/AP194)</f>
        <v/>
      </c>
      <c r="AP194" s="11" t="str">
        <f t="shared" ref="AP194:AP201" si="80">IF(OR(A194="",H194="",H194&lt;=0),"",H194+IF(AL194="",0,AL194)+IF(AN194="",0,AN194))</f>
        <v/>
      </c>
      <c r="AQ194" s="5" t="str">
        <f>IF(A194="","",IF(M194&lt;&gt;"",0,IF(OR(H194="",N194=""),"",MAX(E194-MAX(N194,IFERROR(SUMPRODUCT(MAX(((持仓跟踪!$A$2:$A$497="每日跟踪")*(持仓跟踪!$B$2:$B$497=A194))*持仓跟踪!$S$2:$S$497)),0)),0)*H194+IF(OR(AK194="",AL194=""),0,MAX(AK194-MAX(N194,IFERROR(SUMPRODUCT(MAX(((持仓跟踪!$A$2:$A$497="每日跟踪")*(持仓跟踪!$B$2:$B$497=A194))*持仓跟踪!$S$2:$S$497)),0)),0)*AL194)+IF(OR(AM194="",AN194=""),0,MAX(AM194-MAX(N194,IFERROR(SUMPRODUCT(MAX(((持仓跟踪!$A$2:$A$497="每日跟踪")*(持仓跟踪!$B$2:$B$497=A194))*持仓跟踪!$S$2:$S$497)),0)),0)*AN194))))</f>
        <v/>
      </c>
      <c r="AR194" s="8" t="str">
        <f ca="1">IF(A194="","",IF(OR(E194="",H194=""),"违规：第一批价格或股数缺失",IF(OR(AND(AK194="",AL194&lt;&gt;""),AND(AK194&lt;&gt;"",AL194="")),"违规：第二批价格与股数须成对填写",IF(OR(AND(AM194="",AN194&lt;&gt;""),AND(AM194&lt;&gt;"",AN194="")),"违规：第三批价格与股数须成对填写",IF(AND(OR(AM194&lt;&gt;"",AN194&lt;&gt;""),OR(AK194="",AL194="")),"违规：必须先完成第二批",IF(OR(H194&lt;=0,H194&lt;&gt;INT(H194),MOD(H194,100)&lt;&gt;0,AND(AL194&lt;&gt;"",OR(AL194&lt;=0,AL194&lt;&gt;INT(AL194),MOD(AL194,100)&lt;&gt;0)),AND(AN194&lt;&gt;"",OR(AN194&lt;=0,AN194&lt;&gt;INT(AN194),MOD(AN194,100)&lt;&gt;0))),"违规：股数须为100股整数倍",IF(AND(OR(AL194&lt;&gt;"",AN194&lt;&gt;""),OR(_LockStatus="已锁仓",_LockStatus="解锁信息不完整")),"违规：锁仓期间禁止加仓",IF(AQ194&gt;C194*D194,"违规：超过单笔风险上限",IF(SUM($AQ$2:$AQ$201)&gt;账户数据!$B$7,"违规：超过账户风险上限","通过")))))))))</f>
        <v/>
      </c>
    </row>
    <row r="195" ht="17" spans="1:44">
      <c r="A195" s="2"/>
      <c r="B195" s="2"/>
      <c r="C195" s="10"/>
      <c r="D195" s="6"/>
      <c r="E195" s="10"/>
      <c r="F195" s="8" t="str">
        <f t="shared" si="70"/>
        <v/>
      </c>
      <c r="G195" s="8" t="str">
        <f ca="1"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COUNTIFS(持仓跟踪!$A$2:$A$497,"止损计划",持仓跟踪!$B$2:$B$497,A195,持仓跟踪!$AC$2:$AC$497,"计划有效")=0,"禁止开仓：请先填写止损计划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5" s="2"/>
      <c r="I195" s="15"/>
      <c r="J195" s="10"/>
      <c r="K195" s="5" t="str">
        <f>IF(A195="","",IFERROR(LOOKUP(2,1/((持仓跟踪!$B$2:$B$497=A195)*(持仓跟踪!$X$2:$X$497="执行卖出")*(持仓跟踪!$Y$2:$Y$497&lt;&gt;"")),持仓跟踪!$Y$2:$Y$497),""))</f>
        <v/>
      </c>
      <c r="L195" s="8" t="str">
        <f>IF(A195="","",IFERROR(LOOKUP(2,1/((持仓跟踪!$B$2:$B$497=A195)*(持仓跟踪!$X$2:$X$497="执行卖出")*(持仓跟踪!$Z$2:$Z$497&lt;&gt;"")),持仓跟踪!$Z$2:$Z$497),""))</f>
        <v/>
      </c>
      <c r="M195" s="23" t="str">
        <f>IF(A195="","",IFERROR(LOOKUP(2,1/((持仓跟踪!$B$2:$B$497=A195)*(持仓跟踪!$X$2:$X$497="执行卖出")*(持仓跟踪!$H$2:$H$497&lt;&gt;"")),持仓跟踪!$H$2:$H$497),""))</f>
        <v/>
      </c>
      <c r="N195" s="10"/>
      <c r="O195" s="10"/>
      <c r="P195" s="5" t="str">
        <f>IF(A195="","",IFERROR(LOOKUP(2,1/((持仓跟踪!$B$2:$B$497=A195)*(持仓跟踪!$X$2:$X$497="执行卖出")*(持仓跟踪!$AA$2:$AA$497&lt;&gt;"")),持仓跟踪!$AA$2:$AA$497),""))</f>
        <v/>
      </c>
      <c r="Q195" s="2"/>
      <c r="R195" s="2"/>
      <c r="S195" s="2"/>
      <c r="T195" s="2"/>
      <c r="U195" s="7" t="str">
        <f t="shared" si="71"/>
        <v/>
      </c>
      <c r="V195" s="7" t="str">
        <f t="shared" si="72"/>
        <v/>
      </c>
      <c r="W195" s="22" t="str">
        <f t="shared" si="73"/>
        <v/>
      </c>
      <c r="X195" s="5" t="str">
        <f t="shared" si="74"/>
        <v/>
      </c>
      <c r="Y195" s="7" t="str">
        <f t="shared" si="75"/>
        <v/>
      </c>
      <c r="Z195" s="7" t="str">
        <f>IF(OR(AE195="",多次统计数据!$B$8=""),"",AE195-多次统计数据!$B$8)</f>
        <v/>
      </c>
      <c r="AA195" s="11" t="str">
        <f t="shared" si="76"/>
        <v/>
      </c>
      <c r="AB195" s="7" t="str">
        <f>IF(OR(A195="",多次统计数据!$B$8="",多次统计数据!$B$6&lt;=0,多次统计数据!$B$6&gt;=1),"",1-POWER(1+多次统计数据!$B$8,-多次统计数据!$B$6/(1-多次统计数据!$B$6)))</f>
        <v/>
      </c>
      <c r="AC195" s="8" t="str">
        <f>IF(OR(AB195="",多次统计数据!$B$9=""),"",IF(多次统计数据!$B$9&lt;AB195,"低于上限","达到或超过上限"))</f>
        <v/>
      </c>
      <c r="AD195" s="2"/>
      <c r="AE195" s="7" t="str">
        <f t="shared" si="77"/>
        <v/>
      </c>
      <c r="AG195" s="2"/>
      <c r="AH195" s="2"/>
      <c r="AI195" s="2"/>
      <c r="AJ195" s="8" t="str">
        <f t="shared" si="78"/>
        <v/>
      </c>
      <c r="AK195" s="10"/>
      <c r="AL195" s="12"/>
      <c r="AM195" s="10"/>
      <c r="AN195" s="12"/>
      <c r="AO195" s="5" t="str">
        <f t="shared" si="79"/>
        <v/>
      </c>
      <c r="AP195" s="11" t="str">
        <f t="shared" si="80"/>
        <v/>
      </c>
      <c r="AQ195" s="5" t="str">
        <f>IF(A195="","",IF(M195&lt;&gt;"",0,IF(OR(H195="",N195=""),"",MAX(E195-MAX(N195,IFERROR(SUMPRODUCT(MAX(((持仓跟踪!$A$2:$A$497="每日跟踪")*(持仓跟踪!$B$2:$B$497=A195))*持仓跟踪!$S$2:$S$497)),0)),0)*H195+IF(OR(AK195="",AL195=""),0,MAX(AK195-MAX(N195,IFERROR(SUMPRODUCT(MAX(((持仓跟踪!$A$2:$A$497="每日跟踪")*(持仓跟踪!$B$2:$B$497=A195))*持仓跟踪!$S$2:$S$497)),0)),0)*AL195)+IF(OR(AM195="",AN195=""),0,MAX(AM195-MAX(N195,IFERROR(SUMPRODUCT(MAX(((持仓跟踪!$A$2:$A$497="每日跟踪")*(持仓跟踪!$B$2:$B$497=A195))*持仓跟踪!$S$2:$S$497)),0)),0)*AN195))))</f>
        <v/>
      </c>
      <c r="AR195" s="8" t="str">
        <f ca="1">IF(A195="","",IF(OR(E195="",H195=""),"违规：第一批价格或股数缺失",IF(OR(AND(AK195="",AL195&lt;&gt;""),AND(AK195&lt;&gt;"",AL195="")),"违规：第二批价格与股数须成对填写",IF(OR(AND(AM195="",AN195&lt;&gt;""),AND(AM195&lt;&gt;"",AN195="")),"违规：第三批价格与股数须成对填写",IF(AND(OR(AM195&lt;&gt;"",AN195&lt;&gt;""),OR(AK195="",AL195="")),"违规：必须先完成第二批",IF(OR(H195&lt;=0,H195&lt;&gt;INT(H195),MOD(H195,100)&lt;&gt;0,AND(AL195&lt;&gt;"",OR(AL195&lt;=0,AL195&lt;&gt;INT(AL195),MOD(AL195,100)&lt;&gt;0)),AND(AN195&lt;&gt;"",OR(AN195&lt;=0,AN195&lt;&gt;INT(AN195),MOD(AN195,100)&lt;&gt;0))),"违规：股数须为100股整数倍",IF(AND(OR(AL195&lt;&gt;"",AN195&lt;&gt;""),OR(_LockStatus="已锁仓",_LockStatus="解锁信息不完整")),"违规：锁仓期间禁止加仓",IF(AQ195&gt;C195*D195,"违规：超过单笔风险上限",IF(SUM($AQ$2:$AQ$201)&gt;账户数据!$B$7,"违规：超过账户风险上限","通过")))))))))</f>
        <v/>
      </c>
    </row>
    <row r="196" ht="17" spans="1:44">
      <c r="A196" s="2"/>
      <c r="B196" s="2"/>
      <c r="C196" s="10"/>
      <c r="D196" s="6"/>
      <c r="E196" s="10"/>
      <c r="F196" s="8" t="str">
        <f t="shared" si="70"/>
        <v/>
      </c>
      <c r="G196" s="8" t="str">
        <f ca="1"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COUNTIFS(持仓跟踪!$A$2:$A$497,"止损计划",持仓跟踪!$B$2:$B$497,A196,持仓跟踪!$AC$2:$AC$497,"计划有效")=0,"禁止开仓：请先填写止损计划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6" s="2"/>
      <c r="I196" s="15"/>
      <c r="J196" s="10"/>
      <c r="K196" s="5" t="str">
        <f>IF(A196="","",IFERROR(LOOKUP(2,1/((持仓跟踪!$B$2:$B$497=A196)*(持仓跟踪!$X$2:$X$497="执行卖出")*(持仓跟踪!$Y$2:$Y$497&lt;&gt;"")),持仓跟踪!$Y$2:$Y$497),""))</f>
        <v/>
      </c>
      <c r="L196" s="8" t="str">
        <f>IF(A196="","",IFERROR(LOOKUP(2,1/((持仓跟踪!$B$2:$B$497=A196)*(持仓跟踪!$X$2:$X$497="执行卖出")*(持仓跟踪!$Z$2:$Z$497&lt;&gt;"")),持仓跟踪!$Z$2:$Z$497),""))</f>
        <v/>
      </c>
      <c r="M196" s="23" t="str">
        <f>IF(A196="","",IFERROR(LOOKUP(2,1/((持仓跟踪!$B$2:$B$497=A196)*(持仓跟踪!$X$2:$X$497="执行卖出")*(持仓跟踪!$H$2:$H$497&lt;&gt;"")),持仓跟踪!$H$2:$H$497),""))</f>
        <v/>
      </c>
      <c r="N196" s="10"/>
      <c r="O196" s="10"/>
      <c r="P196" s="5" t="str">
        <f>IF(A196="","",IFERROR(LOOKUP(2,1/((持仓跟踪!$B$2:$B$497=A196)*(持仓跟踪!$X$2:$X$497="执行卖出")*(持仓跟踪!$AA$2:$AA$497&lt;&gt;"")),持仓跟踪!$AA$2:$AA$497),""))</f>
        <v/>
      </c>
      <c r="Q196" s="2"/>
      <c r="R196" s="2"/>
      <c r="S196" s="2"/>
      <c r="T196" s="2"/>
      <c r="U196" s="7" t="str">
        <f t="shared" si="71"/>
        <v/>
      </c>
      <c r="V196" s="7" t="str">
        <f t="shared" si="72"/>
        <v/>
      </c>
      <c r="W196" s="22" t="str">
        <f t="shared" si="73"/>
        <v/>
      </c>
      <c r="X196" s="5" t="str">
        <f t="shared" si="74"/>
        <v/>
      </c>
      <c r="Y196" s="7" t="str">
        <f t="shared" si="75"/>
        <v/>
      </c>
      <c r="Z196" s="7" t="str">
        <f>IF(OR(AE196="",多次统计数据!$B$8=""),"",AE196-多次统计数据!$B$8)</f>
        <v/>
      </c>
      <c r="AA196" s="11" t="str">
        <f t="shared" si="76"/>
        <v/>
      </c>
      <c r="AB196" s="7" t="str">
        <f>IF(OR(A196="",多次统计数据!$B$8="",多次统计数据!$B$6&lt;=0,多次统计数据!$B$6&gt;=1),"",1-POWER(1+多次统计数据!$B$8,-多次统计数据!$B$6/(1-多次统计数据!$B$6)))</f>
        <v/>
      </c>
      <c r="AC196" s="8" t="str">
        <f>IF(OR(AB196="",多次统计数据!$B$9=""),"",IF(多次统计数据!$B$9&lt;AB196,"低于上限","达到或超过上限"))</f>
        <v/>
      </c>
      <c r="AD196" s="2"/>
      <c r="AE196" s="7" t="str">
        <f t="shared" si="77"/>
        <v/>
      </c>
      <c r="AG196" s="2"/>
      <c r="AH196" s="2"/>
      <c r="AI196" s="2"/>
      <c r="AJ196" s="8" t="str">
        <f t="shared" si="78"/>
        <v/>
      </c>
      <c r="AK196" s="10"/>
      <c r="AL196" s="12"/>
      <c r="AM196" s="10"/>
      <c r="AN196" s="12"/>
      <c r="AO196" s="5" t="str">
        <f t="shared" si="79"/>
        <v/>
      </c>
      <c r="AP196" s="11" t="str">
        <f t="shared" si="80"/>
        <v/>
      </c>
      <c r="AQ196" s="5" t="str">
        <f>IF(A196="","",IF(M196&lt;&gt;"",0,IF(OR(H196="",N196=""),"",MAX(E196-MAX(N196,IFERROR(SUMPRODUCT(MAX(((持仓跟踪!$A$2:$A$497="每日跟踪")*(持仓跟踪!$B$2:$B$497=A196))*持仓跟踪!$S$2:$S$497)),0)),0)*H196+IF(OR(AK196="",AL196=""),0,MAX(AK196-MAX(N196,IFERROR(SUMPRODUCT(MAX(((持仓跟踪!$A$2:$A$497="每日跟踪")*(持仓跟踪!$B$2:$B$497=A196))*持仓跟踪!$S$2:$S$497)),0)),0)*AL196)+IF(OR(AM196="",AN196=""),0,MAX(AM196-MAX(N196,IFERROR(SUMPRODUCT(MAX(((持仓跟踪!$A$2:$A$497="每日跟踪")*(持仓跟踪!$B$2:$B$497=A196))*持仓跟踪!$S$2:$S$497)),0)),0)*AN196))))</f>
        <v/>
      </c>
      <c r="AR196" s="8" t="str">
        <f ca="1">IF(A196="","",IF(OR(E196="",H196=""),"违规：第一批价格或股数缺失",IF(OR(AND(AK196="",AL196&lt;&gt;""),AND(AK196&lt;&gt;"",AL196="")),"违规：第二批价格与股数须成对填写",IF(OR(AND(AM196="",AN196&lt;&gt;""),AND(AM196&lt;&gt;"",AN196="")),"违规：第三批价格与股数须成对填写",IF(AND(OR(AM196&lt;&gt;"",AN196&lt;&gt;""),OR(AK196="",AL196="")),"违规：必须先完成第二批",IF(OR(H196&lt;=0,H196&lt;&gt;INT(H196),MOD(H196,100)&lt;&gt;0,AND(AL196&lt;&gt;"",OR(AL196&lt;=0,AL196&lt;&gt;INT(AL196),MOD(AL196,100)&lt;&gt;0)),AND(AN196&lt;&gt;"",OR(AN196&lt;=0,AN196&lt;&gt;INT(AN196),MOD(AN196,100)&lt;&gt;0))),"违规：股数须为100股整数倍",IF(AND(OR(AL196&lt;&gt;"",AN196&lt;&gt;""),OR(_LockStatus="已锁仓",_LockStatus="解锁信息不完整")),"违规：锁仓期间禁止加仓",IF(AQ196&gt;C196*D196,"违规：超过单笔风险上限",IF(SUM($AQ$2:$AQ$201)&gt;账户数据!$B$7,"违规：超过账户风险上限","通过")))))))))</f>
        <v/>
      </c>
    </row>
    <row r="197" ht="17" spans="1:44">
      <c r="A197" s="2"/>
      <c r="B197" s="2"/>
      <c r="C197" s="10"/>
      <c r="D197" s="6"/>
      <c r="E197" s="10"/>
      <c r="F197" s="8" t="str">
        <f t="shared" si="70"/>
        <v/>
      </c>
      <c r="G197" s="8" t="str">
        <f ca="1"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COUNTIFS(持仓跟踪!$A$2:$A$497,"止损计划",持仓跟踪!$B$2:$B$497,A197,持仓跟踪!$AC$2:$AC$497,"计划有效")=0,"禁止开仓：请先填写止损计划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7" s="2"/>
      <c r="I197" s="15"/>
      <c r="J197" s="10"/>
      <c r="K197" s="5" t="str">
        <f>IF(A197="","",IFERROR(LOOKUP(2,1/((持仓跟踪!$B$2:$B$497=A197)*(持仓跟踪!$X$2:$X$497="执行卖出")*(持仓跟踪!$Y$2:$Y$497&lt;&gt;"")),持仓跟踪!$Y$2:$Y$497),""))</f>
        <v/>
      </c>
      <c r="L197" s="8" t="str">
        <f>IF(A197="","",IFERROR(LOOKUP(2,1/((持仓跟踪!$B$2:$B$497=A197)*(持仓跟踪!$X$2:$X$497="执行卖出")*(持仓跟踪!$Z$2:$Z$497&lt;&gt;"")),持仓跟踪!$Z$2:$Z$497),""))</f>
        <v/>
      </c>
      <c r="M197" s="23" t="str">
        <f>IF(A197="","",IFERROR(LOOKUP(2,1/((持仓跟踪!$B$2:$B$497=A197)*(持仓跟踪!$X$2:$X$497="执行卖出")*(持仓跟踪!$H$2:$H$497&lt;&gt;"")),持仓跟踪!$H$2:$H$497),""))</f>
        <v/>
      </c>
      <c r="N197" s="10"/>
      <c r="O197" s="10"/>
      <c r="P197" s="5" t="str">
        <f>IF(A197="","",IFERROR(LOOKUP(2,1/((持仓跟踪!$B$2:$B$497=A197)*(持仓跟踪!$X$2:$X$497="执行卖出")*(持仓跟踪!$AA$2:$AA$497&lt;&gt;"")),持仓跟踪!$AA$2:$AA$497),""))</f>
        <v/>
      </c>
      <c r="Q197" s="2"/>
      <c r="R197" s="2"/>
      <c r="S197" s="2"/>
      <c r="T197" s="2"/>
      <c r="U197" s="7" t="str">
        <f t="shared" si="71"/>
        <v/>
      </c>
      <c r="V197" s="7" t="str">
        <f t="shared" si="72"/>
        <v/>
      </c>
      <c r="W197" s="22" t="str">
        <f t="shared" si="73"/>
        <v/>
      </c>
      <c r="X197" s="5" t="str">
        <f t="shared" si="74"/>
        <v/>
      </c>
      <c r="Y197" s="7" t="str">
        <f t="shared" si="75"/>
        <v/>
      </c>
      <c r="Z197" s="7" t="str">
        <f>IF(OR(AE197="",多次统计数据!$B$8=""),"",AE197-多次统计数据!$B$8)</f>
        <v/>
      </c>
      <c r="AA197" s="11" t="str">
        <f t="shared" si="76"/>
        <v/>
      </c>
      <c r="AB197" s="7" t="str">
        <f>IF(OR(A197="",多次统计数据!$B$8="",多次统计数据!$B$6&lt;=0,多次统计数据!$B$6&gt;=1),"",1-POWER(1+多次统计数据!$B$8,-多次统计数据!$B$6/(1-多次统计数据!$B$6)))</f>
        <v/>
      </c>
      <c r="AC197" s="8" t="str">
        <f>IF(OR(AB197="",多次统计数据!$B$9=""),"",IF(多次统计数据!$B$9&lt;AB197,"低于上限","达到或超过上限"))</f>
        <v/>
      </c>
      <c r="AD197" s="2"/>
      <c r="AE197" s="7" t="str">
        <f t="shared" si="77"/>
        <v/>
      </c>
      <c r="AG197" s="2"/>
      <c r="AH197" s="2"/>
      <c r="AI197" s="2"/>
      <c r="AJ197" s="8" t="str">
        <f t="shared" si="78"/>
        <v/>
      </c>
      <c r="AK197" s="10"/>
      <c r="AL197" s="12"/>
      <c r="AM197" s="10"/>
      <c r="AN197" s="12"/>
      <c r="AO197" s="5" t="str">
        <f t="shared" si="79"/>
        <v/>
      </c>
      <c r="AP197" s="11" t="str">
        <f t="shared" si="80"/>
        <v/>
      </c>
      <c r="AQ197" s="5" t="str">
        <f>IF(A197="","",IF(M197&lt;&gt;"",0,IF(OR(H197="",N197=""),"",MAX(E197-MAX(N197,IFERROR(SUMPRODUCT(MAX(((持仓跟踪!$A$2:$A$497="每日跟踪")*(持仓跟踪!$B$2:$B$497=A197))*持仓跟踪!$S$2:$S$497)),0)),0)*H197+IF(OR(AK197="",AL197=""),0,MAX(AK197-MAX(N197,IFERROR(SUMPRODUCT(MAX(((持仓跟踪!$A$2:$A$497="每日跟踪")*(持仓跟踪!$B$2:$B$497=A197))*持仓跟踪!$S$2:$S$497)),0)),0)*AL197)+IF(OR(AM197="",AN197=""),0,MAX(AM197-MAX(N197,IFERROR(SUMPRODUCT(MAX(((持仓跟踪!$A$2:$A$497="每日跟踪")*(持仓跟踪!$B$2:$B$497=A197))*持仓跟踪!$S$2:$S$497)),0)),0)*AN197))))</f>
        <v/>
      </c>
      <c r="AR197" s="8" t="str">
        <f ca="1">IF(A197="","",IF(OR(E197="",H197=""),"违规：第一批价格或股数缺失",IF(OR(AND(AK197="",AL197&lt;&gt;""),AND(AK197&lt;&gt;"",AL197="")),"违规：第二批价格与股数须成对填写",IF(OR(AND(AM197="",AN197&lt;&gt;""),AND(AM197&lt;&gt;"",AN197="")),"违规：第三批价格与股数须成对填写",IF(AND(OR(AM197&lt;&gt;"",AN197&lt;&gt;""),OR(AK197="",AL197="")),"违规：必须先完成第二批",IF(OR(H197&lt;=0,H197&lt;&gt;INT(H197),MOD(H197,100)&lt;&gt;0,AND(AL197&lt;&gt;"",OR(AL197&lt;=0,AL197&lt;&gt;INT(AL197),MOD(AL197,100)&lt;&gt;0)),AND(AN197&lt;&gt;"",OR(AN197&lt;=0,AN197&lt;&gt;INT(AN197),MOD(AN197,100)&lt;&gt;0))),"违规：股数须为100股整数倍",IF(AND(OR(AL197&lt;&gt;"",AN197&lt;&gt;""),OR(_LockStatus="已锁仓",_LockStatus="解锁信息不完整")),"违规：锁仓期间禁止加仓",IF(AQ197&gt;C197*D197,"违规：超过单笔风险上限",IF(SUM($AQ$2:$AQ$201)&gt;账户数据!$B$7,"违规：超过账户风险上限","通过")))))))))</f>
        <v/>
      </c>
    </row>
    <row r="198" ht="17" spans="1:44">
      <c r="A198" s="2"/>
      <c r="B198" s="2"/>
      <c r="C198" s="10"/>
      <c r="D198" s="6"/>
      <c r="E198" s="10"/>
      <c r="F198" s="8" t="str">
        <f t="shared" si="70"/>
        <v/>
      </c>
      <c r="G198" s="8" t="str">
        <f ca="1"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COUNTIFS(持仓跟踪!$A$2:$A$497,"止损计划",持仓跟踪!$B$2:$B$497,A198,持仓跟踪!$AC$2:$AC$497,"计划有效")=0,"禁止开仓：请先填写止损计划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8" s="2"/>
      <c r="I198" s="15"/>
      <c r="J198" s="10"/>
      <c r="K198" s="5" t="str">
        <f>IF(A198="","",IFERROR(LOOKUP(2,1/((持仓跟踪!$B$2:$B$497=A198)*(持仓跟踪!$X$2:$X$497="执行卖出")*(持仓跟踪!$Y$2:$Y$497&lt;&gt;"")),持仓跟踪!$Y$2:$Y$497),""))</f>
        <v/>
      </c>
      <c r="L198" s="8" t="str">
        <f>IF(A198="","",IFERROR(LOOKUP(2,1/((持仓跟踪!$B$2:$B$497=A198)*(持仓跟踪!$X$2:$X$497="执行卖出")*(持仓跟踪!$Z$2:$Z$497&lt;&gt;"")),持仓跟踪!$Z$2:$Z$497),""))</f>
        <v/>
      </c>
      <c r="M198" s="23" t="str">
        <f>IF(A198="","",IFERROR(LOOKUP(2,1/((持仓跟踪!$B$2:$B$497=A198)*(持仓跟踪!$X$2:$X$497="执行卖出")*(持仓跟踪!$H$2:$H$497&lt;&gt;"")),持仓跟踪!$H$2:$H$497),""))</f>
        <v/>
      </c>
      <c r="N198" s="10"/>
      <c r="O198" s="10"/>
      <c r="P198" s="5" t="str">
        <f>IF(A198="","",IFERROR(LOOKUP(2,1/((持仓跟踪!$B$2:$B$497=A198)*(持仓跟踪!$X$2:$X$497="执行卖出")*(持仓跟踪!$AA$2:$AA$497&lt;&gt;"")),持仓跟踪!$AA$2:$AA$497),""))</f>
        <v/>
      </c>
      <c r="Q198" s="2"/>
      <c r="R198" s="2"/>
      <c r="S198" s="2"/>
      <c r="T198" s="2"/>
      <c r="U198" s="7" t="str">
        <f t="shared" si="71"/>
        <v/>
      </c>
      <c r="V198" s="7" t="str">
        <f t="shared" si="72"/>
        <v/>
      </c>
      <c r="W198" s="22" t="str">
        <f t="shared" si="73"/>
        <v/>
      </c>
      <c r="X198" s="5" t="str">
        <f t="shared" si="74"/>
        <v/>
      </c>
      <c r="Y198" s="7" t="str">
        <f t="shared" si="75"/>
        <v/>
      </c>
      <c r="Z198" s="7" t="str">
        <f>IF(OR(AE198="",多次统计数据!$B$8=""),"",AE198-多次统计数据!$B$8)</f>
        <v/>
      </c>
      <c r="AA198" s="11" t="str">
        <f t="shared" si="76"/>
        <v/>
      </c>
      <c r="AB198" s="7" t="str">
        <f>IF(OR(A198="",多次统计数据!$B$8="",多次统计数据!$B$6&lt;=0,多次统计数据!$B$6&gt;=1),"",1-POWER(1+多次统计数据!$B$8,-多次统计数据!$B$6/(1-多次统计数据!$B$6)))</f>
        <v/>
      </c>
      <c r="AC198" s="8" t="str">
        <f>IF(OR(AB198="",多次统计数据!$B$9=""),"",IF(多次统计数据!$B$9&lt;AB198,"低于上限","达到或超过上限"))</f>
        <v/>
      </c>
      <c r="AD198" s="2"/>
      <c r="AE198" s="7" t="str">
        <f t="shared" si="77"/>
        <v/>
      </c>
      <c r="AG198" s="2"/>
      <c r="AH198" s="2"/>
      <c r="AI198" s="2"/>
      <c r="AJ198" s="8" t="str">
        <f t="shared" si="78"/>
        <v/>
      </c>
      <c r="AK198" s="10"/>
      <c r="AL198" s="12"/>
      <c r="AM198" s="10"/>
      <c r="AN198" s="12"/>
      <c r="AO198" s="5" t="str">
        <f t="shared" si="79"/>
        <v/>
      </c>
      <c r="AP198" s="11" t="str">
        <f t="shared" si="80"/>
        <v/>
      </c>
      <c r="AQ198" s="5" t="str">
        <f>IF(A198="","",IF(M198&lt;&gt;"",0,IF(OR(H198="",N198=""),"",MAX(E198-MAX(N198,IFERROR(SUMPRODUCT(MAX(((持仓跟踪!$A$2:$A$497="每日跟踪")*(持仓跟踪!$B$2:$B$497=A198))*持仓跟踪!$S$2:$S$497)),0)),0)*H198+IF(OR(AK198="",AL198=""),0,MAX(AK198-MAX(N198,IFERROR(SUMPRODUCT(MAX(((持仓跟踪!$A$2:$A$497="每日跟踪")*(持仓跟踪!$B$2:$B$497=A198))*持仓跟踪!$S$2:$S$497)),0)),0)*AL198)+IF(OR(AM198="",AN198=""),0,MAX(AM198-MAX(N198,IFERROR(SUMPRODUCT(MAX(((持仓跟踪!$A$2:$A$497="每日跟踪")*(持仓跟踪!$B$2:$B$497=A198))*持仓跟踪!$S$2:$S$497)),0)),0)*AN198))))</f>
        <v/>
      </c>
      <c r="AR198" s="8" t="str">
        <f ca="1">IF(A198="","",IF(OR(E198="",H198=""),"违规：第一批价格或股数缺失",IF(OR(AND(AK198="",AL198&lt;&gt;""),AND(AK198&lt;&gt;"",AL198="")),"违规：第二批价格与股数须成对填写",IF(OR(AND(AM198="",AN198&lt;&gt;""),AND(AM198&lt;&gt;"",AN198="")),"违规：第三批价格与股数须成对填写",IF(AND(OR(AM198&lt;&gt;"",AN198&lt;&gt;""),OR(AK198="",AL198="")),"违规：必须先完成第二批",IF(OR(H198&lt;=0,H198&lt;&gt;INT(H198),MOD(H198,100)&lt;&gt;0,AND(AL198&lt;&gt;"",OR(AL198&lt;=0,AL198&lt;&gt;INT(AL198),MOD(AL198,100)&lt;&gt;0)),AND(AN198&lt;&gt;"",OR(AN198&lt;=0,AN198&lt;&gt;INT(AN198),MOD(AN198,100)&lt;&gt;0))),"违规：股数须为100股整数倍",IF(AND(OR(AL198&lt;&gt;"",AN198&lt;&gt;""),OR(_LockStatus="已锁仓",_LockStatus="解锁信息不完整")),"违规：锁仓期间禁止加仓",IF(AQ198&gt;C198*D198,"违规：超过单笔风险上限",IF(SUM($AQ$2:$AQ$201)&gt;账户数据!$B$7,"违规：超过账户风险上限","通过")))))))))</f>
        <v/>
      </c>
    </row>
    <row r="199" ht="17" spans="1:44">
      <c r="A199" s="2"/>
      <c r="B199" s="2"/>
      <c r="C199" s="10"/>
      <c r="D199" s="6"/>
      <c r="E199" s="10"/>
      <c r="F199" s="8" t="str">
        <f t="shared" si="70"/>
        <v/>
      </c>
      <c r="G199" s="8" t="str">
        <f ca="1"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COUNTIFS(持仓跟踪!$A$2:$A$497,"止损计划",持仓跟踪!$B$2:$B$497,A199,持仓跟踪!$AC$2:$AC$497,"计划有效")=0,"禁止开仓：请先填写止损计划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9" s="2"/>
      <c r="I199" s="15"/>
      <c r="J199" s="10"/>
      <c r="K199" s="5" t="str">
        <f>IF(A199="","",IFERROR(LOOKUP(2,1/((持仓跟踪!$B$2:$B$497=A199)*(持仓跟踪!$X$2:$X$497="执行卖出")*(持仓跟踪!$Y$2:$Y$497&lt;&gt;"")),持仓跟踪!$Y$2:$Y$497),""))</f>
        <v/>
      </c>
      <c r="L199" s="8" t="str">
        <f>IF(A199="","",IFERROR(LOOKUP(2,1/((持仓跟踪!$B$2:$B$497=A199)*(持仓跟踪!$X$2:$X$497="执行卖出")*(持仓跟踪!$Z$2:$Z$497&lt;&gt;"")),持仓跟踪!$Z$2:$Z$497),""))</f>
        <v/>
      </c>
      <c r="M199" s="23" t="str">
        <f>IF(A199="","",IFERROR(LOOKUP(2,1/((持仓跟踪!$B$2:$B$497=A199)*(持仓跟踪!$X$2:$X$497="执行卖出")*(持仓跟踪!$H$2:$H$497&lt;&gt;"")),持仓跟踪!$H$2:$H$497),""))</f>
        <v/>
      </c>
      <c r="N199" s="10"/>
      <c r="O199" s="10"/>
      <c r="P199" s="5" t="str">
        <f>IF(A199="","",IFERROR(LOOKUP(2,1/((持仓跟踪!$B$2:$B$497=A199)*(持仓跟踪!$X$2:$X$497="执行卖出")*(持仓跟踪!$AA$2:$AA$497&lt;&gt;"")),持仓跟踪!$AA$2:$AA$497),""))</f>
        <v/>
      </c>
      <c r="Q199" s="2"/>
      <c r="R199" s="2"/>
      <c r="S199" s="2"/>
      <c r="T199" s="2"/>
      <c r="U199" s="7" t="str">
        <f t="shared" si="71"/>
        <v/>
      </c>
      <c r="V199" s="7" t="str">
        <f t="shared" si="72"/>
        <v/>
      </c>
      <c r="W199" s="22" t="str">
        <f t="shared" si="73"/>
        <v/>
      </c>
      <c r="X199" s="5" t="str">
        <f t="shared" si="74"/>
        <v/>
      </c>
      <c r="Y199" s="7" t="str">
        <f t="shared" si="75"/>
        <v/>
      </c>
      <c r="Z199" s="7" t="str">
        <f>IF(OR(AE199="",多次统计数据!$B$8=""),"",AE199-多次统计数据!$B$8)</f>
        <v/>
      </c>
      <c r="AA199" s="11" t="str">
        <f t="shared" si="76"/>
        <v/>
      </c>
      <c r="AB199" s="7" t="str">
        <f>IF(OR(A199="",多次统计数据!$B$8="",多次统计数据!$B$6&lt;=0,多次统计数据!$B$6&gt;=1),"",1-POWER(1+多次统计数据!$B$8,-多次统计数据!$B$6/(1-多次统计数据!$B$6)))</f>
        <v/>
      </c>
      <c r="AC199" s="8" t="str">
        <f>IF(OR(AB199="",多次统计数据!$B$9=""),"",IF(多次统计数据!$B$9&lt;AB199,"低于上限","达到或超过上限"))</f>
        <v/>
      </c>
      <c r="AD199" s="2"/>
      <c r="AE199" s="7" t="str">
        <f t="shared" si="77"/>
        <v/>
      </c>
      <c r="AG199" s="2"/>
      <c r="AH199" s="2"/>
      <c r="AI199" s="2"/>
      <c r="AJ199" s="8" t="str">
        <f t="shared" si="78"/>
        <v/>
      </c>
      <c r="AK199" s="10"/>
      <c r="AL199" s="12"/>
      <c r="AM199" s="10"/>
      <c r="AN199" s="12"/>
      <c r="AO199" s="5" t="str">
        <f t="shared" si="79"/>
        <v/>
      </c>
      <c r="AP199" s="11" t="str">
        <f t="shared" si="80"/>
        <v/>
      </c>
      <c r="AQ199" s="5" t="str">
        <f>IF(A199="","",IF(M199&lt;&gt;"",0,IF(OR(H199="",N199=""),"",MAX(E199-MAX(N199,IFERROR(SUMPRODUCT(MAX(((持仓跟踪!$A$2:$A$497="每日跟踪")*(持仓跟踪!$B$2:$B$497=A199))*持仓跟踪!$S$2:$S$497)),0)),0)*H199+IF(OR(AK199="",AL199=""),0,MAX(AK199-MAX(N199,IFERROR(SUMPRODUCT(MAX(((持仓跟踪!$A$2:$A$497="每日跟踪")*(持仓跟踪!$B$2:$B$497=A199))*持仓跟踪!$S$2:$S$497)),0)),0)*AL199)+IF(OR(AM199="",AN199=""),0,MAX(AM199-MAX(N199,IFERROR(SUMPRODUCT(MAX(((持仓跟踪!$A$2:$A$497="每日跟踪")*(持仓跟踪!$B$2:$B$497=A199))*持仓跟踪!$S$2:$S$497)),0)),0)*AN199))))</f>
        <v/>
      </c>
      <c r="AR199" s="8" t="str">
        <f ca="1">IF(A199="","",IF(OR(E199="",H199=""),"违规：第一批价格或股数缺失",IF(OR(AND(AK199="",AL199&lt;&gt;""),AND(AK199&lt;&gt;"",AL199="")),"违规：第二批价格与股数须成对填写",IF(OR(AND(AM199="",AN199&lt;&gt;""),AND(AM199&lt;&gt;"",AN199="")),"违规：第三批价格与股数须成对填写",IF(AND(OR(AM199&lt;&gt;"",AN199&lt;&gt;""),OR(AK199="",AL199="")),"违规：必须先完成第二批",IF(OR(H199&lt;=0,H199&lt;&gt;INT(H199),MOD(H199,100)&lt;&gt;0,AND(AL199&lt;&gt;"",OR(AL199&lt;=0,AL199&lt;&gt;INT(AL199),MOD(AL199,100)&lt;&gt;0)),AND(AN199&lt;&gt;"",OR(AN199&lt;=0,AN199&lt;&gt;INT(AN199),MOD(AN199,100)&lt;&gt;0))),"违规：股数须为100股整数倍",IF(AND(OR(AL199&lt;&gt;"",AN199&lt;&gt;""),OR(_LockStatus="已锁仓",_LockStatus="解锁信息不完整")),"违规：锁仓期间禁止加仓",IF(AQ199&gt;C199*D199,"违规：超过单笔风险上限",IF(SUM($AQ$2:$AQ$201)&gt;账户数据!$B$7,"违规：超过账户风险上限","通过")))))))))</f>
        <v/>
      </c>
    </row>
    <row r="200" ht="17" spans="1:44">
      <c r="A200" s="2"/>
      <c r="B200" s="2"/>
      <c r="C200" s="10"/>
      <c r="D200" s="6"/>
      <c r="E200" s="10"/>
      <c r="F200" s="8" t="str">
        <f t="shared" si="70"/>
        <v/>
      </c>
      <c r="G200" s="8" t="str">
        <f ca="1"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COUNTIFS(持仓跟踪!$A$2:$A$497,"止损计划",持仓跟踪!$B$2:$B$497,A200,持仓跟踪!$AC$2:$AC$497,"计划有效")=0,"禁止开仓：请先填写止损计划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0" s="2"/>
      <c r="I200" s="15"/>
      <c r="J200" s="10"/>
      <c r="K200" s="5" t="str">
        <f>IF(A200="","",IFERROR(LOOKUP(2,1/((持仓跟踪!$B$2:$B$497=A200)*(持仓跟踪!$X$2:$X$497="执行卖出")*(持仓跟踪!$Y$2:$Y$497&lt;&gt;"")),持仓跟踪!$Y$2:$Y$497),""))</f>
        <v/>
      </c>
      <c r="L200" s="8" t="str">
        <f>IF(A200="","",IFERROR(LOOKUP(2,1/((持仓跟踪!$B$2:$B$497=A200)*(持仓跟踪!$X$2:$X$497="执行卖出")*(持仓跟踪!$Z$2:$Z$497&lt;&gt;"")),持仓跟踪!$Z$2:$Z$497),""))</f>
        <v/>
      </c>
      <c r="M200" s="23" t="str">
        <f>IF(A200="","",IFERROR(LOOKUP(2,1/((持仓跟踪!$B$2:$B$497=A200)*(持仓跟踪!$X$2:$X$497="执行卖出")*(持仓跟踪!$H$2:$H$497&lt;&gt;"")),持仓跟踪!$H$2:$H$497),""))</f>
        <v/>
      </c>
      <c r="N200" s="10"/>
      <c r="O200" s="10"/>
      <c r="P200" s="5" t="str">
        <f>IF(A200="","",IFERROR(LOOKUP(2,1/((持仓跟踪!$B$2:$B$497=A200)*(持仓跟踪!$X$2:$X$497="执行卖出")*(持仓跟踪!$AA$2:$AA$497&lt;&gt;"")),持仓跟踪!$AA$2:$AA$497),""))</f>
        <v/>
      </c>
      <c r="Q200" s="2"/>
      <c r="R200" s="2"/>
      <c r="S200" s="2"/>
      <c r="T200" s="2"/>
      <c r="U200" s="7" t="str">
        <f t="shared" si="71"/>
        <v/>
      </c>
      <c r="V200" s="7" t="str">
        <f t="shared" si="72"/>
        <v/>
      </c>
      <c r="W200" s="22" t="str">
        <f t="shared" si="73"/>
        <v/>
      </c>
      <c r="X200" s="5" t="str">
        <f t="shared" si="74"/>
        <v/>
      </c>
      <c r="Y200" s="7" t="str">
        <f t="shared" si="75"/>
        <v/>
      </c>
      <c r="Z200" s="7" t="str">
        <f>IF(OR(AE200="",多次统计数据!$B$8=""),"",AE200-多次统计数据!$B$8)</f>
        <v/>
      </c>
      <c r="AA200" s="11" t="str">
        <f t="shared" si="76"/>
        <v/>
      </c>
      <c r="AB200" s="7" t="str">
        <f>IF(OR(A200="",多次统计数据!$B$8="",多次统计数据!$B$6&lt;=0,多次统计数据!$B$6&gt;=1),"",1-POWER(1+多次统计数据!$B$8,-多次统计数据!$B$6/(1-多次统计数据!$B$6)))</f>
        <v/>
      </c>
      <c r="AC200" s="8" t="str">
        <f>IF(OR(AB200="",多次统计数据!$B$9=""),"",IF(多次统计数据!$B$9&lt;AB200,"低于上限","达到或超过上限"))</f>
        <v/>
      </c>
      <c r="AD200" s="2"/>
      <c r="AE200" s="7" t="str">
        <f t="shared" si="77"/>
        <v/>
      </c>
      <c r="AG200" s="2"/>
      <c r="AH200" s="2"/>
      <c r="AI200" s="2"/>
      <c r="AJ200" s="8" t="str">
        <f t="shared" si="78"/>
        <v/>
      </c>
      <c r="AK200" s="10"/>
      <c r="AL200" s="12"/>
      <c r="AM200" s="10"/>
      <c r="AN200" s="12"/>
      <c r="AO200" s="5" t="str">
        <f t="shared" si="79"/>
        <v/>
      </c>
      <c r="AP200" s="11" t="str">
        <f t="shared" si="80"/>
        <v/>
      </c>
      <c r="AQ200" s="5" t="str">
        <f>IF(A200="","",IF(M200&lt;&gt;"",0,IF(OR(H200="",N200=""),"",MAX(E200-MAX(N200,IFERROR(SUMPRODUCT(MAX(((持仓跟踪!$A$2:$A$497="每日跟踪")*(持仓跟踪!$B$2:$B$497=A200))*持仓跟踪!$S$2:$S$497)),0)),0)*H200+IF(OR(AK200="",AL200=""),0,MAX(AK200-MAX(N200,IFERROR(SUMPRODUCT(MAX(((持仓跟踪!$A$2:$A$497="每日跟踪")*(持仓跟踪!$B$2:$B$497=A200))*持仓跟踪!$S$2:$S$497)),0)),0)*AL200)+IF(OR(AM200="",AN200=""),0,MAX(AM200-MAX(N200,IFERROR(SUMPRODUCT(MAX(((持仓跟踪!$A$2:$A$497="每日跟踪")*(持仓跟踪!$B$2:$B$497=A200))*持仓跟踪!$S$2:$S$497)),0)),0)*AN200))))</f>
        <v/>
      </c>
      <c r="AR200" s="8" t="str">
        <f ca="1">IF(A200="","",IF(OR(E200="",H200=""),"违规：第一批价格或股数缺失",IF(OR(AND(AK200="",AL200&lt;&gt;""),AND(AK200&lt;&gt;"",AL200="")),"违规：第二批价格与股数须成对填写",IF(OR(AND(AM200="",AN200&lt;&gt;""),AND(AM200&lt;&gt;"",AN200="")),"违规：第三批价格与股数须成对填写",IF(AND(OR(AM200&lt;&gt;"",AN200&lt;&gt;""),OR(AK200="",AL200="")),"违规：必须先完成第二批",IF(OR(H200&lt;=0,H200&lt;&gt;INT(H200),MOD(H200,100)&lt;&gt;0,AND(AL200&lt;&gt;"",OR(AL200&lt;=0,AL200&lt;&gt;INT(AL200),MOD(AL200,100)&lt;&gt;0)),AND(AN200&lt;&gt;"",OR(AN200&lt;=0,AN200&lt;&gt;INT(AN200),MOD(AN200,100)&lt;&gt;0))),"违规：股数须为100股整数倍",IF(AND(OR(AL200&lt;&gt;"",AN200&lt;&gt;""),OR(_LockStatus="已锁仓",_LockStatus="解锁信息不完整")),"违规：锁仓期间禁止加仓",IF(AQ200&gt;C200*D200,"违规：超过单笔风险上限",IF(SUM($AQ$2:$AQ$201)&gt;账户数据!$B$7,"违规：超过账户风险上限","通过")))))))))</f>
        <v/>
      </c>
    </row>
    <row r="201" ht="17" spans="1:44">
      <c r="A201" s="2"/>
      <c r="B201" s="2"/>
      <c r="C201" s="10"/>
      <c r="D201" s="6"/>
      <c r="E201" s="10"/>
      <c r="F201" s="8" t="str">
        <f t="shared" si="70"/>
        <v/>
      </c>
      <c r="G201" s="8" t="str">
        <f ca="1"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COUNTIFS(持仓跟踪!$A$2:$A$497,"止损计划",持仓跟踪!$B$2:$B$497,A201,持仓跟踪!$AC$2:$AC$497,"计划有效")=0,"禁止开仓：请先填写止损计划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1" s="2"/>
      <c r="I201" s="15"/>
      <c r="J201" s="10"/>
      <c r="K201" s="5" t="str">
        <f>IF(A201="","",IFERROR(LOOKUP(2,1/((持仓跟踪!$B$2:$B$497=A201)*(持仓跟踪!$X$2:$X$497="执行卖出")*(持仓跟踪!$Y$2:$Y$497&lt;&gt;"")),持仓跟踪!$Y$2:$Y$497),""))</f>
        <v/>
      </c>
      <c r="L201" s="8" t="str">
        <f>IF(A201="","",IFERROR(LOOKUP(2,1/((持仓跟踪!$B$2:$B$497=A201)*(持仓跟踪!$X$2:$X$497="执行卖出")*(持仓跟踪!$Z$2:$Z$497&lt;&gt;"")),持仓跟踪!$Z$2:$Z$497),""))</f>
        <v/>
      </c>
      <c r="M201" s="23" t="str">
        <f>IF(A201="","",IFERROR(LOOKUP(2,1/((持仓跟踪!$B$2:$B$497=A201)*(持仓跟踪!$X$2:$X$497="执行卖出")*(持仓跟踪!$H$2:$H$497&lt;&gt;"")),持仓跟踪!$H$2:$H$497),""))</f>
        <v/>
      </c>
      <c r="N201" s="10"/>
      <c r="O201" s="10"/>
      <c r="P201" s="5" t="str">
        <f>IF(A201="","",IFERROR(LOOKUP(2,1/((持仓跟踪!$B$2:$B$497=A201)*(持仓跟踪!$X$2:$X$497="执行卖出")*(持仓跟踪!$AA$2:$AA$497&lt;&gt;"")),持仓跟踪!$AA$2:$AA$497),""))</f>
        <v/>
      </c>
      <c r="Q201" s="2"/>
      <c r="R201" s="2"/>
      <c r="S201" s="2"/>
      <c r="T201" s="2"/>
      <c r="U201" s="7" t="str">
        <f t="shared" si="71"/>
        <v/>
      </c>
      <c r="V201" s="7" t="str">
        <f t="shared" si="72"/>
        <v/>
      </c>
      <c r="W201" s="22" t="str">
        <f t="shared" si="73"/>
        <v/>
      </c>
      <c r="X201" s="5" t="str">
        <f t="shared" si="74"/>
        <v/>
      </c>
      <c r="Y201" s="7" t="str">
        <f t="shared" si="75"/>
        <v/>
      </c>
      <c r="Z201" s="7" t="str">
        <f>IF(OR(AE201="",多次统计数据!$B$8=""),"",AE201-多次统计数据!$B$8)</f>
        <v/>
      </c>
      <c r="AA201" s="11" t="str">
        <f t="shared" si="76"/>
        <v/>
      </c>
      <c r="AB201" s="7" t="str">
        <f>IF(OR(A201="",多次统计数据!$B$8="",多次统计数据!$B$6&lt;=0,多次统计数据!$B$6&gt;=1),"",1-POWER(1+多次统计数据!$B$8,-多次统计数据!$B$6/(1-多次统计数据!$B$6)))</f>
        <v/>
      </c>
      <c r="AC201" s="8" t="str">
        <f>IF(OR(AB201="",多次统计数据!$B$9=""),"",IF(多次统计数据!$B$9&lt;AB201,"低于上限","达到或超过上限"))</f>
        <v/>
      </c>
      <c r="AD201" s="2"/>
      <c r="AE201" s="7" t="str">
        <f t="shared" si="77"/>
        <v/>
      </c>
      <c r="AG201" s="2"/>
      <c r="AH201" s="2"/>
      <c r="AI201" s="2"/>
      <c r="AJ201" s="8" t="str">
        <f t="shared" si="78"/>
        <v/>
      </c>
      <c r="AK201" s="10"/>
      <c r="AL201" s="12"/>
      <c r="AM201" s="10"/>
      <c r="AN201" s="12"/>
      <c r="AO201" s="5" t="str">
        <f t="shared" si="79"/>
        <v/>
      </c>
      <c r="AP201" s="11" t="str">
        <f t="shared" si="80"/>
        <v/>
      </c>
      <c r="AQ201" s="5" t="str">
        <f>IF(A201="","",IF(M201&lt;&gt;"",0,IF(OR(H201="",N201=""),"",MAX(E201-MAX(N201,IFERROR(SUMPRODUCT(MAX(((持仓跟踪!$A$2:$A$497="每日跟踪")*(持仓跟踪!$B$2:$B$497=A201))*持仓跟踪!$S$2:$S$497)),0)),0)*H201+IF(OR(AK201="",AL201=""),0,MAX(AK201-MAX(N201,IFERROR(SUMPRODUCT(MAX(((持仓跟踪!$A$2:$A$497="每日跟踪")*(持仓跟踪!$B$2:$B$497=A201))*持仓跟踪!$S$2:$S$497)),0)),0)*AL201)+IF(OR(AM201="",AN201=""),0,MAX(AM201-MAX(N201,IFERROR(SUMPRODUCT(MAX(((持仓跟踪!$A$2:$A$497="每日跟踪")*(持仓跟踪!$B$2:$B$497=A201))*持仓跟踪!$S$2:$S$497)),0)),0)*AN201))))</f>
        <v/>
      </c>
      <c r="AR201" s="8" t="str">
        <f ca="1">IF(A201="","",IF(OR(E201="",H201=""),"违规：第一批价格或股数缺失",IF(OR(AND(AK201="",AL201&lt;&gt;""),AND(AK201&lt;&gt;"",AL201="")),"违规：第二批价格与股数须成对填写",IF(OR(AND(AM201="",AN201&lt;&gt;""),AND(AM201&lt;&gt;"",AN201="")),"违规：第三批价格与股数须成对填写",IF(AND(OR(AM201&lt;&gt;"",AN201&lt;&gt;""),OR(AK201="",AL201="")),"违规：必须先完成第二批",IF(OR(H201&lt;=0,H201&lt;&gt;INT(H201),MOD(H201,100)&lt;&gt;0,AND(AL201&lt;&gt;"",OR(AL201&lt;=0,AL201&lt;&gt;INT(AL201),MOD(AL201,100)&lt;&gt;0)),AND(AN201&lt;&gt;"",OR(AN201&lt;=0,AN201&lt;&gt;INT(AN201),MOD(AN201,100)&lt;&gt;0))),"违规：股数须为100股整数倍",IF(AND(OR(AL201&lt;&gt;"",AN201&lt;&gt;""),OR(_LockStatus="已锁仓",_LockStatus="解锁信息不完整")),"违规：锁仓期间禁止加仓",IF(AQ201&gt;C201*D201,"违规：超过单笔风险上限",IF(SUM($AQ$2:$AQ$201)&gt;账户数据!$B$7,"违规：超过账户风险上限","通过")))))))))</f>
        <v/>
      </c>
    </row>
  </sheetData>
  <conditionalFormatting sqref="G2:G201">
    <cfRule type="expression" dxfId="0" priority="10">
      <formula>$G2="禁止开仓"</formula>
    </cfRule>
    <cfRule type="expression" dxfId="1" priority="11">
      <formula>$G2="允许开仓"</formula>
    </cfRule>
    <cfRule type="expression" dxfId="0" priority="12">
      <formula>LEFT($G2,4)="禁止开仓"</formula>
    </cfRule>
    <cfRule type="expression" dxfId="2" priority="13">
      <formula>$G2="允许开仓（接近锁仓）"</formula>
    </cfRule>
    <cfRule type="expression" dxfId="1" priority="14">
      <formula>$G2="允许开仓"</formula>
    </cfRule>
  </conditionalFormatting>
  <conditionalFormatting sqref="W2:W201">
    <cfRule type="cellIs" dxfId="2" priority="3" operator="lessThan">
      <formula>2</formula>
    </cfRule>
  </conditionalFormatting>
  <conditionalFormatting sqref="X2:X201">
    <cfRule type="cellIs" dxfId="1" priority="1" operator="greaterThan">
      <formula>0</formula>
    </cfRule>
    <cfRule type="cellIs" dxfId="0" priority="2" operator="lessThan">
      <formula>0</formula>
    </cfRule>
  </conditionalFormatting>
  <conditionalFormatting sqref="Y2:Y201">
    <cfRule type="cellIs" dxfId="1" priority="6" operator="greaterThan">
      <formula>0</formula>
    </cfRule>
    <cfRule type="cellIs" dxfId="0" priority="7" operator="lessThan">
      <formula>0</formula>
    </cfRule>
  </conditionalFormatting>
  <conditionalFormatting sqref="AC2:AC201">
    <cfRule type="expression" dxfId="0" priority="4">
      <formula>$AC2="达到或超过上限"</formula>
    </cfRule>
    <cfRule type="expression" dxfId="1" priority="5">
      <formula>$AC2="低于上限"</formula>
    </cfRule>
  </conditionalFormatting>
  <conditionalFormatting sqref="AE2:AE201">
    <cfRule type="cellIs" dxfId="1" priority="8" operator="greaterThan">
      <formula>0</formula>
    </cfRule>
    <cfRule type="cellIs" dxfId="0" priority="9" operator="lessThan">
      <formula>0</formula>
    </cfRule>
  </conditionalFormatting>
  <conditionalFormatting sqref="AJ2:AJ201">
    <cfRule type="expression" dxfId="2" priority="15">
      <formula>$AJ2="周期与交易预期不匹配，请重新确认"</formula>
    </cfRule>
    <cfRule type="expression" dxfId="1" priority="16">
      <formula>$AJ2="匹配"</formula>
    </cfRule>
  </conditionalFormatting>
  <conditionalFormatting sqref="AR2:AR201">
    <cfRule type="expression" dxfId="0" priority="17">
      <formula>LEFT($AR2,2)="违规"</formula>
    </cfRule>
    <cfRule type="expression" dxfId="1" priority="18">
      <formula>$AR2="通过"</formula>
    </cfRule>
  </conditionalFormatting>
  <dataValidations count="14">
    <dataValidation type="decimal" operator="greaterThan" allowBlank="1" sqref="C2 C4:C201 E2:E201 N2:N201 J2:K201">
      <formula1>0</formula1>
    </dataValidation>
    <dataValidation type="decimal" operator="between" allowBlank="1" sqref="D2:D201">
      <formula1>0</formula1>
      <formula2>1</formula2>
    </dataValidation>
    <dataValidation type="custom" allowBlank="1" showErrorMessage="1" errorTitle="当前禁止开仓、计划不完整或风险超限" error="请完成解锁、止损计划和交易预期，确保股数为100股整数倍，且单笔及账户风险均未超过上限" sqref="H2:H201">
      <formula1>OR(H2="",AND(_LockStatus&lt;&gt;"已锁仓",_LockStatus&lt;&gt;"解锁信息不完整",AG2&lt;&gt;"",AH2&lt;&gt;"",AI2&lt;&gt;"",COUNTIFS(_TrackType,"止损计划",_TrackTradeId,A2,_TrackRule,"计划有效")&gt;0,ISNUMBER(H2),H2&gt;0,H2=INT(H2),MOD(H2,100)=0,AQ2&lt;=C2*D2,SUM($AQ$2:$AQ$201)&lt;=_AccountRiskLimit))</formula1>
    </dataValidation>
    <dataValidation type="date" operator="between" allowBlank="1" sqref="I2:I201">
      <formula1>DATE(2000,1,1)</formula1>
      <formula2>DATE(2100,12,31)</formula2>
    </dataValidation>
    <dataValidation type="custom" allowBlank="1" sqref="L2:L201">
      <formula1>OR(L2="",L2=H2)</formula1>
    </dataValidation>
    <dataValidation type="custom" allowBlank="1" sqref="M2:M201">
      <formula1>OR(M2="",AND(ISNUMBER(M2),M2&gt;=I2))</formula1>
    </dataValidation>
    <dataValidation type="list" allowBlank="1" sqref="AD2:AD201">
      <formula1>"1-差,2-较差,3-一般,4-良好,5-优秀"</formula1>
    </dataValidation>
    <dataValidation type="list" allowBlank="1" showErrorMessage="1" errorTitle="交易预期无效" error="请从短期博反弹、突破冲新高、趋势波段中选择" sqref="AG2:AG201">
      <formula1>"短期博反弹,突破冲新高,趋势波段"</formula1>
    </dataValidation>
    <dataValidation type="list" allowBlank="1" showErrorMessage="1" errorTitle="预期持有周期无效" error="请从预设的交易日范围中选择" sqref="AH2:AH201">
      <formula1>"1～3个交易日,4～10个交易日,11～20个交易日,21～60个交易日,60个交易日以上"</formula1>
    </dataValidation>
    <dataValidation type="custom" allowBlank="1" showErrorMessage="1" errorTitle="第二批买入价无效" error="请填写大于0的价格；删除分仓时先删除股数" sqref="AK2:AK201">
      <formula1>OR(AK2="",AND(ISNUMBER(AK2),AK2&gt;0))</formula1>
    </dataValidation>
    <dataValidation type="custom" allowBlank="1" showErrorMessage="1" errorTitle="第二批加仓被阻止" error="请先填写第二批价格并确认已解锁；股数必须为100股整数倍，且加仓后不能超过单笔或账户风险上限" sqref="AL2:AL201">
      <formula1>OR(AL2="",AND(AK2&lt;&gt;"",ISNUMBER(AL2),AL2&gt;0,AL2=INT(AL2),MOD(AL2,100)=0,_LockStatus&lt;&gt;"已锁仓",_LockStatus&lt;&gt;"解锁信息不完整",AQ2&lt;=C2*D2,SUM($AQ$2:$AQ$201)&lt;=_AccountRiskLimit))</formula1>
    </dataValidation>
    <dataValidation type="custom" allowBlank="1" showErrorMessage="1" errorTitle="第三批买入价无效" error="请先完整填写第二批，再填写大于0的第三批价格" sqref="AM2:AM201">
      <formula1>OR(AM2="",AND(ISNUMBER(AM2),AM2&gt;0,AND(AK2&lt;&gt;"",AL2&lt;&gt;"")))</formula1>
    </dataValidation>
    <dataValidation type="custom" allowBlank="1" showErrorMessage="1" errorTitle="第三批加仓被阻止" error="请先完整填写前两批并确认已解锁；股数必须为100股整数倍，且加仓后不能超过单笔或账户风险上限" sqref="AN2:AN201">
      <formula1>OR(AN2="",AND(AK2&lt;&gt;"",AL2&lt;&gt;"",AM2&lt;&gt;"",ISNUMBER(AN2),AN2&gt;0,AN2=INT(AN2),MOD(AN2,100)=0,_LockStatus&lt;&gt;"已锁仓",_LockStatus&lt;&gt;"解锁信息不完整",AQ2&lt;=C2*D2,SUM($AQ$2:$AQ$201)&lt;=_AccountRiskLimit))</formula1>
    </dataValidation>
    <dataValidation type="decimal" operator="greaterThanOrEqual" allowBlank="1" sqref="O2:P201">
      <formula1>0</formula1>
    </dataValidation>
  </dataValidations>
  <pageMargins left="0.75" right="0.75" top="1" bottom="1" header="0.5" footer="0.5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97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A2" sqref="A2:B86 D2:G2 H3:M8 X8:Y8 D9:G9 H10:M14 H15:L33 H34:J34 M16:M34 H35:K36 M36 H37:J38 L37:M38 H39:L41 H42:J42 H43:L45 H46:J46 M40:M46 H47:L48 H49:M55 H56:L56 H57:M67 H68:L68 H69:J75 K69:M78 H76:I78 D77:F77 H79:M84 X84:Y84 D85:G85 H86:K86 H87:J87 A88:B341 H88:K88 H89:J90 L86:L89 H91:K91 H92:J92 H93:K95 M86:M93 D96 H96:J96 H97:K98 M95:M98 H99:J111 L99:M111 D112:F112 H113:J123 M113:M119 M121 L113:L122 H124:I124 H125:J128 L124:L126 L127:M130 H129:I129 H130:J143 M132:M133 L132:L134 L135:M136 L139:M139 M141 L141:L142 H144:I144 K113:K144 H145:K145 H146:I146 H147:M147 H148:L148 H149:K151 H152:J152 H153:M157 H158:L158 H159:K160 H161:L161 H162:M165 D166:F166 H166:L166 H167:M167 H168:K169 H170:J171 H172:M172 H173:K173 H174:J174 H175:K175 H176:J176 H177:L177 H178:M178 H179:K180 H181:M181 H182:K184 H185:L185 H186:M186 H187:L188 H189:K189 H190:L195 H196:K203 H204:J204 H205:K207 X207:Y207 D208:G208 H209:K209 H210:L210 H211:K212 H213:M214 H215:L215 H216:M216 H217:J217 H218:M218 H219:L221 H222:K222 H223:L225 H226:J226 H227:K228 H229:M229 H230:J231 H232:M232 H233:K233 H234:J234 H235:M235 H236:L236 H237:J237 H238:I246 K238:L239 K240:M241 K245:M245 H247:J247 H248:I253 H254:K256 H257:I263 K262 H264:K269 H270:I271 K271 H272:K272 H273:I273 H274:J275 H276:I299 K276 K278:K279 K284:K285 L287 K289:L289 K292 H300:M300 H301:L301 H302:I302 K302:M302 H303:L303 H304:K304 H305:M307 H308:L308 H309:K309 H310:J310 H311:L311 H312:K313 H314:L314 H315:J315 H316:L316 H317:K319 H320:L320 H321:K321 H322:L322 H323:J323 H324:K324 H325:J329 X329:Y329 D330:G330 H331:I331 X331:Y331 D332:G332 H333:I333 X333:Y333 D334:G334 H335:I335 X335:Y335 D336:G336 H337:I337 X337:Y337 D338:G338 H339:I339 X339:Y339 D340:G340 H341:I341 X341:Y341"/>
    </sheetView>
  </sheetViews>
  <sheetFormatPr defaultColWidth="9" defaultRowHeight="16.8"/>
  <cols>
    <col min="1" max="3" width="14" customWidth="1"/>
    <col min="4" max="4" width="15" customWidth="1"/>
    <col min="5" max="5" width="12" customWidth="1"/>
    <col min="6" max="6" width="16" customWidth="1"/>
    <col min="7" max="7" width="28" customWidth="1"/>
    <col min="8" max="8" width="13" customWidth="1"/>
    <col min="9" max="9" width="12" customWidth="1"/>
    <col min="10" max="10" width="14" customWidth="1"/>
    <col min="11" max="11" width="28" customWidth="1"/>
    <col min="12" max="12" width="16" customWidth="1"/>
    <col min="13" max="13" width="30" customWidth="1"/>
    <col min="14" max="14" width="13" customWidth="1"/>
    <col min="15" max="15" width="16" customWidth="1"/>
    <col min="16" max="16" width="18" customWidth="1"/>
    <col min="17" max="17" width="15" customWidth="1"/>
    <col min="18" max="19" width="16" customWidth="1"/>
    <col min="20" max="22" width="18" customWidth="1"/>
    <col min="23" max="23" width="24" customWidth="1"/>
    <col min="24" max="25" width="14" customWidth="1"/>
    <col min="26" max="26" width="16" customWidth="1"/>
    <col min="27" max="27" width="14" customWidth="1"/>
    <col min="28" max="28" width="26" customWidth="1"/>
    <col min="29" max="29" width="28" customWidth="1"/>
  </cols>
  <sheetData>
    <row r="1" ht="42" customHeight="1" spans="1:29">
      <c r="A1" s="18" t="s">
        <v>45</v>
      </c>
      <c r="B1" s="18" t="s">
        <v>0</v>
      </c>
      <c r="C1" s="18" t="s">
        <v>1</v>
      </c>
      <c r="D1" s="18" t="s">
        <v>46</v>
      </c>
      <c r="E1" s="18" t="s">
        <v>47</v>
      </c>
      <c r="F1" s="18" t="s">
        <v>48</v>
      </c>
      <c r="G1" s="18" t="s">
        <v>49</v>
      </c>
      <c r="H1" s="18" t="s">
        <v>50</v>
      </c>
      <c r="I1" s="18" t="s">
        <v>51</v>
      </c>
      <c r="J1" s="18" t="s">
        <v>52</v>
      </c>
      <c r="K1" s="18" t="s">
        <v>53</v>
      </c>
      <c r="L1" s="18" t="s">
        <v>54</v>
      </c>
      <c r="M1" s="18" t="s">
        <v>55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8" t="s">
        <v>61</v>
      </c>
      <c r="T1" s="18" t="s">
        <v>62</v>
      </c>
      <c r="U1" s="18" t="s">
        <v>63</v>
      </c>
      <c r="V1" s="18" t="s">
        <v>64</v>
      </c>
      <c r="W1" s="18" t="s">
        <v>65</v>
      </c>
      <c r="X1" s="18" t="s">
        <v>66</v>
      </c>
      <c r="Y1" s="18" t="s">
        <v>10</v>
      </c>
      <c r="Z1" s="18" t="s">
        <v>67</v>
      </c>
      <c r="AA1" s="18" t="s">
        <v>15</v>
      </c>
      <c r="AB1" s="18" t="s">
        <v>68</v>
      </c>
      <c r="AC1" s="18" t="s">
        <v>69</v>
      </c>
    </row>
    <row r="2" ht="17" spans="1:29">
      <c r="A2" s="2"/>
      <c r="B2" s="2"/>
      <c r="C2" s="8" t="str">
        <f>IF(B2="","",IFERROR(LOOKUP(2,1/(单次交易!$A$2:$A$201=B2),单次交易!$B$2:$B$201),""))</f>
        <v/>
      </c>
      <c r="D2" s="12"/>
      <c r="E2" s="19"/>
      <c r="F2" s="10"/>
      <c r="G2" s="13"/>
      <c r="H2" s="15"/>
      <c r="I2" s="10"/>
      <c r="J2" s="12"/>
      <c r="K2" s="2"/>
      <c r="L2" s="2"/>
      <c r="M2" s="2"/>
      <c r="N2" s="5" t="str">
        <f>IF(B2="","",IFERROR(LOOKUP(2,1/(单次交易!$A$2:$A$201=B2),单次交易!$N$2:$N$201),""))</f>
        <v/>
      </c>
      <c r="O2" s="5" t="str">
        <f t="shared" ref="O2:O65" si="0">IF(A2&lt;&gt;"每日跟踪","",IF(OR(B2="",H2="",I2=""),"",IFERROR(SUMPRODUCT(MAX((($A$2:$A$497="每日跟踪")*($B$2:$B$497=B2)*($H$2:$H$497&lt;=H2))*$I$2:$I$497)),"")))</f>
        <v/>
      </c>
      <c r="P2" s="11" t="str">
        <f t="shared" ref="P2:P65" si="1">IF(A2&lt;&gt;"每日跟踪","",IF(O2="","",IFERROR(SUMPRODUCT(MAX((($A$2:$A$497="止损计划")*($B$2:$B$497=B2)*($E$2:$E$497&lt;=O2))*$D$2:$D$497)),0)))</f>
        <v/>
      </c>
      <c r="Q2" s="5" t="str">
        <f t="shared" ref="Q2:Q65" si="2">IF(A2&lt;&gt;"每日跟踪","",IF(N2="","",MAX(N2,IFERROR(SUMPRODUCT(MAX((($A$2:$A$497="止损计划")*($B$2:$B$497=B2)*($E$2:$E$497&lt;=O2))*$F$2:$F$497)),0))))</f>
        <v/>
      </c>
      <c r="R2" s="10"/>
      <c r="S2" s="5" t="str">
        <f t="shared" ref="S2:S65" si="3">IF(A2&lt;&gt;"每日跟踪","",IF(Q2="","",MAX(Q2,IFERROR(SUMPRODUCT(MAX((($A$2:$A$497="每日跟踪")*($B$2:$B$497=B2)*($H$2:$H$497&lt;=H2))*$R$2:$R$497)),0))))</f>
        <v/>
      </c>
      <c r="T2" s="5" t="str">
        <f t="shared" ref="T2:T65" si="4">IF(A2&lt;&gt;"每日跟踪","",IF(O2="","",IF(COUNTIFS($A$2:$A$497,"止损计划",$B$2:$B$497,B2,$E$2:$E$497,"&gt;"&amp;O2)=0,"",INDEX($E$2:$E$497,MATCH(1,INDEX(($A$2:$A$497="止损计划")*($B$2:$B$497=B2)*($E$2:$E$497&gt;O2),0),0)))))</f>
        <v/>
      </c>
      <c r="U2" s="5" t="str">
        <f t="shared" ref="U2:U65" si="5">IF(OR(A2&lt;&gt;"每日跟踪",T2=""),"",IFERROR(SUMIFS($F$2:$F$497,$A$2:$A$497,"止损计划",$B$2:$B$497,B2,$E$2:$E$497,T2),""))</f>
        <v/>
      </c>
      <c r="V2" s="7" t="str">
        <f t="shared" ref="V2:V65" si="6">IF(OR(A2&lt;&gt;"每日跟踪",T2="",I2="",I2&lt;=0),"",T2/I2-1)</f>
        <v/>
      </c>
      <c r="W2" s="8" t="str">
        <f t="shared" ref="W2:W65" si="7">IF(A2&lt;&gt;"每日跟踪","",IF(OR(I2="",S2=""),"",IF(I2&lt;=S2,"触发止损：应全部卖出","继续观察")))</f>
        <v/>
      </c>
      <c r="X2" s="2"/>
      <c r="Y2" s="10"/>
      <c r="Z2" s="11" t="str">
        <f>IF(X2&lt;&gt;"执行卖出","",IFERROR(LOOKUP(2,1/(单次交易!$A$2:$A$201=B2),单次交易!$AP$2:$AP$201),""))</f>
        <v/>
      </c>
      <c r="AA2" s="10"/>
      <c r="AB2" s="8" t="str">
        <f t="shared" ref="AB2:AB65" si="8">IF(A2&lt;&gt;"每日跟踪","",IF(OR(B2="",H2="",I2="",J2="",K2="",L2="",M2=""),"待补充每日记录",IF(W2="触发止损：应全部卖出",IF(X2&lt;&gt;"执行卖出","违规：触发止损但未执行",IF(Y2="","待补充实际卖出价","卖出记录完整")),IF(X2="","待选择卖出动作",IF(X2="执行卖出",IF(Y2="","待补充实际卖出价","卖出记录完整"),"正常")))))</f>
        <v/>
      </c>
      <c r="AC2" s="8" t="str">
        <f>IF(A2="","",IF(A2="止损计划",IF(OR(B2="",D2="",E2="",F2="",G2=""),"计划不完整",IF(OR(D2&lt;1,D2&lt;&gt;INT(D2)),"阶段序号无效",IF(COUNTIFS($A$2:$A$497,"止损计划",$B$2:$B$497,B2,$D$2:$D$497,D2)&gt;1,"阶段序号重复",IF(E2&lt;=IFERROR(LOOKUP(2,1/(单次交易!$A$2:$A$201=B2),单次交易!$E$2:$E$201),0),"激活价须高于买入价",IF(F2&lt;N2,"止损价不得低于初始止损",IF(F2&gt;E2,"止损价不得高于激活价",IF(AND(COUNTIFS($A$2:$A$497,"止损计划",$B$2:$B$497,B2,$D$2:$D$497,"&lt;"&amp;D2)&gt;0,OR(E2&lt;=SUMPRODUCT(MAX((($A$2:$A$497="止损计划")*($B$2:$B$497=B2)*($D$2:$D$497&lt;D2))*$E$2:$E$497)),F2&lt;SUMPRODUCT(MAX((($A$2:$A$497="止损计划")*($B$2:$B$497=B2)*($D$2:$D$497&lt;D2))*$F$2:$F$497)))),"阶段价格必须逐级提高","计划有效"))))))),IF(A2="每日跟踪",IF(OR(B2="",H2="",I2="",J2=""),"每日数据不完整",IF(COUNTIFS($A$2:$A$497,"每日跟踪",$B$2:$B$497,B2,$H$2:$H$497,H2)&gt;1,"同一交易日期重复",IF(AND(R2&lt;&gt;"",R2&lt;S2),"人工止损无效：不能下调","跟踪有效"))),"记录类型无效")))</f>
        <v/>
      </c>
    </row>
    <row r="3" ht="17" spans="1:29">
      <c r="A3" s="2"/>
      <c r="B3" s="2"/>
      <c r="C3" s="8" t="str">
        <f>IF(B3="","",IFERROR(LOOKUP(2,1/(单次交易!$A$2:$A$201=B3),单次交易!$B$2:$B$201),""))</f>
        <v/>
      </c>
      <c r="D3" s="12"/>
      <c r="E3" s="10"/>
      <c r="F3" s="10"/>
      <c r="G3" s="2"/>
      <c r="H3" s="15"/>
      <c r="I3" s="10"/>
      <c r="J3" s="20"/>
      <c r="K3" s="13"/>
      <c r="L3" s="2"/>
      <c r="M3" s="13"/>
      <c r="N3" s="5" t="str">
        <f>IF(B3="","",IFERROR(LOOKUP(2,1/(单次交易!$A$2:$A$201=B3),单次交易!$N$2:$N$201),""))</f>
        <v/>
      </c>
      <c r="O3" s="5" t="str">
        <f t="shared" si="0"/>
        <v/>
      </c>
      <c r="P3" s="11" t="str">
        <f t="shared" si="1"/>
        <v/>
      </c>
      <c r="Q3" s="5" t="str">
        <f t="shared" si="2"/>
        <v/>
      </c>
      <c r="R3" s="10"/>
      <c r="S3" s="5" t="str">
        <f t="shared" si="3"/>
        <v/>
      </c>
      <c r="T3" s="5" t="str">
        <f t="shared" si="4"/>
        <v/>
      </c>
      <c r="U3" s="5" t="str">
        <f t="shared" si="5"/>
        <v/>
      </c>
      <c r="V3" s="7" t="str">
        <f t="shared" si="6"/>
        <v/>
      </c>
      <c r="W3" s="8" t="str">
        <f t="shared" si="7"/>
        <v/>
      </c>
      <c r="X3" s="2"/>
      <c r="Y3" s="10"/>
      <c r="Z3" s="11" t="str">
        <f>IF(X3&lt;&gt;"执行卖出","",IFERROR(LOOKUP(2,1/(单次交易!$A$2:$A$201=B3),单次交易!$AP$2:$AP$201),""))</f>
        <v/>
      </c>
      <c r="AA3" s="10"/>
      <c r="AB3" s="8" t="str">
        <f t="shared" si="8"/>
        <v/>
      </c>
      <c r="AC3" s="8" t="str">
        <f>IF(A3="","",IF(A3="止损计划",IF(OR(B3="",D3="",E3="",F3="",G3=""),"计划不完整",IF(OR(D3&lt;1,D3&lt;&gt;INT(D3)),"阶段序号无效",IF(COUNTIFS($A$2:$A$497,"止损计划",$B$2:$B$497,B3,$D$2:$D$497,D3)&gt;1,"阶段序号重复",IF(E3&lt;=IFERROR(LOOKUP(2,1/(单次交易!$A$2:$A$201=B3),单次交易!$E$2:$E$201),0),"激活价须高于买入价",IF(F3&lt;N3,"止损价不得低于初始止损",IF(F3&gt;E3,"止损价不得高于激活价",IF(AND(COUNTIFS($A$2:$A$497,"止损计划",$B$2:$B$497,B3,$D$2:$D$497,"&lt;"&amp;D3)&gt;0,OR(E3&lt;=SUMPRODUCT(MAX((($A$2:$A$497="止损计划")*($B$2:$B$497=B3)*($D$2:$D$497&lt;D3))*$E$2:$E$497)),F3&lt;SUMPRODUCT(MAX((($A$2:$A$497="止损计划")*($B$2:$B$497=B3)*($D$2:$D$497&lt;D3))*$F$2:$F$497)))),"阶段价格必须逐级提高","计划有效"))))))),IF(A3="每日跟踪",IF(OR(B3="",H3="",I3="",J3=""),"每日数据不完整",IF(COUNTIFS($A$2:$A$497,"每日跟踪",$B$2:$B$497,B3,$H$2:$H$497,H3)&gt;1,"同一交易日期重复",IF(AND(R3&lt;&gt;"",R3&lt;S3),"人工止损无效：不能下调","跟踪有效"))),"记录类型无效")))</f>
        <v/>
      </c>
    </row>
    <row r="4" ht="17" spans="1:29">
      <c r="A4" s="2"/>
      <c r="B4" s="2"/>
      <c r="C4" s="8" t="str">
        <f>IF(B4="","",IFERROR(LOOKUP(2,1/(单次交易!$A$2:$A$201=B4),单次交易!$B$2:$B$201),""))</f>
        <v/>
      </c>
      <c r="D4" s="12"/>
      <c r="E4" s="10"/>
      <c r="F4" s="10"/>
      <c r="G4" s="2"/>
      <c r="H4" s="15"/>
      <c r="I4" s="10"/>
      <c r="J4" s="20"/>
      <c r="K4" s="13"/>
      <c r="L4" s="2"/>
      <c r="M4" s="13"/>
      <c r="N4" s="5" t="str">
        <f>IF(B4="","",IFERROR(LOOKUP(2,1/(单次交易!$A$2:$A$201=B4),单次交易!$N$2:$N$201),""))</f>
        <v/>
      </c>
      <c r="O4" s="5" t="str">
        <f t="shared" si="0"/>
        <v/>
      </c>
      <c r="P4" s="11" t="str">
        <f t="shared" si="1"/>
        <v/>
      </c>
      <c r="Q4" s="5" t="str">
        <f t="shared" si="2"/>
        <v/>
      </c>
      <c r="R4" s="10"/>
      <c r="S4" s="5" t="str">
        <f t="shared" si="3"/>
        <v/>
      </c>
      <c r="T4" s="5" t="str">
        <f t="shared" si="4"/>
        <v/>
      </c>
      <c r="U4" s="5" t="str">
        <f t="shared" si="5"/>
        <v/>
      </c>
      <c r="V4" s="7" t="str">
        <f t="shared" si="6"/>
        <v/>
      </c>
      <c r="W4" s="8" t="str">
        <f t="shared" si="7"/>
        <v/>
      </c>
      <c r="X4" s="2"/>
      <c r="Y4" s="10"/>
      <c r="Z4" s="11" t="str">
        <f>IF(X4&lt;&gt;"执行卖出","",IFERROR(LOOKUP(2,1/(单次交易!$A$2:$A$201=B4),单次交易!$AP$2:$AP$201),""))</f>
        <v/>
      </c>
      <c r="AA4" s="10"/>
      <c r="AB4" s="8" t="str">
        <f t="shared" si="8"/>
        <v/>
      </c>
      <c r="AC4" s="8" t="str">
        <f>IF(A4="","",IF(A4="止损计划",IF(OR(B4="",D4="",E4="",F4="",G4=""),"计划不完整",IF(OR(D4&lt;1,D4&lt;&gt;INT(D4)),"阶段序号无效",IF(COUNTIFS($A$2:$A$497,"止损计划",$B$2:$B$497,B4,$D$2:$D$497,D4)&gt;1,"阶段序号重复",IF(E4&lt;=IFERROR(LOOKUP(2,1/(单次交易!$A$2:$A$201=B4),单次交易!$E$2:$E$201),0),"激活价须高于买入价",IF(F4&lt;N4,"止损价不得低于初始止损",IF(F4&gt;E4,"止损价不得高于激活价",IF(AND(COUNTIFS($A$2:$A$497,"止损计划",$B$2:$B$497,B4,$D$2:$D$497,"&lt;"&amp;D4)&gt;0,OR(E4&lt;=SUMPRODUCT(MAX((($A$2:$A$497="止损计划")*($B$2:$B$497=B4)*($D$2:$D$497&lt;D4))*$E$2:$E$497)),F4&lt;SUMPRODUCT(MAX((($A$2:$A$497="止损计划")*($B$2:$B$497=B4)*($D$2:$D$497&lt;D4))*$F$2:$F$497)))),"阶段价格必须逐级提高","计划有效"))))))),IF(A4="每日跟踪",IF(OR(B4="",H4="",I4="",J4=""),"每日数据不完整",IF(COUNTIFS($A$2:$A$497,"每日跟踪",$B$2:$B$497,B4,$H$2:$H$497,H4)&gt;1,"同一交易日期重复",IF(AND(R4&lt;&gt;"",R4&lt;S4),"人工止损无效：不能下调","跟踪有效"))),"记录类型无效")))</f>
        <v/>
      </c>
    </row>
    <row r="5" ht="17" spans="1:29">
      <c r="A5" s="2"/>
      <c r="B5" s="2"/>
      <c r="C5" s="8" t="str">
        <f>IF(B5="","",IFERROR(LOOKUP(2,1/(单次交易!$A$2:$A$201=B5),单次交易!$B$2:$B$201),""))</f>
        <v/>
      </c>
      <c r="D5" s="12"/>
      <c r="E5" s="10"/>
      <c r="F5" s="10"/>
      <c r="G5" s="2"/>
      <c r="H5" s="15"/>
      <c r="I5" s="10"/>
      <c r="J5" s="20"/>
      <c r="K5" s="13"/>
      <c r="L5" s="2"/>
      <c r="M5" s="13"/>
      <c r="N5" s="5" t="str">
        <f>IF(B5="","",IFERROR(LOOKUP(2,1/(单次交易!$A$2:$A$201=B5),单次交易!$N$2:$N$201),""))</f>
        <v/>
      </c>
      <c r="O5" s="5" t="str">
        <f t="shared" si="0"/>
        <v/>
      </c>
      <c r="P5" s="11" t="str">
        <f t="shared" si="1"/>
        <v/>
      </c>
      <c r="Q5" s="5" t="str">
        <f t="shared" si="2"/>
        <v/>
      </c>
      <c r="R5" s="10"/>
      <c r="S5" s="5" t="str">
        <f t="shared" si="3"/>
        <v/>
      </c>
      <c r="T5" s="5" t="str">
        <f t="shared" si="4"/>
        <v/>
      </c>
      <c r="U5" s="5" t="str">
        <f t="shared" si="5"/>
        <v/>
      </c>
      <c r="V5" s="7" t="str">
        <f t="shared" si="6"/>
        <v/>
      </c>
      <c r="W5" s="8" t="str">
        <f t="shared" si="7"/>
        <v/>
      </c>
      <c r="X5" s="2"/>
      <c r="Y5" s="10"/>
      <c r="Z5" s="11" t="str">
        <f>IF(X5&lt;&gt;"执行卖出","",IFERROR(LOOKUP(2,1/(单次交易!$A$2:$A$201=B5),单次交易!$AP$2:$AP$201),""))</f>
        <v/>
      </c>
      <c r="AA5" s="10"/>
      <c r="AB5" s="8" t="str">
        <f t="shared" si="8"/>
        <v/>
      </c>
      <c r="AC5" s="8" t="str">
        <f>IF(A5="","",IF(A5="止损计划",IF(OR(B5="",D5="",E5="",F5="",G5=""),"计划不完整",IF(OR(D5&lt;1,D5&lt;&gt;INT(D5)),"阶段序号无效",IF(COUNTIFS($A$2:$A$497,"止损计划",$B$2:$B$497,B5,$D$2:$D$497,D5)&gt;1,"阶段序号重复",IF(E5&lt;=IFERROR(LOOKUP(2,1/(单次交易!$A$2:$A$201=B5),单次交易!$E$2:$E$201),0),"激活价须高于买入价",IF(F5&lt;N5,"止损价不得低于初始止损",IF(F5&gt;E5,"止损价不得高于激活价",IF(AND(COUNTIFS($A$2:$A$497,"止损计划",$B$2:$B$497,B5,$D$2:$D$497,"&lt;"&amp;D5)&gt;0,OR(E5&lt;=SUMPRODUCT(MAX((($A$2:$A$497="止损计划")*($B$2:$B$497=B5)*($D$2:$D$497&lt;D5))*$E$2:$E$497)),F5&lt;SUMPRODUCT(MAX((($A$2:$A$497="止损计划")*($B$2:$B$497=B5)*($D$2:$D$497&lt;D5))*$F$2:$F$497)))),"阶段价格必须逐级提高","计划有效"))))))),IF(A5="每日跟踪",IF(OR(B5="",H5="",I5="",J5=""),"每日数据不完整",IF(COUNTIFS($A$2:$A$497,"每日跟踪",$B$2:$B$497,B5,$H$2:$H$497,H5)&gt;1,"同一交易日期重复",IF(AND(R5&lt;&gt;"",R5&lt;S5),"人工止损无效：不能下调","跟踪有效"))),"记录类型无效")))</f>
        <v/>
      </c>
    </row>
    <row r="6" ht="17" spans="1:29">
      <c r="A6" s="2"/>
      <c r="B6" s="2"/>
      <c r="C6" s="8" t="str">
        <f>IF(B6="","",IFERROR(LOOKUP(2,1/(单次交易!$A$2:$A$201=B6),单次交易!$B$2:$B$201),""))</f>
        <v/>
      </c>
      <c r="D6" s="12"/>
      <c r="E6" s="10"/>
      <c r="F6" s="10"/>
      <c r="G6" s="2"/>
      <c r="H6" s="15"/>
      <c r="I6" s="10"/>
      <c r="J6" s="20"/>
      <c r="K6" s="13"/>
      <c r="L6" s="2"/>
      <c r="M6" s="13"/>
      <c r="N6" s="5" t="str">
        <f>IF(B6="","",IFERROR(LOOKUP(2,1/(单次交易!$A$2:$A$201=B6),单次交易!$N$2:$N$201),""))</f>
        <v/>
      </c>
      <c r="O6" s="5" t="str">
        <f t="shared" si="0"/>
        <v/>
      </c>
      <c r="P6" s="11" t="str">
        <f t="shared" si="1"/>
        <v/>
      </c>
      <c r="Q6" s="5" t="str">
        <f t="shared" si="2"/>
        <v/>
      </c>
      <c r="R6" s="10"/>
      <c r="S6" s="5" t="str">
        <f t="shared" si="3"/>
        <v/>
      </c>
      <c r="T6" s="5" t="str">
        <f t="shared" si="4"/>
        <v/>
      </c>
      <c r="U6" s="5" t="str">
        <f t="shared" si="5"/>
        <v/>
      </c>
      <c r="V6" s="7" t="str">
        <f t="shared" si="6"/>
        <v/>
      </c>
      <c r="W6" s="8" t="str">
        <f t="shared" si="7"/>
        <v/>
      </c>
      <c r="X6" s="2"/>
      <c r="Y6" s="10"/>
      <c r="Z6" s="11" t="str">
        <f>IF(X6&lt;&gt;"执行卖出","",IFERROR(LOOKUP(2,1/(单次交易!$A$2:$A$201=B6),单次交易!$AP$2:$AP$201),""))</f>
        <v/>
      </c>
      <c r="AA6" s="10"/>
      <c r="AB6" s="8" t="str">
        <f t="shared" si="8"/>
        <v/>
      </c>
      <c r="AC6" s="8" t="str">
        <f>IF(A6="","",IF(A6="止损计划",IF(OR(B6="",D6="",E6="",F6="",G6=""),"计划不完整",IF(OR(D6&lt;1,D6&lt;&gt;INT(D6)),"阶段序号无效",IF(COUNTIFS($A$2:$A$497,"止损计划",$B$2:$B$497,B6,$D$2:$D$497,D6)&gt;1,"阶段序号重复",IF(E6&lt;=IFERROR(LOOKUP(2,1/(单次交易!$A$2:$A$201=B6),单次交易!$E$2:$E$201),0),"激活价须高于买入价",IF(F6&lt;N6,"止损价不得低于初始止损",IF(F6&gt;E6,"止损价不得高于激活价",IF(AND(COUNTIFS($A$2:$A$497,"止损计划",$B$2:$B$497,B6,$D$2:$D$497,"&lt;"&amp;D6)&gt;0,OR(E6&lt;=SUMPRODUCT(MAX((($A$2:$A$497="止损计划")*($B$2:$B$497=B6)*($D$2:$D$497&lt;D6))*$E$2:$E$497)),F6&lt;SUMPRODUCT(MAX((($A$2:$A$497="止损计划")*($B$2:$B$497=B6)*($D$2:$D$497&lt;D6))*$F$2:$F$497)))),"阶段价格必须逐级提高","计划有效"))))))),IF(A6="每日跟踪",IF(OR(B6="",H6="",I6="",J6=""),"每日数据不完整",IF(COUNTIFS($A$2:$A$497,"每日跟踪",$B$2:$B$497,B6,$H$2:$H$497,H6)&gt;1,"同一交易日期重复",IF(AND(R6&lt;&gt;"",R6&lt;S6),"人工止损无效：不能下调","跟踪有效"))),"记录类型无效")))</f>
        <v/>
      </c>
    </row>
    <row r="7" ht="17" spans="1:29">
      <c r="A7" s="2"/>
      <c r="B7" s="2"/>
      <c r="C7" s="8" t="str">
        <f>IF(B7="","",IFERROR(LOOKUP(2,1/(单次交易!$A$2:$A$201=B7),单次交易!$B$2:$B$201),""))</f>
        <v/>
      </c>
      <c r="D7" s="12"/>
      <c r="E7" s="10"/>
      <c r="F7" s="10"/>
      <c r="G7" s="2"/>
      <c r="H7" s="15"/>
      <c r="I7" s="10"/>
      <c r="J7" s="20"/>
      <c r="K7" s="13"/>
      <c r="L7" s="2"/>
      <c r="M7" s="13"/>
      <c r="N7" s="5" t="str">
        <f>IF(B7="","",IFERROR(LOOKUP(2,1/(单次交易!$A$2:$A$201=B7),单次交易!$N$2:$N$201),""))</f>
        <v/>
      </c>
      <c r="O7" s="5" t="str">
        <f t="shared" si="0"/>
        <v/>
      </c>
      <c r="P7" s="11" t="str">
        <f t="shared" si="1"/>
        <v/>
      </c>
      <c r="Q7" s="5" t="str">
        <f t="shared" si="2"/>
        <v/>
      </c>
      <c r="R7" s="10"/>
      <c r="S7" s="5" t="str">
        <f t="shared" si="3"/>
        <v/>
      </c>
      <c r="T7" s="5" t="str">
        <f t="shared" si="4"/>
        <v/>
      </c>
      <c r="U7" s="5" t="str">
        <f t="shared" si="5"/>
        <v/>
      </c>
      <c r="V7" s="7" t="str">
        <f t="shared" si="6"/>
        <v/>
      </c>
      <c r="W7" s="8" t="str">
        <f t="shared" si="7"/>
        <v/>
      </c>
      <c r="X7" s="2"/>
      <c r="Y7" s="10"/>
      <c r="Z7" s="11" t="str">
        <f>IF(X7&lt;&gt;"执行卖出","",IFERROR(LOOKUP(2,1/(单次交易!$A$2:$A$201=B7),单次交易!$AP$2:$AP$201),""))</f>
        <v/>
      </c>
      <c r="AA7" s="10"/>
      <c r="AB7" s="8" t="str">
        <f t="shared" si="8"/>
        <v/>
      </c>
      <c r="AC7" s="8" t="str">
        <f>IF(A7="","",IF(A7="止损计划",IF(OR(B7="",D7="",E7="",F7="",G7=""),"计划不完整",IF(OR(D7&lt;1,D7&lt;&gt;INT(D7)),"阶段序号无效",IF(COUNTIFS($A$2:$A$497,"止损计划",$B$2:$B$497,B7,$D$2:$D$497,D7)&gt;1,"阶段序号重复",IF(E7&lt;=IFERROR(LOOKUP(2,1/(单次交易!$A$2:$A$201=B7),单次交易!$E$2:$E$201),0),"激活价须高于买入价",IF(F7&lt;N7,"止损价不得低于初始止损",IF(F7&gt;E7,"止损价不得高于激活价",IF(AND(COUNTIFS($A$2:$A$497,"止损计划",$B$2:$B$497,B7,$D$2:$D$497,"&lt;"&amp;D7)&gt;0,OR(E7&lt;=SUMPRODUCT(MAX((($A$2:$A$497="止损计划")*($B$2:$B$497=B7)*($D$2:$D$497&lt;D7))*$E$2:$E$497)),F7&lt;SUMPRODUCT(MAX((($A$2:$A$497="止损计划")*($B$2:$B$497=B7)*($D$2:$D$497&lt;D7))*$F$2:$F$497)))),"阶段价格必须逐级提高","计划有效"))))))),IF(A7="每日跟踪",IF(OR(B7="",H7="",I7="",J7=""),"每日数据不完整",IF(COUNTIFS($A$2:$A$497,"每日跟踪",$B$2:$B$497,B7,$H$2:$H$497,H7)&gt;1,"同一交易日期重复",IF(AND(R7&lt;&gt;"",R7&lt;S7),"人工止损无效：不能下调","跟踪有效"))),"记录类型无效")))</f>
        <v/>
      </c>
    </row>
    <row r="8" ht="17" spans="1:29">
      <c r="A8" s="2"/>
      <c r="B8" s="2"/>
      <c r="C8" s="8" t="str">
        <f>IF(B8="","",IFERROR(LOOKUP(2,1/(单次交易!$A$2:$A$201=B8),单次交易!$B$2:$B$201),""))</f>
        <v/>
      </c>
      <c r="D8" s="12"/>
      <c r="E8" s="10"/>
      <c r="F8" s="10"/>
      <c r="G8" s="2"/>
      <c r="H8" s="15"/>
      <c r="I8" s="10"/>
      <c r="J8" s="20"/>
      <c r="K8" s="13"/>
      <c r="L8" s="2"/>
      <c r="M8" s="13"/>
      <c r="N8" s="5" t="str">
        <f>IF(B8="","",IFERROR(LOOKUP(2,1/(单次交易!$A$2:$A$201=B8),单次交易!$N$2:$N$201),""))</f>
        <v/>
      </c>
      <c r="O8" s="5" t="str">
        <f t="shared" si="0"/>
        <v/>
      </c>
      <c r="P8" s="11" t="str">
        <f t="shared" si="1"/>
        <v/>
      </c>
      <c r="Q8" s="5" t="str">
        <f t="shared" si="2"/>
        <v/>
      </c>
      <c r="R8" s="10"/>
      <c r="S8" s="5" t="str">
        <f t="shared" si="3"/>
        <v/>
      </c>
      <c r="T8" s="5" t="str">
        <f t="shared" si="4"/>
        <v/>
      </c>
      <c r="U8" s="5" t="str">
        <f t="shared" si="5"/>
        <v/>
      </c>
      <c r="V8" s="7" t="str">
        <f t="shared" si="6"/>
        <v/>
      </c>
      <c r="W8" s="8" t="str">
        <f t="shared" si="7"/>
        <v/>
      </c>
      <c r="X8" s="2"/>
      <c r="Y8" s="10"/>
      <c r="Z8" s="11" t="str">
        <f>IF(X8&lt;&gt;"执行卖出","",IFERROR(LOOKUP(2,1/(单次交易!$A$2:$A$201=B8),单次交易!$AP$2:$AP$201),""))</f>
        <v/>
      </c>
      <c r="AA8" s="10"/>
      <c r="AB8" s="8" t="str">
        <f t="shared" si="8"/>
        <v/>
      </c>
      <c r="AC8" s="8" t="str">
        <f>IF(A8="","",IF(A8="止损计划",IF(OR(B8="",D8="",E8="",F8="",G8=""),"计划不完整",IF(OR(D8&lt;1,D8&lt;&gt;INT(D8)),"阶段序号无效",IF(COUNTIFS($A$2:$A$497,"止损计划",$B$2:$B$497,B8,$D$2:$D$497,D8)&gt;1,"阶段序号重复",IF(E8&lt;=IFERROR(LOOKUP(2,1/(单次交易!$A$2:$A$201=B8),单次交易!$E$2:$E$201),0),"激活价须高于买入价",IF(F8&lt;N8,"止损价不得低于初始止损",IF(F8&gt;E8,"止损价不得高于激活价",IF(AND(COUNTIFS($A$2:$A$497,"止损计划",$B$2:$B$497,B8,$D$2:$D$497,"&lt;"&amp;D8)&gt;0,OR(E8&lt;=SUMPRODUCT(MAX((($A$2:$A$497="止损计划")*($B$2:$B$497=B8)*($D$2:$D$497&lt;D8))*$E$2:$E$497)),F8&lt;SUMPRODUCT(MAX((($A$2:$A$497="止损计划")*($B$2:$B$497=B8)*($D$2:$D$497&lt;D8))*$F$2:$F$497)))),"阶段价格必须逐级提高","计划有效"))))))),IF(A8="每日跟踪",IF(OR(B8="",H8="",I8="",J8=""),"每日数据不完整",IF(COUNTIFS($A$2:$A$497,"每日跟踪",$B$2:$B$497,B8,$H$2:$H$497,H8)&gt;1,"同一交易日期重复",IF(AND(R8&lt;&gt;"",R8&lt;S8),"人工止损无效：不能下调","跟踪有效"))),"记录类型无效")))</f>
        <v/>
      </c>
    </row>
    <row r="9" ht="17" spans="1:29">
      <c r="A9" s="2"/>
      <c r="B9" s="2"/>
      <c r="C9" s="8" t="str">
        <f>IF(B9="","",IFERROR(LOOKUP(2,1/(单次交易!$A$2:$A$201=B9),单次交易!$B$2:$B$201),""))</f>
        <v/>
      </c>
      <c r="D9" s="12"/>
      <c r="E9" s="10"/>
      <c r="F9" s="10"/>
      <c r="G9" s="13"/>
      <c r="H9" s="15"/>
      <c r="I9" s="10"/>
      <c r="J9" s="12"/>
      <c r="K9" s="2"/>
      <c r="L9" s="2"/>
      <c r="M9" s="2"/>
      <c r="N9" s="5" t="str">
        <f>IF(B9="","",IFERROR(LOOKUP(2,1/(单次交易!$A$2:$A$201=B9),单次交易!$N$2:$N$201),""))</f>
        <v/>
      </c>
      <c r="O9" s="5" t="str">
        <f t="shared" si="0"/>
        <v/>
      </c>
      <c r="P9" s="11" t="str">
        <f t="shared" si="1"/>
        <v/>
      </c>
      <c r="Q9" s="5" t="str">
        <f t="shared" si="2"/>
        <v/>
      </c>
      <c r="R9" s="10"/>
      <c r="S9" s="5" t="str">
        <f t="shared" si="3"/>
        <v/>
      </c>
      <c r="T9" s="5" t="str">
        <f t="shared" si="4"/>
        <v/>
      </c>
      <c r="U9" s="5" t="str">
        <f t="shared" si="5"/>
        <v/>
      </c>
      <c r="V9" s="7" t="str">
        <f t="shared" si="6"/>
        <v/>
      </c>
      <c r="W9" s="8" t="str">
        <f t="shared" si="7"/>
        <v/>
      </c>
      <c r="X9" s="2"/>
      <c r="Y9" s="10"/>
      <c r="Z9" s="11" t="str">
        <f>IF(X9&lt;&gt;"执行卖出","",IFERROR(LOOKUP(2,1/(单次交易!$A$2:$A$201=B9),单次交易!$AP$2:$AP$201),""))</f>
        <v/>
      </c>
      <c r="AA9" s="10"/>
      <c r="AB9" s="8" t="str">
        <f t="shared" si="8"/>
        <v/>
      </c>
      <c r="AC9" s="8" t="str">
        <f>IF(A9="","",IF(A9="止损计划",IF(OR(B9="",D9="",E9="",F9="",G9=""),"计划不完整",IF(OR(D9&lt;1,D9&lt;&gt;INT(D9)),"阶段序号无效",IF(COUNTIFS($A$2:$A$497,"止损计划",$B$2:$B$497,B9,$D$2:$D$497,D9)&gt;1,"阶段序号重复",IF(E9&lt;=IFERROR(LOOKUP(2,1/(单次交易!$A$2:$A$201=B9),单次交易!$E$2:$E$201),0),"激活价须高于买入价",IF(F9&lt;N9,"止损价不得低于初始止损",IF(F9&gt;E9,"止损价不得高于激活价",IF(AND(COUNTIFS($A$2:$A$497,"止损计划",$B$2:$B$497,B9,$D$2:$D$497,"&lt;"&amp;D9)&gt;0,OR(E9&lt;=SUMPRODUCT(MAX((($A$2:$A$497="止损计划")*($B$2:$B$497=B9)*($D$2:$D$497&lt;D9))*$E$2:$E$497)),F9&lt;SUMPRODUCT(MAX((($A$2:$A$497="止损计划")*($B$2:$B$497=B9)*($D$2:$D$497&lt;D9))*$F$2:$F$497)))),"阶段价格必须逐级提高","计划有效"))))))),IF(A9="每日跟踪",IF(OR(B9="",H9="",I9="",J9=""),"每日数据不完整",IF(COUNTIFS($A$2:$A$497,"每日跟踪",$B$2:$B$497,B9,$H$2:$H$497,H9)&gt;1,"同一交易日期重复",IF(AND(R9&lt;&gt;"",R9&lt;S9),"人工止损无效：不能下调","跟踪有效"))),"记录类型无效")))</f>
        <v/>
      </c>
    </row>
    <row r="10" ht="17" spans="1:29">
      <c r="A10" s="2"/>
      <c r="B10" s="2"/>
      <c r="C10" s="8" t="str">
        <f>IF(B10="","",IFERROR(LOOKUP(2,1/(单次交易!$A$2:$A$201=B10),单次交易!$B$2:$B$201),""))</f>
        <v/>
      </c>
      <c r="D10" s="12"/>
      <c r="E10" s="10"/>
      <c r="F10" s="10"/>
      <c r="G10" s="2"/>
      <c r="H10" s="15"/>
      <c r="I10" s="10"/>
      <c r="J10" s="20"/>
      <c r="K10" s="13"/>
      <c r="L10" s="2"/>
      <c r="M10" s="13"/>
      <c r="N10" s="5" t="str">
        <f>IF(B10="","",IFERROR(LOOKUP(2,1/(单次交易!$A$2:$A$201=B10),单次交易!$N$2:$N$201),""))</f>
        <v/>
      </c>
      <c r="O10" s="5" t="str">
        <f t="shared" si="0"/>
        <v/>
      </c>
      <c r="P10" s="11" t="str">
        <f t="shared" si="1"/>
        <v/>
      </c>
      <c r="Q10" s="5" t="str">
        <f t="shared" si="2"/>
        <v/>
      </c>
      <c r="R10" s="10"/>
      <c r="S10" s="5" t="str">
        <f t="shared" si="3"/>
        <v/>
      </c>
      <c r="T10" s="5" t="str">
        <f t="shared" si="4"/>
        <v/>
      </c>
      <c r="U10" s="5" t="str">
        <f t="shared" si="5"/>
        <v/>
      </c>
      <c r="V10" s="7" t="str">
        <f t="shared" si="6"/>
        <v/>
      </c>
      <c r="W10" s="8" t="str">
        <f t="shared" si="7"/>
        <v/>
      </c>
      <c r="X10" s="2"/>
      <c r="Y10" s="10"/>
      <c r="Z10" s="11" t="str">
        <f>IF(X10&lt;&gt;"执行卖出","",IFERROR(LOOKUP(2,1/(单次交易!$A$2:$A$201=B10),单次交易!$AP$2:$AP$201),""))</f>
        <v/>
      </c>
      <c r="AA10" s="10"/>
      <c r="AB10" s="8" t="str">
        <f t="shared" si="8"/>
        <v/>
      </c>
      <c r="AC10" s="8" t="str">
        <f>IF(A10="","",IF(A10="止损计划",IF(OR(B10="",D10="",E10="",F10="",G10=""),"计划不完整",IF(OR(D10&lt;1,D10&lt;&gt;INT(D10)),"阶段序号无效",IF(COUNTIFS($A$2:$A$497,"止损计划",$B$2:$B$497,B10,$D$2:$D$497,D10)&gt;1,"阶段序号重复",IF(E10&lt;=IFERROR(LOOKUP(2,1/(单次交易!$A$2:$A$201=B10),单次交易!$E$2:$E$201),0),"激活价须高于买入价",IF(F10&lt;N10,"止损价不得低于初始止损",IF(F10&gt;E10,"止损价不得高于激活价",IF(AND(COUNTIFS($A$2:$A$497,"止损计划",$B$2:$B$497,B10,$D$2:$D$497,"&lt;"&amp;D10)&gt;0,OR(E10&lt;=SUMPRODUCT(MAX((($A$2:$A$497="止损计划")*($B$2:$B$497=B10)*($D$2:$D$497&lt;D10))*$E$2:$E$497)),F10&lt;SUMPRODUCT(MAX((($A$2:$A$497="止损计划")*($B$2:$B$497=B10)*($D$2:$D$497&lt;D10))*$F$2:$F$497)))),"阶段价格必须逐级提高","计划有效"))))))),IF(A10="每日跟踪",IF(OR(B10="",H10="",I10="",J10=""),"每日数据不完整",IF(COUNTIFS($A$2:$A$497,"每日跟踪",$B$2:$B$497,B10,$H$2:$H$497,H10)&gt;1,"同一交易日期重复",IF(AND(R10&lt;&gt;"",R10&lt;S10),"人工止损无效：不能下调","跟踪有效"))),"记录类型无效")))</f>
        <v/>
      </c>
    </row>
    <row r="11" ht="17" spans="1:29">
      <c r="A11" s="2"/>
      <c r="B11" s="2"/>
      <c r="C11" s="8" t="str">
        <f>IF(B11="","",IFERROR(LOOKUP(2,1/(单次交易!$A$2:$A$201=B11),单次交易!$B$2:$B$201),""))</f>
        <v/>
      </c>
      <c r="D11" s="12"/>
      <c r="E11" s="10"/>
      <c r="F11" s="10"/>
      <c r="G11" s="2"/>
      <c r="H11" s="15"/>
      <c r="I11" s="10"/>
      <c r="J11" s="20"/>
      <c r="K11" s="13"/>
      <c r="L11" s="2"/>
      <c r="M11" s="13"/>
      <c r="N11" s="5" t="str">
        <f>IF(B11="","",IFERROR(LOOKUP(2,1/(单次交易!$A$2:$A$201=B11),单次交易!$N$2:$N$201),""))</f>
        <v/>
      </c>
      <c r="O11" s="5" t="str">
        <f t="shared" si="0"/>
        <v/>
      </c>
      <c r="P11" s="11" t="str">
        <f t="shared" si="1"/>
        <v/>
      </c>
      <c r="Q11" s="5" t="str">
        <f t="shared" si="2"/>
        <v/>
      </c>
      <c r="R11" s="10"/>
      <c r="S11" s="5" t="str">
        <f t="shared" si="3"/>
        <v/>
      </c>
      <c r="T11" s="5" t="str">
        <f t="shared" si="4"/>
        <v/>
      </c>
      <c r="U11" s="5" t="str">
        <f t="shared" si="5"/>
        <v/>
      </c>
      <c r="V11" s="7" t="str">
        <f t="shared" si="6"/>
        <v/>
      </c>
      <c r="W11" s="8" t="str">
        <f t="shared" si="7"/>
        <v/>
      </c>
      <c r="X11" s="2"/>
      <c r="Y11" s="10"/>
      <c r="Z11" s="11" t="str">
        <f>IF(X11&lt;&gt;"执行卖出","",IFERROR(LOOKUP(2,1/(单次交易!$A$2:$A$201=B11),单次交易!$AP$2:$AP$201),""))</f>
        <v/>
      </c>
      <c r="AA11" s="10"/>
      <c r="AB11" s="8" t="str">
        <f t="shared" si="8"/>
        <v/>
      </c>
      <c r="AC11" s="8" t="str">
        <f>IF(A11="","",IF(A11="止损计划",IF(OR(B11="",D11="",E11="",F11="",G11=""),"计划不完整",IF(OR(D11&lt;1,D11&lt;&gt;INT(D11)),"阶段序号无效",IF(COUNTIFS($A$2:$A$497,"止损计划",$B$2:$B$497,B11,$D$2:$D$497,D11)&gt;1,"阶段序号重复",IF(E11&lt;=IFERROR(LOOKUP(2,1/(单次交易!$A$2:$A$201=B11),单次交易!$E$2:$E$201),0),"激活价须高于买入价",IF(F11&lt;N11,"止损价不得低于初始止损",IF(F11&gt;E11,"止损价不得高于激活价",IF(AND(COUNTIFS($A$2:$A$497,"止损计划",$B$2:$B$497,B11,$D$2:$D$497,"&lt;"&amp;D11)&gt;0,OR(E11&lt;=SUMPRODUCT(MAX((($A$2:$A$497="止损计划")*($B$2:$B$497=B11)*($D$2:$D$497&lt;D11))*$E$2:$E$497)),F11&lt;SUMPRODUCT(MAX((($A$2:$A$497="止损计划")*($B$2:$B$497=B11)*($D$2:$D$497&lt;D11))*$F$2:$F$497)))),"阶段价格必须逐级提高","计划有效"))))))),IF(A11="每日跟踪",IF(OR(B11="",H11="",I11="",J11=""),"每日数据不完整",IF(COUNTIFS($A$2:$A$497,"每日跟踪",$B$2:$B$497,B11,$H$2:$H$497,H11)&gt;1,"同一交易日期重复",IF(AND(R11&lt;&gt;"",R11&lt;S11),"人工止损无效：不能下调","跟踪有效"))),"记录类型无效")))</f>
        <v/>
      </c>
    </row>
    <row r="12" ht="17" spans="1:29">
      <c r="A12" s="2"/>
      <c r="B12" s="2"/>
      <c r="C12" s="8" t="str">
        <f>IF(B12="","",IFERROR(LOOKUP(2,1/(单次交易!$A$2:$A$201=B12),单次交易!$B$2:$B$201),""))</f>
        <v/>
      </c>
      <c r="D12" s="12"/>
      <c r="E12" s="10"/>
      <c r="F12" s="10"/>
      <c r="G12" s="2"/>
      <c r="H12" s="15"/>
      <c r="I12" s="10"/>
      <c r="J12" s="20"/>
      <c r="K12" s="13"/>
      <c r="L12" s="2"/>
      <c r="M12" s="13"/>
      <c r="N12" s="5" t="str">
        <f>IF(B12="","",IFERROR(LOOKUP(2,1/(单次交易!$A$2:$A$201=B12),单次交易!$N$2:$N$201),""))</f>
        <v/>
      </c>
      <c r="O12" s="5" t="str">
        <f t="shared" si="0"/>
        <v/>
      </c>
      <c r="P12" s="11" t="str">
        <f t="shared" si="1"/>
        <v/>
      </c>
      <c r="Q12" s="5" t="str">
        <f t="shared" si="2"/>
        <v/>
      </c>
      <c r="R12" s="10"/>
      <c r="S12" s="5" t="str">
        <f t="shared" si="3"/>
        <v/>
      </c>
      <c r="T12" s="5" t="str">
        <f t="shared" si="4"/>
        <v/>
      </c>
      <c r="U12" s="5" t="str">
        <f t="shared" si="5"/>
        <v/>
      </c>
      <c r="V12" s="7" t="str">
        <f t="shared" si="6"/>
        <v/>
      </c>
      <c r="W12" s="8" t="str">
        <f t="shared" si="7"/>
        <v/>
      </c>
      <c r="X12" s="2"/>
      <c r="Y12" s="10"/>
      <c r="Z12" s="11" t="str">
        <f>IF(X12&lt;&gt;"执行卖出","",IFERROR(LOOKUP(2,1/(单次交易!$A$2:$A$201=B12),单次交易!$AP$2:$AP$201),""))</f>
        <v/>
      </c>
      <c r="AA12" s="10"/>
      <c r="AB12" s="8" t="str">
        <f t="shared" si="8"/>
        <v/>
      </c>
      <c r="AC12" s="8" t="str">
        <f>IF(A12="","",IF(A12="止损计划",IF(OR(B12="",D12="",E12="",F12="",G12=""),"计划不完整",IF(OR(D12&lt;1,D12&lt;&gt;INT(D12)),"阶段序号无效",IF(COUNTIFS($A$2:$A$497,"止损计划",$B$2:$B$497,B12,$D$2:$D$497,D12)&gt;1,"阶段序号重复",IF(E12&lt;=IFERROR(LOOKUP(2,1/(单次交易!$A$2:$A$201=B12),单次交易!$E$2:$E$201),0),"激活价须高于买入价",IF(F12&lt;N12,"止损价不得低于初始止损",IF(F12&gt;E12,"止损价不得高于激活价",IF(AND(COUNTIFS($A$2:$A$497,"止损计划",$B$2:$B$497,B12,$D$2:$D$497,"&lt;"&amp;D12)&gt;0,OR(E12&lt;=SUMPRODUCT(MAX((($A$2:$A$497="止损计划")*($B$2:$B$497=B12)*($D$2:$D$497&lt;D12))*$E$2:$E$497)),F12&lt;SUMPRODUCT(MAX((($A$2:$A$497="止损计划")*($B$2:$B$497=B12)*($D$2:$D$497&lt;D12))*$F$2:$F$497)))),"阶段价格必须逐级提高","计划有效"))))))),IF(A12="每日跟踪",IF(OR(B12="",H12="",I12="",J12=""),"每日数据不完整",IF(COUNTIFS($A$2:$A$497,"每日跟踪",$B$2:$B$497,B12,$H$2:$H$497,H12)&gt;1,"同一交易日期重复",IF(AND(R12&lt;&gt;"",R12&lt;S12),"人工止损无效：不能下调","跟踪有效"))),"记录类型无效")))</f>
        <v/>
      </c>
    </row>
    <row r="13" ht="17" spans="1:29">
      <c r="A13" s="2"/>
      <c r="B13" s="2"/>
      <c r="C13" s="8" t="str">
        <f>IF(B13="","",IFERROR(LOOKUP(2,1/(单次交易!$A$2:$A$201=B13),单次交易!$B$2:$B$201),""))</f>
        <v/>
      </c>
      <c r="D13" s="12"/>
      <c r="E13" s="10"/>
      <c r="F13" s="10"/>
      <c r="G13" s="2"/>
      <c r="H13" s="15"/>
      <c r="I13" s="10"/>
      <c r="J13" s="20"/>
      <c r="K13" s="13"/>
      <c r="L13" s="2"/>
      <c r="M13" s="13"/>
      <c r="N13" s="5" t="str">
        <f>IF(B13="","",IFERROR(LOOKUP(2,1/(单次交易!$A$2:$A$201=B13),单次交易!$N$2:$N$201),""))</f>
        <v/>
      </c>
      <c r="O13" s="5" t="str">
        <f t="shared" si="0"/>
        <v/>
      </c>
      <c r="P13" s="11" t="str">
        <f t="shared" si="1"/>
        <v/>
      </c>
      <c r="Q13" s="5" t="str">
        <f t="shared" si="2"/>
        <v/>
      </c>
      <c r="R13" s="10"/>
      <c r="S13" s="5" t="str">
        <f t="shared" si="3"/>
        <v/>
      </c>
      <c r="T13" s="5" t="str">
        <f t="shared" si="4"/>
        <v/>
      </c>
      <c r="U13" s="5" t="str">
        <f t="shared" si="5"/>
        <v/>
      </c>
      <c r="V13" s="7" t="str">
        <f t="shared" si="6"/>
        <v/>
      </c>
      <c r="W13" s="8" t="str">
        <f t="shared" si="7"/>
        <v/>
      </c>
      <c r="X13" s="2"/>
      <c r="Y13" s="10"/>
      <c r="Z13" s="11" t="str">
        <f>IF(X13&lt;&gt;"执行卖出","",IFERROR(LOOKUP(2,1/(单次交易!$A$2:$A$201=B13),单次交易!$AP$2:$AP$201),""))</f>
        <v/>
      </c>
      <c r="AA13" s="10"/>
      <c r="AB13" s="8" t="str">
        <f t="shared" si="8"/>
        <v/>
      </c>
      <c r="AC13" s="8" t="str">
        <f>IF(A13="","",IF(A13="止损计划",IF(OR(B13="",D13="",E13="",F13="",G13=""),"计划不完整",IF(OR(D13&lt;1,D13&lt;&gt;INT(D13)),"阶段序号无效",IF(COUNTIFS($A$2:$A$497,"止损计划",$B$2:$B$497,B13,$D$2:$D$497,D13)&gt;1,"阶段序号重复",IF(E13&lt;=IFERROR(LOOKUP(2,1/(单次交易!$A$2:$A$201=B13),单次交易!$E$2:$E$201),0),"激活价须高于买入价",IF(F13&lt;N13,"止损价不得低于初始止损",IF(F13&gt;E13,"止损价不得高于激活价",IF(AND(COUNTIFS($A$2:$A$497,"止损计划",$B$2:$B$497,B13,$D$2:$D$497,"&lt;"&amp;D13)&gt;0,OR(E13&lt;=SUMPRODUCT(MAX((($A$2:$A$497="止损计划")*($B$2:$B$497=B13)*($D$2:$D$497&lt;D13))*$E$2:$E$497)),F13&lt;SUMPRODUCT(MAX((($A$2:$A$497="止损计划")*($B$2:$B$497=B13)*($D$2:$D$497&lt;D13))*$F$2:$F$497)))),"阶段价格必须逐级提高","计划有效"))))))),IF(A13="每日跟踪",IF(OR(B13="",H13="",I13="",J13=""),"每日数据不完整",IF(COUNTIFS($A$2:$A$497,"每日跟踪",$B$2:$B$497,B13,$H$2:$H$497,H13)&gt;1,"同一交易日期重复",IF(AND(R13&lt;&gt;"",R13&lt;S13),"人工止损无效：不能下调","跟踪有效"))),"记录类型无效")))</f>
        <v/>
      </c>
    </row>
    <row r="14" ht="17" spans="1:29">
      <c r="A14" s="2"/>
      <c r="B14" s="2"/>
      <c r="C14" s="8" t="str">
        <f>IF(B14="","",IFERROR(LOOKUP(2,1/(单次交易!$A$2:$A$201=B14),单次交易!$B$2:$B$201),""))</f>
        <v/>
      </c>
      <c r="D14" s="12"/>
      <c r="E14" s="10"/>
      <c r="F14" s="10"/>
      <c r="G14" s="2"/>
      <c r="H14" s="15"/>
      <c r="I14" s="10"/>
      <c r="J14" s="20"/>
      <c r="K14" s="13"/>
      <c r="L14" s="2"/>
      <c r="M14" s="13"/>
      <c r="N14" s="5" t="str">
        <f>IF(B14="","",IFERROR(LOOKUP(2,1/(单次交易!$A$2:$A$201=B14),单次交易!$N$2:$N$201),""))</f>
        <v/>
      </c>
      <c r="O14" s="5" t="str">
        <f t="shared" si="0"/>
        <v/>
      </c>
      <c r="P14" s="11" t="str">
        <f t="shared" si="1"/>
        <v/>
      </c>
      <c r="Q14" s="5" t="str">
        <f t="shared" si="2"/>
        <v/>
      </c>
      <c r="R14" s="10"/>
      <c r="S14" s="5" t="str">
        <f t="shared" si="3"/>
        <v/>
      </c>
      <c r="T14" s="5" t="str">
        <f t="shared" si="4"/>
        <v/>
      </c>
      <c r="U14" s="5" t="str">
        <f t="shared" si="5"/>
        <v/>
      </c>
      <c r="V14" s="7" t="str">
        <f t="shared" si="6"/>
        <v/>
      </c>
      <c r="W14" s="8" t="str">
        <f t="shared" si="7"/>
        <v/>
      </c>
      <c r="X14" s="2"/>
      <c r="Y14" s="10"/>
      <c r="Z14" s="11" t="str">
        <f>IF(X14&lt;&gt;"执行卖出","",IFERROR(LOOKUP(2,1/(单次交易!$A$2:$A$201=B14),单次交易!$AP$2:$AP$201),""))</f>
        <v/>
      </c>
      <c r="AA14" s="10"/>
      <c r="AB14" s="8" t="str">
        <f t="shared" si="8"/>
        <v/>
      </c>
      <c r="AC14" s="8" t="str">
        <f>IF(A14="","",IF(A14="止损计划",IF(OR(B14="",D14="",E14="",F14="",G14=""),"计划不完整",IF(OR(D14&lt;1,D14&lt;&gt;INT(D14)),"阶段序号无效",IF(COUNTIFS($A$2:$A$497,"止损计划",$B$2:$B$497,B14,$D$2:$D$497,D14)&gt;1,"阶段序号重复",IF(E14&lt;=IFERROR(LOOKUP(2,1/(单次交易!$A$2:$A$201=B14),单次交易!$E$2:$E$201),0),"激活价须高于买入价",IF(F14&lt;N14,"止损价不得低于初始止损",IF(F14&gt;E14,"止损价不得高于激活价",IF(AND(COUNTIFS($A$2:$A$497,"止损计划",$B$2:$B$497,B14,$D$2:$D$497,"&lt;"&amp;D14)&gt;0,OR(E14&lt;=SUMPRODUCT(MAX((($A$2:$A$497="止损计划")*($B$2:$B$497=B14)*($D$2:$D$497&lt;D14))*$E$2:$E$497)),F14&lt;SUMPRODUCT(MAX((($A$2:$A$497="止损计划")*($B$2:$B$497=B14)*($D$2:$D$497&lt;D14))*$F$2:$F$497)))),"阶段价格必须逐级提高","计划有效"))))))),IF(A14="每日跟踪",IF(OR(B14="",H14="",I14="",J14=""),"每日数据不完整",IF(COUNTIFS($A$2:$A$497,"每日跟踪",$B$2:$B$497,B14,$H$2:$H$497,H14)&gt;1,"同一交易日期重复",IF(AND(R14&lt;&gt;"",R14&lt;S14),"人工止损无效：不能下调","跟踪有效"))),"记录类型无效")))</f>
        <v/>
      </c>
    </row>
    <row r="15" ht="17" spans="1:29">
      <c r="A15" s="2"/>
      <c r="B15" s="2"/>
      <c r="C15" s="8" t="str">
        <f>IF(B15="","",IFERROR(LOOKUP(2,1/(单次交易!$A$2:$A$201=B15),单次交易!$B$2:$B$201),""))</f>
        <v/>
      </c>
      <c r="D15" s="12"/>
      <c r="E15" s="10"/>
      <c r="F15" s="10"/>
      <c r="G15" s="2"/>
      <c r="H15" s="15"/>
      <c r="I15" s="10"/>
      <c r="J15" s="20"/>
      <c r="K15" s="13"/>
      <c r="L15" s="2"/>
      <c r="M15" s="2"/>
      <c r="N15" s="5" t="str">
        <f>IF(B15="","",IFERROR(LOOKUP(2,1/(单次交易!$A$2:$A$201=B15),单次交易!$N$2:$N$201),""))</f>
        <v/>
      </c>
      <c r="O15" s="5" t="str">
        <f t="shared" si="0"/>
        <v/>
      </c>
      <c r="P15" s="11" t="str">
        <f t="shared" si="1"/>
        <v/>
      </c>
      <c r="Q15" s="5" t="str">
        <f t="shared" si="2"/>
        <v/>
      </c>
      <c r="R15" s="10"/>
      <c r="S15" s="5" t="str">
        <f t="shared" si="3"/>
        <v/>
      </c>
      <c r="T15" s="5" t="str">
        <f t="shared" si="4"/>
        <v/>
      </c>
      <c r="U15" s="5" t="str">
        <f t="shared" si="5"/>
        <v/>
      </c>
      <c r="V15" s="7" t="str">
        <f t="shared" si="6"/>
        <v/>
      </c>
      <c r="W15" s="8" t="str">
        <f t="shared" si="7"/>
        <v/>
      </c>
      <c r="X15" s="2"/>
      <c r="Y15" s="10"/>
      <c r="Z15" s="11" t="str">
        <f>IF(X15&lt;&gt;"执行卖出","",IFERROR(LOOKUP(2,1/(单次交易!$A$2:$A$201=B15),单次交易!$AP$2:$AP$201),""))</f>
        <v/>
      </c>
      <c r="AA15" s="10"/>
      <c r="AB15" s="8" t="str">
        <f t="shared" si="8"/>
        <v/>
      </c>
      <c r="AC15" s="8" t="str">
        <f>IF(A15="","",IF(A15="止损计划",IF(OR(B15="",D15="",E15="",F15="",G15=""),"计划不完整",IF(OR(D15&lt;1,D15&lt;&gt;INT(D15)),"阶段序号无效",IF(COUNTIFS($A$2:$A$497,"止损计划",$B$2:$B$497,B15,$D$2:$D$497,D15)&gt;1,"阶段序号重复",IF(E15&lt;=IFERROR(LOOKUP(2,1/(单次交易!$A$2:$A$201=B15),单次交易!$E$2:$E$201),0),"激活价须高于买入价",IF(F15&lt;N15,"止损价不得低于初始止损",IF(F15&gt;E15,"止损价不得高于激活价",IF(AND(COUNTIFS($A$2:$A$497,"止损计划",$B$2:$B$497,B15,$D$2:$D$497,"&lt;"&amp;D15)&gt;0,OR(E15&lt;=SUMPRODUCT(MAX((($A$2:$A$497="止损计划")*($B$2:$B$497=B15)*($D$2:$D$497&lt;D15))*$E$2:$E$497)),F15&lt;SUMPRODUCT(MAX((($A$2:$A$497="止损计划")*($B$2:$B$497=B15)*($D$2:$D$497&lt;D15))*$F$2:$F$497)))),"阶段价格必须逐级提高","计划有效"))))))),IF(A15="每日跟踪",IF(OR(B15="",H15="",I15="",J15=""),"每日数据不完整",IF(COUNTIFS($A$2:$A$497,"每日跟踪",$B$2:$B$497,B15,$H$2:$H$497,H15)&gt;1,"同一交易日期重复",IF(AND(R15&lt;&gt;"",R15&lt;S15),"人工止损无效：不能下调","跟踪有效"))),"记录类型无效")))</f>
        <v/>
      </c>
    </row>
    <row r="16" ht="17" spans="1:29">
      <c r="A16" s="2"/>
      <c r="B16" s="2"/>
      <c r="C16" s="8" t="str">
        <f>IF(B16="","",IFERROR(LOOKUP(2,1/(单次交易!$A$2:$A$201=B16),单次交易!$B$2:$B$201),""))</f>
        <v/>
      </c>
      <c r="D16" s="12"/>
      <c r="E16" s="10"/>
      <c r="F16" s="10"/>
      <c r="G16" s="2"/>
      <c r="H16" s="15"/>
      <c r="I16" s="10"/>
      <c r="J16" s="20"/>
      <c r="K16" s="13"/>
      <c r="L16" s="2"/>
      <c r="M16" s="13"/>
      <c r="N16" s="5" t="str">
        <f>IF(B16="","",IFERROR(LOOKUP(2,1/(单次交易!$A$2:$A$201=B16),单次交易!$N$2:$N$201),""))</f>
        <v/>
      </c>
      <c r="O16" s="5" t="str">
        <f t="shared" si="0"/>
        <v/>
      </c>
      <c r="P16" s="11" t="str">
        <f t="shared" si="1"/>
        <v/>
      </c>
      <c r="Q16" s="5" t="str">
        <f t="shared" si="2"/>
        <v/>
      </c>
      <c r="R16" s="10"/>
      <c r="S16" s="5" t="str">
        <f t="shared" si="3"/>
        <v/>
      </c>
      <c r="T16" s="5" t="str">
        <f t="shared" si="4"/>
        <v/>
      </c>
      <c r="U16" s="5" t="str">
        <f t="shared" si="5"/>
        <v/>
      </c>
      <c r="V16" s="7" t="str">
        <f t="shared" si="6"/>
        <v/>
      </c>
      <c r="W16" s="8" t="str">
        <f t="shared" si="7"/>
        <v/>
      </c>
      <c r="X16" s="2"/>
      <c r="Y16" s="10"/>
      <c r="Z16" s="11" t="str">
        <f>IF(X16&lt;&gt;"执行卖出","",IFERROR(LOOKUP(2,1/(单次交易!$A$2:$A$201=B16),单次交易!$AP$2:$AP$201),""))</f>
        <v/>
      </c>
      <c r="AA16" s="10"/>
      <c r="AB16" s="8" t="str">
        <f t="shared" si="8"/>
        <v/>
      </c>
      <c r="AC16" s="8" t="str">
        <f>IF(A16="","",IF(A16="止损计划",IF(OR(B16="",D16="",E16="",F16="",G16=""),"计划不完整",IF(OR(D16&lt;1,D16&lt;&gt;INT(D16)),"阶段序号无效",IF(COUNTIFS($A$2:$A$497,"止损计划",$B$2:$B$497,B16,$D$2:$D$497,D16)&gt;1,"阶段序号重复",IF(E16&lt;=IFERROR(LOOKUP(2,1/(单次交易!$A$2:$A$201=B16),单次交易!$E$2:$E$201),0),"激活价须高于买入价",IF(F16&lt;N16,"止损价不得低于初始止损",IF(F16&gt;E16,"止损价不得高于激活价",IF(AND(COUNTIFS($A$2:$A$497,"止损计划",$B$2:$B$497,B16,$D$2:$D$497,"&lt;"&amp;D16)&gt;0,OR(E16&lt;=SUMPRODUCT(MAX((($A$2:$A$497="止损计划")*($B$2:$B$497=B16)*($D$2:$D$497&lt;D16))*$E$2:$E$497)),F16&lt;SUMPRODUCT(MAX((($A$2:$A$497="止损计划")*($B$2:$B$497=B16)*($D$2:$D$497&lt;D16))*$F$2:$F$497)))),"阶段价格必须逐级提高","计划有效"))))))),IF(A16="每日跟踪",IF(OR(B16="",H16="",I16="",J16=""),"每日数据不完整",IF(COUNTIFS($A$2:$A$497,"每日跟踪",$B$2:$B$497,B16,$H$2:$H$497,H16)&gt;1,"同一交易日期重复",IF(AND(R16&lt;&gt;"",R16&lt;S16),"人工止损无效：不能下调","跟踪有效"))),"记录类型无效")))</f>
        <v/>
      </c>
    </row>
    <row r="17" ht="17" spans="1:29">
      <c r="A17" s="2"/>
      <c r="B17" s="2"/>
      <c r="C17" s="8" t="str">
        <f>IF(B17="","",IFERROR(LOOKUP(2,1/(单次交易!$A$2:$A$201=B17),单次交易!$B$2:$B$201),""))</f>
        <v/>
      </c>
      <c r="D17" s="12"/>
      <c r="E17" s="10"/>
      <c r="F17" s="10"/>
      <c r="G17" s="2"/>
      <c r="H17" s="15"/>
      <c r="I17" s="10"/>
      <c r="J17" s="20"/>
      <c r="K17" s="13"/>
      <c r="L17" s="2"/>
      <c r="M17" s="13"/>
      <c r="N17" s="5" t="str">
        <f>IF(B17="","",IFERROR(LOOKUP(2,1/(单次交易!$A$2:$A$201=B17),单次交易!$N$2:$N$201),""))</f>
        <v/>
      </c>
      <c r="O17" s="5" t="str">
        <f t="shared" si="0"/>
        <v/>
      </c>
      <c r="P17" s="11" t="str">
        <f t="shared" si="1"/>
        <v/>
      </c>
      <c r="Q17" s="5" t="str">
        <f t="shared" si="2"/>
        <v/>
      </c>
      <c r="R17" s="10"/>
      <c r="S17" s="5" t="str">
        <f t="shared" si="3"/>
        <v/>
      </c>
      <c r="T17" s="5" t="str">
        <f t="shared" si="4"/>
        <v/>
      </c>
      <c r="U17" s="5" t="str">
        <f t="shared" si="5"/>
        <v/>
      </c>
      <c r="V17" s="7" t="str">
        <f t="shared" si="6"/>
        <v/>
      </c>
      <c r="W17" s="8" t="str">
        <f t="shared" si="7"/>
        <v/>
      </c>
      <c r="X17" s="2"/>
      <c r="Y17" s="10"/>
      <c r="Z17" s="11" t="str">
        <f>IF(X17&lt;&gt;"执行卖出","",IFERROR(LOOKUP(2,1/(单次交易!$A$2:$A$201=B17),单次交易!$AP$2:$AP$201),""))</f>
        <v/>
      </c>
      <c r="AA17" s="10"/>
      <c r="AB17" s="8" t="str">
        <f t="shared" si="8"/>
        <v/>
      </c>
      <c r="AC17" s="8" t="str">
        <f>IF(A17="","",IF(A17="止损计划",IF(OR(B17="",D17="",E17="",F17="",G17=""),"计划不完整",IF(OR(D17&lt;1,D17&lt;&gt;INT(D17)),"阶段序号无效",IF(COUNTIFS($A$2:$A$497,"止损计划",$B$2:$B$497,B17,$D$2:$D$497,D17)&gt;1,"阶段序号重复",IF(E17&lt;=IFERROR(LOOKUP(2,1/(单次交易!$A$2:$A$201=B17),单次交易!$E$2:$E$201),0),"激活价须高于买入价",IF(F17&lt;N17,"止损价不得低于初始止损",IF(F17&gt;E17,"止损价不得高于激活价",IF(AND(COUNTIFS($A$2:$A$497,"止损计划",$B$2:$B$497,B17,$D$2:$D$497,"&lt;"&amp;D17)&gt;0,OR(E17&lt;=SUMPRODUCT(MAX((($A$2:$A$497="止损计划")*($B$2:$B$497=B17)*($D$2:$D$497&lt;D17))*$E$2:$E$497)),F17&lt;SUMPRODUCT(MAX((($A$2:$A$497="止损计划")*($B$2:$B$497=B17)*($D$2:$D$497&lt;D17))*$F$2:$F$497)))),"阶段价格必须逐级提高","计划有效"))))))),IF(A17="每日跟踪",IF(OR(B17="",H17="",I17="",J17=""),"每日数据不完整",IF(COUNTIFS($A$2:$A$497,"每日跟踪",$B$2:$B$497,B17,$H$2:$H$497,H17)&gt;1,"同一交易日期重复",IF(AND(R17&lt;&gt;"",R17&lt;S17),"人工止损无效：不能下调","跟踪有效"))),"记录类型无效")))</f>
        <v/>
      </c>
    </row>
    <row r="18" ht="17" spans="1:29">
      <c r="A18" s="2"/>
      <c r="B18" s="2"/>
      <c r="C18" s="8" t="str">
        <f>IF(B18="","",IFERROR(LOOKUP(2,1/(单次交易!$A$2:$A$201=B18),单次交易!$B$2:$B$201),""))</f>
        <v/>
      </c>
      <c r="D18" s="12"/>
      <c r="E18" s="10"/>
      <c r="F18" s="10"/>
      <c r="G18" s="2"/>
      <c r="H18" s="15"/>
      <c r="I18" s="10"/>
      <c r="J18" s="20"/>
      <c r="K18" s="13"/>
      <c r="L18" s="2"/>
      <c r="M18" s="13"/>
      <c r="N18" s="5" t="str">
        <f>IF(B18="","",IFERROR(LOOKUP(2,1/(单次交易!$A$2:$A$201=B18),单次交易!$N$2:$N$201),""))</f>
        <v/>
      </c>
      <c r="O18" s="5" t="str">
        <f t="shared" si="0"/>
        <v/>
      </c>
      <c r="P18" s="11" t="str">
        <f t="shared" si="1"/>
        <v/>
      </c>
      <c r="Q18" s="5" t="str">
        <f t="shared" si="2"/>
        <v/>
      </c>
      <c r="R18" s="10"/>
      <c r="S18" s="5" t="str">
        <f t="shared" si="3"/>
        <v/>
      </c>
      <c r="T18" s="5" t="str">
        <f t="shared" si="4"/>
        <v/>
      </c>
      <c r="U18" s="5" t="str">
        <f t="shared" si="5"/>
        <v/>
      </c>
      <c r="V18" s="7" t="str">
        <f t="shared" si="6"/>
        <v/>
      </c>
      <c r="W18" s="8" t="str">
        <f t="shared" si="7"/>
        <v/>
      </c>
      <c r="X18" s="2"/>
      <c r="Y18" s="10"/>
      <c r="Z18" s="11" t="str">
        <f>IF(X18&lt;&gt;"执行卖出","",IFERROR(LOOKUP(2,1/(单次交易!$A$2:$A$201=B18),单次交易!$AP$2:$AP$201),""))</f>
        <v/>
      </c>
      <c r="AA18" s="10"/>
      <c r="AB18" s="8" t="str">
        <f t="shared" si="8"/>
        <v/>
      </c>
      <c r="AC18" s="8" t="str">
        <f>IF(A18="","",IF(A18="止损计划",IF(OR(B18="",D18="",E18="",F18="",G18=""),"计划不完整",IF(OR(D18&lt;1,D18&lt;&gt;INT(D18)),"阶段序号无效",IF(COUNTIFS($A$2:$A$497,"止损计划",$B$2:$B$497,B18,$D$2:$D$497,D18)&gt;1,"阶段序号重复",IF(E18&lt;=IFERROR(LOOKUP(2,1/(单次交易!$A$2:$A$201=B18),单次交易!$E$2:$E$201),0),"激活价须高于买入价",IF(F18&lt;N18,"止损价不得低于初始止损",IF(F18&gt;E18,"止损价不得高于激活价",IF(AND(COUNTIFS($A$2:$A$497,"止损计划",$B$2:$B$497,B18,$D$2:$D$497,"&lt;"&amp;D18)&gt;0,OR(E18&lt;=SUMPRODUCT(MAX((($A$2:$A$497="止损计划")*($B$2:$B$497=B18)*($D$2:$D$497&lt;D18))*$E$2:$E$497)),F18&lt;SUMPRODUCT(MAX((($A$2:$A$497="止损计划")*($B$2:$B$497=B18)*($D$2:$D$497&lt;D18))*$F$2:$F$497)))),"阶段价格必须逐级提高","计划有效"))))))),IF(A18="每日跟踪",IF(OR(B18="",H18="",I18="",J18=""),"每日数据不完整",IF(COUNTIFS($A$2:$A$497,"每日跟踪",$B$2:$B$497,B18,$H$2:$H$497,H18)&gt;1,"同一交易日期重复",IF(AND(R18&lt;&gt;"",R18&lt;S18),"人工止损无效：不能下调","跟踪有效"))),"记录类型无效")))</f>
        <v/>
      </c>
    </row>
    <row r="19" ht="17" spans="1:29">
      <c r="A19" s="2"/>
      <c r="B19" s="2"/>
      <c r="C19" s="8" t="str">
        <f>IF(B19="","",IFERROR(LOOKUP(2,1/(单次交易!$A$2:$A$201=B19),单次交易!$B$2:$B$201),""))</f>
        <v/>
      </c>
      <c r="D19" s="12"/>
      <c r="E19" s="10"/>
      <c r="F19" s="10"/>
      <c r="G19" s="2"/>
      <c r="H19" s="15"/>
      <c r="I19" s="10"/>
      <c r="J19" s="20"/>
      <c r="K19" s="13"/>
      <c r="L19" s="2"/>
      <c r="M19" s="13"/>
      <c r="N19" s="5" t="str">
        <f>IF(B19="","",IFERROR(LOOKUP(2,1/(单次交易!$A$2:$A$201=B19),单次交易!$N$2:$N$201),""))</f>
        <v/>
      </c>
      <c r="O19" s="5" t="str">
        <f t="shared" si="0"/>
        <v/>
      </c>
      <c r="P19" s="11" t="str">
        <f t="shared" si="1"/>
        <v/>
      </c>
      <c r="Q19" s="5" t="str">
        <f t="shared" si="2"/>
        <v/>
      </c>
      <c r="R19" s="10"/>
      <c r="S19" s="5" t="str">
        <f t="shared" si="3"/>
        <v/>
      </c>
      <c r="T19" s="5" t="str">
        <f t="shared" si="4"/>
        <v/>
      </c>
      <c r="U19" s="5" t="str">
        <f t="shared" si="5"/>
        <v/>
      </c>
      <c r="V19" s="7" t="str">
        <f t="shared" si="6"/>
        <v/>
      </c>
      <c r="W19" s="8" t="str">
        <f t="shared" si="7"/>
        <v/>
      </c>
      <c r="X19" s="2"/>
      <c r="Y19" s="10"/>
      <c r="Z19" s="11" t="str">
        <f>IF(X19&lt;&gt;"执行卖出","",IFERROR(LOOKUP(2,1/(单次交易!$A$2:$A$201=B19),单次交易!$AP$2:$AP$201),""))</f>
        <v/>
      </c>
      <c r="AA19" s="10"/>
      <c r="AB19" s="8" t="str">
        <f t="shared" si="8"/>
        <v/>
      </c>
      <c r="AC19" s="8" t="str">
        <f>IF(A19="","",IF(A19="止损计划",IF(OR(B19="",D19="",E19="",F19="",G19=""),"计划不完整",IF(OR(D19&lt;1,D19&lt;&gt;INT(D19)),"阶段序号无效",IF(COUNTIFS($A$2:$A$497,"止损计划",$B$2:$B$497,B19,$D$2:$D$497,D19)&gt;1,"阶段序号重复",IF(E19&lt;=IFERROR(LOOKUP(2,1/(单次交易!$A$2:$A$201=B19),单次交易!$E$2:$E$201),0),"激活价须高于买入价",IF(F19&lt;N19,"止损价不得低于初始止损",IF(F19&gt;E19,"止损价不得高于激活价",IF(AND(COUNTIFS($A$2:$A$497,"止损计划",$B$2:$B$497,B19,$D$2:$D$497,"&lt;"&amp;D19)&gt;0,OR(E19&lt;=SUMPRODUCT(MAX((($A$2:$A$497="止损计划")*($B$2:$B$497=B19)*($D$2:$D$497&lt;D19))*$E$2:$E$497)),F19&lt;SUMPRODUCT(MAX((($A$2:$A$497="止损计划")*($B$2:$B$497=B19)*($D$2:$D$497&lt;D19))*$F$2:$F$497)))),"阶段价格必须逐级提高","计划有效"))))))),IF(A19="每日跟踪",IF(OR(B19="",H19="",I19="",J19=""),"每日数据不完整",IF(COUNTIFS($A$2:$A$497,"每日跟踪",$B$2:$B$497,B19,$H$2:$H$497,H19)&gt;1,"同一交易日期重复",IF(AND(R19&lt;&gt;"",R19&lt;S19),"人工止损无效：不能下调","跟踪有效"))),"记录类型无效")))</f>
        <v/>
      </c>
    </row>
    <row r="20" ht="17" spans="1:29">
      <c r="A20" s="2"/>
      <c r="B20" s="2"/>
      <c r="C20" s="8" t="str">
        <f>IF(B20="","",IFERROR(LOOKUP(2,1/(单次交易!$A$2:$A$201=B20),单次交易!$B$2:$B$201),""))</f>
        <v/>
      </c>
      <c r="D20" s="12"/>
      <c r="E20" s="10"/>
      <c r="F20" s="10"/>
      <c r="G20" s="2"/>
      <c r="H20" s="15"/>
      <c r="I20" s="10"/>
      <c r="J20" s="20"/>
      <c r="K20" s="13"/>
      <c r="L20" s="2"/>
      <c r="M20" s="13"/>
      <c r="N20" s="5" t="str">
        <f>IF(B20="","",IFERROR(LOOKUP(2,1/(单次交易!$A$2:$A$201=B20),单次交易!$N$2:$N$201),""))</f>
        <v/>
      </c>
      <c r="O20" s="5" t="str">
        <f t="shared" si="0"/>
        <v/>
      </c>
      <c r="P20" s="11" t="str">
        <f t="shared" si="1"/>
        <v/>
      </c>
      <c r="Q20" s="5" t="str">
        <f t="shared" si="2"/>
        <v/>
      </c>
      <c r="R20" s="10"/>
      <c r="S20" s="5" t="str">
        <f t="shared" si="3"/>
        <v/>
      </c>
      <c r="T20" s="5" t="str">
        <f t="shared" si="4"/>
        <v/>
      </c>
      <c r="U20" s="5" t="str">
        <f t="shared" si="5"/>
        <v/>
      </c>
      <c r="V20" s="7" t="str">
        <f t="shared" si="6"/>
        <v/>
      </c>
      <c r="W20" s="8" t="str">
        <f t="shared" si="7"/>
        <v/>
      </c>
      <c r="X20" s="2"/>
      <c r="Y20" s="10"/>
      <c r="Z20" s="11" t="str">
        <f>IF(X20&lt;&gt;"执行卖出","",IFERROR(LOOKUP(2,1/(单次交易!$A$2:$A$201=B20),单次交易!$AP$2:$AP$201),""))</f>
        <v/>
      </c>
      <c r="AA20" s="10"/>
      <c r="AB20" s="8" t="str">
        <f t="shared" si="8"/>
        <v/>
      </c>
      <c r="AC20" s="8" t="str">
        <f>IF(A20="","",IF(A20="止损计划",IF(OR(B20="",D20="",E20="",F20="",G20=""),"计划不完整",IF(OR(D20&lt;1,D20&lt;&gt;INT(D20)),"阶段序号无效",IF(COUNTIFS($A$2:$A$497,"止损计划",$B$2:$B$497,B20,$D$2:$D$497,D20)&gt;1,"阶段序号重复",IF(E20&lt;=IFERROR(LOOKUP(2,1/(单次交易!$A$2:$A$201=B20),单次交易!$E$2:$E$201),0),"激活价须高于买入价",IF(F20&lt;N20,"止损价不得低于初始止损",IF(F20&gt;E20,"止损价不得高于激活价",IF(AND(COUNTIFS($A$2:$A$497,"止损计划",$B$2:$B$497,B20,$D$2:$D$497,"&lt;"&amp;D20)&gt;0,OR(E20&lt;=SUMPRODUCT(MAX((($A$2:$A$497="止损计划")*($B$2:$B$497=B20)*($D$2:$D$497&lt;D20))*$E$2:$E$497)),F20&lt;SUMPRODUCT(MAX((($A$2:$A$497="止损计划")*($B$2:$B$497=B20)*($D$2:$D$497&lt;D20))*$F$2:$F$497)))),"阶段价格必须逐级提高","计划有效"))))))),IF(A20="每日跟踪",IF(OR(B20="",H20="",I20="",J20=""),"每日数据不完整",IF(COUNTIFS($A$2:$A$497,"每日跟踪",$B$2:$B$497,B20,$H$2:$H$497,H20)&gt;1,"同一交易日期重复",IF(AND(R20&lt;&gt;"",R20&lt;S20),"人工止损无效：不能下调","跟踪有效"))),"记录类型无效")))</f>
        <v/>
      </c>
    </row>
    <row r="21" ht="17" spans="1:29">
      <c r="A21" s="2"/>
      <c r="B21" s="2"/>
      <c r="C21" s="8" t="str">
        <f>IF(B21="","",IFERROR(LOOKUP(2,1/(单次交易!$A$2:$A$201=B21),单次交易!$B$2:$B$201),""))</f>
        <v/>
      </c>
      <c r="D21" s="12"/>
      <c r="E21" s="10"/>
      <c r="F21" s="10"/>
      <c r="G21" s="2"/>
      <c r="H21" s="15"/>
      <c r="I21" s="10"/>
      <c r="J21" s="20"/>
      <c r="K21" s="13"/>
      <c r="L21" s="2"/>
      <c r="M21" s="13"/>
      <c r="N21" s="5" t="str">
        <f>IF(B21="","",IFERROR(LOOKUP(2,1/(单次交易!$A$2:$A$201=B21),单次交易!$N$2:$N$201),""))</f>
        <v/>
      </c>
      <c r="O21" s="5" t="str">
        <f t="shared" si="0"/>
        <v/>
      </c>
      <c r="P21" s="11" t="str">
        <f t="shared" si="1"/>
        <v/>
      </c>
      <c r="Q21" s="5" t="str">
        <f t="shared" si="2"/>
        <v/>
      </c>
      <c r="R21" s="10"/>
      <c r="S21" s="5" t="str">
        <f t="shared" si="3"/>
        <v/>
      </c>
      <c r="T21" s="5" t="str">
        <f t="shared" si="4"/>
        <v/>
      </c>
      <c r="U21" s="5" t="str">
        <f t="shared" si="5"/>
        <v/>
      </c>
      <c r="V21" s="7" t="str">
        <f t="shared" si="6"/>
        <v/>
      </c>
      <c r="W21" s="8" t="str">
        <f t="shared" si="7"/>
        <v/>
      </c>
      <c r="X21" s="2"/>
      <c r="Y21" s="10"/>
      <c r="Z21" s="11" t="str">
        <f>IF(X21&lt;&gt;"执行卖出","",IFERROR(LOOKUP(2,1/(单次交易!$A$2:$A$201=B21),单次交易!$AP$2:$AP$201),""))</f>
        <v/>
      </c>
      <c r="AA21" s="10"/>
      <c r="AB21" s="8" t="str">
        <f t="shared" si="8"/>
        <v/>
      </c>
      <c r="AC21" s="8" t="str">
        <f>IF(A21="","",IF(A21="止损计划",IF(OR(B21="",D21="",E21="",F21="",G21=""),"计划不完整",IF(OR(D21&lt;1,D21&lt;&gt;INT(D21)),"阶段序号无效",IF(COUNTIFS($A$2:$A$497,"止损计划",$B$2:$B$497,B21,$D$2:$D$497,D21)&gt;1,"阶段序号重复",IF(E21&lt;=IFERROR(LOOKUP(2,1/(单次交易!$A$2:$A$201=B21),单次交易!$E$2:$E$201),0),"激活价须高于买入价",IF(F21&lt;N21,"止损价不得低于初始止损",IF(F21&gt;E21,"止损价不得高于激活价",IF(AND(COUNTIFS($A$2:$A$497,"止损计划",$B$2:$B$497,B21,$D$2:$D$497,"&lt;"&amp;D21)&gt;0,OR(E21&lt;=SUMPRODUCT(MAX((($A$2:$A$497="止损计划")*($B$2:$B$497=B21)*($D$2:$D$497&lt;D21))*$E$2:$E$497)),F21&lt;SUMPRODUCT(MAX((($A$2:$A$497="止损计划")*($B$2:$B$497=B21)*($D$2:$D$497&lt;D21))*$F$2:$F$497)))),"阶段价格必须逐级提高","计划有效"))))))),IF(A21="每日跟踪",IF(OR(B21="",H21="",I21="",J21=""),"每日数据不完整",IF(COUNTIFS($A$2:$A$497,"每日跟踪",$B$2:$B$497,B21,$H$2:$H$497,H21)&gt;1,"同一交易日期重复",IF(AND(R21&lt;&gt;"",R21&lt;S21),"人工止损无效：不能下调","跟踪有效"))),"记录类型无效")))</f>
        <v/>
      </c>
    </row>
    <row r="22" ht="17" spans="1:29">
      <c r="A22" s="2"/>
      <c r="B22" s="2"/>
      <c r="C22" s="8" t="str">
        <f>IF(B22="","",IFERROR(LOOKUP(2,1/(单次交易!$A$2:$A$201=B22),单次交易!$B$2:$B$201),""))</f>
        <v/>
      </c>
      <c r="D22" s="12"/>
      <c r="E22" s="10"/>
      <c r="F22" s="10"/>
      <c r="G22" s="2"/>
      <c r="H22" s="15"/>
      <c r="I22" s="10"/>
      <c r="J22" s="20"/>
      <c r="K22" s="13"/>
      <c r="L22" s="2"/>
      <c r="M22" s="13"/>
      <c r="N22" s="5" t="str">
        <f>IF(B22="","",IFERROR(LOOKUP(2,1/(单次交易!$A$2:$A$201=B22),单次交易!$N$2:$N$201),""))</f>
        <v/>
      </c>
      <c r="O22" s="5" t="str">
        <f t="shared" si="0"/>
        <v/>
      </c>
      <c r="P22" s="11" t="str">
        <f t="shared" si="1"/>
        <v/>
      </c>
      <c r="Q22" s="5" t="str">
        <f t="shared" si="2"/>
        <v/>
      </c>
      <c r="R22" s="10"/>
      <c r="S22" s="5" t="str">
        <f t="shared" si="3"/>
        <v/>
      </c>
      <c r="T22" s="5" t="str">
        <f t="shared" si="4"/>
        <v/>
      </c>
      <c r="U22" s="5" t="str">
        <f t="shared" si="5"/>
        <v/>
      </c>
      <c r="V22" s="7" t="str">
        <f t="shared" si="6"/>
        <v/>
      </c>
      <c r="W22" s="8" t="str">
        <f t="shared" si="7"/>
        <v/>
      </c>
      <c r="X22" s="2"/>
      <c r="Y22" s="10"/>
      <c r="Z22" s="11" t="str">
        <f>IF(X22&lt;&gt;"执行卖出","",IFERROR(LOOKUP(2,1/(单次交易!$A$2:$A$201=B22),单次交易!$AP$2:$AP$201),""))</f>
        <v/>
      </c>
      <c r="AA22" s="10"/>
      <c r="AB22" s="8" t="str">
        <f t="shared" si="8"/>
        <v/>
      </c>
      <c r="AC22" s="8" t="str">
        <f>IF(A22="","",IF(A22="止损计划",IF(OR(B22="",D22="",E22="",F22="",G22=""),"计划不完整",IF(OR(D22&lt;1,D22&lt;&gt;INT(D22)),"阶段序号无效",IF(COUNTIFS($A$2:$A$497,"止损计划",$B$2:$B$497,B22,$D$2:$D$497,D22)&gt;1,"阶段序号重复",IF(E22&lt;=IFERROR(LOOKUP(2,1/(单次交易!$A$2:$A$201=B22),单次交易!$E$2:$E$201),0),"激活价须高于买入价",IF(F22&lt;N22,"止损价不得低于初始止损",IF(F22&gt;E22,"止损价不得高于激活价",IF(AND(COUNTIFS($A$2:$A$497,"止损计划",$B$2:$B$497,B22,$D$2:$D$497,"&lt;"&amp;D22)&gt;0,OR(E22&lt;=SUMPRODUCT(MAX((($A$2:$A$497="止损计划")*($B$2:$B$497=B22)*($D$2:$D$497&lt;D22))*$E$2:$E$497)),F22&lt;SUMPRODUCT(MAX((($A$2:$A$497="止损计划")*($B$2:$B$497=B22)*($D$2:$D$497&lt;D22))*$F$2:$F$497)))),"阶段价格必须逐级提高","计划有效"))))))),IF(A22="每日跟踪",IF(OR(B22="",H22="",I22="",J22=""),"每日数据不完整",IF(COUNTIFS($A$2:$A$497,"每日跟踪",$B$2:$B$497,B22,$H$2:$H$497,H22)&gt;1,"同一交易日期重复",IF(AND(R22&lt;&gt;"",R22&lt;S22),"人工止损无效：不能下调","跟踪有效"))),"记录类型无效")))</f>
        <v/>
      </c>
    </row>
    <row r="23" ht="17" spans="1:29">
      <c r="A23" s="2"/>
      <c r="B23" s="2"/>
      <c r="C23" s="8" t="str">
        <f>IF(B23="","",IFERROR(LOOKUP(2,1/(单次交易!$A$2:$A$201=B23),单次交易!$B$2:$B$201),""))</f>
        <v/>
      </c>
      <c r="D23" s="12"/>
      <c r="E23" s="10"/>
      <c r="F23" s="10"/>
      <c r="G23" s="2"/>
      <c r="H23" s="15"/>
      <c r="I23" s="10"/>
      <c r="J23" s="20"/>
      <c r="K23" s="13"/>
      <c r="L23" s="2"/>
      <c r="M23" s="13"/>
      <c r="N23" s="5" t="str">
        <f>IF(B23="","",IFERROR(LOOKUP(2,1/(单次交易!$A$2:$A$201=B23),单次交易!$N$2:$N$201),""))</f>
        <v/>
      </c>
      <c r="O23" s="5" t="str">
        <f t="shared" si="0"/>
        <v/>
      </c>
      <c r="P23" s="11" t="str">
        <f t="shared" si="1"/>
        <v/>
      </c>
      <c r="Q23" s="5" t="str">
        <f t="shared" si="2"/>
        <v/>
      </c>
      <c r="R23" s="10"/>
      <c r="S23" s="5" t="str">
        <f t="shared" si="3"/>
        <v/>
      </c>
      <c r="T23" s="5" t="str">
        <f t="shared" si="4"/>
        <v/>
      </c>
      <c r="U23" s="5" t="str">
        <f t="shared" si="5"/>
        <v/>
      </c>
      <c r="V23" s="7" t="str">
        <f t="shared" si="6"/>
        <v/>
      </c>
      <c r="W23" s="8" t="str">
        <f t="shared" si="7"/>
        <v/>
      </c>
      <c r="X23" s="2"/>
      <c r="Y23" s="10"/>
      <c r="Z23" s="11" t="str">
        <f>IF(X23&lt;&gt;"执行卖出","",IFERROR(LOOKUP(2,1/(单次交易!$A$2:$A$201=B23),单次交易!$AP$2:$AP$201),""))</f>
        <v/>
      </c>
      <c r="AA23" s="10"/>
      <c r="AB23" s="8" t="str">
        <f t="shared" si="8"/>
        <v/>
      </c>
      <c r="AC23" s="8" t="str">
        <f>IF(A23="","",IF(A23="止损计划",IF(OR(B23="",D23="",E23="",F23="",G23=""),"计划不完整",IF(OR(D23&lt;1,D23&lt;&gt;INT(D23)),"阶段序号无效",IF(COUNTIFS($A$2:$A$497,"止损计划",$B$2:$B$497,B23,$D$2:$D$497,D23)&gt;1,"阶段序号重复",IF(E23&lt;=IFERROR(LOOKUP(2,1/(单次交易!$A$2:$A$201=B23),单次交易!$E$2:$E$201),0),"激活价须高于买入价",IF(F23&lt;N23,"止损价不得低于初始止损",IF(F23&gt;E23,"止损价不得高于激活价",IF(AND(COUNTIFS($A$2:$A$497,"止损计划",$B$2:$B$497,B23,$D$2:$D$497,"&lt;"&amp;D23)&gt;0,OR(E23&lt;=SUMPRODUCT(MAX((($A$2:$A$497="止损计划")*($B$2:$B$497=B23)*($D$2:$D$497&lt;D23))*$E$2:$E$497)),F23&lt;SUMPRODUCT(MAX((($A$2:$A$497="止损计划")*($B$2:$B$497=B23)*($D$2:$D$497&lt;D23))*$F$2:$F$497)))),"阶段价格必须逐级提高","计划有效"))))))),IF(A23="每日跟踪",IF(OR(B23="",H23="",I23="",J23=""),"每日数据不完整",IF(COUNTIFS($A$2:$A$497,"每日跟踪",$B$2:$B$497,B23,$H$2:$H$497,H23)&gt;1,"同一交易日期重复",IF(AND(R23&lt;&gt;"",R23&lt;S23),"人工止损无效：不能下调","跟踪有效"))),"记录类型无效")))</f>
        <v/>
      </c>
    </row>
    <row r="24" ht="17" spans="1:29">
      <c r="A24" s="2"/>
      <c r="B24" s="2"/>
      <c r="C24" s="8" t="str">
        <f>IF(B24="","",IFERROR(LOOKUP(2,1/(单次交易!$A$2:$A$201=B24),单次交易!$B$2:$B$201),""))</f>
        <v/>
      </c>
      <c r="D24" s="12"/>
      <c r="E24" s="10"/>
      <c r="F24" s="10"/>
      <c r="G24" s="2"/>
      <c r="H24" s="15"/>
      <c r="I24" s="10"/>
      <c r="J24" s="20"/>
      <c r="K24" s="13"/>
      <c r="L24" s="2"/>
      <c r="M24" s="13"/>
      <c r="N24" s="5" t="str">
        <f>IF(B24="","",IFERROR(LOOKUP(2,1/(单次交易!$A$2:$A$201=B24),单次交易!$N$2:$N$201),""))</f>
        <v/>
      </c>
      <c r="O24" s="5" t="str">
        <f t="shared" si="0"/>
        <v/>
      </c>
      <c r="P24" s="11" t="str">
        <f t="shared" si="1"/>
        <v/>
      </c>
      <c r="Q24" s="5" t="str">
        <f t="shared" si="2"/>
        <v/>
      </c>
      <c r="R24" s="10"/>
      <c r="S24" s="5" t="str">
        <f t="shared" si="3"/>
        <v/>
      </c>
      <c r="T24" s="5" t="str">
        <f t="shared" si="4"/>
        <v/>
      </c>
      <c r="U24" s="5" t="str">
        <f t="shared" si="5"/>
        <v/>
      </c>
      <c r="V24" s="7" t="str">
        <f t="shared" si="6"/>
        <v/>
      </c>
      <c r="W24" s="8" t="str">
        <f t="shared" si="7"/>
        <v/>
      </c>
      <c r="X24" s="2"/>
      <c r="Y24" s="10"/>
      <c r="Z24" s="11" t="str">
        <f>IF(X24&lt;&gt;"执行卖出","",IFERROR(LOOKUP(2,1/(单次交易!$A$2:$A$201=B24),单次交易!$AP$2:$AP$201),""))</f>
        <v/>
      </c>
      <c r="AA24" s="10"/>
      <c r="AB24" s="8" t="str">
        <f t="shared" si="8"/>
        <v/>
      </c>
      <c r="AC24" s="8" t="str">
        <f>IF(A24="","",IF(A24="止损计划",IF(OR(B24="",D24="",E24="",F24="",G24=""),"计划不完整",IF(OR(D24&lt;1,D24&lt;&gt;INT(D24)),"阶段序号无效",IF(COUNTIFS($A$2:$A$497,"止损计划",$B$2:$B$497,B24,$D$2:$D$497,D24)&gt;1,"阶段序号重复",IF(E24&lt;=IFERROR(LOOKUP(2,1/(单次交易!$A$2:$A$201=B24),单次交易!$E$2:$E$201),0),"激活价须高于买入价",IF(F24&lt;N24,"止损价不得低于初始止损",IF(F24&gt;E24,"止损价不得高于激活价",IF(AND(COUNTIFS($A$2:$A$497,"止损计划",$B$2:$B$497,B24,$D$2:$D$497,"&lt;"&amp;D24)&gt;0,OR(E24&lt;=SUMPRODUCT(MAX((($A$2:$A$497="止损计划")*($B$2:$B$497=B24)*($D$2:$D$497&lt;D24))*$E$2:$E$497)),F24&lt;SUMPRODUCT(MAX((($A$2:$A$497="止损计划")*($B$2:$B$497=B24)*($D$2:$D$497&lt;D24))*$F$2:$F$497)))),"阶段价格必须逐级提高","计划有效"))))))),IF(A24="每日跟踪",IF(OR(B24="",H24="",I24="",J24=""),"每日数据不完整",IF(COUNTIFS($A$2:$A$497,"每日跟踪",$B$2:$B$497,B24,$H$2:$H$497,H24)&gt;1,"同一交易日期重复",IF(AND(R24&lt;&gt;"",R24&lt;S24),"人工止损无效：不能下调","跟踪有效"))),"记录类型无效")))</f>
        <v/>
      </c>
    </row>
    <row r="25" ht="17" spans="1:29">
      <c r="A25" s="2"/>
      <c r="B25" s="2"/>
      <c r="C25" s="8" t="str">
        <f>IF(B25="","",IFERROR(LOOKUP(2,1/(单次交易!$A$2:$A$201=B25),单次交易!$B$2:$B$201),""))</f>
        <v/>
      </c>
      <c r="D25" s="12"/>
      <c r="E25" s="10"/>
      <c r="F25" s="10"/>
      <c r="G25" s="2"/>
      <c r="H25" s="15"/>
      <c r="I25" s="10"/>
      <c r="J25" s="20"/>
      <c r="K25" s="13"/>
      <c r="L25" s="2"/>
      <c r="M25" s="13"/>
      <c r="N25" s="5" t="str">
        <f>IF(B25="","",IFERROR(LOOKUP(2,1/(单次交易!$A$2:$A$201=B25),单次交易!$N$2:$N$201),""))</f>
        <v/>
      </c>
      <c r="O25" s="5" t="str">
        <f t="shared" si="0"/>
        <v/>
      </c>
      <c r="P25" s="11" t="str">
        <f t="shared" si="1"/>
        <v/>
      </c>
      <c r="Q25" s="5" t="str">
        <f t="shared" si="2"/>
        <v/>
      </c>
      <c r="R25" s="10"/>
      <c r="S25" s="5" t="str">
        <f t="shared" si="3"/>
        <v/>
      </c>
      <c r="T25" s="5" t="str">
        <f t="shared" si="4"/>
        <v/>
      </c>
      <c r="U25" s="5" t="str">
        <f t="shared" si="5"/>
        <v/>
      </c>
      <c r="V25" s="7" t="str">
        <f t="shared" si="6"/>
        <v/>
      </c>
      <c r="W25" s="8" t="str">
        <f t="shared" si="7"/>
        <v/>
      </c>
      <c r="X25" s="2"/>
      <c r="Y25" s="10"/>
      <c r="Z25" s="11" t="str">
        <f>IF(X25&lt;&gt;"执行卖出","",IFERROR(LOOKUP(2,1/(单次交易!$A$2:$A$201=B25),单次交易!$AP$2:$AP$201),""))</f>
        <v/>
      </c>
      <c r="AA25" s="10"/>
      <c r="AB25" s="8" t="str">
        <f t="shared" si="8"/>
        <v/>
      </c>
      <c r="AC25" s="8" t="str">
        <f>IF(A25="","",IF(A25="止损计划",IF(OR(B25="",D25="",E25="",F25="",G25=""),"计划不完整",IF(OR(D25&lt;1,D25&lt;&gt;INT(D25)),"阶段序号无效",IF(COUNTIFS($A$2:$A$497,"止损计划",$B$2:$B$497,B25,$D$2:$D$497,D25)&gt;1,"阶段序号重复",IF(E25&lt;=IFERROR(LOOKUP(2,1/(单次交易!$A$2:$A$201=B25),单次交易!$E$2:$E$201),0),"激活价须高于买入价",IF(F25&lt;N25,"止损价不得低于初始止损",IF(F25&gt;E25,"止损价不得高于激活价",IF(AND(COUNTIFS($A$2:$A$497,"止损计划",$B$2:$B$497,B25,$D$2:$D$497,"&lt;"&amp;D25)&gt;0,OR(E25&lt;=SUMPRODUCT(MAX((($A$2:$A$497="止损计划")*($B$2:$B$497=B25)*($D$2:$D$497&lt;D25))*$E$2:$E$497)),F25&lt;SUMPRODUCT(MAX((($A$2:$A$497="止损计划")*($B$2:$B$497=B25)*($D$2:$D$497&lt;D25))*$F$2:$F$497)))),"阶段价格必须逐级提高","计划有效"))))))),IF(A25="每日跟踪",IF(OR(B25="",H25="",I25="",J25=""),"每日数据不完整",IF(COUNTIFS($A$2:$A$497,"每日跟踪",$B$2:$B$497,B25,$H$2:$H$497,H25)&gt;1,"同一交易日期重复",IF(AND(R25&lt;&gt;"",R25&lt;S25),"人工止损无效：不能下调","跟踪有效"))),"记录类型无效")))</f>
        <v/>
      </c>
    </row>
    <row r="26" ht="17" spans="1:29">
      <c r="A26" s="2"/>
      <c r="B26" s="2"/>
      <c r="C26" s="8" t="str">
        <f>IF(B26="","",IFERROR(LOOKUP(2,1/(单次交易!$A$2:$A$201=B26),单次交易!$B$2:$B$201),""))</f>
        <v/>
      </c>
      <c r="D26" s="12"/>
      <c r="E26" s="10"/>
      <c r="F26" s="10"/>
      <c r="G26" s="2"/>
      <c r="H26" s="15"/>
      <c r="I26" s="10"/>
      <c r="J26" s="20"/>
      <c r="K26" s="13"/>
      <c r="L26" s="2"/>
      <c r="M26" s="13"/>
      <c r="N26" s="5" t="str">
        <f>IF(B26="","",IFERROR(LOOKUP(2,1/(单次交易!$A$2:$A$201=B26),单次交易!$N$2:$N$201),""))</f>
        <v/>
      </c>
      <c r="O26" s="5" t="str">
        <f t="shared" si="0"/>
        <v/>
      </c>
      <c r="P26" s="11" t="str">
        <f t="shared" si="1"/>
        <v/>
      </c>
      <c r="Q26" s="5" t="str">
        <f t="shared" si="2"/>
        <v/>
      </c>
      <c r="R26" s="10"/>
      <c r="S26" s="5" t="str">
        <f t="shared" si="3"/>
        <v/>
      </c>
      <c r="T26" s="5" t="str">
        <f t="shared" si="4"/>
        <v/>
      </c>
      <c r="U26" s="5" t="str">
        <f t="shared" si="5"/>
        <v/>
      </c>
      <c r="V26" s="7" t="str">
        <f t="shared" si="6"/>
        <v/>
      </c>
      <c r="W26" s="8" t="str">
        <f t="shared" si="7"/>
        <v/>
      </c>
      <c r="X26" s="2"/>
      <c r="Y26" s="10"/>
      <c r="Z26" s="11" t="str">
        <f>IF(X26&lt;&gt;"执行卖出","",IFERROR(LOOKUP(2,1/(单次交易!$A$2:$A$201=B26),单次交易!$AP$2:$AP$201),""))</f>
        <v/>
      </c>
      <c r="AA26" s="10"/>
      <c r="AB26" s="8" t="str">
        <f t="shared" si="8"/>
        <v/>
      </c>
      <c r="AC26" s="8" t="str">
        <f>IF(A26="","",IF(A26="止损计划",IF(OR(B26="",D26="",E26="",F26="",G26=""),"计划不完整",IF(OR(D26&lt;1,D26&lt;&gt;INT(D26)),"阶段序号无效",IF(COUNTIFS($A$2:$A$497,"止损计划",$B$2:$B$497,B26,$D$2:$D$497,D26)&gt;1,"阶段序号重复",IF(E26&lt;=IFERROR(LOOKUP(2,1/(单次交易!$A$2:$A$201=B26),单次交易!$E$2:$E$201),0),"激活价须高于买入价",IF(F26&lt;N26,"止损价不得低于初始止损",IF(F26&gt;E26,"止损价不得高于激活价",IF(AND(COUNTIFS($A$2:$A$497,"止损计划",$B$2:$B$497,B26,$D$2:$D$497,"&lt;"&amp;D26)&gt;0,OR(E26&lt;=SUMPRODUCT(MAX((($A$2:$A$497="止损计划")*($B$2:$B$497=B26)*($D$2:$D$497&lt;D26))*$E$2:$E$497)),F26&lt;SUMPRODUCT(MAX((($A$2:$A$497="止损计划")*($B$2:$B$497=B26)*($D$2:$D$497&lt;D26))*$F$2:$F$497)))),"阶段价格必须逐级提高","计划有效"))))))),IF(A26="每日跟踪",IF(OR(B26="",H26="",I26="",J26=""),"每日数据不完整",IF(COUNTIFS($A$2:$A$497,"每日跟踪",$B$2:$B$497,B26,$H$2:$H$497,H26)&gt;1,"同一交易日期重复",IF(AND(R26&lt;&gt;"",R26&lt;S26),"人工止损无效：不能下调","跟踪有效"))),"记录类型无效")))</f>
        <v/>
      </c>
    </row>
    <row r="27" ht="17" spans="1:29">
      <c r="A27" s="2"/>
      <c r="B27" s="2"/>
      <c r="C27" s="8" t="str">
        <f>IF(B27="","",IFERROR(LOOKUP(2,1/(单次交易!$A$2:$A$201=B27),单次交易!$B$2:$B$201),""))</f>
        <v/>
      </c>
      <c r="D27" s="12"/>
      <c r="E27" s="10"/>
      <c r="F27" s="10"/>
      <c r="G27" s="2"/>
      <c r="H27" s="15"/>
      <c r="I27" s="10"/>
      <c r="J27" s="20"/>
      <c r="K27" s="13"/>
      <c r="L27" s="2"/>
      <c r="M27" s="13"/>
      <c r="N27" s="5" t="str">
        <f>IF(B27="","",IFERROR(LOOKUP(2,1/(单次交易!$A$2:$A$201=B27),单次交易!$N$2:$N$201),""))</f>
        <v/>
      </c>
      <c r="O27" s="5" t="str">
        <f t="shared" si="0"/>
        <v/>
      </c>
      <c r="P27" s="11" t="str">
        <f t="shared" si="1"/>
        <v/>
      </c>
      <c r="Q27" s="5" t="str">
        <f t="shared" si="2"/>
        <v/>
      </c>
      <c r="R27" s="10"/>
      <c r="S27" s="5" t="str">
        <f t="shared" si="3"/>
        <v/>
      </c>
      <c r="T27" s="5" t="str">
        <f t="shared" si="4"/>
        <v/>
      </c>
      <c r="U27" s="5" t="str">
        <f t="shared" si="5"/>
        <v/>
      </c>
      <c r="V27" s="7" t="str">
        <f t="shared" si="6"/>
        <v/>
      </c>
      <c r="W27" s="8" t="str">
        <f t="shared" si="7"/>
        <v/>
      </c>
      <c r="X27" s="2"/>
      <c r="Y27" s="10"/>
      <c r="Z27" s="11" t="str">
        <f>IF(X27&lt;&gt;"执行卖出","",IFERROR(LOOKUP(2,1/(单次交易!$A$2:$A$201=B27),单次交易!$AP$2:$AP$201),""))</f>
        <v/>
      </c>
      <c r="AA27" s="10"/>
      <c r="AB27" s="8" t="str">
        <f t="shared" si="8"/>
        <v/>
      </c>
      <c r="AC27" s="8" t="str">
        <f>IF(A27="","",IF(A27="止损计划",IF(OR(B27="",D27="",E27="",F27="",G27=""),"计划不完整",IF(OR(D27&lt;1,D27&lt;&gt;INT(D27)),"阶段序号无效",IF(COUNTIFS($A$2:$A$497,"止损计划",$B$2:$B$497,B27,$D$2:$D$497,D27)&gt;1,"阶段序号重复",IF(E27&lt;=IFERROR(LOOKUP(2,1/(单次交易!$A$2:$A$201=B27),单次交易!$E$2:$E$201),0),"激活价须高于买入价",IF(F27&lt;N27,"止损价不得低于初始止损",IF(F27&gt;E27,"止损价不得高于激活价",IF(AND(COUNTIFS($A$2:$A$497,"止损计划",$B$2:$B$497,B27,$D$2:$D$497,"&lt;"&amp;D27)&gt;0,OR(E27&lt;=SUMPRODUCT(MAX((($A$2:$A$497="止损计划")*($B$2:$B$497=B27)*($D$2:$D$497&lt;D27))*$E$2:$E$497)),F27&lt;SUMPRODUCT(MAX((($A$2:$A$497="止损计划")*($B$2:$B$497=B27)*($D$2:$D$497&lt;D27))*$F$2:$F$497)))),"阶段价格必须逐级提高","计划有效"))))))),IF(A27="每日跟踪",IF(OR(B27="",H27="",I27="",J27=""),"每日数据不完整",IF(COUNTIFS($A$2:$A$497,"每日跟踪",$B$2:$B$497,B27,$H$2:$H$497,H27)&gt;1,"同一交易日期重复",IF(AND(R27&lt;&gt;"",R27&lt;S27),"人工止损无效：不能下调","跟踪有效"))),"记录类型无效")))</f>
        <v/>
      </c>
    </row>
    <row r="28" ht="17" spans="1:29">
      <c r="A28" s="2"/>
      <c r="B28" s="2"/>
      <c r="C28" s="8" t="str">
        <f>IF(B28="","",IFERROR(LOOKUP(2,1/(单次交易!$A$2:$A$201=B28),单次交易!$B$2:$B$201),""))</f>
        <v/>
      </c>
      <c r="D28" s="12"/>
      <c r="E28" s="10"/>
      <c r="F28" s="10"/>
      <c r="G28" s="2"/>
      <c r="H28" s="15"/>
      <c r="I28" s="10"/>
      <c r="J28" s="20"/>
      <c r="K28" s="13"/>
      <c r="L28" s="2"/>
      <c r="M28" s="13"/>
      <c r="N28" s="5" t="str">
        <f>IF(B28="","",IFERROR(LOOKUP(2,1/(单次交易!$A$2:$A$201=B28),单次交易!$N$2:$N$201),""))</f>
        <v/>
      </c>
      <c r="O28" s="5" t="str">
        <f t="shared" si="0"/>
        <v/>
      </c>
      <c r="P28" s="11" t="str">
        <f t="shared" si="1"/>
        <v/>
      </c>
      <c r="Q28" s="5" t="str">
        <f t="shared" si="2"/>
        <v/>
      </c>
      <c r="R28" s="10"/>
      <c r="S28" s="5" t="str">
        <f t="shared" si="3"/>
        <v/>
      </c>
      <c r="T28" s="5" t="str">
        <f t="shared" si="4"/>
        <v/>
      </c>
      <c r="U28" s="5" t="str">
        <f t="shared" si="5"/>
        <v/>
      </c>
      <c r="V28" s="7" t="str">
        <f t="shared" si="6"/>
        <v/>
      </c>
      <c r="W28" s="8" t="str">
        <f t="shared" si="7"/>
        <v/>
      </c>
      <c r="X28" s="2"/>
      <c r="Y28" s="10"/>
      <c r="Z28" s="11" t="str">
        <f>IF(X28&lt;&gt;"执行卖出","",IFERROR(LOOKUP(2,1/(单次交易!$A$2:$A$201=B28),单次交易!$AP$2:$AP$201),""))</f>
        <v/>
      </c>
      <c r="AA28" s="10"/>
      <c r="AB28" s="8" t="str">
        <f t="shared" si="8"/>
        <v/>
      </c>
      <c r="AC28" s="8" t="str">
        <f>IF(A28="","",IF(A28="止损计划",IF(OR(B28="",D28="",E28="",F28="",G28=""),"计划不完整",IF(OR(D28&lt;1,D28&lt;&gt;INT(D28)),"阶段序号无效",IF(COUNTIFS($A$2:$A$497,"止损计划",$B$2:$B$497,B28,$D$2:$D$497,D28)&gt;1,"阶段序号重复",IF(E28&lt;=IFERROR(LOOKUP(2,1/(单次交易!$A$2:$A$201=B28),单次交易!$E$2:$E$201),0),"激活价须高于买入价",IF(F28&lt;N28,"止损价不得低于初始止损",IF(F28&gt;E28,"止损价不得高于激活价",IF(AND(COUNTIFS($A$2:$A$497,"止损计划",$B$2:$B$497,B28,$D$2:$D$497,"&lt;"&amp;D28)&gt;0,OR(E28&lt;=SUMPRODUCT(MAX((($A$2:$A$497="止损计划")*($B$2:$B$497=B28)*($D$2:$D$497&lt;D28))*$E$2:$E$497)),F28&lt;SUMPRODUCT(MAX((($A$2:$A$497="止损计划")*($B$2:$B$497=B28)*($D$2:$D$497&lt;D28))*$F$2:$F$497)))),"阶段价格必须逐级提高","计划有效"))))))),IF(A28="每日跟踪",IF(OR(B28="",H28="",I28="",J28=""),"每日数据不完整",IF(COUNTIFS($A$2:$A$497,"每日跟踪",$B$2:$B$497,B28,$H$2:$H$497,H28)&gt;1,"同一交易日期重复",IF(AND(R28&lt;&gt;"",R28&lt;S28),"人工止损无效：不能下调","跟踪有效"))),"记录类型无效")))</f>
        <v/>
      </c>
    </row>
    <row r="29" ht="17" spans="1:29">
      <c r="A29" s="2"/>
      <c r="B29" s="2"/>
      <c r="C29" s="8" t="str">
        <f>IF(B29="","",IFERROR(LOOKUP(2,1/(单次交易!$A$2:$A$201=B29),单次交易!$B$2:$B$201),""))</f>
        <v/>
      </c>
      <c r="D29" s="12"/>
      <c r="E29" s="10"/>
      <c r="F29" s="10"/>
      <c r="G29" s="2"/>
      <c r="H29" s="15"/>
      <c r="I29" s="10"/>
      <c r="J29" s="20"/>
      <c r="K29" s="13"/>
      <c r="L29" s="2"/>
      <c r="M29" s="13"/>
      <c r="N29" s="5" t="str">
        <f>IF(B29="","",IFERROR(LOOKUP(2,1/(单次交易!$A$2:$A$201=B29),单次交易!$N$2:$N$201),""))</f>
        <v/>
      </c>
      <c r="O29" s="5" t="str">
        <f t="shared" si="0"/>
        <v/>
      </c>
      <c r="P29" s="11" t="str">
        <f t="shared" si="1"/>
        <v/>
      </c>
      <c r="Q29" s="5" t="str">
        <f t="shared" si="2"/>
        <v/>
      </c>
      <c r="R29" s="10"/>
      <c r="S29" s="5" t="str">
        <f t="shared" si="3"/>
        <v/>
      </c>
      <c r="T29" s="5" t="str">
        <f t="shared" si="4"/>
        <v/>
      </c>
      <c r="U29" s="5" t="str">
        <f t="shared" si="5"/>
        <v/>
      </c>
      <c r="V29" s="7" t="str">
        <f t="shared" si="6"/>
        <v/>
      </c>
      <c r="W29" s="8" t="str">
        <f t="shared" si="7"/>
        <v/>
      </c>
      <c r="X29" s="2"/>
      <c r="Y29" s="10"/>
      <c r="Z29" s="11" t="str">
        <f>IF(X29&lt;&gt;"执行卖出","",IFERROR(LOOKUP(2,1/(单次交易!$A$2:$A$201=B29),单次交易!$AP$2:$AP$201),""))</f>
        <v/>
      </c>
      <c r="AA29" s="10"/>
      <c r="AB29" s="8" t="str">
        <f t="shared" si="8"/>
        <v/>
      </c>
      <c r="AC29" s="8" t="str">
        <f>IF(A29="","",IF(A29="止损计划",IF(OR(B29="",D29="",E29="",F29="",G29=""),"计划不完整",IF(OR(D29&lt;1,D29&lt;&gt;INT(D29)),"阶段序号无效",IF(COUNTIFS($A$2:$A$497,"止损计划",$B$2:$B$497,B29,$D$2:$D$497,D29)&gt;1,"阶段序号重复",IF(E29&lt;=IFERROR(LOOKUP(2,1/(单次交易!$A$2:$A$201=B29),单次交易!$E$2:$E$201),0),"激活价须高于买入价",IF(F29&lt;N29,"止损价不得低于初始止损",IF(F29&gt;E29,"止损价不得高于激活价",IF(AND(COUNTIFS($A$2:$A$497,"止损计划",$B$2:$B$497,B29,$D$2:$D$497,"&lt;"&amp;D29)&gt;0,OR(E29&lt;=SUMPRODUCT(MAX((($A$2:$A$497="止损计划")*($B$2:$B$497=B29)*($D$2:$D$497&lt;D29))*$E$2:$E$497)),F29&lt;SUMPRODUCT(MAX((($A$2:$A$497="止损计划")*($B$2:$B$497=B29)*($D$2:$D$497&lt;D29))*$F$2:$F$497)))),"阶段价格必须逐级提高","计划有效"))))))),IF(A29="每日跟踪",IF(OR(B29="",H29="",I29="",J29=""),"每日数据不完整",IF(COUNTIFS($A$2:$A$497,"每日跟踪",$B$2:$B$497,B29,$H$2:$H$497,H29)&gt;1,"同一交易日期重复",IF(AND(R29&lt;&gt;"",R29&lt;S29),"人工止损无效：不能下调","跟踪有效"))),"记录类型无效")))</f>
        <v/>
      </c>
    </row>
    <row r="30" ht="17" spans="1:29">
      <c r="A30" s="2"/>
      <c r="B30" s="2"/>
      <c r="C30" s="8" t="str">
        <f>IF(B30="","",IFERROR(LOOKUP(2,1/(单次交易!$A$2:$A$201=B30),单次交易!$B$2:$B$201),""))</f>
        <v/>
      </c>
      <c r="D30" s="12"/>
      <c r="E30" s="10"/>
      <c r="F30" s="10"/>
      <c r="G30" s="2"/>
      <c r="H30" s="15"/>
      <c r="I30" s="10"/>
      <c r="J30" s="20"/>
      <c r="K30" s="13"/>
      <c r="L30" s="2"/>
      <c r="M30" s="13"/>
      <c r="N30" s="5" t="str">
        <f>IF(B30="","",IFERROR(LOOKUP(2,1/(单次交易!$A$2:$A$201=B30),单次交易!$N$2:$N$201),""))</f>
        <v/>
      </c>
      <c r="O30" s="5" t="str">
        <f t="shared" si="0"/>
        <v/>
      </c>
      <c r="P30" s="11" t="str">
        <f t="shared" si="1"/>
        <v/>
      </c>
      <c r="Q30" s="5" t="str">
        <f t="shared" si="2"/>
        <v/>
      </c>
      <c r="R30" s="10"/>
      <c r="S30" s="5" t="str">
        <f t="shared" si="3"/>
        <v/>
      </c>
      <c r="T30" s="5" t="str">
        <f t="shared" si="4"/>
        <v/>
      </c>
      <c r="U30" s="5" t="str">
        <f t="shared" si="5"/>
        <v/>
      </c>
      <c r="V30" s="7" t="str">
        <f t="shared" si="6"/>
        <v/>
      </c>
      <c r="W30" s="8" t="str">
        <f t="shared" si="7"/>
        <v/>
      </c>
      <c r="X30" s="2"/>
      <c r="Y30" s="10"/>
      <c r="Z30" s="11" t="str">
        <f>IF(X30&lt;&gt;"执行卖出","",IFERROR(LOOKUP(2,1/(单次交易!$A$2:$A$201=B30),单次交易!$AP$2:$AP$201),""))</f>
        <v/>
      </c>
      <c r="AA30" s="10"/>
      <c r="AB30" s="8" t="str">
        <f t="shared" si="8"/>
        <v/>
      </c>
      <c r="AC30" s="8" t="str">
        <f>IF(A30="","",IF(A30="止损计划",IF(OR(B30="",D30="",E30="",F30="",G30=""),"计划不完整",IF(OR(D30&lt;1,D30&lt;&gt;INT(D30)),"阶段序号无效",IF(COUNTIFS($A$2:$A$497,"止损计划",$B$2:$B$497,B30,$D$2:$D$497,D30)&gt;1,"阶段序号重复",IF(E30&lt;=IFERROR(LOOKUP(2,1/(单次交易!$A$2:$A$201=B30),单次交易!$E$2:$E$201),0),"激活价须高于买入价",IF(F30&lt;N30,"止损价不得低于初始止损",IF(F30&gt;E30,"止损价不得高于激活价",IF(AND(COUNTIFS($A$2:$A$497,"止损计划",$B$2:$B$497,B30,$D$2:$D$497,"&lt;"&amp;D30)&gt;0,OR(E30&lt;=SUMPRODUCT(MAX((($A$2:$A$497="止损计划")*($B$2:$B$497=B30)*($D$2:$D$497&lt;D30))*$E$2:$E$497)),F30&lt;SUMPRODUCT(MAX((($A$2:$A$497="止损计划")*($B$2:$B$497=B30)*($D$2:$D$497&lt;D30))*$F$2:$F$497)))),"阶段价格必须逐级提高","计划有效"))))))),IF(A30="每日跟踪",IF(OR(B30="",H30="",I30="",J30=""),"每日数据不完整",IF(COUNTIFS($A$2:$A$497,"每日跟踪",$B$2:$B$497,B30,$H$2:$H$497,H30)&gt;1,"同一交易日期重复",IF(AND(R30&lt;&gt;"",R30&lt;S30),"人工止损无效：不能下调","跟踪有效"))),"记录类型无效")))</f>
        <v/>
      </c>
    </row>
    <row r="31" ht="17" spans="1:29">
      <c r="A31" s="2"/>
      <c r="B31" s="2"/>
      <c r="C31" s="8" t="str">
        <f>IF(B31="","",IFERROR(LOOKUP(2,1/(单次交易!$A$2:$A$201=B31),单次交易!$B$2:$B$201),""))</f>
        <v/>
      </c>
      <c r="D31" s="12"/>
      <c r="E31" s="10"/>
      <c r="F31" s="10"/>
      <c r="G31" s="2"/>
      <c r="H31" s="15"/>
      <c r="I31" s="10"/>
      <c r="J31" s="20"/>
      <c r="K31" s="13"/>
      <c r="L31" s="2"/>
      <c r="M31" s="13"/>
      <c r="N31" s="5" t="str">
        <f>IF(B31="","",IFERROR(LOOKUP(2,1/(单次交易!$A$2:$A$201=B31),单次交易!$N$2:$N$201),""))</f>
        <v/>
      </c>
      <c r="O31" s="5" t="str">
        <f t="shared" si="0"/>
        <v/>
      </c>
      <c r="P31" s="11" t="str">
        <f t="shared" si="1"/>
        <v/>
      </c>
      <c r="Q31" s="5" t="str">
        <f t="shared" si="2"/>
        <v/>
      </c>
      <c r="R31" s="10"/>
      <c r="S31" s="5" t="str">
        <f t="shared" si="3"/>
        <v/>
      </c>
      <c r="T31" s="5" t="str">
        <f t="shared" si="4"/>
        <v/>
      </c>
      <c r="U31" s="5" t="str">
        <f t="shared" si="5"/>
        <v/>
      </c>
      <c r="V31" s="7" t="str">
        <f t="shared" si="6"/>
        <v/>
      </c>
      <c r="W31" s="8" t="str">
        <f t="shared" si="7"/>
        <v/>
      </c>
      <c r="X31" s="2"/>
      <c r="Y31" s="10"/>
      <c r="Z31" s="11" t="str">
        <f>IF(X31&lt;&gt;"执行卖出","",IFERROR(LOOKUP(2,1/(单次交易!$A$2:$A$201=B31),单次交易!$AP$2:$AP$201),""))</f>
        <v/>
      </c>
      <c r="AA31" s="10"/>
      <c r="AB31" s="8" t="str">
        <f t="shared" si="8"/>
        <v/>
      </c>
      <c r="AC31" s="8" t="str">
        <f>IF(A31="","",IF(A31="止损计划",IF(OR(B31="",D31="",E31="",F31="",G31=""),"计划不完整",IF(OR(D31&lt;1,D31&lt;&gt;INT(D31)),"阶段序号无效",IF(COUNTIFS($A$2:$A$497,"止损计划",$B$2:$B$497,B31,$D$2:$D$497,D31)&gt;1,"阶段序号重复",IF(E31&lt;=IFERROR(LOOKUP(2,1/(单次交易!$A$2:$A$201=B31),单次交易!$E$2:$E$201),0),"激活价须高于买入价",IF(F31&lt;N31,"止损价不得低于初始止损",IF(F31&gt;E31,"止损价不得高于激活价",IF(AND(COUNTIFS($A$2:$A$497,"止损计划",$B$2:$B$497,B31,$D$2:$D$497,"&lt;"&amp;D31)&gt;0,OR(E31&lt;=SUMPRODUCT(MAX((($A$2:$A$497="止损计划")*($B$2:$B$497=B31)*($D$2:$D$497&lt;D31))*$E$2:$E$497)),F31&lt;SUMPRODUCT(MAX((($A$2:$A$497="止损计划")*($B$2:$B$497=B31)*($D$2:$D$497&lt;D31))*$F$2:$F$497)))),"阶段价格必须逐级提高","计划有效"))))))),IF(A31="每日跟踪",IF(OR(B31="",H31="",I31="",J31=""),"每日数据不完整",IF(COUNTIFS($A$2:$A$497,"每日跟踪",$B$2:$B$497,B31,$H$2:$H$497,H31)&gt;1,"同一交易日期重复",IF(AND(R31&lt;&gt;"",R31&lt;S31),"人工止损无效：不能下调","跟踪有效"))),"记录类型无效")))</f>
        <v/>
      </c>
    </row>
    <row r="32" ht="17" spans="1:29">
      <c r="A32" s="2"/>
      <c r="B32" s="2"/>
      <c r="C32" s="8" t="str">
        <f>IF(B32="","",IFERROR(LOOKUP(2,1/(单次交易!$A$2:$A$201=B32),单次交易!$B$2:$B$201),""))</f>
        <v/>
      </c>
      <c r="D32" s="12"/>
      <c r="E32" s="10"/>
      <c r="F32" s="10"/>
      <c r="G32" s="2"/>
      <c r="H32" s="15"/>
      <c r="I32" s="10"/>
      <c r="J32" s="20"/>
      <c r="K32" s="13"/>
      <c r="L32" s="2"/>
      <c r="M32" s="13"/>
      <c r="N32" s="5" t="str">
        <f>IF(B32="","",IFERROR(LOOKUP(2,1/(单次交易!$A$2:$A$201=B32),单次交易!$N$2:$N$201),""))</f>
        <v/>
      </c>
      <c r="O32" s="5" t="str">
        <f t="shared" si="0"/>
        <v/>
      </c>
      <c r="P32" s="11" t="str">
        <f t="shared" si="1"/>
        <v/>
      </c>
      <c r="Q32" s="5" t="str">
        <f t="shared" si="2"/>
        <v/>
      </c>
      <c r="R32" s="10"/>
      <c r="S32" s="5" t="str">
        <f t="shared" si="3"/>
        <v/>
      </c>
      <c r="T32" s="5" t="str">
        <f t="shared" si="4"/>
        <v/>
      </c>
      <c r="U32" s="5" t="str">
        <f t="shared" si="5"/>
        <v/>
      </c>
      <c r="V32" s="7" t="str">
        <f t="shared" si="6"/>
        <v/>
      </c>
      <c r="W32" s="8" t="str">
        <f t="shared" si="7"/>
        <v/>
      </c>
      <c r="X32" s="2"/>
      <c r="Y32" s="10"/>
      <c r="Z32" s="11" t="str">
        <f>IF(X32&lt;&gt;"执行卖出","",IFERROR(LOOKUP(2,1/(单次交易!$A$2:$A$201=B32),单次交易!$AP$2:$AP$201),""))</f>
        <v/>
      </c>
      <c r="AA32" s="10"/>
      <c r="AB32" s="8" t="str">
        <f t="shared" si="8"/>
        <v/>
      </c>
      <c r="AC32" s="8" t="str">
        <f>IF(A32="","",IF(A32="止损计划",IF(OR(B32="",D32="",E32="",F32="",G32=""),"计划不完整",IF(OR(D32&lt;1,D32&lt;&gt;INT(D32)),"阶段序号无效",IF(COUNTIFS($A$2:$A$497,"止损计划",$B$2:$B$497,B32,$D$2:$D$497,D32)&gt;1,"阶段序号重复",IF(E32&lt;=IFERROR(LOOKUP(2,1/(单次交易!$A$2:$A$201=B32),单次交易!$E$2:$E$201),0),"激活价须高于买入价",IF(F32&lt;N32,"止损价不得低于初始止损",IF(F32&gt;E32,"止损价不得高于激活价",IF(AND(COUNTIFS($A$2:$A$497,"止损计划",$B$2:$B$497,B32,$D$2:$D$497,"&lt;"&amp;D32)&gt;0,OR(E32&lt;=SUMPRODUCT(MAX((($A$2:$A$497="止损计划")*($B$2:$B$497=B32)*($D$2:$D$497&lt;D32))*$E$2:$E$497)),F32&lt;SUMPRODUCT(MAX((($A$2:$A$497="止损计划")*($B$2:$B$497=B32)*($D$2:$D$497&lt;D32))*$F$2:$F$497)))),"阶段价格必须逐级提高","计划有效"))))))),IF(A32="每日跟踪",IF(OR(B32="",H32="",I32="",J32=""),"每日数据不完整",IF(COUNTIFS($A$2:$A$497,"每日跟踪",$B$2:$B$497,B32,$H$2:$H$497,H32)&gt;1,"同一交易日期重复",IF(AND(R32&lt;&gt;"",R32&lt;S32),"人工止损无效：不能下调","跟踪有效"))),"记录类型无效")))</f>
        <v/>
      </c>
    </row>
    <row r="33" ht="17" spans="1:29">
      <c r="A33" s="2"/>
      <c r="B33" s="2"/>
      <c r="C33" s="8" t="str">
        <f>IF(B33="","",IFERROR(LOOKUP(2,1/(单次交易!$A$2:$A$201=B33),单次交易!$B$2:$B$201),""))</f>
        <v/>
      </c>
      <c r="D33" s="12"/>
      <c r="E33" s="10"/>
      <c r="F33" s="10"/>
      <c r="G33" s="2"/>
      <c r="H33" s="15"/>
      <c r="I33" s="10"/>
      <c r="J33" s="20"/>
      <c r="K33" s="13"/>
      <c r="L33" s="2"/>
      <c r="M33" s="13"/>
      <c r="N33" s="5" t="str">
        <f>IF(B33="","",IFERROR(LOOKUP(2,1/(单次交易!$A$2:$A$201=B33),单次交易!$N$2:$N$201),""))</f>
        <v/>
      </c>
      <c r="O33" s="5" t="str">
        <f t="shared" si="0"/>
        <v/>
      </c>
      <c r="P33" s="11" t="str">
        <f t="shared" si="1"/>
        <v/>
      </c>
      <c r="Q33" s="5" t="str">
        <f t="shared" si="2"/>
        <v/>
      </c>
      <c r="R33" s="10"/>
      <c r="S33" s="5" t="str">
        <f t="shared" si="3"/>
        <v/>
      </c>
      <c r="T33" s="5" t="str">
        <f t="shared" si="4"/>
        <v/>
      </c>
      <c r="U33" s="5" t="str">
        <f t="shared" si="5"/>
        <v/>
      </c>
      <c r="V33" s="7" t="str">
        <f t="shared" si="6"/>
        <v/>
      </c>
      <c r="W33" s="8" t="str">
        <f t="shared" si="7"/>
        <v/>
      </c>
      <c r="X33" s="2"/>
      <c r="Y33" s="10"/>
      <c r="Z33" s="11" t="str">
        <f>IF(X33&lt;&gt;"执行卖出","",IFERROR(LOOKUP(2,1/(单次交易!$A$2:$A$201=B33),单次交易!$AP$2:$AP$201),""))</f>
        <v/>
      </c>
      <c r="AA33" s="10"/>
      <c r="AB33" s="8" t="str">
        <f t="shared" si="8"/>
        <v/>
      </c>
      <c r="AC33" s="8" t="str">
        <f>IF(A33="","",IF(A33="止损计划",IF(OR(B33="",D33="",E33="",F33="",G33=""),"计划不完整",IF(OR(D33&lt;1,D33&lt;&gt;INT(D33)),"阶段序号无效",IF(COUNTIFS($A$2:$A$497,"止损计划",$B$2:$B$497,B33,$D$2:$D$497,D33)&gt;1,"阶段序号重复",IF(E33&lt;=IFERROR(LOOKUP(2,1/(单次交易!$A$2:$A$201=B33),单次交易!$E$2:$E$201),0),"激活价须高于买入价",IF(F33&lt;N33,"止损价不得低于初始止损",IF(F33&gt;E33,"止损价不得高于激活价",IF(AND(COUNTIFS($A$2:$A$497,"止损计划",$B$2:$B$497,B33,$D$2:$D$497,"&lt;"&amp;D33)&gt;0,OR(E33&lt;=SUMPRODUCT(MAX((($A$2:$A$497="止损计划")*($B$2:$B$497=B33)*($D$2:$D$497&lt;D33))*$E$2:$E$497)),F33&lt;SUMPRODUCT(MAX((($A$2:$A$497="止损计划")*($B$2:$B$497=B33)*($D$2:$D$497&lt;D33))*$F$2:$F$497)))),"阶段价格必须逐级提高","计划有效"))))))),IF(A33="每日跟踪",IF(OR(B33="",H33="",I33="",J33=""),"每日数据不完整",IF(COUNTIFS($A$2:$A$497,"每日跟踪",$B$2:$B$497,B33,$H$2:$H$497,H33)&gt;1,"同一交易日期重复",IF(AND(R33&lt;&gt;"",R33&lt;S33),"人工止损无效：不能下调","跟踪有效"))),"记录类型无效")))</f>
        <v/>
      </c>
    </row>
    <row r="34" ht="17" spans="1:29">
      <c r="A34" s="2"/>
      <c r="B34" s="2"/>
      <c r="C34" s="8" t="str">
        <f>IF(B34="","",IFERROR(LOOKUP(2,1/(单次交易!$A$2:$A$201=B34),单次交易!$B$2:$B$201),""))</f>
        <v/>
      </c>
      <c r="D34" s="12"/>
      <c r="E34" s="10"/>
      <c r="F34" s="10"/>
      <c r="G34" s="2"/>
      <c r="H34" s="15"/>
      <c r="I34" s="10"/>
      <c r="J34" s="20"/>
      <c r="K34" s="2"/>
      <c r="L34" s="2"/>
      <c r="M34" s="13"/>
      <c r="N34" s="5" t="str">
        <f>IF(B34="","",IFERROR(LOOKUP(2,1/(单次交易!$A$2:$A$201=B34),单次交易!$N$2:$N$201),""))</f>
        <v/>
      </c>
      <c r="O34" s="5" t="str">
        <f t="shared" si="0"/>
        <v/>
      </c>
      <c r="P34" s="11" t="str">
        <f t="shared" si="1"/>
        <v/>
      </c>
      <c r="Q34" s="5" t="str">
        <f t="shared" si="2"/>
        <v/>
      </c>
      <c r="R34" s="10"/>
      <c r="S34" s="5" t="str">
        <f t="shared" si="3"/>
        <v/>
      </c>
      <c r="T34" s="5" t="str">
        <f t="shared" si="4"/>
        <v/>
      </c>
      <c r="U34" s="5" t="str">
        <f t="shared" si="5"/>
        <v/>
      </c>
      <c r="V34" s="7" t="str">
        <f t="shared" si="6"/>
        <v/>
      </c>
      <c r="W34" s="8" t="str">
        <f t="shared" si="7"/>
        <v/>
      </c>
      <c r="X34" s="2"/>
      <c r="Y34" s="10"/>
      <c r="Z34" s="11" t="str">
        <f>IF(X34&lt;&gt;"执行卖出","",IFERROR(LOOKUP(2,1/(单次交易!$A$2:$A$201=B34),单次交易!$AP$2:$AP$201),""))</f>
        <v/>
      </c>
      <c r="AA34" s="10"/>
      <c r="AB34" s="8" t="str">
        <f t="shared" si="8"/>
        <v/>
      </c>
      <c r="AC34" s="8" t="str">
        <f>IF(A34="","",IF(A34="止损计划",IF(OR(B34="",D34="",E34="",F34="",G34=""),"计划不完整",IF(OR(D34&lt;1,D34&lt;&gt;INT(D34)),"阶段序号无效",IF(COUNTIFS($A$2:$A$497,"止损计划",$B$2:$B$497,B34,$D$2:$D$497,D34)&gt;1,"阶段序号重复",IF(E34&lt;=IFERROR(LOOKUP(2,1/(单次交易!$A$2:$A$201=B34),单次交易!$E$2:$E$201),0),"激活价须高于买入价",IF(F34&lt;N34,"止损价不得低于初始止损",IF(F34&gt;E34,"止损价不得高于激活价",IF(AND(COUNTIFS($A$2:$A$497,"止损计划",$B$2:$B$497,B34,$D$2:$D$497,"&lt;"&amp;D34)&gt;0,OR(E34&lt;=SUMPRODUCT(MAX((($A$2:$A$497="止损计划")*($B$2:$B$497=B34)*($D$2:$D$497&lt;D34))*$E$2:$E$497)),F34&lt;SUMPRODUCT(MAX((($A$2:$A$497="止损计划")*($B$2:$B$497=B34)*($D$2:$D$497&lt;D34))*$F$2:$F$497)))),"阶段价格必须逐级提高","计划有效"))))))),IF(A34="每日跟踪",IF(OR(B34="",H34="",I34="",J34=""),"每日数据不完整",IF(COUNTIFS($A$2:$A$497,"每日跟踪",$B$2:$B$497,B34,$H$2:$H$497,H34)&gt;1,"同一交易日期重复",IF(AND(R34&lt;&gt;"",R34&lt;S34),"人工止损无效：不能下调","跟踪有效"))),"记录类型无效")))</f>
        <v/>
      </c>
    </row>
    <row r="35" ht="17" spans="1:29">
      <c r="A35" s="2"/>
      <c r="B35" s="2"/>
      <c r="C35" s="8" t="str">
        <f>IF(B35="","",IFERROR(LOOKUP(2,1/(单次交易!$A$2:$A$201=B35),单次交易!$B$2:$B$201),""))</f>
        <v/>
      </c>
      <c r="D35" s="12"/>
      <c r="E35" s="10"/>
      <c r="F35" s="10"/>
      <c r="G35" s="2"/>
      <c r="H35" s="15"/>
      <c r="I35" s="10"/>
      <c r="J35" s="20"/>
      <c r="K35" s="13"/>
      <c r="L35" s="2"/>
      <c r="M35" s="2"/>
      <c r="N35" s="5" t="str">
        <f>IF(B35="","",IFERROR(LOOKUP(2,1/(单次交易!$A$2:$A$201=B35),单次交易!$N$2:$N$201),""))</f>
        <v/>
      </c>
      <c r="O35" s="5" t="str">
        <f t="shared" si="0"/>
        <v/>
      </c>
      <c r="P35" s="11" t="str">
        <f t="shared" si="1"/>
        <v/>
      </c>
      <c r="Q35" s="5" t="str">
        <f t="shared" si="2"/>
        <v/>
      </c>
      <c r="R35" s="10"/>
      <c r="S35" s="5" t="str">
        <f t="shared" si="3"/>
        <v/>
      </c>
      <c r="T35" s="5" t="str">
        <f t="shared" si="4"/>
        <v/>
      </c>
      <c r="U35" s="5" t="str">
        <f t="shared" si="5"/>
        <v/>
      </c>
      <c r="V35" s="7" t="str">
        <f t="shared" si="6"/>
        <v/>
      </c>
      <c r="W35" s="8" t="str">
        <f t="shared" si="7"/>
        <v/>
      </c>
      <c r="X35" s="2"/>
      <c r="Y35" s="10"/>
      <c r="Z35" s="11" t="str">
        <f>IF(X35&lt;&gt;"执行卖出","",IFERROR(LOOKUP(2,1/(单次交易!$A$2:$A$201=B35),单次交易!$AP$2:$AP$201),""))</f>
        <v/>
      </c>
      <c r="AA35" s="10"/>
      <c r="AB35" s="8" t="str">
        <f t="shared" si="8"/>
        <v/>
      </c>
      <c r="AC35" s="8" t="str">
        <f>IF(A35="","",IF(A35="止损计划",IF(OR(B35="",D35="",E35="",F35="",G35=""),"计划不完整",IF(OR(D35&lt;1,D35&lt;&gt;INT(D35)),"阶段序号无效",IF(COUNTIFS($A$2:$A$497,"止损计划",$B$2:$B$497,B35,$D$2:$D$497,D35)&gt;1,"阶段序号重复",IF(E35&lt;=IFERROR(LOOKUP(2,1/(单次交易!$A$2:$A$201=B35),单次交易!$E$2:$E$201),0),"激活价须高于买入价",IF(F35&lt;N35,"止损价不得低于初始止损",IF(F35&gt;E35,"止损价不得高于激活价",IF(AND(COUNTIFS($A$2:$A$497,"止损计划",$B$2:$B$497,B35,$D$2:$D$497,"&lt;"&amp;D35)&gt;0,OR(E35&lt;=SUMPRODUCT(MAX((($A$2:$A$497="止损计划")*($B$2:$B$497=B35)*($D$2:$D$497&lt;D35))*$E$2:$E$497)),F35&lt;SUMPRODUCT(MAX((($A$2:$A$497="止损计划")*($B$2:$B$497=B35)*($D$2:$D$497&lt;D35))*$F$2:$F$497)))),"阶段价格必须逐级提高","计划有效"))))))),IF(A35="每日跟踪",IF(OR(B35="",H35="",I35="",J35=""),"每日数据不完整",IF(COUNTIFS($A$2:$A$497,"每日跟踪",$B$2:$B$497,B35,$H$2:$H$497,H35)&gt;1,"同一交易日期重复",IF(AND(R35&lt;&gt;"",R35&lt;S35),"人工止损无效：不能下调","跟踪有效"))),"记录类型无效")))</f>
        <v/>
      </c>
    </row>
    <row r="36" ht="17" spans="1:29">
      <c r="A36" s="2"/>
      <c r="B36" s="2"/>
      <c r="C36" s="8" t="str">
        <f>IF(B36="","",IFERROR(LOOKUP(2,1/(单次交易!$A$2:$A$201=B36),单次交易!$B$2:$B$201),""))</f>
        <v/>
      </c>
      <c r="D36" s="12"/>
      <c r="E36" s="10"/>
      <c r="F36" s="10"/>
      <c r="G36" s="2"/>
      <c r="H36" s="15"/>
      <c r="I36" s="10"/>
      <c r="J36" s="20"/>
      <c r="K36" s="13"/>
      <c r="L36" s="2"/>
      <c r="M36" s="13"/>
      <c r="N36" s="5" t="str">
        <f>IF(B36="","",IFERROR(LOOKUP(2,1/(单次交易!$A$2:$A$201=B36),单次交易!$N$2:$N$201),""))</f>
        <v/>
      </c>
      <c r="O36" s="5" t="str">
        <f t="shared" si="0"/>
        <v/>
      </c>
      <c r="P36" s="11" t="str">
        <f t="shared" si="1"/>
        <v/>
      </c>
      <c r="Q36" s="5" t="str">
        <f t="shared" si="2"/>
        <v/>
      </c>
      <c r="R36" s="10"/>
      <c r="S36" s="5" t="str">
        <f t="shared" si="3"/>
        <v/>
      </c>
      <c r="T36" s="5" t="str">
        <f t="shared" si="4"/>
        <v/>
      </c>
      <c r="U36" s="5" t="str">
        <f t="shared" si="5"/>
        <v/>
      </c>
      <c r="V36" s="7" t="str">
        <f t="shared" si="6"/>
        <v/>
      </c>
      <c r="W36" s="8" t="str">
        <f t="shared" si="7"/>
        <v/>
      </c>
      <c r="X36" s="2"/>
      <c r="Y36" s="10"/>
      <c r="Z36" s="11" t="str">
        <f>IF(X36&lt;&gt;"执行卖出","",IFERROR(LOOKUP(2,1/(单次交易!$A$2:$A$201=B36),单次交易!$AP$2:$AP$201),""))</f>
        <v/>
      </c>
      <c r="AA36" s="10"/>
      <c r="AB36" s="8" t="str">
        <f t="shared" si="8"/>
        <v/>
      </c>
      <c r="AC36" s="8" t="str">
        <f>IF(A36="","",IF(A36="止损计划",IF(OR(B36="",D36="",E36="",F36="",G36=""),"计划不完整",IF(OR(D36&lt;1,D36&lt;&gt;INT(D36)),"阶段序号无效",IF(COUNTIFS($A$2:$A$497,"止损计划",$B$2:$B$497,B36,$D$2:$D$497,D36)&gt;1,"阶段序号重复",IF(E36&lt;=IFERROR(LOOKUP(2,1/(单次交易!$A$2:$A$201=B36),单次交易!$E$2:$E$201),0),"激活价须高于买入价",IF(F36&lt;N36,"止损价不得低于初始止损",IF(F36&gt;E36,"止损价不得高于激活价",IF(AND(COUNTIFS($A$2:$A$497,"止损计划",$B$2:$B$497,B36,$D$2:$D$497,"&lt;"&amp;D36)&gt;0,OR(E36&lt;=SUMPRODUCT(MAX((($A$2:$A$497="止损计划")*($B$2:$B$497=B36)*($D$2:$D$497&lt;D36))*$E$2:$E$497)),F36&lt;SUMPRODUCT(MAX((($A$2:$A$497="止损计划")*($B$2:$B$497=B36)*($D$2:$D$497&lt;D36))*$F$2:$F$497)))),"阶段价格必须逐级提高","计划有效"))))))),IF(A36="每日跟踪",IF(OR(B36="",H36="",I36="",J36=""),"每日数据不完整",IF(COUNTIFS($A$2:$A$497,"每日跟踪",$B$2:$B$497,B36,$H$2:$H$497,H36)&gt;1,"同一交易日期重复",IF(AND(R36&lt;&gt;"",R36&lt;S36),"人工止损无效：不能下调","跟踪有效"))),"记录类型无效")))</f>
        <v/>
      </c>
    </row>
    <row r="37" ht="17" spans="1:29">
      <c r="A37" s="2"/>
      <c r="B37" s="2"/>
      <c r="C37" s="8" t="str">
        <f>IF(B37="","",IFERROR(LOOKUP(2,1/(单次交易!$A$2:$A$201=B37),单次交易!$B$2:$B$201),""))</f>
        <v/>
      </c>
      <c r="D37" s="12"/>
      <c r="E37" s="10"/>
      <c r="F37" s="10"/>
      <c r="G37" s="2"/>
      <c r="H37" s="15"/>
      <c r="I37" s="10"/>
      <c r="J37" s="20"/>
      <c r="K37" s="2"/>
      <c r="L37" s="2"/>
      <c r="M37" s="13"/>
      <c r="N37" s="5" t="str">
        <f>IF(B37="","",IFERROR(LOOKUP(2,1/(单次交易!$A$2:$A$201=B37),单次交易!$N$2:$N$201),""))</f>
        <v/>
      </c>
      <c r="O37" s="5" t="str">
        <f t="shared" si="0"/>
        <v/>
      </c>
      <c r="P37" s="11" t="str">
        <f t="shared" si="1"/>
        <v/>
      </c>
      <c r="Q37" s="5" t="str">
        <f t="shared" si="2"/>
        <v/>
      </c>
      <c r="R37" s="10"/>
      <c r="S37" s="5" t="str">
        <f t="shared" si="3"/>
        <v/>
      </c>
      <c r="T37" s="5" t="str">
        <f t="shared" si="4"/>
        <v/>
      </c>
      <c r="U37" s="5" t="str">
        <f t="shared" si="5"/>
        <v/>
      </c>
      <c r="V37" s="7" t="str">
        <f t="shared" si="6"/>
        <v/>
      </c>
      <c r="W37" s="8" t="str">
        <f t="shared" si="7"/>
        <v/>
      </c>
      <c r="X37" s="2"/>
      <c r="Y37" s="10"/>
      <c r="Z37" s="11" t="str">
        <f>IF(X37&lt;&gt;"执行卖出","",IFERROR(LOOKUP(2,1/(单次交易!$A$2:$A$201=B37),单次交易!$AP$2:$AP$201),""))</f>
        <v/>
      </c>
      <c r="AA37" s="10"/>
      <c r="AB37" s="8" t="str">
        <f t="shared" si="8"/>
        <v/>
      </c>
      <c r="AC37" s="8" t="str">
        <f>IF(A37="","",IF(A37="止损计划",IF(OR(B37="",D37="",E37="",F37="",G37=""),"计划不完整",IF(OR(D37&lt;1,D37&lt;&gt;INT(D37)),"阶段序号无效",IF(COUNTIFS($A$2:$A$497,"止损计划",$B$2:$B$497,B37,$D$2:$D$497,D37)&gt;1,"阶段序号重复",IF(E37&lt;=IFERROR(LOOKUP(2,1/(单次交易!$A$2:$A$201=B37),单次交易!$E$2:$E$201),0),"激活价须高于买入价",IF(F37&lt;N37,"止损价不得低于初始止损",IF(F37&gt;E37,"止损价不得高于激活价",IF(AND(COUNTIFS($A$2:$A$497,"止损计划",$B$2:$B$497,B37,$D$2:$D$497,"&lt;"&amp;D37)&gt;0,OR(E37&lt;=SUMPRODUCT(MAX((($A$2:$A$497="止损计划")*($B$2:$B$497=B37)*($D$2:$D$497&lt;D37))*$E$2:$E$497)),F37&lt;SUMPRODUCT(MAX((($A$2:$A$497="止损计划")*($B$2:$B$497=B37)*($D$2:$D$497&lt;D37))*$F$2:$F$497)))),"阶段价格必须逐级提高","计划有效"))))))),IF(A37="每日跟踪",IF(OR(B37="",H37="",I37="",J37=""),"每日数据不完整",IF(COUNTIFS($A$2:$A$497,"每日跟踪",$B$2:$B$497,B37,$H$2:$H$497,H37)&gt;1,"同一交易日期重复",IF(AND(R37&lt;&gt;"",R37&lt;S37),"人工止损无效：不能下调","跟踪有效"))),"记录类型无效")))</f>
        <v/>
      </c>
    </row>
    <row r="38" ht="17" spans="1:29">
      <c r="A38" s="2"/>
      <c r="B38" s="2"/>
      <c r="C38" s="8" t="str">
        <f>IF(B38="","",IFERROR(LOOKUP(2,1/(单次交易!$A$2:$A$201=B38),单次交易!$B$2:$B$201),""))</f>
        <v/>
      </c>
      <c r="D38" s="12"/>
      <c r="E38" s="10"/>
      <c r="F38" s="10"/>
      <c r="G38" s="2"/>
      <c r="H38" s="15"/>
      <c r="I38" s="10"/>
      <c r="J38" s="20"/>
      <c r="K38" s="2"/>
      <c r="L38" s="2"/>
      <c r="M38" s="13"/>
      <c r="N38" s="5" t="str">
        <f>IF(B38="","",IFERROR(LOOKUP(2,1/(单次交易!$A$2:$A$201=B38),单次交易!$N$2:$N$201),""))</f>
        <v/>
      </c>
      <c r="O38" s="5" t="str">
        <f t="shared" si="0"/>
        <v/>
      </c>
      <c r="P38" s="11" t="str">
        <f t="shared" si="1"/>
        <v/>
      </c>
      <c r="Q38" s="5" t="str">
        <f t="shared" si="2"/>
        <v/>
      </c>
      <c r="R38" s="10"/>
      <c r="S38" s="5" t="str">
        <f t="shared" si="3"/>
        <v/>
      </c>
      <c r="T38" s="5" t="str">
        <f t="shared" si="4"/>
        <v/>
      </c>
      <c r="U38" s="5" t="str">
        <f t="shared" si="5"/>
        <v/>
      </c>
      <c r="V38" s="7" t="str">
        <f t="shared" si="6"/>
        <v/>
      </c>
      <c r="W38" s="8" t="str">
        <f t="shared" si="7"/>
        <v/>
      </c>
      <c r="X38" s="2"/>
      <c r="Y38" s="10"/>
      <c r="Z38" s="11" t="str">
        <f>IF(X38&lt;&gt;"执行卖出","",IFERROR(LOOKUP(2,1/(单次交易!$A$2:$A$201=B38),单次交易!$AP$2:$AP$201),""))</f>
        <v/>
      </c>
      <c r="AA38" s="10"/>
      <c r="AB38" s="8" t="str">
        <f t="shared" si="8"/>
        <v/>
      </c>
      <c r="AC38" s="8" t="str">
        <f>IF(A38="","",IF(A38="止损计划",IF(OR(B38="",D38="",E38="",F38="",G38=""),"计划不完整",IF(OR(D38&lt;1,D38&lt;&gt;INT(D38)),"阶段序号无效",IF(COUNTIFS($A$2:$A$497,"止损计划",$B$2:$B$497,B38,$D$2:$D$497,D38)&gt;1,"阶段序号重复",IF(E38&lt;=IFERROR(LOOKUP(2,1/(单次交易!$A$2:$A$201=B38),单次交易!$E$2:$E$201),0),"激活价须高于买入价",IF(F38&lt;N38,"止损价不得低于初始止损",IF(F38&gt;E38,"止损价不得高于激活价",IF(AND(COUNTIFS($A$2:$A$497,"止损计划",$B$2:$B$497,B38,$D$2:$D$497,"&lt;"&amp;D38)&gt;0,OR(E38&lt;=SUMPRODUCT(MAX((($A$2:$A$497="止损计划")*($B$2:$B$497=B38)*($D$2:$D$497&lt;D38))*$E$2:$E$497)),F38&lt;SUMPRODUCT(MAX((($A$2:$A$497="止损计划")*($B$2:$B$497=B38)*($D$2:$D$497&lt;D38))*$F$2:$F$497)))),"阶段价格必须逐级提高","计划有效"))))))),IF(A38="每日跟踪",IF(OR(B38="",H38="",I38="",J38=""),"每日数据不完整",IF(COUNTIFS($A$2:$A$497,"每日跟踪",$B$2:$B$497,B38,$H$2:$H$497,H38)&gt;1,"同一交易日期重复",IF(AND(R38&lt;&gt;"",R38&lt;S38),"人工止损无效：不能下调","跟踪有效"))),"记录类型无效")))</f>
        <v/>
      </c>
    </row>
    <row r="39" ht="17" spans="1:29">
      <c r="A39" s="2"/>
      <c r="B39" s="2"/>
      <c r="C39" s="8" t="str">
        <f>IF(B39="","",IFERROR(LOOKUP(2,1/(单次交易!$A$2:$A$201=B39),单次交易!$B$2:$B$201),""))</f>
        <v/>
      </c>
      <c r="D39" s="12"/>
      <c r="E39" s="10"/>
      <c r="F39" s="10"/>
      <c r="G39" s="2"/>
      <c r="H39" s="15"/>
      <c r="I39" s="10"/>
      <c r="J39" s="20"/>
      <c r="K39" s="13"/>
      <c r="L39" s="2"/>
      <c r="M39" s="2"/>
      <c r="N39" s="5" t="str">
        <f>IF(B39="","",IFERROR(LOOKUP(2,1/(单次交易!$A$2:$A$201=B39),单次交易!$N$2:$N$201),""))</f>
        <v/>
      </c>
      <c r="O39" s="5" t="str">
        <f t="shared" si="0"/>
        <v/>
      </c>
      <c r="P39" s="11" t="str">
        <f t="shared" si="1"/>
        <v/>
      </c>
      <c r="Q39" s="5" t="str">
        <f t="shared" si="2"/>
        <v/>
      </c>
      <c r="R39" s="10"/>
      <c r="S39" s="5" t="str">
        <f t="shared" si="3"/>
        <v/>
      </c>
      <c r="T39" s="5" t="str">
        <f t="shared" si="4"/>
        <v/>
      </c>
      <c r="U39" s="5" t="str">
        <f t="shared" si="5"/>
        <v/>
      </c>
      <c r="V39" s="7" t="str">
        <f t="shared" si="6"/>
        <v/>
      </c>
      <c r="W39" s="8" t="str">
        <f t="shared" si="7"/>
        <v/>
      </c>
      <c r="X39" s="2"/>
      <c r="Y39" s="10"/>
      <c r="Z39" s="11" t="str">
        <f>IF(X39&lt;&gt;"执行卖出","",IFERROR(LOOKUP(2,1/(单次交易!$A$2:$A$201=B39),单次交易!$AP$2:$AP$201),""))</f>
        <v/>
      </c>
      <c r="AA39" s="10"/>
      <c r="AB39" s="8" t="str">
        <f t="shared" si="8"/>
        <v/>
      </c>
      <c r="AC39" s="8" t="str">
        <f>IF(A39="","",IF(A39="止损计划",IF(OR(B39="",D39="",E39="",F39="",G39=""),"计划不完整",IF(OR(D39&lt;1,D39&lt;&gt;INT(D39)),"阶段序号无效",IF(COUNTIFS($A$2:$A$497,"止损计划",$B$2:$B$497,B39,$D$2:$D$497,D39)&gt;1,"阶段序号重复",IF(E39&lt;=IFERROR(LOOKUP(2,1/(单次交易!$A$2:$A$201=B39),单次交易!$E$2:$E$201),0),"激活价须高于买入价",IF(F39&lt;N39,"止损价不得低于初始止损",IF(F39&gt;E39,"止损价不得高于激活价",IF(AND(COUNTIFS($A$2:$A$497,"止损计划",$B$2:$B$497,B39,$D$2:$D$497,"&lt;"&amp;D39)&gt;0,OR(E39&lt;=SUMPRODUCT(MAX((($A$2:$A$497="止损计划")*($B$2:$B$497=B39)*($D$2:$D$497&lt;D39))*$E$2:$E$497)),F39&lt;SUMPRODUCT(MAX((($A$2:$A$497="止损计划")*($B$2:$B$497=B39)*($D$2:$D$497&lt;D39))*$F$2:$F$497)))),"阶段价格必须逐级提高","计划有效"))))))),IF(A39="每日跟踪",IF(OR(B39="",H39="",I39="",J39=""),"每日数据不完整",IF(COUNTIFS($A$2:$A$497,"每日跟踪",$B$2:$B$497,B39,$H$2:$H$497,H39)&gt;1,"同一交易日期重复",IF(AND(R39&lt;&gt;"",R39&lt;S39),"人工止损无效：不能下调","跟踪有效"))),"记录类型无效")))</f>
        <v/>
      </c>
    </row>
    <row r="40" ht="17" spans="1:29">
      <c r="A40" s="2"/>
      <c r="B40" s="2"/>
      <c r="C40" s="8" t="str">
        <f>IF(B40="","",IFERROR(LOOKUP(2,1/(单次交易!$A$2:$A$201=B40),单次交易!$B$2:$B$201),""))</f>
        <v/>
      </c>
      <c r="D40" s="12"/>
      <c r="E40" s="10"/>
      <c r="F40" s="10"/>
      <c r="G40" s="2"/>
      <c r="H40" s="15"/>
      <c r="I40" s="10"/>
      <c r="J40" s="20"/>
      <c r="K40" s="13"/>
      <c r="L40" s="2"/>
      <c r="M40" s="13"/>
      <c r="N40" s="5" t="str">
        <f>IF(B40="","",IFERROR(LOOKUP(2,1/(单次交易!$A$2:$A$201=B40),单次交易!$N$2:$N$201),""))</f>
        <v/>
      </c>
      <c r="O40" s="5" t="str">
        <f t="shared" si="0"/>
        <v/>
      </c>
      <c r="P40" s="11" t="str">
        <f t="shared" si="1"/>
        <v/>
      </c>
      <c r="Q40" s="5" t="str">
        <f t="shared" si="2"/>
        <v/>
      </c>
      <c r="R40" s="10"/>
      <c r="S40" s="5" t="str">
        <f t="shared" si="3"/>
        <v/>
      </c>
      <c r="T40" s="5" t="str">
        <f t="shared" si="4"/>
        <v/>
      </c>
      <c r="U40" s="5" t="str">
        <f t="shared" si="5"/>
        <v/>
      </c>
      <c r="V40" s="7" t="str">
        <f t="shared" si="6"/>
        <v/>
      </c>
      <c r="W40" s="8" t="str">
        <f t="shared" si="7"/>
        <v/>
      </c>
      <c r="X40" s="2"/>
      <c r="Y40" s="10"/>
      <c r="Z40" s="11" t="str">
        <f>IF(X40&lt;&gt;"执行卖出","",IFERROR(LOOKUP(2,1/(单次交易!$A$2:$A$201=B40),单次交易!$AP$2:$AP$201),""))</f>
        <v/>
      </c>
      <c r="AA40" s="10"/>
      <c r="AB40" s="8" t="str">
        <f t="shared" si="8"/>
        <v/>
      </c>
      <c r="AC40" s="8" t="str">
        <f>IF(A40="","",IF(A40="止损计划",IF(OR(B40="",D40="",E40="",F40="",G40=""),"计划不完整",IF(OR(D40&lt;1,D40&lt;&gt;INT(D40)),"阶段序号无效",IF(COUNTIFS($A$2:$A$497,"止损计划",$B$2:$B$497,B40,$D$2:$D$497,D40)&gt;1,"阶段序号重复",IF(E40&lt;=IFERROR(LOOKUP(2,1/(单次交易!$A$2:$A$201=B40),单次交易!$E$2:$E$201),0),"激活价须高于买入价",IF(F40&lt;N40,"止损价不得低于初始止损",IF(F40&gt;E40,"止损价不得高于激活价",IF(AND(COUNTIFS($A$2:$A$497,"止损计划",$B$2:$B$497,B40,$D$2:$D$497,"&lt;"&amp;D40)&gt;0,OR(E40&lt;=SUMPRODUCT(MAX((($A$2:$A$497="止损计划")*($B$2:$B$497=B40)*($D$2:$D$497&lt;D40))*$E$2:$E$497)),F40&lt;SUMPRODUCT(MAX((($A$2:$A$497="止损计划")*($B$2:$B$497=B40)*($D$2:$D$497&lt;D40))*$F$2:$F$497)))),"阶段价格必须逐级提高","计划有效"))))))),IF(A40="每日跟踪",IF(OR(B40="",H40="",I40="",J40=""),"每日数据不完整",IF(COUNTIFS($A$2:$A$497,"每日跟踪",$B$2:$B$497,B40,$H$2:$H$497,H40)&gt;1,"同一交易日期重复",IF(AND(R40&lt;&gt;"",R40&lt;S40),"人工止损无效：不能下调","跟踪有效"))),"记录类型无效")))</f>
        <v/>
      </c>
    </row>
    <row r="41" ht="17" spans="1:29">
      <c r="A41" s="2"/>
      <c r="B41" s="2"/>
      <c r="C41" s="8" t="str">
        <f>IF(B41="","",IFERROR(LOOKUP(2,1/(单次交易!$A$2:$A$201=B41),单次交易!$B$2:$B$201),""))</f>
        <v/>
      </c>
      <c r="D41" s="12"/>
      <c r="E41" s="10"/>
      <c r="F41" s="10"/>
      <c r="G41" s="2"/>
      <c r="H41" s="15"/>
      <c r="I41" s="10"/>
      <c r="J41" s="20"/>
      <c r="K41" s="13"/>
      <c r="L41" s="2"/>
      <c r="M41" s="13"/>
      <c r="N41" s="5" t="str">
        <f>IF(B41="","",IFERROR(LOOKUP(2,1/(单次交易!$A$2:$A$201=B41),单次交易!$N$2:$N$201),""))</f>
        <v/>
      </c>
      <c r="O41" s="5" t="str">
        <f t="shared" si="0"/>
        <v/>
      </c>
      <c r="P41" s="11" t="str">
        <f t="shared" si="1"/>
        <v/>
      </c>
      <c r="Q41" s="5" t="str">
        <f t="shared" si="2"/>
        <v/>
      </c>
      <c r="R41" s="10"/>
      <c r="S41" s="5" t="str">
        <f t="shared" si="3"/>
        <v/>
      </c>
      <c r="T41" s="5" t="str">
        <f t="shared" si="4"/>
        <v/>
      </c>
      <c r="U41" s="5" t="str">
        <f t="shared" si="5"/>
        <v/>
      </c>
      <c r="V41" s="7" t="str">
        <f t="shared" si="6"/>
        <v/>
      </c>
      <c r="W41" s="8" t="str">
        <f t="shared" si="7"/>
        <v/>
      </c>
      <c r="X41" s="2"/>
      <c r="Y41" s="10"/>
      <c r="Z41" s="11" t="str">
        <f>IF(X41&lt;&gt;"执行卖出","",IFERROR(LOOKUP(2,1/(单次交易!$A$2:$A$201=B41),单次交易!$AP$2:$AP$201),""))</f>
        <v/>
      </c>
      <c r="AA41" s="10"/>
      <c r="AB41" s="8" t="str">
        <f t="shared" si="8"/>
        <v/>
      </c>
      <c r="AC41" s="8" t="str">
        <f>IF(A41="","",IF(A41="止损计划",IF(OR(B41="",D41="",E41="",F41="",G41=""),"计划不完整",IF(OR(D41&lt;1,D41&lt;&gt;INT(D41)),"阶段序号无效",IF(COUNTIFS($A$2:$A$497,"止损计划",$B$2:$B$497,B41,$D$2:$D$497,D41)&gt;1,"阶段序号重复",IF(E41&lt;=IFERROR(LOOKUP(2,1/(单次交易!$A$2:$A$201=B41),单次交易!$E$2:$E$201),0),"激活价须高于买入价",IF(F41&lt;N41,"止损价不得低于初始止损",IF(F41&gt;E41,"止损价不得高于激活价",IF(AND(COUNTIFS($A$2:$A$497,"止损计划",$B$2:$B$497,B41,$D$2:$D$497,"&lt;"&amp;D41)&gt;0,OR(E41&lt;=SUMPRODUCT(MAX((($A$2:$A$497="止损计划")*($B$2:$B$497=B41)*($D$2:$D$497&lt;D41))*$E$2:$E$497)),F41&lt;SUMPRODUCT(MAX((($A$2:$A$497="止损计划")*($B$2:$B$497=B41)*($D$2:$D$497&lt;D41))*$F$2:$F$497)))),"阶段价格必须逐级提高","计划有效"))))))),IF(A41="每日跟踪",IF(OR(B41="",H41="",I41="",J41=""),"每日数据不完整",IF(COUNTIFS($A$2:$A$497,"每日跟踪",$B$2:$B$497,B41,$H$2:$H$497,H41)&gt;1,"同一交易日期重复",IF(AND(R41&lt;&gt;"",R41&lt;S41),"人工止损无效：不能下调","跟踪有效"))),"记录类型无效")))</f>
        <v/>
      </c>
    </row>
    <row r="42" ht="17" spans="1:29">
      <c r="A42" s="2"/>
      <c r="B42" s="2"/>
      <c r="C42" s="8" t="str">
        <f>IF(B42="","",IFERROR(LOOKUP(2,1/(单次交易!$A$2:$A$201=B42),单次交易!$B$2:$B$201),""))</f>
        <v/>
      </c>
      <c r="D42" s="12"/>
      <c r="E42" s="10"/>
      <c r="F42" s="10"/>
      <c r="G42" s="2"/>
      <c r="H42" s="15"/>
      <c r="I42" s="10"/>
      <c r="J42" s="20"/>
      <c r="K42" s="2"/>
      <c r="L42" s="2"/>
      <c r="M42" s="13"/>
      <c r="N42" s="5" t="str">
        <f>IF(B42="","",IFERROR(LOOKUP(2,1/(单次交易!$A$2:$A$201=B42),单次交易!$N$2:$N$201),""))</f>
        <v/>
      </c>
      <c r="O42" s="5" t="str">
        <f t="shared" si="0"/>
        <v/>
      </c>
      <c r="P42" s="11" t="str">
        <f t="shared" si="1"/>
        <v/>
      </c>
      <c r="Q42" s="5" t="str">
        <f t="shared" si="2"/>
        <v/>
      </c>
      <c r="R42" s="10"/>
      <c r="S42" s="5" t="str">
        <f t="shared" si="3"/>
        <v/>
      </c>
      <c r="T42" s="5" t="str">
        <f t="shared" si="4"/>
        <v/>
      </c>
      <c r="U42" s="5" t="str">
        <f t="shared" si="5"/>
        <v/>
      </c>
      <c r="V42" s="7" t="str">
        <f t="shared" si="6"/>
        <v/>
      </c>
      <c r="W42" s="8" t="str">
        <f t="shared" si="7"/>
        <v/>
      </c>
      <c r="X42" s="2"/>
      <c r="Y42" s="10"/>
      <c r="Z42" s="11" t="str">
        <f>IF(X42&lt;&gt;"执行卖出","",IFERROR(LOOKUP(2,1/(单次交易!$A$2:$A$201=B42),单次交易!$AP$2:$AP$201),""))</f>
        <v/>
      </c>
      <c r="AA42" s="10"/>
      <c r="AB42" s="8" t="str">
        <f t="shared" si="8"/>
        <v/>
      </c>
      <c r="AC42" s="8" t="str">
        <f>IF(A42="","",IF(A42="止损计划",IF(OR(B42="",D42="",E42="",F42="",G42=""),"计划不完整",IF(OR(D42&lt;1,D42&lt;&gt;INT(D42)),"阶段序号无效",IF(COUNTIFS($A$2:$A$497,"止损计划",$B$2:$B$497,B42,$D$2:$D$497,D42)&gt;1,"阶段序号重复",IF(E42&lt;=IFERROR(LOOKUP(2,1/(单次交易!$A$2:$A$201=B42),单次交易!$E$2:$E$201),0),"激活价须高于买入价",IF(F42&lt;N42,"止损价不得低于初始止损",IF(F42&gt;E42,"止损价不得高于激活价",IF(AND(COUNTIFS($A$2:$A$497,"止损计划",$B$2:$B$497,B42,$D$2:$D$497,"&lt;"&amp;D42)&gt;0,OR(E42&lt;=SUMPRODUCT(MAX((($A$2:$A$497="止损计划")*($B$2:$B$497=B42)*($D$2:$D$497&lt;D42))*$E$2:$E$497)),F42&lt;SUMPRODUCT(MAX((($A$2:$A$497="止损计划")*($B$2:$B$497=B42)*($D$2:$D$497&lt;D42))*$F$2:$F$497)))),"阶段价格必须逐级提高","计划有效"))))))),IF(A42="每日跟踪",IF(OR(B42="",H42="",I42="",J42=""),"每日数据不完整",IF(COUNTIFS($A$2:$A$497,"每日跟踪",$B$2:$B$497,B42,$H$2:$H$497,H42)&gt;1,"同一交易日期重复",IF(AND(R42&lt;&gt;"",R42&lt;S42),"人工止损无效：不能下调","跟踪有效"))),"记录类型无效")))</f>
        <v/>
      </c>
    </row>
    <row r="43" ht="17" spans="1:29">
      <c r="A43" s="2"/>
      <c r="B43" s="2"/>
      <c r="C43" s="8" t="str">
        <f>IF(B43="","",IFERROR(LOOKUP(2,1/(单次交易!$A$2:$A$201=B43),单次交易!$B$2:$B$201),""))</f>
        <v/>
      </c>
      <c r="D43" s="12"/>
      <c r="E43" s="10"/>
      <c r="F43" s="10"/>
      <c r="G43" s="2"/>
      <c r="H43" s="15"/>
      <c r="I43" s="10"/>
      <c r="J43" s="20"/>
      <c r="K43" s="13"/>
      <c r="L43" s="2"/>
      <c r="M43" s="13"/>
      <c r="N43" s="5" t="str">
        <f>IF(B43="","",IFERROR(LOOKUP(2,1/(单次交易!$A$2:$A$201=B43),单次交易!$N$2:$N$201),""))</f>
        <v/>
      </c>
      <c r="O43" s="5" t="str">
        <f t="shared" si="0"/>
        <v/>
      </c>
      <c r="P43" s="11" t="str">
        <f t="shared" si="1"/>
        <v/>
      </c>
      <c r="Q43" s="5" t="str">
        <f t="shared" si="2"/>
        <v/>
      </c>
      <c r="R43" s="10"/>
      <c r="S43" s="5" t="str">
        <f t="shared" si="3"/>
        <v/>
      </c>
      <c r="T43" s="5" t="str">
        <f t="shared" si="4"/>
        <v/>
      </c>
      <c r="U43" s="5" t="str">
        <f t="shared" si="5"/>
        <v/>
      </c>
      <c r="V43" s="7" t="str">
        <f t="shared" si="6"/>
        <v/>
      </c>
      <c r="W43" s="8" t="str">
        <f t="shared" si="7"/>
        <v/>
      </c>
      <c r="X43" s="2"/>
      <c r="Y43" s="10"/>
      <c r="Z43" s="11" t="str">
        <f>IF(X43&lt;&gt;"执行卖出","",IFERROR(LOOKUP(2,1/(单次交易!$A$2:$A$201=B43),单次交易!$AP$2:$AP$201),""))</f>
        <v/>
      </c>
      <c r="AA43" s="10"/>
      <c r="AB43" s="8" t="str">
        <f t="shared" si="8"/>
        <v/>
      </c>
      <c r="AC43" s="8" t="str">
        <f>IF(A43="","",IF(A43="止损计划",IF(OR(B43="",D43="",E43="",F43="",G43=""),"计划不完整",IF(OR(D43&lt;1,D43&lt;&gt;INT(D43)),"阶段序号无效",IF(COUNTIFS($A$2:$A$497,"止损计划",$B$2:$B$497,B43,$D$2:$D$497,D43)&gt;1,"阶段序号重复",IF(E43&lt;=IFERROR(LOOKUP(2,1/(单次交易!$A$2:$A$201=B43),单次交易!$E$2:$E$201),0),"激活价须高于买入价",IF(F43&lt;N43,"止损价不得低于初始止损",IF(F43&gt;E43,"止损价不得高于激活价",IF(AND(COUNTIFS($A$2:$A$497,"止损计划",$B$2:$B$497,B43,$D$2:$D$497,"&lt;"&amp;D43)&gt;0,OR(E43&lt;=SUMPRODUCT(MAX((($A$2:$A$497="止损计划")*($B$2:$B$497=B43)*($D$2:$D$497&lt;D43))*$E$2:$E$497)),F43&lt;SUMPRODUCT(MAX((($A$2:$A$497="止损计划")*($B$2:$B$497=B43)*($D$2:$D$497&lt;D43))*$F$2:$F$497)))),"阶段价格必须逐级提高","计划有效"))))))),IF(A43="每日跟踪",IF(OR(B43="",H43="",I43="",J43=""),"每日数据不完整",IF(COUNTIFS($A$2:$A$497,"每日跟踪",$B$2:$B$497,B43,$H$2:$H$497,H43)&gt;1,"同一交易日期重复",IF(AND(R43&lt;&gt;"",R43&lt;S43),"人工止损无效：不能下调","跟踪有效"))),"记录类型无效")))</f>
        <v/>
      </c>
    </row>
    <row r="44" ht="17" spans="1:29">
      <c r="A44" s="2"/>
      <c r="B44" s="2"/>
      <c r="C44" s="8" t="str">
        <f>IF(B44="","",IFERROR(LOOKUP(2,1/(单次交易!$A$2:$A$201=B44),单次交易!$B$2:$B$201),""))</f>
        <v/>
      </c>
      <c r="D44" s="12"/>
      <c r="E44" s="10"/>
      <c r="F44" s="10"/>
      <c r="G44" s="2"/>
      <c r="H44" s="15"/>
      <c r="I44" s="10"/>
      <c r="J44" s="20"/>
      <c r="K44" s="13"/>
      <c r="L44" s="2"/>
      <c r="M44" s="13"/>
      <c r="N44" s="5" t="str">
        <f>IF(B44="","",IFERROR(LOOKUP(2,1/(单次交易!$A$2:$A$201=B44),单次交易!$N$2:$N$201),""))</f>
        <v/>
      </c>
      <c r="O44" s="5" t="str">
        <f t="shared" si="0"/>
        <v/>
      </c>
      <c r="P44" s="11" t="str">
        <f t="shared" si="1"/>
        <v/>
      </c>
      <c r="Q44" s="5" t="str">
        <f t="shared" si="2"/>
        <v/>
      </c>
      <c r="R44" s="10"/>
      <c r="S44" s="5" t="str">
        <f t="shared" si="3"/>
        <v/>
      </c>
      <c r="T44" s="5" t="str">
        <f t="shared" si="4"/>
        <v/>
      </c>
      <c r="U44" s="5" t="str">
        <f t="shared" si="5"/>
        <v/>
      </c>
      <c r="V44" s="7" t="str">
        <f t="shared" si="6"/>
        <v/>
      </c>
      <c r="W44" s="8" t="str">
        <f t="shared" si="7"/>
        <v/>
      </c>
      <c r="X44" s="2"/>
      <c r="Y44" s="10"/>
      <c r="Z44" s="11" t="str">
        <f>IF(X44&lt;&gt;"执行卖出","",IFERROR(LOOKUP(2,1/(单次交易!$A$2:$A$201=B44),单次交易!$AP$2:$AP$201),""))</f>
        <v/>
      </c>
      <c r="AA44" s="10"/>
      <c r="AB44" s="8" t="str">
        <f t="shared" si="8"/>
        <v/>
      </c>
      <c r="AC44" s="8" t="str">
        <f>IF(A44="","",IF(A44="止损计划",IF(OR(B44="",D44="",E44="",F44="",G44=""),"计划不完整",IF(OR(D44&lt;1,D44&lt;&gt;INT(D44)),"阶段序号无效",IF(COUNTIFS($A$2:$A$497,"止损计划",$B$2:$B$497,B44,$D$2:$D$497,D44)&gt;1,"阶段序号重复",IF(E44&lt;=IFERROR(LOOKUP(2,1/(单次交易!$A$2:$A$201=B44),单次交易!$E$2:$E$201),0),"激活价须高于买入价",IF(F44&lt;N44,"止损价不得低于初始止损",IF(F44&gt;E44,"止损价不得高于激活价",IF(AND(COUNTIFS($A$2:$A$497,"止损计划",$B$2:$B$497,B44,$D$2:$D$497,"&lt;"&amp;D44)&gt;0,OR(E44&lt;=SUMPRODUCT(MAX((($A$2:$A$497="止损计划")*($B$2:$B$497=B44)*($D$2:$D$497&lt;D44))*$E$2:$E$497)),F44&lt;SUMPRODUCT(MAX((($A$2:$A$497="止损计划")*($B$2:$B$497=B44)*($D$2:$D$497&lt;D44))*$F$2:$F$497)))),"阶段价格必须逐级提高","计划有效"))))))),IF(A44="每日跟踪",IF(OR(B44="",H44="",I44="",J44=""),"每日数据不完整",IF(COUNTIFS($A$2:$A$497,"每日跟踪",$B$2:$B$497,B44,$H$2:$H$497,H44)&gt;1,"同一交易日期重复",IF(AND(R44&lt;&gt;"",R44&lt;S44),"人工止损无效：不能下调","跟踪有效"))),"记录类型无效")))</f>
        <v/>
      </c>
    </row>
    <row r="45" ht="17" spans="1:29">
      <c r="A45" s="2"/>
      <c r="B45" s="2"/>
      <c r="C45" s="8" t="str">
        <f>IF(B45="","",IFERROR(LOOKUP(2,1/(单次交易!$A$2:$A$201=B45),单次交易!$B$2:$B$201),""))</f>
        <v/>
      </c>
      <c r="D45" s="12"/>
      <c r="E45" s="10"/>
      <c r="F45" s="10"/>
      <c r="G45" s="2"/>
      <c r="H45" s="15"/>
      <c r="I45" s="10"/>
      <c r="J45" s="20"/>
      <c r="K45" s="13"/>
      <c r="L45" s="2"/>
      <c r="M45" s="13"/>
      <c r="N45" s="5" t="str">
        <f>IF(B45="","",IFERROR(LOOKUP(2,1/(单次交易!$A$2:$A$201=B45),单次交易!$N$2:$N$201),""))</f>
        <v/>
      </c>
      <c r="O45" s="5" t="str">
        <f t="shared" si="0"/>
        <v/>
      </c>
      <c r="P45" s="11" t="str">
        <f t="shared" si="1"/>
        <v/>
      </c>
      <c r="Q45" s="5" t="str">
        <f t="shared" si="2"/>
        <v/>
      </c>
      <c r="R45" s="10"/>
      <c r="S45" s="5" t="str">
        <f t="shared" si="3"/>
        <v/>
      </c>
      <c r="T45" s="5" t="str">
        <f t="shared" si="4"/>
        <v/>
      </c>
      <c r="U45" s="5" t="str">
        <f t="shared" si="5"/>
        <v/>
      </c>
      <c r="V45" s="7" t="str">
        <f t="shared" si="6"/>
        <v/>
      </c>
      <c r="W45" s="8" t="str">
        <f t="shared" si="7"/>
        <v/>
      </c>
      <c r="X45" s="2"/>
      <c r="Y45" s="10"/>
      <c r="Z45" s="11" t="str">
        <f>IF(X45&lt;&gt;"执行卖出","",IFERROR(LOOKUP(2,1/(单次交易!$A$2:$A$201=B45),单次交易!$AP$2:$AP$201),""))</f>
        <v/>
      </c>
      <c r="AA45" s="10"/>
      <c r="AB45" s="8" t="str">
        <f t="shared" si="8"/>
        <v/>
      </c>
      <c r="AC45" s="8" t="str">
        <f>IF(A45="","",IF(A45="止损计划",IF(OR(B45="",D45="",E45="",F45="",G45=""),"计划不完整",IF(OR(D45&lt;1,D45&lt;&gt;INT(D45)),"阶段序号无效",IF(COUNTIFS($A$2:$A$497,"止损计划",$B$2:$B$497,B45,$D$2:$D$497,D45)&gt;1,"阶段序号重复",IF(E45&lt;=IFERROR(LOOKUP(2,1/(单次交易!$A$2:$A$201=B45),单次交易!$E$2:$E$201),0),"激活价须高于买入价",IF(F45&lt;N45,"止损价不得低于初始止损",IF(F45&gt;E45,"止损价不得高于激活价",IF(AND(COUNTIFS($A$2:$A$497,"止损计划",$B$2:$B$497,B45,$D$2:$D$497,"&lt;"&amp;D45)&gt;0,OR(E45&lt;=SUMPRODUCT(MAX((($A$2:$A$497="止损计划")*($B$2:$B$497=B45)*($D$2:$D$497&lt;D45))*$E$2:$E$497)),F45&lt;SUMPRODUCT(MAX((($A$2:$A$497="止损计划")*($B$2:$B$497=B45)*($D$2:$D$497&lt;D45))*$F$2:$F$497)))),"阶段价格必须逐级提高","计划有效"))))))),IF(A45="每日跟踪",IF(OR(B45="",H45="",I45="",J45=""),"每日数据不完整",IF(COUNTIFS($A$2:$A$497,"每日跟踪",$B$2:$B$497,B45,$H$2:$H$497,H45)&gt;1,"同一交易日期重复",IF(AND(R45&lt;&gt;"",R45&lt;S45),"人工止损无效：不能下调","跟踪有效"))),"记录类型无效")))</f>
        <v/>
      </c>
    </row>
    <row r="46" ht="17" spans="1:29">
      <c r="A46" s="2"/>
      <c r="B46" s="2"/>
      <c r="C46" s="8" t="str">
        <f>IF(B46="","",IFERROR(LOOKUP(2,1/(单次交易!$A$2:$A$201=B46),单次交易!$B$2:$B$201),""))</f>
        <v/>
      </c>
      <c r="D46" s="12"/>
      <c r="E46" s="10"/>
      <c r="F46" s="10"/>
      <c r="G46" s="2"/>
      <c r="H46" s="15"/>
      <c r="I46" s="10"/>
      <c r="J46" s="20"/>
      <c r="K46" s="2"/>
      <c r="L46" s="2"/>
      <c r="M46" s="13"/>
      <c r="N46" s="5" t="str">
        <f>IF(B46="","",IFERROR(LOOKUP(2,1/(单次交易!$A$2:$A$201=B46),单次交易!$N$2:$N$201),""))</f>
        <v/>
      </c>
      <c r="O46" s="5" t="str">
        <f t="shared" si="0"/>
        <v/>
      </c>
      <c r="P46" s="11" t="str">
        <f t="shared" si="1"/>
        <v/>
      </c>
      <c r="Q46" s="5" t="str">
        <f t="shared" si="2"/>
        <v/>
      </c>
      <c r="R46" s="10"/>
      <c r="S46" s="5" t="str">
        <f t="shared" si="3"/>
        <v/>
      </c>
      <c r="T46" s="5" t="str">
        <f t="shared" si="4"/>
        <v/>
      </c>
      <c r="U46" s="5" t="str">
        <f t="shared" si="5"/>
        <v/>
      </c>
      <c r="V46" s="7" t="str">
        <f t="shared" si="6"/>
        <v/>
      </c>
      <c r="W46" s="8" t="str">
        <f t="shared" si="7"/>
        <v/>
      </c>
      <c r="X46" s="2"/>
      <c r="Y46" s="10"/>
      <c r="Z46" s="11" t="str">
        <f>IF(X46&lt;&gt;"执行卖出","",IFERROR(LOOKUP(2,1/(单次交易!$A$2:$A$201=B46),单次交易!$AP$2:$AP$201),""))</f>
        <v/>
      </c>
      <c r="AA46" s="10"/>
      <c r="AB46" s="8" t="str">
        <f t="shared" si="8"/>
        <v/>
      </c>
      <c r="AC46" s="8" t="str">
        <f>IF(A46="","",IF(A46="止损计划",IF(OR(B46="",D46="",E46="",F46="",G46=""),"计划不完整",IF(OR(D46&lt;1,D46&lt;&gt;INT(D46)),"阶段序号无效",IF(COUNTIFS($A$2:$A$497,"止损计划",$B$2:$B$497,B46,$D$2:$D$497,D46)&gt;1,"阶段序号重复",IF(E46&lt;=IFERROR(LOOKUP(2,1/(单次交易!$A$2:$A$201=B46),单次交易!$E$2:$E$201),0),"激活价须高于买入价",IF(F46&lt;N46,"止损价不得低于初始止损",IF(F46&gt;E46,"止损价不得高于激活价",IF(AND(COUNTIFS($A$2:$A$497,"止损计划",$B$2:$B$497,B46,$D$2:$D$497,"&lt;"&amp;D46)&gt;0,OR(E46&lt;=SUMPRODUCT(MAX((($A$2:$A$497="止损计划")*($B$2:$B$497=B46)*($D$2:$D$497&lt;D46))*$E$2:$E$497)),F46&lt;SUMPRODUCT(MAX((($A$2:$A$497="止损计划")*($B$2:$B$497=B46)*($D$2:$D$497&lt;D46))*$F$2:$F$497)))),"阶段价格必须逐级提高","计划有效"))))))),IF(A46="每日跟踪",IF(OR(B46="",H46="",I46="",J46=""),"每日数据不完整",IF(COUNTIFS($A$2:$A$497,"每日跟踪",$B$2:$B$497,B46,$H$2:$H$497,H46)&gt;1,"同一交易日期重复",IF(AND(R46&lt;&gt;"",R46&lt;S46),"人工止损无效：不能下调","跟踪有效"))),"记录类型无效")))</f>
        <v/>
      </c>
    </row>
    <row r="47" ht="17" spans="1:29">
      <c r="A47" s="2"/>
      <c r="B47" s="2"/>
      <c r="C47" s="8" t="str">
        <f>IF(B47="","",IFERROR(LOOKUP(2,1/(单次交易!$A$2:$A$201=B47),单次交易!$B$2:$B$201),""))</f>
        <v/>
      </c>
      <c r="D47" s="12"/>
      <c r="E47" s="10"/>
      <c r="F47" s="10"/>
      <c r="G47" s="2"/>
      <c r="H47" s="15"/>
      <c r="I47" s="10"/>
      <c r="J47" s="20"/>
      <c r="K47" s="13"/>
      <c r="L47" s="2"/>
      <c r="M47" s="2"/>
      <c r="N47" s="5" t="str">
        <f>IF(B47="","",IFERROR(LOOKUP(2,1/(单次交易!$A$2:$A$201=B47),单次交易!$N$2:$N$201),""))</f>
        <v/>
      </c>
      <c r="O47" s="5" t="str">
        <f t="shared" si="0"/>
        <v/>
      </c>
      <c r="P47" s="11" t="str">
        <f t="shared" si="1"/>
        <v/>
      </c>
      <c r="Q47" s="5" t="str">
        <f t="shared" si="2"/>
        <v/>
      </c>
      <c r="R47" s="10"/>
      <c r="S47" s="5" t="str">
        <f t="shared" si="3"/>
        <v/>
      </c>
      <c r="T47" s="5" t="str">
        <f t="shared" si="4"/>
        <v/>
      </c>
      <c r="U47" s="5" t="str">
        <f t="shared" si="5"/>
        <v/>
      </c>
      <c r="V47" s="7" t="str">
        <f t="shared" si="6"/>
        <v/>
      </c>
      <c r="W47" s="8" t="str">
        <f t="shared" si="7"/>
        <v/>
      </c>
      <c r="X47" s="2"/>
      <c r="Y47" s="10"/>
      <c r="Z47" s="11" t="str">
        <f>IF(X47&lt;&gt;"执行卖出","",IFERROR(LOOKUP(2,1/(单次交易!$A$2:$A$201=B47),单次交易!$AP$2:$AP$201),""))</f>
        <v/>
      </c>
      <c r="AA47" s="10"/>
      <c r="AB47" s="8" t="str">
        <f t="shared" si="8"/>
        <v/>
      </c>
      <c r="AC47" s="8" t="str">
        <f>IF(A47="","",IF(A47="止损计划",IF(OR(B47="",D47="",E47="",F47="",G47=""),"计划不完整",IF(OR(D47&lt;1,D47&lt;&gt;INT(D47)),"阶段序号无效",IF(COUNTIFS($A$2:$A$497,"止损计划",$B$2:$B$497,B47,$D$2:$D$497,D47)&gt;1,"阶段序号重复",IF(E47&lt;=IFERROR(LOOKUP(2,1/(单次交易!$A$2:$A$201=B47),单次交易!$E$2:$E$201),0),"激活价须高于买入价",IF(F47&lt;N47,"止损价不得低于初始止损",IF(F47&gt;E47,"止损价不得高于激活价",IF(AND(COUNTIFS($A$2:$A$497,"止损计划",$B$2:$B$497,B47,$D$2:$D$497,"&lt;"&amp;D47)&gt;0,OR(E47&lt;=SUMPRODUCT(MAX((($A$2:$A$497="止损计划")*($B$2:$B$497=B47)*($D$2:$D$497&lt;D47))*$E$2:$E$497)),F47&lt;SUMPRODUCT(MAX((($A$2:$A$497="止损计划")*($B$2:$B$497=B47)*($D$2:$D$497&lt;D47))*$F$2:$F$497)))),"阶段价格必须逐级提高","计划有效"))))))),IF(A47="每日跟踪",IF(OR(B47="",H47="",I47="",J47=""),"每日数据不完整",IF(COUNTIFS($A$2:$A$497,"每日跟踪",$B$2:$B$497,B47,$H$2:$H$497,H47)&gt;1,"同一交易日期重复",IF(AND(R47&lt;&gt;"",R47&lt;S47),"人工止损无效：不能下调","跟踪有效"))),"记录类型无效")))</f>
        <v/>
      </c>
    </row>
    <row r="48" ht="17" spans="1:29">
      <c r="A48" s="2"/>
      <c r="B48" s="2"/>
      <c r="C48" s="8" t="str">
        <f>IF(B48="","",IFERROR(LOOKUP(2,1/(单次交易!$A$2:$A$201=B48),单次交易!$B$2:$B$201),""))</f>
        <v/>
      </c>
      <c r="D48" s="12"/>
      <c r="E48" s="10"/>
      <c r="F48" s="10"/>
      <c r="G48" s="2"/>
      <c r="H48" s="15"/>
      <c r="I48" s="10"/>
      <c r="J48" s="20"/>
      <c r="K48" s="13"/>
      <c r="L48" s="2"/>
      <c r="M48" s="2"/>
      <c r="N48" s="5" t="str">
        <f>IF(B48="","",IFERROR(LOOKUP(2,1/(单次交易!$A$2:$A$201=B48),单次交易!$N$2:$N$201),""))</f>
        <v/>
      </c>
      <c r="O48" s="5" t="str">
        <f t="shared" si="0"/>
        <v/>
      </c>
      <c r="P48" s="11" t="str">
        <f t="shared" si="1"/>
        <v/>
      </c>
      <c r="Q48" s="5" t="str">
        <f t="shared" si="2"/>
        <v/>
      </c>
      <c r="R48" s="10"/>
      <c r="S48" s="5" t="str">
        <f t="shared" si="3"/>
        <v/>
      </c>
      <c r="T48" s="5" t="str">
        <f t="shared" si="4"/>
        <v/>
      </c>
      <c r="U48" s="5" t="str">
        <f t="shared" si="5"/>
        <v/>
      </c>
      <c r="V48" s="7" t="str">
        <f t="shared" si="6"/>
        <v/>
      </c>
      <c r="W48" s="8" t="str">
        <f t="shared" si="7"/>
        <v/>
      </c>
      <c r="X48" s="2"/>
      <c r="Y48" s="10"/>
      <c r="Z48" s="11" t="str">
        <f>IF(X48&lt;&gt;"执行卖出","",IFERROR(LOOKUP(2,1/(单次交易!$A$2:$A$201=B48),单次交易!$AP$2:$AP$201),""))</f>
        <v/>
      </c>
      <c r="AA48" s="10"/>
      <c r="AB48" s="8" t="str">
        <f t="shared" si="8"/>
        <v/>
      </c>
      <c r="AC48" s="8" t="str">
        <f>IF(A48="","",IF(A48="止损计划",IF(OR(B48="",D48="",E48="",F48="",G48=""),"计划不完整",IF(OR(D48&lt;1,D48&lt;&gt;INT(D48)),"阶段序号无效",IF(COUNTIFS($A$2:$A$497,"止损计划",$B$2:$B$497,B48,$D$2:$D$497,D48)&gt;1,"阶段序号重复",IF(E48&lt;=IFERROR(LOOKUP(2,1/(单次交易!$A$2:$A$201=B48),单次交易!$E$2:$E$201),0),"激活价须高于买入价",IF(F48&lt;N48,"止损价不得低于初始止损",IF(F48&gt;E48,"止损价不得高于激活价",IF(AND(COUNTIFS($A$2:$A$497,"止损计划",$B$2:$B$497,B48,$D$2:$D$497,"&lt;"&amp;D48)&gt;0,OR(E48&lt;=SUMPRODUCT(MAX((($A$2:$A$497="止损计划")*($B$2:$B$497=B48)*($D$2:$D$497&lt;D48))*$E$2:$E$497)),F48&lt;SUMPRODUCT(MAX((($A$2:$A$497="止损计划")*($B$2:$B$497=B48)*($D$2:$D$497&lt;D48))*$F$2:$F$497)))),"阶段价格必须逐级提高","计划有效"))))))),IF(A48="每日跟踪",IF(OR(B48="",H48="",I48="",J48=""),"每日数据不完整",IF(COUNTIFS($A$2:$A$497,"每日跟踪",$B$2:$B$497,B48,$H$2:$H$497,H48)&gt;1,"同一交易日期重复",IF(AND(R48&lt;&gt;"",R48&lt;S48),"人工止损无效：不能下调","跟踪有效"))),"记录类型无效")))</f>
        <v/>
      </c>
    </row>
    <row r="49" ht="17" spans="1:29">
      <c r="A49" s="2"/>
      <c r="B49" s="2"/>
      <c r="C49" s="8" t="str">
        <f>IF(B49="","",IFERROR(LOOKUP(2,1/(单次交易!$A$2:$A$201=B49),单次交易!$B$2:$B$201),""))</f>
        <v/>
      </c>
      <c r="D49" s="12"/>
      <c r="E49" s="10"/>
      <c r="F49" s="10"/>
      <c r="G49" s="2"/>
      <c r="H49" s="15"/>
      <c r="I49" s="10"/>
      <c r="J49" s="20"/>
      <c r="K49" s="13"/>
      <c r="L49" s="2"/>
      <c r="M49" s="13"/>
      <c r="N49" s="5" t="str">
        <f>IF(B49="","",IFERROR(LOOKUP(2,1/(单次交易!$A$2:$A$201=B49),单次交易!$N$2:$N$201),""))</f>
        <v/>
      </c>
      <c r="O49" s="5" t="str">
        <f t="shared" si="0"/>
        <v/>
      </c>
      <c r="P49" s="11" t="str">
        <f t="shared" si="1"/>
        <v/>
      </c>
      <c r="Q49" s="5" t="str">
        <f t="shared" si="2"/>
        <v/>
      </c>
      <c r="R49" s="10"/>
      <c r="S49" s="5" t="str">
        <f t="shared" si="3"/>
        <v/>
      </c>
      <c r="T49" s="5" t="str">
        <f t="shared" si="4"/>
        <v/>
      </c>
      <c r="U49" s="5" t="str">
        <f t="shared" si="5"/>
        <v/>
      </c>
      <c r="V49" s="7" t="str">
        <f t="shared" si="6"/>
        <v/>
      </c>
      <c r="W49" s="8" t="str">
        <f t="shared" si="7"/>
        <v/>
      </c>
      <c r="X49" s="2"/>
      <c r="Y49" s="10"/>
      <c r="Z49" s="11" t="str">
        <f>IF(X49&lt;&gt;"执行卖出","",IFERROR(LOOKUP(2,1/(单次交易!$A$2:$A$201=B49),单次交易!$AP$2:$AP$201),""))</f>
        <v/>
      </c>
      <c r="AA49" s="10"/>
      <c r="AB49" s="8" t="str">
        <f t="shared" si="8"/>
        <v/>
      </c>
      <c r="AC49" s="8" t="str">
        <f>IF(A49="","",IF(A49="止损计划",IF(OR(B49="",D49="",E49="",F49="",G49=""),"计划不完整",IF(OR(D49&lt;1,D49&lt;&gt;INT(D49)),"阶段序号无效",IF(COUNTIFS($A$2:$A$497,"止损计划",$B$2:$B$497,B49,$D$2:$D$497,D49)&gt;1,"阶段序号重复",IF(E49&lt;=IFERROR(LOOKUP(2,1/(单次交易!$A$2:$A$201=B49),单次交易!$E$2:$E$201),0),"激活价须高于买入价",IF(F49&lt;N49,"止损价不得低于初始止损",IF(F49&gt;E49,"止损价不得高于激活价",IF(AND(COUNTIFS($A$2:$A$497,"止损计划",$B$2:$B$497,B49,$D$2:$D$497,"&lt;"&amp;D49)&gt;0,OR(E49&lt;=SUMPRODUCT(MAX((($A$2:$A$497="止损计划")*($B$2:$B$497=B49)*($D$2:$D$497&lt;D49))*$E$2:$E$497)),F49&lt;SUMPRODUCT(MAX((($A$2:$A$497="止损计划")*($B$2:$B$497=B49)*($D$2:$D$497&lt;D49))*$F$2:$F$497)))),"阶段价格必须逐级提高","计划有效"))))))),IF(A49="每日跟踪",IF(OR(B49="",H49="",I49="",J49=""),"每日数据不完整",IF(COUNTIFS($A$2:$A$497,"每日跟踪",$B$2:$B$497,B49,$H$2:$H$497,H49)&gt;1,"同一交易日期重复",IF(AND(R49&lt;&gt;"",R49&lt;S49),"人工止损无效：不能下调","跟踪有效"))),"记录类型无效")))</f>
        <v/>
      </c>
    </row>
    <row r="50" ht="17" spans="1:29">
      <c r="A50" s="2"/>
      <c r="B50" s="2"/>
      <c r="C50" s="8" t="str">
        <f>IF(B50="","",IFERROR(LOOKUP(2,1/(单次交易!$A$2:$A$201=B50),单次交易!$B$2:$B$201),""))</f>
        <v/>
      </c>
      <c r="D50" s="12"/>
      <c r="E50" s="10"/>
      <c r="F50" s="10"/>
      <c r="G50" s="2"/>
      <c r="H50" s="15"/>
      <c r="I50" s="10"/>
      <c r="J50" s="20"/>
      <c r="K50" s="13"/>
      <c r="L50" s="2"/>
      <c r="M50" s="13"/>
      <c r="N50" s="5" t="str">
        <f>IF(B50="","",IFERROR(LOOKUP(2,1/(单次交易!$A$2:$A$201=B50),单次交易!$N$2:$N$201),""))</f>
        <v/>
      </c>
      <c r="O50" s="5" t="str">
        <f t="shared" si="0"/>
        <v/>
      </c>
      <c r="P50" s="11" t="str">
        <f t="shared" si="1"/>
        <v/>
      </c>
      <c r="Q50" s="5" t="str">
        <f t="shared" si="2"/>
        <v/>
      </c>
      <c r="R50" s="10"/>
      <c r="S50" s="5" t="str">
        <f t="shared" si="3"/>
        <v/>
      </c>
      <c r="T50" s="5" t="str">
        <f t="shared" si="4"/>
        <v/>
      </c>
      <c r="U50" s="5" t="str">
        <f t="shared" si="5"/>
        <v/>
      </c>
      <c r="V50" s="7" t="str">
        <f t="shared" si="6"/>
        <v/>
      </c>
      <c r="W50" s="8" t="str">
        <f t="shared" si="7"/>
        <v/>
      </c>
      <c r="X50" s="2"/>
      <c r="Y50" s="10"/>
      <c r="Z50" s="11" t="str">
        <f>IF(X50&lt;&gt;"执行卖出","",IFERROR(LOOKUP(2,1/(单次交易!$A$2:$A$201=B50),单次交易!$AP$2:$AP$201),""))</f>
        <v/>
      </c>
      <c r="AA50" s="10"/>
      <c r="AB50" s="8" t="str">
        <f t="shared" si="8"/>
        <v/>
      </c>
      <c r="AC50" s="8" t="str">
        <f>IF(A50="","",IF(A50="止损计划",IF(OR(B50="",D50="",E50="",F50="",G50=""),"计划不完整",IF(OR(D50&lt;1,D50&lt;&gt;INT(D50)),"阶段序号无效",IF(COUNTIFS($A$2:$A$497,"止损计划",$B$2:$B$497,B50,$D$2:$D$497,D50)&gt;1,"阶段序号重复",IF(E50&lt;=IFERROR(LOOKUP(2,1/(单次交易!$A$2:$A$201=B50),单次交易!$E$2:$E$201),0),"激活价须高于买入价",IF(F50&lt;N50,"止损价不得低于初始止损",IF(F50&gt;E50,"止损价不得高于激活价",IF(AND(COUNTIFS($A$2:$A$497,"止损计划",$B$2:$B$497,B50,$D$2:$D$497,"&lt;"&amp;D50)&gt;0,OR(E50&lt;=SUMPRODUCT(MAX((($A$2:$A$497="止损计划")*($B$2:$B$497=B50)*($D$2:$D$497&lt;D50))*$E$2:$E$497)),F50&lt;SUMPRODUCT(MAX((($A$2:$A$497="止损计划")*($B$2:$B$497=B50)*($D$2:$D$497&lt;D50))*$F$2:$F$497)))),"阶段价格必须逐级提高","计划有效"))))))),IF(A50="每日跟踪",IF(OR(B50="",H50="",I50="",J50=""),"每日数据不完整",IF(COUNTIFS($A$2:$A$497,"每日跟踪",$B$2:$B$497,B50,$H$2:$H$497,H50)&gt;1,"同一交易日期重复",IF(AND(R50&lt;&gt;"",R50&lt;S50),"人工止损无效：不能下调","跟踪有效"))),"记录类型无效")))</f>
        <v/>
      </c>
    </row>
    <row r="51" ht="17" spans="1:29">
      <c r="A51" s="2"/>
      <c r="B51" s="2"/>
      <c r="C51" s="8" t="str">
        <f>IF(B51="","",IFERROR(LOOKUP(2,1/(单次交易!$A$2:$A$201=B51),单次交易!$B$2:$B$201),""))</f>
        <v/>
      </c>
      <c r="D51" s="12"/>
      <c r="E51" s="10"/>
      <c r="F51" s="10"/>
      <c r="G51" s="2"/>
      <c r="H51" s="15"/>
      <c r="I51" s="10"/>
      <c r="J51" s="20"/>
      <c r="K51" s="13"/>
      <c r="L51" s="2"/>
      <c r="M51" s="13"/>
      <c r="N51" s="5" t="str">
        <f>IF(B51="","",IFERROR(LOOKUP(2,1/(单次交易!$A$2:$A$201=B51),单次交易!$N$2:$N$201),""))</f>
        <v/>
      </c>
      <c r="O51" s="5" t="str">
        <f t="shared" si="0"/>
        <v/>
      </c>
      <c r="P51" s="11" t="str">
        <f t="shared" si="1"/>
        <v/>
      </c>
      <c r="Q51" s="5" t="str">
        <f t="shared" si="2"/>
        <v/>
      </c>
      <c r="R51" s="10"/>
      <c r="S51" s="5" t="str">
        <f t="shared" si="3"/>
        <v/>
      </c>
      <c r="T51" s="5" t="str">
        <f t="shared" si="4"/>
        <v/>
      </c>
      <c r="U51" s="5" t="str">
        <f t="shared" si="5"/>
        <v/>
      </c>
      <c r="V51" s="7" t="str">
        <f t="shared" si="6"/>
        <v/>
      </c>
      <c r="W51" s="8" t="str">
        <f t="shared" si="7"/>
        <v/>
      </c>
      <c r="X51" s="2"/>
      <c r="Y51" s="10"/>
      <c r="Z51" s="11" t="str">
        <f>IF(X51&lt;&gt;"执行卖出","",IFERROR(LOOKUP(2,1/(单次交易!$A$2:$A$201=B51),单次交易!$AP$2:$AP$201),""))</f>
        <v/>
      </c>
      <c r="AA51" s="10"/>
      <c r="AB51" s="8" t="str">
        <f t="shared" si="8"/>
        <v/>
      </c>
      <c r="AC51" s="8" t="str">
        <f>IF(A51="","",IF(A51="止损计划",IF(OR(B51="",D51="",E51="",F51="",G51=""),"计划不完整",IF(OR(D51&lt;1,D51&lt;&gt;INT(D51)),"阶段序号无效",IF(COUNTIFS($A$2:$A$497,"止损计划",$B$2:$B$497,B51,$D$2:$D$497,D51)&gt;1,"阶段序号重复",IF(E51&lt;=IFERROR(LOOKUP(2,1/(单次交易!$A$2:$A$201=B51),单次交易!$E$2:$E$201),0),"激活价须高于买入价",IF(F51&lt;N51,"止损价不得低于初始止损",IF(F51&gt;E51,"止损价不得高于激活价",IF(AND(COUNTIFS($A$2:$A$497,"止损计划",$B$2:$B$497,B51,$D$2:$D$497,"&lt;"&amp;D51)&gt;0,OR(E51&lt;=SUMPRODUCT(MAX((($A$2:$A$497="止损计划")*($B$2:$B$497=B51)*($D$2:$D$497&lt;D51))*$E$2:$E$497)),F51&lt;SUMPRODUCT(MAX((($A$2:$A$497="止损计划")*($B$2:$B$497=B51)*($D$2:$D$497&lt;D51))*$F$2:$F$497)))),"阶段价格必须逐级提高","计划有效"))))))),IF(A51="每日跟踪",IF(OR(B51="",H51="",I51="",J51=""),"每日数据不完整",IF(COUNTIFS($A$2:$A$497,"每日跟踪",$B$2:$B$497,B51,$H$2:$H$497,H51)&gt;1,"同一交易日期重复",IF(AND(R51&lt;&gt;"",R51&lt;S51),"人工止损无效：不能下调","跟踪有效"))),"记录类型无效")))</f>
        <v/>
      </c>
    </row>
    <row r="52" ht="17" spans="1:29">
      <c r="A52" s="2"/>
      <c r="B52" s="2"/>
      <c r="C52" s="8" t="str">
        <f>IF(B52="","",IFERROR(LOOKUP(2,1/(单次交易!$A$2:$A$201=B52),单次交易!$B$2:$B$201),""))</f>
        <v/>
      </c>
      <c r="D52" s="12"/>
      <c r="E52" s="10"/>
      <c r="F52" s="10"/>
      <c r="G52" s="2"/>
      <c r="H52" s="15"/>
      <c r="I52" s="10"/>
      <c r="J52" s="20"/>
      <c r="K52" s="13"/>
      <c r="L52" s="2"/>
      <c r="M52" s="13"/>
      <c r="N52" s="5" t="str">
        <f>IF(B52="","",IFERROR(LOOKUP(2,1/(单次交易!$A$2:$A$201=B52),单次交易!$N$2:$N$201),""))</f>
        <v/>
      </c>
      <c r="O52" s="5" t="str">
        <f t="shared" si="0"/>
        <v/>
      </c>
      <c r="P52" s="11" t="str">
        <f t="shared" si="1"/>
        <v/>
      </c>
      <c r="Q52" s="5" t="str">
        <f t="shared" si="2"/>
        <v/>
      </c>
      <c r="R52" s="10"/>
      <c r="S52" s="5" t="str">
        <f t="shared" si="3"/>
        <v/>
      </c>
      <c r="T52" s="5" t="str">
        <f t="shared" si="4"/>
        <v/>
      </c>
      <c r="U52" s="5" t="str">
        <f t="shared" si="5"/>
        <v/>
      </c>
      <c r="V52" s="7" t="str">
        <f t="shared" si="6"/>
        <v/>
      </c>
      <c r="W52" s="8" t="str">
        <f t="shared" si="7"/>
        <v/>
      </c>
      <c r="X52" s="2"/>
      <c r="Y52" s="10"/>
      <c r="Z52" s="11" t="str">
        <f>IF(X52&lt;&gt;"执行卖出","",IFERROR(LOOKUP(2,1/(单次交易!$A$2:$A$201=B52),单次交易!$AP$2:$AP$201),""))</f>
        <v/>
      </c>
      <c r="AA52" s="10"/>
      <c r="AB52" s="8" t="str">
        <f t="shared" si="8"/>
        <v/>
      </c>
      <c r="AC52" s="8" t="str">
        <f>IF(A52="","",IF(A52="止损计划",IF(OR(B52="",D52="",E52="",F52="",G52=""),"计划不完整",IF(OR(D52&lt;1,D52&lt;&gt;INT(D52)),"阶段序号无效",IF(COUNTIFS($A$2:$A$497,"止损计划",$B$2:$B$497,B52,$D$2:$D$497,D52)&gt;1,"阶段序号重复",IF(E52&lt;=IFERROR(LOOKUP(2,1/(单次交易!$A$2:$A$201=B52),单次交易!$E$2:$E$201),0),"激活价须高于买入价",IF(F52&lt;N52,"止损价不得低于初始止损",IF(F52&gt;E52,"止损价不得高于激活价",IF(AND(COUNTIFS($A$2:$A$497,"止损计划",$B$2:$B$497,B52,$D$2:$D$497,"&lt;"&amp;D52)&gt;0,OR(E52&lt;=SUMPRODUCT(MAX((($A$2:$A$497="止损计划")*($B$2:$B$497=B52)*($D$2:$D$497&lt;D52))*$E$2:$E$497)),F52&lt;SUMPRODUCT(MAX((($A$2:$A$497="止损计划")*($B$2:$B$497=B52)*($D$2:$D$497&lt;D52))*$F$2:$F$497)))),"阶段价格必须逐级提高","计划有效"))))))),IF(A52="每日跟踪",IF(OR(B52="",H52="",I52="",J52=""),"每日数据不完整",IF(COUNTIFS($A$2:$A$497,"每日跟踪",$B$2:$B$497,B52,$H$2:$H$497,H52)&gt;1,"同一交易日期重复",IF(AND(R52&lt;&gt;"",R52&lt;S52),"人工止损无效：不能下调","跟踪有效"))),"记录类型无效")))</f>
        <v/>
      </c>
    </row>
    <row r="53" ht="17" spans="1:29">
      <c r="A53" s="2"/>
      <c r="B53" s="2"/>
      <c r="C53" s="8" t="str">
        <f>IF(B53="","",IFERROR(LOOKUP(2,1/(单次交易!$A$2:$A$201=B53),单次交易!$B$2:$B$201),""))</f>
        <v/>
      </c>
      <c r="D53" s="12"/>
      <c r="E53" s="10"/>
      <c r="F53" s="10"/>
      <c r="G53" s="2"/>
      <c r="H53" s="15"/>
      <c r="I53" s="10"/>
      <c r="J53" s="20"/>
      <c r="K53" s="13"/>
      <c r="L53" s="2"/>
      <c r="M53" s="13"/>
      <c r="N53" s="5" t="str">
        <f>IF(B53="","",IFERROR(LOOKUP(2,1/(单次交易!$A$2:$A$201=B53),单次交易!$N$2:$N$201),""))</f>
        <v/>
      </c>
      <c r="O53" s="5" t="str">
        <f t="shared" si="0"/>
        <v/>
      </c>
      <c r="P53" s="11" t="str">
        <f t="shared" si="1"/>
        <v/>
      </c>
      <c r="Q53" s="5" t="str">
        <f t="shared" si="2"/>
        <v/>
      </c>
      <c r="R53" s="10"/>
      <c r="S53" s="5" t="str">
        <f t="shared" si="3"/>
        <v/>
      </c>
      <c r="T53" s="5" t="str">
        <f t="shared" si="4"/>
        <v/>
      </c>
      <c r="U53" s="5" t="str">
        <f t="shared" si="5"/>
        <v/>
      </c>
      <c r="V53" s="7" t="str">
        <f t="shared" si="6"/>
        <v/>
      </c>
      <c r="W53" s="8" t="str">
        <f t="shared" si="7"/>
        <v/>
      </c>
      <c r="X53" s="2"/>
      <c r="Y53" s="10"/>
      <c r="Z53" s="11" t="str">
        <f>IF(X53&lt;&gt;"执行卖出","",IFERROR(LOOKUP(2,1/(单次交易!$A$2:$A$201=B53),单次交易!$AP$2:$AP$201),""))</f>
        <v/>
      </c>
      <c r="AA53" s="10"/>
      <c r="AB53" s="8" t="str">
        <f t="shared" si="8"/>
        <v/>
      </c>
      <c r="AC53" s="8" t="str">
        <f>IF(A53="","",IF(A53="止损计划",IF(OR(B53="",D53="",E53="",F53="",G53=""),"计划不完整",IF(OR(D53&lt;1,D53&lt;&gt;INT(D53)),"阶段序号无效",IF(COUNTIFS($A$2:$A$497,"止损计划",$B$2:$B$497,B53,$D$2:$D$497,D53)&gt;1,"阶段序号重复",IF(E53&lt;=IFERROR(LOOKUP(2,1/(单次交易!$A$2:$A$201=B53),单次交易!$E$2:$E$201),0),"激活价须高于买入价",IF(F53&lt;N53,"止损价不得低于初始止损",IF(F53&gt;E53,"止损价不得高于激活价",IF(AND(COUNTIFS($A$2:$A$497,"止损计划",$B$2:$B$497,B53,$D$2:$D$497,"&lt;"&amp;D53)&gt;0,OR(E53&lt;=SUMPRODUCT(MAX((($A$2:$A$497="止损计划")*($B$2:$B$497=B53)*($D$2:$D$497&lt;D53))*$E$2:$E$497)),F53&lt;SUMPRODUCT(MAX((($A$2:$A$497="止损计划")*($B$2:$B$497=B53)*($D$2:$D$497&lt;D53))*$F$2:$F$497)))),"阶段价格必须逐级提高","计划有效"))))))),IF(A53="每日跟踪",IF(OR(B53="",H53="",I53="",J53=""),"每日数据不完整",IF(COUNTIFS($A$2:$A$497,"每日跟踪",$B$2:$B$497,B53,$H$2:$H$497,H53)&gt;1,"同一交易日期重复",IF(AND(R53&lt;&gt;"",R53&lt;S53),"人工止损无效：不能下调","跟踪有效"))),"记录类型无效")))</f>
        <v/>
      </c>
    </row>
    <row r="54" ht="17" spans="1:29">
      <c r="A54" s="2"/>
      <c r="B54" s="2"/>
      <c r="C54" s="8" t="str">
        <f>IF(B54="","",IFERROR(LOOKUP(2,1/(单次交易!$A$2:$A$201=B54),单次交易!$B$2:$B$201),""))</f>
        <v/>
      </c>
      <c r="D54" s="12"/>
      <c r="E54" s="10"/>
      <c r="F54" s="10"/>
      <c r="G54" s="2"/>
      <c r="H54" s="15"/>
      <c r="I54" s="10"/>
      <c r="J54" s="20"/>
      <c r="K54" s="13"/>
      <c r="L54" s="2"/>
      <c r="M54" s="13"/>
      <c r="N54" s="5" t="str">
        <f>IF(B54="","",IFERROR(LOOKUP(2,1/(单次交易!$A$2:$A$201=B54),单次交易!$N$2:$N$201),""))</f>
        <v/>
      </c>
      <c r="O54" s="5" t="str">
        <f t="shared" si="0"/>
        <v/>
      </c>
      <c r="P54" s="11" t="str">
        <f t="shared" si="1"/>
        <v/>
      </c>
      <c r="Q54" s="5" t="str">
        <f t="shared" si="2"/>
        <v/>
      </c>
      <c r="R54" s="10"/>
      <c r="S54" s="5" t="str">
        <f t="shared" si="3"/>
        <v/>
      </c>
      <c r="T54" s="5" t="str">
        <f t="shared" si="4"/>
        <v/>
      </c>
      <c r="U54" s="5" t="str">
        <f t="shared" si="5"/>
        <v/>
      </c>
      <c r="V54" s="7" t="str">
        <f t="shared" si="6"/>
        <v/>
      </c>
      <c r="W54" s="8" t="str">
        <f t="shared" si="7"/>
        <v/>
      </c>
      <c r="X54" s="2"/>
      <c r="Y54" s="10"/>
      <c r="Z54" s="11" t="str">
        <f>IF(X54&lt;&gt;"执行卖出","",IFERROR(LOOKUP(2,1/(单次交易!$A$2:$A$201=B54),单次交易!$AP$2:$AP$201),""))</f>
        <v/>
      </c>
      <c r="AA54" s="10"/>
      <c r="AB54" s="8" t="str">
        <f t="shared" si="8"/>
        <v/>
      </c>
      <c r="AC54" s="8" t="str">
        <f>IF(A54="","",IF(A54="止损计划",IF(OR(B54="",D54="",E54="",F54="",G54=""),"计划不完整",IF(OR(D54&lt;1,D54&lt;&gt;INT(D54)),"阶段序号无效",IF(COUNTIFS($A$2:$A$497,"止损计划",$B$2:$B$497,B54,$D$2:$D$497,D54)&gt;1,"阶段序号重复",IF(E54&lt;=IFERROR(LOOKUP(2,1/(单次交易!$A$2:$A$201=B54),单次交易!$E$2:$E$201),0),"激活价须高于买入价",IF(F54&lt;N54,"止损价不得低于初始止损",IF(F54&gt;E54,"止损价不得高于激活价",IF(AND(COUNTIFS($A$2:$A$497,"止损计划",$B$2:$B$497,B54,$D$2:$D$497,"&lt;"&amp;D54)&gt;0,OR(E54&lt;=SUMPRODUCT(MAX((($A$2:$A$497="止损计划")*($B$2:$B$497=B54)*($D$2:$D$497&lt;D54))*$E$2:$E$497)),F54&lt;SUMPRODUCT(MAX((($A$2:$A$497="止损计划")*($B$2:$B$497=B54)*($D$2:$D$497&lt;D54))*$F$2:$F$497)))),"阶段价格必须逐级提高","计划有效"))))))),IF(A54="每日跟踪",IF(OR(B54="",H54="",I54="",J54=""),"每日数据不完整",IF(COUNTIFS($A$2:$A$497,"每日跟踪",$B$2:$B$497,B54,$H$2:$H$497,H54)&gt;1,"同一交易日期重复",IF(AND(R54&lt;&gt;"",R54&lt;S54),"人工止损无效：不能下调","跟踪有效"))),"记录类型无效")))</f>
        <v/>
      </c>
    </row>
    <row r="55" ht="17" spans="1:29">
      <c r="A55" s="2"/>
      <c r="B55" s="2"/>
      <c r="C55" s="8" t="str">
        <f>IF(B55="","",IFERROR(LOOKUP(2,1/(单次交易!$A$2:$A$201=B55),单次交易!$B$2:$B$201),""))</f>
        <v/>
      </c>
      <c r="D55" s="12"/>
      <c r="E55" s="10"/>
      <c r="F55" s="10"/>
      <c r="G55" s="2"/>
      <c r="H55" s="15"/>
      <c r="I55" s="10"/>
      <c r="J55" s="20"/>
      <c r="K55" s="13"/>
      <c r="L55" s="2"/>
      <c r="M55" s="13"/>
      <c r="N55" s="5" t="str">
        <f>IF(B55="","",IFERROR(LOOKUP(2,1/(单次交易!$A$2:$A$201=B55),单次交易!$N$2:$N$201),""))</f>
        <v/>
      </c>
      <c r="O55" s="5" t="str">
        <f t="shared" si="0"/>
        <v/>
      </c>
      <c r="P55" s="11" t="str">
        <f t="shared" si="1"/>
        <v/>
      </c>
      <c r="Q55" s="5" t="str">
        <f t="shared" si="2"/>
        <v/>
      </c>
      <c r="R55" s="10"/>
      <c r="S55" s="5" t="str">
        <f t="shared" si="3"/>
        <v/>
      </c>
      <c r="T55" s="5" t="str">
        <f t="shared" si="4"/>
        <v/>
      </c>
      <c r="U55" s="5" t="str">
        <f t="shared" si="5"/>
        <v/>
      </c>
      <c r="V55" s="7" t="str">
        <f t="shared" si="6"/>
        <v/>
      </c>
      <c r="W55" s="8" t="str">
        <f t="shared" si="7"/>
        <v/>
      </c>
      <c r="X55" s="2"/>
      <c r="Y55" s="10"/>
      <c r="Z55" s="11" t="str">
        <f>IF(X55&lt;&gt;"执行卖出","",IFERROR(LOOKUP(2,1/(单次交易!$A$2:$A$201=B55),单次交易!$AP$2:$AP$201),""))</f>
        <v/>
      </c>
      <c r="AA55" s="10"/>
      <c r="AB55" s="8" t="str">
        <f t="shared" si="8"/>
        <v/>
      </c>
      <c r="AC55" s="8" t="str">
        <f>IF(A55="","",IF(A55="止损计划",IF(OR(B55="",D55="",E55="",F55="",G55=""),"计划不完整",IF(OR(D55&lt;1,D55&lt;&gt;INT(D55)),"阶段序号无效",IF(COUNTIFS($A$2:$A$497,"止损计划",$B$2:$B$497,B55,$D$2:$D$497,D55)&gt;1,"阶段序号重复",IF(E55&lt;=IFERROR(LOOKUP(2,1/(单次交易!$A$2:$A$201=B55),单次交易!$E$2:$E$201),0),"激活价须高于买入价",IF(F55&lt;N55,"止损价不得低于初始止损",IF(F55&gt;E55,"止损价不得高于激活价",IF(AND(COUNTIFS($A$2:$A$497,"止损计划",$B$2:$B$497,B55,$D$2:$D$497,"&lt;"&amp;D55)&gt;0,OR(E55&lt;=SUMPRODUCT(MAX((($A$2:$A$497="止损计划")*($B$2:$B$497=B55)*($D$2:$D$497&lt;D55))*$E$2:$E$497)),F55&lt;SUMPRODUCT(MAX((($A$2:$A$497="止损计划")*($B$2:$B$497=B55)*($D$2:$D$497&lt;D55))*$F$2:$F$497)))),"阶段价格必须逐级提高","计划有效"))))))),IF(A55="每日跟踪",IF(OR(B55="",H55="",I55="",J55=""),"每日数据不完整",IF(COUNTIFS($A$2:$A$497,"每日跟踪",$B$2:$B$497,B55,$H$2:$H$497,H55)&gt;1,"同一交易日期重复",IF(AND(R55&lt;&gt;"",R55&lt;S55),"人工止损无效：不能下调","跟踪有效"))),"记录类型无效")))</f>
        <v/>
      </c>
    </row>
    <row r="56" ht="17" spans="1:29">
      <c r="A56" s="2"/>
      <c r="B56" s="2"/>
      <c r="C56" s="8" t="str">
        <f>IF(B56="","",IFERROR(LOOKUP(2,1/(单次交易!$A$2:$A$201=B56),单次交易!$B$2:$B$201),""))</f>
        <v/>
      </c>
      <c r="D56" s="12"/>
      <c r="E56" s="10"/>
      <c r="F56" s="10"/>
      <c r="G56" s="2"/>
      <c r="H56" s="15"/>
      <c r="I56" s="10"/>
      <c r="J56" s="20"/>
      <c r="K56" s="13"/>
      <c r="L56" s="2"/>
      <c r="M56" s="2"/>
      <c r="N56" s="5" t="str">
        <f>IF(B56="","",IFERROR(LOOKUP(2,1/(单次交易!$A$2:$A$201=B56),单次交易!$N$2:$N$201),""))</f>
        <v/>
      </c>
      <c r="O56" s="5" t="str">
        <f t="shared" si="0"/>
        <v/>
      </c>
      <c r="P56" s="11" t="str">
        <f t="shared" si="1"/>
        <v/>
      </c>
      <c r="Q56" s="5" t="str">
        <f t="shared" si="2"/>
        <v/>
      </c>
      <c r="R56" s="10"/>
      <c r="S56" s="5" t="str">
        <f t="shared" si="3"/>
        <v/>
      </c>
      <c r="T56" s="5" t="str">
        <f t="shared" si="4"/>
        <v/>
      </c>
      <c r="U56" s="5" t="str">
        <f t="shared" si="5"/>
        <v/>
      </c>
      <c r="V56" s="7" t="str">
        <f t="shared" si="6"/>
        <v/>
      </c>
      <c r="W56" s="8" t="str">
        <f t="shared" si="7"/>
        <v/>
      </c>
      <c r="X56" s="2"/>
      <c r="Y56" s="10"/>
      <c r="Z56" s="11" t="str">
        <f>IF(X56&lt;&gt;"执行卖出","",IFERROR(LOOKUP(2,1/(单次交易!$A$2:$A$201=B56),单次交易!$AP$2:$AP$201),""))</f>
        <v/>
      </c>
      <c r="AA56" s="10"/>
      <c r="AB56" s="8" t="str">
        <f t="shared" si="8"/>
        <v/>
      </c>
      <c r="AC56" s="8" t="str">
        <f>IF(A56="","",IF(A56="止损计划",IF(OR(B56="",D56="",E56="",F56="",G56=""),"计划不完整",IF(OR(D56&lt;1,D56&lt;&gt;INT(D56)),"阶段序号无效",IF(COUNTIFS($A$2:$A$497,"止损计划",$B$2:$B$497,B56,$D$2:$D$497,D56)&gt;1,"阶段序号重复",IF(E56&lt;=IFERROR(LOOKUP(2,1/(单次交易!$A$2:$A$201=B56),单次交易!$E$2:$E$201),0),"激活价须高于买入价",IF(F56&lt;N56,"止损价不得低于初始止损",IF(F56&gt;E56,"止损价不得高于激活价",IF(AND(COUNTIFS($A$2:$A$497,"止损计划",$B$2:$B$497,B56,$D$2:$D$497,"&lt;"&amp;D56)&gt;0,OR(E56&lt;=SUMPRODUCT(MAX((($A$2:$A$497="止损计划")*($B$2:$B$497=B56)*($D$2:$D$497&lt;D56))*$E$2:$E$497)),F56&lt;SUMPRODUCT(MAX((($A$2:$A$497="止损计划")*($B$2:$B$497=B56)*($D$2:$D$497&lt;D56))*$F$2:$F$497)))),"阶段价格必须逐级提高","计划有效"))))))),IF(A56="每日跟踪",IF(OR(B56="",H56="",I56="",J56=""),"每日数据不完整",IF(COUNTIFS($A$2:$A$497,"每日跟踪",$B$2:$B$497,B56,$H$2:$H$497,H56)&gt;1,"同一交易日期重复",IF(AND(R56&lt;&gt;"",R56&lt;S56),"人工止损无效：不能下调","跟踪有效"))),"记录类型无效")))</f>
        <v/>
      </c>
    </row>
    <row r="57" ht="17" spans="1:29">
      <c r="A57" s="2"/>
      <c r="B57" s="2"/>
      <c r="C57" s="8" t="str">
        <f>IF(B57="","",IFERROR(LOOKUP(2,1/(单次交易!$A$2:$A$201=B57),单次交易!$B$2:$B$201),""))</f>
        <v/>
      </c>
      <c r="D57" s="12"/>
      <c r="E57" s="10"/>
      <c r="F57" s="10"/>
      <c r="G57" s="2"/>
      <c r="H57" s="15"/>
      <c r="I57" s="10"/>
      <c r="J57" s="20"/>
      <c r="K57" s="13"/>
      <c r="L57" s="13"/>
      <c r="M57" s="13"/>
      <c r="N57" s="5" t="str">
        <f>IF(B57="","",IFERROR(LOOKUP(2,1/(单次交易!$A$2:$A$201=B57),单次交易!$N$2:$N$201),""))</f>
        <v/>
      </c>
      <c r="O57" s="5" t="str">
        <f t="shared" si="0"/>
        <v/>
      </c>
      <c r="P57" s="11" t="str">
        <f t="shared" si="1"/>
        <v/>
      </c>
      <c r="Q57" s="5" t="str">
        <f t="shared" si="2"/>
        <v/>
      </c>
      <c r="R57" s="10"/>
      <c r="S57" s="5" t="str">
        <f t="shared" si="3"/>
        <v/>
      </c>
      <c r="T57" s="5" t="str">
        <f t="shared" si="4"/>
        <v/>
      </c>
      <c r="U57" s="5" t="str">
        <f t="shared" si="5"/>
        <v/>
      </c>
      <c r="V57" s="7" t="str">
        <f t="shared" si="6"/>
        <v/>
      </c>
      <c r="W57" s="8" t="str">
        <f t="shared" si="7"/>
        <v/>
      </c>
      <c r="X57" s="2"/>
      <c r="Y57" s="10"/>
      <c r="Z57" s="11" t="str">
        <f>IF(X57&lt;&gt;"执行卖出","",IFERROR(LOOKUP(2,1/(单次交易!$A$2:$A$201=B57),单次交易!$AP$2:$AP$201),""))</f>
        <v/>
      </c>
      <c r="AA57" s="10"/>
      <c r="AB57" s="8" t="str">
        <f t="shared" si="8"/>
        <v/>
      </c>
      <c r="AC57" s="8" t="str">
        <f>IF(A57="","",IF(A57="止损计划",IF(OR(B57="",D57="",E57="",F57="",G57=""),"计划不完整",IF(OR(D57&lt;1,D57&lt;&gt;INT(D57)),"阶段序号无效",IF(COUNTIFS($A$2:$A$497,"止损计划",$B$2:$B$497,B57,$D$2:$D$497,D57)&gt;1,"阶段序号重复",IF(E57&lt;=IFERROR(LOOKUP(2,1/(单次交易!$A$2:$A$201=B57),单次交易!$E$2:$E$201),0),"激活价须高于买入价",IF(F57&lt;N57,"止损价不得低于初始止损",IF(F57&gt;E57,"止损价不得高于激活价",IF(AND(COUNTIFS($A$2:$A$497,"止损计划",$B$2:$B$497,B57,$D$2:$D$497,"&lt;"&amp;D57)&gt;0,OR(E57&lt;=SUMPRODUCT(MAX((($A$2:$A$497="止损计划")*($B$2:$B$497=B57)*($D$2:$D$497&lt;D57))*$E$2:$E$497)),F57&lt;SUMPRODUCT(MAX((($A$2:$A$497="止损计划")*($B$2:$B$497=B57)*($D$2:$D$497&lt;D57))*$F$2:$F$497)))),"阶段价格必须逐级提高","计划有效"))))))),IF(A57="每日跟踪",IF(OR(B57="",H57="",I57="",J57=""),"每日数据不完整",IF(COUNTIFS($A$2:$A$497,"每日跟踪",$B$2:$B$497,B57,$H$2:$H$497,H57)&gt;1,"同一交易日期重复",IF(AND(R57&lt;&gt;"",R57&lt;S57),"人工止损无效：不能下调","跟踪有效"))),"记录类型无效")))</f>
        <v/>
      </c>
    </row>
    <row r="58" ht="17" spans="1:29">
      <c r="A58" s="2"/>
      <c r="B58" s="2"/>
      <c r="C58" s="8" t="str">
        <f>IF(B58="","",IFERROR(LOOKUP(2,1/(单次交易!$A$2:$A$201=B58),单次交易!$B$2:$B$201),""))</f>
        <v/>
      </c>
      <c r="D58" s="12"/>
      <c r="E58" s="10"/>
      <c r="F58" s="10"/>
      <c r="G58" s="2"/>
      <c r="H58" s="15"/>
      <c r="I58" s="10"/>
      <c r="J58" s="20"/>
      <c r="K58" s="13"/>
      <c r="L58" s="2"/>
      <c r="M58" s="13"/>
      <c r="N58" s="5" t="str">
        <f>IF(B58="","",IFERROR(LOOKUP(2,1/(单次交易!$A$2:$A$201=B58),单次交易!$N$2:$N$201),""))</f>
        <v/>
      </c>
      <c r="O58" s="5" t="str">
        <f t="shared" si="0"/>
        <v/>
      </c>
      <c r="P58" s="11" t="str">
        <f t="shared" si="1"/>
        <v/>
      </c>
      <c r="Q58" s="5" t="str">
        <f t="shared" si="2"/>
        <v/>
      </c>
      <c r="R58" s="10"/>
      <c r="S58" s="5" t="str">
        <f t="shared" si="3"/>
        <v/>
      </c>
      <c r="T58" s="5" t="str">
        <f t="shared" si="4"/>
        <v/>
      </c>
      <c r="U58" s="5" t="str">
        <f t="shared" si="5"/>
        <v/>
      </c>
      <c r="V58" s="7" t="str">
        <f t="shared" si="6"/>
        <v/>
      </c>
      <c r="W58" s="8" t="str">
        <f t="shared" si="7"/>
        <v/>
      </c>
      <c r="X58" s="2"/>
      <c r="Y58" s="10"/>
      <c r="Z58" s="11" t="str">
        <f>IF(X58&lt;&gt;"执行卖出","",IFERROR(LOOKUP(2,1/(单次交易!$A$2:$A$201=B58),单次交易!$AP$2:$AP$201),""))</f>
        <v/>
      </c>
      <c r="AA58" s="10"/>
      <c r="AB58" s="8" t="str">
        <f t="shared" si="8"/>
        <v/>
      </c>
      <c r="AC58" s="8" t="str">
        <f>IF(A58="","",IF(A58="止损计划",IF(OR(B58="",D58="",E58="",F58="",G58=""),"计划不完整",IF(OR(D58&lt;1,D58&lt;&gt;INT(D58)),"阶段序号无效",IF(COUNTIFS($A$2:$A$497,"止损计划",$B$2:$B$497,B58,$D$2:$D$497,D58)&gt;1,"阶段序号重复",IF(E58&lt;=IFERROR(LOOKUP(2,1/(单次交易!$A$2:$A$201=B58),单次交易!$E$2:$E$201),0),"激活价须高于买入价",IF(F58&lt;N58,"止损价不得低于初始止损",IF(F58&gt;E58,"止损价不得高于激活价",IF(AND(COUNTIFS($A$2:$A$497,"止损计划",$B$2:$B$497,B58,$D$2:$D$497,"&lt;"&amp;D58)&gt;0,OR(E58&lt;=SUMPRODUCT(MAX((($A$2:$A$497="止损计划")*($B$2:$B$497=B58)*($D$2:$D$497&lt;D58))*$E$2:$E$497)),F58&lt;SUMPRODUCT(MAX((($A$2:$A$497="止损计划")*($B$2:$B$497=B58)*($D$2:$D$497&lt;D58))*$F$2:$F$497)))),"阶段价格必须逐级提高","计划有效"))))))),IF(A58="每日跟踪",IF(OR(B58="",H58="",I58="",J58=""),"每日数据不完整",IF(COUNTIFS($A$2:$A$497,"每日跟踪",$B$2:$B$497,B58,$H$2:$H$497,H58)&gt;1,"同一交易日期重复",IF(AND(R58&lt;&gt;"",R58&lt;S58),"人工止损无效：不能下调","跟踪有效"))),"记录类型无效")))</f>
        <v/>
      </c>
    </row>
    <row r="59" ht="17" spans="1:29">
      <c r="A59" s="2"/>
      <c r="B59" s="2"/>
      <c r="C59" s="8" t="str">
        <f>IF(B59="","",IFERROR(LOOKUP(2,1/(单次交易!$A$2:$A$201=B59),单次交易!$B$2:$B$201),""))</f>
        <v/>
      </c>
      <c r="D59" s="12"/>
      <c r="E59" s="10"/>
      <c r="F59" s="10"/>
      <c r="G59" s="2"/>
      <c r="H59" s="15"/>
      <c r="I59" s="10"/>
      <c r="J59" s="20"/>
      <c r="K59" s="13"/>
      <c r="L59" s="2"/>
      <c r="M59" s="13"/>
      <c r="N59" s="5" t="str">
        <f>IF(B59="","",IFERROR(LOOKUP(2,1/(单次交易!$A$2:$A$201=B59),单次交易!$N$2:$N$201),""))</f>
        <v/>
      </c>
      <c r="O59" s="5" t="str">
        <f t="shared" si="0"/>
        <v/>
      </c>
      <c r="P59" s="11" t="str">
        <f t="shared" si="1"/>
        <v/>
      </c>
      <c r="Q59" s="5" t="str">
        <f t="shared" si="2"/>
        <v/>
      </c>
      <c r="R59" s="10"/>
      <c r="S59" s="5" t="str">
        <f t="shared" si="3"/>
        <v/>
      </c>
      <c r="T59" s="5" t="str">
        <f t="shared" si="4"/>
        <v/>
      </c>
      <c r="U59" s="5" t="str">
        <f t="shared" si="5"/>
        <v/>
      </c>
      <c r="V59" s="7" t="str">
        <f t="shared" si="6"/>
        <v/>
      </c>
      <c r="W59" s="8" t="str">
        <f t="shared" si="7"/>
        <v/>
      </c>
      <c r="X59" s="2"/>
      <c r="Y59" s="10"/>
      <c r="Z59" s="11" t="str">
        <f>IF(X59&lt;&gt;"执行卖出","",IFERROR(LOOKUP(2,1/(单次交易!$A$2:$A$201=B59),单次交易!$AP$2:$AP$201),""))</f>
        <v/>
      </c>
      <c r="AA59" s="10"/>
      <c r="AB59" s="8" t="str">
        <f t="shared" si="8"/>
        <v/>
      </c>
      <c r="AC59" s="8" t="str">
        <f>IF(A59="","",IF(A59="止损计划",IF(OR(B59="",D59="",E59="",F59="",G59=""),"计划不完整",IF(OR(D59&lt;1,D59&lt;&gt;INT(D59)),"阶段序号无效",IF(COUNTIFS($A$2:$A$497,"止损计划",$B$2:$B$497,B59,$D$2:$D$497,D59)&gt;1,"阶段序号重复",IF(E59&lt;=IFERROR(LOOKUP(2,1/(单次交易!$A$2:$A$201=B59),单次交易!$E$2:$E$201),0),"激活价须高于买入价",IF(F59&lt;N59,"止损价不得低于初始止损",IF(F59&gt;E59,"止损价不得高于激活价",IF(AND(COUNTIFS($A$2:$A$497,"止损计划",$B$2:$B$497,B59,$D$2:$D$497,"&lt;"&amp;D59)&gt;0,OR(E59&lt;=SUMPRODUCT(MAX((($A$2:$A$497="止损计划")*($B$2:$B$497=B59)*($D$2:$D$497&lt;D59))*$E$2:$E$497)),F59&lt;SUMPRODUCT(MAX((($A$2:$A$497="止损计划")*($B$2:$B$497=B59)*($D$2:$D$497&lt;D59))*$F$2:$F$497)))),"阶段价格必须逐级提高","计划有效"))))))),IF(A59="每日跟踪",IF(OR(B59="",H59="",I59="",J59=""),"每日数据不完整",IF(COUNTIFS($A$2:$A$497,"每日跟踪",$B$2:$B$497,B59,$H$2:$H$497,H59)&gt;1,"同一交易日期重复",IF(AND(R59&lt;&gt;"",R59&lt;S59),"人工止损无效：不能下调","跟踪有效"))),"记录类型无效")))</f>
        <v/>
      </c>
    </row>
    <row r="60" ht="17" spans="1:29">
      <c r="A60" s="2"/>
      <c r="B60" s="2"/>
      <c r="C60" s="8" t="str">
        <f>IF(B60="","",IFERROR(LOOKUP(2,1/(单次交易!$A$2:$A$201=B60),单次交易!$B$2:$B$201),""))</f>
        <v/>
      </c>
      <c r="D60" s="12"/>
      <c r="E60" s="10"/>
      <c r="F60" s="10"/>
      <c r="G60" s="2"/>
      <c r="H60" s="15"/>
      <c r="I60" s="10"/>
      <c r="J60" s="20"/>
      <c r="K60" s="13"/>
      <c r="L60" s="2"/>
      <c r="M60" s="13"/>
      <c r="N60" s="5" t="str">
        <f>IF(B60="","",IFERROR(LOOKUP(2,1/(单次交易!$A$2:$A$201=B60),单次交易!$N$2:$N$201),""))</f>
        <v/>
      </c>
      <c r="O60" s="5" t="str">
        <f t="shared" si="0"/>
        <v/>
      </c>
      <c r="P60" s="11" t="str">
        <f t="shared" si="1"/>
        <v/>
      </c>
      <c r="Q60" s="5" t="str">
        <f t="shared" si="2"/>
        <v/>
      </c>
      <c r="R60" s="10"/>
      <c r="S60" s="5" t="str">
        <f t="shared" si="3"/>
        <v/>
      </c>
      <c r="T60" s="5" t="str">
        <f t="shared" si="4"/>
        <v/>
      </c>
      <c r="U60" s="5" t="str">
        <f t="shared" si="5"/>
        <v/>
      </c>
      <c r="V60" s="7" t="str">
        <f t="shared" si="6"/>
        <v/>
      </c>
      <c r="W60" s="8" t="str">
        <f t="shared" si="7"/>
        <v/>
      </c>
      <c r="X60" s="2"/>
      <c r="Y60" s="10"/>
      <c r="Z60" s="11" t="str">
        <f>IF(X60&lt;&gt;"执行卖出","",IFERROR(LOOKUP(2,1/(单次交易!$A$2:$A$201=B60),单次交易!$AP$2:$AP$201),""))</f>
        <v/>
      </c>
      <c r="AA60" s="10"/>
      <c r="AB60" s="8" t="str">
        <f t="shared" si="8"/>
        <v/>
      </c>
      <c r="AC60" s="8" t="str">
        <f>IF(A60="","",IF(A60="止损计划",IF(OR(B60="",D60="",E60="",F60="",G60=""),"计划不完整",IF(OR(D60&lt;1,D60&lt;&gt;INT(D60)),"阶段序号无效",IF(COUNTIFS($A$2:$A$497,"止损计划",$B$2:$B$497,B60,$D$2:$D$497,D60)&gt;1,"阶段序号重复",IF(E60&lt;=IFERROR(LOOKUP(2,1/(单次交易!$A$2:$A$201=B60),单次交易!$E$2:$E$201),0),"激活价须高于买入价",IF(F60&lt;N60,"止损价不得低于初始止损",IF(F60&gt;E60,"止损价不得高于激活价",IF(AND(COUNTIFS($A$2:$A$497,"止损计划",$B$2:$B$497,B60,$D$2:$D$497,"&lt;"&amp;D60)&gt;0,OR(E60&lt;=SUMPRODUCT(MAX((($A$2:$A$497="止损计划")*($B$2:$B$497=B60)*($D$2:$D$497&lt;D60))*$E$2:$E$497)),F60&lt;SUMPRODUCT(MAX((($A$2:$A$497="止损计划")*($B$2:$B$497=B60)*($D$2:$D$497&lt;D60))*$F$2:$F$497)))),"阶段价格必须逐级提高","计划有效"))))))),IF(A60="每日跟踪",IF(OR(B60="",H60="",I60="",J60=""),"每日数据不完整",IF(COUNTIFS($A$2:$A$497,"每日跟踪",$B$2:$B$497,B60,$H$2:$H$497,H60)&gt;1,"同一交易日期重复",IF(AND(R60&lt;&gt;"",R60&lt;S60),"人工止损无效：不能下调","跟踪有效"))),"记录类型无效")))</f>
        <v/>
      </c>
    </row>
    <row r="61" ht="17" spans="1:29">
      <c r="A61" s="2"/>
      <c r="B61" s="2"/>
      <c r="C61" s="8" t="str">
        <f>IF(B61="","",IFERROR(LOOKUP(2,1/(单次交易!$A$2:$A$201=B61),单次交易!$B$2:$B$201),""))</f>
        <v/>
      </c>
      <c r="D61" s="12"/>
      <c r="E61" s="10"/>
      <c r="F61" s="10"/>
      <c r="G61" s="2"/>
      <c r="H61" s="15"/>
      <c r="I61" s="10"/>
      <c r="J61" s="20"/>
      <c r="K61" s="13"/>
      <c r="L61" s="2"/>
      <c r="M61" s="13"/>
      <c r="N61" s="5" t="str">
        <f>IF(B61="","",IFERROR(LOOKUP(2,1/(单次交易!$A$2:$A$201=B61),单次交易!$N$2:$N$201),""))</f>
        <v/>
      </c>
      <c r="O61" s="5" t="str">
        <f t="shared" si="0"/>
        <v/>
      </c>
      <c r="P61" s="11" t="str">
        <f t="shared" si="1"/>
        <v/>
      </c>
      <c r="Q61" s="5" t="str">
        <f t="shared" si="2"/>
        <v/>
      </c>
      <c r="R61" s="10"/>
      <c r="S61" s="5" t="str">
        <f t="shared" si="3"/>
        <v/>
      </c>
      <c r="T61" s="5" t="str">
        <f t="shared" si="4"/>
        <v/>
      </c>
      <c r="U61" s="5" t="str">
        <f t="shared" si="5"/>
        <v/>
      </c>
      <c r="V61" s="7" t="str">
        <f t="shared" si="6"/>
        <v/>
      </c>
      <c r="W61" s="8" t="str">
        <f t="shared" si="7"/>
        <v/>
      </c>
      <c r="X61" s="2"/>
      <c r="Y61" s="10"/>
      <c r="Z61" s="11" t="str">
        <f>IF(X61&lt;&gt;"执行卖出","",IFERROR(LOOKUP(2,1/(单次交易!$A$2:$A$201=B61),单次交易!$AP$2:$AP$201),""))</f>
        <v/>
      </c>
      <c r="AA61" s="10"/>
      <c r="AB61" s="8" t="str">
        <f t="shared" si="8"/>
        <v/>
      </c>
      <c r="AC61" s="8" t="str">
        <f>IF(A61="","",IF(A61="止损计划",IF(OR(B61="",D61="",E61="",F61="",G61=""),"计划不完整",IF(OR(D61&lt;1,D61&lt;&gt;INT(D61)),"阶段序号无效",IF(COUNTIFS($A$2:$A$497,"止损计划",$B$2:$B$497,B61,$D$2:$D$497,D61)&gt;1,"阶段序号重复",IF(E61&lt;=IFERROR(LOOKUP(2,1/(单次交易!$A$2:$A$201=B61),单次交易!$E$2:$E$201),0),"激活价须高于买入价",IF(F61&lt;N61,"止损价不得低于初始止损",IF(F61&gt;E61,"止损价不得高于激活价",IF(AND(COUNTIFS($A$2:$A$497,"止损计划",$B$2:$B$497,B61,$D$2:$D$497,"&lt;"&amp;D61)&gt;0,OR(E61&lt;=SUMPRODUCT(MAX((($A$2:$A$497="止损计划")*($B$2:$B$497=B61)*($D$2:$D$497&lt;D61))*$E$2:$E$497)),F61&lt;SUMPRODUCT(MAX((($A$2:$A$497="止损计划")*($B$2:$B$497=B61)*($D$2:$D$497&lt;D61))*$F$2:$F$497)))),"阶段价格必须逐级提高","计划有效"))))))),IF(A61="每日跟踪",IF(OR(B61="",H61="",I61="",J61=""),"每日数据不完整",IF(COUNTIFS($A$2:$A$497,"每日跟踪",$B$2:$B$497,B61,$H$2:$H$497,H61)&gt;1,"同一交易日期重复",IF(AND(R61&lt;&gt;"",R61&lt;S61),"人工止损无效：不能下调","跟踪有效"))),"记录类型无效")))</f>
        <v/>
      </c>
    </row>
    <row r="62" ht="17" spans="1:29">
      <c r="A62" s="2"/>
      <c r="B62" s="2"/>
      <c r="C62" s="8" t="str">
        <f>IF(B62="","",IFERROR(LOOKUP(2,1/(单次交易!$A$2:$A$201=B62),单次交易!$B$2:$B$201),""))</f>
        <v/>
      </c>
      <c r="D62" s="12"/>
      <c r="E62" s="10"/>
      <c r="F62" s="10"/>
      <c r="G62" s="2"/>
      <c r="H62" s="15"/>
      <c r="I62" s="10"/>
      <c r="J62" s="20"/>
      <c r="K62" s="13"/>
      <c r="L62" s="2"/>
      <c r="M62" s="13"/>
      <c r="N62" s="5" t="str">
        <f>IF(B62="","",IFERROR(LOOKUP(2,1/(单次交易!$A$2:$A$201=B62),单次交易!$N$2:$N$201),""))</f>
        <v/>
      </c>
      <c r="O62" s="5" t="str">
        <f t="shared" si="0"/>
        <v/>
      </c>
      <c r="P62" s="11" t="str">
        <f t="shared" si="1"/>
        <v/>
      </c>
      <c r="Q62" s="5" t="str">
        <f t="shared" si="2"/>
        <v/>
      </c>
      <c r="R62" s="10"/>
      <c r="S62" s="5" t="str">
        <f t="shared" si="3"/>
        <v/>
      </c>
      <c r="T62" s="5" t="str">
        <f t="shared" si="4"/>
        <v/>
      </c>
      <c r="U62" s="5" t="str">
        <f t="shared" si="5"/>
        <v/>
      </c>
      <c r="V62" s="7" t="str">
        <f t="shared" si="6"/>
        <v/>
      </c>
      <c r="W62" s="8" t="str">
        <f t="shared" si="7"/>
        <v/>
      </c>
      <c r="X62" s="2"/>
      <c r="Y62" s="10"/>
      <c r="Z62" s="11" t="str">
        <f>IF(X62&lt;&gt;"执行卖出","",IFERROR(LOOKUP(2,1/(单次交易!$A$2:$A$201=B62),单次交易!$AP$2:$AP$201),""))</f>
        <v/>
      </c>
      <c r="AA62" s="10"/>
      <c r="AB62" s="8" t="str">
        <f t="shared" si="8"/>
        <v/>
      </c>
      <c r="AC62" s="8" t="str">
        <f>IF(A62="","",IF(A62="止损计划",IF(OR(B62="",D62="",E62="",F62="",G62=""),"计划不完整",IF(OR(D62&lt;1,D62&lt;&gt;INT(D62)),"阶段序号无效",IF(COUNTIFS($A$2:$A$497,"止损计划",$B$2:$B$497,B62,$D$2:$D$497,D62)&gt;1,"阶段序号重复",IF(E62&lt;=IFERROR(LOOKUP(2,1/(单次交易!$A$2:$A$201=B62),单次交易!$E$2:$E$201),0),"激活价须高于买入价",IF(F62&lt;N62,"止损价不得低于初始止损",IF(F62&gt;E62,"止损价不得高于激活价",IF(AND(COUNTIFS($A$2:$A$497,"止损计划",$B$2:$B$497,B62,$D$2:$D$497,"&lt;"&amp;D62)&gt;0,OR(E62&lt;=SUMPRODUCT(MAX((($A$2:$A$497="止损计划")*($B$2:$B$497=B62)*($D$2:$D$497&lt;D62))*$E$2:$E$497)),F62&lt;SUMPRODUCT(MAX((($A$2:$A$497="止损计划")*($B$2:$B$497=B62)*($D$2:$D$497&lt;D62))*$F$2:$F$497)))),"阶段价格必须逐级提高","计划有效"))))))),IF(A62="每日跟踪",IF(OR(B62="",H62="",I62="",J62=""),"每日数据不完整",IF(COUNTIFS($A$2:$A$497,"每日跟踪",$B$2:$B$497,B62,$H$2:$H$497,H62)&gt;1,"同一交易日期重复",IF(AND(R62&lt;&gt;"",R62&lt;S62),"人工止损无效：不能下调","跟踪有效"))),"记录类型无效")))</f>
        <v/>
      </c>
    </row>
    <row r="63" ht="17" spans="1:29">
      <c r="A63" s="2"/>
      <c r="B63" s="2"/>
      <c r="C63" s="8" t="str">
        <f>IF(B63="","",IFERROR(LOOKUP(2,1/(单次交易!$A$2:$A$201=B63),单次交易!$B$2:$B$201),""))</f>
        <v/>
      </c>
      <c r="D63" s="12"/>
      <c r="E63" s="10"/>
      <c r="F63" s="10"/>
      <c r="G63" s="2"/>
      <c r="H63" s="15"/>
      <c r="I63" s="10"/>
      <c r="J63" s="20"/>
      <c r="K63" s="13"/>
      <c r="L63" s="2"/>
      <c r="M63" s="13"/>
      <c r="N63" s="5" t="str">
        <f>IF(B63="","",IFERROR(LOOKUP(2,1/(单次交易!$A$2:$A$201=B63),单次交易!$N$2:$N$201),""))</f>
        <v/>
      </c>
      <c r="O63" s="5" t="str">
        <f t="shared" si="0"/>
        <v/>
      </c>
      <c r="P63" s="11" t="str">
        <f t="shared" si="1"/>
        <v/>
      </c>
      <c r="Q63" s="5" t="str">
        <f t="shared" si="2"/>
        <v/>
      </c>
      <c r="R63" s="10"/>
      <c r="S63" s="5" t="str">
        <f t="shared" si="3"/>
        <v/>
      </c>
      <c r="T63" s="5" t="str">
        <f t="shared" si="4"/>
        <v/>
      </c>
      <c r="U63" s="5" t="str">
        <f t="shared" si="5"/>
        <v/>
      </c>
      <c r="V63" s="7" t="str">
        <f t="shared" si="6"/>
        <v/>
      </c>
      <c r="W63" s="8" t="str">
        <f t="shared" si="7"/>
        <v/>
      </c>
      <c r="X63" s="2"/>
      <c r="Y63" s="10"/>
      <c r="Z63" s="11" t="str">
        <f>IF(X63&lt;&gt;"执行卖出","",IFERROR(LOOKUP(2,1/(单次交易!$A$2:$A$201=B63),单次交易!$AP$2:$AP$201),""))</f>
        <v/>
      </c>
      <c r="AA63" s="10"/>
      <c r="AB63" s="8" t="str">
        <f t="shared" si="8"/>
        <v/>
      </c>
      <c r="AC63" s="8" t="str">
        <f>IF(A63="","",IF(A63="止损计划",IF(OR(B63="",D63="",E63="",F63="",G63=""),"计划不完整",IF(OR(D63&lt;1,D63&lt;&gt;INT(D63)),"阶段序号无效",IF(COUNTIFS($A$2:$A$497,"止损计划",$B$2:$B$497,B63,$D$2:$D$497,D63)&gt;1,"阶段序号重复",IF(E63&lt;=IFERROR(LOOKUP(2,1/(单次交易!$A$2:$A$201=B63),单次交易!$E$2:$E$201),0),"激活价须高于买入价",IF(F63&lt;N63,"止损价不得低于初始止损",IF(F63&gt;E63,"止损价不得高于激活价",IF(AND(COUNTIFS($A$2:$A$497,"止损计划",$B$2:$B$497,B63,$D$2:$D$497,"&lt;"&amp;D63)&gt;0,OR(E63&lt;=SUMPRODUCT(MAX((($A$2:$A$497="止损计划")*($B$2:$B$497=B63)*($D$2:$D$497&lt;D63))*$E$2:$E$497)),F63&lt;SUMPRODUCT(MAX((($A$2:$A$497="止损计划")*($B$2:$B$497=B63)*($D$2:$D$497&lt;D63))*$F$2:$F$497)))),"阶段价格必须逐级提高","计划有效"))))))),IF(A63="每日跟踪",IF(OR(B63="",H63="",I63="",J63=""),"每日数据不完整",IF(COUNTIFS($A$2:$A$497,"每日跟踪",$B$2:$B$497,B63,$H$2:$H$497,H63)&gt;1,"同一交易日期重复",IF(AND(R63&lt;&gt;"",R63&lt;S63),"人工止损无效：不能下调","跟踪有效"))),"记录类型无效")))</f>
        <v/>
      </c>
    </row>
    <row r="64" ht="17" spans="1:29">
      <c r="A64" s="2"/>
      <c r="B64" s="2"/>
      <c r="C64" s="8" t="str">
        <f>IF(B64="","",IFERROR(LOOKUP(2,1/(单次交易!$A$2:$A$201=B64),单次交易!$B$2:$B$201),""))</f>
        <v/>
      </c>
      <c r="D64" s="12"/>
      <c r="E64" s="10"/>
      <c r="F64" s="10"/>
      <c r="G64" s="2"/>
      <c r="H64" s="15"/>
      <c r="I64" s="10"/>
      <c r="J64" s="20"/>
      <c r="K64" s="13"/>
      <c r="L64" s="2"/>
      <c r="M64" s="13"/>
      <c r="N64" s="5" t="str">
        <f>IF(B64="","",IFERROR(LOOKUP(2,1/(单次交易!$A$2:$A$201=B64),单次交易!$N$2:$N$201),""))</f>
        <v/>
      </c>
      <c r="O64" s="5" t="str">
        <f t="shared" si="0"/>
        <v/>
      </c>
      <c r="P64" s="11" t="str">
        <f t="shared" si="1"/>
        <v/>
      </c>
      <c r="Q64" s="5" t="str">
        <f t="shared" si="2"/>
        <v/>
      </c>
      <c r="R64" s="10"/>
      <c r="S64" s="5" t="str">
        <f t="shared" si="3"/>
        <v/>
      </c>
      <c r="T64" s="5" t="str">
        <f t="shared" si="4"/>
        <v/>
      </c>
      <c r="U64" s="5" t="str">
        <f t="shared" si="5"/>
        <v/>
      </c>
      <c r="V64" s="7" t="str">
        <f t="shared" si="6"/>
        <v/>
      </c>
      <c r="W64" s="8" t="str">
        <f t="shared" si="7"/>
        <v/>
      </c>
      <c r="X64" s="2"/>
      <c r="Y64" s="10"/>
      <c r="Z64" s="11" t="str">
        <f>IF(X64&lt;&gt;"执行卖出","",IFERROR(LOOKUP(2,1/(单次交易!$A$2:$A$201=B64),单次交易!$AP$2:$AP$201),""))</f>
        <v/>
      </c>
      <c r="AA64" s="10"/>
      <c r="AB64" s="8" t="str">
        <f t="shared" si="8"/>
        <v/>
      </c>
      <c r="AC64" s="8" t="str">
        <f>IF(A64="","",IF(A64="止损计划",IF(OR(B64="",D64="",E64="",F64="",G64=""),"计划不完整",IF(OR(D64&lt;1,D64&lt;&gt;INT(D64)),"阶段序号无效",IF(COUNTIFS($A$2:$A$497,"止损计划",$B$2:$B$497,B64,$D$2:$D$497,D64)&gt;1,"阶段序号重复",IF(E64&lt;=IFERROR(LOOKUP(2,1/(单次交易!$A$2:$A$201=B64),单次交易!$E$2:$E$201),0),"激活价须高于买入价",IF(F64&lt;N64,"止损价不得低于初始止损",IF(F64&gt;E64,"止损价不得高于激活价",IF(AND(COUNTIFS($A$2:$A$497,"止损计划",$B$2:$B$497,B64,$D$2:$D$497,"&lt;"&amp;D64)&gt;0,OR(E64&lt;=SUMPRODUCT(MAX((($A$2:$A$497="止损计划")*($B$2:$B$497=B64)*($D$2:$D$497&lt;D64))*$E$2:$E$497)),F64&lt;SUMPRODUCT(MAX((($A$2:$A$497="止损计划")*($B$2:$B$497=B64)*($D$2:$D$497&lt;D64))*$F$2:$F$497)))),"阶段价格必须逐级提高","计划有效"))))))),IF(A64="每日跟踪",IF(OR(B64="",H64="",I64="",J64=""),"每日数据不完整",IF(COUNTIFS($A$2:$A$497,"每日跟踪",$B$2:$B$497,B64,$H$2:$H$497,H64)&gt;1,"同一交易日期重复",IF(AND(R64&lt;&gt;"",R64&lt;S64),"人工止损无效：不能下调","跟踪有效"))),"记录类型无效")))</f>
        <v/>
      </c>
    </row>
    <row r="65" ht="17" spans="1:29">
      <c r="A65" s="2"/>
      <c r="B65" s="2"/>
      <c r="C65" s="8" t="str">
        <f>IF(B65="","",IFERROR(LOOKUP(2,1/(单次交易!$A$2:$A$201=B65),单次交易!$B$2:$B$201),""))</f>
        <v/>
      </c>
      <c r="D65" s="12"/>
      <c r="E65" s="10"/>
      <c r="F65" s="10"/>
      <c r="G65" s="2"/>
      <c r="H65" s="15"/>
      <c r="I65" s="10"/>
      <c r="J65" s="20"/>
      <c r="K65" s="13"/>
      <c r="L65" s="2"/>
      <c r="M65" s="13"/>
      <c r="N65" s="5" t="str">
        <f>IF(B65="","",IFERROR(LOOKUP(2,1/(单次交易!$A$2:$A$201=B65),单次交易!$N$2:$N$201),""))</f>
        <v/>
      </c>
      <c r="O65" s="5" t="str">
        <f t="shared" si="0"/>
        <v/>
      </c>
      <c r="P65" s="11" t="str">
        <f t="shared" si="1"/>
        <v/>
      </c>
      <c r="Q65" s="5" t="str">
        <f t="shared" si="2"/>
        <v/>
      </c>
      <c r="R65" s="10"/>
      <c r="S65" s="5" t="str">
        <f t="shared" si="3"/>
        <v/>
      </c>
      <c r="T65" s="5" t="str">
        <f t="shared" si="4"/>
        <v/>
      </c>
      <c r="U65" s="5" t="str">
        <f t="shared" si="5"/>
        <v/>
      </c>
      <c r="V65" s="7" t="str">
        <f t="shared" si="6"/>
        <v/>
      </c>
      <c r="W65" s="8" t="str">
        <f t="shared" si="7"/>
        <v/>
      </c>
      <c r="X65" s="2"/>
      <c r="Y65" s="10"/>
      <c r="Z65" s="11" t="str">
        <f>IF(X65&lt;&gt;"执行卖出","",IFERROR(LOOKUP(2,1/(单次交易!$A$2:$A$201=B65),单次交易!$AP$2:$AP$201),""))</f>
        <v/>
      </c>
      <c r="AA65" s="10"/>
      <c r="AB65" s="8" t="str">
        <f t="shared" si="8"/>
        <v/>
      </c>
      <c r="AC65" s="8" t="str">
        <f>IF(A65="","",IF(A65="止损计划",IF(OR(B65="",D65="",E65="",F65="",G65=""),"计划不完整",IF(OR(D65&lt;1,D65&lt;&gt;INT(D65)),"阶段序号无效",IF(COUNTIFS($A$2:$A$497,"止损计划",$B$2:$B$497,B65,$D$2:$D$497,D65)&gt;1,"阶段序号重复",IF(E65&lt;=IFERROR(LOOKUP(2,1/(单次交易!$A$2:$A$201=B65),单次交易!$E$2:$E$201),0),"激活价须高于买入价",IF(F65&lt;N65,"止损价不得低于初始止损",IF(F65&gt;E65,"止损价不得高于激活价",IF(AND(COUNTIFS($A$2:$A$497,"止损计划",$B$2:$B$497,B65,$D$2:$D$497,"&lt;"&amp;D65)&gt;0,OR(E65&lt;=SUMPRODUCT(MAX((($A$2:$A$497="止损计划")*($B$2:$B$497=B65)*($D$2:$D$497&lt;D65))*$E$2:$E$497)),F65&lt;SUMPRODUCT(MAX((($A$2:$A$497="止损计划")*($B$2:$B$497=B65)*($D$2:$D$497&lt;D65))*$F$2:$F$497)))),"阶段价格必须逐级提高","计划有效"))))))),IF(A65="每日跟踪",IF(OR(B65="",H65="",I65="",J65=""),"每日数据不完整",IF(COUNTIFS($A$2:$A$497,"每日跟踪",$B$2:$B$497,B65,$H$2:$H$497,H65)&gt;1,"同一交易日期重复",IF(AND(R65&lt;&gt;"",R65&lt;S65),"人工止损无效：不能下调","跟踪有效"))),"记录类型无效")))</f>
        <v/>
      </c>
    </row>
    <row r="66" ht="17" spans="1:29">
      <c r="A66" s="2"/>
      <c r="B66" s="2"/>
      <c r="C66" s="8" t="str">
        <f>IF(B66="","",IFERROR(LOOKUP(2,1/(单次交易!$A$2:$A$201=B66),单次交易!$B$2:$B$201),""))</f>
        <v/>
      </c>
      <c r="D66" s="12"/>
      <c r="E66" s="10"/>
      <c r="F66" s="10"/>
      <c r="G66" s="2"/>
      <c r="H66" s="15"/>
      <c r="I66" s="10"/>
      <c r="J66" s="20"/>
      <c r="K66" s="13"/>
      <c r="L66" s="2"/>
      <c r="M66" s="13"/>
      <c r="N66" s="5" t="str">
        <f>IF(B66="","",IFERROR(LOOKUP(2,1/(单次交易!$A$2:$A$201=B66),单次交易!$N$2:$N$201),""))</f>
        <v/>
      </c>
      <c r="O66" s="5" t="str">
        <f t="shared" ref="O66:O129" si="9">IF(A66&lt;&gt;"每日跟踪","",IF(OR(B66="",H66="",I66=""),"",IFERROR(SUMPRODUCT(MAX((($A$2:$A$497="每日跟踪")*($B$2:$B$497=B66)*($H$2:$H$497&lt;=H66))*$I$2:$I$497)),"")))</f>
        <v/>
      </c>
      <c r="P66" s="11" t="str">
        <f t="shared" ref="P66:P129" si="10">IF(A66&lt;&gt;"每日跟踪","",IF(O66="","",IFERROR(SUMPRODUCT(MAX((($A$2:$A$497="止损计划")*($B$2:$B$497=B66)*($E$2:$E$497&lt;=O66))*$D$2:$D$497)),0)))</f>
        <v/>
      </c>
      <c r="Q66" s="5" t="str">
        <f t="shared" ref="Q66:Q129" si="11">IF(A66&lt;&gt;"每日跟踪","",IF(N66="","",MAX(N66,IFERROR(SUMPRODUCT(MAX((($A$2:$A$497="止损计划")*($B$2:$B$497=B66)*($E$2:$E$497&lt;=O66))*$F$2:$F$497)),0))))</f>
        <v/>
      </c>
      <c r="R66" s="10"/>
      <c r="S66" s="5" t="str">
        <f t="shared" ref="S66:S129" si="12">IF(A66&lt;&gt;"每日跟踪","",IF(Q66="","",MAX(Q66,IFERROR(SUMPRODUCT(MAX((($A$2:$A$497="每日跟踪")*($B$2:$B$497=B66)*($H$2:$H$497&lt;=H66))*$R$2:$R$497)),0))))</f>
        <v/>
      </c>
      <c r="T66" s="5" t="str">
        <f t="shared" ref="T66:T129" si="13">IF(A66&lt;&gt;"每日跟踪","",IF(O66="","",IF(COUNTIFS($A$2:$A$497,"止损计划",$B$2:$B$497,B66,$E$2:$E$497,"&gt;"&amp;O66)=0,"",INDEX($E$2:$E$497,MATCH(1,INDEX(($A$2:$A$497="止损计划")*($B$2:$B$497=B66)*($E$2:$E$497&gt;O66),0),0)))))</f>
        <v/>
      </c>
      <c r="U66" s="5" t="str">
        <f t="shared" ref="U66:U129" si="14">IF(OR(A66&lt;&gt;"每日跟踪",T66=""),"",IFERROR(SUMIFS($F$2:$F$497,$A$2:$A$497,"止损计划",$B$2:$B$497,B66,$E$2:$E$497,T66),""))</f>
        <v/>
      </c>
      <c r="V66" s="7" t="str">
        <f t="shared" ref="V66:V129" si="15">IF(OR(A66&lt;&gt;"每日跟踪",T66="",I66="",I66&lt;=0),"",T66/I66-1)</f>
        <v/>
      </c>
      <c r="W66" s="8" t="str">
        <f t="shared" ref="W66:W129" si="16">IF(A66&lt;&gt;"每日跟踪","",IF(OR(I66="",S66=""),"",IF(I66&lt;=S66,"触发止损：应全部卖出","继续观察")))</f>
        <v/>
      </c>
      <c r="X66" s="2"/>
      <c r="Y66" s="10"/>
      <c r="Z66" s="11" t="str">
        <f>IF(X66&lt;&gt;"执行卖出","",IFERROR(LOOKUP(2,1/(单次交易!$A$2:$A$201=B66),单次交易!$AP$2:$AP$201),""))</f>
        <v/>
      </c>
      <c r="AA66" s="10"/>
      <c r="AB66" s="8" t="str">
        <f t="shared" ref="AB66:AB129" si="17">IF(A66&lt;&gt;"每日跟踪","",IF(OR(B66="",H66="",I66="",J66="",K66="",L66="",M66=""),"待补充每日记录",IF(W66="触发止损：应全部卖出",IF(X66&lt;&gt;"执行卖出","违规：触发止损但未执行",IF(Y66="","待补充实际卖出价","卖出记录完整")),IF(X66="","待选择卖出动作",IF(X66="执行卖出",IF(Y66="","待补充实际卖出价","卖出记录完整"),"正常")))))</f>
        <v/>
      </c>
      <c r="AC66" s="8" t="str">
        <f>IF(A66="","",IF(A66="止损计划",IF(OR(B66="",D66="",E66="",F66="",G66=""),"计划不完整",IF(OR(D66&lt;1,D66&lt;&gt;INT(D66)),"阶段序号无效",IF(COUNTIFS($A$2:$A$497,"止损计划",$B$2:$B$497,B66,$D$2:$D$497,D66)&gt;1,"阶段序号重复",IF(E66&lt;=IFERROR(LOOKUP(2,1/(单次交易!$A$2:$A$201=B66),单次交易!$E$2:$E$201),0),"激活价须高于买入价",IF(F66&lt;N66,"止损价不得低于初始止损",IF(F66&gt;E66,"止损价不得高于激活价",IF(AND(COUNTIFS($A$2:$A$497,"止损计划",$B$2:$B$497,B66,$D$2:$D$497,"&lt;"&amp;D66)&gt;0,OR(E66&lt;=SUMPRODUCT(MAX((($A$2:$A$497="止损计划")*($B$2:$B$497=B66)*($D$2:$D$497&lt;D66))*$E$2:$E$497)),F66&lt;SUMPRODUCT(MAX((($A$2:$A$497="止损计划")*($B$2:$B$497=B66)*($D$2:$D$497&lt;D66))*$F$2:$F$497)))),"阶段价格必须逐级提高","计划有效"))))))),IF(A66="每日跟踪",IF(OR(B66="",H66="",I66="",J66=""),"每日数据不完整",IF(COUNTIFS($A$2:$A$497,"每日跟踪",$B$2:$B$497,B66,$H$2:$H$497,H66)&gt;1,"同一交易日期重复",IF(AND(R66&lt;&gt;"",R66&lt;S66),"人工止损无效：不能下调","跟踪有效"))),"记录类型无效")))</f>
        <v/>
      </c>
    </row>
    <row r="67" ht="17" spans="1:29">
      <c r="A67" s="2"/>
      <c r="B67" s="2"/>
      <c r="C67" s="8" t="str">
        <f>IF(B67="","",IFERROR(LOOKUP(2,1/(单次交易!$A$2:$A$201=B67),单次交易!$B$2:$B$201),""))</f>
        <v/>
      </c>
      <c r="D67" s="12"/>
      <c r="E67" s="10"/>
      <c r="F67" s="10"/>
      <c r="G67" s="2"/>
      <c r="H67" s="15"/>
      <c r="I67" s="10"/>
      <c r="J67" s="20"/>
      <c r="K67" s="13"/>
      <c r="L67" s="2"/>
      <c r="M67" s="13"/>
      <c r="N67" s="5" t="str">
        <f>IF(B67="","",IFERROR(LOOKUP(2,1/(单次交易!$A$2:$A$201=B67),单次交易!$N$2:$N$201),""))</f>
        <v/>
      </c>
      <c r="O67" s="5" t="str">
        <f t="shared" si="9"/>
        <v/>
      </c>
      <c r="P67" s="11" t="str">
        <f t="shared" si="10"/>
        <v/>
      </c>
      <c r="Q67" s="5" t="str">
        <f t="shared" si="11"/>
        <v/>
      </c>
      <c r="R67" s="10"/>
      <c r="S67" s="5" t="str">
        <f t="shared" si="12"/>
        <v/>
      </c>
      <c r="T67" s="5" t="str">
        <f t="shared" si="13"/>
        <v/>
      </c>
      <c r="U67" s="5" t="str">
        <f t="shared" si="14"/>
        <v/>
      </c>
      <c r="V67" s="7" t="str">
        <f t="shared" si="15"/>
        <v/>
      </c>
      <c r="W67" s="8" t="str">
        <f t="shared" si="16"/>
        <v/>
      </c>
      <c r="X67" s="2"/>
      <c r="Y67" s="10"/>
      <c r="Z67" s="11" t="str">
        <f>IF(X67&lt;&gt;"执行卖出","",IFERROR(LOOKUP(2,1/(单次交易!$A$2:$A$201=B67),单次交易!$AP$2:$AP$201),""))</f>
        <v/>
      </c>
      <c r="AA67" s="10"/>
      <c r="AB67" s="8" t="str">
        <f t="shared" si="17"/>
        <v/>
      </c>
      <c r="AC67" s="8" t="str">
        <f>IF(A67="","",IF(A67="止损计划",IF(OR(B67="",D67="",E67="",F67="",G67=""),"计划不完整",IF(OR(D67&lt;1,D67&lt;&gt;INT(D67)),"阶段序号无效",IF(COUNTIFS($A$2:$A$497,"止损计划",$B$2:$B$497,B67,$D$2:$D$497,D67)&gt;1,"阶段序号重复",IF(E67&lt;=IFERROR(LOOKUP(2,1/(单次交易!$A$2:$A$201=B67),单次交易!$E$2:$E$201),0),"激活价须高于买入价",IF(F67&lt;N67,"止损价不得低于初始止损",IF(F67&gt;E67,"止损价不得高于激活价",IF(AND(COUNTIFS($A$2:$A$497,"止损计划",$B$2:$B$497,B67,$D$2:$D$497,"&lt;"&amp;D67)&gt;0,OR(E67&lt;=SUMPRODUCT(MAX((($A$2:$A$497="止损计划")*($B$2:$B$497=B67)*($D$2:$D$497&lt;D67))*$E$2:$E$497)),F67&lt;SUMPRODUCT(MAX((($A$2:$A$497="止损计划")*($B$2:$B$497=B67)*($D$2:$D$497&lt;D67))*$F$2:$F$497)))),"阶段价格必须逐级提高","计划有效"))))))),IF(A67="每日跟踪",IF(OR(B67="",H67="",I67="",J67=""),"每日数据不完整",IF(COUNTIFS($A$2:$A$497,"每日跟踪",$B$2:$B$497,B67,$H$2:$H$497,H67)&gt;1,"同一交易日期重复",IF(AND(R67&lt;&gt;"",R67&lt;S67),"人工止损无效：不能下调","跟踪有效"))),"记录类型无效")))</f>
        <v/>
      </c>
    </row>
    <row r="68" ht="17" spans="1:29">
      <c r="A68" s="2"/>
      <c r="B68" s="2"/>
      <c r="C68" s="8" t="str">
        <f>IF(B68="","",IFERROR(LOOKUP(2,1/(单次交易!$A$2:$A$201=B68),单次交易!$B$2:$B$201),""))</f>
        <v/>
      </c>
      <c r="D68" s="12"/>
      <c r="E68" s="10"/>
      <c r="F68" s="10"/>
      <c r="G68" s="2"/>
      <c r="H68" s="15"/>
      <c r="I68" s="10"/>
      <c r="J68" s="20"/>
      <c r="K68" s="13"/>
      <c r="L68" s="2"/>
      <c r="M68" s="2"/>
      <c r="N68" s="5" t="str">
        <f>IF(B68="","",IFERROR(LOOKUP(2,1/(单次交易!$A$2:$A$201=B68),单次交易!$N$2:$N$201),""))</f>
        <v/>
      </c>
      <c r="O68" s="5" t="str">
        <f t="shared" si="9"/>
        <v/>
      </c>
      <c r="P68" s="11" t="str">
        <f t="shared" si="10"/>
        <v/>
      </c>
      <c r="Q68" s="5" t="str">
        <f t="shared" si="11"/>
        <v/>
      </c>
      <c r="R68" s="10"/>
      <c r="S68" s="5" t="str">
        <f t="shared" si="12"/>
        <v/>
      </c>
      <c r="T68" s="5" t="str">
        <f t="shared" si="13"/>
        <v/>
      </c>
      <c r="U68" s="5" t="str">
        <f t="shared" si="14"/>
        <v/>
      </c>
      <c r="V68" s="7" t="str">
        <f t="shared" si="15"/>
        <v/>
      </c>
      <c r="W68" s="8" t="str">
        <f t="shared" si="16"/>
        <v/>
      </c>
      <c r="X68" s="2"/>
      <c r="Y68" s="10"/>
      <c r="Z68" s="11" t="str">
        <f>IF(X68&lt;&gt;"执行卖出","",IFERROR(LOOKUP(2,1/(单次交易!$A$2:$A$201=B68),单次交易!$AP$2:$AP$201),""))</f>
        <v/>
      </c>
      <c r="AA68" s="10"/>
      <c r="AB68" s="8" t="str">
        <f t="shared" si="17"/>
        <v/>
      </c>
      <c r="AC68" s="8" t="str">
        <f>IF(A68="","",IF(A68="止损计划",IF(OR(B68="",D68="",E68="",F68="",G68=""),"计划不完整",IF(OR(D68&lt;1,D68&lt;&gt;INT(D68)),"阶段序号无效",IF(COUNTIFS($A$2:$A$497,"止损计划",$B$2:$B$497,B68,$D$2:$D$497,D68)&gt;1,"阶段序号重复",IF(E68&lt;=IFERROR(LOOKUP(2,1/(单次交易!$A$2:$A$201=B68),单次交易!$E$2:$E$201),0),"激活价须高于买入价",IF(F68&lt;N68,"止损价不得低于初始止损",IF(F68&gt;E68,"止损价不得高于激活价",IF(AND(COUNTIFS($A$2:$A$497,"止损计划",$B$2:$B$497,B68,$D$2:$D$497,"&lt;"&amp;D68)&gt;0,OR(E68&lt;=SUMPRODUCT(MAX((($A$2:$A$497="止损计划")*($B$2:$B$497=B68)*($D$2:$D$497&lt;D68))*$E$2:$E$497)),F68&lt;SUMPRODUCT(MAX((($A$2:$A$497="止损计划")*($B$2:$B$497=B68)*($D$2:$D$497&lt;D68))*$F$2:$F$497)))),"阶段价格必须逐级提高","计划有效"))))))),IF(A68="每日跟踪",IF(OR(B68="",H68="",I68="",J68=""),"每日数据不完整",IF(COUNTIFS($A$2:$A$497,"每日跟踪",$B$2:$B$497,B68,$H$2:$H$497,H68)&gt;1,"同一交易日期重复",IF(AND(R68&lt;&gt;"",R68&lt;S68),"人工止损无效：不能下调","跟踪有效"))),"记录类型无效")))</f>
        <v/>
      </c>
    </row>
    <row r="69" ht="17" spans="1:29">
      <c r="A69" s="2"/>
      <c r="B69" s="2"/>
      <c r="C69" s="8" t="str">
        <f>IF(B69="","",IFERROR(LOOKUP(2,1/(单次交易!$A$2:$A$201=B69),单次交易!$B$2:$B$201),""))</f>
        <v/>
      </c>
      <c r="D69" s="12"/>
      <c r="E69" s="10"/>
      <c r="F69" s="10"/>
      <c r="G69" s="2"/>
      <c r="H69" s="15"/>
      <c r="I69" s="10"/>
      <c r="J69" s="20"/>
      <c r="K69" s="13"/>
      <c r="L69" s="2"/>
      <c r="M69" s="13"/>
      <c r="N69" s="5" t="str">
        <f>IF(B69="","",IFERROR(LOOKUP(2,1/(单次交易!$A$2:$A$201=B69),单次交易!$N$2:$N$201),""))</f>
        <v/>
      </c>
      <c r="O69" s="5" t="str">
        <f t="shared" si="9"/>
        <v/>
      </c>
      <c r="P69" s="11" t="str">
        <f t="shared" si="10"/>
        <v/>
      </c>
      <c r="Q69" s="5" t="str">
        <f t="shared" si="11"/>
        <v/>
      </c>
      <c r="R69" s="10"/>
      <c r="S69" s="5" t="str">
        <f t="shared" si="12"/>
        <v/>
      </c>
      <c r="T69" s="5" t="str">
        <f t="shared" si="13"/>
        <v/>
      </c>
      <c r="U69" s="5" t="str">
        <f t="shared" si="14"/>
        <v/>
      </c>
      <c r="V69" s="7" t="str">
        <f t="shared" si="15"/>
        <v/>
      </c>
      <c r="W69" s="8" t="str">
        <f t="shared" si="16"/>
        <v/>
      </c>
      <c r="X69" s="2"/>
      <c r="Y69" s="10"/>
      <c r="Z69" s="11" t="str">
        <f>IF(X69&lt;&gt;"执行卖出","",IFERROR(LOOKUP(2,1/(单次交易!$A$2:$A$201=B69),单次交易!$AP$2:$AP$201),""))</f>
        <v/>
      </c>
      <c r="AA69" s="10"/>
      <c r="AB69" s="8" t="str">
        <f t="shared" si="17"/>
        <v/>
      </c>
      <c r="AC69" s="8" t="str">
        <f>IF(A69="","",IF(A69="止损计划",IF(OR(B69="",D69="",E69="",F69="",G69=""),"计划不完整",IF(OR(D69&lt;1,D69&lt;&gt;INT(D69)),"阶段序号无效",IF(COUNTIFS($A$2:$A$497,"止损计划",$B$2:$B$497,B69,$D$2:$D$497,D69)&gt;1,"阶段序号重复",IF(E69&lt;=IFERROR(LOOKUP(2,1/(单次交易!$A$2:$A$201=B69),单次交易!$E$2:$E$201),0),"激活价须高于买入价",IF(F69&lt;N69,"止损价不得低于初始止损",IF(F69&gt;E69,"止损价不得高于激活价",IF(AND(COUNTIFS($A$2:$A$497,"止损计划",$B$2:$B$497,B69,$D$2:$D$497,"&lt;"&amp;D69)&gt;0,OR(E69&lt;=SUMPRODUCT(MAX((($A$2:$A$497="止损计划")*($B$2:$B$497=B69)*($D$2:$D$497&lt;D69))*$E$2:$E$497)),F69&lt;SUMPRODUCT(MAX((($A$2:$A$497="止损计划")*($B$2:$B$497=B69)*($D$2:$D$497&lt;D69))*$F$2:$F$497)))),"阶段价格必须逐级提高","计划有效"))))))),IF(A69="每日跟踪",IF(OR(B69="",H69="",I69="",J69=""),"每日数据不完整",IF(COUNTIFS($A$2:$A$497,"每日跟踪",$B$2:$B$497,B69,$H$2:$H$497,H69)&gt;1,"同一交易日期重复",IF(AND(R69&lt;&gt;"",R69&lt;S69),"人工止损无效：不能下调","跟踪有效"))),"记录类型无效")))</f>
        <v/>
      </c>
    </row>
    <row r="70" ht="17" spans="1:29">
      <c r="A70" s="2"/>
      <c r="B70" s="2"/>
      <c r="C70" s="8" t="str">
        <f>IF(B70="","",IFERROR(LOOKUP(2,1/(单次交易!$A$2:$A$201=B70),单次交易!$B$2:$B$201),""))</f>
        <v/>
      </c>
      <c r="D70" s="12"/>
      <c r="E70" s="10"/>
      <c r="F70" s="10"/>
      <c r="G70" s="2"/>
      <c r="H70" s="15"/>
      <c r="I70" s="10"/>
      <c r="J70" s="20"/>
      <c r="K70" s="13"/>
      <c r="L70" s="2"/>
      <c r="M70" s="13"/>
      <c r="N70" s="5" t="str">
        <f>IF(B70="","",IFERROR(LOOKUP(2,1/(单次交易!$A$2:$A$201=B70),单次交易!$N$2:$N$201),""))</f>
        <v/>
      </c>
      <c r="O70" s="5" t="str">
        <f t="shared" si="9"/>
        <v/>
      </c>
      <c r="P70" s="11" t="str">
        <f t="shared" si="10"/>
        <v/>
      </c>
      <c r="Q70" s="5" t="str">
        <f t="shared" si="11"/>
        <v/>
      </c>
      <c r="R70" s="10"/>
      <c r="S70" s="5" t="str">
        <f t="shared" si="12"/>
        <v/>
      </c>
      <c r="T70" s="5" t="str">
        <f t="shared" si="13"/>
        <v/>
      </c>
      <c r="U70" s="5" t="str">
        <f t="shared" si="14"/>
        <v/>
      </c>
      <c r="V70" s="7" t="str">
        <f t="shared" si="15"/>
        <v/>
      </c>
      <c r="W70" s="8" t="str">
        <f t="shared" si="16"/>
        <v/>
      </c>
      <c r="X70" s="2"/>
      <c r="Y70" s="10"/>
      <c r="Z70" s="11" t="str">
        <f>IF(X70&lt;&gt;"执行卖出","",IFERROR(LOOKUP(2,1/(单次交易!$A$2:$A$201=B70),单次交易!$AP$2:$AP$201),""))</f>
        <v/>
      </c>
      <c r="AA70" s="10"/>
      <c r="AB70" s="8" t="str">
        <f t="shared" si="17"/>
        <v/>
      </c>
      <c r="AC70" s="8" t="str">
        <f>IF(A70="","",IF(A70="止损计划",IF(OR(B70="",D70="",E70="",F70="",G70=""),"计划不完整",IF(OR(D70&lt;1,D70&lt;&gt;INT(D70)),"阶段序号无效",IF(COUNTIFS($A$2:$A$497,"止损计划",$B$2:$B$497,B70,$D$2:$D$497,D70)&gt;1,"阶段序号重复",IF(E70&lt;=IFERROR(LOOKUP(2,1/(单次交易!$A$2:$A$201=B70),单次交易!$E$2:$E$201),0),"激活价须高于买入价",IF(F70&lt;N70,"止损价不得低于初始止损",IF(F70&gt;E70,"止损价不得高于激活价",IF(AND(COUNTIFS($A$2:$A$497,"止损计划",$B$2:$B$497,B70,$D$2:$D$497,"&lt;"&amp;D70)&gt;0,OR(E70&lt;=SUMPRODUCT(MAX((($A$2:$A$497="止损计划")*($B$2:$B$497=B70)*($D$2:$D$497&lt;D70))*$E$2:$E$497)),F70&lt;SUMPRODUCT(MAX((($A$2:$A$497="止损计划")*($B$2:$B$497=B70)*($D$2:$D$497&lt;D70))*$F$2:$F$497)))),"阶段价格必须逐级提高","计划有效"))))))),IF(A70="每日跟踪",IF(OR(B70="",H70="",I70="",J70=""),"每日数据不完整",IF(COUNTIFS($A$2:$A$497,"每日跟踪",$B$2:$B$497,B70,$H$2:$H$497,H70)&gt;1,"同一交易日期重复",IF(AND(R70&lt;&gt;"",R70&lt;S70),"人工止损无效：不能下调","跟踪有效"))),"记录类型无效")))</f>
        <v/>
      </c>
    </row>
    <row r="71" ht="17" spans="1:29">
      <c r="A71" s="2"/>
      <c r="B71" s="2"/>
      <c r="C71" s="8" t="str">
        <f>IF(B71="","",IFERROR(LOOKUP(2,1/(单次交易!$A$2:$A$201=B71),单次交易!$B$2:$B$201),""))</f>
        <v/>
      </c>
      <c r="D71" s="12"/>
      <c r="E71" s="10"/>
      <c r="F71" s="10"/>
      <c r="G71" s="2"/>
      <c r="H71" s="15"/>
      <c r="I71" s="10"/>
      <c r="J71" s="20"/>
      <c r="K71" s="13"/>
      <c r="L71" s="2"/>
      <c r="M71" s="13"/>
      <c r="N71" s="5" t="str">
        <f>IF(B71="","",IFERROR(LOOKUP(2,1/(单次交易!$A$2:$A$201=B71),单次交易!$N$2:$N$201),""))</f>
        <v/>
      </c>
      <c r="O71" s="5" t="str">
        <f t="shared" si="9"/>
        <v/>
      </c>
      <c r="P71" s="11" t="str">
        <f t="shared" si="10"/>
        <v/>
      </c>
      <c r="Q71" s="5" t="str">
        <f t="shared" si="11"/>
        <v/>
      </c>
      <c r="R71" s="10"/>
      <c r="S71" s="5" t="str">
        <f t="shared" si="12"/>
        <v/>
      </c>
      <c r="T71" s="5" t="str">
        <f t="shared" si="13"/>
        <v/>
      </c>
      <c r="U71" s="5" t="str">
        <f t="shared" si="14"/>
        <v/>
      </c>
      <c r="V71" s="7" t="str">
        <f t="shared" si="15"/>
        <v/>
      </c>
      <c r="W71" s="8" t="str">
        <f t="shared" si="16"/>
        <v/>
      </c>
      <c r="X71" s="2"/>
      <c r="Y71" s="10"/>
      <c r="Z71" s="11" t="str">
        <f>IF(X71&lt;&gt;"执行卖出","",IFERROR(LOOKUP(2,1/(单次交易!$A$2:$A$201=B71),单次交易!$AP$2:$AP$201),""))</f>
        <v/>
      </c>
      <c r="AA71" s="10"/>
      <c r="AB71" s="8" t="str">
        <f t="shared" si="17"/>
        <v/>
      </c>
      <c r="AC71" s="8" t="str">
        <f>IF(A71="","",IF(A71="止损计划",IF(OR(B71="",D71="",E71="",F71="",G71=""),"计划不完整",IF(OR(D71&lt;1,D71&lt;&gt;INT(D71)),"阶段序号无效",IF(COUNTIFS($A$2:$A$497,"止损计划",$B$2:$B$497,B71,$D$2:$D$497,D71)&gt;1,"阶段序号重复",IF(E71&lt;=IFERROR(LOOKUP(2,1/(单次交易!$A$2:$A$201=B71),单次交易!$E$2:$E$201),0),"激活价须高于买入价",IF(F71&lt;N71,"止损价不得低于初始止损",IF(F71&gt;E71,"止损价不得高于激活价",IF(AND(COUNTIFS($A$2:$A$497,"止损计划",$B$2:$B$497,B71,$D$2:$D$497,"&lt;"&amp;D71)&gt;0,OR(E71&lt;=SUMPRODUCT(MAX((($A$2:$A$497="止损计划")*($B$2:$B$497=B71)*($D$2:$D$497&lt;D71))*$E$2:$E$497)),F71&lt;SUMPRODUCT(MAX((($A$2:$A$497="止损计划")*($B$2:$B$497=B71)*($D$2:$D$497&lt;D71))*$F$2:$F$497)))),"阶段价格必须逐级提高","计划有效"))))))),IF(A71="每日跟踪",IF(OR(B71="",H71="",I71="",J71=""),"每日数据不完整",IF(COUNTIFS($A$2:$A$497,"每日跟踪",$B$2:$B$497,B71,$H$2:$H$497,H71)&gt;1,"同一交易日期重复",IF(AND(R71&lt;&gt;"",R71&lt;S71),"人工止损无效：不能下调","跟踪有效"))),"记录类型无效")))</f>
        <v/>
      </c>
    </row>
    <row r="72" ht="17" spans="1:29">
      <c r="A72" s="2"/>
      <c r="B72" s="2"/>
      <c r="C72" s="8" t="str">
        <f>IF(B72="","",IFERROR(LOOKUP(2,1/(单次交易!$A$2:$A$201=B72),单次交易!$B$2:$B$201),""))</f>
        <v/>
      </c>
      <c r="D72" s="12"/>
      <c r="E72" s="10"/>
      <c r="F72" s="10"/>
      <c r="G72" s="2"/>
      <c r="H72" s="15"/>
      <c r="I72" s="10"/>
      <c r="J72" s="20"/>
      <c r="K72" s="13"/>
      <c r="L72" s="2"/>
      <c r="M72" s="13"/>
      <c r="N72" s="5" t="str">
        <f>IF(B72="","",IFERROR(LOOKUP(2,1/(单次交易!$A$2:$A$201=B72),单次交易!$N$2:$N$201),""))</f>
        <v/>
      </c>
      <c r="O72" s="5" t="str">
        <f t="shared" si="9"/>
        <v/>
      </c>
      <c r="P72" s="11" t="str">
        <f t="shared" si="10"/>
        <v/>
      </c>
      <c r="Q72" s="5" t="str">
        <f t="shared" si="11"/>
        <v/>
      </c>
      <c r="R72" s="10"/>
      <c r="S72" s="5" t="str">
        <f t="shared" si="12"/>
        <v/>
      </c>
      <c r="T72" s="5" t="str">
        <f t="shared" si="13"/>
        <v/>
      </c>
      <c r="U72" s="5" t="str">
        <f t="shared" si="14"/>
        <v/>
      </c>
      <c r="V72" s="7" t="str">
        <f t="shared" si="15"/>
        <v/>
      </c>
      <c r="W72" s="8" t="str">
        <f t="shared" si="16"/>
        <v/>
      </c>
      <c r="X72" s="2"/>
      <c r="Y72" s="10"/>
      <c r="Z72" s="11" t="str">
        <f>IF(X72&lt;&gt;"执行卖出","",IFERROR(LOOKUP(2,1/(单次交易!$A$2:$A$201=B72),单次交易!$AP$2:$AP$201),""))</f>
        <v/>
      </c>
      <c r="AA72" s="10"/>
      <c r="AB72" s="8" t="str">
        <f t="shared" si="17"/>
        <v/>
      </c>
      <c r="AC72" s="8" t="str">
        <f>IF(A72="","",IF(A72="止损计划",IF(OR(B72="",D72="",E72="",F72="",G72=""),"计划不完整",IF(OR(D72&lt;1,D72&lt;&gt;INT(D72)),"阶段序号无效",IF(COUNTIFS($A$2:$A$497,"止损计划",$B$2:$B$497,B72,$D$2:$D$497,D72)&gt;1,"阶段序号重复",IF(E72&lt;=IFERROR(LOOKUP(2,1/(单次交易!$A$2:$A$201=B72),单次交易!$E$2:$E$201),0),"激活价须高于买入价",IF(F72&lt;N72,"止损价不得低于初始止损",IF(F72&gt;E72,"止损价不得高于激活价",IF(AND(COUNTIFS($A$2:$A$497,"止损计划",$B$2:$B$497,B72,$D$2:$D$497,"&lt;"&amp;D72)&gt;0,OR(E72&lt;=SUMPRODUCT(MAX((($A$2:$A$497="止损计划")*($B$2:$B$497=B72)*($D$2:$D$497&lt;D72))*$E$2:$E$497)),F72&lt;SUMPRODUCT(MAX((($A$2:$A$497="止损计划")*($B$2:$B$497=B72)*($D$2:$D$497&lt;D72))*$F$2:$F$497)))),"阶段价格必须逐级提高","计划有效"))))))),IF(A72="每日跟踪",IF(OR(B72="",H72="",I72="",J72=""),"每日数据不完整",IF(COUNTIFS($A$2:$A$497,"每日跟踪",$B$2:$B$497,B72,$H$2:$H$497,H72)&gt;1,"同一交易日期重复",IF(AND(R72&lt;&gt;"",R72&lt;S72),"人工止损无效：不能下调","跟踪有效"))),"记录类型无效")))</f>
        <v/>
      </c>
    </row>
    <row r="73" ht="17" spans="1:29">
      <c r="A73" s="2"/>
      <c r="B73" s="2"/>
      <c r="C73" s="8" t="str">
        <f>IF(B73="","",IFERROR(LOOKUP(2,1/(单次交易!$A$2:$A$201=B73),单次交易!$B$2:$B$201),""))</f>
        <v/>
      </c>
      <c r="D73" s="12"/>
      <c r="E73" s="10"/>
      <c r="F73" s="10"/>
      <c r="G73" s="2"/>
      <c r="H73" s="15"/>
      <c r="I73" s="10"/>
      <c r="J73" s="20"/>
      <c r="K73" s="13"/>
      <c r="L73" s="2"/>
      <c r="M73" s="13"/>
      <c r="N73" s="5" t="str">
        <f>IF(B73="","",IFERROR(LOOKUP(2,1/(单次交易!$A$2:$A$201=B73),单次交易!$N$2:$N$201),""))</f>
        <v/>
      </c>
      <c r="O73" s="5" t="str">
        <f t="shared" si="9"/>
        <v/>
      </c>
      <c r="P73" s="11" t="str">
        <f t="shared" si="10"/>
        <v/>
      </c>
      <c r="Q73" s="5" t="str">
        <f t="shared" si="11"/>
        <v/>
      </c>
      <c r="R73" s="10"/>
      <c r="S73" s="5" t="str">
        <f t="shared" si="12"/>
        <v/>
      </c>
      <c r="T73" s="5" t="str">
        <f t="shared" si="13"/>
        <v/>
      </c>
      <c r="U73" s="5" t="str">
        <f t="shared" si="14"/>
        <v/>
      </c>
      <c r="V73" s="7" t="str">
        <f t="shared" si="15"/>
        <v/>
      </c>
      <c r="W73" s="8" t="str">
        <f t="shared" si="16"/>
        <v/>
      </c>
      <c r="X73" s="2"/>
      <c r="Y73" s="10"/>
      <c r="Z73" s="11" t="str">
        <f>IF(X73&lt;&gt;"执行卖出","",IFERROR(LOOKUP(2,1/(单次交易!$A$2:$A$201=B73),单次交易!$AP$2:$AP$201),""))</f>
        <v/>
      </c>
      <c r="AA73" s="10"/>
      <c r="AB73" s="8" t="str">
        <f t="shared" si="17"/>
        <v/>
      </c>
      <c r="AC73" s="8" t="str">
        <f>IF(A73="","",IF(A73="止损计划",IF(OR(B73="",D73="",E73="",F73="",G73=""),"计划不完整",IF(OR(D73&lt;1,D73&lt;&gt;INT(D73)),"阶段序号无效",IF(COUNTIFS($A$2:$A$497,"止损计划",$B$2:$B$497,B73,$D$2:$D$497,D73)&gt;1,"阶段序号重复",IF(E73&lt;=IFERROR(LOOKUP(2,1/(单次交易!$A$2:$A$201=B73),单次交易!$E$2:$E$201),0),"激活价须高于买入价",IF(F73&lt;N73,"止损价不得低于初始止损",IF(F73&gt;E73,"止损价不得高于激活价",IF(AND(COUNTIFS($A$2:$A$497,"止损计划",$B$2:$B$497,B73,$D$2:$D$497,"&lt;"&amp;D73)&gt;0,OR(E73&lt;=SUMPRODUCT(MAX((($A$2:$A$497="止损计划")*($B$2:$B$497=B73)*($D$2:$D$497&lt;D73))*$E$2:$E$497)),F73&lt;SUMPRODUCT(MAX((($A$2:$A$497="止损计划")*($B$2:$B$497=B73)*($D$2:$D$497&lt;D73))*$F$2:$F$497)))),"阶段价格必须逐级提高","计划有效"))))))),IF(A73="每日跟踪",IF(OR(B73="",H73="",I73="",J73=""),"每日数据不完整",IF(COUNTIFS($A$2:$A$497,"每日跟踪",$B$2:$B$497,B73,$H$2:$H$497,H73)&gt;1,"同一交易日期重复",IF(AND(R73&lt;&gt;"",R73&lt;S73),"人工止损无效：不能下调","跟踪有效"))),"记录类型无效")))</f>
        <v/>
      </c>
    </row>
    <row r="74" ht="17" spans="1:29">
      <c r="A74" s="2"/>
      <c r="B74" s="2"/>
      <c r="C74" s="8" t="str">
        <f>IF(B74="","",IFERROR(LOOKUP(2,1/(单次交易!$A$2:$A$201=B74),单次交易!$B$2:$B$201),""))</f>
        <v/>
      </c>
      <c r="D74" s="12"/>
      <c r="E74" s="10"/>
      <c r="F74" s="10"/>
      <c r="G74" s="2"/>
      <c r="H74" s="15"/>
      <c r="I74" s="10"/>
      <c r="J74" s="20"/>
      <c r="K74" s="13"/>
      <c r="L74" s="2"/>
      <c r="M74" s="13"/>
      <c r="N74" s="5" t="str">
        <f>IF(B74="","",IFERROR(LOOKUP(2,1/(单次交易!$A$2:$A$201=B74),单次交易!$N$2:$N$201),""))</f>
        <v/>
      </c>
      <c r="O74" s="5" t="str">
        <f t="shared" si="9"/>
        <v/>
      </c>
      <c r="P74" s="11" t="str">
        <f t="shared" si="10"/>
        <v/>
      </c>
      <c r="Q74" s="5" t="str">
        <f t="shared" si="11"/>
        <v/>
      </c>
      <c r="R74" s="10"/>
      <c r="S74" s="5" t="str">
        <f t="shared" si="12"/>
        <v/>
      </c>
      <c r="T74" s="5" t="str">
        <f t="shared" si="13"/>
        <v/>
      </c>
      <c r="U74" s="5" t="str">
        <f t="shared" si="14"/>
        <v/>
      </c>
      <c r="V74" s="7" t="str">
        <f t="shared" si="15"/>
        <v/>
      </c>
      <c r="W74" s="8" t="str">
        <f t="shared" si="16"/>
        <v/>
      </c>
      <c r="X74" s="2"/>
      <c r="Y74" s="10"/>
      <c r="Z74" s="11" t="str">
        <f>IF(X74&lt;&gt;"执行卖出","",IFERROR(LOOKUP(2,1/(单次交易!$A$2:$A$201=B74),单次交易!$AP$2:$AP$201),""))</f>
        <v/>
      </c>
      <c r="AA74" s="10"/>
      <c r="AB74" s="8" t="str">
        <f t="shared" si="17"/>
        <v/>
      </c>
      <c r="AC74" s="8" t="str">
        <f>IF(A74="","",IF(A74="止损计划",IF(OR(B74="",D74="",E74="",F74="",G74=""),"计划不完整",IF(OR(D74&lt;1,D74&lt;&gt;INT(D74)),"阶段序号无效",IF(COUNTIFS($A$2:$A$497,"止损计划",$B$2:$B$497,B74,$D$2:$D$497,D74)&gt;1,"阶段序号重复",IF(E74&lt;=IFERROR(LOOKUP(2,1/(单次交易!$A$2:$A$201=B74),单次交易!$E$2:$E$201),0),"激活价须高于买入价",IF(F74&lt;N74,"止损价不得低于初始止损",IF(F74&gt;E74,"止损价不得高于激活价",IF(AND(COUNTIFS($A$2:$A$497,"止损计划",$B$2:$B$497,B74,$D$2:$D$497,"&lt;"&amp;D74)&gt;0,OR(E74&lt;=SUMPRODUCT(MAX((($A$2:$A$497="止损计划")*($B$2:$B$497=B74)*($D$2:$D$497&lt;D74))*$E$2:$E$497)),F74&lt;SUMPRODUCT(MAX((($A$2:$A$497="止损计划")*($B$2:$B$497=B74)*($D$2:$D$497&lt;D74))*$F$2:$F$497)))),"阶段价格必须逐级提高","计划有效"))))))),IF(A74="每日跟踪",IF(OR(B74="",H74="",I74="",J74=""),"每日数据不完整",IF(COUNTIFS($A$2:$A$497,"每日跟踪",$B$2:$B$497,B74,$H$2:$H$497,H74)&gt;1,"同一交易日期重复",IF(AND(R74&lt;&gt;"",R74&lt;S74),"人工止损无效：不能下调","跟踪有效"))),"记录类型无效")))</f>
        <v/>
      </c>
    </row>
    <row r="75" ht="17" spans="1:29">
      <c r="A75" s="2"/>
      <c r="B75" s="2"/>
      <c r="C75" s="8" t="str">
        <f>IF(B75="","",IFERROR(LOOKUP(2,1/(单次交易!$A$2:$A$201=B75),单次交易!$B$2:$B$201),""))</f>
        <v/>
      </c>
      <c r="D75" s="12"/>
      <c r="E75" s="10"/>
      <c r="F75" s="10"/>
      <c r="G75" s="2"/>
      <c r="H75" s="15"/>
      <c r="I75" s="10"/>
      <c r="J75" s="12"/>
      <c r="K75" s="2"/>
      <c r="L75" s="2"/>
      <c r="M75" s="2"/>
      <c r="N75" s="5" t="str">
        <f>IF(B75="","",IFERROR(LOOKUP(2,1/(单次交易!$A$2:$A$201=B75),单次交易!$N$2:$N$201),""))</f>
        <v/>
      </c>
      <c r="O75" s="5" t="str">
        <f t="shared" si="9"/>
        <v/>
      </c>
      <c r="P75" s="11" t="str">
        <f t="shared" si="10"/>
        <v/>
      </c>
      <c r="Q75" s="5" t="str">
        <f t="shared" si="11"/>
        <v/>
      </c>
      <c r="R75" s="10"/>
      <c r="S75" s="5" t="str">
        <f t="shared" si="12"/>
        <v/>
      </c>
      <c r="T75" s="5" t="str">
        <f t="shared" si="13"/>
        <v/>
      </c>
      <c r="U75" s="5" t="str">
        <f t="shared" si="14"/>
        <v/>
      </c>
      <c r="V75" s="7" t="str">
        <f t="shared" si="15"/>
        <v/>
      </c>
      <c r="W75" s="8" t="str">
        <f t="shared" si="16"/>
        <v/>
      </c>
      <c r="X75" s="2"/>
      <c r="Y75" s="10"/>
      <c r="Z75" s="11" t="str">
        <f>IF(X75&lt;&gt;"执行卖出","",IFERROR(LOOKUP(2,1/(单次交易!$A$2:$A$201=B75),单次交易!$AP$2:$AP$201),""))</f>
        <v/>
      </c>
      <c r="AA75" s="10"/>
      <c r="AB75" s="8" t="str">
        <f t="shared" si="17"/>
        <v/>
      </c>
      <c r="AC75" s="8" t="str">
        <f>IF(A75="","",IF(A75="止损计划",IF(OR(B75="",D75="",E75="",F75="",G75=""),"计划不完整",IF(OR(D75&lt;1,D75&lt;&gt;INT(D75)),"阶段序号无效",IF(COUNTIFS($A$2:$A$497,"止损计划",$B$2:$B$497,B75,$D$2:$D$497,D75)&gt;1,"阶段序号重复",IF(E75&lt;=IFERROR(LOOKUP(2,1/(单次交易!$A$2:$A$201=B75),单次交易!$E$2:$E$201),0),"激活价须高于买入价",IF(F75&lt;N75,"止损价不得低于初始止损",IF(F75&gt;E75,"止损价不得高于激活价",IF(AND(COUNTIFS($A$2:$A$497,"止损计划",$B$2:$B$497,B75,$D$2:$D$497,"&lt;"&amp;D75)&gt;0,OR(E75&lt;=SUMPRODUCT(MAX((($A$2:$A$497="止损计划")*($B$2:$B$497=B75)*($D$2:$D$497&lt;D75))*$E$2:$E$497)),F75&lt;SUMPRODUCT(MAX((($A$2:$A$497="止损计划")*($B$2:$B$497=B75)*($D$2:$D$497&lt;D75))*$F$2:$F$497)))),"阶段价格必须逐级提高","计划有效"))))))),IF(A75="每日跟踪",IF(OR(B75="",H75="",I75="",J75=""),"每日数据不完整",IF(COUNTIFS($A$2:$A$497,"每日跟踪",$B$2:$B$497,B75,$H$2:$H$497,H75)&gt;1,"同一交易日期重复",IF(AND(R75&lt;&gt;"",R75&lt;S75),"人工止损无效：不能下调","跟踪有效"))),"记录类型无效")))</f>
        <v/>
      </c>
    </row>
    <row r="76" ht="17" spans="1:29">
      <c r="A76" s="2"/>
      <c r="B76" s="2"/>
      <c r="C76" s="8" t="str">
        <f>IF(B76="","",IFERROR(LOOKUP(2,1/(单次交易!$A$2:$A$201=B76),单次交易!$B$2:$B$201),""))</f>
        <v/>
      </c>
      <c r="D76" s="12"/>
      <c r="E76" s="10"/>
      <c r="F76" s="10"/>
      <c r="G76" s="2"/>
      <c r="H76" s="15"/>
      <c r="I76" s="10"/>
      <c r="J76" s="12"/>
      <c r="K76" s="2"/>
      <c r="L76" s="2"/>
      <c r="M76" s="2"/>
      <c r="N76" s="5" t="str">
        <f>IF(B76="","",IFERROR(LOOKUP(2,1/(单次交易!$A$2:$A$201=B76),单次交易!$N$2:$N$201),""))</f>
        <v/>
      </c>
      <c r="O76" s="5" t="str">
        <f t="shared" si="9"/>
        <v/>
      </c>
      <c r="P76" s="11" t="str">
        <f t="shared" si="10"/>
        <v/>
      </c>
      <c r="Q76" s="5" t="str">
        <f t="shared" si="11"/>
        <v/>
      </c>
      <c r="R76" s="10"/>
      <c r="S76" s="5" t="str">
        <f t="shared" si="12"/>
        <v/>
      </c>
      <c r="T76" s="5" t="str">
        <f t="shared" si="13"/>
        <v/>
      </c>
      <c r="U76" s="5" t="str">
        <f t="shared" si="14"/>
        <v/>
      </c>
      <c r="V76" s="7" t="str">
        <f t="shared" si="15"/>
        <v/>
      </c>
      <c r="W76" s="8" t="str">
        <f t="shared" si="16"/>
        <v/>
      </c>
      <c r="X76" s="2"/>
      <c r="Y76" s="10"/>
      <c r="Z76" s="11" t="str">
        <f>IF(X76&lt;&gt;"执行卖出","",IFERROR(LOOKUP(2,1/(单次交易!$A$2:$A$201=B76),单次交易!$AP$2:$AP$201),""))</f>
        <v/>
      </c>
      <c r="AA76" s="10"/>
      <c r="AB76" s="8" t="str">
        <f t="shared" si="17"/>
        <v/>
      </c>
      <c r="AC76" s="8" t="str">
        <f>IF(A76="","",IF(A76="止损计划",IF(OR(B76="",D76="",E76="",F76="",G76=""),"计划不完整",IF(OR(D76&lt;1,D76&lt;&gt;INT(D76)),"阶段序号无效",IF(COUNTIFS($A$2:$A$497,"止损计划",$B$2:$B$497,B76,$D$2:$D$497,D76)&gt;1,"阶段序号重复",IF(E76&lt;=IFERROR(LOOKUP(2,1/(单次交易!$A$2:$A$201=B76),单次交易!$E$2:$E$201),0),"激活价须高于买入价",IF(F76&lt;N76,"止损价不得低于初始止损",IF(F76&gt;E76,"止损价不得高于激活价",IF(AND(COUNTIFS($A$2:$A$497,"止损计划",$B$2:$B$497,B76,$D$2:$D$497,"&lt;"&amp;D76)&gt;0,OR(E76&lt;=SUMPRODUCT(MAX((($A$2:$A$497="止损计划")*($B$2:$B$497=B76)*($D$2:$D$497&lt;D76))*$E$2:$E$497)),F76&lt;SUMPRODUCT(MAX((($A$2:$A$497="止损计划")*($B$2:$B$497=B76)*($D$2:$D$497&lt;D76))*$F$2:$F$497)))),"阶段价格必须逐级提高","计划有效"))))))),IF(A76="每日跟踪",IF(OR(B76="",H76="",I76="",J76=""),"每日数据不完整",IF(COUNTIFS($A$2:$A$497,"每日跟踪",$B$2:$B$497,B76,$H$2:$H$497,H76)&gt;1,"同一交易日期重复",IF(AND(R76&lt;&gt;"",R76&lt;S76),"人工止损无效：不能下调","跟踪有效"))),"记录类型无效")))</f>
        <v/>
      </c>
    </row>
    <row r="77" ht="17" spans="1:29">
      <c r="A77" s="2"/>
      <c r="B77" s="2"/>
      <c r="C77" s="8" t="str">
        <f>IF(B77="","",IFERROR(LOOKUP(2,1/(单次交易!$A$2:$A$201=B77),单次交易!$B$2:$B$201),""))</f>
        <v/>
      </c>
      <c r="D77" s="12"/>
      <c r="E77" s="10"/>
      <c r="F77" s="10"/>
      <c r="G77" s="2"/>
      <c r="H77" s="15"/>
      <c r="I77" s="10"/>
      <c r="J77" s="12"/>
      <c r="K77" s="2"/>
      <c r="L77" s="2"/>
      <c r="M77" s="2"/>
      <c r="N77" s="5" t="str">
        <f>IF(B77="","",IFERROR(LOOKUP(2,1/(单次交易!$A$2:$A$201=B77),单次交易!$N$2:$N$201),""))</f>
        <v/>
      </c>
      <c r="O77" s="5" t="str">
        <f t="shared" si="9"/>
        <v/>
      </c>
      <c r="P77" s="11" t="str">
        <f t="shared" si="10"/>
        <v/>
      </c>
      <c r="Q77" s="5" t="str">
        <f t="shared" si="11"/>
        <v/>
      </c>
      <c r="R77" s="10"/>
      <c r="S77" s="5" t="str">
        <f t="shared" si="12"/>
        <v/>
      </c>
      <c r="T77" s="5" t="str">
        <f t="shared" si="13"/>
        <v/>
      </c>
      <c r="U77" s="5" t="str">
        <f t="shared" si="14"/>
        <v/>
      </c>
      <c r="V77" s="7" t="str">
        <f t="shared" si="15"/>
        <v/>
      </c>
      <c r="W77" s="8" t="str">
        <f t="shared" si="16"/>
        <v/>
      </c>
      <c r="X77" s="2"/>
      <c r="Y77" s="10"/>
      <c r="Z77" s="11" t="str">
        <f>IF(X77&lt;&gt;"执行卖出","",IFERROR(LOOKUP(2,1/(单次交易!$A$2:$A$201=B77),单次交易!$AP$2:$AP$201),""))</f>
        <v/>
      </c>
      <c r="AA77" s="10"/>
      <c r="AB77" s="8" t="str">
        <f t="shared" si="17"/>
        <v/>
      </c>
      <c r="AC77" s="8" t="str">
        <f>IF(A77="","",IF(A77="止损计划",IF(OR(B77="",D77="",E77="",F77="",G77=""),"计划不完整",IF(OR(D77&lt;1,D77&lt;&gt;INT(D77)),"阶段序号无效",IF(COUNTIFS($A$2:$A$497,"止损计划",$B$2:$B$497,B77,$D$2:$D$497,D77)&gt;1,"阶段序号重复",IF(E77&lt;=IFERROR(LOOKUP(2,1/(单次交易!$A$2:$A$201=B77),单次交易!$E$2:$E$201),0),"激活价须高于买入价",IF(F77&lt;N77,"止损价不得低于初始止损",IF(F77&gt;E77,"止损价不得高于激活价",IF(AND(COUNTIFS($A$2:$A$497,"止损计划",$B$2:$B$497,B77,$D$2:$D$497,"&lt;"&amp;D77)&gt;0,OR(E77&lt;=SUMPRODUCT(MAX((($A$2:$A$497="止损计划")*($B$2:$B$497=B77)*($D$2:$D$497&lt;D77))*$E$2:$E$497)),F77&lt;SUMPRODUCT(MAX((($A$2:$A$497="止损计划")*($B$2:$B$497=B77)*($D$2:$D$497&lt;D77))*$F$2:$F$497)))),"阶段价格必须逐级提高","计划有效"))))))),IF(A77="每日跟踪",IF(OR(B77="",H77="",I77="",J77=""),"每日数据不完整",IF(COUNTIFS($A$2:$A$497,"每日跟踪",$B$2:$B$497,B77,$H$2:$H$497,H77)&gt;1,"同一交易日期重复",IF(AND(R77&lt;&gt;"",R77&lt;S77),"人工止损无效：不能下调","跟踪有效"))),"记录类型无效")))</f>
        <v/>
      </c>
    </row>
    <row r="78" ht="17" spans="1:29">
      <c r="A78" s="2"/>
      <c r="B78" s="2"/>
      <c r="C78" s="8" t="str">
        <f>IF(B78="","",IFERROR(LOOKUP(2,1/(单次交易!$A$2:$A$201=B78),单次交易!$B$2:$B$201),""))</f>
        <v/>
      </c>
      <c r="D78" s="12"/>
      <c r="E78" s="10"/>
      <c r="F78" s="10"/>
      <c r="G78" s="2"/>
      <c r="H78" s="15"/>
      <c r="I78" s="10"/>
      <c r="J78" s="12"/>
      <c r="K78" s="2"/>
      <c r="L78" s="2"/>
      <c r="M78" s="2"/>
      <c r="N78" s="5" t="str">
        <f>IF(B78="","",IFERROR(LOOKUP(2,1/(单次交易!$A$2:$A$201=B78),单次交易!$N$2:$N$201),""))</f>
        <v/>
      </c>
      <c r="O78" s="5" t="str">
        <f t="shared" si="9"/>
        <v/>
      </c>
      <c r="P78" s="11" t="str">
        <f t="shared" si="10"/>
        <v/>
      </c>
      <c r="Q78" s="5" t="str">
        <f t="shared" si="11"/>
        <v/>
      </c>
      <c r="R78" s="10"/>
      <c r="S78" s="5" t="str">
        <f t="shared" si="12"/>
        <v/>
      </c>
      <c r="T78" s="5" t="str">
        <f t="shared" si="13"/>
        <v/>
      </c>
      <c r="U78" s="5" t="str">
        <f t="shared" si="14"/>
        <v/>
      </c>
      <c r="V78" s="7" t="str">
        <f t="shared" si="15"/>
        <v/>
      </c>
      <c r="W78" s="8" t="str">
        <f t="shared" si="16"/>
        <v/>
      </c>
      <c r="X78" s="2"/>
      <c r="Y78" s="10"/>
      <c r="Z78" s="11" t="str">
        <f>IF(X78&lt;&gt;"执行卖出","",IFERROR(LOOKUP(2,1/(单次交易!$A$2:$A$201=B78),单次交易!$AP$2:$AP$201),""))</f>
        <v/>
      </c>
      <c r="AA78" s="10"/>
      <c r="AB78" s="8" t="str">
        <f t="shared" si="17"/>
        <v/>
      </c>
      <c r="AC78" s="8" t="str">
        <f>IF(A78="","",IF(A78="止损计划",IF(OR(B78="",D78="",E78="",F78="",G78=""),"计划不完整",IF(OR(D78&lt;1,D78&lt;&gt;INT(D78)),"阶段序号无效",IF(COUNTIFS($A$2:$A$497,"止损计划",$B$2:$B$497,B78,$D$2:$D$497,D78)&gt;1,"阶段序号重复",IF(E78&lt;=IFERROR(LOOKUP(2,1/(单次交易!$A$2:$A$201=B78),单次交易!$E$2:$E$201),0),"激活价须高于买入价",IF(F78&lt;N78,"止损价不得低于初始止损",IF(F78&gt;E78,"止损价不得高于激活价",IF(AND(COUNTIFS($A$2:$A$497,"止损计划",$B$2:$B$497,B78,$D$2:$D$497,"&lt;"&amp;D78)&gt;0,OR(E78&lt;=SUMPRODUCT(MAX((($A$2:$A$497="止损计划")*($B$2:$B$497=B78)*($D$2:$D$497&lt;D78))*$E$2:$E$497)),F78&lt;SUMPRODUCT(MAX((($A$2:$A$497="止损计划")*($B$2:$B$497=B78)*($D$2:$D$497&lt;D78))*$F$2:$F$497)))),"阶段价格必须逐级提高","计划有效"))))))),IF(A78="每日跟踪",IF(OR(B78="",H78="",I78="",J78=""),"每日数据不完整",IF(COUNTIFS($A$2:$A$497,"每日跟踪",$B$2:$B$497,B78,$H$2:$H$497,H78)&gt;1,"同一交易日期重复",IF(AND(R78&lt;&gt;"",R78&lt;S78),"人工止损无效：不能下调","跟踪有效"))),"记录类型无效")))</f>
        <v/>
      </c>
    </row>
    <row r="79" ht="17" spans="1:29">
      <c r="A79" s="2"/>
      <c r="B79" s="2"/>
      <c r="C79" s="8" t="str">
        <f>IF(B79="","",IFERROR(LOOKUP(2,1/(单次交易!$A$2:$A$201=B79),单次交易!$B$2:$B$201),""))</f>
        <v/>
      </c>
      <c r="D79" s="12"/>
      <c r="E79" s="10"/>
      <c r="F79" s="10"/>
      <c r="G79" s="2"/>
      <c r="H79" s="15"/>
      <c r="I79" s="10"/>
      <c r="J79" s="12"/>
      <c r="K79" s="2"/>
      <c r="L79" s="2"/>
      <c r="M79" s="2"/>
      <c r="N79" s="5" t="str">
        <f>IF(B79="","",IFERROR(LOOKUP(2,1/(单次交易!$A$2:$A$201=B79),单次交易!$N$2:$N$201),""))</f>
        <v/>
      </c>
      <c r="O79" s="5" t="str">
        <f t="shared" si="9"/>
        <v/>
      </c>
      <c r="P79" s="11" t="str">
        <f t="shared" si="10"/>
        <v/>
      </c>
      <c r="Q79" s="5" t="str">
        <f t="shared" si="11"/>
        <v/>
      </c>
      <c r="R79" s="10"/>
      <c r="S79" s="5" t="str">
        <f t="shared" si="12"/>
        <v/>
      </c>
      <c r="T79" s="5" t="str">
        <f t="shared" si="13"/>
        <v/>
      </c>
      <c r="U79" s="5" t="str">
        <f t="shared" si="14"/>
        <v/>
      </c>
      <c r="V79" s="7" t="str">
        <f t="shared" si="15"/>
        <v/>
      </c>
      <c r="W79" s="8" t="str">
        <f t="shared" si="16"/>
        <v/>
      </c>
      <c r="X79" s="2"/>
      <c r="Y79" s="10"/>
      <c r="Z79" s="11" t="str">
        <f>IF(X79&lt;&gt;"执行卖出","",IFERROR(LOOKUP(2,1/(单次交易!$A$2:$A$201=B79),单次交易!$AP$2:$AP$201),""))</f>
        <v/>
      </c>
      <c r="AA79" s="10"/>
      <c r="AB79" s="8" t="str">
        <f t="shared" si="17"/>
        <v/>
      </c>
      <c r="AC79" s="8" t="str">
        <f>IF(A79="","",IF(A79="止损计划",IF(OR(B79="",D79="",E79="",F79="",G79=""),"计划不完整",IF(OR(D79&lt;1,D79&lt;&gt;INT(D79)),"阶段序号无效",IF(COUNTIFS($A$2:$A$497,"止损计划",$B$2:$B$497,B79,$D$2:$D$497,D79)&gt;1,"阶段序号重复",IF(E79&lt;=IFERROR(LOOKUP(2,1/(单次交易!$A$2:$A$201=B79),单次交易!$E$2:$E$201),0),"激活价须高于买入价",IF(F79&lt;N79,"止损价不得低于初始止损",IF(F79&gt;E79,"止损价不得高于激活价",IF(AND(COUNTIFS($A$2:$A$497,"止损计划",$B$2:$B$497,B79,$D$2:$D$497,"&lt;"&amp;D79)&gt;0,OR(E79&lt;=SUMPRODUCT(MAX((($A$2:$A$497="止损计划")*($B$2:$B$497=B79)*($D$2:$D$497&lt;D79))*$E$2:$E$497)),F79&lt;SUMPRODUCT(MAX((($A$2:$A$497="止损计划")*($B$2:$B$497=B79)*($D$2:$D$497&lt;D79))*$F$2:$F$497)))),"阶段价格必须逐级提高","计划有效"))))))),IF(A79="每日跟踪",IF(OR(B79="",H79="",I79="",J79=""),"每日数据不完整",IF(COUNTIFS($A$2:$A$497,"每日跟踪",$B$2:$B$497,B79,$H$2:$H$497,H79)&gt;1,"同一交易日期重复",IF(AND(R79&lt;&gt;"",R79&lt;S79),"人工止损无效：不能下调","跟踪有效"))),"记录类型无效")))</f>
        <v/>
      </c>
    </row>
    <row r="80" ht="17" spans="1:29">
      <c r="A80" s="2"/>
      <c r="B80" s="2"/>
      <c r="C80" s="8" t="str">
        <f>IF(B80="","",IFERROR(LOOKUP(2,1/(单次交易!$A$2:$A$201=B80),单次交易!$B$2:$B$201),""))</f>
        <v/>
      </c>
      <c r="D80" s="12"/>
      <c r="E80" s="10"/>
      <c r="F80" s="10"/>
      <c r="G80" s="2"/>
      <c r="H80" s="15"/>
      <c r="I80" s="10"/>
      <c r="J80" s="12"/>
      <c r="K80" s="2"/>
      <c r="L80" s="2"/>
      <c r="M80" s="2"/>
      <c r="N80" s="5" t="str">
        <f>IF(B80="","",IFERROR(LOOKUP(2,1/(单次交易!$A$2:$A$201=B80),单次交易!$N$2:$N$201),""))</f>
        <v/>
      </c>
      <c r="O80" s="5" t="str">
        <f t="shared" si="9"/>
        <v/>
      </c>
      <c r="P80" s="11" t="str">
        <f t="shared" si="10"/>
        <v/>
      </c>
      <c r="Q80" s="5" t="str">
        <f t="shared" si="11"/>
        <v/>
      </c>
      <c r="R80" s="10"/>
      <c r="S80" s="5" t="str">
        <f t="shared" si="12"/>
        <v/>
      </c>
      <c r="T80" s="5" t="str">
        <f t="shared" si="13"/>
        <v/>
      </c>
      <c r="U80" s="5" t="str">
        <f t="shared" si="14"/>
        <v/>
      </c>
      <c r="V80" s="7" t="str">
        <f t="shared" si="15"/>
        <v/>
      </c>
      <c r="W80" s="8" t="str">
        <f t="shared" si="16"/>
        <v/>
      </c>
      <c r="X80" s="2"/>
      <c r="Y80" s="10"/>
      <c r="Z80" s="11" t="str">
        <f>IF(X80&lt;&gt;"执行卖出","",IFERROR(LOOKUP(2,1/(单次交易!$A$2:$A$201=B80),单次交易!$AP$2:$AP$201),""))</f>
        <v/>
      </c>
      <c r="AA80" s="10"/>
      <c r="AB80" s="8" t="str">
        <f t="shared" si="17"/>
        <v/>
      </c>
      <c r="AC80" s="8" t="str">
        <f>IF(A80="","",IF(A80="止损计划",IF(OR(B80="",D80="",E80="",F80="",G80=""),"计划不完整",IF(OR(D80&lt;1,D80&lt;&gt;INT(D80)),"阶段序号无效",IF(COUNTIFS($A$2:$A$497,"止损计划",$B$2:$B$497,B80,$D$2:$D$497,D80)&gt;1,"阶段序号重复",IF(E80&lt;=IFERROR(LOOKUP(2,1/(单次交易!$A$2:$A$201=B80),单次交易!$E$2:$E$201),0),"激活价须高于买入价",IF(F80&lt;N80,"止损价不得低于初始止损",IF(F80&gt;E80,"止损价不得高于激活价",IF(AND(COUNTIFS($A$2:$A$497,"止损计划",$B$2:$B$497,B80,$D$2:$D$497,"&lt;"&amp;D80)&gt;0,OR(E80&lt;=SUMPRODUCT(MAX((($A$2:$A$497="止损计划")*($B$2:$B$497=B80)*($D$2:$D$497&lt;D80))*$E$2:$E$497)),F80&lt;SUMPRODUCT(MAX((($A$2:$A$497="止损计划")*($B$2:$B$497=B80)*($D$2:$D$497&lt;D80))*$F$2:$F$497)))),"阶段价格必须逐级提高","计划有效"))))))),IF(A80="每日跟踪",IF(OR(B80="",H80="",I80="",J80=""),"每日数据不完整",IF(COUNTIFS($A$2:$A$497,"每日跟踪",$B$2:$B$497,B80,$H$2:$H$497,H80)&gt;1,"同一交易日期重复",IF(AND(R80&lt;&gt;"",R80&lt;S80),"人工止损无效：不能下调","跟踪有效"))),"记录类型无效")))</f>
        <v/>
      </c>
    </row>
    <row r="81" ht="17" spans="1:29">
      <c r="A81" s="2"/>
      <c r="B81" s="2"/>
      <c r="C81" s="8" t="str">
        <f>IF(B81="","",IFERROR(LOOKUP(2,1/(单次交易!$A$2:$A$201=B81),单次交易!$B$2:$B$201),""))</f>
        <v/>
      </c>
      <c r="D81" s="12"/>
      <c r="E81" s="10"/>
      <c r="F81" s="10"/>
      <c r="G81" s="2"/>
      <c r="H81" s="15"/>
      <c r="I81" s="10"/>
      <c r="J81" s="12"/>
      <c r="K81" s="2"/>
      <c r="L81" s="2"/>
      <c r="M81" s="2"/>
      <c r="N81" s="5" t="str">
        <f>IF(B81="","",IFERROR(LOOKUP(2,1/(单次交易!$A$2:$A$201=B81),单次交易!$N$2:$N$201),""))</f>
        <v/>
      </c>
      <c r="O81" s="5" t="str">
        <f t="shared" si="9"/>
        <v/>
      </c>
      <c r="P81" s="11" t="str">
        <f t="shared" si="10"/>
        <v/>
      </c>
      <c r="Q81" s="5" t="str">
        <f t="shared" si="11"/>
        <v/>
      </c>
      <c r="R81" s="10"/>
      <c r="S81" s="5" t="str">
        <f t="shared" si="12"/>
        <v/>
      </c>
      <c r="T81" s="5" t="str">
        <f t="shared" si="13"/>
        <v/>
      </c>
      <c r="U81" s="5" t="str">
        <f t="shared" si="14"/>
        <v/>
      </c>
      <c r="V81" s="7" t="str">
        <f t="shared" si="15"/>
        <v/>
      </c>
      <c r="W81" s="8" t="str">
        <f t="shared" si="16"/>
        <v/>
      </c>
      <c r="X81" s="2"/>
      <c r="Y81" s="10"/>
      <c r="Z81" s="11" t="str">
        <f>IF(X81&lt;&gt;"执行卖出","",IFERROR(LOOKUP(2,1/(单次交易!$A$2:$A$201=B81),单次交易!$AP$2:$AP$201),""))</f>
        <v/>
      </c>
      <c r="AA81" s="10"/>
      <c r="AB81" s="8" t="str">
        <f t="shared" si="17"/>
        <v/>
      </c>
      <c r="AC81" s="8" t="str">
        <f>IF(A81="","",IF(A81="止损计划",IF(OR(B81="",D81="",E81="",F81="",G81=""),"计划不完整",IF(OR(D81&lt;1,D81&lt;&gt;INT(D81)),"阶段序号无效",IF(COUNTIFS($A$2:$A$497,"止损计划",$B$2:$B$497,B81,$D$2:$D$497,D81)&gt;1,"阶段序号重复",IF(E81&lt;=IFERROR(LOOKUP(2,1/(单次交易!$A$2:$A$201=B81),单次交易!$E$2:$E$201),0),"激活价须高于买入价",IF(F81&lt;N81,"止损价不得低于初始止损",IF(F81&gt;E81,"止损价不得高于激活价",IF(AND(COUNTIFS($A$2:$A$497,"止损计划",$B$2:$B$497,B81,$D$2:$D$497,"&lt;"&amp;D81)&gt;0,OR(E81&lt;=SUMPRODUCT(MAX((($A$2:$A$497="止损计划")*($B$2:$B$497=B81)*($D$2:$D$497&lt;D81))*$E$2:$E$497)),F81&lt;SUMPRODUCT(MAX((($A$2:$A$497="止损计划")*($B$2:$B$497=B81)*($D$2:$D$497&lt;D81))*$F$2:$F$497)))),"阶段价格必须逐级提高","计划有效"))))))),IF(A81="每日跟踪",IF(OR(B81="",H81="",I81="",J81=""),"每日数据不完整",IF(COUNTIFS($A$2:$A$497,"每日跟踪",$B$2:$B$497,B81,$H$2:$H$497,H81)&gt;1,"同一交易日期重复",IF(AND(R81&lt;&gt;"",R81&lt;S81),"人工止损无效：不能下调","跟踪有效"))),"记录类型无效")))</f>
        <v/>
      </c>
    </row>
    <row r="82" ht="17" spans="1:29">
      <c r="A82" s="2"/>
      <c r="B82" s="2"/>
      <c r="C82" s="8" t="str">
        <f>IF(B82="","",IFERROR(LOOKUP(2,1/(单次交易!$A$2:$A$201=B82),单次交易!$B$2:$B$201),""))</f>
        <v/>
      </c>
      <c r="D82" s="12"/>
      <c r="E82" s="10"/>
      <c r="F82" s="10"/>
      <c r="G82" s="2"/>
      <c r="H82" s="15"/>
      <c r="I82" s="10"/>
      <c r="J82" s="12"/>
      <c r="K82" s="2"/>
      <c r="L82" s="2"/>
      <c r="M82" s="2"/>
      <c r="N82" s="5" t="str">
        <f>IF(B82="","",IFERROR(LOOKUP(2,1/(单次交易!$A$2:$A$201=B82),单次交易!$N$2:$N$201),""))</f>
        <v/>
      </c>
      <c r="O82" s="5" t="str">
        <f t="shared" si="9"/>
        <v/>
      </c>
      <c r="P82" s="11" t="str">
        <f t="shared" si="10"/>
        <v/>
      </c>
      <c r="Q82" s="5" t="str">
        <f t="shared" si="11"/>
        <v/>
      </c>
      <c r="R82" s="10"/>
      <c r="S82" s="5" t="str">
        <f t="shared" si="12"/>
        <v/>
      </c>
      <c r="T82" s="5" t="str">
        <f t="shared" si="13"/>
        <v/>
      </c>
      <c r="U82" s="5" t="str">
        <f t="shared" si="14"/>
        <v/>
      </c>
      <c r="V82" s="7" t="str">
        <f t="shared" si="15"/>
        <v/>
      </c>
      <c r="W82" s="8" t="str">
        <f t="shared" si="16"/>
        <v/>
      </c>
      <c r="X82" s="2"/>
      <c r="Y82" s="10"/>
      <c r="Z82" s="11" t="str">
        <f>IF(X82&lt;&gt;"执行卖出","",IFERROR(LOOKUP(2,1/(单次交易!$A$2:$A$201=B82),单次交易!$AP$2:$AP$201),""))</f>
        <v/>
      </c>
      <c r="AA82" s="10"/>
      <c r="AB82" s="8" t="str">
        <f t="shared" si="17"/>
        <v/>
      </c>
      <c r="AC82" s="8" t="str">
        <f>IF(A82="","",IF(A82="止损计划",IF(OR(B82="",D82="",E82="",F82="",G82=""),"计划不完整",IF(OR(D82&lt;1,D82&lt;&gt;INT(D82)),"阶段序号无效",IF(COUNTIFS($A$2:$A$497,"止损计划",$B$2:$B$497,B82,$D$2:$D$497,D82)&gt;1,"阶段序号重复",IF(E82&lt;=IFERROR(LOOKUP(2,1/(单次交易!$A$2:$A$201=B82),单次交易!$E$2:$E$201),0),"激活价须高于买入价",IF(F82&lt;N82,"止损价不得低于初始止损",IF(F82&gt;E82,"止损价不得高于激活价",IF(AND(COUNTIFS($A$2:$A$497,"止损计划",$B$2:$B$497,B82,$D$2:$D$497,"&lt;"&amp;D82)&gt;0,OR(E82&lt;=SUMPRODUCT(MAX((($A$2:$A$497="止损计划")*($B$2:$B$497=B82)*($D$2:$D$497&lt;D82))*$E$2:$E$497)),F82&lt;SUMPRODUCT(MAX((($A$2:$A$497="止损计划")*($B$2:$B$497=B82)*($D$2:$D$497&lt;D82))*$F$2:$F$497)))),"阶段价格必须逐级提高","计划有效"))))))),IF(A82="每日跟踪",IF(OR(B82="",H82="",I82="",J82=""),"每日数据不完整",IF(COUNTIFS($A$2:$A$497,"每日跟踪",$B$2:$B$497,B82,$H$2:$H$497,H82)&gt;1,"同一交易日期重复",IF(AND(R82&lt;&gt;"",R82&lt;S82),"人工止损无效：不能下调","跟踪有效"))),"记录类型无效")))</f>
        <v/>
      </c>
    </row>
    <row r="83" ht="17" spans="1:29">
      <c r="A83" s="2"/>
      <c r="B83" s="2"/>
      <c r="C83" s="8" t="str">
        <f>IF(B83="","",IFERROR(LOOKUP(2,1/(单次交易!$A$2:$A$201=B83),单次交易!$B$2:$B$201),""))</f>
        <v/>
      </c>
      <c r="D83" s="12"/>
      <c r="E83" s="10"/>
      <c r="F83" s="10"/>
      <c r="G83" s="2"/>
      <c r="H83" s="15"/>
      <c r="I83" s="10"/>
      <c r="J83" s="12"/>
      <c r="K83" s="2"/>
      <c r="L83" s="2"/>
      <c r="M83" s="2"/>
      <c r="N83" s="5" t="str">
        <f>IF(B83="","",IFERROR(LOOKUP(2,1/(单次交易!$A$2:$A$201=B83),单次交易!$N$2:$N$201),""))</f>
        <v/>
      </c>
      <c r="O83" s="5" t="str">
        <f t="shared" si="9"/>
        <v/>
      </c>
      <c r="P83" s="11" t="str">
        <f t="shared" si="10"/>
        <v/>
      </c>
      <c r="Q83" s="5" t="str">
        <f t="shared" si="11"/>
        <v/>
      </c>
      <c r="R83" s="10"/>
      <c r="S83" s="5" t="str">
        <f t="shared" si="12"/>
        <v/>
      </c>
      <c r="T83" s="5" t="str">
        <f t="shared" si="13"/>
        <v/>
      </c>
      <c r="U83" s="5" t="str">
        <f t="shared" si="14"/>
        <v/>
      </c>
      <c r="V83" s="7" t="str">
        <f t="shared" si="15"/>
        <v/>
      </c>
      <c r="W83" s="8" t="str">
        <f t="shared" si="16"/>
        <v/>
      </c>
      <c r="X83" s="2"/>
      <c r="Y83" s="10"/>
      <c r="Z83" s="11" t="str">
        <f>IF(X83&lt;&gt;"执行卖出","",IFERROR(LOOKUP(2,1/(单次交易!$A$2:$A$201=B83),单次交易!$AP$2:$AP$201),""))</f>
        <v/>
      </c>
      <c r="AA83" s="10"/>
      <c r="AB83" s="8" t="str">
        <f t="shared" si="17"/>
        <v/>
      </c>
      <c r="AC83" s="8" t="str">
        <f>IF(A83="","",IF(A83="止损计划",IF(OR(B83="",D83="",E83="",F83="",G83=""),"计划不完整",IF(OR(D83&lt;1,D83&lt;&gt;INT(D83)),"阶段序号无效",IF(COUNTIFS($A$2:$A$497,"止损计划",$B$2:$B$497,B83,$D$2:$D$497,D83)&gt;1,"阶段序号重复",IF(E83&lt;=IFERROR(LOOKUP(2,1/(单次交易!$A$2:$A$201=B83),单次交易!$E$2:$E$201),0),"激活价须高于买入价",IF(F83&lt;N83,"止损价不得低于初始止损",IF(F83&gt;E83,"止损价不得高于激活价",IF(AND(COUNTIFS($A$2:$A$497,"止损计划",$B$2:$B$497,B83,$D$2:$D$497,"&lt;"&amp;D83)&gt;0,OR(E83&lt;=SUMPRODUCT(MAX((($A$2:$A$497="止损计划")*($B$2:$B$497=B83)*($D$2:$D$497&lt;D83))*$E$2:$E$497)),F83&lt;SUMPRODUCT(MAX((($A$2:$A$497="止损计划")*($B$2:$B$497=B83)*($D$2:$D$497&lt;D83))*$F$2:$F$497)))),"阶段价格必须逐级提高","计划有效"))))))),IF(A83="每日跟踪",IF(OR(B83="",H83="",I83="",J83=""),"每日数据不完整",IF(COUNTIFS($A$2:$A$497,"每日跟踪",$B$2:$B$497,B83,$H$2:$H$497,H83)&gt;1,"同一交易日期重复",IF(AND(R83&lt;&gt;"",R83&lt;S83),"人工止损无效：不能下调","跟踪有效"))),"记录类型无效")))</f>
        <v/>
      </c>
    </row>
    <row r="84" ht="17" spans="1:29">
      <c r="A84" s="2"/>
      <c r="B84" s="2"/>
      <c r="C84" s="8" t="str">
        <f>IF(B84="","",IFERROR(LOOKUP(2,1/(单次交易!$A$2:$A$201=B84),单次交易!$B$2:$B$201),""))</f>
        <v/>
      </c>
      <c r="D84" s="12"/>
      <c r="E84" s="10"/>
      <c r="F84" s="10"/>
      <c r="G84" s="2"/>
      <c r="H84" s="15"/>
      <c r="I84" s="10"/>
      <c r="J84" s="12"/>
      <c r="K84" s="2"/>
      <c r="L84" s="2"/>
      <c r="M84" s="2"/>
      <c r="N84" s="5" t="str">
        <f>IF(B84="","",IFERROR(LOOKUP(2,1/(单次交易!$A$2:$A$201=B84),单次交易!$N$2:$N$201),""))</f>
        <v/>
      </c>
      <c r="O84" s="5" t="str">
        <f t="shared" si="9"/>
        <v/>
      </c>
      <c r="P84" s="11" t="str">
        <f t="shared" si="10"/>
        <v/>
      </c>
      <c r="Q84" s="5" t="str">
        <f t="shared" si="11"/>
        <v/>
      </c>
      <c r="R84" s="10"/>
      <c r="S84" s="5" t="str">
        <f t="shared" si="12"/>
        <v/>
      </c>
      <c r="T84" s="5" t="str">
        <f t="shared" si="13"/>
        <v/>
      </c>
      <c r="U84" s="5" t="str">
        <f t="shared" si="14"/>
        <v/>
      </c>
      <c r="V84" s="7" t="str">
        <f t="shared" si="15"/>
        <v/>
      </c>
      <c r="W84" s="8" t="str">
        <f t="shared" si="16"/>
        <v/>
      </c>
      <c r="X84" s="2"/>
      <c r="Y84" s="10"/>
      <c r="Z84" s="11" t="str">
        <f>IF(X84&lt;&gt;"执行卖出","",IFERROR(LOOKUP(2,1/(单次交易!$A$2:$A$201=B84),单次交易!$AP$2:$AP$201),""))</f>
        <v/>
      </c>
      <c r="AA84" s="10"/>
      <c r="AB84" s="8" t="str">
        <f t="shared" si="17"/>
        <v/>
      </c>
      <c r="AC84" s="8" t="str">
        <f>IF(A84="","",IF(A84="止损计划",IF(OR(B84="",D84="",E84="",F84="",G84=""),"计划不完整",IF(OR(D84&lt;1,D84&lt;&gt;INT(D84)),"阶段序号无效",IF(COUNTIFS($A$2:$A$497,"止损计划",$B$2:$B$497,B84,$D$2:$D$497,D84)&gt;1,"阶段序号重复",IF(E84&lt;=IFERROR(LOOKUP(2,1/(单次交易!$A$2:$A$201=B84),单次交易!$E$2:$E$201),0),"激活价须高于买入价",IF(F84&lt;N84,"止损价不得低于初始止损",IF(F84&gt;E84,"止损价不得高于激活价",IF(AND(COUNTIFS($A$2:$A$497,"止损计划",$B$2:$B$497,B84,$D$2:$D$497,"&lt;"&amp;D84)&gt;0,OR(E84&lt;=SUMPRODUCT(MAX((($A$2:$A$497="止损计划")*($B$2:$B$497=B84)*($D$2:$D$497&lt;D84))*$E$2:$E$497)),F84&lt;SUMPRODUCT(MAX((($A$2:$A$497="止损计划")*($B$2:$B$497=B84)*($D$2:$D$497&lt;D84))*$F$2:$F$497)))),"阶段价格必须逐级提高","计划有效"))))))),IF(A84="每日跟踪",IF(OR(B84="",H84="",I84="",J84=""),"每日数据不完整",IF(COUNTIFS($A$2:$A$497,"每日跟踪",$B$2:$B$497,B84,$H$2:$H$497,H84)&gt;1,"同一交易日期重复",IF(AND(R84&lt;&gt;"",R84&lt;S84),"人工止损无效：不能下调","跟踪有效"))),"记录类型无效")))</f>
        <v/>
      </c>
    </row>
    <row r="85" ht="17" spans="1:29">
      <c r="A85" s="2"/>
      <c r="B85" s="2"/>
      <c r="C85" s="8" t="str">
        <f>IF(B85="","",IFERROR(LOOKUP(2,1/(单次交易!$A$2:$A$201=B85),单次交易!$B$2:$B$201),""))</f>
        <v/>
      </c>
      <c r="D85" s="12"/>
      <c r="E85" s="10"/>
      <c r="F85" s="10"/>
      <c r="G85" s="2"/>
      <c r="H85" s="15"/>
      <c r="I85" s="10"/>
      <c r="J85" s="12"/>
      <c r="K85" s="2"/>
      <c r="L85" s="2"/>
      <c r="M85" s="2"/>
      <c r="N85" s="5" t="str">
        <f>IF(B85="","",IFERROR(LOOKUP(2,1/(单次交易!$A$2:$A$201=B85),单次交易!$N$2:$N$201),""))</f>
        <v/>
      </c>
      <c r="O85" s="5" t="str">
        <f t="shared" si="9"/>
        <v/>
      </c>
      <c r="P85" s="11" t="str">
        <f t="shared" si="10"/>
        <v/>
      </c>
      <c r="Q85" s="5" t="str">
        <f t="shared" si="11"/>
        <v/>
      </c>
      <c r="R85" s="10"/>
      <c r="S85" s="5" t="str">
        <f t="shared" si="12"/>
        <v/>
      </c>
      <c r="T85" s="5" t="str">
        <f t="shared" si="13"/>
        <v/>
      </c>
      <c r="U85" s="5" t="str">
        <f t="shared" si="14"/>
        <v/>
      </c>
      <c r="V85" s="7" t="str">
        <f t="shared" si="15"/>
        <v/>
      </c>
      <c r="W85" s="8" t="str">
        <f t="shared" si="16"/>
        <v/>
      </c>
      <c r="X85" s="2"/>
      <c r="Y85" s="10"/>
      <c r="Z85" s="11" t="str">
        <f>IF(X85&lt;&gt;"执行卖出","",IFERROR(LOOKUP(2,1/(单次交易!$A$2:$A$201=B85),单次交易!$AP$2:$AP$201),""))</f>
        <v/>
      </c>
      <c r="AA85" s="10"/>
      <c r="AB85" s="8" t="str">
        <f t="shared" si="17"/>
        <v/>
      </c>
      <c r="AC85" s="8" t="str">
        <f>IF(A85="","",IF(A85="止损计划",IF(OR(B85="",D85="",E85="",F85="",G85=""),"计划不完整",IF(OR(D85&lt;1,D85&lt;&gt;INT(D85)),"阶段序号无效",IF(COUNTIFS($A$2:$A$497,"止损计划",$B$2:$B$497,B85,$D$2:$D$497,D85)&gt;1,"阶段序号重复",IF(E85&lt;=IFERROR(LOOKUP(2,1/(单次交易!$A$2:$A$201=B85),单次交易!$E$2:$E$201),0),"激活价须高于买入价",IF(F85&lt;N85,"止损价不得低于初始止损",IF(F85&gt;E85,"止损价不得高于激活价",IF(AND(COUNTIFS($A$2:$A$497,"止损计划",$B$2:$B$497,B85,$D$2:$D$497,"&lt;"&amp;D85)&gt;0,OR(E85&lt;=SUMPRODUCT(MAX((($A$2:$A$497="止损计划")*($B$2:$B$497=B85)*($D$2:$D$497&lt;D85))*$E$2:$E$497)),F85&lt;SUMPRODUCT(MAX((($A$2:$A$497="止损计划")*($B$2:$B$497=B85)*($D$2:$D$497&lt;D85))*$F$2:$F$497)))),"阶段价格必须逐级提高","计划有效"))))))),IF(A85="每日跟踪",IF(OR(B85="",H85="",I85="",J85=""),"每日数据不完整",IF(COUNTIFS($A$2:$A$497,"每日跟踪",$B$2:$B$497,B85,$H$2:$H$497,H85)&gt;1,"同一交易日期重复",IF(AND(R85&lt;&gt;"",R85&lt;S85),"人工止损无效：不能下调","跟踪有效"))),"记录类型无效")))</f>
        <v/>
      </c>
    </row>
    <row r="86" ht="17" spans="1:29">
      <c r="A86" s="2"/>
      <c r="B86" s="2"/>
      <c r="C86" s="8" t="str">
        <f>IF(B86="","",IFERROR(LOOKUP(2,1/(单次交易!$A$2:$A$201=B86),单次交易!$B$2:$B$201),""))</f>
        <v/>
      </c>
      <c r="D86" s="12"/>
      <c r="E86" s="10"/>
      <c r="F86" s="10"/>
      <c r="G86" s="2"/>
      <c r="H86" s="15"/>
      <c r="I86" s="10"/>
      <c r="J86" s="12"/>
      <c r="K86" s="2"/>
      <c r="L86" s="2"/>
      <c r="M86" s="2"/>
      <c r="N86" s="5" t="str">
        <f>IF(B86="","",IFERROR(LOOKUP(2,1/(单次交易!$A$2:$A$201=B86),单次交易!$N$2:$N$201),""))</f>
        <v/>
      </c>
      <c r="O86" s="5" t="str">
        <f t="shared" si="9"/>
        <v/>
      </c>
      <c r="P86" s="11" t="str">
        <f t="shared" si="10"/>
        <v/>
      </c>
      <c r="Q86" s="5" t="str">
        <f t="shared" si="11"/>
        <v/>
      </c>
      <c r="R86" s="10"/>
      <c r="S86" s="5" t="str">
        <f t="shared" si="12"/>
        <v/>
      </c>
      <c r="T86" s="5" t="str">
        <f t="shared" si="13"/>
        <v/>
      </c>
      <c r="U86" s="5" t="str">
        <f t="shared" si="14"/>
        <v/>
      </c>
      <c r="V86" s="7" t="str">
        <f t="shared" si="15"/>
        <v/>
      </c>
      <c r="W86" s="8" t="str">
        <f t="shared" si="16"/>
        <v/>
      </c>
      <c r="X86" s="2"/>
      <c r="Y86" s="10"/>
      <c r="Z86" s="11" t="str">
        <f>IF(X86&lt;&gt;"执行卖出","",IFERROR(LOOKUP(2,1/(单次交易!$A$2:$A$201=B86),单次交易!$AP$2:$AP$201),""))</f>
        <v/>
      </c>
      <c r="AA86" s="10"/>
      <c r="AB86" s="8" t="str">
        <f t="shared" si="17"/>
        <v/>
      </c>
      <c r="AC86" s="8" t="str">
        <f>IF(A86="","",IF(A86="止损计划",IF(OR(B86="",D86="",E86="",F86="",G86=""),"计划不完整",IF(OR(D86&lt;1,D86&lt;&gt;INT(D86)),"阶段序号无效",IF(COUNTIFS($A$2:$A$497,"止损计划",$B$2:$B$497,B86,$D$2:$D$497,D86)&gt;1,"阶段序号重复",IF(E86&lt;=IFERROR(LOOKUP(2,1/(单次交易!$A$2:$A$201=B86),单次交易!$E$2:$E$201),0),"激活价须高于买入价",IF(F86&lt;N86,"止损价不得低于初始止损",IF(F86&gt;E86,"止损价不得高于激活价",IF(AND(COUNTIFS($A$2:$A$497,"止损计划",$B$2:$B$497,B86,$D$2:$D$497,"&lt;"&amp;D86)&gt;0,OR(E86&lt;=SUMPRODUCT(MAX((($A$2:$A$497="止损计划")*($B$2:$B$497=B86)*($D$2:$D$497&lt;D86))*$E$2:$E$497)),F86&lt;SUMPRODUCT(MAX((($A$2:$A$497="止损计划")*($B$2:$B$497=B86)*($D$2:$D$497&lt;D86))*$F$2:$F$497)))),"阶段价格必须逐级提高","计划有效"))))))),IF(A86="每日跟踪",IF(OR(B86="",H86="",I86="",J86=""),"每日数据不完整",IF(COUNTIFS($A$2:$A$497,"每日跟踪",$B$2:$B$497,B86,$H$2:$H$497,H86)&gt;1,"同一交易日期重复",IF(AND(R86&lt;&gt;"",R86&lt;S86),"人工止损无效：不能下调","跟踪有效"))),"记录类型无效")))</f>
        <v/>
      </c>
    </row>
    <row r="87" ht="17" spans="1:29">
      <c r="A87" s="2"/>
      <c r="B87" s="2"/>
      <c r="C87" s="8" t="str">
        <f>IF(B87="","",IFERROR(LOOKUP(2,1/(单次交易!$A$2:$A$201=B87),单次交易!$B$2:$B$201),""))</f>
        <v/>
      </c>
      <c r="D87" s="12"/>
      <c r="E87" s="10"/>
      <c r="F87" s="10"/>
      <c r="G87" s="2"/>
      <c r="H87" s="15"/>
      <c r="I87" s="10"/>
      <c r="J87" s="12"/>
      <c r="K87" s="2"/>
      <c r="L87" s="2"/>
      <c r="M87" s="2"/>
      <c r="N87" s="5" t="str">
        <f>IF(B87="","",IFERROR(LOOKUP(2,1/(单次交易!$A$2:$A$201=B87),单次交易!$N$2:$N$201),""))</f>
        <v/>
      </c>
      <c r="O87" s="5" t="str">
        <f t="shared" si="9"/>
        <v/>
      </c>
      <c r="P87" s="11" t="str">
        <f t="shared" si="10"/>
        <v/>
      </c>
      <c r="Q87" s="5" t="str">
        <f t="shared" si="11"/>
        <v/>
      </c>
      <c r="R87" s="10"/>
      <c r="S87" s="5" t="str">
        <f t="shared" si="12"/>
        <v/>
      </c>
      <c r="T87" s="5" t="str">
        <f t="shared" si="13"/>
        <v/>
      </c>
      <c r="U87" s="5" t="str">
        <f t="shared" si="14"/>
        <v/>
      </c>
      <c r="V87" s="7" t="str">
        <f t="shared" si="15"/>
        <v/>
      </c>
      <c r="W87" s="8" t="str">
        <f t="shared" si="16"/>
        <v/>
      </c>
      <c r="X87" s="2"/>
      <c r="Y87" s="10"/>
      <c r="Z87" s="11" t="str">
        <f>IF(X87&lt;&gt;"执行卖出","",IFERROR(LOOKUP(2,1/(单次交易!$A$2:$A$201=B87),单次交易!$AP$2:$AP$201),""))</f>
        <v/>
      </c>
      <c r="AA87" s="10"/>
      <c r="AB87" s="8" t="str">
        <f t="shared" si="17"/>
        <v/>
      </c>
      <c r="AC87" s="8" t="str">
        <f>IF(A87="","",IF(A87="止损计划",IF(OR(B87="",D87="",E87="",F87="",G87=""),"计划不完整",IF(OR(D87&lt;1,D87&lt;&gt;INT(D87)),"阶段序号无效",IF(COUNTIFS($A$2:$A$497,"止损计划",$B$2:$B$497,B87,$D$2:$D$497,D87)&gt;1,"阶段序号重复",IF(E87&lt;=IFERROR(LOOKUP(2,1/(单次交易!$A$2:$A$201=B87),单次交易!$E$2:$E$201),0),"激活价须高于买入价",IF(F87&lt;N87,"止损价不得低于初始止损",IF(F87&gt;E87,"止损价不得高于激活价",IF(AND(COUNTIFS($A$2:$A$497,"止损计划",$B$2:$B$497,B87,$D$2:$D$497,"&lt;"&amp;D87)&gt;0,OR(E87&lt;=SUMPRODUCT(MAX((($A$2:$A$497="止损计划")*($B$2:$B$497=B87)*($D$2:$D$497&lt;D87))*$E$2:$E$497)),F87&lt;SUMPRODUCT(MAX((($A$2:$A$497="止损计划")*($B$2:$B$497=B87)*($D$2:$D$497&lt;D87))*$F$2:$F$497)))),"阶段价格必须逐级提高","计划有效"))))))),IF(A87="每日跟踪",IF(OR(B87="",H87="",I87="",J87=""),"每日数据不完整",IF(COUNTIFS($A$2:$A$497,"每日跟踪",$B$2:$B$497,B87,$H$2:$H$497,H87)&gt;1,"同一交易日期重复",IF(AND(R87&lt;&gt;"",R87&lt;S87),"人工止损无效：不能下调","跟踪有效"))),"记录类型无效")))</f>
        <v/>
      </c>
    </row>
    <row r="88" ht="17" spans="1:29">
      <c r="A88" s="2"/>
      <c r="B88" s="2"/>
      <c r="C88" s="8" t="str">
        <f>IF(B88="","",IFERROR(LOOKUP(2,1/(单次交易!$A$2:$A$201=B88),单次交易!$B$2:$B$201),""))</f>
        <v/>
      </c>
      <c r="D88" s="12"/>
      <c r="E88" s="10"/>
      <c r="F88" s="10"/>
      <c r="G88" s="2"/>
      <c r="H88" s="15"/>
      <c r="I88" s="10"/>
      <c r="J88" s="12"/>
      <c r="K88" s="2"/>
      <c r="L88" s="2"/>
      <c r="M88" s="2"/>
      <c r="N88" s="5" t="str">
        <f>IF(B88="","",IFERROR(LOOKUP(2,1/(单次交易!$A$2:$A$201=B88),单次交易!$N$2:$N$201),""))</f>
        <v/>
      </c>
      <c r="O88" s="5" t="str">
        <f t="shared" si="9"/>
        <v/>
      </c>
      <c r="P88" s="11" t="str">
        <f t="shared" si="10"/>
        <v/>
      </c>
      <c r="Q88" s="5" t="str">
        <f t="shared" si="11"/>
        <v/>
      </c>
      <c r="R88" s="10"/>
      <c r="S88" s="5" t="str">
        <f t="shared" si="12"/>
        <v/>
      </c>
      <c r="T88" s="5" t="str">
        <f t="shared" si="13"/>
        <v/>
      </c>
      <c r="U88" s="5" t="str">
        <f t="shared" si="14"/>
        <v/>
      </c>
      <c r="V88" s="7" t="str">
        <f t="shared" si="15"/>
        <v/>
      </c>
      <c r="W88" s="8" t="str">
        <f t="shared" si="16"/>
        <v/>
      </c>
      <c r="X88" s="2"/>
      <c r="Y88" s="10"/>
      <c r="Z88" s="11" t="str">
        <f>IF(X88&lt;&gt;"执行卖出","",IFERROR(LOOKUP(2,1/(单次交易!$A$2:$A$201=B88),单次交易!$AP$2:$AP$201),""))</f>
        <v/>
      </c>
      <c r="AA88" s="10"/>
      <c r="AB88" s="8" t="str">
        <f t="shared" si="17"/>
        <v/>
      </c>
      <c r="AC88" s="8" t="str">
        <f>IF(A88="","",IF(A88="止损计划",IF(OR(B88="",D88="",E88="",F88="",G88=""),"计划不完整",IF(OR(D88&lt;1,D88&lt;&gt;INT(D88)),"阶段序号无效",IF(COUNTIFS($A$2:$A$497,"止损计划",$B$2:$B$497,B88,$D$2:$D$497,D88)&gt;1,"阶段序号重复",IF(E88&lt;=IFERROR(LOOKUP(2,1/(单次交易!$A$2:$A$201=B88),单次交易!$E$2:$E$201),0),"激活价须高于买入价",IF(F88&lt;N88,"止损价不得低于初始止损",IF(F88&gt;E88,"止损价不得高于激活价",IF(AND(COUNTIFS($A$2:$A$497,"止损计划",$B$2:$B$497,B88,$D$2:$D$497,"&lt;"&amp;D88)&gt;0,OR(E88&lt;=SUMPRODUCT(MAX((($A$2:$A$497="止损计划")*($B$2:$B$497=B88)*($D$2:$D$497&lt;D88))*$E$2:$E$497)),F88&lt;SUMPRODUCT(MAX((($A$2:$A$497="止损计划")*($B$2:$B$497=B88)*($D$2:$D$497&lt;D88))*$F$2:$F$497)))),"阶段价格必须逐级提高","计划有效"))))))),IF(A88="每日跟踪",IF(OR(B88="",H88="",I88="",J88=""),"每日数据不完整",IF(COUNTIFS($A$2:$A$497,"每日跟踪",$B$2:$B$497,B88,$H$2:$H$497,H88)&gt;1,"同一交易日期重复",IF(AND(R88&lt;&gt;"",R88&lt;S88),"人工止损无效：不能下调","跟踪有效"))),"记录类型无效")))</f>
        <v/>
      </c>
    </row>
    <row r="89" ht="17" spans="1:29">
      <c r="A89" s="2"/>
      <c r="B89" s="2"/>
      <c r="C89" s="8" t="str">
        <f>IF(B89="","",IFERROR(LOOKUP(2,1/(单次交易!$A$2:$A$201=B89),单次交易!$B$2:$B$201),""))</f>
        <v/>
      </c>
      <c r="D89" s="12"/>
      <c r="E89" s="10"/>
      <c r="F89" s="10"/>
      <c r="G89" s="2"/>
      <c r="H89" s="15"/>
      <c r="I89" s="10"/>
      <c r="J89" s="12"/>
      <c r="K89" s="2"/>
      <c r="L89" s="2"/>
      <c r="M89" s="2"/>
      <c r="N89" s="5" t="str">
        <f>IF(B89="","",IFERROR(LOOKUP(2,1/(单次交易!$A$2:$A$201=B89),单次交易!$N$2:$N$201),""))</f>
        <v/>
      </c>
      <c r="O89" s="5" t="str">
        <f t="shared" si="9"/>
        <v/>
      </c>
      <c r="P89" s="11" t="str">
        <f t="shared" si="10"/>
        <v/>
      </c>
      <c r="Q89" s="5" t="str">
        <f t="shared" si="11"/>
        <v/>
      </c>
      <c r="R89" s="10"/>
      <c r="S89" s="5" t="str">
        <f t="shared" si="12"/>
        <v/>
      </c>
      <c r="T89" s="5" t="str">
        <f t="shared" si="13"/>
        <v/>
      </c>
      <c r="U89" s="5" t="str">
        <f t="shared" si="14"/>
        <v/>
      </c>
      <c r="V89" s="7" t="str">
        <f t="shared" si="15"/>
        <v/>
      </c>
      <c r="W89" s="8" t="str">
        <f t="shared" si="16"/>
        <v/>
      </c>
      <c r="X89" s="2"/>
      <c r="Y89" s="10"/>
      <c r="Z89" s="11" t="str">
        <f>IF(X89&lt;&gt;"执行卖出","",IFERROR(LOOKUP(2,1/(单次交易!$A$2:$A$201=B89),单次交易!$AP$2:$AP$201),""))</f>
        <v/>
      </c>
      <c r="AA89" s="10"/>
      <c r="AB89" s="8" t="str">
        <f t="shared" si="17"/>
        <v/>
      </c>
      <c r="AC89" s="8" t="str">
        <f>IF(A89="","",IF(A89="止损计划",IF(OR(B89="",D89="",E89="",F89="",G89=""),"计划不完整",IF(OR(D89&lt;1,D89&lt;&gt;INT(D89)),"阶段序号无效",IF(COUNTIFS($A$2:$A$497,"止损计划",$B$2:$B$497,B89,$D$2:$D$497,D89)&gt;1,"阶段序号重复",IF(E89&lt;=IFERROR(LOOKUP(2,1/(单次交易!$A$2:$A$201=B89),单次交易!$E$2:$E$201),0),"激活价须高于买入价",IF(F89&lt;N89,"止损价不得低于初始止损",IF(F89&gt;E89,"止损价不得高于激活价",IF(AND(COUNTIFS($A$2:$A$497,"止损计划",$B$2:$B$497,B89,$D$2:$D$497,"&lt;"&amp;D89)&gt;0,OR(E89&lt;=SUMPRODUCT(MAX((($A$2:$A$497="止损计划")*($B$2:$B$497=B89)*($D$2:$D$497&lt;D89))*$E$2:$E$497)),F89&lt;SUMPRODUCT(MAX((($A$2:$A$497="止损计划")*($B$2:$B$497=B89)*($D$2:$D$497&lt;D89))*$F$2:$F$497)))),"阶段价格必须逐级提高","计划有效"))))))),IF(A89="每日跟踪",IF(OR(B89="",H89="",I89="",J89=""),"每日数据不完整",IF(COUNTIFS($A$2:$A$497,"每日跟踪",$B$2:$B$497,B89,$H$2:$H$497,H89)&gt;1,"同一交易日期重复",IF(AND(R89&lt;&gt;"",R89&lt;S89),"人工止损无效：不能下调","跟踪有效"))),"记录类型无效")))</f>
        <v/>
      </c>
    </row>
    <row r="90" ht="17" spans="1:29">
      <c r="A90" s="2"/>
      <c r="B90" s="2"/>
      <c r="C90" s="8" t="str">
        <f>IF(B90="","",IFERROR(LOOKUP(2,1/(单次交易!$A$2:$A$201=B90),单次交易!$B$2:$B$201),""))</f>
        <v/>
      </c>
      <c r="D90" s="12"/>
      <c r="E90" s="10"/>
      <c r="F90" s="10"/>
      <c r="G90" s="2"/>
      <c r="H90" s="15"/>
      <c r="I90" s="10"/>
      <c r="J90" s="12"/>
      <c r="K90" s="2"/>
      <c r="L90" s="2"/>
      <c r="M90" s="2"/>
      <c r="N90" s="5" t="str">
        <f>IF(B90="","",IFERROR(LOOKUP(2,1/(单次交易!$A$2:$A$201=B90),单次交易!$N$2:$N$201),""))</f>
        <v/>
      </c>
      <c r="O90" s="5" t="str">
        <f t="shared" si="9"/>
        <v/>
      </c>
      <c r="P90" s="11" t="str">
        <f t="shared" si="10"/>
        <v/>
      </c>
      <c r="Q90" s="5" t="str">
        <f t="shared" si="11"/>
        <v/>
      </c>
      <c r="R90" s="10"/>
      <c r="S90" s="5" t="str">
        <f t="shared" si="12"/>
        <v/>
      </c>
      <c r="T90" s="5" t="str">
        <f t="shared" si="13"/>
        <v/>
      </c>
      <c r="U90" s="5" t="str">
        <f t="shared" si="14"/>
        <v/>
      </c>
      <c r="V90" s="7" t="str">
        <f t="shared" si="15"/>
        <v/>
      </c>
      <c r="W90" s="8" t="str">
        <f t="shared" si="16"/>
        <v/>
      </c>
      <c r="X90" s="2"/>
      <c r="Y90" s="10"/>
      <c r="Z90" s="11" t="str">
        <f>IF(X90&lt;&gt;"执行卖出","",IFERROR(LOOKUP(2,1/(单次交易!$A$2:$A$201=B90),单次交易!$AP$2:$AP$201),""))</f>
        <v/>
      </c>
      <c r="AA90" s="10"/>
      <c r="AB90" s="8" t="str">
        <f t="shared" si="17"/>
        <v/>
      </c>
      <c r="AC90" s="8" t="str">
        <f>IF(A90="","",IF(A90="止损计划",IF(OR(B90="",D90="",E90="",F90="",G90=""),"计划不完整",IF(OR(D90&lt;1,D90&lt;&gt;INT(D90)),"阶段序号无效",IF(COUNTIFS($A$2:$A$497,"止损计划",$B$2:$B$497,B90,$D$2:$D$497,D90)&gt;1,"阶段序号重复",IF(E90&lt;=IFERROR(LOOKUP(2,1/(单次交易!$A$2:$A$201=B90),单次交易!$E$2:$E$201),0),"激活价须高于买入价",IF(F90&lt;N90,"止损价不得低于初始止损",IF(F90&gt;E90,"止损价不得高于激活价",IF(AND(COUNTIFS($A$2:$A$497,"止损计划",$B$2:$B$497,B90,$D$2:$D$497,"&lt;"&amp;D90)&gt;0,OR(E90&lt;=SUMPRODUCT(MAX((($A$2:$A$497="止损计划")*($B$2:$B$497=B90)*($D$2:$D$497&lt;D90))*$E$2:$E$497)),F90&lt;SUMPRODUCT(MAX((($A$2:$A$497="止损计划")*($B$2:$B$497=B90)*($D$2:$D$497&lt;D90))*$F$2:$F$497)))),"阶段价格必须逐级提高","计划有效"))))))),IF(A90="每日跟踪",IF(OR(B90="",H90="",I90="",J90=""),"每日数据不完整",IF(COUNTIFS($A$2:$A$497,"每日跟踪",$B$2:$B$497,B90,$H$2:$H$497,H90)&gt;1,"同一交易日期重复",IF(AND(R90&lt;&gt;"",R90&lt;S90),"人工止损无效：不能下调","跟踪有效"))),"记录类型无效")))</f>
        <v/>
      </c>
    </row>
    <row r="91" ht="17" spans="1:29">
      <c r="A91" s="2"/>
      <c r="B91" s="2"/>
      <c r="C91" s="8" t="str">
        <f>IF(B91="","",IFERROR(LOOKUP(2,1/(单次交易!$A$2:$A$201=B91),单次交易!$B$2:$B$201),""))</f>
        <v/>
      </c>
      <c r="D91" s="12"/>
      <c r="E91" s="10"/>
      <c r="F91" s="10"/>
      <c r="G91" s="2"/>
      <c r="H91" s="15"/>
      <c r="I91" s="10"/>
      <c r="J91" s="12"/>
      <c r="K91" s="2"/>
      <c r="L91" s="2"/>
      <c r="M91" s="2"/>
      <c r="N91" s="5" t="str">
        <f>IF(B91="","",IFERROR(LOOKUP(2,1/(单次交易!$A$2:$A$201=B91),单次交易!$N$2:$N$201),""))</f>
        <v/>
      </c>
      <c r="O91" s="5" t="str">
        <f t="shared" si="9"/>
        <v/>
      </c>
      <c r="P91" s="11" t="str">
        <f t="shared" si="10"/>
        <v/>
      </c>
      <c r="Q91" s="5" t="str">
        <f t="shared" si="11"/>
        <v/>
      </c>
      <c r="R91" s="10"/>
      <c r="S91" s="5" t="str">
        <f t="shared" si="12"/>
        <v/>
      </c>
      <c r="T91" s="5" t="str">
        <f t="shared" si="13"/>
        <v/>
      </c>
      <c r="U91" s="5" t="str">
        <f t="shared" si="14"/>
        <v/>
      </c>
      <c r="V91" s="7" t="str">
        <f t="shared" si="15"/>
        <v/>
      </c>
      <c r="W91" s="8" t="str">
        <f t="shared" si="16"/>
        <v/>
      </c>
      <c r="X91" s="2"/>
      <c r="Y91" s="10"/>
      <c r="Z91" s="11" t="str">
        <f>IF(X91&lt;&gt;"执行卖出","",IFERROR(LOOKUP(2,1/(单次交易!$A$2:$A$201=B91),单次交易!$AP$2:$AP$201),""))</f>
        <v/>
      </c>
      <c r="AA91" s="10"/>
      <c r="AB91" s="8" t="str">
        <f t="shared" si="17"/>
        <v/>
      </c>
      <c r="AC91" s="8" t="str">
        <f>IF(A91="","",IF(A91="止损计划",IF(OR(B91="",D91="",E91="",F91="",G91=""),"计划不完整",IF(OR(D91&lt;1,D91&lt;&gt;INT(D91)),"阶段序号无效",IF(COUNTIFS($A$2:$A$497,"止损计划",$B$2:$B$497,B91,$D$2:$D$497,D91)&gt;1,"阶段序号重复",IF(E91&lt;=IFERROR(LOOKUP(2,1/(单次交易!$A$2:$A$201=B91),单次交易!$E$2:$E$201),0),"激活价须高于买入价",IF(F91&lt;N91,"止损价不得低于初始止损",IF(F91&gt;E91,"止损价不得高于激活价",IF(AND(COUNTIFS($A$2:$A$497,"止损计划",$B$2:$B$497,B91,$D$2:$D$497,"&lt;"&amp;D91)&gt;0,OR(E91&lt;=SUMPRODUCT(MAX((($A$2:$A$497="止损计划")*($B$2:$B$497=B91)*($D$2:$D$497&lt;D91))*$E$2:$E$497)),F91&lt;SUMPRODUCT(MAX((($A$2:$A$497="止损计划")*($B$2:$B$497=B91)*($D$2:$D$497&lt;D91))*$F$2:$F$497)))),"阶段价格必须逐级提高","计划有效"))))))),IF(A91="每日跟踪",IF(OR(B91="",H91="",I91="",J91=""),"每日数据不完整",IF(COUNTIFS($A$2:$A$497,"每日跟踪",$B$2:$B$497,B91,$H$2:$H$497,H91)&gt;1,"同一交易日期重复",IF(AND(R91&lt;&gt;"",R91&lt;S91),"人工止损无效：不能下调","跟踪有效"))),"记录类型无效")))</f>
        <v/>
      </c>
    </row>
    <row r="92" ht="17" spans="1:29">
      <c r="A92" s="2"/>
      <c r="B92" s="2"/>
      <c r="C92" s="8" t="str">
        <f>IF(B92="","",IFERROR(LOOKUP(2,1/(单次交易!$A$2:$A$201=B92),单次交易!$B$2:$B$201),""))</f>
        <v/>
      </c>
      <c r="D92" s="12"/>
      <c r="E92" s="10"/>
      <c r="F92" s="10"/>
      <c r="G92" s="2"/>
      <c r="H92" s="15"/>
      <c r="I92" s="10"/>
      <c r="J92" s="12"/>
      <c r="K92" s="2"/>
      <c r="L92" s="2"/>
      <c r="M92" s="2"/>
      <c r="N92" s="5" t="str">
        <f>IF(B92="","",IFERROR(LOOKUP(2,1/(单次交易!$A$2:$A$201=B92),单次交易!$N$2:$N$201),""))</f>
        <v/>
      </c>
      <c r="O92" s="5" t="str">
        <f t="shared" si="9"/>
        <v/>
      </c>
      <c r="P92" s="11" t="str">
        <f t="shared" si="10"/>
        <v/>
      </c>
      <c r="Q92" s="5" t="str">
        <f t="shared" si="11"/>
        <v/>
      </c>
      <c r="R92" s="10"/>
      <c r="S92" s="5" t="str">
        <f t="shared" si="12"/>
        <v/>
      </c>
      <c r="T92" s="5" t="str">
        <f t="shared" si="13"/>
        <v/>
      </c>
      <c r="U92" s="5" t="str">
        <f t="shared" si="14"/>
        <v/>
      </c>
      <c r="V92" s="7" t="str">
        <f t="shared" si="15"/>
        <v/>
      </c>
      <c r="W92" s="8" t="str">
        <f t="shared" si="16"/>
        <v/>
      </c>
      <c r="X92" s="2"/>
      <c r="Y92" s="10"/>
      <c r="Z92" s="11" t="str">
        <f>IF(X92&lt;&gt;"执行卖出","",IFERROR(LOOKUP(2,1/(单次交易!$A$2:$A$201=B92),单次交易!$AP$2:$AP$201),""))</f>
        <v/>
      </c>
      <c r="AA92" s="10"/>
      <c r="AB92" s="8" t="str">
        <f t="shared" si="17"/>
        <v/>
      </c>
      <c r="AC92" s="8" t="str">
        <f>IF(A92="","",IF(A92="止损计划",IF(OR(B92="",D92="",E92="",F92="",G92=""),"计划不完整",IF(OR(D92&lt;1,D92&lt;&gt;INT(D92)),"阶段序号无效",IF(COUNTIFS($A$2:$A$497,"止损计划",$B$2:$B$497,B92,$D$2:$D$497,D92)&gt;1,"阶段序号重复",IF(E92&lt;=IFERROR(LOOKUP(2,1/(单次交易!$A$2:$A$201=B92),单次交易!$E$2:$E$201),0),"激活价须高于买入价",IF(F92&lt;N92,"止损价不得低于初始止损",IF(F92&gt;E92,"止损价不得高于激活价",IF(AND(COUNTIFS($A$2:$A$497,"止损计划",$B$2:$B$497,B92,$D$2:$D$497,"&lt;"&amp;D92)&gt;0,OR(E92&lt;=SUMPRODUCT(MAX((($A$2:$A$497="止损计划")*($B$2:$B$497=B92)*($D$2:$D$497&lt;D92))*$E$2:$E$497)),F92&lt;SUMPRODUCT(MAX((($A$2:$A$497="止损计划")*($B$2:$B$497=B92)*($D$2:$D$497&lt;D92))*$F$2:$F$497)))),"阶段价格必须逐级提高","计划有效"))))))),IF(A92="每日跟踪",IF(OR(B92="",H92="",I92="",J92=""),"每日数据不完整",IF(COUNTIFS($A$2:$A$497,"每日跟踪",$B$2:$B$497,B92,$H$2:$H$497,H92)&gt;1,"同一交易日期重复",IF(AND(R92&lt;&gt;"",R92&lt;S92),"人工止损无效：不能下调","跟踪有效"))),"记录类型无效")))</f>
        <v/>
      </c>
    </row>
    <row r="93" ht="17" spans="1:29">
      <c r="A93" s="2"/>
      <c r="B93" s="2"/>
      <c r="C93" s="8" t="str">
        <f>IF(B93="","",IFERROR(LOOKUP(2,1/(单次交易!$A$2:$A$201=B93),单次交易!$B$2:$B$201),""))</f>
        <v/>
      </c>
      <c r="D93" s="12"/>
      <c r="E93" s="10"/>
      <c r="F93" s="10"/>
      <c r="G93" s="2"/>
      <c r="H93" s="15"/>
      <c r="I93" s="10"/>
      <c r="J93" s="12"/>
      <c r="K93" s="2"/>
      <c r="L93" s="2"/>
      <c r="M93" s="2"/>
      <c r="N93" s="5" t="str">
        <f>IF(B93="","",IFERROR(LOOKUP(2,1/(单次交易!$A$2:$A$201=B93),单次交易!$N$2:$N$201),""))</f>
        <v/>
      </c>
      <c r="O93" s="5" t="str">
        <f t="shared" si="9"/>
        <v/>
      </c>
      <c r="P93" s="11" t="str">
        <f t="shared" si="10"/>
        <v/>
      </c>
      <c r="Q93" s="5" t="str">
        <f t="shared" si="11"/>
        <v/>
      </c>
      <c r="R93" s="10"/>
      <c r="S93" s="5" t="str">
        <f t="shared" si="12"/>
        <v/>
      </c>
      <c r="T93" s="5" t="str">
        <f t="shared" si="13"/>
        <v/>
      </c>
      <c r="U93" s="5" t="str">
        <f t="shared" si="14"/>
        <v/>
      </c>
      <c r="V93" s="7" t="str">
        <f t="shared" si="15"/>
        <v/>
      </c>
      <c r="W93" s="8" t="str">
        <f t="shared" si="16"/>
        <v/>
      </c>
      <c r="X93" s="2"/>
      <c r="Y93" s="10"/>
      <c r="Z93" s="11" t="str">
        <f>IF(X93&lt;&gt;"执行卖出","",IFERROR(LOOKUP(2,1/(单次交易!$A$2:$A$201=B93),单次交易!$AP$2:$AP$201),""))</f>
        <v/>
      </c>
      <c r="AA93" s="10"/>
      <c r="AB93" s="8" t="str">
        <f t="shared" si="17"/>
        <v/>
      </c>
      <c r="AC93" s="8" t="str">
        <f>IF(A93="","",IF(A93="止损计划",IF(OR(B93="",D93="",E93="",F93="",G93=""),"计划不完整",IF(OR(D93&lt;1,D93&lt;&gt;INT(D93)),"阶段序号无效",IF(COUNTIFS($A$2:$A$497,"止损计划",$B$2:$B$497,B93,$D$2:$D$497,D93)&gt;1,"阶段序号重复",IF(E93&lt;=IFERROR(LOOKUP(2,1/(单次交易!$A$2:$A$201=B93),单次交易!$E$2:$E$201),0),"激活价须高于买入价",IF(F93&lt;N93,"止损价不得低于初始止损",IF(F93&gt;E93,"止损价不得高于激活价",IF(AND(COUNTIFS($A$2:$A$497,"止损计划",$B$2:$B$497,B93,$D$2:$D$497,"&lt;"&amp;D93)&gt;0,OR(E93&lt;=SUMPRODUCT(MAX((($A$2:$A$497="止损计划")*($B$2:$B$497=B93)*($D$2:$D$497&lt;D93))*$E$2:$E$497)),F93&lt;SUMPRODUCT(MAX((($A$2:$A$497="止损计划")*($B$2:$B$497=B93)*($D$2:$D$497&lt;D93))*$F$2:$F$497)))),"阶段价格必须逐级提高","计划有效"))))))),IF(A93="每日跟踪",IF(OR(B93="",H93="",I93="",J93=""),"每日数据不完整",IF(COUNTIFS($A$2:$A$497,"每日跟踪",$B$2:$B$497,B93,$H$2:$H$497,H93)&gt;1,"同一交易日期重复",IF(AND(R93&lt;&gt;"",R93&lt;S93),"人工止损无效：不能下调","跟踪有效"))),"记录类型无效")))</f>
        <v/>
      </c>
    </row>
    <row r="94" ht="17" spans="1:29">
      <c r="A94" s="2"/>
      <c r="B94" s="2"/>
      <c r="C94" s="8" t="str">
        <f>IF(B94="","",IFERROR(LOOKUP(2,1/(单次交易!$A$2:$A$201=B94),单次交易!$B$2:$B$201),""))</f>
        <v/>
      </c>
      <c r="D94" s="12"/>
      <c r="E94" s="10"/>
      <c r="F94" s="10"/>
      <c r="G94" s="2"/>
      <c r="H94" s="15"/>
      <c r="I94" s="10"/>
      <c r="J94" s="12"/>
      <c r="K94" s="2"/>
      <c r="L94" s="2"/>
      <c r="M94" s="2"/>
      <c r="N94" s="5" t="str">
        <f>IF(B94="","",IFERROR(LOOKUP(2,1/(单次交易!$A$2:$A$201=B94),单次交易!$N$2:$N$201),""))</f>
        <v/>
      </c>
      <c r="O94" s="5" t="str">
        <f t="shared" si="9"/>
        <v/>
      </c>
      <c r="P94" s="11" t="str">
        <f t="shared" si="10"/>
        <v/>
      </c>
      <c r="Q94" s="5" t="str">
        <f t="shared" si="11"/>
        <v/>
      </c>
      <c r="R94" s="10"/>
      <c r="S94" s="5" t="str">
        <f t="shared" si="12"/>
        <v/>
      </c>
      <c r="T94" s="5" t="str">
        <f t="shared" si="13"/>
        <v/>
      </c>
      <c r="U94" s="5" t="str">
        <f t="shared" si="14"/>
        <v/>
      </c>
      <c r="V94" s="7" t="str">
        <f t="shared" si="15"/>
        <v/>
      </c>
      <c r="W94" s="8" t="str">
        <f t="shared" si="16"/>
        <v/>
      </c>
      <c r="X94" s="2"/>
      <c r="Y94" s="10"/>
      <c r="Z94" s="11" t="str">
        <f>IF(X94&lt;&gt;"执行卖出","",IFERROR(LOOKUP(2,1/(单次交易!$A$2:$A$201=B94),单次交易!$AP$2:$AP$201),""))</f>
        <v/>
      </c>
      <c r="AA94" s="10"/>
      <c r="AB94" s="8" t="str">
        <f t="shared" si="17"/>
        <v/>
      </c>
      <c r="AC94" s="8" t="str">
        <f>IF(A94="","",IF(A94="止损计划",IF(OR(B94="",D94="",E94="",F94="",G94=""),"计划不完整",IF(OR(D94&lt;1,D94&lt;&gt;INT(D94)),"阶段序号无效",IF(COUNTIFS($A$2:$A$497,"止损计划",$B$2:$B$497,B94,$D$2:$D$497,D94)&gt;1,"阶段序号重复",IF(E94&lt;=IFERROR(LOOKUP(2,1/(单次交易!$A$2:$A$201=B94),单次交易!$E$2:$E$201),0),"激活价须高于买入价",IF(F94&lt;N94,"止损价不得低于初始止损",IF(F94&gt;E94,"止损价不得高于激活价",IF(AND(COUNTIFS($A$2:$A$497,"止损计划",$B$2:$B$497,B94,$D$2:$D$497,"&lt;"&amp;D94)&gt;0,OR(E94&lt;=SUMPRODUCT(MAX((($A$2:$A$497="止损计划")*($B$2:$B$497=B94)*($D$2:$D$497&lt;D94))*$E$2:$E$497)),F94&lt;SUMPRODUCT(MAX((($A$2:$A$497="止损计划")*($B$2:$B$497=B94)*($D$2:$D$497&lt;D94))*$F$2:$F$497)))),"阶段价格必须逐级提高","计划有效"))))))),IF(A94="每日跟踪",IF(OR(B94="",H94="",I94="",J94=""),"每日数据不完整",IF(COUNTIFS($A$2:$A$497,"每日跟踪",$B$2:$B$497,B94,$H$2:$H$497,H94)&gt;1,"同一交易日期重复",IF(AND(R94&lt;&gt;"",R94&lt;S94),"人工止损无效：不能下调","跟踪有效"))),"记录类型无效")))</f>
        <v/>
      </c>
    </row>
    <row r="95" ht="17" spans="1:29">
      <c r="A95" s="2"/>
      <c r="B95" s="2"/>
      <c r="C95" s="8" t="str">
        <f>IF(B95="","",IFERROR(LOOKUP(2,1/(单次交易!$A$2:$A$201=B95),单次交易!$B$2:$B$201),""))</f>
        <v/>
      </c>
      <c r="D95" s="12"/>
      <c r="E95" s="10"/>
      <c r="F95" s="10"/>
      <c r="G95" s="2"/>
      <c r="H95" s="15"/>
      <c r="I95" s="10"/>
      <c r="J95" s="12"/>
      <c r="K95" s="2"/>
      <c r="L95" s="2"/>
      <c r="M95" s="2"/>
      <c r="N95" s="5" t="str">
        <f>IF(B95="","",IFERROR(LOOKUP(2,1/(单次交易!$A$2:$A$201=B95),单次交易!$N$2:$N$201),""))</f>
        <v/>
      </c>
      <c r="O95" s="5" t="str">
        <f t="shared" si="9"/>
        <v/>
      </c>
      <c r="P95" s="11" t="str">
        <f t="shared" si="10"/>
        <v/>
      </c>
      <c r="Q95" s="5" t="str">
        <f t="shared" si="11"/>
        <v/>
      </c>
      <c r="R95" s="10"/>
      <c r="S95" s="5" t="str">
        <f t="shared" si="12"/>
        <v/>
      </c>
      <c r="T95" s="5" t="str">
        <f t="shared" si="13"/>
        <v/>
      </c>
      <c r="U95" s="5" t="str">
        <f t="shared" si="14"/>
        <v/>
      </c>
      <c r="V95" s="7" t="str">
        <f t="shared" si="15"/>
        <v/>
      </c>
      <c r="W95" s="8" t="str">
        <f t="shared" si="16"/>
        <v/>
      </c>
      <c r="X95" s="2"/>
      <c r="Y95" s="10"/>
      <c r="Z95" s="11" t="str">
        <f>IF(X95&lt;&gt;"执行卖出","",IFERROR(LOOKUP(2,1/(单次交易!$A$2:$A$201=B95),单次交易!$AP$2:$AP$201),""))</f>
        <v/>
      </c>
      <c r="AA95" s="10"/>
      <c r="AB95" s="8" t="str">
        <f t="shared" si="17"/>
        <v/>
      </c>
      <c r="AC95" s="8" t="str">
        <f>IF(A95="","",IF(A95="止损计划",IF(OR(B95="",D95="",E95="",F95="",G95=""),"计划不完整",IF(OR(D95&lt;1,D95&lt;&gt;INT(D95)),"阶段序号无效",IF(COUNTIFS($A$2:$A$497,"止损计划",$B$2:$B$497,B95,$D$2:$D$497,D95)&gt;1,"阶段序号重复",IF(E95&lt;=IFERROR(LOOKUP(2,1/(单次交易!$A$2:$A$201=B95),单次交易!$E$2:$E$201),0),"激活价须高于买入价",IF(F95&lt;N95,"止损价不得低于初始止损",IF(F95&gt;E95,"止损价不得高于激活价",IF(AND(COUNTIFS($A$2:$A$497,"止损计划",$B$2:$B$497,B95,$D$2:$D$497,"&lt;"&amp;D95)&gt;0,OR(E95&lt;=SUMPRODUCT(MAX((($A$2:$A$497="止损计划")*($B$2:$B$497=B95)*($D$2:$D$497&lt;D95))*$E$2:$E$497)),F95&lt;SUMPRODUCT(MAX((($A$2:$A$497="止损计划")*($B$2:$B$497=B95)*($D$2:$D$497&lt;D95))*$F$2:$F$497)))),"阶段价格必须逐级提高","计划有效"))))))),IF(A95="每日跟踪",IF(OR(B95="",H95="",I95="",J95=""),"每日数据不完整",IF(COUNTIFS($A$2:$A$497,"每日跟踪",$B$2:$B$497,B95,$H$2:$H$497,H95)&gt;1,"同一交易日期重复",IF(AND(R95&lt;&gt;"",R95&lt;S95),"人工止损无效：不能下调","跟踪有效"))),"记录类型无效")))</f>
        <v/>
      </c>
    </row>
    <row r="96" ht="17" spans="1:29">
      <c r="A96" s="2"/>
      <c r="B96" s="2"/>
      <c r="C96" s="8" t="str">
        <f>IF(B96="","",IFERROR(LOOKUP(2,1/(单次交易!$A$2:$A$201=B96),单次交易!$B$2:$B$201),""))</f>
        <v/>
      </c>
      <c r="D96" s="12"/>
      <c r="E96" s="10"/>
      <c r="F96" s="10"/>
      <c r="G96" s="2"/>
      <c r="H96" s="15"/>
      <c r="I96" s="10"/>
      <c r="J96" s="12"/>
      <c r="K96" s="2"/>
      <c r="L96" s="2"/>
      <c r="M96" s="2"/>
      <c r="N96" s="5" t="str">
        <f>IF(B96="","",IFERROR(LOOKUP(2,1/(单次交易!$A$2:$A$201=B96),单次交易!$N$2:$N$201),""))</f>
        <v/>
      </c>
      <c r="O96" s="5" t="str">
        <f t="shared" si="9"/>
        <v/>
      </c>
      <c r="P96" s="11" t="str">
        <f t="shared" si="10"/>
        <v/>
      </c>
      <c r="Q96" s="5" t="str">
        <f t="shared" si="11"/>
        <v/>
      </c>
      <c r="R96" s="10"/>
      <c r="S96" s="5" t="str">
        <f t="shared" si="12"/>
        <v/>
      </c>
      <c r="T96" s="5" t="str">
        <f t="shared" si="13"/>
        <v/>
      </c>
      <c r="U96" s="5" t="str">
        <f t="shared" si="14"/>
        <v/>
      </c>
      <c r="V96" s="7" t="str">
        <f t="shared" si="15"/>
        <v/>
      </c>
      <c r="W96" s="8" t="str">
        <f t="shared" si="16"/>
        <v/>
      </c>
      <c r="X96" s="2"/>
      <c r="Y96" s="10"/>
      <c r="Z96" s="11" t="str">
        <f>IF(X96&lt;&gt;"执行卖出","",IFERROR(LOOKUP(2,1/(单次交易!$A$2:$A$201=B96),单次交易!$AP$2:$AP$201),""))</f>
        <v/>
      </c>
      <c r="AA96" s="10"/>
      <c r="AB96" s="8" t="str">
        <f t="shared" si="17"/>
        <v/>
      </c>
      <c r="AC96" s="8" t="str">
        <f>IF(A96="","",IF(A96="止损计划",IF(OR(B96="",D96="",E96="",F96="",G96=""),"计划不完整",IF(OR(D96&lt;1,D96&lt;&gt;INT(D96)),"阶段序号无效",IF(COUNTIFS($A$2:$A$497,"止损计划",$B$2:$B$497,B96,$D$2:$D$497,D96)&gt;1,"阶段序号重复",IF(E96&lt;=IFERROR(LOOKUP(2,1/(单次交易!$A$2:$A$201=B96),单次交易!$E$2:$E$201),0),"激活价须高于买入价",IF(F96&lt;N96,"止损价不得低于初始止损",IF(F96&gt;E96,"止损价不得高于激活价",IF(AND(COUNTIFS($A$2:$A$497,"止损计划",$B$2:$B$497,B96,$D$2:$D$497,"&lt;"&amp;D96)&gt;0,OR(E96&lt;=SUMPRODUCT(MAX((($A$2:$A$497="止损计划")*($B$2:$B$497=B96)*($D$2:$D$497&lt;D96))*$E$2:$E$497)),F96&lt;SUMPRODUCT(MAX((($A$2:$A$497="止损计划")*($B$2:$B$497=B96)*($D$2:$D$497&lt;D96))*$F$2:$F$497)))),"阶段价格必须逐级提高","计划有效"))))))),IF(A96="每日跟踪",IF(OR(B96="",H96="",I96="",J96=""),"每日数据不完整",IF(COUNTIFS($A$2:$A$497,"每日跟踪",$B$2:$B$497,B96,$H$2:$H$497,H96)&gt;1,"同一交易日期重复",IF(AND(R96&lt;&gt;"",R96&lt;S96),"人工止损无效：不能下调","跟踪有效"))),"记录类型无效")))</f>
        <v/>
      </c>
    </row>
    <row r="97" ht="17" spans="1:29">
      <c r="A97" s="2"/>
      <c r="B97" s="2"/>
      <c r="C97" s="8" t="str">
        <f>IF(B97="","",IFERROR(LOOKUP(2,1/(单次交易!$A$2:$A$201=B97),单次交易!$B$2:$B$201),""))</f>
        <v/>
      </c>
      <c r="D97" s="12"/>
      <c r="E97" s="10"/>
      <c r="F97" s="10"/>
      <c r="G97" s="2"/>
      <c r="H97" s="15"/>
      <c r="I97" s="10"/>
      <c r="J97" s="12"/>
      <c r="K97" s="2"/>
      <c r="L97" s="2"/>
      <c r="M97" s="2"/>
      <c r="N97" s="5" t="str">
        <f>IF(B97="","",IFERROR(LOOKUP(2,1/(单次交易!$A$2:$A$201=B97),单次交易!$N$2:$N$201),""))</f>
        <v/>
      </c>
      <c r="O97" s="5" t="str">
        <f t="shared" si="9"/>
        <v/>
      </c>
      <c r="P97" s="11" t="str">
        <f t="shared" si="10"/>
        <v/>
      </c>
      <c r="Q97" s="5" t="str">
        <f t="shared" si="11"/>
        <v/>
      </c>
      <c r="R97" s="10"/>
      <c r="S97" s="5" t="str">
        <f t="shared" si="12"/>
        <v/>
      </c>
      <c r="T97" s="5" t="str">
        <f t="shared" si="13"/>
        <v/>
      </c>
      <c r="U97" s="5" t="str">
        <f t="shared" si="14"/>
        <v/>
      </c>
      <c r="V97" s="7" t="str">
        <f t="shared" si="15"/>
        <v/>
      </c>
      <c r="W97" s="8" t="str">
        <f t="shared" si="16"/>
        <v/>
      </c>
      <c r="X97" s="2"/>
      <c r="Y97" s="10"/>
      <c r="Z97" s="11" t="str">
        <f>IF(X97&lt;&gt;"执行卖出","",IFERROR(LOOKUP(2,1/(单次交易!$A$2:$A$201=B97),单次交易!$AP$2:$AP$201),""))</f>
        <v/>
      </c>
      <c r="AA97" s="10"/>
      <c r="AB97" s="8" t="str">
        <f t="shared" si="17"/>
        <v/>
      </c>
      <c r="AC97" s="8" t="str">
        <f>IF(A97="","",IF(A97="止损计划",IF(OR(B97="",D97="",E97="",F97="",G97=""),"计划不完整",IF(OR(D97&lt;1,D97&lt;&gt;INT(D97)),"阶段序号无效",IF(COUNTIFS($A$2:$A$497,"止损计划",$B$2:$B$497,B97,$D$2:$D$497,D97)&gt;1,"阶段序号重复",IF(E97&lt;=IFERROR(LOOKUP(2,1/(单次交易!$A$2:$A$201=B97),单次交易!$E$2:$E$201),0),"激活价须高于买入价",IF(F97&lt;N97,"止损价不得低于初始止损",IF(F97&gt;E97,"止损价不得高于激活价",IF(AND(COUNTIFS($A$2:$A$497,"止损计划",$B$2:$B$497,B97,$D$2:$D$497,"&lt;"&amp;D97)&gt;0,OR(E97&lt;=SUMPRODUCT(MAX((($A$2:$A$497="止损计划")*($B$2:$B$497=B97)*($D$2:$D$497&lt;D97))*$E$2:$E$497)),F97&lt;SUMPRODUCT(MAX((($A$2:$A$497="止损计划")*($B$2:$B$497=B97)*($D$2:$D$497&lt;D97))*$F$2:$F$497)))),"阶段价格必须逐级提高","计划有效"))))))),IF(A97="每日跟踪",IF(OR(B97="",H97="",I97="",J97=""),"每日数据不完整",IF(COUNTIFS($A$2:$A$497,"每日跟踪",$B$2:$B$497,B97,$H$2:$H$497,H97)&gt;1,"同一交易日期重复",IF(AND(R97&lt;&gt;"",R97&lt;S97),"人工止损无效：不能下调","跟踪有效"))),"记录类型无效")))</f>
        <v/>
      </c>
    </row>
    <row r="98" ht="17" spans="1:29">
      <c r="A98" s="2"/>
      <c r="B98" s="2"/>
      <c r="C98" s="8" t="str">
        <f>IF(B98="","",IFERROR(LOOKUP(2,1/(单次交易!$A$2:$A$201=B98),单次交易!$B$2:$B$201),""))</f>
        <v/>
      </c>
      <c r="D98" s="12"/>
      <c r="E98" s="10"/>
      <c r="F98" s="10"/>
      <c r="G98" s="2"/>
      <c r="H98" s="15"/>
      <c r="I98" s="10"/>
      <c r="J98" s="12"/>
      <c r="K98" s="2"/>
      <c r="L98" s="2"/>
      <c r="M98" s="2"/>
      <c r="N98" s="5" t="str">
        <f>IF(B98="","",IFERROR(LOOKUP(2,1/(单次交易!$A$2:$A$201=B98),单次交易!$N$2:$N$201),""))</f>
        <v/>
      </c>
      <c r="O98" s="5" t="str">
        <f t="shared" si="9"/>
        <v/>
      </c>
      <c r="P98" s="11" t="str">
        <f t="shared" si="10"/>
        <v/>
      </c>
      <c r="Q98" s="5" t="str">
        <f t="shared" si="11"/>
        <v/>
      </c>
      <c r="R98" s="10"/>
      <c r="S98" s="5" t="str">
        <f t="shared" si="12"/>
        <v/>
      </c>
      <c r="T98" s="5" t="str">
        <f t="shared" si="13"/>
        <v/>
      </c>
      <c r="U98" s="5" t="str">
        <f t="shared" si="14"/>
        <v/>
      </c>
      <c r="V98" s="7" t="str">
        <f t="shared" si="15"/>
        <v/>
      </c>
      <c r="W98" s="8" t="str">
        <f t="shared" si="16"/>
        <v/>
      </c>
      <c r="X98" s="2"/>
      <c r="Y98" s="10"/>
      <c r="Z98" s="11" t="str">
        <f>IF(X98&lt;&gt;"执行卖出","",IFERROR(LOOKUP(2,1/(单次交易!$A$2:$A$201=B98),单次交易!$AP$2:$AP$201),""))</f>
        <v/>
      </c>
      <c r="AA98" s="10"/>
      <c r="AB98" s="8" t="str">
        <f t="shared" si="17"/>
        <v/>
      </c>
      <c r="AC98" s="8" t="str">
        <f>IF(A98="","",IF(A98="止损计划",IF(OR(B98="",D98="",E98="",F98="",G98=""),"计划不完整",IF(OR(D98&lt;1,D98&lt;&gt;INT(D98)),"阶段序号无效",IF(COUNTIFS($A$2:$A$497,"止损计划",$B$2:$B$497,B98,$D$2:$D$497,D98)&gt;1,"阶段序号重复",IF(E98&lt;=IFERROR(LOOKUP(2,1/(单次交易!$A$2:$A$201=B98),单次交易!$E$2:$E$201),0),"激活价须高于买入价",IF(F98&lt;N98,"止损价不得低于初始止损",IF(F98&gt;E98,"止损价不得高于激活价",IF(AND(COUNTIFS($A$2:$A$497,"止损计划",$B$2:$B$497,B98,$D$2:$D$497,"&lt;"&amp;D98)&gt;0,OR(E98&lt;=SUMPRODUCT(MAX((($A$2:$A$497="止损计划")*($B$2:$B$497=B98)*($D$2:$D$497&lt;D98))*$E$2:$E$497)),F98&lt;SUMPRODUCT(MAX((($A$2:$A$497="止损计划")*($B$2:$B$497=B98)*($D$2:$D$497&lt;D98))*$F$2:$F$497)))),"阶段价格必须逐级提高","计划有效"))))))),IF(A98="每日跟踪",IF(OR(B98="",H98="",I98="",J98=""),"每日数据不完整",IF(COUNTIFS($A$2:$A$497,"每日跟踪",$B$2:$B$497,B98,$H$2:$H$497,H98)&gt;1,"同一交易日期重复",IF(AND(R98&lt;&gt;"",R98&lt;S98),"人工止损无效：不能下调","跟踪有效"))),"记录类型无效")))</f>
        <v/>
      </c>
    </row>
    <row r="99" ht="17" spans="1:29">
      <c r="A99" s="2"/>
      <c r="B99" s="2"/>
      <c r="C99" s="8" t="str">
        <f>IF(B99="","",IFERROR(LOOKUP(2,1/(单次交易!$A$2:$A$201=B99),单次交易!$B$2:$B$201),""))</f>
        <v/>
      </c>
      <c r="D99" s="12"/>
      <c r="E99" s="10"/>
      <c r="F99" s="10"/>
      <c r="G99" s="2"/>
      <c r="H99" s="15"/>
      <c r="I99" s="10"/>
      <c r="J99" s="12"/>
      <c r="K99" s="2"/>
      <c r="L99" s="2"/>
      <c r="M99" s="2"/>
      <c r="N99" s="5" t="str">
        <f>IF(B99="","",IFERROR(LOOKUP(2,1/(单次交易!$A$2:$A$201=B99),单次交易!$N$2:$N$201),""))</f>
        <v/>
      </c>
      <c r="O99" s="5" t="str">
        <f t="shared" si="9"/>
        <v/>
      </c>
      <c r="P99" s="11" t="str">
        <f t="shared" si="10"/>
        <v/>
      </c>
      <c r="Q99" s="5" t="str">
        <f t="shared" si="11"/>
        <v/>
      </c>
      <c r="R99" s="10"/>
      <c r="S99" s="5" t="str">
        <f t="shared" si="12"/>
        <v/>
      </c>
      <c r="T99" s="5" t="str">
        <f t="shared" si="13"/>
        <v/>
      </c>
      <c r="U99" s="5" t="str">
        <f t="shared" si="14"/>
        <v/>
      </c>
      <c r="V99" s="7" t="str">
        <f t="shared" si="15"/>
        <v/>
      </c>
      <c r="W99" s="8" t="str">
        <f t="shared" si="16"/>
        <v/>
      </c>
      <c r="X99" s="2"/>
      <c r="Y99" s="10"/>
      <c r="Z99" s="11" t="str">
        <f>IF(X99&lt;&gt;"执行卖出","",IFERROR(LOOKUP(2,1/(单次交易!$A$2:$A$201=B99),单次交易!$AP$2:$AP$201),""))</f>
        <v/>
      </c>
      <c r="AA99" s="10"/>
      <c r="AB99" s="8" t="str">
        <f t="shared" si="17"/>
        <v/>
      </c>
      <c r="AC99" s="8" t="str">
        <f>IF(A99="","",IF(A99="止损计划",IF(OR(B99="",D99="",E99="",F99="",G99=""),"计划不完整",IF(OR(D99&lt;1,D99&lt;&gt;INT(D99)),"阶段序号无效",IF(COUNTIFS($A$2:$A$497,"止损计划",$B$2:$B$497,B99,$D$2:$D$497,D99)&gt;1,"阶段序号重复",IF(E99&lt;=IFERROR(LOOKUP(2,1/(单次交易!$A$2:$A$201=B99),单次交易!$E$2:$E$201),0),"激活价须高于买入价",IF(F99&lt;N99,"止损价不得低于初始止损",IF(F99&gt;E99,"止损价不得高于激活价",IF(AND(COUNTIFS($A$2:$A$497,"止损计划",$B$2:$B$497,B99,$D$2:$D$497,"&lt;"&amp;D99)&gt;0,OR(E99&lt;=SUMPRODUCT(MAX((($A$2:$A$497="止损计划")*($B$2:$B$497=B99)*($D$2:$D$497&lt;D99))*$E$2:$E$497)),F99&lt;SUMPRODUCT(MAX((($A$2:$A$497="止损计划")*($B$2:$B$497=B99)*($D$2:$D$497&lt;D99))*$F$2:$F$497)))),"阶段价格必须逐级提高","计划有效"))))))),IF(A99="每日跟踪",IF(OR(B99="",H99="",I99="",J99=""),"每日数据不完整",IF(COUNTIFS($A$2:$A$497,"每日跟踪",$B$2:$B$497,B99,$H$2:$H$497,H99)&gt;1,"同一交易日期重复",IF(AND(R99&lt;&gt;"",R99&lt;S99),"人工止损无效：不能下调","跟踪有效"))),"记录类型无效")))</f>
        <v/>
      </c>
    </row>
    <row r="100" ht="17" spans="1:29">
      <c r="A100" s="2"/>
      <c r="B100" s="2"/>
      <c r="C100" s="8" t="str">
        <f>IF(B100="","",IFERROR(LOOKUP(2,1/(单次交易!$A$2:$A$201=B100),单次交易!$B$2:$B$201),""))</f>
        <v/>
      </c>
      <c r="D100" s="12"/>
      <c r="E100" s="10"/>
      <c r="F100" s="10"/>
      <c r="G100" s="2"/>
      <c r="H100" s="15"/>
      <c r="I100" s="10"/>
      <c r="J100" s="12"/>
      <c r="K100" s="2"/>
      <c r="L100" s="2"/>
      <c r="M100" s="2"/>
      <c r="N100" s="5" t="str">
        <f>IF(B100="","",IFERROR(LOOKUP(2,1/(单次交易!$A$2:$A$201=B100),单次交易!$N$2:$N$201),""))</f>
        <v/>
      </c>
      <c r="O100" s="5" t="str">
        <f t="shared" si="9"/>
        <v/>
      </c>
      <c r="P100" s="11" t="str">
        <f t="shared" si="10"/>
        <v/>
      </c>
      <c r="Q100" s="5" t="str">
        <f t="shared" si="11"/>
        <v/>
      </c>
      <c r="R100" s="10"/>
      <c r="S100" s="5" t="str">
        <f t="shared" si="12"/>
        <v/>
      </c>
      <c r="T100" s="5" t="str">
        <f t="shared" si="13"/>
        <v/>
      </c>
      <c r="U100" s="5" t="str">
        <f t="shared" si="14"/>
        <v/>
      </c>
      <c r="V100" s="7" t="str">
        <f t="shared" si="15"/>
        <v/>
      </c>
      <c r="W100" s="8" t="str">
        <f t="shared" si="16"/>
        <v/>
      </c>
      <c r="X100" s="2"/>
      <c r="Y100" s="10"/>
      <c r="Z100" s="11" t="str">
        <f>IF(X100&lt;&gt;"执行卖出","",IFERROR(LOOKUP(2,1/(单次交易!$A$2:$A$201=B100),单次交易!$AP$2:$AP$201),""))</f>
        <v/>
      </c>
      <c r="AA100" s="10"/>
      <c r="AB100" s="8" t="str">
        <f t="shared" si="17"/>
        <v/>
      </c>
      <c r="AC100" s="8" t="str">
        <f>IF(A100="","",IF(A100="止损计划",IF(OR(B100="",D100="",E100="",F100="",G100=""),"计划不完整",IF(OR(D100&lt;1,D100&lt;&gt;INT(D100)),"阶段序号无效",IF(COUNTIFS($A$2:$A$497,"止损计划",$B$2:$B$497,B100,$D$2:$D$497,D100)&gt;1,"阶段序号重复",IF(E100&lt;=IFERROR(LOOKUP(2,1/(单次交易!$A$2:$A$201=B100),单次交易!$E$2:$E$201),0),"激活价须高于买入价",IF(F100&lt;N100,"止损价不得低于初始止损",IF(F100&gt;E100,"止损价不得高于激活价",IF(AND(COUNTIFS($A$2:$A$497,"止损计划",$B$2:$B$497,B100,$D$2:$D$497,"&lt;"&amp;D100)&gt;0,OR(E100&lt;=SUMPRODUCT(MAX((($A$2:$A$497="止损计划")*($B$2:$B$497=B100)*($D$2:$D$497&lt;D100))*$E$2:$E$497)),F100&lt;SUMPRODUCT(MAX((($A$2:$A$497="止损计划")*($B$2:$B$497=B100)*($D$2:$D$497&lt;D100))*$F$2:$F$497)))),"阶段价格必须逐级提高","计划有效"))))))),IF(A100="每日跟踪",IF(OR(B100="",H100="",I100="",J100=""),"每日数据不完整",IF(COUNTIFS($A$2:$A$497,"每日跟踪",$B$2:$B$497,B100,$H$2:$H$497,H100)&gt;1,"同一交易日期重复",IF(AND(R100&lt;&gt;"",R100&lt;S100),"人工止损无效：不能下调","跟踪有效"))),"记录类型无效")))</f>
        <v/>
      </c>
    </row>
    <row r="101" ht="17" spans="1:29">
      <c r="A101" s="2"/>
      <c r="B101" s="2"/>
      <c r="C101" s="8" t="str">
        <f>IF(B101="","",IFERROR(LOOKUP(2,1/(单次交易!$A$2:$A$201=B101),单次交易!$B$2:$B$201),""))</f>
        <v/>
      </c>
      <c r="D101" s="12"/>
      <c r="E101" s="10"/>
      <c r="F101" s="10"/>
      <c r="G101" s="2"/>
      <c r="H101" s="15"/>
      <c r="I101" s="10"/>
      <c r="J101" s="12"/>
      <c r="K101" s="2"/>
      <c r="L101" s="2"/>
      <c r="M101" s="2"/>
      <c r="N101" s="5" t="str">
        <f>IF(B101="","",IFERROR(LOOKUP(2,1/(单次交易!$A$2:$A$201=B101),单次交易!$N$2:$N$201),""))</f>
        <v/>
      </c>
      <c r="O101" s="5" t="str">
        <f t="shared" si="9"/>
        <v/>
      </c>
      <c r="P101" s="11" t="str">
        <f t="shared" si="10"/>
        <v/>
      </c>
      <c r="Q101" s="5" t="str">
        <f t="shared" si="11"/>
        <v/>
      </c>
      <c r="R101" s="10"/>
      <c r="S101" s="5" t="str">
        <f t="shared" si="12"/>
        <v/>
      </c>
      <c r="T101" s="5" t="str">
        <f t="shared" si="13"/>
        <v/>
      </c>
      <c r="U101" s="5" t="str">
        <f t="shared" si="14"/>
        <v/>
      </c>
      <c r="V101" s="7" t="str">
        <f t="shared" si="15"/>
        <v/>
      </c>
      <c r="W101" s="8" t="str">
        <f t="shared" si="16"/>
        <v/>
      </c>
      <c r="X101" s="2"/>
      <c r="Y101" s="10"/>
      <c r="Z101" s="11" t="str">
        <f>IF(X101&lt;&gt;"执行卖出","",IFERROR(LOOKUP(2,1/(单次交易!$A$2:$A$201=B101),单次交易!$AP$2:$AP$201),""))</f>
        <v/>
      </c>
      <c r="AA101" s="10"/>
      <c r="AB101" s="8" t="str">
        <f t="shared" si="17"/>
        <v/>
      </c>
      <c r="AC101" s="8" t="str">
        <f>IF(A101="","",IF(A101="止损计划",IF(OR(B101="",D101="",E101="",F101="",G101=""),"计划不完整",IF(OR(D101&lt;1,D101&lt;&gt;INT(D101)),"阶段序号无效",IF(COUNTIFS($A$2:$A$497,"止损计划",$B$2:$B$497,B101,$D$2:$D$497,D101)&gt;1,"阶段序号重复",IF(E101&lt;=IFERROR(LOOKUP(2,1/(单次交易!$A$2:$A$201=B101),单次交易!$E$2:$E$201),0),"激活价须高于买入价",IF(F101&lt;N101,"止损价不得低于初始止损",IF(F101&gt;E101,"止损价不得高于激活价",IF(AND(COUNTIFS($A$2:$A$497,"止损计划",$B$2:$B$497,B101,$D$2:$D$497,"&lt;"&amp;D101)&gt;0,OR(E101&lt;=SUMPRODUCT(MAX((($A$2:$A$497="止损计划")*($B$2:$B$497=B101)*($D$2:$D$497&lt;D101))*$E$2:$E$497)),F101&lt;SUMPRODUCT(MAX((($A$2:$A$497="止损计划")*($B$2:$B$497=B101)*($D$2:$D$497&lt;D101))*$F$2:$F$497)))),"阶段价格必须逐级提高","计划有效"))))))),IF(A101="每日跟踪",IF(OR(B101="",H101="",I101="",J101=""),"每日数据不完整",IF(COUNTIFS($A$2:$A$497,"每日跟踪",$B$2:$B$497,B101,$H$2:$H$497,H101)&gt;1,"同一交易日期重复",IF(AND(R101&lt;&gt;"",R101&lt;S101),"人工止损无效：不能下调","跟踪有效"))),"记录类型无效")))</f>
        <v/>
      </c>
    </row>
    <row r="102" ht="17" spans="1:29">
      <c r="A102" s="2"/>
      <c r="B102" s="2"/>
      <c r="C102" s="8" t="str">
        <f>IF(B102="","",IFERROR(LOOKUP(2,1/(单次交易!$A$2:$A$201=B102),单次交易!$B$2:$B$201),""))</f>
        <v/>
      </c>
      <c r="D102" s="12"/>
      <c r="E102" s="10"/>
      <c r="F102" s="10"/>
      <c r="G102" s="2"/>
      <c r="H102" s="15"/>
      <c r="I102" s="10"/>
      <c r="J102" s="12"/>
      <c r="K102" s="2"/>
      <c r="L102" s="2"/>
      <c r="M102" s="2"/>
      <c r="N102" s="5" t="str">
        <f>IF(B102="","",IFERROR(LOOKUP(2,1/(单次交易!$A$2:$A$201=B102),单次交易!$N$2:$N$201),""))</f>
        <v/>
      </c>
      <c r="O102" s="5" t="str">
        <f t="shared" si="9"/>
        <v/>
      </c>
      <c r="P102" s="11" t="str">
        <f t="shared" si="10"/>
        <v/>
      </c>
      <c r="Q102" s="5" t="str">
        <f t="shared" si="11"/>
        <v/>
      </c>
      <c r="R102" s="10"/>
      <c r="S102" s="5" t="str">
        <f t="shared" si="12"/>
        <v/>
      </c>
      <c r="T102" s="5" t="str">
        <f t="shared" si="13"/>
        <v/>
      </c>
      <c r="U102" s="5" t="str">
        <f t="shared" si="14"/>
        <v/>
      </c>
      <c r="V102" s="7" t="str">
        <f t="shared" si="15"/>
        <v/>
      </c>
      <c r="W102" s="8" t="str">
        <f t="shared" si="16"/>
        <v/>
      </c>
      <c r="X102" s="2"/>
      <c r="Y102" s="10"/>
      <c r="Z102" s="11" t="str">
        <f>IF(X102&lt;&gt;"执行卖出","",IFERROR(LOOKUP(2,1/(单次交易!$A$2:$A$201=B102),单次交易!$AP$2:$AP$201),""))</f>
        <v/>
      </c>
      <c r="AA102" s="10"/>
      <c r="AB102" s="8" t="str">
        <f t="shared" si="17"/>
        <v/>
      </c>
      <c r="AC102" s="8" t="str">
        <f>IF(A102="","",IF(A102="止损计划",IF(OR(B102="",D102="",E102="",F102="",G102=""),"计划不完整",IF(OR(D102&lt;1,D102&lt;&gt;INT(D102)),"阶段序号无效",IF(COUNTIFS($A$2:$A$497,"止损计划",$B$2:$B$497,B102,$D$2:$D$497,D102)&gt;1,"阶段序号重复",IF(E102&lt;=IFERROR(LOOKUP(2,1/(单次交易!$A$2:$A$201=B102),单次交易!$E$2:$E$201),0),"激活价须高于买入价",IF(F102&lt;N102,"止损价不得低于初始止损",IF(F102&gt;E102,"止损价不得高于激活价",IF(AND(COUNTIFS($A$2:$A$497,"止损计划",$B$2:$B$497,B102,$D$2:$D$497,"&lt;"&amp;D102)&gt;0,OR(E102&lt;=SUMPRODUCT(MAX((($A$2:$A$497="止损计划")*($B$2:$B$497=B102)*($D$2:$D$497&lt;D102))*$E$2:$E$497)),F102&lt;SUMPRODUCT(MAX((($A$2:$A$497="止损计划")*($B$2:$B$497=B102)*($D$2:$D$497&lt;D102))*$F$2:$F$497)))),"阶段价格必须逐级提高","计划有效"))))))),IF(A102="每日跟踪",IF(OR(B102="",H102="",I102="",J102=""),"每日数据不完整",IF(COUNTIFS($A$2:$A$497,"每日跟踪",$B$2:$B$497,B102,$H$2:$H$497,H102)&gt;1,"同一交易日期重复",IF(AND(R102&lt;&gt;"",R102&lt;S102),"人工止损无效：不能下调","跟踪有效"))),"记录类型无效")))</f>
        <v/>
      </c>
    </row>
    <row r="103" ht="17" spans="1:29">
      <c r="A103" s="2"/>
      <c r="B103" s="2"/>
      <c r="C103" s="8" t="str">
        <f>IF(B103="","",IFERROR(LOOKUP(2,1/(单次交易!$A$2:$A$201=B103),单次交易!$B$2:$B$201),""))</f>
        <v/>
      </c>
      <c r="D103" s="12"/>
      <c r="E103" s="10"/>
      <c r="F103" s="10"/>
      <c r="G103" s="2"/>
      <c r="H103" s="15"/>
      <c r="I103" s="10"/>
      <c r="J103" s="12"/>
      <c r="K103" s="2"/>
      <c r="L103" s="2"/>
      <c r="M103" s="2"/>
      <c r="N103" s="5" t="str">
        <f>IF(B103="","",IFERROR(LOOKUP(2,1/(单次交易!$A$2:$A$201=B103),单次交易!$N$2:$N$201),""))</f>
        <v/>
      </c>
      <c r="O103" s="5" t="str">
        <f t="shared" si="9"/>
        <v/>
      </c>
      <c r="P103" s="11" t="str">
        <f t="shared" si="10"/>
        <v/>
      </c>
      <c r="Q103" s="5" t="str">
        <f t="shared" si="11"/>
        <v/>
      </c>
      <c r="R103" s="10"/>
      <c r="S103" s="5" t="str">
        <f t="shared" si="12"/>
        <v/>
      </c>
      <c r="T103" s="5" t="str">
        <f t="shared" si="13"/>
        <v/>
      </c>
      <c r="U103" s="5" t="str">
        <f t="shared" si="14"/>
        <v/>
      </c>
      <c r="V103" s="7" t="str">
        <f t="shared" si="15"/>
        <v/>
      </c>
      <c r="W103" s="8" t="str">
        <f t="shared" si="16"/>
        <v/>
      </c>
      <c r="X103" s="2"/>
      <c r="Y103" s="10"/>
      <c r="Z103" s="11" t="str">
        <f>IF(X103&lt;&gt;"执行卖出","",IFERROR(LOOKUP(2,1/(单次交易!$A$2:$A$201=B103),单次交易!$AP$2:$AP$201),""))</f>
        <v/>
      </c>
      <c r="AA103" s="10"/>
      <c r="AB103" s="8" t="str">
        <f t="shared" si="17"/>
        <v/>
      </c>
      <c r="AC103" s="8" t="str">
        <f>IF(A103="","",IF(A103="止损计划",IF(OR(B103="",D103="",E103="",F103="",G103=""),"计划不完整",IF(OR(D103&lt;1,D103&lt;&gt;INT(D103)),"阶段序号无效",IF(COUNTIFS($A$2:$A$497,"止损计划",$B$2:$B$497,B103,$D$2:$D$497,D103)&gt;1,"阶段序号重复",IF(E103&lt;=IFERROR(LOOKUP(2,1/(单次交易!$A$2:$A$201=B103),单次交易!$E$2:$E$201),0),"激活价须高于买入价",IF(F103&lt;N103,"止损价不得低于初始止损",IF(F103&gt;E103,"止损价不得高于激活价",IF(AND(COUNTIFS($A$2:$A$497,"止损计划",$B$2:$B$497,B103,$D$2:$D$497,"&lt;"&amp;D103)&gt;0,OR(E103&lt;=SUMPRODUCT(MAX((($A$2:$A$497="止损计划")*($B$2:$B$497=B103)*($D$2:$D$497&lt;D103))*$E$2:$E$497)),F103&lt;SUMPRODUCT(MAX((($A$2:$A$497="止损计划")*($B$2:$B$497=B103)*($D$2:$D$497&lt;D103))*$F$2:$F$497)))),"阶段价格必须逐级提高","计划有效"))))))),IF(A103="每日跟踪",IF(OR(B103="",H103="",I103="",J103=""),"每日数据不完整",IF(COUNTIFS($A$2:$A$497,"每日跟踪",$B$2:$B$497,B103,$H$2:$H$497,H103)&gt;1,"同一交易日期重复",IF(AND(R103&lt;&gt;"",R103&lt;S103),"人工止损无效：不能下调","跟踪有效"))),"记录类型无效")))</f>
        <v/>
      </c>
    </row>
    <row r="104" ht="17" spans="1:29">
      <c r="A104" s="2"/>
      <c r="B104" s="2"/>
      <c r="C104" s="8" t="str">
        <f>IF(B104="","",IFERROR(LOOKUP(2,1/(单次交易!$A$2:$A$201=B104),单次交易!$B$2:$B$201),""))</f>
        <v/>
      </c>
      <c r="D104" s="12"/>
      <c r="E104" s="10"/>
      <c r="F104" s="10"/>
      <c r="G104" s="2"/>
      <c r="H104" s="15"/>
      <c r="I104" s="10"/>
      <c r="J104" s="12"/>
      <c r="K104" s="2"/>
      <c r="L104" s="2"/>
      <c r="M104" s="2"/>
      <c r="N104" s="5" t="str">
        <f>IF(B104="","",IFERROR(LOOKUP(2,1/(单次交易!$A$2:$A$201=B104),单次交易!$N$2:$N$201),""))</f>
        <v/>
      </c>
      <c r="O104" s="5" t="str">
        <f t="shared" si="9"/>
        <v/>
      </c>
      <c r="P104" s="11" t="str">
        <f t="shared" si="10"/>
        <v/>
      </c>
      <c r="Q104" s="5" t="str">
        <f t="shared" si="11"/>
        <v/>
      </c>
      <c r="R104" s="10"/>
      <c r="S104" s="5" t="str">
        <f t="shared" si="12"/>
        <v/>
      </c>
      <c r="T104" s="5" t="str">
        <f t="shared" si="13"/>
        <v/>
      </c>
      <c r="U104" s="5" t="str">
        <f t="shared" si="14"/>
        <v/>
      </c>
      <c r="V104" s="7" t="str">
        <f t="shared" si="15"/>
        <v/>
      </c>
      <c r="W104" s="8" t="str">
        <f t="shared" si="16"/>
        <v/>
      </c>
      <c r="X104" s="2"/>
      <c r="Y104" s="10"/>
      <c r="Z104" s="11" t="str">
        <f>IF(X104&lt;&gt;"执行卖出","",IFERROR(LOOKUP(2,1/(单次交易!$A$2:$A$201=B104),单次交易!$AP$2:$AP$201),""))</f>
        <v/>
      </c>
      <c r="AA104" s="10"/>
      <c r="AB104" s="8" t="str">
        <f t="shared" si="17"/>
        <v/>
      </c>
      <c r="AC104" s="8" t="str">
        <f>IF(A104="","",IF(A104="止损计划",IF(OR(B104="",D104="",E104="",F104="",G104=""),"计划不完整",IF(OR(D104&lt;1,D104&lt;&gt;INT(D104)),"阶段序号无效",IF(COUNTIFS($A$2:$A$497,"止损计划",$B$2:$B$497,B104,$D$2:$D$497,D104)&gt;1,"阶段序号重复",IF(E104&lt;=IFERROR(LOOKUP(2,1/(单次交易!$A$2:$A$201=B104),单次交易!$E$2:$E$201),0),"激活价须高于买入价",IF(F104&lt;N104,"止损价不得低于初始止损",IF(F104&gt;E104,"止损价不得高于激活价",IF(AND(COUNTIFS($A$2:$A$497,"止损计划",$B$2:$B$497,B104,$D$2:$D$497,"&lt;"&amp;D104)&gt;0,OR(E104&lt;=SUMPRODUCT(MAX((($A$2:$A$497="止损计划")*($B$2:$B$497=B104)*($D$2:$D$497&lt;D104))*$E$2:$E$497)),F104&lt;SUMPRODUCT(MAX((($A$2:$A$497="止损计划")*($B$2:$B$497=B104)*($D$2:$D$497&lt;D104))*$F$2:$F$497)))),"阶段价格必须逐级提高","计划有效"))))))),IF(A104="每日跟踪",IF(OR(B104="",H104="",I104="",J104=""),"每日数据不完整",IF(COUNTIFS($A$2:$A$497,"每日跟踪",$B$2:$B$497,B104,$H$2:$H$497,H104)&gt;1,"同一交易日期重复",IF(AND(R104&lt;&gt;"",R104&lt;S104),"人工止损无效：不能下调","跟踪有效"))),"记录类型无效")))</f>
        <v/>
      </c>
    </row>
    <row r="105" ht="17" spans="1:29">
      <c r="A105" s="2"/>
      <c r="B105" s="2"/>
      <c r="C105" s="8" t="str">
        <f>IF(B105="","",IFERROR(LOOKUP(2,1/(单次交易!$A$2:$A$201=B105),单次交易!$B$2:$B$201),""))</f>
        <v/>
      </c>
      <c r="D105" s="12"/>
      <c r="E105" s="10"/>
      <c r="F105" s="10"/>
      <c r="G105" s="2"/>
      <c r="H105" s="15"/>
      <c r="I105" s="10"/>
      <c r="J105" s="12"/>
      <c r="K105" s="2"/>
      <c r="L105" s="2"/>
      <c r="M105" s="2"/>
      <c r="N105" s="5" t="str">
        <f>IF(B105="","",IFERROR(LOOKUP(2,1/(单次交易!$A$2:$A$201=B105),单次交易!$N$2:$N$201),""))</f>
        <v/>
      </c>
      <c r="O105" s="5" t="str">
        <f t="shared" si="9"/>
        <v/>
      </c>
      <c r="P105" s="11" t="str">
        <f t="shared" si="10"/>
        <v/>
      </c>
      <c r="Q105" s="5" t="str">
        <f t="shared" si="11"/>
        <v/>
      </c>
      <c r="R105" s="10"/>
      <c r="S105" s="5" t="str">
        <f t="shared" si="12"/>
        <v/>
      </c>
      <c r="T105" s="5" t="str">
        <f t="shared" si="13"/>
        <v/>
      </c>
      <c r="U105" s="5" t="str">
        <f t="shared" si="14"/>
        <v/>
      </c>
      <c r="V105" s="7" t="str">
        <f t="shared" si="15"/>
        <v/>
      </c>
      <c r="W105" s="8" t="str">
        <f t="shared" si="16"/>
        <v/>
      </c>
      <c r="X105" s="2"/>
      <c r="Y105" s="10"/>
      <c r="Z105" s="11" t="str">
        <f>IF(X105&lt;&gt;"执行卖出","",IFERROR(LOOKUP(2,1/(单次交易!$A$2:$A$201=B105),单次交易!$AP$2:$AP$201),""))</f>
        <v/>
      </c>
      <c r="AA105" s="10"/>
      <c r="AB105" s="8" t="str">
        <f t="shared" si="17"/>
        <v/>
      </c>
      <c r="AC105" s="8" t="str">
        <f>IF(A105="","",IF(A105="止损计划",IF(OR(B105="",D105="",E105="",F105="",G105=""),"计划不完整",IF(OR(D105&lt;1,D105&lt;&gt;INT(D105)),"阶段序号无效",IF(COUNTIFS($A$2:$A$497,"止损计划",$B$2:$B$497,B105,$D$2:$D$497,D105)&gt;1,"阶段序号重复",IF(E105&lt;=IFERROR(LOOKUP(2,1/(单次交易!$A$2:$A$201=B105),单次交易!$E$2:$E$201),0),"激活价须高于买入价",IF(F105&lt;N105,"止损价不得低于初始止损",IF(F105&gt;E105,"止损价不得高于激活价",IF(AND(COUNTIFS($A$2:$A$497,"止损计划",$B$2:$B$497,B105,$D$2:$D$497,"&lt;"&amp;D105)&gt;0,OR(E105&lt;=SUMPRODUCT(MAX((($A$2:$A$497="止损计划")*($B$2:$B$497=B105)*($D$2:$D$497&lt;D105))*$E$2:$E$497)),F105&lt;SUMPRODUCT(MAX((($A$2:$A$497="止损计划")*($B$2:$B$497=B105)*($D$2:$D$497&lt;D105))*$F$2:$F$497)))),"阶段价格必须逐级提高","计划有效"))))))),IF(A105="每日跟踪",IF(OR(B105="",H105="",I105="",J105=""),"每日数据不完整",IF(COUNTIFS($A$2:$A$497,"每日跟踪",$B$2:$B$497,B105,$H$2:$H$497,H105)&gt;1,"同一交易日期重复",IF(AND(R105&lt;&gt;"",R105&lt;S105),"人工止损无效：不能下调","跟踪有效"))),"记录类型无效")))</f>
        <v/>
      </c>
    </row>
    <row r="106" ht="17" spans="1:29">
      <c r="A106" s="2"/>
      <c r="B106" s="2"/>
      <c r="C106" s="8" t="str">
        <f>IF(B106="","",IFERROR(LOOKUP(2,1/(单次交易!$A$2:$A$201=B106),单次交易!$B$2:$B$201),""))</f>
        <v/>
      </c>
      <c r="D106" s="12"/>
      <c r="E106" s="10"/>
      <c r="F106" s="10"/>
      <c r="G106" s="2"/>
      <c r="H106" s="15"/>
      <c r="I106" s="10"/>
      <c r="J106" s="12"/>
      <c r="K106" s="2"/>
      <c r="L106" s="2"/>
      <c r="M106" s="2"/>
      <c r="N106" s="5" t="str">
        <f>IF(B106="","",IFERROR(LOOKUP(2,1/(单次交易!$A$2:$A$201=B106),单次交易!$N$2:$N$201),""))</f>
        <v/>
      </c>
      <c r="O106" s="5" t="str">
        <f t="shared" si="9"/>
        <v/>
      </c>
      <c r="P106" s="11" t="str">
        <f t="shared" si="10"/>
        <v/>
      </c>
      <c r="Q106" s="5" t="str">
        <f t="shared" si="11"/>
        <v/>
      </c>
      <c r="R106" s="10"/>
      <c r="S106" s="5" t="str">
        <f t="shared" si="12"/>
        <v/>
      </c>
      <c r="T106" s="5" t="str">
        <f t="shared" si="13"/>
        <v/>
      </c>
      <c r="U106" s="5" t="str">
        <f t="shared" si="14"/>
        <v/>
      </c>
      <c r="V106" s="7" t="str">
        <f t="shared" si="15"/>
        <v/>
      </c>
      <c r="W106" s="8" t="str">
        <f t="shared" si="16"/>
        <v/>
      </c>
      <c r="X106" s="2"/>
      <c r="Y106" s="10"/>
      <c r="Z106" s="11" t="str">
        <f>IF(X106&lt;&gt;"执行卖出","",IFERROR(LOOKUP(2,1/(单次交易!$A$2:$A$201=B106),单次交易!$AP$2:$AP$201),""))</f>
        <v/>
      </c>
      <c r="AA106" s="10"/>
      <c r="AB106" s="8" t="str">
        <f t="shared" si="17"/>
        <v/>
      </c>
      <c r="AC106" s="8" t="str">
        <f>IF(A106="","",IF(A106="止损计划",IF(OR(B106="",D106="",E106="",F106="",G106=""),"计划不完整",IF(OR(D106&lt;1,D106&lt;&gt;INT(D106)),"阶段序号无效",IF(COUNTIFS($A$2:$A$497,"止损计划",$B$2:$B$497,B106,$D$2:$D$497,D106)&gt;1,"阶段序号重复",IF(E106&lt;=IFERROR(LOOKUP(2,1/(单次交易!$A$2:$A$201=B106),单次交易!$E$2:$E$201),0),"激活价须高于买入价",IF(F106&lt;N106,"止损价不得低于初始止损",IF(F106&gt;E106,"止损价不得高于激活价",IF(AND(COUNTIFS($A$2:$A$497,"止损计划",$B$2:$B$497,B106,$D$2:$D$497,"&lt;"&amp;D106)&gt;0,OR(E106&lt;=SUMPRODUCT(MAX((($A$2:$A$497="止损计划")*($B$2:$B$497=B106)*($D$2:$D$497&lt;D106))*$E$2:$E$497)),F106&lt;SUMPRODUCT(MAX((($A$2:$A$497="止损计划")*($B$2:$B$497=B106)*($D$2:$D$497&lt;D106))*$F$2:$F$497)))),"阶段价格必须逐级提高","计划有效"))))))),IF(A106="每日跟踪",IF(OR(B106="",H106="",I106="",J106=""),"每日数据不完整",IF(COUNTIFS($A$2:$A$497,"每日跟踪",$B$2:$B$497,B106,$H$2:$H$497,H106)&gt;1,"同一交易日期重复",IF(AND(R106&lt;&gt;"",R106&lt;S106),"人工止损无效：不能下调","跟踪有效"))),"记录类型无效")))</f>
        <v/>
      </c>
    </row>
    <row r="107" ht="17" spans="1:29">
      <c r="A107" s="2"/>
      <c r="B107" s="2"/>
      <c r="C107" s="8" t="str">
        <f>IF(B107="","",IFERROR(LOOKUP(2,1/(单次交易!$A$2:$A$201=B107),单次交易!$B$2:$B$201),""))</f>
        <v/>
      </c>
      <c r="D107" s="12"/>
      <c r="E107" s="10"/>
      <c r="F107" s="10"/>
      <c r="G107" s="2"/>
      <c r="H107" s="15"/>
      <c r="I107" s="10"/>
      <c r="J107" s="12"/>
      <c r="K107" s="2"/>
      <c r="L107" s="2"/>
      <c r="M107" s="2"/>
      <c r="N107" s="5" t="str">
        <f>IF(B107="","",IFERROR(LOOKUP(2,1/(单次交易!$A$2:$A$201=B107),单次交易!$N$2:$N$201),""))</f>
        <v/>
      </c>
      <c r="O107" s="5" t="str">
        <f t="shared" si="9"/>
        <v/>
      </c>
      <c r="P107" s="11" t="str">
        <f t="shared" si="10"/>
        <v/>
      </c>
      <c r="Q107" s="5" t="str">
        <f t="shared" si="11"/>
        <v/>
      </c>
      <c r="R107" s="10"/>
      <c r="S107" s="5" t="str">
        <f t="shared" si="12"/>
        <v/>
      </c>
      <c r="T107" s="5" t="str">
        <f t="shared" si="13"/>
        <v/>
      </c>
      <c r="U107" s="5" t="str">
        <f t="shared" si="14"/>
        <v/>
      </c>
      <c r="V107" s="7" t="str">
        <f t="shared" si="15"/>
        <v/>
      </c>
      <c r="W107" s="8" t="str">
        <f t="shared" si="16"/>
        <v/>
      </c>
      <c r="X107" s="2"/>
      <c r="Y107" s="10"/>
      <c r="Z107" s="11" t="str">
        <f>IF(X107&lt;&gt;"执行卖出","",IFERROR(LOOKUP(2,1/(单次交易!$A$2:$A$201=B107),单次交易!$AP$2:$AP$201),""))</f>
        <v/>
      </c>
      <c r="AA107" s="10"/>
      <c r="AB107" s="8" t="str">
        <f t="shared" si="17"/>
        <v/>
      </c>
      <c r="AC107" s="8" t="str">
        <f>IF(A107="","",IF(A107="止损计划",IF(OR(B107="",D107="",E107="",F107="",G107=""),"计划不完整",IF(OR(D107&lt;1,D107&lt;&gt;INT(D107)),"阶段序号无效",IF(COUNTIFS($A$2:$A$497,"止损计划",$B$2:$B$497,B107,$D$2:$D$497,D107)&gt;1,"阶段序号重复",IF(E107&lt;=IFERROR(LOOKUP(2,1/(单次交易!$A$2:$A$201=B107),单次交易!$E$2:$E$201),0),"激活价须高于买入价",IF(F107&lt;N107,"止损价不得低于初始止损",IF(F107&gt;E107,"止损价不得高于激活价",IF(AND(COUNTIFS($A$2:$A$497,"止损计划",$B$2:$B$497,B107,$D$2:$D$497,"&lt;"&amp;D107)&gt;0,OR(E107&lt;=SUMPRODUCT(MAX((($A$2:$A$497="止损计划")*($B$2:$B$497=B107)*($D$2:$D$497&lt;D107))*$E$2:$E$497)),F107&lt;SUMPRODUCT(MAX((($A$2:$A$497="止损计划")*($B$2:$B$497=B107)*($D$2:$D$497&lt;D107))*$F$2:$F$497)))),"阶段价格必须逐级提高","计划有效"))))))),IF(A107="每日跟踪",IF(OR(B107="",H107="",I107="",J107=""),"每日数据不完整",IF(COUNTIFS($A$2:$A$497,"每日跟踪",$B$2:$B$497,B107,$H$2:$H$497,H107)&gt;1,"同一交易日期重复",IF(AND(R107&lt;&gt;"",R107&lt;S107),"人工止损无效：不能下调","跟踪有效"))),"记录类型无效")))</f>
        <v/>
      </c>
    </row>
    <row r="108" ht="17" spans="1:29">
      <c r="A108" s="2"/>
      <c r="B108" s="2"/>
      <c r="C108" s="8" t="str">
        <f>IF(B108="","",IFERROR(LOOKUP(2,1/(单次交易!$A$2:$A$201=B108),单次交易!$B$2:$B$201),""))</f>
        <v/>
      </c>
      <c r="D108" s="12"/>
      <c r="E108" s="10"/>
      <c r="F108" s="10"/>
      <c r="G108" s="2"/>
      <c r="H108" s="15"/>
      <c r="I108" s="10"/>
      <c r="J108" s="12"/>
      <c r="K108" s="2"/>
      <c r="L108" s="2"/>
      <c r="M108" s="2"/>
      <c r="N108" s="5" t="str">
        <f>IF(B108="","",IFERROR(LOOKUP(2,1/(单次交易!$A$2:$A$201=B108),单次交易!$N$2:$N$201),""))</f>
        <v/>
      </c>
      <c r="O108" s="5" t="str">
        <f t="shared" si="9"/>
        <v/>
      </c>
      <c r="P108" s="11" t="str">
        <f t="shared" si="10"/>
        <v/>
      </c>
      <c r="Q108" s="5" t="str">
        <f t="shared" si="11"/>
        <v/>
      </c>
      <c r="R108" s="10"/>
      <c r="S108" s="5" t="str">
        <f t="shared" si="12"/>
        <v/>
      </c>
      <c r="T108" s="5" t="str">
        <f t="shared" si="13"/>
        <v/>
      </c>
      <c r="U108" s="5" t="str">
        <f t="shared" si="14"/>
        <v/>
      </c>
      <c r="V108" s="7" t="str">
        <f t="shared" si="15"/>
        <v/>
      </c>
      <c r="W108" s="8" t="str">
        <f t="shared" si="16"/>
        <v/>
      </c>
      <c r="X108" s="2"/>
      <c r="Y108" s="10"/>
      <c r="Z108" s="11" t="str">
        <f>IF(X108&lt;&gt;"执行卖出","",IFERROR(LOOKUP(2,1/(单次交易!$A$2:$A$201=B108),单次交易!$AP$2:$AP$201),""))</f>
        <v/>
      </c>
      <c r="AA108" s="10"/>
      <c r="AB108" s="8" t="str">
        <f t="shared" si="17"/>
        <v/>
      </c>
      <c r="AC108" s="8" t="str">
        <f>IF(A108="","",IF(A108="止损计划",IF(OR(B108="",D108="",E108="",F108="",G108=""),"计划不完整",IF(OR(D108&lt;1,D108&lt;&gt;INT(D108)),"阶段序号无效",IF(COUNTIFS($A$2:$A$497,"止损计划",$B$2:$B$497,B108,$D$2:$D$497,D108)&gt;1,"阶段序号重复",IF(E108&lt;=IFERROR(LOOKUP(2,1/(单次交易!$A$2:$A$201=B108),单次交易!$E$2:$E$201),0),"激活价须高于买入价",IF(F108&lt;N108,"止损价不得低于初始止损",IF(F108&gt;E108,"止损价不得高于激活价",IF(AND(COUNTIFS($A$2:$A$497,"止损计划",$B$2:$B$497,B108,$D$2:$D$497,"&lt;"&amp;D108)&gt;0,OR(E108&lt;=SUMPRODUCT(MAX((($A$2:$A$497="止损计划")*($B$2:$B$497=B108)*($D$2:$D$497&lt;D108))*$E$2:$E$497)),F108&lt;SUMPRODUCT(MAX((($A$2:$A$497="止损计划")*($B$2:$B$497=B108)*($D$2:$D$497&lt;D108))*$F$2:$F$497)))),"阶段价格必须逐级提高","计划有效"))))))),IF(A108="每日跟踪",IF(OR(B108="",H108="",I108="",J108=""),"每日数据不完整",IF(COUNTIFS($A$2:$A$497,"每日跟踪",$B$2:$B$497,B108,$H$2:$H$497,H108)&gt;1,"同一交易日期重复",IF(AND(R108&lt;&gt;"",R108&lt;S108),"人工止损无效：不能下调","跟踪有效"))),"记录类型无效")))</f>
        <v/>
      </c>
    </row>
    <row r="109" ht="17" spans="1:29">
      <c r="A109" s="2"/>
      <c r="B109" s="2"/>
      <c r="C109" s="8" t="str">
        <f>IF(B109="","",IFERROR(LOOKUP(2,1/(单次交易!$A$2:$A$201=B109),单次交易!$B$2:$B$201),""))</f>
        <v/>
      </c>
      <c r="D109" s="12"/>
      <c r="E109" s="10"/>
      <c r="F109" s="10"/>
      <c r="G109" s="2"/>
      <c r="H109" s="15"/>
      <c r="I109" s="10"/>
      <c r="J109" s="12"/>
      <c r="K109" s="2"/>
      <c r="L109" s="2"/>
      <c r="M109" s="2"/>
      <c r="N109" s="5" t="str">
        <f>IF(B109="","",IFERROR(LOOKUP(2,1/(单次交易!$A$2:$A$201=B109),单次交易!$N$2:$N$201),""))</f>
        <v/>
      </c>
      <c r="O109" s="5" t="str">
        <f t="shared" si="9"/>
        <v/>
      </c>
      <c r="P109" s="11" t="str">
        <f t="shared" si="10"/>
        <v/>
      </c>
      <c r="Q109" s="5" t="str">
        <f t="shared" si="11"/>
        <v/>
      </c>
      <c r="R109" s="10"/>
      <c r="S109" s="5" t="str">
        <f t="shared" si="12"/>
        <v/>
      </c>
      <c r="T109" s="5" t="str">
        <f t="shared" si="13"/>
        <v/>
      </c>
      <c r="U109" s="5" t="str">
        <f t="shared" si="14"/>
        <v/>
      </c>
      <c r="V109" s="7" t="str">
        <f t="shared" si="15"/>
        <v/>
      </c>
      <c r="W109" s="8" t="str">
        <f t="shared" si="16"/>
        <v/>
      </c>
      <c r="X109" s="2"/>
      <c r="Y109" s="10"/>
      <c r="Z109" s="11" t="str">
        <f>IF(X109&lt;&gt;"执行卖出","",IFERROR(LOOKUP(2,1/(单次交易!$A$2:$A$201=B109),单次交易!$AP$2:$AP$201),""))</f>
        <v/>
      </c>
      <c r="AA109" s="10"/>
      <c r="AB109" s="8" t="str">
        <f t="shared" si="17"/>
        <v/>
      </c>
      <c r="AC109" s="8" t="str">
        <f>IF(A109="","",IF(A109="止损计划",IF(OR(B109="",D109="",E109="",F109="",G109=""),"计划不完整",IF(OR(D109&lt;1,D109&lt;&gt;INT(D109)),"阶段序号无效",IF(COUNTIFS($A$2:$A$497,"止损计划",$B$2:$B$497,B109,$D$2:$D$497,D109)&gt;1,"阶段序号重复",IF(E109&lt;=IFERROR(LOOKUP(2,1/(单次交易!$A$2:$A$201=B109),单次交易!$E$2:$E$201),0),"激活价须高于买入价",IF(F109&lt;N109,"止损价不得低于初始止损",IF(F109&gt;E109,"止损价不得高于激活价",IF(AND(COUNTIFS($A$2:$A$497,"止损计划",$B$2:$B$497,B109,$D$2:$D$497,"&lt;"&amp;D109)&gt;0,OR(E109&lt;=SUMPRODUCT(MAX((($A$2:$A$497="止损计划")*($B$2:$B$497=B109)*($D$2:$D$497&lt;D109))*$E$2:$E$497)),F109&lt;SUMPRODUCT(MAX((($A$2:$A$497="止损计划")*($B$2:$B$497=B109)*($D$2:$D$497&lt;D109))*$F$2:$F$497)))),"阶段价格必须逐级提高","计划有效"))))))),IF(A109="每日跟踪",IF(OR(B109="",H109="",I109="",J109=""),"每日数据不完整",IF(COUNTIFS($A$2:$A$497,"每日跟踪",$B$2:$B$497,B109,$H$2:$H$497,H109)&gt;1,"同一交易日期重复",IF(AND(R109&lt;&gt;"",R109&lt;S109),"人工止损无效：不能下调","跟踪有效"))),"记录类型无效")))</f>
        <v/>
      </c>
    </row>
    <row r="110" ht="17" spans="1:29">
      <c r="A110" s="2"/>
      <c r="B110" s="2"/>
      <c r="C110" s="8" t="str">
        <f>IF(B110="","",IFERROR(LOOKUP(2,1/(单次交易!$A$2:$A$201=B110),单次交易!$B$2:$B$201),""))</f>
        <v/>
      </c>
      <c r="D110" s="12"/>
      <c r="E110" s="10"/>
      <c r="F110" s="10"/>
      <c r="G110" s="2"/>
      <c r="H110" s="15"/>
      <c r="I110" s="10"/>
      <c r="J110" s="12"/>
      <c r="K110" s="2"/>
      <c r="L110" s="2"/>
      <c r="M110" s="2"/>
      <c r="N110" s="5" t="str">
        <f>IF(B110="","",IFERROR(LOOKUP(2,1/(单次交易!$A$2:$A$201=B110),单次交易!$N$2:$N$201),""))</f>
        <v/>
      </c>
      <c r="O110" s="5" t="str">
        <f t="shared" si="9"/>
        <v/>
      </c>
      <c r="P110" s="11" t="str">
        <f t="shared" si="10"/>
        <v/>
      </c>
      <c r="Q110" s="5" t="str">
        <f t="shared" si="11"/>
        <v/>
      </c>
      <c r="R110" s="10"/>
      <c r="S110" s="5" t="str">
        <f t="shared" si="12"/>
        <v/>
      </c>
      <c r="T110" s="5" t="str">
        <f t="shared" si="13"/>
        <v/>
      </c>
      <c r="U110" s="5" t="str">
        <f t="shared" si="14"/>
        <v/>
      </c>
      <c r="V110" s="7" t="str">
        <f t="shared" si="15"/>
        <v/>
      </c>
      <c r="W110" s="8" t="str">
        <f t="shared" si="16"/>
        <v/>
      </c>
      <c r="X110" s="2"/>
      <c r="Y110" s="10"/>
      <c r="Z110" s="11" t="str">
        <f>IF(X110&lt;&gt;"执行卖出","",IFERROR(LOOKUP(2,1/(单次交易!$A$2:$A$201=B110),单次交易!$AP$2:$AP$201),""))</f>
        <v/>
      </c>
      <c r="AA110" s="10"/>
      <c r="AB110" s="8" t="str">
        <f t="shared" si="17"/>
        <v/>
      </c>
      <c r="AC110" s="8" t="str">
        <f>IF(A110="","",IF(A110="止损计划",IF(OR(B110="",D110="",E110="",F110="",G110=""),"计划不完整",IF(OR(D110&lt;1,D110&lt;&gt;INT(D110)),"阶段序号无效",IF(COUNTIFS($A$2:$A$497,"止损计划",$B$2:$B$497,B110,$D$2:$D$497,D110)&gt;1,"阶段序号重复",IF(E110&lt;=IFERROR(LOOKUP(2,1/(单次交易!$A$2:$A$201=B110),单次交易!$E$2:$E$201),0),"激活价须高于买入价",IF(F110&lt;N110,"止损价不得低于初始止损",IF(F110&gt;E110,"止损价不得高于激活价",IF(AND(COUNTIFS($A$2:$A$497,"止损计划",$B$2:$B$497,B110,$D$2:$D$497,"&lt;"&amp;D110)&gt;0,OR(E110&lt;=SUMPRODUCT(MAX((($A$2:$A$497="止损计划")*($B$2:$B$497=B110)*($D$2:$D$497&lt;D110))*$E$2:$E$497)),F110&lt;SUMPRODUCT(MAX((($A$2:$A$497="止损计划")*($B$2:$B$497=B110)*($D$2:$D$497&lt;D110))*$F$2:$F$497)))),"阶段价格必须逐级提高","计划有效"))))))),IF(A110="每日跟踪",IF(OR(B110="",H110="",I110="",J110=""),"每日数据不完整",IF(COUNTIFS($A$2:$A$497,"每日跟踪",$B$2:$B$497,B110,$H$2:$H$497,H110)&gt;1,"同一交易日期重复",IF(AND(R110&lt;&gt;"",R110&lt;S110),"人工止损无效：不能下调","跟踪有效"))),"记录类型无效")))</f>
        <v/>
      </c>
    </row>
    <row r="111" ht="17" spans="1:29">
      <c r="A111" s="2"/>
      <c r="B111" s="2"/>
      <c r="C111" s="8" t="str">
        <f>IF(B111="","",IFERROR(LOOKUP(2,1/(单次交易!$A$2:$A$201=B111),单次交易!$B$2:$B$201),""))</f>
        <v/>
      </c>
      <c r="D111" s="12"/>
      <c r="E111" s="10"/>
      <c r="F111" s="10"/>
      <c r="G111" s="2"/>
      <c r="H111" s="15"/>
      <c r="I111" s="10"/>
      <c r="J111" s="12"/>
      <c r="K111" s="2"/>
      <c r="L111" s="2"/>
      <c r="M111" s="2"/>
      <c r="N111" s="5" t="str">
        <f>IF(B111="","",IFERROR(LOOKUP(2,1/(单次交易!$A$2:$A$201=B111),单次交易!$N$2:$N$201),""))</f>
        <v/>
      </c>
      <c r="O111" s="5" t="str">
        <f t="shared" si="9"/>
        <v/>
      </c>
      <c r="P111" s="11" t="str">
        <f t="shared" si="10"/>
        <v/>
      </c>
      <c r="Q111" s="5" t="str">
        <f t="shared" si="11"/>
        <v/>
      </c>
      <c r="R111" s="10"/>
      <c r="S111" s="5" t="str">
        <f t="shared" si="12"/>
        <v/>
      </c>
      <c r="T111" s="5" t="str">
        <f t="shared" si="13"/>
        <v/>
      </c>
      <c r="U111" s="5" t="str">
        <f t="shared" si="14"/>
        <v/>
      </c>
      <c r="V111" s="7" t="str">
        <f t="shared" si="15"/>
        <v/>
      </c>
      <c r="W111" s="8" t="str">
        <f t="shared" si="16"/>
        <v/>
      </c>
      <c r="X111" s="2"/>
      <c r="Y111" s="10"/>
      <c r="Z111" s="11" t="str">
        <f>IF(X111&lt;&gt;"执行卖出","",IFERROR(LOOKUP(2,1/(单次交易!$A$2:$A$201=B111),单次交易!$AP$2:$AP$201),""))</f>
        <v/>
      </c>
      <c r="AA111" s="10"/>
      <c r="AB111" s="8" t="str">
        <f t="shared" si="17"/>
        <v/>
      </c>
      <c r="AC111" s="8" t="str">
        <f>IF(A111="","",IF(A111="止损计划",IF(OR(B111="",D111="",E111="",F111="",G111=""),"计划不完整",IF(OR(D111&lt;1,D111&lt;&gt;INT(D111)),"阶段序号无效",IF(COUNTIFS($A$2:$A$497,"止损计划",$B$2:$B$497,B111,$D$2:$D$497,D111)&gt;1,"阶段序号重复",IF(E111&lt;=IFERROR(LOOKUP(2,1/(单次交易!$A$2:$A$201=B111),单次交易!$E$2:$E$201),0),"激活价须高于买入价",IF(F111&lt;N111,"止损价不得低于初始止损",IF(F111&gt;E111,"止损价不得高于激活价",IF(AND(COUNTIFS($A$2:$A$497,"止损计划",$B$2:$B$497,B111,$D$2:$D$497,"&lt;"&amp;D111)&gt;0,OR(E111&lt;=SUMPRODUCT(MAX((($A$2:$A$497="止损计划")*($B$2:$B$497=B111)*($D$2:$D$497&lt;D111))*$E$2:$E$497)),F111&lt;SUMPRODUCT(MAX((($A$2:$A$497="止损计划")*($B$2:$B$497=B111)*($D$2:$D$497&lt;D111))*$F$2:$F$497)))),"阶段价格必须逐级提高","计划有效"))))))),IF(A111="每日跟踪",IF(OR(B111="",H111="",I111="",J111=""),"每日数据不完整",IF(COUNTIFS($A$2:$A$497,"每日跟踪",$B$2:$B$497,B111,$H$2:$H$497,H111)&gt;1,"同一交易日期重复",IF(AND(R111&lt;&gt;"",R111&lt;S111),"人工止损无效：不能下调","跟踪有效"))),"记录类型无效")))</f>
        <v/>
      </c>
    </row>
    <row r="112" ht="17" spans="1:29">
      <c r="A112" s="2"/>
      <c r="B112" s="2"/>
      <c r="C112" s="8" t="str">
        <f>IF(B112="","",IFERROR(LOOKUP(2,1/(单次交易!$A$2:$A$201=B112),单次交易!$B$2:$B$201),""))</f>
        <v/>
      </c>
      <c r="D112" s="12"/>
      <c r="E112" s="10"/>
      <c r="F112" s="10"/>
      <c r="G112" s="2"/>
      <c r="H112" s="15"/>
      <c r="I112" s="10"/>
      <c r="J112" s="12"/>
      <c r="K112" s="2"/>
      <c r="L112" s="2"/>
      <c r="M112" s="2"/>
      <c r="N112" s="5" t="str">
        <f>IF(B112="","",IFERROR(LOOKUP(2,1/(单次交易!$A$2:$A$201=B112),单次交易!$N$2:$N$201),""))</f>
        <v/>
      </c>
      <c r="O112" s="5" t="str">
        <f t="shared" si="9"/>
        <v/>
      </c>
      <c r="P112" s="11" t="str">
        <f t="shared" si="10"/>
        <v/>
      </c>
      <c r="Q112" s="5" t="str">
        <f t="shared" si="11"/>
        <v/>
      </c>
      <c r="R112" s="10"/>
      <c r="S112" s="5" t="str">
        <f t="shared" si="12"/>
        <v/>
      </c>
      <c r="T112" s="5" t="str">
        <f t="shared" si="13"/>
        <v/>
      </c>
      <c r="U112" s="5" t="str">
        <f t="shared" si="14"/>
        <v/>
      </c>
      <c r="V112" s="7" t="str">
        <f t="shared" si="15"/>
        <v/>
      </c>
      <c r="W112" s="8" t="str">
        <f t="shared" si="16"/>
        <v/>
      </c>
      <c r="X112" s="2"/>
      <c r="Y112" s="10"/>
      <c r="Z112" s="11" t="str">
        <f>IF(X112&lt;&gt;"执行卖出","",IFERROR(LOOKUP(2,1/(单次交易!$A$2:$A$201=B112),单次交易!$AP$2:$AP$201),""))</f>
        <v/>
      </c>
      <c r="AA112" s="10"/>
      <c r="AB112" s="8" t="str">
        <f t="shared" si="17"/>
        <v/>
      </c>
      <c r="AC112" s="8" t="str">
        <f>IF(A112="","",IF(A112="止损计划",IF(OR(B112="",D112="",E112="",F112="",G112=""),"计划不完整",IF(OR(D112&lt;1,D112&lt;&gt;INT(D112)),"阶段序号无效",IF(COUNTIFS($A$2:$A$497,"止损计划",$B$2:$B$497,B112,$D$2:$D$497,D112)&gt;1,"阶段序号重复",IF(E112&lt;=IFERROR(LOOKUP(2,1/(单次交易!$A$2:$A$201=B112),单次交易!$E$2:$E$201),0),"激活价须高于买入价",IF(F112&lt;N112,"止损价不得低于初始止损",IF(F112&gt;E112,"止损价不得高于激活价",IF(AND(COUNTIFS($A$2:$A$497,"止损计划",$B$2:$B$497,B112,$D$2:$D$497,"&lt;"&amp;D112)&gt;0,OR(E112&lt;=SUMPRODUCT(MAX((($A$2:$A$497="止损计划")*($B$2:$B$497=B112)*($D$2:$D$497&lt;D112))*$E$2:$E$497)),F112&lt;SUMPRODUCT(MAX((($A$2:$A$497="止损计划")*($B$2:$B$497=B112)*($D$2:$D$497&lt;D112))*$F$2:$F$497)))),"阶段价格必须逐级提高","计划有效"))))))),IF(A112="每日跟踪",IF(OR(B112="",H112="",I112="",J112=""),"每日数据不完整",IF(COUNTIFS($A$2:$A$497,"每日跟踪",$B$2:$B$497,B112,$H$2:$H$497,H112)&gt;1,"同一交易日期重复",IF(AND(R112&lt;&gt;"",R112&lt;S112),"人工止损无效：不能下调","跟踪有效"))),"记录类型无效")))</f>
        <v/>
      </c>
    </row>
    <row r="113" ht="17" spans="1:29">
      <c r="A113" s="2"/>
      <c r="B113" s="2"/>
      <c r="C113" s="8" t="str">
        <f>IF(B113="","",IFERROR(LOOKUP(2,1/(单次交易!$A$2:$A$201=B113),单次交易!$B$2:$B$201),""))</f>
        <v/>
      </c>
      <c r="D113" s="12"/>
      <c r="E113" s="10"/>
      <c r="F113" s="10"/>
      <c r="G113" s="2"/>
      <c r="H113" s="15"/>
      <c r="I113" s="10"/>
      <c r="J113" s="12"/>
      <c r="K113" s="2"/>
      <c r="L113" s="2"/>
      <c r="M113" s="2"/>
      <c r="N113" s="5" t="str">
        <f>IF(B113="","",IFERROR(LOOKUP(2,1/(单次交易!$A$2:$A$201=B113),单次交易!$N$2:$N$201),""))</f>
        <v/>
      </c>
      <c r="O113" s="5" t="str">
        <f t="shared" si="9"/>
        <v/>
      </c>
      <c r="P113" s="11" t="str">
        <f t="shared" si="10"/>
        <v/>
      </c>
      <c r="Q113" s="5" t="str">
        <f t="shared" si="11"/>
        <v/>
      </c>
      <c r="R113" s="10"/>
      <c r="S113" s="5" t="str">
        <f t="shared" si="12"/>
        <v/>
      </c>
      <c r="T113" s="5" t="str">
        <f t="shared" si="13"/>
        <v/>
      </c>
      <c r="U113" s="5" t="str">
        <f t="shared" si="14"/>
        <v/>
      </c>
      <c r="V113" s="7" t="str">
        <f t="shared" si="15"/>
        <v/>
      </c>
      <c r="W113" s="8" t="str">
        <f t="shared" si="16"/>
        <v/>
      </c>
      <c r="X113" s="2"/>
      <c r="Y113" s="10"/>
      <c r="Z113" s="11" t="str">
        <f>IF(X113&lt;&gt;"执行卖出","",IFERROR(LOOKUP(2,1/(单次交易!$A$2:$A$201=B113),单次交易!$AP$2:$AP$201),""))</f>
        <v/>
      </c>
      <c r="AA113" s="10"/>
      <c r="AB113" s="8" t="str">
        <f t="shared" si="17"/>
        <v/>
      </c>
      <c r="AC113" s="8" t="str">
        <f>IF(A113="","",IF(A113="止损计划",IF(OR(B113="",D113="",E113="",F113="",G113=""),"计划不完整",IF(OR(D113&lt;1,D113&lt;&gt;INT(D113)),"阶段序号无效",IF(COUNTIFS($A$2:$A$497,"止损计划",$B$2:$B$497,B113,$D$2:$D$497,D113)&gt;1,"阶段序号重复",IF(E113&lt;=IFERROR(LOOKUP(2,1/(单次交易!$A$2:$A$201=B113),单次交易!$E$2:$E$201),0),"激活价须高于买入价",IF(F113&lt;N113,"止损价不得低于初始止损",IF(F113&gt;E113,"止损价不得高于激活价",IF(AND(COUNTIFS($A$2:$A$497,"止损计划",$B$2:$B$497,B113,$D$2:$D$497,"&lt;"&amp;D113)&gt;0,OR(E113&lt;=SUMPRODUCT(MAX((($A$2:$A$497="止损计划")*($B$2:$B$497=B113)*($D$2:$D$497&lt;D113))*$E$2:$E$497)),F113&lt;SUMPRODUCT(MAX((($A$2:$A$497="止损计划")*($B$2:$B$497=B113)*($D$2:$D$497&lt;D113))*$F$2:$F$497)))),"阶段价格必须逐级提高","计划有效"))))))),IF(A113="每日跟踪",IF(OR(B113="",H113="",I113="",J113=""),"每日数据不完整",IF(COUNTIFS($A$2:$A$497,"每日跟踪",$B$2:$B$497,B113,$H$2:$H$497,H113)&gt;1,"同一交易日期重复",IF(AND(R113&lt;&gt;"",R113&lt;S113),"人工止损无效：不能下调","跟踪有效"))),"记录类型无效")))</f>
        <v/>
      </c>
    </row>
    <row r="114" ht="17" spans="1:29">
      <c r="A114" s="2"/>
      <c r="B114" s="2"/>
      <c r="C114" s="8" t="str">
        <f>IF(B114="","",IFERROR(LOOKUP(2,1/(单次交易!$A$2:$A$201=B114),单次交易!$B$2:$B$201),""))</f>
        <v/>
      </c>
      <c r="D114" s="12"/>
      <c r="E114" s="10"/>
      <c r="F114" s="10"/>
      <c r="G114" s="2"/>
      <c r="H114" s="15"/>
      <c r="I114" s="10"/>
      <c r="J114" s="12"/>
      <c r="K114" s="2"/>
      <c r="L114" s="2"/>
      <c r="M114" s="2"/>
      <c r="N114" s="5" t="str">
        <f>IF(B114="","",IFERROR(LOOKUP(2,1/(单次交易!$A$2:$A$201=B114),单次交易!$N$2:$N$201),""))</f>
        <v/>
      </c>
      <c r="O114" s="5" t="str">
        <f t="shared" si="9"/>
        <v/>
      </c>
      <c r="P114" s="11" t="str">
        <f t="shared" si="10"/>
        <v/>
      </c>
      <c r="Q114" s="5" t="str">
        <f t="shared" si="11"/>
        <v/>
      </c>
      <c r="R114" s="10"/>
      <c r="S114" s="5" t="str">
        <f t="shared" si="12"/>
        <v/>
      </c>
      <c r="T114" s="5" t="str">
        <f t="shared" si="13"/>
        <v/>
      </c>
      <c r="U114" s="5" t="str">
        <f t="shared" si="14"/>
        <v/>
      </c>
      <c r="V114" s="7" t="str">
        <f t="shared" si="15"/>
        <v/>
      </c>
      <c r="W114" s="8" t="str">
        <f t="shared" si="16"/>
        <v/>
      </c>
      <c r="X114" s="2"/>
      <c r="Y114" s="10"/>
      <c r="Z114" s="11" t="str">
        <f>IF(X114&lt;&gt;"执行卖出","",IFERROR(LOOKUP(2,1/(单次交易!$A$2:$A$201=B114),单次交易!$AP$2:$AP$201),""))</f>
        <v/>
      </c>
      <c r="AA114" s="10"/>
      <c r="AB114" s="8" t="str">
        <f t="shared" si="17"/>
        <v/>
      </c>
      <c r="AC114" s="8" t="str">
        <f>IF(A114="","",IF(A114="止损计划",IF(OR(B114="",D114="",E114="",F114="",G114=""),"计划不完整",IF(OR(D114&lt;1,D114&lt;&gt;INT(D114)),"阶段序号无效",IF(COUNTIFS($A$2:$A$497,"止损计划",$B$2:$B$497,B114,$D$2:$D$497,D114)&gt;1,"阶段序号重复",IF(E114&lt;=IFERROR(LOOKUP(2,1/(单次交易!$A$2:$A$201=B114),单次交易!$E$2:$E$201),0),"激活价须高于买入价",IF(F114&lt;N114,"止损价不得低于初始止损",IF(F114&gt;E114,"止损价不得高于激活价",IF(AND(COUNTIFS($A$2:$A$497,"止损计划",$B$2:$B$497,B114,$D$2:$D$497,"&lt;"&amp;D114)&gt;0,OR(E114&lt;=SUMPRODUCT(MAX((($A$2:$A$497="止损计划")*($B$2:$B$497=B114)*($D$2:$D$497&lt;D114))*$E$2:$E$497)),F114&lt;SUMPRODUCT(MAX((($A$2:$A$497="止损计划")*($B$2:$B$497=B114)*($D$2:$D$497&lt;D114))*$F$2:$F$497)))),"阶段价格必须逐级提高","计划有效"))))))),IF(A114="每日跟踪",IF(OR(B114="",H114="",I114="",J114=""),"每日数据不完整",IF(COUNTIFS($A$2:$A$497,"每日跟踪",$B$2:$B$497,B114,$H$2:$H$497,H114)&gt;1,"同一交易日期重复",IF(AND(R114&lt;&gt;"",R114&lt;S114),"人工止损无效：不能下调","跟踪有效"))),"记录类型无效")))</f>
        <v/>
      </c>
    </row>
    <row r="115" ht="17" spans="1:29">
      <c r="A115" s="2"/>
      <c r="B115" s="2"/>
      <c r="C115" s="8" t="str">
        <f>IF(B115="","",IFERROR(LOOKUP(2,1/(单次交易!$A$2:$A$201=B115),单次交易!$B$2:$B$201),""))</f>
        <v/>
      </c>
      <c r="D115" s="12"/>
      <c r="E115" s="10"/>
      <c r="F115" s="10"/>
      <c r="G115" s="2"/>
      <c r="H115" s="15"/>
      <c r="I115" s="10"/>
      <c r="J115" s="12"/>
      <c r="K115" s="2"/>
      <c r="L115" s="2"/>
      <c r="M115" s="2"/>
      <c r="N115" s="5" t="str">
        <f>IF(B115="","",IFERROR(LOOKUP(2,1/(单次交易!$A$2:$A$201=B115),单次交易!$N$2:$N$201),""))</f>
        <v/>
      </c>
      <c r="O115" s="5" t="str">
        <f t="shared" si="9"/>
        <v/>
      </c>
      <c r="P115" s="11" t="str">
        <f t="shared" si="10"/>
        <v/>
      </c>
      <c r="Q115" s="5" t="str">
        <f t="shared" si="11"/>
        <v/>
      </c>
      <c r="R115" s="10"/>
      <c r="S115" s="5" t="str">
        <f t="shared" si="12"/>
        <v/>
      </c>
      <c r="T115" s="5" t="str">
        <f t="shared" si="13"/>
        <v/>
      </c>
      <c r="U115" s="5" t="str">
        <f t="shared" si="14"/>
        <v/>
      </c>
      <c r="V115" s="7" t="str">
        <f t="shared" si="15"/>
        <v/>
      </c>
      <c r="W115" s="8" t="str">
        <f t="shared" si="16"/>
        <v/>
      </c>
      <c r="X115" s="2"/>
      <c r="Y115" s="10"/>
      <c r="Z115" s="11" t="str">
        <f>IF(X115&lt;&gt;"执行卖出","",IFERROR(LOOKUP(2,1/(单次交易!$A$2:$A$201=B115),单次交易!$AP$2:$AP$201),""))</f>
        <v/>
      </c>
      <c r="AA115" s="10"/>
      <c r="AB115" s="8" t="str">
        <f t="shared" si="17"/>
        <v/>
      </c>
      <c r="AC115" s="8" t="str">
        <f>IF(A115="","",IF(A115="止损计划",IF(OR(B115="",D115="",E115="",F115="",G115=""),"计划不完整",IF(OR(D115&lt;1,D115&lt;&gt;INT(D115)),"阶段序号无效",IF(COUNTIFS($A$2:$A$497,"止损计划",$B$2:$B$497,B115,$D$2:$D$497,D115)&gt;1,"阶段序号重复",IF(E115&lt;=IFERROR(LOOKUP(2,1/(单次交易!$A$2:$A$201=B115),单次交易!$E$2:$E$201),0),"激活价须高于买入价",IF(F115&lt;N115,"止损价不得低于初始止损",IF(F115&gt;E115,"止损价不得高于激活价",IF(AND(COUNTIFS($A$2:$A$497,"止损计划",$B$2:$B$497,B115,$D$2:$D$497,"&lt;"&amp;D115)&gt;0,OR(E115&lt;=SUMPRODUCT(MAX((($A$2:$A$497="止损计划")*($B$2:$B$497=B115)*($D$2:$D$497&lt;D115))*$E$2:$E$497)),F115&lt;SUMPRODUCT(MAX((($A$2:$A$497="止损计划")*($B$2:$B$497=B115)*($D$2:$D$497&lt;D115))*$F$2:$F$497)))),"阶段价格必须逐级提高","计划有效"))))))),IF(A115="每日跟踪",IF(OR(B115="",H115="",I115="",J115=""),"每日数据不完整",IF(COUNTIFS($A$2:$A$497,"每日跟踪",$B$2:$B$497,B115,$H$2:$H$497,H115)&gt;1,"同一交易日期重复",IF(AND(R115&lt;&gt;"",R115&lt;S115),"人工止损无效：不能下调","跟踪有效"))),"记录类型无效")))</f>
        <v/>
      </c>
    </row>
    <row r="116" ht="17" spans="1:29">
      <c r="A116" s="2"/>
      <c r="B116" s="2"/>
      <c r="C116" s="8" t="str">
        <f>IF(B116="","",IFERROR(LOOKUP(2,1/(单次交易!$A$2:$A$201=B116),单次交易!$B$2:$B$201),""))</f>
        <v/>
      </c>
      <c r="D116" s="12"/>
      <c r="E116" s="10"/>
      <c r="F116" s="10"/>
      <c r="G116" s="2"/>
      <c r="H116" s="15"/>
      <c r="I116" s="10"/>
      <c r="J116" s="12"/>
      <c r="K116" s="2"/>
      <c r="L116" s="2"/>
      <c r="M116" s="2"/>
      <c r="N116" s="5" t="str">
        <f>IF(B116="","",IFERROR(LOOKUP(2,1/(单次交易!$A$2:$A$201=B116),单次交易!$N$2:$N$201),""))</f>
        <v/>
      </c>
      <c r="O116" s="5" t="str">
        <f t="shared" si="9"/>
        <v/>
      </c>
      <c r="P116" s="11" t="str">
        <f t="shared" si="10"/>
        <v/>
      </c>
      <c r="Q116" s="5" t="str">
        <f t="shared" si="11"/>
        <v/>
      </c>
      <c r="R116" s="10"/>
      <c r="S116" s="5" t="str">
        <f t="shared" si="12"/>
        <v/>
      </c>
      <c r="T116" s="5" t="str">
        <f t="shared" si="13"/>
        <v/>
      </c>
      <c r="U116" s="5" t="str">
        <f t="shared" si="14"/>
        <v/>
      </c>
      <c r="V116" s="7" t="str">
        <f t="shared" si="15"/>
        <v/>
      </c>
      <c r="W116" s="8" t="str">
        <f t="shared" si="16"/>
        <v/>
      </c>
      <c r="X116" s="2"/>
      <c r="Y116" s="10"/>
      <c r="Z116" s="11" t="str">
        <f>IF(X116&lt;&gt;"执行卖出","",IFERROR(LOOKUP(2,1/(单次交易!$A$2:$A$201=B116),单次交易!$AP$2:$AP$201),""))</f>
        <v/>
      </c>
      <c r="AA116" s="10"/>
      <c r="AB116" s="8" t="str">
        <f t="shared" si="17"/>
        <v/>
      </c>
      <c r="AC116" s="8" t="str">
        <f>IF(A116="","",IF(A116="止损计划",IF(OR(B116="",D116="",E116="",F116="",G116=""),"计划不完整",IF(OR(D116&lt;1,D116&lt;&gt;INT(D116)),"阶段序号无效",IF(COUNTIFS($A$2:$A$497,"止损计划",$B$2:$B$497,B116,$D$2:$D$497,D116)&gt;1,"阶段序号重复",IF(E116&lt;=IFERROR(LOOKUP(2,1/(单次交易!$A$2:$A$201=B116),单次交易!$E$2:$E$201),0),"激活价须高于买入价",IF(F116&lt;N116,"止损价不得低于初始止损",IF(F116&gt;E116,"止损价不得高于激活价",IF(AND(COUNTIFS($A$2:$A$497,"止损计划",$B$2:$B$497,B116,$D$2:$D$497,"&lt;"&amp;D116)&gt;0,OR(E116&lt;=SUMPRODUCT(MAX((($A$2:$A$497="止损计划")*($B$2:$B$497=B116)*($D$2:$D$497&lt;D116))*$E$2:$E$497)),F116&lt;SUMPRODUCT(MAX((($A$2:$A$497="止损计划")*($B$2:$B$497=B116)*($D$2:$D$497&lt;D116))*$F$2:$F$497)))),"阶段价格必须逐级提高","计划有效"))))))),IF(A116="每日跟踪",IF(OR(B116="",H116="",I116="",J116=""),"每日数据不完整",IF(COUNTIFS($A$2:$A$497,"每日跟踪",$B$2:$B$497,B116,$H$2:$H$497,H116)&gt;1,"同一交易日期重复",IF(AND(R116&lt;&gt;"",R116&lt;S116),"人工止损无效：不能下调","跟踪有效"))),"记录类型无效")))</f>
        <v/>
      </c>
    </row>
    <row r="117" ht="17" spans="1:29">
      <c r="A117" s="2"/>
      <c r="B117" s="2"/>
      <c r="C117" s="8" t="str">
        <f>IF(B117="","",IFERROR(LOOKUP(2,1/(单次交易!$A$2:$A$201=B117),单次交易!$B$2:$B$201),""))</f>
        <v/>
      </c>
      <c r="D117" s="12"/>
      <c r="E117" s="10"/>
      <c r="F117" s="10"/>
      <c r="G117" s="2"/>
      <c r="H117" s="15"/>
      <c r="I117" s="10"/>
      <c r="J117" s="12"/>
      <c r="K117" s="2"/>
      <c r="L117" s="2"/>
      <c r="M117" s="2"/>
      <c r="N117" s="5" t="str">
        <f>IF(B117="","",IFERROR(LOOKUP(2,1/(单次交易!$A$2:$A$201=B117),单次交易!$N$2:$N$201),""))</f>
        <v/>
      </c>
      <c r="O117" s="5" t="str">
        <f t="shared" si="9"/>
        <v/>
      </c>
      <c r="P117" s="11" t="str">
        <f t="shared" si="10"/>
        <v/>
      </c>
      <c r="Q117" s="5" t="str">
        <f t="shared" si="11"/>
        <v/>
      </c>
      <c r="R117" s="10"/>
      <c r="S117" s="5" t="str">
        <f t="shared" si="12"/>
        <v/>
      </c>
      <c r="T117" s="5" t="str">
        <f t="shared" si="13"/>
        <v/>
      </c>
      <c r="U117" s="5" t="str">
        <f t="shared" si="14"/>
        <v/>
      </c>
      <c r="V117" s="7" t="str">
        <f t="shared" si="15"/>
        <v/>
      </c>
      <c r="W117" s="8" t="str">
        <f t="shared" si="16"/>
        <v/>
      </c>
      <c r="X117" s="2"/>
      <c r="Y117" s="10"/>
      <c r="Z117" s="11" t="str">
        <f>IF(X117&lt;&gt;"执行卖出","",IFERROR(LOOKUP(2,1/(单次交易!$A$2:$A$201=B117),单次交易!$AP$2:$AP$201),""))</f>
        <v/>
      </c>
      <c r="AA117" s="10"/>
      <c r="AB117" s="8" t="str">
        <f t="shared" si="17"/>
        <v/>
      </c>
      <c r="AC117" s="8" t="str">
        <f>IF(A117="","",IF(A117="止损计划",IF(OR(B117="",D117="",E117="",F117="",G117=""),"计划不完整",IF(OR(D117&lt;1,D117&lt;&gt;INT(D117)),"阶段序号无效",IF(COUNTIFS($A$2:$A$497,"止损计划",$B$2:$B$497,B117,$D$2:$D$497,D117)&gt;1,"阶段序号重复",IF(E117&lt;=IFERROR(LOOKUP(2,1/(单次交易!$A$2:$A$201=B117),单次交易!$E$2:$E$201),0),"激活价须高于买入价",IF(F117&lt;N117,"止损价不得低于初始止损",IF(F117&gt;E117,"止损价不得高于激活价",IF(AND(COUNTIFS($A$2:$A$497,"止损计划",$B$2:$B$497,B117,$D$2:$D$497,"&lt;"&amp;D117)&gt;0,OR(E117&lt;=SUMPRODUCT(MAX((($A$2:$A$497="止损计划")*($B$2:$B$497=B117)*($D$2:$D$497&lt;D117))*$E$2:$E$497)),F117&lt;SUMPRODUCT(MAX((($A$2:$A$497="止损计划")*($B$2:$B$497=B117)*($D$2:$D$497&lt;D117))*$F$2:$F$497)))),"阶段价格必须逐级提高","计划有效"))))))),IF(A117="每日跟踪",IF(OR(B117="",H117="",I117="",J117=""),"每日数据不完整",IF(COUNTIFS($A$2:$A$497,"每日跟踪",$B$2:$B$497,B117,$H$2:$H$497,H117)&gt;1,"同一交易日期重复",IF(AND(R117&lt;&gt;"",R117&lt;S117),"人工止损无效：不能下调","跟踪有效"))),"记录类型无效")))</f>
        <v/>
      </c>
    </row>
    <row r="118" ht="17" spans="1:29">
      <c r="A118" s="2"/>
      <c r="B118" s="2"/>
      <c r="C118" s="8" t="str">
        <f>IF(B118="","",IFERROR(LOOKUP(2,1/(单次交易!$A$2:$A$201=B118),单次交易!$B$2:$B$201),""))</f>
        <v/>
      </c>
      <c r="D118" s="12"/>
      <c r="E118" s="10"/>
      <c r="F118" s="10"/>
      <c r="G118" s="2"/>
      <c r="H118" s="15"/>
      <c r="I118" s="10"/>
      <c r="J118" s="12"/>
      <c r="K118" s="2"/>
      <c r="L118" s="2"/>
      <c r="M118" s="2"/>
      <c r="N118" s="5" t="str">
        <f>IF(B118="","",IFERROR(LOOKUP(2,1/(单次交易!$A$2:$A$201=B118),单次交易!$N$2:$N$201),""))</f>
        <v/>
      </c>
      <c r="O118" s="5" t="str">
        <f t="shared" si="9"/>
        <v/>
      </c>
      <c r="P118" s="11" t="str">
        <f t="shared" si="10"/>
        <v/>
      </c>
      <c r="Q118" s="5" t="str">
        <f t="shared" si="11"/>
        <v/>
      </c>
      <c r="R118" s="10"/>
      <c r="S118" s="5" t="str">
        <f t="shared" si="12"/>
        <v/>
      </c>
      <c r="T118" s="5" t="str">
        <f t="shared" si="13"/>
        <v/>
      </c>
      <c r="U118" s="5" t="str">
        <f t="shared" si="14"/>
        <v/>
      </c>
      <c r="V118" s="7" t="str">
        <f t="shared" si="15"/>
        <v/>
      </c>
      <c r="W118" s="8" t="str">
        <f t="shared" si="16"/>
        <v/>
      </c>
      <c r="X118" s="2"/>
      <c r="Y118" s="10"/>
      <c r="Z118" s="11" t="str">
        <f>IF(X118&lt;&gt;"执行卖出","",IFERROR(LOOKUP(2,1/(单次交易!$A$2:$A$201=B118),单次交易!$AP$2:$AP$201),""))</f>
        <v/>
      </c>
      <c r="AA118" s="10"/>
      <c r="AB118" s="8" t="str">
        <f t="shared" si="17"/>
        <v/>
      </c>
      <c r="AC118" s="8" t="str">
        <f>IF(A118="","",IF(A118="止损计划",IF(OR(B118="",D118="",E118="",F118="",G118=""),"计划不完整",IF(OR(D118&lt;1,D118&lt;&gt;INT(D118)),"阶段序号无效",IF(COUNTIFS($A$2:$A$497,"止损计划",$B$2:$B$497,B118,$D$2:$D$497,D118)&gt;1,"阶段序号重复",IF(E118&lt;=IFERROR(LOOKUP(2,1/(单次交易!$A$2:$A$201=B118),单次交易!$E$2:$E$201),0),"激活价须高于买入价",IF(F118&lt;N118,"止损价不得低于初始止损",IF(F118&gt;E118,"止损价不得高于激活价",IF(AND(COUNTIFS($A$2:$A$497,"止损计划",$B$2:$B$497,B118,$D$2:$D$497,"&lt;"&amp;D118)&gt;0,OR(E118&lt;=SUMPRODUCT(MAX((($A$2:$A$497="止损计划")*($B$2:$B$497=B118)*($D$2:$D$497&lt;D118))*$E$2:$E$497)),F118&lt;SUMPRODUCT(MAX((($A$2:$A$497="止损计划")*($B$2:$B$497=B118)*($D$2:$D$497&lt;D118))*$F$2:$F$497)))),"阶段价格必须逐级提高","计划有效"))))))),IF(A118="每日跟踪",IF(OR(B118="",H118="",I118="",J118=""),"每日数据不完整",IF(COUNTIFS($A$2:$A$497,"每日跟踪",$B$2:$B$497,B118,$H$2:$H$497,H118)&gt;1,"同一交易日期重复",IF(AND(R118&lt;&gt;"",R118&lt;S118),"人工止损无效：不能下调","跟踪有效"))),"记录类型无效")))</f>
        <v/>
      </c>
    </row>
    <row r="119" ht="17" spans="1:29">
      <c r="A119" s="2"/>
      <c r="B119" s="2"/>
      <c r="C119" s="8" t="str">
        <f>IF(B119="","",IFERROR(LOOKUP(2,1/(单次交易!$A$2:$A$201=B119),单次交易!$B$2:$B$201),""))</f>
        <v/>
      </c>
      <c r="D119" s="12"/>
      <c r="E119" s="10"/>
      <c r="F119" s="10"/>
      <c r="G119" s="2"/>
      <c r="H119" s="15"/>
      <c r="I119" s="10"/>
      <c r="J119" s="12"/>
      <c r="K119" s="2"/>
      <c r="L119" s="2"/>
      <c r="M119" s="2"/>
      <c r="N119" s="5" t="str">
        <f>IF(B119="","",IFERROR(LOOKUP(2,1/(单次交易!$A$2:$A$201=B119),单次交易!$N$2:$N$201),""))</f>
        <v/>
      </c>
      <c r="O119" s="5" t="str">
        <f t="shared" si="9"/>
        <v/>
      </c>
      <c r="P119" s="11" t="str">
        <f t="shared" si="10"/>
        <v/>
      </c>
      <c r="Q119" s="5" t="str">
        <f t="shared" si="11"/>
        <v/>
      </c>
      <c r="R119" s="10"/>
      <c r="S119" s="5" t="str">
        <f t="shared" si="12"/>
        <v/>
      </c>
      <c r="T119" s="5" t="str">
        <f t="shared" si="13"/>
        <v/>
      </c>
      <c r="U119" s="5" t="str">
        <f t="shared" si="14"/>
        <v/>
      </c>
      <c r="V119" s="7" t="str">
        <f t="shared" si="15"/>
        <v/>
      </c>
      <c r="W119" s="8" t="str">
        <f t="shared" si="16"/>
        <v/>
      </c>
      <c r="X119" s="2"/>
      <c r="Y119" s="10"/>
      <c r="Z119" s="11" t="str">
        <f>IF(X119&lt;&gt;"执行卖出","",IFERROR(LOOKUP(2,1/(单次交易!$A$2:$A$201=B119),单次交易!$AP$2:$AP$201),""))</f>
        <v/>
      </c>
      <c r="AA119" s="10"/>
      <c r="AB119" s="8" t="str">
        <f t="shared" si="17"/>
        <v/>
      </c>
      <c r="AC119" s="8" t="str">
        <f>IF(A119="","",IF(A119="止损计划",IF(OR(B119="",D119="",E119="",F119="",G119=""),"计划不完整",IF(OR(D119&lt;1,D119&lt;&gt;INT(D119)),"阶段序号无效",IF(COUNTIFS($A$2:$A$497,"止损计划",$B$2:$B$497,B119,$D$2:$D$497,D119)&gt;1,"阶段序号重复",IF(E119&lt;=IFERROR(LOOKUP(2,1/(单次交易!$A$2:$A$201=B119),单次交易!$E$2:$E$201),0),"激活价须高于买入价",IF(F119&lt;N119,"止损价不得低于初始止损",IF(F119&gt;E119,"止损价不得高于激活价",IF(AND(COUNTIFS($A$2:$A$497,"止损计划",$B$2:$B$497,B119,$D$2:$D$497,"&lt;"&amp;D119)&gt;0,OR(E119&lt;=SUMPRODUCT(MAX((($A$2:$A$497="止损计划")*($B$2:$B$497=B119)*($D$2:$D$497&lt;D119))*$E$2:$E$497)),F119&lt;SUMPRODUCT(MAX((($A$2:$A$497="止损计划")*($B$2:$B$497=B119)*($D$2:$D$497&lt;D119))*$F$2:$F$497)))),"阶段价格必须逐级提高","计划有效"))))))),IF(A119="每日跟踪",IF(OR(B119="",H119="",I119="",J119=""),"每日数据不完整",IF(COUNTIFS($A$2:$A$497,"每日跟踪",$B$2:$B$497,B119,$H$2:$H$497,H119)&gt;1,"同一交易日期重复",IF(AND(R119&lt;&gt;"",R119&lt;S119),"人工止损无效：不能下调","跟踪有效"))),"记录类型无效")))</f>
        <v/>
      </c>
    </row>
    <row r="120" ht="17" spans="1:29">
      <c r="A120" s="2"/>
      <c r="B120" s="2"/>
      <c r="C120" s="8" t="str">
        <f>IF(B120="","",IFERROR(LOOKUP(2,1/(单次交易!$A$2:$A$201=B120),单次交易!$B$2:$B$201),""))</f>
        <v/>
      </c>
      <c r="D120" s="12"/>
      <c r="E120" s="10"/>
      <c r="F120" s="10"/>
      <c r="G120" s="2"/>
      <c r="H120" s="15"/>
      <c r="I120" s="10"/>
      <c r="J120" s="12"/>
      <c r="K120" s="2"/>
      <c r="L120" s="2"/>
      <c r="M120" s="2"/>
      <c r="N120" s="5" t="str">
        <f>IF(B120="","",IFERROR(LOOKUP(2,1/(单次交易!$A$2:$A$201=B120),单次交易!$N$2:$N$201),""))</f>
        <v/>
      </c>
      <c r="O120" s="5" t="str">
        <f t="shared" si="9"/>
        <v/>
      </c>
      <c r="P120" s="11" t="str">
        <f t="shared" si="10"/>
        <v/>
      </c>
      <c r="Q120" s="5" t="str">
        <f t="shared" si="11"/>
        <v/>
      </c>
      <c r="R120" s="10"/>
      <c r="S120" s="5" t="str">
        <f t="shared" si="12"/>
        <v/>
      </c>
      <c r="T120" s="5" t="str">
        <f t="shared" si="13"/>
        <v/>
      </c>
      <c r="U120" s="5" t="str">
        <f t="shared" si="14"/>
        <v/>
      </c>
      <c r="V120" s="7" t="str">
        <f t="shared" si="15"/>
        <v/>
      </c>
      <c r="W120" s="8" t="str">
        <f t="shared" si="16"/>
        <v/>
      </c>
      <c r="X120" s="2"/>
      <c r="Y120" s="10"/>
      <c r="Z120" s="11" t="str">
        <f>IF(X120&lt;&gt;"执行卖出","",IFERROR(LOOKUP(2,1/(单次交易!$A$2:$A$201=B120),单次交易!$AP$2:$AP$201),""))</f>
        <v/>
      </c>
      <c r="AA120" s="10"/>
      <c r="AB120" s="8" t="str">
        <f t="shared" si="17"/>
        <v/>
      </c>
      <c r="AC120" s="8" t="str">
        <f>IF(A120="","",IF(A120="止损计划",IF(OR(B120="",D120="",E120="",F120="",G120=""),"计划不完整",IF(OR(D120&lt;1,D120&lt;&gt;INT(D120)),"阶段序号无效",IF(COUNTIFS($A$2:$A$497,"止损计划",$B$2:$B$497,B120,$D$2:$D$497,D120)&gt;1,"阶段序号重复",IF(E120&lt;=IFERROR(LOOKUP(2,1/(单次交易!$A$2:$A$201=B120),单次交易!$E$2:$E$201),0),"激活价须高于买入价",IF(F120&lt;N120,"止损价不得低于初始止损",IF(F120&gt;E120,"止损价不得高于激活价",IF(AND(COUNTIFS($A$2:$A$497,"止损计划",$B$2:$B$497,B120,$D$2:$D$497,"&lt;"&amp;D120)&gt;0,OR(E120&lt;=SUMPRODUCT(MAX((($A$2:$A$497="止损计划")*($B$2:$B$497=B120)*($D$2:$D$497&lt;D120))*$E$2:$E$497)),F120&lt;SUMPRODUCT(MAX((($A$2:$A$497="止损计划")*($B$2:$B$497=B120)*($D$2:$D$497&lt;D120))*$F$2:$F$497)))),"阶段价格必须逐级提高","计划有效"))))))),IF(A120="每日跟踪",IF(OR(B120="",H120="",I120="",J120=""),"每日数据不完整",IF(COUNTIFS($A$2:$A$497,"每日跟踪",$B$2:$B$497,B120,$H$2:$H$497,H120)&gt;1,"同一交易日期重复",IF(AND(R120&lt;&gt;"",R120&lt;S120),"人工止损无效：不能下调","跟踪有效"))),"记录类型无效")))</f>
        <v/>
      </c>
    </row>
    <row r="121" ht="17" spans="1:29">
      <c r="A121" s="2"/>
      <c r="B121" s="2"/>
      <c r="C121" s="8" t="str">
        <f>IF(B121="","",IFERROR(LOOKUP(2,1/(单次交易!$A$2:$A$201=B121),单次交易!$B$2:$B$201),""))</f>
        <v/>
      </c>
      <c r="D121" s="12"/>
      <c r="E121" s="10"/>
      <c r="F121" s="10"/>
      <c r="G121" s="2"/>
      <c r="H121" s="15"/>
      <c r="I121" s="10"/>
      <c r="J121" s="12"/>
      <c r="K121" s="2"/>
      <c r="L121" s="2"/>
      <c r="M121" s="2"/>
      <c r="N121" s="5" t="str">
        <f>IF(B121="","",IFERROR(LOOKUP(2,1/(单次交易!$A$2:$A$201=B121),单次交易!$N$2:$N$201),""))</f>
        <v/>
      </c>
      <c r="O121" s="5" t="str">
        <f t="shared" si="9"/>
        <v/>
      </c>
      <c r="P121" s="11" t="str">
        <f t="shared" si="10"/>
        <v/>
      </c>
      <c r="Q121" s="5" t="str">
        <f t="shared" si="11"/>
        <v/>
      </c>
      <c r="R121" s="10"/>
      <c r="S121" s="5" t="str">
        <f t="shared" si="12"/>
        <v/>
      </c>
      <c r="T121" s="5" t="str">
        <f t="shared" si="13"/>
        <v/>
      </c>
      <c r="U121" s="5" t="str">
        <f t="shared" si="14"/>
        <v/>
      </c>
      <c r="V121" s="7" t="str">
        <f t="shared" si="15"/>
        <v/>
      </c>
      <c r="W121" s="8" t="str">
        <f t="shared" si="16"/>
        <v/>
      </c>
      <c r="X121" s="2"/>
      <c r="Y121" s="10"/>
      <c r="Z121" s="11" t="str">
        <f>IF(X121&lt;&gt;"执行卖出","",IFERROR(LOOKUP(2,1/(单次交易!$A$2:$A$201=B121),单次交易!$AP$2:$AP$201),""))</f>
        <v/>
      </c>
      <c r="AA121" s="10"/>
      <c r="AB121" s="8" t="str">
        <f t="shared" si="17"/>
        <v/>
      </c>
      <c r="AC121" s="8" t="str">
        <f>IF(A121="","",IF(A121="止损计划",IF(OR(B121="",D121="",E121="",F121="",G121=""),"计划不完整",IF(OR(D121&lt;1,D121&lt;&gt;INT(D121)),"阶段序号无效",IF(COUNTIFS($A$2:$A$497,"止损计划",$B$2:$B$497,B121,$D$2:$D$497,D121)&gt;1,"阶段序号重复",IF(E121&lt;=IFERROR(LOOKUP(2,1/(单次交易!$A$2:$A$201=B121),单次交易!$E$2:$E$201),0),"激活价须高于买入价",IF(F121&lt;N121,"止损价不得低于初始止损",IF(F121&gt;E121,"止损价不得高于激活价",IF(AND(COUNTIFS($A$2:$A$497,"止损计划",$B$2:$B$497,B121,$D$2:$D$497,"&lt;"&amp;D121)&gt;0,OR(E121&lt;=SUMPRODUCT(MAX((($A$2:$A$497="止损计划")*($B$2:$B$497=B121)*($D$2:$D$497&lt;D121))*$E$2:$E$497)),F121&lt;SUMPRODUCT(MAX((($A$2:$A$497="止损计划")*($B$2:$B$497=B121)*($D$2:$D$497&lt;D121))*$F$2:$F$497)))),"阶段价格必须逐级提高","计划有效"))))))),IF(A121="每日跟踪",IF(OR(B121="",H121="",I121="",J121=""),"每日数据不完整",IF(COUNTIFS($A$2:$A$497,"每日跟踪",$B$2:$B$497,B121,$H$2:$H$497,H121)&gt;1,"同一交易日期重复",IF(AND(R121&lt;&gt;"",R121&lt;S121),"人工止损无效：不能下调","跟踪有效"))),"记录类型无效")))</f>
        <v/>
      </c>
    </row>
    <row r="122" ht="17" spans="1:29">
      <c r="A122" s="2"/>
      <c r="B122" s="2"/>
      <c r="C122" s="8" t="str">
        <f>IF(B122="","",IFERROR(LOOKUP(2,1/(单次交易!$A$2:$A$201=B122),单次交易!$B$2:$B$201),""))</f>
        <v/>
      </c>
      <c r="D122" s="12"/>
      <c r="E122" s="10"/>
      <c r="F122" s="10"/>
      <c r="G122" s="2"/>
      <c r="H122" s="15"/>
      <c r="I122" s="10"/>
      <c r="J122" s="12"/>
      <c r="K122" s="2"/>
      <c r="L122" s="2"/>
      <c r="M122" s="2"/>
      <c r="N122" s="5" t="str">
        <f>IF(B122="","",IFERROR(LOOKUP(2,1/(单次交易!$A$2:$A$201=B122),单次交易!$N$2:$N$201),""))</f>
        <v/>
      </c>
      <c r="O122" s="5" t="str">
        <f t="shared" si="9"/>
        <v/>
      </c>
      <c r="P122" s="11" t="str">
        <f t="shared" si="10"/>
        <v/>
      </c>
      <c r="Q122" s="5" t="str">
        <f t="shared" si="11"/>
        <v/>
      </c>
      <c r="R122" s="10"/>
      <c r="S122" s="5" t="str">
        <f t="shared" si="12"/>
        <v/>
      </c>
      <c r="T122" s="5" t="str">
        <f t="shared" si="13"/>
        <v/>
      </c>
      <c r="U122" s="5" t="str">
        <f t="shared" si="14"/>
        <v/>
      </c>
      <c r="V122" s="7" t="str">
        <f t="shared" si="15"/>
        <v/>
      </c>
      <c r="W122" s="8" t="str">
        <f t="shared" si="16"/>
        <v/>
      </c>
      <c r="X122" s="2"/>
      <c r="Y122" s="10"/>
      <c r="Z122" s="11" t="str">
        <f>IF(X122&lt;&gt;"执行卖出","",IFERROR(LOOKUP(2,1/(单次交易!$A$2:$A$201=B122),单次交易!$AP$2:$AP$201),""))</f>
        <v/>
      </c>
      <c r="AA122" s="10"/>
      <c r="AB122" s="8" t="str">
        <f t="shared" si="17"/>
        <v/>
      </c>
      <c r="AC122" s="8" t="str">
        <f>IF(A122="","",IF(A122="止损计划",IF(OR(B122="",D122="",E122="",F122="",G122=""),"计划不完整",IF(OR(D122&lt;1,D122&lt;&gt;INT(D122)),"阶段序号无效",IF(COUNTIFS($A$2:$A$497,"止损计划",$B$2:$B$497,B122,$D$2:$D$497,D122)&gt;1,"阶段序号重复",IF(E122&lt;=IFERROR(LOOKUP(2,1/(单次交易!$A$2:$A$201=B122),单次交易!$E$2:$E$201),0),"激活价须高于买入价",IF(F122&lt;N122,"止损价不得低于初始止损",IF(F122&gt;E122,"止损价不得高于激活价",IF(AND(COUNTIFS($A$2:$A$497,"止损计划",$B$2:$B$497,B122,$D$2:$D$497,"&lt;"&amp;D122)&gt;0,OR(E122&lt;=SUMPRODUCT(MAX((($A$2:$A$497="止损计划")*($B$2:$B$497=B122)*($D$2:$D$497&lt;D122))*$E$2:$E$497)),F122&lt;SUMPRODUCT(MAX((($A$2:$A$497="止损计划")*($B$2:$B$497=B122)*($D$2:$D$497&lt;D122))*$F$2:$F$497)))),"阶段价格必须逐级提高","计划有效"))))))),IF(A122="每日跟踪",IF(OR(B122="",H122="",I122="",J122=""),"每日数据不完整",IF(COUNTIFS($A$2:$A$497,"每日跟踪",$B$2:$B$497,B122,$H$2:$H$497,H122)&gt;1,"同一交易日期重复",IF(AND(R122&lt;&gt;"",R122&lt;S122),"人工止损无效：不能下调","跟踪有效"))),"记录类型无效")))</f>
        <v/>
      </c>
    </row>
    <row r="123" ht="17" spans="1:29">
      <c r="A123" s="2"/>
      <c r="B123" s="2"/>
      <c r="C123" s="8" t="str">
        <f>IF(B123="","",IFERROR(LOOKUP(2,1/(单次交易!$A$2:$A$201=B123),单次交易!$B$2:$B$201),""))</f>
        <v/>
      </c>
      <c r="D123" s="12"/>
      <c r="E123" s="10"/>
      <c r="F123" s="10"/>
      <c r="G123" s="2"/>
      <c r="H123" s="15"/>
      <c r="I123" s="10"/>
      <c r="J123" s="12"/>
      <c r="K123" s="2"/>
      <c r="L123" s="2"/>
      <c r="M123" s="2"/>
      <c r="N123" s="5" t="str">
        <f>IF(B123="","",IFERROR(LOOKUP(2,1/(单次交易!$A$2:$A$201=B123),单次交易!$N$2:$N$201),""))</f>
        <v/>
      </c>
      <c r="O123" s="5" t="str">
        <f t="shared" si="9"/>
        <v/>
      </c>
      <c r="P123" s="11" t="str">
        <f t="shared" si="10"/>
        <v/>
      </c>
      <c r="Q123" s="5" t="str">
        <f t="shared" si="11"/>
        <v/>
      </c>
      <c r="R123" s="10"/>
      <c r="S123" s="5" t="str">
        <f t="shared" si="12"/>
        <v/>
      </c>
      <c r="T123" s="5" t="str">
        <f t="shared" si="13"/>
        <v/>
      </c>
      <c r="U123" s="5" t="str">
        <f t="shared" si="14"/>
        <v/>
      </c>
      <c r="V123" s="7" t="str">
        <f t="shared" si="15"/>
        <v/>
      </c>
      <c r="W123" s="8" t="str">
        <f t="shared" si="16"/>
        <v/>
      </c>
      <c r="X123" s="2"/>
      <c r="Y123" s="10"/>
      <c r="Z123" s="11" t="str">
        <f>IF(X123&lt;&gt;"执行卖出","",IFERROR(LOOKUP(2,1/(单次交易!$A$2:$A$201=B123),单次交易!$AP$2:$AP$201),""))</f>
        <v/>
      </c>
      <c r="AA123" s="10"/>
      <c r="AB123" s="8" t="str">
        <f t="shared" si="17"/>
        <v/>
      </c>
      <c r="AC123" s="8" t="str">
        <f>IF(A123="","",IF(A123="止损计划",IF(OR(B123="",D123="",E123="",F123="",G123=""),"计划不完整",IF(OR(D123&lt;1,D123&lt;&gt;INT(D123)),"阶段序号无效",IF(COUNTIFS($A$2:$A$497,"止损计划",$B$2:$B$497,B123,$D$2:$D$497,D123)&gt;1,"阶段序号重复",IF(E123&lt;=IFERROR(LOOKUP(2,1/(单次交易!$A$2:$A$201=B123),单次交易!$E$2:$E$201),0),"激活价须高于买入价",IF(F123&lt;N123,"止损价不得低于初始止损",IF(F123&gt;E123,"止损价不得高于激活价",IF(AND(COUNTIFS($A$2:$A$497,"止损计划",$B$2:$B$497,B123,$D$2:$D$497,"&lt;"&amp;D123)&gt;0,OR(E123&lt;=SUMPRODUCT(MAX((($A$2:$A$497="止损计划")*($B$2:$B$497=B123)*($D$2:$D$497&lt;D123))*$E$2:$E$497)),F123&lt;SUMPRODUCT(MAX((($A$2:$A$497="止损计划")*($B$2:$B$497=B123)*($D$2:$D$497&lt;D123))*$F$2:$F$497)))),"阶段价格必须逐级提高","计划有效"))))))),IF(A123="每日跟踪",IF(OR(B123="",H123="",I123="",J123=""),"每日数据不完整",IF(COUNTIFS($A$2:$A$497,"每日跟踪",$B$2:$B$497,B123,$H$2:$H$497,H123)&gt;1,"同一交易日期重复",IF(AND(R123&lt;&gt;"",R123&lt;S123),"人工止损无效：不能下调","跟踪有效"))),"记录类型无效")))</f>
        <v/>
      </c>
    </row>
    <row r="124" ht="17" spans="1:29">
      <c r="A124" s="2"/>
      <c r="B124" s="2"/>
      <c r="C124" s="8" t="str">
        <f>IF(B124="","",IFERROR(LOOKUP(2,1/(单次交易!$A$2:$A$201=B124),单次交易!$B$2:$B$201),""))</f>
        <v/>
      </c>
      <c r="D124" s="12"/>
      <c r="E124" s="10"/>
      <c r="F124" s="10"/>
      <c r="G124" s="2"/>
      <c r="H124" s="15"/>
      <c r="I124" s="10"/>
      <c r="J124" s="12"/>
      <c r="K124" s="2"/>
      <c r="L124" s="2"/>
      <c r="M124" s="2"/>
      <c r="N124" s="5" t="str">
        <f>IF(B124="","",IFERROR(LOOKUP(2,1/(单次交易!$A$2:$A$201=B124),单次交易!$N$2:$N$201),""))</f>
        <v/>
      </c>
      <c r="O124" s="5" t="str">
        <f t="shared" si="9"/>
        <v/>
      </c>
      <c r="P124" s="11" t="str">
        <f t="shared" si="10"/>
        <v/>
      </c>
      <c r="Q124" s="5" t="str">
        <f t="shared" si="11"/>
        <v/>
      </c>
      <c r="R124" s="10"/>
      <c r="S124" s="5" t="str">
        <f t="shared" si="12"/>
        <v/>
      </c>
      <c r="T124" s="5" t="str">
        <f t="shared" si="13"/>
        <v/>
      </c>
      <c r="U124" s="5" t="str">
        <f t="shared" si="14"/>
        <v/>
      </c>
      <c r="V124" s="7" t="str">
        <f t="shared" si="15"/>
        <v/>
      </c>
      <c r="W124" s="8" t="str">
        <f t="shared" si="16"/>
        <v/>
      </c>
      <c r="X124" s="2"/>
      <c r="Y124" s="10"/>
      <c r="Z124" s="11" t="str">
        <f>IF(X124&lt;&gt;"执行卖出","",IFERROR(LOOKUP(2,1/(单次交易!$A$2:$A$201=B124),单次交易!$AP$2:$AP$201),""))</f>
        <v/>
      </c>
      <c r="AA124" s="10"/>
      <c r="AB124" s="8" t="str">
        <f t="shared" si="17"/>
        <v/>
      </c>
      <c r="AC124" s="8" t="str">
        <f>IF(A124="","",IF(A124="止损计划",IF(OR(B124="",D124="",E124="",F124="",G124=""),"计划不完整",IF(OR(D124&lt;1,D124&lt;&gt;INT(D124)),"阶段序号无效",IF(COUNTIFS($A$2:$A$497,"止损计划",$B$2:$B$497,B124,$D$2:$D$497,D124)&gt;1,"阶段序号重复",IF(E124&lt;=IFERROR(LOOKUP(2,1/(单次交易!$A$2:$A$201=B124),单次交易!$E$2:$E$201),0),"激活价须高于买入价",IF(F124&lt;N124,"止损价不得低于初始止损",IF(F124&gt;E124,"止损价不得高于激活价",IF(AND(COUNTIFS($A$2:$A$497,"止损计划",$B$2:$B$497,B124,$D$2:$D$497,"&lt;"&amp;D124)&gt;0,OR(E124&lt;=SUMPRODUCT(MAX((($A$2:$A$497="止损计划")*($B$2:$B$497=B124)*($D$2:$D$497&lt;D124))*$E$2:$E$497)),F124&lt;SUMPRODUCT(MAX((($A$2:$A$497="止损计划")*($B$2:$B$497=B124)*($D$2:$D$497&lt;D124))*$F$2:$F$497)))),"阶段价格必须逐级提高","计划有效"))))))),IF(A124="每日跟踪",IF(OR(B124="",H124="",I124="",J124=""),"每日数据不完整",IF(COUNTIFS($A$2:$A$497,"每日跟踪",$B$2:$B$497,B124,$H$2:$H$497,H124)&gt;1,"同一交易日期重复",IF(AND(R124&lt;&gt;"",R124&lt;S124),"人工止损无效：不能下调","跟踪有效"))),"记录类型无效")))</f>
        <v/>
      </c>
    </row>
    <row r="125" ht="17" spans="1:29">
      <c r="A125" s="2"/>
      <c r="B125" s="2"/>
      <c r="C125" s="8" t="str">
        <f>IF(B125="","",IFERROR(LOOKUP(2,1/(单次交易!$A$2:$A$201=B125),单次交易!$B$2:$B$201),""))</f>
        <v/>
      </c>
      <c r="D125" s="12"/>
      <c r="E125" s="10"/>
      <c r="F125" s="10"/>
      <c r="G125" s="2"/>
      <c r="H125" s="15"/>
      <c r="I125" s="10"/>
      <c r="J125" s="12"/>
      <c r="K125" s="2"/>
      <c r="L125" s="2"/>
      <c r="M125" s="2"/>
      <c r="N125" s="5" t="str">
        <f>IF(B125="","",IFERROR(LOOKUP(2,1/(单次交易!$A$2:$A$201=B125),单次交易!$N$2:$N$201),""))</f>
        <v/>
      </c>
      <c r="O125" s="5" t="str">
        <f t="shared" si="9"/>
        <v/>
      </c>
      <c r="P125" s="11" t="str">
        <f t="shared" si="10"/>
        <v/>
      </c>
      <c r="Q125" s="5" t="str">
        <f t="shared" si="11"/>
        <v/>
      </c>
      <c r="R125" s="10"/>
      <c r="S125" s="5" t="str">
        <f t="shared" si="12"/>
        <v/>
      </c>
      <c r="T125" s="5" t="str">
        <f t="shared" si="13"/>
        <v/>
      </c>
      <c r="U125" s="5" t="str">
        <f t="shared" si="14"/>
        <v/>
      </c>
      <c r="V125" s="7" t="str">
        <f t="shared" si="15"/>
        <v/>
      </c>
      <c r="W125" s="8" t="str">
        <f t="shared" si="16"/>
        <v/>
      </c>
      <c r="X125" s="2"/>
      <c r="Y125" s="10"/>
      <c r="Z125" s="11" t="str">
        <f>IF(X125&lt;&gt;"执行卖出","",IFERROR(LOOKUP(2,1/(单次交易!$A$2:$A$201=B125),单次交易!$AP$2:$AP$201),""))</f>
        <v/>
      </c>
      <c r="AA125" s="10"/>
      <c r="AB125" s="8" t="str">
        <f t="shared" si="17"/>
        <v/>
      </c>
      <c r="AC125" s="8" t="str">
        <f>IF(A125="","",IF(A125="止损计划",IF(OR(B125="",D125="",E125="",F125="",G125=""),"计划不完整",IF(OR(D125&lt;1,D125&lt;&gt;INT(D125)),"阶段序号无效",IF(COUNTIFS($A$2:$A$497,"止损计划",$B$2:$B$497,B125,$D$2:$D$497,D125)&gt;1,"阶段序号重复",IF(E125&lt;=IFERROR(LOOKUP(2,1/(单次交易!$A$2:$A$201=B125),单次交易!$E$2:$E$201),0),"激活价须高于买入价",IF(F125&lt;N125,"止损价不得低于初始止损",IF(F125&gt;E125,"止损价不得高于激活价",IF(AND(COUNTIFS($A$2:$A$497,"止损计划",$B$2:$B$497,B125,$D$2:$D$497,"&lt;"&amp;D125)&gt;0,OR(E125&lt;=SUMPRODUCT(MAX((($A$2:$A$497="止损计划")*($B$2:$B$497=B125)*($D$2:$D$497&lt;D125))*$E$2:$E$497)),F125&lt;SUMPRODUCT(MAX((($A$2:$A$497="止损计划")*($B$2:$B$497=B125)*($D$2:$D$497&lt;D125))*$F$2:$F$497)))),"阶段价格必须逐级提高","计划有效"))))))),IF(A125="每日跟踪",IF(OR(B125="",H125="",I125="",J125=""),"每日数据不完整",IF(COUNTIFS($A$2:$A$497,"每日跟踪",$B$2:$B$497,B125,$H$2:$H$497,H125)&gt;1,"同一交易日期重复",IF(AND(R125&lt;&gt;"",R125&lt;S125),"人工止损无效：不能下调","跟踪有效"))),"记录类型无效")))</f>
        <v/>
      </c>
    </row>
    <row r="126" ht="17" spans="1:29">
      <c r="A126" s="2"/>
      <c r="B126" s="2"/>
      <c r="C126" s="8" t="str">
        <f>IF(B126="","",IFERROR(LOOKUP(2,1/(单次交易!$A$2:$A$201=B126),单次交易!$B$2:$B$201),""))</f>
        <v/>
      </c>
      <c r="D126" s="12"/>
      <c r="E126" s="10"/>
      <c r="F126" s="10"/>
      <c r="G126" s="2"/>
      <c r="H126" s="15"/>
      <c r="I126" s="10"/>
      <c r="J126" s="12"/>
      <c r="K126" s="2"/>
      <c r="L126" s="2"/>
      <c r="M126" s="2"/>
      <c r="N126" s="5" t="str">
        <f>IF(B126="","",IFERROR(LOOKUP(2,1/(单次交易!$A$2:$A$201=B126),单次交易!$N$2:$N$201),""))</f>
        <v/>
      </c>
      <c r="O126" s="5" t="str">
        <f t="shared" si="9"/>
        <v/>
      </c>
      <c r="P126" s="11" t="str">
        <f t="shared" si="10"/>
        <v/>
      </c>
      <c r="Q126" s="5" t="str">
        <f t="shared" si="11"/>
        <v/>
      </c>
      <c r="R126" s="10"/>
      <c r="S126" s="5" t="str">
        <f t="shared" si="12"/>
        <v/>
      </c>
      <c r="T126" s="5" t="str">
        <f t="shared" si="13"/>
        <v/>
      </c>
      <c r="U126" s="5" t="str">
        <f t="shared" si="14"/>
        <v/>
      </c>
      <c r="V126" s="7" t="str">
        <f t="shared" si="15"/>
        <v/>
      </c>
      <c r="W126" s="8" t="str">
        <f t="shared" si="16"/>
        <v/>
      </c>
      <c r="X126" s="2"/>
      <c r="Y126" s="10"/>
      <c r="Z126" s="11" t="str">
        <f>IF(X126&lt;&gt;"执行卖出","",IFERROR(LOOKUP(2,1/(单次交易!$A$2:$A$201=B126),单次交易!$AP$2:$AP$201),""))</f>
        <v/>
      </c>
      <c r="AA126" s="10"/>
      <c r="AB126" s="8" t="str">
        <f t="shared" si="17"/>
        <v/>
      </c>
      <c r="AC126" s="8" t="str">
        <f>IF(A126="","",IF(A126="止损计划",IF(OR(B126="",D126="",E126="",F126="",G126=""),"计划不完整",IF(OR(D126&lt;1,D126&lt;&gt;INT(D126)),"阶段序号无效",IF(COUNTIFS($A$2:$A$497,"止损计划",$B$2:$B$497,B126,$D$2:$D$497,D126)&gt;1,"阶段序号重复",IF(E126&lt;=IFERROR(LOOKUP(2,1/(单次交易!$A$2:$A$201=B126),单次交易!$E$2:$E$201),0),"激活价须高于买入价",IF(F126&lt;N126,"止损价不得低于初始止损",IF(F126&gt;E126,"止损价不得高于激活价",IF(AND(COUNTIFS($A$2:$A$497,"止损计划",$B$2:$B$497,B126,$D$2:$D$497,"&lt;"&amp;D126)&gt;0,OR(E126&lt;=SUMPRODUCT(MAX((($A$2:$A$497="止损计划")*($B$2:$B$497=B126)*($D$2:$D$497&lt;D126))*$E$2:$E$497)),F126&lt;SUMPRODUCT(MAX((($A$2:$A$497="止损计划")*($B$2:$B$497=B126)*($D$2:$D$497&lt;D126))*$F$2:$F$497)))),"阶段价格必须逐级提高","计划有效"))))))),IF(A126="每日跟踪",IF(OR(B126="",H126="",I126="",J126=""),"每日数据不完整",IF(COUNTIFS($A$2:$A$497,"每日跟踪",$B$2:$B$497,B126,$H$2:$H$497,H126)&gt;1,"同一交易日期重复",IF(AND(R126&lt;&gt;"",R126&lt;S126),"人工止损无效：不能下调","跟踪有效"))),"记录类型无效")))</f>
        <v/>
      </c>
    </row>
    <row r="127" ht="17" spans="1:29">
      <c r="A127" s="2"/>
      <c r="B127" s="2"/>
      <c r="C127" s="8" t="str">
        <f>IF(B127="","",IFERROR(LOOKUP(2,1/(单次交易!$A$2:$A$201=B127),单次交易!$B$2:$B$201),""))</f>
        <v/>
      </c>
      <c r="D127" s="12"/>
      <c r="E127" s="10"/>
      <c r="F127" s="10"/>
      <c r="G127" s="2"/>
      <c r="H127" s="15"/>
      <c r="I127" s="10"/>
      <c r="J127" s="12"/>
      <c r="K127" s="2"/>
      <c r="L127" s="2"/>
      <c r="M127" s="2"/>
      <c r="N127" s="5" t="str">
        <f>IF(B127="","",IFERROR(LOOKUP(2,1/(单次交易!$A$2:$A$201=B127),单次交易!$N$2:$N$201),""))</f>
        <v/>
      </c>
      <c r="O127" s="5" t="str">
        <f t="shared" si="9"/>
        <v/>
      </c>
      <c r="P127" s="11" t="str">
        <f t="shared" si="10"/>
        <v/>
      </c>
      <c r="Q127" s="5" t="str">
        <f t="shared" si="11"/>
        <v/>
      </c>
      <c r="R127" s="10"/>
      <c r="S127" s="5" t="str">
        <f t="shared" si="12"/>
        <v/>
      </c>
      <c r="T127" s="5" t="str">
        <f t="shared" si="13"/>
        <v/>
      </c>
      <c r="U127" s="5" t="str">
        <f t="shared" si="14"/>
        <v/>
      </c>
      <c r="V127" s="7" t="str">
        <f t="shared" si="15"/>
        <v/>
      </c>
      <c r="W127" s="8" t="str">
        <f t="shared" si="16"/>
        <v/>
      </c>
      <c r="X127" s="2"/>
      <c r="Y127" s="10"/>
      <c r="Z127" s="11" t="str">
        <f>IF(X127&lt;&gt;"执行卖出","",IFERROR(LOOKUP(2,1/(单次交易!$A$2:$A$201=B127),单次交易!$AP$2:$AP$201),""))</f>
        <v/>
      </c>
      <c r="AA127" s="10"/>
      <c r="AB127" s="8" t="str">
        <f t="shared" si="17"/>
        <v/>
      </c>
      <c r="AC127" s="8" t="str">
        <f>IF(A127="","",IF(A127="止损计划",IF(OR(B127="",D127="",E127="",F127="",G127=""),"计划不完整",IF(OR(D127&lt;1,D127&lt;&gt;INT(D127)),"阶段序号无效",IF(COUNTIFS($A$2:$A$497,"止损计划",$B$2:$B$497,B127,$D$2:$D$497,D127)&gt;1,"阶段序号重复",IF(E127&lt;=IFERROR(LOOKUP(2,1/(单次交易!$A$2:$A$201=B127),单次交易!$E$2:$E$201),0),"激活价须高于买入价",IF(F127&lt;N127,"止损价不得低于初始止损",IF(F127&gt;E127,"止损价不得高于激活价",IF(AND(COUNTIFS($A$2:$A$497,"止损计划",$B$2:$B$497,B127,$D$2:$D$497,"&lt;"&amp;D127)&gt;0,OR(E127&lt;=SUMPRODUCT(MAX((($A$2:$A$497="止损计划")*($B$2:$B$497=B127)*($D$2:$D$497&lt;D127))*$E$2:$E$497)),F127&lt;SUMPRODUCT(MAX((($A$2:$A$497="止损计划")*($B$2:$B$497=B127)*($D$2:$D$497&lt;D127))*$F$2:$F$497)))),"阶段价格必须逐级提高","计划有效"))))))),IF(A127="每日跟踪",IF(OR(B127="",H127="",I127="",J127=""),"每日数据不完整",IF(COUNTIFS($A$2:$A$497,"每日跟踪",$B$2:$B$497,B127,$H$2:$H$497,H127)&gt;1,"同一交易日期重复",IF(AND(R127&lt;&gt;"",R127&lt;S127),"人工止损无效：不能下调","跟踪有效"))),"记录类型无效")))</f>
        <v/>
      </c>
    </row>
    <row r="128" ht="17" spans="1:29">
      <c r="A128" s="2"/>
      <c r="B128" s="2"/>
      <c r="C128" s="8" t="str">
        <f>IF(B128="","",IFERROR(LOOKUP(2,1/(单次交易!$A$2:$A$201=B128),单次交易!$B$2:$B$201),""))</f>
        <v/>
      </c>
      <c r="D128" s="12"/>
      <c r="E128" s="10"/>
      <c r="F128" s="10"/>
      <c r="G128" s="2"/>
      <c r="H128" s="15"/>
      <c r="I128" s="10"/>
      <c r="J128" s="12"/>
      <c r="K128" s="2"/>
      <c r="L128" s="2"/>
      <c r="M128" s="2"/>
      <c r="N128" s="5" t="str">
        <f>IF(B128="","",IFERROR(LOOKUP(2,1/(单次交易!$A$2:$A$201=B128),单次交易!$N$2:$N$201),""))</f>
        <v/>
      </c>
      <c r="O128" s="5" t="str">
        <f t="shared" si="9"/>
        <v/>
      </c>
      <c r="P128" s="11" t="str">
        <f t="shared" si="10"/>
        <v/>
      </c>
      <c r="Q128" s="5" t="str">
        <f t="shared" si="11"/>
        <v/>
      </c>
      <c r="R128" s="10"/>
      <c r="S128" s="5" t="str">
        <f t="shared" si="12"/>
        <v/>
      </c>
      <c r="T128" s="5" t="str">
        <f t="shared" si="13"/>
        <v/>
      </c>
      <c r="U128" s="5" t="str">
        <f t="shared" si="14"/>
        <v/>
      </c>
      <c r="V128" s="7" t="str">
        <f t="shared" si="15"/>
        <v/>
      </c>
      <c r="W128" s="8" t="str">
        <f t="shared" si="16"/>
        <v/>
      </c>
      <c r="X128" s="2"/>
      <c r="Y128" s="10"/>
      <c r="Z128" s="11" t="str">
        <f>IF(X128&lt;&gt;"执行卖出","",IFERROR(LOOKUP(2,1/(单次交易!$A$2:$A$201=B128),单次交易!$AP$2:$AP$201),""))</f>
        <v/>
      </c>
      <c r="AA128" s="10"/>
      <c r="AB128" s="8" t="str">
        <f t="shared" si="17"/>
        <v/>
      </c>
      <c r="AC128" s="8" t="str">
        <f>IF(A128="","",IF(A128="止损计划",IF(OR(B128="",D128="",E128="",F128="",G128=""),"计划不完整",IF(OR(D128&lt;1,D128&lt;&gt;INT(D128)),"阶段序号无效",IF(COUNTIFS($A$2:$A$497,"止损计划",$B$2:$B$497,B128,$D$2:$D$497,D128)&gt;1,"阶段序号重复",IF(E128&lt;=IFERROR(LOOKUP(2,1/(单次交易!$A$2:$A$201=B128),单次交易!$E$2:$E$201),0),"激活价须高于买入价",IF(F128&lt;N128,"止损价不得低于初始止损",IF(F128&gt;E128,"止损价不得高于激活价",IF(AND(COUNTIFS($A$2:$A$497,"止损计划",$B$2:$B$497,B128,$D$2:$D$497,"&lt;"&amp;D128)&gt;0,OR(E128&lt;=SUMPRODUCT(MAX((($A$2:$A$497="止损计划")*($B$2:$B$497=B128)*($D$2:$D$497&lt;D128))*$E$2:$E$497)),F128&lt;SUMPRODUCT(MAX((($A$2:$A$497="止损计划")*($B$2:$B$497=B128)*($D$2:$D$497&lt;D128))*$F$2:$F$497)))),"阶段价格必须逐级提高","计划有效"))))))),IF(A128="每日跟踪",IF(OR(B128="",H128="",I128="",J128=""),"每日数据不完整",IF(COUNTIFS($A$2:$A$497,"每日跟踪",$B$2:$B$497,B128,$H$2:$H$497,H128)&gt;1,"同一交易日期重复",IF(AND(R128&lt;&gt;"",R128&lt;S128),"人工止损无效：不能下调","跟踪有效"))),"记录类型无效")))</f>
        <v/>
      </c>
    </row>
    <row r="129" ht="17" spans="1:29">
      <c r="A129" s="2"/>
      <c r="B129" s="2"/>
      <c r="C129" s="8" t="str">
        <f>IF(B129="","",IFERROR(LOOKUP(2,1/(单次交易!$A$2:$A$201=B129),单次交易!$B$2:$B$201),""))</f>
        <v/>
      </c>
      <c r="D129" s="12"/>
      <c r="E129" s="10"/>
      <c r="F129" s="10"/>
      <c r="G129" s="2"/>
      <c r="H129" s="15"/>
      <c r="I129" s="10"/>
      <c r="J129" s="12"/>
      <c r="K129" s="2"/>
      <c r="L129" s="2"/>
      <c r="M129" s="2"/>
      <c r="N129" s="5" t="str">
        <f>IF(B129="","",IFERROR(LOOKUP(2,1/(单次交易!$A$2:$A$201=B129),单次交易!$N$2:$N$201),""))</f>
        <v/>
      </c>
      <c r="O129" s="5" t="str">
        <f t="shared" si="9"/>
        <v/>
      </c>
      <c r="P129" s="11" t="str">
        <f t="shared" si="10"/>
        <v/>
      </c>
      <c r="Q129" s="5" t="str">
        <f t="shared" si="11"/>
        <v/>
      </c>
      <c r="R129" s="10"/>
      <c r="S129" s="5" t="str">
        <f t="shared" si="12"/>
        <v/>
      </c>
      <c r="T129" s="5" t="str">
        <f t="shared" si="13"/>
        <v/>
      </c>
      <c r="U129" s="5" t="str">
        <f t="shared" si="14"/>
        <v/>
      </c>
      <c r="V129" s="7" t="str">
        <f t="shared" si="15"/>
        <v/>
      </c>
      <c r="W129" s="8" t="str">
        <f t="shared" si="16"/>
        <v/>
      </c>
      <c r="X129" s="2"/>
      <c r="Y129" s="10"/>
      <c r="Z129" s="11" t="str">
        <f>IF(X129&lt;&gt;"执行卖出","",IFERROR(LOOKUP(2,1/(单次交易!$A$2:$A$201=B129),单次交易!$AP$2:$AP$201),""))</f>
        <v/>
      </c>
      <c r="AA129" s="10"/>
      <c r="AB129" s="8" t="str">
        <f t="shared" si="17"/>
        <v/>
      </c>
      <c r="AC129" s="8" t="str">
        <f>IF(A129="","",IF(A129="止损计划",IF(OR(B129="",D129="",E129="",F129="",G129=""),"计划不完整",IF(OR(D129&lt;1,D129&lt;&gt;INT(D129)),"阶段序号无效",IF(COUNTIFS($A$2:$A$497,"止损计划",$B$2:$B$497,B129,$D$2:$D$497,D129)&gt;1,"阶段序号重复",IF(E129&lt;=IFERROR(LOOKUP(2,1/(单次交易!$A$2:$A$201=B129),单次交易!$E$2:$E$201),0),"激活价须高于买入价",IF(F129&lt;N129,"止损价不得低于初始止损",IF(F129&gt;E129,"止损价不得高于激活价",IF(AND(COUNTIFS($A$2:$A$497,"止损计划",$B$2:$B$497,B129,$D$2:$D$497,"&lt;"&amp;D129)&gt;0,OR(E129&lt;=SUMPRODUCT(MAX((($A$2:$A$497="止损计划")*($B$2:$B$497=B129)*($D$2:$D$497&lt;D129))*$E$2:$E$497)),F129&lt;SUMPRODUCT(MAX((($A$2:$A$497="止损计划")*($B$2:$B$497=B129)*($D$2:$D$497&lt;D129))*$F$2:$F$497)))),"阶段价格必须逐级提高","计划有效"))))))),IF(A129="每日跟踪",IF(OR(B129="",H129="",I129="",J129=""),"每日数据不完整",IF(COUNTIFS($A$2:$A$497,"每日跟踪",$B$2:$B$497,B129,$H$2:$H$497,H129)&gt;1,"同一交易日期重复",IF(AND(R129&lt;&gt;"",R129&lt;S129),"人工止损无效：不能下调","跟踪有效"))),"记录类型无效")))</f>
        <v/>
      </c>
    </row>
    <row r="130" ht="17" spans="1:29">
      <c r="A130" s="2"/>
      <c r="B130" s="2"/>
      <c r="C130" s="8" t="str">
        <f>IF(B130="","",IFERROR(LOOKUP(2,1/(单次交易!$A$2:$A$201=B130),单次交易!$B$2:$B$201),""))</f>
        <v/>
      </c>
      <c r="D130" s="12"/>
      <c r="E130" s="10"/>
      <c r="F130" s="10"/>
      <c r="G130" s="2"/>
      <c r="H130" s="15"/>
      <c r="I130" s="10"/>
      <c r="J130" s="12"/>
      <c r="K130" s="2"/>
      <c r="L130" s="2"/>
      <c r="M130" s="2"/>
      <c r="N130" s="5" t="str">
        <f>IF(B130="","",IFERROR(LOOKUP(2,1/(单次交易!$A$2:$A$201=B130),单次交易!$N$2:$N$201),""))</f>
        <v/>
      </c>
      <c r="O130" s="5" t="str">
        <f t="shared" ref="O130:O193" si="18">IF(A130&lt;&gt;"每日跟踪","",IF(OR(B130="",H130="",I130=""),"",IFERROR(SUMPRODUCT(MAX((($A$2:$A$497="每日跟踪")*($B$2:$B$497=B130)*($H$2:$H$497&lt;=H130))*$I$2:$I$497)),"")))</f>
        <v/>
      </c>
      <c r="P130" s="11" t="str">
        <f t="shared" ref="P130:P193" si="19">IF(A130&lt;&gt;"每日跟踪","",IF(O130="","",IFERROR(SUMPRODUCT(MAX((($A$2:$A$497="止损计划")*($B$2:$B$497=B130)*($E$2:$E$497&lt;=O130))*$D$2:$D$497)),0)))</f>
        <v/>
      </c>
      <c r="Q130" s="5" t="str">
        <f t="shared" ref="Q130:Q193" si="20">IF(A130&lt;&gt;"每日跟踪","",IF(N130="","",MAX(N130,IFERROR(SUMPRODUCT(MAX((($A$2:$A$497="止损计划")*($B$2:$B$497=B130)*($E$2:$E$497&lt;=O130))*$F$2:$F$497)),0))))</f>
        <v/>
      </c>
      <c r="R130" s="10"/>
      <c r="S130" s="5" t="str">
        <f t="shared" ref="S130:S193" si="21">IF(A130&lt;&gt;"每日跟踪","",IF(Q130="","",MAX(Q130,IFERROR(SUMPRODUCT(MAX((($A$2:$A$497="每日跟踪")*($B$2:$B$497=B130)*($H$2:$H$497&lt;=H130))*$R$2:$R$497)),0))))</f>
        <v/>
      </c>
      <c r="T130" s="5" t="str">
        <f t="shared" ref="T130:T193" si="22">IF(A130&lt;&gt;"每日跟踪","",IF(O130="","",IF(COUNTIFS($A$2:$A$497,"止损计划",$B$2:$B$497,B130,$E$2:$E$497,"&gt;"&amp;O130)=0,"",INDEX($E$2:$E$497,MATCH(1,INDEX(($A$2:$A$497="止损计划")*($B$2:$B$497=B130)*($E$2:$E$497&gt;O130),0),0)))))</f>
        <v/>
      </c>
      <c r="U130" s="5" t="str">
        <f t="shared" ref="U130:U193" si="23">IF(OR(A130&lt;&gt;"每日跟踪",T130=""),"",IFERROR(SUMIFS($F$2:$F$497,$A$2:$A$497,"止损计划",$B$2:$B$497,B130,$E$2:$E$497,T130),""))</f>
        <v/>
      </c>
      <c r="V130" s="7" t="str">
        <f t="shared" ref="V130:V193" si="24">IF(OR(A130&lt;&gt;"每日跟踪",T130="",I130="",I130&lt;=0),"",T130/I130-1)</f>
        <v/>
      </c>
      <c r="W130" s="8" t="str">
        <f t="shared" ref="W130:W193" si="25">IF(A130&lt;&gt;"每日跟踪","",IF(OR(I130="",S130=""),"",IF(I130&lt;=S130,"触发止损：应全部卖出","继续观察")))</f>
        <v/>
      </c>
      <c r="X130" s="2"/>
      <c r="Y130" s="10"/>
      <c r="Z130" s="11" t="str">
        <f>IF(X130&lt;&gt;"执行卖出","",IFERROR(LOOKUP(2,1/(单次交易!$A$2:$A$201=B130),单次交易!$AP$2:$AP$201),""))</f>
        <v/>
      </c>
      <c r="AA130" s="10"/>
      <c r="AB130" s="8" t="str">
        <f t="shared" ref="AB130:AB193" si="26">IF(A130&lt;&gt;"每日跟踪","",IF(OR(B130="",H130="",I130="",J130="",K130="",L130="",M130=""),"待补充每日记录",IF(W130="触发止损：应全部卖出",IF(X130&lt;&gt;"执行卖出","违规：触发止损但未执行",IF(Y130="","待补充实际卖出价","卖出记录完整")),IF(X130="","待选择卖出动作",IF(X130="执行卖出",IF(Y130="","待补充实际卖出价","卖出记录完整"),"正常")))))</f>
        <v/>
      </c>
      <c r="AC130" s="8" t="str">
        <f>IF(A130="","",IF(A130="止损计划",IF(OR(B130="",D130="",E130="",F130="",G130=""),"计划不完整",IF(OR(D130&lt;1,D130&lt;&gt;INT(D130)),"阶段序号无效",IF(COUNTIFS($A$2:$A$497,"止损计划",$B$2:$B$497,B130,$D$2:$D$497,D130)&gt;1,"阶段序号重复",IF(E130&lt;=IFERROR(LOOKUP(2,1/(单次交易!$A$2:$A$201=B130),单次交易!$E$2:$E$201),0),"激活价须高于买入价",IF(F130&lt;N130,"止损价不得低于初始止损",IF(F130&gt;E130,"止损价不得高于激活价",IF(AND(COUNTIFS($A$2:$A$497,"止损计划",$B$2:$B$497,B130,$D$2:$D$497,"&lt;"&amp;D130)&gt;0,OR(E130&lt;=SUMPRODUCT(MAX((($A$2:$A$497="止损计划")*($B$2:$B$497=B130)*($D$2:$D$497&lt;D130))*$E$2:$E$497)),F130&lt;SUMPRODUCT(MAX((($A$2:$A$497="止损计划")*($B$2:$B$497=B130)*($D$2:$D$497&lt;D130))*$F$2:$F$497)))),"阶段价格必须逐级提高","计划有效"))))))),IF(A130="每日跟踪",IF(OR(B130="",H130="",I130="",J130=""),"每日数据不完整",IF(COUNTIFS($A$2:$A$497,"每日跟踪",$B$2:$B$497,B130,$H$2:$H$497,H130)&gt;1,"同一交易日期重复",IF(AND(R130&lt;&gt;"",R130&lt;S130),"人工止损无效：不能下调","跟踪有效"))),"记录类型无效")))</f>
        <v/>
      </c>
    </row>
    <row r="131" ht="17" spans="1:29">
      <c r="A131" s="2"/>
      <c r="B131" s="2"/>
      <c r="C131" s="8" t="str">
        <f>IF(B131="","",IFERROR(LOOKUP(2,1/(单次交易!$A$2:$A$201=B131),单次交易!$B$2:$B$201),""))</f>
        <v/>
      </c>
      <c r="D131" s="12"/>
      <c r="E131" s="10"/>
      <c r="F131" s="10"/>
      <c r="G131" s="2"/>
      <c r="H131" s="15"/>
      <c r="I131" s="10"/>
      <c r="J131" s="12"/>
      <c r="K131" s="2"/>
      <c r="L131" s="2"/>
      <c r="M131" s="2"/>
      <c r="N131" s="5" t="str">
        <f>IF(B131="","",IFERROR(LOOKUP(2,1/(单次交易!$A$2:$A$201=B131),单次交易!$N$2:$N$201),""))</f>
        <v/>
      </c>
      <c r="O131" s="5" t="str">
        <f t="shared" si="18"/>
        <v/>
      </c>
      <c r="P131" s="11" t="str">
        <f t="shared" si="19"/>
        <v/>
      </c>
      <c r="Q131" s="5" t="str">
        <f t="shared" si="20"/>
        <v/>
      </c>
      <c r="R131" s="10"/>
      <c r="S131" s="5" t="str">
        <f t="shared" si="21"/>
        <v/>
      </c>
      <c r="T131" s="5" t="str">
        <f t="shared" si="22"/>
        <v/>
      </c>
      <c r="U131" s="5" t="str">
        <f t="shared" si="23"/>
        <v/>
      </c>
      <c r="V131" s="7" t="str">
        <f t="shared" si="24"/>
        <v/>
      </c>
      <c r="W131" s="8" t="str">
        <f t="shared" si="25"/>
        <v/>
      </c>
      <c r="X131" s="2"/>
      <c r="Y131" s="10"/>
      <c r="Z131" s="11" t="str">
        <f>IF(X131&lt;&gt;"执行卖出","",IFERROR(LOOKUP(2,1/(单次交易!$A$2:$A$201=B131),单次交易!$AP$2:$AP$201),""))</f>
        <v/>
      </c>
      <c r="AA131" s="10"/>
      <c r="AB131" s="8" t="str">
        <f t="shared" si="26"/>
        <v/>
      </c>
      <c r="AC131" s="8" t="str">
        <f>IF(A131="","",IF(A131="止损计划",IF(OR(B131="",D131="",E131="",F131="",G131=""),"计划不完整",IF(OR(D131&lt;1,D131&lt;&gt;INT(D131)),"阶段序号无效",IF(COUNTIFS($A$2:$A$497,"止损计划",$B$2:$B$497,B131,$D$2:$D$497,D131)&gt;1,"阶段序号重复",IF(E131&lt;=IFERROR(LOOKUP(2,1/(单次交易!$A$2:$A$201=B131),单次交易!$E$2:$E$201),0),"激活价须高于买入价",IF(F131&lt;N131,"止损价不得低于初始止损",IF(F131&gt;E131,"止损价不得高于激活价",IF(AND(COUNTIFS($A$2:$A$497,"止损计划",$B$2:$B$497,B131,$D$2:$D$497,"&lt;"&amp;D131)&gt;0,OR(E131&lt;=SUMPRODUCT(MAX((($A$2:$A$497="止损计划")*($B$2:$B$497=B131)*($D$2:$D$497&lt;D131))*$E$2:$E$497)),F131&lt;SUMPRODUCT(MAX((($A$2:$A$497="止损计划")*($B$2:$B$497=B131)*($D$2:$D$497&lt;D131))*$F$2:$F$497)))),"阶段价格必须逐级提高","计划有效"))))))),IF(A131="每日跟踪",IF(OR(B131="",H131="",I131="",J131=""),"每日数据不完整",IF(COUNTIFS($A$2:$A$497,"每日跟踪",$B$2:$B$497,B131,$H$2:$H$497,H131)&gt;1,"同一交易日期重复",IF(AND(R131&lt;&gt;"",R131&lt;S131),"人工止损无效：不能下调","跟踪有效"))),"记录类型无效")))</f>
        <v/>
      </c>
    </row>
    <row r="132" ht="17" spans="1:29">
      <c r="A132" s="2"/>
      <c r="B132" s="2"/>
      <c r="C132" s="8" t="str">
        <f>IF(B132="","",IFERROR(LOOKUP(2,1/(单次交易!$A$2:$A$201=B132),单次交易!$B$2:$B$201),""))</f>
        <v/>
      </c>
      <c r="D132" s="12"/>
      <c r="E132" s="10"/>
      <c r="F132" s="10"/>
      <c r="G132" s="2"/>
      <c r="H132" s="15"/>
      <c r="I132" s="10"/>
      <c r="J132" s="12"/>
      <c r="K132" s="2"/>
      <c r="L132" s="2"/>
      <c r="M132" s="2"/>
      <c r="N132" s="5" t="str">
        <f>IF(B132="","",IFERROR(LOOKUP(2,1/(单次交易!$A$2:$A$201=B132),单次交易!$N$2:$N$201),""))</f>
        <v/>
      </c>
      <c r="O132" s="5" t="str">
        <f t="shared" si="18"/>
        <v/>
      </c>
      <c r="P132" s="11" t="str">
        <f t="shared" si="19"/>
        <v/>
      </c>
      <c r="Q132" s="5" t="str">
        <f t="shared" si="20"/>
        <v/>
      </c>
      <c r="R132" s="10"/>
      <c r="S132" s="5" t="str">
        <f t="shared" si="21"/>
        <v/>
      </c>
      <c r="T132" s="5" t="str">
        <f t="shared" si="22"/>
        <v/>
      </c>
      <c r="U132" s="5" t="str">
        <f t="shared" si="23"/>
        <v/>
      </c>
      <c r="V132" s="7" t="str">
        <f t="shared" si="24"/>
        <v/>
      </c>
      <c r="W132" s="8" t="str">
        <f t="shared" si="25"/>
        <v/>
      </c>
      <c r="X132" s="2"/>
      <c r="Y132" s="10"/>
      <c r="Z132" s="11" t="str">
        <f>IF(X132&lt;&gt;"执行卖出","",IFERROR(LOOKUP(2,1/(单次交易!$A$2:$A$201=B132),单次交易!$AP$2:$AP$201),""))</f>
        <v/>
      </c>
      <c r="AA132" s="10"/>
      <c r="AB132" s="8" t="str">
        <f t="shared" si="26"/>
        <v/>
      </c>
      <c r="AC132" s="8" t="str">
        <f>IF(A132="","",IF(A132="止损计划",IF(OR(B132="",D132="",E132="",F132="",G132=""),"计划不完整",IF(OR(D132&lt;1,D132&lt;&gt;INT(D132)),"阶段序号无效",IF(COUNTIFS($A$2:$A$497,"止损计划",$B$2:$B$497,B132,$D$2:$D$497,D132)&gt;1,"阶段序号重复",IF(E132&lt;=IFERROR(LOOKUP(2,1/(单次交易!$A$2:$A$201=B132),单次交易!$E$2:$E$201),0),"激活价须高于买入价",IF(F132&lt;N132,"止损价不得低于初始止损",IF(F132&gt;E132,"止损价不得高于激活价",IF(AND(COUNTIFS($A$2:$A$497,"止损计划",$B$2:$B$497,B132,$D$2:$D$497,"&lt;"&amp;D132)&gt;0,OR(E132&lt;=SUMPRODUCT(MAX((($A$2:$A$497="止损计划")*($B$2:$B$497=B132)*($D$2:$D$497&lt;D132))*$E$2:$E$497)),F132&lt;SUMPRODUCT(MAX((($A$2:$A$497="止损计划")*($B$2:$B$497=B132)*($D$2:$D$497&lt;D132))*$F$2:$F$497)))),"阶段价格必须逐级提高","计划有效"))))))),IF(A132="每日跟踪",IF(OR(B132="",H132="",I132="",J132=""),"每日数据不完整",IF(COUNTIFS($A$2:$A$497,"每日跟踪",$B$2:$B$497,B132,$H$2:$H$497,H132)&gt;1,"同一交易日期重复",IF(AND(R132&lt;&gt;"",R132&lt;S132),"人工止损无效：不能下调","跟踪有效"))),"记录类型无效")))</f>
        <v/>
      </c>
    </row>
    <row r="133" ht="17" spans="1:29">
      <c r="A133" s="2"/>
      <c r="B133" s="2"/>
      <c r="C133" s="8" t="str">
        <f>IF(B133="","",IFERROR(LOOKUP(2,1/(单次交易!$A$2:$A$201=B133),单次交易!$B$2:$B$201),""))</f>
        <v/>
      </c>
      <c r="D133" s="12"/>
      <c r="E133" s="10"/>
      <c r="F133" s="10"/>
      <c r="G133" s="2"/>
      <c r="H133" s="15"/>
      <c r="I133" s="10"/>
      <c r="J133" s="12"/>
      <c r="K133" s="2"/>
      <c r="L133" s="2"/>
      <c r="M133" s="2"/>
      <c r="N133" s="5" t="str">
        <f>IF(B133="","",IFERROR(LOOKUP(2,1/(单次交易!$A$2:$A$201=B133),单次交易!$N$2:$N$201),""))</f>
        <v/>
      </c>
      <c r="O133" s="5" t="str">
        <f t="shared" si="18"/>
        <v/>
      </c>
      <c r="P133" s="11" t="str">
        <f t="shared" si="19"/>
        <v/>
      </c>
      <c r="Q133" s="5" t="str">
        <f t="shared" si="20"/>
        <v/>
      </c>
      <c r="R133" s="10"/>
      <c r="S133" s="5" t="str">
        <f t="shared" si="21"/>
        <v/>
      </c>
      <c r="T133" s="5" t="str">
        <f t="shared" si="22"/>
        <v/>
      </c>
      <c r="U133" s="5" t="str">
        <f t="shared" si="23"/>
        <v/>
      </c>
      <c r="V133" s="7" t="str">
        <f t="shared" si="24"/>
        <v/>
      </c>
      <c r="W133" s="8" t="str">
        <f t="shared" si="25"/>
        <v/>
      </c>
      <c r="X133" s="2"/>
      <c r="Y133" s="10"/>
      <c r="Z133" s="11" t="str">
        <f>IF(X133&lt;&gt;"执行卖出","",IFERROR(LOOKUP(2,1/(单次交易!$A$2:$A$201=B133),单次交易!$AP$2:$AP$201),""))</f>
        <v/>
      </c>
      <c r="AA133" s="10"/>
      <c r="AB133" s="8" t="str">
        <f t="shared" si="26"/>
        <v/>
      </c>
      <c r="AC133" s="8" t="str">
        <f>IF(A133="","",IF(A133="止损计划",IF(OR(B133="",D133="",E133="",F133="",G133=""),"计划不完整",IF(OR(D133&lt;1,D133&lt;&gt;INT(D133)),"阶段序号无效",IF(COUNTIFS($A$2:$A$497,"止损计划",$B$2:$B$497,B133,$D$2:$D$497,D133)&gt;1,"阶段序号重复",IF(E133&lt;=IFERROR(LOOKUP(2,1/(单次交易!$A$2:$A$201=B133),单次交易!$E$2:$E$201),0),"激活价须高于买入价",IF(F133&lt;N133,"止损价不得低于初始止损",IF(F133&gt;E133,"止损价不得高于激活价",IF(AND(COUNTIFS($A$2:$A$497,"止损计划",$B$2:$B$497,B133,$D$2:$D$497,"&lt;"&amp;D133)&gt;0,OR(E133&lt;=SUMPRODUCT(MAX((($A$2:$A$497="止损计划")*($B$2:$B$497=B133)*($D$2:$D$497&lt;D133))*$E$2:$E$497)),F133&lt;SUMPRODUCT(MAX((($A$2:$A$497="止损计划")*($B$2:$B$497=B133)*($D$2:$D$497&lt;D133))*$F$2:$F$497)))),"阶段价格必须逐级提高","计划有效"))))))),IF(A133="每日跟踪",IF(OR(B133="",H133="",I133="",J133=""),"每日数据不完整",IF(COUNTIFS($A$2:$A$497,"每日跟踪",$B$2:$B$497,B133,$H$2:$H$497,H133)&gt;1,"同一交易日期重复",IF(AND(R133&lt;&gt;"",R133&lt;S133),"人工止损无效：不能下调","跟踪有效"))),"记录类型无效")))</f>
        <v/>
      </c>
    </row>
    <row r="134" ht="17" spans="1:29">
      <c r="A134" s="2"/>
      <c r="B134" s="2"/>
      <c r="C134" s="8" t="str">
        <f>IF(B134="","",IFERROR(LOOKUP(2,1/(单次交易!$A$2:$A$201=B134),单次交易!$B$2:$B$201),""))</f>
        <v/>
      </c>
      <c r="D134" s="12"/>
      <c r="E134" s="10"/>
      <c r="F134" s="10"/>
      <c r="G134" s="2"/>
      <c r="H134" s="15"/>
      <c r="I134" s="10"/>
      <c r="J134" s="12"/>
      <c r="K134" s="2"/>
      <c r="L134" s="2"/>
      <c r="M134" s="2"/>
      <c r="N134" s="5" t="str">
        <f>IF(B134="","",IFERROR(LOOKUP(2,1/(单次交易!$A$2:$A$201=B134),单次交易!$N$2:$N$201),""))</f>
        <v/>
      </c>
      <c r="O134" s="5" t="str">
        <f t="shared" si="18"/>
        <v/>
      </c>
      <c r="P134" s="11" t="str">
        <f t="shared" si="19"/>
        <v/>
      </c>
      <c r="Q134" s="5" t="str">
        <f t="shared" si="20"/>
        <v/>
      </c>
      <c r="R134" s="10"/>
      <c r="S134" s="5" t="str">
        <f t="shared" si="21"/>
        <v/>
      </c>
      <c r="T134" s="5" t="str">
        <f t="shared" si="22"/>
        <v/>
      </c>
      <c r="U134" s="5" t="str">
        <f t="shared" si="23"/>
        <v/>
      </c>
      <c r="V134" s="7" t="str">
        <f t="shared" si="24"/>
        <v/>
      </c>
      <c r="W134" s="8" t="str">
        <f t="shared" si="25"/>
        <v/>
      </c>
      <c r="X134" s="2"/>
      <c r="Y134" s="10"/>
      <c r="Z134" s="11" t="str">
        <f>IF(X134&lt;&gt;"执行卖出","",IFERROR(LOOKUP(2,1/(单次交易!$A$2:$A$201=B134),单次交易!$AP$2:$AP$201),""))</f>
        <v/>
      </c>
      <c r="AA134" s="10"/>
      <c r="AB134" s="8" t="str">
        <f t="shared" si="26"/>
        <v/>
      </c>
      <c r="AC134" s="8" t="str">
        <f>IF(A134="","",IF(A134="止损计划",IF(OR(B134="",D134="",E134="",F134="",G134=""),"计划不完整",IF(OR(D134&lt;1,D134&lt;&gt;INT(D134)),"阶段序号无效",IF(COUNTIFS($A$2:$A$497,"止损计划",$B$2:$B$497,B134,$D$2:$D$497,D134)&gt;1,"阶段序号重复",IF(E134&lt;=IFERROR(LOOKUP(2,1/(单次交易!$A$2:$A$201=B134),单次交易!$E$2:$E$201),0),"激活价须高于买入价",IF(F134&lt;N134,"止损价不得低于初始止损",IF(F134&gt;E134,"止损价不得高于激活价",IF(AND(COUNTIFS($A$2:$A$497,"止损计划",$B$2:$B$497,B134,$D$2:$D$497,"&lt;"&amp;D134)&gt;0,OR(E134&lt;=SUMPRODUCT(MAX((($A$2:$A$497="止损计划")*($B$2:$B$497=B134)*($D$2:$D$497&lt;D134))*$E$2:$E$497)),F134&lt;SUMPRODUCT(MAX((($A$2:$A$497="止损计划")*($B$2:$B$497=B134)*($D$2:$D$497&lt;D134))*$F$2:$F$497)))),"阶段价格必须逐级提高","计划有效"))))))),IF(A134="每日跟踪",IF(OR(B134="",H134="",I134="",J134=""),"每日数据不完整",IF(COUNTIFS($A$2:$A$497,"每日跟踪",$B$2:$B$497,B134,$H$2:$H$497,H134)&gt;1,"同一交易日期重复",IF(AND(R134&lt;&gt;"",R134&lt;S134),"人工止损无效：不能下调","跟踪有效"))),"记录类型无效")))</f>
        <v/>
      </c>
    </row>
    <row r="135" ht="17" spans="1:29">
      <c r="A135" s="2"/>
      <c r="B135" s="2"/>
      <c r="C135" s="8" t="str">
        <f>IF(B135="","",IFERROR(LOOKUP(2,1/(单次交易!$A$2:$A$201=B135),单次交易!$B$2:$B$201),""))</f>
        <v/>
      </c>
      <c r="D135" s="12"/>
      <c r="E135" s="10"/>
      <c r="F135" s="10"/>
      <c r="G135" s="2"/>
      <c r="H135" s="15"/>
      <c r="I135" s="10"/>
      <c r="J135" s="12"/>
      <c r="K135" s="2"/>
      <c r="L135" s="2"/>
      <c r="M135" s="2"/>
      <c r="N135" s="5" t="str">
        <f>IF(B135="","",IFERROR(LOOKUP(2,1/(单次交易!$A$2:$A$201=B135),单次交易!$N$2:$N$201),""))</f>
        <v/>
      </c>
      <c r="O135" s="5" t="str">
        <f t="shared" si="18"/>
        <v/>
      </c>
      <c r="P135" s="11" t="str">
        <f t="shared" si="19"/>
        <v/>
      </c>
      <c r="Q135" s="5" t="str">
        <f t="shared" si="20"/>
        <v/>
      </c>
      <c r="R135" s="10"/>
      <c r="S135" s="5" t="str">
        <f t="shared" si="21"/>
        <v/>
      </c>
      <c r="T135" s="5" t="str">
        <f t="shared" si="22"/>
        <v/>
      </c>
      <c r="U135" s="5" t="str">
        <f t="shared" si="23"/>
        <v/>
      </c>
      <c r="V135" s="7" t="str">
        <f t="shared" si="24"/>
        <v/>
      </c>
      <c r="W135" s="8" t="str">
        <f t="shared" si="25"/>
        <v/>
      </c>
      <c r="X135" s="2"/>
      <c r="Y135" s="10"/>
      <c r="Z135" s="11" t="str">
        <f>IF(X135&lt;&gt;"执行卖出","",IFERROR(LOOKUP(2,1/(单次交易!$A$2:$A$201=B135),单次交易!$AP$2:$AP$201),""))</f>
        <v/>
      </c>
      <c r="AA135" s="10"/>
      <c r="AB135" s="8" t="str">
        <f t="shared" si="26"/>
        <v/>
      </c>
      <c r="AC135" s="8" t="str">
        <f>IF(A135="","",IF(A135="止损计划",IF(OR(B135="",D135="",E135="",F135="",G135=""),"计划不完整",IF(OR(D135&lt;1,D135&lt;&gt;INT(D135)),"阶段序号无效",IF(COUNTIFS($A$2:$A$497,"止损计划",$B$2:$B$497,B135,$D$2:$D$497,D135)&gt;1,"阶段序号重复",IF(E135&lt;=IFERROR(LOOKUP(2,1/(单次交易!$A$2:$A$201=B135),单次交易!$E$2:$E$201),0),"激活价须高于买入价",IF(F135&lt;N135,"止损价不得低于初始止损",IF(F135&gt;E135,"止损价不得高于激活价",IF(AND(COUNTIFS($A$2:$A$497,"止损计划",$B$2:$B$497,B135,$D$2:$D$497,"&lt;"&amp;D135)&gt;0,OR(E135&lt;=SUMPRODUCT(MAX((($A$2:$A$497="止损计划")*($B$2:$B$497=B135)*($D$2:$D$497&lt;D135))*$E$2:$E$497)),F135&lt;SUMPRODUCT(MAX((($A$2:$A$497="止损计划")*($B$2:$B$497=B135)*($D$2:$D$497&lt;D135))*$F$2:$F$497)))),"阶段价格必须逐级提高","计划有效"))))))),IF(A135="每日跟踪",IF(OR(B135="",H135="",I135="",J135=""),"每日数据不完整",IF(COUNTIFS($A$2:$A$497,"每日跟踪",$B$2:$B$497,B135,$H$2:$H$497,H135)&gt;1,"同一交易日期重复",IF(AND(R135&lt;&gt;"",R135&lt;S135),"人工止损无效：不能下调","跟踪有效"))),"记录类型无效")))</f>
        <v/>
      </c>
    </row>
    <row r="136" ht="17" spans="1:29">
      <c r="A136" s="2"/>
      <c r="B136" s="2"/>
      <c r="C136" s="8" t="str">
        <f>IF(B136="","",IFERROR(LOOKUP(2,1/(单次交易!$A$2:$A$201=B136),单次交易!$B$2:$B$201),""))</f>
        <v/>
      </c>
      <c r="D136" s="12"/>
      <c r="E136" s="10"/>
      <c r="F136" s="10"/>
      <c r="G136" s="2"/>
      <c r="H136" s="15"/>
      <c r="I136" s="10"/>
      <c r="J136" s="12"/>
      <c r="K136" s="2"/>
      <c r="L136" s="2"/>
      <c r="M136" s="2"/>
      <c r="N136" s="5" t="str">
        <f>IF(B136="","",IFERROR(LOOKUP(2,1/(单次交易!$A$2:$A$201=B136),单次交易!$N$2:$N$201),""))</f>
        <v/>
      </c>
      <c r="O136" s="5" t="str">
        <f t="shared" si="18"/>
        <v/>
      </c>
      <c r="P136" s="11" t="str">
        <f t="shared" si="19"/>
        <v/>
      </c>
      <c r="Q136" s="5" t="str">
        <f t="shared" si="20"/>
        <v/>
      </c>
      <c r="R136" s="10"/>
      <c r="S136" s="5" t="str">
        <f t="shared" si="21"/>
        <v/>
      </c>
      <c r="T136" s="5" t="str">
        <f t="shared" si="22"/>
        <v/>
      </c>
      <c r="U136" s="5" t="str">
        <f t="shared" si="23"/>
        <v/>
      </c>
      <c r="V136" s="7" t="str">
        <f t="shared" si="24"/>
        <v/>
      </c>
      <c r="W136" s="8" t="str">
        <f t="shared" si="25"/>
        <v/>
      </c>
      <c r="X136" s="2"/>
      <c r="Y136" s="10"/>
      <c r="Z136" s="11" t="str">
        <f>IF(X136&lt;&gt;"执行卖出","",IFERROR(LOOKUP(2,1/(单次交易!$A$2:$A$201=B136),单次交易!$AP$2:$AP$201),""))</f>
        <v/>
      </c>
      <c r="AA136" s="10"/>
      <c r="AB136" s="8" t="str">
        <f t="shared" si="26"/>
        <v/>
      </c>
      <c r="AC136" s="8" t="str">
        <f>IF(A136="","",IF(A136="止损计划",IF(OR(B136="",D136="",E136="",F136="",G136=""),"计划不完整",IF(OR(D136&lt;1,D136&lt;&gt;INT(D136)),"阶段序号无效",IF(COUNTIFS($A$2:$A$497,"止损计划",$B$2:$B$497,B136,$D$2:$D$497,D136)&gt;1,"阶段序号重复",IF(E136&lt;=IFERROR(LOOKUP(2,1/(单次交易!$A$2:$A$201=B136),单次交易!$E$2:$E$201),0),"激活价须高于买入价",IF(F136&lt;N136,"止损价不得低于初始止损",IF(F136&gt;E136,"止损价不得高于激活价",IF(AND(COUNTIFS($A$2:$A$497,"止损计划",$B$2:$B$497,B136,$D$2:$D$497,"&lt;"&amp;D136)&gt;0,OR(E136&lt;=SUMPRODUCT(MAX((($A$2:$A$497="止损计划")*($B$2:$B$497=B136)*($D$2:$D$497&lt;D136))*$E$2:$E$497)),F136&lt;SUMPRODUCT(MAX((($A$2:$A$497="止损计划")*($B$2:$B$497=B136)*($D$2:$D$497&lt;D136))*$F$2:$F$497)))),"阶段价格必须逐级提高","计划有效"))))))),IF(A136="每日跟踪",IF(OR(B136="",H136="",I136="",J136=""),"每日数据不完整",IF(COUNTIFS($A$2:$A$497,"每日跟踪",$B$2:$B$497,B136,$H$2:$H$497,H136)&gt;1,"同一交易日期重复",IF(AND(R136&lt;&gt;"",R136&lt;S136),"人工止损无效：不能下调","跟踪有效"))),"记录类型无效")))</f>
        <v/>
      </c>
    </row>
    <row r="137" ht="17" spans="1:29">
      <c r="A137" s="2"/>
      <c r="B137" s="2"/>
      <c r="C137" s="8" t="str">
        <f>IF(B137="","",IFERROR(LOOKUP(2,1/(单次交易!$A$2:$A$201=B137),单次交易!$B$2:$B$201),""))</f>
        <v/>
      </c>
      <c r="D137" s="12"/>
      <c r="E137" s="10"/>
      <c r="F137" s="10"/>
      <c r="G137" s="2"/>
      <c r="H137" s="15"/>
      <c r="I137" s="10"/>
      <c r="J137" s="12"/>
      <c r="K137" s="2"/>
      <c r="L137" s="2"/>
      <c r="M137" s="2"/>
      <c r="N137" s="5" t="str">
        <f>IF(B137="","",IFERROR(LOOKUP(2,1/(单次交易!$A$2:$A$201=B137),单次交易!$N$2:$N$201),""))</f>
        <v/>
      </c>
      <c r="O137" s="5" t="str">
        <f t="shared" si="18"/>
        <v/>
      </c>
      <c r="P137" s="11" t="str">
        <f t="shared" si="19"/>
        <v/>
      </c>
      <c r="Q137" s="5" t="str">
        <f t="shared" si="20"/>
        <v/>
      </c>
      <c r="R137" s="10"/>
      <c r="S137" s="5" t="str">
        <f t="shared" si="21"/>
        <v/>
      </c>
      <c r="T137" s="5" t="str">
        <f t="shared" si="22"/>
        <v/>
      </c>
      <c r="U137" s="5" t="str">
        <f t="shared" si="23"/>
        <v/>
      </c>
      <c r="V137" s="7" t="str">
        <f t="shared" si="24"/>
        <v/>
      </c>
      <c r="W137" s="8" t="str">
        <f t="shared" si="25"/>
        <v/>
      </c>
      <c r="X137" s="2"/>
      <c r="Y137" s="10"/>
      <c r="Z137" s="11" t="str">
        <f>IF(X137&lt;&gt;"执行卖出","",IFERROR(LOOKUP(2,1/(单次交易!$A$2:$A$201=B137),单次交易!$AP$2:$AP$201),""))</f>
        <v/>
      </c>
      <c r="AA137" s="10"/>
      <c r="AB137" s="8" t="str">
        <f t="shared" si="26"/>
        <v/>
      </c>
      <c r="AC137" s="8" t="str">
        <f>IF(A137="","",IF(A137="止损计划",IF(OR(B137="",D137="",E137="",F137="",G137=""),"计划不完整",IF(OR(D137&lt;1,D137&lt;&gt;INT(D137)),"阶段序号无效",IF(COUNTIFS($A$2:$A$497,"止损计划",$B$2:$B$497,B137,$D$2:$D$497,D137)&gt;1,"阶段序号重复",IF(E137&lt;=IFERROR(LOOKUP(2,1/(单次交易!$A$2:$A$201=B137),单次交易!$E$2:$E$201),0),"激活价须高于买入价",IF(F137&lt;N137,"止损价不得低于初始止损",IF(F137&gt;E137,"止损价不得高于激活价",IF(AND(COUNTIFS($A$2:$A$497,"止损计划",$B$2:$B$497,B137,$D$2:$D$497,"&lt;"&amp;D137)&gt;0,OR(E137&lt;=SUMPRODUCT(MAX((($A$2:$A$497="止损计划")*($B$2:$B$497=B137)*($D$2:$D$497&lt;D137))*$E$2:$E$497)),F137&lt;SUMPRODUCT(MAX((($A$2:$A$497="止损计划")*($B$2:$B$497=B137)*($D$2:$D$497&lt;D137))*$F$2:$F$497)))),"阶段价格必须逐级提高","计划有效"))))))),IF(A137="每日跟踪",IF(OR(B137="",H137="",I137="",J137=""),"每日数据不完整",IF(COUNTIFS($A$2:$A$497,"每日跟踪",$B$2:$B$497,B137,$H$2:$H$497,H137)&gt;1,"同一交易日期重复",IF(AND(R137&lt;&gt;"",R137&lt;S137),"人工止损无效：不能下调","跟踪有效"))),"记录类型无效")))</f>
        <v/>
      </c>
    </row>
    <row r="138" ht="17" spans="1:29">
      <c r="A138" s="2"/>
      <c r="B138" s="2"/>
      <c r="C138" s="8" t="str">
        <f>IF(B138="","",IFERROR(LOOKUP(2,1/(单次交易!$A$2:$A$201=B138),单次交易!$B$2:$B$201),""))</f>
        <v/>
      </c>
      <c r="D138" s="12"/>
      <c r="E138" s="10"/>
      <c r="F138" s="10"/>
      <c r="G138" s="2"/>
      <c r="H138" s="15"/>
      <c r="I138" s="10"/>
      <c r="J138" s="12"/>
      <c r="K138" s="2"/>
      <c r="L138" s="2"/>
      <c r="M138" s="2"/>
      <c r="N138" s="5" t="str">
        <f>IF(B138="","",IFERROR(LOOKUP(2,1/(单次交易!$A$2:$A$201=B138),单次交易!$N$2:$N$201),""))</f>
        <v/>
      </c>
      <c r="O138" s="5" t="str">
        <f t="shared" si="18"/>
        <v/>
      </c>
      <c r="P138" s="11" t="str">
        <f t="shared" si="19"/>
        <v/>
      </c>
      <c r="Q138" s="5" t="str">
        <f t="shared" si="20"/>
        <v/>
      </c>
      <c r="R138" s="10"/>
      <c r="S138" s="5" t="str">
        <f t="shared" si="21"/>
        <v/>
      </c>
      <c r="T138" s="5" t="str">
        <f t="shared" si="22"/>
        <v/>
      </c>
      <c r="U138" s="5" t="str">
        <f t="shared" si="23"/>
        <v/>
      </c>
      <c r="V138" s="7" t="str">
        <f t="shared" si="24"/>
        <v/>
      </c>
      <c r="W138" s="8" t="str">
        <f t="shared" si="25"/>
        <v/>
      </c>
      <c r="X138" s="2"/>
      <c r="Y138" s="10"/>
      <c r="Z138" s="11" t="str">
        <f>IF(X138&lt;&gt;"执行卖出","",IFERROR(LOOKUP(2,1/(单次交易!$A$2:$A$201=B138),单次交易!$AP$2:$AP$201),""))</f>
        <v/>
      </c>
      <c r="AA138" s="10"/>
      <c r="AB138" s="8" t="str">
        <f t="shared" si="26"/>
        <v/>
      </c>
      <c r="AC138" s="8" t="str">
        <f>IF(A138="","",IF(A138="止损计划",IF(OR(B138="",D138="",E138="",F138="",G138=""),"计划不完整",IF(OR(D138&lt;1,D138&lt;&gt;INT(D138)),"阶段序号无效",IF(COUNTIFS($A$2:$A$497,"止损计划",$B$2:$B$497,B138,$D$2:$D$497,D138)&gt;1,"阶段序号重复",IF(E138&lt;=IFERROR(LOOKUP(2,1/(单次交易!$A$2:$A$201=B138),单次交易!$E$2:$E$201),0),"激活价须高于买入价",IF(F138&lt;N138,"止损价不得低于初始止损",IF(F138&gt;E138,"止损价不得高于激活价",IF(AND(COUNTIFS($A$2:$A$497,"止损计划",$B$2:$B$497,B138,$D$2:$D$497,"&lt;"&amp;D138)&gt;0,OR(E138&lt;=SUMPRODUCT(MAX((($A$2:$A$497="止损计划")*($B$2:$B$497=B138)*($D$2:$D$497&lt;D138))*$E$2:$E$497)),F138&lt;SUMPRODUCT(MAX((($A$2:$A$497="止损计划")*($B$2:$B$497=B138)*($D$2:$D$497&lt;D138))*$F$2:$F$497)))),"阶段价格必须逐级提高","计划有效"))))))),IF(A138="每日跟踪",IF(OR(B138="",H138="",I138="",J138=""),"每日数据不完整",IF(COUNTIFS($A$2:$A$497,"每日跟踪",$B$2:$B$497,B138,$H$2:$H$497,H138)&gt;1,"同一交易日期重复",IF(AND(R138&lt;&gt;"",R138&lt;S138),"人工止损无效：不能下调","跟踪有效"))),"记录类型无效")))</f>
        <v/>
      </c>
    </row>
    <row r="139" ht="17" spans="1:29">
      <c r="A139" s="2"/>
      <c r="B139" s="2"/>
      <c r="C139" s="8" t="str">
        <f>IF(B139="","",IFERROR(LOOKUP(2,1/(单次交易!$A$2:$A$201=B139),单次交易!$B$2:$B$201),""))</f>
        <v/>
      </c>
      <c r="D139" s="12"/>
      <c r="E139" s="10"/>
      <c r="F139" s="10"/>
      <c r="G139" s="2"/>
      <c r="H139" s="15"/>
      <c r="I139" s="10"/>
      <c r="J139" s="12"/>
      <c r="K139" s="2"/>
      <c r="L139" s="2"/>
      <c r="M139" s="2"/>
      <c r="N139" s="5" t="str">
        <f>IF(B139="","",IFERROR(LOOKUP(2,1/(单次交易!$A$2:$A$201=B139),单次交易!$N$2:$N$201),""))</f>
        <v/>
      </c>
      <c r="O139" s="5" t="str">
        <f t="shared" si="18"/>
        <v/>
      </c>
      <c r="P139" s="11" t="str">
        <f t="shared" si="19"/>
        <v/>
      </c>
      <c r="Q139" s="5" t="str">
        <f t="shared" si="20"/>
        <v/>
      </c>
      <c r="R139" s="10"/>
      <c r="S139" s="5" t="str">
        <f t="shared" si="21"/>
        <v/>
      </c>
      <c r="T139" s="5" t="str">
        <f t="shared" si="22"/>
        <v/>
      </c>
      <c r="U139" s="5" t="str">
        <f t="shared" si="23"/>
        <v/>
      </c>
      <c r="V139" s="7" t="str">
        <f t="shared" si="24"/>
        <v/>
      </c>
      <c r="W139" s="8" t="str">
        <f t="shared" si="25"/>
        <v/>
      </c>
      <c r="X139" s="2"/>
      <c r="Y139" s="10"/>
      <c r="Z139" s="11" t="str">
        <f>IF(X139&lt;&gt;"执行卖出","",IFERROR(LOOKUP(2,1/(单次交易!$A$2:$A$201=B139),单次交易!$AP$2:$AP$201),""))</f>
        <v/>
      </c>
      <c r="AA139" s="10"/>
      <c r="AB139" s="8" t="str">
        <f t="shared" si="26"/>
        <v/>
      </c>
      <c r="AC139" s="8" t="str">
        <f>IF(A139="","",IF(A139="止损计划",IF(OR(B139="",D139="",E139="",F139="",G139=""),"计划不完整",IF(OR(D139&lt;1,D139&lt;&gt;INT(D139)),"阶段序号无效",IF(COUNTIFS($A$2:$A$497,"止损计划",$B$2:$B$497,B139,$D$2:$D$497,D139)&gt;1,"阶段序号重复",IF(E139&lt;=IFERROR(LOOKUP(2,1/(单次交易!$A$2:$A$201=B139),单次交易!$E$2:$E$201),0),"激活价须高于买入价",IF(F139&lt;N139,"止损价不得低于初始止损",IF(F139&gt;E139,"止损价不得高于激活价",IF(AND(COUNTIFS($A$2:$A$497,"止损计划",$B$2:$B$497,B139,$D$2:$D$497,"&lt;"&amp;D139)&gt;0,OR(E139&lt;=SUMPRODUCT(MAX((($A$2:$A$497="止损计划")*($B$2:$B$497=B139)*($D$2:$D$497&lt;D139))*$E$2:$E$497)),F139&lt;SUMPRODUCT(MAX((($A$2:$A$497="止损计划")*($B$2:$B$497=B139)*($D$2:$D$497&lt;D139))*$F$2:$F$497)))),"阶段价格必须逐级提高","计划有效"))))))),IF(A139="每日跟踪",IF(OR(B139="",H139="",I139="",J139=""),"每日数据不完整",IF(COUNTIFS($A$2:$A$497,"每日跟踪",$B$2:$B$497,B139,$H$2:$H$497,H139)&gt;1,"同一交易日期重复",IF(AND(R139&lt;&gt;"",R139&lt;S139),"人工止损无效：不能下调","跟踪有效"))),"记录类型无效")))</f>
        <v/>
      </c>
    </row>
    <row r="140" ht="17" spans="1:29">
      <c r="A140" s="2"/>
      <c r="B140" s="2"/>
      <c r="C140" s="8" t="str">
        <f>IF(B140="","",IFERROR(LOOKUP(2,1/(单次交易!$A$2:$A$201=B140),单次交易!$B$2:$B$201),""))</f>
        <v/>
      </c>
      <c r="D140" s="12"/>
      <c r="E140" s="10"/>
      <c r="F140" s="10"/>
      <c r="G140" s="2"/>
      <c r="H140" s="15"/>
      <c r="I140" s="10"/>
      <c r="J140" s="12"/>
      <c r="K140" s="2"/>
      <c r="L140" s="2"/>
      <c r="M140" s="2"/>
      <c r="N140" s="5" t="str">
        <f>IF(B140="","",IFERROR(LOOKUP(2,1/(单次交易!$A$2:$A$201=B140),单次交易!$N$2:$N$201),""))</f>
        <v/>
      </c>
      <c r="O140" s="5" t="str">
        <f t="shared" si="18"/>
        <v/>
      </c>
      <c r="P140" s="11" t="str">
        <f t="shared" si="19"/>
        <v/>
      </c>
      <c r="Q140" s="5" t="str">
        <f t="shared" si="20"/>
        <v/>
      </c>
      <c r="R140" s="10"/>
      <c r="S140" s="5" t="str">
        <f t="shared" si="21"/>
        <v/>
      </c>
      <c r="T140" s="5" t="str">
        <f t="shared" si="22"/>
        <v/>
      </c>
      <c r="U140" s="5" t="str">
        <f t="shared" si="23"/>
        <v/>
      </c>
      <c r="V140" s="7" t="str">
        <f t="shared" si="24"/>
        <v/>
      </c>
      <c r="W140" s="8" t="str">
        <f t="shared" si="25"/>
        <v/>
      </c>
      <c r="X140" s="2"/>
      <c r="Y140" s="10"/>
      <c r="Z140" s="11" t="str">
        <f>IF(X140&lt;&gt;"执行卖出","",IFERROR(LOOKUP(2,1/(单次交易!$A$2:$A$201=B140),单次交易!$AP$2:$AP$201),""))</f>
        <v/>
      </c>
      <c r="AA140" s="10"/>
      <c r="AB140" s="8" t="str">
        <f t="shared" si="26"/>
        <v/>
      </c>
      <c r="AC140" s="8" t="str">
        <f>IF(A140="","",IF(A140="止损计划",IF(OR(B140="",D140="",E140="",F140="",G140=""),"计划不完整",IF(OR(D140&lt;1,D140&lt;&gt;INT(D140)),"阶段序号无效",IF(COUNTIFS($A$2:$A$497,"止损计划",$B$2:$B$497,B140,$D$2:$D$497,D140)&gt;1,"阶段序号重复",IF(E140&lt;=IFERROR(LOOKUP(2,1/(单次交易!$A$2:$A$201=B140),单次交易!$E$2:$E$201),0),"激活价须高于买入价",IF(F140&lt;N140,"止损价不得低于初始止损",IF(F140&gt;E140,"止损价不得高于激活价",IF(AND(COUNTIFS($A$2:$A$497,"止损计划",$B$2:$B$497,B140,$D$2:$D$497,"&lt;"&amp;D140)&gt;0,OR(E140&lt;=SUMPRODUCT(MAX((($A$2:$A$497="止损计划")*($B$2:$B$497=B140)*($D$2:$D$497&lt;D140))*$E$2:$E$497)),F140&lt;SUMPRODUCT(MAX((($A$2:$A$497="止损计划")*($B$2:$B$497=B140)*($D$2:$D$497&lt;D140))*$F$2:$F$497)))),"阶段价格必须逐级提高","计划有效"))))))),IF(A140="每日跟踪",IF(OR(B140="",H140="",I140="",J140=""),"每日数据不完整",IF(COUNTIFS($A$2:$A$497,"每日跟踪",$B$2:$B$497,B140,$H$2:$H$497,H140)&gt;1,"同一交易日期重复",IF(AND(R140&lt;&gt;"",R140&lt;S140),"人工止损无效：不能下调","跟踪有效"))),"记录类型无效")))</f>
        <v/>
      </c>
    </row>
    <row r="141" ht="17" spans="1:29">
      <c r="A141" s="2"/>
      <c r="B141" s="2"/>
      <c r="C141" s="8" t="str">
        <f>IF(B141="","",IFERROR(LOOKUP(2,1/(单次交易!$A$2:$A$201=B141),单次交易!$B$2:$B$201),""))</f>
        <v/>
      </c>
      <c r="D141" s="12"/>
      <c r="E141" s="10"/>
      <c r="F141" s="10"/>
      <c r="G141" s="2"/>
      <c r="H141" s="15"/>
      <c r="I141" s="10"/>
      <c r="J141" s="12"/>
      <c r="K141" s="2"/>
      <c r="L141" s="2"/>
      <c r="M141" s="2"/>
      <c r="N141" s="5" t="str">
        <f>IF(B141="","",IFERROR(LOOKUP(2,1/(单次交易!$A$2:$A$201=B141),单次交易!$N$2:$N$201),""))</f>
        <v/>
      </c>
      <c r="O141" s="5" t="str">
        <f t="shared" si="18"/>
        <v/>
      </c>
      <c r="P141" s="11" t="str">
        <f t="shared" si="19"/>
        <v/>
      </c>
      <c r="Q141" s="5" t="str">
        <f t="shared" si="20"/>
        <v/>
      </c>
      <c r="R141" s="10"/>
      <c r="S141" s="5" t="str">
        <f t="shared" si="21"/>
        <v/>
      </c>
      <c r="T141" s="5" t="str">
        <f t="shared" si="22"/>
        <v/>
      </c>
      <c r="U141" s="5" t="str">
        <f t="shared" si="23"/>
        <v/>
      </c>
      <c r="V141" s="7" t="str">
        <f t="shared" si="24"/>
        <v/>
      </c>
      <c r="W141" s="8" t="str">
        <f t="shared" si="25"/>
        <v/>
      </c>
      <c r="X141" s="2"/>
      <c r="Y141" s="10"/>
      <c r="Z141" s="11" t="str">
        <f>IF(X141&lt;&gt;"执行卖出","",IFERROR(LOOKUP(2,1/(单次交易!$A$2:$A$201=B141),单次交易!$AP$2:$AP$201),""))</f>
        <v/>
      </c>
      <c r="AA141" s="10"/>
      <c r="AB141" s="8" t="str">
        <f t="shared" si="26"/>
        <v/>
      </c>
      <c r="AC141" s="8" t="str">
        <f>IF(A141="","",IF(A141="止损计划",IF(OR(B141="",D141="",E141="",F141="",G141=""),"计划不完整",IF(OR(D141&lt;1,D141&lt;&gt;INT(D141)),"阶段序号无效",IF(COUNTIFS($A$2:$A$497,"止损计划",$B$2:$B$497,B141,$D$2:$D$497,D141)&gt;1,"阶段序号重复",IF(E141&lt;=IFERROR(LOOKUP(2,1/(单次交易!$A$2:$A$201=B141),单次交易!$E$2:$E$201),0),"激活价须高于买入价",IF(F141&lt;N141,"止损价不得低于初始止损",IF(F141&gt;E141,"止损价不得高于激活价",IF(AND(COUNTIFS($A$2:$A$497,"止损计划",$B$2:$B$497,B141,$D$2:$D$497,"&lt;"&amp;D141)&gt;0,OR(E141&lt;=SUMPRODUCT(MAX((($A$2:$A$497="止损计划")*($B$2:$B$497=B141)*($D$2:$D$497&lt;D141))*$E$2:$E$497)),F141&lt;SUMPRODUCT(MAX((($A$2:$A$497="止损计划")*($B$2:$B$497=B141)*($D$2:$D$497&lt;D141))*$F$2:$F$497)))),"阶段价格必须逐级提高","计划有效"))))))),IF(A141="每日跟踪",IF(OR(B141="",H141="",I141="",J141=""),"每日数据不完整",IF(COUNTIFS($A$2:$A$497,"每日跟踪",$B$2:$B$497,B141,$H$2:$H$497,H141)&gt;1,"同一交易日期重复",IF(AND(R141&lt;&gt;"",R141&lt;S141),"人工止损无效：不能下调","跟踪有效"))),"记录类型无效")))</f>
        <v/>
      </c>
    </row>
    <row r="142" ht="17" spans="1:29">
      <c r="A142" s="2"/>
      <c r="B142" s="2"/>
      <c r="C142" s="8" t="str">
        <f>IF(B142="","",IFERROR(LOOKUP(2,1/(单次交易!$A$2:$A$201=B142),单次交易!$B$2:$B$201),""))</f>
        <v/>
      </c>
      <c r="D142" s="12"/>
      <c r="E142" s="10"/>
      <c r="F142" s="10"/>
      <c r="G142" s="2"/>
      <c r="H142" s="15"/>
      <c r="I142" s="10"/>
      <c r="J142" s="12"/>
      <c r="K142" s="2"/>
      <c r="L142" s="2"/>
      <c r="M142" s="2"/>
      <c r="N142" s="5" t="str">
        <f>IF(B142="","",IFERROR(LOOKUP(2,1/(单次交易!$A$2:$A$201=B142),单次交易!$N$2:$N$201),""))</f>
        <v/>
      </c>
      <c r="O142" s="5" t="str">
        <f t="shared" si="18"/>
        <v/>
      </c>
      <c r="P142" s="11" t="str">
        <f t="shared" si="19"/>
        <v/>
      </c>
      <c r="Q142" s="5" t="str">
        <f t="shared" si="20"/>
        <v/>
      </c>
      <c r="R142" s="10"/>
      <c r="S142" s="5" t="str">
        <f t="shared" si="21"/>
        <v/>
      </c>
      <c r="T142" s="5" t="str">
        <f t="shared" si="22"/>
        <v/>
      </c>
      <c r="U142" s="5" t="str">
        <f t="shared" si="23"/>
        <v/>
      </c>
      <c r="V142" s="7" t="str">
        <f t="shared" si="24"/>
        <v/>
      </c>
      <c r="W142" s="8" t="str">
        <f t="shared" si="25"/>
        <v/>
      </c>
      <c r="X142" s="2"/>
      <c r="Y142" s="10"/>
      <c r="Z142" s="11" t="str">
        <f>IF(X142&lt;&gt;"执行卖出","",IFERROR(LOOKUP(2,1/(单次交易!$A$2:$A$201=B142),单次交易!$AP$2:$AP$201),""))</f>
        <v/>
      </c>
      <c r="AA142" s="10"/>
      <c r="AB142" s="8" t="str">
        <f t="shared" si="26"/>
        <v/>
      </c>
      <c r="AC142" s="8" t="str">
        <f>IF(A142="","",IF(A142="止损计划",IF(OR(B142="",D142="",E142="",F142="",G142=""),"计划不完整",IF(OR(D142&lt;1,D142&lt;&gt;INT(D142)),"阶段序号无效",IF(COUNTIFS($A$2:$A$497,"止损计划",$B$2:$B$497,B142,$D$2:$D$497,D142)&gt;1,"阶段序号重复",IF(E142&lt;=IFERROR(LOOKUP(2,1/(单次交易!$A$2:$A$201=B142),单次交易!$E$2:$E$201),0),"激活价须高于买入价",IF(F142&lt;N142,"止损价不得低于初始止损",IF(F142&gt;E142,"止损价不得高于激活价",IF(AND(COUNTIFS($A$2:$A$497,"止损计划",$B$2:$B$497,B142,$D$2:$D$497,"&lt;"&amp;D142)&gt;0,OR(E142&lt;=SUMPRODUCT(MAX((($A$2:$A$497="止损计划")*($B$2:$B$497=B142)*($D$2:$D$497&lt;D142))*$E$2:$E$497)),F142&lt;SUMPRODUCT(MAX((($A$2:$A$497="止损计划")*($B$2:$B$497=B142)*($D$2:$D$497&lt;D142))*$F$2:$F$497)))),"阶段价格必须逐级提高","计划有效"))))))),IF(A142="每日跟踪",IF(OR(B142="",H142="",I142="",J142=""),"每日数据不完整",IF(COUNTIFS($A$2:$A$497,"每日跟踪",$B$2:$B$497,B142,$H$2:$H$497,H142)&gt;1,"同一交易日期重复",IF(AND(R142&lt;&gt;"",R142&lt;S142),"人工止损无效：不能下调","跟踪有效"))),"记录类型无效")))</f>
        <v/>
      </c>
    </row>
    <row r="143" ht="17" spans="1:29">
      <c r="A143" s="2"/>
      <c r="B143" s="2"/>
      <c r="C143" s="8" t="str">
        <f>IF(B143="","",IFERROR(LOOKUP(2,1/(单次交易!$A$2:$A$201=B143),单次交易!$B$2:$B$201),""))</f>
        <v/>
      </c>
      <c r="D143" s="12"/>
      <c r="E143" s="10"/>
      <c r="F143" s="10"/>
      <c r="G143" s="2"/>
      <c r="H143" s="15"/>
      <c r="I143" s="10"/>
      <c r="J143" s="12"/>
      <c r="K143" s="2"/>
      <c r="L143" s="2"/>
      <c r="M143" s="2"/>
      <c r="N143" s="5" t="str">
        <f>IF(B143="","",IFERROR(LOOKUP(2,1/(单次交易!$A$2:$A$201=B143),单次交易!$N$2:$N$201),""))</f>
        <v/>
      </c>
      <c r="O143" s="5" t="str">
        <f t="shared" si="18"/>
        <v/>
      </c>
      <c r="P143" s="11" t="str">
        <f t="shared" si="19"/>
        <v/>
      </c>
      <c r="Q143" s="5" t="str">
        <f t="shared" si="20"/>
        <v/>
      </c>
      <c r="R143" s="10"/>
      <c r="S143" s="5" t="str">
        <f t="shared" si="21"/>
        <v/>
      </c>
      <c r="T143" s="5" t="str">
        <f t="shared" si="22"/>
        <v/>
      </c>
      <c r="U143" s="5" t="str">
        <f t="shared" si="23"/>
        <v/>
      </c>
      <c r="V143" s="7" t="str">
        <f t="shared" si="24"/>
        <v/>
      </c>
      <c r="W143" s="8" t="str">
        <f t="shared" si="25"/>
        <v/>
      </c>
      <c r="X143" s="2"/>
      <c r="Y143" s="10"/>
      <c r="Z143" s="11" t="str">
        <f>IF(X143&lt;&gt;"执行卖出","",IFERROR(LOOKUP(2,1/(单次交易!$A$2:$A$201=B143),单次交易!$AP$2:$AP$201),""))</f>
        <v/>
      </c>
      <c r="AA143" s="10"/>
      <c r="AB143" s="8" t="str">
        <f t="shared" si="26"/>
        <v/>
      </c>
      <c r="AC143" s="8" t="str">
        <f>IF(A143="","",IF(A143="止损计划",IF(OR(B143="",D143="",E143="",F143="",G143=""),"计划不完整",IF(OR(D143&lt;1,D143&lt;&gt;INT(D143)),"阶段序号无效",IF(COUNTIFS($A$2:$A$497,"止损计划",$B$2:$B$497,B143,$D$2:$D$497,D143)&gt;1,"阶段序号重复",IF(E143&lt;=IFERROR(LOOKUP(2,1/(单次交易!$A$2:$A$201=B143),单次交易!$E$2:$E$201),0),"激活价须高于买入价",IF(F143&lt;N143,"止损价不得低于初始止损",IF(F143&gt;E143,"止损价不得高于激活价",IF(AND(COUNTIFS($A$2:$A$497,"止损计划",$B$2:$B$497,B143,$D$2:$D$497,"&lt;"&amp;D143)&gt;0,OR(E143&lt;=SUMPRODUCT(MAX((($A$2:$A$497="止损计划")*($B$2:$B$497=B143)*($D$2:$D$497&lt;D143))*$E$2:$E$497)),F143&lt;SUMPRODUCT(MAX((($A$2:$A$497="止损计划")*($B$2:$B$497=B143)*($D$2:$D$497&lt;D143))*$F$2:$F$497)))),"阶段价格必须逐级提高","计划有效"))))))),IF(A143="每日跟踪",IF(OR(B143="",H143="",I143="",J143=""),"每日数据不完整",IF(COUNTIFS($A$2:$A$497,"每日跟踪",$B$2:$B$497,B143,$H$2:$H$497,H143)&gt;1,"同一交易日期重复",IF(AND(R143&lt;&gt;"",R143&lt;S143),"人工止损无效：不能下调","跟踪有效"))),"记录类型无效")))</f>
        <v/>
      </c>
    </row>
    <row r="144" ht="17" spans="1:29">
      <c r="A144" s="2"/>
      <c r="B144" s="2"/>
      <c r="C144" s="8" t="str">
        <f>IF(B144="","",IFERROR(LOOKUP(2,1/(单次交易!$A$2:$A$201=B144),单次交易!$B$2:$B$201),""))</f>
        <v/>
      </c>
      <c r="D144" s="12"/>
      <c r="E144" s="10"/>
      <c r="F144" s="10"/>
      <c r="G144" s="2"/>
      <c r="H144" s="15"/>
      <c r="I144" s="10"/>
      <c r="J144" s="12"/>
      <c r="K144" s="2"/>
      <c r="L144" s="2"/>
      <c r="M144" s="2"/>
      <c r="N144" s="5" t="str">
        <f>IF(B144="","",IFERROR(LOOKUP(2,1/(单次交易!$A$2:$A$201=B144),单次交易!$N$2:$N$201),""))</f>
        <v/>
      </c>
      <c r="O144" s="5" t="str">
        <f t="shared" si="18"/>
        <v/>
      </c>
      <c r="P144" s="11" t="str">
        <f t="shared" si="19"/>
        <v/>
      </c>
      <c r="Q144" s="5" t="str">
        <f t="shared" si="20"/>
        <v/>
      </c>
      <c r="R144" s="10"/>
      <c r="S144" s="5" t="str">
        <f t="shared" si="21"/>
        <v/>
      </c>
      <c r="T144" s="5" t="str">
        <f t="shared" si="22"/>
        <v/>
      </c>
      <c r="U144" s="5" t="str">
        <f t="shared" si="23"/>
        <v/>
      </c>
      <c r="V144" s="7" t="str">
        <f t="shared" si="24"/>
        <v/>
      </c>
      <c r="W144" s="8" t="str">
        <f t="shared" si="25"/>
        <v/>
      </c>
      <c r="X144" s="2"/>
      <c r="Y144" s="10"/>
      <c r="Z144" s="11" t="str">
        <f>IF(X144&lt;&gt;"执行卖出","",IFERROR(LOOKUP(2,1/(单次交易!$A$2:$A$201=B144),单次交易!$AP$2:$AP$201),""))</f>
        <v/>
      </c>
      <c r="AA144" s="10"/>
      <c r="AB144" s="8" t="str">
        <f t="shared" si="26"/>
        <v/>
      </c>
      <c r="AC144" s="8" t="str">
        <f>IF(A144="","",IF(A144="止损计划",IF(OR(B144="",D144="",E144="",F144="",G144=""),"计划不完整",IF(OR(D144&lt;1,D144&lt;&gt;INT(D144)),"阶段序号无效",IF(COUNTIFS($A$2:$A$497,"止损计划",$B$2:$B$497,B144,$D$2:$D$497,D144)&gt;1,"阶段序号重复",IF(E144&lt;=IFERROR(LOOKUP(2,1/(单次交易!$A$2:$A$201=B144),单次交易!$E$2:$E$201),0),"激活价须高于买入价",IF(F144&lt;N144,"止损价不得低于初始止损",IF(F144&gt;E144,"止损价不得高于激活价",IF(AND(COUNTIFS($A$2:$A$497,"止损计划",$B$2:$B$497,B144,$D$2:$D$497,"&lt;"&amp;D144)&gt;0,OR(E144&lt;=SUMPRODUCT(MAX((($A$2:$A$497="止损计划")*($B$2:$B$497=B144)*($D$2:$D$497&lt;D144))*$E$2:$E$497)),F144&lt;SUMPRODUCT(MAX((($A$2:$A$497="止损计划")*($B$2:$B$497=B144)*($D$2:$D$497&lt;D144))*$F$2:$F$497)))),"阶段价格必须逐级提高","计划有效"))))))),IF(A144="每日跟踪",IF(OR(B144="",H144="",I144="",J144=""),"每日数据不完整",IF(COUNTIFS($A$2:$A$497,"每日跟踪",$B$2:$B$497,B144,$H$2:$H$497,H144)&gt;1,"同一交易日期重复",IF(AND(R144&lt;&gt;"",R144&lt;S144),"人工止损无效：不能下调","跟踪有效"))),"记录类型无效")))</f>
        <v/>
      </c>
    </row>
    <row r="145" ht="17" spans="1:29">
      <c r="A145" s="2"/>
      <c r="B145" s="2"/>
      <c r="C145" s="8" t="str">
        <f>IF(B145="","",IFERROR(LOOKUP(2,1/(单次交易!$A$2:$A$201=B145),单次交易!$B$2:$B$201),""))</f>
        <v/>
      </c>
      <c r="D145" s="12"/>
      <c r="E145" s="10"/>
      <c r="F145" s="10"/>
      <c r="G145" s="2"/>
      <c r="H145" s="15"/>
      <c r="I145" s="10"/>
      <c r="J145" s="12"/>
      <c r="K145" s="2"/>
      <c r="L145" s="2"/>
      <c r="M145" s="2"/>
      <c r="N145" s="5" t="str">
        <f>IF(B145="","",IFERROR(LOOKUP(2,1/(单次交易!$A$2:$A$201=B145),单次交易!$N$2:$N$201),""))</f>
        <v/>
      </c>
      <c r="O145" s="5" t="str">
        <f t="shared" si="18"/>
        <v/>
      </c>
      <c r="P145" s="11" t="str">
        <f t="shared" si="19"/>
        <v/>
      </c>
      <c r="Q145" s="5" t="str">
        <f t="shared" si="20"/>
        <v/>
      </c>
      <c r="R145" s="10"/>
      <c r="S145" s="5" t="str">
        <f t="shared" si="21"/>
        <v/>
      </c>
      <c r="T145" s="5" t="str">
        <f t="shared" si="22"/>
        <v/>
      </c>
      <c r="U145" s="5" t="str">
        <f t="shared" si="23"/>
        <v/>
      </c>
      <c r="V145" s="7" t="str">
        <f t="shared" si="24"/>
        <v/>
      </c>
      <c r="W145" s="8" t="str">
        <f t="shared" si="25"/>
        <v/>
      </c>
      <c r="X145" s="2"/>
      <c r="Y145" s="10"/>
      <c r="Z145" s="11" t="str">
        <f>IF(X145&lt;&gt;"执行卖出","",IFERROR(LOOKUP(2,1/(单次交易!$A$2:$A$201=B145),单次交易!$AP$2:$AP$201),""))</f>
        <v/>
      </c>
      <c r="AA145" s="10"/>
      <c r="AB145" s="8" t="str">
        <f t="shared" si="26"/>
        <v/>
      </c>
      <c r="AC145" s="8" t="str">
        <f>IF(A145="","",IF(A145="止损计划",IF(OR(B145="",D145="",E145="",F145="",G145=""),"计划不完整",IF(OR(D145&lt;1,D145&lt;&gt;INT(D145)),"阶段序号无效",IF(COUNTIFS($A$2:$A$497,"止损计划",$B$2:$B$497,B145,$D$2:$D$497,D145)&gt;1,"阶段序号重复",IF(E145&lt;=IFERROR(LOOKUP(2,1/(单次交易!$A$2:$A$201=B145),单次交易!$E$2:$E$201),0),"激活价须高于买入价",IF(F145&lt;N145,"止损价不得低于初始止损",IF(F145&gt;E145,"止损价不得高于激活价",IF(AND(COUNTIFS($A$2:$A$497,"止损计划",$B$2:$B$497,B145,$D$2:$D$497,"&lt;"&amp;D145)&gt;0,OR(E145&lt;=SUMPRODUCT(MAX((($A$2:$A$497="止损计划")*($B$2:$B$497=B145)*($D$2:$D$497&lt;D145))*$E$2:$E$497)),F145&lt;SUMPRODUCT(MAX((($A$2:$A$497="止损计划")*($B$2:$B$497=B145)*($D$2:$D$497&lt;D145))*$F$2:$F$497)))),"阶段价格必须逐级提高","计划有效"))))))),IF(A145="每日跟踪",IF(OR(B145="",H145="",I145="",J145=""),"每日数据不完整",IF(COUNTIFS($A$2:$A$497,"每日跟踪",$B$2:$B$497,B145,$H$2:$H$497,H145)&gt;1,"同一交易日期重复",IF(AND(R145&lt;&gt;"",R145&lt;S145),"人工止损无效：不能下调","跟踪有效"))),"记录类型无效")))</f>
        <v/>
      </c>
    </row>
    <row r="146" ht="17" spans="1:29">
      <c r="A146" s="2"/>
      <c r="B146" s="2"/>
      <c r="C146" s="8" t="str">
        <f>IF(B146="","",IFERROR(LOOKUP(2,1/(单次交易!$A$2:$A$201=B146),单次交易!$B$2:$B$201),""))</f>
        <v/>
      </c>
      <c r="D146" s="12"/>
      <c r="E146" s="10"/>
      <c r="F146" s="10"/>
      <c r="G146" s="2"/>
      <c r="H146" s="15"/>
      <c r="I146" s="10"/>
      <c r="J146" s="12"/>
      <c r="K146" s="2"/>
      <c r="L146" s="2"/>
      <c r="M146" s="2"/>
      <c r="N146" s="5" t="str">
        <f>IF(B146="","",IFERROR(LOOKUP(2,1/(单次交易!$A$2:$A$201=B146),单次交易!$N$2:$N$201),""))</f>
        <v/>
      </c>
      <c r="O146" s="5" t="str">
        <f t="shared" si="18"/>
        <v/>
      </c>
      <c r="P146" s="11" t="str">
        <f t="shared" si="19"/>
        <v/>
      </c>
      <c r="Q146" s="5" t="str">
        <f t="shared" si="20"/>
        <v/>
      </c>
      <c r="R146" s="10"/>
      <c r="S146" s="5" t="str">
        <f t="shared" si="21"/>
        <v/>
      </c>
      <c r="T146" s="5" t="str">
        <f t="shared" si="22"/>
        <v/>
      </c>
      <c r="U146" s="5" t="str">
        <f t="shared" si="23"/>
        <v/>
      </c>
      <c r="V146" s="7" t="str">
        <f t="shared" si="24"/>
        <v/>
      </c>
      <c r="W146" s="8" t="str">
        <f t="shared" si="25"/>
        <v/>
      </c>
      <c r="X146" s="2"/>
      <c r="Y146" s="10"/>
      <c r="Z146" s="11" t="str">
        <f>IF(X146&lt;&gt;"执行卖出","",IFERROR(LOOKUP(2,1/(单次交易!$A$2:$A$201=B146),单次交易!$AP$2:$AP$201),""))</f>
        <v/>
      </c>
      <c r="AA146" s="10"/>
      <c r="AB146" s="8" t="str">
        <f t="shared" si="26"/>
        <v/>
      </c>
      <c r="AC146" s="8" t="str">
        <f>IF(A146="","",IF(A146="止损计划",IF(OR(B146="",D146="",E146="",F146="",G146=""),"计划不完整",IF(OR(D146&lt;1,D146&lt;&gt;INT(D146)),"阶段序号无效",IF(COUNTIFS($A$2:$A$497,"止损计划",$B$2:$B$497,B146,$D$2:$D$497,D146)&gt;1,"阶段序号重复",IF(E146&lt;=IFERROR(LOOKUP(2,1/(单次交易!$A$2:$A$201=B146),单次交易!$E$2:$E$201),0),"激活价须高于买入价",IF(F146&lt;N146,"止损价不得低于初始止损",IF(F146&gt;E146,"止损价不得高于激活价",IF(AND(COUNTIFS($A$2:$A$497,"止损计划",$B$2:$B$497,B146,$D$2:$D$497,"&lt;"&amp;D146)&gt;0,OR(E146&lt;=SUMPRODUCT(MAX((($A$2:$A$497="止损计划")*($B$2:$B$497=B146)*($D$2:$D$497&lt;D146))*$E$2:$E$497)),F146&lt;SUMPRODUCT(MAX((($A$2:$A$497="止损计划")*($B$2:$B$497=B146)*($D$2:$D$497&lt;D146))*$F$2:$F$497)))),"阶段价格必须逐级提高","计划有效"))))))),IF(A146="每日跟踪",IF(OR(B146="",H146="",I146="",J146=""),"每日数据不完整",IF(COUNTIFS($A$2:$A$497,"每日跟踪",$B$2:$B$497,B146,$H$2:$H$497,H146)&gt;1,"同一交易日期重复",IF(AND(R146&lt;&gt;"",R146&lt;S146),"人工止损无效：不能下调","跟踪有效"))),"记录类型无效")))</f>
        <v/>
      </c>
    </row>
    <row r="147" ht="17" spans="1:29">
      <c r="A147" s="2"/>
      <c r="B147" s="2"/>
      <c r="C147" s="8" t="str">
        <f>IF(B147="","",IFERROR(LOOKUP(2,1/(单次交易!$A$2:$A$201=B147),单次交易!$B$2:$B$201),""))</f>
        <v/>
      </c>
      <c r="D147" s="12"/>
      <c r="E147" s="10"/>
      <c r="F147" s="10"/>
      <c r="G147" s="2"/>
      <c r="H147" s="15"/>
      <c r="I147" s="10"/>
      <c r="J147" s="12"/>
      <c r="K147" s="2"/>
      <c r="L147" s="2"/>
      <c r="M147" s="2"/>
      <c r="N147" s="5" t="str">
        <f>IF(B147="","",IFERROR(LOOKUP(2,1/(单次交易!$A$2:$A$201=B147),单次交易!$N$2:$N$201),""))</f>
        <v/>
      </c>
      <c r="O147" s="5" t="str">
        <f t="shared" si="18"/>
        <v/>
      </c>
      <c r="P147" s="11" t="str">
        <f t="shared" si="19"/>
        <v/>
      </c>
      <c r="Q147" s="5" t="str">
        <f t="shared" si="20"/>
        <v/>
      </c>
      <c r="R147" s="10"/>
      <c r="S147" s="5" t="str">
        <f t="shared" si="21"/>
        <v/>
      </c>
      <c r="T147" s="5" t="str">
        <f t="shared" si="22"/>
        <v/>
      </c>
      <c r="U147" s="5" t="str">
        <f t="shared" si="23"/>
        <v/>
      </c>
      <c r="V147" s="7" t="str">
        <f t="shared" si="24"/>
        <v/>
      </c>
      <c r="W147" s="8" t="str">
        <f t="shared" si="25"/>
        <v/>
      </c>
      <c r="X147" s="2"/>
      <c r="Y147" s="10"/>
      <c r="Z147" s="11" t="str">
        <f>IF(X147&lt;&gt;"执行卖出","",IFERROR(LOOKUP(2,1/(单次交易!$A$2:$A$201=B147),单次交易!$AP$2:$AP$201),""))</f>
        <v/>
      </c>
      <c r="AA147" s="10"/>
      <c r="AB147" s="8" t="str">
        <f t="shared" si="26"/>
        <v/>
      </c>
      <c r="AC147" s="8" t="str">
        <f>IF(A147="","",IF(A147="止损计划",IF(OR(B147="",D147="",E147="",F147="",G147=""),"计划不完整",IF(OR(D147&lt;1,D147&lt;&gt;INT(D147)),"阶段序号无效",IF(COUNTIFS($A$2:$A$497,"止损计划",$B$2:$B$497,B147,$D$2:$D$497,D147)&gt;1,"阶段序号重复",IF(E147&lt;=IFERROR(LOOKUP(2,1/(单次交易!$A$2:$A$201=B147),单次交易!$E$2:$E$201),0),"激活价须高于买入价",IF(F147&lt;N147,"止损价不得低于初始止损",IF(F147&gt;E147,"止损价不得高于激活价",IF(AND(COUNTIFS($A$2:$A$497,"止损计划",$B$2:$B$497,B147,$D$2:$D$497,"&lt;"&amp;D147)&gt;0,OR(E147&lt;=SUMPRODUCT(MAX((($A$2:$A$497="止损计划")*($B$2:$B$497=B147)*($D$2:$D$497&lt;D147))*$E$2:$E$497)),F147&lt;SUMPRODUCT(MAX((($A$2:$A$497="止损计划")*($B$2:$B$497=B147)*($D$2:$D$497&lt;D147))*$F$2:$F$497)))),"阶段价格必须逐级提高","计划有效"))))))),IF(A147="每日跟踪",IF(OR(B147="",H147="",I147="",J147=""),"每日数据不完整",IF(COUNTIFS($A$2:$A$497,"每日跟踪",$B$2:$B$497,B147,$H$2:$H$497,H147)&gt;1,"同一交易日期重复",IF(AND(R147&lt;&gt;"",R147&lt;S147),"人工止损无效：不能下调","跟踪有效"))),"记录类型无效")))</f>
        <v/>
      </c>
    </row>
    <row r="148" ht="17" spans="1:29">
      <c r="A148" s="2"/>
      <c r="B148" s="2"/>
      <c r="C148" s="8" t="str">
        <f>IF(B148="","",IFERROR(LOOKUP(2,1/(单次交易!$A$2:$A$201=B148),单次交易!$B$2:$B$201),""))</f>
        <v/>
      </c>
      <c r="D148" s="12"/>
      <c r="E148" s="10"/>
      <c r="F148" s="10"/>
      <c r="G148" s="2"/>
      <c r="H148" s="15"/>
      <c r="I148" s="10"/>
      <c r="J148" s="12"/>
      <c r="K148" s="2"/>
      <c r="L148" s="2"/>
      <c r="M148" s="2"/>
      <c r="N148" s="5" t="str">
        <f>IF(B148="","",IFERROR(LOOKUP(2,1/(单次交易!$A$2:$A$201=B148),单次交易!$N$2:$N$201),""))</f>
        <v/>
      </c>
      <c r="O148" s="5" t="str">
        <f t="shared" si="18"/>
        <v/>
      </c>
      <c r="P148" s="11" t="str">
        <f t="shared" si="19"/>
        <v/>
      </c>
      <c r="Q148" s="5" t="str">
        <f t="shared" si="20"/>
        <v/>
      </c>
      <c r="R148" s="10"/>
      <c r="S148" s="5" t="str">
        <f t="shared" si="21"/>
        <v/>
      </c>
      <c r="T148" s="5" t="str">
        <f t="shared" si="22"/>
        <v/>
      </c>
      <c r="U148" s="5" t="str">
        <f t="shared" si="23"/>
        <v/>
      </c>
      <c r="V148" s="7" t="str">
        <f t="shared" si="24"/>
        <v/>
      </c>
      <c r="W148" s="8" t="str">
        <f t="shared" si="25"/>
        <v/>
      </c>
      <c r="X148" s="2"/>
      <c r="Y148" s="10"/>
      <c r="Z148" s="11" t="str">
        <f>IF(X148&lt;&gt;"执行卖出","",IFERROR(LOOKUP(2,1/(单次交易!$A$2:$A$201=B148),单次交易!$AP$2:$AP$201),""))</f>
        <v/>
      </c>
      <c r="AA148" s="10"/>
      <c r="AB148" s="8" t="str">
        <f t="shared" si="26"/>
        <v/>
      </c>
      <c r="AC148" s="8" t="str">
        <f>IF(A148="","",IF(A148="止损计划",IF(OR(B148="",D148="",E148="",F148="",G148=""),"计划不完整",IF(OR(D148&lt;1,D148&lt;&gt;INT(D148)),"阶段序号无效",IF(COUNTIFS($A$2:$A$497,"止损计划",$B$2:$B$497,B148,$D$2:$D$497,D148)&gt;1,"阶段序号重复",IF(E148&lt;=IFERROR(LOOKUP(2,1/(单次交易!$A$2:$A$201=B148),单次交易!$E$2:$E$201),0),"激活价须高于买入价",IF(F148&lt;N148,"止损价不得低于初始止损",IF(F148&gt;E148,"止损价不得高于激活价",IF(AND(COUNTIFS($A$2:$A$497,"止损计划",$B$2:$B$497,B148,$D$2:$D$497,"&lt;"&amp;D148)&gt;0,OR(E148&lt;=SUMPRODUCT(MAX((($A$2:$A$497="止损计划")*($B$2:$B$497=B148)*($D$2:$D$497&lt;D148))*$E$2:$E$497)),F148&lt;SUMPRODUCT(MAX((($A$2:$A$497="止损计划")*($B$2:$B$497=B148)*($D$2:$D$497&lt;D148))*$F$2:$F$497)))),"阶段价格必须逐级提高","计划有效"))))))),IF(A148="每日跟踪",IF(OR(B148="",H148="",I148="",J148=""),"每日数据不完整",IF(COUNTIFS($A$2:$A$497,"每日跟踪",$B$2:$B$497,B148,$H$2:$H$497,H148)&gt;1,"同一交易日期重复",IF(AND(R148&lt;&gt;"",R148&lt;S148),"人工止损无效：不能下调","跟踪有效"))),"记录类型无效")))</f>
        <v/>
      </c>
    </row>
    <row r="149" ht="17" spans="1:29">
      <c r="A149" s="2"/>
      <c r="B149" s="2"/>
      <c r="C149" s="8" t="str">
        <f>IF(B149="","",IFERROR(LOOKUP(2,1/(单次交易!$A$2:$A$201=B149),单次交易!$B$2:$B$201),""))</f>
        <v/>
      </c>
      <c r="D149" s="12"/>
      <c r="E149" s="10"/>
      <c r="F149" s="10"/>
      <c r="G149" s="2"/>
      <c r="H149" s="15"/>
      <c r="I149" s="10"/>
      <c r="J149" s="12"/>
      <c r="K149" s="2"/>
      <c r="L149" s="2"/>
      <c r="M149" s="2"/>
      <c r="N149" s="5" t="str">
        <f>IF(B149="","",IFERROR(LOOKUP(2,1/(单次交易!$A$2:$A$201=B149),单次交易!$N$2:$N$201),""))</f>
        <v/>
      </c>
      <c r="O149" s="5" t="str">
        <f t="shared" si="18"/>
        <v/>
      </c>
      <c r="P149" s="11" t="str">
        <f t="shared" si="19"/>
        <v/>
      </c>
      <c r="Q149" s="5" t="str">
        <f t="shared" si="20"/>
        <v/>
      </c>
      <c r="R149" s="10"/>
      <c r="S149" s="5" t="str">
        <f t="shared" si="21"/>
        <v/>
      </c>
      <c r="T149" s="5" t="str">
        <f t="shared" si="22"/>
        <v/>
      </c>
      <c r="U149" s="5" t="str">
        <f t="shared" si="23"/>
        <v/>
      </c>
      <c r="V149" s="7" t="str">
        <f t="shared" si="24"/>
        <v/>
      </c>
      <c r="W149" s="8" t="str">
        <f t="shared" si="25"/>
        <v/>
      </c>
      <c r="X149" s="2"/>
      <c r="Y149" s="10"/>
      <c r="Z149" s="11" t="str">
        <f>IF(X149&lt;&gt;"执行卖出","",IFERROR(LOOKUP(2,1/(单次交易!$A$2:$A$201=B149),单次交易!$AP$2:$AP$201),""))</f>
        <v/>
      </c>
      <c r="AA149" s="10"/>
      <c r="AB149" s="8" t="str">
        <f t="shared" si="26"/>
        <v/>
      </c>
      <c r="AC149" s="8" t="str">
        <f>IF(A149="","",IF(A149="止损计划",IF(OR(B149="",D149="",E149="",F149="",G149=""),"计划不完整",IF(OR(D149&lt;1,D149&lt;&gt;INT(D149)),"阶段序号无效",IF(COUNTIFS($A$2:$A$497,"止损计划",$B$2:$B$497,B149,$D$2:$D$497,D149)&gt;1,"阶段序号重复",IF(E149&lt;=IFERROR(LOOKUP(2,1/(单次交易!$A$2:$A$201=B149),单次交易!$E$2:$E$201),0),"激活价须高于买入价",IF(F149&lt;N149,"止损价不得低于初始止损",IF(F149&gt;E149,"止损价不得高于激活价",IF(AND(COUNTIFS($A$2:$A$497,"止损计划",$B$2:$B$497,B149,$D$2:$D$497,"&lt;"&amp;D149)&gt;0,OR(E149&lt;=SUMPRODUCT(MAX((($A$2:$A$497="止损计划")*($B$2:$B$497=B149)*($D$2:$D$497&lt;D149))*$E$2:$E$497)),F149&lt;SUMPRODUCT(MAX((($A$2:$A$497="止损计划")*($B$2:$B$497=B149)*($D$2:$D$497&lt;D149))*$F$2:$F$497)))),"阶段价格必须逐级提高","计划有效"))))))),IF(A149="每日跟踪",IF(OR(B149="",H149="",I149="",J149=""),"每日数据不完整",IF(COUNTIFS($A$2:$A$497,"每日跟踪",$B$2:$B$497,B149,$H$2:$H$497,H149)&gt;1,"同一交易日期重复",IF(AND(R149&lt;&gt;"",R149&lt;S149),"人工止损无效：不能下调","跟踪有效"))),"记录类型无效")))</f>
        <v/>
      </c>
    </row>
    <row r="150" ht="17" spans="1:29">
      <c r="A150" s="2"/>
      <c r="B150" s="2"/>
      <c r="C150" s="8" t="str">
        <f>IF(B150="","",IFERROR(LOOKUP(2,1/(单次交易!$A$2:$A$201=B150),单次交易!$B$2:$B$201),""))</f>
        <v/>
      </c>
      <c r="D150" s="12"/>
      <c r="E150" s="10"/>
      <c r="F150" s="10"/>
      <c r="G150" s="2"/>
      <c r="H150" s="15"/>
      <c r="I150" s="10"/>
      <c r="J150" s="12"/>
      <c r="K150" s="2"/>
      <c r="L150" s="2"/>
      <c r="M150" s="2"/>
      <c r="N150" s="5" t="str">
        <f>IF(B150="","",IFERROR(LOOKUP(2,1/(单次交易!$A$2:$A$201=B150),单次交易!$N$2:$N$201),""))</f>
        <v/>
      </c>
      <c r="O150" s="5" t="str">
        <f t="shared" si="18"/>
        <v/>
      </c>
      <c r="P150" s="11" t="str">
        <f t="shared" si="19"/>
        <v/>
      </c>
      <c r="Q150" s="5" t="str">
        <f t="shared" si="20"/>
        <v/>
      </c>
      <c r="R150" s="10"/>
      <c r="S150" s="5" t="str">
        <f t="shared" si="21"/>
        <v/>
      </c>
      <c r="T150" s="5" t="str">
        <f t="shared" si="22"/>
        <v/>
      </c>
      <c r="U150" s="5" t="str">
        <f t="shared" si="23"/>
        <v/>
      </c>
      <c r="V150" s="7" t="str">
        <f t="shared" si="24"/>
        <v/>
      </c>
      <c r="W150" s="8" t="str">
        <f t="shared" si="25"/>
        <v/>
      </c>
      <c r="X150" s="2"/>
      <c r="Y150" s="10"/>
      <c r="Z150" s="11" t="str">
        <f>IF(X150&lt;&gt;"执行卖出","",IFERROR(LOOKUP(2,1/(单次交易!$A$2:$A$201=B150),单次交易!$AP$2:$AP$201),""))</f>
        <v/>
      </c>
      <c r="AA150" s="10"/>
      <c r="AB150" s="8" t="str">
        <f t="shared" si="26"/>
        <v/>
      </c>
      <c r="AC150" s="8" t="str">
        <f>IF(A150="","",IF(A150="止损计划",IF(OR(B150="",D150="",E150="",F150="",G150=""),"计划不完整",IF(OR(D150&lt;1,D150&lt;&gt;INT(D150)),"阶段序号无效",IF(COUNTIFS($A$2:$A$497,"止损计划",$B$2:$B$497,B150,$D$2:$D$497,D150)&gt;1,"阶段序号重复",IF(E150&lt;=IFERROR(LOOKUP(2,1/(单次交易!$A$2:$A$201=B150),单次交易!$E$2:$E$201),0),"激活价须高于买入价",IF(F150&lt;N150,"止损价不得低于初始止损",IF(F150&gt;E150,"止损价不得高于激活价",IF(AND(COUNTIFS($A$2:$A$497,"止损计划",$B$2:$B$497,B150,$D$2:$D$497,"&lt;"&amp;D150)&gt;0,OR(E150&lt;=SUMPRODUCT(MAX((($A$2:$A$497="止损计划")*($B$2:$B$497=B150)*($D$2:$D$497&lt;D150))*$E$2:$E$497)),F150&lt;SUMPRODUCT(MAX((($A$2:$A$497="止损计划")*($B$2:$B$497=B150)*($D$2:$D$497&lt;D150))*$F$2:$F$497)))),"阶段价格必须逐级提高","计划有效"))))))),IF(A150="每日跟踪",IF(OR(B150="",H150="",I150="",J150=""),"每日数据不完整",IF(COUNTIFS($A$2:$A$497,"每日跟踪",$B$2:$B$497,B150,$H$2:$H$497,H150)&gt;1,"同一交易日期重复",IF(AND(R150&lt;&gt;"",R150&lt;S150),"人工止损无效：不能下调","跟踪有效"))),"记录类型无效")))</f>
        <v/>
      </c>
    </row>
    <row r="151" ht="17" spans="1:29">
      <c r="A151" s="2"/>
      <c r="B151" s="2"/>
      <c r="C151" s="8" t="str">
        <f>IF(B151="","",IFERROR(LOOKUP(2,1/(单次交易!$A$2:$A$201=B151),单次交易!$B$2:$B$201),""))</f>
        <v/>
      </c>
      <c r="D151" s="12"/>
      <c r="E151" s="10"/>
      <c r="F151" s="10"/>
      <c r="G151" s="2"/>
      <c r="H151" s="15"/>
      <c r="I151" s="10"/>
      <c r="J151" s="12"/>
      <c r="K151" s="2"/>
      <c r="L151" s="2"/>
      <c r="M151" s="2"/>
      <c r="N151" s="5" t="str">
        <f>IF(B151="","",IFERROR(LOOKUP(2,1/(单次交易!$A$2:$A$201=B151),单次交易!$N$2:$N$201),""))</f>
        <v/>
      </c>
      <c r="O151" s="5" t="str">
        <f t="shared" si="18"/>
        <v/>
      </c>
      <c r="P151" s="11" t="str">
        <f t="shared" si="19"/>
        <v/>
      </c>
      <c r="Q151" s="5" t="str">
        <f t="shared" si="20"/>
        <v/>
      </c>
      <c r="R151" s="10"/>
      <c r="S151" s="5" t="str">
        <f t="shared" si="21"/>
        <v/>
      </c>
      <c r="T151" s="5" t="str">
        <f t="shared" si="22"/>
        <v/>
      </c>
      <c r="U151" s="5" t="str">
        <f t="shared" si="23"/>
        <v/>
      </c>
      <c r="V151" s="7" t="str">
        <f t="shared" si="24"/>
        <v/>
      </c>
      <c r="W151" s="8" t="str">
        <f t="shared" si="25"/>
        <v/>
      </c>
      <c r="X151" s="2"/>
      <c r="Y151" s="10"/>
      <c r="Z151" s="11" t="str">
        <f>IF(X151&lt;&gt;"执行卖出","",IFERROR(LOOKUP(2,1/(单次交易!$A$2:$A$201=B151),单次交易!$AP$2:$AP$201),""))</f>
        <v/>
      </c>
      <c r="AA151" s="10"/>
      <c r="AB151" s="8" t="str">
        <f t="shared" si="26"/>
        <v/>
      </c>
      <c r="AC151" s="8" t="str">
        <f>IF(A151="","",IF(A151="止损计划",IF(OR(B151="",D151="",E151="",F151="",G151=""),"计划不完整",IF(OR(D151&lt;1,D151&lt;&gt;INT(D151)),"阶段序号无效",IF(COUNTIFS($A$2:$A$497,"止损计划",$B$2:$B$497,B151,$D$2:$D$497,D151)&gt;1,"阶段序号重复",IF(E151&lt;=IFERROR(LOOKUP(2,1/(单次交易!$A$2:$A$201=B151),单次交易!$E$2:$E$201),0),"激活价须高于买入价",IF(F151&lt;N151,"止损价不得低于初始止损",IF(F151&gt;E151,"止损价不得高于激活价",IF(AND(COUNTIFS($A$2:$A$497,"止损计划",$B$2:$B$497,B151,$D$2:$D$497,"&lt;"&amp;D151)&gt;0,OR(E151&lt;=SUMPRODUCT(MAX((($A$2:$A$497="止损计划")*($B$2:$B$497=B151)*($D$2:$D$497&lt;D151))*$E$2:$E$497)),F151&lt;SUMPRODUCT(MAX((($A$2:$A$497="止损计划")*($B$2:$B$497=B151)*($D$2:$D$497&lt;D151))*$F$2:$F$497)))),"阶段价格必须逐级提高","计划有效"))))))),IF(A151="每日跟踪",IF(OR(B151="",H151="",I151="",J151=""),"每日数据不完整",IF(COUNTIFS($A$2:$A$497,"每日跟踪",$B$2:$B$497,B151,$H$2:$H$497,H151)&gt;1,"同一交易日期重复",IF(AND(R151&lt;&gt;"",R151&lt;S151),"人工止损无效：不能下调","跟踪有效"))),"记录类型无效")))</f>
        <v/>
      </c>
    </row>
    <row r="152" ht="17" spans="1:29">
      <c r="A152" s="2"/>
      <c r="B152" s="2"/>
      <c r="C152" s="8" t="str">
        <f>IF(B152="","",IFERROR(LOOKUP(2,1/(单次交易!$A$2:$A$201=B152),单次交易!$B$2:$B$201),""))</f>
        <v/>
      </c>
      <c r="D152" s="12"/>
      <c r="E152" s="10"/>
      <c r="F152" s="10"/>
      <c r="G152" s="2"/>
      <c r="H152" s="15"/>
      <c r="I152" s="10"/>
      <c r="J152" s="12"/>
      <c r="K152" s="2"/>
      <c r="L152" s="2"/>
      <c r="M152" s="2"/>
      <c r="N152" s="5" t="str">
        <f>IF(B152="","",IFERROR(LOOKUP(2,1/(单次交易!$A$2:$A$201=B152),单次交易!$N$2:$N$201),""))</f>
        <v/>
      </c>
      <c r="O152" s="5" t="str">
        <f t="shared" si="18"/>
        <v/>
      </c>
      <c r="P152" s="11" t="str">
        <f t="shared" si="19"/>
        <v/>
      </c>
      <c r="Q152" s="5" t="str">
        <f t="shared" si="20"/>
        <v/>
      </c>
      <c r="R152" s="10"/>
      <c r="S152" s="5" t="str">
        <f t="shared" si="21"/>
        <v/>
      </c>
      <c r="T152" s="5" t="str">
        <f t="shared" si="22"/>
        <v/>
      </c>
      <c r="U152" s="5" t="str">
        <f t="shared" si="23"/>
        <v/>
      </c>
      <c r="V152" s="7" t="str">
        <f t="shared" si="24"/>
        <v/>
      </c>
      <c r="W152" s="8" t="str">
        <f t="shared" si="25"/>
        <v/>
      </c>
      <c r="X152" s="2"/>
      <c r="Y152" s="10"/>
      <c r="Z152" s="11" t="str">
        <f>IF(X152&lt;&gt;"执行卖出","",IFERROR(LOOKUP(2,1/(单次交易!$A$2:$A$201=B152),单次交易!$AP$2:$AP$201),""))</f>
        <v/>
      </c>
      <c r="AA152" s="10"/>
      <c r="AB152" s="8" t="str">
        <f t="shared" si="26"/>
        <v/>
      </c>
      <c r="AC152" s="8" t="str">
        <f>IF(A152="","",IF(A152="止损计划",IF(OR(B152="",D152="",E152="",F152="",G152=""),"计划不完整",IF(OR(D152&lt;1,D152&lt;&gt;INT(D152)),"阶段序号无效",IF(COUNTIFS($A$2:$A$497,"止损计划",$B$2:$B$497,B152,$D$2:$D$497,D152)&gt;1,"阶段序号重复",IF(E152&lt;=IFERROR(LOOKUP(2,1/(单次交易!$A$2:$A$201=B152),单次交易!$E$2:$E$201),0),"激活价须高于买入价",IF(F152&lt;N152,"止损价不得低于初始止损",IF(F152&gt;E152,"止损价不得高于激活价",IF(AND(COUNTIFS($A$2:$A$497,"止损计划",$B$2:$B$497,B152,$D$2:$D$497,"&lt;"&amp;D152)&gt;0,OR(E152&lt;=SUMPRODUCT(MAX((($A$2:$A$497="止损计划")*($B$2:$B$497=B152)*($D$2:$D$497&lt;D152))*$E$2:$E$497)),F152&lt;SUMPRODUCT(MAX((($A$2:$A$497="止损计划")*($B$2:$B$497=B152)*($D$2:$D$497&lt;D152))*$F$2:$F$497)))),"阶段价格必须逐级提高","计划有效"))))))),IF(A152="每日跟踪",IF(OR(B152="",H152="",I152="",J152=""),"每日数据不完整",IF(COUNTIFS($A$2:$A$497,"每日跟踪",$B$2:$B$497,B152,$H$2:$H$497,H152)&gt;1,"同一交易日期重复",IF(AND(R152&lt;&gt;"",R152&lt;S152),"人工止损无效：不能下调","跟踪有效"))),"记录类型无效")))</f>
        <v/>
      </c>
    </row>
    <row r="153" ht="17" spans="1:29">
      <c r="A153" s="2"/>
      <c r="B153" s="2"/>
      <c r="C153" s="8" t="str">
        <f>IF(B153="","",IFERROR(LOOKUP(2,1/(单次交易!$A$2:$A$201=B153),单次交易!$B$2:$B$201),""))</f>
        <v/>
      </c>
      <c r="D153" s="12"/>
      <c r="E153" s="10"/>
      <c r="F153" s="10"/>
      <c r="G153" s="2"/>
      <c r="H153" s="15"/>
      <c r="I153" s="10"/>
      <c r="J153" s="12"/>
      <c r="K153" s="2"/>
      <c r="L153" s="2"/>
      <c r="M153" s="2"/>
      <c r="N153" s="5" t="str">
        <f>IF(B153="","",IFERROR(LOOKUP(2,1/(单次交易!$A$2:$A$201=B153),单次交易!$N$2:$N$201),""))</f>
        <v/>
      </c>
      <c r="O153" s="5" t="str">
        <f t="shared" si="18"/>
        <v/>
      </c>
      <c r="P153" s="11" t="str">
        <f t="shared" si="19"/>
        <v/>
      </c>
      <c r="Q153" s="5" t="str">
        <f t="shared" si="20"/>
        <v/>
      </c>
      <c r="R153" s="10"/>
      <c r="S153" s="5" t="str">
        <f t="shared" si="21"/>
        <v/>
      </c>
      <c r="T153" s="5" t="str">
        <f t="shared" si="22"/>
        <v/>
      </c>
      <c r="U153" s="5" t="str">
        <f t="shared" si="23"/>
        <v/>
      </c>
      <c r="V153" s="7" t="str">
        <f t="shared" si="24"/>
        <v/>
      </c>
      <c r="W153" s="8" t="str">
        <f t="shared" si="25"/>
        <v/>
      </c>
      <c r="X153" s="2"/>
      <c r="Y153" s="10"/>
      <c r="Z153" s="11" t="str">
        <f>IF(X153&lt;&gt;"执行卖出","",IFERROR(LOOKUP(2,1/(单次交易!$A$2:$A$201=B153),单次交易!$AP$2:$AP$201),""))</f>
        <v/>
      </c>
      <c r="AA153" s="10"/>
      <c r="AB153" s="8" t="str">
        <f t="shared" si="26"/>
        <v/>
      </c>
      <c r="AC153" s="8" t="str">
        <f>IF(A153="","",IF(A153="止损计划",IF(OR(B153="",D153="",E153="",F153="",G153=""),"计划不完整",IF(OR(D153&lt;1,D153&lt;&gt;INT(D153)),"阶段序号无效",IF(COUNTIFS($A$2:$A$497,"止损计划",$B$2:$B$497,B153,$D$2:$D$497,D153)&gt;1,"阶段序号重复",IF(E153&lt;=IFERROR(LOOKUP(2,1/(单次交易!$A$2:$A$201=B153),单次交易!$E$2:$E$201),0),"激活价须高于买入价",IF(F153&lt;N153,"止损价不得低于初始止损",IF(F153&gt;E153,"止损价不得高于激活价",IF(AND(COUNTIFS($A$2:$A$497,"止损计划",$B$2:$B$497,B153,$D$2:$D$497,"&lt;"&amp;D153)&gt;0,OR(E153&lt;=SUMPRODUCT(MAX((($A$2:$A$497="止损计划")*($B$2:$B$497=B153)*($D$2:$D$497&lt;D153))*$E$2:$E$497)),F153&lt;SUMPRODUCT(MAX((($A$2:$A$497="止损计划")*($B$2:$B$497=B153)*($D$2:$D$497&lt;D153))*$F$2:$F$497)))),"阶段价格必须逐级提高","计划有效"))))))),IF(A153="每日跟踪",IF(OR(B153="",H153="",I153="",J153=""),"每日数据不完整",IF(COUNTIFS($A$2:$A$497,"每日跟踪",$B$2:$B$497,B153,$H$2:$H$497,H153)&gt;1,"同一交易日期重复",IF(AND(R153&lt;&gt;"",R153&lt;S153),"人工止损无效：不能下调","跟踪有效"))),"记录类型无效")))</f>
        <v/>
      </c>
    </row>
    <row r="154" ht="17" spans="1:29">
      <c r="A154" s="2"/>
      <c r="B154" s="2"/>
      <c r="C154" s="8" t="str">
        <f>IF(B154="","",IFERROR(LOOKUP(2,1/(单次交易!$A$2:$A$201=B154),单次交易!$B$2:$B$201),""))</f>
        <v/>
      </c>
      <c r="D154" s="12"/>
      <c r="E154" s="10"/>
      <c r="F154" s="10"/>
      <c r="G154" s="2"/>
      <c r="H154" s="15"/>
      <c r="I154" s="10"/>
      <c r="J154" s="12"/>
      <c r="K154" s="2"/>
      <c r="L154" s="2"/>
      <c r="M154" s="2"/>
      <c r="N154" s="5" t="str">
        <f>IF(B154="","",IFERROR(LOOKUP(2,1/(单次交易!$A$2:$A$201=B154),单次交易!$N$2:$N$201),""))</f>
        <v/>
      </c>
      <c r="O154" s="5" t="str">
        <f t="shared" si="18"/>
        <v/>
      </c>
      <c r="P154" s="11" t="str">
        <f t="shared" si="19"/>
        <v/>
      </c>
      <c r="Q154" s="5" t="str">
        <f t="shared" si="20"/>
        <v/>
      </c>
      <c r="R154" s="10"/>
      <c r="S154" s="5" t="str">
        <f t="shared" si="21"/>
        <v/>
      </c>
      <c r="T154" s="5" t="str">
        <f t="shared" si="22"/>
        <v/>
      </c>
      <c r="U154" s="5" t="str">
        <f t="shared" si="23"/>
        <v/>
      </c>
      <c r="V154" s="7" t="str">
        <f t="shared" si="24"/>
        <v/>
      </c>
      <c r="W154" s="8" t="str">
        <f t="shared" si="25"/>
        <v/>
      </c>
      <c r="X154" s="2"/>
      <c r="Y154" s="10"/>
      <c r="Z154" s="11" t="str">
        <f>IF(X154&lt;&gt;"执行卖出","",IFERROR(LOOKUP(2,1/(单次交易!$A$2:$A$201=B154),单次交易!$AP$2:$AP$201),""))</f>
        <v/>
      </c>
      <c r="AA154" s="10"/>
      <c r="AB154" s="8" t="str">
        <f t="shared" si="26"/>
        <v/>
      </c>
      <c r="AC154" s="8" t="str">
        <f>IF(A154="","",IF(A154="止损计划",IF(OR(B154="",D154="",E154="",F154="",G154=""),"计划不完整",IF(OR(D154&lt;1,D154&lt;&gt;INT(D154)),"阶段序号无效",IF(COUNTIFS($A$2:$A$497,"止损计划",$B$2:$B$497,B154,$D$2:$D$497,D154)&gt;1,"阶段序号重复",IF(E154&lt;=IFERROR(LOOKUP(2,1/(单次交易!$A$2:$A$201=B154),单次交易!$E$2:$E$201),0),"激活价须高于买入价",IF(F154&lt;N154,"止损价不得低于初始止损",IF(F154&gt;E154,"止损价不得高于激活价",IF(AND(COUNTIFS($A$2:$A$497,"止损计划",$B$2:$B$497,B154,$D$2:$D$497,"&lt;"&amp;D154)&gt;0,OR(E154&lt;=SUMPRODUCT(MAX((($A$2:$A$497="止损计划")*($B$2:$B$497=B154)*($D$2:$D$497&lt;D154))*$E$2:$E$497)),F154&lt;SUMPRODUCT(MAX((($A$2:$A$497="止损计划")*($B$2:$B$497=B154)*($D$2:$D$497&lt;D154))*$F$2:$F$497)))),"阶段价格必须逐级提高","计划有效"))))))),IF(A154="每日跟踪",IF(OR(B154="",H154="",I154="",J154=""),"每日数据不完整",IF(COUNTIFS($A$2:$A$497,"每日跟踪",$B$2:$B$497,B154,$H$2:$H$497,H154)&gt;1,"同一交易日期重复",IF(AND(R154&lt;&gt;"",R154&lt;S154),"人工止损无效：不能下调","跟踪有效"))),"记录类型无效")))</f>
        <v/>
      </c>
    </row>
    <row r="155" ht="17" spans="1:29">
      <c r="A155" s="2"/>
      <c r="B155" s="2"/>
      <c r="C155" s="8" t="str">
        <f>IF(B155="","",IFERROR(LOOKUP(2,1/(单次交易!$A$2:$A$201=B155),单次交易!$B$2:$B$201),""))</f>
        <v/>
      </c>
      <c r="D155" s="12"/>
      <c r="E155" s="10"/>
      <c r="F155" s="10"/>
      <c r="G155" s="2"/>
      <c r="H155" s="15"/>
      <c r="I155" s="10"/>
      <c r="J155" s="12"/>
      <c r="K155" s="2"/>
      <c r="L155" s="2"/>
      <c r="M155" s="2"/>
      <c r="N155" s="5" t="str">
        <f>IF(B155="","",IFERROR(LOOKUP(2,1/(单次交易!$A$2:$A$201=B155),单次交易!$N$2:$N$201),""))</f>
        <v/>
      </c>
      <c r="O155" s="5" t="str">
        <f t="shared" si="18"/>
        <v/>
      </c>
      <c r="P155" s="11" t="str">
        <f t="shared" si="19"/>
        <v/>
      </c>
      <c r="Q155" s="5" t="str">
        <f t="shared" si="20"/>
        <v/>
      </c>
      <c r="R155" s="10"/>
      <c r="S155" s="5" t="str">
        <f t="shared" si="21"/>
        <v/>
      </c>
      <c r="T155" s="5" t="str">
        <f t="shared" si="22"/>
        <v/>
      </c>
      <c r="U155" s="5" t="str">
        <f t="shared" si="23"/>
        <v/>
      </c>
      <c r="V155" s="7" t="str">
        <f t="shared" si="24"/>
        <v/>
      </c>
      <c r="W155" s="8" t="str">
        <f t="shared" si="25"/>
        <v/>
      </c>
      <c r="X155" s="2"/>
      <c r="Y155" s="10"/>
      <c r="Z155" s="11" t="str">
        <f>IF(X155&lt;&gt;"执行卖出","",IFERROR(LOOKUP(2,1/(单次交易!$A$2:$A$201=B155),单次交易!$AP$2:$AP$201),""))</f>
        <v/>
      </c>
      <c r="AA155" s="10"/>
      <c r="AB155" s="8" t="str">
        <f t="shared" si="26"/>
        <v/>
      </c>
      <c r="AC155" s="8" t="str">
        <f>IF(A155="","",IF(A155="止损计划",IF(OR(B155="",D155="",E155="",F155="",G155=""),"计划不完整",IF(OR(D155&lt;1,D155&lt;&gt;INT(D155)),"阶段序号无效",IF(COUNTIFS($A$2:$A$497,"止损计划",$B$2:$B$497,B155,$D$2:$D$497,D155)&gt;1,"阶段序号重复",IF(E155&lt;=IFERROR(LOOKUP(2,1/(单次交易!$A$2:$A$201=B155),单次交易!$E$2:$E$201),0),"激活价须高于买入价",IF(F155&lt;N155,"止损价不得低于初始止损",IF(F155&gt;E155,"止损价不得高于激活价",IF(AND(COUNTIFS($A$2:$A$497,"止损计划",$B$2:$B$497,B155,$D$2:$D$497,"&lt;"&amp;D155)&gt;0,OR(E155&lt;=SUMPRODUCT(MAX((($A$2:$A$497="止损计划")*($B$2:$B$497=B155)*($D$2:$D$497&lt;D155))*$E$2:$E$497)),F155&lt;SUMPRODUCT(MAX((($A$2:$A$497="止损计划")*($B$2:$B$497=B155)*($D$2:$D$497&lt;D155))*$F$2:$F$497)))),"阶段价格必须逐级提高","计划有效"))))))),IF(A155="每日跟踪",IF(OR(B155="",H155="",I155="",J155=""),"每日数据不完整",IF(COUNTIFS($A$2:$A$497,"每日跟踪",$B$2:$B$497,B155,$H$2:$H$497,H155)&gt;1,"同一交易日期重复",IF(AND(R155&lt;&gt;"",R155&lt;S155),"人工止损无效：不能下调","跟踪有效"))),"记录类型无效")))</f>
        <v/>
      </c>
    </row>
    <row r="156" ht="17" spans="1:29">
      <c r="A156" s="2"/>
      <c r="B156" s="2"/>
      <c r="C156" s="8" t="str">
        <f>IF(B156="","",IFERROR(LOOKUP(2,1/(单次交易!$A$2:$A$201=B156),单次交易!$B$2:$B$201),""))</f>
        <v/>
      </c>
      <c r="D156" s="12"/>
      <c r="E156" s="10"/>
      <c r="F156" s="10"/>
      <c r="G156" s="2"/>
      <c r="H156" s="15"/>
      <c r="I156" s="10"/>
      <c r="J156" s="12"/>
      <c r="K156" s="2"/>
      <c r="L156" s="2"/>
      <c r="M156" s="2"/>
      <c r="N156" s="5" t="str">
        <f>IF(B156="","",IFERROR(LOOKUP(2,1/(单次交易!$A$2:$A$201=B156),单次交易!$N$2:$N$201),""))</f>
        <v/>
      </c>
      <c r="O156" s="5" t="str">
        <f t="shared" si="18"/>
        <v/>
      </c>
      <c r="P156" s="11" t="str">
        <f t="shared" si="19"/>
        <v/>
      </c>
      <c r="Q156" s="5" t="str">
        <f t="shared" si="20"/>
        <v/>
      </c>
      <c r="R156" s="10"/>
      <c r="S156" s="5" t="str">
        <f t="shared" si="21"/>
        <v/>
      </c>
      <c r="T156" s="5" t="str">
        <f t="shared" si="22"/>
        <v/>
      </c>
      <c r="U156" s="5" t="str">
        <f t="shared" si="23"/>
        <v/>
      </c>
      <c r="V156" s="7" t="str">
        <f t="shared" si="24"/>
        <v/>
      </c>
      <c r="W156" s="8" t="str">
        <f t="shared" si="25"/>
        <v/>
      </c>
      <c r="X156" s="2"/>
      <c r="Y156" s="10"/>
      <c r="Z156" s="11" t="str">
        <f>IF(X156&lt;&gt;"执行卖出","",IFERROR(LOOKUP(2,1/(单次交易!$A$2:$A$201=B156),单次交易!$AP$2:$AP$201),""))</f>
        <v/>
      </c>
      <c r="AA156" s="10"/>
      <c r="AB156" s="8" t="str">
        <f t="shared" si="26"/>
        <v/>
      </c>
      <c r="AC156" s="8" t="str">
        <f>IF(A156="","",IF(A156="止损计划",IF(OR(B156="",D156="",E156="",F156="",G156=""),"计划不完整",IF(OR(D156&lt;1,D156&lt;&gt;INT(D156)),"阶段序号无效",IF(COUNTIFS($A$2:$A$497,"止损计划",$B$2:$B$497,B156,$D$2:$D$497,D156)&gt;1,"阶段序号重复",IF(E156&lt;=IFERROR(LOOKUP(2,1/(单次交易!$A$2:$A$201=B156),单次交易!$E$2:$E$201),0),"激活价须高于买入价",IF(F156&lt;N156,"止损价不得低于初始止损",IF(F156&gt;E156,"止损价不得高于激活价",IF(AND(COUNTIFS($A$2:$A$497,"止损计划",$B$2:$B$497,B156,$D$2:$D$497,"&lt;"&amp;D156)&gt;0,OR(E156&lt;=SUMPRODUCT(MAX((($A$2:$A$497="止损计划")*($B$2:$B$497=B156)*($D$2:$D$497&lt;D156))*$E$2:$E$497)),F156&lt;SUMPRODUCT(MAX((($A$2:$A$497="止损计划")*($B$2:$B$497=B156)*($D$2:$D$497&lt;D156))*$F$2:$F$497)))),"阶段价格必须逐级提高","计划有效"))))))),IF(A156="每日跟踪",IF(OR(B156="",H156="",I156="",J156=""),"每日数据不完整",IF(COUNTIFS($A$2:$A$497,"每日跟踪",$B$2:$B$497,B156,$H$2:$H$497,H156)&gt;1,"同一交易日期重复",IF(AND(R156&lt;&gt;"",R156&lt;S156),"人工止损无效：不能下调","跟踪有效"))),"记录类型无效")))</f>
        <v/>
      </c>
    </row>
    <row r="157" ht="17" spans="1:29">
      <c r="A157" s="2"/>
      <c r="B157" s="2"/>
      <c r="C157" s="8" t="str">
        <f>IF(B157="","",IFERROR(LOOKUP(2,1/(单次交易!$A$2:$A$201=B157),单次交易!$B$2:$B$201),""))</f>
        <v/>
      </c>
      <c r="D157" s="12"/>
      <c r="E157" s="10"/>
      <c r="F157" s="10"/>
      <c r="G157" s="2"/>
      <c r="H157" s="15"/>
      <c r="I157" s="10"/>
      <c r="J157" s="12"/>
      <c r="K157" s="2"/>
      <c r="L157" s="2"/>
      <c r="M157" s="2"/>
      <c r="N157" s="5" t="str">
        <f>IF(B157="","",IFERROR(LOOKUP(2,1/(单次交易!$A$2:$A$201=B157),单次交易!$N$2:$N$201),""))</f>
        <v/>
      </c>
      <c r="O157" s="5" t="str">
        <f t="shared" si="18"/>
        <v/>
      </c>
      <c r="P157" s="11" t="str">
        <f t="shared" si="19"/>
        <v/>
      </c>
      <c r="Q157" s="5" t="str">
        <f t="shared" si="20"/>
        <v/>
      </c>
      <c r="R157" s="10"/>
      <c r="S157" s="5" t="str">
        <f t="shared" si="21"/>
        <v/>
      </c>
      <c r="T157" s="5" t="str">
        <f t="shared" si="22"/>
        <v/>
      </c>
      <c r="U157" s="5" t="str">
        <f t="shared" si="23"/>
        <v/>
      </c>
      <c r="V157" s="7" t="str">
        <f t="shared" si="24"/>
        <v/>
      </c>
      <c r="W157" s="8" t="str">
        <f t="shared" si="25"/>
        <v/>
      </c>
      <c r="X157" s="2"/>
      <c r="Y157" s="10"/>
      <c r="Z157" s="11" t="str">
        <f>IF(X157&lt;&gt;"执行卖出","",IFERROR(LOOKUP(2,1/(单次交易!$A$2:$A$201=B157),单次交易!$AP$2:$AP$201),""))</f>
        <v/>
      </c>
      <c r="AA157" s="10"/>
      <c r="AB157" s="8" t="str">
        <f t="shared" si="26"/>
        <v/>
      </c>
      <c r="AC157" s="8" t="str">
        <f>IF(A157="","",IF(A157="止损计划",IF(OR(B157="",D157="",E157="",F157="",G157=""),"计划不完整",IF(OR(D157&lt;1,D157&lt;&gt;INT(D157)),"阶段序号无效",IF(COUNTIFS($A$2:$A$497,"止损计划",$B$2:$B$497,B157,$D$2:$D$497,D157)&gt;1,"阶段序号重复",IF(E157&lt;=IFERROR(LOOKUP(2,1/(单次交易!$A$2:$A$201=B157),单次交易!$E$2:$E$201),0),"激活价须高于买入价",IF(F157&lt;N157,"止损价不得低于初始止损",IF(F157&gt;E157,"止损价不得高于激活价",IF(AND(COUNTIFS($A$2:$A$497,"止损计划",$B$2:$B$497,B157,$D$2:$D$497,"&lt;"&amp;D157)&gt;0,OR(E157&lt;=SUMPRODUCT(MAX((($A$2:$A$497="止损计划")*($B$2:$B$497=B157)*($D$2:$D$497&lt;D157))*$E$2:$E$497)),F157&lt;SUMPRODUCT(MAX((($A$2:$A$497="止损计划")*($B$2:$B$497=B157)*($D$2:$D$497&lt;D157))*$F$2:$F$497)))),"阶段价格必须逐级提高","计划有效"))))))),IF(A157="每日跟踪",IF(OR(B157="",H157="",I157="",J157=""),"每日数据不完整",IF(COUNTIFS($A$2:$A$497,"每日跟踪",$B$2:$B$497,B157,$H$2:$H$497,H157)&gt;1,"同一交易日期重复",IF(AND(R157&lt;&gt;"",R157&lt;S157),"人工止损无效：不能下调","跟踪有效"))),"记录类型无效")))</f>
        <v/>
      </c>
    </row>
    <row r="158" ht="17" spans="1:29">
      <c r="A158" s="2"/>
      <c r="B158" s="2"/>
      <c r="C158" s="8" t="str">
        <f>IF(B158="","",IFERROR(LOOKUP(2,1/(单次交易!$A$2:$A$201=B158),单次交易!$B$2:$B$201),""))</f>
        <v/>
      </c>
      <c r="D158" s="12"/>
      <c r="E158" s="10"/>
      <c r="F158" s="10"/>
      <c r="G158" s="2"/>
      <c r="H158" s="15"/>
      <c r="I158" s="10"/>
      <c r="J158" s="12"/>
      <c r="K158" s="2"/>
      <c r="L158" s="2"/>
      <c r="M158" s="2"/>
      <c r="N158" s="5" t="str">
        <f>IF(B158="","",IFERROR(LOOKUP(2,1/(单次交易!$A$2:$A$201=B158),单次交易!$N$2:$N$201),""))</f>
        <v/>
      </c>
      <c r="O158" s="5" t="str">
        <f t="shared" si="18"/>
        <v/>
      </c>
      <c r="P158" s="11" t="str">
        <f t="shared" si="19"/>
        <v/>
      </c>
      <c r="Q158" s="5" t="str">
        <f t="shared" si="20"/>
        <v/>
      </c>
      <c r="R158" s="10"/>
      <c r="S158" s="5" t="str">
        <f t="shared" si="21"/>
        <v/>
      </c>
      <c r="T158" s="5" t="str">
        <f t="shared" si="22"/>
        <v/>
      </c>
      <c r="U158" s="5" t="str">
        <f t="shared" si="23"/>
        <v/>
      </c>
      <c r="V158" s="7" t="str">
        <f t="shared" si="24"/>
        <v/>
      </c>
      <c r="W158" s="8" t="str">
        <f t="shared" si="25"/>
        <v/>
      </c>
      <c r="X158" s="2"/>
      <c r="Y158" s="10"/>
      <c r="Z158" s="11" t="str">
        <f>IF(X158&lt;&gt;"执行卖出","",IFERROR(LOOKUP(2,1/(单次交易!$A$2:$A$201=B158),单次交易!$AP$2:$AP$201),""))</f>
        <v/>
      </c>
      <c r="AA158" s="10"/>
      <c r="AB158" s="8" t="str">
        <f t="shared" si="26"/>
        <v/>
      </c>
      <c r="AC158" s="8" t="str">
        <f>IF(A158="","",IF(A158="止损计划",IF(OR(B158="",D158="",E158="",F158="",G158=""),"计划不完整",IF(OR(D158&lt;1,D158&lt;&gt;INT(D158)),"阶段序号无效",IF(COUNTIFS($A$2:$A$497,"止损计划",$B$2:$B$497,B158,$D$2:$D$497,D158)&gt;1,"阶段序号重复",IF(E158&lt;=IFERROR(LOOKUP(2,1/(单次交易!$A$2:$A$201=B158),单次交易!$E$2:$E$201),0),"激活价须高于买入价",IF(F158&lt;N158,"止损价不得低于初始止损",IF(F158&gt;E158,"止损价不得高于激活价",IF(AND(COUNTIFS($A$2:$A$497,"止损计划",$B$2:$B$497,B158,$D$2:$D$497,"&lt;"&amp;D158)&gt;0,OR(E158&lt;=SUMPRODUCT(MAX((($A$2:$A$497="止损计划")*($B$2:$B$497=B158)*($D$2:$D$497&lt;D158))*$E$2:$E$497)),F158&lt;SUMPRODUCT(MAX((($A$2:$A$497="止损计划")*($B$2:$B$497=B158)*($D$2:$D$497&lt;D158))*$F$2:$F$497)))),"阶段价格必须逐级提高","计划有效"))))))),IF(A158="每日跟踪",IF(OR(B158="",H158="",I158="",J158=""),"每日数据不完整",IF(COUNTIFS($A$2:$A$497,"每日跟踪",$B$2:$B$497,B158,$H$2:$H$497,H158)&gt;1,"同一交易日期重复",IF(AND(R158&lt;&gt;"",R158&lt;S158),"人工止损无效：不能下调","跟踪有效"))),"记录类型无效")))</f>
        <v/>
      </c>
    </row>
    <row r="159" ht="17" spans="1:29">
      <c r="A159" s="2"/>
      <c r="B159" s="2"/>
      <c r="C159" s="8" t="str">
        <f>IF(B159="","",IFERROR(LOOKUP(2,1/(单次交易!$A$2:$A$201=B159),单次交易!$B$2:$B$201),""))</f>
        <v/>
      </c>
      <c r="D159" s="12"/>
      <c r="E159" s="10"/>
      <c r="F159" s="10"/>
      <c r="G159" s="2"/>
      <c r="H159" s="15"/>
      <c r="I159" s="10"/>
      <c r="J159" s="12"/>
      <c r="K159" s="2"/>
      <c r="L159" s="2"/>
      <c r="M159" s="2"/>
      <c r="N159" s="5" t="str">
        <f>IF(B159="","",IFERROR(LOOKUP(2,1/(单次交易!$A$2:$A$201=B159),单次交易!$N$2:$N$201),""))</f>
        <v/>
      </c>
      <c r="O159" s="5" t="str">
        <f t="shared" si="18"/>
        <v/>
      </c>
      <c r="P159" s="11" t="str">
        <f t="shared" si="19"/>
        <v/>
      </c>
      <c r="Q159" s="5" t="str">
        <f t="shared" si="20"/>
        <v/>
      </c>
      <c r="R159" s="10"/>
      <c r="S159" s="5" t="str">
        <f t="shared" si="21"/>
        <v/>
      </c>
      <c r="T159" s="5" t="str">
        <f t="shared" si="22"/>
        <v/>
      </c>
      <c r="U159" s="5" t="str">
        <f t="shared" si="23"/>
        <v/>
      </c>
      <c r="V159" s="7" t="str">
        <f t="shared" si="24"/>
        <v/>
      </c>
      <c r="W159" s="8" t="str">
        <f t="shared" si="25"/>
        <v/>
      </c>
      <c r="X159" s="2"/>
      <c r="Y159" s="10"/>
      <c r="Z159" s="11" t="str">
        <f>IF(X159&lt;&gt;"执行卖出","",IFERROR(LOOKUP(2,1/(单次交易!$A$2:$A$201=B159),单次交易!$AP$2:$AP$201),""))</f>
        <v/>
      </c>
      <c r="AA159" s="10"/>
      <c r="AB159" s="8" t="str">
        <f t="shared" si="26"/>
        <v/>
      </c>
      <c r="AC159" s="8" t="str">
        <f>IF(A159="","",IF(A159="止损计划",IF(OR(B159="",D159="",E159="",F159="",G159=""),"计划不完整",IF(OR(D159&lt;1,D159&lt;&gt;INT(D159)),"阶段序号无效",IF(COUNTIFS($A$2:$A$497,"止损计划",$B$2:$B$497,B159,$D$2:$D$497,D159)&gt;1,"阶段序号重复",IF(E159&lt;=IFERROR(LOOKUP(2,1/(单次交易!$A$2:$A$201=B159),单次交易!$E$2:$E$201),0),"激活价须高于买入价",IF(F159&lt;N159,"止损价不得低于初始止损",IF(F159&gt;E159,"止损价不得高于激活价",IF(AND(COUNTIFS($A$2:$A$497,"止损计划",$B$2:$B$497,B159,$D$2:$D$497,"&lt;"&amp;D159)&gt;0,OR(E159&lt;=SUMPRODUCT(MAX((($A$2:$A$497="止损计划")*($B$2:$B$497=B159)*($D$2:$D$497&lt;D159))*$E$2:$E$497)),F159&lt;SUMPRODUCT(MAX((($A$2:$A$497="止损计划")*($B$2:$B$497=B159)*($D$2:$D$497&lt;D159))*$F$2:$F$497)))),"阶段价格必须逐级提高","计划有效"))))))),IF(A159="每日跟踪",IF(OR(B159="",H159="",I159="",J159=""),"每日数据不完整",IF(COUNTIFS($A$2:$A$497,"每日跟踪",$B$2:$B$497,B159,$H$2:$H$497,H159)&gt;1,"同一交易日期重复",IF(AND(R159&lt;&gt;"",R159&lt;S159),"人工止损无效：不能下调","跟踪有效"))),"记录类型无效")))</f>
        <v/>
      </c>
    </row>
    <row r="160" ht="17" spans="1:29">
      <c r="A160" s="2"/>
      <c r="B160" s="2"/>
      <c r="C160" s="8" t="str">
        <f>IF(B160="","",IFERROR(LOOKUP(2,1/(单次交易!$A$2:$A$201=B160),单次交易!$B$2:$B$201),""))</f>
        <v/>
      </c>
      <c r="D160" s="12"/>
      <c r="E160" s="10"/>
      <c r="F160" s="10"/>
      <c r="G160" s="2"/>
      <c r="H160" s="15"/>
      <c r="I160" s="10"/>
      <c r="J160" s="12"/>
      <c r="K160" s="2"/>
      <c r="L160" s="2"/>
      <c r="M160" s="2"/>
      <c r="N160" s="5" t="str">
        <f>IF(B160="","",IFERROR(LOOKUP(2,1/(单次交易!$A$2:$A$201=B160),单次交易!$N$2:$N$201),""))</f>
        <v/>
      </c>
      <c r="O160" s="5" t="str">
        <f t="shared" si="18"/>
        <v/>
      </c>
      <c r="P160" s="11" t="str">
        <f t="shared" si="19"/>
        <v/>
      </c>
      <c r="Q160" s="5" t="str">
        <f t="shared" si="20"/>
        <v/>
      </c>
      <c r="R160" s="10"/>
      <c r="S160" s="5" t="str">
        <f t="shared" si="21"/>
        <v/>
      </c>
      <c r="T160" s="5" t="str">
        <f t="shared" si="22"/>
        <v/>
      </c>
      <c r="U160" s="5" t="str">
        <f t="shared" si="23"/>
        <v/>
      </c>
      <c r="V160" s="7" t="str">
        <f t="shared" si="24"/>
        <v/>
      </c>
      <c r="W160" s="8" t="str">
        <f t="shared" si="25"/>
        <v/>
      </c>
      <c r="X160" s="2"/>
      <c r="Y160" s="10"/>
      <c r="Z160" s="11" t="str">
        <f>IF(X160&lt;&gt;"执行卖出","",IFERROR(LOOKUP(2,1/(单次交易!$A$2:$A$201=B160),单次交易!$AP$2:$AP$201),""))</f>
        <v/>
      </c>
      <c r="AA160" s="10"/>
      <c r="AB160" s="8" t="str">
        <f t="shared" si="26"/>
        <v/>
      </c>
      <c r="AC160" s="8" t="str">
        <f>IF(A160="","",IF(A160="止损计划",IF(OR(B160="",D160="",E160="",F160="",G160=""),"计划不完整",IF(OR(D160&lt;1,D160&lt;&gt;INT(D160)),"阶段序号无效",IF(COUNTIFS($A$2:$A$497,"止损计划",$B$2:$B$497,B160,$D$2:$D$497,D160)&gt;1,"阶段序号重复",IF(E160&lt;=IFERROR(LOOKUP(2,1/(单次交易!$A$2:$A$201=B160),单次交易!$E$2:$E$201),0),"激活价须高于买入价",IF(F160&lt;N160,"止损价不得低于初始止损",IF(F160&gt;E160,"止损价不得高于激活价",IF(AND(COUNTIFS($A$2:$A$497,"止损计划",$B$2:$B$497,B160,$D$2:$D$497,"&lt;"&amp;D160)&gt;0,OR(E160&lt;=SUMPRODUCT(MAX((($A$2:$A$497="止损计划")*($B$2:$B$497=B160)*($D$2:$D$497&lt;D160))*$E$2:$E$497)),F160&lt;SUMPRODUCT(MAX((($A$2:$A$497="止损计划")*($B$2:$B$497=B160)*($D$2:$D$497&lt;D160))*$F$2:$F$497)))),"阶段价格必须逐级提高","计划有效"))))))),IF(A160="每日跟踪",IF(OR(B160="",H160="",I160="",J160=""),"每日数据不完整",IF(COUNTIFS($A$2:$A$497,"每日跟踪",$B$2:$B$497,B160,$H$2:$H$497,H160)&gt;1,"同一交易日期重复",IF(AND(R160&lt;&gt;"",R160&lt;S160),"人工止损无效：不能下调","跟踪有效"))),"记录类型无效")))</f>
        <v/>
      </c>
    </row>
    <row r="161" ht="17" spans="1:29">
      <c r="A161" s="2"/>
      <c r="B161" s="2"/>
      <c r="C161" s="8" t="str">
        <f>IF(B161="","",IFERROR(LOOKUP(2,1/(单次交易!$A$2:$A$201=B161),单次交易!$B$2:$B$201),""))</f>
        <v/>
      </c>
      <c r="D161" s="12"/>
      <c r="E161" s="10"/>
      <c r="F161" s="10"/>
      <c r="G161" s="2"/>
      <c r="H161" s="15"/>
      <c r="I161" s="10"/>
      <c r="J161" s="12"/>
      <c r="K161" s="2"/>
      <c r="L161" s="2"/>
      <c r="M161" s="2"/>
      <c r="N161" s="5" t="str">
        <f>IF(B161="","",IFERROR(LOOKUP(2,1/(单次交易!$A$2:$A$201=B161),单次交易!$N$2:$N$201),""))</f>
        <v/>
      </c>
      <c r="O161" s="5" t="str">
        <f t="shared" si="18"/>
        <v/>
      </c>
      <c r="P161" s="11" t="str">
        <f t="shared" si="19"/>
        <v/>
      </c>
      <c r="Q161" s="5" t="str">
        <f t="shared" si="20"/>
        <v/>
      </c>
      <c r="R161" s="10"/>
      <c r="S161" s="5" t="str">
        <f t="shared" si="21"/>
        <v/>
      </c>
      <c r="T161" s="5" t="str">
        <f t="shared" si="22"/>
        <v/>
      </c>
      <c r="U161" s="5" t="str">
        <f t="shared" si="23"/>
        <v/>
      </c>
      <c r="V161" s="7" t="str">
        <f t="shared" si="24"/>
        <v/>
      </c>
      <c r="W161" s="8" t="str">
        <f t="shared" si="25"/>
        <v/>
      </c>
      <c r="X161" s="2"/>
      <c r="Y161" s="10"/>
      <c r="Z161" s="11" t="str">
        <f>IF(X161&lt;&gt;"执行卖出","",IFERROR(LOOKUP(2,1/(单次交易!$A$2:$A$201=B161),单次交易!$AP$2:$AP$201),""))</f>
        <v/>
      </c>
      <c r="AA161" s="10"/>
      <c r="AB161" s="8" t="str">
        <f t="shared" si="26"/>
        <v/>
      </c>
      <c r="AC161" s="8" t="str">
        <f>IF(A161="","",IF(A161="止损计划",IF(OR(B161="",D161="",E161="",F161="",G161=""),"计划不完整",IF(OR(D161&lt;1,D161&lt;&gt;INT(D161)),"阶段序号无效",IF(COUNTIFS($A$2:$A$497,"止损计划",$B$2:$B$497,B161,$D$2:$D$497,D161)&gt;1,"阶段序号重复",IF(E161&lt;=IFERROR(LOOKUP(2,1/(单次交易!$A$2:$A$201=B161),单次交易!$E$2:$E$201),0),"激活价须高于买入价",IF(F161&lt;N161,"止损价不得低于初始止损",IF(F161&gt;E161,"止损价不得高于激活价",IF(AND(COUNTIFS($A$2:$A$497,"止损计划",$B$2:$B$497,B161,$D$2:$D$497,"&lt;"&amp;D161)&gt;0,OR(E161&lt;=SUMPRODUCT(MAX((($A$2:$A$497="止损计划")*($B$2:$B$497=B161)*($D$2:$D$497&lt;D161))*$E$2:$E$497)),F161&lt;SUMPRODUCT(MAX((($A$2:$A$497="止损计划")*($B$2:$B$497=B161)*($D$2:$D$497&lt;D161))*$F$2:$F$497)))),"阶段价格必须逐级提高","计划有效"))))))),IF(A161="每日跟踪",IF(OR(B161="",H161="",I161="",J161=""),"每日数据不完整",IF(COUNTIFS($A$2:$A$497,"每日跟踪",$B$2:$B$497,B161,$H$2:$H$497,H161)&gt;1,"同一交易日期重复",IF(AND(R161&lt;&gt;"",R161&lt;S161),"人工止损无效：不能下调","跟踪有效"))),"记录类型无效")))</f>
        <v/>
      </c>
    </row>
    <row r="162" ht="17" spans="1:29">
      <c r="A162" s="2"/>
      <c r="B162" s="2"/>
      <c r="C162" s="8" t="str">
        <f>IF(B162="","",IFERROR(LOOKUP(2,1/(单次交易!$A$2:$A$201=B162),单次交易!$B$2:$B$201),""))</f>
        <v/>
      </c>
      <c r="D162" s="12"/>
      <c r="E162" s="10"/>
      <c r="F162" s="10"/>
      <c r="G162" s="2"/>
      <c r="H162" s="15"/>
      <c r="I162" s="10"/>
      <c r="J162" s="12"/>
      <c r="K162" s="2"/>
      <c r="L162" s="2"/>
      <c r="M162" s="2"/>
      <c r="N162" s="5" t="str">
        <f>IF(B162="","",IFERROR(LOOKUP(2,1/(单次交易!$A$2:$A$201=B162),单次交易!$N$2:$N$201),""))</f>
        <v/>
      </c>
      <c r="O162" s="5" t="str">
        <f t="shared" si="18"/>
        <v/>
      </c>
      <c r="P162" s="11" t="str">
        <f t="shared" si="19"/>
        <v/>
      </c>
      <c r="Q162" s="5" t="str">
        <f t="shared" si="20"/>
        <v/>
      </c>
      <c r="R162" s="10"/>
      <c r="S162" s="5" t="str">
        <f t="shared" si="21"/>
        <v/>
      </c>
      <c r="T162" s="5" t="str">
        <f t="shared" si="22"/>
        <v/>
      </c>
      <c r="U162" s="5" t="str">
        <f t="shared" si="23"/>
        <v/>
      </c>
      <c r="V162" s="7" t="str">
        <f t="shared" si="24"/>
        <v/>
      </c>
      <c r="W162" s="8" t="str">
        <f t="shared" si="25"/>
        <v/>
      </c>
      <c r="X162" s="2"/>
      <c r="Y162" s="10"/>
      <c r="Z162" s="11" t="str">
        <f>IF(X162&lt;&gt;"执行卖出","",IFERROR(LOOKUP(2,1/(单次交易!$A$2:$A$201=B162),单次交易!$AP$2:$AP$201),""))</f>
        <v/>
      </c>
      <c r="AA162" s="10"/>
      <c r="AB162" s="8" t="str">
        <f t="shared" si="26"/>
        <v/>
      </c>
      <c r="AC162" s="8" t="str">
        <f>IF(A162="","",IF(A162="止损计划",IF(OR(B162="",D162="",E162="",F162="",G162=""),"计划不完整",IF(OR(D162&lt;1,D162&lt;&gt;INT(D162)),"阶段序号无效",IF(COUNTIFS($A$2:$A$497,"止损计划",$B$2:$B$497,B162,$D$2:$D$497,D162)&gt;1,"阶段序号重复",IF(E162&lt;=IFERROR(LOOKUP(2,1/(单次交易!$A$2:$A$201=B162),单次交易!$E$2:$E$201),0),"激活价须高于买入价",IF(F162&lt;N162,"止损价不得低于初始止损",IF(F162&gt;E162,"止损价不得高于激活价",IF(AND(COUNTIFS($A$2:$A$497,"止损计划",$B$2:$B$497,B162,$D$2:$D$497,"&lt;"&amp;D162)&gt;0,OR(E162&lt;=SUMPRODUCT(MAX((($A$2:$A$497="止损计划")*($B$2:$B$497=B162)*($D$2:$D$497&lt;D162))*$E$2:$E$497)),F162&lt;SUMPRODUCT(MAX((($A$2:$A$497="止损计划")*($B$2:$B$497=B162)*($D$2:$D$497&lt;D162))*$F$2:$F$497)))),"阶段价格必须逐级提高","计划有效"))))))),IF(A162="每日跟踪",IF(OR(B162="",H162="",I162="",J162=""),"每日数据不完整",IF(COUNTIFS($A$2:$A$497,"每日跟踪",$B$2:$B$497,B162,$H$2:$H$497,H162)&gt;1,"同一交易日期重复",IF(AND(R162&lt;&gt;"",R162&lt;S162),"人工止损无效：不能下调","跟踪有效"))),"记录类型无效")))</f>
        <v/>
      </c>
    </row>
    <row r="163" ht="17" spans="1:29">
      <c r="A163" s="2"/>
      <c r="B163" s="2"/>
      <c r="C163" s="8" t="str">
        <f>IF(B163="","",IFERROR(LOOKUP(2,1/(单次交易!$A$2:$A$201=B163),单次交易!$B$2:$B$201),""))</f>
        <v/>
      </c>
      <c r="D163" s="12"/>
      <c r="E163" s="10"/>
      <c r="F163" s="10"/>
      <c r="G163" s="2"/>
      <c r="H163" s="15"/>
      <c r="I163" s="10"/>
      <c r="J163" s="12"/>
      <c r="K163" s="2"/>
      <c r="L163" s="2"/>
      <c r="M163" s="2"/>
      <c r="N163" s="5" t="str">
        <f>IF(B163="","",IFERROR(LOOKUP(2,1/(单次交易!$A$2:$A$201=B163),单次交易!$N$2:$N$201),""))</f>
        <v/>
      </c>
      <c r="O163" s="5" t="str">
        <f t="shared" si="18"/>
        <v/>
      </c>
      <c r="P163" s="11" t="str">
        <f t="shared" si="19"/>
        <v/>
      </c>
      <c r="Q163" s="5" t="str">
        <f t="shared" si="20"/>
        <v/>
      </c>
      <c r="R163" s="10"/>
      <c r="S163" s="5" t="str">
        <f t="shared" si="21"/>
        <v/>
      </c>
      <c r="T163" s="5" t="str">
        <f t="shared" si="22"/>
        <v/>
      </c>
      <c r="U163" s="5" t="str">
        <f t="shared" si="23"/>
        <v/>
      </c>
      <c r="V163" s="7" t="str">
        <f t="shared" si="24"/>
        <v/>
      </c>
      <c r="W163" s="8" t="str">
        <f t="shared" si="25"/>
        <v/>
      </c>
      <c r="X163" s="2"/>
      <c r="Y163" s="10"/>
      <c r="Z163" s="11" t="str">
        <f>IF(X163&lt;&gt;"执行卖出","",IFERROR(LOOKUP(2,1/(单次交易!$A$2:$A$201=B163),单次交易!$AP$2:$AP$201),""))</f>
        <v/>
      </c>
      <c r="AA163" s="10"/>
      <c r="AB163" s="8" t="str">
        <f t="shared" si="26"/>
        <v/>
      </c>
      <c r="AC163" s="8" t="str">
        <f>IF(A163="","",IF(A163="止损计划",IF(OR(B163="",D163="",E163="",F163="",G163=""),"计划不完整",IF(OR(D163&lt;1,D163&lt;&gt;INT(D163)),"阶段序号无效",IF(COUNTIFS($A$2:$A$497,"止损计划",$B$2:$B$497,B163,$D$2:$D$497,D163)&gt;1,"阶段序号重复",IF(E163&lt;=IFERROR(LOOKUP(2,1/(单次交易!$A$2:$A$201=B163),单次交易!$E$2:$E$201),0),"激活价须高于买入价",IF(F163&lt;N163,"止损价不得低于初始止损",IF(F163&gt;E163,"止损价不得高于激活价",IF(AND(COUNTIFS($A$2:$A$497,"止损计划",$B$2:$B$497,B163,$D$2:$D$497,"&lt;"&amp;D163)&gt;0,OR(E163&lt;=SUMPRODUCT(MAX((($A$2:$A$497="止损计划")*($B$2:$B$497=B163)*($D$2:$D$497&lt;D163))*$E$2:$E$497)),F163&lt;SUMPRODUCT(MAX((($A$2:$A$497="止损计划")*($B$2:$B$497=B163)*($D$2:$D$497&lt;D163))*$F$2:$F$497)))),"阶段价格必须逐级提高","计划有效"))))))),IF(A163="每日跟踪",IF(OR(B163="",H163="",I163="",J163=""),"每日数据不完整",IF(COUNTIFS($A$2:$A$497,"每日跟踪",$B$2:$B$497,B163,$H$2:$H$497,H163)&gt;1,"同一交易日期重复",IF(AND(R163&lt;&gt;"",R163&lt;S163),"人工止损无效：不能下调","跟踪有效"))),"记录类型无效")))</f>
        <v/>
      </c>
    </row>
    <row r="164" ht="17" spans="1:29">
      <c r="A164" s="2"/>
      <c r="B164" s="2"/>
      <c r="C164" s="8" t="str">
        <f>IF(B164="","",IFERROR(LOOKUP(2,1/(单次交易!$A$2:$A$201=B164),单次交易!$B$2:$B$201),""))</f>
        <v/>
      </c>
      <c r="D164" s="12"/>
      <c r="E164" s="10"/>
      <c r="F164" s="10"/>
      <c r="G164" s="2"/>
      <c r="H164" s="15"/>
      <c r="I164" s="10"/>
      <c r="J164" s="12"/>
      <c r="K164" s="2"/>
      <c r="L164" s="2"/>
      <c r="M164" s="2"/>
      <c r="N164" s="5" t="str">
        <f>IF(B164="","",IFERROR(LOOKUP(2,1/(单次交易!$A$2:$A$201=B164),单次交易!$N$2:$N$201),""))</f>
        <v/>
      </c>
      <c r="O164" s="5" t="str">
        <f t="shared" si="18"/>
        <v/>
      </c>
      <c r="P164" s="11" t="str">
        <f t="shared" si="19"/>
        <v/>
      </c>
      <c r="Q164" s="5" t="str">
        <f t="shared" si="20"/>
        <v/>
      </c>
      <c r="R164" s="10"/>
      <c r="S164" s="5" t="str">
        <f t="shared" si="21"/>
        <v/>
      </c>
      <c r="T164" s="5" t="str">
        <f t="shared" si="22"/>
        <v/>
      </c>
      <c r="U164" s="5" t="str">
        <f t="shared" si="23"/>
        <v/>
      </c>
      <c r="V164" s="7" t="str">
        <f t="shared" si="24"/>
        <v/>
      </c>
      <c r="W164" s="8" t="str">
        <f t="shared" si="25"/>
        <v/>
      </c>
      <c r="X164" s="2"/>
      <c r="Y164" s="10"/>
      <c r="Z164" s="11" t="str">
        <f>IF(X164&lt;&gt;"执行卖出","",IFERROR(LOOKUP(2,1/(单次交易!$A$2:$A$201=B164),单次交易!$AP$2:$AP$201),""))</f>
        <v/>
      </c>
      <c r="AA164" s="10"/>
      <c r="AB164" s="8" t="str">
        <f t="shared" si="26"/>
        <v/>
      </c>
      <c r="AC164" s="8" t="str">
        <f>IF(A164="","",IF(A164="止损计划",IF(OR(B164="",D164="",E164="",F164="",G164=""),"计划不完整",IF(OR(D164&lt;1,D164&lt;&gt;INT(D164)),"阶段序号无效",IF(COUNTIFS($A$2:$A$497,"止损计划",$B$2:$B$497,B164,$D$2:$D$497,D164)&gt;1,"阶段序号重复",IF(E164&lt;=IFERROR(LOOKUP(2,1/(单次交易!$A$2:$A$201=B164),单次交易!$E$2:$E$201),0),"激活价须高于买入价",IF(F164&lt;N164,"止损价不得低于初始止损",IF(F164&gt;E164,"止损价不得高于激活价",IF(AND(COUNTIFS($A$2:$A$497,"止损计划",$B$2:$B$497,B164,$D$2:$D$497,"&lt;"&amp;D164)&gt;0,OR(E164&lt;=SUMPRODUCT(MAX((($A$2:$A$497="止损计划")*($B$2:$B$497=B164)*($D$2:$D$497&lt;D164))*$E$2:$E$497)),F164&lt;SUMPRODUCT(MAX((($A$2:$A$497="止损计划")*($B$2:$B$497=B164)*($D$2:$D$497&lt;D164))*$F$2:$F$497)))),"阶段价格必须逐级提高","计划有效"))))))),IF(A164="每日跟踪",IF(OR(B164="",H164="",I164="",J164=""),"每日数据不完整",IF(COUNTIFS($A$2:$A$497,"每日跟踪",$B$2:$B$497,B164,$H$2:$H$497,H164)&gt;1,"同一交易日期重复",IF(AND(R164&lt;&gt;"",R164&lt;S164),"人工止损无效：不能下调","跟踪有效"))),"记录类型无效")))</f>
        <v/>
      </c>
    </row>
    <row r="165" ht="17" spans="1:29">
      <c r="A165" s="2"/>
      <c r="B165" s="2"/>
      <c r="C165" s="8" t="str">
        <f>IF(B165="","",IFERROR(LOOKUP(2,1/(单次交易!$A$2:$A$201=B165),单次交易!$B$2:$B$201),""))</f>
        <v/>
      </c>
      <c r="D165" s="12"/>
      <c r="E165" s="10"/>
      <c r="F165" s="10"/>
      <c r="G165" s="2"/>
      <c r="H165" s="15"/>
      <c r="I165" s="10"/>
      <c r="J165" s="12"/>
      <c r="K165" s="2"/>
      <c r="L165" s="2"/>
      <c r="M165" s="2"/>
      <c r="N165" s="5" t="str">
        <f>IF(B165="","",IFERROR(LOOKUP(2,1/(单次交易!$A$2:$A$201=B165),单次交易!$N$2:$N$201),""))</f>
        <v/>
      </c>
      <c r="O165" s="5" t="str">
        <f t="shared" si="18"/>
        <v/>
      </c>
      <c r="P165" s="11" t="str">
        <f t="shared" si="19"/>
        <v/>
      </c>
      <c r="Q165" s="5" t="str">
        <f t="shared" si="20"/>
        <v/>
      </c>
      <c r="R165" s="10"/>
      <c r="S165" s="5" t="str">
        <f t="shared" si="21"/>
        <v/>
      </c>
      <c r="T165" s="5" t="str">
        <f t="shared" si="22"/>
        <v/>
      </c>
      <c r="U165" s="5" t="str">
        <f t="shared" si="23"/>
        <v/>
      </c>
      <c r="V165" s="7" t="str">
        <f t="shared" si="24"/>
        <v/>
      </c>
      <c r="W165" s="8" t="str">
        <f t="shared" si="25"/>
        <v/>
      </c>
      <c r="X165" s="2"/>
      <c r="Y165" s="10"/>
      <c r="Z165" s="11" t="str">
        <f>IF(X165&lt;&gt;"执行卖出","",IFERROR(LOOKUP(2,1/(单次交易!$A$2:$A$201=B165),单次交易!$AP$2:$AP$201),""))</f>
        <v/>
      </c>
      <c r="AA165" s="10"/>
      <c r="AB165" s="8" t="str">
        <f t="shared" si="26"/>
        <v/>
      </c>
      <c r="AC165" s="8" t="str">
        <f>IF(A165="","",IF(A165="止损计划",IF(OR(B165="",D165="",E165="",F165="",G165=""),"计划不完整",IF(OR(D165&lt;1,D165&lt;&gt;INT(D165)),"阶段序号无效",IF(COUNTIFS($A$2:$A$497,"止损计划",$B$2:$B$497,B165,$D$2:$D$497,D165)&gt;1,"阶段序号重复",IF(E165&lt;=IFERROR(LOOKUP(2,1/(单次交易!$A$2:$A$201=B165),单次交易!$E$2:$E$201),0),"激活价须高于买入价",IF(F165&lt;N165,"止损价不得低于初始止损",IF(F165&gt;E165,"止损价不得高于激活价",IF(AND(COUNTIFS($A$2:$A$497,"止损计划",$B$2:$B$497,B165,$D$2:$D$497,"&lt;"&amp;D165)&gt;0,OR(E165&lt;=SUMPRODUCT(MAX((($A$2:$A$497="止损计划")*($B$2:$B$497=B165)*($D$2:$D$497&lt;D165))*$E$2:$E$497)),F165&lt;SUMPRODUCT(MAX((($A$2:$A$497="止损计划")*($B$2:$B$497=B165)*($D$2:$D$497&lt;D165))*$F$2:$F$497)))),"阶段价格必须逐级提高","计划有效"))))))),IF(A165="每日跟踪",IF(OR(B165="",H165="",I165="",J165=""),"每日数据不完整",IF(COUNTIFS($A$2:$A$497,"每日跟踪",$B$2:$B$497,B165,$H$2:$H$497,H165)&gt;1,"同一交易日期重复",IF(AND(R165&lt;&gt;"",R165&lt;S165),"人工止损无效：不能下调","跟踪有效"))),"记录类型无效")))</f>
        <v/>
      </c>
    </row>
    <row r="166" ht="17" spans="1:29">
      <c r="A166" s="2"/>
      <c r="B166" s="2"/>
      <c r="C166" s="8" t="str">
        <f>IF(B166="","",IFERROR(LOOKUP(2,1/(单次交易!$A$2:$A$201=B166),单次交易!$B$2:$B$201),""))</f>
        <v/>
      </c>
      <c r="D166" s="12"/>
      <c r="E166" s="10"/>
      <c r="F166" s="10"/>
      <c r="G166" s="2"/>
      <c r="H166" s="15"/>
      <c r="I166" s="10"/>
      <c r="J166" s="12"/>
      <c r="K166" s="2"/>
      <c r="L166" s="2"/>
      <c r="M166" s="2"/>
      <c r="N166" s="5" t="str">
        <f>IF(B166="","",IFERROR(LOOKUP(2,1/(单次交易!$A$2:$A$201=B166),单次交易!$N$2:$N$201),""))</f>
        <v/>
      </c>
      <c r="O166" s="5" t="str">
        <f t="shared" si="18"/>
        <v/>
      </c>
      <c r="P166" s="11" t="str">
        <f t="shared" si="19"/>
        <v/>
      </c>
      <c r="Q166" s="5" t="str">
        <f t="shared" si="20"/>
        <v/>
      </c>
      <c r="R166" s="10"/>
      <c r="S166" s="5" t="str">
        <f t="shared" si="21"/>
        <v/>
      </c>
      <c r="T166" s="5" t="str">
        <f t="shared" si="22"/>
        <v/>
      </c>
      <c r="U166" s="5" t="str">
        <f t="shared" si="23"/>
        <v/>
      </c>
      <c r="V166" s="7" t="str">
        <f t="shared" si="24"/>
        <v/>
      </c>
      <c r="W166" s="8" t="str">
        <f t="shared" si="25"/>
        <v/>
      </c>
      <c r="X166" s="2"/>
      <c r="Y166" s="10"/>
      <c r="Z166" s="11" t="str">
        <f>IF(X166&lt;&gt;"执行卖出","",IFERROR(LOOKUP(2,1/(单次交易!$A$2:$A$201=B166),单次交易!$AP$2:$AP$201),""))</f>
        <v/>
      </c>
      <c r="AA166" s="10"/>
      <c r="AB166" s="8" t="str">
        <f t="shared" si="26"/>
        <v/>
      </c>
      <c r="AC166" s="8" t="str">
        <f>IF(A166="","",IF(A166="止损计划",IF(OR(B166="",D166="",E166="",F166="",G166=""),"计划不完整",IF(OR(D166&lt;1,D166&lt;&gt;INT(D166)),"阶段序号无效",IF(COUNTIFS($A$2:$A$497,"止损计划",$B$2:$B$497,B166,$D$2:$D$497,D166)&gt;1,"阶段序号重复",IF(E166&lt;=IFERROR(LOOKUP(2,1/(单次交易!$A$2:$A$201=B166),单次交易!$E$2:$E$201),0),"激活价须高于买入价",IF(F166&lt;N166,"止损价不得低于初始止损",IF(F166&gt;E166,"止损价不得高于激活价",IF(AND(COUNTIFS($A$2:$A$497,"止损计划",$B$2:$B$497,B166,$D$2:$D$497,"&lt;"&amp;D166)&gt;0,OR(E166&lt;=SUMPRODUCT(MAX((($A$2:$A$497="止损计划")*($B$2:$B$497=B166)*($D$2:$D$497&lt;D166))*$E$2:$E$497)),F166&lt;SUMPRODUCT(MAX((($A$2:$A$497="止损计划")*($B$2:$B$497=B166)*($D$2:$D$497&lt;D166))*$F$2:$F$497)))),"阶段价格必须逐级提高","计划有效"))))))),IF(A166="每日跟踪",IF(OR(B166="",H166="",I166="",J166=""),"每日数据不完整",IF(COUNTIFS($A$2:$A$497,"每日跟踪",$B$2:$B$497,B166,$H$2:$H$497,H166)&gt;1,"同一交易日期重复",IF(AND(R166&lt;&gt;"",R166&lt;S166),"人工止损无效：不能下调","跟踪有效"))),"记录类型无效")))</f>
        <v/>
      </c>
    </row>
    <row r="167" ht="17" spans="1:29">
      <c r="A167" s="2"/>
      <c r="B167" s="2"/>
      <c r="C167" s="8" t="str">
        <f>IF(B167="","",IFERROR(LOOKUP(2,1/(单次交易!$A$2:$A$201=B167),单次交易!$B$2:$B$201),""))</f>
        <v/>
      </c>
      <c r="D167" s="12"/>
      <c r="E167" s="10"/>
      <c r="F167" s="10"/>
      <c r="G167" s="2"/>
      <c r="H167" s="15"/>
      <c r="I167" s="10"/>
      <c r="J167" s="12"/>
      <c r="K167" s="2"/>
      <c r="L167" s="2"/>
      <c r="M167" s="2"/>
      <c r="N167" s="5" t="str">
        <f>IF(B167="","",IFERROR(LOOKUP(2,1/(单次交易!$A$2:$A$201=B167),单次交易!$N$2:$N$201),""))</f>
        <v/>
      </c>
      <c r="O167" s="5" t="str">
        <f t="shared" si="18"/>
        <v/>
      </c>
      <c r="P167" s="11" t="str">
        <f t="shared" si="19"/>
        <v/>
      </c>
      <c r="Q167" s="5" t="str">
        <f t="shared" si="20"/>
        <v/>
      </c>
      <c r="R167" s="10"/>
      <c r="S167" s="5" t="str">
        <f t="shared" si="21"/>
        <v/>
      </c>
      <c r="T167" s="5" t="str">
        <f t="shared" si="22"/>
        <v/>
      </c>
      <c r="U167" s="5" t="str">
        <f t="shared" si="23"/>
        <v/>
      </c>
      <c r="V167" s="7" t="str">
        <f t="shared" si="24"/>
        <v/>
      </c>
      <c r="W167" s="8" t="str">
        <f t="shared" si="25"/>
        <v/>
      </c>
      <c r="X167" s="2"/>
      <c r="Y167" s="10"/>
      <c r="Z167" s="11" t="str">
        <f>IF(X167&lt;&gt;"执行卖出","",IFERROR(LOOKUP(2,1/(单次交易!$A$2:$A$201=B167),单次交易!$AP$2:$AP$201),""))</f>
        <v/>
      </c>
      <c r="AA167" s="10"/>
      <c r="AB167" s="8" t="str">
        <f t="shared" si="26"/>
        <v/>
      </c>
      <c r="AC167" s="8" t="str">
        <f>IF(A167="","",IF(A167="止损计划",IF(OR(B167="",D167="",E167="",F167="",G167=""),"计划不完整",IF(OR(D167&lt;1,D167&lt;&gt;INT(D167)),"阶段序号无效",IF(COUNTIFS($A$2:$A$497,"止损计划",$B$2:$B$497,B167,$D$2:$D$497,D167)&gt;1,"阶段序号重复",IF(E167&lt;=IFERROR(LOOKUP(2,1/(单次交易!$A$2:$A$201=B167),单次交易!$E$2:$E$201),0),"激活价须高于买入价",IF(F167&lt;N167,"止损价不得低于初始止损",IF(F167&gt;E167,"止损价不得高于激活价",IF(AND(COUNTIFS($A$2:$A$497,"止损计划",$B$2:$B$497,B167,$D$2:$D$497,"&lt;"&amp;D167)&gt;0,OR(E167&lt;=SUMPRODUCT(MAX((($A$2:$A$497="止损计划")*($B$2:$B$497=B167)*($D$2:$D$497&lt;D167))*$E$2:$E$497)),F167&lt;SUMPRODUCT(MAX((($A$2:$A$497="止损计划")*($B$2:$B$497=B167)*($D$2:$D$497&lt;D167))*$F$2:$F$497)))),"阶段价格必须逐级提高","计划有效"))))))),IF(A167="每日跟踪",IF(OR(B167="",H167="",I167="",J167=""),"每日数据不完整",IF(COUNTIFS($A$2:$A$497,"每日跟踪",$B$2:$B$497,B167,$H$2:$H$497,H167)&gt;1,"同一交易日期重复",IF(AND(R167&lt;&gt;"",R167&lt;S167),"人工止损无效：不能下调","跟踪有效"))),"记录类型无效")))</f>
        <v/>
      </c>
    </row>
    <row r="168" ht="17" spans="1:29">
      <c r="A168" s="2"/>
      <c r="B168" s="2"/>
      <c r="C168" s="8" t="str">
        <f>IF(B168="","",IFERROR(LOOKUP(2,1/(单次交易!$A$2:$A$201=B168),单次交易!$B$2:$B$201),""))</f>
        <v/>
      </c>
      <c r="D168" s="12"/>
      <c r="E168" s="10"/>
      <c r="F168" s="10"/>
      <c r="G168" s="2"/>
      <c r="H168" s="15"/>
      <c r="I168" s="10"/>
      <c r="J168" s="12"/>
      <c r="K168" s="2"/>
      <c r="L168" s="2"/>
      <c r="M168" s="2"/>
      <c r="N168" s="5" t="str">
        <f>IF(B168="","",IFERROR(LOOKUP(2,1/(单次交易!$A$2:$A$201=B168),单次交易!$N$2:$N$201),""))</f>
        <v/>
      </c>
      <c r="O168" s="5" t="str">
        <f t="shared" si="18"/>
        <v/>
      </c>
      <c r="P168" s="11" t="str">
        <f t="shared" si="19"/>
        <v/>
      </c>
      <c r="Q168" s="5" t="str">
        <f t="shared" si="20"/>
        <v/>
      </c>
      <c r="R168" s="10"/>
      <c r="S168" s="5" t="str">
        <f t="shared" si="21"/>
        <v/>
      </c>
      <c r="T168" s="5" t="str">
        <f t="shared" si="22"/>
        <v/>
      </c>
      <c r="U168" s="5" t="str">
        <f t="shared" si="23"/>
        <v/>
      </c>
      <c r="V168" s="7" t="str">
        <f t="shared" si="24"/>
        <v/>
      </c>
      <c r="W168" s="8" t="str">
        <f t="shared" si="25"/>
        <v/>
      </c>
      <c r="X168" s="2"/>
      <c r="Y168" s="10"/>
      <c r="Z168" s="11" t="str">
        <f>IF(X168&lt;&gt;"执行卖出","",IFERROR(LOOKUP(2,1/(单次交易!$A$2:$A$201=B168),单次交易!$AP$2:$AP$201),""))</f>
        <v/>
      </c>
      <c r="AA168" s="10"/>
      <c r="AB168" s="8" t="str">
        <f t="shared" si="26"/>
        <v/>
      </c>
      <c r="AC168" s="8" t="str">
        <f>IF(A168="","",IF(A168="止损计划",IF(OR(B168="",D168="",E168="",F168="",G168=""),"计划不完整",IF(OR(D168&lt;1,D168&lt;&gt;INT(D168)),"阶段序号无效",IF(COUNTIFS($A$2:$A$497,"止损计划",$B$2:$B$497,B168,$D$2:$D$497,D168)&gt;1,"阶段序号重复",IF(E168&lt;=IFERROR(LOOKUP(2,1/(单次交易!$A$2:$A$201=B168),单次交易!$E$2:$E$201),0),"激活价须高于买入价",IF(F168&lt;N168,"止损价不得低于初始止损",IF(F168&gt;E168,"止损价不得高于激活价",IF(AND(COUNTIFS($A$2:$A$497,"止损计划",$B$2:$B$497,B168,$D$2:$D$497,"&lt;"&amp;D168)&gt;0,OR(E168&lt;=SUMPRODUCT(MAX((($A$2:$A$497="止损计划")*($B$2:$B$497=B168)*($D$2:$D$497&lt;D168))*$E$2:$E$497)),F168&lt;SUMPRODUCT(MAX((($A$2:$A$497="止损计划")*($B$2:$B$497=B168)*($D$2:$D$497&lt;D168))*$F$2:$F$497)))),"阶段价格必须逐级提高","计划有效"))))))),IF(A168="每日跟踪",IF(OR(B168="",H168="",I168="",J168=""),"每日数据不完整",IF(COUNTIFS($A$2:$A$497,"每日跟踪",$B$2:$B$497,B168,$H$2:$H$497,H168)&gt;1,"同一交易日期重复",IF(AND(R168&lt;&gt;"",R168&lt;S168),"人工止损无效：不能下调","跟踪有效"))),"记录类型无效")))</f>
        <v/>
      </c>
    </row>
    <row r="169" ht="17" spans="1:29">
      <c r="A169" s="2"/>
      <c r="B169" s="2"/>
      <c r="C169" s="8" t="str">
        <f>IF(B169="","",IFERROR(LOOKUP(2,1/(单次交易!$A$2:$A$201=B169),单次交易!$B$2:$B$201),""))</f>
        <v/>
      </c>
      <c r="D169" s="12"/>
      <c r="E169" s="10"/>
      <c r="F169" s="10"/>
      <c r="G169" s="2"/>
      <c r="H169" s="15"/>
      <c r="I169" s="10"/>
      <c r="J169" s="12"/>
      <c r="K169" s="2"/>
      <c r="L169" s="2"/>
      <c r="M169" s="2"/>
      <c r="N169" s="5" t="str">
        <f>IF(B169="","",IFERROR(LOOKUP(2,1/(单次交易!$A$2:$A$201=B169),单次交易!$N$2:$N$201),""))</f>
        <v/>
      </c>
      <c r="O169" s="5" t="str">
        <f t="shared" si="18"/>
        <v/>
      </c>
      <c r="P169" s="11" t="str">
        <f t="shared" si="19"/>
        <v/>
      </c>
      <c r="Q169" s="5" t="str">
        <f t="shared" si="20"/>
        <v/>
      </c>
      <c r="R169" s="10"/>
      <c r="S169" s="5" t="str">
        <f t="shared" si="21"/>
        <v/>
      </c>
      <c r="T169" s="5" t="str">
        <f t="shared" si="22"/>
        <v/>
      </c>
      <c r="U169" s="5" t="str">
        <f t="shared" si="23"/>
        <v/>
      </c>
      <c r="V169" s="7" t="str">
        <f t="shared" si="24"/>
        <v/>
      </c>
      <c r="W169" s="8" t="str">
        <f t="shared" si="25"/>
        <v/>
      </c>
      <c r="X169" s="2"/>
      <c r="Y169" s="10"/>
      <c r="Z169" s="11" t="str">
        <f>IF(X169&lt;&gt;"执行卖出","",IFERROR(LOOKUP(2,1/(单次交易!$A$2:$A$201=B169),单次交易!$AP$2:$AP$201),""))</f>
        <v/>
      </c>
      <c r="AA169" s="10"/>
      <c r="AB169" s="8" t="str">
        <f t="shared" si="26"/>
        <v/>
      </c>
      <c r="AC169" s="8" t="str">
        <f>IF(A169="","",IF(A169="止损计划",IF(OR(B169="",D169="",E169="",F169="",G169=""),"计划不完整",IF(OR(D169&lt;1,D169&lt;&gt;INT(D169)),"阶段序号无效",IF(COUNTIFS($A$2:$A$497,"止损计划",$B$2:$B$497,B169,$D$2:$D$497,D169)&gt;1,"阶段序号重复",IF(E169&lt;=IFERROR(LOOKUP(2,1/(单次交易!$A$2:$A$201=B169),单次交易!$E$2:$E$201),0),"激活价须高于买入价",IF(F169&lt;N169,"止损价不得低于初始止损",IF(F169&gt;E169,"止损价不得高于激活价",IF(AND(COUNTIFS($A$2:$A$497,"止损计划",$B$2:$B$497,B169,$D$2:$D$497,"&lt;"&amp;D169)&gt;0,OR(E169&lt;=SUMPRODUCT(MAX((($A$2:$A$497="止损计划")*($B$2:$B$497=B169)*($D$2:$D$497&lt;D169))*$E$2:$E$497)),F169&lt;SUMPRODUCT(MAX((($A$2:$A$497="止损计划")*($B$2:$B$497=B169)*($D$2:$D$497&lt;D169))*$F$2:$F$497)))),"阶段价格必须逐级提高","计划有效"))))))),IF(A169="每日跟踪",IF(OR(B169="",H169="",I169="",J169=""),"每日数据不完整",IF(COUNTIFS($A$2:$A$497,"每日跟踪",$B$2:$B$497,B169,$H$2:$H$497,H169)&gt;1,"同一交易日期重复",IF(AND(R169&lt;&gt;"",R169&lt;S169),"人工止损无效：不能下调","跟踪有效"))),"记录类型无效")))</f>
        <v/>
      </c>
    </row>
    <row r="170" ht="17" spans="1:29">
      <c r="A170" s="2"/>
      <c r="B170" s="2"/>
      <c r="C170" s="8" t="str">
        <f>IF(B170="","",IFERROR(LOOKUP(2,1/(单次交易!$A$2:$A$201=B170),单次交易!$B$2:$B$201),""))</f>
        <v/>
      </c>
      <c r="D170" s="12"/>
      <c r="E170" s="10"/>
      <c r="F170" s="10"/>
      <c r="G170" s="2"/>
      <c r="H170" s="15"/>
      <c r="I170" s="10"/>
      <c r="J170" s="12"/>
      <c r="K170" s="2"/>
      <c r="L170" s="2"/>
      <c r="M170" s="2"/>
      <c r="N170" s="5" t="str">
        <f>IF(B170="","",IFERROR(LOOKUP(2,1/(单次交易!$A$2:$A$201=B170),单次交易!$N$2:$N$201),""))</f>
        <v/>
      </c>
      <c r="O170" s="5" t="str">
        <f t="shared" si="18"/>
        <v/>
      </c>
      <c r="P170" s="11" t="str">
        <f t="shared" si="19"/>
        <v/>
      </c>
      <c r="Q170" s="5" t="str">
        <f t="shared" si="20"/>
        <v/>
      </c>
      <c r="R170" s="10"/>
      <c r="S170" s="5" t="str">
        <f t="shared" si="21"/>
        <v/>
      </c>
      <c r="T170" s="5" t="str">
        <f t="shared" si="22"/>
        <v/>
      </c>
      <c r="U170" s="5" t="str">
        <f t="shared" si="23"/>
        <v/>
      </c>
      <c r="V170" s="7" t="str">
        <f t="shared" si="24"/>
        <v/>
      </c>
      <c r="W170" s="8" t="str">
        <f t="shared" si="25"/>
        <v/>
      </c>
      <c r="X170" s="2"/>
      <c r="Y170" s="10"/>
      <c r="Z170" s="11" t="str">
        <f>IF(X170&lt;&gt;"执行卖出","",IFERROR(LOOKUP(2,1/(单次交易!$A$2:$A$201=B170),单次交易!$AP$2:$AP$201),""))</f>
        <v/>
      </c>
      <c r="AA170" s="10"/>
      <c r="AB170" s="8" t="str">
        <f t="shared" si="26"/>
        <v/>
      </c>
      <c r="AC170" s="8" t="str">
        <f>IF(A170="","",IF(A170="止损计划",IF(OR(B170="",D170="",E170="",F170="",G170=""),"计划不完整",IF(OR(D170&lt;1,D170&lt;&gt;INT(D170)),"阶段序号无效",IF(COUNTIFS($A$2:$A$497,"止损计划",$B$2:$B$497,B170,$D$2:$D$497,D170)&gt;1,"阶段序号重复",IF(E170&lt;=IFERROR(LOOKUP(2,1/(单次交易!$A$2:$A$201=B170),单次交易!$E$2:$E$201),0),"激活价须高于买入价",IF(F170&lt;N170,"止损价不得低于初始止损",IF(F170&gt;E170,"止损价不得高于激活价",IF(AND(COUNTIFS($A$2:$A$497,"止损计划",$B$2:$B$497,B170,$D$2:$D$497,"&lt;"&amp;D170)&gt;0,OR(E170&lt;=SUMPRODUCT(MAX((($A$2:$A$497="止损计划")*($B$2:$B$497=B170)*($D$2:$D$497&lt;D170))*$E$2:$E$497)),F170&lt;SUMPRODUCT(MAX((($A$2:$A$497="止损计划")*($B$2:$B$497=B170)*($D$2:$D$497&lt;D170))*$F$2:$F$497)))),"阶段价格必须逐级提高","计划有效"))))))),IF(A170="每日跟踪",IF(OR(B170="",H170="",I170="",J170=""),"每日数据不完整",IF(COUNTIFS($A$2:$A$497,"每日跟踪",$B$2:$B$497,B170,$H$2:$H$497,H170)&gt;1,"同一交易日期重复",IF(AND(R170&lt;&gt;"",R170&lt;S170),"人工止损无效：不能下调","跟踪有效"))),"记录类型无效")))</f>
        <v/>
      </c>
    </row>
    <row r="171" ht="17" spans="1:29">
      <c r="A171" s="2"/>
      <c r="B171" s="2"/>
      <c r="C171" s="8" t="str">
        <f>IF(B171="","",IFERROR(LOOKUP(2,1/(单次交易!$A$2:$A$201=B171),单次交易!$B$2:$B$201),""))</f>
        <v/>
      </c>
      <c r="D171" s="12"/>
      <c r="E171" s="10"/>
      <c r="F171" s="10"/>
      <c r="G171" s="2"/>
      <c r="H171" s="15"/>
      <c r="I171" s="10"/>
      <c r="J171" s="12"/>
      <c r="K171" s="2"/>
      <c r="L171" s="2"/>
      <c r="M171" s="2"/>
      <c r="N171" s="5" t="str">
        <f>IF(B171="","",IFERROR(LOOKUP(2,1/(单次交易!$A$2:$A$201=B171),单次交易!$N$2:$N$201),""))</f>
        <v/>
      </c>
      <c r="O171" s="5" t="str">
        <f t="shared" si="18"/>
        <v/>
      </c>
      <c r="P171" s="11" t="str">
        <f t="shared" si="19"/>
        <v/>
      </c>
      <c r="Q171" s="5" t="str">
        <f t="shared" si="20"/>
        <v/>
      </c>
      <c r="R171" s="10"/>
      <c r="S171" s="5" t="str">
        <f t="shared" si="21"/>
        <v/>
      </c>
      <c r="T171" s="5" t="str">
        <f t="shared" si="22"/>
        <v/>
      </c>
      <c r="U171" s="5" t="str">
        <f t="shared" si="23"/>
        <v/>
      </c>
      <c r="V171" s="7" t="str">
        <f t="shared" si="24"/>
        <v/>
      </c>
      <c r="W171" s="8" t="str">
        <f t="shared" si="25"/>
        <v/>
      </c>
      <c r="X171" s="2"/>
      <c r="Y171" s="10"/>
      <c r="Z171" s="11" t="str">
        <f>IF(X171&lt;&gt;"执行卖出","",IFERROR(LOOKUP(2,1/(单次交易!$A$2:$A$201=B171),单次交易!$AP$2:$AP$201),""))</f>
        <v/>
      </c>
      <c r="AA171" s="10"/>
      <c r="AB171" s="8" t="str">
        <f t="shared" si="26"/>
        <v/>
      </c>
      <c r="AC171" s="8" t="str">
        <f>IF(A171="","",IF(A171="止损计划",IF(OR(B171="",D171="",E171="",F171="",G171=""),"计划不完整",IF(OR(D171&lt;1,D171&lt;&gt;INT(D171)),"阶段序号无效",IF(COUNTIFS($A$2:$A$497,"止损计划",$B$2:$B$497,B171,$D$2:$D$497,D171)&gt;1,"阶段序号重复",IF(E171&lt;=IFERROR(LOOKUP(2,1/(单次交易!$A$2:$A$201=B171),单次交易!$E$2:$E$201),0),"激活价须高于买入价",IF(F171&lt;N171,"止损价不得低于初始止损",IF(F171&gt;E171,"止损价不得高于激活价",IF(AND(COUNTIFS($A$2:$A$497,"止损计划",$B$2:$B$497,B171,$D$2:$D$497,"&lt;"&amp;D171)&gt;0,OR(E171&lt;=SUMPRODUCT(MAX((($A$2:$A$497="止损计划")*($B$2:$B$497=B171)*($D$2:$D$497&lt;D171))*$E$2:$E$497)),F171&lt;SUMPRODUCT(MAX((($A$2:$A$497="止损计划")*($B$2:$B$497=B171)*($D$2:$D$497&lt;D171))*$F$2:$F$497)))),"阶段价格必须逐级提高","计划有效"))))))),IF(A171="每日跟踪",IF(OR(B171="",H171="",I171="",J171=""),"每日数据不完整",IF(COUNTIFS($A$2:$A$497,"每日跟踪",$B$2:$B$497,B171,$H$2:$H$497,H171)&gt;1,"同一交易日期重复",IF(AND(R171&lt;&gt;"",R171&lt;S171),"人工止损无效：不能下调","跟踪有效"))),"记录类型无效")))</f>
        <v/>
      </c>
    </row>
    <row r="172" ht="17" spans="1:29">
      <c r="A172" s="2"/>
      <c r="B172" s="2"/>
      <c r="C172" s="8" t="str">
        <f>IF(B172="","",IFERROR(LOOKUP(2,1/(单次交易!$A$2:$A$201=B172),单次交易!$B$2:$B$201),""))</f>
        <v/>
      </c>
      <c r="D172" s="12"/>
      <c r="E172" s="10"/>
      <c r="F172" s="10"/>
      <c r="G172" s="2"/>
      <c r="H172" s="15"/>
      <c r="I172" s="10"/>
      <c r="J172" s="12"/>
      <c r="K172" s="2"/>
      <c r="L172" s="2"/>
      <c r="M172" s="2"/>
      <c r="N172" s="5" t="str">
        <f>IF(B172="","",IFERROR(LOOKUP(2,1/(单次交易!$A$2:$A$201=B172),单次交易!$N$2:$N$201),""))</f>
        <v/>
      </c>
      <c r="O172" s="5" t="str">
        <f t="shared" si="18"/>
        <v/>
      </c>
      <c r="P172" s="11" t="str">
        <f t="shared" si="19"/>
        <v/>
      </c>
      <c r="Q172" s="5" t="str">
        <f t="shared" si="20"/>
        <v/>
      </c>
      <c r="R172" s="10"/>
      <c r="S172" s="5" t="str">
        <f t="shared" si="21"/>
        <v/>
      </c>
      <c r="T172" s="5" t="str">
        <f t="shared" si="22"/>
        <v/>
      </c>
      <c r="U172" s="5" t="str">
        <f t="shared" si="23"/>
        <v/>
      </c>
      <c r="V172" s="7" t="str">
        <f t="shared" si="24"/>
        <v/>
      </c>
      <c r="W172" s="8" t="str">
        <f t="shared" si="25"/>
        <v/>
      </c>
      <c r="X172" s="2"/>
      <c r="Y172" s="10"/>
      <c r="Z172" s="11" t="str">
        <f>IF(X172&lt;&gt;"执行卖出","",IFERROR(LOOKUP(2,1/(单次交易!$A$2:$A$201=B172),单次交易!$AP$2:$AP$201),""))</f>
        <v/>
      </c>
      <c r="AA172" s="10"/>
      <c r="AB172" s="8" t="str">
        <f t="shared" si="26"/>
        <v/>
      </c>
      <c r="AC172" s="8" t="str">
        <f>IF(A172="","",IF(A172="止损计划",IF(OR(B172="",D172="",E172="",F172="",G172=""),"计划不完整",IF(OR(D172&lt;1,D172&lt;&gt;INT(D172)),"阶段序号无效",IF(COUNTIFS($A$2:$A$497,"止损计划",$B$2:$B$497,B172,$D$2:$D$497,D172)&gt;1,"阶段序号重复",IF(E172&lt;=IFERROR(LOOKUP(2,1/(单次交易!$A$2:$A$201=B172),单次交易!$E$2:$E$201),0),"激活价须高于买入价",IF(F172&lt;N172,"止损价不得低于初始止损",IF(F172&gt;E172,"止损价不得高于激活价",IF(AND(COUNTIFS($A$2:$A$497,"止损计划",$B$2:$B$497,B172,$D$2:$D$497,"&lt;"&amp;D172)&gt;0,OR(E172&lt;=SUMPRODUCT(MAX((($A$2:$A$497="止损计划")*($B$2:$B$497=B172)*($D$2:$D$497&lt;D172))*$E$2:$E$497)),F172&lt;SUMPRODUCT(MAX((($A$2:$A$497="止损计划")*($B$2:$B$497=B172)*($D$2:$D$497&lt;D172))*$F$2:$F$497)))),"阶段价格必须逐级提高","计划有效"))))))),IF(A172="每日跟踪",IF(OR(B172="",H172="",I172="",J172=""),"每日数据不完整",IF(COUNTIFS($A$2:$A$497,"每日跟踪",$B$2:$B$497,B172,$H$2:$H$497,H172)&gt;1,"同一交易日期重复",IF(AND(R172&lt;&gt;"",R172&lt;S172),"人工止损无效：不能下调","跟踪有效"))),"记录类型无效")))</f>
        <v/>
      </c>
    </row>
    <row r="173" ht="17" spans="1:29">
      <c r="A173" s="2"/>
      <c r="B173" s="2"/>
      <c r="C173" s="8" t="str">
        <f>IF(B173="","",IFERROR(LOOKUP(2,1/(单次交易!$A$2:$A$201=B173),单次交易!$B$2:$B$201),""))</f>
        <v/>
      </c>
      <c r="D173" s="12"/>
      <c r="E173" s="10"/>
      <c r="F173" s="10"/>
      <c r="G173" s="2"/>
      <c r="H173" s="15"/>
      <c r="I173" s="10"/>
      <c r="J173" s="12"/>
      <c r="K173" s="2"/>
      <c r="L173" s="2"/>
      <c r="M173" s="2"/>
      <c r="N173" s="5" t="str">
        <f>IF(B173="","",IFERROR(LOOKUP(2,1/(单次交易!$A$2:$A$201=B173),单次交易!$N$2:$N$201),""))</f>
        <v/>
      </c>
      <c r="O173" s="5" t="str">
        <f t="shared" si="18"/>
        <v/>
      </c>
      <c r="P173" s="11" t="str">
        <f t="shared" si="19"/>
        <v/>
      </c>
      <c r="Q173" s="5" t="str">
        <f t="shared" si="20"/>
        <v/>
      </c>
      <c r="R173" s="10"/>
      <c r="S173" s="5" t="str">
        <f t="shared" si="21"/>
        <v/>
      </c>
      <c r="T173" s="5" t="str">
        <f t="shared" si="22"/>
        <v/>
      </c>
      <c r="U173" s="5" t="str">
        <f t="shared" si="23"/>
        <v/>
      </c>
      <c r="V173" s="7" t="str">
        <f t="shared" si="24"/>
        <v/>
      </c>
      <c r="W173" s="8" t="str">
        <f t="shared" si="25"/>
        <v/>
      </c>
      <c r="X173" s="2"/>
      <c r="Y173" s="10"/>
      <c r="Z173" s="11" t="str">
        <f>IF(X173&lt;&gt;"执行卖出","",IFERROR(LOOKUP(2,1/(单次交易!$A$2:$A$201=B173),单次交易!$AP$2:$AP$201),""))</f>
        <v/>
      </c>
      <c r="AA173" s="10"/>
      <c r="AB173" s="8" t="str">
        <f t="shared" si="26"/>
        <v/>
      </c>
      <c r="AC173" s="8" t="str">
        <f>IF(A173="","",IF(A173="止损计划",IF(OR(B173="",D173="",E173="",F173="",G173=""),"计划不完整",IF(OR(D173&lt;1,D173&lt;&gt;INT(D173)),"阶段序号无效",IF(COUNTIFS($A$2:$A$497,"止损计划",$B$2:$B$497,B173,$D$2:$D$497,D173)&gt;1,"阶段序号重复",IF(E173&lt;=IFERROR(LOOKUP(2,1/(单次交易!$A$2:$A$201=B173),单次交易!$E$2:$E$201),0),"激活价须高于买入价",IF(F173&lt;N173,"止损价不得低于初始止损",IF(F173&gt;E173,"止损价不得高于激活价",IF(AND(COUNTIFS($A$2:$A$497,"止损计划",$B$2:$B$497,B173,$D$2:$D$497,"&lt;"&amp;D173)&gt;0,OR(E173&lt;=SUMPRODUCT(MAX((($A$2:$A$497="止损计划")*($B$2:$B$497=B173)*($D$2:$D$497&lt;D173))*$E$2:$E$497)),F173&lt;SUMPRODUCT(MAX((($A$2:$A$497="止损计划")*($B$2:$B$497=B173)*($D$2:$D$497&lt;D173))*$F$2:$F$497)))),"阶段价格必须逐级提高","计划有效"))))))),IF(A173="每日跟踪",IF(OR(B173="",H173="",I173="",J173=""),"每日数据不完整",IF(COUNTIFS($A$2:$A$497,"每日跟踪",$B$2:$B$497,B173,$H$2:$H$497,H173)&gt;1,"同一交易日期重复",IF(AND(R173&lt;&gt;"",R173&lt;S173),"人工止损无效：不能下调","跟踪有效"))),"记录类型无效")))</f>
        <v/>
      </c>
    </row>
    <row r="174" ht="17" spans="1:29">
      <c r="A174" s="2"/>
      <c r="B174" s="2"/>
      <c r="C174" s="8" t="str">
        <f>IF(B174="","",IFERROR(LOOKUP(2,1/(单次交易!$A$2:$A$201=B174),单次交易!$B$2:$B$201),""))</f>
        <v/>
      </c>
      <c r="D174" s="12"/>
      <c r="E174" s="10"/>
      <c r="F174" s="10"/>
      <c r="G174" s="2"/>
      <c r="H174" s="15"/>
      <c r="I174" s="10"/>
      <c r="J174" s="12"/>
      <c r="K174" s="2"/>
      <c r="L174" s="2"/>
      <c r="M174" s="2"/>
      <c r="N174" s="5" t="str">
        <f>IF(B174="","",IFERROR(LOOKUP(2,1/(单次交易!$A$2:$A$201=B174),单次交易!$N$2:$N$201),""))</f>
        <v/>
      </c>
      <c r="O174" s="5" t="str">
        <f t="shared" si="18"/>
        <v/>
      </c>
      <c r="P174" s="11" t="str">
        <f t="shared" si="19"/>
        <v/>
      </c>
      <c r="Q174" s="5" t="str">
        <f t="shared" si="20"/>
        <v/>
      </c>
      <c r="R174" s="10"/>
      <c r="S174" s="5" t="str">
        <f t="shared" si="21"/>
        <v/>
      </c>
      <c r="T174" s="5" t="str">
        <f t="shared" si="22"/>
        <v/>
      </c>
      <c r="U174" s="5" t="str">
        <f t="shared" si="23"/>
        <v/>
      </c>
      <c r="V174" s="7" t="str">
        <f t="shared" si="24"/>
        <v/>
      </c>
      <c r="W174" s="8" t="str">
        <f t="shared" si="25"/>
        <v/>
      </c>
      <c r="X174" s="2"/>
      <c r="Y174" s="10"/>
      <c r="Z174" s="11" t="str">
        <f>IF(X174&lt;&gt;"执行卖出","",IFERROR(LOOKUP(2,1/(单次交易!$A$2:$A$201=B174),单次交易!$AP$2:$AP$201),""))</f>
        <v/>
      </c>
      <c r="AA174" s="10"/>
      <c r="AB174" s="8" t="str">
        <f t="shared" si="26"/>
        <v/>
      </c>
      <c r="AC174" s="8" t="str">
        <f>IF(A174="","",IF(A174="止损计划",IF(OR(B174="",D174="",E174="",F174="",G174=""),"计划不完整",IF(OR(D174&lt;1,D174&lt;&gt;INT(D174)),"阶段序号无效",IF(COUNTIFS($A$2:$A$497,"止损计划",$B$2:$B$497,B174,$D$2:$D$497,D174)&gt;1,"阶段序号重复",IF(E174&lt;=IFERROR(LOOKUP(2,1/(单次交易!$A$2:$A$201=B174),单次交易!$E$2:$E$201),0),"激活价须高于买入价",IF(F174&lt;N174,"止损价不得低于初始止损",IF(F174&gt;E174,"止损价不得高于激活价",IF(AND(COUNTIFS($A$2:$A$497,"止损计划",$B$2:$B$497,B174,$D$2:$D$497,"&lt;"&amp;D174)&gt;0,OR(E174&lt;=SUMPRODUCT(MAX((($A$2:$A$497="止损计划")*($B$2:$B$497=B174)*($D$2:$D$497&lt;D174))*$E$2:$E$497)),F174&lt;SUMPRODUCT(MAX((($A$2:$A$497="止损计划")*($B$2:$B$497=B174)*($D$2:$D$497&lt;D174))*$F$2:$F$497)))),"阶段价格必须逐级提高","计划有效"))))))),IF(A174="每日跟踪",IF(OR(B174="",H174="",I174="",J174=""),"每日数据不完整",IF(COUNTIFS($A$2:$A$497,"每日跟踪",$B$2:$B$497,B174,$H$2:$H$497,H174)&gt;1,"同一交易日期重复",IF(AND(R174&lt;&gt;"",R174&lt;S174),"人工止损无效：不能下调","跟踪有效"))),"记录类型无效")))</f>
        <v/>
      </c>
    </row>
    <row r="175" ht="17" spans="1:29">
      <c r="A175" s="2"/>
      <c r="B175" s="2"/>
      <c r="C175" s="8" t="str">
        <f>IF(B175="","",IFERROR(LOOKUP(2,1/(单次交易!$A$2:$A$201=B175),单次交易!$B$2:$B$201),""))</f>
        <v/>
      </c>
      <c r="D175" s="12"/>
      <c r="E175" s="10"/>
      <c r="F175" s="10"/>
      <c r="G175" s="2"/>
      <c r="H175" s="15"/>
      <c r="I175" s="10"/>
      <c r="J175" s="12"/>
      <c r="K175" s="2"/>
      <c r="L175" s="2"/>
      <c r="M175" s="2"/>
      <c r="N175" s="5" t="str">
        <f>IF(B175="","",IFERROR(LOOKUP(2,1/(单次交易!$A$2:$A$201=B175),单次交易!$N$2:$N$201),""))</f>
        <v/>
      </c>
      <c r="O175" s="5" t="str">
        <f t="shared" si="18"/>
        <v/>
      </c>
      <c r="P175" s="11" t="str">
        <f t="shared" si="19"/>
        <v/>
      </c>
      <c r="Q175" s="5" t="str">
        <f t="shared" si="20"/>
        <v/>
      </c>
      <c r="R175" s="10"/>
      <c r="S175" s="5" t="str">
        <f t="shared" si="21"/>
        <v/>
      </c>
      <c r="T175" s="5" t="str">
        <f t="shared" si="22"/>
        <v/>
      </c>
      <c r="U175" s="5" t="str">
        <f t="shared" si="23"/>
        <v/>
      </c>
      <c r="V175" s="7" t="str">
        <f t="shared" si="24"/>
        <v/>
      </c>
      <c r="W175" s="8" t="str">
        <f t="shared" si="25"/>
        <v/>
      </c>
      <c r="X175" s="2"/>
      <c r="Y175" s="10"/>
      <c r="Z175" s="11" t="str">
        <f>IF(X175&lt;&gt;"执行卖出","",IFERROR(LOOKUP(2,1/(单次交易!$A$2:$A$201=B175),单次交易!$AP$2:$AP$201),""))</f>
        <v/>
      </c>
      <c r="AA175" s="10"/>
      <c r="AB175" s="8" t="str">
        <f t="shared" si="26"/>
        <v/>
      </c>
      <c r="AC175" s="8" t="str">
        <f>IF(A175="","",IF(A175="止损计划",IF(OR(B175="",D175="",E175="",F175="",G175=""),"计划不完整",IF(OR(D175&lt;1,D175&lt;&gt;INT(D175)),"阶段序号无效",IF(COUNTIFS($A$2:$A$497,"止损计划",$B$2:$B$497,B175,$D$2:$D$497,D175)&gt;1,"阶段序号重复",IF(E175&lt;=IFERROR(LOOKUP(2,1/(单次交易!$A$2:$A$201=B175),单次交易!$E$2:$E$201),0),"激活价须高于买入价",IF(F175&lt;N175,"止损价不得低于初始止损",IF(F175&gt;E175,"止损价不得高于激活价",IF(AND(COUNTIFS($A$2:$A$497,"止损计划",$B$2:$B$497,B175,$D$2:$D$497,"&lt;"&amp;D175)&gt;0,OR(E175&lt;=SUMPRODUCT(MAX((($A$2:$A$497="止损计划")*($B$2:$B$497=B175)*($D$2:$D$497&lt;D175))*$E$2:$E$497)),F175&lt;SUMPRODUCT(MAX((($A$2:$A$497="止损计划")*($B$2:$B$497=B175)*($D$2:$D$497&lt;D175))*$F$2:$F$497)))),"阶段价格必须逐级提高","计划有效"))))))),IF(A175="每日跟踪",IF(OR(B175="",H175="",I175="",J175=""),"每日数据不完整",IF(COUNTIFS($A$2:$A$497,"每日跟踪",$B$2:$B$497,B175,$H$2:$H$497,H175)&gt;1,"同一交易日期重复",IF(AND(R175&lt;&gt;"",R175&lt;S175),"人工止损无效：不能下调","跟踪有效"))),"记录类型无效")))</f>
        <v/>
      </c>
    </row>
    <row r="176" ht="17" spans="1:29">
      <c r="A176" s="2"/>
      <c r="B176" s="2"/>
      <c r="C176" s="8" t="str">
        <f>IF(B176="","",IFERROR(LOOKUP(2,1/(单次交易!$A$2:$A$201=B176),单次交易!$B$2:$B$201),""))</f>
        <v/>
      </c>
      <c r="D176" s="12"/>
      <c r="E176" s="10"/>
      <c r="F176" s="10"/>
      <c r="G176" s="2"/>
      <c r="H176" s="15"/>
      <c r="I176" s="10"/>
      <c r="J176" s="12"/>
      <c r="K176" s="2"/>
      <c r="L176" s="2"/>
      <c r="M176" s="2"/>
      <c r="N176" s="5" t="str">
        <f>IF(B176="","",IFERROR(LOOKUP(2,1/(单次交易!$A$2:$A$201=B176),单次交易!$N$2:$N$201),""))</f>
        <v/>
      </c>
      <c r="O176" s="5" t="str">
        <f t="shared" si="18"/>
        <v/>
      </c>
      <c r="P176" s="11" t="str">
        <f t="shared" si="19"/>
        <v/>
      </c>
      <c r="Q176" s="5" t="str">
        <f t="shared" si="20"/>
        <v/>
      </c>
      <c r="R176" s="10"/>
      <c r="S176" s="5" t="str">
        <f t="shared" si="21"/>
        <v/>
      </c>
      <c r="T176" s="5" t="str">
        <f t="shared" si="22"/>
        <v/>
      </c>
      <c r="U176" s="5" t="str">
        <f t="shared" si="23"/>
        <v/>
      </c>
      <c r="V176" s="7" t="str">
        <f t="shared" si="24"/>
        <v/>
      </c>
      <c r="W176" s="8" t="str">
        <f t="shared" si="25"/>
        <v/>
      </c>
      <c r="X176" s="2"/>
      <c r="Y176" s="10"/>
      <c r="Z176" s="11" t="str">
        <f>IF(X176&lt;&gt;"执行卖出","",IFERROR(LOOKUP(2,1/(单次交易!$A$2:$A$201=B176),单次交易!$AP$2:$AP$201),""))</f>
        <v/>
      </c>
      <c r="AA176" s="10"/>
      <c r="AB176" s="8" t="str">
        <f t="shared" si="26"/>
        <v/>
      </c>
      <c r="AC176" s="8" t="str">
        <f>IF(A176="","",IF(A176="止损计划",IF(OR(B176="",D176="",E176="",F176="",G176=""),"计划不完整",IF(OR(D176&lt;1,D176&lt;&gt;INT(D176)),"阶段序号无效",IF(COUNTIFS($A$2:$A$497,"止损计划",$B$2:$B$497,B176,$D$2:$D$497,D176)&gt;1,"阶段序号重复",IF(E176&lt;=IFERROR(LOOKUP(2,1/(单次交易!$A$2:$A$201=B176),单次交易!$E$2:$E$201),0),"激活价须高于买入价",IF(F176&lt;N176,"止损价不得低于初始止损",IF(F176&gt;E176,"止损价不得高于激活价",IF(AND(COUNTIFS($A$2:$A$497,"止损计划",$B$2:$B$497,B176,$D$2:$D$497,"&lt;"&amp;D176)&gt;0,OR(E176&lt;=SUMPRODUCT(MAX((($A$2:$A$497="止损计划")*($B$2:$B$497=B176)*($D$2:$D$497&lt;D176))*$E$2:$E$497)),F176&lt;SUMPRODUCT(MAX((($A$2:$A$497="止损计划")*($B$2:$B$497=B176)*($D$2:$D$497&lt;D176))*$F$2:$F$497)))),"阶段价格必须逐级提高","计划有效"))))))),IF(A176="每日跟踪",IF(OR(B176="",H176="",I176="",J176=""),"每日数据不完整",IF(COUNTIFS($A$2:$A$497,"每日跟踪",$B$2:$B$497,B176,$H$2:$H$497,H176)&gt;1,"同一交易日期重复",IF(AND(R176&lt;&gt;"",R176&lt;S176),"人工止损无效：不能下调","跟踪有效"))),"记录类型无效")))</f>
        <v/>
      </c>
    </row>
    <row r="177" ht="17" spans="1:29">
      <c r="A177" s="2"/>
      <c r="B177" s="2"/>
      <c r="C177" s="8" t="str">
        <f>IF(B177="","",IFERROR(LOOKUP(2,1/(单次交易!$A$2:$A$201=B177),单次交易!$B$2:$B$201),""))</f>
        <v/>
      </c>
      <c r="D177" s="12"/>
      <c r="E177" s="10"/>
      <c r="F177" s="10"/>
      <c r="G177" s="2"/>
      <c r="H177" s="15"/>
      <c r="I177" s="10"/>
      <c r="J177" s="12"/>
      <c r="K177" s="2"/>
      <c r="L177" s="2"/>
      <c r="M177" s="2"/>
      <c r="N177" s="5" t="str">
        <f>IF(B177="","",IFERROR(LOOKUP(2,1/(单次交易!$A$2:$A$201=B177),单次交易!$N$2:$N$201),""))</f>
        <v/>
      </c>
      <c r="O177" s="5" t="str">
        <f t="shared" si="18"/>
        <v/>
      </c>
      <c r="P177" s="11" t="str">
        <f t="shared" si="19"/>
        <v/>
      </c>
      <c r="Q177" s="5" t="str">
        <f t="shared" si="20"/>
        <v/>
      </c>
      <c r="R177" s="10"/>
      <c r="S177" s="5" t="str">
        <f t="shared" si="21"/>
        <v/>
      </c>
      <c r="T177" s="5" t="str">
        <f t="shared" si="22"/>
        <v/>
      </c>
      <c r="U177" s="5" t="str">
        <f t="shared" si="23"/>
        <v/>
      </c>
      <c r="V177" s="7" t="str">
        <f t="shared" si="24"/>
        <v/>
      </c>
      <c r="W177" s="8" t="str">
        <f t="shared" si="25"/>
        <v/>
      </c>
      <c r="X177" s="2"/>
      <c r="Y177" s="10"/>
      <c r="Z177" s="11" t="str">
        <f>IF(X177&lt;&gt;"执行卖出","",IFERROR(LOOKUP(2,1/(单次交易!$A$2:$A$201=B177),单次交易!$AP$2:$AP$201),""))</f>
        <v/>
      </c>
      <c r="AA177" s="10"/>
      <c r="AB177" s="8" t="str">
        <f t="shared" si="26"/>
        <v/>
      </c>
      <c r="AC177" s="8" t="str">
        <f>IF(A177="","",IF(A177="止损计划",IF(OR(B177="",D177="",E177="",F177="",G177=""),"计划不完整",IF(OR(D177&lt;1,D177&lt;&gt;INT(D177)),"阶段序号无效",IF(COUNTIFS($A$2:$A$497,"止损计划",$B$2:$B$497,B177,$D$2:$D$497,D177)&gt;1,"阶段序号重复",IF(E177&lt;=IFERROR(LOOKUP(2,1/(单次交易!$A$2:$A$201=B177),单次交易!$E$2:$E$201),0),"激活价须高于买入价",IF(F177&lt;N177,"止损价不得低于初始止损",IF(F177&gt;E177,"止损价不得高于激活价",IF(AND(COUNTIFS($A$2:$A$497,"止损计划",$B$2:$B$497,B177,$D$2:$D$497,"&lt;"&amp;D177)&gt;0,OR(E177&lt;=SUMPRODUCT(MAX((($A$2:$A$497="止损计划")*($B$2:$B$497=B177)*($D$2:$D$497&lt;D177))*$E$2:$E$497)),F177&lt;SUMPRODUCT(MAX((($A$2:$A$497="止损计划")*($B$2:$B$497=B177)*($D$2:$D$497&lt;D177))*$F$2:$F$497)))),"阶段价格必须逐级提高","计划有效"))))))),IF(A177="每日跟踪",IF(OR(B177="",H177="",I177="",J177=""),"每日数据不完整",IF(COUNTIFS($A$2:$A$497,"每日跟踪",$B$2:$B$497,B177,$H$2:$H$497,H177)&gt;1,"同一交易日期重复",IF(AND(R177&lt;&gt;"",R177&lt;S177),"人工止损无效：不能下调","跟踪有效"))),"记录类型无效")))</f>
        <v/>
      </c>
    </row>
    <row r="178" ht="17" spans="1:29">
      <c r="A178" s="2"/>
      <c r="B178" s="2"/>
      <c r="C178" s="8" t="str">
        <f>IF(B178="","",IFERROR(LOOKUP(2,1/(单次交易!$A$2:$A$201=B178),单次交易!$B$2:$B$201),""))</f>
        <v/>
      </c>
      <c r="D178" s="12"/>
      <c r="E178" s="10"/>
      <c r="F178" s="10"/>
      <c r="G178" s="2"/>
      <c r="H178" s="15"/>
      <c r="I178" s="10"/>
      <c r="J178" s="12"/>
      <c r="K178" s="2"/>
      <c r="L178" s="2"/>
      <c r="M178" s="2"/>
      <c r="N178" s="5" t="str">
        <f>IF(B178="","",IFERROR(LOOKUP(2,1/(单次交易!$A$2:$A$201=B178),单次交易!$N$2:$N$201),""))</f>
        <v/>
      </c>
      <c r="O178" s="5" t="str">
        <f t="shared" si="18"/>
        <v/>
      </c>
      <c r="P178" s="11" t="str">
        <f t="shared" si="19"/>
        <v/>
      </c>
      <c r="Q178" s="5" t="str">
        <f t="shared" si="20"/>
        <v/>
      </c>
      <c r="R178" s="10"/>
      <c r="S178" s="5" t="str">
        <f t="shared" si="21"/>
        <v/>
      </c>
      <c r="T178" s="5" t="str">
        <f t="shared" si="22"/>
        <v/>
      </c>
      <c r="U178" s="5" t="str">
        <f t="shared" si="23"/>
        <v/>
      </c>
      <c r="V178" s="7" t="str">
        <f t="shared" si="24"/>
        <v/>
      </c>
      <c r="W178" s="8" t="str">
        <f t="shared" si="25"/>
        <v/>
      </c>
      <c r="X178" s="2"/>
      <c r="Y178" s="10"/>
      <c r="Z178" s="11" t="str">
        <f>IF(X178&lt;&gt;"执行卖出","",IFERROR(LOOKUP(2,1/(单次交易!$A$2:$A$201=B178),单次交易!$AP$2:$AP$201),""))</f>
        <v/>
      </c>
      <c r="AA178" s="10"/>
      <c r="AB178" s="8" t="str">
        <f t="shared" si="26"/>
        <v/>
      </c>
      <c r="AC178" s="8" t="str">
        <f>IF(A178="","",IF(A178="止损计划",IF(OR(B178="",D178="",E178="",F178="",G178=""),"计划不完整",IF(OR(D178&lt;1,D178&lt;&gt;INT(D178)),"阶段序号无效",IF(COUNTIFS($A$2:$A$497,"止损计划",$B$2:$B$497,B178,$D$2:$D$497,D178)&gt;1,"阶段序号重复",IF(E178&lt;=IFERROR(LOOKUP(2,1/(单次交易!$A$2:$A$201=B178),单次交易!$E$2:$E$201),0),"激活价须高于买入价",IF(F178&lt;N178,"止损价不得低于初始止损",IF(F178&gt;E178,"止损价不得高于激活价",IF(AND(COUNTIFS($A$2:$A$497,"止损计划",$B$2:$B$497,B178,$D$2:$D$497,"&lt;"&amp;D178)&gt;0,OR(E178&lt;=SUMPRODUCT(MAX((($A$2:$A$497="止损计划")*($B$2:$B$497=B178)*($D$2:$D$497&lt;D178))*$E$2:$E$497)),F178&lt;SUMPRODUCT(MAX((($A$2:$A$497="止损计划")*($B$2:$B$497=B178)*($D$2:$D$497&lt;D178))*$F$2:$F$497)))),"阶段价格必须逐级提高","计划有效"))))))),IF(A178="每日跟踪",IF(OR(B178="",H178="",I178="",J178=""),"每日数据不完整",IF(COUNTIFS($A$2:$A$497,"每日跟踪",$B$2:$B$497,B178,$H$2:$H$497,H178)&gt;1,"同一交易日期重复",IF(AND(R178&lt;&gt;"",R178&lt;S178),"人工止损无效：不能下调","跟踪有效"))),"记录类型无效")))</f>
        <v/>
      </c>
    </row>
    <row r="179" ht="17" spans="1:29">
      <c r="A179" s="2"/>
      <c r="B179" s="2"/>
      <c r="C179" s="8" t="str">
        <f>IF(B179="","",IFERROR(LOOKUP(2,1/(单次交易!$A$2:$A$201=B179),单次交易!$B$2:$B$201),""))</f>
        <v/>
      </c>
      <c r="D179" s="12"/>
      <c r="E179" s="10"/>
      <c r="F179" s="10"/>
      <c r="G179" s="2"/>
      <c r="H179" s="15"/>
      <c r="I179" s="10"/>
      <c r="J179" s="12"/>
      <c r="K179" s="2"/>
      <c r="L179" s="2"/>
      <c r="M179" s="2"/>
      <c r="N179" s="5" t="str">
        <f>IF(B179="","",IFERROR(LOOKUP(2,1/(单次交易!$A$2:$A$201=B179),单次交易!$N$2:$N$201),""))</f>
        <v/>
      </c>
      <c r="O179" s="5" t="str">
        <f t="shared" si="18"/>
        <v/>
      </c>
      <c r="P179" s="11" t="str">
        <f t="shared" si="19"/>
        <v/>
      </c>
      <c r="Q179" s="5" t="str">
        <f t="shared" si="20"/>
        <v/>
      </c>
      <c r="R179" s="10"/>
      <c r="S179" s="5" t="str">
        <f t="shared" si="21"/>
        <v/>
      </c>
      <c r="T179" s="5" t="str">
        <f t="shared" si="22"/>
        <v/>
      </c>
      <c r="U179" s="5" t="str">
        <f t="shared" si="23"/>
        <v/>
      </c>
      <c r="V179" s="7" t="str">
        <f t="shared" si="24"/>
        <v/>
      </c>
      <c r="W179" s="8" t="str">
        <f t="shared" si="25"/>
        <v/>
      </c>
      <c r="X179" s="2"/>
      <c r="Y179" s="10"/>
      <c r="Z179" s="11" t="str">
        <f>IF(X179&lt;&gt;"执行卖出","",IFERROR(LOOKUP(2,1/(单次交易!$A$2:$A$201=B179),单次交易!$AP$2:$AP$201),""))</f>
        <v/>
      </c>
      <c r="AA179" s="10"/>
      <c r="AB179" s="8" t="str">
        <f t="shared" si="26"/>
        <v/>
      </c>
      <c r="AC179" s="8" t="str">
        <f>IF(A179="","",IF(A179="止损计划",IF(OR(B179="",D179="",E179="",F179="",G179=""),"计划不完整",IF(OR(D179&lt;1,D179&lt;&gt;INT(D179)),"阶段序号无效",IF(COUNTIFS($A$2:$A$497,"止损计划",$B$2:$B$497,B179,$D$2:$D$497,D179)&gt;1,"阶段序号重复",IF(E179&lt;=IFERROR(LOOKUP(2,1/(单次交易!$A$2:$A$201=B179),单次交易!$E$2:$E$201),0),"激活价须高于买入价",IF(F179&lt;N179,"止损价不得低于初始止损",IF(F179&gt;E179,"止损价不得高于激活价",IF(AND(COUNTIFS($A$2:$A$497,"止损计划",$B$2:$B$497,B179,$D$2:$D$497,"&lt;"&amp;D179)&gt;0,OR(E179&lt;=SUMPRODUCT(MAX((($A$2:$A$497="止损计划")*($B$2:$B$497=B179)*($D$2:$D$497&lt;D179))*$E$2:$E$497)),F179&lt;SUMPRODUCT(MAX((($A$2:$A$497="止损计划")*($B$2:$B$497=B179)*($D$2:$D$497&lt;D179))*$F$2:$F$497)))),"阶段价格必须逐级提高","计划有效"))))))),IF(A179="每日跟踪",IF(OR(B179="",H179="",I179="",J179=""),"每日数据不完整",IF(COUNTIFS($A$2:$A$497,"每日跟踪",$B$2:$B$497,B179,$H$2:$H$497,H179)&gt;1,"同一交易日期重复",IF(AND(R179&lt;&gt;"",R179&lt;S179),"人工止损无效：不能下调","跟踪有效"))),"记录类型无效")))</f>
        <v/>
      </c>
    </row>
    <row r="180" ht="17" spans="1:29">
      <c r="A180" s="2"/>
      <c r="B180" s="2"/>
      <c r="C180" s="8" t="str">
        <f>IF(B180="","",IFERROR(LOOKUP(2,1/(单次交易!$A$2:$A$201=B180),单次交易!$B$2:$B$201),""))</f>
        <v/>
      </c>
      <c r="D180" s="12"/>
      <c r="E180" s="10"/>
      <c r="F180" s="10"/>
      <c r="G180" s="2"/>
      <c r="H180" s="15"/>
      <c r="I180" s="10"/>
      <c r="J180" s="12"/>
      <c r="K180" s="2"/>
      <c r="L180" s="2"/>
      <c r="M180" s="2"/>
      <c r="N180" s="5" t="str">
        <f>IF(B180="","",IFERROR(LOOKUP(2,1/(单次交易!$A$2:$A$201=B180),单次交易!$N$2:$N$201),""))</f>
        <v/>
      </c>
      <c r="O180" s="5" t="str">
        <f t="shared" si="18"/>
        <v/>
      </c>
      <c r="P180" s="11" t="str">
        <f t="shared" si="19"/>
        <v/>
      </c>
      <c r="Q180" s="5" t="str">
        <f t="shared" si="20"/>
        <v/>
      </c>
      <c r="R180" s="10"/>
      <c r="S180" s="5" t="str">
        <f t="shared" si="21"/>
        <v/>
      </c>
      <c r="T180" s="5" t="str">
        <f t="shared" si="22"/>
        <v/>
      </c>
      <c r="U180" s="5" t="str">
        <f t="shared" si="23"/>
        <v/>
      </c>
      <c r="V180" s="7" t="str">
        <f t="shared" si="24"/>
        <v/>
      </c>
      <c r="W180" s="8" t="str">
        <f t="shared" si="25"/>
        <v/>
      </c>
      <c r="X180" s="2"/>
      <c r="Y180" s="10"/>
      <c r="Z180" s="11" t="str">
        <f>IF(X180&lt;&gt;"执行卖出","",IFERROR(LOOKUP(2,1/(单次交易!$A$2:$A$201=B180),单次交易!$AP$2:$AP$201),""))</f>
        <v/>
      </c>
      <c r="AA180" s="10"/>
      <c r="AB180" s="8" t="str">
        <f t="shared" si="26"/>
        <v/>
      </c>
      <c r="AC180" s="8" t="str">
        <f>IF(A180="","",IF(A180="止损计划",IF(OR(B180="",D180="",E180="",F180="",G180=""),"计划不完整",IF(OR(D180&lt;1,D180&lt;&gt;INT(D180)),"阶段序号无效",IF(COUNTIFS($A$2:$A$497,"止损计划",$B$2:$B$497,B180,$D$2:$D$497,D180)&gt;1,"阶段序号重复",IF(E180&lt;=IFERROR(LOOKUP(2,1/(单次交易!$A$2:$A$201=B180),单次交易!$E$2:$E$201),0),"激活价须高于买入价",IF(F180&lt;N180,"止损价不得低于初始止损",IF(F180&gt;E180,"止损价不得高于激活价",IF(AND(COUNTIFS($A$2:$A$497,"止损计划",$B$2:$B$497,B180,$D$2:$D$497,"&lt;"&amp;D180)&gt;0,OR(E180&lt;=SUMPRODUCT(MAX((($A$2:$A$497="止损计划")*($B$2:$B$497=B180)*($D$2:$D$497&lt;D180))*$E$2:$E$497)),F180&lt;SUMPRODUCT(MAX((($A$2:$A$497="止损计划")*($B$2:$B$497=B180)*($D$2:$D$497&lt;D180))*$F$2:$F$497)))),"阶段价格必须逐级提高","计划有效"))))))),IF(A180="每日跟踪",IF(OR(B180="",H180="",I180="",J180=""),"每日数据不完整",IF(COUNTIFS($A$2:$A$497,"每日跟踪",$B$2:$B$497,B180,$H$2:$H$497,H180)&gt;1,"同一交易日期重复",IF(AND(R180&lt;&gt;"",R180&lt;S180),"人工止损无效：不能下调","跟踪有效"))),"记录类型无效")))</f>
        <v/>
      </c>
    </row>
    <row r="181" ht="17" spans="1:29">
      <c r="A181" s="2"/>
      <c r="B181" s="2"/>
      <c r="C181" s="8" t="str">
        <f>IF(B181="","",IFERROR(LOOKUP(2,1/(单次交易!$A$2:$A$201=B181),单次交易!$B$2:$B$201),""))</f>
        <v/>
      </c>
      <c r="D181" s="12"/>
      <c r="E181" s="10"/>
      <c r="F181" s="10"/>
      <c r="G181" s="2"/>
      <c r="H181" s="15"/>
      <c r="I181" s="10"/>
      <c r="J181" s="12"/>
      <c r="K181" s="2"/>
      <c r="L181" s="2"/>
      <c r="M181" s="2"/>
      <c r="N181" s="5" t="str">
        <f>IF(B181="","",IFERROR(LOOKUP(2,1/(单次交易!$A$2:$A$201=B181),单次交易!$N$2:$N$201),""))</f>
        <v/>
      </c>
      <c r="O181" s="5" t="str">
        <f t="shared" si="18"/>
        <v/>
      </c>
      <c r="P181" s="11" t="str">
        <f t="shared" si="19"/>
        <v/>
      </c>
      <c r="Q181" s="5" t="str">
        <f t="shared" si="20"/>
        <v/>
      </c>
      <c r="R181" s="10"/>
      <c r="S181" s="5" t="str">
        <f t="shared" si="21"/>
        <v/>
      </c>
      <c r="T181" s="5" t="str">
        <f t="shared" si="22"/>
        <v/>
      </c>
      <c r="U181" s="5" t="str">
        <f t="shared" si="23"/>
        <v/>
      </c>
      <c r="V181" s="7" t="str">
        <f t="shared" si="24"/>
        <v/>
      </c>
      <c r="W181" s="8" t="str">
        <f t="shared" si="25"/>
        <v/>
      </c>
      <c r="X181" s="2"/>
      <c r="Y181" s="10"/>
      <c r="Z181" s="11" t="str">
        <f>IF(X181&lt;&gt;"执行卖出","",IFERROR(LOOKUP(2,1/(单次交易!$A$2:$A$201=B181),单次交易!$AP$2:$AP$201),""))</f>
        <v/>
      </c>
      <c r="AA181" s="10"/>
      <c r="AB181" s="8" t="str">
        <f t="shared" si="26"/>
        <v/>
      </c>
      <c r="AC181" s="8" t="str">
        <f>IF(A181="","",IF(A181="止损计划",IF(OR(B181="",D181="",E181="",F181="",G181=""),"计划不完整",IF(OR(D181&lt;1,D181&lt;&gt;INT(D181)),"阶段序号无效",IF(COUNTIFS($A$2:$A$497,"止损计划",$B$2:$B$497,B181,$D$2:$D$497,D181)&gt;1,"阶段序号重复",IF(E181&lt;=IFERROR(LOOKUP(2,1/(单次交易!$A$2:$A$201=B181),单次交易!$E$2:$E$201),0),"激活价须高于买入价",IF(F181&lt;N181,"止损价不得低于初始止损",IF(F181&gt;E181,"止损价不得高于激活价",IF(AND(COUNTIFS($A$2:$A$497,"止损计划",$B$2:$B$497,B181,$D$2:$D$497,"&lt;"&amp;D181)&gt;0,OR(E181&lt;=SUMPRODUCT(MAX((($A$2:$A$497="止损计划")*($B$2:$B$497=B181)*($D$2:$D$497&lt;D181))*$E$2:$E$497)),F181&lt;SUMPRODUCT(MAX((($A$2:$A$497="止损计划")*($B$2:$B$497=B181)*($D$2:$D$497&lt;D181))*$F$2:$F$497)))),"阶段价格必须逐级提高","计划有效"))))))),IF(A181="每日跟踪",IF(OR(B181="",H181="",I181="",J181=""),"每日数据不完整",IF(COUNTIFS($A$2:$A$497,"每日跟踪",$B$2:$B$497,B181,$H$2:$H$497,H181)&gt;1,"同一交易日期重复",IF(AND(R181&lt;&gt;"",R181&lt;S181),"人工止损无效：不能下调","跟踪有效"))),"记录类型无效")))</f>
        <v/>
      </c>
    </row>
    <row r="182" ht="17" spans="1:29">
      <c r="A182" s="2"/>
      <c r="B182" s="2"/>
      <c r="C182" s="8" t="str">
        <f>IF(B182="","",IFERROR(LOOKUP(2,1/(单次交易!$A$2:$A$201=B182),单次交易!$B$2:$B$201),""))</f>
        <v/>
      </c>
      <c r="D182" s="12"/>
      <c r="E182" s="10"/>
      <c r="F182" s="10"/>
      <c r="G182" s="2"/>
      <c r="H182" s="15"/>
      <c r="I182" s="10"/>
      <c r="J182" s="12"/>
      <c r="K182" s="2"/>
      <c r="L182" s="2"/>
      <c r="M182" s="2"/>
      <c r="N182" s="5" t="str">
        <f>IF(B182="","",IFERROR(LOOKUP(2,1/(单次交易!$A$2:$A$201=B182),单次交易!$N$2:$N$201),""))</f>
        <v/>
      </c>
      <c r="O182" s="5" t="str">
        <f t="shared" si="18"/>
        <v/>
      </c>
      <c r="P182" s="11" t="str">
        <f t="shared" si="19"/>
        <v/>
      </c>
      <c r="Q182" s="5" t="str">
        <f t="shared" si="20"/>
        <v/>
      </c>
      <c r="R182" s="10"/>
      <c r="S182" s="5" t="str">
        <f t="shared" si="21"/>
        <v/>
      </c>
      <c r="T182" s="5" t="str">
        <f t="shared" si="22"/>
        <v/>
      </c>
      <c r="U182" s="5" t="str">
        <f t="shared" si="23"/>
        <v/>
      </c>
      <c r="V182" s="7" t="str">
        <f t="shared" si="24"/>
        <v/>
      </c>
      <c r="W182" s="8" t="str">
        <f t="shared" si="25"/>
        <v/>
      </c>
      <c r="X182" s="2"/>
      <c r="Y182" s="10"/>
      <c r="Z182" s="11" t="str">
        <f>IF(X182&lt;&gt;"执行卖出","",IFERROR(LOOKUP(2,1/(单次交易!$A$2:$A$201=B182),单次交易!$AP$2:$AP$201),""))</f>
        <v/>
      </c>
      <c r="AA182" s="10"/>
      <c r="AB182" s="8" t="str">
        <f t="shared" si="26"/>
        <v/>
      </c>
      <c r="AC182" s="8" t="str">
        <f>IF(A182="","",IF(A182="止损计划",IF(OR(B182="",D182="",E182="",F182="",G182=""),"计划不完整",IF(OR(D182&lt;1,D182&lt;&gt;INT(D182)),"阶段序号无效",IF(COUNTIFS($A$2:$A$497,"止损计划",$B$2:$B$497,B182,$D$2:$D$497,D182)&gt;1,"阶段序号重复",IF(E182&lt;=IFERROR(LOOKUP(2,1/(单次交易!$A$2:$A$201=B182),单次交易!$E$2:$E$201),0),"激活价须高于买入价",IF(F182&lt;N182,"止损价不得低于初始止损",IF(F182&gt;E182,"止损价不得高于激活价",IF(AND(COUNTIFS($A$2:$A$497,"止损计划",$B$2:$B$497,B182,$D$2:$D$497,"&lt;"&amp;D182)&gt;0,OR(E182&lt;=SUMPRODUCT(MAX((($A$2:$A$497="止损计划")*($B$2:$B$497=B182)*($D$2:$D$497&lt;D182))*$E$2:$E$497)),F182&lt;SUMPRODUCT(MAX((($A$2:$A$497="止损计划")*($B$2:$B$497=B182)*($D$2:$D$497&lt;D182))*$F$2:$F$497)))),"阶段价格必须逐级提高","计划有效"))))))),IF(A182="每日跟踪",IF(OR(B182="",H182="",I182="",J182=""),"每日数据不完整",IF(COUNTIFS($A$2:$A$497,"每日跟踪",$B$2:$B$497,B182,$H$2:$H$497,H182)&gt;1,"同一交易日期重复",IF(AND(R182&lt;&gt;"",R182&lt;S182),"人工止损无效：不能下调","跟踪有效"))),"记录类型无效")))</f>
        <v/>
      </c>
    </row>
    <row r="183" ht="17" spans="1:29">
      <c r="A183" s="2"/>
      <c r="B183" s="2"/>
      <c r="C183" s="8" t="str">
        <f>IF(B183="","",IFERROR(LOOKUP(2,1/(单次交易!$A$2:$A$201=B183),单次交易!$B$2:$B$201),""))</f>
        <v/>
      </c>
      <c r="D183" s="12"/>
      <c r="E183" s="10"/>
      <c r="F183" s="10"/>
      <c r="G183" s="2"/>
      <c r="H183" s="15"/>
      <c r="I183" s="10"/>
      <c r="J183" s="12"/>
      <c r="K183" s="2"/>
      <c r="L183" s="2"/>
      <c r="M183" s="2"/>
      <c r="N183" s="5" t="str">
        <f>IF(B183="","",IFERROR(LOOKUP(2,1/(单次交易!$A$2:$A$201=B183),单次交易!$N$2:$N$201),""))</f>
        <v/>
      </c>
      <c r="O183" s="5" t="str">
        <f t="shared" si="18"/>
        <v/>
      </c>
      <c r="P183" s="11" t="str">
        <f t="shared" si="19"/>
        <v/>
      </c>
      <c r="Q183" s="5" t="str">
        <f t="shared" si="20"/>
        <v/>
      </c>
      <c r="R183" s="10"/>
      <c r="S183" s="5" t="str">
        <f t="shared" si="21"/>
        <v/>
      </c>
      <c r="T183" s="5" t="str">
        <f t="shared" si="22"/>
        <v/>
      </c>
      <c r="U183" s="5" t="str">
        <f t="shared" si="23"/>
        <v/>
      </c>
      <c r="V183" s="7" t="str">
        <f t="shared" si="24"/>
        <v/>
      </c>
      <c r="W183" s="8" t="str">
        <f t="shared" si="25"/>
        <v/>
      </c>
      <c r="X183" s="2"/>
      <c r="Y183" s="10"/>
      <c r="Z183" s="11" t="str">
        <f>IF(X183&lt;&gt;"执行卖出","",IFERROR(LOOKUP(2,1/(单次交易!$A$2:$A$201=B183),单次交易!$AP$2:$AP$201),""))</f>
        <v/>
      </c>
      <c r="AA183" s="10"/>
      <c r="AB183" s="8" t="str">
        <f t="shared" si="26"/>
        <v/>
      </c>
      <c r="AC183" s="8" t="str">
        <f>IF(A183="","",IF(A183="止损计划",IF(OR(B183="",D183="",E183="",F183="",G183=""),"计划不完整",IF(OR(D183&lt;1,D183&lt;&gt;INT(D183)),"阶段序号无效",IF(COUNTIFS($A$2:$A$497,"止损计划",$B$2:$B$497,B183,$D$2:$D$497,D183)&gt;1,"阶段序号重复",IF(E183&lt;=IFERROR(LOOKUP(2,1/(单次交易!$A$2:$A$201=B183),单次交易!$E$2:$E$201),0),"激活价须高于买入价",IF(F183&lt;N183,"止损价不得低于初始止损",IF(F183&gt;E183,"止损价不得高于激活价",IF(AND(COUNTIFS($A$2:$A$497,"止损计划",$B$2:$B$497,B183,$D$2:$D$497,"&lt;"&amp;D183)&gt;0,OR(E183&lt;=SUMPRODUCT(MAX((($A$2:$A$497="止损计划")*($B$2:$B$497=B183)*($D$2:$D$497&lt;D183))*$E$2:$E$497)),F183&lt;SUMPRODUCT(MAX((($A$2:$A$497="止损计划")*($B$2:$B$497=B183)*($D$2:$D$497&lt;D183))*$F$2:$F$497)))),"阶段价格必须逐级提高","计划有效"))))))),IF(A183="每日跟踪",IF(OR(B183="",H183="",I183="",J183=""),"每日数据不完整",IF(COUNTIFS($A$2:$A$497,"每日跟踪",$B$2:$B$497,B183,$H$2:$H$497,H183)&gt;1,"同一交易日期重复",IF(AND(R183&lt;&gt;"",R183&lt;S183),"人工止损无效：不能下调","跟踪有效"))),"记录类型无效")))</f>
        <v/>
      </c>
    </row>
    <row r="184" ht="17" spans="1:29">
      <c r="A184" s="2"/>
      <c r="B184" s="2"/>
      <c r="C184" s="8" t="str">
        <f>IF(B184="","",IFERROR(LOOKUP(2,1/(单次交易!$A$2:$A$201=B184),单次交易!$B$2:$B$201),""))</f>
        <v/>
      </c>
      <c r="D184" s="12"/>
      <c r="E184" s="10"/>
      <c r="F184" s="10"/>
      <c r="G184" s="2"/>
      <c r="H184" s="15"/>
      <c r="I184" s="10"/>
      <c r="J184" s="12"/>
      <c r="K184" s="2"/>
      <c r="L184" s="2"/>
      <c r="M184" s="2"/>
      <c r="N184" s="5" t="str">
        <f>IF(B184="","",IFERROR(LOOKUP(2,1/(单次交易!$A$2:$A$201=B184),单次交易!$N$2:$N$201),""))</f>
        <v/>
      </c>
      <c r="O184" s="5" t="str">
        <f t="shared" si="18"/>
        <v/>
      </c>
      <c r="P184" s="11" t="str">
        <f t="shared" si="19"/>
        <v/>
      </c>
      <c r="Q184" s="5" t="str">
        <f t="shared" si="20"/>
        <v/>
      </c>
      <c r="R184" s="10"/>
      <c r="S184" s="5" t="str">
        <f t="shared" si="21"/>
        <v/>
      </c>
      <c r="T184" s="5" t="str">
        <f t="shared" si="22"/>
        <v/>
      </c>
      <c r="U184" s="5" t="str">
        <f t="shared" si="23"/>
        <v/>
      </c>
      <c r="V184" s="7" t="str">
        <f t="shared" si="24"/>
        <v/>
      </c>
      <c r="W184" s="8" t="str">
        <f t="shared" si="25"/>
        <v/>
      </c>
      <c r="X184" s="2"/>
      <c r="Y184" s="10"/>
      <c r="Z184" s="11" t="str">
        <f>IF(X184&lt;&gt;"执行卖出","",IFERROR(LOOKUP(2,1/(单次交易!$A$2:$A$201=B184),单次交易!$AP$2:$AP$201),""))</f>
        <v/>
      </c>
      <c r="AA184" s="10"/>
      <c r="AB184" s="8" t="str">
        <f t="shared" si="26"/>
        <v/>
      </c>
      <c r="AC184" s="8" t="str">
        <f>IF(A184="","",IF(A184="止损计划",IF(OR(B184="",D184="",E184="",F184="",G184=""),"计划不完整",IF(OR(D184&lt;1,D184&lt;&gt;INT(D184)),"阶段序号无效",IF(COUNTIFS($A$2:$A$497,"止损计划",$B$2:$B$497,B184,$D$2:$D$497,D184)&gt;1,"阶段序号重复",IF(E184&lt;=IFERROR(LOOKUP(2,1/(单次交易!$A$2:$A$201=B184),单次交易!$E$2:$E$201),0),"激活价须高于买入价",IF(F184&lt;N184,"止损价不得低于初始止损",IF(F184&gt;E184,"止损价不得高于激活价",IF(AND(COUNTIFS($A$2:$A$497,"止损计划",$B$2:$B$497,B184,$D$2:$D$497,"&lt;"&amp;D184)&gt;0,OR(E184&lt;=SUMPRODUCT(MAX((($A$2:$A$497="止损计划")*($B$2:$B$497=B184)*($D$2:$D$497&lt;D184))*$E$2:$E$497)),F184&lt;SUMPRODUCT(MAX((($A$2:$A$497="止损计划")*($B$2:$B$497=B184)*($D$2:$D$497&lt;D184))*$F$2:$F$497)))),"阶段价格必须逐级提高","计划有效"))))))),IF(A184="每日跟踪",IF(OR(B184="",H184="",I184="",J184=""),"每日数据不完整",IF(COUNTIFS($A$2:$A$497,"每日跟踪",$B$2:$B$497,B184,$H$2:$H$497,H184)&gt;1,"同一交易日期重复",IF(AND(R184&lt;&gt;"",R184&lt;S184),"人工止损无效：不能下调","跟踪有效"))),"记录类型无效")))</f>
        <v/>
      </c>
    </row>
    <row r="185" ht="17" spans="1:29">
      <c r="A185" s="2"/>
      <c r="B185" s="2"/>
      <c r="C185" s="8" t="str">
        <f>IF(B185="","",IFERROR(LOOKUP(2,1/(单次交易!$A$2:$A$201=B185),单次交易!$B$2:$B$201),""))</f>
        <v/>
      </c>
      <c r="D185" s="12"/>
      <c r="E185" s="10"/>
      <c r="F185" s="10"/>
      <c r="G185" s="2"/>
      <c r="H185" s="15"/>
      <c r="I185" s="10"/>
      <c r="J185" s="12"/>
      <c r="K185" s="2"/>
      <c r="L185" s="2"/>
      <c r="M185" s="2"/>
      <c r="N185" s="5" t="str">
        <f>IF(B185="","",IFERROR(LOOKUP(2,1/(单次交易!$A$2:$A$201=B185),单次交易!$N$2:$N$201),""))</f>
        <v/>
      </c>
      <c r="O185" s="5" t="str">
        <f t="shared" si="18"/>
        <v/>
      </c>
      <c r="P185" s="11" t="str">
        <f t="shared" si="19"/>
        <v/>
      </c>
      <c r="Q185" s="5" t="str">
        <f t="shared" si="20"/>
        <v/>
      </c>
      <c r="R185" s="10"/>
      <c r="S185" s="5" t="str">
        <f t="shared" si="21"/>
        <v/>
      </c>
      <c r="T185" s="5" t="str">
        <f t="shared" si="22"/>
        <v/>
      </c>
      <c r="U185" s="5" t="str">
        <f t="shared" si="23"/>
        <v/>
      </c>
      <c r="V185" s="7" t="str">
        <f t="shared" si="24"/>
        <v/>
      </c>
      <c r="W185" s="8" t="str">
        <f t="shared" si="25"/>
        <v/>
      </c>
      <c r="X185" s="2"/>
      <c r="Y185" s="10"/>
      <c r="Z185" s="11" t="str">
        <f>IF(X185&lt;&gt;"执行卖出","",IFERROR(LOOKUP(2,1/(单次交易!$A$2:$A$201=B185),单次交易!$AP$2:$AP$201),""))</f>
        <v/>
      </c>
      <c r="AA185" s="10"/>
      <c r="AB185" s="8" t="str">
        <f t="shared" si="26"/>
        <v/>
      </c>
      <c r="AC185" s="8" t="str">
        <f>IF(A185="","",IF(A185="止损计划",IF(OR(B185="",D185="",E185="",F185="",G185=""),"计划不完整",IF(OR(D185&lt;1,D185&lt;&gt;INT(D185)),"阶段序号无效",IF(COUNTIFS($A$2:$A$497,"止损计划",$B$2:$B$497,B185,$D$2:$D$497,D185)&gt;1,"阶段序号重复",IF(E185&lt;=IFERROR(LOOKUP(2,1/(单次交易!$A$2:$A$201=B185),单次交易!$E$2:$E$201),0),"激活价须高于买入价",IF(F185&lt;N185,"止损价不得低于初始止损",IF(F185&gt;E185,"止损价不得高于激活价",IF(AND(COUNTIFS($A$2:$A$497,"止损计划",$B$2:$B$497,B185,$D$2:$D$497,"&lt;"&amp;D185)&gt;0,OR(E185&lt;=SUMPRODUCT(MAX((($A$2:$A$497="止损计划")*($B$2:$B$497=B185)*($D$2:$D$497&lt;D185))*$E$2:$E$497)),F185&lt;SUMPRODUCT(MAX((($A$2:$A$497="止损计划")*($B$2:$B$497=B185)*($D$2:$D$497&lt;D185))*$F$2:$F$497)))),"阶段价格必须逐级提高","计划有效"))))))),IF(A185="每日跟踪",IF(OR(B185="",H185="",I185="",J185=""),"每日数据不完整",IF(COUNTIFS($A$2:$A$497,"每日跟踪",$B$2:$B$497,B185,$H$2:$H$497,H185)&gt;1,"同一交易日期重复",IF(AND(R185&lt;&gt;"",R185&lt;S185),"人工止损无效：不能下调","跟踪有效"))),"记录类型无效")))</f>
        <v/>
      </c>
    </row>
    <row r="186" ht="17" spans="1:29">
      <c r="A186" s="2"/>
      <c r="B186" s="2"/>
      <c r="C186" s="8" t="str">
        <f>IF(B186="","",IFERROR(LOOKUP(2,1/(单次交易!$A$2:$A$201=B186),单次交易!$B$2:$B$201),""))</f>
        <v/>
      </c>
      <c r="D186" s="12"/>
      <c r="E186" s="10"/>
      <c r="F186" s="10"/>
      <c r="G186" s="2"/>
      <c r="H186" s="15"/>
      <c r="I186" s="10"/>
      <c r="J186" s="12"/>
      <c r="K186" s="2"/>
      <c r="L186" s="2"/>
      <c r="M186" s="2"/>
      <c r="N186" s="5" t="str">
        <f>IF(B186="","",IFERROR(LOOKUP(2,1/(单次交易!$A$2:$A$201=B186),单次交易!$N$2:$N$201),""))</f>
        <v/>
      </c>
      <c r="O186" s="5" t="str">
        <f t="shared" si="18"/>
        <v/>
      </c>
      <c r="P186" s="11" t="str">
        <f t="shared" si="19"/>
        <v/>
      </c>
      <c r="Q186" s="5" t="str">
        <f t="shared" si="20"/>
        <v/>
      </c>
      <c r="R186" s="10"/>
      <c r="S186" s="5" t="str">
        <f t="shared" si="21"/>
        <v/>
      </c>
      <c r="T186" s="5" t="str">
        <f t="shared" si="22"/>
        <v/>
      </c>
      <c r="U186" s="5" t="str">
        <f t="shared" si="23"/>
        <v/>
      </c>
      <c r="V186" s="7" t="str">
        <f t="shared" si="24"/>
        <v/>
      </c>
      <c r="W186" s="8" t="str">
        <f t="shared" si="25"/>
        <v/>
      </c>
      <c r="X186" s="2"/>
      <c r="Y186" s="10"/>
      <c r="Z186" s="11" t="str">
        <f>IF(X186&lt;&gt;"执行卖出","",IFERROR(LOOKUP(2,1/(单次交易!$A$2:$A$201=B186),单次交易!$AP$2:$AP$201),""))</f>
        <v/>
      </c>
      <c r="AA186" s="10"/>
      <c r="AB186" s="8" t="str">
        <f t="shared" si="26"/>
        <v/>
      </c>
      <c r="AC186" s="8" t="str">
        <f>IF(A186="","",IF(A186="止损计划",IF(OR(B186="",D186="",E186="",F186="",G186=""),"计划不完整",IF(OR(D186&lt;1,D186&lt;&gt;INT(D186)),"阶段序号无效",IF(COUNTIFS($A$2:$A$497,"止损计划",$B$2:$B$497,B186,$D$2:$D$497,D186)&gt;1,"阶段序号重复",IF(E186&lt;=IFERROR(LOOKUP(2,1/(单次交易!$A$2:$A$201=B186),单次交易!$E$2:$E$201),0),"激活价须高于买入价",IF(F186&lt;N186,"止损价不得低于初始止损",IF(F186&gt;E186,"止损价不得高于激活价",IF(AND(COUNTIFS($A$2:$A$497,"止损计划",$B$2:$B$497,B186,$D$2:$D$497,"&lt;"&amp;D186)&gt;0,OR(E186&lt;=SUMPRODUCT(MAX((($A$2:$A$497="止损计划")*($B$2:$B$497=B186)*($D$2:$D$497&lt;D186))*$E$2:$E$497)),F186&lt;SUMPRODUCT(MAX((($A$2:$A$497="止损计划")*($B$2:$B$497=B186)*($D$2:$D$497&lt;D186))*$F$2:$F$497)))),"阶段价格必须逐级提高","计划有效"))))))),IF(A186="每日跟踪",IF(OR(B186="",H186="",I186="",J186=""),"每日数据不完整",IF(COUNTIFS($A$2:$A$497,"每日跟踪",$B$2:$B$497,B186,$H$2:$H$497,H186)&gt;1,"同一交易日期重复",IF(AND(R186&lt;&gt;"",R186&lt;S186),"人工止损无效：不能下调","跟踪有效"))),"记录类型无效")))</f>
        <v/>
      </c>
    </row>
    <row r="187" ht="17" spans="1:29">
      <c r="A187" s="2"/>
      <c r="B187" s="2"/>
      <c r="C187" s="8" t="str">
        <f>IF(B187="","",IFERROR(LOOKUP(2,1/(单次交易!$A$2:$A$201=B187),单次交易!$B$2:$B$201),""))</f>
        <v/>
      </c>
      <c r="D187" s="12"/>
      <c r="E187" s="10"/>
      <c r="F187" s="10"/>
      <c r="G187" s="2"/>
      <c r="H187" s="15"/>
      <c r="I187" s="10"/>
      <c r="J187" s="12"/>
      <c r="K187" s="2"/>
      <c r="L187" s="2"/>
      <c r="M187" s="2"/>
      <c r="N187" s="5" t="str">
        <f>IF(B187="","",IFERROR(LOOKUP(2,1/(单次交易!$A$2:$A$201=B187),单次交易!$N$2:$N$201),""))</f>
        <v/>
      </c>
      <c r="O187" s="5" t="str">
        <f t="shared" si="18"/>
        <v/>
      </c>
      <c r="P187" s="11" t="str">
        <f t="shared" si="19"/>
        <v/>
      </c>
      <c r="Q187" s="5" t="str">
        <f t="shared" si="20"/>
        <v/>
      </c>
      <c r="R187" s="10"/>
      <c r="S187" s="5" t="str">
        <f t="shared" si="21"/>
        <v/>
      </c>
      <c r="T187" s="5" t="str">
        <f t="shared" si="22"/>
        <v/>
      </c>
      <c r="U187" s="5" t="str">
        <f t="shared" si="23"/>
        <v/>
      </c>
      <c r="V187" s="7" t="str">
        <f t="shared" si="24"/>
        <v/>
      </c>
      <c r="W187" s="8" t="str">
        <f t="shared" si="25"/>
        <v/>
      </c>
      <c r="X187" s="2"/>
      <c r="Y187" s="10"/>
      <c r="Z187" s="11" t="str">
        <f>IF(X187&lt;&gt;"执行卖出","",IFERROR(LOOKUP(2,1/(单次交易!$A$2:$A$201=B187),单次交易!$AP$2:$AP$201),""))</f>
        <v/>
      </c>
      <c r="AA187" s="10"/>
      <c r="AB187" s="8" t="str">
        <f t="shared" si="26"/>
        <v/>
      </c>
      <c r="AC187" s="8" t="str">
        <f>IF(A187="","",IF(A187="止损计划",IF(OR(B187="",D187="",E187="",F187="",G187=""),"计划不完整",IF(OR(D187&lt;1,D187&lt;&gt;INT(D187)),"阶段序号无效",IF(COUNTIFS($A$2:$A$497,"止损计划",$B$2:$B$497,B187,$D$2:$D$497,D187)&gt;1,"阶段序号重复",IF(E187&lt;=IFERROR(LOOKUP(2,1/(单次交易!$A$2:$A$201=B187),单次交易!$E$2:$E$201),0),"激活价须高于买入价",IF(F187&lt;N187,"止损价不得低于初始止损",IF(F187&gt;E187,"止损价不得高于激活价",IF(AND(COUNTIFS($A$2:$A$497,"止损计划",$B$2:$B$497,B187,$D$2:$D$497,"&lt;"&amp;D187)&gt;0,OR(E187&lt;=SUMPRODUCT(MAX((($A$2:$A$497="止损计划")*($B$2:$B$497=B187)*($D$2:$D$497&lt;D187))*$E$2:$E$497)),F187&lt;SUMPRODUCT(MAX((($A$2:$A$497="止损计划")*($B$2:$B$497=B187)*($D$2:$D$497&lt;D187))*$F$2:$F$497)))),"阶段价格必须逐级提高","计划有效"))))))),IF(A187="每日跟踪",IF(OR(B187="",H187="",I187="",J187=""),"每日数据不完整",IF(COUNTIFS($A$2:$A$497,"每日跟踪",$B$2:$B$497,B187,$H$2:$H$497,H187)&gt;1,"同一交易日期重复",IF(AND(R187&lt;&gt;"",R187&lt;S187),"人工止损无效：不能下调","跟踪有效"))),"记录类型无效")))</f>
        <v/>
      </c>
    </row>
    <row r="188" ht="17" spans="1:29">
      <c r="A188" s="2"/>
      <c r="B188" s="2"/>
      <c r="C188" s="8" t="str">
        <f>IF(B188="","",IFERROR(LOOKUP(2,1/(单次交易!$A$2:$A$201=B188),单次交易!$B$2:$B$201),""))</f>
        <v/>
      </c>
      <c r="D188" s="12"/>
      <c r="E188" s="10"/>
      <c r="F188" s="10"/>
      <c r="G188" s="2"/>
      <c r="H188" s="15"/>
      <c r="I188" s="10"/>
      <c r="J188" s="12"/>
      <c r="K188" s="2"/>
      <c r="L188" s="2"/>
      <c r="M188" s="2"/>
      <c r="N188" s="5" t="str">
        <f>IF(B188="","",IFERROR(LOOKUP(2,1/(单次交易!$A$2:$A$201=B188),单次交易!$N$2:$N$201),""))</f>
        <v/>
      </c>
      <c r="O188" s="5" t="str">
        <f t="shared" si="18"/>
        <v/>
      </c>
      <c r="P188" s="11" t="str">
        <f t="shared" si="19"/>
        <v/>
      </c>
      <c r="Q188" s="5" t="str">
        <f t="shared" si="20"/>
        <v/>
      </c>
      <c r="R188" s="10"/>
      <c r="S188" s="5" t="str">
        <f t="shared" si="21"/>
        <v/>
      </c>
      <c r="T188" s="5" t="str">
        <f t="shared" si="22"/>
        <v/>
      </c>
      <c r="U188" s="5" t="str">
        <f t="shared" si="23"/>
        <v/>
      </c>
      <c r="V188" s="7" t="str">
        <f t="shared" si="24"/>
        <v/>
      </c>
      <c r="W188" s="8" t="str">
        <f t="shared" si="25"/>
        <v/>
      </c>
      <c r="X188" s="2"/>
      <c r="Y188" s="10"/>
      <c r="Z188" s="11" t="str">
        <f>IF(X188&lt;&gt;"执行卖出","",IFERROR(LOOKUP(2,1/(单次交易!$A$2:$A$201=B188),单次交易!$AP$2:$AP$201),""))</f>
        <v/>
      </c>
      <c r="AA188" s="10"/>
      <c r="AB188" s="8" t="str">
        <f t="shared" si="26"/>
        <v/>
      </c>
      <c r="AC188" s="8" t="str">
        <f>IF(A188="","",IF(A188="止损计划",IF(OR(B188="",D188="",E188="",F188="",G188=""),"计划不完整",IF(OR(D188&lt;1,D188&lt;&gt;INT(D188)),"阶段序号无效",IF(COUNTIFS($A$2:$A$497,"止损计划",$B$2:$B$497,B188,$D$2:$D$497,D188)&gt;1,"阶段序号重复",IF(E188&lt;=IFERROR(LOOKUP(2,1/(单次交易!$A$2:$A$201=B188),单次交易!$E$2:$E$201),0),"激活价须高于买入价",IF(F188&lt;N188,"止损价不得低于初始止损",IF(F188&gt;E188,"止损价不得高于激活价",IF(AND(COUNTIFS($A$2:$A$497,"止损计划",$B$2:$B$497,B188,$D$2:$D$497,"&lt;"&amp;D188)&gt;0,OR(E188&lt;=SUMPRODUCT(MAX((($A$2:$A$497="止损计划")*($B$2:$B$497=B188)*($D$2:$D$497&lt;D188))*$E$2:$E$497)),F188&lt;SUMPRODUCT(MAX((($A$2:$A$497="止损计划")*($B$2:$B$497=B188)*($D$2:$D$497&lt;D188))*$F$2:$F$497)))),"阶段价格必须逐级提高","计划有效"))))))),IF(A188="每日跟踪",IF(OR(B188="",H188="",I188="",J188=""),"每日数据不完整",IF(COUNTIFS($A$2:$A$497,"每日跟踪",$B$2:$B$497,B188,$H$2:$H$497,H188)&gt;1,"同一交易日期重复",IF(AND(R188&lt;&gt;"",R188&lt;S188),"人工止损无效：不能下调","跟踪有效"))),"记录类型无效")))</f>
        <v/>
      </c>
    </row>
    <row r="189" ht="17" spans="1:29">
      <c r="A189" s="2"/>
      <c r="B189" s="2"/>
      <c r="C189" s="8" t="str">
        <f>IF(B189="","",IFERROR(LOOKUP(2,1/(单次交易!$A$2:$A$201=B189),单次交易!$B$2:$B$201),""))</f>
        <v/>
      </c>
      <c r="D189" s="12"/>
      <c r="E189" s="10"/>
      <c r="F189" s="10"/>
      <c r="G189" s="2"/>
      <c r="H189" s="15"/>
      <c r="I189" s="10"/>
      <c r="J189" s="12"/>
      <c r="K189" s="2"/>
      <c r="L189" s="2"/>
      <c r="M189" s="2"/>
      <c r="N189" s="5" t="str">
        <f>IF(B189="","",IFERROR(LOOKUP(2,1/(单次交易!$A$2:$A$201=B189),单次交易!$N$2:$N$201),""))</f>
        <v/>
      </c>
      <c r="O189" s="5" t="str">
        <f t="shared" si="18"/>
        <v/>
      </c>
      <c r="P189" s="11" t="str">
        <f t="shared" si="19"/>
        <v/>
      </c>
      <c r="Q189" s="5" t="str">
        <f t="shared" si="20"/>
        <v/>
      </c>
      <c r="R189" s="10"/>
      <c r="S189" s="5" t="str">
        <f t="shared" si="21"/>
        <v/>
      </c>
      <c r="T189" s="5" t="str">
        <f t="shared" si="22"/>
        <v/>
      </c>
      <c r="U189" s="5" t="str">
        <f t="shared" si="23"/>
        <v/>
      </c>
      <c r="V189" s="7" t="str">
        <f t="shared" si="24"/>
        <v/>
      </c>
      <c r="W189" s="8" t="str">
        <f t="shared" si="25"/>
        <v/>
      </c>
      <c r="X189" s="2"/>
      <c r="Y189" s="10"/>
      <c r="Z189" s="11" t="str">
        <f>IF(X189&lt;&gt;"执行卖出","",IFERROR(LOOKUP(2,1/(单次交易!$A$2:$A$201=B189),单次交易!$AP$2:$AP$201),""))</f>
        <v/>
      </c>
      <c r="AA189" s="10"/>
      <c r="AB189" s="8" t="str">
        <f t="shared" si="26"/>
        <v/>
      </c>
      <c r="AC189" s="8" t="str">
        <f>IF(A189="","",IF(A189="止损计划",IF(OR(B189="",D189="",E189="",F189="",G189=""),"计划不完整",IF(OR(D189&lt;1,D189&lt;&gt;INT(D189)),"阶段序号无效",IF(COUNTIFS($A$2:$A$497,"止损计划",$B$2:$B$497,B189,$D$2:$D$497,D189)&gt;1,"阶段序号重复",IF(E189&lt;=IFERROR(LOOKUP(2,1/(单次交易!$A$2:$A$201=B189),单次交易!$E$2:$E$201),0),"激活价须高于买入价",IF(F189&lt;N189,"止损价不得低于初始止损",IF(F189&gt;E189,"止损价不得高于激活价",IF(AND(COUNTIFS($A$2:$A$497,"止损计划",$B$2:$B$497,B189,$D$2:$D$497,"&lt;"&amp;D189)&gt;0,OR(E189&lt;=SUMPRODUCT(MAX((($A$2:$A$497="止损计划")*($B$2:$B$497=B189)*($D$2:$D$497&lt;D189))*$E$2:$E$497)),F189&lt;SUMPRODUCT(MAX((($A$2:$A$497="止损计划")*($B$2:$B$497=B189)*($D$2:$D$497&lt;D189))*$F$2:$F$497)))),"阶段价格必须逐级提高","计划有效"))))))),IF(A189="每日跟踪",IF(OR(B189="",H189="",I189="",J189=""),"每日数据不完整",IF(COUNTIFS($A$2:$A$497,"每日跟踪",$B$2:$B$497,B189,$H$2:$H$497,H189)&gt;1,"同一交易日期重复",IF(AND(R189&lt;&gt;"",R189&lt;S189),"人工止损无效：不能下调","跟踪有效"))),"记录类型无效")))</f>
        <v/>
      </c>
    </row>
    <row r="190" ht="17" spans="1:29">
      <c r="A190" s="2"/>
      <c r="B190" s="2"/>
      <c r="C190" s="8" t="str">
        <f>IF(B190="","",IFERROR(LOOKUP(2,1/(单次交易!$A$2:$A$201=B190),单次交易!$B$2:$B$201),""))</f>
        <v/>
      </c>
      <c r="D190" s="12"/>
      <c r="E190" s="10"/>
      <c r="F190" s="10"/>
      <c r="G190" s="2"/>
      <c r="H190" s="15"/>
      <c r="I190" s="10"/>
      <c r="J190" s="12"/>
      <c r="K190" s="2"/>
      <c r="L190" s="2"/>
      <c r="M190" s="2"/>
      <c r="N190" s="5" t="str">
        <f>IF(B190="","",IFERROR(LOOKUP(2,1/(单次交易!$A$2:$A$201=B190),单次交易!$N$2:$N$201),""))</f>
        <v/>
      </c>
      <c r="O190" s="5" t="str">
        <f t="shared" si="18"/>
        <v/>
      </c>
      <c r="P190" s="11" t="str">
        <f t="shared" si="19"/>
        <v/>
      </c>
      <c r="Q190" s="5" t="str">
        <f t="shared" si="20"/>
        <v/>
      </c>
      <c r="R190" s="10"/>
      <c r="S190" s="5" t="str">
        <f t="shared" si="21"/>
        <v/>
      </c>
      <c r="T190" s="5" t="str">
        <f t="shared" si="22"/>
        <v/>
      </c>
      <c r="U190" s="5" t="str">
        <f t="shared" si="23"/>
        <v/>
      </c>
      <c r="V190" s="7" t="str">
        <f t="shared" si="24"/>
        <v/>
      </c>
      <c r="W190" s="8" t="str">
        <f t="shared" si="25"/>
        <v/>
      </c>
      <c r="X190" s="2"/>
      <c r="Y190" s="10"/>
      <c r="Z190" s="11" t="str">
        <f>IF(X190&lt;&gt;"执行卖出","",IFERROR(LOOKUP(2,1/(单次交易!$A$2:$A$201=B190),单次交易!$AP$2:$AP$201),""))</f>
        <v/>
      </c>
      <c r="AA190" s="10"/>
      <c r="AB190" s="8" t="str">
        <f t="shared" si="26"/>
        <v/>
      </c>
      <c r="AC190" s="8" t="str">
        <f>IF(A190="","",IF(A190="止损计划",IF(OR(B190="",D190="",E190="",F190="",G190=""),"计划不完整",IF(OR(D190&lt;1,D190&lt;&gt;INT(D190)),"阶段序号无效",IF(COUNTIFS($A$2:$A$497,"止损计划",$B$2:$B$497,B190,$D$2:$D$497,D190)&gt;1,"阶段序号重复",IF(E190&lt;=IFERROR(LOOKUP(2,1/(单次交易!$A$2:$A$201=B190),单次交易!$E$2:$E$201),0),"激活价须高于买入价",IF(F190&lt;N190,"止损价不得低于初始止损",IF(F190&gt;E190,"止损价不得高于激活价",IF(AND(COUNTIFS($A$2:$A$497,"止损计划",$B$2:$B$497,B190,$D$2:$D$497,"&lt;"&amp;D190)&gt;0,OR(E190&lt;=SUMPRODUCT(MAX((($A$2:$A$497="止损计划")*($B$2:$B$497=B190)*($D$2:$D$497&lt;D190))*$E$2:$E$497)),F190&lt;SUMPRODUCT(MAX((($A$2:$A$497="止损计划")*($B$2:$B$497=B190)*($D$2:$D$497&lt;D190))*$F$2:$F$497)))),"阶段价格必须逐级提高","计划有效"))))))),IF(A190="每日跟踪",IF(OR(B190="",H190="",I190="",J190=""),"每日数据不完整",IF(COUNTIFS($A$2:$A$497,"每日跟踪",$B$2:$B$497,B190,$H$2:$H$497,H190)&gt;1,"同一交易日期重复",IF(AND(R190&lt;&gt;"",R190&lt;S190),"人工止损无效：不能下调","跟踪有效"))),"记录类型无效")))</f>
        <v/>
      </c>
    </row>
    <row r="191" ht="17" spans="1:29">
      <c r="A191" s="2"/>
      <c r="B191" s="2"/>
      <c r="C191" s="8" t="str">
        <f>IF(B191="","",IFERROR(LOOKUP(2,1/(单次交易!$A$2:$A$201=B191),单次交易!$B$2:$B$201),""))</f>
        <v/>
      </c>
      <c r="D191" s="12"/>
      <c r="E191" s="10"/>
      <c r="F191" s="10"/>
      <c r="G191" s="2"/>
      <c r="H191" s="15"/>
      <c r="I191" s="10"/>
      <c r="J191" s="12"/>
      <c r="K191" s="2"/>
      <c r="L191" s="2"/>
      <c r="M191" s="2"/>
      <c r="N191" s="5" t="str">
        <f>IF(B191="","",IFERROR(LOOKUP(2,1/(单次交易!$A$2:$A$201=B191),单次交易!$N$2:$N$201),""))</f>
        <v/>
      </c>
      <c r="O191" s="5" t="str">
        <f t="shared" si="18"/>
        <v/>
      </c>
      <c r="P191" s="11" t="str">
        <f t="shared" si="19"/>
        <v/>
      </c>
      <c r="Q191" s="5" t="str">
        <f t="shared" si="20"/>
        <v/>
      </c>
      <c r="R191" s="10"/>
      <c r="S191" s="5" t="str">
        <f t="shared" si="21"/>
        <v/>
      </c>
      <c r="T191" s="5" t="str">
        <f t="shared" si="22"/>
        <v/>
      </c>
      <c r="U191" s="5" t="str">
        <f t="shared" si="23"/>
        <v/>
      </c>
      <c r="V191" s="7" t="str">
        <f t="shared" si="24"/>
        <v/>
      </c>
      <c r="W191" s="8" t="str">
        <f t="shared" si="25"/>
        <v/>
      </c>
      <c r="X191" s="2"/>
      <c r="Y191" s="10"/>
      <c r="Z191" s="11" t="str">
        <f>IF(X191&lt;&gt;"执行卖出","",IFERROR(LOOKUP(2,1/(单次交易!$A$2:$A$201=B191),单次交易!$AP$2:$AP$201),""))</f>
        <v/>
      </c>
      <c r="AA191" s="10"/>
      <c r="AB191" s="8" t="str">
        <f t="shared" si="26"/>
        <v/>
      </c>
      <c r="AC191" s="8" t="str">
        <f>IF(A191="","",IF(A191="止损计划",IF(OR(B191="",D191="",E191="",F191="",G191=""),"计划不完整",IF(OR(D191&lt;1,D191&lt;&gt;INT(D191)),"阶段序号无效",IF(COUNTIFS($A$2:$A$497,"止损计划",$B$2:$B$497,B191,$D$2:$D$497,D191)&gt;1,"阶段序号重复",IF(E191&lt;=IFERROR(LOOKUP(2,1/(单次交易!$A$2:$A$201=B191),单次交易!$E$2:$E$201),0),"激活价须高于买入价",IF(F191&lt;N191,"止损价不得低于初始止损",IF(F191&gt;E191,"止损价不得高于激活价",IF(AND(COUNTIFS($A$2:$A$497,"止损计划",$B$2:$B$497,B191,$D$2:$D$497,"&lt;"&amp;D191)&gt;0,OR(E191&lt;=SUMPRODUCT(MAX((($A$2:$A$497="止损计划")*($B$2:$B$497=B191)*($D$2:$D$497&lt;D191))*$E$2:$E$497)),F191&lt;SUMPRODUCT(MAX((($A$2:$A$497="止损计划")*($B$2:$B$497=B191)*($D$2:$D$497&lt;D191))*$F$2:$F$497)))),"阶段价格必须逐级提高","计划有效"))))))),IF(A191="每日跟踪",IF(OR(B191="",H191="",I191="",J191=""),"每日数据不完整",IF(COUNTIFS($A$2:$A$497,"每日跟踪",$B$2:$B$497,B191,$H$2:$H$497,H191)&gt;1,"同一交易日期重复",IF(AND(R191&lt;&gt;"",R191&lt;S191),"人工止损无效：不能下调","跟踪有效"))),"记录类型无效")))</f>
        <v/>
      </c>
    </row>
    <row r="192" ht="17" spans="1:29">
      <c r="A192" s="2"/>
      <c r="B192" s="2"/>
      <c r="C192" s="8" t="str">
        <f>IF(B192="","",IFERROR(LOOKUP(2,1/(单次交易!$A$2:$A$201=B192),单次交易!$B$2:$B$201),""))</f>
        <v/>
      </c>
      <c r="D192" s="12"/>
      <c r="E192" s="10"/>
      <c r="F192" s="10"/>
      <c r="G192" s="2"/>
      <c r="H192" s="15"/>
      <c r="I192" s="10"/>
      <c r="J192" s="12"/>
      <c r="K192" s="2"/>
      <c r="L192" s="2"/>
      <c r="M192" s="2"/>
      <c r="N192" s="5" t="str">
        <f>IF(B192="","",IFERROR(LOOKUP(2,1/(单次交易!$A$2:$A$201=B192),单次交易!$N$2:$N$201),""))</f>
        <v/>
      </c>
      <c r="O192" s="5" t="str">
        <f t="shared" si="18"/>
        <v/>
      </c>
      <c r="P192" s="11" t="str">
        <f t="shared" si="19"/>
        <v/>
      </c>
      <c r="Q192" s="5" t="str">
        <f t="shared" si="20"/>
        <v/>
      </c>
      <c r="R192" s="10"/>
      <c r="S192" s="5" t="str">
        <f t="shared" si="21"/>
        <v/>
      </c>
      <c r="T192" s="5" t="str">
        <f t="shared" si="22"/>
        <v/>
      </c>
      <c r="U192" s="5" t="str">
        <f t="shared" si="23"/>
        <v/>
      </c>
      <c r="V192" s="7" t="str">
        <f t="shared" si="24"/>
        <v/>
      </c>
      <c r="W192" s="8" t="str">
        <f t="shared" si="25"/>
        <v/>
      </c>
      <c r="X192" s="2"/>
      <c r="Y192" s="10"/>
      <c r="Z192" s="11" t="str">
        <f>IF(X192&lt;&gt;"执行卖出","",IFERROR(LOOKUP(2,1/(单次交易!$A$2:$A$201=B192),单次交易!$AP$2:$AP$201),""))</f>
        <v/>
      </c>
      <c r="AA192" s="10"/>
      <c r="AB192" s="8" t="str">
        <f t="shared" si="26"/>
        <v/>
      </c>
      <c r="AC192" s="8" t="str">
        <f>IF(A192="","",IF(A192="止损计划",IF(OR(B192="",D192="",E192="",F192="",G192=""),"计划不完整",IF(OR(D192&lt;1,D192&lt;&gt;INT(D192)),"阶段序号无效",IF(COUNTIFS($A$2:$A$497,"止损计划",$B$2:$B$497,B192,$D$2:$D$497,D192)&gt;1,"阶段序号重复",IF(E192&lt;=IFERROR(LOOKUP(2,1/(单次交易!$A$2:$A$201=B192),单次交易!$E$2:$E$201),0),"激活价须高于买入价",IF(F192&lt;N192,"止损价不得低于初始止损",IF(F192&gt;E192,"止损价不得高于激活价",IF(AND(COUNTIFS($A$2:$A$497,"止损计划",$B$2:$B$497,B192,$D$2:$D$497,"&lt;"&amp;D192)&gt;0,OR(E192&lt;=SUMPRODUCT(MAX((($A$2:$A$497="止损计划")*($B$2:$B$497=B192)*($D$2:$D$497&lt;D192))*$E$2:$E$497)),F192&lt;SUMPRODUCT(MAX((($A$2:$A$497="止损计划")*($B$2:$B$497=B192)*($D$2:$D$497&lt;D192))*$F$2:$F$497)))),"阶段价格必须逐级提高","计划有效"))))))),IF(A192="每日跟踪",IF(OR(B192="",H192="",I192="",J192=""),"每日数据不完整",IF(COUNTIFS($A$2:$A$497,"每日跟踪",$B$2:$B$497,B192,$H$2:$H$497,H192)&gt;1,"同一交易日期重复",IF(AND(R192&lt;&gt;"",R192&lt;S192),"人工止损无效：不能下调","跟踪有效"))),"记录类型无效")))</f>
        <v/>
      </c>
    </row>
    <row r="193" ht="17" spans="1:29">
      <c r="A193" s="2"/>
      <c r="B193" s="2"/>
      <c r="C193" s="8" t="str">
        <f>IF(B193="","",IFERROR(LOOKUP(2,1/(单次交易!$A$2:$A$201=B193),单次交易!$B$2:$B$201),""))</f>
        <v/>
      </c>
      <c r="D193" s="12"/>
      <c r="E193" s="10"/>
      <c r="F193" s="10"/>
      <c r="G193" s="2"/>
      <c r="H193" s="15"/>
      <c r="I193" s="10"/>
      <c r="J193" s="12"/>
      <c r="K193" s="2"/>
      <c r="L193" s="2"/>
      <c r="M193" s="2"/>
      <c r="N193" s="5" t="str">
        <f>IF(B193="","",IFERROR(LOOKUP(2,1/(单次交易!$A$2:$A$201=B193),单次交易!$N$2:$N$201),""))</f>
        <v/>
      </c>
      <c r="O193" s="5" t="str">
        <f t="shared" si="18"/>
        <v/>
      </c>
      <c r="P193" s="11" t="str">
        <f t="shared" si="19"/>
        <v/>
      </c>
      <c r="Q193" s="5" t="str">
        <f t="shared" si="20"/>
        <v/>
      </c>
      <c r="R193" s="10"/>
      <c r="S193" s="5" t="str">
        <f t="shared" si="21"/>
        <v/>
      </c>
      <c r="T193" s="5" t="str">
        <f t="shared" si="22"/>
        <v/>
      </c>
      <c r="U193" s="5" t="str">
        <f t="shared" si="23"/>
        <v/>
      </c>
      <c r="V193" s="7" t="str">
        <f t="shared" si="24"/>
        <v/>
      </c>
      <c r="W193" s="8" t="str">
        <f t="shared" si="25"/>
        <v/>
      </c>
      <c r="X193" s="2"/>
      <c r="Y193" s="10"/>
      <c r="Z193" s="11" t="str">
        <f>IF(X193&lt;&gt;"执行卖出","",IFERROR(LOOKUP(2,1/(单次交易!$A$2:$A$201=B193),单次交易!$AP$2:$AP$201),""))</f>
        <v/>
      </c>
      <c r="AA193" s="10"/>
      <c r="AB193" s="8" t="str">
        <f t="shared" si="26"/>
        <v/>
      </c>
      <c r="AC193" s="8" t="str">
        <f>IF(A193="","",IF(A193="止损计划",IF(OR(B193="",D193="",E193="",F193="",G193=""),"计划不完整",IF(OR(D193&lt;1,D193&lt;&gt;INT(D193)),"阶段序号无效",IF(COUNTIFS($A$2:$A$497,"止损计划",$B$2:$B$497,B193,$D$2:$D$497,D193)&gt;1,"阶段序号重复",IF(E193&lt;=IFERROR(LOOKUP(2,1/(单次交易!$A$2:$A$201=B193),单次交易!$E$2:$E$201),0),"激活价须高于买入价",IF(F193&lt;N193,"止损价不得低于初始止损",IF(F193&gt;E193,"止损价不得高于激活价",IF(AND(COUNTIFS($A$2:$A$497,"止损计划",$B$2:$B$497,B193,$D$2:$D$497,"&lt;"&amp;D193)&gt;0,OR(E193&lt;=SUMPRODUCT(MAX((($A$2:$A$497="止损计划")*($B$2:$B$497=B193)*($D$2:$D$497&lt;D193))*$E$2:$E$497)),F193&lt;SUMPRODUCT(MAX((($A$2:$A$497="止损计划")*($B$2:$B$497=B193)*($D$2:$D$497&lt;D193))*$F$2:$F$497)))),"阶段价格必须逐级提高","计划有效"))))))),IF(A193="每日跟踪",IF(OR(B193="",H193="",I193="",J193=""),"每日数据不完整",IF(COUNTIFS($A$2:$A$497,"每日跟踪",$B$2:$B$497,B193,$H$2:$H$497,H193)&gt;1,"同一交易日期重复",IF(AND(R193&lt;&gt;"",R193&lt;S193),"人工止损无效：不能下调","跟踪有效"))),"记录类型无效")))</f>
        <v/>
      </c>
    </row>
    <row r="194" ht="17" spans="1:29">
      <c r="A194" s="2"/>
      <c r="B194" s="2"/>
      <c r="C194" s="8" t="str">
        <f>IF(B194="","",IFERROR(LOOKUP(2,1/(单次交易!$A$2:$A$201=B194),单次交易!$B$2:$B$201),""))</f>
        <v/>
      </c>
      <c r="D194" s="12"/>
      <c r="E194" s="10"/>
      <c r="F194" s="10"/>
      <c r="G194" s="2"/>
      <c r="H194" s="15"/>
      <c r="I194" s="10"/>
      <c r="J194" s="12"/>
      <c r="K194" s="2"/>
      <c r="L194" s="2"/>
      <c r="M194" s="2"/>
      <c r="N194" s="5" t="str">
        <f>IF(B194="","",IFERROR(LOOKUP(2,1/(单次交易!$A$2:$A$201=B194),单次交易!$N$2:$N$201),""))</f>
        <v/>
      </c>
      <c r="O194" s="5" t="str">
        <f t="shared" ref="O194:O257" si="27">IF(A194&lt;&gt;"每日跟踪","",IF(OR(B194="",H194="",I194=""),"",IFERROR(SUMPRODUCT(MAX((($A$2:$A$497="每日跟踪")*($B$2:$B$497=B194)*($H$2:$H$497&lt;=H194))*$I$2:$I$497)),"")))</f>
        <v/>
      </c>
      <c r="P194" s="11" t="str">
        <f t="shared" ref="P194:P257" si="28">IF(A194&lt;&gt;"每日跟踪","",IF(O194="","",IFERROR(SUMPRODUCT(MAX((($A$2:$A$497="止损计划")*($B$2:$B$497=B194)*($E$2:$E$497&lt;=O194))*$D$2:$D$497)),0)))</f>
        <v/>
      </c>
      <c r="Q194" s="5" t="str">
        <f t="shared" ref="Q194:Q257" si="29">IF(A194&lt;&gt;"每日跟踪","",IF(N194="","",MAX(N194,IFERROR(SUMPRODUCT(MAX((($A$2:$A$497="止损计划")*($B$2:$B$497=B194)*($E$2:$E$497&lt;=O194))*$F$2:$F$497)),0))))</f>
        <v/>
      </c>
      <c r="R194" s="10"/>
      <c r="S194" s="5" t="str">
        <f t="shared" ref="S194:S257" si="30">IF(A194&lt;&gt;"每日跟踪","",IF(Q194="","",MAX(Q194,IFERROR(SUMPRODUCT(MAX((($A$2:$A$497="每日跟踪")*($B$2:$B$497=B194)*($H$2:$H$497&lt;=H194))*$R$2:$R$497)),0))))</f>
        <v/>
      </c>
      <c r="T194" s="5" t="str">
        <f t="shared" ref="T194:T257" si="31">IF(A194&lt;&gt;"每日跟踪","",IF(O194="","",IF(COUNTIFS($A$2:$A$497,"止损计划",$B$2:$B$497,B194,$E$2:$E$497,"&gt;"&amp;O194)=0,"",INDEX($E$2:$E$497,MATCH(1,INDEX(($A$2:$A$497="止损计划")*($B$2:$B$497=B194)*($E$2:$E$497&gt;O194),0),0)))))</f>
        <v/>
      </c>
      <c r="U194" s="5" t="str">
        <f t="shared" ref="U194:U257" si="32">IF(OR(A194&lt;&gt;"每日跟踪",T194=""),"",IFERROR(SUMIFS($F$2:$F$497,$A$2:$A$497,"止损计划",$B$2:$B$497,B194,$E$2:$E$497,T194),""))</f>
        <v/>
      </c>
      <c r="V194" s="7" t="str">
        <f t="shared" ref="V194:V257" si="33">IF(OR(A194&lt;&gt;"每日跟踪",T194="",I194="",I194&lt;=0),"",T194/I194-1)</f>
        <v/>
      </c>
      <c r="W194" s="8" t="str">
        <f t="shared" ref="W194:W257" si="34">IF(A194&lt;&gt;"每日跟踪","",IF(OR(I194="",S194=""),"",IF(I194&lt;=S194,"触发止损：应全部卖出","继续观察")))</f>
        <v/>
      </c>
      <c r="X194" s="2"/>
      <c r="Y194" s="10"/>
      <c r="Z194" s="11" t="str">
        <f>IF(X194&lt;&gt;"执行卖出","",IFERROR(LOOKUP(2,1/(单次交易!$A$2:$A$201=B194),单次交易!$AP$2:$AP$201),""))</f>
        <v/>
      </c>
      <c r="AA194" s="10"/>
      <c r="AB194" s="8" t="str">
        <f t="shared" ref="AB194:AB257" si="35">IF(A194&lt;&gt;"每日跟踪","",IF(OR(B194="",H194="",I194="",J194="",K194="",L194="",M194=""),"待补充每日记录",IF(W194="触发止损：应全部卖出",IF(X194&lt;&gt;"执行卖出","违规：触发止损但未执行",IF(Y194="","待补充实际卖出价","卖出记录完整")),IF(X194="","待选择卖出动作",IF(X194="执行卖出",IF(Y194="","待补充实际卖出价","卖出记录完整"),"正常")))))</f>
        <v/>
      </c>
      <c r="AC194" s="8" t="str">
        <f>IF(A194="","",IF(A194="止损计划",IF(OR(B194="",D194="",E194="",F194="",G194=""),"计划不完整",IF(OR(D194&lt;1,D194&lt;&gt;INT(D194)),"阶段序号无效",IF(COUNTIFS($A$2:$A$497,"止损计划",$B$2:$B$497,B194,$D$2:$D$497,D194)&gt;1,"阶段序号重复",IF(E194&lt;=IFERROR(LOOKUP(2,1/(单次交易!$A$2:$A$201=B194),单次交易!$E$2:$E$201),0),"激活价须高于买入价",IF(F194&lt;N194,"止损价不得低于初始止损",IF(F194&gt;E194,"止损价不得高于激活价",IF(AND(COUNTIFS($A$2:$A$497,"止损计划",$B$2:$B$497,B194,$D$2:$D$497,"&lt;"&amp;D194)&gt;0,OR(E194&lt;=SUMPRODUCT(MAX((($A$2:$A$497="止损计划")*($B$2:$B$497=B194)*($D$2:$D$497&lt;D194))*$E$2:$E$497)),F194&lt;SUMPRODUCT(MAX((($A$2:$A$497="止损计划")*($B$2:$B$497=B194)*($D$2:$D$497&lt;D194))*$F$2:$F$497)))),"阶段价格必须逐级提高","计划有效"))))))),IF(A194="每日跟踪",IF(OR(B194="",H194="",I194="",J194=""),"每日数据不完整",IF(COUNTIFS($A$2:$A$497,"每日跟踪",$B$2:$B$497,B194,$H$2:$H$497,H194)&gt;1,"同一交易日期重复",IF(AND(R194&lt;&gt;"",R194&lt;S194),"人工止损无效：不能下调","跟踪有效"))),"记录类型无效")))</f>
        <v/>
      </c>
    </row>
    <row r="195" ht="17" spans="1:29">
      <c r="A195" s="2"/>
      <c r="B195" s="2"/>
      <c r="C195" s="8" t="str">
        <f>IF(B195="","",IFERROR(LOOKUP(2,1/(单次交易!$A$2:$A$201=B195),单次交易!$B$2:$B$201),""))</f>
        <v/>
      </c>
      <c r="D195" s="12"/>
      <c r="E195" s="10"/>
      <c r="F195" s="10"/>
      <c r="G195" s="2"/>
      <c r="H195" s="15"/>
      <c r="I195" s="10"/>
      <c r="J195" s="12"/>
      <c r="K195" s="2"/>
      <c r="L195" s="2"/>
      <c r="M195" s="2"/>
      <c r="N195" s="5" t="str">
        <f>IF(B195="","",IFERROR(LOOKUP(2,1/(单次交易!$A$2:$A$201=B195),单次交易!$N$2:$N$201),""))</f>
        <v/>
      </c>
      <c r="O195" s="5" t="str">
        <f t="shared" si="27"/>
        <v/>
      </c>
      <c r="P195" s="11" t="str">
        <f t="shared" si="28"/>
        <v/>
      </c>
      <c r="Q195" s="5" t="str">
        <f t="shared" si="29"/>
        <v/>
      </c>
      <c r="R195" s="10"/>
      <c r="S195" s="5" t="str">
        <f t="shared" si="30"/>
        <v/>
      </c>
      <c r="T195" s="5" t="str">
        <f t="shared" si="31"/>
        <v/>
      </c>
      <c r="U195" s="5" t="str">
        <f t="shared" si="32"/>
        <v/>
      </c>
      <c r="V195" s="7" t="str">
        <f t="shared" si="33"/>
        <v/>
      </c>
      <c r="W195" s="8" t="str">
        <f t="shared" si="34"/>
        <v/>
      </c>
      <c r="X195" s="2"/>
      <c r="Y195" s="10"/>
      <c r="Z195" s="11" t="str">
        <f>IF(X195&lt;&gt;"执行卖出","",IFERROR(LOOKUP(2,1/(单次交易!$A$2:$A$201=B195),单次交易!$AP$2:$AP$201),""))</f>
        <v/>
      </c>
      <c r="AA195" s="10"/>
      <c r="AB195" s="8" t="str">
        <f t="shared" si="35"/>
        <v/>
      </c>
      <c r="AC195" s="8" t="str">
        <f>IF(A195="","",IF(A195="止损计划",IF(OR(B195="",D195="",E195="",F195="",G195=""),"计划不完整",IF(OR(D195&lt;1,D195&lt;&gt;INT(D195)),"阶段序号无效",IF(COUNTIFS($A$2:$A$497,"止损计划",$B$2:$B$497,B195,$D$2:$D$497,D195)&gt;1,"阶段序号重复",IF(E195&lt;=IFERROR(LOOKUP(2,1/(单次交易!$A$2:$A$201=B195),单次交易!$E$2:$E$201),0),"激活价须高于买入价",IF(F195&lt;N195,"止损价不得低于初始止损",IF(F195&gt;E195,"止损价不得高于激活价",IF(AND(COUNTIFS($A$2:$A$497,"止损计划",$B$2:$B$497,B195,$D$2:$D$497,"&lt;"&amp;D195)&gt;0,OR(E195&lt;=SUMPRODUCT(MAX((($A$2:$A$497="止损计划")*($B$2:$B$497=B195)*($D$2:$D$497&lt;D195))*$E$2:$E$497)),F195&lt;SUMPRODUCT(MAX((($A$2:$A$497="止损计划")*($B$2:$B$497=B195)*($D$2:$D$497&lt;D195))*$F$2:$F$497)))),"阶段价格必须逐级提高","计划有效"))))))),IF(A195="每日跟踪",IF(OR(B195="",H195="",I195="",J195=""),"每日数据不完整",IF(COUNTIFS($A$2:$A$497,"每日跟踪",$B$2:$B$497,B195,$H$2:$H$497,H195)&gt;1,"同一交易日期重复",IF(AND(R195&lt;&gt;"",R195&lt;S195),"人工止损无效：不能下调","跟踪有效"))),"记录类型无效")))</f>
        <v/>
      </c>
    </row>
    <row r="196" ht="17" spans="1:29">
      <c r="A196" s="2"/>
      <c r="B196" s="2"/>
      <c r="C196" s="8" t="str">
        <f>IF(B196="","",IFERROR(LOOKUP(2,1/(单次交易!$A$2:$A$201=B196),单次交易!$B$2:$B$201),""))</f>
        <v/>
      </c>
      <c r="D196" s="12"/>
      <c r="E196" s="10"/>
      <c r="F196" s="10"/>
      <c r="G196" s="2"/>
      <c r="H196" s="15"/>
      <c r="I196" s="10"/>
      <c r="J196" s="12"/>
      <c r="K196" s="2"/>
      <c r="L196" s="2"/>
      <c r="M196" s="2"/>
      <c r="N196" s="5" t="str">
        <f>IF(B196="","",IFERROR(LOOKUP(2,1/(单次交易!$A$2:$A$201=B196),单次交易!$N$2:$N$201),""))</f>
        <v/>
      </c>
      <c r="O196" s="5" t="str">
        <f t="shared" si="27"/>
        <v/>
      </c>
      <c r="P196" s="11" t="str">
        <f t="shared" si="28"/>
        <v/>
      </c>
      <c r="Q196" s="5" t="str">
        <f t="shared" si="29"/>
        <v/>
      </c>
      <c r="R196" s="10"/>
      <c r="S196" s="5" t="str">
        <f t="shared" si="30"/>
        <v/>
      </c>
      <c r="T196" s="5" t="str">
        <f t="shared" si="31"/>
        <v/>
      </c>
      <c r="U196" s="5" t="str">
        <f t="shared" si="32"/>
        <v/>
      </c>
      <c r="V196" s="7" t="str">
        <f t="shared" si="33"/>
        <v/>
      </c>
      <c r="W196" s="8" t="str">
        <f t="shared" si="34"/>
        <v/>
      </c>
      <c r="X196" s="2"/>
      <c r="Y196" s="10"/>
      <c r="Z196" s="11" t="str">
        <f>IF(X196&lt;&gt;"执行卖出","",IFERROR(LOOKUP(2,1/(单次交易!$A$2:$A$201=B196),单次交易!$AP$2:$AP$201),""))</f>
        <v/>
      </c>
      <c r="AA196" s="10"/>
      <c r="AB196" s="8" t="str">
        <f t="shared" si="35"/>
        <v/>
      </c>
      <c r="AC196" s="8" t="str">
        <f>IF(A196="","",IF(A196="止损计划",IF(OR(B196="",D196="",E196="",F196="",G196=""),"计划不完整",IF(OR(D196&lt;1,D196&lt;&gt;INT(D196)),"阶段序号无效",IF(COUNTIFS($A$2:$A$497,"止损计划",$B$2:$B$497,B196,$D$2:$D$497,D196)&gt;1,"阶段序号重复",IF(E196&lt;=IFERROR(LOOKUP(2,1/(单次交易!$A$2:$A$201=B196),单次交易!$E$2:$E$201),0),"激活价须高于买入价",IF(F196&lt;N196,"止损价不得低于初始止损",IF(F196&gt;E196,"止损价不得高于激活价",IF(AND(COUNTIFS($A$2:$A$497,"止损计划",$B$2:$B$497,B196,$D$2:$D$497,"&lt;"&amp;D196)&gt;0,OR(E196&lt;=SUMPRODUCT(MAX((($A$2:$A$497="止损计划")*($B$2:$B$497=B196)*($D$2:$D$497&lt;D196))*$E$2:$E$497)),F196&lt;SUMPRODUCT(MAX((($A$2:$A$497="止损计划")*($B$2:$B$497=B196)*($D$2:$D$497&lt;D196))*$F$2:$F$497)))),"阶段价格必须逐级提高","计划有效"))))))),IF(A196="每日跟踪",IF(OR(B196="",H196="",I196="",J196=""),"每日数据不完整",IF(COUNTIFS($A$2:$A$497,"每日跟踪",$B$2:$B$497,B196,$H$2:$H$497,H196)&gt;1,"同一交易日期重复",IF(AND(R196&lt;&gt;"",R196&lt;S196),"人工止损无效：不能下调","跟踪有效"))),"记录类型无效")))</f>
        <v/>
      </c>
    </row>
    <row r="197" ht="17" spans="1:29">
      <c r="A197" s="2"/>
      <c r="B197" s="2"/>
      <c r="C197" s="8" t="str">
        <f>IF(B197="","",IFERROR(LOOKUP(2,1/(单次交易!$A$2:$A$201=B197),单次交易!$B$2:$B$201),""))</f>
        <v/>
      </c>
      <c r="D197" s="12"/>
      <c r="E197" s="10"/>
      <c r="F197" s="10"/>
      <c r="G197" s="2"/>
      <c r="H197" s="15"/>
      <c r="I197" s="10"/>
      <c r="J197" s="12"/>
      <c r="K197" s="2"/>
      <c r="L197" s="2"/>
      <c r="M197" s="2"/>
      <c r="N197" s="5" t="str">
        <f>IF(B197="","",IFERROR(LOOKUP(2,1/(单次交易!$A$2:$A$201=B197),单次交易!$N$2:$N$201),""))</f>
        <v/>
      </c>
      <c r="O197" s="5" t="str">
        <f t="shared" si="27"/>
        <v/>
      </c>
      <c r="P197" s="11" t="str">
        <f t="shared" si="28"/>
        <v/>
      </c>
      <c r="Q197" s="5" t="str">
        <f t="shared" si="29"/>
        <v/>
      </c>
      <c r="R197" s="10"/>
      <c r="S197" s="5" t="str">
        <f t="shared" si="30"/>
        <v/>
      </c>
      <c r="T197" s="5" t="str">
        <f t="shared" si="31"/>
        <v/>
      </c>
      <c r="U197" s="5" t="str">
        <f t="shared" si="32"/>
        <v/>
      </c>
      <c r="V197" s="7" t="str">
        <f t="shared" si="33"/>
        <v/>
      </c>
      <c r="W197" s="8" t="str">
        <f t="shared" si="34"/>
        <v/>
      </c>
      <c r="X197" s="2"/>
      <c r="Y197" s="10"/>
      <c r="Z197" s="11" t="str">
        <f>IF(X197&lt;&gt;"执行卖出","",IFERROR(LOOKUP(2,1/(单次交易!$A$2:$A$201=B197),单次交易!$AP$2:$AP$201),""))</f>
        <v/>
      </c>
      <c r="AA197" s="10"/>
      <c r="AB197" s="8" t="str">
        <f t="shared" si="35"/>
        <v/>
      </c>
      <c r="AC197" s="8" t="str">
        <f>IF(A197="","",IF(A197="止损计划",IF(OR(B197="",D197="",E197="",F197="",G197=""),"计划不完整",IF(OR(D197&lt;1,D197&lt;&gt;INT(D197)),"阶段序号无效",IF(COUNTIFS($A$2:$A$497,"止损计划",$B$2:$B$497,B197,$D$2:$D$497,D197)&gt;1,"阶段序号重复",IF(E197&lt;=IFERROR(LOOKUP(2,1/(单次交易!$A$2:$A$201=B197),单次交易!$E$2:$E$201),0),"激活价须高于买入价",IF(F197&lt;N197,"止损价不得低于初始止损",IF(F197&gt;E197,"止损价不得高于激活价",IF(AND(COUNTIFS($A$2:$A$497,"止损计划",$B$2:$B$497,B197,$D$2:$D$497,"&lt;"&amp;D197)&gt;0,OR(E197&lt;=SUMPRODUCT(MAX((($A$2:$A$497="止损计划")*($B$2:$B$497=B197)*($D$2:$D$497&lt;D197))*$E$2:$E$497)),F197&lt;SUMPRODUCT(MAX((($A$2:$A$497="止损计划")*($B$2:$B$497=B197)*($D$2:$D$497&lt;D197))*$F$2:$F$497)))),"阶段价格必须逐级提高","计划有效"))))))),IF(A197="每日跟踪",IF(OR(B197="",H197="",I197="",J197=""),"每日数据不完整",IF(COUNTIFS($A$2:$A$497,"每日跟踪",$B$2:$B$497,B197,$H$2:$H$497,H197)&gt;1,"同一交易日期重复",IF(AND(R197&lt;&gt;"",R197&lt;S197),"人工止损无效：不能下调","跟踪有效"))),"记录类型无效")))</f>
        <v/>
      </c>
    </row>
    <row r="198" ht="17" spans="1:29">
      <c r="A198" s="2"/>
      <c r="B198" s="2"/>
      <c r="C198" s="8" t="str">
        <f>IF(B198="","",IFERROR(LOOKUP(2,1/(单次交易!$A$2:$A$201=B198),单次交易!$B$2:$B$201),""))</f>
        <v/>
      </c>
      <c r="D198" s="12"/>
      <c r="E198" s="10"/>
      <c r="F198" s="10"/>
      <c r="G198" s="2"/>
      <c r="H198" s="15"/>
      <c r="I198" s="10"/>
      <c r="J198" s="12"/>
      <c r="K198" s="2"/>
      <c r="L198" s="2"/>
      <c r="M198" s="2"/>
      <c r="N198" s="5" t="str">
        <f>IF(B198="","",IFERROR(LOOKUP(2,1/(单次交易!$A$2:$A$201=B198),单次交易!$N$2:$N$201),""))</f>
        <v/>
      </c>
      <c r="O198" s="5" t="str">
        <f t="shared" si="27"/>
        <v/>
      </c>
      <c r="P198" s="11" t="str">
        <f t="shared" si="28"/>
        <v/>
      </c>
      <c r="Q198" s="5" t="str">
        <f t="shared" si="29"/>
        <v/>
      </c>
      <c r="R198" s="10"/>
      <c r="S198" s="5" t="str">
        <f t="shared" si="30"/>
        <v/>
      </c>
      <c r="T198" s="5" t="str">
        <f t="shared" si="31"/>
        <v/>
      </c>
      <c r="U198" s="5" t="str">
        <f t="shared" si="32"/>
        <v/>
      </c>
      <c r="V198" s="7" t="str">
        <f t="shared" si="33"/>
        <v/>
      </c>
      <c r="W198" s="8" t="str">
        <f t="shared" si="34"/>
        <v/>
      </c>
      <c r="X198" s="2"/>
      <c r="Y198" s="10"/>
      <c r="Z198" s="11" t="str">
        <f>IF(X198&lt;&gt;"执行卖出","",IFERROR(LOOKUP(2,1/(单次交易!$A$2:$A$201=B198),单次交易!$AP$2:$AP$201),""))</f>
        <v/>
      </c>
      <c r="AA198" s="10"/>
      <c r="AB198" s="8" t="str">
        <f t="shared" si="35"/>
        <v/>
      </c>
      <c r="AC198" s="8" t="str">
        <f>IF(A198="","",IF(A198="止损计划",IF(OR(B198="",D198="",E198="",F198="",G198=""),"计划不完整",IF(OR(D198&lt;1,D198&lt;&gt;INT(D198)),"阶段序号无效",IF(COUNTIFS($A$2:$A$497,"止损计划",$B$2:$B$497,B198,$D$2:$D$497,D198)&gt;1,"阶段序号重复",IF(E198&lt;=IFERROR(LOOKUP(2,1/(单次交易!$A$2:$A$201=B198),单次交易!$E$2:$E$201),0),"激活价须高于买入价",IF(F198&lt;N198,"止损价不得低于初始止损",IF(F198&gt;E198,"止损价不得高于激活价",IF(AND(COUNTIFS($A$2:$A$497,"止损计划",$B$2:$B$497,B198,$D$2:$D$497,"&lt;"&amp;D198)&gt;0,OR(E198&lt;=SUMPRODUCT(MAX((($A$2:$A$497="止损计划")*($B$2:$B$497=B198)*($D$2:$D$497&lt;D198))*$E$2:$E$497)),F198&lt;SUMPRODUCT(MAX((($A$2:$A$497="止损计划")*($B$2:$B$497=B198)*($D$2:$D$497&lt;D198))*$F$2:$F$497)))),"阶段价格必须逐级提高","计划有效"))))))),IF(A198="每日跟踪",IF(OR(B198="",H198="",I198="",J198=""),"每日数据不完整",IF(COUNTIFS($A$2:$A$497,"每日跟踪",$B$2:$B$497,B198,$H$2:$H$497,H198)&gt;1,"同一交易日期重复",IF(AND(R198&lt;&gt;"",R198&lt;S198),"人工止损无效：不能下调","跟踪有效"))),"记录类型无效")))</f>
        <v/>
      </c>
    </row>
    <row r="199" ht="17" spans="1:29">
      <c r="A199" s="2"/>
      <c r="B199" s="2"/>
      <c r="C199" s="8" t="str">
        <f>IF(B199="","",IFERROR(LOOKUP(2,1/(单次交易!$A$2:$A$201=B199),单次交易!$B$2:$B$201),""))</f>
        <v/>
      </c>
      <c r="D199" s="12"/>
      <c r="E199" s="10"/>
      <c r="F199" s="10"/>
      <c r="G199" s="2"/>
      <c r="H199" s="15"/>
      <c r="I199" s="10"/>
      <c r="J199" s="12"/>
      <c r="K199" s="2"/>
      <c r="L199" s="2"/>
      <c r="M199" s="2"/>
      <c r="N199" s="5" t="str">
        <f>IF(B199="","",IFERROR(LOOKUP(2,1/(单次交易!$A$2:$A$201=B199),单次交易!$N$2:$N$201),""))</f>
        <v/>
      </c>
      <c r="O199" s="5" t="str">
        <f t="shared" si="27"/>
        <v/>
      </c>
      <c r="P199" s="11" t="str">
        <f t="shared" si="28"/>
        <v/>
      </c>
      <c r="Q199" s="5" t="str">
        <f t="shared" si="29"/>
        <v/>
      </c>
      <c r="R199" s="10"/>
      <c r="S199" s="5" t="str">
        <f t="shared" si="30"/>
        <v/>
      </c>
      <c r="T199" s="5" t="str">
        <f t="shared" si="31"/>
        <v/>
      </c>
      <c r="U199" s="5" t="str">
        <f t="shared" si="32"/>
        <v/>
      </c>
      <c r="V199" s="7" t="str">
        <f t="shared" si="33"/>
        <v/>
      </c>
      <c r="W199" s="8" t="str">
        <f t="shared" si="34"/>
        <v/>
      </c>
      <c r="X199" s="2"/>
      <c r="Y199" s="10"/>
      <c r="Z199" s="11" t="str">
        <f>IF(X199&lt;&gt;"执行卖出","",IFERROR(LOOKUP(2,1/(单次交易!$A$2:$A$201=B199),单次交易!$AP$2:$AP$201),""))</f>
        <v/>
      </c>
      <c r="AA199" s="10"/>
      <c r="AB199" s="8" t="str">
        <f t="shared" si="35"/>
        <v/>
      </c>
      <c r="AC199" s="8" t="str">
        <f>IF(A199="","",IF(A199="止损计划",IF(OR(B199="",D199="",E199="",F199="",G199=""),"计划不完整",IF(OR(D199&lt;1,D199&lt;&gt;INT(D199)),"阶段序号无效",IF(COUNTIFS($A$2:$A$497,"止损计划",$B$2:$B$497,B199,$D$2:$D$497,D199)&gt;1,"阶段序号重复",IF(E199&lt;=IFERROR(LOOKUP(2,1/(单次交易!$A$2:$A$201=B199),单次交易!$E$2:$E$201),0),"激活价须高于买入价",IF(F199&lt;N199,"止损价不得低于初始止损",IF(F199&gt;E199,"止损价不得高于激活价",IF(AND(COUNTIFS($A$2:$A$497,"止损计划",$B$2:$B$497,B199,$D$2:$D$497,"&lt;"&amp;D199)&gt;0,OR(E199&lt;=SUMPRODUCT(MAX((($A$2:$A$497="止损计划")*($B$2:$B$497=B199)*($D$2:$D$497&lt;D199))*$E$2:$E$497)),F199&lt;SUMPRODUCT(MAX((($A$2:$A$497="止损计划")*($B$2:$B$497=B199)*($D$2:$D$497&lt;D199))*$F$2:$F$497)))),"阶段价格必须逐级提高","计划有效"))))))),IF(A199="每日跟踪",IF(OR(B199="",H199="",I199="",J199=""),"每日数据不完整",IF(COUNTIFS($A$2:$A$497,"每日跟踪",$B$2:$B$497,B199,$H$2:$H$497,H199)&gt;1,"同一交易日期重复",IF(AND(R199&lt;&gt;"",R199&lt;S199),"人工止损无效：不能下调","跟踪有效"))),"记录类型无效")))</f>
        <v/>
      </c>
    </row>
    <row r="200" ht="17" spans="1:29">
      <c r="A200" s="2"/>
      <c r="B200" s="2"/>
      <c r="C200" s="8" t="str">
        <f>IF(B200="","",IFERROR(LOOKUP(2,1/(单次交易!$A$2:$A$201=B200),单次交易!$B$2:$B$201),""))</f>
        <v/>
      </c>
      <c r="D200" s="12"/>
      <c r="E200" s="10"/>
      <c r="F200" s="10"/>
      <c r="G200" s="2"/>
      <c r="H200" s="15"/>
      <c r="I200" s="10"/>
      <c r="J200" s="12"/>
      <c r="K200" s="2"/>
      <c r="L200" s="2"/>
      <c r="M200" s="2"/>
      <c r="N200" s="5" t="str">
        <f>IF(B200="","",IFERROR(LOOKUP(2,1/(单次交易!$A$2:$A$201=B200),单次交易!$N$2:$N$201),""))</f>
        <v/>
      </c>
      <c r="O200" s="5" t="str">
        <f t="shared" si="27"/>
        <v/>
      </c>
      <c r="P200" s="11" t="str">
        <f t="shared" si="28"/>
        <v/>
      </c>
      <c r="Q200" s="5" t="str">
        <f t="shared" si="29"/>
        <v/>
      </c>
      <c r="R200" s="10"/>
      <c r="S200" s="5" t="str">
        <f t="shared" si="30"/>
        <v/>
      </c>
      <c r="T200" s="5" t="str">
        <f t="shared" si="31"/>
        <v/>
      </c>
      <c r="U200" s="5" t="str">
        <f t="shared" si="32"/>
        <v/>
      </c>
      <c r="V200" s="7" t="str">
        <f t="shared" si="33"/>
        <v/>
      </c>
      <c r="W200" s="8" t="str">
        <f t="shared" si="34"/>
        <v/>
      </c>
      <c r="X200" s="2"/>
      <c r="Y200" s="10"/>
      <c r="Z200" s="11" t="str">
        <f>IF(X200&lt;&gt;"执行卖出","",IFERROR(LOOKUP(2,1/(单次交易!$A$2:$A$201=B200),单次交易!$AP$2:$AP$201),""))</f>
        <v/>
      </c>
      <c r="AA200" s="10"/>
      <c r="AB200" s="8" t="str">
        <f t="shared" si="35"/>
        <v/>
      </c>
      <c r="AC200" s="8" t="str">
        <f>IF(A200="","",IF(A200="止损计划",IF(OR(B200="",D200="",E200="",F200="",G200=""),"计划不完整",IF(OR(D200&lt;1,D200&lt;&gt;INT(D200)),"阶段序号无效",IF(COUNTIFS($A$2:$A$497,"止损计划",$B$2:$B$497,B200,$D$2:$D$497,D200)&gt;1,"阶段序号重复",IF(E200&lt;=IFERROR(LOOKUP(2,1/(单次交易!$A$2:$A$201=B200),单次交易!$E$2:$E$201),0),"激活价须高于买入价",IF(F200&lt;N200,"止损价不得低于初始止损",IF(F200&gt;E200,"止损价不得高于激活价",IF(AND(COUNTIFS($A$2:$A$497,"止损计划",$B$2:$B$497,B200,$D$2:$D$497,"&lt;"&amp;D200)&gt;0,OR(E200&lt;=SUMPRODUCT(MAX((($A$2:$A$497="止损计划")*($B$2:$B$497=B200)*($D$2:$D$497&lt;D200))*$E$2:$E$497)),F200&lt;SUMPRODUCT(MAX((($A$2:$A$497="止损计划")*($B$2:$B$497=B200)*($D$2:$D$497&lt;D200))*$F$2:$F$497)))),"阶段价格必须逐级提高","计划有效"))))))),IF(A200="每日跟踪",IF(OR(B200="",H200="",I200="",J200=""),"每日数据不完整",IF(COUNTIFS($A$2:$A$497,"每日跟踪",$B$2:$B$497,B200,$H$2:$H$497,H200)&gt;1,"同一交易日期重复",IF(AND(R200&lt;&gt;"",R200&lt;S200),"人工止损无效：不能下调","跟踪有效"))),"记录类型无效")))</f>
        <v/>
      </c>
    </row>
    <row r="201" ht="17" spans="1:29">
      <c r="A201" s="2"/>
      <c r="B201" s="2"/>
      <c r="C201" s="8" t="str">
        <f>IF(B201="","",IFERROR(LOOKUP(2,1/(单次交易!$A$2:$A$201=B201),单次交易!$B$2:$B$201),""))</f>
        <v/>
      </c>
      <c r="D201" s="12"/>
      <c r="E201" s="10"/>
      <c r="F201" s="10"/>
      <c r="G201" s="2"/>
      <c r="H201" s="15"/>
      <c r="I201" s="10"/>
      <c r="J201" s="12"/>
      <c r="K201" s="2"/>
      <c r="L201" s="2"/>
      <c r="M201" s="2"/>
      <c r="N201" s="5" t="str">
        <f>IF(B201="","",IFERROR(LOOKUP(2,1/(单次交易!$A$2:$A$201=B201),单次交易!$N$2:$N$201),""))</f>
        <v/>
      </c>
      <c r="O201" s="5" t="str">
        <f t="shared" si="27"/>
        <v/>
      </c>
      <c r="P201" s="11" t="str">
        <f t="shared" si="28"/>
        <v/>
      </c>
      <c r="Q201" s="5" t="str">
        <f t="shared" si="29"/>
        <v/>
      </c>
      <c r="R201" s="10"/>
      <c r="S201" s="5" t="str">
        <f t="shared" si="30"/>
        <v/>
      </c>
      <c r="T201" s="5" t="str">
        <f t="shared" si="31"/>
        <v/>
      </c>
      <c r="U201" s="5" t="str">
        <f t="shared" si="32"/>
        <v/>
      </c>
      <c r="V201" s="7" t="str">
        <f t="shared" si="33"/>
        <v/>
      </c>
      <c r="W201" s="8" t="str">
        <f t="shared" si="34"/>
        <v/>
      </c>
      <c r="X201" s="2"/>
      <c r="Y201" s="10"/>
      <c r="Z201" s="11" t="str">
        <f>IF(X201&lt;&gt;"执行卖出","",IFERROR(LOOKUP(2,1/(单次交易!$A$2:$A$201=B201),单次交易!$AP$2:$AP$201),""))</f>
        <v/>
      </c>
      <c r="AA201" s="10"/>
      <c r="AB201" s="8" t="str">
        <f t="shared" si="35"/>
        <v/>
      </c>
      <c r="AC201" s="8" t="str">
        <f>IF(A201="","",IF(A201="止损计划",IF(OR(B201="",D201="",E201="",F201="",G201=""),"计划不完整",IF(OR(D201&lt;1,D201&lt;&gt;INT(D201)),"阶段序号无效",IF(COUNTIFS($A$2:$A$497,"止损计划",$B$2:$B$497,B201,$D$2:$D$497,D201)&gt;1,"阶段序号重复",IF(E201&lt;=IFERROR(LOOKUP(2,1/(单次交易!$A$2:$A$201=B201),单次交易!$E$2:$E$201),0),"激活价须高于买入价",IF(F201&lt;N201,"止损价不得低于初始止损",IF(F201&gt;E201,"止损价不得高于激活价",IF(AND(COUNTIFS($A$2:$A$497,"止损计划",$B$2:$B$497,B201,$D$2:$D$497,"&lt;"&amp;D201)&gt;0,OR(E201&lt;=SUMPRODUCT(MAX((($A$2:$A$497="止损计划")*($B$2:$B$497=B201)*($D$2:$D$497&lt;D201))*$E$2:$E$497)),F201&lt;SUMPRODUCT(MAX((($A$2:$A$497="止损计划")*($B$2:$B$497=B201)*($D$2:$D$497&lt;D201))*$F$2:$F$497)))),"阶段价格必须逐级提高","计划有效"))))))),IF(A201="每日跟踪",IF(OR(B201="",H201="",I201="",J201=""),"每日数据不完整",IF(COUNTIFS($A$2:$A$497,"每日跟踪",$B$2:$B$497,B201,$H$2:$H$497,H201)&gt;1,"同一交易日期重复",IF(AND(R201&lt;&gt;"",R201&lt;S201),"人工止损无效：不能下调","跟踪有效"))),"记录类型无效")))</f>
        <v/>
      </c>
    </row>
    <row r="202" ht="17" spans="1:29">
      <c r="A202" s="2"/>
      <c r="B202" s="2"/>
      <c r="C202" s="8" t="str">
        <f>IF(B202="","",IFERROR(LOOKUP(2,1/(单次交易!$A$2:$A$201=B202),单次交易!$B$2:$B$201),""))</f>
        <v/>
      </c>
      <c r="D202" s="12"/>
      <c r="E202" s="10"/>
      <c r="F202" s="10"/>
      <c r="G202" s="2"/>
      <c r="H202" s="15"/>
      <c r="I202" s="10"/>
      <c r="J202" s="12"/>
      <c r="K202" s="2"/>
      <c r="L202" s="2"/>
      <c r="M202" s="2"/>
      <c r="N202" s="5" t="str">
        <f>IF(B202="","",IFERROR(LOOKUP(2,1/(单次交易!$A$2:$A$201=B202),单次交易!$N$2:$N$201),""))</f>
        <v/>
      </c>
      <c r="O202" s="5" t="str">
        <f t="shared" si="27"/>
        <v/>
      </c>
      <c r="P202" s="11" t="str">
        <f t="shared" si="28"/>
        <v/>
      </c>
      <c r="Q202" s="5" t="str">
        <f t="shared" si="29"/>
        <v/>
      </c>
      <c r="R202" s="10"/>
      <c r="S202" s="5" t="str">
        <f t="shared" si="30"/>
        <v/>
      </c>
      <c r="T202" s="5" t="str">
        <f t="shared" si="31"/>
        <v/>
      </c>
      <c r="U202" s="5" t="str">
        <f t="shared" si="32"/>
        <v/>
      </c>
      <c r="V202" s="7" t="str">
        <f t="shared" si="33"/>
        <v/>
      </c>
      <c r="W202" s="8" t="str">
        <f t="shared" si="34"/>
        <v/>
      </c>
      <c r="X202" s="2"/>
      <c r="Y202" s="10"/>
      <c r="Z202" s="11" t="str">
        <f>IF(X202&lt;&gt;"执行卖出","",IFERROR(LOOKUP(2,1/(单次交易!$A$2:$A$201=B202),单次交易!$AP$2:$AP$201),""))</f>
        <v/>
      </c>
      <c r="AA202" s="10"/>
      <c r="AB202" s="8" t="str">
        <f t="shared" si="35"/>
        <v/>
      </c>
      <c r="AC202" s="8" t="str">
        <f>IF(A202="","",IF(A202="止损计划",IF(OR(B202="",D202="",E202="",F202="",G202=""),"计划不完整",IF(OR(D202&lt;1,D202&lt;&gt;INT(D202)),"阶段序号无效",IF(COUNTIFS($A$2:$A$497,"止损计划",$B$2:$B$497,B202,$D$2:$D$497,D202)&gt;1,"阶段序号重复",IF(E202&lt;=IFERROR(LOOKUP(2,1/(单次交易!$A$2:$A$201=B202),单次交易!$E$2:$E$201),0),"激活价须高于买入价",IF(F202&lt;N202,"止损价不得低于初始止损",IF(F202&gt;E202,"止损价不得高于激活价",IF(AND(COUNTIFS($A$2:$A$497,"止损计划",$B$2:$B$497,B202,$D$2:$D$497,"&lt;"&amp;D202)&gt;0,OR(E202&lt;=SUMPRODUCT(MAX((($A$2:$A$497="止损计划")*($B$2:$B$497=B202)*($D$2:$D$497&lt;D202))*$E$2:$E$497)),F202&lt;SUMPRODUCT(MAX((($A$2:$A$497="止损计划")*($B$2:$B$497=B202)*($D$2:$D$497&lt;D202))*$F$2:$F$497)))),"阶段价格必须逐级提高","计划有效"))))))),IF(A202="每日跟踪",IF(OR(B202="",H202="",I202="",J202=""),"每日数据不完整",IF(COUNTIFS($A$2:$A$497,"每日跟踪",$B$2:$B$497,B202,$H$2:$H$497,H202)&gt;1,"同一交易日期重复",IF(AND(R202&lt;&gt;"",R202&lt;S202),"人工止损无效：不能下调","跟踪有效"))),"记录类型无效")))</f>
        <v/>
      </c>
    </row>
    <row r="203" ht="17" spans="1:29">
      <c r="A203" s="2"/>
      <c r="B203" s="2"/>
      <c r="C203" s="8" t="str">
        <f>IF(B203="","",IFERROR(LOOKUP(2,1/(单次交易!$A$2:$A$201=B203),单次交易!$B$2:$B$201),""))</f>
        <v/>
      </c>
      <c r="D203" s="12"/>
      <c r="E203" s="10"/>
      <c r="F203" s="10"/>
      <c r="G203" s="2"/>
      <c r="H203" s="15"/>
      <c r="I203" s="10"/>
      <c r="J203" s="12"/>
      <c r="K203" s="2"/>
      <c r="L203" s="2"/>
      <c r="M203" s="2"/>
      <c r="N203" s="5" t="str">
        <f>IF(B203="","",IFERROR(LOOKUP(2,1/(单次交易!$A$2:$A$201=B203),单次交易!$N$2:$N$201),""))</f>
        <v/>
      </c>
      <c r="O203" s="5" t="str">
        <f t="shared" si="27"/>
        <v/>
      </c>
      <c r="P203" s="11" t="str">
        <f t="shared" si="28"/>
        <v/>
      </c>
      <c r="Q203" s="5" t="str">
        <f t="shared" si="29"/>
        <v/>
      </c>
      <c r="R203" s="10"/>
      <c r="S203" s="5" t="str">
        <f t="shared" si="30"/>
        <v/>
      </c>
      <c r="T203" s="5" t="str">
        <f t="shared" si="31"/>
        <v/>
      </c>
      <c r="U203" s="5" t="str">
        <f t="shared" si="32"/>
        <v/>
      </c>
      <c r="V203" s="7" t="str">
        <f t="shared" si="33"/>
        <v/>
      </c>
      <c r="W203" s="8" t="str">
        <f t="shared" si="34"/>
        <v/>
      </c>
      <c r="X203" s="2"/>
      <c r="Y203" s="10"/>
      <c r="Z203" s="11" t="str">
        <f>IF(X203&lt;&gt;"执行卖出","",IFERROR(LOOKUP(2,1/(单次交易!$A$2:$A$201=B203),单次交易!$AP$2:$AP$201),""))</f>
        <v/>
      </c>
      <c r="AA203" s="10"/>
      <c r="AB203" s="8" t="str">
        <f t="shared" si="35"/>
        <v/>
      </c>
      <c r="AC203" s="8" t="str">
        <f>IF(A203="","",IF(A203="止损计划",IF(OR(B203="",D203="",E203="",F203="",G203=""),"计划不完整",IF(OR(D203&lt;1,D203&lt;&gt;INT(D203)),"阶段序号无效",IF(COUNTIFS($A$2:$A$497,"止损计划",$B$2:$B$497,B203,$D$2:$D$497,D203)&gt;1,"阶段序号重复",IF(E203&lt;=IFERROR(LOOKUP(2,1/(单次交易!$A$2:$A$201=B203),单次交易!$E$2:$E$201),0),"激活价须高于买入价",IF(F203&lt;N203,"止损价不得低于初始止损",IF(F203&gt;E203,"止损价不得高于激活价",IF(AND(COUNTIFS($A$2:$A$497,"止损计划",$B$2:$B$497,B203,$D$2:$D$497,"&lt;"&amp;D203)&gt;0,OR(E203&lt;=SUMPRODUCT(MAX((($A$2:$A$497="止损计划")*($B$2:$B$497=B203)*($D$2:$D$497&lt;D203))*$E$2:$E$497)),F203&lt;SUMPRODUCT(MAX((($A$2:$A$497="止损计划")*($B$2:$B$497=B203)*($D$2:$D$497&lt;D203))*$F$2:$F$497)))),"阶段价格必须逐级提高","计划有效"))))))),IF(A203="每日跟踪",IF(OR(B203="",H203="",I203="",J203=""),"每日数据不完整",IF(COUNTIFS($A$2:$A$497,"每日跟踪",$B$2:$B$497,B203,$H$2:$H$497,H203)&gt;1,"同一交易日期重复",IF(AND(R203&lt;&gt;"",R203&lt;S203),"人工止损无效：不能下调","跟踪有效"))),"记录类型无效")))</f>
        <v/>
      </c>
    </row>
    <row r="204" ht="17" spans="1:29">
      <c r="A204" s="2"/>
      <c r="B204" s="2"/>
      <c r="C204" s="8" t="str">
        <f>IF(B204="","",IFERROR(LOOKUP(2,1/(单次交易!$A$2:$A$201=B204),单次交易!$B$2:$B$201),""))</f>
        <v/>
      </c>
      <c r="D204" s="12"/>
      <c r="E204" s="10"/>
      <c r="F204" s="10"/>
      <c r="G204" s="2"/>
      <c r="H204" s="15"/>
      <c r="I204" s="10"/>
      <c r="J204" s="12"/>
      <c r="K204" s="2"/>
      <c r="L204" s="2"/>
      <c r="M204" s="2"/>
      <c r="N204" s="5" t="str">
        <f>IF(B204="","",IFERROR(LOOKUP(2,1/(单次交易!$A$2:$A$201=B204),单次交易!$N$2:$N$201),""))</f>
        <v/>
      </c>
      <c r="O204" s="5" t="str">
        <f t="shared" si="27"/>
        <v/>
      </c>
      <c r="P204" s="11" t="str">
        <f t="shared" si="28"/>
        <v/>
      </c>
      <c r="Q204" s="5" t="str">
        <f t="shared" si="29"/>
        <v/>
      </c>
      <c r="R204" s="10"/>
      <c r="S204" s="5" t="str">
        <f t="shared" si="30"/>
        <v/>
      </c>
      <c r="T204" s="5" t="str">
        <f t="shared" si="31"/>
        <v/>
      </c>
      <c r="U204" s="5" t="str">
        <f t="shared" si="32"/>
        <v/>
      </c>
      <c r="V204" s="7" t="str">
        <f t="shared" si="33"/>
        <v/>
      </c>
      <c r="W204" s="8" t="str">
        <f t="shared" si="34"/>
        <v/>
      </c>
      <c r="X204" s="2"/>
      <c r="Y204" s="10"/>
      <c r="Z204" s="11" t="str">
        <f>IF(X204&lt;&gt;"执行卖出","",IFERROR(LOOKUP(2,1/(单次交易!$A$2:$A$201=B204),单次交易!$AP$2:$AP$201),""))</f>
        <v/>
      </c>
      <c r="AA204" s="10"/>
      <c r="AB204" s="8" t="str">
        <f t="shared" si="35"/>
        <v/>
      </c>
      <c r="AC204" s="8" t="str">
        <f>IF(A204="","",IF(A204="止损计划",IF(OR(B204="",D204="",E204="",F204="",G204=""),"计划不完整",IF(OR(D204&lt;1,D204&lt;&gt;INT(D204)),"阶段序号无效",IF(COUNTIFS($A$2:$A$497,"止损计划",$B$2:$B$497,B204,$D$2:$D$497,D204)&gt;1,"阶段序号重复",IF(E204&lt;=IFERROR(LOOKUP(2,1/(单次交易!$A$2:$A$201=B204),单次交易!$E$2:$E$201),0),"激活价须高于买入价",IF(F204&lt;N204,"止损价不得低于初始止损",IF(F204&gt;E204,"止损价不得高于激活价",IF(AND(COUNTIFS($A$2:$A$497,"止损计划",$B$2:$B$497,B204,$D$2:$D$497,"&lt;"&amp;D204)&gt;0,OR(E204&lt;=SUMPRODUCT(MAX((($A$2:$A$497="止损计划")*($B$2:$B$497=B204)*($D$2:$D$497&lt;D204))*$E$2:$E$497)),F204&lt;SUMPRODUCT(MAX((($A$2:$A$497="止损计划")*($B$2:$B$497=B204)*($D$2:$D$497&lt;D204))*$F$2:$F$497)))),"阶段价格必须逐级提高","计划有效"))))))),IF(A204="每日跟踪",IF(OR(B204="",H204="",I204="",J204=""),"每日数据不完整",IF(COUNTIFS($A$2:$A$497,"每日跟踪",$B$2:$B$497,B204,$H$2:$H$497,H204)&gt;1,"同一交易日期重复",IF(AND(R204&lt;&gt;"",R204&lt;S204),"人工止损无效：不能下调","跟踪有效"))),"记录类型无效")))</f>
        <v/>
      </c>
    </row>
    <row r="205" ht="17" spans="1:29">
      <c r="A205" s="2"/>
      <c r="B205" s="2"/>
      <c r="C205" s="8" t="str">
        <f>IF(B205="","",IFERROR(LOOKUP(2,1/(单次交易!$A$2:$A$201=B205),单次交易!$B$2:$B$201),""))</f>
        <v/>
      </c>
      <c r="D205" s="12"/>
      <c r="E205" s="10"/>
      <c r="F205" s="10"/>
      <c r="G205" s="2"/>
      <c r="H205" s="15"/>
      <c r="I205" s="10"/>
      <c r="J205" s="12"/>
      <c r="K205" s="2"/>
      <c r="L205" s="2"/>
      <c r="M205" s="2"/>
      <c r="N205" s="5" t="str">
        <f>IF(B205="","",IFERROR(LOOKUP(2,1/(单次交易!$A$2:$A$201=B205),单次交易!$N$2:$N$201),""))</f>
        <v/>
      </c>
      <c r="O205" s="5" t="str">
        <f t="shared" si="27"/>
        <v/>
      </c>
      <c r="P205" s="11" t="str">
        <f t="shared" si="28"/>
        <v/>
      </c>
      <c r="Q205" s="5" t="str">
        <f t="shared" si="29"/>
        <v/>
      </c>
      <c r="R205" s="10"/>
      <c r="S205" s="5" t="str">
        <f t="shared" si="30"/>
        <v/>
      </c>
      <c r="T205" s="5" t="str">
        <f t="shared" si="31"/>
        <v/>
      </c>
      <c r="U205" s="5" t="str">
        <f t="shared" si="32"/>
        <v/>
      </c>
      <c r="V205" s="7" t="str">
        <f t="shared" si="33"/>
        <v/>
      </c>
      <c r="W205" s="8" t="str">
        <f t="shared" si="34"/>
        <v/>
      </c>
      <c r="X205" s="2"/>
      <c r="Y205" s="10"/>
      <c r="Z205" s="11" t="str">
        <f>IF(X205&lt;&gt;"执行卖出","",IFERROR(LOOKUP(2,1/(单次交易!$A$2:$A$201=B205),单次交易!$AP$2:$AP$201),""))</f>
        <v/>
      </c>
      <c r="AA205" s="10"/>
      <c r="AB205" s="8" t="str">
        <f t="shared" si="35"/>
        <v/>
      </c>
      <c r="AC205" s="8" t="str">
        <f>IF(A205="","",IF(A205="止损计划",IF(OR(B205="",D205="",E205="",F205="",G205=""),"计划不完整",IF(OR(D205&lt;1,D205&lt;&gt;INT(D205)),"阶段序号无效",IF(COUNTIFS($A$2:$A$497,"止损计划",$B$2:$B$497,B205,$D$2:$D$497,D205)&gt;1,"阶段序号重复",IF(E205&lt;=IFERROR(LOOKUP(2,1/(单次交易!$A$2:$A$201=B205),单次交易!$E$2:$E$201),0),"激活价须高于买入价",IF(F205&lt;N205,"止损价不得低于初始止损",IF(F205&gt;E205,"止损价不得高于激活价",IF(AND(COUNTIFS($A$2:$A$497,"止损计划",$B$2:$B$497,B205,$D$2:$D$497,"&lt;"&amp;D205)&gt;0,OR(E205&lt;=SUMPRODUCT(MAX((($A$2:$A$497="止损计划")*($B$2:$B$497=B205)*($D$2:$D$497&lt;D205))*$E$2:$E$497)),F205&lt;SUMPRODUCT(MAX((($A$2:$A$497="止损计划")*($B$2:$B$497=B205)*($D$2:$D$497&lt;D205))*$F$2:$F$497)))),"阶段价格必须逐级提高","计划有效"))))))),IF(A205="每日跟踪",IF(OR(B205="",H205="",I205="",J205=""),"每日数据不完整",IF(COUNTIFS($A$2:$A$497,"每日跟踪",$B$2:$B$497,B205,$H$2:$H$497,H205)&gt;1,"同一交易日期重复",IF(AND(R205&lt;&gt;"",R205&lt;S205),"人工止损无效：不能下调","跟踪有效"))),"记录类型无效")))</f>
        <v/>
      </c>
    </row>
    <row r="206" ht="17" spans="1:29">
      <c r="A206" s="2"/>
      <c r="B206" s="2"/>
      <c r="C206" s="8" t="str">
        <f>IF(B206="","",IFERROR(LOOKUP(2,1/(单次交易!$A$2:$A$201=B206),单次交易!$B$2:$B$201),""))</f>
        <v/>
      </c>
      <c r="D206" s="12"/>
      <c r="E206" s="10"/>
      <c r="F206" s="10"/>
      <c r="G206" s="2"/>
      <c r="H206" s="15"/>
      <c r="I206" s="10"/>
      <c r="J206" s="12"/>
      <c r="K206" s="2"/>
      <c r="L206" s="2"/>
      <c r="M206" s="2"/>
      <c r="N206" s="5" t="str">
        <f>IF(B206="","",IFERROR(LOOKUP(2,1/(单次交易!$A$2:$A$201=B206),单次交易!$N$2:$N$201),""))</f>
        <v/>
      </c>
      <c r="O206" s="5" t="str">
        <f t="shared" si="27"/>
        <v/>
      </c>
      <c r="P206" s="11" t="str">
        <f t="shared" si="28"/>
        <v/>
      </c>
      <c r="Q206" s="5" t="str">
        <f t="shared" si="29"/>
        <v/>
      </c>
      <c r="R206" s="10"/>
      <c r="S206" s="5" t="str">
        <f t="shared" si="30"/>
        <v/>
      </c>
      <c r="T206" s="5" t="str">
        <f t="shared" si="31"/>
        <v/>
      </c>
      <c r="U206" s="5" t="str">
        <f t="shared" si="32"/>
        <v/>
      </c>
      <c r="V206" s="7" t="str">
        <f t="shared" si="33"/>
        <v/>
      </c>
      <c r="W206" s="8" t="str">
        <f t="shared" si="34"/>
        <v/>
      </c>
      <c r="X206" s="2"/>
      <c r="Y206" s="10"/>
      <c r="Z206" s="11" t="str">
        <f>IF(X206&lt;&gt;"执行卖出","",IFERROR(LOOKUP(2,1/(单次交易!$A$2:$A$201=B206),单次交易!$AP$2:$AP$201),""))</f>
        <v/>
      </c>
      <c r="AA206" s="10"/>
      <c r="AB206" s="8" t="str">
        <f t="shared" si="35"/>
        <v/>
      </c>
      <c r="AC206" s="8" t="str">
        <f>IF(A206="","",IF(A206="止损计划",IF(OR(B206="",D206="",E206="",F206="",G206=""),"计划不完整",IF(OR(D206&lt;1,D206&lt;&gt;INT(D206)),"阶段序号无效",IF(COUNTIFS($A$2:$A$497,"止损计划",$B$2:$B$497,B206,$D$2:$D$497,D206)&gt;1,"阶段序号重复",IF(E206&lt;=IFERROR(LOOKUP(2,1/(单次交易!$A$2:$A$201=B206),单次交易!$E$2:$E$201),0),"激活价须高于买入价",IF(F206&lt;N206,"止损价不得低于初始止损",IF(F206&gt;E206,"止损价不得高于激活价",IF(AND(COUNTIFS($A$2:$A$497,"止损计划",$B$2:$B$497,B206,$D$2:$D$497,"&lt;"&amp;D206)&gt;0,OR(E206&lt;=SUMPRODUCT(MAX((($A$2:$A$497="止损计划")*($B$2:$B$497=B206)*($D$2:$D$497&lt;D206))*$E$2:$E$497)),F206&lt;SUMPRODUCT(MAX((($A$2:$A$497="止损计划")*($B$2:$B$497=B206)*($D$2:$D$497&lt;D206))*$F$2:$F$497)))),"阶段价格必须逐级提高","计划有效"))))))),IF(A206="每日跟踪",IF(OR(B206="",H206="",I206="",J206=""),"每日数据不完整",IF(COUNTIFS($A$2:$A$497,"每日跟踪",$B$2:$B$497,B206,$H$2:$H$497,H206)&gt;1,"同一交易日期重复",IF(AND(R206&lt;&gt;"",R206&lt;S206),"人工止损无效：不能下调","跟踪有效"))),"记录类型无效")))</f>
        <v/>
      </c>
    </row>
    <row r="207" ht="17" spans="1:29">
      <c r="A207" s="2"/>
      <c r="B207" s="2"/>
      <c r="C207" s="8" t="str">
        <f>IF(B207="","",IFERROR(LOOKUP(2,1/(单次交易!$A$2:$A$201=B207),单次交易!$B$2:$B$201),""))</f>
        <v/>
      </c>
      <c r="D207" s="12"/>
      <c r="E207" s="10"/>
      <c r="F207" s="10"/>
      <c r="G207" s="2"/>
      <c r="H207" s="15"/>
      <c r="I207" s="10"/>
      <c r="J207" s="12"/>
      <c r="K207" s="2"/>
      <c r="L207" s="2"/>
      <c r="M207" s="2"/>
      <c r="N207" s="5" t="str">
        <f>IF(B207="","",IFERROR(LOOKUP(2,1/(单次交易!$A$2:$A$201=B207),单次交易!$N$2:$N$201),""))</f>
        <v/>
      </c>
      <c r="O207" s="5" t="str">
        <f t="shared" si="27"/>
        <v/>
      </c>
      <c r="P207" s="11" t="str">
        <f t="shared" si="28"/>
        <v/>
      </c>
      <c r="Q207" s="5" t="str">
        <f t="shared" si="29"/>
        <v/>
      </c>
      <c r="R207" s="10"/>
      <c r="S207" s="5" t="str">
        <f t="shared" si="30"/>
        <v/>
      </c>
      <c r="T207" s="5" t="str">
        <f t="shared" si="31"/>
        <v/>
      </c>
      <c r="U207" s="5" t="str">
        <f t="shared" si="32"/>
        <v/>
      </c>
      <c r="V207" s="7" t="str">
        <f t="shared" si="33"/>
        <v/>
      </c>
      <c r="W207" s="8" t="str">
        <f t="shared" si="34"/>
        <v/>
      </c>
      <c r="X207" s="2"/>
      <c r="Y207" s="10"/>
      <c r="Z207" s="11" t="str">
        <f>IF(X207&lt;&gt;"执行卖出","",IFERROR(LOOKUP(2,1/(单次交易!$A$2:$A$201=B207),单次交易!$AP$2:$AP$201),""))</f>
        <v/>
      </c>
      <c r="AA207" s="10"/>
      <c r="AB207" s="8" t="str">
        <f t="shared" si="35"/>
        <v/>
      </c>
      <c r="AC207" s="8" t="str">
        <f>IF(A207="","",IF(A207="止损计划",IF(OR(B207="",D207="",E207="",F207="",G207=""),"计划不完整",IF(OR(D207&lt;1,D207&lt;&gt;INT(D207)),"阶段序号无效",IF(COUNTIFS($A$2:$A$497,"止损计划",$B$2:$B$497,B207,$D$2:$D$497,D207)&gt;1,"阶段序号重复",IF(E207&lt;=IFERROR(LOOKUP(2,1/(单次交易!$A$2:$A$201=B207),单次交易!$E$2:$E$201),0),"激活价须高于买入价",IF(F207&lt;N207,"止损价不得低于初始止损",IF(F207&gt;E207,"止损价不得高于激活价",IF(AND(COUNTIFS($A$2:$A$497,"止损计划",$B$2:$B$497,B207,$D$2:$D$497,"&lt;"&amp;D207)&gt;0,OR(E207&lt;=SUMPRODUCT(MAX((($A$2:$A$497="止损计划")*($B$2:$B$497=B207)*($D$2:$D$497&lt;D207))*$E$2:$E$497)),F207&lt;SUMPRODUCT(MAX((($A$2:$A$497="止损计划")*($B$2:$B$497=B207)*($D$2:$D$497&lt;D207))*$F$2:$F$497)))),"阶段价格必须逐级提高","计划有效"))))))),IF(A207="每日跟踪",IF(OR(B207="",H207="",I207="",J207=""),"每日数据不完整",IF(COUNTIFS($A$2:$A$497,"每日跟踪",$B$2:$B$497,B207,$H$2:$H$497,H207)&gt;1,"同一交易日期重复",IF(AND(R207&lt;&gt;"",R207&lt;S207),"人工止损无效：不能下调","跟踪有效"))),"记录类型无效")))</f>
        <v/>
      </c>
    </row>
    <row r="208" ht="17" spans="1:29">
      <c r="A208" s="2"/>
      <c r="B208" s="2"/>
      <c r="C208" s="8" t="str">
        <f>IF(B208="","",IFERROR(LOOKUP(2,1/(单次交易!$A$2:$A$201=B208),单次交易!$B$2:$B$201),""))</f>
        <v/>
      </c>
      <c r="D208" s="12"/>
      <c r="E208" s="10"/>
      <c r="F208" s="10"/>
      <c r="G208" s="2"/>
      <c r="H208" s="15"/>
      <c r="I208" s="10"/>
      <c r="J208" s="12"/>
      <c r="K208" s="2"/>
      <c r="L208" s="2"/>
      <c r="M208" s="2"/>
      <c r="N208" s="5" t="str">
        <f>IF(B208="","",IFERROR(LOOKUP(2,1/(单次交易!$A$2:$A$201=B208),单次交易!$N$2:$N$201),""))</f>
        <v/>
      </c>
      <c r="O208" s="5" t="str">
        <f t="shared" si="27"/>
        <v/>
      </c>
      <c r="P208" s="11" t="str">
        <f t="shared" si="28"/>
        <v/>
      </c>
      <c r="Q208" s="5" t="str">
        <f t="shared" si="29"/>
        <v/>
      </c>
      <c r="R208" s="10"/>
      <c r="S208" s="5" t="str">
        <f t="shared" si="30"/>
        <v/>
      </c>
      <c r="T208" s="5" t="str">
        <f t="shared" si="31"/>
        <v/>
      </c>
      <c r="U208" s="5" t="str">
        <f t="shared" si="32"/>
        <v/>
      </c>
      <c r="V208" s="7" t="str">
        <f t="shared" si="33"/>
        <v/>
      </c>
      <c r="W208" s="8" t="str">
        <f t="shared" si="34"/>
        <v/>
      </c>
      <c r="X208" s="2"/>
      <c r="Y208" s="10"/>
      <c r="Z208" s="11" t="str">
        <f>IF(X208&lt;&gt;"执行卖出","",IFERROR(LOOKUP(2,1/(单次交易!$A$2:$A$201=B208),单次交易!$AP$2:$AP$201),""))</f>
        <v/>
      </c>
      <c r="AA208" s="10"/>
      <c r="AB208" s="8" t="str">
        <f t="shared" si="35"/>
        <v/>
      </c>
      <c r="AC208" s="8" t="str">
        <f>IF(A208="","",IF(A208="止损计划",IF(OR(B208="",D208="",E208="",F208="",G208=""),"计划不完整",IF(OR(D208&lt;1,D208&lt;&gt;INT(D208)),"阶段序号无效",IF(COUNTIFS($A$2:$A$497,"止损计划",$B$2:$B$497,B208,$D$2:$D$497,D208)&gt;1,"阶段序号重复",IF(E208&lt;=IFERROR(LOOKUP(2,1/(单次交易!$A$2:$A$201=B208),单次交易!$E$2:$E$201),0),"激活价须高于买入价",IF(F208&lt;N208,"止损价不得低于初始止损",IF(F208&gt;E208,"止损价不得高于激活价",IF(AND(COUNTIFS($A$2:$A$497,"止损计划",$B$2:$B$497,B208,$D$2:$D$497,"&lt;"&amp;D208)&gt;0,OR(E208&lt;=SUMPRODUCT(MAX((($A$2:$A$497="止损计划")*($B$2:$B$497=B208)*($D$2:$D$497&lt;D208))*$E$2:$E$497)),F208&lt;SUMPRODUCT(MAX((($A$2:$A$497="止损计划")*($B$2:$B$497=B208)*($D$2:$D$497&lt;D208))*$F$2:$F$497)))),"阶段价格必须逐级提高","计划有效"))))))),IF(A208="每日跟踪",IF(OR(B208="",H208="",I208="",J208=""),"每日数据不完整",IF(COUNTIFS($A$2:$A$497,"每日跟踪",$B$2:$B$497,B208,$H$2:$H$497,H208)&gt;1,"同一交易日期重复",IF(AND(R208&lt;&gt;"",R208&lt;S208),"人工止损无效：不能下调","跟踪有效"))),"记录类型无效")))</f>
        <v/>
      </c>
    </row>
    <row r="209" ht="17" spans="1:29">
      <c r="A209" s="2"/>
      <c r="B209" s="2"/>
      <c r="C209" s="8" t="str">
        <f>IF(B209="","",IFERROR(LOOKUP(2,1/(单次交易!$A$2:$A$201=B209),单次交易!$B$2:$B$201),""))</f>
        <v/>
      </c>
      <c r="D209" s="12"/>
      <c r="E209" s="10"/>
      <c r="F209" s="10"/>
      <c r="G209" s="2"/>
      <c r="H209" s="15"/>
      <c r="I209" s="10"/>
      <c r="J209" s="12"/>
      <c r="K209" s="2"/>
      <c r="L209" s="2"/>
      <c r="M209" s="2"/>
      <c r="N209" s="5" t="str">
        <f>IF(B209="","",IFERROR(LOOKUP(2,1/(单次交易!$A$2:$A$201=B209),单次交易!$N$2:$N$201),""))</f>
        <v/>
      </c>
      <c r="O209" s="5" t="str">
        <f t="shared" si="27"/>
        <v/>
      </c>
      <c r="P209" s="11" t="str">
        <f t="shared" si="28"/>
        <v/>
      </c>
      <c r="Q209" s="5" t="str">
        <f t="shared" si="29"/>
        <v/>
      </c>
      <c r="R209" s="10"/>
      <c r="S209" s="5" t="str">
        <f t="shared" si="30"/>
        <v/>
      </c>
      <c r="T209" s="5" t="str">
        <f t="shared" si="31"/>
        <v/>
      </c>
      <c r="U209" s="5" t="str">
        <f t="shared" si="32"/>
        <v/>
      </c>
      <c r="V209" s="7" t="str">
        <f t="shared" si="33"/>
        <v/>
      </c>
      <c r="W209" s="8" t="str">
        <f t="shared" si="34"/>
        <v/>
      </c>
      <c r="X209" s="2"/>
      <c r="Y209" s="10"/>
      <c r="Z209" s="11" t="str">
        <f>IF(X209&lt;&gt;"执行卖出","",IFERROR(LOOKUP(2,1/(单次交易!$A$2:$A$201=B209),单次交易!$AP$2:$AP$201),""))</f>
        <v/>
      </c>
      <c r="AA209" s="10"/>
      <c r="AB209" s="8" t="str">
        <f t="shared" si="35"/>
        <v/>
      </c>
      <c r="AC209" s="8" t="str">
        <f>IF(A209="","",IF(A209="止损计划",IF(OR(B209="",D209="",E209="",F209="",G209=""),"计划不完整",IF(OR(D209&lt;1,D209&lt;&gt;INT(D209)),"阶段序号无效",IF(COUNTIFS($A$2:$A$497,"止损计划",$B$2:$B$497,B209,$D$2:$D$497,D209)&gt;1,"阶段序号重复",IF(E209&lt;=IFERROR(LOOKUP(2,1/(单次交易!$A$2:$A$201=B209),单次交易!$E$2:$E$201),0),"激活价须高于买入价",IF(F209&lt;N209,"止损价不得低于初始止损",IF(F209&gt;E209,"止损价不得高于激活价",IF(AND(COUNTIFS($A$2:$A$497,"止损计划",$B$2:$B$497,B209,$D$2:$D$497,"&lt;"&amp;D209)&gt;0,OR(E209&lt;=SUMPRODUCT(MAX((($A$2:$A$497="止损计划")*($B$2:$B$497=B209)*($D$2:$D$497&lt;D209))*$E$2:$E$497)),F209&lt;SUMPRODUCT(MAX((($A$2:$A$497="止损计划")*($B$2:$B$497=B209)*($D$2:$D$497&lt;D209))*$F$2:$F$497)))),"阶段价格必须逐级提高","计划有效"))))))),IF(A209="每日跟踪",IF(OR(B209="",H209="",I209="",J209=""),"每日数据不完整",IF(COUNTIFS($A$2:$A$497,"每日跟踪",$B$2:$B$497,B209,$H$2:$H$497,H209)&gt;1,"同一交易日期重复",IF(AND(R209&lt;&gt;"",R209&lt;S209),"人工止损无效：不能下调","跟踪有效"))),"记录类型无效")))</f>
        <v/>
      </c>
    </row>
    <row r="210" ht="17" spans="1:29">
      <c r="A210" s="2"/>
      <c r="B210" s="2"/>
      <c r="C210" s="8" t="str">
        <f>IF(B210="","",IFERROR(LOOKUP(2,1/(单次交易!$A$2:$A$201=B210),单次交易!$B$2:$B$201),""))</f>
        <v/>
      </c>
      <c r="D210" s="12"/>
      <c r="E210" s="10"/>
      <c r="F210" s="10"/>
      <c r="G210" s="2"/>
      <c r="H210" s="15"/>
      <c r="I210" s="10"/>
      <c r="J210" s="12"/>
      <c r="K210" s="2"/>
      <c r="L210" s="2"/>
      <c r="M210" s="2"/>
      <c r="N210" s="5" t="str">
        <f>IF(B210="","",IFERROR(LOOKUP(2,1/(单次交易!$A$2:$A$201=B210),单次交易!$N$2:$N$201),""))</f>
        <v/>
      </c>
      <c r="O210" s="5" t="str">
        <f t="shared" si="27"/>
        <v/>
      </c>
      <c r="P210" s="11" t="str">
        <f t="shared" si="28"/>
        <v/>
      </c>
      <c r="Q210" s="5" t="str">
        <f t="shared" si="29"/>
        <v/>
      </c>
      <c r="R210" s="10"/>
      <c r="S210" s="5" t="str">
        <f t="shared" si="30"/>
        <v/>
      </c>
      <c r="T210" s="5" t="str">
        <f t="shared" si="31"/>
        <v/>
      </c>
      <c r="U210" s="5" t="str">
        <f t="shared" si="32"/>
        <v/>
      </c>
      <c r="V210" s="7" t="str">
        <f t="shared" si="33"/>
        <v/>
      </c>
      <c r="W210" s="8" t="str">
        <f t="shared" si="34"/>
        <v/>
      </c>
      <c r="X210" s="2"/>
      <c r="Y210" s="10"/>
      <c r="Z210" s="11" t="str">
        <f>IF(X210&lt;&gt;"执行卖出","",IFERROR(LOOKUP(2,1/(单次交易!$A$2:$A$201=B210),单次交易!$AP$2:$AP$201),""))</f>
        <v/>
      </c>
      <c r="AA210" s="10"/>
      <c r="AB210" s="8" t="str">
        <f t="shared" si="35"/>
        <v/>
      </c>
      <c r="AC210" s="8" t="str">
        <f>IF(A210="","",IF(A210="止损计划",IF(OR(B210="",D210="",E210="",F210="",G210=""),"计划不完整",IF(OR(D210&lt;1,D210&lt;&gt;INT(D210)),"阶段序号无效",IF(COUNTIFS($A$2:$A$497,"止损计划",$B$2:$B$497,B210,$D$2:$D$497,D210)&gt;1,"阶段序号重复",IF(E210&lt;=IFERROR(LOOKUP(2,1/(单次交易!$A$2:$A$201=B210),单次交易!$E$2:$E$201),0),"激活价须高于买入价",IF(F210&lt;N210,"止损价不得低于初始止损",IF(F210&gt;E210,"止损价不得高于激活价",IF(AND(COUNTIFS($A$2:$A$497,"止损计划",$B$2:$B$497,B210,$D$2:$D$497,"&lt;"&amp;D210)&gt;0,OR(E210&lt;=SUMPRODUCT(MAX((($A$2:$A$497="止损计划")*($B$2:$B$497=B210)*($D$2:$D$497&lt;D210))*$E$2:$E$497)),F210&lt;SUMPRODUCT(MAX((($A$2:$A$497="止损计划")*($B$2:$B$497=B210)*($D$2:$D$497&lt;D210))*$F$2:$F$497)))),"阶段价格必须逐级提高","计划有效"))))))),IF(A210="每日跟踪",IF(OR(B210="",H210="",I210="",J210=""),"每日数据不完整",IF(COUNTIFS($A$2:$A$497,"每日跟踪",$B$2:$B$497,B210,$H$2:$H$497,H210)&gt;1,"同一交易日期重复",IF(AND(R210&lt;&gt;"",R210&lt;S210),"人工止损无效：不能下调","跟踪有效"))),"记录类型无效")))</f>
        <v/>
      </c>
    </row>
    <row r="211" ht="17" spans="1:29">
      <c r="A211" s="2"/>
      <c r="B211" s="2"/>
      <c r="C211" s="8" t="str">
        <f>IF(B211="","",IFERROR(LOOKUP(2,1/(单次交易!$A$2:$A$201=B211),单次交易!$B$2:$B$201),""))</f>
        <v/>
      </c>
      <c r="D211" s="12"/>
      <c r="E211" s="10"/>
      <c r="F211" s="10"/>
      <c r="G211" s="2"/>
      <c r="H211" s="15"/>
      <c r="I211" s="10"/>
      <c r="J211" s="12"/>
      <c r="K211" s="2"/>
      <c r="L211" s="2"/>
      <c r="M211" s="2"/>
      <c r="N211" s="5" t="str">
        <f>IF(B211="","",IFERROR(LOOKUP(2,1/(单次交易!$A$2:$A$201=B211),单次交易!$N$2:$N$201),""))</f>
        <v/>
      </c>
      <c r="O211" s="5" t="str">
        <f t="shared" si="27"/>
        <v/>
      </c>
      <c r="P211" s="11" t="str">
        <f t="shared" si="28"/>
        <v/>
      </c>
      <c r="Q211" s="5" t="str">
        <f t="shared" si="29"/>
        <v/>
      </c>
      <c r="R211" s="10"/>
      <c r="S211" s="5" t="str">
        <f t="shared" si="30"/>
        <v/>
      </c>
      <c r="T211" s="5" t="str">
        <f t="shared" si="31"/>
        <v/>
      </c>
      <c r="U211" s="5" t="str">
        <f t="shared" si="32"/>
        <v/>
      </c>
      <c r="V211" s="7" t="str">
        <f t="shared" si="33"/>
        <v/>
      </c>
      <c r="W211" s="8" t="str">
        <f t="shared" si="34"/>
        <v/>
      </c>
      <c r="X211" s="2"/>
      <c r="Y211" s="10"/>
      <c r="Z211" s="11" t="str">
        <f>IF(X211&lt;&gt;"执行卖出","",IFERROR(LOOKUP(2,1/(单次交易!$A$2:$A$201=B211),单次交易!$AP$2:$AP$201),""))</f>
        <v/>
      </c>
      <c r="AA211" s="10"/>
      <c r="AB211" s="8" t="str">
        <f t="shared" si="35"/>
        <v/>
      </c>
      <c r="AC211" s="8" t="str">
        <f>IF(A211="","",IF(A211="止损计划",IF(OR(B211="",D211="",E211="",F211="",G211=""),"计划不完整",IF(OR(D211&lt;1,D211&lt;&gt;INT(D211)),"阶段序号无效",IF(COUNTIFS($A$2:$A$497,"止损计划",$B$2:$B$497,B211,$D$2:$D$497,D211)&gt;1,"阶段序号重复",IF(E211&lt;=IFERROR(LOOKUP(2,1/(单次交易!$A$2:$A$201=B211),单次交易!$E$2:$E$201),0),"激活价须高于买入价",IF(F211&lt;N211,"止损价不得低于初始止损",IF(F211&gt;E211,"止损价不得高于激活价",IF(AND(COUNTIFS($A$2:$A$497,"止损计划",$B$2:$B$497,B211,$D$2:$D$497,"&lt;"&amp;D211)&gt;0,OR(E211&lt;=SUMPRODUCT(MAX((($A$2:$A$497="止损计划")*($B$2:$B$497=B211)*($D$2:$D$497&lt;D211))*$E$2:$E$497)),F211&lt;SUMPRODUCT(MAX((($A$2:$A$497="止损计划")*($B$2:$B$497=B211)*($D$2:$D$497&lt;D211))*$F$2:$F$497)))),"阶段价格必须逐级提高","计划有效"))))))),IF(A211="每日跟踪",IF(OR(B211="",H211="",I211="",J211=""),"每日数据不完整",IF(COUNTIFS($A$2:$A$497,"每日跟踪",$B$2:$B$497,B211,$H$2:$H$497,H211)&gt;1,"同一交易日期重复",IF(AND(R211&lt;&gt;"",R211&lt;S211),"人工止损无效：不能下调","跟踪有效"))),"记录类型无效")))</f>
        <v/>
      </c>
    </row>
    <row r="212" ht="17" spans="1:29">
      <c r="A212" s="2"/>
      <c r="B212" s="2"/>
      <c r="C212" s="8" t="str">
        <f>IF(B212="","",IFERROR(LOOKUP(2,1/(单次交易!$A$2:$A$201=B212),单次交易!$B$2:$B$201),""))</f>
        <v/>
      </c>
      <c r="D212" s="12"/>
      <c r="E212" s="10"/>
      <c r="F212" s="10"/>
      <c r="G212" s="2"/>
      <c r="H212" s="15"/>
      <c r="I212" s="10"/>
      <c r="J212" s="12"/>
      <c r="K212" s="2"/>
      <c r="L212" s="2"/>
      <c r="M212" s="2"/>
      <c r="N212" s="5" t="str">
        <f>IF(B212="","",IFERROR(LOOKUP(2,1/(单次交易!$A$2:$A$201=B212),单次交易!$N$2:$N$201),""))</f>
        <v/>
      </c>
      <c r="O212" s="5" t="str">
        <f t="shared" si="27"/>
        <v/>
      </c>
      <c r="P212" s="11" t="str">
        <f t="shared" si="28"/>
        <v/>
      </c>
      <c r="Q212" s="5" t="str">
        <f t="shared" si="29"/>
        <v/>
      </c>
      <c r="R212" s="10"/>
      <c r="S212" s="5" t="str">
        <f t="shared" si="30"/>
        <v/>
      </c>
      <c r="T212" s="5" t="str">
        <f t="shared" si="31"/>
        <v/>
      </c>
      <c r="U212" s="5" t="str">
        <f t="shared" si="32"/>
        <v/>
      </c>
      <c r="V212" s="7" t="str">
        <f t="shared" si="33"/>
        <v/>
      </c>
      <c r="W212" s="8" t="str">
        <f t="shared" si="34"/>
        <v/>
      </c>
      <c r="X212" s="2"/>
      <c r="Y212" s="10"/>
      <c r="Z212" s="11" t="str">
        <f>IF(X212&lt;&gt;"执行卖出","",IFERROR(LOOKUP(2,1/(单次交易!$A$2:$A$201=B212),单次交易!$AP$2:$AP$201),""))</f>
        <v/>
      </c>
      <c r="AA212" s="10"/>
      <c r="AB212" s="8" t="str">
        <f t="shared" si="35"/>
        <v/>
      </c>
      <c r="AC212" s="8" t="str">
        <f>IF(A212="","",IF(A212="止损计划",IF(OR(B212="",D212="",E212="",F212="",G212=""),"计划不完整",IF(OR(D212&lt;1,D212&lt;&gt;INT(D212)),"阶段序号无效",IF(COUNTIFS($A$2:$A$497,"止损计划",$B$2:$B$497,B212,$D$2:$D$497,D212)&gt;1,"阶段序号重复",IF(E212&lt;=IFERROR(LOOKUP(2,1/(单次交易!$A$2:$A$201=B212),单次交易!$E$2:$E$201),0),"激活价须高于买入价",IF(F212&lt;N212,"止损价不得低于初始止损",IF(F212&gt;E212,"止损价不得高于激活价",IF(AND(COUNTIFS($A$2:$A$497,"止损计划",$B$2:$B$497,B212,$D$2:$D$497,"&lt;"&amp;D212)&gt;0,OR(E212&lt;=SUMPRODUCT(MAX((($A$2:$A$497="止损计划")*($B$2:$B$497=B212)*($D$2:$D$497&lt;D212))*$E$2:$E$497)),F212&lt;SUMPRODUCT(MAX((($A$2:$A$497="止损计划")*($B$2:$B$497=B212)*($D$2:$D$497&lt;D212))*$F$2:$F$497)))),"阶段价格必须逐级提高","计划有效"))))))),IF(A212="每日跟踪",IF(OR(B212="",H212="",I212="",J212=""),"每日数据不完整",IF(COUNTIFS($A$2:$A$497,"每日跟踪",$B$2:$B$497,B212,$H$2:$H$497,H212)&gt;1,"同一交易日期重复",IF(AND(R212&lt;&gt;"",R212&lt;S212),"人工止损无效：不能下调","跟踪有效"))),"记录类型无效")))</f>
        <v/>
      </c>
    </row>
    <row r="213" ht="17" spans="1:29">
      <c r="A213" s="2"/>
      <c r="B213" s="2"/>
      <c r="C213" s="8" t="str">
        <f>IF(B213="","",IFERROR(LOOKUP(2,1/(单次交易!$A$2:$A$201=B213),单次交易!$B$2:$B$201),""))</f>
        <v/>
      </c>
      <c r="D213" s="12"/>
      <c r="E213" s="10"/>
      <c r="F213" s="10"/>
      <c r="G213" s="2"/>
      <c r="H213" s="15"/>
      <c r="I213" s="10"/>
      <c r="J213" s="12"/>
      <c r="K213" s="2"/>
      <c r="L213" s="2"/>
      <c r="M213" s="2"/>
      <c r="N213" s="5" t="str">
        <f>IF(B213="","",IFERROR(LOOKUP(2,1/(单次交易!$A$2:$A$201=B213),单次交易!$N$2:$N$201),""))</f>
        <v/>
      </c>
      <c r="O213" s="5" t="str">
        <f t="shared" si="27"/>
        <v/>
      </c>
      <c r="P213" s="11" t="str">
        <f t="shared" si="28"/>
        <v/>
      </c>
      <c r="Q213" s="5" t="str">
        <f t="shared" si="29"/>
        <v/>
      </c>
      <c r="R213" s="10"/>
      <c r="S213" s="5" t="str">
        <f t="shared" si="30"/>
        <v/>
      </c>
      <c r="T213" s="5" t="str">
        <f t="shared" si="31"/>
        <v/>
      </c>
      <c r="U213" s="5" t="str">
        <f t="shared" si="32"/>
        <v/>
      </c>
      <c r="V213" s="7" t="str">
        <f t="shared" si="33"/>
        <v/>
      </c>
      <c r="W213" s="8" t="str">
        <f t="shared" si="34"/>
        <v/>
      </c>
      <c r="X213" s="2"/>
      <c r="Y213" s="10"/>
      <c r="Z213" s="11" t="str">
        <f>IF(X213&lt;&gt;"执行卖出","",IFERROR(LOOKUP(2,1/(单次交易!$A$2:$A$201=B213),单次交易!$AP$2:$AP$201),""))</f>
        <v/>
      </c>
      <c r="AA213" s="10"/>
      <c r="AB213" s="8" t="str">
        <f t="shared" si="35"/>
        <v/>
      </c>
      <c r="AC213" s="8" t="str">
        <f>IF(A213="","",IF(A213="止损计划",IF(OR(B213="",D213="",E213="",F213="",G213=""),"计划不完整",IF(OR(D213&lt;1,D213&lt;&gt;INT(D213)),"阶段序号无效",IF(COUNTIFS($A$2:$A$497,"止损计划",$B$2:$B$497,B213,$D$2:$D$497,D213)&gt;1,"阶段序号重复",IF(E213&lt;=IFERROR(LOOKUP(2,1/(单次交易!$A$2:$A$201=B213),单次交易!$E$2:$E$201),0),"激活价须高于买入价",IF(F213&lt;N213,"止损价不得低于初始止损",IF(F213&gt;E213,"止损价不得高于激活价",IF(AND(COUNTIFS($A$2:$A$497,"止损计划",$B$2:$B$497,B213,$D$2:$D$497,"&lt;"&amp;D213)&gt;0,OR(E213&lt;=SUMPRODUCT(MAX((($A$2:$A$497="止损计划")*($B$2:$B$497=B213)*($D$2:$D$497&lt;D213))*$E$2:$E$497)),F213&lt;SUMPRODUCT(MAX((($A$2:$A$497="止损计划")*($B$2:$B$497=B213)*($D$2:$D$497&lt;D213))*$F$2:$F$497)))),"阶段价格必须逐级提高","计划有效"))))))),IF(A213="每日跟踪",IF(OR(B213="",H213="",I213="",J213=""),"每日数据不完整",IF(COUNTIFS($A$2:$A$497,"每日跟踪",$B$2:$B$497,B213,$H$2:$H$497,H213)&gt;1,"同一交易日期重复",IF(AND(R213&lt;&gt;"",R213&lt;S213),"人工止损无效：不能下调","跟踪有效"))),"记录类型无效")))</f>
        <v/>
      </c>
    </row>
    <row r="214" ht="17" spans="1:29">
      <c r="A214" s="2"/>
      <c r="B214" s="2"/>
      <c r="C214" s="8" t="str">
        <f>IF(B214="","",IFERROR(LOOKUP(2,1/(单次交易!$A$2:$A$201=B214),单次交易!$B$2:$B$201),""))</f>
        <v/>
      </c>
      <c r="D214" s="12"/>
      <c r="E214" s="10"/>
      <c r="F214" s="10"/>
      <c r="G214" s="2"/>
      <c r="H214" s="15"/>
      <c r="I214" s="10"/>
      <c r="J214" s="12"/>
      <c r="K214" s="2"/>
      <c r="L214" s="2"/>
      <c r="M214" s="2"/>
      <c r="N214" s="5" t="str">
        <f>IF(B214="","",IFERROR(LOOKUP(2,1/(单次交易!$A$2:$A$201=B214),单次交易!$N$2:$N$201),""))</f>
        <v/>
      </c>
      <c r="O214" s="5" t="str">
        <f t="shared" si="27"/>
        <v/>
      </c>
      <c r="P214" s="11" t="str">
        <f t="shared" si="28"/>
        <v/>
      </c>
      <c r="Q214" s="5" t="str">
        <f t="shared" si="29"/>
        <v/>
      </c>
      <c r="R214" s="10"/>
      <c r="S214" s="5" t="str">
        <f t="shared" si="30"/>
        <v/>
      </c>
      <c r="T214" s="5" t="str">
        <f t="shared" si="31"/>
        <v/>
      </c>
      <c r="U214" s="5" t="str">
        <f t="shared" si="32"/>
        <v/>
      </c>
      <c r="V214" s="7" t="str">
        <f t="shared" si="33"/>
        <v/>
      </c>
      <c r="W214" s="8" t="str">
        <f t="shared" si="34"/>
        <v/>
      </c>
      <c r="X214" s="2"/>
      <c r="Y214" s="10"/>
      <c r="Z214" s="11" t="str">
        <f>IF(X214&lt;&gt;"执行卖出","",IFERROR(LOOKUP(2,1/(单次交易!$A$2:$A$201=B214),单次交易!$AP$2:$AP$201),""))</f>
        <v/>
      </c>
      <c r="AA214" s="10"/>
      <c r="AB214" s="8" t="str">
        <f t="shared" si="35"/>
        <v/>
      </c>
      <c r="AC214" s="8" t="str">
        <f>IF(A214="","",IF(A214="止损计划",IF(OR(B214="",D214="",E214="",F214="",G214=""),"计划不完整",IF(OR(D214&lt;1,D214&lt;&gt;INT(D214)),"阶段序号无效",IF(COUNTIFS($A$2:$A$497,"止损计划",$B$2:$B$497,B214,$D$2:$D$497,D214)&gt;1,"阶段序号重复",IF(E214&lt;=IFERROR(LOOKUP(2,1/(单次交易!$A$2:$A$201=B214),单次交易!$E$2:$E$201),0),"激活价须高于买入价",IF(F214&lt;N214,"止损价不得低于初始止损",IF(F214&gt;E214,"止损价不得高于激活价",IF(AND(COUNTIFS($A$2:$A$497,"止损计划",$B$2:$B$497,B214,$D$2:$D$497,"&lt;"&amp;D214)&gt;0,OR(E214&lt;=SUMPRODUCT(MAX((($A$2:$A$497="止损计划")*($B$2:$B$497=B214)*($D$2:$D$497&lt;D214))*$E$2:$E$497)),F214&lt;SUMPRODUCT(MAX((($A$2:$A$497="止损计划")*($B$2:$B$497=B214)*($D$2:$D$497&lt;D214))*$F$2:$F$497)))),"阶段价格必须逐级提高","计划有效"))))))),IF(A214="每日跟踪",IF(OR(B214="",H214="",I214="",J214=""),"每日数据不完整",IF(COUNTIFS($A$2:$A$497,"每日跟踪",$B$2:$B$497,B214,$H$2:$H$497,H214)&gt;1,"同一交易日期重复",IF(AND(R214&lt;&gt;"",R214&lt;S214),"人工止损无效：不能下调","跟踪有效"))),"记录类型无效")))</f>
        <v/>
      </c>
    </row>
    <row r="215" ht="17" spans="1:29">
      <c r="A215" s="2"/>
      <c r="B215" s="2"/>
      <c r="C215" s="8" t="str">
        <f>IF(B215="","",IFERROR(LOOKUP(2,1/(单次交易!$A$2:$A$201=B215),单次交易!$B$2:$B$201),""))</f>
        <v/>
      </c>
      <c r="D215" s="12"/>
      <c r="E215" s="10"/>
      <c r="F215" s="10"/>
      <c r="G215" s="2"/>
      <c r="H215" s="15"/>
      <c r="I215" s="10"/>
      <c r="J215" s="12"/>
      <c r="K215" s="2"/>
      <c r="L215" s="2"/>
      <c r="M215" s="2"/>
      <c r="N215" s="5" t="str">
        <f>IF(B215="","",IFERROR(LOOKUP(2,1/(单次交易!$A$2:$A$201=B215),单次交易!$N$2:$N$201),""))</f>
        <v/>
      </c>
      <c r="O215" s="5" t="str">
        <f t="shared" si="27"/>
        <v/>
      </c>
      <c r="P215" s="11" t="str">
        <f t="shared" si="28"/>
        <v/>
      </c>
      <c r="Q215" s="5" t="str">
        <f t="shared" si="29"/>
        <v/>
      </c>
      <c r="R215" s="10"/>
      <c r="S215" s="5" t="str">
        <f t="shared" si="30"/>
        <v/>
      </c>
      <c r="T215" s="5" t="str">
        <f t="shared" si="31"/>
        <v/>
      </c>
      <c r="U215" s="5" t="str">
        <f t="shared" si="32"/>
        <v/>
      </c>
      <c r="V215" s="7" t="str">
        <f t="shared" si="33"/>
        <v/>
      </c>
      <c r="W215" s="8" t="str">
        <f t="shared" si="34"/>
        <v/>
      </c>
      <c r="X215" s="2"/>
      <c r="Y215" s="10"/>
      <c r="Z215" s="11" t="str">
        <f>IF(X215&lt;&gt;"执行卖出","",IFERROR(LOOKUP(2,1/(单次交易!$A$2:$A$201=B215),单次交易!$AP$2:$AP$201),""))</f>
        <v/>
      </c>
      <c r="AA215" s="10"/>
      <c r="AB215" s="8" t="str">
        <f t="shared" si="35"/>
        <v/>
      </c>
      <c r="AC215" s="8" t="str">
        <f>IF(A215="","",IF(A215="止损计划",IF(OR(B215="",D215="",E215="",F215="",G215=""),"计划不完整",IF(OR(D215&lt;1,D215&lt;&gt;INT(D215)),"阶段序号无效",IF(COUNTIFS($A$2:$A$497,"止损计划",$B$2:$B$497,B215,$D$2:$D$497,D215)&gt;1,"阶段序号重复",IF(E215&lt;=IFERROR(LOOKUP(2,1/(单次交易!$A$2:$A$201=B215),单次交易!$E$2:$E$201),0),"激活价须高于买入价",IF(F215&lt;N215,"止损价不得低于初始止损",IF(F215&gt;E215,"止损价不得高于激活价",IF(AND(COUNTIFS($A$2:$A$497,"止损计划",$B$2:$B$497,B215,$D$2:$D$497,"&lt;"&amp;D215)&gt;0,OR(E215&lt;=SUMPRODUCT(MAX((($A$2:$A$497="止损计划")*($B$2:$B$497=B215)*($D$2:$D$497&lt;D215))*$E$2:$E$497)),F215&lt;SUMPRODUCT(MAX((($A$2:$A$497="止损计划")*($B$2:$B$497=B215)*($D$2:$D$497&lt;D215))*$F$2:$F$497)))),"阶段价格必须逐级提高","计划有效"))))))),IF(A215="每日跟踪",IF(OR(B215="",H215="",I215="",J215=""),"每日数据不完整",IF(COUNTIFS($A$2:$A$497,"每日跟踪",$B$2:$B$497,B215,$H$2:$H$497,H215)&gt;1,"同一交易日期重复",IF(AND(R215&lt;&gt;"",R215&lt;S215),"人工止损无效：不能下调","跟踪有效"))),"记录类型无效")))</f>
        <v/>
      </c>
    </row>
    <row r="216" ht="17" spans="1:29">
      <c r="A216" s="2"/>
      <c r="B216" s="2"/>
      <c r="C216" s="8" t="str">
        <f>IF(B216="","",IFERROR(LOOKUP(2,1/(单次交易!$A$2:$A$201=B216),单次交易!$B$2:$B$201),""))</f>
        <v/>
      </c>
      <c r="D216" s="12"/>
      <c r="E216" s="10"/>
      <c r="F216" s="10"/>
      <c r="G216" s="2"/>
      <c r="H216" s="15"/>
      <c r="I216" s="10"/>
      <c r="J216" s="12"/>
      <c r="K216" s="2"/>
      <c r="L216" s="2"/>
      <c r="M216" s="2"/>
      <c r="N216" s="5" t="str">
        <f>IF(B216="","",IFERROR(LOOKUP(2,1/(单次交易!$A$2:$A$201=B216),单次交易!$N$2:$N$201),""))</f>
        <v/>
      </c>
      <c r="O216" s="5" t="str">
        <f t="shared" si="27"/>
        <v/>
      </c>
      <c r="P216" s="11" t="str">
        <f t="shared" si="28"/>
        <v/>
      </c>
      <c r="Q216" s="5" t="str">
        <f t="shared" si="29"/>
        <v/>
      </c>
      <c r="R216" s="10"/>
      <c r="S216" s="5" t="str">
        <f t="shared" si="30"/>
        <v/>
      </c>
      <c r="T216" s="5" t="str">
        <f t="shared" si="31"/>
        <v/>
      </c>
      <c r="U216" s="5" t="str">
        <f t="shared" si="32"/>
        <v/>
      </c>
      <c r="V216" s="7" t="str">
        <f t="shared" si="33"/>
        <v/>
      </c>
      <c r="W216" s="8" t="str">
        <f t="shared" si="34"/>
        <v/>
      </c>
      <c r="X216" s="2"/>
      <c r="Y216" s="10"/>
      <c r="Z216" s="11" t="str">
        <f>IF(X216&lt;&gt;"执行卖出","",IFERROR(LOOKUP(2,1/(单次交易!$A$2:$A$201=B216),单次交易!$AP$2:$AP$201),""))</f>
        <v/>
      </c>
      <c r="AA216" s="10"/>
      <c r="AB216" s="8" t="str">
        <f t="shared" si="35"/>
        <v/>
      </c>
      <c r="AC216" s="8" t="str">
        <f>IF(A216="","",IF(A216="止损计划",IF(OR(B216="",D216="",E216="",F216="",G216=""),"计划不完整",IF(OR(D216&lt;1,D216&lt;&gt;INT(D216)),"阶段序号无效",IF(COUNTIFS($A$2:$A$497,"止损计划",$B$2:$B$497,B216,$D$2:$D$497,D216)&gt;1,"阶段序号重复",IF(E216&lt;=IFERROR(LOOKUP(2,1/(单次交易!$A$2:$A$201=B216),单次交易!$E$2:$E$201),0),"激活价须高于买入价",IF(F216&lt;N216,"止损价不得低于初始止损",IF(F216&gt;E216,"止损价不得高于激活价",IF(AND(COUNTIFS($A$2:$A$497,"止损计划",$B$2:$B$497,B216,$D$2:$D$497,"&lt;"&amp;D216)&gt;0,OR(E216&lt;=SUMPRODUCT(MAX((($A$2:$A$497="止损计划")*($B$2:$B$497=B216)*($D$2:$D$497&lt;D216))*$E$2:$E$497)),F216&lt;SUMPRODUCT(MAX((($A$2:$A$497="止损计划")*($B$2:$B$497=B216)*($D$2:$D$497&lt;D216))*$F$2:$F$497)))),"阶段价格必须逐级提高","计划有效"))))))),IF(A216="每日跟踪",IF(OR(B216="",H216="",I216="",J216=""),"每日数据不完整",IF(COUNTIFS($A$2:$A$497,"每日跟踪",$B$2:$B$497,B216,$H$2:$H$497,H216)&gt;1,"同一交易日期重复",IF(AND(R216&lt;&gt;"",R216&lt;S216),"人工止损无效：不能下调","跟踪有效"))),"记录类型无效")))</f>
        <v/>
      </c>
    </row>
    <row r="217" ht="17" spans="1:29">
      <c r="A217" s="2"/>
      <c r="B217" s="2"/>
      <c r="C217" s="8" t="str">
        <f>IF(B217="","",IFERROR(LOOKUP(2,1/(单次交易!$A$2:$A$201=B217),单次交易!$B$2:$B$201),""))</f>
        <v/>
      </c>
      <c r="D217" s="12"/>
      <c r="E217" s="10"/>
      <c r="F217" s="10"/>
      <c r="G217" s="2"/>
      <c r="H217" s="15"/>
      <c r="I217" s="10"/>
      <c r="J217" s="12"/>
      <c r="K217" s="2"/>
      <c r="L217" s="2"/>
      <c r="M217" s="2"/>
      <c r="N217" s="5" t="str">
        <f>IF(B217="","",IFERROR(LOOKUP(2,1/(单次交易!$A$2:$A$201=B217),单次交易!$N$2:$N$201),""))</f>
        <v/>
      </c>
      <c r="O217" s="5" t="str">
        <f t="shared" si="27"/>
        <v/>
      </c>
      <c r="P217" s="11" t="str">
        <f t="shared" si="28"/>
        <v/>
      </c>
      <c r="Q217" s="5" t="str">
        <f t="shared" si="29"/>
        <v/>
      </c>
      <c r="R217" s="10"/>
      <c r="S217" s="5" t="str">
        <f t="shared" si="30"/>
        <v/>
      </c>
      <c r="T217" s="5" t="str">
        <f t="shared" si="31"/>
        <v/>
      </c>
      <c r="U217" s="5" t="str">
        <f t="shared" si="32"/>
        <v/>
      </c>
      <c r="V217" s="7" t="str">
        <f t="shared" si="33"/>
        <v/>
      </c>
      <c r="W217" s="8" t="str">
        <f t="shared" si="34"/>
        <v/>
      </c>
      <c r="X217" s="2"/>
      <c r="Y217" s="10"/>
      <c r="Z217" s="11" t="str">
        <f>IF(X217&lt;&gt;"执行卖出","",IFERROR(LOOKUP(2,1/(单次交易!$A$2:$A$201=B217),单次交易!$AP$2:$AP$201),""))</f>
        <v/>
      </c>
      <c r="AA217" s="10"/>
      <c r="AB217" s="8" t="str">
        <f t="shared" si="35"/>
        <v/>
      </c>
      <c r="AC217" s="8" t="str">
        <f>IF(A217="","",IF(A217="止损计划",IF(OR(B217="",D217="",E217="",F217="",G217=""),"计划不完整",IF(OR(D217&lt;1,D217&lt;&gt;INT(D217)),"阶段序号无效",IF(COUNTIFS($A$2:$A$497,"止损计划",$B$2:$B$497,B217,$D$2:$D$497,D217)&gt;1,"阶段序号重复",IF(E217&lt;=IFERROR(LOOKUP(2,1/(单次交易!$A$2:$A$201=B217),单次交易!$E$2:$E$201),0),"激活价须高于买入价",IF(F217&lt;N217,"止损价不得低于初始止损",IF(F217&gt;E217,"止损价不得高于激活价",IF(AND(COUNTIFS($A$2:$A$497,"止损计划",$B$2:$B$497,B217,$D$2:$D$497,"&lt;"&amp;D217)&gt;0,OR(E217&lt;=SUMPRODUCT(MAX((($A$2:$A$497="止损计划")*($B$2:$B$497=B217)*($D$2:$D$497&lt;D217))*$E$2:$E$497)),F217&lt;SUMPRODUCT(MAX((($A$2:$A$497="止损计划")*($B$2:$B$497=B217)*($D$2:$D$497&lt;D217))*$F$2:$F$497)))),"阶段价格必须逐级提高","计划有效"))))))),IF(A217="每日跟踪",IF(OR(B217="",H217="",I217="",J217=""),"每日数据不完整",IF(COUNTIFS($A$2:$A$497,"每日跟踪",$B$2:$B$497,B217,$H$2:$H$497,H217)&gt;1,"同一交易日期重复",IF(AND(R217&lt;&gt;"",R217&lt;S217),"人工止损无效：不能下调","跟踪有效"))),"记录类型无效")))</f>
        <v/>
      </c>
    </row>
    <row r="218" ht="17" spans="1:29">
      <c r="A218" s="2"/>
      <c r="B218" s="2"/>
      <c r="C218" s="8" t="str">
        <f>IF(B218="","",IFERROR(LOOKUP(2,1/(单次交易!$A$2:$A$201=B218),单次交易!$B$2:$B$201),""))</f>
        <v/>
      </c>
      <c r="D218" s="12"/>
      <c r="E218" s="10"/>
      <c r="F218" s="10"/>
      <c r="G218" s="2"/>
      <c r="H218" s="15"/>
      <c r="I218" s="10"/>
      <c r="J218" s="12"/>
      <c r="K218" s="2"/>
      <c r="L218" s="2"/>
      <c r="M218" s="2"/>
      <c r="N218" s="5" t="str">
        <f>IF(B218="","",IFERROR(LOOKUP(2,1/(单次交易!$A$2:$A$201=B218),单次交易!$N$2:$N$201),""))</f>
        <v/>
      </c>
      <c r="O218" s="5" t="str">
        <f t="shared" si="27"/>
        <v/>
      </c>
      <c r="P218" s="11" t="str">
        <f t="shared" si="28"/>
        <v/>
      </c>
      <c r="Q218" s="5" t="str">
        <f t="shared" si="29"/>
        <v/>
      </c>
      <c r="R218" s="10"/>
      <c r="S218" s="5" t="str">
        <f t="shared" si="30"/>
        <v/>
      </c>
      <c r="T218" s="5" t="str">
        <f t="shared" si="31"/>
        <v/>
      </c>
      <c r="U218" s="5" t="str">
        <f t="shared" si="32"/>
        <v/>
      </c>
      <c r="V218" s="7" t="str">
        <f t="shared" si="33"/>
        <v/>
      </c>
      <c r="W218" s="8" t="str">
        <f t="shared" si="34"/>
        <v/>
      </c>
      <c r="X218" s="2"/>
      <c r="Y218" s="10"/>
      <c r="Z218" s="11" t="str">
        <f>IF(X218&lt;&gt;"执行卖出","",IFERROR(LOOKUP(2,1/(单次交易!$A$2:$A$201=B218),单次交易!$AP$2:$AP$201),""))</f>
        <v/>
      </c>
      <c r="AA218" s="10"/>
      <c r="AB218" s="8" t="str">
        <f t="shared" si="35"/>
        <v/>
      </c>
      <c r="AC218" s="8" t="str">
        <f>IF(A218="","",IF(A218="止损计划",IF(OR(B218="",D218="",E218="",F218="",G218=""),"计划不完整",IF(OR(D218&lt;1,D218&lt;&gt;INT(D218)),"阶段序号无效",IF(COUNTIFS($A$2:$A$497,"止损计划",$B$2:$B$497,B218,$D$2:$D$497,D218)&gt;1,"阶段序号重复",IF(E218&lt;=IFERROR(LOOKUP(2,1/(单次交易!$A$2:$A$201=B218),单次交易!$E$2:$E$201),0),"激活价须高于买入价",IF(F218&lt;N218,"止损价不得低于初始止损",IF(F218&gt;E218,"止损价不得高于激活价",IF(AND(COUNTIFS($A$2:$A$497,"止损计划",$B$2:$B$497,B218,$D$2:$D$497,"&lt;"&amp;D218)&gt;0,OR(E218&lt;=SUMPRODUCT(MAX((($A$2:$A$497="止损计划")*($B$2:$B$497=B218)*($D$2:$D$497&lt;D218))*$E$2:$E$497)),F218&lt;SUMPRODUCT(MAX((($A$2:$A$497="止损计划")*($B$2:$B$497=B218)*($D$2:$D$497&lt;D218))*$F$2:$F$497)))),"阶段价格必须逐级提高","计划有效"))))))),IF(A218="每日跟踪",IF(OR(B218="",H218="",I218="",J218=""),"每日数据不完整",IF(COUNTIFS($A$2:$A$497,"每日跟踪",$B$2:$B$497,B218,$H$2:$H$497,H218)&gt;1,"同一交易日期重复",IF(AND(R218&lt;&gt;"",R218&lt;S218),"人工止损无效：不能下调","跟踪有效"))),"记录类型无效")))</f>
        <v/>
      </c>
    </row>
    <row r="219" ht="17" spans="1:29">
      <c r="A219" s="2"/>
      <c r="B219" s="2"/>
      <c r="C219" s="8" t="str">
        <f>IF(B219="","",IFERROR(LOOKUP(2,1/(单次交易!$A$2:$A$201=B219),单次交易!$B$2:$B$201),""))</f>
        <v/>
      </c>
      <c r="D219" s="12"/>
      <c r="E219" s="10"/>
      <c r="F219" s="10"/>
      <c r="G219" s="2"/>
      <c r="H219" s="15"/>
      <c r="I219" s="10"/>
      <c r="J219" s="12"/>
      <c r="K219" s="2"/>
      <c r="L219" s="2"/>
      <c r="M219" s="2"/>
      <c r="N219" s="5" t="str">
        <f>IF(B219="","",IFERROR(LOOKUP(2,1/(单次交易!$A$2:$A$201=B219),单次交易!$N$2:$N$201),""))</f>
        <v/>
      </c>
      <c r="O219" s="5" t="str">
        <f t="shared" si="27"/>
        <v/>
      </c>
      <c r="P219" s="11" t="str">
        <f t="shared" si="28"/>
        <v/>
      </c>
      <c r="Q219" s="5" t="str">
        <f t="shared" si="29"/>
        <v/>
      </c>
      <c r="R219" s="10"/>
      <c r="S219" s="5" t="str">
        <f t="shared" si="30"/>
        <v/>
      </c>
      <c r="T219" s="5" t="str">
        <f t="shared" si="31"/>
        <v/>
      </c>
      <c r="U219" s="5" t="str">
        <f t="shared" si="32"/>
        <v/>
      </c>
      <c r="V219" s="7" t="str">
        <f t="shared" si="33"/>
        <v/>
      </c>
      <c r="W219" s="8" t="str">
        <f t="shared" si="34"/>
        <v/>
      </c>
      <c r="X219" s="2"/>
      <c r="Y219" s="10"/>
      <c r="Z219" s="11" t="str">
        <f>IF(X219&lt;&gt;"执行卖出","",IFERROR(LOOKUP(2,1/(单次交易!$A$2:$A$201=B219),单次交易!$AP$2:$AP$201),""))</f>
        <v/>
      </c>
      <c r="AA219" s="10"/>
      <c r="AB219" s="8" t="str">
        <f t="shared" si="35"/>
        <v/>
      </c>
      <c r="AC219" s="8" t="str">
        <f>IF(A219="","",IF(A219="止损计划",IF(OR(B219="",D219="",E219="",F219="",G219=""),"计划不完整",IF(OR(D219&lt;1,D219&lt;&gt;INT(D219)),"阶段序号无效",IF(COUNTIFS($A$2:$A$497,"止损计划",$B$2:$B$497,B219,$D$2:$D$497,D219)&gt;1,"阶段序号重复",IF(E219&lt;=IFERROR(LOOKUP(2,1/(单次交易!$A$2:$A$201=B219),单次交易!$E$2:$E$201),0),"激活价须高于买入价",IF(F219&lt;N219,"止损价不得低于初始止损",IF(F219&gt;E219,"止损价不得高于激活价",IF(AND(COUNTIFS($A$2:$A$497,"止损计划",$B$2:$B$497,B219,$D$2:$D$497,"&lt;"&amp;D219)&gt;0,OR(E219&lt;=SUMPRODUCT(MAX((($A$2:$A$497="止损计划")*($B$2:$B$497=B219)*($D$2:$D$497&lt;D219))*$E$2:$E$497)),F219&lt;SUMPRODUCT(MAX((($A$2:$A$497="止损计划")*($B$2:$B$497=B219)*($D$2:$D$497&lt;D219))*$F$2:$F$497)))),"阶段价格必须逐级提高","计划有效"))))))),IF(A219="每日跟踪",IF(OR(B219="",H219="",I219="",J219=""),"每日数据不完整",IF(COUNTIFS($A$2:$A$497,"每日跟踪",$B$2:$B$497,B219,$H$2:$H$497,H219)&gt;1,"同一交易日期重复",IF(AND(R219&lt;&gt;"",R219&lt;S219),"人工止损无效：不能下调","跟踪有效"))),"记录类型无效")))</f>
        <v/>
      </c>
    </row>
    <row r="220" ht="17" spans="1:29">
      <c r="A220" s="2"/>
      <c r="B220" s="2"/>
      <c r="C220" s="8" t="str">
        <f>IF(B220="","",IFERROR(LOOKUP(2,1/(单次交易!$A$2:$A$201=B220),单次交易!$B$2:$B$201),""))</f>
        <v/>
      </c>
      <c r="D220" s="12"/>
      <c r="E220" s="10"/>
      <c r="F220" s="10"/>
      <c r="G220" s="2"/>
      <c r="H220" s="15"/>
      <c r="I220" s="10"/>
      <c r="J220" s="12"/>
      <c r="K220" s="2"/>
      <c r="L220" s="2"/>
      <c r="M220" s="2"/>
      <c r="N220" s="5" t="str">
        <f>IF(B220="","",IFERROR(LOOKUP(2,1/(单次交易!$A$2:$A$201=B220),单次交易!$N$2:$N$201),""))</f>
        <v/>
      </c>
      <c r="O220" s="5" t="str">
        <f t="shared" si="27"/>
        <v/>
      </c>
      <c r="P220" s="11" t="str">
        <f t="shared" si="28"/>
        <v/>
      </c>
      <c r="Q220" s="5" t="str">
        <f t="shared" si="29"/>
        <v/>
      </c>
      <c r="R220" s="10"/>
      <c r="S220" s="5" t="str">
        <f t="shared" si="30"/>
        <v/>
      </c>
      <c r="T220" s="5" t="str">
        <f t="shared" si="31"/>
        <v/>
      </c>
      <c r="U220" s="5" t="str">
        <f t="shared" si="32"/>
        <v/>
      </c>
      <c r="V220" s="7" t="str">
        <f t="shared" si="33"/>
        <v/>
      </c>
      <c r="W220" s="8" t="str">
        <f t="shared" si="34"/>
        <v/>
      </c>
      <c r="X220" s="2"/>
      <c r="Y220" s="10"/>
      <c r="Z220" s="11" t="str">
        <f>IF(X220&lt;&gt;"执行卖出","",IFERROR(LOOKUP(2,1/(单次交易!$A$2:$A$201=B220),单次交易!$AP$2:$AP$201),""))</f>
        <v/>
      </c>
      <c r="AA220" s="10"/>
      <c r="AB220" s="8" t="str">
        <f t="shared" si="35"/>
        <v/>
      </c>
      <c r="AC220" s="8" t="str">
        <f>IF(A220="","",IF(A220="止损计划",IF(OR(B220="",D220="",E220="",F220="",G220=""),"计划不完整",IF(OR(D220&lt;1,D220&lt;&gt;INT(D220)),"阶段序号无效",IF(COUNTIFS($A$2:$A$497,"止损计划",$B$2:$B$497,B220,$D$2:$D$497,D220)&gt;1,"阶段序号重复",IF(E220&lt;=IFERROR(LOOKUP(2,1/(单次交易!$A$2:$A$201=B220),单次交易!$E$2:$E$201),0),"激活价须高于买入价",IF(F220&lt;N220,"止损价不得低于初始止损",IF(F220&gt;E220,"止损价不得高于激活价",IF(AND(COUNTIFS($A$2:$A$497,"止损计划",$B$2:$B$497,B220,$D$2:$D$497,"&lt;"&amp;D220)&gt;0,OR(E220&lt;=SUMPRODUCT(MAX((($A$2:$A$497="止损计划")*($B$2:$B$497=B220)*($D$2:$D$497&lt;D220))*$E$2:$E$497)),F220&lt;SUMPRODUCT(MAX((($A$2:$A$497="止损计划")*($B$2:$B$497=B220)*($D$2:$D$497&lt;D220))*$F$2:$F$497)))),"阶段价格必须逐级提高","计划有效"))))))),IF(A220="每日跟踪",IF(OR(B220="",H220="",I220="",J220=""),"每日数据不完整",IF(COUNTIFS($A$2:$A$497,"每日跟踪",$B$2:$B$497,B220,$H$2:$H$497,H220)&gt;1,"同一交易日期重复",IF(AND(R220&lt;&gt;"",R220&lt;S220),"人工止损无效：不能下调","跟踪有效"))),"记录类型无效")))</f>
        <v/>
      </c>
    </row>
    <row r="221" ht="17" spans="1:29">
      <c r="A221" s="2"/>
      <c r="B221" s="2"/>
      <c r="C221" s="8" t="str">
        <f>IF(B221="","",IFERROR(LOOKUP(2,1/(单次交易!$A$2:$A$201=B221),单次交易!$B$2:$B$201),""))</f>
        <v/>
      </c>
      <c r="D221" s="12"/>
      <c r="E221" s="10"/>
      <c r="F221" s="10"/>
      <c r="G221" s="2"/>
      <c r="H221" s="15"/>
      <c r="I221" s="10"/>
      <c r="J221" s="12"/>
      <c r="K221" s="2"/>
      <c r="L221" s="2"/>
      <c r="M221" s="2"/>
      <c r="N221" s="5" t="str">
        <f>IF(B221="","",IFERROR(LOOKUP(2,1/(单次交易!$A$2:$A$201=B221),单次交易!$N$2:$N$201),""))</f>
        <v/>
      </c>
      <c r="O221" s="5" t="str">
        <f t="shared" si="27"/>
        <v/>
      </c>
      <c r="P221" s="11" t="str">
        <f t="shared" si="28"/>
        <v/>
      </c>
      <c r="Q221" s="5" t="str">
        <f t="shared" si="29"/>
        <v/>
      </c>
      <c r="R221" s="10"/>
      <c r="S221" s="5" t="str">
        <f t="shared" si="30"/>
        <v/>
      </c>
      <c r="T221" s="5" t="str">
        <f t="shared" si="31"/>
        <v/>
      </c>
      <c r="U221" s="5" t="str">
        <f t="shared" si="32"/>
        <v/>
      </c>
      <c r="V221" s="7" t="str">
        <f t="shared" si="33"/>
        <v/>
      </c>
      <c r="W221" s="8" t="str">
        <f t="shared" si="34"/>
        <v/>
      </c>
      <c r="X221" s="2"/>
      <c r="Y221" s="10"/>
      <c r="Z221" s="11" t="str">
        <f>IF(X221&lt;&gt;"执行卖出","",IFERROR(LOOKUP(2,1/(单次交易!$A$2:$A$201=B221),单次交易!$AP$2:$AP$201),""))</f>
        <v/>
      </c>
      <c r="AA221" s="10"/>
      <c r="AB221" s="8" t="str">
        <f t="shared" si="35"/>
        <v/>
      </c>
      <c r="AC221" s="8" t="str">
        <f>IF(A221="","",IF(A221="止损计划",IF(OR(B221="",D221="",E221="",F221="",G221=""),"计划不完整",IF(OR(D221&lt;1,D221&lt;&gt;INT(D221)),"阶段序号无效",IF(COUNTIFS($A$2:$A$497,"止损计划",$B$2:$B$497,B221,$D$2:$D$497,D221)&gt;1,"阶段序号重复",IF(E221&lt;=IFERROR(LOOKUP(2,1/(单次交易!$A$2:$A$201=B221),单次交易!$E$2:$E$201),0),"激活价须高于买入价",IF(F221&lt;N221,"止损价不得低于初始止损",IF(F221&gt;E221,"止损价不得高于激活价",IF(AND(COUNTIFS($A$2:$A$497,"止损计划",$B$2:$B$497,B221,$D$2:$D$497,"&lt;"&amp;D221)&gt;0,OR(E221&lt;=SUMPRODUCT(MAX((($A$2:$A$497="止损计划")*($B$2:$B$497=B221)*($D$2:$D$497&lt;D221))*$E$2:$E$497)),F221&lt;SUMPRODUCT(MAX((($A$2:$A$497="止损计划")*($B$2:$B$497=B221)*($D$2:$D$497&lt;D221))*$F$2:$F$497)))),"阶段价格必须逐级提高","计划有效"))))))),IF(A221="每日跟踪",IF(OR(B221="",H221="",I221="",J221=""),"每日数据不完整",IF(COUNTIFS($A$2:$A$497,"每日跟踪",$B$2:$B$497,B221,$H$2:$H$497,H221)&gt;1,"同一交易日期重复",IF(AND(R221&lt;&gt;"",R221&lt;S221),"人工止损无效：不能下调","跟踪有效"))),"记录类型无效")))</f>
        <v/>
      </c>
    </row>
    <row r="222" ht="17" spans="1:29">
      <c r="A222" s="2"/>
      <c r="B222" s="2"/>
      <c r="C222" s="8" t="str">
        <f>IF(B222="","",IFERROR(LOOKUP(2,1/(单次交易!$A$2:$A$201=B222),单次交易!$B$2:$B$201),""))</f>
        <v/>
      </c>
      <c r="D222" s="12"/>
      <c r="E222" s="10"/>
      <c r="F222" s="10"/>
      <c r="G222" s="2"/>
      <c r="H222" s="15"/>
      <c r="I222" s="10"/>
      <c r="J222" s="12"/>
      <c r="K222" s="2"/>
      <c r="L222" s="2"/>
      <c r="M222" s="2"/>
      <c r="N222" s="5" t="str">
        <f>IF(B222="","",IFERROR(LOOKUP(2,1/(单次交易!$A$2:$A$201=B222),单次交易!$N$2:$N$201),""))</f>
        <v/>
      </c>
      <c r="O222" s="5" t="str">
        <f t="shared" si="27"/>
        <v/>
      </c>
      <c r="P222" s="11" t="str">
        <f t="shared" si="28"/>
        <v/>
      </c>
      <c r="Q222" s="5" t="str">
        <f t="shared" si="29"/>
        <v/>
      </c>
      <c r="R222" s="10"/>
      <c r="S222" s="5" t="str">
        <f t="shared" si="30"/>
        <v/>
      </c>
      <c r="T222" s="5" t="str">
        <f t="shared" si="31"/>
        <v/>
      </c>
      <c r="U222" s="5" t="str">
        <f t="shared" si="32"/>
        <v/>
      </c>
      <c r="V222" s="7" t="str">
        <f t="shared" si="33"/>
        <v/>
      </c>
      <c r="W222" s="8" t="str">
        <f t="shared" si="34"/>
        <v/>
      </c>
      <c r="X222" s="2"/>
      <c r="Y222" s="10"/>
      <c r="Z222" s="11" t="str">
        <f>IF(X222&lt;&gt;"执行卖出","",IFERROR(LOOKUP(2,1/(单次交易!$A$2:$A$201=B222),单次交易!$AP$2:$AP$201),""))</f>
        <v/>
      </c>
      <c r="AA222" s="10"/>
      <c r="AB222" s="8" t="str">
        <f t="shared" si="35"/>
        <v/>
      </c>
      <c r="AC222" s="8" t="str">
        <f>IF(A222="","",IF(A222="止损计划",IF(OR(B222="",D222="",E222="",F222="",G222=""),"计划不完整",IF(OR(D222&lt;1,D222&lt;&gt;INT(D222)),"阶段序号无效",IF(COUNTIFS($A$2:$A$497,"止损计划",$B$2:$B$497,B222,$D$2:$D$497,D222)&gt;1,"阶段序号重复",IF(E222&lt;=IFERROR(LOOKUP(2,1/(单次交易!$A$2:$A$201=B222),单次交易!$E$2:$E$201),0),"激活价须高于买入价",IF(F222&lt;N222,"止损价不得低于初始止损",IF(F222&gt;E222,"止损价不得高于激活价",IF(AND(COUNTIFS($A$2:$A$497,"止损计划",$B$2:$B$497,B222,$D$2:$D$497,"&lt;"&amp;D222)&gt;0,OR(E222&lt;=SUMPRODUCT(MAX((($A$2:$A$497="止损计划")*($B$2:$B$497=B222)*($D$2:$D$497&lt;D222))*$E$2:$E$497)),F222&lt;SUMPRODUCT(MAX((($A$2:$A$497="止损计划")*($B$2:$B$497=B222)*($D$2:$D$497&lt;D222))*$F$2:$F$497)))),"阶段价格必须逐级提高","计划有效"))))))),IF(A222="每日跟踪",IF(OR(B222="",H222="",I222="",J222=""),"每日数据不完整",IF(COUNTIFS($A$2:$A$497,"每日跟踪",$B$2:$B$497,B222,$H$2:$H$497,H222)&gt;1,"同一交易日期重复",IF(AND(R222&lt;&gt;"",R222&lt;S222),"人工止损无效：不能下调","跟踪有效"))),"记录类型无效")))</f>
        <v/>
      </c>
    </row>
    <row r="223" ht="17" spans="1:29">
      <c r="A223" s="2"/>
      <c r="B223" s="2"/>
      <c r="C223" s="8" t="str">
        <f>IF(B223="","",IFERROR(LOOKUP(2,1/(单次交易!$A$2:$A$201=B223),单次交易!$B$2:$B$201),""))</f>
        <v/>
      </c>
      <c r="D223" s="12"/>
      <c r="E223" s="10"/>
      <c r="F223" s="10"/>
      <c r="G223" s="2"/>
      <c r="H223" s="15"/>
      <c r="I223" s="10"/>
      <c r="J223" s="12"/>
      <c r="K223" s="2"/>
      <c r="L223" s="2"/>
      <c r="M223" s="2"/>
      <c r="N223" s="5" t="str">
        <f>IF(B223="","",IFERROR(LOOKUP(2,1/(单次交易!$A$2:$A$201=B223),单次交易!$N$2:$N$201),""))</f>
        <v/>
      </c>
      <c r="O223" s="5" t="str">
        <f t="shared" si="27"/>
        <v/>
      </c>
      <c r="P223" s="11" t="str">
        <f t="shared" si="28"/>
        <v/>
      </c>
      <c r="Q223" s="5" t="str">
        <f t="shared" si="29"/>
        <v/>
      </c>
      <c r="R223" s="10"/>
      <c r="S223" s="5" t="str">
        <f t="shared" si="30"/>
        <v/>
      </c>
      <c r="T223" s="5" t="str">
        <f t="shared" si="31"/>
        <v/>
      </c>
      <c r="U223" s="5" t="str">
        <f t="shared" si="32"/>
        <v/>
      </c>
      <c r="V223" s="7" t="str">
        <f t="shared" si="33"/>
        <v/>
      </c>
      <c r="W223" s="8" t="str">
        <f t="shared" si="34"/>
        <v/>
      </c>
      <c r="X223" s="2"/>
      <c r="Y223" s="10"/>
      <c r="Z223" s="11" t="str">
        <f>IF(X223&lt;&gt;"执行卖出","",IFERROR(LOOKUP(2,1/(单次交易!$A$2:$A$201=B223),单次交易!$AP$2:$AP$201),""))</f>
        <v/>
      </c>
      <c r="AA223" s="10"/>
      <c r="AB223" s="8" t="str">
        <f t="shared" si="35"/>
        <v/>
      </c>
      <c r="AC223" s="8" t="str">
        <f>IF(A223="","",IF(A223="止损计划",IF(OR(B223="",D223="",E223="",F223="",G223=""),"计划不完整",IF(OR(D223&lt;1,D223&lt;&gt;INT(D223)),"阶段序号无效",IF(COUNTIFS($A$2:$A$497,"止损计划",$B$2:$B$497,B223,$D$2:$D$497,D223)&gt;1,"阶段序号重复",IF(E223&lt;=IFERROR(LOOKUP(2,1/(单次交易!$A$2:$A$201=B223),单次交易!$E$2:$E$201),0),"激活价须高于买入价",IF(F223&lt;N223,"止损价不得低于初始止损",IF(F223&gt;E223,"止损价不得高于激活价",IF(AND(COUNTIFS($A$2:$A$497,"止损计划",$B$2:$B$497,B223,$D$2:$D$497,"&lt;"&amp;D223)&gt;0,OR(E223&lt;=SUMPRODUCT(MAX((($A$2:$A$497="止损计划")*($B$2:$B$497=B223)*($D$2:$D$497&lt;D223))*$E$2:$E$497)),F223&lt;SUMPRODUCT(MAX((($A$2:$A$497="止损计划")*($B$2:$B$497=B223)*($D$2:$D$497&lt;D223))*$F$2:$F$497)))),"阶段价格必须逐级提高","计划有效"))))))),IF(A223="每日跟踪",IF(OR(B223="",H223="",I223="",J223=""),"每日数据不完整",IF(COUNTIFS($A$2:$A$497,"每日跟踪",$B$2:$B$497,B223,$H$2:$H$497,H223)&gt;1,"同一交易日期重复",IF(AND(R223&lt;&gt;"",R223&lt;S223),"人工止损无效：不能下调","跟踪有效"))),"记录类型无效")))</f>
        <v/>
      </c>
    </row>
    <row r="224" ht="17" spans="1:29">
      <c r="A224" s="2"/>
      <c r="B224" s="2"/>
      <c r="C224" s="8" t="str">
        <f>IF(B224="","",IFERROR(LOOKUP(2,1/(单次交易!$A$2:$A$201=B224),单次交易!$B$2:$B$201),""))</f>
        <v/>
      </c>
      <c r="D224" s="12"/>
      <c r="E224" s="10"/>
      <c r="F224" s="10"/>
      <c r="G224" s="2"/>
      <c r="H224" s="15"/>
      <c r="I224" s="10"/>
      <c r="J224" s="12"/>
      <c r="K224" s="2"/>
      <c r="L224" s="2"/>
      <c r="M224" s="2"/>
      <c r="N224" s="5" t="str">
        <f>IF(B224="","",IFERROR(LOOKUP(2,1/(单次交易!$A$2:$A$201=B224),单次交易!$N$2:$N$201),""))</f>
        <v/>
      </c>
      <c r="O224" s="5" t="str">
        <f t="shared" si="27"/>
        <v/>
      </c>
      <c r="P224" s="11" t="str">
        <f t="shared" si="28"/>
        <v/>
      </c>
      <c r="Q224" s="5" t="str">
        <f t="shared" si="29"/>
        <v/>
      </c>
      <c r="R224" s="10"/>
      <c r="S224" s="5" t="str">
        <f t="shared" si="30"/>
        <v/>
      </c>
      <c r="T224" s="5" t="str">
        <f t="shared" si="31"/>
        <v/>
      </c>
      <c r="U224" s="5" t="str">
        <f t="shared" si="32"/>
        <v/>
      </c>
      <c r="V224" s="7" t="str">
        <f t="shared" si="33"/>
        <v/>
      </c>
      <c r="W224" s="8" t="str">
        <f t="shared" si="34"/>
        <v/>
      </c>
      <c r="X224" s="2"/>
      <c r="Y224" s="10"/>
      <c r="Z224" s="11" t="str">
        <f>IF(X224&lt;&gt;"执行卖出","",IFERROR(LOOKUP(2,1/(单次交易!$A$2:$A$201=B224),单次交易!$AP$2:$AP$201),""))</f>
        <v/>
      </c>
      <c r="AA224" s="10"/>
      <c r="AB224" s="8" t="str">
        <f t="shared" si="35"/>
        <v/>
      </c>
      <c r="AC224" s="8" t="str">
        <f>IF(A224="","",IF(A224="止损计划",IF(OR(B224="",D224="",E224="",F224="",G224=""),"计划不完整",IF(OR(D224&lt;1,D224&lt;&gt;INT(D224)),"阶段序号无效",IF(COUNTIFS($A$2:$A$497,"止损计划",$B$2:$B$497,B224,$D$2:$D$497,D224)&gt;1,"阶段序号重复",IF(E224&lt;=IFERROR(LOOKUP(2,1/(单次交易!$A$2:$A$201=B224),单次交易!$E$2:$E$201),0),"激活价须高于买入价",IF(F224&lt;N224,"止损价不得低于初始止损",IF(F224&gt;E224,"止损价不得高于激活价",IF(AND(COUNTIFS($A$2:$A$497,"止损计划",$B$2:$B$497,B224,$D$2:$D$497,"&lt;"&amp;D224)&gt;0,OR(E224&lt;=SUMPRODUCT(MAX((($A$2:$A$497="止损计划")*($B$2:$B$497=B224)*($D$2:$D$497&lt;D224))*$E$2:$E$497)),F224&lt;SUMPRODUCT(MAX((($A$2:$A$497="止损计划")*($B$2:$B$497=B224)*($D$2:$D$497&lt;D224))*$F$2:$F$497)))),"阶段价格必须逐级提高","计划有效"))))))),IF(A224="每日跟踪",IF(OR(B224="",H224="",I224="",J224=""),"每日数据不完整",IF(COUNTIFS($A$2:$A$497,"每日跟踪",$B$2:$B$497,B224,$H$2:$H$497,H224)&gt;1,"同一交易日期重复",IF(AND(R224&lt;&gt;"",R224&lt;S224),"人工止损无效：不能下调","跟踪有效"))),"记录类型无效")))</f>
        <v/>
      </c>
    </row>
    <row r="225" ht="17" spans="1:29">
      <c r="A225" s="2"/>
      <c r="B225" s="2"/>
      <c r="C225" s="8" t="str">
        <f>IF(B225="","",IFERROR(LOOKUP(2,1/(单次交易!$A$2:$A$201=B225),单次交易!$B$2:$B$201),""))</f>
        <v/>
      </c>
      <c r="D225" s="12"/>
      <c r="E225" s="10"/>
      <c r="F225" s="10"/>
      <c r="G225" s="2"/>
      <c r="H225" s="15"/>
      <c r="I225" s="10"/>
      <c r="J225" s="12"/>
      <c r="K225" s="2"/>
      <c r="L225" s="2"/>
      <c r="M225" s="2"/>
      <c r="N225" s="5" t="str">
        <f>IF(B225="","",IFERROR(LOOKUP(2,1/(单次交易!$A$2:$A$201=B225),单次交易!$N$2:$N$201),""))</f>
        <v/>
      </c>
      <c r="O225" s="5" t="str">
        <f t="shared" si="27"/>
        <v/>
      </c>
      <c r="P225" s="11" t="str">
        <f t="shared" si="28"/>
        <v/>
      </c>
      <c r="Q225" s="5" t="str">
        <f t="shared" si="29"/>
        <v/>
      </c>
      <c r="R225" s="10"/>
      <c r="S225" s="5" t="str">
        <f t="shared" si="30"/>
        <v/>
      </c>
      <c r="T225" s="5" t="str">
        <f t="shared" si="31"/>
        <v/>
      </c>
      <c r="U225" s="5" t="str">
        <f t="shared" si="32"/>
        <v/>
      </c>
      <c r="V225" s="7" t="str">
        <f t="shared" si="33"/>
        <v/>
      </c>
      <c r="W225" s="8" t="str">
        <f t="shared" si="34"/>
        <v/>
      </c>
      <c r="X225" s="2"/>
      <c r="Y225" s="10"/>
      <c r="Z225" s="11" t="str">
        <f>IF(X225&lt;&gt;"执行卖出","",IFERROR(LOOKUP(2,1/(单次交易!$A$2:$A$201=B225),单次交易!$AP$2:$AP$201),""))</f>
        <v/>
      </c>
      <c r="AA225" s="10"/>
      <c r="AB225" s="8" t="str">
        <f t="shared" si="35"/>
        <v/>
      </c>
      <c r="AC225" s="8" t="str">
        <f>IF(A225="","",IF(A225="止损计划",IF(OR(B225="",D225="",E225="",F225="",G225=""),"计划不完整",IF(OR(D225&lt;1,D225&lt;&gt;INT(D225)),"阶段序号无效",IF(COUNTIFS($A$2:$A$497,"止损计划",$B$2:$B$497,B225,$D$2:$D$497,D225)&gt;1,"阶段序号重复",IF(E225&lt;=IFERROR(LOOKUP(2,1/(单次交易!$A$2:$A$201=B225),单次交易!$E$2:$E$201),0),"激活价须高于买入价",IF(F225&lt;N225,"止损价不得低于初始止损",IF(F225&gt;E225,"止损价不得高于激活价",IF(AND(COUNTIFS($A$2:$A$497,"止损计划",$B$2:$B$497,B225,$D$2:$D$497,"&lt;"&amp;D225)&gt;0,OR(E225&lt;=SUMPRODUCT(MAX((($A$2:$A$497="止损计划")*($B$2:$B$497=B225)*($D$2:$D$497&lt;D225))*$E$2:$E$497)),F225&lt;SUMPRODUCT(MAX((($A$2:$A$497="止损计划")*($B$2:$B$497=B225)*($D$2:$D$497&lt;D225))*$F$2:$F$497)))),"阶段价格必须逐级提高","计划有效"))))))),IF(A225="每日跟踪",IF(OR(B225="",H225="",I225="",J225=""),"每日数据不完整",IF(COUNTIFS($A$2:$A$497,"每日跟踪",$B$2:$B$497,B225,$H$2:$H$497,H225)&gt;1,"同一交易日期重复",IF(AND(R225&lt;&gt;"",R225&lt;S225),"人工止损无效：不能下调","跟踪有效"))),"记录类型无效")))</f>
        <v/>
      </c>
    </row>
    <row r="226" ht="17" spans="1:29">
      <c r="A226" s="2"/>
      <c r="B226" s="2"/>
      <c r="C226" s="8" t="str">
        <f>IF(B226="","",IFERROR(LOOKUP(2,1/(单次交易!$A$2:$A$201=B226),单次交易!$B$2:$B$201),""))</f>
        <v/>
      </c>
      <c r="D226" s="12"/>
      <c r="E226" s="10"/>
      <c r="F226" s="10"/>
      <c r="G226" s="2"/>
      <c r="H226" s="15"/>
      <c r="I226" s="10"/>
      <c r="J226" s="12"/>
      <c r="K226" s="2"/>
      <c r="L226" s="2"/>
      <c r="M226" s="2"/>
      <c r="N226" s="5" t="str">
        <f>IF(B226="","",IFERROR(LOOKUP(2,1/(单次交易!$A$2:$A$201=B226),单次交易!$N$2:$N$201),""))</f>
        <v/>
      </c>
      <c r="O226" s="5" t="str">
        <f t="shared" si="27"/>
        <v/>
      </c>
      <c r="P226" s="11" t="str">
        <f t="shared" si="28"/>
        <v/>
      </c>
      <c r="Q226" s="5" t="str">
        <f t="shared" si="29"/>
        <v/>
      </c>
      <c r="R226" s="10"/>
      <c r="S226" s="5" t="str">
        <f t="shared" si="30"/>
        <v/>
      </c>
      <c r="T226" s="5" t="str">
        <f t="shared" si="31"/>
        <v/>
      </c>
      <c r="U226" s="5" t="str">
        <f t="shared" si="32"/>
        <v/>
      </c>
      <c r="V226" s="7" t="str">
        <f t="shared" si="33"/>
        <v/>
      </c>
      <c r="W226" s="8" t="str">
        <f t="shared" si="34"/>
        <v/>
      </c>
      <c r="X226" s="2"/>
      <c r="Y226" s="10"/>
      <c r="Z226" s="11" t="str">
        <f>IF(X226&lt;&gt;"执行卖出","",IFERROR(LOOKUP(2,1/(单次交易!$A$2:$A$201=B226),单次交易!$AP$2:$AP$201),""))</f>
        <v/>
      </c>
      <c r="AA226" s="10"/>
      <c r="AB226" s="8" t="str">
        <f t="shared" si="35"/>
        <v/>
      </c>
      <c r="AC226" s="8" t="str">
        <f>IF(A226="","",IF(A226="止损计划",IF(OR(B226="",D226="",E226="",F226="",G226=""),"计划不完整",IF(OR(D226&lt;1,D226&lt;&gt;INT(D226)),"阶段序号无效",IF(COUNTIFS($A$2:$A$497,"止损计划",$B$2:$B$497,B226,$D$2:$D$497,D226)&gt;1,"阶段序号重复",IF(E226&lt;=IFERROR(LOOKUP(2,1/(单次交易!$A$2:$A$201=B226),单次交易!$E$2:$E$201),0),"激活价须高于买入价",IF(F226&lt;N226,"止损价不得低于初始止损",IF(F226&gt;E226,"止损价不得高于激活价",IF(AND(COUNTIFS($A$2:$A$497,"止损计划",$B$2:$B$497,B226,$D$2:$D$497,"&lt;"&amp;D226)&gt;0,OR(E226&lt;=SUMPRODUCT(MAX((($A$2:$A$497="止损计划")*($B$2:$B$497=B226)*($D$2:$D$497&lt;D226))*$E$2:$E$497)),F226&lt;SUMPRODUCT(MAX((($A$2:$A$497="止损计划")*($B$2:$B$497=B226)*($D$2:$D$497&lt;D226))*$F$2:$F$497)))),"阶段价格必须逐级提高","计划有效"))))))),IF(A226="每日跟踪",IF(OR(B226="",H226="",I226="",J226=""),"每日数据不完整",IF(COUNTIFS($A$2:$A$497,"每日跟踪",$B$2:$B$497,B226,$H$2:$H$497,H226)&gt;1,"同一交易日期重复",IF(AND(R226&lt;&gt;"",R226&lt;S226),"人工止损无效：不能下调","跟踪有效"))),"记录类型无效")))</f>
        <v/>
      </c>
    </row>
    <row r="227" ht="17" spans="1:29">
      <c r="A227" s="2"/>
      <c r="B227" s="2"/>
      <c r="C227" s="8" t="str">
        <f>IF(B227="","",IFERROR(LOOKUP(2,1/(单次交易!$A$2:$A$201=B227),单次交易!$B$2:$B$201),""))</f>
        <v/>
      </c>
      <c r="D227" s="12"/>
      <c r="E227" s="10"/>
      <c r="F227" s="10"/>
      <c r="G227" s="2"/>
      <c r="H227" s="15"/>
      <c r="I227" s="10"/>
      <c r="J227" s="12"/>
      <c r="K227" s="2"/>
      <c r="L227" s="2"/>
      <c r="M227" s="2"/>
      <c r="N227" s="5" t="str">
        <f>IF(B227="","",IFERROR(LOOKUP(2,1/(单次交易!$A$2:$A$201=B227),单次交易!$N$2:$N$201),""))</f>
        <v/>
      </c>
      <c r="O227" s="5" t="str">
        <f t="shared" si="27"/>
        <v/>
      </c>
      <c r="P227" s="11" t="str">
        <f t="shared" si="28"/>
        <v/>
      </c>
      <c r="Q227" s="5" t="str">
        <f t="shared" si="29"/>
        <v/>
      </c>
      <c r="R227" s="10"/>
      <c r="S227" s="5" t="str">
        <f t="shared" si="30"/>
        <v/>
      </c>
      <c r="T227" s="5" t="str">
        <f t="shared" si="31"/>
        <v/>
      </c>
      <c r="U227" s="5" t="str">
        <f t="shared" si="32"/>
        <v/>
      </c>
      <c r="V227" s="7" t="str">
        <f t="shared" si="33"/>
        <v/>
      </c>
      <c r="W227" s="8" t="str">
        <f t="shared" si="34"/>
        <v/>
      </c>
      <c r="X227" s="2"/>
      <c r="Y227" s="10"/>
      <c r="Z227" s="11" t="str">
        <f>IF(X227&lt;&gt;"执行卖出","",IFERROR(LOOKUP(2,1/(单次交易!$A$2:$A$201=B227),单次交易!$AP$2:$AP$201),""))</f>
        <v/>
      </c>
      <c r="AA227" s="10"/>
      <c r="AB227" s="8" t="str">
        <f t="shared" si="35"/>
        <v/>
      </c>
      <c r="AC227" s="8" t="str">
        <f>IF(A227="","",IF(A227="止损计划",IF(OR(B227="",D227="",E227="",F227="",G227=""),"计划不完整",IF(OR(D227&lt;1,D227&lt;&gt;INT(D227)),"阶段序号无效",IF(COUNTIFS($A$2:$A$497,"止损计划",$B$2:$B$497,B227,$D$2:$D$497,D227)&gt;1,"阶段序号重复",IF(E227&lt;=IFERROR(LOOKUP(2,1/(单次交易!$A$2:$A$201=B227),单次交易!$E$2:$E$201),0),"激活价须高于买入价",IF(F227&lt;N227,"止损价不得低于初始止损",IF(F227&gt;E227,"止损价不得高于激活价",IF(AND(COUNTIFS($A$2:$A$497,"止损计划",$B$2:$B$497,B227,$D$2:$D$497,"&lt;"&amp;D227)&gt;0,OR(E227&lt;=SUMPRODUCT(MAX((($A$2:$A$497="止损计划")*($B$2:$B$497=B227)*($D$2:$D$497&lt;D227))*$E$2:$E$497)),F227&lt;SUMPRODUCT(MAX((($A$2:$A$497="止损计划")*($B$2:$B$497=B227)*($D$2:$D$497&lt;D227))*$F$2:$F$497)))),"阶段价格必须逐级提高","计划有效"))))))),IF(A227="每日跟踪",IF(OR(B227="",H227="",I227="",J227=""),"每日数据不完整",IF(COUNTIFS($A$2:$A$497,"每日跟踪",$B$2:$B$497,B227,$H$2:$H$497,H227)&gt;1,"同一交易日期重复",IF(AND(R227&lt;&gt;"",R227&lt;S227),"人工止损无效：不能下调","跟踪有效"))),"记录类型无效")))</f>
        <v/>
      </c>
    </row>
    <row r="228" ht="17" spans="1:29">
      <c r="A228" s="2"/>
      <c r="B228" s="2"/>
      <c r="C228" s="8" t="str">
        <f>IF(B228="","",IFERROR(LOOKUP(2,1/(单次交易!$A$2:$A$201=B228),单次交易!$B$2:$B$201),""))</f>
        <v/>
      </c>
      <c r="D228" s="12"/>
      <c r="E228" s="10"/>
      <c r="F228" s="10"/>
      <c r="G228" s="2"/>
      <c r="H228" s="15"/>
      <c r="I228" s="10"/>
      <c r="J228" s="12"/>
      <c r="K228" s="2"/>
      <c r="L228" s="2"/>
      <c r="M228" s="2"/>
      <c r="N228" s="5" t="str">
        <f>IF(B228="","",IFERROR(LOOKUP(2,1/(单次交易!$A$2:$A$201=B228),单次交易!$N$2:$N$201),""))</f>
        <v/>
      </c>
      <c r="O228" s="5" t="str">
        <f t="shared" si="27"/>
        <v/>
      </c>
      <c r="P228" s="11" t="str">
        <f t="shared" si="28"/>
        <v/>
      </c>
      <c r="Q228" s="5" t="str">
        <f t="shared" si="29"/>
        <v/>
      </c>
      <c r="R228" s="10"/>
      <c r="S228" s="5" t="str">
        <f t="shared" si="30"/>
        <v/>
      </c>
      <c r="T228" s="5" t="str">
        <f t="shared" si="31"/>
        <v/>
      </c>
      <c r="U228" s="5" t="str">
        <f t="shared" si="32"/>
        <v/>
      </c>
      <c r="V228" s="7" t="str">
        <f t="shared" si="33"/>
        <v/>
      </c>
      <c r="W228" s="8" t="str">
        <f t="shared" si="34"/>
        <v/>
      </c>
      <c r="X228" s="2"/>
      <c r="Y228" s="10"/>
      <c r="Z228" s="11" t="str">
        <f>IF(X228&lt;&gt;"执行卖出","",IFERROR(LOOKUP(2,1/(单次交易!$A$2:$A$201=B228),单次交易!$AP$2:$AP$201),""))</f>
        <v/>
      </c>
      <c r="AA228" s="10"/>
      <c r="AB228" s="8" t="str">
        <f t="shared" si="35"/>
        <v/>
      </c>
      <c r="AC228" s="8" t="str">
        <f>IF(A228="","",IF(A228="止损计划",IF(OR(B228="",D228="",E228="",F228="",G228=""),"计划不完整",IF(OR(D228&lt;1,D228&lt;&gt;INT(D228)),"阶段序号无效",IF(COUNTIFS($A$2:$A$497,"止损计划",$B$2:$B$497,B228,$D$2:$D$497,D228)&gt;1,"阶段序号重复",IF(E228&lt;=IFERROR(LOOKUP(2,1/(单次交易!$A$2:$A$201=B228),单次交易!$E$2:$E$201),0),"激活价须高于买入价",IF(F228&lt;N228,"止损价不得低于初始止损",IF(F228&gt;E228,"止损价不得高于激活价",IF(AND(COUNTIFS($A$2:$A$497,"止损计划",$B$2:$B$497,B228,$D$2:$D$497,"&lt;"&amp;D228)&gt;0,OR(E228&lt;=SUMPRODUCT(MAX((($A$2:$A$497="止损计划")*($B$2:$B$497=B228)*($D$2:$D$497&lt;D228))*$E$2:$E$497)),F228&lt;SUMPRODUCT(MAX((($A$2:$A$497="止损计划")*($B$2:$B$497=B228)*($D$2:$D$497&lt;D228))*$F$2:$F$497)))),"阶段价格必须逐级提高","计划有效"))))))),IF(A228="每日跟踪",IF(OR(B228="",H228="",I228="",J228=""),"每日数据不完整",IF(COUNTIFS($A$2:$A$497,"每日跟踪",$B$2:$B$497,B228,$H$2:$H$497,H228)&gt;1,"同一交易日期重复",IF(AND(R228&lt;&gt;"",R228&lt;S228),"人工止损无效：不能下调","跟踪有效"))),"记录类型无效")))</f>
        <v/>
      </c>
    </row>
    <row r="229" ht="17" spans="1:29">
      <c r="A229" s="2"/>
      <c r="B229" s="2"/>
      <c r="C229" s="8" t="str">
        <f>IF(B229="","",IFERROR(LOOKUP(2,1/(单次交易!$A$2:$A$201=B229),单次交易!$B$2:$B$201),""))</f>
        <v/>
      </c>
      <c r="D229" s="12"/>
      <c r="E229" s="10"/>
      <c r="F229" s="10"/>
      <c r="G229" s="2"/>
      <c r="H229" s="15"/>
      <c r="I229" s="10"/>
      <c r="J229" s="12"/>
      <c r="K229" s="2"/>
      <c r="L229" s="2"/>
      <c r="M229" s="2"/>
      <c r="N229" s="5" t="str">
        <f>IF(B229="","",IFERROR(LOOKUP(2,1/(单次交易!$A$2:$A$201=B229),单次交易!$N$2:$N$201),""))</f>
        <v/>
      </c>
      <c r="O229" s="5" t="str">
        <f t="shared" si="27"/>
        <v/>
      </c>
      <c r="P229" s="11" t="str">
        <f t="shared" si="28"/>
        <v/>
      </c>
      <c r="Q229" s="5" t="str">
        <f t="shared" si="29"/>
        <v/>
      </c>
      <c r="R229" s="10"/>
      <c r="S229" s="5" t="str">
        <f t="shared" si="30"/>
        <v/>
      </c>
      <c r="T229" s="5" t="str">
        <f t="shared" si="31"/>
        <v/>
      </c>
      <c r="U229" s="5" t="str">
        <f t="shared" si="32"/>
        <v/>
      </c>
      <c r="V229" s="7" t="str">
        <f t="shared" si="33"/>
        <v/>
      </c>
      <c r="W229" s="8" t="str">
        <f t="shared" si="34"/>
        <v/>
      </c>
      <c r="X229" s="2"/>
      <c r="Y229" s="10"/>
      <c r="Z229" s="11" t="str">
        <f>IF(X229&lt;&gt;"执行卖出","",IFERROR(LOOKUP(2,1/(单次交易!$A$2:$A$201=B229),单次交易!$AP$2:$AP$201),""))</f>
        <v/>
      </c>
      <c r="AA229" s="10"/>
      <c r="AB229" s="8" t="str">
        <f t="shared" si="35"/>
        <v/>
      </c>
      <c r="AC229" s="8" t="str">
        <f>IF(A229="","",IF(A229="止损计划",IF(OR(B229="",D229="",E229="",F229="",G229=""),"计划不完整",IF(OR(D229&lt;1,D229&lt;&gt;INT(D229)),"阶段序号无效",IF(COUNTIFS($A$2:$A$497,"止损计划",$B$2:$B$497,B229,$D$2:$D$497,D229)&gt;1,"阶段序号重复",IF(E229&lt;=IFERROR(LOOKUP(2,1/(单次交易!$A$2:$A$201=B229),单次交易!$E$2:$E$201),0),"激活价须高于买入价",IF(F229&lt;N229,"止损价不得低于初始止损",IF(F229&gt;E229,"止损价不得高于激活价",IF(AND(COUNTIFS($A$2:$A$497,"止损计划",$B$2:$B$497,B229,$D$2:$D$497,"&lt;"&amp;D229)&gt;0,OR(E229&lt;=SUMPRODUCT(MAX((($A$2:$A$497="止损计划")*($B$2:$B$497=B229)*($D$2:$D$497&lt;D229))*$E$2:$E$497)),F229&lt;SUMPRODUCT(MAX((($A$2:$A$497="止损计划")*($B$2:$B$497=B229)*($D$2:$D$497&lt;D229))*$F$2:$F$497)))),"阶段价格必须逐级提高","计划有效"))))))),IF(A229="每日跟踪",IF(OR(B229="",H229="",I229="",J229=""),"每日数据不完整",IF(COUNTIFS($A$2:$A$497,"每日跟踪",$B$2:$B$497,B229,$H$2:$H$497,H229)&gt;1,"同一交易日期重复",IF(AND(R229&lt;&gt;"",R229&lt;S229),"人工止损无效：不能下调","跟踪有效"))),"记录类型无效")))</f>
        <v/>
      </c>
    </row>
    <row r="230" ht="17" spans="1:29">
      <c r="A230" s="2"/>
      <c r="B230" s="2"/>
      <c r="C230" s="8" t="str">
        <f>IF(B230="","",IFERROR(LOOKUP(2,1/(单次交易!$A$2:$A$201=B230),单次交易!$B$2:$B$201),""))</f>
        <v/>
      </c>
      <c r="D230" s="12"/>
      <c r="E230" s="10"/>
      <c r="F230" s="10"/>
      <c r="G230" s="2"/>
      <c r="H230" s="15"/>
      <c r="I230" s="10"/>
      <c r="J230" s="12"/>
      <c r="K230" s="2"/>
      <c r="L230" s="2"/>
      <c r="M230" s="2"/>
      <c r="N230" s="5" t="str">
        <f>IF(B230="","",IFERROR(LOOKUP(2,1/(单次交易!$A$2:$A$201=B230),单次交易!$N$2:$N$201),""))</f>
        <v/>
      </c>
      <c r="O230" s="5" t="str">
        <f t="shared" si="27"/>
        <v/>
      </c>
      <c r="P230" s="11" t="str">
        <f t="shared" si="28"/>
        <v/>
      </c>
      <c r="Q230" s="5" t="str">
        <f t="shared" si="29"/>
        <v/>
      </c>
      <c r="R230" s="10"/>
      <c r="S230" s="5" t="str">
        <f t="shared" si="30"/>
        <v/>
      </c>
      <c r="T230" s="5" t="str">
        <f t="shared" si="31"/>
        <v/>
      </c>
      <c r="U230" s="5" t="str">
        <f t="shared" si="32"/>
        <v/>
      </c>
      <c r="V230" s="7" t="str">
        <f t="shared" si="33"/>
        <v/>
      </c>
      <c r="W230" s="8" t="str">
        <f t="shared" si="34"/>
        <v/>
      </c>
      <c r="X230" s="2"/>
      <c r="Y230" s="10"/>
      <c r="Z230" s="11" t="str">
        <f>IF(X230&lt;&gt;"执行卖出","",IFERROR(LOOKUP(2,1/(单次交易!$A$2:$A$201=B230),单次交易!$AP$2:$AP$201),""))</f>
        <v/>
      </c>
      <c r="AA230" s="10"/>
      <c r="AB230" s="8" t="str">
        <f t="shared" si="35"/>
        <v/>
      </c>
      <c r="AC230" s="8" t="str">
        <f>IF(A230="","",IF(A230="止损计划",IF(OR(B230="",D230="",E230="",F230="",G230=""),"计划不完整",IF(OR(D230&lt;1,D230&lt;&gt;INT(D230)),"阶段序号无效",IF(COUNTIFS($A$2:$A$497,"止损计划",$B$2:$B$497,B230,$D$2:$D$497,D230)&gt;1,"阶段序号重复",IF(E230&lt;=IFERROR(LOOKUP(2,1/(单次交易!$A$2:$A$201=B230),单次交易!$E$2:$E$201),0),"激活价须高于买入价",IF(F230&lt;N230,"止损价不得低于初始止损",IF(F230&gt;E230,"止损价不得高于激活价",IF(AND(COUNTIFS($A$2:$A$497,"止损计划",$B$2:$B$497,B230,$D$2:$D$497,"&lt;"&amp;D230)&gt;0,OR(E230&lt;=SUMPRODUCT(MAX((($A$2:$A$497="止损计划")*($B$2:$B$497=B230)*($D$2:$D$497&lt;D230))*$E$2:$E$497)),F230&lt;SUMPRODUCT(MAX((($A$2:$A$497="止损计划")*($B$2:$B$497=B230)*($D$2:$D$497&lt;D230))*$F$2:$F$497)))),"阶段价格必须逐级提高","计划有效"))))))),IF(A230="每日跟踪",IF(OR(B230="",H230="",I230="",J230=""),"每日数据不完整",IF(COUNTIFS($A$2:$A$497,"每日跟踪",$B$2:$B$497,B230,$H$2:$H$497,H230)&gt;1,"同一交易日期重复",IF(AND(R230&lt;&gt;"",R230&lt;S230),"人工止损无效：不能下调","跟踪有效"))),"记录类型无效")))</f>
        <v/>
      </c>
    </row>
    <row r="231" ht="17" spans="1:29">
      <c r="A231" s="2"/>
      <c r="B231" s="2"/>
      <c r="C231" s="8" t="str">
        <f>IF(B231="","",IFERROR(LOOKUP(2,1/(单次交易!$A$2:$A$201=B231),单次交易!$B$2:$B$201),""))</f>
        <v/>
      </c>
      <c r="D231" s="12"/>
      <c r="E231" s="10"/>
      <c r="F231" s="10"/>
      <c r="G231" s="2"/>
      <c r="H231" s="15"/>
      <c r="I231" s="10"/>
      <c r="J231" s="12"/>
      <c r="K231" s="2"/>
      <c r="L231" s="2"/>
      <c r="M231" s="2"/>
      <c r="N231" s="5" t="str">
        <f>IF(B231="","",IFERROR(LOOKUP(2,1/(单次交易!$A$2:$A$201=B231),单次交易!$N$2:$N$201),""))</f>
        <v/>
      </c>
      <c r="O231" s="5" t="str">
        <f t="shared" si="27"/>
        <v/>
      </c>
      <c r="P231" s="11" t="str">
        <f t="shared" si="28"/>
        <v/>
      </c>
      <c r="Q231" s="5" t="str">
        <f t="shared" si="29"/>
        <v/>
      </c>
      <c r="R231" s="10"/>
      <c r="S231" s="5" t="str">
        <f t="shared" si="30"/>
        <v/>
      </c>
      <c r="T231" s="5" t="str">
        <f t="shared" si="31"/>
        <v/>
      </c>
      <c r="U231" s="5" t="str">
        <f t="shared" si="32"/>
        <v/>
      </c>
      <c r="V231" s="7" t="str">
        <f t="shared" si="33"/>
        <v/>
      </c>
      <c r="W231" s="8" t="str">
        <f t="shared" si="34"/>
        <v/>
      </c>
      <c r="X231" s="2"/>
      <c r="Y231" s="10"/>
      <c r="Z231" s="11" t="str">
        <f>IF(X231&lt;&gt;"执行卖出","",IFERROR(LOOKUP(2,1/(单次交易!$A$2:$A$201=B231),单次交易!$AP$2:$AP$201),""))</f>
        <v/>
      </c>
      <c r="AA231" s="10"/>
      <c r="AB231" s="8" t="str">
        <f t="shared" si="35"/>
        <v/>
      </c>
      <c r="AC231" s="8" t="str">
        <f>IF(A231="","",IF(A231="止损计划",IF(OR(B231="",D231="",E231="",F231="",G231=""),"计划不完整",IF(OR(D231&lt;1,D231&lt;&gt;INT(D231)),"阶段序号无效",IF(COUNTIFS($A$2:$A$497,"止损计划",$B$2:$B$497,B231,$D$2:$D$497,D231)&gt;1,"阶段序号重复",IF(E231&lt;=IFERROR(LOOKUP(2,1/(单次交易!$A$2:$A$201=B231),单次交易!$E$2:$E$201),0),"激活价须高于买入价",IF(F231&lt;N231,"止损价不得低于初始止损",IF(F231&gt;E231,"止损价不得高于激活价",IF(AND(COUNTIFS($A$2:$A$497,"止损计划",$B$2:$B$497,B231,$D$2:$D$497,"&lt;"&amp;D231)&gt;0,OR(E231&lt;=SUMPRODUCT(MAX((($A$2:$A$497="止损计划")*($B$2:$B$497=B231)*($D$2:$D$497&lt;D231))*$E$2:$E$497)),F231&lt;SUMPRODUCT(MAX((($A$2:$A$497="止损计划")*($B$2:$B$497=B231)*($D$2:$D$497&lt;D231))*$F$2:$F$497)))),"阶段价格必须逐级提高","计划有效"))))))),IF(A231="每日跟踪",IF(OR(B231="",H231="",I231="",J231=""),"每日数据不完整",IF(COUNTIFS($A$2:$A$497,"每日跟踪",$B$2:$B$497,B231,$H$2:$H$497,H231)&gt;1,"同一交易日期重复",IF(AND(R231&lt;&gt;"",R231&lt;S231),"人工止损无效：不能下调","跟踪有效"))),"记录类型无效")))</f>
        <v/>
      </c>
    </row>
    <row r="232" ht="17" spans="1:29">
      <c r="A232" s="2"/>
      <c r="B232" s="2"/>
      <c r="C232" s="8" t="str">
        <f>IF(B232="","",IFERROR(LOOKUP(2,1/(单次交易!$A$2:$A$201=B232),单次交易!$B$2:$B$201),""))</f>
        <v/>
      </c>
      <c r="D232" s="12"/>
      <c r="E232" s="10"/>
      <c r="F232" s="10"/>
      <c r="G232" s="2"/>
      <c r="H232" s="15"/>
      <c r="I232" s="10"/>
      <c r="J232" s="12"/>
      <c r="K232" s="2"/>
      <c r="L232" s="2"/>
      <c r="M232" s="2"/>
      <c r="N232" s="5" t="str">
        <f>IF(B232="","",IFERROR(LOOKUP(2,1/(单次交易!$A$2:$A$201=B232),单次交易!$N$2:$N$201),""))</f>
        <v/>
      </c>
      <c r="O232" s="5" t="str">
        <f t="shared" si="27"/>
        <v/>
      </c>
      <c r="P232" s="11" t="str">
        <f t="shared" si="28"/>
        <v/>
      </c>
      <c r="Q232" s="5" t="str">
        <f t="shared" si="29"/>
        <v/>
      </c>
      <c r="R232" s="10"/>
      <c r="S232" s="5" t="str">
        <f t="shared" si="30"/>
        <v/>
      </c>
      <c r="T232" s="5" t="str">
        <f t="shared" si="31"/>
        <v/>
      </c>
      <c r="U232" s="5" t="str">
        <f t="shared" si="32"/>
        <v/>
      </c>
      <c r="V232" s="7" t="str">
        <f t="shared" si="33"/>
        <v/>
      </c>
      <c r="W232" s="8" t="str">
        <f t="shared" si="34"/>
        <v/>
      </c>
      <c r="X232" s="2"/>
      <c r="Y232" s="10"/>
      <c r="Z232" s="11" t="str">
        <f>IF(X232&lt;&gt;"执行卖出","",IFERROR(LOOKUP(2,1/(单次交易!$A$2:$A$201=B232),单次交易!$AP$2:$AP$201),""))</f>
        <v/>
      </c>
      <c r="AA232" s="10"/>
      <c r="AB232" s="8" t="str">
        <f t="shared" si="35"/>
        <v/>
      </c>
      <c r="AC232" s="8" t="str">
        <f>IF(A232="","",IF(A232="止损计划",IF(OR(B232="",D232="",E232="",F232="",G232=""),"计划不完整",IF(OR(D232&lt;1,D232&lt;&gt;INT(D232)),"阶段序号无效",IF(COUNTIFS($A$2:$A$497,"止损计划",$B$2:$B$497,B232,$D$2:$D$497,D232)&gt;1,"阶段序号重复",IF(E232&lt;=IFERROR(LOOKUP(2,1/(单次交易!$A$2:$A$201=B232),单次交易!$E$2:$E$201),0),"激活价须高于买入价",IF(F232&lt;N232,"止损价不得低于初始止损",IF(F232&gt;E232,"止损价不得高于激活价",IF(AND(COUNTIFS($A$2:$A$497,"止损计划",$B$2:$B$497,B232,$D$2:$D$497,"&lt;"&amp;D232)&gt;0,OR(E232&lt;=SUMPRODUCT(MAX((($A$2:$A$497="止损计划")*($B$2:$B$497=B232)*($D$2:$D$497&lt;D232))*$E$2:$E$497)),F232&lt;SUMPRODUCT(MAX((($A$2:$A$497="止损计划")*($B$2:$B$497=B232)*($D$2:$D$497&lt;D232))*$F$2:$F$497)))),"阶段价格必须逐级提高","计划有效"))))))),IF(A232="每日跟踪",IF(OR(B232="",H232="",I232="",J232=""),"每日数据不完整",IF(COUNTIFS($A$2:$A$497,"每日跟踪",$B$2:$B$497,B232,$H$2:$H$497,H232)&gt;1,"同一交易日期重复",IF(AND(R232&lt;&gt;"",R232&lt;S232),"人工止损无效：不能下调","跟踪有效"))),"记录类型无效")))</f>
        <v/>
      </c>
    </row>
    <row r="233" ht="17" spans="1:29">
      <c r="A233" s="2"/>
      <c r="B233" s="2"/>
      <c r="C233" s="8" t="str">
        <f>IF(B233="","",IFERROR(LOOKUP(2,1/(单次交易!$A$2:$A$201=B233),单次交易!$B$2:$B$201),""))</f>
        <v/>
      </c>
      <c r="D233" s="12"/>
      <c r="E233" s="10"/>
      <c r="F233" s="10"/>
      <c r="G233" s="2"/>
      <c r="H233" s="15"/>
      <c r="I233" s="10"/>
      <c r="J233" s="12"/>
      <c r="K233" s="2"/>
      <c r="L233" s="2"/>
      <c r="M233" s="2"/>
      <c r="N233" s="5" t="str">
        <f>IF(B233="","",IFERROR(LOOKUP(2,1/(单次交易!$A$2:$A$201=B233),单次交易!$N$2:$N$201),""))</f>
        <v/>
      </c>
      <c r="O233" s="5" t="str">
        <f t="shared" si="27"/>
        <v/>
      </c>
      <c r="P233" s="11" t="str">
        <f t="shared" si="28"/>
        <v/>
      </c>
      <c r="Q233" s="5" t="str">
        <f t="shared" si="29"/>
        <v/>
      </c>
      <c r="R233" s="10"/>
      <c r="S233" s="5" t="str">
        <f t="shared" si="30"/>
        <v/>
      </c>
      <c r="T233" s="5" t="str">
        <f t="shared" si="31"/>
        <v/>
      </c>
      <c r="U233" s="5" t="str">
        <f t="shared" si="32"/>
        <v/>
      </c>
      <c r="V233" s="7" t="str">
        <f t="shared" si="33"/>
        <v/>
      </c>
      <c r="W233" s="8" t="str">
        <f t="shared" si="34"/>
        <v/>
      </c>
      <c r="X233" s="2"/>
      <c r="Y233" s="10"/>
      <c r="Z233" s="11" t="str">
        <f>IF(X233&lt;&gt;"执行卖出","",IFERROR(LOOKUP(2,1/(单次交易!$A$2:$A$201=B233),单次交易!$AP$2:$AP$201),""))</f>
        <v/>
      </c>
      <c r="AA233" s="10"/>
      <c r="AB233" s="8" t="str">
        <f t="shared" si="35"/>
        <v/>
      </c>
      <c r="AC233" s="8" t="str">
        <f>IF(A233="","",IF(A233="止损计划",IF(OR(B233="",D233="",E233="",F233="",G233=""),"计划不完整",IF(OR(D233&lt;1,D233&lt;&gt;INT(D233)),"阶段序号无效",IF(COUNTIFS($A$2:$A$497,"止损计划",$B$2:$B$497,B233,$D$2:$D$497,D233)&gt;1,"阶段序号重复",IF(E233&lt;=IFERROR(LOOKUP(2,1/(单次交易!$A$2:$A$201=B233),单次交易!$E$2:$E$201),0),"激活价须高于买入价",IF(F233&lt;N233,"止损价不得低于初始止损",IF(F233&gt;E233,"止损价不得高于激活价",IF(AND(COUNTIFS($A$2:$A$497,"止损计划",$B$2:$B$497,B233,$D$2:$D$497,"&lt;"&amp;D233)&gt;0,OR(E233&lt;=SUMPRODUCT(MAX((($A$2:$A$497="止损计划")*($B$2:$B$497=B233)*($D$2:$D$497&lt;D233))*$E$2:$E$497)),F233&lt;SUMPRODUCT(MAX((($A$2:$A$497="止损计划")*($B$2:$B$497=B233)*($D$2:$D$497&lt;D233))*$F$2:$F$497)))),"阶段价格必须逐级提高","计划有效"))))))),IF(A233="每日跟踪",IF(OR(B233="",H233="",I233="",J233=""),"每日数据不完整",IF(COUNTIFS($A$2:$A$497,"每日跟踪",$B$2:$B$497,B233,$H$2:$H$497,H233)&gt;1,"同一交易日期重复",IF(AND(R233&lt;&gt;"",R233&lt;S233),"人工止损无效：不能下调","跟踪有效"))),"记录类型无效")))</f>
        <v/>
      </c>
    </row>
    <row r="234" ht="17" spans="1:29">
      <c r="A234" s="2"/>
      <c r="B234" s="2"/>
      <c r="C234" s="8" t="str">
        <f>IF(B234="","",IFERROR(LOOKUP(2,1/(单次交易!$A$2:$A$201=B234),单次交易!$B$2:$B$201),""))</f>
        <v/>
      </c>
      <c r="D234" s="12"/>
      <c r="E234" s="10"/>
      <c r="F234" s="10"/>
      <c r="G234" s="2"/>
      <c r="H234" s="15"/>
      <c r="I234" s="10"/>
      <c r="J234" s="12"/>
      <c r="K234" s="2"/>
      <c r="L234" s="2"/>
      <c r="M234" s="2"/>
      <c r="N234" s="5" t="str">
        <f>IF(B234="","",IFERROR(LOOKUP(2,1/(单次交易!$A$2:$A$201=B234),单次交易!$N$2:$N$201),""))</f>
        <v/>
      </c>
      <c r="O234" s="5" t="str">
        <f t="shared" si="27"/>
        <v/>
      </c>
      <c r="P234" s="11" t="str">
        <f t="shared" si="28"/>
        <v/>
      </c>
      <c r="Q234" s="5" t="str">
        <f t="shared" si="29"/>
        <v/>
      </c>
      <c r="R234" s="10"/>
      <c r="S234" s="5" t="str">
        <f t="shared" si="30"/>
        <v/>
      </c>
      <c r="T234" s="5" t="str">
        <f t="shared" si="31"/>
        <v/>
      </c>
      <c r="U234" s="5" t="str">
        <f t="shared" si="32"/>
        <v/>
      </c>
      <c r="V234" s="7" t="str">
        <f t="shared" si="33"/>
        <v/>
      </c>
      <c r="W234" s="8" t="str">
        <f t="shared" si="34"/>
        <v/>
      </c>
      <c r="X234" s="2"/>
      <c r="Y234" s="10"/>
      <c r="Z234" s="11" t="str">
        <f>IF(X234&lt;&gt;"执行卖出","",IFERROR(LOOKUP(2,1/(单次交易!$A$2:$A$201=B234),单次交易!$AP$2:$AP$201),""))</f>
        <v/>
      </c>
      <c r="AA234" s="10"/>
      <c r="AB234" s="8" t="str">
        <f t="shared" si="35"/>
        <v/>
      </c>
      <c r="AC234" s="8" t="str">
        <f>IF(A234="","",IF(A234="止损计划",IF(OR(B234="",D234="",E234="",F234="",G234=""),"计划不完整",IF(OR(D234&lt;1,D234&lt;&gt;INT(D234)),"阶段序号无效",IF(COUNTIFS($A$2:$A$497,"止损计划",$B$2:$B$497,B234,$D$2:$D$497,D234)&gt;1,"阶段序号重复",IF(E234&lt;=IFERROR(LOOKUP(2,1/(单次交易!$A$2:$A$201=B234),单次交易!$E$2:$E$201),0),"激活价须高于买入价",IF(F234&lt;N234,"止损价不得低于初始止损",IF(F234&gt;E234,"止损价不得高于激活价",IF(AND(COUNTIFS($A$2:$A$497,"止损计划",$B$2:$B$497,B234,$D$2:$D$497,"&lt;"&amp;D234)&gt;0,OR(E234&lt;=SUMPRODUCT(MAX((($A$2:$A$497="止损计划")*($B$2:$B$497=B234)*($D$2:$D$497&lt;D234))*$E$2:$E$497)),F234&lt;SUMPRODUCT(MAX((($A$2:$A$497="止损计划")*($B$2:$B$497=B234)*($D$2:$D$497&lt;D234))*$F$2:$F$497)))),"阶段价格必须逐级提高","计划有效"))))))),IF(A234="每日跟踪",IF(OR(B234="",H234="",I234="",J234=""),"每日数据不完整",IF(COUNTIFS($A$2:$A$497,"每日跟踪",$B$2:$B$497,B234,$H$2:$H$497,H234)&gt;1,"同一交易日期重复",IF(AND(R234&lt;&gt;"",R234&lt;S234),"人工止损无效：不能下调","跟踪有效"))),"记录类型无效")))</f>
        <v/>
      </c>
    </row>
    <row r="235" ht="17" spans="1:29">
      <c r="A235" s="2"/>
      <c r="B235" s="2"/>
      <c r="C235" s="8" t="str">
        <f>IF(B235="","",IFERROR(LOOKUP(2,1/(单次交易!$A$2:$A$201=B235),单次交易!$B$2:$B$201),""))</f>
        <v/>
      </c>
      <c r="D235" s="12"/>
      <c r="E235" s="10"/>
      <c r="F235" s="10"/>
      <c r="G235" s="2"/>
      <c r="H235" s="15"/>
      <c r="I235" s="10"/>
      <c r="J235" s="12"/>
      <c r="K235" s="2"/>
      <c r="L235" s="2"/>
      <c r="M235" s="2"/>
      <c r="N235" s="5" t="str">
        <f>IF(B235="","",IFERROR(LOOKUP(2,1/(单次交易!$A$2:$A$201=B235),单次交易!$N$2:$N$201),""))</f>
        <v/>
      </c>
      <c r="O235" s="5" t="str">
        <f t="shared" si="27"/>
        <v/>
      </c>
      <c r="P235" s="11" t="str">
        <f t="shared" si="28"/>
        <v/>
      </c>
      <c r="Q235" s="5" t="str">
        <f t="shared" si="29"/>
        <v/>
      </c>
      <c r="R235" s="10"/>
      <c r="S235" s="5" t="str">
        <f t="shared" si="30"/>
        <v/>
      </c>
      <c r="T235" s="5" t="str">
        <f t="shared" si="31"/>
        <v/>
      </c>
      <c r="U235" s="5" t="str">
        <f t="shared" si="32"/>
        <v/>
      </c>
      <c r="V235" s="7" t="str">
        <f t="shared" si="33"/>
        <v/>
      </c>
      <c r="W235" s="8" t="str">
        <f t="shared" si="34"/>
        <v/>
      </c>
      <c r="X235" s="2"/>
      <c r="Y235" s="10"/>
      <c r="Z235" s="11" t="str">
        <f>IF(X235&lt;&gt;"执行卖出","",IFERROR(LOOKUP(2,1/(单次交易!$A$2:$A$201=B235),单次交易!$AP$2:$AP$201),""))</f>
        <v/>
      </c>
      <c r="AA235" s="10"/>
      <c r="AB235" s="8" t="str">
        <f t="shared" si="35"/>
        <v/>
      </c>
      <c r="AC235" s="8" t="str">
        <f>IF(A235="","",IF(A235="止损计划",IF(OR(B235="",D235="",E235="",F235="",G235=""),"计划不完整",IF(OR(D235&lt;1,D235&lt;&gt;INT(D235)),"阶段序号无效",IF(COUNTIFS($A$2:$A$497,"止损计划",$B$2:$B$497,B235,$D$2:$D$497,D235)&gt;1,"阶段序号重复",IF(E235&lt;=IFERROR(LOOKUP(2,1/(单次交易!$A$2:$A$201=B235),单次交易!$E$2:$E$201),0),"激活价须高于买入价",IF(F235&lt;N235,"止损价不得低于初始止损",IF(F235&gt;E235,"止损价不得高于激活价",IF(AND(COUNTIFS($A$2:$A$497,"止损计划",$B$2:$B$497,B235,$D$2:$D$497,"&lt;"&amp;D235)&gt;0,OR(E235&lt;=SUMPRODUCT(MAX((($A$2:$A$497="止损计划")*($B$2:$B$497=B235)*($D$2:$D$497&lt;D235))*$E$2:$E$497)),F235&lt;SUMPRODUCT(MAX((($A$2:$A$497="止损计划")*($B$2:$B$497=B235)*($D$2:$D$497&lt;D235))*$F$2:$F$497)))),"阶段价格必须逐级提高","计划有效"))))))),IF(A235="每日跟踪",IF(OR(B235="",H235="",I235="",J235=""),"每日数据不完整",IF(COUNTIFS($A$2:$A$497,"每日跟踪",$B$2:$B$497,B235,$H$2:$H$497,H235)&gt;1,"同一交易日期重复",IF(AND(R235&lt;&gt;"",R235&lt;S235),"人工止损无效：不能下调","跟踪有效"))),"记录类型无效")))</f>
        <v/>
      </c>
    </row>
    <row r="236" ht="17" spans="1:29">
      <c r="A236" s="2"/>
      <c r="B236" s="2"/>
      <c r="C236" s="8" t="str">
        <f>IF(B236="","",IFERROR(LOOKUP(2,1/(单次交易!$A$2:$A$201=B236),单次交易!$B$2:$B$201),""))</f>
        <v/>
      </c>
      <c r="D236" s="12"/>
      <c r="E236" s="10"/>
      <c r="F236" s="10"/>
      <c r="G236" s="2"/>
      <c r="H236" s="15"/>
      <c r="I236" s="10"/>
      <c r="J236" s="12"/>
      <c r="K236" s="2"/>
      <c r="L236" s="2"/>
      <c r="M236" s="2"/>
      <c r="N236" s="5" t="str">
        <f>IF(B236="","",IFERROR(LOOKUP(2,1/(单次交易!$A$2:$A$201=B236),单次交易!$N$2:$N$201),""))</f>
        <v/>
      </c>
      <c r="O236" s="5" t="str">
        <f t="shared" si="27"/>
        <v/>
      </c>
      <c r="P236" s="11" t="str">
        <f t="shared" si="28"/>
        <v/>
      </c>
      <c r="Q236" s="5" t="str">
        <f t="shared" si="29"/>
        <v/>
      </c>
      <c r="R236" s="10"/>
      <c r="S236" s="5" t="str">
        <f t="shared" si="30"/>
        <v/>
      </c>
      <c r="T236" s="5" t="str">
        <f t="shared" si="31"/>
        <v/>
      </c>
      <c r="U236" s="5" t="str">
        <f t="shared" si="32"/>
        <v/>
      </c>
      <c r="V236" s="7" t="str">
        <f t="shared" si="33"/>
        <v/>
      </c>
      <c r="W236" s="8" t="str">
        <f t="shared" si="34"/>
        <v/>
      </c>
      <c r="X236" s="2"/>
      <c r="Y236" s="10"/>
      <c r="Z236" s="11" t="str">
        <f>IF(X236&lt;&gt;"执行卖出","",IFERROR(LOOKUP(2,1/(单次交易!$A$2:$A$201=B236),单次交易!$AP$2:$AP$201),""))</f>
        <v/>
      </c>
      <c r="AA236" s="10"/>
      <c r="AB236" s="8" t="str">
        <f t="shared" si="35"/>
        <v/>
      </c>
      <c r="AC236" s="8" t="str">
        <f>IF(A236="","",IF(A236="止损计划",IF(OR(B236="",D236="",E236="",F236="",G236=""),"计划不完整",IF(OR(D236&lt;1,D236&lt;&gt;INT(D236)),"阶段序号无效",IF(COUNTIFS($A$2:$A$497,"止损计划",$B$2:$B$497,B236,$D$2:$D$497,D236)&gt;1,"阶段序号重复",IF(E236&lt;=IFERROR(LOOKUP(2,1/(单次交易!$A$2:$A$201=B236),单次交易!$E$2:$E$201),0),"激活价须高于买入价",IF(F236&lt;N236,"止损价不得低于初始止损",IF(F236&gt;E236,"止损价不得高于激活价",IF(AND(COUNTIFS($A$2:$A$497,"止损计划",$B$2:$B$497,B236,$D$2:$D$497,"&lt;"&amp;D236)&gt;0,OR(E236&lt;=SUMPRODUCT(MAX((($A$2:$A$497="止损计划")*($B$2:$B$497=B236)*($D$2:$D$497&lt;D236))*$E$2:$E$497)),F236&lt;SUMPRODUCT(MAX((($A$2:$A$497="止损计划")*($B$2:$B$497=B236)*($D$2:$D$497&lt;D236))*$F$2:$F$497)))),"阶段价格必须逐级提高","计划有效"))))))),IF(A236="每日跟踪",IF(OR(B236="",H236="",I236="",J236=""),"每日数据不完整",IF(COUNTIFS($A$2:$A$497,"每日跟踪",$B$2:$B$497,B236,$H$2:$H$497,H236)&gt;1,"同一交易日期重复",IF(AND(R236&lt;&gt;"",R236&lt;S236),"人工止损无效：不能下调","跟踪有效"))),"记录类型无效")))</f>
        <v/>
      </c>
    </row>
    <row r="237" ht="17" spans="1:29">
      <c r="A237" s="2"/>
      <c r="B237" s="2"/>
      <c r="C237" s="8" t="str">
        <f>IF(B237="","",IFERROR(LOOKUP(2,1/(单次交易!$A$2:$A$201=B237),单次交易!$B$2:$B$201),""))</f>
        <v/>
      </c>
      <c r="D237" s="12"/>
      <c r="E237" s="10"/>
      <c r="F237" s="10"/>
      <c r="G237" s="2"/>
      <c r="H237" s="15"/>
      <c r="I237" s="10"/>
      <c r="J237" s="12"/>
      <c r="K237" s="2"/>
      <c r="L237" s="2"/>
      <c r="M237" s="2"/>
      <c r="N237" s="5" t="str">
        <f>IF(B237="","",IFERROR(LOOKUP(2,1/(单次交易!$A$2:$A$201=B237),单次交易!$N$2:$N$201),""))</f>
        <v/>
      </c>
      <c r="O237" s="5" t="str">
        <f t="shared" si="27"/>
        <v/>
      </c>
      <c r="P237" s="11" t="str">
        <f t="shared" si="28"/>
        <v/>
      </c>
      <c r="Q237" s="5" t="str">
        <f t="shared" si="29"/>
        <v/>
      </c>
      <c r="R237" s="10"/>
      <c r="S237" s="5" t="str">
        <f t="shared" si="30"/>
        <v/>
      </c>
      <c r="T237" s="5" t="str">
        <f t="shared" si="31"/>
        <v/>
      </c>
      <c r="U237" s="5" t="str">
        <f t="shared" si="32"/>
        <v/>
      </c>
      <c r="V237" s="7" t="str">
        <f t="shared" si="33"/>
        <v/>
      </c>
      <c r="W237" s="8" t="str">
        <f t="shared" si="34"/>
        <v/>
      </c>
      <c r="X237" s="2"/>
      <c r="Y237" s="10"/>
      <c r="Z237" s="11" t="str">
        <f>IF(X237&lt;&gt;"执行卖出","",IFERROR(LOOKUP(2,1/(单次交易!$A$2:$A$201=B237),单次交易!$AP$2:$AP$201),""))</f>
        <v/>
      </c>
      <c r="AA237" s="10"/>
      <c r="AB237" s="8" t="str">
        <f t="shared" si="35"/>
        <v/>
      </c>
      <c r="AC237" s="8" t="str">
        <f>IF(A237="","",IF(A237="止损计划",IF(OR(B237="",D237="",E237="",F237="",G237=""),"计划不完整",IF(OR(D237&lt;1,D237&lt;&gt;INT(D237)),"阶段序号无效",IF(COUNTIFS($A$2:$A$497,"止损计划",$B$2:$B$497,B237,$D$2:$D$497,D237)&gt;1,"阶段序号重复",IF(E237&lt;=IFERROR(LOOKUP(2,1/(单次交易!$A$2:$A$201=B237),单次交易!$E$2:$E$201),0),"激活价须高于买入价",IF(F237&lt;N237,"止损价不得低于初始止损",IF(F237&gt;E237,"止损价不得高于激活价",IF(AND(COUNTIFS($A$2:$A$497,"止损计划",$B$2:$B$497,B237,$D$2:$D$497,"&lt;"&amp;D237)&gt;0,OR(E237&lt;=SUMPRODUCT(MAX((($A$2:$A$497="止损计划")*($B$2:$B$497=B237)*($D$2:$D$497&lt;D237))*$E$2:$E$497)),F237&lt;SUMPRODUCT(MAX((($A$2:$A$497="止损计划")*($B$2:$B$497=B237)*($D$2:$D$497&lt;D237))*$F$2:$F$497)))),"阶段价格必须逐级提高","计划有效"))))))),IF(A237="每日跟踪",IF(OR(B237="",H237="",I237="",J237=""),"每日数据不完整",IF(COUNTIFS($A$2:$A$497,"每日跟踪",$B$2:$B$497,B237,$H$2:$H$497,H237)&gt;1,"同一交易日期重复",IF(AND(R237&lt;&gt;"",R237&lt;S237),"人工止损无效：不能下调","跟踪有效"))),"记录类型无效")))</f>
        <v/>
      </c>
    </row>
    <row r="238" ht="17" spans="1:29">
      <c r="A238" s="2"/>
      <c r="B238" s="2"/>
      <c r="C238" s="8" t="str">
        <f>IF(B238="","",IFERROR(LOOKUP(2,1/(单次交易!$A$2:$A$201=B238),单次交易!$B$2:$B$201),""))</f>
        <v/>
      </c>
      <c r="D238" s="12"/>
      <c r="E238" s="10"/>
      <c r="F238" s="10"/>
      <c r="G238" s="2"/>
      <c r="H238" s="15"/>
      <c r="I238" s="10"/>
      <c r="J238" s="12"/>
      <c r="K238" s="2"/>
      <c r="L238" s="2"/>
      <c r="M238" s="2"/>
      <c r="N238" s="5" t="str">
        <f>IF(B238="","",IFERROR(LOOKUP(2,1/(单次交易!$A$2:$A$201=B238),单次交易!$N$2:$N$201),""))</f>
        <v/>
      </c>
      <c r="O238" s="5" t="str">
        <f t="shared" si="27"/>
        <v/>
      </c>
      <c r="P238" s="11" t="str">
        <f t="shared" si="28"/>
        <v/>
      </c>
      <c r="Q238" s="5" t="str">
        <f t="shared" si="29"/>
        <v/>
      </c>
      <c r="R238" s="10"/>
      <c r="S238" s="5" t="str">
        <f t="shared" si="30"/>
        <v/>
      </c>
      <c r="T238" s="5" t="str">
        <f t="shared" si="31"/>
        <v/>
      </c>
      <c r="U238" s="5" t="str">
        <f t="shared" si="32"/>
        <v/>
      </c>
      <c r="V238" s="7" t="str">
        <f t="shared" si="33"/>
        <v/>
      </c>
      <c r="W238" s="8" t="str">
        <f t="shared" si="34"/>
        <v/>
      </c>
      <c r="X238" s="2"/>
      <c r="Y238" s="10"/>
      <c r="Z238" s="11" t="str">
        <f>IF(X238&lt;&gt;"执行卖出","",IFERROR(LOOKUP(2,1/(单次交易!$A$2:$A$201=B238),单次交易!$AP$2:$AP$201),""))</f>
        <v/>
      </c>
      <c r="AA238" s="10"/>
      <c r="AB238" s="8" t="str">
        <f t="shared" si="35"/>
        <v/>
      </c>
      <c r="AC238" s="8" t="str">
        <f>IF(A238="","",IF(A238="止损计划",IF(OR(B238="",D238="",E238="",F238="",G238=""),"计划不完整",IF(OR(D238&lt;1,D238&lt;&gt;INT(D238)),"阶段序号无效",IF(COUNTIFS($A$2:$A$497,"止损计划",$B$2:$B$497,B238,$D$2:$D$497,D238)&gt;1,"阶段序号重复",IF(E238&lt;=IFERROR(LOOKUP(2,1/(单次交易!$A$2:$A$201=B238),单次交易!$E$2:$E$201),0),"激活价须高于买入价",IF(F238&lt;N238,"止损价不得低于初始止损",IF(F238&gt;E238,"止损价不得高于激活价",IF(AND(COUNTIFS($A$2:$A$497,"止损计划",$B$2:$B$497,B238,$D$2:$D$497,"&lt;"&amp;D238)&gt;0,OR(E238&lt;=SUMPRODUCT(MAX((($A$2:$A$497="止损计划")*($B$2:$B$497=B238)*($D$2:$D$497&lt;D238))*$E$2:$E$497)),F238&lt;SUMPRODUCT(MAX((($A$2:$A$497="止损计划")*($B$2:$B$497=B238)*($D$2:$D$497&lt;D238))*$F$2:$F$497)))),"阶段价格必须逐级提高","计划有效"))))))),IF(A238="每日跟踪",IF(OR(B238="",H238="",I238="",J238=""),"每日数据不完整",IF(COUNTIFS($A$2:$A$497,"每日跟踪",$B$2:$B$497,B238,$H$2:$H$497,H238)&gt;1,"同一交易日期重复",IF(AND(R238&lt;&gt;"",R238&lt;S238),"人工止损无效：不能下调","跟踪有效"))),"记录类型无效")))</f>
        <v/>
      </c>
    </row>
    <row r="239" ht="17" spans="1:29">
      <c r="A239" s="2"/>
      <c r="B239" s="2"/>
      <c r="C239" s="8" t="str">
        <f>IF(B239="","",IFERROR(LOOKUP(2,1/(单次交易!$A$2:$A$201=B239),单次交易!$B$2:$B$201),""))</f>
        <v/>
      </c>
      <c r="D239" s="12"/>
      <c r="E239" s="10"/>
      <c r="F239" s="10"/>
      <c r="G239" s="2"/>
      <c r="H239" s="15"/>
      <c r="I239" s="10"/>
      <c r="J239" s="12"/>
      <c r="K239" s="2"/>
      <c r="L239" s="2"/>
      <c r="M239" s="2"/>
      <c r="N239" s="5" t="str">
        <f>IF(B239="","",IFERROR(LOOKUP(2,1/(单次交易!$A$2:$A$201=B239),单次交易!$N$2:$N$201),""))</f>
        <v/>
      </c>
      <c r="O239" s="5" t="str">
        <f t="shared" si="27"/>
        <v/>
      </c>
      <c r="P239" s="11" t="str">
        <f t="shared" si="28"/>
        <v/>
      </c>
      <c r="Q239" s="5" t="str">
        <f t="shared" si="29"/>
        <v/>
      </c>
      <c r="R239" s="10"/>
      <c r="S239" s="5" t="str">
        <f t="shared" si="30"/>
        <v/>
      </c>
      <c r="T239" s="5" t="str">
        <f t="shared" si="31"/>
        <v/>
      </c>
      <c r="U239" s="5" t="str">
        <f t="shared" si="32"/>
        <v/>
      </c>
      <c r="V239" s="7" t="str">
        <f t="shared" si="33"/>
        <v/>
      </c>
      <c r="W239" s="8" t="str">
        <f t="shared" si="34"/>
        <v/>
      </c>
      <c r="X239" s="2"/>
      <c r="Y239" s="10"/>
      <c r="Z239" s="11" t="str">
        <f>IF(X239&lt;&gt;"执行卖出","",IFERROR(LOOKUP(2,1/(单次交易!$A$2:$A$201=B239),单次交易!$AP$2:$AP$201),""))</f>
        <v/>
      </c>
      <c r="AA239" s="10"/>
      <c r="AB239" s="8" t="str">
        <f t="shared" si="35"/>
        <v/>
      </c>
      <c r="AC239" s="8" t="str">
        <f>IF(A239="","",IF(A239="止损计划",IF(OR(B239="",D239="",E239="",F239="",G239=""),"计划不完整",IF(OR(D239&lt;1,D239&lt;&gt;INT(D239)),"阶段序号无效",IF(COUNTIFS($A$2:$A$497,"止损计划",$B$2:$B$497,B239,$D$2:$D$497,D239)&gt;1,"阶段序号重复",IF(E239&lt;=IFERROR(LOOKUP(2,1/(单次交易!$A$2:$A$201=B239),单次交易!$E$2:$E$201),0),"激活价须高于买入价",IF(F239&lt;N239,"止损价不得低于初始止损",IF(F239&gt;E239,"止损价不得高于激活价",IF(AND(COUNTIFS($A$2:$A$497,"止损计划",$B$2:$B$497,B239,$D$2:$D$497,"&lt;"&amp;D239)&gt;0,OR(E239&lt;=SUMPRODUCT(MAX((($A$2:$A$497="止损计划")*($B$2:$B$497=B239)*($D$2:$D$497&lt;D239))*$E$2:$E$497)),F239&lt;SUMPRODUCT(MAX((($A$2:$A$497="止损计划")*($B$2:$B$497=B239)*($D$2:$D$497&lt;D239))*$F$2:$F$497)))),"阶段价格必须逐级提高","计划有效"))))))),IF(A239="每日跟踪",IF(OR(B239="",H239="",I239="",J239=""),"每日数据不完整",IF(COUNTIFS($A$2:$A$497,"每日跟踪",$B$2:$B$497,B239,$H$2:$H$497,H239)&gt;1,"同一交易日期重复",IF(AND(R239&lt;&gt;"",R239&lt;S239),"人工止损无效：不能下调","跟踪有效"))),"记录类型无效")))</f>
        <v/>
      </c>
    </row>
    <row r="240" ht="17" spans="1:29">
      <c r="A240" s="2"/>
      <c r="B240" s="2"/>
      <c r="C240" s="8" t="str">
        <f>IF(B240="","",IFERROR(LOOKUP(2,1/(单次交易!$A$2:$A$201=B240),单次交易!$B$2:$B$201),""))</f>
        <v/>
      </c>
      <c r="D240" s="12"/>
      <c r="E240" s="10"/>
      <c r="F240" s="10"/>
      <c r="G240" s="2"/>
      <c r="H240" s="15"/>
      <c r="I240" s="10"/>
      <c r="J240" s="12"/>
      <c r="K240" s="2"/>
      <c r="L240" s="2"/>
      <c r="M240" s="2"/>
      <c r="N240" s="5" t="str">
        <f>IF(B240="","",IFERROR(LOOKUP(2,1/(单次交易!$A$2:$A$201=B240),单次交易!$N$2:$N$201),""))</f>
        <v/>
      </c>
      <c r="O240" s="5" t="str">
        <f t="shared" si="27"/>
        <v/>
      </c>
      <c r="P240" s="11" t="str">
        <f t="shared" si="28"/>
        <v/>
      </c>
      <c r="Q240" s="5" t="str">
        <f t="shared" si="29"/>
        <v/>
      </c>
      <c r="R240" s="10"/>
      <c r="S240" s="5" t="str">
        <f t="shared" si="30"/>
        <v/>
      </c>
      <c r="T240" s="5" t="str">
        <f t="shared" si="31"/>
        <v/>
      </c>
      <c r="U240" s="5" t="str">
        <f t="shared" si="32"/>
        <v/>
      </c>
      <c r="V240" s="7" t="str">
        <f t="shared" si="33"/>
        <v/>
      </c>
      <c r="W240" s="8" t="str">
        <f t="shared" si="34"/>
        <v/>
      </c>
      <c r="X240" s="2"/>
      <c r="Y240" s="10"/>
      <c r="Z240" s="11" t="str">
        <f>IF(X240&lt;&gt;"执行卖出","",IFERROR(LOOKUP(2,1/(单次交易!$A$2:$A$201=B240),单次交易!$AP$2:$AP$201),""))</f>
        <v/>
      </c>
      <c r="AA240" s="10"/>
      <c r="AB240" s="8" t="str">
        <f t="shared" si="35"/>
        <v/>
      </c>
      <c r="AC240" s="8" t="str">
        <f>IF(A240="","",IF(A240="止损计划",IF(OR(B240="",D240="",E240="",F240="",G240=""),"计划不完整",IF(OR(D240&lt;1,D240&lt;&gt;INT(D240)),"阶段序号无效",IF(COUNTIFS($A$2:$A$497,"止损计划",$B$2:$B$497,B240,$D$2:$D$497,D240)&gt;1,"阶段序号重复",IF(E240&lt;=IFERROR(LOOKUP(2,1/(单次交易!$A$2:$A$201=B240),单次交易!$E$2:$E$201),0),"激活价须高于买入价",IF(F240&lt;N240,"止损价不得低于初始止损",IF(F240&gt;E240,"止损价不得高于激活价",IF(AND(COUNTIFS($A$2:$A$497,"止损计划",$B$2:$B$497,B240,$D$2:$D$497,"&lt;"&amp;D240)&gt;0,OR(E240&lt;=SUMPRODUCT(MAX((($A$2:$A$497="止损计划")*($B$2:$B$497=B240)*($D$2:$D$497&lt;D240))*$E$2:$E$497)),F240&lt;SUMPRODUCT(MAX((($A$2:$A$497="止损计划")*($B$2:$B$497=B240)*($D$2:$D$497&lt;D240))*$F$2:$F$497)))),"阶段价格必须逐级提高","计划有效"))))))),IF(A240="每日跟踪",IF(OR(B240="",H240="",I240="",J240=""),"每日数据不完整",IF(COUNTIFS($A$2:$A$497,"每日跟踪",$B$2:$B$497,B240,$H$2:$H$497,H240)&gt;1,"同一交易日期重复",IF(AND(R240&lt;&gt;"",R240&lt;S240),"人工止损无效：不能下调","跟踪有效"))),"记录类型无效")))</f>
        <v/>
      </c>
    </row>
    <row r="241" ht="17" spans="1:29">
      <c r="A241" s="2"/>
      <c r="B241" s="2"/>
      <c r="C241" s="8" t="str">
        <f>IF(B241="","",IFERROR(LOOKUP(2,1/(单次交易!$A$2:$A$201=B241),单次交易!$B$2:$B$201),""))</f>
        <v/>
      </c>
      <c r="D241" s="12"/>
      <c r="E241" s="10"/>
      <c r="F241" s="10"/>
      <c r="G241" s="2"/>
      <c r="H241" s="15"/>
      <c r="I241" s="10"/>
      <c r="J241" s="12"/>
      <c r="K241" s="2"/>
      <c r="L241" s="2"/>
      <c r="M241" s="2"/>
      <c r="N241" s="5" t="str">
        <f>IF(B241="","",IFERROR(LOOKUP(2,1/(单次交易!$A$2:$A$201=B241),单次交易!$N$2:$N$201),""))</f>
        <v/>
      </c>
      <c r="O241" s="5" t="str">
        <f t="shared" si="27"/>
        <v/>
      </c>
      <c r="P241" s="11" t="str">
        <f t="shared" si="28"/>
        <v/>
      </c>
      <c r="Q241" s="5" t="str">
        <f t="shared" si="29"/>
        <v/>
      </c>
      <c r="R241" s="10"/>
      <c r="S241" s="5" t="str">
        <f t="shared" si="30"/>
        <v/>
      </c>
      <c r="T241" s="5" t="str">
        <f t="shared" si="31"/>
        <v/>
      </c>
      <c r="U241" s="5" t="str">
        <f t="shared" si="32"/>
        <v/>
      </c>
      <c r="V241" s="7" t="str">
        <f t="shared" si="33"/>
        <v/>
      </c>
      <c r="W241" s="8" t="str">
        <f t="shared" si="34"/>
        <v/>
      </c>
      <c r="X241" s="2"/>
      <c r="Y241" s="10"/>
      <c r="Z241" s="11" t="str">
        <f>IF(X241&lt;&gt;"执行卖出","",IFERROR(LOOKUP(2,1/(单次交易!$A$2:$A$201=B241),单次交易!$AP$2:$AP$201),""))</f>
        <v/>
      </c>
      <c r="AA241" s="10"/>
      <c r="AB241" s="8" t="str">
        <f t="shared" si="35"/>
        <v/>
      </c>
      <c r="AC241" s="8" t="str">
        <f>IF(A241="","",IF(A241="止损计划",IF(OR(B241="",D241="",E241="",F241="",G241=""),"计划不完整",IF(OR(D241&lt;1,D241&lt;&gt;INT(D241)),"阶段序号无效",IF(COUNTIFS($A$2:$A$497,"止损计划",$B$2:$B$497,B241,$D$2:$D$497,D241)&gt;1,"阶段序号重复",IF(E241&lt;=IFERROR(LOOKUP(2,1/(单次交易!$A$2:$A$201=B241),单次交易!$E$2:$E$201),0),"激活价须高于买入价",IF(F241&lt;N241,"止损价不得低于初始止损",IF(F241&gt;E241,"止损价不得高于激活价",IF(AND(COUNTIFS($A$2:$A$497,"止损计划",$B$2:$B$497,B241,$D$2:$D$497,"&lt;"&amp;D241)&gt;0,OR(E241&lt;=SUMPRODUCT(MAX((($A$2:$A$497="止损计划")*($B$2:$B$497=B241)*($D$2:$D$497&lt;D241))*$E$2:$E$497)),F241&lt;SUMPRODUCT(MAX((($A$2:$A$497="止损计划")*($B$2:$B$497=B241)*($D$2:$D$497&lt;D241))*$F$2:$F$497)))),"阶段价格必须逐级提高","计划有效"))))))),IF(A241="每日跟踪",IF(OR(B241="",H241="",I241="",J241=""),"每日数据不完整",IF(COUNTIFS($A$2:$A$497,"每日跟踪",$B$2:$B$497,B241,$H$2:$H$497,H241)&gt;1,"同一交易日期重复",IF(AND(R241&lt;&gt;"",R241&lt;S241),"人工止损无效：不能下调","跟踪有效"))),"记录类型无效")))</f>
        <v/>
      </c>
    </row>
    <row r="242" ht="17" spans="1:29">
      <c r="A242" s="2"/>
      <c r="B242" s="2"/>
      <c r="C242" s="8" t="str">
        <f>IF(B242="","",IFERROR(LOOKUP(2,1/(单次交易!$A$2:$A$201=B242),单次交易!$B$2:$B$201),""))</f>
        <v/>
      </c>
      <c r="D242" s="12"/>
      <c r="E242" s="10"/>
      <c r="F242" s="10"/>
      <c r="G242" s="2"/>
      <c r="H242" s="15"/>
      <c r="I242" s="10"/>
      <c r="J242" s="12"/>
      <c r="K242" s="2"/>
      <c r="L242" s="2"/>
      <c r="M242" s="2"/>
      <c r="N242" s="5" t="str">
        <f>IF(B242="","",IFERROR(LOOKUP(2,1/(单次交易!$A$2:$A$201=B242),单次交易!$N$2:$N$201),""))</f>
        <v/>
      </c>
      <c r="O242" s="5" t="str">
        <f t="shared" si="27"/>
        <v/>
      </c>
      <c r="P242" s="11" t="str">
        <f t="shared" si="28"/>
        <v/>
      </c>
      <c r="Q242" s="5" t="str">
        <f t="shared" si="29"/>
        <v/>
      </c>
      <c r="R242" s="10"/>
      <c r="S242" s="5" t="str">
        <f t="shared" si="30"/>
        <v/>
      </c>
      <c r="T242" s="5" t="str">
        <f t="shared" si="31"/>
        <v/>
      </c>
      <c r="U242" s="5" t="str">
        <f t="shared" si="32"/>
        <v/>
      </c>
      <c r="V242" s="7" t="str">
        <f t="shared" si="33"/>
        <v/>
      </c>
      <c r="W242" s="8" t="str">
        <f t="shared" si="34"/>
        <v/>
      </c>
      <c r="X242" s="2"/>
      <c r="Y242" s="10"/>
      <c r="Z242" s="11" t="str">
        <f>IF(X242&lt;&gt;"执行卖出","",IFERROR(LOOKUP(2,1/(单次交易!$A$2:$A$201=B242),单次交易!$AP$2:$AP$201),""))</f>
        <v/>
      </c>
      <c r="AA242" s="10"/>
      <c r="AB242" s="8" t="str">
        <f t="shared" si="35"/>
        <v/>
      </c>
      <c r="AC242" s="8" t="str">
        <f>IF(A242="","",IF(A242="止损计划",IF(OR(B242="",D242="",E242="",F242="",G242=""),"计划不完整",IF(OR(D242&lt;1,D242&lt;&gt;INT(D242)),"阶段序号无效",IF(COUNTIFS($A$2:$A$497,"止损计划",$B$2:$B$497,B242,$D$2:$D$497,D242)&gt;1,"阶段序号重复",IF(E242&lt;=IFERROR(LOOKUP(2,1/(单次交易!$A$2:$A$201=B242),单次交易!$E$2:$E$201),0),"激活价须高于买入价",IF(F242&lt;N242,"止损价不得低于初始止损",IF(F242&gt;E242,"止损价不得高于激活价",IF(AND(COUNTIFS($A$2:$A$497,"止损计划",$B$2:$B$497,B242,$D$2:$D$497,"&lt;"&amp;D242)&gt;0,OR(E242&lt;=SUMPRODUCT(MAX((($A$2:$A$497="止损计划")*($B$2:$B$497=B242)*($D$2:$D$497&lt;D242))*$E$2:$E$497)),F242&lt;SUMPRODUCT(MAX((($A$2:$A$497="止损计划")*($B$2:$B$497=B242)*($D$2:$D$497&lt;D242))*$F$2:$F$497)))),"阶段价格必须逐级提高","计划有效"))))))),IF(A242="每日跟踪",IF(OR(B242="",H242="",I242="",J242=""),"每日数据不完整",IF(COUNTIFS($A$2:$A$497,"每日跟踪",$B$2:$B$497,B242,$H$2:$H$497,H242)&gt;1,"同一交易日期重复",IF(AND(R242&lt;&gt;"",R242&lt;S242),"人工止损无效：不能下调","跟踪有效"))),"记录类型无效")))</f>
        <v/>
      </c>
    </row>
    <row r="243" ht="17" spans="1:29">
      <c r="A243" s="2"/>
      <c r="B243" s="2"/>
      <c r="C243" s="8" t="str">
        <f>IF(B243="","",IFERROR(LOOKUP(2,1/(单次交易!$A$2:$A$201=B243),单次交易!$B$2:$B$201),""))</f>
        <v/>
      </c>
      <c r="D243" s="12"/>
      <c r="E243" s="10"/>
      <c r="F243" s="10"/>
      <c r="G243" s="2"/>
      <c r="H243" s="15"/>
      <c r="I243" s="10"/>
      <c r="J243" s="12"/>
      <c r="K243" s="2"/>
      <c r="L243" s="2"/>
      <c r="M243" s="2"/>
      <c r="N243" s="5" t="str">
        <f>IF(B243="","",IFERROR(LOOKUP(2,1/(单次交易!$A$2:$A$201=B243),单次交易!$N$2:$N$201),""))</f>
        <v/>
      </c>
      <c r="O243" s="5" t="str">
        <f t="shared" si="27"/>
        <v/>
      </c>
      <c r="P243" s="11" t="str">
        <f t="shared" si="28"/>
        <v/>
      </c>
      <c r="Q243" s="5" t="str">
        <f t="shared" si="29"/>
        <v/>
      </c>
      <c r="R243" s="10"/>
      <c r="S243" s="5" t="str">
        <f t="shared" si="30"/>
        <v/>
      </c>
      <c r="T243" s="5" t="str">
        <f t="shared" si="31"/>
        <v/>
      </c>
      <c r="U243" s="5" t="str">
        <f t="shared" si="32"/>
        <v/>
      </c>
      <c r="V243" s="7" t="str">
        <f t="shared" si="33"/>
        <v/>
      </c>
      <c r="W243" s="8" t="str">
        <f t="shared" si="34"/>
        <v/>
      </c>
      <c r="X243" s="2"/>
      <c r="Y243" s="10"/>
      <c r="Z243" s="11" t="str">
        <f>IF(X243&lt;&gt;"执行卖出","",IFERROR(LOOKUP(2,1/(单次交易!$A$2:$A$201=B243),单次交易!$AP$2:$AP$201),""))</f>
        <v/>
      </c>
      <c r="AA243" s="10"/>
      <c r="AB243" s="8" t="str">
        <f t="shared" si="35"/>
        <v/>
      </c>
      <c r="AC243" s="8" t="str">
        <f>IF(A243="","",IF(A243="止损计划",IF(OR(B243="",D243="",E243="",F243="",G243=""),"计划不完整",IF(OR(D243&lt;1,D243&lt;&gt;INT(D243)),"阶段序号无效",IF(COUNTIFS($A$2:$A$497,"止损计划",$B$2:$B$497,B243,$D$2:$D$497,D243)&gt;1,"阶段序号重复",IF(E243&lt;=IFERROR(LOOKUP(2,1/(单次交易!$A$2:$A$201=B243),单次交易!$E$2:$E$201),0),"激活价须高于买入价",IF(F243&lt;N243,"止损价不得低于初始止损",IF(F243&gt;E243,"止损价不得高于激活价",IF(AND(COUNTIFS($A$2:$A$497,"止损计划",$B$2:$B$497,B243,$D$2:$D$497,"&lt;"&amp;D243)&gt;0,OR(E243&lt;=SUMPRODUCT(MAX((($A$2:$A$497="止损计划")*($B$2:$B$497=B243)*($D$2:$D$497&lt;D243))*$E$2:$E$497)),F243&lt;SUMPRODUCT(MAX((($A$2:$A$497="止损计划")*($B$2:$B$497=B243)*($D$2:$D$497&lt;D243))*$F$2:$F$497)))),"阶段价格必须逐级提高","计划有效"))))))),IF(A243="每日跟踪",IF(OR(B243="",H243="",I243="",J243=""),"每日数据不完整",IF(COUNTIFS($A$2:$A$497,"每日跟踪",$B$2:$B$497,B243,$H$2:$H$497,H243)&gt;1,"同一交易日期重复",IF(AND(R243&lt;&gt;"",R243&lt;S243),"人工止损无效：不能下调","跟踪有效"))),"记录类型无效")))</f>
        <v/>
      </c>
    </row>
    <row r="244" ht="17" spans="1:29">
      <c r="A244" s="2"/>
      <c r="B244" s="2"/>
      <c r="C244" s="8" t="str">
        <f>IF(B244="","",IFERROR(LOOKUP(2,1/(单次交易!$A$2:$A$201=B244),单次交易!$B$2:$B$201),""))</f>
        <v/>
      </c>
      <c r="D244" s="12"/>
      <c r="E244" s="10"/>
      <c r="F244" s="10"/>
      <c r="G244" s="2"/>
      <c r="H244" s="15"/>
      <c r="I244" s="10"/>
      <c r="J244" s="12"/>
      <c r="K244" s="2"/>
      <c r="L244" s="2"/>
      <c r="M244" s="2"/>
      <c r="N244" s="5" t="str">
        <f>IF(B244="","",IFERROR(LOOKUP(2,1/(单次交易!$A$2:$A$201=B244),单次交易!$N$2:$N$201),""))</f>
        <v/>
      </c>
      <c r="O244" s="5" t="str">
        <f t="shared" si="27"/>
        <v/>
      </c>
      <c r="P244" s="11" t="str">
        <f t="shared" si="28"/>
        <v/>
      </c>
      <c r="Q244" s="5" t="str">
        <f t="shared" si="29"/>
        <v/>
      </c>
      <c r="R244" s="10"/>
      <c r="S244" s="5" t="str">
        <f t="shared" si="30"/>
        <v/>
      </c>
      <c r="T244" s="5" t="str">
        <f t="shared" si="31"/>
        <v/>
      </c>
      <c r="U244" s="5" t="str">
        <f t="shared" si="32"/>
        <v/>
      </c>
      <c r="V244" s="7" t="str">
        <f t="shared" si="33"/>
        <v/>
      </c>
      <c r="W244" s="8" t="str">
        <f t="shared" si="34"/>
        <v/>
      </c>
      <c r="X244" s="2"/>
      <c r="Y244" s="10"/>
      <c r="Z244" s="11" t="str">
        <f>IF(X244&lt;&gt;"执行卖出","",IFERROR(LOOKUP(2,1/(单次交易!$A$2:$A$201=B244),单次交易!$AP$2:$AP$201),""))</f>
        <v/>
      </c>
      <c r="AA244" s="10"/>
      <c r="AB244" s="8" t="str">
        <f t="shared" si="35"/>
        <v/>
      </c>
      <c r="AC244" s="8" t="str">
        <f>IF(A244="","",IF(A244="止损计划",IF(OR(B244="",D244="",E244="",F244="",G244=""),"计划不完整",IF(OR(D244&lt;1,D244&lt;&gt;INT(D244)),"阶段序号无效",IF(COUNTIFS($A$2:$A$497,"止损计划",$B$2:$B$497,B244,$D$2:$D$497,D244)&gt;1,"阶段序号重复",IF(E244&lt;=IFERROR(LOOKUP(2,1/(单次交易!$A$2:$A$201=B244),单次交易!$E$2:$E$201),0),"激活价须高于买入价",IF(F244&lt;N244,"止损价不得低于初始止损",IF(F244&gt;E244,"止损价不得高于激活价",IF(AND(COUNTIFS($A$2:$A$497,"止损计划",$B$2:$B$497,B244,$D$2:$D$497,"&lt;"&amp;D244)&gt;0,OR(E244&lt;=SUMPRODUCT(MAX((($A$2:$A$497="止损计划")*($B$2:$B$497=B244)*($D$2:$D$497&lt;D244))*$E$2:$E$497)),F244&lt;SUMPRODUCT(MAX((($A$2:$A$497="止损计划")*($B$2:$B$497=B244)*($D$2:$D$497&lt;D244))*$F$2:$F$497)))),"阶段价格必须逐级提高","计划有效"))))))),IF(A244="每日跟踪",IF(OR(B244="",H244="",I244="",J244=""),"每日数据不完整",IF(COUNTIFS($A$2:$A$497,"每日跟踪",$B$2:$B$497,B244,$H$2:$H$497,H244)&gt;1,"同一交易日期重复",IF(AND(R244&lt;&gt;"",R244&lt;S244),"人工止损无效：不能下调","跟踪有效"))),"记录类型无效")))</f>
        <v/>
      </c>
    </row>
    <row r="245" ht="17" spans="1:29">
      <c r="A245" s="2"/>
      <c r="B245" s="2"/>
      <c r="C245" s="8" t="str">
        <f>IF(B245="","",IFERROR(LOOKUP(2,1/(单次交易!$A$2:$A$201=B245),单次交易!$B$2:$B$201),""))</f>
        <v/>
      </c>
      <c r="D245" s="12"/>
      <c r="E245" s="10"/>
      <c r="F245" s="10"/>
      <c r="G245" s="2"/>
      <c r="H245" s="15"/>
      <c r="I245" s="10"/>
      <c r="J245" s="12"/>
      <c r="K245" s="2"/>
      <c r="L245" s="2"/>
      <c r="M245" s="2"/>
      <c r="N245" s="5" t="str">
        <f>IF(B245="","",IFERROR(LOOKUP(2,1/(单次交易!$A$2:$A$201=B245),单次交易!$N$2:$N$201),""))</f>
        <v/>
      </c>
      <c r="O245" s="5" t="str">
        <f t="shared" si="27"/>
        <v/>
      </c>
      <c r="P245" s="11" t="str">
        <f t="shared" si="28"/>
        <v/>
      </c>
      <c r="Q245" s="5" t="str">
        <f t="shared" si="29"/>
        <v/>
      </c>
      <c r="R245" s="10"/>
      <c r="S245" s="5" t="str">
        <f t="shared" si="30"/>
        <v/>
      </c>
      <c r="T245" s="5" t="str">
        <f t="shared" si="31"/>
        <v/>
      </c>
      <c r="U245" s="5" t="str">
        <f t="shared" si="32"/>
        <v/>
      </c>
      <c r="V245" s="7" t="str">
        <f t="shared" si="33"/>
        <v/>
      </c>
      <c r="W245" s="8" t="str">
        <f t="shared" si="34"/>
        <v/>
      </c>
      <c r="X245" s="2"/>
      <c r="Y245" s="10"/>
      <c r="Z245" s="11" t="str">
        <f>IF(X245&lt;&gt;"执行卖出","",IFERROR(LOOKUP(2,1/(单次交易!$A$2:$A$201=B245),单次交易!$AP$2:$AP$201),""))</f>
        <v/>
      </c>
      <c r="AA245" s="10"/>
      <c r="AB245" s="8" t="str">
        <f t="shared" si="35"/>
        <v/>
      </c>
      <c r="AC245" s="8" t="str">
        <f>IF(A245="","",IF(A245="止损计划",IF(OR(B245="",D245="",E245="",F245="",G245=""),"计划不完整",IF(OR(D245&lt;1,D245&lt;&gt;INT(D245)),"阶段序号无效",IF(COUNTIFS($A$2:$A$497,"止损计划",$B$2:$B$497,B245,$D$2:$D$497,D245)&gt;1,"阶段序号重复",IF(E245&lt;=IFERROR(LOOKUP(2,1/(单次交易!$A$2:$A$201=B245),单次交易!$E$2:$E$201),0),"激活价须高于买入价",IF(F245&lt;N245,"止损价不得低于初始止损",IF(F245&gt;E245,"止损价不得高于激活价",IF(AND(COUNTIFS($A$2:$A$497,"止损计划",$B$2:$B$497,B245,$D$2:$D$497,"&lt;"&amp;D245)&gt;0,OR(E245&lt;=SUMPRODUCT(MAX((($A$2:$A$497="止损计划")*($B$2:$B$497=B245)*($D$2:$D$497&lt;D245))*$E$2:$E$497)),F245&lt;SUMPRODUCT(MAX((($A$2:$A$497="止损计划")*($B$2:$B$497=B245)*($D$2:$D$497&lt;D245))*$F$2:$F$497)))),"阶段价格必须逐级提高","计划有效"))))))),IF(A245="每日跟踪",IF(OR(B245="",H245="",I245="",J245=""),"每日数据不完整",IF(COUNTIFS($A$2:$A$497,"每日跟踪",$B$2:$B$497,B245,$H$2:$H$497,H245)&gt;1,"同一交易日期重复",IF(AND(R245&lt;&gt;"",R245&lt;S245),"人工止损无效：不能下调","跟踪有效"))),"记录类型无效")))</f>
        <v/>
      </c>
    </row>
    <row r="246" ht="17" spans="1:29">
      <c r="A246" s="2"/>
      <c r="B246" s="2"/>
      <c r="C246" s="8" t="str">
        <f>IF(B246="","",IFERROR(LOOKUP(2,1/(单次交易!$A$2:$A$201=B246),单次交易!$B$2:$B$201),""))</f>
        <v/>
      </c>
      <c r="D246" s="12"/>
      <c r="E246" s="10"/>
      <c r="F246" s="10"/>
      <c r="G246" s="2"/>
      <c r="H246" s="15"/>
      <c r="I246" s="10"/>
      <c r="J246" s="12"/>
      <c r="K246" s="2"/>
      <c r="L246" s="2"/>
      <c r="M246" s="2"/>
      <c r="N246" s="5" t="str">
        <f>IF(B246="","",IFERROR(LOOKUP(2,1/(单次交易!$A$2:$A$201=B246),单次交易!$N$2:$N$201),""))</f>
        <v/>
      </c>
      <c r="O246" s="5" t="str">
        <f t="shared" si="27"/>
        <v/>
      </c>
      <c r="P246" s="11" t="str">
        <f t="shared" si="28"/>
        <v/>
      </c>
      <c r="Q246" s="5" t="str">
        <f t="shared" si="29"/>
        <v/>
      </c>
      <c r="R246" s="10"/>
      <c r="S246" s="5" t="str">
        <f t="shared" si="30"/>
        <v/>
      </c>
      <c r="T246" s="5" t="str">
        <f t="shared" si="31"/>
        <v/>
      </c>
      <c r="U246" s="5" t="str">
        <f t="shared" si="32"/>
        <v/>
      </c>
      <c r="V246" s="7" t="str">
        <f t="shared" si="33"/>
        <v/>
      </c>
      <c r="W246" s="8" t="str">
        <f t="shared" si="34"/>
        <v/>
      </c>
      <c r="X246" s="2"/>
      <c r="Y246" s="10"/>
      <c r="Z246" s="11" t="str">
        <f>IF(X246&lt;&gt;"执行卖出","",IFERROR(LOOKUP(2,1/(单次交易!$A$2:$A$201=B246),单次交易!$AP$2:$AP$201),""))</f>
        <v/>
      </c>
      <c r="AA246" s="10"/>
      <c r="AB246" s="8" t="str">
        <f t="shared" si="35"/>
        <v/>
      </c>
      <c r="AC246" s="8" t="str">
        <f>IF(A246="","",IF(A246="止损计划",IF(OR(B246="",D246="",E246="",F246="",G246=""),"计划不完整",IF(OR(D246&lt;1,D246&lt;&gt;INT(D246)),"阶段序号无效",IF(COUNTIFS($A$2:$A$497,"止损计划",$B$2:$B$497,B246,$D$2:$D$497,D246)&gt;1,"阶段序号重复",IF(E246&lt;=IFERROR(LOOKUP(2,1/(单次交易!$A$2:$A$201=B246),单次交易!$E$2:$E$201),0),"激活价须高于买入价",IF(F246&lt;N246,"止损价不得低于初始止损",IF(F246&gt;E246,"止损价不得高于激活价",IF(AND(COUNTIFS($A$2:$A$497,"止损计划",$B$2:$B$497,B246,$D$2:$D$497,"&lt;"&amp;D246)&gt;0,OR(E246&lt;=SUMPRODUCT(MAX((($A$2:$A$497="止损计划")*($B$2:$B$497=B246)*($D$2:$D$497&lt;D246))*$E$2:$E$497)),F246&lt;SUMPRODUCT(MAX((($A$2:$A$497="止损计划")*($B$2:$B$497=B246)*($D$2:$D$497&lt;D246))*$F$2:$F$497)))),"阶段价格必须逐级提高","计划有效"))))))),IF(A246="每日跟踪",IF(OR(B246="",H246="",I246="",J246=""),"每日数据不完整",IF(COUNTIFS($A$2:$A$497,"每日跟踪",$B$2:$B$497,B246,$H$2:$H$497,H246)&gt;1,"同一交易日期重复",IF(AND(R246&lt;&gt;"",R246&lt;S246),"人工止损无效：不能下调","跟踪有效"))),"记录类型无效")))</f>
        <v/>
      </c>
    </row>
    <row r="247" ht="17" spans="1:29">
      <c r="A247" s="2"/>
      <c r="B247" s="2"/>
      <c r="C247" s="8" t="str">
        <f>IF(B247="","",IFERROR(LOOKUP(2,1/(单次交易!$A$2:$A$201=B247),单次交易!$B$2:$B$201),""))</f>
        <v/>
      </c>
      <c r="D247" s="12"/>
      <c r="E247" s="10"/>
      <c r="F247" s="10"/>
      <c r="G247" s="2"/>
      <c r="H247" s="15"/>
      <c r="I247" s="10"/>
      <c r="J247" s="12"/>
      <c r="K247" s="2"/>
      <c r="L247" s="2"/>
      <c r="M247" s="2"/>
      <c r="N247" s="5" t="str">
        <f>IF(B247="","",IFERROR(LOOKUP(2,1/(单次交易!$A$2:$A$201=B247),单次交易!$N$2:$N$201),""))</f>
        <v/>
      </c>
      <c r="O247" s="5" t="str">
        <f t="shared" si="27"/>
        <v/>
      </c>
      <c r="P247" s="11" t="str">
        <f t="shared" si="28"/>
        <v/>
      </c>
      <c r="Q247" s="5" t="str">
        <f t="shared" si="29"/>
        <v/>
      </c>
      <c r="R247" s="10"/>
      <c r="S247" s="5" t="str">
        <f t="shared" si="30"/>
        <v/>
      </c>
      <c r="T247" s="5" t="str">
        <f t="shared" si="31"/>
        <v/>
      </c>
      <c r="U247" s="5" t="str">
        <f t="shared" si="32"/>
        <v/>
      </c>
      <c r="V247" s="7" t="str">
        <f t="shared" si="33"/>
        <v/>
      </c>
      <c r="W247" s="8" t="str">
        <f t="shared" si="34"/>
        <v/>
      </c>
      <c r="X247" s="2"/>
      <c r="Y247" s="10"/>
      <c r="Z247" s="11" t="str">
        <f>IF(X247&lt;&gt;"执行卖出","",IFERROR(LOOKUP(2,1/(单次交易!$A$2:$A$201=B247),单次交易!$AP$2:$AP$201),""))</f>
        <v/>
      </c>
      <c r="AA247" s="10"/>
      <c r="AB247" s="8" t="str">
        <f t="shared" si="35"/>
        <v/>
      </c>
      <c r="AC247" s="8" t="str">
        <f>IF(A247="","",IF(A247="止损计划",IF(OR(B247="",D247="",E247="",F247="",G247=""),"计划不完整",IF(OR(D247&lt;1,D247&lt;&gt;INT(D247)),"阶段序号无效",IF(COUNTIFS($A$2:$A$497,"止损计划",$B$2:$B$497,B247,$D$2:$D$497,D247)&gt;1,"阶段序号重复",IF(E247&lt;=IFERROR(LOOKUP(2,1/(单次交易!$A$2:$A$201=B247),单次交易!$E$2:$E$201),0),"激活价须高于买入价",IF(F247&lt;N247,"止损价不得低于初始止损",IF(F247&gt;E247,"止损价不得高于激活价",IF(AND(COUNTIFS($A$2:$A$497,"止损计划",$B$2:$B$497,B247,$D$2:$D$497,"&lt;"&amp;D247)&gt;0,OR(E247&lt;=SUMPRODUCT(MAX((($A$2:$A$497="止损计划")*($B$2:$B$497=B247)*($D$2:$D$497&lt;D247))*$E$2:$E$497)),F247&lt;SUMPRODUCT(MAX((($A$2:$A$497="止损计划")*($B$2:$B$497=B247)*($D$2:$D$497&lt;D247))*$F$2:$F$497)))),"阶段价格必须逐级提高","计划有效"))))))),IF(A247="每日跟踪",IF(OR(B247="",H247="",I247="",J247=""),"每日数据不完整",IF(COUNTIFS($A$2:$A$497,"每日跟踪",$B$2:$B$497,B247,$H$2:$H$497,H247)&gt;1,"同一交易日期重复",IF(AND(R247&lt;&gt;"",R247&lt;S247),"人工止损无效：不能下调","跟踪有效"))),"记录类型无效")))</f>
        <v/>
      </c>
    </row>
    <row r="248" ht="17" spans="1:29">
      <c r="A248" s="2"/>
      <c r="B248" s="2"/>
      <c r="C248" s="8" t="str">
        <f>IF(B248="","",IFERROR(LOOKUP(2,1/(单次交易!$A$2:$A$201=B248),单次交易!$B$2:$B$201),""))</f>
        <v/>
      </c>
      <c r="D248" s="12"/>
      <c r="E248" s="10"/>
      <c r="F248" s="10"/>
      <c r="G248" s="2"/>
      <c r="H248" s="15"/>
      <c r="I248" s="10"/>
      <c r="J248" s="12"/>
      <c r="K248" s="2"/>
      <c r="L248" s="2"/>
      <c r="M248" s="2"/>
      <c r="N248" s="5" t="str">
        <f>IF(B248="","",IFERROR(LOOKUP(2,1/(单次交易!$A$2:$A$201=B248),单次交易!$N$2:$N$201),""))</f>
        <v/>
      </c>
      <c r="O248" s="5" t="str">
        <f t="shared" si="27"/>
        <v/>
      </c>
      <c r="P248" s="11" t="str">
        <f t="shared" si="28"/>
        <v/>
      </c>
      <c r="Q248" s="5" t="str">
        <f t="shared" si="29"/>
        <v/>
      </c>
      <c r="R248" s="10"/>
      <c r="S248" s="5" t="str">
        <f t="shared" si="30"/>
        <v/>
      </c>
      <c r="T248" s="5" t="str">
        <f t="shared" si="31"/>
        <v/>
      </c>
      <c r="U248" s="5" t="str">
        <f t="shared" si="32"/>
        <v/>
      </c>
      <c r="V248" s="7" t="str">
        <f t="shared" si="33"/>
        <v/>
      </c>
      <c r="W248" s="8" t="str">
        <f t="shared" si="34"/>
        <v/>
      </c>
      <c r="X248" s="2"/>
      <c r="Y248" s="10"/>
      <c r="Z248" s="11" t="str">
        <f>IF(X248&lt;&gt;"执行卖出","",IFERROR(LOOKUP(2,1/(单次交易!$A$2:$A$201=B248),单次交易!$AP$2:$AP$201),""))</f>
        <v/>
      </c>
      <c r="AA248" s="10"/>
      <c r="AB248" s="8" t="str">
        <f t="shared" si="35"/>
        <v/>
      </c>
      <c r="AC248" s="8" t="str">
        <f>IF(A248="","",IF(A248="止损计划",IF(OR(B248="",D248="",E248="",F248="",G248=""),"计划不完整",IF(OR(D248&lt;1,D248&lt;&gt;INT(D248)),"阶段序号无效",IF(COUNTIFS($A$2:$A$497,"止损计划",$B$2:$B$497,B248,$D$2:$D$497,D248)&gt;1,"阶段序号重复",IF(E248&lt;=IFERROR(LOOKUP(2,1/(单次交易!$A$2:$A$201=B248),单次交易!$E$2:$E$201),0),"激活价须高于买入价",IF(F248&lt;N248,"止损价不得低于初始止损",IF(F248&gt;E248,"止损价不得高于激活价",IF(AND(COUNTIFS($A$2:$A$497,"止损计划",$B$2:$B$497,B248,$D$2:$D$497,"&lt;"&amp;D248)&gt;0,OR(E248&lt;=SUMPRODUCT(MAX((($A$2:$A$497="止损计划")*($B$2:$B$497=B248)*($D$2:$D$497&lt;D248))*$E$2:$E$497)),F248&lt;SUMPRODUCT(MAX((($A$2:$A$497="止损计划")*($B$2:$B$497=B248)*($D$2:$D$497&lt;D248))*$F$2:$F$497)))),"阶段价格必须逐级提高","计划有效"))))))),IF(A248="每日跟踪",IF(OR(B248="",H248="",I248="",J248=""),"每日数据不完整",IF(COUNTIFS($A$2:$A$497,"每日跟踪",$B$2:$B$497,B248,$H$2:$H$497,H248)&gt;1,"同一交易日期重复",IF(AND(R248&lt;&gt;"",R248&lt;S248),"人工止损无效：不能下调","跟踪有效"))),"记录类型无效")))</f>
        <v/>
      </c>
    </row>
    <row r="249" ht="17" spans="1:29">
      <c r="A249" s="2"/>
      <c r="B249" s="2"/>
      <c r="C249" s="8" t="str">
        <f>IF(B249="","",IFERROR(LOOKUP(2,1/(单次交易!$A$2:$A$201=B249),单次交易!$B$2:$B$201),""))</f>
        <v/>
      </c>
      <c r="D249" s="12"/>
      <c r="E249" s="10"/>
      <c r="F249" s="10"/>
      <c r="G249" s="2"/>
      <c r="H249" s="15"/>
      <c r="I249" s="10"/>
      <c r="J249" s="12"/>
      <c r="K249" s="2"/>
      <c r="L249" s="2"/>
      <c r="M249" s="2"/>
      <c r="N249" s="5" t="str">
        <f>IF(B249="","",IFERROR(LOOKUP(2,1/(单次交易!$A$2:$A$201=B249),单次交易!$N$2:$N$201),""))</f>
        <v/>
      </c>
      <c r="O249" s="5" t="str">
        <f t="shared" si="27"/>
        <v/>
      </c>
      <c r="P249" s="11" t="str">
        <f t="shared" si="28"/>
        <v/>
      </c>
      <c r="Q249" s="5" t="str">
        <f t="shared" si="29"/>
        <v/>
      </c>
      <c r="R249" s="10"/>
      <c r="S249" s="5" t="str">
        <f t="shared" si="30"/>
        <v/>
      </c>
      <c r="T249" s="5" t="str">
        <f t="shared" si="31"/>
        <v/>
      </c>
      <c r="U249" s="5" t="str">
        <f t="shared" si="32"/>
        <v/>
      </c>
      <c r="V249" s="7" t="str">
        <f t="shared" si="33"/>
        <v/>
      </c>
      <c r="W249" s="8" t="str">
        <f t="shared" si="34"/>
        <v/>
      </c>
      <c r="X249" s="2"/>
      <c r="Y249" s="10"/>
      <c r="Z249" s="11" t="str">
        <f>IF(X249&lt;&gt;"执行卖出","",IFERROR(LOOKUP(2,1/(单次交易!$A$2:$A$201=B249),单次交易!$AP$2:$AP$201),""))</f>
        <v/>
      </c>
      <c r="AA249" s="10"/>
      <c r="AB249" s="8" t="str">
        <f t="shared" si="35"/>
        <v/>
      </c>
      <c r="AC249" s="8" t="str">
        <f>IF(A249="","",IF(A249="止损计划",IF(OR(B249="",D249="",E249="",F249="",G249=""),"计划不完整",IF(OR(D249&lt;1,D249&lt;&gt;INT(D249)),"阶段序号无效",IF(COUNTIFS($A$2:$A$497,"止损计划",$B$2:$B$497,B249,$D$2:$D$497,D249)&gt;1,"阶段序号重复",IF(E249&lt;=IFERROR(LOOKUP(2,1/(单次交易!$A$2:$A$201=B249),单次交易!$E$2:$E$201),0),"激活价须高于买入价",IF(F249&lt;N249,"止损价不得低于初始止损",IF(F249&gt;E249,"止损价不得高于激活价",IF(AND(COUNTIFS($A$2:$A$497,"止损计划",$B$2:$B$497,B249,$D$2:$D$497,"&lt;"&amp;D249)&gt;0,OR(E249&lt;=SUMPRODUCT(MAX((($A$2:$A$497="止损计划")*($B$2:$B$497=B249)*($D$2:$D$497&lt;D249))*$E$2:$E$497)),F249&lt;SUMPRODUCT(MAX((($A$2:$A$497="止损计划")*($B$2:$B$497=B249)*($D$2:$D$497&lt;D249))*$F$2:$F$497)))),"阶段价格必须逐级提高","计划有效"))))))),IF(A249="每日跟踪",IF(OR(B249="",H249="",I249="",J249=""),"每日数据不完整",IF(COUNTIFS($A$2:$A$497,"每日跟踪",$B$2:$B$497,B249,$H$2:$H$497,H249)&gt;1,"同一交易日期重复",IF(AND(R249&lt;&gt;"",R249&lt;S249),"人工止损无效：不能下调","跟踪有效"))),"记录类型无效")))</f>
        <v/>
      </c>
    </row>
    <row r="250" ht="17" spans="1:29">
      <c r="A250" s="2"/>
      <c r="B250" s="2"/>
      <c r="C250" s="8" t="str">
        <f>IF(B250="","",IFERROR(LOOKUP(2,1/(单次交易!$A$2:$A$201=B250),单次交易!$B$2:$B$201),""))</f>
        <v/>
      </c>
      <c r="D250" s="12"/>
      <c r="E250" s="10"/>
      <c r="F250" s="10"/>
      <c r="G250" s="2"/>
      <c r="H250" s="15"/>
      <c r="I250" s="10"/>
      <c r="J250" s="12"/>
      <c r="K250" s="2"/>
      <c r="L250" s="2"/>
      <c r="M250" s="2"/>
      <c r="N250" s="5" t="str">
        <f>IF(B250="","",IFERROR(LOOKUP(2,1/(单次交易!$A$2:$A$201=B250),单次交易!$N$2:$N$201),""))</f>
        <v/>
      </c>
      <c r="O250" s="5" t="str">
        <f t="shared" si="27"/>
        <v/>
      </c>
      <c r="P250" s="11" t="str">
        <f t="shared" si="28"/>
        <v/>
      </c>
      <c r="Q250" s="5" t="str">
        <f t="shared" si="29"/>
        <v/>
      </c>
      <c r="R250" s="10"/>
      <c r="S250" s="5" t="str">
        <f t="shared" si="30"/>
        <v/>
      </c>
      <c r="T250" s="5" t="str">
        <f t="shared" si="31"/>
        <v/>
      </c>
      <c r="U250" s="5" t="str">
        <f t="shared" si="32"/>
        <v/>
      </c>
      <c r="V250" s="7" t="str">
        <f t="shared" si="33"/>
        <v/>
      </c>
      <c r="W250" s="8" t="str">
        <f t="shared" si="34"/>
        <v/>
      </c>
      <c r="X250" s="2"/>
      <c r="Y250" s="10"/>
      <c r="Z250" s="11" t="str">
        <f>IF(X250&lt;&gt;"执行卖出","",IFERROR(LOOKUP(2,1/(单次交易!$A$2:$A$201=B250),单次交易!$AP$2:$AP$201),""))</f>
        <v/>
      </c>
      <c r="AA250" s="10"/>
      <c r="AB250" s="8" t="str">
        <f t="shared" si="35"/>
        <v/>
      </c>
      <c r="AC250" s="8" t="str">
        <f>IF(A250="","",IF(A250="止损计划",IF(OR(B250="",D250="",E250="",F250="",G250=""),"计划不完整",IF(OR(D250&lt;1,D250&lt;&gt;INT(D250)),"阶段序号无效",IF(COUNTIFS($A$2:$A$497,"止损计划",$B$2:$B$497,B250,$D$2:$D$497,D250)&gt;1,"阶段序号重复",IF(E250&lt;=IFERROR(LOOKUP(2,1/(单次交易!$A$2:$A$201=B250),单次交易!$E$2:$E$201),0),"激活价须高于买入价",IF(F250&lt;N250,"止损价不得低于初始止损",IF(F250&gt;E250,"止损价不得高于激活价",IF(AND(COUNTIFS($A$2:$A$497,"止损计划",$B$2:$B$497,B250,$D$2:$D$497,"&lt;"&amp;D250)&gt;0,OR(E250&lt;=SUMPRODUCT(MAX((($A$2:$A$497="止损计划")*($B$2:$B$497=B250)*($D$2:$D$497&lt;D250))*$E$2:$E$497)),F250&lt;SUMPRODUCT(MAX((($A$2:$A$497="止损计划")*($B$2:$B$497=B250)*($D$2:$D$497&lt;D250))*$F$2:$F$497)))),"阶段价格必须逐级提高","计划有效"))))))),IF(A250="每日跟踪",IF(OR(B250="",H250="",I250="",J250=""),"每日数据不完整",IF(COUNTIFS($A$2:$A$497,"每日跟踪",$B$2:$B$497,B250,$H$2:$H$497,H250)&gt;1,"同一交易日期重复",IF(AND(R250&lt;&gt;"",R250&lt;S250),"人工止损无效：不能下调","跟踪有效"))),"记录类型无效")))</f>
        <v/>
      </c>
    </row>
    <row r="251" ht="17" spans="1:29">
      <c r="A251" s="2"/>
      <c r="B251" s="2"/>
      <c r="C251" s="8" t="str">
        <f>IF(B251="","",IFERROR(LOOKUP(2,1/(单次交易!$A$2:$A$201=B251),单次交易!$B$2:$B$201),""))</f>
        <v/>
      </c>
      <c r="D251" s="12"/>
      <c r="E251" s="10"/>
      <c r="F251" s="10"/>
      <c r="G251" s="2"/>
      <c r="H251" s="15"/>
      <c r="I251" s="10"/>
      <c r="J251" s="12"/>
      <c r="K251" s="2"/>
      <c r="L251" s="2"/>
      <c r="M251" s="2"/>
      <c r="N251" s="5" t="str">
        <f>IF(B251="","",IFERROR(LOOKUP(2,1/(单次交易!$A$2:$A$201=B251),单次交易!$N$2:$N$201),""))</f>
        <v/>
      </c>
      <c r="O251" s="5" t="str">
        <f t="shared" si="27"/>
        <v/>
      </c>
      <c r="P251" s="11" t="str">
        <f t="shared" si="28"/>
        <v/>
      </c>
      <c r="Q251" s="5" t="str">
        <f t="shared" si="29"/>
        <v/>
      </c>
      <c r="R251" s="10"/>
      <c r="S251" s="5" t="str">
        <f t="shared" si="30"/>
        <v/>
      </c>
      <c r="T251" s="5" t="str">
        <f t="shared" si="31"/>
        <v/>
      </c>
      <c r="U251" s="5" t="str">
        <f t="shared" si="32"/>
        <v/>
      </c>
      <c r="V251" s="7" t="str">
        <f t="shared" si="33"/>
        <v/>
      </c>
      <c r="W251" s="8" t="str">
        <f t="shared" si="34"/>
        <v/>
      </c>
      <c r="X251" s="2"/>
      <c r="Y251" s="10"/>
      <c r="Z251" s="11" t="str">
        <f>IF(X251&lt;&gt;"执行卖出","",IFERROR(LOOKUP(2,1/(单次交易!$A$2:$A$201=B251),单次交易!$AP$2:$AP$201),""))</f>
        <v/>
      </c>
      <c r="AA251" s="10"/>
      <c r="AB251" s="8" t="str">
        <f t="shared" si="35"/>
        <v/>
      </c>
      <c r="AC251" s="8" t="str">
        <f>IF(A251="","",IF(A251="止损计划",IF(OR(B251="",D251="",E251="",F251="",G251=""),"计划不完整",IF(OR(D251&lt;1,D251&lt;&gt;INT(D251)),"阶段序号无效",IF(COUNTIFS($A$2:$A$497,"止损计划",$B$2:$B$497,B251,$D$2:$D$497,D251)&gt;1,"阶段序号重复",IF(E251&lt;=IFERROR(LOOKUP(2,1/(单次交易!$A$2:$A$201=B251),单次交易!$E$2:$E$201),0),"激活价须高于买入价",IF(F251&lt;N251,"止损价不得低于初始止损",IF(F251&gt;E251,"止损价不得高于激活价",IF(AND(COUNTIFS($A$2:$A$497,"止损计划",$B$2:$B$497,B251,$D$2:$D$497,"&lt;"&amp;D251)&gt;0,OR(E251&lt;=SUMPRODUCT(MAX((($A$2:$A$497="止损计划")*($B$2:$B$497=B251)*($D$2:$D$497&lt;D251))*$E$2:$E$497)),F251&lt;SUMPRODUCT(MAX((($A$2:$A$497="止损计划")*($B$2:$B$497=B251)*($D$2:$D$497&lt;D251))*$F$2:$F$497)))),"阶段价格必须逐级提高","计划有效"))))))),IF(A251="每日跟踪",IF(OR(B251="",H251="",I251="",J251=""),"每日数据不完整",IF(COUNTIFS($A$2:$A$497,"每日跟踪",$B$2:$B$497,B251,$H$2:$H$497,H251)&gt;1,"同一交易日期重复",IF(AND(R251&lt;&gt;"",R251&lt;S251),"人工止损无效：不能下调","跟踪有效"))),"记录类型无效")))</f>
        <v/>
      </c>
    </row>
    <row r="252" ht="17" spans="1:29">
      <c r="A252" s="2"/>
      <c r="B252" s="2"/>
      <c r="C252" s="8" t="str">
        <f>IF(B252="","",IFERROR(LOOKUP(2,1/(单次交易!$A$2:$A$201=B252),单次交易!$B$2:$B$201),""))</f>
        <v/>
      </c>
      <c r="D252" s="12"/>
      <c r="E252" s="10"/>
      <c r="F252" s="10"/>
      <c r="G252" s="2"/>
      <c r="H252" s="15"/>
      <c r="I252" s="10"/>
      <c r="J252" s="12"/>
      <c r="K252" s="2"/>
      <c r="L252" s="2"/>
      <c r="M252" s="2"/>
      <c r="N252" s="5" t="str">
        <f>IF(B252="","",IFERROR(LOOKUP(2,1/(单次交易!$A$2:$A$201=B252),单次交易!$N$2:$N$201),""))</f>
        <v/>
      </c>
      <c r="O252" s="5" t="str">
        <f t="shared" si="27"/>
        <v/>
      </c>
      <c r="P252" s="11" t="str">
        <f t="shared" si="28"/>
        <v/>
      </c>
      <c r="Q252" s="5" t="str">
        <f t="shared" si="29"/>
        <v/>
      </c>
      <c r="R252" s="10"/>
      <c r="S252" s="5" t="str">
        <f t="shared" si="30"/>
        <v/>
      </c>
      <c r="T252" s="5" t="str">
        <f t="shared" si="31"/>
        <v/>
      </c>
      <c r="U252" s="5" t="str">
        <f t="shared" si="32"/>
        <v/>
      </c>
      <c r="V252" s="7" t="str">
        <f t="shared" si="33"/>
        <v/>
      </c>
      <c r="W252" s="8" t="str">
        <f t="shared" si="34"/>
        <v/>
      </c>
      <c r="X252" s="2"/>
      <c r="Y252" s="10"/>
      <c r="Z252" s="11" t="str">
        <f>IF(X252&lt;&gt;"执行卖出","",IFERROR(LOOKUP(2,1/(单次交易!$A$2:$A$201=B252),单次交易!$AP$2:$AP$201),""))</f>
        <v/>
      </c>
      <c r="AA252" s="10"/>
      <c r="AB252" s="8" t="str">
        <f t="shared" si="35"/>
        <v/>
      </c>
      <c r="AC252" s="8" t="str">
        <f>IF(A252="","",IF(A252="止损计划",IF(OR(B252="",D252="",E252="",F252="",G252=""),"计划不完整",IF(OR(D252&lt;1,D252&lt;&gt;INT(D252)),"阶段序号无效",IF(COUNTIFS($A$2:$A$497,"止损计划",$B$2:$B$497,B252,$D$2:$D$497,D252)&gt;1,"阶段序号重复",IF(E252&lt;=IFERROR(LOOKUP(2,1/(单次交易!$A$2:$A$201=B252),单次交易!$E$2:$E$201),0),"激活价须高于买入价",IF(F252&lt;N252,"止损价不得低于初始止损",IF(F252&gt;E252,"止损价不得高于激活价",IF(AND(COUNTIFS($A$2:$A$497,"止损计划",$B$2:$B$497,B252,$D$2:$D$497,"&lt;"&amp;D252)&gt;0,OR(E252&lt;=SUMPRODUCT(MAX((($A$2:$A$497="止损计划")*($B$2:$B$497=B252)*($D$2:$D$497&lt;D252))*$E$2:$E$497)),F252&lt;SUMPRODUCT(MAX((($A$2:$A$497="止损计划")*($B$2:$B$497=B252)*($D$2:$D$497&lt;D252))*$F$2:$F$497)))),"阶段价格必须逐级提高","计划有效"))))))),IF(A252="每日跟踪",IF(OR(B252="",H252="",I252="",J252=""),"每日数据不完整",IF(COUNTIFS($A$2:$A$497,"每日跟踪",$B$2:$B$497,B252,$H$2:$H$497,H252)&gt;1,"同一交易日期重复",IF(AND(R252&lt;&gt;"",R252&lt;S252),"人工止损无效：不能下调","跟踪有效"))),"记录类型无效")))</f>
        <v/>
      </c>
    </row>
    <row r="253" ht="17" spans="1:29">
      <c r="A253" s="2"/>
      <c r="B253" s="2"/>
      <c r="C253" s="8" t="str">
        <f>IF(B253="","",IFERROR(LOOKUP(2,1/(单次交易!$A$2:$A$201=B253),单次交易!$B$2:$B$201),""))</f>
        <v/>
      </c>
      <c r="D253" s="12"/>
      <c r="E253" s="10"/>
      <c r="F253" s="10"/>
      <c r="G253" s="2"/>
      <c r="H253" s="15"/>
      <c r="I253" s="10"/>
      <c r="J253" s="12"/>
      <c r="K253" s="2"/>
      <c r="L253" s="2"/>
      <c r="M253" s="2"/>
      <c r="N253" s="5" t="str">
        <f>IF(B253="","",IFERROR(LOOKUP(2,1/(单次交易!$A$2:$A$201=B253),单次交易!$N$2:$N$201),""))</f>
        <v/>
      </c>
      <c r="O253" s="5" t="str">
        <f t="shared" si="27"/>
        <v/>
      </c>
      <c r="P253" s="11" t="str">
        <f t="shared" si="28"/>
        <v/>
      </c>
      <c r="Q253" s="5" t="str">
        <f t="shared" si="29"/>
        <v/>
      </c>
      <c r="R253" s="10"/>
      <c r="S253" s="5" t="str">
        <f t="shared" si="30"/>
        <v/>
      </c>
      <c r="T253" s="5" t="str">
        <f t="shared" si="31"/>
        <v/>
      </c>
      <c r="U253" s="5" t="str">
        <f t="shared" si="32"/>
        <v/>
      </c>
      <c r="V253" s="7" t="str">
        <f t="shared" si="33"/>
        <v/>
      </c>
      <c r="W253" s="8" t="str">
        <f t="shared" si="34"/>
        <v/>
      </c>
      <c r="X253" s="2"/>
      <c r="Y253" s="10"/>
      <c r="Z253" s="11" t="str">
        <f>IF(X253&lt;&gt;"执行卖出","",IFERROR(LOOKUP(2,1/(单次交易!$A$2:$A$201=B253),单次交易!$AP$2:$AP$201),""))</f>
        <v/>
      </c>
      <c r="AA253" s="10"/>
      <c r="AB253" s="8" t="str">
        <f t="shared" si="35"/>
        <v/>
      </c>
      <c r="AC253" s="8" t="str">
        <f>IF(A253="","",IF(A253="止损计划",IF(OR(B253="",D253="",E253="",F253="",G253=""),"计划不完整",IF(OR(D253&lt;1,D253&lt;&gt;INT(D253)),"阶段序号无效",IF(COUNTIFS($A$2:$A$497,"止损计划",$B$2:$B$497,B253,$D$2:$D$497,D253)&gt;1,"阶段序号重复",IF(E253&lt;=IFERROR(LOOKUP(2,1/(单次交易!$A$2:$A$201=B253),单次交易!$E$2:$E$201),0),"激活价须高于买入价",IF(F253&lt;N253,"止损价不得低于初始止损",IF(F253&gt;E253,"止损价不得高于激活价",IF(AND(COUNTIFS($A$2:$A$497,"止损计划",$B$2:$B$497,B253,$D$2:$D$497,"&lt;"&amp;D253)&gt;0,OR(E253&lt;=SUMPRODUCT(MAX((($A$2:$A$497="止损计划")*($B$2:$B$497=B253)*($D$2:$D$497&lt;D253))*$E$2:$E$497)),F253&lt;SUMPRODUCT(MAX((($A$2:$A$497="止损计划")*($B$2:$B$497=B253)*($D$2:$D$497&lt;D253))*$F$2:$F$497)))),"阶段价格必须逐级提高","计划有效"))))))),IF(A253="每日跟踪",IF(OR(B253="",H253="",I253="",J253=""),"每日数据不完整",IF(COUNTIFS($A$2:$A$497,"每日跟踪",$B$2:$B$497,B253,$H$2:$H$497,H253)&gt;1,"同一交易日期重复",IF(AND(R253&lt;&gt;"",R253&lt;S253),"人工止损无效：不能下调","跟踪有效"))),"记录类型无效")))</f>
        <v/>
      </c>
    </row>
    <row r="254" ht="17" spans="1:29">
      <c r="A254" s="2"/>
      <c r="B254" s="2"/>
      <c r="C254" s="8" t="str">
        <f>IF(B254="","",IFERROR(LOOKUP(2,1/(单次交易!$A$2:$A$201=B254),单次交易!$B$2:$B$201),""))</f>
        <v/>
      </c>
      <c r="D254" s="12"/>
      <c r="E254" s="10"/>
      <c r="F254" s="10"/>
      <c r="G254" s="2"/>
      <c r="H254" s="15"/>
      <c r="I254" s="10"/>
      <c r="J254" s="12"/>
      <c r="K254" s="2"/>
      <c r="L254" s="2"/>
      <c r="M254" s="2"/>
      <c r="N254" s="5" t="str">
        <f>IF(B254="","",IFERROR(LOOKUP(2,1/(单次交易!$A$2:$A$201=B254),单次交易!$N$2:$N$201),""))</f>
        <v/>
      </c>
      <c r="O254" s="5" t="str">
        <f t="shared" si="27"/>
        <v/>
      </c>
      <c r="P254" s="11" t="str">
        <f t="shared" si="28"/>
        <v/>
      </c>
      <c r="Q254" s="5" t="str">
        <f t="shared" si="29"/>
        <v/>
      </c>
      <c r="R254" s="10"/>
      <c r="S254" s="5" t="str">
        <f t="shared" si="30"/>
        <v/>
      </c>
      <c r="T254" s="5" t="str">
        <f t="shared" si="31"/>
        <v/>
      </c>
      <c r="U254" s="5" t="str">
        <f t="shared" si="32"/>
        <v/>
      </c>
      <c r="V254" s="7" t="str">
        <f t="shared" si="33"/>
        <v/>
      </c>
      <c r="W254" s="8" t="str">
        <f t="shared" si="34"/>
        <v/>
      </c>
      <c r="X254" s="2"/>
      <c r="Y254" s="10"/>
      <c r="Z254" s="11" t="str">
        <f>IF(X254&lt;&gt;"执行卖出","",IFERROR(LOOKUP(2,1/(单次交易!$A$2:$A$201=B254),单次交易!$AP$2:$AP$201),""))</f>
        <v/>
      </c>
      <c r="AA254" s="10"/>
      <c r="AB254" s="8" t="str">
        <f t="shared" si="35"/>
        <v/>
      </c>
      <c r="AC254" s="8" t="str">
        <f>IF(A254="","",IF(A254="止损计划",IF(OR(B254="",D254="",E254="",F254="",G254=""),"计划不完整",IF(OR(D254&lt;1,D254&lt;&gt;INT(D254)),"阶段序号无效",IF(COUNTIFS($A$2:$A$497,"止损计划",$B$2:$B$497,B254,$D$2:$D$497,D254)&gt;1,"阶段序号重复",IF(E254&lt;=IFERROR(LOOKUP(2,1/(单次交易!$A$2:$A$201=B254),单次交易!$E$2:$E$201),0),"激活价须高于买入价",IF(F254&lt;N254,"止损价不得低于初始止损",IF(F254&gt;E254,"止损价不得高于激活价",IF(AND(COUNTIFS($A$2:$A$497,"止损计划",$B$2:$B$497,B254,$D$2:$D$497,"&lt;"&amp;D254)&gt;0,OR(E254&lt;=SUMPRODUCT(MAX((($A$2:$A$497="止损计划")*($B$2:$B$497=B254)*($D$2:$D$497&lt;D254))*$E$2:$E$497)),F254&lt;SUMPRODUCT(MAX((($A$2:$A$497="止损计划")*($B$2:$B$497=B254)*($D$2:$D$497&lt;D254))*$F$2:$F$497)))),"阶段价格必须逐级提高","计划有效"))))))),IF(A254="每日跟踪",IF(OR(B254="",H254="",I254="",J254=""),"每日数据不完整",IF(COUNTIFS($A$2:$A$497,"每日跟踪",$B$2:$B$497,B254,$H$2:$H$497,H254)&gt;1,"同一交易日期重复",IF(AND(R254&lt;&gt;"",R254&lt;S254),"人工止损无效：不能下调","跟踪有效"))),"记录类型无效")))</f>
        <v/>
      </c>
    </row>
    <row r="255" ht="17" spans="1:29">
      <c r="A255" s="2"/>
      <c r="B255" s="2"/>
      <c r="C255" s="8" t="str">
        <f>IF(B255="","",IFERROR(LOOKUP(2,1/(单次交易!$A$2:$A$201=B255),单次交易!$B$2:$B$201),""))</f>
        <v/>
      </c>
      <c r="D255" s="12"/>
      <c r="E255" s="10"/>
      <c r="F255" s="10"/>
      <c r="G255" s="2"/>
      <c r="H255" s="15"/>
      <c r="I255" s="10"/>
      <c r="J255" s="12"/>
      <c r="K255" s="2"/>
      <c r="L255" s="2"/>
      <c r="M255" s="2"/>
      <c r="N255" s="5" t="str">
        <f>IF(B255="","",IFERROR(LOOKUP(2,1/(单次交易!$A$2:$A$201=B255),单次交易!$N$2:$N$201),""))</f>
        <v/>
      </c>
      <c r="O255" s="5" t="str">
        <f t="shared" si="27"/>
        <v/>
      </c>
      <c r="P255" s="11" t="str">
        <f t="shared" si="28"/>
        <v/>
      </c>
      <c r="Q255" s="5" t="str">
        <f t="shared" si="29"/>
        <v/>
      </c>
      <c r="R255" s="10"/>
      <c r="S255" s="5" t="str">
        <f t="shared" si="30"/>
        <v/>
      </c>
      <c r="T255" s="5" t="str">
        <f t="shared" si="31"/>
        <v/>
      </c>
      <c r="U255" s="5" t="str">
        <f t="shared" si="32"/>
        <v/>
      </c>
      <c r="V255" s="7" t="str">
        <f t="shared" si="33"/>
        <v/>
      </c>
      <c r="W255" s="8" t="str">
        <f t="shared" si="34"/>
        <v/>
      </c>
      <c r="X255" s="2"/>
      <c r="Y255" s="10"/>
      <c r="Z255" s="11" t="str">
        <f>IF(X255&lt;&gt;"执行卖出","",IFERROR(LOOKUP(2,1/(单次交易!$A$2:$A$201=B255),单次交易!$AP$2:$AP$201),""))</f>
        <v/>
      </c>
      <c r="AA255" s="10"/>
      <c r="AB255" s="8" t="str">
        <f t="shared" si="35"/>
        <v/>
      </c>
      <c r="AC255" s="8" t="str">
        <f>IF(A255="","",IF(A255="止损计划",IF(OR(B255="",D255="",E255="",F255="",G255=""),"计划不完整",IF(OR(D255&lt;1,D255&lt;&gt;INT(D255)),"阶段序号无效",IF(COUNTIFS($A$2:$A$497,"止损计划",$B$2:$B$497,B255,$D$2:$D$497,D255)&gt;1,"阶段序号重复",IF(E255&lt;=IFERROR(LOOKUP(2,1/(单次交易!$A$2:$A$201=B255),单次交易!$E$2:$E$201),0),"激活价须高于买入价",IF(F255&lt;N255,"止损价不得低于初始止损",IF(F255&gt;E255,"止损价不得高于激活价",IF(AND(COUNTIFS($A$2:$A$497,"止损计划",$B$2:$B$497,B255,$D$2:$D$497,"&lt;"&amp;D255)&gt;0,OR(E255&lt;=SUMPRODUCT(MAX((($A$2:$A$497="止损计划")*($B$2:$B$497=B255)*($D$2:$D$497&lt;D255))*$E$2:$E$497)),F255&lt;SUMPRODUCT(MAX((($A$2:$A$497="止损计划")*($B$2:$B$497=B255)*($D$2:$D$497&lt;D255))*$F$2:$F$497)))),"阶段价格必须逐级提高","计划有效"))))))),IF(A255="每日跟踪",IF(OR(B255="",H255="",I255="",J255=""),"每日数据不完整",IF(COUNTIFS($A$2:$A$497,"每日跟踪",$B$2:$B$497,B255,$H$2:$H$497,H255)&gt;1,"同一交易日期重复",IF(AND(R255&lt;&gt;"",R255&lt;S255),"人工止损无效：不能下调","跟踪有效"))),"记录类型无效")))</f>
        <v/>
      </c>
    </row>
    <row r="256" ht="17" spans="1:29">
      <c r="A256" s="2"/>
      <c r="B256" s="2"/>
      <c r="C256" s="8" t="str">
        <f>IF(B256="","",IFERROR(LOOKUP(2,1/(单次交易!$A$2:$A$201=B256),单次交易!$B$2:$B$201),""))</f>
        <v/>
      </c>
      <c r="D256" s="12"/>
      <c r="E256" s="10"/>
      <c r="F256" s="10"/>
      <c r="G256" s="2"/>
      <c r="H256" s="15"/>
      <c r="I256" s="10"/>
      <c r="J256" s="12"/>
      <c r="K256" s="2"/>
      <c r="L256" s="2"/>
      <c r="M256" s="2"/>
      <c r="N256" s="5" t="str">
        <f>IF(B256="","",IFERROR(LOOKUP(2,1/(单次交易!$A$2:$A$201=B256),单次交易!$N$2:$N$201),""))</f>
        <v/>
      </c>
      <c r="O256" s="5" t="str">
        <f t="shared" si="27"/>
        <v/>
      </c>
      <c r="P256" s="11" t="str">
        <f t="shared" si="28"/>
        <v/>
      </c>
      <c r="Q256" s="5" t="str">
        <f t="shared" si="29"/>
        <v/>
      </c>
      <c r="R256" s="10"/>
      <c r="S256" s="5" t="str">
        <f t="shared" si="30"/>
        <v/>
      </c>
      <c r="T256" s="5" t="str">
        <f t="shared" si="31"/>
        <v/>
      </c>
      <c r="U256" s="5" t="str">
        <f t="shared" si="32"/>
        <v/>
      </c>
      <c r="V256" s="7" t="str">
        <f t="shared" si="33"/>
        <v/>
      </c>
      <c r="W256" s="8" t="str">
        <f t="shared" si="34"/>
        <v/>
      </c>
      <c r="X256" s="2"/>
      <c r="Y256" s="10"/>
      <c r="Z256" s="11" t="str">
        <f>IF(X256&lt;&gt;"执行卖出","",IFERROR(LOOKUP(2,1/(单次交易!$A$2:$A$201=B256),单次交易!$AP$2:$AP$201),""))</f>
        <v/>
      </c>
      <c r="AA256" s="10"/>
      <c r="AB256" s="8" t="str">
        <f t="shared" si="35"/>
        <v/>
      </c>
      <c r="AC256" s="8" t="str">
        <f>IF(A256="","",IF(A256="止损计划",IF(OR(B256="",D256="",E256="",F256="",G256=""),"计划不完整",IF(OR(D256&lt;1,D256&lt;&gt;INT(D256)),"阶段序号无效",IF(COUNTIFS($A$2:$A$497,"止损计划",$B$2:$B$497,B256,$D$2:$D$497,D256)&gt;1,"阶段序号重复",IF(E256&lt;=IFERROR(LOOKUP(2,1/(单次交易!$A$2:$A$201=B256),单次交易!$E$2:$E$201),0),"激活价须高于买入价",IF(F256&lt;N256,"止损价不得低于初始止损",IF(F256&gt;E256,"止损价不得高于激活价",IF(AND(COUNTIFS($A$2:$A$497,"止损计划",$B$2:$B$497,B256,$D$2:$D$497,"&lt;"&amp;D256)&gt;0,OR(E256&lt;=SUMPRODUCT(MAX((($A$2:$A$497="止损计划")*($B$2:$B$497=B256)*($D$2:$D$497&lt;D256))*$E$2:$E$497)),F256&lt;SUMPRODUCT(MAX((($A$2:$A$497="止损计划")*($B$2:$B$497=B256)*($D$2:$D$497&lt;D256))*$F$2:$F$497)))),"阶段价格必须逐级提高","计划有效"))))))),IF(A256="每日跟踪",IF(OR(B256="",H256="",I256="",J256=""),"每日数据不完整",IF(COUNTIFS($A$2:$A$497,"每日跟踪",$B$2:$B$497,B256,$H$2:$H$497,H256)&gt;1,"同一交易日期重复",IF(AND(R256&lt;&gt;"",R256&lt;S256),"人工止损无效：不能下调","跟踪有效"))),"记录类型无效")))</f>
        <v/>
      </c>
    </row>
    <row r="257" ht="17" spans="1:29">
      <c r="A257" s="2"/>
      <c r="B257" s="2"/>
      <c r="C257" s="8" t="str">
        <f>IF(B257="","",IFERROR(LOOKUP(2,1/(单次交易!$A$2:$A$201=B257),单次交易!$B$2:$B$201),""))</f>
        <v/>
      </c>
      <c r="D257" s="12"/>
      <c r="E257" s="10"/>
      <c r="F257" s="10"/>
      <c r="G257" s="2"/>
      <c r="H257" s="15"/>
      <c r="I257" s="10"/>
      <c r="J257" s="12"/>
      <c r="K257" s="2"/>
      <c r="L257" s="2"/>
      <c r="M257" s="2"/>
      <c r="N257" s="5" t="str">
        <f>IF(B257="","",IFERROR(LOOKUP(2,1/(单次交易!$A$2:$A$201=B257),单次交易!$N$2:$N$201),""))</f>
        <v/>
      </c>
      <c r="O257" s="5" t="str">
        <f t="shared" si="27"/>
        <v/>
      </c>
      <c r="P257" s="11" t="str">
        <f t="shared" si="28"/>
        <v/>
      </c>
      <c r="Q257" s="5" t="str">
        <f t="shared" si="29"/>
        <v/>
      </c>
      <c r="R257" s="10"/>
      <c r="S257" s="5" t="str">
        <f t="shared" si="30"/>
        <v/>
      </c>
      <c r="T257" s="5" t="str">
        <f t="shared" si="31"/>
        <v/>
      </c>
      <c r="U257" s="5" t="str">
        <f t="shared" si="32"/>
        <v/>
      </c>
      <c r="V257" s="7" t="str">
        <f t="shared" si="33"/>
        <v/>
      </c>
      <c r="W257" s="8" t="str">
        <f t="shared" si="34"/>
        <v/>
      </c>
      <c r="X257" s="2"/>
      <c r="Y257" s="10"/>
      <c r="Z257" s="11" t="str">
        <f>IF(X257&lt;&gt;"执行卖出","",IFERROR(LOOKUP(2,1/(单次交易!$A$2:$A$201=B257),单次交易!$AP$2:$AP$201),""))</f>
        <v/>
      </c>
      <c r="AA257" s="10"/>
      <c r="AB257" s="8" t="str">
        <f t="shared" si="35"/>
        <v/>
      </c>
      <c r="AC257" s="8" t="str">
        <f>IF(A257="","",IF(A257="止损计划",IF(OR(B257="",D257="",E257="",F257="",G257=""),"计划不完整",IF(OR(D257&lt;1,D257&lt;&gt;INT(D257)),"阶段序号无效",IF(COUNTIFS($A$2:$A$497,"止损计划",$B$2:$B$497,B257,$D$2:$D$497,D257)&gt;1,"阶段序号重复",IF(E257&lt;=IFERROR(LOOKUP(2,1/(单次交易!$A$2:$A$201=B257),单次交易!$E$2:$E$201),0),"激活价须高于买入价",IF(F257&lt;N257,"止损价不得低于初始止损",IF(F257&gt;E257,"止损价不得高于激活价",IF(AND(COUNTIFS($A$2:$A$497,"止损计划",$B$2:$B$497,B257,$D$2:$D$497,"&lt;"&amp;D257)&gt;0,OR(E257&lt;=SUMPRODUCT(MAX((($A$2:$A$497="止损计划")*($B$2:$B$497=B257)*($D$2:$D$497&lt;D257))*$E$2:$E$497)),F257&lt;SUMPRODUCT(MAX((($A$2:$A$497="止损计划")*($B$2:$B$497=B257)*($D$2:$D$497&lt;D257))*$F$2:$F$497)))),"阶段价格必须逐级提高","计划有效"))))))),IF(A257="每日跟踪",IF(OR(B257="",H257="",I257="",J257=""),"每日数据不完整",IF(COUNTIFS($A$2:$A$497,"每日跟踪",$B$2:$B$497,B257,$H$2:$H$497,H257)&gt;1,"同一交易日期重复",IF(AND(R257&lt;&gt;"",R257&lt;S257),"人工止损无效：不能下调","跟踪有效"))),"记录类型无效")))</f>
        <v/>
      </c>
    </row>
    <row r="258" ht="17" spans="1:29">
      <c r="A258" s="2"/>
      <c r="B258" s="2"/>
      <c r="C258" s="8" t="str">
        <f>IF(B258="","",IFERROR(LOOKUP(2,1/(单次交易!$A$2:$A$201=B258),单次交易!$B$2:$B$201),""))</f>
        <v/>
      </c>
      <c r="D258" s="12"/>
      <c r="E258" s="10"/>
      <c r="F258" s="10"/>
      <c r="G258" s="2"/>
      <c r="H258" s="15"/>
      <c r="I258" s="10"/>
      <c r="J258" s="12"/>
      <c r="K258" s="2"/>
      <c r="L258" s="2"/>
      <c r="M258" s="2"/>
      <c r="N258" s="5" t="str">
        <f>IF(B258="","",IFERROR(LOOKUP(2,1/(单次交易!$A$2:$A$201=B258),单次交易!$N$2:$N$201),""))</f>
        <v/>
      </c>
      <c r="O258" s="5" t="str">
        <f t="shared" ref="O258:O321" si="36">IF(A258&lt;&gt;"每日跟踪","",IF(OR(B258="",H258="",I258=""),"",IFERROR(SUMPRODUCT(MAX((($A$2:$A$497="每日跟踪")*($B$2:$B$497=B258)*($H$2:$H$497&lt;=H258))*$I$2:$I$497)),"")))</f>
        <v/>
      </c>
      <c r="P258" s="11" t="str">
        <f t="shared" ref="P258:P321" si="37">IF(A258&lt;&gt;"每日跟踪","",IF(O258="","",IFERROR(SUMPRODUCT(MAX((($A$2:$A$497="止损计划")*($B$2:$B$497=B258)*($E$2:$E$497&lt;=O258))*$D$2:$D$497)),0)))</f>
        <v/>
      </c>
      <c r="Q258" s="5" t="str">
        <f t="shared" ref="Q258:Q321" si="38">IF(A258&lt;&gt;"每日跟踪","",IF(N258="","",MAX(N258,IFERROR(SUMPRODUCT(MAX((($A$2:$A$497="止损计划")*($B$2:$B$497=B258)*($E$2:$E$497&lt;=O258))*$F$2:$F$497)),0))))</f>
        <v/>
      </c>
      <c r="R258" s="10"/>
      <c r="S258" s="5" t="str">
        <f t="shared" ref="S258:S321" si="39">IF(A258&lt;&gt;"每日跟踪","",IF(Q258="","",MAX(Q258,IFERROR(SUMPRODUCT(MAX((($A$2:$A$497="每日跟踪")*($B$2:$B$497=B258)*($H$2:$H$497&lt;=H258))*$R$2:$R$497)),0))))</f>
        <v/>
      </c>
      <c r="T258" s="5" t="str">
        <f t="shared" ref="T258:T321" si="40">IF(A258&lt;&gt;"每日跟踪","",IF(O258="","",IF(COUNTIFS($A$2:$A$497,"止损计划",$B$2:$B$497,B258,$E$2:$E$497,"&gt;"&amp;O258)=0,"",INDEX($E$2:$E$497,MATCH(1,INDEX(($A$2:$A$497="止损计划")*($B$2:$B$497=B258)*($E$2:$E$497&gt;O258),0),0)))))</f>
        <v/>
      </c>
      <c r="U258" s="5" t="str">
        <f t="shared" ref="U258:U321" si="41">IF(OR(A258&lt;&gt;"每日跟踪",T258=""),"",IFERROR(SUMIFS($F$2:$F$497,$A$2:$A$497,"止损计划",$B$2:$B$497,B258,$E$2:$E$497,T258),""))</f>
        <v/>
      </c>
      <c r="V258" s="7" t="str">
        <f t="shared" ref="V258:V321" si="42">IF(OR(A258&lt;&gt;"每日跟踪",T258="",I258="",I258&lt;=0),"",T258/I258-1)</f>
        <v/>
      </c>
      <c r="W258" s="8" t="str">
        <f t="shared" ref="W258:W321" si="43">IF(A258&lt;&gt;"每日跟踪","",IF(OR(I258="",S258=""),"",IF(I258&lt;=S258,"触发止损：应全部卖出","继续观察")))</f>
        <v/>
      </c>
      <c r="X258" s="2"/>
      <c r="Y258" s="10"/>
      <c r="Z258" s="11" t="str">
        <f>IF(X258&lt;&gt;"执行卖出","",IFERROR(LOOKUP(2,1/(单次交易!$A$2:$A$201=B258),单次交易!$AP$2:$AP$201),""))</f>
        <v/>
      </c>
      <c r="AA258" s="10"/>
      <c r="AB258" s="8" t="str">
        <f t="shared" ref="AB258:AB321" si="44">IF(A258&lt;&gt;"每日跟踪","",IF(OR(B258="",H258="",I258="",J258="",K258="",L258="",M258=""),"待补充每日记录",IF(W258="触发止损：应全部卖出",IF(X258&lt;&gt;"执行卖出","违规：触发止损但未执行",IF(Y258="","待补充实际卖出价","卖出记录完整")),IF(X258="","待选择卖出动作",IF(X258="执行卖出",IF(Y258="","待补充实际卖出价","卖出记录完整"),"正常")))))</f>
        <v/>
      </c>
      <c r="AC258" s="8" t="str">
        <f>IF(A258="","",IF(A258="止损计划",IF(OR(B258="",D258="",E258="",F258="",G258=""),"计划不完整",IF(OR(D258&lt;1,D258&lt;&gt;INT(D258)),"阶段序号无效",IF(COUNTIFS($A$2:$A$497,"止损计划",$B$2:$B$497,B258,$D$2:$D$497,D258)&gt;1,"阶段序号重复",IF(E258&lt;=IFERROR(LOOKUP(2,1/(单次交易!$A$2:$A$201=B258),单次交易!$E$2:$E$201),0),"激活价须高于买入价",IF(F258&lt;N258,"止损价不得低于初始止损",IF(F258&gt;E258,"止损价不得高于激活价",IF(AND(COUNTIFS($A$2:$A$497,"止损计划",$B$2:$B$497,B258,$D$2:$D$497,"&lt;"&amp;D258)&gt;0,OR(E258&lt;=SUMPRODUCT(MAX((($A$2:$A$497="止损计划")*($B$2:$B$497=B258)*($D$2:$D$497&lt;D258))*$E$2:$E$497)),F258&lt;SUMPRODUCT(MAX((($A$2:$A$497="止损计划")*($B$2:$B$497=B258)*($D$2:$D$497&lt;D258))*$F$2:$F$497)))),"阶段价格必须逐级提高","计划有效"))))))),IF(A258="每日跟踪",IF(OR(B258="",H258="",I258="",J258=""),"每日数据不完整",IF(COUNTIFS($A$2:$A$497,"每日跟踪",$B$2:$B$497,B258,$H$2:$H$497,H258)&gt;1,"同一交易日期重复",IF(AND(R258&lt;&gt;"",R258&lt;S258),"人工止损无效：不能下调","跟踪有效"))),"记录类型无效")))</f>
        <v/>
      </c>
    </row>
    <row r="259" ht="17" spans="1:29">
      <c r="A259" s="2"/>
      <c r="B259" s="2"/>
      <c r="C259" s="8" t="str">
        <f>IF(B259="","",IFERROR(LOOKUP(2,1/(单次交易!$A$2:$A$201=B259),单次交易!$B$2:$B$201),""))</f>
        <v/>
      </c>
      <c r="D259" s="12"/>
      <c r="E259" s="10"/>
      <c r="F259" s="10"/>
      <c r="G259" s="2"/>
      <c r="H259" s="15"/>
      <c r="I259" s="10"/>
      <c r="J259" s="12"/>
      <c r="K259" s="2"/>
      <c r="L259" s="2"/>
      <c r="M259" s="2"/>
      <c r="N259" s="5" t="str">
        <f>IF(B259="","",IFERROR(LOOKUP(2,1/(单次交易!$A$2:$A$201=B259),单次交易!$N$2:$N$201),""))</f>
        <v/>
      </c>
      <c r="O259" s="5" t="str">
        <f t="shared" si="36"/>
        <v/>
      </c>
      <c r="P259" s="11" t="str">
        <f t="shared" si="37"/>
        <v/>
      </c>
      <c r="Q259" s="5" t="str">
        <f t="shared" si="38"/>
        <v/>
      </c>
      <c r="R259" s="10"/>
      <c r="S259" s="5" t="str">
        <f t="shared" si="39"/>
        <v/>
      </c>
      <c r="T259" s="5" t="str">
        <f t="shared" si="40"/>
        <v/>
      </c>
      <c r="U259" s="5" t="str">
        <f t="shared" si="41"/>
        <v/>
      </c>
      <c r="V259" s="7" t="str">
        <f t="shared" si="42"/>
        <v/>
      </c>
      <c r="W259" s="8" t="str">
        <f t="shared" si="43"/>
        <v/>
      </c>
      <c r="X259" s="2"/>
      <c r="Y259" s="10"/>
      <c r="Z259" s="11" t="str">
        <f>IF(X259&lt;&gt;"执行卖出","",IFERROR(LOOKUP(2,1/(单次交易!$A$2:$A$201=B259),单次交易!$AP$2:$AP$201),""))</f>
        <v/>
      </c>
      <c r="AA259" s="10"/>
      <c r="AB259" s="8" t="str">
        <f t="shared" si="44"/>
        <v/>
      </c>
      <c r="AC259" s="8" t="str">
        <f>IF(A259="","",IF(A259="止损计划",IF(OR(B259="",D259="",E259="",F259="",G259=""),"计划不完整",IF(OR(D259&lt;1,D259&lt;&gt;INT(D259)),"阶段序号无效",IF(COUNTIFS($A$2:$A$497,"止损计划",$B$2:$B$497,B259,$D$2:$D$497,D259)&gt;1,"阶段序号重复",IF(E259&lt;=IFERROR(LOOKUP(2,1/(单次交易!$A$2:$A$201=B259),单次交易!$E$2:$E$201),0),"激活价须高于买入价",IF(F259&lt;N259,"止损价不得低于初始止损",IF(F259&gt;E259,"止损价不得高于激活价",IF(AND(COUNTIFS($A$2:$A$497,"止损计划",$B$2:$B$497,B259,$D$2:$D$497,"&lt;"&amp;D259)&gt;0,OR(E259&lt;=SUMPRODUCT(MAX((($A$2:$A$497="止损计划")*($B$2:$B$497=B259)*($D$2:$D$497&lt;D259))*$E$2:$E$497)),F259&lt;SUMPRODUCT(MAX((($A$2:$A$497="止损计划")*($B$2:$B$497=B259)*($D$2:$D$497&lt;D259))*$F$2:$F$497)))),"阶段价格必须逐级提高","计划有效"))))))),IF(A259="每日跟踪",IF(OR(B259="",H259="",I259="",J259=""),"每日数据不完整",IF(COUNTIFS($A$2:$A$497,"每日跟踪",$B$2:$B$497,B259,$H$2:$H$497,H259)&gt;1,"同一交易日期重复",IF(AND(R259&lt;&gt;"",R259&lt;S259),"人工止损无效：不能下调","跟踪有效"))),"记录类型无效")))</f>
        <v/>
      </c>
    </row>
    <row r="260" ht="17" spans="1:29">
      <c r="A260" s="2"/>
      <c r="B260" s="2"/>
      <c r="C260" s="8" t="str">
        <f>IF(B260="","",IFERROR(LOOKUP(2,1/(单次交易!$A$2:$A$201=B260),单次交易!$B$2:$B$201),""))</f>
        <v/>
      </c>
      <c r="D260" s="12"/>
      <c r="E260" s="10"/>
      <c r="F260" s="10"/>
      <c r="G260" s="2"/>
      <c r="H260" s="15"/>
      <c r="I260" s="10"/>
      <c r="J260" s="12"/>
      <c r="K260" s="2"/>
      <c r="L260" s="2"/>
      <c r="M260" s="2"/>
      <c r="N260" s="5" t="str">
        <f>IF(B260="","",IFERROR(LOOKUP(2,1/(单次交易!$A$2:$A$201=B260),单次交易!$N$2:$N$201),""))</f>
        <v/>
      </c>
      <c r="O260" s="5" t="str">
        <f t="shared" si="36"/>
        <v/>
      </c>
      <c r="P260" s="11" t="str">
        <f t="shared" si="37"/>
        <v/>
      </c>
      <c r="Q260" s="5" t="str">
        <f t="shared" si="38"/>
        <v/>
      </c>
      <c r="R260" s="10"/>
      <c r="S260" s="5" t="str">
        <f t="shared" si="39"/>
        <v/>
      </c>
      <c r="T260" s="5" t="str">
        <f t="shared" si="40"/>
        <v/>
      </c>
      <c r="U260" s="5" t="str">
        <f t="shared" si="41"/>
        <v/>
      </c>
      <c r="V260" s="7" t="str">
        <f t="shared" si="42"/>
        <v/>
      </c>
      <c r="W260" s="8" t="str">
        <f t="shared" si="43"/>
        <v/>
      </c>
      <c r="X260" s="2"/>
      <c r="Y260" s="10"/>
      <c r="Z260" s="11" t="str">
        <f>IF(X260&lt;&gt;"执行卖出","",IFERROR(LOOKUP(2,1/(单次交易!$A$2:$A$201=B260),单次交易!$AP$2:$AP$201),""))</f>
        <v/>
      </c>
      <c r="AA260" s="10"/>
      <c r="AB260" s="8" t="str">
        <f t="shared" si="44"/>
        <v/>
      </c>
      <c r="AC260" s="8" t="str">
        <f>IF(A260="","",IF(A260="止损计划",IF(OR(B260="",D260="",E260="",F260="",G260=""),"计划不完整",IF(OR(D260&lt;1,D260&lt;&gt;INT(D260)),"阶段序号无效",IF(COUNTIFS($A$2:$A$497,"止损计划",$B$2:$B$497,B260,$D$2:$D$497,D260)&gt;1,"阶段序号重复",IF(E260&lt;=IFERROR(LOOKUP(2,1/(单次交易!$A$2:$A$201=B260),单次交易!$E$2:$E$201),0),"激活价须高于买入价",IF(F260&lt;N260,"止损价不得低于初始止损",IF(F260&gt;E260,"止损价不得高于激活价",IF(AND(COUNTIFS($A$2:$A$497,"止损计划",$B$2:$B$497,B260,$D$2:$D$497,"&lt;"&amp;D260)&gt;0,OR(E260&lt;=SUMPRODUCT(MAX((($A$2:$A$497="止损计划")*($B$2:$B$497=B260)*($D$2:$D$497&lt;D260))*$E$2:$E$497)),F260&lt;SUMPRODUCT(MAX((($A$2:$A$497="止损计划")*($B$2:$B$497=B260)*($D$2:$D$497&lt;D260))*$F$2:$F$497)))),"阶段价格必须逐级提高","计划有效"))))))),IF(A260="每日跟踪",IF(OR(B260="",H260="",I260="",J260=""),"每日数据不完整",IF(COUNTIFS($A$2:$A$497,"每日跟踪",$B$2:$B$497,B260,$H$2:$H$497,H260)&gt;1,"同一交易日期重复",IF(AND(R260&lt;&gt;"",R260&lt;S260),"人工止损无效：不能下调","跟踪有效"))),"记录类型无效")))</f>
        <v/>
      </c>
    </row>
    <row r="261" ht="17" spans="1:29">
      <c r="A261" s="2"/>
      <c r="B261" s="2"/>
      <c r="C261" s="8" t="str">
        <f>IF(B261="","",IFERROR(LOOKUP(2,1/(单次交易!$A$2:$A$201=B261),单次交易!$B$2:$B$201),""))</f>
        <v/>
      </c>
      <c r="D261" s="12"/>
      <c r="E261" s="10"/>
      <c r="F261" s="10"/>
      <c r="G261" s="2"/>
      <c r="H261" s="15"/>
      <c r="I261" s="10"/>
      <c r="J261" s="12"/>
      <c r="K261" s="2"/>
      <c r="L261" s="2"/>
      <c r="M261" s="2"/>
      <c r="N261" s="5" t="str">
        <f>IF(B261="","",IFERROR(LOOKUP(2,1/(单次交易!$A$2:$A$201=B261),单次交易!$N$2:$N$201),""))</f>
        <v/>
      </c>
      <c r="O261" s="5" t="str">
        <f t="shared" si="36"/>
        <v/>
      </c>
      <c r="P261" s="11" t="str">
        <f t="shared" si="37"/>
        <v/>
      </c>
      <c r="Q261" s="5" t="str">
        <f t="shared" si="38"/>
        <v/>
      </c>
      <c r="R261" s="10"/>
      <c r="S261" s="5" t="str">
        <f t="shared" si="39"/>
        <v/>
      </c>
      <c r="T261" s="5" t="str">
        <f t="shared" si="40"/>
        <v/>
      </c>
      <c r="U261" s="5" t="str">
        <f t="shared" si="41"/>
        <v/>
      </c>
      <c r="V261" s="7" t="str">
        <f t="shared" si="42"/>
        <v/>
      </c>
      <c r="W261" s="8" t="str">
        <f t="shared" si="43"/>
        <v/>
      </c>
      <c r="X261" s="2"/>
      <c r="Y261" s="10"/>
      <c r="Z261" s="11" t="str">
        <f>IF(X261&lt;&gt;"执行卖出","",IFERROR(LOOKUP(2,1/(单次交易!$A$2:$A$201=B261),单次交易!$AP$2:$AP$201),""))</f>
        <v/>
      </c>
      <c r="AA261" s="10"/>
      <c r="AB261" s="8" t="str">
        <f t="shared" si="44"/>
        <v/>
      </c>
      <c r="AC261" s="8" t="str">
        <f>IF(A261="","",IF(A261="止损计划",IF(OR(B261="",D261="",E261="",F261="",G261=""),"计划不完整",IF(OR(D261&lt;1,D261&lt;&gt;INT(D261)),"阶段序号无效",IF(COUNTIFS($A$2:$A$497,"止损计划",$B$2:$B$497,B261,$D$2:$D$497,D261)&gt;1,"阶段序号重复",IF(E261&lt;=IFERROR(LOOKUP(2,1/(单次交易!$A$2:$A$201=B261),单次交易!$E$2:$E$201),0),"激活价须高于买入价",IF(F261&lt;N261,"止损价不得低于初始止损",IF(F261&gt;E261,"止损价不得高于激活价",IF(AND(COUNTIFS($A$2:$A$497,"止损计划",$B$2:$B$497,B261,$D$2:$D$497,"&lt;"&amp;D261)&gt;0,OR(E261&lt;=SUMPRODUCT(MAX((($A$2:$A$497="止损计划")*($B$2:$B$497=B261)*($D$2:$D$497&lt;D261))*$E$2:$E$497)),F261&lt;SUMPRODUCT(MAX((($A$2:$A$497="止损计划")*($B$2:$B$497=B261)*($D$2:$D$497&lt;D261))*$F$2:$F$497)))),"阶段价格必须逐级提高","计划有效"))))))),IF(A261="每日跟踪",IF(OR(B261="",H261="",I261="",J261=""),"每日数据不完整",IF(COUNTIFS($A$2:$A$497,"每日跟踪",$B$2:$B$497,B261,$H$2:$H$497,H261)&gt;1,"同一交易日期重复",IF(AND(R261&lt;&gt;"",R261&lt;S261),"人工止损无效：不能下调","跟踪有效"))),"记录类型无效")))</f>
        <v/>
      </c>
    </row>
    <row r="262" ht="17" spans="1:29">
      <c r="A262" s="2"/>
      <c r="B262" s="2"/>
      <c r="C262" s="8" t="str">
        <f>IF(B262="","",IFERROR(LOOKUP(2,1/(单次交易!$A$2:$A$201=B262),单次交易!$B$2:$B$201),""))</f>
        <v/>
      </c>
      <c r="D262" s="12"/>
      <c r="E262" s="10"/>
      <c r="F262" s="10"/>
      <c r="G262" s="2"/>
      <c r="H262" s="15"/>
      <c r="I262" s="10"/>
      <c r="J262" s="12"/>
      <c r="K262" s="2"/>
      <c r="L262" s="2"/>
      <c r="M262" s="2"/>
      <c r="N262" s="5" t="str">
        <f>IF(B262="","",IFERROR(LOOKUP(2,1/(单次交易!$A$2:$A$201=B262),单次交易!$N$2:$N$201),""))</f>
        <v/>
      </c>
      <c r="O262" s="5" t="str">
        <f t="shared" si="36"/>
        <v/>
      </c>
      <c r="P262" s="11" t="str">
        <f t="shared" si="37"/>
        <v/>
      </c>
      <c r="Q262" s="5" t="str">
        <f t="shared" si="38"/>
        <v/>
      </c>
      <c r="R262" s="10"/>
      <c r="S262" s="5" t="str">
        <f t="shared" si="39"/>
        <v/>
      </c>
      <c r="T262" s="5" t="str">
        <f t="shared" si="40"/>
        <v/>
      </c>
      <c r="U262" s="5" t="str">
        <f t="shared" si="41"/>
        <v/>
      </c>
      <c r="V262" s="7" t="str">
        <f t="shared" si="42"/>
        <v/>
      </c>
      <c r="W262" s="8" t="str">
        <f t="shared" si="43"/>
        <v/>
      </c>
      <c r="X262" s="2"/>
      <c r="Y262" s="10"/>
      <c r="Z262" s="11" t="str">
        <f>IF(X262&lt;&gt;"执行卖出","",IFERROR(LOOKUP(2,1/(单次交易!$A$2:$A$201=B262),单次交易!$AP$2:$AP$201),""))</f>
        <v/>
      </c>
      <c r="AA262" s="10"/>
      <c r="AB262" s="8" t="str">
        <f t="shared" si="44"/>
        <v/>
      </c>
      <c r="AC262" s="8" t="str">
        <f>IF(A262="","",IF(A262="止损计划",IF(OR(B262="",D262="",E262="",F262="",G262=""),"计划不完整",IF(OR(D262&lt;1,D262&lt;&gt;INT(D262)),"阶段序号无效",IF(COUNTIFS($A$2:$A$497,"止损计划",$B$2:$B$497,B262,$D$2:$D$497,D262)&gt;1,"阶段序号重复",IF(E262&lt;=IFERROR(LOOKUP(2,1/(单次交易!$A$2:$A$201=B262),单次交易!$E$2:$E$201),0),"激活价须高于买入价",IF(F262&lt;N262,"止损价不得低于初始止损",IF(F262&gt;E262,"止损价不得高于激活价",IF(AND(COUNTIFS($A$2:$A$497,"止损计划",$B$2:$B$497,B262,$D$2:$D$497,"&lt;"&amp;D262)&gt;0,OR(E262&lt;=SUMPRODUCT(MAX((($A$2:$A$497="止损计划")*($B$2:$B$497=B262)*($D$2:$D$497&lt;D262))*$E$2:$E$497)),F262&lt;SUMPRODUCT(MAX((($A$2:$A$497="止损计划")*($B$2:$B$497=B262)*($D$2:$D$497&lt;D262))*$F$2:$F$497)))),"阶段价格必须逐级提高","计划有效"))))))),IF(A262="每日跟踪",IF(OR(B262="",H262="",I262="",J262=""),"每日数据不完整",IF(COUNTIFS($A$2:$A$497,"每日跟踪",$B$2:$B$497,B262,$H$2:$H$497,H262)&gt;1,"同一交易日期重复",IF(AND(R262&lt;&gt;"",R262&lt;S262),"人工止损无效：不能下调","跟踪有效"))),"记录类型无效")))</f>
        <v/>
      </c>
    </row>
    <row r="263" ht="17" spans="1:29">
      <c r="A263" s="2"/>
      <c r="B263" s="2"/>
      <c r="C263" s="8" t="str">
        <f>IF(B263="","",IFERROR(LOOKUP(2,1/(单次交易!$A$2:$A$201=B263),单次交易!$B$2:$B$201),""))</f>
        <v/>
      </c>
      <c r="D263" s="12"/>
      <c r="E263" s="10"/>
      <c r="F263" s="10"/>
      <c r="G263" s="2"/>
      <c r="H263" s="15"/>
      <c r="I263" s="10"/>
      <c r="J263" s="12"/>
      <c r="K263" s="2"/>
      <c r="L263" s="2"/>
      <c r="M263" s="2"/>
      <c r="N263" s="5" t="str">
        <f>IF(B263="","",IFERROR(LOOKUP(2,1/(单次交易!$A$2:$A$201=B263),单次交易!$N$2:$N$201),""))</f>
        <v/>
      </c>
      <c r="O263" s="5" t="str">
        <f t="shared" si="36"/>
        <v/>
      </c>
      <c r="P263" s="11" t="str">
        <f t="shared" si="37"/>
        <v/>
      </c>
      <c r="Q263" s="5" t="str">
        <f t="shared" si="38"/>
        <v/>
      </c>
      <c r="R263" s="10"/>
      <c r="S263" s="5" t="str">
        <f t="shared" si="39"/>
        <v/>
      </c>
      <c r="T263" s="5" t="str">
        <f t="shared" si="40"/>
        <v/>
      </c>
      <c r="U263" s="5" t="str">
        <f t="shared" si="41"/>
        <v/>
      </c>
      <c r="V263" s="7" t="str">
        <f t="shared" si="42"/>
        <v/>
      </c>
      <c r="W263" s="8" t="str">
        <f t="shared" si="43"/>
        <v/>
      </c>
      <c r="X263" s="2"/>
      <c r="Y263" s="10"/>
      <c r="Z263" s="11" t="str">
        <f>IF(X263&lt;&gt;"执行卖出","",IFERROR(LOOKUP(2,1/(单次交易!$A$2:$A$201=B263),单次交易!$AP$2:$AP$201),""))</f>
        <v/>
      </c>
      <c r="AA263" s="10"/>
      <c r="AB263" s="8" t="str">
        <f t="shared" si="44"/>
        <v/>
      </c>
      <c r="AC263" s="8" t="str">
        <f>IF(A263="","",IF(A263="止损计划",IF(OR(B263="",D263="",E263="",F263="",G263=""),"计划不完整",IF(OR(D263&lt;1,D263&lt;&gt;INT(D263)),"阶段序号无效",IF(COUNTIFS($A$2:$A$497,"止损计划",$B$2:$B$497,B263,$D$2:$D$497,D263)&gt;1,"阶段序号重复",IF(E263&lt;=IFERROR(LOOKUP(2,1/(单次交易!$A$2:$A$201=B263),单次交易!$E$2:$E$201),0),"激活价须高于买入价",IF(F263&lt;N263,"止损价不得低于初始止损",IF(F263&gt;E263,"止损价不得高于激活价",IF(AND(COUNTIFS($A$2:$A$497,"止损计划",$B$2:$B$497,B263,$D$2:$D$497,"&lt;"&amp;D263)&gt;0,OR(E263&lt;=SUMPRODUCT(MAX((($A$2:$A$497="止损计划")*($B$2:$B$497=B263)*($D$2:$D$497&lt;D263))*$E$2:$E$497)),F263&lt;SUMPRODUCT(MAX((($A$2:$A$497="止损计划")*($B$2:$B$497=B263)*($D$2:$D$497&lt;D263))*$F$2:$F$497)))),"阶段价格必须逐级提高","计划有效"))))))),IF(A263="每日跟踪",IF(OR(B263="",H263="",I263="",J263=""),"每日数据不完整",IF(COUNTIFS($A$2:$A$497,"每日跟踪",$B$2:$B$497,B263,$H$2:$H$497,H263)&gt;1,"同一交易日期重复",IF(AND(R263&lt;&gt;"",R263&lt;S263),"人工止损无效：不能下调","跟踪有效"))),"记录类型无效")))</f>
        <v/>
      </c>
    </row>
    <row r="264" ht="17" spans="1:29">
      <c r="A264" s="2"/>
      <c r="B264" s="2"/>
      <c r="C264" s="8" t="str">
        <f>IF(B264="","",IFERROR(LOOKUP(2,1/(单次交易!$A$2:$A$201=B264),单次交易!$B$2:$B$201),""))</f>
        <v/>
      </c>
      <c r="D264" s="12"/>
      <c r="E264" s="10"/>
      <c r="F264" s="10"/>
      <c r="G264" s="2"/>
      <c r="H264" s="15"/>
      <c r="I264" s="10"/>
      <c r="J264" s="12"/>
      <c r="K264" s="2"/>
      <c r="L264" s="2"/>
      <c r="M264" s="2"/>
      <c r="N264" s="5" t="str">
        <f>IF(B264="","",IFERROR(LOOKUP(2,1/(单次交易!$A$2:$A$201=B264),单次交易!$N$2:$N$201),""))</f>
        <v/>
      </c>
      <c r="O264" s="5" t="str">
        <f t="shared" si="36"/>
        <v/>
      </c>
      <c r="P264" s="11" t="str">
        <f t="shared" si="37"/>
        <v/>
      </c>
      <c r="Q264" s="5" t="str">
        <f t="shared" si="38"/>
        <v/>
      </c>
      <c r="R264" s="10"/>
      <c r="S264" s="5" t="str">
        <f t="shared" si="39"/>
        <v/>
      </c>
      <c r="T264" s="5" t="str">
        <f t="shared" si="40"/>
        <v/>
      </c>
      <c r="U264" s="5" t="str">
        <f t="shared" si="41"/>
        <v/>
      </c>
      <c r="V264" s="7" t="str">
        <f t="shared" si="42"/>
        <v/>
      </c>
      <c r="W264" s="8" t="str">
        <f t="shared" si="43"/>
        <v/>
      </c>
      <c r="X264" s="2"/>
      <c r="Y264" s="10"/>
      <c r="Z264" s="11" t="str">
        <f>IF(X264&lt;&gt;"执行卖出","",IFERROR(LOOKUP(2,1/(单次交易!$A$2:$A$201=B264),单次交易!$AP$2:$AP$201),""))</f>
        <v/>
      </c>
      <c r="AA264" s="10"/>
      <c r="AB264" s="8" t="str">
        <f t="shared" si="44"/>
        <v/>
      </c>
      <c r="AC264" s="8" t="str">
        <f>IF(A264="","",IF(A264="止损计划",IF(OR(B264="",D264="",E264="",F264="",G264=""),"计划不完整",IF(OR(D264&lt;1,D264&lt;&gt;INT(D264)),"阶段序号无效",IF(COUNTIFS($A$2:$A$497,"止损计划",$B$2:$B$497,B264,$D$2:$D$497,D264)&gt;1,"阶段序号重复",IF(E264&lt;=IFERROR(LOOKUP(2,1/(单次交易!$A$2:$A$201=B264),单次交易!$E$2:$E$201),0),"激活价须高于买入价",IF(F264&lt;N264,"止损价不得低于初始止损",IF(F264&gt;E264,"止损价不得高于激活价",IF(AND(COUNTIFS($A$2:$A$497,"止损计划",$B$2:$B$497,B264,$D$2:$D$497,"&lt;"&amp;D264)&gt;0,OR(E264&lt;=SUMPRODUCT(MAX((($A$2:$A$497="止损计划")*($B$2:$B$497=B264)*($D$2:$D$497&lt;D264))*$E$2:$E$497)),F264&lt;SUMPRODUCT(MAX((($A$2:$A$497="止损计划")*($B$2:$B$497=B264)*($D$2:$D$497&lt;D264))*$F$2:$F$497)))),"阶段价格必须逐级提高","计划有效"))))))),IF(A264="每日跟踪",IF(OR(B264="",H264="",I264="",J264=""),"每日数据不完整",IF(COUNTIFS($A$2:$A$497,"每日跟踪",$B$2:$B$497,B264,$H$2:$H$497,H264)&gt;1,"同一交易日期重复",IF(AND(R264&lt;&gt;"",R264&lt;S264),"人工止损无效：不能下调","跟踪有效"))),"记录类型无效")))</f>
        <v/>
      </c>
    </row>
    <row r="265" ht="17" spans="1:29">
      <c r="A265" s="2"/>
      <c r="B265" s="2"/>
      <c r="C265" s="8" t="str">
        <f>IF(B265="","",IFERROR(LOOKUP(2,1/(单次交易!$A$2:$A$201=B265),单次交易!$B$2:$B$201),""))</f>
        <v/>
      </c>
      <c r="D265" s="12"/>
      <c r="E265" s="10"/>
      <c r="F265" s="10"/>
      <c r="G265" s="2"/>
      <c r="H265" s="15"/>
      <c r="I265" s="10"/>
      <c r="J265" s="12"/>
      <c r="K265" s="2"/>
      <c r="L265" s="2"/>
      <c r="M265" s="2"/>
      <c r="N265" s="5" t="str">
        <f>IF(B265="","",IFERROR(LOOKUP(2,1/(单次交易!$A$2:$A$201=B265),单次交易!$N$2:$N$201),""))</f>
        <v/>
      </c>
      <c r="O265" s="5" t="str">
        <f t="shared" si="36"/>
        <v/>
      </c>
      <c r="P265" s="11" t="str">
        <f t="shared" si="37"/>
        <v/>
      </c>
      <c r="Q265" s="5" t="str">
        <f t="shared" si="38"/>
        <v/>
      </c>
      <c r="R265" s="10"/>
      <c r="S265" s="5" t="str">
        <f t="shared" si="39"/>
        <v/>
      </c>
      <c r="T265" s="5" t="str">
        <f t="shared" si="40"/>
        <v/>
      </c>
      <c r="U265" s="5" t="str">
        <f t="shared" si="41"/>
        <v/>
      </c>
      <c r="V265" s="7" t="str">
        <f t="shared" si="42"/>
        <v/>
      </c>
      <c r="W265" s="8" t="str">
        <f t="shared" si="43"/>
        <v/>
      </c>
      <c r="X265" s="2"/>
      <c r="Y265" s="10"/>
      <c r="Z265" s="11" t="str">
        <f>IF(X265&lt;&gt;"执行卖出","",IFERROR(LOOKUP(2,1/(单次交易!$A$2:$A$201=B265),单次交易!$AP$2:$AP$201),""))</f>
        <v/>
      </c>
      <c r="AA265" s="10"/>
      <c r="AB265" s="8" t="str">
        <f t="shared" si="44"/>
        <v/>
      </c>
      <c r="AC265" s="8" t="str">
        <f>IF(A265="","",IF(A265="止损计划",IF(OR(B265="",D265="",E265="",F265="",G265=""),"计划不完整",IF(OR(D265&lt;1,D265&lt;&gt;INT(D265)),"阶段序号无效",IF(COUNTIFS($A$2:$A$497,"止损计划",$B$2:$B$497,B265,$D$2:$D$497,D265)&gt;1,"阶段序号重复",IF(E265&lt;=IFERROR(LOOKUP(2,1/(单次交易!$A$2:$A$201=B265),单次交易!$E$2:$E$201),0),"激活价须高于买入价",IF(F265&lt;N265,"止损价不得低于初始止损",IF(F265&gt;E265,"止损价不得高于激活价",IF(AND(COUNTIFS($A$2:$A$497,"止损计划",$B$2:$B$497,B265,$D$2:$D$497,"&lt;"&amp;D265)&gt;0,OR(E265&lt;=SUMPRODUCT(MAX((($A$2:$A$497="止损计划")*($B$2:$B$497=B265)*($D$2:$D$497&lt;D265))*$E$2:$E$497)),F265&lt;SUMPRODUCT(MAX((($A$2:$A$497="止损计划")*($B$2:$B$497=B265)*($D$2:$D$497&lt;D265))*$F$2:$F$497)))),"阶段价格必须逐级提高","计划有效"))))))),IF(A265="每日跟踪",IF(OR(B265="",H265="",I265="",J265=""),"每日数据不完整",IF(COUNTIFS($A$2:$A$497,"每日跟踪",$B$2:$B$497,B265,$H$2:$H$497,H265)&gt;1,"同一交易日期重复",IF(AND(R265&lt;&gt;"",R265&lt;S265),"人工止损无效：不能下调","跟踪有效"))),"记录类型无效")))</f>
        <v/>
      </c>
    </row>
    <row r="266" ht="17" spans="1:29">
      <c r="A266" s="2"/>
      <c r="B266" s="2"/>
      <c r="C266" s="8" t="str">
        <f>IF(B266="","",IFERROR(LOOKUP(2,1/(单次交易!$A$2:$A$201=B266),单次交易!$B$2:$B$201),""))</f>
        <v/>
      </c>
      <c r="D266" s="12"/>
      <c r="E266" s="10"/>
      <c r="F266" s="10"/>
      <c r="G266" s="2"/>
      <c r="H266" s="15"/>
      <c r="I266" s="10"/>
      <c r="J266" s="12"/>
      <c r="K266" s="2"/>
      <c r="L266" s="2"/>
      <c r="M266" s="2"/>
      <c r="N266" s="5" t="str">
        <f>IF(B266="","",IFERROR(LOOKUP(2,1/(单次交易!$A$2:$A$201=B266),单次交易!$N$2:$N$201),""))</f>
        <v/>
      </c>
      <c r="O266" s="5" t="str">
        <f t="shared" si="36"/>
        <v/>
      </c>
      <c r="P266" s="11" t="str">
        <f t="shared" si="37"/>
        <v/>
      </c>
      <c r="Q266" s="5" t="str">
        <f t="shared" si="38"/>
        <v/>
      </c>
      <c r="R266" s="10"/>
      <c r="S266" s="5" t="str">
        <f t="shared" si="39"/>
        <v/>
      </c>
      <c r="T266" s="5" t="str">
        <f t="shared" si="40"/>
        <v/>
      </c>
      <c r="U266" s="5" t="str">
        <f t="shared" si="41"/>
        <v/>
      </c>
      <c r="V266" s="7" t="str">
        <f t="shared" si="42"/>
        <v/>
      </c>
      <c r="W266" s="8" t="str">
        <f t="shared" si="43"/>
        <v/>
      </c>
      <c r="X266" s="2"/>
      <c r="Y266" s="10"/>
      <c r="Z266" s="11" t="str">
        <f>IF(X266&lt;&gt;"执行卖出","",IFERROR(LOOKUP(2,1/(单次交易!$A$2:$A$201=B266),单次交易!$AP$2:$AP$201),""))</f>
        <v/>
      </c>
      <c r="AA266" s="10"/>
      <c r="AB266" s="8" t="str">
        <f t="shared" si="44"/>
        <v/>
      </c>
      <c r="AC266" s="8" t="str">
        <f>IF(A266="","",IF(A266="止损计划",IF(OR(B266="",D266="",E266="",F266="",G266=""),"计划不完整",IF(OR(D266&lt;1,D266&lt;&gt;INT(D266)),"阶段序号无效",IF(COUNTIFS($A$2:$A$497,"止损计划",$B$2:$B$497,B266,$D$2:$D$497,D266)&gt;1,"阶段序号重复",IF(E266&lt;=IFERROR(LOOKUP(2,1/(单次交易!$A$2:$A$201=B266),单次交易!$E$2:$E$201),0),"激活价须高于买入价",IF(F266&lt;N266,"止损价不得低于初始止损",IF(F266&gt;E266,"止损价不得高于激活价",IF(AND(COUNTIFS($A$2:$A$497,"止损计划",$B$2:$B$497,B266,$D$2:$D$497,"&lt;"&amp;D266)&gt;0,OR(E266&lt;=SUMPRODUCT(MAX((($A$2:$A$497="止损计划")*($B$2:$B$497=B266)*($D$2:$D$497&lt;D266))*$E$2:$E$497)),F266&lt;SUMPRODUCT(MAX((($A$2:$A$497="止损计划")*($B$2:$B$497=B266)*($D$2:$D$497&lt;D266))*$F$2:$F$497)))),"阶段价格必须逐级提高","计划有效"))))))),IF(A266="每日跟踪",IF(OR(B266="",H266="",I266="",J266=""),"每日数据不完整",IF(COUNTIFS($A$2:$A$497,"每日跟踪",$B$2:$B$497,B266,$H$2:$H$497,H266)&gt;1,"同一交易日期重复",IF(AND(R266&lt;&gt;"",R266&lt;S266),"人工止损无效：不能下调","跟踪有效"))),"记录类型无效")))</f>
        <v/>
      </c>
    </row>
    <row r="267" ht="17" spans="1:29">
      <c r="A267" s="2"/>
      <c r="B267" s="2"/>
      <c r="C267" s="8" t="str">
        <f>IF(B267="","",IFERROR(LOOKUP(2,1/(单次交易!$A$2:$A$201=B267),单次交易!$B$2:$B$201),""))</f>
        <v/>
      </c>
      <c r="D267" s="12"/>
      <c r="E267" s="10"/>
      <c r="F267" s="10"/>
      <c r="G267" s="2"/>
      <c r="H267" s="15"/>
      <c r="I267" s="10"/>
      <c r="J267" s="12"/>
      <c r="K267" s="2"/>
      <c r="L267" s="2"/>
      <c r="M267" s="2"/>
      <c r="N267" s="5" t="str">
        <f>IF(B267="","",IFERROR(LOOKUP(2,1/(单次交易!$A$2:$A$201=B267),单次交易!$N$2:$N$201),""))</f>
        <v/>
      </c>
      <c r="O267" s="5" t="str">
        <f t="shared" si="36"/>
        <v/>
      </c>
      <c r="P267" s="11" t="str">
        <f t="shared" si="37"/>
        <v/>
      </c>
      <c r="Q267" s="5" t="str">
        <f t="shared" si="38"/>
        <v/>
      </c>
      <c r="R267" s="10"/>
      <c r="S267" s="5" t="str">
        <f t="shared" si="39"/>
        <v/>
      </c>
      <c r="T267" s="5" t="str">
        <f t="shared" si="40"/>
        <v/>
      </c>
      <c r="U267" s="5" t="str">
        <f t="shared" si="41"/>
        <v/>
      </c>
      <c r="V267" s="7" t="str">
        <f t="shared" si="42"/>
        <v/>
      </c>
      <c r="W267" s="8" t="str">
        <f t="shared" si="43"/>
        <v/>
      </c>
      <c r="X267" s="2"/>
      <c r="Y267" s="10"/>
      <c r="Z267" s="11" t="str">
        <f>IF(X267&lt;&gt;"执行卖出","",IFERROR(LOOKUP(2,1/(单次交易!$A$2:$A$201=B267),单次交易!$AP$2:$AP$201),""))</f>
        <v/>
      </c>
      <c r="AA267" s="10"/>
      <c r="AB267" s="8" t="str">
        <f t="shared" si="44"/>
        <v/>
      </c>
      <c r="AC267" s="8" t="str">
        <f>IF(A267="","",IF(A267="止损计划",IF(OR(B267="",D267="",E267="",F267="",G267=""),"计划不完整",IF(OR(D267&lt;1,D267&lt;&gt;INT(D267)),"阶段序号无效",IF(COUNTIFS($A$2:$A$497,"止损计划",$B$2:$B$497,B267,$D$2:$D$497,D267)&gt;1,"阶段序号重复",IF(E267&lt;=IFERROR(LOOKUP(2,1/(单次交易!$A$2:$A$201=B267),单次交易!$E$2:$E$201),0),"激活价须高于买入价",IF(F267&lt;N267,"止损价不得低于初始止损",IF(F267&gt;E267,"止损价不得高于激活价",IF(AND(COUNTIFS($A$2:$A$497,"止损计划",$B$2:$B$497,B267,$D$2:$D$497,"&lt;"&amp;D267)&gt;0,OR(E267&lt;=SUMPRODUCT(MAX((($A$2:$A$497="止损计划")*($B$2:$B$497=B267)*($D$2:$D$497&lt;D267))*$E$2:$E$497)),F267&lt;SUMPRODUCT(MAX((($A$2:$A$497="止损计划")*($B$2:$B$497=B267)*($D$2:$D$497&lt;D267))*$F$2:$F$497)))),"阶段价格必须逐级提高","计划有效"))))))),IF(A267="每日跟踪",IF(OR(B267="",H267="",I267="",J267=""),"每日数据不完整",IF(COUNTIFS($A$2:$A$497,"每日跟踪",$B$2:$B$497,B267,$H$2:$H$497,H267)&gt;1,"同一交易日期重复",IF(AND(R267&lt;&gt;"",R267&lt;S267),"人工止损无效：不能下调","跟踪有效"))),"记录类型无效")))</f>
        <v/>
      </c>
    </row>
    <row r="268" ht="17" spans="1:29">
      <c r="A268" s="2"/>
      <c r="B268" s="2"/>
      <c r="C268" s="8" t="str">
        <f>IF(B268="","",IFERROR(LOOKUP(2,1/(单次交易!$A$2:$A$201=B268),单次交易!$B$2:$B$201),""))</f>
        <v/>
      </c>
      <c r="D268" s="12"/>
      <c r="E268" s="10"/>
      <c r="F268" s="10"/>
      <c r="G268" s="2"/>
      <c r="H268" s="15"/>
      <c r="I268" s="10"/>
      <c r="J268" s="12"/>
      <c r="K268" s="2"/>
      <c r="L268" s="2"/>
      <c r="M268" s="2"/>
      <c r="N268" s="5" t="str">
        <f>IF(B268="","",IFERROR(LOOKUP(2,1/(单次交易!$A$2:$A$201=B268),单次交易!$N$2:$N$201),""))</f>
        <v/>
      </c>
      <c r="O268" s="5" t="str">
        <f t="shared" si="36"/>
        <v/>
      </c>
      <c r="P268" s="11" t="str">
        <f t="shared" si="37"/>
        <v/>
      </c>
      <c r="Q268" s="5" t="str">
        <f t="shared" si="38"/>
        <v/>
      </c>
      <c r="R268" s="10"/>
      <c r="S268" s="5" t="str">
        <f t="shared" si="39"/>
        <v/>
      </c>
      <c r="T268" s="5" t="str">
        <f t="shared" si="40"/>
        <v/>
      </c>
      <c r="U268" s="5" t="str">
        <f t="shared" si="41"/>
        <v/>
      </c>
      <c r="V268" s="7" t="str">
        <f t="shared" si="42"/>
        <v/>
      </c>
      <c r="W268" s="8" t="str">
        <f t="shared" si="43"/>
        <v/>
      </c>
      <c r="X268" s="2"/>
      <c r="Y268" s="10"/>
      <c r="Z268" s="11" t="str">
        <f>IF(X268&lt;&gt;"执行卖出","",IFERROR(LOOKUP(2,1/(单次交易!$A$2:$A$201=B268),单次交易!$AP$2:$AP$201),""))</f>
        <v/>
      </c>
      <c r="AA268" s="10"/>
      <c r="AB268" s="8" t="str">
        <f t="shared" si="44"/>
        <v/>
      </c>
      <c r="AC268" s="8" t="str">
        <f>IF(A268="","",IF(A268="止损计划",IF(OR(B268="",D268="",E268="",F268="",G268=""),"计划不完整",IF(OR(D268&lt;1,D268&lt;&gt;INT(D268)),"阶段序号无效",IF(COUNTIFS($A$2:$A$497,"止损计划",$B$2:$B$497,B268,$D$2:$D$497,D268)&gt;1,"阶段序号重复",IF(E268&lt;=IFERROR(LOOKUP(2,1/(单次交易!$A$2:$A$201=B268),单次交易!$E$2:$E$201),0),"激活价须高于买入价",IF(F268&lt;N268,"止损价不得低于初始止损",IF(F268&gt;E268,"止损价不得高于激活价",IF(AND(COUNTIFS($A$2:$A$497,"止损计划",$B$2:$B$497,B268,$D$2:$D$497,"&lt;"&amp;D268)&gt;0,OR(E268&lt;=SUMPRODUCT(MAX((($A$2:$A$497="止损计划")*($B$2:$B$497=B268)*($D$2:$D$497&lt;D268))*$E$2:$E$497)),F268&lt;SUMPRODUCT(MAX((($A$2:$A$497="止损计划")*($B$2:$B$497=B268)*($D$2:$D$497&lt;D268))*$F$2:$F$497)))),"阶段价格必须逐级提高","计划有效"))))))),IF(A268="每日跟踪",IF(OR(B268="",H268="",I268="",J268=""),"每日数据不完整",IF(COUNTIFS($A$2:$A$497,"每日跟踪",$B$2:$B$497,B268,$H$2:$H$497,H268)&gt;1,"同一交易日期重复",IF(AND(R268&lt;&gt;"",R268&lt;S268),"人工止损无效：不能下调","跟踪有效"))),"记录类型无效")))</f>
        <v/>
      </c>
    </row>
    <row r="269" ht="17" spans="1:29">
      <c r="A269" s="2"/>
      <c r="B269" s="2"/>
      <c r="C269" s="8" t="str">
        <f>IF(B269="","",IFERROR(LOOKUP(2,1/(单次交易!$A$2:$A$201=B269),单次交易!$B$2:$B$201),""))</f>
        <v/>
      </c>
      <c r="D269" s="12"/>
      <c r="E269" s="10"/>
      <c r="F269" s="10"/>
      <c r="G269" s="2"/>
      <c r="H269" s="15"/>
      <c r="I269" s="10"/>
      <c r="J269" s="12"/>
      <c r="K269" s="2"/>
      <c r="L269" s="2"/>
      <c r="M269" s="2"/>
      <c r="N269" s="5" t="str">
        <f>IF(B269="","",IFERROR(LOOKUP(2,1/(单次交易!$A$2:$A$201=B269),单次交易!$N$2:$N$201),""))</f>
        <v/>
      </c>
      <c r="O269" s="5" t="str">
        <f t="shared" si="36"/>
        <v/>
      </c>
      <c r="P269" s="11" t="str">
        <f t="shared" si="37"/>
        <v/>
      </c>
      <c r="Q269" s="5" t="str">
        <f t="shared" si="38"/>
        <v/>
      </c>
      <c r="R269" s="10"/>
      <c r="S269" s="5" t="str">
        <f t="shared" si="39"/>
        <v/>
      </c>
      <c r="T269" s="5" t="str">
        <f t="shared" si="40"/>
        <v/>
      </c>
      <c r="U269" s="5" t="str">
        <f t="shared" si="41"/>
        <v/>
      </c>
      <c r="V269" s="7" t="str">
        <f t="shared" si="42"/>
        <v/>
      </c>
      <c r="W269" s="8" t="str">
        <f t="shared" si="43"/>
        <v/>
      </c>
      <c r="X269" s="2"/>
      <c r="Y269" s="10"/>
      <c r="Z269" s="11" t="str">
        <f>IF(X269&lt;&gt;"执行卖出","",IFERROR(LOOKUP(2,1/(单次交易!$A$2:$A$201=B269),单次交易!$AP$2:$AP$201),""))</f>
        <v/>
      </c>
      <c r="AA269" s="10"/>
      <c r="AB269" s="8" t="str">
        <f t="shared" si="44"/>
        <v/>
      </c>
      <c r="AC269" s="8" t="str">
        <f>IF(A269="","",IF(A269="止损计划",IF(OR(B269="",D269="",E269="",F269="",G269=""),"计划不完整",IF(OR(D269&lt;1,D269&lt;&gt;INT(D269)),"阶段序号无效",IF(COUNTIFS($A$2:$A$497,"止损计划",$B$2:$B$497,B269,$D$2:$D$497,D269)&gt;1,"阶段序号重复",IF(E269&lt;=IFERROR(LOOKUP(2,1/(单次交易!$A$2:$A$201=B269),单次交易!$E$2:$E$201),0),"激活价须高于买入价",IF(F269&lt;N269,"止损价不得低于初始止损",IF(F269&gt;E269,"止损价不得高于激活价",IF(AND(COUNTIFS($A$2:$A$497,"止损计划",$B$2:$B$497,B269,$D$2:$D$497,"&lt;"&amp;D269)&gt;0,OR(E269&lt;=SUMPRODUCT(MAX((($A$2:$A$497="止损计划")*($B$2:$B$497=B269)*($D$2:$D$497&lt;D269))*$E$2:$E$497)),F269&lt;SUMPRODUCT(MAX((($A$2:$A$497="止损计划")*($B$2:$B$497=B269)*($D$2:$D$497&lt;D269))*$F$2:$F$497)))),"阶段价格必须逐级提高","计划有效"))))))),IF(A269="每日跟踪",IF(OR(B269="",H269="",I269="",J269=""),"每日数据不完整",IF(COUNTIFS($A$2:$A$497,"每日跟踪",$B$2:$B$497,B269,$H$2:$H$497,H269)&gt;1,"同一交易日期重复",IF(AND(R269&lt;&gt;"",R269&lt;S269),"人工止损无效：不能下调","跟踪有效"))),"记录类型无效")))</f>
        <v/>
      </c>
    </row>
    <row r="270" ht="17" spans="1:29">
      <c r="A270" s="2"/>
      <c r="B270" s="2"/>
      <c r="C270" s="8" t="str">
        <f>IF(B270="","",IFERROR(LOOKUP(2,1/(单次交易!$A$2:$A$201=B270),单次交易!$B$2:$B$201),""))</f>
        <v/>
      </c>
      <c r="D270" s="12"/>
      <c r="E270" s="10"/>
      <c r="F270" s="10"/>
      <c r="G270" s="2"/>
      <c r="H270" s="15"/>
      <c r="I270" s="10"/>
      <c r="J270" s="12"/>
      <c r="K270" s="2"/>
      <c r="L270" s="2"/>
      <c r="M270" s="2"/>
      <c r="N270" s="5" t="str">
        <f>IF(B270="","",IFERROR(LOOKUP(2,1/(单次交易!$A$2:$A$201=B270),单次交易!$N$2:$N$201),""))</f>
        <v/>
      </c>
      <c r="O270" s="5" t="str">
        <f t="shared" si="36"/>
        <v/>
      </c>
      <c r="P270" s="11" t="str">
        <f t="shared" si="37"/>
        <v/>
      </c>
      <c r="Q270" s="5" t="str">
        <f t="shared" si="38"/>
        <v/>
      </c>
      <c r="R270" s="10"/>
      <c r="S270" s="5" t="str">
        <f t="shared" si="39"/>
        <v/>
      </c>
      <c r="T270" s="5" t="str">
        <f t="shared" si="40"/>
        <v/>
      </c>
      <c r="U270" s="5" t="str">
        <f t="shared" si="41"/>
        <v/>
      </c>
      <c r="V270" s="7" t="str">
        <f t="shared" si="42"/>
        <v/>
      </c>
      <c r="W270" s="8" t="str">
        <f t="shared" si="43"/>
        <v/>
      </c>
      <c r="X270" s="2"/>
      <c r="Y270" s="10"/>
      <c r="Z270" s="11" t="str">
        <f>IF(X270&lt;&gt;"执行卖出","",IFERROR(LOOKUP(2,1/(单次交易!$A$2:$A$201=B270),单次交易!$AP$2:$AP$201),""))</f>
        <v/>
      </c>
      <c r="AA270" s="10"/>
      <c r="AB270" s="8" t="str">
        <f t="shared" si="44"/>
        <v/>
      </c>
      <c r="AC270" s="8" t="str">
        <f>IF(A270="","",IF(A270="止损计划",IF(OR(B270="",D270="",E270="",F270="",G270=""),"计划不完整",IF(OR(D270&lt;1,D270&lt;&gt;INT(D270)),"阶段序号无效",IF(COUNTIFS($A$2:$A$497,"止损计划",$B$2:$B$497,B270,$D$2:$D$497,D270)&gt;1,"阶段序号重复",IF(E270&lt;=IFERROR(LOOKUP(2,1/(单次交易!$A$2:$A$201=B270),单次交易!$E$2:$E$201),0),"激活价须高于买入价",IF(F270&lt;N270,"止损价不得低于初始止损",IF(F270&gt;E270,"止损价不得高于激活价",IF(AND(COUNTIFS($A$2:$A$497,"止损计划",$B$2:$B$497,B270,$D$2:$D$497,"&lt;"&amp;D270)&gt;0,OR(E270&lt;=SUMPRODUCT(MAX((($A$2:$A$497="止损计划")*($B$2:$B$497=B270)*($D$2:$D$497&lt;D270))*$E$2:$E$497)),F270&lt;SUMPRODUCT(MAX((($A$2:$A$497="止损计划")*($B$2:$B$497=B270)*($D$2:$D$497&lt;D270))*$F$2:$F$497)))),"阶段价格必须逐级提高","计划有效"))))))),IF(A270="每日跟踪",IF(OR(B270="",H270="",I270="",J270=""),"每日数据不完整",IF(COUNTIFS($A$2:$A$497,"每日跟踪",$B$2:$B$497,B270,$H$2:$H$497,H270)&gt;1,"同一交易日期重复",IF(AND(R270&lt;&gt;"",R270&lt;S270),"人工止损无效：不能下调","跟踪有效"))),"记录类型无效")))</f>
        <v/>
      </c>
    </row>
    <row r="271" ht="17" spans="1:29">
      <c r="A271" s="2"/>
      <c r="B271" s="2"/>
      <c r="C271" s="8" t="str">
        <f>IF(B271="","",IFERROR(LOOKUP(2,1/(单次交易!$A$2:$A$201=B271),单次交易!$B$2:$B$201),""))</f>
        <v/>
      </c>
      <c r="D271" s="12"/>
      <c r="E271" s="10"/>
      <c r="F271" s="10"/>
      <c r="G271" s="2"/>
      <c r="H271" s="15"/>
      <c r="I271" s="10"/>
      <c r="J271" s="12"/>
      <c r="K271" s="2"/>
      <c r="L271" s="2"/>
      <c r="M271" s="2"/>
      <c r="N271" s="5" t="str">
        <f>IF(B271="","",IFERROR(LOOKUP(2,1/(单次交易!$A$2:$A$201=B271),单次交易!$N$2:$N$201),""))</f>
        <v/>
      </c>
      <c r="O271" s="5" t="str">
        <f t="shared" si="36"/>
        <v/>
      </c>
      <c r="P271" s="11" t="str">
        <f t="shared" si="37"/>
        <v/>
      </c>
      <c r="Q271" s="5" t="str">
        <f t="shared" si="38"/>
        <v/>
      </c>
      <c r="R271" s="10"/>
      <c r="S271" s="5" t="str">
        <f t="shared" si="39"/>
        <v/>
      </c>
      <c r="T271" s="5" t="str">
        <f t="shared" si="40"/>
        <v/>
      </c>
      <c r="U271" s="5" t="str">
        <f t="shared" si="41"/>
        <v/>
      </c>
      <c r="V271" s="7" t="str">
        <f t="shared" si="42"/>
        <v/>
      </c>
      <c r="W271" s="8" t="str">
        <f t="shared" si="43"/>
        <v/>
      </c>
      <c r="X271" s="2"/>
      <c r="Y271" s="10"/>
      <c r="Z271" s="11" t="str">
        <f>IF(X271&lt;&gt;"执行卖出","",IFERROR(LOOKUP(2,1/(单次交易!$A$2:$A$201=B271),单次交易!$AP$2:$AP$201),""))</f>
        <v/>
      </c>
      <c r="AA271" s="10"/>
      <c r="AB271" s="8" t="str">
        <f t="shared" si="44"/>
        <v/>
      </c>
      <c r="AC271" s="8" t="str">
        <f>IF(A271="","",IF(A271="止损计划",IF(OR(B271="",D271="",E271="",F271="",G271=""),"计划不完整",IF(OR(D271&lt;1,D271&lt;&gt;INT(D271)),"阶段序号无效",IF(COUNTIFS($A$2:$A$497,"止损计划",$B$2:$B$497,B271,$D$2:$D$497,D271)&gt;1,"阶段序号重复",IF(E271&lt;=IFERROR(LOOKUP(2,1/(单次交易!$A$2:$A$201=B271),单次交易!$E$2:$E$201),0),"激活价须高于买入价",IF(F271&lt;N271,"止损价不得低于初始止损",IF(F271&gt;E271,"止损价不得高于激活价",IF(AND(COUNTIFS($A$2:$A$497,"止损计划",$B$2:$B$497,B271,$D$2:$D$497,"&lt;"&amp;D271)&gt;0,OR(E271&lt;=SUMPRODUCT(MAX((($A$2:$A$497="止损计划")*($B$2:$B$497=B271)*($D$2:$D$497&lt;D271))*$E$2:$E$497)),F271&lt;SUMPRODUCT(MAX((($A$2:$A$497="止损计划")*($B$2:$B$497=B271)*($D$2:$D$497&lt;D271))*$F$2:$F$497)))),"阶段价格必须逐级提高","计划有效"))))))),IF(A271="每日跟踪",IF(OR(B271="",H271="",I271="",J271=""),"每日数据不完整",IF(COUNTIFS($A$2:$A$497,"每日跟踪",$B$2:$B$497,B271,$H$2:$H$497,H271)&gt;1,"同一交易日期重复",IF(AND(R271&lt;&gt;"",R271&lt;S271),"人工止损无效：不能下调","跟踪有效"))),"记录类型无效")))</f>
        <v/>
      </c>
    </row>
    <row r="272" ht="17" spans="1:29">
      <c r="A272" s="2"/>
      <c r="B272" s="2"/>
      <c r="C272" s="8" t="str">
        <f>IF(B272="","",IFERROR(LOOKUP(2,1/(单次交易!$A$2:$A$201=B272),单次交易!$B$2:$B$201),""))</f>
        <v/>
      </c>
      <c r="D272" s="12"/>
      <c r="E272" s="10"/>
      <c r="F272" s="10"/>
      <c r="G272" s="2"/>
      <c r="H272" s="15"/>
      <c r="I272" s="10"/>
      <c r="J272" s="12"/>
      <c r="K272" s="2"/>
      <c r="L272" s="2"/>
      <c r="M272" s="2"/>
      <c r="N272" s="5" t="str">
        <f>IF(B272="","",IFERROR(LOOKUP(2,1/(单次交易!$A$2:$A$201=B272),单次交易!$N$2:$N$201),""))</f>
        <v/>
      </c>
      <c r="O272" s="5" t="str">
        <f t="shared" si="36"/>
        <v/>
      </c>
      <c r="P272" s="11" t="str">
        <f t="shared" si="37"/>
        <v/>
      </c>
      <c r="Q272" s="5" t="str">
        <f t="shared" si="38"/>
        <v/>
      </c>
      <c r="R272" s="10"/>
      <c r="S272" s="5" t="str">
        <f t="shared" si="39"/>
        <v/>
      </c>
      <c r="T272" s="5" t="str">
        <f t="shared" si="40"/>
        <v/>
      </c>
      <c r="U272" s="5" t="str">
        <f t="shared" si="41"/>
        <v/>
      </c>
      <c r="V272" s="7" t="str">
        <f t="shared" si="42"/>
        <v/>
      </c>
      <c r="W272" s="8" t="str">
        <f t="shared" si="43"/>
        <v/>
      </c>
      <c r="X272" s="2"/>
      <c r="Y272" s="10"/>
      <c r="Z272" s="11" t="str">
        <f>IF(X272&lt;&gt;"执行卖出","",IFERROR(LOOKUP(2,1/(单次交易!$A$2:$A$201=B272),单次交易!$AP$2:$AP$201),""))</f>
        <v/>
      </c>
      <c r="AA272" s="10"/>
      <c r="AB272" s="8" t="str">
        <f t="shared" si="44"/>
        <v/>
      </c>
      <c r="AC272" s="8" t="str">
        <f>IF(A272="","",IF(A272="止损计划",IF(OR(B272="",D272="",E272="",F272="",G272=""),"计划不完整",IF(OR(D272&lt;1,D272&lt;&gt;INT(D272)),"阶段序号无效",IF(COUNTIFS($A$2:$A$497,"止损计划",$B$2:$B$497,B272,$D$2:$D$497,D272)&gt;1,"阶段序号重复",IF(E272&lt;=IFERROR(LOOKUP(2,1/(单次交易!$A$2:$A$201=B272),单次交易!$E$2:$E$201),0),"激活价须高于买入价",IF(F272&lt;N272,"止损价不得低于初始止损",IF(F272&gt;E272,"止损价不得高于激活价",IF(AND(COUNTIFS($A$2:$A$497,"止损计划",$B$2:$B$497,B272,$D$2:$D$497,"&lt;"&amp;D272)&gt;0,OR(E272&lt;=SUMPRODUCT(MAX((($A$2:$A$497="止损计划")*($B$2:$B$497=B272)*($D$2:$D$497&lt;D272))*$E$2:$E$497)),F272&lt;SUMPRODUCT(MAX((($A$2:$A$497="止损计划")*($B$2:$B$497=B272)*($D$2:$D$497&lt;D272))*$F$2:$F$497)))),"阶段价格必须逐级提高","计划有效"))))))),IF(A272="每日跟踪",IF(OR(B272="",H272="",I272="",J272=""),"每日数据不完整",IF(COUNTIFS($A$2:$A$497,"每日跟踪",$B$2:$B$497,B272,$H$2:$H$497,H272)&gt;1,"同一交易日期重复",IF(AND(R272&lt;&gt;"",R272&lt;S272),"人工止损无效：不能下调","跟踪有效"))),"记录类型无效")))</f>
        <v/>
      </c>
    </row>
    <row r="273" ht="17" spans="1:29">
      <c r="A273" s="2"/>
      <c r="B273" s="2"/>
      <c r="C273" s="8" t="str">
        <f>IF(B273="","",IFERROR(LOOKUP(2,1/(单次交易!$A$2:$A$201=B273),单次交易!$B$2:$B$201),""))</f>
        <v/>
      </c>
      <c r="D273" s="12"/>
      <c r="E273" s="10"/>
      <c r="F273" s="10"/>
      <c r="G273" s="2"/>
      <c r="H273" s="15"/>
      <c r="I273" s="10"/>
      <c r="J273" s="12"/>
      <c r="K273" s="2"/>
      <c r="L273" s="2"/>
      <c r="M273" s="2"/>
      <c r="N273" s="5" t="str">
        <f>IF(B273="","",IFERROR(LOOKUP(2,1/(单次交易!$A$2:$A$201=B273),单次交易!$N$2:$N$201),""))</f>
        <v/>
      </c>
      <c r="O273" s="5" t="str">
        <f t="shared" si="36"/>
        <v/>
      </c>
      <c r="P273" s="11" t="str">
        <f t="shared" si="37"/>
        <v/>
      </c>
      <c r="Q273" s="5" t="str">
        <f t="shared" si="38"/>
        <v/>
      </c>
      <c r="R273" s="10"/>
      <c r="S273" s="5" t="str">
        <f t="shared" si="39"/>
        <v/>
      </c>
      <c r="T273" s="5" t="str">
        <f t="shared" si="40"/>
        <v/>
      </c>
      <c r="U273" s="5" t="str">
        <f t="shared" si="41"/>
        <v/>
      </c>
      <c r="V273" s="7" t="str">
        <f t="shared" si="42"/>
        <v/>
      </c>
      <c r="W273" s="8" t="str">
        <f t="shared" si="43"/>
        <v/>
      </c>
      <c r="X273" s="2"/>
      <c r="Y273" s="10"/>
      <c r="Z273" s="11" t="str">
        <f>IF(X273&lt;&gt;"执行卖出","",IFERROR(LOOKUP(2,1/(单次交易!$A$2:$A$201=B273),单次交易!$AP$2:$AP$201),""))</f>
        <v/>
      </c>
      <c r="AA273" s="10"/>
      <c r="AB273" s="8" t="str">
        <f t="shared" si="44"/>
        <v/>
      </c>
      <c r="AC273" s="8" t="str">
        <f>IF(A273="","",IF(A273="止损计划",IF(OR(B273="",D273="",E273="",F273="",G273=""),"计划不完整",IF(OR(D273&lt;1,D273&lt;&gt;INT(D273)),"阶段序号无效",IF(COUNTIFS($A$2:$A$497,"止损计划",$B$2:$B$497,B273,$D$2:$D$497,D273)&gt;1,"阶段序号重复",IF(E273&lt;=IFERROR(LOOKUP(2,1/(单次交易!$A$2:$A$201=B273),单次交易!$E$2:$E$201),0),"激活价须高于买入价",IF(F273&lt;N273,"止损价不得低于初始止损",IF(F273&gt;E273,"止损价不得高于激活价",IF(AND(COUNTIFS($A$2:$A$497,"止损计划",$B$2:$B$497,B273,$D$2:$D$497,"&lt;"&amp;D273)&gt;0,OR(E273&lt;=SUMPRODUCT(MAX((($A$2:$A$497="止损计划")*($B$2:$B$497=B273)*($D$2:$D$497&lt;D273))*$E$2:$E$497)),F273&lt;SUMPRODUCT(MAX((($A$2:$A$497="止损计划")*($B$2:$B$497=B273)*($D$2:$D$497&lt;D273))*$F$2:$F$497)))),"阶段价格必须逐级提高","计划有效"))))))),IF(A273="每日跟踪",IF(OR(B273="",H273="",I273="",J273=""),"每日数据不完整",IF(COUNTIFS($A$2:$A$497,"每日跟踪",$B$2:$B$497,B273,$H$2:$H$497,H273)&gt;1,"同一交易日期重复",IF(AND(R273&lt;&gt;"",R273&lt;S273),"人工止损无效：不能下调","跟踪有效"))),"记录类型无效")))</f>
        <v/>
      </c>
    </row>
    <row r="274" ht="17" spans="1:29">
      <c r="A274" s="2"/>
      <c r="B274" s="2"/>
      <c r="C274" s="8" t="str">
        <f>IF(B274="","",IFERROR(LOOKUP(2,1/(单次交易!$A$2:$A$201=B274),单次交易!$B$2:$B$201),""))</f>
        <v/>
      </c>
      <c r="D274" s="12"/>
      <c r="E274" s="10"/>
      <c r="F274" s="10"/>
      <c r="G274" s="2"/>
      <c r="H274" s="15"/>
      <c r="I274" s="10"/>
      <c r="J274" s="12"/>
      <c r="K274" s="2"/>
      <c r="L274" s="2"/>
      <c r="M274" s="2"/>
      <c r="N274" s="5" t="str">
        <f>IF(B274="","",IFERROR(LOOKUP(2,1/(单次交易!$A$2:$A$201=B274),单次交易!$N$2:$N$201),""))</f>
        <v/>
      </c>
      <c r="O274" s="5" t="str">
        <f t="shared" si="36"/>
        <v/>
      </c>
      <c r="P274" s="11" t="str">
        <f t="shared" si="37"/>
        <v/>
      </c>
      <c r="Q274" s="5" t="str">
        <f t="shared" si="38"/>
        <v/>
      </c>
      <c r="R274" s="10"/>
      <c r="S274" s="5" t="str">
        <f t="shared" si="39"/>
        <v/>
      </c>
      <c r="T274" s="5" t="str">
        <f t="shared" si="40"/>
        <v/>
      </c>
      <c r="U274" s="5" t="str">
        <f t="shared" si="41"/>
        <v/>
      </c>
      <c r="V274" s="7" t="str">
        <f t="shared" si="42"/>
        <v/>
      </c>
      <c r="W274" s="8" t="str">
        <f t="shared" si="43"/>
        <v/>
      </c>
      <c r="X274" s="2"/>
      <c r="Y274" s="10"/>
      <c r="Z274" s="11" t="str">
        <f>IF(X274&lt;&gt;"执行卖出","",IFERROR(LOOKUP(2,1/(单次交易!$A$2:$A$201=B274),单次交易!$AP$2:$AP$201),""))</f>
        <v/>
      </c>
      <c r="AA274" s="10"/>
      <c r="AB274" s="8" t="str">
        <f t="shared" si="44"/>
        <v/>
      </c>
      <c r="AC274" s="8" t="str">
        <f>IF(A274="","",IF(A274="止损计划",IF(OR(B274="",D274="",E274="",F274="",G274=""),"计划不完整",IF(OR(D274&lt;1,D274&lt;&gt;INT(D274)),"阶段序号无效",IF(COUNTIFS($A$2:$A$497,"止损计划",$B$2:$B$497,B274,$D$2:$D$497,D274)&gt;1,"阶段序号重复",IF(E274&lt;=IFERROR(LOOKUP(2,1/(单次交易!$A$2:$A$201=B274),单次交易!$E$2:$E$201),0),"激活价须高于买入价",IF(F274&lt;N274,"止损价不得低于初始止损",IF(F274&gt;E274,"止损价不得高于激活价",IF(AND(COUNTIFS($A$2:$A$497,"止损计划",$B$2:$B$497,B274,$D$2:$D$497,"&lt;"&amp;D274)&gt;0,OR(E274&lt;=SUMPRODUCT(MAX((($A$2:$A$497="止损计划")*($B$2:$B$497=B274)*($D$2:$D$497&lt;D274))*$E$2:$E$497)),F274&lt;SUMPRODUCT(MAX((($A$2:$A$497="止损计划")*($B$2:$B$497=B274)*($D$2:$D$497&lt;D274))*$F$2:$F$497)))),"阶段价格必须逐级提高","计划有效"))))))),IF(A274="每日跟踪",IF(OR(B274="",H274="",I274="",J274=""),"每日数据不完整",IF(COUNTIFS($A$2:$A$497,"每日跟踪",$B$2:$B$497,B274,$H$2:$H$497,H274)&gt;1,"同一交易日期重复",IF(AND(R274&lt;&gt;"",R274&lt;S274),"人工止损无效：不能下调","跟踪有效"))),"记录类型无效")))</f>
        <v/>
      </c>
    </row>
    <row r="275" ht="17" spans="1:29">
      <c r="A275" s="2"/>
      <c r="B275" s="2"/>
      <c r="C275" s="8" t="str">
        <f>IF(B275="","",IFERROR(LOOKUP(2,1/(单次交易!$A$2:$A$201=B275),单次交易!$B$2:$B$201),""))</f>
        <v/>
      </c>
      <c r="D275" s="12"/>
      <c r="E275" s="10"/>
      <c r="F275" s="10"/>
      <c r="G275" s="2"/>
      <c r="H275" s="15"/>
      <c r="I275" s="10"/>
      <c r="J275" s="12"/>
      <c r="K275" s="2"/>
      <c r="L275" s="2"/>
      <c r="M275" s="2"/>
      <c r="N275" s="5" t="str">
        <f>IF(B275="","",IFERROR(LOOKUP(2,1/(单次交易!$A$2:$A$201=B275),单次交易!$N$2:$N$201),""))</f>
        <v/>
      </c>
      <c r="O275" s="5" t="str">
        <f t="shared" si="36"/>
        <v/>
      </c>
      <c r="P275" s="11" t="str">
        <f t="shared" si="37"/>
        <v/>
      </c>
      <c r="Q275" s="5" t="str">
        <f t="shared" si="38"/>
        <v/>
      </c>
      <c r="R275" s="10"/>
      <c r="S275" s="5" t="str">
        <f t="shared" si="39"/>
        <v/>
      </c>
      <c r="T275" s="5" t="str">
        <f t="shared" si="40"/>
        <v/>
      </c>
      <c r="U275" s="5" t="str">
        <f t="shared" si="41"/>
        <v/>
      </c>
      <c r="V275" s="7" t="str">
        <f t="shared" si="42"/>
        <v/>
      </c>
      <c r="W275" s="8" t="str">
        <f t="shared" si="43"/>
        <v/>
      </c>
      <c r="X275" s="2"/>
      <c r="Y275" s="10"/>
      <c r="Z275" s="11" t="str">
        <f>IF(X275&lt;&gt;"执行卖出","",IFERROR(LOOKUP(2,1/(单次交易!$A$2:$A$201=B275),单次交易!$AP$2:$AP$201),""))</f>
        <v/>
      </c>
      <c r="AA275" s="10"/>
      <c r="AB275" s="8" t="str">
        <f t="shared" si="44"/>
        <v/>
      </c>
      <c r="AC275" s="8" t="str">
        <f>IF(A275="","",IF(A275="止损计划",IF(OR(B275="",D275="",E275="",F275="",G275=""),"计划不完整",IF(OR(D275&lt;1,D275&lt;&gt;INT(D275)),"阶段序号无效",IF(COUNTIFS($A$2:$A$497,"止损计划",$B$2:$B$497,B275,$D$2:$D$497,D275)&gt;1,"阶段序号重复",IF(E275&lt;=IFERROR(LOOKUP(2,1/(单次交易!$A$2:$A$201=B275),单次交易!$E$2:$E$201),0),"激活价须高于买入价",IF(F275&lt;N275,"止损价不得低于初始止损",IF(F275&gt;E275,"止损价不得高于激活价",IF(AND(COUNTIFS($A$2:$A$497,"止损计划",$B$2:$B$497,B275,$D$2:$D$497,"&lt;"&amp;D275)&gt;0,OR(E275&lt;=SUMPRODUCT(MAX((($A$2:$A$497="止损计划")*($B$2:$B$497=B275)*($D$2:$D$497&lt;D275))*$E$2:$E$497)),F275&lt;SUMPRODUCT(MAX((($A$2:$A$497="止损计划")*($B$2:$B$497=B275)*($D$2:$D$497&lt;D275))*$F$2:$F$497)))),"阶段价格必须逐级提高","计划有效"))))))),IF(A275="每日跟踪",IF(OR(B275="",H275="",I275="",J275=""),"每日数据不完整",IF(COUNTIFS($A$2:$A$497,"每日跟踪",$B$2:$B$497,B275,$H$2:$H$497,H275)&gt;1,"同一交易日期重复",IF(AND(R275&lt;&gt;"",R275&lt;S275),"人工止损无效：不能下调","跟踪有效"))),"记录类型无效")))</f>
        <v/>
      </c>
    </row>
    <row r="276" ht="17" spans="1:29">
      <c r="A276" s="2"/>
      <c r="B276" s="2"/>
      <c r="C276" s="8" t="str">
        <f>IF(B276="","",IFERROR(LOOKUP(2,1/(单次交易!$A$2:$A$201=B276),单次交易!$B$2:$B$201),""))</f>
        <v/>
      </c>
      <c r="D276" s="12"/>
      <c r="E276" s="10"/>
      <c r="F276" s="10"/>
      <c r="G276" s="2"/>
      <c r="H276" s="15"/>
      <c r="I276" s="10"/>
      <c r="J276" s="12"/>
      <c r="K276" s="2"/>
      <c r="L276" s="2"/>
      <c r="M276" s="2"/>
      <c r="N276" s="5" t="str">
        <f>IF(B276="","",IFERROR(LOOKUP(2,1/(单次交易!$A$2:$A$201=B276),单次交易!$N$2:$N$201),""))</f>
        <v/>
      </c>
      <c r="O276" s="5" t="str">
        <f t="shared" si="36"/>
        <v/>
      </c>
      <c r="P276" s="11" t="str">
        <f t="shared" si="37"/>
        <v/>
      </c>
      <c r="Q276" s="5" t="str">
        <f t="shared" si="38"/>
        <v/>
      </c>
      <c r="R276" s="10"/>
      <c r="S276" s="5" t="str">
        <f t="shared" si="39"/>
        <v/>
      </c>
      <c r="T276" s="5" t="str">
        <f t="shared" si="40"/>
        <v/>
      </c>
      <c r="U276" s="5" t="str">
        <f t="shared" si="41"/>
        <v/>
      </c>
      <c r="V276" s="7" t="str">
        <f t="shared" si="42"/>
        <v/>
      </c>
      <c r="W276" s="8" t="str">
        <f t="shared" si="43"/>
        <v/>
      </c>
      <c r="X276" s="2"/>
      <c r="Y276" s="10"/>
      <c r="Z276" s="11" t="str">
        <f>IF(X276&lt;&gt;"执行卖出","",IFERROR(LOOKUP(2,1/(单次交易!$A$2:$A$201=B276),单次交易!$AP$2:$AP$201),""))</f>
        <v/>
      </c>
      <c r="AA276" s="10"/>
      <c r="AB276" s="8" t="str">
        <f t="shared" si="44"/>
        <v/>
      </c>
      <c r="AC276" s="8" t="str">
        <f>IF(A276="","",IF(A276="止损计划",IF(OR(B276="",D276="",E276="",F276="",G276=""),"计划不完整",IF(OR(D276&lt;1,D276&lt;&gt;INT(D276)),"阶段序号无效",IF(COUNTIFS($A$2:$A$497,"止损计划",$B$2:$B$497,B276,$D$2:$D$497,D276)&gt;1,"阶段序号重复",IF(E276&lt;=IFERROR(LOOKUP(2,1/(单次交易!$A$2:$A$201=B276),单次交易!$E$2:$E$201),0),"激活价须高于买入价",IF(F276&lt;N276,"止损价不得低于初始止损",IF(F276&gt;E276,"止损价不得高于激活价",IF(AND(COUNTIFS($A$2:$A$497,"止损计划",$B$2:$B$497,B276,$D$2:$D$497,"&lt;"&amp;D276)&gt;0,OR(E276&lt;=SUMPRODUCT(MAX((($A$2:$A$497="止损计划")*($B$2:$B$497=B276)*($D$2:$D$497&lt;D276))*$E$2:$E$497)),F276&lt;SUMPRODUCT(MAX((($A$2:$A$497="止损计划")*($B$2:$B$497=B276)*($D$2:$D$497&lt;D276))*$F$2:$F$497)))),"阶段价格必须逐级提高","计划有效"))))))),IF(A276="每日跟踪",IF(OR(B276="",H276="",I276="",J276=""),"每日数据不完整",IF(COUNTIFS($A$2:$A$497,"每日跟踪",$B$2:$B$497,B276,$H$2:$H$497,H276)&gt;1,"同一交易日期重复",IF(AND(R276&lt;&gt;"",R276&lt;S276),"人工止损无效：不能下调","跟踪有效"))),"记录类型无效")))</f>
        <v/>
      </c>
    </row>
    <row r="277" ht="17" spans="1:29">
      <c r="A277" s="2"/>
      <c r="B277" s="2"/>
      <c r="C277" s="8" t="str">
        <f>IF(B277="","",IFERROR(LOOKUP(2,1/(单次交易!$A$2:$A$201=B277),单次交易!$B$2:$B$201),""))</f>
        <v/>
      </c>
      <c r="D277" s="12"/>
      <c r="E277" s="10"/>
      <c r="F277" s="10"/>
      <c r="G277" s="2"/>
      <c r="H277" s="15"/>
      <c r="I277" s="10"/>
      <c r="J277" s="12"/>
      <c r="K277" s="2"/>
      <c r="L277" s="2"/>
      <c r="M277" s="2"/>
      <c r="N277" s="5" t="str">
        <f>IF(B277="","",IFERROR(LOOKUP(2,1/(单次交易!$A$2:$A$201=B277),单次交易!$N$2:$N$201),""))</f>
        <v/>
      </c>
      <c r="O277" s="5" t="str">
        <f t="shared" si="36"/>
        <v/>
      </c>
      <c r="P277" s="11" t="str">
        <f t="shared" si="37"/>
        <v/>
      </c>
      <c r="Q277" s="5" t="str">
        <f t="shared" si="38"/>
        <v/>
      </c>
      <c r="R277" s="10"/>
      <c r="S277" s="5" t="str">
        <f t="shared" si="39"/>
        <v/>
      </c>
      <c r="T277" s="5" t="str">
        <f t="shared" si="40"/>
        <v/>
      </c>
      <c r="U277" s="5" t="str">
        <f t="shared" si="41"/>
        <v/>
      </c>
      <c r="V277" s="7" t="str">
        <f t="shared" si="42"/>
        <v/>
      </c>
      <c r="W277" s="8" t="str">
        <f t="shared" si="43"/>
        <v/>
      </c>
      <c r="X277" s="2"/>
      <c r="Y277" s="10"/>
      <c r="Z277" s="11" t="str">
        <f>IF(X277&lt;&gt;"执行卖出","",IFERROR(LOOKUP(2,1/(单次交易!$A$2:$A$201=B277),单次交易!$AP$2:$AP$201),""))</f>
        <v/>
      </c>
      <c r="AA277" s="10"/>
      <c r="AB277" s="8" t="str">
        <f t="shared" si="44"/>
        <v/>
      </c>
      <c r="AC277" s="8" t="str">
        <f>IF(A277="","",IF(A277="止损计划",IF(OR(B277="",D277="",E277="",F277="",G277=""),"计划不完整",IF(OR(D277&lt;1,D277&lt;&gt;INT(D277)),"阶段序号无效",IF(COUNTIFS($A$2:$A$497,"止损计划",$B$2:$B$497,B277,$D$2:$D$497,D277)&gt;1,"阶段序号重复",IF(E277&lt;=IFERROR(LOOKUP(2,1/(单次交易!$A$2:$A$201=B277),单次交易!$E$2:$E$201),0),"激活价须高于买入价",IF(F277&lt;N277,"止损价不得低于初始止损",IF(F277&gt;E277,"止损价不得高于激活价",IF(AND(COUNTIFS($A$2:$A$497,"止损计划",$B$2:$B$497,B277,$D$2:$D$497,"&lt;"&amp;D277)&gt;0,OR(E277&lt;=SUMPRODUCT(MAX((($A$2:$A$497="止损计划")*($B$2:$B$497=B277)*($D$2:$D$497&lt;D277))*$E$2:$E$497)),F277&lt;SUMPRODUCT(MAX((($A$2:$A$497="止损计划")*($B$2:$B$497=B277)*($D$2:$D$497&lt;D277))*$F$2:$F$497)))),"阶段价格必须逐级提高","计划有效"))))))),IF(A277="每日跟踪",IF(OR(B277="",H277="",I277="",J277=""),"每日数据不完整",IF(COUNTIFS($A$2:$A$497,"每日跟踪",$B$2:$B$497,B277,$H$2:$H$497,H277)&gt;1,"同一交易日期重复",IF(AND(R277&lt;&gt;"",R277&lt;S277),"人工止损无效：不能下调","跟踪有效"))),"记录类型无效")))</f>
        <v/>
      </c>
    </row>
    <row r="278" ht="17" spans="1:29">
      <c r="A278" s="2"/>
      <c r="B278" s="2"/>
      <c r="C278" s="8" t="str">
        <f>IF(B278="","",IFERROR(LOOKUP(2,1/(单次交易!$A$2:$A$201=B278),单次交易!$B$2:$B$201),""))</f>
        <v/>
      </c>
      <c r="D278" s="12"/>
      <c r="E278" s="10"/>
      <c r="F278" s="10"/>
      <c r="G278" s="2"/>
      <c r="H278" s="15"/>
      <c r="I278" s="10"/>
      <c r="J278" s="12"/>
      <c r="K278" s="2"/>
      <c r="L278" s="2"/>
      <c r="M278" s="2"/>
      <c r="N278" s="5" t="str">
        <f>IF(B278="","",IFERROR(LOOKUP(2,1/(单次交易!$A$2:$A$201=B278),单次交易!$N$2:$N$201),""))</f>
        <v/>
      </c>
      <c r="O278" s="5" t="str">
        <f t="shared" si="36"/>
        <v/>
      </c>
      <c r="P278" s="11" t="str">
        <f t="shared" si="37"/>
        <v/>
      </c>
      <c r="Q278" s="5" t="str">
        <f t="shared" si="38"/>
        <v/>
      </c>
      <c r="R278" s="10"/>
      <c r="S278" s="5" t="str">
        <f t="shared" si="39"/>
        <v/>
      </c>
      <c r="T278" s="5" t="str">
        <f t="shared" si="40"/>
        <v/>
      </c>
      <c r="U278" s="5" t="str">
        <f t="shared" si="41"/>
        <v/>
      </c>
      <c r="V278" s="7" t="str">
        <f t="shared" si="42"/>
        <v/>
      </c>
      <c r="W278" s="8" t="str">
        <f t="shared" si="43"/>
        <v/>
      </c>
      <c r="X278" s="2"/>
      <c r="Y278" s="10"/>
      <c r="Z278" s="11" t="str">
        <f>IF(X278&lt;&gt;"执行卖出","",IFERROR(LOOKUP(2,1/(单次交易!$A$2:$A$201=B278),单次交易!$AP$2:$AP$201),""))</f>
        <v/>
      </c>
      <c r="AA278" s="10"/>
      <c r="AB278" s="8" t="str">
        <f t="shared" si="44"/>
        <v/>
      </c>
      <c r="AC278" s="8" t="str">
        <f>IF(A278="","",IF(A278="止损计划",IF(OR(B278="",D278="",E278="",F278="",G278=""),"计划不完整",IF(OR(D278&lt;1,D278&lt;&gt;INT(D278)),"阶段序号无效",IF(COUNTIFS($A$2:$A$497,"止损计划",$B$2:$B$497,B278,$D$2:$D$497,D278)&gt;1,"阶段序号重复",IF(E278&lt;=IFERROR(LOOKUP(2,1/(单次交易!$A$2:$A$201=B278),单次交易!$E$2:$E$201),0),"激活价须高于买入价",IF(F278&lt;N278,"止损价不得低于初始止损",IF(F278&gt;E278,"止损价不得高于激活价",IF(AND(COUNTIFS($A$2:$A$497,"止损计划",$B$2:$B$497,B278,$D$2:$D$497,"&lt;"&amp;D278)&gt;0,OR(E278&lt;=SUMPRODUCT(MAX((($A$2:$A$497="止损计划")*($B$2:$B$497=B278)*($D$2:$D$497&lt;D278))*$E$2:$E$497)),F278&lt;SUMPRODUCT(MAX((($A$2:$A$497="止损计划")*($B$2:$B$497=B278)*($D$2:$D$497&lt;D278))*$F$2:$F$497)))),"阶段价格必须逐级提高","计划有效"))))))),IF(A278="每日跟踪",IF(OR(B278="",H278="",I278="",J278=""),"每日数据不完整",IF(COUNTIFS($A$2:$A$497,"每日跟踪",$B$2:$B$497,B278,$H$2:$H$497,H278)&gt;1,"同一交易日期重复",IF(AND(R278&lt;&gt;"",R278&lt;S278),"人工止损无效：不能下调","跟踪有效"))),"记录类型无效")))</f>
        <v/>
      </c>
    </row>
    <row r="279" ht="17" spans="1:29">
      <c r="A279" s="2"/>
      <c r="B279" s="2"/>
      <c r="C279" s="8" t="str">
        <f>IF(B279="","",IFERROR(LOOKUP(2,1/(单次交易!$A$2:$A$201=B279),单次交易!$B$2:$B$201),""))</f>
        <v/>
      </c>
      <c r="D279" s="12"/>
      <c r="E279" s="10"/>
      <c r="F279" s="10"/>
      <c r="G279" s="2"/>
      <c r="H279" s="15"/>
      <c r="I279" s="10"/>
      <c r="J279" s="12"/>
      <c r="K279" s="2"/>
      <c r="L279" s="2"/>
      <c r="M279" s="2"/>
      <c r="N279" s="5" t="str">
        <f>IF(B279="","",IFERROR(LOOKUP(2,1/(单次交易!$A$2:$A$201=B279),单次交易!$N$2:$N$201),""))</f>
        <v/>
      </c>
      <c r="O279" s="5" t="str">
        <f t="shared" si="36"/>
        <v/>
      </c>
      <c r="P279" s="11" t="str">
        <f t="shared" si="37"/>
        <v/>
      </c>
      <c r="Q279" s="5" t="str">
        <f t="shared" si="38"/>
        <v/>
      </c>
      <c r="R279" s="10"/>
      <c r="S279" s="5" t="str">
        <f t="shared" si="39"/>
        <v/>
      </c>
      <c r="T279" s="5" t="str">
        <f t="shared" si="40"/>
        <v/>
      </c>
      <c r="U279" s="5" t="str">
        <f t="shared" si="41"/>
        <v/>
      </c>
      <c r="V279" s="7" t="str">
        <f t="shared" si="42"/>
        <v/>
      </c>
      <c r="W279" s="8" t="str">
        <f t="shared" si="43"/>
        <v/>
      </c>
      <c r="X279" s="2"/>
      <c r="Y279" s="10"/>
      <c r="Z279" s="11" t="str">
        <f>IF(X279&lt;&gt;"执行卖出","",IFERROR(LOOKUP(2,1/(单次交易!$A$2:$A$201=B279),单次交易!$AP$2:$AP$201),""))</f>
        <v/>
      </c>
      <c r="AA279" s="10"/>
      <c r="AB279" s="8" t="str">
        <f t="shared" si="44"/>
        <v/>
      </c>
      <c r="AC279" s="8" t="str">
        <f>IF(A279="","",IF(A279="止损计划",IF(OR(B279="",D279="",E279="",F279="",G279=""),"计划不完整",IF(OR(D279&lt;1,D279&lt;&gt;INT(D279)),"阶段序号无效",IF(COUNTIFS($A$2:$A$497,"止损计划",$B$2:$B$497,B279,$D$2:$D$497,D279)&gt;1,"阶段序号重复",IF(E279&lt;=IFERROR(LOOKUP(2,1/(单次交易!$A$2:$A$201=B279),单次交易!$E$2:$E$201),0),"激活价须高于买入价",IF(F279&lt;N279,"止损价不得低于初始止损",IF(F279&gt;E279,"止损价不得高于激活价",IF(AND(COUNTIFS($A$2:$A$497,"止损计划",$B$2:$B$497,B279,$D$2:$D$497,"&lt;"&amp;D279)&gt;0,OR(E279&lt;=SUMPRODUCT(MAX((($A$2:$A$497="止损计划")*($B$2:$B$497=B279)*($D$2:$D$497&lt;D279))*$E$2:$E$497)),F279&lt;SUMPRODUCT(MAX((($A$2:$A$497="止损计划")*($B$2:$B$497=B279)*($D$2:$D$497&lt;D279))*$F$2:$F$497)))),"阶段价格必须逐级提高","计划有效"))))))),IF(A279="每日跟踪",IF(OR(B279="",H279="",I279="",J279=""),"每日数据不完整",IF(COUNTIFS($A$2:$A$497,"每日跟踪",$B$2:$B$497,B279,$H$2:$H$497,H279)&gt;1,"同一交易日期重复",IF(AND(R279&lt;&gt;"",R279&lt;S279),"人工止损无效：不能下调","跟踪有效"))),"记录类型无效")))</f>
        <v/>
      </c>
    </row>
    <row r="280" ht="17" spans="1:29">
      <c r="A280" s="2"/>
      <c r="B280" s="2"/>
      <c r="C280" s="8" t="str">
        <f>IF(B280="","",IFERROR(LOOKUP(2,1/(单次交易!$A$2:$A$201=B280),单次交易!$B$2:$B$201),""))</f>
        <v/>
      </c>
      <c r="D280" s="12"/>
      <c r="E280" s="10"/>
      <c r="F280" s="10"/>
      <c r="G280" s="2"/>
      <c r="H280" s="15"/>
      <c r="I280" s="10"/>
      <c r="J280" s="12"/>
      <c r="K280" s="2"/>
      <c r="L280" s="2"/>
      <c r="M280" s="2"/>
      <c r="N280" s="5" t="str">
        <f>IF(B280="","",IFERROR(LOOKUP(2,1/(单次交易!$A$2:$A$201=B280),单次交易!$N$2:$N$201),""))</f>
        <v/>
      </c>
      <c r="O280" s="5" t="str">
        <f t="shared" si="36"/>
        <v/>
      </c>
      <c r="P280" s="11" t="str">
        <f t="shared" si="37"/>
        <v/>
      </c>
      <c r="Q280" s="5" t="str">
        <f t="shared" si="38"/>
        <v/>
      </c>
      <c r="R280" s="10"/>
      <c r="S280" s="5" t="str">
        <f t="shared" si="39"/>
        <v/>
      </c>
      <c r="T280" s="5" t="str">
        <f t="shared" si="40"/>
        <v/>
      </c>
      <c r="U280" s="5" t="str">
        <f t="shared" si="41"/>
        <v/>
      </c>
      <c r="V280" s="7" t="str">
        <f t="shared" si="42"/>
        <v/>
      </c>
      <c r="W280" s="8" t="str">
        <f t="shared" si="43"/>
        <v/>
      </c>
      <c r="X280" s="2"/>
      <c r="Y280" s="10"/>
      <c r="Z280" s="11" t="str">
        <f>IF(X280&lt;&gt;"执行卖出","",IFERROR(LOOKUP(2,1/(单次交易!$A$2:$A$201=B280),单次交易!$AP$2:$AP$201),""))</f>
        <v/>
      </c>
      <c r="AA280" s="10"/>
      <c r="AB280" s="8" t="str">
        <f t="shared" si="44"/>
        <v/>
      </c>
      <c r="AC280" s="8" t="str">
        <f>IF(A280="","",IF(A280="止损计划",IF(OR(B280="",D280="",E280="",F280="",G280=""),"计划不完整",IF(OR(D280&lt;1,D280&lt;&gt;INT(D280)),"阶段序号无效",IF(COUNTIFS($A$2:$A$497,"止损计划",$B$2:$B$497,B280,$D$2:$D$497,D280)&gt;1,"阶段序号重复",IF(E280&lt;=IFERROR(LOOKUP(2,1/(单次交易!$A$2:$A$201=B280),单次交易!$E$2:$E$201),0),"激活价须高于买入价",IF(F280&lt;N280,"止损价不得低于初始止损",IF(F280&gt;E280,"止损价不得高于激活价",IF(AND(COUNTIFS($A$2:$A$497,"止损计划",$B$2:$B$497,B280,$D$2:$D$497,"&lt;"&amp;D280)&gt;0,OR(E280&lt;=SUMPRODUCT(MAX((($A$2:$A$497="止损计划")*($B$2:$B$497=B280)*($D$2:$D$497&lt;D280))*$E$2:$E$497)),F280&lt;SUMPRODUCT(MAX((($A$2:$A$497="止损计划")*($B$2:$B$497=B280)*($D$2:$D$497&lt;D280))*$F$2:$F$497)))),"阶段价格必须逐级提高","计划有效"))))))),IF(A280="每日跟踪",IF(OR(B280="",H280="",I280="",J280=""),"每日数据不完整",IF(COUNTIFS($A$2:$A$497,"每日跟踪",$B$2:$B$497,B280,$H$2:$H$497,H280)&gt;1,"同一交易日期重复",IF(AND(R280&lt;&gt;"",R280&lt;S280),"人工止损无效：不能下调","跟踪有效"))),"记录类型无效")))</f>
        <v/>
      </c>
    </row>
    <row r="281" ht="17" spans="1:29">
      <c r="A281" s="2"/>
      <c r="B281" s="2"/>
      <c r="C281" s="8" t="str">
        <f>IF(B281="","",IFERROR(LOOKUP(2,1/(单次交易!$A$2:$A$201=B281),单次交易!$B$2:$B$201),""))</f>
        <v/>
      </c>
      <c r="D281" s="12"/>
      <c r="E281" s="10"/>
      <c r="F281" s="10"/>
      <c r="G281" s="2"/>
      <c r="H281" s="15"/>
      <c r="I281" s="10"/>
      <c r="J281" s="12"/>
      <c r="K281" s="2"/>
      <c r="L281" s="2"/>
      <c r="M281" s="2"/>
      <c r="N281" s="5" t="str">
        <f>IF(B281="","",IFERROR(LOOKUP(2,1/(单次交易!$A$2:$A$201=B281),单次交易!$N$2:$N$201),""))</f>
        <v/>
      </c>
      <c r="O281" s="5" t="str">
        <f t="shared" si="36"/>
        <v/>
      </c>
      <c r="P281" s="11" t="str">
        <f t="shared" si="37"/>
        <v/>
      </c>
      <c r="Q281" s="5" t="str">
        <f t="shared" si="38"/>
        <v/>
      </c>
      <c r="R281" s="10"/>
      <c r="S281" s="5" t="str">
        <f t="shared" si="39"/>
        <v/>
      </c>
      <c r="T281" s="5" t="str">
        <f t="shared" si="40"/>
        <v/>
      </c>
      <c r="U281" s="5" t="str">
        <f t="shared" si="41"/>
        <v/>
      </c>
      <c r="V281" s="7" t="str">
        <f t="shared" si="42"/>
        <v/>
      </c>
      <c r="W281" s="8" t="str">
        <f t="shared" si="43"/>
        <v/>
      </c>
      <c r="X281" s="2"/>
      <c r="Y281" s="10"/>
      <c r="Z281" s="11" t="str">
        <f>IF(X281&lt;&gt;"执行卖出","",IFERROR(LOOKUP(2,1/(单次交易!$A$2:$A$201=B281),单次交易!$AP$2:$AP$201),""))</f>
        <v/>
      </c>
      <c r="AA281" s="10"/>
      <c r="AB281" s="8" t="str">
        <f t="shared" si="44"/>
        <v/>
      </c>
      <c r="AC281" s="8" t="str">
        <f>IF(A281="","",IF(A281="止损计划",IF(OR(B281="",D281="",E281="",F281="",G281=""),"计划不完整",IF(OR(D281&lt;1,D281&lt;&gt;INT(D281)),"阶段序号无效",IF(COUNTIFS($A$2:$A$497,"止损计划",$B$2:$B$497,B281,$D$2:$D$497,D281)&gt;1,"阶段序号重复",IF(E281&lt;=IFERROR(LOOKUP(2,1/(单次交易!$A$2:$A$201=B281),单次交易!$E$2:$E$201),0),"激活价须高于买入价",IF(F281&lt;N281,"止损价不得低于初始止损",IF(F281&gt;E281,"止损价不得高于激活价",IF(AND(COUNTIFS($A$2:$A$497,"止损计划",$B$2:$B$497,B281,$D$2:$D$497,"&lt;"&amp;D281)&gt;0,OR(E281&lt;=SUMPRODUCT(MAX((($A$2:$A$497="止损计划")*($B$2:$B$497=B281)*($D$2:$D$497&lt;D281))*$E$2:$E$497)),F281&lt;SUMPRODUCT(MAX((($A$2:$A$497="止损计划")*($B$2:$B$497=B281)*($D$2:$D$497&lt;D281))*$F$2:$F$497)))),"阶段价格必须逐级提高","计划有效"))))))),IF(A281="每日跟踪",IF(OR(B281="",H281="",I281="",J281=""),"每日数据不完整",IF(COUNTIFS($A$2:$A$497,"每日跟踪",$B$2:$B$497,B281,$H$2:$H$497,H281)&gt;1,"同一交易日期重复",IF(AND(R281&lt;&gt;"",R281&lt;S281),"人工止损无效：不能下调","跟踪有效"))),"记录类型无效")))</f>
        <v/>
      </c>
    </row>
    <row r="282" ht="17" spans="1:29">
      <c r="A282" s="2"/>
      <c r="B282" s="2"/>
      <c r="C282" s="8" t="str">
        <f>IF(B282="","",IFERROR(LOOKUP(2,1/(单次交易!$A$2:$A$201=B282),单次交易!$B$2:$B$201),""))</f>
        <v/>
      </c>
      <c r="D282" s="12"/>
      <c r="E282" s="10"/>
      <c r="F282" s="10"/>
      <c r="G282" s="2"/>
      <c r="H282" s="15"/>
      <c r="I282" s="10"/>
      <c r="J282" s="12"/>
      <c r="K282" s="2"/>
      <c r="L282" s="2"/>
      <c r="M282" s="2"/>
      <c r="N282" s="5" t="str">
        <f>IF(B282="","",IFERROR(LOOKUP(2,1/(单次交易!$A$2:$A$201=B282),单次交易!$N$2:$N$201),""))</f>
        <v/>
      </c>
      <c r="O282" s="5" t="str">
        <f t="shared" si="36"/>
        <v/>
      </c>
      <c r="P282" s="11" t="str">
        <f t="shared" si="37"/>
        <v/>
      </c>
      <c r="Q282" s="5" t="str">
        <f t="shared" si="38"/>
        <v/>
      </c>
      <c r="R282" s="10"/>
      <c r="S282" s="5" t="str">
        <f t="shared" si="39"/>
        <v/>
      </c>
      <c r="T282" s="5" t="str">
        <f t="shared" si="40"/>
        <v/>
      </c>
      <c r="U282" s="5" t="str">
        <f t="shared" si="41"/>
        <v/>
      </c>
      <c r="V282" s="7" t="str">
        <f t="shared" si="42"/>
        <v/>
      </c>
      <c r="W282" s="8" t="str">
        <f t="shared" si="43"/>
        <v/>
      </c>
      <c r="X282" s="2"/>
      <c r="Y282" s="10"/>
      <c r="Z282" s="11" t="str">
        <f>IF(X282&lt;&gt;"执行卖出","",IFERROR(LOOKUP(2,1/(单次交易!$A$2:$A$201=B282),单次交易!$AP$2:$AP$201),""))</f>
        <v/>
      </c>
      <c r="AA282" s="10"/>
      <c r="AB282" s="8" t="str">
        <f t="shared" si="44"/>
        <v/>
      </c>
      <c r="AC282" s="8" t="str">
        <f>IF(A282="","",IF(A282="止损计划",IF(OR(B282="",D282="",E282="",F282="",G282=""),"计划不完整",IF(OR(D282&lt;1,D282&lt;&gt;INT(D282)),"阶段序号无效",IF(COUNTIFS($A$2:$A$497,"止损计划",$B$2:$B$497,B282,$D$2:$D$497,D282)&gt;1,"阶段序号重复",IF(E282&lt;=IFERROR(LOOKUP(2,1/(单次交易!$A$2:$A$201=B282),单次交易!$E$2:$E$201),0),"激活价须高于买入价",IF(F282&lt;N282,"止损价不得低于初始止损",IF(F282&gt;E282,"止损价不得高于激活价",IF(AND(COUNTIFS($A$2:$A$497,"止损计划",$B$2:$B$497,B282,$D$2:$D$497,"&lt;"&amp;D282)&gt;0,OR(E282&lt;=SUMPRODUCT(MAX((($A$2:$A$497="止损计划")*($B$2:$B$497=B282)*($D$2:$D$497&lt;D282))*$E$2:$E$497)),F282&lt;SUMPRODUCT(MAX((($A$2:$A$497="止损计划")*($B$2:$B$497=B282)*($D$2:$D$497&lt;D282))*$F$2:$F$497)))),"阶段价格必须逐级提高","计划有效"))))))),IF(A282="每日跟踪",IF(OR(B282="",H282="",I282="",J282=""),"每日数据不完整",IF(COUNTIFS($A$2:$A$497,"每日跟踪",$B$2:$B$497,B282,$H$2:$H$497,H282)&gt;1,"同一交易日期重复",IF(AND(R282&lt;&gt;"",R282&lt;S282),"人工止损无效：不能下调","跟踪有效"))),"记录类型无效")))</f>
        <v/>
      </c>
    </row>
    <row r="283" ht="17" spans="1:29">
      <c r="A283" s="2"/>
      <c r="B283" s="2"/>
      <c r="C283" s="8" t="str">
        <f>IF(B283="","",IFERROR(LOOKUP(2,1/(单次交易!$A$2:$A$201=B283),单次交易!$B$2:$B$201),""))</f>
        <v/>
      </c>
      <c r="D283" s="12"/>
      <c r="E283" s="10"/>
      <c r="F283" s="10"/>
      <c r="G283" s="2"/>
      <c r="H283" s="15"/>
      <c r="I283" s="10"/>
      <c r="J283" s="12"/>
      <c r="K283" s="2"/>
      <c r="L283" s="2"/>
      <c r="M283" s="2"/>
      <c r="N283" s="5" t="str">
        <f>IF(B283="","",IFERROR(LOOKUP(2,1/(单次交易!$A$2:$A$201=B283),单次交易!$N$2:$N$201),""))</f>
        <v/>
      </c>
      <c r="O283" s="5" t="str">
        <f t="shared" si="36"/>
        <v/>
      </c>
      <c r="P283" s="11" t="str">
        <f t="shared" si="37"/>
        <v/>
      </c>
      <c r="Q283" s="5" t="str">
        <f t="shared" si="38"/>
        <v/>
      </c>
      <c r="R283" s="10"/>
      <c r="S283" s="5" t="str">
        <f t="shared" si="39"/>
        <v/>
      </c>
      <c r="T283" s="5" t="str">
        <f t="shared" si="40"/>
        <v/>
      </c>
      <c r="U283" s="5" t="str">
        <f t="shared" si="41"/>
        <v/>
      </c>
      <c r="V283" s="7" t="str">
        <f t="shared" si="42"/>
        <v/>
      </c>
      <c r="W283" s="8" t="str">
        <f t="shared" si="43"/>
        <v/>
      </c>
      <c r="X283" s="2"/>
      <c r="Y283" s="10"/>
      <c r="Z283" s="11" t="str">
        <f>IF(X283&lt;&gt;"执行卖出","",IFERROR(LOOKUP(2,1/(单次交易!$A$2:$A$201=B283),单次交易!$AP$2:$AP$201),""))</f>
        <v/>
      </c>
      <c r="AA283" s="10"/>
      <c r="AB283" s="8" t="str">
        <f t="shared" si="44"/>
        <v/>
      </c>
      <c r="AC283" s="8" t="str">
        <f>IF(A283="","",IF(A283="止损计划",IF(OR(B283="",D283="",E283="",F283="",G283=""),"计划不完整",IF(OR(D283&lt;1,D283&lt;&gt;INT(D283)),"阶段序号无效",IF(COUNTIFS($A$2:$A$497,"止损计划",$B$2:$B$497,B283,$D$2:$D$497,D283)&gt;1,"阶段序号重复",IF(E283&lt;=IFERROR(LOOKUP(2,1/(单次交易!$A$2:$A$201=B283),单次交易!$E$2:$E$201),0),"激活价须高于买入价",IF(F283&lt;N283,"止损价不得低于初始止损",IF(F283&gt;E283,"止损价不得高于激活价",IF(AND(COUNTIFS($A$2:$A$497,"止损计划",$B$2:$B$497,B283,$D$2:$D$497,"&lt;"&amp;D283)&gt;0,OR(E283&lt;=SUMPRODUCT(MAX((($A$2:$A$497="止损计划")*($B$2:$B$497=B283)*($D$2:$D$497&lt;D283))*$E$2:$E$497)),F283&lt;SUMPRODUCT(MAX((($A$2:$A$497="止损计划")*($B$2:$B$497=B283)*($D$2:$D$497&lt;D283))*$F$2:$F$497)))),"阶段价格必须逐级提高","计划有效"))))))),IF(A283="每日跟踪",IF(OR(B283="",H283="",I283="",J283=""),"每日数据不完整",IF(COUNTIFS($A$2:$A$497,"每日跟踪",$B$2:$B$497,B283,$H$2:$H$497,H283)&gt;1,"同一交易日期重复",IF(AND(R283&lt;&gt;"",R283&lt;S283),"人工止损无效：不能下调","跟踪有效"))),"记录类型无效")))</f>
        <v/>
      </c>
    </row>
    <row r="284" ht="17" spans="1:29">
      <c r="A284" s="2"/>
      <c r="B284" s="2"/>
      <c r="C284" s="8" t="str">
        <f>IF(B284="","",IFERROR(LOOKUP(2,1/(单次交易!$A$2:$A$201=B284),单次交易!$B$2:$B$201),""))</f>
        <v/>
      </c>
      <c r="D284" s="12"/>
      <c r="E284" s="10"/>
      <c r="F284" s="10"/>
      <c r="G284" s="2"/>
      <c r="H284" s="15"/>
      <c r="I284" s="10"/>
      <c r="J284" s="12"/>
      <c r="K284" s="2"/>
      <c r="L284" s="2"/>
      <c r="M284" s="2"/>
      <c r="N284" s="5" t="str">
        <f>IF(B284="","",IFERROR(LOOKUP(2,1/(单次交易!$A$2:$A$201=B284),单次交易!$N$2:$N$201),""))</f>
        <v/>
      </c>
      <c r="O284" s="5" t="str">
        <f t="shared" si="36"/>
        <v/>
      </c>
      <c r="P284" s="11" t="str">
        <f t="shared" si="37"/>
        <v/>
      </c>
      <c r="Q284" s="5" t="str">
        <f t="shared" si="38"/>
        <v/>
      </c>
      <c r="R284" s="10"/>
      <c r="S284" s="5" t="str">
        <f t="shared" si="39"/>
        <v/>
      </c>
      <c r="T284" s="5" t="str">
        <f t="shared" si="40"/>
        <v/>
      </c>
      <c r="U284" s="5" t="str">
        <f t="shared" si="41"/>
        <v/>
      </c>
      <c r="V284" s="7" t="str">
        <f t="shared" si="42"/>
        <v/>
      </c>
      <c r="W284" s="8" t="str">
        <f t="shared" si="43"/>
        <v/>
      </c>
      <c r="X284" s="2"/>
      <c r="Y284" s="10"/>
      <c r="Z284" s="11" t="str">
        <f>IF(X284&lt;&gt;"执行卖出","",IFERROR(LOOKUP(2,1/(单次交易!$A$2:$A$201=B284),单次交易!$AP$2:$AP$201),""))</f>
        <v/>
      </c>
      <c r="AA284" s="10"/>
      <c r="AB284" s="8" t="str">
        <f t="shared" si="44"/>
        <v/>
      </c>
      <c r="AC284" s="8" t="str">
        <f>IF(A284="","",IF(A284="止损计划",IF(OR(B284="",D284="",E284="",F284="",G284=""),"计划不完整",IF(OR(D284&lt;1,D284&lt;&gt;INT(D284)),"阶段序号无效",IF(COUNTIFS($A$2:$A$497,"止损计划",$B$2:$B$497,B284,$D$2:$D$497,D284)&gt;1,"阶段序号重复",IF(E284&lt;=IFERROR(LOOKUP(2,1/(单次交易!$A$2:$A$201=B284),单次交易!$E$2:$E$201),0),"激活价须高于买入价",IF(F284&lt;N284,"止损价不得低于初始止损",IF(F284&gt;E284,"止损价不得高于激活价",IF(AND(COUNTIFS($A$2:$A$497,"止损计划",$B$2:$B$497,B284,$D$2:$D$497,"&lt;"&amp;D284)&gt;0,OR(E284&lt;=SUMPRODUCT(MAX((($A$2:$A$497="止损计划")*($B$2:$B$497=B284)*($D$2:$D$497&lt;D284))*$E$2:$E$497)),F284&lt;SUMPRODUCT(MAX((($A$2:$A$497="止损计划")*($B$2:$B$497=B284)*($D$2:$D$497&lt;D284))*$F$2:$F$497)))),"阶段价格必须逐级提高","计划有效"))))))),IF(A284="每日跟踪",IF(OR(B284="",H284="",I284="",J284=""),"每日数据不完整",IF(COUNTIFS($A$2:$A$497,"每日跟踪",$B$2:$B$497,B284,$H$2:$H$497,H284)&gt;1,"同一交易日期重复",IF(AND(R284&lt;&gt;"",R284&lt;S284),"人工止损无效：不能下调","跟踪有效"))),"记录类型无效")))</f>
        <v/>
      </c>
    </row>
    <row r="285" ht="17" spans="1:29">
      <c r="A285" s="2"/>
      <c r="B285" s="2"/>
      <c r="C285" s="8" t="str">
        <f>IF(B285="","",IFERROR(LOOKUP(2,1/(单次交易!$A$2:$A$201=B285),单次交易!$B$2:$B$201),""))</f>
        <v/>
      </c>
      <c r="D285" s="12"/>
      <c r="E285" s="10"/>
      <c r="F285" s="10"/>
      <c r="G285" s="2"/>
      <c r="H285" s="15"/>
      <c r="I285" s="10"/>
      <c r="J285" s="12"/>
      <c r="K285" s="2"/>
      <c r="L285" s="2"/>
      <c r="M285" s="2"/>
      <c r="N285" s="5" t="str">
        <f>IF(B285="","",IFERROR(LOOKUP(2,1/(单次交易!$A$2:$A$201=B285),单次交易!$N$2:$N$201),""))</f>
        <v/>
      </c>
      <c r="O285" s="5" t="str">
        <f t="shared" si="36"/>
        <v/>
      </c>
      <c r="P285" s="11" t="str">
        <f t="shared" si="37"/>
        <v/>
      </c>
      <c r="Q285" s="5" t="str">
        <f t="shared" si="38"/>
        <v/>
      </c>
      <c r="R285" s="10"/>
      <c r="S285" s="5" t="str">
        <f t="shared" si="39"/>
        <v/>
      </c>
      <c r="T285" s="5" t="str">
        <f t="shared" si="40"/>
        <v/>
      </c>
      <c r="U285" s="5" t="str">
        <f t="shared" si="41"/>
        <v/>
      </c>
      <c r="V285" s="7" t="str">
        <f t="shared" si="42"/>
        <v/>
      </c>
      <c r="W285" s="8" t="str">
        <f t="shared" si="43"/>
        <v/>
      </c>
      <c r="X285" s="2"/>
      <c r="Y285" s="10"/>
      <c r="Z285" s="11" t="str">
        <f>IF(X285&lt;&gt;"执行卖出","",IFERROR(LOOKUP(2,1/(单次交易!$A$2:$A$201=B285),单次交易!$AP$2:$AP$201),""))</f>
        <v/>
      </c>
      <c r="AA285" s="10"/>
      <c r="AB285" s="8" t="str">
        <f t="shared" si="44"/>
        <v/>
      </c>
      <c r="AC285" s="8" t="str">
        <f>IF(A285="","",IF(A285="止损计划",IF(OR(B285="",D285="",E285="",F285="",G285=""),"计划不完整",IF(OR(D285&lt;1,D285&lt;&gt;INT(D285)),"阶段序号无效",IF(COUNTIFS($A$2:$A$497,"止损计划",$B$2:$B$497,B285,$D$2:$D$497,D285)&gt;1,"阶段序号重复",IF(E285&lt;=IFERROR(LOOKUP(2,1/(单次交易!$A$2:$A$201=B285),单次交易!$E$2:$E$201),0),"激活价须高于买入价",IF(F285&lt;N285,"止损价不得低于初始止损",IF(F285&gt;E285,"止损价不得高于激活价",IF(AND(COUNTIFS($A$2:$A$497,"止损计划",$B$2:$B$497,B285,$D$2:$D$497,"&lt;"&amp;D285)&gt;0,OR(E285&lt;=SUMPRODUCT(MAX((($A$2:$A$497="止损计划")*($B$2:$B$497=B285)*($D$2:$D$497&lt;D285))*$E$2:$E$497)),F285&lt;SUMPRODUCT(MAX((($A$2:$A$497="止损计划")*($B$2:$B$497=B285)*($D$2:$D$497&lt;D285))*$F$2:$F$497)))),"阶段价格必须逐级提高","计划有效"))))))),IF(A285="每日跟踪",IF(OR(B285="",H285="",I285="",J285=""),"每日数据不完整",IF(COUNTIFS($A$2:$A$497,"每日跟踪",$B$2:$B$497,B285,$H$2:$H$497,H285)&gt;1,"同一交易日期重复",IF(AND(R285&lt;&gt;"",R285&lt;S285),"人工止损无效：不能下调","跟踪有效"))),"记录类型无效")))</f>
        <v/>
      </c>
    </row>
    <row r="286" ht="17" spans="1:29">
      <c r="A286" s="2"/>
      <c r="B286" s="2"/>
      <c r="C286" s="8" t="str">
        <f>IF(B286="","",IFERROR(LOOKUP(2,1/(单次交易!$A$2:$A$201=B286),单次交易!$B$2:$B$201),""))</f>
        <v/>
      </c>
      <c r="D286" s="12"/>
      <c r="E286" s="10"/>
      <c r="F286" s="10"/>
      <c r="G286" s="2"/>
      <c r="H286" s="15"/>
      <c r="I286" s="10"/>
      <c r="J286" s="12"/>
      <c r="K286" s="2"/>
      <c r="L286" s="2"/>
      <c r="M286" s="2"/>
      <c r="N286" s="5" t="str">
        <f>IF(B286="","",IFERROR(LOOKUP(2,1/(单次交易!$A$2:$A$201=B286),单次交易!$N$2:$N$201),""))</f>
        <v/>
      </c>
      <c r="O286" s="5" t="str">
        <f t="shared" si="36"/>
        <v/>
      </c>
      <c r="P286" s="11" t="str">
        <f t="shared" si="37"/>
        <v/>
      </c>
      <c r="Q286" s="5" t="str">
        <f t="shared" si="38"/>
        <v/>
      </c>
      <c r="R286" s="10"/>
      <c r="S286" s="5" t="str">
        <f t="shared" si="39"/>
        <v/>
      </c>
      <c r="T286" s="5" t="str">
        <f t="shared" si="40"/>
        <v/>
      </c>
      <c r="U286" s="5" t="str">
        <f t="shared" si="41"/>
        <v/>
      </c>
      <c r="V286" s="7" t="str">
        <f t="shared" si="42"/>
        <v/>
      </c>
      <c r="W286" s="8" t="str">
        <f t="shared" si="43"/>
        <v/>
      </c>
      <c r="X286" s="2"/>
      <c r="Y286" s="10"/>
      <c r="Z286" s="11" t="str">
        <f>IF(X286&lt;&gt;"执行卖出","",IFERROR(LOOKUP(2,1/(单次交易!$A$2:$A$201=B286),单次交易!$AP$2:$AP$201),""))</f>
        <v/>
      </c>
      <c r="AA286" s="10"/>
      <c r="AB286" s="8" t="str">
        <f t="shared" si="44"/>
        <v/>
      </c>
      <c r="AC286" s="8" t="str">
        <f>IF(A286="","",IF(A286="止损计划",IF(OR(B286="",D286="",E286="",F286="",G286=""),"计划不完整",IF(OR(D286&lt;1,D286&lt;&gt;INT(D286)),"阶段序号无效",IF(COUNTIFS($A$2:$A$497,"止损计划",$B$2:$B$497,B286,$D$2:$D$497,D286)&gt;1,"阶段序号重复",IF(E286&lt;=IFERROR(LOOKUP(2,1/(单次交易!$A$2:$A$201=B286),单次交易!$E$2:$E$201),0),"激活价须高于买入价",IF(F286&lt;N286,"止损价不得低于初始止损",IF(F286&gt;E286,"止损价不得高于激活价",IF(AND(COUNTIFS($A$2:$A$497,"止损计划",$B$2:$B$497,B286,$D$2:$D$497,"&lt;"&amp;D286)&gt;0,OR(E286&lt;=SUMPRODUCT(MAX((($A$2:$A$497="止损计划")*($B$2:$B$497=B286)*($D$2:$D$497&lt;D286))*$E$2:$E$497)),F286&lt;SUMPRODUCT(MAX((($A$2:$A$497="止损计划")*($B$2:$B$497=B286)*($D$2:$D$497&lt;D286))*$F$2:$F$497)))),"阶段价格必须逐级提高","计划有效"))))))),IF(A286="每日跟踪",IF(OR(B286="",H286="",I286="",J286=""),"每日数据不完整",IF(COUNTIFS($A$2:$A$497,"每日跟踪",$B$2:$B$497,B286,$H$2:$H$497,H286)&gt;1,"同一交易日期重复",IF(AND(R286&lt;&gt;"",R286&lt;S286),"人工止损无效：不能下调","跟踪有效"))),"记录类型无效")))</f>
        <v/>
      </c>
    </row>
    <row r="287" ht="17" spans="1:29">
      <c r="A287" s="2"/>
      <c r="B287" s="2"/>
      <c r="C287" s="8" t="str">
        <f>IF(B287="","",IFERROR(LOOKUP(2,1/(单次交易!$A$2:$A$201=B287),单次交易!$B$2:$B$201),""))</f>
        <v/>
      </c>
      <c r="D287" s="12"/>
      <c r="E287" s="10"/>
      <c r="F287" s="10"/>
      <c r="G287" s="2"/>
      <c r="H287" s="15"/>
      <c r="I287" s="10"/>
      <c r="J287" s="12"/>
      <c r="K287" s="2"/>
      <c r="L287" s="2"/>
      <c r="M287" s="2"/>
      <c r="N287" s="5" t="str">
        <f>IF(B287="","",IFERROR(LOOKUP(2,1/(单次交易!$A$2:$A$201=B287),单次交易!$N$2:$N$201),""))</f>
        <v/>
      </c>
      <c r="O287" s="5" t="str">
        <f t="shared" si="36"/>
        <v/>
      </c>
      <c r="P287" s="11" t="str">
        <f t="shared" si="37"/>
        <v/>
      </c>
      <c r="Q287" s="5" t="str">
        <f t="shared" si="38"/>
        <v/>
      </c>
      <c r="R287" s="10"/>
      <c r="S287" s="5" t="str">
        <f t="shared" si="39"/>
        <v/>
      </c>
      <c r="T287" s="5" t="str">
        <f t="shared" si="40"/>
        <v/>
      </c>
      <c r="U287" s="5" t="str">
        <f t="shared" si="41"/>
        <v/>
      </c>
      <c r="V287" s="7" t="str">
        <f t="shared" si="42"/>
        <v/>
      </c>
      <c r="W287" s="8" t="str">
        <f t="shared" si="43"/>
        <v/>
      </c>
      <c r="X287" s="2"/>
      <c r="Y287" s="10"/>
      <c r="Z287" s="11" t="str">
        <f>IF(X287&lt;&gt;"执行卖出","",IFERROR(LOOKUP(2,1/(单次交易!$A$2:$A$201=B287),单次交易!$AP$2:$AP$201),""))</f>
        <v/>
      </c>
      <c r="AA287" s="10"/>
      <c r="AB287" s="8" t="str">
        <f t="shared" si="44"/>
        <v/>
      </c>
      <c r="AC287" s="8" t="str">
        <f>IF(A287="","",IF(A287="止损计划",IF(OR(B287="",D287="",E287="",F287="",G287=""),"计划不完整",IF(OR(D287&lt;1,D287&lt;&gt;INT(D287)),"阶段序号无效",IF(COUNTIFS($A$2:$A$497,"止损计划",$B$2:$B$497,B287,$D$2:$D$497,D287)&gt;1,"阶段序号重复",IF(E287&lt;=IFERROR(LOOKUP(2,1/(单次交易!$A$2:$A$201=B287),单次交易!$E$2:$E$201),0),"激活价须高于买入价",IF(F287&lt;N287,"止损价不得低于初始止损",IF(F287&gt;E287,"止损价不得高于激活价",IF(AND(COUNTIFS($A$2:$A$497,"止损计划",$B$2:$B$497,B287,$D$2:$D$497,"&lt;"&amp;D287)&gt;0,OR(E287&lt;=SUMPRODUCT(MAX((($A$2:$A$497="止损计划")*($B$2:$B$497=B287)*($D$2:$D$497&lt;D287))*$E$2:$E$497)),F287&lt;SUMPRODUCT(MAX((($A$2:$A$497="止损计划")*($B$2:$B$497=B287)*($D$2:$D$497&lt;D287))*$F$2:$F$497)))),"阶段价格必须逐级提高","计划有效"))))))),IF(A287="每日跟踪",IF(OR(B287="",H287="",I287="",J287=""),"每日数据不完整",IF(COUNTIFS($A$2:$A$497,"每日跟踪",$B$2:$B$497,B287,$H$2:$H$497,H287)&gt;1,"同一交易日期重复",IF(AND(R287&lt;&gt;"",R287&lt;S287),"人工止损无效：不能下调","跟踪有效"))),"记录类型无效")))</f>
        <v/>
      </c>
    </row>
    <row r="288" ht="17" spans="1:29">
      <c r="A288" s="2"/>
      <c r="B288" s="2"/>
      <c r="C288" s="8" t="str">
        <f>IF(B288="","",IFERROR(LOOKUP(2,1/(单次交易!$A$2:$A$201=B288),单次交易!$B$2:$B$201),""))</f>
        <v/>
      </c>
      <c r="D288" s="12"/>
      <c r="E288" s="10"/>
      <c r="F288" s="10"/>
      <c r="G288" s="2"/>
      <c r="H288" s="15"/>
      <c r="I288" s="10"/>
      <c r="J288" s="12"/>
      <c r="K288" s="2"/>
      <c r="L288" s="2"/>
      <c r="M288" s="2"/>
      <c r="N288" s="5" t="str">
        <f>IF(B288="","",IFERROR(LOOKUP(2,1/(单次交易!$A$2:$A$201=B288),单次交易!$N$2:$N$201),""))</f>
        <v/>
      </c>
      <c r="O288" s="5" t="str">
        <f t="shared" si="36"/>
        <v/>
      </c>
      <c r="P288" s="11" t="str">
        <f t="shared" si="37"/>
        <v/>
      </c>
      <c r="Q288" s="5" t="str">
        <f t="shared" si="38"/>
        <v/>
      </c>
      <c r="R288" s="10"/>
      <c r="S288" s="5" t="str">
        <f t="shared" si="39"/>
        <v/>
      </c>
      <c r="T288" s="5" t="str">
        <f t="shared" si="40"/>
        <v/>
      </c>
      <c r="U288" s="5" t="str">
        <f t="shared" si="41"/>
        <v/>
      </c>
      <c r="V288" s="7" t="str">
        <f t="shared" si="42"/>
        <v/>
      </c>
      <c r="W288" s="8" t="str">
        <f t="shared" si="43"/>
        <v/>
      </c>
      <c r="X288" s="2"/>
      <c r="Y288" s="10"/>
      <c r="Z288" s="11" t="str">
        <f>IF(X288&lt;&gt;"执行卖出","",IFERROR(LOOKUP(2,1/(单次交易!$A$2:$A$201=B288),单次交易!$AP$2:$AP$201),""))</f>
        <v/>
      </c>
      <c r="AA288" s="10"/>
      <c r="AB288" s="8" t="str">
        <f t="shared" si="44"/>
        <v/>
      </c>
      <c r="AC288" s="8" t="str">
        <f>IF(A288="","",IF(A288="止损计划",IF(OR(B288="",D288="",E288="",F288="",G288=""),"计划不完整",IF(OR(D288&lt;1,D288&lt;&gt;INT(D288)),"阶段序号无效",IF(COUNTIFS($A$2:$A$497,"止损计划",$B$2:$B$497,B288,$D$2:$D$497,D288)&gt;1,"阶段序号重复",IF(E288&lt;=IFERROR(LOOKUP(2,1/(单次交易!$A$2:$A$201=B288),单次交易!$E$2:$E$201),0),"激活价须高于买入价",IF(F288&lt;N288,"止损价不得低于初始止损",IF(F288&gt;E288,"止损价不得高于激活价",IF(AND(COUNTIFS($A$2:$A$497,"止损计划",$B$2:$B$497,B288,$D$2:$D$497,"&lt;"&amp;D288)&gt;0,OR(E288&lt;=SUMPRODUCT(MAX((($A$2:$A$497="止损计划")*($B$2:$B$497=B288)*($D$2:$D$497&lt;D288))*$E$2:$E$497)),F288&lt;SUMPRODUCT(MAX((($A$2:$A$497="止损计划")*($B$2:$B$497=B288)*($D$2:$D$497&lt;D288))*$F$2:$F$497)))),"阶段价格必须逐级提高","计划有效"))))))),IF(A288="每日跟踪",IF(OR(B288="",H288="",I288="",J288=""),"每日数据不完整",IF(COUNTIFS($A$2:$A$497,"每日跟踪",$B$2:$B$497,B288,$H$2:$H$497,H288)&gt;1,"同一交易日期重复",IF(AND(R288&lt;&gt;"",R288&lt;S288),"人工止损无效：不能下调","跟踪有效"))),"记录类型无效")))</f>
        <v/>
      </c>
    </row>
    <row r="289" ht="17" spans="1:29">
      <c r="A289" s="2"/>
      <c r="B289" s="2"/>
      <c r="C289" s="8" t="str">
        <f>IF(B289="","",IFERROR(LOOKUP(2,1/(单次交易!$A$2:$A$201=B289),单次交易!$B$2:$B$201),""))</f>
        <v/>
      </c>
      <c r="D289" s="12"/>
      <c r="E289" s="10"/>
      <c r="F289" s="10"/>
      <c r="G289" s="2"/>
      <c r="H289" s="15"/>
      <c r="I289" s="10"/>
      <c r="J289" s="12"/>
      <c r="K289" s="2"/>
      <c r="L289" s="2"/>
      <c r="M289" s="2"/>
      <c r="N289" s="5" t="str">
        <f>IF(B289="","",IFERROR(LOOKUP(2,1/(单次交易!$A$2:$A$201=B289),单次交易!$N$2:$N$201),""))</f>
        <v/>
      </c>
      <c r="O289" s="5" t="str">
        <f t="shared" si="36"/>
        <v/>
      </c>
      <c r="P289" s="11" t="str">
        <f t="shared" si="37"/>
        <v/>
      </c>
      <c r="Q289" s="5" t="str">
        <f t="shared" si="38"/>
        <v/>
      </c>
      <c r="R289" s="10"/>
      <c r="S289" s="5" t="str">
        <f t="shared" si="39"/>
        <v/>
      </c>
      <c r="T289" s="5" t="str">
        <f t="shared" si="40"/>
        <v/>
      </c>
      <c r="U289" s="5" t="str">
        <f t="shared" si="41"/>
        <v/>
      </c>
      <c r="V289" s="7" t="str">
        <f t="shared" si="42"/>
        <v/>
      </c>
      <c r="W289" s="8" t="str">
        <f t="shared" si="43"/>
        <v/>
      </c>
      <c r="X289" s="2"/>
      <c r="Y289" s="10"/>
      <c r="Z289" s="11" t="str">
        <f>IF(X289&lt;&gt;"执行卖出","",IFERROR(LOOKUP(2,1/(单次交易!$A$2:$A$201=B289),单次交易!$AP$2:$AP$201),""))</f>
        <v/>
      </c>
      <c r="AA289" s="10"/>
      <c r="AB289" s="8" t="str">
        <f t="shared" si="44"/>
        <v/>
      </c>
      <c r="AC289" s="8" t="str">
        <f>IF(A289="","",IF(A289="止损计划",IF(OR(B289="",D289="",E289="",F289="",G289=""),"计划不完整",IF(OR(D289&lt;1,D289&lt;&gt;INT(D289)),"阶段序号无效",IF(COUNTIFS($A$2:$A$497,"止损计划",$B$2:$B$497,B289,$D$2:$D$497,D289)&gt;1,"阶段序号重复",IF(E289&lt;=IFERROR(LOOKUP(2,1/(单次交易!$A$2:$A$201=B289),单次交易!$E$2:$E$201),0),"激活价须高于买入价",IF(F289&lt;N289,"止损价不得低于初始止损",IF(F289&gt;E289,"止损价不得高于激活价",IF(AND(COUNTIFS($A$2:$A$497,"止损计划",$B$2:$B$497,B289,$D$2:$D$497,"&lt;"&amp;D289)&gt;0,OR(E289&lt;=SUMPRODUCT(MAX((($A$2:$A$497="止损计划")*($B$2:$B$497=B289)*($D$2:$D$497&lt;D289))*$E$2:$E$497)),F289&lt;SUMPRODUCT(MAX((($A$2:$A$497="止损计划")*($B$2:$B$497=B289)*($D$2:$D$497&lt;D289))*$F$2:$F$497)))),"阶段价格必须逐级提高","计划有效"))))))),IF(A289="每日跟踪",IF(OR(B289="",H289="",I289="",J289=""),"每日数据不完整",IF(COUNTIFS($A$2:$A$497,"每日跟踪",$B$2:$B$497,B289,$H$2:$H$497,H289)&gt;1,"同一交易日期重复",IF(AND(R289&lt;&gt;"",R289&lt;S289),"人工止损无效：不能下调","跟踪有效"))),"记录类型无效")))</f>
        <v/>
      </c>
    </row>
    <row r="290" ht="17" spans="1:29">
      <c r="A290" s="2"/>
      <c r="B290" s="2"/>
      <c r="C290" s="8" t="str">
        <f>IF(B290="","",IFERROR(LOOKUP(2,1/(单次交易!$A$2:$A$201=B290),单次交易!$B$2:$B$201),""))</f>
        <v/>
      </c>
      <c r="D290" s="12"/>
      <c r="E290" s="10"/>
      <c r="F290" s="10"/>
      <c r="G290" s="2"/>
      <c r="H290" s="15"/>
      <c r="I290" s="10"/>
      <c r="J290" s="12"/>
      <c r="K290" s="2"/>
      <c r="L290" s="2"/>
      <c r="M290" s="2"/>
      <c r="N290" s="5" t="str">
        <f>IF(B290="","",IFERROR(LOOKUP(2,1/(单次交易!$A$2:$A$201=B290),单次交易!$N$2:$N$201),""))</f>
        <v/>
      </c>
      <c r="O290" s="5" t="str">
        <f t="shared" si="36"/>
        <v/>
      </c>
      <c r="P290" s="11" t="str">
        <f t="shared" si="37"/>
        <v/>
      </c>
      <c r="Q290" s="5" t="str">
        <f t="shared" si="38"/>
        <v/>
      </c>
      <c r="R290" s="10"/>
      <c r="S290" s="5" t="str">
        <f t="shared" si="39"/>
        <v/>
      </c>
      <c r="T290" s="5" t="str">
        <f t="shared" si="40"/>
        <v/>
      </c>
      <c r="U290" s="5" t="str">
        <f t="shared" si="41"/>
        <v/>
      </c>
      <c r="V290" s="7" t="str">
        <f t="shared" si="42"/>
        <v/>
      </c>
      <c r="W290" s="8" t="str">
        <f t="shared" si="43"/>
        <v/>
      </c>
      <c r="X290" s="2"/>
      <c r="Y290" s="10"/>
      <c r="Z290" s="11" t="str">
        <f>IF(X290&lt;&gt;"执行卖出","",IFERROR(LOOKUP(2,1/(单次交易!$A$2:$A$201=B290),单次交易!$AP$2:$AP$201),""))</f>
        <v/>
      </c>
      <c r="AA290" s="10"/>
      <c r="AB290" s="8" t="str">
        <f t="shared" si="44"/>
        <v/>
      </c>
      <c r="AC290" s="8" t="str">
        <f>IF(A290="","",IF(A290="止损计划",IF(OR(B290="",D290="",E290="",F290="",G290=""),"计划不完整",IF(OR(D290&lt;1,D290&lt;&gt;INT(D290)),"阶段序号无效",IF(COUNTIFS($A$2:$A$497,"止损计划",$B$2:$B$497,B290,$D$2:$D$497,D290)&gt;1,"阶段序号重复",IF(E290&lt;=IFERROR(LOOKUP(2,1/(单次交易!$A$2:$A$201=B290),单次交易!$E$2:$E$201),0),"激活价须高于买入价",IF(F290&lt;N290,"止损价不得低于初始止损",IF(F290&gt;E290,"止损价不得高于激活价",IF(AND(COUNTIFS($A$2:$A$497,"止损计划",$B$2:$B$497,B290,$D$2:$D$497,"&lt;"&amp;D290)&gt;0,OR(E290&lt;=SUMPRODUCT(MAX((($A$2:$A$497="止损计划")*($B$2:$B$497=B290)*($D$2:$D$497&lt;D290))*$E$2:$E$497)),F290&lt;SUMPRODUCT(MAX((($A$2:$A$497="止损计划")*($B$2:$B$497=B290)*($D$2:$D$497&lt;D290))*$F$2:$F$497)))),"阶段价格必须逐级提高","计划有效"))))))),IF(A290="每日跟踪",IF(OR(B290="",H290="",I290="",J290=""),"每日数据不完整",IF(COUNTIFS($A$2:$A$497,"每日跟踪",$B$2:$B$497,B290,$H$2:$H$497,H290)&gt;1,"同一交易日期重复",IF(AND(R290&lt;&gt;"",R290&lt;S290),"人工止损无效：不能下调","跟踪有效"))),"记录类型无效")))</f>
        <v/>
      </c>
    </row>
    <row r="291" ht="17" spans="1:29">
      <c r="A291" s="2"/>
      <c r="B291" s="2"/>
      <c r="C291" s="8" t="str">
        <f>IF(B291="","",IFERROR(LOOKUP(2,1/(单次交易!$A$2:$A$201=B291),单次交易!$B$2:$B$201),""))</f>
        <v/>
      </c>
      <c r="D291" s="12"/>
      <c r="E291" s="10"/>
      <c r="F291" s="10"/>
      <c r="G291" s="2"/>
      <c r="H291" s="15"/>
      <c r="I291" s="10"/>
      <c r="J291" s="12"/>
      <c r="K291" s="2"/>
      <c r="L291" s="2"/>
      <c r="M291" s="2"/>
      <c r="N291" s="5" t="str">
        <f>IF(B291="","",IFERROR(LOOKUP(2,1/(单次交易!$A$2:$A$201=B291),单次交易!$N$2:$N$201),""))</f>
        <v/>
      </c>
      <c r="O291" s="5" t="str">
        <f t="shared" si="36"/>
        <v/>
      </c>
      <c r="P291" s="11" t="str">
        <f t="shared" si="37"/>
        <v/>
      </c>
      <c r="Q291" s="5" t="str">
        <f t="shared" si="38"/>
        <v/>
      </c>
      <c r="R291" s="10"/>
      <c r="S291" s="5" t="str">
        <f t="shared" si="39"/>
        <v/>
      </c>
      <c r="T291" s="5" t="str">
        <f t="shared" si="40"/>
        <v/>
      </c>
      <c r="U291" s="5" t="str">
        <f t="shared" si="41"/>
        <v/>
      </c>
      <c r="V291" s="7" t="str">
        <f t="shared" si="42"/>
        <v/>
      </c>
      <c r="W291" s="8" t="str">
        <f t="shared" si="43"/>
        <v/>
      </c>
      <c r="X291" s="2"/>
      <c r="Y291" s="10"/>
      <c r="Z291" s="11" t="str">
        <f>IF(X291&lt;&gt;"执行卖出","",IFERROR(LOOKUP(2,1/(单次交易!$A$2:$A$201=B291),单次交易!$AP$2:$AP$201),""))</f>
        <v/>
      </c>
      <c r="AA291" s="10"/>
      <c r="AB291" s="8" t="str">
        <f t="shared" si="44"/>
        <v/>
      </c>
      <c r="AC291" s="8" t="str">
        <f>IF(A291="","",IF(A291="止损计划",IF(OR(B291="",D291="",E291="",F291="",G291=""),"计划不完整",IF(OR(D291&lt;1,D291&lt;&gt;INT(D291)),"阶段序号无效",IF(COUNTIFS($A$2:$A$497,"止损计划",$B$2:$B$497,B291,$D$2:$D$497,D291)&gt;1,"阶段序号重复",IF(E291&lt;=IFERROR(LOOKUP(2,1/(单次交易!$A$2:$A$201=B291),单次交易!$E$2:$E$201),0),"激活价须高于买入价",IF(F291&lt;N291,"止损价不得低于初始止损",IF(F291&gt;E291,"止损价不得高于激活价",IF(AND(COUNTIFS($A$2:$A$497,"止损计划",$B$2:$B$497,B291,$D$2:$D$497,"&lt;"&amp;D291)&gt;0,OR(E291&lt;=SUMPRODUCT(MAX((($A$2:$A$497="止损计划")*($B$2:$B$497=B291)*($D$2:$D$497&lt;D291))*$E$2:$E$497)),F291&lt;SUMPRODUCT(MAX((($A$2:$A$497="止损计划")*($B$2:$B$497=B291)*($D$2:$D$497&lt;D291))*$F$2:$F$497)))),"阶段价格必须逐级提高","计划有效"))))))),IF(A291="每日跟踪",IF(OR(B291="",H291="",I291="",J291=""),"每日数据不完整",IF(COUNTIFS($A$2:$A$497,"每日跟踪",$B$2:$B$497,B291,$H$2:$H$497,H291)&gt;1,"同一交易日期重复",IF(AND(R291&lt;&gt;"",R291&lt;S291),"人工止损无效：不能下调","跟踪有效"))),"记录类型无效")))</f>
        <v/>
      </c>
    </row>
    <row r="292" ht="17" spans="1:29">
      <c r="A292" s="2"/>
      <c r="B292" s="2"/>
      <c r="C292" s="8" t="str">
        <f>IF(B292="","",IFERROR(LOOKUP(2,1/(单次交易!$A$2:$A$201=B292),单次交易!$B$2:$B$201),""))</f>
        <v/>
      </c>
      <c r="D292" s="12"/>
      <c r="E292" s="10"/>
      <c r="F292" s="10"/>
      <c r="G292" s="2"/>
      <c r="H292" s="15"/>
      <c r="I292" s="10"/>
      <c r="J292" s="12"/>
      <c r="K292" s="2"/>
      <c r="L292" s="2"/>
      <c r="M292" s="2"/>
      <c r="N292" s="5" t="str">
        <f>IF(B292="","",IFERROR(LOOKUP(2,1/(单次交易!$A$2:$A$201=B292),单次交易!$N$2:$N$201),""))</f>
        <v/>
      </c>
      <c r="O292" s="5" t="str">
        <f t="shared" si="36"/>
        <v/>
      </c>
      <c r="P292" s="11" t="str">
        <f t="shared" si="37"/>
        <v/>
      </c>
      <c r="Q292" s="5" t="str">
        <f t="shared" si="38"/>
        <v/>
      </c>
      <c r="R292" s="10"/>
      <c r="S292" s="5" t="str">
        <f t="shared" si="39"/>
        <v/>
      </c>
      <c r="T292" s="5" t="str">
        <f t="shared" si="40"/>
        <v/>
      </c>
      <c r="U292" s="5" t="str">
        <f t="shared" si="41"/>
        <v/>
      </c>
      <c r="V292" s="7" t="str">
        <f t="shared" si="42"/>
        <v/>
      </c>
      <c r="W292" s="8" t="str">
        <f t="shared" si="43"/>
        <v/>
      </c>
      <c r="X292" s="2"/>
      <c r="Y292" s="10"/>
      <c r="Z292" s="11" t="str">
        <f>IF(X292&lt;&gt;"执行卖出","",IFERROR(LOOKUP(2,1/(单次交易!$A$2:$A$201=B292),单次交易!$AP$2:$AP$201),""))</f>
        <v/>
      </c>
      <c r="AA292" s="10"/>
      <c r="AB292" s="8" t="str">
        <f t="shared" si="44"/>
        <v/>
      </c>
      <c r="AC292" s="8" t="str">
        <f>IF(A292="","",IF(A292="止损计划",IF(OR(B292="",D292="",E292="",F292="",G292=""),"计划不完整",IF(OR(D292&lt;1,D292&lt;&gt;INT(D292)),"阶段序号无效",IF(COUNTIFS($A$2:$A$497,"止损计划",$B$2:$B$497,B292,$D$2:$D$497,D292)&gt;1,"阶段序号重复",IF(E292&lt;=IFERROR(LOOKUP(2,1/(单次交易!$A$2:$A$201=B292),单次交易!$E$2:$E$201),0),"激活价须高于买入价",IF(F292&lt;N292,"止损价不得低于初始止损",IF(F292&gt;E292,"止损价不得高于激活价",IF(AND(COUNTIFS($A$2:$A$497,"止损计划",$B$2:$B$497,B292,$D$2:$D$497,"&lt;"&amp;D292)&gt;0,OR(E292&lt;=SUMPRODUCT(MAX((($A$2:$A$497="止损计划")*($B$2:$B$497=B292)*($D$2:$D$497&lt;D292))*$E$2:$E$497)),F292&lt;SUMPRODUCT(MAX((($A$2:$A$497="止损计划")*($B$2:$B$497=B292)*($D$2:$D$497&lt;D292))*$F$2:$F$497)))),"阶段价格必须逐级提高","计划有效"))))))),IF(A292="每日跟踪",IF(OR(B292="",H292="",I292="",J292=""),"每日数据不完整",IF(COUNTIFS($A$2:$A$497,"每日跟踪",$B$2:$B$497,B292,$H$2:$H$497,H292)&gt;1,"同一交易日期重复",IF(AND(R292&lt;&gt;"",R292&lt;S292),"人工止损无效：不能下调","跟踪有效"))),"记录类型无效")))</f>
        <v/>
      </c>
    </row>
    <row r="293" ht="17" spans="1:29">
      <c r="A293" s="2"/>
      <c r="B293" s="2"/>
      <c r="C293" s="8" t="str">
        <f>IF(B293="","",IFERROR(LOOKUP(2,1/(单次交易!$A$2:$A$201=B293),单次交易!$B$2:$B$201),""))</f>
        <v/>
      </c>
      <c r="D293" s="12"/>
      <c r="E293" s="10"/>
      <c r="F293" s="10"/>
      <c r="G293" s="2"/>
      <c r="H293" s="15"/>
      <c r="I293" s="10"/>
      <c r="J293" s="12"/>
      <c r="K293" s="2"/>
      <c r="L293" s="2"/>
      <c r="M293" s="2"/>
      <c r="N293" s="5" t="str">
        <f>IF(B293="","",IFERROR(LOOKUP(2,1/(单次交易!$A$2:$A$201=B293),单次交易!$N$2:$N$201),""))</f>
        <v/>
      </c>
      <c r="O293" s="5" t="str">
        <f t="shared" si="36"/>
        <v/>
      </c>
      <c r="P293" s="11" t="str">
        <f t="shared" si="37"/>
        <v/>
      </c>
      <c r="Q293" s="5" t="str">
        <f t="shared" si="38"/>
        <v/>
      </c>
      <c r="R293" s="10"/>
      <c r="S293" s="5" t="str">
        <f t="shared" si="39"/>
        <v/>
      </c>
      <c r="T293" s="5" t="str">
        <f t="shared" si="40"/>
        <v/>
      </c>
      <c r="U293" s="5" t="str">
        <f t="shared" si="41"/>
        <v/>
      </c>
      <c r="V293" s="7" t="str">
        <f t="shared" si="42"/>
        <v/>
      </c>
      <c r="W293" s="8" t="str">
        <f t="shared" si="43"/>
        <v/>
      </c>
      <c r="X293" s="2"/>
      <c r="Y293" s="10"/>
      <c r="Z293" s="11" t="str">
        <f>IF(X293&lt;&gt;"执行卖出","",IFERROR(LOOKUP(2,1/(单次交易!$A$2:$A$201=B293),单次交易!$AP$2:$AP$201),""))</f>
        <v/>
      </c>
      <c r="AA293" s="10"/>
      <c r="AB293" s="8" t="str">
        <f t="shared" si="44"/>
        <v/>
      </c>
      <c r="AC293" s="8" t="str">
        <f>IF(A293="","",IF(A293="止损计划",IF(OR(B293="",D293="",E293="",F293="",G293=""),"计划不完整",IF(OR(D293&lt;1,D293&lt;&gt;INT(D293)),"阶段序号无效",IF(COUNTIFS($A$2:$A$497,"止损计划",$B$2:$B$497,B293,$D$2:$D$497,D293)&gt;1,"阶段序号重复",IF(E293&lt;=IFERROR(LOOKUP(2,1/(单次交易!$A$2:$A$201=B293),单次交易!$E$2:$E$201),0),"激活价须高于买入价",IF(F293&lt;N293,"止损价不得低于初始止损",IF(F293&gt;E293,"止损价不得高于激活价",IF(AND(COUNTIFS($A$2:$A$497,"止损计划",$B$2:$B$497,B293,$D$2:$D$497,"&lt;"&amp;D293)&gt;0,OR(E293&lt;=SUMPRODUCT(MAX((($A$2:$A$497="止损计划")*($B$2:$B$497=B293)*($D$2:$D$497&lt;D293))*$E$2:$E$497)),F293&lt;SUMPRODUCT(MAX((($A$2:$A$497="止损计划")*($B$2:$B$497=B293)*($D$2:$D$497&lt;D293))*$F$2:$F$497)))),"阶段价格必须逐级提高","计划有效"))))))),IF(A293="每日跟踪",IF(OR(B293="",H293="",I293="",J293=""),"每日数据不完整",IF(COUNTIFS($A$2:$A$497,"每日跟踪",$B$2:$B$497,B293,$H$2:$H$497,H293)&gt;1,"同一交易日期重复",IF(AND(R293&lt;&gt;"",R293&lt;S293),"人工止损无效：不能下调","跟踪有效"))),"记录类型无效")))</f>
        <v/>
      </c>
    </row>
    <row r="294" ht="17" spans="1:29">
      <c r="A294" s="2"/>
      <c r="B294" s="2"/>
      <c r="C294" s="8" t="str">
        <f>IF(B294="","",IFERROR(LOOKUP(2,1/(单次交易!$A$2:$A$201=B294),单次交易!$B$2:$B$201),""))</f>
        <v/>
      </c>
      <c r="D294" s="12"/>
      <c r="E294" s="10"/>
      <c r="F294" s="10"/>
      <c r="G294" s="2"/>
      <c r="H294" s="15"/>
      <c r="I294" s="10"/>
      <c r="J294" s="12"/>
      <c r="K294" s="2"/>
      <c r="L294" s="2"/>
      <c r="M294" s="2"/>
      <c r="N294" s="5" t="str">
        <f>IF(B294="","",IFERROR(LOOKUP(2,1/(单次交易!$A$2:$A$201=B294),单次交易!$N$2:$N$201),""))</f>
        <v/>
      </c>
      <c r="O294" s="5" t="str">
        <f t="shared" si="36"/>
        <v/>
      </c>
      <c r="P294" s="11" t="str">
        <f t="shared" si="37"/>
        <v/>
      </c>
      <c r="Q294" s="5" t="str">
        <f t="shared" si="38"/>
        <v/>
      </c>
      <c r="R294" s="10"/>
      <c r="S294" s="5" t="str">
        <f t="shared" si="39"/>
        <v/>
      </c>
      <c r="T294" s="5" t="str">
        <f t="shared" si="40"/>
        <v/>
      </c>
      <c r="U294" s="5" t="str">
        <f t="shared" si="41"/>
        <v/>
      </c>
      <c r="V294" s="7" t="str">
        <f t="shared" si="42"/>
        <v/>
      </c>
      <c r="W294" s="8" t="str">
        <f t="shared" si="43"/>
        <v/>
      </c>
      <c r="X294" s="2"/>
      <c r="Y294" s="10"/>
      <c r="Z294" s="11" t="str">
        <f>IF(X294&lt;&gt;"执行卖出","",IFERROR(LOOKUP(2,1/(单次交易!$A$2:$A$201=B294),单次交易!$AP$2:$AP$201),""))</f>
        <v/>
      </c>
      <c r="AA294" s="10"/>
      <c r="AB294" s="8" t="str">
        <f t="shared" si="44"/>
        <v/>
      </c>
      <c r="AC294" s="8" t="str">
        <f>IF(A294="","",IF(A294="止损计划",IF(OR(B294="",D294="",E294="",F294="",G294=""),"计划不完整",IF(OR(D294&lt;1,D294&lt;&gt;INT(D294)),"阶段序号无效",IF(COUNTIFS($A$2:$A$497,"止损计划",$B$2:$B$497,B294,$D$2:$D$497,D294)&gt;1,"阶段序号重复",IF(E294&lt;=IFERROR(LOOKUP(2,1/(单次交易!$A$2:$A$201=B294),单次交易!$E$2:$E$201),0),"激活价须高于买入价",IF(F294&lt;N294,"止损价不得低于初始止损",IF(F294&gt;E294,"止损价不得高于激活价",IF(AND(COUNTIFS($A$2:$A$497,"止损计划",$B$2:$B$497,B294,$D$2:$D$497,"&lt;"&amp;D294)&gt;0,OR(E294&lt;=SUMPRODUCT(MAX((($A$2:$A$497="止损计划")*($B$2:$B$497=B294)*($D$2:$D$497&lt;D294))*$E$2:$E$497)),F294&lt;SUMPRODUCT(MAX((($A$2:$A$497="止损计划")*($B$2:$B$497=B294)*($D$2:$D$497&lt;D294))*$F$2:$F$497)))),"阶段价格必须逐级提高","计划有效"))))))),IF(A294="每日跟踪",IF(OR(B294="",H294="",I294="",J294=""),"每日数据不完整",IF(COUNTIFS($A$2:$A$497,"每日跟踪",$B$2:$B$497,B294,$H$2:$H$497,H294)&gt;1,"同一交易日期重复",IF(AND(R294&lt;&gt;"",R294&lt;S294),"人工止损无效：不能下调","跟踪有效"))),"记录类型无效")))</f>
        <v/>
      </c>
    </row>
    <row r="295" ht="17" spans="1:29">
      <c r="A295" s="2"/>
      <c r="B295" s="2"/>
      <c r="C295" s="8" t="str">
        <f>IF(B295="","",IFERROR(LOOKUP(2,1/(单次交易!$A$2:$A$201=B295),单次交易!$B$2:$B$201),""))</f>
        <v/>
      </c>
      <c r="D295" s="12"/>
      <c r="E295" s="10"/>
      <c r="F295" s="10"/>
      <c r="G295" s="2"/>
      <c r="H295" s="15"/>
      <c r="I295" s="10"/>
      <c r="J295" s="12"/>
      <c r="K295" s="2"/>
      <c r="L295" s="2"/>
      <c r="M295" s="2"/>
      <c r="N295" s="5" t="str">
        <f>IF(B295="","",IFERROR(LOOKUP(2,1/(单次交易!$A$2:$A$201=B295),单次交易!$N$2:$N$201),""))</f>
        <v/>
      </c>
      <c r="O295" s="5" t="str">
        <f t="shared" si="36"/>
        <v/>
      </c>
      <c r="P295" s="11" t="str">
        <f t="shared" si="37"/>
        <v/>
      </c>
      <c r="Q295" s="5" t="str">
        <f t="shared" si="38"/>
        <v/>
      </c>
      <c r="R295" s="10"/>
      <c r="S295" s="5" t="str">
        <f t="shared" si="39"/>
        <v/>
      </c>
      <c r="T295" s="5" t="str">
        <f t="shared" si="40"/>
        <v/>
      </c>
      <c r="U295" s="5" t="str">
        <f t="shared" si="41"/>
        <v/>
      </c>
      <c r="V295" s="7" t="str">
        <f t="shared" si="42"/>
        <v/>
      </c>
      <c r="W295" s="8" t="str">
        <f t="shared" si="43"/>
        <v/>
      </c>
      <c r="X295" s="2"/>
      <c r="Y295" s="10"/>
      <c r="Z295" s="11" t="str">
        <f>IF(X295&lt;&gt;"执行卖出","",IFERROR(LOOKUP(2,1/(单次交易!$A$2:$A$201=B295),单次交易!$AP$2:$AP$201),""))</f>
        <v/>
      </c>
      <c r="AA295" s="10"/>
      <c r="AB295" s="8" t="str">
        <f t="shared" si="44"/>
        <v/>
      </c>
      <c r="AC295" s="8" t="str">
        <f>IF(A295="","",IF(A295="止损计划",IF(OR(B295="",D295="",E295="",F295="",G295=""),"计划不完整",IF(OR(D295&lt;1,D295&lt;&gt;INT(D295)),"阶段序号无效",IF(COUNTIFS($A$2:$A$497,"止损计划",$B$2:$B$497,B295,$D$2:$D$497,D295)&gt;1,"阶段序号重复",IF(E295&lt;=IFERROR(LOOKUP(2,1/(单次交易!$A$2:$A$201=B295),单次交易!$E$2:$E$201),0),"激活价须高于买入价",IF(F295&lt;N295,"止损价不得低于初始止损",IF(F295&gt;E295,"止损价不得高于激活价",IF(AND(COUNTIFS($A$2:$A$497,"止损计划",$B$2:$B$497,B295,$D$2:$D$497,"&lt;"&amp;D295)&gt;0,OR(E295&lt;=SUMPRODUCT(MAX((($A$2:$A$497="止损计划")*($B$2:$B$497=B295)*($D$2:$D$497&lt;D295))*$E$2:$E$497)),F295&lt;SUMPRODUCT(MAX((($A$2:$A$497="止损计划")*($B$2:$B$497=B295)*($D$2:$D$497&lt;D295))*$F$2:$F$497)))),"阶段价格必须逐级提高","计划有效"))))))),IF(A295="每日跟踪",IF(OR(B295="",H295="",I295="",J295=""),"每日数据不完整",IF(COUNTIFS($A$2:$A$497,"每日跟踪",$B$2:$B$497,B295,$H$2:$H$497,H295)&gt;1,"同一交易日期重复",IF(AND(R295&lt;&gt;"",R295&lt;S295),"人工止损无效：不能下调","跟踪有效"))),"记录类型无效")))</f>
        <v/>
      </c>
    </row>
    <row r="296" ht="17" spans="1:29">
      <c r="A296" s="2"/>
      <c r="B296" s="2"/>
      <c r="C296" s="8" t="str">
        <f>IF(B296="","",IFERROR(LOOKUP(2,1/(单次交易!$A$2:$A$201=B296),单次交易!$B$2:$B$201),""))</f>
        <v/>
      </c>
      <c r="D296" s="12"/>
      <c r="E296" s="10"/>
      <c r="F296" s="10"/>
      <c r="G296" s="2"/>
      <c r="H296" s="15"/>
      <c r="I296" s="10"/>
      <c r="J296" s="12"/>
      <c r="K296" s="2"/>
      <c r="L296" s="2"/>
      <c r="M296" s="2"/>
      <c r="N296" s="5" t="str">
        <f>IF(B296="","",IFERROR(LOOKUP(2,1/(单次交易!$A$2:$A$201=B296),单次交易!$N$2:$N$201),""))</f>
        <v/>
      </c>
      <c r="O296" s="5" t="str">
        <f t="shared" si="36"/>
        <v/>
      </c>
      <c r="P296" s="11" t="str">
        <f t="shared" si="37"/>
        <v/>
      </c>
      <c r="Q296" s="5" t="str">
        <f t="shared" si="38"/>
        <v/>
      </c>
      <c r="R296" s="10"/>
      <c r="S296" s="5" t="str">
        <f t="shared" si="39"/>
        <v/>
      </c>
      <c r="T296" s="5" t="str">
        <f t="shared" si="40"/>
        <v/>
      </c>
      <c r="U296" s="5" t="str">
        <f t="shared" si="41"/>
        <v/>
      </c>
      <c r="V296" s="7" t="str">
        <f t="shared" si="42"/>
        <v/>
      </c>
      <c r="W296" s="8" t="str">
        <f t="shared" si="43"/>
        <v/>
      </c>
      <c r="X296" s="2"/>
      <c r="Y296" s="10"/>
      <c r="Z296" s="11" t="str">
        <f>IF(X296&lt;&gt;"执行卖出","",IFERROR(LOOKUP(2,1/(单次交易!$A$2:$A$201=B296),单次交易!$AP$2:$AP$201),""))</f>
        <v/>
      </c>
      <c r="AA296" s="10"/>
      <c r="AB296" s="8" t="str">
        <f t="shared" si="44"/>
        <v/>
      </c>
      <c r="AC296" s="8" t="str">
        <f>IF(A296="","",IF(A296="止损计划",IF(OR(B296="",D296="",E296="",F296="",G296=""),"计划不完整",IF(OR(D296&lt;1,D296&lt;&gt;INT(D296)),"阶段序号无效",IF(COUNTIFS($A$2:$A$497,"止损计划",$B$2:$B$497,B296,$D$2:$D$497,D296)&gt;1,"阶段序号重复",IF(E296&lt;=IFERROR(LOOKUP(2,1/(单次交易!$A$2:$A$201=B296),单次交易!$E$2:$E$201),0),"激活价须高于买入价",IF(F296&lt;N296,"止损价不得低于初始止损",IF(F296&gt;E296,"止损价不得高于激活价",IF(AND(COUNTIFS($A$2:$A$497,"止损计划",$B$2:$B$497,B296,$D$2:$D$497,"&lt;"&amp;D296)&gt;0,OR(E296&lt;=SUMPRODUCT(MAX((($A$2:$A$497="止损计划")*($B$2:$B$497=B296)*($D$2:$D$497&lt;D296))*$E$2:$E$497)),F296&lt;SUMPRODUCT(MAX((($A$2:$A$497="止损计划")*($B$2:$B$497=B296)*($D$2:$D$497&lt;D296))*$F$2:$F$497)))),"阶段价格必须逐级提高","计划有效"))))))),IF(A296="每日跟踪",IF(OR(B296="",H296="",I296="",J296=""),"每日数据不完整",IF(COUNTIFS($A$2:$A$497,"每日跟踪",$B$2:$B$497,B296,$H$2:$H$497,H296)&gt;1,"同一交易日期重复",IF(AND(R296&lt;&gt;"",R296&lt;S296),"人工止损无效：不能下调","跟踪有效"))),"记录类型无效")))</f>
        <v/>
      </c>
    </row>
    <row r="297" ht="17" spans="1:29">
      <c r="A297" s="2"/>
      <c r="B297" s="2"/>
      <c r="C297" s="8" t="str">
        <f>IF(B297="","",IFERROR(LOOKUP(2,1/(单次交易!$A$2:$A$201=B297),单次交易!$B$2:$B$201),""))</f>
        <v/>
      </c>
      <c r="D297" s="12"/>
      <c r="E297" s="10"/>
      <c r="F297" s="10"/>
      <c r="G297" s="2"/>
      <c r="H297" s="15"/>
      <c r="I297" s="10"/>
      <c r="J297" s="12"/>
      <c r="K297" s="2"/>
      <c r="L297" s="2"/>
      <c r="M297" s="2"/>
      <c r="N297" s="5" t="str">
        <f>IF(B297="","",IFERROR(LOOKUP(2,1/(单次交易!$A$2:$A$201=B297),单次交易!$N$2:$N$201),""))</f>
        <v/>
      </c>
      <c r="O297" s="5" t="str">
        <f t="shared" si="36"/>
        <v/>
      </c>
      <c r="P297" s="11" t="str">
        <f t="shared" si="37"/>
        <v/>
      </c>
      <c r="Q297" s="5" t="str">
        <f t="shared" si="38"/>
        <v/>
      </c>
      <c r="R297" s="10"/>
      <c r="S297" s="5" t="str">
        <f t="shared" si="39"/>
        <v/>
      </c>
      <c r="T297" s="5" t="str">
        <f t="shared" si="40"/>
        <v/>
      </c>
      <c r="U297" s="5" t="str">
        <f t="shared" si="41"/>
        <v/>
      </c>
      <c r="V297" s="7" t="str">
        <f t="shared" si="42"/>
        <v/>
      </c>
      <c r="W297" s="8" t="str">
        <f t="shared" si="43"/>
        <v/>
      </c>
      <c r="X297" s="2"/>
      <c r="Y297" s="10"/>
      <c r="Z297" s="11" t="str">
        <f>IF(X297&lt;&gt;"执行卖出","",IFERROR(LOOKUP(2,1/(单次交易!$A$2:$A$201=B297),单次交易!$AP$2:$AP$201),""))</f>
        <v/>
      </c>
      <c r="AA297" s="10"/>
      <c r="AB297" s="8" t="str">
        <f t="shared" si="44"/>
        <v/>
      </c>
      <c r="AC297" s="8" t="str">
        <f>IF(A297="","",IF(A297="止损计划",IF(OR(B297="",D297="",E297="",F297="",G297=""),"计划不完整",IF(OR(D297&lt;1,D297&lt;&gt;INT(D297)),"阶段序号无效",IF(COUNTIFS($A$2:$A$497,"止损计划",$B$2:$B$497,B297,$D$2:$D$497,D297)&gt;1,"阶段序号重复",IF(E297&lt;=IFERROR(LOOKUP(2,1/(单次交易!$A$2:$A$201=B297),单次交易!$E$2:$E$201),0),"激活价须高于买入价",IF(F297&lt;N297,"止损价不得低于初始止损",IF(F297&gt;E297,"止损价不得高于激活价",IF(AND(COUNTIFS($A$2:$A$497,"止损计划",$B$2:$B$497,B297,$D$2:$D$497,"&lt;"&amp;D297)&gt;0,OR(E297&lt;=SUMPRODUCT(MAX((($A$2:$A$497="止损计划")*($B$2:$B$497=B297)*($D$2:$D$497&lt;D297))*$E$2:$E$497)),F297&lt;SUMPRODUCT(MAX((($A$2:$A$497="止损计划")*($B$2:$B$497=B297)*($D$2:$D$497&lt;D297))*$F$2:$F$497)))),"阶段价格必须逐级提高","计划有效"))))))),IF(A297="每日跟踪",IF(OR(B297="",H297="",I297="",J297=""),"每日数据不完整",IF(COUNTIFS($A$2:$A$497,"每日跟踪",$B$2:$B$497,B297,$H$2:$H$497,H297)&gt;1,"同一交易日期重复",IF(AND(R297&lt;&gt;"",R297&lt;S297),"人工止损无效：不能下调","跟踪有效"))),"记录类型无效")))</f>
        <v/>
      </c>
    </row>
    <row r="298" ht="17" spans="1:29">
      <c r="A298" s="2"/>
      <c r="B298" s="2"/>
      <c r="C298" s="8" t="str">
        <f>IF(B298="","",IFERROR(LOOKUP(2,1/(单次交易!$A$2:$A$201=B298),单次交易!$B$2:$B$201),""))</f>
        <v/>
      </c>
      <c r="D298" s="12"/>
      <c r="E298" s="10"/>
      <c r="F298" s="10"/>
      <c r="G298" s="2"/>
      <c r="H298" s="15"/>
      <c r="I298" s="10"/>
      <c r="J298" s="12"/>
      <c r="K298" s="2"/>
      <c r="L298" s="2"/>
      <c r="M298" s="2"/>
      <c r="N298" s="5" t="str">
        <f>IF(B298="","",IFERROR(LOOKUP(2,1/(单次交易!$A$2:$A$201=B298),单次交易!$N$2:$N$201),""))</f>
        <v/>
      </c>
      <c r="O298" s="5" t="str">
        <f t="shared" si="36"/>
        <v/>
      </c>
      <c r="P298" s="11" t="str">
        <f t="shared" si="37"/>
        <v/>
      </c>
      <c r="Q298" s="5" t="str">
        <f t="shared" si="38"/>
        <v/>
      </c>
      <c r="R298" s="10"/>
      <c r="S298" s="5" t="str">
        <f t="shared" si="39"/>
        <v/>
      </c>
      <c r="T298" s="5" t="str">
        <f t="shared" si="40"/>
        <v/>
      </c>
      <c r="U298" s="5" t="str">
        <f t="shared" si="41"/>
        <v/>
      </c>
      <c r="V298" s="7" t="str">
        <f t="shared" si="42"/>
        <v/>
      </c>
      <c r="W298" s="8" t="str">
        <f t="shared" si="43"/>
        <v/>
      </c>
      <c r="X298" s="2"/>
      <c r="Y298" s="10"/>
      <c r="Z298" s="11" t="str">
        <f>IF(X298&lt;&gt;"执行卖出","",IFERROR(LOOKUP(2,1/(单次交易!$A$2:$A$201=B298),单次交易!$AP$2:$AP$201),""))</f>
        <v/>
      </c>
      <c r="AA298" s="10"/>
      <c r="AB298" s="8" t="str">
        <f t="shared" si="44"/>
        <v/>
      </c>
      <c r="AC298" s="8" t="str">
        <f>IF(A298="","",IF(A298="止损计划",IF(OR(B298="",D298="",E298="",F298="",G298=""),"计划不完整",IF(OR(D298&lt;1,D298&lt;&gt;INT(D298)),"阶段序号无效",IF(COUNTIFS($A$2:$A$497,"止损计划",$B$2:$B$497,B298,$D$2:$D$497,D298)&gt;1,"阶段序号重复",IF(E298&lt;=IFERROR(LOOKUP(2,1/(单次交易!$A$2:$A$201=B298),单次交易!$E$2:$E$201),0),"激活价须高于买入价",IF(F298&lt;N298,"止损价不得低于初始止损",IF(F298&gt;E298,"止损价不得高于激活价",IF(AND(COUNTIFS($A$2:$A$497,"止损计划",$B$2:$B$497,B298,$D$2:$D$497,"&lt;"&amp;D298)&gt;0,OR(E298&lt;=SUMPRODUCT(MAX((($A$2:$A$497="止损计划")*($B$2:$B$497=B298)*($D$2:$D$497&lt;D298))*$E$2:$E$497)),F298&lt;SUMPRODUCT(MAX((($A$2:$A$497="止损计划")*($B$2:$B$497=B298)*($D$2:$D$497&lt;D298))*$F$2:$F$497)))),"阶段价格必须逐级提高","计划有效"))))))),IF(A298="每日跟踪",IF(OR(B298="",H298="",I298="",J298=""),"每日数据不完整",IF(COUNTIFS($A$2:$A$497,"每日跟踪",$B$2:$B$497,B298,$H$2:$H$497,H298)&gt;1,"同一交易日期重复",IF(AND(R298&lt;&gt;"",R298&lt;S298),"人工止损无效：不能下调","跟踪有效"))),"记录类型无效")))</f>
        <v/>
      </c>
    </row>
    <row r="299" ht="17" spans="1:29">
      <c r="A299" s="2"/>
      <c r="B299" s="2"/>
      <c r="C299" s="8" t="str">
        <f>IF(B299="","",IFERROR(LOOKUP(2,1/(单次交易!$A$2:$A$201=B299),单次交易!$B$2:$B$201),""))</f>
        <v/>
      </c>
      <c r="D299" s="12"/>
      <c r="E299" s="10"/>
      <c r="F299" s="10"/>
      <c r="G299" s="2"/>
      <c r="H299" s="15"/>
      <c r="I299" s="10"/>
      <c r="J299" s="12"/>
      <c r="K299" s="2"/>
      <c r="L299" s="2"/>
      <c r="M299" s="2"/>
      <c r="N299" s="5" t="str">
        <f>IF(B299="","",IFERROR(LOOKUP(2,1/(单次交易!$A$2:$A$201=B299),单次交易!$N$2:$N$201),""))</f>
        <v/>
      </c>
      <c r="O299" s="5" t="str">
        <f t="shared" si="36"/>
        <v/>
      </c>
      <c r="P299" s="11" t="str">
        <f t="shared" si="37"/>
        <v/>
      </c>
      <c r="Q299" s="5" t="str">
        <f t="shared" si="38"/>
        <v/>
      </c>
      <c r="R299" s="10"/>
      <c r="S299" s="5" t="str">
        <f t="shared" si="39"/>
        <v/>
      </c>
      <c r="T299" s="5" t="str">
        <f t="shared" si="40"/>
        <v/>
      </c>
      <c r="U299" s="5" t="str">
        <f t="shared" si="41"/>
        <v/>
      </c>
      <c r="V299" s="7" t="str">
        <f t="shared" si="42"/>
        <v/>
      </c>
      <c r="W299" s="8" t="str">
        <f t="shared" si="43"/>
        <v/>
      </c>
      <c r="X299" s="2"/>
      <c r="Y299" s="10"/>
      <c r="Z299" s="11" t="str">
        <f>IF(X299&lt;&gt;"执行卖出","",IFERROR(LOOKUP(2,1/(单次交易!$A$2:$A$201=B299),单次交易!$AP$2:$AP$201),""))</f>
        <v/>
      </c>
      <c r="AA299" s="10"/>
      <c r="AB299" s="8" t="str">
        <f t="shared" si="44"/>
        <v/>
      </c>
      <c r="AC299" s="8" t="str">
        <f>IF(A299="","",IF(A299="止损计划",IF(OR(B299="",D299="",E299="",F299="",G299=""),"计划不完整",IF(OR(D299&lt;1,D299&lt;&gt;INT(D299)),"阶段序号无效",IF(COUNTIFS($A$2:$A$497,"止损计划",$B$2:$B$497,B299,$D$2:$D$497,D299)&gt;1,"阶段序号重复",IF(E299&lt;=IFERROR(LOOKUP(2,1/(单次交易!$A$2:$A$201=B299),单次交易!$E$2:$E$201),0),"激活价须高于买入价",IF(F299&lt;N299,"止损价不得低于初始止损",IF(F299&gt;E299,"止损价不得高于激活价",IF(AND(COUNTIFS($A$2:$A$497,"止损计划",$B$2:$B$497,B299,$D$2:$D$497,"&lt;"&amp;D299)&gt;0,OR(E299&lt;=SUMPRODUCT(MAX((($A$2:$A$497="止损计划")*($B$2:$B$497=B299)*($D$2:$D$497&lt;D299))*$E$2:$E$497)),F299&lt;SUMPRODUCT(MAX((($A$2:$A$497="止损计划")*($B$2:$B$497=B299)*($D$2:$D$497&lt;D299))*$F$2:$F$497)))),"阶段价格必须逐级提高","计划有效"))))))),IF(A299="每日跟踪",IF(OR(B299="",H299="",I299="",J299=""),"每日数据不完整",IF(COUNTIFS($A$2:$A$497,"每日跟踪",$B$2:$B$497,B299,$H$2:$H$497,H299)&gt;1,"同一交易日期重复",IF(AND(R299&lt;&gt;"",R299&lt;S299),"人工止损无效：不能下调","跟踪有效"))),"记录类型无效")))</f>
        <v/>
      </c>
    </row>
    <row r="300" ht="17" spans="1:29">
      <c r="A300" s="2"/>
      <c r="B300" s="2"/>
      <c r="C300" s="8" t="str">
        <f>IF(B300="","",IFERROR(LOOKUP(2,1/(单次交易!$A$2:$A$201=B300),单次交易!$B$2:$B$201),""))</f>
        <v/>
      </c>
      <c r="D300" s="12"/>
      <c r="E300" s="10"/>
      <c r="F300" s="10"/>
      <c r="G300" s="2"/>
      <c r="H300" s="15"/>
      <c r="I300" s="10"/>
      <c r="J300" s="12"/>
      <c r="K300" s="2"/>
      <c r="L300" s="2"/>
      <c r="M300" s="2"/>
      <c r="N300" s="5" t="str">
        <f>IF(B300="","",IFERROR(LOOKUP(2,1/(单次交易!$A$2:$A$201=B300),单次交易!$N$2:$N$201),""))</f>
        <v/>
      </c>
      <c r="O300" s="5" t="str">
        <f t="shared" si="36"/>
        <v/>
      </c>
      <c r="P300" s="11" t="str">
        <f t="shared" si="37"/>
        <v/>
      </c>
      <c r="Q300" s="5" t="str">
        <f t="shared" si="38"/>
        <v/>
      </c>
      <c r="R300" s="10"/>
      <c r="S300" s="5" t="str">
        <f t="shared" si="39"/>
        <v/>
      </c>
      <c r="T300" s="5" t="str">
        <f t="shared" si="40"/>
        <v/>
      </c>
      <c r="U300" s="5" t="str">
        <f t="shared" si="41"/>
        <v/>
      </c>
      <c r="V300" s="7" t="str">
        <f t="shared" si="42"/>
        <v/>
      </c>
      <c r="W300" s="8" t="str">
        <f t="shared" si="43"/>
        <v/>
      </c>
      <c r="X300" s="2"/>
      <c r="Y300" s="10"/>
      <c r="Z300" s="11" t="str">
        <f>IF(X300&lt;&gt;"执行卖出","",IFERROR(LOOKUP(2,1/(单次交易!$A$2:$A$201=B300),单次交易!$AP$2:$AP$201),""))</f>
        <v/>
      </c>
      <c r="AA300" s="10"/>
      <c r="AB300" s="8" t="str">
        <f t="shared" si="44"/>
        <v/>
      </c>
      <c r="AC300" s="8" t="str">
        <f>IF(A300="","",IF(A300="止损计划",IF(OR(B300="",D300="",E300="",F300="",G300=""),"计划不完整",IF(OR(D300&lt;1,D300&lt;&gt;INT(D300)),"阶段序号无效",IF(COUNTIFS($A$2:$A$497,"止损计划",$B$2:$B$497,B300,$D$2:$D$497,D300)&gt;1,"阶段序号重复",IF(E300&lt;=IFERROR(LOOKUP(2,1/(单次交易!$A$2:$A$201=B300),单次交易!$E$2:$E$201),0),"激活价须高于买入价",IF(F300&lt;N300,"止损价不得低于初始止损",IF(F300&gt;E300,"止损价不得高于激活价",IF(AND(COUNTIFS($A$2:$A$497,"止损计划",$B$2:$B$497,B300,$D$2:$D$497,"&lt;"&amp;D300)&gt;0,OR(E300&lt;=SUMPRODUCT(MAX((($A$2:$A$497="止损计划")*($B$2:$B$497=B300)*($D$2:$D$497&lt;D300))*$E$2:$E$497)),F300&lt;SUMPRODUCT(MAX((($A$2:$A$497="止损计划")*($B$2:$B$497=B300)*($D$2:$D$497&lt;D300))*$F$2:$F$497)))),"阶段价格必须逐级提高","计划有效"))))))),IF(A300="每日跟踪",IF(OR(B300="",H300="",I300="",J300=""),"每日数据不完整",IF(COUNTIFS($A$2:$A$497,"每日跟踪",$B$2:$B$497,B300,$H$2:$H$497,H300)&gt;1,"同一交易日期重复",IF(AND(R300&lt;&gt;"",R300&lt;S300),"人工止损无效：不能下调","跟踪有效"))),"记录类型无效")))</f>
        <v/>
      </c>
    </row>
    <row r="301" ht="17" spans="1:29">
      <c r="A301" s="2"/>
      <c r="B301" s="2"/>
      <c r="C301" s="8" t="str">
        <f>IF(B301="","",IFERROR(LOOKUP(2,1/(单次交易!$A$2:$A$201=B301),单次交易!$B$2:$B$201),""))</f>
        <v/>
      </c>
      <c r="D301" s="12"/>
      <c r="E301" s="10"/>
      <c r="F301" s="10"/>
      <c r="G301" s="2"/>
      <c r="H301" s="15"/>
      <c r="I301" s="10"/>
      <c r="J301" s="12"/>
      <c r="K301" s="2"/>
      <c r="L301" s="2"/>
      <c r="M301" s="2"/>
      <c r="N301" s="5" t="str">
        <f>IF(B301="","",IFERROR(LOOKUP(2,1/(单次交易!$A$2:$A$201=B301),单次交易!$N$2:$N$201),""))</f>
        <v/>
      </c>
      <c r="O301" s="5" t="str">
        <f t="shared" si="36"/>
        <v/>
      </c>
      <c r="P301" s="11" t="str">
        <f t="shared" si="37"/>
        <v/>
      </c>
      <c r="Q301" s="5" t="str">
        <f t="shared" si="38"/>
        <v/>
      </c>
      <c r="R301" s="10"/>
      <c r="S301" s="5" t="str">
        <f t="shared" si="39"/>
        <v/>
      </c>
      <c r="T301" s="5" t="str">
        <f t="shared" si="40"/>
        <v/>
      </c>
      <c r="U301" s="5" t="str">
        <f t="shared" si="41"/>
        <v/>
      </c>
      <c r="V301" s="7" t="str">
        <f t="shared" si="42"/>
        <v/>
      </c>
      <c r="W301" s="8" t="str">
        <f t="shared" si="43"/>
        <v/>
      </c>
      <c r="X301" s="2"/>
      <c r="Y301" s="10"/>
      <c r="Z301" s="11" t="str">
        <f>IF(X301&lt;&gt;"执行卖出","",IFERROR(LOOKUP(2,1/(单次交易!$A$2:$A$201=B301),单次交易!$AP$2:$AP$201),""))</f>
        <v/>
      </c>
      <c r="AA301" s="10"/>
      <c r="AB301" s="8" t="str">
        <f t="shared" si="44"/>
        <v/>
      </c>
      <c r="AC301" s="8" t="str">
        <f>IF(A301="","",IF(A301="止损计划",IF(OR(B301="",D301="",E301="",F301="",G301=""),"计划不完整",IF(OR(D301&lt;1,D301&lt;&gt;INT(D301)),"阶段序号无效",IF(COUNTIFS($A$2:$A$497,"止损计划",$B$2:$B$497,B301,$D$2:$D$497,D301)&gt;1,"阶段序号重复",IF(E301&lt;=IFERROR(LOOKUP(2,1/(单次交易!$A$2:$A$201=B301),单次交易!$E$2:$E$201),0),"激活价须高于买入价",IF(F301&lt;N301,"止损价不得低于初始止损",IF(F301&gt;E301,"止损价不得高于激活价",IF(AND(COUNTIFS($A$2:$A$497,"止损计划",$B$2:$B$497,B301,$D$2:$D$497,"&lt;"&amp;D301)&gt;0,OR(E301&lt;=SUMPRODUCT(MAX((($A$2:$A$497="止损计划")*($B$2:$B$497=B301)*($D$2:$D$497&lt;D301))*$E$2:$E$497)),F301&lt;SUMPRODUCT(MAX((($A$2:$A$497="止损计划")*($B$2:$B$497=B301)*($D$2:$D$497&lt;D301))*$F$2:$F$497)))),"阶段价格必须逐级提高","计划有效"))))))),IF(A301="每日跟踪",IF(OR(B301="",H301="",I301="",J301=""),"每日数据不完整",IF(COUNTIFS($A$2:$A$497,"每日跟踪",$B$2:$B$497,B301,$H$2:$H$497,H301)&gt;1,"同一交易日期重复",IF(AND(R301&lt;&gt;"",R301&lt;S301),"人工止损无效：不能下调","跟踪有效"))),"记录类型无效")))</f>
        <v/>
      </c>
    </row>
    <row r="302" ht="17" spans="1:29">
      <c r="A302" s="2"/>
      <c r="B302" s="2"/>
      <c r="C302" s="8" t="str">
        <f>IF(B302="","",IFERROR(LOOKUP(2,1/(单次交易!$A$2:$A$201=B302),单次交易!$B$2:$B$201),""))</f>
        <v/>
      </c>
      <c r="D302" s="12"/>
      <c r="E302" s="10"/>
      <c r="F302" s="10"/>
      <c r="G302" s="2"/>
      <c r="H302" s="15"/>
      <c r="I302" s="10"/>
      <c r="J302" s="12"/>
      <c r="K302" s="2"/>
      <c r="L302" s="2"/>
      <c r="M302" s="2"/>
      <c r="N302" s="5" t="str">
        <f>IF(B302="","",IFERROR(LOOKUP(2,1/(单次交易!$A$2:$A$201=B302),单次交易!$N$2:$N$201),""))</f>
        <v/>
      </c>
      <c r="O302" s="5" t="str">
        <f t="shared" si="36"/>
        <v/>
      </c>
      <c r="P302" s="11" t="str">
        <f t="shared" si="37"/>
        <v/>
      </c>
      <c r="Q302" s="5" t="str">
        <f t="shared" si="38"/>
        <v/>
      </c>
      <c r="R302" s="10"/>
      <c r="S302" s="5" t="str">
        <f t="shared" si="39"/>
        <v/>
      </c>
      <c r="T302" s="5" t="str">
        <f t="shared" si="40"/>
        <v/>
      </c>
      <c r="U302" s="5" t="str">
        <f t="shared" si="41"/>
        <v/>
      </c>
      <c r="V302" s="7" t="str">
        <f t="shared" si="42"/>
        <v/>
      </c>
      <c r="W302" s="8" t="str">
        <f t="shared" si="43"/>
        <v/>
      </c>
      <c r="X302" s="2"/>
      <c r="Y302" s="10"/>
      <c r="Z302" s="11" t="str">
        <f>IF(X302&lt;&gt;"执行卖出","",IFERROR(LOOKUP(2,1/(单次交易!$A$2:$A$201=B302),单次交易!$AP$2:$AP$201),""))</f>
        <v/>
      </c>
      <c r="AA302" s="10"/>
      <c r="AB302" s="8" t="str">
        <f t="shared" si="44"/>
        <v/>
      </c>
      <c r="AC302" s="8" t="str">
        <f>IF(A302="","",IF(A302="止损计划",IF(OR(B302="",D302="",E302="",F302="",G302=""),"计划不完整",IF(OR(D302&lt;1,D302&lt;&gt;INT(D302)),"阶段序号无效",IF(COUNTIFS($A$2:$A$497,"止损计划",$B$2:$B$497,B302,$D$2:$D$497,D302)&gt;1,"阶段序号重复",IF(E302&lt;=IFERROR(LOOKUP(2,1/(单次交易!$A$2:$A$201=B302),单次交易!$E$2:$E$201),0),"激活价须高于买入价",IF(F302&lt;N302,"止损价不得低于初始止损",IF(F302&gt;E302,"止损价不得高于激活价",IF(AND(COUNTIFS($A$2:$A$497,"止损计划",$B$2:$B$497,B302,$D$2:$D$497,"&lt;"&amp;D302)&gt;0,OR(E302&lt;=SUMPRODUCT(MAX((($A$2:$A$497="止损计划")*($B$2:$B$497=B302)*($D$2:$D$497&lt;D302))*$E$2:$E$497)),F302&lt;SUMPRODUCT(MAX((($A$2:$A$497="止损计划")*($B$2:$B$497=B302)*($D$2:$D$497&lt;D302))*$F$2:$F$497)))),"阶段价格必须逐级提高","计划有效"))))))),IF(A302="每日跟踪",IF(OR(B302="",H302="",I302="",J302=""),"每日数据不完整",IF(COUNTIFS($A$2:$A$497,"每日跟踪",$B$2:$B$497,B302,$H$2:$H$497,H302)&gt;1,"同一交易日期重复",IF(AND(R302&lt;&gt;"",R302&lt;S302),"人工止损无效：不能下调","跟踪有效"))),"记录类型无效")))</f>
        <v/>
      </c>
    </row>
    <row r="303" ht="17" spans="1:29">
      <c r="A303" s="2"/>
      <c r="B303" s="2"/>
      <c r="C303" s="8" t="str">
        <f>IF(B303="","",IFERROR(LOOKUP(2,1/(单次交易!$A$2:$A$201=B303),单次交易!$B$2:$B$201),""))</f>
        <v/>
      </c>
      <c r="D303" s="12"/>
      <c r="E303" s="10"/>
      <c r="F303" s="10"/>
      <c r="G303" s="2"/>
      <c r="H303" s="15"/>
      <c r="I303" s="10"/>
      <c r="J303" s="12"/>
      <c r="K303" s="2"/>
      <c r="L303" s="2"/>
      <c r="M303" s="2"/>
      <c r="N303" s="5" t="str">
        <f>IF(B303="","",IFERROR(LOOKUP(2,1/(单次交易!$A$2:$A$201=B303),单次交易!$N$2:$N$201),""))</f>
        <v/>
      </c>
      <c r="O303" s="5" t="str">
        <f t="shared" si="36"/>
        <v/>
      </c>
      <c r="P303" s="11" t="str">
        <f t="shared" si="37"/>
        <v/>
      </c>
      <c r="Q303" s="5" t="str">
        <f t="shared" si="38"/>
        <v/>
      </c>
      <c r="R303" s="10"/>
      <c r="S303" s="5" t="str">
        <f t="shared" si="39"/>
        <v/>
      </c>
      <c r="T303" s="5" t="str">
        <f t="shared" si="40"/>
        <v/>
      </c>
      <c r="U303" s="5" t="str">
        <f t="shared" si="41"/>
        <v/>
      </c>
      <c r="V303" s="7" t="str">
        <f t="shared" si="42"/>
        <v/>
      </c>
      <c r="W303" s="8" t="str">
        <f t="shared" si="43"/>
        <v/>
      </c>
      <c r="X303" s="2"/>
      <c r="Y303" s="10"/>
      <c r="Z303" s="11" t="str">
        <f>IF(X303&lt;&gt;"执行卖出","",IFERROR(LOOKUP(2,1/(单次交易!$A$2:$A$201=B303),单次交易!$AP$2:$AP$201),""))</f>
        <v/>
      </c>
      <c r="AA303" s="10"/>
      <c r="AB303" s="8" t="str">
        <f t="shared" si="44"/>
        <v/>
      </c>
      <c r="AC303" s="8" t="str">
        <f>IF(A303="","",IF(A303="止损计划",IF(OR(B303="",D303="",E303="",F303="",G303=""),"计划不完整",IF(OR(D303&lt;1,D303&lt;&gt;INT(D303)),"阶段序号无效",IF(COUNTIFS($A$2:$A$497,"止损计划",$B$2:$B$497,B303,$D$2:$D$497,D303)&gt;1,"阶段序号重复",IF(E303&lt;=IFERROR(LOOKUP(2,1/(单次交易!$A$2:$A$201=B303),单次交易!$E$2:$E$201),0),"激活价须高于买入价",IF(F303&lt;N303,"止损价不得低于初始止损",IF(F303&gt;E303,"止损价不得高于激活价",IF(AND(COUNTIFS($A$2:$A$497,"止损计划",$B$2:$B$497,B303,$D$2:$D$497,"&lt;"&amp;D303)&gt;0,OR(E303&lt;=SUMPRODUCT(MAX((($A$2:$A$497="止损计划")*($B$2:$B$497=B303)*($D$2:$D$497&lt;D303))*$E$2:$E$497)),F303&lt;SUMPRODUCT(MAX((($A$2:$A$497="止损计划")*($B$2:$B$497=B303)*($D$2:$D$497&lt;D303))*$F$2:$F$497)))),"阶段价格必须逐级提高","计划有效"))))))),IF(A303="每日跟踪",IF(OR(B303="",H303="",I303="",J303=""),"每日数据不完整",IF(COUNTIFS($A$2:$A$497,"每日跟踪",$B$2:$B$497,B303,$H$2:$H$497,H303)&gt;1,"同一交易日期重复",IF(AND(R303&lt;&gt;"",R303&lt;S303),"人工止损无效：不能下调","跟踪有效"))),"记录类型无效")))</f>
        <v/>
      </c>
    </row>
    <row r="304" ht="17" spans="1:29">
      <c r="A304" s="2"/>
      <c r="B304" s="2"/>
      <c r="C304" s="8" t="str">
        <f>IF(B304="","",IFERROR(LOOKUP(2,1/(单次交易!$A$2:$A$201=B304),单次交易!$B$2:$B$201),""))</f>
        <v/>
      </c>
      <c r="D304" s="12"/>
      <c r="E304" s="10"/>
      <c r="F304" s="10"/>
      <c r="G304" s="2"/>
      <c r="H304" s="15"/>
      <c r="I304" s="10"/>
      <c r="J304" s="12"/>
      <c r="K304" s="2"/>
      <c r="L304" s="2"/>
      <c r="M304" s="2"/>
      <c r="N304" s="5" t="str">
        <f>IF(B304="","",IFERROR(LOOKUP(2,1/(单次交易!$A$2:$A$201=B304),单次交易!$N$2:$N$201),""))</f>
        <v/>
      </c>
      <c r="O304" s="5" t="str">
        <f t="shared" si="36"/>
        <v/>
      </c>
      <c r="P304" s="11" t="str">
        <f t="shared" si="37"/>
        <v/>
      </c>
      <c r="Q304" s="5" t="str">
        <f t="shared" si="38"/>
        <v/>
      </c>
      <c r="R304" s="10"/>
      <c r="S304" s="5" t="str">
        <f t="shared" si="39"/>
        <v/>
      </c>
      <c r="T304" s="5" t="str">
        <f t="shared" si="40"/>
        <v/>
      </c>
      <c r="U304" s="5" t="str">
        <f t="shared" si="41"/>
        <v/>
      </c>
      <c r="V304" s="7" t="str">
        <f t="shared" si="42"/>
        <v/>
      </c>
      <c r="W304" s="8" t="str">
        <f t="shared" si="43"/>
        <v/>
      </c>
      <c r="X304" s="2"/>
      <c r="Y304" s="10"/>
      <c r="Z304" s="11" t="str">
        <f>IF(X304&lt;&gt;"执行卖出","",IFERROR(LOOKUP(2,1/(单次交易!$A$2:$A$201=B304),单次交易!$AP$2:$AP$201),""))</f>
        <v/>
      </c>
      <c r="AA304" s="10"/>
      <c r="AB304" s="8" t="str">
        <f t="shared" si="44"/>
        <v/>
      </c>
      <c r="AC304" s="8" t="str">
        <f>IF(A304="","",IF(A304="止损计划",IF(OR(B304="",D304="",E304="",F304="",G304=""),"计划不完整",IF(OR(D304&lt;1,D304&lt;&gt;INT(D304)),"阶段序号无效",IF(COUNTIFS($A$2:$A$497,"止损计划",$B$2:$B$497,B304,$D$2:$D$497,D304)&gt;1,"阶段序号重复",IF(E304&lt;=IFERROR(LOOKUP(2,1/(单次交易!$A$2:$A$201=B304),单次交易!$E$2:$E$201),0),"激活价须高于买入价",IF(F304&lt;N304,"止损价不得低于初始止损",IF(F304&gt;E304,"止损价不得高于激活价",IF(AND(COUNTIFS($A$2:$A$497,"止损计划",$B$2:$B$497,B304,$D$2:$D$497,"&lt;"&amp;D304)&gt;0,OR(E304&lt;=SUMPRODUCT(MAX((($A$2:$A$497="止损计划")*($B$2:$B$497=B304)*($D$2:$D$497&lt;D304))*$E$2:$E$497)),F304&lt;SUMPRODUCT(MAX((($A$2:$A$497="止损计划")*($B$2:$B$497=B304)*($D$2:$D$497&lt;D304))*$F$2:$F$497)))),"阶段价格必须逐级提高","计划有效"))))))),IF(A304="每日跟踪",IF(OR(B304="",H304="",I304="",J304=""),"每日数据不完整",IF(COUNTIFS($A$2:$A$497,"每日跟踪",$B$2:$B$497,B304,$H$2:$H$497,H304)&gt;1,"同一交易日期重复",IF(AND(R304&lt;&gt;"",R304&lt;S304),"人工止损无效：不能下调","跟踪有效"))),"记录类型无效")))</f>
        <v/>
      </c>
    </row>
    <row r="305" ht="17" spans="1:29">
      <c r="A305" s="2"/>
      <c r="B305" s="2"/>
      <c r="C305" s="8" t="str">
        <f>IF(B305="","",IFERROR(LOOKUP(2,1/(单次交易!$A$2:$A$201=B305),单次交易!$B$2:$B$201),""))</f>
        <v/>
      </c>
      <c r="D305" s="12"/>
      <c r="E305" s="10"/>
      <c r="F305" s="10"/>
      <c r="G305" s="2"/>
      <c r="H305" s="15"/>
      <c r="I305" s="10"/>
      <c r="J305" s="12"/>
      <c r="K305" s="2"/>
      <c r="L305" s="2"/>
      <c r="M305" s="2"/>
      <c r="N305" s="5" t="str">
        <f>IF(B305="","",IFERROR(LOOKUP(2,1/(单次交易!$A$2:$A$201=B305),单次交易!$N$2:$N$201),""))</f>
        <v/>
      </c>
      <c r="O305" s="5" t="str">
        <f t="shared" si="36"/>
        <v/>
      </c>
      <c r="P305" s="11" t="str">
        <f t="shared" si="37"/>
        <v/>
      </c>
      <c r="Q305" s="5" t="str">
        <f t="shared" si="38"/>
        <v/>
      </c>
      <c r="R305" s="10"/>
      <c r="S305" s="5" t="str">
        <f t="shared" si="39"/>
        <v/>
      </c>
      <c r="T305" s="5" t="str">
        <f t="shared" si="40"/>
        <v/>
      </c>
      <c r="U305" s="5" t="str">
        <f t="shared" si="41"/>
        <v/>
      </c>
      <c r="V305" s="7" t="str">
        <f t="shared" si="42"/>
        <v/>
      </c>
      <c r="W305" s="8" t="str">
        <f t="shared" si="43"/>
        <v/>
      </c>
      <c r="X305" s="2"/>
      <c r="Y305" s="10"/>
      <c r="Z305" s="11" t="str">
        <f>IF(X305&lt;&gt;"执行卖出","",IFERROR(LOOKUP(2,1/(单次交易!$A$2:$A$201=B305),单次交易!$AP$2:$AP$201),""))</f>
        <v/>
      </c>
      <c r="AA305" s="10"/>
      <c r="AB305" s="8" t="str">
        <f t="shared" si="44"/>
        <v/>
      </c>
      <c r="AC305" s="8" t="str">
        <f>IF(A305="","",IF(A305="止损计划",IF(OR(B305="",D305="",E305="",F305="",G305=""),"计划不完整",IF(OR(D305&lt;1,D305&lt;&gt;INT(D305)),"阶段序号无效",IF(COUNTIFS($A$2:$A$497,"止损计划",$B$2:$B$497,B305,$D$2:$D$497,D305)&gt;1,"阶段序号重复",IF(E305&lt;=IFERROR(LOOKUP(2,1/(单次交易!$A$2:$A$201=B305),单次交易!$E$2:$E$201),0),"激活价须高于买入价",IF(F305&lt;N305,"止损价不得低于初始止损",IF(F305&gt;E305,"止损价不得高于激活价",IF(AND(COUNTIFS($A$2:$A$497,"止损计划",$B$2:$B$497,B305,$D$2:$D$497,"&lt;"&amp;D305)&gt;0,OR(E305&lt;=SUMPRODUCT(MAX((($A$2:$A$497="止损计划")*($B$2:$B$497=B305)*($D$2:$D$497&lt;D305))*$E$2:$E$497)),F305&lt;SUMPRODUCT(MAX((($A$2:$A$497="止损计划")*($B$2:$B$497=B305)*($D$2:$D$497&lt;D305))*$F$2:$F$497)))),"阶段价格必须逐级提高","计划有效"))))))),IF(A305="每日跟踪",IF(OR(B305="",H305="",I305="",J305=""),"每日数据不完整",IF(COUNTIFS($A$2:$A$497,"每日跟踪",$B$2:$B$497,B305,$H$2:$H$497,H305)&gt;1,"同一交易日期重复",IF(AND(R305&lt;&gt;"",R305&lt;S305),"人工止损无效：不能下调","跟踪有效"))),"记录类型无效")))</f>
        <v/>
      </c>
    </row>
    <row r="306" ht="17" spans="1:29">
      <c r="A306" s="2"/>
      <c r="B306" s="2"/>
      <c r="C306" s="8" t="str">
        <f>IF(B306="","",IFERROR(LOOKUP(2,1/(单次交易!$A$2:$A$201=B306),单次交易!$B$2:$B$201),""))</f>
        <v/>
      </c>
      <c r="D306" s="12"/>
      <c r="E306" s="10"/>
      <c r="F306" s="10"/>
      <c r="G306" s="2"/>
      <c r="H306" s="15"/>
      <c r="I306" s="10"/>
      <c r="J306" s="12"/>
      <c r="K306" s="2"/>
      <c r="L306" s="2"/>
      <c r="M306" s="2"/>
      <c r="N306" s="5" t="str">
        <f>IF(B306="","",IFERROR(LOOKUP(2,1/(单次交易!$A$2:$A$201=B306),单次交易!$N$2:$N$201),""))</f>
        <v/>
      </c>
      <c r="O306" s="5" t="str">
        <f t="shared" si="36"/>
        <v/>
      </c>
      <c r="P306" s="11" t="str">
        <f t="shared" si="37"/>
        <v/>
      </c>
      <c r="Q306" s="5" t="str">
        <f t="shared" si="38"/>
        <v/>
      </c>
      <c r="R306" s="10"/>
      <c r="S306" s="5" t="str">
        <f t="shared" si="39"/>
        <v/>
      </c>
      <c r="T306" s="5" t="str">
        <f t="shared" si="40"/>
        <v/>
      </c>
      <c r="U306" s="5" t="str">
        <f t="shared" si="41"/>
        <v/>
      </c>
      <c r="V306" s="7" t="str">
        <f t="shared" si="42"/>
        <v/>
      </c>
      <c r="W306" s="8" t="str">
        <f t="shared" si="43"/>
        <v/>
      </c>
      <c r="X306" s="2"/>
      <c r="Y306" s="10"/>
      <c r="Z306" s="11" t="str">
        <f>IF(X306&lt;&gt;"执行卖出","",IFERROR(LOOKUP(2,1/(单次交易!$A$2:$A$201=B306),单次交易!$AP$2:$AP$201),""))</f>
        <v/>
      </c>
      <c r="AA306" s="10"/>
      <c r="AB306" s="8" t="str">
        <f t="shared" si="44"/>
        <v/>
      </c>
      <c r="AC306" s="8" t="str">
        <f>IF(A306="","",IF(A306="止损计划",IF(OR(B306="",D306="",E306="",F306="",G306=""),"计划不完整",IF(OR(D306&lt;1,D306&lt;&gt;INT(D306)),"阶段序号无效",IF(COUNTIFS($A$2:$A$497,"止损计划",$B$2:$B$497,B306,$D$2:$D$497,D306)&gt;1,"阶段序号重复",IF(E306&lt;=IFERROR(LOOKUP(2,1/(单次交易!$A$2:$A$201=B306),单次交易!$E$2:$E$201),0),"激活价须高于买入价",IF(F306&lt;N306,"止损价不得低于初始止损",IF(F306&gt;E306,"止损价不得高于激活价",IF(AND(COUNTIFS($A$2:$A$497,"止损计划",$B$2:$B$497,B306,$D$2:$D$497,"&lt;"&amp;D306)&gt;0,OR(E306&lt;=SUMPRODUCT(MAX((($A$2:$A$497="止损计划")*($B$2:$B$497=B306)*($D$2:$D$497&lt;D306))*$E$2:$E$497)),F306&lt;SUMPRODUCT(MAX((($A$2:$A$497="止损计划")*($B$2:$B$497=B306)*($D$2:$D$497&lt;D306))*$F$2:$F$497)))),"阶段价格必须逐级提高","计划有效"))))))),IF(A306="每日跟踪",IF(OR(B306="",H306="",I306="",J306=""),"每日数据不完整",IF(COUNTIFS($A$2:$A$497,"每日跟踪",$B$2:$B$497,B306,$H$2:$H$497,H306)&gt;1,"同一交易日期重复",IF(AND(R306&lt;&gt;"",R306&lt;S306),"人工止损无效：不能下调","跟踪有效"))),"记录类型无效")))</f>
        <v/>
      </c>
    </row>
    <row r="307" ht="17" spans="1:29">
      <c r="A307" s="2"/>
      <c r="B307" s="2"/>
      <c r="C307" s="8" t="str">
        <f>IF(B307="","",IFERROR(LOOKUP(2,1/(单次交易!$A$2:$A$201=B307),单次交易!$B$2:$B$201),""))</f>
        <v/>
      </c>
      <c r="D307" s="12"/>
      <c r="E307" s="10"/>
      <c r="F307" s="10"/>
      <c r="G307" s="2"/>
      <c r="H307" s="15"/>
      <c r="I307" s="10"/>
      <c r="J307" s="12"/>
      <c r="K307" s="2"/>
      <c r="L307" s="2"/>
      <c r="M307" s="2"/>
      <c r="N307" s="5" t="str">
        <f>IF(B307="","",IFERROR(LOOKUP(2,1/(单次交易!$A$2:$A$201=B307),单次交易!$N$2:$N$201),""))</f>
        <v/>
      </c>
      <c r="O307" s="5" t="str">
        <f t="shared" si="36"/>
        <v/>
      </c>
      <c r="P307" s="11" t="str">
        <f t="shared" si="37"/>
        <v/>
      </c>
      <c r="Q307" s="5" t="str">
        <f t="shared" si="38"/>
        <v/>
      </c>
      <c r="R307" s="10"/>
      <c r="S307" s="5" t="str">
        <f t="shared" si="39"/>
        <v/>
      </c>
      <c r="T307" s="5" t="str">
        <f t="shared" si="40"/>
        <v/>
      </c>
      <c r="U307" s="5" t="str">
        <f t="shared" si="41"/>
        <v/>
      </c>
      <c r="V307" s="7" t="str">
        <f t="shared" si="42"/>
        <v/>
      </c>
      <c r="W307" s="8" t="str">
        <f t="shared" si="43"/>
        <v/>
      </c>
      <c r="X307" s="2"/>
      <c r="Y307" s="10"/>
      <c r="Z307" s="11" t="str">
        <f>IF(X307&lt;&gt;"执行卖出","",IFERROR(LOOKUP(2,1/(单次交易!$A$2:$A$201=B307),单次交易!$AP$2:$AP$201),""))</f>
        <v/>
      </c>
      <c r="AA307" s="10"/>
      <c r="AB307" s="8" t="str">
        <f t="shared" si="44"/>
        <v/>
      </c>
      <c r="AC307" s="8" t="str">
        <f>IF(A307="","",IF(A307="止损计划",IF(OR(B307="",D307="",E307="",F307="",G307=""),"计划不完整",IF(OR(D307&lt;1,D307&lt;&gt;INT(D307)),"阶段序号无效",IF(COUNTIFS($A$2:$A$497,"止损计划",$B$2:$B$497,B307,$D$2:$D$497,D307)&gt;1,"阶段序号重复",IF(E307&lt;=IFERROR(LOOKUP(2,1/(单次交易!$A$2:$A$201=B307),单次交易!$E$2:$E$201),0),"激活价须高于买入价",IF(F307&lt;N307,"止损价不得低于初始止损",IF(F307&gt;E307,"止损价不得高于激活价",IF(AND(COUNTIFS($A$2:$A$497,"止损计划",$B$2:$B$497,B307,$D$2:$D$497,"&lt;"&amp;D307)&gt;0,OR(E307&lt;=SUMPRODUCT(MAX((($A$2:$A$497="止损计划")*($B$2:$B$497=B307)*($D$2:$D$497&lt;D307))*$E$2:$E$497)),F307&lt;SUMPRODUCT(MAX((($A$2:$A$497="止损计划")*($B$2:$B$497=B307)*($D$2:$D$497&lt;D307))*$F$2:$F$497)))),"阶段价格必须逐级提高","计划有效"))))))),IF(A307="每日跟踪",IF(OR(B307="",H307="",I307="",J307=""),"每日数据不完整",IF(COUNTIFS($A$2:$A$497,"每日跟踪",$B$2:$B$497,B307,$H$2:$H$497,H307)&gt;1,"同一交易日期重复",IF(AND(R307&lt;&gt;"",R307&lt;S307),"人工止损无效：不能下调","跟踪有效"))),"记录类型无效")))</f>
        <v/>
      </c>
    </row>
    <row r="308" ht="17" spans="1:29">
      <c r="A308" s="2"/>
      <c r="B308" s="2"/>
      <c r="C308" s="8" t="str">
        <f>IF(B308="","",IFERROR(LOOKUP(2,1/(单次交易!$A$2:$A$201=B308),单次交易!$B$2:$B$201),""))</f>
        <v/>
      </c>
      <c r="D308" s="12"/>
      <c r="E308" s="10"/>
      <c r="F308" s="10"/>
      <c r="G308" s="2"/>
      <c r="H308" s="15"/>
      <c r="I308" s="10"/>
      <c r="J308" s="12"/>
      <c r="K308" s="2"/>
      <c r="L308" s="2"/>
      <c r="M308" s="2"/>
      <c r="N308" s="5" t="str">
        <f>IF(B308="","",IFERROR(LOOKUP(2,1/(单次交易!$A$2:$A$201=B308),单次交易!$N$2:$N$201),""))</f>
        <v/>
      </c>
      <c r="O308" s="5" t="str">
        <f t="shared" si="36"/>
        <v/>
      </c>
      <c r="P308" s="11" t="str">
        <f t="shared" si="37"/>
        <v/>
      </c>
      <c r="Q308" s="5" t="str">
        <f t="shared" si="38"/>
        <v/>
      </c>
      <c r="R308" s="10"/>
      <c r="S308" s="5" t="str">
        <f t="shared" si="39"/>
        <v/>
      </c>
      <c r="T308" s="5" t="str">
        <f t="shared" si="40"/>
        <v/>
      </c>
      <c r="U308" s="5" t="str">
        <f t="shared" si="41"/>
        <v/>
      </c>
      <c r="V308" s="7" t="str">
        <f t="shared" si="42"/>
        <v/>
      </c>
      <c r="W308" s="8" t="str">
        <f t="shared" si="43"/>
        <v/>
      </c>
      <c r="X308" s="2"/>
      <c r="Y308" s="10"/>
      <c r="Z308" s="11" t="str">
        <f>IF(X308&lt;&gt;"执行卖出","",IFERROR(LOOKUP(2,1/(单次交易!$A$2:$A$201=B308),单次交易!$AP$2:$AP$201),""))</f>
        <v/>
      </c>
      <c r="AA308" s="10"/>
      <c r="AB308" s="8" t="str">
        <f t="shared" si="44"/>
        <v/>
      </c>
      <c r="AC308" s="8" t="str">
        <f>IF(A308="","",IF(A308="止损计划",IF(OR(B308="",D308="",E308="",F308="",G308=""),"计划不完整",IF(OR(D308&lt;1,D308&lt;&gt;INT(D308)),"阶段序号无效",IF(COUNTIFS($A$2:$A$497,"止损计划",$B$2:$B$497,B308,$D$2:$D$497,D308)&gt;1,"阶段序号重复",IF(E308&lt;=IFERROR(LOOKUP(2,1/(单次交易!$A$2:$A$201=B308),单次交易!$E$2:$E$201),0),"激活价须高于买入价",IF(F308&lt;N308,"止损价不得低于初始止损",IF(F308&gt;E308,"止损价不得高于激活价",IF(AND(COUNTIFS($A$2:$A$497,"止损计划",$B$2:$B$497,B308,$D$2:$D$497,"&lt;"&amp;D308)&gt;0,OR(E308&lt;=SUMPRODUCT(MAX((($A$2:$A$497="止损计划")*($B$2:$B$497=B308)*($D$2:$D$497&lt;D308))*$E$2:$E$497)),F308&lt;SUMPRODUCT(MAX((($A$2:$A$497="止损计划")*($B$2:$B$497=B308)*($D$2:$D$497&lt;D308))*$F$2:$F$497)))),"阶段价格必须逐级提高","计划有效"))))))),IF(A308="每日跟踪",IF(OR(B308="",H308="",I308="",J308=""),"每日数据不完整",IF(COUNTIFS($A$2:$A$497,"每日跟踪",$B$2:$B$497,B308,$H$2:$H$497,H308)&gt;1,"同一交易日期重复",IF(AND(R308&lt;&gt;"",R308&lt;S308),"人工止损无效：不能下调","跟踪有效"))),"记录类型无效")))</f>
        <v/>
      </c>
    </row>
    <row r="309" ht="17" spans="1:29">
      <c r="A309" s="2"/>
      <c r="B309" s="2"/>
      <c r="C309" s="8" t="str">
        <f>IF(B309="","",IFERROR(LOOKUP(2,1/(单次交易!$A$2:$A$201=B309),单次交易!$B$2:$B$201),""))</f>
        <v/>
      </c>
      <c r="D309" s="12"/>
      <c r="E309" s="10"/>
      <c r="F309" s="10"/>
      <c r="G309" s="2"/>
      <c r="H309" s="15"/>
      <c r="I309" s="10"/>
      <c r="J309" s="12"/>
      <c r="K309" s="2"/>
      <c r="L309" s="2"/>
      <c r="M309" s="2"/>
      <c r="N309" s="5" t="str">
        <f>IF(B309="","",IFERROR(LOOKUP(2,1/(单次交易!$A$2:$A$201=B309),单次交易!$N$2:$N$201),""))</f>
        <v/>
      </c>
      <c r="O309" s="5" t="str">
        <f t="shared" si="36"/>
        <v/>
      </c>
      <c r="P309" s="11" t="str">
        <f t="shared" si="37"/>
        <v/>
      </c>
      <c r="Q309" s="5" t="str">
        <f t="shared" si="38"/>
        <v/>
      </c>
      <c r="R309" s="10"/>
      <c r="S309" s="5" t="str">
        <f t="shared" si="39"/>
        <v/>
      </c>
      <c r="T309" s="5" t="str">
        <f t="shared" si="40"/>
        <v/>
      </c>
      <c r="U309" s="5" t="str">
        <f t="shared" si="41"/>
        <v/>
      </c>
      <c r="V309" s="7" t="str">
        <f t="shared" si="42"/>
        <v/>
      </c>
      <c r="W309" s="8" t="str">
        <f t="shared" si="43"/>
        <v/>
      </c>
      <c r="X309" s="2"/>
      <c r="Y309" s="10"/>
      <c r="Z309" s="11" t="str">
        <f>IF(X309&lt;&gt;"执行卖出","",IFERROR(LOOKUP(2,1/(单次交易!$A$2:$A$201=B309),单次交易!$AP$2:$AP$201),""))</f>
        <v/>
      </c>
      <c r="AA309" s="10"/>
      <c r="AB309" s="8" t="str">
        <f t="shared" si="44"/>
        <v/>
      </c>
      <c r="AC309" s="8" t="str">
        <f>IF(A309="","",IF(A309="止损计划",IF(OR(B309="",D309="",E309="",F309="",G309=""),"计划不完整",IF(OR(D309&lt;1,D309&lt;&gt;INT(D309)),"阶段序号无效",IF(COUNTIFS($A$2:$A$497,"止损计划",$B$2:$B$497,B309,$D$2:$D$497,D309)&gt;1,"阶段序号重复",IF(E309&lt;=IFERROR(LOOKUP(2,1/(单次交易!$A$2:$A$201=B309),单次交易!$E$2:$E$201),0),"激活价须高于买入价",IF(F309&lt;N309,"止损价不得低于初始止损",IF(F309&gt;E309,"止损价不得高于激活价",IF(AND(COUNTIFS($A$2:$A$497,"止损计划",$B$2:$B$497,B309,$D$2:$D$497,"&lt;"&amp;D309)&gt;0,OR(E309&lt;=SUMPRODUCT(MAX((($A$2:$A$497="止损计划")*($B$2:$B$497=B309)*($D$2:$D$497&lt;D309))*$E$2:$E$497)),F309&lt;SUMPRODUCT(MAX((($A$2:$A$497="止损计划")*($B$2:$B$497=B309)*($D$2:$D$497&lt;D309))*$F$2:$F$497)))),"阶段价格必须逐级提高","计划有效"))))))),IF(A309="每日跟踪",IF(OR(B309="",H309="",I309="",J309=""),"每日数据不完整",IF(COUNTIFS($A$2:$A$497,"每日跟踪",$B$2:$B$497,B309,$H$2:$H$497,H309)&gt;1,"同一交易日期重复",IF(AND(R309&lt;&gt;"",R309&lt;S309),"人工止损无效：不能下调","跟踪有效"))),"记录类型无效")))</f>
        <v/>
      </c>
    </row>
    <row r="310" ht="17" spans="1:29">
      <c r="A310" s="2"/>
      <c r="B310" s="2"/>
      <c r="C310" s="8" t="str">
        <f>IF(B310="","",IFERROR(LOOKUP(2,1/(单次交易!$A$2:$A$201=B310),单次交易!$B$2:$B$201),""))</f>
        <v/>
      </c>
      <c r="D310" s="12"/>
      <c r="E310" s="10"/>
      <c r="F310" s="10"/>
      <c r="G310" s="2"/>
      <c r="H310" s="15"/>
      <c r="I310" s="10"/>
      <c r="J310" s="12"/>
      <c r="K310" s="2"/>
      <c r="L310" s="2"/>
      <c r="M310" s="2"/>
      <c r="N310" s="5" t="str">
        <f>IF(B310="","",IFERROR(LOOKUP(2,1/(单次交易!$A$2:$A$201=B310),单次交易!$N$2:$N$201),""))</f>
        <v/>
      </c>
      <c r="O310" s="5" t="str">
        <f t="shared" si="36"/>
        <v/>
      </c>
      <c r="P310" s="11" t="str">
        <f t="shared" si="37"/>
        <v/>
      </c>
      <c r="Q310" s="5" t="str">
        <f t="shared" si="38"/>
        <v/>
      </c>
      <c r="R310" s="10"/>
      <c r="S310" s="5" t="str">
        <f t="shared" si="39"/>
        <v/>
      </c>
      <c r="T310" s="5" t="str">
        <f t="shared" si="40"/>
        <v/>
      </c>
      <c r="U310" s="5" t="str">
        <f t="shared" si="41"/>
        <v/>
      </c>
      <c r="V310" s="7" t="str">
        <f t="shared" si="42"/>
        <v/>
      </c>
      <c r="W310" s="8" t="str">
        <f t="shared" si="43"/>
        <v/>
      </c>
      <c r="X310" s="2"/>
      <c r="Y310" s="10"/>
      <c r="Z310" s="11" t="str">
        <f>IF(X310&lt;&gt;"执行卖出","",IFERROR(LOOKUP(2,1/(单次交易!$A$2:$A$201=B310),单次交易!$AP$2:$AP$201),""))</f>
        <v/>
      </c>
      <c r="AA310" s="10"/>
      <c r="AB310" s="8" t="str">
        <f t="shared" si="44"/>
        <v/>
      </c>
      <c r="AC310" s="8" t="str">
        <f>IF(A310="","",IF(A310="止损计划",IF(OR(B310="",D310="",E310="",F310="",G310=""),"计划不完整",IF(OR(D310&lt;1,D310&lt;&gt;INT(D310)),"阶段序号无效",IF(COUNTIFS($A$2:$A$497,"止损计划",$B$2:$B$497,B310,$D$2:$D$497,D310)&gt;1,"阶段序号重复",IF(E310&lt;=IFERROR(LOOKUP(2,1/(单次交易!$A$2:$A$201=B310),单次交易!$E$2:$E$201),0),"激活价须高于买入价",IF(F310&lt;N310,"止损价不得低于初始止损",IF(F310&gt;E310,"止损价不得高于激活价",IF(AND(COUNTIFS($A$2:$A$497,"止损计划",$B$2:$B$497,B310,$D$2:$D$497,"&lt;"&amp;D310)&gt;0,OR(E310&lt;=SUMPRODUCT(MAX((($A$2:$A$497="止损计划")*($B$2:$B$497=B310)*($D$2:$D$497&lt;D310))*$E$2:$E$497)),F310&lt;SUMPRODUCT(MAX((($A$2:$A$497="止损计划")*($B$2:$B$497=B310)*($D$2:$D$497&lt;D310))*$F$2:$F$497)))),"阶段价格必须逐级提高","计划有效"))))))),IF(A310="每日跟踪",IF(OR(B310="",H310="",I310="",J310=""),"每日数据不完整",IF(COUNTIFS($A$2:$A$497,"每日跟踪",$B$2:$B$497,B310,$H$2:$H$497,H310)&gt;1,"同一交易日期重复",IF(AND(R310&lt;&gt;"",R310&lt;S310),"人工止损无效：不能下调","跟踪有效"))),"记录类型无效")))</f>
        <v/>
      </c>
    </row>
    <row r="311" ht="17" spans="1:29">
      <c r="A311" s="2"/>
      <c r="B311" s="2"/>
      <c r="C311" s="8" t="str">
        <f>IF(B311="","",IFERROR(LOOKUP(2,1/(单次交易!$A$2:$A$201=B311),单次交易!$B$2:$B$201),""))</f>
        <v/>
      </c>
      <c r="D311" s="12"/>
      <c r="E311" s="10"/>
      <c r="F311" s="10"/>
      <c r="G311" s="2"/>
      <c r="H311" s="15"/>
      <c r="I311" s="10"/>
      <c r="J311" s="12"/>
      <c r="K311" s="2"/>
      <c r="L311" s="2"/>
      <c r="M311" s="2"/>
      <c r="N311" s="5" t="str">
        <f>IF(B311="","",IFERROR(LOOKUP(2,1/(单次交易!$A$2:$A$201=B311),单次交易!$N$2:$N$201),""))</f>
        <v/>
      </c>
      <c r="O311" s="5" t="str">
        <f t="shared" si="36"/>
        <v/>
      </c>
      <c r="P311" s="11" t="str">
        <f t="shared" si="37"/>
        <v/>
      </c>
      <c r="Q311" s="5" t="str">
        <f t="shared" si="38"/>
        <v/>
      </c>
      <c r="R311" s="10"/>
      <c r="S311" s="5" t="str">
        <f t="shared" si="39"/>
        <v/>
      </c>
      <c r="T311" s="5" t="str">
        <f t="shared" si="40"/>
        <v/>
      </c>
      <c r="U311" s="5" t="str">
        <f t="shared" si="41"/>
        <v/>
      </c>
      <c r="V311" s="7" t="str">
        <f t="shared" si="42"/>
        <v/>
      </c>
      <c r="W311" s="8" t="str">
        <f t="shared" si="43"/>
        <v/>
      </c>
      <c r="X311" s="2"/>
      <c r="Y311" s="10"/>
      <c r="Z311" s="11" t="str">
        <f>IF(X311&lt;&gt;"执行卖出","",IFERROR(LOOKUP(2,1/(单次交易!$A$2:$A$201=B311),单次交易!$AP$2:$AP$201),""))</f>
        <v/>
      </c>
      <c r="AA311" s="10"/>
      <c r="AB311" s="8" t="str">
        <f t="shared" si="44"/>
        <v/>
      </c>
      <c r="AC311" s="8" t="str">
        <f>IF(A311="","",IF(A311="止损计划",IF(OR(B311="",D311="",E311="",F311="",G311=""),"计划不完整",IF(OR(D311&lt;1,D311&lt;&gt;INT(D311)),"阶段序号无效",IF(COUNTIFS($A$2:$A$497,"止损计划",$B$2:$B$497,B311,$D$2:$D$497,D311)&gt;1,"阶段序号重复",IF(E311&lt;=IFERROR(LOOKUP(2,1/(单次交易!$A$2:$A$201=B311),单次交易!$E$2:$E$201),0),"激活价须高于买入价",IF(F311&lt;N311,"止损价不得低于初始止损",IF(F311&gt;E311,"止损价不得高于激活价",IF(AND(COUNTIFS($A$2:$A$497,"止损计划",$B$2:$B$497,B311,$D$2:$D$497,"&lt;"&amp;D311)&gt;0,OR(E311&lt;=SUMPRODUCT(MAX((($A$2:$A$497="止损计划")*($B$2:$B$497=B311)*($D$2:$D$497&lt;D311))*$E$2:$E$497)),F311&lt;SUMPRODUCT(MAX((($A$2:$A$497="止损计划")*($B$2:$B$497=B311)*($D$2:$D$497&lt;D311))*$F$2:$F$497)))),"阶段价格必须逐级提高","计划有效"))))))),IF(A311="每日跟踪",IF(OR(B311="",H311="",I311="",J311=""),"每日数据不完整",IF(COUNTIFS($A$2:$A$497,"每日跟踪",$B$2:$B$497,B311,$H$2:$H$497,H311)&gt;1,"同一交易日期重复",IF(AND(R311&lt;&gt;"",R311&lt;S311),"人工止损无效：不能下调","跟踪有效"))),"记录类型无效")))</f>
        <v/>
      </c>
    </row>
    <row r="312" ht="17" spans="1:29">
      <c r="A312" s="2"/>
      <c r="B312" s="2"/>
      <c r="C312" s="8" t="str">
        <f>IF(B312="","",IFERROR(LOOKUP(2,1/(单次交易!$A$2:$A$201=B312),单次交易!$B$2:$B$201),""))</f>
        <v/>
      </c>
      <c r="D312" s="12"/>
      <c r="E312" s="10"/>
      <c r="F312" s="10"/>
      <c r="G312" s="2"/>
      <c r="H312" s="15"/>
      <c r="I312" s="10"/>
      <c r="J312" s="12"/>
      <c r="K312" s="2"/>
      <c r="L312" s="2"/>
      <c r="M312" s="2"/>
      <c r="N312" s="5" t="str">
        <f>IF(B312="","",IFERROR(LOOKUP(2,1/(单次交易!$A$2:$A$201=B312),单次交易!$N$2:$N$201),""))</f>
        <v/>
      </c>
      <c r="O312" s="5" t="str">
        <f t="shared" si="36"/>
        <v/>
      </c>
      <c r="P312" s="11" t="str">
        <f t="shared" si="37"/>
        <v/>
      </c>
      <c r="Q312" s="5" t="str">
        <f t="shared" si="38"/>
        <v/>
      </c>
      <c r="R312" s="10"/>
      <c r="S312" s="5" t="str">
        <f t="shared" si="39"/>
        <v/>
      </c>
      <c r="T312" s="5" t="str">
        <f t="shared" si="40"/>
        <v/>
      </c>
      <c r="U312" s="5" t="str">
        <f t="shared" si="41"/>
        <v/>
      </c>
      <c r="V312" s="7" t="str">
        <f t="shared" si="42"/>
        <v/>
      </c>
      <c r="W312" s="8" t="str">
        <f t="shared" si="43"/>
        <v/>
      </c>
      <c r="X312" s="2"/>
      <c r="Y312" s="10"/>
      <c r="Z312" s="11" t="str">
        <f>IF(X312&lt;&gt;"执行卖出","",IFERROR(LOOKUP(2,1/(单次交易!$A$2:$A$201=B312),单次交易!$AP$2:$AP$201),""))</f>
        <v/>
      </c>
      <c r="AA312" s="10"/>
      <c r="AB312" s="8" t="str">
        <f t="shared" si="44"/>
        <v/>
      </c>
      <c r="AC312" s="8" t="str">
        <f>IF(A312="","",IF(A312="止损计划",IF(OR(B312="",D312="",E312="",F312="",G312=""),"计划不完整",IF(OR(D312&lt;1,D312&lt;&gt;INT(D312)),"阶段序号无效",IF(COUNTIFS($A$2:$A$497,"止损计划",$B$2:$B$497,B312,$D$2:$D$497,D312)&gt;1,"阶段序号重复",IF(E312&lt;=IFERROR(LOOKUP(2,1/(单次交易!$A$2:$A$201=B312),单次交易!$E$2:$E$201),0),"激活价须高于买入价",IF(F312&lt;N312,"止损价不得低于初始止损",IF(F312&gt;E312,"止损价不得高于激活价",IF(AND(COUNTIFS($A$2:$A$497,"止损计划",$B$2:$B$497,B312,$D$2:$D$497,"&lt;"&amp;D312)&gt;0,OR(E312&lt;=SUMPRODUCT(MAX((($A$2:$A$497="止损计划")*($B$2:$B$497=B312)*($D$2:$D$497&lt;D312))*$E$2:$E$497)),F312&lt;SUMPRODUCT(MAX((($A$2:$A$497="止损计划")*($B$2:$B$497=B312)*($D$2:$D$497&lt;D312))*$F$2:$F$497)))),"阶段价格必须逐级提高","计划有效"))))))),IF(A312="每日跟踪",IF(OR(B312="",H312="",I312="",J312=""),"每日数据不完整",IF(COUNTIFS($A$2:$A$497,"每日跟踪",$B$2:$B$497,B312,$H$2:$H$497,H312)&gt;1,"同一交易日期重复",IF(AND(R312&lt;&gt;"",R312&lt;S312),"人工止损无效：不能下调","跟踪有效"))),"记录类型无效")))</f>
        <v/>
      </c>
    </row>
    <row r="313" ht="17" spans="1:29">
      <c r="A313" s="2"/>
      <c r="B313" s="2"/>
      <c r="C313" s="8" t="str">
        <f>IF(B313="","",IFERROR(LOOKUP(2,1/(单次交易!$A$2:$A$201=B313),单次交易!$B$2:$B$201),""))</f>
        <v/>
      </c>
      <c r="D313" s="12"/>
      <c r="E313" s="10"/>
      <c r="F313" s="10"/>
      <c r="G313" s="2"/>
      <c r="H313" s="15"/>
      <c r="I313" s="10"/>
      <c r="J313" s="12"/>
      <c r="K313" s="2"/>
      <c r="L313" s="2"/>
      <c r="M313" s="2"/>
      <c r="N313" s="5" t="str">
        <f>IF(B313="","",IFERROR(LOOKUP(2,1/(单次交易!$A$2:$A$201=B313),单次交易!$N$2:$N$201),""))</f>
        <v/>
      </c>
      <c r="O313" s="5" t="str">
        <f t="shared" si="36"/>
        <v/>
      </c>
      <c r="P313" s="11" t="str">
        <f t="shared" si="37"/>
        <v/>
      </c>
      <c r="Q313" s="5" t="str">
        <f t="shared" si="38"/>
        <v/>
      </c>
      <c r="R313" s="10"/>
      <c r="S313" s="5" t="str">
        <f t="shared" si="39"/>
        <v/>
      </c>
      <c r="T313" s="5" t="str">
        <f t="shared" si="40"/>
        <v/>
      </c>
      <c r="U313" s="5" t="str">
        <f t="shared" si="41"/>
        <v/>
      </c>
      <c r="V313" s="7" t="str">
        <f t="shared" si="42"/>
        <v/>
      </c>
      <c r="W313" s="8" t="str">
        <f t="shared" si="43"/>
        <v/>
      </c>
      <c r="X313" s="2"/>
      <c r="Y313" s="10"/>
      <c r="Z313" s="11" t="str">
        <f>IF(X313&lt;&gt;"执行卖出","",IFERROR(LOOKUP(2,1/(单次交易!$A$2:$A$201=B313),单次交易!$AP$2:$AP$201),""))</f>
        <v/>
      </c>
      <c r="AA313" s="10"/>
      <c r="AB313" s="8" t="str">
        <f t="shared" si="44"/>
        <v/>
      </c>
      <c r="AC313" s="8" t="str">
        <f>IF(A313="","",IF(A313="止损计划",IF(OR(B313="",D313="",E313="",F313="",G313=""),"计划不完整",IF(OR(D313&lt;1,D313&lt;&gt;INT(D313)),"阶段序号无效",IF(COUNTIFS($A$2:$A$497,"止损计划",$B$2:$B$497,B313,$D$2:$D$497,D313)&gt;1,"阶段序号重复",IF(E313&lt;=IFERROR(LOOKUP(2,1/(单次交易!$A$2:$A$201=B313),单次交易!$E$2:$E$201),0),"激活价须高于买入价",IF(F313&lt;N313,"止损价不得低于初始止损",IF(F313&gt;E313,"止损价不得高于激活价",IF(AND(COUNTIFS($A$2:$A$497,"止损计划",$B$2:$B$497,B313,$D$2:$D$497,"&lt;"&amp;D313)&gt;0,OR(E313&lt;=SUMPRODUCT(MAX((($A$2:$A$497="止损计划")*($B$2:$B$497=B313)*($D$2:$D$497&lt;D313))*$E$2:$E$497)),F313&lt;SUMPRODUCT(MAX((($A$2:$A$497="止损计划")*($B$2:$B$497=B313)*($D$2:$D$497&lt;D313))*$F$2:$F$497)))),"阶段价格必须逐级提高","计划有效"))))))),IF(A313="每日跟踪",IF(OR(B313="",H313="",I313="",J313=""),"每日数据不完整",IF(COUNTIFS($A$2:$A$497,"每日跟踪",$B$2:$B$497,B313,$H$2:$H$497,H313)&gt;1,"同一交易日期重复",IF(AND(R313&lt;&gt;"",R313&lt;S313),"人工止损无效：不能下调","跟踪有效"))),"记录类型无效")))</f>
        <v/>
      </c>
    </row>
    <row r="314" ht="17" spans="1:29">
      <c r="A314" s="2"/>
      <c r="B314" s="2"/>
      <c r="C314" s="8" t="str">
        <f>IF(B314="","",IFERROR(LOOKUP(2,1/(单次交易!$A$2:$A$201=B314),单次交易!$B$2:$B$201),""))</f>
        <v/>
      </c>
      <c r="D314" s="12"/>
      <c r="E314" s="10"/>
      <c r="F314" s="10"/>
      <c r="G314" s="2"/>
      <c r="H314" s="15"/>
      <c r="I314" s="10"/>
      <c r="J314" s="12"/>
      <c r="K314" s="2"/>
      <c r="L314" s="2"/>
      <c r="M314" s="2"/>
      <c r="N314" s="5" t="str">
        <f>IF(B314="","",IFERROR(LOOKUP(2,1/(单次交易!$A$2:$A$201=B314),单次交易!$N$2:$N$201),""))</f>
        <v/>
      </c>
      <c r="O314" s="5" t="str">
        <f t="shared" si="36"/>
        <v/>
      </c>
      <c r="P314" s="11" t="str">
        <f t="shared" si="37"/>
        <v/>
      </c>
      <c r="Q314" s="5" t="str">
        <f t="shared" si="38"/>
        <v/>
      </c>
      <c r="R314" s="10"/>
      <c r="S314" s="5" t="str">
        <f t="shared" si="39"/>
        <v/>
      </c>
      <c r="T314" s="5" t="str">
        <f t="shared" si="40"/>
        <v/>
      </c>
      <c r="U314" s="5" t="str">
        <f t="shared" si="41"/>
        <v/>
      </c>
      <c r="V314" s="7" t="str">
        <f t="shared" si="42"/>
        <v/>
      </c>
      <c r="W314" s="8" t="str">
        <f t="shared" si="43"/>
        <v/>
      </c>
      <c r="X314" s="2"/>
      <c r="Y314" s="10"/>
      <c r="Z314" s="11" t="str">
        <f>IF(X314&lt;&gt;"执行卖出","",IFERROR(LOOKUP(2,1/(单次交易!$A$2:$A$201=B314),单次交易!$AP$2:$AP$201),""))</f>
        <v/>
      </c>
      <c r="AA314" s="10"/>
      <c r="AB314" s="8" t="str">
        <f t="shared" si="44"/>
        <v/>
      </c>
      <c r="AC314" s="8" t="str">
        <f>IF(A314="","",IF(A314="止损计划",IF(OR(B314="",D314="",E314="",F314="",G314=""),"计划不完整",IF(OR(D314&lt;1,D314&lt;&gt;INT(D314)),"阶段序号无效",IF(COUNTIFS($A$2:$A$497,"止损计划",$B$2:$B$497,B314,$D$2:$D$497,D314)&gt;1,"阶段序号重复",IF(E314&lt;=IFERROR(LOOKUP(2,1/(单次交易!$A$2:$A$201=B314),单次交易!$E$2:$E$201),0),"激活价须高于买入价",IF(F314&lt;N314,"止损价不得低于初始止损",IF(F314&gt;E314,"止损价不得高于激活价",IF(AND(COUNTIFS($A$2:$A$497,"止损计划",$B$2:$B$497,B314,$D$2:$D$497,"&lt;"&amp;D314)&gt;0,OR(E314&lt;=SUMPRODUCT(MAX((($A$2:$A$497="止损计划")*($B$2:$B$497=B314)*($D$2:$D$497&lt;D314))*$E$2:$E$497)),F314&lt;SUMPRODUCT(MAX((($A$2:$A$497="止损计划")*($B$2:$B$497=B314)*($D$2:$D$497&lt;D314))*$F$2:$F$497)))),"阶段价格必须逐级提高","计划有效"))))))),IF(A314="每日跟踪",IF(OR(B314="",H314="",I314="",J314=""),"每日数据不完整",IF(COUNTIFS($A$2:$A$497,"每日跟踪",$B$2:$B$497,B314,$H$2:$H$497,H314)&gt;1,"同一交易日期重复",IF(AND(R314&lt;&gt;"",R314&lt;S314),"人工止损无效：不能下调","跟踪有效"))),"记录类型无效")))</f>
        <v/>
      </c>
    </row>
    <row r="315" ht="17" spans="1:29">
      <c r="A315" s="2"/>
      <c r="B315" s="2"/>
      <c r="C315" s="8" t="str">
        <f>IF(B315="","",IFERROR(LOOKUP(2,1/(单次交易!$A$2:$A$201=B315),单次交易!$B$2:$B$201),""))</f>
        <v/>
      </c>
      <c r="D315" s="12"/>
      <c r="E315" s="10"/>
      <c r="F315" s="10"/>
      <c r="G315" s="2"/>
      <c r="H315" s="15"/>
      <c r="I315" s="10"/>
      <c r="J315" s="12"/>
      <c r="K315" s="2"/>
      <c r="L315" s="2"/>
      <c r="M315" s="2"/>
      <c r="N315" s="5" t="str">
        <f>IF(B315="","",IFERROR(LOOKUP(2,1/(单次交易!$A$2:$A$201=B315),单次交易!$N$2:$N$201),""))</f>
        <v/>
      </c>
      <c r="O315" s="5" t="str">
        <f t="shared" si="36"/>
        <v/>
      </c>
      <c r="P315" s="11" t="str">
        <f t="shared" si="37"/>
        <v/>
      </c>
      <c r="Q315" s="5" t="str">
        <f t="shared" si="38"/>
        <v/>
      </c>
      <c r="R315" s="10"/>
      <c r="S315" s="5" t="str">
        <f t="shared" si="39"/>
        <v/>
      </c>
      <c r="T315" s="5" t="str">
        <f t="shared" si="40"/>
        <v/>
      </c>
      <c r="U315" s="5" t="str">
        <f t="shared" si="41"/>
        <v/>
      </c>
      <c r="V315" s="7" t="str">
        <f t="shared" si="42"/>
        <v/>
      </c>
      <c r="W315" s="8" t="str">
        <f t="shared" si="43"/>
        <v/>
      </c>
      <c r="X315" s="2"/>
      <c r="Y315" s="10"/>
      <c r="Z315" s="11" t="str">
        <f>IF(X315&lt;&gt;"执行卖出","",IFERROR(LOOKUP(2,1/(单次交易!$A$2:$A$201=B315),单次交易!$AP$2:$AP$201),""))</f>
        <v/>
      </c>
      <c r="AA315" s="10"/>
      <c r="AB315" s="8" t="str">
        <f t="shared" si="44"/>
        <v/>
      </c>
      <c r="AC315" s="8" t="str">
        <f>IF(A315="","",IF(A315="止损计划",IF(OR(B315="",D315="",E315="",F315="",G315=""),"计划不完整",IF(OR(D315&lt;1,D315&lt;&gt;INT(D315)),"阶段序号无效",IF(COUNTIFS($A$2:$A$497,"止损计划",$B$2:$B$497,B315,$D$2:$D$497,D315)&gt;1,"阶段序号重复",IF(E315&lt;=IFERROR(LOOKUP(2,1/(单次交易!$A$2:$A$201=B315),单次交易!$E$2:$E$201),0),"激活价须高于买入价",IF(F315&lt;N315,"止损价不得低于初始止损",IF(F315&gt;E315,"止损价不得高于激活价",IF(AND(COUNTIFS($A$2:$A$497,"止损计划",$B$2:$B$497,B315,$D$2:$D$497,"&lt;"&amp;D315)&gt;0,OR(E315&lt;=SUMPRODUCT(MAX((($A$2:$A$497="止损计划")*($B$2:$B$497=B315)*($D$2:$D$497&lt;D315))*$E$2:$E$497)),F315&lt;SUMPRODUCT(MAX((($A$2:$A$497="止损计划")*($B$2:$B$497=B315)*($D$2:$D$497&lt;D315))*$F$2:$F$497)))),"阶段价格必须逐级提高","计划有效"))))))),IF(A315="每日跟踪",IF(OR(B315="",H315="",I315="",J315=""),"每日数据不完整",IF(COUNTIFS($A$2:$A$497,"每日跟踪",$B$2:$B$497,B315,$H$2:$H$497,H315)&gt;1,"同一交易日期重复",IF(AND(R315&lt;&gt;"",R315&lt;S315),"人工止损无效：不能下调","跟踪有效"))),"记录类型无效")))</f>
        <v/>
      </c>
    </row>
    <row r="316" ht="17" spans="1:29">
      <c r="A316" s="2"/>
      <c r="B316" s="2"/>
      <c r="C316" s="8" t="str">
        <f>IF(B316="","",IFERROR(LOOKUP(2,1/(单次交易!$A$2:$A$201=B316),单次交易!$B$2:$B$201),""))</f>
        <v/>
      </c>
      <c r="D316" s="12"/>
      <c r="E316" s="10"/>
      <c r="F316" s="10"/>
      <c r="G316" s="2"/>
      <c r="H316" s="15"/>
      <c r="I316" s="10"/>
      <c r="J316" s="12"/>
      <c r="K316" s="2"/>
      <c r="L316" s="2"/>
      <c r="M316" s="2"/>
      <c r="N316" s="5" t="str">
        <f>IF(B316="","",IFERROR(LOOKUP(2,1/(单次交易!$A$2:$A$201=B316),单次交易!$N$2:$N$201),""))</f>
        <v/>
      </c>
      <c r="O316" s="5" t="str">
        <f t="shared" si="36"/>
        <v/>
      </c>
      <c r="P316" s="11" t="str">
        <f t="shared" si="37"/>
        <v/>
      </c>
      <c r="Q316" s="5" t="str">
        <f t="shared" si="38"/>
        <v/>
      </c>
      <c r="R316" s="10"/>
      <c r="S316" s="5" t="str">
        <f t="shared" si="39"/>
        <v/>
      </c>
      <c r="T316" s="5" t="str">
        <f t="shared" si="40"/>
        <v/>
      </c>
      <c r="U316" s="5" t="str">
        <f t="shared" si="41"/>
        <v/>
      </c>
      <c r="V316" s="7" t="str">
        <f t="shared" si="42"/>
        <v/>
      </c>
      <c r="W316" s="8" t="str">
        <f t="shared" si="43"/>
        <v/>
      </c>
      <c r="X316" s="2"/>
      <c r="Y316" s="10"/>
      <c r="Z316" s="11" t="str">
        <f>IF(X316&lt;&gt;"执行卖出","",IFERROR(LOOKUP(2,1/(单次交易!$A$2:$A$201=B316),单次交易!$AP$2:$AP$201),""))</f>
        <v/>
      </c>
      <c r="AA316" s="10"/>
      <c r="AB316" s="8" t="str">
        <f t="shared" si="44"/>
        <v/>
      </c>
      <c r="AC316" s="8" t="str">
        <f>IF(A316="","",IF(A316="止损计划",IF(OR(B316="",D316="",E316="",F316="",G316=""),"计划不完整",IF(OR(D316&lt;1,D316&lt;&gt;INT(D316)),"阶段序号无效",IF(COUNTIFS($A$2:$A$497,"止损计划",$B$2:$B$497,B316,$D$2:$D$497,D316)&gt;1,"阶段序号重复",IF(E316&lt;=IFERROR(LOOKUP(2,1/(单次交易!$A$2:$A$201=B316),单次交易!$E$2:$E$201),0),"激活价须高于买入价",IF(F316&lt;N316,"止损价不得低于初始止损",IF(F316&gt;E316,"止损价不得高于激活价",IF(AND(COUNTIFS($A$2:$A$497,"止损计划",$B$2:$B$497,B316,$D$2:$D$497,"&lt;"&amp;D316)&gt;0,OR(E316&lt;=SUMPRODUCT(MAX((($A$2:$A$497="止损计划")*($B$2:$B$497=B316)*($D$2:$D$497&lt;D316))*$E$2:$E$497)),F316&lt;SUMPRODUCT(MAX((($A$2:$A$497="止损计划")*($B$2:$B$497=B316)*($D$2:$D$497&lt;D316))*$F$2:$F$497)))),"阶段价格必须逐级提高","计划有效"))))))),IF(A316="每日跟踪",IF(OR(B316="",H316="",I316="",J316=""),"每日数据不完整",IF(COUNTIFS($A$2:$A$497,"每日跟踪",$B$2:$B$497,B316,$H$2:$H$497,H316)&gt;1,"同一交易日期重复",IF(AND(R316&lt;&gt;"",R316&lt;S316),"人工止损无效：不能下调","跟踪有效"))),"记录类型无效")))</f>
        <v/>
      </c>
    </row>
    <row r="317" ht="17" spans="1:29">
      <c r="A317" s="2"/>
      <c r="B317" s="2"/>
      <c r="C317" s="8" t="str">
        <f>IF(B317="","",IFERROR(LOOKUP(2,1/(单次交易!$A$2:$A$201=B317),单次交易!$B$2:$B$201),""))</f>
        <v/>
      </c>
      <c r="D317" s="12"/>
      <c r="E317" s="10"/>
      <c r="F317" s="10"/>
      <c r="G317" s="2"/>
      <c r="H317" s="15"/>
      <c r="I317" s="10"/>
      <c r="J317" s="12"/>
      <c r="K317" s="2"/>
      <c r="L317" s="2"/>
      <c r="M317" s="2"/>
      <c r="N317" s="5" t="str">
        <f>IF(B317="","",IFERROR(LOOKUP(2,1/(单次交易!$A$2:$A$201=B317),单次交易!$N$2:$N$201),""))</f>
        <v/>
      </c>
      <c r="O317" s="5" t="str">
        <f t="shared" si="36"/>
        <v/>
      </c>
      <c r="P317" s="11" t="str">
        <f t="shared" si="37"/>
        <v/>
      </c>
      <c r="Q317" s="5" t="str">
        <f t="shared" si="38"/>
        <v/>
      </c>
      <c r="R317" s="10"/>
      <c r="S317" s="5" t="str">
        <f t="shared" si="39"/>
        <v/>
      </c>
      <c r="T317" s="5" t="str">
        <f t="shared" si="40"/>
        <v/>
      </c>
      <c r="U317" s="5" t="str">
        <f t="shared" si="41"/>
        <v/>
      </c>
      <c r="V317" s="7" t="str">
        <f t="shared" si="42"/>
        <v/>
      </c>
      <c r="W317" s="8" t="str">
        <f t="shared" si="43"/>
        <v/>
      </c>
      <c r="X317" s="2"/>
      <c r="Y317" s="10"/>
      <c r="Z317" s="11" t="str">
        <f>IF(X317&lt;&gt;"执行卖出","",IFERROR(LOOKUP(2,1/(单次交易!$A$2:$A$201=B317),单次交易!$AP$2:$AP$201),""))</f>
        <v/>
      </c>
      <c r="AA317" s="10"/>
      <c r="AB317" s="8" t="str">
        <f t="shared" si="44"/>
        <v/>
      </c>
      <c r="AC317" s="8" t="str">
        <f>IF(A317="","",IF(A317="止损计划",IF(OR(B317="",D317="",E317="",F317="",G317=""),"计划不完整",IF(OR(D317&lt;1,D317&lt;&gt;INT(D317)),"阶段序号无效",IF(COUNTIFS($A$2:$A$497,"止损计划",$B$2:$B$497,B317,$D$2:$D$497,D317)&gt;1,"阶段序号重复",IF(E317&lt;=IFERROR(LOOKUP(2,1/(单次交易!$A$2:$A$201=B317),单次交易!$E$2:$E$201),0),"激活价须高于买入价",IF(F317&lt;N317,"止损价不得低于初始止损",IF(F317&gt;E317,"止损价不得高于激活价",IF(AND(COUNTIFS($A$2:$A$497,"止损计划",$B$2:$B$497,B317,$D$2:$D$497,"&lt;"&amp;D317)&gt;0,OR(E317&lt;=SUMPRODUCT(MAX((($A$2:$A$497="止损计划")*($B$2:$B$497=B317)*($D$2:$D$497&lt;D317))*$E$2:$E$497)),F317&lt;SUMPRODUCT(MAX((($A$2:$A$497="止损计划")*($B$2:$B$497=B317)*($D$2:$D$497&lt;D317))*$F$2:$F$497)))),"阶段价格必须逐级提高","计划有效"))))))),IF(A317="每日跟踪",IF(OR(B317="",H317="",I317="",J317=""),"每日数据不完整",IF(COUNTIFS($A$2:$A$497,"每日跟踪",$B$2:$B$497,B317,$H$2:$H$497,H317)&gt;1,"同一交易日期重复",IF(AND(R317&lt;&gt;"",R317&lt;S317),"人工止损无效：不能下调","跟踪有效"))),"记录类型无效")))</f>
        <v/>
      </c>
    </row>
    <row r="318" ht="17" spans="1:29">
      <c r="A318" s="2"/>
      <c r="B318" s="2"/>
      <c r="C318" s="8" t="str">
        <f>IF(B318="","",IFERROR(LOOKUP(2,1/(单次交易!$A$2:$A$201=B318),单次交易!$B$2:$B$201),""))</f>
        <v/>
      </c>
      <c r="D318" s="12"/>
      <c r="E318" s="10"/>
      <c r="F318" s="10"/>
      <c r="G318" s="2"/>
      <c r="H318" s="15"/>
      <c r="I318" s="10"/>
      <c r="J318" s="12"/>
      <c r="K318" s="2"/>
      <c r="L318" s="2"/>
      <c r="M318" s="2"/>
      <c r="N318" s="5" t="str">
        <f>IF(B318="","",IFERROR(LOOKUP(2,1/(单次交易!$A$2:$A$201=B318),单次交易!$N$2:$N$201),""))</f>
        <v/>
      </c>
      <c r="O318" s="5" t="str">
        <f t="shared" si="36"/>
        <v/>
      </c>
      <c r="P318" s="11" t="str">
        <f t="shared" si="37"/>
        <v/>
      </c>
      <c r="Q318" s="5" t="str">
        <f t="shared" si="38"/>
        <v/>
      </c>
      <c r="R318" s="10"/>
      <c r="S318" s="5" t="str">
        <f t="shared" si="39"/>
        <v/>
      </c>
      <c r="T318" s="5" t="str">
        <f t="shared" si="40"/>
        <v/>
      </c>
      <c r="U318" s="5" t="str">
        <f t="shared" si="41"/>
        <v/>
      </c>
      <c r="V318" s="7" t="str">
        <f t="shared" si="42"/>
        <v/>
      </c>
      <c r="W318" s="8" t="str">
        <f t="shared" si="43"/>
        <v/>
      </c>
      <c r="X318" s="2"/>
      <c r="Y318" s="10"/>
      <c r="Z318" s="11" t="str">
        <f>IF(X318&lt;&gt;"执行卖出","",IFERROR(LOOKUP(2,1/(单次交易!$A$2:$A$201=B318),单次交易!$AP$2:$AP$201),""))</f>
        <v/>
      </c>
      <c r="AA318" s="10"/>
      <c r="AB318" s="8" t="str">
        <f t="shared" si="44"/>
        <v/>
      </c>
      <c r="AC318" s="8" t="str">
        <f>IF(A318="","",IF(A318="止损计划",IF(OR(B318="",D318="",E318="",F318="",G318=""),"计划不完整",IF(OR(D318&lt;1,D318&lt;&gt;INT(D318)),"阶段序号无效",IF(COUNTIFS($A$2:$A$497,"止损计划",$B$2:$B$497,B318,$D$2:$D$497,D318)&gt;1,"阶段序号重复",IF(E318&lt;=IFERROR(LOOKUP(2,1/(单次交易!$A$2:$A$201=B318),单次交易!$E$2:$E$201),0),"激活价须高于买入价",IF(F318&lt;N318,"止损价不得低于初始止损",IF(F318&gt;E318,"止损价不得高于激活价",IF(AND(COUNTIFS($A$2:$A$497,"止损计划",$B$2:$B$497,B318,$D$2:$D$497,"&lt;"&amp;D318)&gt;0,OR(E318&lt;=SUMPRODUCT(MAX((($A$2:$A$497="止损计划")*($B$2:$B$497=B318)*($D$2:$D$497&lt;D318))*$E$2:$E$497)),F318&lt;SUMPRODUCT(MAX((($A$2:$A$497="止损计划")*($B$2:$B$497=B318)*($D$2:$D$497&lt;D318))*$F$2:$F$497)))),"阶段价格必须逐级提高","计划有效"))))))),IF(A318="每日跟踪",IF(OR(B318="",H318="",I318="",J318=""),"每日数据不完整",IF(COUNTIFS($A$2:$A$497,"每日跟踪",$B$2:$B$497,B318,$H$2:$H$497,H318)&gt;1,"同一交易日期重复",IF(AND(R318&lt;&gt;"",R318&lt;S318),"人工止损无效：不能下调","跟踪有效"))),"记录类型无效")))</f>
        <v/>
      </c>
    </row>
    <row r="319" ht="17" spans="1:29">
      <c r="A319" s="2"/>
      <c r="B319" s="2"/>
      <c r="C319" s="8" t="str">
        <f>IF(B319="","",IFERROR(LOOKUP(2,1/(单次交易!$A$2:$A$201=B319),单次交易!$B$2:$B$201),""))</f>
        <v/>
      </c>
      <c r="D319" s="12"/>
      <c r="E319" s="10"/>
      <c r="F319" s="10"/>
      <c r="G319" s="2"/>
      <c r="H319" s="15"/>
      <c r="I319" s="10"/>
      <c r="J319" s="12"/>
      <c r="K319" s="2"/>
      <c r="L319" s="2"/>
      <c r="M319" s="2"/>
      <c r="N319" s="5" t="str">
        <f>IF(B319="","",IFERROR(LOOKUP(2,1/(单次交易!$A$2:$A$201=B319),单次交易!$N$2:$N$201),""))</f>
        <v/>
      </c>
      <c r="O319" s="5" t="str">
        <f t="shared" si="36"/>
        <v/>
      </c>
      <c r="P319" s="11" t="str">
        <f t="shared" si="37"/>
        <v/>
      </c>
      <c r="Q319" s="5" t="str">
        <f t="shared" si="38"/>
        <v/>
      </c>
      <c r="R319" s="10"/>
      <c r="S319" s="5" t="str">
        <f t="shared" si="39"/>
        <v/>
      </c>
      <c r="T319" s="5" t="str">
        <f t="shared" si="40"/>
        <v/>
      </c>
      <c r="U319" s="5" t="str">
        <f t="shared" si="41"/>
        <v/>
      </c>
      <c r="V319" s="7" t="str">
        <f t="shared" si="42"/>
        <v/>
      </c>
      <c r="W319" s="8" t="str">
        <f t="shared" si="43"/>
        <v/>
      </c>
      <c r="X319" s="2"/>
      <c r="Y319" s="10"/>
      <c r="Z319" s="11" t="str">
        <f>IF(X319&lt;&gt;"执行卖出","",IFERROR(LOOKUP(2,1/(单次交易!$A$2:$A$201=B319),单次交易!$AP$2:$AP$201),""))</f>
        <v/>
      </c>
      <c r="AA319" s="10"/>
      <c r="AB319" s="8" t="str">
        <f t="shared" si="44"/>
        <v/>
      </c>
      <c r="AC319" s="8" t="str">
        <f>IF(A319="","",IF(A319="止损计划",IF(OR(B319="",D319="",E319="",F319="",G319=""),"计划不完整",IF(OR(D319&lt;1,D319&lt;&gt;INT(D319)),"阶段序号无效",IF(COUNTIFS($A$2:$A$497,"止损计划",$B$2:$B$497,B319,$D$2:$D$497,D319)&gt;1,"阶段序号重复",IF(E319&lt;=IFERROR(LOOKUP(2,1/(单次交易!$A$2:$A$201=B319),单次交易!$E$2:$E$201),0),"激活价须高于买入价",IF(F319&lt;N319,"止损价不得低于初始止损",IF(F319&gt;E319,"止损价不得高于激活价",IF(AND(COUNTIFS($A$2:$A$497,"止损计划",$B$2:$B$497,B319,$D$2:$D$497,"&lt;"&amp;D319)&gt;0,OR(E319&lt;=SUMPRODUCT(MAX((($A$2:$A$497="止损计划")*($B$2:$B$497=B319)*($D$2:$D$497&lt;D319))*$E$2:$E$497)),F319&lt;SUMPRODUCT(MAX((($A$2:$A$497="止损计划")*($B$2:$B$497=B319)*($D$2:$D$497&lt;D319))*$F$2:$F$497)))),"阶段价格必须逐级提高","计划有效"))))))),IF(A319="每日跟踪",IF(OR(B319="",H319="",I319="",J319=""),"每日数据不完整",IF(COUNTIFS($A$2:$A$497,"每日跟踪",$B$2:$B$497,B319,$H$2:$H$497,H319)&gt;1,"同一交易日期重复",IF(AND(R319&lt;&gt;"",R319&lt;S319),"人工止损无效：不能下调","跟踪有效"))),"记录类型无效")))</f>
        <v/>
      </c>
    </row>
    <row r="320" ht="17" spans="1:29">
      <c r="A320" s="2"/>
      <c r="B320" s="2"/>
      <c r="C320" s="8" t="str">
        <f>IF(B320="","",IFERROR(LOOKUP(2,1/(单次交易!$A$2:$A$201=B320),单次交易!$B$2:$B$201),""))</f>
        <v/>
      </c>
      <c r="D320" s="12"/>
      <c r="E320" s="10"/>
      <c r="F320" s="10"/>
      <c r="G320" s="2"/>
      <c r="H320" s="15"/>
      <c r="I320" s="10"/>
      <c r="J320" s="12"/>
      <c r="K320" s="2"/>
      <c r="L320" s="2"/>
      <c r="M320" s="2"/>
      <c r="N320" s="5" t="str">
        <f>IF(B320="","",IFERROR(LOOKUP(2,1/(单次交易!$A$2:$A$201=B320),单次交易!$N$2:$N$201),""))</f>
        <v/>
      </c>
      <c r="O320" s="5" t="str">
        <f t="shared" si="36"/>
        <v/>
      </c>
      <c r="P320" s="11" t="str">
        <f t="shared" si="37"/>
        <v/>
      </c>
      <c r="Q320" s="5" t="str">
        <f t="shared" si="38"/>
        <v/>
      </c>
      <c r="R320" s="10"/>
      <c r="S320" s="5" t="str">
        <f t="shared" si="39"/>
        <v/>
      </c>
      <c r="T320" s="5" t="str">
        <f t="shared" si="40"/>
        <v/>
      </c>
      <c r="U320" s="5" t="str">
        <f t="shared" si="41"/>
        <v/>
      </c>
      <c r="V320" s="7" t="str">
        <f t="shared" si="42"/>
        <v/>
      </c>
      <c r="W320" s="8" t="str">
        <f t="shared" si="43"/>
        <v/>
      </c>
      <c r="X320" s="2"/>
      <c r="Y320" s="10"/>
      <c r="Z320" s="11" t="str">
        <f>IF(X320&lt;&gt;"执行卖出","",IFERROR(LOOKUP(2,1/(单次交易!$A$2:$A$201=B320),单次交易!$AP$2:$AP$201),""))</f>
        <v/>
      </c>
      <c r="AA320" s="10"/>
      <c r="AB320" s="8" t="str">
        <f t="shared" si="44"/>
        <v/>
      </c>
      <c r="AC320" s="8" t="str">
        <f>IF(A320="","",IF(A320="止损计划",IF(OR(B320="",D320="",E320="",F320="",G320=""),"计划不完整",IF(OR(D320&lt;1,D320&lt;&gt;INT(D320)),"阶段序号无效",IF(COUNTIFS($A$2:$A$497,"止损计划",$B$2:$B$497,B320,$D$2:$D$497,D320)&gt;1,"阶段序号重复",IF(E320&lt;=IFERROR(LOOKUP(2,1/(单次交易!$A$2:$A$201=B320),单次交易!$E$2:$E$201),0),"激活价须高于买入价",IF(F320&lt;N320,"止损价不得低于初始止损",IF(F320&gt;E320,"止损价不得高于激活价",IF(AND(COUNTIFS($A$2:$A$497,"止损计划",$B$2:$B$497,B320,$D$2:$D$497,"&lt;"&amp;D320)&gt;0,OR(E320&lt;=SUMPRODUCT(MAX((($A$2:$A$497="止损计划")*($B$2:$B$497=B320)*($D$2:$D$497&lt;D320))*$E$2:$E$497)),F320&lt;SUMPRODUCT(MAX((($A$2:$A$497="止损计划")*($B$2:$B$497=B320)*($D$2:$D$497&lt;D320))*$F$2:$F$497)))),"阶段价格必须逐级提高","计划有效"))))))),IF(A320="每日跟踪",IF(OR(B320="",H320="",I320="",J320=""),"每日数据不完整",IF(COUNTIFS($A$2:$A$497,"每日跟踪",$B$2:$B$497,B320,$H$2:$H$497,H320)&gt;1,"同一交易日期重复",IF(AND(R320&lt;&gt;"",R320&lt;S320),"人工止损无效：不能下调","跟踪有效"))),"记录类型无效")))</f>
        <v/>
      </c>
    </row>
    <row r="321" ht="17" spans="1:29">
      <c r="A321" s="2"/>
      <c r="B321" s="2"/>
      <c r="C321" s="8" t="str">
        <f>IF(B321="","",IFERROR(LOOKUP(2,1/(单次交易!$A$2:$A$201=B321),单次交易!$B$2:$B$201),""))</f>
        <v/>
      </c>
      <c r="D321" s="12"/>
      <c r="E321" s="10"/>
      <c r="F321" s="10"/>
      <c r="G321" s="2"/>
      <c r="H321" s="15"/>
      <c r="I321" s="10"/>
      <c r="J321" s="12"/>
      <c r="K321" s="2"/>
      <c r="L321" s="2"/>
      <c r="M321" s="2"/>
      <c r="N321" s="5" t="str">
        <f>IF(B321="","",IFERROR(LOOKUP(2,1/(单次交易!$A$2:$A$201=B321),单次交易!$N$2:$N$201),""))</f>
        <v/>
      </c>
      <c r="O321" s="5" t="str">
        <f t="shared" si="36"/>
        <v/>
      </c>
      <c r="P321" s="11" t="str">
        <f t="shared" si="37"/>
        <v/>
      </c>
      <c r="Q321" s="5" t="str">
        <f t="shared" si="38"/>
        <v/>
      </c>
      <c r="R321" s="10"/>
      <c r="S321" s="5" t="str">
        <f t="shared" si="39"/>
        <v/>
      </c>
      <c r="T321" s="5" t="str">
        <f t="shared" si="40"/>
        <v/>
      </c>
      <c r="U321" s="5" t="str">
        <f t="shared" si="41"/>
        <v/>
      </c>
      <c r="V321" s="7" t="str">
        <f t="shared" si="42"/>
        <v/>
      </c>
      <c r="W321" s="8" t="str">
        <f t="shared" si="43"/>
        <v/>
      </c>
      <c r="X321" s="2"/>
      <c r="Y321" s="10"/>
      <c r="Z321" s="11" t="str">
        <f>IF(X321&lt;&gt;"执行卖出","",IFERROR(LOOKUP(2,1/(单次交易!$A$2:$A$201=B321),单次交易!$AP$2:$AP$201),""))</f>
        <v/>
      </c>
      <c r="AA321" s="10"/>
      <c r="AB321" s="8" t="str">
        <f t="shared" si="44"/>
        <v/>
      </c>
      <c r="AC321" s="8" t="str">
        <f>IF(A321="","",IF(A321="止损计划",IF(OR(B321="",D321="",E321="",F321="",G321=""),"计划不完整",IF(OR(D321&lt;1,D321&lt;&gt;INT(D321)),"阶段序号无效",IF(COUNTIFS($A$2:$A$497,"止损计划",$B$2:$B$497,B321,$D$2:$D$497,D321)&gt;1,"阶段序号重复",IF(E321&lt;=IFERROR(LOOKUP(2,1/(单次交易!$A$2:$A$201=B321),单次交易!$E$2:$E$201),0),"激活价须高于买入价",IF(F321&lt;N321,"止损价不得低于初始止损",IF(F321&gt;E321,"止损价不得高于激活价",IF(AND(COUNTIFS($A$2:$A$497,"止损计划",$B$2:$B$497,B321,$D$2:$D$497,"&lt;"&amp;D321)&gt;0,OR(E321&lt;=SUMPRODUCT(MAX((($A$2:$A$497="止损计划")*($B$2:$B$497=B321)*($D$2:$D$497&lt;D321))*$E$2:$E$497)),F321&lt;SUMPRODUCT(MAX((($A$2:$A$497="止损计划")*($B$2:$B$497=B321)*($D$2:$D$497&lt;D321))*$F$2:$F$497)))),"阶段价格必须逐级提高","计划有效"))))))),IF(A321="每日跟踪",IF(OR(B321="",H321="",I321="",J321=""),"每日数据不完整",IF(COUNTIFS($A$2:$A$497,"每日跟踪",$B$2:$B$497,B321,$H$2:$H$497,H321)&gt;1,"同一交易日期重复",IF(AND(R321&lt;&gt;"",R321&lt;S321),"人工止损无效：不能下调","跟踪有效"))),"记录类型无效")))</f>
        <v/>
      </c>
    </row>
    <row r="322" ht="17" spans="1:29">
      <c r="A322" s="2"/>
      <c r="B322" s="2"/>
      <c r="C322" s="8" t="str">
        <f>IF(B322="","",IFERROR(LOOKUP(2,1/(单次交易!$A$2:$A$201=B322),单次交易!$B$2:$B$201),""))</f>
        <v/>
      </c>
      <c r="D322" s="12"/>
      <c r="E322" s="10"/>
      <c r="F322" s="10"/>
      <c r="G322" s="2"/>
      <c r="H322" s="15"/>
      <c r="I322" s="10"/>
      <c r="J322" s="12"/>
      <c r="K322" s="2"/>
      <c r="L322" s="2"/>
      <c r="M322" s="2"/>
      <c r="N322" s="5" t="str">
        <f>IF(B322="","",IFERROR(LOOKUP(2,1/(单次交易!$A$2:$A$201=B322),单次交易!$N$2:$N$201),""))</f>
        <v/>
      </c>
      <c r="O322" s="5" t="str">
        <f t="shared" ref="O322:O329" si="45">IF(A322&lt;&gt;"每日跟踪","",IF(OR(B322="",H322="",I322=""),"",IFERROR(SUMPRODUCT(MAX((($A$2:$A$497="每日跟踪")*($B$2:$B$497=B322)*($H$2:$H$497&lt;=H322))*$I$2:$I$497)),"")))</f>
        <v/>
      </c>
      <c r="P322" s="11" t="str">
        <f t="shared" ref="P322:P329" si="46">IF(A322&lt;&gt;"每日跟踪","",IF(O322="","",IFERROR(SUMPRODUCT(MAX((($A$2:$A$497="止损计划")*($B$2:$B$497=B322)*($E$2:$E$497&lt;=O322))*$D$2:$D$497)),0)))</f>
        <v/>
      </c>
      <c r="Q322" s="5" t="str">
        <f t="shared" ref="Q322:Q329" si="47">IF(A322&lt;&gt;"每日跟踪","",IF(N322="","",MAX(N322,IFERROR(SUMPRODUCT(MAX((($A$2:$A$497="止损计划")*($B$2:$B$497=B322)*($E$2:$E$497&lt;=O322))*$F$2:$F$497)),0))))</f>
        <v/>
      </c>
      <c r="R322" s="10"/>
      <c r="S322" s="5" t="str">
        <f t="shared" ref="S322:S329" si="48">IF(A322&lt;&gt;"每日跟踪","",IF(Q322="","",MAX(Q322,IFERROR(SUMPRODUCT(MAX((($A$2:$A$497="每日跟踪")*($B$2:$B$497=B322)*($H$2:$H$497&lt;=H322))*$R$2:$R$497)),0))))</f>
        <v/>
      </c>
      <c r="T322" s="5" t="str">
        <f t="shared" ref="T322:T329" si="49">IF(A322&lt;&gt;"每日跟踪","",IF(O322="","",IF(COUNTIFS($A$2:$A$497,"止损计划",$B$2:$B$497,B322,$E$2:$E$497,"&gt;"&amp;O322)=0,"",INDEX($E$2:$E$497,MATCH(1,INDEX(($A$2:$A$497="止损计划")*($B$2:$B$497=B322)*($E$2:$E$497&gt;O322),0),0)))))</f>
        <v/>
      </c>
      <c r="U322" s="5" t="str">
        <f t="shared" ref="U322:U329" si="50">IF(OR(A322&lt;&gt;"每日跟踪",T322=""),"",IFERROR(SUMIFS($F$2:$F$497,$A$2:$A$497,"止损计划",$B$2:$B$497,B322,$E$2:$E$497,T322),""))</f>
        <v/>
      </c>
      <c r="V322" s="7" t="str">
        <f t="shared" ref="V322:V329" si="51">IF(OR(A322&lt;&gt;"每日跟踪",T322="",I322="",I322&lt;=0),"",T322/I322-1)</f>
        <v/>
      </c>
      <c r="W322" s="8" t="str">
        <f t="shared" ref="W322:W329" si="52">IF(A322&lt;&gt;"每日跟踪","",IF(OR(I322="",S322=""),"",IF(I322&lt;=S322,"触发止损：应全部卖出","继续观察")))</f>
        <v/>
      </c>
      <c r="X322" s="2"/>
      <c r="Y322" s="10"/>
      <c r="Z322" s="11" t="str">
        <f>IF(X322&lt;&gt;"执行卖出","",IFERROR(LOOKUP(2,1/(单次交易!$A$2:$A$201=B322),单次交易!$AP$2:$AP$201),""))</f>
        <v/>
      </c>
      <c r="AA322" s="10"/>
      <c r="AB322" s="8" t="str">
        <f t="shared" ref="AB322:AB329" si="53">IF(A322&lt;&gt;"每日跟踪","",IF(OR(B322="",H322="",I322="",J322="",K322="",L322="",M322=""),"待补充每日记录",IF(W322="触发止损：应全部卖出",IF(X322&lt;&gt;"执行卖出","违规：触发止损但未执行",IF(Y322="","待补充实际卖出价","卖出记录完整")),IF(X322="","待选择卖出动作",IF(X322="执行卖出",IF(Y322="","待补充实际卖出价","卖出记录完整"),"正常")))))</f>
        <v/>
      </c>
      <c r="AC322" s="8" t="str">
        <f>IF(A322="","",IF(A322="止损计划",IF(OR(B322="",D322="",E322="",F322="",G322=""),"计划不完整",IF(OR(D322&lt;1,D322&lt;&gt;INT(D322)),"阶段序号无效",IF(COUNTIFS($A$2:$A$497,"止损计划",$B$2:$B$497,B322,$D$2:$D$497,D322)&gt;1,"阶段序号重复",IF(E322&lt;=IFERROR(LOOKUP(2,1/(单次交易!$A$2:$A$201=B322),单次交易!$E$2:$E$201),0),"激活价须高于买入价",IF(F322&lt;N322,"止损价不得低于初始止损",IF(F322&gt;E322,"止损价不得高于激活价",IF(AND(COUNTIFS($A$2:$A$497,"止损计划",$B$2:$B$497,B322,$D$2:$D$497,"&lt;"&amp;D322)&gt;0,OR(E322&lt;=SUMPRODUCT(MAX((($A$2:$A$497="止损计划")*($B$2:$B$497=B322)*($D$2:$D$497&lt;D322))*$E$2:$E$497)),F322&lt;SUMPRODUCT(MAX((($A$2:$A$497="止损计划")*($B$2:$B$497=B322)*($D$2:$D$497&lt;D322))*$F$2:$F$497)))),"阶段价格必须逐级提高","计划有效"))))))),IF(A322="每日跟踪",IF(OR(B322="",H322="",I322="",J322=""),"每日数据不完整",IF(COUNTIFS($A$2:$A$497,"每日跟踪",$B$2:$B$497,B322,$H$2:$H$497,H322)&gt;1,"同一交易日期重复",IF(AND(R322&lt;&gt;"",R322&lt;S322),"人工止损无效：不能下调","跟踪有效"))),"记录类型无效")))</f>
        <v/>
      </c>
    </row>
    <row r="323" ht="17" spans="1:29">
      <c r="A323" s="2"/>
      <c r="B323" s="2"/>
      <c r="C323" s="8" t="str">
        <f>IF(B323="","",IFERROR(LOOKUP(2,1/(单次交易!$A$2:$A$201=B323),单次交易!$B$2:$B$201),""))</f>
        <v/>
      </c>
      <c r="D323" s="12"/>
      <c r="E323" s="10"/>
      <c r="F323" s="10"/>
      <c r="G323" s="2"/>
      <c r="H323" s="15"/>
      <c r="I323" s="10"/>
      <c r="J323" s="12"/>
      <c r="K323" s="2"/>
      <c r="L323" s="2"/>
      <c r="M323" s="2"/>
      <c r="N323" s="5" t="str">
        <f>IF(B323="","",IFERROR(LOOKUP(2,1/(单次交易!$A$2:$A$201=B323),单次交易!$N$2:$N$201),""))</f>
        <v/>
      </c>
      <c r="O323" s="5" t="str">
        <f t="shared" si="45"/>
        <v/>
      </c>
      <c r="P323" s="11" t="str">
        <f t="shared" si="46"/>
        <v/>
      </c>
      <c r="Q323" s="5" t="str">
        <f t="shared" si="47"/>
        <v/>
      </c>
      <c r="R323" s="10"/>
      <c r="S323" s="5" t="str">
        <f t="shared" si="48"/>
        <v/>
      </c>
      <c r="T323" s="5" t="str">
        <f t="shared" si="49"/>
        <v/>
      </c>
      <c r="U323" s="5" t="str">
        <f t="shared" si="50"/>
        <v/>
      </c>
      <c r="V323" s="7" t="str">
        <f t="shared" si="51"/>
        <v/>
      </c>
      <c r="W323" s="8" t="str">
        <f t="shared" si="52"/>
        <v/>
      </c>
      <c r="X323" s="2"/>
      <c r="Y323" s="10"/>
      <c r="Z323" s="11" t="str">
        <f>IF(X323&lt;&gt;"执行卖出","",IFERROR(LOOKUP(2,1/(单次交易!$A$2:$A$201=B323),单次交易!$AP$2:$AP$201),""))</f>
        <v/>
      </c>
      <c r="AA323" s="10"/>
      <c r="AB323" s="8" t="str">
        <f t="shared" si="53"/>
        <v/>
      </c>
      <c r="AC323" s="8" t="str">
        <f>IF(A323="","",IF(A323="止损计划",IF(OR(B323="",D323="",E323="",F323="",G323=""),"计划不完整",IF(OR(D323&lt;1,D323&lt;&gt;INT(D323)),"阶段序号无效",IF(COUNTIFS($A$2:$A$497,"止损计划",$B$2:$B$497,B323,$D$2:$D$497,D323)&gt;1,"阶段序号重复",IF(E323&lt;=IFERROR(LOOKUP(2,1/(单次交易!$A$2:$A$201=B323),单次交易!$E$2:$E$201),0),"激活价须高于买入价",IF(F323&lt;N323,"止损价不得低于初始止损",IF(F323&gt;E323,"止损价不得高于激活价",IF(AND(COUNTIFS($A$2:$A$497,"止损计划",$B$2:$B$497,B323,$D$2:$D$497,"&lt;"&amp;D323)&gt;0,OR(E323&lt;=SUMPRODUCT(MAX((($A$2:$A$497="止损计划")*($B$2:$B$497=B323)*($D$2:$D$497&lt;D323))*$E$2:$E$497)),F323&lt;SUMPRODUCT(MAX((($A$2:$A$497="止损计划")*($B$2:$B$497=B323)*($D$2:$D$497&lt;D323))*$F$2:$F$497)))),"阶段价格必须逐级提高","计划有效"))))))),IF(A323="每日跟踪",IF(OR(B323="",H323="",I323="",J323=""),"每日数据不完整",IF(COUNTIFS($A$2:$A$497,"每日跟踪",$B$2:$B$497,B323,$H$2:$H$497,H323)&gt;1,"同一交易日期重复",IF(AND(R323&lt;&gt;"",R323&lt;S323),"人工止损无效：不能下调","跟踪有效"))),"记录类型无效")))</f>
        <v/>
      </c>
    </row>
    <row r="324" ht="17" spans="1:29">
      <c r="A324" s="2"/>
      <c r="B324" s="2"/>
      <c r="C324" s="8" t="str">
        <f>IF(B324="","",IFERROR(LOOKUP(2,1/(单次交易!$A$2:$A$201=B324),单次交易!$B$2:$B$201),""))</f>
        <v/>
      </c>
      <c r="D324" s="12"/>
      <c r="E324" s="10"/>
      <c r="F324" s="10"/>
      <c r="G324" s="2"/>
      <c r="H324" s="15"/>
      <c r="I324" s="10"/>
      <c r="J324" s="12"/>
      <c r="K324" s="2"/>
      <c r="L324" s="2"/>
      <c r="M324" s="2"/>
      <c r="N324" s="5" t="str">
        <f>IF(B324="","",IFERROR(LOOKUP(2,1/(单次交易!$A$2:$A$201=B324),单次交易!$N$2:$N$201),""))</f>
        <v/>
      </c>
      <c r="O324" s="5" t="str">
        <f t="shared" si="45"/>
        <v/>
      </c>
      <c r="P324" s="11" t="str">
        <f t="shared" si="46"/>
        <v/>
      </c>
      <c r="Q324" s="5" t="str">
        <f t="shared" si="47"/>
        <v/>
      </c>
      <c r="R324" s="10"/>
      <c r="S324" s="5" t="str">
        <f t="shared" si="48"/>
        <v/>
      </c>
      <c r="T324" s="5" t="str">
        <f t="shared" si="49"/>
        <v/>
      </c>
      <c r="U324" s="5" t="str">
        <f t="shared" si="50"/>
        <v/>
      </c>
      <c r="V324" s="7" t="str">
        <f t="shared" si="51"/>
        <v/>
      </c>
      <c r="W324" s="8" t="str">
        <f t="shared" si="52"/>
        <v/>
      </c>
      <c r="X324" s="2"/>
      <c r="Y324" s="10"/>
      <c r="Z324" s="11" t="str">
        <f>IF(X324&lt;&gt;"执行卖出","",IFERROR(LOOKUP(2,1/(单次交易!$A$2:$A$201=B324),单次交易!$AP$2:$AP$201),""))</f>
        <v/>
      </c>
      <c r="AA324" s="10"/>
      <c r="AB324" s="8" t="str">
        <f t="shared" si="53"/>
        <v/>
      </c>
      <c r="AC324" s="8" t="str">
        <f>IF(A324="","",IF(A324="止损计划",IF(OR(B324="",D324="",E324="",F324="",G324=""),"计划不完整",IF(OR(D324&lt;1,D324&lt;&gt;INT(D324)),"阶段序号无效",IF(COUNTIFS($A$2:$A$497,"止损计划",$B$2:$B$497,B324,$D$2:$D$497,D324)&gt;1,"阶段序号重复",IF(E324&lt;=IFERROR(LOOKUP(2,1/(单次交易!$A$2:$A$201=B324),单次交易!$E$2:$E$201),0),"激活价须高于买入价",IF(F324&lt;N324,"止损价不得低于初始止损",IF(F324&gt;E324,"止损价不得高于激活价",IF(AND(COUNTIFS($A$2:$A$497,"止损计划",$B$2:$B$497,B324,$D$2:$D$497,"&lt;"&amp;D324)&gt;0,OR(E324&lt;=SUMPRODUCT(MAX((($A$2:$A$497="止损计划")*($B$2:$B$497=B324)*($D$2:$D$497&lt;D324))*$E$2:$E$497)),F324&lt;SUMPRODUCT(MAX((($A$2:$A$497="止损计划")*($B$2:$B$497=B324)*($D$2:$D$497&lt;D324))*$F$2:$F$497)))),"阶段价格必须逐级提高","计划有效"))))))),IF(A324="每日跟踪",IF(OR(B324="",H324="",I324="",J324=""),"每日数据不完整",IF(COUNTIFS($A$2:$A$497,"每日跟踪",$B$2:$B$497,B324,$H$2:$H$497,H324)&gt;1,"同一交易日期重复",IF(AND(R324&lt;&gt;"",R324&lt;S324),"人工止损无效：不能下调","跟踪有效"))),"记录类型无效")))</f>
        <v/>
      </c>
    </row>
    <row r="325" ht="17" spans="1:29">
      <c r="A325" s="2"/>
      <c r="B325" s="2"/>
      <c r="C325" s="8" t="str">
        <f>IF(B325="","",IFERROR(LOOKUP(2,1/(单次交易!$A$2:$A$201=B325),单次交易!$B$2:$B$201),""))</f>
        <v/>
      </c>
      <c r="D325" s="12"/>
      <c r="E325" s="10"/>
      <c r="F325" s="10"/>
      <c r="G325" s="2"/>
      <c r="H325" s="15"/>
      <c r="I325" s="10"/>
      <c r="J325" s="12"/>
      <c r="K325" s="2"/>
      <c r="L325" s="2"/>
      <c r="M325" s="2"/>
      <c r="N325" s="5" t="str">
        <f>IF(B325="","",IFERROR(LOOKUP(2,1/(单次交易!$A$2:$A$201=B325),单次交易!$N$2:$N$201),""))</f>
        <v/>
      </c>
      <c r="O325" s="5" t="str">
        <f t="shared" si="45"/>
        <v/>
      </c>
      <c r="P325" s="11" t="str">
        <f t="shared" si="46"/>
        <v/>
      </c>
      <c r="Q325" s="5" t="str">
        <f t="shared" si="47"/>
        <v/>
      </c>
      <c r="R325" s="10"/>
      <c r="S325" s="5" t="str">
        <f t="shared" si="48"/>
        <v/>
      </c>
      <c r="T325" s="5" t="str">
        <f t="shared" si="49"/>
        <v/>
      </c>
      <c r="U325" s="5" t="str">
        <f t="shared" si="50"/>
        <v/>
      </c>
      <c r="V325" s="7" t="str">
        <f t="shared" si="51"/>
        <v/>
      </c>
      <c r="W325" s="8" t="str">
        <f t="shared" si="52"/>
        <v/>
      </c>
      <c r="X325" s="2"/>
      <c r="Y325" s="10"/>
      <c r="Z325" s="11" t="str">
        <f>IF(X325&lt;&gt;"执行卖出","",IFERROR(LOOKUP(2,1/(单次交易!$A$2:$A$201=B325),单次交易!$AP$2:$AP$201),""))</f>
        <v/>
      </c>
      <c r="AA325" s="10"/>
      <c r="AB325" s="8" t="str">
        <f t="shared" si="53"/>
        <v/>
      </c>
      <c r="AC325" s="8" t="str">
        <f>IF(A325="","",IF(A325="止损计划",IF(OR(B325="",D325="",E325="",F325="",G325=""),"计划不完整",IF(OR(D325&lt;1,D325&lt;&gt;INT(D325)),"阶段序号无效",IF(COUNTIFS($A$2:$A$497,"止损计划",$B$2:$B$497,B325,$D$2:$D$497,D325)&gt;1,"阶段序号重复",IF(E325&lt;=IFERROR(LOOKUP(2,1/(单次交易!$A$2:$A$201=B325),单次交易!$E$2:$E$201),0),"激活价须高于买入价",IF(F325&lt;N325,"止损价不得低于初始止损",IF(F325&gt;E325,"止损价不得高于激活价",IF(AND(COUNTIFS($A$2:$A$497,"止损计划",$B$2:$B$497,B325,$D$2:$D$497,"&lt;"&amp;D325)&gt;0,OR(E325&lt;=SUMPRODUCT(MAX((($A$2:$A$497="止损计划")*($B$2:$B$497=B325)*($D$2:$D$497&lt;D325))*$E$2:$E$497)),F325&lt;SUMPRODUCT(MAX((($A$2:$A$497="止损计划")*($B$2:$B$497=B325)*($D$2:$D$497&lt;D325))*$F$2:$F$497)))),"阶段价格必须逐级提高","计划有效"))))))),IF(A325="每日跟踪",IF(OR(B325="",H325="",I325="",J325=""),"每日数据不完整",IF(COUNTIFS($A$2:$A$497,"每日跟踪",$B$2:$B$497,B325,$H$2:$H$497,H325)&gt;1,"同一交易日期重复",IF(AND(R325&lt;&gt;"",R325&lt;S325),"人工止损无效：不能下调","跟踪有效"))),"记录类型无效")))</f>
        <v/>
      </c>
    </row>
    <row r="326" ht="17" spans="1:29">
      <c r="A326" s="2"/>
      <c r="B326" s="2"/>
      <c r="C326" s="8" t="str">
        <f>IF(B326="","",IFERROR(LOOKUP(2,1/(单次交易!$A$2:$A$201=B326),单次交易!$B$2:$B$201),""))</f>
        <v/>
      </c>
      <c r="D326" s="12"/>
      <c r="E326" s="10"/>
      <c r="F326" s="10"/>
      <c r="G326" s="2"/>
      <c r="H326" s="15"/>
      <c r="I326" s="10"/>
      <c r="J326" s="12"/>
      <c r="K326" s="2"/>
      <c r="L326" s="2"/>
      <c r="M326" s="2"/>
      <c r="N326" s="5" t="str">
        <f>IF(B326="","",IFERROR(LOOKUP(2,1/(单次交易!$A$2:$A$201=B326),单次交易!$N$2:$N$201),""))</f>
        <v/>
      </c>
      <c r="O326" s="5" t="str">
        <f t="shared" si="45"/>
        <v/>
      </c>
      <c r="P326" s="11" t="str">
        <f t="shared" si="46"/>
        <v/>
      </c>
      <c r="Q326" s="5" t="str">
        <f t="shared" si="47"/>
        <v/>
      </c>
      <c r="R326" s="10"/>
      <c r="S326" s="5" t="str">
        <f t="shared" si="48"/>
        <v/>
      </c>
      <c r="T326" s="5" t="str">
        <f t="shared" si="49"/>
        <v/>
      </c>
      <c r="U326" s="5" t="str">
        <f t="shared" si="50"/>
        <v/>
      </c>
      <c r="V326" s="7" t="str">
        <f t="shared" si="51"/>
        <v/>
      </c>
      <c r="W326" s="8" t="str">
        <f t="shared" si="52"/>
        <v/>
      </c>
      <c r="X326" s="2"/>
      <c r="Y326" s="10"/>
      <c r="Z326" s="11" t="str">
        <f>IF(X326&lt;&gt;"执行卖出","",IFERROR(LOOKUP(2,1/(单次交易!$A$2:$A$201=B326),单次交易!$AP$2:$AP$201),""))</f>
        <v/>
      </c>
      <c r="AA326" s="10"/>
      <c r="AB326" s="8" t="str">
        <f t="shared" si="53"/>
        <v/>
      </c>
      <c r="AC326" s="8" t="str">
        <f>IF(A326="","",IF(A326="止损计划",IF(OR(B326="",D326="",E326="",F326="",G326=""),"计划不完整",IF(OR(D326&lt;1,D326&lt;&gt;INT(D326)),"阶段序号无效",IF(COUNTIFS($A$2:$A$497,"止损计划",$B$2:$B$497,B326,$D$2:$D$497,D326)&gt;1,"阶段序号重复",IF(E326&lt;=IFERROR(LOOKUP(2,1/(单次交易!$A$2:$A$201=B326),单次交易!$E$2:$E$201),0),"激活价须高于买入价",IF(F326&lt;N326,"止损价不得低于初始止损",IF(F326&gt;E326,"止损价不得高于激活价",IF(AND(COUNTIFS($A$2:$A$497,"止损计划",$B$2:$B$497,B326,$D$2:$D$497,"&lt;"&amp;D326)&gt;0,OR(E326&lt;=SUMPRODUCT(MAX((($A$2:$A$497="止损计划")*($B$2:$B$497=B326)*($D$2:$D$497&lt;D326))*$E$2:$E$497)),F326&lt;SUMPRODUCT(MAX((($A$2:$A$497="止损计划")*($B$2:$B$497=B326)*($D$2:$D$497&lt;D326))*$F$2:$F$497)))),"阶段价格必须逐级提高","计划有效"))))))),IF(A326="每日跟踪",IF(OR(B326="",H326="",I326="",J326=""),"每日数据不完整",IF(COUNTIFS($A$2:$A$497,"每日跟踪",$B$2:$B$497,B326,$H$2:$H$497,H326)&gt;1,"同一交易日期重复",IF(AND(R326&lt;&gt;"",R326&lt;S326),"人工止损无效：不能下调","跟踪有效"))),"记录类型无效")))</f>
        <v/>
      </c>
    </row>
    <row r="327" ht="17" spans="1:29">
      <c r="A327" s="2"/>
      <c r="B327" s="2"/>
      <c r="C327" s="8" t="str">
        <f>IF(B327="","",IFERROR(LOOKUP(2,1/(单次交易!$A$2:$A$201=B327),单次交易!$B$2:$B$201),""))</f>
        <v/>
      </c>
      <c r="D327" s="12"/>
      <c r="E327" s="10"/>
      <c r="F327" s="10"/>
      <c r="G327" s="2"/>
      <c r="H327" s="15"/>
      <c r="I327" s="10"/>
      <c r="J327" s="12"/>
      <c r="K327" s="2"/>
      <c r="L327" s="2"/>
      <c r="M327" s="2"/>
      <c r="N327" s="5" t="str">
        <f>IF(B327="","",IFERROR(LOOKUP(2,1/(单次交易!$A$2:$A$201=B327),单次交易!$N$2:$N$201),""))</f>
        <v/>
      </c>
      <c r="O327" s="5" t="str">
        <f t="shared" si="45"/>
        <v/>
      </c>
      <c r="P327" s="11" t="str">
        <f t="shared" si="46"/>
        <v/>
      </c>
      <c r="Q327" s="5" t="str">
        <f t="shared" si="47"/>
        <v/>
      </c>
      <c r="R327" s="10"/>
      <c r="S327" s="5" t="str">
        <f t="shared" si="48"/>
        <v/>
      </c>
      <c r="T327" s="5" t="str">
        <f t="shared" si="49"/>
        <v/>
      </c>
      <c r="U327" s="5" t="str">
        <f t="shared" si="50"/>
        <v/>
      </c>
      <c r="V327" s="7" t="str">
        <f t="shared" si="51"/>
        <v/>
      </c>
      <c r="W327" s="8" t="str">
        <f t="shared" si="52"/>
        <v/>
      </c>
      <c r="X327" s="2"/>
      <c r="Y327" s="10"/>
      <c r="Z327" s="11" t="str">
        <f>IF(X327&lt;&gt;"执行卖出","",IFERROR(LOOKUP(2,1/(单次交易!$A$2:$A$201=B327),单次交易!$AP$2:$AP$201),""))</f>
        <v/>
      </c>
      <c r="AA327" s="10"/>
      <c r="AB327" s="8" t="str">
        <f t="shared" si="53"/>
        <v/>
      </c>
      <c r="AC327" s="8" t="str">
        <f>IF(A327="","",IF(A327="止损计划",IF(OR(B327="",D327="",E327="",F327="",G327=""),"计划不完整",IF(OR(D327&lt;1,D327&lt;&gt;INT(D327)),"阶段序号无效",IF(COUNTIFS($A$2:$A$497,"止损计划",$B$2:$B$497,B327,$D$2:$D$497,D327)&gt;1,"阶段序号重复",IF(E327&lt;=IFERROR(LOOKUP(2,1/(单次交易!$A$2:$A$201=B327),单次交易!$E$2:$E$201),0),"激活价须高于买入价",IF(F327&lt;N327,"止损价不得低于初始止损",IF(F327&gt;E327,"止损价不得高于激活价",IF(AND(COUNTIFS($A$2:$A$497,"止损计划",$B$2:$B$497,B327,$D$2:$D$497,"&lt;"&amp;D327)&gt;0,OR(E327&lt;=SUMPRODUCT(MAX((($A$2:$A$497="止损计划")*($B$2:$B$497=B327)*($D$2:$D$497&lt;D327))*$E$2:$E$497)),F327&lt;SUMPRODUCT(MAX((($A$2:$A$497="止损计划")*($B$2:$B$497=B327)*($D$2:$D$497&lt;D327))*$F$2:$F$497)))),"阶段价格必须逐级提高","计划有效"))))))),IF(A327="每日跟踪",IF(OR(B327="",H327="",I327="",J327=""),"每日数据不完整",IF(COUNTIFS($A$2:$A$497,"每日跟踪",$B$2:$B$497,B327,$H$2:$H$497,H327)&gt;1,"同一交易日期重复",IF(AND(R327&lt;&gt;"",R327&lt;S327),"人工止损无效：不能下调","跟踪有效"))),"记录类型无效")))</f>
        <v/>
      </c>
    </row>
    <row r="328" ht="17" spans="1:29">
      <c r="A328" s="2"/>
      <c r="B328" s="2"/>
      <c r="C328" s="8" t="str">
        <f>IF(B328="","",IFERROR(LOOKUP(2,1/(单次交易!$A$2:$A$201=B328),单次交易!$B$2:$B$201),""))</f>
        <v/>
      </c>
      <c r="D328" s="12"/>
      <c r="E328" s="10"/>
      <c r="F328" s="10"/>
      <c r="G328" s="2"/>
      <c r="H328" s="15"/>
      <c r="I328" s="10"/>
      <c r="J328" s="12"/>
      <c r="K328" s="2"/>
      <c r="L328" s="2"/>
      <c r="M328" s="2"/>
      <c r="N328" s="5" t="str">
        <f>IF(B328="","",IFERROR(LOOKUP(2,1/(单次交易!$A$2:$A$201=B328),单次交易!$N$2:$N$201),""))</f>
        <v/>
      </c>
      <c r="O328" s="5" t="str">
        <f t="shared" si="45"/>
        <v/>
      </c>
      <c r="P328" s="11" t="str">
        <f t="shared" si="46"/>
        <v/>
      </c>
      <c r="Q328" s="5" t="str">
        <f t="shared" si="47"/>
        <v/>
      </c>
      <c r="R328" s="10"/>
      <c r="S328" s="5" t="str">
        <f t="shared" si="48"/>
        <v/>
      </c>
      <c r="T328" s="5" t="str">
        <f t="shared" si="49"/>
        <v/>
      </c>
      <c r="U328" s="5" t="str">
        <f t="shared" si="50"/>
        <v/>
      </c>
      <c r="V328" s="7" t="str">
        <f t="shared" si="51"/>
        <v/>
      </c>
      <c r="W328" s="8" t="str">
        <f t="shared" si="52"/>
        <v/>
      </c>
      <c r="X328" s="2"/>
      <c r="Y328" s="10"/>
      <c r="Z328" s="11" t="str">
        <f>IF(X328&lt;&gt;"执行卖出","",IFERROR(LOOKUP(2,1/(单次交易!$A$2:$A$201=B328),单次交易!$AP$2:$AP$201),""))</f>
        <v/>
      </c>
      <c r="AA328" s="10"/>
      <c r="AB328" s="8" t="str">
        <f t="shared" si="53"/>
        <v/>
      </c>
      <c r="AC328" s="8" t="str">
        <f>IF(A328="","",IF(A328="止损计划",IF(OR(B328="",D328="",E328="",F328="",G328=""),"计划不完整",IF(OR(D328&lt;1,D328&lt;&gt;INT(D328)),"阶段序号无效",IF(COUNTIFS($A$2:$A$497,"止损计划",$B$2:$B$497,B328,$D$2:$D$497,D328)&gt;1,"阶段序号重复",IF(E328&lt;=IFERROR(LOOKUP(2,1/(单次交易!$A$2:$A$201=B328),单次交易!$E$2:$E$201),0),"激活价须高于买入价",IF(F328&lt;N328,"止损价不得低于初始止损",IF(F328&gt;E328,"止损价不得高于激活价",IF(AND(COUNTIFS($A$2:$A$497,"止损计划",$B$2:$B$497,B328,$D$2:$D$497,"&lt;"&amp;D328)&gt;0,OR(E328&lt;=SUMPRODUCT(MAX((($A$2:$A$497="止损计划")*($B$2:$B$497=B328)*($D$2:$D$497&lt;D328))*$E$2:$E$497)),F328&lt;SUMPRODUCT(MAX((($A$2:$A$497="止损计划")*($B$2:$B$497=B328)*($D$2:$D$497&lt;D328))*$F$2:$F$497)))),"阶段价格必须逐级提高","计划有效"))))))),IF(A328="每日跟踪",IF(OR(B328="",H328="",I328="",J328=""),"每日数据不完整",IF(COUNTIFS($A$2:$A$497,"每日跟踪",$B$2:$B$497,B328,$H$2:$H$497,H328)&gt;1,"同一交易日期重复",IF(AND(R328&lt;&gt;"",R328&lt;S328),"人工止损无效：不能下调","跟踪有效"))),"记录类型无效")))</f>
        <v/>
      </c>
    </row>
    <row r="329" ht="17" spans="1:29">
      <c r="A329" s="2"/>
      <c r="B329" s="2"/>
      <c r="C329" s="8" t="str">
        <f>IF(B329="","",IFERROR(LOOKUP(2,1/(单次交易!$A$2:$A$201=B329),单次交易!$B$2:$B$201),""))</f>
        <v/>
      </c>
      <c r="D329" s="12"/>
      <c r="E329" s="10"/>
      <c r="F329" s="10"/>
      <c r="G329" s="2"/>
      <c r="H329" s="15"/>
      <c r="I329" s="10"/>
      <c r="J329" s="12"/>
      <c r="K329" s="2"/>
      <c r="L329" s="2"/>
      <c r="M329" s="2"/>
      <c r="N329" s="5" t="str">
        <f>IF(B329="","",IFERROR(LOOKUP(2,1/(单次交易!$A$2:$A$201=B329),单次交易!$N$2:$N$201),""))</f>
        <v/>
      </c>
      <c r="O329" s="5" t="str">
        <f t="shared" si="45"/>
        <v/>
      </c>
      <c r="P329" s="11" t="str">
        <f t="shared" si="46"/>
        <v/>
      </c>
      <c r="Q329" s="5" t="str">
        <f t="shared" si="47"/>
        <v/>
      </c>
      <c r="R329" s="10"/>
      <c r="S329" s="5" t="str">
        <f t="shared" si="48"/>
        <v/>
      </c>
      <c r="T329" s="5" t="str">
        <f t="shared" si="49"/>
        <v/>
      </c>
      <c r="U329" s="5" t="str">
        <f t="shared" si="50"/>
        <v/>
      </c>
      <c r="V329" s="7" t="str">
        <f t="shared" si="51"/>
        <v/>
      </c>
      <c r="W329" s="8" t="str">
        <f t="shared" si="52"/>
        <v/>
      </c>
      <c r="X329" s="2"/>
      <c r="Y329" s="10"/>
      <c r="Z329" s="11" t="str">
        <f>IF(X329&lt;&gt;"执行卖出","",IFERROR(LOOKUP(2,1/(单次交易!$A$2:$A$201=B329),单次交易!$AP$2:$AP$201),""))</f>
        <v/>
      </c>
      <c r="AA329" s="10"/>
      <c r="AB329" s="8" t="str">
        <f t="shared" si="53"/>
        <v/>
      </c>
      <c r="AC329" s="8" t="str">
        <f>IF(A329="","",IF(A329="止损计划",IF(OR(B329="",D329="",E329="",F329="",G329=""),"计划不完整",IF(OR(D329&lt;1,D329&lt;&gt;INT(D329)),"阶段序号无效",IF(COUNTIFS($A$2:$A$497,"止损计划",$B$2:$B$497,B329,$D$2:$D$497,D329)&gt;1,"阶段序号重复",IF(E329&lt;=IFERROR(LOOKUP(2,1/(单次交易!$A$2:$A$201=B329),单次交易!$E$2:$E$201),0),"激活价须高于买入价",IF(F329&lt;N329,"止损价不得低于初始止损",IF(F329&gt;E329,"止损价不得高于激活价",IF(AND(COUNTIFS($A$2:$A$497,"止损计划",$B$2:$B$497,B329,$D$2:$D$497,"&lt;"&amp;D329)&gt;0,OR(E329&lt;=SUMPRODUCT(MAX((($A$2:$A$497="止损计划")*($B$2:$B$497=B329)*($D$2:$D$497&lt;D329))*$E$2:$E$497)),F329&lt;SUMPRODUCT(MAX((($A$2:$A$497="止损计划")*($B$2:$B$497=B329)*($D$2:$D$497&lt;D329))*$F$2:$F$497)))),"阶段价格必须逐级提高","计划有效"))))))),IF(A329="每日跟踪",IF(OR(B329="",H329="",I329="",J329=""),"每日数据不完整",IF(COUNTIFS($A$2:$A$497,"每日跟踪",$B$2:$B$497,B329,$H$2:$H$497,H329)&gt;1,"同一交易日期重复",IF(AND(R329&lt;&gt;"",R329&lt;S329),"人工止损无效：不能下调","跟踪有效"))),"记录类型无效")))</f>
        <v/>
      </c>
    </row>
    <row r="330" ht="17" spans="1:29">
      <c r="A330" s="2"/>
      <c r="B330" s="2"/>
      <c r="C330" s="8" t="str">
        <f>IF(B330="","",IFERROR(LOOKUP(2,1/(单次交易!$A$2:$A$201=B330),单次交易!$B$2:$B$201),""))</f>
        <v/>
      </c>
      <c r="D330" s="12"/>
      <c r="E330" s="10"/>
      <c r="F330" s="10"/>
      <c r="G330" s="2"/>
      <c r="H330" s="15"/>
      <c r="I330" s="10"/>
      <c r="J330" s="12"/>
      <c r="K330" s="2"/>
      <c r="L330" s="2"/>
      <c r="M330" s="2"/>
      <c r="N330" s="5" t="str">
        <f>IF(B330="","",IFERROR(LOOKUP(2,1/(单次交易!$A$2:$A$201=B330),单次交易!$N$2:$N$201),""))</f>
        <v/>
      </c>
      <c r="O330" s="5" t="str">
        <f t="shared" ref="O330:O381" si="54">IF(A330&lt;&gt;"每日跟踪","",IF(OR(B330="",H330="",I330=""),"",IFERROR(SUMPRODUCT(MAX((($A$2:$A$497="每日跟踪")*($B$2:$B$497=B330)*($H$2:$H$497&lt;=H330))*$I$2:$I$497)),"")))</f>
        <v/>
      </c>
      <c r="P330" s="11" t="str">
        <f t="shared" ref="P330:P381" si="55">IF(A330&lt;&gt;"每日跟踪","",IF(O330="","",IFERROR(SUMPRODUCT(MAX((($A$2:$A$497="止损计划")*($B$2:$B$497=B330)*($E$2:$E$497&lt;=O330))*$D$2:$D$497)),0)))</f>
        <v/>
      </c>
      <c r="Q330" s="5" t="str">
        <f t="shared" ref="Q330:Q381" si="56">IF(A330&lt;&gt;"每日跟踪","",IF(N330="","",MAX(N330,IFERROR(SUMPRODUCT(MAX((($A$2:$A$497="止损计划")*($B$2:$B$497=B330)*($E$2:$E$497&lt;=O330))*$F$2:$F$497)),0))))</f>
        <v/>
      </c>
      <c r="R330" s="10"/>
      <c r="S330" s="5" t="str">
        <f t="shared" ref="S330:S381" si="57">IF(A330&lt;&gt;"每日跟踪","",IF(Q330="","",MAX(Q330,IFERROR(SUMPRODUCT(MAX((($A$2:$A$497="每日跟踪")*($B$2:$B$497=B330)*($H$2:$H$497&lt;=H330))*$R$2:$R$497)),0))))</f>
        <v/>
      </c>
      <c r="T330" s="5" t="str">
        <f t="shared" ref="T330:T381" si="58">IF(A330&lt;&gt;"每日跟踪","",IF(O330="","",IF(COUNTIFS($A$2:$A$497,"止损计划",$B$2:$B$497,B330,$E$2:$E$497,"&gt;"&amp;O330)=0,"",INDEX($E$2:$E$497,MATCH(1,INDEX(($A$2:$A$497="止损计划")*($B$2:$B$497=B330)*($E$2:$E$497&gt;O330),0),0)))))</f>
        <v/>
      </c>
      <c r="U330" s="5" t="str">
        <f t="shared" ref="U330:U381" si="59">IF(OR(A330&lt;&gt;"每日跟踪",T330=""),"",IFERROR(SUMIFS($F$2:$F$497,$A$2:$A$497,"止损计划",$B$2:$B$497,B330,$E$2:$E$497,T330),""))</f>
        <v/>
      </c>
      <c r="V330" s="7" t="str">
        <f t="shared" ref="V330:V381" si="60">IF(OR(A330&lt;&gt;"每日跟踪",T330="",I330="",I330&lt;=0),"",T330/I330-1)</f>
        <v/>
      </c>
      <c r="W330" s="8" t="str">
        <f t="shared" ref="W330:W381" si="61">IF(A330&lt;&gt;"每日跟踪","",IF(OR(I330="",S330=""),"",IF(I330&lt;=S330,"触发止损：应全部卖出","继续观察")))</f>
        <v/>
      </c>
      <c r="X330" s="2"/>
      <c r="Y330" s="10"/>
      <c r="Z330" s="11" t="str">
        <f>IF(X330&lt;&gt;"执行卖出","",IFERROR(LOOKUP(2,1/(单次交易!$A$2:$A$201=B330),单次交易!$AP$2:$AP$201),""))</f>
        <v/>
      </c>
      <c r="AA330" s="10"/>
      <c r="AB330" s="8" t="str">
        <f t="shared" ref="AB330:AB381" si="62">IF(A330&lt;&gt;"每日跟踪","",IF(OR(B330="",H330="",I330="",J330="",K330="",L330="",M330=""),"待补充每日记录",IF(W330="触发止损：应全部卖出",IF(X330&lt;&gt;"执行卖出","违规：触发止损但未执行",IF(Y330="","待补充实际卖出价","卖出记录完整")),IF(X330="","待选择卖出动作",IF(X330="执行卖出",IF(Y330="","待补充实际卖出价","卖出记录完整"),"正常")))))</f>
        <v/>
      </c>
      <c r="AC330" s="8" t="str">
        <f>IF(A330="","",IF(A330="止损计划",IF(OR(B330="",D330="",E330="",F330="",G330=""),"计划不完整",IF(OR(D330&lt;1,D330&lt;&gt;INT(D330)),"阶段序号无效",IF(COUNTIFS($A$2:$A$497,"止损计划",$B$2:$B$497,B330,$D$2:$D$497,D330)&gt;1,"阶段序号重复",IF(E330&lt;=IFERROR(LOOKUP(2,1/(单次交易!$A$2:$A$201=B330),单次交易!$E$2:$E$201),0),"激活价须高于买入价",IF(F330&lt;N330,"止损价不得低于初始止损",IF(F330&gt;E330,"止损价不得高于激活价",IF(AND(COUNTIFS($A$2:$A$497,"止损计划",$B$2:$B$497,B330,$D$2:$D$497,"&lt;"&amp;D330)&gt;0,OR(E330&lt;=SUMPRODUCT(MAX((($A$2:$A$497="止损计划")*($B$2:$B$497=B330)*($D$2:$D$497&lt;D330))*$E$2:$E$497)),F330&lt;SUMPRODUCT(MAX((($A$2:$A$497="止损计划")*($B$2:$B$497=B330)*($D$2:$D$497&lt;D330))*$F$2:$F$497)))),"阶段价格必须逐级提高","计划有效"))))))),IF(A330="每日跟踪",IF(OR(B330="",H330="",I330="",J330=""),"每日数据不完整",IF(COUNTIFS($A$2:$A$497,"每日跟踪",$B$2:$B$497,B330,$H$2:$H$497,H330)&gt;1,"同一交易日期重复",IF(AND(R330&lt;&gt;"",R330&lt;S330),"人工止损无效：不能下调","跟踪有效"))),"记录类型无效")))</f>
        <v/>
      </c>
    </row>
    <row r="331" ht="17" spans="1:29">
      <c r="A331" s="2"/>
      <c r="B331" s="2"/>
      <c r="C331" s="8" t="str">
        <f>IF(B331="","",IFERROR(LOOKUP(2,1/(单次交易!$A$2:$A$201=B331),单次交易!$B$2:$B$201),""))</f>
        <v/>
      </c>
      <c r="D331" s="12"/>
      <c r="E331" s="10"/>
      <c r="F331" s="10"/>
      <c r="G331" s="2"/>
      <c r="H331" s="15"/>
      <c r="I331" s="10"/>
      <c r="J331" s="12"/>
      <c r="K331" s="2"/>
      <c r="L331" s="2"/>
      <c r="M331" s="2"/>
      <c r="N331" s="5" t="str">
        <f>IF(B331="","",IFERROR(LOOKUP(2,1/(单次交易!$A$2:$A$201=B331),单次交易!$N$2:$N$201),""))</f>
        <v/>
      </c>
      <c r="O331" s="5" t="str">
        <f t="shared" si="54"/>
        <v/>
      </c>
      <c r="P331" s="11" t="str">
        <f t="shared" si="55"/>
        <v/>
      </c>
      <c r="Q331" s="5" t="str">
        <f t="shared" si="56"/>
        <v/>
      </c>
      <c r="R331" s="10"/>
      <c r="S331" s="5" t="str">
        <f t="shared" si="57"/>
        <v/>
      </c>
      <c r="T331" s="5" t="str">
        <f t="shared" si="58"/>
        <v/>
      </c>
      <c r="U331" s="5" t="str">
        <f t="shared" si="59"/>
        <v/>
      </c>
      <c r="V331" s="7" t="str">
        <f t="shared" si="60"/>
        <v/>
      </c>
      <c r="W331" s="8" t="str">
        <f t="shared" si="61"/>
        <v/>
      </c>
      <c r="X331" s="2"/>
      <c r="Y331" s="10"/>
      <c r="Z331" s="11" t="str">
        <f>IF(X331&lt;&gt;"执行卖出","",IFERROR(LOOKUP(2,1/(单次交易!$A$2:$A$201=B331),单次交易!$AP$2:$AP$201),""))</f>
        <v/>
      </c>
      <c r="AA331" s="10"/>
      <c r="AB331" s="8" t="str">
        <f t="shared" si="62"/>
        <v/>
      </c>
      <c r="AC331" s="8" t="str">
        <f>IF(A331="","",IF(A331="止损计划",IF(OR(B331="",D331="",E331="",F331="",G331=""),"计划不完整",IF(OR(D331&lt;1,D331&lt;&gt;INT(D331)),"阶段序号无效",IF(COUNTIFS($A$2:$A$497,"止损计划",$B$2:$B$497,B331,$D$2:$D$497,D331)&gt;1,"阶段序号重复",IF(E331&lt;=IFERROR(LOOKUP(2,1/(单次交易!$A$2:$A$201=B331),单次交易!$E$2:$E$201),0),"激活价须高于买入价",IF(F331&lt;N331,"止损价不得低于初始止损",IF(F331&gt;E331,"止损价不得高于激活价",IF(AND(COUNTIFS($A$2:$A$497,"止损计划",$B$2:$B$497,B331,$D$2:$D$497,"&lt;"&amp;D331)&gt;0,OR(E331&lt;=SUMPRODUCT(MAX((($A$2:$A$497="止损计划")*($B$2:$B$497=B331)*($D$2:$D$497&lt;D331))*$E$2:$E$497)),F331&lt;SUMPRODUCT(MAX((($A$2:$A$497="止损计划")*($B$2:$B$497=B331)*($D$2:$D$497&lt;D331))*$F$2:$F$497)))),"阶段价格必须逐级提高","计划有效"))))))),IF(A331="每日跟踪",IF(OR(B331="",H331="",I331="",J331=""),"每日数据不完整",IF(COUNTIFS($A$2:$A$497,"每日跟踪",$B$2:$B$497,B331,$H$2:$H$497,H331)&gt;1,"同一交易日期重复",IF(AND(R331&lt;&gt;"",R331&lt;S331),"人工止损无效：不能下调","跟踪有效"))),"记录类型无效")))</f>
        <v/>
      </c>
    </row>
    <row r="332" ht="17" spans="1:29">
      <c r="A332" s="2"/>
      <c r="B332" s="2"/>
      <c r="C332" s="8" t="str">
        <f>IF(B332="","",IFERROR(LOOKUP(2,1/(单次交易!$A$2:$A$201=B332),单次交易!$B$2:$B$201),""))</f>
        <v/>
      </c>
      <c r="D332" s="12"/>
      <c r="E332" s="10"/>
      <c r="F332" s="10"/>
      <c r="G332" s="2"/>
      <c r="H332" s="15"/>
      <c r="I332" s="10"/>
      <c r="J332" s="12"/>
      <c r="K332" s="2"/>
      <c r="L332" s="2"/>
      <c r="M332" s="2"/>
      <c r="N332" s="5" t="str">
        <f>IF(B332="","",IFERROR(LOOKUP(2,1/(单次交易!$A$2:$A$201=B332),单次交易!$N$2:$N$201),""))</f>
        <v/>
      </c>
      <c r="O332" s="5" t="str">
        <f t="shared" si="54"/>
        <v/>
      </c>
      <c r="P332" s="11" t="str">
        <f t="shared" si="55"/>
        <v/>
      </c>
      <c r="Q332" s="5" t="str">
        <f t="shared" si="56"/>
        <v/>
      </c>
      <c r="R332" s="10"/>
      <c r="S332" s="5" t="str">
        <f t="shared" si="57"/>
        <v/>
      </c>
      <c r="T332" s="5" t="str">
        <f t="shared" si="58"/>
        <v/>
      </c>
      <c r="U332" s="5" t="str">
        <f t="shared" si="59"/>
        <v/>
      </c>
      <c r="V332" s="7" t="str">
        <f t="shared" si="60"/>
        <v/>
      </c>
      <c r="W332" s="8" t="str">
        <f t="shared" si="61"/>
        <v/>
      </c>
      <c r="X332" s="2"/>
      <c r="Y332" s="10"/>
      <c r="Z332" s="11" t="str">
        <f>IF(X332&lt;&gt;"执行卖出","",IFERROR(LOOKUP(2,1/(单次交易!$A$2:$A$201=B332),单次交易!$AP$2:$AP$201),""))</f>
        <v/>
      </c>
      <c r="AA332" s="10"/>
      <c r="AB332" s="8" t="str">
        <f t="shared" si="62"/>
        <v/>
      </c>
      <c r="AC332" s="8" t="str">
        <f>IF(A332="","",IF(A332="止损计划",IF(OR(B332="",D332="",E332="",F332="",G332=""),"计划不完整",IF(OR(D332&lt;1,D332&lt;&gt;INT(D332)),"阶段序号无效",IF(COUNTIFS($A$2:$A$497,"止损计划",$B$2:$B$497,B332,$D$2:$D$497,D332)&gt;1,"阶段序号重复",IF(E332&lt;=IFERROR(LOOKUP(2,1/(单次交易!$A$2:$A$201=B332),单次交易!$E$2:$E$201),0),"激活价须高于买入价",IF(F332&lt;N332,"止损价不得低于初始止损",IF(F332&gt;E332,"止损价不得高于激活价",IF(AND(COUNTIFS($A$2:$A$497,"止损计划",$B$2:$B$497,B332,$D$2:$D$497,"&lt;"&amp;D332)&gt;0,OR(E332&lt;=SUMPRODUCT(MAX((($A$2:$A$497="止损计划")*($B$2:$B$497=B332)*($D$2:$D$497&lt;D332))*$E$2:$E$497)),F332&lt;SUMPRODUCT(MAX((($A$2:$A$497="止损计划")*($B$2:$B$497=B332)*($D$2:$D$497&lt;D332))*$F$2:$F$497)))),"阶段价格必须逐级提高","计划有效"))))))),IF(A332="每日跟踪",IF(OR(B332="",H332="",I332="",J332=""),"每日数据不完整",IF(COUNTIFS($A$2:$A$497,"每日跟踪",$B$2:$B$497,B332,$H$2:$H$497,H332)&gt;1,"同一交易日期重复",IF(AND(R332&lt;&gt;"",R332&lt;S332),"人工止损无效：不能下调","跟踪有效"))),"记录类型无效")))</f>
        <v/>
      </c>
    </row>
    <row r="333" ht="17" spans="1:29">
      <c r="A333" s="2"/>
      <c r="B333" s="2"/>
      <c r="C333" s="8" t="str">
        <f>IF(B333="","",IFERROR(LOOKUP(2,1/(单次交易!$A$2:$A$201=B333),单次交易!$B$2:$B$201),""))</f>
        <v/>
      </c>
      <c r="D333" s="12"/>
      <c r="E333" s="10"/>
      <c r="F333" s="10"/>
      <c r="G333" s="2"/>
      <c r="H333" s="15"/>
      <c r="I333" s="10"/>
      <c r="J333" s="12"/>
      <c r="K333" s="2"/>
      <c r="L333" s="2"/>
      <c r="M333" s="2"/>
      <c r="N333" s="5" t="str">
        <f>IF(B333="","",IFERROR(LOOKUP(2,1/(单次交易!$A$2:$A$201=B333),单次交易!$N$2:$N$201),""))</f>
        <v/>
      </c>
      <c r="O333" s="5" t="str">
        <f t="shared" si="54"/>
        <v/>
      </c>
      <c r="P333" s="11" t="str">
        <f t="shared" si="55"/>
        <v/>
      </c>
      <c r="Q333" s="5" t="str">
        <f t="shared" si="56"/>
        <v/>
      </c>
      <c r="R333" s="10"/>
      <c r="S333" s="5" t="str">
        <f t="shared" si="57"/>
        <v/>
      </c>
      <c r="T333" s="5" t="str">
        <f t="shared" si="58"/>
        <v/>
      </c>
      <c r="U333" s="5" t="str">
        <f t="shared" si="59"/>
        <v/>
      </c>
      <c r="V333" s="7" t="str">
        <f t="shared" si="60"/>
        <v/>
      </c>
      <c r="W333" s="8" t="str">
        <f t="shared" si="61"/>
        <v/>
      </c>
      <c r="X333" s="2"/>
      <c r="Y333" s="10"/>
      <c r="Z333" s="11" t="str">
        <f>IF(X333&lt;&gt;"执行卖出","",IFERROR(LOOKUP(2,1/(单次交易!$A$2:$A$201=B333),单次交易!$AP$2:$AP$201),""))</f>
        <v/>
      </c>
      <c r="AA333" s="10"/>
      <c r="AB333" s="8" t="str">
        <f t="shared" si="62"/>
        <v/>
      </c>
      <c r="AC333" s="8" t="str">
        <f>IF(A333="","",IF(A333="止损计划",IF(OR(B333="",D333="",E333="",F333="",G333=""),"计划不完整",IF(OR(D333&lt;1,D333&lt;&gt;INT(D333)),"阶段序号无效",IF(COUNTIFS($A$2:$A$497,"止损计划",$B$2:$B$497,B333,$D$2:$D$497,D333)&gt;1,"阶段序号重复",IF(E333&lt;=IFERROR(LOOKUP(2,1/(单次交易!$A$2:$A$201=B333),单次交易!$E$2:$E$201),0),"激活价须高于买入价",IF(F333&lt;N333,"止损价不得低于初始止损",IF(F333&gt;E333,"止损价不得高于激活价",IF(AND(COUNTIFS($A$2:$A$497,"止损计划",$B$2:$B$497,B333,$D$2:$D$497,"&lt;"&amp;D333)&gt;0,OR(E333&lt;=SUMPRODUCT(MAX((($A$2:$A$497="止损计划")*($B$2:$B$497=B333)*($D$2:$D$497&lt;D333))*$E$2:$E$497)),F333&lt;SUMPRODUCT(MAX((($A$2:$A$497="止损计划")*($B$2:$B$497=B333)*($D$2:$D$497&lt;D333))*$F$2:$F$497)))),"阶段价格必须逐级提高","计划有效"))))))),IF(A333="每日跟踪",IF(OR(B333="",H333="",I333="",J333=""),"每日数据不完整",IF(COUNTIFS($A$2:$A$497,"每日跟踪",$B$2:$B$497,B333,$H$2:$H$497,H333)&gt;1,"同一交易日期重复",IF(AND(R333&lt;&gt;"",R333&lt;S333),"人工止损无效：不能下调","跟踪有效"))),"记录类型无效")))</f>
        <v/>
      </c>
    </row>
    <row r="334" ht="17" spans="1:29">
      <c r="A334" s="2"/>
      <c r="B334" s="2"/>
      <c r="C334" s="8" t="str">
        <f>IF(B334="","",IFERROR(LOOKUP(2,1/(单次交易!$A$2:$A$201=B334),单次交易!$B$2:$B$201),""))</f>
        <v/>
      </c>
      <c r="D334" s="12"/>
      <c r="E334" s="10"/>
      <c r="F334" s="10"/>
      <c r="G334" s="2"/>
      <c r="H334" s="15"/>
      <c r="I334" s="10"/>
      <c r="J334" s="12"/>
      <c r="K334" s="2"/>
      <c r="L334" s="2"/>
      <c r="M334" s="2"/>
      <c r="N334" s="5" t="str">
        <f>IF(B334="","",IFERROR(LOOKUP(2,1/(单次交易!$A$2:$A$201=B334),单次交易!$N$2:$N$201),""))</f>
        <v/>
      </c>
      <c r="O334" s="5" t="str">
        <f t="shared" si="54"/>
        <v/>
      </c>
      <c r="P334" s="11" t="str">
        <f t="shared" si="55"/>
        <v/>
      </c>
      <c r="Q334" s="5" t="str">
        <f t="shared" si="56"/>
        <v/>
      </c>
      <c r="R334" s="10"/>
      <c r="S334" s="5" t="str">
        <f t="shared" si="57"/>
        <v/>
      </c>
      <c r="T334" s="5" t="str">
        <f t="shared" si="58"/>
        <v/>
      </c>
      <c r="U334" s="5" t="str">
        <f t="shared" si="59"/>
        <v/>
      </c>
      <c r="V334" s="7" t="str">
        <f t="shared" si="60"/>
        <v/>
      </c>
      <c r="W334" s="8" t="str">
        <f t="shared" si="61"/>
        <v/>
      </c>
      <c r="X334" s="2"/>
      <c r="Y334" s="10"/>
      <c r="Z334" s="11" t="str">
        <f>IF(X334&lt;&gt;"执行卖出","",IFERROR(LOOKUP(2,1/(单次交易!$A$2:$A$201=B334),单次交易!$AP$2:$AP$201),""))</f>
        <v/>
      </c>
      <c r="AA334" s="10"/>
      <c r="AB334" s="8" t="str">
        <f t="shared" si="62"/>
        <v/>
      </c>
      <c r="AC334" s="8" t="str">
        <f>IF(A334="","",IF(A334="止损计划",IF(OR(B334="",D334="",E334="",F334="",G334=""),"计划不完整",IF(OR(D334&lt;1,D334&lt;&gt;INT(D334)),"阶段序号无效",IF(COUNTIFS($A$2:$A$497,"止损计划",$B$2:$B$497,B334,$D$2:$D$497,D334)&gt;1,"阶段序号重复",IF(E334&lt;=IFERROR(LOOKUP(2,1/(单次交易!$A$2:$A$201=B334),单次交易!$E$2:$E$201),0),"激活价须高于买入价",IF(F334&lt;N334,"止损价不得低于初始止损",IF(F334&gt;E334,"止损价不得高于激活价",IF(AND(COUNTIFS($A$2:$A$497,"止损计划",$B$2:$B$497,B334,$D$2:$D$497,"&lt;"&amp;D334)&gt;0,OR(E334&lt;=SUMPRODUCT(MAX((($A$2:$A$497="止损计划")*($B$2:$B$497=B334)*($D$2:$D$497&lt;D334))*$E$2:$E$497)),F334&lt;SUMPRODUCT(MAX((($A$2:$A$497="止损计划")*($B$2:$B$497=B334)*($D$2:$D$497&lt;D334))*$F$2:$F$497)))),"阶段价格必须逐级提高","计划有效"))))))),IF(A334="每日跟踪",IF(OR(B334="",H334="",I334="",J334=""),"每日数据不完整",IF(COUNTIFS($A$2:$A$497,"每日跟踪",$B$2:$B$497,B334,$H$2:$H$497,H334)&gt;1,"同一交易日期重复",IF(AND(R334&lt;&gt;"",R334&lt;S334),"人工止损无效：不能下调","跟踪有效"))),"记录类型无效")))</f>
        <v/>
      </c>
    </row>
    <row r="335" ht="17" spans="1:29">
      <c r="A335" s="2"/>
      <c r="B335" s="2"/>
      <c r="C335" s="8" t="str">
        <f>IF(B335="","",IFERROR(LOOKUP(2,1/(单次交易!$A$2:$A$201=B335),单次交易!$B$2:$B$201),""))</f>
        <v/>
      </c>
      <c r="D335" s="12"/>
      <c r="E335" s="10"/>
      <c r="F335" s="10"/>
      <c r="G335" s="2"/>
      <c r="H335" s="15"/>
      <c r="I335" s="10"/>
      <c r="J335" s="12"/>
      <c r="K335" s="2"/>
      <c r="L335" s="2"/>
      <c r="M335" s="2"/>
      <c r="N335" s="5" t="str">
        <f>IF(B335="","",IFERROR(LOOKUP(2,1/(单次交易!$A$2:$A$201=B335),单次交易!$N$2:$N$201),""))</f>
        <v/>
      </c>
      <c r="O335" s="5" t="str">
        <f t="shared" si="54"/>
        <v/>
      </c>
      <c r="P335" s="11" t="str">
        <f t="shared" si="55"/>
        <v/>
      </c>
      <c r="Q335" s="5" t="str">
        <f t="shared" si="56"/>
        <v/>
      </c>
      <c r="R335" s="10"/>
      <c r="S335" s="5" t="str">
        <f t="shared" si="57"/>
        <v/>
      </c>
      <c r="T335" s="5" t="str">
        <f t="shared" si="58"/>
        <v/>
      </c>
      <c r="U335" s="5" t="str">
        <f t="shared" si="59"/>
        <v/>
      </c>
      <c r="V335" s="7" t="str">
        <f t="shared" si="60"/>
        <v/>
      </c>
      <c r="W335" s="8" t="str">
        <f t="shared" si="61"/>
        <v/>
      </c>
      <c r="X335" s="2"/>
      <c r="Y335" s="10"/>
      <c r="Z335" s="11" t="str">
        <f>IF(X335&lt;&gt;"执行卖出","",IFERROR(LOOKUP(2,1/(单次交易!$A$2:$A$201=B335),单次交易!$AP$2:$AP$201),""))</f>
        <v/>
      </c>
      <c r="AA335" s="10"/>
      <c r="AB335" s="8" t="str">
        <f t="shared" si="62"/>
        <v/>
      </c>
      <c r="AC335" s="8" t="str">
        <f>IF(A335="","",IF(A335="止损计划",IF(OR(B335="",D335="",E335="",F335="",G335=""),"计划不完整",IF(OR(D335&lt;1,D335&lt;&gt;INT(D335)),"阶段序号无效",IF(COUNTIFS($A$2:$A$497,"止损计划",$B$2:$B$497,B335,$D$2:$D$497,D335)&gt;1,"阶段序号重复",IF(E335&lt;=IFERROR(LOOKUP(2,1/(单次交易!$A$2:$A$201=B335),单次交易!$E$2:$E$201),0),"激活价须高于买入价",IF(F335&lt;N335,"止损价不得低于初始止损",IF(F335&gt;E335,"止损价不得高于激活价",IF(AND(COUNTIFS($A$2:$A$497,"止损计划",$B$2:$B$497,B335,$D$2:$D$497,"&lt;"&amp;D335)&gt;0,OR(E335&lt;=SUMPRODUCT(MAX((($A$2:$A$497="止损计划")*($B$2:$B$497=B335)*($D$2:$D$497&lt;D335))*$E$2:$E$497)),F335&lt;SUMPRODUCT(MAX((($A$2:$A$497="止损计划")*($B$2:$B$497=B335)*($D$2:$D$497&lt;D335))*$F$2:$F$497)))),"阶段价格必须逐级提高","计划有效"))))))),IF(A335="每日跟踪",IF(OR(B335="",H335="",I335="",J335=""),"每日数据不完整",IF(COUNTIFS($A$2:$A$497,"每日跟踪",$B$2:$B$497,B335,$H$2:$H$497,H335)&gt;1,"同一交易日期重复",IF(AND(R335&lt;&gt;"",R335&lt;S335),"人工止损无效：不能下调","跟踪有效"))),"记录类型无效")))</f>
        <v/>
      </c>
    </row>
    <row r="336" ht="17" spans="1:29">
      <c r="A336" s="2"/>
      <c r="B336" s="2"/>
      <c r="C336" s="8" t="str">
        <f>IF(B336="","",IFERROR(LOOKUP(2,1/(单次交易!$A$2:$A$201=B336),单次交易!$B$2:$B$201),""))</f>
        <v/>
      </c>
      <c r="D336" s="12"/>
      <c r="E336" s="10"/>
      <c r="F336" s="10"/>
      <c r="G336" s="2"/>
      <c r="H336" s="15"/>
      <c r="I336" s="10"/>
      <c r="J336" s="12"/>
      <c r="K336" s="2"/>
      <c r="L336" s="2"/>
      <c r="M336" s="2"/>
      <c r="N336" s="5" t="str">
        <f>IF(B336="","",IFERROR(LOOKUP(2,1/(单次交易!$A$2:$A$201=B336),单次交易!$N$2:$N$201),""))</f>
        <v/>
      </c>
      <c r="O336" s="5" t="str">
        <f t="shared" si="54"/>
        <v/>
      </c>
      <c r="P336" s="11" t="str">
        <f t="shared" si="55"/>
        <v/>
      </c>
      <c r="Q336" s="5" t="str">
        <f t="shared" si="56"/>
        <v/>
      </c>
      <c r="R336" s="10"/>
      <c r="S336" s="5" t="str">
        <f t="shared" si="57"/>
        <v/>
      </c>
      <c r="T336" s="5" t="str">
        <f t="shared" si="58"/>
        <v/>
      </c>
      <c r="U336" s="5" t="str">
        <f t="shared" si="59"/>
        <v/>
      </c>
      <c r="V336" s="7" t="str">
        <f t="shared" si="60"/>
        <v/>
      </c>
      <c r="W336" s="8" t="str">
        <f t="shared" si="61"/>
        <v/>
      </c>
      <c r="X336" s="2"/>
      <c r="Y336" s="10"/>
      <c r="Z336" s="11" t="str">
        <f>IF(X336&lt;&gt;"执行卖出","",IFERROR(LOOKUP(2,1/(单次交易!$A$2:$A$201=B336),单次交易!$AP$2:$AP$201),""))</f>
        <v/>
      </c>
      <c r="AA336" s="10"/>
      <c r="AB336" s="8" t="str">
        <f t="shared" si="62"/>
        <v/>
      </c>
      <c r="AC336" s="8" t="str">
        <f>IF(A336="","",IF(A336="止损计划",IF(OR(B336="",D336="",E336="",F336="",G336=""),"计划不完整",IF(OR(D336&lt;1,D336&lt;&gt;INT(D336)),"阶段序号无效",IF(COUNTIFS($A$2:$A$497,"止损计划",$B$2:$B$497,B336,$D$2:$D$497,D336)&gt;1,"阶段序号重复",IF(E336&lt;=IFERROR(LOOKUP(2,1/(单次交易!$A$2:$A$201=B336),单次交易!$E$2:$E$201),0),"激活价须高于买入价",IF(F336&lt;N336,"止损价不得低于初始止损",IF(F336&gt;E336,"止损价不得高于激活价",IF(AND(COUNTIFS($A$2:$A$497,"止损计划",$B$2:$B$497,B336,$D$2:$D$497,"&lt;"&amp;D336)&gt;0,OR(E336&lt;=SUMPRODUCT(MAX((($A$2:$A$497="止损计划")*($B$2:$B$497=B336)*($D$2:$D$497&lt;D336))*$E$2:$E$497)),F336&lt;SUMPRODUCT(MAX((($A$2:$A$497="止损计划")*($B$2:$B$497=B336)*($D$2:$D$497&lt;D336))*$F$2:$F$497)))),"阶段价格必须逐级提高","计划有效"))))))),IF(A336="每日跟踪",IF(OR(B336="",H336="",I336="",J336=""),"每日数据不完整",IF(COUNTIFS($A$2:$A$497,"每日跟踪",$B$2:$B$497,B336,$H$2:$H$497,H336)&gt;1,"同一交易日期重复",IF(AND(R336&lt;&gt;"",R336&lt;S336),"人工止损无效：不能下调","跟踪有效"))),"记录类型无效")))</f>
        <v/>
      </c>
    </row>
    <row r="337" ht="17" spans="1:29">
      <c r="A337" s="2"/>
      <c r="B337" s="2"/>
      <c r="C337" s="8" t="str">
        <f>IF(B337="","",IFERROR(LOOKUP(2,1/(单次交易!$A$2:$A$201=B337),单次交易!$B$2:$B$201),""))</f>
        <v/>
      </c>
      <c r="D337" s="12"/>
      <c r="E337" s="10"/>
      <c r="F337" s="10"/>
      <c r="G337" s="2"/>
      <c r="H337" s="15"/>
      <c r="I337" s="10"/>
      <c r="J337" s="12"/>
      <c r="K337" s="2"/>
      <c r="L337" s="2"/>
      <c r="M337" s="2"/>
      <c r="N337" s="5" t="str">
        <f>IF(B337="","",IFERROR(LOOKUP(2,1/(单次交易!$A$2:$A$201=B337),单次交易!$N$2:$N$201),""))</f>
        <v/>
      </c>
      <c r="O337" s="5" t="str">
        <f t="shared" si="54"/>
        <v/>
      </c>
      <c r="P337" s="11" t="str">
        <f t="shared" si="55"/>
        <v/>
      </c>
      <c r="Q337" s="5" t="str">
        <f t="shared" si="56"/>
        <v/>
      </c>
      <c r="R337" s="10"/>
      <c r="S337" s="5" t="str">
        <f t="shared" si="57"/>
        <v/>
      </c>
      <c r="T337" s="5" t="str">
        <f t="shared" si="58"/>
        <v/>
      </c>
      <c r="U337" s="5" t="str">
        <f t="shared" si="59"/>
        <v/>
      </c>
      <c r="V337" s="7" t="str">
        <f t="shared" si="60"/>
        <v/>
      </c>
      <c r="W337" s="8" t="str">
        <f t="shared" si="61"/>
        <v/>
      </c>
      <c r="X337" s="2"/>
      <c r="Y337" s="10"/>
      <c r="Z337" s="11" t="str">
        <f>IF(X337&lt;&gt;"执行卖出","",IFERROR(LOOKUP(2,1/(单次交易!$A$2:$A$201=B337),单次交易!$AP$2:$AP$201),""))</f>
        <v/>
      </c>
      <c r="AA337" s="10"/>
      <c r="AB337" s="8" t="str">
        <f t="shared" si="62"/>
        <v/>
      </c>
      <c r="AC337" s="8" t="str">
        <f>IF(A337="","",IF(A337="止损计划",IF(OR(B337="",D337="",E337="",F337="",G337=""),"计划不完整",IF(OR(D337&lt;1,D337&lt;&gt;INT(D337)),"阶段序号无效",IF(COUNTIFS($A$2:$A$497,"止损计划",$B$2:$B$497,B337,$D$2:$D$497,D337)&gt;1,"阶段序号重复",IF(E337&lt;=IFERROR(LOOKUP(2,1/(单次交易!$A$2:$A$201=B337),单次交易!$E$2:$E$201),0),"激活价须高于买入价",IF(F337&lt;N337,"止损价不得低于初始止损",IF(F337&gt;E337,"止损价不得高于激活价",IF(AND(COUNTIFS($A$2:$A$497,"止损计划",$B$2:$B$497,B337,$D$2:$D$497,"&lt;"&amp;D337)&gt;0,OR(E337&lt;=SUMPRODUCT(MAX((($A$2:$A$497="止损计划")*($B$2:$B$497=B337)*($D$2:$D$497&lt;D337))*$E$2:$E$497)),F337&lt;SUMPRODUCT(MAX((($A$2:$A$497="止损计划")*($B$2:$B$497=B337)*($D$2:$D$497&lt;D337))*$F$2:$F$497)))),"阶段价格必须逐级提高","计划有效"))))))),IF(A337="每日跟踪",IF(OR(B337="",H337="",I337="",J337=""),"每日数据不完整",IF(COUNTIFS($A$2:$A$497,"每日跟踪",$B$2:$B$497,B337,$H$2:$H$497,H337)&gt;1,"同一交易日期重复",IF(AND(R337&lt;&gt;"",R337&lt;S337),"人工止损无效：不能下调","跟踪有效"))),"记录类型无效")))</f>
        <v/>
      </c>
    </row>
    <row r="338" ht="17" spans="1:29">
      <c r="A338" s="2"/>
      <c r="B338" s="2"/>
      <c r="C338" s="8" t="str">
        <f>IF(B338="","",IFERROR(LOOKUP(2,1/(单次交易!$A$2:$A$201=B338),单次交易!$B$2:$B$201),""))</f>
        <v/>
      </c>
      <c r="D338" s="12"/>
      <c r="E338" s="10"/>
      <c r="F338" s="10"/>
      <c r="G338" s="2"/>
      <c r="H338" s="15"/>
      <c r="I338" s="10"/>
      <c r="J338" s="12"/>
      <c r="K338" s="2"/>
      <c r="L338" s="2"/>
      <c r="M338" s="2"/>
      <c r="N338" s="5" t="str">
        <f>IF(B338="","",IFERROR(LOOKUP(2,1/(单次交易!$A$2:$A$201=B338),单次交易!$N$2:$N$201),""))</f>
        <v/>
      </c>
      <c r="O338" s="5" t="str">
        <f t="shared" si="54"/>
        <v/>
      </c>
      <c r="P338" s="11" t="str">
        <f t="shared" si="55"/>
        <v/>
      </c>
      <c r="Q338" s="5" t="str">
        <f t="shared" si="56"/>
        <v/>
      </c>
      <c r="R338" s="10"/>
      <c r="S338" s="5" t="str">
        <f t="shared" si="57"/>
        <v/>
      </c>
      <c r="T338" s="5" t="str">
        <f t="shared" si="58"/>
        <v/>
      </c>
      <c r="U338" s="5" t="str">
        <f t="shared" si="59"/>
        <v/>
      </c>
      <c r="V338" s="7" t="str">
        <f t="shared" si="60"/>
        <v/>
      </c>
      <c r="W338" s="8" t="str">
        <f t="shared" si="61"/>
        <v/>
      </c>
      <c r="X338" s="2"/>
      <c r="Y338" s="10"/>
      <c r="Z338" s="11" t="str">
        <f>IF(X338&lt;&gt;"执行卖出","",IFERROR(LOOKUP(2,1/(单次交易!$A$2:$A$201=B338),单次交易!$AP$2:$AP$201),""))</f>
        <v/>
      </c>
      <c r="AA338" s="10"/>
      <c r="AB338" s="8" t="str">
        <f t="shared" si="62"/>
        <v/>
      </c>
      <c r="AC338" s="8" t="str">
        <f>IF(A338="","",IF(A338="止损计划",IF(OR(B338="",D338="",E338="",F338="",G338=""),"计划不完整",IF(OR(D338&lt;1,D338&lt;&gt;INT(D338)),"阶段序号无效",IF(COUNTIFS($A$2:$A$497,"止损计划",$B$2:$B$497,B338,$D$2:$D$497,D338)&gt;1,"阶段序号重复",IF(E338&lt;=IFERROR(LOOKUP(2,1/(单次交易!$A$2:$A$201=B338),单次交易!$E$2:$E$201),0),"激活价须高于买入价",IF(F338&lt;N338,"止损价不得低于初始止损",IF(F338&gt;E338,"止损价不得高于激活价",IF(AND(COUNTIFS($A$2:$A$497,"止损计划",$B$2:$B$497,B338,$D$2:$D$497,"&lt;"&amp;D338)&gt;0,OR(E338&lt;=SUMPRODUCT(MAX((($A$2:$A$497="止损计划")*($B$2:$B$497=B338)*($D$2:$D$497&lt;D338))*$E$2:$E$497)),F338&lt;SUMPRODUCT(MAX((($A$2:$A$497="止损计划")*($B$2:$B$497=B338)*($D$2:$D$497&lt;D338))*$F$2:$F$497)))),"阶段价格必须逐级提高","计划有效"))))))),IF(A338="每日跟踪",IF(OR(B338="",H338="",I338="",J338=""),"每日数据不完整",IF(COUNTIFS($A$2:$A$497,"每日跟踪",$B$2:$B$497,B338,$H$2:$H$497,H338)&gt;1,"同一交易日期重复",IF(AND(R338&lt;&gt;"",R338&lt;S338),"人工止损无效：不能下调","跟踪有效"))),"记录类型无效")))</f>
        <v/>
      </c>
    </row>
    <row r="339" ht="17" spans="1:29">
      <c r="A339" s="2"/>
      <c r="B339" s="2"/>
      <c r="C339" s="8" t="str">
        <f>IF(B339="","",IFERROR(LOOKUP(2,1/(单次交易!$A$2:$A$201=B339),单次交易!$B$2:$B$201),""))</f>
        <v/>
      </c>
      <c r="D339" s="12"/>
      <c r="E339" s="10"/>
      <c r="F339" s="10"/>
      <c r="G339" s="2"/>
      <c r="H339" s="15"/>
      <c r="I339" s="10"/>
      <c r="J339" s="12"/>
      <c r="K339" s="2"/>
      <c r="L339" s="2"/>
      <c r="M339" s="2"/>
      <c r="N339" s="5" t="str">
        <f>IF(B339="","",IFERROR(LOOKUP(2,1/(单次交易!$A$2:$A$201=B339),单次交易!$N$2:$N$201),""))</f>
        <v/>
      </c>
      <c r="O339" s="5" t="str">
        <f t="shared" si="54"/>
        <v/>
      </c>
      <c r="P339" s="11" t="str">
        <f t="shared" si="55"/>
        <v/>
      </c>
      <c r="Q339" s="5" t="str">
        <f t="shared" si="56"/>
        <v/>
      </c>
      <c r="R339" s="10"/>
      <c r="S339" s="5" t="str">
        <f t="shared" si="57"/>
        <v/>
      </c>
      <c r="T339" s="5" t="str">
        <f t="shared" si="58"/>
        <v/>
      </c>
      <c r="U339" s="5" t="str">
        <f t="shared" si="59"/>
        <v/>
      </c>
      <c r="V339" s="7" t="str">
        <f t="shared" si="60"/>
        <v/>
      </c>
      <c r="W339" s="8" t="str">
        <f t="shared" si="61"/>
        <v/>
      </c>
      <c r="X339" s="2"/>
      <c r="Y339" s="10"/>
      <c r="Z339" s="11" t="str">
        <f>IF(X339&lt;&gt;"执行卖出","",IFERROR(LOOKUP(2,1/(单次交易!$A$2:$A$201=B339),单次交易!$AP$2:$AP$201),""))</f>
        <v/>
      </c>
      <c r="AA339" s="10"/>
      <c r="AB339" s="8" t="str">
        <f t="shared" si="62"/>
        <v/>
      </c>
      <c r="AC339" s="8" t="str">
        <f>IF(A339="","",IF(A339="止损计划",IF(OR(B339="",D339="",E339="",F339="",G339=""),"计划不完整",IF(OR(D339&lt;1,D339&lt;&gt;INT(D339)),"阶段序号无效",IF(COUNTIFS($A$2:$A$497,"止损计划",$B$2:$B$497,B339,$D$2:$D$497,D339)&gt;1,"阶段序号重复",IF(E339&lt;=IFERROR(LOOKUP(2,1/(单次交易!$A$2:$A$201=B339),单次交易!$E$2:$E$201),0),"激活价须高于买入价",IF(F339&lt;N339,"止损价不得低于初始止损",IF(F339&gt;E339,"止损价不得高于激活价",IF(AND(COUNTIFS($A$2:$A$497,"止损计划",$B$2:$B$497,B339,$D$2:$D$497,"&lt;"&amp;D339)&gt;0,OR(E339&lt;=SUMPRODUCT(MAX((($A$2:$A$497="止损计划")*($B$2:$B$497=B339)*($D$2:$D$497&lt;D339))*$E$2:$E$497)),F339&lt;SUMPRODUCT(MAX((($A$2:$A$497="止损计划")*($B$2:$B$497=B339)*($D$2:$D$497&lt;D339))*$F$2:$F$497)))),"阶段价格必须逐级提高","计划有效"))))))),IF(A339="每日跟踪",IF(OR(B339="",H339="",I339="",J339=""),"每日数据不完整",IF(COUNTIFS($A$2:$A$497,"每日跟踪",$B$2:$B$497,B339,$H$2:$H$497,H339)&gt;1,"同一交易日期重复",IF(AND(R339&lt;&gt;"",R339&lt;S339),"人工止损无效：不能下调","跟踪有效"))),"记录类型无效")))</f>
        <v/>
      </c>
    </row>
    <row r="340" ht="17" spans="1:29">
      <c r="A340" s="2"/>
      <c r="B340" s="2"/>
      <c r="C340" s="8" t="str">
        <f>IF(B340="","",IFERROR(LOOKUP(2,1/(单次交易!$A$2:$A$201=B340),单次交易!$B$2:$B$201),""))</f>
        <v/>
      </c>
      <c r="D340" s="12"/>
      <c r="E340" s="10"/>
      <c r="F340" s="10"/>
      <c r="G340" s="2"/>
      <c r="H340" s="15"/>
      <c r="I340" s="10"/>
      <c r="J340" s="12"/>
      <c r="K340" s="2"/>
      <c r="L340" s="2"/>
      <c r="M340" s="2"/>
      <c r="N340" s="5" t="str">
        <f>IF(B340="","",IFERROR(LOOKUP(2,1/(单次交易!$A$2:$A$201=B340),单次交易!$N$2:$N$201),""))</f>
        <v/>
      </c>
      <c r="O340" s="5" t="str">
        <f t="shared" si="54"/>
        <v/>
      </c>
      <c r="P340" s="11" t="str">
        <f t="shared" si="55"/>
        <v/>
      </c>
      <c r="Q340" s="5" t="str">
        <f t="shared" si="56"/>
        <v/>
      </c>
      <c r="R340" s="10"/>
      <c r="S340" s="5" t="str">
        <f t="shared" si="57"/>
        <v/>
      </c>
      <c r="T340" s="5" t="str">
        <f t="shared" si="58"/>
        <v/>
      </c>
      <c r="U340" s="5" t="str">
        <f t="shared" si="59"/>
        <v/>
      </c>
      <c r="V340" s="7" t="str">
        <f t="shared" si="60"/>
        <v/>
      </c>
      <c r="W340" s="8" t="str">
        <f t="shared" si="61"/>
        <v/>
      </c>
      <c r="X340" s="2"/>
      <c r="Y340" s="10"/>
      <c r="Z340" s="11" t="str">
        <f>IF(X340&lt;&gt;"执行卖出","",IFERROR(LOOKUP(2,1/(单次交易!$A$2:$A$201=B340),单次交易!$AP$2:$AP$201),""))</f>
        <v/>
      </c>
      <c r="AA340" s="10"/>
      <c r="AB340" s="8" t="str">
        <f t="shared" si="62"/>
        <v/>
      </c>
      <c r="AC340" s="8" t="str">
        <f>IF(A340="","",IF(A340="止损计划",IF(OR(B340="",D340="",E340="",F340="",G340=""),"计划不完整",IF(OR(D340&lt;1,D340&lt;&gt;INT(D340)),"阶段序号无效",IF(COUNTIFS($A$2:$A$497,"止损计划",$B$2:$B$497,B340,$D$2:$D$497,D340)&gt;1,"阶段序号重复",IF(E340&lt;=IFERROR(LOOKUP(2,1/(单次交易!$A$2:$A$201=B340),单次交易!$E$2:$E$201),0),"激活价须高于买入价",IF(F340&lt;N340,"止损价不得低于初始止损",IF(F340&gt;E340,"止损价不得高于激活价",IF(AND(COUNTIFS($A$2:$A$497,"止损计划",$B$2:$B$497,B340,$D$2:$D$497,"&lt;"&amp;D340)&gt;0,OR(E340&lt;=SUMPRODUCT(MAX((($A$2:$A$497="止损计划")*($B$2:$B$497=B340)*($D$2:$D$497&lt;D340))*$E$2:$E$497)),F340&lt;SUMPRODUCT(MAX((($A$2:$A$497="止损计划")*($B$2:$B$497=B340)*($D$2:$D$497&lt;D340))*$F$2:$F$497)))),"阶段价格必须逐级提高","计划有效"))))))),IF(A340="每日跟踪",IF(OR(B340="",H340="",I340="",J340=""),"每日数据不完整",IF(COUNTIFS($A$2:$A$497,"每日跟踪",$B$2:$B$497,B340,$H$2:$H$497,H340)&gt;1,"同一交易日期重复",IF(AND(R340&lt;&gt;"",R340&lt;S340),"人工止损无效：不能下调","跟踪有效"))),"记录类型无效")))</f>
        <v/>
      </c>
    </row>
    <row r="341" ht="17" spans="1:29">
      <c r="A341" s="2"/>
      <c r="B341" s="2"/>
      <c r="C341" s="8" t="str">
        <f>IF(B341="","",IFERROR(LOOKUP(2,1/(单次交易!$A$2:$A$201=B341),单次交易!$B$2:$B$201),""))</f>
        <v/>
      </c>
      <c r="D341" s="12"/>
      <c r="E341" s="10"/>
      <c r="F341" s="10"/>
      <c r="G341" s="2"/>
      <c r="H341" s="15"/>
      <c r="I341" s="10"/>
      <c r="J341" s="12"/>
      <c r="K341" s="2"/>
      <c r="L341" s="2"/>
      <c r="M341" s="2"/>
      <c r="N341" s="5" t="str">
        <f>IF(B341="","",IFERROR(LOOKUP(2,1/(单次交易!$A$2:$A$201=B341),单次交易!$N$2:$N$201),""))</f>
        <v/>
      </c>
      <c r="O341" s="5" t="str">
        <f t="shared" si="54"/>
        <v/>
      </c>
      <c r="P341" s="11" t="str">
        <f t="shared" si="55"/>
        <v/>
      </c>
      <c r="Q341" s="5" t="str">
        <f t="shared" si="56"/>
        <v/>
      </c>
      <c r="R341" s="10"/>
      <c r="S341" s="5" t="str">
        <f t="shared" si="57"/>
        <v/>
      </c>
      <c r="T341" s="5" t="str">
        <f t="shared" si="58"/>
        <v/>
      </c>
      <c r="U341" s="5" t="str">
        <f t="shared" si="59"/>
        <v/>
      </c>
      <c r="V341" s="7" t="str">
        <f t="shared" si="60"/>
        <v/>
      </c>
      <c r="W341" s="8" t="str">
        <f t="shared" si="61"/>
        <v/>
      </c>
      <c r="X341" s="2"/>
      <c r="Y341" s="10"/>
      <c r="Z341" s="11" t="str">
        <f>IF(X341&lt;&gt;"执行卖出","",IFERROR(LOOKUP(2,1/(单次交易!$A$2:$A$201=B341),单次交易!$AP$2:$AP$201),""))</f>
        <v/>
      </c>
      <c r="AA341" s="10"/>
      <c r="AB341" s="8" t="str">
        <f t="shared" si="62"/>
        <v/>
      </c>
      <c r="AC341" s="8" t="str">
        <f>IF(A341="","",IF(A341="止损计划",IF(OR(B341="",D341="",E341="",F341="",G341=""),"计划不完整",IF(OR(D341&lt;1,D341&lt;&gt;INT(D341)),"阶段序号无效",IF(COUNTIFS($A$2:$A$497,"止损计划",$B$2:$B$497,B341,$D$2:$D$497,D341)&gt;1,"阶段序号重复",IF(E341&lt;=IFERROR(LOOKUP(2,1/(单次交易!$A$2:$A$201=B341),单次交易!$E$2:$E$201),0),"激活价须高于买入价",IF(F341&lt;N341,"止损价不得低于初始止损",IF(F341&gt;E341,"止损价不得高于激活价",IF(AND(COUNTIFS($A$2:$A$497,"止损计划",$B$2:$B$497,B341,$D$2:$D$497,"&lt;"&amp;D341)&gt;0,OR(E341&lt;=SUMPRODUCT(MAX((($A$2:$A$497="止损计划")*($B$2:$B$497=B341)*($D$2:$D$497&lt;D341))*$E$2:$E$497)),F341&lt;SUMPRODUCT(MAX((($A$2:$A$497="止损计划")*($B$2:$B$497=B341)*($D$2:$D$497&lt;D341))*$F$2:$F$497)))),"阶段价格必须逐级提高","计划有效"))))))),IF(A341="每日跟踪",IF(OR(B341="",H341="",I341="",J341=""),"每日数据不完整",IF(COUNTIFS($A$2:$A$497,"每日跟踪",$B$2:$B$497,B341,$H$2:$H$497,H341)&gt;1,"同一交易日期重复",IF(AND(R341&lt;&gt;"",R341&lt;S341),"人工止损无效：不能下调","跟踪有效"))),"记录类型无效")))</f>
        <v/>
      </c>
    </row>
    <row r="342" ht="17" spans="1:29">
      <c r="A342" s="2"/>
      <c r="B342" s="2"/>
      <c r="C342" s="8" t="str">
        <f>IF(B342="","",IFERROR(LOOKUP(2,1/(单次交易!$A$2:$A$201=B342),单次交易!$B$2:$B$201),""))</f>
        <v/>
      </c>
      <c r="D342" s="12"/>
      <c r="E342" s="10"/>
      <c r="F342" s="10"/>
      <c r="G342" s="2"/>
      <c r="H342" s="15"/>
      <c r="I342" s="10"/>
      <c r="J342" s="12"/>
      <c r="K342" s="2"/>
      <c r="L342" s="2"/>
      <c r="M342" s="2"/>
      <c r="N342" s="5" t="str">
        <f>IF(B342="","",IFERROR(LOOKUP(2,1/(单次交易!$A$2:$A$201=B342),单次交易!$N$2:$N$201),""))</f>
        <v/>
      </c>
      <c r="O342" s="5" t="str">
        <f t="shared" si="54"/>
        <v/>
      </c>
      <c r="P342" s="11" t="str">
        <f t="shared" si="55"/>
        <v/>
      </c>
      <c r="Q342" s="5" t="str">
        <f t="shared" si="56"/>
        <v/>
      </c>
      <c r="R342" s="10"/>
      <c r="S342" s="5" t="str">
        <f t="shared" si="57"/>
        <v/>
      </c>
      <c r="T342" s="5" t="str">
        <f t="shared" si="58"/>
        <v/>
      </c>
      <c r="U342" s="5" t="str">
        <f t="shared" si="59"/>
        <v/>
      </c>
      <c r="V342" s="7" t="str">
        <f t="shared" si="60"/>
        <v/>
      </c>
      <c r="W342" s="8" t="str">
        <f t="shared" si="61"/>
        <v/>
      </c>
      <c r="X342" s="2"/>
      <c r="Y342" s="10"/>
      <c r="Z342" s="11" t="str">
        <f>IF(X342&lt;&gt;"执行卖出","",IFERROR(LOOKUP(2,1/(单次交易!$A$2:$A$201=B342),单次交易!$AP$2:$AP$201),""))</f>
        <v/>
      </c>
      <c r="AA342" s="10"/>
      <c r="AB342" s="8" t="str">
        <f t="shared" si="62"/>
        <v/>
      </c>
      <c r="AC342" s="8" t="str">
        <f>IF(A342="","",IF(A342="止损计划",IF(OR(B342="",D342="",E342="",F342="",G342=""),"计划不完整",IF(OR(D342&lt;1,D342&lt;&gt;INT(D342)),"阶段序号无效",IF(COUNTIFS($A$2:$A$497,"止损计划",$B$2:$B$497,B342,$D$2:$D$497,D342)&gt;1,"阶段序号重复",IF(E342&lt;=IFERROR(LOOKUP(2,1/(单次交易!$A$2:$A$201=B342),单次交易!$E$2:$E$201),0),"激活价须高于买入价",IF(F342&lt;N342,"止损价不得低于初始止损",IF(F342&gt;E342,"止损价不得高于激活价",IF(AND(COUNTIFS($A$2:$A$497,"止损计划",$B$2:$B$497,B342,$D$2:$D$497,"&lt;"&amp;D342)&gt;0,OR(E342&lt;=SUMPRODUCT(MAX((($A$2:$A$497="止损计划")*($B$2:$B$497=B342)*($D$2:$D$497&lt;D342))*$E$2:$E$497)),F342&lt;SUMPRODUCT(MAX((($A$2:$A$497="止损计划")*($B$2:$B$497=B342)*($D$2:$D$497&lt;D342))*$F$2:$F$497)))),"阶段价格必须逐级提高","计划有效"))))))),IF(A342="每日跟踪",IF(OR(B342="",H342="",I342="",J342=""),"每日数据不完整",IF(COUNTIFS($A$2:$A$497,"每日跟踪",$B$2:$B$497,B342,$H$2:$H$497,H342)&gt;1,"同一交易日期重复",IF(AND(R342&lt;&gt;"",R342&lt;S342),"人工止损无效：不能下调","跟踪有效"))),"记录类型无效")))</f>
        <v/>
      </c>
    </row>
    <row r="343" ht="17" spans="1:29">
      <c r="A343" s="2"/>
      <c r="B343" s="2"/>
      <c r="C343" s="8" t="str">
        <f>IF(B343="","",IFERROR(LOOKUP(2,1/(单次交易!$A$2:$A$201=B343),单次交易!$B$2:$B$201),""))</f>
        <v/>
      </c>
      <c r="D343" s="12"/>
      <c r="E343" s="10"/>
      <c r="F343" s="10"/>
      <c r="G343" s="2"/>
      <c r="H343" s="15"/>
      <c r="I343" s="10"/>
      <c r="J343" s="12"/>
      <c r="K343" s="2"/>
      <c r="L343" s="2"/>
      <c r="M343" s="2"/>
      <c r="N343" s="5" t="str">
        <f>IF(B343="","",IFERROR(LOOKUP(2,1/(单次交易!$A$2:$A$201=B343),单次交易!$N$2:$N$201),""))</f>
        <v/>
      </c>
      <c r="O343" s="5" t="str">
        <f t="shared" si="54"/>
        <v/>
      </c>
      <c r="P343" s="11" t="str">
        <f t="shared" si="55"/>
        <v/>
      </c>
      <c r="Q343" s="5" t="str">
        <f t="shared" si="56"/>
        <v/>
      </c>
      <c r="R343" s="10"/>
      <c r="S343" s="5" t="str">
        <f t="shared" si="57"/>
        <v/>
      </c>
      <c r="T343" s="5" t="str">
        <f t="shared" si="58"/>
        <v/>
      </c>
      <c r="U343" s="5" t="str">
        <f t="shared" si="59"/>
        <v/>
      </c>
      <c r="V343" s="7" t="str">
        <f t="shared" si="60"/>
        <v/>
      </c>
      <c r="W343" s="8" t="str">
        <f t="shared" si="61"/>
        <v/>
      </c>
      <c r="X343" s="2"/>
      <c r="Y343" s="10"/>
      <c r="Z343" s="11" t="str">
        <f>IF(X343&lt;&gt;"执行卖出","",IFERROR(LOOKUP(2,1/(单次交易!$A$2:$A$201=B343),单次交易!$AP$2:$AP$201),""))</f>
        <v/>
      </c>
      <c r="AA343" s="10"/>
      <c r="AB343" s="8" t="str">
        <f t="shared" si="62"/>
        <v/>
      </c>
      <c r="AC343" s="8" t="str">
        <f>IF(A343="","",IF(A343="止损计划",IF(OR(B343="",D343="",E343="",F343="",G343=""),"计划不完整",IF(OR(D343&lt;1,D343&lt;&gt;INT(D343)),"阶段序号无效",IF(COUNTIFS($A$2:$A$497,"止损计划",$B$2:$B$497,B343,$D$2:$D$497,D343)&gt;1,"阶段序号重复",IF(E343&lt;=IFERROR(LOOKUP(2,1/(单次交易!$A$2:$A$201=B343),单次交易!$E$2:$E$201),0),"激活价须高于买入价",IF(F343&lt;N343,"止损价不得低于初始止损",IF(F343&gt;E343,"止损价不得高于激活价",IF(AND(COUNTIFS($A$2:$A$497,"止损计划",$B$2:$B$497,B343,$D$2:$D$497,"&lt;"&amp;D343)&gt;0,OR(E343&lt;=SUMPRODUCT(MAX((($A$2:$A$497="止损计划")*($B$2:$B$497=B343)*($D$2:$D$497&lt;D343))*$E$2:$E$497)),F343&lt;SUMPRODUCT(MAX((($A$2:$A$497="止损计划")*($B$2:$B$497=B343)*($D$2:$D$497&lt;D343))*$F$2:$F$497)))),"阶段价格必须逐级提高","计划有效"))))))),IF(A343="每日跟踪",IF(OR(B343="",H343="",I343="",J343=""),"每日数据不完整",IF(COUNTIFS($A$2:$A$497,"每日跟踪",$B$2:$B$497,B343,$H$2:$H$497,H343)&gt;1,"同一交易日期重复",IF(AND(R343&lt;&gt;"",R343&lt;S343),"人工止损无效：不能下调","跟踪有效"))),"记录类型无效")))</f>
        <v/>
      </c>
    </row>
    <row r="344" ht="17" spans="1:29">
      <c r="A344" s="2"/>
      <c r="B344" s="2"/>
      <c r="C344" s="8" t="str">
        <f>IF(B344="","",IFERROR(LOOKUP(2,1/(单次交易!$A$2:$A$201=B344),单次交易!$B$2:$B$201),""))</f>
        <v/>
      </c>
      <c r="D344" s="12"/>
      <c r="E344" s="10"/>
      <c r="F344" s="10"/>
      <c r="G344" s="2"/>
      <c r="H344" s="15"/>
      <c r="I344" s="10"/>
      <c r="J344" s="12"/>
      <c r="K344" s="2"/>
      <c r="L344" s="2"/>
      <c r="M344" s="2"/>
      <c r="N344" s="5" t="str">
        <f>IF(B344="","",IFERROR(LOOKUP(2,1/(单次交易!$A$2:$A$201=B344),单次交易!$N$2:$N$201),""))</f>
        <v/>
      </c>
      <c r="O344" s="5" t="str">
        <f t="shared" si="54"/>
        <v/>
      </c>
      <c r="P344" s="11" t="str">
        <f t="shared" si="55"/>
        <v/>
      </c>
      <c r="Q344" s="5" t="str">
        <f t="shared" si="56"/>
        <v/>
      </c>
      <c r="R344" s="10"/>
      <c r="S344" s="5" t="str">
        <f t="shared" si="57"/>
        <v/>
      </c>
      <c r="T344" s="5" t="str">
        <f t="shared" si="58"/>
        <v/>
      </c>
      <c r="U344" s="5" t="str">
        <f t="shared" si="59"/>
        <v/>
      </c>
      <c r="V344" s="7" t="str">
        <f t="shared" si="60"/>
        <v/>
      </c>
      <c r="W344" s="8" t="str">
        <f t="shared" si="61"/>
        <v/>
      </c>
      <c r="X344" s="2"/>
      <c r="Y344" s="10"/>
      <c r="Z344" s="11" t="str">
        <f>IF(X344&lt;&gt;"执行卖出","",IFERROR(LOOKUP(2,1/(单次交易!$A$2:$A$201=B344),单次交易!$AP$2:$AP$201),""))</f>
        <v/>
      </c>
      <c r="AA344" s="10"/>
      <c r="AB344" s="8" t="str">
        <f t="shared" si="62"/>
        <v/>
      </c>
      <c r="AC344" s="8" t="str">
        <f>IF(A344="","",IF(A344="止损计划",IF(OR(B344="",D344="",E344="",F344="",G344=""),"计划不完整",IF(OR(D344&lt;1,D344&lt;&gt;INT(D344)),"阶段序号无效",IF(COUNTIFS($A$2:$A$497,"止损计划",$B$2:$B$497,B344,$D$2:$D$497,D344)&gt;1,"阶段序号重复",IF(E344&lt;=IFERROR(LOOKUP(2,1/(单次交易!$A$2:$A$201=B344),单次交易!$E$2:$E$201),0),"激活价须高于买入价",IF(F344&lt;N344,"止损价不得低于初始止损",IF(F344&gt;E344,"止损价不得高于激活价",IF(AND(COUNTIFS($A$2:$A$497,"止损计划",$B$2:$B$497,B344,$D$2:$D$497,"&lt;"&amp;D344)&gt;0,OR(E344&lt;=SUMPRODUCT(MAX((($A$2:$A$497="止损计划")*($B$2:$B$497=B344)*($D$2:$D$497&lt;D344))*$E$2:$E$497)),F344&lt;SUMPRODUCT(MAX((($A$2:$A$497="止损计划")*($B$2:$B$497=B344)*($D$2:$D$497&lt;D344))*$F$2:$F$497)))),"阶段价格必须逐级提高","计划有效"))))))),IF(A344="每日跟踪",IF(OR(B344="",H344="",I344="",J344=""),"每日数据不完整",IF(COUNTIFS($A$2:$A$497,"每日跟踪",$B$2:$B$497,B344,$H$2:$H$497,H344)&gt;1,"同一交易日期重复",IF(AND(R344&lt;&gt;"",R344&lt;S344),"人工止损无效：不能下调","跟踪有效"))),"记录类型无效")))</f>
        <v/>
      </c>
    </row>
    <row r="345" ht="17" spans="1:29">
      <c r="A345" s="2"/>
      <c r="B345" s="2"/>
      <c r="C345" s="8" t="str">
        <f>IF(B345="","",IFERROR(LOOKUP(2,1/(单次交易!$A$2:$A$201=B345),单次交易!$B$2:$B$201),""))</f>
        <v/>
      </c>
      <c r="D345" s="12"/>
      <c r="E345" s="10"/>
      <c r="F345" s="10"/>
      <c r="G345" s="2"/>
      <c r="H345" s="15"/>
      <c r="I345" s="10"/>
      <c r="J345" s="12"/>
      <c r="K345" s="2"/>
      <c r="L345" s="2"/>
      <c r="M345" s="2"/>
      <c r="N345" s="5" t="str">
        <f>IF(B345="","",IFERROR(LOOKUP(2,1/(单次交易!$A$2:$A$201=B345),单次交易!$N$2:$N$201),""))</f>
        <v/>
      </c>
      <c r="O345" s="5" t="str">
        <f t="shared" si="54"/>
        <v/>
      </c>
      <c r="P345" s="11" t="str">
        <f t="shared" si="55"/>
        <v/>
      </c>
      <c r="Q345" s="5" t="str">
        <f t="shared" si="56"/>
        <v/>
      </c>
      <c r="R345" s="10"/>
      <c r="S345" s="5" t="str">
        <f t="shared" si="57"/>
        <v/>
      </c>
      <c r="T345" s="5" t="str">
        <f t="shared" si="58"/>
        <v/>
      </c>
      <c r="U345" s="5" t="str">
        <f t="shared" si="59"/>
        <v/>
      </c>
      <c r="V345" s="7" t="str">
        <f t="shared" si="60"/>
        <v/>
      </c>
      <c r="W345" s="8" t="str">
        <f t="shared" si="61"/>
        <v/>
      </c>
      <c r="X345" s="2"/>
      <c r="Y345" s="10"/>
      <c r="Z345" s="11" t="str">
        <f>IF(X345&lt;&gt;"执行卖出","",IFERROR(LOOKUP(2,1/(单次交易!$A$2:$A$201=B345),单次交易!$AP$2:$AP$201),""))</f>
        <v/>
      </c>
      <c r="AA345" s="10"/>
      <c r="AB345" s="8" t="str">
        <f t="shared" si="62"/>
        <v/>
      </c>
      <c r="AC345" s="8" t="str">
        <f>IF(A345="","",IF(A345="止损计划",IF(OR(B345="",D345="",E345="",F345="",G345=""),"计划不完整",IF(OR(D345&lt;1,D345&lt;&gt;INT(D345)),"阶段序号无效",IF(COUNTIFS($A$2:$A$497,"止损计划",$B$2:$B$497,B345,$D$2:$D$497,D345)&gt;1,"阶段序号重复",IF(E345&lt;=IFERROR(LOOKUP(2,1/(单次交易!$A$2:$A$201=B345),单次交易!$E$2:$E$201),0),"激活价须高于买入价",IF(F345&lt;N345,"止损价不得低于初始止损",IF(F345&gt;E345,"止损价不得高于激活价",IF(AND(COUNTIFS($A$2:$A$497,"止损计划",$B$2:$B$497,B345,$D$2:$D$497,"&lt;"&amp;D345)&gt;0,OR(E345&lt;=SUMPRODUCT(MAX((($A$2:$A$497="止损计划")*($B$2:$B$497=B345)*($D$2:$D$497&lt;D345))*$E$2:$E$497)),F345&lt;SUMPRODUCT(MAX((($A$2:$A$497="止损计划")*($B$2:$B$497=B345)*($D$2:$D$497&lt;D345))*$F$2:$F$497)))),"阶段价格必须逐级提高","计划有效"))))))),IF(A345="每日跟踪",IF(OR(B345="",H345="",I345="",J345=""),"每日数据不完整",IF(COUNTIFS($A$2:$A$497,"每日跟踪",$B$2:$B$497,B345,$H$2:$H$497,H345)&gt;1,"同一交易日期重复",IF(AND(R345&lt;&gt;"",R345&lt;S345),"人工止损无效：不能下调","跟踪有效"))),"记录类型无效")))</f>
        <v/>
      </c>
    </row>
    <row r="346" ht="17" spans="1:29">
      <c r="A346" s="2"/>
      <c r="B346" s="2"/>
      <c r="C346" s="8" t="str">
        <f>IF(B346="","",IFERROR(LOOKUP(2,1/(单次交易!$A$2:$A$201=B346),单次交易!$B$2:$B$201),""))</f>
        <v/>
      </c>
      <c r="D346" s="12"/>
      <c r="E346" s="10"/>
      <c r="F346" s="10"/>
      <c r="G346" s="2"/>
      <c r="H346" s="15"/>
      <c r="I346" s="10"/>
      <c r="J346" s="12"/>
      <c r="K346" s="2"/>
      <c r="L346" s="2"/>
      <c r="M346" s="2"/>
      <c r="N346" s="5" t="str">
        <f>IF(B346="","",IFERROR(LOOKUP(2,1/(单次交易!$A$2:$A$201=B346),单次交易!$N$2:$N$201),""))</f>
        <v/>
      </c>
      <c r="O346" s="5" t="str">
        <f t="shared" si="54"/>
        <v/>
      </c>
      <c r="P346" s="11" t="str">
        <f t="shared" si="55"/>
        <v/>
      </c>
      <c r="Q346" s="5" t="str">
        <f t="shared" si="56"/>
        <v/>
      </c>
      <c r="R346" s="10"/>
      <c r="S346" s="5" t="str">
        <f t="shared" si="57"/>
        <v/>
      </c>
      <c r="T346" s="5" t="str">
        <f t="shared" si="58"/>
        <v/>
      </c>
      <c r="U346" s="5" t="str">
        <f t="shared" si="59"/>
        <v/>
      </c>
      <c r="V346" s="7" t="str">
        <f t="shared" si="60"/>
        <v/>
      </c>
      <c r="W346" s="8" t="str">
        <f t="shared" si="61"/>
        <v/>
      </c>
      <c r="X346" s="2"/>
      <c r="Y346" s="10"/>
      <c r="Z346" s="11" t="str">
        <f>IF(X346&lt;&gt;"执行卖出","",IFERROR(LOOKUP(2,1/(单次交易!$A$2:$A$201=B346),单次交易!$AP$2:$AP$201),""))</f>
        <v/>
      </c>
      <c r="AA346" s="10"/>
      <c r="AB346" s="8" t="str">
        <f t="shared" si="62"/>
        <v/>
      </c>
      <c r="AC346" s="8" t="str">
        <f>IF(A346="","",IF(A346="止损计划",IF(OR(B346="",D346="",E346="",F346="",G346=""),"计划不完整",IF(OR(D346&lt;1,D346&lt;&gt;INT(D346)),"阶段序号无效",IF(COUNTIFS($A$2:$A$497,"止损计划",$B$2:$B$497,B346,$D$2:$D$497,D346)&gt;1,"阶段序号重复",IF(E346&lt;=IFERROR(LOOKUP(2,1/(单次交易!$A$2:$A$201=B346),单次交易!$E$2:$E$201),0),"激活价须高于买入价",IF(F346&lt;N346,"止损价不得低于初始止损",IF(F346&gt;E346,"止损价不得高于激活价",IF(AND(COUNTIFS($A$2:$A$497,"止损计划",$B$2:$B$497,B346,$D$2:$D$497,"&lt;"&amp;D346)&gt;0,OR(E346&lt;=SUMPRODUCT(MAX((($A$2:$A$497="止损计划")*($B$2:$B$497=B346)*($D$2:$D$497&lt;D346))*$E$2:$E$497)),F346&lt;SUMPRODUCT(MAX((($A$2:$A$497="止损计划")*($B$2:$B$497=B346)*($D$2:$D$497&lt;D346))*$F$2:$F$497)))),"阶段价格必须逐级提高","计划有效"))))))),IF(A346="每日跟踪",IF(OR(B346="",H346="",I346="",J346=""),"每日数据不完整",IF(COUNTIFS($A$2:$A$497,"每日跟踪",$B$2:$B$497,B346,$H$2:$H$497,H346)&gt;1,"同一交易日期重复",IF(AND(R346&lt;&gt;"",R346&lt;S346),"人工止损无效：不能下调","跟踪有效"))),"记录类型无效")))</f>
        <v/>
      </c>
    </row>
    <row r="347" ht="17" spans="1:29">
      <c r="A347" s="2"/>
      <c r="B347" s="2"/>
      <c r="C347" s="8" t="str">
        <f>IF(B347="","",IFERROR(LOOKUP(2,1/(单次交易!$A$2:$A$201=B347),单次交易!$B$2:$B$201),""))</f>
        <v/>
      </c>
      <c r="D347" s="12"/>
      <c r="E347" s="10"/>
      <c r="F347" s="10"/>
      <c r="G347" s="2"/>
      <c r="H347" s="15"/>
      <c r="I347" s="10"/>
      <c r="J347" s="12"/>
      <c r="K347" s="2"/>
      <c r="L347" s="2"/>
      <c r="M347" s="2"/>
      <c r="N347" s="5" t="str">
        <f>IF(B347="","",IFERROR(LOOKUP(2,1/(单次交易!$A$2:$A$201=B347),单次交易!$N$2:$N$201),""))</f>
        <v/>
      </c>
      <c r="O347" s="5" t="str">
        <f t="shared" si="54"/>
        <v/>
      </c>
      <c r="P347" s="11" t="str">
        <f t="shared" si="55"/>
        <v/>
      </c>
      <c r="Q347" s="5" t="str">
        <f t="shared" si="56"/>
        <v/>
      </c>
      <c r="R347" s="10"/>
      <c r="S347" s="5" t="str">
        <f t="shared" si="57"/>
        <v/>
      </c>
      <c r="T347" s="5" t="str">
        <f t="shared" si="58"/>
        <v/>
      </c>
      <c r="U347" s="5" t="str">
        <f t="shared" si="59"/>
        <v/>
      </c>
      <c r="V347" s="7" t="str">
        <f t="shared" si="60"/>
        <v/>
      </c>
      <c r="W347" s="8" t="str">
        <f t="shared" si="61"/>
        <v/>
      </c>
      <c r="X347" s="2"/>
      <c r="Y347" s="10"/>
      <c r="Z347" s="11" t="str">
        <f>IF(X347&lt;&gt;"执行卖出","",IFERROR(LOOKUP(2,1/(单次交易!$A$2:$A$201=B347),单次交易!$AP$2:$AP$201),""))</f>
        <v/>
      </c>
      <c r="AA347" s="10"/>
      <c r="AB347" s="8" t="str">
        <f t="shared" si="62"/>
        <v/>
      </c>
      <c r="AC347" s="8" t="str">
        <f>IF(A347="","",IF(A347="止损计划",IF(OR(B347="",D347="",E347="",F347="",G347=""),"计划不完整",IF(OR(D347&lt;1,D347&lt;&gt;INT(D347)),"阶段序号无效",IF(COUNTIFS($A$2:$A$497,"止损计划",$B$2:$B$497,B347,$D$2:$D$497,D347)&gt;1,"阶段序号重复",IF(E347&lt;=IFERROR(LOOKUP(2,1/(单次交易!$A$2:$A$201=B347),单次交易!$E$2:$E$201),0),"激活价须高于买入价",IF(F347&lt;N347,"止损价不得低于初始止损",IF(F347&gt;E347,"止损价不得高于激活价",IF(AND(COUNTIFS($A$2:$A$497,"止损计划",$B$2:$B$497,B347,$D$2:$D$497,"&lt;"&amp;D347)&gt;0,OR(E347&lt;=SUMPRODUCT(MAX((($A$2:$A$497="止损计划")*($B$2:$B$497=B347)*($D$2:$D$497&lt;D347))*$E$2:$E$497)),F347&lt;SUMPRODUCT(MAX((($A$2:$A$497="止损计划")*($B$2:$B$497=B347)*($D$2:$D$497&lt;D347))*$F$2:$F$497)))),"阶段价格必须逐级提高","计划有效"))))))),IF(A347="每日跟踪",IF(OR(B347="",H347="",I347="",J347=""),"每日数据不完整",IF(COUNTIFS($A$2:$A$497,"每日跟踪",$B$2:$B$497,B347,$H$2:$H$497,H347)&gt;1,"同一交易日期重复",IF(AND(R347&lt;&gt;"",R347&lt;S347),"人工止损无效：不能下调","跟踪有效"))),"记录类型无效")))</f>
        <v/>
      </c>
    </row>
    <row r="348" ht="17" spans="1:29">
      <c r="A348" s="2"/>
      <c r="B348" s="2"/>
      <c r="C348" s="8" t="str">
        <f>IF(B348="","",IFERROR(LOOKUP(2,1/(单次交易!$A$2:$A$201=B348),单次交易!$B$2:$B$201),""))</f>
        <v/>
      </c>
      <c r="D348" s="12"/>
      <c r="E348" s="10"/>
      <c r="F348" s="10"/>
      <c r="G348" s="2"/>
      <c r="H348" s="15"/>
      <c r="I348" s="10"/>
      <c r="J348" s="12"/>
      <c r="K348" s="2"/>
      <c r="L348" s="2"/>
      <c r="M348" s="2"/>
      <c r="N348" s="5" t="str">
        <f>IF(B348="","",IFERROR(LOOKUP(2,1/(单次交易!$A$2:$A$201=B348),单次交易!$N$2:$N$201),""))</f>
        <v/>
      </c>
      <c r="O348" s="5" t="str">
        <f t="shared" si="54"/>
        <v/>
      </c>
      <c r="P348" s="11" t="str">
        <f t="shared" si="55"/>
        <v/>
      </c>
      <c r="Q348" s="5" t="str">
        <f t="shared" si="56"/>
        <v/>
      </c>
      <c r="R348" s="10"/>
      <c r="S348" s="5" t="str">
        <f t="shared" si="57"/>
        <v/>
      </c>
      <c r="T348" s="5" t="str">
        <f t="shared" si="58"/>
        <v/>
      </c>
      <c r="U348" s="5" t="str">
        <f t="shared" si="59"/>
        <v/>
      </c>
      <c r="V348" s="7" t="str">
        <f t="shared" si="60"/>
        <v/>
      </c>
      <c r="W348" s="8" t="str">
        <f t="shared" si="61"/>
        <v/>
      </c>
      <c r="X348" s="2"/>
      <c r="Y348" s="10"/>
      <c r="Z348" s="11" t="str">
        <f>IF(X348&lt;&gt;"执行卖出","",IFERROR(LOOKUP(2,1/(单次交易!$A$2:$A$201=B348),单次交易!$AP$2:$AP$201),""))</f>
        <v/>
      </c>
      <c r="AA348" s="10"/>
      <c r="AB348" s="8" t="str">
        <f t="shared" si="62"/>
        <v/>
      </c>
      <c r="AC348" s="8" t="str">
        <f>IF(A348="","",IF(A348="止损计划",IF(OR(B348="",D348="",E348="",F348="",G348=""),"计划不完整",IF(OR(D348&lt;1,D348&lt;&gt;INT(D348)),"阶段序号无效",IF(COUNTIFS($A$2:$A$497,"止损计划",$B$2:$B$497,B348,$D$2:$D$497,D348)&gt;1,"阶段序号重复",IF(E348&lt;=IFERROR(LOOKUP(2,1/(单次交易!$A$2:$A$201=B348),单次交易!$E$2:$E$201),0),"激活价须高于买入价",IF(F348&lt;N348,"止损价不得低于初始止损",IF(F348&gt;E348,"止损价不得高于激活价",IF(AND(COUNTIFS($A$2:$A$497,"止损计划",$B$2:$B$497,B348,$D$2:$D$497,"&lt;"&amp;D348)&gt;0,OR(E348&lt;=SUMPRODUCT(MAX((($A$2:$A$497="止损计划")*($B$2:$B$497=B348)*($D$2:$D$497&lt;D348))*$E$2:$E$497)),F348&lt;SUMPRODUCT(MAX((($A$2:$A$497="止损计划")*($B$2:$B$497=B348)*($D$2:$D$497&lt;D348))*$F$2:$F$497)))),"阶段价格必须逐级提高","计划有效"))))))),IF(A348="每日跟踪",IF(OR(B348="",H348="",I348="",J348=""),"每日数据不完整",IF(COUNTIFS($A$2:$A$497,"每日跟踪",$B$2:$B$497,B348,$H$2:$H$497,H348)&gt;1,"同一交易日期重复",IF(AND(R348&lt;&gt;"",R348&lt;S348),"人工止损无效：不能下调","跟踪有效"))),"记录类型无效")))</f>
        <v/>
      </c>
    </row>
    <row r="349" ht="17" spans="1:29">
      <c r="A349" s="2"/>
      <c r="B349" s="2"/>
      <c r="C349" s="8" t="str">
        <f>IF(B349="","",IFERROR(LOOKUP(2,1/(单次交易!$A$2:$A$201=B349),单次交易!$B$2:$B$201),""))</f>
        <v/>
      </c>
      <c r="D349" s="12"/>
      <c r="E349" s="10"/>
      <c r="F349" s="10"/>
      <c r="G349" s="2"/>
      <c r="H349" s="15"/>
      <c r="I349" s="10"/>
      <c r="J349" s="12"/>
      <c r="K349" s="2"/>
      <c r="L349" s="2"/>
      <c r="M349" s="2"/>
      <c r="N349" s="5" t="str">
        <f>IF(B349="","",IFERROR(LOOKUP(2,1/(单次交易!$A$2:$A$201=B349),单次交易!$N$2:$N$201),""))</f>
        <v/>
      </c>
      <c r="O349" s="5" t="str">
        <f t="shared" si="54"/>
        <v/>
      </c>
      <c r="P349" s="11" t="str">
        <f t="shared" si="55"/>
        <v/>
      </c>
      <c r="Q349" s="5" t="str">
        <f t="shared" si="56"/>
        <v/>
      </c>
      <c r="R349" s="10"/>
      <c r="S349" s="5" t="str">
        <f t="shared" si="57"/>
        <v/>
      </c>
      <c r="T349" s="5" t="str">
        <f t="shared" si="58"/>
        <v/>
      </c>
      <c r="U349" s="5" t="str">
        <f t="shared" si="59"/>
        <v/>
      </c>
      <c r="V349" s="7" t="str">
        <f t="shared" si="60"/>
        <v/>
      </c>
      <c r="W349" s="8" t="str">
        <f t="shared" si="61"/>
        <v/>
      </c>
      <c r="X349" s="2"/>
      <c r="Y349" s="10"/>
      <c r="Z349" s="11" t="str">
        <f>IF(X349&lt;&gt;"执行卖出","",IFERROR(LOOKUP(2,1/(单次交易!$A$2:$A$201=B349),单次交易!$AP$2:$AP$201),""))</f>
        <v/>
      </c>
      <c r="AA349" s="10"/>
      <c r="AB349" s="8" t="str">
        <f t="shared" si="62"/>
        <v/>
      </c>
      <c r="AC349" s="8" t="str">
        <f>IF(A349="","",IF(A349="止损计划",IF(OR(B349="",D349="",E349="",F349="",G349=""),"计划不完整",IF(OR(D349&lt;1,D349&lt;&gt;INT(D349)),"阶段序号无效",IF(COUNTIFS($A$2:$A$497,"止损计划",$B$2:$B$497,B349,$D$2:$D$497,D349)&gt;1,"阶段序号重复",IF(E349&lt;=IFERROR(LOOKUP(2,1/(单次交易!$A$2:$A$201=B349),单次交易!$E$2:$E$201),0),"激活价须高于买入价",IF(F349&lt;N349,"止损价不得低于初始止损",IF(F349&gt;E349,"止损价不得高于激活价",IF(AND(COUNTIFS($A$2:$A$497,"止损计划",$B$2:$B$497,B349,$D$2:$D$497,"&lt;"&amp;D349)&gt;0,OR(E349&lt;=SUMPRODUCT(MAX((($A$2:$A$497="止损计划")*($B$2:$B$497=B349)*($D$2:$D$497&lt;D349))*$E$2:$E$497)),F349&lt;SUMPRODUCT(MAX((($A$2:$A$497="止损计划")*($B$2:$B$497=B349)*($D$2:$D$497&lt;D349))*$F$2:$F$497)))),"阶段价格必须逐级提高","计划有效"))))))),IF(A349="每日跟踪",IF(OR(B349="",H349="",I349="",J349=""),"每日数据不完整",IF(COUNTIFS($A$2:$A$497,"每日跟踪",$B$2:$B$497,B349,$H$2:$H$497,H349)&gt;1,"同一交易日期重复",IF(AND(R349&lt;&gt;"",R349&lt;S349),"人工止损无效：不能下调","跟踪有效"))),"记录类型无效")))</f>
        <v/>
      </c>
    </row>
    <row r="350" ht="17" spans="1:29">
      <c r="A350" s="2"/>
      <c r="B350" s="2"/>
      <c r="C350" s="8" t="str">
        <f>IF(B350="","",IFERROR(LOOKUP(2,1/(单次交易!$A$2:$A$201=B350),单次交易!$B$2:$B$201),""))</f>
        <v/>
      </c>
      <c r="D350" s="12"/>
      <c r="E350" s="10"/>
      <c r="F350" s="10"/>
      <c r="G350" s="2"/>
      <c r="H350" s="15"/>
      <c r="I350" s="10"/>
      <c r="J350" s="12"/>
      <c r="K350" s="2"/>
      <c r="L350" s="2"/>
      <c r="M350" s="2"/>
      <c r="N350" s="5" t="str">
        <f>IF(B350="","",IFERROR(LOOKUP(2,1/(单次交易!$A$2:$A$201=B350),单次交易!$N$2:$N$201),""))</f>
        <v/>
      </c>
      <c r="O350" s="5" t="str">
        <f t="shared" si="54"/>
        <v/>
      </c>
      <c r="P350" s="11" t="str">
        <f t="shared" si="55"/>
        <v/>
      </c>
      <c r="Q350" s="5" t="str">
        <f t="shared" si="56"/>
        <v/>
      </c>
      <c r="R350" s="10"/>
      <c r="S350" s="5" t="str">
        <f t="shared" si="57"/>
        <v/>
      </c>
      <c r="T350" s="5" t="str">
        <f t="shared" si="58"/>
        <v/>
      </c>
      <c r="U350" s="5" t="str">
        <f t="shared" si="59"/>
        <v/>
      </c>
      <c r="V350" s="7" t="str">
        <f t="shared" si="60"/>
        <v/>
      </c>
      <c r="W350" s="8" t="str">
        <f t="shared" si="61"/>
        <v/>
      </c>
      <c r="X350" s="2"/>
      <c r="Y350" s="10"/>
      <c r="Z350" s="11" t="str">
        <f>IF(X350&lt;&gt;"执行卖出","",IFERROR(LOOKUP(2,1/(单次交易!$A$2:$A$201=B350),单次交易!$AP$2:$AP$201),""))</f>
        <v/>
      </c>
      <c r="AA350" s="10"/>
      <c r="AB350" s="8" t="str">
        <f t="shared" si="62"/>
        <v/>
      </c>
      <c r="AC350" s="8" t="str">
        <f>IF(A350="","",IF(A350="止损计划",IF(OR(B350="",D350="",E350="",F350="",G350=""),"计划不完整",IF(OR(D350&lt;1,D350&lt;&gt;INT(D350)),"阶段序号无效",IF(COUNTIFS($A$2:$A$497,"止损计划",$B$2:$B$497,B350,$D$2:$D$497,D350)&gt;1,"阶段序号重复",IF(E350&lt;=IFERROR(LOOKUP(2,1/(单次交易!$A$2:$A$201=B350),单次交易!$E$2:$E$201),0),"激活价须高于买入价",IF(F350&lt;N350,"止损价不得低于初始止损",IF(F350&gt;E350,"止损价不得高于激活价",IF(AND(COUNTIFS($A$2:$A$497,"止损计划",$B$2:$B$497,B350,$D$2:$D$497,"&lt;"&amp;D350)&gt;0,OR(E350&lt;=SUMPRODUCT(MAX((($A$2:$A$497="止损计划")*($B$2:$B$497=B350)*($D$2:$D$497&lt;D350))*$E$2:$E$497)),F350&lt;SUMPRODUCT(MAX((($A$2:$A$497="止损计划")*($B$2:$B$497=B350)*($D$2:$D$497&lt;D350))*$F$2:$F$497)))),"阶段价格必须逐级提高","计划有效"))))))),IF(A350="每日跟踪",IF(OR(B350="",H350="",I350="",J350=""),"每日数据不完整",IF(COUNTIFS($A$2:$A$497,"每日跟踪",$B$2:$B$497,B350,$H$2:$H$497,H350)&gt;1,"同一交易日期重复",IF(AND(R350&lt;&gt;"",R350&lt;S350),"人工止损无效：不能下调","跟踪有效"))),"记录类型无效")))</f>
        <v/>
      </c>
    </row>
    <row r="351" ht="17" spans="1:29">
      <c r="A351" s="2"/>
      <c r="B351" s="2"/>
      <c r="C351" s="8" t="str">
        <f>IF(B351="","",IFERROR(LOOKUP(2,1/(单次交易!$A$2:$A$201=B351),单次交易!$B$2:$B$201),""))</f>
        <v/>
      </c>
      <c r="D351" s="12"/>
      <c r="E351" s="10"/>
      <c r="F351" s="10"/>
      <c r="G351" s="2"/>
      <c r="H351" s="15"/>
      <c r="I351" s="10"/>
      <c r="J351" s="12"/>
      <c r="K351" s="2"/>
      <c r="L351" s="2"/>
      <c r="M351" s="2"/>
      <c r="N351" s="5" t="str">
        <f>IF(B351="","",IFERROR(LOOKUP(2,1/(单次交易!$A$2:$A$201=B351),单次交易!$N$2:$N$201),""))</f>
        <v/>
      </c>
      <c r="O351" s="5" t="str">
        <f t="shared" si="54"/>
        <v/>
      </c>
      <c r="P351" s="11" t="str">
        <f t="shared" si="55"/>
        <v/>
      </c>
      <c r="Q351" s="5" t="str">
        <f t="shared" si="56"/>
        <v/>
      </c>
      <c r="R351" s="10"/>
      <c r="S351" s="5" t="str">
        <f t="shared" si="57"/>
        <v/>
      </c>
      <c r="T351" s="5" t="str">
        <f t="shared" si="58"/>
        <v/>
      </c>
      <c r="U351" s="5" t="str">
        <f t="shared" si="59"/>
        <v/>
      </c>
      <c r="V351" s="7" t="str">
        <f t="shared" si="60"/>
        <v/>
      </c>
      <c r="W351" s="8" t="str">
        <f t="shared" si="61"/>
        <v/>
      </c>
      <c r="X351" s="2"/>
      <c r="Y351" s="10"/>
      <c r="Z351" s="11" t="str">
        <f>IF(X351&lt;&gt;"执行卖出","",IFERROR(LOOKUP(2,1/(单次交易!$A$2:$A$201=B351),单次交易!$AP$2:$AP$201),""))</f>
        <v/>
      </c>
      <c r="AA351" s="10"/>
      <c r="AB351" s="8" t="str">
        <f t="shared" si="62"/>
        <v/>
      </c>
      <c r="AC351" s="8" t="str">
        <f>IF(A351="","",IF(A351="止损计划",IF(OR(B351="",D351="",E351="",F351="",G351=""),"计划不完整",IF(OR(D351&lt;1,D351&lt;&gt;INT(D351)),"阶段序号无效",IF(COUNTIFS($A$2:$A$497,"止损计划",$B$2:$B$497,B351,$D$2:$D$497,D351)&gt;1,"阶段序号重复",IF(E351&lt;=IFERROR(LOOKUP(2,1/(单次交易!$A$2:$A$201=B351),单次交易!$E$2:$E$201),0),"激活价须高于买入价",IF(F351&lt;N351,"止损价不得低于初始止损",IF(F351&gt;E351,"止损价不得高于激活价",IF(AND(COUNTIFS($A$2:$A$497,"止损计划",$B$2:$B$497,B351,$D$2:$D$497,"&lt;"&amp;D351)&gt;0,OR(E351&lt;=SUMPRODUCT(MAX((($A$2:$A$497="止损计划")*($B$2:$B$497=B351)*($D$2:$D$497&lt;D351))*$E$2:$E$497)),F351&lt;SUMPRODUCT(MAX((($A$2:$A$497="止损计划")*($B$2:$B$497=B351)*($D$2:$D$497&lt;D351))*$F$2:$F$497)))),"阶段价格必须逐级提高","计划有效"))))))),IF(A351="每日跟踪",IF(OR(B351="",H351="",I351="",J351=""),"每日数据不完整",IF(COUNTIFS($A$2:$A$497,"每日跟踪",$B$2:$B$497,B351,$H$2:$H$497,H351)&gt;1,"同一交易日期重复",IF(AND(R351&lt;&gt;"",R351&lt;S351),"人工止损无效：不能下调","跟踪有效"))),"记录类型无效")))</f>
        <v/>
      </c>
    </row>
    <row r="352" ht="17" spans="1:29">
      <c r="A352" s="2"/>
      <c r="B352" s="2"/>
      <c r="C352" s="8" t="str">
        <f>IF(B352="","",IFERROR(LOOKUP(2,1/(单次交易!$A$2:$A$201=B352),单次交易!$B$2:$B$201),""))</f>
        <v/>
      </c>
      <c r="D352" s="12"/>
      <c r="E352" s="10"/>
      <c r="F352" s="10"/>
      <c r="G352" s="2"/>
      <c r="H352" s="15"/>
      <c r="I352" s="10"/>
      <c r="J352" s="12"/>
      <c r="K352" s="2"/>
      <c r="L352" s="2"/>
      <c r="M352" s="2"/>
      <c r="N352" s="5" t="str">
        <f>IF(B352="","",IFERROR(LOOKUP(2,1/(单次交易!$A$2:$A$201=B352),单次交易!$N$2:$N$201),""))</f>
        <v/>
      </c>
      <c r="O352" s="5" t="str">
        <f t="shared" si="54"/>
        <v/>
      </c>
      <c r="P352" s="11" t="str">
        <f t="shared" si="55"/>
        <v/>
      </c>
      <c r="Q352" s="5" t="str">
        <f t="shared" si="56"/>
        <v/>
      </c>
      <c r="R352" s="10"/>
      <c r="S352" s="5" t="str">
        <f t="shared" si="57"/>
        <v/>
      </c>
      <c r="T352" s="5" t="str">
        <f t="shared" si="58"/>
        <v/>
      </c>
      <c r="U352" s="5" t="str">
        <f t="shared" si="59"/>
        <v/>
      </c>
      <c r="V352" s="7" t="str">
        <f t="shared" si="60"/>
        <v/>
      </c>
      <c r="W352" s="8" t="str">
        <f t="shared" si="61"/>
        <v/>
      </c>
      <c r="X352" s="2"/>
      <c r="Y352" s="10"/>
      <c r="Z352" s="11" t="str">
        <f>IF(X352&lt;&gt;"执行卖出","",IFERROR(LOOKUP(2,1/(单次交易!$A$2:$A$201=B352),单次交易!$AP$2:$AP$201),""))</f>
        <v/>
      </c>
      <c r="AA352" s="10"/>
      <c r="AB352" s="8" t="str">
        <f t="shared" si="62"/>
        <v/>
      </c>
      <c r="AC352" s="8" t="str">
        <f>IF(A352="","",IF(A352="止损计划",IF(OR(B352="",D352="",E352="",F352="",G352=""),"计划不完整",IF(OR(D352&lt;1,D352&lt;&gt;INT(D352)),"阶段序号无效",IF(COUNTIFS($A$2:$A$497,"止损计划",$B$2:$B$497,B352,$D$2:$D$497,D352)&gt;1,"阶段序号重复",IF(E352&lt;=IFERROR(LOOKUP(2,1/(单次交易!$A$2:$A$201=B352),单次交易!$E$2:$E$201),0),"激活价须高于买入价",IF(F352&lt;N352,"止损价不得低于初始止损",IF(F352&gt;E352,"止损价不得高于激活价",IF(AND(COUNTIFS($A$2:$A$497,"止损计划",$B$2:$B$497,B352,$D$2:$D$497,"&lt;"&amp;D352)&gt;0,OR(E352&lt;=SUMPRODUCT(MAX((($A$2:$A$497="止损计划")*($B$2:$B$497=B352)*($D$2:$D$497&lt;D352))*$E$2:$E$497)),F352&lt;SUMPRODUCT(MAX((($A$2:$A$497="止损计划")*($B$2:$B$497=B352)*($D$2:$D$497&lt;D352))*$F$2:$F$497)))),"阶段价格必须逐级提高","计划有效"))))))),IF(A352="每日跟踪",IF(OR(B352="",H352="",I352="",J352=""),"每日数据不完整",IF(COUNTIFS($A$2:$A$497,"每日跟踪",$B$2:$B$497,B352,$H$2:$H$497,H352)&gt;1,"同一交易日期重复",IF(AND(R352&lt;&gt;"",R352&lt;S352),"人工止损无效：不能下调","跟踪有效"))),"记录类型无效")))</f>
        <v/>
      </c>
    </row>
    <row r="353" ht="17" spans="1:29">
      <c r="A353" s="2"/>
      <c r="B353" s="2"/>
      <c r="C353" s="8" t="str">
        <f>IF(B353="","",IFERROR(LOOKUP(2,1/(单次交易!$A$2:$A$201=B353),单次交易!$B$2:$B$201),""))</f>
        <v/>
      </c>
      <c r="D353" s="12"/>
      <c r="E353" s="10"/>
      <c r="F353" s="10"/>
      <c r="G353" s="2"/>
      <c r="H353" s="15"/>
      <c r="I353" s="10"/>
      <c r="J353" s="12"/>
      <c r="K353" s="2"/>
      <c r="L353" s="2"/>
      <c r="M353" s="2"/>
      <c r="N353" s="5" t="str">
        <f>IF(B353="","",IFERROR(LOOKUP(2,1/(单次交易!$A$2:$A$201=B353),单次交易!$N$2:$N$201),""))</f>
        <v/>
      </c>
      <c r="O353" s="5" t="str">
        <f t="shared" si="54"/>
        <v/>
      </c>
      <c r="P353" s="11" t="str">
        <f t="shared" si="55"/>
        <v/>
      </c>
      <c r="Q353" s="5" t="str">
        <f t="shared" si="56"/>
        <v/>
      </c>
      <c r="R353" s="10"/>
      <c r="S353" s="5" t="str">
        <f t="shared" si="57"/>
        <v/>
      </c>
      <c r="T353" s="5" t="str">
        <f t="shared" si="58"/>
        <v/>
      </c>
      <c r="U353" s="5" t="str">
        <f t="shared" si="59"/>
        <v/>
      </c>
      <c r="V353" s="7" t="str">
        <f t="shared" si="60"/>
        <v/>
      </c>
      <c r="W353" s="8" t="str">
        <f t="shared" si="61"/>
        <v/>
      </c>
      <c r="X353" s="2"/>
      <c r="Y353" s="10"/>
      <c r="Z353" s="11" t="str">
        <f>IF(X353&lt;&gt;"执行卖出","",IFERROR(LOOKUP(2,1/(单次交易!$A$2:$A$201=B353),单次交易!$AP$2:$AP$201),""))</f>
        <v/>
      </c>
      <c r="AA353" s="10"/>
      <c r="AB353" s="8" t="str">
        <f t="shared" si="62"/>
        <v/>
      </c>
      <c r="AC353" s="8" t="str">
        <f>IF(A353="","",IF(A353="止损计划",IF(OR(B353="",D353="",E353="",F353="",G353=""),"计划不完整",IF(OR(D353&lt;1,D353&lt;&gt;INT(D353)),"阶段序号无效",IF(COUNTIFS($A$2:$A$497,"止损计划",$B$2:$B$497,B353,$D$2:$D$497,D353)&gt;1,"阶段序号重复",IF(E353&lt;=IFERROR(LOOKUP(2,1/(单次交易!$A$2:$A$201=B353),单次交易!$E$2:$E$201),0),"激活价须高于买入价",IF(F353&lt;N353,"止损价不得低于初始止损",IF(F353&gt;E353,"止损价不得高于激活价",IF(AND(COUNTIFS($A$2:$A$497,"止损计划",$B$2:$B$497,B353,$D$2:$D$497,"&lt;"&amp;D353)&gt;0,OR(E353&lt;=SUMPRODUCT(MAX((($A$2:$A$497="止损计划")*($B$2:$B$497=B353)*($D$2:$D$497&lt;D353))*$E$2:$E$497)),F353&lt;SUMPRODUCT(MAX((($A$2:$A$497="止损计划")*($B$2:$B$497=B353)*($D$2:$D$497&lt;D353))*$F$2:$F$497)))),"阶段价格必须逐级提高","计划有效"))))))),IF(A353="每日跟踪",IF(OR(B353="",H353="",I353="",J353=""),"每日数据不完整",IF(COUNTIFS($A$2:$A$497,"每日跟踪",$B$2:$B$497,B353,$H$2:$H$497,H353)&gt;1,"同一交易日期重复",IF(AND(R353&lt;&gt;"",R353&lt;S353),"人工止损无效：不能下调","跟踪有效"))),"记录类型无效")))</f>
        <v/>
      </c>
    </row>
    <row r="354" ht="17" spans="1:29">
      <c r="A354" s="2"/>
      <c r="B354" s="2"/>
      <c r="C354" s="8" t="str">
        <f>IF(B354="","",IFERROR(LOOKUP(2,1/(单次交易!$A$2:$A$201=B354),单次交易!$B$2:$B$201),""))</f>
        <v/>
      </c>
      <c r="D354" s="12"/>
      <c r="E354" s="10"/>
      <c r="F354" s="10"/>
      <c r="G354" s="2"/>
      <c r="H354" s="15"/>
      <c r="I354" s="10"/>
      <c r="J354" s="12"/>
      <c r="K354" s="2"/>
      <c r="L354" s="2"/>
      <c r="M354" s="2"/>
      <c r="N354" s="5" t="str">
        <f>IF(B354="","",IFERROR(LOOKUP(2,1/(单次交易!$A$2:$A$201=B354),单次交易!$N$2:$N$201),""))</f>
        <v/>
      </c>
      <c r="O354" s="5" t="str">
        <f t="shared" si="54"/>
        <v/>
      </c>
      <c r="P354" s="11" t="str">
        <f t="shared" si="55"/>
        <v/>
      </c>
      <c r="Q354" s="5" t="str">
        <f t="shared" si="56"/>
        <v/>
      </c>
      <c r="R354" s="10"/>
      <c r="S354" s="5" t="str">
        <f t="shared" si="57"/>
        <v/>
      </c>
      <c r="T354" s="5" t="str">
        <f t="shared" si="58"/>
        <v/>
      </c>
      <c r="U354" s="5" t="str">
        <f t="shared" si="59"/>
        <v/>
      </c>
      <c r="V354" s="7" t="str">
        <f t="shared" si="60"/>
        <v/>
      </c>
      <c r="W354" s="8" t="str">
        <f t="shared" si="61"/>
        <v/>
      </c>
      <c r="X354" s="2"/>
      <c r="Y354" s="10"/>
      <c r="Z354" s="11" t="str">
        <f>IF(X354&lt;&gt;"执行卖出","",IFERROR(LOOKUP(2,1/(单次交易!$A$2:$A$201=B354),单次交易!$AP$2:$AP$201),""))</f>
        <v/>
      </c>
      <c r="AA354" s="10"/>
      <c r="AB354" s="8" t="str">
        <f t="shared" si="62"/>
        <v/>
      </c>
      <c r="AC354" s="8" t="str">
        <f>IF(A354="","",IF(A354="止损计划",IF(OR(B354="",D354="",E354="",F354="",G354=""),"计划不完整",IF(OR(D354&lt;1,D354&lt;&gt;INT(D354)),"阶段序号无效",IF(COUNTIFS($A$2:$A$497,"止损计划",$B$2:$B$497,B354,$D$2:$D$497,D354)&gt;1,"阶段序号重复",IF(E354&lt;=IFERROR(LOOKUP(2,1/(单次交易!$A$2:$A$201=B354),单次交易!$E$2:$E$201),0),"激活价须高于买入价",IF(F354&lt;N354,"止损价不得低于初始止损",IF(F354&gt;E354,"止损价不得高于激活价",IF(AND(COUNTIFS($A$2:$A$497,"止损计划",$B$2:$B$497,B354,$D$2:$D$497,"&lt;"&amp;D354)&gt;0,OR(E354&lt;=SUMPRODUCT(MAX((($A$2:$A$497="止损计划")*($B$2:$B$497=B354)*($D$2:$D$497&lt;D354))*$E$2:$E$497)),F354&lt;SUMPRODUCT(MAX((($A$2:$A$497="止损计划")*($B$2:$B$497=B354)*($D$2:$D$497&lt;D354))*$F$2:$F$497)))),"阶段价格必须逐级提高","计划有效"))))))),IF(A354="每日跟踪",IF(OR(B354="",H354="",I354="",J354=""),"每日数据不完整",IF(COUNTIFS($A$2:$A$497,"每日跟踪",$B$2:$B$497,B354,$H$2:$H$497,H354)&gt;1,"同一交易日期重复",IF(AND(R354&lt;&gt;"",R354&lt;S354),"人工止损无效：不能下调","跟踪有效"))),"记录类型无效")))</f>
        <v/>
      </c>
    </row>
    <row r="355" ht="17" spans="1:29">
      <c r="A355" s="2"/>
      <c r="B355" s="2"/>
      <c r="C355" s="8" t="str">
        <f>IF(B355="","",IFERROR(LOOKUP(2,1/(单次交易!$A$2:$A$201=B355),单次交易!$B$2:$B$201),""))</f>
        <v/>
      </c>
      <c r="D355" s="12"/>
      <c r="E355" s="10"/>
      <c r="F355" s="10"/>
      <c r="G355" s="2"/>
      <c r="H355" s="15"/>
      <c r="I355" s="10"/>
      <c r="J355" s="12"/>
      <c r="K355" s="2"/>
      <c r="L355" s="2"/>
      <c r="M355" s="2"/>
      <c r="N355" s="5" t="str">
        <f>IF(B355="","",IFERROR(LOOKUP(2,1/(单次交易!$A$2:$A$201=B355),单次交易!$N$2:$N$201),""))</f>
        <v/>
      </c>
      <c r="O355" s="5" t="str">
        <f t="shared" si="54"/>
        <v/>
      </c>
      <c r="P355" s="11" t="str">
        <f t="shared" si="55"/>
        <v/>
      </c>
      <c r="Q355" s="5" t="str">
        <f t="shared" si="56"/>
        <v/>
      </c>
      <c r="R355" s="10"/>
      <c r="S355" s="5" t="str">
        <f t="shared" si="57"/>
        <v/>
      </c>
      <c r="T355" s="5" t="str">
        <f t="shared" si="58"/>
        <v/>
      </c>
      <c r="U355" s="5" t="str">
        <f t="shared" si="59"/>
        <v/>
      </c>
      <c r="V355" s="7" t="str">
        <f t="shared" si="60"/>
        <v/>
      </c>
      <c r="W355" s="8" t="str">
        <f t="shared" si="61"/>
        <v/>
      </c>
      <c r="X355" s="2"/>
      <c r="Y355" s="10"/>
      <c r="Z355" s="11" t="str">
        <f>IF(X355&lt;&gt;"执行卖出","",IFERROR(LOOKUP(2,1/(单次交易!$A$2:$A$201=B355),单次交易!$AP$2:$AP$201),""))</f>
        <v/>
      </c>
      <c r="AA355" s="10"/>
      <c r="AB355" s="8" t="str">
        <f t="shared" si="62"/>
        <v/>
      </c>
      <c r="AC355" s="8" t="str">
        <f>IF(A355="","",IF(A355="止损计划",IF(OR(B355="",D355="",E355="",F355="",G355=""),"计划不完整",IF(OR(D355&lt;1,D355&lt;&gt;INT(D355)),"阶段序号无效",IF(COUNTIFS($A$2:$A$497,"止损计划",$B$2:$B$497,B355,$D$2:$D$497,D355)&gt;1,"阶段序号重复",IF(E355&lt;=IFERROR(LOOKUP(2,1/(单次交易!$A$2:$A$201=B355),单次交易!$E$2:$E$201),0),"激活价须高于买入价",IF(F355&lt;N355,"止损价不得低于初始止损",IF(F355&gt;E355,"止损价不得高于激活价",IF(AND(COUNTIFS($A$2:$A$497,"止损计划",$B$2:$B$497,B355,$D$2:$D$497,"&lt;"&amp;D355)&gt;0,OR(E355&lt;=SUMPRODUCT(MAX((($A$2:$A$497="止损计划")*($B$2:$B$497=B355)*($D$2:$D$497&lt;D355))*$E$2:$E$497)),F355&lt;SUMPRODUCT(MAX((($A$2:$A$497="止损计划")*($B$2:$B$497=B355)*($D$2:$D$497&lt;D355))*$F$2:$F$497)))),"阶段价格必须逐级提高","计划有效"))))))),IF(A355="每日跟踪",IF(OR(B355="",H355="",I355="",J355=""),"每日数据不完整",IF(COUNTIFS($A$2:$A$497,"每日跟踪",$B$2:$B$497,B355,$H$2:$H$497,H355)&gt;1,"同一交易日期重复",IF(AND(R355&lt;&gt;"",R355&lt;S355),"人工止损无效：不能下调","跟踪有效"))),"记录类型无效")))</f>
        <v/>
      </c>
    </row>
    <row r="356" ht="17" spans="1:29">
      <c r="A356" s="2"/>
      <c r="B356" s="2"/>
      <c r="C356" s="8" t="str">
        <f>IF(B356="","",IFERROR(LOOKUP(2,1/(单次交易!$A$2:$A$201=B356),单次交易!$B$2:$B$201),""))</f>
        <v/>
      </c>
      <c r="D356" s="12"/>
      <c r="E356" s="10"/>
      <c r="F356" s="10"/>
      <c r="G356" s="2"/>
      <c r="H356" s="15"/>
      <c r="I356" s="10"/>
      <c r="J356" s="12"/>
      <c r="K356" s="2"/>
      <c r="L356" s="2"/>
      <c r="M356" s="2"/>
      <c r="N356" s="5" t="str">
        <f>IF(B356="","",IFERROR(LOOKUP(2,1/(单次交易!$A$2:$A$201=B356),单次交易!$N$2:$N$201),""))</f>
        <v/>
      </c>
      <c r="O356" s="5" t="str">
        <f t="shared" si="54"/>
        <v/>
      </c>
      <c r="P356" s="11" t="str">
        <f t="shared" si="55"/>
        <v/>
      </c>
      <c r="Q356" s="5" t="str">
        <f t="shared" si="56"/>
        <v/>
      </c>
      <c r="R356" s="10"/>
      <c r="S356" s="5" t="str">
        <f t="shared" si="57"/>
        <v/>
      </c>
      <c r="T356" s="5" t="str">
        <f t="shared" si="58"/>
        <v/>
      </c>
      <c r="U356" s="5" t="str">
        <f t="shared" si="59"/>
        <v/>
      </c>
      <c r="V356" s="7" t="str">
        <f t="shared" si="60"/>
        <v/>
      </c>
      <c r="W356" s="8" t="str">
        <f t="shared" si="61"/>
        <v/>
      </c>
      <c r="X356" s="2"/>
      <c r="Y356" s="10"/>
      <c r="Z356" s="11" t="str">
        <f>IF(X356&lt;&gt;"执行卖出","",IFERROR(LOOKUP(2,1/(单次交易!$A$2:$A$201=B356),单次交易!$AP$2:$AP$201),""))</f>
        <v/>
      </c>
      <c r="AA356" s="10"/>
      <c r="AB356" s="8" t="str">
        <f t="shared" si="62"/>
        <v/>
      </c>
      <c r="AC356" s="8" t="str">
        <f>IF(A356="","",IF(A356="止损计划",IF(OR(B356="",D356="",E356="",F356="",G356=""),"计划不完整",IF(OR(D356&lt;1,D356&lt;&gt;INT(D356)),"阶段序号无效",IF(COUNTIFS($A$2:$A$497,"止损计划",$B$2:$B$497,B356,$D$2:$D$497,D356)&gt;1,"阶段序号重复",IF(E356&lt;=IFERROR(LOOKUP(2,1/(单次交易!$A$2:$A$201=B356),单次交易!$E$2:$E$201),0),"激活价须高于买入价",IF(F356&lt;N356,"止损价不得低于初始止损",IF(F356&gt;E356,"止损价不得高于激活价",IF(AND(COUNTIFS($A$2:$A$497,"止损计划",$B$2:$B$497,B356,$D$2:$D$497,"&lt;"&amp;D356)&gt;0,OR(E356&lt;=SUMPRODUCT(MAX((($A$2:$A$497="止损计划")*($B$2:$B$497=B356)*($D$2:$D$497&lt;D356))*$E$2:$E$497)),F356&lt;SUMPRODUCT(MAX((($A$2:$A$497="止损计划")*($B$2:$B$497=B356)*($D$2:$D$497&lt;D356))*$F$2:$F$497)))),"阶段价格必须逐级提高","计划有效"))))))),IF(A356="每日跟踪",IF(OR(B356="",H356="",I356="",J356=""),"每日数据不完整",IF(COUNTIFS($A$2:$A$497,"每日跟踪",$B$2:$B$497,B356,$H$2:$H$497,H356)&gt;1,"同一交易日期重复",IF(AND(R356&lt;&gt;"",R356&lt;S356),"人工止损无效：不能下调","跟踪有效"))),"记录类型无效")))</f>
        <v/>
      </c>
    </row>
    <row r="357" ht="17" spans="1:29">
      <c r="A357" s="2"/>
      <c r="B357" s="2"/>
      <c r="C357" s="8" t="str">
        <f>IF(B357="","",IFERROR(LOOKUP(2,1/(单次交易!$A$2:$A$201=B357),单次交易!$B$2:$B$201),""))</f>
        <v/>
      </c>
      <c r="D357" s="12"/>
      <c r="E357" s="10"/>
      <c r="F357" s="10"/>
      <c r="G357" s="2"/>
      <c r="H357" s="15"/>
      <c r="I357" s="10"/>
      <c r="J357" s="12"/>
      <c r="K357" s="2"/>
      <c r="L357" s="2"/>
      <c r="M357" s="2"/>
      <c r="N357" s="5" t="str">
        <f>IF(B357="","",IFERROR(LOOKUP(2,1/(单次交易!$A$2:$A$201=B357),单次交易!$N$2:$N$201),""))</f>
        <v/>
      </c>
      <c r="O357" s="5" t="str">
        <f t="shared" si="54"/>
        <v/>
      </c>
      <c r="P357" s="11" t="str">
        <f t="shared" si="55"/>
        <v/>
      </c>
      <c r="Q357" s="5" t="str">
        <f t="shared" si="56"/>
        <v/>
      </c>
      <c r="R357" s="10"/>
      <c r="S357" s="5" t="str">
        <f t="shared" si="57"/>
        <v/>
      </c>
      <c r="T357" s="5" t="str">
        <f t="shared" si="58"/>
        <v/>
      </c>
      <c r="U357" s="5" t="str">
        <f t="shared" si="59"/>
        <v/>
      </c>
      <c r="V357" s="7" t="str">
        <f t="shared" si="60"/>
        <v/>
      </c>
      <c r="W357" s="8" t="str">
        <f t="shared" si="61"/>
        <v/>
      </c>
      <c r="X357" s="2"/>
      <c r="Y357" s="10"/>
      <c r="Z357" s="11" t="str">
        <f>IF(X357&lt;&gt;"执行卖出","",IFERROR(LOOKUP(2,1/(单次交易!$A$2:$A$201=B357),单次交易!$AP$2:$AP$201),""))</f>
        <v/>
      </c>
      <c r="AA357" s="10"/>
      <c r="AB357" s="8" t="str">
        <f t="shared" si="62"/>
        <v/>
      </c>
      <c r="AC357" s="8" t="str">
        <f>IF(A357="","",IF(A357="止损计划",IF(OR(B357="",D357="",E357="",F357="",G357=""),"计划不完整",IF(OR(D357&lt;1,D357&lt;&gt;INT(D357)),"阶段序号无效",IF(COUNTIFS($A$2:$A$497,"止损计划",$B$2:$B$497,B357,$D$2:$D$497,D357)&gt;1,"阶段序号重复",IF(E357&lt;=IFERROR(LOOKUP(2,1/(单次交易!$A$2:$A$201=B357),单次交易!$E$2:$E$201),0),"激活价须高于买入价",IF(F357&lt;N357,"止损价不得低于初始止损",IF(F357&gt;E357,"止损价不得高于激活价",IF(AND(COUNTIFS($A$2:$A$497,"止损计划",$B$2:$B$497,B357,$D$2:$D$497,"&lt;"&amp;D357)&gt;0,OR(E357&lt;=SUMPRODUCT(MAX((($A$2:$A$497="止损计划")*($B$2:$B$497=B357)*($D$2:$D$497&lt;D357))*$E$2:$E$497)),F357&lt;SUMPRODUCT(MAX((($A$2:$A$497="止损计划")*($B$2:$B$497=B357)*($D$2:$D$497&lt;D357))*$F$2:$F$497)))),"阶段价格必须逐级提高","计划有效"))))))),IF(A357="每日跟踪",IF(OR(B357="",H357="",I357="",J357=""),"每日数据不完整",IF(COUNTIFS($A$2:$A$497,"每日跟踪",$B$2:$B$497,B357,$H$2:$H$497,H357)&gt;1,"同一交易日期重复",IF(AND(R357&lt;&gt;"",R357&lt;S357),"人工止损无效：不能下调","跟踪有效"))),"记录类型无效")))</f>
        <v/>
      </c>
    </row>
    <row r="358" ht="17" spans="1:29">
      <c r="A358" s="2"/>
      <c r="B358" s="2"/>
      <c r="C358" s="8" t="str">
        <f>IF(B358="","",IFERROR(LOOKUP(2,1/(单次交易!$A$2:$A$201=B358),单次交易!$B$2:$B$201),""))</f>
        <v/>
      </c>
      <c r="D358" s="12"/>
      <c r="E358" s="10"/>
      <c r="F358" s="10"/>
      <c r="G358" s="2"/>
      <c r="H358" s="15"/>
      <c r="I358" s="10"/>
      <c r="J358" s="12"/>
      <c r="K358" s="2"/>
      <c r="L358" s="2"/>
      <c r="M358" s="2"/>
      <c r="N358" s="5" t="str">
        <f>IF(B358="","",IFERROR(LOOKUP(2,1/(单次交易!$A$2:$A$201=B358),单次交易!$N$2:$N$201),""))</f>
        <v/>
      </c>
      <c r="O358" s="5" t="str">
        <f t="shared" si="54"/>
        <v/>
      </c>
      <c r="P358" s="11" t="str">
        <f t="shared" si="55"/>
        <v/>
      </c>
      <c r="Q358" s="5" t="str">
        <f t="shared" si="56"/>
        <v/>
      </c>
      <c r="R358" s="10"/>
      <c r="S358" s="5" t="str">
        <f t="shared" si="57"/>
        <v/>
      </c>
      <c r="T358" s="5" t="str">
        <f t="shared" si="58"/>
        <v/>
      </c>
      <c r="U358" s="5" t="str">
        <f t="shared" si="59"/>
        <v/>
      </c>
      <c r="V358" s="7" t="str">
        <f t="shared" si="60"/>
        <v/>
      </c>
      <c r="W358" s="8" t="str">
        <f t="shared" si="61"/>
        <v/>
      </c>
      <c r="X358" s="2"/>
      <c r="Y358" s="10"/>
      <c r="Z358" s="11" t="str">
        <f>IF(X358&lt;&gt;"执行卖出","",IFERROR(LOOKUP(2,1/(单次交易!$A$2:$A$201=B358),单次交易!$AP$2:$AP$201),""))</f>
        <v/>
      </c>
      <c r="AA358" s="10"/>
      <c r="AB358" s="8" t="str">
        <f t="shared" si="62"/>
        <v/>
      </c>
      <c r="AC358" s="8" t="str">
        <f>IF(A358="","",IF(A358="止损计划",IF(OR(B358="",D358="",E358="",F358="",G358=""),"计划不完整",IF(OR(D358&lt;1,D358&lt;&gt;INT(D358)),"阶段序号无效",IF(COUNTIFS($A$2:$A$497,"止损计划",$B$2:$B$497,B358,$D$2:$D$497,D358)&gt;1,"阶段序号重复",IF(E358&lt;=IFERROR(LOOKUP(2,1/(单次交易!$A$2:$A$201=B358),单次交易!$E$2:$E$201),0),"激活价须高于买入价",IF(F358&lt;N358,"止损价不得低于初始止损",IF(F358&gt;E358,"止损价不得高于激活价",IF(AND(COUNTIFS($A$2:$A$497,"止损计划",$B$2:$B$497,B358,$D$2:$D$497,"&lt;"&amp;D358)&gt;0,OR(E358&lt;=SUMPRODUCT(MAX((($A$2:$A$497="止损计划")*($B$2:$B$497=B358)*($D$2:$D$497&lt;D358))*$E$2:$E$497)),F358&lt;SUMPRODUCT(MAX((($A$2:$A$497="止损计划")*($B$2:$B$497=B358)*($D$2:$D$497&lt;D358))*$F$2:$F$497)))),"阶段价格必须逐级提高","计划有效"))))))),IF(A358="每日跟踪",IF(OR(B358="",H358="",I358="",J358=""),"每日数据不完整",IF(COUNTIFS($A$2:$A$497,"每日跟踪",$B$2:$B$497,B358,$H$2:$H$497,H358)&gt;1,"同一交易日期重复",IF(AND(R358&lt;&gt;"",R358&lt;S358),"人工止损无效：不能下调","跟踪有效"))),"记录类型无效")))</f>
        <v/>
      </c>
    </row>
    <row r="359" ht="17" spans="1:29">
      <c r="A359" s="2"/>
      <c r="B359" s="2"/>
      <c r="C359" s="8" t="str">
        <f>IF(B359="","",IFERROR(LOOKUP(2,1/(单次交易!$A$2:$A$201=B359),单次交易!$B$2:$B$201),""))</f>
        <v/>
      </c>
      <c r="D359" s="12"/>
      <c r="E359" s="10"/>
      <c r="F359" s="10"/>
      <c r="G359" s="2"/>
      <c r="H359" s="15"/>
      <c r="I359" s="10"/>
      <c r="J359" s="12"/>
      <c r="K359" s="2"/>
      <c r="L359" s="2"/>
      <c r="M359" s="2"/>
      <c r="N359" s="5" t="str">
        <f>IF(B359="","",IFERROR(LOOKUP(2,1/(单次交易!$A$2:$A$201=B359),单次交易!$N$2:$N$201),""))</f>
        <v/>
      </c>
      <c r="O359" s="5" t="str">
        <f t="shared" si="54"/>
        <v/>
      </c>
      <c r="P359" s="11" t="str">
        <f t="shared" si="55"/>
        <v/>
      </c>
      <c r="Q359" s="5" t="str">
        <f t="shared" si="56"/>
        <v/>
      </c>
      <c r="R359" s="10"/>
      <c r="S359" s="5" t="str">
        <f t="shared" si="57"/>
        <v/>
      </c>
      <c r="T359" s="5" t="str">
        <f t="shared" si="58"/>
        <v/>
      </c>
      <c r="U359" s="5" t="str">
        <f t="shared" si="59"/>
        <v/>
      </c>
      <c r="V359" s="7" t="str">
        <f t="shared" si="60"/>
        <v/>
      </c>
      <c r="W359" s="8" t="str">
        <f t="shared" si="61"/>
        <v/>
      </c>
      <c r="X359" s="2"/>
      <c r="Y359" s="10"/>
      <c r="Z359" s="11" t="str">
        <f>IF(X359&lt;&gt;"执行卖出","",IFERROR(LOOKUP(2,1/(单次交易!$A$2:$A$201=B359),单次交易!$AP$2:$AP$201),""))</f>
        <v/>
      </c>
      <c r="AA359" s="10"/>
      <c r="AB359" s="8" t="str">
        <f t="shared" si="62"/>
        <v/>
      </c>
      <c r="AC359" s="8" t="str">
        <f>IF(A359="","",IF(A359="止损计划",IF(OR(B359="",D359="",E359="",F359="",G359=""),"计划不完整",IF(OR(D359&lt;1,D359&lt;&gt;INT(D359)),"阶段序号无效",IF(COUNTIFS($A$2:$A$497,"止损计划",$B$2:$B$497,B359,$D$2:$D$497,D359)&gt;1,"阶段序号重复",IF(E359&lt;=IFERROR(LOOKUP(2,1/(单次交易!$A$2:$A$201=B359),单次交易!$E$2:$E$201),0),"激活价须高于买入价",IF(F359&lt;N359,"止损价不得低于初始止损",IF(F359&gt;E359,"止损价不得高于激活价",IF(AND(COUNTIFS($A$2:$A$497,"止损计划",$B$2:$B$497,B359,$D$2:$D$497,"&lt;"&amp;D359)&gt;0,OR(E359&lt;=SUMPRODUCT(MAX((($A$2:$A$497="止损计划")*($B$2:$B$497=B359)*($D$2:$D$497&lt;D359))*$E$2:$E$497)),F359&lt;SUMPRODUCT(MAX((($A$2:$A$497="止损计划")*($B$2:$B$497=B359)*($D$2:$D$497&lt;D359))*$F$2:$F$497)))),"阶段价格必须逐级提高","计划有效"))))))),IF(A359="每日跟踪",IF(OR(B359="",H359="",I359="",J359=""),"每日数据不完整",IF(COUNTIFS($A$2:$A$497,"每日跟踪",$B$2:$B$497,B359,$H$2:$H$497,H359)&gt;1,"同一交易日期重复",IF(AND(R359&lt;&gt;"",R359&lt;S359),"人工止损无效：不能下调","跟踪有效"))),"记录类型无效")))</f>
        <v/>
      </c>
    </row>
    <row r="360" ht="17" spans="1:29">
      <c r="A360" s="2"/>
      <c r="B360" s="2"/>
      <c r="C360" s="8" t="str">
        <f>IF(B360="","",IFERROR(LOOKUP(2,1/(单次交易!$A$2:$A$201=B360),单次交易!$B$2:$B$201),""))</f>
        <v/>
      </c>
      <c r="D360" s="12"/>
      <c r="E360" s="10"/>
      <c r="F360" s="10"/>
      <c r="G360" s="2"/>
      <c r="H360" s="15"/>
      <c r="I360" s="10"/>
      <c r="J360" s="12"/>
      <c r="K360" s="2"/>
      <c r="L360" s="2"/>
      <c r="M360" s="2"/>
      <c r="N360" s="5" t="str">
        <f>IF(B360="","",IFERROR(LOOKUP(2,1/(单次交易!$A$2:$A$201=B360),单次交易!$N$2:$N$201),""))</f>
        <v/>
      </c>
      <c r="O360" s="5" t="str">
        <f t="shared" si="54"/>
        <v/>
      </c>
      <c r="P360" s="11" t="str">
        <f t="shared" si="55"/>
        <v/>
      </c>
      <c r="Q360" s="5" t="str">
        <f t="shared" si="56"/>
        <v/>
      </c>
      <c r="R360" s="10"/>
      <c r="S360" s="5" t="str">
        <f t="shared" si="57"/>
        <v/>
      </c>
      <c r="T360" s="5" t="str">
        <f t="shared" si="58"/>
        <v/>
      </c>
      <c r="U360" s="5" t="str">
        <f t="shared" si="59"/>
        <v/>
      </c>
      <c r="V360" s="7" t="str">
        <f t="shared" si="60"/>
        <v/>
      </c>
      <c r="W360" s="8" t="str">
        <f t="shared" si="61"/>
        <v/>
      </c>
      <c r="X360" s="2"/>
      <c r="Y360" s="10"/>
      <c r="Z360" s="11" t="str">
        <f>IF(X360&lt;&gt;"执行卖出","",IFERROR(LOOKUP(2,1/(单次交易!$A$2:$A$201=B360),单次交易!$AP$2:$AP$201),""))</f>
        <v/>
      </c>
      <c r="AA360" s="10"/>
      <c r="AB360" s="8" t="str">
        <f t="shared" si="62"/>
        <v/>
      </c>
      <c r="AC360" s="8" t="str">
        <f>IF(A360="","",IF(A360="止损计划",IF(OR(B360="",D360="",E360="",F360="",G360=""),"计划不完整",IF(OR(D360&lt;1,D360&lt;&gt;INT(D360)),"阶段序号无效",IF(COUNTIFS($A$2:$A$497,"止损计划",$B$2:$B$497,B360,$D$2:$D$497,D360)&gt;1,"阶段序号重复",IF(E360&lt;=IFERROR(LOOKUP(2,1/(单次交易!$A$2:$A$201=B360),单次交易!$E$2:$E$201),0),"激活价须高于买入价",IF(F360&lt;N360,"止损价不得低于初始止损",IF(F360&gt;E360,"止损价不得高于激活价",IF(AND(COUNTIFS($A$2:$A$497,"止损计划",$B$2:$B$497,B360,$D$2:$D$497,"&lt;"&amp;D360)&gt;0,OR(E360&lt;=SUMPRODUCT(MAX((($A$2:$A$497="止损计划")*($B$2:$B$497=B360)*($D$2:$D$497&lt;D360))*$E$2:$E$497)),F360&lt;SUMPRODUCT(MAX((($A$2:$A$497="止损计划")*($B$2:$B$497=B360)*($D$2:$D$497&lt;D360))*$F$2:$F$497)))),"阶段价格必须逐级提高","计划有效"))))))),IF(A360="每日跟踪",IF(OR(B360="",H360="",I360="",J360=""),"每日数据不完整",IF(COUNTIFS($A$2:$A$497,"每日跟踪",$B$2:$B$497,B360,$H$2:$H$497,H360)&gt;1,"同一交易日期重复",IF(AND(R360&lt;&gt;"",R360&lt;S360),"人工止损无效：不能下调","跟踪有效"))),"记录类型无效")))</f>
        <v/>
      </c>
    </row>
    <row r="361" ht="17" spans="1:29">
      <c r="A361" s="2"/>
      <c r="B361" s="2"/>
      <c r="C361" s="8" t="str">
        <f>IF(B361="","",IFERROR(LOOKUP(2,1/(单次交易!$A$2:$A$201=B361),单次交易!$B$2:$B$201),""))</f>
        <v/>
      </c>
      <c r="D361" s="12"/>
      <c r="E361" s="10"/>
      <c r="F361" s="10"/>
      <c r="G361" s="2"/>
      <c r="H361" s="15"/>
      <c r="I361" s="10"/>
      <c r="J361" s="12"/>
      <c r="K361" s="2"/>
      <c r="L361" s="2"/>
      <c r="M361" s="2"/>
      <c r="N361" s="5" t="str">
        <f>IF(B361="","",IFERROR(LOOKUP(2,1/(单次交易!$A$2:$A$201=B361),单次交易!$N$2:$N$201),""))</f>
        <v/>
      </c>
      <c r="O361" s="5" t="str">
        <f t="shared" si="54"/>
        <v/>
      </c>
      <c r="P361" s="11" t="str">
        <f t="shared" si="55"/>
        <v/>
      </c>
      <c r="Q361" s="5" t="str">
        <f t="shared" si="56"/>
        <v/>
      </c>
      <c r="R361" s="10"/>
      <c r="S361" s="5" t="str">
        <f t="shared" si="57"/>
        <v/>
      </c>
      <c r="T361" s="5" t="str">
        <f t="shared" si="58"/>
        <v/>
      </c>
      <c r="U361" s="5" t="str">
        <f t="shared" si="59"/>
        <v/>
      </c>
      <c r="V361" s="7" t="str">
        <f t="shared" si="60"/>
        <v/>
      </c>
      <c r="W361" s="8" t="str">
        <f t="shared" si="61"/>
        <v/>
      </c>
      <c r="X361" s="2"/>
      <c r="Y361" s="10"/>
      <c r="Z361" s="11" t="str">
        <f>IF(X361&lt;&gt;"执行卖出","",IFERROR(LOOKUP(2,1/(单次交易!$A$2:$A$201=B361),单次交易!$AP$2:$AP$201),""))</f>
        <v/>
      </c>
      <c r="AA361" s="10"/>
      <c r="AB361" s="8" t="str">
        <f t="shared" si="62"/>
        <v/>
      </c>
      <c r="AC361" s="8" t="str">
        <f>IF(A361="","",IF(A361="止损计划",IF(OR(B361="",D361="",E361="",F361="",G361=""),"计划不完整",IF(OR(D361&lt;1,D361&lt;&gt;INT(D361)),"阶段序号无效",IF(COUNTIFS($A$2:$A$497,"止损计划",$B$2:$B$497,B361,$D$2:$D$497,D361)&gt;1,"阶段序号重复",IF(E361&lt;=IFERROR(LOOKUP(2,1/(单次交易!$A$2:$A$201=B361),单次交易!$E$2:$E$201),0),"激活价须高于买入价",IF(F361&lt;N361,"止损价不得低于初始止损",IF(F361&gt;E361,"止损价不得高于激活价",IF(AND(COUNTIFS($A$2:$A$497,"止损计划",$B$2:$B$497,B361,$D$2:$D$497,"&lt;"&amp;D361)&gt;0,OR(E361&lt;=SUMPRODUCT(MAX((($A$2:$A$497="止损计划")*($B$2:$B$497=B361)*($D$2:$D$497&lt;D361))*$E$2:$E$497)),F361&lt;SUMPRODUCT(MAX((($A$2:$A$497="止损计划")*($B$2:$B$497=B361)*($D$2:$D$497&lt;D361))*$F$2:$F$497)))),"阶段价格必须逐级提高","计划有效"))))))),IF(A361="每日跟踪",IF(OR(B361="",H361="",I361="",J361=""),"每日数据不完整",IF(COUNTIFS($A$2:$A$497,"每日跟踪",$B$2:$B$497,B361,$H$2:$H$497,H361)&gt;1,"同一交易日期重复",IF(AND(R361&lt;&gt;"",R361&lt;S361),"人工止损无效：不能下调","跟踪有效"))),"记录类型无效")))</f>
        <v/>
      </c>
    </row>
    <row r="362" ht="17" spans="1:29">
      <c r="A362" s="2"/>
      <c r="B362" s="2"/>
      <c r="C362" s="8" t="str">
        <f>IF(B362="","",IFERROR(LOOKUP(2,1/(单次交易!$A$2:$A$201=B362),单次交易!$B$2:$B$201),""))</f>
        <v/>
      </c>
      <c r="D362" s="12"/>
      <c r="E362" s="10"/>
      <c r="F362" s="10"/>
      <c r="G362" s="2"/>
      <c r="H362" s="15"/>
      <c r="I362" s="10"/>
      <c r="J362" s="12"/>
      <c r="K362" s="2"/>
      <c r="L362" s="2"/>
      <c r="M362" s="2"/>
      <c r="N362" s="5" t="str">
        <f>IF(B362="","",IFERROR(LOOKUP(2,1/(单次交易!$A$2:$A$201=B362),单次交易!$N$2:$N$201),""))</f>
        <v/>
      </c>
      <c r="O362" s="5" t="str">
        <f t="shared" si="54"/>
        <v/>
      </c>
      <c r="P362" s="11" t="str">
        <f t="shared" si="55"/>
        <v/>
      </c>
      <c r="Q362" s="5" t="str">
        <f t="shared" si="56"/>
        <v/>
      </c>
      <c r="R362" s="10"/>
      <c r="S362" s="5" t="str">
        <f t="shared" si="57"/>
        <v/>
      </c>
      <c r="T362" s="5" t="str">
        <f t="shared" si="58"/>
        <v/>
      </c>
      <c r="U362" s="5" t="str">
        <f t="shared" si="59"/>
        <v/>
      </c>
      <c r="V362" s="7" t="str">
        <f t="shared" si="60"/>
        <v/>
      </c>
      <c r="W362" s="8" t="str">
        <f t="shared" si="61"/>
        <v/>
      </c>
      <c r="X362" s="2"/>
      <c r="Y362" s="10"/>
      <c r="Z362" s="11" t="str">
        <f>IF(X362&lt;&gt;"执行卖出","",IFERROR(LOOKUP(2,1/(单次交易!$A$2:$A$201=B362),单次交易!$AP$2:$AP$201),""))</f>
        <v/>
      </c>
      <c r="AA362" s="10"/>
      <c r="AB362" s="8" t="str">
        <f t="shared" si="62"/>
        <v/>
      </c>
      <c r="AC362" s="8" t="str">
        <f>IF(A362="","",IF(A362="止损计划",IF(OR(B362="",D362="",E362="",F362="",G362=""),"计划不完整",IF(OR(D362&lt;1,D362&lt;&gt;INT(D362)),"阶段序号无效",IF(COUNTIFS($A$2:$A$497,"止损计划",$B$2:$B$497,B362,$D$2:$D$497,D362)&gt;1,"阶段序号重复",IF(E362&lt;=IFERROR(LOOKUP(2,1/(单次交易!$A$2:$A$201=B362),单次交易!$E$2:$E$201),0),"激活价须高于买入价",IF(F362&lt;N362,"止损价不得低于初始止损",IF(F362&gt;E362,"止损价不得高于激活价",IF(AND(COUNTIFS($A$2:$A$497,"止损计划",$B$2:$B$497,B362,$D$2:$D$497,"&lt;"&amp;D362)&gt;0,OR(E362&lt;=SUMPRODUCT(MAX((($A$2:$A$497="止损计划")*($B$2:$B$497=B362)*($D$2:$D$497&lt;D362))*$E$2:$E$497)),F362&lt;SUMPRODUCT(MAX((($A$2:$A$497="止损计划")*($B$2:$B$497=B362)*($D$2:$D$497&lt;D362))*$F$2:$F$497)))),"阶段价格必须逐级提高","计划有效"))))))),IF(A362="每日跟踪",IF(OR(B362="",H362="",I362="",J362=""),"每日数据不完整",IF(COUNTIFS($A$2:$A$497,"每日跟踪",$B$2:$B$497,B362,$H$2:$H$497,H362)&gt;1,"同一交易日期重复",IF(AND(R362&lt;&gt;"",R362&lt;S362),"人工止损无效：不能下调","跟踪有效"))),"记录类型无效")))</f>
        <v/>
      </c>
    </row>
    <row r="363" ht="17" spans="1:29">
      <c r="A363" s="2"/>
      <c r="B363" s="2"/>
      <c r="C363" s="8" t="str">
        <f>IF(B363="","",IFERROR(LOOKUP(2,1/(单次交易!$A$2:$A$201=B363),单次交易!$B$2:$B$201),""))</f>
        <v/>
      </c>
      <c r="D363" s="12"/>
      <c r="E363" s="10"/>
      <c r="F363" s="10"/>
      <c r="G363" s="2"/>
      <c r="H363" s="15"/>
      <c r="I363" s="10"/>
      <c r="J363" s="12"/>
      <c r="K363" s="2"/>
      <c r="L363" s="2"/>
      <c r="M363" s="2"/>
      <c r="N363" s="5" t="str">
        <f>IF(B363="","",IFERROR(LOOKUP(2,1/(单次交易!$A$2:$A$201=B363),单次交易!$N$2:$N$201),""))</f>
        <v/>
      </c>
      <c r="O363" s="5" t="str">
        <f t="shared" si="54"/>
        <v/>
      </c>
      <c r="P363" s="11" t="str">
        <f t="shared" si="55"/>
        <v/>
      </c>
      <c r="Q363" s="5" t="str">
        <f t="shared" si="56"/>
        <v/>
      </c>
      <c r="R363" s="10"/>
      <c r="S363" s="5" t="str">
        <f t="shared" si="57"/>
        <v/>
      </c>
      <c r="T363" s="5" t="str">
        <f t="shared" si="58"/>
        <v/>
      </c>
      <c r="U363" s="5" t="str">
        <f t="shared" si="59"/>
        <v/>
      </c>
      <c r="V363" s="7" t="str">
        <f t="shared" si="60"/>
        <v/>
      </c>
      <c r="W363" s="8" t="str">
        <f t="shared" si="61"/>
        <v/>
      </c>
      <c r="X363" s="2"/>
      <c r="Y363" s="10"/>
      <c r="Z363" s="11" t="str">
        <f>IF(X363&lt;&gt;"执行卖出","",IFERROR(LOOKUP(2,1/(单次交易!$A$2:$A$201=B363),单次交易!$AP$2:$AP$201),""))</f>
        <v/>
      </c>
      <c r="AA363" s="10"/>
      <c r="AB363" s="8" t="str">
        <f t="shared" si="62"/>
        <v/>
      </c>
      <c r="AC363" s="8" t="str">
        <f>IF(A363="","",IF(A363="止损计划",IF(OR(B363="",D363="",E363="",F363="",G363=""),"计划不完整",IF(OR(D363&lt;1,D363&lt;&gt;INT(D363)),"阶段序号无效",IF(COUNTIFS($A$2:$A$497,"止损计划",$B$2:$B$497,B363,$D$2:$D$497,D363)&gt;1,"阶段序号重复",IF(E363&lt;=IFERROR(LOOKUP(2,1/(单次交易!$A$2:$A$201=B363),单次交易!$E$2:$E$201),0),"激活价须高于买入价",IF(F363&lt;N363,"止损价不得低于初始止损",IF(F363&gt;E363,"止损价不得高于激活价",IF(AND(COUNTIFS($A$2:$A$497,"止损计划",$B$2:$B$497,B363,$D$2:$D$497,"&lt;"&amp;D363)&gt;0,OR(E363&lt;=SUMPRODUCT(MAX((($A$2:$A$497="止损计划")*($B$2:$B$497=B363)*($D$2:$D$497&lt;D363))*$E$2:$E$497)),F363&lt;SUMPRODUCT(MAX((($A$2:$A$497="止损计划")*($B$2:$B$497=B363)*($D$2:$D$497&lt;D363))*$F$2:$F$497)))),"阶段价格必须逐级提高","计划有效"))))))),IF(A363="每日跟踪",IF(OR(B363="",H363="",I363="",J363=""),"每日数据不完整",IF(COUNTIFS($A$2:$A$497,"每日跟踪",$B$2:$B$497,B363,$H$2:$H$497,H363)&gt;1,"同一交易日期重复",IF(AND(R363&lt;&gt;"",R363&lt;S363),"人工止损无效：不能下调","跟踪有效"))),"记录类型无效")))</f>
        <v/>
      </c>
    </row>
    <row r="364" ht="17" spans="1:29">
      <c r="A364" s="2"/>
      <c r="B364" s="2"/>
      <c r="C364" s="8" t="str">
        <f>IF(B364="","",IFERROR(LOOKUP(2,1/(单次交易!$A$2:$A$201=B364),单次交易!$B$2:$B$201),""))</f>
        <v/>
      </c>
      <c r="D364" s="12"/>
      <c r="E364" s="10"/>
      <c r="F364" s="10"/>
      <c r="G364" s="2"/>
      <c r="H364" s="15"/>
      <c r="I364" s="10"/>
      <c r="J364" s="12"/>
      <c r="K364" s="2"/>
      <c r="L364" s="2"/>
      <c r="M364" s="2"/>
      <c r="N364" s="5" t="str">
        <f>IF(B364="","",IFERROR(LOOKUP(2,1/(单次交易!$A$2:$A$201=B364),单次交易!$N$2:$N$201),""))</f>
        <v/>
      </c>
      <c r="O364" s="5" t="str">
        <f t="shared" si="54"/>
        <v/>
      </c>
      <c r="P364" s="11" t="str">
        <f t="shared" si="55"/>
        <v/>
      </c>
      <c r="Q364" s="5" t="str">
        <f t="shared" si="56"/>
        <v/>
      </c>
      <c r="R364" s="10"/>
      <c r="S364" s="5" t="str">
        <f t="shared" si="57"/>
        <v/>
      </c>
      <c r="T364" s="5" t="str">
        <f t="shared" si="58"/>
        <v/>
      </c>
      <c r="U364" s="5" t="str">
        <f t="shared" si="59"/>
        <v/>
      </c>
      <c r="V364" s="7" t="str">
        <f t="shared" si="60"/>
        <v/>
      </c>
      <c r="W364" s="8" t="str">
        <f t="shared" si="61"/>
        <v/>
      </c>
      <c r="X364" s="2"/>
      <c r="Y364" s="10"/>
      <c r="Z364" s="11" t="str">
        <f>IF(X364&lt;&gt;"执行卖出","",IFERROR(LOOKUP(2,1/(单次交易!$A$2:$A$201=B364),单次交易!$AP$2:$AP$201),""))</f>
        <v/>
      </c>
      <c r="AA364" s="10"/>
      <c r="AB364" s="8" t="str">
        <f t="shared" si="62"/>
        <v/>
      </c>
      <c r="AC364" s="8" t="str">
        <f>IF(A364="","",IF(A364="止损计划",IF(OR(B364="",D364="",E364="",F364="",G364=""),"计划不完整",IF(OR(D364&lt;1,D364&lt;&gt;INT(D364)),"阶段序号无效",IF(COUNTIFS($A$2:$A$497,"止损计划",$B$2:$B$497,B364,$D$2:$D$497,D364)&gt;1,"阶段序号重复",IF(E364&lt;=IFERROR(LOOKUP(2,1/(单次交易!$A$2:$A$201=B364),单次交易!$E$2:$E$201),0),"激活价须高于买入价",IF(F364&lt;N364,"止损价不得低于初始止损",IF(F364&gt;E364,"止损价不得高于激活价",IF(AND(COUNTIFS($A$2:$A$497,"止损计划",$B$2:$B$497,B364,$D$2:$D$497,"&lt;"&amp;D364)&gt;0,OR(E364&lt;=SUMPRODUCT(MAX((($A$2:$A$497="止损计划")*($B$2:$B$497=B364)*($D$2:$D$497&lt;D364))*$E$2:$E$497)),F364&lt;SUMPRODUCT(MAX((($A$2:$A$497="止损计划")*($B$2:$B$497=B364)*($D$2:$D$497&lt;D364))*$F$2:$F$497)))),"阶段价格必须逐级提高","计划有效"))))))),IF(A364="每日跟踪",IF(OR(B364="",H364="",I364="",J364=""),"每日数据不完整",IF(COUNTIFS($A$2:$A$497,"每日跟踪",$B$2:$B$497,B364,$H$2:$H$497,H364)&gt;1,"同一交易日期重复",IF(AND(R364&lt;&gt;"",R364&lt;S364),"人工止损无效：不能下调","跟踪有效"))),"记录类型无效")))</f>
        <v/>
      </c>
    </row>
    <row r="365" ht="17" spans="1:29">
      <c r="A365" s="2"/>
      <c r="B365" s="2"/>
      <c r="C365" s="8" t="str">
        <f>IF(B365="","",IFERROR(LOOKUP(2,1/(单次交易!$A$2:$A$201=B365),单次交易!$B$2:$B$201),""))</f>
        <v/>
      </c>
      <c r="D365" s="12"/>
      <c r="E365" s="10"/>
      <c r="F365" s="10"/>
      <c r="G365" s="2"/>
      <c r="H365" s="15"/>
      <c r="I365" s="10"/>
      <c r="J365" s="12"/>
      <c r="K365" s="2"/>
      <c r="L365" s="2"/>
      <c r="M365" s="2"/>
      <c r="N365" s="5" t="str">
        <f>IF(B365="","",IFERROR(LOOKUP(2,1/(单次交易!$A$2:$A$201=B365),单次交易!$N$2:$N$201),""))</f>
        <v/>
      </c>
      <c r="O365" s="5" t="str">
        <f t="shared" si="54"/>
        <v/>
      </c>
      <c r="P365" s="11" t="str">
        <f t="shared" si="55"/>
        <v/>
      </c>
      <c r="Q365" s="5" t="str">
        <f t="shared" si="56"/>
        <v/>
      </c>
      <c r="R365" s="10"/>
      <c r="S365" s="5" t="str">
        <f t="shared" si="57"/>
        <v/>
      </c>
      <c r="T365" s="5" t="str">
        <f t="shared" si="58"/>
        <v/>
      </c>
      <c r="U365" s="5" t="str">
        <f t="shared" si="59"/>
        <v/>
      </c>
      <c r="V365" s="7" t="str">
        <f t="shared" si="60"/>
        <v/>
      </c>
      <c r="W365" s="8" t="str">
        <f t="shared" si="61"/>
        <v/>
      </c>
      <c r="X365" s="2"/>
      <c r="Y365" s="10"/>
      <c r="Z365" s="11" t="str">
        <f>IF(X365&lt;&gt;"执行卖出","",IFERROR(LOOKUP(2,1/(单次交易!$A$2:$A$201=B365),单次交易!$AP$2:$AP$201),""))</f>
        <v/>
      </c>
      <c r="AA365" s="10"/>
      <c r="AB365" s="8" t="str">
        <f t="shared" si="62"/>
        <v/>
      </c>
      <c r="AC365" s="8" t="str">
        <f>IF(A365="","",IF(A365="止损计划",IF(OR(B365="",D365="",E365="",F365="",G365=""),"计划不完整",IF(OR(D365&lt;1,D365&lt;&gt;INT(D365)),"阶段序号无效",IF(COUNTIFS($A$2:$A$497,"止损计划",$B$2:$B$497,B365,$D$2:$D$497,D365)&gt;1,"阶段序号重复",IF(E365&lt;=IFERROR(LOOKUP(2,1/(单次交易!$A$2:$A$201=B365),单次交易!$E$2:$E$201),0),"激活价须高于买入价",IF(F365&lt;N365,"止损价不得低于初始止损",IF(F365&gt;E365,"止损价不得高于激活价",IF(AND(COUNTIFS($A$2:$A$497,"止损计划",$B$2:$B$497,B365,$D$2:$D$497,"&lt;"&amp;D365)&gt;0,OR(E365&lt;=SUMPRODUCT(MAX((($A$2:$A$497="止损计划")*($B$2:$B$497=B365)*($D$2:$D$497&lt;D365))*$E$2:$E$497)),F365&lt;SUMPRODUCT(MAX((($A$2:$A$497="止损计划")*($B$2:$B$497=B365)*($D$2:$D$497&lt;D365))*$F$2:$F$497)))),"阶段价格必须逐级提高","计划有效"))))))),IF(A365="每日跟踪",IF(OR(B365="",H365="",I365="",J365=""),"每日数据不完整",IF(COUNTIFS($A$2:$A$497,"每日跟踪",$B$2:$B$497,B365,$H$2:$H$497,H365)&gt;1,"同一交易日期重复",IF(AND(R365&lt;&gt;"",R365&lt;S365),"人工止损无效：不能下调","跟踪有效"))),"记录类型无效")))</f>
        <v/>
      </c>
    </row>
    <row r="366" ht="17" spans="1:29">
      <c r="A366" s="2"/>
      <c r="B366" s="2"/>
      <c r="C366" s="8" t="str">
        <f>IF(B366="","",IFERROR(LOOKUP(2,1/(单次交易!$A$2:$A$201=B366),单次交易!$B$2:$B$201),""))</f>
        <v/>
      </c>
      <c r="D366" s="12"/>
      <c r="E366" s="10"/>
      <c r="F366" s="10"/>
      <c r="G366" s="2"/>
      <c r="H366" s="15"/>
      <c r="I366" s="10"/>
      <c r="J366" s="12"/>
      <c r="K366" s="2"/>
      <c r="L366" s="2"/>
      <c r="M366" s="2"/>
      <c r="N366" s="5" t="str">
        <f>IF(B366="","",IFERROR(LOOKUP(2,1/(单次交易!$A$2:$A$201=B366),单次交易!$N$2:$N$201),""))</f>
        <v/>
      </c>
      <c r="O366" s="5" t="str">
        <f t="shared" si="54"/>
        <v/>
      </c>
      <c r="P366" s="11" t="str">
        <f t="shared" si="55"/>
        <v/>
      </c>
      <c r="Q366" s="5" t="str">
        <f t="shared" si="56"/>
        <v/>
      </c>
      <c r="R366" s="10"/>
      <c r="S366" s="5" t="str">
        <f t="shared" si="57"/>
        <v/>
      </c>
      <c r="T366" s="5" t="str">
        <f t="shared" si="58"/>
        <v/>
      </c>
      <c r="U366" s="5" t="str">
        <f t="shared" si="59"/>
        <v/>
      </c>
      <c r="V366" s="7" t="str">
        <f t="shared" si="60"/>
        <v/>
      </c>
      <c r="W366" s="8" t="str">
        <f t="shared" si="61"/>
        <v/>
      </c>
      <c r="X366" s="2"/>
      <c r="Y366" s="10"/>
      <c r="Z366" s="11" t="str">
        <f>IF(X366&lt;&gt;"执行卖出","",IFERROR(LOOKUP(2,1/(单次交易!$A$2:$A$201=B366),单次交易!$AP$2:$AP$201),""))</f>
        <v/>
      </c>
      <c r="AA366" s="10"/>
      <c r="AB366" s="8" t="str">
        <f t="shared" si="62"/>
        <v/>
      </c>
      <c r="AC366" s="8" t="str">
        <f>IF(A366="","",IF(A366="止损计划",IF(OR(B366="",D366="",E366="",F366="",G366=""),"计划不完整",IF(OR(D366&lt;1,D366&lt;&gt;INT(D366)),"阶段序号无效",IF(COUNTIFS($A$2:$A$497,"止损计划",$B$2:$B$497,B366,$D$2:$D$497,D366)&gt;1,"阶段序号重复",IF(E366&lt;=IFERROR(LOOKUP(2,1/(单次交易!$A$2:$A$201=B366),单次交易!$E$2:$E$201),0),"激活价须高于买入价",IF(F366&lt;N366,"止损价不得低于初始止损",IF(F366&gt;E366,"止损价不得高于激活价",IF(AND(COUNTIFS($A$2:$A$497,"止损计划",$B$2:$B$497,B366,$D$2:$D$497,"&lt;"&amp;D366)&gt;0,OR(E366&lt;=SUMPRODUCT(MAX((($A$2:$A$497="止损计划")*($B$2:$B$497=B366)*($D$2:$D$497&lt;D366))*$E$2:$E$497)),F366&lt;SUMPRODUCT(MAX((($A$2:$A$497="止损计划")*($B$2:$B$497=B366)*($D$2:$D$497&lt;D366))*$F$2:$F$497)))),"阶段价格必须逐级提高","计划有效"))))))),IF(A366="每日跟踪",IF(OR(B366="",H366="",I366="",J366=""),"每日数据不完整",IF(COUNTIFS($A$2:$A$497,"每日跟踪",$B$2:$B$497,B366,$H$2:$H$497,H366)&gt;1,"同一交易日期重复",IF(AND(R366&lt;&gt;"",R366&lt;S366),"人工止损无效：不能下调","跟踪有效"))),"记录类型无效")))</f>
        <v/>
      </c>
    </row>
    <row r="367" ht="17" spans="1:29">
      <c r="A367" s="2"/>
      <c r="B367" s="2"/>
      <c r="C367" s="8" t="str">
        <f>IF(B367="","",IFERROR(LOOKUP(2,1/(单次交易!$A$2:$A$201=B367),单次交易!$B$2:$B$201),""))</f>
        <v/>
      </c>
      <c r="D367" s="12"/>
      <c r="E367" s="10"/>
      <c r="F367" s="10"/>
      <c r="G367" s="2"/>
      <c r="H367" s="15"/>
      <c r="I367" s="10"/>
      <c r="J367" s="12"/>
      <c r="K367" s="2"/>
      <c r="L367" s="2"/>
      <c r="M367" s="2"/>
      <c r="N367" s="5" t="str">
        <f>IF(B367="","",IFERROR(LOOKUP(2,1/(单次交易!$A$2:$A$201=B367),单次交易!$N$2:$N$201),""))</f>
        <v/>
      </c>
      <c r="O367" s="5" t="str">
        <f t="shared" si="54"/>
        <v/>
      </c>
      <c r="P367" s="11" t="str">
        <f t="shared" si="55"/>
        <v/>
      </c>
      <c r="Q367" s="5" t="str">
        <f t="shared" si="56"/>
        <v/>
      </c>
      <c r="R367" s="10"/>
      <c r="S367" s="5" t="str">
        <f t="shared" si="57"/>
        <v/>
      </c>
      <c r="T367" s="5" t="str">
        <f t="shared" si="58"/>
        <v/>
      </c>
      <c r="U367" s="5" t="str">
        <f t="shared" si="59"/>
        <v/>
      </c>
      <c r="V367" s="7" t="str">
        <f t="shared" si="60"/>
        <v/>
      </c>
      <c r="W367" s="8" t="str">
        <f t="shared" si="61"/>
        <v/>
      </c>
      <c r="X367" s="2"/>
      <c r="Y367" s="10"/>
      <c r="Z367" s="11" t="str">
        <f>IF(X367&lt;&gt;"执行卖出","",IFERROR(LOOKUP(2,1/(单次交易!$A$2:$A$201=B367),单次交易!$AP$2:$AP$201),""))</f>
        <v/>
      </c>
      <c r="AA367" s="10"/>
      <c r="AB367" s="8" t="str">
        <f t="shared" si="62"/>
        <v/>
      </c>
      <c r="AC367" s="8" t="str">
        <f>IF(A367="","",IF(A367="止损计划",IF(OR(B367="",D367="",E367="",F367="",G367=""),"计划不完整",IF(OR(D367&lt;1,D367&lt;&gt;INT(D367)),"阶段序号无效",IF(COUNTIFS($A$2:$A$497,"止损计划",$B$2:$B$497,B367,$D$2:$D$497,D367)&gt;1,"阶段序号重复",IF(E367&lt;=IFERROR(LOOKUP(2,1/(单次交易!$A$2:$A$201=B367),单次交易!$E$2:$E$201),0),"激活价须高于买入价",IF(F367&lt;N367,"止损价不得低于初始止损",IF(F367&gt;E367,"止损价不得高于激活价",IF(AND(COUNTIFS($A$2:$A$497,"止损计划",$B$2:$B$497,B367,$D$2:$D$497,"&lt;"&amp;D367)&gt;0,OR(E367&lt;=SUMPRODUCT(MAX((($A$2:$A$497="止损计划")*($B$2:$B$497=B367)*($D$2:$D$497&lt;D367))*$E$2:$E$497)),F367&lt;SUMPRODUCT(MAX((($A$2:$A$497="止损计划")*($B$2:$B$497=B367)*($D$2:$D$497&lt;D367))*$F$2:$F$497)))),"阶段价格必须逐级提高","计划有效"))))))),IF(A367="每日跟踪",IF(OR(B367="",H367="",I367="",J367=""),"每日数据不完整",IF(COUNTIFS($A$2:$A$497,"每日跟踪",$B$2:$B$497,B367,$H$2:$H$497,H367)&gt;1,"同一交易日期重复",IF(AND(R367&lt;&gt;"",R367&lt;S367),"人工止损无效：不能下调","跟踪有效"))),"记录类型无效")))</f>
        <v/>
      </c>
    </row>
    <row r="368" ht="17" spans="1:29">
      <c r="A368" s="2"/>
      <c r="B368" s="2"/>
      <c r="C368" s="8" t="str">
        <f>IF(B368="","",IFERROR(LOOKUP(2,1/(单次交易!$A$2:$A$201=B368),单次交易!$B$2:$B$201),""))</f>
        <v/>
      </c>
      <c r="D368" s="12"/>
      <c r="E368" s="10"/>
      <c r="F368" s="10"/>
      <c r="G368" s="2"/>
      <c r="H368" s="15"/>
      <c r="I368" s="10"/>
      <c r="J368" s="12"/>
      <c r="K368" s="2"/>
      <c r="L368" s="2"/>
      <c r="M368" s="2"/>
      <c r="N368" s="5" t="str">
        <f>IF(B368="","",IFERROR(LOOKUP(2,1/(单次交易!$A$2:$A$201=B368),单次交易!$N$2:$N$201),""))</f>
        <v/>
      </c>
      <c r="O368" s="5" t="str">
        <f t="shared" si="54"/>
        <v/>
      </c>
      <c r="P368" s="11" t="str">
        <f t="shared" si="55"/>
        <v/>
      </c>
      <c r="Q368" s="5" t="str">
        <f t="shared" si="56"/>
        <v/>
      </c>
      <c r="R368" s="10"/>
      <c r="S368" s="5" t="str">
        <f t="shared" si="57"/>
        <v/>
      </c>
      <c r="T368" s="5" t="str">
        <f t="shared" si="58"/>
        <v/>
      </c>
      <c r="U368" s="5" t="str">
        <f t="shared" si="59"/>
        <v/>
      </c>
      <c r="V368" s="7" t="str">
        <f t="shared" si="60"/>
        <v/>
      </c>
      <c r="W368" s="8" t="str">
        <f t="shared" si="61"/>
        <v/>
      </c>
      <c r="X368" s="2"/>
      <c r="Y368" s="10"/>
      <c r="Z368" s="11" t="str">
        <f>IF(X368&lt;&gt;"执行卖出","",IFERROR(LOOKUP(2,1/(单次交易!$A$2:$A$201=B368),单次交易!$AP$2:$AP$201),""))</f>
        <v/>
      </c>
      <c r="AA368" s="10"/>
      <c r="AB368" s="8" t="str">
        <f t="shared" si="62"/>
        <v/>
      </c>
      <c r="AC368" s="8" t="str">
        <f>IF(A368="","",IF(A368="止损计划",IF(OR(B368="",D368="",E368="",F368="",G368=""),"计划不完整",IF(OR(D368&lt;1,D368&lt;&gt;INT(D368)),"阶段序号无效",IF(COUNTIFS($A$2:$A$497,"止损计划",$B$2:$B$497,B368,$D$2:$D$497,D368)&gt;1,"阶段序号重复",IF(E368&lt;=IFERROR(LOOKUP(2,1/(单次交易!$A$2:$A$201=B368),单次交易!$E$2:$E$201),0),"激活价须高于买入价",IF(F368&lt;N368,"止损价不得低于初始止损",IF(F368&gt;E368,"止损价不得高于激活价",IF(AND(COUNTIFS($A$2:$A$497,"止损计划",$B$2:$B$497,B368,$D$2:$D$497,"&lt;"&amp;D368)&gt;0,OR(E368&lt;=SUMPRODUCT(MAX((($A$2:$A$497="止损计划")*($B$2:$B$497=B368)*($D$2:$D$497&lt;D368))*$E$2:$E$497)),F368&lt;SUMPRODUCT(MAX((($A$2:$A$497="止损计划")*($B$2:$B$497=B368)*($D$2:$D$497&lt;D368))*$F$2:$F$497)))),"阶段价格必须逐级提高","计划有效"))))))),IF(A368="每日跟踪",IF(OR(B368="",H368="",I368="",J368=""),"每日数据不完整",IF(COUNTIFS($A$2:$A$497,"每日跟踪",$B$2:$B$497,B368,$H$2:$H$497,H368)&gt;1,"同一交易日期重复",IF(AND(R368&lt;&gt;"",R368&lt;S368),"人工止损无效：不能下调","跟踪有效"))),"记录类型无效")))</f>
        <v/>
      </c>
    </row>
    <row r="369" ht="17" spans="1:29">
      <c r="A369" s="2"/>
      <c r="B369" s="2"/>
      <c r="C369" s="8" t="str">
        <f>IF(B369="","",IFERROR(LOOKUP(2,1/(单次交易!$A$2:$A$201=B369),单次交易!$B$2:$B$201),""))</f>
        <v/>
      </c>
      <c r="D369" s="12"/>
      <c r="E369" s="10"/>
      <c r="F369" s="10"/>
      <c r="G369" s="2"/>
      <c r="H369" s="15"/>
      <c r="I369" s="10"/>
      <c r="J369" s="12"/>
      <c r="K369" s="2"/>
      <c r="L369" s="2"/>
      <c r="M369" s="2"/>
      <c r="N369" s="5" t="str">
        <f>IF(B369="","",IFERROR(LOOKUP(2,1/(单次交易!$A$2:$A$201=B369),单次交易!$N$2:$N$201),""))</f>
        <v/>
      </c>
      <c r="O369" s="5" t="str">
        <f t="shared" si="54"/>
        <v/>
      </c>
      <c r="P369" s="11" t="str">
        <f t="shared" si="55"/>
        <v/>
      </c>
      <c r="Q369" s="5" t="str">
        <f t="shared" si="56"/>
        <v/>
      </c>
      <c r="R369" s="10"/>
      <c r="S369" s="5" t="str">
        <f t="shared" si="57"/>
        <v/>
      </c>
      <c r="T369" s="5" t="str">
        <f t="shared" si="58"/>
        <v/>
      </c>
      <c r="U369" s="5" t="str">
        <f t="shared" si="59"/>
        <v/>
      </c>
      <c r="V369" s="7" t="str">
        <f t="shared" si="60"/>
        <v/>
      </c>
      <c r="W369" s="8" t="str">
        <f t="shared" si="61"/>
        <v/>
      </c>
      <c r="X369" s="2"/>
      <c r="Y369" s="10"/>
      <c r="Z369" s="11" t="str">
        <f>IF(X369&lt;&gt;"执行卖出","",IFERROR(LOOKUP(2,1/(单次交易!$A$2:$A$201=B369),单次交易!$AP$2:$AP$201),""))</f>
        <v/>
      </c>
      <c r="AA369" s="10"/>
      <c r="AB369" s="8" t="str">
        <f t="shared" si="62"/>
        <v/>
      </c>
      <c r="AC369" s="8" t="str">
        <f>IF(A369="","",IF(A369="止损计划",IF(OR(B369="",D369="",E369="",F369="",G369=""),"计划不完整",IF(OR(D369&lt;1,D369&lt;&gt;INT(D369)),"阶段序号无效",IF(COUNTIFS($A$2:$A$497,"止损计划",$B$2:$B$497,B369,$D$2:$D$497,D369)&gt;1,"阶段序号重复",IF(E369&lt;=IFERROR(LOOKUP(2,1/(单次交易!$A$2:$A$201=B369),单次交易!$E$2:$E$201),0),"激活价须高于买入价",IF(F369&lt;N369,"止损价不得低于初始止损",IF(F369&gt;E369,"止损价不得高于激活价",IF(AND(COUNTIFS($A$2:$A$497,"止损计划",$B$2:$B$497,B369,$D$2:$D$497,"&lt;"&amp;D369)&gt;0,OR(E369&lt;=SUMPRODUCT(MAX((($A$2:$A$497="止损计划")*($B$2:$B$497=B369)*($D$2:$D$497&lt;D369))*$E$2:$E$497)),F369&lt;SUMPRODUCT(MAX((($A$2:$A$497="止损计划")*($B$2:$B$497=B369)*($D$2:$D$497&lt;D369))*$F$2:$F$497)))),"阶段价格必须逐级提高","计划有效"))))))),IF(A369="每日跟踪",IF(OR(B369="",H369="",I369="",J369=""),"每日数据不完整",IF(COUNTIFS($A$2:$A$497,"每日跟踪",$B$2:$B$497,B369,$H$2:$H$497,H369)&gt;1,"同一交易日期重复",IF(AND(R369&lt;&gt;"",R369&lt;S369),"人工止损无效：不能下调","跟踪有效"))),"记录类型无效")))</f>
        <v/>
      </c>
    </row>
    <row r="370" ht="17" spans="1:29">
      <c r="A370" s="2"/>
      <c r="B370" s="2"/>
      <c r="C370" s="8" t="str">
        <f>IF(B370="","",IFERROR(LOOKUP(2,1/(单次交易!$A$2:$A$201=B370),单次交易!$B$2:$B$201),""))</f>
        <v/>
      </c>
      <c r="D370" s="12"/>
      <c r="E370" s="10"/>
      <c r="F370" s="10"/>
      <c r="G370" s="2"/>
      <c r="H370" s="15"/>
      <c r="I370" s="10"/>
      <c r="J370" s="12"/>
      <c r="K370" s="2"/>
      <c r="L370" s="2"/>
      <c r="M370" s="2"/>
      <c r="N370" s="5" t="str">
        <f>IF(B370="","",IFERROR(LOOKUP(2,1/(单次交易!$A$2:$A$201=B370),单次交易!$N$2:$N$201),""))</f>
        <v/>
      </c>
      <c r="O370" s="5" t="str">
        <f t="shared" si="54"/>
        <v/>
      </c>
      <c r="P370" s="11" t="str">
        <f t="shared" si="55"/>
        <v/>
      </c>
      <c r="Q370" s="5" t="str">
        <f t="shared" si="56"/>
        <v/>
      </c>
      <c r="R370" s="10"/>
      <c r="S370" s="5" t="str">
        <f t="shared" si="57"/>
        <v/>
      </c>
      <c r="T370" s="5" t="str">
        <f t="shared" si="58"/>
        <v/>
      </c>
      <c r="U370" s="5" t="str">
        <f t="shared" si="59"/>
        <v/>
      </c>
      <c r="V370" s="7" t="str">
        <f t="shared" si="60"/>
        <v/>
      </c>
      <c r="W370" s="8" t="str">
        <f t="shared" si="61"/>
        <v/>
      </c>
      <c r="X370" s="2"/>
      <c r="Y370" s="10"/>
      <c r="Z370" s="11" t="str">
        <f>IF(X370&lt;&gt;"执行卖出","",IFERROR(LOOKUP(2,1/(单次交易!$A$2:$A$201=B370),单次交易!$AP$2:$AP$201),""))</f>
        <v/>
      </c>
      <c r="AA370" s="10"/>
      <c r="AB370" s="8" t="str">
        <f t="shared" si="62"/>
        <v/>
      </c>
      <c r="AC370" s="8" t="str">
        <f>IF(A370="","",IF(A370="止损计划",IF(OR(B370="",D370="",E370="",F370="",G370=""),"计划不完整",IF(OR(D370&lt;1,D370&lt;&gt;INT(D370)),"阶段序号无效",IF(COUNTIFS($A$2:$A$497,"止损计划",$B$2:$B$497,B370,$D$2:$D$497,D370)&gt;1,"阶段序号重复",IF(E370&lt;=IFERROR(LOOKUP(2,1/(单次交易!$A$2:$A$201=B370),单次交易!$E$2:$E$201),0),"激活价须高于买入价",IF(F370&lt;N370,"止损价不得低于初始止损",IF(F370&gt;E370,"止损价不得高于激活价",IF(AND(COUNTIFS($A$2:$A$497,"止损计划",$B$2:$B$497,B370,$D$2:$D$497,"&lt;"&amp;D370)&gt;0,OR(E370&lt;=SUMPRODUCT(MAX((($A$2:$A$497="止损计划")*($B$2:$B$497=B370)*($D$2:$D$497&lt;D370))*$E$2:$E$497)),F370&lt;SUMPRODUCT(MAX((($A$2:$A$497="止损计划")*($B$2:$B$497=B370)*($D$2:$D$497&lt;D370))*$F$2:$F$497)))),"阶段价格必须逐级提高","计划有效"))))))),IF(A370="每日跟踪",IF(OR(B370="",H370="",I370="",J370=""),"每日数据不完整",IF(COUNTIFS($A$2:$A$497,"每日跟踪",$B$2:$B$497,B370,$H$2:$H$497,H370)&gt;1,"同一交易日期重复",IF(AND(R370&lt;&gt;"",R370&lt;S370),"人工止损无效：不能下调","跟踪有效"))),"记录类型无效")))</f>
        <v/>
      </c>
    </row>
    <row r="371" ht="17" spans="1:29">
      <c r="A371" s="2"/>
      <c r="B371" s="2"/>
      <c r="C371" s="8" t="str">
        <f>IF(B371="","",IFERROR(LOOKUP(2,1/(单次交易!$A$2:$A$201=B371),单次交易!$B$2:$B$201),""))</f>
        <v/>
      </c>
      <c r="D371" s="12"/>
      <c r="E371" s="10"/>
      <c r="F371" s="10"/>
      <c r="G371" s="2"/>
      <c r="H371" s="15"/>
      <c r="I371" s="10"/>
      <c r="J371" s="12"/>
      <c r="K371" s="2"/>
      <c r="L371" s="2"/>
      <c r="M371" s="2"/>
      <c r="N371" s="5" t="str">
        <f>IF(B371="","",IFERROR(LOOKUP(2,1/(单次交易!$A$2:$A$201=B371),单次交易!$N$2:$N$201),""))</f>
        <v/>
      </c>
      <c r="O371" s="5" t="str">
        <f t="shared" si="54"/>
        <v/>
      </c>
      <c r="P371" s="11" t="str">
        <f t="shared" si="55"/>
        <v/>
      </c>
      <c r="Q371" s="5" t="str">
        <f t="shared" si="56"/>
        <v/>
      </c>
      <c r="R371" s="10"/>
      <c r="S371" s="5" t="str">
        <f t="shared" si="57"/>
        <v/>
      </c>
      <c r="T371" s="5" t="str">
        <f t="shared" si="58"/>
        <v/>
      </c>
      <c r="U371" s="5" t="str">
        <f t="shared" si="59"/>
        <v/>
      </c>
      <c r="V371" s="7" t="str">
        <f t="shared" si="60"/>
        <v/>
      </c>
      <c r="W371" s="8" t="str">
        <f t="shared" si="61"/>
        <v/>
      </c>
      <c r="X371" s="2"/>
      <c r="Y371" s="10"/>
      <c r="Z371" s="11" t="str">
        <f>IF(X371&lt;&gt;"执行卖出","",IFERROR(LOOKUP(2,1/(单次交易!$A$2:$A$201=B371),单次交易!$AP$2:$AP$201),""))</f>
        <v/>
      </c>
      <c r="AA371" s="10"/>
      <c r="AB371" s="8" t="str">
        <f t="shared" si="62"/>
        <v/>
      </c>
      <c r="AC371" s="8" t="str">
        <f>IF(A371="","",IF(A371="止损计划",IF(OR(B371="",D371="",E371="",F371="",G371=""),"计划不完整",IF(OR(D371&lt;1,D371&lt;&gt;INT(D371)),"阶段序号无效",IF(COUNTIFS($A$2:$A$497,"止损计划",$B$2:$B$497,B371,$D$2:$D$497,D371)&gt;1,"阶段序号重复",IF(E371&lt;=IFERROR(LOOKUP(2,1/(单次交易!$A$2:$A$201=B371),单次交易!$E$2:$E$201),0),"激活价须高于买入价",IF(F371&lt;N371,"止损价不得低于初始止损",IF(F371&gt;E371,"止损价不得高于激活价",IF(AND(COUNTIFS($A$2:$A$497,"止损计划",$B$2:$B$497,B371,$D$2:$D$497,"&lt;"&amp;D371)&gt;0,OR(E371&lt;=SUMPRODUCT(MAX((($A$2:$A$497="止损计划")*($B$2:$B$497=B371)*($D$2:$D$497&lt;D371))*$E$2:$E$497)),F371&lt;SUMPRODUCT(MAX((($A$2:$A$497="止损计划")*($B$2:$B$497=B371)*($D$2:$D$497&lt;D371))*$F$2:$F$497)))),"阶段价格必须逐级提高","计划有效"))))))),IF(A371="每日跟踪",IF(OR(B371="",H371="",I371="",J371=""),"每日数据不完整",IF(COUNTIFS($A$2:$A$497,"每日跟踪",$B$2:$B$497,B371,$H$2:$H$497,H371)&gt;1,"同一交易日期重复",IF(AND(R371&lt;&gt;"",R371&lt;S371),"人工止损无效：不能下调","跟踪有效"))),"记录类型无效")))</f>
        <v/>
      </c>
    </row>
    <row r="372" ht="17" spans="1:29">
      <c r="A372" s="2"/>
      <c r="B372" s="2"/>
      <c r="C372" s="8" t="str">
        <f>IF(B372="","",IFERROR(LOOKUP(2,1/(单次交易!$A$2:$A$201=B372),单次交易!$B$2:$B$201),""))</f>
        <v/>
      </c>
      <c r="D372" s="12"/>
      <c r="E372" s="10"/>
      <c r="F372" s="10"/>
      <c r="G372" s="2"/>
      <c r="H372" s="15"/>
      <c r="I372" s="10"/>
      <c r="J372" s="12"/>
      <c r="K372" s="2"/>
      <c r="L372" s="2"/>
      <c r="M372" s="2"/>
      <c r="N372" s="5" t="str">
        <f>IF(B372="","",IFERROR(LOOKUP(2,1/(单次交易!$A$2:$A$201=B372),单次交易!$N$2:$N$201),""))</f>
        <v/>
      </c>
      <c r="O372" s="5" t="str">
        <f t="shared" si="54"/>
        <v/>
      </c>
      <c r="P372" s="11" t="str">
        <f t="shared" si="55"/>
        <v/>
      </c>
      <c r="Q372" s="5" t="str">
        <f t="shared" si="56"/>
        <v/>
      </c>
      <c r="R372" s="10"/>
      <c r="S372" s="5" t="str">
        <f t="shared" si="57"/>
        <v/>
      </c>
      <c r="T372" s="5" t="str">
        <f t="shared" si="58"/>
        <v/>
      </c>
      <c r="U372" s="5" t="str">
        <f t="shared" si="59"/>
        <v/>
      </c>
      <c r="V372" s="7" t="str">
        <f t="shared" si="60"/>
        <v/>
      </c>
      <c r="W372" s="8" t="str">
        <f t="shared" si="61"/>
        <v/>
      </c>
      <c r="X372" s="2"/>
      <c r="Y372" s="10"/>
      <c r="Z372" s="11" t="str">
        <f>IF(X372&lt;&gt;"执行卖出","",IFERROR(LOOKUP(2,1/(单次交易!$A$2:$A$201=B372),单次交易!$AP$2:$AP$201),""))</f>
        <v/>
      </c>
      <c r="AA372" s="10"/>
      <c r="AB372" s="8" t="str">
        <f t="shared" si="62"/>
        <v/>
      </c>
      <c r="AC372" s="8" t="str">
        <f>IF(A372="","",IF(A372="止损计划",IF(OR(B372="",D372="",E372="",F372="",G372=""),"计划不完整",IF(OR(D372&lt;1,D372&lt;&gt;INT(D372)),"阶段序号无效",IF(COUNTIFS($A$2:$A$497,"止损计划",$B$2:$B$497,B372,$D$2:$D$497,D372)&gt;1,"阶段序号重复",IF(E372&lt;=IFERROR(LOOKUP(2,1/(单次交易!$A$2:$A$201=B372),单次交易!$E$2:$E$201),0),"激活价须高于买入价",IF(F372&lt;N372,"止损价不得低于初始止损",IF(F372&gt;E372,"止损价不得高于激活价",IF(AND(COUNTIFS($A$2:$A$497,"止损计划",$B$2:$B$497,B372,$D$2:$D$497,"&lt;"&amp;D372)&gt;0,OR(E372&lt;=SUMPRODUCT(MAX((($A$2:$A$497="止损计划")*($B$2:$B$497=B372)*($D$2:$D$497&lt;D372))*$E$2:$E$497)),F372&lt;SUMPRODUCT(MAX((($A$2:$A$497="止损计划")*($B$2:$B$497=B372)*($D$2:$D$497&lt;D372))*$F$2:$F$497)))),"阶段价格必须逐级提高","计划有效"))))))),IF(A372="每日跟踪",IF(OR(B372="",H372="",I372="",J372=""),"每日数据不完整",IF(COUNTIFS($A$2:$A$497,"每日跟踪",$B$2:$B$497,B372,$H$2:$H$497,H372)&gt;1,"同一交易日期重复",IF(AND(R372&lt;&gt;"",R372&lt;S372),"人工止损无效：不能下调","跟踪有效"))),"记录类型无效")))</f>
        <v/>
      </c>
    </row>
    <row r="373" ht="17" spans="1:29">
      <c r="A373" s="2"/>
      <c r="B373" s="2"/>
      <c r="C373" s="8" t="str">
        <f>IF(B373="","",IFERROR(LOOKUP(2,1/(单次交易!$A$2:$A$201=B373),单次交易!$B$2:$B$201),""))</f>
        <v/>
      </c>
      <c r="D373" s="12"/>
      <c r="E373" s="10"/>
      <c r="F373" s="10"/>
      <c r="G373" s="2"/>
      <c r="H373" s="15"/>
      <c r="I373" s="10"/>
      <c r="J373" s="12"/>
      <c r="K373" s="2"/>
      <c r="L373" s="2"/>
      <c r="M373" s="2"/>
      <c r="N373" s="5" t="str">
        <f>IF(B373="","",IFERROR(LOOKUP(2,1/(单次交易!$A$2:$A$201=B373),单次交易!$N$2:$N$201),""))</f>
        <v/>
      </c>
      <c r="O373" s="5" t="str">
        <f t="shared" si="54"/>
        <v/>
      </c>
      <c r="P373" s="11" t="str">
        <f t="shared" si="55"/>
        <v/>
      </c>
      <c r="Q373" s="5" t="str">
        <f t="shared" si="56"/>
        <v/>
      </c>
      <c r="R373" s="10"/>
      <c r="S373" s="5" t="str">
        <f t="shared" si="57"/>
        <v/>
      </c>
      <c r="T373" s="5" t="str">
        <f t="shared" si="58"/>
        <v/>
      </c>
      <c r="U373" s="5" t="str">
        <f t="shared" si="59"/>
        <v/>
      </c>
      <c r="V373" s="7" t="str">
        <f t="shared" si="60"/>
        <v/>
      </c>
      <c r="W373" s="8" t="str">
        <f t="shared" si="61"/>
        <v/>
      </c>
      <c r="X373" s="2"/>
      <c r="Y373" s="10"/>
      <c r="Z373" s="11" t="str">
        <f>IF(X373&lt;&gt;"执行卖出","",IFERROR(LOOKUP(2,1/(单次交易!$A$2:$A$201=B373),单次交易!$AP$2:$AP$201),""))</f>
        <v/>
      </c>
      <c r="AA373" s="10"/>
      <c r="AB373" s="8" t="str">
        <f t="shared" si="62"/>
        <v/>
      </c>
      <c r="AC373" s="8" t="str">
        <f>IF(A373="","",IF(A373="止损计划",IF(OR(B373="",D373="",E373="",F373="",G373=""),"计划不完整",IF(OR(D373&lt;1,D373&lt;&gt;INT(D373)),"阶段序号无效",IF(COUNTIFS($A$2:$A$497,"止损计划",$B$2:$B$497,B373,$D$2:$D$497,D373)&gt;1,"阶段序号重复",IF(E373&lt;=IFERROR(LOOKUP(2,1/(单次交易!$A$2:$A$201=B373),单次交易!$E$2:$E$201),0),"激活价须高于买入价",IF(F373&lt;N373,"止损价不得低于初始止损",IF(F373&gt;E373,"止损价不得高于激活价",IF(AND(COUNTIFS($A$2:$A$497,"止损计划",$B$2:$B$497,B373,$D$2:$D$497,"&lt;"&amp;D373)&gt;0,OR(E373&lt;=SUMPRODUCT(MAX((($A$2:$A$497="止损计划")*($B$2:$B$497=B373)*($D$2:$D$497&lt;D373))*$E$2:$E$497)),F373&lt;SUMPRODUCT(MAX((($A$2:$A$497="止损计划")*($B$2:$B$497=B373)*($D$2:$D$497&lt;D373))*$F$2:$F$497)))),"阶段价格必须逐级提高","计划有效"))))))),IF(A373="每日跟踪",IF(OR(B373="",H373="",I373="",J373=""),"每日数据不完整",IF(COUNTIFS($A$2:$A$497,"每日跟踪",$B$2:$B$497,B373,$H$2:$H$497,H373)&gt;1,"同一交易日期重复",IF(AND(R373&lt;&gt;"",R373&lt;S373),"人工止损无效：不能下调","跟踪有效"))),"记录类型无效")))</f>
        <v/>
      </c>
    </row>
    <row r="374" ht="17" spans="1:29">
      <c r="A374" s="2"/>
      <c r="B374" s="2"/>
      <c r="C374" s="8" t="str">
        <f>IF(B374="","",IFERROR(LOOKUP(2,1/(单次交易!$A$2:$A$201=B374),单次交易!$B$2:$B$201),""))</f>
        <v/>
      </c>
      <c r="D374" s="12"/>
      <c r="E374" s="10"/>
      <c r="F374" s="10"/>
      <c r="G374" s="2"/>
      <c r="H374" s="15"/>
      <c r="I374" s="10"/>
      <c r="J374" s="12"/>
      <c r="K374" s="2"/>
      <c r="L374" s="2"/>
      <c r="M374" s="2"/>
      <c r="N374" s="5" t="str">
        <f>IF(B374="","",IFERROR(LOOKUP(2,1/(单次交易!$A$2:$A$201=B374),单次交易!$N$2:$N$201),""))</f>
        <v/>
      </c>
      <c r="O374" s="5" t="str">
        <f t="shared" si="54"/>
        <v/>
      </c>
      <c r="P374" s="11" t="str">
        <f t="shared" si="55"/>
        <v/>
      </c>
      <c r="Q374" s="5" t="str">
        <f t="shared" si="56"/>
        <v/>
      </c>
      <c r="R374" s="10"/>
      <c r="S374" s="5" t="str">
        <f t="shared" si="57"/>
        <v/>
      </c>
      <c r="T374" s="5" t="str">
        <f t="shared" si="58"/>
        <v/>
      </c>
      <c r="U374" s="5" t="str">
        <f t="shared" si="59"/>
        <v/>
      </c>
      <c r="V374" s="7" t="str">
        <f t="shared" si="60"/>
        <v/>
      </c>
      <c r="W374" s="8" t="str">
        <f t="shared" si="61"/>
        <v/>
      </c>
      <c r="X374" s="2"/>
      <c r="Y374" s="10"/>
      <c r="Z374" s="11" t="str">
        <f>IF(X374&lt;&gt;"执行卖出","",IFERROR(LOOKUP(2,1/(单次交易!$A$2:$A$201=B374),单次交易!$AP$2:$AP$201),""))</f>
        <v/>
      </c>
      <c r="AA374" s="10"/>
      <c r="AB374" s="8" t="str">
        <f t="shared" si="62"/>
        <v/>
      </c>
      <c r="AC374" s="8" t="str">
        <f>IF(A374="","",IF(A374="止损计划",IF(OR(B374="",D374="",E374="",F374="",G374=""),"计划不完整",IF(OR(D374&lt;1,D374&lt;&gt;INT(D374)),"阶段序号无效",IF(COUNTIFS($A$2:$A$497,"止损计划",$B$2:$B$497,B374,$D$2:$D$497,D374)&gt;1,"阶段序号重复",IF(E374&lt;=IFERROR(LOOKUP(2,1/(单次交易!$A$2:$A$201=B374),单次交易!$E$2:$E$201),0),"激活价须高于买入价",IF(F374&lt;N374,"止损价不得低于初始止损",IF(F374&gt;E374,"止损价不得高于激活价",IF(AND(COUNTIFS($A$2:$A$497,"止损计划",$B$2:$B$497,B374,$D$2:$D$497,"&lt;"&amp;D374)&gt;0,OR(E374&lt;=SUMPRODUCT(MAX((($A$2:$A$497="止损计划")*($B$2:$B$497=B374)*($D$2:$D$497&lt;D374))*$E$2:$E$497)),F374&lt;SUMPRODUCT(MAX((($A$2:$A$497="止损计划")*($B$2:$B$497=B374)*($D$2:$D$497&lt;D374))*$F$2:$F$497)))),"阶段价格必须逐级提高","计划有效"))))))),IF(A374="每日跟踪",IF(OR(B374="",H374="",I374="",J374=""),"每日数据不完整",IF(COUNTIFS($A$2:$A$497,"每日跟踪",$B$2:$B$497,B374,$H$2:$H$497,H374)&gt;1,"同一交易日期重复",IF(AND(R374&lt;&gt;"",R374&lt;S374),"人工止损无效：不能下调","跟踪有效"))),"记录类型无效")))</f>
        <v/>
      </c>
    </row>
    <row r="375" ht="17" spans="1:29">
      <c r="A375" s="2"/>
      <c r="B375" s="2"/>
      <c r="C375" s="8" t="str">
        <f>IF(B375="","",IFERROR(LOOKUP(2,1/(单次交易!$A$2:$A$201=B375),单次交易!$B$2:$B$201),""))</f>
        <v/>
      </c>
      <c r="D375" s="12"/>
      <c r="E375" s="10"/>
      <c r="F375" s="10"/>
      <c r="G375" s="2"/>
      <c r="H375" s="15"/>
      <c r="I375" s="10"/>
      <c r="J375" s="12"/>
      <c r="K375" s="2"/>
      <c r="L375" s="2"/>
      <c r="M375" s="2"/>
      <c r="N375" s="5" t="str">
        <f>IF(B375="","",IFERROR(LOOKUP(2,1/(单次交易!$A$2:$A$201=B375),单次交易!$N$2:$N$201),""))</f>
        <v/>
      </c>
      <c r="O375" s="5" t="str">
        <f t="shared" si="54"/>
        <v/>
      </c>
      <c r="P375" s="11" t="str">
        <f t="shared" si="55"/>
        <v/>
      </c>
      <c r="Q375" s="5" t="str">
        <f t="shared" si="56"/>
        <v/>
      </c>
      <c r="R375" s="10"/>
      <c r="S375" s="5" t="str">
        <f t="shared" si="57"/>
        <v/>
      </c>
      <c r="T375" s="5" t="str">
        <f t="shared" si="58"/>
        <v/>
      </c>
      <c r="U375" s="5" t="str">
        <f t="shared" si="59"/>
        <v/>
      </c>
      <c r="V375" s="7" t="str">
        <f t="shared" si="60"/>
        <v/>
      </c>
      <c r="W375" s="8" t="str">
        <f t="shared" si="61"/>
        <v/>
      </c>
      <c r="X375" s="2"/>
      <c r="Y375" s="10"/>
      <c r="Z375" s="11" t="str">
        <f>IF(X375&lt;&gt;"执行卖出","",IFERROR(LOOKUP(2,1/(单次交易!$A$2:$A$201=B375),单次交易!$AP$2:$AP$201),""))</f>
        <v/>
      </c>
      <c r="AA375" s="10"/>
      <c r="AB375" s="8" t="str">
        <f t="shared" si="62"/>
        <v/>
      </c>
      <c r="AC375" s="8" t="str">
        <f>IF(A375="","",IF(A375="止损计划",IF(OR(B375="",D375="",E375="",F375="",G375=""),"计划不完整",IF(OR(D375&lt;1,D375&lt;&gt;INT(D375)),"阶段序号无效",IF(COUNTIFS($A$2:$A$497,"止损计划",$B$2:$B$497,B375,$D$2:$D$497,D375)&gt;1,"阶段序号重复",IF(E375&lt;=IFERROR(LOOKUP(2,1/(单次交易!$A$2:$A$201=B375),单次交易!$E$2:$E$201),0),"激活价须高于买入价",IF(F375&lt;N375,"止损价不得低于初始止损",IF(F375&gt;E375,"止损价不得高于激活价",IF(AND(COUNTIFS($A$2:$A$497,"止损计划",$B$2:$B$497,B375,$D$2:$D$497,"&lt;"&amp;D375)&gt;0,OR(E375&lt;=SUMPRODUCT(MAX((($A$2:$A$497="止损计划")*($B$2:$B$497=B375)*($D$2:$D$497&lt;D375))*$E$2:$E$497)),F375&lt;SUMPRODUCT(MAX((($A$2:$A$497="止损计划")*($B$2:$B$497=B375)*($D$2:$D$497&lt;D375))*$F$2:$F$497)))),"阶段价格必须逐级提高","计划有效"))))))),IF(A375="每日跟踪",IF(OR(B375="",H375="",I375="",J375=""),"每日数据不完整",IF(COUNTIFS($A$2:$A$497,"每日跟踪",$B$2:$B$497,B375,$H$2:$H$497,H375)&gt;1,"同一交易日期重复",IF(AND(R375&lt;&gt;"",R375&lt;S375),"人工止损无效：不能下调","跟踪有效"))),"记录类型无效")))</f>
        <v/>
      </c>
    </row>
    <row r="376" ht="17" spans="1:29">
      <c r="A376" s="2"/>
      <c r="B376" s="2"/>
      <c r="C376" s="8" t="str">
        <f>IF(B376="","",IFERROR(LOOKUP(2,1/(单次交易!$A$2:$A$201=B376),单次交易!$B$2:$B$201),""))</f>
        <v/>
      </c>
      <c r="D376" s="12"/>
      <c r="E376" s="10"/>
      <c r="F376" s="10"/>
      <c r="G376" s="2"/>
      <c r="H376" s="15"/>
      <c r="I376" s="10"/>
      <c r="J376" s="12"/>
      <c r="K376" s="2"/>
      <c r="L376" s="2"/>
      <c r="M376" s="2"/>
      <c r="N376" s="5" t="str">
        <f>IF(B376="","",IFERROR(LOOKUP(2,1/(单次交易!$A$2:$A$201=B376),单次交易!$N$2:$N$201),""))</f>
        <v/>
      </c>
      <c r="O376" s="5" t="str">
        <f t="shared" si="54"/>
        <v/>
      </c>
      <c r="P376" s="11" t="str">
        <f t="shared" si="55"/>
        <v/>
      </c>
      <c r="Q376" s="5" t="str">
        <f t="shared" si="56"/>
        <v/>
      </c>
      <c r="R376" s="10"/>
      <c r="S376" s="5" t="str">
        <f t="shared" si="57"/>
        <v/>
      </c>
      <c r="T376" s="5" t="str">
        <f t="shared" si="58"/>
        <v/>
      </c>
      <c r="U376" s="5" t="str">
        <f t="shared" si="59"/>
        <v/>
      </c>
      <c r="V376" s="7" t="str">
        <f t="shared" si="60"/>
        <v/>
      </c>
      <c r="W376" s="8" t="str">
        <f t="shared" si="61"/>
        <v/>
      </c>
      <c r="X376" s="2"/>
      <c r="Y376" s="10"/>
      <c r="Z376" s="11" t="str">
        <f>IF(X376&lt;&gt;"执行卖出","",IFERROR(LOOKUP(2,1/(单次交易!$A$2:$A$201=B376),单次交易!$AP$2:$AP$201),""))</f>
        <v/>
      </c>
      <c r="AA376" s="10"/>
      <c r="AB376" s="8" t="str">
        <f t="shared" si="62"/>
        <v/>
      </c>
      <c r="AC376" s="8" t="str">
        <f>IF(A376="","",IF(A376="止损计划",IF(OR(B376="",D376="",E376="",F376="",G376=""),"计划不完整",IF(OR(D376&lt;1,D376&lt;&gt;INT(D376)),"阶段序号无效",IF(COUNTIFS($A$2:$A$497,"止损计划",$B$2:$B$497,B376,$D$2:$D$497,D376)&gt;1,"阶段序号重复",IF(E376&lt;=IFERROR(LOOKUP(2,1/(单次交易!$A$2:$A$201=B376),单次交易!$E$2:$E$201),0),"激活价须高于买入价",IF(F376&lt;N376,"止损价不得低于初始止损",IF(F376&gt;E376,"止损价不得高于激活价",IF(AND(COUNTIFS($A$2:$A$497,"止损计划",$B$2:$B$497,B376,$D$2:$D$497,"&lt;"&amp;D376)&gt;0,OR(E376&lt;=SUMPRODUCT(MAX((($A$2:$A$497="止损计划")*($B$2:$B$497=B376)*($D$2:$D$497&lt;D376))*$E$2:$E$497)),F376&lt;SUMPRODUCT(MAX((($A$2:$A$497="止损计划")*($B$2:$B$497=B376)*($D$2:$D$497&lt;D376))*$F$2:$F$497)))),"阶段价格必须逐级提高","计划有效"))))))),IF(A376="每日跟踪",IF(OR(B376="",H376="",I376="",J376=""),"每日数据不完整",IF(COUNTIFS($A$2:$A$497,"每日跟踪",$B$2:$B$497,B376,$H$2:$H$497,H376)&gt;1,"同一交易日期重复",IF(AND(R376&lt;&gt;"",R376&lt;S376),"人工止损无效：不能下调","跟踪有效"))),"记录类型无效")))</f>
        <v/>
      </c>
    </row>
    <row r="377" ht="17" spans="1:29">
      <c r="A377" s="2"/>
      <c r="B377" s="2"/>
      <c r="C377" s="8" t="str">
        <f>IF(B377="","",IFERROR(LOOKUP(2,1/(单次交易!$A$2:$A$201=B377),单次交易!$B$2:$B$201),""))</f>
        <v/>
      </c>
      <c r="D377" s="12"/>
      <c r="E377" s="10"/>
      <c r="F377" s="10"/>
      <c r="G377" s="2"/>
      <c r="H377" s="15"/>
      <c r="I377" s="10"/>
      <c r="J377" s="12"/>
      <c r="K377" s="2"/>
      <c r="L377" s="2"/>
      <c r="M377" s="2"/>
      <c r="N377" s="5" t="str">
        <f>IF(B377="","",IFERROR(LOOKUP(2,1/(单次交易!$A$2:$A$201=B377),单次交易!$N$2:$N$201),""))</f>
        <v/>
      </c>
      <c r="O377" s="5" t="str">
        <f t="shared" si="54"/>
        <v/>
      </c>
      <c r="P377" s="11" t="str">
        <f t="shared" si="55"/>
        <v/>
      </c>
      <c r="Q377" s="5" t="str">
        <f t="shared" si="56"/>
        <v/>
      </c>
      <c r="R377" s="10"/>
      <c r="S377" s="5" t="str">
        <f t="shared" si="57"/>
        <v/>
      </c>
      <c r="T377" s="5" t="str">
        <f t="shared" si="58"/>
        <v/>
      </c>
      <c r="U377" s="5" t="str">
        <f t="shared" si="59"/>
        <v/>
      </c>
      <c r="V377" s="7" t="str">
        <f t="shared" si="60"/>
        <v/>
      </c>
      <c r="W377" s="8" t="str">
        <f t="shared" si="61"/>
        <v/>
      </c>
      <c r="X377" s="2"/>
      <c r="Y377" s="10"/>
      <c r="Z377" s="11" t="str">
        <f>IF(X377&lt;&gt;"执行卖出","",IFERROR(LOOKUP(2,1/(单次交易!$A$2:$A$201=B377),单次交易!$AP$2:$AP$201),""))</f>
        <v/>
      </c>
      <c r="AA377" s="10"/>
      <c r="AB377" s="8" t="str">
        <f t="shared" si="62"/>
        <v/>
      </c>
      <c r="AC377" s="8" t="str">
        <f>IF(A377="","",IF(A377="止损计划",IF(OR(B377="",D377="",E377="",F377="",G377=""),"计划不完整",IF(OR(D377&lt;1,D377&lt;&gt;INT(D377)),"阶段序号无效",IF(COUNTIFS($A$2:$A$497,"止损计划",$B$2:$B$497,B377,$D$2:$D$497,D377)&gt;1,"阶段序号重复",IF(E377&lt;=IFERROR(LOOKUP(2,1/(单次交易!$A$2:$A$201=B377),单次交易!$E$2:$E$201),0),"激活价须高于买入价",IF(F377&lt;N377,"止损价不得低于初始止损",IF(F377&gt;E377,"止损价不得高于激活价",IF(AND(COUNTIFS($A$2:$A$497,"止损计划",$B$2:$B$497,B377,$D$2:$D$497,"&lt;"&amp;D377)&gt;0,OR(E377&lt;=SUMPRODUCT(MAX((($A$2:$A$497="止损计划")*($B$2:$B$497=B377)*($D$2:$D$497&lt;D377))*$E$2:$E$497)),F377&lt;SUMPRODUCT(MAX((($A$2:$A$497="止损计划")*($B$2:$B$497=B377)*($D$2:$D$497&lt;D377))*$F$2:$F$497)))),"阶段价格必须逐级提高","计划有效"))))))),IF(A377="每日跟踪",IF(OR(B377="",H377="",I377="",J377=""),"每日数据不完整",IF(COUNTIFS($A$2:$A$497,"每日跟踪",$B$2:$B$497,B377,$H$2:$H$497,H377)&gt;1,"同一交易日期重复",IF(AND(R377&lt;&gt;"",R377&lt;S377),"人工止损无效：不能下调","跟踪有效"))),"记录类型无效")))</f>
        <v/>
      </c>
    </row>
    <row r="378" ht="17" spans="1:29">
      <c r="A378" s="2"/>
      <c r="B378" s="2"/>
      <c r="C378" s="8" t="str">
        <f>IF(B378="","",IFERROR(LOOKUP(2,1/(单次交易!$A$2:$A$201=B378),单次交易!$B$2:$B$201),""))</f>
        <v/>
      </c>
      <c r="D378" s="12"/>
      <c r="E378" s="10"/>
      <c r="F378" s="10"/>
      <c r="G378" s="2"/>
      <c r="H378" s="15"/>
      <c r="I378" s="10"/>
      <c r="J378" s="12"/>
      <c r="K378" s="2"/>
      <c r="L378" s="2"/>
      <c r="M378" s="2"/>
      <c r="N378" s="5" t="str">
        <f>IF(B378="","",IFERROR(LOOKUP(2,1/(单次交易!$A$2:$A$201=B378),单次交易!$N$2:$N$201),""))</f>
        <v/>
      </c>
      <c r="O378" s="5" t="str">
        <f t="shared" si="54"/>
        <v/>
      </c>
      <c r="P378" s="11" t="str">
        <f t="shared" si="55"/>
        <v/>
      </c>
      <c r="Q378" s="5" t="str">
        <f t="shared" si="56"/>
        <v/>
      </c>
      <c r="R378" s="10"/>
      <c r="S378" s="5" t="str">
        <f t="shared" si="57"/>
        <v/>
      </c>
      <c r="T378" s="5" t="str">
        <f t="shared" si="58"/>
        <v/>
      </c>
      <c r="U378" s="5" t="str">
        <f t="shared" si="59"/>
        <v/>
      </c>
      <c r="V378" s="7" t="str">
        <f t="shared" si="60"/>
        <v/>
      </c>
      <c r="W378" s="8" t="str">
        <f t="shared" si="61"/>
        <v/>
      </c>
      <c r="X378" s="2"/>
      <c r="Y378" s="10"/>
      <c r="Z378" s="11" t="str">
        <f>IF(X378&lt;&gt;"执行卖出","",IFERROR(LOOKUP(2,1/(单次交易!$A$2:$A$201=B378),单次交易!$AP$2:$AP$201),""))</f>
        <v/>
      </c>
      <c r="AA378" s="10"/>
      <c r="AB378" s="8" t="str">
        <f t="shared" si="62"/>
        <v/>
      </c>
      <c r="AC378" s="8" t="str">
        <f>IF(A378="","",IF(A378="止损计划",IF(OR(B378="",D378="",E378="",F378="",G378=""),"计划不完整",IF(OR(D378&lt;1,D378&lt;&gt;INT(D378)),"阶段序号无效",IF(COUNTIFS($A$2:$A$497,"止损计划",$B$2:$B$497,B378,$D$2:$D$497,D378)&gt;1,"阶段序号重复",IF(E378&lt;=IFERROR(LOOKUP(2,1/(单次交易!$A$2:$A$201=B378),单次交易!$E$2:$E$201),0),"激活价须高于买入价",IF(F378&lt;N378,"止损价不得低于初始止损",IF(F378&gt;E378,"止损价不得高于激活价",IF(AND(COUNTIFS($A$2:$A$497,"止损计划",$B$2:$B$497,B378,$D$2:$D$497,"&lt;"&amp;D378)&gt;0,OR(E378&lt;=SUMPRODUCT(MAX((($A$2:$A$497="止损计划")*($B$2:$B$497=B378)*($D$2:$D$497&lt;D378))*$E$2:$E$497)),F378&lt;SUMPRODUCT(MAX((($A$2:$A$497="止损计划")*($B$2:$B$497=B378)*($D$2:$D$497&lt;D378))*$F$2:$F$497)))),"阶段价格必须逐级提高","计划有效"))))))),IF(A378="每日跟踪",IF(OR(B378="",H378="",I378="",J378=""),"每日数据不完整",IF(COUNTIFS($A$2:$A$497,"每日跟踪",$B$2:$B$497,B378,$H$2:$H$497,H378)&gt;1,"同一交易日期重复",IF(AND(R378&lt;&gt;"",R378&lt;S378),"人工止损无效：不能下调","跟踪有效"))),"记录类型无效")))</f>
        <v/>
      </c>
    </row>
    <row r="379" ht="17" spans="1:29">
      <c r="A379" s="2"/>
      <c r="B379" s="2"/>
      <c r="C379" s="8" t="str">
        <f>IF(B379="","",IFERROR(LOOKUP(2,1/(单次交易!$A$2:$A$201=B379),单次交易!$B$2:$B$201),""))</f>
        <v/>
      </c>
      <c r="D379" s="12"/>
      <c r="E379" s="10"/>
      <c r="F379" s="10"/>
      <c r="G379" s="2"/>
      <c r="H379" s="15"/>
      <c r="I379" s="10"/>
      <c r="J379" s="12"/>
      <c r="K379" s="2"/>
      <c r="L379" s="2"/>
      <c r="M379" s="2"/>
      <c r="N379" s="5" t="str">
        <f>IF(B379="","",IFERROR(LOOKUP(2,1/(单次交易!$A$2:$A$201=B379),单次交易!$N$2:$N$201),""))</f>
        <v/>
      </c>
      <c r="O379" s="5" t="str">
        <f t="shared" si="54"/>
        <v/>
      </c>
      <c r="P379" s="11" t="str">
        <f t="shared" si="55"/>
        <v/>
      </c>
      <c r="Q379" s="5" t="str">
        <f t="shared" si="56"/>
        <v/>
      </c>
      <c r="R379" s="10"/>
      <c r="S379" s="5" t="str">
        <f t="shared" si="57"/>
        <v/>
      </c>
      <c r="T379" s="5" t="str">
        <f t="shared" si="58"/>
        <v/>
      </c>
      <c r="U379" s="5" t="str">
        <f t="shared" si="59"/>
        <v/>
      </c>
      <c r="V379" s="7" t="str">
        <f t="shared" si="60"/>
        <v/>
      </c>
      <c r="W379" s="8" t="str">
        <f t="shared" si="61"/>
        <v/>
      </c>
      <c r="X379" s="2"/>
      <c r="Y379" s="10"/>
      <c r="Z379" s="11" t="str">
        <f>IF(X379&lt;&gt;"执行卖出","",IFERROR(LOOKUP(2,1/(单次交易!$A$2:$A$201=B379),单次交易!$AP$2:$AP$201),""))</f>
        <v/>
      </c>
      <c r="AA379" s="10"/>
      <c r="AB379" s="8" t="str">
        <f t="shared" si="62"/>
        <v/>
      </c>
      <c r="AC379" s="8" t="str">
        <f>IF(A379="","",IF(A379="止损计划",IF(OR(B379="",D379="",E379="",F379="",G379=""),"计划不完整",IF(OR(D379&lt;1,D379&lt;&gt;INT(D379)),"阶段序号无效",IF(COUNTIFS($A$2:$A$497,"止损计划",$B$2:$B$497,B379,$D$2:$D$497,D379)&gt;1,"阶段序号重复",IF(E379&lt;=IFERROR(LOOKUP(2,1/(单次交易!$A$2:$A$201=B379),单次交易!$E$2:$E$201),0),"激活价须高于买入价",IF(F379&lt;N379,"止损价不得低于初始止损",IF(F379&gt;E379,"止损价不得高于激活价",IF(AND(COUNTIFS($A$2:$A$497,"止损计划",$B$2:$B$497,B379,$D$2:$D$497,"&lt;"&amp;D379)&gt;0,OR(E379&lt;=SUMPRODUCT(MAX((($A$2:$A$497="止损计划")*($B$2:$B$497=B379)*($D$2:$D$497&lt;D379))*$E$2:$E$497)),F379&lt;SUMPRODUCT(MAX((($A$2:$A$497="止损计划")*($B$2:$B$497=B379)*($D$2:$D$497&lt;D379))*$F$2:$F$497)))),"阶段价格必须逐级提高","计划有效"))))))),IF(A379="每日跟踪",IF(OR(B379="",H379="",I379="",J379=""),"每日数据不完整",IF(COUNTIFS($A$2:$A$497,"每日跟踪",$B$2:$B$497,B379,$H$2:$H$497,H379)&gt;1,"同一交易日期重复",IF(AND(R379&lt;&gt;"",R379&lt;S379),"人工止损无效：不能下调","跟踪有效"))),"记录类型无效")))</f>
        <v/>
      </c>
    </row>
    <row r="380" ht="17" spans="1:29">
      <c r="A380" s="2"/>
      <c r="B380" s="2"/>
      <c r="C380" s="8" t="str">
        <f>IF(B380="","",IFERROR(LOOKUP(2,1/(单次交易!$A$2:$A$201=B380),单次交易!$B$2:$B$201),""))</f>
        <v/>
      </c>
      <c r="D380" s="12"/>
      <c r="E380" s="10"/>
      <c r="F380" s="10"/>
      <c r="G380" s="2"/>
      <c r="H380" s="15"/>
      <c r="I380" s="10"/>
      <c r="J380" s="12"/>
      <c r="K380" s="2"/>
      <c r="L380" s="2"/>
      <c r="M380" s="2"/>
      <c r="N380" s="5" t="str">
        <f>IF(B380="","",IFERROR(LOOKUP(2,1/(单次交易!$A$2:$A$201=B380),单次交易!$N$2:$N$201),""))</f>
        <v/>
      </c>
      <c r="O380" s="5" t="str">
        <f t="shared" si="54"/>
        <v/>
      </c>
      <c r="P380" s="11" t="str">
        <f t="shared" si="55"/>
        <v/>
      </c>
      <c r="Q380" s="5" t="str">
        <f t="shared" si="56"/>
        <v/>
      </c>
      <c r="R380" s="10"/>
      <c r="S380" s="5" t="str">
        <f t="shared" si="57"/>
        <v/>
      </c>
      <c r="T380" s="5" t="str">
        <f t="shared" si="58"/>
        <v/>
      </c>
      <c r="U380" s="5" t="str">
        <f t="shared" si="59"/>
        <v/>
      </c>
      <c r="V380" s="7" t="str">
        <f t="shared" si="60"/>
        <v/>
      </c>
      <c r="W380" s="8" t="str">
        <f t="shared" si="61"/>
        <v/>
      </c>
      <c r="X380" s="2"/>
      <c r="Y380" s="10"/>
      <c r="Z380" s="11" t="str">
        <f>IF(X380&lt;&gt;"执行卖出","",IFERROR(LOOKUP(2,1/(单次交易!$A$2:$A$201=B380),单次交易!$AP$2:$AP$201),""))</f>
        <v/>
      </c>
      <c r="AA380" s="10"/>
      <c r="AB380" s="8" t="str">
        <f t="shared" si="62"/>
        <v/>
      </c>
      <c r="AC380" s="8" t="str">
        <f>IF(A380="","",IF(A380="止损计划",IF(OR(B380="",D380="",E380="",F380="",G380=""),"计划不完整",IF(OR(D380&lt;1,D380&lt;&gt;INT(D380)),"阶段序号无效",IF(COUNTIFS($A$2:$A$497,"止损计划",$B$2:$B$497,B380,$D$2:$D$497,D380)&gt;1,"阶段序号重复",IF(E380&lt;=IFERROR(LOOKUP(2,1/(单次交易!$A$2:$A$201=B380),单次交易!$E$2:$E$201),0),"激活价须高于买入价",IF(F380&lt;N380,"止损价不得低于初始止损",IF(F380&gt;E380,"止损价不得高于激活价",IF(AND(COUNTIFS($A$2:$A$497,"止损计划",$B$2:$B$497,B380,$D$2:$D$497,"&lt;"&amp;D380)&gt;0,OR(E380&lt;=SUMPRODUCT(MAX((($A$2:$A$497="止损计划")*($B$2:$B$497=B380)*($D$2:$D$497&lt;D380))*$E$2:$E$497)),F380&lt;SUMPRODUCT(MAX((($A$2:$A$497="止损计划")*($B$2:$B$497=B380)*($D$2:$D$497&lt;D380))*$F$2:$F$497)))),"阶段价格必须逐级提高","计划有效"))))))),IF(A380="每日跟踪",IF(OR(B380="",H380="",I380="",J380=""),"每日数据不完整",IF(COUNTIFS($A$2:$A$497,"每日跟踪",$B$2:$B$497,B380,$H$2:$H$497,H380)&gt;1,"同一交易日期重复",IF(AND(R380&lt;&gt;"",R380&lt;S380),"人工止损无效：不能下调","跟踪有效"))),"记录类型无效")))</f>
        <v/>
      </c>
    </row>
    <row r="381" ht="17" spans="1:29">
      <c r="A381" s="2"/>
      <c r="B381" s="2"/>
      <c r="C381" s="8" t="str">
        <f>IF(B381="","",IFERROR(LOOKUP(2,1/(单次交易!$A$2:$A$201=B381),单次交易!$B$2:$B$201),""))</f>
        <v/>
      </c>
      <c r="D381" s="12"/>
      <c r="E381" s="10"/>
      <c r="F381" s="10"/>
      <c r="G381" s="2"/>
      <c r="H381" s="15"/>
      <c r="I381" s="10"/>
      <c r="J381" s="12"/>
      <c r="K381" s="2"/>
      <c r="L381" s="2"/>
      <c r="M381" s="2"/>
      <c r="N381" s="5" t="str">
        <f>IF(B381="","",IFERROR(LOOKUP(2,1/(单次交易!$A$2:$A$201=B381),单次交易!$N$2:$N$201),""))</f>
        <v/>
      </c>
      <c r="O381" s="5" t="str">
        <f t="shared" si="54"/>
        <v/>
      </c>
      <c r="P381" s="11" t="str">
        <f t="shared" si="55"/>
        <v/>
      </c>
      <c r="Q381" s="5" t="str">
        <f t="shared" si="56"/>
        <v/>
      </c>
      <c r="R381" s="10"/>
      <c r="S381" s="5" t="str">
        <f t="shared" si="57"/>
        <v/>
      </c>
      <c r="T381" s="5" t="str">
        <f t="shared" si="58"/>
        <v/>
      </c>
      <c r="U381" s="5" t="str">
        <f t="shared" si="59"/>
        <v/>
      </c>
      <c r="V381" s="7" t="str">
        <f t="shared" si="60"/>
        <v/>
      </c>
      <c r="W381" s="8" t="str">
        <f t="shared" si="61"/>
        <v/>
      </c>
      <c r="X381" s="2"/>
      <c r="Y381" s="10"/>
      <c r="Z381" s="11" t="str">
        <f>IF(X381&lt;&gt;"执行卖出","",IFERROR(LOOKUP(2,1/(单次交易!$A$2:$A$201=B381),单次交易!$AP$2:$AP$201),""))</f>
        <v/>
      </c>
      <c r="AA381" s="10"/>
      <c r="AB381" s="8" t="str">
        <f t="shared" si="62"/>
        <v/>
      </c>
      <c r="AC381" s="8" t="str">
        <f>IF(A381="","",IF(A381="止损计划",IF(OR(B381="",D381="",E381="",F381="",G381=""),"计划不完整",IF(OR(D381&lt;1,D381&lt;&gt;INT(D381)),"阶段序号无效",IF(COUNTIFS($A$2:$A$497,"止损计划",$B$2:$B$497,B381,$D$2:$D$497,D381)&gt;1,"阶段序号重复",IF(E381&lt;=IFERROR(LOOKUP(2,1/(单次交易!$A$2:$A$201=B381),单次交易!$E$2:$E$201),0),"激活价须高于买入价",IF(F381&lt;N381,"止损价不得低于初始止损",IF(F381&gt;E381,"止损价不得高于激活价",IF(AND(COUNTIFS($A$2:$A$497,"止损计划",$B$2:$B$497,B381,$D$2:$D$497,"&lt;"&amp;D381)&gt;0,OR(E381&lt;=SUMPRODUCT(MAX((($A$2:$A$497="止损计划")*($B$2:$B$497=B381)*($D$2:$D$497&lt;D381))*$E$2:$E$497)),F381&lt;SUMPRODUCT(MAX((($A$2:$A$497="止损计划")*($B$2:$B$497=B381)*($D$2:$D$497&lt;D381))*$F$2:$F$497)))),"阶段价格必须逐级提高","计划有效"))))))),IF(A381="每日跟踪",IF(OR(B381="",H381="",I381="",J381=""),"每日数据不完整",IF(COUNTIFS($A$2:$A$497,"每日跟踪",$B$2:$B$497,B381,$H$2:$H$497,H381)&gt;1,"同一交易日期重复",IF(AND(R381&lt;&gt;"",R381&lt;S381),"人工止损无效：不能下调","跟踪有效"))),"记录类型无效")))</f>
        <v/>
      </c>
    </row>
    <row r="382" ht="17" spans="1:29">
      <c r="A382" s="2"/>
      <c r="B382" s="2"/>
      <c r="C382" s="8" t="str">
        <f>IF(B382="","",IFERROR(LOOKUP(2,1/(单次交易!$A$2:$A$201=B382),单次交易!$B$2:$B$201),""))</f>
        <v/>
      </c>
      <c r="D382" s="12"/>
      <c r="E382" s="10"/>
      <c r="F382" s="10"/>
      <c r="G382" s="2"/>
      <c r="H382" s="15"/>
      <c r="I382" s="10"/>
      <c r="J382" s="12"/>
      <c r="K382" s="2"/>
      <c r="L382" s="2"/>
      <c r="M382" s="2"/>
      <c r="N382" s="5" t="str">
        <f>IF(B382="","",IFERROR(LOOKUP(2,1/(单次交易!$A$2:$A$201=B382),单次交易!$N$2:$N$201),""))</f>
        <v/>
      </c>
      <c r="O382" s="5" t="str">
        <f t="shared" ref="O382:O445" si="63">IF(A382&lt;&gt;"每日跟踪","",IF(OR(B382="",H382="",I382=""),"",IFERROR(SUMPRODUCT(MAX((($A$2:$A$497="每日跟踪")*($B$2:$B$497=B382)*($H$2:$H$497&lt;=H382))*$I$2:$I$497)),"")))</f>
        <v/>
      </c>
      <c r="P382" s="11" t="str">
        <f t="shared" ref="P382:P445" si="64">IF(A382&lt;&gt;"每日跟踪","",IF(O382="","",IFERROR(SUMPRODUCT(MAX((($A$2:$A$497="止损计划")*($B$2:$B$497=B382)*($E$2:$E$497&lt;=O382))*$D$2:$D$497)),0)))</f>
        <v/>
      </c>
      <c r="Q382" s="5" t="str">
        <f t="shared" ref="Q382:Q445" si="65">IF(A382&lt;&gt;"每日跟踪","",IF(N382="","",MAX(N382,IFERROR(SUMPRODUCT(MAX((($A$2:$A$497="止损计划")*($B$2:$B$497=B382)*($E$2:$E$497&lt;=O382))*$F$2:$F$497)),0))))</f>
        <v/>
      </c>
      <c r="R382" s="10"/>
      <c r="S382" s="5" t="str">
        <f t="shared" ref="S382:S445" si="66">IF(A382&lt;&gt;"每日跟踪","",IF(Q382="","",MAX(Q382,IFERROR(SUMPRODUCT(MAX((($A$2:$A$497="每日跟踪")*($B$2:$B$497=B382)*($H$2:$H$497&lt;=H382))*$R$2:$R$497)),0))))</f>
        <v/>
      </c>
      <c r="T382" s="5" t="str">
        <f t="shared" ref="T382:T445" si="67">IF(A382&lt;&gt;"每日跟踪","",IF(O382="","",IF(COUNTIFS($A$2:$A$497,"止损计划",$B$2:$B$497,B382,$E$2:$E$497,"&gt;"&amp;O382)=0,"",INDEX($E$2:$E$497,MATCH(1,INDEX(($A$2:$A$497="止损计划")*($B$2:$B$497=B382)*($E$2:$E$497&gt;O382),0),0)))))</f>
        <v/>
      </c>
      <c r="U382" s="5" t="str">
        <f t="shared" ref="U382:U445" si="68">IF(OR(A382&lt;&gt;"每日跟踪",T382=""),"",IFERROR(SUMIFS($F$2:$F$497,$A$2:$A$497,"止损计划",$B$2:$B$497,B382,$E$2:$E$497,T382),""))</f>
        <v/>
      </c>
      <c r="V382" s="7" t="str">
        <f t="shared" ref="V382:V445" si="69">IF(OR(A382&lt;&gt;"每日跟踪",T382="",I382="",I382&lt;=0),"",T382/I382-1)</f>
        <v/>
      </c>
      <c r="W382" s="8" t="str">
        <f t="shared" ref="W382:W445" si="70">IF(A382&lt;&gt;"每日跟踪","",IF(OR(I382="",S382=""),"",IF(I382&lt;=S382,"触发止损：应全部卖出","继续观察")))</f>
        <v/>
      </c>
      <c r="X382" s="2"/>
      <c r="Y382" s="10"/>
      <c r="Z382" s="11" t="str">
        <f>IF(X382&lt;&gt;"执行卖出","",IFERROR(LOOKUP(2,1/(单次交易!$A$2:$A$201=B382),单次交易!$AP$2:$AP$201),""))</f>
        <v/>
      </c>
      <c r="AA382" s="10"/>
      <c r="AB382" s="8" t="str">
        <f t="shared" ref="AB382:AB445" si="71">IF(A382&lt;&gt;"每日跟踪","",IF(OR(B382="",H382="",I382="",J382="",K382="",L382="",M382=""),"待补充每日记录",IF(W382="触发止损：应全部卖出",IF(X382&lt;&gt;"执行卖出","违规：触发止损但未执行",IF(Y382="","待补充实际卖出价","卖出记录完整")),IF(X382="","待选择卖出动作",IF(X382="执行卖出",IF(Y382="","待补充实际卖出价","卖出记录完整"),"正常")))))</f>
        <v/>
      </c>
      <c r="AC382" s="8" t="str">
        <f>IF(A382="","",IF(A382="止损计划",IF(OR(B382="",D382="",E382="",F382="",G382=""),"计划不完整",IF(OR(D382&lt;1,D382&lt;&gt;INT(D382)),"阶段序号无效",IF(COUNTIFS($A$2:$A$497,"止损计划",$B$2:$B$497,B382,$D$2:$D$497,D382)&gt;1,"阶段序号重复",IF(E382&lt;=IFERROR(LOOKUP(2,1/(单次交易!$A$2:$A$201=B382),单次交易!$E$2:$E$201),0),"激活价须高于买入价",IF(F382&lt;N382,"止损价不得低于初始止损",IF(F382&gt;E382,"止损价不得高于激活价",IF(AND(COUNTIFS($A$2:$A$497,"止损计划",$B$2:$B$497,B382,$D$2:$D$497,"&lt;"&amp;D382)&gt;0,OR(E382&lt;=SUMPRODUCT(MAX((($A$2:$A$497="止损计划")*($B$2:$B$497=B382)*($D$2:$D$497&lt;D382))*$E$2:$E$497)),F382&lt;SUMPRODUCT(MAX((($A$2:$A$497="止损计划")*($B$2:$B$497=B382)*($D$2:$D$497&lt;D382))*$F$2:$F$497)))),"阶段价格必须逐级提高","计划有效"))))))),IF(A382="每日跟踪",IF(OR(B382="",H382="",I382="",J382=""),"每日数据不完整",IF(COUNTIFS($A$2:$A$497,"每日跟踪",$B$2:$B$497,B382,$H$2:$H$497,H382)&gt;1,"同一交易日期重复",IF(AND(R382&lt;&gt;"",R382&lt;S382),"人工止损无效：不能下调","跟踪有效"))),"记录类型无效")))</f>
        <v/>
      </c>
    </row>
    <row r="383" ht="17" spans="1:29">
      <c r="A383" s="2"/>
      <c r="B383" s="2"/>
      <c r="C383" s="8" t="str">
        <f>IF(B383="","",IFERROR(LOOKUP(2,1/(单次交易!$A$2:$A$201=B383),单次交易!$B$2:$B$201),""))</f>
        <v/>
      </c>
      <c r="D383" s="12"/>
      <c r="E383" s="10"/>
      <c r="F383" s="10"/>
      <c r="G383" s="2"/>
      <c r="H383" s="15"/>
      <c r="I383" s="10"/>
      <c r="J383" s="12"/>
      <c r="K383" s="2"/>
      <c r="L383" s="2"/>
      <c r="M383" s="2"/>
      <c r="N383" s="5" t="str">
        <f>IF(B383="","",IFERROR(LOOKUP(2,1/(单次交易!$A$2:$A$201=B383),单次交易!$N$2:$N$201),""))</f>
        <v/>
      </c>
      <c r="O383" s="5" t="str">
        <f t="shared" si="63"/>
        <v/>
      </c>
      <c r="P383" s="11" t="str">
        <f t="shared" si="64"/>
        <v/>
      </c>
      <c r="Q383" s="5" t="str">
        <f t="shared" si="65"/>
        <v/>
      </c>
      <c r="R383" s="10"/>
      <c r="S383" s="5" t="str">
        <f t="shared" si="66"/>
        <v/>
      </c>
      <c r="T383" s="5" t="str">
        <f t="shared" si="67"/>
        <v/>
      </c>
      <c r="U383" s="5" t="str">
        <f t="shared" si="68"/>
        <v/>
      </c>
      <c r="V383" s="7" t="str">
        <f t="shared" si="69"/>
        <v/>
      </c>
      <c r="W383" s="8" t="str">
        <f t="shared" si="70"/>
        <v/>
      </c>
      <c r="X383" s="2"/>
      <c r="Y383" s="10"/>
      <c r="Z383" s="11" t="str">
        <f>IF(X383&lt;&gt;"执行卖出","",IFERROR(LOOKUP(2,1/(单次交易!$A$2:$A$201=B383),单次交易!$AP$2:$AP$201),""))</f>
        <v/>
      </c>
      <c r="AA383" s="10"/>
      <c r="AB383" s="8" t="str">
        <f t="shared" si="71"/>
        <v/>
      </c>
      <c r="AC383" s="8" t="str">
        <f>IF(A383="","",IF(A383="止损计划",IF(OR(B383="",D383="",E383="",F383="",G383=""),"计划不完整",IF(OR(D383&lt;1,D383&lt;&gt;INT(D383)),"阶段序号无效",IF(COUNTIFS($A$2:$A$497,"止损计划",$B$2:$B$497,B383,$D$2:$D$497,D383)&gt;1,"阶段序号重复",IF(E383&lt;=IFERROR(LOOKUP(2,1/(单次交易!$A$2:$A$201=B383),单次交易!$E$2:$E$201),0),"激活价须高于买入价",IF(F383&lt;N383,"止损价不得低于初始止损",IF(F383&gt;E383,"止损价不得高于激活价",IF(AND(COUNTIFS($A$2:$A$497,"止损计划",$B$2:$B$497,B383,$D$2:$D$497,"&lt;"&amp;D383)&gt;0,OR(E383&lt;=SUMPRODUCT(MAX((($A$2:$A$497="止损计划")*($B$2:$B$497=B383)*($D$2:$D$497&lt;D383))*$E$2:$E$497)),F383&lt;SUMPRODUCT(MAX((($A$2:$A$497="止损计划")*($B$2:$B$497=B383)*($D$2:$D$497&lt;D383))*$F$2:$F$497)))),"阶段价格必须逐级提高","计划有效"))))))),IF(A383="每日跟踪",IF(OR(B383="",H383="",I383="",J383=""),"每日数据不完整",IF(COUNTIFS($A$2:$A$497,"每日跟踪",$B$2:$B$497,B383,$H$2:$H$497,H383)&gt;1,"同一交易日期重复",IF(AND(R383&lt;&gt;"",R383&lt;S383),"人工止损无效：不能下调","跟踪有效"))),"记录类型无效")))</f>
        <v/>
      </c>
    </row>
    <row r="384" ht="17" spans="1:29">
      <c r="A384" s="2"/>
      <c r="B384" s="2"/>
      <c r="C384" s="8" t="str">
        <f>IF(B384="","",IFERROR(LOOKUP(2,1/(单次交易!$A$2:$A$201=B384),单次交易!$B$2:$B$201),""))</f>
        <v/>
      </c>
      <c r="D384" s="12"/>
      <c r="E384" s="10"/>
      <c r="F384" s="10"/>
      <c r="G384" s="2"/>
      <c r="H384" s="15"/>
      <c r="I384" s="10"/>
      <c r="J384" s="12"/>
      <c r="K384" s="2"/>
      <c r="L384" s="2"/>
      <c r="M384" s="2"/>
      <c r="N384" s="5" t="str">
        <f>IF(B384="","",IFERROR(LOOKUP(2,1/(单次交易!$A$2:$A$201=B384),单次交易!$N$2:$N$201),""))</f>
        <v/>
      </c>
      <c r="O384" s="5" t="str">
        <f t="shared" si="63"/>
        <v/>
      </c>
      <c r="P384" s="11" t="str">
        <f t="shared" si="64"/>
        <v/>
      </c>
      <c r="Q384" s="5" t="str">
        <f t="shared" si="65"/>
        <v/>
      </c>
      <c r="R384" s="10"/>
      <c r="S384" s="5" t="str">
        <f t="shared" si="66"/>
        <v/>
      </c>
      <c r="T384" s="5" t="str">
        <f t="shared" si="67"/>
        <v/>
      </c>
      <c r="U384" s="5" t="str">
        <f t="shared" si="68"/>
        <v/>
      </c>
      <c r="V384" s="7" t="str">
        <f t="shared" si="69"/>
        <v/>
      </c>
      <c r="W384" s="8" t="str">
        <f t="shared" si="70"/>
        <v/>
      </c>
      <c r="X384" s="2"/>
      <c r="Y384" s="10"/>
      <c r="Z384" s="11" t="str">
        <f>IF(X384&lt;&gt;"执行卖出","",IFERROR(LOOKUP(2,1/(单次交易!$A$2:$A$201=B384),单次交易!$AP$2:$AP$201),""))</f>
        <v/>
      </c>
      <c r="AA384" s="10"/>
      <c r="AB384" s="8" t="str">
        <f t="shared" si="71"/>
        <v/>
      </c>
      <c r="AC384" s="8" t="str">
        <f>IF(A384="","",IF(A384="止损计划",IF(OR(B384="",D384="",E384="",F384="",G384=""),"计划不完整",IF(OR(D384&lt;1,D384&lt;&gt;INT(D384)),"阶段序号无效",IF(COUNTIFS($A$2:$A$497,"止损计划",$B$2:$B$497,B384,$D$2:$D$497,D384)&gt;1,"阶段序号重复",IF(E384&lt;=IFERROR(LOOKUP(2,1/(单次交易!$A$2:$A$201=B384),单次交易!$E$2:$E$201),0),"激活价须高于买入价",IF(F384&lt;N384,"止损价不得低于初始止损",IF(F384&gt;E384,"止损价不得高于激活价",IF(AND(COUNTIFS($A$2:$A$497,"止损计划",$B$2:$B$497,B384,$D$2:$D$497,"&lt;"&amp;D384)&gt;0,OR(E384&lt;=SUMPRODUCT(MAX((($A$2:$A$497="止损计划")*($B$2:$B$497=B384)*($D$2:$D$497&lt;D384))*$E$2:$E$497)),F384&lt;SUMPRODUCT(MAX((($A$2:$A$497="止损计划")*($B$2:$B$497=B384)*($D$2:$D$497&lt;D384))*$F$2:$F$497)))),"阶段价格必须逐级提高","计划有效"))))))),IF(A384="每日跟踪",IF(OR(B384="",H384="",I384="",J384=""),"每日数据不完整",IF(COUNTIFS($A$2:$A$497,"每日跟踪",$B$2:$B$497,B384,$H$2:$H$497,H384)&gt;1,"同一交易日期重复",IF(AND(R384&lt;&gt;"",R384&lt;S384),"人工止损无效：不能下调","跟踪有效"))),"记录类型无效")))</f>
        <v/>
      </c>
    </row>
    <row r="385" ht="17" spans="1:29">
      <c r="A385" s="2"/>
      <c r="B385" s="2"/>
      <c r="C385" s="8" t="str">
        <f>IF(B385="","",IFERROR(LOOKUP(2,1/(单次交易!$A$2:$A$201=B385),单次交易!$B$2:$B$201),""))</f>
        <v/>
      </c>
      <c r="D385" s="12"/>
      <c r="E385" s="10"/>
      <c r="F385" s="10"/>
      <c r="G385" s="2"/>
      <c r="H385" s="15"/>
      <c r="I385" s="10"/>
      <c r="J385" s="12"/>
      <c r="K385" s="2"/>
      <c r="L385" s="2"/>
      <c r="M385" s="2"/>
      <c r="N385" s="5" t="str">
        <f>IF(B385="","",IFERROR(LOOKUP(2,1/(单次交易!$A$2:$A$201=B385),单次交易!$N$2:$N$201),""))</f>
        <v/>
      </c>
      <c r="O385" s="5" t="str">
        <f t="shared" si="63"/>
        <v/>
      </c>
      <c r="P385" s="11" t="str">
        <f t="shared" si="64"/>
        <v/>
      </c>
      <c r="Q385" s="5" t="str">
        <f t="shared" si="65"/>
        <v/>
      </c>
      <c r="R385" s="10"/>
      <c r="S385" s="5" t="str">
        <f t="shared" si="66"/>
        <v/>
      </c>
      <c r="T385" s="5" t="str">
        <f t="shared" si="67"/>
        <v/>
      </c>
      <c r="U385" s="5" t="str">
        <f t="shared" si="68"/>
        <v/>
      </c>
      <c r="V385" s="7" t="str">
        <f t="shared" si="69"/>
        <v/>
      </c>
      <c r="W385" s="8" t="str">
        <f t="shared" si="70"/>
        <v/>
      </c>
      <c r="X385" s="2"/>
      <c r="Y385" s="10"/>
      <c r="Z385" s="11" t="str">
        <f>IF(X385&lt;&gt;"执行卖出","",IFERROR(LOOKUP(2,1/(单次交易!$A$2:$A$201=B385),单次交易!$AP$2:$AP$201),""))</f>
        <v/>
      </c>
      <c r="AA385" s="10"/>
      <c r="AB385" s="8" t="str">
        <f t="shared" si="71"/>
        <v/>
      </c>
      <c r="AC385" s="8" t="str">
        <f>IF(A385="","",IF(A385="止损计划",IF(OR(B385="",D385="",E385="",F385="",G385=""),"计划不完整",IF(OR(D385&lt;1,D385&lt;&gt;INT(D385)),"阶段序号无效",IF(COUNTIFS($A$2:$A$497,"止损计划",$B$2:$B$497,B385,$D$2:$D$497,D385)&gt;1,"阶段序号重复",IF(E385&lt;=IFERROR(LOOKUP(2,1/(单次交易!$A$2:$A$201=B385),单次交易!$E$2:$E$201),0),"激活价须高于买入价",IF(F385&lt;N385,"止损价不得低于初始止损",IF(F385&gt;E385,"止损价不得高于激活价",IF(AND(COUNTIFS($A$2:$A$497,"止损计划",$B$2:$B$497,B385,$D$2:$D$497,"&lt;"&amp;D385)&gt;0,OR(E385&lt;=SUMPRODUCT(MAX((($A$2:$A$497="止损计划")*($B$2:$B$497=B385)*($D$2:$D$497&lt;D385))*$E$2:$E$497)),F385&lt;SUMPRODUCT(MAX((($A$2:$A$497="止损计划")*($B$2:$B$497=B385)*($D$2:$D$497&lt;D385))*$F$2:$F$497)))),"阶段价格必须逐级提高","计划有效"))))))),IF(A385="每日跟踪",IF(OR(B385="",H385="",I385="",J385=""),"每日数据不完整",IF(COUNTIFS($A$2:$A$497,"每日跟踪",$B$2:$B$497,B385,$H$2:$H$497,H385)&gt;1,"同一交易日期重复",IF(AND(R385&lt;&gt;"",R385&lt;S385),"人工止损无效：不能下调","跟踪有效"))),"记录类型无效")))</f>
        <v/>
      </c>
    </row>
    <row r="386" ht="17" spans="1:29">
      <c r="A386" s="2"/>
      <c r="B386" s="2"/>
      <c r="C386" s="8" t="str">
        <f>IF(B386="","",IFERROR(LOOKUP(2,1/(单次交易!$A$2:$A$201=B386),单次交易!$B$2:$B$201),""))</f>
        <v/>
      </c>
      <c r="D386" s="12"/>
      <c r="E386" s="10"/>
      <c r="F386" s="10"/>
      <c r="G386" s="2"/>
      <c r="H386" s="15"/>
      <c r="I386" s="10"/>
      <c r="J386" s="12"/>
      <c r="K386" s="2"/>
      <c r="L386" s="2"/>
      <c r="M386" s="2"/>
      <c r="N386" s="5" t="str">
        <f>IF(B386="","",IFERROR(LOOKUP(2,1/(单次交易!$A$2:$A$201=B386),单次交易!$N$2:$N$201),""))</f>
        <v/>
      </c>
      <c r="O386" s="5" t="str">
        <f t="shared" si="63"/>
        <v/>
      </c>
      <c r="P386" s="11" t="str">
        <f t="shared" si="64"/>
        <v/>
      </c>
      <c r="Q386" s="5" t="str">
        <f t="shared" si="65"/>
        <v/>
      </c>
      <c r="R386" s="10"/>
      <c r="S386" s="5" t="str">
        <f t="shared" si="66"/>
        <v/>
      </c>
      <c r="T386" s="5" t="str">
        <f t="shared" si="67"/>
        <v/>
      </c>
      <c r="U386" s="5" t="str">
        <f t="shared" si="68"/>
        <v/>
      </c>
      <c r="V386" s="7" t="str">
        <f t="shared" si="69"/>
        <v/>
      </c>
      <c r="W386" s="8" t="str">
        <f t="shared" si="70"/>
        <v/>
      </c>
      <c r="X386" s="2"/>
      <c r="Y386" s="10"/>
      <c r="Z386" s="11" t="str">
        <f>IF(X386&lt;&gt;"执行卖出","",IFERROR(LOOKUP(2,1/(单次交易!$A$2:$A$201=B386),单次交易!$AP$2:$AP$201),""))</f>
        <v/>
      </c>
      <c r="AA386" s="10"/>
      <c r="AB386" s="8" t="str">
        <f t="shared" si="71"/>
        <v/>
      </c>
      <c r="AC386" s="8" t="str">
        <f>IF(A386="","",IF(A386="止损计划",IF(OR(B386="",D386="",E386="",F386="",G386=""),"计划不完整",IF(OR(D386&lt;1,D386&lt;&gt;INT(D386)),"阶段序号无效",IF(COUNTIFS($A$2:$A$497,"止损计划",$B$2:$B$497,B386,$D$2:$D$497,D386)&gt;1,"阶段序号重复",IF(E386&lt;=IFERROR(LOOKUP(2,1/(单次交易!$A$2:$A$201=B386),单次交易!$E$2:$E$201),0),"激活价须高于买入价",IF(F386&lt;N386,"止损价不得低于初始止损",IF(F386&gt;E386,"止损价不得高于激活价",IF(AND(COUNTIFS($A$2:$A$497,"止损计划",$B$2:$B$497,B386,$D$2:$D$497,"&lt;"&amp;D386)&gt;0,OR(E386&lt;=SUMPRODUCT(MAX((($A$2:$A$497="止损计划")*($B$2:$B$497=B386)*($D$2:$D$497&lt;D386))*$E$2:$E$497)),F386&lt;SUMPRODUCT(MAX((($A$2:$A$497="止损计划")*($B$2:$B$497=B386)*($D$2:$D$497&lt;D386))*$F$2:$F$497)))),"阶段价格必须逐级提高","计划有效"))))))),IF(A386="每日跟踪",IF(OR(B386="",H386="",I386="",J386=""),"每日数据不完整",IF(COUNTIFS($A$2:$A$497,"每日跟踪",$B$2:$B$497,B386,$H$2:$H$497,H386)&gt;1,"同一交易日期重复",IF(AND(R386&lt;&gt;"",R386&lt;S386),"人工止损无效：不能下调","跟踪有效"))),"记录类型无效")))</f>
        <v/>
      </c>
    </row>
    <row r="387" ht="17" spans="1:29">
      <c r="A387" s="2"/>
      <c r="B387" s="2"/>
      <c r="C387" s="8" t="str">
        <f>IF(B387="","",IFERROR(LOOKUP(2,1/(单次交易!$A$2:$A$201=B387),单次交易!$B$2:$B$201),""))</f>
        <v/>
      </c>
      <c r="D387" s="12"/>
      <c r="E387" s="10"/>
      <c r="F387" s="10"/>
      <c r="G387" s="2"/>
      <c r="H387" s="15"/>
      <c r="I387" s="10"/>
      <c r="J387" s="12"/>
      <c r="K387" s="2"/>
      <c r="L387" s="2"/>
      <c r="M387" s="2"/>
      <c r="N387" s="5" t="str">
        <f>IF(B387="","",IFERROR(LOOKUP(2,1/(单次交易!$A$2:$A$201=B387),单次交易!$N$2:$N$201),""))</f>
        <v/>
      </c>
      <c r="O387" s="5" t="str">
        <f t="shared" si="63"/>
        <v/>
      </c>
      <c r="P387" s="11" t="str">
        <f t="shared" si="64"/>
        <v/>
      </c>
      <c r="Q387" s="5" t="str">
        <f t="shared" si="65"/>
        <v/>
      </c>
      <c r="R387" s="10"/>
      <c r="S387" s="5" t="str">
        <f t="shared" si="66"/>
        <v/>
      </c>
      <c r="T387" s="5" t="str">
        <f t="shared" si="67"/>
        <v/>
      </c>
      <c r="U387" s="5" t="str">
        <f t="shared" si="68"/>
        <v/>
      </c>
      <c r="V387" s="7" t="str">
        <f t="shared" si="69"/>
        <v/>
      </c>
      <c r="W387" s="8" t="str">
        <f t="shared" si="70"/>
        <v/>
      </c>
      <c r="X387" s="2"/>
      <c r="Y387" s="10"/>
      <c r="Z387" s="11" t="str">
        <f>IF(X387&lt;&gt;"执行卖出","",IFERROR(LOOKUP(2,1/(单次交易!$A$2:$A$201=B387),单次交易!$AP$2:$AP$201),""))</f>
        <v/>
      </c>
      <c r="AA387" s="10"/>
      <c r="AB387" s="8" t="str">
        <f t="shared" si="71"/>
        <v/>
      </c>
      <c r="AC387" s="8" t="str">
        <f>IF(A387="","",IF(A387="止损计划",IF(OR(B387="",D387="",E387="",F387="",G387=""),"计划不完整",IF(OR(D387&lt;1,D387&lt;&gt;INT(D387)),"阶段序号无效",IF(COUNTIFS($A$2:$A$497,"止损计划",$B$2:$B$497,B387,$D$2:$D$497,D387)&gt;1,"阶段序号重复",IF(E387&lt;=IFERROR(LOOKUP(2,1/(单次交易!$A$2:$A$201=B387),单次交易!$E$2:$E$201),0),"激活价须高于买入价",IF(F387&lt;N387,"止损价不得低于初始止损",IF(F387&gt;E387,"止损价不得高于激活价",IF(AND(COUNTIFS($A$2:$A$497,"止损计划",$B$2:$B$497,B387,$D$2:$D$497,"&lt;"&amp;D387)&gt;0,OR(E387&lt;=SUMPRODUCT(MAX((($A$2:$A$497="止损计划")*($B$2:$B$497=B387)*($D$2:$D$497&lt;D387))*$E$2:$E$497)),F387&lt;SUMPRODUCT(MAX((($A$2:$A$497="止损计划")*($B$2:$B$497=B387)*($D$2:$D$497&lt;D387))*$F$2:$F$497)))),"阶段价格必须逐级提高","计划有效"))))))),IF(A387="每日跟踪",IF(OR(B387="",H387="",I387="",J387=""),"每日数据不完整",IF(COUNTIFS($A$2:$A$497,"每日跟踪",$B$2:$B$497,B387,$H$2:$H$497,H387)&gt;1,"同一交易日期重复",IF(AND(R387&lt;&gt;"",R387&lt;S387),"人工止损无效：不能下调","跟踪有效"))),"记录类型无效")))</f>
        <v/>
      </c>
    </row>
    <row r="388" ht="17" spans="1:29">
      <c r="A388" s="2"/>
      <c r="B388" s="2"/>
      <c r="C388" s="8" t="str">
        <f>IF(B388="","",IFERROR(LOOKUP(2,1/(单次交易!$A$2:$A$201=B388),单次交易!$B$2:$B$201),""))</f>
        <v/>
      </c>
      <c r="D388" s="12"/>
      <c r="E388" s="10"/>
      <c r="F388" s="10"/>
      <c r="G388" s="2"/>
      <c r="H388" s="15"/>
      <c r="I388" s="10"/>
      <c r="J388" s="12"/>
      <c r="K388" s="2"/>
      <c r="L388" s="2"/>
      <c r="M388" s="2"/>
      <c r="N388" s="5" t="str">
        <f>IF(B388="","",IFERROR(LOOKUP(2,1/(单次交易!$A$2:$A$201=B388),单次交易!$N$2:$N$201),""))</f>
        <v/>
      </c>
      <c r="O388" s="5" t="str">
        <f t="shared" si="63"/>
        <v/>
      </c>
      <c r="P388" s="11" t="str">
        <f t="shared" si="64"/>
        <v/>
      </c>
      <c r="Q388" s="5" t="str">
        <f t="shared" si="65"/>
        <v/>
      </c>
      <c r="R388" s="10"/>
      <c r="S388" s="5" t="str">
        <f t="shared" si="66"/>
        <v/>
      </c>
      <c r="T388" s="5" t="str">
        <f t="shared" si="67"/>
        <v/>
      </c>
      <c r="U388" s="5" t="str">
        <f t="shared" si="68"/>
        <v/>
      </c>
      <c r="V388" s="7" t="str">
        <f t="shared" si="69"/>
        <v/>
      </c>
      <c r="W388" s="8" t="str">
        <f t="shared" si="70"/>
        <v/>
      </c>
      <c r="X388" s="2"/>
      <c r="Y388" s="10"/>
      <c r="Z388" s="11" t="str">
        <f>IF(X388&lt;&gt;"执行卖出","",IFERROR(LOOKUP(2,1/(单次交易!$A$2:$A$201=B388),单次交易!$AP$2:$AP$201),""))</f>
        <v/>
      </c>
      <c r="AA388" s="10"/>
      <c r="AB388" s="8" t="str">
        <f t="shared" si="71"/>
        <v/>
      </c>
      <c r="AC388" s="8" t="str">
        <f>IF(A388="","",IF(A388="止损计划",IF(OR(B388="",D388="",E388="",F388="",G388=""),"计划不完整",IF(OR(D388&lt;1,D388&lt;&gt;INT(D388)),"阶段序号无效",IF(COUNTIFS($A$2:$A$497,"止损计划",$B$2:$B$497,B388,$D$2:$D$497,D388)&gt;1,"阶段序号重复",IF(E388&lt;=IFERROR(LOOKUP(2,1/(单次交易!$A$2:$A$201=B388),单次交易!$E$2:$E$201),0),"激活价须高于买入价",IF(F388&lt;N388,"止损价不得低于初始止损",IF(F388&gt;E388,"止损价不得高于激活价",IF(AND(COUNTIFS($A$2:$A$497,"止损计划",$B$2:$B$497,B388,$D$2:$D$497,"&lt;"&amp;D388)&gt;0,OR(E388&lt;=SUMPRODUCT(MAX((($A$2:$A$497="止损计划")*($B$2:$B$497=B388)*($D$2:$D$497&lt;D388))*$E$2:$E$497)),F388&lt;SUMPRODUCT(MAX((($A$2:$A$497="止损计划")*($B$2:$B$497=B388)*($D$2:$D$497&lt;D388))*$F$2:$F$497)))),"阶段价格必须逐级提高","计划有效"))))))),IF(A388="每日跟踪",IF(OR(B388="",H388="",I388="",J388=""),"每日数据不完整",IF(COUNTIFS($A$2:$A$497,"每日跟踪",$B$2:$B$497,B388,$H$2:$H$497,H388)&gt;1,"同一交易日期重复",IF(AND(R388&lt;&gt;"",R388&lt;S388),"人工止损无效：不能下调","跟踪有效"))),"记录类型无效")))</f>
        <v/>
      </c>
    </row>
    <row r="389" ht="17" spans="1:29">
      <c r="A389" s="2"/>
      <c r="B389" s="2"/>
      <c r="C389" s="8" t="str">
        <f>IF(B389="","",IFERROR(LOOKUP(2,1/(单次交易!$A$2:$A$201=B389),单次交易!$B$2:$B$201),""))</f>
        <v/>
      </c>
      <c r="D389" s="12"/>
      <c r="E389" s="10"/>
      <c r="F389" s="10"/>
      <c r="G389" s="2"/>
      <c r="H389" s="15"/>
      <c r="I389" s="10"/>
      <c r="J389" s="12"/>
      <c r="K389" s="2"/>
      <c r="L389" s="2"/>
      <c r="M389" s="2"/>
      <c r="N389" s="5" t="str">
        <f>IF(B389="","",IFERROR(LOOKUP(2,1/(单次交易!$A$2:$A$201=B389),单次交易!$N$2:$N$201),""))</f>
        <v/>
      </c>
      <c r="O389" s="5" t="str">
        <f t="shared" si="63"/>
        <v/>
      </c>
      <c r="P389" s="11" t="str">
        <f t="shared" si="64"/>
        <v/>
      </c>
      <c r="Q389" s="5" t="str">
        <f t="shared" si="65"/>
        <v/>
      </c>
      <c r="R389" s="10"/>
      <c r="S389" s="5" t="str">
        <f t="shared" si="66"/>
        <v/>
      </c>
      <c r="T389" s="5" t="str">
        <f t="shared" si="67"/>
        <v/>
      </c>
      <c r="U389" s="5" t="str">
        <f t="shared" si="68"/>
        <v/>
      </c>
      <c r="V389" s="7" t="str">
        <f t="shared" si="69"/>
        <v/>
      </c>
      <c r="W389" s="8" t="str">
        <f t="shared" si="70"/>
        <v/>
      </c>
      <c r="X389" s="2"/>
      <c r="Y389" s="10"/>
      <c r="Z389" s="11" t="str">
        <f>IF(X389&lt;&gt;"执行卖出","",IFERROR(LOOKUP(2,1/(单次交易!$A$2:$A$201=B389),单次交易!$AP$2:$AP$201),""))</f>
        <v/>
      </c>
      <c r="AA389" s="10"/>
      <c r="AB389" s="8" t="str">
        <f t="shared" si="71"/>
        <v/>
      </c>
      <c r="AC389" s="8" t="str">
        <f>IF(A389="","",IF(A389="止损计划",IF(OR(B389="",D389="",E389="",F389="",G389=""),"计划不完整",IF(OR(D389&lt;1,D389&lt;&gt;INT(D389)),"阶段序号无效",IF(COUNTIFS($A$2:$A$497,"止损计划",$B$2:$B$497,B389,$D$2:$D$497,D389)&gt;1,"阶段序号重复",IF(E389&lt;=IFERROR(LOOKUP(2,1/(单次交易!$A$2:$A$201=B389),单次交易!$E$2:$E$201),0),"激活价须高于买入价",IF(F389&lt;N389,"止损价不得低于初始止损",IF(F389&gt;E389,"止损价不得高于激活价",IF(AND(COUNTIFS($A$2:$A$497,"止损计划",$B$2:$B$497,B389,$D$2:$D$497,"&lt;"&amp;D389)&gt;0,OR(E389&lt;=SUMPRODUCT(MAX((($A$2:$A$497="止损计划")*($B$2:$B$497=B389)*($D$2:$D$497&lt;D389))*$E$2:$E$497)),F389&lt;SUMPRODUCT(MAX((($A$2:$A$497="止损计划")*($B$2:$B$497=B389)*($D$2:$D$497&lt;D389))*$F$2:$F$497)))),"阶段价格必须逐级提高","计划有效"))))))),IF(A389="每日跟踪",IF(OR(B389="",H389="",I389="",J389=""),"每日数据不完整",IF(COUNTIFS($A$2:$A$497,"每日跟踪",$B$2:$B$497,B389,$H$2:$H$497,H389)&gt;1,"同一交易日期重复",IF(AND(R389&lt;&gt;"",R389&lt;S389),"人工止损无效：不能下调","跟踪有效"))),"记录类型无效")))</f>
        <v/>
      </c>
    </row>
    <row r="390" ht="17" spans="1:29">
      <c r="A390" s="2"/>
      <c r="B390" s="2"/>
      <c r="C390" s="8" t="str">
        <f>IF(B390="","",IFERROR(LOOKUP(2,1/(单次交易!$A$2:$A$201=B390),单次交易!$B$2:$B$201),""))</f>
        <v/>
      </c>
      <c r="D390" s="12"/>
      <c r="E390" s="10"/>
      <c r="F390" s="10"/>
      <c r="G390" s="2"/>
      <c r="H390" s="15"/>
      <c r="I390" s="10"/>
      <c r="J390" s="12"/>
      <c r="K390" s="2"/>
      <c r="L390" s="2"/>
      <c r="M390" s="2"/>
      <c r="N390" s="5" t="str">
        <f>IF(B390="","",IFERROR(LOOKUP(2,1/(单次交易!$A$2:$A$201=B390),单次交易!$N$2:$N$201),""))</f>
        <v/>
      </c>
      <c r="O390" s="5" t="str">
        <f t="shared" si="63"/>
        <v/>
      </c>
      <c r="P390" s="11" t="str">
        <f t="shared" si="64"/>
        <v/>
      </c>
      <c r="Q390" s="5" t="str">
        <f t="shared" si="65"/>
        <v/>
      </c>
      <c r="R390" s="10"/>
      <c r="S390" s="5" t="str">
        <f t="shared" si="66"/>
        <v/>
      </c>
      <c r="T390" s="5" t="str">
        <f t="shared" si="67"/>
        <v/>
      </c>
      <c r="U390" s="5" t="str">
        <f t="shared" si="68"/>
        <v/>
      </c>
      <c r="V390" s="7" t="str">
        <f t="shared" si="69"/>
        <v/>
      </c>
      <c r="W390" s="8" t="str">
        <f t="shared" si="70"/>
        <v/>
      </c>
      <c r="X390" s="2"/>
      <c r="Y390" s="10"/>
      <c r="Z390" s="11" t="str">
        <f>IF(X390&lt;&gt;"执行卖出","",IFERROR(LOOKUP(2,1/(单次交易!$A$2:$A$201=B390),单次交易!$AP$2:$AP$201),""))</f>
        <v/>
      </c>
      <c r="AA390" s="10"/>
      <c r="AB390" s="8" t="str">
        <f t="shared" si="71"/>
        <v/>
      </c>
      <c r="AC390" s="8" t="str">
        <f>IF(A390="","",IF(A390="止损计划",IF(OR(B390="",D390="",E390="",F390="",G390=""),"计划不完整",IF(OR(D390&lt;1,D390&lt;&gt;INT(D390)),"阶段序号无效",IF(COUNTIFS($A$2:$A$497,"止损计划",$B$2:$B$497,B390,$D$2:$D$497,D390)&gt;1,"阶段序号重复",IF(E390&lt;=IFERROR(LOOKUP(2,1/(单次交易!$A$2:$A$201=B390),单次交易!$E$2:$E$201),0),"激活价须高于买入价",IF(F390&lt;N390,"止损价不得低于初始止损",IF(F390&gt;E390,"止损价不得高于激活价",IF(AND(COUNTIFS($A$2:$A$497,"止损计划",$B$2:$B$497,B390,$D$2:$D$497,"&lt;"&amp;D390)&gt;0,OR(E390&lt;=SUMPRODUCT(MAX((($A$2:$A$497="止损计划")*($B$2:$B$497=B390)*($D$2:$D$497&lt;D390))*$E$2:$E$497)),F390&lt;SUMPRODUCT(MAX((($A$2:$A$497="止损计划")*($B$2:$B$497=B390)*($D$2:$D$497&lt;D390))*$F$2:$F$497)))),"阶段价格必须逐级提高","计划有效"))))))),IF(A390="每日跟踪",IF(OR(B390="",H390="",I390="",J390=""),"每日数据不完整",IF(COUNTIFS($A$2:$A$497,"每日跟踪",$B$2:$B$497,B390,$H$2:$H$497,H390)&gt;1,"同一交易日期重复",IF(AND(R390&lt;&gt;"",R390&lt;S390),"人工止损无效：不能下调","跟踪有效"))),"记录类型无效")))</f>
        <v/>
      </c>
    </row>
    <row r="391" ht="17" spans="1:29">
      <c r="A391" s="2"/>
      <c r="B391" s="2"/>
      <c r="C391" s="8" t="str">
        <f>IF(B391="","",IFERROR(LOOKUP(2,1/(单次交易!$A$2:$A$201=B391),单次交易!$B$2:$B$201),""))</f>
        <v/>
      </c>
      <c r="D391" s="12"/>
      <c r="E391" s="10"/>
      <c r="F391" s="10"/>
      <c r="G391" s="2"/>
      <c r="H391" s="15"/>
      <c r="I391" s="10"/>
      <c r="J391" s="12"/>
      <c r="K391" s="2"/>
      <c r="L391" s="2"/>
      <c r="M391" s="2"/>
      <c r="N391" s="5" t="str">
        <f>IF(B391="","",IFERROR(LOOKUP(2,1/(单次交易!$A$2:$A$201=B391),单次交易!$N$2:$N$201),""))</f>
        <v/>
      </c>
      <c r="O391" s="5" t="str">
        <f t="shared" si="63"/>
        <v/>
      </c>
      <c r="P391" s="11" t="str">
        <f t="shared" si="64"/>
        <v/>
      </c>
      <c r="Q391" s="5" t="str">
        <f t="shared" si="65"/>
        <v/>
      </c>
      <c r="R391" s="10"/>
      <c r="S391" s="5" t="str">
        <f t="shared" si="66"/>
        <v/>
      </c>
      <c r="T391" s="5" t="str">
        <f t="shared" si="67"/>
        <v/>
      </c>
      <c r="U391" s="5" t="str">
        <f t="shared" si="68"/>
        <v/>
      </c>
      <c r="V391" s="7" t="str">
        <f t="shared" si="69"/>
        <v/>
      </c>
      <c r="W391" s="8" t="str">
        <f t="shared" si="70"/>
        <v/>
      </c>
      <c r="X391" s="2"/>
      <c r="Y391" s="10"/>
      <c r="Z391" s="11" t="str">
        <f>IF(X391&lt;&gt;"执行卖出","",IFERROR(LOOKUP(2,1/(单次交易!$A$2:$A$201=B391),单次交易!$AP$2:$AP$201),""))</f>
        <v/>
      </c>
      <c r="AA391" s="10"/>
      <c r="AB391" s="8" t="str">
        <f t="shared" si="71"/>
        <v/>
      </c>
      <c r="AC391" s="8" t="str">
        <f>IF(A391="","",IF(A391="止损计划",IF(OR(B391="",D391="",E391="",F391="",G391=""),"计划不完整",IF(OR(D391&lt;1,D391&lt;&gt;INT(D391)),"阶段序号无效",IF(COUNTIFS($A$2:$A$497,"止损计划",$B$2:$B$497,B391,$D$2:$D$497,D391)&gt;1,"阶段序号重复",IF(E391&lt;=IFERROR(LOOKUP(2,1/(单次交易!$A$2:$A$201=B391),单次交易!$E$2:$E$201),0),"激活价须高于买入价",IF(F391&lt;N391,"止损价不得低于初始止损",IF(F391&gt;E391,"止损价不得高于激活价",IF(AND(COUNTIFS($A$2:$A$497,"止损计划",$B$2:$B$497,B391,$D$2:$D$497,"&lt;"&amp;D391)&gt;0,OR(E391&lt;=SUMPRODUCT(MAX((($A$2:$A$497="止损计划")*($B$2:$B$497=B391)*($D$2:$D$497&lt;D391))*$E$2:$E$497)),F391&lt;SUMPRODUCT(MAX((($A$2:$A$497="止损计划")*($B$2:$B$497=B391)*($D$2:$D$497&lt;D391))*$F$2:$F$497)))),"阶段价格必须逐级提高","计划有效"))))))),IF(A391="每日跟踪",IF(OR(B391="",H391="",I391="",J391=""),"每日数据不完整",IF(COUNTIFS($A$2:$A$497,"每日跟踪",$B$2:$B$497,B391,$H$2:$H$497,H391)&gt;1,"同一交易日期重复",IF(AND(R391&lt;&gt;"",R391&lt;S391),"人工止损无效：不能下调","跟踪有效"))),"记录类型无效")))</f>
        <v/>
      </c>
    </row>
    <row r="392" ht="17" spans="1:29">
      <c r="A392" s="2"/>
      <c r="B392" s="2"/>
      <c r="C392" s="8" t="str">
        <f>IF(B392="","",IFERROR(LOOKUP(2,1/(单次交易!$A$2:$A$201=B392),单次交易!$B$2:$B$201),""))</f>
        <v/>
      </c>
      <c r="D392" s="12"/>
      <c r="E392" s="10"/>
      <c r="F392" s="10"/>
      <c r="G392" s="2"/>
      <c r="H392" s="15"/>
      <c r="I392" s="10"/>
      <c r="J392" s="12"/>
      <c r="K392" s="2"/>
      <c r="L392" s="2"/>
      <c r="M392" s="2"/>
      <c r="N392" s="5" t="str">
        <f>IF(B392="","",IFERROR(LOOKUP(2,1/(单次交易!$A$2:$A$201=B392),单次交易!$N$2:$N$201),""))</f>
        <v/>
      </c>
      <c r="O392" s="5" t="str">
        <f t="shared" si="63"/>
        <v/>
      </c>
      <c r="P392" s="11" t="str">
        <f t="shared" si="64"/>
        <v/>
      </c>
      <c r="Q392" s="5" t="str">
        <f t="shared" si="65"/>
        <v/>
      </c>
      <c r="R392" s="10"/>
      <c r="S392" s="5" t="str">
        <f t="shared" si="66"/>
        <v/>
      </c>
      <c r="T392" s="5" t="str">
        <f t="shared" si="67"/>
        <v/>
      </c>
      <c r="U392" s="5" t="str">
        <f t="shared" si="68"/>
        <v/>
      </c>
      <c r="V392" s="7" t="str">
        <f t="shared" si="69"/>
        <v/>
      </c>
      <c r="W392" s="8" t="str">
        <f t="shared" si="70"/>
        <v/>
      </c>
      <c r="X392" s="2"/>
      <c r="Y392" s="10"/>
      <c r="Z392" s="11" t="str">
        <f>IF(X392&lt;&gt;"执行卖出","",IFERROR(LOOKUP(2,1/(单次交易!$A$2:$A$201=B392),单次交易!$AP$2:$AP$201),""))</f>
        <v/>
      </c>
      <c r="AA392" s="10"/>
      <c r="AB392" s="8" t="str">
        <f t="shared" si="71"/>
        <v/>
      </c>
      <c r="AC392" s="8" t="str">
        <f>IF(A392="","",IF(A392="止损计划",IF(OR(B392="",D392="",E392="",F392="",G392=""),"计划不完整",IF(OR(D392&lt;1,D392&lt;&gt;INT(D392)),"阶段序号无效",IF(COUNTIFS($A$2:$A$497,"止损计划",$B$2:$B$497,B392,$D$2:$D$497,D392)&gt;1,"阶段序号重复",IF(E392&lt;=IFERROR(LOOKUP(2,1/(单次交易!$A$2:$A$201=B392),单次交易!$E$2:$E$201),0),"激活价须高于买入价",IF(F392&lt;N392,"止损价不得低于初始止损",IF(F392&gt;E392,"止损价不得高于激活价",IF(AND(COUNTIFS($A$2:$A$497,"止损计划",$B$2:$B$497,B392,$D$2:$D$497,"&lt;"&amp;D392)&gt;0,OR(E392&lt;=SUMPRODUCT(MAX((($A$2:$A$497="止损计划")*($B$2:$B$497=B392)*($D$2:$D$497&lt;D392))*$E$2:$E$497)),F392&lt;SUMPRODUCT(MAX((($A$2:$A$497="止损计划")*($B$2:$B$497=B392)*($D$2:$D$497&lt;D392))*$F$2:$F$497)))),"阶段价格必须逐级提高","计划有效"))))))),IF(A392="每日跟踪",IF(OR(B392="",H392="",I392="",J392=""),"每日数据不完整",IF(COUNTIFS($A$2:$A$497,"每日跟踪",$B$2:$B$497,B392,$H$2:$H$497,H392)&gt;1,"同一交易日期重复",IF(AND(R392&lt;&gt;"",R392&lt;S392),"人工止损无效：不能下调","跟踪有效"))),"记录类型无效")))</f>
        <v/>
      </c>
    </row>
    <row r="393" ht="17" spans="1:29">
      <c r="A393" s="2"/>
      <c r="B393" s="2"/>
      <c r="C393" s="8" t="str">
        <f>IF(B393="","",IFERROR(LOOKUP(2,1/(单次交易!$A$2:$A$201=B393),单次交易!$B$2:$B$201),""))</f>
        <v/>
      </c>
      <c r="D393" s="12"/>
      <c r="E393" s="10"/>
      <c r="F393" s="10"/>
      <c r="G393" s="2"/>
      <c r="H393" s="15"/>
      <c r="I393" s="10"/>
      <c r="J393" s="12"/>
      <c r="K393" s="2"/>
      <c r="L393" s="2"/>
      <c r="M393" s="2"/>
      <c r="N393" s="5" t="str">
        <f>IF(B393="","",IFERROR(LOOKUP(2,1/(单次交易!$A$2:$A$201=B393),单次交易!$N$2:$N$201),""))</f>
        <v/>
      </c>
      <c r="O393" s="5" t="str">
        <f t="shared" si="63"/>
        <v/>
      </c>
      <c r="P393" s="11" t="str">
        <f t="shared" si="64"/>
        <v/>
      </c>
      <c r="Q393" s="5" t="str">
        <f t="shared" si="65"/>
        <v/>
      </c>
      <c r="R393" s="10"/>
      <c r="S393" s="5" t="str">
        <f t="shared" si="66"/>
        <v/>
      </c>
      <c r="T393" s="5" t="str">
        <f t="shared" si="67"/>
        <v/>
      </c>
      <c r="U393" s="5" t="str">
        <f t="shared" si="68"/>
        <v/>
      </c>
      <c r="V393" s="7" t="str">
        <f t="shared" si="69"/>
        <v/>
      </c>
      <c r="W393" s="8" t="str">
        <f t="shared" si="70"/>
        <v/>
      </c>
      <c r="X393" s="2"/>
      <c r="Y393" s="10"/>
      <c r="Z393" s="11" t="str">
        <f>IF(X393&lt;&gt;"执行卖出","",IFERROR(LOOKUP(2,1/(单次交易!$A$2:$A$201=B393),单次交易!$AP$2:$AP$201),""))</f>
        <v/>
      </c>
      <c r="AA393" s="10"/>
      <c r="AB393" s="8" t="str">
        <f t="shared" si="71"/>
        <v/>
      </c>
      <c r="AC393" s="8" t="str">
        <f>IF(A393="","",IF(A393="止损计划",IF(OR(B393="",D393="",E393="",F393="",G393=""),"计划不完整",IF(OR(D393&lt;1,D393&lt;&gt;INT(D393)),"阶段序号无效",IF(COUNTIFS($A$2:$A$497,"止损计划",$B$2:$B$497,B393,$D$2:$D$497,D393)&gt;1,"阶段序号重复",IF(E393&lt;=IFERROR(LOOKUP(2,1/(单次交易!$A$2:$A$201=B393),单次交易!$E$2:$E$201),0),"激活价须高于买入价",IF(F393&lt;N393,"止损价不得低于初始止损",IF(F393&gt;E393,"止损价不得高于激活价",IF(AND(COUNTIFS($A$2:$A$497,"止损计划",$B$2:$B$497,B393,$D$2:$D$497,"&lt;"&amp;D393)&gt;0,OR(E393&lt;=SUMPRODUCT(MAX((($A$2:$A$497="止损计划")*($B$2:$B$497=B393)*($D$2:$D$497&lt;D393))*$E$2:$E$497)),F393&lt;SUMPRODUCT(MAX((($A$2:$A$497="止损计划")*($B$2:$B$497=B393)*($D$2:$D$497&lt;D393))*$F$2:$F$497)))),"阶段价格必须逐级提高","计划有效"))))))),IF(A393="每日跟踪",IF(OR(B393="",H393="",I393="",J393=""),"每日数据不完整",IF(COUNTIFS($A$2:$A$497,"每日跟踪",$B$2:$B$497,B393,$H$2:$H$497,H393)&gt;1,"同一交易日期重复",IF(AND(R393&lt;&gt;"",R393&lt;S393),"人工止损无效：不能下调","跟踪有效"))),"记录类型无效")))</f>
        <v/>
      </c>
    </row>
    <row r="394" ht="17" spans="1:29">
      <c r="A394" s="2"/>
      <c r="B394" s="2"/>
      <c r="C394" s="8" t="str">
        <f>IF(B394="","",IFERROR(LOOKUP(2,1/(单次交易!$A$2:$A$201=B394),单次交易!$B$2:$B$201),""))</f>
        <v/>
      </c>
      <c r="D394" s="12"/>
      <c r="E394" s="10"/>
      <c r="F394" s="10"/>
      <c r="G394" s="2"/>
      <c r="H394" s="15"/>
      <c r="I394" s="10"/>
      <c r="J394" s="12"/>
      <c r="K394" s="2"/>
      <c r="L394" s="2"/>
      <c r="M394" s="2"/>
      <c r="N394" s="5" t="str">
        <f>IF(B394="","",IFERROR(LOOKUP(2,1/(单次交易!$A$2:$A$201=B394),单次交易!$N$2:$N$201),""))</f>
        <v/>
      </c>
      <c r="O394" s="5" t="str">
        <f t="shared" si="63"/>
        <v/>
      </c>
      <c r="P394" s="11" t="str">
        <f t="shared" si="64"/>
        <v/>
      </c>
      <c r="Q394" s="5" t="str">
        <f t="shared" si="65"/>
        <v/>
      </c>
      <c r="R394" s="10"/>
      <c r="S394" s="5" t="str">
        <f t="shared" si="66"/>
        <v/>
      </c>
      <c r="T394" s="5" t="str">
        <f t="shared" si="67"/>
        <v/>
      </c>
      <c r="U394" s="5" t="str">
        <f t="shared" si="68"/>
        <v/>
      </c>
      <c r="V394" s="7" t="str">
        <f t="shared" si="69"/>
        <v/>
      </c>
      <c r="W394" s="8" t="str">
        <f t="shared" si="70"/>
        <v/>
      </c>
      <c r="X394" s="2"/>
      <c r="Y394" s="10"/>
      <c r="Z394" s="11" t="str">
        <f>IF(X394&lt;&gt;"执行卖出","",IFERROR(LOOKUP(2,1/(单次交易!$A$2:$A$201=B394),单次交易!$AP$2:$AP$201),""))</f>
        <v/>
      </c>
      <c r="AA394" s="10"/>
      <c r="AB394" s="8" t="str">
        <f t="shared" si="71"/>
        <v/>
      </c>
      <c r="AC394" s="8" t="str">
        <f>IF(A394="","",IF(A394="止损计划",IF(OR(B394="",D394="",E394="",F394="",G394=""),"计划不完整",IF(OR(D394&lt;1,D394&lt;&gt;INT(D394)),"阶段序号无效",IF(COUNTIFS($A$2:$A$497,"止损计划",$B$2:$B$497,B394,$D$2:$D$497,D394)&gt;1,"阶段序号重复",IF(E394&lt;=IFERROR(LOOKUP(2,1/(单次交易!$A$2:$A$201=B394),单次交易!$E$2:$E$201),0),"激活价须高于买入价",IF(F394&lt;N394,"止损价不得低于初始止损",IF(F394&gt;E394,"止损价不得高于激活价",IF(AND(COUNTIFS($A$2:$A$497,"止损计划",$B$2:$B$497,B394,$D$2:$D$497,"&lt;"&amp;D394)&gt;0,OR(E394&lt;=SUMPRODUCT(MAX((($A$2:$A$497="止损计划")*($B$2:$B$497=B394)*($D$2:$D$497&lt;D394))*$E$2:$E$497)),F394&lt;SUMPRODUCT(MAX((($A$2:$A$497="止损计划")*($B$2:$B$497=B394)*($D$2:$D$497&lt;D394))*$F$2:$F$497)))),"阶段价格必须逐级提高","计划有效"))))))),IF(A394="每日跟踪",IF(OR(B394="",H394="",I394="",J394=""),"每日数据不完整",IF(COUNTIFS($A$2:$A$497,"每日跟踪",$B$2:$B$497,B394,$H$2:$H$497,H394)&gt;1,"同一交易日期重复",IF(AND(R394&lt;&gt;"",R394&lt;S394),"人工止损无效：不能下调","跟踪有效"))),"记录类型无效")))</f>
        <v/>
      </c>
    </row>
    <row r="395" ht="17" spans="1:29">
      <c r="A395" s="2"/>
      <c r="B395" s="2"/>
      <c r="C395" s="8" t="str">
        <f>IF(B395="","",IFERROR(LOOKUP(2,1/(单次交易!$A$2:$A$201=B395),单次交易!$B$2:$B$201),""))</f>
        <v/>
      </c>
      <c r="D395" s="12"/>
      <c r="E395" s="10"/>
      <c r="F395" s="10"/>
      <c r="G395" s="2"/>
      <c r="H395" s="15"/>
      <c r="I395" s="10"/>
      <c r="J395" s="12"/>
      <c r="K395" s="2"/>
      <c r="L395" s="2"/>
      <c r="M395" s="2"/>
      <c r="N395" s="5" t="str">
        <f>IF(B395="","",IFERROR(LOOKUP(2,1/(单次交易!$A$2:$A$201=B395),单次交易!$N$2:$N$201),""))</f>
        <v/>
      </c>
      <c r="O395" s="5" t="str">
        <f t="shared" si="63"/>
        <v/>
      </c>
      <c r="P395" s="11" t="str">
        <f t="shared" si="64"/>
        <v/>
      </c>
      <c r="Q395" s="5" t="str">
        <f t="shared" si="65"/>
        <v/>
      </c>
      <c r="R395" s="10"/>
      <c r="S395" s="5" t="str">
        <f t="shared" si="66"/>
        <v/>
      </c>
      <c r="T395" s="5" t="str">
        <f t="shared" si="67"/>
        <v/>
      </c>
      <c r="U395" s="5" t="str">
        <f t="shared" si="68"/>
        <v/>
      </c>
      <c r="V395" s="7" t="str">
        <f t="shared" si="69"/>
        <v/>
      </c>
      <c r="W395" s="8" t="str">
        <f t="shared" si="70"/>
        <v/>
      </c>
      <c r="X395" s="2"/>
      <c r="Y395" s="10"/>
      <c r="Z395" s="11" t="str">
        <f>IF(X395&lt;&gt;"执行卖出","",IFERROR(LOOKUP(2,1/(单次交易!$A$2:$A$201=B395),单次交易!$AP$2:$AP$201),""))</f>
        <v/>
      </c>
      <c r="AA395" s="10"/>
      <c r="AB395" s="8" t="str">
        <f t="shared" si="71"/>
        <v/>
      </c>
      <c r="AC395" s="8" t="str">
        <f>IF(A395="","",IF(A395="止损计划",IF(OR(B395="",D395="",E395="",F395="",G395=""),"计划不完整",IF(OR(D395&lt;1,D395&lt;&gt;INT(D395)),"阶段序号无效",IF(COUNTIFS($A$2:$A$497,"止损计划",$B$2:$B$497,B395,$D$2:$D$497,D395)&gt;1,"阶段序号重复",IF(E395&lt;=IFERROR(LOOKUP(2,1/(单次交易!$A$2:$A$201=B395),单次交易!$E$2:$E$201),0),"激活价须高于买入价",IF(F395&lt;N395,"止损价不得低于初始止损",IF(F395&gt;E395,"止损价不得高于激活价",IF(AND(COUNTIFS($A$2:$A$497,"止损计划",$B$2:$B$497,B395,$D$2:$D$497,"&lt;"&amp;D395)&gt;0,OR(E395&lt;=SUMPRODUCT(MAX((($A$2:$A$497="止损计划")*($B$2:$B$497=B395)*($D$2:$D$497&lt;D395))*$E$2:$E$497)),F395&lt;SUMPRODUCT(MAX((($A$2:$A$497="止损计划")*($B$2:$B$497=B395)*($D$2:$D$497&lt;D395))*$F$2:$F$497)))),"阶段价格必须逐级提高","计划有效"))))))),IF(A395="每日跟踪",IF(OR(B395="",H395="",I395="",J395=""),"每日数据不完整",IF(COUNTIFS($A$2:$A$497,"每日跟踪",$B$2:$B$497,B395,$H$2:$H$497,H395)&gt;1,"同一交易日期重复",IF(AND(R395&lt;&gt;"",R395&lt;S395),"人工止损无效：不能下调","跟踪有效"))),"记录类型无效")))</f>
        <v/>
      </c>
    </row>
    <row r="396" ht="17" spans="1:29">
      <c r="A396" s="2"/>
      <c r="B396" s="2"/>
      <c r="C396" s="8" t="str">
        <f>IF(B396="","",IFERROR(LOOKUP(2,1/(单次交易!$A$2:$A$201=B396),单次交易!$B$2:$B$201),""))</f>
        <v/>
      </c>
      <c r="D396" s="12"/>
      <c r="E396" s="10"/>
      <c r="F396" s="10"/>
      <c r="G396" s="2"/>
      <c r="H396" s="15"/>
      <c r="I396" s="10"/>
      <c r="J396" s="12"/>
      <c r="K396" s="2"/>
      <c r="L396" s="2"/>
      <c r="M396" s="2"/>
      <c r="N396" s="5" t="str">
        <f>IF(B396="","",IFERROR(LOOKUP(2,1/(单次交易!$A$2:$A$201=B396),单次交易!$N$2:$N$201),""))</f>
        <v/>
      </c>
      <c r="O396" s="5" t="str">
        <f t="shared" si="63"/>
        <v/>
      </c>
      <c r="P396" s="11" t="str">
        <f t="shared" si="64"/>
        <v/>
      </c>
      <c r="Q396" s="5" t="str">
        <f t="shared" si="65"/>
        <v/>
      </c>
      <c r="R396" s="10"/>
      <c r="S396" s="5" t="str">
        <f t="shared" si="66"/>
        <v/>
      </c>
      <c r="T396" s="5" t="str">
        <f t="shared" si="67"/>
        <v/>
      </c>
      <c r="U396" s="5" t="str">
        <f t="shared" si="68"/>
        <v/>
      </c>
      <c r="V396" s="7" t="str">
        <f t="shared" si="69"/>
        <v/>
      </c>
      <c r="W396" s="8" t="str">
        <f t="shared" si="70"/>
        <v/>
      </c>
      <c r="X396" s="2"/>
      <c r="Y396" s="10"/>
      <c r="Z396" s="11" t="str">
        <f>IF(X396&lt;&gt;"执行卖出","",IFERROR(LOOKUP(2,1/(单次交易!$A$2:$A$201=B396),单次交易!$AP$2:$AP$201),""))</f>
        <v/>
      </c>
      <c r="AA396" s="10"/>
      <c r="AB396" s="8" t="str">
        <f t="shared" si="71"/>
        <v/>
      </c>
      <c r="AC396" s="8" t="str">
        <f>IF(A396="","",IF(A396="止损计划",IF(OR(B396="",D396="",E396="",F396="",G396=""),"计划不完整",IF(OR(D396&lt;1,D396&lt;&gt;INT(D396)),"阶段序号无效",IF(COUNTIFS($A$2:$A$497,"止损计划",$B$2:$B$497,B396,$D$2:$D$497,D396)&gt;1,"阶段序号重复",IF(E396&lt;=IFERROR(LOOKUP(2,1/(单次交易!$A$2:$A$201=B396),单次交易!$E$2:$E$201),0),"激活价须高于买入价",IF(F396&lt;N396,"止损价不得低于初始止损",IF(F396&gt;E396,"止损价不得高于激活价",IF(AND(COUNTIFS($A$2:$A$497,"止损计划",$B$2:$B$497,B396,$D$2:$D$497,"&lt;"&amp;D396)&gt;0,OR(E396&lt;=SUMPRODUCT(MAX((($A$2:$A$497="止损计划")*($B$2:$B$497=B396)*($D$2:$D$497&lt;D396))*$E$2:$E$497)),F396&lt;SUMPRODUCT(MAX((($A$2:$A$497="止损计划")*($B$2:$B$497=B396)*($D$2:$D$497&lt;D396))*$F$2:$F$497)))),"阶段价格必须逐级提高","计划有效"))))))),IF(A396="每日跟踪",IF(OR(B396="",H396="",I396="",J396=""),"每日数据不完整",IF(COUNTIFS($A$2:$A$497,"每日跟踪",$B$2:$B$497,B396,$H$2:$H$497,H396)&gt;1,"同一交易日期重复",IF(AND(R396&lt;&gt;"",R396&lt;S396),"人工止损无效：不能下调","跟踪有效"))),"记录类型无效")))</f>
        <v/>
      </c>
    </row>
    <row r="397" ht="17" spans="1:29">
      <c r="A397" s="2"/>
      <c r="B397" s="2"/>
      <c r="C397" s="8" t="str">
        <f>IF(B397="","",IFERROR(LOOKUP(2,1/(单次交易!$A$2:$A$201=B397),单次交易!$B$2:$B$201),""))</f>
        <v/>
      </c>
      <c r="D397" s="12"/>
      <c r="E397" s="10"/>
      <c r="F397" s="10"/>
      <c r="G397" s="2"/>
      <c r="H397" s="15"/>
      <c r="I397" s="10"/>
      <c r="J397" s="12"/>
      <c r="K397" s="2"/>
      <c r="L397" s="2"/>
      <c r="M397" s="2"/>
      <c r="N397" s="5" t="str">
        <f>IF(B397="","",IFERROR(LOOKUP(2,1/(单次交易!$A$2:$A$201=B397),单次交易!$N$2:$N$201),""))</f>
        <v/>
      </c>
      <c r="O397" s="5" t="str">
        <f t="shared" si="63"/>
        <v/>
      </c>
      <c r="P397" s="11" t="str">
        <f t="shared" si="64"/>
        <v/>
      </c>
      <c r="Q397" s="5" t="str">
        <f t="shared" si="65"/>
        <v/>
      </c>
      <c r="R397" s="10"/>
      <c r="S397" s="5" t="str">
        <f t="shared" si="66"/>
        <v/>
      </c>
      <c r="T397" s="5" t="str">
        <f t="shared" si="67"/>
        <v/>
      </c>
      <c r="U397" s="5" t="str">
        <f t="shared" si="68"/>
        <v/>
      </c>
      <c r="V397" s="7" t="str">
        <f t="shared" si="69"/>
        <v/>
      </c>
      <c r="W397" s="8" t="str">
        <f t="shared" si="70"/>
        <v/>
      </c>
      <c r="X397" s="2"/>
      <c r="Y397" s="10"/>
      <c r="Z397" s="11" t="str">
        <f>IF(X397&lt;&gt;"执行卖出","",IFERROR(LOOKUP(2,1/(单次交易!$A$2:$A$201=B397),单次交易!$AP$2:$AP$201),""))</f>
        <v/>
      </c>
      <c r="AA397" s="10"/>
      <c r="AB397" s="8" t="str">
        <f t="shared" si="71"/>
        <v/>
      </c>
      <c r="AC397" s="8" t="str">
        <f>IF(A397="","",IF(A397="止损计划",IF(OR(B397="",D397="",E397="",F397="",G397=""),"计划不完整",IF(OR(D397&lt;1,D397&lt;&gt;INT(D397)),"阶段序号无效",IF(COUNTIFS($A$2:$A$497,"止损计划",$B$2:$B$497,B397,$D$2:$D$497,D397)&gt;1,"阶段序号重复",IF(E397&lt;=IFERROR(LOOKUP(2,1/(单次交易!$A$2:$A$201=B397),单次交易!$E$2:$E$201),0),"激活价须高于买入价",IF(F397&lt;N397,"止损价不得低于初始止损",IF(F397&gt;E397,"止损价不得高于激活价",IF(AND(COUNTIFS($A$2:$A$497,"止损计划",$B$2:$B$497,B397,$D$2:$D$497,"&lt;"&amp;D397)&gt;0,OR(E397&lt;=SUMPRODUCT(MAX((($A$2:$A$497="止损计划")*($B$2:$B$497=B397)*($D$2:$D$497&lt;D397))*$E$2:$E$497)),F397&lt;SUMPRODUCT(MAX((($A$2:$A$497="止损计划")*($B$2:$B$497=B397)*($D$2:$D$497&lt;D397))*$F$2:$F$497)))),"阶段价格必须逐级提高","计划有效"))))))),IF(A397="每日跟踪",IF(OR(B397="",H397="",I397="",J397=""),"每日数据不完整",IF(COUNTIFS($A$2:$A$497,"每日跟踪",$B$2:$B$497,B397,$H$2:$H$497,H397)&gt;1,"同一交易日期重复",IF(AND(R397&lt;&gt;"",R397&lt;S397),"人工止损无效：不能下调","跟踪有效"))),"记录类型无效")))</f>
        <v/>
      </c>
    </row>
    <row r="398" ht="17" spans="1:29">
      <c r="A398" s="2"/>
      <c r="B398" s="2"/>
      <c r="C398" s="8" t="str">
        <f>IF(B398="","",IFERROR(LOOKUP(2,1/(单次交易!$A$2:$A$201=B398),单次交易!$B$2:$B$201),""))</f>
        <v/>
      </c>
      <c r="D398" s="12"/>
      <c r="E398" s="10"/>
      <c r="F398" s="10"/>
      <c r="G398" s="2"/>
      <c r="H398" s="15"/>
      <c r="I398" s="10"/>
      <c r="J398" s="12"/>
      <c r="K398" s="2"/>
      <c r="L398" s="2"/>
      <c r="M398" s="2"/>
      <c r="N398" s="5" t="str">
        <f>IF(B398="","",IFERROR(LOOKUP(2,1/(单次交易!$A$2:$A$201=B398),单次交易!$N$2:$N$201),""))</f>
        <v/>
      </c>
      <c r="O398" s="5" t="str">
        <f t="shared" si="63"/>
        <v/>
      </c>
      <c r="P398" s="11" t="str">
        <f t="shared" si="64"/>
        <v/>
      </c>
      <c r="Q398" s="5" t="str">
        <f t="shared" si="65"/>
        <v/>
      </c>
      <c r="R398" s="10"/>
      <c r="S398" s="5" t="str">
        <f t="shared" si="66"/>
        <v/>
      </c>
      <c r="T398" s="5" t="str">
        <f t="shared" si="67"/>
        <v/>
      </c>
      <c r="U398" s="5" t="str">
        <f t="shared" si="68"/>
        <v/>
      </c>
      <c r="V398" s="7" t="str">
        <f t="shared" si="69"/>
        <v/>
      </c>
      <c r="W398" s="8" t="str">
        <f t="shared" si="70"/>
        <v/>
      </c>
      <c r="X398" s="2"/>
      <c r="Y398" s="10"/>
      <c r="Z398" s="11" t="str">
        <f>IF(X398&lt;&gt;"执行卖出","",IFERROR(LOOKUP(2,1/(单次交易!$A$2:$A$201=B398),单次交易!$AP$2:$AP$201),""))</f>
        <v/>
      </c>
      <c r="AA398" s="10"/>
      <c r="AB398" s="8" t="str">
        <f t="shared" si="71"/>
        <v/>
      </c>
      <c r="AC398" s="8" t="str">
        <f>IF(A398="","",IF(A398="止损计划",IF(OR(B398="",D398="",E398="",F398="",G398=""),"计划不完整",IF(OR(D398&lt;1,D398&lt;&gt;INT(D398)),"阶段序号无效",IF(COUNTIFS($A$2:$A$497,"止损计划",$B$2:$B$497,B398,$D$2:$D$497,D398)&gt;1,"阶段序号重复",IF(E398&lt;=IFERROR(LOOKUP(2,1/(单次交易!$A$2:$A$201=B398),单次交易!$E$2:$E$201),0),"激活价须高于买入价",IF(F398&lt;N398,"止损价不得低于初始止损",IF(F398&gt;E398,"止损价不得高于激活价",IF(AND(COUNTIFS($A$2:$A$497,"止损计划",$B$2:$B$497,B398,$D$2:$D$497,"&lt;"&amp;D398)&gt;0,OR(E398&lt;=SUMPRODUCT(MAX((($A$2:$A$497="止损计划")*($B$2:$B$497=B398)*($D$2:$D$497&lt;D398))*$E$2:$E$497)),F398&lt;SUMPRODUCT(MAX((($A$2:$A$497="止损计划")*($B$2:$B$497=B398)*($D$2:$D$497&lt;D398))*$F$2:$F$497)))),"阶段价格必须逐级提高","计划有效"))))))),IF(A398="每日跟踪",IF(OR(B398="",H398="",I398="",J398=""),"每日数据不完整",IF(COUNTIFS($A$2:$A$497,"每日跟踪",$B$2:$B$497,B398,$H$2:$H$497,H398)&gt;1,"同一交易日期重复",IF(AND(R398&lt;&gt;"",R398&lt;S398),"人工止损无效：不能下调","跟踪有效"))),"记录类型无效")))</f>
        <v/>
      </c>
    </row>
    <row r="399" ht="17" spans="1:29">
      <c r="A399" s="2"/>
      <c r="B399" s="2"/>
      <c r="C399" s="8" t="str">
        <f>IF(B399="","",IFERROR(LOOKUP(2,1/(单次交易!$A$2:$A$201=B399),单次交易!$B$2:$B$201),""))</f>
        <v/>
      </c>
      <c r="D399" s="12"/>
      <c r="E399" s="10"/>
      <c r="F399" s="10"/>
      <c r="G399" s="2"/>
      <c r="H399" s="15"/>
      <c r="I399" s="10"/>
      <c r="J399" s="12"/>
      <c r="K399" s="2"/>
      <c r="L399" s="2"/>
      <c r="M399" s="2"/>
      <c r="N399" s="5" t="str">
        <f>IF(B399="","",IFERROR(LOOKUP(2,1/(单次交易!$A$2:$A$201=B399),单次交易!$N$2:$N$201),""))</f>
        <v/>
      </c>
      <c r="O399" s="5" t="str">
        <f t="shared" si="63"/>
        <v/>
      </c>
      <c r="P399" s="11" t="str">
        <f t="shared" si="64"/>
        <v/>
      </c>
      <c r="Q399" s="5" t="str">
        <f t="shared" si="65"/>
        <v/>
      </c>
      <c r="R399" s="10"/>
      <c r="S399" s="5" t="str">
        <f t="shared" si="66"/>
        <v/>
      </c>
      <c r="T399" s="5" t="str">
        <f t="shared" si="67"/>
        <v/>
      </c>
      <c r="U399" s="5" t="str">
        <f t="shared" si="68"/>
        <v/>
      </c>
      <c r="V399" s="7" t="str">
        <f t="shared" si="69"/>
        <v/>
      </c>
      <c r="W399" s="8" t="str">
        <f t="shared" si="70"/>
        <v/>
      </c>
      <c r="X399" s="2"/>
      <c r="Y399" s="10"/>
      <c r="Z399" s="11" t="str">
        <f>IF(X399&lt;&gt;"执行卖出","",IFERROR(LOOKUP(2,1/(单次交易!$A$2:$A$201=B399),单次交易!$AP$2:$AP$201),""))</f>
        <v/>
      </c>
      <c r="AA399" s="10"/>
      <c r="AB399" s="8" t="str">
        <f t="shared" si="71"/>
        <v/>
      </c>
      <c r="AC399" s="8" t="str">
        <f>IF(A399="","",IF(A399="止损计划",IF(OR(B399="",D399="",E399="",F399="",G399=""),"计划不完整",IF(OR(D399&lt;1,D399&lt;&gt;INT(D399)),"阶段序号无效",IF(COUNTIFS($A$2:$A$497,"止损计划",$B$2:$B$497,B399,$D$2:$D$497,D399)&gt;1,"阶段序号重复",IF(E399&lt;=IFERROR(LOOKUP(2,1/(单次交易!$A$2:$A$201=B399),单次交易!$E$2:$E$201),0),"激活价须高于买入价",IF(F399&lt;N399,"止损价不得低于初始止损",IF(F399&gt;E399,"止损价不得高于激活价",IF(AND(COUNTIFS($A$2:$A$497,"止损计划",$B$2:$B$497,B399,$D$2:$D$497,"&lt;"&amp;D399)&gt;0,OR(E399&lt;=SUMPRODUCT(MAX((($A$2:$A$497="止损计划")*($B$2:$B$497=B399)*($D$2:$D$497&lt;D399))*$E$2:$E$497)),F399&lt;SUMPRODUCT(MAX((($A$2:$A$497="止损计划")*($B$2:$B$497=B399)*($D$2:$D$497&lt;D399))*$F$2:$F$497)))),"阶段价格必须逐级提高","计划有效"))))))),IF(A399="每日跟踪",IF(OR(B399="",H399="",I399="",J399=""),"每日数据不完整",IF(COUNTIFS($A$2:$A$497,"每日跟踪",$B$2:$B$497,B399,$H$2:$H$497,H399)&gt;1,"同一交易日期重复",IF(AND(R399&lt;&gt;"",R399&lt;S399),"人工止损无效：不能下调","跟踪有效"))),"记录类型无效")))</f>
        <v/>
      </c>
    </row>
    <row r="400" ht="17" spans="1:29">
      <c r="A400" s="2"/>
      <c r="B400" s="2"/>
      <c r="C400" s="8" t="str">
        <f>IF(B400="","",IFERROR(LOOKUP(2,1/(单次交易!$A$2:$A$201=B400),单次交易!$B$2:$B$201),""))</f>
        <v/>
      </c>
      <c r="D400" s="12"/>
      <c r="E400" s="10"/>
      <c r="F400" s="10"/>
      <c r="G400" s="2"/>
      <c r="H400" s="15"/>
      <c r="I400" s="10"/>
      <c r="J400" s="12"/>
      <c r="K400" s="2"/>
      <c r="L400" s="2"/>
      <c r="M400" s="2"/>
      <c r="N400" s="5" t="str">
        <f>IF(B400="","",IFERROR(LOOKUP(2,1/(单次交易!$A$2:$A$201=B400),单次交易!$N$2:$N$201),""))</f>
        <v/>
      </c>
      <c r="O400" s="5" t="str">
        <f t="shared" si="63"/>
        <v/>
      </c>
      <c r="P400" s="11" t="str">
        <f t="shared" si="64"/>
        <v/>
      </c>
      <c r="Q400" s="5" t="str">
        <f t="shared" si="65"/>
        <v/>
      </c>
      <c r="R400" s="10"/>
      <c r="S400" s="5" t="str">
        <f t="shared" si="66"/>
        <v/>
      </c>
      <c r="T400" s="5" t="str">
        <f t="shared" si="67"/>
        <v/>
      </c>
      <c r="U400" s="5" t="str">
        <f t="shared" si="68"/>
        <v/>
      </c>
      <c r="V400" s="7" t="str">
        <f t="shared" si="69"/>
        <v/>
      </c>
      <c r="W400" s="8" t="str">
        <f t="shared" si="70"/>
        <v/>
      </c>
      <c r="X400" s="2"/>
      <c r="Y400" s="10"/>
      <c r="Z400" s="11" t="str">
        <f>IF(X400&lt;&gt;"执行卖出","",IFERROR(LOOKUP(2,1/(单次交易!$A$2:$A$201=B400),单次交易!$AP$2:$AP$201),""))</f>
        <v/>
      </c>
      <c r="AA400" s="10"/>
      <c r="AB400" s="8" t="str">
        <f t="shared" si="71"/>
        <v/>
      </c>
      <c r="AC400" s="8" t="str">
        <f>IF(A400="","",IF(A400="止损计划",IF(OR(B400="",D400="",E400="",F400="",G400=""),"计划不完整",IF(OR(D400&lt;1,D400&lt;&gt;INT(D400)),"阶段序号无效",IF(COUNTIFS($A$2:$A$497,"止损计划",$B$2:$B$497,B400,$D$2:$D$497,D400)&gt;1,"阶段序号重复",IF(E400&lt;=IFERROR(LOOKUP(2,1/(单次交易!$A$2:$A$201=B400),单次交易!$E$2:$E$201),0),"激活价须高于买入价",IF(F400&lt;N400,"止损价不得低于初始止损",IF(F400&gt;E400,"止损价不得高于激活价",IF(AND(COUNTIFS($A$2:$A$497,"止损计划",$B$2:$B$497,B400,$D$2:$D$497,"&lt;"&amp;D400)&gt;0,OR(E400&lt;=SUMPRODUCT(MAX((($A$2:$A$497="止损计划")*($B$2:$B$497=B400)*($D$2:$D$497&lt;D400))*$E$2:$E$497)),F400&lt;SUMPRODUCT(MAX((($A$2:$A$497="止损计划")*($B$2:$B$497=B400)*($D$2:$D$497&lt;D400))*$F$2:$F$497)))),"阶段价格必须逐级提高","计划有效"))))))),IF(A400="每日跟踪",IF(OR(B400="",H400="",I400="",J400=""),"每日数据不完整",IF(COUNTIFS($A$2:$A$497,"每日跟踪",$B$2:$B$497,B400,$H$2:$H$497,H400)&gt;1,"同一交易日期重复",IF(AND(R400&lt;&gt;"",R400&lt;S400),"人工止损无效：不能下调","跟踪有效"))),"记录类型无效")))</f>
        <v/>
      </c>
    </row>
    <row r="401" ht="17" spans="1:29">
      <c r="A401" s="2"/>
      <c r="B401" s="2"/>
      <c r="C401" s="8" t="str">
        <f>IF(B401="","",IFERROR(LOOKUP(2,1/(单次交易!$A$2:$A$201=B401),单次交易!$B$2:$B$201),""))</f>
        <v/>
      </c>
      <c r="D401" s="12"/>
      <c r="E401" s="10"/>
      <c r="F401" s="10"/>
      <c r="G401" s="2"/>
      <c r="H401" s="15"/>
      <c r="I401" s="10"/>
      <c r="J401" s="12"/>
      <c r="K401" s="2"/>
      <c r="L401" s="2"/>
      <c r="M401" s="2"/>
      <c r="N401" s="5" t="str">
        <f>IF(B401="","",IFERROR(LOOKUP(2,1/(单次交易!$A$2:$A$201=B401),单次交易!$N$2:$N$201),""))</f>
        <v/>
      </c>
      <c r="O401" s="5" t="str">
        <f t="shared" si="63"/>
        <v/>
      </c>
      <c r="P401" s="11" t="str">
        <f t="shared" si="64"/>
        <v/>
      </c>
      <c r="Q401" s="5" t="str">
        <f t="shared" si="65"/>
        <v/>
      </c>
      <c r="R401" s="10"/>
      <c r="S401" s="5" t="str">
        <f t="shared" si="66"/>
        <v/>
      </c>
      <c r="T401" s="5" t="str">
        <f t="shared" si="67"/>
        <v/>
      </c>
      <c r="U401" s="5" t="str">
        <f t="shared" si="68"/>
        <v/>
      </c>
      <c r="V401" s="7" t="str">
        <f t="shared" si="69"/>
        <v/>
      </c>
      <c r="W401" s="8" t="str">
        <f t="shared" si="70"/>
        <v/>
      </c>
      <c r="X401" s="2"/>
      <c r="Y401" s="10"/>
      <c r="Z401" s="11" t="str">
        <f>IF(X401&lt;&gt;"执行卖出","",IFERROR(LOOKUP(2,1/(单次交易!$A$2:$A$201=B401),单次交易!$AP$2:$AP$201),""))</f>
        <v/>
      </c>
      <c r="AA401" s="10"/>
      <c r="AB401" s="8" t="str">
        <f t="shared" si="71"/>
        <v/>
      </c>
      <c r="AC401" s="8" t="str">
        <f>IF(A401="","",IF(A401="止损计划",IF(OR(B401="",D401="",E401="",F401="",G401=""),"计划不完整",IF(OR(D401&lt;1,D401&lt;&gt;INT(D401)),"阶段序号无效",IF(COUNTIFS($A$2:$A$497,"止损计划",$B$2:$B$497,B401,$D$2:$D$497,D401)&gt;1,"阶段序号重复",IF(E401&lt;=IFERROR(LOOKUP(2,1/(单次交易!$A$2:$A$201=B401),单次交易!$E$2:$E$201),0),"激活价须高于买入价",IF(F401&lt;N401,"止损价不得低于初始止损",IF(F401&gt;E401,"止损价不得高于激活价",IF(AND(COUNTIFS($A$2:$A$497,"止损计划",$B$2:$B$497,B401,$D$2:$D$497,"&lt;"&amp;D401)&gt;0,OR(E401&lt;=SUMPRODUCT(MAX((($A$2:$A$497="止损计划")*($B$2:$B$497=B401)*($D$2:$D$497&lt;D401))*$E$2:$E$497)),F401&lt;SUMPRODUCT(MAX((($A$2:$A$497="止损计划")*($B$2:$B$497=B401)*($D$2:$D$497&lt;D401))*$F$2:$F$497)))),"阶段价格必须逐级提高","计划有效"))))))),IF(A401="每日跟踪",IF(OR(B401="",H401="",I401="",J401=""),"每日数据不完整",IF(COUNTIFS($A$2:$A$497,"每日跟踪",$B$2:$B$497,B401,$H$2:$H$497,H401)&gt;1,"同一交易日期重复",IF(AND(R401&lt;&gt;"",R401&lt;S401),"人工止损无效：不能下调","跟踪有效"))),"记录类型无效")))</f>
        <v/>
      </c>
    </row>
    <row r="402" ht="17" spans="1:29">
      <c r="A402" s="2"/>
      <c r="B402" s="2"/>
      <c r="C402" s="8" t="str">
        <f>IF(B402="","",IFERROR(LOOKUP(2,1/(单次交易!$A$2:$A$201=B402),单次交易!$B$2:$B$201),""))</f>
        <v/>
      </c>
      <c r="D402" s="12"/>
      <c r="E402" s="10"/>
      <c r="F402" s="10"/>
      <c r="G402" s="2"/>
      <c r="H402" s="15"/>
      <c r="I402" s="10"/>
      <c r="J402" s="12"/>
      <c r="K402" s="2"/>
      <c r="L402" s="2"/>
      <c r="M402" s="2"/>
      <c r="N402" s="5" t="str">
        <f>IF(B402="","",IFERROR(LOOKUP(2,1/(单次交易!$A$2:$A$201=B402),单次交易!$N$2:$N$201),""))</f>
        <v/>
      </c>
      <c r="O402" s="5" t="str">
        <f t="shared" si="63"/>
        <v/>
      </c>
      <c r="P402" s="11" t="str">
        <f t="shared" si="64"/>
        <v/>
      </c>
      <c r="Q402" s="5" t="str">
        <f t="shared" si="65"/>
        <v/>
      </c>
      <c r="R402" s="10"/>
      <c r="S402" s="5" t="str">
        <f t="shared" si="66"/>
        <v/>
      </c>
      <c r="T402" s="5" t="str">
        <f t="shared" si="67"/>
        <v/>
      </c>
      <c r="U402" s="5" t="str">
        <f t="shared" si="68"/>
        <v/>
      </c>
      <c r="V402" s="7" t="str">
        <f t="shared" si="69"/>
        <v/>
      </c>
      <c r="W402" s="8" t="str">
        <f t="shared" si="70"/>
        <v/>
      </c>
      <c r="X402" s="2"/>
      <c r="Y402" s="10"/>
      <c r="Z402" s="11" t="str">
        <f>IF(X402&lt;&gt;"执行卖出","",IFERROR(LOOKUP(2,1/(单次交易!$A$2:$A$201=B402),单次交易!$AP$2:$AP$201),""))</f>
        <v/>
      </c>
      <c r="AA402" s="10"/>
      <c r="AB402" s="8" t="str">
        <f t="shared" si="71"/>
        <v/>
      </c>
      <c r="AC402" s="8" t="str">
        <f>IF(A402="","",IF(A402="止损计划",IF(OR(B402="",D402="",E402="",F402="",G402=""),"计划不完整",IF(OR(D402&lt;1,D402&lt;&gt;INT(D402)),"阶段序号无效",IF(COUNTIFS($A$2:$A$497,"止损计划",$B$2:$B$497,B402,$D$2:$D$497,D402)&gt;1,"阶段序号重复",IF(E402&lt;=IFERROR(LOOKUP(2,1/(单次交易!$A$2:$A$201=B402),单次交易!$E$2:$E$201),0),"激活价须高于买入价",IF(F402&lt;N402,"止损价不得低于初始止损",IF(F402&gt;E402,"止损价不得高于激活价",IF(AND(COUNTIFS($A$2:$A$497,"止损计划",$B$2:$B$497,B402,$D$2:$D$497,"&lt;"&amp;D402)&gt;0,OR(E402&lt;=SUMPRODUCT(MAX((($A$2:$A$497="止损计划")*($B$2:$B$497=B402)*($D$2:$D$497&lt;D402))*$E$2:$E$497)),F402&lt;SUMPRODUCT(MAX((($A$2:$A$497="止损计划")*($B$2:$B$497=B402)*($D$2:$D$497&lt;D402))*$F$2:$F$497)))),"阶段价格必须逐级提高","计划有效"))))))),IF(A402="每日跟踪",IF(OR(B402="",H402="",I402="",J402=""),"每日数据不完整",IF(COUNTIFS($A$2:$A$497,"每日跟踪",$B$2:$B$497,B402,$H$2:$H$497,H402)&gt;1,"同一交易日期重复",IF(AND(R402&lt;&gt;"",R402&lt;S402),"人工止损无效：不能下调","跟踪有效"))),"记录类型无效")))</f>
        <v/>
      </c>
    </row>
    <row r="403" ht="17" spans="1:29">
      <c r="A403" s="2"/>
      <c r="B403" s="2"/>
      <c r="C403" s="8" t="str">
        <f>IF(B403="","",IFERROR(LOOKUP(2,1/(单次交易!$A$2:$A$201=B403),单次交易!$B$2:$B$201),""))</f>
        <v/>
      </c>
      <c r="D403" s="12"/>
      <c r="E403" s="10"/>
      <c r="F403" s="10"/>
      <c r="G403" s="2"/>
      <c r="H403" s="15"/>
      <c r="I403" s="10"/>
      <c r="J403" s="12"/>
      <c r="K403" s="2"/>
      <c r="L403" s="2"/>
      <c r="M403" s="2"/>
      <c r="N403" s="5" t="str">
        <f>IF(B403="","",IFERROR(LOOKUP(2,1/(单次交易!$A$2:$A$201=B403),单次交易!$N$2:$N$201),""))</f>
        <v/>
      </c>
      <c r="O403" s="5" t="str">
        <f t="shared" si="63"/>
        <v/>
      </c>
      <c r="P403" s="11" t="str">
        <f t="shared" si="64"/>
        <v/>
      </c>
      <c r="Q403" s="5" t="str">
        <f t="shared" si="65"/>
        <v/>
      </c>
      <c r="R403" s="10"/>
      <c r="S403" s="5" t="str">
        <f t="shared" si="66"/>
        <v/>
      </c>
      <c r="T403" s="5" t="str">
        <f t="shared" si="67"/>
        <v/>
      </c>
      <c r="U403" s="5" t="str">
        <f t="shared" si="68"/>
        <v/>
      </c>
      <c r="V403" s="7" t="str">
        <f t="shared" si="69"/>
        <v/>
      </c>
      <c r="W403" s="8" t="str">
        <f t="shared" si="70"/>
        <v/>
      </c>
      <c r="X403" s="2"/>
      <c r="Y403" s="10"/>
      <c r="Z403" s="11" t="str">
        <f>IF(X403&lt;&gt;"执行卖出","",IFERROR(LOOKUP(2,1/(单次交易!$A$2:$A$201=B403),单次交易!$AP$2:$AP$201),""))</f>
        <v/>
      </c>
      <c r="AA403" s="10"/>
      <c r="AB403" s="8" t="str">
        <f t="shared" si="71"/>
        <v/>
      </c>
      <c r="AC403" s="8" t="str">
        <f>IF(A403="","",IF(A403="止损计划",IF(OR(B403="",D403="",E403="",F403="",G403=""),"计划不完整",IF(OR(D403&lt;1,D403&lt;&gt;INT(D403)),"阶段序号无效",IF(COUNTIFS($A$2:$A$497,"止损计划",$B$2:$B$497,B403,$D$2:$D$497,D403)&gt;1,"阶段序号重复",IF(E403&lt;=IFERROR(LOOKUP(2,1/(单次交易!$A$2:$A$201=B403),单次交易!$E$2:$E$201),0),"激活价须高于买入价",IF(F403&lt;N403,"止损价不得低于初始止损",IF(F403&gt;E403,"止损价不得高于激活价",IF(AND(COUNTIFS($A$2:$A$497,"止损计划",$B$2:$B$497,B403,$D$2:$D$497,"&lt;"&amp;D403)&gt;0,OR(E403&lt;=SUMPRODUCT(MAX((($A$2:$A$497="止损计划")*($B$2:$B$497=B403)*($D$2:$D$497&lt;D403))*$E$2:$E$497)),F403&lt;SUMPRODUCT(MAX((($A$2:$A$497="止损计划")*($B$2:$B$497=B403)*($D$2:$D$497&lt;D403))*$F$2:$F$497)))),"阶段价格必须逐级提高","计划有效"))))))),IF(A403="每日跟踪",IF(OR(B403="",H403="",I403="",J403=""),"每日数据不完整",IF(COUNTIFS($A$2:$A$497,"每日跟踪",$B$2:$B$497,B403,$H$2:$H$497,H403)&gt;1,"同一交易日期重复",IF(AND(R403&lt;&gt;"",R403&lt;S403),"人工止损无效：不能下调","跟踪有效"))),"记录类型无效")))</f>
        <v/>
      </c>
    </row>
    <row r="404" ht="17" spans="1:29">
      <c r="A404" s="2"/>
      <c r="B404" s="2"/>
      <c r="C404" s="8" t="str">
        <f>IF(B404="","",IFERROR(LOOKUP(2,1/(单次交易!$A$2:$A$201=B404),单次交易!$B$2:$B$201),""))</f>
        <v/>
      </c>
      <c r="D404" s="12"/>
      <c r="E404" s="10"/>
      <c r="F404" s="10"/>
      <c r="G404" s="2"/>
      <c r="H404" s="15"/>
      <c r="I404" s="10"/>
      <c r="J404" s="12"/>
      <c r="K404" s="2"/>
      <c r="L404" s="2"/>
      <c r="M404" s="2"/>
      <c r="N404" s="5" t="str">
        <f>IF(B404="","",IFERROR(LOOKUP(2,1/(单次交易!$A$2:$A$201=B404),单次交易!$N$2:$N$201),""))</f>
        <v/>
      </c>
      <c r="O404" s="5" t="str">
        <f t="shared" si="63"/>
        <v/>
      </c>
      <c r="P404" s="11" t="str">
        <f t="shared" si="64"/>
        <v/>
      </c>
      <c r="Q404" s="5" t="str">
        <f t="shared" si="65"/>
        <v/>
      </c>
      <c r="R404" s="10"/>
      <c r="S404" s="5" t="str">
        <f t="shared" si="66"/>
        <v/>
      </c>
      <c r="T404" s="5" t="str">
        <f t="shared" si="67"/>
        <v/>
      </c>
      <c r="U404" s="5" t="str">
        <f t="shared" si="68"/>
        <v/>
      </c>
      <c r="V404" s="7" t="str">
        <f t="shared" si="69"/>
        <v/>
      </c>
      <c r="W404" s="8" t="str">
        <f t="shared" si="70"/>
        <v/>
      </c>
      <c r="X404" s="2"/>
      <c r="Y404" s="10"/>
      <c r="Z404" s="11" t="str">
        <f>IF(X404&lt;&gt;"执行卖出","",IFERROR(LOOKUP(2,1/(单次交易!$A$2:$A$201=B404),单次交易!$AP$2:$AP$201),""))</f>
        <v/>
      </c>
      <c r="AA404" s="10"/>
      <c r="AB404" s="8" t="str">
        <f t="shared" si="71"/>
        <v/>
      </c>
      <c r="AC404" s="8" t="str">
        <f>IF(A404="","",IF(A404="止损计划",IF(OR(B404="",D404="",E404="",F404="",G404=""),"计划不完整",IF(OR(D404&lt;1,D404&lt;&gt;INT(D404)),"阶段序号无效",IF(COUNTIFS($A$2:$A$497,"止损计划",$B$2:$B$497,B404,$D$2:$D$497,D404)&gt;1,"阶段序号重复",IF(E404&lt;=IFERROR(LOOKUP(2,1/(单次交易!$A$2:$A$201=B404),单次交易!$E$2:$E$201),0),"激活价须高于买入价",IF(F404&lt;N404,"止损价不得低于初始止损",IF(F404&gt;E404,"止损价不得高于激活价",IF(AND(COUNTIFS($A$2:$A$497,"止损计划",$B$2:$B$497,B404,$D$2:$D$497,"&lt;"&amp;D404)&gt;0,OR(E404&lt;=SUMPRODUCT(MAX((($A$2:$A$497="止损计划")*($B$2:$B$497=B404)*($D$2:$D$497&lt;D404))*$E$2:$E$497)),F404&lt;SUMPRODUCT(MAX((($A$2:$A$497="止损计划")*($B$2:$B$497=B404)*($D$2:$D$497&lt;D404))*$F$2:$F$497)))),"阶段价格必须逐级提高","计划有效"))))))),IF(A404="每日跟踪",IF(OR(B404="",H404="",I404="",J404=""),"每日数据不完整",IF(COUNTIFS($A$2:$A$497,"每日跟踪",$B$2:$B$497,B404,$H$2:$H$497,H404)&gt;1,"同一交易日期重复",IF(AND(R404&lt;&gt;"",R404&lt;S404),"人工止损无效：不能下调","跟踪有效"))),"记录类型无效")))</f>
        <v/>
      </c>
    </row>
    <row r="405" ht="17" spans="1:29">
      <c r="A405" s="2"/>
      <c r="B405" s="2"/>
      <c r="C405" s="8" t="str">
        <f>IF(B405="","",IFERROR(LOOKUP(2,1/(单次交易!$A$2:$A$201=B405),单次交易!$B$2:$B$201),""))</f>
        <v/>
      </c>
      <c r="D405" s="12"/>
      <c r="E405" s="10"/>
      <c r="F405" s="10"/>
      <c r="G405" s="2"/>
      <c r="H405" s="15"/>
      <c r="I405" s="10"/>
      <c r="J405" s="12"/>
      <c r="K405" s="2"/>
      <c r="L405" s="2"/>
      <c r="M405" s="2"/>
      <c r="N405" s="5" t="str">
        <f>IF(B405="","",IFERROR(LOOKUP(2,1/(单次交易!$A$2:$A$201=B405),单次交易!$N$2:$N$201),""))</f>
        <v/>
      </c>
      <c r="O405" s="5" t="str">
        <f t="shared" si="63"/>
        <v/>
      </c>
      <c r="P405" s="11" t="str">
        <f t="shared" si="64"/>
        <v/>
      </c>
      <c r="Q405" s="5" t="str">
        <f t="shared" si="65"/>
        <v/>
      </c>
      <c r="R405" s="10"/>
      <c r="S405" s="5" t="str">
        <f t="shared" si="66"/>
        <v/>
      </c>
      <c r="T405" s="5" t="str">
        <f t="shared" si="67"/>
        <v/>
      </c>
      <c r="U405" s="5" t="str">
        <f t="shared" si="68"/>
        <v/>
      </c>
      <c r="V405" s="7" t="str">
        <f t="shared" si="69"/>
        <v/>
      </c>
      <c r="W405" s="8" t="str">
        <f t="shared" si="70"/>
        <v/>
      </c>
      <c r="X405" s="2"/>
      <c r="Y405" s="10"/>
      <c r="Z405" s="11" t="str">
        <f>IF(X405&lt;&gt;"执行卖出","",IFERROR(LOOKUP(2,1/(单次交易!$A$2:$A$201=B405),单次交易!$AP$2:$AP$201),""))</f>
        <v/>
      </c>
      <c r="AA405" s="10"/>
      <c r="AB405" s="8" t="str">
        <f t="shared" si="71"/>
        <v/>
      </c>
      <c r="AC405" s="8" t="str">
        <f>IF(A405="","",IF(A405="止损计划",IF(OR(B405="",D405="",E405="",F405="",G405=""),"计划不完整",IF(OR(D405&lt;1,D405&lt;&gt;INT(D405)),"阶段序号无效",IF(COUNTIFS($A$2:$A$497,"止损计划",$B$2:$B$497,B405,$D$2:$D$497,D405)&gt;1,"阶段序号重复",IF(E405&lt;=IFERROR(LOOKUP(2,1/(单次交易!$A$2:$A$201=B405),单次交易!$E$2:$E$201),0),"激活价须高于买入价",IF(F405&lt;N405,"止损价不得低于初始止损",IF(F405&gt;E405,"止损价不得高于激活价",IF(AND(COUNTIFS($A$2:$A$497,"止损计划",$B$2:$B$497,B405,$D$2:$D$497,"&lt;"&amp;D405)&gt;0,OR(E405&lt;=SUMPRODUCT(MAX((($A$2:$A$497="止损计划")*($B$2:$B$497=B405)*($D$2:$D$497&lt;D405))*$E$2:$E$497)),F405&lt;SUMPRODUCT(MAX((($A$2:$A$497="止损计划")*($B$2:$B$497=B405)*($D$2:$D$497&lt;D405))*$F$2:$F$497)))),"阶段价格必须逐级提高","计划有效"))))))),IF(A405="每日跟踪",IF(OR(B405="",H405="",I405="",J405=""),"每日数据不完整",IF(COUNTIFS($A$2:$A$497,"每日跟踪",$B$2:$B$497,B405,$H$2:$H$497,H405)&gt;1,"同一交易日期重复",IF(AND(R405&lt;&gt;"",R405&lt;S405),"人工止损无效：不能下调","跟踪有效"))),"记录类型无效")))</f>
        <v/>
      </c>
    </row>
    <row r="406" ht="17" spans="1:29">
      <c r="A406" s="2"/>
      <c r="B406" s="2"/>
      <c r="C406" s="8" t="str">
        <f>IF(B406="","",IFERROR(LOOKUP(2,1/(单次交易!$A$2:$A$201=B406),单次交易!$B$2:$B$201),""))</f>
        <v/>
      </c>
      <c r="D406" s="12"/>
      <c r="E406" s="10"/>
      <c r="F406" s="10"/>
      <c r="G406" s="2"/>
      <c r="H406" s="15"/>
      <c r="I406" s="10"/>
      <c r="J406" s="12"/>
      <c r="K406" s="2"/>
      <c r="L406" s="2"/>
      <c r="M406" s="2"/>
      <c r="N406" s="5" t="str">
        <f>IF(B406="","",IFERROR(LOOKUP(2,1/(单次交易!$A$2:$A$201=B406),单次交易!$N$2:$N$201),""))</f>
        <v/>
      </c>
      <c r="O406" s="5" t="str">
        <f t="shared" si="63"/>
        <v/>
      </c>
      <c r="P406" s="11" t="str">
        <f t="shared" si="64"/>
        <v/>
      </c>
      <c r="Q406" s="5" t="str">
        <f t="shared" si="65"/>
        <v/>
      </c>
      <c r="R406" s="10"/>
      <c r="S406" s="5" t="str">
        <f t="shared" si="66"/>
        <v/>
      </c>
      <c r="T406" s="5" t="str">
        <f t="shared" si="67"/>
        <v/>
      </c>
      <c r="U406" s="5" t="str">
        <f t="shared" si="68"/>
        <v/>
      </c>
      <c r="V406" s="7" t="str">
        <f t="shared" si="69"/>
        <v/>
      </c>
      <c r="W406" s="8" t="str">
        <f t="shared" si="70"/>
        <v/>
      </c>
      <c r="X406" s="2"/>
      <c r="Y406" s="10"/>
      <c r="Z406" s="11" t="str">
        <f>IF(X406&lt;&gt;"执行卖出","",IFERROR(LOOKUP(2,1/(单次交易!$A$2:$A$201=B406),单次交易!$AP$2:$AP$201),""))</f>
        <v/>
      </c>
      <c r="AA406" s="10"/>
      <c r="AB406" s="8" t="str">
        <f t="shared" si="71"/>
        <v/>
      </c>
      <c r="AC406" s="8" t="str">
        <f>IF(A406="","",IF(A406="止损计划",IF(OR(B406="",D406="",E406="",F406="",G406=""),"计划不完整",IF(OR(D406&lt;1,D406&lt;&gt;INT(D406)),"阶段序号无效",IF(COUNTIFS($A$2:$A$497,"止损计划",$B$2:$B$497,B406,$D$2:$D$497,D406)&gt;1,"阶段序号重复",IF(E406&lt;=IFERROR(LOOKUP(2,1/(单次交易!$A$2:$A$201=B406),单次交易!$E$2:$E$201),0),"激活价须高于买入价",IF(F406&lt;N406,"止损价不得低于初始止损",IF(F406&gt;E406,"止损价不得高于激活价",IF(AND(COUNTIFS($A$2:$A$497,"止损计划",$B$2:$B$497,B406,$D$2:$D$497,"&lt;"&amp;D406)&gt;0,OR(E406&lt;=SUMPRODUCT(MAX((($A$2:$A$497="止损计划")*($B$2:$B$497=B406)*($D$2:$D$497&lt;D406))*$E$2:$E$497)),F406&lt;SUMPRODUCT(MAX((($A$2:$A$497="止损计划")*($B$2:$B$497=B406)*($D$2:$D$497&lt;D406))*$F$2:$F$497)))),"阶段价格必须逐级提高","计划有效"))))))),IF(A406="每日跟踪",IF(OR(B406="",H406="",I406="",J406=""),"每日数据不完整",IF(COUNTIFS($A$2:$A$497,"每日跟踪",$B$2:$B$497,B406,$H$2:$H$497,H406)&gt;1,"同一交易日期重复",IF(AND(R406&lt;&gt;"",R406&lt;S406),"人工止损无效：不能下调","跟踪有效"))),"记录类型无效")))</f>
        <v/>
      </c>
    </row>
    <row r="407" ht="17" spans="1:29">
      <c r="A407" s="2"/>
      <c r="B407" s="2"/>
      <c r="C407" s="8" t="str">
        <f>IF(B407="","",IFERROR(LOOKUP(2,1/(单次交易!$A$2:$A$201=B407),单次交易!$B$2:$B$201),""))</f>
        <v/>
      </c>
      <c r="D407" s="12"/>
      <c r="E407" s="10"/>
      <c r="F407" s="10"/>
      <c r="G407" s="2"/>
      <c r="H407" s="15"/>
      <c r="I407" s="10"/>
      <c r="J407" s="12"/>
      <c r="K407" s="2"/>
      <c r="L407" s="2"/>
      <c r="M407" s="2"/>
      <c r="N407" s="5" t="str">
        <f>IF(B407="","",IFERROR(LOOKUP(2,1/(单次交易!$A$2:$A$201=B407),单次交易!$N$2:$N$201),""))</f>
        <v/>
      </c>
      <c r="O407" s="5" t="str">
        <f t="shared" si="63"/>
        <v/>
      </c>
      <c r="P407" s="11" t="str">
        <f t="shared" si="64"/>
        <v/>
      </c>
      <c r="Q407" s="5" t="str">
        <f t="shared" si="65"/>
        <v/>
      </c>
      <c r="R407" s="10"/>
      <c r="S407" s="5" t="str">
        <f t="shared" si="66"/>
        <v/>
      </c>
      <c r="T407" s="5" t="str">
        <f t="shared" si="67"/>
        <v/>
      </c>
      <c r="U407" s="5" t="str">
        <f t="shared" si="68"/>
        <v/>
      </c>
      <c r="V407" s="7" t="str">
        <f t="shared" si="69"/>
        <v/>
      </c>
      <c r="W407" s="8" t="str">
        <f t="shared" si="70"/>
        <v/>
      </c>
      <c r="X407" s="2"/>
      <c r="Y407" s="10"/>
      <c r="Z407" s="11" t="str">
        <f>IF(X407&lt;&gt;"执行卖出","",IFERROR(LOOKUP(2,1/(单次交易!$A$2:$A$201=B407),单次交易!$AP$2:$AP$201),""))</f>
        <v/>
      </c>
      <c r="AA407" s="10"/>
      <c r="AB407" s="8" t="str">
        <f t="shared" si="71"/>
        <v/>
      </c>
      <c r="AC407" s="8" t="str">
        <f>IF(A407="","",IF(A407="止损计划",IF(OR(B407="",D407="",E407="",F407="",G407=""),"计划不完整",IF(OR(D407&lt;1,D407&lt;&gt;INT(D407)),"阶段序号无效",IF(COUNTIFS($A$2:$A$497,"止损计划",$B$2:$B$497,B407,$D$2:$D$497,D407)&gt;1,"阶段序号重复",IF(E407&lt;=IFERROR(LOOKUP(2,1/(单次交易!$A$2:$A$201=B407),单次交易!$E$2:$E$201),0),"激活价须高于买入价",IF(F407&lt;N407,"止损价不得低于初始止损",IF(F407&gt;E407,"止损价不得高于激活价",IF(AND(COUNTIFS($A$2:$A$497,"止损计划",$B$2:$B$497,B407,$D$2:$D$497,"&lt;"&amp;D407)&gt;0,OR(E407&lt;=SUMPRODUCT(MAX((($A$2:$A$497="止损计划")*($B$2:$B$497=B407)*($D$2:$D$497&lt;D407))*$E$2:$E$497)),F407&lt;SUMPRODUCT(MAX((($A$2:$A$497="止损计划")*($B$2:$B$497=B407)*($D$2:$D$497&lt;D407))*$F$2:$F$497)))),"阶段价格必须逐级提高","计划有效"))))))),IF(A407="每日跟踪",IF(OR(B407="",H407="",I407="",J407=""),"每日数据不完整",IF(COUNTIFS($A$2:$A$497,"每日跟踪",$B$2:$B$497,B407,$H$2:$H$497,H407)&gt;1,"同一交易日期重复",IF(AND(R407&lt;&gt;"",R407&lt;S407),"人工止损无效：不能下调","跟踪有效"))),"记录类型无效")))</f>
        <v/>
      </c>
    </row>
    <row r="408" ht="17" spans="1:29">
      <c r="A408" s="2"/>
      <c r="B408" s="2"/>
      <c r="C408" s="8" t="str">
        <f>IF(B408="","",IFERROR(LOOKUP(2,1/(单次交易!$A$2:$A$201=B408),单次交易!$B$2:$B$201),""))</f>
        <v/>
      </c>
      <c r="D408" s="12"/>
      <c r="E408" s="10"/>
      <c r="F408" s="10"/>
      <c r="G408" s="2"/>
      <c r="H408" s="15"/>
      <c r="I408" s="10"/>
      <c r="J408" s="12"/>
      <c r="K408" s="2"/>
      <c r="L408" s="2"/>
      <c r="M408" s="2"/>
      <c r="N408" s="5" t="str">
        <f>IF(B408="","",IFERROR(LOOKUP(2,1/(单次交易!$A$2:$A$201=B408),单次交易!$N$2:$N$201),""))</f>
        <v/>
      </c>
      <c r="O408" s="5" t="str">
        <f t="shared" si="63"/>
        <v/>
      </c>
      <c r="P408" s="11" t="str">
        <f t="shared" si="64"/>
        <v/>
      </c>
      <c r="Q408" s="5" t="str">
        <f t="shared" si="65"/>
        <v/>
      </c>
      <c r="R408" s="10"/>
      <c r="S408" s="5" t="str">
        <f t="shared" si="66"/>
        <v/>
      </c>
      <c r="T408" s="5" t="str">
        <f t="shared" si="67"/>
        <v/>
      </c>
      <c r="U408" s="5" t="str">
        <f t="shared" si="68"/>
        <v/>
      </c>
      <c r="V408" s="7" t="str">
        <f t="shared" si="69"/>
        <v/>
      </c>
      <c r="W408" s="8" t="str">
        <f t="shared" si="70"/>
        <v/>
      </c>
      <c r="X408" s="2"/>
      <c r="Y408" s="10"/>
      <c r="Z408" s="11" t="str">
        <f>IF(X408&lt;&gt;"执行卖出","",IFERROR(LOOKUP(2,1/(单次交易!$A$2:$A$201=B408),单次交易!$AP$2:$AP$201),""))</f>
        <v/>
      </c>
      <c r="AA408" s="10"/>
      <c r="AB408" s="8" t="str">
        <f t="shared" si="71"/>
        <v/>
      </c>
      <c r="AC408" s="8" t="str">
        <f>IF(A408="","",IF(A408="止损计划",IF(OR(B408="",D408="",E408="",F408="",G408=""),"计划不完整",IF(OR(D408&lt;1,D408&lt;&gt;INT(D408)),"阶段序号无效",IF(COUNTIFS($A$2:$A$497,"止损计划",$B$2:$B$497,B408,$D$2:$D$497,D408)&gt;1,"阶段序号重复",IF(E408&lt;=IFERROR(LOOKUP(2,1/(单次交易!$A$2:$A$201=B408),单次交易!$E$2:$E$201),0),"激活价须高于买入价",IF(F408&lt;N408,"止损价不得低于初始止损",IF(F408&gt;E408,"止损价不得高于激活价",IF(AND(COUNTIFS($A$2:$A$497,"止损计划",$B$2:$B$497,B408,$D$2:$D$497,"&lt;"&amp;D408)&gt;0,OR(E408&lt;=SUMPRODUCT(MAX((($A$2:$A$497="止损计划")*($B$2:$B$497=B408)*($D$2:$D$497&lt;D408))*$E$2:$E$497)),F408&lt;SUMPRODUCT(MAX((($A$2:$A$497="止损计划")*($B$2:$B$497=B408)*($D$2:$D$497&lt;D408))*$F$2:$F$497)))),"阶段价格必须逐级提高","计划有效"))))))),IF(A408="每日跟踪",IF(OR(B408="",H408="",I408="",J408=""),"每日数据不完整",IF(COUNTIFS($A$2:$A$497,"每日跟踪",$B$2:$B$497,B408,$H$2:$H$497,H408)&gt;1,"同一交易日期重复",IF(AND(R408&lt;&gt;"",R408&lt;S408),"人工止损无效：不能下调","跟踪有效"))),"记录类型无效")))</f>
        <v/>
      </c>
    </row>
    <row r="409" ht="17" spans="1:29">
      <c r="A409" s="2"/>
      <c r="B409" s="2"/>
      <c r="C409" s="8" t="str">
        <f>IF(B409="","",IFERROR(LOOKUP(2,1/(单次交易!$A$2:$A$201=B409),单次交易!$B$2:$B$201),""))</f>
        <v/>
      </c>
      <c r="D409" s="12"/>
      <c r="E409" s="10"/>
      <c r="F409" s="10"/>
      <c r="G409" s="2"/>
      <c r="H409" s="15"/>
      <c r="I409" s="10"/>
      <c r="J409" s="12"/>
      <c r="K409" s="2"/>
      <c r="L409" s="2"/>
      <c r="M409" s="2"/>
      <c r="N409" s="5" t="str">
        <f>IF(B409="","",IFERROR(LOOKUP(2,1/(单次交易!$A$2:$A$201=B409),单次交易!$N$2:$N$201),""))</f>
        <v/>
      </c>
      <c r="O409" s="5" t="str">
        <f t="shared" si="63"/>
        <v/>
      </c>
      <c r="P409" s="11" t="str">
        <f t="shared" si="64"/>
        <v/>
      </c>
      <c r="Q409" s="5" t="str">
        <f t="shared" si="65"/>
        <v/>
      </c>
      <c r="R409" s="10"/>
      <c r="S409" s="5" t="str">
        <f t="shared" si="66"/>
        <v/>
      </c>
      <c r="T409" s="5" t="str">
        <f t="shared" si="67"/>
        <v/>
      </c>
      <c r="U409" s="5" t="str">
        <f t="shared" si="68"/>
        <v/>
      </c>
      <c r="V409" s="7" t="str">
        <f t="shared" si="69"/>
        <v/>
      </c>
      <c r="W409" s="8" t="str">
        <f t="shared" si="70"/>
        <v/>
      </c>
      <c r="X409" s="2"/>
      <c r="Y409" s="10"/>
      <c r="Z409" s="11" t="str">
        <f>IF(X409&lt;&gt;"执行卖出","",IFERROR(LOOKUP(2,1/(单次交易!$A$2:$A$201=B409),单次交易!$AP$2:$AP$201),""))</f>
        <v/>
      </c>
      <c r="AA409" s="10"/>
      <c r="AB409" s="8" t="str">
        <f t="shared" si="71"/>
        <v/>
      </c>
      <c r="AC409" s="8" t="str">
        <f>IF(A409="","",IF(A409="止损计划",IF(OR(B409="",D409="",E409="",F409="",G409=""),"计划不完整",IF(OR(D409&lt;1,D409&lt;&gt;INT(D409)),"阶段序号无效",IF(COUNTIFS($A$2:$A$497,"止损计划",$B$2:$B$497,B409,$D$2:$D$497,D409)&gt;1,"阶段序号重复",IF(E409&lt;=IFERROR(LOOKUP(2,1/(单次交易!$A$2:$A$201=B409),单次交易!$E$2:$E$201),0),"激活价须高于买入价",IF(F409&lt;N409,"止损价不得低于初始止损",IF(F409&gt;E409,"止损价不得高于激活价",IF(AND(COUNTIFS($A$2:$A$497,"止损计划",$B$2:$B$497,B409,$D$2:$D$497,"&lt;"&amp;D409)&gt;0,OR(E409&lt;=SUMPRODUCT(MAX((($A$2:$A$497="止损计划")*($B$2:$B$497=B409)*($D$2:$D$497&lt;D409))*$E$2:$E$497)),F409&lt;SUMPRODUCT(MAX((($A$2:$A$497="止损计划")*($B$2:$B$497=B409)*($D$2:$D$497&lt;D409))*$F$2:$F$497)))),"阶段价格必须逐级提高","计划有效"))))))),IF(A409="每日跟踪",IF(OR(B409="",H409="",I409="",J409=""),"每日数据不完整",IF(COUNTIFS($A$2:$A$497,"每日跟踪",$B$2:$B$497,B409,$H$2:$H$497,H409)&gt;1,"同一交易日期重复",IF(AND(R409&lt;&gt;"",R409&lt;S409),"人工止损无效：不能下调","跟踪有效"))),"记录类型无效")))</f>
        <v/>
      </c>
    </row>
    <row r="410" ht="17" spans="1:29">
      <c r="A410" s="2"/>
      <c r="B410" s="2"/>
      <c r="C410" s="8" t="str">
        <f>IF(B410="","",IFERROR(LOOKUP(2,1/(单次交易!$A$2:$A$201=B410),单次交易!$B$2:$B$201),""))</f>
        <v/>
      </c>
      <c r="D410" s="12"/>
      <c r="E410" s="10"/>
      <c r="F410" s="10"/>
      <c r="G410" s="2"/>
      <c r="H410" s="15"/>
      <c r="I410" s="10"/>
      <c r="J410" s="12"/>
      <c r="K410" s="2"/>
      <c r="L410" s="2"/>
      <c r="M410" s="2"/>
      <c r="N410" s="5" t="str">
        <f>IF(B410="","",IFERROR(LOOKUP(2,1/(单次交易!$A$2:$A$201=B410),单次交易!$N$2:$N$201),""))</f>
        <v/>
      </c>
      <c r="O410" s="5" t="str">
        <f t="shared" si="63"/>
        <v/>
      </c>
      <c r="P410" s="11" t="str">
        <f t="shared" si="64"/>
        <v/>
      </c>
      <c r="Q410" s="5" t="str">
        <f t="shared" si="65"/>
        <v/>
      </c>
      <c r="R410" s="10"/>
      <c r="S410" s="5" t="str">
        <f t="shared" si="66"/>
        <v/>
      </c>
      <c r="T410" s="5" t="str">
        <f t="shared" si="67"/>
        <v/>
      </c>
      <c r="U410" s="5" t="str">
        <f t="shared" si="68"/>
        <v/>
      </c>
      <c r="V410" s="7" t="str">
        <f t="shared" si="69"/>
        <v/>
      </c>
      <c r="W410" s="8" t="str">
        <f t="shared" si="70"/>
        <v/>
      </c>
      <c r="X410" s="2"/>
      <c r="Y410" s="10"/>
      <c r="Z410" s="11" t="str">
        <f>IF(X410&lt;&gt;"执行卖出","",IFERROR(LOOKUP(2,1/(单次交易!$A$2:$A$201=B410),单次交易!$AP$2:$AP$201),""))</f>
        <v/>
      </c>
      <c r="AA410" s="10"/>
      <c r="AB410" s="8" t="str">
        <f t="shared" si="71"/>
        <v/>
      </c>
      <c r="AC410" s="8" t="str">
        <f>IF(A410="","",IF(A410="止损计划",IF(OR(B410="",D410="",E410="",F410="",G410=""),"计划不完整",IF(OR(D410&lt;1,D410&lt;&gt;INT(D410)),"阶段序号无效",IF(COUNTIFS($A$2:$A$497,"止损计划",$B$2:$B$497,B410,$D$2:$D$497,D410)&gt;1,"阶段序号重复",IF(E410&lt;=IFERROR(LOOKUP(2,1/(单次交易!$A$2:$A$201=B410),单次交易!$E$2:$E$201),0),"激活价须高于买入价",IF(F410&lt;N410,"止损价不得低于初始止损",IF(F410&gt;E410,"止损价不得高于激活价",IF(AND(COUNTIFS($A$2:$A$497,"止损计划",$B$2:$B$497,B410,$D$2:$D$497,"&lt;"&amp;D410)&gt;0,OR(E410&lt;=SUMPRODUCT(MAX((($A$2:$A$497="止损计划")*($B$2:$B$497=B410)*($D$2:$D$497&lt;D410))*$E$2:$E$497)),F410&lt;SUMPRODUCT(MAX((($A$2:$A$497="止损计划")*($B$2:$B$497=B410)*($D$2:$D$497&lt;D410))*$F$2:$F$497)))),"阶段价格必须逐级提高","计划有效"))))))),IF(A410="每日跟踪",IF(OR(B410="",H410="",I410="",J410=""),"每日数据不完整",IF(COUNTIFS($A$2:$A$497,"每日跟踪",$B$2:$B$497,B410,$H$2:$H$497,H410)&gt;1,"同一交易日期重复",IF(AND(R410&lt;&gt;"",R410&lt;S410),"人工止损无效：不能下调","跟踪有效"))),"记录类型无效")))</f>
        <v/>
      </c>
    </row>
    <row r="411" ht="17" spans="1:29">
      <c r="A411" s="2"/>
      <c r="B411" s="2"/>
      <c r="C411" s="8" t="str">
        <f>IF(B411="","",IFERROR(LOOKUP(2,1/(单次交易!$A$2:$A$201=B411),单次交易!$B$2:$B$201),""))</f>
        <v/>
      </c>
      <c r="D411" s="12"/>
      <c r="E411" s="10"/>
      <c r="F411" s="10"/>
      <c r="G411" s="2"/>
      <c r="H411" s="15"/>
      <c r="I411" s="10"/>
      <c r="J411" s="12"/>
      <c r="K411" s="2"/>
      <c r="L411" s="2"/>
      <c r="M411" s="2"/>
      <c r="N411" s="5" t="str">
        <f>IF(B411="","",IFERROR(LOOKUP(2,1/(单次交易!$A$2:$A$201=B411),单次交易!$N$2:$N$201),""))</f>
        <v/>
      </c>
      <c r="O411" s="5" t="str">
        <f t="shared" si="63"/>
        <v/>
      </c>
      <c r="P411" s="11" t="str">
        <f t="shared" si="64"/>
        <v/>
      </c>
      <c r="Q411" s="5" t="str">
        <f t="shared" si="65"/>
        <v/>
      </c>
      <c r="R411" s="10"/>
      <c r="S411" s="5" t="str">
        <f t="shared" si="66"/>
        <v/>
      </c>
      <c r="T411" s="5" t="str">
        <f t="shared" si="67"/>
        <v/>
      </c>
      <c r="U411" s="5" t="str">
        <f t="shared" si="68"/>
        <v/>
      </c>
      <c r="V411" s="7" t="str">
        <f t="shared" si="69"/>
        <v/>
      </c>
      <c r="W411" s="8" t="str">
        <f t="shared" si="70"/>
        <v/>
      </c>
      <c r="X411" s="2"/>
      <c r="Y411" s="10"/>
      <c r="Z411" s="11" t="str">
        <f>IF(X411&lt;&gt;"执行卖出","",IFERROR(LOOKUP(2,1/(单次交易!$A$2:$A$201=B411),单次交易!$AP$2:$AP$201),""))</f>
        <v/>
      </c>
      <c r="AA411" s="10"/>
      <c r="AB411" s="8" t="str">
        <f t="shared" si="71"/>
        <v/>
      </c>
      <c r="AC411" s="8" t="str">
        <f>IF(A411="","",IF(A411="止损计划",IF(OR(B411="",D411="",E411="",F411="",G411=""),"计划不完整",IF(OR(D411&lt;1,D411&lt;&gt;INT(D411)),"阶段序号无效",IF(COUNTIFS($A$2:$A$497,"止损计划",$B$2:$B$497,B411,$D$2:$D$497,D411)&gt;1,"阶段序号重复",IF(E411&lt;=IFERROR(LOOKUP(2,1/(单次交易!$A$2:$A$201=B411),单次交易!$E$2:$E$201),0),"激活价须高于买入价",IF(F411&lt;N411,"止损价不得低于初始止损",IF(F411&gt;E411,"止损价不得高于激活价",IF(AND(COUNTIFS($A$2:$A$497,"止损计划",$B$2:$B$497,B411,$D$2:$D$497,"&lt;"&amp;D411)&gt;0,OR(E411&lt;=SUMPRODUCT(MAX((($A$2:$A$497="止损计划")*($B$2:$B$497=B411)*($D$2:$D$497&lt;D411))*$E$2:$E$497)),F411&lt;SUMPRODUCT(MAX((($A$2:$A$497="止损计划")*($B$2:$B$497=B411)*($D$2:$D$497&lt;D411))*$F$2:$F$497)))),"阶段价格必须逐级提高","计划有效"))))))),IF(A411="每日跟踪",IF(OR(B411="",H411="",I411="",J411=""),"每日数据不完整",IF(COUNTIFS($A$2:$A$497,"每日跟踪",$B$2:$B$497,B411,$H$2:$H$497,H411)&gt;1,"同一交易日期重复",IF(AND(R411&lt;&gt;"",R411&lt;S411),"人工止损无效：不能下调","跟踪有效"))),"记录类型无效")))</f>
        <v/>
      </c>
    </row>
    <row r="412" ht="17" spans="1:29">
      <c r="A412" s="2"/>
      <c r="B412" s="2"/>
      <c r="C412" s="8" t="str">
        <f>IF(B412="","",IFERROR(LOOKUP(2,1/(单次交易!$A$2:$A$201=B412),单次交易!$B$2:$B$201),""))</f>
        <v/>
      </c>
      <c r="D412" s="12"/>
      <c r="E412" s="10"/>
      <c r="F412" s="10"/>
      <c r="G412" s="2"/>
      <c r="H412" s="15"/>
      <c r="I412" s="10"/>
      <c r="J412" s="12"/>
      <c r="K412" s="2"/>
      <c r="L412" s="2"/>
      <c r="M412" s="2"/>
      <c r="N412" s="5" t="str">
        <f>IF(B412="","",IFERROR(LOOKUP(2,1/(单次交易!$A$2:$A$201=B412),单次交易!$N$2:$N$201),""))</f>
        <v/>
      </c>
      <c r="O412" s="5" t="str">
        <f t="shared" si="63"/>
        <v/>
      </c>
      <c r="P412" s="11" t="str">
        <f t="shared" si="64"/>
        <v/>
      </c>
      <c r="Q412" s="5" t="str">
        <f t="shared" si="65"/>
        <v/>
      </c>
      <c r="R412" s="10"/>
      <c r="S412" s="5" t="str">
        <f t="shared" si="66"/>
        <v/>
      </c>
      <c r="T412" s="5" t="str">
        <f t="shared" si="67"/>
        <v/>
      </c>
      <c r="U412" s="5" t="str">
        <f t="shared" si="68"/>
        <v/>
      </c>
      <c r="V412" s="7" t="str">
        <f t="shared" si="69"/>
        <v/>
      </c>
      <c r="W412" s="8" t="str">
        <f t="shared" si="70"/>
        <v/>
      </c>
      <c r="X412" s="2"/>
      <c r="Y412" s="10"/>
      <c r="Z412" s="11" t="str">
        <f>IF(X412&lt;&gt;"执行卖出","",IFERROR(LOOKUP(2,1/(单次交易!$A$2:$A$201=B412),单次交易!$AP$2:$AP$201),""))</f>
        <v/>
      </c>
      <c r="AA412" s="10"/>
      <c r="AB412" s="8" t="str">
        <f t="shared" si="71"/>
        <v/>
      </c>
      <c r="AC412" s="8" t="str">
        <f>IF(A412="","",IF(A412="止损计划",IF(OR(B412="",D412="",E412="",F412="",G412=""),"计划不完整",IF(OR(D412&lt;1,D412&lt;&gt;INT(D412)),"阶段序号无效",IF(COUNTIFS($A$2:$A$497,"止损计划",$B$2:$B$497,B412,$D$2:$D$497,D412)&gt;1,"阶段序号重复",IF(E412&lt;=IFERROR(LOOKUP(2,1/(单次交易!$A$2:$A$201=B412),单次交易!$E$2:$E$201),0),"激活价须高于买入价",IF(F412&lt;N412,"止损价不得低于初始止损",IF(F412&gt;E412,"止损价不得高于激活价",IF(AND(COUNTIFS($A$2:$A$497,"止损计划",$B$2:$B$497,B412,$D$2:$D$497,"&lt;"&amp;D412)&gt;0,OR(E412&lt;=SUMPRODUCT(MAX((($A$2:$A$497="止损计划")*($B$2:$B$497=B412)*($D$2:$D$497&lt;D412))*$E$2:$E$497)),F412&lt;SUMPRODUCT(MAX((($A$2:$A$497="止损计划")*($B$2:$B$497=B412)*($D$2:$D$497&lt;D412))*$F$2:$F$497)))),"阶段价格必须逐级提高","计划有效"))))))),IF(A412="每日跟踪",IF(OR(B412="",H412="",I412="",J412=""),"每日数据不完整",IF(COUNTIFS($A$2:$A$497,"每日跟踪",$B$2:$B$497,B412,$H$2:$H$497,H412)&gt;1,"同一交易日期重复",IF(AND(R412&lt;&gt;"",R412&lt;S412),"人工止损无效：不能下调","跟踪有效"))),"记录类型无效")))</f>
        <v/>
      </c>
    </row>
    <row r="413" ht="17" spans="1:29">
      <c r="A413" s="2"/>
      <c r="B413" s="2"/>
      <c r="C413" s="8" t="str">
        <f>IF(B413="","",IFERROR(LOOKUP(2,1/(单次交易!$A$2:$A$201=B413),单次交易!$B$2:$B$201),""))</f>
        <v/>
      </c>
      <c r="D413" s="12"/>
      <c r="E413" s="10"/>
      <c r="F413" s="10"/>
      <c r="G413" s="2"/>
      <c r="H413" s="15"/>
      <c r="I413" s="10"/>
      <c r="J413" s="12"/>
      <c r="K413" s="2"/>
      <c r="L413" s="2"/>
      <c r="M413" s="2"/>
      <c r="N413" s="5" t="str">
        <f>IF(B413="","",IFERROR(LOOKUP(2,1/(单次交易!$A$2:$A$201=B413),单次交易!$N$2:$N$201),""))</f>
        <v/>
      </c>
      <c r="O413" s="5" t="str">
        <f t="shared" si="63"/>
        <v/>
      </c>
      <c r="P413" s="11" t="str">
        <f t="shared" si="64"/>
        <v/>
      </c>
      <c r="Q413" s="5" t="str">
        <f t="shared" si="65"/>
        <v/>
      </c>
      <c r="R413" s="10"/>
      <c r="S413" s="5" t="str">
        <f t="shared" si="66"/>
        <v/>
      </c>
      <c r="T413" s="5" t="str">
        <f t="shared" si="67"/>
        <v/>
      </c>
      <c r="U413" s="5" t="str">
        <f t="shared" si="68"/>
        <v/>
      </c>
      <c r="V413" s="7" t="str">
        <f t="shared" si="69"/>
        <v/>
      </c>
      <c r="W413" s="8" t="str">
        <f t="shared" si="70"/>
        <v/>
      </c>
      <c r="X413" s="2"/>
      <c r="Y413" s="10"/>
      <c r="Z413" s="11" t="str">
        <f>IF(X413&lt;&gt;"执行卖出","",IFERROR(LOOKUP(2,1/(单次交易!$A$2:$A$201=B413),单次交易!$AP$2:$AP$201),""))</f>
        <v/>
      </c>
      <c r="AA413" s="10"/>
      <c r="AB413" s="8" t="str">
        <f t="shared" si="71"/>
        <v/>
      </c>
      <c r="AC413" s="8" t="str">
        <f>IF(A413="","",IF(A413="止损计划",IF(OR(B413="",D413="",E413="",F413="",G413=""),"计划不完整",IF(OR(D413&lt;1,D413&lt;&gt;INT(D413)),"阶段序号无效",IF(COUNTIFS($A$2:$A$497,"止损计划",$B$2:$B$497,B413,$D$2:$D$497,D413)&gt;1,"阶段序号重复",IF(E413&lt;=IFERROR(LOOKUP(2,1/(单次交易!$A$2:$A$201=B413),单次交易!$E$2:$E$201),0),"激活价须高于买入价",IF(F413&lt;N413,"止损价不得低于初始止损",IF(F413&gt;E413,"止损价不得高于激活价",IF(AND(COUNTIFS($A$2:$A$497,"止损计划",$B$2:$B$497,B413,$D$2:$D$497,"&lt;"&amp;D413)&gt;0,OR(E413&lt;=SUMPRODUCT(MAX((($A$2:$A$497="止损计划")*($B$2:$B$497=B413)*($D$2:$D$497&lt;D413))*$E$2:$E$497)),F413&lt;SUMPRODUCT(MAX((($A$2:$A$497="止损计划")*($B$2:$B$497=B413)*($D$2:$D$497&lt;D413))*$F$2:$F$497)))),"阶段价格必须逐级提高","计划有效"))))))),IF(A413="每日跟踪",IF(OR(B413="",H413="",I413="",J413=""),"每日数据不完整",IF(COUNTIFS($A$2:$A$497,"每日跟踪",$B$2:$B$497,B413,$H$2:$H$497,H413)&gt;1,"同一交易日期重复",IF(AND(R413&lt;&gt;"",R413&lt;S413),"人工止损无效：不能下调","跟踪有效"))),"记录类型无效")))</f>
        <v/>
      </c>
    </row>
    <row r="414" ht="17" spans="1:29">
      <c r="A414" s="2"/>
      <c r="B414" s="2"/>
      <c r="C414" s="8" t="str">
        <f>IF(B414="","",IFERROR(LOOKUP(2,1/(单次交易!$A$2:$A$201=B414),单次交易!$B$2:$B$201),""))</f>
        <v/>
      </c>
      <c r="D414" s="12"/>
      <c r="E414" s="10"/>
      <c r="F414" s="10"/>
      <c r="G414" s="2"/>
      <c r="H414" s="15"/>
      <c r="I414" s="10"/>
      <c r="J414" s="12"/>
      <c r="K414" s="2"/>
      <c r="L414" s="2"/>
      <c r="M414" s="2"/>
      <c r="N414" s="5" t="str">
        <f>IF(B414="","",IFERROR(LOOKUP(2,1/(单次交易!$A$2:$A$201=B414),单次交易!$N$2:$N$201),""))</f>
        <v/>
      </c>
      <c r="O414" s="5" t="str">
        <f t="shared" si="63"/>
        <v/>
      </c>
      <c r="P414" s="11" t="str">
        <f t="shared" si="64"/>
        <v/>
      </c>
      <c r="Q414" s="5" t="str">
        <f t="shared" si="65"/>
        <v/>
      </c>
      <c r="R414" s="10"/>
      <c r="S414" s="5" t="str">
        <f t="shared" si="66"/>
        <v/>
      </c>
      <c r="T414" s="5" t="str">
        <f t="shared" si="67"/>
        <v/>
      </c>
      <c r="U414" s="5" t="str">
        <f t="shared" si="68"/>
        <v/>
      </c>
      <c r="V414" s="7" t="str">
        <f t="shared" si="69"/>
        <v/>
      </c>
      <c r="W414" s="8" t="str">
        <f t="shared" si="70"/>
        <v/>
      </c>
      <c r="X414" s="2"/>
      <c r="Y414" s="10"/>
      <c r="Z414" s="11" t="str">
        <f>IF(X414&lt;&gt;"执行卖出","",IFERROR(LOOKUP(2,1/(单次交易!$A$2:$A$201=B414),单次交易!$AP$2:$AP$201),""))</f>
        <v/>
      </c>
      <c r="AA414" s="10"/>
      <c r="AB414" s="8" t="str">
        <f t="shared" si="71"/>
        <v/>
      </c>
      <c r="AC414" s="8" t="str">
        <f>IF(A414="","",IF(A414="止损计划",IF(OR(B414="",D414="",E414="",F414="",G414=""),"计划不完整",IF(OR(D414&lt;1,D414&lt;&gt;INT(D414)),"阶段序号无效",IF(COUNTIFS($A$2:$A$497,"止损计划",$B$2:$B$497,B414,$D$2:$D$497,D414)&gt;1,"阶段序号重复",IF(E414&lt;=IFERROR(LOOKUP(2,1/(单次交易!$A$2:$A$201=B414),单次交易!$E$2:$E$201),0),"激活价须高于买入价",IF(F414&lt;N414,"止损价不得低于初始止损",IF(F414&gt;E414,"止损价不得高于激活价",IF(AND(COUNTIFS($A$2:$A$497,"止损计划",$B$2:$B$497,B414,$D$2:$D$497,"&lt;"&amp;D414)&gt;0,OR(E414&lt;=SUMPRODUCT(MAX((($A$2:$A$497="止损计划")*($B$2:$B$497=B414)*($D$2:$D$497&lt;D414))*$E$2:$E$497)),F414&lt;SUMPRODUCT(MAX((($A$2:$A$497="止损计划")*($B$2:$B$497=B414)*($D$2:$D$497&lt;D414))*$F$2:$F$497)))),"阶段价格必须逐级提高","计划有效"))))))),IF(A414="每日跟踪",IF(OR(B414="",H414="",I414="",J414=""),"每日数据不完整",IF(COUNTIFS($A$2:$A$497,"每日跟踪",$B$2:$B$497,B414,$H$2:$H$497,H414)&gt;1,"同一交易日期重复",IF(AND(R414&lt;&gt;"",R414&lt;S414),"人工止损无效：不能下调","跟踪有效"))),"记录类型无效")))</f>
        <v/>
      </c>
    </row>
    <row r="415" ht="17" spans="1:29">
      <c r="A415" s="2"/>
      <c r="B415" s="2"/>
      <c r="C415" s="8" t="str">
        <f>IF(B415="","",IFERROR(LOOKUP(2,1/(单次交易!$A$2:$A$201=B415),单次交易!$B$2:$B$201),""))</f>
        <v/>
      </c>
      <c r="D415" s="12"/>
      <c r="E415" s="10"/>
      <c r="F415" s="10"/>
      <c r="G415" s="2"/>
      <c r="H415" s="15"/>
      <c r="I415" s="10"/>
      <c r="J415" s="12"/>
      <c r="K415" s="2"/>
      <c r="L415" s="2"/>
      <c r="M415" s="2"/>
      <c r="N415" s="5" t="str">
        <f>IF(B415="","",IFERROR(LOOKUP(2,1/(单次交易!$A$2:$A$201=B415),单次交易!$N$2:$N$201),""))</f>
        <v/>
      </c>
      <c r="O415" s="5" t="str">
        <f t="shared" si="63"/>
        <v/>
      </c>
      <c r="P415" s="11" t="str">
        <f t="shared" si="64"/>
        <v/>
      </c>
      <c r="Q415" s="5" t="str">
        <f t="shared" si="65"/>
        <v/>
      </c>
      <c r="R415" s="10"/>
      <c r="S415" s="5" t="str">
        <f t="shared" si="66"/>
        <v/>
      </c>
      <c r="T415" s="5" t="str">
        <f t="shared" si="67"/>
        <v/>
      </c>
      <c r="U415" s="5" t="str">
        <f t="shared" si="68"/>
        <v/>
      </c>
      <c r="V415" s="7" t="str">
        <f t="shared" si="69"/>
        <v/>
      </c>
      <c r="W415" s="8" t="str">
        <f t="shared" si="70"/>
        <v/>
      </c>
      <c r="X415" s="2"/>
      <c r="Y415" s="10"/>
      <c r="Z415" s="11" t="str">
        <f>IF(X415&lt;&gt;"执行卖出","",IFERROR(LOOKUP(2,1/(单次交易!$A$2:$A$201=B415),单次交易!$AP$2:$AP$201),""))</f>
        <v/>
      </c>
      <c r="AA415" s="10"/>
      <c r="AB415" s="8" t="str">
        <f t="shared" si="71"/>
        <v/>
      </c>
      <c r="AC415" s="8" t="str">
        <f>IF(A415="","",IF(A415="止损计划",IF(OR(B415="",D415="",E415="",F415="",G415=""),"计划不完整",IF(OR(D415&lt;1,D415&lt;&gt;INT(D415)),"阶段序号无效",IF(COUNTIFS($A$2:$A$497,"止损计划",$B$2:$B$497,B415,$D$2:$D$497,D415)&gt;1,"阶段序号重复",IF(E415&lt;=IFERROR(LOOKUP(2,1/(单次交易!$A$2:$A$201=B415),单次交易!$E$2:$E$201),0),"激活价须高于买入价",IF(F415&lt;N415,"止损价不得低于初始止损",IF(F415&gt;E415,"止损价不得高于激活价",IF(AND(COUNTIFS($A$2:$A$497,"止损计划",$B$2:$B$497,B415,$D$2:$D$497,"&lt;"&amp;D415)&gt;0,OR(E415&lt;=SUMPRODUCT(MAX((($A$2:$A$497="止损计划")*($B$2:$B$497=B415)*($D$2:$D$497&lt;D415))*$E$2:$E$497)),F415&lt;SUMPRODUCT(MAX((($A$2:$A$497="止损计划")*($B$2:$B$497=B415)*($D$2:$D$497&lt;D415))*$F$2:$F$497)))),"阶段价格必须逐级提高","计划有效"))))))),IF(A415="每日跟踪",IF(OR(B415="",H415="",I415="",J415=""),"每日数据不完整",IF(COUNTIFS($A$2:$A$497,"每日跟踪",$B$2:$B$497,B415,$H$2:$H$497,H415)&gt;1,"同一交易日期重复",IF(AND(R415&lt;&gt;"",R415&lt;S415),"人工止损无效：不能下调","跟踪有效"))),"记录类型无效")))</f>
        <v/>
      </c>
    </row>
    <row r="416" ht="17" spans="1:29">
      <c r="A416" s="2"/>
      <c r="B416" s="2"/>
      <c r="C416" s="8" t="str">
        <f>IF(B416="","",IFERROR(LOOKUP(2,1/(单次交易!$A$2:$A$201=B416),单次交易!$B$2:$B$201),""))</f>
        <v/>
      </c>
      <c r="D416" s="12"/>
      <c r="E416" s="10"/>
      <c r="F416" s="10"/>
      <c r="G416" s="2"/>
      <c r="H416" s="15"/>
      <c r="I416" s="10"/>
      <c r="J416" s="12"/>
      <c r="K416" s="2"/>
      <c r="L416" s="2"/>
      <c r="M416" s="2"/>
      <c r="N416" s="5" t="str">
        <f>IF(B416="","",IFERROR(LOOKUP(2,1/(单次交易!$A$2:$A$201=B416),单次交易!$N$2:$N$201),""))</f>
        <v/>
      </c>
      <c r="O416" s="5" t="str">
        <f t="shared" si="63"/>
        <v/>
      </c>
      <c r="P416" s="11" t="str">
        <f t="shared" si="64"/>
        <v/>
      </c>
      <c r="Q416" s="5" t="str">
        <f t="shared" si="65"/>
        <v/>
      </c>
      <c r="R416" s="10"/>
      <c r="S416" s="5" t="str">
        <f t="shared" si="66"/>
        <v/>
      </c>
      <c r="T416" s="5" t="str">
        <f t="shared" si="67"/>
        <v/>
      </c>
      <c r="U416" s="5" t="str">
        <f t="shared" si="68"/>
        <v/>
      </c>
      <c r="V416" s="7" t="str">
        <f t="shared" si="69"/>
        <v/>
      </c>
      <c r="W416" s="8" t="str">
        <f t="shared" si="70"/>
        <v/>
      </c>
      <c r="X416" s="2"/>
      <c r="Y416" s="10"/>
      <c r="Z416" s="11" t="str">
        <f>IF(X416&lt;&gt;"执行卖出","",IFERROR(LOOKUP(2,1/(单次交易!$A$2:$A$201=B416),单次交易!$AP$2:$AP$201),""))</f>
        <v/>
      </c>
      <c r="AA416" s="10"/>
      <c r="AB416" s="8" t="str">
        <f t="shared" si="71"/>
        <v/>
      </c>
      <c r="AC416" s="8" t="str">
        <f>IF(A416="","",IF(A416="止损计划",IF(OR(B416="",D416="",E416="",F416="",G416=""),"计划不完整",IF(OR(D416&lt;1,D416&lt;&gt;INT(D416)),"阶段序号无效",IF(COUNTIFS($A$2:$A$497,"止损计划",$B$2:$B$497,B416,$D$2:$D$497,D416)&gt;1,"阶段序号重复",IF(E416&lt;=IFERROR(LOOKUP(2,1/(单次交易!$A$2:$A$201=B416),单次交易!$E$2:$E$201),0),"激活价须高于买入价",IF(F416&lt;N416,"止损价不得低于初始止损",IF(F416&gt;E416,"止损价不得高于激活价",IF(AND(COUNTIFS($A$2:$A$497,"止损计划",$B$2:$B$497,B416,$D$2:$D$497,"&lt;"&amp;D416)&gt;0,OR(E416&lt;=SUMPRODUCT(MAX((($A$2:$A$497="止损计划")*($B$2:$B$497=B416)*($D$2:$D$497&lt;D416))*$E$2:$E$497)),F416&lt;SUMPRODUCT(MAX((($A$2:$A$497="止损计划")*($B$2:$B$497=B416)*($D$2:$D$497&lt;D416))*$F$2:$F$497)))),"阶段价格必须逐级提高","计划有效"))))))),IF(A416="每日跟踪",IF(OR(B416="",H416="",I416="",J416=""),"每日数据不完整",IF(COUNTIFS($A$2:$A$497,"每日跟踪",$B$2:$B$497,B416,$H$2:$H$497,H416)&gt;1,"同一交易日期重复",IF(AND(R416&lt;&gt;"",R416&lt;S416),"人工止损无效：不能下调","跟踪有效"))),"记录类型无效")))</f>
        <v/>
      </c>
    </row>
    <row r="417" ht="17" spans="1:29">
      <c r="A417" s="2"/>
      <c r="B417" s="2"/>
      <c r="C417" s="8" t="str">
        <f>IF(B417="","",IFERROR(LOOKUP(2,1/(单次交易!$A$2:$A$201=B417),单次交易!$B$2:$B$201),""))</f>
        <v/>
      </c>
      <c r="D417" s="12"/>
      <c r="E417" s="10"/>
      <c r="F417" s="10"/>
      <c r="G417" s="2"/>
      <c r="H417" s="15"/>
      <c r="I417" s="10"/>
      <c r="J417" s="12"/>
      <c r="K417" s="2"/>
      <c r="L417" s="2"/>
      <c r="M417" s="2"/>
      <c r="N417" s="5" t="str">
        <f>IF(B417="","",IFERROR(LOOKUP(2,1/(单次交易!$A$2:$A$201=B417),单次交易!$N$2:$N$201),""))</f>
        <v/>
      </c>
      <c r="O417" s="5" t="str">
        <f t="shared" si="63"/>
        <v/>
      </c>
      <c r="P417" s="11" t="str">
        <f t="shared" si="64"/>
        <v/>
      </c>
      <c r="Q417" s="5" t="str">
        <f t="shared" si="65"/>
        <v/>
      </c>
      <c r="R417" s="10"/>
      <c r="S417" s="5" t="str">
        <f t="shared" si="66"/>
        <v/>
      </c>
      <c r="T417" s="5" t="str">
        <f t="shared" si="67"/>
        <v/>
      </c>
      <c r="U417" s="5" t="str">
        <f t="shared" si="68"/>
        <v/>
      </c>
      <c r="V417" s="7" t="str">
        <f t="shared" si="69"/>
        <v/>
      </c>
      <c r="W417" s="8" t="str">
        <f t="shared" si="70"/>
        <v/>
      </c>
      <c r="X417" s="2"/>
      <c r="Y417" s="10"/>
      <c r="Z417" s="11" t="str">
        <f>IF(X417&lt;&gt;"执行卖出","",IFERROR(LOOKUP(2,1/(单次交易!$A$2:$A$201=B417),单次交易!$AP$2:$AP$201),""))</f>
        <v/>
      </c>
      <c r="AA417" s="10"/>
      <c r="AB417" s="8" t="str">
        <f t="shared" si="71"/>
        <v/>
      </c>
      <c r="AC417" s="8" t="str">
        <f>IF(A417="","",IF(A417="止损计划",IF(OR(B417="",D417="",E417="",F417="",G417=""),"计划不完整",IF(OR(D417&lt;1,D417&lt;&gt;INT(D417)),"阶段序号无效",IF(COUNTIFS($A$2:$A$497,"止损计划",$B$2:$B$497,B417,$D$2:$D$497,D417)&gt;1,"阶段序号重复",IF(E417&lt;=IFERROR(LOOKUP(2,1/(单次交易!$A$2:$A$201=B417),单次交易!$E$2:$E$201),0),"激活价须高于买入价",IF(F417&lt;N417,"止损价不得低于初始止损",IF(F417&gt;E417,"止损价不得高于激活价",IF(AND(COUNTIFS($A$2:$A$497,"止损计划",$B$2:$B$497,B417,$D$2:$D$497,"&lt;"&amp;D417)&gt;0,OR(E417&lt;=SUMPRODUCT(MAX((($A$2:$A$497="止损计划")*($B$2:$B$497=B417)*($D$2:$D$497&lt;D417))*$E$2:$E$497)),F417&lt;SUMPRODUCT(MAX((($A$2:$A$497="止损计划")*($B$2:$B$497=B417)*($D$2:$D$497&lt;D417))*$F$2:$F$497)))),"阶段价格必须逐级提高","计划有效"))))))),IF(A417="每日跟踪",IF(OR(B417="",H417="",I417="",J417=""),"每日数据不完整",IF(COUNTIFS($A$2:$A$497,"每日跟踪",$B$2:$B$497,B417,$H$2:$H$497,H417)&gt;1,"同一交易日期重复",IF(AND(R417&lt;&gt;"",R417&lt;S417),"人工止损无效：不能下调","跟踪有效"))),"记录类型无效")))</f>
        <v/>
      </c>
    </row>
    <row r="418" ht="17" spans="1:29">
      <c r="A418" s="2"/>
      <c r="B418" s="2"/>
      <c r="C418" s="8" t="str">
        <f>IF(B418="","",IFERROR(LOOKUP(2,1/(单次交易!$A$2:$A$201=B418),单次交易!$B$2:$B$201),""))</f>
        <v/>
      </c>
      <c r="D418" s="12"/>
      <c r="E418" s="10"/>
      <c r="F418" s="10"/>
      <c r="G418" s="2"/>
      <c r="H418" s="15"/>
      <c r="I418" s="10"/>
      <c r="J418" s="12"/>
      <c r="K418" s="2"/>
      <c r="L418" s="2"/>
      <c r="M418" s="2"/>
      <c r="N418" s="5" t="str">
        <f>IF(B418="","",IFERROR(LOOKUP(2,1/(单次交易!$A$2:$A$201=B418),单次交易!$N$2:$N$201),""))</f>
        <v/>
      </c>
      <c r="O418" s="5" t="str">
        <f t="shared" si="63"/>
        <v/>
      </c>
      <c r="P418" s="11" t="str">
        <f t="shared" si="64"/>
        <v/>
      </c>
      <c r="Q418" s="5" t="str">
        <f t="shared" si="65"/>
        <v/>
      </c>
      <c r="R418" s="10"/>
      <c r="S418" s="5" t="str">
        <f t="shared" si="66"/>
        <v/>
      </c>
      <c r="T418" s="5" t="str">
        <f t="shared" si="67"/>
        <v/>
      </c>
      <c r="U418" s="5" t="str">
        <f t="shared" si="68"/>
        <v/>
      </c>
      <c r="V418" s="7" t="str">
        <f t="shared" si="69"/>
        <v/>
      </c>
      <c r="W418" s="8" t="str">
        <f t="shared" si="70"/>
        <v/>
      </c>
      <c r="X418" s="2"/>
      <c r="Y418" s="10"/>
      <c r="Z418" s="11" t="str">
        <f>IF(X418&lt;&gt;"执行卖出","",IFERROR(LOOKUP(2,1/(单次交易!$A$2:$A$201=B418),单次交易!$AP$2:$AP$201),""))</f>
        <v/>
      </c>
      <c r="AA418" s="10"/>
      <c r="AB418" s="8" t="str">
        <f t="shared" si="71"/>
        <v/>
      </c>
      <c r="AC418" s="8" t="str">
        <f>IF(A418="","",IF(A418="止损计划",IF(OR(B418="",D418="",E418="",F418="",G418=""),"计划不完整",IF(OR(D418&lt;1,D418&lt;&gt;INT(D418)),"阶段序号无效",IF(COUNTIFS($A$2:$A$497,"止损计划",$B$2:$B$497,B418,$D$2:$D$497,D418)&gt;1,"阶段序号重复",IF(E418&lt;=IFERROR(LOOKUP(2,1/(单次交易!$A$2:$A$201=B418),单次交易!$E$2:$E$201),0),"激活价须高于买入价",IF(F418&lt;N418,"止损价不得低于初始止损",IF(F418&gt;E418,"止损价不得高于激活价",IF(AND(COUNTIFS($A$2:$A$497,"止损计划",$B$2:$B$497,B418,$D$2:$D$497,"&lt;"&amp;D418)&gt;0,OR(E418&lt;=SUMPRODUCT(MAX((($A$2:$A$497="止损计划")*($B$2:$B$497=B418)*($D$2:$D$497&lt;D418))*$E$2:$E$497)),F418&lt;SUMPRODUCT(MAX((($A$2:$A$497="止损计划")*($B$2:$B$497=B418)*($D$2:$D$497&lt;D418))*$F$2:$F$497)))),"阶段价格必须逐级提高","计划有效"))))))),IF(A418="每日跟踪",IF(OR(B418="",H418="",I418="",J418=""),"每日数据不完整",IF(COUNTIFS($A$2:$A$497,"每日跟踪",$B$2:$B$497,B418,$H$2:$H$497,H418)&gt;1,"同一交易日期重复",IF(AND(R418&lt;&gt;"",R418&lt;S418),"人工止损无效：不能下调","跟踪有效"))),"记录类型无效")))</f>
        <v/>
      </c>
    </row>
    <row r="419" ht="17" spans="1:29">
      <c r="A419" s="2"/>
      <c r="B419" s="2"/>
      <c r="C419" s="8" t="str">
        <f>IF(B419="","",IFERROR(LOOKUP(2,1/(单次交易!$A$2:$A$201=B419),单次交易!$B$2:$B$201),""))</f>
        <v/>
      </c>
      <c r="D419" s="12"/>
      <c r="E419" s="10"/>
      <c r="F419" s="10"/>
      <c r="G419" s="2"/>
      <c r="H419" s="15"/>
      <c r="I419" s="10"/>
      <c r="J419" s="12"/>
      <c r="K419" s="2"/>
      <c r="L419" s="2"/>
      <c r="M419" s="2"/>
      <c r="N419" s="5" t="str">
        <f>IF(B419="","",IFERROR(LOOKUP(2,1/(单次交易!$A$2:$A$201=B419),单次交易!$N$2:$N$201),""))</f>
        <v/>
      </c>
      <c r="O419" s="5" t="str">
        <f t="shared" si="63"/>
        <v/>
      </c>
      <c r="P419" s="11" t="str">
        <f t="shared" si="64"/>
        <v/>
      </c>
      <c r="Q419" s="5" t="str">
        <f t="shared" si="65"/>
        <v/>
      </c>
      <c r="R419" s="10"/>
      <c r="S419" s="5" t="str">
        <f t="shared" si="66"/>
        <v/>
      </c>
      <c r="T419" s="5" t="str">
        <f t="shared" si="67"/>
        <v/>
      </c>
      <c r="U419" s="5" t="str">
        <f t="shared" si="68"/>
        <v/>
      </c>
      <c r="V419" s="7" t="str">
        <f t="shared" si="69"/>
        <v/>
      </c>
      <c r="W419" s="8" t="str">
        <f t="shared" si="70"/>
        <v/>
      </c>
      <c r="X419" s="2"/>
      <c r="Y419" s="10"/>
      <c r="Z419" s="11" t="str">
        <f>IF(X419&lt;&gt;"执行卖出","",IFERROR(LOOKUP(2,1/(单次交易!$A$2:$A$201=B419),单次交易!$AP$2:$AP$201),""))</f>
        <v/>
      </c>
      <c r="AA419" s="10"/>
      <c r="AB419" s="8" t="str">
        <f t="shared" si="71"/>
        <v/>
      </c>
      <c r="AC419" s="8" t="str">
        <f>IF(A419="","",IF(A419="止损计划",IF(OR(B419="",D419="",E419="",F419="",G419=""),"计划不完整",IF(OR(D419&lt;1,D419&lt;&gt;INT(D419)),"阶段序号无效",IF(COUNTIFS($A$2:$A$497,"止损计划",$B$2:$B$497,B419,$D$2:$D$497,D419)&gt;1,"阶段序号重复",IF(E419&lt;=IFERROR(LOOKUP(2,1/(单次交易!$A$2:$A$201=B419),单次交易!$E$2:$E$201),0),"激活价须高于买入价",IF(F419&lt;N419,"止损价不得低于初始止损",IF(F419&gt;E419,"止损价不得高于激活价",IF(AND(COUNTIFS($A$2:$A$497,"止损计划",$B$2:$B$497,B419,$D$2:$D$497,"&lt;"&amp;D419)&gt;0,OR(E419&lt;=SUMPRODUCT(MAX((($A$2:$A$497="止损计划")*($B$2:$B$497=B419)*($D$2:$D$497&lt;D419))*$E$2:$E$497)),F419&lt;SUMPRODUCT(MAX((($A$2:$A$497="止损计划")*($B$2:$B$497=B419)*($D$2:$D$497&lt;D419))*$F$2:$F$497)))),"阶段价格必须逐级提高","计划有效"))))))),IF(A419="每日跟踪",IF(OR(B419="",H419="",I419="",J419=""),"每日数据不完整",IF(COUNTIFS($A$2:$A$497,"每日跟踪",$B$2:$B$497,B419,$H$2:$H$497,H419)&gt;1,"同一交易日期重复",IF(AND(R419&lt;&gt;"",R419&lt;S419),"人工止损无效：不能下调","跟踪有效"))),"记录类型无效")))</f>
        <v/>
      </c>
    </row>
    <row r="420" ht="17" spans="1:29">
      <c r="A420" s="2"/>
      <c r="B420" s="2"/>
      <c r="C420" s="8" t="str">
        <f>IF(B420="","",IFERROR(LOOKUP(2,1/(单次交易!$A$2:$A$201=B420),单次交易!$B$2:$B$201),""))</f>
        <v/>
      </c>
      <c r="D420" s="12"/>
      <c r="E420" s="10"/>
      <c r="F420" s="10"/>
      <c r="G420" s="2"/>
      <c r="H420" s="15"/>
      <c r="I420" s="10"/>
      <c r="J420" s="12"/>
      <c r="K420" s="2"/>
      <c r="L420" s="2"/>
      <c r="M420" s="2"/>
      <c r="N420" s="5" t="str">
        <f>IF(B420="","",IFERROR(LOOKUP(2,1/(单次交易!$A$2:$A$201=B420),单次交易!$N$2:$N$201),""))</f>
        <v/>
      </c>
      <c r="O420" s="5" t="str">
        <f t="shared" si="63"/>
        <v/>
      </c>
      <c r="P420" s="11" t="str">
        <f t="shared" si="64"/>
        <v/>
      </c>
      <c r="Q420" s="5" t="str">
        <f t="shared" si="65"/>
        <v/>
      </c>
      <c r="R420" s="10"/>
      <c r="S420" s="5" t="str">
        <f t="shared" si="66"/>
        <v/>
      </c>
      <c r="T420" s="5" t="str">
        <f t="shared" si="67"/>
        <v/>
      </c>
      <c r="U420" s="5" t="str">
        <f t="shared" si="68"/>
        <v/>
      </c>
      <c r="V420" s="7" t="str">
        <f t="shared" si="69"/>
        <v/>
      </c>
      <c r="W420" s="8" t="str">
        <f t="shared" si="70"/>
        <v/>
      </c>
      <c r="X420" s="2"/>
      <c r="Y420" s="10"/>
      <c r="Z420" s="11" t="str">
        <f>IF(X420&lt;&gt;"执行卖出","",IFERROR(LOOKUP(2,1/(单次交易!$A$2:$A$201=B420),单次交易!$AP$2:$AP$201),""))</f>
        <v/>
      </c>
      <c r="AA420" s="10"/>
      <c r="AB420" s="8" t="str">
        <f t="shared" si="71"/>
        <v/>
      </c>
      <c r="AC420" s="8" t="str">
        <f>IF(A420="","",IF(A420="止损计划",IF(OR(B420="",D420="",E420="",F420="",G420=""),"计划不完整",IF(OR(D420&lt;1,D420&lt;&gt;INT(D420)),"阶段序号无效",IF(COUNTIFS($A$2:$A$497,"止损计划",$B$2:$B$497,B420,$D$2:$D$497,D420)&gt;1,"阶段序号重复",IF(E420&lt;=IFERROR(LOOKUP(2,1/(单次交易!$A$2:$A$201=B420),单次交易!$E$2:$E$201),0),"激活价须高于买入价",IF(F420&lt;N420,"止损价不得低于初始止损",IF(F420&gt;E420,"止损价不得高于激活价",IF(AND(COUNTIFS($A$2:$A$497,"止损计划",$B$2:$B$497,B420,$D$2:$D$497,"&lt;"&amp;D420)&gt;0,OR(E420&lt;=SUMPRODUCT(MAX((($A$2:$A$497="止损计划")*($B$2:$B$497=B420)*($D$2:$D$497&lt;D420))*$E$2:$E$497)),F420&lt;SUMPRODUCT(MAX((($A$2:$A$497="止损计划")*($B$2:$B$497=B420)*($D$2:$D$497&lt;D420))*$F$2:$F$497)))),"阶段价格必须逐级提高","计划有效"))))))),IF(A420="每日跟踪",IF(OR(B420="",H420="",I420="",J420=""),"每日数据不完整",IF(COUNTIFS($A$2:$A$497,"每日跟踪",$B$2:$B$497,B420,$H$2:$H$497,H420)&gt;1,"同一交易日期重复",IF(AND(R420&lt;&gt;"",R420&lt;S420),"人工止损无效：不能下调","跟踪有效"))),"记录类型无效")))</f>
        <v/>
      </c>
    </row>
    <row r="421" ht="17" spans="1:29">
      <c r="A421" s="2"/>
      <c r="B421" s="2"/>
      <c r="C421" s="8" t="str">
        <f>IF(B421="","",IFERROR(LOOKUP(2,1/(单次交易!$A$2:$A$201=B421),单次交易!$B$2:$B$201),""))</f>
        <v/>
      </c>
      <c r="D421" s="12"/>
      <c r="E421" s="10"/>
      <c r="F421" s="10"/>
      <c r="G421" s="2"/>
      <c r="H421" s="15"/>
      <c r="I421" s="10"/>
      <c r="J421" s="12"/>
      <c r="K421" s="2"/>
      <c r="L421" s="2"/>
      <c r="M421" s="2"/>
      <c r="N421" s="5" t="str">
        <f>IF(B421="","",IFERROR(LOOKUP(2,1/(单次交易!$A$2:$A$201=B421),单次交易!$N$2:$N$201),""))</f>
        <v/>
      </c>
      <c r="O421" s="5" t="str">
        <f t="shared" si="63"/>
        <v/>
      </c>
      <c r="P421" s="11" t="str">
        <f t="shared" si="64"/>
        <v/>
      </c>
      <c r="Q421" s="5" t="str">
        <f t="shared" si="65"/>
        <v/>
      </c>
      <c r="R421" s="10"/>
      <c r="S421" s="5" t="str">
        <f t="shared" si="66"/>
        <v/>
      </c>
      <c r="T421" s="5" t="str">
        <f t="shared" si="67"/>
        <v/>
      </c>
      <c r="U421" s="5" t="str">
        <f t="shared" si="68"/>
        <v/>
      </c>
      <c r="V421" s="7" t="str">
        <f t="shared" si="69"/>
        <v/>
      </c>
      <c r="W421" s="8" t="str">
        <f t="shared" si="70"/>
        <v/>
      </c>
      <c r="X421" s="2"/>
      <c r="Y421" s="10"/>
      <c r="Z421" s="11" t="str">
        <f>IF(X421&lt;&gt;"执行卖出","",IFERROR(LOOKUP(2,1/(单次交易!$A$2:$A$201=B421),单次交易!$AP$2:$AP$201),""))</f>
        <v/>
      </c>
      <c r="AA421" s="10"/>
      <c r="AB421" s="8" t="str">
        <f t="shared" si="71"/>
        <v/>
      </c>
      <c r="AC421" s="8" t="str">
        <f>IF(A421="","",IF(A421="止损计划",IF(OR(B421="",D421="",E421="",F421="",G421=""),"计划不完整",IF(OR(D421&lt;1,D421&lt;&gt;INT(D421)),"阶段序号无效",IF(COUNTIFS($A$2:$A$497,"止损计划",$B$2:$B$497,B421,$D$2:$D$497,D421)&gt;1,"阶段序号重复",IF(E421&lt;=IFERROR(LOOKUP(2,1/(单次交易!$A$2:$A$201=B421),单次交易!$E$2:$E$201),0),"激活价须高于买入价",IF(F421&lt;N421,"止损价不得低于初始止损",IF(F421&gt;E421,"止损价不得高于激活价",IF(AND(COUNTIFS($A$2:$A$497,"止损计划",$B$2:$B$497,B421,$D$2:$D$497,"&lt;"&amp;D421)&gt;0,OR(E421&lt;=SUMPRODUCT(MAX((($A$2:$A$497="止损计划")*($B$2:$B$497=B421)*($D$2:$D$497&lt;D421))*$E$2:$E$497)),F421&lt;SUMPRODUCT(MAX((($A$2:$A$497="止损计划")*($B$2:$B$497=B421)*($D$2:$D$497&lt;D421))*$F$2:$F$497)))),"阶段价格必须逐级提高","计划有效"))))))),IF(A421="每日跟踪",IF(OR(B421="",H421="",I421="",J421=""),"每日数据不完整",IF(COUNTIFS($A$2:$A$497,"每日跟踪",$B$2:$B$497,B421,$H$2:$H$497,H421)&gt;1,"同一交易日期重复",IF(AND(R421&lt;&gt;"",R421&lt;S421),"人工止损无效：不能下调","跟踪有效"))),"记录类型无效")))</f>
        <v/>
      </c>
    </row>
    <row r="422" ht="17" spans="1:29">
      <c r="A422" s="2"/>
      <c r="B422" s="2"/>
      <c r="C422" s="8" t="str">
        <f>IF(B422="","",IFERROR(LOOKUP(2,1/(单次交易!$A$2:$A$201=B422),单次交易!$B$2:$B$201),""))</f>
        <v/>
      </c>
      <c r="D422" s="12"/>
      <c r="E422" s="10"/>
      <c r="F422" s="10"/>
      <c r="G422" s="2"/>
      <c r="H422" s="15"/>
      <c r="I422" s="10"/>
      <c r="J422" s="12"/>
      <c r="K422" s="2"/>
      <c r="L422" s="2"/>
      <c r="M422" s="2"/>
      <c r="N422" s="5" t="str">
        <f>IF(B422="","",IFERROR(LOOKUP(2,1/(单次交易!$A$2:$A$201=B422),单次交易!$N$2:$N$201),""))</f>
        <v/>
      </c>
      <c r="O422" s="5" t="str">
        <f t="shared" si="63"/>
        <v/>
      </c>
      <c r="P422" s="11" t="str">
        <f t="shared" si="64"/>
        <v/>
      </c>
      <c r="Q422" s="5" t="str">
        <f t="shared" si="65"/>
        <v/>
      </c>
      <c r="R422" s="10"/>
      <c r="S422" s="5" t="str">
        <f t="shared" si="66"/>
        <v/>
      </c>
      <c r="T422" s="5" t="str">
        <f t="shared" si="67"/>
        <v/>
      </c>
      <c r="U422" s="5" t="str">
        <f t="shared" si="68"/>
        <v/>
      </c>
      <c r="V422" s="7" t="str">
        <f t="shared" si="69"/>
        <v/>
      </c>
      <c r="W422" s="8" t="str">
        <f t="shared" si="70"/>
        <v/>
      </c>
      <c r="X422" s="2"/>
      <c r="Y422" s="10"/>
      <c r="Z422" s="11" t="str">
        <f>IF(X422&lt;&gt;"执行卖出","",IFERROR(LOOKUP(2,1/(单次交易!$A$2:$A$201=B422),单次交易!$AP$2:$AP$201),""))</f>
        <v/>
      </c>
      <c r="AA422" s="10"/>
      <c r="AB422" s="8" t="str">
        <f t="shared" si="71"/>
        <v/>
      </c>
      <c r="AC422" s="8" t="str">
        <f>IF(A422="","",IF(A422="止损计划",IF(OR(B422="",D422="",E422="",F422="",G422=""),"计划不完整",IF(OR(D422&lt;1,D422&lt;&gt;INT(D422)),"阶段序号无效",IF(COUNTIFS($A$2:$A$497,"止损计划",$B$2:$B$497,B422,$D$2:$D$497,D422)&gt;1,"阶段序号重复",IF(E422&lt;=IFERROR(LOOKUP(2,1/(单次交易!$A$2:$A$201=B422),单次交易!$E$2:$E$201),0),"激活价须高于买入价",IF(F422&lt;N422,"止损价不得低于初始止损",IF(F422&gt;E422,"止损价不得高于激活价",IF(AND(COUNTIFS($A$2:$A$497,"止损计划",$B$2:$B$497,B422,$D$2:$D$497,"&lt;"&amp;D422)&gt;0,OR(E422&lt;=SUMPRODUCT(MAX((($A$2:$A$497="止损计划")*($B$2:$B$497=B422)*($D$2:$D$497&lt;D422))*$E$2:$E$497)),F422&lt;SUMPRODUCT(MAX((($A$2:$A$497="止损计划")*($B$2:$B$497=B422)*($D$2:$D$497&lt;D422))*$F$2:$F$497)))),"阶段价格必须逐级提高","计划有效"))))))),IF(A422="每日跟踪",IF(OR(B422="",H422="",I422="",J422=""),"每日数据不完整",IF(COUNTIFS($A$2:$A$497,"每日跟踪",$B$2:$B$497,B422,$H$2:$H$497,H422)&gt;1,"同一交易日期重复",IF(AND(R422&lt;&gt;"",R422&lt;S422),"人工止损无效：不能下调","跟踪有效"))),"记录类型无效")))</f>
        <v/>
      </c>
    </row>
    <row r="423" ht="17" spans="1:29">
      <c r="A423" s="2"/>
      <c r="B423" s="2"/>
      <c r="C423" s="8" t="str">
        <f>IF(B423="","",IFERROR(LOOKUP(2,1/(单次交易!$A$2:$A$201=B423),单次交易!$B$2:$B$201),""))</f>
        <v/>
      </c>
      <c r="D423" s="12"/>
      <c r="E423" s="10"/>
      <c r="F423" s="10"/>
      <c r="G423" s="2"/>
      <c r="H423" s="15"/>
      <c r="I423" s="10"/>
      <c r="J423" s="12"/>
      <c r="K423" s="2"/>
      <c r="L423" s="2"/>
      <c r="M423" s="2"/>
      <c r="N423" s="5" t="str">
        <f>IF(B423="","",IFERROR(LOOKUP(2,1/(单次交易!$A$2:$A$201=B423),单次交易!$N$2:$N$201),""))</f>
        <v/>
      </c>
      <c r="O423" s="5" t="str">
        <f t="shared" si="63"/>
        <v/>
      </c>
      <c r="P423" s="11" t="str">
        <f t="shared" si="64"/>
        <v/>
      </c>
      <c r="Q423" s="5" t="str">
        <f t="shared" si="65"/>
        <v/>
      </c>
      <c r="R423" s="10"/>
      <c r="S423" s="5" t="str">
        <f t="shared" si="66"/>
        <v/>
      </c>
      <c r="T423" s="5" t="str">
        <f t="shared" si="67"/>
        <v/>
      </c>
      <c r="U423" s="5" t="str">
        <f t="shared" si="68"/>
        <v/>
      </c>
      <c r="V423" s="7" t="str">
        <f t="shared" si="69"/>
        <v/>
      </c>
      <c r="W423" s="8" t="str">
        <f t="shared" si="70"/>
        <v/>
      </c>
      <c r="X423" s="2"/>
      <c r="Y423" s="10"/>
      <c r="Z423" s="11" t="str">
        <f>IF(X423&lt;&gt;"执行卖出","",IFERROR(LOOKUP(2,1/(单次交易!$A$2:$A$201=B423),单次交易!$AP$2:$AP$201),""))</f>
        <v/>
      </c>
      <c r="AA423" s="10"/>
      <c r="AB423" s="8" t="str">
        <f t="shared" si="71"/>
        <v/>
      </c>
      <c r="AC423" s="8" t="str">
        <f>IF(A423="","",IF(A423="止损计划",IF(OR(B423="",D423="",E423="",F423="",G423=""),"计划不完整",IF(OR(D423&lt;1,D423&lt;&gt;INT(D423)),"阶段序号无效",IF(COUNTIFS($A$2:$A$497,"止损计划",$B$2:$B$497,B423,$D$2:$D$497,D423)&gt;1,"阶段序号重复",IF(E423&lt;=IFERROR(LOOKUP(2,1/(单次交易!$A$2:$A$201=B423),单次交易!$E$2:$E$201),0),"激活价须高于买入价",IF(F423&lt;N423,"止损价不得低于初始止损",IF(F423&gt;E423,"止损价不得高于激活价",IF(AND(COUNTIFS($A$2:$A$497,"止损计划",$B$2:$B$497,B423,$D$2:$D$497,"&lt;"&amp;D423)&gt;0,OR(E423&lt;=SUMPRODUCT(MAX((($A$2:$A$497="止损计划")*($B$2:$B$497=B423)*($D$2:$D$497&lt;D423))*$E$2:$E$497)),F423&lt;SUMPRODUCT(MAX((($A$2:$A$497="止损计划")*($B$2:$B$497=B423)*($D$2:$D$497&lt;D423))*$F$2:$F$497)))),"阶段价格必须逐级提高","计划有效"))))))),IF(A423="每日跟踪",IF(OR(B423="",H423="",I423="",J423=""),"每日数据不完整",IF(COUNTIFS($A$2:$A$497,"每日跟踪",$B$2:$B$497,B423,$H$2:$H$497,H423)&gt;1,"同一交易日期重复",IF(AND(R423&lt;&gt;"",R423&lt;S423),"人工止损无效：不能下调","跟踪有效"))),"记录类型无效")))</f>
        <v/>
      </c>
    </row>
    <row r="424" ht="17" spans="1:29">
      <c r="A424" s="2"/>
      <c r="B424" s="2"/>
      <c r="C424" s="8" t="str">
        <f>IF(B424="","",IFERROR(LOOKUP(2,1/(单次交易!$A$2:$A$201=B424),单次交易!$B$2:$B$201),""))</f>
        <v/>
      </c>
      <c r="D424" s="12"/>
      <c r="E424" s="10"/>
      <c r="F424" s="10"/>
      <c r="G424" s="2"/>
      <c r="H424" s="15"/>
      <c r="I424" s="10"/>
      <c r="J424" s="12"/>
      <c r="K424" s="2"/>
      <c r="L424" s="2"/>
      <c r="M424" s="2"/>
      <c r="N424" s="5" t="str">
        <f>IF(B424="","",IFERROR(LOOKUP(2,1/(单次交易!$A$2:$A$201=B424),单次交易!$N$2:$N$201),""))</f>
        <v/>
      </c>
      <c r="O424" s="5" t="str">
        <f t="shared" si="63"/>
        <v/>
      </c>
      <c r="P424" s="11" t="str">
        <f t="shared" si="64"/>
        <v/>
      </c>
      <c r="Q424" s="5" t="str">
        <f t="shared" si="65"/>
        <v/>
      </c>
      <c r="R424" s="10"/>
      <c r="S424" s="5" t="str">
        <f t="shared" si="66"/>
        <v/>
      </c>
      <c r="T424" s="5" t="str">
        <f t="shared" si="67"/>
        <v/>
      </c>
      <c r="U424" s="5" t="str">
        <f t="shared" si="68"/>
        <v/>
      </c>
      <c r="V424" s="7" t="str">
        <f t="shared" si="69"/>
        <v/>
      </c>
      <c r="W424" s="8" t="str">
        <f t="shared" si="70"/>
        <v/>
      </c>
      <c r="X424" s="2"/>
      <c r="Y424" s="10"/>
      <c r="Z424" s="11" t="str">
        <f>IF(X424&lt;&gt;"执行卖出","",IFERROR(LOOKUP(2,1/(单次交易!$A$2:$A$201=B424),单次交易!$AP$2:$AP$201),""))</f>
        <v/>
      </c>
      <c r="AA424" s="10"/>
      <c r="AB424" s="8" t="str">
        <f t="shared" si="71"/>
        <v/>
      </c>
      <c r="AC424" s="8" t="str">
        <f>IF(A424="","",IF(A424="止损计划",IF(OR(B424="",D424="",E424="",F424="",G424=""),"计划不完整",IF(OR(D424&lt;1,D424&lt;&gt;INT(D424)),"阶段序号无效",IF(COUNTIFS($A$2:$A$497,"止损计划",$B$2:$B$497,B424,$D$2:$D$497,D424)&gt;1,"阶段序号重复",IF(E424&lt;=IFERROR(LOOKUP(2,1/(单次交易!$A$2:$A$201=B424),单次交易!$E$2:$E$201),0),"激活价须高于买入价",IF(F424&lt;N424,"止损价不得低于初始止损",IF(F424&gt;E424,"止损价不得高于激活价",IF(AND(COUNTIFS($A$2:$A$497,"止损计划",$B$2:$B$497,B424,$D$2:$D$497,"&lt;"&amp;D424)&gt;0,OR(E424&lt;=SUMPRODUCT(MAX((($A$2:$A$497="止损计划")*($B$2:$B$497=B424)*($D$2:$D$497&lt;D424))*$E$2:$E$497)),F424&lt;SUMPRODUCT(MAX((($A$2:$A$497="止损计划")*($B$2:$B$497=B424)*($D$2:$D$497&lt;D424))*$F$2:$F$497)))),"阶段价格必须逐级提高","计划有效"))))))),IF(A424="每日跟踪",IF(OR(B424="",H424="",I424="",J424=""),"每日数据不完整",IF(COUNTIFS($A$2:$A$497,"每日跟踪",$B$2:$B$497,B424,$H$2:$H$497,H424)&gt;1,"同一交易日期重复",IF(AND(R424&lt;&gt;"",R424&lt;S424),"人工止损无效：不能下调","跟踪有效"))),"记录类型无效")))</f>
        <v/>
      </c>
    </row>
    <row r="425" ht="17" spans="1:29">
      <c r="A425" s="2"/>
      <c r="B425" s="2"/>
      <c r="C425" s="8" t="str">
        <f>IF(B425="","",IFERROR(LOOKUP(2,1/(单次交易!$A$2:$A$201=B425),单次交易!$B$2:$B$201),""))</f>
        <v/>
      </c>
      <c r="D425" s="12"/>
      <c r="E425" s="10"/>
      <c r="F425" s="10"/>
      <c r="G425" s="2"/>
      <c r="H425" s="15"/>
      <c r="I425" s="10"/>
      <c r="J425" s="12"/>
      <c r="K425" s="2"/>
      <c r="L425" s="2"/>
      <c r="M425" s="2"/>
      <c r="N425" s="5" t="str">
        <f>IF(B425="","",IFERROR(LOOKUP(2,1/(单次交易!$A$2:$A$201=B425),单次交易!$N$2:$N$201),""))</f>
        <v/>
      </c>
      <c r="O425" s="5" t="str">
        <f t="shared" si="63"/>
        <v/>
      </c>
      <c r="P425" s="11" t="str">
        <f t="shared" si="64"/>
        <v/>
      </c>
      <c r="Q425" s="5" t="str">
        <f t="shared" si="65"/>
        <v/>
      </c>
      <c r="R425" s="10"/>
      <c r="S425" s="5" t="str">
        <f t="shared" si="66"/>
        <v/>
      </c>
      <c r="T425" s="5" t="str">
        <f t="shared" si="67"/>
        <v/>
      </c>
      <c r="U425" s="5" t="str">
        <f t="shared" si="68"/>
        <v/>
      </c>
      <c r="V425" s="7" t="str">
        <f t="shared" si="69"/>
        <v/>
      </c>
      <c r="W425" s="8" t="str">
        <f t="shared" si="70"/>
        <v/>
      </c>
      <c r="X425" s="2"/>
      <c r="Y425" s="10"/>
      <c r="Z425" s="11" t="str">
        <f>IF(X425&lt;&gt;"执行卖出","",IFERROR(LOOKUP(2,1/(单次交易!$A$2:$A$201=B425),单次交易!$AP$2:$AP$201),""))</f>
        <v/>
      </c>
      <c r="AA425" s="10"/>
      <c r="AB425" s="8" t="str">
        <f t="shared" si="71"/>
        <v/>
      </c>
      <c r="AC425" s="8" t="str">
        <f>IF(A425="","",IF(A425="止损计划",IF(OR(B425="",D425="",E425="",F425="",G425=""),"计划不完整",IF(OR(D425&lt;1,D425&lt;&gt;INT(D425)),"阶段序号无效",IF(COUNTIFS($A$2:$A$497,"止损计划",$B$2:$B$497,B425,$D$2:$D$497,D425)&gt;1,"阶段序号重复",IF(E425&lt;=IFERROR(LOOKUP(2,1/(单次交易!$A$2:$A$201=B425),单次交易!$E$2:$E$201),0),"激活价须高于买入价",IF(F425&lt;N425,"止损价不得低于初始止损",IF(F425&gt;E425,"止损价不得高于激活价",IF(AND(COUNTIFS($A$2:$A$497,"止损计划",$B$2:$B$497,B425,$D$2:$D$497,"&lt;"&amp;D425)&gt;0,OR(E425&lt;=SUMPRODUCT(MAX((($A$2:$A$497="止损计划")*($B$2:$B$497=B425)*($D$2:$D$497&lt;D425))*$E$2:$E$497)),F425&lt;SUMPRODUCT(MAX((($A$2:$A$497="止损计划")*($B$2:$B$497=B425)*($D$2:$D$497&lt;D425))*$F$2:$F$497)))),"阶段价格必须逐级提高","计划有效"))))))),IF(A425="每日跟踪",IF(OR(B425="",H425="",I425="",J425=""),"每日数据不完整",IF(COUNTIFS($A$2:$A$497,"每日跟踪",$B$2:$B$497,B425,$H$2:$H$497,H425)&gt;1,"同一交易日期重复",IF(AND(R425&lt;&gt;"",R425&lt;S425),"人工止损无效：不能下调","跟踪有效"))),"记录类型无效")))</f>
        <v/>
      </c>
    </row>
    <row r="426" ht="17" spans="1:29">
      <c r="A426" s="2"/>
      <c r="B426" s="2"/>
      <c r="C426" s="8" t="str">
        <f>IF(B426="","",IFERROR(LOOKUP(2,1/(单次交易!$A$2:$A$201=B426),单次交易!$B$2:$B$201),""))</f>
        <v/>
      </c>
      <c r="D426" s="12"/>
      <c r="E426" s="10"/>
      <c r="F426" s="10"/>
      <c r="G426" s="2"/>
      <c r="H426" s="15"/>
      <c r="I426" s="10"/>
      <c r="J426" s="12"/>
      <c r="K426" s="2"/>
      <c r="L426" s="2"/>
      <c r="M426" s="2"/>
      <c r="N426" s="5" t="str">
        <f>IF(B426="","",IFERROR(LOOKUP(2,1/(单次交易!$A$2:$A$201=B426),单次交易!$N$2:$N$201),""))</f>
        <v/>
      </c>
      <c r="O426" s="5" t="str">
        <f t="shared" si="63"/>
        <v/>
      </c>
      <c r="P426" s="11" t="str">
        <f t="shared" si="64"/>
        <v/>
      </c>
      <c r="Q426" s="5" t="str">
        <f t="shared" si="65"/>
        <v/>
      </c>
      <c r="R426" s="10"/>
      <c r="S426" s="5" t="str">
        <f t="shared" si="66"/>
        <v/>
      </c>
      <c r="T426" s="5" t="str">
        <f t="shared" si="67"/>
        <v/>
      </c>
      <c r="U426" s="5" t="str">
        <f t="shared" si="68"/>
        <v/>
      </c>
      <c r="V426" s="7" t="str">
        <f t="shared" si="69"/>
        <v/>
      </c>
      <c r="W426" s="8" t="str">
        <f t="shared" si="70"/>
        <v/>
      </c>
      <c r="X426" s="2"/>
      <c r="Y426" s="10"/>
      <c r="Z426" s="11" t="str">
        <f>IF(X426&lt;&gt;"执行卖出","",IFERROR(LOOKUP(2,1/(单次交易!$A$2:$A$201=B426),单次交易!$AP$2:$AP$201),""))</f>
        <v/>
      </c>
      <c r="AA426" s="10"/>
      <c r="AB426" s="8" t="str">
        <f t="shared" si="71"/>
        <v/>
      </c>
      <c r="AC426" s="8" t="str">
        <f>IF(A426="","",IF(A426="止损计划",IF(OR(B426="",D426="",E426="",F426="",G426=""),"计划不完整",IF(OR(D426&lt;1,D426&lt;&gt;INT(D426)),"阶段序号无效",IF(COUNTIFS($A$2:$A$497,"止损计划",$B$2:$B$497,B426,$D$2:$D$497,D426)&gt;1,"阶段序号重复",IF(E426&lt;=IFERROR(LOOKUP(2,1/(单次交易!$A$2:$A$201=B426),单次交易!$E$2:$E$201),0),"激活价须高于买入价",IF(F426&lt;N426,"止损价不得低于初始止损",IF(F426&gt;E426,"止损价不得高于激活价",IF(AND(COUNTIFS($A$2:$A$497,"止损计划",$B$2:$B$497,B426,$D$2:$D$497,"&lt;"&amp;D426)&gt;0,OR(E426&lt;=SUMPRODUCT(MAX((($A$2:$A$497="止损计划")*($B$2:$B$497=B426)*($D$2:$D$497&lt;D426))*$E$2:$E$497)),F426&lt;SUMPRODUCT(MAX((($A$2:$A$497="止损计划")*($B$2:$B$497=B426)*($D$2:$D$497&lt;D426))*$F$2:$F$497)))),"阶段价格必须逐级提高","计划有效"))))))),IF(A426="每日跟踪",IF(OR(B426="",H426="",I426="",J426=""),"每日数据不完整",IF(COUNTIFS($A$2:$A$497,"每日跟踪",$B$2:$B$497,B426,$H$2:$H$497,H426)&gt;1,"同一交易日期重复",IF(AND(R426&lt;&gt;"",R426&lt;S426),"人工止损无效：不能下调","跟踪有效"))),"记录类型无效")))</f>
        <v/>
      </c>
    </row>
    <row r="427" ht="17" spans="1:29">
      <c r="A427" s="2"/>
      <c r="B427" s="2"/>
      <c r="C427" s="8" t="str">
        <f>IF(B427="","",IFERROR(LOOKUP(2,1/(单次交易!$A$2:$A$201=B427),单次交易!$B$2:$B$201),""))</f>
        <v/>
      </c>
      <c r="D427" s="12"/>
      <c r="E427" s="10"/>
      <c r="F427" s="10"/>
      <c r="G427" s="2"/>
      <c r="H427" s="15"/>
      <c r="I427" s="10"/>
      <c r="J427" s="12"/>
      <c r="K427" s="2"/>
      <c r="L427" s="2"/>
      <c r="M427" s="2"/>
      <c r="N427" s="5" t="str">
        <f>IF(B427="","",IFERROR(LOOKUP(2,1/(单次交易!$A$2:$A$201=B427),单次交易!$N$2:$N$201),""))</f>
        <v/>
      </c>
      <c r="O427" s="5" t="str">
        <f t="shared" si="63"/>
        <v/>
      </c>
      <c r="P427" s="11" t="str">
        <f t="shared" si="64"/>
        <v/>
      </c>
      <c r="Q427" s="5" t="str">
        <f t="shared" si="65"/>
        <v/>
      </c>
      <c r="R427" s="10"/>
      <c r="S427" s="5" t="str">
        <f t="shared" si="66"/>
        <v/>
      </c>
      <c r="T427" s="5" t="str">
        <f t="shared" si="67"/>
        <v/>
      </c>
      <c r="U427" s="5" t="str">
        <f t="shared" si="68"/>
        <v/>
      </c>
      <c r="V427" s="7" t="str">
        <f t="shared" si="69"/>
        <v/>
      </c>
      <c r="W427" s="8" t="str">
        <f t="shared" si="70"/>
        <v/>
      </c>
      <c r="X427" s="2"/>
      <c r="Y427" s="10"/>
      <c r="Z427" s="11" t="str">
        <f>IF(X427&lt;&gt;"执行卖出","",IFERROR(LOOKUP(2,1/(单次交易!$A$2:$A$201=B427),单次交易!$AP$2:$AP$201),""))</f>
        <v/>
      </c>
      <c r="AA427" s="10"/>
      <c r="AB427" s="8" t="str">
        <f t="shared" si="71"/>
        <v/>
      </c>
      <c r="AC427" s="8" t="str">
        <f>IF(A427="","",IF(A427="止损计划",IF(OR(B427="",D427="",E427="",F427="",G427=""),"计划不完整",IF(OR(D427&lt;1,D427&lt;&gt;INT(D427)),"阶段序号无效",IF(COUNTIFS($A$2:$A$497,"止损计划",$B$2:$B$497,B427,$D$2:$D$497,D427)&gt;1,"阶段序号重复",IF(E427&lt;=IFERROR(LOOKUP(2,1/(单次交易!$A$2:$A$201=B427),单次交易!$E$2:$E$201),0),"激活价须高于买入价",IF(F427&lt;N427,"止损价不得低于初始止损",IF(F427&gt;E427,"止损价不得高于激活价",IF(AND(COUNTIFS($A$2:$A$497,"止损计划",$B$2:$B$497,B427,$D$2:$D$497,"&lt;"&amp;D427)&gt;0,OR(E427&lt;=SUMPRODUCT(MAX((($A$2:$A$497="止损计划")*($B$2:$B$497=B427)*($D$2:$D$497&lt;D427))*$E$2:$E$497)),F427&lt;SUMPRODUCT(MAX((($A$2:$A$497="止损计划")*($B$2:$B$497=B427)*($D$2:$D$497&lt;D427))*$F$2:$F$497)))),"阶段价格必须逐级提高","计划有效"))))))),IF(A427="每日跟踪",IF(OR(B427="",H427="",I427="",J427=""),"每日数据不完整",IF(COUNTIFS($A$2:$A$497,"每日跟踪",$B$2:$B$497,B427,$H$2:$H$497,H427)&gt;1,"同一交易日期重复",IF(AND(R427&lt;&gt;"",R427&lt;S427),"人工止损无效：不能下调","跟踪有效"))),"记录类型无效")))</f>
        <v/>
      </c>
    </row>
    <row r="428" ht="17" spans="1:29">
      <c r="A428" s="2"/>
      <c r="B428" s="2"/>
      <c r="C428" s="8" t="str">
        <f>IF(B428="","",IFERROR(LOOKUP(2,1/(单次交易!$A$2:$A$201=B428),单次交易!$B$2:$B$201),""))</f>
        <v/>
      </c>
      <c r="D428" s="12"/>
      <c r="E428" s="10"/>
      <c r="F428" s="10"/>
      <c r="G428" s="2"/>
      <c r="H428" s="15"/>
      <c r="I428" s="10"/>
      <c r="J428" s="12"/>
      <c r="K428" s="2"/>
      <c r="L428" s="2"/>
      <c r="M428" s="2"/>
      <c r="N428" s="5" t="str">
        <f>IF(B428="","",IFERROR(LOOKUP(2,1/(单次交易!$A$2:$A$201=B428),单次交易!$N$2:$N$201),""))</f>
        <v/>
      </c>
      <c r="O428" s="5" t="str">
        <f t="shared" si="63"/>
        <v/>
      </c>
      <c r="P428" s="11" t="str">
        <f t="shared" si="64"/>
        <v/>
      </c>
      <c r="Q428" s="5" t="str">
        <f t="shared" si="65"/>
        <v/>
      </c>
      <c r="R428" s="10"/>
      <c r="S428" s="5" t="str">
        <f t="shared" si="66"/>
        <v/>
      </c>
      <c r="T428" s="5" t="str">
        <f t="shared" si="67"/>
        <v/>
      </c>
      <c r="U428" s="5" t="str">
        <f t="shared" si="68"/>
        <v/>
      </c>
      <c r="V428" s="7" t="str">
        <f t="shared" si="69"/>
        <v/>
      </c>
      <c r="W428" s="8" t="str">
        <f t="shared" si="70"/>
        <v/>
      </c>
      <c r="X428" s="2"/>
      <c r="Y428" s="10"/>
      <c r="Z428" s="11" t="str">
        <f>IF(X428&lt;&gt;"执行卖出","",IFERROR(LOOKUP(2,1/(单次交易!$A$2:$A$201=B428),单次交易!$AP$2:$AP$201),""))</f>
        <v/>
      </c>
      <c r="AA428" s="10"/>
      <c r="AB428" s="8" t="str">
        <f t="shared" si="71"/>
        <v/>
      </c>
      <c r="AC428" s="8" t="str">
        <f>IF(A428="","",IF(A428="止损计划",IF(OR(B428="",D428="",E428="",F428="",G428=""),"计划不完整",IF(OR(D428&lt;1,D428&lt;&gt;INT(D428)),"阶段序号无效",IF(COUNTIFS($A$2:$A$497,"止损计划",$B$2:$B$497,B428,$D$2:$D$497,D428)&gt;1,"阶段序号重复",IF(E428&lt;=IFERROR(LOOKUP(2,1/(单次交易!$A$2:$A$201=B428),单次交易!$E$2:$E$201),0),"激活价须高于买入价",IF(F428&lt;N428,"止损价不得低于初始止损",IF(F428&gt;E428,"止损价不得高于激活价",IF(AND(COUNTIFS($A$2:$A$497,"止损计划",$B$2:$B$497,B428,$D$2:$D$497,"&lt;"&amp;D428)&gt;0,OR(E428&lt;=SUMPRODUCT(MAX((($A$2:$A$497="止损计划")*($B$2:$B$497=B428)*($D$2:$D$497&lt;D428))*$E$2:$E$497)),F428&lt;SUMPRODUCT(MAX((($A$2:$A$497="止损计划")*($B$2:$B$497=B428)*($D$2:$D$497&lt;D428))*$F$2:$F$497)))),"阶段价格必须逐级提高","计划有效"))))))),IF(A428="每日跟踪",IF(OR(B428="",H428="",I428="",J428=""),"每日数据不完整",IF(COUNTIFS($A$2:$A$497,"每日跟踪",$B$2:$B$497,B428,$H$2:$H$497,H428)&gt;1,"同一交易日期重复",IF(AND(R428&lt;&gt;"",R428&lt;S428),"人工止损无效：不能下调","跟踪有效"))),"记录类型无效")))</f>
        <v/>
      </c>
    </row>
    <row r="429" ht="17" spans="1:29">
      <c r="A429" s="2"/>
      <c r="B429" s="2"/>
      <c r="C429" s="8" t="str">
        <f>IF(B429="","",IFERROR(LOOKUP(2,1/(单次交易!$A$2:$A$201=B429),单次交易!$B$2:$B$201),""))</f>
        <v/>
      </c>
      <c r="D429" s="12"/>
      <c r="E429" s="10"/>
      <c r="F429" s="10"/>
      <c r="G429" s="2"/>
      <c r="H429" s="15"/>
      <c r="I429" s="10"/>
      <c r="J429" s="12"/>
      <c r="K429" s="2"/>
      <c r="L429" s="2"/>
      <c r="M429" s="2"/>
      <c r="N429" s="5" t="str">
        <f>IF(B429="","",IFERROR(LOOKUP(2,1/(单次交易!$A$2:$A$201=B429),单次交易!$N$2:$N$201),""))</f>
        <v/>
      </c>
      <c r="O429" s="5" t="str">
        <f t="shared" si="63"/>
        <v/>
      </c>
      <c r="P429" s="11" t="str">
        <f t="shared" si="64"/>
        <v/>
      </c>
      <c r="Q429" s="5" t="str">
        <f t="shared" si="65"/>
        <v/>
      </c>
      <c r="R429" s="10"/>
      <c r="S429" s="5" t="str">
        <f t="shared" si="66"/>
        <v/>
      </c>
      <c r="T429" s="5" t="str">
        <f t="shared" si="67"/>
        <v/>
      </c>
      <c r="U429" s="5" t="str">
        <f t="shared" si="68"/>
        <v/>
      </c>
      <c r="V429" s="7" t="str">
        <f t="shared" si="69"/>
        <v/>
      </c>
      <c r="W429" s="8" t="str">
        <f t="shared" si="70"/>
        <v/>
      </c>
      <c r="X429" s="2"/>
      <c r="Y429" s="10"/>
      <c r="Z429" s="11" t="str">
        <f>IF(X429&lt;&gt;"执行卖出","",IFERROR(LOOKUP(2,1/(单次交易!$A$2:$A$201=B429),单次交易!$AP$2:$AP$201),""))</f>
        <v/>
      </c>
      <c r="AA429" s="10"/>
      <c r="AB429" s="8" t="str">
        <f t="shared" si="71"/>
        <v/>
      </c>
      <c r="AC429" s="8" t="str">
        <f>IF(A429="","",IF(A429="止损计划",IF(OR(B429="",D429="",E429="",F429="",G429=""),"计划不完整",IF(OR(D429&lt;1,D429&lt;&gt;INT(D429)),"阶段序号无效",IF(COUNTIFS($A$2:$A$497,"止损计划",$B$2:$B$497,B429,$D$2:$D$497,D429)&gt;1,"阶段序号重复",IF(E429&lt;=IFERROR(LOOKUP(2,1/(单次交易!$A$2:$A$201=B429),单次交易!$E$2:$E$201),0),"激活价须高于买入价",IF(F429&lt;N429,"止损价不得低于初始止损",IF(F429&gt;E429,"止损价不得高于激活价",IF(AND(COUNTIFS($A$2:$A$497,"止损计划",$B$2:$B$497,B429,$D$2:$D$497,"&lt;"&amp;D429)&gt;0,OR(E429&lt;=SUMPRODUCT(MAX((($A$2:$A$497="止损计划")*($B$2:$B$497=B429)*($D$2:$D$497&lt;D429))*$E$2:$E$497)),F429&lt;SUMPRODUCT(MAX((($A$2:$A$497="止损计划")*($B$2:$B$497=B429)*($D$2:$D$497&lt;D429))*$F$2:$F$497)))),"阶段价格必须逐级提高","计划有效"))))))),IF(A429="每日跟踪",IF(OR(B429="",H429="",I429="",J429=""),"每日数据不完整",IF(COUNTIFS($A$2:$A$497,"每日跟踪",$B$2:$B$497,B429,$H$2:$H$497,H429)&gt;1,"同一交易日期重复",IF(AND(R429&lt;&gt;"",R429&lt;S429),"人工止损无效：不能下调","跟踪有效"))),"记录类型无效")))</f>
        <v/>
      </c>
    </row>
    <row r="430" ht="17" spans="1:29">
      <c r="A430" s="2"/>
      <c r="B430" s="2"/>
      <c r="C430" s="8" t="str">
        <f>IF(B430="","",IFERROR(LOOKUP(2,1/(单次交易!$A$2:$A$201=B430),单次交易!$B$2:$B$201),""))</f>
        <v/>
      </c>
      <c r="D430" s="12"/>
      <c r="E430" s="10"/>
      <c r="F430" s="10"/>
      <c r="G430" s="2"/>
      <c r="H430" s="15"/>
      <c r="I430" s="10"/>
      <c r="J430" s="12"/>
      <c r="K430" s="2"/>
      <c r="L430" s="2"/>
      <c r="M430" s="2"/>
      <c r="N430" s="5" t="str">
        <f>IF(B430="","",IFERROR(LOOKUP(2,1/(单次交易!$A$2:$A$201=B430),单次交易!$N$2:$N$201),""))</f>
        <v/>
      </c>
      <c r="O430" s="5" t="str">
        <f t="shared" si="63"/>
        <v/>
      </c>
      <c r="P430" s="11" t="str">
        <f t="shared" si="64"/>
        <v/>
      </c>
      <c r="Q430" s="5" t="str">
        <f t="shared" si="65"/>
        <v/>
      </c>
      <c r="R430" s="10"/>
      <c r="S430" s="5" t="str">
        <f t="shared" si="66"/>
        <v/>
      </c>
      <c r="T430" s="5" t="str">
        <f t="shared" si="67"/>
        <v/>
      </c>
      <c r="U430" s="5" t="str">
        <f t="shared" si="68"/>
        <v/>
      </c>
      <c r="V430" s="7" t="str">
        <f t="shared" si="69"/>
        <v/>
      </c>
      <c r="W430" s="8" t="str">
        <f t="shared" si="70"/>
        <v/>
      </c>
      <c r="X430" s="2"/>
      <c r="Y430" s="10"/>
      <c r="Z430" s="11" t="str">
        <f>IF(X430&lt;&gt;"执行卖出","",IFERROR(LOOKUP(2,1/(单次交易!$A$2:$A$201=B430),单次交易!$AP$2:$AP$201),""))</f>
        <v/>
      </c>
      <c r="AA430" s="10"/>
      <c r="AB430" s="8" t="str">
        <f t="shared" si="71"/>
        <v/>
      </c>
      <c r="AC430" s="8" t="str">
        <f>IF(A430="","",IF(A430="止损计划",IF(OR(B430="",D430="",E430="",F430="",G430=""),"计划不完整",IF(OR(D430&lt;1,D430&lt;&gt;INT(D430)),"阶段序号无效",IF(COUNTIFS($A$2:$A$497,"止损计划",$B$2:$B$497,B430,$D$2:$D$497,D430)&gt;1,"阶段序号重复",IF(E430&lt;=IFERROR(LOOKUP(2,1/(单次交易!$A$2:$A$201=B430),单次交易!$E$2:$E$201),0),"激活价须高于买入价",IF(F430&lt;N430,"止损价不得低于初始止损",IF(F430&gt;E430,"止损价不得高于激活价",IF(AND(COUNTIFS($A$2:$A$497,"止损计划",$B$2:$B$497,B430,$D$2:$D$497,"&lt;"&amp;D430)&gt;0,OR(E430&lt;=SUMPRODUCT(MAX((($A$2:$A$497="止损计划")*($B$2:$B$497=B430)*($D$2:$D$497&lt;D430))*$E$2:$E$497)),F430&lt;SUMPRODUCT(MAX((($A$2:$A$497="止损计划")*($B$2:$B$497=B430)*($D$2:$D$497&lt;D430))*$F$2:$F$497)))),"阶段价格必须逐级提高","计划有效"))))))),IF(A430="每日跟踪",IF(OR(B430="",H430="",I430="",J430=""),"每日数据不完整",IF(COUNTIFS($A$2:$A$497,"每日跟踪",$B$2:$B$497,B430,$H$2:$H$497,H430)&gt;1,"同一交易日期重复",IF(AND(R430&lt;&gt;"",R430&lt;S430),"人工止损无效：不能下调","跟踪有效"))),"记录类型无效")))</f>
        <v/>
      </c>
    </row>
    <row r="431" ht="17" spans="1:29">
      <c r="A431" s="2"/>
      <c r="B431" s="2"/>
      <c r="C431" s="8" t="str">
        <f>IF(B431="","",IFERROR(LOOKUP(2,1/(单次交易!$A$2:$A$201=B431),单次交易!$B$2:$B$201),""))</f>
        <v/>
      </c>
      <c r="D431" s="12"/>
      <c r="E431" s="10"/>
      <c r="F431" s="10"/>
      <c r="G431" s="2"/>
      <c r="H431" s="15"/>
      <c r="I431" s="10"/>
      <c r="J431" s="12"/>
      <c r="K431" s="2"/>
      <c r="L431" s="2"/>
      <c r="M431" s="2"/>
      <c r="N431" s="5" t="str">
        <f>IF(B431="","",IFERROR(LOOKUP(2,1/(单次交易!$A$2:$A$201=B431),单次交易!$N$2:$N$201),""))</f>
        <v/>
      </c>
      <c r="O431" s="5" t="str">
        <f t="shared" si="63"/>
        <v/>
      </c>
      <c r="P431" s="11" t="str">
        <f t="shared" si="64"/>
        <v/>
      </c>
      <c r="Q431" s="5" t="str">
        <f t="shared" si="65"/>
        <v/>
      </c>
      <c r="R431" s="10"/>
      <c r="S431" s="5" t="str">
        <f t="shared" si="66"/>
        <v/>
      </c>
      <c r="T431" s="5" t="str">
        <f t="shared" si="67"/>
        <v/>
      </c>
      <c r="U431" s="5" t="str">
        <f t="shared" si="68"/>
        <v/>
      </c>
      <c r="V431" s="7" t="str">
        <f t="shared" si="69"/>
        <v/>
      </c>
      <c r="W431" s="8" t="str">
        <f t="shared" si="70"/>
        <v/>
      </c>
      <c r="X431" s="2"/>
      <c r="Y431" s="10"/>
      <c r="Z431" s="11" t="str">
        <f>IF(X431&lt;&gt;"执行卖出","",IFERROR(LOOKUP(2,1/(单次交易!$A$2:$A$201=B431),单次交易!$AP$2:$AP$201),""))</f>
        <v/>
      </c>
      <c r="AA431" s="10"/>
      <c r="AB431" s="8" t="str">
        <f t="shared" si="71"/>
        <v/>
      </c>
      <c r="AC431" s="8" t="str">
        <f>IF(A431="","",IF(A431="止损计划",IF(OR(B431="",D431="",E431="",F431="",G431=""),"计划不完整",IF(OR(D431&lt;1,D431&lt;&gt;INT(D431)),"阶段序号无效",IF(COUNTIFS($A$2:$A$497,"止损计划",$B$2:$B$497,B431,$D$2:$D$497,D431)&gt;1,"阶段序号重复",IF(E431&lt;=IFERROR(LOOKUP(2,1/(单次交易!$A$2:$A$201=B431),单次交易!$E$2:$E$201),0),"激活价须高于买入价",IF(F431&lt;N431,"止损价不得低于初始止损",IF(F431&gt;E431,"止损价不得高于激活价",IF(AND(COUNTIFS($A$2:$A$497,"止损计划",$B$2:$B$497,B431,$D$2:$D$497,"&lt;"&amp;D431)&gt;0,OR(E431&lt;=SUMPRODUCT(MAX((($A$2:$A$497="止损计划")*($B$2:$B$497=B431)*($D$2:$D$497&lt;D431))*$E$2:$E$497)),F431&lt;SUMPRODUCT(MAX((($A$2:$A$497="止损计划")*($B$2:$B$497=B431)*($D$2:$D$497&lt;D431))*$F$2:$F$497)))),"阶段价格必须逐级提高","计划有效"))))))),IF(A431="每日跟踪",IF(OR(B431="",H431="",I431="",J431=""),"每日数据不完整",IF(COUNTIFS($A$2:$A$497,"每日跟踪",$B$2:$B$497,B431,$H$2:$H$497,H431)&gt;1,"同一交易日期重复",IF(AND(R431&lt;&gt;"",R431&lt;S431),"人工止损无效：不能下调","跟踪有效"))),"记录类型无效")))</f>
        <v/>
      </c>
    </row>
    <row r="432" ht="17" spans="1:29">
      <c r="A432" s="2"/>
      <c r="B432" s="2"/>
      <c r="C432" s="8" t="str">
        <f>IF(B432="","",IFERROR(LOOKUP(2,1/(单次交易!$A$2:$A$201=B432),单次交易!$B$2:$B$201),""))</f>
        <v/>
      </c>
      <c r="D432" s="12"/>
      <c r="E432" s="10"/>
      <c r="F432" s="10"/>
      <c r="G432" s="2"/>
      <c r="H432" s="15"/>
      <c r="I432" s="10"/>
      <c r="J432" s="12"/>
      <c r="K432" s="2"/>
      <c r="L432" s="2"/>
      <c r="M432" s="2"/>
      <c r="N432" s="5" t="str">
        <f>IF(B432="","",IFERROR(LOOKUP(2,1/(单次交易!$A$2:$A$201=B432),单次交易!$N$2:$N$201),""))</f>
        <v/>
      </c>
      <c r="O432" s="5" t="str">
        <f t="shared" si="63"/>
        <v/>
      </c>
      <c r="P432" s="11" t="str">
        <f t="shared" si="64"/>
        <v/>
      </c>
      <c r="Q432" s="5" t="str">
        <f t="shared" si="65"/>
        <v/>
      </c>
      <c r="R432" s="10"/>
      <c r="S432" s="5" t="str">
        <f t="shared" si="66"/>
        <v/>
      </c>
      <c r="T432" s="5" t="str">
        <f t="shared" si="67"/>
        <v/>
      </c>
      <c r="U432" s="5" t="str">
        <f t="shared" si="68"/>
        <v/>
      </c>
      <c r="V432" s="7" t="str">
        <f t="shared" si="69"/>
        <v/>
      </c>
      <c r="W432" s="8" t="str">
        <f t="shared" si="70"/>
        <v/>
      </c>
      <c r="X432" s="2"/>
      <c r="Y432" s="10"/>
      <c r="Z432" s="11" t="str">
        <f>IF(X432&lt;&gt;"执行卖出","",IFERROR(LOOKUP(2,1/(单次交易!$A$2:$A$201=B432),单次交易!$AP$2:$AP$201),""))</f>
        <v/>
      </c>
      <c r="AA432" s="10"/>
      <c r="AB432" s="8" t="str">
        <f t="shared" si="71"/>
        <v/>
      </c>
      <c r="AC432" s="8" t="str">
        <f>IF(A432="","",IF(A432="止损计划",IF(OR(B432="",D432="",E432="",F432="",G432=""),"计划不完整",IF(OR(D432&lt;1,D432&lt;&gt;INT(D432)),"阶段序号无效",IF(COUNTIFS($A$2:$A$497,"止损计划",$B$2:$B$497,B432,$D$2:$D$497,D432)&gt;1,"阶段序号重复",IF(E432&lt;=IFERROR(LOOKUP(2,1/(单次交易!$A$2:$A$201=B432),单次交易!$E$2:$E$201),0),"激活价须高于买入价",IF(F432&lt;N432,"止损价不得低于初始止损",IF(F432&gt;E432,"止损价不得高于激活价",IF(AND(COUNTIFS($A$2:$A$497,"止损计划",$B$2:$B$497,B432,$D$2:$D$497,"&lt;"&amp;D432)&gt;0,OR(E432&lt;=SUMPRODUCT(MAX((($A$2:$A$497="止损计划")*($B$2:$B$497=B432)*($D$2:$D$497&lt;D432))*$E$2:$E$497)),F432&lt;SUMPRODUCT(MAX((($A$2:$A$497="止损计划")*($B$2:$B$497=B432)*($D$2:$D$497&lt;D432))*$F$2:$F$497)))),"阶段价格必须逐级提高","计划有效"))))))),IF(A432="每日跟踪",IF(OR(B432="",H432="",I432="",J432=""),"每日数据不完整",IF(COUNTIFS($A$2:$A$497,"每日跟踪",$B$2:$B$497,B432,$H$2:$H$497,H432)&gt;1,"同一交易日期重复",IF(AND(R432&lt;&gt;"",R432&lt;S432),"人工止损无效：不能下调","跟踪有效"))),"记录类型无效")))</f>
        <v/>
      </c>
    </row>
    <row r="433" ht="17" spans="1:29">
      <c r="A433" s="2"/>
      <c r="B433" s="2"/>
      <c r="C433" s="8" t="str">
        <f>IF(B433="","",IFERROR(LOOKUP(2,1/(单次交易!$A$2:$A$201=B433),单次交易!$B$2:$B$201),""))</f>
        <v/>
      </c>
      <c r="D433" s="12"/>
      <c r="E433" s="10"/>
      <c r="F433" s="10"/>
      <c r="G433" s="2"/>
      <c r="H433" s="15"/>
      <c r="I433" s="10"/>
      <c r="J433" s="12"/>
      <c r="K433" s="2"/>
      <c r="L433" s="2"/>
      <c r="M433" s="2"/>
      <c r="N433" s="5" t="str">
        <f>IF(B433="","",IFERROR(LOOKUP(2,1/(单次交易!$A$2:$A$201=B433),单次交易!$N$2:$N$201),""))</f>
        <v/>
      </c>
      <c r="O433" s="5" t="str">
        <f t="shared" si="63"/>
        <v/>
      </c>
      <c r="P433" s="11" t="str">
        <f t="shared" si="64"/>
        <v/>
      </c>
      <c r="Q433" s="5" t="str">
        <f t="shared" si="65"/>
        <v/>
      </c>
      <c r="R433" s="10"/>
      <c r="S433" s="5" t="str">
        <f t="shared" si="66"/>
        <v/>
      </c>
      <c r="T433" s="5" t="str">
        <f t="shared" si="67"/>
        <v/>
      </c>
      <c r="U433" s="5" t="str">
        <f t="shared" si="68"/>
        <v/>
      </c>
      <c r="V433" s="7" t="str">
        <f t="shared" si="69"/>
        <v/>
      </c>
      <c r="W433" s="8" t="str">
        <f t="shared" si="70"/>
        <v/>
      </c>
      <c r="X433" s="2"/>
      <c r="Y433" s="10"/>
      <c r="Z433" s="11" t="str">
        <f>IF(X433&lt;&gt;"执行卖出","",IFERROR(LOOKUP(2,1/(单次交易!$A$2:$A$201=B433),单次交易!$AP$2:$AP$201),""))</f>
        <v/>
      </c>
      <c r="AA433" s="10"/>
      <c r="AB433" s="8" t="str">
        <f t="shared" si="71"/>
        <v/>
      </c>
      <c r="AC433" s="8" t="str">
        <f>IF(A433="","",IF(A433="止损计划",IF(OR(B433="",D433="",E433="",F433="",G433=""),"计划不完整",IF(OR(D433&lt;1,D433&lt;&gt;INT(D433)),"阶段序号无效",IF(COUNTIFS($A$2:$A$497,"止损计划",$B$2:$B$497,B433,$D$2:$D$497,D433)&gt;1,"阶段序号重复",IF(E433&lt;=IFERROR(LOOKUP(2,1/(单次交易!$A$2:$A$201=B433),单次交易!$E$2:$E$201),0),"激活价须高于买入价",IF(F433&lt;N433,"止损价不得低于初始止损",IF(F433&gt;E433,"止损价不得高于激活价",IF(AND(COUNTIFS($A$2:$A$497,"止损计划",$B$2:$B$497,B433,$D$2:$D$497,"&lt;"&amp;D433)&gt;0,OR(E433&lt;=SUMPRODUCT(MAX((($A$2:$A$497="止损计划")*($B$2:$B$497=B433)*($D$2:$D$497&lt;D433))*$E$2:$E$497)),F433&lt;SUMPRODUCT(MAX((($A$2:$A$497="止损计划")*($B$2:$B$497=B433)*($D$2:$D$497&lt;D433))*$F$2:$F$497)))),"阶段价格必须逐级提高","计划有效"))))))),IF(A433="每日跟踪",IF(OR(B433="",H433="",I433="",J433=""),"每日数据不完整",IF(COUNTIFS($A$2:$A$497,"每日跟踪",$B$2:$B$497,B433,$H$2:$H$497,H433)&gt;1,"同一交易日期重复",IF(AND(R433&lt;&gt;"",R433&lt;S433),"人工止损无效：不能下调","跟踪有效"))),"记录类型无效")))</f>
        <v/>
      </c>
    </row>
    <row r="434" ht="17" spans="1:29">
      <c r="A434" s="2"/>
      <c r="B434" s="2"/>
      <c r="C434" s="8" t="str">
        <f>IF(B434="","",IFERROR(LOOKUP(2,1/(单次交易!$A$2:$A$201=B434),单次交易!$B$2:$B$201),""))</f>
        <v/>
      </c>
      <c r="D434" s="12"/>
      <c r="E434" s="10"/>
      <c r="F434" s="10"/>
      <c r="G434" s="2"/>
      <c r="H434" s="15"/>
      <c r="I434" s="10"/>
      <c r="J434" s="12"/>
      <c r="K434" s="2"/>
      <c r="L434" s="2"/>
      <c r="M434" s="2"/>
      <c r="N434" s="5" t="str">
        <f>IF(B434="","",IFERROR(LOOKUP(2,1/(单次交易!$A$2:$A$201=B434),单次交易!$N$2:$N$201),""))</f>
        <v/>
      </c>
      <c r="O434" s="5" t="str">
        <f t="shared" si="63"/>
        <v/>
      </c>
      <c r="P434" s="11" t="str">
        <f t="shared" si="64"/>
        <v/>
      </c>
      <c r="Q434" s="5" t="str">
        <f t="shared" si="65"/>
        <v/>
      </c>
      <c r="R434" s="10"/>
      <c r="S434" s="5" t="str">
        <f t="shared" si="66"/>
        <v/>
      </c>
      <c r="T434" s="5" t="str">
        <f t="shared" si="67"/>
        <v/>
      </c>
      <c r="U434" s="5" t="str">
        <f t="shared" si="68"/>
        <v/>
      </c>
      <c r="V434" s="7" t="str">
        <f t="shared" si="69"/>
        <v/>
      </c>
      <c r="W434" s="8" t="str">
        <f t="shared" si="70"/>
        <v/>
      </c>
      <c r="X434" s="2"/>
      <c r="Y434" s="10"/>
      <c r="Z434" s="11" t="str">
        <f>IF(X434&lt;&gt;"执行卖出","",IFERROR(LOOKUP(2,1/(单次交易!$A$2:$A$201=B434),单次交易!$AP$2:$AP$201),""))</f>
        <v/>
      </c>
      <c r="AA434" s="10"/>
      <c r="AB434" s="8" t="str">
        <f t="shared" si="71"/>
        <v/>
      </c>
      <c r="AC434" s="8" t="str">
        <f>IF(A434="","",IF(A434="止损计划",IF(OR(B434="",D434="",E434="",F434="",G434=""),"计划不完整",IF(OR(D434&lt;1,D434&lt;&gt;INT(D434)),"阶段序号无效",IF(COUNTIFS($A$2:$A$497,"止损计划",$B$2:$B$497,B434,$D$2:$D$497,D434)&gt;1,"阶段序号重复",IF(E434&lt;=IFERROR(LOOKUP(2,1/(单次交易!$A$2:$A$201=B434),单次交易!$E$2:$E$201),0),"激活价须高于买入价",IF(F434&lt;N434,"止损价不得低于初始止损",IF(F434&gt;E434,"止损价不得高于激活价",IF(AND(COUNTIFS($A$2:$A$497,"止损计划",$B$2:$B$497,B434,$D$2:$D$497,"&lt;"&amp;D434)&gt;0,OR(E434&lt;=SUMPRODUCT(MAX((($A$2:$A$497="止损计划")*($B$2:$B$497=B434)*($D$2:$D$497&lt;D434))*$E$2:$E$497)),F434&lt;SUMPRODUCT(MAX((($A$2:$A$497="止损计划")*($B$2:$B$497=B434)*($D$2:$D$497&lt;D434))*$F$2:$F$497)))),"阶段价格必须逐级提高","计划有效"))))))),IF(A434="每日跟踪",IF(OR(B434="",H434="",I434="",J434=""),"每日数据不完整",IF(COUNTIFS($A$2:$A$497,"每日跟踪",$B$2:$B$497,B434,$H$2:$H$497,H434)&gt;1,"同一交易日期重复",IF(AND(R434&lt;&gt;"",R434&lt;S434),"人工止损无效：不能下调","跟踪有效"))),"记录类型无效")))</f>
        <v/>
      </c>
    </row>
    <row r="435" ht="17" spans="1:29">
      <c r="A435" s="2"/>
      <c r="B435" s="2"/>
      <c r="C435" s="8" t="str">
        <f>IF(B435="","",IFERROR(LOOKUP(2,1/(单次交易!$A$2:$A$201=B435),单次交易!$B$2:$B$201),""))</f>
        <v/>
      </c>
      <c r="D435" s="12"/>
      <c r="E435" s="10"/>
      <c r="F435" s="10"/>
      <c r="G435" s="2"/>
      <c r="H435" s="15"/>
      <c r="I435" s="10"/>
      <c r="J435" s="12"/>
      <c r="K435" s="2"/>
      <c r="L435" s="2"/>
      <c r="M435" s="2"/>
      <c r="N435" s="5" t="str">
        <f>IF(B435="","",IFERROR(LOOKUP(2,1/(单次交易!$A$2:$A$201=B435),单次交易!$N$2:$N$201),""))</f>
        <v/>
      </c>
      <c r="O435" s="5" t="str">
        <f t="shared" si="63"/>
        <v/>
      </c>
      <c r="P435" s="11" t="str">
        <f t="shared" si="64"/>
        <v/>
      </c>
      <c r="Q435" s="5" t="str">
        <f t="shared" si="65"/>
        <v/>
      </c>
      <c r="R435" s="10"/>
      <c r="S435" s="5" t="str">
        <f t="shared" si="66"/>
        <v/>
      </c>
      <c r="T435" s="5" t="str">
        <f t="shared" si="67"/>
        <v/>
      </c>
      <c r="U435" s="5" t="str">
        <f t="shared" si="68"/>
        <v/>
      </c>
      <c r="V435" s="7" t="str">
        <f t="shared" si="69"/>
        <v/>
      </c>
      <c r="W435" s="8" t="str">
        <f t="shared" si="70"/>
        <v/>
      </c>
      <c r="X435" s="2"/>
      <c r="Y435" s="10"/>
      <c r="Z435" s="11" t="str">
        <f>IF(X435&lt;&gt;"执行卖出","",IFERROR(LOOKUP(2,1/(单次交易!$A$2:$A$201=B435),单次交易!$AP$2:$AP$201),""))</f>
        <v/>
      </c>
      <c r="AA435" s="10"/>
      <c r="AB435" s="8" t="str">
        <f t="shared" si="71"/>
        <v/>
      </c>
      <c r="AC435" s="8" t="str">
        <f>IF(A435="","",IF(A435="止损计划",IF(OR(B435="",D435="",E435="",F435="",G435=""),"计划不完整",IF(OR(D435&lt;1,D435&lt;&gt;INT(D435)),"阶段序号无效",IF(COUNTIFS($A$2:$A$497,"止损计划",$B$2:$B$497,B435,$D$2:$D$497,D435)&gt;1,"阶段序号重复",IF(E435&lt;=IFERROR(LOOKUP(2,1/(单次交易!$A$2:$A$201=B435),单次交易!$E$2:$E$201),0),"激活价须高于买入价",IF(F435&lt;N435,"止损价不得低于初始止损",IF(F435&gt;E435,"止损价不得高于激活价",IF(AND(COUNTIFS($A$2:$A$497,"止损计划",$B$2:$B$497,B435,$D$2:$D$497,"&lt;"&amp;D435)&gt;0,OR(E435&lt;=SUMPRODUCT(MAX((($A$2:$A$497="止损计划")*($B$2:$B$497=B435)*($D$2:$D$497&lt;D435))*$E$2:$E$497)),F435&lt;SUMPRODUCT(MAX((($A$2:$A$497="止损计划")*($B$2:$B$497=B435)*($D$2:$D$497&lt;D435))*$F$2:$F$497)))),"阶段价格必须逐级提高","计划有效"))))))),IF(A435="每日跟踪",IF(OR(B435="",H435="",I435="",J435=""),"每日数据不完整",IF(COUNTIFS($A$2:$A$497,"每日跟踪",$B$2:$B$497,B435,$H$2:$H$497,H435)&gt;1,"同一交易日期重复",IF(AND(R435&lt;&gt;"",R435&lt;S435),"人工止损无效：不能下调","跟踪有效"))),"记录类型无效")))</f>
        <v/>
      </c>
    </row>
    <row r="436" ht="17" spans="1:29">
      <c r="A436" s="2"/>
      <c r="B436" s="2"/>
      <c r="C436" s="8" t="str">
        <f>IF(B436="","",IFERROR(LOOKUP(2,1/(单次交易!$A$2:$A$201=B436),单次交易!$B$2:$B$201),""))</f>
        <v/>
      </c>
      <c r="D436" s="12"/>
      <c r="E436" s="10"/>
      <c r="F436" s="10"/>
      <c r="G436" s="2"/>
      <c r="H436" s="15"/>
      <c r="I436" s="10"/>
      <c r="J436" s="12"/>
      <c r="K436" s="2"/>
      <c r="L436" s="2"/>
      <c r="M436" s="2"/>
      <c r="N436" s="5" t="str">
        <f>IF(B436="","",IFERROR(LOOKUP(2,1/(单次交易!$A$2:$A$201=B436),单次交易!$N$2:$N$201),""))</f>
        <v/>
      </c>
      <c r="O436" s="5" t="str">
        <f t="shared" si="63"/>
        <v/>
      </c>
      <c r="P436" s="11" t="str">
        <f t="shared" si="64"/>
        <v/>
      </c>
      <c r="Q436" s="5" t="str">
        <f t="shared" si="65"/>
        <v/>
      </c>
      <c r="R436" s="10"/>
      <c r="S436" s="5" t="str">
        <f t="shared" si="66"/>
        <v/>
      </c>
      <c r="T436" s="5" t="str">
        <f t="shared" si="67"/>
        <v/>
      </c>
      <c r="U436" s="5" t="str">
        <f t="shared" si="68"/>
        <v/>
      </c>
      <c r="V436" s="7" t="str">
        <f t="shared" si="69"/>
        <v/>
      </c>
      <c r="W436" s="8" t="str">
        <f t="shared" si="70"/>
        <v/>
      </c>
      <c r="X436" s="2"/>
      <c r="Y436" s="10"/>
      <c r="Z436" s="11" t="str">
        <f>IF(X436&lt;&gt;"执行卖出","",IFERROR(LOOKUP(2,1/(单次交易!$A$2:$A$201=B436),单次交易!$AP$2:$AP$201),""))</f>
        <v/>
      </c>
      <c r="AA436" s="10"/>
      <c r="AB436" s="8" t="str">
        <f t="shared" si="71"/>
        <v/>
      </c>
      <c r="AC436" s="8" t="str">
        <f>IF(A436="","",IF(A436="止损计划",IF(OR(B436="",D436="",E436="",F436="",G436=""),"计划不完整",IF(OR(D436&lt;1,D436&lt;&gt;INT(D436)),"阶段序号无效",IF(COUNTIFS($A$2:$A$497,"止损计划",$B$2:$B$497,B436,$D$2:$D$497,D436)&gt;1,"阶段序号重复",IF(E436&lt;=IFERROR(LOOKUP(2,1/(单次交易!$A$2:$A$201=B436),单次交易!$E$2:$E$201),0),"激活价须高于买入价",IF(F436&lt;N436,"止损价不得低于初始止损",IF(F436&gt;E436,"止损价不得高于激活价",IF(AND(COUNTIFS($A$2:$A$497,"止损计划",$B$2:$B$497,B436,$D$2:$D$497,"&lt;"&amp;D436)&gt;0,OR(E436&lt;=SUMPRODUCT(MAX((($A$2:$A$497="止损计划")*($B$2:$B$497=B436)*($D$2:$D$497&lt;D436))*$E$2:$E$497)),F436&lt;SUMPRODUCT(MAX((($A$2:$A$497="止损计划")*($B$2:$B$497=B436)*($D$2:$D$497&lt;D436))*$F$2:$F$497)))),"阶段价格必须逐级提高","计划有效"))))))),IF(A436="每日跟踪",IF(OR(B436="",H436="",I436="",J436=""),"每日数据不完整",IF(COUNTIFS($A$2:$A$497,"每日跟踪",$B$2:$B$497,B436,$H$2:$H$497,H436)&gt;1,"同一交易日期重复",IF(AND(R436&lt;&gt;"",R436&lt;S436),"人工止损无效：不能下调","跟踪有效"))),"记录类型无效")))</f>
        <v/>
      </c>
    </row>
    <row r="437" ht="17" spans="1:29">
      <c r="A437" s="2"/>
      <c r="B437" s="2"/>
      <c r="C437" s="8" t="str">
        <f>IF(B437="","",IFERROR(LOOKUP(2,1/(单次交易!$A$2:$A$201=B437),单次交易!$B$2:$B$201),""))</f>
        <v/>
      </c>
      <c r="D437" s="12"/>
      <c r="E437" s="10"/>
      <c r="F437" s="10"/>
      <c r="G437" s="2"/>
      <c r="H437" s="15"/>
      <c r="I437" s="10"/>
      <c r="J437" s="12"/>
      <c r="K437" s="2"/>
      <c r="L437" s="2"/>
      <c r="M437" s="2"/>
      <c r="N437" s="5" t="str">
        <f>IF(B437="","",IFERROR(LOOKUP(2,1/(单次交易!$A$2:$A$201=B437),单次交易!$N$2:$N$201),""))</f>
        <v/>
      </c>
      <c r="O437" s="5" t="str">
        <f t="shared" si="63"/>
        <v/>
      </c>
      <c r="P437" s="11" t="str">
        <f t="shared" si="64"/>
        <v/>
      </c>
      <c r="Q437" s="5" t="str">
        <f t="shared" si="65"/>
        <v/>
      </c>
      <c r="R437" s="10"/>
      <c r="S437" s="5" t="str">
        <f t="shared" si="66"/>
        <v/>
      </c>
      <c r="T437" s="5" t="str">
        <f t="shared" si="67"/>
        <v/>
      </c>
      <c r="U437" s="5" t="str">
        <f t="shared" si="68"/>
        <v/>
      </c>
      <c r="V437" s="7" t="str">
        <f t="shared" si="69"/>
        <v/>
      </c>
      <c r="W437" s="8" t="str">
        <f t="shared" si="70"/>
        <v/>
      </c>
      <c r="X437" s="2"/>
      <c r="Y437" s="10"/>
      <c r="Z437" s="11" t="str">
        <f>IF(X437&lt;&gt;"执行卖出","",IFERROR(LOOKUP(2,1/(单次交易!$A$2:$A$201=B437),单次交易!$AP$2:$AP$201),""))</f>
        <v/>
      </c>
      <c r="AA437" s="10"/>
      <c r="AB437" s="8" t="str">
        <f t="shared" si="71"/>
        <v/>
      </c>
      <c r="AC437" s="8" t="str">
        <f>IF(A437="","",IF(A437="止损计划",IF(OR(B437="",D437="",E437="",F437="",G437=""),"计划不完整",IF(OR(D437&lt;1,D437&lt;&gt;INT(D437)),"阶段序号无效",IF(COUNTIFS($A$2:$A$497,"止损计划",$B$2:$B$497,B437,$D$2:$D$497,D437)&gt;1,"阶段序号重复",IF(E437&lt;=IFERROR(LOOKUP(2,1/(单次交易!$A$2:$A$201=B437),单次交易!$E$2:$E$201),0),"激活价须高于买入价",IF(F437&lt;N437,"止损价不得低于初始止损",IF(F437&gt;E437,"止损价不得高于激活价",IF(AND(COUNTIFS($A$2:$A$497,"止损计划",$B$2:$B$497,B437,$D$2:$D$497,"&lt;"&amp;D437)&gt;0,OR(E437&lt;=SUMPRODUCT(MAX((($A$2:$A$497="止损计划")*($B$2:$B$497=B437)*($D$2:$D$497&lt;D437))*$E$2:$E$497)),F437&lt;SUMPRODUCT(MAX((($A$2:$A$497="止损计划")*($B$2:$B$497=B437)*($D$2:$D$497&lt;D437))*$F$2:$F$497)))),"阶段价格必须逐级提高","计划有效"))))))),IF(A437="每日跟踪",IF(OR(B437="",H437="",I437="",J437=""),"每日数据不完整",IF(COUNTIFS($A$2:$A$497,"每日跟踪",$B$2:$B$497,B437,$H$2:$H$497,H437)&gt;1,"同一交易日期重复",IF(AND(R437&lt;&gt;"",R437&lt;S437),"人工止损无效：不能下调","跟踪有效"))),"记录类型无效")))</f>
        <v/>
      </c>
    </row>
    <row r="438" ht="17" spans="1:29">
      <c r="A438" s="2"/>
      <c r="B438" s="2"/>
      <c r="C438" s="8" t="str">
        <f>IF(B438="","",IFERROR(LOOKUP(2,1/(单次交易!$A$2:$A$201=B438),单次交易!$B$2:$B$201),""))</f>
        <v/>
      </c>
      <c r="D438" s="12"/>
      <c r="E438" s="10"/>
      <c r="F438" s="10"/>
      <c r="G438" s="2"/>
      <c r="H438" s="15"/>
      <c r="I438" s="10"/>
      <c r="J438" s="12"/>
      <c r="K438" s="2"/>
      <c r="L438" s="2"/>
      <c r="M438" s="2"/>
      <c r="N438" s="5" t="str">
        <f>IF(B438="","",IFERROR(LOOKUP(2,1/(单次交易!$A$2:$A$201=B438),单次交易!$N$2:$N$201),""))</f>
        <v/>
      </c>
      <c r="O438" s="5" t="str">
        <f t="shared" si="63"/>
        <v/>
      </c>
      <c r="P438" s="11" t="str">
        <f t="shared" si="64"/>
        <v/>
      </c>
      <c r="Q438" s="5" t="str">
        <f t="shared" si="65"/>
        <v/>
      </c>
      <c r="R438" s="10"/>
      <c r="S438" s="5" t="str">
        <f t="shared" si="66"/>
        <v/>
      </c>
      <c r="T438" s="5" t="str">
        <f t="shared" si="67"/>
        <v/>
      </c>
      <c r="U438" s="5" t="str">
        <f t="shared" si="68"/>
        <v/>
      </c>
      <c r="V438" s="7" t="str">
        <f t="shared" si="69"/>
        <v/>
      </c>
      <c r="W438" s="8" t="str">
        <f t="shared" si="70"/>
        <v/>
      </c>
      <c r="X438" s="2"/>
      <c r="Y438" s="10"/>
      <c r="Z438" s="11" t="str">
        <f>IF(X438&lt;&gt;"执行卖出","",IFERROR(LOOKUP(2,1/(单次交易!$A$2:$A$201=B438),单次交易!$AP$2:$AP$201),""))</f>
        <v/>
      </c>
      <c r="AA438" s="10"/>
      <c r="AB438" s="8" t="str">
        <f t="shared" si="71"/>
        <v/>
      </c>
      <c r="AC438" s="8" t="str">
        <f>IF(A438="","",IF(A438="止损计划",IF(OR(B438="",D438="",E438="",F438="",G438=""),"计划不完整",IF(OR(D438&lt;1,D438&lt;&gt;INT(D438)),"阶段序号无效",IF(COUNTIFS($A$2:$A$497,"止损计划",$B$2:$B$497,B438,$D$2:$D$497,D438)&gt;1,"阶段序号重复",IF(E438&lt;=IFERROR(LOOKUP(2,1/(单次交易!$A$2:$A$201=B438),单次交易!$E$2:$E$201),0),"激活价须高于买入价",IF(F438&lt;N438,"止损价不得低于初始止损",IF(F438&gt;E438,"止损价不得高于激活价",IF(AND(COUNTIFS($A$2:$A$497,"止损计划",$B$2:$B$497,B438,$D$2:$D$497,"&lt;"&amp;D438)&gt;0,OR(E438&lt;=SUMPRODUCT(MAX((($A$2:$A$497="止损计划")*($B$2:$B$497=B438)*($D$2:$D$497&lt;D438))*$E$2:$E$497)),F438&lt;SUMPRODUCT(MAX((($A$2:$A$497="止损计划")*($B$2:$B$497=B438)*($D$2:$D$497&lt;D438))*$F$2:$F$497)))),"阶段价格必须逐级提高","计划有效"))))))),IF(A438="每日跟踪",IF(OR(B438="",H438="",I438="",J438=""),"每日数据不完整",IF(COUNTIFS($A$2:$A$497,"每日跟踪",$B$2:$B$497,B438,$H$2:$H$497,H438)&gt;1,"同一交易日期重复",IF(AND(R438&lt;&gt;"",R438&lt;S438),"人工止损无效：不能下调","跟踪有效"))),"记录类型无效")))</f>
        <v/>
      </c>
    </row>
    <row r="439" ht="17" spans="1:29">
      <c r="A439" s="2"/>
      <c r="B439" s="2"/>
      <c r="C439" s="8" t="str">
        <f>IF(B439="","",IFERROR(LOOKUP(2,1/(单次交易!$A$2:$A$201=B439),单次交易!$B$2:$B$201),""))</f>
        <v/>
      </c>
      <c r="D439" s="12"/>
      <c r="E439" s="10"/>
      <c r="F439" s="10"/>
      <c r="G439" s="2"/>
      <c r="H439" s="15"/>
      <c r="I439" s="10"/>
      <c r="J439" s="12"/>
      <c r="K439" s="2"/>
      <c r="L439" s="2"/>
      <c r="M439" s="2"/>
      <c r="N439" s="5" t="str">
        <f>IF(B439="","",IFERROR(LOOKUP(2,1/(单次交易!$A$2:$A$201=B439),单次交易!$N$2:$N$201),""))</f>
        <v/>
      </c>
      <c r="O439" s="5" t="str">
        <f t="shared" si="63"/>
        <v/>
      </c>
      <c r="P439" s="11" t="str">
        <f t="shared" si="64"/>
        <v/>
      </c>
      <c r="Q439" s="5" t="str">
        <f t="shared" si="65"/>
        <v/>
      </c>
      <c r="R439" s="10"/>
      <c r="S439" s="5" t="str">
        <f t="shared" si="66"/>
        <v/>
      </c>
      <c r="T439" s="5" t="str">
        <f t="shared" si="67"/>
        <v/>
      </c>
      <c r="U439" s="5" t="str">
        <f t="shared" si="68"/>
        <v/>
      </c>
      <c r="V439" s="7" t="str">
        <f t="shared" si="69"/>
        <v/>
      </c>
      <c r="W439" s="8" t="str">
        <f t="shared" si="70"/>
        <v/>
      </c>
      <c r="X439" s="2"/>
      <c r="Y439" s="10"/>
      <c r="Z439" s="11" t="str">
        <f>IF(X439&lt;&gt;"执行卖出","",IFERROR(LOOKUP(2,1/(单次交易!$A$2:$A$201=B439),单次交易!$AP$2:$AP$201),""))</f>
        <v/>
      </c>
      <c r="AA439" s="10"/>
      <c r="AB439" s="8" t="str">
        <f t="shared" si="71"/>
        <v/>
      </c>
      <c r="AC439" s="8" t="str">
        <f>IF(A439="","",IF(A439="止损计划",IF(OR(B439="",D439="",E439="",F439="",G439=""),"计划不完整",IF(OR(D439&lt;1,D439&lt;&gt;INT(D439)),"阶段序号无效",IF(COUNTIFS($A$2:$A$497,"止损计划",$B$2:$B$497,B439,$D$2:$D$497,D439)&gt;1,"阶段序号重复",IF(E439&lt;=IFERROR(LOOKUP(2,1/(单次交易!$A$2:$A$201=B439),单次交易!$E$2:$E$201),0),"激活价须高于买入价",IF(F439&lt;N439,"止损价不得低于初始止损",IF(F439&gt;E439,"止损价不得高于激活价",IF(AND(COUNTIFS($A$2:$A$497,"止损计划",$B$2:$B$497,B439,$D$2:$D$497,"&lt;"&amp;D439)&gt;0,OR(E439&lt;=SUMPRODUCT(MAX((($A$2:$A$497="止损计划")*($B$2:$B$497=B439)*($D$2:$D$497&lt;D439))*$E$2:$E$497)),F439&lt;SUMPRODUCT(MAX((($A$2:$A$497="止损计划")*($B$2:$B$497=B439)*($D$2:$D$497&lt;D439))*$F$2:$F$497)))),"阶段价格必须逐级提高","计划有效"))))))),IF(A439="每日跟踪",IF(OR(B439="",H439="",I439="",J439=""),"每日数据不完整",IF(COUNTIFS($A$2:$A$497,"每日跟踪",$B$2:$B$497,B439,$H$2:$H$497,H439)&gt;1,"同一交易日期重复",IF(AND(R439&lt;&gt;"",R439&lt;S439),"人工止损无效：不能下调","跟踪有效"))),"记录类型无效")))</f>
        <v/>
      </c>
    </row>
    <row r="440" ht="17" spans="1:29">
      <c r="A440" s="2"/>
      <c r="B440" s="2"/>
      <c r="C440" s="8" t="str">
        <f>IF(B440="","",IFERROR(LOOKUP(2,1/(单次交易!$A$2:$A$201=B440),单次交易!$B$2:$B$201),""))</f>
        <v/>
      </c>
      <c r="D440" s="12"/>
      <c r="E440" s="10"/>
      <c r="F440" s="10"/>
      <c r="G440" s="2"/>
      <c r="H440" s="15"/>
      <c r="I440" s="10"/>
      <c r="J440" s="12"/>
      <c r="K440" s="2"/>
      <c r="L440" s="2"/>
      <c r="M440" s="2"/>
      <c r="N440" s="5" t="str">
        <f>IF(B440="","",IFERROR(LOOKUP(2,1/(单次交易!$A$2:$A$201=B440),单次交易!$N$2:$N$201),""))</f>
        <v/>
      </c>
      <c r="O440" s="5" t="str">
        <f t="shared" si="63"/>
        <v/>
      </c>
      <c r="P440" s="11" t="str">
        <f t="shared" si="64"/>
        <v/>
      </c>
      <c r="Q440" s="5" t="str">
        <f t="shared" si="65"/>
        <v/>
      </c>
      <c r="R440" s="10"/>
      <c r="S440" s="5" t="str">
        <f t="shared" si="66"/>
        <v/>
      </c>
      <c r="T440" s="5" t="str">
        <f t="shared" si="67"/>
        <v/>
      </c>
      <c r="U440" s="5" t="str">
        <f t="shared" si="68"/>
        <v/>
      </c>
      <c r="V440" s="7" t="str">
        <f t="shared" si="69"/>
        <v/>
      </c>
      <c r="W440" s="8" t="str">
        <f t="shared" si="70"/>
        <v/>
      </c>
      <c r="X440" s="2"/>
      <c r="Y440" s="10"/>
      <c r="Z440" s="11" t="str">
        <f>IF(X440&lt;&gt;"执行卖出","",IFERROR(LOOKUP(2,1/(单次交易!$A$2:$A$201=B440),单次交易!$AP$2:$AP$201),""))</f>
        <v/>
      </c>
      <c r="AA440" s="10"/>
      <c r="AB440" s="8" t="str">
        <f t="shared" si="71"/>
        <v/>
      </c>
      <c r="AC440" s="8" t="str">
        <f>IF(A440="","",IF(A440="止损计划",IF(OR(B440="",D440="",E440="",F440="",G440=""),"计划不完整",IF(OR(D440&lt;1,D440&lt;&gt;INT(D440)),"阶段序号无效",IF(COUNTIFS($A$2:$A$497,"止损计划",$B$2:$B$497,B440,$D$2:$D$497,D440)&gt;1,"阶段序号重复",IF(E440&lt;=IFERROR(LOOKUP(2,1/(单次交易!$A$2:$A$201=B440),单次交易!$E$2:$E$201),0),"激活价须高于买入价",IF(F440&lt;N440,"止损价不得低于初始止损",IF(F440&gt;E440,"止损价不得高于激活价",IF(AND(COUNTIFS($A$2:$A$497,"止损计划",$B$2:$B$497,B440,$D$2:$D$497,"&lt;"&amp;D440)&gt;0,OR(E440&lt;=SUMPRODUCT(MAX((($A$2:$A$497="止损计划")*($B$2:$B$497=B440)*($D$2:$D$497&lt;D440))*$E$2:$E$497)),F440&lt;SUMPRODUCT(MAX((($A$2:$A$497="止损计划")*($B$2:$B$497=B440)*($D$2:$D$497&lt;D440))*$F$2:$F$497)))),"阶段价格必须逐级提高","计划有效"))))))),IF(A440="每日跟踪",IF(OR(B440="",H440="",I440="",J440=""),"每日数据不完整",IF(COUNTIFS($A$2:$A$497,"每日跟踪",$B$2:$B$497,B440,$H$2:$H$497,H440)&gt;1,"同一交易日期重复",IF(AND(R440&lt;&gt;"",R440&lt;S440),"人工止损无效：不能下调","跟踪有效"))),"记录类型无效")))</f>
        <v/>
      </c>
    </row>
    <row r="441" ht="17" spans="1:29">
      <c r="A441" s="2"/>
      <c r="B441" s="2"/>
      <c r="C441" s="8" t="str">
        <f>IF(B441="","",IFERROR(LOOKUP(2,1/(单次交易!$A$2:$A$201=B441),单次交易!$B$2:$B$201),""))</f>
        <v/>
      </c>
      <c r="D441" s="12"/>
      <c r="E441" s="10"/>
      <c r="F441" s="10"/>
      <c r="G441" s="2"/>
      <c r="H441" s="15"/>
      <c r="I441" s="10"/>
      <c r="J441" s="12"/>
      <c r="K441" s="2"/>
      <c r="L441" s="2"/>
      <c r="M441" s="2"/>
      <c r="N441" s="5" t="str">
        <f>IF(B441="","",IFERROR(LOOKUP(2,1/(单次交易!$A$2:$A$201=B441),单次交易!$N$2:$N$201),""))</f>
        <v/>
      </c>
      <c r="O441" s="5" t="str">
        <f t="shared" si="63"/>
        <v/>
      </c>
      <c r="P441" s="11" t="str">
        <f t="shared" si="64"/>
        <v/>
      </c>
      <c r="Q441" s="5" t="str">
        <f t="shared" si="65"/>
        <v/>
      </c>
      <c r="R441" s="10"/>
      <c r="S441" s="5" t="str">
        <f t="shared" si="66"/>
        <v/>
      </c>
      <c r="T441" s="5" t="str">
        <f t="shared" si="67"/>
        <v/>
      </c>
      <c r="U441" s="5" t="str">
        <f t="shared" si="68"/>
        <v/>
      </c>
      <c r="V441" s="7" t="str">
        <f t="shared" si="69"/>
        <v/>
      </c>
      <c r="W441" s="8" t="str">
        <f t="shared" si="70"/>
        <v/>
      </c>
      <c r="X441" s="2"/>
      <c r="Y441" s="10"/>
      <c r="Z441" s="11" t="str">
        <f>IF(X441&lt;&gt;"执行卖出","",IFERROR(LOOKUP(2,1/(单次交易!$A$2:$A$201=B441),单次交易!$AP$2:$AP$201),""))</f>
        <v/>
      </c>
      <c r="AA441" s="10"/>
      <c r="AB441" s="8" t="str">
        <f t="shared" si="71"/>
        <v/>
      </c>
      <c r="AC441" s="8" t="str">
        <f>IF(A441="","",IF(A441="止损计划",IF(OR(B441="",D441="",E441="",F441="",G441=""),"计划不完整",IF(OR(D441&lt;1,D441&lt;&gt;INT(D441)),"阶段序号无效",IF(COUNTIFS($A$2:$A$497,"止损计划",$B$2:$B$497,B441,$D$2:$D$497,D441)&gt;1,"阶段序号重复",IF(E441&lt;=IFERROR(LOOKUP(2,1/(单次交易!$A$2:$A$201=B441),单次交易!$E$2:$E$201),0),"激活价须高于买入价",IF(F441&lt;N441,"止损价不得低于初始止损",IF(F441&gt;E441,"止损价不得高于激活价",IF(AND(COUNTIFS($A$2:$A$497,"止损计划",$B$2:$B$497,B441,$D$2:$D$497,"&lt;"&amp;D441)&gt;0,OR(E441&lt;=SUMPRODUCT(MAX((($A$2:$A$497="止损计划")*($B$2:$B$497=B441)*($D$2:$D$497&lt;D441))*$E$2:$E$497)),F441&lt;SUMPRODUCT(MAX((($A$2:$A$497="止损计划")*($B$2:$B$497=B441)*($D$2:$D$497&lt;D441))*$F$2:$F$497)))),"阶段价格必须逐级提高","计划有效"))))))),IF(A441="每日跟踪",IF(OR(B441="",H441="",I441="",J441=""),"每日数据不完整",IF(COUNTIFS($A$2:$A$497,"每日跟踪",$B$2:$B$497,B441,$H$2:$H$497,H441)&gt;1,"同一交易日期重复",IF(AND(R441&lt;&gt;"",R441&lt;S441),"人工止损无效：不能下调","跟踪有效"))),"记录类型无效")))</f>
        <v/>
      </c>
    </row>
    <row r="442" ht="17" spans="1:29">
      <c r="A442" s="2"/>
      <c r="B442" s="2"/>
      <c r="C442" s="8" t="str">
        <f>IF(B442="","",IFERROR(LOOKUP(2,1/(单次交易!$A$2:$A$201=B442),单次交易!$B$2:$B$201),""))</f>
        <v/>
      </c>
      <c r="D442" s="12"/>
      <c r="E442" s="10"/>
      <c r="F442" s="10"/>
      <c r="G442" s="2"/>
      <c r="H442" s="15"/>
      <c r="I442" s="10"/>
      <c r="J442" s="12"/>
      <c r="K442" s="2"/>
      <c r="L442" s="2"/>
      <c r="M442" s="2"/>
      <c r="N442" s="5" t="str">
        <f>IF(B442="","",IFERROR(LOOKUP(2,1/(单次交易!$A$2:$A$201=B442),单次交易!$N$2:$N$201),""))</f>
        <v/>
      </c>
      <c r="O442" s="5" t="str">
        <f t="shared" si="63"/>
        <v/>
      </c>
      <c r="P442" s="11" t="str">
        <f t="shared" si="64"/>
        <v/>
      </c>
      <c r="Q442" s="5" t="str">
        <f t="shared" si="65"/>
        <v/>
      </c>
      <c r="R442" s="10"/>
      <c r="S442" s="5" t="str">
        <f t="shared" si="66"/>
        <v/>
      </c>
      <c r="T442" s="5" t="str">
        <f t="shared" si="67"/>
        <v/>
      </c>
      <c r="U442" s="5" t="str">
        <f t="shared" si="68"/>
        <v/>
      </c>
      <c r="V442" s="7" t="str">
        <f t="shared" si="69"/>
        <v/>
      </c>
      <c r="W442" s="8" t="str">
        <f t="shared" si="70"/>
        <v/>
      </c>
      <c r="X442" s="2"/>
      <c r="Y442" s="10"/>
      <c r="Z442" s="11" t="str">
        <f>IF(X442&lt;&gt;"执行卖出","",IFERROR(LOOKUP(2,1/(单次交易!$A$2:$A$201=B442),单次交易!$AP$2:$AP$201),""))</f>
        <v/>
      </c>
      <c r="AA442" s="10"/>
      <c r="AB442" s="8" t="str">
        <f t="shared" si="71"/>
        <v/>
      </c>
      <c r="AC442" s="8" t="str">
        <f>IF(A442="","",IF(A442="止损计划",IF(OR(B442="",D442="",E442="",F442="",G442=""),"计划不完整",IF(OR(D442&lt;1,D442&lt;&gt;INT(D442)),"阶段序号无效",IF(COUNTIFS($A$2:$A$497,"止损计划",$B$2:$B$497,B442,$D$2:$D$497,D442)&gt;1,"阶段序号重复",IF(E442&lt;=IFERROR(LOOKUP(2,1/(单次交易!$A$2:$A$201=B442),单次交易!$E$2:$E$201),0),"激活价须高于买入价",IF(F442&lt;N442,"止损价不得低于初始止损",IF(F442&gt;E442,"止损价不得高于激活价",IF(AND(COUNTIFS($A$2:$A$497,"止损计划",$B$2:$B$497,B442,$D$2:$D$497,"&lt;"&amp;D442)&gt;0,OR(E442&lt;=SUMPRODUCT(MAX((($A$2:$A$497="止损计划")*($B$2:$B$497=B442)*($D$2:$D$497&lt;D442))*$E$2:$E$497)),F442&lt;SUMPRODUCT(MAX((($A$2:$A$497="止损计划")*($B$2:$B$497=B442)*($D$2:$D$497&lt;D442))*$F$2:$F$497)))),"阶段价格必须逐级提高","计划有效"))))))),IF(A442="每日跟踪",IF(OR(B442="",H442="",I442="",J442=""),"每日数据不完整",IF(COUNTIFS($A$2:$A$497,"每日跟踪",$B$2:$B$497,B442,$H$2:$H$497,H442)&gt;1,"同一交易日期重复",IF(AND(R442&lt;&gt;"",R442&lt;S442),"人工止损无效：不能下调","跟踪有效"))),"记录类型无效")))</f>
        <v/>
      </c>
    </row>
    <row r="443" ht="17" spans="1:29">
      <c r="A443" s="2"/>
      <c r="B443" s="2"/>
      <c r="C443" s="8" t="str">
        <f>IF(B443="","",IFERROR(LOOKUP(2,1/(单次交易!$A$2:$A$201=B443),单次交易!$B$2:$B$201),""))</f>
        <v/>
      </c>
      <c r="D443" s="12"/>
      <c r="E443" s="10"/>
      <c r="F443" s="10"/>
      <c r="G443" s="2"/>
      <c r="H443" s="15"/>
      <c r="I443" s="10"/>
      <c r="J443" s="12"/>
      <c r="K443" s="2"/>
      <c r="L443" s="2"/>
      <c r="M443" s="2"/>
      <c r="N443" s="5" t="str">
        <f>IF(B443="","",IFERROR(LOOKUP(2,1/(单次交易!$A$2:$A$201=B443),单次交易!$N$2:$N$201),""))</f>
        <v/>
      </c>
      <c r="O443" s="5" t="str">
        <f t="shared" si="63"/>
        <v/>
      </c>
      <c r="P443" s="11" t="str">
        <f t="shared" si="64"/>
        <v/>
      </c>
      <c r="Q443" s="5" t="str">
        <f t="shared" si="65"/>
        <v/>
      </c>
      <c r="R443" s="10"/>
      <c r="S443" s="5" t="str">
        <f t="shared" si="66"/>
        <v/>
      </c>
      <c r="T443" s="5" t="str">
        <f t="shared" si="67"/>
        <v/>
      </c>
      <c r="U443" s="5" t="str">
        <f t="shared" si="68"/>
        <v/>
      </c>
      <c r="V443" s="7" t="str">
        <f t="shared" si="69"/>
        <v/>
      </c>
      <c r="W443" s="8" t="str">
        <f t="shared" si="70"/>
        <v/>
      </c>
      <c r="X443" s="2"/>
      <c r="Y443" s="10"/>
      <c r="Z443" s="11" t="str">
        <f>IF(X443&lt;&gt;"执行卖出","",IFERROR(LOOKUP(2,1/(单次交易!$A$2:$A$201=B443),单次交易!$AP$2:$AP$201),""))</f>
        <v/>
      </c>
      <c r="AA443" s="10"/>
      <c r="AB443" s="8" t="str">
        <f t="shared" si="71"/>
        <v/>
      </c>
      <c r="AC443" s="8" t="str">
        <f>IF(A443="","",IF(A443="止损计划",IF(OR(B443="",D443="",E443="",F443="",G443=""),"计划不完整",IF(OR(D443&lt;1,D443&lt;&gt;INT(D443)),"阶段序号无效",IF(COUNTIFS($A$2:$A$497,"止损计划",$B$2:$B$497,B443,$D$2:$D$497,D443)&gt;1,"阶段序号重复",IF(E443&lt;=IFERROR(LOOKUP(2,1/(单次交易!$A$2:$A$201=B443),单次交易!$E$2:$E$201),0),"激活价须高于买入价",IF(F443&lt;N443,"止损价不得低于初始止损",IF(F443&gt;E443,"止损价不得高于激活价",IF(AND(COUNTIFS($A$2:$A$497,"止损计划",$B$2:$B$497,B443,$D$2:$D$497,"&lt;"&amp;D443)&gt;0,OR(E443&lt;=SUMPRODUCT(MAX((($A$2:$A$497="止损计划")*($B$2:$B$497=B443)*($D$2:$D$497&lt;D443))*$E$2:$E$497)),F443&lt;SUMPRODUCT(MAX((($A$2:$A$497="止损计划")*($B$2:$B$497=B443)*($D$2:$D$497&lt;D443))*$F$2:$F$497)))),"阶段价格必须逐级提高","计划有效"))))))),IF(A443="每日跟踪",IF(OR(B443="",H443="",I443="",J443=""),"每日数据不完整",IF(COUNTIFS($A$2:$A$497,"每日跟踪",$B$2:$B$497,B443,$H$2:$H$497,H443)&gt;1,"同一交易日期重复",IF(AND(R443&lt;&gt;"",R443&lt;S443),"人工止损无效：不能下调","跟踪有效"))),"记录类型无效")))</f>
        <v/>
      </c>
    </row>
    <row r="444" ht="17" spans="1:29">
      <c r="A444" s="2"/>
      <c r="B444" s="2"/>
      <c r="C444" s="8" t="str">
        <f>IF(B444="","",IFERROR(LOOKUP(2,1/(单次交易!$A$2:$A$201=B444),单次交易!$B$2:$B$201),""))</f>
        <v/>
      </c>
      <c r="D444" s="12"/>
      <c r="E444" s="10"/>
      <c r="F444" s="10"/>
      <c r="G444" s="2"/>
      <c r="H444" s="15"/>
      <c r="I444" s="10"/>
      <c r="J444" s="12"/>
      <c r="K444" s="2"/>
      <c r="L444" s="2"/>
      <c r="M444" s="2"/>
      <c r="N444" s="5" t="str">
        <f>IF(B444="","",IFERROR(LOOKUP(2,1/(单次交易!$A$2:$A$201=B444),单次交易!$N$2:$N$201),""))</f>
        <v/>
      </c>
      <c r="O444" s="5" t="str">
        <f t="shared" si="63"/>
        <v/>
      </c>
      <c r="P444" s="11" t="str">
        <f t="shared" si="64"/>
        <v/>
      </c>
      <c r="Q444" s="5" t="str">
        <f t="shared" si="65"/>
        <v/>
      </c>
      <c r="R444" s="10"/>
      <c r="S444" s="5" t="str">
        <f t="shared" si="66"/>
        <v/>
      </c>
      <c r="T444" s="5" t="str">
        <f t="shared" si="67"/>
        <v/>
      </c>
      <c r="U444" s="5" t="str">
        <f t="shared" si="68"/>
        <v/>
      </c>
      <c r="V444" s="7" t="str">
        <f t="shared" si="69"/>
        <v/>
      </c>
      <c r="W444" s="8" t="str">
        <f t="shared" si="70"/>
        <v/>
      </c>
      <c r="X444" s="2"/>
      <c r="Y444" s="10"/>
      <c r="Z444" s="11" t="str">
        <f>IF(X444&lt;&gt;"执行卖出","",IFERROR(LOOKUP(2,1/(单次交易!$A$2:$A$201=B444),单次交易!$AP$2:$AP$201),""))</f>
        <v/>
      </c>
      <c r="AA444" s="10"/>
      <c r="AB444" s="8" t="str">
        <f t="shared" si="71"/>
        <v/>
      </c>
      <c r="AC444" s="8" t="str">
        <f>IF(A444="","",IF(A444="止损计划",IF(OR(B444="",D444="",E444="",F444="",G444=""),"计划不完整",IF(OR(D444&lt;1,D444&lt;&gt;INT(D444)),"阶段序号无效",IF(COUNTIFS($A$2:$A$497,"止损计划",$B$2:$B$497,B444,$D$2:$D$497,D444)&gt;1,"阶段序号重复",IF(E444&lt;=IFERROR(LOOKUP(2,1/(单次交易!$A$2:$A$201=B444),单次交易!$E$2:$E$201),0),"激活价须高于买入价",IF(F444&lt;N444,"止损价不得低于初始止损",IF(F444&gt;E444,"止损价不得高于激活价",IF(AND(COUNTIFS($A$2:$A$497,"止损计划",$B$2:$B$497,B444,$D$2:$D$497,"&lt;"&amp;D444)&gt;0,OR(E444&lt;=SUMPRODUCT(MAX((($A$2:$A$497="止损计划")*($B$2:$B$497=B444)*($D$2:$D$497&lt;D444))*$E$2:$E$497)),F444&lt;SUMPRODUCT(MAX((($A$2:$A$497="止损计划")*($B$2:$B$497=B444)*($D$2:$D$497&lt;D444))*$F$2:$F$497)))),"阶段价格必须逐级提高","计划有效"))))))),IF(A444="每日跟踪",IF(OR(B444="",H444="",I444="",J444=""),"每日数据不完整",IF(COUNTIFS($A$2:$A$497,"每日跟踪",$B$2:$B$497,B444,$H$2:$H$497,H444)&gt;1,"同一交易日期重复",IF(AND(R444&lt;&gt;"",R444&lt;S444),"人工止损无效：不能下调","跟踪有效"))),"记录类型无效")))</f>
        <v/>
      </c>
    </row>
    <row r="445" ht="17" spans="1:29">
      <c r="A445" s="2"/>
      <c r="B445" s="2"/>
      <c r="C445" s="8" t="str">
        <f>IF(B445="","",IFERROR(LOOKUP(2,1/(单次交易!$A$2:$A$201=B445),单次交易!$B$2:$B$201),""))</f>
        <v/>
      </c>
      <c r="D445" s="12"/>
      <c r="E445" s="10"/>
      <c r="F445" s="10"/>
      <c r="G445" s="2"/>
      <c r="H445" s="15"/>
      <c r="I445" s="10"/>
      <c r="J445" s="12"/>
      <c r="K445" s="2"/>
      <c r="L445" s="2"/>
      <c r="M445" s="2"/>
      <c r="N445" s="5" t="str">
        <f>IF(B445="","",IFERROR(LOOKUP(2,1/(单次交易!$A$2:$A$201=B445),单次交易!$N$2:$N$201),""))</f>
        <v/>
      </c>
      <c r="O445" s="5" t="str">
        <f t="shared" si="63"/>
        <v/>
      </c>
      <c r="P445" s="11" t="str">
        <f t="shared" si="64"/>
        <v/>
      </c>
      <c r="Q445" s="5" t="str">
        <f t="shared" si="65"/>
        <v/>
      </c>
      <c r="R445" s="10"/>
      <c r="S445" s="5" t="str">
        <f t="shared" si="66"/>
        <v/>
      </c>
      <c r="T445" s="5" t="str">
        <f t="shared" si="67"/>
        <v/>
      </c>
      <c r="U445" s="5" t="str">
        <f t="shared" si="68"/>
        <v/>
      </c>
      <c r="V445" s="7" t="str">
        <f t="shared" si="69"/>
        <v/>
      </c>
      <c r="W445" s="8" t="str">
        <f t="shared" si="70"/>
        <v/>
      </c>
      <c r="X445" s="2"/>
      <c r="Y445" s="10"/>
      <c r="Z445" s="11" t="str">
        <f>IF(X445&lt;&gt;"执行卖出","",IFERROR(LOOKUP(2,1/(单次交易!$A$2:$A$201=B445),单次交易!$AP$2:$AP$201),""))</f>
        <v/>
      </c>
      <c r="AA445" s="10"/>
      <c r="AB445" s="8" t="str">
        <f t="shared" si="71"/>
        <v/>
      </c>
      <c r="AC445" s="8" t="str">
        <f>IF(A445="","",IF(A445="止损计划",IF(OR(B445="",D445="",E445="",F445="",G445=""),"计划不完整",IF(OR(D445&lt;1,D445&lt;&gt;INT(D445)),"阶段序号无效",IF(COUNTIFS($A$2:$A$497,"止损计划",$B$2:$B$497,B445,$D$2:$D$497,D445)&gt;1,"阶段序号重复",IF(E445&lt;=IFERROR(LOOKUP(2,1/(单次交易!$A$2:$A$201=B445),单次交易!$E$2:$E$201),0),"激活价须高于买入价",IF(F445&lt;N445,"止损价不得低于初始止损",IF(F445&gt;E445,"止损价不得高于激活价",IF(AND(COUNTIFS($A$2:$A$497,"止损计划",$B$2:$B$497,B445,$D$2:$D$497,"&lt;"&amp;D445)&gt;0,OR(E445&lt;=SUMPRODUCT(MAX((($A$2:$A$497="止损计划")*($B$2:$B$497=B445)*($D$2:$D$497&lt;D445))*$E$2:$E$497)),F445&lt;SUMPRODUCT(MAX((($A$2:$A$497="止损计划")*($B$2:$B$497=B445)*($D$2:$D$497&lt;D445))*$F$2:$F$497)))),"阶段价格必须逐级提高","计划有效"))))))),IF(A445="每日跟踪",IF(OR(B445="",H445="",I445="",J445=""),"每日数据不完整",IF(COUNTIFS($A$2:$A$497,"每日跟踪",$B$2:$B$497,B445,$H$2:$H$497,H445)&gt;1,"同一交易日期重复",IF(AND(R445&lt;&gt;"",R445&lt;S445),"人工止损无效：不能下调","跟踪有效"))),"记录类型无效")))</f>
        <v/>
      </c>
    </row>
    <row r="446" ht="17" spans="1:29">
      <c r="A446" s="2"/>
      <c r="B446" s="2"/>
      <c r="C446" s="8" t="str">
        <f>IF(B446="","",IFERROR(LOOKUP(2,1/(单次交易!$A$2:$A$201=B446),单次交易!$B$2:$B$201),""))</f>
        <v/>
      </c>
      <c r="D446" s="12"/>
      <c r="E446" s="10"/>
      <c r="F446" s="10"/>
      <c r="G446" s="2"/>
      <c r="H446" s="15"/>
      <c r="I446" s="10"/>
      <c r="J446" s="12"/>
      <c r="K446" s="2"/>
      <c r="L446" s="2"/>
      <c r="M446" s="2"/>
      <c r="N446" s="5" t="str">
        <f>IF(B446="","",IFERROR(LOOKUP(2,1/(单次交易!$A$2:$A$201=B446),单次交易!$N$2:$N$201),""))</f>
        <v/>
      </c>
      <c r="O446" s="5" t="str">
        <f t="shared" ref="O446:O497" si="72">IF(A446&lt;&gt;"每日跟踪","",IF(OR(B446="",H446="",I446=""),"",IFERROR(SUMPRODUCT(MAX((($A$2:$A$497="每日跟踪")*($B$2:$B$497=B446)*($H$2:$H$497&lt;=H446))*$I$2:$I$497)),"")))</f>
        <v/>
      </c>
      <c r="P446" s="11" t="str">
        <f t="shared" ref="P446:P497" si="73">IF(A446&lt;&gt;"每日跟踪","",IF(O446="","",IFERROR(SUMPRODUCT(MAX((($A$2:$A$497="止损计划")*($B$2:$B$497=B446)*($E$2:$E$497&lt;=O446))*$D$2:$D$497)),0)))</f>
        <v/>
      </c>
      <c r="Q446" s="5" t="str">
        <f t="shared" ref="Q446:Q497" si="74">IF(A446&lt;&gt;"每日跟踪","",IF(N446="","",MAX(N446,IFERROR(SUMPRODUCT(MAX((($A$2:$A$497="止损计划")*($B$2:$B$497=B446)*($E$2:$E$497&lt;=O446))*$F$2:$F$497)),0))))</f>
        <v/>
      </c>
      <c r="R446" s="10"/>
      <c r="S446" s="5" t="str">
        <f t="shared" ref="S446:S497" si="75">IF(A446&lt;&gt;"每日跟踪","",IF(Q446="","",MAX(Q446,IFERROR(SUMPRODUCT(MAX((($A$2:$A$497="每日跟踪")*($B$2:$B$497=B446)*($H$2:$H$497&lt;=H446))*$R$2:$R$497)),0))))</f>
        <v/>
      </c>
      <c r="T446" s="5" t="str">
        <f t="shared" ref="T446:T497" si="76">IF(A446&lt;&gt;"每日跟踪","",IF(O446="","",IF(COUNTIFS($A$2:$A$497,"止损计划",$B$2:$B$497,B446,$E$2:$E$497,"&gt;"&amp;O446)=0,"",INDEX($E$2:$E$497,MATCH(1,INDEX(($A$2:$A$497="止损计划")*($B$2:$B$497=B446)*($E$2:$E$497&gt;O446),0),0)))))</f>
        <v/>
      </c>
      <c r="U446" s="5" t="str">
        <f t="shared" ref="U446:U497" si="77">IF(OR(A446&lt;&gt;"每日跟踪",T446=""),"",IFERROR(SUMIFS($F$2:$F$497,$A$2:$A$497,"止损计划",$B$2:$B$497,B446,$E$2:$E$497,T446),""))</f>
        <v/>
      </c>
      <c r="V446" s="7" t="str">
        <f t="shared" ref="V446:V497" si="78">IF(OR(A446&lt;&gt;"每日跟踪",T446="",I446="",I446&lt;=0),"",T446/I446-1)</f>
        <v/>
      </c>
      <c r="W446" s="8" t="str">
        <f t="shared" ref="W446:W497" si="79">IF(A446&lt;&gt;"每日跟踪","",IF(OR(I446="",S446=""),"",IF(I446&lt;=S446,"触发止损：应全部卖出","继续观察")))</f>
        <v/>
      </c>
      <c r="X446" s="2"/>
      <c r="Y446" s="10"/>
      <c r="Z446" s="11" t="str">
        <f>IF(X446&lt;&gt;"执行卖出","",IFERROR(LOOKUP(2,1/(单次交易!$A$2:$A$201=B446),单次交易!$AP$2:$AP$201),""))</f>
        <v/>
      </c>
      <c r="AA446" s="10"/>
      <c r="AB446" s="8" t="str">
        <f t="shared" ref="AB446:AB497" si="80">IF(A446&lt;&gt;"每日跟踪","",IF(OR(B446="",H446="",I446="",J446="",K446="",L446="",M446=""),"待补充每日记录",IF(W446="触发止损：应全部卖出",IF(X446&lt;&gt;"执行卖出","违规：触发止损但未执行",IF(Y446="","待补充实际卖出价","卖出记录完整")),IF(X446="","待选择卖出动作",IF(X446="执行卖出",IF(Y446="","待补充实际卖出价","卖出记录完整"),"正常")))))</f>
        <v/>
      </c>
      <c r="AC446" s="8" t="str">
        <f>IF(A446="","",IF(A446="止损计划",IF(OR(B446="",D446="",E446="",F446="",G446=""),"计划不完整",IF(OR(D446&lt;1,D446&lt;&gt;INT(D446)),"阶段序号无效",IF(COUNTIFS($A$2:$A$497,"止损计划",$B$2:$B$497,B446,$D$2:$D$497,D446)&gt;1,"阶段序号重复",IF(E446&lt;=IFERROR(LOOKUP(2,1/(单次交易!$A$2:$A$201=B446),单次交易!$E$2:$E$201),0),"激活价须高于买入价",IF(F446&lt;N446,"止损价不得低于初始止损",IF(F446&gt;E446,"止损价不得高于激活价",IF(AND(COUNTIFS($A$2:$A$497,"止损计划",$B$2:$B$497,B446,$D$2:$D$497,"&lt;"&amp;D446)&gt;0,OR(E446&lt;=SUMPRODUCT(MAX((($A$2:$A$497="止损计划")*($B$2:$B$497=B446)*($D$2:$D$497&lt;D446))*$E$2:$E$497)),F446&lt;SUMPRODUCT(MAX((($A$2:$A$497="止损计划")*($B$2:$B$497=B446)*($D$2:$D$497&lt;D446))*$F$2:$F$497)))),"阶段价格必须逐级提高","计划有效"))))))),IF(A446="每日跟踪",IF(OR(B446="",H446="",I446="",J446=""),"每日数据不完整",IF(COUNTIFS($A$2:$A$497,"每日跟踪",$B$2:$B$497,B446,$H$2:$H$497,H446)&gt;1,"同一交易日期重复",IF(AND(R446&lt;&gt;"",R446&lt;S446),"人工止损无效：不能下调","跟踪有效"))),"记录类型无效")))</f>
        <v/>
      </c>
    </row>
    <row r="447" ht="17" spans="1:29">
      <c r="A447" s="2"/>
      <c r="B447" s="2"/>
      <c r="C447" s="8" t="str">
        <f>IF(B447="","",IFERROR(LOOKUP(2,1/(单次交易!$A$2:$A$201=B447),单次交易!$B$2:$B$201),""))</f>
        <v/>
      </c>
      <c r="D447" s="12"/>
      <c r="E447" s="10"/>
      <c r="F447" s="10"/>
      <c r="G447" s="2"/>
      <c r="H447" s="15"/>
      <c r="I447" s="10"/>
      <c r="J447" s="12"/>
      <c r="K447" s="2"/>
      <c r="L447" s="2"/>
      <c r="M447" s="2"/>
      <c r="N447" s="5" t="str">
        <f>IF(B447="","",IFERROR(LOOKUP(2,1/(单次交易!$A$2:$A$201=B447),单次交易!$N$2:$N$201),""))</f>
        <v/>
      </c>
      <c r="O447" s="5" t="str">
        <f t="shared" si="72"/>
        <v/>
      </c>
      <c r="P447" s="11" t="str">
        <f t="shared" si="73"/>
        <v/>
      </c>
      <c r="Q447" s="5" t="str">
        <f t="shared" si="74"/>
        <v/>
      </c>
      <c r="R447" s="10"/>
      <c r="S447" s="5" t="str">
        <f t="shared" si="75"/>
        <v/>
      </c>
      <c r="T447" s="5" t="str">
        <f t="shared" si="76"/>
        <v/>
      </c>
      <c r="U447" s="5" t="str">
        <f t="shared" si="77"/>
        <v/>
      </c>
      <c r="V447" s="7" t="str">
        <f t="shared" si="78"/>
        <v/>
      </c>
      <c r="W447" s="8" t="str">
        <f t="shared" si="79"/>
        <v/>
      </c>
      <c r="X447" s="2"/>
      <c r="Y447" s="10"/>
      <c r="Z447" s="11" t="str">
        <f>IF(X447&lt;&gt;"执行卖出","",IFERROR(LOOKUP(2,1/(单次交易!$A$2:$A$201=B447),单次交易!$AP$2:$AP$201),""))</f>
        <v/>
      </c>
      <c r="AA447" s="10"/>
      <c r="AB447" s="8" t="str">
        <f t="shared" si="80"/>
        <v/>
      </c>
      <c r="AC447" s="8" t="str">
        <f>IF(A447="","",IF(A447="止损计划",IF(OR(B447="",D447="",E447="",F447="",G447=""),"计划不完整",IF(OR(D447&lt;1,D447&lt;&gt;INT(D447)),"阶段序号无效",IF(COUNTIFS($A$2:$A$497,"止损计划",$B$2:$B$497,B447,$D$2:$D$497,D447)&gt;1,"阶段序号重复",IF(E447&lt;=IFERROR(LOOKUP(2,1/(单次交易!$A$2:$A$201=B447),单次交易!$E$2:$E$201),0),"激活价须高于买入价",IF(F447&lt;N447,"止损价不得低于初始止损",IF(F447&gt;E447,"止损价不得高于激活价",IF(AND(COUNTIFS($A$2:$A$497,"止损计划",$B$2:$B$497,B447,$D$2:$D$497,"&lt;"&amp;D447)&gt;0,OR(E447&lt;=SUMPRODUCT(MAX((($A$2:$A$497="止损计划")*($B$2:$B$497=B447)*($D$2:$D$497&lt;D447))*$E$2:$E$497)),F447&lt;SUMPRODUCT(MAX((($A$2:$A$497="止损计划")*($B$2:$B$497=B447)*($D$2:$D$497&lt;D447))*$F$2:$F$497)))),"阶段价格必须逐级提高","计划有效"))))))),IF(A447="每日跟踪",IF(OR(B447="",H447="",I447="",J447=""),"每日数据不完整",IF(COUNTIFS($A$2:$A$497,"每日跟踪",$B$2:$B$497,B447,$H$2:$H$497,H447)&gt;1,"同一交易日期重复",IF(AND(R447&lt;&gt;"",R447&lt;S447),"人工止损无效：不能下调","跟踪有效"))),"记录类型无效")))</f>
        <v/>
      </c>
    </row>
    <row r="448" ht="17" spans="1:29">
      <c r="A448" s="2"/>
      <c r="B448" s="2"/>
      <c r="C448" s="8" t="str">
        <f>IF(B448="","",IFERROR(LOOKUP(2,1/(单次交易!$A$2:$A$201=B448),单次交易!$B$2:$B$201),""))</f>
        <v/>
      </c>
      <c r="D448" s="12"/>
      <c r="E448" s="10"/>
      <c r="F448" s="10"/>
      <c r="G448" s="2"/>
      <c r="H448" s="15"/>
      <c r="I448" s="10"/>
      <c r="J448" s="12"/>
      <c r="K448" s="2"/>
      <c r="L448" s="2"/>
      <c r="M448" s="2"/>
      <c r="N448" s="5" t="str">
        <f>IF(B448="","",IFERROR(LOOKUP(2,1/(单次交易!$A$2:$A$201=B448),单次交易!$N$2:$N$201),""))</f>
        <v/>
      </c>
      <c r="O448" s="5" t="str">
        <f t="shared" si="72"/>
        <v/>
      </c>
      <c r="P448" s="11" t="str">
        <f t="shared" si="73"/>
        <v/>
      </c>
      <c r="Q448" s="5" t="str">
        <f t="shared" si="74"/>
        <v/>
      </c>
      <c r="R448" s="10"/>
      <c r="S448" s="5" t="str">
        <f t="shared" si="75"/>
        <v/>
      </c>
      <c r="T448" s="5" t="str">
        <f t="shared" si="76"/>
        <v/>
      </c>
      <c r="U448" s="5" t="str">
        <f t="shared" si="77"/>
        <v/>
      </c>
      <c r="V448" s="7" t="str">
        <f t="shared" si="78"/>
        <v/>
      </c>
      <c r="W448" s="8" t="str">
        <f t="shared" si="79"/>
        <v/>
      </c>
      <c r="X448" s="2"/>
      <c r="Y448" s="10"/>
      <c r="Z448" s="11" t="str">
        <f>IF(X448&lt;&gt;"执行卖出","",IFERROR(LOOKUP(2,1/(单次交易!$A$2:$A$201=B448),单次交易!$AP$2:$AP$201),""))</f>
        <v/>
      </c>
      <c r="AA448" s="10"/>
      <c r="AB448" s="8" t="str">
        <f t="shared" si="80"/>
        <v/>
      </c>
      <c r="AC448" s="8" t="str">
        <f>IF(A448="","",IF(A448="止损计划",IF(OR(B448="",D448="",E448="",F448="",G448=""),"计划不完整",IF(OR(D448&lt;1,D448&lt;&gt;INT(D448)),"阶段序号无效",IF(COUNTIFS($A$2:$A$497,"止损计划",$B$2:$B$497,B448,$D$2:$D$497,D448)&gt;1,"阶段序号重复",IF(E448&lt;=IFERROR(LOOKUP(2,1/(单次交易!$A$2:$A$201=B448),单次交易!$E$2:$E$201),0),"激活价须高于买入价",IF(F448&lt;N448,"止损价不得低于初始止损",IF(F448&gt;E448,"止损价不得高于激活价",IF(AND(COUNTIFS($A$2:$A$497,"止损计划",$B$2:$B$497,B448,$D$2:$D$497,"&lt;"&amp;D448)&gt;0,OR(E448&lt;=SUMPRODUCT(MAX((($A$2:$A$497="止损计划")*($B$2:$B$497=B448)*($D$2:$D$497&lt;D448))*$E$2:$E$497)),F448&lt;SUMPRODUCT(MAX((($A$2:$A$497="止损计划")*($B$2:$B$497=B448)*($D$2:$D$497&lt;D448))*$F$2:$F$497)))),"阶段价格必须逐级提高","计划有效"))))))),IF(A448="每日跟踪",IF(OR(B448="",H448="",I448="",J448=""),"每日数据不完整",IF(COUNTIFS($A$2:$A$497,"每日跟踪",$B$2:$B$497,B448,$H$2:$H$497,H448)&gt;1,"同一交易日期重复",IF(AND(R448&lt;&gt;"",R448&lt;S448),"人工止损无效：不能下调","跟踪有效"))),"记录类型无效")))</f>
        <v/>
      </c>
    </row>
    <row r="449" ht="17" spans="1:29">
      <c r="A449" s="2"/>
      <c r="B449" s="2"/>
      <c r="C449" s="8" t="str">
        <f>IF(B449="","",IFERROR(LOOKUP(2,1/(单次交易!$A$2:$A$201=B449),单次交易!$B$2:$B$201),""))</f>
        <v/>
      </c>
      <c r="D449" s="12"/>
      <c r="E449" s="10"/>
      <c r="F449" s="10"/>
      <c r="G449" s="2"/>
      <c r="H449" s="15"/>
      <c r="I449" s="10"/>
      <c r="J449" s="12"/>
      <c r="K449" s="2"/>
      <c r="L449" s="2"/>
      <c r="M449" s="2"/>
      <c r="N449" s="5" t="str">
        <f>IF(B449="","",IFERROR(LOOKUP(2,1/(单次交易!$A$2:$A$201=B449),单次交易!$N$2:$N$201),""))</f>
        <v/>
      </c>
      <c r="O449" s="5" t="str">
        <f t="shared" si="72"/>
        <v/>
      </c>
      <c r="P449" s="11" t="str">
        <f t="shared" si="73"/>
        <v/>
      </c>
      <c r="Q449" s="5" t="str">
        <f t="shared" si="74"/>
        <v/>
      </c>
      <c r="R449" s="10"/>
      <c r="S449" s="5" t="str">
        <f t="shared" si="75"/>
        <v/>
      </c>
      <c r="T449" s="5" t="str">
        <f t="shared" si="76"/>
        <v/>
      </c>
      <c r="U449" s="5" t="str">
        <f t="shared" si="77"/>
        <v/>
      </c>
      <c r="V449" s="7" t="str">
        <f t="shared" si="78"/>
        <v/>
      </c>
      <c r="W449" s="8" t="str">
        <f t="shared" si="79"/>
        <v/>
      </c>
      <c r="X449" s="2"/>
      <c r="Y449" s="10"/>
      <c r="Z449" s="11" t="str">
        <f>IF(X449&lt;&gt;"执行卖出","",IFERROR(LOOKUP(2,1/(单次交易!$A$2:$A$201=B449),单次交易!$AP$2:$AP$201),""))</f>
        <v/>
      </c>
      <c r="AA449" s="10"/>
      <c r="AB449" s="8" t="str">
        <f t="shared" si="80"/>
        <v/>
      </c>
      <c r="AC449" s="8" t="str">
        <f>IF(A449="","",IF(A449="止损计划",IF(OR(B449="",D449="",E449="",F449="",G449=""),"计划不完整",IF(OR(D449&lt;1,D449&lt;&gt;INT(D449)),"阶段序号无效",IF(COUNTIFS($A$2:$A$497,"止损计划",$B$2:$B$497,B449,$D$2:$D$497,D449)&gt;1,"阶段序号重复",IF(E449&lt;=IFERROR(LOOKUP(2,1/(单次交易!$A$2:$A$201=B449),单次交易!$E$2:$E$201),0),"激活价须高于买入价",IF(F449&lt;N449,"止损价不得低于初始止损",IF(F449&gt;E449,"止损价不得高于激活价",IF(AND(COUNTIFS($A$2:$A$497,"止损计划",$B$2:$B$497,B449,$D$2:$D$497,"&lt;"&amp;D449)&gt;0,OR(E449&lt;=SUMPRODUCT(MAX((($A$2:$A$497="止损计划")*($B$2:$B$497=B449)*($D$2:$D$497&lt;D449))*$E$2:$E$497)),F449&lt;SUMPRODUCT(MAX((($A$2:$A$497="止损计划")*($B$2:$B$497=B449)*($D$2:$D$497&lt;D449))*$F$2:$F$497)))),"阶段价格必须逐级提高","计划有效"))))))),IF(A449="每日跟踪",IF(OR(B449="",H449="",I449="",J449=""),"每日数据不完整",IF(COUNTIFS($A$2:$A$497,"每日跟踪",$B$2:$B$497,B449,$H$2:$H$497,H449)&gt;1,"同一交易日期重复",IF(AND(R449&lt;&gt;"",R449&lt;S449),"人工止损无效：不能下调","跟踪有效"))),"记录类型无效")))</f>
        <v/>
      </c>
    </row>
    <row r="450" ht="17" spans="1:29">
      <c r="A450" s="2"/>
      <c r="B450" s="2"/>
      <c r="C450" s="8" t="str">
        <f>IF(B450="","",IFERROR(LOOKUP(2,1/(单次交易!$A$2:$A$201=B450),单次交易!$B$2:$B$201),""))</f>
        <v/>
      </c>
      <c r="D450" s="12"/>
      <c r="E450" s="10"/>
      <c r="F450" s="10"/>
      <c r="G450" s="2"/>
      <c r="H450" s="15"/>
      <c r="I450" s="10"/>
      <c r="J450" s="12"/>
      <c r="K450" s="2"/>
      <c r="L450" s="2"/>
      <c r="M450" s="2"/>
      <c r="N450" s="5" t="str">
        <f>IF(B450="","",IFERROR(LOOKUP(2,1/(单次交易!$A$2:$A$201=B450),单次交易!$N$2:$N$201),""))</f>
        <v/>
      </c>
      <c r="O450" s="5" t="str">
        <f t="shared" si="72"/>
        <v/>
      </c>
      <c r="P450" s="11" t="str">
        <f t="shared" si="73"/>
        <v/>
      </c>
      <c r="Q450" s="5" t="str">
        <f t="shared" si="74"/>
        <v/>
      </c>
      <c r="R450" s="10"/>
      <c r="S450" s="5" t="str">
        <f t="shared" si="75"/>
        <v/>
      </c>
      <c r="T450" s="5" t="str">
        <f t="shared" si="76"/>
        <v/>
      </c>
      <c r="U450" s="5" t="str">
        <f t="shared" si="77"/>
        <v/>
      </c>
      <c r="V450" s="7" t="str">
        <f t="shared" si="78"/>
        <v/>
      </c>
      <c r="W450" s="8" t="str">
        <f t="shared" si="79"/>
        <v/>
      </c>
      <c r="X450" s="2"/>
      <c r="Y450" s="10"/>
      <c r="Z450" s="11" t="str">
        <f>IF(X450&lt;&gt;"执行卖出","",IFERROR(LOOKUP(2,1/(单次交易!$A$2:$A$201=B450),单次交易!$AP$2:$AP$201),""))</f>
        <v/>
      </c>
      <c r="AA450" s="10"/>
      <c r="AB450" s="8" t="str">
        <f t="shared" si="80"/>
        <v/>
      </c>
      <c r="AC450" s="8" t="str">
        <f>IF(A450="","",IF(A450="止损计划",IF(OR(B450="",D450="",E450="",F450="",G450=""),"计划不完整",IF(OR(D450&lt;1,D450&lt;&gt;INT(D450)),"阶段序号无效",IF(COUNTIFS($A$2:$A$497,"止损计划",$B$2:$B$497,B450,$D$2:$D$497,D450)&gt;1,"阶段序号重复",IF(E450&lt;=IFERROR(LOOKUP(2,1/(单次交易!$A$2:$A$201=B450),单次交易!$E$2:$E$201),0),"激活价须高于买入价",IF(F450&lt;N450,"止损价不得低于初始止损",IF(F450&gt;E450,"止损价不得高于激活价",IF(AND(COUNTIFS($A$2:$A$497,"止损计划",$B$2:$B$497,B450,$D$2:$D$497,"&lt;"&amp;D450)&gt;0,OR(E450&lt;=SUMPRODUCT(MAX((($A$2:$A$497="止损计划")*($B$2:$B$497=B450)*($D$2:$D$497&lt;D450))*$E$2:$E$497)),F450&lt;SUMPRODUCT(MAX((($A$2:$A$497="止损计划")*($B$2:$B$497=B450)*($D$2:$D$497&lt;D450))*$F$2:$F$497)))),"阶段价格必须逐级提高","计划有效"))))))),IF(A450="每日跟踪",IF(OR(B450="",H450="",I450="",J450=""),"每日数据不完整",IF(COUNTIFS($A$2:$A$497,"每日跟踪",$B$2:$B$497,B450,$H$2:$H$497,H450)&gt;1,"同一交易日期重复",IF(AND(R450&lt;&gt;"",R450&lt;S450),"人工止损无效：不能下调","跟踪有效"))),"记录类型无效")))</f>
        <v/>
      </c>
    </row>
    <row r="451" ht="17" spans="1:29">
      <c r="A451" s="2"/>
      <c r="B451" s="2"/>
      <c r="C451" s="8" t="str">
        <f>IF(B451="","",IFERROR(LOOKUP(2,1/(单次交易!$A$2:$A$201=B451),单次交易!$B$2:$B$201),""))</f>
        <v/>
      </c>
      <c r="D451" s="12"/>
      <c r="E451" s="10"/>
      <c r="F451" s="10"/>
      <c r="G451" s="2"/>
      <c r="H451" s="15"/>
      <c r="I451" s="10"/>
      <c r="J451" s="12"/>
      <c r="K451" s="2"/>
      <c r="L451" s="2"/>
      <c r="M451" s="2"/>
      <c r="N451" s="5" t="str">
        <f>IF(B451="","",IFERROR(LOOKUP(2,1/(单次交易!$A$2:$A$201=B451),单次交易!$N$2:$N$201),""))</f>
        <v/>
      </c>
      <c r="O451" s="5" t="str">
        <f t="shared" si="72"/>
        <v/>
      </c>
      <c r="P451" s="11" t="str">
        <f t="shared" si="73"/>
        <v/>
      </c>
      <c r="Q451" s="5" t="str">
        <f t="shared" si="74"/>
        <v/>
      </c>
      <c r="R451" s="10"/>
      <c r="S451" s="5" t="str">
        <f t="shared" si="75"/>
        <v/>
      </c>
      <c r="T451" s="5" t="str">
        <f t="shared" si="76"/>
        <v/>
      </c>
      <c r="U451" s="5" t="str">
        <f t="shared" si="77"/>
        <v/>
      </c>
      <c r="V451" s="7" t="str">
        <f t="shared" si="78"/>
        <v/>
      </c>
      <c r="W451" s="8" t="str">
        <f t="shared" si="79"/>
        <v/>
      </c>
      <c r="X451" s="2"/>
      <c r="Y451" s="10"/>
      <c r="Z451" s="11" t="str">
        <f>IF(X451&lt;&gt;"执行卖出","",IFERROR(LOOKUP(2,1/(单次交易!$A$2:$A$201=B451),单次交易!$AP$2:$AP$201),""))</f>
        <v/>
      </c>
      <c r="AA451" s="10"/>
      <c r="AB451" s="8" t="str">
        <f t="shared" si="80"/>
        <v/>
      </c>
      <c r="AC451" s="8" t="str">
        <f>IF(A451="","",IF(A451="止损计划",IF(OR(B451="",D451="",E451="",F451="",G451=""),"计划不完整",IF(OR(D451&lt;1,D451&lt;&gt;INT(D451)),"阶段序号无效",IF(COUNTIFS($A$2:$A$497,"止损计划",$B$2:$B$497,B451,$D$2:$D$497,D451)&gt;1,"阶段序号重复",IF(E451&lt;=IFERROR(LOOKUP(2,1/(单次交易!$A$2:$A$201=B451),单次交易!$E$2:$E$201),0),"激活价须高于买入价",IF(F451&lt;N451,"止损价不得低于初始止损",IF(F451&gt;E451,"止损价不得高于激活价",IF(AND(COUNTIFS($A$2:$A$497,"止损计划",$B$2:$B$497,B451,$D$2:$D$497,"&lt;"&amp;D451)&gt;0,OR(E451&lt;=SUMPRODUCT(MAX((($A$2:$A$497="止损计划")*($B$2:$B$497=B451)*($D$2:$D$497&lt;D451))*$E$2:$E$497)),F451&lt;SUMPRODUCT(MAX((($A$2:$A$497="止损计划")*($B$2:$B$497=B451)*($D$2:$D$497&lt;D451))*$F$2:$F$497)))),"阶段价格必须逐级提高","计划有效"))))))),IF(A451="每日跟踪",IF(OR(B451="",H451="",I451="",J451=""),"每日数据不完整",IF(COUNTIFS($A$2:$A$497,"每日跟踪",$B$2:$B$497,B451,$H$2:$H$497,H451)&gt;1,"同一交易日期重复",IF(AND(R451&lt;&gt;"",R451&lt;S451),"人工止损无效：不能下调","跟踪有效"))),"记录类型无效")))</f>
        <v/>
      </c>
    </row>
    <row r="452" ht="17" spans="1:29">
      <c r="A452" s="2"/>
      <c r="B452" s="2"/>
      <c r="C452" s="8" t="str">
        <f>IF(B452="","",IFERROR(LOOKUP(2,1/(单次交易!$A$2:$A$201=B452),单次交易!$B$2:$B$201),""))</f>
        <v/>
      </c>
      <c r="D452" s="12"/>
      <c r="E452" s="10"/>
      <c r="F452" s="10"/>
      <c r="G452" s="2"/>
      <c r="H452" s="15"/>
      <c r="I452" s="10"/>
      <c r="J452" s="12"/>
      <c r="K452" s="2"/>
      <c r="L452" s="2"/>
      <c r="M452" s="2"/>
      <c r="N452" s="5" t="str">
        <f>IF(B452="","",IFERROR(LOOKUP(2,1/(单次交易!$A$2:$A$201=B452),单次交易!$N$2:$N$201),""))</f>
        <v/>
      </c>
      <c r="O452" s="5" t="str">
        <f t="shared" si="72"/>
        <v/>
      </c>
      <c r="P452" s="11" t="str">
        <f t="shared" si="73"/>
        <v/>
      </c>
      <c r="Q452" s="5" t="str">
        <f t="shared" si="74"/>
        <v/>
      </c>
      <c r="R452" s="10"/>
      <c r="S452" s="5" t="str">
        <f t="shared" si="75"/>
        <v/>
      </c>
      <c r="T452" s="5" t="str">
        <f t="shared" si="76"/>
        <v/>
      </c>
      <c r="U452" s="5" t="str">
        <f t="shared" si="77"/>
        <v/>
      </c>
      <c r="V452" s="7" t="str">
        <f t="shared" si="78"/>
        <v/>
      </c>
      <c r="W452" s="8" t="str">
        <f t="shared" si="79"/>
        <v/>
      </c>
      <c r="X452" s="2"/>
      <c r="Y452" s="10"/>
      <c r="Z452" s="11" t="str">
        <f>IF(X452&lt;&gt;"执行卖出","",IFERROR(LOOKUP(2,1/(单次交易!$A$2:$A$201=B452),单次交易!$AP$2:$AP$201),""))</f>
        <v/>
      </c>
      <c r="AA452" s="10"/>
      <c r="AB452" s="8" t="str">
        <f t="shared" si="80"/>
        <v/>
      </c>
      <c r="AC452" s="8" t="str">
        <f>IF(A452="","",IF(A452="止损计划",IF(OR(B452="",D452="",E452="",F452="",G452=""),"计划不完整",IF(OR(D452&lt;1,D452&lt;&gt;INT(D452)),"阶段序号无效",IF(COUNTIFS($A$2:$A$497,"止损计划",$B$2:$B$497,B452,$D$2:$D$497,D452)&gt;1,"阶段序号重复",IF(E452&lt;=IFERROR(LOOKUP(2,1/(单次交易!$A$2:$A$201=B452),单次交易!$E$2:$E$201),0),"激活价须高于买入价",IF(F452&lt;N452,"止损价不得低于初始止损",IF(F452&gt;E452,"止损价不得高于激活价",IF(AND(COUNTIFS($A$2:$A$497,"止损计划",$B$2:$B$497,B452,$D$2:$D$497,"&lt;"&amp;D452)&gt;0,OR(E452&lt;=SUMPRODUCT(MAX((($A$2:$A$497="止损计划")*($B$2:$B$497=B452)*($D$2:$D$497&lt;D452))*$E$2:$E$497)),F452&lt;SUMPRODUCT(MAX((($A$2:$A$497="止损计划")*($B$2:$B$497=B452)*($D$2:$D$497&lt;D452))*$F$2:$F$497)))),"阶段价格必须逐级提高","计划有效"))))))),IF(A452="每日跟踪",IF(OR(B452="",H452="",I452="",J452=""),"每日数据不完整",IF(COUNTIFS($A$2:$A$497,"每日跟踪",$B$2:$B$497,B452,$H$2:$H$497,H452)&gt;1,"同一交易日期重复",IF(AND(R452&lt;&gt;"",R452&lt;S452),"人工止损无效：不能下调","跟踪有效"))),"记录类型无效")))</f>
        <v/>
      </c>
    </row>
    <row r="453" ht="17" spans="1:29">
      <c r="A453" s="2"/>
      <c r="B453" s="2"/>
      <c r="C453" s="8" t="str">
        <f>IF(B453="","",IFERROR(LOOKUP(2,1/(单次交易!$A$2:$A$201=B453),单次交易!$B$2:$B$201),""))</f>
        <v/>
      </c>
      <c r="D453" s="12"/>
      <c r="E453" s="10"/>
      <c r="F453" s="10"/>
      <c r="G453" s="2"/>
      <c r="H453" s="15"/>
      <c r="I453" s="10"/>
      <c r="J453" s="12"/>
      <c r="K453" s="2"/>
      <c r="L453" s="2"/>
      <c r="M453" s="2"/>
      <c r="N453" s="5" t="str">
        <f>IF(B453="","",IFERROR(LOOKUP(2,1/(单次交易!$A$2:$A$201=B453),单次交易!$N$2:$N$201),""))</f>
        <v/>
      </c>
      <c r="O453" s="5" t="str">
        <f t="shared" si="72"/>
        <v/>
      </c>
      <c r="P453" s="11" t="str">
        <f t="shared" si="73"/>
        <v/>
      </c>
      <c r="Q453" s="5" t="str">
        <f t="shared" si="74"/>
        <v/>
      </c>
      <c r="R453" s="10"/>
      <c r="S453" s="5" t="str">
        <f t="shared" si="75"/>
        <v/>
      </c>
      <c r="T453" s="5" t="str">
        <f t="shared" si="76"/>
        <v/>
      </c>
      <c r="U453" s="5" t="str">
        <f t="shared" si="77"/>
        <v/>
      </c>
      <c r="V453" s="7" t="str">
        <f t="shared" si="78"/>
        <v/>
      </c>
      <c r="W453" s="8" t="str">
        <f t="shared" si="79"/>
        <v/>
      </c>
      <c r="X453" s="2"/>
      <c r="Y453" s="10"/>
      <c r="Z453" s="11" t="str">
        <f>IF(X453&lt;&gt;"执行卖出","",IFERROR(LOOKUP(2,1/(单次交易!$A$2:$A$201=B453),单次交易!$AP$2:$AP$201),""))</f>
        <v/>
      </c>
      <c r="AA453" s="10"/>
      <c r="AB453" s="8" t="str">
        <f t="shared" si="80"/>
        <v/>
      </c>
      <c r="AC453" s="8" t="str">
        <f>IF(A453="","",IF(A453="止损计划",IF(OR(B453="",D453="",E453="",F453="",G453=""),"计划不完整",IF(OR(D453&lt;1,D453&lt;&gt;INT(D453)),"阶段序号无效",IF(COUNTIFS($A$2:$A$497,"止损计划",$B$2:$B$497,B453,$D$2:$D$497,D453)&gt;1,"阶段序号重复",IF(E453&lt;=IFERROR(LOOKUP(2,1/(单次交易!$A$2:$A$201=B453),单次交易!$E$2:$E$201),0),"激活价须高于买入价",IF(F453&lt;N453,"止损价不得低于初始止损",IF(F453&gt;E453,"止损价不得高于激活价",IF(AND(COUNTIFS($A$2:$A$497,"止损计划",$B$2:$B$497,B453,$D$2:$D$497,"&lt;"&amp;D453)&gt;0,OR(E453&lt;=SUMPRODUCT(MAX((($A$2:$A$497="止损计划")*($B$2:$B$497=B453)*($D$2:$D$497&lt;D453))*$E$2:$E$497)),F453&lt;SUMPRODUCT(MAX((($A$2:$A$497="止损计划")*($B$2:$B$497=B453)*($D$2:$D$497&lt;D453))*$F$2:$F$497)))),"阶段价格必须逐级提高","计划有效"))))))),IF(A453="每日跟踪",IF(OR(B453="",H453="",I453="",J453=""),"每日数据不完整",IF(COUNTIFS($A$2:$A$497,"每日跟踪",$B$2:$B$497,B453,$H$2:$H$497,H453)&gt;1,"同一交易日期重复",IF(AND(R453&lt;&gt;"",R453&lt;S453),"人工止损无效：不能下调","跟踪有效"))),"记录类型无效")))</f>
        <v/>
      </c>
    </row>
    <row r="454" ht="17" spans="1:29">
      <c r="A454" s="2"/>
      <c r="B454" s="2"/>
      <c r="C454" s="8" t="str">
        <f>IF(B454="","",IFERROR(LOOKUP(2,1/(单次交易!$A$2:$A$201=B454),单次交易!$B$2:$B$201),""))</f>
        <v/>
      </c>
      <c r="D454" s="12"/>
      <c r="E454" s="10"/>
      <c r="F454" s="10"/>
      <c r="G454" s="2"/>
      <c r="H454" s="15"/>
      <c r="I454" s="10"/>
      <c r="J454" s="12"/>
      <c r="K454" s="2"/>
      <c r="L454" s="2"/>
      <c r="M454" s="2"/>
      <c r="N454" s="5" t="str">
        <f>IF(B454="","",IFERROR(LOOKUP(2,1/(单次交易!$A$2:$A$201=B454),单次交易!$N$2:$N$201),""))</f>
        <v/>
      </c>
      <c r="O454" s="5" t="str">
        <f t="shared" si="72"/>
        <v/>
      </c>
      <c r="P454" s="11" t="str">
        <f t="shared" si="73"/>
        <v/>
      </c>
      <c r="Q454" s="5" t="str">
        <f t="shared" si="74"/>
        <v/>
      </c>
      <c r="R454" s="10"/>
      <c r="S454" s="5" t="str">
        <f t="shared" si="75"/>
        <v/>
      </c>
      <c r="T454" s="5" t="str">
        <f t="shared" si="76"/>
        <v/>
      </c>
      <c r="U454" s="5" t="str">
        <f t="shared" si="77"/>
        <v/>
      </c>
      <c r="V454" s="7" t="str">
        <f t="shared" si="78"/>
        <v/>
      </c>
      <c r="W454" s="8" t="str">
        <f t="shared" si="79"/>
        <v/>
      </c>
      <c r="X454" s="2"/>
      <c r="Y454" s="10"/>
      <c r="Z454" s="11" t="str">
        <f>IF(X454&lt;&gt;"执行卖出","",IFERROR(LOOKUP(2,1/(单次交易!$A$2:$A$201=B454),单次交易!$AP$2:$AP$201),""))</f>
        <v/>
      </c>
      <c r="AA454" s="10"/>
      <c r="AB454" s="8" t="str">
        <f t="shared" si="80"/>
        <v/>
      </c>
      <c r="AC454" s="8" t="str">
        <f>IF(A454="","",IF(A454="止损计划",IF(OR(B454="",D454="",E454="",F454="",G454=""),"计划不完整",IF(OR(D454&lt;1,D454&lt;&gt;INT(D454)),"阶段序号无效",IF(COUNTIFS($A$2:$A$497,"止损计划",$B$2:$B$497,B454,$D$2:$D$497,D454)&gt;1,"阶段序号重复",IF(E454&lt;=IFERROR(LOOKUP(2,1/(单次交易!$A$2:$A$201=B454),单次交易!$E$2:$E$201),0),"激活价须高于买入价",IF(F454&lt;N454,"止损价不得低于初始止损",IF(F454&gt;E454,"止损价不得高于激活价",IF(AND(COUNTIFS($A$2:$A$497,"止损计划",$B$2:$B$497,B454,$D$2:$D$497,"&lt;"&amp;D454)&gt;0,OR(E454&lt;=SUMPRODUCT(MAX((($A$2:$A$497="止损计划")*($B$2:$B$497=B454)*($D$2:$D$497&lt;D454))*$E$2:$E$497)),F454&lt;SUMPRODUCT(MAX((($A$2:$A$497="止损计划")*($B$2:$B$497=B454)*($D$2:$D$497&lt;D454))*$F$2:$F$497)))),"阶段价格必须逐级提高","计划有效"))))))),IF(A454="每日跟踪",IF(OR(B454="",H454="",I454="",J454=""),"每日数据不完整",IF(COUNTIFS($A$2:$A$497,"每日跟踪",$B$2:$B$497,B454,$H$2:$H$497,H454)&gt;1,"同一交易日期重复",IF(AND(R454&lt;&gt;"",R454&lt;S454),"人工止损无效：不能下调","跟踪有效"))),"记录类型无效")))</f>
        <v/>
      </c>
    </row>
    <row r="455" ht="17" spans="1:29">
      <c r="A455" s="2"/>
      <c r="B455" s="2"/>
      <c r="C455" s="8" t="str">
        <f>IF(B455="","",IFERROR(LOOKUP(2,1/(单次交易!$A$2:$A$201=B455),单次交易!$B$2:$B$201),""))</f>
        <v/>
      </c>
      <c r="D455" s="12"/>
      <c r="E455" s="10"/>
      <c r="F455" s="10"/>
      <c r="G455" s="2"/>
      <c r="H455" s="15"/>
      <c r="I455" s="10"/>
      <c r="J455" s="12"/>
      <c r="K455" s="2"/>
      <c r="L455" s="2"/>
      <c r="M455" s="2"/>
      <c r="N455" s="5" t="str">
        <f>IF(B455="","",IFERROR(LOOKUP(2,1/(单次交易!$A$2:$A$201=B455),单次交易!$N$2:$N$201),""))</f>
        <v/>
      </c>
      <c r="O455" s="5" t="str">
        <f t="shared" si="72"/>
        <v/>
      </c>
      <c r="P455" s="11" t="str">
        <f t="shared" si="73"/>
        <v/>
      </c>
      <c r="Q455" s="5" t="str">
        <f t="shared" si="74"/>
        <v/>
      </c>
      <c r="R455" s="10"/>
      <c r="S455" s="5" t="str">
        <f t="shared" si="75"/>
        <v/>
      </c>
      <c r="T455" s="5" t="str">
        <f t="shared" si="76"/>
        <v/>
      </c>
      <c r="U455" s="5" t="str">
        <f t="shared" si="77"/>
        <v/>
      </c>
      <c r="V455" s="7" t="str">
        <f t="shared" si="78"/>
        <v/>
      </c>
      <c r="W455" s="8" t="str">
        <f t="shared" si="79"/>
        <v/>
      </c>
      <c r="X455" s="2"/>
      <c r="Y455" s="10"/>
      <c r="Z455" s="11" t="str">
        <f>IF(X455&lt;&gt;"执行卖出","",IFERROR(LOOKUP(2,1/(单次交易!$A$2:$A$201=B455),单次交易!$AP$2:$AP$201),""))</f>
        <v/>
      </c>
      <c r="AA455" s="10"/>
      <c r="AB455" s="8" t="str">
        <f t="shared" si="80"/>
        <v/>
      </c>
      <c r="AC455" s="8" t="str">
        <f>IF(A455="","",IF(A455="止损计划",IF(OR(B455="",D455="",E455="",F455="",G455=""),"计划不完整",IF(OR(D455&lt;1,D455&lt;&gt;INT(D455)),"阶段序号无效",IF(COUNTIFS($A$2:$A$497,"止损计划",$B$2:$B$497,B455,$D$2:$D$497,D455)&gt;1,"阶段序号重复",IF(E455&lt;=IFERROR(LOOKUP(2,1/(单次交易!$A$2:$A$201=B455),单次交易!$E$2:$E$201),0),"激活价须高于买入价",IF(F455&lt;N455,"止损价不得低于初始止损",IF(F455&gt;E455,"止损价不得高于激活价",IF(AND(COUNTIFS($A$2:$A$497,"止损计划",$B$2:$B$497,B455,$D$2:$D$497,"&lt;"&amp;D455)&gt;0,OR(E455&lt;=SUMPRODUCT(MAX((($A$2:$A$497="止损计划")*($B$2:$B$497=B455)*($D$2:$D$497&lt;D455))*$E$2:$E$497)),F455&lt;SUMPRODUCT(MAX((($A$2:$A$497="止损计划")*($B$2:$B$497=B455)*($D$2:$D$497&lt;D455))*$F$2:$F$497)))),"阶段价格必须逐级提高","计划有效"))))))),IF(A455="每日跟踪",IF(OR(B455="",H455="",I455="",J455=""),"每日数据不完整",IF(COUNTIFS($A$2:$A$497,"每日跟踪",$B$2:$B$497,B455,$H$2:$H$497,H455)&gt;1,"同一交易日期重复",IF(AND(R455&lt;&gt;"",R455&lt;S455),"人工止损无效：不能下调","跟踪有效"))),"记录类型无效")))</f>
        <v/>
      </c>
    </row>
    <row r="456" ht="17" spans="1:29">
      <c r="A456" s="2"/>
      <c r="B456" s="2"/>
      <c r="C456" s="8" t="str">
        <f>IF(B456="","",IFERROR(LOOKUP(2,1/(单次交易!$A$2:$A$201=B456),单次交易!$B$2:$B$201),""))</f>
        <v/>
      </c>
      <c r="D456" s="12"/>
      <c r="E456" s="10"/>
      <c r="F456" s="10"/>
      <c r="G456" s="2"/>
      <c r="H456" s="15"/>
      <c r="I456" s="10"/>
      <c r="J456" s="12"/>
      <c r="K456" s="2"/>
      <c r="L456" s="2"/>
      <c r="M456" s="2"/>
      <c r="N456" s="5" t="str">
        <f>IF(B456="","",IFERROR(LOOKUP(2,1/(单次交易!$A$2:$A$201=B456),单次交易!$N$2:$N$201),""))</f>
        <v/>
      </c>
      <c r="O456" s="5" t="str">
        <f t="shared" si="72"/>
        <v/>
      </c>
      <c r="P456" s="11" t="str">
        <f t="shared" si="73"/>
        <v/>
      </c>
      <c r="Q456" s="5" t="str">
        <f t="shared" si="74"/>
        <v/>
      </c>
      <c r="R456" s="10"/>
      <c r="S456" s="5" t="str">
        <f t="shared" si="75"/>
        <v/>
      </c>
      <c r="T456" s="5" t="str">
        <f t="shared" si="76"/>
        <v/>
      </c>
      <c r="U456" s="5" t="str">
        <f t="shared" si="77"/>
        <v/>
      </c>
      <c r="V456" s="7" t="str">
        <f t="shared" si="78"/>
        <v/>
      </c>
      <c r="W456" s="8" t="str">
        <f t="shared" si="79"/>
        <v/>
      </c>
      <c r="X456" s="2"/>
      <c r="Y456" s="10"/>
      <c r="Z456" s="11" t="str">
        <f>IF(X456&lt;&gt;"执行卖出","",IFERROR(LOOKUP(2,1/(单次交易!$A$2:$A$201=B456),单次交易!$AP$2:$AP$201),""))</f>
        <v/>
      </c>
      <c r="AA456" s="10"/>
      <c r="AB456" s="8" t="str">
        <f t="shared" si="80"/>
        <v/>
      </c>
      <c r="AC456" s="8" t="str">
        <f>IF(A456="","",IF(A456="止损计划",IF(OR(B456="",D456="",E456="",F456="",G456=""),"计划不完整",IF(OR(D456&lt;1,D456&lt;&gt;INT(D456)),"阶段序号无效",IF(COUNTIFS($A$2:$A$497,"止损计划",$B$2:$B$497,B456,$D$2:$D$497,D456)&gt;1,"阶段序号重复",IF(E456&lt;=IFERROR(LOOKUP(2,1/(单次交易!$A$2:$A$201=B456),单次交易!$E$2:$E$201),0),"激活价须高于买入价",IF(F456&lt;N456,"止损价不得低于初始止损",IF(F456&gt;E456,"止损价不得高于激活价",IF(AND(COUNTIFS($A$2:$A$497,"止损计划",$B$2:$B$497,B456,$D$2:$D$497,"&lt;"&amp;D456)&gt;0,OR(E456&lt;=SUMPRODUCT(MAX((($A$2:$A$497="止损计划")*($B$2:$B$497=B456)*($D$2:$D$497&lt;D456))*$E$2:$E$497)),F456&lt;SUMPRODUCT(MAX((($A$2:$A$497="止损计划")*($B$2:$B$497=B456)*($D$2:$D$497&lt;D456))*$F$2:$F$497)))),"阶段价格必须逐级提高","计划有效"))))))),IF(A456="每日跟踪",IF(OR(B456="",H456="",I456="",J456=""),"每日数据不完整",IF(COUNTIFS($A$2:$A$497,"每日跟踪",$B$2:$B$497,B456,$H$2:$H$497,H456)&gt;1,"同一交易日期重复",IF(AND(R456&lt;&gt;"",R456&lt;S456),"人工止损无效：不能下调","跟踪有效"))),"记录类型无效")))</f>
        <v/>
      </c>
    </row>
    <row r="457" ht="17" spans="1:29">
      <c r="A457" s="2"/>
      <c r="B457" s="2"/>
      <c r="C457" s="8" t="str">
        <f>IF(B457="","",IFERROR(LOOKUP(2,1/(单次交易!$A$2:$A$201=B457),单次交易!$B$2:$B$201),""))</f>
        <v/>
      </c>
      <c r="D457" s="12"/>
      <c r="E457" s="10"/>
      <c r="F457" s="10"/>
      <c r="G457" s="2"/>
      <c r="H457" s="15"/>
      <c r="I457" s="10"/>
      <c r="J457" s="12"/>
      <c r="K457" s="2"/>
      <c r="L457" s="2"/>
      <c r="M457" s="2"/>
      <c r="N457" s="5" t="str">
        <f>IF(B457="","",IFERROR(LOOKUP(2,1/(单次交易!$A$2:$A$201=B457),单次交易!$N$2:$N$201),""))</f>
        <v/>
      </c>
      <c r="O457" s="5" t="str">
        <f t="shared" si="72"/>
        <v/>
      </c>
      <c r="P457" s="11" t="str">
        <f t="shared" si="73"/>
        <v/>
      </c>
      <c r="Q457" s="5" t="str">
        <f t="shared" si="74"/>
        <v/>
      </c>
      <c r="R457" s="10"/>
      <c r="S457" s="5" t="str">
        <f t="shared" si="75"/>
        <v/>
      </c>
      <c r="T457" s="5" t="str">
        <f t="shared" si="76"/>
        <v/>
      </c>
      <c r="U457" s="5" t="str">
        <f t="shared" si="77"/>
        <v/>
      </c>
      <c r="V457" s="7" t="str">
        <f t="shared" si="78"/>
        <v/>
      </c>
      <c r="W457" s="8" t="str">
        <f t="shared" si="79"/>
        <v/>
      </c>
      <c r="X457" s="2"/>
      <c r="Y457" s="10"/>
      <c r="Z457" s="11" t="str">
        <f>IF(X457&lt;&gt;"执行卖出","",IFERROR(LOOKUP(2,1/(单次交易!$A$2:$A$201=B457),单次交易!$AP$2:$AP$201),""))</f>
        <v/>
      </c>
      <c r="AA457" s="10"/>
      <c r="AB457" s="8" t="str">
        <f t="shared" si="80"/>
        <v/>
      </c>
      <c r="AC457" s="8" t="str">
        <f>IF(A457="","",IF(A457="止损计划",IF(OR(B457="",D457="",E457="",F457="",G457=""),"计划不完整",IF(OR(D457&lt;1,D457&lt;&gt;INT(D457)),"阶段序号无效",IF(COUNTIFS($A$2:$A$497,"止损计划",$B$2:$B$497,B457,$D$2:$D$497,D457)&gt;1,"阶段序号重复",IF(E457&lt;=IFERROR(LOOKUP(2,1/(单次交易!$A$2:$A$201=B457),单次交易!$E$2:$E$201),0),"激活价须高于买入价",IF(F457&lt;N457,"止损价不得低于初始止损",IF(F457&gt;E457,"止损价不得高于激活价",IF(AND(COUNTIFS($A$2:$A$497,"止损计划",$B$2:$B$497,B457,$D$2:$D$497,"&lt;"&amp;D457)&gt;0,OR(E457&lt;=SUMPRODUCT(MAX((($A$2:$A$497="止损计划")*($B$2:$B$497=B457)*($D$2:$D$497&lt;D457))*$E$2:$E$497)),F457&lt;SUMPRODUCT(MAX((($A$2:$A$497="止损计划")*($B$2:$B$497=B457)*($D$2:$D$497&lt;D457))*$F$2:$F$497)))),"阶段价格必须逐级提高","计划有效"))))))),IF(A457="每日跟踪",IF(OR(B457="",H457="",I457="",J457=""),"每日数据不完整",IF(COUNTIFS($A$2:$A$497,"每日跟踪",$B$2:$B$497,B457,$H$2:$H$497,H457)&gt;1,"同一交易日期重复",IF(AND(R457&lt;&gt;"",R457&lt;S457),"人工止损无效：不能下调","跟踪有效"))),"记录类型无效")))</f>
        <v/>
      </c>
    </row>
    <row r="458" ht="17" spans="1:29">
      <c r="A458" s="2"/>
      <c r="B458" s="2"/>
      <c r="C458" s="8" t="str">
        <f>IF(B458="","",IFERROR(LOOKUP(2,1/(单次交易!$A$2:$A$201=B458),单次交易!$B$2:$B$201),""))</f>
        <v/>
      </c>
      <c r="D458" s="12"/>
      <c r="E458" s="10"/>
      <c r="F458" s="10"/>
      <c r="G458" s="2"/>
      <c r="H458" s="15"/>
      <c r="I458" s="10"/>
      <c r="J458" s="12"/>
      <c r="K458" s="2"/>
      <c r="L458" s="2"/>
      <c r="M458" s="2"/>
      <c r="N458" s="5" t="str">
        <f>IF(B458="","",IFERROR(LOOKUP(2,1/(单次交易!$A$2:$A$201=B458),单次交易!$N$2:$N$201),""))</f>
        <v/>
      </c>
      <c r="O458" s="5" t="str">
        <f t="shared" si="72"/>
        <v/>
      </c>
      <c r="P458" s="11" t="str">
        <f t="shared" si="73"/>
        <v/>
      </c>
      <c r="Q458" s="5" t="str">
        <f t="shared" si="74"/>
        <v/>
      </c>
      <c r="R458" s="10"/>
      <c r="S458" s="5" t="str">
        <f t="shared" si="75"/>
        <v/>
      </c>
      <c r="T458" s="5" t="str">
        <f t="shared" si="76"/>
        <v/>
      </c>
      <c r="U458" s="5" t="str">
        <f t="shared" si="77"/>
        <v/>
      </c>
      <c r="V458" s="7" t="str">
        <f t="shared" si="78"/>
        <v/>
      </c>
      <c r="W458" s="8" t="str">
        <f t="shared" si="79"/>
        <v/>
      </c>
      <c r="X458" s="2"/>
      <c r="Y458" s="10"/>
      <c r="Z458" s="11" t="str">
        <f>IF(X458&lt;&gt;"执行卖出","",IFERROR(LOOKUP(2,1/(单次交易!$A$2:$A$201=B458),单次交易!$AP$2:$AP$201),""))</f>
        <v/>
      </c>
      <c r="AA458" s="10"/>
      <c r="AB458" s="8" t="str">
        <f t="shared" si="80"/>
        <v/>
      </c>
      <c r="AC458" s="8" t="str">
        <f>IF(A458="","",IF(A458="止损计划",IF(OR(B458="",D458="",E458="",F458="",G458=""),"计划不完整",IF(OR(D458&lt;1,D458&lt;&gt;INT(D458)),"阶段序号无效",IF(COUNTIFS($A$2:$A$497,"止损计划",$B$2:$B$497,B458,$D$2:$D$497,D458)&gt;1,"阶段序号重复",IF(E458&lt;=IFERROR(LOOKUP(2,1/(单次交易!$A$2:$A$201=B458),单次交易!$E$2:$E$201),0),"激活价须高于买入价",IF(F458&lt;N458,"止损价不得低于初始止损",IF(F458&gt;E458,"止损价不得高于激活价",IF(AND(COUNTIFS($A$2:$A$497,"止损计划",$B$2:$B$497,B458,$D$2:$D$497,"&lt;"&amp;D458)&gt;0,OR(E458&lt;=SUMPRODUCT(MAX((($A$2:$A$497="止损计划")*($B$2:$B$497=B458)*($D$2:$D$497&lt;D458))*$E$2:$E$497)),F458&lt;SUMPRODUCT(MAX((($A$2:$A$497="止损计划")*($B$2:$B$497=B458)*($D$2:$D$497&lt;D458))*$F$2:$F$497)))),"阶段价格必须逐级提高","计划有效"))))))),IF(A458="每日跟踪",IF(OR(B458="",H458="",I458="",J458=""),"每日数据不完整",IF(COUNTIFS($A$2:$A$497,"每日跟踪",$B$2:$B$497,B458,$H$2:$H$497,H458)&gt;1,"同一交易日期重复",IF(AND(R458&lt;&gt;"",R458&lt;S458),"人工止损无效：不能下调","跟踪有效"))),"记录类型无效")))</f>
        <v/>
      </c>
    </row>
    <row r="459" ht="17" spans="1:29">
      <c r="A459" s="2"/>
      <c r="B459" s="2"/>
      <c r="C459" s="8" t="str">
        <f>IF(B459="","",IFERROR(LOOKUP(2,1/(单次交易!$A$2:$A$201=B459),单次交易!$B$2:$B$201),""))</f>
        <v/>
      </c>
      <c r="D459" s="12"/>
      <c r="E459" s="10"/>
      <c r="F459" s="10"/>
      <c r="G459" s="2"/>
      <c r="H459" s="15"/>
      <c r="I459" s="10"/>
      <c r="J459" s="12"/>
      <c r="K459" s="2"/>
      <c r="L459" s="2"/>
      <c r="M459" s="2"/>
      <c r="N459" s="5" t="str">
        <f>IF(B459="","",IFERROR(LOOKUP(2,1/(单次交易!$A$2:$A$201=B459),单次交易!$N$2:$N$201),""))</f>
        <v/>
      </c>
      <c r="O459" s="5" t="str">
        <f t="shared" si="72"/>
        <v/>
      </c>
      <c r="P459" s="11" t="str">
        <f t="shared" si="73"/>
        <v/>
      </c>
      <c r="Q459" s="5" t="str">
        <f t="shared" si="74"/>
        <v/>
      </c>
      <c r="R459" s="10"/>
      <c r="S459" s="5" t="str">
        <f t="shared" si="75"/>
        <v/>
      </c>
      <c r="T459" s="5" t="str">
        <f t="shared" si="76"/>
        <v/>
      </c>
      <c r="U459" s="5" t="str">
        <f t="shared" si="77"/>
        <v/>
      </c>
      <c r="V459" s="7" t="str">
        <f t="shared" si="78"/>
        <v/>
      </c>
      <c r="W459" s="8" t="str">
        <f t="shared" si="79"/>
        <v/>
      </c>
      <c r="X459" s="2"/>
      <c r="Y459" s="10"/>
      <c r="Z459" s="11" t="str">
        <f>IF(X459&lt;&gt;"执行卖出","",IFERROR(LOOKUP(2,1/(单次交易!$A$2:$A$201=B459),单次交易!$AP$2:$AP$201),""))</f>
        <v/>
      </c>
      <c r="AA459" s="10"/>
      <c r="AB459" s="8" t="str">
        <f t="shared" si="80"/>
        <v/>
      </c>
      <c r="AC459" s="8" t="str">
        <f>IF(A459="","",IF(A459="止损计划",IF(OR(B459="",D459="",E459="",F459="",G459=""),"计划不完整",IF(OR(D459&lt;1,D459&lt;&gt;INT(D459)),"阶段序号无效",IF(COUNTIFS($A$2:$A$497,"止损计划",$B$2:$B$497,B459,$D$2:$D$497,D459)&gt;1,"阶段序号重复",IF(E459&lt;=IFERROR(LOOKUP(2,1/(单次交易!$A$2:$A$201=B459),单次交易!$E$2:$E$201),0),"激活价须高于买入价",IF(F459&lt;N459,"止损价不得低于初始止损",IF(F459&gt;E459,"止损价不得高于激活价",IF(AND(COUNTIFS($A$2:$A$497,"止损计划",$B$2:$B$497,B459,$D$2:$D$497,"&lt;"&amp;D459)&gt;0,OR(E459&lt;=SUMPRODUCT(MAX((($A$2:$A$497="止损计划")*($B$2:$B$497=B459)*($D$2:$D$497&lt;D459))*$E$2:$E$497)),F459&lt;SUMPRODUCT(MAX((($A$2:$A$497="止损计划")*($B$2:$B$497=B459)*($D$2:$D$497&lt;D459))*$F$2:$F$497)))),"阶段价格必须逐级提高","计划有效"))))))),IF(A459="每日跟踪",IF(OR(B459="",H459="",I459="",J459=""),"每日数据不完整",IF(COUNTIFS($A$2:$A$497,"每日跟踪",$B$2:$B$497,B459,$H$2:$H$497,H459)&gt;1,"同一交易日期重复",IF(AND(R459&lt;&gt;"",R459&lt;S459),"人工止损无效：不能下调","跟踪有效"))),"记录类型无效")))</f>
        <v/>
      </c>
    </row>
    <row r="460" ht="17" spans="1:29">
      <c r="A460" s="2"/>
      <c r="B460" s="2"/>
      <c r="C460" s="8" t="str">
        <f>IF(B460="","",IFERROR(LOOKUP(2,1/(单次交易!$A$2:$A$201=B460),单次交易!$B$2:$B$201),""))</f>
        <v/>
      </c>
      <c r="D460" s="12"/>
      <c r="E460" s="10"/>
      <c r="F460" s="10"/>
      <c r="G460" s="2"/>
      <c r="H460" s="15"/>
      <c r="I460" s="10"/>
      <c r="J460" s="12"/>
      <c r="K460" s="2"/>
      <c r="L460" s="2"/>
      <c r="M460" s="2"/>
      <c r="N460" s="5" t="str">
        <f>IF(B460="","",IFERROR(LOOKUP(2,1/(单次交易!$A$2:$A$201=B460),单次交易!$N$2:$N$201),""))</f>
        <v/>
      </c>
      <c r="O460" s="5" t="str">
        <f t="shared" si="72"/>
        <v/>
      </c>
      <c r="P460" s="11" t="str">
        <f t="shared" si="73"/>
        <v/>
      </c>
      <c r="Q460" s="5" t="str">
        <f t="shared" si="74"/>
        <v/>
      </c>
      <c r="R460" s="10"/>
      <c r="S460" s="5" t="str">
        <f t="shared" si="75"/>
        <v/>
      </c>
      <c r="T460" s="5" t="str">
        <f t="shared" si="76"/>
        <v/>
      </c>
      <c r="U460" s="5" t="str">
        <f t="shared" si="77"/>
        <v/>
      </c>
      <c r="V460" s="7" t="str">
        <f t="shared" si="78"/>
        <v/>
      </c>
      <c r="W460" s="8" t="str">
        <f t="shared" si="79"/>
        <v/>
      </c>
      <c r="X460" s="2"/>
      <c r="Y460" s="10"/>
      <c r="Z460" s="11" t="str">
        <f>IF(X460&lt;&gt;"执行卖出","",IFERROR(LOOKUP(2,1/(单次交易!$A$2:$A$201=B460),单次交易!$AP$2:$AP$201),""))</f>
        <v/>
      </c>
      <c r="AA460" s="10"/>
      <c r="AB460" s="8" t="str">
        <f t="shared" si="80"/>
        <v/>
      </c>
      <c r="AC460" s="8" t="str">
        <f>IF(A460="","",IF(A460="止损计划",IF(OR(B460="",D460="",E460="",F460="",G460=""),"计划不完整",IF(OR(D460&lt;1,D460&lt;&gt;INT(D460)),"阶段序号无效",IF(COUNTIFS($A$2:$A$497,"止损计划",$B$2:$B$497,B460,$D$2:$D$497,D460)&gt;1,"阶段序号重复",IF(E460&lt;=IFERROR(LOOKUP(2,1/(单次交易!$A$2:$A$201=B460),单次交易!$E$2:$E$201),0),"激活价须高于买入价",IF(F460&lt;N460,"止损价不得低于初始止损",IF(F460&gt;E460,"止损价不得高于激活价",IF(AND(COUNTIFS($A$2:$A$497,"止损计划",$B$2:$B$497,B460,$D$2:$D$497,"&lt;"&amp;D460)&gt;0,OR(E460&lt;=SUMPRODUCT(MAX((($A$2:$A$497="止损计划")*($B$2:$B$497=B460)*($D$2:$D$497&lt;D460))*$E$2:$E$497)),F460&lt;SUMPRODUCT(MAX((($A$2:$A$497="止损计划")*($B$2:$B$497=B460)*($D$2:$D$497&lt;D460))*$F$2:$F$497)))),"阶段价格必须逐级提高","计划有效"))))))),IF(A460="每日跟踪",IF(OR(B460="",H460="",I460="",J460=""),"每日数据不完整",IF(COUNTIFS($A$2:$A$497,"每日跟踪",$B$2:$B$497,B460,$H$2:$H$497,H460)&gt;1,"同一交易日期重复",IF(AND(R460&lt;&gt;"",R460&lt;S460),"人工止损无效：不能下调","跟踪有效"))),"记录类型无效")))</f>
        <v/>
      </c>
    </row>
    <row r="461" ht="17" spans="1:29">
      <c r="A461" s="2"/>
      <c r="B461" s="2"/>
      <c r="C461" s="8" t="str">
        <f>IF(B461="","",IFERROR(LOOKUP(2,1/(单次交易!$A$2:$A$201=B461),单次交易!$B$2:$B$201),""))</f>
        <v/>
      </c>
      <c r="D461" s="12"/>
      <c r="E461" s="10"/>
      <c r="F461" s="10"/>
      <c r="G461" s="2"/>
      <c r="H461" s="15"/>
      <c r="I461" s="10"/>
      <c r="J461" s="12"/>
      <c r="K461" s="2"/>
      <c r="L461" s="2"/>
      <c r="M461" s="2"/>
      <c r="N461" s="5" t="str">
        <f>IF(B461="","",IFERROR(LOOKUP(2,1/(单次交易!$A$2:$A$201=B461),单次交易!$N$2:$N$201),""))</f>
        <v/>
      </c>
      <c r="O461" s="5" t="str">
        <f t="shared" si="72"/>
        <v/>
      </c>
      <c r="P461" s="11" t="str">
        <f t="shared" si="73"/>
        <v/>
      </c>
      <c r="Q461" s="5" t="str">
        <f t="shared" si="74"/>
        <v/>
      </c>
      <c r="R461" s="10"/>
      <c r="S461" s="5" t="str">
        <f t="shared" si="75"/>
        <v/>
      </c>
      <c r="T461" s="5" t="str">
        <f t="shared" si="76"/>
        <v/>
      </c>
      <c r="U461" s="5" t="str">
        <f t="shared" si="77"/>
        <v/>
      </c>
      <c r="V461" s="7" t="str">
        <f t="shared" si="78"/>
        <v/>
      </c>
      <c r="W461" s="8" t="str">
        <f t="shared" si="79"/>
        <v/>
      </c>
      <c r="X461" s="2"/>
      <c r="Y461" s="10"/>
      <c r="Z461" s="11" t="str">
        <f>IF(X461&lt;&gt;"执行卖出","",IFERROR(LOOKUP(2,1/(单次交易!$A$2:$A$201=B461),单次交易!$AP$2:$AP$201),""))</f>
        <v/>
      </c>
      <c r="AA461" s="10"/>
      <c r="AB461" s="8" t="str">
        <f t="shared" si="80"/>
        <v/>
      </c>
      <c r="AC461" s="8" t="str">
        <f>IF(A461="","",IF(A461="止损计划",IF(OR(B461="",D461="",E461="",F461="",G461=""),"计划不完整",IF(OR(D461&lt;1,D461&lt;&gt;INT(D461)),"阶段序号无效",IF(COUNTIFS($A$2:$A$497,"止损计划",$B$2:$B$497,B461,$D$2:$D$497,D461)&gt;1,"阶段序号重复",IF(E461&lt;=IFERROR(LOOKUP(2,1/(单次交易!$A$2:$A$201=B461),单次交易!$E$2:$E$201),0),"激活价须高于买入价",IF(F461&lt;N461,"止损价不得低于初始止损",IF(F461&gt;E461,"止损价不得高于激活价",IF(AND(COUNTIFS($A$2:$A$497,"止损计划",$B$2:$B$497,B461,$D$2:$D$497,"&lt;"&amp;D461)&gt;0,OR(E461&lt;=SUMPRODUCT(MAX((($A$2:$A$497="止损计划")*($B$2:$B$497=B461)*($D$2:$D$497&lt;D461))*$E$2:$E$497)),F461&lt;SUMPRODUCT(MAX((($A$2:$A$497="止损计划")*($B$2:$B$497=B461)*($D$2:$D$497&lt;D461))*$F$2:$F$497)))),"阶段价格必须逐级提高","计划有效"))))))),IF(A461="每日跟踪",IF(OR(B461="",H461="",I461="",J461=""),"每日数据不完整",IF(COUNTIFS($A$2:$A$497,"每日跟踪",$B$2:$B$497,B461,$H$2:$H$497,H461)&gt;1,"同一交易日期重复",IF(AND(R461&lt;&gt;"",R461&lt;S461),"人工止损无效：不能下调","跟踪有效"))),"记录类型无效")))</f>
        <v/>
      </c>
    </row>
    <row r="462" ht="17" spans="1:29">
      <c r="A462" s="2"/>
      <c r="B462" s="2"/>
      <c r="C462" s="8" t="str">
        <f>IF(B462="","",IFERROR(LOOKUP(2,1/(单次交易!$A$2:$A$201=B462),单次交易!$B$2:$B$201),""))</f>
        <v/>
      </c>
      <c r="D462" s="12"/>
      <c r="E462" s="10"/>
      <c r="F462" s="10"/>
      <c r="G462" s="2"/>
      <c r="H462" s="15"/>
      <c r="I462" s="10"/>
      <c r="J462" s="12"/>
      <c r="K462" s="2"/>
      <c r="L462" s="2"/>
      <c r="M462" s="2"/>
      <c r="N462" s="5" t="str">
        <f>IF(B462="","",IFERROR(LOOKUP(2,1/(单次交易!$A$2:$A$201=B462),单次交易!$N$2:$N$201),""))</f>
        <v/>
      </c>
      <c r="O462" s="5" t="str">
        <f t="shared" si="72"/>
        <v/>
      </c>
      <c r="P462" s="11" t="str">
        <f t="shared" si="73"/>
        <v/>
      </c>
      <c r="Q462" s="5" t="str">
        <f t="shared" si="74"/>
        <v/>
      </c>
      <c r="R462" s="10"/>
      <c r="S462" s="5" t="str">
        <f t="shared" si="75"/>
        <v/>
      </c>
      <c r="T462" s="5" t="str">
        <f t="shared" si="76"/>
        <v/>
      </c>
      <c r="U462" s="5" t="str">
        <f t="shared" si="77"/>
        <v/>
      </c>
      <c r="V462" s="7" t="str">
        <f t="shared" si="78"/>
        <v/>
      </c>
      <c r="W462" s="8" t="str">
        <f t="shared" si="79"/>
        <v/>
      </c>
      <c r="X462" s="2"/>
      <c r="Y462" s="10"/>
      <c r="Z462" s="11" t="str">
        <f>IF(X462&lt;&gt;"执行卖出","",IFERROR(LOOKUP(2,1/(单次交易!$A$2:$A$201=B462),单次交易!$AP$2:$AP$201),""))</f>
        <v/>
      </c>
      <c r="AA462" s="10"/>
      <c r="AB462" s="8" t="str">
        <f t="shared" si="80"/>
        <v/>
      </c>
      <c r="AC462" s="8" t="str">
        <f>IF(A462="","",IF(A462="止损计划",IF(OR(B462="",D462="",E462="",F462="",G462=""),"计划不完整",IF(OR(D462&lt;1,D462&lt;&gt;INT(D462)),"阶段序号无效",IF(COUNTIFS($A$2:$A$497,"止损计划",$B$2:$B$497,B462,$D$2:$D$497,D462)&gt;1,"阶段序号重复",IF(E462&lt;=IFERROR(LOOKUP(2,1/(单次交易!$A$2:$A$201=B462),单次交易!$E$2:$E$201),0),"激活价须高于买入价",IF(F462&lt;N462,"止损价不得低于初始止损",IF(F462&gt;E462,"止损价不得高于激活价",IF(AND(COUNTIFS($A$2:$A$497,"止损计划",$B$2:$B$497,B462,$D$2:$D$497,"&lt;"&amp;D462)&gt;0,OR(E462&lt;=SUMPRODUCT(MAX((($A$2:$A$497="止损计划")*($B$2:$B$497=B462)*($D$2:$D$497&lt;D462))*$E$2:$E$497)),F462&lt;SUMPRODUCT(MAX((($A$2:$A$497="止损计划")*($B$2:$B$497=B462)*($D$2:$D$497&lt;D462))*$F$2:$F$497)))),"阶段价格必须逐级提高","计划有效"))))))),IF(A462="每日跟踪",IF(OR(B462="",H462="",I462="",J462=""),"每日数据不完整",IF(COUNTIFS($A$2:$A$497,"每日跟踪",$B$2:$B$497,B462,$H$2:$H$497,H462)&gt;1,"同一交易日期重复",IF(AND(R462&lt;&gt;"",R462&lt;S462),"人工止损无效：不能下调","跟踪有效"))),"记录类型无效")))</f>
        <v/>
      </c>
    </row>
    <row r="463" ht="17" spans="1:29">
      <c r="A463" s="2"/>
      <c r="B463" s="2"/>
      <c r="C463" s="8" t="str">
        <f>IF(B463="","",IFERROR(LOOKUP(2,1/(单次交易!$A$2:$A$201=B463),单次交易!$B$2:$B$201),""))</f>
        <v/>
      </c>
      <c r="D463" s="12"/>
      <c r="E463" s="10"/>
      <c r="F463" s="10"/>
      <c r="G463" s="2"/>
      <c r="H463" s="15"/>
      <c r="I463" s="10"/>
      <c r="J463" s="12"/>
      <c r="K463" s="2"/>
      <c r="L463" s="2"/>
      <c r="M463" s="2"/>
      <c r="N463" s="5" t="str">
        <f>IF(B463="","",IFERROR(LOOKUP(2,1/(单次交易!$A$2:$A$201=B463),单次交易!$N$2:$N$201),""))</f>
        <v/>
      </c>
      <c r="O463" s="5" t="str">
        <f t="shared" si="72"/>
        <v/>
      </c>
      <c r="P463" s="11" t="str">
        <f t="shared" si="73"/>
        <v/>
      </c>
      <c r="Q463" s="5" t="str">
        <f t="shared" si="74"/>
        <v/>
      </c>
      <c r="R463" s="10"/>
      <c r="S463" s="5" t="str">
        <f t="shared" si="75"/>
        <v/>
      </c>
      <c r="T463" s="5" t="str">
        <f t="shared" si="76"/>
        <v/>
      </c>
      <c r="U463" s="5" t="str">
        <f t="shared" si="77"/>
        <v/>
      </c>
      <c r="V463" s="7" t="str">
        <f t="shared" si="78"/>
        <v/>
      </c>
      <c r="W463" s="8" t="str">
        <f t="shared" si="79"/>
        <v/>
      </c>
      <c r="X463" s="2"/>
      <c r="Y463" s="10"/>
      <c r="Z463" s="11" t="str">
        <f>IF(X463&lt;&gt;"执行卖出","",IFERROR(LOOKUP(2,1/(单次交易!$A$2:$A$201=B463),单次交易!$AP$2:$AP$201),""))</f>
        <v/>
      </c>
      <c r="AA463" s="10"/>
      <c r="AB463" s="8" t="str">
        <f t="shared" si="80"/>
        <v/>
      </c>
      <c r="AC463" s="8" t="str">
        <f>IF(A463="","",IF(A463="止损计划",IF(OR(B463="",D463="",E463="",F463="",G463=""),"计划不完整",IF(OR(D463&lt;1,D463&lt;&gt;INT(D463)),"阶段序号无效",IF(COUNTIFS($A$2:$A$497,"止损计划",$B$2:$B$497,B463,$D$2:$D$497,D463)&gt;1,"阶段序号重复",IF(E463&lt;=IFERROR(LOOKUP(2,1/(单次交易!$A$2:$A$201=B463),单次交易!$E$2:$E$201),0),"激活价须高于买入价",IF(F463&lt;N463,"止损价不得低于初始止损",IF(F463&gt;E463,"止损价不得高于激活价",IF(AND(COUNTIFS($A$2:$A$497,"止损计划",$B$2:$B$497,B463,$D$2:$D$497,"&lt;"&amp;D463)&gt;0,OR(E463&lt;=SUMPRODUCT(MAX((($A$2:$A$497="止损计划")*($B$2:$B$497=B463)*($D$2:$D$497&lt;D463))*$E$2:$E$497)),F463&lt;SUMPRODUCT(MAX((($A$2:$A$497="止损计划")*($B$2:$B$497=B463)*($D$2:$D$497&lt;D463))*$F$2:$F$497)))),"阶段价格必须逐级提高","计划有效"))))))),IF(A463="每日跟踪",IF(OR(B463="",H463="",I463="",J463=""),"每日数据不完整",IF(COUNTIFS($A$2:$A$497,"每日跟踪",$B$2:$B$497,B463,$H$2:$H$497,H463)&gt;1,"同一交易日期重复",IF(AND(R463&lt;&gt;"",R463&lt;S463),"人工止损无效：不能下调","跟踪有效"))),"记录类型无效")))</f>
        <v/>
      </c>
    </row>
    <row r="464" ht="17" spans="1:29">
      <c r="A464" s="2"/>
      <c r="B464" s="2"/>
      <c r="C464" s="8" t="str">
        <f>IF(B464="","",IFERROR(LOOKUP(2,1/(单次交易!$A$2:$A$201=B464),单次交易!$B$2:$B$201),""))</f>
        <v/>
      </c>
      <c r="D464" s="12"/>
      <c r="E464" s="10"/>
      <c r="F464" s="10"/>
      <c r="G464" s="2"/>
      <c r="H464" s="15"/>
      <c r="I464" s="10"/>
      <c r="J464" s="12"/>
      <c r="K464" s="2"/>
      <c r="L464" s="2"/>
      <c r="M464" s="2"/>
      <c r="N464" s="5" t="str">
        <f>IF(B464="","",IFERROR(LOOKUP(2,1/(单次交易!$A$2:$A$201=B464),单次交易!$N$2:$N$201),""))</f>
        <v/>
      </c>
      <c r="O464" s="5" t="str">
        <f t="shared" si="72"/>
        <v/>
      </c>
      <c r="P464" s="11" t="str">
        <f t="shared" si="73"/>
        <v/>
      </c>
      <c r="Q464" s="5" t="str">
        <f t="shared" si="74"/>
        <v/>
      </c>
      <c r="R464" s="10"/>
      <c r="S464" s="5" t="str">
        <f t="shared" si="75"/>
        <v/>
      </c>
      <c r="T464" s="5" t="str">
        <f t="shared" si="76"/>
        <v/>
      </c>
      <c r="U464" s="5" t="str">
        <f t="shared" si="77"/>
        <v/>
      </c>
      <c r="V464" s="7" t="str">
        <f t="shared" si="78"/>
        <v/>
      </c>
      <c r="W464" s="8" t="str">
        <f t="shared" si="79"/>
        <v/>
      </c>
      <c r="X464" s="2"/>
      <c r="Y464" s="10"/>
      <c r="Z464" s="11" t="str">
        <f>IF(X464&lt;&gt;"执行卖出","",IFERROR(LOOKUP(2,1/(单次交易!$A$2:$A$201=B464),单次交易!$AP$2:$AP$201),""))</f>
        <v/>
      </c>
      <c r="AA464" s="10"/>
      <c r="AB464" s="8" t="str">
        <f t="shared" si="80"/>
        <v/>
      </c>
      <c r="AC464" s="8" t="str">
        <f>IF(A464="","",IF(A464="止损计划",IF(OR(B464="",D464="",E464="",F464="",G464=""),"计划不完整",IF(OR(D464&lt;1,D464&lt;&gt;INT(D464)),"阶段序号无效",IF(COUNTIFS($A$2:$A$497,"止损计划",$B$2:$B$497,B464,$D$2:$D$497,D464)&gt;1,"阶段序号重复",IF(E464&lt;=IFERROR(LOOKUP(2,1/(单次交易!$A$2:$A$201=B464),单次交易!$E$2:$E$201),0),"激活价须高于买入价",IF(F464&lt;N464,"止损价不得低于初始止损",IF(F464&gt;E464,"止损价不得高于激活价",IF(AND(COUNTIFS($A$2:$A$497,"止损计划",$B$2:$B$497,B464,$D$2:$D$497,"&lt;"&amp;D464)&gt;0,OR(E464&lt;=SUMPRODUCT(MAX((($A$2:$A$497="止损计划")*($B$2:$B$497=B464)*($D$2:$D$497&lt;D464))*$E$2:$E$497)),F464&lt;SUMPRODUCT(MAX((($A$2:$A$497="止损计划")*($B$2:$B$497=B464)*($D$2:$D$497&lt;D464))*$F$2:$F$497)))),"阶段价格必须逐级提高","计划有效"))))))),IF(A464="每日跟踪",IF(OR(B464="",H464="",I464="",J464=""),"每日数据不完整",IF(COUNTIFS($A$2:$A$497,"每日跟踪",$B$2:$B$497,B464,$H$2:$H$497,H464)&gt;1,"同一交易日期重复",IF(AND(R464&lt;&gt;"",R464&lt;S464),"人工止损无效：不能下调","跟踪有效"))),"记录类型无效")))</f>
        <v/>
      </c>
    </row>
    <row r="465" ht="17" spans="1:29">
      <c r="A465" s="2"/>
      <c r="B465" s="2"/>
      <c r="C465" s="8" t="str">
        <f>IF(B465="","",IFERROR(LOOKUP(2,1/(单次交易!$A$2:$A$201=B465),单次交易!$B$2:$B$201),""))</f>
        <v/>
      </c>
      <c r="D465" s="12"/>
      <c r="E465" s="10"/>
      <c r="F465" s="10"/>
      <c r="G465" s="2"/>
      <c r="H465" s="15"/>
      <c r="I465" s="10"/>
      <c r="J465" s="12"/>
      <c r="K465" s="2"/>
      <c r="L465" s="2"/>
      <c r="M465" s="2"/>
      <c r="N465" s="5" t="str">
        <f>IF(B465="","",IFERROR(LOOKUP(2,1/(单次交易!$A$2:$A$201=B465),单次交易!$N$2:$N$201),""))</f>
        <v/>
      </c>
      <c r="O465" s="5" t="str">
        <f t="shared" si="72"/>
        <v/>
      </c>
      <c r="P465" s="11" t="str">
        <f t="shared" si="73"/>
        <v/>
      </c>
      <c r="Q465" s="5" t="str">
        <f t="shared" si="74"/>
        <v/>
      </c>
      <c r="R465" s="10"/>
      <c r="S465" s="5" t="str">
        <f t="shared" si="75"/>
        <v/>
      </c>
      <c r="T465" s="5" t="str">
        <f t="shared" si="76"/>
        <v/>
      </c>
      <c r="U465" s="5" t="str">
        <f t="shared" si="77"/>
        <v/>
      </c>
      <c r="V465" s="7" t="str">
        <f t="shared" si="78"/>
        <v/>
      </c>
      <c r="W465" s="8" t="str">
        <f t="shared" si="79"/>
        <v/>
      </c>
      <c r="X465" s="2"/>
      <c r="Y465" s="10"/>
      <c r="Z465" s="11" t="str">
        <f>IF(X465&lt;&gt;"执行卖出","",IFERROR(LOOKUP(2,1/(单次交易!$A$2:$A$201=B465),单次交易!$AP$2:$AP$201),""))</f>
        <v/>
      </c>
      <c r="AA465" s="10"/>
      <c r="AB465" s="8" t="str">
        <f t="shared" si="80"/>
        <v/>
      </c>
      <c r="AC465" s="8" t="str">
        <f>IF(A465="","",IF(A465="止损计划",IF(OR(B465="",D465="",E465="",F465="",G465=""),"计划不完整",IF(OR(D465&lt;1,D465&lt;&gt;INT(D465)),"阶段序号无效",IF(COUNTIFS($A$2:$A$497,"止损计划",$B$2:$B$497,B465,$D$2:$D$497,D465)&gt;1,"阶段序号重复",IF(E465&lt;=IFERROR(LOOKUP(2,1/(单次交易!$A$2:$A$201=B465),单次交易!$E$2:$E$201),0),"激活价须高于买入价",IF(F465&lt;N465,"止损价不得低于初始止损",IF(F465&gt;E465,"止损价不得高于激活价",IF(AND(COUNTIFS($A$2:$A$497,"止损计划",$B$2:$B$497,B465,$D$2:$D$497,"&lt;"&amp;D465)&gt;0,OR(E465&lt;=SUMPRODUCT(MAX((($A$2:$A$497="止损计划")*($B$2:$B$497=B465)*($D$2:$D$497&lt;D465))*$E$2:$E$497)),F465&lt;SUMPRODUCT(MAX((($A$2:$A$497="止损计划")*($B$2:$B$497=B465)*($D$2:$D$497&lt;D465))*$F$2:$F$497)))),"阶段价格必须逐级提高","计划有效"))))))),IF(A465="每日跟踪",IF(OR(B465="",H465="",I465="",J465=""),"每日数据不完整",IF(COUNTIFS($A$2:$A$497,"每日跟踪",$B$2:$B$497,B465,$H$2:$H$497,H465)&gt;1,"同一交易日期重复",IF(AND(R465&lt;&gt;"",R465&lt;S465),"人工止损无效：不能下调","跟踪有效"))),"记录类型无效")))</f>
        <v/>
      </c>
    </row>
    <row r="466" ht="17" spans="1:29">
      <c r="A466" s="2"/>
      <c r="B466" s="2"/>
      <c r="C466" s="8" t="str">
        <f>IF(B466="","",IFERROR(LOOKUP(2,1/(单次交易!$A$2:$A$201=B466),单次交易!$B$2:$B$201),""))</f>
        <v/>
      </c>
      <c r="D466" s="12"/>
      <c r="E466" s="10"/>
      <c r="F466" s="10"/>
      <c r="G466" s="2"/>
      <c r="H466" s="15"/>
      <c r="I466" s="10"/>
      <c r="J466" s="12"/>
      <c r="K466" s="2"/>
      <c r="L466" s="2"/>
      <c r="M466" s="2"/>
      <c r="N466" s="5" t="str">
        <f>IF(B466="","",IFERROR(LOOKUP(2,1/(单次交易!$A$2:$A$201=B466),单次交易!$N$2:$N$201),""))</f>
        <v/>
      </c>
      <c r="O466" s="5" t="str">
        <f t="shared" si="72"/>
        <v/>
      </c>
      <c r="P466" s="11" t="str">
        <f t="shared" si="73"/>
        <v/>
      </c>
      <c r="Q466" s="5" t="str">
        <f t="shared" si="74"/>
        <v/>
      </c>
      <c r="R466" s="10"/>
      <c r="S466" s="5" t="str">
        <f t="shared" si="75"/>
        <v/>
      </c>
      <c r="T466" s="5" t="str">
        <f t="shared" si="76"/>
        <v/>
      </c>
      <c r="U466" s="5" t="str">
        <f t="shared" si="77"/>
        <v/>
      </c>
      <c r="V466" s="7" t="str">
        <f t="shared" si="78"/>
        <v/>
      </c>
      <c r="W466" s="8" t="str">
        <f t="shared" si="79"/>
        <v/>
      </c>
      <c r="X466" s="2"/>
      <c r="Y466" s="10"/>
      <c r="Z466" s="11" t="str">
        <f>IF(X466&lt;&gt;"执行卖出","",IFERROR(LOOKUP(2,1/(单次交易!$A$2:$A$201=B466),单次交易!$AP$2:$AP$201),""))</f>
        <v/>
      </c>
      <c r="AA466" s="10"/>
      <c r="AB466" s="8" t="str">
        <f t="shared" si="80"/>
        <v/>
      </c>
      <c r="AC466" s="8" t="str">
        <f>IF(A466="","",IF(A466="止损计划",IF(OR(B466="",D466="",E466="",F466="",G466=""),"计划不完整",IF(OR(D466&lt;1,D466&lt;&gt;INT(D466)),"阶段序号无效",IF(COUNTIFS($A$2:$A$497,"止损计划",$B$2:$B$497,B466,$D$2:$D$497,D466)&gt;1,"阶段序号重复",IF(E466&lt;=IFERROR(LOOKUP(2,1/(单次交易!$A$2:$A$201=B466),单次交易!$E$2:$E$201),0),"激活价须高于买入价",IF(F466&lt;N466,"止损价不得低于初始止损",IF(F466&gt;E466,"止损价不得高于激活价",IF(AND(COUNTIFS($A$2:$A$497,"止损计划",$B$2:$B$497,B466,$D$2:$D$497,"&lt;"&amp;D466)&gt;0,OR(E466&lt;=SUMPRODUCT(MAX((($A$2:$A$497="止损计划")*($B$2:$B$497=B466)*($D$2:$D$497&lt;D466))*$E$2:$E$497)),F466&lt;SUMPRODUCT(MAX((($A$2:$A$497="止损计划")*($B$2:$B$497=B466)*($D$2:$D$497&lt;D466))*$F$2:$F$497)))),"阶段价格必须逐级提高","计划有效"))))))),IF(A466="每日跟踪",IF(OR(B466="",H466="",I466="",J466=""),"每日数据不完整",IF(COUNTIFS($A$2:$A$497,"每日跟踪",$B$2:$B$497,B466,$H$2:$H$497,H466)&gt;1,"同一交易日期重复",IF(AND(R466&lt;&gt;"",R466&lt;S466),"人工止损无效：不能下调","跟踪有效"))),"记录类型无效")))</f>
        <v/>
      </c>
    </row>
    <row r="467" ht="17" spans="1:29">
      <c r="A467" s="2"/>
      <c r="B467" s="2"/>
      <c r="C467" s="8" t="str">
        <f>IF(B467="","",IFERROR(LOOKUP(2,1/(单次交易!$A$2:$A$201=B467),单次交易!$B$2:$B$201),""))</f>
        <v/>
      </c>
      <c r="D467" s="12"/>
      <c r="E467" s="10"/>
      <c r="F467" s="10"/>
      <c r="G467" s="2"/>
      <c r="H467" s="15"/>
      <c r="I467" s="10"/>
      <c r="J467" s="12"/>
      <c r="K467" s="2"/>
      <c r="L467" s="2"/>
      <c r="M467" s="2"/>
      <c r="N467" s="5" t="str">
        <f>IF(B467="","",IFERROR(LOOKUP(2,1/(单次交易!$A$2:$A$201=B467),单次交易!$N$2:$N$201),""))</f>
        <v/>
      </c>
      <c r="O467" s="5" t="str">
        <f t="shared" si="72"/>
        <v/>
      </c>
      <c r="P467" s="11" t="str">
        <f t="shared" si="73"/>
        <v/>
      </c>
      <c r="Q467" s="5" t="str">
        <f t="shared" si="74"/>
        <v/>
      </c>
      <c r="R467" s="10"/>
      <c r="S467" s="5" t="str">
        <f t="shared" si="75"/>
        <v/>
      </c>
      <c r="T467" s="5" t="str">
        <f t="shared" si="76"/>
        <v/>
      </c>
      <c r="U467" s="5" t="str">
        <f t="shared" si="77"/>
        <v/>
      </c>
      <c r="V467" s="7" t="str">
        <f t="shared" si="78"/>
        <v/>
      </c>
      <c r="W467" s="8" t="str">
        <f t="shared" si="79"/>
        <v/>
      </c>
      <c r="X467" s="2"/>
      <c r="Y467" s="10"/>
      <c r="Z467" s="11" t="str">
        <f>IF(X467&lt;&gt;"执行卖出","",IFERROR(LOOKUP(2,1/(单次交易!$A$2:$A$201=B467),单次交易!$AP$2:$AP$201),""))</f>
        <v/>
      </c>
      <c r="AA467" s="10"/>
      <c r="AB467" s="8" t="str">
        <f t="shared" si="80"/>
        <v/>
      </c>
      <c r="AC467" s="8" t="str">
        <f>IF(A467="","",IF(A467="止损计划",IF(OR(B467="",D467="",E467="",F467="",G467=""),"计划不完整",IF(OR(D467&lt;1,D467&lt;&gt;INT(D467)),"阶段序号无效",IF(COUNTIFS($A$2:$A$497,"止损计划",$B$2:$B$497,B467,$D$2:$D$497,D467)&gt;1,"阶段序号重复",IF(E467&lt;=IFERROR(LOOKUP(2,1/(单次交易!$A$2:$A$201=B467),单次交易!$E$2:$E$201),0),"激活价须高于买入价",IF(F467&lt;N467,"止损价不得低于初始止损",IF(F467&gt;E467,"止损价不得高于激活价",IF(AND(COUNTIFS($A$2:$A$497,"止损计划",$B$2:$B$497,B467,$D$2:$D$497,"&lt;"&amp;D467)&gt;0,OR(E467&lt;=SUMPRODUCT(MAX((($A$2:$A$497="止损计划")*($B$2:$B$497=B467)*($D$2:$D$497&lt;D467))*$E$2:$E$497)),F467&lt;SUMPRODUCT(MAX((($A$2:$A$497="止损计划")*($B$2:$B$497=B467)*($D$2:$D$497&lt;D467))*$F$2:$F$497)))),"阶段价格必须逐级提高","计划有效"))))))),IF(A467="每日跟踪",IF(OR(B467="",H467="",I467="",J467=""),"每日数据不完整",IF(COUNTIFS($A$2:$A$497,"每日跟踪",$B$2:$B$497,B467,$H$2:$H$497,H467)&gt;1,"同一交易日期重复",IF(AND(R467&lt;&gt;"",R467&lt;S467),"人工止损无效：不能下调","跟踪有效"))),"记录类型无效")))</f>
        <v/>
      </c>
    </row>
    <row r="468" ht="17" spans="1:29">
      <c r="A468" s="2"/>
      <c r="B468" s="2"/>
      <c r="C468" s="8" t="str">
        <f>IF(B468="","",IFERROR(LOOKUP(2,1/(单次交易!$A$2:$A$201=B468),单次交易!$B$2:$B$201),""))</f>
        <v/>
      </c>
      <c r="D468" s="12"/>
      <c r="E468" s="10"/>
      <c r="F468" s="10"/>
      <c r="G468" s="2"/>
      <c r="H468" s="15"/>
      <c r="I468" s="10"/>
      <c r="J468" s="12"/>
      <c r="K468" s="2"/>
      <c r="L468" s="2"/>
      <c r="M468" s="2"/>
      <c r="N468" s="5" t="str">
        <f>IF(B468="","",IFERROR(LOOKUP(2,1/(单次交易!$A$2:$A$201=B468),单次交易!$N$2:$N$201),""))</f>
        <v/>
      </c>
      <c r="O468" s="5" t="str">
        <f t="shared" si="72"/>
        <v/>
      </c>
      <c r="P468" s="11" t="str">
        <f t="shared" si="73"/>
        <v/>
      </c>
      <c r="Q468" s="5" t="str">
        <f t="shared" si="74"/>
        <v/>
      </c>
      <c r="R468" s="10"/>
      <c r="S468" s="5" t="str">
        <f t="shared" si="75"/>
        <v/>
      </c>
      <c r="T468" s="5" t="str">
        <f t="shared" si="76"/>
        <v/>
      </c>
      <c r="U468" s="5" t="str">
        <f t="shared" si="77"/>
        <v/>
      </c>
      <c r="V468" s="7" t="str">
        <f t="shared" si="78"/>
        <v/>
      </c>
      <c r="W468" s="8" t="str">
        <f t="shared" si="79"/>
        <v/>
      </c>
      <c r="X468" s="2"/>
      <c r="Y468" s="10"/>
      <c r="Z468" s="11" t="str">
        <f>IF(X468&lt;&gt;"执行卖出","",IFERROR(LOOKUP(2,1/(单次交易!$A$2:$A$201=B468),单次交易!$AP$2:$AP$201),""))</f>
        <v/>
      </c>
      <c r="AA468" s="10"/>
      <c r="AB468" s="8" t="str">
        <f t="shared" si="80"/>
        <v/>
      </c>
      <c r="AC468" s="8" t="str">
        <f>IF(A468="","",IF(A468="止损计划",IF(OR(B468="",D468="",E468="",F468="",G468=""),"计划不完整",IF(OR(D468&lt;1,D468&lt;&gt;INT(D468)),"阶段序号无效",IF(COUNTIFS($A$2:$A$497,"止损计划",$B$2:$B$497,B468,$D$2:$D$497,D468)&gt;1,"阶段序号重复",IF(E468&lt;=IFERROR(LOOKUP(2,1/(单次交易!$A$2:$A$201=B468),单次交易!$E$2:$E$201),0),"激活价须高于买入价",IF(F468&lt;N468,"止损价不得低于初始止损",IF(F468&gt;E468,"止损价不得高于激活价",IF(AND(COUNTIFS($A$2:$A$497,"止损计划",$B$2:$B$497,B468,$D$2:$D$497,"&lt;"&amp;D468)&gt;0,OR(E468&lt;=SUMPRODUCT(MAX((($A$2:$A$497="止损计划")*($B$2:$B$497=B468)*($D$2:$D$497&lt;D468))*$E$2:$E$497)),F468&lt;SUMPRODUCT(MAX((($A$2:$A$497="止损计划")*($B$2:$B$497=B468)*($D$2:$D$497&lt;D468))*$F$2:$F$497)))),"阶段价格必须逐级提高","计划有效"))))))),IF(A468="每日跟踪",IF(OR(B468="",H468="",I468="",J468=""),"每日数据不完整",IF(COUNTIFS($A$2:$A$497,"每日跟踪",$B$2:$B$497,B468,$H$2:$H$497,H468)&gt;1,"同一交易日期重复",IF(AND(R468&lt;&gt;"",R468&lt;S468),"人工止损无效：不能下调","跟踪有效"))),"记录类型无效")))</f>
        <v/>
      </c>
    </row>
    <row r="469" ht="17" spans="1:29">
      <c r="A469" s="2"/>
      <c r="B469" s="2"/>
      <c r="C469" s="8" t="str">
        <f>IF(B469="","",IFERROR(LOOKUP(2,1/(单次交易!$A$2:$A$201=B469),单次交易!$B$2:$B$201),""))</f>
        <v/>
      </c>
      <c r="D469" s="12"/>
      <c r="E469" s="10"/>
      <c r="F469" s="10"/>
      <c r="G469" s="2"/>
      <c r="H469" s="15"/>
      <c r="I469" s="10"/>
      <c r="J469" s="12"/>
      <c r="K469" s="2"/>
      <c r="L469" s="2"/>
      <c r="M469" s="2"/>
      <c r="N469" s="5" t="str">
        <f>IF(B469="","",IFERROR(LOOKUP(2,1/(单次交易!$A$2:$A$201=B469),单次交易!$N$2:$N$201),""))</f>
        <v/>
      </c>
      <c r="O469" s="5" t="str">
        <f t="shared" si="72"/>
        <v/>
      </c>
      <c r="P469" s="11" t="str">
        <f t="shared" si="73"/>
        <v/>
      </c>
      <c r="Q469" s="5" t="str">
        <f t="shared" si="74"/>
        <v/>
      </c>
      <c r="R469" s="10"/>
      <c r="S469" s="5" t="str">
        <f t="shared" si="75"/>
        <v/>
      </c>
      <c r="T469" s="5" t="str">
        <f t="shared" si="76"/>
        <v/>
      </c>
      <c r="U469" s="5" t="str">
        <f t="shared" si="77"/>
        <v/>
      </c>
      <c r="V469" s="7" t="str">
        <f t="shared" si="78"/>
        <v/>
      </c>
      <c r="W469" s="8" t="str">
        <f t="shared" si="79"/>
        <v/>
      </c>
      <c r="X469" s="2"/>
      <c r="Y469" s="10"/>
      <c r="Z469" s="11" t="str">
        <f>IF(X469&lt;&gt;"执行卖出","",IFERROR(LOOKUP(2,1/(单次交易!$A$2:$A$201=B469),单次交易!$AP$2:$AP$201),""))</f>
        <v/>
      </c>
      <c r="AA469" s="10"/>
      <c r="AB469" s="8" t="str">
        <f t="shared" si="80"/>
        <v/>
      </c>
      <c r="AC469" s="8" t="str">
        <f>IF(A469="","",IF(A469="止损计划",IF(OR(B469="",D469="",E469="",F469="",G469=""),"计划不完整",IF(OR(D469&lt;1,D469&lt;&gt;INT(D469)),"阶段序号无效",IF(COUNTIFS($A$2:$A$497,"止损计划",$B$2:$B$497,B469,$D$2:$D$497,D469)&gt;1,"阶段序号重复",IF(E469&lt;=IFERROR(LOOKUP(2,1/(单次交易!$A$2:$A$201=B469),单次交易!$E$2:$E$201),0),"激活价须高于买入价",IF(F469&lt;N469,"止损价不得低于初始止损",IF(F469&gt;E469,"止损价不得高于激活价",IF(AND(COUNTIFS($A$2:$A$497,"止损计划",$B$2:$B$497,B469,$D$2:$D$497,"&lt;"&amp;D469)&gt;0,OR(E469&lt;=SUMPRODUCT(MAX((($A$2:$A$497="止损计划")*($B$2:$B$497=B469)*($D$2:$D$497&lt;D469))*$E$2:$E$497)),F469&lt;SUMPRODUCT(MAX((($A$2:$A$497="止损计划")*($B$2:$B$497=B469)*($D$2:$D$497&lt;D469))*$F$2:$F$497)))),"阶段价格必须逐级提高","计划有效"))))))),IF(A469="每日跟踪",IF(OR(B469="",H469="",I469="",J469=""),"每日数据不完整",IF(COUNTIFS($A$2:$A$497,"每日跟踪",$B$2:$B$497,B469,$H$2:$H$497,H469)&gt;1,"同一交易日期重复",IF(AND(R469&lt;&gt;"",R469&lt;S469),"人工止损无效：不能下调","跟踪有效"))),"记录类型无效")))</f>
        <v/>
      </c>
    </row>
    <row r="470" ht="17" spans="1:29">
      <c r="A470" s="2"/>
      <c r="B470" s="2"/>
      <c r="C470" s="8" t="str">
        <f>IF(B470="","",IFERROR(LOOKUP(2,1/(单次交易!$A$2:$A$201=B470),单次交易!$B$2:$B$201),""))</f>
        <v/>
      </c>
      <c r="D470" s="12"/>
      <c r="E470" s="10"/>
      <c r="F470" s="10"/>
      <c r="G470" s="2"/>
      <c r="H470" s="15"/>
      <c r="I470" s="10"/>
      <c r="J470" s="12"/>
      <c r="K470" s="2"/>
      <c r="L470" s="2"/>
      <c r="M470" s="2"/>
      <c r="N470" s="5" t="str">
        <f>IF(B470="","",IFERROR(LOOKUP(2,1/(单次交易!$A$2:$A$201=B470),单次交易!$N$2:$N$201),""))</f>
        <v/>
      </c>
      <c r="O470" s="5" t="str">
        <f t="shared" si="72"/>
        <v/>
      </c>
      <c r="P470" s="11" t="str">
        <f t="shared" si="73"/>
        <v/>
      </c>
      <c r="Q470" s="5" t="str">
        <f t="shared" si="74"/>
        <v/>
      </c>
      <c r="R470" s="10"/>
      <c r="S470" s="5" t="str">
        <f t="shared" si="75"/>
        <v/>
      </c>
      <c r="T470" s="5" t="str">
        <f t="shared" si="76"/>
        <v/>
      </c>
      <c r="U470" s="5" t="str">
        <f t="shared" si="77"/>
        <v/>
      </c>
      <c r="V470" s="7" t="str">
        <f t="shared" si="78"/>
        <v/>
      </c>
      <c r="W470" s="8" t="str">
        <f t="shared" si="79"/>
        <v/>
      </c>
      <c r="X470" s="2"/>
      <c r="Y470" s="10"/>
      <c r="Z470" s="11" t="str">
        <f>IF(X470&lt;&gt;"执行卖出","",IFERROR(LOOKUP(2,1/(单次交易!$A$2:$A$201=B470),单次交易!$AP$2:$AP$201),""))</f>
        <v/>
      </c>
      <c r="AA470" s="10"/>
      <c r="AB470" s="8" t="str">
        <f t="shared" si="80"/>
        <v/>
      </c>
      <c r="AC470" s="8" t="str">
        <f>IF(A470="","",IF(A470="止损计划",IF(OR(B470="",D470="",E470="",F470="",G470=""),"计划不完整",IF(OR(D470&lt;1,D470&lt;&gt;INT(D470)),"阶段序号无效",IF(COUNTIFS($A$2:$A$497,"止损计划",$B$2:$B$497,B470,$D$2:$D$497,D470)&gt;1,"阶段序号重复",IF(E470&lt;=IFERROR(LOOKUP(2,1/(单次交易!$A$2:$A$201=B470),单次交易!$E$2:$E$201),0),"激活价须高于买入价",IF(F470&lt;N470,"止损价不得低于初始止损",IF(F470&gt;E470,"止损价不得高于激活价",IF(AND(COUNTIFS($A$2:$A$497,"止损计划",$B$2:$B$497,B470,$D$2:$D$497,"&lt;"&amp;D470)&gt;0,OR(E470&lt;=SUMPRODUCT(MAX((($A$2:$A$497="止损计划")*($B$2:$B$497=B470)*($D$2:$D$497&lt;D470))*$E$2:$E$497)),F470&lt;SUMPRODUCT(MAX((($A$2:$A$497="止损计划")*($B$2:$B$497=B470)*($D$2:$D$497&lt;D470))*$F$2:$F$497)))),"阶段价格必须逐级提高","计划有效"))))))),IF(A470="每日跟踪",IF(OR(B470="",H470="",I470="",J470=""),"每日数据不完整",IF(COUNTIFS($A$2:$A$497,"每日跟踪",$B$2:$B$497,B470,$H$2:$H$497,H470)&gt;1,"同一交易日期重复",IF(AND(R470&lt;&gt;"",R470&lt;S470),"人工止损无效：不能下调","跟踪有效"))),"记录类型无效")))</f>
        <v/>
      </c>
    </row>
    <row r="471" ht="17" spans="1:29">
      <c r="A471" s="2"/>
      <c r="B471" s="2"/>
      <c r="C471" s="8" t="str">
        <f>IF(B471="","",IFERROR(LOOKUP(2,1/(单次交易!$A$2:$A$201=B471),单次交易!$B$2:$B$201),""))</f>
        <v/>
      </c>
      <c r="D471" s="12"/>
      <c r="E471" s="10"/>
      <c r="F471" s="10"/>
      <c r="G471" s="2"/>
      <c r="H471" s="15"/>
      <c r="I471" s="10"/>
      <c r="J471" s="12"/>
      <c r="K471" s="2"/>
      <c r="L471" s="2"/>
      <c r="M471" s="2"/>
      <c r="N471" s="5" t="str">
        <f>IF(B471="","",IFERROR(LOOKUP(2,1/(单次交易!$A$2:$A$201=B471),单次交易!$N$2:$N$201),""))</f>
        <v/>
      </c>
      <c r="O471" s="5" t="str">
        <f t="shared" si="72"/>
        <v/>
      </c>
      <c r="P471" s="11" t="str">
        <f t="shared" si="73"/>
        <v/>
      </c>
      <c r="Q471" s="5" t="str">
        <f t="shared" si="74"/>
        <v/>
      </c>
      <c r="R471" s="10"/>
      <c r="S471" s="5" t="str">
        <f t="shared" si="75"/>
        <v/>
      </c>
      <c r="T471" s="5" t="str">
        <f t="shared" si="76"/>
        <v/>
      </c>
      <c r="U471" s="5" t="str">
        <f t="shared" si="77"/>
        <v/>
      </c>
      <c r="V471" s="7" t="str">
        <f t="shared" si="78"/>
        <v/>
      </c>
      <c r="W471" s="8" t="str">
        <f t="shared" si="79"/>
        <v/>
      </c>
      <c r="X471" s="2"/>
      <c r="Y471" s="10"/>
      <c r="Z471" s="11" t="str">
        <f>IF(X471&lt;&gt;"执行卖出","",IFERROR(LOOKUP(2,1/(单次交易!$A$2:$A$201=B471),单次交易!$AP$2:$AP$201),""))</f>
        <v/>
      </c>
      <c r="AA471" s="10"/>
      <c r="AB471" s="8" t="str">
        <f t="shared" si="80"/>
        <v/>
      </c>
      <c r="AC471" s="8" t="str">
        <f>IF(A471="","",IF(A471="止损计划",IF(OR(B471="",D471="",E471="",F471="",G471=""),"计划不完整",IF(OR(D471&lt;1,D471&lt;&gt;INT(D471)),"阶段序号无效",IF(COUNTIFS($A$2:$A$497,"止损计划",$B$2:$B$497,B471,$D$2:$D$497,D471)&gt;1,"阶段序号重复",IF(E471&lt;=IFERROR(LOOKUP(2,1/(单次交易!$A$2:$A$201=B471),单次交易!$E$2:$E$201),0),"激活价须高于买入价",IF(F471&lt;N471,"止损价不得低于初始止损",IF(F471&gt;E471,"止损价不得高于激活价",IF(AND(COUNTIFS($A$2:$A$497,"止损计划",$B$2:$B$497,B471,$D$2:$D$497,"&lt;"&amp;D471)&gt;0,OR(E471&lt;=SUMPRODUCT(MAX((($A$2:$A$497="止损计划")*($B$2:$B$497=B471)*($D$2:$D$497&lt;D471))*$E$2:$E$497)),F471&lt;SUMPRODUCT(MAX((($A$2:$A$497="止损计划")*($B$2:$B$497=B471)*($D$2:$D$497&lt;D471))*$F$2:$F$497)))),"阶段价格必须逐级提高","计划有效"))))))),IF(A471="每日跟踪",IF(OR(B471="",H471="",I471="",J471=""),"每日数据不完整",IF(COUNTIFS($A$2:$A$497,"每日跟踪",$B$2:$B$497,B471,$H$2:$H$497,H471)&gt;1,"同一交易日期重复",IF(AND(R471&lt;&gt;"",R471&lt;S471),"人工止损无效：不能下调","跟踪有效"))),"记录类型无效")))</f>
        <v/>
      </c>
    </row>
    <row r="472" ht="17" spans="1:29">
      <c r="A472" s="2"/>
      <c r="B472" s="2"/>
      <c r="C472" s="8" t="str">
        <f>IF(B472="","",IFERROR(LOOKUP(2,1/(单次交易!$A$2:$A$201=B472),单次交易!$B$2:$B$201),""))</f>
        <v/>
      </c>
      <c r="D472" s="12"/>
      <c r="E472" s="10"/>
      <c r="F472" s="10"/>
      <c r="G472" s="2"/>
      <c r="H472" s="15"/>
      <c r="I472" s="10"/>
      <c r="J472" s="12"/>
      <c r="K472" s="2"/>
      <c r="L472" s="2"/>
      <c r="M472" s="2"/>
      <c r="N472" s="5" t="str">
        <f>IF(B472="","",IFERROR(LOOKUP(2,1/(单次交易!$A$2:$A$201=B472),单次交易!$N$2:$N$201),""))</f>
        <v/>
      </c>
      <c r="O472" s="5" t="str">
        <f t="shared" si="72"/>
        <v/>
      </c>
      <c r="P472" s="11" t="str">
        <f t="shared" si="73"/>
        <v/>
      </c>
      <c r="Q472" s="5" t="str">
        <f t="shared" si="74"/>
        <v/>
      </c>
      <c r="R472" s="10"/>
      <c r="S472" s="5" t="str">
        <f t="shared" si="75"/>
        <v/>
      </c>
      <c r="T472" s="5" t="str">
        <f t="shared" si="76"/>
        <v/>
      </c>
      <c r="U472" s="5" t="str">
        <f t="shared" si="77"/>
        <v/>
      </c>
      <c r="V472" s="7" t="str">
        <f t="shared" si="78"/>
        <v/>
      </c>
      <c r="W472" s="8" t="str">
        <f t="shared" si="79"/>
        <v/>
      </c>
      <c r="X472" s="2"/>
      <c r="Y472" s="10"/>
      <c r="Z472" s="11" t="str">
        <f>IF(X472&lt;&gt;"执行卖出","",IFERROR(LOOKUP(2,1/(单次交易!$A$2:$A$201=B472),单次交易!$AP$2:$AP$201),""))</f>
        <v/>
      </c>
      <c r="AA472" s="10"/>
      <c r="AB472" s="8" t="str">
        <f t="shared" si="80"/>
        <v/>
      </c>
      <c r="AC472" s="8" t="str">
        <f>IF(A472="","",IF(A472="止损计划",IF(OR(B472="",D472="",E472="",F472="",G472=""),"计划不完整",IF(OR(D472&lt;1,D472&lt;&gt;INT(D472)),"阶段序号无效",IF(COUNTIFS($A$2:$A$497,"止损计划",$B$2:$B$497,B472,$D$2:$D$497,D472)&gt;1,"阶段序号重复",IF(E472&lt;=IFERROR(LOOKUP(2,1/(单次交易!$A$2:$A$201=B472),单次交易!$E$2:$E$201),0),"激活价须高于买入价",IF(F472&lt;N472,"止损价不得低于初始止损",IF(F472&gt;E472,"止损价不得高于激活价",IF(AND(COUNTIFS($A$2:$A$497,"止损计划",$B$2:$B$497,B472,$D$2:$D$497,"&lt;"&amp;D472)&gt;0,OR(E472&lt;=SUMPRODUCT(MAX((($A$2:$A$497="止损计划")*($B$2:$B$497=B472)*($D$2:$D$497&lt;D472))*$E$2:$E$497)),F472&lt;SUMPRODUCT(MAX((($A$2:$A$497="止损计划")*($B$2:$B$497=B472)*($D$2:$D$497&lt;D472))*$F$2:$F$497)))),"阶段价格必须逐级提高","计划有效"))))))),IF(A472="每日跟踪",IF(OR(B472="",H472="",I472="",J472=""),"每日数据不完整",IF(COUNTIFS($A$2:$A$497,"每日跟踪",$B$2:$B$497,B472,$H$2:$H$497,H472)&gt;1,"同一交易日期重复",IF(AND(R472&lt;&gt;"",R472&lt;S472),"人工止损无效：不能下调","跟踪有效"))),"记录类型无效")))</f>
        <v/>
      </c>
    </row>
    <row r="473" ht="17" spans="1:29">
      <c r="A473" s="2"/>
      <c r="B473" s="2"/>
      <c r="C473" s="8" t="str">
        <f>IF(B473="","",IFERROR(LOOKUP(2,1/(单次交易!$A$2:$A$201=B473),单次交易!$B$2:$B$201),""))</f>
        <v/>
      </c>
      <c r="D473" s="12"/>
      <c r="E473" s="10"/>
      <c r="F473" s="10"/>
      <c r="G473" s="2"/>
      <c r="H473" s="15"/>
      <c r="I473" s="10"/>
      <c r="J473" s="12"/>
      <c r="K473" s="2"/>
      <c r="L473" s="2"/>
      <c r="M473" s="2"/>
      <c r="N473" s="5" t="str">
        <f>IF(B473="","",IFERROR(LOOKUP(2,1/(单次交易!$A$2:$A$201=B473),单次交易!$N$2:$N$201),""))</f>
        <v/>
      </c>
      <c r="O473" s="5" t="str">
        <f t="shared" si="72"/>
        <v/>
      </c>
      <c r="P473" s="11" t="str">
        <f t="shared" si="73"/>
        <v/>
      </c>
      <c r="Q473" s="5" t="str">
        <f t="shared" si="74"/>
        <v/>
      </c>
      <c r="R473" s="10"/>
      <c r="S473" s="5" t="str">
        <f t="shared" si="75"/>
        <v/>
      </c>
      <c r="T473" s="5" t="str">
        <f t="shared" si="76"/>
        <v/>
      </c>
      <c r="U473" s="5" t="str">
        <f t="shared" si="77"/>
        <v/>
      </c>
      <c r="V473" s="7" t="str">
        <f t="shared" si="78"/>
        <v/>
      </c>
      <c r="W473" s="8" t="str">
        <f t="shared" si="79"/>
        <v/>
      </c>
      <c r="X473" s="2"/>
      <c r="Y473" s="10"/>
      <c r="Z473" s="11" t="str">
        <f>IF(X473&lt;&gt;"执行卖出","",IFERROR(LOOKUP(2,1/(单次交易!$A$2:$A$201=B473),单次交易!$AP$2:$AP$201),""))</f>
        <v/>
      </c>
      <c r="AA473" s="10"/>
      <c r="AB473" s="8" t="str">
        <f t="shared" si="80"/>
        <v/>
      </c>
      <c r="AC473" s="8" t="str">
        <f>IF(A473="","",IF(A473="止损计划",IF(OR(B473="",D473="",E473="",F473="",G473=""),"计划不完整",IF(OR(D473&lt;1,D473&lt;&gt;INT(D473)),"阶段序号无效",IF(COUNTIFS($A$2:$A$497,"止损计划",$B$2:$B$497,B473,$D$2:$D$497,D473)&gt;1,"阶段序号重复",IF(E473&lt;=IFERROR(LOOKUP(2,1/(单次交易!$A$2:$A$201=B473),单次交易!$E$2:$E$201),0),"激活价须高于买入价",IF(F473&lt;N473,"止损价不得低于初始止损",IF(F473&gt;E473,"止损价不得高于激活价",IF(AND(COUNTIFS($A$2:$A$497,"止损计划",$B$2:$B$497,B473,$D$2:$D$497,"&lt;"&amp;D473)&gt;0,OR(E473&lt;=SUMPRODUCT(MAX((($A$2:$A$497="止损计划")*($B$2:$B$497=B473)*($D$2:$D$497&lt;D473))*$E$2:$E$497)),F473&lt;SUMPRODUCT(MAX((($A$2:$A$497="止损计划")*($B$2:$B$497=B473)*($D$2:$D$497&lt;D473))*$F$2:$F$497)))),"阶段价格必须逐级提高","计划有效"))))))),IF(A473="每日跟踪",IF(OR(B473="",H473="",I473="",J473=""),"每日数据不完整",IF(COUNTIFS($A$2:$A$497,"每日跟踪",$B$2:$B$497,B473,$H$2:$H$497,H473)&gt;1,"同一交易日期重复",IF(AND(R473&lt;&gt;"",R473&lt;S473),"人工止损无效：不能下调","跟踪有效"))),"记录类型无效")))</f>
        <v/>
      </c>
    </row>
    <row r="474" ht="17" spans="1:29">
      <c r="A474" s="2"/>
      <c r="B474" s="2"/>
      <c r="C474" s="8" t="str">
        <f>IF(B474="","",IFERROR(LOOKUP(2,1/(单次交易!$A$2:$A$201=B474),单次交易!$B$2:$B$201),""))</f>
        <v/>
      </c>
      <c r="D474" s="12"/>
      <c r="E474" s="10"/>
      <c r="F474" s="10"/>
      <c r="G474" s="2"/>
      <c r="H474" s="15"/>
      <c r="I474" s="10"/>
      <c r="J474" s="12"/>
      <c r="K474" s="2"/>
      <c r="L474" s="2"/>
      <c r="M474" s="2"/>
      <c r="N474" s="5" t="str">
        <f>IF(B474="","",IFERROR(LOOKUP(2,1/(单次交易!$A$2:$A$201=B474),单次交易!$N$2:$N$201),""))</f>
        <v/>
      </c>
      <c r="O474" s="5" t="str">
        <f t="shared" si="72"/>
        <v/>
      </c>
      <c r="P474" s="11" t="str">
        <f t="shared" si="73"/>
        <v/>
      </c>
      <c r="Q474" s="5" t="str">
        <f t="shared" si="74"/>
        <v/>
      </c>
      <c r="R474" s="10"/>
      <c r="S474" s="5" t="str">
        <f t="shared" si="75"/>
        <v/>
      </c>
      <c r="T474" s="5" t="str">
        <f t="shared" si="76"/>
        <v/>
      </c>
      <c r="U474" s="5" t="str">
        <f t="shared" si="77"/>
        <v/>
      </c>
      <c r="V474" s="7" t="str">
        <f t="shared" si="78"/>
        <v/>
      </c>
      <c r="W474" s="8" t="str">
        <f t="shared" si="79"/>
        <v/>
      </c>
      <c r="X474" s="2"/>
      <c r="Y474" s="10"/>
      <c r="Z474" s="11" t="str">
        <f>IF(X474&lt;&gt;"执行卖出","",IFERROR(LOOKUP(2,1/(单次交易!$A$2:$A$201=B474),单次交易!$AP$2:$AP$201),""))</f>
        <v/>
      </c>
      <c r="AA474" s="10"/>
      <c r="AB474" s="8" t="str">
        <f t="shared" si="80"/>
        <v/>
      </c>
      <c r="AC474" s="8" t="str">
        <f>IF(A474="","",IF(A474="止损计划",IF(OR(B474="",D474="",E474="",F474="",G474=""),"计划不完整",IF(OR(D474&lt;1,D474&lt;&gt;INT(D474)),"阶段序号无效",IF(COUNTIFS($A$2:$A$497,"止损计划",$B$2:$B$497,B474,$D$2:$D$497,D474)&gt;1,"阶段序号重复",IF(E474&lt;=IFERROR(LOOKUP(2,1/(单次交易!$A$2:$A$201=B474),单次交易!$E$2:$E$201),0),"激活价须高于买入价",IF(F474&lt;N474,"止损价不得低于初始止损",IF(F474&gt;E474,"止损价不得高于激活价",IF(AND(COUNTIFS($A$2:$A$497,"止损计划",$B$2:$B$497,B474,$D$2:$D$497,"&lt;"&amp;D474)&gt;0,OR(E474&lt;=SUMPRODUCT(MAX((($A$2:$A$497="止损计划")*($B$2:$B$497=B474)*($D$2:$D$497&lt;D474))*$E$2:$E$497)),F474&lt;SUMPRODUCT(MAX((($A$2:$A$497="止损计划")*($B$2:$B$497=B474)*($D$2:$D$497&lt;D474))*$F$2:$F$497)))),"阶段价格必须逐级提高","计划有效"))))))),IF(A474="每日跟踪",IF(OR(B474="",H474="",I474="",J474=""),"每日数据不完整",IF(COUNTIFS($A$2:$A$497,"每日跟踪",$B$2:$B$497,B474,$H$2:$H$497,H474)&gt;1,"同一交易日期重复",IF(AND(R474&lt;&gt;"",R474&lt;S474),"人工止损无效：不能下调","跟踪有效"))),"记录类型无效")))</f>
        <v/>
      </c>
    </row>
    <row r="475" ht="17" spans="1:29">
      <c r="A475" s="2"/>
      <c r="B475" s="2"/>
      <c r="C475" s="8" t="str">
        <f>IF(B475="","",IFERROR(LOOKUP(2,1/(单次交易!$A$2:$A$201=B475),单次交易!$B$2:$B$201),""))</f>
        <v/>
      </c>
      <c r="D475" s="12"/>
      <c r="E475" s="10"/>
      <c r="F475" s="10"/>
      <c r="G475" s="2"/>
      <c r="H475" s="15"/>
      <c r="I475" s="10"/>
      <c r="J475" s="12"/>
      <c r="K475" s="2"/>
      <c r="L475" s="2"/>
      <c r="M475" s="2"/>
      <c r="N475" s="5" t="str">
        <f>IF(B475="","",IFERROR(LOOKUP(2,1/(单次交易!$A$2:$A$201=B475),单次交易!$N$2:$N$201),""))</f>
        <v/>
      </c>
      <c r="O475" s="5" t="str">
        <f t="shared" si="72"/>
        <v/>
      </c>
      <c r="P475" s="11" t="str">
        <f t="shared" si="73"/>
        <v/>
      </c>
      <c r="Q475" s="5" t="str">
        <f t="shared" si="74"/>
        <v/>
      </c>
      <c r="R475" s="10"/>
      <c r="S475" s="5" t="str">
        <f t="shared" si="75"/>
        <v/>
      </c>
      <c r="T475" s="5" t="str">
        <f t="shared" si="76"/>
        <v/>
      </c>
      <c r="U475" s="5" t="str">
        <f t="shared" si="77"/>
        <v/>
      </c>
      <c r="V475" s="7" t="str">
        <f t="shared" si="78"/>
        <v/>
      </c>
      <c r="W475" s="8" t="str">
        <f t="shared" si="79"/>
        <v/>
      </c>
      <c r="X475" s="2"/>
      <c r="Y475" s="10"/>
      <c r="Z475" s="11" t="str">
        <f>IF(X475&lt;&gt;"执行卖出","",IFERROR(LOOKUP(2,1/(单次交易!$A$2:$A$201=B475),单次交易!$AP$2:$AP$201),""))</f>
        <v/>
      </c>
      <c r="AA475" s="10"/>
      <c r="AB475" s="8" t="str">
        <f t="shared" si="80"/>
        <v/>
      </c>
      <c r="AC475" s="8" t="str">
        <f>IF(A475="","",IF(A475="止损计划",IF(OR(B475="",D475="",E475="",F475="",G475=""),"计划不完整",IF(OR(D475&lt;1,D475&lt;&gt;INT(D475)),"阶段序号无效",IF(COUNTIFS($A$2:$A$497,"止损计划",$B$2:$B$497,B475,$D$2:$D$497,D475)&gt;1,"阶段序号重复",IF(E475&lt;=IFERROR(LOOKUP(2,1/(单次交易!$A$2:$A$201=B475),单次交易!$E$2:$E$201),0),"激活价须高于买入价",IF(F475&lt;N475,"止损价不得低于初始止损",IF(F475&gt;E475,"止损价不得高于激活价",IF(AND(COUNTIFS($A$2:$A$497,"止损计划",$B$2:$B$497,B475,$D$2:$D$497,"&lt;"&amp;D475)&gt;0,OR(E475&lt;=SUMPRODUCT(MAX((($A$2:$A$497="止损计划")*($B$2:$B$497=B475)*($D$2:$D$497&lt;D475))*$E$2:$E$497)),F475&lt;SUMPRODUCT(MAX((($A$2:$A$497="止损计划")*($B$2:$B$497=B475)*($D$2:$D$497&lt;D475))*$F$2:$F$497)))),"阶段价格必须逐级提高","计划有效"))))))),IF(A475="每日跟踪",IF(OR(B475="",H475="",I475="",J475=""),"每日数据不完整",IF(COUNTIFS($A$2:$A$497,"每日跟踪",$B$2:$B$497,B475,$H$2:$H$497,H475)&gt;1,"同一交易日期重复",IF(AND(R475&lt;&gt;"",R475&lt;S475),"人工止损无效：不能下调","跟踪有效"))),"记录类型无效")))</f>
        <v/>
      </c>
    </row>
    <row r="476" ht="17" spans="1:29">
      <c r="A476" s="2"/>
      <c r="B476" s="2"/>
      <c r="C476" s="8" t="str">
        <f>IF(B476="","",IFERROR(LOOKUP(2,1/(单次交易!$A$2:$A$201=B476),单次交易!$B$2:$B$201),""))</f>
        <v/>
      </c>
      <c r="D476" s="12"/>
      <c r="E476" s="10"/>
      <c r="F476" s="10"/>
      <c r="G476" s="2"/>
      <c r="H476" s="15"/>
      <c r="I476" s="10"/>
      <c r="J476" s="12"/>
      <c r="K476" s="2"/>
      <c r="L476" s="2"/>
      <c r="M476" s="2"/>
      <c r="N476" s="5" t="str">
        <f>IF(B476="","",IFERROR(LOOKUP(2,1/(单次交易!$A$2:$A$201=B476),单次交易!$N$2:$N$201),""))</f>
        <v/>
      </c>
      <c r="O476" s="5" t="str">
        <f t="shared" si="72"/>
        <v/>
      </c>
      <c r="P476" s="11" t="str">
        <f t="shared" si="73"/>
        <v/>
      </c>
      <c r="Q476" s="5" t="str">
        <f t="shared" si="74"/>
        <v/>
      </c>
      <c r="R476" s="10"/>
      <c r="S476" s="5" t="str">
        <f t="shared" si="75"/>
        <v/>
      </c>
      <c r="T476" s="5" t="str">
        <f t="shared" si="76"/>
        <v/>
      </c>
      <c r="U476" s="5" t="str">
        <f t="shared" si="77"/>
        <v/>
      </c>
      <c r="V476" s="7" t="str">
        <f t="shared" si="78"/>
        <v/>
      </c>
      <c r="W476" s="8" t="str">
        <f t="shared" si="79"/>
        <v/>
      </c>
      <c r="X476" s="2"/>
      <c r="Y476" s="10"/>
      <c r="Z476" s="11" t="str">
        <f>IF(X476&lt;&gt;"执行卖出","",IFERROR(LOOKUP(2,1/(单次交易!$A$2:$A$201=B476),单次交易!$AP$2:$AP$201),""))</f>
        <v/>
      </c>
      <c r="AA476" s="10"/>
      <c r="AB476" s="8" t="str">
        <f t="shared" si="80"/>
        <v/>
      </c>
      <c r="AC476" s="8" t="str">
        <f>IF(A476="","",IF(A476="止损计划",IF(OR(B476="",D476="",E476="",F476="",G476=""),"计划不完整",IF(OR(D476&lt;1,D476&lt;&gt;INT(D476)),"阶段序号无效",IF(COUNTIFS($A$2:$A$497,"止损计划",$B$2:$B$497,B476,$D$2:$D$497,D476)&gt;1,"阶段序号重复",IF(E476&lt;=IFERROR(LOOKUP(2,1/(单次交易!$A$2:$A$201=B476),单次交易!$E$2:$E$201),0),"激活价须高于买入价",IF(F476&lt;N476,"止损价不得低于初始止损",IF(F476&gt;E476,"止损价不得高于激活价",IF(AND(COUNTIFS($A$2:$A$497,"止损计划",$B$2:$B$497,B476,$D$2:$D$497,"&lt;"&amp;D476)&gt;0,OR(E476&lt;=SUMPRODUCT(MAX((($A$2:$A$497="止损计划")*($B$2:$B$497=B476)*($D$2:$D$497&lt;D476))*$E$2:$E$497)),F476&lt;SUMPRODUCT(MAX((($A$2:$A$497="止损计划")*($B$2:$B$497=B476)*($D$2:$D$497&lt;D476))*$F$2:$F$497)))),"阶段价格必须逐级提高","计划有效"))))))),IF(A476="每日跟踪",IF(OR(B476="",H476="",I476="",J476=""),"每日数据不完整",IF(COUNTIFS($A$2:$A$497,"每日跟踪",$B$2:$B$497,B476,$H$2:$H$497,H476)&gt;1,"同一交易日期重复",IF(AND(R476&lt;&gt;"",R476&lt;S476),"人工止损无效：不能下调","跟踪有效"))),"记录类型无效")))</f>
        <v/>
      </c>
    </row>
    <row r="477" ht="17" spans="1:29">
      <c r="A477" s="2"/>
      <c r="B477" s="2"/>
      <c r="C477" s="8" t="str">
        <f>IF(B477="","",IFERROR(LOOKUP(2,1/(单次交易!$A$2:$A$201=B477),单次交易!$B$2:$B$201),""))</f>
        <v/>
      </c>
      <c r="D477" s="12"/>
      <c r="E477" s="10"/>
      <c r="F477" s="10"/>
      <c r="G477" s="2"/>
      <c r="H477" s="15"/>
      <c r="I477" s="10"/>
      <c r="J477" s="12"/>
      <c r="K477" s="2"/>
      <c r="L477" s="2"/>
      <c r="M477" s="2"/>
      <c r="N477" s="5" t="str">
        <f>IF(B477="","",IFERROR(LOOKUP(2,1/(单次交易!$A$2:$A$201=B477),单次交易!$N$2:$N$201),""))</f>
        <v/>
      </c>
      <c r="O477" s="5" t="str">
        <f t="shared" si="72"/>
        <v/>
      </c>
      <c r="P477" s="11" t="str">
        <f t="shared" si="73"/>
        <v/>
      </c>
      <c r="Q477" s="5" t="str">
        <f t="shared" si="74"/>
        <v/>
      </c>
      <c r="R477" s="10"/>
      <c r="S477" s="5" t="str">
        <f t="shared" si="75"/>
        <v/>
      </c>
      <c r="T477" s="5" t="str">
        <f t="shared" si="76"/>
        <v/>
      </c>
      <c r="U477" s="5" t="str">
        <f t="shared" si="77"/>
        <v/>
      </c>
      <c r="V477" s="7" t="str">
        <f t="shared" si="78"/>
        <v/>
      </c>
      <c r="W477" s="8" t="str">
        <f t="shared" si="79"/>
        <v/>
      </c>
      <c r="X477" s="2"/>
      <c r="Y477" s="10"/>
      <c r="Z477" s="11" t="str">
        <f>IF(X477&lt;&gt;"执行卖出","",IFERROR(LOOKUP(2,1/(单次交易!$A$2:$A$201=B477),单次交易!$AP$2:$AP$201),""))</f>
        <v/>
      </c>
      <c r="AA477" s="10"/>
      <c r="AB477" s="8" t="str">
        <f t="shared" si="80"/>
        <v/>
      </c>
      <c r="AC477" s="8" t="str">
        <f>IF(A477="","",IF(A477="止损计划",IF(OR(B477="",D477="",E477="",F477="",G477=""),"计划不完整",IF(OR(D477&lt;1,D477&lt;&gt;INT(D477)),"阶段序号无效",IF(COUNTIFS($A$2:$A$497,"止损计划",$B$2:$B$497,B477,$D$2:$D$497,D477)&gt;1,"阶段序号重复",IF(E477&lt;=IFERROR(LOOKUP(2,1/(单次交易!$A$2:$A$201=B477),单次交易!$E$2:$E$201),0),"激活价须高于买入价",IF(F477&lt;N477,"止损价不得低于初始止损",IF(F477&gt;E477,"止损价不得高于激活价",IF(AND(COUNTIFS($A$2:$A$497,"止损计划",$B$2:$B$497,B477,$D$2:$D$497,"&lt;"&amp;D477)&gt;0,OR(E477&lt;=SUMPRODUCT(MAX((($A$2:$A$497="止损计划")*($B$2:$B$497=B477)*($D$2:$D$497&lt;D477))*$E$2:$E$497)),F477&lt;SUMPRODUCT(MAX((($A$2:$A$497="止损计划")*($B$2:$B$497=B477)*($D$2:$D$497&lt;D477))*$F$2:$F$497)))),"阶段价格必须逐级提高","计划有效"))))))),IF(A477="每日跟踪",IF(OR(B477="",H477="",I477="",J477=""),"每日数据不完整",IF(COUNTIFS($A$2:$A$497,"每日跟踪",$B$2:$B$497,B477,$H$2:$H$497,H477)&gt;1,"同一交易日期重复",IF(AND(R477&lt;&gt;"",R477&lt;S477),"人工止损无效：不能下调","跟踪有效"))),"记录类型无效")))</f>
        <v/>
      </c>
    </row>
    <row r="478" ht="17" spans="1:29">
      <c r="A478" s="2"/>
      <c r="B478" s="2"/>
      <c r="C478" s="8" t="str">
        <f>IF(B478="","",IFERROR(LOOKUP(2,1/(单次交易!$A$2:$A$201=B478),单次交易!$B$2:$B$201),""))</f>
        <v/>
      </c>
      <c r="D478" s="12"/>
      <c r="E478" s="10"/>
      <c r="F478" s="10"/>
      <c r="G478" s="2"/>
      <c r="H478" s="15"/>
      <c r="I478" s="10"/>
      <c r="J478" s="12"/>
      <c r="K478" s="2"/>
      <c r="L478" s="2"/>
      <c r="M478" s="2"/>
      <c r="N478" s="5" t="str">
        <f>IF(B478="","",IFERROR(LOOKUP(2,1/(单次交易!$A$2:$A$201=B478),单次交易!$N$2:$N$201),""))</f>
        <v/>
      </c>
      <c r="O478" s="5" t="str">
        <f t="shared" si="72"/>
        <v/>
      </c>
      <c r="P478" s="11" t="str">
        <f t="shared" si="73"/>
        <v/>
      </c>
      <c r="Q478" s="5" t="str">
        <f t="shared" si="74"/>
        <v/>
      </c>
      <c r="R478" s="10"/>
      <c r="S478" s="5" t="str">
        <f t="shared" si="75"/>
        <v/>
      </c>
      <c r="T478" s="5" t="str">
        <f t="shared" si="76"/>
        <v/>
      </c>
      <c r="U478" s="5" t="str">
        <f t="shared" si="77"/>
        <v/>
      </c>
      <c r="V478" s="7" t="str">
        <f t="shared" si="78"/>
        <v/>
      </c>
      <c r="W478" s="8" t="str">
        <f t="shared" si="79"/>
        <v/>
      </c>
      <c r="X478" s="2"/>
      <c r="Y478" s="10"/>
      <c r="Z478" s="11" t="str">
        <f>IF(X478&lt;&gt;"执行卖出","",IFERROR(LOOKUP(2,1/(单次交易!$A$2:$A$201=B478),单次交易!$AP$2:$AP$201),""))</f>
        <v/>
      </c>
      <c r="AA478" s="10"/>
      <c r="AB478" s="8" t="str">
        <f t="shared" si="80"/>
        <v/>
      </c>
      <c r="AC478" s="8" t="str">
        <f>IF(A478="","",IF(A478="止损计划",IF(OR(B478="",D478="",E478="",F478="",G478=""),"计划不完整",IF(OR(D478&lt;1,D478&lt;&gt;INT(D478)),"阶段序号无效",IF(COUNTIFS($A$2:$A$497,"止损计划",$B$2:$B$497,B478,$D$2:$D$497,D478)&gt;1,"阶段序号重复",IF(E478&lt;=IFERROR(LOOKUP(2,1/(单次交易!$A$2:$A$201=B478),单次交易!$E$2:$E$201),0),"激活价须高于买入价",IF(F478&lt;N478,"止损价不得低于初始止损",IF(F478&gt;E478,"止损价不得高于激活价",IF(AND(COUNTIFS($A$2:$A$497,"止损计划",$B$2:$B$497,B478,$D$2:$D$497,"&lt;"&amp;D478)&gt;0,OR(E478&lt;=SUMPRODUCT(MAX((($A$2:$A$497="止损计划")*($B$2:$B$497=B478)*($D$2:$D$497&lt;D478))*$E$2:$E$497)),F478&lt;SUMPRODUCT(MAX((($A$2:$A$497="止损计划")*($B$2:$B$497=B478)*($D$2:$D$497&lt;D478))*$F$2:$F$497)))),"阶段价格必须逐级提高","计划有效"))))))),IF(A478="每日跟踪",IF(OR(B478="",H478="",I478="",J478=""),"每日数据不完整",IF(COUNTIFS($A$2:$A$497,"每日跟踪",$B$2:$B$497,B478,$H$2:$H$497,H478)&gt;1,"同一交易日期重复",IF(AND(R478&lt;&gt;"",R478&lt;S478),"人工止损无效：不能下调","跟踪有效"))),"记录类型无效")))</f>
        <v/>
      </c>
    </row>
    <row r="479" ht="17" spans="1:29">
      <c r="A479" s="2"/>
      <c r="B479" s="2"/>
      <c r="C479" s="8" t="str">
        <f>IF(B479="","",IFERROR(LOOKUP(2,1/(单次交易!$A$2:$A$201=B479),单次交易!$B$2:$B$201),""))</f>
        <v/>
      </c>
      <c r="D479" s="12"/>
      <c r="E479" s="10"/>
      <c r="F479" s="10"/>
      <c r="G479" s="2"/>
      <c r="H479" s="15"/>
      <c r="I479" s="10"/>
      <c r="J479" s="12"/>
      <c r="K479" s="2"/>
      <c r="L479" s="2"/>
      <c r="M479" s="2"/>
      <c r="N479" s="5" t="str">
        <f>IF(B479="","",IFERROR(LOOKUP(2,1/(单次交易!$A$2:$A$201=B479),单次交易!$N$2:$N$201),""))</f>
        <v/>
      </c>
      <c r="O479" s="5" t="str">
        <f t="shared" si="72"/>
        <v/>
      </c>
      <c r="P479" s="11" t="str">
        <f t="shared" si="73"/>
        <v/>
      </c>
      <c r="Q479" s="5" t="str">
        <f t="shared" si="74"/>
        <v/>
      </c>
      <c r="R479" s="10"/>
      <c r="S479" s="5" t="str">
        <f t="shared" si="75"/>
        <v/>
      </c>
      <c r="T479" s="5" t="str">
        <f t="shared" si="76"/>
        <v/>
      </c>
      <c r="U479" s="5" t="str">
        <f t="shared" si="77"/>
        <v/>
      </c>
      <c r="V479" s="7" t="str">
        <f t="shared" si="78"/>
        <v/>
      </c>
      <c r="W479" s="8" t="str">
        <f t="shared" si="79"/>
        <v/>
      </c>
      <c r="X479" s="2"/>
      <c r="Y479" s="10"/>
      <c r="Z479" s="11" t="str">
        <f>IF(X479&lt;&gt;"执行卖出","",IFERROR(LOOKUP(2,1/(单次交易!$A$2:$A$201=B479),单次交易!$AP$2:$AP$201),""))</f>
        <v/>
      </c>
      <c r="AA479" s="10"/>
      <c r="AB479" s="8" t="str">
        <f t="shared" si="80"/>
        <v/>
      </c>
      <c r="AC479" s="8" t="str">
        <f>IF(A479="","",IF(A479="止损计划",IF(OR(B479="",D479="",E479="",F479="",G479=""),"计划不完整",IF(OR(D479&lt;1,D479&lt;&gt;INT(D479)),"阶段序号无效",IF(COUNTIFS($A$2:$A$497,"止损计划",$B$2:$B$497,B479,$D$2:$D$497,D479)&gt;1,"阶段序号重复",IF(E479&lt;=IFERROR(LOOKUP(2,1/(单次交易!$A$2:$A$201=B479),单次交易!$E$2:$E$201),0),"激活价须高于买入价",IF(F479&lt;N479,"止损价不得低于初始止损",IF(F479&gt;E479,"止损价不得高于激活价",IF(AND(COUNTIFS($A$2:$A$497,"止损计划",$B$2:$B$497,B479,$D$2:$D$497,"&lt;"&amp;D479)&gt;0,OR(E479&lt;=SUMPRODUCT(MAX((($A$2:$A$497="止损计划")*($B$2:$B$497=B479)*($D$2:$D$497&lt;D479))*$E$2:$E$497)),F479&lt;SUMPRODUCT(MAX((($A$2:$A$497="止损计划")*($B$2:$B$497=B479)*($D$2:$D$497&lt;D479))*$F$2:$F$497)))),"阶段价格必须逐级提高","计划有效"))))))),IF(A479="每日跟踪",IF(OR(B479="",H479="",I479="",J479=""),"每日数据不完整",IF(COUNTIFS($A$2:$A$497,"每日跟踪",$B$2:$B$497,B479,$H$2:$H$497,H479)&gt;1,"同一交易日期重复",IF(AND(R479&lt;&gt;"",R479&lt;S479),"人工止损无效：不能下调","跟踪有效"))),"记录类型无效")))</f>
        <v/>
      </c>
    </row>
    <row r="480" ht="17" spans="1:29">
      <c r="A480" s="2"/>
      <c r="B480" s="2"/>
      <c r="C480" s="8" t="str">
        <f>IF(B480="","",IFERROR(LOOKUP(2,1/(单次交易!$A$2:$A$201=B480),单次交易!$B$2:$B$201),""))</f>
        <v/>
      </c>
      <c r="D480" s="12"/>
      <c r="E480" s="10"/>
      <c r="F480" s="10"/>
      <c r="G480" s="2"/>
      <c r="H480" s="15"/>
      <c r="I480" s="10"/>
      <c r="J480" s="12"/>
      <c r="K480" s="2"/>
      <c r="L480" s="2"/>
      <c r="M480" s="2"/>
      <c r="N480" s="5" t="str">
        <f>IF(B480="","",IFERROR(LOOKUP(2,1/(单次交易!$A$2:$A$201=B480),单次交易!$N$2:$N$201),""))</f>
        <v/>
      </c>
      <c r="O480" s="5" t="str">
        <f t="shared" si="72"/>
        <v/>
      </c>
      <c r="P480" s="11" t="str">
        <f t="shared" si="73"/>
        <v/>
      </c>
      <c r="Q480" s="5" t="str">
        <f t="shared" si="74"/>
        <v/>
      </c>
      <c r="R480" s="10"/>
      <c r="S480" s="5" t="str">
        <f t="shared" si="75"/>
        <v/>
      </c>
      <c r="T480" s="5" t="str">
        <f t="shared" si="76"/>
        <v/>
      </c>
      <c r="U480" s="5" t="str">
        <f t="shared" si="77"/>
        <v/>
      </c>
      <c r="V480" s="7" t="str">
        <f t="shared" si="78"/>
        <v/>
      </c>
      <c r="W480" s="8" t="str">
        <f t="shared" si="79"/>
        <v/>
      </c>
      <c r="X480" s="2"/>
      <c r="Y480" s="10"/>
      <c r="Z480" s="11" t="str">
        <f>IF(X480&lt;&gt;"执行卖出","",IFERROR(LOOKUP(2,1/(单次交易!$A$2:$A$201=B480),单次交易!$AP$2:$AP$201),""))</f>
        <v/>
      </c>
      <c r="AA480" s="10"/>
      <c r="AB480" s="8" t="str">
        <f t="shared" si="80"/>
        <v/>
      </c>
      <c r="AC480" s="8" t="str">
        <f>IF(A480="","",IF(A480="止损计划",IF(OR(B480="",D480="",E480="",F480="",G480=""),"计划不完整",IF(OR(D480&lt;1,D480&lt;&gt;INT(D480)),"阶段序号无效",IF(COUNTIFS($A$2:$A$497,"止损计划",$B$2:$B$497,B480,$D$2:$D$497,D480)&gt;1,"阶段序号重复",IF(E480&lt;=IFERROR(LOOKUP(2,1/(单次交易!$A$2:$A$201=B480),单次交易!$E$2:$E$201),0),"激活价须高于买入价",IF(F480&lt;N480,"止损价不得低于初始止损",IF(F480&gt;E480,"止损价不得高于激活价",IF(AND(COUNTIFS($A$2:$A$497,"止损计划",$B$2:$B$497,B480,$D$2:$D$497,"&lt;"&amp;D480)&gt;0,OR(E480&lt;=SUMPRODUCT(MAX((($A$2:$A$497="止损计划")*($B$2:$B$497=B480)*($D$2:$D$497&lt;D480))*$E$2:$E$497)),F480&lt;SUMPRODUCT(MAX((($A$2:$A$497="止损计划")*($B$2:$B$497=B480)*($D$2:$D$497&lt;D480))*$F$2:$F$497)))),"阶段价格必须逐级提高","计划有效"))))))),IF(A480="每日跟踪",IF(OR(B480="",H480="",I480="",J480=""),"每日数据不完整",IF(COUNTIFS($A$2:$A$497,"每日跟踪",$B$2:$B$497,B480,$H$2:$H$497,H480)&gt;1,"同一交易日期重复",IF(AND(R480&lt;&gt;"",R480&lt;S480),"人工止损无效：不能下调","跟踪有效"))),"记录类型无效")))</f>
        <v/>
      </c>
    </row>
    <row r="481" ht="17" spans="1:29">
      <c r="A481" s="2"/>
      <c r="B481" s="2"/>
      <c r="C481" s="8" t="str">
        <f>IF(B481="","",IFERROR(LOOKUP(2,1/(单次交易!$A$2:$A$201=B481),单次交易!$B$2:$B$201),""))</f>
        <v/>
      </c>
      <c r="D481" s="12"/>
      <c r="E481" s="10"/>
      <c r="F481" s="10"/>
      <c r="G481" s="2"/>
      <c r="H481" s="15"/>
      <c r="I481" s="10"/>
      <c r="J481" s="12"/>
      <c r="K481" s="2"/>
      <c r="L481" s="2"/>
      <c r="M481" s="2"/>
      <c r="N481" s="5" t="str">
        <f>IF(B481="","",IFERROR(LOOKUP(2,1/(单次交易!$A$2:$A$201=B481),单次交易!$N$2:$N$201),""))</f>
        <v/>
      </c>
      <c r="O481" s="5" t="str">
        <f t="shared" si="72"/>
        <v/>
      </c>
      <c r="P481" s="11" t="str">
        <f t="shared" si="73"/>
        <v/>
      </c>
      <c r="Q481" s="5" t="str">
        <f t="shared" si="74"/>
        <v/>
      </c>
      <c r="R481" s="10"/>
      <c r="S481" s="5" t="str">
        <f t="shared" si="75"/>
        <v/>
      </c>
      <c r="T481" s="5" t="str">
        <f t="shared" si="76"/>
        <v/>
      </c>
      <c r="U481" s="5" t="str">
        <f t="shared" si="77"/>
        <v/>
      </c>
      <c r="V481" s="7" t="str">
        <f t="shared" si="78"/>
        <v/>
      </c>
      <c r="W481" s="8" t="str">
        <f t="shared" si="79"/>
        <v/>
      </c>
      <c r="X481" s="2"/>
      <c r="Y481" s="10"/>
      <c r="Z481" s="11" t="str">
        <f>IF(X481&lt;&gt;"执行卖出","",IFERROR(LOOKUP(2,1/(单次交易!$A$2:$A$201=B481),单次交易!$AP$2:$AP$201),""))</f>
        <v/>
      </c>
      <c r="AA481" s="10"/>
      <c r="AB481" s="8" t="str">
        <f t="shared" si="80"/>
        <v/>
      </c>
      <c r="AC481" s="8" t="str">
        <f>IF(A481="","",IF(A481="止损计划",IF(OR(B481="",D481="",E481="",F481="",G481=""),"计划不完整",IF(OR(D481&lt;1,D481&lt;&gt;INT(D481)),"阶段序号无效",IF(COUNTIFS($A$2:$A$497,"止损计划",$B$2:$B$497,B481,$D$2:$D$497,D481)&gt;1,"阶段序号重复",IF(E481&lt;=IFERROR(LOOKUP(2,1/(单次交易!$A$2:$A$201=B481),单次交易!$E$2:$E$201),0),"激活价须高于买入价",IF(F481&lt;N481,"止损价不得低于初始止损",IF(F481&gt;E481,"止损价不得高于激活价",IF(AND(COUNTIFS($A$2:$A$497,"止损计划",$B$2:$B$497,B481,$D$2:$D$497,"&lt;"&amp;D481)&gt;0,OR(E481&lt;=SUMPRODUCT(MAX((($A$2:$A$497="止损计划")*($B$2:$B$497=B481)*($D$2:$D$497&lt;D481))*$E$2:$E$497)),F481&lt;SUMPRODUCT(MAX((($A$2:$A$497="止损计划")*($B$2:$B$497=B481)*($D$2:$D$497&lt;D481))*$F$2:$F$497)))),"阶段价格必须逐级提高","计划有效"))))))),IF(A481="每日跟踪",IF(OR(B481="",H481="",I481="",J481=""),"每日数据不完整",IF(COUNTIFS($A$2:$A$497,"每日跟踪",$B$2:$B$497,B481,$H$2:$H$497,H481)&gt;1,"同一交易日期重复",IF(AND(R481&lt;&gt;"",R481&lt;S481),"人工止损无效：不能下调","跟踪有效"))),"记录类型无效")))</f>
        <v/>
      </c>
    </row>
    <row r="482" ht="17" spans="1:29">
      <c r="A482" s="2"/>
      <c r="B482" s="2"/>
      <c r="C482" s="8" t="str">
        <f>IF(B482="","",IFERROR(LOOKUP(2,1/(单次交易!$A$2:$A$201=B482),单次交易!$B$2:$B$201),""))</f>
        <v/>
      </c>
      <c r="D482" s="12"/>
      <c r="E482" s="10"/>
      <c r="F482" s="10"/>
      <c r="G482" s="2"/>
      <c r="H482" s="15"/>
      <c r="I482" s="10"/>
      <c r="J482" s="12"/>
      <c r="K482" s="2"/>
      <c r="L482" s="2"/>
      <c r="M482" s="2"/>
      <c r="N482" s="5" t="str">
        <f>IF(B482="","",IFERROR(LOOKUP(2,1/(单次交易!$A$2:$A$201=B482),单次交易!$N$2:$N$201),""))</f>
        <v/>
      </c>
      <c r="O482" s="5" t="str">
        <f t="shared" si="72"/>
        <v/>
      </c>
      <c r="P482" s="11" t="str">
        <f t="shared" si="73"/>
        <v/>
      </c>
      <c r="Q482" s="5" t="str">
        <f t="shared" si="74"/>
        <v/>
      </c>
      <c r="R482" s="10"/>
      <c r="S482" s="5" t="str">
        <f t="shared" si="75"/>
        <v/>
      </c>
      <c r="T482" s="5" t="str">
        <f t="shared" si="76"/>
        <v/>
      </c>
      <c r="U482" s="5" t="str">
        <f t="shared" si="77"/>
        <v/>
      </c>
      <c r="V482" s="7" t="str">
        <f t="shared" si="78"/>
        <v/>
      </c>
      <c r="W482" s="8" t="str">
        <f t="shared" si="79"/>
        <v/>
      </c>
      <c r="X482" s="2"/>
      <c r="Y482" s="10"/>
      <c r="Z482" s="11" t="str">
        <f>IF(X482&lt;&gt;"执行卖出","",IFERROR(LOOKUP(2,1/(单次交易!$A$2:$A$201=B482),单次交易!$AP$2:$AP$201),""))</f>
        <v/>
      </c>
      <c r="AA482" s="10"/>
      <c r="AB482" s="8" t="str">
        <f t="shared" si="80"/>
        <v/>
      </c>
      <c r="AC482" s="8" t="str">
        <f>IF(A482="","",IF(A482="止损计划",IF(OR(B482="",D482="",E482="",F482="",G482=""),"计划不完整",IF(OR(D482&lt;1,D482&lt;&gt;INT(D482)),"阶段序号无效",IF(COUNTIFS($A$2:$A$497,"止损计划",$B$2:$B$497,B482,$D$2:$D$497,D482)&gt;1,"阶段序号重复",IF(E482&lt;=IFERROR(LOOKUP(2,1/(单次交易!$A$2:$A$201=B482),单次交易!$E$2:$E$201),0),"激活价须高于买入价",IF(F482&lt;N482,"止损价不得低于初始止损",IF(F482&gt;E482,"止损价不得高于激活价",IF(AND(COUNTIFS($A$2:$A$497,"止损计划",$B$2:$B$497,B482,$D$2:$D$497,"&lt;"&amp;D482)&gt;0,OR(E482&lt;=SUMPRODUCT(MAX((($A$2:$A$497="止损计划")*($B$2:$B$497=B482)*($D$2:$D$497&lt;D482))*$E$2:$E$497)),F482&lt;SUMPRODUCT(MAX((($A$2:$A$497="止损计划")*($B$2:$B$497=B482)*($D$2:$D$497&lt;D482))*$F$2:$F$497)))),"阶段价格必须逐级提高","计划有效"))))))),IF(A482="每日跟踪",IF(OR(B482="",H482="",I482="",J482=""),"每日数据不完整",IF(COUNTIFS($A$2:$A$497,"每日跟踪",$B$2:$B$497,B482,$H$2:$H$497,H482)&gt;1,"同一交易日期重复",IF(AND(R482&lt;&gt;"",R482&lt;S482),"人工止损无效：不能下调","跟踪有效"))),"记录类型无效")))</f>
        <v/>
      </c>
    </row>
    <row r="483" ht="17" spans="1:29">
      <c r="A483" s="2"/>
      <c r="B483" s="2"/>
      <c r="C483" s="8" t="str">
        <f>IF(B483="","",IFERROR(LOOKUP(2,1/(单次交易!$A$2:$A$201=B483),单次交易!$B$2:$B$201),""))</f>
        <v/>
      </c>
      <c r="D483" s="12"/>
      <c r="E483" s="10"/>
      <c r="F483" s="10"/>
      <c r="G483" s="2"/>
      <c r="H483" s="15"/>
      <c r="I483" s="10"/>
      <c r="J483" s="12"/>
      <c r="K483" s="2"/>
      <c r="L483" s="2"/>
      <c r="M483" s="2"/>
      <c r="N483" s="5" t="str">
        <f>IF(B483="","",IFERROR(LOOKUP(2,1/(单次交易!$A$2:$A$201=B483),单次交易!$N$2:$N$201),""))</f>
        <v/>
      </c>
      <c r="O483" s="5" t="str">
        <f t="shared" si="72"/>
        <v/>
      </c>
      <c r="P483" s="11" t="str">
        <f t="shared" si="73"/>
        <v/>
      </c>
      <c r="Q483" s="5" t="str">
        <f t="shared" si="74"/>
        <v/>
      </c>
      <c r="R483" s="10"/>
      <c r="S483" s="5" t="str">
        <f t="shared" si="75"/>
        <v/>
      </c>
      <c r="T483" s="5" t="str">
        <f t="shared" si="76"/>
        <v/>
      </c>
      <c r="U483" s="5" t="str">
        <f t="shared" si="77"/>
        <v/>
      </c>
      <c r="V483" s="7" t="str">
        <f t="shared" si="78"/>
        <v/>
      </c>
      <c r="W483" s="8" t="str">
        <f t="shared" si="79"/>
        <v/>
      </c>
      <c r="X483" s="2"/>
      <c r="Y483" s="10"/>
      <c r="Z483" s="11" t="str">
        <f>IF(X483&lt;&gt;"执行卖出","",IFERROR(LOOKUP(2,1/(单次交易!$A$2:$A$201=B483),单次交易!$AP$2:$AP$201),""))</f>
        <v/>
      </c>
      <c r="AA483" s="10"/>
      <c r="AB483" s="8" t="str">
        <f t="shared" si="80"/>
        <v/>
      </c>
      <c r="AC483" s="8" t="str">
        <f>IF(A483="","",IF(A483="止损计划",IF(OR(B483="",D483="",E483="",F483="",G483=""),"计划不完整",IF(OR(D483&lt;1,D483&lt;&gt;INT(D483)),"阶段序号无效",IF(COUNTIFS($A$2:$A$497,"止损计划",$B$2:$B$497,B483,$D$2:$D$497,D483)&gt;1,"阶段序号重复",IF(E483&lt;=IFERROR(LOOKUP(2,1/(单次交易!$A$2:$A$201=B483),单次交易!$E$2:$E$201),0),"激活价须高于买入价",IF(F483&lt;N483,"止损价不得低于初始止损",IF(F483&gt;E483,"止损价不得高于激活价",IF(AND(COUNTIFS($A$2:$A$497,"止损计划",$B$2:$B$497,B483,$D$2:$D$497,"&lt;"&amp;D483)&gt;0,OR(E483&lt;=SUMPRODUCT(MAX((($A$2:$A$497="止损计划")*($B$2:$B$497=B483)*($D$2:$D$497&lt;D483))*$E$2:$E$497)),F483&lt;SUMPRODUCT(MAX((($A$2:$A$497="止损计划")*($B$2:$B$497=B483)*($D$2:$D$497&lt;D483))*$F$2:$F$497)))),"阶段价格必须逐级提高","计划有效"))))))),IF(A483="每日跟踪",IF(OR(B483="",H483="",I483="",J483=""),"每日数据不完整",IF(COUNTIFS($A$2:$A$497,"每日跟踪",$B$2:$B$497,B483,$H$2:$H$497,H483)&gt;1,"同一交易日期重复",IF(AND(R483&lt;&gt;"",R483&lt;S483),"人工止损无效：不能下调","跟踪有效"))),"记录类型无效")))</f>
        <v/>
      </c>
    </row>
    <row r="484" ht="17" spans="1:29">
      <c r="A484" s="2"/>
      <c r="B484" s="2"/>
      <c r="C484" s="8" t="str">
        <f>IF(B484="","",IFERROR(LOOKUP(2,1/(单次交易!$A$2:$A$201=B484),单次交易!$B$2:$B$201),""))</f>
        <v/>
      </c>
      <c r="D484" s="12"/>
      <c r="E484" s="10"/>
      <c r="F484" s="10"/>
      <c r="G484" s="2"/>
      <c r="H484" s="15"/>
      <c r="I484" s="10"/>
      <c r="J484" s="12"/>
      <c r="K484" s="2"/>
      <c r="L484" s="2"/>
      <c r="M484" s="2"/>
      <c r="N484" s="5" t="str">
        <f>IF(B484="","",IFERROR(LOOKUP(2,1/(单次交易!$A$2:$A$201=B484),单次交易!$N$2:$N$201),""))</f>
        <v/>
      </c>
      <c r="O484" s="5" t="str">
        <f t="shared" si="72"/>
        <v/>
      </c>
      <c r="P484" s="11" t="str">
        <f t="shared" si="73"/>
        <v/>
      </c>
      <c r="Q484" s="5" t="str">
        <f t="shared" si="74"/>
        <v/>
      </c>
      <c r="R484" s="10"/>
      <c r="S484" s="5" t="str">
        <f t="shared" si="75"/>
        <v/>
      </c>
      <c r="T484" s="5" t="str">
        <f t="shared" si="76"/>
        <v/>
      </c>
      <c r="U484" s="5" t="str">
        <f t="shared" si="77"/>
        <v/>
      </c>
      <c r="V484" s="7" t="str">
        <f t="shared" si="78"/>
        <v/>
      </c>
      <c r="W484" s="8" t="str">
        <f t="shared" si="79"/>
        <v/>
      </c>
      <c r="X484" s="2"/>
      <c r="Y484" s="10"/>
      <c r="Z484" s="11" t="str">
        <f>IF(X484&lt;&gt;"执行卖出","",IFERROR(LOOKUP(2,1/(单次交易!$A$2:$A$201=B484),单次交易!$AP$2:$AP$201),""))</f>
        <v/>
      </c>
      <c r="AA484" s="10"/>
      <c r="AB484" s="8" t="str">
        <f t="shared" si="80"/>
        <v/>
      </c>
      <c r="AC484" s="8" t="str">
        <f>IF(A484="","",IF(A484="止损计划",IF(OR(B484="",D484="",E484="",F484="",G484=""),"计划不完整",IF(OR(D484&lt;1,D484&lt;&gt;INT(D484)),"阶段序号无效",IF(COUNTIFS($A$2:$A$497,"止损计划",$B$2:$B$497,B484,$D$2:$D$497,D484)&gt;1,"阶段序号重复",IF(E484&lt;=IFERROR(LOOKUP(2,1/(单次交易!$A$2:$A$201=B484),单次交易!$E$2:$E$201),0),"激活价须高于买入价",IF(F484&lt;N484,"止损价不得低于初始止损",IF(F484&gt;E484,"止损价不得高于激活价",IF(AND(COUNTIFS($A$2:$A$497,"止损计划",$B$2:$B$497,B484,$D$2:$D$497,"&lt;"&amp;D484)&gt;0,OR(E484&lt;=SUMPRODUCT(MAX((($A$2:$A$497="止损计划")*($B$2:$B$497=B484)*($D$2:$D$497&lt;D484))*$E$2:$E$497)),F484&lt;SUMPRODUCT(MAX((($A$2:$A$497="止损计划")*($B$2:$B$497=B484)*($D$2:$D$497&lt;D484))*$F$2:$F$497)))),"阶段价格必须逐级提高","计划有效"))))))),IF(A484="每日跟踪",IF(OR(B484="",H484="",I484="",J484=""),"每日数据不完整",IF(COUNTIFS($A$2:$A$497,"每日跟踪",$B$2:$B$497,B484,$H$2:$H$497,H484)&gt;1,"同一交易日期重复",IF(AND(R484&lt;&gt;"",R484&lt;S484),"人工止损无效：不能下调","跟踪有效"))),"记录类型无效")))</f>
        <v/>
      </c>
    </row>
    <row r="485" ht="17" spans="1:29">
      <c r="A485" s="2"/>
      <c r="B485" s="2"/>
      <c r="C485" s="8" t="str">
        <f>IF(B485="","",IFERROR(LOOKUP(2,1/(单次交易!$A$2:$A$201=B485),单次交易!$B$2:$B$201),""))</f>
        <v/>
      </c>
      <c r="D485" s="12"/>
      <c r="E485" s="10"/>
      <c r="F485" s="10"/>
      <c r="G485" s="2"/>
      <c r="H485" s="15"/>
      <c r="I485" s="10"/>
      <c r="J485" s="12"/>
      <c r="K485" s="2"/>
      <c r="L485" s="2"/>
      <c r="M485" s="2"/>
      <c r="N485" s="5" t="str">
        <f>IF(B485="","",IFERROR(LOOKUP(2,1/(单次交易!$A$2:$A$201=B485),单次交易!$N$2:$N$201),""))</f>
        <v/>
      </c>
      <c r="O485" s="5" t="str">
        <f t="shared" si="72"/>
        <v/>
      </c>
      <c r="P485" s="11" t="str">
        <f t="shared" si="73"/>
        <v/>
      </c>
      <c r="Q485" s="5" t="str">
        <f t="shared" si="74"/>
        <v/>
      </c>
      <c r="R485" s="10"/>
      <c r="S485" s="5" t="str">
        <f t="shared" si="75"/>
        <v/>
      </c>
      <c r="T485" s="5" t="str">
        <f t="shared" si="76"/>
        <v/>
      </c>
      <c r="U485" s="5" t="str">
        <f t="shared" si="77"/>
        <v/>
      </c>
      <c r="V485" s="7" t="str">
        <f t="shared" si="78"/>
        <v/>
      </c>
      <c r="W485" s="8" t="str">
        <f t="shared" si="79"/>
        <v/>
      </c>
      <c r="X485" s="2"/>
      <c r="Y485" s="10"/>
      <c r="Z485" s="11" t="str">
        <f>IF(X485&lt;&gt;"执行卖出","",IFERROR(LOOKUP(2,1/(单次交易!$A$2:$A$201=B485),单次交易!$AP$2:$AP$201),""))</f>
        <v/>
      </c>
      <c r="AA485" s="10"/>
      <c r="AB485" s="8" t="str">
        <f t="shared" si="80"/>
        <v/>
      </c>
      <c r="AC485" s="8" t="str">
        <f>IF(A485="","",IF(A485="止损计划",IF(OR(B485="",D485="",E485="",F485="",G485=""),"计划不完整",IF(OR(D485&lt;1,D485&lt;&gt;INT(D485)),"阶段序号无效",IF(COUNTIFS($A$2:$A$497,"止损计划",$B$2:$B$497,B485,$D$2:$D$497,D485)&gt;1,"阶段序号重复",IF(E485&lt;=IFERROR(LOOKUP(2,1/(单次交易!$A$2:$A$201=B485),单次交易!$E$2:$E$201),0),"激活价须高于买入价",IF(F485&lt;N485,"止损价不得低于初始止损",IF(F485&gt;E485,"止损价不得高于激活价",IF(AND(COUNTIFS($A$2:$A$497,"止损计划",$B$2:$B$497,B485,$D$2:$D$497,"&lt;"&amp;D485)&gt;0,OR(E485&lt;=SUMPRODUCT(MAX((($A$2:$A$497="止损计划")*($B$2:$B$497=B485)*($D$2:$D$497&lt;D485))*$E$2:$E$497)),F485&lt;SUMPRODUCT(MAX((($A$2:$A$497="止损计划")*($B$2:$B$497=B485)*($D$2:$D$497&lt;D485))*$F$2:$F$497)))),"阶段价格必须逐级提高","计划有效"))))))),IF(A485="每日跟踪",IF(OR(B485="",H485="",I485="",J485=""),"每日数据不完整",IF(COUNTIFS($A$2:$A$497,"每日跟踪",$B$2:$B$497,B485,$H$2:$H$497,H485)&gt;1,"同一交易日期重复",IF(AND(R485&lt;&gt;"",R485&lt;S485),"人工止损无效：不能下调","跟踪有效"))),"记录类型无效")))</f>
        <v/>
      </c>
    </row>
    <row r="486" ht="17" spans="1:29">
      <c r="A486" s="2"/>
      <c r="B486" s="2"/>
      <c r="C486" s="8" t="str">
        <f>IF(B486="","",IFERROR(LOOKUP(2,1/(单次交易!$A$2:$A$201=B486),单次交易!$B$2:$B$201),""))</f>
        <v/>
      </c>
      <c r="D486" s="12"/>
      <c r="E486" s="10"/>
      <c r="F486" s="10"/>
      <c r="G486" s="2"/>
      <c r="H486" s="15"/>
      <c r="I486" s="10"/>
      <c r="J486" s="12"/>
      <c r="K486" s="2"/>
      <c r="L486" s="2"/>
      <c r="M486" s="2"/>
      <c r="N486" s="5" t="str">
        <f>IF(B486="","",IFERROR(LOOKUP(2,1/(单次交易!$A$2:$A$201=B486),单次交易!$N$2:$N$201),""))</f>
        <v/>
      </c>
      <c r="O486" s="5" t="str">
        <f t="shared" si="72"/>
        <v/>
      </c>
      <c r="P486" s="11" t="str">
        <f t="shared" si="73"/>
        <v/>
      </c>
      <c r="Q486" s="5" t="str">
        <f t="shared" si="74"/>
        <v/>
      </c>
      <c r="R486" s="10"/>
      <c r="S486" s="5" t="str">
        <f t="shared" si="75"/>
        <v/>
      </c>
      <c r="T486" s="5" t="str">
        <f t="shared" si="76"/>
        <v/>
      </c>
      <c r="U486" s="5" t="str">
        <f t="shared" si="77"/>
        <v/>
      </c>
      <c r="V486" s="7" t="str">
        <f t="shared" si="78"/>
        <v/>
      </c>
      <c r="W486" s="8" t="str">
        <f t="shared" si="79"/>
        <v/>
      </c>
      <c r="X486" s="2"/>
      <c r="Y486" s="10"/>
      <c r="Z486" s="11" t="str">
        <f>IF(X486&lt;&gt;"执行卖出","",IFERROR(LOOKUP(2,1/(单次交易!$A$2:$A$201=B486),单次交易!$AP$2:$AP$201),""))</f>
        <v/>
      </c>
      <c r="AA486" s="10"/>
      <c r="AB486" s="8" t="str">
        <f t="shared" si="80"/>
        <v/>
      </c>
      <c r="AC486" s="8" t="str">
        <f>IF(A486="","",IF(A486="止损计划",IF(OR(B486="",D486="",E486="",F486="",G486=""),"计划不完整",IF(OR(D486&lt;1,D486&lt;&gt;INT(D486)),"阶段序号无效",IF(COUNTIFS($A$2:$A$497,"止损计划",$B$2:$B$497,B486,$D$2:$D$497,D486)&gt;1,"阶段序号重复",IF(E486&lt;=IFERROR(LOOKUP(2,1/(单次交易!$A$2:$A$201=B486),单次交易!$E$2:$E$201),0),"激活价须高于买入价",IF(F486&lt;N486,"止损价不得低于初始止损",IF(F486&gt;E486,"止损价不得高于激活价",IF(AND(COUNTIFS($A$2:$A$497,"止损计划",$B$2:$B$497,B486,$D$2:$D$497,"&lt;"&amp;D486)&gt;0,OR(E486&lt;=SUMPRODUCT(MAX((($A$2:$A$497="止损计划")*($B$2:$B$497=B486)*($D$2:$D$497&lt;D486))*$E$2:$E$497)),F486&lt;SUMPRODUCT(MAX((($A$2:$A$497="止损计划")*($B$2:$B$497=B486)*($D$2:$D$497&lt;D486))*$F$2:$F$497)))),"阶段价格必须逐级提高","计划有效"))))))),IF(A486="每日跟踪",IF(OR(B486="",H486="",I486="",J486=""),"每日数据不完整",IF(COUNTIFS($A$2:$A$497,"每日跟踪",$B$2:$B$497,B486,$H$2:$H$497,H486)&gt;1,"同一交易日期重复",IF(AND(R486&lt;&gt;"",R486&lt;S486),"人工止损无效：不能下调","跟踪有效"))),"记录类型无效")))</f>
        <v/>
      </c>
    </row>
    <row r="487" ht="17" spans="1:29">
      <c r="A487" s="2"/>
      <c r="B487" s="2"/>
      <c r="C487" s="8" t="str">
        <f>IF(B487="","",IFERROR(LOOKUP(2,1/(单次交易!$A$2:$A$201=B487),单次交易!$B$2:$B$201),""))</f>
        <v/>
      </c>
      <c r="D487" s="12"/>
      <c r="E487" s="10"/>
      <c r="F487" s="10"/>
      <c r="G487" s="2"/>
      <c r="H487" s="15"/>
      <c r="I487" s="10"/>
      <c r="J487" s="12"/>
      <c r="K487" s="2"/>
      <c r="L487" s="2"/>
      <c r="M487" s="2"/>
      <c r="N487" s="5" t="str">
        <f>IF(B487="","",IFERROR(LOOKUP(2,1/(单次交易!$A$2:$A$201=B487),单次交易!$N$2:$N$201),""))</f>
        <v/>
      </c>
      <c r="O487" s="5" t="str">
        <f t="shared" si="72"/>
        <v/>
      </c>
      <c r="P487" s="11" t="str">
        <f t="shared" si="73"/>
        <v/>
      </c>
      <c r="Q487" s="5" t="str">
        <f t="shared" si="74"/>
        <v/>
      </c>
      <c r="R487" s="10"/>
      <c r="S487" s="5" t="str">
        <f t="shared" si="75"/>
        <v/>
      </c>
      <c r="T487" s="5" t="str">
        <f t="shared" si="76"/>
        <v/>
      </c>
      <c r="U487" s="5" t="str">
        <f t="shared" si="77"/>
        <v/>
      </c>
      <c r="V487" s="7" t="str">
        <f t="shared" si="78"/>
        <v/>
      </c>
      <c r="W487" s="8" t="str">
        <f t="shared" si="79"/>
        <v/>
      </c>
      <c r="X487" s="2"/>
      <c r="Y487" s="10"/>
      <c r="Z487" s="11" t="str">
        <f>IF(X487&lt;&gt;"执行卖出","",IFERROR(LOOKUP(2,1/(单次交易!$A$2:$A$201=B487),单次交易!$AP$2:$AP$201),""))</f>
        <v/>
      </c>
      <c r="AA487" s="10"/>
      <c r="AB487" s="8" t="str">
        <f t="shared" si="80"/>
        <v/>
      </c>
      <c r="AC487" s="8" t="str">
        <f>IF(A487="","",IF(A487="止损计划",IF(OR(B487="",D487="",E487="",F487="",G487=""),"计划不完整",IF(OR(D487&lt;1,D487&lt;&gt;INT(D487)),"阶段序号无效",IF(COUNTIFS($A$2:$A$497,"止损计划",$B$2:$B$497,B487,$D$2:$D$497,D487)&gt;1,"阶段序号重复",IF(E487&lt;=IFERROR(LOOKUP(2,1/(单次交易!$A$2:$A$201=B487),单次交易!$E$2:$E$201),0),"激活价须高于买入价",IF(F487&lt;N487,"止损价不得低于初始止损",IF(F487&gt;E487,"止损价不得高于激活价",IF(AND(COUNTIFS($A$2:$A$497,"止损计划",$B$2:$B$497,B487,$D$2:$D$497,"&lt;"&amp;D487)&gt;0,OR(E487&lt;=SUMPRODUCT(MAX((($A$2:$A$497="止损计划")*($B$2:$B$497=B487)*($D$2:$D$497&lt;D487))*$E$2:$E$497)),F487&lt;SUMPRODUCT(MAX((($A$2:$A$497="止损计划")*($B$2:$B$497=B487)*($D$2:$D$497&lt;D487))*$F$2:$F$497)))),"阶段价格必须逐级提高","计划有效"))))))),IF(A487="每日跟踪",IF(OR(B487="",H487="",I487="",J487=""),"每日数据不完整",IF(COUNTIFS($A$2:$A$497,"每日跟踪",$B$2:$B$497,B487,$H$2:$H$497,H487)&gt;1,"同一交易日期重复",IF(AND(R487&lt;&gt;"",R487&lt;S487),"人工止损无效：不能下调","跟踪有效"))),"记录类型无效")))</f>
        <v/>
      </c>
    </row>
    <row r="488" ht="17" spans="1:29">
      <c r="A488" s="2"/>
      <c r="B488" s="2"/>
      <c r="C488" s="8" t="str">
        <f>IF(B488="","",IFERROR(LOOKUP(2,1/(单次交易!$A$2:$A$201=B488),单次交易!$B$2:$B$201),""))</f>
        <v/>
      </c>
      <c r="D488" s="12"/>
      <c r="E488" s="10"/>
      <c r="F488" s="10"/>
      <c r="G488" s="2"/>
      <c r="H488" s="15"/>
      <c r="I488" s="10"/>
      <c r="J488" s="12"/>
      <c r="K488" s="2"/>
      <c r="L488" s="2"/>
      <c r="M488" s="2"/>
      <c r="N488" s="5" t="str">
        <f>IF(B488="","",IFERROR(LOOKUP(2,1/(单次交易!$A$2:$A$201=B488),单次交易!$N$2:$N$201),""))</f>
        <v/>
      </c>
      <c r="O488" s="5" t="str">
        <f t="shared" si="72"/>
        <v/>
      </c>
      <c r="P488" s="11" t="str">
        <f t="shared" si="73"/>
        <v/>
      </c>
      <c r="Q488" s="5" t="str">
        <f t="shared" si="74"/>
        <v/>
      </c>
      <c r="R488" s="10"/>
      <c r="S488" s="5" t="str">
        <f t="shared" si="75"/>
        <v/>
      </c>
      <c r="T488" s="5" t="str">
        <f t="shared" si="76"/>
        <v/>
      </c>
      <c r="U488" s="5" t="str">
        <f t="shared" si="77"/>
        <v/>
      </c>
      <c r="V488" s="7" t="str">
        <f t="shared" si="78"/>
        <v/>
      </c>
      <c r="W488" s="8" t="str">
        <f t="shared" si="79"/>
        <v/>
      </c>
      <c r="X488" s="2"/>
      <c r="Y488" s="10"/>
      <c r="Z488" s="11" t="str">
        <f>IF(X488&lt;&gt;"执行卖出","",IFERROR(LOOKUP(2,1/(单次交易!$A$2:$A$201=B488),单次交易!$AP$2:$AP$201),""))</f>
        <v/>
      </c>
      <c r="AA488" s="10"/>
      <c r="AB488" s="8" t="str">
        <f t="shared" si="80"/>
        <v/>
      </c>
      <c r="AC488" s="8" t="str">
        <f>IF(A488="","",IF(A488="止损计划",IF(OR(B488="",D488="",E488="",F488="",G488=""),"计划不完整",IF(OR(D488&lt;1,D488&lt;&gt;INT(D488)),"阶段序号无效",IF(COUNTIFS($A$2:$A$497,"止损计划",$B$2:$B$497,B488,$D$2:$D$497,D488)&gt;1,"阶段序号重复",IF(E488&lt;=IFERROR(LOOKUP(2,1/(单次交易!$A$2:$A$201=B488),单次交易!$E$2:$E$201),0),"激活价须高于买入价",IF(F488&lt;N488,"止损价不得低于初始止损",IF(F488&gt;E488,"止损价不得高于激活价",IF(AND(COUNTIFS($A$2:$A$497,"止损计划",$B$2:$B$497,B488,$D$2:$D$497,"&lt;"&amp;D488)&gt;0,OR(E488&lt;=SUMPRODUCT(MAX((($A$2:$A$497="止损计划")*($B$2:$B$497=B488)*($D$2:$D$497&lt;D488))*$E$2:$E$497)),F488&lt;SUMPRODUCT(MAX((($A$2:$A$497="止损计划")*($B$2:$B$497=B488)*($D$2:$D$497&lt;D488))*$F$2:$F$497)))),"阶段价格必须逐级提高","计划有效"))))))),IF(A488="每日跟踪",IF(OR(B488="",H488="",I488="",J488=""),"每日数据不完整",IF(COUNTIFS($A$2:$A$497,"每日跟踪",$B$2:$B$497,B488,$H$2:$H$497,H488)&gt;1,"同一交易日期重复",IF(AND(R488&lt;&gt;"",R488&lt;S488),"人工止损无效：不能下调","跟踪有效"))),"记录类型无效")))</f>
        <v/>
      </c>
    </row>
    <row r="489" ht="17" spans="1:29">
      <c r="A489" s="2"/>
      <c r="B489" s="2"/>
      <c r="C489" s="8" t="str">
        <f>IF(B489="","",IFERROR(LOOKUP(2,1/(单次交易!$A$2:$A$201=B489),单次交易!$B$2:$B$201),""))</f>
        <v/>
      </c>
      <c r="D489" s="12"/>
      <c r="E489" s="10"/>
      <c r="F489" s="10"/>
      <c r="G489" s="2"/>
      <c r="H489" s="15"/>
      <c r="I489" s="10"/>
      <c r="J489" s="12"/>
      <c r="K489" s="2"/>
      <c r="L489" s="2"/>
      <c r="M489" s="2"/>
      <c r="N489" s="5" t="str">
        <f>IF(B489="","",IFERROR(LOOKUP(2,1/(单次交易!$A$2:$A$201=B489),单次交易!$N$2:$N$201),""))</f>
        <v/>
      </c>
      <c r="O489" s="5" t="str">
        <f t="shared" si="72"/>
        <v/>
      </c>
      <c r="P489" s="11" t="str">
        <f t="shared" si="73"/>
        <v/>
      </c>
      <c r="Q489" s="5" t="str">
        <f t="shared" si="74"/>
        <v/>
      </c>
      <c r="R489" s="10"/>
      <c r="S489" s="5" t="str">
        <f t="shared" si="75"/>
        <v/>
      </c>
      <c r="T489" s="5" t="str">
        <f t="shared" si="76"/>
        <v/>
      </c>
      <c r="U489" s="5" t="str">
        <f t="shared" si="77"/>
        <v/>
      </c>
      <c r="V489" s="7" t="str">
        <f t="shared" si="78"/>
        <v/>
      </c>
      <c r="W489" s="8" t="str">
        <f t="shared" si="79"/>
        <v/>
      </c>
      <c r="X489" s="2"/>
      <c r="Y489" s="10"/>
      <c r="Z489" s="11" t="str">
        <f>IF(X489&lt;&gt;"执行卖出","",IFERROR(LOOKUP(2,1/(单次交易!$A$2:$A$201=B489),单次交易!$AP$2:$AP$201),""))</f>
        <v/>
      </c>
      <c r="AA489" s="10"/>
      <c r="AB489" s="8" t="str">
        <f t="shared" si="80"/>
        <v/>
      </c>
      <c r="AC489" s="8" t="str">
        <f>IF(A489="","",IF(A489="止损计划",IF(OR(B489="",D489="",E489="",F489="",G489=""),"计划不完整",IF(OR(D489&lt;1,D489&lt;&gt;INT(D489)),"阶段序号无效",IF(COUNTIFS($A$2:$A$497,"止损计划",$B$2:$B$497,B489,$D$2:$D$497,D489)&gt;1,"阶段序号重复",IF(E489&lt;=IFERROR(LOOKUP(2,1/(单次交易!$A$2:$A$201=B489),单次交易!$E$2:$E$201),0),"激活价须高于买入价",IF(F489&lt;N489,"止损价不得低于初始止损",IF(F489&gt;E489,"止损价不得高于激活价",IF(AND(COUNTIFS($A$2:$A$497,"止损计划",$B$2:$B$497,B489,$D$2:$D$497,"&lt;"&amp;D489)&gt;0,OR(E489&lt;=SUMPRODUCT(MAX((($A$2:$A$497="止损计划")*($B$2:$B$497=B489)*($D$2:$D$497&lt;D489))*$E$2:$E$497)),F489&lt;SUMPRODUCT(MAX((($A$2:$A$497="止损计划")*($B$2:$B$497=B489)*($D$2:$D$497&lt;D489))*$F$2:$F$497)))),"阶段价格必须逐级提高","计划有效"))))))),IF(A489="每日跟踪",IF(OR(B489="",H489="",I489="",J489=""),"每日数据不完整",IF(COUNTIFS($A$2:$A$497,"每日跟踪",$B$2:$B$497,B489,$H$2:$H$497,H489)&gt;1,"同一交易日期重复",IF(AND(R489&lt;&gt;"",R489&lt;S489),"人工止损无效：不能下调","跟踪有效"))),"记录类型无效")))</f>
        <v/>
      </c>
    </row>
    <row r="490" ht="17" spans="1:29">
      <c r="A490" s="2"/>
      <c r="B490" s="2"/>
      <c r="C490" s="8" t="str">
        <f>IF(B490="","",IFERROR(LOOKUP(2,1/(单次交易!$A$2:$A$201=B490),单次交易!$B$2:$B$201),""))</f>
        <v/>
      </c>
      <c r="D490" s="12"/>
      <c r="E490" s="10"/>
      <c r="F490" s="10"/>
      <c r="G490" s="2"/>
      <c r="H490" s="15"/>
      <c r="I490" s="10"/>
      <c r="J490" s="12"/>
      <c r="K490" s="2"/>
      <c r="L490" s="2"/>
      <c r="M490" s="2"/>
      <c r="N490" s="5" t="str">
        <f>IF(B490="","",IFERROR(LOOKUP(2,1/(单次交易!$A$2:$A$201=B490),单次交易!$N$2:$N$201),""))</f>
        <v/>
      </c>
      <c r="O490" s="5" t="str">
        <f t="shared" si="72"/>
        <v/>
      </c>
      <c r="P490" s="11" t="str">
        <f t="shared" si="73"/>
        <v/>
      </c>
      <c r="Q490" s="5" t="str">
        <f t="shared" si="74"/>
        <v/>
      </c>
      <c r="R490" s="10"/>
      <c r="S490" s="5" t="str">
        <f t="shared" si="75"/>
        <v/>
      </c>
      <c r="T490" s="5" t="str">
        <f t="shared" si="76"/>
        <v/>
      </c>
      <c r="U490" s="5" t="str">
        <f t="shared" si="77"/>
        <v/>
      </c>
      <c r="V490" s="7" t="str">
        <f t="shared" si="78"/>
        <v/>
      </c>
      <c r="W490" s="8" t="str">
        <f t="shared" si="79"/>
        <v/>
      </c>
      <c r="X490" s="2"/>
      <c r="Y490" s="10"/>
      <c r="Z490" s="11" t="str">
        <f>IF(X490&lt;&gt;"执行卖出","",IFERROR(LOOKUP(2,1/(单次交易!$A$2:$A$201=B490),单次交易!$AP$2:$AP$201),""))</f>
        <v/>
      </c>
      <c r="AA490" s="10"/>
      <c r="AB490" s="8" t="str">
        <f t="shared" si="80"/>
        <v/>
      </c>
      <c r="AC490" s="8" t="str">
        <f>IF(A490="","",IF(A490="止损计划",IF(OR(B490="",D490="",E490="",F490="",G490=""),"计划不完整",IF(OR(D490&lt;1,D490&lt;&gt;INT(D490)),"阶段序号无效",IF(COUNTIFS($A$2:$A$497,"止损计划",$B$2:$B$497,B490,$D$2:$D$497,D490)&gt;1,"阶段序号重复",IF(E490&lt;=IFERROR(LOOKUP(2,1/(单次交易!$A$2:$A$201=B490),单次交易!$E$2:$E$201),0),"激活价须高于买入价",IF(F490&lt;N490,"止损价不得低于初始止损",IF(F490&gt;E490,"止损价不得高于激活价",IF(AND(COUNTIFS($A$2:$A$497,"止损计划",$B$2:$B$497,B490,$D$2:$D$497,"&lt;"&amp;D490)&gt;0,OR(E490&lt;=SUMPRODUCT(MAX((($A$2:$A$497="止损计划")*($B$2:$B$497=B490)*($D$2:$D$497&lt;D490))*$E$2:$E$497)),F490&lt;SUMPRODUCT(MAX((($A$2:$A$497="止损计划")*($B$2:$B$497=B490)*($D$2:$D$497&lt;D490))*$F$2:$F$497)))),"阶段价格必须逐级提高","计划有效"))))))),IF(A490="每日跟踪",IF(OR(B490="",H490="",I490="",J490=""),"每日数据不完整",IF(COUNTIFS($A$2:$A$497,"每日跟踪",$B$2:$B$497,B490,$H$2:$H$497,H490)&gt;1,"同一交易日期重复",IF(AND(R490&lt;&gt;"",R490&lt;S490),"人工止损无效：不能下调","跟踪有效"))),"记录类型无效")))</f>
        <v/>
      </c>
    </row>
    <row r="491" ht="17" spans="1:29">
      <c r="A491" s="2"/>
      <c r="B491" s="2"/>
      <c r="C491" s="8" t="str">
        <f>IF(B491="","",IFERROR(LOOKUP(2,1/(单次交易!$A$2:$A$201=B491),单次交易!$B$2:$B$201),""))</f>
        <v/>
      </c>
      <c r="D491" s="12"/>
      <c r="E491" s="10"/>
      <c r="F491" s="10"/>
      <c r="G491" s="2"/>
      <c r="H491" s="15"/>
      <c r="I491" s="10"/>
      <c r="J491" s="12"/>
      <c r="K491" s="2"/>
      <c r="L491" s="2"/>
      <c r="M491" s="2"/>
      <c r="N491" s="5" t="str">
        <f>IF(B491="","",IFERROR(LOOKUP(2,1/(单次交易!$A$2:$A$201=B491),单次交易!$N$2:$N$201),""))</f>
        <v/>
      </c>
      <c r="O491" s="5" t="str">
        <f t="shared" si="72"/>
        <v/>
      </c>
      <c r="P491" s="11" t="str">
        <f t="shared" si="73"/>
        <v/>
      </c>
      <c r="Q491" s="5" t="str">
        <f t="shared" si="74"/>
        <v/>
      </c>
      <c r="R491" s="10"/>
      <c r="S491" s="5" t="str">
        <f t="shared" si="75"/>
        <v/>
      </c>
      <c r="T491" s="5" t="str">
        <f t="shared" si="76"/>
        <v/>
      </c>
      <c r="U491" s="5" t="str">
        <f t="shared" si="77"/>
        <v/>
      </c>
      <c r="V491" s="7" t="str">
        <f t="shared" si="78"/>
        <v/>
      </c>
      <c r="W491" s="8" t="str">
        <f t="shared" si="79"/>
        <v/>
      </c>
      <c r="X491" s="2"/>
      <c r="Y491" s="10"/>
      <c r="Z491" s="11" t="str">
        <f>IF(X491&lt;&gt;"执行卖出","",IFERROR(LOOKUP(2,1/(单次交易!$A$2:$A$201=B491),单次交易!$AP$2:$AP$201),""))</f>
        <v/>
      </c>
      <c r="AA491" s="10"/>
      <c r="AB491" s="8" t="str">
        <f t="shared" si="80"/>
        <v/>
      </c>
      <c r="AC491" s="8" t="str">
        <f>IF(A491="","",IF(A491="止损计划",IF(OR(B491="",D491="",E491="",F491="",G491=""),"计划不完整",IF(OR(D491&lt;1,D491&lt;&gt;INT(D491)),"阶段序号无效",IF(COUNTIFS($A$2:$A$497,"止损计划",$B$2:$B$497,B491,$D$2:$D$497,D491)&gt;1,"阶段序号重复",IF(E491&lt;=IFERROR(LOOKUP(2,1/(单次交易!$A$2:$A$201=B491),单次交易!$E$2:$E$201),0),"激活价须高于买入价",IF(F491&lt;N491,"止损价不得低于初始止损",IF(F491&gt;E491,"止损价不得高于激活价",IF(AND(COUNTIFS($A$2:$A$497,"止损计划",$B$2:$B$497,B491,$D$2:$D$497,"&lt;"&amp;D491)&gt;0,OR(E491&lt;=SUMPRODUCT(MAX((($A$2:$A$497="止损计划")*($B$2:$B$497=B491)*($D$2:$D$497&lt;D491))*$E$2:$E$497)),F491&lt;SUMPRODUCT(MAX((($A$2:$A$497="止损计划")*($B$2:$B$497=B491)*($D$2:$D$497&lt;D491))*$F$2:$F$497)))),"阶段价格必须逐级提高","计划有效"))))))),IF(A491="每日跟踪",IF(OR(B491="",H491="",I491="",J491=""),"每日数据不完整",IF(COUNTIFS($A$2:$A$497,"每日跟踪",$B$2:$B$497,B491,$H$2:$H$497,H491)&gt;1,"同一交易日期重复",IF(AND(R491&lt;&gt;"",R491&lt;S491),"人工止损无效：不能下调","跟踪有效"))),"记录类型无效")))</f>
        <v/>
      </c>
    </row>
    <row r="492" ht="17" spans="1:29">
      <c r="A492" s="2"/>
      <c r="B492" s="2"/>
      <c r="C492" s="8" t="str">
        <f>IF(B492="","",IFERROR(LOOKUP(2,1/(单次交易!$A$2:$A$201=B492),单次交易!$B$2:$B$201),""))</f>
        <v/>
      </c>
      <c r="D492" s="12"/>
      <c r="E492" s="10"/>
      <c r="F492" s="10"/>
      <c r="G492" s="2"/>
      <c r="H492" s="15"/>
      <c r="I492" s="10"/>
      <c r="J492" s="12"/>
      <c r="K492" s="2"/>
      <c r="L492" s="2"/>
      <c r="M492" s="2"/>
      <c r="N492" s="5" t="str">
        <f>IF(B492="","",IFERROR(LOOKUP(2,1/(单次交易!$A$2:$A$201=B492),单次交易!$N$2:$N$201),""))</f>
        <v/>
      </c>
      <c r="O492" s="5" t="str">
        <f t="shared" si="72"/>
        <v/>
      </c>
      <c r="P492" s="11" t="str">
        <f t="shared" si="73"/>
        <v/>
      </c>
      <c r="Q492" s="5" t="str">
        <f t="shared" si="74"/>
        <v/>
      </c>
      <c r="R492" s="10"/>
      <c r="S492" s="5" t="str">
        <f t="shared" si="75"/>
        <v/>
      </c>
      <c r="T492" s="5" t="str">
        <f t="shared" si="76"/>
        <v/>
      </c>
      <c r="U492" s="5" t="str">
        <f t="shared" si="77"/>
        <v/>
      </c>
      <c r="V492" s="7" t="str">
        <f t="shared" si="78"/>
        <v/>
      </c>
      <c r="W492" s="8" t="str">
        <f t="shared" si="79"/>
        <v/>
      </c>
      <c r="X492" s="2"/>
      <c r="Y492" s="10"/>
      <c r="Z492" s="11" t="str">
        <f>IF(X492&lt;&gt;"执行卖出","",IFERROR(LOOKUP(2,1/(单次交易!$A$2:$A$201=B492),单次交易!$AP$2:$AP$201),""))</f>
        <v/>
      </c>
      <c r="AA492" s="10"/>
      <c r="AB492" s="8" t="str">
        <f t="shared" si="80"/>
        <v/>
      </c>
      <c r="AC492" s="8" t="str">
        <f>IF(A492="","",IF(A492="止损计划",IF(OR(B492="",D492="",E492="",F492="",G492=""),"计划不完整",IF(OR(D492&lt;1,D492&lt;&gt;INT(D492)),"阶段序号无效",IF(COUNTIFS($A$2:$A$497,"止损计划",$B$2:$B$497,B492,$D$2:$D$497,D492)&gt;1,"阶段序号重复",IF(E492&lt;=IFERROR(LOOKUP(2,1/(单次交易!$A$2:$A$201=B492),单次交易!$E$2:$E$201),0),"激活价须高于买入价",IF(F492&lt;N492,"止损价不得低于初始止损",IF(F492&gt;E492,"止损价不得高于激活价",IF(AND(COUNTIFS($A$2:$A$497,"止损计划",$B$2:$B$497,B492,$D$2:$D$497,"&lt;"&amp;D492)&gt;0,OR(E492&lt;=SUMPRODUCT(MAX((($A$2:$A$497="止损计划")*($B$2:$B$497=B492)*($D$2:$D$497&lt;D492))*$E$2:$E$497)),F492&lt;SUMPRODUCT(MAX((($A$2:$A$497="止损计划")*($B$2:$B$497=B492)*($D$2:$D$497&lt;D492))*$F$2:$F$497)))),"阶段价格必须逐级提高","计划有效"))))))),IF(A492="每日跟踪",IF(OR(B492="",H492="",I492="",J492=""),"每日数据不完整",IF(COUNTIFS($A$2:$A$497,"每日跟踪",$B$2:$B$497,B492,$H$2:$H$497,H492)&gt;1,"同一交易日期重复",IF(AND(R492&lt;&gt;"",R492&lt;S492),"人工止损无效：不能下调","跟踪有效"))),"记录类型无效")))</f>
        <v/>
      </c>
    </row>
    <row r="493" ht="17" spans="1:29">
      <c r="A493" s="2"/>
      <c r="B493" s="2"/>
      <c r="C493" s="8" t="str">
        <f>IF(B493="","",IFERROR(LOOKUP(2,1/(单次交易!$A$2:$A$201=B493),单次交易!$B$2:$B$201),""))</f>
        <v/>
      </c>
      <c r="D493" s="12"/>
      <c r="E493" s="10"/>
      <c r="F493" s="10"/>
      <c r="G493" s="2"/>
      <c r="H493" s="15"/>
      <c r="I493" s="10"/>
      <c r="J493" s="12"/>
      <c r="K493" s="2"/>
      <c r="L493" s="2"/>
      <c r="M493" s="2"/>
      <c r="N493" s="5" t="str">
        <f>IF(B493="","",IFERROR(LOOKUP(2,1/(单次交易!$A$2:$A$201=B493),单次交易!$N$2:$N$201),""))</f>
        <v/>
      </c>
      <c r="O493" s="5" t="str">
        <f t="shared" si="72"/>
        <v/>
      </c>
      <c r="P493" s="11" t="str">
        <f t="shared" si="73"/>
        <v/>
      </c>
      <c r="Q493" s="5" t="str">
        <f t="shared" si="74"/>
        <v/>
      </c>
      <c r="R493" s="10"/>
      <c r="S493" s="5" t="str">
        <f t="shared" si="75"/>
        <v/>
      </c>
      <c r="T493" s="5" t="str">
        <f t="shared" si="76"/>
        <v/>
      </c>
      <c r="U493" s="5" t="str">
        <f t="shared" si="77"/>
        <v/>
      </c>
      <c r="V493" s="7" t="str">
        <f t="shared" si="78"/>
        <v/>
      </c>
      <c r="W493" s="8" t="str">
        <f t="shared" si="79"/>
        <v/>
      </c>
      <c r="X493" s="2"/>
      <c r="Y493" s="10"/>
      <c r="Z493" s="11" t="str">
        <f>IF(X493&lt;&gt;"执行卖出","",IFERROR(LOOKUP(2,1/(单次交易!$A$2:$A$201=B493),单次交易!$AP$2:$AP$201),""))</f>
        <v/>
      </c>
      <c r="AA493" s="10"/>
      <c r="AB493" s="8" t="str">
        <f t="shared" si="80"/>
        <v/>
      </c>
      <c r="AC493" s="8" t="str">
        <f>IF(A493="","",IF(A493="止损计划",IF(OR(B493="",D493="",E493="",F493="",G493=""),"计划不完整",IF(OR(D493&lt;1,D493&lt;&gt;INT(D493)),"阶段序号无效",IF(COUNTIFS($A$2:$A$497,"止损计划",$B$2:$B$497,B493,$D$2:$D$497,D493)&gt;1,"阶段序号重复",IF(E493&lt;=IFERROR(LOOKUP(2,1/(单次交易!$A$2:$A$201=B493),单次交易!$E$2:$E$201),0),"激活价须高于买入价",IF(F493&lt;N493,"止损价不得低于初始止损",IF(F493&gt;E493,"止损价不得高于激活价",IF(AND(COUNTIFS($A$2:$A$497,"止损计划",$B$2:$B$497,B493,$D$2:$D$497,"&lt;"&amp;D493)&gt;0,OR(E493&lt;=SUMPRODUCT(MAX((($A$2:$A$497="止损计划")*($B$2:$B$497=B493)*($D$2:$D$497&lt;D493))*$E$2:$E$497)),F493&lt;SUMPRODUCT(MAX((($A$2:$A$497="止损计划")*($B$2:$B$497=B493)*($D$2:$D$497&lt;D493))*$F$2:$F$497)))),"阶段价格必须逐级提高","计划有效"))))))),IF(A493="每日跟踪",IF(OR(B493="",H493="",I493="",J493=""),"每日数据不完整",IF(COUNTIFS($A$2:$A$497,"每日跟踪",$B$2:$B$497,B493,$H$2:$H$497,H493)&gt;1,"同一交易日期重复",IF(AND(R493&lt;&gt;"",R493&lt;S493),"人工止损无效：不能下调","跟踪有效"))),"记录类型无效")))</f>
        <v/>
      </c>
    </row>
    <row r="494" ht="17" spans="1:29">
      <c r="A494" s="2"/>
      <c r="B494" s="2"/>
      <c r="C494" s="8" t="str">
        <f>IF(B494="","",IFERROR(LOOKUP(2,1/(单次交易!$A$2:$A$201=B494),单次交易!$B$2:$B$201),""))</f>
        <v/>
      </c>
      <c r="D494" s="12"/>
      <c r="E494" s="10"/>
      <c r="F494" s="10"/>
      <c r="G494" s="2"/>
      <c r="H494" s="15"/>
      <c r="I494" s="10"/>
      <c r="J494" s="12"/>
      <c r="K494" s="2"/>
      <c r="L494" s="2"/>
      <c r="M494" s="2"/>
      <c r="N494" s="5" t="str">
        <f>IF(B494="","",IFERROR(LOOKUP(2,1/(单次交易!$A$2:$A$201=B494),单次交易!$N$2:$N$201),""))</f>
        <v/>
      </c>
      <c r="O494" s="5" t="str">
        <f t="shared" si="72"/>
        <v/>
      </c>
      <c r="P494" s="11" t="str">
        <f t="shared" si="73"/>
        <v/>
      </c>
      <c r="Q494" s="5" t="str">
        <f t="shared" si="74"/>
        <v/>
      </c>
      <c r="R494" s="10"/>
      <c r="S494" s="5" t="str">
        <f t="shared" si="75"/>
        <v/>
      </c>
      <c r="T494" s="5" t="str">
        <f t="shared" si="76"/>
        <v/>
      </c>
      <c r="U494" s="5" t="str">
        <f t="shared" si="77"/>
        <v/>
      </c>
      <c r="V494" s="7" t="str">
        <f t="shared" si="78"/>
        <v/>
      </c>
      <c r="W494" s="8" t="str">
        <f t="shared" si="79"/>
        <v/>
      </c>
      <c r="X494" s="2"/>
      <c r="Y494" s="10"/>
      <c r="Z494" s="11" t="str">
        <f>IF(X494&lt;&gt;"执行卖出","",IFERROR(LOOKUP(2,1/(单次交易!$A$2:$A$201=B494),单次交易!$AP$2:$AP$201),""))</f>
        <v/>
      </c>
      <c r="AA494" s="10"/>
      <c r="AB494" s="8" t="str">
        <f t="shared" si="80"/>
        <v/>
      </c>
      <c r="AC494" s="8" t="str">
        <f>IF(A494="","",IF(A494="止损计划",IF(OR(B494="",D494="",E494="",F494="",G494=""),"计划不完整",IF(OR(D494&lt;1,D494&lt;&gt;INT(D494)),"阶段序号无效",IF(COUNTIFS($A$2:$A$497,"止损计划",$B$2:$B$497,B494,$D$2:$D$497,D494)&gt;1,"阶段序号重复",IF(E494&lt;=IFERROR(LOOKUP(2,1/(单次交易!$A$2:$A$201=B494),单次交易!$E$2:$E$201),0),"激活价须高于买入价",IF(F494&lt;N494,"止损价不得低于初始止损",IF(F494&gt;E494,"止损价不得高于激活价",IF(AND(COUNTIFS($A$2:$A$497,"止损计划",$B$2:$B$497,B494,$D$2:$D$497,"&lt;"&amp;D494)&gt;0,OR(E494&lt;=SUMPRODUCT(MAX((($A$2:$A$497="止损计划")*($B$2:$B$497=B494)*($D$2:$D$497&lt;D494))*$E$2:$E$497)),F494&lt;SUMPRODUCT(MAX((($A$2:$A$497="止损计划")*($B$2:$B$497=B494)*($D$2:$D$497&lt;D494))*$F$2:$F$497)))),"阶段价格必须逐级提高","计划有效"))))))),IF(A494="每日跟踪",IF(OR(B494="",H494="",I494="",J494=""),"每日数据不完整",IF(COUNTIFS($A$2:$A$497,"每日跟踪",$B$2:$B$497,B494,$H$2:$H$497,H494)&gt;1,"同一交易日期重复",IF(AND(R494&lt;&gt;"",R494&lt;S494),"人工止损无效：不能下调","跟踪有效"))),"记录类型无效")))</f>
        <v/>
      </c>
    </row>
    <row r="495" ht="17" spans="1:29">
      <c r="A495" s="2"/>
      <c r="B495" s="2"/>
      <c r="C495" s="8" t="str">
        <f>IF(B495="","",IFERROR(LOOKUP(2,1/(单次交易!$A$2:$A$201=B495),单次交易!$B$2:$B$201),""))</f>
        <v/>
      </c>
      <c r="D495" s="12"/>
      <c r="E495" s="10"/>
      <c r="F495" s="10"/>
      <c r="G495" s="2"/>
      <c r="H495" s="15"/>
      <c r="I495" s="10"/>
      <c r="J495" s="12"/>
      <c r="K495" s="2"/>
      <c r="L495" s="2"/>
      <c r="M495" s="2"/>
      <c r="N495" s="5" t="str">
        <f>IF(B495="","",IFERROR(LOOKUP(2,1/(单次交易!$A$2:$A$201=B495),单次交易!$N$2:$N$201),""))</f>
        <v/>
      </c>
      <c r="O495" s="5" t="str">
        <f t="shared" si="72"/>
        <v/>
      </c>
      <c r="P495" s="11" t="str">
        <f t="shared" si="73"/>
        <v/>
      </c>
      <c r="Q495" s="5" t="str">
        <f t="shared" si="74"/>
        <v/>
      </c>
      <c r="R495" s="10"/>
      <c r="S495" s="5" t="str">
        <f t="shared" si="75"/>
        <v/>
      </c>
      <c r="T495" s="5" t="str">
        <f t="shared" si="76"/>
        <v/>
      </c>
      <c r="U495" s="5" t="str">
        <f t="shared" si="77"/>
        <v/>
      </c>
      <c r="V495" s="7" t="str">
        <f t="shared" si="78"/>
        <v/>
      </c>
      <c r="W495" s="8" t="str">
        <f t="shared" si="79"/>
        <v/>
      </c>
      <c r="X495" s="2"/>
      <c r="Y495" s="10"/>
      <c r="Z495" s="11" t="str">
        <f>IF(X495&lt;&gt;"执行卖出","",IFERROR(LOOKUP(2,1/(单次交易!$A$2:$A$201=B495),单次交易!$AP$2:$AP$201),""))</f>
        <v/>
      </c>
      <c r="AA495" s="10"/>
      <c r="AB495" s="8" t="str">
        <f t="shared" si="80"/>
        <v/>
      </c>
      <c r="AC495" s="8" t="str">
        <f>IF(A495="","",IF(A495="止损计划",IF(OR(B495="",D495="",E495="",F495="",G495=""),"计划不完整",IF(OR(D495&lt;1,D495&lt;&gt;INT(D495)),"阶段序号无效",IF(COUNTIFS($A$2:$A$497,"止损计划",$B$2:$B$497,B495,$D$2:$D$497,D495)&gt;1,"阶段序号重复",IF(E495&lt;=IFERROR(LOOKUP(2,1/(单次交易!$A$2:$A$201=B495),单次交易!$E$2:$E$201),0),"激活价须高于买入价",IF(F495&lt;N495,"止损价不得低于初始止损",IF(F495&gt;E495,"止损价不得高于激活价",IF(AND(COUNTIFS($A$2:$A$497,"止损计划",$B$2:$B$497,B495,$D$2:$D$497,"&lt;"&amp;D495)&gt;0,OR(E495&lt;=SUMPRODUCT(MAX((($A$2:$A$497="止损计划")*($B$2:$B$497=B495)*($D$2:$D$497&lt;D495))*$E$2:$E$497)),F495&lt;SUMPRODUCT(MAX((($A$2:$A$497="止损计划")*($B$2:$B$497=B495)*($D$2:$D$497&lt;D495))*$F$2:$F$497)))),"阶段价格必须逐级提高","计划有效"))))))),IF(A495="每日跟踪",IF(OR(B495="",H495="",I495="",J495=""),"每日数据不完整",IF(COUNTIFS($A$2:$A$497,"每日跟踪",$B$2:$B$497,B495,$H$2:$H$497,H495)&gt;1,"同一交易日期重复",IF(AND(R495&lt;&gt;"",R495&lt;S495),"人工止损无效：不能下调","跟踪有效"))),"记录类型无效")))</f>
        <v/>
      </c>
    </row>
    <row r="496" ht="17" spans="1:29">
      <c r="A496" s="2"/>
      <c r="B496" s="2"/>
      <c r="C496" s="8" t="str">
        <f>IF(B496="","",IFERROR(LOOKUP(2,1/(单次交易!$A$2:$A$201=B496),单次交易!$B$2:$B$201),""))</f>
        <v/>
      </c>
      <c r="D496" s="12"/>
      <c r="E496" s="10"/>
      <c r="F496" s="10"/>
      <c r="G496" s="2"/>
      <c r="H496" s="15"/>
      <c r="I496" s="10"/>
      <c r="J496" s="12"/>
      <c r="K496" s="2"/>
      <c r="L496" s="2"/>
      <c r="M496" s="2"/>
      <c r="N496" s="5" t="str">
        <f>IF(B496="","",IFERROR(LOOKUP(2,1/(单次交易!$A$2:$A$201=B496),单次交易!$N$2:$N$201),""))</f>
        <v/>
      </c>
      <c r="O496" s="5" t="str">
        <f t="shared" si="72"/>
        <v/>
      </c>
      <c r="P496" s="11" t="str">
        <f t="shared" si="73"/>
        <v/>
      </c>
      <c r="Q496" s="5" t="str">
        <f t="shared" si="74"/>
        <v/>
      </c>
      <c r="R496" s="10"/>
      <c r="S496" s="5" t="str">
        <f t="shared" si="75"/>
        <v/>
      </c>
      <c r="T496" s="5" t="str">
        <f t="shared" si="76"/>
        <v/>
      </c>
      <c r="U496" s="5" t="str">
        <f t="shared" si="77"/>
        <v/>
      </c>
      <c r="V496" s="7" t="str">
        <f t="shared" si="78"/>
        <v/>
      </c>
      <c r="W496" s="8" t="str">
        <f t="shared" si="79"/>
        <v/>
      </c>
      <c r="X496" s="2"/>
      <c r="Y496" s="10"/>
      <c r="Z496" s="11" t="str">
        <f>IF(X496&lt;&gt;"执行卖出","",IFERROR(LOOKUP(2,1/(单次交易!$A$2:$A$201=B496),单次交易!$AP$2:$AP$201),""))</f>
        <v/>
      </c>
      <c r="AA496" s="10"/>
      <c r="AB496" s="8" t="str">
        <f t="shared" si="80"/>
        <v/>
      </c>
      <c r="AC496" s="8" t="str">
        <f>IF(A496="","",IF(A496="止损计划",IF(OR(B496="",D496="",E496="",F496="",G496=""),"计划不完整",IF(OR(D496&lt;1,D496&lt;&gt;INT(D496)),"阶段序号无效",IF(COUNTIFS($A$2:$A$497,"止损计划",$B$2:$B$497,B496,$D$2:$D$497,D496)&gt;1,"阶段序号重复",IF(E496&lt;=IFERROR(LOOKUP(2,1/(单次交易!$A$2:$A$201=B496),单次交易!$E$2:$E$201),0),"激活价须高于买入价",IF(F496&lt;N496,"止损价不得低于初始止损",IF(F496&gt;E496,"止损价不得高于激活价",IF(AND(COUNTIFS($A$2:$A$497,"止损计划",$B$2:$B$497,B496,$D$2:$D$497,"&lt;"&amp;D496)&gt;0,OR(E496&lt;=SUMPRODUCT(MAX((($A$2:$A$497="止损计划")*($B$2:$B$497=B496)*($D$2:$D$497&lt;D496))*$E$2:$E$497)),F496&lt;SUMPRODUCT(MAX((($A$2:$A$497="止损计划")*($B$2:$B$497=B496)*($D$2:$D$497&lt;D496))*$F$2:$F$497)))),"阶段价格必须逐级提高","计划有效"))))))),IF(A496="每日跟踪",IF(OR(B496="",H496="",I496="",J496=""),"每日数据不完整",IF(COUNTIFS($A$2:$A$497,"每日跟踪",$B$2:$B$497,B496,$H$2:$H$497,H496)&gt;1,"同一交易日期重复",IF(AND(R496&lt;&gt;"",R496&lt;S496),"人工止损无效：不能下调","跟踪有效"))),"记录类型无效")))</f>
        <v/>
      </c>
    </row>
    <row r="497" ht="17" spans="1:29">
      <c r="A497" s="2"/>
      <c r="B497" s="2"/>
      <c r="C497" s="8" t="str">
        <f>IF(B497="","",IFERROR(LOOKUP(2,1/(单次交易!$A$2:$A$201=B497),单次交易!$B$2:$B$201),""))</f>
        <v/>
      </c>
      <c r="D497" s="12"/>
      <c r="E497" s="10"/>
      <c r="F497" s="10"/>
      <c r="G497" s="2"/>
      <c r="H497" s="15"/>
      <c r="I497" s="10"/>
      <c r="J497" s="12"/>
      <c r="K497" s="2"/>
      <c r="L497" s="2"/>
      <c r="M497" s="2"/>
      <c r="N497" s="5" t="str">
        <f>IF(B497="","",IFERROR(LOOKUP(2,1/(单次交易!$A$2:$A$201=B497),单次交易!$N$2:$N$201),""))</f>
        <v/>
      </c>
      <c r="O497" s="5" t="str">
        <f t="shared" si="72"/>
        <v/>
      </c>
      <c r="P497" s="11" t="str">
        <f t="shared" si="73"/>
        <v/>
      </c>
      <c r="Q497" s="5" t="str">
        <f t="shared" si="74"/>
        <v/>
      </c>
      <c r="R497" s="10"/>
      <c r="S497" s="5" t="str">
        <f t="shared" si="75"/>
        <v/>
      </c>
      <c r="T497" s="5" t="str">
        <f t="shared" si="76"/>
        <v/>
      </c>
      <c r="U497" s="5" t="str">
        <f t="shared" si="77"/>
        <v/>
      </c>
      <c r="V497" s="7" t="str">
        <f t="shared" si="78"/>
        <v/>
      </c>
      <c r="W497" s="8" t="str">
        <f t="shared" si="79"/>
        <v/>
      </c>
      <c r="X497" s="2"/>
      <c r="Y497" s="10"/>
      <c r="Z497" s="11" t="str">
        <f>IF(X497&lt;&gt;"执行卖出","",IFERROR(LOOKUP(2,1/(单次交易!$A$2:$A$201=B497),单次交易!$AP$2:$AP$201),""))</f>
        <v/>
      </c>
      <c r="AA497" s="10"/>
      <c r="AB497" s="8" t="str">
        <f t="shared" si="80"/>
        <v/>
      </c>
      <c r="AC497" s="8" t="str">
        <f>IF(A497="","",IF(A497="止损计划",IF(OR(B497="",D497="",E497="",F497="",G497=""),"计划不完整",IF(OR(D497&lt;1,D497&lt;&gt;INT(D497)),"阶段序号无效",IF(COUNTIFS($A$2:$A$497,"止损计划",$B$2:$B$497,B497,$D$2:$D$497,D497)&gt;1,"阶段序号重复",IF(E497&lt;=IFERROR(LOOKUP(2,1/(单次交易!$A$2:$A$201=B497),单次交易!$E$2:$E$201),0),"激活价须高于买入价",IF(F497&lt;N497,"止损价不得低于初始止损",IF(F497&gt;E497,"止损价不得高于激活价",IF(AND(COUNTIFS($A$2:$A$497,"止损计划",$B$2:$B$497,B497,$D$2:$D$497,"&lt;"&amp;D497)&gt;0,OR(E497&lt;=SUMPRODUCT(MAX((($A$2:$A$497="止损计划")*($B$2:$B$497=B497)*($D$2:$D$497&lt;D497))*$E$2:$E$497)),F497&lt;SUMPRODUCT(MAX((($A$2:$A$497="止损计划")*($B$2:$B$497=B497)*($D$2:$D$497&lt;D497))*$F$2:$F$497)))),"阶段价格必须逐级提高","计划有效"))))))),IF(A497="每日跟踪",IF(OR(B497="",H497="",I497="",J497=""),"每日数据不完整",IF(COUNTIFS($A$2:$A$497,"每日跟踪",$B$2:$B$497,B497,$H$2:$H$497,H497)&gt;1,"同一交易日期重复",IF(AND(R497&lt;&gt;"",R497&lt;S497),"人工止损无效：不能下调","跟踪有效"))),"记录类型无效")))</f>
        <v/>
      </c>
    </row>
  </sheetData>
  <conditionalFormatting sqref="W2:W497">
    <cfRule type="expression" dxfId="0" priority="2">
      <formula>LEFT($W2,4)="触发止损"</formula>
    </cfRule>
  </conditionalFormatting>
  <conditionalFormatting sqref="A2:AC497">
    <cfRule type="expression" dxfId="2" priority="1">
      <formula>$A2="止损计划"</formula>
    </cfRule>
  </conditionalFormatting>
  <conditionalFormatting sqref="AB2:AC497">
    <cfRule type="expression" dxfId="0" priority="3">
      <formula>OR(LEFT($AB2,2)="违规",ISNUMBER(SEARCH("无效",$AC2)))</formula>
    </cfRule>
  </conditionalFormatting>
  <dataValidations count="8">
    <dataValidation type="list" allowBlank="1" sqref="A2:A497">
      <formula1>"止损计划,每日跟踪"</formula1>
    </dataValidation>
    <dataValidation type="list" allowBlank="1" sqref="B2:B497">
      <formula1>_TradeIds</formula1>
    </dataValidation>
    <dataValidation type="whole" operator="greaterThanOrEqual" allowBlank="1" sqref="D2:D497">
      <formula1>1</formula1>
    </dataValidation>
    <dataValidation type="date" operator="between" allowBlank="1" sqref="H2:H497">
      <formula1>DATE(2000,1,1)</formula1>
      <formula2>DATE(2100,12,31)</formula2>
    </dataValidation>
    <dataValidation type="list" allowBlank="1" sqref="L2:L497">
      <formula1>"吸筹,启动,趋势上行,加速上涨,高位分歧,回调确认,破位,其他"</formula1>
    </dataValidation>
    <dataValidation type="decimal" operator="greaterThan" allowBlank="1" sqref="R2:R497 Y2:Y497 E2:F497 I90:J91 I173:J174 I2:J89 I92:J172 I175:J497">
      <formula1>0</formula1>
    </dataValidation>
    <dataValidation type="list" allowBlank="1" sqref="X2:X497">
      <formula1>"继续持有,执行卖出"</formula1>
    </dataValidation>
    <dataValidation type="decimal" operator="greaterThanOrEqual" allowBlank="1" sqref="AA2:AA497">
      <formula1>0</formula1>
    </dataValidation>
  </dataValidations>
  <pageMargins left="0.75" right="0.75" top="1" bottom="1" header="0.5" footer="0.5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workbookViewId="0">
      <pane ySplit="1" topLeftCell="A2" activePane="bottomLeft" state="frozen"/>
      <selection/>
      <selection pane="bottomLeft" activeCell="I9" sqref="I9:I10"/>
    </sheetView>
  </sheetViews>
  <sheetFormatPr defaultColWidth="9" defaultRowHeight="16.8"/>
  <cols>
    <col min="1" max="2" width="14" customWidth="1"/>
    <col min="3" max="3" width="16" customWidth="1"/>
    <col min="4" max="4" width="14" customWidth="1"/>
    <col min="5" max="5" width="13" customWidth="1"/>
    <col min="6" max="8" width="24" customWidth="1"/>
    <col min="9" max="9" width="48" customWidth="1"/>
    <col min="10" max="10" width="14.75" customWidth="1"/>
  </cols>
  <sheetData>
    <row r="1" ht="42" customHeight="1" spans="1:12">
      <c r="A1" s="1" t="s">
        <v>0</v>
      </c>
      <c r="B1" s="1" t="s">
        <v>1</v>
      </c>
      <c r="C1" s="1" t="s">
        <v>70</v>
      </c>
      <c r="D1" s="1" t="s">
        <v>71</v>
      </c>
      <c r="E1" s="1" t="s">
        <v>50</v>
      </c>
      <c r="F1" s="1" t="s">
        <v>72</v>
      </c>
      <c r="G1" s="1" t="s">
        <v>73</v>
      </c>
      <c r="H1" s="1" t="s">
        <v>74</v>
      </c>
      <c r="I1" s="1" t="s">
        <v>75</v>
      </c>
      <c r="J1" t="s">
        <v>31</v>
      </c>
      <c r="K1" t="s">
        <v>76</v>
      </c>
      <c r="L1" t="s">
        <v>77</v>
      </c>
    </row>
    <row r="2" ht="27" customHeight="1" spans="1:12">
      <c r="A2" s="2">
        <v>1</v>
      </c>
      <c r="B2" s="13" t="s">
        <v>78</v>
      </c>
      <c r="C2" s="2"/>
      <c r="D2" s="2"/>
      <c r="E2" s="15"/>
      <c r="F2" s="2"/>
      <c r="G2" s="2"/>
      <c r="H2" s="2"/>
      <c r="I2" s="2"/>
      <c r="J2" s="16" t="s">
        <v>79</v>
      </c>
    </row>
    <row r="3" ht="40.5" customHeight="1" spans="1:12">
      <c r="A3" s="2">
        <v>2</v>
      </c>
      <c r="B3" s="13" t="s">
        <v>78</v>
      </c>
      <c r="C3" s="2"/>
      <c r="D3" s="2"/>
      <c r="E3" s="15"/>
      <c r="F3" s="2"/>
      <c r="G3" s="2"/>
      <c r="H3" s="2"/>
      <c r="I3" s="2"/>
      <c r="J3" s="16" t="s">
        <v>80</v>
      </c>
    </row>
    <row r="4" ht="27" customHeight="1" spans="1:12">
      <c r="A4" s="2">
        <v>3</v>
      </c>
      <c r="B4" s="13" t="s">
        <v>78</v>
      </c>
      <c r="C4" s="2"/>
      <c r="D4" s="2"/>
      <c r="E4" s="15"/>
      <c r="F4" s="2"/>
      <c r="G4" s="2"/>
      <c r="H4" s="2"/>
      <c r="I4" s="2"/>
      <c r="J4" s="16" t="s">
        <v>81</v>
      </c>
    </row>
    <row r="5" ht="27" customHeight="1" spans="1:12">
      <c r="A5" s="2">
        <v>4</v>
      </c>
      <c r="B5" s="13" t="s">
        <v>78</v>
      </c>
      <c r="C5" s="2"/>
      <c r="D5" s="2"/>
      <c r="E5" s="15"/>
      <c r="F5" s="2"/>
      <c r="G5" s="2"/>
      <c r="H5" s="2"/>
      <c r="I5" s="2"/>
    </row>
    <row r="6" ht="27" customHeight="1" spans="1:12">
      <c r="A6" s="2">
        <v>6</v>
      </c>
      <c r="B6" s="13" t="s">
        <v>78</v>
      </c>
      <c r="C6" s="2"/>
      <c r="D6" s="2"/>
      <c r="E6" s="15"/>
      <c r="F6" s="2"/>
      <c r="G6" s="2"/>
      <c r="H6" s="2"/>
      <c r="I6" s="2"/>
      <c r="J6" s="16" t="s">
        <v>82</v>
      </c>
    </row>
    <row r="7" ht="17" spans="1:12">
      <c r="A7" s="2">
        <v>7</v>
      </c>
      <c r="B7" s="13" t="s">
        <v>78</v>
      </c>
      <c r="C7" s="2"/>
      <c r="D7" s="2"/>
      <c r="E7" s="15"/>
      <c r="F7" s="2"/>
      <c r="G7" s="2"/>
      <c r="H7" s="2"/>
      <c r="I7" s="2"/>
      <c r="J7" t="s">
        <v>83</v>
      </c>
    </row>
    <row r="8" ht="17" spans="1:12">
      <c r="A8" s="2">
        <v>9</v>
      </c>
      <c r="B8" s="13" t="s">
        <v>78</v>
      </c>
      <c r="C8" s="2"/>
      <c r="D8" s="2"/>
      <c r="E8" s="15"/>
      <c r="F8" s="2"/>
      <c r="G8" s="2"/>
      <c r="H8" s="2"/>
      <c r="I8" s="2"/>
      <c r="J8" t="s">
        <v>84</v>
      </c>
    </row>
    <row r="9" spans="1:12">
      <c r="A9" s="2"/>
      <c r="B9" s="2"/>
      <c r="C9" s="2"/>
      <c r="D9" s="2"/>
      <c r="E9" s="15"/>
      <c r="F9" s="2"/>
      <c r="G9" s="2"/>
      <c r="H9" s="2"/>
      <c r="I9" s="2"/>
    </row>
    <row r="10" ht="27" customHeight="1" spans="1:12">
      <c r="A10" s="2"/>
      <c r="B10" s="2"/>
      <c r="C10" s="2"/>
      <c r="D10" s="2"/>
      <c r="E10" s="15"/>
      <c r="F10" s="2"/>
      <c r="G10" s="2"/>
      <c r="H10" s="2"/>
      <c r="I10" s="2"/>
    </row>
    <row r="11" ht="27" customHeight="1" spans="1:12">
      <c r="A11" s="2"/>
      <c r="B11" s="2"/>
      <c r="C11" s="2"/>
      <c r="D11" s="2"/>
      <c r="E11" s="15"/>
      <c r="F11" s="2"/>
      <c r="G11" s="2"/>
      <c r="H11" s="2"/>
      <c r="I11" s="2"/>
    </row>
    <row r="12" ht="27" customHeight="1" spans="1:12">
      <c r="A12" s="2"/>
      <c r="B12" s="2"/>
      <c r="C12" s="2"/>
      <c r="D12" s="2"/>
      <c r="E12" s="15"/>
      <c r="F12" s="2"/>
      <c r="G12" s="2"/>
      <c r="H12" s="2"/>
      <c r="I12" s="2"/>
    </row>
    <row r="13" ht="27" customHeight="1" spans="1:12">
      <c r="A13" s="2"/>
      <c r="B13" s="2"/>
      <c r="C13" s="2"/>
      <c r="D13" s="2"/>
      <c r="E13" s="15"/>
      <c r="F13" s="2"/>
      <c r="G13" s="2"/>
      <c r="H13" s="2"/>
      <c r="I13" s="2"/>
    </row>
    <row r="14" ht="27" customHeight="1" spans="1:12">
      <c r="A14" s="2"/>
      <c r="B14" s="2"/>
      <c r="C14" s="2"/>
      <c r="D14" s="2"/>
      <c r="E14" s="15"/>
      <c r="F14" s="2"/>
      <c r="G14" s="2"/>
      <c r="H14" s="2"/>
      <c r="I14" s="2"/>
    </row>
    <row r="15" ht="27" customHeight="1" spans="1:12">
      <c r="A15" s="2"/>
      <c r="B15" s="2"/>
      <c r="C15" s="2"/>
      <c r="D15" s="2"/>
      <c r="E15" s="15"/>
      <c r="F15" s="2"/>
      <c r="G15" s="2"/>
      <c r="H15" s="2"/>
      <c r="I15" s="2"/>
    </row>
    <row r="16" ht="40.5" customHeight="1" spans="1:12">
      <c r="A16" s="2"/>
      <c r="B16" s="2"/>
      <c r="C16" s="2"/>
      <c r="D16" s="2"/>
      <c r="E16" s="15"/>
      <c r="F16" s="2"/>
      <c r="G16" s="2"/>
      <c r="H16" s="2"/>
      <c r="I16" s="2"/>
    </row>
    <row r="17" ht="27" customHeight="1" spans="1:9">
      <c r="A17" s="2"/>
      <c r="B17" s="2"/>
      <c r="C17" s="2"/>
      <c r="D17" s="2"/>
      <c r="E17" s="15"/>
      <c r="F17" s="2"/>
      <c r="G17" s="2"/>
      <c r="H17" s="2"/>
      <c r="I17" s="2"/>
    </row>
    <row r="18" ht="27" customHeight="1" spans="1:9">
      <c r="A18" s="2"/>
      <c r="B18" s="2"/>
      <c r="C18" s="2"/>
      <c r="D18" s="2"/>
      <c r="E18" s="15"/>
      <c r="F18" s="2"/>
      <c r="G18" s="2"/>
      <c r="H18" s="2"/>
      <c r="I18" s="2"/>
    </row>
    <row r="19" ht="27" customHeight="1" spans="1:9">
      <c r="A19" s="2"/>
      <c r="B19" s="2"/>
      <c r="C19" s="2"/>
      <c r="D19" s="2"/>
      <c r="E19" s="15"/>
      <c r="F19" s="2"/>
      <c r="G19" s="2"/>
      <c r="H19" s="2"/>
      <c r="I19" s="2"/>
    </row>
    <row r="20" ht="27" customHeight="1" spans="1:9">
      <c r="A20" s="2"/>
      <c r="B20" s="2"/>
      <c r="C20" s="2"/>
      <c r="D20" s="2"/>
      <c r="E20" s="15"/>
      <c r="F20" s="2"/>
      <c r="G20" s="2"/>
      <c r="H20" s="2"/>
      <c r="I20" s="2"/>
    </row>
    <row r="21" ht="27" customHeight="1" spans="1:9">
      <c r="A21" s="2"/>
      <c r="B21" s="2"/>
      <c r="C21" s="2"/>
      <c r="D21" s="2"/>
      <c r="E21" s="15"/>
      <c r="F21" s="2"/>
      <c r="G21" s="2"/>
      <c r="H21" s="2"/>
      <c r="I21" s="2"/>
    </row>
    <row r="22" ht="27" customHeight="1" spans="1:9">
      <c r="A22" s="2"/>
      <c r="B22" s="2"/>
      <c r="C22" s="2"/>
      <c r="D22" s="2"/>
      <c r="E22" s="15"/>
      <c r="F22" s="2"/>
      <c r="G22" s="2"/>
      <c r="H22" s="2"/>
      <c r="I22" s="2"/>
    </row>
    <row r="23" ht="40.5" customHeight="1" spans="1:9">
      <c r="A23" s="2"/>
      <c r="B23" s="2"/>
      <c r="C23" s="2"/>
      <c r="D23" s="2"/>
      <c r="E23" s="15"/>
      <c r="F23" s="2"/>
      <c r="G23" s="2"/>
      <c r="H23" s="2"/>
      <c r="I23" s="2"/>
    </row>
    <row r="24" ht="27" customHeight="1" spans="1:9">
      <c r="A24" s="2"/>
      <c r="B24" s="2"/>
      <c r="C24" s="2"/>
      <c r="D24" s="2"/>
      <c r="E24" s="15"/>
      <c r="F24" s="2"/>
      <c r="G24" s="2"/>
      <c r="H24" s="2"/>
      <c r="I24" s="2"/>
    </row>
    <row r="25" ht="27" customHeight="1" spans="1:9">
      <c r="A25" s="2"/>
      <c r="B25" s="2"/>
      <c r="C25" s="2"/>
      <c r="D25" s="2"/>
      <c r="E25" s="15"/>
      <c r="F25" s="2"/>
      <c r="G25" s="2"/>
      <c r="H25" s="2"/>
      <c r="I25" s="2"/>
    </row>
    <row r="26" ht="40.5" customHeight="1" spans="1:9">
      <c r="A26" s="2"/>
      <c r="B26" s="2"/>
      <c r="C26" s="2"/>
      <c r="D26" s="2"/>
      <c r="E26" s="15"/>
      <c r="F26" s="2"/>
      <c r="G26" s="2"/>
      <c r="H26" s="2"/>
      <c r="I26" s="2"/>
    </row>
    <row r="27" ht="27" customHeight="1" spans="1:9">
      <c r="A27" s="2"/>
      <c r="B27" s="2"/>
      <c r="C27" s="2"/>
      <c r="D27" s="2"/>
      <c r="E27" s="15"/>
      <c r="F27" s="2"/>
      <c r="G27" s="2"/>
      <c r="H27" s="2"/>
      <c r="I27" s="2"/>
    </row>
    <row r="28" ht="27" customHeight="1" spans="1:9">
      <c r="A28" s="2"/>
      <c r="B28" s="2"/>
      <c r="C28" s="2"/>
      <c r="D28" s="2"/>
      <c r="E28" s="15"/>
      <c r="F28" s="2"/>
      <c r="G28" s="2"/>
      <c r="H28" s="2"/>
      <c r="I28" s="2"/>
    </row>
    <row r="29" ht="27" customHeight="1" spans="1:9">
      <c r="A29" s="2"/>
      <c r="B29" s="2"/>
      <c r="C29" s="2"/>
      <c r="D29" s="2"/>
      <c r="E29" s="15"/>
      <c r="F29" s="2"/>
      <c r="G29" s="2"/>
      <c r="H29" s="2"/>
      <c r="I29" s="2"/>
    </row>
    <row r="30" ht="27" customHeight="1" spans="1:9">
      <c r="A30" s="2"/>
      <c r="B30" s="2"/>
      <c r="C30" s="2"/>
      <c r="D30" s="2"/>
      <c r="E30" s="15"/>
      <c r="F30" s="2"/>
      <c r="G30" s="2"/>
      <c r="H30" s="2"/>
      <c r="I30" s="2"/>
    </row>
    <row r="31" ht="27" customHeight="1" spans="1:9">
      <c r="A31" s="2"/>
      <c r="B31" s="2"/>
      <c r="C31" s="2"/>
      <c r="D31" s="2"/>
      <c r="E31" s="15"/>
      <c r="F31" s="2"/>
      <c r="G31" s="2"/>
      <c r="H31" s="2"/>
      <c r="I31" s="2"/>
    </row>
    <row r="32" ht="27" customHeight="1" spans="1:9">
      <c r="A32" s="2"/>
      <c r="B32" s="2"/>
      <c r="C32" s="2"/>
      <c r="D32" s="2"/>
      <c r="E32" s="15"/>
      <c r="F32" s="2"/>
      <c r="G32" s="2"/>
      <c r="H32" s="2"/>
      <c r="I32" s="2"/>
    </row>
    <row r="33" spans="1:9">
      <c r="A33" s="2"/>
      <c r="B33" s="2"/>
      <c r="C33" s="2"/>
      <c r="D33" s="2"/>
      <c r="E33" s="15"/>
      <c r="F33" s="2"/>
      <c r="G33" s="2"/>
      <c r="H33" s="2"/>
      <c r="I33" s="2"/>
    </row>
    <row r="34" ht="27" customHeight="1" spans="1:9">
      <c r="A34" s="2"/>
      <c r="B34" s="2"/>
      <c r="C34" s="2"/>
      <c r="D34" s="2"/>
      <c r="E34" s="15"/>
      <c r="F34" s="2"/>
      <c r="G34" s="2"/>
      <c r="H34" s="2"/>
      <c r="I34" s="2"/>
    </row>
    <row r="35" ht="27" customHeight="1" spans="1:9">
      <c r="A35" s="2"/>
      <c r="B35" s="2"/>
      <c r="C35" s="2"/>
      <c r="D35" s="2"/>
      <c r="E35" s="15"/>
      <c r="F35" s="2"/>
      <c r="G35" s="2"/>
      <c r="H35" s="2"/>
      <c r="I35" s="2"/>
    </row>
    <row r="36" ht="40.5" customHeight="1" spans="1:9">
      <c r="A36" s="2"/>
      <c r="B36" s="2"/>
      <c r="C36" s="2"/>
      <c r="D36" s="2"/>
      <c r="E36" s="15"/>
      <c r="F36" s="2"/>
      <c r="G36" s="2"/>
      <c r="H36" s="2"/>
      <c r="I36" s="2"/>
    </row>
    <row r="37" spans="1:9">
      <c r="A37" s="2"/>
      <c r="B37" s="2"/>
      <c r="C37" s="2"/>
      <c r="D37" s="2"/>
      <c r="E37" s="15"/>
      <c r="F37" s="2"/>
      <c r="G37" s="2"/>
      <c r="H37" s="2"/>
      <c r="I37" s="2"/>
    </row>
    <row r="38" ht="27" customHeight="1" spans="1:9">
      <c r="A38" s="2"/>
      <c r="B38" s="2"/>
      <c r="C38" s="2"/>
      <c r="D38" s="2"/>
      <c r="E38" s="15"/>
      <c r="F38" s="2"/>
      <c r="G38" s="2"/>
      <c r="H38" s="2"/>
      <c r="I38" s="2"/>
    </row>
    <row r="39" spans="1:9">
      <c r="A39" s="2"/>
      <c r="B39" s="2"/>
      <c r="C39" s="2"/>
      <c r="D39" s="2"/>
      <c r="E39" s="15"/>
      <c r="F39" s="2"/>
      <c r="G39" s="2"/>
      <c r="H39" s="2"/>
      <c r="I39" s="2"/>
    </row>
    <row r="40" spans="1:9">
      <c r="A40" s="2"/>
      <c r="B40" s="2"/>
      <c r="C40" s="2"/>
      <c r="D40" s="2"/>
      <c r="E40" s="15"/>
      <c r="F40" s="2"/>
      <c r="G40" s="2"/>
      <c r="H40" s="2"/>
      <c r="I40" s="2"/>
    </row>
    <row r="41" spans="1:9">
      <c r="A41" s="2"/>
      <c r="B41" s="2"/>
      <c r="C41" s="2"/>
      <c r="D41" s="2"/>
      <c r="E41" s="15"/>
      <c r="F41" s="2"/>
      <c r="G41" s="2"/>
      <c r="H41" s="2"/>
      <c r="I41" s="2"/>
    </row>
    <row r="42" ht="27" customHeight="1" spans="1:9">
      <c r="A42" s="2"/>
      <c r="B42" s="2"/>
      <c r="C42" s="2"/>
      <c r="D42" s="2"/>
      <c r="E42" s="15"/>
      <c r="F42" s="2"/>
      <c r="G42" s="2"/>
      <c r="H42" s="2"/>
      <c r="I42" s="2"/>
    </row>
    <row r="43" ht="27" customHeight="1" spans="1:9">
      <c r="A43" s="2"/>
      <c r="B43" s="2"/>
      <c r="C43" s="2"/>
      <c r="D43" s="2"/>
      <c r="E43" s="15"/>
      <c r="F43" s="2"/>
      <c r="G43" s="2"/>
      <c r="H43" s="2"/>
      <c r="I43" s="2"/>
    </row>
    <row r="44" ht="27" customHeight="1" spans="1:9">
      <c r="A44" s="2"/>
      <c r="B44" s="2"/>
      <c r="C44" s="2"/>
      <c r="D44" s="2"/>
      <c r="E44" s="15"/>
      <c r="F44" s="2"/>
      <c r="G44" s="2"/>
      <c r="H44" s="2"/>
      <c r="I44" s="2"/>
    </row>
    <row r="45" spans="1:9">
      <c r="A45" s="2"/>
      <c r="B45" s="2"/>
      <c r="C45" s="2"/>
      <c r="D45" s="2"/>
      <c r="E45" s="15"/>
      <c r="F45" s="2"/>
      <c r="G45" s="2"/>
      <c r="H45" s="2"/>
      <c r="I45" s="2"/>
    </row>
    <row r="46" spans="1:9">
      <c r="A46" s="2"/>
      <c r="B46" s="2"/>
      <c r="C46" s="2"/>
      <c r="D46" s="2"/>
      <c r="E46" s="15"/>
      <c r="F46" s="2"/>
      <c r="G46" s="2"/>
      <c r="H46" s="2"/>
      <c r="I46" s="2"/>
    </row>
    <row r="47" spans="1:9">
      <c r="A47" s="2"/>
      <c r="B47" s="2"/>
      <c r="C47" s="2"/>
      <c r="D47" s="2"/>
      <c r="E47" s="15"/>
      <c r="F47" s="2"/>
      <c r="G47" s="2"/>
      <c r="H47" s="2"/>
      <c r="I47" s="2"/>
    </row>
    <row r="48" spans="1:9">
      <c r="A48" s="2"/>
      <c r="B48" s="2"/>
      <c r="C48" s="2"/>
      <c r="D48" s="2"/>
      <c r="E48" s="15"/>
      <c r="F48" s="2"/>
      <c r="G48" s="2"/>
      <c r="H48" s="2"/>
      <c r="I48" s="2"/>
    </row>
    <row r="49" spans="1:9">
      <c r="A49" s="2"/>
      <c r="B49" s="2"/>
      <c r="C49" s="2"/>
      <c r="D49" s="2"/>
      <c r="E49" s="15"/>
      <c r="F49" s="2"/>
      <c r="G49" s="2"/>
      <c r="H49" s="2"/>
      <c r="I49" s="2"/>
    </row>
    <row r="50" ht="27" customHeight="1" spans="1:9">
      <c r="A50" s="2"/>
      <c r="B50" s="2"/>
      <c r="C50" s="2"/>
      <c r="D50" s="2"/>
      <c r="E50" s="15"/>
      <c r="F50" s="2"/>
      <c r="G50" s="2"/>
      <c r="H50" s="2"/>
      <c r="I50" s="2"/>
    </row>
    <row r="51" ht="27" customHeight="1" spans="1:9">
      <c r="A51" s="2"/>
      <c r="B51" s="2"/>
      <c r="C51" s="2"/>
      <c r="D51" s="2"/>
      <c r="E51" s="15"/>
      <c r="F51" s="2"/>
      <c r="G51" s="2"/>
      <c r="H51" s="2"/>
      <c r="I51" s="2"/>
    </row>
    <row r="52" ht="27" customHeight="1" spans="1:9">
      <c r="A52" s="2"/>
      <c r="B52" s="2"/>
      <c r="C52" s="2"/>
      <c r="D52" s="2"/>
      <c r="E52" s="15"/>
      <c r="F52" s="2"/>
      <c r="G52" s="2"/>
      <c r="H52" s="2"/>
      <c r="I52" s="2"/>
    </row>
    <row r="53" ht="27" customHeight="1" spans="1:9">
      <c r="A53" s="2"/>
      <c r="B53" s="2"/>
      <c r="C53" s="2"/>
      <c r="D53" s="2"/>
      <c r="E53" s="15"/>
      <c r="F53" s="2"/>
      <c r="G53" s="2"/>
      <c r="H53" s="2"/>
      <c r="I53" s="2"/>
    </row>
    <row r="54" ht="27" customHeight="1" spans="1:9">
      <c r="A54" s="2"/>
      <c r="B54" s="2"/>
      <c r="C54" s="2"/>
      <c r="D54" s="2"/>
      <c r="E54" s="15"/>
      <c r="F54" s="2"/>
      <c r="G54" s="2"/>
      <c r="H54" s="2"/>
      <c r="I54" s="2"/>
    </row>
    <row r="55" ht="27" customHeight="1" spans="1:9">
      <c r="A55" s="2"/>
      <c r="B55" s="2"/>
      <c r="C55" s="2"/>
      <c r="D55" s="2"/>
      <c r="E55" s="15"/>
      <c r="F55" s="2"/>
      <c r="G55" s="2"/>
      <c r="H55" s="2"/>
      <c r="I55" s="2"/>
    </row>
    <row r="56" ht="27" customHeight="1" spans="1:9">
      <c r="A56" s="2"/>
      <c r="B56" s="2"/>
      <c r="C56" s="2"/>
      <c r="D56" s="2"/>
      <c r="E56" s="15"/>
      <c r="F56" s="2"/>
      <c r="G56" s="2"/>
      <c r="H56" s="2"/>
      <c r="I56" s="2"/>
    </row>
    <row r="57" ht="27" customHeight="1" spans="1:9">
      <c r="A57" s="2"/>
      <c r="B57" s="2"/>
      <c r="C57" s="2"/>
      <c r="D57" s="2"/>
      <c r="E57" s="15"/>
      <c r="F57" s="2"/>
      <c r="G57" s="2"/>
      <c r="H57" s="2"/>
      <c r="I57" s="2"/>
    </row>
    <row r="58" spans="1:9">
      <c r="A58" s="2"/>
      <c r="B58" s="2"/>
      <c r="C58" s="2"/>
      <c r="D58" s="2"/>
      <c r="E58" s="15"/>
      <c r="F58" s="2"/>
      <c r="G58" s="2"/>
      <c r="H58" s="2"/>
      <c r="I58" s="2"/>
    </row>
    <row r="59" ht="27" customHeight="1" spans="1:9">
      <c r="A59" s="2"/>
      <c r="B59" s="2"/>
      <c r="C59" s="2"/>
      <c r="D59" s="2"/>
      <c r="E59" s="15"/>
      <c r="F59" s="2"/>
      <c r="G59" s="2"/>
      <c r="H59" s="2"/>
      <c r="I59" s="2"/>
    </row>
    <row r="60" ht="27" customHeight="1" spans="1:9">
      <c r="A60" s="2"/>
      <c r="B60" s="2"/>
      <c r="C60" s="2"/>
      <c r="D60" s="2"/>
      <c r="E60" s="15"/>
      <c r="F60" s="2"/>
      <c r="G60" s="2"/>
      <c r="H60" s="2"/>
      <c r="I60" s="2"/>
    </row>
    <row r="61" ht="27" customHeight="1" spans="1:9">
      <c r="A61" s="2"/>
      <c r="B61" s="2"/>
      <c r="C61" s="2"/>
      <c r="D61" s="2"/>
      <c r="E61" s="15"/>
      <c r="F61" s="2"/>
      <c r="G61" s="2"/>
      <c r="H61" s="2"/>
      <c r="I61" s="2"/>
    </row>
    <row r="62" ht="27" customHeight="1" spans="1:9">
      <c r="A62" s="2"/>
      <c r="B62" s="2"/>
      <c r="C62" s="2"/>
      <c r="D62" s="2"/>
      <c r="E62" s="15"/>
      <c r="F62" s="2"/>
      <c r="G62" s="2"/>
      <c r="H62" s="2"/>
      <c r="I62" s="2"/>
    </row>
    <row r="63" ht="27" customHeight="1" spans="1:9">
      <c r="A63" s="2"/>
      <c r="B63" s="2"/>
      <c r="C63" s="2"/>
      <c r="D63" s="2"/>
      <c r="E63" s="15"/>
      <c r="F63" s="2"/>
      <c r="G63" s="2"/>
      <c r="H63" s="2"/>
      <c r="I63" s="2"/>
    </row>
    <row r="64" ht="27" customHeight="1" spans="1:9">
      <c r="A64" s="2"/>
      <c r="B64" s="2"/>
      <c r="C64" s="2"/>
      <c r="D64" s="2"/>
      <c r="E64" s="15"/>
      <c r="F64" s="2"/>
      <c r="G64" s="2"/>
      <c r="H64" s="2"/>
      <c r="I64" s="2"/>
    </row>
    <row r="65" ht="27" customHeight="1" spans="1:11">
      <c r="A65" s="2"/>
      <c r="B65" s="2"/>
      <c r="C65" s="2"/>
      <c r="D65" s="2"/>
      <c r="E65" s="15"/>
      <c r="F65" s="2"/>
      <c r="G65" s="2"/>
      <c r="H65" s="2"/>
      <c r="I65" s="2"/>
    </row>
    <row r="66" spans="1:11">
      <c r="A66" s="2"/>
      <c r="B66" s="2"/>
      <c r="C66" s="2"/>
      <c r="D66" s="2"/>
      <c r="E66" s="15"/>
      <c r="F66" s="2"/>
      <c r="G66" s="2"/>
      <c r="H66" s="2"/>
      <c r="I66" s="2"/>
    </row>
    <row r="67" spans="1:11">
      <c r="A67" s="2"/>
      <c r="B67" s="2"/>
      <c r="C67" s="2"/>
      <c r="D67" s="2"/>
      <c r="E67" s="15"/>
      <c r="F67" s="2"/>
      <c r="G67" s="2"/>
      <c r="H67" s="2"/>
      <c r="I67" s="2"/>
    </row>
    <row r="68" ht="27" customHeight="1" spans="1:11">
      <c r="A68" s="2"/>
      <c r="B68" s="2"/>
      <c r="C68" s="2"/>
      <c r="D68" s="2"/>
      <c r="E68" s="15"/>
      <c r="F68" s="2"/>
      <c r="G68" s="2"/>
      <c r="H68" s="2"/>
      <c r="I68" s="2"/>
    </row>
    <row r="69" spans="1:11">
      <c r="A69" s="2"/>
      <c r="B69" s="2"/>
      <c r="C69" s="2"/>
      <c r="D69" s="2"/>
      <c r="E69" s="15"/>
      <c r="F69" s="2"/>
      <c r="G69" s="2"/>
      <c r="H69" s="2"/>
      <c r="I69" s="2"/>
    </row>
    <row r="70" ht="40.5" customHeight="1" spans="1:11">
      <c r="A70" s="2"/>
      <c r="B70" s="2"/>
      <c r="C70" s="2"/>
      <c r="D70" s="2"/>
      <c r="E70" s="15"/>
      <c r="F70" s="2"/>
      <c r="G70" s="2"/>
      <c r="H70" s="2"/>
      <c r="I70" s="13"/>
      <c r="J70" s="16"/>
      <c r="K70" s="16"/>
    </row>
    <row r="71" ht="54" customHeight="1" spans="1:11">
      <c r="A71" s="2"/>
      <c r="B71" s="2"/>
      <c r="C71" s="2"/>
      <c r="D71" s="2"/>
      <c r="E71" s="15"/>
      <c r="F71" s="2"/>
      <c r="G71" s="2"/>
      <c r="H71" s="2"/>
      <c r="I71" s="13"/>
    </row>
    <row r="72" ht="54" customHeight="1" spans="1:11">
      <c r="A72" s="2"/>
      <c r="B72" s="2"/>
      <c r="C72" s="2"/>
      <c r="D72" s="2"/>
      <c r="E72" s="15"/>
      <c r="F72" s="2"/>
      <c r="G72" s="2"/>
      <c r="H72" s="2"/>
      <c r="I72" s="13"/>
    </row>
    <row r="73" ht="67.5" customHeight="1" spans="1:11">
      <c r="A73" s="2"/>
      <c r="B73" s="2"/>
      <c r="C73" s="2"/>
      <c r="D73" s="2"/>
      <c r="E73" s="15"/>
      <c r="F73" s="2"/>
      <c r="G73" s="2"/>
      <c r="H73" s="2"/>
      <c r="I73" s="2"/>
    </row>
    <row r="74" ht="27" customHeight="1" spans="1:11">
      <c r="A74" s="2"/>
      <c r="B74" s="2"/>
      <c r="C74" s="2"/>
      <c r="D74" s="2"/>
      <c r="E74" s="15"/>
      <c r="F74" s="2"/>
      <c r="G74" s="2"/>
      <c r="H74" s="2"/>
      <c r="I74" s="2"/>
    </row>
    <row r="75" ht="94.5" customHeight="1" spans="1:11">
      <c r="A75" s="2"/>
      <c r="B75" s="2"/>
      <c r="C75" s="2"/>
      <c r="D75" s="2"/>
      <c r="E75" s="15"/>
      <c r="F75" s="2"/>
      <c r="G75" s="2"/>
      <c r="H75" s="2"/>
      <c r="I75" s="2"/>
    </row>
    <row r="76" ht="40.5" customHeight="1" spans="1:11">
      <c r="A76" s="2"/>
      <c r="B76" s="2"/>
      <c r="C76" s="2"/>
      <c r="D76" s="2"/>
      <c r="E76" s="15"/>
      <c r="F76" s="2"/>
      <c r="G76" s="2"/>
      <c r="H76" s="2"/>
      <c r="I76" s="2"/>
    </row>
    <row r="77" ht="27" customHeight="1" spans="1:11">
      <c r="A77" s="2"/>
      <c r="B77" s="2"/>
      <c r="C77" s="2"/>
      <c r="D77" s="2"/>
      <c r="E77" s="15"/>
      <c r="F77" s="2"/>
      <c r="G77" s="2"/>
      <c r="H77" s="2"/>
      <c r="I77" s="2"/>
    </row>
    <row r="78" ht="67.5" customHeight="1" spans="1:11">
      <c r="A78" s="2"/>
      <c r="B78" s="2"/>
      <c r="C78" s="2"/>
      <c r="D78" s="2"/>
      <c r="E78" s="15"/>
      <c r="F78" s="2"/>
      <c r="G78" s="2"/>
      <c r="H78" s="2"/>
      <c r="I78" s="2"/>
    </row>
    <row r="79" spans="1:11">
      <c r="A79" s="2"/>
      <c r="B79" s="2"/>
      <c r="C79" s="2"/>
      <c r="D79" s="2"/>
      <c r="E79" s="15"/>
      <c r="F79" s="2"/>
      <c r="G79" s="2"/>
      <c r="H79" s="2"/>
      <c r="I79" s="2"/>
    </row>
    <row r="80" ht="67.5" customHeight="1" spans="1:11">
      <c r="A80" s="2"/>
      <c r="B80" s="2"/>
      <c r="C80" s="2"/>
      <c r="D80" s="2"/>
      <c r="E80" s="15"/>
      <c r="F80" s="2"/>
      <c r="G80" s="2"/>
      <c r="H80" s="2"/>
      <c r="I80" s="2"/>
    </row>
    <row r="81" ht="54" customHeight="1" spans="1:12">
      <c r="A81" s="2"/>
      <c r="B81" s="2"/>
      <c r="C81" s="2"/>
      <c r="D81" s="2"/>
      <c r="E81" s="15"/>
      <c r="F81" s="2"/>
      <c r="G81" s="2"/>
      <c r="H81" s="2"/>
      <c r="I81" s="2"/>
    </row>
    <row r="82" ht="67.5" customHeight="1" spans="1:12">
      <c r="A82" s="2"/>
      <c r="B82" s="2"/>
      <c r="C82" s="2"/>
      <c r="D82" s="2"/>
      <c r="E82" s="15"/>
      <c r="F82" s="2"/>
      <c r="G82" s="2"/>
      <c r="H82" s="2"/>
      <c r="I82" s="2"/>
    </row>
    <row r="83" ht="27" customHeight="1" spans="1:12">
      <c r="A83" s="2"/>
      <c r="B83" s="2"/>
      <c r="C83" s="2"/>
      <c r="D83" s="2"/>
      <c r="E83" s="15"/>
      <c r="F83" s="2"/>
      <c r="G83" s="2"/>
      <c r="H83" s="2"/>
      <c r="I83" s="2"/>
    </row>
    <row r="84" ht="67.5" customHeight="1" spans="1:12">
      <c r="A84" s="2"/>
      <c r="B84" s="2"/>
      <c r="C84" s="2"/>
      <c r="D84" s="2"/>
      <c r="E84" s="15"/>
      <c r="F84" s="2"/>
      <c r="G84" s="2"/>
      <c r="H84" s="2"/>
      <c r="I84" s="2"/>
    </row>
    <row r="85" spans="1:12">
      <c r="A85" s="2"/>
      <c r="B85" s="2"/>
      <c r="C85" s="2"/>
      <c r="D85" s="2"/>
      <c r="E85" s="15"/>
      <c r="F85" s="2"/>
      <c r="G85" s="2"/>
      <c r="H85" s="2"/>
      <c r="I85" s="2"/>
    </row>
    <row r="86" ht="27" customHeight="1" spans="1:12">
      <c r="A86" s="2"/>
      <c r="B86" s="2"/>
      <c r="C86" s="2"/>
      <c r="D86" s="2"/>
      <c r="E86" s="15"/>
      <c r="F86" s="2"/>
      <c r="G86" s="2"/>
      <c r="H86" s="2"/>
      <c r="I86" s="2"/>
    </row>
    <row r="87" ht="54" customHeight="1" spans="1:12">
      <c r="A87" s="2"/>
      <c r="B87" s="2"/>
      <c r="C87" s="2"/>
      <c r="D87" s="2"/>
      <c r="E87" s="15"/>
      <c r="F87" s="2"/>
      <c r="G87" s="2"/>
      <c r="H87" s="2"/>
      <c r="I87" s="2"/>
    </row>
    <row r="88" ht="81" customHeight="1" spans="1:12">
      <c r="A88" s="2"/>
      <c r="B88" s="2"/>
      <c r="C88" s="2"/>
      <c r="D88" s="2"/>
      <c r="E88" s="15"/>
      <c r="F88" s="2"/>
      <c r="G88" s="2"/>
      <c r="H88" s="2"/>
      <c r="I88" s="2"/>
    </row>
    <row r="89" ht="94.5" customHeight="1" spans="1:12">
      <c r="A89" s="2"/>
      <c r="B89" s="2"/>
      <c r="C89" s="2"/>
      <c r="D89" s="2"/>
      <c r="E89" s="15"/>
      <c r="F89" s="2"/>
      <c r="G89" s="2"/>
      <c r="H89" s="2"/>
      <c r="I89" s="2"/>
    </row>
    <row r="90" ht="121.5" customHeight="1" spans="1:12">
      <c r="A90" s="2"/>
      <c r="B90" s="2"/>
      <c r="C90" s="2"/>
      <c r="D90" s="2"/>
      <c r="E90" s="15"/>
      <c r="F90" s="2"/>
      <c r="G90" s="2"/>
      <c r="H90" s="2"/>
      <c r="I90" s="2"/>
    </row>
    <row r="91" ht="67.5" customHeight="1" spans="1:12">
      <c r="A91" s="2"/>
      <c r="B91" s="2"/>
      <c r="C91" s="2"/>
      <c r="D91" s="2"/>
      <c r="E91" s="15"/>
      <c r="F91" s="2"/>
      <c r="G91" s="2"/>
      <c r="H91" s="2"/>
      <c r="I91" s="2"/>
    </row>
    <row r="92" ht="108" customHeight="1" spans="1:12">
      <c r="A92" s="2"/>
      <c r="B92" s="2"/>
      <c r="C92" s="2"/>
      <c r="D92" s="2"/>
      <c r="E92" s="15"/>
      <c r="F92" s="2"/>
      <c r="G92" s="2"/>
      <c r="H92" s="2"/>
      <c r="I92" s="13"/>
    </row>
    <row r="93" ht="243" customHeight="1" spans="1:12">
      <c r="A93" s="2"/>
      <c r="B93" s="2"/>
      <c r="C93" s="2"/>
      <c r="D93" s="2"/>
      <c r="E93" s="15"/>
      <c r="F93" s="2"/>
      <c r="G93" s="2"/>
      <c r="H93" s="2"/>
      <c r="I93" s="13"/>
      <c r="J93" s="17"/>
      <c r="K93" s="16"/>
      <c r="L93" s="16"/>
    </row>
    <row r="94" spans="1:12">
      <c r="A94" s="2"/>
      <c r="B94" s="2"/>
      <c r="C94" s="2"/>
      <c r="D94" s="2"/>
      <c r="E94" s="15"/>
      <c r="F94" s="2"/>
      <c r="G94" s="2"/>
      <c r="H94" s="2"/>
      <c r="I94" s="2"/>
    </row>
    <row r="95" spans="1:12">
      <c r="A95" s="2"/>
      <c r="B95" s="2"/>
      <c r="C95" s="2"/>
      <c r="D95" s="2"/>
      <c r="E95" s="15"/>
      <c r="F95" s="2"/>
      <c r="G95" s="2"/>
      <c r="H95" s="2"/>
      <c r="I95" s="2"/>
    </row>
    <row r="96" ht="27" customHeight="1" spans="1:12">
      <c r="A96" s="2"/>
      <c r="B96" s="2"/>
      <c r="C96" s="2"/>
      <c r="D96" s="2"/>
      <c r="E96" s="15"/>
      <c r="F96" s="2"/>
      <c r="G96" s="2"/>
      <c r="H96" s="2"/>
      <c r="I96" s="13"/>
    </row>
    <row r="97" spans="1:9">
      <c r="A97" s="2"/>
      <c r="B97" s="2"/>
      <c r="C97" s="2"/>
      <c r="D97" s="2"/>
      <c r="E97" s="15"/>
      <c r="F97" s="2"/>
      <c r="G97" s="2"/>
      <c r="H97" s="2"/>
      <c r="I97" s="13"/>
    </row>
    <row r="98" spans="1:9">
      <c r="A98" s="2"/>
      <c r="B98" s="2"/>
      <c r="C98" s="2"/>
      <c r="D98" s="2"/>
      <c r="E98" s="15"/>
      <c r="F98" s="2"/>
      <c r="G98" s="2"/>
      <c r="H98" s="2"/>
      <c r="I98" s="13"/>
    </row>
    <row r="99" spans="1:9">
      <c r="A99" s="2"/>
      <c r="B99" s="2"/>
      <c r="C99" s="2"/>
      <c r="D99" s="2"/>
      <c r="E99" s="15"/>
      <c r="F99" s="2"/>
      <c r="G99" s="2"/>
      <c r="H99" s="2"/>
      <c r="I99" s="13"/>
    </row>
    <row r="100" spans="1:9">
      <c r="A100" s="2"/>
      <c r="B100" s="2"/>
      <c r="C100" s="2"/>
      <c r="D100" s="2"/>
      <c r="E100" s="15"/>
      <c r="F100" s="2"/>
      <c r="G100" s="2"/>
      <c r="H100" s="2"/>
      <c r="I100" s="13"/>
    </row>
    <row r="101" spans="1:9">
      <c r="A101" s="2"/>
      <c r="B101" s="2"/>
      <c r="C101" s="2"/>
      <c r="D101" s="2"/>
      <c r="E101" s="15"/>
      <c r="F101" s="2"/>
      <c r="G101" s="2"/>
      <c r="H101" s="2"/>
      <c r="I101" s="2"/>
    </row>
    <row r="102" spans="1:9">
      <c r="A102" s="2"/>
      <c r="B102" s="2"/>
      <c r="C102" s="2"/>
      <c r="D102" s="2"/>
      <c r="E102" s="15"/>
      <c r="F102" s="2"/>
      <c r="G102" s="2"/>
      <c r="H102" s="2"/>
      <c r="I102" s="2"/>
    </row>
    <row r="103" spans="1:9">
      <c r="A103" s="2"/>
      <c r="B103" s="2"/>
      <c r="C103" s="2"/>
      <c r="D103" s="2"/>
      <c r="E103" s="15"/>
      <c r="F103" s="2"/>
      <c r="G103" s="2"/>
      <c r="H103" s="2"/>
      <c r="I103" s="2"/>
    </row>
    <row r="104" spans="1:9">
      <c r="A104" s="2"/>
      <c r="B104" s="2"/>
      <c r="C104" s="2"/>
      <c r="D104" s="2"/>
      <c r="E104" s="15"/>
      <c r="F104" s="2"/>
      <c r="G104" s="2"/>
      <c r="H104" s="2"/>
      <c r="I104" s="2"/>
    </row>
    <row r="105" spans="1:9">
      <c r="A105" s="2"/>
      <c r="B105" s="2"/>
      <c r="C105" s="2"/>
      <c r="D105" s="2"/>
      <c r="E105" s="15"/>
      <c r="F105" s="2"/>
      <c r="G105" s="2"/>
      <c r="H105" s="2"/>
      <c r="I105" s="2"/>
    </row>
    <row r="106" spans="1:9">
      <c r="A106" s="2"/>
      <c r="B106" s="2"/>
      <c r="C106" s="2"/>
      <c r="D106" s="2"/>
      <c r="E106" s="15"/>
      <c r="F106" s="2"/>
      <c r="G106" s="2"/>
      <c r="H106" s="2"/>
      <c r="I106" s="2"/>
    </row>
    <row r="107" spans="1:9">
      <c r="A107" s="2"/>
      <c r="B107" s="2"/>
      <c r="C107" s="2"/>
      <c r="D107" s="2"/>
      <c r="E107" s="15"/>
      <c r="F107" s="2"/>
      <c r="G107" s="2"/>
      <c r="H107" s="2"/>
      <c r="I107" s="2"/>
    </row>
    <row r="108" spans="1:9">
      <c r="A108" s="2"/>
      <c r="B108" s="2"/>
      <c r="C108" s="2"/>
      <c r="D108" s="2"/>
      <c r="E108" s="15"/>
      <c r="F108" s="2"/>
      <c r="G108" s="2"/>
      <c r="H108" s="2"/>
      <c r="I108" s="2"/>
    </row>
    <row r="109" spans="1:9">
      <c r="A109" s="2"/>
      <c r="B109" s="2"/>
      <c r="C109" s="2"/>
      <c r="D109" s="2"/>
      <c r="E109" s="15"/>
      <c r="F109" s="2"/>
      <c r="G109" s="2"/>
      <c r="H109" s="2"/>
      <c r="I109" s="2"/>
    </row>
    <row r="110" spans="1:9">
      <c r="A110" s="2"/>
      <c r="B110" s="2"/>
      <c r="C110" s="2"/>
      <c r="D110" s="2"/>
      <c r="E110" s="15"/>
      <c r="F110" s="2"/>
      <c r="G110" s="2"/>
      <c r="H110" s="2"/>
      <c r="I110" s="2"/>
    </row>
    <row r="111" spans="1:9">
      <c r="A111" s="2"/>
      <c r="B111" s="2"/>
      <c r="C111" s="2"/>
      <c r="D111" s="2"/>
      <c r="E111" s="15"/>
      <c r="F111" s="2"/>
      <c r="G111" s="2"/>
      <c r="H111" s="2"/>
      <c r="I111" s="2"/>
    </row>
    <row r="112" spans="1:9">
      <c r="A112" s="2"/>
      <c r="B112" s="2"/>
      <c r="C112" s="2"/>
      <c r="D112" s="2"/>
      <c r="E112" s="15"/>
      <c r="F112" s="2"/>
      <c r="G112" s="2"/>
      <c r="H112" s="2"/>
      <c r="I112" s="2"/>
    </row>
    <row r="113" spans="1:9">
      <c r="A113" s="2"/>
      <c r="B113" s="2"/>
      <c r="C113" s="2"/>
      <c r="D113" s="2"/>
      <c r="E113" s="15"/>
      <c r="F113" s="2"/>
      <c r="G113" s="2"/>
      <c r="H113" s="2"/>
      <c r="I113" s="2"/>
    </row>
    <row r="114" spans="1:9">
      <c r="A114" s="2"/>
      <c r="B114" s="2"/>
      <c r="C114" s="2"/>
      <c r="D114" s="2"/>
      <c r="E114" s="15"/>
      <c r="F114" s="2"/>
      <c r="G114" s="2"/>
      <c r="H114" s="2"/>
      <c r="I114" s="2"/>
    </row>
    <row r="115" spans="1:9">
      <c r="A115" s="2"/>
      <c r="B115" s="2"/>
      <c r="C115" s="2"/>
      <c r="D115" s="2"/>
      <c r="E115" s="15"/>
      <c r="F115" s="2"/>
      <c r="G115" s="2"/>
      <c r="H115" s="2"/>
      <c r="I115" s="2"/>
    </row>
    <row r="116" spans="1:9">
      <c r="A116" s="2"/>
      <c r="B116" s="2"/>
      <c r="C116" s="2"/>
      <c r="D116" s="2"/>
      <c r="E116" s="15"/>
      <c r="F116" s="2"/>
      <c r="G116" s="2"/>
      <c r="H116" s="2"/>
      <c r="I116" s="2"/>
    </row>
    <row r="117" spans="1:9">
      <c r="A117" s="2"/>
      <c r="B117" s="2"/>
      <c r="C117" s="2"/>
      <c r="D117" s="2"/>
      <c r="E117" s="15"/>
      <c r="F117" s="2"/>
      <c r="G117" s="2"/>
      <c r="H117" s="2"/>
      <c r="I117" s="2"/>
    </row>
    <row r="118" spans="1:9">
      <c r="A118" s="2"/>
      <c r="B118" s="2"/>
      <c r="C118" s="2"/>
      <c r="D118" s="2"/>
      <c r="E118" s="15"/>
      <c r="F118" s="2"/>
      <c r="G118" s="2"/>
      <c r="H118" s="2"/>
      <c r="I118" s="2"/>
    </row>
    <row r="119" spans="1:9">
      <c r="A119" s="2"/>
      <c r="B119" s="2"/>
      <c r="C119" s="2"/>
      <c r="D119" s="2"/>
      <c r="E119" s="15"/>
      <c r="F119" s="2"/>
      <c r="G119" s="2"/>
      <c r="H119" s="2"/>
      <c r="I119" s="2"/>
    </row>
    <row r="120" spans="1:9">
      <c r="A120" s="2"/>
      <c r="B120" s="2"/>
      <c r="C120" s="2"/>
      <c r="D120" s="2"/>
      <c r="E120" s="15"/>
      <c r="F120" s="2"/>
      <c r="G120" s="2"/>
      <c r="H120" s="2"/>
      <c r="I120" s="2"/>
    </row>
    <row r="121" spans="1:9">
      <c r="A121" s="2"/>
      <c r="B121" s="2"/>
      <c r="C121" s="2"/>
      <c r="D121" s="2"/>
      <c r="E121" s="15"/>
      <c r="F121" s="2"/>
      <c r="G121" s="2"/>
      <c r="H121" s="2"/>
      <c r="I121" s="2"/>
    </row>
    <row r="122" spans="1:9">
      <c r="A122" s="2"/>
      <c r="B122" s="2"/>
      <c r="C122" s="2"/>
      <c r="D122" s="2"/>
      <c r="E122" s="15"/>
      <c r="F122" s="2"/>
      <c r="G122" s="2"/>
      <c r="H122" s="2"/>
      <c r="I122" s="2"/>
    </row>
    <row r="123" spans="1:9">
      <c r="A123" s="2"/>
      <c r="B123" s="2"/>
      <c r="C123" s="2"/>
      <c r="D123" s="2"/>
      <c r="E123" s="15"/>
      <c r="F123" s="2"/>
      <c r="G123" s="2"/>
      <c r="H123" s="2"/>
      <c r="I123" s="2"/>
    </row>
    <row r="124" spans="1:9">
      <c r="A124" s="2"/>
      <c r="B124" s="2"/>
      <c r="C124" s="2"/>
      <c r="D124" s="2"/>
      <c r="E124" s="15"/>
      <c r="F124" s="2"/>
      <c r="G124" s="2"/>
      <c r="H124" s="2"/>
      <c r="I124" s="2"/>
    </row>
    <row r="125" spans="1:9">
      <c r="A125" s="2"/>
      <c r="B125" s="2"/>
      <c r="C125" s="2"/>
      <c r="D125" s="2"/>
      <c r="E125" s="15"/>
      <c r="F125" s="2"/>
      <c r="G125" s="2"/>
      <c r="H125" s="2"/>
      <c r="I125" s="2"/>
    </row>
    <row r="126" spans="1:9">
      <c r="A126" s="2"/>
      <c r="B126" s="2"/>
      <c r="C126" s="2"/>
      <c r="D126" s="2"/>
      <c r="E126" s="15"/>
      <c r="F126" s="2"/>
      <c r="G126" s="2"/>
      <c r="H126" s="2"/>
      <c r="I126" s="2"/>
    </row>
    <row r="127" spans="1:9">
      <c r="A127" s="2"/>
      <c r="B127" s="2"/>
      <c r="C127" s="2"/>
      <c r="D127" s="2"/>
      <c r="E127" s="15"/>
      <c r="F127" s="2"/>
      <c r="G127" s="2"/>
      <c r="H127" s="2"/>
      <c r="I127" s="2"/>
    </row>
    <row r="128" spans="1:9">
      <c r="A128" s="2"/>
      <c r="B128" s="2"/>
      <c r="C128" s="2"/>
      <c r="D128" s="2"/>
      <c r="E128" s="15"/>
      <c r="F128" s="2"/>
      <c r="G128" s="2"/>
      <c r="H128" s="2"/>
      <c r="I128" s="2"/>
    </row>
    <row r="129" spans="1:9">
      <c r="A129" s="2"/>
      <c r="B129" s="2"/>
      <c r="C129" s="2"/>
      <c r="D129" s="2"/>
      <c r="E129" s="15"/>
      <c r="F129" s="2"/>
      <c r="G129" s="2"/>
      <c r="H129" s="2"/>
      <c r="I129" s="2"/>
    </row>
    <row r="130" spans="1:9">
      <c r="A130" s="2"/>
      <c r="B130" s="2"/>
      <c r="C130" s="2"/>
      <c r="D130" s="2"/>
      <c r="E130" s="15"/>
      <c r="F130" s="2"/>
      <c r="G130" s="2"/>
      <c r="H130" s="2"/>
      <c r="I130" s="2"/>
    </row>
    <row r="131" spans="1:9">
      <c r="A131" s="2"/>
      <c r="B131" s="2"/>
      <c r="C131" s="2"/>
      <c r="D131" s="2"/>
      <c r="E131" s="15"/>
      <c r="F131" s="2"/>
      <c r="G131" s="2"/>
      <c r="H131" s="2"/>
      <c r="I131" s="2"/>
    </row>
    <row r="132" spans="1:9">
      <c r="A132" s="2"/>
      <c r="B132" s="2"/>
      <c r="C132" s="2"/>
      <c r="D132" s="2"/>
      <c r="E132" s="15"/>
      <c r="F132" s="2"/>
      <c r="G132" s="2"/>
      <c r="H132" s="2"/>
      <c r="I132" s="2"/>
    </row>
    <row r="133" spans="1:9">
      <c r="A133" s="2"/>
      <c r="B133" s="2"/>
      <c r="C133" s="2"/>
      <c r="D133" s="2"/>
      <c r="E133" s="15"/>
      <c r="F133" s="2"/>
      <c r="G133" s="2"/>
      <c r="H133" s="2"/>
      <c r="I133" s="2"/>
    </row>
    <row r="134" spans="1:9">
      <c r="A134" s="2"/>
      <c r="B134" s="2"/>
      <c r="C134" s="2"/>
      <c r="D134" s="2"/>
      <c r="E134" s="15"/>
      <c r="F134" s="2"/>
      <c r="G134" s="2"/>
      <c r="H134" s="2"/>
      <c r="I134" s="2"/>
    </row>
    <row r="135" spans="1:9">
      <c r="A135" s="2"/>
      <c r="B135" s="2"/>
      <c r="C135" s="2"/>
      <c r="D135" s="2"/>
      <c r="E135" s="15"/>
      <c r="F135" s="2"/>
      <c r="G135" s="2"/>
      <c r="H135" s="2"/>
      <c r="I135" s="2"/>
    </row>
    <row r="136" spans="1:9">
      <c r="A136" s="2"/>
      <c r="B136" s="2"/>
      <c r="C136" s="2"/>
      <c r="D136" s="2"/>
      <c r="E136" s="15"/>
      <c r="F136" s="2"/>
      <c r="G136" s="2"/>
      <c r="H136" s="2"/>
      <c r="I136" s="2"/>
    </row>
    <row r="137" spans="1:9">
      <c r="A137" s="2"/>
      <c r="B137" s="2"/>
      <c r="C137" s="2"/>
      <c r="D137" s="2"/>
      <c r="E137" s="15"/>
      <c r="F137" s="2"/>
      <c r="G137" s="2"/>
      <c r="H137" s="2"/>
      <c r="I137" s="2"/>
    </row>
    <row r="138" spans="1:9">
      <c r="A138" s="2"/>
      <c r="B138" s="2"/>
      <c r="C138" s="2"/>
      <c r="D138" s="2"/>
      <c r="E138" s="15"/>
      <c r="F138" s="2"/>
      <c r="G138" s="2"/>
      <c r="H138" s="2"/>
      <c r="I138" s="2"/>
    </row>
    <row r="139" spans="1:9">
      <c r="A139" s="2"/>
      <c r="B139" s="2"/>
      <c r="C139" s="2"/>
      <c r="D139" s="2"/>
      <c r="E139" s="15"/>
      <c r="F139" s="2"/>
      <c r="G139" s="2"/>
      <c r="H139" s="2"/>
      <c r="I139" s="2"/>
    </row>
    <row r="140" spans="1:9">
      <c r="A140" s="2"/>
      <c r="B140" s="2"/>
      <c r="C140" s="2"/>
      <c r="D140" s="2"/>
      <c r="E140" s="15"/>
      <c r="F140" s="2"/>
      <c r="G140" s="2"/>
      <c r="H140" s="2"/>
      <c r="I140" s="2"/>
    </row>
    <row r="141" spans="1:9">
      <c r="A141" s="2"/>
      <c r="B141" s="2"/>
      <c r="C141" s="2"/>
      <c r="D141" s="2"/>
      <c r="E141" s="15"/>
      <c r="F141" s="2"/>
      <c r="G141" s="2"/>
      <c r="H141" s="2"/>
      <c r="I141" s="2"/>
    </row>
    <row r="142" spans="1:9">
      <c r="A142" s="2"/>
      <c r="B142" s="2"/>
      <c r="C142" s="2"/>
      <c r="D142" s="2"/>
      <c r="E142" s="15"/>
      <c r="F142" s="2"/>
      <c r="G142" s="2"/>
      <c r="H142" s="2"/>
      <c r="I142" s="2"/>
    </row>
    <row r="143" spans="1:9">
      <c r="A143" s="2"/>
      <c r="B143" s="2"/>
      <c r="C143" s="2"/>
      <c r="D143" s="2"/>
      <c r="E143" s="15"/>
      <c r="F143" s="2"/>
      <c r="G143" s="2"/>
      <c r="H143" s="2"/>
      <c r="I143" s="2"/>
    </row>
    <row r="144" spans="1:9">
      <c r="A144" s="2"/>
      <c r="B144" s="2"/>
      <c r="C144" s="2"/>
      <c r="D144" s="2"/>
      <c r="E144" s="15"/>
      <c r="F144" s="2"/>
      <c r="G144" s="2"/>
      <c r="H144" s="2"/>
      <c r="I144" s="2"/>
    </row>
    <row r="145" spans="1:9">
      <c r="A145" s="2"/>
      <c r="B145" s="2"/>
      <c r="C145" s="2"/>
      <c r="D145" s="2"/>
      <c r="E145" s="15"/>
      <c r="F145" s="2"/>
      <c r="G145" s="2"/>
      <c r="H145" s="2"/>
      <c r="I145" s="2"/>
    </row>
    <row r="146" spans="1:9">
      <c r="A146" s="2"/>
      <c r="B146" s="2"/>
      <c r="C146" s="2"/>
      <c r="D146" s="2"/>
      <c r="E146" s="15"/>
      <c r="F146" s="2"/>
      <c r="G146" s="2"/>
      <c r="H146" s="2"/>
      <c r="I146" s="2"/>
    </row>
    <row r="147" spans="1:9">
      <c r="A147" s="2"/>
      <c r="B147" s="2"/>
      <c r="C147" s="2"/>
      <c r="D147" s="2"/>
      <c r="E147" s="15"/>
      <c r="F147" s="2"/>
      <c r="G147" s="2"/>
      <c r="H147" s="2"/>
      <c r="I147" s="2"/>
    </row>
    <row r="148" spans="1:9">
      <c r="A148" s="2"/>
      <c r="B148" s="2"/>
      <c r="C148" s="2"/>
      <c r="D148" s="2"/>
      <c r="E148" s="15"/>
      <c r="F148" s="2"/>
      <c r="G148" s="2"/>
      <c r="H148" s="2"/>
      <c r="I148" s="2"/>
    </row>
    <row r="149" spans="1:9">
      <c r="A149" s="2"/>
      <c r="B149" s="2"/>
      <c r="C149" s="2"/>
      <c r="D149" s="2"/>
      <c r="E149" s="15"/>
      <c r="F149" s="2"/>
      <c r="G149" s="2"/>
      <c r="H149" s="2"/>
      <c r="I149" s="2"/>
    </row>
    <row r="150" spans="1:9">
      <c r="A150" s="2"/>
      <c r="B150" s="2"/>
      <c r="C150" s="2"/>
      <c r="D150" s="2"/>
      <c r="E150" s="15"/>
      <c r="F150" s="2"/>
      <c r="G150" s="2"/>
      <c r="H150" s="2"/>
      <c r="I150" s="2"/>
    </row>
    <row r="151" spans="1:9">
      <c r="A151" s="2"/>
      <c r="B151" s="2"/>
      <c r="C151" s="2"/>
      <c r="D151" s="2"/>
      <c r="E151" s="15"/>
      <c r="F151" s="2"/>
      <c r="G151" s="2"/>
      <c r="H151" s="2"/>
      <c r="I151" s="2"/>
    </row>
    <row r="152" spans="1:9">
      <c r="A152" s="2"/>
      <c r="B152" s="2"/>
      <c r="C152" s="2"/>
      <c r="D152" s="2"/>
      <c r="E152" s="15"/>
      <c r="F152" s="2"/>
      <c r="G152" s="2"/>
      <c r="H152" s="2"/>
      <c r="I152" s="2"/>
    </row>
    <row r="153" spans="1:9">
      <c r="A153" s="2"/>
      <c r="B153" s="2"/>
      <c r="C153" s="2"/>
      <c r="D153" s="2"/>
      <c r="E153" s="15"/>
      <c r="F153" s="2"/>
      <c r="G153" s="2"/>
      <c r="H153" s="2"/>
      <c r="I153" s="2"/>
    </row>
    <row r="154" spans="1:9">
      <c r="A154" s="2"/>
      <c r="B154" s="2"/>
      <c r="C154" s="2"/>
      <c r="D154" s="2"/>
      <c r="E154" s="15"/>
      <c r="F154" s="2"/>
      <c r="G154" s="2"/>
      <c r="H154" s="2"/>
      <c r="I154" s="2"/>
    </row>
    <row r="155" spans="1:9">
      <c r="A155" s="2"/>
      <c r="B155" s="2"/>
      <c r="C155" s="2"/>
      <c r="D155" s="2"/>
      <c r="E155" s="15"/>
      <c r="F155" s="2"/>
      <c r="G155" s="2"/>
      <c r="H155" s="2"/>
      <c r="I155" s="2"/>
    </row>
    <row r="156" spans="1:9">
      <c r="A156" s="2"/>
      <c r="B156" s="2"/>
      <c r="C156" s="2"/>
      <c r="D156" s="2"/>
      <c r="E156" s="15"/>
      <c r="F156" s="2"/>
      <c r="G156" s="2"/>
      <c r="H156" s="2"/>
      <c r="I156" s="2"/>
    </row>
    <row r="157" spans="1:9">
      <c r="A157" s="2"/>
      <c r="B157" s="2"/>
      <c r="C157" s="2"/>
      <c r="D157" s="2"/>
      <c r="E157" s="15"/>
      <c r="F157" s="2"/>
      <c r="G157" s="2"/>
      <c r="H157" s="2"/>
      <c r="I157" s="2"/>
    </row>
    <row r="158" spans="1:9">
      <c r="A158" s="2"/>
      <c r="B158" s="2"/>
      <c r="C158" s="2"/>
      <c r="D158" s="2"/>
      <c r="E158" s="15"/>
      <c r="F158" s="2"/>
      <c r="G158" s="2"/>
      <c r="H158" s="2"/>
      <c r="I158" s="2"/>
    </row>
    <row r="159" spans="1:9">
      <c r="A159" s="2"/>
      <c r="B159" s="2"/>
      <c r="C159" s="2"/>
      <c r="D159" s="2"/>
      <c r="E159" s="15"/>
      <c r="F159" s="2"/>
      <c r="G159" s="2"/>
      <c r="H159" s="2"/>
      <c r="I159" s="2"/>
    </row>
    <row r="160" spans="1:9">
      <c r="A160" s="2"/>
      <c r="B160" s="2"/>
      <c r="C160" s="2"/>
      <c r="D160" s="2"/>
      <c r="E160" s="15"/>
      <c r="F160" s="2"/>
      <c r="G160" s="2"/>
      <c r="H160" s="2"/>
      <c r="I160" s="2"/>
    </row>
    <row r="161" spans="1:9">
      <c r="A161" s="2"/>
      <c r="B161" s="2"/>
      <c r="C161" s="2"/>
      <c r="D161" s="2"/>
      <c r="E161" s="15"/>
      <c r="F161" s="2"/>
      <c r="G161" s="2"/>
      <c r="H161" s="2"/>
      <c r="I161" s="2"/>
    </row>
    <row r="162" spans="1:9">
      <c r="A162" s="2"/>
      <c r="B162" s="2"/>
      <c r="C162" s="2"/>
      <c r="D162" s="2"/>
      <c r="E162" s="15"/>
      <c r="F162" s="2"/>
      <c r="G162" s="2"/>
      <c r="H162" s="2"/>
      <c r="I162" s="2"/>
    </row>
    <row r="163" spans="1:9">
      <c r="A163" s="2"/>
      <c r="B163" s="2"/>
      <c r="C163" s="2"/>
      <c r="D163" s="2"/>
      <c r="E163" s="15"/>
      <c r="F163" s="2"/>
      <c r="G163" s="2"/>
      <c r="H163" s="2"/>
      <c r="I163" s="2"/>
    </row>
    <row r="164" spans="1:9">
      <c r="A164" s="2"/>
      <c r="B164" s="2"/>
      <c r="C164" s="2"/>
      <c r="D164" s="2"/>
      <c r="E164" s="15"/>
      <c r="F164" s="2"/>
      <c r="G164" s="2"/>
      <c r="H164" s="2"/>
      <c r="I164" s="2"/>
    </row>
    <row r="165" spans="1:9">
      <c r="A165" s="2"/>
      <c r="B165" s="2"/>
      <c r="C165" s="2"/>
      <c r="D165" s="2"/>
      <c r="E165" s="15"/>
      <c r="F165" s="2"/>
      <c r="G165" s="2"/>
      <c r="H165" s="2"/>
      <c r="I165" s="2"/>
    </row>
    <row r="166" spans="1:9">
      <c r="A166" s="2"/>
      <c r="B166" s="2"/>
      <c r="C166" s="2"/>
      <c r="D166" s="2"/>
      <c r="E166" s="15"/>
      <c r="F166" s="2"/>
      <c r="G166" s="2"/>
      <c r="H166" s="2"/>
      <c r="I166" s="2"/>
    </row>
    <row r="167" spans="1:9">
      <c r="A167" s="2"/>
      <c r="B167" s="2"/>
      <c r="C167" s="2"/>
      <c r="D167" s="2"/>
      <c r="E167" s="15"/>
      <c r="F167" s="2"/>
      <c r="G167" s="2"/>
      <c r="H167" s="2"/>
      <c r="I167" s="2"/>
    </row>
    <row r="168" spans="1:9">
      <c r="A168" s="2"/>
      <c r="B168" s="2"/>
      <c r="C168" s="2"/>
      <c r="D168" s="2"/>
      <c r="E168" s="15"/>
      <c r="F168" s="2"/>
      <c r="G168" s="2"/>
      <c r="H168" s="2"/>
      <c r="I168" s="2"/>
    </row>
    <row r="169" spans="1:9">
      <c r="A169" s="2"/>
      <c r="B169" s="2"/>
      <c r="C169" s="2"/>
      <c r="D169" s="2"/>
      <c r="E169" s="15"/>
      <c r="F169" s="2"/>
      <c r="G169" s="2"/>
      <c r="H169" s="2"/>
      <c r="I169" s="2"/>
    </row>
    <row r="170" spans="1:9">
      <c r="A170" s="2"/>
      <c r="B170" s="2"/>
      <c r="C170" s="2"/>
      <c r="D170" s="2"/>
      <c r="E170" s="15"/>
      <c r="F170" s="2"/>
      <c r="G170" s="2"/>
      <c r="H170" s="2"/>
      <c r="I170" s="2"/>
    </row>
    <row r="171" spans="1:9">
      <c r="A171" s="2"/>
      <c r="B171" s="2"/>
      <c r="C171" s="2"/>
      <c r="D171" s="2"/>
      <c r="E171" s="15"/>
      <c r="F171" s="2"/>
      <c r="G171" s="2"/>
      <c r="H171" s="2"/>
      <c r="I171" s="2"/>
    </row>
    <row r="172" spans="1:9">
      <c r="A172" s="2"/>
      <c r="B172" s="2"/>
      <c r="C172" s="2"/>
      <c r="D172" s="2"/>
      <c r="E172" s="15"/>
      <c r="F172" s="2"/>
      <c r="G172" s="2"/>
      <c r="H172" s="2"/>
      <c r="I172" s="2"/>
    </row>
    <row r="173" spans="1:9">
      <c r="A173" s="2"/>
      <c r="B173" s="2"/>
      <c r="C173" s="2"/>
      <c r="D173" s="2"/>
      <c r="E173" s="15"/>
      <c r="F173" s="2"/>
      <c r="G173" s="2"/>
      <c r="H173" s="2"/>
      <c r="I173" s="2"/>
    </row>
    <row r="174" spans="1:9">
      <c r="A174" s="2"/>
      <c r="B174" s="2"/>
      <c r="C174" s="2"/>
      <c r="D174" s="2"/>
      <c r="E174" s="15"/>
      <c r="F174" s="2"/>
      <c r="G174" s="2"/>
      <c r="H174" s="2"/>
      <c r="I174" s="2"/>
    </row>
    <row r="175" spans="1:9">
      <c r="A175" s="2"/>
      <c r="B175" s="2"/>
      <c r="C175" s="2"/>
      <c r="D175" s="2"/>
      <c r="E175" s="15"/>
      <c r="F175" s="2"/>
      <c r="G175" s="2"/>
      <c r="H175" s="2"/>
      <c r="I175" s="2"/>
    </row>
    <row r="176" spans="1:9">
      <c r="A176" s="2"/>
      <c r="B176" s="2"/>
      <c r="C176" s="2"/>
      <c r="D176" s="2"/>
      <c r="E176" s="15"/>
      <c r="F176" s="2"/>
      <c r="G176" s="2"/>
      <c r="H176" s="2"/>
      <c r="I176" s="2"/>
    </row>
    <row r="177" spans="1:9">
      <c r="A177" s="2"/>
      <c r="B177" s="2"/>
      <c r="C177" s="2"/>
      <c r="D177" s="2"/>
      <c r="E177" s="15"/>
      <c r="F177" s="2"/>
      <c r="G177" s="2"/>
      <c r="H177" s="2"/>
      <c r="I177" s="2"/>
    </row>
    <row r="178" spans="1:9">
      <c r="A178" s="2"/>
      <c r="B178" s="2"/>
      <c r="C178" s="2"/>
      <c r="D178" s="2"/>
      <c r="E178" s="15"/>
      <c r="F178" s="2"/>
      <c r="G178" s="2"/>
      <c r="H178" s="2"/>
      <c r="I178" s="2"/>
    </row>
    <row r="179" spans="1:9">
      <c r="A179" s="2"/>
      <c r="B179" s="2"/>
      <c r="C179" s="2"/>
      <c r="D179" s="2"/>
      <c r="E179" s="15"/>
      <c r="F179" s="2"/>
      <c r="G179" s="2"/>
      <c r="H179" s="2"/>
      <c r="I179" s="2"/>
    </row>
    <row r="180" spans="1:9">
      <c r="A180" s="2"/>
      <c r="B180" s="2"/>
      <c r="C180" s="2"/>
      <c r="D180" s="2"/>
      <c r="E180" s="15"/>
      <c r="F180" s="2"/>
      <c r="G180" s="2"/>
      <c r="H180" s="2"/>
      <c r="I180" s="2"/>
    </row>
    <row r="181" spans="1:9">
      <c r="A181" s="2"/>
      <c r="B181" s="2"/>
      <c r="C181" s="2"/>
      <c r="D181" s="2"/>
      <c r="E181" s="15"/>
      <c r="F181" s="2"/>
      <c r="G181" s="2"/>
      <c r="H181" s="2"/>
      <c r="I181" s="2"/>
    </row>
    <row r="182" spans="1:9">
      <c r="A182" s="2"/>
      <c r="B182" s="2"/>
      <c r="C182" s="2"/>
      <c r="D182" s="2"/>
      <c r="E182" s="15"/>
      <c r="F182" s="2"/>
      <c r="G182" s="2"/>
      <c r="H182" s="2"/>
      <c r="I182" s="2"/>
    </row>
    <row r="183" spans="1:9">
      <c r="A183" s="2"/>
      <c r="B183" s="2"/>
      <c r="C183" s="2"/>
      <c r="D183" s="2"/>
      <c r="E183" s="15"/>
      <c r="F183" s="2"/>
      <c r="G183" s="2"/>
      <c r="H183" s="2"/>
      <c r="I183" s="2"/>
    </row>
    <row r="184" spans="1:9">
      <c r="A184" s="2"/>
      <c r="B184" s="2"/>
      <c r="C184" s="2"/>
      <c r="D184" s="2"/>
      <c r="E184" s="15"/>
      <c r="F184" s="2"/>
      <c r="G184" s="2"/>
      <c r="H184" s="2"/>
      <c r="I184" s="2"/>
    </row>
    <row r="185" spans="1:9">
      <c r="A185" s="2"/>
      <c r="B185" s="2"/>
      <c r="C185" s="2"/>
      <c r="D185" s="2"/>
      <c r="E185" s="15"/>
      <c r="F185" s="2"/>
      <c r="G185" s="2"/>
      <c r="H185" s="2"/>
      <c r="I185" s="2"/>
    </row>
    <row r="186" spans="1:9">
      <c r="A186" s="2"/>
      <c r="B186" s="2"/>
      <c r="C186" s="2"/>
      <c r="D186" s="2"/>
      <c r="E186" s="15"/>
      <c r="F186" s="2"/>
      <c r="G186" s="2"/>
      <c r="H186" s="2"/>
      <c r="I186" s="2"/>
    </row>
    <row r="187" spans="1:9">
      <c r="A187" s="2"/>
      <c r="B187" s="2"/>
      <c r="C187" s="2"/>
      <c r="D187" s="2"/>
      <c r="E187" s="15"/>
      <c r="F187" s="2"/>
      <c r="G187" s="2"/>
      <c r="H187" s="2"/>
      <c r="I187" s="2"/>
    </row>
    <row r="188" spans="1:9">
      <c r="A188" s="2"/>
      <c r="B188" s="2"/>
      <c r="C188" s="2"/>
      <c r="D188" s="2"/>
      <c r="E188" s="15"/>
      <c r="F188" s="2"/>
      <c r="G188" s="2"/>
      <c r="H188" s="2"/>
      <c r="I188" s="2"/>
    </row>
    <row r="189" spans="1:9">
      <c r="A189" s="2"/>
      <c r="B189" s="2"/>
      <c r="C189" s="2"/>
      <c r="D189" s="2"/>
      <c r="E189" s="15"/>
      <c r="F189" s="2"/>
      <c r="G189" s="2"/>
      <c r="H189" s="2"/>
      <c r="I189" s="2"/>
    </row>
    <row r="190" spans="1:9">
      <c r="A190" s="2"/>
      <c r="B190" s="2"/>
      <c r="C190" s="2"/>
      <c r="D190" s="2"/>
      <c r="E190" s="15"/>
      <c r="F190" s="2"/>
      <c r="G190" s="2"/>
      <c r="H190" s="2"/>
      <c r="I190" s="2"/>
    </row>
    <row r="191" spans="1:9">
      <c r="A191" s="2"/>
      <c r="B191" s="2"/>
      <c r="C191" s="2"/>
      <c r="D191" s="2"/>
      <c r="E191" s="15"/>
      <c r="F191" s="2"/>
      <c r="G191" s="2"/>
      <c r="H191" s="2"/>
      <c r="I191" s="2"/>
    </row>
    <row r="192" spans="1:9">
      <c r="A192" s="2"/>
      <c r="B192" s="2"/>
      <c r="C192" s="2"/>
      <c r="D192" s="2"/>
      <c r="E192" s="15"/>
      <c r="F192" s="2"/>
      <c r="G192" s="2"/>
      <c r="H192" s="2"/>
      <c r="I192" s="2"/>
    </row>
    <row r="193" spans="1:9">
      <c r="A193" s="2"/>
      <c r="B193" s="2"/>
      <c r="C193" s="2"/>
      <c r="D193" s="2"/>
      <c r="E193" s="15"/>
      <c r="F193" s="2"/>
      <c r="G193" s="2"/>
      <c r="H193" s="2"/>
      <c r="I193" s="2"/>
    </row>
    <row r="194" spans="1:9">
      <c r="A194" s="2"/>
      <c r="B194" s="2"/>
      <c r="C194" s="2"/>
      <c r="D194" s="2"/>
      <c r="E194" s="15"/>
      <c r="F194" s="2"/>
      <c r="G194" s="2"/>
      <c r="H194" s="2"/>
      <c r="I194" s="2"/>
    </row>
    <row r="195" spans="1:9">
      <c r="A195" s="2"/>
      <c r="B195" s="2"/>
      <c r="C195" s="2"/>
      <c r="D195" s="2"/>
      <c r="E195" s="15"/>
      <c r="F195" s="2"/>
      <c r="G195" s="2"/>
      <c r="H195" s="2"/>
      <c r="I195" s="2"/>
    </row>
    <row r="196" spans="1:9">
      <c r="A196" s="2"/>
      <c r="B196" s="2"/>
      <c r="C196" s="2"/>
      <c r="D196" s="2"/>
      <c r="E196" s="15"/>
      <c r="F196" s="2"/>
      <c r="G196" s="2"/>
      <c r="H196" s="2"/>
      <c r="I196" s="2"/>
    </row>
    <row r="197" spans="1:9">
      <c r="A197" s="2"/>
      <c r="B197" s="2"/>
      <c r="C197" s="2"/>
      <c r="D197" s="2"/>
      <c r="E197" s="15"/>
      <c r="F197" s="2"/>
      <c r="G197" s="2"/>
      <c r="H197" s="2"/>
      <c r="I197" s="2"/>
    </row>
    <row r="198" spans="1:9">
      <c r="A198" s="2"/>
      <c r="B198" s="2"/>
      <c r="C198" s="2"/>
      <c r="D198" s="2"/>
      <c r="E198" s="15"/>
      <c r="F198" s="2"/>
      <c r="G198" s="2"/>
      <c r="H198" s="2"/>
      <c r="I198" s="2"/>
    </row>
    <row r="199" spans="1:9">
      <c r="A199" s="2"/>
      <c r="B199" s="2"/>
      <c r="C199" s="2"/>
      <c r="D199" s="2"/>
      <c r="E199" s="15"/>
      <c r="F199" s="2"/>
      <c r="G199" s="2"/>
      <c r="H199" s="2"/>
      <c r="I199" s="2"/>
    </row>
    <row r="200" spans="1:9">
      <c r="A200" s="2"/>
      <c r="B200" s="2"/>
      <c r="C200" s="2"/>
      <c r="D200" s="2"/>
      <c r="E200" s="15"/>
      <c r="F200" s="2"/>
      <c r="G200" s="2"/>
      <c r="H200" s="2"/>
      <c r="I200" s="2"/>
    </row>
    <row r="201" spans="1:9">
      <c r="A201" s="2"/>
      <c r="B201" s="2"/>
      <c r="C201" s="2"/>
      <c r="D201" s="2"/>
      <c r="E201" s="15"/>
      <c r="F201" s="2"/>
      <c r="G201" s="2"/>
      <c r="H201" s="2"/>
      <c r="I201" s="2"/>
    </row>
    <row r="202" spans="1:9">
      <c r="A202" s="2"/>
      <c r="B202" s="2"/>
      <c r="C202" s="2"/>
      <c r="D202" s="2"/>
      <c r="E202" s="15"/>
      <c r="F202" s="2"/>
      <c r="G202" s="2"/>
      <c r="H202" s="2"/>
      <c r="I202" s="2"/>
    </row>
    <row r="203" spans="1:9">
      <c r="A203" s="2"/>
      <c r="B203" s="2"/>
      <c r="C203" s="2"/>
      <c r="D203" s="2"/>
      <c r="E203" s="15"/>
      <c r="F203" s="2"/>
      <c r="G203" s="2"/>
      <c r="H203" s="2"/>
      <c r="I203" s="2"/>
    </row>
    <row r="204" spans="1:9">
      <c r="A204" s="2"/>
      <c r="B204" s="2"/>
      <c r="C204" s="2"/>
      <c r="D204" s="2"/>
      <c r="E204" s="15"/>
      <c r="F204" s="2"/>
      <c r="G204" s="2"/>
      <c r="H204" s="2"/>
      <c r="I204" s="2"/>
    </row>
    <row r="205" spans="1:9">
      <c r="A205" s="2"/>
      <c r="B205" s="2"/>
      <c r="C205" s="2"/>
      <c r="D205" s="2"/>
      <c r="E205" s="15"/>
      <c r="F205" s="2"/>
      <c r="G205" s="2"/>
      <c r="H205" s="2"/>
      <c r="I205" s="2"/>
    </row>
    <row r="206" spans="1:9">
      <c r="A206" s="2"/>
      <c r="B206" s="2"/>
      <c r="C206" s="2"/>
      <c r="D206" s="2"/>
      <c r="E206" s="15"/>
      <c r="F206" s="2"/>
      <c r="G206" s="2"/>
      <c r="H206" s="2"/>
      <c r="I206" s="2"/>
    </row>
    <row r="207" spans="1:9">
      <c r="A207" s="2"/>
      <c r="B207" s="2"/>
      <c r="C207" s="2"/>
      <c r="D207" s="2"/>
      <c r="E207" s="15"/>
      <c r="F207" s="2"/>
      <c r="G207" s="2"/>
      <c r="H207" s="2"/>
      <c r="I207" s="2"/>
    </row>
    <row r="208" spans="1:9">
      <c r="A208" s="2"/>
      <c r="B208" s="2"/>
      <c r="C208" s="2"/>
      <c r="D208" s="2"/>
      <c r="E208" s="15"/>
      <c r="F208" s="2"/>
      <c r="G208" s="2"/>
      <c r="H208" s="2"/>
      <c r="I208" s="2"/>
    </row>
    <row r="209" spans="1:9">
      <c r="A209" s="2"/>
      <c r="B209" s="2"/>
      <c r="C209" s="2"/>
      <c r="D209" s="2"/>
      <c r="E209" s="15"/>
      <c r="F209" s="2"/>
      <c r="G209" s="2"/>
      <c r="H209" s="2"/>
      <c r="I209" s="2"/>
    </row>
    <row r="210" spans="1:9">
      <c r="A210" s="2"/>
      <c r="B210" s="2"/>
      <c r="C210" s="2"/>
      <c r="D210" s="2"/>
      <c r="E210" s="15"/>
      <c r="F210" s="2"/>
      <c r="G210" s="2"/>
      <c r="H210" s="2"/>
      <c r="I210" s="2"/>
    </row>
    <row r="211" spans="1:9">
      <c r="A211" s="2"/>
      <c r="B211" s="2"/>
      <c r="C211" s="2"/>
      <c r="D211" s="2"/>
      <c r="E211" s="15"/>
      <c r="F211" s="2"/>
      <c r="G211" s="2"/>
      <c r="H211" s="2"/>
      <c r="I211" s="2"/>
    </row>
    <row r="212" spans="1:9">
      <c r="A212" s="2"/>
      <c r="B212" s="2"/>
      <c r="C212" s="2"/>
      <c r="D212" s="2"/>
      <c r="E212" s="15"/>
      <c r="F212" s="2"/>
      <c r="G212" s="2"/>
      <c r="H212" s="2"/>
      <c r="I212" s="2"/>
    </row>
    <row r="213" spans="1:9">
      <c r="A213" s="2"/>
      <c r="B213" s="2"/>
      <c r="C213" s="2"/>
      <c r="D213" s="2"/>
      <c r="E213" s="15"/>
      <c r="F213" s="2"/>
      <c r="G213" s="2"/>
      <c r="H213" s="2"/>
      <c r="I213" s="2"/>
    </row>
    <row r="214" spans="1:9">
      <c r="A214" s="2"/>
      <c r="B214" s="2"/>
      <c r="C214" s="2"/>
      <c r="D214" s="2"/>
      <c r="E214" s="15"/>
      <c r="F214" s="2"/>
      <c r="G214" s="2"/>
      <c r="H214" s="2"/>
      <c r="I214" s="2"/>
    </row>
    <row r="215" spans="1:9">
      <c r="A215" s="2"/>
      <c r="B215" s="2"/>
      <c r="C215" s="2"/>
      <c r="D215" s="2"/>
      <c r="E215" s="15"/>
      <c r="F215" s="2"/>
      <c r="G215" s="2"/>
      <c r="H215" s="2"/>
      <c r="I215" s="2"/>
    </row>
    <row r="216" spans="1:9">
      <c r="A216" s="2"/>
      <c r="B216" s="2"/>
      <c r="C216" s="2"/>
      <c r="D216" s="2"/>
      <c r="E216" s="15"/>
      <c r="F216" s="2"/>
      <c r="G216" s="2"/>
      <c r="H216" s="2"/>
      <c r="I216" s="2"/>
    </row>
    <row r="217" spans="1:9">
      <c r="A217" s="2"/>
      <c r="B217" s="2"/>
      <c r="C217" s="2"/>
      <c r="D217" s="2"/>
      <c r="E217" s="15"/>
      <c r="F217" s="2"/>
      <c r="G217" s="2"/>
      <c r="H217" s="2"/>
      <c r="I217" s="2"/>
    </row>
    <row r="218" spans="1:9">
      <c r="A218" s="2"/>
      <c r="B218" s="2"/>
      <c r="C218" s="2"/>
      <c r="D218" s="2"/>
      <c r="E218" s="15"/>
      <c r="F218" s="2"/>
      <c r="G218" s="2"/>
      <c r="H218" s="2"/>
      <c r="I218" s="2"/>
    </row>
    <row r="219" spans="1:9">
      <c r="A219" s="2"/>
      <c r="B219" s="2"/>
      <c r="C219" s="2"/>
      <c r="D219" s="2"/>
      <c r="E219" s="15"/>
      <c r="F219" s="2"/>
      <c r="G219" s="2"/>
      <c r="H219" s="2"/>
      <c r="I219" s="2"/>
    </row>
    <row r="220" spans="1:9">
      <c r="A220" s="2"/>
      <c r="B220" s="2"/>
      <c r="C220" s="2"/>
      <c r="D220" s="2"/>
      <c r="E220" s="15"/>
      <c r="F220" s="2"/>
      <c r="G220" s="2"/>
      <c r="H220" s="2"/>
      <c r="I220" s="2"/>
    </row>
    <row r="221" spans="1:9">
      <c r="A221" s="2"/>
      <c r="B221" s="2"/>
      <c r="C221" s="2"/>
      <c r="D221" s="2"/>
      <c r="E221" s="15"/>
      <c r="F221" s="2"/>
      <c r="G221" s="2"/>
      <c r="H221" s="2"/>
      <c r="I221" s="2"/>
    </row>
    <row r="222" spans="1:9">
      <c r="A222" s="2"/>
      <c r="B222" s="2"/>
      <c r="C222" s="2"/>
      <c r="D222" s="2"/>
      <c r="E222" s="15"/>
      <c r="F222" s="2"/>
      <c r="G222" s="2"/>
      <c r="H222" s="2"/>
      <c r="I222" s="2"/>
    </row>
    <row r="223" spans="1:9">
      <c r="A223" s="2"/>
      <c r="B223" s="2"/>
      <c r="C223" s="2"/>
      <c r="D223" s="2"/>
      <c r="E223" s="15"/>
      <c r="F223" s="2"/>
      <c r="G223" s="2"/>
      <c r="H223" s="2"/>
      <c r="I223" s="2"/>
    </row>
    <row r="224" spans="1:9">
      <c r="A224" s="2"/>
      <c r="B224" s="2"/>
      <c r="C224" s="2"/>
      <c r="D224" s="2"/>
      <c r="E224" s="15"/>
      <c r="F224" s="2"/>
      <c r="G224" s="2"/>
      <c r="H224" s="2"/>
      <c r="I224" s="2"/>
    </row>
    <row r="225" spans="1:9">
      <c r="A225" s="2"/>
      <c r="B225" s="2"/>
      <c r="C225" s="2"/>
      <c r="D225" s="2"/>
      <c r="E225" s="15"/>
      <c r="F225" s="2"/>
      <c r="G225" s="2"/>
      <c r="H225" s="2"/>
      <c r="I225" s="2"/>
    </row>
    <row r="226" spans="1:9">
      <c r="A226" s="2"/>
      <c r="B226" s="2"/>
      <c r="C226" s="2"/>
      <c r="D226" s="2"/>
      <c r="E226" s="15"/>
      <c r="F226" s="2"/>
      <c r="G226" s="2"/>
      <c r="H226" s="2"/>
      <c r="I226" s="2"/>
    </row>
    <row r="227" spans="1:9">
      <c r="A227" s="2"/>
      <c r="B227" s="2"/>
      <c r="C227" s="2"/>
      <c r="D227" s="2"/>
      <c r="E227" s="15"/>
      <c r="F227" s="2"/>
      <c r="G227" s="2"/>
      <c r="H227" s="2"/>
      <c r="I227" s="2"/>
    </row>
    <row r="228" spans="1:9">
      <c r="A228" s="2"/>
      <c r="B228" s="2"/>
      <c r="C228" s="2"/>
      <c r="D228" s="2"/>
      <c r="E228" s="15"/>
      <c r="F228" s="2"/>
      <c r="G228" s="2"/>
      <c r="H228" s="2"/>
      <c r="I228" s="2"/>
    </row>
    <row r="229" spans="1:9">
      <c r="A229" s="2"/>
      <c r="B229" s="2"/>
      <c r="C229" s="2"/>
      <c r="D229" s="2"/>
      <c r="E229" s="15"/>
      <c r="F229" s="2"/>
      <c r="G229" s="2"/>
      <c r="H229" s="2"/>
      <c r="I229" s="2"/>
    </row>
    <row r="230" spans="1:9">
      <c r="A230" s="2"/>
      <c r="B230" s="2"/>
      <c r="C230" s="2"/>
      <c r="D230" s="2"/>
      <c r="E230" s="15"/>
      <c r="F230" s="2"/>
      <c r="G230" s="2"/>
      <c r="H230" s="2"/>
      <c r="I230" s="2"/>
    </row>
    <row r="231" spans="1:9">
      <c r="A231" s="2"/>
      <c r="B231" s="2"/>
      <c r="C231" s="2"/>
      <c r="D231" s="2"/>
      <c r="E231" s="15"/>
      <c r="F231" s="2"/>
      <c r="G231" s="2"/>
      <c r="H231" s="2"/>
      <c r="I231" s="2"/>
    </row>
    <row r="232" spans="1:9">
      <c r="A232" s="2"/>
      <c r="B232" s="2"/>
      <c r="C232" s="2"/>
      <c r="D232" s="2"/>
      <c r="E232" s="15"/>
      <c r="F232" s="2"/>
      <c r="G232" s="2"/>
      <c r="H232" s="2"/>
      <c r="I232" s="2"/>
    </row>
    <row r="233" spans="1:9">
      <c r="A233" s="2"/>
      <c r="B233" s="2"/>
      <c r="C233" s="2"/>
      <c r="D233" s="2"/>
      <c r="E233" s="15"/>
      <c r="F233" s="2"/>
      <c r="G233" s="2"/>
      <c r="H233" s="2"/>
      <c r="I233" s="2"/>
    </row>
    <row r="234" spans="1:9">
      <c r="A234" s="2"/>
      <c r="B234" s="2"/>
      <c r="C234" s="2"/>
      <c r="D234" s="2"/>
      <c r="E234" s="15"/>
      <c r="F234" s="2"/>
      <c r="G234" s="2"/>
      <c r="H234" s="2"/>
      <c r="I234" s="2"/>
    </row>
    <row r="235" spans="1:9">
      <c r="A235" s="2"/>
      <c r="B235" s="2"/>
      <c r="C235" s="2"/>
      <c r="D235" s="2"/>
      <c r="E235" s="15"/>
      <c r="F235" s="2"/>
      <c r="G235" s="2"/>
      <c r="H235" s="2"/>
      <c r="I235" s="2"/>
    </row>
    <row r="236" spans="1:9">
      <c r="A236" s="2"/>
      <c r="B236" s="2"/>
      <c r="C236" s="2"/>
      <c r="D236" s="2"/>
      <c r="E236" s="15"/>
      <c r="F236" s="2"/>
      <c r="G236" s="2"/>
      <c r="H236" s="2"/>
      <c r="I236" s="2"/>
    </row>
    <row r="237" spans="1:9">
      <c r="A237" s="2"/>
      <c r="B237" s="2"/>
      <c r="C237" s="2"/>
      <c r="D237" s="2"/>
      <c r="E237" s="15"/>
      <c r="F237" s="2"/>
      <c r="G237" s="2"/>
      <c r="H237" s="2"/>
      <c r="I237" s="2"/>
    </row>
    <row r="238" spans="1:9">
      <c r="A238" s="2"/>
      <c r="B238" s="2"/>
      <c r="C238" s="2"/>
      <c r="D238" s="2"/>
      <c r="E238" s="15"/>
      <c r="F238" s="2"/>
      <c r="G238" s="2"/>
      <c r="H238" s="2"/>
      <c r="I238" s="2"/>
    </row>
    <row r="239" spans="1:9">
      <c r="A239" s="2"/>
      <c r="B239" s="2"/>
      <c r="C239" s="2"/>
      <c r="D239" s="2"/>
      <c r="E239" s="15"/>
      <c r="F239" s="2"/>
      <c r="G239" s="2"/>
      <c r="H239" s="2"/>
      <c r="I239" s="2"/>
    </row>
    <row r="240" spans="1:9">
      <c r="A240" s="2"/>
      <c r="B240" s="2"/>
      <c r="C240" s="2"/>
      <c r="D240" s="2"/>
      <c r="E240" s="15"/>
      <c r="F240" s="2"/>
      <c r="G240" s="2"/>
      <c r="H240" s="2"/>
      <c r="I240" s="2"/>
    </row>
    <row r="241" spans="1:9">
      <c r="A241" s="2"/>
      <c r="B241" s="2"/>
      <c r="C241" s="2"/>
      <c r="D241" s="2"/>
      <c r="E241" s="15"/>
      <c r="F241" s="2"/>
      <c r="G241" s="2"/>
      <c r="H241" s="2"/>
      <c r="I241" s="2"/>
    </row>
    <row r="242" spans="1:9">
      <c r="A242" s="2"/>
      <c r="B242" s="2"/>
      <c r="C242" s="2"/>
      <c r="D242" s="2"/>
      <c r="E242" s="15"/>
      <c r="F242" s="2"/>
      <c r="G242" s="2"/>
      <c r="H242" s="2"/>
      <c r="I242" s="2"/>
    </row>
    <row r="243" spans="1:9">
      <c r="A243" s="2"/>
      <c r="B243" s="2"/>
      <c r="C243" s="2"/>
      <c r="D243" s="2"/>
      <c r="E243" s="15"/>
      <c r="F243" s="2"/>
      <c r="G243" s="2"/>
      <c r="H243" s="2"/>
      <c r="I243" s="2"/>
    </row>
    <row r="244" spans="1:9">
      <c r="A244" s="2"/>
      <c r="B244" s="2"/>
      <c r="C244" s="2"/>
      <c r="D244" s="2"/>
      <c r="E244" s="15"/>
      <c r="F244" s="2"/>
      <c r="G244" s="2"/>
      <c r="H244" s="2"/>
      <c r="I244" s="2"/>
    </row>
    <row r="245" spans="1:9">
      <c r="A245" s="2"/>
      <c r="B245" s="2"/>
      <c r="C245" s="2"/>
      <c r="D245" s="2"/>
      <c r="E245" s="15"/>
      <c r="F245" s="2"/>
      <c r="G245" s="2"/>
      <c r="H245" s="2"/>
      <c r="I245" s="2"/>
    </row>
    <row r="246" spans="1:9">
      <c r="A246" s="2"/>
      <c r="B246" s="2"/>
      <c r="C246" s="2"/>
      <c r="D246" s="2"/>
      <c r="E246" s="15"/>
      <c r="F246" s="2"/>
      <c r="G246" s="2"/>
      <c r="H246" s="2"/>
      <c r="I246" s="2"/>
    </row>
    <row r="247" spans="1:9">
      <c r="A247" s="2"/>
      <c r="B247" s="2"/>
      <c r="C247" s="2"/>
      <c r="D247" s="2"/>
      <c r="E247" s="15"/>
      <c r="F247" s="2"/>
      <c r="G247" s="2"/>
      <c r="H247" s="2"/>
      <c r="I247" s="2"/>
    </row>
    <row r="248" spans="1:9">
      <c r="A248" s="2"/>
      <c r="B248" s="2"/>
      <c r="C248" s="2"/>
      <c r="D248" s="2"/>
      <c r="E248" s="15"/>
      <c r="F248" s="2"/>
      <c r="G248" s="2"/>
      <c r="H248" s="2"/>
      <c r="I248" s="2"/>
    </row>
    <row r="249" spans="1:9">
      <c r="A249" s="2"/>
      <c r="B249" s="2"/>
      <c r="C249" s="2"/>
      <c r="D249" s="2"/>
      <c r="E249" s="15"/>
      <c r="F249" s="2"/>
      <c r="G249" s="2"/>
      <c r="H249" s="2"/>
      <c r="I249" s="2"/>
    </row>
    <row r="250" spans="1:9">
      <c r="A250" s="2"/>
      <c r="B250" s="2"/>
      <c r="C250" s="2"/>
      <c r="D250" s="2"/>
      <c r="E250" s="15"/>
      <c r="F250" s="2"/>
      <c r="G250" s="2"/>
      <c r="H250" s="2"/>
      <c r="I250" s="2"/>
    </row>
    <row r="251" spans="1:9">
      <c r="A251" s="2"/>
      <c r="B251" s="2"/>
      <c r="C251" s="2"/>
      <c r="D251" s="2"/>
      <c r="E251" s="15"/>
      <c r="F251" s="2"/>
      <c r="G251" s="2"/>
      <c r="H251" s="2"/>
      <c r="I251" s="2"/>
    </row>
    <row r="252" spans="1:9">
      <c r="A252" s="2"/>
      <c r="B252" s="2"/>
      <c r="C252" s="2"/>
      <c r="D252" s="2"/>
      <c r="E252" s="15"/>
      <c r="F252" s="2"/>
      <c r="G252" s="2"/>
      <c r="H252" s="2"/>
      <c r="I252" s="2"/>
    </row>
    <row r="253" spans="1:9">
      <c r="A253" s="2"/>
      <c r="B253" s="2"/>
      <c r="C253" s="2"/>
      <c r="D253" s="2"/>
      <c r="E253" s="15"/>
      <c r="F253" s="2"/>
      <c r="G253" s="2"/>
      <c r="H253" s="2"/>
      <c r="I253" s="2"/>
    </row>
    <row r="254" spans="1:9">
      <c r="A254" s="2"/>
      <c r="B254" s="2"/>
      <c r="C254" s="2"/>
      <c r="D254" s="2"/>
      <c r="E254" s="15"/>
      <c r="F254" s="2"/>
      <c r="G254" s="2"/>
      <c r="H254" s="2"/>
      <c r="I254" s="2"/>
    </row>
    <row r="255" spans="1:9">
      <c r="A255" s="2"/>
      <c r="B255" s="2"/>
      <c r="C255" s="2"/>
      <c r="D255" s="2"/>
      <c r="E255" s="15"/>
      <c r="F255" s="2"/>
      <c r="G255" s="2"/>
      <c r="H255" s="2"/>
      <c r="I255" s="2"/>
    </row>
    <row r="256" spans="1:9">
      <c r="A256" s="2"/>
      <c r="B256" s="2"/>
      <c r="C256" s="2"/>
      <c r="D256" s="2"/>
      <c r="E256" s="15"/>
      <c r="F256" s="2"/>
      <c r="G256" s="2"/>
      <c r="H256" s="2"/>
      <c r="I256" s="2"/>
    </row>
    <row r="257" spans="1:9">
      <c r="A257" s="2"/>
      <c r="B257" s="2"/>
      <c r="C257" s="2"/>
      <c r="D257" s="2"/>
      <c r="E257" s="15"/>
      <c r="F257" s="2"/>
      <c r="G257" s="2"/>
      <c r="H257" s="2"/>
      <c r="I257" s="2"/>
    </row>
    <row r="258" spans="1:9">
      <c r="A258" s="2"/>
      <c r="B258" s="2"/>
      <c r="C258" s="2"/>
      <c r="D258" s="2"/>
      <c r="E258" s="15"/>
      <c r="F258" s="2"/>
      <c r="G258" s="2"/>
      <c r="H258" s="2"/>
      <c r="I258" s="2"/>
    </row>
    <row r="259" spans="1:9">
      <c r="A259" s="2"/>
      <c r="B259" s="2"/>
      <c r="C259" s="2"/>
      <c r="D259" s="2"/>
      <c r="E259" s="15"/>
      <c r="F259" s="2"/>
      <c r="G259" s="2"/>
      <c r="H259" s="2"/>
      <c r="I259" s="2"/>
    </row>
    <row r="260" spans="1:9">
      <c r="A260" s="2"/>
      <c r="B260" s="2"/>
      <c r="C260" s="2"/>
      <c r="D260" s="2"/>
      <c r="E260" s="15"/>
      <c r="F260" s="2"/>
      <c r="G260" s="2"/>
      <c r="H260" s="2"/>
      <c r="I260" s="2"/>
    </row>
    <row r="261" spans="1:9">
      <c r="A261" s="2"/>
      <c r="B261" s="2"/>
      <c r="C261" s="2"/>
      <c r="D261" s="2"/>
      <c r="E261" s="15"/>
      <c r="F261" s="2"/>
      <c r="G261" s="2"/>
      <c r="H261" s="2"/>
      <c r="I261" s="2"/>
    </row>
    <row r="262" spans="1:9">
      <c r="A262" s="2"/>
      <c r="B262" s="2"/>
      <c r="C262" s="2"/>
      <c r="D262" s="2"/>
      <c r="E262" s="15"/>
      <c r="F262" s="2"/>
      <c r="G262" s="2"/>
      <c r="H262" s="2"/>
      <c r="I262" s="2"/>
    </row>
    <row r="263" spans="1:9">
      <c r="A263" s="2"/>
      <c r="B263" s="2"/>
      <c r="C263" s="2"/>
      <c r="D263" s="2"/>
      <c r="E263" s="15"/>
      <c r="F263" s="2"/>
      <c r="G263" s="2"/>
      <c r="H263" s="2"/>
      <c r="I263" s="2"/>
    </row>
    <row r="264" spans="1:9">
      <c r="A264" s="2"/>
      <c r="B264" s="2"/>
      <c r="C264" s="2"/>
      <c r="D264" s="2"/>
      <c r="E264" s="15"/>
      <c r="F264" s="2"/>
      <c r="G264" s="2"/>
      <c r="H264" s="2"/>
      <c r="I264" s="2"/>
    </row>
    <row r="265" spans="1:9">
      <c r="A265" s="2"/>
      <c r="B265" s="2"/>
      <c r="C265" s="2"/>
      <c r="D265" s="2"/>
      <c r="E265" s="15"/>
      <c r="F265" s="2"/>
      <c r="G265" s="2"/>
      <c r="H265" s="2"/>
      <c r="I265" s="2"/>
    </row>
    <row r="266" spans="1:9">
      <c r="A266" s="2"/>
      <c r="B266" s="2"/>
      <c r="C266" s="2"/>
      <c r="D266" s="2"/>
      <c r="E266" s="15"/>
      <c r="F266" s="2"/>
      <c r="G266" s="2"/>
      <c r="H266" s="2"/>
      <c r="I266" s="2"/>
    </row>
    <row r="267" spans="1:9">
      <c r="A267" s="2"/>
      <c r="B267" s="2"/>
      <c r="C267" s="2"/>
      <c r="D267" s="2"/>
      <c r="E267" s="15"/>
      <c r="F267" s="2"/>
      <c r="G267" s="2"/>
      <c r="H267" s="2"/>
      <c r="I267" s="2"/>
    </row>
    <row r="268" spans="1:9">
      <c r="A268" s="2"/>
      <c r="B268" s="2"/>
      <c r="C268" s="2"/>
      <c r="D268" s="2"/>
      <c r="E268" s="15"/>
      <c r="F268" s="2"/>
      <c r="G268" s="2"/>
      <c r="H268" s="2"/>
      <c r="I268" s="2"/>
    </row>
    <row r="269" spans="1:9">
      <c r="A269" s="2"/>
      <c r="B269" s="2"/>
      <c r="C269" s="2"/>
      <c r="D269" s="2"/>
      <c r="E269" s="15"/>
      <c r="F269" s="2"/>
      <c r="G269" s="2"/>
      <c r="H269" s="2"/>
      <c r="I269" s="2"/>
    </row>
    <row r="270" spans="1:9">
      <c r="A270" s="2"/>
      <c r="B270" s="2"/>
      <c r="C270" s="2"/>
      <c r="D270" s="2"/>
      <c r="E270" s="15"/>
      <c r="F270" s="2"/>
      <c r="G270" s="2"/>
      <c r="H270" s="2"/>
      <c r="I270" s="2"/>
    </row>
    <row r="271" spans="1:9">
      <c r="A271" s="2"/>
      <c r="B271" s="2"/>
      <c r="C271" s="2"/>
      <c r="D271" s="2"/>
      <c r="E271" s="15"/>
      <c r="F271" s="2"/>
      <c r="G271" s="2"/>
      <c r="H271" s="2"/>
      <c r="I271" s="2"/>
    </row>
    <row r="272" spans="1:9">
      <c r="A272" s="2"/>
      <c r="B272" s="2"/>
      <c r="C272" s="2"/>
      <c r="D272" s="2"/>
      <c r="E272" s="15"/>
      <c r="F272" s="2"/>
      <c r="G272" s="2"/>
      <c r="H272" s="2"/>
      <c r="I272" s="2"/>
    </row>
    <row r="273" spans="1:9">
      <c r="A273" s="2"/>
      <c r="B273" s="2"/>
      <c r="C273" s="2"/>
      <c r="D273" s="2"/>
      <c r="E273" s="15"/>
      <c r="F273" s="2"/>
      <c r="G273" s="2"/>
      <c r="H273" s="2"/>
      <c r="I273" s="2"/>
    </row>
    <row r="274" spans="1:9">
      <c r="A274" s="2"/>
      <c r="B274" s="2"/>
      <c r="C274" s="2"/>
      <c r="D274" s="2"/>
      <c r="E274" s="15"/>
      <c r="F274" s="2"/>
      <c r="G274" s="2"/>
      <c r="H274" s="2"/>
      <c r="I274" s="2"/>
    </row>
    <row r="275" spans="1:9">
      <c r="A275" s="2"/>
      <c r="B275" s="2"/>
      <c r="C275" s="2"/>
      <c r="D275" s="2"/>
      <c r="E275" s="15"/>
      <c r="F275" s="2"/>
      <c r="G275" s="2"/>
      <c r="H275" s="2"/>
      <c r="I275" s="2"/>
    </row>
    <row r="276" spans="1:9">
      <c r="A276" s="2"/>
      <c r="B276" s="2"/>
      <c r="C276" s="2"/>
      <c r="D276" s="2"/>
      <c r="E276" s="15"/>
      <c r="F276" s="2"/>
      <c r="G276" s="2"/>
      <c r="H276" s="2"/>
      <c r="I276" s="2"/>
    </row>
    <row r="277" spans="1:9">
      <c r="A277" s="2"/>
      <c r="B277" s="2"/>
      <c r="C277" s="2"/>
      <c r="D277" s="2"/>
      <c r="E277" s="15"/>
      <c r="F277" s="2"/>
      <c r="G277" s="2"/>
      <c r="H277" s="2"/>
      <c r="I277" s="2"/>
    </row>
    <row r="278" spans="1:9">
      <c r="A278" s="2"/>
      <c r="B278" s="2"/>
      <c r="C278" s="2"/>
      <c r="D278" s="2"/>
      <c r="E278" s="15"/>
      <c r="F278" s="2"/>
      <c r="G278" s="2"/>
      <c r="H278" s="2"/>
      <c r="I278" s="2"/>
    </row>
    <row r="279" spans="1:9">
      <c r="A279" s="2"/>
      <c r="B279" s="2"/>
      <c r="C279" s="2"/>
      <c r="D279" s="2"/>
      <c r="E279" s="15"/>
      <c r="F279" s="2"/>
      <c r="G279" s="2"/>
      <c r="H279" s="2"/>
      <c r="I279" s="2"/>
    </row>
    <row r="280" spans="1:9">
      <c r="A280" s="2"/>
      <c r="B280" s="2"/>
      <c r="C280" s="2"/>
      <c r="D280" s="2"/>
      <c r="E280" s="15"/>
      <c r="F280" s="2"/>
      <c r="G280" s="2"/>
      <c r="H280" s="2"/>
      <c r="I280" s="2"/>
    </row>
    <row r="281" spans="1:9">
      <c r="A281" s="2"/>
      <c r="B281" s="2"/>
      <c r="C281" s="2"/>
      <c r="D281" s="2"/>
      <c r="E281" s="15"/>
      <c r="F281" s="2"/>
      <c r="G281" s="2"/>
      <c r="H281" s="2"/>
      <c r="I281" s="2"/>
    </row>
    <row r="282" spans="1:9">
      <c r="A282" s="2"/>
      <c r="B282" s="2"/>
      <c r="C282" s="2"/>
      <c r="D282" s="2"/>
      <c r="E282" s="15"/>
      <c r="F282" s="2"/>
      <c r="G282" s="2"/>
      <c r="H282" s="2"/>
      <c r="I282" s="2"/>
    </row>
    <row r="283" spans="1:9">
      <c r="A283" s="2"/>
      <c r="B283" s="2"/>
      <c r="C283" s="2"/>
      <c r="D283" s="2"/>
      <c r="E283" s="15"/>
      <c r="F283" s="2"/>
      <c r="G283" s="2"/>
      <c r="H283" s="2"/>
      <c r="I283" s="2"/>
    </row>
    <row r="284" spans="1:9">
      <c r="A284" s="2"/>
      <c r="B284" s="2"/>
      <c r="C284" s="2"/>
      <c r="D284" s="2"/>
      <c r="E284" s="15"/>
      <c r="F284" s="2"/>
      <c r="G284" s="2"/>
      <c r="H284" s="2"/>
      <c r="I284" s="2"/>
    </row>
    <row r="285" spans="1:9">
      <c r="A285" s="2"/>
      <c r="B285" s="2"/>
      <c r="C285" s="2"/>
      <c r="D285" s="2"/>
      <c r="E285" s="15"/>
      <c r="F285" s="2"/>
      <c r="G285" s="2"/>
      <c r="H285" s="2"/>
      <c r="I285" s="2"/>
    </row>
    <row r="286" spans="1:9">
      <c r="A286" s="2"/>
      <c r="B286" s="2"/>
      <c r="C286" s="2"/>
      <c r="D286" s="2"/>
      <c r="E286" s="15"/>
      <c r="F286" s="2"/>
      <c r="G286" s="2"/>
      <c r="H286" s="2"/>
      <c r="I286" s="2"/>
    </row>
    <row r="287" spans="1:9">
      <c r="A287" s="2"/>
      <c r="B287" s="2"/>
      <c r="C287" s="2"/>
      <c r="D287" s="2"/>
      <c r="E287" s="15"/>
      <c r="F287" s="2"/>
      <c r="G287" s="2"/>
      <c r="H287" s="2"/>
      <c r="I287" s="2"/>
    </row>
    <row r="288" spans="1:9">
      <c r="A288" s="2"/>
      <c r="B288" s="2"/>
      <c r="C288" s="2"/>
      <c r="D288" s="2"/>
      <c r="E288" s="15"/>
      <c r="F288" s="2"/>
      <c r="G288" s="2"/>
      <c r="H288" s="2"/>
      <c r="I288" s="2"/>
    </row>
    <row r="289" spans="1:9">
      <c r="A289" s="2"/>
      <c r="B289" s="2"/>
      <c r="C289" s="2"/>
      <c r="D289" s="2"/>
      <c r="E289" s="15"/>
      <c r="F289" s="2"/>
      <c r="G289" s="2"/>
      <c r="H289" s="2"/>
      <c r="I289" s="2"/>
    </row>
    <row r="290" spans="1:9">
      <c r="A290" s="2"/>
      <c r="B290" s="2"/>
      <c r="C290" s="2"/>
      <c r="D290" s="2"/>
      <c r="E290" s="15"/>
      <c r="F290" s="2"/>
      <c r="G290" s="2"/>
      <c r="H290" s="2"/>
      <c r="I290" s="2"/>
    </row>
    <row r="291" spans="1:9">
      <c r="A291" s="2"/>
      <c r="B291" s="2"/>
      <c r="C291" s="2"/>
      <c r="D291" s="2"/>
      <c r="E291" s="15"/>
      <c r="F291" s="2"/>
      <c r="G291" s="2"/>
      <c r="H291" s="2"/>
      <c r="I291" s="2"/>
    </row>
    <row r="292" spans="1:9">
      <c r="A292" s="2"/>
      <c r="B292" s="2"/>
      <c r="C292" s="2"/>
      <c r="D292" s="2"/>
      <c r="E292" s="15"/>
      <c r="F292" s="2"/>
      <c r="G292" s="2"/>
      <c r="H292" s="2"/>
      <c r="I292" s="2"/>
    </row>
    <row r="293" spans="1:9">
      <c r="A293" s="2"/>
      <c r="B293" s="2"/>
      <c r="C293" s="2"/>
      <c r="D293" s="2"/>
      <c r="E293" s="15"/>
      <c r="F293" s="2"/>
      <c r="G293" s="2"/>
      <c r="H293" s="2"/>
      <c r="I293" s="2"/>
    </row>
    <row r="294" spans="1:9">
      <c r="A294" s="2"/>
      <c r="B294" s="2"/>
      <c r="C294" s="2"/>
      <c r="D294" s="2"/>
      <c r="E294" s="15"/>
      <c r="F294" s="2"/>
      <c r="G294" s="2"/>
      <c r="H294" s="2"/>
      <c r="I294" s="2"/>
    </row>
    <row r="295" spans="1:9">
      <c r="A295" s="2"/>
      <c r="B295" s="2"/>
      <c r="C295" s="2"/>
      <c r="D295" s="2"/>
      <c r="E295" s="15"/>
      <c r="F295" s="2"/>
      <c r="G295" s="2"/>
      <c r="H295" s="2"/>
      <c r="I295" s="2"/>
    </row>
    <row r="296" spans="1:9">
      <c r="A296" s="2"/>
      <c r="B296" s="2"/>
      <c r="C296" s="2"/>
      <c r="D296" s="2"/>
      <c r="E296" s="15"/>
      <c r="F296" s="2"/>
      <c r="G296" s="2"/>
      <c r="H296" s="2"/>
      <c r="I296" s="2"/>
    </row>
    <row r="297" spans="1:9">
      <c r="A297" s="2"/>
      <c r="B297" s="2"/>
      <c r="C297" s="2"/>
      <c r="D297" s="2"/>
      <c r="E297" s="15"/>
      <c r="F297" s="2"/>
      <c r="G297" s="2"/>
      <c r="H297" s="2"/>
      <c r="I297" s="2"/>
    </row>
    <row r="298" spans="1:9">
      <c r="A298" s="2"/>
      <c r="B298" s="2"/>
      <c r="C298" s="2"/>
      <c r="D298" s="2"/>
      <c r="E298" s="15"/>
      <c r="F298" s="2"/>
      <c r="G298" s="2"/>
      <c r="H298" s="2"/>
      <c r="I298" s="2"/>
    </row>
    <row r="299" spans="1:9">
      <c r="A299" s="2"/>
      <c r="B299" s="2"/>
      <c r="C299" s="2"/>
      <c r="D299" s="2"/>
      <c r="E299" s="15"/>
      <c r="F299" s="2"/>
      <c r="G299" s="2"/>
      <c r="H299" s="2"/>
      <c r="I299" s="2"/>
    </row>
    <row r="300" spans="1:9">
      <c r="A300" s="2"/>
      <c r="B300" s="2"/>
      <c r="C300" s="2"/>
      <c r="D300" s="2"/>
      <c r="E300" s="15"/>
      <c r="F300" s="2"/>
      <c r="G300" s="2"/>
      <c r="H300" s="2"/>
      <c r="I300" s="2"/>
    </row>
    <row r="301" spans="1:9">
      <c r="A301" s="2"/>
      <c r="B301" s="2"/>
      <c r="C301" s="2"/>
      <c r="D301" s="2"/>
      <c r="E301" s="15"/>
      <c r="F301" s="2"/>
      <c r="G301" s="2"/>
      <c r="H301" s="2"/>
      <c r="I301" s="2"/>
    </row>
    <row r="302" spans="1:9">
      <c r="A302" s="2"/>
      <c r="B302" s="2"/>
      <c r="C302" s="2"/>
      <c r="D302" s="2"/>
      <c r="E302" s="15"/>
      <c r="F302" s="2"/>
      <c r="G302" s="2"/>
      <c r="H302" s="2"/>
      <c r="I302" s="2"/>
    </row>
    <row r="303" spans="1:9">
      <c r="A303" s="2"/>
      <c r="B303" s="2"/>
      <c r="C303" s="2"/>
      <c r="D303" s="2"/>
      <c r="E303" s="15"/>
      <c r="F303" s="2"/>
      <c r="G303" s="2"/>
      <c r="H303" s="2"/>
      <c r="I303" s="2"/>
    </row>
    <row r="304" spans="1:9">
      <c r="A304" s="2"/>
      <c r="B304" s="2"/>
      <c r="C304" s="2"/>
      <c r="D304" s="2"/>
      <c r="E304" s="15"/>
      <c r="F304" s="2"/>
      <c r="G304" s="2"/>
      <c r="H304" s="2"/>
      <c r="I304" s="2"/>
    </row>
    <row r="305" spans="1:9">
      <c r="A305" s="2"/>
      <c r="B305" s="2"/>
      <c r="C305" s="2"/>
      <c r="D305" s="2"/>
      <c r="E305" s="15"/>
      <c r="F305" s="2"/>
      <c r="G305" s="2"/>
      <c r="H305" s="2"/>
      <c r="I305" s="2"/>
    </row>
    <row r="306" spans="1:9">
      <c r="A306" s="2"/>
      <c r="B306" s="2"/>
      <c r="C306" s="2"/>
      <c r="D306" s="2"/>
      <c r="E306" s="15"/>
      <c r="F306" s="2"/>
      <c r="G306" s="2"/>
      <c r="H306" s="2"/>
      <c r="I306" s="2"/>
    </row>
    <row r="307" spans="1:9">
      <c r="A307" s="2"/>
      <c r="B307" s="2"/>
      <c r="C307" s="2"/>
      <c r="D307" s="2"/>
      <c r="E307" s="15"/>
      <c r="F307" s="2"/>
      <c r="G307" s="2"/>
      <c r="H307" s="2"/>
      <c r="I307" s="2"/>
    </row>
    <row r="308" spans="1:9">
      <c r="A308" s="2"/>
      <c r="B308" s="2"/>
      <c r="C308" s="2"/>
      <c r="D308" s="2"/>
      <c r="E308" s="15"/>
      <c r="F308" s="2"/>
      <c r="G308" s="2"/>
      <c r="H308" s="2"/>
      <c r="I308" s="2"/>
    </row>
    <row r="309" spans="1:9">
      <c r="A309" s="2"/>
      <c r="B309" s="2"/>
      <c r="C309" s="2"/>
      <c r="D309" s="2"/>
      <c r="E309" s="15"/>
      <c r="F309" s="2"/>
      <c r="G309" s="2"/>
      <c r="H309" s="2"/>
      <c r="I309" s="2"/>
    </row>
    <row r="310" spans="1:9">
      <c r="A310" s="2"/>
      <c r="B310" s="2"/>
      <c r="C310" s="2"/>
      <c r="D310" s="2"/>
      <c r="E310" s="15"/>
      <c r="F310" s="2"/>
      <c r="G310" s="2"/>
      <c r="H310" s="2"/>
      <c r="I310" s="2"/>
    </row>
    <row r="311" spans="1:9">
      <c r="A311" s="2"/>
      <c r="B311" s="2"/>
      <c r="C311" s="2"/>
      <c r="D311" s="2"/>
      <c r="E311" s="15"/>
      <c r="F311" s="2"/>
      <c r="G311" s="2"/>
      <c r="H311" s="2"/>
      <c r="I311" s="2"/>
    </row>
    <row r="312" spans="1:9">
      <c r="A312" s="2"/>
      <c r="B312" s="2"/>
      <c r="C312" s="2"/>
      <c r="D312" s="2"/>
      <c r="E312" s="15"/>
      <c r="F312" s="2"/>
      <c r="G312" s="2"/>
      <c r="H312" s="2"/>
      <c r="I312" s="2"/>
    </row>
    <row r="313" spans="1:9">
      <c r="A313" s="2"/>
      <c r="B313" s="2"/>
      <c r="C313" s="2"/>
      <c r="D313" s="2"/>
      <c r="E313" s="15"/>
      <c r="F313" s="2"/>
      <c r="G313" s="2"/>
      <c r="H313" s="2"/>
      <c r="I313" s="2"/>
    </row>
    <row r="314" spans="1:9">
      <c r="A314" s="2"/>
      <c r="B314" s="2"/>
      <c r="C314" s="2"/>
      <c r="D314" s="2"/>
      <c r="E314" s="15"/>
      <c r="F314" s="2"/>
      <c r="G314" s="2"/>
      <c r="H314" s="2"/>
      <c r="I314" s="2"/>
    </row>
    <row r="315" spans="1:9">
      <c r="A315" s="2"/>
      <c r="B315" s="2"/>
      <c r="C315" s="2"/>
      <c r="D315" s="2"/>
      <c r="E315" s="15"/>
      <c r="F315" s="2"/>
      <c r="G315" s="2"/>
      <c r="H315" s="2"/>
      <c r="I315" s="2"/>
    </row>
    <row r="316" spans="1:9">
      <c r="A316" s="2"/>
      <c r="B316" s="2"/>
      <c r="C316" s="2"/>
      <c r="D316" s="2"/>
      <c r="E316" s="15"/>
      <c r="F316" s="2"/>
      <c r="G316" s="2"/>
      <c r="H316" s="2"/>
      <c r="I316" s="2"/>
    </row>
    <row r="317" spans="1:9">
      <c r="A317" s="2"/>
      <c r="B317" s="2"/>
      <c r="C317" s="2"/>
      <c r="D317" s="2"/>
      <c r="E317" s="15"/>
      <c r="F317" s="2"/>
      <c r="G317" s="2"/>
      <c r="H317" s="2"/>
      <c r="I317" s="2"/>
    </row>
    <row r="318" spans="1:9">
      <c r="A318" s="2"/>
      <c r="B318" s="2"/>
      <c r="C318" s="2"/>
      <c r="D318" s="2"/>
      <c r="E318" s="15"/>
      <c r="F318" s="2"/>
      <c r="G318" s="2"/>
      <c r="H318" s="2"/>
      <c r="I318" s="2"/>
    </row>
    <row r="319" spans="1:9">
      <c r="A319" s="2"/>
      <c r="B319" s="2"/>
      <c r="C319" s="2"/>
      <c r="D319" s="2"/>
      <c r="E319" s="15"/>
      <c r="F319" s="2"/>
      <c r="G319" s="2"/>
      <c r="H319" s="2"/>
      <c r="I319" s="2"/>
    </row>
    <row r="320" spans="1:9">
      <c r="A320" s="2"/>
      <c r="B320" s="2"/>
      <c r="C320" s="2"/>
      <c r="D320" s="2"/>
      <c r="E320" s="15"/>
      <c r="F320" s="2"/>
      <c r="G320" s="2"/>
      <c r="H320" s="2"/>
      <c r="I320" s="2"/>
    </row>
    <row r="321" spans="1:9">
      <c r="A321" s="2"/>
      <c r="B321" s="2"/>
      <c r="C321" s="2"/>
      <c r="D321" s="2"/>
      <c r="E321" s="15"/>
      <c r="F321" s="2"/>
      <c r="G321" s="2"/>
      <c r="H321" s="2"/>
      <c r="I321" s="2"/>
    </row>
    <row r="322" spans="1:9">
      <c r="A322" s="2"/>
      <c r="B322" s="2"/>
      <c r="C322" s="2"/>
      <c r="D322" s="2"/>
      <c r="E322" s="15"/>
      <c r="F322" s="2"/>
      <c r="G322" s="2"/>
      <c r="H322" s="2"/>
      <c r="I322" s="2"/>
    </row>
    <row r="323" spans="1:9">
      <c r="A323" s="2"/>
      <c r="B323" s="2"/>
      <c r="C323" s="2"/>
      <c r="D323" s="2"/>
      <c r="E323" s="15"/>
      <c r="F323" s="2"/>
      <c r="G323" s="2"/>
      <c r="H323" s="2"/>
      <c r="I323" s="2"/>
    </row>
    <row r="324" spans="1:9">
      <c r="A324" s="2"/>
      <c r="B324" s="2"/>
      <c r="C324" s="2"/>
      <c r="D324" s="2"/>
      <c r="E324" s="15"/>
      <c r="F324" s="2"/>
      <c r="G324" s="2"/>
      <c r="H324" s="2"/>
      <c r="I324" s="2"/>
    </row>
    <row r="325" spans="1:9">
      <c r="A325" s="2"/>
      <c r="B325" s="2"/>
      <c r="C325" s="2"/>
      <c r="D325" s="2"/>
      <c r="E325" s="15"/>
      <c r="F325" s="2"/>
      <c r="G325" s="2"/>
      <c r="H325" s="2"/>
      <c r="I325" s="2"/>
    </row>
    <row r="326" spans="1:9">
      <c r="A326" s="2"/>
      <c r="B326" s="2"/>
      <c r="C326" s="2"/>
      <c r="D326" s="2"/>
      <c r="E326" s="15"/>
      <c r="F326" s="2"/>
      <c r="G326" s="2"/>
      <c r="H326" s="2"/>
      <c r="I326" s="2"/>
    </row>
    <row r="327" spans="1:9">
      <c r="A327" s="2"/>
      <c r="B327" s="2"/>
      <c r="C327" s="2"/>
      <c r="D327" s="2"/>
      <c r="E327" s="15"/>
      <c r="F327" s="2"/>
      <c r="G327" s="2"/>
      <c r="H327" s="2"/>
      <c r="I327" s="2"/>
    </row>
    <row r="328" spans="1:9">
      <c r="A328" s="2"/>
      <c r="B328" s="2"/>
      <c r="C328" s="2"/>
      <c r="D328" s="2"/>
      <c r="E328" s="15"/>
      <c r="F328" s="2"/>
      <c r="G328" s="2"/>
      <c r="H328" s="2"/>
      <c r="I328" s="2"/>
    </row>
    <row r="329" spans="1:9">
      <c r="A329" s="2"/>
      <c r="B329" s="2"/>
      <c r="C329" s="2"/>
      <c r="D329" s="2"/>
      <c r="E329" s="15"/>
      <c r="F329" s="2"/>
      <c r="G329" s="2"/>
      <c r="H329" s="2"/>
      <c r="I329" s="2"/>
    </row>
    <row r="330" spans="1:9">
      <c r="A330" s="2"/>
      <c r="B330" s="2"/>
      <c r="C330" s="2"/>
      <c r="D330" s="2"/>
      <c r="E330" s="15"/>
      <c r="F330" s="2"/>
      <c r="G330" s="2"/>
      <c r="H330" s="2"/>
      <c r="I330" s="2"/>
    </row>
    <row r="331" spans="1:9">
      <c r="A331" s="2"/>
      <c r="B331" s="2"/>
      <c r="C331" s="2"/>
      <c r="D331" s="2"/>
      <c r="E331" s="15"/>
      <c r="F331" s="2"/>
      <c r="G331" s="2"/>
      <c r="H331" s="2"/>
      <c r="I331" s="2"/>
    </row>
    <row r="332" spans="1:9">
      <c r="A332" s="2"/>
      <c r="B332" s="2"/>
      <c r="C332" s="2"/>
      <c r="D332" s="2"/>
      <c r="E332" s="15"/>
      <c r="F332" s="2"/>
      <c r="G332" s="2"/>
      <c r="H332" s="2"/>
      <c r="I332" s="2"/>
    </row>
    <row r="333" spans="1:9">
      <c r="A333" s="2"/>
      <c r="B333" s="2"/>
      <c r="C333" s="2"/>
      <c r="D333" s="2"/>
      <c r="E333" s="15"/>
      <c r="F333" s="2"/>
      <c r="G333" s="2"/>
      <c r="H333" s="2"/>
      <c r="I333" s="2"/>
    </row>
    <row r="334" spans="1:9">
      <c r="A334" s="2"/>
      <c r="B334" s="2"/>
      <c r="C334" s="2"/>
      <c r="D334" s="2"/>
      <c r="E334" s="15"/>
      <c r="F334" s="2"/>
      <c r="G334" s="2"/>
      <c r="H334" s="2"/>
      <c r="I334" s="2"/>
    </row>
    <row r="335" spans="1:9">
      <c r="A335" s="2"/>
      <c r="B335" s="2"/>
      <c r="C335" s="2"/>
      <c r="D335" s="2"/>
      <c r="E335" s="15"/>
      <c r="F335" s="2"/>
      <c r="G335" s="2"/>
      <c r="H335" s="2"/>
      <c r="I335" s="2"/>
    </row>
    <row r="336" spans="1:9">
      <c r="A336" s="2"/>
      <c r="B336" s="2"/>
      <c r="C336" s="2"/>
      <c r="D336" s="2"/>
      <c r="E336" s="15"/>
      <c r="F336" s="2"/>
      <c r="G336" s="2"/>
      <c r="H336" s="2"/>
      <c r="I336" s="2"/>
    </row>
    <row r="337" spans="1:9">
      <c r="A337" s="2"/>
      <c r="B337" s="2"/>
      <c r="C337" s="2"/>
      <c r="D337" s="2"/>
      <c r="E337" s="15"/>
      <c r="F337" s="2"/>
      <c r="G337" s="2"/>
      <c r="H337" s="2"/>
      <c r="I337" s="2"/>
    </row>
    <row r="338" spans="1:9">
      <c r="A338" s="2"/>
      <c r="B338" s="2"/>
      <c r="C338" s="2"/>
      <c r="D338" s="2"/>
      <c r="E338" s="15"/>
      <c r="F338" s="2"/>
      <c r="G338" s="2"/>
      <c r="H338" s="2"/>
      <c r="I338" s="2"/>
    </row>
    <row r="339" spans="1:9">
      <c r="A339" s="2"/>
      <c r="B339" s="2"/>
      <c r="C339" s="2"/>
      <c r="D339" s="2"/>
      <c r="E339" s="15"/>
      <c r="F339" s="2"/>
      <c r="G339" s="2"/>
      <c r="H339" s="2"/>
      <c r="I339" s="2"/>
    </row>
    <row r="340" spans="1:9">
      <c r="A340" s="2"/>
      <c r="B340" s="2"/>
      <c r="C340" s="2"/>
      <c r="D340" s="2"/>
      <c r="E340" s="15"/>
      <c r="F340" s="2"/>
      <c r="G340" s="2"/>
      <c r="H340" s="2"/>
      <c r="I340" s="2"/>
    </row>
    <row r="341" spans="1:9">
      <c r="A341" s="2"/>
      <c r="B341" s="2"/>
      <c r="C341" s="2"/>
      <c r="D341" s="2"/>
      <c r="E341" s="15"/>
      <c r="F341" s="2"/>
      <c r="G341" s="2"/>
      <c r="H341" s="2"/>
      <c r="I341" s="2"/>
    </row>
    <row r="342" spans="1:9">
      <c r="A342" s="2"/>
      <c r="B342" s="2"/>
      <c r="C342" s="2"/>
      <c r="D342" s="2"/>
      <c r="E342" s="15"/>
      <c r="F342" s="2"/>
      <c r="G342" s="2"/>
      <c r="H342" s="2"/>
      <c r="I342" s="2"/>
    </row>
    <row r="343" spans="1:9">
      <c r="A343" s="2"/>
      <c r="B343" s="2"/>
      <c r="C343" s="2"/>
      <c r="D343" s="2"/>
      <c r="E343" s="15"/>
      <c r="F343" s="2"/>
      <c r="G343" s="2"/>
      <c r="H343" s="2"/>
      <c r="I343" s="2"/>
    </row>
    <row r="344" spans="1:9">
      <c r="A344" s="2"/>
      <c r="B344" s="2"/>
      <c r="C344" s="2"/>
      <c r="D344" s="2"/>
      <c r="E344" s="15"/>
      <c r="F344" s="2"/>
      <c r="G344" s="2"/>
      <c r="H344" s="2"/>
      <c r="I344" s="2"/>
    </row>
    <row r="345" spans="1:9">
      <c r="A345" s="2"/>
      <c r="B345" s="2"/>
      <c r="C345" s="2"/>
      <c r="D345" s="2"/>
      <c r="E345" s="15"/>
      <c r="F345" s="2"/>
      <c r="G345" s="2"/>
      <c r="H345" s="2"/>
      <c r="I345" s="2"/>
    </row>
    <row r="346" spans="1:9">
      <c r="A346" s="2"/>
      <c r="B346" s="2"/>
      <c r="C346" s="2"/>
      <c r="D346" s="2"/>
      <c r="E346" s="15"/>
      <c r="F346" s="2"/>
      <c r="G346" s="2"/>
      <c r="H346" s="2"/>
      <c r="I346" s="2"/>
    </row>
    <row r="347" spans="1:9">
      <c r="A347" s="2"/>
      <c r="B347" s="2"/>
      <c r="C347" s="2"/>
      <c r="D347" s="2"/>
      <c r="E347" s="15"/>
      <c r="F347" s="2"/>
      <c r="G347" s="2"/>
      <c r="H347" s="2"/>
      <c r="I347" s="2"/>
    </row>
    <row r="348" spans="1:9">
      <c r="A348" s="2"/>
      <c r="B348" s="2"/>
      <c r="C348" s="2"/>
      <c r="D348" s="2"/>
      <c r="E348" s="15"/>
      <c r="F348" s="2"/>
      <c r="G348" s="2"/>
      <c r="H348" s="2"/>
      <c r="I348" s="2"/>
    </row>
    <row r="349" spans="1:9">
      <c r="A349" s="2"/>
      <c r="B349" s="2"/>
      <c r="C349" s="2"/>
      <c r="D349" s="2"/>
      <c r="E349" s="15"/>
      <c r="F349" s="2"/>
      <c r="G349" s="2"/>
      <c r="H349" s="2"/>
      <c r="I349" s="2"/>
    </row>
    <row r="350" spans="1:9">
      <c r="A350" s="2"/>
      <c r="B350" s="2"/>
      <c r="C350" s="2"/>
      <c r="D350" s="2"/>
      <c r="E350" s="15"/>
      <c r="F350" s="2"/>
      <c r="G350" s="2"/>
      <c r="H350" s="2"/>
      <c r="I350" s="2"/>
    </row>
    <row r="351" spans="1:9">
      <c r="A351" s="2"/>
      <c r="B351" s="2"/>
      <c r="C351" s="2"/>
      <c r="D351" s="2"/>
      <c r="E351" s="15"/>
      <c r="F351" s="2"/>
      <c r="G351" s="2"/>
      <c r="H351" s="2"/>
      <c r="I351" s="2"/>
    </row>
    <row r="352" spans="1:9">
      <c r="A352" s="2"/>
      <c r="B352" s="2"/>
      <c r="C352" s="2"/>
      <c r="D352" s="2"/>
      <c r="E352" s="15"/>
      <c r="F352" s="2"/>
      <c r="G352" s="2"/>
      <c r="H352" s="2"/>
      <c r="I352" s="2"/>
    </row>
    <row r="353" spans="1:9">
      <c r="A353" s="2"/>
      <c r="B353" s="2"/>
      <c r="C353" s="2"/>
      <c r="D353" s="2"/>
      <c r="E353" s="15"/>
      <c r="F353" s="2"/>
      <c r="G353" s="2"/>
      <c r="H353" s="2"/>
      <c r="I353" s="2"/>
    </row>
    <row r="354" spans="1:9">
      <c r="A354" s="2"/>
      <c r="B354" s="2"/>
      <c r="C354" s="2"/>
      <c r="D354" s="2"/>
      <c r="E354" s="15"/>
      <c r="F354" s="2"/>
      <c r="G354" s="2"/>
      <c r="H354" s="2"/>
      <c r="I354" s="2"/>
    </row>
    <row r="355" spans="1:9">
      <c r="A355" s="2"/>
      <c r="B355" s="2"/>
      <c r="C355" s="2"/>
      <c r="D355" s="2"/>
      <c r="E355" s="15"/>
      <c r="F355" s="2"/>
      <c r="G355" s="2"/>
      <c r="H355" s="2"/>
      <c r="I355" s="2"/>
    </row>
    <row r="356" spans="1:9">
      <c r="A356" s="2"/>
      <c r="B356" s="2"/>
      <c r="C356" s="2"/>
      <c r="D356" s="2"/>
      <c r="E356" s="15"/>
      <c r="F356" s="2"/>
      <c r="G356" s="2"/>
      <c r="H356" s="2"/>
      <c r="I356" s="2"/>
    </row>
    <row r="357" spans="1:9">
      <c r="A357" s="2"/>
      <c r="B357" s="2"/>
      <c r="C357" s="2"/>
      <c r="D357" s="2"/>
      <c r="E357" s="15"/>
      <c r="F357" s="2"/>
      <c r="G357" s="2"/>
      <c r="H357" s="2"/>
      <c r="I357" s="2"/>
    </row>
    <row r="358" spans="1:9">
      <c r="A358" s="2"/>
      <c r="B358" s="2"/>
      <c r="C358" s="2"/>
      <c r="D358" s="2"/>
      <c r="E358" s="15"/>
      <c r="F358" s="2"/>
      <c r="G358" s="2"/>
      <c r="H358" s="2"/>
      <c r="I358" s="2"/>
    </row>
    <row r="359" spans="1:9">
      <c r="A359" s="2"/>
      <c r="B359" s="2"/>
      <c r="C359" s="2"/>
      <c r="D359" s="2"/>
      <c r="E359" s="15"/>
      <c r="F359" s="2"/>
      <c r="G359" s="2"/>
      <c r="H359" s="2"/>
      <c r="I359" s="2"/>
    </row>
    <row r="360" spans="1:9">
      <c r="A360" s="2"/>
      <c r="B360" s="2"/>
      <c r="C360" s="2"/>
      <c r="D360" s="2"/>
      <c r="E360" s="15"/>
      <c r="F360" s="2"/>
      <c r="G360" s="2"/>
      <c r="H360" s="2"/>
      <c r="I360" s="2"/>
    </row>
    <row r="361" spans="1:9">
      <c r="A361" s="2"/>
      <c r="B361" s="2"/>
      <c r="C361" s="2"/>
      <c r="D361" s="2"/>
      <c r="E361" s="15"/>
      <c r="F361" s="2"/>
      <c r="G361" s="2"/>
      <c r="H361" s="2"/>
      <c r="I361" s="2"/>
    </row>
    <row r="362" spans="1:9">
      <c r="A362" s="2"/>
      <c r="B362" s="2"/>
      <c r="C362" s="2"/>
      <c r="D362" s="2"/>
      <c r="E362" s="15"/>
      <c r="F362" s="2"/>
      <c r="G362" s="2"/>
      <c r="H362" s="2"/>
      <c r="I362" s="2"/>
    </row>
    <row r="363" spans="1:9">
      <c r="A363" s="2"/>
      <c r="B363" s="2"/>
      <c r="C363" s="2"/>
      <c r="D363" s="2"/>
      <c r="E363" s="15"/>
      <c r="F363" s="2"/>
      <c r="G363" s="2"/>
      <c r="H363" s="2"/>
      <c r="I363" s="2"/>
    </row>
    <row r="364" spans="1:9">
      <c r="A364" s="2"/>
      <c r="B364" s="2"/>
      <c r="C364" s="2"/>
      <c r="D364" s="2"/>
      <c r="E364" s="15"/>
      <c r="F364" s="2"/>
      <c r="G364" s="2"/>
      <c r="H364" s="2"/>
      <c r="I364" s="2"/>
    </row>
    <row r="365" spans="1:9">
      <c r="A365" s="2"/>
      <c r="B365" s="2"/>
      <c r="C365" s="2"/>
      <c r="D365" s="2"/>
      <c r="E365" s="15"/>
      <c r="F365" s="2"/>
      <c r="G365" s="2"/>
      <c r="H365" s="2"/>
      <c r="I365" s="2"/>
    </row>
    <row r="366" spans="1:9">
      <c r="A366" s="2"/>
      <c r="B366" s="2"/>
      <c r="C366" s="2"/>
      <c r="D366" s="2"/>
      <c r="E366" s="15"/>
      <c r="F366" s="2"/>
      <c r="G366" s="2"/>
      <c r="H366" s="2"/>
      <c r="I366" s="2"/>
    </row>
    <row r="367" spans="1:9">
      <c r="A367" s="2"/>
      <c r="B367" s="2"/>
      <c r="C367" s="2"/>
      <c r="D367" s="2"/>
      <c r="E367" s="15"/>
      <c r="F367" s="2"/>
      <c r="G367" s="2"/>
      <c r="H367" s="2"/>
      <c r="I367" s="2"/>
    </row>
    <row r="368" spans="1:9">
      <c r="A368" s="2"/>
      <c r="B368" s="2"/>
      <c r="C368" s="2"/>
      <c r="D368" s="2"/>
      <c r="E368" s="15"/>
      <c r="F368" s="2"/>
      <c r="G368" s="2"/>
      <c r="H368" s="2"/>
      <c r="I368" s="2"/>
    </row>
    <row r="369" spans="1:9">
      <c r="A369" s="2"/>
      <c r="B369" s="2"/>
      <c r="C369" s="2"/>
      <c r="D369" s="2"/>
      <c r="E369" s="15"/>
      <c r="F369" s="2"/>
      <c r="G369" s="2"/>
      <c r="H369" s="2"/>
      <c r="I369" s="2"/>
    </row>
    <row r="370" spans="1:9">
      <c r="A370" s="2"/>
      <c r="B370" s="2"/>
      <c r="C370" s="2"/>
      <c r="D370" s="2"/>
      <c r="E370" s="15"/>
      <c r="F370" s="2"/>
      <c r="G370" s="2"/>
      <c r="H370" s="2"/>
      <c r="I370" s="2"/>
    </row>
    <row r="371" spans="1:9">
      <c r="A371" s="2"/>
      <c r="B371" s="2"/>
      <c r="C371" s="2"/>
      <c r="D371" s="2"/>
      <c r="E371" s="15"/>
      <c r="F371" s="2"/>
      <c r="G371" s="2"/>
      <c r="H371" s="2"/>
      <c r="I371" s="2"/>
    </row>
    <row r="372" spans="1:9">
      <c r="A372" s="2"/>
      <c r="B372" s="2"/>
      <c r="C372" s="2"/>
      <c r="D372" s="2"/>
      <c r="E372" s="15"/>
      <c r="F372" s="2"/>
      <c r="G372" s="2"/>
      <c r="H372" s="2"/>
      <c r="I372" s="2"/>
    </row>
    <row r="373" spans="1:9">
      <c r="A373" s="2"/>
      <c r="B373" s="2"/>
      <c r="C373" s="2"/>
      <c r="D373" s="2"/>
      <c r="E373" s="15"/>
      <c r="F373" s="2"/>
      <c r="G373" s="2"/>
      <c r="H373" s="2"/>
      <c r="I373" s="2"/>
    </row>
    <row r="374" spans="1:9">
      <c r="A374" s="2"/>
      <c r="B374" s="2"/>
      <c r="C374" s="2"/>
      <c r="D374" s="2"/>
      <c r="E374" s="15"/>
      <c r="F374" s="2"/>
      <c r="G374" s="2"/>
      <c r="H374" s="2"/>
      <c r="I374" s="2"/>
    </row>
    <row r="375" spans="1:9">
      <c r="A375" s="2"/>
      <c r="B375" s="2"/>
      <c r="C375" s="2"/>
      <c r="D375" s="2"/>
      <c r="E375" s="15"/>
      <c r="F375" s="2"/>
      <c r="G375" s="2"/>
      <c r="H375" s="2"/>
      <c r="I375" s="2"/>
    </row>
    <row r="376" spans="1:9">
      <c r="A376" s="2"/>
      <c r="B376" s="2"/>
      <c r="C376" s="2"/>
      <c r="D376" s="2"/>
      <c r="E376" s="15"/>
      <c r="F376" s="2"/>
      <c r="G376" s="2"/>
      <c r="H376" s="2"/>
      <c r="I376" s="2"/>
    </row>
    <row r="377" spans="1:9">
      <c r="A377" s="2"/>
      <c r="B377" s="2"/>
      <c r="C377" s="2"/>
      <c r="D377" s="2"/>
      <c r="E377" s="15"/>
      <c r="F377" s="2"/>
      <c r="G377" s="2"/>
      <c r="H377" s="2"/>
      <c r="I377" s="2"/>
    </row>
    <row r="378" spans="1:9">
      <c r="A378" s="2"/>
      <c r="B378" s="2"/>
      <c r="C378" s="2"/>
      <c r="D378" s="2"/>
      <c r="E378" s="15"/>
      <c r="F378" s="2"/>
      <c r="G378" s="2"/>
      <c r="H378" s="2"/>
      <c r="I378" s="2"/>
    </row>
    <row r="379" spans="1:9">
      <c r="A379" s="2"/>
      <c r="B379" s="2"/>
      <c r="C379" s="2"/>
      <c r="D379" s="2"/>
      <c r="E379" s="15"/>
      <c r="F379" s="2"/>
      <c r="G379" s="2"/>
      <c r="H379" s="2"/>
      <c r="I379" s="2"/>
    </row>
    <row r="380" spans="1:9">
      <c r="A380" s="2"/>
      <c r="B380" s="2"/>
      <c r="C380" s="2"/>
      <c r="D380" s="2"/>
      <c r="E380" s="15"/>
      <c r="F380" s="2"/>
      <c r="G380" s="2"/>
      <c r="H380" s="2"/>
      <c r="I380" s="2"/>
    </row>
    <row r="381" spans="1:9">
      <c r="A381" s="2"/>
      <c r="B381" s="2"/>
      <c r="C381" s="2"/>
      <c r="D381" s="2"/>
      <c r="E381" s="15"/>
      <c r="F381" s="2"/>
      <c r="G381" s="2"/>
      <c r="H381" s="2"/>
      <c r="I381" s="2"/>
    </row>
    <row r="382" spans="1:9">
      <c r="A382" s="2"/>
      <c r="B382" s="2"/>
      <c r="C382" s="2"/>
      <c r="D382" s="2"/>
      <c r="E382" s="15"/>
      <c r="F382" s="2"/>
      <c r="G382" s="2"/>
      <c r="H382" s="2"/>
      <c r="I382" s="2"/>
    </row>
    <row r="383" spans="1:9">
      <c r="A383" s="2"/>
      <c r="B383" s="2"/>
      <c r="C383" s="2"/>
      <c r="D383" s="2"/>
      <c r="E383" s="15"/>
      <c r="F383" s="2"/>
      <c r="G383" s="2"/>
      <c r="H383" s="2"/>
      <c r="I383" s="2"/>
    </row>
    <row r="384" spans="1:9">
      <c r="A384" s="2"/>
      <c r="B384" s="2"/>
      <c r="C384" s="2"/>
      <c r="D384" s="2"/>
      <c r="E384" s="15"/>
      <c r="F384" s="2"/>
      <c r="G384" s="2"/>
      <c r="H384" s="2"/>
      <c r="I384" s="2"/>
    </row>
    <row r="385" spans="1:9">
      <c r="A385" s="2"/>
      <c r="B385" s="2"/>
      <c r="C385" s="2"/>
      <c r="D385" s="2"/>
      <c r="E385" s="15"/>
      <c r="F385" s="2"/>
      <c r="G385" s="2"/>
      <c r="H385" s="2"/>
      <c r="I385" s="2"/>
    </row>
    <row r="386" spans="1:9">
      <c r="A386" s="2"/>
      <c r="B386" s="2"/>
      <c r="C386" s="2"/>
      <c r="D386" s="2"/>
      <c r="E386" s="15"/>
      <c r="F386" s="2"/>
      <c r="G386" s="2"/>
      <c r="H386" s="2"/>
      <c r="I386" s="2"/>
    </row>
    <row r="387" spans="1:9">
      <c r="A387" s="2"/>
      <c r="B387" s="2"/>
      <c r="C387" s="2"/>
      <c r="D387" s="2"/>
      <c r="E387" s="15"/>
      <c r="F387" s="2"/>
      <c r="G387" s="2"/>
      <c r="H387" s="2"/>
      <c r="I387" s="2"/>
    </row>
    <row r="388" spans="1:9">
      <c r="A388" s="2"/>
      <c r="B388" s="2"/>
      <c r="C388" s="2"/>
      <c r="D388" s="2"/>
      <c r="E388" s="15"/>
      <c r="F388" s="2"/>
      <c r="G388" s="2"/>
      <c r="H388" s="2"/>
      <c r="I388" s="2"/>
    </row>
    <row r="389" spans="1:9">
      <c r="A389" s="2"/>
      <c r="B389" s="2"/>
      <c r="C389" s="2"/>
      <c r="D389" s="2"/>
      <c r="E389" s="15"/>
      <c r="F389" s="2"/>
      <c r="G389" s="2"/>
      <c r="H389" s="2"/>
      <c r="I389" s="2"/>
    </row>
    <row r="390" spans="1:9">
      <c r="A390" s="2"/>
      <c r="B390" s="2"/>
      <c r="C390" s="2"/>
      <c r="D390" s="2"/>
      <c r="E390" s="15"/>
      <c r="F390" s="2"/>
      <c r="G390" s="2"/>
      <c r="H390" s="2"/>
      <c r="I390" s="2"/>
    </row>
    <row r="391" spans="1:9">
      <c r="A391" s="2"/>
      <c r="B391" s="2"/>
      <c r="C391" s="2"/>
      <c r="D391" s="2"/>
      <c r="E391" s="15"/>
      <c r="F391" s="2"/>
      <c r="G391" s="2"/>
      <c r="H391" s="2"/>
      <c r="I391" s="2"/>
    </row>
    <row r="392" spans="1:9">
      <c r="A392" s="2"/>
      <c r="B392" s="2"/>
      <c r="C392" s="2"/>
      <c r="D392" s="2"/>
      <c r="E392" s="15"/>
      <c r="F392" s="2"/>
      <c r="G392" s="2"/>
      <c r="H392" s="2"/>
      <c r="I392" s="2"/>
    </row>
    <row r="393" spans="1:9">
      <c r="A393" s="2"/>
      <c r="B393" s="2"/>
      <c r="C393" s="2"/>
      <c r="D393" s="2"/>
      <c r="E393" s="15"/>
      <c r="F393" s="2"/>
      <c r="G393" s="2"/>
      <c r="H393" s="2"/>
      <c r="I393" s="2"/>
    </row>
    <row r="394" spans="1:9">
      <c r="A394" s="2"/>
      <c r="B394" s="2"/>
      <c r="C394" s="2"/>
      <c r="D394" s="2"/>
      <c r="E394" s="15"/>
      <c r="F394" s="2"/>
      <c r="G394" s="2"/>
      <c r="H394" s="2"/>
      <c r="I394" s="2"/>
    </row>
    <row r="395" spans="1:9">
      <c r="A395" s="2"/>
      <c r="B395" s="2"/>
      <c r="C395" s="2"/>
      <c r="D395" s="2"/>
      <c r="E395" s="15"/>
      <c r="F395" s="2"/>
      <c r="G395" s="2"/>
      <c r="H395" s="2"/>
      <c r="I395" s="2"/>
    </row>
    <row r="396" spans="1:9">
      <c r="A396" s="2"/>
      <c r="B396" s="2"/>
      <c r="C396" s="2"/>
      <c r="D396" s="2"/>
      <c r="E396" s="15"/>
      <c r="F396" s="2"/>
      <c r="G396" s="2"/>
      <c r="H396" s="2"/>
      <c r="I396" s="2"/>
    </row>
    <row r="397" spans="1:9">
      <c r="A397" s="2"/>
      <c r="B397" s="2"/>
      <c r="C397" s="2"/>
      <c r="D397" s="2"/>
      <c r="E397" s="15"/>
      <c r="F397" s="2"/>
      <c r="G397" s="2"/>
      <c r="H397" s="2"/>
      <c r="I397" s="2"/>
    </row>
    <row r="398" spans="1:9">
      <c r="A398" s="2"/>
      <c r="B398" s="2"/>
      <c r="C398" s="2"/>
      <c r="D398" s="2"/>
      <c r="E398" s="15"/>
      <c r="F398" s="2"/>
      <c r="G398" s="2"/>
      <c r="H398" s="2"/>
      <c r="I398" s="2"/>
    </row>
    <row r="399" spans="1:9">
      <c r="A399" s="2"/>
      <c r="B399" s="2"/>
      <c r="C399" s="2"/>
      <c r="D399" s="2"/>
      <c r="E399" s="15"/>
      <c r="F399" s="2"/>
      <c r="G399" s="2"/>
      <c r="H399" s="2"/>
      <c r="I399" s="2"/>
    </row>
    <row r="400" spans="1:9">
      <c r="A400" s="2"/>
      <c r="B400" s="2"/>
      <c r="C400" s="2"/>
      <c r="D400" s="2"/>
      <c r="E400" s="15"/>
      <c r="F400" s="2"/>
      <c r="G400" s="2"/>
      <c r="H400" s="2"/>
      <c r="I400" s="2"/>
    </row>
    <row r="401" spans="1:9">
      <c r="A401" s="2"/>
      <c r="B401" s="2"/>
      <c r="C401" s="2"/>
      <c r="D401" s="2"/>
      <c r="E401" s="15"/>
      <c r="F401" s="2"/>
      <c r="G401" s="2"/>
      <c r="H401" s="2"/>
      <c r="I401" s="2"/>
    </row>
    <row r="402" spans="1:9">
      <c r="A402" s="2"/>
      <c r="B402" s="2"/>
      <c r="C402" s="2"/>
      <c r="D402" s="2"/>
      <c r="E402" s="15"/>
      <c r="F402" s="2"/>
      <c r="G402" s="2"/>
      <c r="H402" s="2"/>
      <c r="I402" s="2"/>
    </row>
    <row r="403" spans="1:9">
      <c r="A403" s="2"/>
      <c r="B403" s="2"/>
      <c r="C403" s="2"/>
      <c r="D403" s="2"/>
      <c r="E403" s="15"/>
      <c r="F403" s="2"/>
      <c r="G403" s="2"/>
      <c r="H403" s="2"/>
      <c r="I403" s="2"/>
    </row>
    <row r="404" spans="1:9">
      <c r="A404" s="2"/>
      <c r="B404" s="2"/>
      <c r="C404" s="2"/>
      <c r="D404" s="2"/>
      <c r="E404" s="15"/>
      <c r="F404" s="2"/>
      <c r="G404" s="2"/>
      <c r="H404" s="2"/>
      <c r="I404" s="2"/>
    </row>
    <row r="405" spans="1:9">
      <c r="A405" s="2"/>
      <c r="B405" s="2"/>
      <c r="C405" s="2"/>
      <c r="D405" s="2"/>
      <c r="E405" s="15"/>
      <c r="F405" s="2"/>
      <c r="G405" s="2"/>
      <c r="H405" s="2"/>
      <c r="I405" s="2"/>
    </row>
    <row r="406" spans="1:9">
      <c r="A406" s="2"/>
      <c r="B406" s="2"/>
      <c r="C406" s="2"/>
      <c r="D406" s="2"/>
      <c r="E406" s="15"/>
      <c r="F406" s="2"/>
      <c r="G406" s="2"/>
      <c r="H406" s="2"/>
      <c r="I406" s="2"/>
    </row>
    <row r="407" spans="1:9">
      <c r="A407" s="2"/>
      <c r="B407" s="2"/>
      <c r="C407" s="2"/>
      <c r="D407" s="2"/>
      <c r="E407" s="15"/>
      <c r="F407" s="2"/>
      <c r="G407" s="2"/>
      <c r="H407" s="2"/>
      <c r="I407" s="2"/>
    </row>
    <row r="408" spans="1:9">
      <c r="A408" s="2"/>
      <c r="B408" s="2"/>
      <c r="C408" s="2"/>
      <c r="D408" s="2"/>
      <c r="E408" s="15"/>
      <c r="F408" s="2"/>
      <c r="G408" s="2"/>
      <c r="H408" s="2"/>
      <c r="I408" s="2"/>
    </row>
    <row r="409" spans="1:9">
      <c r="A409" s="2"/>
      <c r="B409" s="2"/>
      <c r="C409" s="2"/>
      <c r="D409" s="2"/>
      <c r="E409" s="15"/>
      <c r="F409" s="2"/>
      <c r="G409" s="2"/>
      <c r="H409" s="2"/>
      <c r="I409" s="2"/>
    </row>
    <row r="410" spans="1:9">
      <c r="A410" s="2"/>
      <c r="B410" s="2"/>
      <c r="C410" s="2"/>
      <c r="D410" s="2"/>
      <c r="E410" s="15"/>
      <c r="F410" s="2"/>
      <c r="G410" s="2"/>
      <c r="H410" s="2"/>
      <c r="I410" s="2"/>
    </row>
    <row r="411" spans="1:9">
      <c r="A411" s="2"/>
      <c r="B411" s="2"/>
      <c r="C411" s="2"/>
      <c r="D411" s="2"/>
      <c r="E411" s="15"/>
      <c r="F411" s="2"/>
      <c r="G411" s="2"/>
      <c r="H411" s="2"/>
      <c r="I411" s="2"/>
    </row>
    <row r="412" spans="1:9">
      <c r="A412" s="2"/>
      <c r="B412" s="2"/>
      <c r="C412" s="2"/>
      <c r="D412" s="2"/>
      <c r="E412" s="15"/>
      <c r="F412" s="2"/>
      <c r="G412" s="2"/>
      <c r="H412" s="2"/>
      <c r="I412" s="2"/>
    </row>
    <row r="413" spans="1:9">
      <c r="A413" s="2"/>
      <c r="B413" s="2"/>
      <c r="C413" s="2"/>
      <c r="D413" s="2"/>
      <c r="E413" s="15"/>
      <c r="F413" s="2"/>
      <c r="G413" s="2"/>
      <c r="H413" s="2"/>
      <c r="I413" s="2"/>
    </row>
    <row r="414" spans="1:9">
      <c r="A414" s="2"/>
      <c r="B414" s="2"/>
      <c r="C414" s="2"/>
      <c r="D414" s="2"/>
      <c r="E414" s="15"/>
      <c r="F414" s="2"/>
      <c r="G414" s="2"/>
      <c r="H414" s="2"/>
      <c r="I414" s="2"/>
    </row>
    <row r="415" spans="1:9">
      <c r="A415" s="2"/>
      <c r="B415" s="2"/>
      <c r="C415" s="2"/>
      <c r="D415" s="2"/>
      <c r="E415" s="15"/>
      <c r="F415" s="2"/>
      <c r="G415" s="2"/>
      <c r="H415" s="2"/>
      <c r="I415" s="2"/>
    </row>
    <row r="416" spans="1:9">
      <c r="A416" s="2"/>
      <c r="B416" s="2"/>
      <c r="C416" s="2"/>
      <c r="D416" s="2"/>
      <c r="E416" s="15"/>
      <c r="F416" s="2"/>
      <c r="G416" s="2"/>
      <c r="H416" s="2"/>
      <c r="I416" s="2"/>
    </row>
    <row r="417" spans="1:9">
      <c r="A417" s="2"/>
      <c r="B417" s="2"/>
      <c r="C417" s="2"/>
      <c r="D417" s="2"/>
      <c r="E417" s="15"/>
      <c r="F417" s="2"/>
      <c r="G417" s="2"/>
      <c r="H417" s="2"/>
      <c r="I417" s="2"/>
    </row>
    <row r="418" spans="1:9">
      <c r="A418" s="2"/>
      <c r="B418" s="2"/>
      <c r="C418" s="2"/>
      <c r="D418" s="2"/>
      <c r="E418" s="15"/>
      <c r="F418" s="2"/>
      <c r="G418" s="2"/>
      <c r="H418" s="2"/>
      <c r="I418" s="2"/>
    </row>
    <row r="419" spans="1:9">
      <c r="A419" s="2"/>
      <c r="B419" s="2"/>
      <c r="C419" s="2"/>
      <c r="D419" s="2"/>
      <c r="E419" s="15"/>
      <c r="F419" s="2"/>
      <c r="G419" s="2"/>
      <c r="H419" s="2"/>
      <c r="I419" s="2"/>
    </row>
    <row r="420" spans="1:9">
      <c r="A420" s="2"/>
      <c r="B420" s="2"/>
      <c r="C420" s="2"/>
      <c r="D420" s="2"/>
      <c r="E420" s="15"/>
      <c r="F420" s="2"/>
      <c r="G420" s="2"/>
      <c r="H420" s="2"/>
      <c r="I420" s="2"/>
    </row>
    <row r="421" spans="1:9">
      <c r="A421" s="2"/>
      <c r="B421" s="2"/>
      <c r="C421" s="2"/>
      <c r="D421" s="2"/>
      <c r="E421" s="15"/>
      <c r="F421" s="2"/>
      <c r="G421" s="2"/>
      <c r="H421" s="2"/>
      <c r="I421" s="2"/>
    </row>
    <row r="422" spans="1:9">
      <c r="A422" s="2"/>
      <c r="B422" s="2"/>
      <c r="C422" s="2"/>
      <c r="D422" s="2"/>
      <c r="E422" s="15"/>
      <c r="F422" s="2"/>
      <c r="G422" s="2"/>
      <c r="H422" s="2"/>
      <c r="I422" s="2"/>
    </row>
    <row r="423" spans="1:9">
      <c r="A423" s="2"/>
      <c r="B423" s="2"/>
      <c r="C423" s="2"/>
      <c r="D423" s="2"/>
      <c r="E423" s="15"/>
      <c r="F423" s="2"/>
      <c r="G423" s="2"/>
      <c r="H423" s="2"/>
      <c r="I423" s="2"/>
    </row>
    <row r="424" spans="1:9">
      <c r="A424" s="2"/>
      <c r="B424" s="2"/>
      <c r="C424" s="2"/>
      <c r="D424" s="2"/>
      <c r="E424" s="15"/>
      <c r="F424" s="2"/>
      <c r="G424" s="2"/>
      <c r="H424" s="2"/>
      <c r="I424" s="2"/>
    </row>
    <row r="425" spans="1:9">
      <c r="A425" s="2"/>
      <c r="B425" s="2"/>
      <c r="C425" s="2"/>
      <c r="D425" s="2"/>
      <c r="E425" s="15"/>
      <c r="F425" s="2"/>
      <c r="G425" s="2"/>
      <c r="H425" s="2"/>
      <c r="I425" s="2"/>
    </row>
    <row r="426" spans="1:9">
      <c r="A426" s="2"/>
      <c r="B426" s="2"/>
      <c r="C426" s="2"/>
      <c r="D426" s="2"/>
      <c r="E426" s="15"/>
      <c r="F426" s="2"/>
      <c r="G426" s="2"/>
      <c r="H426" s="2"/>
      <c r="I426" s="2"/>
    </row>
    <row r="427" spans="1:9">
      <c r="A427" s="2"/>
      <c r="B427" s="2"/>
      <c r="C427" s="2"/>
      <c r="D427" s="2"/>
      <c r="E427" s="15"/>
      <c r="F427" s="2"/>
      <c r="G427" s="2"/>
      <c r="H427" s="2"/>
      <c r="I427" s="2"/>
    </row>
    <row r="428" spans="1:9">
      <c r="A428" s="2"/>
      <c r="B428" s="2"/>
      <c r="C428" s="2"/>
      <c r="D428" s="2"/>
      <c r="E428" s="15"/>
      <c r="F428" s="2"/>
      <c r="G428" s="2"/>
      <c r="H428" s="2"/>
      <c r="I428" s="2"/>
    </row>
    <row r="429" spans="1:9">
      <c r="A429" s="2"/>
      <c r="B429" s="2"/>
      <c r="C429" s="2"/>
      <c r="D429" s="2"/>
      <c r="E429" s="15"/>
      <c r="F429" s="2"/>
      <c r="G429" s="2"/>
      <c r="H429" s="2"/>
      <c r="I429" s="2"/>
    </row>
    <row r="430" spans="1:9">
      <c r="A430" s="2"/>
      <c r="B430" s="2"/>
      <c r="C430" s="2"/>
      <c r="D430" s="2"/>
      <c r="E430" s="15"/>
      <c r="F430" s="2"/>
      <c r="G430" s="2"/>
      <c r="H430" s="2"/>
      <c r="I430" s="2"/>
    </row>
    <row r="431" spans="1:9">
      <c r="A431" s="2"/>
      <c r="B431" s="2"/>
      <c r="C431" s="2"/>
      <c r="D431" s="2"/>
      <c r="E431" s="15"/>
      <c r="F431" s="2"/>
      <c r="G431" s="2"/>
      <c r="H431" s="2"/>
      <c r="I431" s="2"/>
    </row>
    <row r="432" spans="1:9">
      <c r="A432" s="2"/>
      <c r="B432" s="2"/>
      <c r="C432" s="2"/>
      <c r="D432" s="2"/>
      <c r="E432" s="15"/>
      <c r="F432" s="2"/>
      <c r="G432" s="2"/>
      <c r="H432" s="2"/>
      <c r="I432" s="2"/>
    </row>
    <row r="433" spans="1:9">
      <c r="A433" s="2"/>
      <c r="B433" s="2"/>
      <c r="C433" s="2"/>
      <c r="D433" s="2"/>
      <c r="E433" s="15"/>
      <c r="F433" s="2"/>
      <c r="G433" s="2"/>
      <c r="H433" s="2"/>
      <c r="I433" s="2"/>
    </row>
    <row r="434" spans="1:9">
      <c r="A434" s="2"/>
      <c r="B434" s="2"/>
      <c r="C434" s="2"/>
      <c r="D434" s="2"/>
      <c r="E434" s="15"/>
      <c r="F434" s="2"/>
      <c r="G434" s="2"/>
      <c r="H434" s="2"/>
      <c r="I434" s="2"/>
    </row>
    <row r="435" spans="1:9">
      <c r="A435" s="2"/>
      <c r="B435" s="2"/>
      <c r="C435" s="2"/>
      <c r="D435" s="2"/>
      <c r="E435" s="15"/>
      <c r="F435" s="2"/>
      <c r="G435" s="2"/>
      <c r="H435" s="2"/>
      <c r="I435" s="2"/>
    </row>
    <row r="436" spans="1:9">
      <c r="A436" s="2"/>
      <c r="B436" s="2"/>
      <c r="C436" s="2"/>
      <c r="D436" s="2"/>
      <c r="E436" s="15"/>
      <c r="F436" s="2"/>
      <c r="G436" s="2"/>
      <c r="H436" s="2"/>
      <c r="I436" s="2"/>
    </row>
    <row r="437" spans="1:9">
      <c r="A437" s="2"/>
      <c r="B437" s="2"/>
      <c r="C437" s="2"/>
      <c r="D437" s="2"/>
      <c r="E437" s="15"/>
      <c r="F437" s="2"/>
      <c r="G437" s="2"/>
      <c r="H437" s="2"/>
      <c r="I437" s="2"/>
    </row>
    <row r="438" spans="1:9">
      <c r="A438" s="2"/>
      <c r="B438" s="2"/>
      <c r="C438" s="2"/>
      <c r="D438" s="2"/>
      <c r="E438" s="15"/>
      <c r="F438" s="2"/>
      <c r="G438" s="2"/>
      <c r="H438" s="2"/>
      <c r="I438" s="2"/>
    </row>
    <row r="439" spans="1:9">
      <c r="A439" s="2"/>
      <c r="B439" s="2"/>
      <c r="C439" s="2"/>
      <c r="D439" s="2"/>
      <c r="E439" s="15"/>
      <c r="F439" s="2"/>
      <c r="G439" s="2"/>
      <c r="H439" s="2"/>
      <c r="I439" s="2"/>
    </row>
    <row r="440" spans="1:9">
      <c r="A440" s="2"/>
      <c r="B440" s="2"/>
      <c r="C440" s="2"/>
      <c r="D440" s="2"/>
      <c r="E440" s="15"/>
      <c r="F440" s="2"/>
      <c r="G440" s="2"/>
      <c r="H440" s="2"/>
      <c r="I440" s="2"/>
    </row>
    <row r="441" spans="1:9">
      <c r="A441" s="2"/>
      <c r="B441" s="2"/>
      <c r="C441" s="2"/>
      <c r="D441" s="2"/>
      <c r="E441" s="15"/>
      <c r="F441" s="2"/>
      <c r="G441" s="2"/>
      <c r="H441" s="2"/>
      <c r="I441" s="2"/>
    </row>
    <row r="442" spans="1:9">
      <c r="A442" s="2"/>
      <c r="B442" s="2"/>
      <c r="C442" s="2"/>
      <c r="D442" s="2"/>
      <c r="E442" s="15"/>
      <c r="F442" s="2"/>
      <c r="G442" s="2"/>
      <c r="H442" s="2"/>
      <c r="I442" s="2"/>
    </row>
    <row r="443" spans="1:9">
      <c r="A443" s="2"/>
      <c r="B443" s="2"/>
      <c r="C443" s="2"/>
      <c r="D443" s="2"/>
      <c r="E443" s="15"/>
      <c r="F443" s="2"/>
      <c r="G443" s="2"/>
      <c r="H443" s="2"/>
      <c r="I443" s="2"/>
    </row>
    <row r="444" spans="1:9">
      <c r="A444" s="2"/>
      <c r="B444" s="2"/>
      <c r="C444" s="2"/>
      <c r="D444" s="2"/>
      <c r="E444" s="15"/>
      <c r="F444" s="2"/>
      <c r="G444" s="2"/>
      <c r="H444" s="2"/>
      <c r="I444" s="2"/>
    </row>
    <row r="445" spans="1:9">
      <c r="A445" s="2"/>
      <c r="B445" s="2"/>
      <c r="C445" s="2"/>
      <c r="D445" s="2"/>
      <c r="E445" s="15"/>
      <c r="F445" s="2"/>
      <c r="G445" s="2"/>
      <c r="H445" s="2"/>
      <c r="I445" s="2"/>
    </row>
    <row r="446" spans="1:9">
      <c r="A446" s="2"/>
      <c r="B446" s="2"/>
      <c r="C446" s="2"/>
      <c r="D446" s="2"/>
      <c r="E446" s="15"/>
      <c r="F446" s="2"/>
      <c r="G446" s="2"/>
      <c r="H446" s="2"/>
      <c r="I446" s="2"/>
    </row>
    <row r="447" spans="1:9">
      <c r="A447" s="2"/>
      <c r="B447" s="2"/>
      <c r="C447" s="2"/>
      <c r="D447" s="2"/>
      <c r="E447" s="15"/>
      <c r="F447" s="2"/>
      <c r="G447" s="2"/>
      <c r="H447" s="2"/>
      <c r="I447" s="2"/>
    </row>
    <row r="448" spans="1:9">
      <c r="A448" s="2"/>
      <c r="B448" s="2"/>
      <c r="C448" s="2"/>
      <c r="D448" s="2"/>
      <c r="E448" s="15"/>
      <c r="F448" s="2"/>
      <c r="G448" s="2"/>
      <c r="H448" s="2"/>
      <c r="I448" s="2"/>
    </row>
    <row r="449" spans="1:9">
      <c r="A449" s="2"/>
      <c r="B449" s="2"/>
      <c r="C449" s="2"/>
      <c r="D449" s="2"/>
      <c r="E449" s="15"/>
      <c r="F449" s="2"/>
      <c r="G449" s="2"/>
      <c r="H449" s="2"/>
      <c r="I449" s="2"/>
    </row>
    <row r="450" spans="1:9">
      <c r="A450" s="2"/>
      <c r="B450" s="2"/>
      <c r="C450" s="2"/>
      <c r="D450" s="2"/>
      <c r="E450" s="15"/>
      <c r="F450" s="2"/>
      <c r="G450" s="2"/>
      <c r="H450" s="2"/>
      <c r="I450" s="2"/>
    </row>
    <row r="451" spans="1:9">
      <c r="A451" s="2"/>
      <c r="B451" s="2"/>
      <c r="C451" s="2"/>
      <c r="D451" s="2"/>
      <c r="E451" s="15"/>
      <c r="F451" s="2"/>
      <c r="G451" s="2"/>
      <c r="H451" s="2"/>
      <c r="I451" s="2"/>
    </row>
    <row r="452" spans="1:9">
      <c r="A452" s="2"/>
      <c r="B452" s="2"/>
      <c r="C452" s="2"/>
      <c r="D452" s="2"/>
      <c r="E452" s="15"/>
      <c r="F452" s="2"/>
      <c r="G452" s="2"/>
      <c r="H452" s="2"/>
      <c r="I452" s="2"/>
    </row>
    <row r="453" spans="1:9">
      <c r="A453" s="2"/>
      <c r="B453" s="2"/>
      <c r="C453" s="2"/>
      <c r="D453" s="2"/>
      <c r="E453" s="15"/>
      <c r="F453" s="2"/>
      <c r="G453" s="2"/>
      <c r="H453" s="2"/>
      <c r="I453" s="2"/>
    </row>
    <row r="454" spans="1:9">
      <c r="A454" s="2"/>
      <c r="B454" s="2"/>
      <c r="C454" s="2"/>
      <c r="D454" s="2"/>
      <c r="E454" s="15"/>
      <c r="F454" s="2"/>
      <c r="G454" s="2"/>
      <c r="H454" s="2"/>
      <c r="I454" s="2"/>
    </row>
    <row r="455" spans="1:9">
      <c r="A455" s="2"/>
      <c r="B455" s="2"/>
      <c r="C455" s="2"/>
      <c r="D455" s="2"/>
      <c r="E455" s="15"/>
      <c r="F455" s="2"/>
      <c r="G455" s="2"/>
      <c r="H455" s="2"/>
      <c r="I455" s="2"/>
    </row>
    <row r="456" spans="1:9">
      <c r="A456" s="2"/>
      <c r="B456" s="2"/>
      <c r="C456" s="2"/>
      <c r="D456" s="2"/>
      <c r="E456" s="15"/>
      <c r="F456" s="2"/>
      <c r="G456" s="2"/>
      <c r="H456" s="2"/>
      <c r="I456" s="2"/>
    </row>
    <row r="457" spans="1:9">
      <c r="A457" s="2"/>
      <c r="B457" s="2"/>
      <c r="C457" s="2"/>
      <c r="D457" s="2"/>
      <c r="E457" s="15"/>
      <c r="F457" s="2"/>
      <c r="G457" s="2"/>
      <c r="H457" s="2"/>
      <c r="I457" s="2"/>
    </row>
    <row r="458" spans="1:9">
      <c r="A458" s="2"/>
      <c r="B458" s="2"/>
      <c r="C458" s="2"/>
      <c r="D458" s="2"/>
      <c r="E458" s="15"/>
      <c r="F458" s="2"/>
      <c r="G458" s="2"/>
      <c r="H458" s="2"/>
      <c r="I458" s="2"/>
    </row>
    <row r="459" spans="1:9">
      <c r="A459" s="2"/>
      <c r="B459" s="2"/>
      <c r="C459" s="2"/>
      <c r="D459" s="2"/>
      <c r="E459" s="15"/>
      <c r="F459" s="2"/>
      <c r="G459" s="2"/>
      <c r="H459" s="2"/>
      <c r="I459" s="2"/>
    </row>
    <row r="460" spans="1:9">
      <c r="A460" s="2"/>
      <c r="B460" s="2"/>
      <c r="C460" s="2"/>
      <c r="D460" s="2"/>
      <c r="E460" s="15"/>
      <c r="F460" s="2"/>
      <c r="G460" s="2"/>
      <c r="H460" s="2"/>
      <c r="I460" s="2"/>
    </row>
    <row r="461" spans="1:9">
      <c r="A461" s="2"/>
      <c r="B461" s="2"/>
      <c r="C461" s="2"/>
      <c r="D461" s="2"/>
      <c r="E461" s="15"/>
      <c r="F461" s="2"/>
      <c r="G461" s="2"/>
      <c r="H461" s="2"/>
      <c r="I461" s="2"/>
    </row>
    <row r="462" spans="1:9">
      <c r="A462" s="2"/>
      <c r="B462" s="2"/>
      <c r="C462" s="2"/>
      <c r="D462" s="2"/>
      <c r="E462" s="15"/>
      <c r="F462" s="2"/>
      <c r="G462" s="2"/>
      <c r="H462" s="2"/>
      <c r="I462" s="2"/>
    </row>
    <row r="463" spans="1:9">
      <c r="A463" s="2"/>
      <c r="B463" s="2"/>
      <c r="C463" s="2"/>
      <c r="D463" s="2"/>
      <c r="E463" s="15"/>
      <c r="F463" s="2"/>
      <c r="G463" s="2"/>
      <c r="H463" s="2"/>
      <c r="I463" s="2"/>
    </row>
    <row r="464" spans="1:9">
      <c r="A464" s="2"/>
      <c r="B464" s="2"/>
      <c r="C464" s="2"/>
      <c r="D464" s="2"/>
      <c r="E464" s="15"/>
      <c r="F464" s="2"/>
      <c r="G464" s="2"/>
      <c r="H464" s="2"/>
      <c r="I464" s="2"/>
    </row>
    <row r="465" spans="1:9">
      <c r="A465" s="2"/>
      <c r="B465" s="2"/>
      <c r="C465" s="2"/>
      <c r="D465" s="2"/>
      <c r="E465" s="15"/>
      <c r="F465" s="2"/>
      <c r="G465" s="2"/>
      <c r="H465" s="2"/>
      <c r="I465" s="2"/>
    </row>
    <row r="466" spans="1:9">
      <c r="A466" s="2"/>
      <c r="B466" s="2"/>
      <c r="C466" s="2"/>
      <c r="D466" s="2"/>
      <c r="E466" s="15"/>
      <c r="F466" s="2"/>
      <c r="G466" s="2"/>
      <c r="H466" s="2"/>
      <c r="I466" s="2"/>
    </row>
    <row r="467" spans="1:9">
      <c r="A467" s="2"/>
      <c r="B467" s="2"/>
      <c r="C467" s="2"/>
      <c r="D467" s="2"/>
      <c r="E467" s="15"/>
      <c r="F467" s="2"/>
      <c r="G467" s="2"/>
      <c r="H467" s="2"/>
      <c r="I467" s="2"/>
    </row>
    <row r="468" spans="1:9">
      <c r="A468" s="2"/>
      <c r="B468" s="2"/>
      <c r="C468" s="2"/>
      <c r="D468" s="2"/>
      <c r="E468" s="15"/>
      <c r="F468" s="2"/>
      <c r="G468" s="2"/>
      <c r="H468" s="2"/>
      <c r="I468" s="2"/>
    </row>
    <row r="469" spans="1:9">
      <c r="A469" s="2"/>
      <c r="B469" s="2"/>
      <c r="C469" s="2"/>
      <c r="D469" s="2"/>
      <c r="E469" s="15"/>
      <c r="F469" s="2"/>
      <c r="G469" s="2"/>
      <c r="H469" s="2"/>
      <c r="I469" s="2"/>
    </row>
    <row r="470" spans="1:9">
      <c r="A470" s="2"/>
      <c r="B470" s="2"/>
      <c r="C470" s="2"/>
      <c r="D470" s="2"/>
      <c r="E470" s="15"/>
      <c r="F470" s="2"/>
      <c r="G470" s="2"/>
      <c r="H470" s="2"/>
      <c r="I470" s="2"/>
    </row>
    <row r="471" spans="1:9">
      <c r="A471" s="2"/>
      <c r="B471" s="2"/>
      <c r="C471" s="2"/>
      <c r="D471" s="2"/>
      <c r="E471" s="15"/>
      <c r="F471" s="2"/>
      <c r="G471" s="2"/>
      <c r="H471" s="2"/>
      <c r="I471" s="2"/>
    </row>
    <row r="472" spans="1:9">
      <c r="A472" s="2"/>
      <c r="B472" s="2"/>
      <c r="C472" s="2"/>
      <c r="D472" s="2"/>
      <c r="E472" s="15"/>
      <c r="F472" s="2"/>
      <c r="G472" s="2"/>
      <c r="H472" s="2"/>
      <c r="I472" s="2"/>
    </row>
    <row r="473" spans="1:9">
      <c r="A473" s="2"/>
      <c r="B473" s="2"/>
      <c r="C473" s="2"/>
      <c r="D473" s="2"/>
      <c r="E473" s="15"/>
      <c r="F473" s="2"/>
      <c r="G473" s="2"/>
      <c r="H473" s="2"/>
      <c r="I473" s="2"/>
    </row>
    <row r="474" spans="1:9">
      <c r="A474" s="2"/>
      <c r="B474" s="2"/>
      <c r="C474" s="2"/>
      <c r="D474" s="2"/>
      <c r="E474" s="15"/>
      <c r="F474" s="2"/>
      <c r="G474" s="2"/>
      <c r="H474" s="2"/>
      <c r="I474" s="2"/>
    </row>
    <row r="475" spans="1:9">
      <c r="A475" s="2"/>
      <c r="B475" s="2"/>
      <c r="C475" s="2"/>
      <c r="D475" s="2"/>
      <c r="E475" s="15"/>
      <c r="F475" s="2"/>
      <c r="G475" s="2"/>
      <c r="H475" s="2"/>
      <c r="I475" s="2"/>
    </row>
    <row r="476" spans="1:9">
      <c r="A476" s="2"/>
      <c r="B476" s="2"/>
      <c r="C476" s="2"/>
      <c r="D476" s="2"/>
      <c r="E476" s="15"/>
      <c r="F476" s="2"/>
      <c r="G476" s="2"/>
      <c r="H476" s="2"/>
      <c r="I476" s="2"/>
    </row>
    <row r="477" spans="1:9">
      <c r="A477" s="2"/>
      <c r="B477" s="2"/>
      <c r="C477" s="2"/>
      <c r="D477" s="2"/>
      <c r="E477" s="15"/>
      <c r="F477" s="2"/>
      <c r="G477" s="2"/>
      <c r="H477" s="2"/>
      <c r="I477" s="2"/>
    </row>
    <row r="478" spans="1:9">
      <c r="A478" s="2"/>
      <c r="B478" s="2"/>
      <c r="C478" s="2"/>
      <c r="D478" s="2"/>
      <c r="E478" s="15"/>
      <c r="F478" s="2"/>
      <c r="G478" s="2"/>
      <c r="H478" s="2"/>
      <c r="I478" s="2"/>
    </row>
    <row r="479" spans="1:9">
      <c r="A479" s="2"/>
      <c r="B479" s="2"/>
      <c r="C479" s="2"/>
      <c r="D479" s="2"/>
      <c r="E479" s="15"/>
      <c r="F479" s="2"/>
      <c r="G479" s="2"/>
      <c r="H479" s="2"/>
      <c r="I479" s="2"/>
    </row>
    <row r="480" spans="1:9">
      <c r="A480" s="2"/>
      <c r="B480" s="2"/>
      <c r="C480" s="2"/>
      <c r="D480" s="2"/>
      <c r="E480" s="15"/>
      <c r="F480" s="2"/>
      <c r="G480" s="2"/>
      <c r="H480" s="2"/>
      <c r="I480" s="2"/>
    </row>
    <row r="481" spans="1:9">
      <c r="A481" s="2"/>
      <c r="B481" s="2"/>
      <c r="C481" s="2"/>
      <c r="D481" s="2"/>
      <c r="E481" s="15"/>
      <c r="F481" s="2"/>
      <c r="G481" s="2"/>
      <c r="H481" s="2"/>
      <c r="I481" s="2"/>
    </row>
    <row r="482" spans="1:9">
      <c r="A482" s="2"/>
      <c r="B482" s="2"/>
      <c r="C482" s="2"/>
      <c r="D482" s="2"/>
      <c r="E482" s="15"/>
      <c r="F482" s="2"/>
      <c r="G482" s="2"/>
      <c r="H482" s="2"/>
      <c r="I482" s="2"/>
    </row>
    <row r="483" spans="1:9">
      <c r="A483" s="2"/>
      <c r="B483" s="2"/>
      <c r="C483" s="2"/>
      <c r="D483" s="2"/>
      <c r="E483" s="15"/>
      <c r="F483" s="2"/>
      <c r="G483" s="2"/>
      <c r="H483" s="2"/>
      <c r="I483" s="2"/>
    </row>
    <row r="484" spans="1:9">
      <c r="A484" s="2"/>
      <c r="B484" s="2"/>
      <c r="C484" s="2"/>
      <c r="D484" s="2"/>
      <c r="E484" s="15"/>
      <c r="F484" s="2"/>
      <c r="G484" s="2"/>
      <c r="H484" s="2"/>
      <c r="I484" s="2"/>
    </row>
    <row r="485" spans="1:9">
      <c r="A485" s="2"/>
      <c r="B485" s="2"/>
      <c r="C485" s="2"/>
      <c r="D485" s="2"/>
      <c r="E485" s="15"/>
      <c r="F485" s="2"/>
      <c r="G485" s="2"/>
      <c r="H485" s="2"/>
      <c r="I485" s="2"/>
    </row>
    <row r="486" spans="1:9">
      <c r="A486" s="2"/>
      <c r="B486" s="2"/>
      <c r="C486" s="2"/>
      <c r="D486" s="2"/>
      <c r="E486" s="15"/>
      <c r="F486" s="2"/>
      <c r="G486" s="2"/>
      <c r="H486" s="2"/>
      <c r="I486" s="2"/>
    </row>
    <row r="487" spans="1:9">
      <c r="A487" s="2"/>
      <c r="B487" s="2"/>
      <c r="C487" s="2"/>
      <c r="D487" s="2"/>
      <c r="E487" s="15"/>
      <c r="F487" s="2"/>
      <c r="G487" s="2"/>
      <c r="H487" s="2"/>
      <c r="I487" s="2"/>
    </row>
    <row r="488" spans="1:9">
      <c r="A488" s="2"/>
      <c r="B488" s="2"/>
      <c r="C488" s="2"/>
      <c r="D488" s="2"/>
      <c r="E488" s="15"/>
      <c r="F488" s="2"/>
      <c r="G488" s="2"/>
      <c r="H488" s="2"/>
      <c r="I488" s="2"/>
    </row>
    <row r="489" spans="1:9">
      <c r="A489" s="2"/>
      <c r="B489" s="2"/>
      <c r="C489" s="2"/>
      <c r="D489" s="2"/>
      <c r="E489" s="15"/>
      <c r="F489" s="2"/>
      <c r="G489" s="2"/>
      <c r="H489" s="2"/>
      <c r="I489" s="2"/>
    </row>
    <row r="490" spans="1:9">
      <c r="A490" s="2"/>
      <c r="B490" s="2"/>
      <c r="C490" s="2"/>
      <c r="D490" s="2"/>
      <c r="E490" s="15"/>
      <c r="F490" s="2"/>
      <c r="G490" s="2"/>
      <c r="H490" s="2"/>
      <c r="I490" s="2"/>
    </row>
    <row r="491" spans="1:9">
      <c r="A491" s="2"/>
      <c r="B491" s="2"/>
      <c r="C491" s="2"/>
      <c r="D491" s="2"/>
      <c r="E491" s="15"/>
      <c r="F491" s="2"/>
      <c r="G491" s="2"/>
      <c r="H491" s="2"/>
      <c r="I491" s="2"/>
    </row>
    <row r="492" spans="1:9">
      <c r="A492" s="2"/>
      <c r="B492" s="2"/>
      <c r="C492" s="2"/>
      <c r="D492" s="2"/>
      <c r="E492" s="15"/>
      <c r="F492" s="2"/>
      <c r="G492" s="2"/>
      <c r="H492" s="2"/>
      <c r="I492" s="2"/>
    </row>
    <row r="493" spans="1:9">
      <c r="A493" s="2"/>
      <c r="B493" s="2"/>
      <c r="C493" s="2"/>
      <c r="D493" s="2"/>
      <c r="E493" s="15"/>
      <c r="F493" s="2"/>
      <c r="G493" s="2"/>
      <c r="H493" s="2"/>
      <c r="I493" s="2"/>
    </row>
    <row r="494" spans="1:9">
      <c r="A494" s="2"/>
      <c r="B494" s="2"/>
      <c r="C494" s="2"/>
      <c r="D494" s="2"/>
      <c r="E494" s="15"/>
      <c r="F494" s="2"/>
      <c r="G494" s="2"/>
      <c r="H494" s="2"/>
      <c r="I494" s="2"/>
    </row>
    <row r="495" spans="1:9">
      <c r="A495" s="2"/>
      <c r="B495" s="2"/>
      <c r="C495" s="2"/>
      <c r="D495" s="2"/>
      <c r="E495" s="15"/>
      <c r="F495" s="2"/>
      <c r="G495" s="2"/>
      <c r="H495" s="2"/>
      <c r="I495" s="2"/>
    </row>
    <row r="496" spans="1:9">
      <c r="A496" s="2"/>
      <c r="B496" s="2"/>
      <c r="C496" s="2"/>
      <c r="D496" s="2"/>
      <c r="E496" s="15"/>
      <c r="F496" s="2"/>
      <c r="G496" s="2"/>
      <c r="H496" s="2"/>
      <c r="I496" s="2"/>
    </row>
    <row r="497" spans="1:9">
      <c r="A497" s="2"/>
      <c r="B497" s="2"/>
      <c r="C497" s="2"/>
      <c r="D497" s="2"/>
      <c r="E497" s="15"/>
      <c r="F497" s="2"/>
      <c r="G497" s="2"/>
      <c r="H497" s="2"/>
      <c r="I497" s="2"/>
    </row>
    <row r="498" spans="1:9">
      <c r="A498" s="2"/>
      <c r="B498" s="2"/>
      <c r="C498" s="2"/>
      <c r="D498" s="2"/>
      <c r="E498" s="15"/>
      <c r="F498" s="2"/>
      <c r="G498" s="2"/>
      <c r="H498" s="2"/>
      <c r="I498" s="2"/>
    </row>
    <row r="499" spans="1:9">
      <c r="A499" s="2"/>
      <c r="B499" s="2"/>
      <c r="C499" s="2"/>
      <c r="D499" s="2"/>
      <c r="E499" s="15"/>
      <c r="F499" s="2"/>
      <c r="G499" s="2"/>
      <c r="H499" s="2"/>
      <c r="I499" s="2"/>
    </row>
    <row r="500" spans="1:9">
      <c r="A500" s="2"/>
      <c r="B500" s="2"/>
      <c r="C500" s="2"/>
      <c r="D500" s="2"/>
      <c r="E500" s="15"/>
      <c r="F500" s="2"/>
      <c r="G500" s="2"/>
      <c r="H500" s="2"/>
      <c r="I500" s="2"/>
    </row>
    <row r="501" spans="1:9">
      <c r="A501" s="2"/>
      <c r="B501" s="2"/>
      <c r="C501" s="2"/>
      <c r="D501" s="2"/>
      <c r="E501" s="15"/>
      <c r="F501" s="2"/>
      <c r="G501" s="2"/>
      <c r="H501" s="2"/>
      <c r="I501" s="2"/>
    </row>
  </sheetData>
  <dataValidations count="3">
    <dataValidation type="list" allowBlank="1" sqref="D2:D501">
      <formula1>"买入,持续追踪,卖出"</formula1>
    </dataValidation>
    <dataValidation type="date" operator="between" allowBlank="1" sqref="E2:E501">
      <formula1>DATE(2000,1,1)</formula1>
      <formula2>DATE(2100,12,31)</formula2>
    </dataValidation>
    <dataValidation type="list" allowBlank="1" showErrorMessage="1" errorTitle="技术指标无效" error="请从“技术指标”工作表维护的列表中选择" sqref="F2:H501">
      <formula1>技术指标列表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pane ySplit="1" topLeftCell="A2" activePane="bottomLeft" state="frozen"/>
      <selection/>
      <selection pane="bottomLeft" activeCell="B18" sqref="B18"/>
    </sheetView>
  </sheetViews>
  <sheetFormatPr defaultColWidth="9" defaultRowHeight="16.8" outlineLevelCol="2"/>
  <cols>
    <col min="1" max="1" width="28" customWidth="1"/>
    <col min="2" max="2" width="20" customWidth="1"/>
    <col min="3" max="3" width="72" customWidth="1"/>
  </cols>
  <sheetData>
    <row r="1" ht="17" spans="1:3">
      <c r="A1" s="3" t="s">
        <v>85</v>
      </c>
      <c r="B1" s="3" t="s">
        <v>86</v>
      </c>
      <c r="C1" s="3" t="s">
        <v>87</v>
      </c>
    </row>
    <row r="2" ht="17" spans="1:3">
      <c r="A2" s="4" t="s">
        <v>88</v>
      </c>
      <c r="B2" s="8">
        <f>COUNT(单次交易!M2:M201)</f>
        <v>9</v>
      </c>
      <c r="C2" s="4" t="s">
        <v>89</v>
      </c>
    </row>
    <row r="3" ht="17" spans="1:3">
      <c r="A3" s="4" t="s">
        <v>90</v>
      </c>
      <c r="B3" s="8">
        <f>COUNTIF(单次交易!X2:X201,"&gt;0")</f>
        <v>4</v>
      </c>
      <c r="C3" s="4" t="s">
        <v>91</v>
      </c>
    </row>
    <row r="4" ht="17" spans="1:3">
      <c r="A4" s="4" t="s">
        <v>92</v>
      </c>
      <c r="B4" s="8">
        <f>COUNTIF(单次交易!X2:X201,"&lt;0")</f>
        <v>5</v>
      </c>
      <c r="C4" s="4" t="s">
        <v>93</v>
      </c>
    </row>
    <row r="5" ht="17" spans="1:3">
      <c r="A5" s="4" t="s">
        <v>94</v>
      </c>
      <c r="B5" s="8">
        <f>COUNTIFS(单次交易!M2:M201,"&lt;&gt;",单次交易!X2:X201,"=0")</f>
        <v>0</v>
      </c>
      <c r="C5" s="4" t="s">
        <v>95</v>
      </c>
    </row>
    <row r="6" ht="17" spans="1:3">
      <c r="A6" s="4" t="s">
        <v>96</v>
      </c>
      <c r="B6" s="7">
        <f>IFERROR(B3/(B3+B4),"")</f>
        <v>0.444444444444444</v>
      </c>
      <c r="C6" s="4" t="s">
        <v>97</v>
      </c>
    </row>
    <row r="7" ht="17" spans="1:3">
      <c r="A7" s="4" t="s">
        <v>98</v>
      </c>
      <c r="B7" s="7">
        <f>IFERROR(B4/(B3+B4),"")</f>
        <v>0.555555555555556</v>
      </c>
      <c r="C7" s="4" t="s">
        <v>99</v>
      </c>
    </row>
    <row r="8" ht="17" spans="1:3">
      <c r="A8" s="4" t="s">
        <v>100</v>
      </c>
      <c r="B8" s="7">
        <f>IFERROR(AVERAGEIF(单次交易!X2:X201,"&gt;0",单次交易!AE2:AE201),"")</f>
        <v>0.0571206053262915</v>
      </c>
      <c r="C8" s="4" t="s">
        <v>101</v>
      </c>
    </row>
    <row r="9" ht="17" spans="1:3">
      <c r="A9" s="4" t="s">
        <v>102</v>
      </c>
      <c r="B9" s="7">
        <f>IFERROR(-AVERAGEIF(单次交易!X2:X201,"&lt;0",单次交易!AE2:AE201),"")</f>
        <v>0.0373854005622665</v>
      </c>
      <c r="C9" s="4" t="s">
        <v>103</v>
      </c>
    </row>
    <row r="10" ht="17" spans="1:3">
      <c r="A10" s="4" t="s">
        <v>104</v>
      </c>
      <c r="B10" s="8">
        <f>SUMIF(单次交易!X2:X201,"&gt;0",单次交易!AA2:AA201)</f>
        <v>155</v>
      </c>
      <c r="C10" s="4" t="s">
        <v>105</v>
      </c>
    </row>
    <row r="11" ht="17" spans="1:3">
      <c r="A11" s="4" t="s">
        <v>106</v>
      </c>
      <c r="B11" s="8">
        <f>SUMIF(单次交易!X2:X201,"&lt;0",单次交易!AA2:AA201)</f>
        <v>427</v>
      </c>
      <c r="C11" s="4" t="s">
        <v>105</v>
      </c>
    </row>
    <row r="12" ht="17" spans="1:3">
      <c r="A12" s="4" t="s">
        <v>107</v>
      </c>
      <c r="B12" s="5">
        <f>IFERROR(SUMPRODUCT(单次交易!AO2:AO201,单次交易!AP2:AP201)/COUNT(单次交易!AP2:AP201),"")</f>
        <v>39568.4</v>
      </c>
      <c r="C12" s="4" t="s">
        <v>108</v>
      </c>
    </row>
    <row r="13" ht="17" spans="1:3">
      <c r="A13" s="4" t="s">
        <v>109</v>
      </c>
      <c r="B13" s="7">
        <f>IF(OR(B6="",B7="",B8="",B9=""),"",B6*B8-B7*B9)</f>
        <v>0.00461726872153705</v>
      </c>
      <c r="C13" s="4" t="s">
        <v>110</v>
      </c>
    </row>
    <row r="14" ht="17" spans="1:3">
      <c r="A14" s="4" t="s">
        <v>111</v>
      </c>
      <c r="B14" s="7">
        <f>IF(COUNT(单次交易!AE2:AE201)=0,"",EXP(SUMPRODUCT(IFERROR(LN(1+单次交易!AE2:AE201),0)))-1)</f>
        <v>0.0252600000000001</v>
      </c>
      <c r="C14" s="4" t="s">
        <v>112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showGridLines="0" workbookViewId="0">
      <pane ySplit="1" topLeftCell="A2" activePane="bottomLeft" state="frozen"/>
      <selection/>
      <selection pane="bottomLeft" activeCell="A33" sqref="A33"/>
    </sheetView>
  </sheetViews>
  <sheetFormatPr defaultColWidth="9" defaultRowHeight="16.8" outlineLevelCol="2"/>
  <cols>
    <col min="1" max="1" width="28" customWidth="1"/>
    <col min="2" max="2" width="20" customWidth="1"/>
    <col min="3" max="3" width="72" customWidth="1"/>
  </cols>
  <sheetData>
    <row r="1" ht="17" spans="1:3">
      <c r="A1" s="9" t="s">
        <v>85</v>
      </c>
      <c r="B1" s="9" t="s">
        <v>113</v>
      </c>
      <c r="C1" s="9" t="s">
        <v>114</v>
      </c>
    </row>
    <row r="2" ht="17" spans="1:3">
      <c r="A2" s="4" t="s">
        <v>115</v>
      </c>
      <c r="B2" s="10">
        <v>100000</v>
      </c>
      <c r="C2" s="4" t="s">
        <v>116</v>
      </c>
    </row>
    <row r="3" ht="17" spans="1:3">
      <c r="A3" s="4" t="s">
        <v>117</v>
      </c>
      <c r="B3" s="5">
        <f>IF(B2="","",B2+SUM(单次交易!X2:X201))</f>
        <v>102526</v>
      </c>
      <c r="C3" s="4" t="s">
        <v>118</v>
      </c>
    </row>
    <row r="4" ht="17" spans="1:3">
      <c r="A4" s="4" t="s">
        <v>119</v>
      </c>
      <c r="B4" s="6">
        <v>0.02</v>
      </c>
      <c r="C4" s="4" t="s">
        <v>120</v>
      </c>
    </row>
    <row r="5" ht="17" spans="1:3">
      <c r="A5" s="4" t="s">
        <v>121</v>
      </c>
      <c r="B5" s="5">
        <f>IF(B3="","",B3*B4)</f>
        <v>2050.52</v>
      </c>
      <c r="C5" s="4" t="s">
        <v>122</v>
      </c>
    </row>
    <row r="6" ht="17" spans="1:3">
      <c r="A6" s="4" t="s">
        <v>123</v>
      </c>
      <c r="B6" s="6">
        <v>0.06</v>
      </c>
      <c r="C6" s="4" t="s">
        <v>124</v>
      </c>
    </row>
    <row r="7" ht="17" spans="1:3">
      <c r="A7" s="4" t="s">
        <v>125</v>
      </c>
      <c r="B7" s="5">
        <f>IF(B3="","",B3*B6)</f>
        <v>6151.56</v>
      </c>
      <c r="C7" s="4" t="s">
        <v>126</v>
      </c>
    </row>
    <row r="8" ht="17" spans="1:3">
      <c r="A8" s="4" t="s">
        <v>127</v>
      </c>
      <c r="B8" s="5">
        <f ca="1">SUMIFS(单次交易!X2:X201,单次交易!X2:X201,"&lt;0",单次交易!M2:M201,"&gt;="&amp;EOMONTH(TODAY(),-1)+1,单次交易!M2:M201,"&lt;="&amp;EOMONTH(TODAY(),0))</f>
        <v>0</v>
      </c>
      <c r="C8" s="4" t="s">
        <v>128</v>
      </c>
    </row>
    <row r="9" ht="17" spans="1:3">
      <c r="A9" s="4" t="s">
        <v>129</v>
      </c>
      <c r="B9" s="5">
        <f>IFERROR(SUM(单次交易!AQ2:AQ201),0)</f>
        <v>1976</v>
      </c>
      <c r="C9" s="4" t="s">
        <v>130</v>
      </c>
    </row>
    <row r="10" ht="17" spans="1:3">
      <c r="A10" s="4" t="s">
        <v>131</v>
      </c>
      <c r="B10" s="5">
        <f>IF(OR(B7="",B9=""),"",B7-B9)</f>
        <v>4175.56</v>
      </c>
      <c r="C10" s="4" t="s">
        <v>132</v>
      </c>
    </row>
    <row r="11" ht="17" spans="1:3">
      <c r="A11" s="4" t="s">
        <v>133</v>
      </c>
      <c r="B11" s="7">
        <f>IF(OR(B2="",B3="",B2&lt;=0),"",B3/B2-1)</f>
        <v>0.0252600000000001</v>
      </c>
      <c r="C11" s="4" t="s">
        <v>134</v>
      </c>
    </row>
    <row r="12" spans="1:3">
      <c r="A12" s="4"/>
      <c r="B12" s="4"/>
      <c r="C12" s="4"/>
    </row>
    <row r="13" ht="17" spans="1:3">
      <c r="A13" s="4" t="s">
        <v>135</v>
      </c>
      <c r="B13" s="6">
        <v>0.06</v>
      </c>
      <c r="C13" s="4" t="s">
        <v>136</v>
      </c>
    </row>
    <row r="14" ht="17" spans="1:3">
      <c r="A14" s="4" t="s">
        <v>137</v>
      </c>
      <c r="B14" s="11">
        <f>IFERROR(LOOKUP(2,1/((单次交易!$M$2:$M$201&lt;&gt;"")*(单次交易!$X$2:$X$201&gt;0)),ROW(单次交易!$X$2:$X$201)-1),0)</f>
        <v>173</v>
      </c>
      <c r="C14" s="4" t="s">
        <v>138</v>
      </c>
    </row>
    <row r="15" ht="17" spans="1:3">
      <c r="A15" s="4" t="s">
        <v>139</v>
      </c>
      <c r="B15" s="11">
        <f>IFERROR(LOOKUP(2,1/(单次交易!$M$2:$M$201&lt;&gt;""),ROW(单次交易!$M$2:$M$201)-1),0)</f>
        <v>173</v>
      </c>
      <c r="C15" s="4" t="s">
        <v>140</v>
      </c>
    </row>
    <row r="16" ht="17" spans="1:3">
      <c r="A16" s="4" t="s">
        <v>141</v>
      </c>
      <c r="B16" s="12">
        <v>112</v>
      </c>
      <c r="C16" s="4" t="s">
        <v>142</v>
      </c>
    </row>
    <row r="17" ht="34" spans="1:3">
      <c r="A17" s="4" t="s">
        <v>143</v>
      </c>
      <c r="B17" s="13" t="s">
        <v>144</v>
      </c>
      <c r="C17" s="14" t="s">
        <v>145</v>
      </c>
    </row>
    <row r="18" ht="17" spans="1:3">
      <c r="A18" s="4" t="s">
        <v>146</v>
      </c>
      <c r="B18" s="11">
        <f>MAX(B14,IF(AND(ISNUMBER(B16),B16&gt;=1,B16&lt;=B15,B17&lt;&gt;""),B16,0))</f>
        <v>173</v>
      </c>
      <c r="C18" s="4" t="s">
        <v>147</v>
      </c>
    </row>
    <row r="19" ht="17" spans="1:3">
      <c r="A19" s="4" t="s">
        <v>148</v>
      </c>
      <c r="B19" s="5">
        <f ca="1">IF(B2="","",IF(B18=0,B2,B2+SUM(单次交易!$X$2:INDEX(单次交易!$X:$X,B18+1))))</f>
        <v>102526</v>
      </c>
      <c r="C19" s="4" t="s">
        <v>149</v>
      </c>
    </row>
    <row r="20" ht="17" spans="1:3">
      <c r="A20" s="4" t="s">
        <v>150</v>
      </c>
      <c r="B20" s="5">
        <f>IF(B18&gt;=B15,0,-SUMPRODUCT((ROW(单次交易!$X$2:$X$201)-1&gt;B18)*(单次交易!$M$2:$M$201&lt;&gt;"")*(IFERROR(单次交易!$X$2:$X$201,0)&lt;0)*IFERROR(单次交易!$X$2:$X$201,0)))</f>
        <v>0</v>
      </c>
      <c r="C20" s="4" t="s">
        <v>151</v>
      </c>
    </row>
    <row r="21" ht="17" spans="1:3">
      <c r="A21" s="4" t="s">
        <v>152</v>
      </c>
      <c r="B21" s="7">
        <f ca="1">IF(OR(B19="",B19&lt;=0),"",B20/B19)</f>
        <v>0</v>
      </c>
      <c r="C21" s="4" t="s">
        <v>153</v>
      </c>
    </row>
    <row r="22" ht="17" spans="1:3">
      <c r="A22" s="4" t="s">
        <v>154</v>
      </c>
      <c r="B22" s="7">
        <f ca="1">IF(OR(B13="",B13&lt;=0,B21=""),"",B21/B13)</f>
        <v>0</v>
      </c>
      <c r="C22" s="4" t="s">
        <v>155</v>
      </c>
    </row>
    <row r="23" ht="17" spans="1:3">
      <c r="A23" s="4" t="s">
        <v>156</v>
      </c>
      <c r="B23" s="8" t="str">
        <f ca="1"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4" t="s">
        <v>157</v>
      </c>
    </row>
  </sheetData>
  <conditionalFormatting sqref="B8">
    <cfRule type="cellIs" dxfId="0" priority="1" operator="lessThan">
      <formula>0</formula>
    </cfRule>
  </conditionalFormatting>
  <conditionalFormatting sqref="B10">
    <cfRule type="cellIs" dxfId="0" priority="2" operator="lessThan">
      <formula>0</formula>
    </cfRule>
  </conditionalFormatting>
  <conditionalFormatting sqref="B23">
    <cfRule type="expression" dxfId="0" priority="3">
      <formula>$B$23="已锁仓"</formula>
    </cfRule>
    <cfRule type="expression" dxfId="2" priority="4">
      <formula>OR($B$23="接近锁仓",$B$23="解锁信息不完整")</formula>
    </cfRule>
    <cfRule type="expression" dxfId="1" priority="5">
      <formula>$B$23="正常"</formula>
    </cfRule>
  </conditionalFormatting>
  <dataValidations count="3">
    <dataValidation type="decimal" operator="greaterThan" sqref="B2">
      <formula1>0</formula1>
    </dataValidation>
    <dataValidation type="decimal" operator="between" sqref="B4 B6 B13">
      <formula1>0</formula1>
      <formula2>1</formula2>
    </dataValidation>
    <dataValidation type="custom" allowBlank="1" showErrorMessage="1" errorTitle="解锁序号无效" error="请填写1到最近已完成记录序号之间的整数，并同时填写解锁原因" sqref="B16">
      <formula1>OR(B16="",AND(ISNUMBER(B16),B16=INT(B16),B16&gt;=1,B16&lt;=B15))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C26" sqref="C26"/>
    </sheetView>
  </sheetViews>
  <sheetFormatPr defaultColWidth="9" defaultRowHeight="16.8" outlineLevelRow="6" outlineLevelCol="2"/>
  <cols>
    <col min="1" max="1" width="28" customWidth="1"/>
    <col min="2" max="2" width="20" customWidth="1"/>
    <col min="3" max="3" width="72" customWidth="1"/>
  </cols>
  <sheetData>
    <row r="1" ht="17" spans="1:3">
      <c r="A1" s="3" t="s">
        <v>85</v>
      </c>
      <c r="B1" s="3" t="s">
        <v>113</v>
      </c>
      <c r="C1" s="3" t="s">
        <v>87</v>
      </c>
    </row>
    <row r="2" ht="17" spans="1:3">
      <c r="A2" s="4" t="s">
        <v>158</v>
      </c>
      <c r="B2" s="5">
        <f>账户数据!B3</f>
        <v>102526</v>
      </c>
      <c r="C2" s="4" t="s">
        <v>159</v>
      </c>
    </row>
    <row r="3" ht="17" spans="1:3">
      <c r="A3" s="4" t="s">
        <v>160</v>
      </c>
      <c r="B3" s="6">
        <v>0.1</v>
      </c>
      <c r="C3" s="4" t="s">
        <v>161</v>
      </c>
    </row>
    <row r="4" ht="17" spans="1:3">
      <c r="A4" s="4" t="s">
        <v>162</v>
      </c>
      <c r="B4" s="5">
        <f>IF(OR(B2="",B3=""),"",B2*B3)</f>
        <v>10252.6</v>
      </c>
      <c r="C4" s="4" t="s">
        <v>163</v>
      </c>
    </row>
    <row r="5" ht="17" spans="1:3">
      <c r="A5" s="4" t="s">
        <v>107</v>
      </c>
      <c r="B5" s="5">
        <f>多次统计数据!B12</f>
        <v>39568.4</v>
      </c>
      <c r="C5" s="4" t="s">
        <v>164</v>
      </c>
    </row>
    <row r="6" ht="17" spans="1:3">
      <c r="A6" s="4" t="s">
        <v>165</v>
      </c>
      <c r="B6" s="7">
        <f>多次统计数据!B13</f>
        <v>0.00461726872153705</v>
      </c>
      <c r="C6" s="4" t="s">
        <v>166</v>
      </c>
    </row>
    <row r="7" ht="17" spans="1:3">
      <c r="A7" s="4" t="s">
        <v>167</v>
      </c>
      <c r="B7" s="8">
        <f>IF(OR(B3="",B6="",B3&lt;=0,B6&lt;=0),"暂不可计算",ROUNDUP(LN(1+B3)/LN(1+B6),0))</f>
        <v>21</v>
      </c>
      <c r="C7" s="4" t="s">
        <v>168</v>
      </c>
    </row>
  </sheetData>
  <dataValidations count="1">
    <dataValidation type="decimal" operator="greaterThan" sqref="B3">
      <formula1>0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workbookViewId="0">
      <pane ySplit="1" topLeftCell="A17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22" customWidth="1"/>
    <col min="2" max="2" width="18" customWidth="1"/>
    <col min="3" max="3" width="56" customWidth="1"/>
  </cols>
  <sheetData>
    <row r="1" ht="42" customHeight="1" spans="1:3">
      <c r="A1" s="1" t="s">
        <v>169</v>
      </c>
      <c r="B1" s="1" t="s">
        <v>170</v>
      </c>
      <c r="C1" s="1" t="s">
        <v>171</v>
      </c>
    </row>
    <row r="2" ht="17" spans="1:3">
      <c r="A2" s="2" t="s">
        <v>172</v>
      </c>
      <c r="B2" s="2" t="s">
        <v>173</v>
      </c>
      <c r="C2" s="2" t="s">
        <v>174</v>
      </c>
    </row>
    <row r="3" ht="17" spans="1:3">
      <c r="A3" s="2" t="s">
        <v>175</v>
      </c>
      <c r="B3" s="2" t="s">
        <v>176</v>
      </c>
      <c r="C3" s="2" t="s">
        <v>177</v>
      </c>
    </row>
    <row r="4" ht="17" spans="1:3">
      <c r="A4" s="2" t="s">
        <v>178</v>
      </c>
      <c r="B4" s="2" t="s">
        <v>179</v>
      </c>
      <c r="C4" s="2" t="s">
        <v>180</v>
      </c>
    </row>
    <row r="5" ht="17" spans="1:3">
      <c r="A5" s="2" t="s">
        <v>181</v>
      </c>
      <c r="B5" s="2" t="s">
        <v>176</v>
      </c>
      <c r="C5" s="2" t="s">
        <v>182</v>
      </c>
    </row>
    <row r="6" ht="17" spans="1:3">
      <c r="A6" s="2" t="s">
        <v>52</v>
      </c>
      <c r="B6" s="2" t="s">
        <v>183</v>
      </c>
      <c r="C6" s="2" t="s">
        <v>184</v>
      </c>
    </row>
    <row r="7" ht="17" spans="1:3">
      <c r="A7" s="2" t="s">
        <v>185</v>
      </c>
      <c r="B7" s="2" t="s">
        <v>179</v>
      </c>
      <c r="C7" s="2" t="s">
        <v>186</v>
      </c>
    </row>
    <row r="8" ht="17" spans="1:3">
      <c r="A8" s="2" t="s">
        <v>187</v>
      </c>
      <c r="B8" s="2" t="s">
        <v>179</v>
      </c>
      <c r="C8" s="2" t="s">
        <v>188</v>
      </c>
    </row>
    <row r="9" ht="17" spans="1:3">
      <c r="A9" s="2" t="s">
        <v>189</v>
      </c>
      <c r="B9" s="2" t="s">
        <v>190</v>
      </c>
      <c r="C9" s="2" t="s">
        <v>191</v>
      </c>
    </row>
    <row r="10" ht="17" spans="1:3">
      <c r="A10" s="2" t="s">
        <v>192</v>
      </c>
      <c r="B10" s="2" t="s">
        <v>193</v>
      </c>
      <c r="C10" s="2" t="s">
        <v>194</v>
      </c>
    </row>
    <row r="11" ht="17" spans="1:3">
      <c r="A11" s="2" t="s">
        <v>195</v>
      </c>
      <c r="B11" s="2" t="s">
        <v>193</v>
      </c>
      <c r="C11" s="2" t="s">
        <v>196</v>
      </c>
    </row>
    <row r="12" ht="17" spans="1:3">
      <c r="A12" s="2" t="s">
        <v>197</v>
      </c>
      <c r="B12" s="2" t="s">
        <v>173</v>
      </c>
      <c r="C12" s="2" t="s">
        <v>198</v>
      </c>
    </row>
    <row r="13" ht="17" spans="1:3">
      <c r="A13" s="2" t="s">
        <v>199</v>
      </c>
      <c r="B13" s="2" t="s">
        <v>173</v>
      </c>
      <c r="C13" s="2" t="s">
        <v>200</v>
      </c>
    </row>
    <row r="14" ht="17" spans="1:3">
      <c r="A14" s="2" t="s">
        <v>201</v>
      </c>
      <c r="B14" s="2" t="s">
        <v>176</v>
      </c>
      <c r="C14" s="2" t="s">
        <v>202</v>
      </c>
    </row>
    <row r="15" ht="17" spans="1:3">
      <c r="A15" s="2" t="s">
        <v>203</v>
      </c>
      <c r="B15" s="2" t="s">
        <v>176</v>
      </c>
      <c r="C15" s="2" t="s">
        <v>204</v>
      </c>
    </row>
    <row r="16" ht="17" spans="1:3">
      <c r="A16" s="2" t="s">
        <v>205</v>
      </c>
      <c r="B16" s="2" t="s">
        <v>183</v>
      </c>
      <c r="C16" s="2" t="s">
        <v>206</v>
      </c>
    </row>
    <row r="17" ht="17" spans="1:3">
      <c r="A17" s="2" t="s">
        <v>207</v>
      </c>
      <c r="B17" s="2" t="s">
        <v>179</v>
      </c>
      <c r="C17" s="2" t="s">
        <v>208</v>
      </c>
    </row>
    <row r="18" ht="17" spans="1:3">
      <c r="A18" s="2" t="s">
        <v>209</v>
      </c>
      <c r="B18" s="2" t="s">
        <v>190</v>
      </c>
      <c r="C18" s="2" t="s">
        <v>210</v>
      </c>
    </row>
    <row r="19" ht="17" spans="1:3">
      <c r="A19" s="2" t="s">
        <v>211</v>
      </c>
      <c r="B19" s="2" t="s">
        <v>183</v>
      </c>
      <c r="C19" s="2" t="s">
        <v>212</v>
      </c>
    </row>
    <row r="20" ht="17" spans="1:3">
      <c r="A20" s="2" t="s">
        <v>213</v>
      </c>
      <c r="B20" s="2" t="s">
        <v>214</v>
      </c>
      <c r="C20" s="2" t="s">
        <v>215</v>
      </c>
    </row>
    <row r="21" ht="17" spans="1:3">
      <c r="A21" s="2" t="s">
        <v>216</v>
      </c>
      <c r="B21" s="2" t="s">
        <v>217</v>
      </c>
      <c r="C21" s="2" t="s">
        <v>218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</sheetData>
  <pageMargins left="0.75" right="0.75" top="1" bottom="1" header="0.5" footer="0.5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单次交易</vt:lpstr>
      <vt:lpstr>持仓跟踪</vt:lpstr>
      <vt:lpstr>买入理由</vt:lpstr>
      <vt:lpstr>多次统计数据</vt:lpstr>
      <vt:lpstr>账户数据</vt:lpstr>
      <vt:lpstr>目标收益</vt:lpstr>
      <vt:lpstr>技术指标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吕晶晶</cp:lastModifiedBy>
  <dcterms:created xsi:type="dcterms:W3CDTF">2026-07-26T00:10:00Z</dcterms:created>
  <dcterms:modified xsi:type="dcterms:W3CDTF">2026-09-03T08:13:56Z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736BDD0092250DAC96416F6ACC401849_42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