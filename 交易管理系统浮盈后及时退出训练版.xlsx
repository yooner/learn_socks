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4060"/>
  </bookViews>
  <sheets>
    <sheet name="单次交易" sheetId="1" r:id="rId1"/>
    <sheet name="持仓跟踪" sheetId="2" r:id="rId2"/>
    <sheet name="买入理由" sheetId="3" r:id="rId3"/>
    <sheet name="多次统计数据" sheetId="4" r:id="rId4"/>
    <sheet name="账户数据" sheetId="5" r:id="rId5"/>
    <sheet name="目标收益" sheetId="6" r:id="rId6"/>
    <sheet name="技术指标" sheetId="7" r:id="rId7"/>
  </sheets>
  <definedNames>
    <definedName name="_LockStatus">账户数据!$B$23</definedName>
    <definedName name="_AccountRiskLimit">账户数据!$B$7</definedName>
    <definedName name="_TrackRule">持仓跟踪!$AC$2:$AC$497</definedName>
    <definedName name="_TrackTradeId">持仓跟踪!$B$2:$B$497</definedName>
    <definedName name="_TrackType">持仓跟踪!$A$2:$A$497</definedName>
    <definedName name="_TradeIds">单次交易!$A$2:$A$163</definedName>
    <definedName name="技术指标列表">技术指标!$A$2:$A$201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Codex</author>
  </authors>
  <commentList>
    <comment ref="C1" authorId="0">
      <text>
        <r>
          <rPr>
            <sz val="11"/>
            <color rgb="FF000000"/>
            <rFont val="宋体"/>
            <scheme val="minor"/>
            <charset val="0"/>
          </rPr>
          <t>开仓时从“账户数据”的当前总金额复制，并粘贴为数值；不要保留公式。</t>
        </r>
      </text>
    </comment>
    <comment ref="D1" authorId="0">
      <text>
        <r>
          <rPr>
            <sz val="11"/>
            <color rgb="FF000000"/>
            <rFont val="宋体"/>
            <scheme val="minor"/>
            <charset val="0"/>
          </rPr>
          <t>开仓时从“账户数据”的单次交易允许亏损比例复制，并粘贴为数值。</t>
        </r>
      </text>
    </comment>
    <comment ref="F1" authorId="0">
      <text>
        <r>
          <rPr>
            <sz val="11"/>
            <color rgb="FF000000"/>
            <rFont val="宋体"/>
            <scheme val="minor"/>
            <charset val="0"/>
          </rPr>
          <t>按账户快照、本次风险比例和止损距离计算；仅作仓位建议。</t>
        </r>
      </text>
    </comment>
    <comment ref="G1" authorId="0">
      <text>
        <r>
          <rPr>
            <sz val="11"/>
            <color rgb="FF000000"/>
            <rFont val="宋体"/>
            <scheme val="minor"/>
            <charset val="0"/>
          </rPr>
          <t>开仓前必须在“持仓跟踪”填写至少一条规则有效的止损计划；同时检查连续亏损锁仓和原有风险额度。</t>
        </r>
      </text>
    </comment>
    <comment ref="H1" authorId="0">
      <text>
        <r>
          <rPr>
            <sz val="11"/>
            <color rgb="FF000000"/>
            <rFont val="宋体"/>
            <scheme val="minor"/>
            <charset val="0"/>
          </rPr>
          <t>手动填写实际成交股数；后续盈亏、收益率和统计均引用此列。</t>
        </r>
      </text>
    </comment>
    <comment ref="L1" authorId="0">
      <text>
        <r>
          <rPr>
            <sz val="11"/>
            <color rgb="FF000000"/>
            <rFont val="宋体"/>
            <scheme val="minor"/>
            <charset val="0"/>
          </rPr>
          <t>卖出股数由“持仓跟踪”同步，按累计买入股数一次性全部卖出。</t>
        </r>
      </text>
    </comment>
    <comment ref="AE1" authorId="0">
      <text>
        <r>
          <rPr>
            <sz val="11"/>
            <color rgb="FF000000"/>
            <rFont val="宋体"/>
            <scheme val="minor"/>
            <charset val="0"/>
          </rPr>
          <t>实际盈亏金额÷买入时账户金额快照；用于账户口径统计与逐笔复利。</t>
        </r>
      </text>
    </comment>
    <comment ref="AG1" authorId="0">
      <text>
        <r>
          <rPr>
            <sz val="11"/>
            <color rgb="FF000000"/>
            <rFont val="宋体"/>
            <scheme val="minor"/>
            <charset val="0"/>
          </rPr>
          <t>开仓前必选：短期博反弹、突破冲新高或趋势波段。同时必须选择预期持有周期并填写选择理由。</t>
        </r>
      </text>
    </comment>
    <comment ref="AK1" authorId="0">
      <text>
        <r>
          <rPr>
            <sz val="11"/>
            <color rgb="FF000000"/>
            <rFont val="宋体"/>
            <scheme val="minor"/>
            <charset val="0"/>
          </rPr>
          <t>需要第二批时先填价格，再填股数；股数录入时会检查锁仓和风险上限。</t>
        </r>
      </text>
    </comment>
    <comment ref="AM1" authorId="0">
      <text>
        <r>
          <rPr>
            <sz val="11"/>
            <color rgb="FF000000"/>
            <rFont val="宋体"/>
            <scheme val="minor"/>
            <charset val="0"/>
          </rPr>
          <t>第三批必须在第二批完整后填写，同样采用先价格、后股数。</t>
        </r>
      </text>
    </comment>
    <comment ref="AR1" authorId="0">
      <text>
        <r>
          <rPr>
            <sz val="11"/>
            <color rgb="FF000000"/>
            <rFont val="宋体"/>
            <scheme val="minor"/>
            <charset val="0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1"/>
            <color rgb="FF000000"/>
            <rFont val="宋体"/>
            <scheme val="minor"/>
            <charset val="0"/>
          </rPr>
          <t>同一张表同时记录止损计划和每日跟踪；先选择记录类型，再填写对应的蓝色输入列。</t>
        </r>
      </text>
    </comment>
    <comment ref="S1" authorId="0">
      <text>
        <r>
          <rPr>
            <sz val="11"/>
            <color rgb="FF000000"/>
            <rFont val="宋体"/>
            <scheme val="minor"/>
            <charset val="0"/>
          </rPr>
          <t>当前有效止损取初始止损、已激活计划止损和历次人工上调止损的最大值，只升不降。</t>
        </r>
      </text>
    </comment>
  </commentList>
</comments>
</file>

<file path=xl/comments3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1"/>
            <color rgb="FF000000"/>
            <rFont val="宋体"/>
            <scheme val="minor"/>
            <charset val="0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<sst xmlns="http://schemas.openxmlformats.org/spreadsheetml/2006/main" count="16685" uniqueCount="16573">
  <si>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</si>
  <si>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</si>
  <si>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</si>
  <si>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</si>
  <si>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</si>
  <si>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</si>
  <si>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</si>
  <si>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</si>
  <si>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</si>
  <si>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</si>
  <si>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</t>
  </si>
  <si>
    <t>卖出股数</t>
  </si>
  <si>
    <t>卖出日期</t>
  </si>
  <si>
    <t>止损价</t>
  </si>
  <si>
    <t>买入总费用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</si>
  <si>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</si>
  <si>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</si>
  <si>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</si>
  <si>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</si>
  <si>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</si>
  <si>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</si>
  <si>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</si>
  <si>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</si>
  <si>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</si>
  <si>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</si>
  <si>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</si>
  <si>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</si>
  <si>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</si>
  <si>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</si>
  <si>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</si>
  <si>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</si>
  <si>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</si>
  <si>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</si>
  <si>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</si>
  <si>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</si>
  <si>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</si>
  <si>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第二批买入价</t>
  </si>
  <si>
    <t>第二批买入股数</t>
  </si>
  <si>
    <t>第三批买入价</t>
  </si>
  <si>
    <t>第三批买入股数</t>
  </si>
  <si>
    <t>实际加权买入价</t>
  </si>
  <si>
    <t>累计买入股数</t>
  </si>
  <si>
    <t>当前持仓风险</t>
  </si>
  <si>
    <t>分仓规则检查</t>
  </si>
  <si>
    <t>列2</t>
  </si>
  <si>
    <t>列3</t>
  </si>
  <si>
    <t>列4</t>
  </si>
  <si>
    <t>列5</t>
  </si>
  <si>
    <t>列6</t>
  </si>
  <si>
    <t>列7</t>
  </si>
  <si>
    <t>列8</t>
  </si>
  <si>
    <t>列9</t>
  </si>
  <si>
    <t>列10</t>
  </si>
  <si>
    <t>列11</t>
  </si>
  <si>
    <t>列12</t>
  </si>
  <si>
    <t>列13</t>
  </si>
  <si>
    <t>列14</t>
  </si>
  <si>
    <t>列15</t>
  </si>
  <si>
    <t>列16</t>
  </si>
  <si>
    <t>列17</t>
  </si>
  <si>
    <t>列18</t>
  </si>
  <si>
    <t>列19</t>
  </si>
  <si>
    <t>列20</t>
  </si>
  <si>
    <t>列21</t>
  </si>
  <si>
    <t>列22</t>
  </si>
  <si>
    <t>列23</t>
  </si>
  <si>
    <t>列24</t>
  </si>
  <si>
    <t>列25</t>
  </si>
  <si>
    <t>列26</t>
  </si>
  <si>
    <t>列27</t>
  </si>
  <si>
    <t>列28</t>
  </si>
  <si>
    <t>列29</t>
  </si>
  <si>
    <t>列30</t>
  </si>
  <si>
    <t>列31</t>
  </si>
  <si>
    <t>列32</t>
  </si>
  <si>
    <t>列33</t>
  </si>
  <si>
    <t>列34</t>
  </si>
  <si>
    <t>列35</t>
  </si>
  <si>
    <t>列36</t>
  </si>
  <si>
    <t>列37</t>
  </si>
  <si>
    <t>列38</t>
  </si>
  <si>
    <t>列39</t>
  </si>
  <si>
    <t>列40</t>
  </si>
  <si>
    <t>列41</t>
  </si>
  <si>
    <t>列42</t>
  </si>
  <si>
    <t>列43</t>
  </si>
  <si>
    <t>列44</t>
  </si>
  <si>
    <t>列45</t>
  </si>
  <si>
    <t>列46</t>
  </si>
  <si>
    <t>列47</t>
  </si>
  <si>
    <t>列48</t>
  </si>
  <si>
    <t>列49</t>
  </si>
  <si>
    <t>列50</t>
  </si>
  <si>
    <t>列51</t>
  </si>
  <si>
    <t>列52</t>
  </si>
  <si>
    <t>列53</t>
  </si>
  <si>
    <t>列54</t>
  </si>
  <si>
    <t>列55</t>
  </si>
  <si>
    <t>列56</t>
  </si>
  <si>
    <t>列57</t>
  </si>
  <si>
    <t>列58</t>
  </si>
  <si>
    <t>列59</t>
  </si>
  <si>
    <t>列60</t>
  </si>
  <si>
    <t>列61</t>
  </si>
  <si>
    <t>列62</t>
  </si>
  <si>
    <t>列63</t>
  </si>
  <si>
    <t>列64</t>
  </si>
  <si>
    <t>列65</t>
  </si>
  <si>
    <t>列66</t>
  </si>
  <si>
    <t>列67</t>
  </si>
  <si>
    <t>列68</t>
  </si>
  <si>
    <t>列69</t>
  </si>
  <si>
    <t>列70</t>
  </si>
  <si>
    <t>列71</t>
  </si>
  <si>
    <t>列72</t>
  </si>
  <si>
    <t>列73</t>
  </si>
  <si>
    <t>列74</t>
  </si>
  <si>
    <t>列75</t>
  </si>
  <si>
    <t>列76</t>
  </si>
  <si>
    <t>列77</t>
  </si>
  <si>
    <t>列78</t>
  </si>
  <si>
    <t>列79</t>
  </si>
  <si>
    <t>列80</t>
  </si>
  <si>
    <t>列81</t>
  </si>
  <si>
    <t>列82</t>
  </si>
  <si>
    <t>列83</t>
  </si>
  <si>
    <t>列84</t>
  </si>
  <si>
    <t>列85</t>
  </si>
  <si>
    <t>列86</t>
  </si>
  <si>
    <t>列87</t>
  </si>
  <si>
    <t>列88</t>
  </si>
  <si>
    <t>列89</t>
  </si>
  <si>
    <t>列90</t>
  </si>
  <si>
    <t>列91</t>
  </si>
  <si>
    <t>列92</t>
  </si>
  <si>
    <t>列93</t>
  </si>
  <si>
    <t>列94</t>
  </si>
  <si>
    <t>列95</t>
  </si>
  <si>
    <t>列96</t>
  </si>
  <si>
    <t>列97</t>
  </si>
  <si>
    <t>列98</t>
  </si>
  <si>
    <t>列99</t>
  </si>
  <si>
    <t>列100</t>
  </si>
  <si>
    <t>列101</t>
  </si>
  <si>
    <t>列102</t>
  </si>
  <si>
    <t>列103</t>
  </si>
  <si>
    <t>列104</t>
  </si>
  <si>
    <t>列105</t>
  </si>
  <si>
    <t>列106</t>
  </si>
  <si>
    <t>列107</t>
  </si>
  <si>
    <t>列108</t>
  </si>
  <si>
    <t>列109</t>
  </si>
  <si>
    <t>列110</t>
  </si>
  <si>
    <t>列111</t>
  </si>
  <si>
    <t>列112</t>
  </si>
  <si>
    <t>列113</t>
  </si>
  <si>
    <t>列114</t>
  </si>
  <si>
    <t>列115</t>
  </si>
  <si>
    <t>列116</t>
  </si>
  <si>
    <t>列117</t>
  </si>
  <si>
    <t>列118</t>
  </si>
  <si>
    <t>列119</t>
  </si>
  <si>
    <t>列120</t>
  </si>
  <si>
    <t>列121</t>
  </si>
  <si>
    <t>列122</t>
  </si>
  <si>
    <t>列123</t>
  </si>
  <si>
    <t>列124</t>
  </si>
  <si>
    <t>列125</t>
  </si>
  <si>
    <t>列126</t>
  </si>
  <si>
    <t>列127</t>
  </si>
  <si>
    <t>列128</t>
  </si>
  <si>
    <t>列129</t>
  </si>
  <si>
    <t>列130</t>
  </si>
  <si>
    <t>列131</t>
  </si>
  <si>
    <t>列132</t>
  </si>
  <si>
    <t>列133</t>
  </si>
  <si>
    <t>列134</t>
  </si>
  <si>
    <t>列135</t>
  </si>
  <si>
    <t>列136</t>
  </si>
  <si>
    <t>列137</t>
  </si>
  <si>
    <t>列138</t>
  </si>
  <si>
    <t>列139</t>
  </si>
  <si>
    <t>列140</t>
  </si>
  <si>
    <t>列141</t>
  </si>
  <si>
    <t>列142</t>
  </si>
  <si>
    <t>列143</t>
  </si>
  <si>
    <t>列144</t>
  </si>
  <si>
    <t>列145</t>
  </si>
  <si>
    <t>列146</t>
  </si>
  <si>
    <t>列147</t>
  </si>
  <si>
    <t>列148</t>
  </si>
  <si>
    <t>列149</t>
  </si>
  <si>
    <t>列150</t>
  </si>
  <si>
    <t>列151</t>
  </si>
  <si>
    <t>列152</t>
  </si>
  <si>
    <t>列153</t>
  </si>
  <si>
    <t>列154</t>
  </si>
  <si>
    <t>列155</t>
  </si>
  <si>
    <t>列156</t>
  </si>
  <si>
    <t>列157</t>
  </si>
  <si>
    <t>列158</t>
  </si>
  <si>
    <t>列159</t>
  </si>
  <si>
    <t>列160</t>
  </si>
  <si>
    <t>列161</t>
  </si>
  <si>
    <t>列162</t>
  </si>
  <si>
    <t>列163</t>
  </si>
  <si>
    <t>列164</t>
  </si>
  <si>
    <t>列165</t>
  </si>
  <si>
    <t>列166</t>
  </si>
  <si>
    <t>列167</t>
  </si>
  <si>
    <t>列168</t>
  </si>
  <si>
    <t>列169</t>
  </si>
  <si>
    <t>列170</t>
  </si>
  <si>
    <t>列171</t>
  </si>
  <si>
    <t>列172</t>
  </si>
  <si>
    <t>列173</t>
  </si>
  <si>
    <t>列174</t>
  </si>
  <si>
    <t>列175</t>
  </si>
  <si>
    <t>列176</t>
  </si>
  <si>
    <t>列177</t>
  </si>
  <si>
    <t>列178</t>
  </si>
  <si>
    <t>列179</t>
  </si>
  <si>
    <t>列180</t>
  </si>
  <si>
    <t>列181</t>
  </si>
  <si>
    <t>列182</t>
  </si>
  <si>
    <t>列183</t>
  </si>
  <si>
    <t>列184</t>
  </si>
  <si>
    <t>列185</t>
  </si>
  <si>
    <t>列186</t>
  </si>
  <si>
    <t>列187</t>
  </si>
  <si>
    <t>列188</t>
  </si>
  <si>
    <t>列189</t>
  </si>
  <si>
    <t>列190</t>
  </si>
  <si>
    <t>列191</t>
  </si>
  <si>
    <t>列192</t>
  </si>
  <si>
    <t>列193</t>
  </si>
  <si>
    <t>列194</t>
  </si>
  <si>
    <t>列195</t>
  </si>
  <si>
    <t>列196</t>
  </si>
  <si>
    <t>列197</t>
  </si>
  <si>
    <t>列198</t>
  </si>
  <si>
    <t>列199</t>
  </si>
  <si>
    <t>列200</t>
  </si>
  <si>
    <t>列201</t>
  </si>
  <si>
    <t>列202</t>
  </si>
  <si>
    <t>列203</t>
  </si>
  <si>
    <t>列204</t>
  </si>
  <si>
    <t>列205</t>
  </si>
  <si>
    <t>列206</t>
  </si>
  <si>
    <t>列207</t>
  </si>
  <si>
    <t>列208</t>
  </si>
  <si>
    <t>列209</t>
  </si>
  <si>
    <t>列210</t>
  </si>
  <si>
    <t>列211</t>
  </si>
  <si>
    <t>列212</t>
  </si>
  <si>
    <t>列213</t>
  </si>
  <si>
    <t>列214</t>
  </si>
  <si>
    <t>列215</t>
  </si>
  <si>
    <t>列216</t>
  </si>
  <si>
    <t>列217</t>
  </si>
  <si>
    <t>列218</t>
  </si>
  <si>
    <t>列219</t>
  </si>
  <si>
    <t>列220</t>
  </si>
  <si>
    <t>列221</t>
  </si>
  <si>
    <t>列222</t>
  </si>
  <si>
    <t>列223</t>
  </si>
  <si>
    <t>列224</t>
  </si>
  <si>
    <t>列225</t>
  </si>
  <si>
    <t>列226</t>
  </si>
  <si>
    <t>列227</t>
  </si>
  <si>
    <t>列228</t>
  </si>
  <si>
    <t>列229</t>
  </si>
  <si>
    <t>列230</t>
  </si>
  <si>
    <t>列231</t>
  </si>
  <si>
    <t>列232</t>
  </si>
  <si>
    <t>列233</t>
  </si>
  <si>
    <t>列234</t>
  </si>
  <si>
    <t>列235</t>
  </si>
  <si>
    <t>列236</t>
  </si>
  <si>
    <t>列237</t>
  </si>
  <si>
    <t>列238</t>
  </si>
  <si>
    <t>列239</t>
  </si>
  <si>
    <t>列240</t>
  </si>
  <si>
    <t>列241</t>
  </si>
  <si>
    <t>列242</t>
  </si>
  <si>
    <t>列243</t>
  </si>
  <si>
    <t>列244</t>
  </si>
  <si>
    <t>列245</t>
  </si>
  <si>
    <t>列246</t>
  </si>
  <si>
    <t>列247</t>
  </si>
  <si>
    <t>列248</t>
  </si>
  <si>
    <t>列249</t>
  </si>
  <si>
    <t>列250</t>
  </si>
  <si>
    <t>列251</t>
  </si>
  <si>
    <t>列252</t>
  </si>
  <si>
    <t>列253</t>
  </si>
  <si>
    <t>列254</t>
  </si>
  <si>
    <t>列255</t>
  </si>
  <si>
    <t>列256</t>
  </si>
  <si>
    <t>列257</t>
  </si>
  <si>
    <t>列258</t>
  </si>
  <si>
    <t>列259</t>
  </si>
  <si>
    <t>列260</t>
  </si>
  <si>
    <t>列261</t>
  </si>
  <si>
    <t>列262</t>
  </si>
  <si>
    <t>列263</t>
  </si>
  <si>
    <t>列264</t>
  </si>
  <si>
    <t>列265</t>
  </si>
  <si>
    <t>列266</t>
  </si>
  <si>
    <t>列267</t>
  </si>
  <si>
    <t>列268</t>
  </si>
  <si>
    <t>列269</t>
  </si>
  <si>
    <t>列270</t>
  </si>
  <si>
    <t>列271</t>
  </si>
  <si>
    <t>列272</t>
  </si>
  <si>
    <t>列273</t>
  </si>
  <si>
    <t>列274</t>
  </si>
  <si>
    <t>列275</t>
  </si>
  <si>
    <t>列276</t>
  </si>
  <si>
    <t>列277</t>
  </si>
  <si>
    <t>列278</t>
  </si>
  <si>
    <t>列279</t>
  </si>
  <si>
    <t>列280</t>
  </si>
  <si>
    <t>列281</t>
  </si>
  <si>
    <t>列282</t>
  </si>
  <si>
    <t>列283</t>
  </si>
  <si>
    <t>列284</t>
  </si>
  <si>
    <t>列285</t>
  </si>
  <si>
    <t>列286</t>
  </si>
  <si>
    <t>列287</t>
  </si>
  <si>
    <t>列288</t>
  </si>
  <si>
    <t>列289</t>
  </si>
  <si>
    <t>列290</t>
  </si>
  <si>
    <t>列291</t>
  </si>
  <si>
    <t>列292</t>
  </si>
  <si>
    <t>列293</t>
  </si>
  <si>
    <t>列294</t>
  </si>
  <si>
    <t>列295</t>
  </si>
  <si>
    <t>列296</t>
  </si>
  <si>
    <t>列297</t>
  </si>
  <si>
    <t>列298</t>
  </si>
  <si>
    <t>列299</t>
  </si>
  <si>
    <t>列300</t>
  </si>
  <si>
    <t>列301</t>
  </si>
  <si>
    <t>列302</t>
  </si>
  <si>
    <t>列303</t>
  </si>
  <si>
    <t>列304</t>
  </si>
  <si>
    <t>列305</t>
  </si>
  <si>
    <t>列306</t>
  </si>
  <si>
    <t>列307</t>
  </si>
  <si>
    <t>列308</t>
  </si>
  <si>
    <t>列309</t>
  </si>
  <si>
    <t>列310</t>
  </si>
  <si>
    <t>列311</t>
  </si>
  <si>
    <t>列312</t>
  </si>
  <si>
    <t>列313</t>
  </si>
  <si>
    <t>列314</t>
  </si>
  <si>
    <t>列315</t>
  </si>
  <si>
    <t>列316</t>
  </si>
  <si>
    <t>列317</t>
  </si>
  <si>
    <t>列318</t>
  </si>
  <si>
    <t>列319</t>
  </si>
  <si>
    <t>列320</t>
  </si>
  <si>
    <t>列321</t>
  </si>
  <si>
    <t>列322</t>
  </si>
  <si>
    <t>列323</t>
  </si>
  <si>
    <t>列324</t>
  </si>
  <si>
    <t>列325</t>
  </si>
  <si>
    <t>列326</t>
  </si>
  <si>
    <t>列327</t>
  </si>
  <si>
    <t>列328</t>
  </si>
  <si>
    <t>列329</t>
  </si>
  <si>
    <t>列330</t>
  </si>
  <si>
    <t>列331</t>
  </si>
  <si>
    <t>列332</t>
  </si>
  <si>
    <t>列333</t>
  </si>
  <si>
    <t>列334</t>
  </si>
  <si>
    <t>列335</t>
  </si>
  <si>
    <t>列336</t>
  </si>
  <si>
    <t>列337</t>
  </si>
  <si>
    <t>列338</t>
  </si>
  <si>
    <t>列339</t>
  </si>
  <si>
    <t>列340</t>
  </si>
  <si>
    <t>列341</t>
  </si>
  <si>
    <t>列342</t>
  </si>
  <si>
    <t>列343</t>
  </si>
  <si>
    <t>列344</t>
  </si>
  <si>
    <t>列345</t>
  </si>
  <si>
    <t>列346</t>
  </si>
  <si>
    <t>列347</t>
  </si>
  <si>
    <t>列348</t>
  </si>
  <si>
    <t>列349</t>
  </si>
  <si>
    <t>列350</t>
  </si>
  <si>
    <t>列351</t>
  </si>
  <si>
    <t>列352</t>
  </si>
  <si>
    <t>列353</t>
  </si>
  <si>
    <t>列354</t>
  </si>
  <si>
    <t>列355</t>
  </si>
  <si>
    <t>列356</t>
  </si>
  <si>
    <t>列357</t>
  </si>
  <si>
    <t>列358</t>
  </si>
  <si>
    <t>列359</t>
  </si>
  <si>
    <t>列360</t>
  </si>
  <si>
    <t>列361</t>
  </si>
  <si>
    <t>列362</t>
  </si>
  <si>
    <t>列363</t>
  </si>
  <si>
    <t>列364</t>
  </si>
  <si>
    <t>列365</t>
  </si>
  <si>
    <t>列366</t>
  </si>
  <si>
    <t>列367</t>
  </si>
  <si>
    <t>列368</t>
  </si>
  <si>
    <t>列369</t>
  </si>
  <si>
    <t>列370</t>
  </si>
  <si>
    <t>列371</t>
  </si>
  <si>
    <t>列372</t>
  </si>
  <si>
    <t>列373</t>
  </si>
  <si>
    <t>列374</t>
  </si>
  <si>
    <t>列375</t>
  </si>
  <si>
    <t>列376</t>
  </si>
  <si>
    <t>列377</t>
  </si>
  <si>
    <t>列378</t>
  </si>
  <si>
    <t>列379</t>
  </si>
  <si>
    <t>列380</t>
  </si>
  <si>
    <t>列381</t>
  </si>
  <si>
    <t>列382</t>
  </si>
  <si>
    <t>列383</t>
  </si>
  <si>
    <t>列384</t>
  </si>
  <si>
    <t>列385</t>
  </si>
  <si>
    <t>列386</t>
  </si>
  <si>
    <t>列387</t>
  </si>
  <si>
    <t>列388</t>
  </si>
  <si>
    <t>列389</t>
  </si>
  <si>
    <t>列390</t>
  </si>
  <si>
    <t>列391</t>
  </si>
  <si>
    <t>列392</t>
  </si>
  <si>
    <t>列393</t>
  </si>
  <si>
    <t>列394</t>
  </si>
  <si>
    <t>列395</t>
  </si>
  <si>
    <t>列396</t>
  </si>
  <si>
    <t>列397</t>
  </si>
  <si>
    <t>列398</t>
  </si>
  <si>
    <t>列399</t>
  </si>
  <si>
    <t>列400</t>
  </si>
  <si>
    <t>列401</t>
  </si>
  <si>
    <t>列402</t>
  </si>
  <si>
    <t>列403</t>
  </si>
  <si>
    <t>列404</t>
  </si>
  <si>
    <t>列405</t>
  </si>
  <si>
    <t>列406</t>
  </si>
  <si>
    <t>列407</t>
  </si>
  <si>
    <t>列408</t>
  </si>
  <si>
    <t>列409</t>
  </si>
  <si>
    <t>列410</t>
  </si>
  <si>
    <t>列411</t>
  </si>
  <si>
    <t>列412</t>
  </si>
  <si>
    <t>列413</t>
  </si>
  <si>
    <t>列414</t>
  </si>
  <si>
    <t>列415</t>
  </si>
  <si>
    <t>列416</t>
  </si>
  <si>
    <t>列417</t>
  </si>
  <si>
    <t>列418</t>
  </si>
  <si>
    <t>列419</t>
  </si>
  <si>
    <t>列420</t>
  </si>
  <si>
    <t>列421</t>
  </si>
  <si>
    <t>列422</t>
  </si>
  <si>
    <t>列423</t>
  </si>
  <si>
    <t>列424</t>
  </si>
  <si>
    <t>列425</t>
  </si>
  <si>
    <t>列426</t>
  </si>
  <si>
    <t>列427</t>
  </si>
  <si>
    <t>列428</t>
  </si>
  <si>
    <t>列429</t>
  </si>
  <si>
    <t>列430</t>
  </si>
  <si>
    <t>列431</t>
  </si>
  <si>
    <t>列432</t>
  </si>
  <si>
    <t>列433</t>
  </si>
  <si>
    <t>列434</t>
  </si>
  <si>
    <t>列435</t>
  </si>
  <si>
    <t>列436</t>
  </si>
  <si>
    <t>列437</t>
  </si>
  <si>
    <t>列438</t>
  </si>
  <si>
    <t>列439</t>
  </si>
  <si>
    <t>列440</t>
  </si>
  <si>
    <t>列441</t>
  </si>
  <si>
    <t>列442</t>
  </si>
  <si>
    <t>列443</t>
  </si>
  <si>
    <t>列444</t>
  </si>
  <si>
    <t>列445</t>
  </si>
  <si>
    <t>列446</t>
  </si>
  <si>
    <t>列447</t>
  </si>
  <si>
    <t>列448</t>
  </si>
  <si>
    <t>列449</t>
  </si>
  <si>
    <t>列450</t>
  </si>
  <si>
    <t>列451</t>
  </si>
  <si>
    <t>列452</t>
  </si>
  <si>
    <t>列453</t>
  </si>
  <si>
    <t>列454</t>
  </si>
  <si>
    <t>列455</t>
  </si>
  <si>
    <t>列456</t>
  </si>
  <si>
    <t>列457</t>
  </si>
  <si>
    <t>列458</t>
  </si>
  <si>
    <t>列459</t>
  </si>
  <si>
    <t>列460</t>
  </si>
  <si>
    <t>列461</t>
  </si>
  <si>
    <t>列462</t>
  </si>
  <si>
    <t>列463</t>
  </si>
  <si>
    <t>列464</t>
  </si>
  <si>
    <t>列465</t>
  </si>
  <si>
    <t>列466</t>
  </si>
  <si>
    <t>列467</t>
  </si>
  <si>
    <t>列468</t>
  </si>
  <si>
    <t>列469</t>
  </si>
  <si>
    <t>列470</t>
  </si>
  <si>
    <t>列471</t>
  </si>
  <si>
    <t>列472</t>
  </si>
  <si>
    <t>列473</t>
  </si>
  <si>
    <t>列474</t>
  </si>
  <si>
    <t>列475</t>
  </si>
  <si>
    <t>列476</t>
  </si>
  <si>
    <t>列477</t>
  </si>
  <si>
    <t>列478</t>
  </si>
  <si>
    <t>列479</t>
  </si>
  <si>
    <t>列480</t>
  </si>
  <si>
    <t>列481</t>
  </si>
  <si>
    <t>列482</t>
  </si>
  <si>
    <t>列483</t>
  </si>
  <si>
    <t>列484</t>
  </si>
  <si>
    <t>列485</t>
  </si>
  <si>
    <t>列486</t>
  </si>
  <si>
    <t>列487</t>
  </si>
  <si>
    <t>列488</t>
  </si>
  <si>
    <t>列489</t>
  </si>
  <si>
    <t>列490</t>
  </si>
  <si>
    <t>列491</t>
  </si>
  <si>
    <t>列492</t>
  </si>
  <si>
    <t>列493</t>
  </si>
  <si>
    <t>列494</t>
  </si>
  <si>
    <t>列495</t>
  </si>
  <si>
    <t>列496</t>
  </si>
  <si>
    <t>列497</t>
  </si>
  <si>
    <t>列498</t>
  </si>
  <si>
    <t>列499</t>
  </si>
  <si>
    <t>列500</t>
  </si>
  <si>
    <t>列501</t>
  </si>
  <si>
    <t>列502</t>
  </si>
  <si>
    <t>列503</t>
  </si>
  <si>
    <t>列504</t>
  </si>
  <si>
    <t>列505</t>
  </si>
  <si>
    <t>列506</t>
  </si>
  <si>
    <t>列507</t>
  </si>
  <si>
    <t>列508</t>
  </si>
  <si>
    <t>列509</t>
  </si>
  <si>
    <t>列510</t>
  </si>
  <si>
    <t>列511</t>
  </si>
  <si>
    <t>列512</t>
  </si>
  <si>
    <t>列513</t>
  </si>
  <si>
    <t>列514</t>
  </si>
  <si>
    <t>列515</t>
  </si>
  <si>
    <t>列516</t>
  </si>
  <si>
    <t>列517</t>
  </si>
  <si>
    <t>列518</t>
  </si>
  <si>
    <t>列519</t>
  </si>
  <si>
    <t>列520</t>
  </si>
  <si>
    <t>列521</t>
  </si>
  <si>
    <t>列522</t>
  </si>
  <si>
    <t>列523</t>
  </si>
  <si>
    <t>列524</t>
  </si>
  <si>
    <t>列525</t>
  </si>
  <si>
    <t>列526</t>
  </si>
  <si>
    <t>列527</t>
  </si>
  <si>
    <t>列528</t>
  </si>
  <si>
    <t>列529</t>
  </si>
  <si>
    <t>列530</t>
  </si>
  <si>
    <t>列531</t>
  </si>
  <si>
    <t>列532</t>
  </si>
  <si>
    <t>列533</t>
  </si>
  <si>
    <t>列534</t>
  </si>
  <si>
    <t>列535</t>
  </si>
  <si>
    <t>列536</t>
  </si>
  <si>
    <t>列537</t>
  </si>
  <si>
    <t>列538</t>
  </si>
  <si>
    <t>列539</t>
  </si>
  <si>
    <t>列540</t>
  </si>
  <si>
    <t>列541</t>
  </si>
  <si>
    <t>列542</t>
  </si>
  <si>
    <t>列543</t>
  </si>
  <si>
    <t>列544</t>
  </si>
  <si>
    <t>列545</t>
  </si>
  <si>
    <t>列546</t>
  </si>
  <si>
    <t>列547</t>
  </si>
  <si>
    <t>列548</t>
  </si>
  <si>
    <t>列549</t>
  </si>
  <si>
    <t>列550</t>
  </si>
  <si>
    <t>列551</t>
  </si>
  <si>
    <t>列552</t>
  </si>
  <si>
    <t>列553</t>
  </si>
  <si>
    <t>列554</t>
  </si>
  <si>
    <t>列555</t>
  </si>
  <si>
    <t>列556</t>
  </si>
  <si>
    <t>列557</t>
  </si>
  <si>
    <t>列558</t>
  </si>
  <si>
    <t>列559</t>
  </si>
  <si>
    <t>列560</t>
  </si>
  <si>
    <t>列561</t>
  </si>
  <si>
    <t>列562</t>
  </si>
  <si>
    <t>列563</t>
  </si>
  <si>
    <t>列564</t>
  </si>
  <si>
    <t>列565</t>
  </si>
  <si>
    <t>列566</t>
  </si>
  <si>
    <t>列567</t>
  </si>
  <si>
    <t>列568</t>
  </si>
  <si>
    <t>列569</t>
  </si>
  <si>
    <t>列570</t>
  </si>
  <si>
    <t>列571</t>
  </si>
  <si>
    <t>列572</t>
  </si>
  <si>
    <t>列573</t>
  </si>
  <si>
    <t>列574</t>
  </si>
  <si>
    <t>列575</t>
  </si>
  <si>
    <t>列576</t>
  </si>
  <si>
    <t>列577</t>
  </si>
  <si>
    <t>列578</t>
  </si>
  <si>
    <t>列579</t>
  </si>
  <si>
    <t>列580</t>
  </si>
  <si>
    <t>列581</t>
  </si>
  <si>
    <t>列582</t>
  </si>
  <si>
    <t>列583</t>
  </si>
  <si>
    <t>列584</t>
  </si>
  <si>
    <t>列585</t>
  </si>
  <si>
    <t>列586</t>
  </si>
  <si>
    <t>列587</t>
  </si>
  <si>
    <t>列588</t>
  </si>
  <si>
    <t>列589</t>
  </si>
  <si>
    <t>列590</t>
  </si>
  <si>
    <t>列591</t>
  </si>
  <si>
    <t>列592</t>
  </si>
  <si>
    <t>列593</t>
  </si>
  <si>
    <t>列594</t>
  </si>
  <si>
    <t>列595</t>
  </si>
  <si>
    <t>列596</t>
  </si>
  <si>
    <t>列597</t>
  </si>
  <si>
    <t>列598</t>
  </si>
  <si>
    <t>列599</t>
  </si>
  <si>
    <t>列600</t>
  </si>
  <si>
    <t>列601</t>
  </si>
  <si>
    <t>列602</t>
  </si>
  <si>
    <t>列603</t>
  </si>
  <si>
    <t>列604</t>
  </si>
  <si>
    <t>列605</t>
  </si>
  <si>
    <t>列606</t>
  </si>
  <si>
    <t>列607</t>
  </si>
  <si>
    <t>列608</t>
  </si>
  <si>
    <t>列609</t>
  </si>
  <si>
    <t>列610</t>
  </si>
  <si>
    <t>列611</t>
  </si>
  <si>
    <t>列612</t>
  </si>
  <si>
    <t>列613</t>
  </si>
  <si>
    <t>列614</t>
  </si>
  <si>
    <t>列615</t>
  </si>
  <si>
    <t>列616</t>
  </si>
  <si>
    <t>列617</t>
  </si>
  <si>
    <t>列618</t>
  </si>
  <si>
    <t>列619</t>
  </si>
  <si>
    <t>列620</t>
  </si>
  <si>
    <t>列621</t>
  </si>
  <si>
    <t>列622</t>
  </si>
  <si>
    <t>列623</t>
  </si>
  <si>
    <t>列624</t>
  </si>
  <si>
    <t>列625</t>
  </si>
  <si>
    <t>列626</t>
  </si>
  <si>
    <t>列627</t>
  </si>
  <si>
    <t>列628</t>
  </si>
  <si>
    <t>列629</t>
  </si>
  <si>
    <t>列630</t>
  </si>
  <si>
    <t>列631</t>
  </si>
  <si>
    <t>列632</t>
  </si>
  <si>
    <t>列633</t>
  </si>
  <si>
    <t>列634</t>
  </si>
  <si>
    <t>列635</t>
  </si>
  <si>
    <t>列636</t>
  </si>
  <si>
    <t>列637</t>
  </si>
  <si>
    <t>列638</t>
  </si>
  <si>
    <t>列639</t>
  </si>
  <si>
    <t>列640</t>
  </si>
  <si>
    <t>列641</t>
  </si>
  <si>
    <t>列642</t>
  </si>
  <si>
    <t>列643</t>
  </si>
  <si>
    <t>列644</t>
  </si>
  <si>
    <t>列645</t>
  </si>
  <si>
    <t>列646</t>
  </si>
  <si>
    <t>列647</t>
  </si>
  <si>
    <t>列648</t>
  </si>
  <si>
    <t>列649</t>
  </si>
  <si>
    <t>列650</t>
  </si>
  <si>
    <t>列651</t>
  </si>
  <si>
    <t>列652</t>
  </si>
  <si>
    <t>列653</t>
  </si>
  <si>
    <t>列654</t>
  </si>
  <si>
    <t>列655</t>
  </si>
  <si>
    <t>列656</t>
  </si>
  <si>
    <t>列657</t>
  </si>
  <si>
    <t>列658</t>
  </si>
  <si>
    <t>列659</t>
  </si>
  <si>
    <t>列660</t>
  </si>
  <si>
    <t>列661</t>
  </si>
  <si>
    <t>列662</t>
  </si>
  <si>
    <t>列663</t>
  </si>
  <si>
    <t>列664</t>
  </si>
  <si>
    <t>列665</t>
  </si>
  <si>
    <t>列666</t>
  </si>
  <si>
    <t>列667</t>
  </si>
  <si>
    <t>列668</t>
  </si>
  <si>
    <t>列669</t>
  </si>
  <si>
    <t>列670</t>
  </si>
  <si>
    <t>列671</t>
  </si>
  <si>
    <t>列672</t>
  </si>
  <si>
    <t>列673</t>
  </si>
  <si>
    <t>列674</t>
  </si>
  <si>
    <t>列675</t>
  </si>
  <si>
    <t>列676</t>
  </si>
  <si>
    <t>列677</t>
  </si>
  <si>
    <t>列678</t>
  </si>
  <si>
    <t>列679</t>
  </si>
  <si>
    <t>列680</t>
  </si>
  <si>
    <t>列681</t>
  </si>
  <si>
    <t>列682</t>
  </si>
  <si>
    <t>列683</t>
  </si>
  <si>
    <t>列684</t>
  </si>
  <si>
    <t>列685</t>
  </si>
  <si>
    <t>列686</t>
  </si>
  <si>
    <t>列687</t>
  </si>
  <si>
    <t>列688</t>
  </si>
  <si>
    <t>列689</t>
  </si>
  <si>
    <t>列690</t>
  </si>
  <si>
    <t>列691</t>
  </si>
  <si>
    <t>列692</t>
  </si>
  <si>
    <t>列693</t>
  </si>
  <si>
    <t>列694</t>
  </si>
  <si>
    <t>列695</t>
  </si>
  <si>
    <t>列696</t>
  </si>
  <si>
    <t>列697</t>
  </si>
  <si>
    <t>列698</t>
  </si>
  <si>
    <t>列699</t>
  </si>
  <si>
    <t>列700</t>
  </si>
  <si>
    <t>列701</t>
  </si>
  <si>
    <t>列702</t>
  </si>
  <si>
    <t>列703</t>
  </si>
  <si>
    <t>列704</t>
  </si>
  <si>
    <t>列705</t>
  </si>
  <si>
    <t>列706</t>
  </si>
  <si>
    <t>列707</t>
  </si>
  <si>
    <t>列708</t>
  </si>
  <si>
    <t>列709</t>
  </si>
  <si>
    <t>列710</t>
  </si>
  <si>
    <t>列711</t>
  </si>
  <si>
    <t>列712</t>
  </si>
  <si>
    <t>列713</t>
  </si>
  <si>
    <t>列714</t>
  </si>
  <si>
    <t>列715</t>
  </si>
  <si>
    <t>列716</t>
  </si>
  <si>
    <t>列717</t>
  </si>
  <si>
    <t>列718</t>
  </si>
  <si>
    <t>列719</t>
  </si>
  <si>
    <t>列720</t>
  </si>
  <si>
    <t>列721</t>
  </si>
  <si>
    <t>列722</t>
  </si>
  <si>
    <t>列723</t>
  </si>
  <si>
    <t>列724</t>
  </si>
  <si>
    <t>列725</t>
  </si>
  <si>
    <t>列726</t>
  </si>
  <si>
    <t>列727</t>
  </si>
  <si>
    <t>列728</t>
  </si>
  <si>
    <t>列729</t>
  </si>
  <si>
    <t>列730</t>
  </si>
  <si>
    <t>列731</t>
  </si>
  <si>
    <t>列732</t>
  </si>
  <si>
    <t>列733</t>
  </si>
  <si>
    <t>列734</t>
  </si>
  <si>
    <t>列735</t>
  </si>
  <si>
    <t>列736</t>
  </si>
  <si>
    <t>列737</t>
  </si>
  <si>
    <t>列738</t>
  </si>
  <si>
    <t>列739</t>
  </si>
  <si>
    <t>列740</t>
  </si>
  <si>
    <t>列741</t>
  </si>
  <si>
    <t>列742</t>
  </si>
  <si>
    <t>列743</t>
  </si>
  <si>
    <t>列744</t>
  </si>
  <si>
    <t>列745</t>
  </si>
  <si>
    <t>列746</t>
  </si>
  <si>
    <t>列747</t>
  </si>
  <si>
    <t>列748</t>
  </si>
  <si>
    <t>列749</t>
  </si>
  <si>
    <t>列750</t>
  </si>
  <si>
    <t>列751</t>
  </si>
  <si>
    <t>列752</t>
  </si>
  <si>
    <t>列753</t>
  </si>
  <si>
    <t>列754</t>
  </si>
  <si>
    <t>列755</t>
  </si>
  <si>
    <t>列756</t>
  </si>
  <si>
    <t>列757</t>
  </si>
  <si>
    <t>列758</t>
  </si>
  <si>
    <t>列759</t>
  </si>
  <si>
    <t>列760</t>
  </si>
  <si>
    <t>列761</t>
  </si>
  <si>
    <t>列762</t>
  </si>
  <si>
    <t>列763</t>
  </si>
  <si>
    <t>列764</t>
  </si>
  <si>
    <t>列765</t>
  </si>
  <si>
    <t>列766</t>
  </si>
  <si>
    <t>列767</t>
  </si>
  <si>
    <t>列768</t>
  </si>
  <si>
    <t>列769</t>
  </si>
  <si>
    <t>列770</t>
  </si>
  <si>
    <t>列771</t>
  </si>
  <si>
    <t>列772</t>
  </si>
  <si>
    <t>列773</t>
  </si>
  <si>
    <t>列774</t>
  </si>
  <si>
    <t>列775</t>
  </si>
  <si>
    <t>列776</t>
  </si>
  <si>
    <t>列777</t>
  </si>
  <si>
    <t>列778</t>
  </si>
  <si>
    <t>列779</t>
  </si>
  <si>
    <t>列780</t>
  </si>
  <si>
    <t>列781</t>
  </si>
  <si>
    <t>列782</t>
  </si>
  <si>
    <t>列783</t>
  </si>
  <si>
    <t>列784</t>
  </si>
  <si>
    <t>列785</t>
  </si>
  <si>
    <t>列786</t>
  </si>
  <si>
    <t>列787</t>
  </si>
  <si>
    <t>列788</t>
  </si>
  <si>
    <t>列789</t>
  </si>
  <si>
    <t>列790</t>
  </si>
  <si>
    <t>列791</t>
  </si>
  <si>
    <t>列792</t>
  </si>
  <si>
    <t>列793</t>
  </si>
  <si>
    <t>列794</t>
  </si>
  <si>
    <t>列795</t>
  </si>
  <si>
    <t>列796</t>
  </si>
  <si>
    <t>列797</t>
  </si>
  <si>
    <t>列798</t>
  </si>
  <si>
    <t>列799</t>
  </si>
  <si>
    <t>列800</t>
  </si>
  <si>
    <t>列801</t>
  </si>
  <si>
    <t>列802</t>
  </si>
  <si>
    <t>列803</t>
  </si>
  <si>
    <t>列804</t>
  </si>
  <si>
    <t>列805</t>
  </si>
  <si>
    <t>列806</t>
  </si>
  <si>
    <t>列807</t>
  </si>
  <si>
    <t>列808</t>
  </si>
  <si>
    <t>列809</t>
  </si>
  <si>
    <t>列810</t>
  </si>
  <si>
    <t>列811</t>
  </si>
  <si>
    <t>列812</t>
  </si>
  <si>
    <t>列813</t>
  </si>
  <si>
    <t>列814</t>
  </si>
  <si>
    <t>列815</t>
  </si>
  <si>
    <t>列816</t>
  </si>
  <si>
    <t>列817</t>
  </si>
  <si>
    <t>列818</t>
  </si>
  <si>
    <t>列819</t>
  </si>
  <si>
    <t>列820</t>
  </si>
  <si>
    <t>列821</t>
  </si>
  <si>
    <t>列822</t>
  </si>
  <si>
    <t>列823</t>
  </si>
  <si>
    <t>列824</t>
  </si>
  <si>
    <t>列825</t>
  </si>
  <si>
    <t>列826</t>
  </si>
  <si>
    <t>列827</t>
  </si>
  <si>
    <t>列828</t>
  </si>
  <si>
    <t>列829</t>
  </si>
  <si>
    <t>列830</t>
  </si>
  <si>
    <t>列831</t>
  </si>
  <si>
    <t>列832</t>
  </si>
  <si>
    <t>列833</t>
  </si>
  <si>
    <t>列834</t>
  </si>
  <si>
    <t>列835</t>
  </si>
  <si>
    <t>列836</t>
  </si>
  <si>
    <t>列837</t>
  </si>
  <si>
    <t>列838</t>
  </si>
  <si>
    <t>列839</t>
  </si>
  <si>
    <t>列840</t>
  </si>
  <si>
    <t>列841</t>
  </si>
  <si>
    <t>列842</t>
  </si>
  <si>
    <t>列843</t>
  </si>
  <si>
    <t>列844</t>
  </si>
  <si>
    <t>列845</t>
  </si>
  <si>
    <t>列846</t>
  </si>
  <si>
    <t>列847</t>
  </si>
  <si>
    <t>列848</t>
  </si>
  <si>
    <t>列849</t>
  </si>
  <si>
    <t>列850</t>
  </si>
  <si>
    <t>列851</t>
  </si>
  <si>
    <t>列852</t>
  </si>
  <si>
    <t>列853</t>
  </si>
  <si>
    <t>列854</t>
  </si>
  <si>
    <t>列855</t>
  </si>
  <si>
    <t>列856</t>
  </si>
  <si>
    <t>列857</t>
  </si>
  <si>
    <t>列858</t>
  </si>
  <si>
    <t>列859</t>
  </si>
  <si>
    <t>列860</t>
  </si>
  <si>
    <t>列861</t>
  </si>
  <si>
    <t>列862</t>
  </si>
  <si>
    <t>列863</t>
  </si>
  <si>
    <t>列864</t>
  </si>
  <si>
    <t>列865</t>
  </si>
  <si>
    <t>列866</t>
  </si>
  <si>
    <t>列867</t>
  </si>
  <si>
    <t>列868</t>
  </si>
  <si>
    <t>列869</t>
  </si>
  <si>
    <t>列870</t>
  </si>
  <si>
    <t>列871</t>
  </si>
  <si>
    <t>列872</t>
  </si>
  <si>
    <t>列873</t>
  </si>
  <si>
    <t>列874</t>
  </si>
  <si>
    <t>列875</t>
  </si>
  <si>
    <t>列876</t>
  </si>
  <si>
    <t>列877</t>
  </si>
  <si>
    <t>列878</t>
  </si>
  <si>
    <t>列879</t>
  </si>
  <si>
    <t>列880</t>
  </si>
  <si>
    <t>列881</t>
  </si>
  <si>
    <t>列882</t>
  </si>
  <si>
    <t>列883</t>
  </si>
  <si>
    <t>列884</t>
  </si>
  <si>
    <t>列885</t>
  </si>
  <si>
    <t>列886</t>
  </si>
  <si>
    <t>列887</t>
  </si>
  <si>
    <t>列888</t>
  </si>
  <si>
    <t>列889</t>
  </si>
  <si>
    <t>列890</t>
  </si>
  <si>
    <t>列891</t>
  </si>
  <si>
    <t>列892</t>
  </si>
  <si>
    <t>列893</t>
  </si>
  <si>
    <t>列894</t>
  </si>
  <si>
    <t>列895</t>
  </si>
  <si>
    <t>列896</t>
  </si>
  <si>
    <t>列897</t>
  </si>
  <si>
    <t>列898</t>
  </si>
  <si>
    <t>列899</t>
  </si>
  <si>
    <t>列900</t>
  </si>
  <si>
    <t>列901</t>
  </si>
  <si>
    <t>列902</t>
  </si>
  <si>
    <t>列903</t>
  </si>
  <si>
    <t>列904</t>
  </si>
  <si>
    <t>列905</t>
  </si>
  <si>
    <t>列906</t>
  </si>
  <si>
    <t>列907</t>
  </si>
  <si>
    <t>列908</t>
  </si>
  <si>
    <t>列909</t>
  </si>
  <si>
    <t>列910</t>
  </si>
  <si>
    <t>列911</t>
  </si>
  <si>
    <t>列912</t>
  </si>
  <si>
    <t>列913</t>
  </si>
  <si>
    <t>列914</t>
  </si>
  <si>
    <t>列915</t>
  </si>
  <si>
    <t>列916</t>
  </si>
  <si>
    <t>列917</t>
  </si>
  <si>
    <t>列918</t>
  </si>
  <si>
    <t>列919</t>
  </si>
  <si>
    <t>列920</t>
  </si>
  <si>
    <t>列921</t>
  </si>
  <si>
    <t>列922</t>
  </si>
  <si>
    <t>列923</t>
  </si>
  <si>
    <t>列924</t>
  </si>
  <si>
    <t>列925</t>
  </si>
  <si>
    <t>列926</t>
  </si>
  <si>
    <t>列927</t>
  </si>
  <si>
    <t>列928</t>
  </si>
  <si>
    <t>列929</t>
  </si>
  <si>
    <t>列930</t>
  </si>
  <si>
    <t>列931</t>
  </si>
  <si>
    <t>列932</t>
  </si>
  <si>
    <t>列933</t>
  </si>
  <si>
    <t>列934</t>
  </si>
  <si>
    <t>列935</t>
  </si>
  <si>
    <t>列936</t>
  </si>
  <si>
    <t>列937</t>
  </si>
  <si>
    <t>列938</t>
  </si>
  <si>
    <t>列939</t>
  </si>
  <si>
    <t>列940</t>
  </si>
  <si>
    <t>列941</t>
  </si>
  <si>
    <t>列942</t>
  </si>
  <si>
    <t>列943</t>
  </si>
  <si>
    <t>列944</t>
  </si>
  <si>
    <t>列945</t>
  </si>
  <si>
    <t>列946</t>
  </si>
  <si>
    <t>列947</t>
  </si>
  <si>
    <t>列948</t>
  </si>
  <si>
    <t>列949</t>
  </si>
  <si>
    <t>列950</t>
  </si>
  <si>
    <t>列951</t>
  </si>
  <si>
    <t>列952</t>
  </si>
  <si>
    <t>列953</t>
  </si>
  <si>
    <t>列954</t>
  </si>
  <si>
    <t>列955</t>
  </si>
  <si>
    <t>列956</t>
  </si>
  <si>
    <t>列957</t>
  </si>
  <si>
    <t>列958</t>
  </si>
  <si>
    <t>列959</t>
  </si>
  <si>
    <t>列960</t>
  </si>
  <si>
    <t>列961</t>
  </si>
  <si>
    <t>列962</t>
  </si>
  <si>
    <t>列963</t>
  </si>
  <si>
    <t>列964</t>
  </si>
  <si>
    <t>列965</t>
  </si>
  <si>
    <t>列966</t>
  </si>
  <si>
    <t>列967</t>
  </si>
  <si>
    <t>列968</t>
  </si>
  <si>
    <t>列969</t>
  </si>
  <si>
    <t>列970</t>
  </si>
  <si>
    <t>列971</t>
  </si>
  <si>
    <t>列972</t>
  </si>
  <si>
    <t>列973</t>
  </si>
  <si>
    <t>列974</t>
  </si>
  <si>
    <t>列975</t>
  </si>
  <si>
    <t>列976</t>
  </si>
  <si>
    <t>列977</t>
  </si>
  <si>
    <t>列978</t>
  </si>
  <si>
    <t>列979</t>
  </si>
  <si>
    <t>列980</t>
  </si>
  <si>
    <t>列981</t>
  </si>
  <si>
    <t>列982</t>
  </si>
  <si>
    <t>列983</t>
  </si>
  <si>
    <t>列984</t>
  </si>
  <si>
    <t>列985</t>
  </si>
  <si>
    <t>列986</t>
  </si>
  <si>
    <t>列987</t>
  </si>
  <si>
    <t>列988</t>
  </si>
  <si>
    <t>列989</t>
  </si>
  <si>
    <t>列990</t>
  </si>
  <si>
    <t>列991</t>
  </si>
  <si>
    <t>列992</t>
  </si>
  <si>
    <t>列993</t>
  </si>
  <si>
    <t>列994</t>
  </si>
  <si>
    <t>列995</t>
  </si>
  <si>
    <t>列996</t>
  </si>
  <si>
    <t>列997</t>
  </si>
  <si>
    <t>列998</t>
  </si>
  <si>
    <t>列999</t>
  </si>
  <si>
    <t>列1000</t>
  </si>
  <si>
    <t>列1001</t>
  </si>
  <si>
    <t>列1002</t>
  </si>
  <si>
    <t>列1003</t>
  </si>
  <si>
    <t>列1004</t>
  </si>
  <si>
    <t>列1005</t>
  </si>
  <si>
    <t>列1006</t>
  </si>
  <si>
    <t>列1007</t>
  </si>
  <si>
    <t>列1008</t>
  </si>
  <si>
    <t>列1009</t>
  </si>
  <si>
    <t>列1010</t>
  </si>
  <si>
    <t>列1011</t>
  </si>
  <si>
    <t>列1012</t>
  </si>
  <si>
    <t>列1013</t>
  </si>
  <si>
    <t>列1014</t>
  </si>
  <si>
    <t>列1015</t>
  </si>
  <si>
    <t>列1016</t>
  </si>
  <si>
    <t>列1017</t>
  </si>
  <si>
    <t>列1018</t>
  </si>
  <si>
    <t>列1019</t>
  </si>
  <si>
    <t>列1020</t>
  </si>
  <si>
    <t>列1021</t>
  </si>
  <si>
    <t>列1022</t>
  </si>
  <si>
    <t>列1023</t>
  </si>
  <si>
    <t>列1024</t>
  </si>
  <si>
    <t>列1025</t>
  </si>
  <si>
    <t>列1026</t>
  </si>
  <si>
    <t>列1027</t>
  </si>
  <si>
    <t>列1028</t>
  </si>
  <si>
    <t>列1029</t>
  </si>
  <si>
    <t>列1030</t>
  </si>
  <si>
    <t>列1031</t>
  </si>
  <si>
    <t>列1032</t>
  </si>
  <si>
    <t>列1033</t>
  </si>
  <si>
    <t>列1034</t>
  </si>
  <si>
    <t>列1035</t>
  </si>
  <si>
    <t>列1036</t>
  </si>
  <si>
    <t>列1037</t>
  </si>
  <si>
    <t>列1038</t>
  </si>
  <si>
    <t>列1039</t>
  </si>
  <si>
    <t>列1040</t>
  </si>
  <si>
    <t>列1041</t>
  </si>
  <si>
    <t>列1042</t>
  </si>
  <si>
    <t>列1043</t>
  </si>
  <si>
    <t>列1044</t>
  </si>
  <si>
    <t>列1045</t>
  </si>
  <si>
    <t>列1046</t>
  </si>
  <si>
    <t>列1047</t>
  </si>
  <si>
    <t>列1048</t>
  </si>
  <si>
    <t>列1049</t>
  </si>
  <si>
    <t>列1050</t>
  </si>
  <si>
    <t>列1051</t>
  </si>
  <si>
    <t>列1052</t>
  </si>
  <si>
    <t>列1053</t>
  </si>
  <si>
    <t>列1054</t>
  </si>
  <si>
    <t>列1055</t>
  </si>
  <si>
    <t>列1056</t>
  </si>
  <si>
    <t>列1057</t>
  </si>
  <si>
    <t>列1058</t>
  </si>
  <si>
    <t>列1059</t>
  </si>
  <si>
    <t>列1060</t>
  </si>
  <si>
    <t>列1061</t>
  </si>
  <si>
    <t>列1062</t>
  </si>
  <si>
    <t>列1063</t>
  </si>
  <si>
    <t>列1064</t>
  </si>
  <si>
    <t>列1065</t>
  </si>
  <si>
    <t>列1066</t>
  </si>
  <si>
    <t>列1067</t>
  </si>
  <si>
    <t>列1068</t>
  </si>
  <si>
    <t>列1069</t>
  </si>
  <si>
    <t>列1070</t>
  </si>
  <si>
    <t>列1071</t>
  </si>
  <si>
    <t>列1072</t>
  </si>
  <si>
    <t>列1073</t>
  </si>
  <si>
    <t>列1074</t>
  </si>
  <si>
    <t>列1075</t>
  </si>
  <si>
    <t>列1076</t>
  </si>
  <si>
    <t>列1077</t>
  </si>
  <si>
    <t>列1078</t>
  </si>
  <si>
    <t>列1079</t>
  </si>
  <si>
    <t>列1080</t>
  </si>
  <si>
    <t>列1081</t>
  </si>
  <si>
    <t>列1082</t>
  </si>
  <si>
    <t>列1083</t>
  </si>
  <si>
    <t>列1084</t>
  </si>
  <si>
    <t>列1085</t>
  </si>
  <si>
    <t>列1086</t>
  </si>
  <si>
    <t>列1087</t>
  </si>
  <si>
    <t>列1088</t>
  </si>
  <si>
    <t>列1089</t>
  </si>
  <si>
    <t>列1090</t>
  </si>
  <si>
    <t>列1091</t>
  </si>
  <si>
    <t>列1092</t>
  </si>
  <si>
    <t>列1093</t>
  </si>
  <si>
    <t>列1094</t>
  </si>
  <si>
    <t>列1095</t>
  </si>
  <si>
    <t>列1096</t>
  </si>
  <si>
    <t>列1097</t>
  </si>
  <si>
    <t>列1098</t>
  </si>
  <si>
    <t>列1099</t>
  </si>
  <si>
    <t>列1100</t>
  </si>
  <si>
    <t>列1101</t>
  </si>
  <si>
    <t>列1102</t>
  </si>
  <si>
    <t>列1103</t>
  </si>
  <si>
    <t>列1104</t>
  </si>
  <si>
    <t>列1105</t>
  </si>
  <si>
    <t>列1106</t>
  </si>
  <si>
    <t>列1107</t>
  </si>
  <si>
    <t>列1108</t>
  </si>
  <si>
    <t>列1109</t>
  </si>
  <si>
    <t>列1110</t>
  </si>
  <si>
    <t>列1111</t>
  </si>
  <si>
    <t>列1112</t>
  </si>
  <si>
    <t>列1113</t>
  </si>
  <si>
    <t>列1114</t>
  </si>
  <si>
    <t>列1115</t>
  </si>
  <si>
    <t>列1116</t>
  </si>
  <si>
    <t>列1117</t>
  </si>
  <si>
    <t>列1118</t>
  </si>
  <si>
    <t>列1119</t>
  </si>
  <si>
    <t>列1120</t>
  </si>
  <si>
    <t>列1121</t>
  </si>
  <si>
    <t>列1122</t>
  </si>
  <si>
    <t>列1123</t>
  </si>
  <si>
    <t>列1124</t>
  </si>
  <si>
    <t>列1125</t>
  </si>
  <si>
    <t>列1126</t>
  </si>
  <si>
    <t>列1127</t>
  </si>
  <si>
    <t>列1128</t>
  </si>
  <si>
    <t>列1129</t>
  </si>
  <si>
    <t>列1130</t>
  </si>
  <si>
    <t>列1131</t>
  </si>
  <si>
    <t>列1132</t>
  </si>
  <si>
    <t>列1133</t>
  </si>
  <si>
    <t>列1134</t>
  </si>
  <si>
    <t>列1135</t>
  </si>
  <si>
    <t>列1136</t>
  </si>
  <si>
    <t>列1137</t>
  </si>
  <si>
    <t>列1138</t>
  </si>
  <si>
    <t>列1139</t>
  </si>
  <si>
    <t>列1140</t>
  </si>
  <si>
    <t>列1141</t>
  </si>
  <si>
    <t>列1142</t>
  </si>
  <si>
    <t>列1143</t>
  </si>
  <si>
    <t>列1144</t>
  </si>
  <si>
    <t>列1145</t>
  </si>
  <si>
    <t>列1146</t>
  </si>
  <si>
    <t>列1147</t>
  </si>
  <si>
    <t>列1148</t>
  </si>
  <si>
    <t>列1149</t>
  </si>
  <si>
    <t>列1150</t>
  </si>
  <si>
    <t>列1151</t>
  </si>
  <si>
    <t>列1152</t>
  </si>
  <si>
    <t>列1153</t>
  </si>
  <si>
    <t>列1154</t>
  </si>
  <si>
    <t>列1155</t>
  </si>
  <si>
    <t>列1156</t>
  </si>
  <si>
    <t>列1157</t>
  </si>
  <si>
    <t>列1158</t>
  </si>
  <si>
    <t>列1159</t>
  </si>
  <si>
    <t>列1160</t>
  </si>
  <si>
    <t>列1161</t>
  </si>
  <si>
    <t>列1162</t>
  </si>
  <si>
    <t>列1163</t>
  </si>
  <si>
    <t>列1164</t>
  </si>
  <si>
    <t>列1165</t>
  </si>
  <si>
    <t>列1166</t>
  </si>
  <si>
    <t>列1167</t>
  </si>
  <si>
    <t>列1168</t>
  </si>
  <si>
    <t>列1169</t>
  </si>
  <si>
    <t>列1170</t>
  </si>
  <si>
    <t>列1171</t>
  </si>
  <si>
    <t>列1172</t>
  </si>
  <si>
    <t>列1173</t>
  </si>
  <si>
    <t>列1174</t>
  </si>
  <si>
    <t>列1175</t>
  </si>
  <si>
    <t>列1176</t>
  </si>
  <si>
    <t>列1177</t>
  </si>
  <si>
    <t>列1178</t>
  </si>
  <si>
    <t>列1179</t>
  </si>
  <si>
    <t>列1180</t>
  </si>
  <si>
    <t>列1181</t>
  </si>
  <si>
    <t>列1182</t>
  </si>
  <si>
    <t>列1183</t>
  </si>
  <si>
    <t>列1184</t>
  </si>
  <si>
    <t>列1185</t>
  </si>
  <si>
    <t>列1186</t>
  </si>
  <si>
    <t>列1187</t>
  </si>
  <si>
    <t>列1188</t>
  </si>
  <si>
    <t>列1189</t>
  </si>
  <si>
    <t>列1190</t>
  </si>
  <si>
    <t>列1191</t>
  </si>
  <si>
    <t>列1192</t>
  </si>
  <si>
    <t>列1193</t>
  </si>
  <si>
    <t>列1194</t>
  </si>
  <si>
    <t>列1195</t>
  </si>
  <si>
    <t>列1196</t>
  </si>
  <si>
    <t>列1197</t>
  </si>
  <si>
    <t>列1198</t>
  </si>
  <si>
    <t>列1199</t>
  </si>
  <si>
    <t>列1200</t>
  </si>
  <si>
    <t>列1201</t>
  </si>
  <si>
    <t>列1202</t>
  </si>
  <si>
    <t>列1203</t>
  </si>
  <si>
    <t>列1204</t>
  </si>
  <si>
    <t>列1205</t>
  </si>
  <si>
    <t>列1206</t>
  </si>
  <si>
    <t>列1207</t>
  </si>
  <si>
    <t>列1208</t>
  </si>
  <si>
    <t>列1209</t>
  </si>
  <si>
    <t>列1210</t>
  </si>
  <si>
    <t>列1211</t>
  </si>
  <si>
    <t>列1212</t>
  </si>
  <si>
    <t>列1213</t>
  </si>
  <si>
    <t>列1214</t>
  </si>
  <si>
    <t>列1215</t>
  </si>
  <si>
    <t>列1216</t>
  </si>
  <si>
    <t>列1217</t>
  </si>
  <si>
    <t>列1218</t>
  </si>
  <si>
    <t>列1219</t>
  </si>
  <si>
    <t>列1220</t>
  </si>
  <si>
    <t>列1221</t>
  </si>
  <si>
    <t>列1222</t>
  </si>
  <si>
    <t>列1223</t>
  </si>
  <si>
    <t>列1224</t>
  </si>
  <si>
    <t>列1225</t>
  </si>
  <si>
    <t>列1226</t>
  </si>
  <si>
    <t>列1227</t>
  </si>
  <si>
    <t>列1228</t>
  </si>
  <si>
    <t>列1229</t>
  </si>
  <si>
    <t>列1230</t>
  </si>
  <si>
    <t>列1231</t>
  </si>
  <si>
    <t>列1232</t>
  </si>
  <si>
    <t>列1233</t>
  </si>
  <si>
    <t>列1234</t>
  </si>
  <si>
    <t>列1235</t>
  </si>
  <si>
    <t>列1236</t>
  </si>
  <si>
    <t>列1237</t>
  </si>
  <si>
    <t>列1238</t>
  </si>
  <si>
    <t>列1239</t>
  </si>
  <si>
    <t>列1240</t>
  </si>
  <si>
    <t>列1241</t>
  </si>
  <si>
    <t>列1242</t>
  </si>
  <si>
    <t>列1243</t>
  </si>
  <si>
    <t>列1244</t>
  </si>
  <si>
    <t>列1245</t>
  </si>
  <si>
    <t>列1246</t>
  </si>
  <si>
    <t>列1247</t>
  </si>
  <si>
    <t>列1248</t>
  </si>
  <si>
    <t>列1249</t>
  </si>
  <si>
    <t>列1250</t>
  </si>
  <si>
    <t>列1251</t>
  </si>
  <si>
    <t>列1252</t>
  </si>
  <si>
    <t>列1253</t>
  </si>
  <si>
    <t>列1254</t>
  </si>
  <si>
    <t>列1255</t>
  </si>
  <si>
    <t>列1256</t>
  </si>
  <si>
    <t>列1257</t>
  </si>
  <si>
    <t>列1258</t>
  </si>
  <si>
    <t>列1259</t>
  </si>
  <si>
    <t>列1260</t>
  </si>
  <si>
    <t>列1261</t>
  </si>
  <si>
    <t>列1262</t>
  </si>
  <si>
    <t>列1263</t>
  </si>
  <si>
    <t>列1264</t>
  </si>
  <si>
    <t>列1265</t>
  </si>
  <si>
    <t>列1266</t>
  </si>
  <si>
    <t>列1267</t>
  </si>
  <si>
    <t>列1268</t>
  </si>
  <si>
    <t>列1269</t>
  </si>
  <si>
    <t>列1270</t>
  </si>
  <si>
    <t>列1271</t>
  </si>
  <si>
    <t>列1272</t>
  </si>
  <si>
    <t>列1273</t>
  </si>
  <si>
    <t>列1274</t>
  </si>
  <si>
    <t>列1275</t>
  </si>
  <si>
    <t>列1276</t>
  </si>
  <si>
    <t>列1277</t>
  </si>
  <si>
    <t>列1278</t>
  </si>
  <si>
    <t>列1279</t>
  </si>
  <si>
    <t>列1280</t>
  </si>
  <si>
    <t>列1281</t>
  </si>
  <si>
    <t>列1282</t>
  </si>
  <si>
    <t>列1283</t>
  </si>
  <si>
    <t>列1284</t>
  </si>
  <si>
    <t>列1285</t>
  </si>
  <si>
    <t>列1286</t>
  </si>
  <si>
    <t>列1287</t>
  </si>
  <si>
    <t>列1288</t>
  </si>
  <si>
    <t>列1289</t>
  </si>
  <si>
    <t>列1290</t>
  </si>
  <si>
    <t>列1291</t>
  </si>
  <si>
    <t>列1292</t>
  </si>
  <si>
    <t>列1293</t>
  </si>
  <si>
    <t>列1294</t>
  </si>
  <si>
    <t>列1295</t>
  </si>
  <si>
    <t>列1296</t>
  </si>
  <si>
    <t>列1297</t>
  </si>
  <si>
    <t>列1298</t>
  </si>
  <si>
    <t>列1299</t>
  </si>
  <si>
    <t>列1300</t>
  </si>
  <si>
    <t>列1301</t>
  </si>
  <si>
    <t>列1302</t>
  </si>
  <si>
    <t>列1303</t>
  </si>
  <si>
    <t>列1304</t>
  </si>
  <si>
    <t>列1305</t>
  </si>
  <si>
    <t>列1306</t>
  </si>
  <si>
    <t>列1307</t>
  </si>
  <si>
    <t>列1308</t>
  </si>
  <si>
    <t>列1309</t>
  </si>
  <si>
    <t>列1310</t>
  </si>
  <si>
    <t>列1311</t>
  </si>
  <si>
    <t>列1312</t>
  </si>
  <si>
    <t>列1313</t>
  </si>
  <si>
    <t>列1314</t>
  </si>
  <si>
    <t>列1315</t>
  </si>
  <si>
    <t>列1316</t>
  </si>
  <si>
    <t>列1317</t>
  </si>
  <si>
    <t>列1318</t>
  </si>
  <si>
    <t>列1319</t>
  </si>
  <si>
    <t>列1320</t>
  </si>
  <si>
    <t>列1321</t>
  </si>
  <si>
    <t>列1322</t>
  </si>
  <si>
    <t>列1323</t>
  </si>
  <si>
    <t>列1324</t>
  </si>
  <si>
    <t>列1325</t>
  </si>
  <si>
    <t>列1326</t>
  </si>
  <si>
    <t>列1327</t>
  </si>
  <si>
    <t>列1328</t>
  </si>
  <si>
    <t>列1329</t>
  </si>
  <si>
    <t>列1330</t>
  </si>
  <si>
    <t>列1331</t>
  </si>
  <si>
    <t>列1332</t>
  </si>
  <si>
    <t>列1333</t>
  </si>
  <si>
    <t>列1334</t>
  </si>
  <si>
    <t>列1335</t>
  </si>
  <si>
    <t>列1336</t>
  </si>
  <si>
    <t>列1337</t>
  </si>
  <si>
    <t>列1338</t>
  </si>
  <si>
    <t>列1339</t>
  </si>
  <si>
    <t>列1340</t>
  </si>
  <si>
    <t>列1341</t>
  </si>
  <si>
    <t>列1342</t>
  </si>
  <si>
    <t>列1343</t>
  </si>
  <si>
    <t>列1344</t>
  </si>
  <si>
    <t>列1345</t>
  </si>
  <si>
    <t>列1346</t>
  </si>
  <si>
    <t>列1347</t>
  </si>
  <si>
    <t>列1348</t>
  </si>
  <si>
    <t>列1349</t>
  </si>
  <si>
    <t>列1350</t>
  </si>
  <si>
    <t>列1351</t>
  </si>
  <si>
    <t>列1352</t>
  </si>
  <si>
    <t>列1353</t>
  </si>
  <si>
    <t>列1354</t>
  </si>
  <si>
    <t>列1355</t>
  </si>
  <si>
    <t>列1356</t>
  </si>
  <si>
    <t>列1357</t>
  </si>
  <si>
    <t>列1358</t>
  </si>
  <si>
    <t>列1359</t>
  </si>
  <si>
    <t>列1360</t>
  </si>
  <si>
    <t>列1361</t>
  </si>
  <si>
    <t>列1362</t>
  </si>
  <si>
    <t>列1363</t>
  </si>
  <si>
    <t>列1364</t>
  </si>
  <si>
    <t>列1365</t>
  </si>
  <si>
    <t>列1366</t>
  </si>
  <si>
    <t>列1367</t>
  </si>
  <si>
    <t>列1368</t>
  </si>
  <si>
    <t>列1369</t>
  </si>
  <si>
    <t>列1370</t>
  </si>
  <si>
    <t>列1371</t>
  </si>
  <si>
    <t>列1372</t>
  </si>
  <si>
    <t>列1373</t>
  </si>
  <si>
    <t>列1374</t>
  </si>
  <si>
    <t>列1375</t>
  </si>
  <si>
    <t>列1376</t>
  </si>
  <si>
    <t>列1377</t>
  </si>
  <si>
    <t>列1378</t>
  </si>
  <si>
    <t>列1379</t>
  </si>
  <si>
    <t>列1380</t>
  </si>
  <si>
    <t>列1381</t>
  </si>
  <si>
    <t>列1382</t>
  </si>
  <si>
    <t>列1383</t>
  </si>
  <si>
    <t>列1384</t>
  </si>
  <si>
    <t>列1385</t>
  </si>
  <si>
    <t>列1386</t>
  </si>
  <si>
    <t>列1387</t>
  </si>
  <si>
    <t>列1388</t>
  </si>
  <si>
    <t>列1389</t>
  </si>
  <si>
    <t>列1390</t>
  </si>
  <si>
    <t>列1391</t>
  </si>
  <si>
    <t>列1392</t>
  </si>
  <si>
    <t>列1393</t>
  </si>
  <si>
    <t>列1394</t>
  </si>
  <si>
    <t>列1395</t>
  </si>
  <si>
    <t>列1396</t>
  </si>
  <si>
    <t>列1397</t>
  </si>
  <si>
    <t>列1398</t>
  </si>
  <si>
    <t>列1399</t>
  </si>
  <si>
    <t>列1400</t>
  </si>
  <si>
    <t>列1401</t>
  </si>
  <si>
    <t>列1402</t>
  </si>
  <si>
    <t>列1403</t>
  </si>
  <si>
    <t>列1404</t>
  </si>
  <si>
    <t>列1405</t>
  </si>
  <si>
    <t>列1406</t>
  </si>
  <si>
    <t>列1407</t>
  </si>
  <si>
    <t>列1408</t>
  </si>
  <si>
    <t>列1409</t>
  </si>
  <si>
    <t>列1410</t>
  </si>
  <si>
    <t>列1411</t>
  </si>
  <si>
    <t>列1412</t>
  </si>
  <si>
    <t>列1413</t>
  </si>
  <si>
    <t>列1414</t>
  </si>
  <si>
    <t>列1415</t>
  </si>
  <si>
    <t>列1416</t>
  </si>
  <si>
    <t>列1417</t>
  </si>
  <si>
    <t>列1418</t>
  </si>
  <si>
    <t>列1419</t>
  </si>
  <si>
    <t>列1420</t>
  </si>
  <si>
    <t>列1421</t>
  </si>
  <si>
    <t>列1422</t>
  </si>
  <si>
    <t>列1423</t>
  </si>
  <si>
    <t>列1424</t>
  </si>
  <si>
    <t>列1425</t>
  </si>
  <si>
    <t>列1426</t>
  </si>
  <si>
    <t>列1427</t>
  </si>
  <si>
    <t>列1428</t>
  </si>
  <si>
    <t>列1429</t>
  </si>
  <si>
    <t>列1430</t>
  </si>
  <si>
    <t>列1431</t>
  </si>
  <si>
    <t>列1432</t>
  </si>
  <si>
    <t>列1433</t>
  </si>
  <si>
    <t>列1434</t>
  </si>
  <si>
    <t>列1435</t>
  </si>
  <si>
    <t>列1436</t>
  </si>
  <si>
    <t>列1437</t>
  </si>
  <si>
    <t>列1438</t>
  </si>
  <si>
    <t>列1439</t>
  </si>
  <si>
    <t>列1440</t>
  </si>
  <si>
    <t>列1441</t>
  </si>
  <si>
    <t>列1442</t>
  </si>
  <si>
    <t>列1443</t>
  </si>
  <si>
    <t>列1444</t>
  </si>
  <si>
    <t>列1445</t>
  </si>
  <si>
    <t>列1446</t>
  </si>
  <si>
    <t>列1447</t>
  </si>
  <si>
    <t>列1448</t>
  </si>
  <si>
    <t>列1449</t>
  </si>
  <si>
    <t>列1450</t>
  </si>
  <si>
    <t>列1451</t>
  </si>
  <si>
    <t>列1452</t>
  </si>
  <si>
    <t>列1453</t>
  </si>
  <si>
    <t>列1454</t>
  </si>
  <si>
    <t>列1455</t>
  </si>
  <si>
    <t>列1456</t>
  </si>
  <si>
    <t>列1457</t>
  </si>
  <si>
    <t>列1458</t>
  </si>
  <si>
    <t>列1459</t>
  </si>
  <si>
    <t>列1460</t>
  </si>
  <si>
    <t>列1461</t>
  </si>
  <si>
    <t>列1462</t>
  </si>
  <si>
    <t>列1463</t>
  </si>
  <si>
    <t>列1464</t>
  </si>
  <si>
    <t>列1465</t>
  </si>
  <si>
    <t>列1466</t>
  </si>
  <si>
    <t>列1467</t>
  </si>
  <si>
    <t>列1468</t>
  </si>
  <si>
    <t>列1469</t>
  </si>
  <si>
    <t>列1470</t>
  </si>
  <si>
    <t>列1471</t>
  </si>
  <si>
    <t>列1472</t>
  </si>
  <si>
    <t>列1473</t>
  </si>
  <si>
    <t>列1474</t>
  </si>
  <si>
    <t>列1475</t>
  </si>
  <si>
    <t>列1476</t>
  </si>
  <si>
    <t>列1477</t>
  </si>
  <si>
    <t>列1478</t>
  </si>
  <si>
    <t>列1479</t>
  </si>
  <si>
    <t>列1480</t>
  </si>
  <si>
    <t>列1481</t>
  </si>
  <si>
    <t>列1482</t>
  </si>
  <si>
    <t>列1483</t>
  </si>
  <si>
    <t>列1484</t>
  </si>
  <si>
    <t>列1485</t>
  </si>
  <si>
    <t>列1486</t>
  </si>
  <si>
    <t>列1487</t>
  </si>
  <si>
    <t>列1488</t>
  </si>
  <si>
    <t>列1489</t>
  </si>
  <si>
    <t>列1490</t>
  </si>
  <si>
    <t>列1491</t>
  </si>
  <si>
    <t>列1492</t>
  </si>
  <si>
    <t>列1493</t>
  </si>
  <si>
    <t>列1494</t>
  </si>
  <si>
    <t>列1495</t>
  </si>
  <si>
    <t>列1496</t>
  </si>
  <si>
    <t>列1497</t>
  </si>
  <si>
    <t>列1498</t>
  </si>
  <si>
    <t>列1499</t>
  </si>
  <si>
    <t>列1500</t>
  </si>
  <si>
    <t>列1501</t>
  </si>
  <si>
    <t>列1502</t>
  </si>
  <si>
    <t>列1503</t>
  </si>
  <si>
    <t>列1504</t>
  </si>
  <si>
    <t>列1505</t>
  </si>
  <si>
    <t>列1506</t>
  </si>
  <si>
    <t>列1507</t>
  </si>
  <si>
    <t>列1508</t>
  </si>
  <si>
    <t>列1509</t>
  </si>
  <si>
    <t>列1510</t>
  </si>
  <si>
    <t>列1511</t>
  </si>
  <si>
    <t>列1512</t>
  </si>
  <si>
    <t>列1513</t>
  </si>
  <si>
    <t>列1514</t>
  </si>
  <si>
    <t>列1515</t>
  </si>
  <si>
    <t>列1516</t>
  </si>
  <si>
    <t>列1517</t>
  </si>
  <si>
    <t>列1518</t>
  </si>
  <si>
    <t>列1519</t>
  </si>
  <si>
    <t>列1520</t>
  </si>
  <si>
    <t>列1521</t>
  </si>
  <si>
    <t>列1522</t>
  </si>
  <si>
    <t>列1523</t>
  </si>
  <si>
    <t>列1524</t>
  </si>
  <si>
    <t>列1525</t>
  </si>
  <si>
    <t>列1526</t>
  </si>
  <si>
    <t>列1527</t>
  </si>
  <si>
    <t>列1528</t>
  </si>
  <si>
    <t>列1529</t>
  </si>
  <si>
    <t>列1530</t>
  </si>
  <si>
    <t>列1531</t>
  </si>
  <si>
    <t>列1532</t>
  </si>
  <si>
    <t>列1533</t>
  </si>
  <si>
    <t>列1534</t>
  </si>
  <si>
    <t>列1535</t>
  </si>
  <si>
    <t>列1536</t>
  </si>
  <si>
    <t>列1537</t>
  </si>
  <si>
    <t>列1538</t>
  </si>
  <si>
    <t>列1539</t>
  </si>
  <si>
    <t>列1540</t>
  </si>
  <si>
    <t>列1541</t>
  </si>
  <si>
    <t>列1542</t>
  </si>
  <si>
    <t>列1543</t>
  </si>
  <si>
    <t>列1544</t>
  </si>
  <si>
    <t>列1545</t>
  </si>
  <si>
    <t>列1546</t>
  </si>
  <si>
    <t>列1547</t>
  </si>
  <si>
    <t>列1548</t>
  </si>
  <si>
    <t>列1549</t>
  </si>
  <si>
    <t>列1550</t>
  </si>
  <si>
    <t>列1551</t>
  </si>
  <si>
    <t>列1552</t>
  </si>
  <si>
    <t>列1553</t>
  </si>
  <si>
    <t>列1554</t>
  </si>
  <si>
    <t>列1555</t>
  </si>
  <si>
    <t>列1556</t>
  </si>
  <si>
    <t>列1557</t>
  </si>
  <si>
    <t>列1558</t>
  </si>
  <si>
    <t>列1559</t>
  </si>
  <si>
    <t>列1560</t>
  </si>
  <si>
    <t>列1561</t>
  </si>
  <si>
    <t>列1562</t>
  </si>
  <si>
    <t>列1563</t>
  </si>
  <si>
    <t>列1564</t>
  </si>
  <si>
    <t>列1565</t>
  </si>
  <si>
    <t>列1566</t>
  </si>
  <si>
    <t>列1567</t>
  </si>
  <si>
    <t>列1568</t>
  </si>
  <si>
    <t>列1569</t>
  </si>
  <si>
    <t>列1570</t>
  </si>
  <si>
    <t>列1571</t>
  </si>
  <si>
    <t>列1572</t>
  </si>
  <si>
    <t>列1573</t>
  </si>
  <si>
    <t>列1574</t>
  </si>
  <si>
    <t>列1575</t>
  </si>
  <si>
    <t>列1576</t>
  </si>
  <si>
    <t>列1577</t>
  </si>
  <si>
    <t>列1578</t>
  </si>
  <si>
    <t>列1579</t>
  </si>
  <si>
    <t>列1580</t>
  </si>
  <si>
    <t>列1581</t>
  </si>
  <si>
    <t>列1582</t>
  </si>
  <si>
    <t>列1583</t>
  </si>
  <si>
    <t>列1584</t>
  </si>
  <si>
    <t>列1585</t>
  </si>
  <si>
    <t>列1586</t>
  </si>
  <si>
    <t>列1587</t>
  </si>
  <si>
    <t>列1588</t>
  </si>
  <si>
    <t>列1589</t>
  </si>
  <si>
    <t>列1590</t>
  </si>
  <si>
    <t>列1591</t>
  </si>
  <si>
    <t>列1592</t>
  </si>
  <si>
    <t>列1593</t>
  </si>
  <si>
    <t>列1594</t>
  </si>
  <si>
    <t>列1595</t>
  </si>
  <si>
    <t>列1596</t>
  </si>
  <si>
    <t>列1597</t>
  </si>
  <si>
    <t>列1598</t>
  </si>
  <si>
    <t>列1599</t>
  </si>
  <si>
    <t>列1600</t>
  </si>
  <si>
    <t>列1601</t>
  </si>
  <si>
    <t>列1602</t>
  </si>
  <si>
    <t>列1603</t>
  </si>
  <si>
    <t>列1604</t>
  </si>
  <si>
    <t>列1605</t>
  </si>
  <si>
    <t>列1606</t>
  </si>
  <si>
    <t>列1607</t>
  </si>
  <si>
    <t>列1608</t>
  </si>
  <si>
    <t>列1609</t>
  </si>
  <si>
    <t>列1610</t>
  </si>
  <si>
    <t>列1611</t>
  </si>
  <si>
    <t>列1612</t>
  </si>
  <si>
    <t>列1613</t>
  </si>
  <si>
    <t>列1614</t>
  </si>
  <si>
    <t>列1615</t>
  </si>
  <si>
    <t>列1616</t>
  </si>
  <si>
    <t>列1617</t>
  </si>
  <si>
    <t>列1618</t>
  </si>
  <si>
    <t>列1619</t>
  </si>
  <si>
    <t>列1620</t>
  </si>
  <si>
    <t>列1621</t>
  </si>
  <si>
    <t>列1622</t>
  </si>
  <si>
    <t>列1623</t>
  </si>
  <si>
    <t>列1624</t>
  </si>
  <si>
    <t>列1625</t>
  </si>
  <si>
    <t>列1626</t>
  </si>
  <si>
    <t>列1627</t>
  </si>
  <si>
    <t>列1628</t>
  </si>
  <si>
    <t>列1629</t>
  </si>
  <si>
    <t>列1630</t>
  </si>
  <si>
    <t>列1631</t>
  </si>
  <si>
    <t>列1632</t>
  </si>
  <si>
    <t>列1633</t>
  </si>
  <si>
    <t>列1634</t>
  </si>
  <si>
    <t>列1635</t>
  </si>
  <si>
    <t>列1636</t>
  </si>
  <si>
    <t>列1637</t>
  </si>
  <si>
    <t>列1638</t>
  </si>
  <si>
    <t>列1639</t>
  </si>
  <si>
    <t>列1640</t>
  </si>
  <si>
    <t>列1641</t>
  </si>
  <si>
    <t>列1642</t>
  </si>
  <si>
    <t>列1643</t>
  </si>
  <si>
    <t>列1644</t>
  </si>
  <si>
    <t>列1645</t>
  </si>
  <si>
    <t>列1646</t>
  </si>
  <si>
    <t>列1647</t>
  </si>
  <si>
    <t>列1648</t>
  </si>
  <si>
    <t>列1649</t>
  </si>
  <si>
    <t>列1650</t>
  </si>
  <si>
    <t>列1651</t>
  </si>
  <si>
    <t>列1652</t>
  </si>
  <si>
    <t>列1653</t>
  </si>
  <si>
    <t>列1654</t>
  </si>
  <si>
    <t>列1655</t>
  </si>
  <si>
    <t>列1656</t>
  </si>
  <si>
    <t>列1657</t>
  </si>
  <si>
    <t>列1658</t>
  </si>
  <si>
    <t>列1659</t>
  </si>
  <si>
    <t>列1660</t>
  </si>
  <si>
    <t>列1661</t>
  </si>
  <si>
    <t>列1662</t>
  </si>
  <si>
    <t>列1663</t>
  </si>
  <si>
    <t>列1664</t>
  </si>
  <si>
    <t>列1665</t>
  </si>
  <si>
    <t>列1666</t>
  </si>
  <si>
    <t>列1667</t>
  </si>
  <si>
    <t>列1668</t>
  </si>
  <si>
    <t>列1669</t>
  </si>
  <si>
    <t>列1670</t>
  </si>
  <si>
    <t>列1671</t>
  </si>
  <si>
    <t>列1672</t>
  </si>
  <si>
    <t>列1673</t>
  </si>
  <si>
    <t>列1674</t>
  </si>
  <si>
    <t>列1675</t>
  </si>
  <si>
    <t>列1676</t>
  </si>
  <si>
    <t>列1677</t>
  </si>
  <si>
    <t>列1678</t>
  </si>
  <si>
    <t>列1679</t>
  </si>
  <si>
    <t>列1680</t>
  </si>
  <si>
    <t>列1681</t>
  </si>
  <si>
    <t>列1682</t>
  </si>
  <si>
    <t>列1683</t>
  </si>
  <si>
    <t>列1684</t>
  </si>
  <si>
    <t>列1685</t>
  </si>
  <si>
    <t>列1686</t>
  </si>
  <si>
    <t>列1687</t>
  </si>
  <si>
    <t>列1688</t>
  </si>
  <si>
    <t>列1689</t>
  </si>
  <si>
    <t>列1690</t>
  </si>
  <si>
    <t>列1691</t>
  </si>
  <si>
    <t>列1692</t>
  </si>
  <si>
    <t>列1693</t>
  </si>
  <si>
    <t>列1694</t>
  </si>
  <si>
    <t>列1695</t>
  </si>
  <si>
    <t>列1696</t>
  </si>
  <si>
    <t>列1697</t>
  </si>
  <si>
    <t>列1698</t>
  </si>
  <si>
    <t>列1699</t>
  </si>
  <si>
    <t>列1700</t>
  </si>
  <si>
    <t>列1701</t>
  </si>
  <si>
    <t>列1702</t>
  </si>
  <si>
    <t>列1703</t>
  </si>
  <si>
    <t>列1704</t>
  </si>
  <si>
    <t>列1705</t>
  </si>
  <si>
    <t>列1706</t>
  </si>
  <si>
    <t>列1707</t>
  </si>
  <si>
    <t>列1708</t>
  </si>
  <si>
    <t>列1709</t>
  </si>
  <si>
    <t>列1710</t>
  </si>
  <si>
    <t>列1711</t>
  </si>
  <si>
    <t>列1712</t>
  </si>
  <si>
    <t>列1713</t>
  </si>
  <si>
    <t>列1714</t>
  </si>
  <si>
    <t>列1715</t>
  </si>
  <si>
    <t>列1716</t>
  </si>
  <si>
    <t>列1717</t>
  </si>
  <si>
    <t>列1718</t>
  </si>
  <si>
    <t>列1719</t>
  </si>
  <si>
    <t>列1720</t>
  </si>
  <si>
    <t>列1721</t>
  </si>
  <si>
    <t>列1722</t>
  </si>
  <si>
    <t>列1723</t>
  </si>
  <si>
    <t>列1724</t>
  </si>
  <si>
    <t>列1725</t>
  </si>
  <si>
    <t>列1726</t>
  </si>
  <si>
    <t>列1727</t>
  </si>
  <si>
    <t>列1728</t>
  </si>
  <si>
    <t>列1729</t>
  </si>
  <si>
    <t>列1730</t>
  </si>
  <si>
    <t>列1731</t>
  </si>
  <si>
    <t>列1732</t>
  </si>
  <si>
    <t>列1733</t>
  </si>
  <si>
    <t>列1734</t>
  </si>
  <si>
    <t>列1735</t>
  </si>
  <si>
    <t>列1736</t>
  </si>
  <si>
    <t>列1737</t>
  </si>
  <si>
    <t>列1738</t>
  </si>
  <si>
    <t>列1739</t>
  </si>
  <si>
    <t>列1740</t>
  </si>
  <si>
    <t>列1741</t>
  </si>
  <si>
    <t>列1742</t>
  </si>
  <si>
    <t>列1743</t>
  </si>
  <si>
    <t>列1744</t>
  </si>
  <si>
    <t>列1745</t>
  </si>
  <si>
    <t>列1746</t>
  </si>
  <si>
    <t>列1747</t>
  </si>
  <si>
    <t>列1748</t>
  </si>
  <si>
    <t>列1749</t>
  </si>
  <si>
    <t>列1750</t>
  </si>
  <si>
    <t>列1751</t>
  </si>
  <si>
    <t>列1752</t>
  </si>
  <si>
    <t>列1753</t>
  </si>
  <si>
    <t>列1754</t>
  </si>
  <si>
    <t>列1755</t>
  </si>
  <si>
    <t>列1756</t>
  </si>
  <si>
    <t>列1757</t>
  </si>
  <si>
    <t>列1758</t>
  </si>
  <si>
    <t>列1759</t>
  </si>
  <si>
    <t>列1760</t>
  </si>
  <si>
    <t>列1761</t>
  </si>
  <si>
    <t>列1762</t>
  </si>
  <si>
    <t>列1763</t>
  </si>
  <si>
    <t>列1764</t>
  </si>
  <si>
    <t>列1765</t>
  </si>
  <si>
    <t>列1766</t>
  </si>
  <si>
    <t>列1767</t>
  </si>
  <si>
    <t>列1768</t>
  </si>
  <si>
    <t>列1769</t>
  </si>
  <si>
    <t>列1770</t>
  </si>
  <si>
    <t>列1771</t>
  </si>
  <si>
    <t>列1772</t>
  </si>
  <si>
    <t>列1773</t>
  </si>
  <si>
    <t>列1774</t>
  </si>
  <si>
    <t>列1775</t>
  </si>
  <si>
    <t>列1776</t>
  </si>
  <si>
    <t>列1777</t>
  </si>
  <si>
    <t>列1778</t>
  </si>
  <si>
    <t>列1779</t>
  </si>
  <si>
    <t>列1780</t>
  </si>
  <si>
    <t>列1781</t>
  </si>
  <si>
    <t>列1782</t>
  </si>
  <si>
    <t>列1783</t>
  </si>
  <si>
    <t>列1784</t>
  </si>
  <si>
    <t>列1785</t>
  </si>
  <si>
    <t>列1786</t>
  </si>
  <si>
    <t>列1787</t>
  </si>
  <si>
    <t>列1788</t>
  </si>
  <si>
    <t>列1789</t>
  </si>
  <si>
    <t>列1790</t>
  </si>
  <si>
    <t>列1791</t>
  </si>
  <si>
    <t>列1792</t>
  </si>
  <si>
    <t>列1793</t>
  </si>
  <si>
    <t>列1794</t>
  </si>
  <si>
    <t>列1795</t>
  </si>
  <si>
    <t>列1796</t>
  </si>
  <si>
    <t>列1797</t>
  </si>
  <si>
    <t>列1798</t>
  </si>
  <si>
    <t>列1799</t>
  </si>
  <si>
    <t>列1800</t>
  </si>
  <si>
    <t>列1801</t>
  </si>
  <si>
    <t>列1802</t>
  </si>
  <si>
    <t>列1803</t>
  </si>
  <si>
    <t>列1804</t>
  </si>
  <si>
    <t>列1805</t>
  </si>
  <si>
    <t>列1806</t>
  </si>
  <si>
    <t>列1807</t>
  </si>
  <si>
    <t>列1808</t>
  </si>
  <si>
    <t>列1809</t>
  </si>
  <si>
    <t>列1810</t>
  </si>
  <si>
    <t>列1811</t>
  </si>
  <si>
    <t>列1812</t>
  </si>
  <si>
    <t>列1813</t>
  </si>
  <si>
    <t>列1814</t>
  </si>
  <si>
    <t>列1815</t>
  </si>
  <si>
    <t>列1816</t>
  </si>
  <si>
    <t>列1817</t>
  </si>
  <si>
    <t>列1818</t>
  </si>
  <si>
    <t>列1819</t>
  </si>
  <si>
    <t>列1820</t>
  </si>
  <si>
    <t>列1821</t>
  </si>
  <si>
    <t>列1822</t>
  </si>
  <si>
    <t>列1823</t>
  </si>
  <si>
    <t>列1824</t>
  </si>
  <si>
    <t>列1825</t>
  </si>
  <si>
    <t>列1826</t>
  </si>
  <si>
    <t>列1827</t>
  </si>
  <si>
    <t>列1828</t>
  </si>
  <si>
    <t>列1829</t>
  </si>
  <si>
    <t>列1830</t>
  </si>
  <si>
    <t>列1831</t>
  </si>
  <si>
    <t>列1832</t>
  </si>
  <si>
    <t>列1833</t>
  </si>
  <si>
    <t>列1834</t>
  </si>
  <si>
    <t>列1835</t>
  </si>
  <si>
    <t>列1836</t>
  </si>
  <si>
    <t>列1837</t>
  </si>
  <si>
    <t>列1838</t>
  </si>
  <si>
    <t>列1839</t>
  </si>
  <si>
    <t>列1840</t>
  </si>
  <si>
    <t>列1841</t>
  </si>
  <si>
    <t>列1842</t>
  </si>
  <si>
    <t>列1843</t>
  </si>
  <si>
    <t>列1844</t>
  </si>
  <si>
    <t>列1845</t>
  </si>
  <si>
    <t>列1846</t>
  </si>
  <si>
    <t>列1847</t>
  </si>
  <si>
    <t>列1848</t>
  </si>
  <si>
    <t>列1849</t>
  </si>
  <si>
    <t>列1850</t>
  </si>
  <si>
    <t>列1851</t>
  </si>
  <si>
    <t>列1852</t>
  </si>
  <si>
    <t>列1853</t>
  </si>
  <si>
    <t>列1854</t>
  </si>
  <si>
    <t>列1855</t>
  </si>
  <si>
    <t>列1856</t>
  </si>
  <si>
    <t>列1857</t>
  </si>
  <si>
    <t>列1858</t>
  </si>
  <si>
    <t>列1859</t>
  </si>
  <si>
    <t>列1860</t>
  </si>
  <si>
    <t>列1861</t>
  </si>
  <si>
    <t>列1862</t>
  </si>
  <si>
    <t>列1863</t>
  </si>
  <si>
    <t>列1864</t>
  </si>
  <si>
    <t>列1865</t>
  </si>
  <si>
    <t>列1866</t>
  </si>
  <si>
    <t>列1867</t>
  </si>
  <si>
    <t>列1868</t>
  </si>
  <si>
    <t>列1869</t>
  </si>
  <si>
    <t>列1870</t>
  </si>
  <si>
    <t>列1871</t>
  </si>
  <si>
    <t>列1872</t>
  </si>
  <si>
    <t>列1873</t>
  </si>
  <si>
    <t>列1874</t>
  </si>
  <si>
    <t>列1875</t>
  </si>
  <si>
    <t>列1876</t>
  </si>
  <si>
    <t>列1877</t>
  </si>
  <si>
    <t>列1878</t>
  </si>
  <si>
    <t>列1879</t>
  </si>
  <si>
    <t>列1880</t>
  </si>
  <si>
    <t>列1881</t>
  </si>
  <si>
    <t>列1882</t>
  </si>
  <si>
    <t>列1883</t>
  </si>
  <si>
    <t>列1884</t>
  </si>
  <si>
    <t>列1885</t>
  </si>
  <si>
    <t>列1886</t>
  </si>
  <si>
    <t>列1887</t>
  </si>
  <si>
    <t>列1888</t>
  </si>
  <si>
    <t>列1889</t>
  </si>
  <si>
    <t>列1890</t>
  </si>
  <si>
    <t>列1891</t>
  </si>
  <si>
    <t>列1892</t>
  </si>
  <si>
    <t>列1893</t>
  </si>
  <si>
    <t>列1894</t>
  </si>
  <si>
    <t>列1895</t>
  </si>
  <si>
    <t>列1896</t>
  </si>
  <si>
    <t>列1897</t>
  </si>
  <si>
    <t>列1898</t>
  </si>
  <si>
    <t>列1899</t>
  </si>
  <si>
    <t>列1900</t>
  </si>
  <si>
    <t>列1901</t>
  </si>
  <si>
    <t>列1902</t>
  </si>
  <si>
    <t>列1903</t>
  </si>
  <si>
    <t>列1904</t>
  </si>
  <si>
    <t>列1905</t>
  </si>
  <si>
    <t>列1906</t>
  </si>
  <si>
    <t>列1907</t>
  </si>
  <si>
    <t>列1908</t>
  </si>
  <si>
    <t>列1909</t>
  </si>
  <si>
    <t>列1910</t>
  </si>
  <si>
    <t>列1911</t>
  </si>
  <si>
    <t>列1912</t>
  </si>
  <si>
    <t>列1913</t>
  </si>
  <si>
    <t>列1914</t>
  </si>
  <si>
    <t>列1915</t>
  </si>
  <si>
    <t>列1916</t>
  </si>
  <si>
    <t>列1917</t>
  </si>
  <si>
    <t>列1918</t>
  </si>
  <si>
    <t>列1919</t>
  </si>
  <si>
    <t>列1920</t>
  </si>
  <si>
    <t>列1921</t>
  </si>
  <si>
    <t>列1922</t>
  </si>
  <si>
    <t>列1923</t>
  </si>
  <si>
    <t>列1924</t>
  </si>
  <si>
    <t>列1925</t>
  </si>
  <si>
    <t>列1926</t>
  </si>
  <si>
    <t>列1927</t>
  </si>
  <si>
    <t>列1928</t>
  </si>
  <si>
    <t>列1929</t>
  </si>
  <si>
    <t>列1930</t>
  </si>
  <si>
    <t>列1931</t>
  </si>
  <si>
    <t>列1932</t>
  </si>
  <si>
    <t>列1933</t>
  </si>
  <si>
    <t>列1934</t>
  </si>
  <si>
    <t>列1935</t>
  </si>
  <si>
    <t>列1936</t>
  </si>
  <si>
    <t>列1937</t>
  </si>
  <si>
    <t>列1938</t>
  </si>
  <si>
    <t>列1939</t>
  </si>
  <si>
    <t>列1940</t>
  </si>
  <si>
    <t>列1941</t>
  </si>
  <si>
    <t>列1942</t>
  </si>
  <si>
    <t>列1943</t>
  </si>
  <si>
    <t>列1944</t>
  </si>
  <si>
    <t>列1945</t>
  </si>
  <si>
    <t>列1946</t>
  </si>
  <si>
    <t>列1947</t>
  </si>
  <si>
    <t>列1948</t>
  </si>
  <si>
    <t>列1949</t>
  </si>
  <si>
    <t>列1950</t>
  </si>
  <si>
    <t>列1951</t>
  </si>
  <si>
    <t>列1952</t>
  </si>
  <si>
    <t>列1953</t>
  </si>
  <si>
    <t>列1954</t>
  </si>
  <si>
    <t>列1955</t>
  </si>
  <si>
    <t>列1956</t>
  </si>
  <si>
    <t>列1957</t>
  </si>
  <si>
    <t>列1958</t>
  </si>
  <si>
    <t>列1959</t>
  </si>
  <si>
    <t>列1960</t>
  </si>
  <si>
    <t>列1961</t>
  </si>
  <si>
    <t>列1962</t>
  </si>
  <si>
    <t>列1963</t>
  </si>
  <si>
    <t>列1964</t>
  </si>
  <si>
    <t>列1965</t>
  </si>
  <si>
    <t>列1966</t>
  </si>
  <si>
    <t>列1967</t>
  </si>
  <si>
    <t>列1968</t>
  </si>
  <si>
    <t>列1969</t>
  </si>
  <si>
    <t>列1970</t>
  </si>
  <si>
    <t>列1971</t>
  </si>
  <si>
    <t>列1972</t>
  </si>
  <si>
    <t>列1973</t>
  </si>
  <si>
    <t>列1974</t>
  </si>
  <si>
    <t>列1975</t>
  </si>
  <si>
    <t>列1976</t>
  </si>
  <si>
    <t>列1977</t>
  </si>
  <si>
    <t>列1978</t>
  </si>
  <si>
    <t>列1979</t>
  </si>
  <si>
    <t>列1980</t>
  </si>
  <si>
    <t>列1981</t>
  </si>
  <si>
    <t>列1982</t>
  </si>
  <si>
    <t>列1983</t>
  </si>
  <si>
    <t>列1984</t>
  </si>
  <si>
    <t>列1985</t>
  </si>
  <si>
    <t>列1986</t>
  </si>
  <si>
    <t>列1987</t>
  </si>
  <si>
    <t>列1988</t>
  </si>
  <si>
    <t>列1989</t>
  </si>
  <si>
    <t>列1990</t>
  </si>
  <si>
    <t>列1991</t>
  </si>
  <si>
    <t>列1992</t>
  </si>
  <si>
    <t>列1993</t>
  </si>
  <si>
    <t>列1994</t>
  </si>
  <si>
    <t>列1995</t>
  </si>
  <si>
    <t>列1996</t>
  </si>
  <si>
    <t>列1997</t>
  </si>
  <si>
    <t>列1998</t>
  </si>
  <si>
    <t>列1999</t>
  </si>
  <si>
    <t>列2000</t>
  </si>
  <si>
    <t>列2001</t>
  </si>
  <si>
    <t>列2002</t>
  </si>
  <si>
    <t>列2003</t>
  </si>
  <si>
    <t>列2004</t>
  </si>
  <si>
    <t>列2005</t>
  </si>
  <si>
    <t>列2006</t>
  </si>
  <si>
    <t>列2007</t>
  </si>
  <si>
    <t>列2008</t>
  </si>
  <si>
    <t>列2009</t>
  </si>
  <si>
    <t>列2010</t>
  </si>
  <si>
    <t>列2011</t>
  </si>
  <si>
    <t>列2012</t>
  </si>
  <si>
    <t>列2013</t>
  </si>
  <si>
    <t>列2014</t>
  </si>
  <si>
    <t>列2015</t>
  </si>
  <si>
    <t>列2016</t>
  </si>
  <si>
    <t>列2017</t>
  </si>
  <si>
    <t>列2018</t>
  </si>
  <si>
    <t>列2019</t>
  </si>
  <si>
    <t>列2020</t>
  </si>
  <si>
    <t>列2021</t>
  </si>
  <si>
    <t>列2022</t>
  </si>
  <si>
    <t>列2023</t>
  </si>
  <si>
    <t>列2024</t>
  </si>
  <si>
    <t>列2025</t>
  </si>
  <si>
    <t>列2026</t>
  </si>
  <si>
    <t>列2027</t>
  </si>
  <si>
    <t>列2028</t>
  </si>
  <si>
    <t>列2029</t>
  </si>
  <si>
    <t>列2030</t>
  </si>
  <si>
    <t>列2031</t>
  </si>
  <si>
    <t>列2032</t>
  </si>
  <si>
    <t>列2033</t>
  </si>
  <si>
    <t>列2034</t>
  </si>
  <si>
    <t>列2035</t>
  </si>
  <si>
    <t>列2036</t>
  </si>
  <si>
    <t>列2037</t>
  </si>
  <si>
    <t>列2038</t>
  </si>
  <si>
    <t>列2039</t>
  </si>
  <si>
    <t>列2040</t>
  </si>
  <si>
    <t>列2041</t>
  </si>
  <si>
    <t>列2042</t>
  </si>
  <si>
    <t>列2043</t>
  </si>
  <si>
    <t>列2044</t>
  </si>
  <si>
    <t>列2045</t>
  </si>
  <si>
    <t>列2046</t>
  </si>
  <si>
    <t>列2047</t>
  </si>
  <si>
    <t>列2048</t>
  </si>
  <si>
    <t>列2049</t>
  </si>
  <si>
    <t>列2050</t>
  </si>
  <si>
    <t>列2051</t>
  </si>
  <si>
    <t>列2052</t>
  </si>
  <si>
    <t>列2053</t>
  </si>
  <si>
    <t>列2054</t>
  </si>
  <si>
    <t>列2055</t>
  </si>
  <si>
    <t>列2056</t>
  </si>
  <si>
    <t>列2057</t>
  </si>
  <si>
    <t>列2058</t>
  </si>
  <si>
    <t>列2059</t>
  </si>
  <si>
    <t>列2060</t>
  </si>
  <si>
    <t>列2061</t>
  </si>
  <si>
    <t>列2062</t>
  </si>
  <si>
    <t>列2063</t>
  </si>
  <si>
    <t>列2064</t>
  </si>
  <si>
    <t>列2065</t>
  </si>
  <si>
    <t>列2066</t>
  </si>
  <si>
    <t>列2067</t>
  </si>
  <si>
    <t>列2068</t>
  </si>
  <si>
    <t>列2069</t>
  </si>
  <si>
    <t>列2070</t>
  </si>
  <si>
    <t>列2071</t>
  </si>
  <si>
    <t>列2072</t>
  </si>
  <si>
    <t>列2073</t>
  </si>
  <si>
    <t>列2074</t>
  </si>
  <si>
    <t>列2075</t>
  </si>
  <si>
    <t>列2076</t>
  </si>
  <si>
    <t>列2077</t>
  </si>
  <si>
    <t>列2078</t>
  </si>
  <si>
    <t>列2079</t>
  </si>
  <si>
    <t>列2080</t>
  </si>
  <si>
    <t>列2081</t>
  </si>
  <si>
    <t>列2082</t>
  </si>
  <si>
    <t>列2083</t>
  </si>
  <si>
    <t>列2084</t>
  </si>
  <si>
    <t>列2085</t>
  </si>
  <si>
    <t>列2086</t>
  </si>
  <si>
    <t>列2087</t>
  </si>
  <si>
    <t>列2088</t>
  </si>
  <si>
    <t>列2089</t>
  </si>
  <si>
    <t>列2090</t>
  </si>
  <si>
    <t>列2091</t>
  </si>
  <si>
    <t>列2092</t>
  </si>
  <si>
    <t>列2093</t>
  </si>
  <si>
    <t>列2094</t>
  </si>
  <si>
    <t>列2095</t>
  </si>
  <si>
    <t>列2096</t>
  </si>
  <si>
    <t>列2097</t>
  </si>
  <si>
    <t>列2098</t>
  </si>
  <si>
    <t>列2099</t>
  </si>
  <si>
    <t>列2100</t>
  </si>
  <si>
    <t>列2101</t>
  </si>
  <si>
    <t>列2102</t>
  </si>
  <si>
    <t>列2103</t>
  </si>
  <si>
    <t>列2104</t>
  </si>
  <si>
    <t>列2105</t>
  </si>
  <si>
    <t>列2106</t>
  </si>
  <si>
    <t>列2107</t>
  </si>
  <si>
    <t>列2108</t>
  </si>
  <si>
    <t>列2109</t>
  </si>
  <si>
    <t>列2110</t>
  </si>
  <si>
    <t>列2111</t>
  </si>
  <si>
    <t>列2112</t>
  </si>
  <si>
    <t>列2113</t>
  </si>
  <si>
    <t>列2114</t>
  </si>
  <si>
    <t>列2115</t>
  </si>
  <si>
    <t>列2116</t>
  </si>
  <si>
    <t>列2117</t>
  </si>
  <si>
    <t>列2118</t>
  </si>
  <si>
    <t>列2119</t>
  </si>
  <si>
    <t>列2120</t>
  </si>
  <si>
    <t>列2121</t>
  </si>
  <si>
    <t>列2122</t>
  </si>
  <si>
    <t>列2123</t>
  </si>
  <si>
    <t>列2124</t>
  </si>
  <si>
    <t>列2125</t>
  </si>
  <si>
    <t>列2126</t>
  </si>
  <si>
    <t>列2127</t>
  </si>
  <si>
    <t>列2128</t>
  </si>
  <si>
    <t>列2129</t>
  </si>
  <si>
    <t>列2130</t>
  </si>
  <si>
    <t>列2131</t>
  </si>
  <si>
    <t>列2132</t>
  </si>
  <si>
    <t>列2133</t>
  </si>
  <si>
    <t>列2134</t>
  </si>
  <si>
    <t>列2135</t>
  </si>
  <si>
    <t>列2136</t>
  </si>
  <si>
    <t>列2137</t>
  </si>
  <si>
    <t>列2138</t>
  </si>
  <si>
    <t>列2139</t>
  </si>
  <si>
    <t>列2140</t>
  </si>
  <si>
    <t>列2141</t>
  </si>
  <si>
    <t>列2142</t>
  </si>
  <si>
    <t>列2143</t>
  </si>
  <si>
    <t>列2144</t>
  </si>
  <si>
    <t>列2145</t>
  </si>
  <si>
    <t>列2146</t>
  </si>
  <si>
    <t>列2147</t>
  </si>
  <si>
    <t>列2148</t>
  </si>
  <si>
    <t>列2149</t>
  </si>
  <si>
    <t>列2150</t>
  </si>
  <si>
    <t>列2151</t>
  </si>
  <si>
    <t>列2152</t>
  </si>
  <si>
    <t>列2153</t>
  </si>
  <si>
    <t>列2154</t>
  </si>
  <si>
    <t>列2155</t>
  </si>
  <si>
    <t>列2156</t>
  </si>
  <si>
    <t>列2157</t>
  </si>
  <si>
    <t>列2158</t>
  </si>
  <si>
    <t>列2159</t>
  </si>
  <si>
    <t>列2160</t>
  </si>
  <si>
    <t>列2161</t>
  </si>
  <si>
    <t>列2162</t>
  </si>
  <si>
    <t>列2163</t>
  </si>
  <si>
    <t>列2164</t>
  </si>
  <si>
    <t>列2165</t>
  </si>
  <si>
    <t>列2166</t>
  </si>
  <si>
    <t>列2167</t>
  </si>
  <si>
    <t>列2168</t>
  </si>
  <si>
    <t>列2169</t>
  </si>
  <si>
    <t>列2170</t>
  </si>
  <si>
    <t>列2171</t>
  </si>
  <si>
    <t>列2172</t>
  </si>
  <si>
    <t>列2173</t>
  </si>
  <si>
    <t>列2174</t>
  </si>
  <si>
    <t>列2175</t>
  </si>
  <si>
    <t>列2176</t>
  </si>
  <si>
    <t>列2177</t>
  </si>
  <si>
    <t>列2178</t>
  </si>
  <si>
    <t>列2179</t>
  </si>
  <si>
    <t>列2180</t>
  </si>
  <si>
    <t>列2181</t>
  </si>
  <si>
    <t>列2182</t>
  </si>
  <si>
    <t>列2183</t>
  </si>
  <si>
    <t>列2184</t>
  </si>
  <si>
    <t>列2185</t>
  </si>
  <si>
    <t>列2186</t>
  </si>
  <si>
    <t>列2187</t>
  </si>
  <si>
    <t>列2188</t>
  </si>
  <si>
    <t>列2189</t>
  </si>
  <si>
    <t>列2190</t>
  </si>
  <si>
    <t>列2191</t>
  </si>
  <si>
    <t>列2192</t>
  </si>
  <si>
    <t>列2193</t>
  </si>
  <si>
    <t>列2194</t>
  </si>
  <si>
    <t>列2195</t>
  </si>
  <si>
    <t>列2196</t>
  </si>
  <si>
    <t>列2197</t>
  </si>
  <si>
    <t>列2198</t>
  </si>
  <si>
    <t>列2199</t>
  </si>
  <si>
    <t>列2200</t>
  </si>
  <si>
    <t>列2201</t>
  </si>
  <si>
    <t>列2202</t>
  </si>
  <si>
    <t>列2203</t>
  </si>
  <si>
    <t>列2204</t>
  </si>
  <si>
    <t>列2205</t>
  </si>
  <si>
    <t>列2206</t>
  </si>
  <si>
    <t>列2207</t>
  </si>
  <si>
    <t>列2208</t>
  </si>
  <si>
    <t>列2209</t>
  </si>
  <si>
    <t>列2210</t>
  </si>
  <si>
    <t>列2211</t>
  </si>
  <si>
    <t>列2212</t>
  </si>
  <si>
    <t>列2213</t>
  </si>
  <si>
    <t>列2214</t>
  </si>
  <si>
    <t>列2215</t>
  </si>
  <si>
    <t>列2216</t>
  </si>
  <si>
    <t>列2217</t>
  </si>
  <si>
    <t>列2218</t>
  </si>
  <si>
    <t>列2219</t>
  </si>
  <si>
    <t>列2220</t>
  </si>
  <si>
    <t>列2221</t>
  </si>
  <si>
    <t>列2222</t>
  </si>
  <si>
    <t>列2223</t>
  </si>
  <si>
    <t>列2224</t>
  </si>
  <si>
    <t>列2225</t>
  </si>
  <si>
    <t>列2226</t>
  </si>
  <si>
    <t>列2227</t>
  </si>
  <si>
    <t>列2228</t>
  </si>
  <si>
    <t>列2229</t>
  </si>
  <si>
    <t>列2230</t>
  </si>
  <si>
    <t>列2231</t>
  </si>
  <si>
    <t>列2232</t>
  </si>
  <si>
    <t>列2233</t>
  </si>
  <si>
    <t>列2234</t>
  </si>
  <si>
    <t>列2235</t>
  </si>
  <si>
    <t>列2236</t>
  </si>
  <si>
    <t>列2237</t>
  </si>
  <si>
    <t>列2238</t>
  </si>
  <si>
    <t>列2239</t>
  </si>
  <si>
    <t>列2240</t>
  </si>
  <si>
    <t>列2241</t>
  </si>
  <si>
    <t>列2242</t>
  </si>
  <si>
    <t>列2243</t>
  </si>
  <si>
    <t>列2244</t>
  </si>
  <si>
    <t>列2245</t>
  </si>
  <si>
    <t>列2246</t>
  </si>
  <si>
    <t>列2247</t>
  </si>
  <si>
    <t>列2248</t>
  </si>
  <si>
    <t>列2249</t>
  </si>
  <si>
    <t>列2250</t>
  </si>
  <si>
    <t>列2251</t>
  </si>
  <si>
    <t>列2252</t>
  </si>
  <si>
    <t>列2253</t>
  </si>
  <si>
    <t>列2254</t>
  </si>
  <si>
    <t>列2255</t>
  </si>
  <si>
    <t>列2256</t>
  </si>
  <si>
    <t>列2257</t>
  </si>
  <si>
    <t>列2258</t>
  </si>
  <si>
    <t>列2259</t>
  </si>
  <si>
    <t>列2260</t>
  </si>
  <si>
    <t>列2261</t>
  </si>
  <si>
    <t>列2262</t>
  </si>
  <si>
    <t>列2263</t>
  </si>
  <si>
    <t>列2264</t>
  </si>
  <si>
    <t>列2265</t>
  </si>
  <si>
    <t>列2266</t>
  </si>
  <si>
    <t>列2267</t>
  </si>
  <si>
    <t>列2268</t>
  </si>
  <si>
    <t>列2269</t>
  </si>
  <si>
    <t>列2270</t>
  </si>
  <si>
    <t>列2271</t>
  </si>
  <si>
    <t>列2272</t>
  </si>
  <si>
    <t>列2273</t>
  </si>
  <si>
    <t>列2274</t>
  </si>
  <si>
    <t>列2275</t>
  </si>
  <si>
    <t>列2276</t>
  </si>
  <si>
    <t>列2277</t>
  </si>
  <si>
    <t>列2278</t>
  </si>
  <si>
    <t>列2279</t>
  </si>
  <si>
    <t>列2280</t>
  </si>
  <si>
    <t>列2281</t>
  </si>
  <si>
    <t>列2282</t>
  </si>
  <si>
    <t>列2283</t>
  </si>
  <si>
    <t>列2284</t>
  </si>
  <si>
    <t>列2285</t>
  </si>
  <si>
    <t>列2286</t>
  </si>
  <si>
    <t>列2287</t>
  </si>
  <si>
    <t>列2288</t>
  </si>
  <si>
    <t>列2289</t>
  </si>
  <si>
    <t>列2290</t>
  </si>
  <si>
    <t>列2291</t>
  </si>
  <si>
    <t>列2292</t>
  </si>
  <si>
    <t>列2293</t>
  </si>
  <si>
    <t>列2294</t>
  </si>
  <si>
    <t>列2295</t>
  </si>
  <si>
    <t>列2296</t>
  </si>
  <si>
    <t>列2297</t>
  </si>
  <si>
    <t>列2298</t>
  </si>
  <si>
    <t>列2299</t>
  </si>
  <si>
    <t>列2300</t>
  </si>
  <si>
    <t>列2301</t>
  </si>
  <si>
    <t>列2302</t>
  </si>
  <si>
    <t>列2303</t>
  </si>
  <si>
    <t>列2304</t>
  </si>
  <si>
    <t>列2305</t>
  </si>
  <si>
    <t>列2306</t>
  </si>
  <si>
    <t>列2307</t>
  </si>
  <si>
    <t>列2308</t>
  </si>
  <si>
    <t>列2309</t>
  </si>
  <si>
    <t>列2310</t>
  </si>
  <si>
    <t>列2311</t>
  </si>
  <si>
    <t>列2312</t>
  </si>
  <si>
    <t>列2313</t>
  </si>
  <si>
    <t>列2314</t>
  </si>
  <si>
    <t>列2315</t>
  </si>
  <si>
    <t>列2316</t>
  </si>
  <si>
    <t>列2317</t>
  </si>
  <si>
    <t>列2318</t>
  </si>
  <si>
    <t>列2319</t>
  </si>
  <si>
    <t>列2320</t>
  </si>
  <si>
    <t>列2321</t>
  </si>
  <si>
    <t>列2322</t>
  </si>
  <si>
    <t>列2323</t>
  </si>
  <si>
    <t>列2324</t>
  </si>
  <si>
    <t>列2325</t>
  </si>
  <si>
    <t>列2326</t>
  </si>
  <si>
    <t>列2327</t>
  </si>
  <si>
    <t>列2328</t>
  </si>
  <si>
    <t>列2329</t>
  </si>
  <si>
    <t>列2330</t>
  </si>
  <si>
    <t>列2331</t>
  </si>
  <si>
    <t>列2332</t>
  </si>
  <si>
    <t>列2333</t>
  </si>
  <si>
    <t>列2334</t>
  </si>
  <si>
    <t>列2335</t>
  </si>
  <si>
    <t>列2336</t>
  </si>
  <si>
    <t>列2337</t>
  </si>
  <si>
    <t>列2338</t>
  </si>
  <si>
    <t>列2339</t>
  </si>
  <si>
    <t>列2340</t>
  </si>
  <si>
    <t>列2341</t>
  </si>
  <si>
    <t>列2342</t>
  </si>
  <si>
    <t>列2343</t>
  </si>
  <si>
    <t>列2344</t>
  </si>
  <si>
    <t>列2345</t>
  </si>
  <si>
    <t>列2346</t>
  </si>
  <si>
    <t>列2347</t>
  </si>
  <si>
    <t>列2348</t>
  </si>
  <si>
    <t>列2349</t>
  </si>
  <si>
    <t>列2350</t>
  </si>
  <si>
    <t>列2351</t>
  </si>
  <si>
    <t>列2352</t>
  </si>
  <si>
    <t>列2353</t>
  </si>
  <si>
    <t>列2354</t>
  </si>
  <si>
    <t>列2355</t>
  </si>
  <si>
    <t>列2356</t>
  </si>
  <si>
    <t>列2357</t>
  </si>
  <si>
    <t>列2358</t>
  </si>
  <si>
    <t>列2359</t>
  </si>
  <si>
    <t>列2360</t>
  </si>
  <si>
    <t>列2361</t>
  </si>
  <si>
    <t>列2362</t>
  </si>
  <si>
    <t>列2363</t>
  </si>
  <si>
    <t>列2364</t>
  </si>
  <si>
    <t>列2365</t>
  </si>
  <si>
    <t>列2366</t>
  </si>
  <si>
    <t>列2367</t>
  </si>
  <si>
    <t>列2368</t>
  </si>
  <si>
    <t>列2369</t>
  </si>
  <si>
    <t>列2370</t>
  </si>
  <si>
    <t>列2371</t>
  </si>
  <si>
    <t>列2372</t>
  </si>
  <si>
    <t>列2373</t>
  </si>
  <si>
    <t>列2374</t>
  </si>
  <si>
    <t>列2375</t>
  </si>
  <si>
    <t>列2376</t>
  </si>
  <si>
    <t>列2377</t>
  </si>
  <si>
    <t>列2378</t>
  </si>
  <si>
    <t>列2379</t>
  </si>
  <si>
    <t>列2380</t>
  </si>
  <si>
    <t>列2381</t>
  </si>
  <si>
    <t>列2382</t>
  </si>
  <si>
    <t>列2383</t>
  </si>
  <si>
    <t>列2384</t>
  </si>
  <si>
    <t>列2385</t>
  </si>
  <si>
    <t>列2386</t>
  </si>
  <si>
    <t>列2387</t>
  </si>
  <si>
    <t>列2388</t>
  </si>
  <si>
    <t>列2389</t>
  </si>
  <si>
    <t>列2390</t>
  </si>
  <si>
    <t>列2391</t>
  </si>
  <si>
    <t>列2392</t>
  </si>
  <si>
    <t>列2393</t>
  </si>
  <si>
    <t>列2394</t>
  </si>
  <si>
    <t>列2395</t>
  </si>
  <si>
    <t>列2396</t>
  </si>
  <si>
    <t>列2397</t>
  </si>
  <si>
    <t>列2398</t>
  </si>
  <si>
    <t>列2399</t>
  </si>
  <si>
    <t>列2400</t>
  </si>
  <si>
    <t>列2401</t>
  </si>
  <si>
    <t>列2402</t>
  </si>
  <si>
    <t>列2403</t>
  </si>
  <si>
    <t>列2404</t>
  </si>
  <si>
    <t>列2405</t>
  </si>
  <si>
    <t>列2406</t>
  </si>
  <si>
    <t>列2407</t>
  </si>
  <si>
    <t>列2408</t>
  </si>
  <si>
    <t>列2409</t>
  </si>
  <si>
    <t>列2410</t>
  </si>
  <si>
    <t>列2411</t>
  </si>
  <si>
    <t>列2412</t>
  </si>
  <si>
    <t>列2413</t>
  </si>
  <si>
    <t>列2414</t>
  </si>
  <si>
    <t>列2415</t>
  </si>
  <si>
    <t>列2416</t>
  </si>
  <si>
    <t>列2417</t>
  </si>
  <si>
    <t>列2418</t>
  </si>
  <si>
    <t>列2419</t>
  </si>
  <si>
    <t>列2420</t>
  </si>
  <si>
    <t>列2421</t>
  </si>
  <si>
    <t>列2422</t>
  </si>
  <si>
    <t>列2423</t>
  </si>
  <si>
    <t>列2424</t>
  </si>
  <si>
    <t>列2425</t>
  </si>
  <si>
    <t>列2426</t>
  </si>
  <si>
    <t>列2427</t>
  </si>
  <si>
    <t>列2428</t>
  </si>
  <si>
    <t>列2429</t>
  </si>
  <si>
    <t>列2430</t>
  </si>
  <si>
    <t>列2431</t>
  </si>
  <si>
    <t>列2432</t>
  </si>
  <si>
    <t>列2433</t>
  </si>
  <si>
    <t>列2434</t>
  </si>
  <si>
    <t>列2435</t>
  </si>
  <si>
    <t>列2436</t>
  </si>
  <si>
    <t>列2437</t>
  </si>
  <si>
    <t>列2438</t>
  </si>
  <si>
    <t>列2439</t>
  </si>
  <si>
    <t>列2440</t>
  </si>
  <si>
    <t>列2441</t>
  </si>
  <si>
    <t>列2442</t>
  </si>
  <si>
    <t>列2443</t>
  </si>
  <si>
    <t>列2444</t>
  </si>
  <si>
    <t>列2445</t>
  </si>
  <si>
    <t>列2446</t>
  </si>
  <si>
    <t>列2447</t>
  </si>
  <si>
    <t>列2448</t>
  </si>
  <si>
    <t>列2449</t>
  </si>
  <si>
    <t>列2450</t>
  </si>
  <si>
    <t>列2451</t>
  </si>
  <si>
    <t>列2452</t>
  </si>
  <si>
    <t>列2453</t>
  </si>
  <si>
    <t>列2454</t>
  </si>
  <si>
    <t>列2455</t>
  </si>
  <si>
    <t>列2456</t>
  </si>
  <si>
    <t>列2457</t>
  </si>
  <si>
    <t>列2458</t>
  </si>
  <si>
    <t>列2459</t>
  </si>
  <si>
    <t>列2460</t>
  </si>
  <si>
    <t>列2461</t>
  </si>
  <si>
    <t>列2462</t>
  </si>
  <si>
    <t>列2463</t>
  </si>
  <si>
    <t>列2464</t>
  </si>
  <si>
    <t>列2465</t>
  </si>
  <si>
    <t>列2466</t>
  </si>
  <si>
    <t>列2467</t>
  </si>
  <si>
    <t>列2468</t>
  </si>
  <si>
    <t>列2469</t>
  </si>
  <si>
    <t>列2470</t>
  </si>
  <si>
    <t>列2471</t>
  </si>
  <si>
    <t>列2472</t>
  </si>
  <si>
    <t>列2473</t>
  </si>
  <si>
    <t>列2474</t>
  </si>
  <si>
    <t>列2475</t>
  </si>
  <si>
    <t>列2476</t>
  </si>
  <si>
    <t>列2477</t>
  </si>
  <si>
    <t>列2478</t>
  </si>
  <si>
    <t>列2479</t>
  </si>
  <si>
    <t>列2480</t>
  </si>
  <si>
    <t>列2481</t>
  </si>
  <si>
    <t>列2482</t>
  </si>
  <si>
    <t>列2483</t>
  </si>
  <si>
    <t>列2484</t>
  </si>
  <si>
    <t>列2485</t>
  </si>
  <si>
    <t>列2486</t>
  </si>
  <si>
    <t>列2487</t>
  </si>
  <si>
    <t>列2488</t>
  </si>
  <si>
    <t>列2489</t>
  </si>
  <si>
    <t>列2490</t>
  </si>
  <si>
    <t>列2491</t>
  </si>
  <si>
    <t>列2492</t>
  </si>
  <si>
    <t>列2493</t>
  </si>
  <si>
    <t>列2494</t>
  </si>
  <si>
    <t>列2495</t>
  </si>
  <si>
    <t>列2496</t>
  </si>
  <si>
    <t>列2497</t>
  </si>
  <si>
    <t>列2498</t>
  </si>
  <si>
    <t>列2499</t>
  </si>
  <si>
    <t>列2500</t>
  </si>
  <si>
    <t>列2501</t>
  </si>
  <si>
    <t>列2502</t>
  </si>
  <si>
    <t>列2503</t>
  </si>
  <si>
    <t>列2504</t>
  </si>
  <si>
    <t>列2505</t>
  </si>
  <si>
    <t>列2506</t>
  </si>
  <si>
    <t>列2507</t>
  </si>
  <si>
    <t>列2508</t>
  </si>
  <si>
    <t>列2509</t>
  </si>
  <si>
    <t>列2510</t>
  </si>
  <si>
    <t>列2511</t>
  </si>
  <si>
    <t>列2512</t>
  </si>
  <si>
    <t>列2513</t>
  </si>
  <si>
    <t>列2514</t>
  </si>
  <si>
    <t>列2515</t>
  </si>
  <si>
    <t>列2516</t>
  </si>
  <si>
    <t>列2517</t>
  </si>
  <si>
    <t>列2518</t>
  </si>
  <si>
    <t>列2519</t>
  </si>
  <si>
    <t>列2520</t>
  </si>
  <si>
    <t>列2521</t>
  </si>
  <si>
    <t>列2522</t>
  </si>
  <si>
    <t>列2523</t>
  </si>
  <si>
    <t>列2524</t>
  </si>
  <si>
    <t>列2525</t>
  </si>
  <si>
    <t>列2526</t>
  </si>
  <si>
    <t>列2527</t>
  </si>
  <si>
    <t>列2528</t>
  </si>
  <si>
    <t>列2529</t>
  </si>
  <si>
    <t>列2530</t>
  </si>
  <si>
    <t>列2531</t>
  </si>
  <si>
    <t>列2532</t>
  </si>
  <si>
    <t>列2533</t>
  </si>
  <si>
    <t>列2534</t>
  </si>
  <si>
    <t>列2535</t>
  </si>
  <si>
    <t>列2536</t>
  </si>
  <si>
    <t>列2537</t>
  </si>
  <si>
    <t>列2538</t>
  </si>
  <si>
    <t>列2539</t>
  </si>
  <si>
    <t>列2540</t>
  </si>
  <si>
    <t>列2541</t>
  </si>
  <si>
    <t>列2542</t>
  </si>
  <si>
    <t>列2543</t>
  </si>
  <si>
    <t>列2544</t>
  </si>
  <si>
    <t>列2545</t>
  </si>
  <si>
    <t>列2546</t>
  </si>
  <si>
    <t>列2547</t>
  </si>
  <si>
    <t>列2548</t>
  </si>
  <si>
    <t>列2549</t>
  </si>
  <si>
    <t>列2550</t>
  </si>
  <si>
    <t>列2551</t>
  </si>
  <si>
    <t>列2552</t>
  </si>
  <si>
    <t>列2553</t>
  </si>
  <si>
    <t>列2554</t>
  </si>
  <si>
    <t>列2555</t>
  </si>
  <si>
    <t>列2556</t>
  </si>
  <si>
    <t>列2557</t>
  </si>
  <si>
    <t>列2558</t>
  </si>
  <si>
    <t>列2559</t>
  </si>
  <si>
    <t>列2560</t>
  </si>
  <si>
    <t>列2561</t>
  </si>
  <si>
    <t>列2562</t>
  </si>
  <si>
    <t>列2563</t>
  </si>
  <si>
    <t>列2564</t>
  </si>
  <si>
    <t>列2565</t>
  </si>
  <si>
    <t>列2566</t>
  </si>
  <si>
    <t>列2567</t>
  </si>
  <si>
    <t>列2568</t>
  </si>
  <si>
    <t>列2569</t>
  </si>
  <si>
    <t>列2570</t>
  </si>
  <si>
    <t>列2571</t>
  </si>
  <si>
    <t>列2572</t>
  </si>
  <si>
    <t>列2573</t>
  </si>
  <si>
    <t>列2574</t>
  </si>
  <si>
    <t>列2575</t>
  </si>
  <si>
    <t>列2576</t>
  </si>
  <si>
    <t>列2577</t>
  </si>
  <si>
    <t>列2578</t>
  </si>
  <si>
    <t>列2579</t>
  </si>
  <si>
    <t>列2580</t>
  </si>
  <si>
    <t>列2581</t>
  </si>
  <si>
    <t>列2582</t>
  </si>
  <si>
    <t>列2583</t>
  </si>
  <si>
    <t>列2584</t>
  </si>
  <si>
    <t>列2585</t>
  </si>
  <si>
    <t>列2586</t>
  </si>
  <si>
    <t>列2587</t>
  </si>
  <si>
    <t>列2588</t>
  </si>
  <si>
    <t>列2589</t>
  </si>
  <si>
    <t>列2590</t>
  </si>
  <si>
    <t>列2591</t>
  </si>
  <si>
    <t>列2592</t>
  </si>
  <si>
    <t>列2593</t>
  </si>
  <si>
    <t>列2594</t>
  </si>
  <si>
    <t>列2595</t>
  </si>
  <si>
    <t>列2596</t>
  </si>
  <si>
    <t>列2597</t>
  </si>
  <si>
    <t>列2598</t>
  </si>
  <si>
    <t>列2599</t>
  </si>
  <si>
    <t>列2600</t>
  </si>
  <si>
    <t>列2601</t>
  </si>
  <si>
    <t>列2602</t>
  </si>
  <si>
    <t>列2603</t>
  </si>
  <si>
    <t>列2604</t>
  </si>
  <si>
    <t>列2605</t>
  </si>
  <si>
    <t>列2606</t>
  </si>
  <si>
    <t>列2607</t>
  </si>
  <si>
    <t>列2608</t>
  </si>
  <si>
    <t>列2609</t>
  </si>
  <si>
    <t>列2610</t>
  </si>
  <si>
    <t>列2611</t>
  </si>
  <si>
    <t>列2612</t>
  </si>
  <si>
    <t>列2613</t>
  </si>
  <si>
    <t>列2614</t>
  </si>
  <si>
    <t>列2615</t>
  </si>
  <si>
    <t>列2616</t>
  </si>
  <si>
    <t>列2617</t>
  </si>
  <si>
    <t>列2618</t>
  </si>
  <si>
    <t>列2619</t>
  </si>
  <si>
    <t>列2620</t>
  </si>
  <si>
    <t>列2621</t>
  </si>
  <si>
    <t>列2622</t>
  </si>
  <si>
    <t>列2623</t>
  </si>
  <si>
    <t>列2624</t>
  </si>
  <si>
    <t>列2625</t>
  </si>
  <si>
    <t>列2626</t>
  </si>
  <si>
    <t>列2627</t>
  </si>
  <si>
    <t>列2628</t>
  </si>
  <si>
    <t>列2629</t>
  </si>
  <si>
    <t>列2630</t>
  </si>
  <si>
    <t>列2631</t>
  </si>
  <si>
    <t>列2632</t>
  </si>
  <si>
    <t>列2633</t>
  </si>
  <si>
    <t>列2634</t>
  </si>
  <si>
    <t>列2635</t>
  </si>
  <si>
    <t>列2636</t>
  </si>
  <si>
    <t>列2637</t>
  </si>
  <si>
    <t>列2638</t>
  </si>
  <si>
    <t>列2639</t>
  </si>
  <si>
    <t>列2640</t>
  </si>
  <si>
    <t>列2641</t>
  </si>
  <si>
    <t>列2642</t>
  </si>
  <si>
    <t>列2643</t>
  </si>
  <si>
    <t>列2644</t>
  </si>
  <si>
    <t>列2645</t>
  </si>
  <si>
    <t>列2646</t>
  </si>
  <si>
    <t>列2647</t>
  </si>
  <si>
    <t>列2648</t>
  </si>
  <si>
    <t>列2649</t>
  </si>
  <si>
    <t>列2650</t>
  </si>
  <si>
    <t>列2651</t>
  </si>
  <si>
    <t>列2652</t>
  </si>
  <si>
    <t>列2653</t>
  </si>
  <si>
    <t>列2654</t>
  </si>
  <si>
    <t>列2655</t>
  </si>
  <si>
    <t>列2656</t>
  </si>
  <si>
    <t>列2657</t>
  </si>
  <si>
    <t>列2658</t>
  </si>
  <si>
    <t>列2659</t>
  </si>
  <si>
    <t>列2660</t>
  </si>
  <si>
    <t>列2661</t>
  </si>
  <si>
    <t>列2662</t>
  </si>
  <si>
    <t>列2663</t>
  </si>
  <si>
    <t>列2664</t>
  </si>
  <si>
    <t>列2665</t>
  </si>
  <si>
    <t>列2666</t>
  </si>
  <si>
    <t>列2667</t>
  </si>
  <si>
    <t>列2668</t>
  </si>
  <si>
    <t>列2669</t>
  </si>
  <si>
    <t>列2670</t>
  </si>
  <si>
    <t>列2671</t>
  </si>
  <si>
    <t>列2672</t>
  </si>
  <si>
    <t>列2673</t>
  </si>
  <si>
    <t>列2674</t>
  </si>
  <si>
    <t>列2675</t>
  </si>
  <si>
    <t>列2676</t>
  </si>
  <si>
    <t>列2677</t>
  </si>
  <si>
    <t>列2678</t>
  </si>
  <si>
    <t>列2679</t>
  </si>
  <si>
    <t>列2680</t>
  </si>
  <si>
    <t>列2681</t>
  </si>
  <si>
    <t>列2682</t>
  </si>
  <si>
    <t>列2683</t>
  </si>
  <si>
    <t>列2684</t>
  </si>
  <si>
    <t>列2685</t>
  </si>
  <si>
    <t>列2686</t>
  </si>
  <si>
    <t>列2687</t>
  </si>
  <si>
    <t>列2688</t>
  </si>
  <si>
    <t>列2689</t>
  </si>
  <si>
    <t>列2690</t>
  </si>
  <si>
    <t>列2691</t>
  </si>
  <si>
    <t>列2692</t>
  </si>
  <si>
    <t>列2693</t>
  </si>
  <si>
    <t>列2694</t>
  </si>
  <si>
    <t>列2695</t>
  </si>
  <si>
    <t>列2696</t>
  </si>
  <si>
    <t>列2697</t>
  </si>
  <si>
    <t>列2698</t>
  </si>
  <si>
    <t>列2699</t>
  </si>
  <si>
    <t>列2700</t>
  </si>
  <si>
    <t>列2701</t>
  </si>
  <si>
    <t>列2702</t>
  </si>
  <si>
    <t>列2703</t>
  </si>
  <si>
    <t>列2704</t>
  </si>
  <si>
    <t>列2705</t>
  </si>
  <si>
    <t>列2706</t>
  </si>
  <si>
    <t>列2707</t>
  </si>
  <si>
    <t>列2708</t>
  </si>
  <si>
    <t>列2709</t>
  </si>
  <si>
    <t>列2710</t>
  </si>
  <si>
    <t>列2711</t>
  </si>
  <si>
    <t>列2712</t>
  </si>
  <si>
    <t>列2713</t>
  </si>
  <si>
    <t>列2714</t>
  </si>
  <si>
    <t>列2715</t>
  </si>
  <si>
    <t>列2716</t>
  </si>
  <si>
    <t>列2717</t>
  </si>
  <si>
    <t>列2718</t>
  </si>
  <si>
    <t>列2719</t>
  </si>
  <si>
    <t>列2720</t>
  </si>
  <si>
    <t>列2721</t>
  </si>
  <si>
    <t>列2722</t>
  </si>
  <si>
    <t>列2723</t>
  </si>
  <si>
    <t>列2724</t>
  </si>
  <si>
    <t>列2725</t>
  </si>
  <si>
    <t>列2726</t>
  </si>
  <si>
    <t>列2727</t>
  </si>
  <si>
    <t>列2728</t>
  </si>
  <si>
    <t>列2729</t>
  </si>
  <si>
    <t>列2730</t>
  </si>
  <si>
    <t>列2731</t>
  </si>
  <si>
    <t>列2732</t>
  </si>
  <si>
    <t>列2733</t>
  </si>
  <si>
    <t>列2734</t>
  </si>
  <si>
    <t>列2735</t>
  </si>
  <si>
    <t>列2736</t>
  </si>
  <si>
    <t>列2737</t>
  </si>
  <si>
    <t>列2738</t>
  </si>
  <si>
    <t>列2739</t>
  </si>
  <si>
    <t>列2740</t>
  </si>
  <si>
    <t>列2741</t>
  </si>
  <si>
    <t>列2742</t>
  </si>
  <si>
    <t>列2743</t>
  </si>
  <si>
    <t>列2744</t>
  </si>
  <si>
    <t>列2745</t>
  </si>
  <si>
    <t>列2746</t>
  </si>
  <si>
    <t>列2747</t>
  </si>
  <si>
    <t>列2748</t>
  </si>
  <si>
    <t>列2749</t>
  </si>
  <si>
    <t>列2750</t>
  </si>
  <si>
    <t>列2751</t>
  </si>
  <si>
    <t>列2752</t>
  </si>
  <si>
    <t>列2753</t>
  </si>
  <si>
    <t>列2754</t>
  </si>
  <si>
    <t>列2755</t>
  </si>
  <si>
    <t>列2756</t>
  </si>
  <si>
    <t>列2757</t>
  </si>
  <si>
    <t>列2758</t>
  </si>
  <si>
    <t>列2759</t>
  </si>
  <si>
    <t>列2760</t>
  </si>
  <si>
    <t>列2761</t>
  </si>
  <si>
    <t>列2762</t>
  </si>
  <si>
    <t>列2763</t>
  </si>
  <si>
    <t>列2764</t>
  </si>
  <si>
    <t>列2765</t>
  </si>
  <si>
    <t>列2766</t>
  </si>
  <si>
    <t>列2767</t>
  </si>
  <si>
    <t>列2768</t>
  </si>
  <si>
    <t>列2769</t>
  </si>
  <si>
    <t>列2770</t>
  </si>
  <si>
    <t>列2771</t>
  </si>
  <si>
    <t>列2772</t>
  </si>
  <si>
    <t>列2773</t>
  </si>
  <si>
    <t>列2774</t>
  </si>
  <si>
    <t>列2775</t>
  </si>
  <si>
    <t>列2776</t>
  </si>
  <si>
    <t>列2777</t>
  </si>
  <si>
    <t>列2778</t>
  </si>
  <si>
    <t>列2779</t>
  </si>
  <si>
    <t>列2780</t>
  </si>
  <si>
    <t>列2781</t>
  </si>
  <si>
    <t>列2782</t>
  </si>
  <si>
    <t>列2783</t>
  </si>
  <si>
    <t>列2784</t>
  </si>
  <si>
    <t>列2785</t>
  </si>
  <si>
    <t>列2786</t>
  </si>
  <si>
    <t>列2787</t>
  </si>
  <si>
    <t>列2788</t>
  </si>
  <si>
    <t>列2789</t>
  </si>
  <si>
    <t>列2790</t>
  </si>
  <si>
    <t>列2791</t>
  </si>
  <si>
    <t>列2792</t>
  </si>
  <si>
    <t>列2793</t>
  </si>
  <si>
    <t>列2794</t>
  </si>
  <si>
    <t>列2795</t>
  </si>
  <si>
    <t>列2796</t>
  </si>
  <si>
    <t>列2797</t>
  </si>
  <si>
    <t>列2798</t>
  </si>
  <si>
    <t>列2799</t>
  </si>
  <si>
    <t>列2800</t>
  </si>
  <si>
    <t>列2801</t>
  </si>
  <si>
    <t>列2802</t>
  </si>
  <si>
    <t>列2803</t>
  </si>
  <si>
    <t>列2804</t>
  </si>
  <si>
    <t>列2805</t>
  </si>
  <si>
    <t>列2806</t>
  </si>
  <si>
    <t>列2807</t>
  </si>
  <si>
    <t>列2808</t>
  </si>
  <si>
    <t>列2809</t>
  </si>
  <si>
    <t>列2810</t>
  </si>
  <si>
    <t>列2811</t>
  </si>
  <si>
    <t>列2812</t>
  </si>
  <si>
    <t>列2813</t>
  </si>
  <si>
    <t>列2814</t>
  </si>
  <si>
    <t>列2815</t>
  </si>
  <si>
    <t>列2816</t>
  </si>
  <si>
    <t>列2817</t>
  </si>
  <si>
    <t>列2818</t>
  </si>
  <si>
    <t>列2819</t>
  </si>
  <si>
    <t>列2820</t>
  </si>
  <si>
    <t>列2821</t>
  </si>
  <si>
    <t>列2822</t>
  </si>
  <si>
    <t>列2823</t>
  </si>
  <si>
    <t>列2824</t>
  </si>
  <si>
    <t>列2825</t>
  </si>
  <si>
    <t>列2826</t>
  </si>
  <si>
    <t>列2827</t>
  </si>
  <si>
    <t>列2828</t>
  </si>
  <si>
    <t>列2829</t>
  </si>
  <si>
    <t>列2830</t>
  </si>
  <si>
    <t>列2831</t>
  </si>
  <si>
    <t>列2832</t>
  </si>
  <si>
    <t>列2833</t>
  </si>
  <si>
    <t>列2834</t>
  </si>
  <si>
    <t>列2835</t>
  </si>
  <si>
    <t>列2836</t>
  </si>
  <si>
    <t>列2837</t>
  </si>
  <si>
    <t>列2838</t>
  </si>
  <si>
    <t>列2839</t>
  </si>
  <si>
    <t>列2840</t>
  </si>
  <si>
    <t>列2841</t>
  </si>
  <si>
    <t>列2842</t>
  </si>
  <si>
    <t>列2843</t>
  </si>
  <si>
    <t>列2844</t>
  </si>
  <si>
    <t>列2845</t>
  </si>
  <si>
    <t>列2846</t>
  </si>
  <si>
    <t>列2847</t>
  </si>
  <si>
    <t>列2848</t>
  </si>
  <si>
    <t>列2849</t>
  </si>
  <si>
    <t>列2850</t>
  </si>
  <si>
    <t>列2851</t>
  </si>
  <si>
    <t>列2852</t>
  </si>
  <si>
    <t>列2853</t>
  </si>
  <si>
    <t>列2854</t>
  </si>
  <si>
    <t>列2855</t>
  </si>
  <si>
    <t>列2856</t>
  </si>
  <si>
    <t>列2857</t>
  </si>
  <si>
    <t>列2858</t>
  </si>
  <si>
    <t>列2859</t>
  </si>
  <si>
    <t>列2860</t>
  </si>
  <si>
    <t>列2861</t>
  </si>
  <si>
    <t>列2862</t>
  </si>
  <si>
    <t>列2863</t>
  </si>
  <si>
    <t>列2864</t>
  </si>
  <si>
    <t>列2865</t>
  </si>
  <si>
    <t>列2866</t>
  </si>
  <si>
    <t>列2867</t>
  </si>
  <si>
    <t>列2868</t>
  </si>
  <si>
    <t>列2869</t>
  </si>
  <si>
    <t>列2870</t>
  </si>
  <si>
    <t>列2871</t>
  </si>
  <si>
    <t>列2872</t>
  </si>
  <si>
    <t>列2873</t>
  </si>
  <si>
    <t>列2874</t>
  </si>
  <si>
    <t>列2875</t>
  </si>
  <si>
    <t>列2876</t>
  </si>
  <si>
    <t>列2877</t>
  </si>
  <si>
    <t>列2878</t>
  </si>
  <si>
    <t>列2879</t>
  </si>
  <si>
    <t>列2880</t>
  </si>
  <si>
    <t>列2881</t>
  </si>
  <si>
    <t>列2882</t>
  </si>
  <si>
    <t>列2883</t>
  </si>
  <si>
    <t>列2884</t>
  </si>
  <si>
    <t>列2885</t>
  </si>
  <si>
    <t>列2886</t>
  </si>
  <si>
    <t>列2887</t>
  </si>
  <si>
    <t>列2888</t>
  </si>
  <si>
    <t>列2889</t>
  </si>
  <si>
    <t>列2890</t>
  </si>
  <si>
    <t>列2891</t>
  </si>
  <si>
    <t>列2892</t>
  </si>
  <si>
    <t>列2893</t>
  </si>
  <si>
    <t>列2894</t>
  </si>
  <si>
    <t>列2895</t>
  </si>
  <si>
    <t>列2896</t>
  </si>
  <si>
    <t>列2897</t>
  </si>
  <si>
    <t>列2898</t>
  </si>
  <si>
    <t>列2899</t>
  </si>
  <si>
    <t>列2900</t>
  </si>
  <si>
    <t>列2901</t>
  </si>
  <si>
    <t>列2902</t>
  </si>
  <si>
    <t>列2903</t>
  </si>
  <si>
    <t>列2904</t>
  </si>
  <si>
    <t>列2905</t>
  </si>
  <si>
    <t>列2906</t>
  </si>
  <si>
    <t>列2907</t>
  </si>
  <si>
    <t>列2908</t>
  </si>
  <si>
    <t>列2909</t>
  </si>
  <si>
    <t>列2910</t>
  </si>
  <si>
    <t>列2911</t>
  </si>
  <si>
    <t>列2912</t>
  </si>
  <si>
    <t>列2913</t>
  </si>
  <si>
    <t>列2914</t>
  </si>
  <si>
    <t>列2915</t>
  </si>
  <si>
    <t>列2916</t>
  </si>
  <si>
    <t>列2917</t>
  </si>
  <si>
    <t>列2918</t>
  </si>
  <si>
    <t>列2919</t>
  </si>
  <si>
    <t>列2920</t>
  </si>
  <si>
    <t>列2921</t>
  </si>
  <si>
    <t>列2922</t>
  </si>
  <si>
    <t>列2923</t>
  </si>
  <si>
    <t>列2924</t>
  </si>
  <si>
    <t>列2925</t>
  </si>
  <si>
    <t>列2926</t>
  </si>
  <si>
    <t>列2927</t>
  </si>
  <si>
    <t>列2928</t>
  </si>
  <si>
    <t>列2929</t>
  </si>
  <si>
    <t>列2930</t>
  </si>
  <si>
    <t>列2931</t>
  </si>
  <si>
    <t>列2932</t>
  </si>
  <si>
    <t>列2933</t>
  </si>
  <si>
    <t>列2934</t>
  </si>
  <si>
    <t>列2935</t>
  </si>
  <si>
    <t>列2936</t>
  </si>
  <si>
    <t>列2937</t>
  </si>
  <si>
    <t>列2938</t>
  </si>
  <si>
    <t>列2939</t>
  </si>
  <si>
    <t>列2940</t>
  </si>
  <si>
    <t>列2941</t>
  </si>
  <si>
    <t>列2942</t>
  </si>
  <si>
    <t>列2943</t>
  </si>
  <si>
    <t>列2944</t>
  </si>
  <si>
    <t>列2945</t>
  </si>
  <si>
    <t>列2946</t>
  </si>
  <si>
    <t>列2947</t>
  </si>
  <si>
    <t>列2948</t>
  </si>
  <si>
    <t>列2949</t>
  </si>
  <si>
    <t>列2950</t>
  </si>
  <si>
    <t>列2951</t>
  </si>
  <si>
    <t>列2952</t>
  </si>
  <si>
    <t>列2953</t>
  </si>
  <si>
    <t>列2954</t>
  </si>
  <si>
    <t>列2955</t>
  </si>
  <si>
    <t>列2956</t>
  </si>
  <si>
    <t>列2957</t>
  </si>
  <si>
    <t>列2958</t>
  </si>
  <si>
    <t>列2959</t>
  </si>
  <si>
    <t>列2960</t>
  </si>
  <si>
    <t>列2961</t>
  </si>
  <si>
    <t>列2962</t>
  </si>
  <si>
    <t>列2963</t>
  </si>
  <si>
    <t>列2964</t>
  </si>
  <si>
    <t>列2965</t>
  </si>
  <si>
    <t>列2966</t>
  </si>
  <si>
    <t>列2967</t>
  </si>
  <si>
    <t>列2968</t>
  </si>
  <si>
    <t>列2969</t>
  </si>
  <si>
    <t>列2970</t>
  </si>
  <si>
    <t>列2971</t>
  </si>
  <si>
    <t>列2972</t>
  </si>
  <si>
    <t>列2973</t>
  </si>
  <si>
    <t>列2974</t>
  </si>
  <si>
    <t>列2975</t>
  </si>
  <si>
    <t>列2976</t>
  </si>
  <si>
    <t>列2977</t>
  </si>
  <si>
    <t>列2978</t>
  </si>
  <si>
    <t>列2979</t>
  </si>
  <si>
    <t>列2980</t>
  </si>
  <si>
    <t>列2981</t>
  </si>
  <si>
    <t>列2982</t>
  </si>
  <si>
    <t>列2983</t>
  </si>
  <si>
    <t>列2984</t>
  </si>
  <si>
    <t>列2985</t>
  </si>
  <si>
    <t>列2986</t>
  </si>
  <si>
    <t>列2987</t>
  </si>
  <si>
    <t>列2988</t>
  </si>
  <si>
    <t>列2989</t>
  </si>
  <si>
    <t>列2990</t>
  </si>
  <si>
    <t>列2991</t>
  </si>
  <si>
    <t>列2992</t>
  </si>
  <si>
    <t>列2993</t>
  </si>
  <si>
    <t>列2994</t>
  </si>
  <si>
    <t>列2995</t>
  </si>
  <si>
    <t>列2996</t>
  </si>
  <si>
    <t>列2997</t>
  </si>
  <si>
    <t>列2998</t>
  </si>
  <si>
    <t>列2999</t>
  </si>
  <si>
    <t>列3000</t>
  </si>
  <si>
    <t>列3001</t>
  </si>
  <si>
    <t>列3002</t>
  </si>
  <si>
    <t>列3003</t>
  </si>
  <si>
    <t>列3004</t>
  </si>
  <si>
    <t>列3005</t>
  </si>
  <si>
    <t>列3006</t>
  </si>
  <si>
    <t>列3007</t>
  </si>
  <si>
    <t>列3008</t>
  </si>
  <si>
    <t>列3009</t>
  </si>
  <si>
    <t>列3010</t>
  </si>
  <si>
    <t>列3011</t>
  </si>
  <si>
    <t>列3012</t>
  </si>
  <si>
    <t>列3013</t>
  </si>
  <si>
    <t>列3014</t>
  </si>
  <si>
    <t>列3015</t>
  </si>
  <si>
    <t>列3016</t>
  </si>
  <si>
    <t>列3017</t>
  </si>
  <si>
    <t>列3018</t>
  </si>
  <si>
    <t>列3019</t>
  </si>
  <si>
    <t>列3020</t>
  </si>
  <si>
    <t>列3021</t>
  </si>
  <si>
    <t>列3022</t>
  </si>
  <si>
    <t>列3023</t>
  </si>
  <si>
    <t>列3024</t>
  </si>
  <si>
    <t>列3025</t>
  </si>
  <si>
    <t>列3026</t>
  </si>
  <si>
    <t>列3027</t>
  </si>
  <si>
    <t>列3028</t>
  </si>
  <si>
    <t>列3029</t>
  </si>
  <si>
    <t>列3030</t>
  </si>
  <si>
    <t>列3031</t>
  </si>
  <si>
    <t>列3032</t>
  </si>
  <si>
    <t>列3033</t>
  </si>
  <si>
    <t>列3034</t>
  </si>
  <si>
    <t>列3035</t>
  </si>
  <si>
    <t>列3036</t>
  </si>
  <si>
    <t>列3037</t>
  </si>
  <si>
    <t>列3038</t>
  </si>
  <si>
    <t>列3039</t>
  </si>
  <si>
    <t>列3040</t>
  </si>
  <si>
    <t>列3041</t>
  </si>
  <si>
    <t>列3042</t>
  </si>
  <si>
    <t>列3043</t>
  </si>
  <si>
    <t>列3044</t>
  </si>
  <si>
    <t>列3045</t>
  </si>
  <si>
    <t>列3046</t>
  </si>
  <si>
    <t>列3047</t>
  </si>
  <si>
    <t>列3048</t>
  </si>
  <si>
    <t>列3049</t>
  </si>
  <si>
    <t>列3050</t>
  </si>
  <si>
    <t>列3051</t>
  </si>
  <si>
    <t>列3052</t>
  </si>
  <si>
    <t>列3053</t>
  </si>
  <si>
    <t>列3054</t>
  </si>
  <si>
    <t>列3055</t>
  </si>
  <si>
    <t>列3056</t>
  </si>
  <si>
    <t>列3057</t>
  </si>
  <si>
    <t>列3058</t>
  </si>
  <si>
    <t>列3059</t>
  </si>
  <si>
    <t>列3060</t>
  </si>
  <si>
    <t>列3061</t>
  </si>
  <si>
    <t>列3062</t>
  </si>
  <si>
    <t>列3063</t>
  </si>
  <si>
    <t>列3064</t>
  </si>
  <si>
    <t>列3065</t>
  </si>
  <si>
    <t>列3066</t>
  </si>
  <si>
    <t>列3067</t>
  </si>
  <si>
    <t>列3068</t>
  </si>
  <si>
    <t>列3069</t>
  </si>
  <si>
    <t>列3070</t>
  </si>
  <si>
    <t>列3071</t>
  </si>
  <si>
    <t>列3072</t>
  </si>
  <si>
    <t>列3073</t>
  </si>
  <si>
    <t>列3074</t>
  </si>
  <si>
    <t>列3075</t>
  </si>
  <si>
    <t>列3076</t>
  </si>
  <si>
    <t>列3077</t>
  </si>
  <si>
    <t>列3078</t>
  </si>
  <si>
    <t>列3079</t>
  </si>
  <si>
    <t>列3080</t>
  </si>
  <si>
    <t>列3081</t>
  </si>
  <si>
    <t>列3082</t>
  </si>
  <si>
    <t>列3083</t>
  </si>
  <si>
    <t>列3084</t>
  </si>
  <si>
    <t>列3085</t>
  </si>
  <si>
    <t>列3086</t>
  </si>
  <si>
    <t>列3087</t>
  </si>
  <si>
    <t>列3088</t>
  </si>
  <si>
    <t>列3089</t>
  </si>
  <si>
    <t>列3090</t>
  </si>
  <si>
    <t>列3091</t>
  </si>
  <si>
    <t>列3092</t>
  </si>
  <si>
    <t>列3093</t>
  </si>
  <si>
    <t>列3094</t>
  </si>
  <si>
    <t>列3095</t>
  </si>
  <si>
    <t>列3096</t>
  </si>
  <si>
    <t>列3097</t>
  </si>
  <si>
    <t>列3098</t>
  </si>
  <si>
    <t>列3099</t>
  </si>
  <si>
    <t>列3100</t>
  </si>
  <si>
    <t>列3101</t>
  </si>
  <si>
    <t>列3102</t>
  </si>
  <si>
    <t>列3103</t>
  </si>
  <si>
    <t>列3104</t>
  </si>
  <si>
    <t>列3105</t>
  </si>
  <si>
    <t>列3106</t>
  </si>
  <si>
    <t>列3107</t>
  </si>
  <si>
    <t>列3108</t>
  </si>
  <si>
    <t>列3109</t>
  </si>
  <si>
    <t>列3110</t>
  </si>
  <si>
    <t>列3111</t>
  </si>
  <si>
    <t>列3112</t>
  </si>
  <si>
    <t>列3113</t>
  </si>
  <si>
    <t>列3114</t>
  </si>
  <si>
    <t>列3115</t>
  </si>
  <si>
    <t>列3116</t>
  </si>
  <si>
    <t>列3117</t>
  </si>
  <si>
    <t>列3118</t>
  </si>
  <si>
    <t>列3119</t>
  </si>
  <si>
    <t>列3120</t>
  </si>
  <si>
    <t>列3121</t>
  </si>
  <si>
    <t>列3122</t>
  </si>
  <si>
    <t>列3123</t>
  </si>
  <si>
    <t>列3124</t>
  </si>
  <si>
    <t>列3125</t>
  </si>
  <si>
    <t>列3126</t>
  </si>
  <si>
    <t>列3127</t>
  </si>
  <si>
    <t>列3128</t>
  </si>
  <si>
    <t>列3129</t>
  </si>
  <si>
    <t>列3130</t>
  </si>
  <si>
    <t>列3131</t>
  </si>
  <si>
    <t>列3132</t>
  </si>
  <si>
    <t>列3133</t>
  </si>
  <si>
    <t>列3134</t>
  </si>
  <si>
    <t>列3135</t>
  </si>
  <si>
    <t>列3136</t>
  </si>
  <si>
    <t>列3137</t>
  </si>
  <si>
    <t>列3138</t>
  </si>
  <si>
    <t>列3139</t>
  </si>
  <si>
    <t>列3140</t>
  </si>
  <si>
    <t>列3141</t>
  </si>
  <si>
    <t>列3142</t>
  </si>
  <si>
    <t>列3143</t>
  </si>
  <si>
    <t>列3144</t>
  </si>
  <si>
    <t>列3145</t>
  </si>
  <si>
    <t>列3146</t>
  </si>
  <si>
    <t>列3147</t>
  </si>
  <si>
    <t>列3148</t>
  </si>
  <si>
    <t>列3149</t>
  </si>
  <si>
    <t>列3150</t>
  </si>
  <si>
    <t>列3151</t>
  </si>
  <si>
    <t>列3152</t>
  </si>
  <si>
    <t>列3153</t>
  </si>
  <si>
    <t>列3154</t>
  </si>
  <si>
    <t>列3155</t>
  </si>
  <si>
    <t>列3156</t>
  </si>
  <si>
    <t>列3157</t>
  </si>
  <si>
    <t>列3158</t>
  </si>
  <si>
    <t>列3159</t>
  </si>
  <si>
    <t>列3160</t>
  </si>
  <si>
    <t>列3161</t>
  </si>
  <si>
    <t>列3162</t>
  </si>
  <si>
    <t>列3163</t>
  </si>
  <si>
    <t>列3164</t>
  </si>
  <si>
    <t>列3165</t>
  </si>
  <si>
    <t>列3166</t>
  </si>
  <si>
    <t>列3167</t>
  </si>
  <si>
    <t>列3168</t>
  </si>
  <si>
    <t>列3169</t>
  </si>
  <si>
    <t>列3170</t>
  </si>
  <si>
    <t>列3171</t>
  </si>
  <si>
    <t>列3172</t>
  </si>
  <si>
    <t>列3173</t>
  </si>
  <si>
    <t>列3174</t>
  </si>
  <si>
    <t>列3175</t>
  </si>
  <si>
    <t>列3176</t>
  </si>
  <si>
    <t>列3177</t>
  </si>
  <si>
    <t>列3178</t>
  </si>
  <si>
    <t>列3179</t>
  </si>
  <si>
    <t>列3180</t>
  </si>
  <si>
    <t>列3181</t>
  </si>
  <si>
    <t>列3182</t>
  </si>
  <si>
    <t>列3183</t>
  </si>
  <si>
    <t>列3184</t>
  </si>
  <si>
    <t>列3185</t>
  </si>
  <si>
    <t>列3186</t>
  </si>
  <si>
    <t>列3187</t>
  </si>
  <si>
    <t>列3188</t>
  </si>
  <si>
    <t>列3189</t>
  </si>
  <si>
    <t>列3190</t>
  </si>
  <si>
    <t>列3191</t>
  </si>
  <si>
    <t>列3192</t>
  </si>
  <si>
    <t>列3193</t>
  </si>
  <si>
    <t>列3194</t>
  </si>
  <si>
    <t>列3195</t>
  </si>
  <si>
    <t>列3196</t>
  </si>
  <si>
    <t>列3197</t>
  </si>
  <si>
    <t>列3198</t>
  </si>
  <si>
    <t>列3199</t>
  </si>
  <si>
    <t>列3200</t>
  </si>
  <si>
    <t>列3201</t>
  </si>
  <si>
    <t>列3202</t>
  </si>
  <si>
    <t>列3203</t>
  </si>
  <si>
    <t>列3204</t>
  </si>
  <si>
    <t>列3205</t>
  </si>
  <si>
    <t>列3206</t>
  </si>
  <si>
    <t>列3207</t>
  </si>
  <si>
    <t>列3208</t>
  </si>
  <si>
    <t>列3209</t>
  </si>
  <si>
    <t>列3210</t>
  </si>
  <si>
    <t>列3211</t>
  </si>
  <si>
    <t>列3212</t>
  </si>
  <si>
    <t>列3213</t>
  </si>
  <si>
    <t>列3214</t>
  </si>
  <si>
    <t>列3215</t>
  </si>
  <si>
    <t>列3216</t>
  </si>
  <si>
    <t>列3217</t>
  </si>
  <si>
    <t>列3218</t>
  </si>
  <si>
    <t>列3219</t>
  </si>
  <si>
    <t>列3220</t>
  </si>
  <si>
    <t>列3221</t>
  </si>
  <si>
    <t>列3222</t>
  </si>
  <si>
    <t>列3223</t>
  </si>
  <si>
    <t>列3224</t>
  </si>
  <si>
    <t>列3225</t>
  </si>
  <si>
    <t>列3226</t>
  </si>
  <si>
    <t>列3227</t>
  </si>
  <si>
    <t>列3228</t>
  </si>
  <si>
    <t>列3229</t>
  </si>
  <si>
    <t>列3230</t>
  </si>
  <si>
    <t>列3231</t>
  </si>
  <si>
    <t>列3232</t>
  </si>
  <si>
    <t>列3233</t>
  </si>
  <si>
    <t>列3234</t>
  </si>
  <si>
    <t>列3235</t>
  </si>
  <si>
    <t>列3236</t>
  </si>
  <si>
    <t>列3237</t>
  </si>
  <si>
    <t>列3238</t>
  </si>
  <si>
    <t>列3239</t>
  </si>
  <si>
    <t>列3240</t>
  </si>
  <si>
    <t>列3241</t>
  </si>
  <si>
    <t>列3242</t>
  </si>
  <si>
    <t>列3243</t>
  </si>
  <si>
    <t>列3244</t>
  </si>
  <si>
    <t>列3245</t>
  </si>
  <si>
    <t>列3246</t>
  </si>
  <si>
    <t>列3247</t>
  </si>
  <si>
    <t>列3248</t>
  </si>
  <si>
    <t>列3249</t>
  </si>
  <si>
    <t>列3250</t>
  </si>
  <si>
    <t>列3251</t>
  </si>
  <si>
    <t>列3252</t>
  </si>
  <si>
    <t>列3253</t>
  </si>
  <si>
    <t>列3254</t>
  </si>
  <si>
    <t>列3255</t>
  </si>
  <si>
    <t>列3256</t>
  </si>
  <si>
    <t>列3257</t>
  </si>
  <si>
    <t>列3258</t>
  </si>
  <si>
    <t>列3259</t>
  </si>
  <si>
    <t>列3260</t>
  </si>
  <si>
    <t>列3261</t>
  </si>
  <si>
    <t>列3262</t>
  </si>
  <si>
    <t>列3263</t>
  </si>
  <si>
    <t>列3264</t>
  </si>
  <si>
    <t>列3265</t>
  </si>
  <si>
    <t>列3266</t>
  </si>
  <si>
    <t>列3267</t>
  </si>
  <si>
    <t>列3268</t>
  </si>
  <si>
    <t>列3269</t>
  </si>
  <si>
    <t>列3270</t>
  </si>
  <si>
    <t>列3271</t>
  </si>
  <si>
    <t>列3272</t>
  </si>
  <si>
    <t>列3273</t>
  </si>
  <si>
    <t>列3274</t>
  </si>
  <si>
    <t>列3275</t>
  </si>
  <si>
    <t>列3276</t>
  </si>
  <si>
    <t>列3277</t>
  </si>
  <si>
    <t>列3278</t>
  </si>
  <si>
    <t>列3279</t>
  </si>
  <si>
    <t>列3280</t>
  </si>
  <si>
    <t>列3281</t>
  </si>
  <si>
    <t>列3282</t>
  </si>
  <si>
    <t>列3283</t>
  </si>
  <si>
    <t>列3284</t>
  </si>
  <si>
    <t>列3285</t>
  </si>
  <si>
    <t>列3286</t>
  </si>
  <si>
    <t>列3287</t>
  </si>
  <si>
    <t>列3288</t>
  </si>
  <si>
    <t>列3289</t>
  </si>
  <si>
    <t>列3290</t>
  </si>
  <si>
    <t>列3291</t>
  </si>
  <si>
    <t>列3292</t>
  </si>
  <si>
    <t>列3293</t>
  </si>
  <si>
    <t>列3294</t>
  </si>
  <si>
    <t>列3295</t>
  </si>
  <si>
    <t>列3296</t>
  </si>
  <si>
    <t>列3297</t>
  </si>
  <si>
    <t>列3298</t>
  </si>
  <si>
    <t>列3299</t>
  </si>
  <si>
    <t>列3300</t>
  </si>
  <si>
    <t>列3301</t>
  </si>
  <si>
    <t>列3302</t>
  </si>
  <si>
    <t>列3303</t>
  </si>
  <si>
    <t>列3304</t>
  </si>
  <si>
    <t>列3305</t>
  </si>
  <si>
    <t>列3306</t>
  </si>
  <si>
    <t>列3307</t>
  </si>
  <si>
    <t>列3308</t>
  </si>
  <si>
    <t>列3309</t>
  </si>
  <si>
    <t>列3310</t>
  </si>
  <si>
    <t>列3311</t>
  </si>
  <si>
    <t>列3312</t>
  </si>
  <si>
    <t>列3313</t>
  </si>
  <si>
    <t>列3314</t>
  </si>
  <si>
    <t>列3315</t>
  </si>
  <si>
    <t>列3316</t>
  </si>
  <si>
    <t>列3317</t>
  </si>
  <si>
    <t>列3318</t>
  </si>
  <si>
    <t>列3319</t>
  </si>
  <si>
    <t>列3320</t>
  </si>
  <si>
    <t>列3321</t>
  </si>
  <si>
    <t>列3322</t>
  </si>
  <si>
    <t>列3323</t>
  </si>
  <si>
    <t>列3324</t>
  </si>
  <si>
    <t>列3325</t>
  </si>
  <si>
    <t>列3326</t>
  </si>
  <si>
    <t>列3327</t>
  </si>
  <si>
    <t>列3328</t>
  </si>
  <si>
    <t>列3329</t>
  </si>
  <si>
    <t>列3330</t>
  </si>
  <si>
    <t>列3331</t>
  </si>
  <si>
    <t>列3332</t>
  </si>
  <si>
    <t>列3333</t>
  </si>
  <si>
    <t>列3334</t>
  </si>
  <si>
    <t>列3335</t>
  </si>
  <si>
    <t>列3336</t>
  </si>
  <si>
    <t>列3337</t>
  </si>
  <si>
    <t>列3338</t>
  </si>
  <si>
    <t>列3339</t>
  </si>
  <si>
    <t>列3340</t>
  </si>
  <si>
    <t>列3341</t>
  </si>
  <si>
    <t>列3342</t>
  </si>
  <si>
    <t>列3343</t>
  </si>
  <si>
    <t>列3344</t>
  </si>
  <si>
    <t>列3345</t>
  </si>
  <si>
    <t>列3346</t>
  </si>
  <si>
    <t>列3347</t>
  </si>
  <si>
    <t>列3348</t>
  </si>
  <si>
    <t>列3349</t>
  </si>
  <si>
    <t>列3350</t>
  </si>
  <si>
    <t>列3351</t>
  </si>
  <si>
    <t>列3352</t>
  </si>
  <si>
    <t>列3353</t>
  </si>
  <si>
    <t>列3354</t>
  </si>
  <si>
    <t>列3355</t>
  </si>
  <si>
    <t>列3356</t>
  </si>
  <si>
    <t>列3357</t>
  </si>
  <si>
    <t>列3358</t>
  </si>
  <si>
    <t>列3359</t>
  </si>
  <si>
    <t>列3360</t>
  </si>
  <si>
    <t>列3361</t>
  </si>
  <si>
    <t>列3362</t>
  </si>
  <si>
    <t>列3363</t>
  </si>
  <si>
    <t>列3364</t>
  </si>
  <si>
    <t>列3365</t>
  </si>
  <si>
    <t>列3366</t>
  </si>
  <si>
    <t>列3367</t>
  </si>
  <si>
    <t>列3368</t>
  </si>
  <si>
    <t>列3369</t>
  </si>
  <si>
    <t>列3370</t>
  </si>
  <si>
    <t>列3371</t>
  </si>
  <si>
    <t>列3372</t>
  </si>
  <si>
    <t>列3373</t>
  </si>
  <si>
    <t>列3374</t>
  </si>
  <si>
    <t>列3375</t>
  </si>
  <si>
    <t>列3376</t>
  </si>
  <si>
    <t>列3377</t>
  </si>
  <si>
    <t>列3378</t>
  </si>
  <si>
    <t>列3379</t>
  </si>
  <si>
    <t>列3380</t>
  </si>
  <si>
    <t>列3381</t>
  </si>
  <si>
    <t>列3382</t>
  </si>
  <si>
    <t>列3383</t>
  </si>
  <si>
    <t>列3384</t>
  </si>
  <si>
    <t>列3385</t>
  </si>
  <si>
    <t>列3386</t>
  </si>
  <si>
    <t>列3387</t>
  </si>
  <si>
    <t>列3388</t>
  </si>
  <si>
    <t>列3389</t>
  </si>
  <si>
    <t>列3390</t>
  </si>
  <si>
    <t>列3391</t>
  </si>
  <si>
    <t>列3392</t>
  </si>
  <si>
    <t>列3393</t>
  </si>
  <si>
    <t>列3394</t>
  </si>
  <si>
    <t>列3395</t>
  </si>
  <si>
    <t>列3396</t>
  </si>
  <si>
    <t>列3397</t>
  </si>
  <si>
    <t>列3398</t>
  </si>
  <si>
    <t>列3399</t>
  </si>
  <si>
    <t>列3400</t>
  </si>
  <si>
    <t>列3401</t>
  </si>
  <si>
    <t>列3402</t>
  </si>
  <si>
    <t>列3403</t>
  </si>
  <si>
    <t>列3404</t>
  </si>
  <si>
    <t>列3405</t>
  </si>
  <si>
    <t>列3406</t>
  </si>
  <si>
    <t>列3407</t>
  </si>
  <si>
    <t>列3408</t>
  </si>
  <si>
    <t>列3409</t>
  </si>
  <si>
    <t>列3410</t>
  </si>
  <si>
    <t>列3411</t>
  </si>
  <si>
    <t>列3412</t>
  </si>
  <si>
    <t>列3413</t>
  </si>
  <si>
    <t>列3414</t>
  </si>
  <si>
    <t>列3415</t>
  </si>
  <si>
    <t>列3416</t>
  </si>
  <si>
    <t>列3417</t>
  </si>
  <si>
    <t>列3418</t>
  </si>
  <si>
    <t>列3419</t>
  </si>
  <si>
    <t>列3420</t>
  </si>
  <si>
    <t>列3421</t>
  </si>
  <si>
    <t>列3422</t>
  </si>
  <si>
    <t>列3423</t>
  </si>
  <si>
    <t>列3424</t>
  </si>
  <si>
    <t>列3425</t>
  </si>
  <si>
    <t>列3426</t>
  </si>
  <si>
    <t>列3427</t>
  </si>
  <si>
    <t>列3428</t>
  </si>
  <si>
    <t>列3429</t>
  </si>
  <si>
    <t>列3430</t>
  </si>
  <si>
    <t>列3431</t>
  </si>
  <si>
    <t>列3432</t>
  </si>
  <si>
    <t>列3433</t>
  </si>
  <si>
    <t>列3434</t>
  </si>
  <si>
    <t>列3435</t>
  </si>
  <si>
    <t>列3436</t>
  </si>
  <si>
    <t>列3437</t>
  </si>
  <si>
    <t>列3438</t>
  </si>
  <si>
    <t>列3439</t>
  </si>
  <si>
    <t>列3440</t>
  </si>
  <si>
    <t>列3441</t>
  </si>
  <si>
    <t>列3442</t>
  </si>
  <si>
    <t>列3443</t>
  </si>
  <si>
    <t>列3444</t>
  </si>
  <si>
    <t>列3445</t>
  </si>
  <si>
    <t>列3446</t>
  </si>
  <si>
    <t>列3447</t>
  </si>
  <si>
    <t>列3448</t>
  </si>
  <si>
    <t>列3449</t>
  </si>
  <si>
    <t>列3450</t>
  </si>
  <si>
    <t>列3451</t>
  </si>
  <si>
    <t>列3452</t>
  </si>
  <si>
    <t>列3453</t>
  </si>
  <si>
    <t>列3454</t>
  </si>
  <si>
    <t>列3455</t>
  </si>
  <si>
    <t>列3456</t>
  </si>
  <si>
    <t>列3457</t>
  </si>
  <si>
    <t>列3458</t>
  </si>
  <si>
    <t>列3459</t>
  </si>
  <si>
    <t>列3460</t>
  </si>
  <si>
    <t>列3461</t>
  </si>
  <si>
    <t>列3462</t>
  </si>
  <si>
    <t>列3463</t>
  </si>
  <si>
    <t>列3464</t>
  </si>
  <si>
    <t>列3465</t>
  </si>
  <si>
    <t>列3466</t>
  </si>
  <si>
    <t>列3467</t>
  </si>
  <si>
    <t>列3468</t>
  </si>
  <si>
    <t>列3469</t>
  </si>
  <si>
    <t>列3470</t>
  </si>
  <si>
    <t>列3471</t>
  </si>
  <si>
    <t>列3472</t>
  </si>
  <si>
    <t>列3473</t>
  </si>
  <si>
    <t>列3474</t>
  </si>
  <si>
    <t>列3475</t>
  </si>
  <si>
    <t>列3476</t>
  </si>
  <si>
    <t>列3477</t>
  </si>
  <si>
    <t>列3478</t>
  </si>
  <si>
    <t>列3479</t>
  </si>
  <si>
    <t>列3480</t>
  </si>
  <si>
    <t>列3481</t>
  </si>
  <si>
    <t>列3482</t>
  </si>
  <si>
    <t>列3483</t>
  </si>
  <si>
    <t>列3484</t>
  </si>
  <si>
    <t>列3485</t>
  </si>
  <si>
    <t>列3486</t>
  </si>
  <si>
    <t>列3487</t>
  </si>
  <si>
    <t>列3488</t>
  </si>
  <si>
    <t>列3489</t>
  </si>
  <si>
    <t>列3490</t>
  </si>
  <si>
    <t>列3491</t>
  </si>
  <si>
    <t>列3492</t>
  </si>
  <si>
    <t>列3493</t>
  </si>
  <si>
    <t>列3494</t>
  </si>
  <si>
    <t>列3495</t>
  </si>
  <si>
    <t>列3496</t>
  </si>
  <si>
    <t>列3497</t>
  </si>
  <si>
    <t>列3498</t>
  </si>
  <si>
    <t>列3499</t>
  </si>
  <si>
    <t>列3500</t>
  </si>
  <si>
    <t>列3501</t>
  </si>
  <si>
    <t>列3502</t>
  </si>
  <si>
    <t>列3503</t>
  </si>
  <si>
    <t>列3504</t>
  </si>
  <si>
    <t>列3505</t>
  </si>
  <si>
    <t>列3506</t>
  </si>
  <si>
    <t>列3507</t>
  </si>
  <si>
    <t>列3508</t>
  </si>
  <si>
    <t>列3509</t>
  </si>
  <si>
    <t>列3510</t>
  </si>
  <si>
    <t>列3511</t>
  </si>
  <si>
    <t>列3512</t>
  </si>
  <si>
    <t>列3513</t>
  </si>
  <si>
    <t>列3514</t>
  </si>
  <si>
    <t>列3515</t>
  </si>
  <si>
    <t>列3516</t>
  </si>
  <si>
    <t>列3517</t>
  </si>
  <si>
    <t>列3518</t>
  </si>
  <si>
    <t>列3519</t>
  </si>
  <si>
    <t>列3520</t>
  </si>
  <si>
    <t>列3521</t>
  </si>
  <si>
    <t>列3522</t>
  </si>
  <si>
    <t>列3523</t>
  </si>
  <si>
    <t>列3524</t>
  </si>
  <si>
    <t>列3525</t>
  </si>
  <si>
    <t>列3526</t>
  </si>
  <si>
    <t>列3527</t>
  </si>
  <si>
    <t>列3528</t>
  </si>
  <si>
    <t>列3529</t>
  </si>
  <si>
    <t>列3530</t>
  </si>
  <si>
    <t>列3531</t>
  </si>
  <si>
    <t>列3532</t>
  </si>
  <si>
    <t>列3533</t>
  </si>
  <si>
    <t>列3534</t>
  </si>
  <si>
    <t>列3535</t>
  </si>
  <si>
    <t>列3536</t>
  </si>
  <si>
    <t>列3537</t>
  </si>
  <si>
    <t>列3538</t>
  </si>
  <si>
    <t>列3539</t>
  </si>
  <si>
    <t>列3540</t>
  </si>
  <si>
    <t>列3541</t>
  </si>
  <si>
    <t>列3542</t>
  </si>
  <si>
    <t>列3543</t>
  </si>
  <si>
    <t>列3544</t>
  </si>
  <si>
    <t>列3545</t>
  </si>
  <si>
    <t>列3546</t>
  </si>
  <si>
    <t>列3547</t>
  </si>
  <si>
    <t>列3548</t>
  </si>
  <si>
    <t>列3549</t>
  </si>
  <si>
    <t>列3550</t>
  </si>
  <si>
    <t>列3551</t>
  </si>
  <si>
    <t>列3552</t>
  </si>
  <si>
    <t>列3553</t>
  </si>
  <si>
    <t>列3554</t>
  </si>
  <si>
    <t>列3555</t>
  </si>
  <si>
    <t>列3556</t>
  </si>
  <si>
    <t>列3557</t>
  </si>
  <si>
    <t>列3558</t>
  </si>
  <si>
    <t>列3559</t>
  </si>
  <si>
    <t>列3560</t>
  </si>
  <si>
    <t>列3561</t>
  </si>
  <si>
    <t>列3562</t>
  </si>
  <si>
    <t>列3563</t>
  </si>
  <si>
    <t>列3564</t>
  </si>
  <si>
    <t>列3565</t>
  </si>
  <si>
    <t>列3566</t>
  </si>
  <si>
    <t>列3567</t>
  </si>
  <si>
    <t>列3568</t>
  </si>
  <si>
    <t>列3569</t>
  </si>
  <si>
    <t>列3570</t>
  </si>
  <si>
    <t>列3571</t>
  </si>
  <si>
    <t>列3572</t>
  </si>
  <si>
    <t>列3573</t>
  </si>
  <si>
    <t>列3574</t>
  </si>
  <si>
    <t>列3575</t>
  </si>
  <si>
    <t>列3576</t>
  </si>
  <si>
    <t>列3577</t>
  </si>
  <si>
    <t>列3578</t>
  </si>
  <si>
    <t>列3579</t>
  </si>
  <si>
    <t>列3580</t>
  </si>
  <si>
    <t>列3581</t>
  </si>
  <si>
    <t>列3582</t>
  </si>
  <si>
    <t>列3583</t>
  </si>
  <si>
    <t>列3584</t>
  </si>
  <si>
    <t>列3585</t>
  </si>
  <si>
    <t>列3586</t>
  </si>
  <si>
    <t>列3587</t>
  </si>
  <si>
    <t>列3588</t>
  </si>
  <si>
    <t>列3589</t>
  </si>
  <si>
    <t>列3590</t>
  </si>
  <si>
    <t>列3591</t>
  </si>
  <si>
    <t>列3592</t>
  </si>
  <si>
    <t>列3593</t>
  </si>
  <si>
    <t>列3594</t>
  </si>
  <si>
    <t>列3595</t>
  </si>
  <si>
    <t>列3596</t>
  </si>
  <si>
    <t>列3597</t>
  </si>
  <si>
    <t>列3598</t>
  </si>
  <si>
    <t>列3599</t>
  </si>
  <si>
    <t>列3600</t>
  </si>
  <si>
    <t>列3601</t>
  </si>
  <si>
    <t>列3602</t>
  </si>
  <si>
    <t>列3603</t>
  </si>
  <si>
    <t>列3604</t>
  </si>
  <si>
    <t>列3605</t>
  </si>
  <si>
    <t>列3606</t>
  </si>
  <si>
    <t>列3607</t>
  </si>
  <si>
    <t>列3608</t>
  </si>
  <si>
    <t>列3609</t>
  </si>
  <si>
    <t>列3610</t>
  </si>
  <si>
    <t>列3611</t>
  </si>
  <si>
    <t>列3612</t>
  </si>
  <si>
    <t>列3613</t>
  </si>
  <si>
    <t>列3614</t>
  </si>
  <si>
    <t>列3615</t>
  </si>
  <si>
    <t>列3616</t>
  </si>
  <si>
    <t>列3617</t>
  </si>
  <si>
    <t>列3618</t>
  </si>
  <si>
    <t>列3619</t>
  </si>
  <si>
    <t>列3620</t>
  </si>
  <si>
    <t>列3621</t>
  </si>
  <si>
    <t>列3622</t>
  </si>
  <si>
    <t>列3623</t>
  </si>
  <si>
    <t>列3624</t>
  </si>
  <si>
    <t>列3625</t>
  </si>
  <si>
    <t>列3626</t>
  </si>
  <si>
    <t>列3627</t>
  </si>
  <si>
    <t>列3628</t>
  </si>
  <si>
    <t>列3629</t>
  </si>
  <si>
    <t>列3630</t>
  </si>
  <si>
    <t>列3631</t>
  </si>
  <si>
    <t>列3632</t>
  </si>
  <si>
    <t>列3633</t>
  </si>
  <si>
    <t>列3634</t>
  </si>
  <si>
    <t>列3635</t>
  </si>
  <si>
    <t>列3636</t>
  </si>
  <si>
    <t>列3637</t>
  </si>
  <si>
    <t>列3638</t>
  </si>
  <si>
    <t>列3639</t>
  </si>
  <si>
    <t>列3640</t>
  </si>
  <si>
    <t>列3641</t>
  </si>
  <si>
    <t>列3642</t>
  </si>
  <si>
    <t>列3643</t>
  </si>
  <si>
    <t>列3644</t>
  </si>
  <si>
    <t>列3645</t>
  </si>
  <si>
    <t>列3646</t>
  </si>
  <si>
    <t>列3647</t>
  </si>
  <si>
    <t>列3648</t>
  </si>
  <si>
    <t>列3649</t>
  </si>
  <si>
    <t>列3650</t>
  </si>
  <si>
    <t>列3651</t>
  </si>
  <si>
    <t>列3652</t>
  </si>
  <si>
    <t>列3653</t>
  </si>
  <si>
    <t>列3654</t>
  </si>
  <si>
    <t>列3655</t>
  </si>
  <si>
    <t>列3656</t>
  </si>
  <si>
    <t>列3657</t>
  </si>
  <si>
    <t>列3658</t>
  </si>
  <si>
    <t>列3659</t>
  </si>
  <si>
    <t>列3660</t>
  </si>
  <si>
    <t>列3661</t>
  </si>
  <si>
    <t>列3662</t>
  </si>
  <si>
    <t>列3663</t>
  </si>
  <si>
    <t>列3664</t>
  </si>
  <si>
    <t>列3665</t>
  </si>
  <si>
    <t>列3666</t>
  </si>
  <si>
    <t>列3667</t>
  </si>
  <si>
    <t>列3668</t>
  </si>
  <si>
    <t>列3669</t>
  </si>
  <si>
    <t>列3670</t>
  </si>
  <si>
    <t>列3671</t>
  </si>
  <si>
    <t>列3672</t>
  </si>
  <si>
    <t>列3673</t>
  </si>
  <si>
    <t>列3674</t>
  </si>
  <si>
    <t>列3675</t>
  </si>
  <si>
    <t>列3676</t>
  </si>
  <si>
    <t>列3677</t>
  </si>
  <si>
    <t>列3678</t>
  </si>
  <si>
    <t>列3679</t>
  </si>
  <si>
    <t>列3680</t>
  </si>
  <si>
    <t>列3681</t>
  </si>
  <si>
    <t>列3682</t>
  </si>
  <si>
    <t>列3683</t>
  </si>
  <si>
    <t>列3684</t>
  </si>
  <si>
    <t>列3685</t>
  </si>
  <si>
    <t>列3686</t>
  </si>
  <si>
    <t>列3687</t>
  </si>
  <si>
    <t>列3688</t>
  </si>
  <si>
    <t>列3689</t>
  </si>
  <si>
    <t>列3690</t>
  </si>
  <si>
    <t>列3691</t>
  </si>
  <si>
    <t>列3692</t>
  </si>
  <si>
    <t>列3693</t>
  </si>
  <si>
    <t>列3694</t>
  </si>
  <si>
    <t>列3695</t>
  </si>
  <si>
    <t>列3696</t>
  </si>
  <si>
    <t>列3697</t>
  </si>
  <si>
    <t>列3698</t>
  </si>
  <si>
    <t>列3699</t>
  </si>
  <si>
    <t>列3700</t>
  </si>
  <si>
    <t>列3701</t>
  </si>
  <si>
    <t>列3702</t>
  </si>
  <si>
    <t>列3703</t>
  </si>
  <si>
    <t>列3704</t>
  </si>
  <si>
    <t>列3705</t>
  </si>
  <si>
    <t>列3706</t>
  </si>
  <si>
    <t>列3707</t>
  </si>
  <si>
    <t>列3708</t>
  </si>
  <si>
    <t>列3709</t>
  </si>
  <si>
    <t>列3710</t>
  </si>
  <si>
    <t>列3711</t>
  </si>
  <si>
    <t>列3712</t>
  </si>
  <si>
    <t>列3713</t>
  </si>
  <si>
    <t>列3714</t>
  </si>
  <si>
    <t>列3715</t>
  </si>
  <si>
    <t>列3716</t>
  </si>
  <si>
    <t>列3717</t>
  </si>
  <si>
    <t>列3718</t>
  </si>
  <si>
    <t>列3719</t>
  </si>
  <si>
    <t>列3720</t>
  </si>
  <si>
    <t>列3721</t>
  </si>
  <si>
    <t>列3722</t>
  </si>
  <si>
    <t>列3723</t>
  </si>
  <si>
    <t>列3724</t>
  </si>
  <si>
    <t>列3725</t>
  </si>
  <si>
    <t>列3726</t>
  </si>
  <si>
    <t>列3727</t>
  </si>
  <si>
    <t>列3728</t>
  </si>
  <si>
    <t>列3729</t>
  </si>
  <si>
    <t>列3730</t>
  </si>
  <si>
    <t>列3731</t>
  </si>
  <si>
    <t>列3732</t>
  </si>
  <si>
    <t>列3733</t>
  </si>
  <si>
    <t>列3734</t>
  </si>
  <si>
    <t>列3735</t>
  </si>
  <si>
    <t>列3736</t>
  </si>
  <si>
    <t>列3737</t>
  </si>
  <si>
    <t>列3738</t>
  </si>
  <si>
    <t>列3739</t>
  </si>
  <si>
    <t>列3740</t>
  </si>
  <si>
    <t>列3741</t>
  </si>
  <si>
    <t>列3742</t>
  </si>
  <si>
    <t>列3743</t>
  </si>
  <si>
    <t>列3744</t>
  </si>
  <si>
    <t>列3745</t>
  </si>
  <si>
    <t>列3746</t>
  </si>
  <si>
    <t>列3747</t>
  </si>
  <si>
    <t>列3748</t>
  </si>
  <si>
    <t>列3749</t>
  </si>
  <si>
    <t>列3750</t>
  </si>
  <si>
    <t>列3751</t>
  </si>
  <si>
    <t>列3752</t>
  </si>
  <si>
    <t>列3753</t>
  </si>
  <si>
    <t>列3754</t>
  </si>
  <si>
    <t>列3755</t>
  </si>
  <si>
    <t>列3756</t>
  </si>
  <si>
    <t>列3757</t>
  </si>
  <si>
    <t>列3758</t>
  </si>
  <si>
    <t>列3759</t>
  </si>
  <si>
    <t>列3760</t>
  </si>
  <si>
    <t>列3761</t>
  </si>
  <si>
    <t>列3762</t>
  </si>
  <si>
    <t>列3763</t>
  </si>
  <si>
    <t>列3764</t>
  </si>
  <si>
    <t>列3765</t>
  </si>
  <si>
    <t>列3766</t>
  </si>
  <si>
    <t>列3767</t>
  </si>
  <si>
    <t>列3768</t>
  </si>
  <si>
    <t>列3769</t>
  </si>
  <si>
    <t>列3770</t>
  </si>
  <si>
    <t>列3771</t>
  </si>
  <si>
    <t>列3772</t>
  </si>
  <si>
    <t>列3773</t>
  </si>
  <si>
    <t>列3774</t>
  </si>
  <si>
    <t>列3775</t>
  </si>
  <si>
    <t>列3776</t>
  </si>
  <si>
    <t>列3777</t>
  </si>
  <si>
    <t>列3778</t>
  </si>
  <si>
    <t>列3779</t>
  </si>
  <si>
    <t>列3780</t>
  </si>
  <si>
    <t>列3781</t>
  </si>
  <si>
    <t>列3782</t>
  </si>
  <si>
    <t>列3783</t>
  </si>
  <si>
    <t>列3784</t>
  </si>
  <si>
    <t>列3785</t>
  </si>
  <si>
    <t>列3786</t>
  </si>
  <si>
    <t>列3787</t>
  </si>
  <si>
    <t>列3788</t>
  </si>
  <si>
    <t>列3789</t>
  </si>
  <si>
    <t>列3790</t>
  </si>
  <si>
    <t>列3791</t>
  </si>
  <si>
    <t>列3792</t>
  </si>
  <si>
    <t>列3793</t>
  </si>
  <si>
    <t>列3794</t>
  </si>
  <si>
    <t>列3795</t>
  </si>
  <si>
    <t>列3796</t>
  </si>
  <si>
    <t>列3797</t>
  </si>
  <si>
    <t>列3798</t>
  </si>
  <si>
    <t>列3799</t>
  </si>
  <si>
    <t>列3800</t>
  </si>
  <si>
    <t>列3801</t>
  </si>
  <si>
    <t>列3802</t>
  </si>
  <si>
    <t>列3803</t>
  </si>
  <si>
    <t>列3804</t>
  </si>
  <si>
    <t>列3805</t>
  </si>
  <si>
    <t>列3806</t>
  </si>
  <si>
    <t>列3807</t>
  </si>
  <si>
    <t>列3808</t>
  </si>
  <si>
    <t>列3809</t>
  </si>
  <si>
    <t>列3810</t>
  </si>
  <si>
    <t>列3811</t>
  </si>
  <si>
    <t>列3812</t>
  </si>
  <si>
    <t>列3813</t>
  </si>
  <si>
    <t>列3814</t>
  </si>
  <si>
    <t>列3815</t>
  </si>
  <si>
    <t>列3816</t>
  </si>
  <si>
    <t>列3817</t>
  </si>
  <si>
    <t>列3818</t>
  </si>
  <si>
    <t>列3819</t>
  </si>
  <si>
    <t>列3820</t>
  </si>
  <si>
    <t>列3821</t>
  </si>
  <si>
    <t>列3822</t>
  </si>
  <si>
    <t>列3823</t>
  </si>
  <si>
    <t>列3824</t>
  </si>
  <si>
    <t>列3825</t>
  </si>
  <si>
    <t>列3826</t>
  </si>
  <si>
    <t>列3827</t>
  </si>
  <si>
    <t>列3828</t>
  </si>
  <si>
    <t>列3829</t>
  </si>
  <si>
    <t>列3830</t>
  </si>
  <si>
    <t>列3831</t>
  </si>
  <si>
    <t>列3832</t>
  </si>
  <si>
    <t>列3833</t>
  </si>
  <si>
    <t>列3834</t>
  </si>
  <si>
    <t>列3835</t>
  </si>
  <si>
    <t>列3836</t>
  </si>
  <si>
    <t>列3837</t>
  </si>
  <si>
    <t>列3838</t>
  </si>
  <si>
    <t>列3839</t>
  </si>
  <si>
    <t>列3840</t>
  </si>
  <si>
    <t>列3841</t>
  </si>
  <si>
    <t>列3842</t>
  </si>
  <si>
    <t>列3843</t>
  </si>
  <si>
    <t>列3844</t>
  </si>
  <si>
    <t>列3845</t>
  </si>
  <si>
    <t>列3846</t>
  </si>
  <si>
    <t>列3847</t>
  </si>
  <si>
    <t>列3848</t>
  </si>
  <si>
    <t>列3849</t>
  </si>
  <si>
    <t>列3850</t>
  </si>
  <si>
    <t>列3851</t>
  </si>
  <si>
    <t>列3852</t>
  </si>
  <si>
    <t>列3853</t>
  </si>
  <si>
    <t>列3854</t>
  </si>
  <si>
    <t>列3855</t>
  </si>
  <si>
    <t>列3856</t>
  </si>
  <si>
    <t>列3857</t>
  </si>
  <si>
    <t>列3858</t>
  </si>
  <si>
    <t>列3859</t>
  </si>
  <si>
    <t>列3860</t>
  </si>
  <si>
    <t>列3861</t>
  </si>
  <si>
    <t>列3862</t>
  </si>
  <si>
    <t>列3863</t>
  </si>
  <si>
    <t>列3864</t>
  </si>
  <si>
    <t>列3865</t>
  </si>
  <si>
    <t>列3866</t>
  </si>
  <si>
    <t>列3867</t>
  </si>
  <si>
    <t>列3868</t>
  </si>
  <si>
    <t>列3869</t>
  </si>
  <si>
    <t>列3870</t>
  </si>
  <si>
    <t>列3871</t>
  </si>
  <si>
    <t>列3872</t>
  </si>
  <si>
    <t>列3873</t>
  </si>
  <si>
    <t>列3874</t>
  </si>
  <si>
    <t>列3875</t>
  </si>
  <si>
    <t>列3876</t>
  </si>
  <si>
    <t>列3877</t>
  </si>
  <si>
    <t>列3878</t>
  </si>
  <si>
    <t>列3879</t>
  </si>
  <si>
    <t>列3880</t>
  </si>
  <si>
    <t>列3881</t>
  </si>
  <si>
    <t>列3882</t>
  </si>
  <si>
    <t>列3883</t>
  </si>
  <si>
    <t>列3884</t>
  </si>
  <si>
    <t>列3885</t>
  </si>
  <si>
    <t>列3886</t>
  </si>
  <si>
    <t>列3887</t>
  </si>
  <si>
    <t>列3888</t>
  </si>
  <si>
    <t>列3889</t>
  </si>
  <si>
    <t>列3890</t>
  </si>
  <si>
    <t>列3891</t>
  </si>
  <si>
    <t>列3892</t>
  </si>
  <si>
    <t>列3893</t>
  </si>
  <si>
    <t>列3894</t>
  </si>
  <si>
    <t>列3895</t>
  </si>
  <si>
    <t>列3896</t>
  </si>
  <si>
    <t>列3897</t>
  </si>
  <si>
    <t>列3898</t>
  </si>
  <si>
    <t>列3899</t>
  </si>
  <si>
    <t>列3900</t>
  </si>
  <si>
    <t>列3901</t>
  </si>
  <si>
    <t>列3902</t>
  </si>
  <si>
    <t>列3903</t>
  </si>
  <si>
    <t>列3904</t>
  </si>
  <si>
    <t>列3905</t>
  </si>
  <si>
    <t>列3906</t>
  </si>
  <si>
    <t>列3907</t>
  </si>
  <si>
    <t>列3908</t>
  </si>
  <si>
    <t>列3909</t>
  </si>
  <si>
    <t>列3910</t>
  </si>
  <si>
    <t>列3911</t>
  </si>
  <si>
    <t>列3912</t>
  </si>
  <si>
    <t>列3913</t>
  </si>
  <si>
    <t>列3914</t>
  </si>
  <si>
    <t>列3915</t>
  </si>
  <si>
    <t>列3916</t>
  </si>
  <si>
    <t>列3917</t>
  </si>
  <si>
    <t>列3918</t>
  </si>
  <si>
    <t>列3919</t>
  </si>
  <si>
    <t>列3920</t>
  </si>
  <si>
    <t>列3921</t>
  </si>
  <si>
    <t>列3922</t>
  </si>
  <si>
    <t>列3923</t>
  </si>
  <si>
    <t>列3924</t>
  </si>
  <si>
    <t>列3925</t>
  </si>
  <si>
    <t>列3926</t>
  </si>
  <si>
    <t>列3927</t>
  </si>
  <si>
    <t>列3928</t>
  </si>
  <si>
    <t>列3929</t>
  </si>
  <si>
    <t>列3930</t>
  </si>
  <si>
    <t>列3931</t>
  </si>
  <si>
    <t>列3932</t>
  </si>
  <si>
    <t>列3933</t>
  </si>
  <si>
    <t>列3934</t>
  </si>
  <si>
    <t>列3935</t>
  </si>
  <si>
    <t>列3936</t>
  </si>
  <si>
    <t>列3937</t>
  </si>
  <si>
    <t>列3938</t>
  </si>
  <si>
    <t>列3939</t>
  </si>
  <si>
    <t>列3940</t>
  </si>
  <si>
    <t>列3941</t>
  </si>
  <si>
    <t>列3942</t>
  </si>
  <si>
    <t>列3943</t>
  </si>
  <si>
    <t>列3944</t>
  </si>
  <si>
    <t>列3945</t>
  </si>
  <si>
    <t>列3946</t>
  </si>
  <si>
    <t>列3947</t>
  </si>
  <si>
    <t>列3948</t>
  </si>
  <si>
    <t>列3949</t>
  </si>
  <si>
    <t>列3950</t>
  </si>
  <si>
    <t>列3951</t>
  </si>
  <si>
    <t>列3952</t>
  </si>
  <si>
    <t>列3953</t>
  </si>
  <si>
    <t>列3954</t>
  </si>
  <si>
    <t>列3955</t>
  </si>
  <si>
    <t>列3956</t>
  </si>
  <si>
    <t>列3957</t>
  </si>
  <si>
    <t>列3958</t>
  </si>
  <si>
    <t>列3959</t>
  </si>
  <si>
    <t>列3960</t>
  </si>
  <si>
    <t>列3961</t>
  </si>
  <si>
    <t>列3962</t>
  </si>
  <si>
    <t>列3963</t>
  </si>
  <si>
    <t>列3964</t>
  </si>
  <si>
    <t>列3965</t>
  </si>
  <si>
    <t>列3966</t>
  </si>
  <si>
    <t>列3967</t>
  </si>
  <si>
    <t>列3968</t>
  </si>
  <si>
    <t>列3969</t>
  </si>
  <si>
    <t>列3970</t>
  </si>
  <si>
    <t>列3971</t>
  </si>
  <si>
    <t>列3972</t>
  </si>
  <si>
    <t>列3973</t>
  </si>
  <si>
    <t>列3974</t>
  </si>
  <si>
    <t>列3975</t>
  </si>
  <si>
    <t>列3976</t>
  </si>
  <si>
    <t>列3977</t>
  </si>
  <si>
    <t>列3978</t>
  </si>
  <si>
    <t>列3979</t>
  </si>
  <si>
    <t>列3980</t>
  </si>
  <si>
    <t>列3981</t>
  </si>
  <si>
    <t>列3982</t>
  </si>
  <si>
    <t>列3983</t>
  </si>
  <si>
    <t>列3984</t>
  </si>
  <si>
    <t>列3985</t>
  </si>
  <si>
    <t>列3986</t>
  </si>
  <si>
    <t>列3987</t>
  </si>
  <si>
    <t>列3988</t>
  </si>
  <si>
    <t>列3989</t>
  </si>
  <si>
    <t>列3990</t>
  </si>
  <si>
    <t>列3991</t>
  </si>
  <si>
    <t>列3992</t>
  </si>
  <si>
    <t>列3993</t>
  </si>
  <si>
    <t>列3994</t>
  </si>
  <si>
    <t>列3995</t>
  </si>
  <si>
    <t>列3996</t>
  </si>
  <si>
    <t>列3997</t>
  </si>
  <si>
    <t>列3998</t>
  </si>
  <si>
    <t>列3999</t>
  </si>
  <si>
    <t>列4000</t>
  </si>
  <si>
    <t>列4001</t>
  </si>
  <si>
    <t>列4002</t>
  </si>
  <si>
    <t>列4003</t>
  </si>
  <si>
    <t>列4004</t>
  </si>
  <si>
    <t>列4005</t>
  </si>
  <si>
    <t>列4006</t>
  </si>
  <si>
    <t>列4007</t>
  </si>
  <si>
    <t>列4008</t>
  </si>
  <si>
    <t>列4009</t>
  </si>
  <si>
    <t>列4010</t>
  </si>
  <si>
    <t>列4011</t>
  </si>
  <si>
    <t>列4012</t>
  </si>
  <si>
    <t>列4013</t>
  </si>
  <si>
    <t>列4014</t>
  </si>
  <si>
    <t>列4015</t>
  </si>
  <si>
    <t>列4016</t>
  </si>
  <si>
    <t>列4017</t>
  </si>
  <si>
    <t>列4018</t>
  </si>
  <si>
    <t>列4019</t>
  </si>
  <si>
    <t>列4020</t>
  </si>
  <si>
    <t>列4021</t>
  </si>
  <si>
    <t>列4022</t>
  </si>
  <si>
    <t>列4023</t>
  </si>
  <si>
    <t>列4024</t>
  </si>
  <si>
    <t>列4025</t>
  </si>
  <si>
    <t>列4026</t>
  </si>
  <si>
    <t>列4027</t>
  </si>
  <si>
    <t>列4028</t>
  </si>
  <si>
    <t>列4029</t>
  </si>
  <si>
    <t>列4030</t>
  </si>
  <si>
    <t>列4031</t>
  </si>
  <si>
    <t>列4032</t>
  </si>
  <si>
    <t>列4033</t>
  </si>
  <si>
    <t>列4034</t>
  </si>
  <si>
    <t>列4035</t>
  </si>
  <si>
    <t>列4036</t>
  </si>
  <si>
    <t>列4037</t>
  </si>
  <si>
    <t>列4038</t>
  </si>
  <si>
    <t>列4039</t>
  </si>
  <si>
    <t>列4040</t>
  </si>
  <si>
    <t>列4041</t>
  </si>
  <si>
    <t>列4042</t>
  </si>
  <si>
    <t>列4043</t>
  </si>
  <si>
    <t>列4044</t>
  </si>
  <si>
    <t>列4045</t>
  </si>
  <si>
    <t>列4046</t>
  </si>
  <si>
    <t>列4047</t>
  </si>
  <si>
    <t>列4048</t>
  </si>
  <si>
    <t>列4049</t>
  </si>
  <si>
    <t>列4050</t>
  </si>
  <si>
    <t>列4051</t>
  </si>
  <si>
    <t>列4052</t>
  </si>
  <si>
    <t>列4053</t>
  </si>
  <si>
    <t>列4054</t>
  </si>
  <si>
    <t>列4055</t>
  </si>
  <si>
    <t>列4056</t>
  </si>
  <si>
    <t>列4057</t>
  </si>
  <si>
    <t>列4058</t>
  </si>
  <si>
    <t>列4059</t>
  </si>
  <si>
    <t>列4060</t>
  </si>
  <si>
    <t>列4061</t>
  </si>
  <si>
    <t>列4062</t>
  </si>
  <si>
    <t>列4063</t>
  </si>
  <si>
    <t>列4064</t>
  </si>
  <si>
    <t>列4065</t>
  </si>
  <si>
    <t>列4066</t>
  </si>
  <si>
    <t>列4067</t>
  </si>
  <si>
    <t>列4068</t>
  </si>
  <si>
    <t>列4069</t>
  </si>
  <si>
    <t>列4070</t>
  </si>
  <si>
    <t>列4071</t>
  </si>
  <si>
    <t>列4072</t>
  </si>
  <si>
    <t>列4073</t>
  </si>
  <si>
    <t>列4074</t>
  </si>
  <si>
    <t>列4075</t>
  </si>
  <si>
    <t>列4076</t>
  </si>
  <si>
    <t>列4077</t>
  </si>
  <si>
    <t>列4078</t>
  </si>
  <si>
    <t>列4079</t>
  </si>
  <si>
    <t>列4080</t>
  </si>
  <si>
    <t>列4081</t>
  </si>
  <si>
    <t>列4082</t>
  </si>
  <si>
    <t>列4083</t>
  </si>
  <si>
    <t>列4084</t>
  </si>
  <si>
    <t>列4085</t>
  </si>
  <si>
    <t>列4086</t>
  </si>
  <si>
    <t>列4087</t>
  </si>
  <si>
    <t>列4088</t>
  </si>
  <si>
    <t>列4089</t>
  </si>
  <si>
    <t>列4090</t>
  </si>
  <si>
    <t>列4091</t>
  </si>
  <si>
    <t>列4092</t>
  </si>
  <si>
    <t>列4093</t>
  </si>
  <si>
    <t>列4094</t>
  </si>
  <si>
    <t>列4095</t>
  </si>
  <si>
    <t>列4096</t>
  </si>
  <si>
    <t>列4097</t>
  </si>
  <si>
    <t>列4098</t>
  </si>
  <si>
    <t>列4099</t>
  </si>
  <si>
    <t>列4100</t>
  </si>
  <si>
    <t>列4101</t>
  </si>
  <si>
    <t>列4102</t>
  </si>
  <si>
    <t>列4103</t>
  </si>
  <si>
    <t>列4104</t>
  </si>
  <si>
    <t>列4105</t>
  </si>
  <si>
    <t>列4106</t>
  </si>
  <si>
    <t>列4107</t>
  </si>
  <si>
    <t>列4108</t>
  </si>
  <si>
    <t>列4109</t>
  </si>
  <si>
    <t>列4110</t>
  </si>
  <si>
    <t>列4111</t>
  </si>
  <si>
    <t>列4112</t>
  </si>
  <si>
    <t>列4113</t>
  </si>
  <si>
    <t>列4114</t>
  </si>
  <si>
    <t>列4115</t>
  </si>
  <si>
    <t>列4116</t>
  </si>
  <si>
    <t>列4117</t>
  </si>
  <si>
    <t>列4118</t>
  </si>
  <si>
    <t>列4119</t>
  </si>
  <si>
    <t>列4120</t>
  </si>
  <si>
    <t>列4121</t>
  </si>
  <si>
    <t>列4122</t>
  </si>
  <si>
    <t>列4123</t>
  </si>
  <si>
    <t>列4124</t>
  </si>
  <si>
    <t>列4125</t>
  </si>
  <si>
    <t>列4126</t>
  </si>
  <si>
    <t>列4127</t>
  </si>
  <si>
    <t>列4128</t>
  </si>
  <si>
    <t>列4129</t>
  </si>
  <si>
    <t>列4130</t>
  </si>
  <si>
    <t>列4131</t>
  </si>
  <si>
    <t>列4132</t>
  </si>
  <si>
    <t>列4133</t>
  </si>
  <si>
    <t>列4134</t>
  </si>
  <si>
    <t>列4135</t>
  </si>
  <si>
    <t>列4136</t>
  </si>
  <si>
    <t>列4137</t>
  </si>
  <si>
    <t>列4138</t>
  </si>
  <si>
    <t>列4139</t>
  </si>
  <si>
    <t>列4140</t>
  </si>
  <si>
    <t>列4141</t>
  </si>
  <si>
    <t>列4142</t>
  </si>
  <si>
    <t>列4143</t>
  </si>
  <si>
    <t>列4144</t>
  </si>
  <si>
    <t>列4145</t>
  </si>
  <si>
    <t>列4146</t>
  </si>
  <si>
    <t>列4147</t>
  </si>
  <si>
    <t>列4148</t>
  </si>
  <si>
    <t>列4149</t>
  </si>
  <si>
    <t>列4150</t>
  </si>
  <si>
    <t>列4151</t>
  </si>
  <si>
    <t>列4152</t>
  </si>
  <si>
    <t>列4153</t>
  </si>
  <si>
    <t>列4154</t>
  </si>
  <si>
    <t>列4155</t>
  </si>
  <si>
    <t>列4156</t>
  </si>
  <si>
    <t>列4157</t>
  </si>
  <si>
    <t>列4158</t>
  </si>
  <si>
    <t>列4159</t>
  </si>
  <si>
    <t>列4160</t>
  </si>
  <si>
    <t>列4161</t>
  </si>
  <si>
    <t>列4162</t>
  </si>
  <si>
    <t>列4163</t>
  </si>
  <si>
    <t>列4164</t>
  </si>
  <si>
    <t>列4165</t>
  </si>
  <si>
    <t>列4166</t>
  </si>
  <si>
    <t>列4167</t>
  </si>
  <si>
    <t>列4168</t>
  </si>
  <si>
    <t>列4169</t>
  </si>
  <si>
    <t>列4170</t>
  </si>
  <si>
    <t>列4171</t>
  </si>
  <si>
    <t>列4172</t>
  </si>
  <si>
    <t>列4173</t>
  </si>
  <si>
    <t>列4174</t>
  </si>
  <si>
    <t>列4175</t>
  </si>
  <si>
    <t>列4176</t>
  </si>
  <si>
    <t>列4177</t>
  </si>
  <si>
    <t>列4178</t>
  </si>
  <si>
    <t>列4179</t>
  </si>
  <si>
    <t>列4180</t>
  </si>
  <si>
    <t>列4181</t>
  </si>
  <si>
    <t>列4182</t>
  </si>
  <si>
    <t>列4183</t>
  </si>
  <si>
    <t>列4184</t>
  </si>
  <si>
    <t>列4185</t>
  </si>
  <si>
    <t>列4186</t>
  </si>
  <si>
    <t>列4187</t>
  </si>
  <si>
    <t>列4188</t>
  </si>
  <si>
    <t>列4189</t>
  </si>
  <si>
    <t>列4190</t>
  </si>
  <si>
    <t>列4191</t>
  </si>
  <si>
    <t>列4192</t>
  </si>
  <si>
    <t>列4193</t>
  </si>
  <si>
    <t>列4194</t>
  </si>
  <si>
    <t>列4195</t>
  </si>
  <si>
    <t>列4196</t>
  </si>
  <si>
    <t>列4197</t>
  </si>
  <si>
    <t>列4198</t>
  </si>
  <si>
    <t>列4199</t>
  </si>
  <si>
    <t>列4200</t>
  </si>
  <si>
    <t>列4201</t>
  </si>
  <si>
    <t>列4202</t>
  </si>
  <si>
    <t>列4203</t>
  </si>
  <si>
    <t>列4204</t>
  </si>
  <si>
    <t>列4205</t>
  </si>
  <si>
    <t>列4206</t>
  </si>
  <si>
    <t>列4207</t>
  </si>
  <si>
    <t>列4208</t>
  </si>
  <si>
    <t>列4209</t>
  </si>
  <si>
    <t>列4210</t>
  </si>
  <si>
    <t>列4211</t>
  </si>
  <si>
    <t>列4212</t>
  </si>
  <si>
    <t>列4213</t>
  </si>
  <si>
    <t>列4214</t>
  </si>
  <si>
    <t>列4215</t>
  </si>
  <si>
    <t>列4216</t>
  </si>
  <si>
    <t>列4217</t>
  </si>
  <si>
    <t>列4218</t>
  </si>
  <si>
    <t>列4219</t>
  </si>
  <si>
    <t>列4220</t>
  </si>
  <si>
    <t>列4221</t>
  </si>
  <si>
    <t>列4222</t>
  </si>
  <si>
    <t>列4223</t>
  </si>
  <si>
    <t>列4224</t>
  </si>
  <si>
    <t>列4225</t>
  </si>
  <si>
    <t>列4226</t>
  </si>
  <si>
    <t>列4227</t>
  </si>
  <si>
    <t>列4228</t>
  </si>
  <si>
    <t>列4229</t>
  </si>
  <si>
    <t>列4230</t>
  </si>
  <si>
    <t>列4231</t>
  </si>
  <si>
    <t>列4232</t>
  </si>
  <si>
    <t>列4233</t>
  </si>
  <si>
    <t>列4234</t>
  </si>
  <si>
    <t>列4235</t>
  </si>
  <si>
    <t>列4236</t>
  </si>
  <si>
    <t>列4237</t>
  </si>
  <si>
    <t>列4238</t>
  </si>
  <si>
    <t>列4239</t>
  </si>
  <si>
    <t>列4240</t>
  </si>
  <si>
    <t>列4241</t>
  </si>
  <si>
    <t>列4242</t>
  </si>
  <si>
    <t>列4243</t>
  </si>
  <si>
    <t>列4244</t>
  </si>
  <si>
    <t>列4245</t>
  </si>
  <si>
    <t>列4246</t>
  </si>
  <si>
    <t>列4247</t>
  </si>
  <si>
    <t>列4248</t>
  </si>
  <si>
    <t>列4249</t>
  </si>
  <si>
    <t>列4250</t>
  </si>
  <si>
    <t>列4251</t>
  </si>
  <si>
    <t>列4252</t>
  </si>
  <si>
    <t>列4253</t>
  </si>
  <si>
    <t>列4254</t>
  </si>
  <si>
    <t>列4255</t>
  </si>
  <si>
    <t>列4256</t>
  </si>
  <si>
    <t>列4257</t>
  </si>
  <si>
    <t>列4258</t>
  </si>
  <si>
    <t>列4259</t>
  </si>
  <si>
    <t>列4260</t>
  </si>
  <si>
    <t>列4261</t>
  </si>
  <si>
    <t>列4262</t>
  </si>
  <si>
    <t>列4263</t>
  </si>
  <si>
    <t>列4264</t>
  </si>
  <si>
    <t>列4265</t>
  </si>
  <si>
    <t>列4266</t>
  </si>
  <si>
    <t>列4267</t>
  </si>
  <si>
    <t>列4268</t>
  </si>
  <si>
    <t>列4269</t>
  </si>
  <si>
    <t>列4270</t>
  </si>
  <si>
    <t>列4271</t>
  </si>
  <si>
    <t>列4272</t>
  </si>
  <si>
    <t>列4273</t>
  </si>
  <si>
    <t>列4274</t>
  </si>
  <si>
    <t>列4275</t>
  </si>
  <si>
    <t>列4276</t>
  </si>
  <si>
    <t>列4277</t>
  </si>
  <si>
    <t>列4278</t>
  </si>
  <si>
    <t>列4279</t>
  </si>
  <si>
    <t>列4280</t>
  </si>
  <si>
    <t>列4281</t>
  </si>
  <si>
    <t>列4282</t>
  </si>
  <si>
    <t>列4283</t>
  </si>
  <si>
    <t>列4284</t>
  </si>
  <si>
    <t>列4285</t>
  </si>
  <si>
    <t>列4286</t>
  </si>
  <si>
    <t>列4287</t>
  </si>
  <si>
    <t>列4288</t>
  </si>
  <si>
    <t>列4289</t>
  </si>
  <si>
    <t>列4290</t>
  </si>
  <si>
    <t>列4291</t>
  </si>
  <si>
    <t>列4292</t>
  </si>
  <si>
    <t>列4293</t>
  </si>
  <si>
    <t>列4294</t>
  </si>
  <si>
    <t>列4295</t>
  </si>
  <si>
    <t>列4296</t>
  </si>
  <si>
    <t>列4297</t>
  </si>
  <si>
    <t>列4298</t>
  </si>
  <si>
    <t>列4299</t>
  </si>
  <si>
    <t>列4300</t>
  </si>
  <si>
    <t>列4301</t>
  </si>
  <si>
    <t>列4302</t>
  </si>
  <si>
    <t>列4303</t>
  </si>
  <si>
    <t>列4304</t>
  </si>
  <si>
    <t>列4305</t>
  </si>
  <si>
    <t>列4306</t>
  </si>
  <si>
    <t>列4307</t>
  </si>
  <si>
    <t>列4308</t>
  </si>
  <si>
    <t>列4309</t>
  </si>
  <si>
    <t>列4310</t>
  </si>
  <si>
    <t>列4311</t>
  </si>
  <si>
    <t>列4312</t>
  </si>
  <si>
    <t>列4313</t>
  </si>
  <si>
    <t>列4314</t>
  </si>
  <si>
    <t>列4315</t>
  </si>
  <si>
    <t>列4316</t>
  </si>
  <si>
    <t>列4317</t>
  </si>
  <si>
    <t>列4318</t>
  </si>
  <si>
    <t>列4319</t>
  </si>
  <si>
    <t>列4320</t>
  </si>
  <si>
    <t>列4321</t>
  </si>
  <si>
    <t>列4322</t>
  </si>
  <si>
    <t>列4323</t>
  </si>
  <si>
    <t>列4324</t>
  </si>
  <si>
    <t>列4325</t>
  </si>
  <si>
    <t>列4326</t>
  </si>
  <si>
    <t>列4327</t>
  </si>
  <si>
    <t>列4328</t>
  </si>
  <si>
    <t>列4329</t>
  </si>
  <si>
    <t>列4330</t>
  </si>
  <si>
    <t>列4331</t>
  </si>
  <si>
    <t>列4332</t>
  </si>
  <si>
    <t>列4333</t>
  </si>
  <si>
    <t>列4334</t>
  </si>
  <si>
    <t>列4335</t>
  </si>
  <si>
    <t>列4336</t>
  </si>
  <si>
    <t>列4337</t>
  </si>
  <si>
    <t>列4338</t>
  </si>
  <si>
    <t>列4339</t>
  </si>
  <si>
    <t>列4340</t>
  </si>
  <si>
    <t>列4341</t>
  </si>
  <si>
    <t>列4342</t>
  </si>
  <si>
    <t>列4343</t>
  </si>
  <si>
    <t>列4344</t>
  </si>
  <si>
    <t>列4345</t>
  </si>
  <si>
    <t>列4346</t>
  </si>
  <si>
    <t>列4347</t>
  </si>
  <si>
    <t>列4348</t>
  </si>
  <si>
    <t>列4349</t>
  </si>
  <si>
    <t>列4350</t>
  </si>
  <si>
    <t>列4351</t>
  </si>
  <si>
    <t>列4352</t>
  </si>
  <si>
    <t>列4353</t>
  </si>
  <si>
    <t>列4354</t>
  </si>
  <si>
    <t>列4355</t>
  </si>
  <si>
    <t>列4356</t>
  </si>
  <si>
    <t>列4357</t>
  </si>
  <si>
    <t>列4358</t>
  </si>
  <si>
    <t>列4359</t>
  </si>
  <si>
    <t>列4360</t>
  </si>
  <si>
    <t>列4361</t>
  </si>
  <si>
    <t>列4362</t>
  </si>
  <si>
    <t>列4363</t>
  </si>
  <si>
    <t>列4364</t>
  </si>
  <si>
    <t>列4365</t>
  </si>
  <si>
    <t>列4366</t>
  </si>
  <si>
    <t>列4367</t>
  </si>
  <si>
    <t>列4368</t>
  </si>
  <si>
    <t>列4369</t>
  </si>
  <si>
    <t>列4370</t>
  </si>
  <si>
    <t>列4371</t>
  </si>
  <si>
    <t>列4372</t>
  </si>
  <si>
    <t>列4373</t>
  </si>
  <si>
    <t>列4374</t>
  </si>
  <si>
    <t>列4375</t>
  </si>
  <si>
    <t>列4376</t>
  </si>
  <si>
    <t>列4377</t>
  </si>
  <si>
    <t>列4378</t>
  </si>
  <si>
    <t>列4379</t>
  </si>
  <si>
    <t>列4380</t>
  </si>
  <si>
    <t>列4381</t>
  </si>
  <si>
    <t>列4382</t>
  </si>
  <si>
    <t>列4383</t>
  </si>
  <si>
    <t>列4384</t>
  </si>
  <si>
    <t>列4385</t>
  </si>
  <si>
    <t>列4386</t>
  </si>
  <si>
    <t>列4387</t>
  </si>
  <si>
    <t>列4388</t>
  </si>
  <si>
    <t>列4389</t>
  </si>
  <si>
    <t>列4390</t>
  </si>
  <si>
    <t>列4391</t>
  </si>
  <si>
    <t>列4392</t>
  </si>
  <si>
    <t>列4393</t>
  </si>
  <si>
    <t>列4394</t>
  </si>
  <si>
    <t>列4395</t>
  </si>
  <si>
    <t>列4396</t>
  </si>
  <si>
    <t>列4397</t>
  </si>
  <si>
    <t>列4398</t>
  </si>
  <si>
    <t>列4399</t>
  </si>
  <si>
    <t>列4400</t>
  </si>
  <si>
    <t>列4401</t>
  </si>
  <si>
    <t>列4402</t>
  </si>
  <si>
    <t>列4403</t>
  </si>
  <si>
    <t>列4404</t>
  </si>
  <si>
    <t>列4405</t>
  </si>
  <si>
    <t>列4406</t>
  </si>
  <si>
    <t>列4407</t>
  </si>
  <si>
    <t>列4408</t>
  </si>
  <si>
    <t>列4409</t>
  </si>
  <si>
    <t>列4410</t>
  </si>
  <si>
    <t>列4411</t>
  </si>
  <si>
    <t>列4412</t>
  </si>
  <si>
    <t>列4413</t>
  </si>
  <si>
    <t>列4414</t>
  </si>
  <si>
    <t>列4415</t>
  </si>
  <si>
    <t>列4416</t>
  </si>
  <si>
    <t>列4417</t>
  </si>
  <si>
    <t>列4418</t>
  </si>
  <si>
    <t>列4419</t>
  </si>
  <si>
    <t>列4420</t>
  </si>
  <si>
    <t>列4421</t>
  </si>
  <si>
    <t>列4422</t>
  </si>
  <si>
    <t>列4423</t>
  </si>
  <si>
    <t>列4424</t>
  </si>
  <si>
    <t>列4425</t>
  </si>
  <si>
    <t>列4426</t>
  </si>
  <si>
    <t>列4427</t>
  </si>
  <si>
    <t>列4428</t>
  </si>
  <si>
    <t>列4429</t>
  </si>
  <si>
    <t>列4430</t>
  </si>
  <si>
    <t>列4431</t>
  </si>
  <si>
    <t>列4432</t>
  </si>
  <si>
    <t>列4433</t>
  </si>
  <si>
    <t>列4434</t>
  </si>
  <si>
    <t>列4435</t>
  </si>
  <si>
    <t>列4436</t>
  </si>
  <si>
    <t>列4437</t>
  </si>
  <si>
    <t>列4438</t>
  </si>
  <si>
    <t>列4439</t>
  </si>
  <si>
    <t>列4440</t>
  </si>
  <si>
    <t>列4441</t>
  </si>
  <si>
    <t>列4442</t>
  </si>
  <si>
    <t>列4443</t>
  </si>
  <si>
    <t>列4444</t>
  </si>
  <si>
    <t>列4445</t>
  </si>
  <si>
    <t>列4446</t>
  </si>
  <si>
    <t>列4447</t>
  </si>
  <si>
    <t>列4448</t>
  </si>
  <si>
    <t>列4449</t>
  </si>
  <si>
    <t>列4450</t>
  </si>
  <si>
    <t>列4451</t>
  </si>
  <si>
    <t>列4452</t>
  </si>
  <si>
    <t>列4453</t>
  </si>
  <si>
    <t>列4454</t>
  </si>
  <si>
    <t>列4455</t>
  </si>
  <si>
    <t>列4456</t>
  </si>
  <si>
    <t>列4457</t>
  </si>
  <si>
    <t>列4458</t>
  </si>
  <si>
    <t>列4459</t>
  </si>
  <si>
    <t>列4460</t>
  </si>
  <si>
    <t>列4461</t>
  </si>
  <si>
    <t>列4462</t>
  </si>
  <si>
    <t>列4463</t>
  </si>
  <si>
    <t>列4464</t>
  </si>
  <si>
    <t>列4465</t>
  </si>
  <si>
    <t>列4466</t>
  </si>
  <si>
    <t>列4467</t>
  </si>
  <si>
    <t>列4468</t>
  </si>
  <si>
    <t>列4469</t>
  </si>
  <si>
    <t>列4470</t>
  </si>
  <si>
    <t>列4471</t>
  </si>
  <si>
    <t>列4472</t>
  </si>
  <si>
    <t>列4473</t>
  </si>
  <si>
    <t>列4474</t>
  </si>
  <si>
    <t>列4475</t>
  </si>
  <si>
    <t>列4476</t>
  </si>
  <si>
    <t>列4477</t>
  </si>
  <si>
    <t>列4478</t>
  </si>
  <si>
    <t>列4479</t>
  </si>
  <si>
    <t>列4480</t>
  </si>
  <si>
    <t>列4481</t>
  </si>
  <si>
    <t>列4482</t>
  </si>
  <si>
    <t>列4483</t>
  </si>
  <si>
    <t>列4484</t>
  </si>
  <si>
    <t>列4485</t>
  </si>
  <si>
    <t>列4486</t>
  </si>
  <si>
    <t>列4487</t>
  </si>
  <si>
    <t>列4488</t>
  </si>
  <si>
    <t>列4489</t>
  </si>
  <si>
    <t>列4490</t>
  </si>
  <si>
    <t>列4491</t>
  </si>
  <si>
    <t>列4492</t>
  </si>
  <si>
    <t>列4493</t>
  </si>
  <si>
    <t>列4494</t>
  </si>
  <si>
    <t>列4495</t>
  </si>
  <si>
    <t>列4496</t>
  </si>
  <si>
    <t>列4497</t>
  </si>
  <si>
    <t>列4498</t>
  </si>
  <si>
    <t>列4499</t>
  </si>
  <si>
    <t>列4500</t>
  </si>
  <si>
    <t>列4501</t>
  </si>
  <si>
    <t>列4502</t>
  </si>
  <si>
    <t>列4503</t>
  </si>
  <si>
    <t>列4504</t>
  </si>
  <si>
    <t>列4505</t>
  </si>
  <si>
    <t>列4506</t>
  </si>
  <si>
    <t>列4507</t>
  </si>
  <si>
    <t>列4508</t>
  </si>
  <si>
    <t>列4509</t>
  </si>
  <si>
    <t>列4510</t>
  </si>
  <si>
    <t>列4511</t>
  </si>
  <si>
    <t>列4512</t>
  </si>
  <si>
    <t>列4513</t>
  </si>
  <si>
    <t>列4514</t>
  </si>
  <si>
    <t>列4515</t>
  </si>
  <si>
    <t>列4516</t>
  </si>
  <si>
    <t>列4517</t>
  </si>
  <si>
    <t>列4518</t>
  </si>
  <si>
    <t>列4519</t>
  </si>
  <si>
    <t>列4520</t>
  </si>
  <si>
    <t>列4521</t>
  </si>
  <si>
    <t>列4522</t>
  </si>
  <si>
    <t>列4523</t>
  </si>
  <si>
    <t>列4524</t>
  </si>
  <si>
    <t>列4525</t>
  </si>
  <si>
    <t>列4526</t>
  </si>
  <si>
    <t>列4527</t>
  </si>
  <si>
    <t>列4528</t>
  </si>
  <si>
    <t>列4529</t>
  </si>
  <si>
    <t>列4530</t>
  </si>
  <si>
    <t>列4531</t>
  </si>
  <si>
    <t>列4532</t>
  </si>
  <si>
    <t>列4533</t>
  </si>
  <si>
    <t>列4534</t>
  </si>
  <si>
    <t>列4535</t>
  </si>
  <si>
    <t>列4536</t>
  </si>
  <si>
    <t>列4537</t>
  </si>
  <si>
    <t>列4538</t>
  </si>
  <si>
    <t>列4539</t>
  </si>
  <si>
    <t>列4540</t>
  </si>
  <si>
    <t>列4541</t>
  </si>
  <si>
    <t>列4542</t>
  </si>
  <si>
    <t>列4543</t>
  </si>
  <si>
    <t>列4544</t>
  </si>
  <si>
    <t>列4545</t>
  </si>
  <si>
    <t>列4546</t>
  </si>
  <si>
    <t>列4547</t>
  </si>
  <si>
    <t>列4548</t>
  </si>
  <si>
    <t>列4549</t>
  </si>
  <si>
    <t>列4550</t>
  </si>
  <si>
    <t>列4551</t>
  </si>
  <si>
    <t>列4552</t>
  </si>
  <si>
    <t>列4553</t>
  </si>
  <si>
    <t>列4554</t>
  </si>
  <si>
    <t>列4555</t>
  </si>
  <si>
    <t>列4556</t>
  </si>
  <si>
    <t>列4557</t>
  </si>
  <si>
    <t>列4558</t>
  </si>
  <si>
    <t>列4559</t>
  </si>
  <si>
    <t>列4560</t>
  </si>
  <si>
    <t>列4561</t>
  </si>
  <si>
    <t>列4562</t>
  </si>
  <si>
    <t>列4563</t>
  </si>
  <si>
    <t>列4564</t>
  </si>
  <si>
    <t>列4565</t>
  </si>
  <si>
    <t>列4566</t>
  </si>
  <si>
    <t>列4567</t>
  </si>
  <si>
    <t>列4568</t>
  </si>
  <si>
    <t>列4569</t>
  </si>
  <si>
    <t>列4570</t>
  </si>
  <si>
    <t>列4571</t>
  </si>
  <si>
    <t>列4572</t>
  </si>
  <si>
    <t>列4573</t>
  </si>
  <si>
    <t>列4574</t>
  </si>
  <si>
    <t>列4575</t>
  </si>
  <si>
    <t>列4576</t>
  </si>
  <si>
    <t>列4577</t>
  </si>
  <si>
    <t>列4578</t>
  </si>
  <si>
    <t>列4579</t>
  </si>
  <si>
    <t>列4580</t>
  </si>
  <si>
    <t>列4581</t>
  </si>
  <si>
    <t>列4582</t>
  </si>
  <si>
    <t>列4583</t>
  </si>
  <si>
    <t>列4584</t>
  </si>
  <si>
    <t>列4585</t>
  </si>
  <si>
    <t>列4586</t>
  </si>
  <si>
    <t>列4587</t>
  </si>
  <si>
    <t>列4588</t>
  </si>
  <si>
    <t>列4589</t>
  </si>
  <si>
    <t>列4590</t>
  </si>
  <si>
    <t>列4591</t>
  </si>
  <si>
    <t>列4592</t>
  </si>
  <si>
    <t>列4593</t>
  </si>
  <si>
    <t>列4594</t>
  </si>
  <si>
    <t>列4595</t>
  </si>
  <si>
    <t>列4596</t>
  </si>
  <si>
    <t>列4597</t>
  </si>
  <si>
    <t>列4598</t>
  </si>
  <si>
    <t>列4599</t>
  </si>
  <si>
    <t>列4600</t>
  </si>
  <si>
    <t>列4601</t>
  </si>
  <si>
    <t>列4602</t>
  </si>
  <si>
    <t>列4603</t>
  </si>
  <si>
    <t>列4604</t>
  </si>
  <si>
    <t>列4605</t>
  </si>
  <si>
    <t>列4606</t>
  </si>
  <si>
    <t>列4607</t>
  </si>
  <si>
    <t>列4608</t>
  </si>
  <si>
    <t>列4609</t>
  </si>
  <si>
    <t>列4610</t>
  </si>
  <si>
    <t>列4611</t>
  </si>
  <si>
    <t>列4612</t>
  </si>
  <si>
    <t>列4613</t>
  </si>
  <si>
    <t>列4614</t>
  </si>
  <si>
    <t>列4615</t>
  </si>
  <si>
    <t>列4616</t>
  </si>
  <si>
    <t>列4617</t>
  </si>
  <si>
    <t>列4618</t>
  </si>
  <si>
    <t>列4619</t>
  </si>
  <si>
    <t>列4620</t>
  </si>
  <si>
    <t>列4621</t>
  </si>
  <si>
    <t>列4622</t>
  </si>
  <si>
    <t>列4623</t>
  </si>
  <si>
    <t>列4624</t>
  </si>
  <si>
    <t>列4625</t>
  </si>
  <si>
    <t>列4626</t>
  </si>
  <si>
    <t>列4627</t>
  </si>
  <si>
    <t>列4628</t>
  </si>
  <si>
    <t>列4629</t>
  </si>
  <si>
    <t>列4630</t>
  </si>
  <si>
    <t>列4631</t>
  </si>
  <si>
    <t>列4632</t>
  </si>
  <si>
    <t>列4633</t>
  </si>
  <si>
    <t>列4634</t>
  </si>
  <si>
    <t>列4635</t>
  </si>
  <si>
    <t>列4636</t>
  </si>
  <si>
    <t>列4637</t>
  </si>
  <si>
    <t>列4638</t>
  </si>
  <si>
    <t>列4639</t>
  </si>
  <si>
    <t>列4640</t>
  </si>
  <si>
    <t>列4641</t>
  </si>
  <si>
    <t>列4642</t>
  </si>
  <si>
    <t>列4643</t>
  </si>
  <si>
    <t>列4644</t>
  </si>
  <si>
    <t>列4645</t>
  </si>
  <si>
    <t>列4646</t>
  </si>
  <si>
    <t>列4647</t>
  </si>
  <si>
    <t>列4648</t>
  </si>
  <si>
    <t>列4649</t>
  </si>
  <si>
    <t>列4650</t>
  </si>
  <si>
    <t>列4651</t>
  </si>
  <si>
    <t>列4652</t>
  </si>
  <si>
    <t>列4653</t>
  </si>
  <si>
    <t>列4654</t>
  </si>
  <si>
    <t>列4655</t>
  </si>
  <si>
    <t>列4656</t>
  </si>
  <si>
    <t>列4657</t>
  </si>
  <si>
    <t>列4658</t>
  </si>
  <si>
    <t>列4659</t>
  </si>
  <si>
    <t>列4660</t>
  </si>
  <si>
    <t>列4661</t>
  </si>
  <si>
    <t>列4662</t>
  </si>
  <si>
    <t>列4663</t>
  </si>
  <si>
    <t>列4664</t>
  </si>
  <si>
    <t>列4665</t>
  </si>
  <si>
    <t>列4666</t>
  </si>
  <si>
    <t>列4667</t>
  </si>
  <si>
    <t>列4668</t>
  </si>
  <si>
    <t>列4669</t>
  </si>
  <si>
    <t>列4670</t>
  </si>
  <si>
    <t>列4671</t>
  </si>
  <si>
    <t>列4672</t>
  </si>
  <si>
    <t>列4673</t>
  </si>
  <si>
    <t>列4674</t>
  </si>
  <si>
    <t>列4675</t>
  </si>
  <si>
    <t>列4676</t>
  </si>
  <si>
    <t>列4677</t>
  </si>
  <si>
    <t>列4678</t>
  </si>
  <si>
    <t>列4679</t>
  </si>
  <si>
    <t>列4680</t>
  </si>
  <si>
    <t>列4681</t>
  </si>
  <si>
    <t>列4682</t>
  </si>
  <si>
    <t>列4683</t>
  </si>
  <si>
    <t>列4684</t>
  </si>
  <si>
    <t>列4685</t>
  </si>
  <si>
    <t>列4686</t>
  </si>
  <si>
    <t>列4687</t>
  </si>
  <si>
    <t>列4688</t>
  </si>
  <si>
    <t>列4689</t>
  </si>
  <si>
    <t>列4690</t>
  </si>
  <si>
    <t>列4691</t>
  </si>
  <si>
    <t>列4692</t>
  </si>
  <si>
    <t>列4693</t>
  </si>
  <si>
    <t>列4694</t>
  </si>
  <si>
    <t>列4695</t>
  </si>
  <si>
    <t>列4696</t>
  </si>
  <si>
    <t>列4697</t>
  </si>
  <si>
    <t>列4698</t>
  </si>
  <si>
    <t>列4699</t>
  </si>
  <si>
    <t>列4700</t>
  </si>
  <si>
    <t>列4701</t>
  </si>
  <si>
    <t>列4702</t>
  </si>
  <si>
    <t>列4703</t>
  </si>
  <si>
    <t>列4704</t>
  </si>
  <si>
    <t>列4705</t>
  </si>
  <si>
    <t>列4706</t>
  </si>
  <si>
    <t>列4707</t>
  </si>
  <si>
    <t>列4708</t>
  </si>
  <si>
    <t>列4709</t>
  </si>
  <si>
    <t>列4710</t>
  </si>
  <si>
    <t>列4711</t>
  </si>
  <si>
    <t>列4712</t>
  </si>
  <si>
    <t>列4713</t>
  </si>
  <si>
    <t>列4714</t>
  </si>
  <si>
    <t>列4715</t>
  </si>
  <si>
    <t>列4716</t>
  </si>
  <si>
    <t>列4717</t>
  </si>
  <si>
    <t>列4718</t>
  </si>
  <si>
    <t>列4719</t>
  </si>
  <si>
    <t>列4720</t>
  </si>
  <si>
    <t>列4721</t>
  </si>
  <si>
    <t>列4722</t>
  </si>
  <si>
    <t>列4723</t>
  </si>
  <si>
    <t>列4724</t>
  </si>
  <si>
    <t>列4725</t>
  </si>
  <si>
    <t>列4726</t>
  </si>
  <si>
    <t>列4727</t>
  </si>
  <si>
    <t>列4728</t>
  </si>
  <si>
    <t>列4729</t>
  </si>
  <si>
    <t>列4730</t>
  </si>
  <si>
    <t>列4731</t>
  </si>
  <si>
    <t>列4732</t>
  </si>
  <si>
    <t>列4733</t>
  </si>
  <si>
    <t>列4734</t>
  </si>
  <si>
    <t>列4735</t>
  </si>
  <si>
    <t>列4736</t>
  </si>
  <si>
    <t>列4737</t>
  </si>
  <si>
    <t>列4738</t>
  </si>
  <si>
    <t>列4739</t>
  </si>
  <si>
    <t>列4740</t>
  </si>
  <si>
    <t>列4741</t>
  </si>
  <si>
    <t>列4742</t>
  </si>
  <si>
    <t>列4743</t>
  </si>
  <si>
    <t>列4744</t>
  </si>
  <si>
    <t>列4745</t>
  </si>
  <si>
    <t>列4746</t>
  </si>
  <si>
    <t>列4747</t>
  </si>
  <si>
    <t>列4748</t>
  </si>
  <si>
    <t>列4749</t>
  </si>
  <si>
    <t>列4750</t>
  </si>
  <si>
    <t>列4751</t>
  </si>
  <si>
    <t>列4752</t>
  </si>
  <si>
    <t>列4753</t>
  </si>
  <si>
    <t>列4754</t>
  </si>
  <si>
    <t>列4755</t>
  </si>
  <si>
    <t>列4756</t>
  </si>
  <si>
    <t>列4757</t>
  </si>
  <si>
    <t>列4758</t>
  </si>
  <si>
    <t>列4759</t>
  </si>
  <si>
    <t>列4760</t>
  </si>
  <si>
    <t>列4761</t>
  </si>
  <si>
    <t>列4762</t>
  </si>
  <si>
    <t>列4763</t>
  </si>
  <si>
    <t>列4764</t>
  </si>
  <si>
    <t>列4765</t>
  </si>
  <si>
    <t>列4766</t>
  </si>
  <si>
    <t>列4767</t>
  </si>
  <si>
    <t>列4768</t>
  </si>
  <si>
    <t>列4769</t>
  </si>
  <si>
    <t>列4770</t>
  </si>
  <si>
    <t>列4771</t>
  </si>
  <si>
    <t>列4772</t>
  </si>
  <si>
    <t>列4773</t>
  </si>
  <si>
    <t>列4774</t>
  </si>
  <si>
    <t>列4775</t>
  </si>
  <si>
    <t>列4776</t>
  </si>
  <si>
    <t>列4777</t>
  </si>
  <si>
    <t>列4778</t>
  </si>
  <si>
    <t>列4779</t>
  </si>
  <si>
    <t>列4780</t>
  </si>
  <si>
    <t>列4781</t>
  </si>
  <si>
    <t>列4782</t>
  </si>
  <si>
    <t>列4783</t>
  </si>
  <si>
    <t>列4784</t>
  </si>
  <si>
    <t>列4785</t>
  </si>
  <si>
    <t>列4786</t>
  </si>
  <si>
    <t>列4787</t>
  </si>
  <si>
    <t>列4788</t>
  </si>
  <si>
    <t>列4789</t>
  </si>
  <si>
    <t>列4790</t>
  </si>
  <si>
    <t>列4791</t>
  </si>
  <si>
    <t>列4792</t>
  </si>
  <si>
    <t>列4793</t>
  </si>
  <si>
    <t>列4794</t>
  </si>
  <si>
    <t>列4795</t>
  </si>
  <si>
    <t>列4796</t>
  </si>
  <si>
    <t>列4797</t>
  </si>
  <si>
    <t>列4798</t>
  </si>
  <si>
    <t>列4799</t>
  </si>
  <si>
    <t>列4800</t>
  </si>
  <si>
    <t>列4801</t>
  </si>
  <si>
    <t>列4802</t>
  </si>
  <si>
    <t>列4803</t>
  </si>
  <si>
    <t>列4804</t>
  </si>
  <si>
    <t>列4805</t>
  </si>
  <si>
    <t>列4806</t>
  </si>
  <si>
    <t>列4807</t>
  </si>
  <si>
    <t>列4808</t>
  </si>
  <si>
    <t>列4809</t>
  </si>
  <si>
    <t>列4810</t>
  </si>
  <si>
    <t>列4811</t>
  </si>
  <si>
    <t>列4812</t>
  </si>
  <si>
    <t>列4813</t>
  </si>
  <si>
    <t>列4814</t>
  </si>
  <si>
    <t>列4815</t>
  </si>
  <si>
    <t>列4816</t>
  </si>
  <si>
    <t>列4817</t>
  </si>
  <si>
    <t>列4818</t>
  </si>
  <si>
    <t>列4819</t>
  </si>
  <si>
    <t>列4820</t>
  </si>
  <si>
    <t>列4821</t>
  </si>
  <si>
    <t>列4822</t>
  </si>
  <si>
    <t>列4823</t>
  </si>
  <si>
    <t>列4824</t>
  </si>
  <si>
    <t>列4825</t>
  </si>
  <si>
    <t>列4826</t>
  </si>
  <si>
    <t>列4827</t>
  </si>
  <si>
    <t>列4828</t>
  </si>
  <si>
    <t>列4829</t>
  </si>
  <si>
    <t>列4830</t>
  </si>
  <si>
    <t>列4831</t>
  </si>
  <si>
    <t>列4832</t>
  </si>
  <si>
    <t>列4833</t>
  </si>
  <si>
    <t>列4834</t>
  </si>
  <si>
    <t>列4835</t>
  </si>
  <si>
    <t>列4836</t>
  </si>
  <si>
    <t>列4837</t>
  </si>
  <si>
    <t>列4838</t>
  </si>
  <si>
    <t>列4839</t>
  </si>
  <si>
    <t>列4840</t>
  </si>
  <si>
    <t>列4841</t>
  </si>
  <si>
    <t>列4842</t>
  </si>
  <si>
    <t>列4843</t>
  </si>
  <si>
    <t>列4844</t>
  </si>
  <si>
    <t>列4845</t>
  </si>
  <si>
    <t>列4846</t>
  </si>
  <si>
    <t>列4847</t>
  </si>
  <si>
    <t>列4848</t>
  </si>
  <si>
    <t>列4849</t>
  </si>
  <si>
    <t>列4850</t>
  </si>
  <si>
    <t>列4851</t>
  </si>
  <si>
    <t>列4852</t>
  </si>
  <si>
    <t>列4853</t>
  </si>
  <si>
    <t>列4854</t>
  </si>
  <si>
    <t>列4855</t>
  </si>
  <si>
    <t>列4856</t>
  </si>
  <si>
    <t>列4857</t>
  </si>
  <si>
    <t>列4858</t>
  </si>
  <si>
    <t>列4859</t>
  </si>
  <si>
    <t>列4860</t>
  </si>
  <si>
    <t>列4861</t>
  </si>
  <si>
    <t>列4862</t>
  </si>
  <si>
    <t>列4863</t>
  </si>
  <si>
    <t>列4864</t>
  </si>
  <si>
    <t>列4865</t>
  </si>
  <si>
    <t>列4866</t>
  </si>
  <si>
    <t>列4867</t>
  </si>
  <si>
    <t>列4868</t>
  </si>
  <si>
    <t>列4869</t>
  </si>
  <si>
    <t>列4870</t>
  </si>
  <si>
    <t>列4871</t>
  </si>
  <si>
    <t>列4872</t>
  </si>
  <si>
    <t>列4873</t>
  </si>
  <si>
    <t>列4874</t>
  </si>
  <si>
    <t>列4875</t>
  </si>
  <si>
    <t>列4876</t>
  </si>
  <si>
    <t>列4877</t>
  </si>
  <si>
    <t>列4878</t>
  </si>
  <si>
    <t>列4879</t>
  </si>
  <si>
    <t>列4880</t>
  </si>
  <si>
    <t>列4881</t>
  </si>
  <si>
    <t>列4882</t>
  </si>
  <si>
    <t>列4883</t>
  </si>
  <si>
    <t>列4884</t>
  </si>
  <si>
    <t>列4885</t>
  </si>
  <si>
    <t>列4886</t>
  </si>
  <si>
    <t>列4887</t>
  </si>
  <si>
    <t>列4888</t>
  </si>
  <si>
    <t>列4889</t>
  </si>
  <si>
    <t>列4890</t>
  </si>
  <si>
    <t>列4891</t>
  </si>
  <si>
    <t>列4892</t>
  </si>
  <si>
    <t>列4893</t>
  </si>
  <si>
    <t>列4894</t>
  </si>
  <si>
    <t>列4895</t>
  </si>
  <si>
    <t>列4896</t>
  </si>
  <si>
    <t>列4897</t>
  </si>
  <si>
    <t>列4898</t>
  </si>
  <si>
    <t>列4899</t>
  </si>
  <si>
    <t>列4900</t>
  </si>
  <si>
    <t>列4901</t>
  </si>
  <si>
    <t>列4902</t>
  </si>
  <si>
    <t>列4903</t>
  </si>
  <si>
    <t>列4904</t>
  </si>
  <si>
    <t>列4905</t>
  </si>
  <si>
    <t>列4906</t>
  </si>
  <si>
    <t>列4907</t>
  </si>
  <si>
    <t>列4908</t>
  </si>
  <si>
    <t>列4909</t>
  </si>
  <si>
    <t>列4910</t>
  </si>
  <si>
    <t>列4911</t>
  </si>
  <si>
    <t>列4912</t>
  </si>
  <si>
    <t>列4913</t>
  </si>
  <si>
    <t>列4914</t>
  </si>
  <si>
    <t>列4915</t>
  </si>
  <si>
    <t>列4916</t>
  </si>
  <si>
    <t>列4917</t>
  </si>
  <si>
    <t>列4918</t>
  </si>
  <si>
    <t>列4919</t>
  </si>
  <si>
    <t>列4920</t>
  </si>
  <si>
    <t>列4921</t>
  </si>
  <si>
    <t>列4922</t>
  </si>
  <si>
    <t>列4923</t>
  </si>
  <si>
    <t>列4924</t>
  </si>
  <si>
    <t>列4925</t>
  </si>
  <si>
    <t>列4926</t>
  </si>
  <si>
    <t>列4927</t>
  </si>
  <si>
    <t>列4928</t>
  </si>
  <si>
    <t>列4929</t>
  </si>
  <si>
    <t>列4930</t>
  </si>
  <si>
    <t>列4931</t>
  </si>
  <si>
    <t>列4932</t>
  </si>
  <si>
    <t>列4933</t>
  </si>
  <si>
    <t>列4934</t>
  </si>
  <si>
    <t>列4935</t>
  </si>
  <si>
    <t>列4936</t>
  </si>
  <si>
    <t>列4937</t>
  </si>
  <si>
    <t>列4938</t>
  </si>
  <si>
    <t>列4939</t>
  </si>
  <si>
    <t>列4940</t>
  </si>
  <si>
    <t>列4941</t>
  </si>
  <si>
    <t>列4942</t>
  </si>
  <si>
    <t>列4943</t>
  </si>
  <si>
    <t>列4944</t>
  </si>
  <si>
    <t>列4945</t>
  </si>
  <si>
    <t>列4946</t>
  </si>
  <si>
    <t>列4947</t>
  </si>
  <si>
    <t>列4948</t>
  </si>
  <si>
    <t>列4949</t>
  </si>
  <si>
    <t>列4950</t>
  </si>
  <si>
    <t>列4951</t>
  </si>
  <si>
    <t>列4952</t>
  </si>
  <si>
    <t>列4953</t>
  </si>
  <si>
    <t>列4954</t>
  </si>
  <si>
    <t>列4955</t>
  </si>
  <si>
    <t>列4956</t>
  </si>
  <si>
    <t>列4957</t>
  </si>
  <si>
    <t>列4958</t>
  </si>
  <si>
    <t>列4959</t>
  </si>
  <si>
    <t>列4960</t>
  </si>
  <si>
    <t>列4961</t>
  </si>
  <si>
    <t>列4962</t>
  </si>
  <si>
    <t>列4963</t>
  </si>
  <si>
    <t>列4964</t>
  </si>
  <si>
    <t>列4965</t>
  </si>
  <si>
    <t>列4966</t>
  </si>
  <si>
    <t>列4967</t>
  </si>
  <si>
    <t>列4968</t>
  </si>
  <si>
    <t>列4969</t>
  </si>
  <si>
    <t>列4970</t>
  </si>
  <si>
    <t>列4971</t>
  </si>
  <si>
    <t>列4972</t>
  </si>
  <si>
    <t>列4973</t>
  </si>
  <si>
    <t>列4974</t>
  </si>
  <si>
    <t>列4975</t>
  </si>
  <si>
    <t>列4976</t>
  </si>
  <si>
    <t>列4977</t>
  </si>
  <si>
    <t>列4978</t>
  </si>
  <si>
    <t>列4979</t>
  </si>
  <si>
    <t>列4980</t>
  </si>
  <si>
    <t>列4981</t>
  </si>
  <si>
    <t>列4982</t>
  </si>
  <si>
    <t>列4983</t>
  </si>
  <si>
    <t>列4984</t>
  </si>
  <si>
    <t>列4985</t>
  </si>
  <si>
    <t>列4986</t>
  </si>
  <si>
    <t>列4987</t>
  </si>
  <si>
    <t>列4988</t>
  </si>
  <si>
    <t>列4989</t>
  </si>
  <si>
    <t>列4990</t>
  </si>
  <si>
    <t>列4991</t>
  </si>
  <si>
    <t>列4992</t>
  </si>
  <si>
    <t>列4993</t>
  </si>
  <si>
    <t>列4994</t>
  </si>
  <si>
    <t>列4995</t>
  </si>
  <si>
    <t>列4996</t>
  </si>
  <si>
    <t>列4997</t>
  </si>
  <si>
    <t>列4998</t>
  </si>
  <si>
    <t>列4999</t>
  </si>
  <si>
    <t>列5000</t>
  </si>
  <si>
    <t>列5001</t>
  </si>
  <si>
    <t>列5002</t>
  </si>
  <si>
    <t>列5003</t>
  </si>
  <si>
    <t>列5004</t>
  </si>
  <si>
    <t>列5005</t>
  </si>
  <si>
    <t>列5006</t>
  </si>
  <si>
    <t>列5007</t>
  </si>
  <si>
    <t>列5008</t>
  </si>
  <si>
    <t>列5009</t>
  </si>
  <si>
    <t>列5010</t>
  </si>
  <si>
    <t>列5011</t>
  </si>
  <si>
    <t>列5012</t>
  </si>
  <si>
    <t>列5013</t>
  </si>
  <si>
    <t>列5014</t>
  </si>
  <si>
    <t>列5015</t>
  </si>
  <si>
    <t>列5016</t>
  </si>
  <si>
    <t>列5017</t>
  </si>
  <si>
    <t>列5018</t>
  </si>
  <si>
    <t>列5019</t>
  </si>
  <si>
    <t>列5020</t>
  </si>
  <si>
    <t>列5021</t>
  </si>
  <si>
    <t>列5022</t>
  </si>
  <si>
    <t>列5023</t>
  </si>
  <si>
    <t>列5024</t>
  </si>
  <si>
    <t>列5025</t>
  </si>
  <si>
    <t>列5026</t>
  </si>
  <si>
    <t>列5027</t>
  </si>
  <si>
    <t>列5028</t>
  </si>
  <si>
    <t>列5029</t>
  </si>
  <si>
    <t>列5030</t>
  </si>
  <si>
    <t>列5031</t>
  </si>
  <si>
    <t>列5032</t>
  </si>
  <si>
    <t>列5033</t>
  </si>
  <si>
    <t>列5034</t>
  </si>
  <si>
    <t>列5035</t>
  </si>
  <si>
    <t>列5036</t>
  </si>
  <si>
    <t>列5037</t>
  </si>
  <si>
    <t>列5038</t>
  </si>
  <si>
    <t>列5039</t>
  </si>
  <si>
    <t>列5040</t>
  </si>
  <si>
    <t>列5041</t>
  </si>
  <si>
    <t>列5042</t>
  </si>
  <si>
    <t>列5043</t>
  </si>
  <si>
    <t>列5044</t>
  </si>
  <si>
    <t>列5045</t>
  </si>
  <si>
    <t>列5046</t>
  </si>
  <si>
    <t>列5047</t>
  </si>
  <si>
    <t>列5048</t>
  </si>
  <si>
    <t>列5049</t>
  </si>
  <si>
    <t>列5050</t>
  </si>
  <si>
    <t>列5051</t>
  </si>
  <si>
    <t>列5052</t>
  </si>
  <si>
    <t>列5053</t>
  </si>
  <si>
    <t>列5054</t>
  </si>
  <si>
    <t>列5055</t>
  </si>
  <si>
    <t>列5056</t>
  </si>
  <si>
    <t>列5057</t>
  </si>
  <si>
    <t>列5058</t>
  </si>
  <si>
    <t>列5059</t>
  </si>
  <si>
    <t>列5060</t>
  </si>
  <si>
    <t>列5061</t>
  </si>
  <si>
    <t>列5062</t>
  </si>
  <si>
    <t>列5063</t>
  </si>
  <si>
    <t>列5064</t>
  </si>
  <si>
    <t>列5065</t>
  </si>
  <si>
    <t>列5066</t>
  </si>
  <si>
    <t>列5067</t>
  </si>
  <si>
    <t>列5068</t>
  </si>
  <si>
    <t>列5069</t>
  </si>
  <si>
    <t>列5070</t>
  </si>
  <si>
    <t>列5071</t>
  </si>
  <si>
    <t>列5072</t>
  </si>
  <si>
    <t>列5073</t>
  </si>
  <si>
    <t>列5074</t>
  </si>
  <si>
    <t>列5075</t>
  </si>
  <si>
    <t>列5076</t>
  </si>
  <si>
    <t>列5077</t>
  </si>
  <si>
    <t>列5078</t>
  </si>
  <si>
    <t>列5079</t>
  </si>
  <si>
    <t>列5080</t>
  </si>
  <si>
    <t>列5081</t>
  </si>
  <si>
    <t>列5082</t>
  </si>
  <si>
    <t>列5083</t>
  </si>
  <si>
    <t>列5084</t>
  </si>
  <si>
    <t>列5085</t>
  </si>
  <si>
    <t>列5086</t>
  </si>
  <si>
    <t>列5087</t>
  </si>
  <si>
    <t>列5088</t>
  </si>
  <si>
    <t>列5089</t>
  </si>
  <si>
    <t>列5090</t>
  </si>
  <si>
    <t>列5091</t>
  </si>
  <si>
    <t>列5092</t>
  </si>
  <si>
    <t>列5093</t>
  </si>
  <si>
    <t>列5094</t>
  </si>
  <si>
    <t>列5095</t>
  </si>
  <si>
    <t>列5096</t>
  </si>
  <si>
    <t>列5097</t>
  </si>
  <si>
    <t>列5098</t>
  </si>
  <si>
    <t>列5099</t>
  </si>
  <si>
    <t>列5100</t>
  </si>
  <si>
    <t>列5101</t>
  </si>
  <si>
    <t>列5102</t>
  </si>
  <si>
    <t>列5103</t>
  </si>
  <si>
    <t>列5104</t>
  </si>
  <si>
    <t>列5105</t>
  </si>
  <si>
    <t>列5106</t>
  </si>
  <si>
    <t>列5107</t>
  </si>
  <si>
    <t>列5108</t>
  </si>
  <si>
    <t>列5109</t>
  </si>
  <si>
    <t>列5110</t>
  </si>
  <si>
    <t>列5111</t>
  </si>
  <si>
    <t>列5112</t>
  </si>
  <si>
    <t>列5113</t>
  </si>
  <si>
    <t>列5114</t>
  </si>
  <si>
    <t>列5115</t>
  </si>
  <si>
    <t>列5116</t>
  </si>
  <si>
    <t>列5117</t>
  </si>
  <si>
    <t>列5118</t>
  </si>
  <si>
    <t>列5119</t>
  </si>
  <si>
    <t>列5120</t>
  </si>
  <si>
    <t>列5121</t>
  </si>
  <si>
    <t>列5122</t>
  </si>
  <si>
    <t>列5123</t>
  </si>
  <si>
    <t>列5124</t>
  </si>
  <si>
    <t>列5125</t>
  </si>
  <si>
    <t>列5126</t>
  </si>
  <si>
    <t>列5127</t>
  </si>
  <si>
    <t>列5128</t>
  </si>
  <si>
    <t>列5129</t>
  </si>
  <si>
    <t>列5130</t>
  </si>
  <si>
    <t>列5131</t>
  </si>
  <si>
    <t>列5132</t>
  </si>
  <si>
    <t>列5133</t>
  </si>
  <si>
    <t>列5134</t>
  </si>
  <si>
    <t>列5135</t>
  </si>
  <si>
    <t>列5136</t>
  </si>
  <si>
    <t>列5137</t>
  </si>
  <si>
    <t>列5138</t>
  </si>
  <si>
    <t>列5139</t>
  </si>
  <si>
    <t>列5140</t>
  </si>
  <si>
    <t>列5141</t>
  </si>
  <si>
    <t>列5142</t>
  </si>
  <si>
    <t>列5143</t>
  </si>
  <si>
    <t>列5144</t>
  </si>
  <si>
    <t>列5145</t>
  </si>
  <si>
    <t>列5146</t>
  </si>
  <si>
    <t>列5147</t>
  </si>
  <si>
    <t>列5148</t>
  </si>
  <si>
    <t>列5149</t>
  </si>
  <si>
    <t>列5150</t>
  </si>
  <si>
    <t>列5151</t>
  </si>
  <si>
    <t>列5152</t>
  </si>
  <si>
    <t>列5153</t>
  </si>
  <si>
    <t>列5154</t>
  </si>
  <si>
    <t>列5155</t>
  </si>
  <si>
    <t>列5156</t>
  </si>
  <si>
    <t>列5157</t>
  </si>
  <si>
    <t>列5158</t>
  </si>
  <si>
    <t>列5159</t>
  </si>
  <si>
    <t>列5160</t>
  </si>
  <si>
    <t>列5161</t>
  </si>
  <si>
    <t>列5162</t>
  </si>
  <si>
    <t>列5163</t>
  </si>
  <si>
    <t>列5164</t>
  </si>
  <si>
    <t>列5165</t>
  </si>
  <si>
    <t>列5166</t>
  </si>
  <si>
    <t>列5167</t>
  </si>
  <si>
    <t>列5168</t>
  </si>
  <si>
    <t>列5169</t>
  </si>
  <si>
    <t>列5170</t>
  </si>
  <si>
    <t>列5171</t>
  </si>
  <si>
    <t>列5172</t>
  </si>
  <si>
    <t>列5173</t>
  </si>
  <si>
    <t>列5174</t>
  </si>
  <si>
    <t>列5175</t>
  </si>
  <si>
    <t>列5176</t>
  </si>
  <si>
    <t>列5177</t>
  </si>
  <si>
    <t>列5178</t>
  </si>
  <si>
    <t>列5179</t>
  </si>
  <si>
    <t>列5180</t>
  </si>
  <si>
    <t>列5181</t>
  </si>
  <si>
    <t>列5182</t>
  </si>
  <si>
    <t>列5183</t>
  </si>
  <si>
    <t>列5184</t>
  </si>
  <si>
    <t>列5185</t>
  </si>
  <si>
    <t>列5186</t>
  </si>
  <si>
    <t>列5187</t>
  </si>
  <si>
    <t>列5188</t>
  </si>
  <si>
    <t>列5189</t>
  </si>
  <si>
    <t>列5190</t>
  </si>
  <si>
    <t>列5191</t>
  </si>
  <si>
    <t>列5192</t>
  </si>
  <si>
    <t>列5193</t>
  </si>
  <si>
    <t>列5194</t>
  </si>
  <si>
    <t>列5195</t>
  </si>
  <si>
    <t>列5196</t>
  </si>
  <si>
    <t>列5197</t>
  </si>
  <si>
    <t>列5198</t>
  </si>
  <si>
    <t>列5199</t>
  </si>
  <si>
    <t>列5200</t>
  </si>
  <si>
    <t>列5201</t>
  </si>
  <si>
    <t>列5202</t>
  </si>
  <si>
    <t>列5203</t>
  </si>
  <si>
    <t>列5204</t>
  </si>
  <si>
    <t>列5205</t>
  </si>
  <si>
    <t>列5206</t>
  </si>
  <si>
    <t>列5207</t>
  </si>
  <si>
    <t>列5208</t>
  </si>
  <si>
    <t>列5209</t>
  </si>
  <si>
    <t>列5210</t>
  </si>
  <si>
    <t>列5211</t>
  </si>
  <si>
    <t>列5212</t>
  </si>
  <si>
    <t>列5213</t>
  </si>
  <si>
    <t>列5214</t>
  </si>
  <si>
    <t>列5215</t>
  </si>
  <si>
    <t>列5216</t>
  </si>
  <si>
    <t>列5217</t>
  </si>
  <si>
    <t>列5218</t>
  </si>
  <si>
    <t>列5219</t>
  </si>
  <si>
    <t>列5220</t>
  </si>
  <si>
    <t>列5221</t>
  </si>
  <si>
    <t>列5222</t>
  </si>
  <si>
    <t>列5223</t>
  </si>
  <si>
    <t>列5224</t>
  </si>
  <si>
    <t>列5225</t>
  </si>
  <si>
    <t>列5226</t>
  </si>
  <si>
    <t>列5227</t>
  </si>
  <si>
    <t>列5228</t>
  </si>
  <si>
    <t>列5229</t>
  </si>
  <si>
    <t>列5230</t>
  </si>
  <si>
    <t>列5231</t>
  </si>
  <si>
    <t>列5232</t>
  </si>
  <si>
    <t>列5233</t>
  </si>
  <si>
    <t>列5234</t>
  </si>
  <si>
    <t>列5235</t>
  </si>
  <si>
    <t>列5236</t>
  </si>
  <si>
    <t>列5237</t>
  </si>
  <si>
    <t>列5238</t>
  </si>
  <si>
    <t>列5239</t>
  </si>
  <si>
    <t>列5240</t>
  </si>
  <si>
    <t>列5241</t>
  </si>
  <si>
    <t>列5242</t>
  </si>
  <si>
    <t>列5243</t>
  </si>
  <si>
    <t>列5244</t>
  </si>
  <si>
    <t>列5245</t>
  </si>
  <si>
    <t>列5246</t>
  </si>
  <si>
    <t>列5247</t>
  </si>
  <si>
    <t>列5248</t>
  </si>
  <si>
    <t>列5249</t>
  </si>
  <si>
    <t>列5250</t>
  </si>
  <si>
    <t>列5251</t>
  </si>
  <si>
    <t>列5252</t>
  </si>
  <si>
    <t>列5253</t>
  </si>
  <si>
    <t>列5254</t>
  </si>
  <si>
    <t>列5255</t>
  </si>
  <si>
    <t>列5256</t>
  </si>
  <si>
    <t>列5257</t>
  </si>
  <si>
    <t>列5258</t>
  </si>
  <si>
    <t>列5259</t>
  </si>
  <si>
    <t>列5260</t>
  </si>
  <si>
    <t>列5261</t>
  </si>
  <si>
    <t>列5262</t>
  </si>
  <si>
    <t>列5263</t>
  </si>
  <si>
    <t>列5264</t>
  </si>
  <si>
    <t>列5265</t>
  </si>
  <si>
    <t>列5266</t>
  </si>
  <si>
    <t>列5267</t>
  </si>
  <si>
    <t>列5268</t>
  </si>
  <si>
    <t>列5269</t>
  </si>
  <si>
    <t>列5270</t>
  </si>
  <si>
    <t>列5271</t>
  </si>
  <si>
    <t>列5272</t>
  </si>
  <si>
    <t>列5273</t>
  </si>
  <si>
    <t>列5274</t>
  </si>
  <si>
    <t>列5275</t>
  </si>
  <si>
    <t>列5276</t>
  </si>
  <si>
    <t>列5277</t>
  </si>
  <si>
    <t>列5278</t>
  </si>
  <si>
    <t>列5279</t>
  </si>
  <si>
    <t>列5280</t>
  </si>
  <si>
    <t>列5281</t>
  </si>
  <si>
    <t>列5282</t>
  </si>
  <si>
    <t>列5283</t>
  </si>
  <si>
    <t>列5284</t>
  </si>
  <si>
    <t>列5285</t>
  </si>
  <si>
    <t>列5286</t>
  </si>
  <si>
    <t>列5287</t>
  </si>
  <si>
    <t>列5288</t>
  </si>
  <si>
    <t>列5289</t>
  </si>
  <si>
    <t>列5290</t>
  </si>
  <si>
    <t>列5291</t>
  </si>
  <si>
    <t>列5292</t>
  </si>
  <si>
    <t>列5293</t>
  </si>
  <si>
    <t>列5294</t>
  </si>
  <si>
    <t>列5295</t>
  </si>
  <si>
    <t>列5296</t>
  </si>
  <si>
    <t>列5297</t>
  </si>
  <si>
    <t>列5298</t>
  </si>
  <si>
    <t>列5299</t>
  </si>
  <si>
    <t>列5300</t>
  </si>
  <si>
    <t>列5301</t>
  </si>
  <si>
    <t>列5302</t>
  </si>
  <si>
    <t>列5303</t>
  </si>
  <si>
    <t>列5304</t>
  </si>
  <si>
    <t>列5305</t>
  </si>
  <si>
    <t>列5306</t>
  </si>
  <si>
    <t>列5307</t>
  </si>
  <si>
    <t>列5308</t>
  </si>
  <si>
    <t>列5309</t>
  </si>
  <si>
    <t>列5310</t>
  </si>
  <si>
    <t>列5311</t>
  </si>
  <si>
    <t>列5312</t>
  </si>
  <si>
    <t>列5313</t>
  </si>
  <si>
    <t>列5314</t>
  </si>
  <si>
    <t>列5315</t>
  </si>
  <si>
    <t>列5316</t>
  </si>
  <si>
    <t>列5317</t>
  </si>
  <si>
    <t>列5318</t>
  </si>
  <si>
    <t>列5319</t>
  </si>
  <si>
    <t>列5320</t>
  </si>
  <si>
    <t>列5321</t>
  </si>
  <si>
    <t>列5322</t>
  </si>
  <si>
    <t>列5323</t>
  </si>
  <si>
    <t>列5324</t>
  </si>
  <si>
    <t>列5325</t>
  </si>
  <si>
    <t>列5326</t>
  </si>
  <si>
    <t>列5327</t>
  </si>
  <si>
    <t>列5328</t>
  </si>
  <si>
    <t>列5329</t>
  </si>
  <si>
    <t>列5330</t>
  </si>
  <si>
    <t>列5331</t>
  </si>
  <si>
    <t>列5332</t>
  </si>
  <si>
    <t>列5333</t>
  </si>
  <si>
    <t>列5334</t>
  </si>
  <si>
    <t>列5335</t>
  </si>
  <si>
    <t>列5336</t>
  </si>
  <si>
    <t>列5337</t>
  </si>
  <si>
    <t>列5338</t>
  </si>
  <si>
    <t>列5339</t>
  </si>
  <si>
    <t>列5340</t>
  </si>
  <si>
    <t>列5341</t>
  </si>
  <si>
    <t>列5342</t>
  </si>
  <si>
    <t>列5343</t>
  </si>
  <si>
    <t>列5344</t>
  </si>
  <si>
    <t>列5345</t>
  </si>
  <si>
    <t>列5346</t>
  </si>
  <si>
    <t>列5347</t>
  </si>
  <si>
    <t>列5348</t>
  </si>
  <si>
    <t>列5349</t>
  </si>
  <si>
    <t>列5350</t>
  </si>
  <si>
    <t>列5351</t>
  </si>
  <si>
    <t>列5352</t>
  </si>
  <si>
    <t>列5353</t>
  </si>
  <si>
    <t>列5354</t>
  </si>
  <si>
    <t>列5355</t>
  </si>
  <si>
    <t>列5356</t>
  </si>
  <si>
    <t>列5357</t>
  </si>
  <si>
    <t>列5358</t>
  </si>
  <si>
    <t>列5359</t>
  </si>
  <si>
    <t>列5360</t>
  </si>
  <si>
    <t>列5361</t>
  </si>
  <si>
    <t>列5362</t>
  </si>
  <si>
    <t>列5363</t>
  </si>
  <si>
    <t>列5364</t>
  </si>
  <si>
    <t>列5365</t>
  </si>
  <si>
    <t>列5366</t>
  </si>
  <si>
    <t>列5367</t>
  </si>
  <si>
    <t>列5368</t>
  </si>
  <si>
    <t>列5369</t>
  </si>
  <si>
    <t>列5370</t>
  </si>
  <si>
    <t>列5371</t>
  </si>
  <si>
    <t>列5372</t>
  </si>
  <si>
    <t>列5373</t>
  </si>
  <si>
    <t>列5374</t>
  </si>
  <si>
    <t>列5375</t>
  </si>
  <si>
    <t>列5376</t>
  </si>
  <si>
    <t>列5377</t>
  </si>
  <si>
    <t>列5378</t>
  </si>
  <si>
    <t>列5379</t>
  </si>
  <si>
    <t>列5380</t>
  </si>
  <si>
    <t>列5381</t>
  </si>
  <si>
    <t>列5382</t>
  </si>
  <si>
    <t>列5383</t>
  </si>
  <si>
    <t>列5384</t>
  </si>
  <si>
    <t>列5385</t>
  </si>
  <si>
    <t>列5386</t>
  </si>
  <si>
    <t>列5387</t>
  </si>
  <si>
    <t>列5388</t>
  </si>
  <si>
    <t>列5389</t>
  </si>
  <si>
    <t>列5390</t>
  </si>
  <si>
    <t>列5391</t>
  </si>
  <si>
    <t>列5392</t>
  </si>
  <si>
    <t>列5393</t>
  </si>
  <si>
    <t>列5394</t>
  </si>
  <si>
    <t>列5395</t>
  </si>
  <si>
    <t>列5396</t>
  </si>
  <si>
    <t>列5397</t>
  </si>
  <si>
    <t>列5398</t>
  </si>
  <si>
    <t>列5399</t>
  </si>
  <si>
    <t>列5400</t>
  </si>
  <si>
    <t>列5401</t>
  </si>
  <si>
    <t>列5402</t>
  </si>
  <si>
    <t>列5403</t>
  </si>
  <si>
    <t>列5404</t>
  </si>
  <si>
    <t>列5405</t>
  </si>
  <si>
    <t>列5406</t>
  </si>
  <si>
    <t>列5407</t>
  </si>
  <si>
    <t>列5408</t>
  </si>
  <si>
    <t>列5409</t>
  </si>
  <si>
    <t>列5410</t>
  </si>
  <si>
    <t>列5411</t>
  </si>
  <si>
    <t>列5412</t>
  </si>
  <si>
    <t>列5413</t>
  </si>
  <si>
    <t>列5414</t>
  </si>
  <si>
    <t>列5415</t>
  </si>
  <si>
    <t>列5416</t>
  </si>
  <si>
    <t>列5417</t>
  </si>
  <si>
    <t>列5418</t>
  </si>
  <si>
    <t>列5419</t>
  </si>
  <si>
    <t>列5420</t>
  </si>
  <si>
    <t>列5421</t>
  </si>
  <si>
    <t>列5422</t>
  </si>
  <si>
    <t>列5423</t>
  </si>
  <si>
    <t>列5424</t>
  </si>
  <si>
    <t>列5425</t>
  </si>
  <si>
    <t>列5426</t>
  </si>
  <si>
    <t>列5427</t>
  </si>
  <si>
    <t>列5428</t>
  </si>
  <si>
    <t>列5429</t>
  </si>
  <si>
    <t>列5430</t>
  </si>
  <si>
    <t>列5431</t>
  </si>
  <si>
    <t>列5432</t>
  </si>
  <si>
    <t>列5433</t>
  </si>
  <si>
    <t>列5434</t>
  </si>
  <si>
    <t>列5435</t>
  </si>
  <si>
    <t>列5436</t>
  </si>
  <si>
    <t>列5437</t>
  </si>
  <si>
    <t>列5438</t>
  </si>
  <si>
    <t>列5439</t>
  </si>
  <si>
    <t>列5440</t>
  </si>
  <si>
    <t>列5441</t>
  </si>
  <si>
    <t>列5442</t>
  </si>
  <si>
    <t>列5443</t>
  </si>
  <si>
    <t>列5444</t>
  </si>
  <si>
    <t>列5445</t>
  </si>
  <si>
    <t>列5446</t>
  </si>
  <si>
    <t>列5447</t>
  </si>
  <si>
    <t>列5448</t>
  </si>
  <si>
    <t>列5449</t>
  </si>
  <si>
    <t>列5450</t>
  </si>
  <si>
    <t>列5451</t>
  </si>
  <si>
    <t>列5452</t>
  </si>
  <si>
    <t>列5453</t>
  </si>
  <si>
    <t>列5454</t>
  </si>
  <si>
    <t>列5455</t>
  </si>
  <si>
    <t>列5456</t>
  </si>
  <si>
    <t>列5457</t>
  </si>
  <si>
    <t>列5458</t>
  </si>
  <si>
    <t>列5459</t>
  </si>
  <si>
    <t>列5460</t>
  </si>
  <si>
    <t>列5461</t>
  </si>
  <si>
    <t>列5462</t>
  </si>
  <si>
    <t>列5463</t>
  </si>
  <si>
    <t>列5464</t>
  </si>
  <si>
    <t>列5465</t>
  </si>
  <si>
    <t>列5466</t>
  </si>
  <si>
    <t>列5467</t>
  </si>
  <si>
    <t>列5468</t>
  </si>
  <si>
    <t>列5469</t>
  </si>
  <si>
    <t>列5470</t>
  </si>
  <si>
    <t>列5471</t>
  </si>
  <si>
    <t>列5472</t>
  </si>
  <si>
    <t>列5473</t>
  </si>
  <si>
    <t>列5474</t>
  </si>
  <si>
    <t>列5475</t>
  </si>
  <si>
    <t>列5476</t>
  </si>
  <si>
    <t>列5477</t>
  </si>
  <si>
    <t>列5478</t>
  </si>
  <si>
    <t>列5479</t>
  </si>
  <si>
    <t>列5480</t>
  </si>
  <si>
    <t>列5481</t>
  </si>
  <si>
    <t>列5482</t>
  </si>
  <si>
    <t>列5483</t>
  </si>
  <si>
    <t>列5484</t>
  </si>
  <si>
    <t>列5485</t>
  </si>
  <si>
    <t>列5486</t>
  </si>
  <si>
    <t>列5487</t>
  </si>
  <si>
    <t>列5488</t>
  </si>
  <si>
    <t>列5489</t>
  </si>
  <si>
    <t>列5490</t>
  </si>
  <si>
    <t>列5491</t>
  </si>
  <si>
    <t>列5492</t>
  </si>
  <si>
    <t>列5493</t>
  </si>
  <si>
    <t>列5494</t>
  </si>
  <si>
    <t>列5495</t>
  </si>
  <si>
    <t>列5496</t>
  </si>
  <si>
    <t>列5497</t>
  </si>
  <si>
    <t>列5498</t>
  </si>
  <si>
    <t>列5499</t>
  </si>
  <si>
    <t>列5500</t>
  </si>
  <si>
    <t>列5501</t>
  </si>
  <si>
    <t>列5502</t>
  </si>
  <si>
    <t>列5503</t>
  </si>
  <si>
    <t>列5504</t>
  </si>
  <si>
    <t>列5505</t>
  </si>
  <si>
    <t>列5506</t>
  </si>
  <si>
    <t>列5507</t>
  </si>
  <si>
    <t>列5508</t>
  </si>
  <si>
    <t>列5509</t>
  </si>
  <si>
    <t>列5510</t>
  </si>
  <si>
    <t>列5511</t>
  </si>
  <si>
    <t>列5512</t>
  </si>
  <si>
    <t>列5513</t>
  </si>
  <si>
    <t>列5514</t>
  </si>
  <si>
    <t>列5515</t>
  </si>
  <si>
    <t>列5516</t>
  </si>
  <si>
    <t>列5517</t>
  </si>
  <si>
    <t>列5518</t>
  </si>
  <si>
    <t>列5519</t>
  </si>
  <si>
    <t>列5520</t>
  </si>
  <si>
    <t>列5521</t>
  </si>
  <si>
    <t>列5522</t>
  </si>
  <si>
    <t>列5523</t>
  </si>
  <si>
    <t>列5524</t>
  </si>
  <si>
    <t>列5525</t>
  </si>
  <si>
    <t>列5526</t>
  </si>
  <si>
    <t>列5527</t>
  </si>
  <si>
    <t>列5528</t>
  </si>
  <si>
    <t>列5529</t>
  </si>
  <si>
    <t>列5530</t>
  </si>
  <si>
    <t>列5531</t>
  </si>
  <si>
    <t>列5532</t>
  </si>
  <si>
    <t>列5533</t>
  </si>
  <si>
    <t>列5534</t>
  </si>
  <si>
    <t>列5535</t>
  </si>
  <si>
    <t>列5536</t>
  </si>
  <si>
    <t>列5537</t>
  </si>
  <si>
    <t>列5538</t>
  </si>
  <si>
    <t>列5539</t>
  </si>
  <si>
    <t>列5540</t>
  </si>
  <si>
    <t>列5541</t>
  </si>
  <si>
    <t>列5542</t>
  </si>
  <si>
    <t>列5543</t>
  </si>
  <si>
    <t>列5544</t>
  </si>
  <si>
    <t>列5545</t>
  </si>
  <si>
    <t>列5546</t>
  </si>
  <si>
    <t>列5547</t>
  </si>
  <si>
    <t>列5548</t>
  </si>
  <si>
    <t>列5549</t>
  </si>
  <si>
    <t>列5550</t>
  </si>
  <si>
    <t>列5551</t>
  </si>
  <si>
    <t>列5552</t>
  </si>
  <si>
    <t>列5553</t>
  </si>
  <si>
    <t>列5554</t>
  </si>
  <si>
    <t>列5555</t>
  </si>
  <si>
    <t>列5556</t>
  </si>
  <si>
    <t>列5557</t>
  </si>
  <si>
    <t>列5558</t>
  </si>
  <si>
    <t>列5559</t>
  </si>
  <si>
    <t>列5560</t>
  </si>
  <si>
    <t>列5561</t>
  </si>
  <si>
    <t>列5562</t>
  </si>
  <si>
    <t>列5563</t>
  </si>
  <si>
    <t>列5564</t>
  </si>
  <si>
    <t>列5565</t>
  </si>
  <si>
    <t>列5566</t>
  </si>
  <si>
    <t>列5567</t>
  </si>
  <si>
    <t>列5568</t>
  </si>
  <si>
    <t>列5569</t>
  </si>
  <si>
    <t>列5570</t>
  </si>
  <si>
    <t>列5571</t>
  </si>
  <si>
    <t>列5572</t>
  </si>
  <si>
    <t>列5573</t>
  </si>
  <si>
    <t>列5574</t>
  </si>
  <si>
    <t>列5575</t>
  </si>
  <si>
    <t>列5576</t>
  </si>
  <si>
    <t>列5577</t>
  </si>
  <si>
    <t>列5578</t>
  </si>
  <si>
    <t>列5579</t>
  </si>
  <si>
    <t>列5580</t>
  </si>
  <si>
    <t>列5581</t>
  </si>
  <si>
    <t>列5582</t>
  </si>
  <si>
    <t>列5583</t>
  </si>
  <si>
    <t>列5584</t>
  </si>
  <si>
    <t>列5585</t>
  </si>
  <si>
    <t>列5586</t>
  </si>
  <si>
    <t>列5587</t>
  </si>
  <si>
    <t>列5588</t>
  </si>
  <si>
    <t>列5589</t>
  </si>
  <si>
    <t>列5590</t>
  </si>
  <si>
    <t>列5591</t>
  </si>
  <si>
    <t>列5592</t>
  </si>
  <si>
    <t>列5593</t>
  </si>
  <si>
    <t>列5594</t>
  </si>
  <si>
    <t>列5595</t>
  </si>
  <si>
    <t>列5596</t>
  </si>
  <si>
    <t>列5597</t>
  </si>
  <si>
    <t>列5598</t>
  </si>
  <si>
    <t>列5599</t>
  </si>
  <si>
    <t>列5600</t>
  </si>
  <si>
    <t>列5601</t>
  </si>
  <si>
    <t>列5602</t>
  </si>
  <si>
    <t>列5603</t>
  </si>
  <si>
    <t>列5604</t>
  </si>
  <si>
    <t>列5605</t>
  </si>
  <si>
    <t>列5606</t>
  </si>
  <si>
    <t>列5607</t>
  </si>
  <si>
    <t>列5608</t>
  </si>
  <si>
    <t>列5609</t>
  </si>
  <si>
    <t>列5610</t>
  </si>
  <si>
    <t>列5611</t>
  </si>
  <si>
    <t>列5612</t>
  </si>
  <si>
    <t>列5613</t>
  </si>
  <si>
    <t>列5614</t>
  </si>
  <si>
    <t>列5615</t>
  </si>
  <si>
    <t>列5616</t>
  </si>
  <si>
    <t>列5617</t>
  </si>
  <si>
    <t>列5618</t>
  </si>
  <si>
    <t>列5619</t>
  </si>
  <si>
    <t>列5620</t>
  </si>
  <si>
    <t>列5621</t>
  </si>
  <si>
    <t>列5622</t>
  </si>
  <si>
    <t>列5623</t>
  </si>
  <si>
    <t>列5624</t>
  </si>
  <si>
    <t>列5625</t>
  </si>
  <si>
    <t>列5626</t>
  </si>
  <si>
    <t>列5627</t>
  </si>
  <si>
    <t>列5628</t>
  </si>
  <si>
    <t>列5629</t>
  </si>
  <si>
    <t>列5630</t>
  </si>
  <si>
    <t>列5631</t>
  </si>
  <si>
    <t>列5632</t>
  </si>
  <si>
    <t>列5633</t>
  </si>
  <si>
    <t>列5634</t>
  </si>
  <si>
    <t>列5635</t>
  </si>
  <si>
    <t>列5636</t>
  </si>
  <si>
    <t>列5637</t>
  </si>
  <si>
    <t>列5638</t>
  </si>
  <si>
    <t>列5639</t>
  </si>
  <si>
    <t>列5640</t>
  </si>
  <si>
    <t>列5641</t>
  </si>
  <si>
    <t>列5642</t>
  </si>
  <si>
    <t>列5643</t>
  </si>
  <si>
    <t>列5644</t>
  </si>
  <si>
    <t>列5645</t>
  </si>
  <si>
    <t>列5646</t>
  </si>
  <si>
    <t>列5647</t>
  </si>
  <si>
    <t>列5648</t>
  </si>
  <si>
    <t>列5649</t>
  </si>
  <si>
    <t>列5650</t>
  </si>
  <si>
    <t>列5651</t>
  </si>
  <si>
    <t>列5652</t>
  </si>
  <si>
    <t>列5653</t>
  </si>
  <si>
    <t>列5654</t>
  </si>
  <si>
    <t>列5655</t>
  </si>
  <si>
    <t>列5656</t>
  </si>
  <si>
    <t>列5657</t>
  </si>
  <si>
    <t>列5658</t>
  </si>
  <si>
    <t>列5659</t>
  </si>
  <si>
    <t>列5660</t>
  </si>
  <si>
    <t>列5661</t>
  </si>
  <si>
    <t>列5662</t>
  </si>
  <si>
    <t>列5663</t>
  </si>
  <si>
    <t>列5664</t>
  </si>
  <si>
    <t>列5665</t>
  </si>
  <si>
    <t>列5666</t>
  </si>
  <si>
    <t>列5667</t>
  </si>
  <si>
    <t>列5668</t>
  </si>
  <si>
    <t>列5669</t>
  </si>
  <si>
    <t>列5670</t>
  </si>
  <si>
    <t>列5671</t>
  </si>
  <si>
    <t>列5672</t>
  </si>
  <si>
    <t>列5673</t>
  </si>
  <si>
    <t>列5674</t>
  </si>
  <si>
    <t>列5675</t>
  </si>
  <si>
    <t>列5676</t>
  </si>
  <si>
    <t>列5677</t>
  </si>
  <si>
    <t>列5678</t>
  </si>
  <si>
    <t>列5679</t>
  </si>
  <si>
    <t>列5680</t>
  </si>
  <si>
    <t>列5681</t>
  </si>
  <si>
    <t>列5682</t>
  </si>
  <si>
    <t>列5683</t>
  </si>
  <si>
    <t>列5684</t>
  </si>
  <si>
    <t>列5685</t>
  </si>
  <si>
    <t>列5686</t>
  </si>
  <si>
    <t>列5687</t>
  </si>
  <si>
    <t>列5688</t>
  </si>
  <si>
    <t>列5689</t>
  </si>
  <si>
    <t>列5690</t>
  </si>
  <si>
    <t>列5691</t>
  </si>
  <si>
    <t>列5692</t>
  </si>
  <si>
    <t>列5693</t>
  </si>
  <si>
    <t>列5694</t>
  </si>
  <si>
    <t>列5695</t>
  </si>
  <si>
    <t>列5696</t>
  </si>
  <si>
    <t>列5697</t>
  </si>
  <si>
    <t>列5698</t>
  </si>
  <si>
    <t>列5699</t>
  </si>
  <si>
    <t>列5700</t>
  </si>
  <si>
    <t>列5701</t>
  </si>
  <si>
    <t>列5702</t>
  </si>
  <si>
    <t>列5703</t>
  </si>
  <si>
    <t>列5704</t>
  </si>
  <si>
    <t>列5705</t>
  </si>
  <si>
    <t>列5706</t>
  </si>
  <si>
    <t>列5707</t>
  </si>
  <si>
    <t>列5708</t>
  </si>
  <si>
    <t>列5709</t>
  </si>
  <si>
    <t>列5710</t>
  </si>
  <si>
    <t>列5711</t>
  </si>
  <si>
    <t>列5712</t>
  </si>
  <si>
    <t>列5713</t>
  </si>
  <si>
    <t>列5714</t>
  </si>
  <si>
    <t>列5715</t>
  </si>
  <si>
    <t>列5716</t>
  </si>
  <si>
    <t>列5717</t>
  </si>
  <si>
    <t>列5718</t>
  </si>
  <si>
    <t>列5719</t>
  </si>
  <si>
    <t>列5720</t>
  </si>
  <si>
    <t>列5721</t>
  </si>
  <si>
    <t>列5722</t>
  </si>
  <si>
    <t>列5723</t>
  </si>
  <si>
    <t>列5724</t>
  </si>
  <si>
    <t>列5725</t>
  </si>
  <si>
    <t>列5726</t>
  </si>
  <si>
    <t>列5727</t>
  </si>
  <si>
    <t>列5728</t>
  </si>
  <si>
    <t>列5729</t>
  </si>
  <si>
    <t>列5730</t>
  </si>
  <si>
    <t>列5731</t>
  </si>
  <si>
    <t>列5732</t>
  </si>
  <si>
    <t>列5733</t>
  </si>
  <si>
    <t>列5734</t>
  </si>
  <si>
    <t>列5735</t>
  </si>
  <si>
    <t>列5736</t>
  </si>
  <si>
    <t>列5737</t>
  </si>
  <si>
    <t>列5738</t>
  </si>
  <si>
    <t>列5739</t>
  </si>
  <si>
    <t>列5740</t>
  </si>
  <si>
    <t>列5741</t>
  </si>
  <si>
    <t>列5742</t>
  </si>
  <si>
    <t>列5743</t>
  </si>
  <si>
    <t>列5744</t>
  </si>
  <si>
    <t>列5745</t>
  </si>
  <si>
    <t>列5746</t>
  </si>
  <si>
    <t>列5747</t>
  </si>
  <si>
    <t>列5748</t>
  </si>
  <si>
    <t>列5749</t>
  </si>
  <si>
    <t>列5750</t>
  </si>
  <si>
    <t>列5751</t>
  </si>
  <si>
    <t>列5752</t>
  </si>
  <si>
    <t>列5753</t>
  </si>
  <si>
    <t>列5754</t>
  </si>
  <si>
    <t>列5755</t>
  </si>
  <si>
    <t>列5756</t>
  </si>
  <si>
    <t>列5757</t>
  </si>
  <si>
    <t>列5758</t>
  </si>
  <si>
    <t>列5759</t>
  </si>
  <si>
    <t>列5760</t>
  </si>
  <si>
    <t>列5761</t>
  </si>
  <si>
    <t>列5762</t>
  </si>
  <si>
    <t>列5763</t>
  </si>
  <si>
    <t>列5764</t>
  </si>
  <si>
    <t>列5765</t>
  </si>
  <si>
    <t>列5766</t>
  </si>
  <si>
    <t>列5767</t>
  </si>
  <si>
    <t>列5768</t>
  </si>
  <si>
    <t>列5769</t>
  </si>
  <si>
    <t>列5770</t>
  </si>
  <si>
    <t>列5771</t>
  </si>
  <si>
    <t>列5772</t>
  </si>
  <si>
    <t>列5773</t>
  </si>
  <si>
    <t>列5774</t>
  </si>
  <si>
    <t>列5775</t>
  </si>
  <si>
    <t>列5776</t>
  </si>
  <si>
    <t>列5777</t>
  </si>
  <si>
    <t>列5778</t>
  </si>
  <si>
    <t>列5779</t>
  </si>
  <si>
    <t>列5780</t>
  </si>
  <si>
    <t>列5781</t>
  </si>
  <si>
    <t>列5782</t>
  </si>
  <si>
    <t>列5783</t>
  </si>
  <si>
    <t>列5784</t>
  </si>
  <si>
    <t>列5785</t>
  </si>
  <si>
    <t>列5786</t>
  </si>
  <si>
    <t>列5787</t>
  </si>
  <si>
    <t>列5788</t>
  </si>
  <si>
    <t>列5789</t>
  </si>
  <si>
    <t>列5790</t>
  </si>
  <si>
    <t>列5791</t>
  </si>
  <si>
    <t>列5792</t>
  </si>
  <si>
    <t>列5793</t>
  </si>
  <si>
    <t>列5794</t>
  </si>
  <si>
    <t>列5795</t>
  </si>
  <si>
    <t>列5796</t>
  </si>
  <si>
    <t>列5797</t>
  </si>
  <si>
    <t>列5798</t>
  </si>
  <si>
    <t>列5799</t>
  </si>
  <si>
    <t>列5800</t>
  </si>
  <si>
    <t>列5801</t>
  </si>
  <si>
    <t>列5802</t>
  </si>
  <si>
    <t>列5803</t>
  </si>
  <si>
    <t>列5804</t>
  </si>
  <si>
    <t>列5805</t>
  </si>
  <si>
    <t>列5806</t>
  </si>
  <si>
    <t>列5807</t>
  </si>
  <si>
    <t>列5808</t>
  </si>
  <si>
    <t>列5809</t>
  </si>
  <si>
    <t>列5810</t>
  </si>
  <si>
    <t>列5811</t>
  </si>
  <si>
    <t>列5812</t>
  </si>
  <si>
    <t>列5813</t>
  </si>
  <si>
    <t>列5814</t>
  </si>
  <si>
    <t>列5815</t>
  </si>
  <si>
    <t>列5816</t>
  </si>
  <si>
    <t>列5817</t>
  </si>
  <si>
    <t>列5818</t>
  </si>
  <si>
    <t>列5819</t>
  </si>
  <si>
    <t>列5820</t>
  </si>
  <si>
    <t>列5821</t>
  </si>
  <si>
    <t>列5822</t>
  </si>
  <si>
    <t>列5823</t>
  </si>
  <si>
    <t>列5824</t>
  </si>
  <si>
    <t>列5825</t>
  </si>
  <si>
    <t>列5826</t>
  </si>
  <si>
    <t>列5827</t>
  </si>
  <si>
    <t>列5828</t>
  </si>
  <si>
    <t>列5829</t>
  </si>
  <si>
    <t>列5830</t>
  </si>
  <si>
    <t>列5831</t>
  </si>
  <si>
    <t>列5832</t>
  </si>
  <si>
    <t>列5833</t>
  </si>
  <si>
    <t>列5834</t>
  </si>
  <si>
    <t>列5835</t>
  </si>
  <si>
    <t>列5836</t>
  </si>
  <si>
    <t>列5837</t>
  </si>
  <si>
    <t>列5838</t>
  </si>
  <si>
    <t>列5839</t>
  </si>
  <si>
    <t>列5840</t>
  </si>
  <si>
    <t>列5841</t>
  </si>
  <si>
    <t>列5842</t>
  </si>
  <si>
    <t>列5843</t>
  </si>
  <si>
    <t>列5844</t>
  </si>
  <si>
    <t>列5845</t>
  </si>
  <si>
    <t>列5846</t>
  </si>
  <si>
    <t>列5847</t>
  </si>
  <si>
    <t>列5848</t>
  </si>
  <si>
    <t>列5849</t>
  </si>
  <si>
    <t>列5850</t>
  </si>
  <si>
    <t>列5851</t>
  </si>
  <si>
    <t>列5852</t>
  </si>
  <si>
    <t>列5853</t>
  </si>
  <si>
    <t>列5854</t>
  </si>
  <si>
    <t>列5855</t>
  </si>
  <si>
    <t>列5856</t>
  </si>
  <si>
    <t>列5857</t>
  </si>
  <si>
    <t>列5858</t>
  </si>
  <si>
    <t>列5859</t>
  </si>
  <si>
    <t>列5860</t>
  </si>
  <si>
    <t>列5861</t>
  </si>
  <si>
    <t>列5862</t>
  </si>
  <si>
    <t>列5863</t>
  </si>
  <si>
    <t>列5864</t>
  </si>
  <si>
    <t>列5865</t>
  </si>
  <si>
    <t>列5866</t>
  </si>
  <si>
    <t>列5867</t>
  </si>
  <si>
    <t>列5868</t>
  </si>
  <si>
    <t>列5869</t>
  </si>
  <si>
    <t>列5870</t>
  </si>
  <si>
    <t>列5871</t>
  </si>
  <si>
    <t>列5872</t>
  </si>
  <si>
    <t>列5873</t>
  </si>
  <si>
    <t>列5874</t>
  </si>
  <si>
    <t>列5875</t>
  </si>
  <si>
    <t>列5876</t>
  </si>
  <si>
    <t>列5877</t>
  </si>
  <si>
    <t>列5878</t>
  </si>
  <si>
    <t>列5879</t>
  </si>
  <si>
    <t>列5880</t>
  </si>
  <si>
    <t>列5881</t>
  </si>
  <si>
    <t>列5882</t>
  </si>
  <si>
    <t>列5883</t>
  </si>
  <si>
    <t>列5884</t>
  </si>
  <si>
    <t>列5885</t>
  </si>
  <si>
    <t>列5886</t>
  </si>
  <si>
    <t>列5887</t>
  </si>
  <si>
    <t>列5888</t>
  </si>
  <si>
    <t>列5889</t>
  </si>
  <si>
    <t>列5890</t>
  </si>
  <si>
    <t>列5891</t>
  </si>
  <si>
    <t>列5892</t>
  </si>
  <si>
    <t>列5893</t>
  </si>
  <si>
    <t>列5894</t>
  </si>
  <si>
    <t>列5895</t>
  </si>
  <si>
    <t>列5896</t>
  </si>
  <si>
    <t>列5897</t>
  </si>
  <si>
    <t>列5898</t>
  </si>
  <si>
    <t>列5899</t>
  </si>
  <si>
    <t>列5900</t>
  </si>
  <si>
    <t>列5901</t>
  </si>
  <si>
    <t>列5902</t>
  </si>
  <si>
    <t>列5903</t>
  </si>
  <si>
    <t>列5904</t>
  </si>
  <si>
    <t>列5905</t>
  </si>
  <si>
    <t>列5906</t>
  </si>
  <si>
    <t>列5907</t>
  </si>
  <si>
    <t>列5908</t>
  </si>
  <si>
    <t>列5909</t>
  </si>
  <si>
    <t>列5910</t>
  </si>
  <si>
    <t>列5911</t>
  </si>
  <si>
    <t>列5912</t>
  </si>
  <si>
    <t>列5913</t>
  </si>
  <si>
    <t>列5914</t>
  </si>
  <si>
    <t>列5915</t>
  </si>
  <si>
    <t>列5916</t>
  </si>
  <si>
    <t>列5917</t>
  </si>
  <si>
    <t>列5918</t>
  </si>
  <si>
    <t>列5919</t>
  </si>
  <si>
    <t>列5920</t>
  </si>
  <si>
    <t>列5921</t>
  </si>
  <si>
    <t>列5922</t>
  </si>
  <si>
    <t>列5923</t>
  </si>
  <si>
    <t>列5924</t>
  </si>
  <si>
    <t>列5925</t>
  </si>
  <si>
    <t>列5926</t>
  </si>
  <si>
    <t>列5927</t>
  </si>
  <si>
    <t>列5928</t>
  </si>
  <si>
    <t>列5929</t>
  </si>
  <si>
    <t>列5930</t>
  </si>
  <si>
    <t>列5931</t>
  </si>
  <si>
    <t>列5932</t>
  </si>
  <si>
    <t>列5933</t>
  </si>
  <si>
    <t>列5934</t>
  </si>
  <si>
    <t>列5935</t>
  </si>
  <si>
    <t>列5936</t>
  </si>
  <si>
    <t>列5937</t>
  </si>
  <si>
    <t>列5938</t>
  </si>
  <si>
    <t>列5939</t>
  </si>
  <si>
    <t>列5940</t>
  </si>
  <si>
    <t>列5941</t>
  </si>
  <si>
    <t>列5942</t>
  </si>
  <si>
    <t>列5943</t>
  </si>
  <si>
    <t>列5944</t>
  </si>
  <si>
    <t>列5945</t>
  </si>
  <si>
    <t>列5946</t>
  </si>
  <si>
    <t>列5947</t>
  </si>
  <si>
    <t>列5948</t>
  </si>
  <si>
    <t>列5949</t>
  </si>
  <si>
    <t>列5950</t>
  </si>
  <si>
    <t>列5951</t>
  </si>
  <si>
    <t>列5952</t>
  </si>
  <si>
    <t>列5953</t>
  </si>
  <si>
    <t>列5954</t>
  </si>
  <si>
    <t>列5955</t>
  </si>
  <si>
    <t>列5956</t>
  </si>
  <si>
    <t>列5957</t>
  </si>
  <si>
    <t>列5958</t>
  </si>
  <si>
    <t>列5959</t>
  </si>
  <si>
    <t>列5960</t>
  </si>
  <si>
    <t>列5961</t>
  </si>
  <si>
    <t>列5962</t>
  </si>
  <si>
    <t>列5963</t>
  </si>
  <si>
    <t>列5964</t>
  </si>
  <si>
    <t>列5965</t>
  </si>
  <si>
    <t>列5966</t>
  </si>
  <si>
    <t>列5967</t>
  </si>
  <si>
    <t>列5968</t>
  </si>
  <si>
    <t>列5969</t>
  </si>
  <si>
    <t>列5970</t>
  </si>
  <si>
    <t>列5971</t>
  </si>
  <si>
    <t>列5972</t>
  </si>
  <si>
    <t>列5973</t>
  </si>
  <si>
    <t>列5974</t>
  </si>
  <si>
    <t>列5975</t>
  </si>
  <si>
    <t>列5976</t>
  </si>
  <si>
    <t>列5977</t>
  </si>
  <si>
    <t>列5978</t>
  </si>
  <si>
    <t>列5979</t>
  </si>
  <si>
    <t>列5980</t>
  </si>
  <si>
    <t>列5981</t>
  </si>
  <si>
    <t>列5982</t>
  </si>
  <si>
    <t>列5983</t>
  </si>
  <si>
    <t>列5984</t>
  </si>
  <si>
    <t>列5985</t>
  </si>
  <si>
    <t>列5986</t>
  </si>
  <si>
    <t>列5987</t>
  </si>
  <si>
    <t>列5988</t>
  </si>
  <si>
    <t>列5989</t>
  </si>
  <si>
    <t>列5990</t>
  </si>
  <si>
    <t>列5991</t>
  </si>
  <si>
    <t>列5992</t>
  </si>
  <si>
    <t>列5993</t>
  </si>
  <si>
    <t>列5994</t>
  </si>
  <si>
    <t>列5995</t>
  </si>
  <si>
    <t>列5996</t>
  </si>
  <si>
    <t>列5997</t>
  </si>
  <si>
    <t>列5998</t>
  </si>
  <si>
    <t>列5999</t>
  </si>
  <si>
    <t>列6000</t>
  </si>
  <si>
    <t>列6001</t>
  </si>
  <si>
    <t>列6002</t>
  </si>
  <si>
    <t>列6003</t>
  </si>
  <si>
    <t>列6004</t>
  </si>
  <si>
    <t>列6005</t>
  </si>
  <si>
    <t>列6006</t>
  </si>
  <si>
    <t>列6007</t>
  </si>
  <si>
    <t>列6008</t>
  </si>
  <si>
    <t>列6009</t>
  </si>
  <si>
    <t>列6010</t>
  </si>
  <si>
    <t>列6011</t>
  </si>
  <si>
    <t>列6012</t>
  </si>
  <si>
    <t>列6013</t>
  </si>
  <si>
    <t>列6014</t>
  </si>
  <si>
    <t>列6015</t>
  </si>
  <si>
    <t>列6016</t>
  </si>
  <si>
    <t>列6017</t>
  </si>
  <si>
    <t>列6018</t>
  </si>
  <si>
    <t>列6019</t>
  </si>
  <si>
    <t>列6020</t>
  </si>
  <si>
    <t>列6021</t>
  </si>
  <si>
    <t>列6022</t>
  </si>
  <si>
    <t>列6023</t>
  </si>
  <si>
    <t>列6024</t>
  </si>
  <si>
    <t>列6025</t>
  </si>
  <si>
    <t>列6026</t>
  </si>
  <si>
    <t>列6027</t>
  </si>
  <si>
    <t>列6028</t>
  </si>
  <si>
    <t>列6029</t>
  </si>
  <si>
    <t>列6030</t>
  </si>
  <si>
    <t>列6031</t>
  </si>
  <si>
    <t>列6032</t>
  </si>
  <si>
    <t>列6033</t>
  </si>
  <si>
    <t>列6034</t>
  </si>
  <si>
    <t>列6035</t>
  </si>
  <si>
    <t>列6036</t>
  </si>
  <si>
    <t>列6037</t>
  </si>
  <si>
    <t>列6038</t>
  </si>
  <si>
    <t>列6039</t>
  </si>
  <si>
    <t>列6040</t>
  </si>
  <si>
    <t>列6041</t>
  </si>
  <si>
    <t>列6042</t>
  </si>
  <si>
    <t>列6043</t>
  </si>
  <si>
    <t>列6044</t>
  </si>
  <si>
    <t>列6045</t>
  </si>
  <si>
    <t>列6046</t>
  </si>
  <si>
    <t>列6047</t>
  </si>
  <si>
    <t>列6048</t>
  </si>
  <si>
    <t>列6049</t>
  </si>
  <si>
    <t>列6050</t>
  </si>
  <si>
    <t>列6051</t>
  </si>
  <si>
    <t>列6052</t>
  </si>
  <si>
    <t>列6053</t>
  </si>
  <si>
    <t>列6054</t>
  </si>
  <si>
    <t>列6055</t>
  </si>
  <si>
    <t>列6056</t>
  </si>
  <si>
    <t>列6057</t>
  </si>
  <si>
    <t>列6058</t>
  </si>
  <si>
    <t>列6059</t>
  </si>
  <si>
    <t>列6060</t>
  </si>
  <si>
    <t>列6061</t>
  </si>
  <si>
    <t>列6062</t>
  </si>
  <si>
    <t>列6063</t>
  </si>
  <si>
    <t>列6064</t>
  </si>
  <si>
    <t>列6065</t>
  </si>
  <si>
    <t>列6066</t>
  </si>
  <si>
    <t>列6067</t>
  </si>
  <si>
    <t>列6068</t>
  </si>
  <si>
    <t>列6069</t>
  </si>
  <si>
    <t>列6070</t>
  </si>
  <si>
    <t>列6071</t>
  </si>
  <si>
    <t>列6072</t>
  </si>
  <si>
    <t>列6073</t>
  </si>
  <si>
    <t>列6074</t>
  </si>
  <si>
    <t>列6075</t>
  </si>
  <si>
    <t>列6076</t>
  </si>
  <si>
    <t>列6077</t>
  </si>
  <si>
    <t>列6078</t>
  </si>
  <si>
    <t>列6079</t>
  </si>
  <si>
    <t>列6080</t>
  </si>
  <si>
    <t>列6081</t>
  </si>
  <si>
    <t>列6082</t>
  </si>
  <si>
    <t>列6083</t>
  </si>
  <si>
    <t>列6084</t>
  </si>
  <si>
    <t>列6085</t>
  </si>
  <si>
    <t>列6086</t>
  </si>
  <si>
    <t>列6087</t>
  </si>
  <si>
    <t>列6088</t>
  </si>
  <si>
    <t>列6089</t>
  </si>
  <si>
    <t>列6090</t>
  </si>
  <si>
    <t>列6091</t>
  </si>
  <si>
    <t>列6092</t>
  </si>
  <si>
    <t>列6093</t>
  </si>
  <si>
    <t>列6094</t>
  </si>
  <si>
    <t>列6095</t>
  </si>
  <si>
    <t>列6096</t>
  </si>
  <si>
    <t>列6097</t>
  </si>
  <si>
    <t>列6098</t>
  </si>
  <si>
    <t>列6099</t>
  </si>
  <si>
    <t>列6100</t>
  </si>
  <si>
    <t>列6101</t>
  </si>
  <si>
    <t>列6102</t>
  </si>
  <si>
    <t>列6103</t>
  </si>
  <si>
    <t>列6104</t>
  </si>
  <si>
    <t>列6105</t>
  </si>
  <si>
    <t>列6106</t>
  </si>
  <si>
    <t>列6107</t>
  </si>
  <si>
    <t>列6108</t>
  </si>
  <si>
    <t>列6109</t>
  </si>
  <si>
    <t>列6110</t>
  </si>
  <si>
    <t>列6111</t>
  </si>
  <si>
    <t>列6112</t>
  </si>
  <si>
    <t>列6113</t>
  </si>
  <si>
    <t>列6114</t>
  </si>
  <si>
    <t>列6115</t>
  </si>
  <si>
    <t>列6116</t>
  </si>
  <si>
    <t>列6117</t>
  </si>
  <si>
    <t>列6118</t>
  </si>
  <si>
    <t>列6119</t>
  </si>
  <si>
    <t>列6120</t>
  </si>
  <si>
    <t>列6121</t>
  </si>
  <si>
    <t>列6122</t>
  </si>
  <si>
    <t>列6123</t>
  </si>
  <si>
    <t>列6124</t>
  </si>
  <si>
    <t>列6125</t>
  </si>
  <si>
    <t>列6126</t>
  </si>
  <si>
    <t>列6127</t>
  </si>
  <si>
    <t>列6128</t>
  </si>
  <si>
    <t>列6129</t>
  </si>
  <si>
    <t>列6130</t>
  </si>
  <si>
    <t>列6131</t>
  </si>
  <si>
    <t>列6132</t>
  </si>
  <si>
    <t>列6133</t>
  </si>
  <si>
    <t>列6134</t>
  </si>
  <si>
    <t>列6135</t>
  </si>
  <si>
    <t>列6136</t>
  </si>
  <si>
    <t>列6137</t>
  </si>
  <si>
    <t>列6138</t>
  </si>
  <si>
    <t>列6139</t>
  </si>
  <si>
    <t>列6140</t>
  </si>
  <si>
    <t>列6141</t>
  </si>
  <si>
    <t>列6142</t>
  </si>
  <si>
    <t>列6143</t>
  </si>
  <si>
    <t>列6144</t>
  </si>
  <si>
    <t>列6145</t>
  </si>
  <si>
    <t>列6146</t>
  </si>
  <si>
    <t>列6147</t>
  </si>
  <si>
    <t>列6148</t>
  </si>
  <si>
    <t>列6149</t>
  </si>
  <si>
    <t>列6150</t>
  </si>
  <si>
    <t>列6151</t>
  </si>
  <si>
    <t>列6152</t>
  </si>
  <si>
    <t>列6153</t>
  </si>
  <si>
    <t>列6154</t>
  </si>
  <si>
    <t>列6155</t>
  </si>
  <si>
    <t>列6156</t>
  </si>
  <si>
    <t>列6157</t>
  </si>
  <si>
    <t>列6158</t>
  </si>
  <si>
    <t>列6159</t>
  </si>
  <si>
    <t>列6160</t>
  </si>
  <si>
    <t>列6161</t>
  </si>
  <si>
    <t>列6162</t>
  </si>
  <si>
    <t>列6163</t>
  </si>
  <si>
    <t>列6164</t>
  </si>
  <si>
    <t>列6165</t>
  </si>
  <si>
    <t>列6166</t>
  </si>
  <si>
    <t>列6167</t>
  </si>
  <si>
    <t>列6168</t>
  </si>
  <si>
    <t>列6169</t>
  </si>
  <si>
    <t>列6170</t>
  </si>
  <si>
    <t>列6171</t>
  </si>
  <si>
    <t>列6172</t>
  </si>
  <si>
    <t>列6173</t>
  </si>
  <si>
    <t>列6174</t>
  </si>
  <si>
    <t>列6175</t>
  </si>
  <si>
    <t>列6176</t>
  </si>
  <si>
    <t>列6177</t>
  </si>
  <si>
    <t>列6178</t>
  </si>
  <si>
    <t>列6179</t>
  </si>
  <si>
    <t>列6180</t>
  </si>
  <si>
    <t>列6181</t>
  </si>
  <si>
    <t>列6182</t>
  </si>
  <si>
    <t>列6183</t>
  </si>
  <si>
    <t>列6184</t>
  </si>
  <si>
    <t>列6185</t>
  </si>
  <si>
    <t>列6186</t>
  </si>
  <si>
    <t>列6187</t>
  </si>
  <si>
    <t>列6188</t>
  </si>
  <si>
    <t>列6189</t>
  </si>
  <si>
    <t>列6190</t>
  </si>
  <si>
    <t>列6191</t>
  </si>
  <si>
    <t>列6192</t>
  </si>
  <si>
    <t>列6193</t>
  </si>
  <si>
    <t>列6194</t>
  </si>
  <si>
    <t>列6195</t>
  </si>
  <si>
    <t>列6196</t>
  </si>
  <si>
    <t>列6197</t>
  </si>
  <si>
    <t>列6198</t>
  </si>
  <si>
    <t>列6199</t>
  </si>
  <si>
    <t>列6200</t>
  </si>
  <si>
    <t>列6201</t>
  </si>
  <si>
    <t>列6202</t>
  </si>
  <si>
    <t>列6203</t>
  </si>
  <si>
    <t>列6204</t>
  </si>
  <si>
    <t>列6205</t>
  </si>
  <si>
    <t>列6206</t>
  </si>
  <si>
    <t>列6207</t>
  </si>
  <si>
    <t>列6208</t>
  </si>
  <si>
    <t>列6209</t>
  </si>
  <si>
    <t>列6210</t>
  </si>
  <si>
    <t>列6211</t>
  </si>
  <si>
    <t>列6212</t>
  </si>
  <si>
    <t>列6213</t>
  </si>
  <si>
    <t>列6214</t>
  </si>
  <si>
    <t>列6215</t>
  </si>
  <si>
    <t>列6216</t>
  </si>
  <si>
    <t>列6217</t>
  </si>
  <si>
    <t>列6218</t>
  </si>
  <si>
    <t>列6219</t>
  </si>
  <si>
    <t>列6220</t>
  </si>
  <si>
    <t>列6221</t>
  </si>
  <si>
    <t>列6222</t>
  </si>
  <si>
    <t>列6223</t>
  </si>
  <si>
    <t>列6224</t>
  </si>
  <si>
    <t>列6225</t>
  </si>
  <si>
    <t>列6226</t>
  </si>
  <si>
    <t>列6227</t>
  </si>
  <si>
    <t>列6228</t>
  </si>
  <si>
    <t>列6229</t>
  </si>
  <si>
    <t>列6230</t>
  </si>
  <si>
    <t>列6231</t>
  </si>
  <si>
    <t>列6232</t>
  </si>
  <si>
    <t>列6233</t>
  </si>
  <si>
    <t>列6234</t>
  </si>
  <si>
    <t>列6235</t>
  </si>
  <si>
    <t>列6236</t>
  </si>
  <si>
    <t>列6237</t>
  </si>
  <si>
    <t>列6238</t>
  </si>
  <si>
    <t>列6239</t>
  </si>
  <si>
    <t>列6240</t>
  </si>
  <si>
    <t>列6241</t>
  </si>
  <si>
    <t>列6242</t>
  </si>
  <si>
    <t>列6243</t>
  </si>
  <si>
    <t>列6244</t>
  </si>
  <si>
    <t>列6245</t>
  </si>
  <si>
    <t>列6246</t>
  </si>
  <si>
    <t>列6247</t>
  </si>
  <si>
    <t>列6248</t>
  </si>
  <si>
    <t>列6249</t>
  </si>
  <si>
    <t>列6250</t>
  </si>
  <si>
    <t>列6251</t>
  </si>
  <si>
    <t>列6252</t>
  </si>
  <si>
    <t>列6253</t>
  </si>
  <si>
    <t>列6254</t>
  </si>
  <si>
    <t>列6255</t>
  </si>
  <si>
    <t>列6256</t>
  </si>
  <si>
    <t>列6257</t>
  </si>
  <si>
    <t>列6258</t>
  </si>
  <si>
    <t>列6259</t>
  </si>
  <si>
    <t>列6260</t>
  </si>
  <si>
    <t>列6261</t>
  </si>
  <si>
    <t>列6262</t>
  </si>
  <si>
    <t>列6263</t>
  </si>
  <si>
    <t>列6264</t>
  </si>
  <si>
    <t>列6265</t>
  </si>
  <si>
    <t>列6266</t>
  </si>
  <si>
    <t>列6267</t>
  </si>
  <si>
    <t>列6268</t>
  </si>
  <si>
    <t>列6269</t>
  </si>
  <si>
    <t>列6270</t>
  </si>
  <si>
    <t>列6271</t>
  </si>
  <si>
    <t>列6272</t>
  </si>
  <si>
    <t>列6273</t>
  </si>
  <si>
    <t>列6274</t>
  </si>
  <si>
    <t>列6275</t>
  </si>
  <si>
    <t>列6276</t>
  </si>
  <si>
    <t>列6277</t>
  </si>
  <si>
    <t>列6278</t>
  </si>
  <si>
    <t>列6279</t>
  </si>
  <si>
    <t>列6280</t>
  </si>
  <si>
    <t>列6281</t>
  </si>
  <si>
    <t>列6282</t>
  </si>
  <si>
    <t>列6283</t>
  </si>
  <si>
    <t>列6284</t>
  </si>
  <si>
    <t>列6285</t>
  </si>
  <si>
    <t>列6286</t>
  </si>
  <si>
    <t>列6287</t>
  </si>
  <si>
    <t>列6288</t>
  </si>
  <si>
    <t>列6289</t>
  </si>
  <si>
    <t>列6290</t>
  </si>
  <si>
    <t>列6291</t>
  </si>
  <si>
    <t>列6292</t>
  </si>
  <si>
    <t>列6293</t>
  </si>
  <si>
    <t>列6294</t>
  </si>
  <si>
    <t>列6295</t>
  </si>
  <si>
    <t>列6296</t>
  </si>
  <si>
    <t>列6297</t>
  </si>
  <si>
    <t>列6298</t>
  </si>
  <si>
    <t>列6299</t>
  </si>
  <si>
    <t>列6300</t>
  </si>
  <si>
    <t>列6301</t>
  </si>
  <si>
    <t>列6302</t>
  </si>
  <si>
    <t>列6303</t>
  </si>
  <si>
    <t>列6304</t>
  </si>
  <si>
    <t>列6305</t>
  </si>
  <si>
    <t>列6306</t>
  </si>
  <si>
    <t>列6307</t>
  </si>
  <si>
    <t>列6308</t>
  </si>
  <si>
    <t>列6309</t>
  </si>
  <si>
    <t>列6310</t>
  </si>
  <si>
    <t>列6311</t>
  </si>
  <si>
    <t>列6312</t>
  </si>
  <si>
    <t>列6313</t>
  </si>
  <si>
    <t>列6314</t>
  </si>
  <si>
    <t>列6315</t>
  </si>
  <si>
    <t>列6316</t>
  </si>
  <si>
    <t>列6317</t>
  </si>
  <si>
    <t>列6318</t>
  </si>
  <si>
    <t>列6319</t>
  </si>
  <si>
    <t>列6320</t>
  </si>
  <si>
    <t>列6321</t>
  </si>
  <si>
    <t>列6322</t>
  </si>
  <si>
    <t>列6323</t>
  </si>
  <si>
    <t>列6324</t>
  </si>
  <si>
    <t>列6325</t>
  </si>
  <si>
    <t>列6326</t>
  </si>
  <si>
    <t>列6327</t>
  </si>
  <si>
    <t>列6328</t>
  </si>
  <si>
    <t>列6329</t>
  </si>
  <si>
    <t>列6330</t>
  </si>
  <si>
    <t>列6331</t>
  </si>
  <si>
    <t>列6332</t>
  </si>
  <si>
    <t>列6333</t>
  </si>
  <si>
    <t>列6334</t>
  </si>
  <si>
    <t>列6335</t>
  </si>
  <si>
    <t>列6336</t>
  </si>
  <si>
    <t>列6337</t>
  </si>
  <si>
    <t>列6338</t>
  </si>
  <si>
    <t>列6339</t>
  </si>
  <si>
    <t>列6340</t>
  </si>
  <si>
    <t>列6341</t>
  </si>
  <si>
    <t>列6342</t>
  </si>
  <si>
    <t>列6343</t>
  </si>
  <si>
    <t>列6344</t>
  </si>
  <si>
    <t>列6345</t>
  </si>
  <si>
    <t>列6346</t>
  </si>
  <si>
    <t>列6347</t>
  </si>
  <si>
    <t>列6348</t>
  </si>
  <si>
    <t>列6349</t>
  </si>
  <si>
    <t>列6350</t>
  </si>
  <si>
    <t>列6351</t>
  </si>
  <si>
    <t>列6352</t>
  </si>
  <si>
    <t>列6353</t>
  </si>
  <si>
    <t>列6354</t>
  </si>
  <si>
    <t>列6355</t>
  </si>
  <si>
    <t>列6356</t>
  </si>
  <si>
    <t>列6357</t>
  </si>
  <si>
    <t>列6358</t>
  </si>
  <si>
    <t>列6359</t>
  </si>
  <si>
    <t>列6360</t>
  </si>
  <si>
    <t>列6361</t>
  </si>
  <si>
    <t>列6362</t>
  </si>
  <si>
    <t>列6363</t>
  </si>
  <si>
    <t>列6364</t>
  </si>
  <si>
    <t>列6365</t>
  </si>
  <si>
    <t>列6366</t>
  </si>
  <si>
    <t>列6367</t>
  </si>
  <si>
    <t>列6368</t>
  </si>
  <si>
    <t>列6369</t>
  </si>
  <si>
    <t>列6370</t>
  </si>
  <si>
    <t>列6371</t>
  </si>
  <si>
    <t>列6372</t>
  </si>
  <si>
    <t>列6373</t>
  </si>
  <si>
    <t>列6374</t>
  </si>
  <si>
    <t>列6375</t>
  </si>
  <si>
    <t>列6376</t>
  </si>
  <si>
    <t>列6377</t>
  </si>
  <si>
    <t>列6378</t>
  </si>
  <si>
    <t>列6379</t>
  </si>
  <si>
    <t>列6380</t>
  </si>
  <si>
    <t>列6381</t>
  </si>
  <si>
    <t>列6382</t>
  </si>
  <si>
    <t>列6383</t>
  </si>
  <si>
    <t>列6384</t>
  </si>
  <si>
    <t>列6385</t>
  </si>
  <si>
    <t>列6386</t>
  </si>
  <si>
    <t>列6387</t>
  </si>
  <si>
    <t>列6388</t>
  </si>
  <si>
    <t>列6389</t>
  </si>
  <si>
    <t>列6390</t>
  </si>
  <si>
    <t>列6391</t>
  </si>
  <si>
    <t>列6392</t>
  </si>
  <si>
    <t>列6393</t>
  </si>
  <si>
    <t>列6394</t>
  </si>
  <si>
    <t>列6395</t>
  </si>
  <si>
    <t>列6396</t>
  </si>
  <si>
    <t>列6397</t>
  </si>
  <si>
    <t>列6398</t>
  </si>
  <si>
    <t>列6399</t>
  </si>
  <si>
    <t>列6400</t>
  </si>
  <si>
    <t>列6401</t>
  </si>
  <si>
    <t>列6402</t>
  </si>
  <si>
    <t>列6403</t>
  </si>
  <si>
    <t>列6404</t>
  </si>
  <si>
    <t>列6405</t>
  </si>
  <si>
    <t>列6406</t>
  </si>
  <si>
    <t>列6407</t>
  </si>
  <si>
    <t>列6408</t>
  </si>
  <si>
    <t>列6409</t>
  </si>
  <si>
    <t>列6410</t>
  </si>
  <si>
    <t>列6411</t>
  </si>
  <si>
    <t>列6412</t>
  </si>
  <si>
    <t>列6413</t>
  </si>
  <si>
    <t>列6414</t>
  </si>
  <si>
    <t>列6415</t>
  </si>
  <si>
    <t>列6416</t>
  </si>
  <si>
    <t>列6417</t>
  </si>
  <si>
    <t>列6418</t>
  </si>
  <si>
    <t>列6419</t>
  </si>
  <si>
    <t>列6420</t>
  </si>
  <si>
    <t>列6421</t>
  </si>
  <si>
    <t>列6422</t>
  </si>
  <si>
    <t>列6423</t>
  </si>
  <si>
    <t>列6424</t>
  </si>
  <si>
    <t>列6425</t>
  </si>
  <si>
    <t>列6426</t>
  </si>
  <si>
    <t>列6427</t>
  </si>
  <si>
    <t>列6428</t>
  </si>
  <si>
    <t>列6429</t>
  </si>
  <si>
    <t>列6430</t>
  </si>
  <si>
    <t>列6431</t>
  </si>
  <si>
    <t>列6432</t>
  </si>
  <si>
    <t>列6433</t>
  </si>
  <si>
    <t>列6434</t>
  </si>
  <si>
    <t>列6435</t>
  </si>
  <si>
    <t>列6436</t>
  </si>
  <si>
    <t>列6437</t>
  </si>
  <si>
    <t>列6438</t>
  </si>
  <si>
    <t>列6439</t>
  </si>
  <si>
    <t>列6440</t>
  </si>
  <si>
    <t>列6441</t>
  </si>
  <si>
    <t>列6442</t>
  </si>
  <si>
    <t>列6443</t>
  </si>
  <si>
    <t>列6444</t>
  </si>
  <si>
    <t>列6445</t>
  </si>
  <si>
    <t>列6446</t>
  </si>
  <si>
    <t>列6447</t>
  </si>
  <si>
    <t>列6448</t>
  </si>
  <si>
    <t>列6449</t>
  </si>
  <si>
    <t>列6450</t>
  </si>
  <si>
    <t>列6451</t>
  </si>
  <si>
    <t>列6452</t>
  </si>
  <si>
    <t>列6453</t>
  </si>
  <si>
    <t>列6454</t>
  </si>
  <si>
    <t>列6455</t>
  </si>
  <si>
    <t>列6456</t>
  </si>
  <si>
    <t>列6457</t>
  </si>
  <si>
    <t>列6458</t>
  </si>
  <si>
    <t>列6459</t>
  </si>
  <si>
    <t>列6460</t>
  </si>
  <si>
    <t>列6461</t>
  </si>
  <si>
    <t>列6462</t>
  </si>
  <si>
    <t>列6463</t>
  </si>
  <si>
    <t>列6464</t>
  </si>
  <si>
    <t>列6465</t>
  </si>
  <si>
    <t>列6466</t>
  </si>
  <si>
    <t>列6467</t>
  </si>
  <si>
    <t>列6468</t>
  </si>
  <si>
    <t>列6469</t>
  </si>
  <si>
    <t>列6470</t>
  </si>
  <si>
    <t>列6471</t>
  </si>
  <si>
    <t>列6472</t>
  </si>
  <si>
    <t>列6473</t>
  </si>
  <si>
    <t>列6474</t>
  </si>
  <si>
    <t>列6475</t>
  </si>
  <si>
    <t>列6476</t>
  </si>
  <si>
    <t>列6477</t>
  </si>
  <si>
    <t>列6478</t>
  </si>
  <si>
    <t>列6479</t>
  </si>
  <si>
    <t>列6480</t>
  </si>
  <si>
    <t>列6481</t>
  </si>
  <si>
    <t>列6482</t>
  </si>
  <si>
    <t>列6483</t>
  </si>
  <si>
    <t>列6484</t>
  </si>
  <si>
    <t>列6485</t>
  </si>
  <si>
    <t>列6486</t>
  </si>
  <si>
    <t>列6487</t>
  </si>
  <si>
    <t>列6488</t>
  </si>
  <si>
    <t>列6489</t>
  </si>
  <si>
    <t>列6490</t>
  </si>
  <si>
    <t>列6491</t>
  </si>
  <si>
    <t>列6492</t>
  </si>
  <si>
    <t>列6493</t>
  </si>
  <si>
    <t>列6494</t>
  </si>
  <si>
    <t>列6495</t>
  </si>
  <si>
    <t>列6496</t>
  </si>
  <si>
    <t>列6497</t>
  </si>
  <si>
    <t>列6498</t>
  </si>
  <si>
    <t>列6499</t>
  </si>
  <si>
    <t>列6500</t>
  </si>
  <si>
    <t>列6501</t>
  </si>
  <si>
    <t>列6502</t>
  </si>
  <si>
    <t>列6503</t>
  </si>
  <si>
    <t>列6504</t>
  </si>
  <si>
    <t>列6505</t>
  </si>
  <si>
    <t>列6506</t>
  </si>
  <si>
    <t>列6507</t>
  </si>
  <si>
    <t>列6508</t>
  </si>
  <si>
    <t>列6509</t>
  </si>
  <si>
    <t>列6510</t>
  </si>
  <si>
    <t>列6511</t>
  </si>
  <si>
    <t>列6512</t>
  </si>
  <si>
    <t>列6513</t>
  </si>
  <si>
    <t>列6514</t>
  </si>
  <si>
    <t>列6515</t>
  </si>
  <si>
    <t>列6516</t>
  </si>
  <si>
    <t>列6517</t>
  </si>
  <si>
    <t>列6518</t>
  </si>
  <si>
    <t>列6519</t>
  </si>
  <si>
    <t>列6520</t>
  </si>
  <si>
    <t>列6521</t>
  </si>
  <si>
    <t>列6522</t>
  </si>
  <si>
    <t>列6523</t>
  </si>
  <si>
    <t>列6524</t>
  </si>
  <si>
    <t>列6525</t>
  </si>
  <si>
    <t>列6526</t>
  </si>
  <si>
    <t>列6527</t>
  </si>
  <si>
    <t>列6528</t>
  </si>
  <si>
    <t>列6529</t>
  </si>
  <si>
    <t>列6530</t>
  </si>
  <si>
    <t>列6531</t>
  </si>
  <si>
    <t>列6532</t>
  </si>
  <si>
    <t>列6533</t>
  </si>
  <si>
    <t>列6534</t>
  </si>
  <si>
    <t>列6535</t>
  </si>
  <si>
    <t>列6536</t>
  </si>
  <si>
    <t>列6537</t>
  </si>
  <si>
    <t>列6538</t>
  </si>
  <si>
    <t>列6539</t>
  </si>
  <si>
    <t>列6540</t>
  </si>
  <si>
    <t>列6541</t>
  </si>
  <si>
    <t>列6542</t>
  </si>
  <si>
    <t>列6543</t>
  </si>
  <si>
    <t>列6544</t>
  </si>
  <si>
    <t>列6545</t>
  </si>
  <si>
    <t>列6546</t>
  </si>
  <si>
    <t>列6547</t>
  </si>
  <si>
    <t>列6548</t>
  </si>
  <si>
    <t>列6549</t>
  </si>
  <si>
    <t>列6550</t>
  </si>
  <si>
    <t>列6551</t>
  </si>
  <si>
    <t>列6552</t>
  </si>
  <si>
    <t>列6553</t>
  </si>
  <si>
    <t>列6554</t>
  </si>
  <si>
    <t>列6555</t>
  </si>
  <si>
    <t>列6556</t>
  </si>
  <si>
    <t>列6557</t>
  </si>
  <si>
    <t>列6558</t>
  </si>
  <si>
    <t>列6559</t>
  </si>
  <si>
    <t>列6560</t>
  </si>
  <si>
    <t>列6561</t>
  </si>
  <si>
    <t>列6562</t>
  </si>
  <si>
    <t>列6563</t>
  </si>
  <si>
    <t>列6564</t>
  </si>
  <si>
    <t>列6565</t>
  </si>
  <si>
    <t>列6566</t>
  </si>
  <si>
    <t>列6567</t>
  </si>
  <si>
    <t>列6568</t>
  </si>
  <si>
    <t>列6569</t>
  </si>
  <si>
    <t>列6570</t>
  </si>
  <si>
    <t>列6571</t>
  </si>
  <si>
    <t>列6572</t>
  </si>
  <si>
    <t>列6573</t>
  </si>
  <si>
    <t>列6574</t>
  </si>
  <si>
    <t>列6575</t>
  </si>
  <si>
    <t>列6576</t>
  </si>
  <si>
    <t>列6577</t>
  </si>
  <si>
    <t>列6578</t>
  </si>
  <si>
    <t>列6579</t>
  </si>
  <si>
    <t>列6580</t>
  </si>
  <si>
    <t>列6581</t>
  </si>
  <si>
    <t>列6582</t>
  </si>
  <si>
    <t>列6583</t>
  </si>
  <si>
    <t>列6584</t>
  </si>
  <si>
    <t>列6585</t>
  </si>
  <si>
    <t>列6586</t>
  </si>
  <si>
    <t>列6587</t>
  </si>
  <si>
    <t>列6588</t>
  </si>
  <si>
    <t>列6589</t>
  </si>
  <si>
    <t>列6590</t>
  </si>
  <si>
    <t>列6591</t>
  </si>
  <si>
    <t>列6592</t>
  </si>
  <si>
    <t>列6593</t>
  </si>
  <si>
    <t>列6594</t>
  </si>
  <si>
    <t>列6595</t>
  </si>
  <si>
    <t>列6596</t>
  </si>
  <si>
    <t>列6597</t>
  </si>
  <si>
    <t>列6598</t>
  </si>
  <si>
    <t>列6599</t>
  </si>
  <si>
    <t>列6600</t>
  </si>
  <si>
    <t>列6601</t>
  </si>
  <si>
    <t>列6602</t>
  </si>
  <si>
    <t>列6603</t>
  </si>
  <si>
    <t>列6604</t>
  </si>
  <si>
    <t>列6605</t>
  </si>
  <si>
    <t>列6606</t>
  </si>
  <si>
    <t>列6607</t>
  </si>
  <si>
    <t>列6608</t>
  </si>
  <si>
    <t>列6609</t>
  </si>
  <si>
    <t>列6610</t>
  </si>
  <si>
    <t>列6611</t>
  </si>
  <si>
    <t>列6612</t>
  </si>
  <si>
    <t>列6613</t>
  </si>
  <si>
    <t>列6614</t>
  </si>
  <si>
    <t>列6615</t>
  </si>
  <si>
    <t>列6616</t>
  </si>
  <si>
    <t>列6617</t>
  </si>
  <si>
    <t>列6618</t>
  </si>
  <si>
    <t>列6619</t>
  </si>
  <si>
    <t>列6620</t>
  </si>
  <si>
    <t>列6621</t>
  </si>
  <si>
    <t>列6622</t>
  </si>
  <si>
    <t>列6623</t>
  </si>
  <si>
    <t>列6624</t>
  </si>
  <si>
    <t>列6625</t>
  </si>
  <si>
    <t>列6626</t>
  </si>
  <si>
    <t>列6627</t>
  </si>
  <si>
    <t>列6628</t>
  </si>
  <si>
    <t>列6629</t>
  </si>
  <si>
    <t>列6630</t>
  </si>
  <si>
    <t>列6631</t>
  </si>
  <si>
    <t>列6632</t>
  </si>
  <si>
    <t>列6633</t>
  </si>
  <si>
    <t>列6634</t>
  </si>
  <si>
    <t>列6635</t>
  </si>
  <si>
    <t>列6636</t>
  </si>
  <si>
    <t>列6637</t>
  </si>
  <si>
    <t>列6638</t>
  </si>
  <si>
    <t>列6639</t>
  </si>
  <si>
    <t>列6640</t>
  </si>
  <si>
    <t>列6641</t>
  </si>
  <si>
    <t>列6642</t>
  </si>
  <si>
    <t>列6643</t>
  </si>
  <si>
    <t>列6644</t>
  </si>
  <si>
    <t>列6645</t>
  </si>
  <si>
    <t>列6646</t>
  </si>
  <si>
    <t>列6647</t>
  </si>
  <si>
    <t>列6648</t>
  </si>
  <si>
    <t>列6649</t>
  </si>
  <si>
    <t>列6650</t>
  </si>
  <si>
    <t>列6651</t>
  </si>
  <si>
    <t>列6652</t>
  </si>
  <si>
    <t>列6653</t>
  </si>
  <si>
    <t>列6654</t>
  </si>
  <si>
    <t>列6655</t>
  </si>
  <si>
    <t>列6656</t>
  </si>
  <si>
    <t>列6657</t>
  </si>
  <si>
    <t>列6658</t>
  </si>
  <si>
    <t>列6659</t>
  </si>
  <si>
    <t>列6660</t>
  </si>
  <si>
    <t>列6661</t>
  </si>
  <si>
    <t>列6662</t>
  </si>
  <si>
    <t>列6663</t>
  </si>
  <si>
    <t>列6664</t>
  </si>
  <si>
    <t>列6665</t>
  </si>
  <si>
    <t>列6666</t>
  </si>
  <si>
    <t>列6667</t>
  </si>
  <si>
    <t>列6668</t>
  </si>
  <si>
    <t>列6669</t>
  </si>
  <si>
    <t>列6670</t>
  </si>
  <si>
    <t>列6671</t>
  </si>
  <si>
    <t>列6672</t>
  </si>
  <si>
    <t>列6673</t>
  </si>
  <si>
    <t>列6674</t>
  </si>
  <si>
    <t>列6675</t>
  </si>
  <si>
    <t>列6676</t>
  </si>
  <si>
    <t>列6677</t>
  </si>
  <si>
    <t>列6678</t>
  </si>
  <si>
    <t>列6679</t>
  </si>
  <si>
    <t>列6680</t>
  </si>
  <si>
    <t>列6681</t>
  </si>
  <si>
    <t>列6682</t>
  </si>
  <si>
    <t>列6683</t>
  </si>
  <si>
    <t>列6684</t>
  </si>
  <si>
    <t>列6685</t>
  </si>
  <si>
    <t>列6686</t>
  </si>
  <si>
    <t>列6687</t>
  </si>
  <si>
    <t>列6688</t>
  </si>
  <si>
    <t>列6689</t>
  </si>
  <si>
    <t>列6690</t>
  </si>
  <si>
    <t>列6691</t>
  </si>
  <si>
    <t>列6692</t>
  </si>
  <si>
    <t>列6693</t>
  </si>
  <si>
    <t>列6694</t>
  </si>
  <si>
    <t>列6695</t>
  </si>
  <si>
    <t>列6696</t>
  </si>
  <si>
    <t>列6697</t>
  </si>
  <si>
    <t>列6698</t>
  </si>
  <si>
    <t>列6699</t>
  </si>
  <si>
    <t>列6700</t>
  </si>
  <si>
    <t>列6701</t>
  </si>
  <si>
    <t>列6702</t>
  </si>
  <si>
    <t>列6703</t>
  </si>
  <si>
    <t>列6704</t>
  </si>
  <si>
    <t>列6705</t>
  </si>
  <si>
    <t>列6706</t>
  </si>
  <si>
    <t>列6707</t>
  </si>
  <si>
    <t>列6708</t>
  </si>
  <si>
    <t>列6709</t>
  </si>
  <si>
    <t>列6710</t>
  </si>
  <si>
    <t>列6711</t>
  </si>
  <si>
    <t>列6712</t>
  </si>
  <si>
    <t>列6713</t>
  </si>
  <si>
    <t>列6714</t>
  </si>
  <si>
    <t>列6715</t>
  </si>
  <si>
    <t>列6716</t>
  </si>
  <si>
    <t>列6717</t>
  </si>
  <si>
    <t>列6718</t>
  </si>
  <si>
    <t>列6719</t>
  </si>
  <si>
    <t>列6720</t>
  </si>
  <si>
    <t>列6721</t>
  </si>
  <si>
    <t>列6722</t>
  </si>
  <si>
    <t>列6723</t>
  </si>
  <si>
    <t>列6724</t>
  </si>
  <si>
    <t>列6725</t>
  </si>
  <si>
    <t>列6726</t>
  </si>
  <si>
    <t>列6727</t>
  </si>
  <si>
    <t>列6728</t>
  </si>
  <si>
    <t>列6729</t>
  </si>
  <si>
    <t>列6730</t>
  </si>
  <si>
    <t>列6731</t>
  </si>
  <si>
    <t>列6732</t>
  </si>
  <si>
    <t>列6733</t>
  </si>
  <si>
    <t>列6734</t>
  </si>
  <si>
    <t>列6735</t>
  </si>
  <si>
    <t>列6736</t>
  </si>
  <si>
    <t>列6737</t>
  </si>
  <si>
    <t>列6738</t>
  </si>
  <si>
    <t>列6739</t>
  </si>
  <si>
    <t>列6740</t>
  </si>
  <si>
    <t>列6741</t>
  </si>
  <si>
    <t>列6742</t>
  </si>
  <si>
    <t>列6743</t>
  </si>
  <si>
    <t>列6744</t>
  </si>
  <si>
    <t>列6745</t>
  </si>
  <si>
    <t>列6746</t>
  </si>
  <si>
    <t>列6747</t>
  </si>
  <si>
    <t>列6748</t>
  </si>
  <si>
    <t>列6749</t>
  </si>
  <si>
    <t>列6750</t>
  </si>
  <si>
    <t>列6751</t>
  </si>
  <si>
    <t>列6752</t>
  </si>
  <si>
    <t>列6753</t>
  </si>
  <si>
    <t>列6754</t>
  </si>
  <si>
    <t>列6755</t>
  </si>
  <si>
    <t>列6756</t>
  </si>
  <si>
    <t>列6757</t>
  </si>
  <si>
    <t>列6758</t>
  </si>
  <si>
    <t>列6759</t>
  </si>
  <si>
    <t>列6760</t>
  </si>
  <si>
    <t>列6761</t>
  </si>
  <si>
    <t>列6762</t>
  </si>
  <si>
    <t>列6763</t>
  </si>
  <si>
    <t>列6764</t>
  </si>
  <si>
    <t>列6765</t>
  </si>
  <si>
    <t>列6766</t>
  </si>
  <si>
    <t>列6767</t>
  </si>
  <si>
    <t>列6768</t>
  </si>
  <si>
    <t>列6769</t>
  </si>
  <si>
    <t>列6770</t>
  </si>
  <si>
    <t>列6771</t>
  </si>
  <si>
    <t>列6772</t>
  </si>
  <si>
    <t>列6773</t>
  </si>
  <si>
    <t>列6774</t>
  </si>
  <si>
    <t>列6775</t>
  </si>
  <si>
    <t>列6776</t>
  </si>
  <si>
    <t>列6777</t>
  </si>
  <si>
    <t>列6778</t>
  </si>
  <si>
    <t>列6779</t>
  </si>
  <si>
    <t>列6780</t>
  </si>
  <si>
    <t>列6781</t>
  </si>
  <si>
    <t>列6782</t>
  </si>
  <si>
    <t>列6783</t>
  </si>
  <si>
    <t>列6784</t>
  </si>
  <si>
    <t>列6785</t>
  </si>
  <si>
    <t>列6786</t>
  </si>
  <si>
    <t>列6787</t>
  </si>
  <si>
    <t>列6788</t>
  </si>
  <si>
    <t>列6789</t>
  </si>
  <si>
    <t>列6790</t>
  </si>
  <si>
    <t>列6791</t>
  </si>
  <si>
    <t>列6792</t>
  </si>
  <si>
    <t>列6793</t>
  </si>
  <si>
    <t>列6794</t>
  </si>
  <si>
    <t>列6795</t>
  </si>
  <si>
    <t>列6796</t>
  </si>
  <si>
    <t>列6797</t>
  </si>
  <si>
    <t>列6798</t>
  </si>
  <si>
    <t>列6799</t>
  </si>
  <si>
    <t>列6800</t>
  </si>
  <si>
    <t>列6801</t>
  </si>
  <si>
    <t>列6802</t>
  </si>
  <si>
    <t>列6803</t>
  </si>
  <si>
    <t>列6804</t>
  </si>
  <si>
    <t>列6805</t>
  </si>
  <si>
    <t>列6806</t>
  </si>
  <si>
    <t>列6807</t>
  </si>
  <si>
    <t>列6808</t>
  </si>
  <si>
    <t>列6809</t>
  </si>
  <si>
    <t>列6810</t>
  </si>
  <si>
    <t>列6811</t>
  </si>
  <si>
    <t>列6812</t>
  </si>
  <si>
    <t>列6813</t>
  </si>
  <si>
    <t>列6814</t>
  </si>
  <si>
    <t>列6815</t>
  </si>
  <si>
    <t>列6816</t>
  </si>
  <si>
    <t>列6817</t>
  </si>
  <si>
    <t>列6818</t>
  </si>
  <si>
    <t>列6819</t>
  </si>
  <si>
    <t>列6820</t>
  </si>
  <si>
    <t>列6821</t>
  </si>
  <si>
    <t>列6822</t>
  </si>
  <si>
    <t>列6823</t>
  </si>
  <si>
    <t>列6824</t>
  </si>
  <si>
    <t>列6825</t>
  </si>
  <si>
    <t>列6826</t>
  </si>
  <si>
    <t>列6827</t>
  </si>
  <si>
    <t>列6828</t>
  </si>
  <si>
    <t>列6829</t>
  </si>
  <si>
    <t>列6830</t>
  </si>
  <si>
    <t>列6831</t>
  </si>
  <si>
    <t>列6832</t>
  </si>
  <si>
    <t>列6833</t>
  </si>
  <si>
    <t>列6834</t>
  </si>
  <si>
    <t>列6835</t>
  </si>
  <si>
    <t>列6836</t>
  </si>
  <si>
    <t>列6837</t>
  </si>
  <si>
    <t>列6838</t>
  </si>
  <si>
    <t>列6839</t>
  </si>
  <si>
    <t>列6840</t>
  </si>
  <si>
    <t>列6841</t>
  </si>
  <si>
    <t>列6842</t>
  </si>
  <si>
    <t>列6843</t>
  </si>
  <si>
    <t>列6844</t>
  </si>
  <si>
    <t>列6845</t>
  </si>
  <si>
    <t>列6846</t>
  </si>
  <si>
    <t>列6847</t>
  </si>
  <si>
    <t>列6848</t>
  </si>
  <si>
    <t>列6849</t>
  </si>
  <si>
    <t>列6850</t>
  </si>
  <si>
    <t>列6851</t>
  </si>
  <si>
    <t>列6852</t>
  </si>
  <si>
    <t>列6853</t>
  </si>
  <si>
    <t>列6854</t>
  </si>
  <si>
    <t>列6855</t>
  </si>
  <si>
    <t>列6856</t>
  </si>
  <si>
    <t>列6857</t>
  </si>
  <si>
    <t>列6858</t>
  </si>
  <si>
    <t>列6859</t>
  </si>
  <si>
    <t>列6860</t>
  </si>
  <si>
    <t>列6861</t>
  </si>
  <si>
    <t>列6862</t>
  </si>
  <si>
    <t>列6863</t>
  </si>
  <si>
    <t>列6864</t>
  </si>
  <si>
    <t>列6865</t>
  </si>
  <si>
    <t>列6866</t>
  </si>
  <si>
    <t>列6867</t>
  </si>
  <si>
    <t>列6868</t>
  </si>
  <si>
    <t>列6869</t>
  </si>
  <si>
    <t>列6870</t>
  </si>
  <si>
    <t>列6871</t>
  </si>
  <si>
    <t>列6872</t>
  </si>
  <si>
    <t>列6873</t>
  </si>
  <si>
    <t>列6874</t>
  </si>
  <si>
    <t>列6875</t>
  </si>
  <si>
    <t>列6876</t>
  </si>
  <si>
    <t>列6877</t>
  </si>
  <si>
    <t>列6878</t>
  </si>
  <si>
    <t>列6879</t>
  </si>
  <si>
    <t>列6880</t>
  </si>
  <si>
    <t>列6881</t>
  </si>
  <si>
    <t>列6882</t>
  </si>
  <si>
    <t>列6883</t>
  </si>
  <si>
    <t>列6884</t>
  </si>
  <si>
    <t>列6885</t>
  </si>
  <si>
    <t>列6886</t>
  </si>
  <si>
    <t>列6887</t>
  </si>
  <si>
    <t>列6888</t>
  </si>
  <si>
    <t>列6889</t>
  </si>
  <si>
    <t>列6890</t>
  </si>
  <si>
    <t>列6891</t>
  </si>
  <si>
    <t>列6892</t>
  </si>
  <si>
    <t>列6893</t>
  </si>
  <si>
    <t>列6894</t>
  </si>
  <si>
    <t>列6895</t>
  </si>
  <si>
    <t>列6896</t>
  </si>
  <si>
    <t>列6897</t>
  </si>
  <si>
    <t>列6898</t>
  </si>
  <si>
    <t>列6899</t>
  </si>
  <si>
    <t>列6900</t>
  </si>
  <si>
    <t>列6901</t>
  </si>
  <si>
    <t>列6902</t>
  </si>
  <si>
    <t>列6903</t>
  </si>
  <si>
    <t>列6904</t>
  </si>
  <si>
    <t>列6905</t>
  </si>
  <si>
    <t>列6906</t>
  </si>
  <si>
    <t>列6907</t>
  </si>
  <si>
    <t>列6908</t>
  </si>
  <si>
    <t>列6909</t>
  </si>
  <si>
    <t>列6910</t>
  </si>
  <si>
    <t>列6911</t>
  </si>
  <si>
    <t>列6912</t>
  </si>
  <si>
    <t>列6913</t>
  </si>
  <si>
    <t>列6914</t>
  </si>
  <si>
    <t>列6915</t>
  </si>
  <si>
    <t>列6916</t>
  </si>
  <si>
    <t>列6917</t>
  </si>
  <si>
    <t>列6918</t>
  </si>
  <si>
    <t>列6919</t>
  </si>
  <si>
    <t>列6920</t>
  </si>
  <si>
    <t>列6921</t>
  </si>
  <si>
    <t>列6922</t>
  </si>
  <si>
    <t>列6923</t>
  </si>
  <si>
    <t>列6924</t>
  </si>
  <si>
    <t>列6925</t>
  </si>
  <si>
    <t>列6926</t>
  </si>
  <si>
    <t>列6927</t>
  </si>
  <si>
    <t>列6928</t>
  </si>
  <si>
    <t>列6929</t>
  </si>
  <si>
    <t>列6930</t>
  </si>
  <si>
    <t>列6931</t>
  </si>
  <si>
    <t>列6932</t>
  </si>
  <si>
    <t>列6933</t>
  </si>
  <si>
    <t>列6934</t>
  </si>
  <si>
    <t>列6935</t>
  </si>
  <si>
    <t>列6936</t>
  </si>
  <si>
    <t>列6937</t>
  </si>
  <si>
    <t>列6938</t>
  </si>
  <si>
    <t>列6939</t>
  </si>
  <si>
    <t>列6940</t>
  </si>
  <si>
    <t>列6941</t>
  </si>
  <si>
    <t>列6942</t>
  </si>
  <si>
    <t>列6943</t>
  </si>
  <si>
    <t>列6944</t>
  </si>
  <si>
    <t>列6945</t>
  </si>
  <si>
    <t>列6946</t>
  </si>
  <si>
    <t>列6947</t>
  </si>
  <si>
    <t>列6948</t>
  </si>
  <si>
    <t>列6949</t>
  </si>
  <si>
    <t>列6950</t>
  </si>
  <si>
    <t>列6951</t>
  </si>
  <si>
    <t>列6952</t>
  </si>
  <si>
    <t>列6953</t>
  </si>
  <si>
    <t>列6954</t>
  </si>
  <si>
    <t>列6955</t>
  </si>
  <si>
    <t>列6956</t>
  </si>
  <si>
    <t>列6957</t>
  </si>
  <si>
    <t>列6958</t>
  </si>
  <si>
    <t>列6959</t>
  </si>
  <si>
    <t>列6960</t>
  </si>
  <si>
    <t>列6961</t>
  </si>
  <si>
    <t>列6962</t>
  </si>
  <si>
    <t>列6963</t>
  </si>
  <si>
    <t>列6964</t>
  </si>
  <si>
    <t>列6965</t>
  </si>
  <si>
    <t>列6966</t>
  </si>
  <si>
    <t>列6967</t>
  </si>
  <si>
    <t>列6968</t>
  </si>
  <si>
    <t>列6969</t>
  </si>
  <si>
    <t>列6970</t>
  </si>
  <si>
    <t>列6971</t>
  </si>
  <si>
    <t>列6972</t>
  </si>
  <si>
    <t>列6973</t>
  </si>
  <si>
    <t>列6974</t>
  </si>
  <si>
    <t>列6975</t>
  </si>
  <si>
    <t>列6976</t>
  </si>
  <si>
    <t>列6977</t>
  </si>
  <si>
    <t>列6978</t>
  </si>
  <si>
    <t>列6979</t>
  </si>
  <si>
    <t>列6980</t>
  </si>
  <si>
    <t>列6981</t>
  </si>
  <si>
    <t>列6982</t>
  </si>
  <si>
    <t>列6983</t>
  </si>
  <si>
    <t>列6984</t>
  </si>
  <si>
    <t>列6985</t>
  </si>
  <si>
    <t>列6986</t>
  </si>
  <si>
    <t>列6987</t>
  </si>
  <si>
    <t>列6988</t>
  </si>
  <si>
    <t>列6989</t>
  </si>
  <si>
    <t>列6990</t>
  </si>
  <si>
    <t>列6991</t>
  </si>
  <si>
    <t>列6992</t>
  </si>
  <si>
    <t>列6993</t>
  </si>
  <si>
    <t>列6994</t>
  </si>
  <si>
    <t>列6995</t>
  </si>
  <si>
    <t>列6996</t>
  </si>
  <si>
    <t>列6997</t>
  </si>
  <si>
    <t>列6998</t>
  </si>
  <si>
    <t>列6999</t>
  </si>
  <si>
    <t>列7000</t>
  </si>
  <si>
    <t>列7001</t>
  </si>
  <si>
    <t>列7002</t>
  </si>
  <si>
    <t>列7003</t>
  </si>
  <si>
    <t>列7004</t>
  </si>
  <si>
    <t>列7005</t>
  </si>
  <si>
    <t>列7006</t>
  </si>
  <si>
    <t>列7007</t>
  </si>
  <si>
    <t>列7008</t>
  </si>
  <si>
    <t>列7009</t>
  </si>
  <si>
    <t>列7010</t>
  </si>
  <si>
    <t>列7011</t>
  </si>
  <si>
    <t>列7012</t>
  </si>
  <si>
    <t>列7013</t>
  </si>
  <si>
    <t>列7014</t>
  </si>
  <si>
    <t>列7015</t>
  </si>
  <si>
    <t>列7016</t>
  </si>
  <si>
    <t>列7017</t>
  </si>
  <si>
    <t>列7018</t>
  </si>
  <si>
    <t>列7019</t>
  </si>
  <si>
    <t>列7020</t>
  </si>
  <si>
    <t>列7021</t>
  </si>
  <si>
    <t>列7022</t>
  </si>
  <si>
    <t>列7023</t>
  </si>
  <si>
    <t>列7024</t>
  </si>
  <si>
    <t>列7025</t>
  </si>
  <si>
    <t>列7026</t>
  </si>
  <si>
    <t>列7027</t>
  </si>
  <si>
    <t>列7028</t>
  </si>
  <si>
    <t>列7029</t>
  </si>
  <si>
    <t>列7030</t>
  </si>
  <si>
    <t>列7031</t>
  </si>
  <si>
    <t>列7032</t>
  </si>
  <si>
    <t>列7033</t>
  </si>
  <si>
    <t>列7034</t>
  </si>
  <si>
    <t>列7035</t>
  </si>
  <si>
    <t>列7036</t>
  </si>
  <si>
    <t>列7037</t>
  </si>
  <si>
    <t>列7038</t>
  </si>
  <si>
    <t>列7039</t>
  </si>
  <si>
    <t>列7040</t>
  </si>
  <si>
    <t>列7041</t>
  </si>
  <si>
    <t>列7042</t>
  </si>
  <si>
    <t>列7043</t>
  </si>
  <si>
    <t>列7044</t>
  </si>
  <si>
    <t>列7045</t>
  </si>
  <si>
    <t>列7046</t>
  </si>
  <si>
    <t>列7047</t>
  </si>
  <si>
    <t>列7048</t>
  </si>
  <si>
    <t>列7049</t>
  </si>
  <si>
    <t>列7050</t>
  </si>
  <si>
    <t>列7051</t>
  </si>
  <si>
    <t>列7052</t>
  </si>
  <si>
    <t>列7053</t>
  </si>
  <si>
    <t>列7054</t>
  </si>
  <si>
    <t>列7055</t>
  </si>
  <si>
    <t>列7056</t>
  </si>
  <si>
    <t>列7057</t>
  </si>
  <si>
    <t>列7058</t>
  </si>
  <si>
    <t>列7059</t>
  </si>
  <si>
    <t>列7060</t>
  </si>
  <si>
    <t>列7061</t>
  </si>
  <si>
    <t>列7062</t>
  </si>
  <si>
    <t>列7063</t>
  </si>
  <si>
    <t>列7064</t>
  </si>
  <si>
    <t>列7065</t>
  </si>
  <si>
    <t>列7066</t>
  </si>
  <si>
    <t>列7067</t>
  </si>
  <si>
    <t>列7068</t>
  </si>
  <si>
    <t>列7069</t>
  </si>
  <si>
    <t>列7070</t>
  </si>
  <si>
    <t>列7071</t>
  </si>
  <si>
    <t>列7072</t>
  </si>
  <si>
    <t>列7073</t>
  </si>
  <si>
    <t>列7074</t>
  </si>
  <si>
    <t>列7075</t>
  </si>
  <si>
    <t>列7076</t>
  </si>
  <si>
    <t>列7077</t>
  </si>
  <si>
    <t>列7078</t>
  </si>
  <si>
    <t>列7079</t>
  </si>
  <si>
    <t>列7080</t>
  </si>
  <si>
    <t>列7081</t>
  </si>
  <si>
    <t>列7082</t>
  </si>
  <si>
    <t>列7083</t>
  </si>
  <si>
    <t>列7084</t>
  </si>
  <si>
    <t>列7085</t>
  </si>
  <si>
    <t>列7086</t>
  </si>
  <si>
    <t>列7087</t>
  </si>
  <si>
    <t>列7088</t>
  </si>
  <si>
    <t>列7089</t>
  </si>
  <si>
    <t>列7090</t>
  </si>
  <si>
    <t>列7091</t>
  </si>
  <si>
    <t>列7092</t>
  </si>
  <si>
    <t>列7093</t>
  </si>
  <si>
    <t>列7094</t>
  </si>
  <si>
    <t>列7095</t>
  </si>
  <si>
    <t>列7096</t>
  </si>
  <si>
    <t>列7097</t>
  </si>
  <si>
    <t>列7098</t>
  </si>
  <si>
    <t>列7099</t>
  </si>
  <si>
    <t>列7100</t>
  </si>
  <si>
    <t>列7101</t>
  </si>
  <si>
    <t>列7102</t>
  </si>
  <si>
    <t>列7103</t>
  </si>
  <si>
    <t>列7104</t>
  </si>
  <si>
    <t>列7105</t>
  </si>
  <si>
    <t>列7106</t>
  </si>
  <si>
    <t>列7107</t>
  </si>
  <si>
    <t>列7108</t>
  </si>
  <si>
    <t>列7109</t>
  </si>
  <si>
    <t>列7110</t>
  </si>
  <si>
    <t>列7111</t>
  </si>
  <si>
    <t>列7112</t>
  </si>
  <si>
    <t>列7113</t>
  </si>
  <si>
    <t>列7114</t>
  </si>
  <si>
    <t>列7115</t>
  </si>
  <si>
    <t>列7116</t>
  </si>
  <si>
    <t>列7117</t>
  </si>
  <si>
    <t>列7118</t>
  </si>
  <si>
    <t>列7119</t>
  </si>
  <si>
    <t>列7120</t>
  </si>
  <si>
    <t>列7121</t>
  </si>
  <si>
    <t>列7122</t>
  </si>
  <si>
    <t>列7123</t>
  </si>
  <si>
    <t>列7124</t>
  </si>
  <si>
    <t>列7125</t>
  </si>
  <si>
    <t>列7126</t>
  </si>
  <si>
    <t>列7127</t>
  </si>
  <si>
    <t>列7128</t>
  </si>
  <si>
    <t>列7129</t>
  </si>
  <si>
    <t>列7130</t>
  </si>
  <si>
    <t>列7131</t>
  </si>
  <si>
    <t>列7132</t>
  </si>
  <si>
    <t>列7133</t>
  </si>
  <si>
    <t>列7134</t>
  </si>
  <si>
    <t>列7135</t>
  </si>
  <si>
    <t>列7136</t>
  </si>
  <si>
    <t>列7137</t>
  </si>
  <si>
    <t>列7138</t>
  </si>
  <si>
    <t>列7139</t>
  </si>
  <si>
    <t>列7140</t>
  </si>
  <si>
    <t>列7141</t>
  </si>
  <si>
    <t>列7142</t>
  </si>
  <si>
    <t>列7143</t>
  </si>
  <si>
    <t>列7144</t>
  </si>
  <si>
    <t>列7145</t>
  </si>
  <si>
    <t>列7146</t>
  </si>
  <si>
    <t>列7147</t>
  </si>
  <si>
    <t>列7148</t>
  </si>
  <si>
    <t>列7149</t>
  </si>
  <si>
    <t>列7150</t>
  </si>
  <si>
    <t>列7151</t>
  </si>
  <si>
    <t>列7152</t>
  </si>
  <si>
    <t>列7153</t>
  </si>
  <si>
    <t>列7154</t>
  </si>
  <si>
    <t>列7155</t>
  </si>
  <si>
    <t>列7156</t>
  </si>
  <si>
    <t>列7157</t>
  </si>
  <si>
    <t>列7158</t>
  </si>
  <si>
    <t>列7159</t>
  </si>
  <si>
    <t>列7160</t>
  </si>
  <si>
    <t>列7161</t>
  </si>
  <si>
    <t>列7162</t>
  </si>
  <si>
    <t>列7163</t>
  </si>
  <si>
    <t>列7164</t>
  </si>
  <si>
    <t>列7165</t>
  </si>
  <si>
    <t>列7166</t>
  </si>
  <si>
    <t>列7167</t>
  </si>
  <si>
    <t>列7168</t>
  </si>
  <si>
    <t>列7169</t>
  </si>
  <si>
    <t>列7170</t>
  </si>
  <si>
    <t>列7171</t>
  </si>
  <si>
    <t>列7172</t>
  </si>
  <si>
    <t>列7173</t>
  </si>
  <si>
    <t>列7174</t>
  </si>
  <si>
    <t>列7175</t>
  </si>
  <si>
    <t>列7176</t>
  </si>
  <si>
    <t>列7177</t>
  </si>
  <si>
    <t>列7178</t>
  </si>
  <si>
    <t>列7179</t>
  </si>
  <si>
    <t>列7180</t>
  </si>
  <si>
    <t>列7181</t>
  </si>
  <si>
    <t>列7182</t>
  </si>
  <si>
    <t>列7183</t>
  </si>
  <si>
    <t>列7184</t>
  </si>
  <si>
    <t>列7185</t>
  </si>
  <si>
    <t>列7186</t>
  </si>
  <si>
    <t>列7187</t>
  </si>
  <si>
    <t>列7188</t>
  </si>
  <si>
    <t>列7189</t>
  </si>
  <si>
    <t>列7190</t>
  </si>
  <si>
    <t>列7191</t>
  </si>
  <si>
    <t>列7192</t>
  </si>
  <si>
    <t>列7193</t>
  </si>
  <si>
    <t>列7194</t>
  </si>
  <si>
    <t>列7195</t>
  </si>
  <si>
    <t>列7196</t>
  </si>
  <si>
    <t>列7197</t>
  </si>
  <si>
    <t>列7198</t>
  </si>
  <si>
    <t>列7199</t>
  </si>
  <si>
    <t>列7200</t>
  </si>
  <si>
    <t>列7201</t>
  </si>
  <si>
    <t>列7202</t>
  </si>
  <si>
    <t>列7203</t>
  </si>
  <si>
    <t>列7204</t>
  </si>
  <si>
    <t>列7205</t>
  </si>
  <si>
    <t>列7206</t>
  </si>
  <si>
    <t>列7207</t>
  </si>
  <si>
    <t>列7208</t>
  </si>
  <si>
    <t>列7209</t>
  </si>
  <si>
    <t>列7210</t>
  </si>
  <si>
    <t>列7211</t>
  </si>
  <si>
    <t>列7212</t>
  </si>
  <si>
    <t>列7213</t>
  </si>
  <si>
    <t>列7214</t>
  </si>
  <si>
    <t>列7215</t>
  </si>
  <si>
    <t>列7216</t>
  </si>
  <si>
    <t>列7217</t>
  </si>
  <si>
    <t>列7218</t>
  </si>
  <si>
    <t>列7219</t>
  </si>
  <si>
    <t>列7220</t>
  </si>
  <si>
    <t>列7221</t>
  </si>
  <si>
    <t>列7222</t>
  </si>
  <si>
    <t>列7223</t>
  </si>
  <si>
    <t>列7224</t>
  </si>
  <si>
    <t>列7225</t>
  </si>
  <si>
    <t>列7226</t>
  </si>
  <si>
    <t>列7227</t>
  </si>
  <si>
    <t>列7228</t>
  </si>
  <si>
    <t>列7229</t>
  </si>
  <si>
    <t>列7230</t>
  </si>
  <si>
    <t>列7231</t>
  </si>
  <si>
    <t>列7232</t>
  </si>
  <si>
    <t>列7233</t>
  </si>
  <si>
    <t>列7234</t>
  </si>
  <si>
    <t>列7235</t>
  </si>
  <si>
    <t>列7236</t>
  </si>
  <si>
    <t>列7237</t>
  </si>
  <si>
    <t>列7238</t>
  </si>
  <si>
    <t>列7239</t>
  </si>
  <si>
    <t>列7240</t>
  </si>
  <si>
    <t>列7241</t>
  </si>
  <si>
    <t>列7242</t>
  </si>
  <si>
    <t>列7243</t>
  </si>
  <si>
    <t>列7244</t>
  </si>
  <si>
    <t>列7245</t>
  </si>
  <si>
    <t>列7246</t>
  </si>
  <si>
    <t>列7247</t>
  </si>
  <si>
    <t>列7248</t>
  </si>
  <si>
    <t>列7249</t>
  </si>
  <si>
    <t>列7250</t>
  </si>
  <si>
    <t>列7251</t>
  </si>
  <si>
    <t>列7252</t>
  </si>
  <si>
    <t>列7253</t>
  </si>
  <si>
    <t>列7254</t>
  </si>
  <si>
    <t>列7255</t>
  </si>
  <si>
    <t>列7256</t>
  </si>
  <si>
    <t>列7257</t>
  </si>
  <si>
    <t>列7258</t>
  </si>
  <si>
    <t>列7259</t>
  </si>
  <si>
    <t>列7260</t>
  </si>
  <si>
    <t>列7261</t>
  </si>
  <si>
    <t>列7262</t>
  </si>
  <si>
    <t>列7263</t>
  </si>
  <si>
    <t>列7264</t>
  </si>
  <si>
    <t>列7265</t>
  </si>
  <si>
    <t>列7266</t>
  </si>
  <si>
    <t>列7267</t>
  </si>
  <si>
    <t>列7268</t>
  </si>
  <si>
    <t>列7269</t>
  </si>
  <si>
    <t>列7270</t>
  </si>
  <si>
    <t>列7271</t>
  </si>
  <si>
    <t>列7272</t>
  </si>
  <si>
    <t>列7273</t>
  </si>
  <si>
    <t>列7274</t>
  </si>
  <si>
    <t>列7275</t>
  </si>
  <si>
    <t>列7276</t>
  </si>
  <si>
    <t>列7277</t>
  </si>
  <si>
    <t>列7278</t>
  </si>
  <si>
    <t>列7279</t>
  </si>
  <si>
    <t>列7280</t>
  </si>
  <si>
    <t>列7281</t>
  </si>
  <si>
    <t>列7282</t>
  </si>
  <si>
    <t>列7283</t>
  </si>
  <si>
    <t>列7284</t>
  </si>
  <si>
    <t>列7285</t>
  </si>
  <si>
    <t>列7286</t>
  </si>
  <si>
    <t>列7287</t>
  </si>
  <si>
    <t>列7288</t>
  </si>
  <si>
    <t>列7289</t>
  </si>
  <si>
    <t>列7290</t>
  </si>
  <si>
    <t>列7291</t>
  </si>
  <si>
    <t>列7292</t>
  </si>
  <si>
    <t>列7293</t>
  </si>
  <si>
    <t>列7294</t>
  </si>
  <si>
    <t>列7295</t>
  </si>
  <si>
    <t>列7296</t>
  </si>
  <si>
    <t>列7297</t>
  </si>
  <si>
    <t>列7298</t>
  </si>
  <si>
    <t>列7299</t>
  </si>
  <si>
    <t>列7300</t>
  </si>
  <si>
    <t>列7301</t>
  </si>
  <si>
    <t>列7302</t>
  </si>
  <si>
    <t>列7303</t>
  </si>
  <si>
    <t>列7304</t>
  </si>
  <si>
    <t>列7305</t>
  </si>
  <si>
    <t>列7306</t>
  </si>
  <si>
    <t>列7307</t>
  </si>
  <si>
    <t>列7308</t>
  </si>
  <si>
    <t>列7309</t>
  </si>
  <si>
    <t>列7310</t>
  </si>
  <si>
    <t>列7311</t>
  </si>
  <si>
    <t>列7312</t>
  </si>
  <si>
    <t>列7313</t>
  </si>
  <si>
    <t>列7314</t>
  </si>
  <si>
    <t>列7315</t>
  </si>
  <si>
    <t>列7316</t>
  </si>
  <si>
    <t>列7317</t>
  </si>
  <si>
    <t>列7318</t>
  </si>
  <si>
    <t>列7319</t>
  </si>
  <si>
    <t>列7320</t>
  </si>
  <si>
    <t>列7321</t>
  </si>
  <si>
    <t>列7322</t>
  </si>
  <si>
    <t>列7323</t>
  </si>
  <si>
    <t>列7324</t>
  </si>
  <si>
    <t>列7325</t>
  </si>
  <si>
    <t>列7326</t>
  </si>
  <si>
    <t>列7327</t>
  </si>
  <si>
    <t>列7328</t>
  </si>
  <si>
    <t>列7329</t>
  </si>
  <si>
    <t>列7330</t>
  </si>
  <si>
    <t>列7331</t>
  </si>
  <si>
    <t>列7332</t>
  </si>
  <si>
    <t>列7333</t>
  </si>
  <si>
    <t>列7334</t>
  </si>
  <si>
    <t>列7335</t>
  </si>
  <si>
    <t>列7336</t>
  </si>
  <si>
    <t>列7337</t>
  </si>
  <si>
    <t>列7338</t>
  </si>
  <si>
    <t>列7339</t>
  </si>
  <si>
    <t>列7340</t>
  </si>
  <si>
    <t>列7341</t>
  </si>
  <si>
    <t>列7342</t>
  </si>
  <si>
    <t>列7343</t>
  </si>
  <si>
    <t>列7344</t>
  </si>
  <si>
    <t>列7345</t>
  </si>
  <si>
    <t>列7346</t>
  </si>
  <si>
    <t>列7347</t>
  </si>
  <si>
    <t>列7348</t>
  </si>
  <si>
    <t>列7349</t>
  </si>
  <si>
    <t>列7350</t>
  </si>
  <si>
    <t>列7351</t>
  </si>
  <si>
    <t>列7352</t>
  </si>
  <si>
    <t>列7353</t>
  </si>
  <si>
    <t>列7354</t>
  </si>
  <si>
    <t>列7355</t>
  </si>
  <si>
    <t>列7356</t>
  </si>
  <si>
    <t>列7357</t>
  </si>
  <si>
    <t>列7358</t>
  </si>
  <si>
    <t>列7359</t>
  </si>
  <si>
    <t>列7360</t>
  </si>
  <si>
    <t>列7361</t>
  </si>
  <si>
    <t>列7362</t>
  </si>
  <si>
    <t>列7363</t>
  </si>
  <si>
    <t>列7364</t>
  </si>
  <si>
    <t>列7365</t>
  </si>
  <si>
    <t>列7366</t>
  </si>
  <si>
    <t>列7367</t>
  </si>
  <si>
    <t>列7368</t>
  </si>
  <si>
    <t>列7369</t>
  </si>
  <si>
    <t>列7370</t>
  </si>
  <si>
    <t>列7371</t>
  </si>
  <si>
    <t>列7372</t>
  </si>
  <si>
    <t>列7373</t>
  </si>
  <si>
    <t>列7374</t>
  </si>
  <si>
    <t>列7375</t>
  </si>
  <si>
    <t>列7376</t>
  </si>
  <si>
    <t>列7377</t>
  </si>
  <si>
    <t>列7378</t>
  </si>
  <si>
    <t>列7379</t>
  </si>
  <si>
    <t>列7380</t>
  </si>
  <si>
    <t>列7381</t>
  </si>
  <si>
    <t>列7382</t>
  </si>
  <si>
    <t>列7383</t>
  </si>
  <si>
    <t>列7384</t>
  </si>
  <si>
    <t>列7385</t>
  </si>
  <si>
    <t>列7386</t>
  </si>
  <si>
    <t>列7387</t>
  </si>
  <si>
    <t>列7388</t>
  </si>
  <si>
    <t>列7389</t>
  </si>
  <si>
    <t>列7390</t>
  </si>
  <si>
    <t>列7391</t>
  </si>
  <si>
    <t>列7392</t>
  </si>
  <si>
    <t>列7393</t>
  </si>
  <si>
    <t>列7394</t>
  </si>
  <si>
    <t>列7395</t>
  </si>
  <si>
    <t>列7396</t>
  </si>
  <si>
    <t>列7397</t>
  </si>
  <si>
    <t>列7398</t>
  </si>
  <si>
    <t>列7399</t>
  </si>
  <si>
    <t>列7400</t>
  </si>
  <si>
    <t>列7401</t>
  </si>
  <si>
    <t>列7402</t>
  </si>
  <si>
    <t>列7403</t>
  </si>
  <si>
    <t>列7404</t>
  </si>
  <si>
    <t>列7405</t>
  </si>
  <si>
    <t>列7406</t>
  </si>
  <si>
    <t>列7407</t>
  </si>
  <si>
    <t>列7408</t>
  </si>
  <si>
    <t>列7409</t>
  </si>
  <si>
    <t>列7410</t>
  </si>
  <si>
    <t>列7411</t>
  </si>
  <si>
    <t>列7412</t>
  </si>
  <si>
    <t>列7413</t>
  </si>
  <si>
    <t>列7414</t>
  </si>
  <si>
    <t>列7415</t>
  </si>
  <si>
    <t>列7416</t>
  </si>
  <si>
    <t>列7417</t>
  </si>
  <si>
    <t>列7418</t>
  </si>
  <si>
    <t>列7419</t>
  </si>
  <si>
    <t>列7420</t>
  </si>
  <si>
    <t>列7421</t>
  </si>
  <si>
    <t>列7422</t>
  </si>
  <si>
    <t>列7423</t>
  </si>
  <si>
    <t>列7424</t>
  </si>
  <si>
    <t>列7425</t>
  </si>
  <si>
    <t>列7426</t>
  </si>
  <si>
    <t>列7427</t>
  </si>
  <si>
    <t>列7428</t>
  </si>
  <si>
    <t>列7429</t>
  </si>
  <si>
    <t>列7430</t>
  </si>
  <si>
    <t>列7431</t>
  </si>
  <si>
    <t>列7432</t>
  </si>
  <si>
    <t>列7433</t>
  </si>
  <si>
    <t>列7434</t>
  </si>
  <si>
    <t>列7435</t>
  </si>
  <si>
    <t>列7436</t>
  </si>
  <si>
    <t>列7437</t>
  </si>
  <si>
    <t>列7438</t>
  </si>
  <si>
    <t>列7439</t>
  </si>
  <si>
    <t>列7440</t>
  </si>
  <si>
    <t>列7441</t>
  </si>
  <si>
    <t>列7442</t>
  </si>
  <si>
    <t>列7443</t>
  </si>
  <si>
    <t>列7444</t>
  </si>
  <si>
    <t>列7445</t>
  </si>
  <si>
    <t>列7446</t>
  </si>
  <si>
    <t>列7447</t>
  </si>
  <si>
    <t>列7448</t>
  </si>
  <si>
    <t>列7449</t>
  </si>
  <si>
    <t>列7450</t>
  </si>
  <si>
    <t>列7451</t>
  </si>
  <si>
    <t>列7452</t>
  </si>
  <si>
    <t>列7453</t>
  </si>
  <si>
    <t>列7454</t>
  </si>
  <si>
    <t>列7455</t>
  </si>
  <si>
    <t>列7456</t>
  </si>
  <si>
    <t>列7457</t>
  </si>
  <si>
    <t>列7458</t>
  </si>
  <si>
    <t>列7459</t>
  </si>
  <si>
    <t>列7460</t>
  </si>
  <si>
    <t>列7461</t>
  </si>
  <si>
    <t>列7462</t>
  </si>
  <si>
    <t>列7463</t>
  </si>
  <si>
    <t>列7464</t>
  </si>
  <si>
    <t>列7465</t>
  </si>
  <si>
    <t>列7466</t>
  </si>
  <si>
    <t>列7467</t>
  </si>
  <si>
    <t>列7468</t>
  </si>
  <si>
    <t>列7469</t>
  </si>
  <si>
    <t>列7470</t>
  </si>
  <si>
    <t>列7471</t>
  </si>
  <si>
    <t>列7472</t>
  </si>
  <si>
    <t>列7473</t>
  </si>
  <si>
    <t>列7474</t>
  </si>
  <si>
    <t>列7475</t>
  </si>
  <si>
    <t>列7476</t>
  </si>
  <si>
    <t>列7477</t>
  </si>
  <si>
    <t>列7478</t>
  </si>
  <si>
    <t>列7479</t>
  </si>
  <si>
    <t>列7480</t>
  </si>
  <si>
    <t>列7481</t>
  </si>
  <si>
    <t>列7482</t>
  </si>
  <si>
    <t>列7483</t>
  </si>
  <si>
    <t>列7484</t>
  </si>
  <si>
    <t>列7485</t>
  </si>
  <si>
    <t>列7486</t>
  </si>
  <si>
    <t>列7487</t>
  </si>
  <si>
    <t>列7488</t>
  </si>
  <si>
    <t>列7489</t>
  </si>
  <si>
    <t>列7490</t>
  </si>
  <si>
    <t>列7491</t>
  </si>
  <si>
    <t>列7492</t>
  </si>
  <si>
    <t>列7493</t>
  </si>
  <si>
    <t>列7494</t>
  </si>
  <si>
    <t>列7495</t>
  </si>
  <si>
    <t>列7496</t>
  </si>
  <si>
    <t>列7497</t>
  </si>
  <si>
    <t>列7498</t>
  </si>
  <si>
    <t>列7499</t>
  </si>
  <si>
    <t>列7500</t>
  </si>
  <si>
    <t>列7501</t>
  </si>
  <si>
    <t>列7502</t>
  </si>
  <si>
    <t>列7503</t>
  </si>
  <si>
    <t>列7504</t>
  </si>
  <si>
    <t>列7505</t>
  </si>
  <si>
    <t>列7506</t>
  </si>
  <si>
    <t>列7507</t>
  </si>
  <si>
    <t>列7508</t>
  </si>
  <si>
    <t>列7509</t>
  </si>
  <si>
    <t>列7510</t>
  </si>
  <si>
    <t>列7511</t>
  </si>
  <si>
    <t>列7512</t>
  </si>
  <si>
    <t>列7513</t>
  </si>
  <si>
    <t>列7514</t>
  </si>
  <si>
    <t>列7515</t>
  </si>
  <si>
    <t>列7516</t>
  </si>
  <si>
    <t>列7517</t>
  </si>
  <si>
    <t>列7518</t>
  </si>
  <si>
    <t>列7519</t>
  </si>
  <si>
    <t>列7520</t>
  </si>
  <si>
    <t>列7521</t>
  </si>
  <si>
    <t>列7522</t>
  </si>
  <si>
    <t>列7523</t>
  </si>
  <si>
    <t>列7524</t>
  </si>
  <si>
    <t>列7525</t>
  </si>
  <si>
    <t>列7526</t>
  </si>
  <si>
    <t>列7527</t>
  </si>
  <si>
    <t>列7528</t>
  </si>
  <si>
    <t>列7529</t>
  </si>
  <si>
    <t>列7530</t>
  </si>
  <si>
    <t>列7531</t>
  </si>
  <si>
    <t>列7532</t>
  </si>
  <si>
    <t>列7533</t>
  </si>
  <si>
    <t>列7534</t>
  </si>
  <si>
    <t>列7535</t>
  </si>
  <si>
    <t>列7536</t>
  </si>
  <si>
    <t>列7537</t>
  </si>
  <si>
    <t>列7538</t>
  </si>
  <si>
    <t>列7539</t>
  </si>
  <si>
    <t>列7540</t>
  </si>
  <si>
    <t>列7541</t>
  </si>
  <si>
    <t>列7542</t>
  </si>
  <si>
    <t>列7543</t>
  </si>
  <si>
    <t>列7544</t>
  </si>
  <si>
    <t>列7545</t>
  </si>
  <si>
    <t>列7546</t>
  </si>
  <si>
    <t>列7547</t>
  </si>
  <si>
    <t>列7548</t>
  </si>
  <si>
    <t>列7549</t>
  </si>
  <si>
    <t>列7550</t>
  </si>
  <si>
    <t>列7551</t>
  </si>
  <si>
    <t>列7552</t>
  </si>
  <si>
    <t>列7553</t>
  </si>
  <si>
    <t>列7554</t>
  </si>
  <si>
    <t>列7555</t>
  </si>
  <si>
    <t>列7556</t>
  </si>
  <si>
    <t>列7557</t>
  </si>
  <si>
    <t>列7558</t>
  </si>
  <si>
    <t>列7559</t>
  </si>
  <si>
    <t>列7560</t>
  </si>
  <si>
    <t>列7561</t>
  </si>
  <si>
    <t>列7562</t>
  </si>
  <si>
    <t>列7563</t>
  </si>
  <si>
    <t>列7564</t>
  </si>
  <si>
    <t>列7565</t>
  </si>
  <si>
    <t>列7566</t>
  </si>
  <si>
    <t>列7567</t>
  </si>
  <si>
    <t>列7568</t>
  </si>
  <si>
    <t>列7569</t>
  </si>
  <si>
    <t>列7570</t>
  </si>
  <si>
    <t>列7571</t>
  </si>
  <si>
    <t>列7572</t>
  </si>
  <si>
    <t>列7573</t>
  </si>
  <si>
    <t>列7574</t>
  </si>
  <si>
    <t>列7575</t>
  </si>
  <si>
    <t>列7576</t>
  </si>
  <si>
    <t>列7577</t>
  </si>
  <si>
    <t>列7578</t>
  </si>
  <si>
    <t>列7579</t>
  </si>
  <si>
    <t>列7580</t>
  </si>
  <si>
    <t>列7581</t>
  </si>
  <si>
    <t>列7582</t>
  </si>
  <si>
    <t>列7583</t>
  </si>
  <si>
    <t>列7584</t>
  </si>
  <si>
    <t>列7585</t>
  </si>
  <si>
    <t>列7586</t>
  </si>
  <si>
    <t>列7587</t>
  </si>
  <si>
    <t>列7588</t>
  </si>
  <si>
    <t>列7589</t>
  </si>
  <si>
    <t>列7590</t>
  </si>
  <si>
    <t>列7591</t>
  </si>
  <si>
    <t>列7592</t>
  </si>
  <si>
    <t>列7593</t>
  </si>
  <si>
    <t>列7594</t>
  </si>
  <si>
    <t>列7595</t>
  </si>
  <si>
    <t>列7596</t>
  </si>
  <si>
    <t>列7597</t>
  </si>
  <si>
    <t>列7598</t>
  </si>
  <si>
    <t>列7599</t>
  </si>
  <si>
    <t>列7600</t>
  </si>
  <si>
    <t>列7601</t>
  </si>
  <si>
    <t>列7602</t>
  </si>
  <si>
    <t>列7603</t>
  </si>
  <si>
    <t>列7604</t>
  </si>
  <si>
    <t>列7605</t>
  </si>
  <si>
    <t>列7606</t>
  </si>
  <si>
    <t>列7607</t>
  </si>
  <si>
    <t>列7608</t>
  </si>
  <si>
    <t>列7609</t>
  </si>
  <si>
    <t>列7610</t>
  </si>
  <si>
    <t>列7611</t>
  </si>
  <si>
    <t>列7612</t>
  </si>
  <si>
    <t>列7613</t>
  </si>
  <si>
    <t>列7614</t>
  </si>
  <si>
    <t>列7615</t>
  </si>
  <si>
    <t>列7616</t>
  </si>
  <si>
    <t>列7617</t>
  </si>
  <si>
    <t>列7618</t>
  </si>
  <si>
    <t>列7619</t>
  </si>
  <si>
    <t>列7620</t>
  </si>
  <si>
    <t>列7621</t>
  </si>
  <si>
    <t>列7622</t>
  </si>
  <si>
    <t>列7623</t>
  </si>
  <si>
    <t>列7624</t>
  </si>
  <si>
    <t>列7625</t>
  </si>
  <si>
    <t>列7626</t>
  </si>
  <si>
    <t>列7627</t>
  </si>
  <si>
    <t>列7628</t>
  </si>
  <si>
    <t>列7629</t>
  </si>
  <si>
    <t>列7630</t>
  </si>
  <si>
    <t>列7631</t>
  </si>
  <si>
    <t>列7632</t>
  </si>
  <si>
    <t>列7633</t>
  </si>
  <si>
    <t>列7634</t>
  </si>
  <si>
    <t>列7635</t>
  </si>
  <si>
    <t>列7636</t>
  </si>
  <si>
    <t>列7637</t>
  </si>
  <si>
    <t>列7638</t>
  </si>
  <si>
    <t>列7639</t>
  </si>
  <si>
    <t>列7640</t>
  </si>
  <si>
    <t>列7641</t>
  </si>
  <si>
    <t>列7642</t>
  </si>
  <si>
    <t>列7643</t>
  </si>
  <si>
    <t>列7644</t>
  </si>
  <si>
    <t>列7645</t>
  </si>
  <si>
    <t>列7646</t>
  </si>
  <si>
    <t>列7647</t>
  </si>
  <si>
    <t>列7648</t>
  </si>
  <si>
    <t>列7649</t>
  </si>
  <si>
    <t>列7650</t>
  </si>
  <si>
    <t>列7651</t>
  </si>
  <si>
    <t>列7652</t>
  </si>
  <si>
    <t>列7653</t>
  </si>
  <si>
    <t>列7654</t>
  </si>
  <si>
    <t>列7655</t>
  </si>
  <si>
    <t>列7656</t>
  </si>
  <si>
    <t>列7657</t>
  </si>
  <si>
    <t>列7658</t>
  </si>
  <si>
    <t>列7659</t>
  </si>
  <si>
    <t>列7660</t>
  </si>
  <si>
    <t>列7661</t>
  </si>
  <si>
    <t>列7662</t>
  </si>
  <si>
    <t>列7663</t>
  </si>
  <si>
    <t>列7664</t>
  </si>
  <si>
    <t>列7665</t>
  </si>
  <si>
    <t>列7666</t>
  </si>
  <si>
    <t>列7667</t>
  </si>
  <si>
    <t>列7668</t>
  </si>
  <si>
    <t>列7669</t>
  </si>
  <si>
    <t>列7670</t>
  </si>
  <si>
    <t>列7671</t>
  </si>
  <si>
    <t>列7672</t>
  </si>
  <si>
    <t>列7673</t>
  </si>
  <si>
    <t>列7674</t>
  </si>
  <si>
    <t>列7675</t>
  </si>
  <si>
    <t>列7676</t>
  </si>
  <si>
    <t>列7677</t>
  </si>
  <si>
    <t>列7678</t>
  </si>
  <si>
    <t>列7679</t>
  </si>
  <si>
    <t>列7680</t>
  </si>
  <si>
    <t>列7681</t>
  </si>
  <si>
    <t>列7682</t>
  </si>
  <si>
    <t>列7683</t>
  </si>
  <si>
    <t>列7684</t>
  </si>
  <si>
    <t>列7685</t>
  </si>
  <si>
    <t>列7686</t>
  </si>
  <si>
    <t>列7687</t>
  </si>
  <si>
    <t>列7688</t>
  </si>
  <si>
    <t>列7689</t>
  </si>
  <si>
    <t>列7690</t>
  </si>
  <si>
    <t>列7691</t>
  </si>
  <si>
    <t>列7692</t>
  </si>
  <si>
    <t>列7693</t>
  </si>
  <si>
    <t>列7694</t>
  </si>
  <si>
    <t>列7695</t>
  </si>
  <si>
    <t>列7696</t>
  </si>
  <si>
    <t>列7697</t>
  </si>
  <si>
    <t>列7698</t>
  </si>
  <si>
    <t>列7699</t>
  </si>
  <si>
    <t>列7700</t>
  </si>
  <si>
    <t>列7701</t>
  </si>
  <si>
    <t>列7702</t>
  </si>
  <si>
    <t>列7703</t>
  </si>
  <si>
    <t>列7704</t>
  </si>
  <si>
    <t>列7705</t>
  </si>
  <si>
    <t>列7706</t>
  </si>
  <si>
    <t>列7707</t>
  </si>
  <si>
    <t>列7708</t>
  </si>
  <si>
    <t>列7709</t>
  </si>
  <si>
    <t>列7710</t>
  </si>
  <si>
    <t>列7711</t>
  </si>
  <si>
    <t>列7712</t>
  </si>
  <si>
    <t>列7713</t>
  </si>
  <si>
    <t>列7714</t>
  </si>
  <si>
    <t>列7715</t>
  </si>
  <si>
    <t>列7716</t>
  </si>
  <si>
    <t>列7717</t>
  </si>
  <si>
    <t>列7718</t>
  </si>
  <si>
    <t>列7719</t>
  </si>
  <si>
    <t>列7720</t>
  </si>
  <si>
    <t>列7721</t>
  </si>
  <si>
    <t>列7722</t>
  </si>
  <si>
    <t>列7723</t>
  </si>
  <si>
    <t>列7724</t>
  </si>
  <si>
    <t>列7725</t>
  </si>
  <si>
    <t>列7726</t>
  </si>
  <si>
    <t>列7727</t>
  </si>
  <si>
    <t>列7728</t>
  </si>
  <si>
    <t>列7729</t>
  </si>
  <si>
    <t>列7730</t>
  </si>
  <si>
    <t>列7731</t>
  </si>
  <si>
    <t>列7732</t>
  </si>
  <si>
    <t>列7733</t>
  </si>
  <si>
    <t>列7734</t>
  </si>
  <si>
    <t>列7735</t>
  </si>
  <si>
    <t>列7736</t>
  </si>
  <si>
    <t>列7737</t>
  </si>
  <si>
    <t>列7738</t>
  </si>
  <si>
    <t>列7739</t>
  </si>
  <si>
    <t>列7740</t>
  </si>
  <si>
    <t>列7741</t>
  </si>
  <si>
    <t>列7742</t>
  </si>
  <si>
    <t>列7743</t>
  </si>
  <si>
    <t>列7744</t>
  </si>
  <si>
    <t>列7745</t>
  </si>
  <si>
    <t>列7746</t>
  </si>
  <si>
    <t>列7747</t>
  </si>
  <si>
    <t>列7748</t>
  </si>
  <si>
    <t>列7749</t>
  </si>
  <si>
    <t>列7750</t>
  </si>
  <si>
    <t>列7751</t>
  </si>
  <si>
    <t>列7752</t>
  </si>
  <si>
    <t>列7753</t>
  </si>
  <si>
    <t>列7754</t>
  </si>
  <si>
    <t>列7755</t>
  </si>
  <si>
    <t>列7756</t>
  </si>
  <si>
    <t>列7757</t>
  </si>
  <si>
    <t>列7758</t>
  </si>
  <si>
    <t>列7759</t>
  </si>
  <si>
    <t>列7760</t>
  </si>
  <si>
    <t>列7761</t>
  </si>
  <si>
    <t>列7762</t>
  </si>
  <si>
    <t>列7763</t>
  </si>
  <si>
    <t>列7764</t>
  </si>
  <si>
    <t>列7765</t>
  </si>
  <si>
    <t>列7766</t>
  </si>
  <si>
    <t>列7767</t>
  </si>
  <si>
    <t>列7768</t>
  </si>
  <si>
    <t>列7769</t>
  </si>
  <si>
    <t>列7770</t>
  </si>
  <si>
    <t>列7771</t>
  </si>
  <si>
    <t>列7772</t>
  </si>
  <si>
    <t>列7773</t>
  </si>
  <si>
    <t>列7774</t>
  </si>
  <si>
    <t>列7775</t>
  </si>
  <si>
    <t>列7776</t>
  </si>
  <si>
    <t>列7777</t>
  </si>
  <si>
    <t>列7778</t>
  </si>
  <si>
    <t>列7779</t>
  </si>
  <si>
    <t>列7780</t>
  </si>
  <si>
    <t>列7781</t>
  </si>
  <si>
    <t>列7782</t>
  </si>
  <si>
    <t>列7783</t>
  </si>
  <si>
    <t>列7784</t>
  </si>
  <si>
    <t>列7785</t>
  </si>
  <si>
    <t>列7786</t>
  </si>
  <si>
    <t>列7787</t>
  </si>
  <si>
    <t>列7788</t>
  </si>
  <si>
    <t>列7789</t>
  </si>
  <si>
    <t>列7790</t>
  </si>
  <si>
    <t>列7791</t>
  </si>
  <si>
    <t>列7792</t>
  </si>
  <si>
    <t>列7793</t>
  </si>
  <si>
    <t>列7794</t>
  </si>
  <si>
    <t>列7795</t>
  </si>
  <si>
    <t>列7796</t>
  </si>
  <si>
    <t>列7797</t>
  </si>
  <si>
    <t>列7798</t>
  </si>
  <si>
    <t>列7799</t>
  </si>
  <si>
    <t>列7800</t>
  </si>
  <si>
    <t>列7801</t>
  </si>
  <si>
    <t>列7802</t>
  </si>
  <si>
    <t>列7803</t>
  </si>
  <si>
    <t>列7804</t>
  </si>
  <si>
    <t>列7805</t>
  </si>
  <si>
    <t>列7806</t>
  </si>
  <si>
    <t>列7807</t>
  </si>
  <si>
    <t>列7808</t>
  </si>
  <si>
    <t>列7809</t>
  </si>
  <si>
    <t>列7810</t>
  </si>
  <si>
    <t>列7811</t>
  </si>
  <si>
    <t>列7812</t>
  </si>
  <si>
    <t>列7813</t>
  </si>
  <si>
    <t>列7814</t>
  </si>
  <si>
    <t>列7815</t>
  </si>
  <si>
    <t>列7816</t>
  </si>
  <si>
    <t>列7817</t>
  </si>
  <si>
    <t>列7818</t>
  </si>
  <si>
    <t>列7819</t>
  </si>
  <si>
    <t>列7820</t>
  </si>
  <si>
    <t>列7821</t>
  </si>
  <si>
    <t>列7822</t>
  </si>
  <si>
    <t>列7823</t>
  </si>
  <si>
    <t>列7824</t>
  </si>
  <si>
    <t>列7825</t>
  </si>
  <si>
    <t>列7826</t>
  </si>
  <si>
    <t>列7827</t>
  </si>
  <si>
    <t>列7828</t>
  </si>
  <si>
    <t>列7829</t>
  </si>
  <si>
    <t>列7830</t>
  </si>
  <si>
    <t>列7831</t>
  </si>
  <si>
    <t>列7832</t>
  </si>
  <si>
    <t>列7833</t>
  </si>
  <si>
    <t>列7834</t>
  </si>
  <si>
    <t>列7835</t>
  </si>
  <si>
    <t>列7836</t>
  </si>
  <si>
    <t>列7837</t>
  </si>
  <si>
    <t>列7838</t>
  </si>
  <si>
    <t>列7839</t>
  </si>
  <si>
    <t>列7840</t>
  </si>
  <si>
    <t>列7841</t>
  </si>
  <si>
    <t>列7842</t>
  </si>
  <si>
    <t>列7843</t>
  </si>
  <si>
    <t>列7844</t>
  </si>
  <si>
    <t>列7845</t>
  </si>
  <si>
    <t>列7846</t>
  </si>
  <si>
    <t>列7847</t>
  </si>
  <si>
    <t>列7848</t>
  </si>
  <si>
    <t>列7849</t>
  </si>
  <si>
    <t>列7850</t>
  </si>
  <si>
    <t>列7851</t>
  </si>
  <si>
    <t>列7852</t>
  </si>
  <si>
    <t>列7853</t>
  </si>
  <si>
    <t>列7854</t>
  </si>
  <si>
    <t>列7855</t>
  </si>
  <si>
    <t>列7856</t>
  </si>
  <si>
    <t>列7857</t>
  </si>
  <si>
    <t>列7858</t>
  </si>
  <si>
    <t>列7859</t>
  </si>
  <si>
    <t>列7860</t>
  </si>
  <si>
    <t>列7861</t>
  </si>
  <si>
    <t>列7862</t>
  </si>
  <si>
    <t>列7863</t>
  </si>
  <si>
    <t>列7864</t>
  </si>
  <si>
    <t>列7865</t>
  </si>
  <si>
    <t>列7866</t>
  </si>
  <si>
    <t>列7867</t>
  </si>
  <si>
    <t>列7868</t>
  </si>
  <si>
    <t>列7869</t>
  </si>
  <si>
    <t>列7870</t>
  </si>
  <si>
    <t>列7871</t>
  </si>
  <si>
    <t>列7872</t>
  </si>
  <si>
    <t>列7873</t>
  </si>
  <si>
    <t>列7874</t>
  </si>
  <si>
    <t>列7875</t>
  </si>
  <si>
    <t>列7876</t>
  </si>
  <si>
    <t>列7877</t>
  </si>
  <si>
    <t>列7878</t>
  </si>
  <si>
    <t>列7879</t>
  </si>
  <si>
    <t>列7880</t>
  </si>
  <si>
    <t>列7881</t>
  </si>
  <si>
    <t>列7882</t>
  </si>
  <si>
    <t>列7883</t>
  </si>
  <si>
    <t>列7884</t>
  </si>
  <si>
    <t>列7885</t>
  </si>
  <si>
    <t>列7886</t>
  </si>
  <si>
    <t>列7887</t>
  </si>
  <si>
    <t>列7888</t>
  </si>
  <si>
    <t>列7889</t>
  </si>
  <si>
    <t>列7890</t>
  </si>
  <si>
    <t>列7891</t>
  </si>
  <si>
    <t>列7892</t>
  </si>
  <si>
    <t>列7893</t>
  </si>
  <si>
    <t>列7894</t>
  </si>
  <si>
    <t>列7895</t>
  </si>
  <si>
    <t>列7896</t>
  </si>
  <si>
    <t>列7897</t>
  </si>
  <si>
    <t>列7898</t>
  </si>
  <si>
    <t>列7899</t>
  </si>
  <si>
    <t>列7900</t>
  </si>
  <si>
    <t>列7901</t>
  </si>
  <si>
    <t>列7902</t>
  </si>
  <si>
    <t>列7903</t>
  </si>
  <si>
    <t>列7904</t>
  </si>
  <si>
    <t>列7905</t>
  </si>
  <si>
    <t>列7906</t>
  </si>
  <si>
    <t>列7907</t>
  </si>
  <si>
    <t>列7908</t>
  </si>
  <si>
    <t>列7909</t>
  </si>
  <si>
    <t>列7910</t>
  </si>
  <si>
    <t>列7911</t>
  </si>
  <si>
    <t>列7912</t>
  </si>
  <si>
    <t>列7913</t>
  </si>
  <si>
    <t>列7914</t>
  </si>
  <si>
    <t>列7915</t>
  </si>
  <si>
    <t>列7916</t>
  </si>
  <si>
    <t>列7917</t>
  </si>
  <si>
    <t>列7918</t>
  </si>
  <si>
    <t>列7919</t>
  </si>
  <si>
    <t>列7920</t>
  </si>
  <si>
    <t>列7921</t>
  </si>
  <si>
    <t>列7922</t>
  </si>
  <si>
    <t>列7923</t>
  </si>
  <si>
    <t>列7924</t>
  </si>
  <si>
    <t>列7925</t>
  </si>
  <si>
    <t>列7926</t>
  </si>
  <si>
    <t>列7927</t>
  </si>
  <si>
    <t>列7928</t>
  </si>
  <si>
    <t>列7929</t>
  </si>
  <si>
    <t>列7930</t>
  </si>
  <si>
    <t>列7931</t>
  </si>
  <si>
    <t>列7932</t>
  </si>
  <si>
    <t>列7933</t>
  </si>
  <si>
    <t>列7934</t>
  </si>
  <si>
    <t>列7935</t>
  </si>
  <si>
    <t>列7936</t>
  </si>
  <si>
    <t>列7937</t>
  </si>
  <si>
    <t>列7938</t>
  </si>
  <si>
    <t>列7939</t>
  </si>
  <si>
    <t>列7940</t>
  </si>
  <si>
    <t>列7941</t>
  </si>
  <si>
    <t>列7942</t>
  </si>
  <si>
    <t>列7943</t>
  </si>
  <si>
    <t>列7944</t>
  </si>
  <si>
    <t>列7945</t>
  </si>
  <si>
    <t>列7946</t>
  </si>
  <si>
    <t>列7947</t>
  </si>
  <si>
    <t>列7948</t>
  </si>
  <si>
    <t>列7949</t>
  </si>
  <si>
    <t>列7950</t>
  </si>
  <si>
    <t>列7951</t>
  </si>
  <si>
    <t>列7952</t>
  </si>
  <si>
    <t>列7953</t>
  </si>
  <si>
    <t>列7954</t>
  </si>
  <si>
    <t>列7955</t>
  </si>
  <si>
    <t>列7956</t>
  </si>
  <si>
    <t>列7957</t>
  </si>
  <si>
    <t>列7958</t>
  </si>
  <si>
    <t>列7959</t>
  </si>
  <si>
    <t>列7960</t>
  </si>
  <si>
    <t>列7961</t>
  </si>
  <si>
    <t>列7962</t>
  </si>
  <si>
    <t>列7963</t>
  </si>
  <si>
    <t>列7964</t>
  </si>
  <si>
    <t>列7965</t>
  </si>
  <si>
    <t>列7966</t>
  </si>
  <si>
    <t>列7967</t>
  </si>
  <si>
    <t>列7968</t>
  </si>
  <si>
    <t>列7969</t>
  </si>
  <si>
    <t>列7970</t>
  </si>
  <si>
    <t>列7971</t>
  </si>
  <si>
    <t>列7972</t>
  </si>
  <si>
    <t>列7973</t>
  </si>
  <si>
    <t>列7974</t>
  </si>
  <si>
    <t>列7975</t>
  </si>
  <si>
    <t>列7976</t>
  </si>
  <si>
    <t>列7977</t>
  </si>
  <si>
    <t>列7978</t>
  </si>
  <si>
    <t>列7979</t>
  </si>
  <si>
    <t>列7980</t>
  </si>
  <si>
    <t>列7981</t>
  </si>
  <si>
    <t>列7982</t>
  </si>
  <si>
    <t>列7983</t>
  </si>
  <si>
    <t>列7984</t>
  </si>
  <si>
    <t>列7985</t>
  </si>
  <si>
    <t>列7986</t>
  </si>
  <si>
    <t>列7987</t>
  </si>
  <si>
    <t>列7988</t>
  </si>
  <si>
    <t>列7989</t>
  </si>
  <si>
    <t>列7990</t>
  </si>
  <si>
    <t>列7991</t>
  </si>
  <si>
    <t>列7992</t>
  </si>
  <si>
    <t>列7993</t>
  </si>
  <si>
    <t>列7994</t>
  </si>
  <si>
    <t>列7995</t>
  </si>
  <si>
    <t>列7996</t>
  </si>
  <si>
    <t>列7997</t>
  </si>
  <si>
    <t>列7998</t>
  </si>
  <si>
    <t>列7999</t>
  </si>
  <si>
    <t>列8000</t>
  </si>
  <si>
    <t>列8001</t>
  </si>
  <si>
    <t>列8002</t>
  </si>
  <si>
    <t>列8003</t>
  </si>
  <si>
    <t>列8004</t>
  </si>
  <si>
    <t>列8005</t>
  </si>
  <si>
    <t>列8006</t>
  </si>
  <si>
    <t>列8007</t>
  </si>
  <si>
    <t>列8008</t>
  </si>
  <si>
    <t>列8009</t>
  </si>
  <si>
    <t>列8010</t>
  </si>
  <si>
    <t>列8011</t>
  </si>
  <si>
    <t>列8012</t>
  </si>
  <si>
    <t>列8013</t>
  </si>
  <si>
    <t>列8014</t>
  </si>
  <si>
    <t>列8015</t>
  </si>
  <si>
    <t>列8016</t>
  </si>
  <si>
    <t>列8017</t>
  </si>
  <si>
    <t>列8018</t>
  </si>
  <si>
    <t>列8019</t>
  </si>
  <si>
    <t>列8020</t>
  </si>
  <si>
    <t>列8021</t>
  </si>
  <si>
    <t>列8022</t>
  </si>
  <si>
    <t>列8023</t>
  </si>
  <si>
    <t>列8024</t>
  </si>
  <si>
    <t>列8025</t>
  </si>
  <si>
    <t>列8026</t>
  </si>
  <si>
    <t>列8027</t>
  </si>
  <si>
    <t>列8028</t>
  </si>
  <si>
    <t>列8029</t>
  </si>
  <si>
    <t>列8030</t>
  </si>
  <si>
    <t>列8031</t>
  </si>
  <si>
    <t>列8032</t>
  </si>
  <si>
    <t>列8033</t>
  </si>
  <si>
    <t>列8034</t>
  </si>
  <si>
    <t>列8035</t>
  </si>
  <si>
    <t>列8036</t>
  </si>
  <si>
    <t>列8037</t>
  </si>
  <si>
    <t>列8038</t>
  </si>
  <si>
    <t>列8039</t>
  </si>
  <si>
    <t>列8040</t>
  </si>
  <si>
    <t>列8041</t>
  </si>
  <si>
    <t>列8042</t>
  </si>
  <si>
    <t>列8043</t>
  </si>
  <si>
    <t>列8044</t>
  </si>
  <si>
    <t>列8045</t>
  </si>
  <si>
    <t>列8046</t>
  </si>
  <si>
    <t>列8047</t>
  </si>
  <si>
    <t>列8048</t>
  </si>
  <si>
    <t>列8049</t>
  </si>
  <si>
    <t>列8050</t>
  </si>
  <si>
    <t>列8051</t>
  </si>
  <si>
    <t>列8052</t>
  </si>
  <si>
    <t>列8053</t>
  </si>
  <si>
    <t>列8054</t>
  </si>
  <si>
    <t>列8055</t>
  </si>
  <si>
    <t>列8056</t>
  </si>
  <si>
    <t>列8057</t>
  </si>
  <si>
    <t>列8058</t>
  </si>
  <si>
    <t>列8059</t>
  </si>
  <si>
    <t>列8060</t>
  </si>
  <si>
    <t>列8061</t>
  </si>
  <si>
    <t>列8062</t>
  </si>
  <si>
    <t>列8063</t>
  </si>
  <si>
    <t>列8064</t>
  </si>
  <si>
    <t>列8065</t>
  </si>
  <si>
    <t>列8066</t>
  </si>
  <si>
    <t>列8067</t>
  </si>
  <si>
    <t>列8068</t>
  </si>
  <si>
    <t>列8069</t>
  </si>
  <si>
    <t>列8070</t>
  </si>
  <si>
    <t>列8071</t>
  </si>
  <si>
    <t>列8072</t>
  </si>
  <si>
    <t>列8073</t>
  </si>
  <si>
    <t>列8074</t>
  </si>
  <si>
    <t>列8075</t>
  </si>
  <si>
    <t>列8076</t>
  </si>
  <si>
    <t>列8077</t>
  </si>
  <si>
    <t>列8078</t>
  </si>
  <si>
    <t>列8079</t>
  </si>
  <si>
    <t>列8080</t>
  </si>
  <si>
    <t>列8081</t>
  </si>
  <si>
    <t>列8082</t>
  </si>
  <si>
    <t>列8083</t>
  </si>
  <si>
    <t>列8084</t>
  </si>
  <si>
    <t>列8085</t>
  </si>
  <si>
    <t>列8086</t>
  </si>
  <si>
    <t>列8087</t>
  </si>
  <si>
    <t>列8088</t>
  </si>
  <si>
    <t>列8089</t>
  </si>
  <si>
    <t>列8090</t>
  </si>
  <si>
    <t>列8091</t>
  </si>
  <si>
    <t>列8092</t>
  </si>
  <si>
    <t>列8093</t>
  </si>
  <si>
    <t>列8094</t>
  </si>
  <si>
    <t>列8095</t>
  </si>
  <si>
    <t>列8096</t>
  </si>
  <si>
    <t>列8097</t>
  </si>
  <si>
    <t>列8098</t>
  </si>
  <si>
    <t>列8099</t>
  </si>
  <si>
    <t>列8100</t>
  </si>
  <si>
    <t>列8101</t>
  </si>
  <si>
    <t>列8102</t>
  </si>
  <si>
    <t>列8103</t>
  </si>
  <si>
    <t>列8104</t>
  </si>
  <si>
    <t>列8105</t>
  </si>
  <si>
    <t>列8106</t>
  </si>
  <si>
    <t>列8107</t>
  </si>
  <si>
    <t>列8108</t>
  </si>
  <si>
    <t>列8109</t>
  </si>
  <si>
    <t>列8110</t>
  </si>
  <si>
    <t>列8111</t>
  </si>
  <si>
    <t>列8112</t>
  </si>
  <si>
    <t>列8113</t>
  </si>
  <si>
    <t>列8114</t>
  </si>
  <si>
    <t>列8115</t>
  </si>
  <si>
    <t>列8116</t>
  </si>
  <si>
    <t>列8117</t>
  </si>
  <si>
    <t>列8118</t>
  </si>
  <si>
    <t>列8119</t>
  </si>
  <si>
    <t>列8120</t>
  </si>
  <si>
    <t>列8121</t>
  </si>
  <si>
    <t>列8122</t>
  </si>
  <si>
    <t>列8123</t>
  </si>
  <si>
    <t>列8124</t>
  </si>
  <si>
    <t>列8125</t>
  </si>
  <si>
    <t>列8126</t>
  </si>
  <si>
    <t>列8127</t>
  </si>
  <si>
    <t>列8128</t>
  </si>
  <si>
    <t>列8129</t>
  </si>
  <si>
    <t>列8130</t>
  </si>
  <si>
    <t>列8131</t>
  </si>
  <si>
    <t>列8132</t>
  </si>
  <si>
    <t>列8133</t>
  </si>
  <si>
    <t>列8134</t>
  </si>
  <si>
    <t>列8135</t>
  </si>
  <si>
    <t>列8136</t>
  </si>
  <si>
    <t>列8137</t>
  </si>
  <si>
    <t>列8138</t>
  </si>
  <si>
    <t>列8139</t>
  </si>
  <si>
    <t>列8140</t>
  </si>
  <si>
    <t>列8141</t>
  </si>
  <si>
    <t>列8142</t>
  </si>
  <si>
    <t>列8143</t>
  </si>
  <si>
    <t>列8144</t>
  </si>
  <si>
    <t>列8145</t>
  </si>
  <si>
    <t>列8146</t>
  </si>
  <si>
    <t>列8147</t>
  </si>
  <si>
    <t>列8148</t>
  </si>
  <si>
    <t>列8149</t>
  </si>
  <si>
    <t>列8150</t>
  </si>
  <si>
    <t>列8151</t>
  </si>
  <si>
    <t>列8152</t>
  </si>
  <si>
    <t>列8153</t>
  </si>
  <si>
    <t>列8154</t>
  </si>
  <si>
    <t>列8155</t>
  </si>
  <si>
    <t>列8156</t>
  </si>
  <si>
    <t>列8157</t>
  </si>
  <si>
    <t>列8158</t>
  </si>
  <si>
    <t>列8159</t>
  </si>
  <si>
    <t>列8160</t>
  </si>
  <si>
    <t>列8161</t>
  </si>
  <si>
    <t>列8162</t>
  </si>
  <si>
    <t>列8163</t>
  </si>
  <si>
    <t>列8164</t>
  </si>
  <si>
    <t>列8165</t>
  </si>
  <si>
    <t>列8166</t>
  </si>
  <si>
    <t>列8167</t>
  </si>
  <si>
    <t>列8168</t>
  </si>
  <si>
    <t>列8169</t>
  </si>
  <si>
    <t>列8170</t>
  </si>
  <si>
    <t>列8171</t>
  </si>
  <si>
    <t>列8172</t>
  </si>
  <si>
    <t>列8173</t>
  </si>
  <si>
    <t>列8174</t>
  </si>
  <si>
    <t>列8175</t>
  </si>
  <si>
    <t>列8176</t>
  </si>
  <si>
    <t>列8177</t>
  </si>
  <si>
    <t>列8178</t>
  </si>
  <si>
    <t>列8179</t>
  </si>
  <si>
    <t>列8180</t>
  </si>
  <si>
    <t>列8181</t>
  </si>
  <si>
    <t>列8182</t>
  </si>
  <si>
    <t>列8183</t>
  </si>
  <si>
    <t>列8184</t>
  </si>
  <si>
    <t>列8185</t>
  </si>
  <si>
    <t>列8186</t>
  </si>
  <si>
    <t>列8187</t>
  </si>
  <si>
    <t>列8188</t>
  </si>
  <si>
    <t>列8189</t>
  </si>
  <si>
    <t>列8190</t>
  </si>
  <si>
    <t>列8191</t>
  </si>
  <si>
    <t>列8192</t>
  </si>
  <si>
    <t>列8193</t>
  </si>
  <si>
    <t>列8194</t>
  </si>
  <si>
    <t>列8195</t>
  </si>
  <si>
    <t>列8196</t>
  </si>
  <si>
    <t>列8197</t>
  </si>
  <si>
    <t>列8198</t>
  </si>
  <si>
    <t>列8199</t>
  </si>
  <si>
    <t>列8200</t>
  </si>
  <si>
    <t>列8201</t>
  </si>
  <si>
    <t>列8202</t>
  </si>
  <si>
    <t>列8203</t>
  </si>
  <si>
    <t>列8204</t>
  </si>
  <si>
    <t>列8205</t>
  </si>
  <si>
    <t>列8206</t>
  </si>
  <si>
    <t>列8207</t>
  </si>
  <si>
    <t>列8208</t>
  </si>
  <si>
    <t>列8209</t>
  </si>
  <si>
    <t>列8210</t>
  </si>
  <si>
    <t>列8211</t>
  </si>
  <si>
    <t>列8212</t>
  </si>
  <si>
    <t>列8213</t>
  </si>
  <si>
    <t>列8214</t>
  </si>
  <si>
    <t>列8215</t>
  </si>
  <si>
    <t>列8216</t>
  </si>
  <si>
    <t>列8217</t>
  </si>
  <si>
    <t>列8218</t>
  </si>
  <si>
    <t>列8219</t>
  </si>
  <si>
    <t>列8220</t>
  </si>
  <si>
    <t>列8221</t>
  </si>
  <si>
    <t>列8222</t>
  </si>
  <si>
    <t>列8223</t>
  </si>
  <si>
    <t>列8224</t>
  </si>
  <si>
    <t>列8225</t>
  </si>
  <si>
    <t>列8226</t>
  </si>
  <si>
    <t>列8227</t>
  </si>
  <si>
    <t>列8228</t>
  </si>
  <si>
    <t>列8229</t>
  </si>
  <si>
    <t>列8230</t>
  </si>
  <si>
    <t>列8231</t>
  </si>
  <si>
    <t>列8232</t>
  </si>
  <si>
    <t>列8233</t>
  </si>
  <si>
    <t>列8234</t>
  </si>
  <si>
    <t>列8235</t>
  </si>
  <si>
    <t>列8236</t>
  </si>
  <si>
    <t>列8237</t>
  </si>
  <si>
    <t>列8238</t>
  </si>
  <si>
    <t>列8239</t>
  </si>
  <si>
    <t>列8240</t>
  </si>
  <si>
    <t>列8241</t>
  </si>
  <si>
    <t>列8242</t>
  </si>
  <si>
    <t>列8243</t>
  </si>
  <si>
    <t>列8244</t>
  </si>
  <si>
    <t>列8245</t>
  </si>
  <si>
    <t>列8246</t>
  </si>
  <si>
    <t>列8247</t>
  </si>
  <si>
    <t>列8248</t>
  </si>
  <si>
    <t>列8249</t>
  </si>
  <si>
    <t>列8250</t>
  </si>
  <si>
    <t>列8251</t>
  </si>
  <si>
    <t>列8252</t>
  </si>
  <si>
    <t>列8253</t>
  </si>
  <si>
    <t>列8254</t>
  </si>
  <si>
    <t>列8255</t>
  </si>
  <si>
    <t>列8256</t>
  </si>
  <si>
    <t>列8257</t>
  </si>
  <si>
    <t>列8258</t>
  </si>
  <si>
    <t>列8259</t>
  </si>
  <si>
    <t>列8260</t>
  </si>
  <si>
    <t>列8261</t>
  </si>
  <si>
    <t>列8262</t>
  </si>
  <si>
    <t>列8263</t>
  </si>
  <si>
    <t>列8264</t>
  </si>
  <si>
    <t>列8265</t>
  </si>
  <si>
    <t>列8266</t>
  </si>
  <si>
    <t>列8267</t>
  </si>
  <si>
    <t>列8268</t>
  </si>
  <si>
    <t>列8269</t>
  </si>
  <si>
    <t>列8270</t>
  </si>
  <si>
    <t>列8271</t>
  </si>
  <si>
    <t>列8272</t>
  </si>
  <si>
    <t>列8273</t>
  </si>
  <si>
    <t>列8274</t>
  </si>
  <si>
    <t>列8275</t>
  </si>
  <si>
    <t>列8276</t>
  </si>
  <si>
    <t>列8277</t>
  </si>
  <si>
    <t>列8278</t>
  </si>
  <si>
    <t>列8279</t>
  </si>
  <si>
    <t>列8280</t>
  </si>
  <si>
    <t>列8281</t>
  </si>
  <si>
    <t>列8282</t>
  </si>
  <si>
    <t>列8283</t>
  </si>
  <si>
    <t>列8284</t>
  </si>
  <si>
    <t>列8285</t>
  </si>
  <si>
    <t>列8286</t>
  </si>
  <si>
    <t>列8287</t>
  </si>
  <si>
    <t>列8288</t>
  </si>
  <si>
    <t>列8289</t>
  </si>
  <si>
    <t>列8290</t>
  </si>
  <si>
    <t>列8291</t>
  </si>
  <si>
    <t>列8292</t>
  </si>
  <si>
    <t>列8293</t>
  </si>
  <si>
    <t>列8294</t>
  </si>
  <si>
    <t>列8295</t>
  </si>
  <si>
    <t>列8296</t>
  </si>
  <si>
    <t>列8297</t>
  </si>
  <si>
    <t>列8298</t>
  </si>
  <si>
    <t>列8299</t>
  </si>
  <si>
    <t>列8300</t>
  </si>
  <si>
    <t>列8301</t>
  </si>
  <si>
    <t>列8302</t>
  </si>
  <si>
    <t>列8303</t>
  </si>
  <si>
    <t>列8304</t>
  </si>
  <si>
    <t>列8305</t>
  </si>
  <si>
    <t>列8306</t>
  </si>
  <si>
    <t>列8307</t>
  </si>
  <si>
    <t>列8308</t>
  </si>
  <si>
    <t>列8309</t>
  </si>
  <si>
    <t>列8310</t>
  </si>
  <si>
    <t>列8311</t>
  </si>
  <si>
    <t>列8312</t>
  </si>
  <si>
    <t>列8313</t>
  </si>
  <si>
    <t>列8314</t>
  </si>
  <si>
    <t>列8315</t>
  </si>
  <si>
    <t>列8316</t>
  </si>
  <si>
    <t>列8317</t>
  </si>
  <si>
    <t>列8318</t>
  </si>
  <si>
    <t>列8319</t>
  </si>
  <si>
    <t>列8320</t>
  </si>
  <si>
    <t>列8321</t>
  </si>
  <si>
    <t>列8322</t>
  </si>
  <si>
    <t>列8323</t>
  </si>
  <si>
    <t>列8324</t>
  </si>
  <si>
    <t>列8325</t>
  </si>
  <si>
    <t>列8326</t>
  </si>
  <si>
    <t>列8327</t>
  </si>
  <si>
    <t>列8328</t>
  </si>
  <si>
    <t>列8329</t>
  </si>
  <si>
    <t>列8330</t>
  </si>
  <si>
    <t>列8331</t>
  </si>
  <si>
    <t>列8332</t>
  </si>
  <si>
    <t>列8333</t>
  </si>
  <si>
    <t>列8334</t>
  </si>
  <si>
    <t>列8335</t>
  </si>
  <si>
    <t>列8336</t>
  </si>
  <si>
    <t>列8337</t>
  </si>
  <si>
    <t>列8338</t>
  </si>
  <si>
    <t>列8339</t>
  </si>
  <si>
    <t>列8340</t>
  </si>
  <si>
    <t>列8341</t>
  </si>
  <si>
    <t>列8342</t>
  </si>
  <si>
    <t>列8343</t>
  </si>
  <si>
    <t>列8344</t>
  </si>
  <si>
    <t>列8345</t>
  </si>
  <si>
    <t>列8346</t>
  </si>
  <si>
    <t>列8347</t>
  </si>
  <si>
    <t>列8348</t>
  </si>
  <si>
    <t>列8349</t>
  </si>
  <si>
    <t>列8350</t>
  </si>
  <si>
    <t>列8351</t>
  </si>
  <si>
    <t>列8352</t>
  </si>
  <si>
    <t>列8353</t>
  </si>
  <si>
    <t>列8354</t>
  </si>
  <si>
    <t>列8355</t>
  </si>
  <si>
    <t>列8356</t>
  </si>
  <si>
    <t>列8357</t>
  </si>
  <si>
    <t>列8358</t>
  </si>
  <si>
    <t>列8359</t>
  </si>
  <si>
    <t>列8360</t>
  </si>
  <si>
    <t>列8361</t>
  </si>
  <si>
    <t>列8362</t>
  </si>
  <si>
    <t>列8363</t>
  </si>
  <si>
    <t>列8364</t>
  </si>
  <si>
    <t>列8365</t>
  </si>
  <si>
    <t>列8366</t>
  </si>
  <si>
    <t>列8367</t>
  </si>
  <si>
    <t>列8368</t>
  </si>
  <si>
    <t>列8369</t>
  </si>
  <si>
    <t>列8370</t>
  </si>
  <si>
    <t>列8371</t>
  </si>
  <si>
    <t>列8372</t>
  </si>
  <si>
    <t>列8373</t>
  </si>
  <si>
    <t>列8374</t>
  </si>
  <si>
    <t>列8375</t>
  </si>
  <si>
    <t>列8376</t>
  </si>
  <si>
    <t>列8377</t>
  </si>
  <si>
    <t>列8378</t>
  </si>
  <si>
    <t>列8379</t>
  </si>
  <si>
    <t>列8380</t>
  </si>
  <si>
    <t>列8381</t>
  </si>
  <si>
    <t>列8382</t>
  </si>
  <si>
    <t>列8383</t>
  </si>
  <si>
    <t>列8384</t>
  </si>
  <si>
    <t>列8385</t>
  </si>
  <si>
    <t>列8386</t>
  </si>
  <si>
    <t>列8387</t>
  </si>
  <si>
    <t>列8388</t>
  </si>
  <si>
    <t>列8389</t>
  </si>
  <si>
    <t>列8390</t>
  </si>
  <si>
    <t>列8391</t>
  </si>
  <si>
    <t>列8392</t>
  </si>
  <si>
    <t>列8393</t>
  </si>
  <si>
    <t>列8394</t>
  </si>
  <si>
    <t>列8395</t>
  </si>
  <si>
    <t>列8396</t>
  </si>
  <si>
    <t>列8397</t>
  </si>
  <si>
    <t>列8398</t>
  </si>
  <si>
    <t>列8399</t>
  </si>
  <si>
    <t>列8400</t>
  </si>
  <si>
    <t>列8401</t>
  </si>
  <si>
    <t>列8402</t>
  </si>
  <si>
    <t>列8403</t>
  </si>
  <si>
    <t>列8404</t>
  </si>
  <si>
    <t>列8405</t>
  </si>
  <si>
    <t>列8406</t>
  </si>
  <si>
    <t>列8407</t>
  </si>
  <si>
    <t>列8408</t>
  </si>
  <si>
    <t>列8409</t>
  </si>
  <si>
    <t>列8410</t>
  </si>
  <si>
    <t>列8411</t>
  </si>
  <si>
    <t>列8412</t>
  </si>
  <si>
    <t>列8413</t>
  </si>
  <si>
    <t>列8414</t>
  </si>
  <si>
    <t>列8415</t>
  </si>
  <si>
    <t>列8416</t>
  </si>
  <si>
    <t>列8417</t>
  </si>
  <si>
    <t>列8418</t>
  </si>
  <si>
    <t>列8419</t>
  </si>
  <si>
    <t>列8420</t>
  </si>
  <si>
    <t>列8421</t>
  </si>
  <si>
    <t>列8422</t>
  </si>
  <si>
    <t>列8423</t>
  </si>
  <si>
    <t>列8424</t>
  </si>
  <si>
    <t>列8425</t>
  </si>
  <si>
    <t>列8426</t>
  </si>
  <si>
    <t>列8427</t>
  </si>
  <si>
    <t>列8428</t>
  </si>
  <si>
    <t>列8429</t>
  </si>
  <si>
    <t>列8430</t>
  </si>
  <si>
    <t>列8431</t>
  </si>
  <si>
    <t>列8432</t>
  </si>
  <si>
    <t>列8433</t>
  </si>
  <si>
    <t>列8434</t>
  </si>
  <si>
    <t>列8435</t>
  </si>
  <si>
    <t>列8436</t>
  </si>
  <si>
    <t>列8437</t>
  </si>
  <si>
    <t>列8438</t>
  </si>
  <si>
    <t>列8439</t>
  </si>
  <si>
    <t>列8440</t>
  </si>
  <si>
    <t>列8441</t>
  </si>
  <si>
    <t>列8442</t>
  </si>
  <si>
    <t>列8443</t>
  </si>
  <si>
    <t>列8444</t>
  </si>
  <si>
    <t>列8445</t>
  </si>
  <si>
    <t>列8446</t>
  </si>
  <si>
    <t>列8447</t>
  </si>
  <si>
    <t>列8448</t>
  </si>
  <si>
    <t>列8449</t>
  </si>
  <si>
    <t>列8450</t>
  </si>
  <si>
    <t>列8451</t>
  </si>
  <si>
    <t>列8452</t>
  </si>
  <si>
    <t>列8453</t>
  </si>
  <si>
    <t>列8454</t>
  </si>
  <si>
    <t>列8455</t>
  </si>
  <si>
    <t>列8456</t>
  </si>
  <si>
    <t>列8457</t>
  </si>
  <si>
    <t>列8458</t>
  </si>
  <si>
    <t>列8459</t>
  </si>
  <si>
    <t>列8460</t>
  </si>
  <si>
    <t>列8461</t>
  </si>
  <si>
    <t>列8462</t>
  </si>
  <si>
    <t>列8463</t>
  </si>
  <si>
    <t>列8464</t>
  </si>
  <si>
    <t>列8465</t>
  </si>
  <si>
    <t>列8466</t>
  </si>
  <si>
    <t>列8467</t>
  </si>
  <si>
    <t>列8468</t>
  </si>
  <si>
    <t>列8469</t>
  </si>
  <si>
    <t>列8470</t>
  </si>
  <si>
    <t>列8471</t>
  </si>
  <si>
    <t>列8472</t>
  </si>
  <si>
    <t>列8473</t>
  </si>
  <si>
    <t>列8474</t>
  </si>
  <si>
    <t>列8475</t>
  </si>
  <si>
    <t>列8476</t>
  </si>
  <si>
    <t>列8477</t>
  </si>
  <si>
    <t>列8478</t>
  </si>
  <si>
    <t>列8479</t>
  </si>
  <si>
    <t>列8480</t>
  </si>
  <si>
    <t>列8481</t>
  </si>
  <si>
    <t>列8482</t>
  </si>
  <si>
    <t>列8483</t>
  </si>
  <si>
    <t>列8484</t>
  </si>
  <si>
    <t>列8485</t>
  </si>
  <si>
    <t>列8486</t>
  </si>
  <si>
    <t>列8487</t>
  </si>
  <si>
    <t>列8488</t>
  </si>
  <si>
    <t>列8489</t>
  </si>
  <si>
    <t>列8490</t>
  </si>
  <si>
    <t>列8491</t>
  </si>
  <si>
    <t>列8492</t>
  </si>
  <si>
    <t>列8493</t>
  </si>
  <si>
    <t>列8494</t>
  </si>
  <si>
    <t>列8495</t>
  </si>
  <si>
    <t>列8496</t>
  </si>
  <si>
    <t>列8497</t>
  </si>
  <si>
    <t>列8498</t>
  </si>
  <si>
    <t>列8499</t>
  </si>
  <si>
    <t>列8500</t>
  </si>
  <si>
    <t>列8501</t>
  </si>
  <si>
    <t>列8502</t>
  </si>
  <si>
    <t>列8503</t>
  </si>
  <si>
    <t>列8504</t>
  </si>
  <si>
    <t>列8505</t>
  </si>
  <si>
    <t>列8506</t>
  </si>
  <si>
    <t>列8507</t>
  </si>
  <si>
    <t>列8508</t>
  </si>
  <si>
    <t>列8509</t>
  </si>
  <si>
    <t>列8510</t>
  </si>
  <si>
    <t>列8511</t>
  </si>
  <si>
    <t>列8512</t>
  </si>
  <si>
    <t>列8513</t>
  </si>
  <si>
    <t>列8514</t>
  </si>
  <si>
    <t>列8515</t>
  </si>
  <si>
    <t>列8516</t>
  </si>
  <si>
    <t>列8517</t>
  </si>
  <si>
    <t>列8518</t>
  </si>
  <si>
    <t>列8519</t>
  </si>
  <si>
    <t>列8520</t>
  </si>
  <si>
    <t>列8521</t>
  </si>
  <si>
    <t>列8522</t>
  </si>
  <si>
    <t>列8523</t>
  </si>
  <si>
    <t>列8524</t>
  </si>
  <si>
    <t>列8525</t>
  </si>
  <si>
    <t>列8526</t>
  </si>
  <si>
    <t>列8527</t>
  </si>
  <si>
    <t>列8528</t>
  </si>
  <si>
    <t>列8529</t>
  </si>
  <si>
    <t>列8530</t>
  </si>
  <si>
    <t>列8531</t>
  </si>
  <si>
    <t>列8532</t>
  </si>
  <si>
    <t>列8533</t>
  </si>
  <si>
    <t>列8534</t>
  </si>
  <si>
    <t>列8535</t>
  </si>
  <si>
    <t>列8536</t>
  </si>
  <si>
    <t>列8537</t>
  </si>
  <si>
    <t>列8538</t>
  </si>
  <si>
    <t>列8539</t>
  </si>
  <si>
    <t>列8540</t>
  </si>
  <si>
    <t>列8541</t>
  </si>
  <si>
    <t>列8542</t>
  </si>
  <si>
    <t>列8543</t>
  </si>
  <si>
    <t>列8544</t>
  </si>
  <si>
    <t>列8545</t>
  </si>
  <si>
    <t>列8546</t>
  </si>
  <si>
    <t>列8547</t>
  </si>
  <si>
    <t>列8548</t>
  </si>
  <si>
    <t>列8549</t>
  </si>
  <si>
    <t>列8550</t>
  </si>
  <si>
    <t>列8551</t>
  </si>
  <si>
    <t>列8552</t>
  </si>
  <si>
    <t>列8553</t>
  </si>
  <si>
    <t>列8554</t>
  </si>
  <si>
    <t>列8555</t>
  </si>
  <si>
    <t>列8556</t>
  </si>
  <si>
    <t>列8557</t>
  </si>
  <si>
    <t>列8558</t>
  </si>
  <si>
    <t>列8559</t>
  </si>
  <si>
    <t>列8560</t>
  </si>
  <si>
    <t>列8561</t>
  </si>
  <si>
    <t>列8562</t>
  </si>
  <si>
    <t>列8563</t>
  </si>
  <si>
    <t>列8564</t>
  </si>
  <si>
    <t>列8565</t>
  </si>
  <si>
    <t>列8566</t>
  </si>
  <si>
    <t>列8567</t>
  </si>
  <si>
    <t>列8568</t>
  </si>
  <si>
    <t>列8569</t>
  </si>
  <si>
    <t>列8570</t>
  </si>
  <si>
    <t>列8571</t>
  </si>
  <si>
    <t>列8572</t>
  </si>
  <si>
    <t>列8573</t>
  </si>
  <si>
    <t>列8574</t>
  </si>
  <si>
    <t>列8575</t>
  </si>
  <si>
    <t>列8576</t>
  </si>
  <si>
    <t>列8577</t>
  </si>
  <si>
    <t>列8578</t>
  </si>
  <si>
    <t>列8579</t>
  </si>
  <si>
    <t>列8580</t>
  </si>
  <si>
    <t>列8581</t>
  </si>
  <si>
    <t>列8582</t>
  </si>
  <si>
    <t>列8583</t>
  </si>
  <si>
    <t>列8584</t>
  </si>
  <si>
    <t>列8585</t>
  </si>
  <si>
    <t>列8586</t>
  </si>
  <si>
    <t>列8587</t>
  </si>
  <si>
    <t>列8588</t>
  </si>
  <si>
    <t>列8589</t>
  </si>
  <si>
    <t>列8590</t>
  </si>
  <si>
    <t>列8591</t>
  </si>
  <si>
    <t>列8592</t>
  </si>
  <si>
    <t>列8593</t>
  </si>
  <si>
    <t>列8594</t>
  </si>
  <si>
    <t>列8595</t>
  </si>
  <si>
    <t>列8596</t>
  </si>
  <si>
    <t>列8597</t>
  </si>
  <si>
    <t>列8598</t>
  </si>
  <si>
    <t>列8599</t>
  </si>
  <si>
    <t>列8600</t>
  </si>
  <si>
    <t>列8601</t>
  </si>
  <si>
    <t>列8602</t>
  </si>
  <si>
    <t>列8603</t>
  </si>
  <si>
    <t>列8604</t>
  </si>
  <si>
    <t>列8605</t>
  </si>
  <si>
    <t>列8606</t>
  </si>
  <si>
    <t>列8607</t>
  </si>
  <si>
    <t>列8608</t>
  </si>
  <si>
    <t>列8609</t>
  </si>
  <si>
    <t>列8610</t>
  </si>
  <si>
    <t>列8611</t>
  </si>
  <si>
    <t>列8612</t>
  </si>
  <si>
    <t>列8613</t>
  </si>
  <si>
    <t>列8614</t>
  </si>
  <si>
    <t>列8615</t>
  </si>
  <si>
    <t>列8616</t>
  </si>
  <si>
    <t>列8617</t>
  </si>
  <si>
    <t>列8618</t>
  </si>
  <si>
    <t>列8619</t>
  </si>
  <si>
    <t>列8620</t>
  </si>
  <si>
    <t>列8621</t>
  </si>
  <si>
    <t>列8622</t>
  </si>
  <si>
    <t>列8623</t>
  </si>
  <si>
    <t>列8624</t>
  </si>
  <si>
    <t>列8625</t>
  </si>
  <si>
    <t>列8626</t>
  </si>
  <si>
    <t>列8627</t>
  </si>
  <si>
    <t>列8628</t>
  </si>
  <si>
    <t>列8629</t>
  </si>
  <si>
    <t>列8630</t>
  </si>
  <si>
    <t>列8631</t>
  </si>
  <si>
    <t>列8632</t>
  </si>
  <si>
    <t>列8633</t>
  </si>
  <si>
    <t>列8634</t>
  </si>
  <si>
    <t>列8635</t>
  </si>
  <si>
    <t>列8636</t>
  </si>
  <si>
    <t>列8637</t>
  </si>
  <si>
    <t>列8638</t>
  </si>
  <si>
    <t>列8639</t>
  </si>
  <si>
    <t>列8640</t>
  </si>
  <si>
    <t>列8641</t>
  </si>
  <si>
    <t>列8642</t>
  </si>
  <si>
    <t>列8643</t>
  </si>
  <si>
    <t>列8644</t>
  </si>
  <si>
    <t>列8645</t>
  </si>
  <si>
    <t>列8646</t>
  </si>
  <si>
    <t>列8647</t>
  </si>
  <si>
    <t>列8648</t>
  </si>
  <si>
    <t>列8649</t>
  </si>
  <si>
    <t>列8650</t>
  </si>
  <si>
    <t>列8651</t>
  </si>
  <si>
    <t>列8652</t>
  </si>
  <si>
    <t>列8653</t>
  </si>
  <si>
    <t>列8654</t>
  </si>
  <si>
    <t>列8655</t>
  </si>
  <si>
    <t>列8656</t>
  </si>
  <si>
    <t>列8657</t>
  </si>
  <si>
    <t>列8658</t>
  </si>
  <si>
    <t>列8659</t>
  </si>
  <si>
    <t>列8660</t>
  </si>
  <si>
    <t>列8661</t>
  </si>
  <si>
    <t>列8662</t>
  </si>
  <si>
    <t>列8663</t>
  </si>
  <si>
    <t>列8664</t>
  </si>
  <si>
    <t>列8665</t>
  </si>
  <si>
    <t>列8666</t>
  </si>
  <si>
    <t>列8667</t>
  </si>
  <si>
    <t>列8668</t>
  </si>
  <si>
    <t>列8669</t>
  </si>
  <si>
    <t>列8670</t>
  </si>
  <si>
    <t>列8671</t>
  </si>
  <si>
    <t>列8672</t>
  </si>
  <si>
    <t>列8673</t>
  </si>
  <si>
    <t>列8674</t>
  </si>
  <si>
    <t>列8675</t>
  </si>
  <si>
    <t>列8676</t>
  </si>
  <si>
    <t>列8677</t>
  </si>
  <si>
    <t>列8678</t>
  </si>
  <si>
    <t>列8679</t>
  </si>
  <si>
    <t>列8680</t>
  </si>
  <si>
    <t>列8681</t>
  </si>
  <si>
    <t>列8682</t>
  </si>
  <si>
    <t>列8683</t>
  </si>
  <si>
    <t>列8684</t>
  </si>
  <si>
    <t>列8685</t>
  </si>
  <si>
    <t>列8686</t>
  </si>
  <si>
    <t>列8687</t>
  </si>
  <si>
    <t>列8688</t>
  </si>
  <si>
    <t>列8689</t>
  </si>
  <si>
    <t>列8690</t>
  </si>
  <si>
    <t>列8691</t>
  </si>
  <si>
    <t>列8692</t>
  </si>
  <si>
    <t>列8693</t>
  </si>
  <si>
    <t>列8694</t>
  </si>
  <si>
    <t>列8695</t>
  </si>
  <si>
    <t>列8696</t>
  </si>
  <si>
    <t>列8697</t>
  </si>
  <si>
    <t>列8698</t>
  </si>
  <si>
    <t>列8699</t>
  </si>
  <si>
    <t>列8700</t>
  </si>
  <si>
    <t>列8701</t>
  </si>
  <si>
    <t>列8702</t>
  </si>
  <si>
    <t>列8703</t>
  </si>
  <si>
    <t>列8704</t>
  </si>
  <si>
    <t>列8705</t>
  </si>
  <si>
    <t>列8706</t>
  </si>
  <si>
    <t>列8707</t>
  </si>
  <si>
    <t>列8708</t>
  </si>
  <si>
    <t>列8709</t>
  </si>
  <si>
    <t>列8710</t>
  </si>
  <si>
    <t>列8711</t>
  </si>
  <si>
    <t>列8712</t>
  </si>
  <si>
    <t>列8713</t>
  </si>
  <si>
    <t>列8714</t>
  </si>
  <si>
    <t>列8715</t>
  </si>
  <si>
    <t>列8716</t>
  </si>
  <si>
    <t>列8717</t>
  </si>
  <si>
    <t>列8718</t>
  </si>
  <si>
    <t>列8719</t>
  </si>
  <si>
    <t>列8720</t>
  </si>
  <si>
    <t>列8721</t>
  </si>
  <si>
    <t>列8722</t>
  </si>
  <si>
    <t>列8723</t>
  </si>
  <si>
    <t>列8724</t>
  </si>
  <si>
    <t>列8725</t>
  </si>
  <si>
    <t>列8726</t>
  </si>
  <si>
    <t>列8727</t>
  </si>
  <si>
    <t>列8728</t>
  </si>
  <si>
    <t>列8729</t>
  </si>
  <si>
    <t>列8730</t>
  </si>
  <si>
    <t>列8731</t>
  </si>
  <si>
    <t>列8732</t>
  </si>
  <si>
    <t>列8733</t>
  </si>
  <si>
    <t>列8734</t>
  </si>
  <si>
    <t>列8735</t>
  </si>
  <si>
    <t>列8736</t>
  </si>
  <si>
    <t>列8737</t>
  </si>
  <si>
    <t>列8738</t>
  </si>
  <si>
    <t>列8739</t>
  </si>
  <si>
    <t>列8740</t>
  </si>
  <si>
    <t>列8741</t>
  </si>
  <si>
    <t>列8742</t>
  </si>
  <si>
    <t>列8743</t>
  </si>
  <si>
    <t>列8744</t>
  </si>
  <si>
    <t>列8745</t>
  </si>
  <si>
    <t>列8746</t>
  </si>
  <si>
    <t>列8747</t>
  </si>
  <si>
    <t>列8748</t>
  </si>
  <si>
    <t>列8749</t>
  </si>
  <si>
    <t>列8750</t>
  </si>
  <si>
    <t>列8751</t>
  </si>
  <si>
    <t>列8752</t>
  </si>
  <si>
    <t>列8753</t>
  </si>
  <si>
    <t>列8754</t>
  </si>
  <si>
    <t>列8755</t>
  </si>
  <si>
    <t>列8756</t>
  </si>
  <si>
    <t>列8757</t>
  </si>
  <si>
    <t>列8758</t>
  </si>
  <si>
    <t>列8759</t>
  </si>
  <si>
    <t>列8760</t>
  </si>
  <si>
    <t>列8761</t>
  </si>
  <si>
    <t>列8762</t>
  </si>
  <si>
    <t>列8763</t>
  </si>
  <si>
    <t>列8764</t>
  </si>
  <si>
    <t>列8765</t>
  </si>
  <si>
    <t>列8766</t>
  </si>
  <si>
    <t>列8767</t>
  </si>
  <si>
    <t>列8768</t>
  </si>
  <si>
    <t>列8769</t>
  </si>
  <si>
    <t>列8770</t>
  </si>
  <si>
    <t>列8771</t>
  </si>
  <si>
    <t>列8772</t>
  </si>
  <si>
    <t>列8773</t>
  </si>
  <si>
    <t>列8774</t>
  </si>
  <si>
    <t>列8775</t>
  </si>
  <si>
    <t>列8776</t>
  </si>
  <si>
    <t>列8777</t>
  </si>
  <si>
    <t>列8778</t>
  </si>
  <si>
    <t>列8779</t>
  </si>
  <si>
    <t>列8780</t>
  </si>
  <si>
    <t>列8781</t>
  </si>
  <si>
    <t>列8782</t>
  </si>
  <si>
    <t>列8783</t>
  </si>
  <si>
    <t>列8784</t>
  </si>
  <si>
    <t>列8785</t>
  </si>
  <si>
    <t>列8786</t>
  </si>
  <si>
    <t>列8787</t>
  </si>
  <si>
    <t>列8788</t>
  </si>
  <si>
    <t>列8789</t>
  </si>
  <si>
    <t>列8790</t>
  </si>
  <si>
    <t>列8791</t>
  </si>
  <si>
    <t>列8792</t>
  </si>
  <si>
    <t>列8793</t>
  </si>
  <si>
    <t>列8794</t>
  </si>
  <si>
    <t>列8795</t>
  </si>
  <si>
    <t>列8796</t>
  </si>
  <si>
    <t>列8797</t>
  </si>
  <si>
    <t>列8798</t>
  </si>
  <si>
    <t>列8799</t>
  </si>
  <si>
    <t>列8800</t>
  </si>
  <si>
    <t>列8801</t>
  </si>
  <si>
    <t>列8802</t>
  </si>
  <si>
    <t>列8803</t>
  </si>
  <si>
    <t>列8804</t>
  </si>
  <si>
    <t>列8805</t>
  </si>
  <si>
    <t>列8806</t>
  </si>
  <si>
    <t>列8807</t>
  </si>
  <si>
    <t>列8808</t>
  </si>
  <si>
    <t>列8809</t>
  </si>
  <si>
    <t>列8810</t>
  </si>
  <si>
    <t>列8811</t>
  </si>
  <si>
    <t>列8812</t>
  </si>
  <si>
    <t>列8813</t>
  </si>
  <si>
    <t>列8814</t>
  </si>
  <si>
    <t>列8815</t>
  </si>
  <si>
    <t>列8816</t>
  </si>
  <si>
    <t>列8817</t>
  </si>
  <si>
    <t>列8818</t>
  </si>
  <si>
    <t>列8819</t>
  </si>
  <si>
    <t>列8820</t>
  </si>
  <si>
    <t>列8821</t>
  </si>
  <si>
    <t>列8822</t>
  </si>
  <si>
    <t>列8823</t>
  </si>
  <si>
    <t>列8824</t>
  </si>
  <si>
    <t>列8825</t>
  </si>
  <si>
    <t>列8826</t>
  </si>
  <si>
    <t>列8827</t>
  </si>
  <si>
    <t>列8828</t>
  </si>
  <si>
    <t>列8829</t>
  </si>
  <si>
    <t>列8830</t>
  </si>
  <si>
    <t>列8831</t>
  </si>
  <si>
    <t>列8832</t>
  </si>
  <si>
    <t>列8833</t>
  </si>
  <si>
    <t>列8834</t>
  </si>
  <si>
    <t>列8835</t>
  </si>
  <si>
    <t>列8836</t>
  </si>
  <si>
    <t>列8837</t>
  </si>
  <si>
    <t>列8838</t>
  </si>
  <si>
    <t>列8839</t>
  </si>
  <si>
    <t>列8840</t>
  </si>
  <si>
    <t>列8841</t>
  </si>
  <si>
    <t>列8842</t>
  </si>
  <si>
    <t>列8843</t>
  </si>
  <si>
    <t>列8844</t>
  </si>
  <si>
    <t>列8845</t>
  </si>
  <si>
    <t>列8846</t>
  </si>
  <si>
    <t>列8847</t>
  </si>
  <si>
    <t>列8848</t>
  </si>
  <si>
    <t>列8849</t>
  </si>
  <si>
    <t>列8850</t>
  </si>
  <si>
    <t>列8851</t>
  </si>
  <si>
    <t>列8852</t>
  </si>
  <si>
    <t>列8853</t>
  </si>
  <si>
    <t>列8854</t>
  </si>
  <si>
    <t>列8855</t>
  </si>
  <si>
    <t>列8856</t>
  </si>
  <si>
    <t>列8857</t>
  </si>
  <si>
    <t>列8858</t>
  </si>
  <si>
    <t>列8859</t>
  </si>
  <si>
    <t>列8860</t>
  </si>
  <si>
    <t>列8861</t>
  </si>
  <si>
    <t>列8862</t>
  </si>
  <si>
    <t>列8863</t>
  </si>
  <si>
    <t>列8864</t>
  </si>
  <si>
    <t>列8865</t>
  </si>
  <si>
    <t>列8866</t>
  </si>
  <si>
    <t>列8867</t>
  </si>
  <si>
    <t>列8868</t>
  </si>
  <si>
    <t>列8869</t>
  </si>
  <si>
    <t>列8870</t>
  </si>
  <si>
    <t>列8871</t>
  </si>
  <si>
    <t>列8872</t>
  </si>
  <si>
    <t>列8873</t>
  </si>
  <si>
    <t>列8874</t>
  </si>
  <si>
    <t>列8875</t>
  </si>
  <si>
    <t>列8876</t>
  </si>
  <si>
    <t>列8877</t>
  </si>
  <si>
    <t>列8878</t>
  </si>
  <si>
    <t>列8879</t>
  </si>
  <si>
    <t>列8880</t>
  </si>
  <si>
    <t>列8881</t>
  </si>
  <si>
    <t>列8882</t>
  </si>
  <si>
    <t>列8883</t>
  </si>
  <si>
    <t>列8884</t>
  </si>
  <si>
    <t>列8885</t>
  </si>
  <si>
    <t>列8886</t>
  </si>
  <si>
    <t>列8887</t>
  </si>
  <si>
    <t>列8888</t>
  </si>
  <si>
    <t>列8889</t>
  </si>
  <si>
    <t>列8890</t>
  </si>
  <si>
    <t>列8891</t>
  </si>
  <si>
    <t>列8892</t>
  </si>
  <si>
    <t>列8893</t>
  </si>
  <si>
    <t>列8894</t>
  </si>
  <si>
    <t>列8895</t>
  </si>
  <si>
    <t>列8896</t>
  </si>
  <si>
    <t>列8897</t>
  </si>
  <si>
    <t>列8898</t>
  </si>
  <si>
    <t>列8899</t>
  </si>
  <si>
    <t>列8900</t>
  </si>
  <si>
    <t>列8901</t>
  </si>
  <si>
    <t>列8902</t>
  </si>
  <si>
    <t>列8903</t>
  </si>
  <si>
    <t>列8904</t>
  </si>
  <si>
    <t>列8905</t>
  </si>
  <si>
    <t>列8906</t>
  </si>
  <si>
    <t>列8907</t>
  </si>
  <si>
    <t>列8908</t>
  </si>
  <si>
    <t>列8909</t>
  </si>
  <si>
    <t>列8910</t>
  </si>
  <si>
    <t>列8911</t>
  </si>
  <si>
    <t>列8912</t>
  </si>
  <si>
    <t>列8913</t>
  </si>
  <si>
    <t>列8914</t>
  </si>
  <si>
    <t>列8915</t>
  </si>
  <si>
    <t>列8916</t>
  </si>
  <si>
    <t>列8917</t>
  </si>
  <si>
    <t>列8918</t>
  </si>
  <si>
    <t>列8919</t>
  </si>
  <si>
    <t>列8920</t>
  </si>
  <si>
    <t>列8921</t>
  </si>
  <si>
    <t>列8922</t>
  </si>
  <si>
    <t>列8923</t>
  </si>
  <si>
    <t>列8924</t>
  </si>
  <si>
    <t>列8925</t>
  </si>
  <si>
    <t>列8926</t>
  </si>
  <si>
    <t>列8927</t>
  </si>
  <si>
    <t>列8928</t>
  </si>
  <si>
    <t>列8929</t>
  </si>
  <si>
    <t>列8930</t>
  </si>
  <si>
    <t>列8931</t>
  </si>
  <si>
    <t>列8932</t>
  </si>
  <si>
    <t>列8933</t>
  </si>
  <si>
    <t>列8934</t>
  </si>
  <si>
    <t>列8935</t>
  </si>
  <si>
    <t>列8936</t>
  </si>
  <si>
    <t>列8937</t>
  </si>
  <si>
    <t>列8938</t>
  </si>
  <si>
    <t>列8939</t>
  </si>
  <si>
    <t>列8940</t>
  </si>
  <si>
    <t>列8941</t>
  </si>
  <si>
    <t>列8942</t>
  </si>
  <si>
    <t>列8943</t>
  </si>
  <si>
    <t>列8944</t>
  </si>
  <si>
    <t>列8945</t>
  </si>
  <si>
    <t>列8946</t>
  </si>
  <si>
    <t>列8947</t>
  </si>
  <si>
    <t>列8948</t>
  </si>
  <si>
    <t>列8949</t>
  </si>
  <si>
    <t>列8950</t>
  </si>
  <si>
    <t>列8951</t>
  </si>
  <si>
    <t>列8952</t>
  </si>
  <si>
    <t>列8953</t>
  </si>
  <si>
    <t>列8954</t>
  </si>
  <si>
    <t>列8955</t>
  </si>
  <si>
    <t>列8956</t>
  </si>
  <si>
    <t>列8957</t>
  </si>
  <si>
    <t>列8958</t>
  </si>
  <si>
    <t>列8959</t>
  </si>
  <si>
    <t>列8960</t>
  </si>
  <si>
    <t>列8961</t>
  </si>
  <si>
    <t>列8962</t>
  </si>
  <si>
    <t>列8963</t>
  </si>
  <si>
    <t>列8964</t>
  </si>
  <si>
    <t>列8965</t>
  </si>
  <si>
    <t>列8966</t>
  </si>
  <si>
    <t>列8967</t>
  </si>
  <si>
    <t>列8968</t>
  </si>
  <si>
    <t>列8969</t>
  </si>
  <si>
    <t>列8970</t>
  </si>
  <si>
    <t>列8971</t>
  </si>
  <si>
    <t>列8972</t>
  </si>
  <si>
    <t>列8973</t>
  </si>
  <si>
    <t>列8974</t>
  </si>
  <si>
    <t>列8975</t>
  </si>
  <si>
    <t>列8976</t>
  </si>
  <si>
    <t>列8977</t>
  </si>
  <si>
    <t>列8978</t>
  </si>
  <si>
    <t>列8979</t>
  </si>
  <si>
    <t>列8980</t>
  </si>
  <si>
    <t>列8981</t>
  </si>
  <si>
    <t>列8982</t>
  </si>
  <si>
    <t>列8983</t>
  </si>
  <si>
    <t>列8984</t>
  </si>
  <si>
    <t>列8985</t>
  </si>
  <si>
    <t>列8986</t>
  </si>
  <si>
    <t>列8987</t>
  </si>
  <si>
    <t>列8988</t>
  </si>
  <si>
    <t>列8989</t>
  </si>
  <si>
    <t>列8990</t>
  </si>
  <si>
    <t>列8991</t>
  </si>
  <si>
    <t>列8992</t>
  </si>
  <si>
    <t>列8993</t>
  </si>
  <si>
    <t>列8994</t>
  </si>
  <si>
    <t>列8995</t>
  </si>
  <si>
    <t>列8996</t>
  </si>
  <si>
    <t>列8997</t>
  </si>
  <si>
    <t>列8998</t>
  </si>
  <si>
    <t>列8999</t>
  </si>
  <si>
    <t>列9000</t>
  </si>
  <si>
    <t>列9001</t>
  </si>
  <si>
    <t>列9002</t>
  </si>
  <si>
    <t>列9003</t>
  </si>
  <si>
    <t>列9004</t>
  </si>
  <si>
    <t>列9005</t>
  </si>
  <si>
    <t>列9006</t>
  </si>
  <si>
    <t>列9007</t>
  </si>
  <si>
    <t>列9008</t>
  </si>
  <si>
    <t>列9009</t>
  </si>
  <si>
    <t>列9010</t>
  </si>
  <si>
    <t>列9011</t>
  </si>
  <si>
    <t>列9012</t>
  </si>
  <si>
    <t>列9013</t>
  </si>
  <si>
    <t>列9014</t>
  </si>
  <si>
    <t>列9015</t>
  </si>
  <si>
    <t>列9016</t>
  </si>
  <si>
    <t>列9017</t>
  </si>
  <si>
    <t>列9018</t>
  </si>
  <si>
    <t>列9019</t>
  </si>
  <si>
    <t>列9020</t>
  </si>
  <si>
    <t>列9021</t>
  </si>
  <si>
    <t>列9022</t>
  </si>
  <si>
    <t>列9023</t>
  </si>
  <si>
    <t>列9024</t>
  </si>
  <si>
    <t>列9025</t>
  </si>
  <si>
    <t>列9026</t>
  </si>
  <si>
    <t>列9027</t>
  </si>
  <si>
    <t>列9028</t>
  </si>
  <si>
    <t>列9029</t>
  </si>
  <si>
    <t>列9030</t>
  </si>
  <si>
    <t>列9031</t>
  </si>
  <si>
    <t>列9032</t>
  </si>
  <si>
    <t>列9033</t>
  </si>
  <si>
    <t>列9034</t>
  </si>
  <si>
    <t>列9035</t>
  </si>
  <si>
    <t>列9036</t>
  </si>
  <si>
    <t>列9037</t>
  </si>
  <si>
    <t>列9038</t>
  </si>
  <si>
    <t>列9039</t>
  </si>
  <si>
    <t>列9040</t>
  </si>
  <si>
    <t>列9041</t>
  </si>
  <si>
    <t>列9042</t>
  </si>
  <si>
    <t>列9043</t>
  </si>
  <si>
    <t>列9044</t>
  </si>
  <si>
    <t>列9045</t>
  </si>
  <si>
    <t>列9046</t>
  </si>
  <si>
    <t>列9047</t>
  </si>
  <si>
    <t>列9048</t>
  </si>
  <si>
    <t>列9049</t>
  </si>
  <si>
    <t>列9050</t>
  </si>
  <si>
    <t>列9051</t>
  </si>
  <si>
    <t>列9052</t>
  </si>
  <si>
    <t>列9053</t>
  </si>
  <si>
    <t>列9054</t>
  </si>
  <si>
    <t>列9055</t>
  </si>
  <si>
    <t>列9056</t>
  </si>
  <si>
    <t>列9057</t>
  </si>
  <si>
    <t>列9058</t>
  </si>
  <si>
    <t>列9059</t>
  </si>
  <si>
    <t>列9060</t>
  </si>
  <si>
    <t>列9061</t>
  </si>
  <si>
    <t>列9062</t>
  </si>
  <si>
    <t>列9063</t>
  </si>
  <si>
    <t>列9064</t>
  </si>
  <si>
    <t>列9065</t>
  </si>
  <si>
    <t>列9066</t>
  </si>
  <si>
    <t>列9067</t>
  </si>
  <si>
    <t>列9068</t>
  </si>
  <si>
    <t>列9069</t>
  </si>
  <si>
    <t>列9070</t>
  </si>
  <si>
    <t>列9071</t>
  </si>
  <si>
    <t>列9072</t>
  </si>
  <si>
    <t>列9073</t>
  </si>
  <si>
    <t>列9074</t>
  </si>
  <si>
    <t>列9075</t>
  </si>
  <si>
    <t>列9076</t>
  </si>
  <si>
    <t>列9077</t>
  </si>
  <si>
    <t>列9078</t>
  </si>
  <si>
    <t>列9079</t>
  </si>
  <si>
    <t>列9080</t>
  </si>
  <si>
    <t>列9081</t>
  </si>
  <si>
    <t>列9082</t>
  </si>
  <si>
    <t>列9083</t>
  </si>
  <si>
    <t>列9084</t>
  </si>
  <si>
    <t>列9085</t>
  </si>
  <si>
    <t>列9086</t>
  </si>
  <si>
    <t>列9087</t>
  </si>
  <si>
    <t>列9088</t>
  </si>
  <si>
    <t>列9089</t>
  </si>
  <si>
    <t>列9090</t>
  </si>
  <si>
    <t>列9091</t>
  </si>
  <si>
    <t>列9092</t>
  </si>
  <si>
    <t>列9093</t>
  </si>
  <si>
    <t>列9094</t>
  </si>
  <si>
    <t>列9095</t>
  </si>
  <si>
    <t>列9096</t>
  </si>
  <si>
    <t>列9097</t>
  </si>
  <si>
    <t>列9098</t>
  </si>
  <si>
    <t>列9099</t>
  </si>
  <si>
    <t>列9100</t>
  </si>
  <si>
    <t>列9101</t>
  </si>
  <si>
    <t>列9102</t>
  </si>
  <si>
    <t>列9103</t>
  </si>
  <si>
    <t>列9104</t>
  </si>
  <si>
    <t>列9105</t>
  </si>
  <si>
    <t>列9106</t>
  </si>
  <si>
    <t>列9107</t>
  </si>
  <si>
    <t>列9108</t>
  </si>
  <si>
    <t>列9109</t>
  </si>
  <si>
    <t>列9110</t>
  </si>
  <si>
    <t>列9111</t>
  </si>
  <si>
    <t>列9112</t>
  </si>
  <si>
    <t>列9113</t>
  </si>
  <si>
    <t>列9114</t>
  </si>
  <si>
    <t>列9115</t>
  </si>
  <si>
    <t>列9116</t>
  </si>
  <si>
    <t>列9117</t>
  </si>
  <si>
    <t>列9118</t>
  </si>
  <si>
    <t>列9119</t>
  </si>
  <si>
    <t>列9120</t>
  </si>
  <si>
    <t>列9121</t>
  </si>
  <si>
    <t>列9122</t>
  </si>
  <si>
    <t>列9123</t>
  </si>
  <si>
    <t>列9124</t>
  </si>
  <si>
    <t>列9125</t>
  </si>
  <si>
    <t>列9126</t>
  </si>
  <si>
    <t>列9127</t>
  </si>
  <si>
    <t>列9128</t>
  </si>
  <si>
    <t>列9129</t>
  </si>
  <si>
    <t>列9130</t>
  </si>
  <si>
    <t>列9131</t>
  </si>
  <si>
    <t>列9132</t>
  </si>
  <si>
    <t>列9133</t>
  </si>
  <si>
    <t>列9134</t>
  </si>
  <si>
    <t>列9135</t>
  </si>
  <si>
    <t>列9136</t>
  </si>
  <si>
    <t>列9137</t>
  </si>
  <si>
    <t>列9138</t>
  </si>
  <si>
    <t>列9139</t>
  </si>
  <si>
    <t>列9140</t>
  </si>
  <si>
    <t>列9141</t>
  </si>
  <si>
    <t>列9142</t>
  </si>
  <si>
    <t>列9143</t>
  </si>
  <si>
    <t>列9144</t>
  </si>
  <si>
    <t>列9145</t>
  </si>
  <si>
    <t>列9146</t>
  </si>
  <si>
    <t>列9147</t>
  </si>
  <si>
    <t>列9148</t>
  </si>
  <si>
    <t>列9149</t>
  </si>
  <si>
    <t>列9150</t>
  </si>
  <si>
    <t>列9151</t>
  </si>
  <si>
    <t>列9152</t>
  </si>
  <si>
    <t>列9153</t>
  </si>
  <si>
    <t>列9154</t>
  </si>
  <si>
    <t>列9155</t>
  </si>
  <si>
    <t>列9156</t>
  </si>
  <si>
    <t>列9157</t>
  </si>
  <si>
    <t>列9158</t>
  </si>
  <si>
    <t>列9159</t>
  </si>
  <si>
    <t>列9160</t>
  </si>
  <si>
    <t>列9161</t>
  </si>
  <si>
    <t>列9162</t>
  </si>
  <si>
    <t>列9163</t>
  </si>
  <si>
    <t>列9164</t>
  </si>
  <si>
    <t>列9165</t>
  </si>
  <si>
    <t>列9166</t>
  </si>
  <si>
    <t>列9167</t>
  </si>
  <si>
    <t>列9168</t>
  </si>
  <si>
    <t>列9169</t>
  </si>
  <si>
    <t>列9170</t>
  </si>
  <si>
    <t>列9171</t>
  </si>
  <si>
    <t>列9172</t>
  </si>
  <si>
    <t>列9173</t>
  </si>
  <si>
    <t>列9174</t>
  </si>
  <si>
    <t>列9175</t>
  </si>
  <si>
    <t>列9176</t>
  </si>
  <si>
    <t>列9177</t>
  </si>
  <si>
    <t>列9178</t>
  </si>
  <si>
    <t>列9179</t>
  </si>
  <si>
    <t>列9180</t>
  </si>
  <si>
    <t>列9181</t>
  </si>
  <si>
    <t>列9182</t>
  </si>
  <si>
    <t>列9183</t>
  </si>
  <si>
    <t>列9184</t>
  </si>
  <si>
    <t>列9185</t>
  </si>
  <si>
    <t>列9186</t>
  </si>
  <si>
    <t>列9187</t>
  </si>
  <si>
    <t>列9188</t>
  </si>
  <si>
    <t>列9189</t>
  </si>
  <si>
    <t>列9190</t>
  </si>
  <si>
    <t>列9191</t>
  </si>
  <si>
    <t>列9192</t>
  </si>
  <si>
    <t>列9193</t>
  </si>
  <si>
    <t>列9194</t>
  </si>
  <si>
    <t>列9195</t>
  </si>
  <si>
    <t>列9196</t>
  </si>
  <si>
    <t>列9197</t>
  </si>
  <si>
    <t>列9198</t>
  </si>
  <si>
    <t>列9199</t>
  </si>
  <si>
    <t>列9200</t>
  </si>
  <si>
    <t>列9201</t>
  </si>
  <si>
    <t>列9202</t>
  </si>
  <si>
    <t>列9203</t>
  </si>
  <si>
    <t>列9204</t>
  </si>
  <si>
    <t>列9205</t>
  </si>
  <si>
    <t>列9206</t>
  </si>
  <si>
    <t>列9207</t>
  </si>
  <si>
    <t>列9208</t>
  </si>
  <si>
    <t>列9209</t>
  </si>
  <si>
    <t>列9210</t>
  </si>
  <si>
    <t>列9211</t>
  </si>
  <si>
    <t>列9212</t>
  </si>
  <si>
    <t>列9213</t>
  </si>
  <si>
    <t>列9214</t>
  </si>
  <si>
    <t>列9215</t>
  </si>
  <si>
    <t>列9216</t>
  </si>
  <si>
    <t>列9217</t>
  </si>
  <si>
    <t>列9218</t>
  </si>
  <si>
    <t>列9219</t>
  </si>
  <si>
    <t>列9220</t>
  </si>
  <si>
    <t>列9221</t>
  </si>
  <si>
    <t>列9222</t>
  </si>
  <si>
    <t>列9223</t>
  </si>
  <si>
    <t>列9224</t>
  </si>
  <si>
    <t>列9225</t>
  </si>
  <si>
    <t>列9226</t>
  </si>
  <si>
    <t>列9227</t>
  </si>
  <si>
    <t>列9228</t>
  </si>
  <si>
    <t>列9229</t>
  </si>
  <si>
    <t>列9230</t>
  </si>
  <si>
    <t>列9231</t>
  </si>
  <si>
    <t>列9232</t>
  </si>
  <si>
    <t>列9233</t>
  </si>
  <si>
    <t>列9234</t>
  </si>
  <si>
    <t>列9235</t>
  </si>
  <si>
    <t>列9236</t>
  </si>
  <si>
    <t>列9237</t>
  </si>
  <si>
    <t>列9238</t>
  </si>
  <si>
    <t>列9239</t>
  </si>
  <si>
    <t>列9240</t>
  </si>
  <si>
    <t>列9241</t>
  </si>
  <si>
    <t>列9242</t>
  </si>
  <si>
    <t>列9243</t>
  </si>
  <si>
    <t>列9244</t>
  </si>
  <si>
    <t>列9245</t>
  </si>
  <si>
    <t>列9246</t>
  </si>
  <si>
    <t>列9247</t>
  </si>
  <si>
    <t>列9248</t>
  </si>
  <si>
    <t>列9249</t>
  </si>
  <si>
    <t>列9250</t>
  </si>
  <si>
    <t>列9251</t>
  </si>
  <si>
    <t>列9252</t>
  </si>
  <si>
    <t>列9253</t>
  </si>
  <si>
    <t>列9254</t>
  </si>
  <si>
    <t>列9255</t>
  </si>
  <si>
    <t>列9256</t>
  </si>
  <si>
    <t>列9257</t>
  </si>
  <si>
    <t>列9258</t>
  </si>
  <si>
    <t>列9259</t>
  </si>
  <si>
    <t>列9260</t>
  </si>
  <si>
    <t>列9261</t>
  </si>
  <si>
    <t>列9262</t>
  </si>
  <si>
    <t>列9263</t>
  </si>
  <si>
    <t>列9264</t>
  </si>
  <si>
    <t>列9265</t>
  </si>
  <si>
    <t>列9266</t>
  </si>
  <si>
    <t>列9267</t>
  </si>
  <si>
    <t>列9268</t>
  </si>
  <si>
    <t>列9269</t>
  </si>
  <si>
    <t>列9270</t>
  </si>
  <si>
    <t>列9271</t>
  </si>
  <si>
    <t>列9272</t>
  </si>
  <si>
    <t>列9273</t>
  </si>
  <si>
    <t>列9274</t>
  </si>
  <si>
    <t>列9275</t>
  </si>
  <si>
    <t>列9276</t>
  </si>
  <si>
    <t>列9277</t>
  </si>
  <si>
    <t>列9278</t>
  </si>
  <si>
    <t>列9279</t>
  </si>
  <si>
    <t>列9280</t>
  </si>
  <si>
    <t>列9281</t>
  </si>
  <si>
    <t>列9282</t>
  </si>
  <si>
    <t>列9283</t>
  </si>
  <si>
    <t>列9284</t>
  </si>
  <si>
    <t>列9285</t>
  </si>
  <si>
    <t>列9286</t>
  </si>
  <si>
    <t>列9287</t>
  </si>
  <si>
    <t>列9288</t>
  </si>
  <si>
    <t>列9289</t>
  </si>
  <si>
    <t>列9290</t>
  </si>
  <si>
    <t>列9291</t>
  </si>
  <si>
    <t>列9292</t>
  </si>
  <si>
    <t>列9293</t>
  </si>
  <si>
    <t>列9294</t>
  </si>
  <si>
    <t>列9295</t>
  </si>
  <si>
    <t>列9296</t>
  </si>
  <si>
    <t>列9297</t>
  </si>
  <si>
    <t>列9298</t>
  </si>
  <si>
    <t>列9299</t>
  </si>
  <si>
    <t>列9300</t>
  </si>
  <si>
    <t>列9301</t>
  </si>
  <si>
    <t>列9302</t>
  </si>
  <si>
    <t>列9303</t>
  </si>
  <si>
    <t>列9304</t>
  </si>
  <si>
    <t>列9305</t>
  </si>
  <si>
    <t>列9306</t>
  </si>
  <si>
    <t>列9307</t>
  </si>
  <si>
    <t>列9308</t>
  </si>
  <si>
    <t>列9309</t>
  </si>
  <si>
    <t>列9310</t>
  </si>
  <si>
    <t>列9311</t>
  </si>
  <si>
    <t>列9312</t>
  </si>
  <si>
    <t>列9313</t>
  </si>
  <si>
    <t>列9314</t>
  </si>
  <si>
    <t>列9315</t>
  </si>
  <si>
    <t>列9316</t>
  </si>
  <si>
    <t>列9317</t>
  </si>
  <si>
    <t>列9318</t>
  </si>
  <si>
    <t>列9319</t>
  </si>
  <si>
    <t>列9320</t>
  </si>
  <si>
    <t>列9321</t>
  </si>
  <si>
    <t>列9322</t>
  </si>
  <si>
    <t>列9323</t>
  </si>
  <si>
    <t>列9324</t>
  </si>
  <si>
    <t>列9325</t>
  </si>
  <si>
    <t>列9326</t>
  </si>
  <si>
    <t>列9327</t>
  </si>
  <si>
    <t>列9328</t>
  </si>
  <si>
    <t>列9329</t>
  </si>
  <si>
    <t>列9330</t>
  </si>
  <si>
    <t>列9331</t>
  </si>
  <si>
    <t>列9332</t>
  </si>
  <si>
    <t>列9333</t>
  </si>
  <si>
    <t>列9334</t>
  </si>
  <si>
    <t>列9335</t>
  </si>
  <si>
    <t>列9336</t>
  </si>
  <si>
    <t>列9337</t>
  </si>
  <si>
    <t>列9338</t>
  </si>
  <si>
    <t>列9339</t>
  </si>
  <si>
    <t>列9340</t>
  </si>
  <si>
    <t>列9341</t>
  </si>
  <si>
    <t>列9342</t>
  </si>
  <si>
    <t>列9343</t>
  </si>
  <si>
    <t>列9344</t>
  </si>
  <si>
    <t>列9345</t>
  </si>
  <si>
    <t>列9346</t>
  </si>
  <si>
    <t>列9347</t>
  </si>
  <si>
    <t>列9348</t>
  </si>
  <si>
    <t>列9349</t>
  </si>
  <si>
    <t>列9350</t>
  </si>
  <si>
    <t>列9351</t>
  </si>
  <si>
    <t>列9352</t>
  </si>
  <si>
    <t>列9353</t>
  </si>
  <si>
    <t>列9354</t>
  </si>
  <si>
    <t>列9355</t>
  </si>
  <si>
    <t>列9356</t>
  </si>
  <si>
    <t>列9357</t>
  </si>
  <si>
    <t>列9358</t>
  </si>
  <si>
    <t>列9359</t>
  </si>
  <si>
    <t>列9360</t>
  </si>
  <si>
    <t>列9361</t>
  </si>
  <si>
    <t>列9362</t>
  </si>
  <si>
    <t>列9363</t>
  </si>
  <si>
    <t>列9364</t>
  </si>
  <si>
    <t>列9365</t>
  </si>
  <si>
    <t>列9366</t>
  </si>
  <si>
    <t>列9367</t>
  </si>
  <si>
    <t>列9368</t>
  </si>
  <si>
    <t>列9369</t>
  </si>
  <si>
    <t>列9370</t>
  </si>
  <si>
    <t>列9371</t>
  </si>
  <si>
    <t>列9372</t>
  </si>
  <si>
    <t>列9373</t>
  </si>
  <si>
    <t>列9374</t>
  </si>
  <si>
    <t>列9375</t>
  </si>
  <si>
    <t>列9376</t>
  </si>
  <si>
    <t>列9377</t>
  </si>
  <si>
    <t>列9378</t>
  </si>
  <si>
    <t>列9379</t>
  </si>
  <si>
    <t>列9380</t>
  </si>
  <si>
    <t>列9381</t>
  </si>
  <si>
    <t>列9382</t>
  </si>
  <si>
    <t>列9383</t>
  </si>
  <si>
    <t>列9384</t>
  </si>
  <si>
    <t>列9385</t>
  </si>
  <si>
    <t>列9386</t>
  </si>
  <si>
    <t>列9387</t>
  </si>
  <si>
    <t>列9388</t>
  </si>
  <si>
    <t>列9389</t>
  </si>
  <si>
    <t>列9390</t>
  </si>
  <si>
    <t>列9391</t>
  </si>
  <si>
    <t>列9392</t>
  </si>
  <si>
    <t>列9393</t>
  </si>
  <si>
    <t>列9394</t>
  </si>
  <si>
    <t>列9395</t>
  </si>
  <si>
    <t>列9396</t>
  </si>
  <si>
    <t>列9397</t>
  </si>
  <si>
    <t>列9398</t>
  </si>
  <si>
    <t>列9399</t>
  </si>
  <si>
    <t>列9400</t>
  </si>
  <si>
    <t>列9401</t>
  </si>
  <si>
    <t>列9402</t>
  </si>
  <si>
    <t>列9403</t>
  </si>
  <si>
    <t>列9404</t>
  </si>
  <si>
    <t>列9405</t>
  </si>
  <si>
    <t>列9406</t>
  </si>
  <si>
    <t>列9407</t>
  </si>
  <si>
    <t>列9408</t>
  </si>
  <si>
    <t>列9409</t>
  </si>
  <si>
    <t>列9410</t>
  </si>
  <si>
    <t>列9411</t>
  </si>
  <si>
    <t>列9412</t>
  </si>
  <si>
    <t>列9413</t>
  </si>
  <si>
    <t>列9414</t>
  </si>
  <si>
    <t>列9415</t>
  </si>
  <si>
    <t>列9416</t>
  </si>
  <si>
    <t>列9417</t>
  </si>
  <si>
    <t>列9418</t>
  </si>
  <si>
    <t>列9419</t>
  </si>
  <si>
    <t>列9420</t>
  </si>
  <si>
    <t>列9421</t>
  </si>
  <si>
    <t>列9422</t>
  </si>
  <si>
    <t>列9423</t>
  </si>
  <si>
    <t>列9424</t>
  </si>
  <si>
    <t>列9425</t>
  </si>
  <si>
    <t>列9426</t>
  </si>
  <si>
    <t>列9427</t>
  </si>
  <si>
    <t>列9428</t>
  </si>
  <si>
    <t>列9429</t>
  </si>
  <si>
    <t>列9430</t>
  </si>
  <si>
    <t>列9431</t>
  </si>
  <si>
    <t>列9432</t>
  </si>
  <si>
    <t>列9433</t>
  </si>
  <si>
    <t>列9434</t>
  </si>
  <si>
    <t>列9435</t>
  </si>
  <si>
    <t>列9436</t>
  </si>
  <si>
    <t>列9437</t>
  </si>
  <si>
    <t>列9438</t>
  </si>
  <si>
    <t>列9439</t>
  </si>
  <si>
    <t>列9440</t>
  </si>
  <si>
    <t>列9441</t>
  </si>
  <si>
    <t>列9442</t>
  </si>
  <si>
    <t>列9443</t>
  </si>
  <si>
    <t>列9444</t>
  </si>
  <si>
    <t>列9445</t>
  </si>
  <si>
    <t>列9446</t>
  </si>
  <si>
    <t>列9447</t>
  </si>
  <si>
    <t>列9448</t>
  </si>
  <si>
    <t>列9449</t>
  </si>
  <si>
    <t>列9450</t>
  </si>
  <si>
    <t>列9451</t>
  </si>
  <si>
    <t>列9452</t>
  </si>
  <si>
    <t>列9453</t>
  </si>
  <si>
    <t>列9454</t>
  </si>
  <si>
    <t>列9455</t>
  </si>
  <si>
    <t>列9456</t>
  </si>
  <si>
    <t>列9457</t>
  </si>
  <si>
    <t>列9458</t>
  </si>
  <si>
    <t>列9459</t>
  </si>
  <si>
    <t>列9460</t>
  </si>
  <si>
    <t>列9461</t>
  </si>
  <si>
    <t>列9462</t>
  </si>
  <si>
    <t>列9463</t>
  </si>
  <si>
    <t>列9464</t>
  </si>
  <si>
    <t>列9465</t>
  </si>
  <si>
    <t>列9466</t>
  </si>
  <si>
    <t>列9467</t>
  </si>
  <si>
    <t>列9468</t>
  </si>
  <si>
    <t>列9469</t>
  </si>
  <si>
    <t>列9470</t>
  </si>
  <si>
    <t>列9471</t>
  </si>
  <si>
    <t>列9472</t>
  </si>
  <si>
    <t>列9473</t>
  </si>
  <si>
    <t>列9474</t>
  </si>
  <si>
    <t>列9475</t>
  </si>
  <si>
    <t>列9476</t>
  </si>
  <si>
    <t>列9477</t>
  </si>
  <si>
    <t>列9478</t>
  </si>
  <si>
    <t>列9479</t>
  </si>
  <si>
    <t>列9480</t>
  </si>
  <si>
    <t>列9481</t>
  </si>
  <si>
    <t>列9482</t>
  </si>
  <si>
    <t>列9483</t>
  </si>
  <si>
    <t>列9484</t>
  </si>
  <si>
    <t>列9485</t>
  </si>
  <si>
    <t>列9486</t>
  </si>
  <si>
    <t>列9487</t>
  </si>
  <si>
    <t>列9488</t>
  </si>
  <si>
    <t>列9489</t>
  </si>
  <si>
    <t>列9490</t>
  </si>
  <si>
    <t>列9491</t>
  </si>
  <si>
    <t>列9492</t>
  </si>
  <si>
    <t>列9493</t>
  </si>
  <si>
    <t>列9494</t>
  </si>
  <si>
    <t>列9495</t>
  </si>
  <si>
    <t>列9496</t>
  </si>
  <si>
    <t>列9497</t>
  </si>
  <si>
    <t>列9498</t>
  </si>
  <si>
    <t>列9499</t>
  </si>
  <si>
    <t>列9500</t>
  </si>
  <si>
    <t>列9501</t>
  </si>
  <si>
    <t>列9502</t>
  </si>
  <si>
    <t>列9503</t>
  </si>
  <si>
    <t>列9504</t>
  </si>
  <si>
    <t>列9505</t>
  </si>
  <si>
    <t>列9506</t>
  </si>
  <si>
    <t>列9507</t>
  </si>
  <si>
    <t>列9508</t>
  </si>
  <si>
    <t>列9509</t>
  </si>
  <si>
    <t>列9510</t>
  </si>
  <si>
    <t>列9511</t>
  </si>
  <si>
    <t>列9512</t>
  </si>
  <si>
    <t>列9513</t>
  </si>
  <si>
    <t>列9514</t>
  </si>
  <si>
    <t>列9515</t>
  </si>
  <si>
    <t>列9516</t>
  </si>
  <si>
    <t>列9517</t>
  </si>
  <si>
    <t>列9518</t>
  </si>
  <si>
    <t>列9519</t>
  </si>
  <si>
    <t>列9520</t>
  </si>
  <si>
    <t>列9521</t>
  </si>
  <si>
    <t>列9522</t>
  </si>
  <si>
    <t>列9523</t>
  </si>
  <si>
    <t>列9524</t>
  </si>
  <si>
    <t>列9525</t>
  </si>
  <si>
    <t>列9526</t>
  </si>
  <si>
    <t>列9527</t>
  </si>
  <si>
    <t>列9528</t>
  </si>
  <si>
    <t>列9529</t>
  </si>
  <si>
    <t>列9530</t>
  </si>
  <si>
    <t>列9531</t>
  </si>
  <si>
    <t>列9532</t>
  </si>
  <si>
    <t>列9533</t>
  </si>
  <si>
    <t>列9534</t>
  </si>
  <si>
    <t>列9535</t>
  </si>
  <si>
    <t>列9536</t>
  </si>
  <si>
    <t>列9537</t>
  </si>
  <si>
    <t>列9538</t>
  </si>
  <si>
    <t>列9539</t>
  </si>
  <si>
    <t>列9540</t>
  </si>
  <si>
    <t>列9541</t>
  </si>
  <si>
    <t>列9542</t>
  </si>
  <si>
    <t>列9543</t>
  </si>
  <si>
    <t>列9544</t>
  </si>
  <si>
    <t>列9545</t>
  </si>
  <si>
    <t>列9546</t>
  </si>
  <si>
    <t>列9547</t>
  </si>
  <si>
    <t>列9548</t>
  </si>
  <si>
    <t>列9549</t>
  </si>
  <si>
    <t>列9550</t>
  </si>
  <si>
    <t>列9551</t>
  </si>
  <si>
    <t>列9552</t>
  </si>
  <si>
    <t>列9553</t>
  </si>
  <si>
    <t>列9554</t>
  </si>
  <si>
    <t>列9555</t>
  </si>
  <si>
    <t>列9556</t>
  </si>
  <si>
    <t>列9557</t>
  </si>
  <si>
    <t>列9558</t>
  </si>
  <si>
    <t>列9559</t>
  </si>
  <si>
    <t>列9560</t>
  </si>
  <si>
    <t>列9561</t>
  </si>
  <si>
    <t>列9562</t>
  </si>
  <si>
    <t>列9563</t>
  </si>
  <si>
    <t>列9564</t>
  </si>
  <si>
    <t>列9565</t>
  </si>
  <si>
    <t>列9566</t>
  </si>
  <si>
    <t>列9567</t>
  </si>
  <si>
    <t>列9568</t>
  </si>
  <si>
    <t>列9569</t>
  </si>
  <si>
    <t>列9570</t>
  </si>
  <si>
    <t>列9571</t>
  </si>
  <si>
    <t>列9572</t>
  </si>
  <si>
    <t>列9573</t>
  </si>
  <si>
    <t>列9574</t>
  </si>
  <si>
    <t>列9575</t>
  </si>
  <si>
    <t>列9576</t>
  </si>
  <si>
    <t>列9577</t>
  </si>
  <si>
    <t>列9578</t>
  </si>
  <si>
    <t>列9579</t>
  </si>
  <si>
    <t>列9580</t>
  </si>
  <si>
    <t>列9581</t>
  </si>
  <si>
    <t>列9582</t>
  </si>
  <si>
    <t>列9583</t>
  </si>
  <si>
    <t>列9584</t>
  </si>
  <si>
    <t>列9585</t>
  </si>
  <si>
    <t>列9586</t>
  </si>
  <si>
    <t>列9587</t>
  </si>
  <si>
    <t>列9588</t>
  </si>
  <si>
    <t>列9589</t>
  </si>
  <si>
    <t>列9590</t>
  </si>
  <si>
    <t>列9591</t>
  </si>
  <si>
    <t>列9592</t>
  </si>
  <si>
    <t>列9593</t>
  </si>
  <si>
    <t>列9594</t>
  </si>
  <si>
    <t>列9595</t>
  </si>
  <si>
    <t>列9596</t>
  </si>
  <si>
    <t>列9597</t>
  </si>
  <si>
    <t>列9598</t>
  </si>
  <si>
    <t>列9599</t>
  </si>
  <si>
    <t>列9600</t>
  </si>
  <si>
    <t>列9601</t>
  </si>
  <si>
    <t>列9602</t>
  </si>
  <si>
    <t>列9603</t>
  </si>
  <si>
    <t>列9604</t>
  </si>
  <si>
    <t>列9605</t>
  </si>
  <si>
    <t>列9606</t>
  </si>
  <si>
    <t>列9607</t>
  </si>
  <si>
    <t>列9608</t>
  </si>
  <si>
    <t>列9609</t>
  </si>
  <si>
    <t>列9610</t>
  </si>
  <si>
    <t>列9611</t>
  </si>
  <si>
    <t>列9612</t>
  </si>
  <si>
    <t>列9613</t>
  </si>
  <si>
    <t>列9614</t>
  </si>
  <si>
    <t>列9615</t>
  </si>
  <si>
    <t>列9616</t>
  </si>
  <si>
    <t>列9617</t>
  </si>
  <si>
    <t>列9618</t>
  </si>
  <si>
    <t>列9619</t>
  </si>
  <si>
    <t>列9620</t>
  </si>
  <si>
    <t>列9621</t>
  </si>
  <si>
    <t>列9622</t>
  </si>
  <si>
    <t>列9623</t>
  </si>
  <si>
    <t>列9624</t>
  </si>
  <si>
    <t>列9625</t>
  </si>
  <si>
    <t>列9626</t>
  </si>
  <si>
    <t>列9627</t>
  </si>
  <si>
    <t>列9628</t>
  </si>
  <si>
    <t>列9629</t>
  </si>
  <si>
    <t>列9630</t>
  </si>
  <si>
    <t>列9631</t>
  </si>
  <si>
    <t>列9632</t>
  </si>
  <si>
    <t>列9633</t>
  </si>
  <si>
    <t>列9634</t>
  </si>
  <si>
    <t>列9635</t>
  </si>
  <si>
    <t>列9636</t>
  </si>
  <si>
    <t>列9637</t>
  </si>
  <si>
    <t>列9638</t>
  </si>
  <si>
    <t>列9639</t>
  </si>
  <si>
    <t>列9640</t>
  </si>
  <si>
    <t>列9641</t>
  </si>
  <si>
    <t>列9642</t>
  </si>
  <si>
    <t>列9643</t>
  </si>
  <si>
    <t>列9644</t>
  </si>
  <si>
    <t>列9645</t>
  </si>
  <si>
    <t>列9646</t>
  </si>
  <si>
    <t>列9647</t>
  </si>
  <si>
    <t>列9648</t>
  </si>
  <si>
    <t>列9649</t>
  </si>
  <si>
    <t>列9650</t>
  </si>
  <si>
    <t>列9651</t>
  </si>
  <si>
    <t>列9652</t>
  </si>
  <si>
    <t>列9653</t>
  </si>
  <si>
    <t>列9654</t>
  </si>
  <si>
    <t>列9655</t>
  </si>
  <si>
    <t>列9656</t>
  </si>
  <si>
    <t>列9657</t>
  </si>
  <si>
    <t>列9658</t>
  </si>
  <si>
    <t>列9659</t>
  </si>
  <si>
    <t>列9660</t>
  </si>
  <si>
    <t>列9661</t>
  </si>
  <si>
    <t>列9662</t>
  </si>
  <si>
    <t>列9663</t>
  </si>
  <si>
    <t>列9664</t>
  </si>
  <si>
    <t>列9665</t>
  </si>
  <si>
    <t>列9666</t>
  </si>
  <si>
    <t>列9667</t>
  </si>
  <si>
    <t>列9668</t>
  </si>
  <si>
    <t>列9669</t>
  </si>
  <si>
    <t>列9670</t>
  </si>
  <si>
    <t>列9671</t>
  </si>
  <si>
    <t>列9672</t>
  </si>
  <si>
    <t>列9673</t>
  </si>
  <si>
    <t>列9674</t>
  </si>
  <si>
    <t>列9675</t>
  </si>
  <si>
    <t>列9676</t>
  </si>
  <si>
    <t>列9677</t>
  </si>
  <si>
    <t>列9678</t>
  </si>
  <si>
    <t>列9679</t>
  </si>
  <si>
    <t>列9680</t>
  </si>
  <si>
    <t>列9681</t>
  </si>
  <si>
    <t>列9682</t>
  </si>
  <si>
    <t>列9683</t>
  </si>
  <si>
    <t>列9684</t>
  </si>
  <si>
    <t>列9685</t>
  </si>
  <si>
    <t>列9686</t>
  </si>
  <si>
    <t>列9687</t>
  </si>
  <si>
    <t>列9688</t>
  </si>
  <si>
    <t>列9689</t>
  </si>
  <si>
    <t>列9690</t>
  </si>
  <si>
    <t>列9691</t>
  </si>
  <si>
    <t>列9692</t>
  </si>
  <si>
    <t>列9693</t>
  </si>
  <si>
    <t>列9694</t>
  </si>
  <si>
    <t>列9695</t>
  </si>
  <si>
    <t>列9696</t>
  </si>
  <si>
    <t>列9697</t>
  </si>
  <si>
    <t>列9698</t>
  </si>
  <si>
    <t>列9699</t>
  </si>
  <si>
    <t>列9700</t>
  </si>
  <si>
    <t>列9701</t>
  </si>
  <si>
    <t>列9702</t>
  </si>
  <si>
    <t>列9703</t>
  </si>
  <si>
    <t>列9704</t>
  </si>
  <si>
    <t>列9705</t>
  </si>
  <si>
    <t>列9706</t>
  </si>
  <si>
    <t>列9707</t>
  </si>
  <si>
    <t>列9708</t>
  </si>
  <si>
    <t>列9709</t>
  </si>
  <si>
    <t>列9710</t>
  </si>
  <si>
    <t>列9711</t>
  </si>
  <si>
    <t>列9712</t>
  </si>
  <si>
    <t>列9713</t>
  </si>
  <si>
    <t>列9714</t>
  </si>
  <si>
    <t>列9715</t>
  </si>
  <si>
    <t>列9716</t>
  </si>
  <si>
    <t>列9717</t>
  </si>
  <si>
    <t>列9718</t>
  </si>
  <si>
    <t>列9719</t>
  </si>
  <si>
    <t>列9720</t>
  </si>
  <si>
    <t>列9721</t>
  </si>
  <si>
    <t>列9722</t>
  </si>
  <si>
    <t>列9723</t>
  </si>
  <si>
    <t>列9724</t>
  </si>
  <si>
    <t>列9725</t>
  </si>
  <si>
    <t>列9726</t>
  </si>
  <si>
    <t>列9727</t>
  </si>
  <si>
    <t>列9728</t>
  </si>
  <si>
    <t>列9729</t>
  </si>
  <si>
    <t>列9730</t>
  </si>
  <si>
    <t>列9731</t>
  </si>
  <si>
    <t>列9732</t>
  </si>
  <si>
    <t>列9733</t>
  </si>
  <si>
    <t>列9734</t>
  </si>
  <si>
    <t>列9735</t>
  </si>
  <si>
    <t>列9736</t>
  </si>
  <si>
    <t>列9737</t>
  </si>
  <si>
    <t>列9738</t>
  </si>
  <si>
    <t>列9739</t>
  </si>
  <si>
    <t>列9740</t>
  </si>
  <si>
    <t>列9741</t>
  </si>
  <si>
    <t>列9742</t>
  </si>
  <si>
    <t>列9743</t>
  </si>
  <si>
    <t>列9744</t>
  </si>
  <si>
    <t>列9745</t>
  </si>
  <si>
    <t>列9746</t>
  </si>
  <si>
    <t>列9747</t>
  </si>
  <si>
    <t>列9748</t>
  </si>
  <si>
    <t>列9749</t>
  </si>
  <si>
    <t>列9750</t>
  </si>
  <si>
    <t>列9751</t>
  </si>
  <si>
    <t>列9752</t>
  </si>
  <si>
    <t>列9753</t>
  </si>
  <si>
    <t>列9754</t>
  </si>
  <si>
    <t>列9755</t>
  </si>
  <si>
    <t>列9756</t>
  </si>
  <si>
    <t>列9757</t>
  </si>
  <si>
    <t>列9758</t>
  </si>
  <si>
    <t>列9759</t>
  </si>
  <si>
    <t>列9760</t>
  </si>
  <si>
    <t>列9761</t>
  </si>
  <si>
    <t>列9762</t>
  </si>
  <si>
    <t>列9763</t>
  </si>
  <si>
    <t>列9764</t>
  </si>
  <si>
    <t>列9765</t>
  </si>
  <si>
    <t>列9766</t>
  </si>
  <si>
    <t>列9767</t>
  </si>
  <si>
    <t>列9768</t>
  </si>
  <si>
    <t>列9769</t>
  </si>
  <si>
    <t>列9770</t>
  </si>
  <si>
    <t>列9771</t>
  </si>
  <si>
    <t>列9772</t>
  </si>
  <si>
    <t>列9773</t>
  </si>
  <si>
    <t>列9774</t>
  </si>
  <si>
    <t>列9775</t>
  </si>
  <si>
    <t>列9776</t>
  </si>
  <si>
    <t>列9777</t>
  </si>
  <si>
    <t>列9778</t>
  </si>
  <si>
    <t>列9779</t>
  </si>
  <si>
    <t>列9780</t>
  </si>
  <si>
    <t>列9781</t>
  </si>
  <si>
    <t>列9782</t>
  </si>
  <si>
    <t>列9783</t>
  </si>
  <si>
    <t>列9784</t>
  </si>
  <si>
    <t>列9785</t>
  </si>
  <si>
    <t>列9786</t>
  </si>
  <si>
    <t>列9787</t>
  </si>
  <si>
    <t>列9788</t>
  </si>
  <si>
    <t>列9789</t>
  </si>
  <si>
    <t>列9790</t>
  </si>
  <si>
    <t>列9791</t>
  </si>
  <si>
    <t>列9792</t>
  </si>
  <si>
    <t>列9793</t>
  </si>
  <si>
    <t>列9794</t>
  </si>
  <si>
    <t>列9795</t>
  </si>
  <si>
    <t>列9796</t>
  </si>
  <si>
    <t>列9797</t>
  </si>
  <si>
    <t>列9798</t>
  </si>
  <si>
    <t>列9799</t>
  </si>
  <si>
    <t>列9800</t>
  </si>
  <si>
    <t>列9801</t>
  </si>
  <si>
    <t>列9802</t>
  </si>
  <si>
    <t>列9803</t>
  </si>
  <si>
    <t>列9804</t>
  </si>
  <si>
    <t>列9805</t>
  </si>
  <si>
    <t>列9806</t>
  </si>
  <si>
    <t>列9807</t>
  </si>
  <si>
    <t>列9808</t>
  </si>
  <si>
    <t>列9809</t>
  </si>
  <si>
    <t>列9810</t>
  </si>
  <si>
    <t>列9811</t>
  </si>
  <si>
    <t>列9812</t>
  </si>
  <si>
    <t>列9813</t>
  </si>
  <si>
    <t>列9814</t>
  </si>
  <si>
    <t>列9815</t>
  </si>
  <si>
    <t>列9816</t>
  </si>
  <si>
    <t>列9817</t>
  </si>
  <si>
    <t>列9818</t>
  </si>
  <si>
    <t>列9819</t>
  </si>
  <si>
    <t>列9820</t>
  </si>
  <si>
    <t>列9821</t>
  </si>
  <si>
    <t>列9822</t>
  </si>
  <si>
    <t>列9823</t>
  </si>
  <si>
    <t>列9824</t>
  </si>
  <si>
    <t>列9825</t>
  </si>
  <si>
    <t>列9826</t>
  </si>
  <si>
    <t>列9827</t>
  </si>
  <si>
    <t>列9828</t>
  </si>
  <si>
    <t>列9829</t>
  </si>
  <si>
    <t>列9830</t>
  </si>
  <si>
    <t>列9831</t>
  </si>
  <si>
    <t>列9832</t>
  </si>
  <si>
    <t>列9833</t>
  </si>
  <si>
    <t>列9834</t>
  </si>
  <si>
    <t>列9835</t>
  </si>
  <si>
    <t>列9836</t>
  </si>
  <si>
    <t>列9837</t>
  </si>
  <si>
    <t>列9838</t>
  </si>
  <si>
    <t>列9839</t>
  </si>
  <si>
    <t>列9840</t>
  </si>
  <si>
    <t>列9841</t>
  </si>
  <si>
    <t>列9842</t>
  </si>
  <si>
    <t>列9843</t>
  </si>
  <si>
    <t>列9844</t>
  </si>
  <si>
    <t>列9845</t>
  </si>
  <si>
    <t>列9846</t>
  </si>
  <si>
    <t>列9847</t>
  </si>
  <si>
    <t>列9848</t>
  </si>
  <si>
    <t>列9849</t>
  </si>
  <si>
    <t>列9850</t>
  </si>
  <si>
    <t>列9851</t>
  </si>
  <si>
    <t>列9852</t>
  </si>
  <si>
    <t>列9853</t>
  </si>
  <si>
    <t>列9854</t>
  </si>
  <si>
    <t>列9855</t>
  </si>
  <si>
    <t>列9856</t>
  </si>
  <si>
    <t>列9857</t>
  </si>
  <si>
    <t>列9858</t>
  </si>
  <si>
    <t>列9859</t>
  </si>
  <si>
    <t>列9860</t>
  </si>
  <si>
    <t>列9861</t>
  </si>
  <si>
    <t>列9862</t>
  </si>
  <si>
    <t>列9863</t>
  </si>
  <si>
    <t>列9864</t>
  </si>
  <si>
    <t>列9865</t>
  </si>
  <si>
    <t>列9866</t>
  </si>
  <si>
    <t>列9867</t>
  </si>
  <si>
    <t>列9868</t>
  </si>
  <si>
    <t>列9869</t>
  </si>
  <si>
    <t>列9870</t>
  </si>
  <si>
    <t>列9871</t>
  </si>
  <si>
    <t>列9872</t>
  </si>
  <si>
    <t>列9873</t>
  </si>
  <si>
    <t>列9874</t>
  </si>
  <si>
    <t>列9875</t>
  </si>
  <si>
    <t>列9876</t>
  </si>
  <si>
    <t>列9877</t>
  </si>
  <si>
    <t>列9878</t>
  </si>
  <si>
    <t>列9879</t>
  </si>
  <si>
    <t>列9880</t>
  </si>
  <si>
    <t>列9881</t>
  </si>
  <si>
    <t>列9882</t>
  </si>
  <si>
    <t>列9883</t>
  </si>
  <si>
    <t>列9884</t>
  </si>
  <si>
    <t>列9885</t>
  </si>
  <si>
    <t>列9886</t>
  </si>
  <si>
    <t>列9887</t>
  </si>
  <si>
    <t>列9888</t>
  </si>
  <si>
    <t>列9889</t>
  </si>
  <si>
    <t>列9890</t>
  </si>
  <si>
    <t>列9891</t>
  </si>
  <si>
    <t>列9892</t>
  </si>
  <si>
    <t>列9893</t>
  </si>
  <si>
    <t>列9894</t>
  </si>
  <si>
    <t>列9895</t>
  </si>
  <si>
    <t>列9896</t>
  </si>
  <si>
    <t>列9897</t>
  </si>
  <si>
    <t>列9898</t>
  </si>
  <si>
    <t>列9899</t>
  </si>
  <si>
    <t>列9900</t>
  </si>
  <si>
    <t>列9901</t>
  </si>
  <si>
    <t>列9902</t>
  </si>
  <si>
    <t>列9903</t>
  </si>
  <si>
    <t>列9904</t>
  </si>
  <si>
    <t>列9905</t>
  </si>
  <si>
    <t>列9906</t>
  </si>
  <si>
    <t>列9907</t>
  </si>
  <si>
    <t>列9908</t>
  </si>
  <si>
    <t>列9909</t>
  </si>
  <si>
    <t>列9910</t>
  </si>
  <si>
    <t>列9911</t>
  </si>
  <si>
    <t>列9912</t>
  </si>
  <si>
    <t>列9913</t>
  </si>
  <si>
    <t>列9914</t>
  </si>
  <si>
    <t>列9915</t>
  </si>
  <si>
    <t>列9916</t>
  </si>
  <si>
    <t>列9917</t>
  </si>
  <si>
    <t>列9918</t>
  </si>
  <si>
    <t>列9919</t>
  </si>
  <si>
    <t>列9920</t>
  </si>
  <si>
    <t>列9921</t>
  </si>
  <si>
    <t>列9922</t>
  </si>
  <si>
    <t>列9923</t>
  </si>
  <si>
    <t>列9924</t>
  </si>
  <si>
    <t>列9925</t>
  </si>
  <si>
    <t>列9926</t>
  </si>
  <si>
    <t>列9927</t>
  </si>
  <si>
    <t>列9928</t>
  </si>
  <si>
    <t>列9929</t>
  </si>
  <si>
    <t>列9930</t>
  </si>
  <si>
    <t>列9931</t>
  </si>
  <si>
    <t>列9932</t>
  </si>
  <si>
    <t>列9933</t>
  </si>
  <si>
    <t>列9934</t>
  </si>
  <si>
    <t>列9935</t>
  </si>
  <si>
    <t>列9936</t>
  </si>
  <si>
    <t>列9937</t>
  </si>
  <si>
    <t>列9938</t>
  </si>
  <si>
    <t>列9939</t>
  </si>
  <si>
    <t>列9940</t>
  </si>
  <si>
    <t>列9941</t>
  </si>
  <si>
    <t>列9942</t>
  </si>
  <si>
    <t>列9943</t>
  </si>
  <si>
    <t>列9944</t>
  </si>
  <si>
    <t>列9945</t>
  </si>
  <si>
    <t>列9946</t>
  </si>
  <si>
    <t>列9947</t>
  </si>
  <si>
    <t>列9948</t>
  </si>
  <si>
    <t>列9949</t>
  </si>
  <si>
    <t>列9950</t>
  </si>
  <si>
    <t>列9951</t>
  </si>
  <si>
    <t>列9952</t>
  </si>
  <si>
    <t>列9953</t>
  </si>
  <si>
    <t>列9954</t>
  </si>
  <si>
    <t>列9955</t>
  </si>
  <si>
    <t>列9956</t>
  </si>
  <si>
    <t>列9957</t>
  </si>
  <si>
    <t>列9958</t>
  </si>
  <si>
    <t>列9959</t>
  </si>
  <si>
    <t>列9960</t>
  </si>
  <si>
    <t>列9961</t>
  </si>
  <si>
    <t>列9962</t>
  </si>
  <si>
    <t>列9963</t>
  </si>
  <si>
    <t>列9964</t>
  </si>
  <si>
    <t>列9965</t>
  </si>
  <si>
    <t>列9966</t>
  </si>
  <si>
    <t>列9967</t>
  </si>
  <si>
    <t>列9968</t>
  </si>
  <si>
    <t>列9969</t>
  </si>
  <si>
    <t>列9970</t>
  </si>
  <si>
    <t>列9971</t>
  </si>
  <si>
    <t>列9972</t>
  </si>
  <si>
    <t>列9973</t>
  </si>
  <si>
    <t>列9974</t>
  </si>
  <si>
    <t>列9975</t>
  </si>
  <si>
    <t>列9976</t>
  </si>
  <si>
    <t>列9977</t>
  </si>
  <si>
    <t>列9978</t>
  </si>
  <si>
    <t>列9979</t>
  </si>
  <si>
    <t>列9980</t>
  </si>
  <si>
    <t>列9981</t>
  </si>
  <si>
    <t>列9982</t>
  </si>
  <si>
    <t>列9983</t>
  </si>
  <si>
    <t>列9984</t>
  </si>
  <si>
    <t>列9985</t>
  </si>
  <si>
    <t>列9986</t>
  </si>
  <si>
    <t>列9987</t>
  </si>
  <si>
    <t>列9988</t>
  </si>
  <si>
    <t>列9989</t>
  </si>
  <si>
    <t>列9990</t>
  </si>
  <si>
    <t>列9991</t>
  </si>
  <si>
    <t>列9992</t>
  </si>
  <si>
    <t>列9993</t>
  </si>
  <si>
    <t>列9994</t>
  </si>
  <si>
    <t>列9995</t>
  </si>
  <si>
    <t>列9996</t>
  </si>
  <si>
    <t>列9997</t>
  </si>
  <si>
    <t>列9998</t>
  </si>
  <si>
    <t>列9999</t>
  </si>
  <si>
    <t>列10000</t>
  </si>
  <si>
    <t>列10001</t>
  </si>
  <si>
    <t>列10002</t>
  </si>
  <si>
    <t>列10003</t>
  </si>
  <si>
    <t>列10004</t>
  </si>
  <si>
    <t>列10005</t>
  </si>
  <si>
    <t>列10006</t>
  </si>
  <si>
    <t>列10007</t>
  </si>
  <si>
    <t>列10008</t>
  </si>
  <si>
    <t>列10009</t>
  </si>
  <si>
    <t>列10010</t>
  </si>
  <si>
    <t>列10011</t>
  </si>
  <si>
    <t>列10012</t>
  </si>
  <si>
    <t>列10013</t>
  </si>
  <si>
    <t>列10014</t>
  </si>
  <si>
    <t>列10015</t>
  </si>
  <si>
    <t>列10016</t>
  </si>
  <si>
    <t>列10017</t>
  </si>
  <si>
    <t>列10018</t>
  </si>
  <si>
    <t>列10019</t>
  </si>
  <si>
    <t>列10020</t>
  </si>
  <si>
    <t>列10021</t>
  </si>
  <si>
    <t>列10022</t>
  </si>
  <si>
    <t>列10023</t>
  </si>
  <si>
    <t>列10024</t>
  </si>
  <si>
    <t>列10025</t>
  </si>
  <si>
    <t>列10026</t>
  </si>
  <si>
    <t>列10027</t>
  </si>
  <si>
    <t>列10028</t>
  </si>
  <si>
    <t>列10029</t>
  </si>
  <si>
    <t>列10030</t>
  </si>
  <si>
    <t>列10031</t>
  </si>
  <si>
    <t>列10032</t>
  </si>
  <si>
    <t>列10033</t>
  </si>
  <si>
    <t>列10034</t>
  </si>
  <si>
    <t>列10035</t>
  </si>
  <si>
    <t>列10036</t>
  </si>
  <si>
    <t>列10037</t>
  </si>
  <si>
    <t>列10038</t>
  </si>
  <si>
    <t>列10039</t>
  </si>
  <si>
    <t>列10040</t>
  </si>
  <si>
    <t>列10041</t>
  </si>
  <si>
    <t>列10042</t>
  </si>
  <si>
    <t>列10043</t>
  </si>
  <si>
    <t>列10044</t>
  </si>
  <si>
    <t>列10045</t>
  </si>
  <si>
    <t>列10046</t>
  </si>
  <si>
    <t>列10047</t>
  </si>
  <si>
    <t>列10048</t>
  </si>
  <si>
    <t>列10049</t>
  </si>
  <si>
    <t>列10050</t>
  </si>
  <si>
    <t>列10051</t>
  </si>
  <si>
    <t>列10052</t>
  </si>
  <si>
    <t>列10053</t>
  </si>
  <si>
    <t>列10054</t>
  </si>
  <si>
    <t>列10055</t>
  </si>
  <si>
    <t>列10056</t>
  </si>
  <si>
    <t>列10057</t>
  </si>
  <si>
    <t>列10058</t>
  </si>
  <si>
    <t>列10059</t>
  </si>
  <si>
    <t>列10060</t>
  </si>
  <si>
    <t>列10061</t>
  </si>
  <si>
    <t>列10062</t>
  </si>
  <si>
    <t>列10063</t>
  </si>
  <si>
    <t>列10064</t>
  </si>
  <si>
    <t>列10065</t>
  </si>
  <si>
    <t>列10066</t>
  </si>
  <si>
    <t>列10067</t>
  </si>
  <si>
    <t>列10068</t>
  </si>
  <si>
    <t>列10069</t>
  </si>
  <si>
    <t>列10070</t>
  </si>
  <si>
    <t>列10071</t>
  </si>
  <si>
    <t>列10072</t>
  </si>
  <si>
    <t>列10073</t>
  </si>
  <si>
    <t>列10074</t>
  </si>
  <si>
    <t>列10075</t>
  </si>
  <si>
    <t>列10076</t>
  </si>
  <si>
    <t>列10077</t>
  </si>
  <si>
    <t>列10078</t>
  </si>
  <si>
    <t>列10079</t>
  </si>
  <si>
    <t>列10080</t>
  </si>
  <si>
    <t>列10081</t>
  </si>
  <si>
    <t>列10082</t>
  </si>
  <si>
    <t>列10083</t>
  </si>
  <si>
    <t>列10084</t>
  </si>
  <si>
    <t>列10085</t>
  </si>
  <si>
    <t>列10086</t>
  </si>
  <si>
    <t>列10087</t>
  </si>
  <si>
    <t>列10088</t>
  </si>
  <si>
    <t>列10089</t>
  </si>
  <si>
    <t>列10090</t>
  </si>
  <si>
    <t>列10091</t>
  </si>
  <si>
    <t>列10092</t>
  </si>
  <si>
    <t>列10093</t>
  </si>
  <si>
    <t>列10094</t>
  </si>
  <si>
    <t>列10095</t>
  </si>
  <si>
    <t>列10096</t>
  </si>
  <si>
    <t>列10097</t>
  </si>
  <si>
    <t>列10098</t>
  </si>
  <si>
    <t>列10099</t>
  </si>
  <si>
    <t>列10100</t>
  </si>
  <si>
    <t>列10101</t>
  </si>
  <si>
    <t>列10102</t>
  </si>
  <si>
    <t>列10103</t>
  </si>
  <si>
    <t>列10104</t>
  </si>
  <si>
    <t>列10105</t>
  </si>
  <si>
    <t>列10106</t>
  </si>
  <si>
    <t>列10107</t>
  </si>
  <si>
    <t>列10108</t>
  </si>
  <si>
    <t>列10109</t>
  </si>
  <si>
    <t>列10110</t>
  </si>
  <si>
    <t>列10111</t>
  </si>
  <si>
    <t>列10112</t>
  </si>
  <si>
    <t>列10113</t>
  </si>
  <si>
    <t>列10114</t>
  </si>
  <si>
    <t>列10115</t>
  </si>
  <si>
    <t>列10116</t>
  </si>
  <si>
    <t>列10117</t>
  </si>
  <si>
    <t>列10118</t>
  </si>
  <si>
    <t>列10119</t>
  </si>
  <si>
    <t>列10120</t>
  </si>
  <si>
    <t>列10121</t>
  </si>
  <si>
    <t>列10122</t>
  </si>
  <si>
    <t>列10123</t>
  </si>
  <si>
    <t>列10124</t>
  </si>
  <si>
    <t>列10125</t>
  </si>
  <si>
    <t>列10126</t>
  </si>
  <si>
    <t>列10127</t>
  </si>
  <si>
    <t>列10128</t>
  </si>
  <si>
    <t>列10129</t>
  </si>
  <si>
    <t>列10130</t>
  </si>
  <si>
    <t>列10131</t>
  </si>
  <si>
    <t>列10132</t>
  </si>
  <si>
    <t>列10133</t>
  </si>
  <si>
    <t>列10134</t>
  </si>
  <si>
    <t>列10135</t>
  </si>
  <si>
    <t>列10136</t>
  </si>
  <si>
    <t>列10137</t>
  </si>
  <si>
    <t>列10138</t>
  </si>
  <si>
    <t>列10139</t>
  </si>
  <si>
    <t>列10140</t>
  </si>
  <si>
    <t>列10141</t>
  </si>
  <si>
    <t>列10142</t>
  </si>
  <si>
    <t>列10143</t>
  </si>
  <si>
    <t>列10144</t>
  </si>
  <si>
    <t>列10145</t>
  </si>
  <si>
    <t>列10146</t>
  </si>
  <si>
    <t>列10147</t>
  </si>
  <si>
    <t>列10148</t>
  </si>
  <si>
    <t>列10149</t>
  </si>
  <si>
    <t>列10150</t>
  </si>
  <si>
    <t>列10151</t>
  </si>
  <si>
    <t>列10152</t>
  </si>
  <si>
    <t>列10153</t>
  </si>
  <si>
    <t>列10154</t>
  </si>
  <si>
    <t>列10155</t>
  </si>
  <si>
    <t>列10156</t>
  </si>
  <si>
    <t>列10157</t>
  </si>
  <si>
    <t>列10158</t>
  </si>
  <si>
    <t>列10159</t>
  </si>
  <si>
    <t>列10160</t>
  </si>
  <si>
    <t>列10161</t>
  </si>
  <si>
    <t>列10162</t>
  </si>
  <si>
    <t>列10163</t>
  </si>
  <si>
    <t>列10164</t>
  </si>
  <si>
    <t>列10165</t>
  </si>
  <si>
    <t>列10166</t>
  </si>
  <si>
    <t>列10167</t>
  </si>
  <si>
    <t>列10168</t>
  </si>
  <si>
    <t>列10169</t>
  </si>
  <si>
    <t>列10170</t>
  </si>
  <si>
    <t>列10171</t>
  </si>
  <si>
    <t>列10172</t>
  </si>
  <si>
    <t>列10173</t>
  </si>
  <si>
    <t>列10174</t>
  </si>
  <si>
    <t>列10175</t>
  </si>
  <si>
    <t>列10176</t>
  </si>
  <si>
    <t>列10177</t>
  </si>
  <si>
    <t>列10178</t>
  </si>
  <si>
    <t>列10179</t>
  </si>
  <si>
    <t>列10180</t>
  </si>
  <si>
    <t>列10181</t>
  </si>
  <si>
    <t>列10182</t>
  </si>
  <si>
    <t>列10183</t>
  </si>
  <si>
    <t>列10184</t>
  </si>
  <si>
    <t>列10185</t>
  </si>
  <si>
    <t>列10186</t>
  </si>
  <si>
    <t>列10187</t>
  </si>
  <si>
    <t>列10188</t>
  </si>
  <si>
    <t>列10189</t>
  </si>
  <si>
    <t>列10190</t>
  </si>
  <si>
    <t>列10191</t>
  </si>
  <si>
    <t>列10192</t>
  </si>
  <si>
    <t>列10193</t>
  </si>
  <si>
    <t>列10194</t>
  </si>
  <si>
    <t>列10195</t>
  </si>
  <si>
    <t>列10196</t>
  </si>
  <si>
    <t>列10197</t>
  </si>
  <si>
    <t>列10198</t>
  </si>
  <si>
    <t>列10199</t>
  </si>
  <si>
    <t>列10200</t>
  </si>
  <si>
    <t>列10201</t>
  </si>
  <si>
    <t>列10202</t>
  </si>
  <si>
    <t>列10203</t>
  </si>
  <si>
    <t>列10204</t>
  </si>
  <si>
    <t>列10205</t>
  </si>
  <si>
    <t>列10206</t>
  </si>
  <si>
    <t>列10207</t>
  </si>
  <si>
    <t>列10208</t>
  </si>
  <si>
    <t>列10209</t>
  </si>
  <si>
    <t>列10210</t>
  </si>
  <si>
    <t>列10211</t>
  </si>
  <si>
    <t>列10212</t>
  </si>
  <si>
    <t>列10213</t>
  </si>
  <si>
    <t>列10214</t>
  </si>
  <si>
    <t>列10215</t>
  </si>
  <si>
    <t>列10216</t>
  </si>
  <si>
    <t>列10217</t>
  </si>
  <si>
    <t>列10218</t>
  </si>
  <si>
    <t>列10219</t>
  </si>
  <si>
    <t>列10220</t>
  </si>
  <si>
    <t>列10221</t>
  </si>
  <si>
    <t>列10222</t>
  </si>
  <si>
    <t>列10223</t>
  </si>
  <si>
    <t>列10224</t>
  </si>
  <si>
    <t>列10225</t>
  </si>
  <si>
    <t>列10226</t>
  </si>
  <si>
    <t>列10227</t>
  </si>
  <si>
    <t>列10228</t>
  </si>
  <si>
    <t>列10229</t>
  </si>
  <si>
    <t>列10230</t>
  </si>
  <si>
    <t>列10231</t>
  </si>
  <si>
    <t>列10232</t>
  </si>
  <si>
    <t>列10233</t>
  </si>
  <si>
    <t>列10234</t>
  </si>
  <si>
    <t>列10235</t>
  </si>
  <si>
    <t>列10236</t>
  </si>
  <si>
    <t>列10237</t>
  </si>
  <si>
    <t>列10238</t>
  </si>
  <si>
    <t>列10239</t>
  </si>
  <si>
    <t>列10240</t>
  </si>
  <si>
    <t>列10241</t>
  </si>
  <si>
    <t>列10242</t>
  </si>
  <si>
    <t>列10243</t>
  </si>
  <si>
    <t>列10244</t>
  </si>
  <si>
    <t>列10245</t>
  </si>
  <si>
    <t>列10246</t>
  </si>
  <si>
    <t>列10247</t>
  </si>
  <si>
    <t>列10248</t>
  </si>
  <si>
    <t>列10249</t>
  </si>
  <si>
    <t>列10250</t>
  </si>
  <si>
    <t>列10251</t>
  </si>
  <si>
    <t>列10252</t>
  </si>
  <si>
    <t>列10253</t>
  </si>
  <si>
    <t>列10254</t>
  </si>
  <si>
    <t>列10255</t>
  </si>
  <si>
    <t>列10256</t>
  </si>
  <si>
    <t>列10257</t>
  </si>
  <si>
    <t>列10258</t>
  </si>
  <si>
    <t>列10259</t>
  </si>
  <si>
    <t>列10260</t>
  </si>
  <si>
    <t>列10261</t>
  </si>
  <si>
    <t>列10262</t>
  </si>
  <si>
    <t>列10263</t>
  </si>
  <si>
    <t>列10264</t>
  </si>
  <si>
    <t>列10265</t>
  </si>
  <si>
    <t>列10266</t>
  </si>
  <si>
    <t>列10267</t>
  </si>
  <si>
    <t>列10268</t>
  </si>
  <si>
    <t>列10269</t>
  </si>
  <si>
    <t>列10270</t>
  </si>
  <si>
    <t>列10271</t>
  </si>
  <si>
    <t>列10272</t>
  </si>
  <si>
    <t>列10273</t>
  </si>
  <si>
    <t>列10274</t>
  </si>
  <si>
    <t>列10275</t>
  </si>
  <si>
    <t>列10276</t>
  </si>
  <si>
    <t>列10277</t>
  </si>
  <si>
    <t>列10278</t>
  </si>
  <si>
    <t>列10279</t>
  </si>
  <si>
    <t>列10280</t>
  </si>
  <si>
    <t>列10281</t>
  </si>
  <si>
    <t>列10282</t>
  </si>
  <si>
    <t>列10283</t>
  </si>
  <si>
    <t>列10284</t>
  </si>
  <si>
    <t>列10285</t>
  </si>
  <si>
    <t>列10286</t>
  </si>
  <si>
    <t>列10287</t>
  </si>
  <si>
    <t>列10288</t>
  </si>
  <si>
    <t>列10289</t>
  </si>
  <si>
    <t>列10290</t>
  </si>
  <si>
    <t>列10291</t>
  </si>
  <si>
    <t>列10292</t>
  </si>
  <si>
    <t>列10293</t>
  </si>
  <si>
    <t>列10294</t>
  </si>
  <si>
    <t>列10295</t>
  </si>
  <si>
    <t>列10296</t>
  </si>
  <si>
    <t>列10297</t>
  </si>
  <si>
    <t>列10298</t>
  </si>
  <si>
    <t>列10299</t>
  </si>
  <si>
    <t>列10300</t>
  </si>
  <si>
    <t>列10301</t>
  </si>
  <si>
    <t>列10302</t>
  </si>
  <si>
    <t>列10303</t>
  </si>
  <si>
    <t>列10304</t>
  </si>
  <si>
    <t>列10305</t>
  </si>
  <si>
    <t>列10306</t>
  </si>
  <si>
    <t>列10307</t>
  </si>
  <si>
    <t>列10308</t>
  </si>
  <si>
    <t>列10309</t>
  </si>
  <si>
    <t>列10310</t>
  </si>
  <si>
    <t>列10311</t>
  </si>
  <si>
    <t>列10312</t>
  </si>
  <si>
    <t>列10313</t>
  </si>
  <si>
    <t>列10314</t>
  </si>
  <si>
    <t>列10315</t>
  </si>
  <si>
    <t>列10316</t>
  </si>
  <si>
    <t>列10317</t>
  </si>
  <si>
    <t>列10318</t>
  </si>
  <si>
    <t>列10319</t>
  </si>
  <si>
    <t>列10320</t>
  </si>
  <si>
    <t>列10321</t>
  </si>
  <si>
    <t>列10322</t>
  </si>
  <si>
    <t>列10323</t>
  </si>
  <si>
    <t>列10324</t>
  </si>
  <si>
    <t>列10325</t>
  </si>
  <si>
    <t>列10326</t>
  </si>
  <si>
    <t>列10327</t>
  </si>
  <si>
    <t>列10328</t>
  </si>
  <si>
    <t>列10329</t>
  </si>
  <si>
    <t>列10330</t>
  </si>
  <si>
    <t>列10331</t>
  </si>
  <si>
    <t>列10332</t>
  </si>
  <si>
    <t>列10333</t>
  </si>
  <si>
    <t>列10334</t>
  </si>
  <si>
    <t>列10335</t>
  </si>
  <si>
    <t>列10336</t>
  </si>
  <si>
    <t>列10337</t>
  </si>
  <si>
    <t>列10338</t>
  </si>
  <si>
    <t>列10339</t>
  </si>
  <si>
    <t>列10340</t>
  </si>
  <si>
    <t>列10341</t>
  </si>
  <si>
    <t>列10342</t>
  </si>
  <si>
    <t>列10343</t>
  </si>
  <si>
    <t>列10344</t>
  </si>
  <si>
    <t>列10345</t>
  </si>
  <si>
    <t>列10346</t>
  </si>
  <si>
    <t>列10347</t>
  </si>
  <si>
    <t>列10348</t>
  </si>
  <si>
    <t>列10349</t>
  </si>
  <si>
    <t>列10350</t>
  </si>
  <si>
    <t>列10351</t>
  </si>
  <si>
    <t>列10352</t>
  </si>
  <si>
    <t>列10353</t>
  </si>
  <si>
    <t>列10354</t>
  </si>
  <si>
    <t>列10355</t>
  </si>
  <si>
    <t>列10356</t>
  </si>
  <si>
    <t>列10357</t>
  </si>
  <si>
    <t>列10358</t>
  </si>
  <si>
    <t>列10359</t>
  </si>
  <si>
    <t>列10360</t>
  </si>
  <si>
    <t>列10361</t>
  </si>
  <si>
    <t>列10362</t>
  </si>
  <si>
    <t>列10363</t>
  </si>
  <si>
    <t>列10364</t>
  </si>
  <si>
    <t>列10365</t>
  </si>
  <si>
    <t>列10366</t>
  </si>
  <si>
    <t>列10367</t>
  </si>
  <si>
    <t>列10368</t>
  </si>
  <si>
    <t>列10369</t>
  </si>
  <si>
    <t>列10370</t>
  </si>
  <si>
    <t>列10371</t>
  </si>
  <si>
    <t>列10372</t>
  </si>
  <si>
    <t>列10373</t>
  </si>
  <si>
    <t>列10374</t>
  </si>
  <si>
    <t>列10375</t>
  </si>
  <si>
    <t>列10376</t>
  </si>
  <si>
    <t>列10377</t>
  </si>
  <si>
    <t>列10378</t>
  </si>
  <si>
    <t>列10379</t>
  </si>
  <si>
    <t>列10380</t>
  </si>
  <si>
    <t>列10381</t>
  </si>
  <si>
    <t>列10382</t>
  </si>
  <si>
    <t>列10383</t>
  </si>
  <si>
    <t>列10384</t>
  </si>
  <si>
    <t>列10385</t>
  </si>
  <si>
    <t>列10386</t>
  </si>
  <si>
    <t>列10387</t>
  </si>
  <si>
    <t>列10388</t>
  </si>
  <si>
    <t>列10389</t>
  </si>
  <si>
    <t>列10390</t>
  </si>
  <si>
    <t>列10391</t>
  </si>
  <si>
    <t>列10392</t>
  </si>
  <si>
    <t>列10393</t>
  </si>
  <si>
    <t>列10394</t>
  </si>
  <si>
    <t>列10395</t>
  </si>
  <si>
    <t>列10396</t>
  </si>
  <si>
    <t>列10397</t>
  </si>
  <si>
    <t>列10398</t>
  </si>
  <si>
    <t>列10399</t>
  </si>
  <si>
    <t>列10400</t>
  </si>
  <si>
    <t>列10401</t>
  </si>
  <si>
    <t>列10402</t>
  </si>
  <si>
    <t>列10403</t>
  </si>
  <si>
    <t>列10404</t>
  </si>
  <si>
    <t>列10405</t>
  </si>
  <si>
    <t>列10406</t>
  </si>
  <si>
    <t>列10407</t>
  </si>
  <si>
    <t>列10408</t>
  </si>
  <si>
    <t>列10409</t>
  </si>
  <si>
    <t>列10410</t>
  </si>
  <si>
    <t>列10411</t>
  </si>
  <si>
    <t>列10412</t>
  </si>
  <si>
    <t>列10413</t>
  </si>
  <si>
    <t>列10414</t>
  </si>
  <si>
    <t>列10415</t>
  </si>
  <si>
    <t>列10416</t>
  </si>
  <si>
    <t>列10417</t>
  </si>
  <si>
    <t>列10418</t>
  </si>
  <si>
    <t>列10419</t>
  </si>
  <si>
    <t>列10420</t>
  </si>
  <si>
    <t>列10421</t>
  </si>
  <si>
    <t>列10422</t>
  </si>
  <si>
    <t>列10423</t>
  </si>
  <si>
    <t>列10424</t>
  </si>
  <si>
    <t>列10425</t>
  </si>
  <si>
    <t>列10426</t>
  </si>
  <si>
    <t>列10427</t>
  </si>
  <si>
    <t>列10428</t>
  </si>
  <si>
    <t>列10429</t>
  </si>
  <si>
    <t>列10430</t>
  </si>
  <si>
    <t>列10431</t>
  </si>
  <si>
    <t>列10432</t>
  </si>
  <si>
    <t>列10433</t>
  </si>
  <si>
    <t>列10434</t>
  </si>
  <si>
    <t>列10435</t>
  </si>
  <si>
    <t>列10436</t>
  </si>
  <si>
    <t>列10437</t>
  </si>
  <si>
    <t>列10438</t>
  </si>
  <si>
    <t>列10439</t>
  </si>
  <si>
    <t>列10440</t>
  </si>
  <si>
    <t>列10441</t>
  </si>
  <si>
    <t>列10442</t>
  </si>
  <si>
    <t>列10443</t>
  </si>
  <si>
    <t>列10444</t>
  </si>
  <si>
    <t>列10445</t>
  </si>
  <si>
    <t>列10446</t>
  </si>
  <si>
    <t>列10447</t>
  </si>
  <si>
    <t>列10448</t>
  </si>
  <si>
    <t>列10449</t>
  </si>
  <si>
    <t>列10450</t>
  </si>
  <si>
    <t>列10451</t>
  </si>
  <si>
    <t>列10452</t>
  </si>
  <si>
    <t>列10453</t>
  </si>
  <si>
    <t>列10454</t>
  </si>
  <si>
    <t>列10455</t>
  </si>
  <si>
    <t>列10456</t>
  </si>
  <si>
    <t>列10457</t>
  </si>
  <si>
    <t>列10458</t>
  </si>
  <si>
    <t>列10459</t>
  </si>
  <si>
    <t>列10460</t>
  </si>
  <si>
    <t>列10461</t>
  </si>
  <si>
    <t>列10462</t>
  </si>
  <si>
    <t>列10463</t>
  </si>
  <si>
    <t>列10464</t>
  </si>
  <si>
    <t>列10465</t>
  </si>
  <si>
    <t>列10466</t>
  </si>
  <si>
    <t>列10467</t>
  </si>
  <si>
    <t>列10468</t>
  </si>
  <si>
    <t>列10469</t>
  </si>
  <si>
    <t>列10470</t>
  </si>
  <si>
    <t>列10471</t>
  </si>
  <si>
    <t>列10472</t>
  </si>
  <si>
    <t>列10473</t>
  </si>
  <si>
    <t>列10474</t>
  </si>
  <si>
    <t>列10475</t>
  </si>
  <si>
    <t>列10476</t>
  </si>
  <si>
    <t>列10477</t>
  </si>
  <si>
    <t>列10478</t>
  </si>
  <si>
    <t>列10479</t>
  </si>
  <si>
    <t>列10480</t>
  </si>
  <si>
    <t>列10481</t>
  </si>
  <si>
    <t>列10482</t>
  </si>
  <si>
    <t>列10483</t>
  </si>
  <si>
    <t>列10484</t>
  </si>
  <si>
    <t>列10485</t>
  </si>
  <si>
    <t>列10486</t>
  </si>
  <si>
    <t>列10487</t>
  </si>
  <si>
    <t>列10488</t>
  </si>
  <si>
    <t>列10489</t>
  </si>
  <si>
    <t>列10490</t>
  </si>
  <si>
    <t>列10491</t>
  </si>
  <si>
    <t>列10492</t>
  </si>
  <si>
    <t>列10493</t>
  </si>
  <si>
    <t>列10494</t>
  </si>
  <si>
    <t>列10495</t>
  </si>
  <si>
    <t>列10496</t>
  </si>
  <si>
    <t>列10497</t>
  </si>
  <si>
    <t>列10498</t>
  </si>
  <si>
    <t>列10499</t>
  </si>
  <si>
    <t>列10500</t>
  </si>
  <si>
    <t>列10501</t>
  </si>
  <si>
    <t>列10502</t>
  </si>
  <si>
    <t>列10503</t>
  </si>
  <si>
    <t>列10504</t>
  </si>
  <si>
    <t>列10505</t>
  </si>
  <si>
    <t>列10506</t>
  </si>
  <si>
    <t>列10507</t>
  </si>
  <si>
    <t>列10508</t>
  </si>
  <si>
    <t>列10509</t>
  </si>
  <si>
    <t>列10510</t>
  </si>
  <si>
    <t>列10511</t>
  </si>
  <si>
    <t>列10512</t>
  </si>
  <si>
    <t>列10513</t>
  </si>
  <si>
    <t>列10514</t>
  </si>
  <si>
    <t>列10515</t>
  </si>
  <si>
    <t>列10516</t>
  </si>
  <si>
    <t>列10517</t>
  </si>
  <si>
    <t>列10518</t>
  </si>
  <si>
    <t>列10519</t>
  </si>
  <si>
    <t>列10520</t>
  </si>
  <si>
    <t>列10521</t>
  </si>
  <si>
    <t>列10522</t>
  </si>
  <si>
    <t>列10523</t>
  </si>
  <si>
    <t>列10524</t>
  </si>
  <si>
    <t>列10525</t>
  </si>
  <si>
    <t>列10526</t>
  </si>
  <si>
    <t>列10527</t>
  </si>
  <si>
    <t>列10528</t>
  </si>
  <si>
    <t>列10529</t>
  </si>
  <si>
    <t>列10530</t>
  </si>
  <si>
    <t>列10531</t>
  </si>
  <si>
    <t>列10532</t>
  </si>
  <si>
    <t>列10533</t>
  </si>
  <si>
    <t>列10534</t>
  </si>
  <si>
    <t>列10535</t>
  </si>
  <si>
    <t>列10536</t>
  </si>
  <si>
    <t>列10537</t>
  </si>
  <si>
    <t>列10538</t>
  </si>
  <si>
    <t>列10539</t>
  </si>
  <si>
    <t>列10540</t>
  </si>
  <si>
    <t>列10541</t>
  </si>
  <si>
    <t>列10542</t>
  </si>
  <si>
    <t>列10543</t>
  </si>
  <si>
    <t>列10544</t>
  </si>
  <si>
    <t>列10545</t>
  </si>
  <si>
    <t>列10546</t>
  </si>
  <si>
    <t>列10547</t>
  </si>
  <si>
    <t>列10548</t>
  </si>
  <si>
    <t>列10549</t>
  </si>
  <si>
    <t>列10550</t>
  </si>
  <si>
    <t>列10551</t>
  </si>
  <si>
    <t>列10552</t>
  </si>
  <si>
    <t>列10553</t>
  </si>
  <si>
    <t>列10554</t>
  </si>
  <si>
    <t>列10555</t>
  </si>
  <si>
    <t>列10556</t>
  </si>
  <si>
    <t>列10557</t>
  </si>
  <si>
    <t>列10558</t>
  </si>
  <si>
    <t>列10559</t>
  </si>
  <si>
    <t>列10560</t>
  </si>
  <si>
    <t>列10561</t>
  </si>
  <si>
    <t>列10562</t>
  </si>
  <si>
    <t>列10563</t>
  </si>
  <si>
    <t>列10564</t>
  </si>
  <si>
    <t>列10565</t>
  </si>
  <si>
    <t>列10566</t>
  </si>
  <si>
    <t>列10567</t>
  </si>
  <si>
    <t>列10568</t>
  </si>
  <si>
    <t>列10569</t>
  </si>
  <si>
    <t>列10570</t>
  </si>
  <si>
    <t>列10571</t>
  </si>
  <si>
    <t>列10572</t>
  </si>
  <si>
    <t>列10573</t>
  </si>
  <si>
    <t>列10574</t>
  </si>
  <si>
    <t>列10575</t>
  </si>
  <si>
    <t>列10576</t>
  </si>
  <si>
    <t>列10577</t>
  </si>
  <si>
    <t>列10578</t>
  </si>
  <si>
    <t>列10579</t>
  </si>
  <si>
    <t>列10580</t>
  </si>
  <si>
    <t>列10581</t>
  </si>
  <si>
    <t>列10582</t>
  </si>
  <si>
    <t>列10583</t>
  </si>
  <si>
    <t>列10584</t>
  </si>
  <si>
    <t>列10585</t>
  </si>
  <si>
    <t>列10586</t>
  </si>
  <si>
    <t>列10587</t>
  </si>
  <si>
    <t>列10588</t>
  </si>
  <si>
    <t>列10589</t>
  </si>
  <si>
    <t>列10590</t>
  </si>
  <si>
    <t>列10591</t>
  </si>
  <si>
    <t>列10592</t>
  </si>
  <si>
    <t>列10593</t>
  </si>
  <si>
    <t>列10594</t>
  </si>
  <si>
    <t>列10595</t>
  </si>
  <si>
    <t>列10596</t>
  </si>
  <si>
    <t>列10597</t>
  </si>
  <si>
    <t>列10598</t>
  </si>
  <si>
    <t>列10599</t>
  </si>
  <si>
    <t>列10600</t>
  </si>
  <si>
    <t>列10601</t>
  </si>
  <si>
    <t>列10602</t>
  </si>
  <si>
    <t>列10603</t>
  </si>
  <si>
    <t>列10604</t>
  </si>
  <si>
    <t>列10605</t>
  </si>
  <si>
    <t>列10606</t>
  </si>
  <si>
    <t>列10607</t>
  </si>
  <si>
    <t>列10608</t>
  </si>
  <si>
    <t>列10609</t>
  </si>
  <si>
    <t>列10610</t>
  </si>
  <si>
    <t>列10611</t>
  </si>
  <si>
    <t>列10612</t>
  </si>
  <si>
    <t>列10613</t>
  </si>
  <si>
    <t>列10614</t>
  </si>
  <si>
    <t>列10615</t>
  </si>
  <si>
    <t>列10616</t>
  </si>
  <si>
    <t>列10617</t>
  </si>
  <si>
    <t>列10618</t>
  </si>
  <si>
    <t>列10619</t>
  </si>
  <si>
    <t>列10620</t>
  </si>
  <si>
    <t>列10621</t>
  </si>
  <si>
    <t>列10622</t>
  </si>
  <si>
    <t>列10623</t>
  </si>
  <si>
    <t>列10624</t>
  </si>
  <si>
    <t>列10625</t>
  </si>
  <si>
    <t>列10626</t>
  </si>
  <si>
    <t>列10627</t>
  </si>
  <si>
    <t>列10628</t>
  </si>
  <si>
    <t>列10629</t>
  </si>
  <si>
    <t>列10630</t>
  </si>
  <si>
    <t>列10631</t>
  </si>
  <si>
    <t>列10632</t>
  </si>
  <si>
    <t>列10633</t>
  </si>
  <si>
    <t>列10634</t>
  </si>
  <si>
    <t>列10635</t>
  </si>
  <si>
    <t>列10636</t>
  </si>
  <si>
    <t>列10637</t>
  </si>
  <si>
    <t>列10638</t>
  </si>
  <si>
    <t>列10639</t>
  </si>
  <si>
    <t>列10640</t>
  </si>
  <si>
    <t>列10641</t>
  </si>
  <si>
    <t>列10642</t>
  </si>
  <si>
    <t>列10643</t>
  </si>
  <si>
    <t>列10644</t>
  </si>
  <si>
    <t>列10645</t>
  </si>
  <si>
    <t>列10646</t>
  </si>
  <si>
    <t>列10647</t>
  </si>
  <si>
    <t>列10648</t>
  </si>
  <si>
    <t>列10649</t>
  </si>
  <si>
    <t>列10650</t>
  </si>
  <si>
    <t>列10651</t>
  </si>
  <si>
    <t>列10652</t>
  </si>
  <si>
    <t>列10653</t>
  </si>
  <si>
    <t>列10654</t>
  </si>
  <si>
    <t>列10655</t>
  </si>
  <si>
    <t>列10656</t>
  </si>
  <si>
    <t>列10657</t>
  </si>
  <si>
    <t>列10658</t>
  </si>
  <si>
    <t>列10659</t>
  </si>
  <si>
    <t>列10660</t>
  </si>
  <si>
    <t>列10661</t>
  </si>
  <si>
    <t>列10662</t>
  </si>
  <si>
    <t>列10663</t>
  </si>
  <si>
    <t>列10664</t>
  </si>
  <si>
    <t>列10665</t>
  </si>
  <si>
    <t>列10666</t>
  </si>
  <si>
    <t>列10667</t>
  </si>
  <si>
    <t>列10668</t>
  </si>
  <si>
    <t>列10669</t>
  </si>
  <si>
    <t>列10670</t>
  </si>
  <si>
    <t>列10671</t>
  </si>
  <si>
    <t>列10672</t>
  </si>
  <si>
    <t>列10673</t>
  </si>
  <si>
    <t>列10674</t>
  </si>
  <si>
    <t>列10675</t>
  </si>
  <si>
    <t>列10676</t>
  </si>
  <si>
    <t>列10677</t>
  </si>
  <si>
    <t>列10678</t>
  </si>
  <si>
    <t>列10679</t>
  </si>
  <si>
    <t>列10680</t>
  </si>
  <si>
    <t>列10681</t>
  </si>
  <si>
    <t>列10682</t>
  </si>
  <si>
    <t>列10683</t>
  </si>
  <si>
    <t>列10684</t>
  </si>
  <si>
    <t>列10685</t>
  </si>
  <si>
    <t>列10686</t>
  </si>
  <si>
    <t>列10687</t>
  </si>
  <si>
    <t>列10688</t>
  </si>
  <si>
    <t>列10689</t>
  </si>
  <si>
    <t>列10690</t>
  </si>
  <si>
    <t>列10691</t>
  </si>
  <si>
    <t>列10692</t>
  </si>
  <si>
    <t>列10693</t>
  </si>
  <si>
    <t>列10694</t>
  </si>
  <si>
    <t>列10695</t>
  </si>
  <si>
    <t>列10696</t>
  </si>
  <si>
    <t>列10697</t>
  </si>
  <si>
    <t>列10698</t>
  </si>
  <si>
    <t>列10699</t>
  </si>
  <si>
    <t>列10700</t>
  </si>
  <si>
    <t>列10701</t>
  </si>
  <si>
    <t>列10702</t>
  </si>
  <si>
    <t>列10703</t>
  </si>
  <si>
    <t>列10704</t>
  </si>
  <si>
    <t>列10705</t>
  </si>
  <si>
    <t>列10706</t>
  </si>
  <si>
    <t>列10707</t>
  </si>
  <si>
    <t>列10708</t>
  </si>
  <si>
    <t>列10709</t>
  </si>
  <si>
    <t>列10710</t>
  </si>
  <si>
    <t>列10711</t>
  </si>
  <si>
    <t>列10712</t>
  </si>
  <si>
    <t>列10713</t>
  </si>
  <si>
    <t>列10714</t>
  </si>
  <si>
    <t>列10715</t>
  </si>
  <si>
    <t>列10716</t>
  </si>
  <si>
    <t>列10717</t>
  </si>
  <si>
    <t>列10718</t>
  </si>
  <si>
    <t>列10719</t>
  </si>
  <si>
    <t>列10720</t>
  </si>
  <si>
    <t>列10721</t>
  </si>
  <si>
    <t>列10722</t>
  </si>
  <si>
    <t>列10723</t>
  </si>
  <si>
    <t>列10724</t>
  </si>
  <si>
    <t>列10725</t>
  </si>
  <si>
    <t>列10726</t>
  </si>
  <si>
    <t>列10727</t>
  </si>
  <si>
    <t>列10728</t>
  </si>
  <si>
    <t>列10729</t>
  </si>
  <si>
    <t>列10730</t>
  </si>
  <si>
    <t>列10731</t>
  </si>
  <si>
    <t>列10732</t>
  </si>
  <si>
    <t>列10733</t>
  </si>
  <si>
    <t>列10734</t>
  </si>
  <si>
    <t>列10735</t>
  </si>
  <si>
    <t>列10736</t>
  </si>
  <si>
    <t>列10737</t>
  </si>
  <si>
    <t>列10738</t>
  </si>
  <si>
    <t>列10739</t>
  </si>
  <si>
    <t>列10740</t>
  </si>
  <si>
    <t>列10741</t>
  </si>
  <si>
    <t>列10742</t>
  </si>
  <si>
    <t>列10743</t>
  </si>
  <si>
    <t>列10744</t>
  </si>
  <si>
    <t>列10745</t>
  </si>
  <si>
    <t>列10746</t>
  </si>
  <si>
    <t>列10747</t>
  </si>
  <si>
    <t>列10748</t>
  </si>
  <si>
    <t>列10749</t>
  </si>
  <si>
    <t>列10750</t>
  </si>
  <si>
    <t>列10751</t>
  </si>
  <si>
    <t>列10752</t>
  </si>
  <si>
    <t>列10753</t>
  </si>
  <si>
    <t>列10754</t>
  </si>
  <si>
    <t>列10755</t>
  </si>
  <si>
    <t>列10756</t>
  </si>
  <si>
    <t>列10757</t>
  </si>
  <si>
    <t>列10758</t>
  </si>
  <si>
    <t>列10759</t>
  </si>
  <si>
    <t>列10760</t>
  </si>
  <si>
    <t>列10761</t>
  </si>
  <si>
    <t>列10762</t>
  </si>
  <si>
    <t>列10763</t>
  </si>
  <si>
    <t>列10764</t>
  </si>
  <si>
    <t>列10765</t>
  </si>
  <si>
    <t>列10766</t>
  </si>
  <si>
    <t>列10767</t>
  </si>
  <si>
    <t>列10768</t>
  </si>
  <si>
    <t>列10769</t>
  </si>
  <si>
    <t>列10770</t>
  </si>
  <si>
    <t>列10771</t>
  </si>
  <si>
    <t>列10772</t>
  </si>
  <si>
    <t>列10773</t>
  </si>
  <si>
    <t>列10774</t>
  </si>
  <si>
    <t>列10775</t>
  </si>
  <si>
    <t>列10776</t>
  </si>
  <si>
    <t>列10777</t>
  </si>
  <si>
    <t>列10778</t>
  </si>
  <si>
    <t>列10779</t>
  </si>
  <si>
    <t>列10780</t>
  </si>
  <si>
    <t>列10781</t>
  </si>
  <si>
    <t>列10782</t>
  </si>
  <si>
    <t>列10783</t>
  </si>
  <si>
    <t>列10784</t>
  </si>
  <si>
    <t>列10785</t>
  </si>
  <si>
    <t>列10786</t>
  </si>
  <si>
    <t>列10787</t>
  </si>
  <si>
    <t>列10788</t>
  </si>
  <si>
    <t>列10789</t>
  </si>
  <si>
    <t>列10790</t>
  </si>
  <si>
    <t>列10791</t>
  </si>
  <si>
    <t>列10792</t>
  </si>
  <si>
    <t>列10793</t>
  </si>
  <si>
    <t>列10794</t>
  </si>
  <si>
    <t>列10795</t>
  </si>
  <si>
    <t>列10796</t>
  </si>
  <si>
    <t>列10797</t>
  </si>
  <si>
    <t>列10798</t>
  </si>
  <si>
    <t>列10799</t>
  </si>
  <si>
    <t>列10800</t>
  </si>
  <si>
    <t>列10801</t>
  </si>
  <si>
    <t>列10802</t>
  </si>
  <si>
    <t>列10803</t>
  </si>
  <si>
    <t>列10804</t>
  </si>
  <si>
    <t>列10805</t>
  </si>
  <si>
    <t>列10806</t>
  </si>
  <si>
    <t>列10807</t>
  </si>
  <si>
    <t>列10808</t>
  </si>
  <si>
    <t>列10809</t>
  </si>
  <si>
    <t>列10810</t>
  </si>
  <si>
    <t>列10811</t>
  </si>
  <si>
    <t>列10812</t>
  </si>
  <si>
    <t>列10813</t>
  </si>
  <si>
    <t>列10814</t>
  </si>
  <si>
    <t>列10815</t>
  </si>
  <si>
    <t>列10816</t>
  </si>
  <si>
    <t>列10817</t>
  </si>
  <si>
    <t>列10818</t>
  </si>
  <si>
    <t>列10819</t>
  </si>
  <si>
    <t>列10820</t>
  </si>
  <si>
    <t>列10821</t>
  </si>
  <si>
    <t>列10822</t>
  </si>
  <si>
    <t>列10823</t>
  </si>
  <si>
    <t>列10824</t>
  </si>
  <si>
    <t>列10825</t>
  </si>
  <si>
    <t>列10826</t>
  </si>
  <si>
    <t>列10827</t>
  </si>
  <si>
    <t>列10828</t>
  </si>
  <si>
    <t>列10829</t>
  </si>
  <si>
    <t>列10830</t>
  </si>
  <si>
    <t>列10831</t>
  </si>
  <si>
    <t>列10832</t>
  </si>
  <si>
    <t>列10833</t>
  </si>
  <si>
    <t>列10834</t>
  </si>
  <si>
    <t>列10835</t>
  </si>
  <si>
    <t>列10836</t>
  </si>
  <si>
    <t>列10837</t>
  </si>
  <si>
    <t>列10838</t>
  </si>
  <si>
    <t>列10839</t>
  </si>
  <si>
    <t>列10840</t>
  </si>
  <si>
    <t>列10841</t>
  </si>
  <si>
    <t>列10842</t>
  </si>
  <si>
    <t>列10843</t>
  </si>
  <si>
    <t>列10844</t>
  </si>
  <si>
    <t>列10845</t>
  </si>
  <si>
    <t>列10846</t>
  </si>
  <si>
    <t>列10847</t>
  </si>
  <si>
    <t>列10848</t>
  </si>
  <si>
    <t>列10849</t>
  </si>
  <si>
    <t>列10850</t>
  </si>
  <si>
    <t>列10851</t>
  </si>
  <si>
    <t>列10852</t>
  </si>
  <si>
    <t>列10853</t>
  </si>
  <si>
    <t>列10854</t>
  </si>
  <si>
    <t>列10855</t>
  </si>
  <si>
    <t>列10856</t>
  </si>
  <si>
    <t>列10857</t>
  </si>
  <si>
    <t>列10858</t>
  </si>
  <si>
    <t>列10859</t>
  </si>
  <si>
    <t>列10860</t>
  </si>
  <si>
    <t>列10861</t>
  </si>
  <si>
    <t>列10862</t>
  </si>
  <si>
    <t>列10863</t>
  </si>
  <si>
    <t>列10864</t>
  </si>
  <si>
    <t>列10865</t>
  </si>
  <si>
    <t>列10866</t>
  </si>
  <si>
    <t>列10867</t>
  </si>
  <si>
    <t>列10868</t>
  </si>
  <si>
    <t>列10869</t>
  </si>
  <si>
    <t>列10870</t>
  </si>
  <si>
    <t>列10871</t>
  </si>
  <si>
    <t>列10872</t>
  </si>
  <si>
    <t>列10873</t>
  </si>
  <si>
    <t>列10874</t>
  </si>
  <si>
    <t>列10875</t>
  </si>
  <si>
    <t>列10876</t>
  </si>
  <si>
    <t>列10877</t>
  </si>
  <si>
    <t>列10878</t>
  </si>
  <si>
    <t>列10879</t>
  </si>
  <si>
    <t>列10880</t>
  </si>
  <si>
    <t>列10881</t>
  </si>
  <si>
    <t>列10882</t>
  </si>
  <si>
    <t>列10883</t>
  </si>
  <si>
    <t>列10884</t>
  </si>
  <si>
    <t>列10885</t>
  </si>
  <si>
    <t>列10886</t>
  </si>
  <si>
    <t>列10887</t>
  </si>
  <si>
    <t>列10888</t>
  </si>
  <si>
    <t>列10889</t>
  </si>
  <si>
    <t>列10890</t>
  </si>
  <si>
    <t>列10891</t>
  </si>
  <si>
    <t>列10892</t>
  </si>
  <si>
    <t>列10893</t>
  </si>
  <si>
    <t>列10894</t>
  </si>
  <si>
    <t>列10895</t>
  </si>
  <si>
    <t>列10896</t>
  </si>
  <si>
    <t>列10897</t>
  </si>
  <si>
    <t>列10898</t>
  </si>
  <si>
    <t>列10899</t>
  </si>
  <si>
    <t>列10900</t>
  </si>
  <si>
    <t>列10901</t>
  </si>
  <si>
    <t>列10902</t>
  </si>
  <si>
    <t>列10903</t>
  </si>
  <si>
    <t>列10904</t>
  </si>
  <si>
    <t>列10905</t>
  </si>
  <si>
    <t>列10906</t>
  </si>
  <si>
    <t>列10907</t>
  </si>
  <si>
    <t>列10908</t>
  </si>
  <si>
    <t>列10909</t>
  </si>
  <si>
    <t>列10910</t>
  </si>
  <si>
    <t>列10911</t>
  </si>
  <si>
    <t>列10912</t>
  </si>
  <si>
    <t>列10913</t>
  </si>
  <si>
    <t>列10914</t>
  </si>
  <si>
    <t>列10915</t>
  </si>
  <si>
    <t>列10916</t>
  </si>
  <si>
    <t>列10917</t>
  </si>
  <si>
    <t>列10918</t>
  </si>
  <si>
    <t>列10919</t>
  </si>
  <si>
    <t>列10920</t>
  </si>
  <si>
    <t>列10921</t>
  </si>
  <si>
    <t>列10922</t>
  </si>
  <si>
    <t>列10923</t>
  </si>
  <si>
    <t>列10924</t>
  </si>
  <si>
    <t>列10925</t>
  </si>
  <si>
    <t>列10926</t>
  </si>
  <si>
    <t>列10927</t>
  </si>
  <si>
    <t>列10928</t>
  </si>
  <si>
    <t>列10929</t>
  </si>
  <si>
    <t>列10930</t>
  </si>
  <si>
    <t>列10931</t>
  </si>
  <si>
    <t>列10932</t>
  </si>
  <si>
    <t>列10933</t>
  </si>
  <si>
    <t>列10934</t>
  </si>
  <si>
    <t>列10935</t>
  </si>
  <si>
    <t>列10936</t>
  </si>
  <si>
    <t>列10937</t>
  </si>
  <si>
    <t>列10938</t>
  </si>
  <si>
    <t>列10939</t>
  </si>
  <si>
    <t>列10940</t>
  </si>
  <si>
    <t>列10941</t>
  </si>
  <si>
    <t>列10942</t>
  </si>
  <si>
    <t>列10943</t>
  </si>
  <si>
    <t>列10944</t>
  </si>
  <si>
    <t>列10945</t>
  </si>
  <si>
    <t>列10946</t>
  </si>
  <si>
    <t>列10947</t>
  </si>
  <si>
    <t>列10948</t>
  </si>
  <si>
    <t>列10949</t>
  </si>
  <si>
    <t>列10950</t>
  </si>
  <si>
    <t>列10951</t>
  </si>
  <si>
    <t>列10952</t>
  </si>
  <si>
    <t>列10953</t>
  </si>
  <si>
    <t>列10954</t>
  </si>
  <si>
    <t>列10955</t>
  </si>
  <si>
    <t>列10956</t>
  </si>
  <si>
    <t>列10957</t>
  </si>
  <si>
    <t>列10958</t>
  </si>
  <si>
    <t>列10959</t>
  </si>
  <si>
    <t>列10960</t>
  </si>
  <si>
    <t>列10961</t>
  </si>
  <si>
    <t>列10962</t>
  </si>
  <si>
    <t>列10963</t>
  </si>
  <si>
    <t>列10964</t>
  </si>
  <si>
    <t>列10965</t>
  </si>
  <si>
    <t>列10966</t>
  </si>
  <si>
    <t>列10967</t>
  </si>
  <si>
    <t>列10968</t>
  </si>
  <si>
    <t>列10969</t>
  </si>
  <si>
    <t>列10970</t>
  </si>
  <si>
    <t>列10971</t>
  </si>
  <si>
    <t>列10972</t>
  </si>
  <si>
    <t>列10973</t>
  </si>
  <si>
    <t>列10974</t>
  </si>
  <si>
    <t>列10975</t>
  </si>
  <si>
    <t>列10976</t>
  </si>
  <si>
    <t>列10977</t>
  </si>
  <si>
    <t>列10978</t>
  </si>
  <si>
    <t>列10979</t>
  </si>
  <si>
    <t>列10980</t>
  </si>
  <si>
    <t>列10981</t>
  </si>
  <si>
    <t>列10982</t>
  </si>
  <si>
    <t>列10983</t>
  </si>
  <si>
    <t>列10984</t>
  </si>
  <si>
    <t>列10985</t>
  </si>
  <si>
    <t>列10986</t>
  </si>
  <si>
    <t>列10987</t>
  </si>
  <si>
    <t>列10988</t>
  </si>
  <si>
    <t>列10989</t>
  </si>
  <si>
    <t>列10990</t>
  </si>
  <si>
    <t>列10991</t>
  </si>
  <si>
    <t>列10992</t>
  </si>
  <si>
    <t>列10993</t>
  </si>
  <si>
    <t>列10994</t>
  </si>
  <si>
    <t>列10995</t>
  </si>
  <si>
    <t>列10996</t>
  </si>
  <si>
    <t>列10997</t>
  </si>
  <si>
    <t>列10998</t>
  </si>
  <si>
    <t>列10999</t>
  </si>
  <si>
    <t>列11000</t>
  </si>
  <si>
    <t>列11001</t>
  </si>
  <si>
    <t>列11002</t>
  </si>
  <si>
    <t>列11003</t>
  </si>
  <si>
    <t>列11004</t>
  </si>
  <si>
    <t>列11005</t>
  </si>
  <si>
    <t>列11006</t>
  </si>
  <si>
    <t>列11007</t>
  </si>
  <si>
    <t>列11008</t>
  </si>
  <si>
    <t>列11009</t>
  </si>
  <si>
    <t>列11010</t>
  </si>
  <si>
    <t>列11011</t>
  </si>
  <si>
    <t>列11012</t>
  </si>
  <si>
    <t>列11013</t>
  </si>
  <si>
    <t>列11014</t>
  </si>
  <si>
    <t>列11015</t>
  </si>
  <si>
    <t>列11016</t>
  </si>
  <si>
    <t>列11017</t>
  </si>
  <si>
    <t>列11018</t>
  </si>
  <si>
    <t>列11019</t>
  </si>
  <si>
    <t>列11020</t>
  </si>
  <si>
    <t>列11021</t>
  </si>
  <si>
    <t>列11022</t>
  </si>
  <si>
    <t>列11023</t>
  </si>
  <si>
    <t>列11024</t>
  </si>
  <si>
    <t>列11025</t>
  </si>
  <si>
    <t>列11026</t>
  </si>
  <si>
    <t>列11027</t>
  </si>
  <si>
    <t>列11028</t>
  </si>
  <si>
    <t>列11029</t>
  </si>
  <si>
    <t>列11030</t>
  </si>
  <si>
    <t>列11031</t>
  </si>
  <si>
    <t>列11032</t>
  </si>
  <si>
    <t>列11033</t>
  </si>
  <si>
    <t>列11034</t>
  </si>
  <si>
    <t>列11035</t>
  </si>
  <si>
    <t>列11036</t>
  </si>
  <si>
    <t>列11037</t>
  </si>
  <si>
    <t>列11038</t>
  </si>
  <si>
    <t>列11039</t>
  </si>
  <si>
    <t>列11040</t>
  </si>
  <si>
    <t>列11041</t>
  </si>
  <si>
    <t>列11042</t>
  </si>
  <si>
    <t>列11043</t>
  </si>
  <si>
    <t>列11044</t>
  </si>
  <si>
    <t>列11045</t>
  </si>
  <si>
    <t>列11046</t>
  </si>
  <si>
    <t>列11047</t>
  </si>
  <si>
    <t>列11048</t>
  </si>
  <si>
    <t>列11049</t>
  </si>
  <si>
    <t>列11050</t>
  </si>
  <si>
    <t>列11051</t>
  </si>
  <si>
    <t>列11052</t>
  </si>
  <si>
    <t>列11053</t>
  </si>
  <si>
    <t>列11054</t>
  </si>
  <si>
    <t>列11055</t>
  </si>
  <si>
    <t>列11056</t>
  </si>
  <si>
    <t>列11057</t>
  </si>
  <si>
    <t>列11058</t>
  </si>
  <si>
    <t>列11059</t>
  </si>
  <si>
    <t>列11060</t>
  </si>
  <si>
    <t>列11061</t>
  </si>
  <si>
    <t>列11062</t>
  </si>
  <si>
    <t>列11063</t>
  </si>
  <si>
    <t>列11064</t>
  </si>
  <si>
    <t>列11065</t>
  </si>
  <si>
    <t>列11066</t>
  </si>
  <si>
    <t>列11067</t>
  </si>
  <si>
    <t>列11068</t>
  </si>
  <si>
    <t>列11069</t>
  </si>
  <si>
    <t>列11070</t>
  </si>
  <si>
    <t>列11071</t>
  </si>
  <si>
    <t>列11072</t>
  </si>
  <si>
    <t>列11073</t>
  </si>
  <si>
    <t>列11074</t>
  </si>
  <si>
    <t>列11075</t>
  </si>
  <si>
    <t>列11076</t>
  </si>
  <si>
    <t>列11077</t>
  </si>
  <si>
    <t>列11078</t>
  </si>
  <si>
    <t>列11079</t>
  </si>
  <si>
    <t>列11080</t>
  </si>
  <si>
    <t>列11081</t>
  </si>
  <si>
    <t>列11082</t>
  </si>
  <si>
    <t>列11083</t>
  </si>
  <si>
    <t>列11084</t>
  </si>
  <si>
    <t>列11085</t>
  </si>
  <si>
    <t>列11086</t>
  </si>
  <si>
    <t>列11087</t>
  </si>
  <si>
    <t>列11088</t>
  </si>
  <si>
    <t>列11089</t>
  </si>
  <si>
    <t>列11090</t>
  </si>
  <si>
    <t>列11091</t>
  </si>
  <si>
    <t>列11092</t>
  </si>
  <si>
    <t>列11093</t>
  </si>
  <si>
    <t>列11094</t>
  </si>
  <si>
    <t>列11095</t>
  </si>
  <si>
    <t>列11096</t>
  </si>
  <si>
    <t>列11097</t>
  </si>
  <si>
    <t>列11098</t>
  </si>
  <si>
    <t>列11099</t>
  </si>
  <si>
    <t>列11100</t>
  </si>
  <si>
    <t>列11101</t>
  </si>
  <si>
    <t>列11102</t>
  </si>
  <si>
    <t>列11103</t>
  </si>
  <si>
    <t>列11104</t>
  </si>
  <si>
    <t>列11105</t>
  </si>
  <si>
    <t>列11106</t>
  </si>
  <si>
    <t>列11107</t>
  </si>
  <si>
    <t>列11108</t>
  </si>
  <si>
    <t>列11109</t>
  </si>
  <si>
    <t>列11110</t>
  </si>
  <si>
    <t>列11111</t>
  </si>
  <si>
    <t>列11112</t>
  </si>
  <si>
    <t>列11113</t>
  </si>
  <si>
    <t>列11114</t>
  </si>
  <si>
    <t>列11115</t>
  </si>
  <si>
    <t>列11116</t>
  </si>
  <si>
    <t>列11117</t>
  </si>
  <si>
    <t>列11118</t>
  </si>
  <si>
    <t>列11119</t>
  </si>
  <si>
    <t>列11120</t>
  </si>
  <si>
    <t>列11121</t>
  </si>
  <si>
    <t>列11122</t>
  </si>
  <si>
    <t>列11123</t>
  </si>
  <si>
    <t>列11124</t>
  </si>
  <si>
    <t>列11125</t>
  </si>
  <si>
    <t>列11126</t>
  </si>
  <si>
    <t>列11127</t>
  </si>
  <si>
    <t>列11128</t>
  </si>
  <si>
    <t>列11129</t>
  </si>
  <si>
    <t>列11130</t>
  </si>
  <si>
    <t>列11131</t>
  </si>
  <si>
    <t>列11132</t>
  </si>
  <si>
    <t>列11133</t>
  </si>
  <si>
    <t>列11134</t>
  </si>
  <si>
    <t>列11135</t>
  </si>
  <si>
    <t>列11136</t>
  </si>
  <si>
    <t>列11137</t>
  </si>
  <si>
    <t>列11138</t>
  </si>
  <si>
    <t>列11139</t>
  </si>
  <si>
    <t>列11140</t>
  </si>
  <si>
    <t>列11141</t>
  </si>
  <si>
    <t>列11142</t>
  </si>
  <si>
    <t>列11143</t>
  </si>
  <si>
    <t>列11144</t>
  </si>
  <si>
    <t>列11145</t>
  </si>
  <si>
    <t>列11146</t>
  </si>
  <si>
    <t>列11147</t>
  </si>
  <si>
    <t>列11148</t>
  </si>
  <si>
    <t>列11149</t>
  </si>
  <si>
    <t>列11150</t>
  </si>
  <si>
    <t>列11151</t>
  </si>
  <si>
    <t>列11152</t>
  </si>
  <si>
    <t>列11153</t>
  </si>
  <si>
    <t>列11154</t>
  </si>
  <si>
    <t>列11155</t>
  </si>
  <si>
    <t>列11156</t>
  </si>
  <si>
    <t>列11157</t>
  </si>
  <si>
    <t>列11158</t>
  </si>
  <si>
    <t>列11159</t>
  </si>
  <si>
    <t>列11160</t>
  </si>
  <si>
    <t>列11161</t>
  </si>
  <si>
    <t>列11162</t>
  </si>
  <si>
    <t>列11163</t>
  </si>
  <si>
    <t>列11164</t>
  </si>
  <si>
    <t>列11165</t>
  </si>
  <si>
    <t>列11166</t>
  </si>
  <si>
    <t>列11167</t>
  </si>
  <si>
    <t>列11168</t>
  </si>
  <si>
    <t>列11169</t>
  </si>
  <si>
    <t>列11170</t>
  </si>
  <si>
    <t>列11171</t>
  </si>
  <si>
    <t>列11172</t>
  </si>
  <si>
    <t>列11173</t>
  </si>
  <si>
    <t>列11174</t>
  </si>
  <si>
    <t>列11175</t>
  </si>
  <si>
    <t>列11176</t>
  </si>
  <si>
    <t>列11177</t>
  </si>
  <si>
    <t>列11178</t>
  </si>
  <si>
    <t>列11179</t>
  </si>
  <si>
    <t>列11180</t>
  </si>
  <si>
    <t>列11181</t>
  </si>
  <si>
    <t>列11182</t>
  </si>
  <si>
    <t>列11183</t>
  </si>
  <si>
    <t>列11184</t>
  </si>
  <si>
    <t>列11185</t>
  </si>
  <si>
    <t>列11186</t>
  </si>
  <si>
    <t>列11187</t>
  </si>
  <si>
    <t>列11188</t>
  </si>
  <si>
    <t>列11189</t>
  </si>
  <si>
    <t>列11190</t>
  </si>
  <si>
    <t>列11191</t>
  </si>
  <si>
    <t>列11192</t>
  </si>
  <si>
    <t>列11193</t>
  </si>
  <si>
    <t>列11194</t>
  </si>
  <si>
    <t>列11195</t>
  </si>
  <si>
    <t>列11196</t>
  </si>
  <si>
    <t>列11197</t>
  </si>
  <si>
    <t>列11198</t>
  </si>
  <si>
    <t>列11199</t>
  </si>
  <si>
    <t>列11200</t>
  </si>
  <si>
    <t>列11201</t>
  </si>
  <si>
    <t>列11202</t>
  </si>
  <si>
    <t>列11203</t>
  </si>
  <si>
    <t>列11204</t>
  </si>
  <si>
    <t>列11205</t>
  </si>
  <si>
    <t>列11206</t>
  </si>
  <si>
    <t>列11207</t>
  </si>
  <si>
    <t>列11208</t>
  </si>
  <si>
    <t>列11209</t>
  </si>
  <si>
    <t>列11210</t>
  </si>
  <si>
    <t>列11211</t>
  </si>
  <si>
    <t>列11212</t>
  </si>
  <si>
    <t>列11213</t>
  </si>
  <si>
    <t>列11214</t>
  </si>
  <si>
    <t>列11215</t>
  </si>
  <si>
    <t>列11216</t>
  </si>
  <si>
    <t>列11217</t>
  </si>
  <si>
    <t>列11218</t>
  </si>
  <si>
    <t>列11219</t>
  </si>
  <si>
    <t>列11220</t>
  </si>
  <si>
    <t>列11221</t>
  </si>
  <si>
    <t>列11222</t>
  </si>
  <si>
    <t>列11223</t>
  </si>
  <si>
    <t>列11224</t>
  </si>
  <si>
    <t>列11225</t>
  </si>
  <si>
    <t>列11226</t>
  </si>
  <si>
    <t>列11227</t>
  </si>
  <si>
    <t>列11228</t>
  </si>
  <si>
    <t>列11229</t>
  </si>
  <si>
    <t>列11230</t>
  </si>
  <si>
    <t>列11231</t>
  </si>
  <si>
    <t>列11232</t>
  </si>
  <si>
    <t>列11233</t>
  </si>
  <si>
    <t>列11234</t>
  </si>
  <si>
    <t>列11235</t>
  </si>
  <si>
    <t>列11236</t>
  </si>
  <si>
    <t>列11237</t>
  </si>
  <si>
    <t>列11238</t>
  </si>
  <si>
    <t>列11239</t>
  </si>
  <si>
    <t>列11240</t>
  </si>
  <si>
    <t>列11241</t>
  </si>
  <si>
    <t>列11242</t>
  </si>
  <si>
    <t>列11243</t>
  </si>
  <si>
    <t>列11244</t>
  </si>
  <si>
    <t>列11245</t>
  </si>
  <si>
    <t>列11246</t>
  </si>
  <si>
    <t>列11247</t>
  </si>
  <si>
    <t>列11248</t>
  </si>
  <si>
    <t>列11249</t>
  </si>
  <si>
    <t>列11250</t>
  </si>
  <si>
    <t>列11251</t>
  </si>
  <si>
    <t>列11252</t>
  </si>
  <si>
    <t>列11253</t>
  </si>
  <si>
    <t>列11254</t>
  </si>
  <si>
    <t>列11255</t>
  </si>
  <si>
    <t>列11256</t>
  </si>
  <si>
    <t>列11257</t>
  </si>
  <si>
    <t>列11258</t>
  </si>
  <si>
    <t>列11259</t>
  </si>
  <si>
    <t>列11260</t>
  </si>
  <si>
    <t>列11261</t>
  </si>
  <si>
    <t>列11262</t>
  </si>
  <si>
    <t>列11263</t>
  </si>
  <si>
    <t>列11264</t>
  </si>
  <si>
    <t>列11265</t>
  </si>
  <si>
    <t>列11266</t>
  </si>
  <si>
    <t>列11267</t>
  </si>
  <si>
    <t>列11268</t>
  </si>
  <si>
    <t>列11269</t>
  </si>
  <si>
    <t>列11270</t>
  </si>
  <si>
    <t>列11271</t>
  </si>
  <si>
    <t>列11272</t>
  </si>
  <si>
    <t>列11273</t>
  </si>
  <si>
    <t>列11274</t>
  </si>
  <si>
    <t>列11275</t>
  </si>
  <si>
    <t>列11276</t>
  </si>
  <si>
    <t>列11277</t>
  </si>
  <si>
    <t>列11278</t>
  </si>
  <si>
    <t>列11279</t>
  </si>
  <si>
    <t>列11280</t>
  </si>
  <si>
    <t>列11281</t>
  </si>
  <si>
    <t>列11282</t>
  </si>
  <si>
    <t>列11283</t>
  </si>
  <si>
    <t>列11284</t>
  </si>
  <si>
    <t>列11285</t>
  </si>
  <si>
    <t>列11286</t>
  </si>
  <si>
    <t>列11287</t>
  </si>
  <si>
    <t>列11288</t>
  </si>
  <si>
    <t>列11289</t>
  </si>
  <si>
    <t>列11290</t>
  </si>
  <si>
    <t>列11291</t>
  </si>
  <si>
    <t>列11292</t>
  </si>
  <si>
    <t>列11293</t>
  </si>
  <si>
    <t>列11294</t>
  </si>
  <si>
    <t>列11295</t>
  </si>
  <si>
    <t>列11296</t>
  </si>
  <si>
    <t>列11297</t>
  </si>
  <si>
    <t>列11298</t>
  </si>
  <si>
    <t>列11299</t>
  </si>
  <si>
    <t>列11300</t>
  </si>
  <si>
    <t>列11301</t>
  </si>
  <si>
    <t>列11302</t>
  </si>
  <si>
    <t>列11303</t>
  </si>
  <si>
    <t>列11304</t>
  </si>
  <si>
    <t>列11305</t>
  </si>
  <si>
    <t>列11306</t>
  </si>
  <si>
    <t>列11307</t>
  </si>
  <si>
    <t>列11308</t>
  </si>
  <si>
    <t>列11309</t>
  </si>
  <si>
    <t>列11310</t>
  </si>
  <si>
    <t>列11311</t>
  </si>
  <si>
    <t>列11312</t>
  </si>
  <si>
    <t>列11313</t>
  </si>
  <si>
    <t>列11314</t>
  </si>
  <si>
    <t>列11315</t>
  </si>
  <si>
    <t>列11316</t>
  </si>
  <si>
    <t>列11317</t>
  </si>
  <si>
    <t>列11318</t>
  </si>
  <si>
    <t>列11319</t>
  </si>
  <si>
    <t>列11320</t>
  </si>
  <si>
    <t>列11321</t>
  </si>
  <si>
    <t>列11322</t>
  </si>
  <si>
    <t>列11323</t>
  </si>
  <si>
    <t>列11324</t>
  </si>
  <si>
    <t>列11325</t>
  </si>
  <si>
    <t>列11326</t>
  </si>
  <si>
    <t>列11327</t>
  </si>
  <si>
    <t>列11328</t>
  </si>
  <si>
    <t>列11329</t>
  </si>
  <si>
    <t>列11330</t>
  </si>
  <si>
    <t>列11331</t>
  </si>
  <si>
    <t>列11332</t>
  </si>
  <si>
    <t>列11333</t>
  </si>
  <si>
    <t>列11334</t>
  </si>
  <si>
    <t>列11335</t>
  </si>
  <si>
    <t>列11336</t>
  </si>
  <si>
    <t>列11337</t>
  </si>
  <si>
    <t>列11338</t>
  </si>
  <si>
    <t>列11339</t>
  </si>
  <si>
    <t>列11340</t>
  </si>
  <si>
    <t>列11341</t>
  </si>
  <si>
    <t>列11342</t>
  </si>
  <si>
    <t>列11343</t>
  </si>
  <si>
    <t>列11344</t>
  </si>
  <si>
    <t>列11345</t>
  </si>
  <si>
    <t>列11346</t>
  </si>
  <si>
    <t>列11347</t>
  </si>
  <si>
    <t>列11348</t>
  </si>
  <si>
    <t>列11349</t>
  </si>
  <si>
    <t>列11350</t>
  </si>
  <si>
    <t>列11351</t>
  </si>
  <si>
    <t>列11352</t>
  </si>
  <si>
    <t>列11353</t>
  </si>
  <si>
    <t>列11354</t>
  </si>
  <si>
    <t>列11355</t>
  </si>
  <si>
    <t>列11356</t>
  </si>
  <si>
    <t>列11357</t>
  </si>
  <si>
    <t>列11358</t>
  </si>
  <si>
    <t>列11359</t>
  </si>
  <si>
    <t>列11360</t>
  </si>
  <si>
    <t>列11361</t>
  </si>
  <si>
    <t>列11362</t>
  </si>
  <si>
    <t>列11363</t>
  </si>
  <si>
    <t>列11364</t>
  </si>
  <si>
    <t>列11365</t>
  </si>
  <si>
    <t>列11366</t>
  </si>
  <si>
    <t>列11367</t>
  </si>
  <si>
    <t>列11368</t>
  </si>
  <si>
    <t>列11369</t>
  </si>
  <si>
    <t>列11370</t>
  </si>
  <si>
    <t>列11371</t>
  </si>
  <si>
    <t>列11372</t>
  </si>
  <si>
    <t>列11373</t>
  </si>
  <si>
    <t>列11374</t>
  </si>
  <si>
    <t>列11375</t>
  </si>
  <si>
    <t>列11376</t>
  </si>
  <si>
    <t>列11377</t>
  </si>
  <si>
    <t>列11378</t>
  </si>
  <si>
    <t>列11379</t>
  </si>
  <si>
    <t>列11380</t>
  </si>
  <si>
    <t>列11381</t>
  </si>
  <si>
    <t>列11382</t>
  </si>
  <si>
    <t>列11383</t>
  </si>
  <si>
    <t>列11384</t>
  </si>
  <si>
    <t>列11385</t>
  </si>
  <si>
    <t>列11386</t>
  </si>
  <si>
    <t>列11387</t>
  </si>
  <si>
    <t>列11388</t>
  </si>
  <si>
    <t>列11389</t>
  </si>
  <si>
    <t>列11390</t>
  </si>
  <si>
    <t>列11391</t>
  </si>
  <si>
    <t>列11392</t>
  </si>
  <si>
    <t>列11393</t>
  </si>
  <si>
    <t>列11394</t>
  </si>
  <si>
    <t>列11395</t>
  </si>
  <si>
    <t>列11396</t>
  </si>
  <si>
    <t>列11397</t>
  </si>
  <si>
    <t>列11398</t>
  </si>
  <si>
    <t>列11399</t>
  </si>
  <si>
    <t>列11400</t>
  </si>
  <si>
    <t>列11401</t>
  </si>
  <si>
    <t>列11402</t>
  </si>
  <si>
    <t>列11403</t>
  </si>
  <si>
    <t>列11404</t>
  </si>
  <si>
    <t>列11405</t>
  </si>
  <si>
    <t>列11406</t>
  </si>
  <si>
    <t>列11407</t>
  </si>
  <si>
    <t>列11408</t>
  </si>
  <si>
    <t>列11409</t>
  </si>
  <si>
    <t>列11410</t>
  </si>
  <si>
    <t>列11411</t>
  </si>
  <si>
    <t>列11412</t>
  </si>
  <si>
    <t>列11413</t>
  </si>
  <si>
    <t>列11414</t>
  </si>
  <si>
    <t>列11415</t>
  </si>
  <si>
    <t>列11416</t>
  </si>
  <si>
    <t>列11417</t>
  </si>
  <si>
    <t>列11418</t>
  </si>
  <si>
    <t>列11419</t>
  </si>
  <si>
    <t>列11420</t>
  </si>
  <si>
    <t>列11421</t>
  </si>
  <si>
    <t>列11422</t>
  </si>
  <si>
    <t>列11423</t>
  </si>
  <si>
    <t>列11424</t>
  </si>
  <si>
    <t>列11425</t>
  </si>
  <si>
    <t>列11426</t>
  </si>
  <si>
    <t>列11427</t>
  </si>
  <si>
    <t>列11428</t>
  </si>
  <si>
    <t>列11429</t>
  </si>
  <si>
    <t>列11430</t>
  </si>
  <si>
    <t>列11431</t>
  </si>
  <si>
    <t>列11432</t>
  </si>
  <si>
    <t>列11433</t>
  </si>
  <si>
    <t>列11434</t>
  </si>
  <si>
    <t>列11435</t>
  </si>
  <si>
    <t>列11436</t>
  </si>
  <si>
    <t>列11437</t>
  </si>
  <si>
    <t>列11438</t>
  </si>
  <si>
    <t>列11439</t>
  </si>
  <si>
    <t>列11440</t>
  </si>
  <si>
    <t>列11441</t>
  </si>
  <si>
    <t>列11442</t>
  </si>
  <si>
    <t>列11443</t>
  </si>
  <si>
    <t>列11444</t>
  </si>
  <si>
    <t>列11445</t>
  </si>
  <si>
    <t>列11446</t>
  </si>
  <si>
    <t>列11447</t>
  </si>
  <si>
    <t>列11448</t>
  </si>
  <si>
    <t>列11449</t>
  </si>
  <si>
    <t>列11450</t>
  </si>
  <si>
    <t>列11451</t>
  </si>
  <si>
    <t>列11452</t>
  </si>
  <si>
    <t>列11453</t>
  </si>
  <si>
    <t>列11454</t>
  </si>
  <si>
    <t>列11455</t>
  </si>
  <si>
    <t>列11456</t>
  </si>
  <si>
    <t>列11457</t>
  </si>
  <si>
    <t>列11458</t>
  </si>
  <si>
    <t>列11459</t>
  </si>
  <si>
    <t>列11460</t>
  </si>
  <si>
    <t>列11461</t>
  </si>
  <si>
    <t>列11462</t>
  </si>
  <si>
    <t>列11463</t>
  </si>
  <si>
    <t>列11464</t>
  </si>
  <si>
    <t>列11465</t>
  </si>
  <si>
    <t>列11466</t>
  </si>
  <si>
    <t>列11467</t>
  </si>
  <si>
    <t>列11468</t>
  </si>
  <si>
    <t>列11469</t>
  </si>
  <si>
    <t>列11470</t>
  </si>
  <si>
    <t>列11471</t>
  </si>
  <si>
    <t>列11472</t>
  </si>
  <si>
    <t>列11473</t>
  </si>
  <si>
    <t>列11474</t>
  </si>
  <si>
    <t>列11475</t>
  </si>
  <si>
    <t>列11476</t>
  </si>
  <si>
    <t>列11477</t>
  </si>
  <si>
    <t>列11478</t>
  </si>
  <si>
    <t>列11479</t>
  </si>
  <si>
    <t>列11480</t>
  </si>
  <si>
    <t>列11481</t>
  </si>
  <si>
    <t>列11482</t>
  </si>
  <si>
    <t>列11483</t>
  </si>
  <si>
    <t>列11484</t>
  </si>
  <si>
    <t>列11485</t>
  </si>
  <si>
    <t>列11486</t>
  </si>
  <si>
    <t>列11487</t>
  </si>
  <si>
    <t>列11488</t>
  </si>
  <si>
    <t>列11489</t>
  </si>
  <si>
    <t>列11490</t>
  </si>
  <si>
    <t>列11491</t>
  </si>
  <si>
    <t>列11492</t>
  </si>
  <si>
    <t>列11493</t>
  </si>
  <si>
    <t>列11494</t>
  </si>
  <si>
    <t>列11495</t>
  </si>
  <si>
    <t>列11496</t>
  </si>
  <si>
    <t>列11497</t>
  </si>
  <si>
    <t>列11498</t>
  </si>
  <si>
    <t>列11499</t>
  </si>
  <si>
    <t>列11500</t>
  </si>
  <si>
    <t>列11501</t>
  </si>
  <si>
    <t>列11502</t>
  </si>
  <si>
    <t>列11503</t>
  </si>
  <si>
    <t>列11504</t>
  </si>
  <si>
    <t>列11505</t>
  </si>
  <si>
    <t>列11506</t>
  </si>
  <si>
    <t>列11507</t>
  </si>
  <si>
    <t>列11508</t>
  </si>
  <si>
    <t>列11509</t>
  </si>
  <si>
    <t>列11510</t>
  </si>
  <si>
    <t>列11511</t>
  </si>
  <si>
    <t>列11512</t>
  </si>
  <si>
    <t>列11513</t>
  </si>
  <si>
    <t>列11514</t>
  </si>
  <si>
    <t>列11515</t>
  </si>
  <si>
    <t>列11516</t>
  </si>
  <si>
    <t>列11517</t>
  </si>
  <si>
    <t>列11518</t>
  </si>
  <si>
    <t>列11519</t>
  </si>
  <si>
    <t>列11520</t>
  </si>
  <si>
    <t>列11521</t>
  </si>
  <si>
    <t>列11522</t>
  </si>
  <si>
    <t>列11523</t>
  </si>
  <si>
    <t>列11524</t>
  </si>
  <si>
    <t>列11525</t>
  </si>
  <si>
    <t>列11526</t>
  </si>
  <si>
    <t>列11527</t>
  </si>
  <si>
    <t>列11528</t>
  </si>
  <si>
    <t>列11529</t>
  </si>
  <si>
    <t>列11530</t>
  </si>
  <si>
    <t>列11531</t>
  </si>
  <si>
    <t>列11532</t>
  </si>
  <si>
    <t>列11533</t>
  </si>
  <si>
    <t>列11534</t>
  </si>
  <si>
    <t>列11535</t>
  </si>
  <si>
    <t>列11536</t>
  </si>
  <si>
    <t>列11537</t>
  </si>
  <si>
    <t>列11538</t>
  </si>
  <si>
    <t>列11539</t>
  </si>
  <si>
    <t>列11540</t>
  </si>
  <si>
    <t>列11541</t>
  </si>
  <si>
    <t>列11542</t>
  </si>
  <si>
    <t>列11543</t>
  </si>
  <si>
    <t>列11544</t>
  </si>
  <si>
    <t>列11545</t>
  </si>
  <si>
    <t>列11546</t>
  </si>
  <si>
    <t>列11547</t>
  </si>
  <si>
    <t>列11548</t>
  </si>
  <si>
    <t>列11549</t>
  </si>
  <si>
    <t>列11550</t>
  </si>
  <si>
    <t>列11551</t>
  </si>
  <si>
    <t>列11552</t>
  </si>
  <si>
    <t>列11553</t>
  </si>
  <si>
    <t>列11554</t>
  </si>
  <si>
    <t>列11555</t>
  </si>
  <si>
    <t>列11556</t>
  </si>
  <si>
    <t>列11557</t>
  </si>
  <si>
    <t>列11558</t>
  </si>
  <si>
    <t>列11559</t>
  </si>
  <si>
    <t>列11560</t>
  </si>
  <si>
    <t>列11561</t>
  </si>
  <si>
    <t>列11562</t>
  </si>
  <si>
    <t>列11563</t>
  </si>
  <si>
    <t>列11564</t>
  </si>
  <si>
    <t>列11565</t>
  </si>
  <si>
    <t>列11566</t>
  </si>
  <si>
    <t>列11567</t>
  </si>
  <si>
    <t>列11568</t>
  </si>
  <si>
    <t>列11569</t>
  </si>
  <si>
    <t>列11570</t>
  </si>
  <si>
    <t>列11571</t>
  </si>
  <si>
    <t>列11572</t>
  </si>
  <si>
    <t>列11573</t>
  </si>
  <si>
    <t>列11574</t>
  </si>
  <si>
    <t>列11575</t>
  </si>
  <si>
    <t>列11576</t>
  </si>
  <si>
    <t>列11577</t>
  </si>
  <si>
    <t>列11578</t>
  </si>
  <si>
    <t>列11579</t>
  </si>
  <si>
    <t>列11580</t>
  </si>
  <si>
    <t>列11581</t>
  </si>
  <si>
    <t>列11582</t>
  </si>
  <si>
    <t>列11583</t>
  </si>
  <si>
    <t>列11584</t>
  </si>
  <si>
    <t>列11585</t>
  </si>
  <si>
    <t>列11586</t>
  </si>
  <si>
    <t>列11587</t>
  </si>
  <si>
    <t>列11588</t>
  </si>
  <si>
    <t>列11589</t>
  </si>
  <si>
    <t>列11590</t>
  </si>
  <si>
    <t>列11591</t>
  </si>
  <si>
    <t>列11592</t>
  </si>
  <si>
    <t>列11593</t>
  </si>
  <si>
    <t>列11594</t>
  </si>
  <si>
    <t>列11595</t>
  </si>
  <si>
    <t>列11596</t>
  </si>
  <si>
    <t>列11597</t>
  </si>
  <si>
    <t>列11598</t>
  </si>
  <si>
    <t>列11599</t>
  </si>
  <si>
    <t>列11600</t>
  </si>
  <si>
    <t>列11601</t>
  </si>
  <si>
    <t>列11602</t>
  </si>
  <si>
    <t>列11603</t>
  </si>
  <si>
    <t>列11604</t>
  </si>
  <si>
    <t>列11605</t>
  </si>
  <si>
    <t>列11606</t>
  </si>
  <si>
    <t>列11607</t>
  </si>
  <si>
    <t>列11608</t>
  </si>
  <si>
    <t>列11609</t>
  </si>
  <si>
    <t>列11610</t>
  </si>
  <si>
    <t>列11611</t>
  </si>
  <si>
    <t>列11612</t>
  </si>
  <si>
    <t>列11613</t>
  </si>
  <si>
    <t>列11614</t>
  </si>
  <si>
    <t>列11615</t>
  </si>
  <si>
    <t>列11616</t>
  </si>
  <si>
    <t>列11617</t>
  </si>
  <si>
    <t>列11618</t>
  </si>
  <si>
    <t>列11619</t>
  </si>
  <si>
    <t>列11620</t>
  </si>
  <si>
    <t>列11621</t>
  </si>
  <si>
    <t>列11622</t>
  </si>
  <si>
    <t>列11623</t>
  </si>
  <si>
    <t>列11624</t>
  </si>
  <si>
    <t>列11625</t>
  </si>
  <si>
    <t>列11626</t>
  </si>
  <si>
    <t>列11627</t>
  </si>
  <si>
    <t>列11628</t>
  </si>
  <si>
    <t>列11629</t>
  </si>
  <si>
    <t>列11630</t>
  </si>
  <si>
    <t>列11631</t>
  </si>
  <si>
    <t>列11632</t>
  </si>
  <si>
    <t>列11633</t>
  </si>
  <si>
    <t>列11634</t>
  </si>
  <si>
    <t>列11635</t>
  </si>
  <si>
    <t>列11636</t>
  </si>
  <si>
    <t>列11637</t>
  </si>
  <si>
    <t>列11638</t>
  </si>
  <si>
    <t>列11639</t>
  </si>
  <si>
    <t>列11640</t>
  </si>
  <si>
    <t>列11641</t>
  </si>
  <si>
    <t>列11642</t>
  </si>
  <si>
    <t>列11643</t>
  </si>
  <si>
    <t>列11644</t>
  </si>
  <si>
    <t>列11645</t>
  </si>
  <si>
    <t>列11646</t>
  </si>
  <si>
    <t>列11647</t>
  </si>
  <si>
    <t>列11648</t>
  </si>
  <si>
    <t>列11649</t>
  </si>
  <si>
    <t>列11650</t>
  </si>
  <si>
    <t>列11651</t>
  </si>
  <si>
    <t>列11652</t>
  </si>
  <si>
    <t>列11653</t>
  </si>
  <si>
    <t>列11654</t>
  </si>
  <si>
    <t>列11655</t>
  </si>
  <si>
    <t>列11656</t>
  </si>
  <si>
    <t>列11657</t>
  </si>
  <si>
    <t>列11658</t>
  </si>
  <si>
    <t>列11659</t>
  </si>
  <si>
    <t>列11660</t>
  </si>
  <si>
    <t>列11661</t>
  </si>
  <si>
    <t>列11662</t>
  </si>
  <si>
    <t>列11663</t>
  </si>
  <si>
    <t>列11664</t>
  </si>
  <si>
    <t>列11665</t>
  </si>
  <si>
    <t>列11666</t>
  </si>
  <si>
    <t>列11667</t>
  </si>
  <si>
    <t>列11668</t>
  </si>
  <si>
    <t>列11669</t>
  </si>
  <si>
    <t>列11670</t>
  </si>
  <si>
    <t>列11671</t>
  </si>
  <si>
    <t>列11672</t>
  </si>
  <si>
    <t>列11673</t>
  </si>
  <si>
    <t>列11674</t>
  </si>
  <si>
    <t>列11675</t>
  </si>
  <si>
    <t>列11676</t>
  </si>
  <si>
    <t>列11677</t>
  </si>
  <si>
    <t>列11678</t>
  </si>
  <si>
    <t>列11679</t>
  </si>
  <si>
    <t>列11680</t>
  </si>
  <si>
    <t>列11681</t>
  </si>
  <si>
    <t>列11682</t>
  </si>
  <si>
    <t>列11683</t>
  </si>
  <si>
    <t>列11684</t>
  </si>
  <si>
    <t>列11685</t>
  </si>
  <si>
    <t>列11686</t>
  </si>
  <si>
    <t>列11687</t>
  </si>
  <si>
    <t>列11688</t>
  </si>
  <si>
    <t>列11689</t>
  </si>
  <si>
    <t>列11690</t>
  </si>
  <si>
    <t>列11691</t>
  </si>
  <si>
    <t>列11692</t>
  </si>
  <si>
    <t>列11693</t>
  </si>
  <si>
    <t>列11694</t>
  </si>
  <si>
    <t>列11695</t>
  </si>
  <si>
    <t>列11696</t>
  </si>
  <si>
    <t>列11697</t>
  </si>
  <si>
    <t>列11698</t>
  </si>
  <si>
    <t>列11699</t>
  </si>
  <si>
    <t>列11700</t>
  </si>
  <si>
    <t>列11701</t>
  </si>
  <si>
    <t>列11702</t>
  </si>
  <si>
    <t>列11703</t>
  </si>
  <si>
    <t>列11704</t>
  </si>
  <si>
    <t>列11705</t>
  </si>
  <si>
    <t>列11706</t>
  </si>
  <si>
    <t>列11707</t>
  </si>
  <si>
    <t>列11708</t>
  </si>
  <si>
    <t>列11709</t>
  </si>
  <si>
    <t>列11710</t>
  </si>
  <si>
    <t>列11711</t>
  </si>
  <si>
    <t>列11712</t>
  </si>
  <si>
    <t>列11713</t>
  </si>
  <si>
    <t>列11714</t>
  </si>
  <si>
    <t>列11715</t>
  </si>
  <si>
    <t>列11716</t>
  </si>
  <si>
    <t>列11717</t>
  </si>
  <si>
    <t>列11718</t>
  </si>
  <si>
    <t>列11719</t>
  </si>
  <si>
    <t>列11720</t>
  </si>
  <si>
    <t>列11721</t>
  </si>
  <si>
    <t>列11722</t>
  </si>
  <si>
    <t>列11723</t>
  </si>
  <si>
    <t>列11724</t>
  </si>
  <si>
    <t>列11725</t>
  </si>
  <si>
    <t>列11726</t>
  </si>
  <si>
    <t>列11727</t>
  </si>
  <si>
    <t>列11728</t>
  </si>
  <si>
    <t>列11729</t>
  </si>
  <si>
    <t>列11730</t>
  </si>
  <si>
    <t>列11731</t>
  </si>
  <si>
    <t>列11732</t>
  </si>
  <si>
    <t>列11733</t>
  </si>
  <si>
    <t>列11734</t>
  </si>
  <si>
    <t>列11735</t>
  </si>
  <si>
    <t>列11736</t>
  </si>
  <si>
    <t>列11737</t>
  </si>
  <si>
    <t>列11738</t>
  </si>
  <si>
    <t>列11739</t>
  </si>
  <si>
    <t>列11740</t>
  </si>
  <si>
    <t>列11741</t>
  </si>
  <si>
    <t>列11742</t>
  </si>
  <si>
    <t>列11743</t>
  </si>
  <si>
    <t>列11744</t>
  </si>
  <si>
    <t>列11745</t>
  </si>
  <si>
    <t>列11746</t>
  </si>
  <si>
    <t>列11747</t>
  </si>
  <si>
    <t>列11748</t>
  </si>
  <si>
    <t>列11749</t>
  </si>
  <si>
    <t>列11750</t>
  </si>
  <si>
    <t>列11751</t>
  </si>
  <si>
    <t>列11752</t>
  </si>
  <si>
    <t>列11753</t>
  </si>
  <si>
    <t>列11754</t>
  </si>
  <si>
    <t>列11755</t>
  </si>
  <si>
    <t>列11756</t>
  </si>
  <si>
    <t>列11757</t>
  </si>
  <si>
    <t>列11758</t>
  </si>
  <si>
    <t>列11759</t>
  </si>
  <si>
    <t>列11760</t>
  </si>
  <si>
    <t>列11761</t>
  </si>
  <si>
    <t>列11762</t>
  </si>
  <si>
    <t>列11763</t>
  </si>
  <si>
    <t>列11764</t>
  </si>
  <si>
    <t>列11765</t>
  </si>
  <si>
    <t>列11766</t>
  </si>
  <si>
    <t>列11767</t>
  </si>
  <si>
    <t>列11768</t>
  </si>
  <si>
    <t>列11769</t>
  </si>
  <si>
    <t>列11770</t>
  </si>
  <si>
    <t>列11771</t>
  </si>
  <si>
    <t>列11772</t>
  </si>
  <si>
    <t>列11773</t>
  </si>
  <si>
    <t>列11774</t>
  </si>
  <si>
    <t>列11775</t>
  </si>
  <si>
    <t>列11776</t>
  </si>
  <si>
    <t>列11777</t>
  </si>
  <si>
    <t>列11778</t>
  </si>
  <si>
    <t>列11779</t>
  </si>
  <si>
    <t>列11780</t>
  </si>
  <si>
    <t>列11781</t>
  </si>
  <si>
    <t>列11782</t>
  </si>
  <si>
    <t>列11783</t>
  </si>
  <si>
    <t>列11784</t>
  </si>
  <si>
    <t>列11785</t>
  </si>
  <si>
    <t>列11786</t>
  </si>
  <si>
    <t>列11787</t>
  </si>
  <si>
    <t>列11788</t>
  </si>
  <si>
    <t>列11789</t>
  </si>
  <si>
    <t>列11790</t>
  </si>
  <si>
    <t>列11791</t>
  </si>
  <si>
    <t>列11792</t>
  </si>
  <si>
    <t>列11793</t>
  </si>
  <si>
    <t>列11794</t>
  </si>
  <si>
    <t>列11795</t>
  </si>
  <si>
    <t>列11796</t>
  </si>
  <si>
    <t>列11797</t>
  </si>
  <si>
    <t>列11798</t>
  </si>
  <si>
    <t>列11799</t>
  </si>
  <si>
    <t>列11800</t>
  </si>
  <si>
    <t>列11801</t>
  </si>
  <si>
    <t>列11802</t>
  </si>
  <si>
    <t>列11803</t>
  </si>
  <si>
    <t>列11804</t>
  </si>
  <si>
    <t>列11805</t>
  </si>
  <si>
    <t>列11806</t>
  </si>
  <si>
    <t>列11807</t>
  </si>
  <si>
    <t>列11808</t>
  </si>
  <si>
    <t>列11809</t>
  </si>
  <si>
    <t>列11810</t>
  </si>
  <si>
    <t>列11811</t>
  </si>
  <si>
    <t>列11812</t>
  </si>
  <si>
    <t>列11813</t>
  </si>
  <si>
    <t>列11814</t>
  </si>
  <si>
    <t>列11815</t>
  </si>
  <si>
    <t>列11816</t>
  </si>
  <si>
    <t>列11817</t>
  </si>
  <si>
    <t>列11818</t>
  </si>
  <si>
    <t>列11819</t>
  </si>
  <si>
    <t>列11820</t>
  </si>
  <si>
    <t>列11821</t>
  </si>
  <si>
    <t>列11822</t>
  </si>
  <si>
    <t>列11823</t>
  </si>
  <si>
    <t>列11824</t>
  </si>
  <si>
    <t>列11825</t>
  </si>
  <si>
    <t>列11826</t>
  </si>
  <si>
    <t>列11827</t>
  </si>
  <si>
    <t>列11828</t>
  </si>
  <si>
    <t>列11829</t>
  </si>
  <si>
    <t>列11830</t>
  </si>
  <si>
    <t>列11831</t>
  </si>
  <si>
    <t>列11832</t>
  </si>
  <si>
    <t>列11833</t>
  </si>
  <si>
    <t>列11834</t>
  </si>
  <si>
    <t>列11835</t>
  </si>
  <si>
    <t>列11836</t>
  </si>
  <si>
    <t>列11837</t>
  </si>
  <si>
    <t>列11838</t>
  </si>
  <si>
    <t>列11839</t>
  </si>
  <si>
    <t>列11840</t>
  </si>
  <si>
    <t>列11841</t>
  </si>
  <si>
    <t>列11842</t>
  </si>
  <si>
    <t>列11843</t>
  </si>
  <si>
    <t>列11844</t>
  </si>
  <si>
    <t>列11845</t>
  </si>
  <si>
    <t>列11846</t>
  </si>
  <si>
    <t>列11847</t>
  </si>
  <si>
    <t>列11848</t>
  </si>
  <si>
    <t>列11849</t>
  </si>
  <si>
    <t>列11850</t>
  </si>
  <si>
    <t>列11851</t>
  </si>
  <si>
    <t>列11852</t>
  </si>
  <si>
    <t>列11853</t>
  </si>
  <si>
    <t>列11854</t>
  </si>
  <si>
    <t>列11855</t>
  </si>
  <si>
    <t>列11856</t>
  </si>
  <si>
    <t>列11857</t>
  </si>
  <si>
    <t>列11858</t>
  </si>
  <si>
    <t>列11859</t>
  </si>
  <si>
    <t>列11860</t>
  </si>
  <si>
    <t>列11861</t>
  </si>
  <si>
    <t>列11862</t>
  </si>
  <si>
    <t>列11863</t>
  </si>
  <si>
    <t>列11864</t>
  </si>
  <si>
    <t>列11865</t>
  </si>
  <si>
    <t>列11866</t>
  </si>
  <si>
    <t>列11867</t>
  </si>
  <si>
    <t>列11868</t>
  </si>
  <si>
    <t>列11869</t>
  </si>
  <si>
    <t>列11870</t>
  </si>
  <si>
    <t>列11871</t>
  </si>
  <si>
    <t>列11872</t>
  </si>
  <si>
    <t>列11873</t>
  </si>
  <si>
    <t>列11874</t>
  </si>
  <si>
    <t>列11875</t>
  </si>
  <si>
    <t>列11876</t>
  </si>
  <si>
    <t>列11877</t>
  </si>
  <si>
    <t>列11878</t>
  </si>
  <si>
    <t>列11879</t>
  </si>
  <si>
    <t>列11880</t>
  </si>
  <si>
    <t>列11881</t>
  </si>
  <si>
    <t>列11882</t>
  </si>
  <si>
    <t>列11883</t>
  </si>
  <si>
    <t>列11884</t>
  </si>
  <si>
    <t>列11885</t>
  </si>
  <si>
    <t>列11886</t>
  </si>
  <si>
    <t>列11887</t>
  </si>
  <si>
    <t>列11888</t>
  </si>
  <si>
    <t>列11889</t>
  </si>
  <si>
    <t>列11890</t>
  </si>
  <si>
    <t>列11891</t>
  </si>
  <si>
    <t>列11892</t>
  </si>
  <si>
    <t>列11893</t>
  </si>
  <si>
    <t>列11894</t>
  </si>
  <si>
    <t>列11895</t>
  </si>
  <si>
    <t>列11896</t>
  </si>
  <si>
    <t>列11897</t>
  </si>
  <si>
    <t>列11898</t>
  </si>
  <si>
    <t>列11899</t>
  </si>
  <si>
    <t>列11900</t>
  </si>
  <si>
    <t>列11901</t>
  </si>
  <si>
    <t>列11902</t>
  </si>
  <si>
    <t>列11903</t>
  </si>
  <si>
    <t>列11904</t>
  </si>
  <si>
    <t>列11905</t>
  </si>
  <si>
    <t>列11906</t>
  </si>
  <si>
    <t>列11907</t>
  </si>
  <si>
    <t>列11908</t>
  </si>
  <si>
    <t>列11909</t>
  </si>
  <si>
    <t>列11910</t>
  </si>
  <si>
    <t>列11911</t>
  </si>
  <si>
    <t>列11912</t>
  </si>
  <si>
    <t>列11913</t>
  </si>
  <si>
    <t>列11914</t>
  </si>
  <si>
    <t>列11915</t>
  </si>
  <si>
    <t>列11916</t>
  </si>
  <si>
    <t>列11917</t>
  </si>
  <si>
    <t>列11918</t>
  </si>
  <si>
    <t>列11919</t>
  </si>
  <si>
    <t>列11920</t>
  </si>
  <si>
    <t>列11921</t>
  </si>
  <si>
    <t>列11922</t>
  </si>
  <si>
    <t>列11923</t>
  </si>
  <si>
    <t>列11924</t>
  </si>
  <si>
    <t>列11925</t>
  </si>
  <si>
    <t>列11926</t>
  </si>
  <si>
    <t>列11927</t>
  </si>
  <si>
    <t>列11928</t>
  </si>
  <si>
    <t>列11929</t>
  </si>
  <si>
    <t>列11930</t>
  </si>
  <si>
    <t>列11931</t>
  </si>
  <si>
    <t>列11932</t>
  </si>
  <si>
    <t>列11933</t>
  </si>
  <si>
    <t>列11934</t>
  </si>
  <si>
    <t>列11935</t>
  </si>
  <si>
    <t>列11936</t>
  </si>
  <si>
    <t>列11937</t>
  </si>
  <si>
    <t>列11938</t>
  </si>
  <si>
    <t>列11939</t>
  </si>
  <si>
    <t>列11940</t>
  </si>
  <si>
    <t>列11941</t>
  </si>
  <si>
    <t>列11942</t>
  </si>
  <si>
    <t>列11943</t>
  </si>
  <si>
    <t>列11944</t>
  </si>
  <si>
    <t>列11945</t>
  </si>
  <si>
    <t>列11946</t>
  </si>
  <si>
    <t>列11947</t>
  </si>
  <si>
    <t>列11948</t>
  </si>
  <si>
    <t>列11949</t>
  </si>
  <si>
    <t>列11950</t>
  </si>
  <si>
    <t>列11951</t>
  </si>
  <si>
    <t>列11952</t>
  </si>
  <si>
    <t>列11953</t>
  </si>
  <si>
    <t>列11954</t>
  </si>
  <si>
    <t>列11955</t>
  </si>
  <si>
    <t>列11956</t>
  </si>
  <si>
    <t>列11957</t>
  </si>
  <si>
    <t>列11958</t>
  </si>
  <si>
    <t>列11959</t>
  </si>
  <si>
    <t>列11960</t>
  </si>
  <si>
    <t>列11961</t>
  </si>
  <si>
    <t>列11962</t>
  </si>
  <si>
    <t>列11963</t>
  </si>
  <si>
    <t>列11964</t>
  </si>
  <si>
    <t>列11965</t>
  </si>
  <si>
    <t>列11966</t>
  </si>
  <si>
    <t>列11967</t>
  </si>
  <si>
    <t>列11968</t>
  </si>
  <si>
    <t>列11969</t>
  </si>
  <si>
    <t>列11970</t>
  </si>
  <si>
    <t>列11971</t>
  </si>
  <si>
    <t>列11972</t>
  </si>
  <si>
    <t>列11973</t>
  </si>
  <si>
    <t>列11974</t>
  </si>
  <si>
    <t>列11975</t>
  </si>
  <si>
    <t>列11976</t>
  </si>
  <si>
    <t>列11977</t>
  </si>
  <si>
    <t>列11978</t>
  </si>
  <si>
    <t>列11979</t>
  </si>
  <si>
    <t>列11980</t>
  </si>
  <si>
    <t>列11981</t>
  </si>
  <si>
    <t>列11982</t>
  </si>
  <si>
    <t>列11983</t>
  </si>
  <si>
    <t>列11984</t>
  </si>
  <si>
    <t>列11985</t>
  </si>
  <si>
    <t>列11986</t>
  </si>
  <si>
    <t>列11987</t>
  </si>
  <si>
    <t>列11988</t>
  </si>
  <si>
    <t>列11989</t>
  </si>
  <si>
    <t>列11990</t>
  </si>
  <si>
    <t>列11991</t>
  </si>
  <si>
    <t>列11992</t>
  </si>
  <si>
    <t>列11993</t>
  </si>
  <si>
    <t>列11994</t>
  </si>
  <si>
    <t>列11995</t>
  </si>
  <si>
    <t>列11996</t>
  </si>
  <si>
    <t>列11997</t>
  </si>
  <si>
    <t>列11998</t>
  </si>
  <si>
    <t>列11999</t>
  </si>
  <si>
    <t>列12000</t>
  </si>
  <si>
    <t>列12001</t>
  </si>
  <si>
    <t>列12002</t>
  </si>
  <si>
    <t>列12003</t>
  </si>
  <si>
    <t>列12004</t>
  </si>
  <si>
    <t>列12005</t>
  </si>
  <si>
    <t>列12006</t>
  </si>
  <si>
    <t>列12007</t>
  </si>
  <si>
    <t>列12008</t>
  </si>
  <si>
    <t>列12009</t>
  </si>
  <si>
    <t>列12010</t>
  </si>
  <si>
    <t>列12011</t>
  </si>
  <si>
    <t>列12012</t>
  </si>
  <si>
    <t>列12013</t>
  </si>
  <si>
    <t>列12014</t>
  </si>
  <si>
    <t>列12015</t>
  </si>
  <si>
    <t>列12016</t>
  </si>
  <si>
    <t>列12017</t>
  </si>
  <si>
    <t>列12018</t>
  </si>
  <si>
    <t>列12019</t>
  </si>
  <si>
    <t>列12020</t>
  </si>
  <si>
    <t>列12021</t>
  </si>
  <si>
    <t>列12022</t>
  </si>
  <si>
    <t>列12023</t>
  </si>
  <si>
    <t>列12024</t>
  </si>
  <si>
    <t>列12025</t>
  </si>
  <si>
    <t>列12026</t>
  </si>
  <si>
    <t>列12027</t>
  </si>
  <si>
    <t>列12028</t>
  </si>
  <si>
    <t>列12029</t>
  </si>
  <si>
    <t>列12030</t>
  </si>
  <si>
    <t>列12031</t>
  </si>
  <si>
    <t>列12032</t>
  </si>
  <si>
    <t>列12033</t>
  </si>
  <si>
    <t>列12034</t>
  </si>
  <si>
    <t>列12035</t>
  </si>
  <si>
    <t>列12036</t>
  </si>
  <si>
    <t>列12037</t>
  </si>
  <si>
    <t>列12038</t>
  </si>
  <si>
    <t>列12039</t>
  </si>
  <si>
    <t>列12040</t>
  </si>
  <si>
    <t>列12041</t>
  </si>
  <si>
    <t>列12042</t>
  </si>
  <si>
    <t>列12043</t>
  </si>
  <si>
    <t>列12044</t>
  </si>
  <si>
    <t>列12045</t>
  </si>
  <si>
    <t>列12046</t>
  </si>
  <si>
    <t>列12047</t>
  </si>
  <si>
    <t>列12048</t>
  </si>
  <si>
    <t>列12049</t>
  </si>
  <si>
    <t>列12050</t>
  </si>
  <si>
    <t>列12051</t>
  </si>
  <si>
    <t>列12052</t>
  </si>
  <si>
    <t>列12053</t>
  </si>
  <si>
    <t>列12054</t>
  </si>
  <si>
    <t>列12055</t>
  </si>
  <si>
    <t>列12056</t>
  </si>
  <si>
    <t>列12057</t>
  </si>
  <si>
    <t>列12058</t>
  </si>
  <si>
    <t>列12059</t>
  </si>
  <si>
    <t>列12060</t>
  </si>
  <si>
    <t>列12061</t>
  </si>
  <si>
    <t>列12062</t>
  </si>
  <si>
    <t>列12063</t>
  </si>
  <si>
    <t>列12064</t>
  </si>
  <si>
    <t>列12065</t>
  </si>
  <si>
    <t>列12066</t>
  </si>
  <si>
    <t>列12067</t>
  </si>
  <si>
    <t>列12068</t>
  </si>
  <si>
    <t>列12069</t>
  </si>
  <si>
    <t>列12070</t>
  </si>
  <si>
    <t>列12071</t>
  </si>
  <si>
    <t>列12072</t>
  </si>
  <si>
    <t>列12073</t>
  </si>
  <si>
    <t>列12074</t>
  </si>
  <si>
    <t>列12075</t>
  </si>
  <si>
    <t>列12076</t>
  </si>
  <si>
    <t>列12077</t>
  </si>
  <si>
    <t>列12078</t>
  </si>
  <si>
    <t>列12079</t>
  </si>
  <si>
    <t>列12080</t>
  </si>
  <si>
    <t>列12081</t>
  </si>
  <si>
    <t>列12082</t>
  </si>
  <si>
    <t>列12083</t>
  </si>
  <si>
    <t>列12084</t>
  </si>
  <si>
    <t>列12085</t>
  </si>
  <si>
    <t>列12086</t>
  </si>
  <si>
    <t>列12087</t>
  </si>
  <si>
    <t>列12088</t>
  </si>
  <si>
    <t>列12089</t>
  </si>
  <si>
    <t>列12090</t>
  </si>
  <si>
    <t>列12091</t>
  </si>
  <si>
    <t>列12092</t>
  </si>
  <si>
    <t>列12093</t>
  </si>
  <si>
    <t>列12094</t>
  </si>
  <si>
    <t>列12095</t>
  </si>
  <si>
    <t>列12096</t>
  </si>
  <si>
    <t>列12097</t>
  </si>
  <si>
    <t>列12098</t>
  </si>
  <si>
    <t>列12099</t>
  </si>
  <si>
    <t>列12100</t>
  </si>
  <si>
    <t>列12101</t>
  </si>
  <si>
    <t>列12102</t>
  </si>
  <si>
    <t>列12103</t>
  </si>
  <si>
    <t>列12104</t>
  </si>
  <si>
    <t>列12105</t>
  </si>
  <si>
    <t>列12106</t>
  </si>
  <si>
    <t>列12107</t>
  </si>
  <si>
    <t>列12108</t>
  </si>
  <si>
    <t>列12109</t>
  </si>
  <si>
    <t>列12110</t>
  </si>
  <si>
    <t>列12111</t>
  </si>
  <si>
    <t>列12112</t>
  </si>
  <si>
    <t>列12113</t>
  </si>
  <si>
    <t>列12114</t>
  </si>
  <si>
    <t>列12115</t>
  </si>
  <si>
    <t>列12116</t>
  </si>
  <si>
    <t>列12117</t>
  </si>
  <si>
    <t>列12118</t>
  </si>
  <si>
    <t>列12119</t>
  </si>
  <si>
    <t>列12120</t>
  </si>
  <si>
    <t>列12121</t>
  </si>
  <si>
    <t>列12122</t>
  </si>
  <si>
    <t>列12123</t>
  </si>
  <si>
    <t>列12124</t>
  </si>
  <si>
    <t>列12125</t>
  </si>
  <si>
    <t>列12126</t>
  </si>
  <si>
    <t>列12127</t>
  </si>
  <si>
    <t>列12128</t>
  </si>
  <si>
    <t>列12129</t>
  </si>
  <si>
    <t>列12130</t>
  </si>
  <si>
    <t>列12131</t>
  </si>
  <si>
    <t>列12132</t>
  </si>
  <si>
    <t>列12133</t>
  </si>
  <si>
    <t>列12134</t>
  </si>
  <si>
    <t>列12135</t>
  </si>
  <si>
    <t>列12136</t>
  </si>
  <si>
    <t>列12137</t>
  </si>
  <si>
    <t>列12138</t>
  </si>
  <si>
    <t>列12139</t>
  </si>
  <si>
    <t>列12140</t>
  </si>
  <si>
    <t>列12141</t>
  </si>
  <si>
    <t>列12142</t>
  </si>
  <si>
    <t>列12143</t>
  </si>
  <si>
    <t>列12144</t>
  </si>
  <si>
    <t>列12145</t>
  </si>
  <si>
    <t>列12146</t>
  </si>
  <si>
    <t>列12147</t>
  </si>
  <si>
    <t>列12148</t>
  </si>
  <si>
    <t>列12149</t>
  </si>
  <si>
    <t>列12150</t>
  </si>
  <si>
    <t>列12151</t>
  </si>
  <si>
    <t>列12152</t>
  </si>
  <si>
    <t>列12153</t>
  </si>
  <si>
    <t>列12154</t>
  </si>
  <si>
    <t>列12155</t>
  </si>
  <si>
    <t>列12156</t>
  </si>
  <si>
    <t>列12157</t>
  </si>
  <si>
    <t>列12158</t>
  </si>
  <si>
    <t>列12159</t>
  </si>
  <si>
    <t>列12160</t>
  </si>
  <si>
    <t>列12161</t>
  </si>
  <si>
    <t>列12162</t>
  </si>
  <si>
    <t>列12163</t>
  </si>
  <si>
    <t>列12164</t>
  </si>
  <si>
    <t>列12165</t>
  </si>
  <si>
    <t>列12166</t>
  </si>
  <si>
    <t>列12167</t>
  </si>
  <si>
    <t>列12168</t>
  </si>
  <si>
    <t>列12169</t>
  </si>
  <si>
    <t>列12170</t>
  </si>
  <si>
    <t>列12171</t>
  </si>
  <si>
    <t>列12172</t>
  </si>
  <si>
    <t>列12173</t>
  </si>
  <si>
    <t>列12174</t>
  </si>
  <si>
    <t>列12175</t>
  </si>
  <si>
    <t>列12176</t>
  </si>
  <si>
    <t>列12177</t>
  </si>
  <si>
    <t>列12178</t>
  </si>
  <si>
    <t>列12179</t>
  </si>
  <si>
    <t>列12180</t>
  </si>
  <si>
    <t>列12181</t>
  </si>
  <si>
    <t>列12182</t>
  </si>
  <si>
    <t>列12183</t>
  </si>
  <si>
    <t>列12184</t>
  </si>
  <si>
    <t>列12185</t>
  </si>
  <si>
    <t>列12186</t>
  </si>
  <si>
    <t>列12187</t>
  </si>
  <si>
    <t>列12188</t>
  </si>
  <si>
    <t>列12189</t>
  </si>
  <si>
    <t>列12190</t>
  </si>
  <si>
    <t>列12191</t>
  </si>
  <si>
    <t>列12192</t>
  </si>
  <si>
    <t>列12193</t>
  </si>
  <si>
    <t>列12194</t>
  </si>
  <si>
    <t>列12195</t>
  </si>
  <si>
    <t>列12196</t>
  </si>
  <si>
    <t>列12197</t>
  </si>
  <si>
    <t>列12198</t>
  </si>
  <si>
    <t>列12199</t>
  </si>
  <si>
    <t>列12200</t>
  </si>
  <si>
    <t>列12201</t>
  </si>
  <si>
    <t>列12202</t>
  </si>
  <si>
    <t>列12203</t>
  </si>
  <si>
    <t>列12204</t>
  </si>
  <si>
    <t>列12205</t>
  </si>
  <si>
    <t>列12206</t>
  </si>
  <si>
    <t>列12207</t>
  </si>
  <si>
    <t>列12208</t>
  </si>
  <si>
    <t>列12209</t>
  </si>
  <si>
    <t>列12210</t>
  </si>
  <si>
    <t>列12211</t>
  </si>
  <si>
    <t>列12212</t>
  </si>
  <si>
    <t>列12213</t>
  </si>
  <si>
    <t>列12214</t>
  </si>
  <si>
    <t>列12215</t>
  </si>
  <si>
    <t>列12216</t>
  </si>
  <si>
    <t>列12217</t>
  </si>
  <si>
    <t>列12218</t>
  </si>
  <si>
    <t>列12219</t>
  </si>
  <si>
    <t>列12220</t>
  </si>
  <si>
    <t>列12221</t>
  </si>
  <si>
    <t>列12222</t>
  </si>
  <si>
    <t>列12223</t>
  </si>
  <si>
    <t>列12224</t>
  </si>
  <si>
    <t>列12225</t>
  </si>
  <si>
    <t>列12226</t>
  </si>
  <si>
    <t>列12227</t>
  </si>
  <si>
    <t>列12228</t>
  </si>
  <si>
    <t>列12229</t>
  </si>
  <si>
    <t>列12230</t>
  </si>
  <si>
    <t>列12231</t>
  </si>
  <si>
    <t>列12232</t>
  </si>
  <si>
    <t>列12233</t>
  </si>
  <si>
    <t>列12234</t>
  </si>
  <si>
    <t>列12235</t>
  </si>
  <si>
    <t>列12236</t>
  </si>
  <si>
    <t>列12237</t>
  </si>
  <si>
    <t>列12238</t>
  </si>
  <si>
    <t>列12239</t>
  </si>
  <si>
    <t>列12240</t>
  </si>
  <si>
    <t>列12241</t>
  </si>
  <si>
    <t>列12242</t>
  </si>
  <si>
    <t>列12243</t>
  </si>
  <si>
    <t>列12244</t>
  </si>
  <si>
    <t>列12245</t>
  </si>
  <si>
    <t>列12246</t>
  </si>
  <si>
    <t>列12247</t>
  </si>
  <si>
    <t>列12248</t>
  </si>
  <si>
    <t>列12249</t>
  </si>
  <si>
    <t>列12250</t>
  </si>
  <si>
    <t>列12251</t>
  </si>
  <si>
    <t>列12252</t>
  </si>
  <si>
    <t>列12253</t>
  </si>
  <si>
    <t>列12254</t>
  </si>
  <si>
    <t>列12255</t>
  </si>
  <si>
    <t>列12256</t>
  </si>
  <si>
    <t>列12257</t>
  </si>
  <si>
    <t>列12258</t>
  </si>
  <si>
    <t>列12259</t>
  </si>
  <si>
    <t>列12260</t>
  </si>
  <si>
    <t>列12261</t>
  </si>
  <si>
    <t>列12262</t>
  </si>
  <si>
    <t>列12263</t>
  </si>
  <si>
    <t>列12264</t>
  </si>
  <si>
    <t>列12265</t>
  </si>
  <si>
    <t>列12266</t>
  </si>
  <si>
    <t>列12267</t>
  </si>
  <si>
    <t>列12268</t>
  </si>
  <si>
    <t>列12269</t>
  </si>
  <si>
    <t>列12270</t>
  </si>
  <si>
    <t>列12271</t>
  </si>
  <si>
    <t>列12272</t>
  </si>
  <si>
    <t>列12273</t>
  </si>
  <si>
    <t>列12274</t>
  </si>
  <si>
    <t>列12275</t>
  </si>
  <si>
    <t>列12276</t>
  </si>
  <si>
    <t>列12277</t>
  </si>
  <si>
    <t>列12278</t>
  </si>
  <si>
    <t>列12279</t>
  </si>
  <si>
    <t>列12280</t>
  </si>
  <si>
    <t>列12281</t>
  </si>
  <si>
    <t>列12282</t>
  </si>
  <si>
    <t>列12283</t>
  </si>
  <si>
    <t>列12284</t>
  </si>
  <si>
    <t>列12285</t>
  </si>
  <si>
    <t>列12286</t>
  </si>
  <si>
    <t>列12287</t>
  </si>
  <si>
    <t>列12288</t>
  </si>
  <si>
    <t>列12289</t>
  </si>
  <si>
    <t>列12290</t>
  </si>
  <si>
    <t>列12291</t>
  </si>
  <si>
    <t>列12292</t>
  </si>
  <si>
    <t>列12293</t>
  </si>
  <si>
    <t>列12294</t>
  </si>
  <si>
    <t>列12295</t>
  </si>
  <si>
    <t>列12296</t>
  </si>
  <si>
    <t>列12297</t>
  </si>
  <si>
    <t>列12298</t>
  </si>
  <si>
    <t>列12299</t>
  </si>
  <si>
    <t>列12300</t>
  </si>
  <si>
    <t>列12301</t>
  </si>
  <si>
    <t>列12302</t>
  </si>
  <si>
    <t>列12303</t>
  </si>
  <si>
    <t>列12304</t>
  </si>
  <si>
    <t>列12305</t>
  </si>
  <si>
    <t>列12306</t>
  </si>
  <si>
    <t>列12307</t>
  </si>
  <si>
    <t>列12308</t>
  </si>
  <si>
    <t>列12309</t>
  </si>
  <si>
    <t>列12310</t>
  </si>
  <si>
    <t>列12311</t>
  </si>
  <si>
    <t>列12312</t>
  </si>
  <si>
    <t>列12313</t>
  </si>
  <si>
    <t>列12314</t>
  </si>
  <si>
    <t>列12315</t>
  </si>
  <si>
    <t>列12316</t>
  </si>
  <si>
    <t>列12317</t>
  </si>
  <si>
    <t>列12318</t>
  </si>
  <si>
    <t>列12319</t>
  </si>
  <si>
    <t>列12320</t>
  </si>
  <si>
    <t>列12321</t>
  </si>
  <si>
    <t>列12322</t>
  </si>
  <si>
    <t>列12323</t>
  </si>
  <si>
    <t>列12324</t>
  </si>
  <si>
    <t>列12325</t>
  </si>
  <si>
    <t>列12326</t>
  </si>
  <si>
    <t>列12327</t>
  </si>
  <si>
    <t>列12328</t>
  </si>
  <si>
    <t>列12329</t>
  </si>
  <si>
    <t>列12330</t>
  </si>
  <si>
    <t>列12331</t>
  </si>
  <si>
    <t>列12332</t>
  </si>
  <si>
    <t>列12333</t>
  </si>
  <si>
    <t>列12334</t>
  </si>
  <si>
    <t>列12335</t>
  </si>
  <si>
    <t>列12336</t>
  </si>
  <si>
    <t>列12337</t>
  </si>
  <si>
    <t>列12338</t>
  </si>
  <si>
    <t>列12339</t>
  </si>
  <si>
    <t>列12340</t>
  </si>
  <si>
    <t>列12341</t>
  </si>
  <si>
    <t>列12342</t>
  </si>
  <si>
    <t>列12343</t>
  </si>
  <si>
    <t>列12344</t>
  </si>
  <si>
    <t>列12345</t>
  </si>
  <si>
    <t>列12346</t>
  </si>
  <si>
    <t>列12347</t>
  </si>
  <si>
    <t>列12348</t>
  </si>
  <si>
    <t>列12349</t>
  </si>
  <si>
    <t>列12350</t>
  </si>
  <si>
    <t>列12351</t>
  </si>
  <si>
    <t>列12352</t>
  </si>
  <si>
    <t>列12353</t>
  </si>
  <si>
    <t>列12354</t>
  </si>
  <si>
    <t>列12355</t>
  </si>
  <si>
    <t>列12356</t>
  </si>
  <si>
    <t>列12357</t>
  </si>
  <si>
    <t>列12358</t>
  </si>
  <si>
    <t>列12359</t>
  </si>
  <si>
    <t>列12360</t>
  </si>
  <si>
    <t>列12361</t>
  </si>
  <si>
    <t>列12362</t>
  </si>
  <si>
    <t>列12363</t>
  </si>
  <si>
    <t>列12364</t>
  </si>
  <si>
    <t>列12365</t>
  </si>
  <si>
    <t>列12366</t>
  </si>
  <si>
    <t>列12367</t>
  </si>
  <si>
    <t>列12368</t>
  </si>
  <si>
    <t>列12369</t>
  </si>
  <si>
    <t>列12370</t>
  </si>
  <si>
    <t>列12371</t>
  </si>
  <si>
    <t>列12372</t>
  </si>
  <si>
    <t>列12373</t>
  </si>
  <si>
    <t>列12374</t>
  </si>
  <si>
    <t>列12375</t>
  </si>
  <si>
    <t>列12376</t>
  </si>
  <si>
    <t>列12377</t>
  </si>
  <si>
    <t>列12378</t>
  </si>
  <si>
    <t>列12379</t>
  </si>
  <si>
    <t>列12380</t>
  </si>
  <si>
    <t>列12381</t>
  </si>
  <si>
    <t>列12382</t>
  </si>
  <si>
    <t>列12383</t>
  </si>
  <si>
    <t>列12384</t>
  </si>
  <si>
    <t>列12385</t>
  </si>
  <si>
    <t>列12386</t>
  </si>
  <si>
    <t>列12387</t>
  </si>
  <si>
    <t>列12388</t>
  </si>
  <si>
    <t>列12389</t>
  </si>
  <si>
    <t>列12390</t>
  </si>
  <si>
    <t>列12391</t>
  </si>
  <si>
    <t>列12392</t>
  </si>
  <si>
    <t>列12393</t>
  </si>
  <si>
    <t>列12394</t>
  </si>
  <si>
    <t>列12395</t>
  </si>
  <si>
    <t>列12396</t>
  </si>
  <si>
    <t>列12397</t>
  </si>
  <si>
    <t>列12398</t>
  </si>
  <si>
    <t>列12399</t>
  </si>
  <si>
    <t>列12400</t>
  </si>
  <si>
    <t>列12401</t>
  </si>
  <si>
    <t>列12402</t>
  </si>
  <si>
    <t>列12403</t>
  </si>
  <si>
    <t>列12404</t>
  </si>
  <si>
    <t>列12405</t>
  </si>
  <si>
    <t>列12406</t>
  </si>
  <si>
    <t>列12407</t>
  </si>
  <si>
    <t>列12408</t>
  </si>
  <si>
    <t>列12409</t>
  </si>
  <si>
    <t>列12410</t>
  </si>
  <si>
    <t>列12411</t>
  </si>
  <si>
    <t>列12412</t>
  </si>
  <si>
    <t>列12413</t>
  </si>
  <si>
    <t>列12414</t>
  </si>
  <si>
    <t>列12415</t>
  </si>
  <si>
    <t>列12416</t>
  </si>
  <si>
    <t>列12417</t>
  </si>
  <si>
    <t>列12418</t>
  </si>
  <si>
    <t>列12419</t>
  </si>
  <si>
    <t>列12420</t>
  </si>
  <si>
    <t>列12421</t>
  </si>
  <si>
    <t>列12422</t>
  </si>
  <si>
    <t>列12423</t>
  </si>
  <si>
    <t>列12424</t>
  </si>
  <si>
    <t>列12425</t>
  </si>
  <si>
    <t>列12426</t>
  </si>
  <si>
    <t>列12427</t>
  </si>
  <si>
    <t>列12428</t>
  </si>
  <si>
    <t>列12429</t>
  </si>
  <si>
    <t>列12430</t>
  </si>
  <si>
    <t>列12431</t>
  </si>
  <si>
    <t>列12432</t>
  </si>
  <si>
    <t>列12433</t>
  </si>
  <si>
    <t>列12434</t>
  </si>
  <si>
    <t>列12435</t>
  </si>
  <si>
    <t>列12436</t>
  </si>
  <si>
    <t>列12437</t>
  </si>
  <si>
    <t>列12438</t>
  </si>
  <si>
    <t>列12439</t>
  </si>
  <si>
    <t>列12440</t>
  </si>
  <si>
    <t>列12441</t>
  </si>
  <si>
    <t>列12442</t>
  </si>
  <si>
    <t>列12443</t>
  </si>
  <si>
    <t>列12444</t>
  </si>
  <si>
    <t>列12445</t>
  </si>
  <si>
    <t>列12446</t>
  </si>
  <si>
    <t>列12447</t>
  </si>
  <si>
    <t>列12448</t>
  </si>
  <si>
    <t>列12449</t>
  </si>
  <si>
    <t>列12450</t>
  </si>
  <si>
    <t>列12451</t>
  </si>
  <si>
    <t>列12452</t>
  </si>
  <si>
    <t>列12453</t>
  </si>
  <si>
    <t>列12454</t>
  </si>
  <si>
    <t>列12455</t>
  </si>
  <si>
    <t>列12456</t>
  </si>
  <si>
    <t>列12457</t>
  </si>
  <si>
    <t>列12458</t>
  </si>
  <si>
    <t>列12459</t>
  </si>
  <si>
    <t>列12460</t>
  </si>
  <si>
    <t>列12461</t>
  </si>
  <si>
    <t>列12462</t>
  </si>
  <si>
    <t>列12463</t>
  </si>
  <si>
    <t>列12464</t>
  </si>
  <si>
    <t>列12465</t>
  </si>
  <si>
    <t>列12466</t>
  </si>
  <si>
    <t>列12467</t>
  </si>
  <si>
    <t>列12468</t>
  </si>
  <si>
    <t>列12469</t>
  </si>
  <si>
    <t>列12470</t>
  </si>
  <si>
    <t>列12471</t>
  </si>
  <si>
    <t>列12472</t>
  </si>
  <si>
    <t>列12473</t>
  </si>
  <si>
    <t>列12474</t>
  </si>
  <si>
    <t>列12475</t>
  </si>
  <si>
    <t>列12476</t>
  </si>
  <si>
    <t>列12477</t>
  </si>
  <si>
    <t>列12478</t>
  </si>
  <si>
    <t>列12479</t>
  </si>
  <si>
    <t>列12480</t>
  </si>
  <si>
    <t>列12481</t>
  </si>
  <si>
    <t>列12482</t>
  </si>
  <si>
    <t>列12483</t>
  </si>
  <si>
    <t>列12484</t>
  </si>
  <si>
    <t>列12485</t>
  </si>
  <si>
    <t>列12486</t>
  </si>
  <si>
    <t>列12487</t>
  </si>
  <si>
    <t>列12488</t>
  </si>
  <si>
    <t>列12489</t>
  </si>
  <si>
    <t>列12490</t>
  </si>
  <si>
    <t>列12491</t>
  </si>
  <si>
    <t>列12492</t>
  </si>
  <si>
    <t>列12493</t>
  </si>
  <si>
    <t>列12494</t>
  </si>
  <si>
    <t>列12495</t>
  </si>
  <si>
    <t>列12496</t>
  </si>
  <si>
    <t>列12497</t>
  </si>
  <si>
    <t>列12498</t>
  </si>
  <si>
    <t>列12499</t>
  </si>
  <si>
    <t>列12500</t>
  </si>
  <si>
    <t>列12501</t>
  </si>
  <si>
    <t>列12502</t>
  </si>
  <si>
    <t>列12503</t>
  </si>
  <si>
    <t>列12504</t>
  </si>
  <si>
    <t>列12505</t>
  </si>
  <si>
    <t>列12506</t>
  </si>
  <si>
    <t>列12507</t>
  </si>
  <si>
    <t>列12508</t>
  </si>
  <si>
    <t>列12509</t>
  </si>
  <si>
    <t>列12510</t>
  </si>
  <si>
    <t>列12511</t>
  </si>
  <si>
    <t>列12512</t>
  </si>
  <si>
    <t>列12513</t>
  </si>
  <si>
    <t>列12514</t>
  </si>
  <si>
    <t>列12515</t>
  </si>
  <si>
    <t>列12516</t>
  </si>
  <si>
    <t>列12517</t>
  </si>
  <si>
    <t>列12518</t>
  </si>
  <si>
    <t>列12519</t>
  </si>
  <si>
    <t>列12520</t>
  </si>
  <si>
    <t>列12521</t>
  </si>
  <si>
    <t>列12522</t>
  </si>
  <si>
    <t>列12523</t>
  </si>
  <si>
    <t>列12524</t>
  </si>
  <si>
    <t>列12525</t>
  </si>
  <si>
    <t>列12526</t>
  </si>
  <si>
    <t>列12527</t>
  </si>
  <si>
    <t>列12528</t>
  </si>
  <si>
    <t>列12529</t>
  </si>
  <si>
    <t>列12530</t>
  </si>
  <si>
    <t>列12531</t>
  </si>
  <si>
    <t>列12532</t>
  </si>
  <si>
    <t>列12533</t>
  </si>
  <si>
    <t>列12534</t>
  </si>
  <si>
    <t>列12535</t>
  </si>
  <si>
    <t>列12536</t>
  </si>
  <si>
    <t>列12537</t>
  </si>
  <si>
    <t>列12538</t>
  </si>
  <si>
    <t>列12539</t>
  </si>
  <si>
    <t>列12540</t>
  </si>
  <si>
    <t>列12541</t>
  </si>
  <si>
    <t>列12542</t>
  </si>
  <si>
    <t>列12543</t>
  </si>
  <si>
    <t>列12544</t>
  </si>
  <si>
    <t>列12545</t>
  </si>
  <si>
    <t>列12546</t>
  </si>
  <si>
    <t>列12547</t>
  </si>
  <si>
    <t>列12548</t>
  </si>
  <si>
    <t>列12549</t>
  </si>
  <si>
    <t>列12550</t>
  </si>
  <si>
    <t>列12551</t>
  </si>
  <si>
    <t>列12552</t>
  </si>
  <si>
    <t>列12553</t>
  </si>
  <si>
    <t>列12554</t>
  </si>
  <si>
    <t>列12555</t>
  </si>
  <si>
    <t>列12556</t>
  </si>
  <si>
    <t>列12557</t>
  </si>
  <si>
    <t>列12558</t>
  </si>
  <si>
    <t>列12559</t>
  </si>
  <si>
    <t>列12560</t>
  </si>
  <si>
    <t>列12561</t>
  </si>
  <si>
    <t>列12562</t>
  </si>
  <si>
    <t>列12563</t>
  </si>
  <si>
    <t>列12564</t>
  </si>
  <si>
    <t>列12565</t>
  </si>
  <si>
    <t>列12566</t>
  </si>
  <si>
    <t>列12567</t>
  </si>
  <si>
    <t>列12568</t>
  </si>
  <si>
    <t>列12569</t>
  </si>
  <si>
    <t>列12570</t>
  </si>
  <si>
    <t>列12571</t>
  </si>
  <si>
    <t>列12572</t>
  </si>
  <si>
    <t>列12573</t>
  </si>
  <si>
    <t>列12574</t>
  </si>
  <si>
    <t>列12575</t>
  </si>
  <si>
    <t>列12576</t>
  </si>
  <si>
    <t>列12577</t>
  </si>
  <si>
    <t>列12578</t>
  </si>
  <si>
    <t>列12579</t>
  </si>
  <si>
    <t>列12580</t>
  </si>
  <si>
    <t>列12581</t>
  </si>
  <si>
    <t>列12582</t>
  </si>
  <si>
    <t>列12583</t>
  </si>
  <si>
    <t>列12584</t>
  </si>
  <si>
    <t>列12585</t>
  </si>
  <si>
    <t>列12586</t>
  </si>
  <si>
    <t>列12587</t>
  </si>
  <si>
    <t>列12588</t>
  </si>
  <si>
    <t>列12589</t>
  </si>
  <si>
    <t>列12590</t>
  </si>
  <si>
    <t>列12591</t>
  </si>
  <si>
    <t>列12592</t>
  </si>
  <si>
    <t>列12593</t>
  </si>
  <si>
    <t>列12594</t>
  </si>
  <si>
    <t>列12595</t>
  </si>
  <si>
    <t>列12596</t>
  </si>
  <si>
    <t>列12597</t>
  </si>
  <si>
    <t>列12598</t>
  </si>
  <si>
    <t>列12599</t>
  </si>
  <si>
    <t>列12600</t>
  </si>
  <si>
    <t>列12601</t>
  </si>
  <si>
    <t>列12602</t>
  </si>
  <si>
    <t>列12603</t>
  </si>
  <si>
    <t>列12604</t>
  </si>
  <si>
    <t>列12605</t>
  </si>
  <si>
    <t>列12606</t>
  </si>
  <si>
    <t>列12607</t>
  </si>
  <si>
    <t>列12608</t>
  </si>
  <si>
    <t>列12609</t>
  </si>
  <si>
    <t>列12610</t>
  </si>
  <si>
    <t>列12611</t>
  </si>
  <si>
    <t>列12612</t>
  </si>
  <si>
    <t>列12613</t>
  </si>
  <si>
    <t>列12614</t>
  </si>
  <si>
    <t>列12615</t>
  </si>
  <si>
    <t>列12616</t>
  </si>
  <si>
    <t>列12617</t>
  </si>
  <si>
    <t>列12618</t>
  </si>
  <si>
    <t>列12619</t>
  </si>
  <si>
    <t>列12620</t>
  </si>
  <si>
    <t>列12621</t>
  </si>
  <si>
    <t>列12622</t>
  </si>
  <si>
    <t>列12623</t>
  </si>
  <si>
    <t>列12624</t>
  </si>
  <si>
    <t>列12625</t>
  </si>
  <si>
    <t>列12626</t>
  </si>
  <si>
    <t>列12627</t>
  </si>
  <si>
    <t>列12628</t>
  </si>
  <si>
    <t>列12629</t>
  </si>
  <si>
    <t>列12630</t>
  </si>
  <si>
    <t>列12631</t>
  </si>
  <si>
    <t>列12632</t>
  </si>
  <si>
    <t>列12633</t>
  </si>
  <si>
    <t>列12634</t>
  </si>
  <si>
    <t>列12635</t>
  </si>
  <si>
    <t>列12636</t>
  </si>
  <si>
    <t>列12637</t>
  </si>
  <si>
    <t>列12638</t>
  </si>
  <si>
    <t>列12639</t>
  </si>
  <si>
    <t>列12640</t>
  </si>
  <si>
    <t>列12641</t>
  </si>
  <si>
    <t>列12642</t>
  </si>
  <si>
    <t>列12643</t>
  </si>
  <si>
    <t>列12644</t>
  </si>
  <si>
    <t>列12645</t>
  </si>
  <si>
    <t>列12646</t>
  </si>
  <si>
    <t>列12647</t>
  </si>
  <si>
    <t>列12648</t>
  </si>
  <si>
    <t>列12649</t>
  </si>
  <si>
    <t>列12650</t>
  </si>
  <si>
    <t>列12651</t>
  </si>
  <si>
    <t>列12652</t>
  </si>
  <si>
    <t>列12653</t>
  </si>
  <si>
    <t>列12654</t>
  </si>
  <si>
    <t>列12655</t>
  </si>
  <si>
    <t>列12656</t>
  </si>
  <si>
    <t>列12657</t>
  </si>
  <si>
    <t>列12658</t>
  </si>
  <si>
    <t>列12659</t>
  </si>
  <si>
    <t>列12660</t>
  </si>
  <si>
    <t>列12661</t>
  </si>
  <si>
    <t>列12662</t>
  </si>
  <si>
    <t>列12663</t>
  </si>
  <si>
    <t>列12664</t>
  </si>
  <si>
    <t>列12665</t>
  </si>
  <si>
    <t>列12666</t>
  </si>
  <si>
    <t>列12667</t>
  </si>
  <si>
    <t>列12668</t>
  </si>
  <si>
    <t>列12669</t>
  </si>
  <si>
    <t>列12670</t>
  </si>
  <si>
    <t>列12671</t>
  </si>
  <si>
    <t>列12672</t>
  </si>
  <si>
    <t>列12673</t>
  </si>
  <si>
    <t>列12674</t>
  </si>
  <si>
    <t>列12675</t>
  </si>
  <si>
    <t>列12676</t>
  </si>
  <si>
    <t>列12677</t>
  </si>
  <si>
    <t>列12678</t>
  </si>
  <si>
    <t>列12679</t>
  </si>
  <si>
    <t>列12680</t>
  </si>
  <si>
    <t>列12681</t>
  </si>
  <si>
    <t>列12682</t>
  </si>
  <si>
    <t>列12683</t>
  </si>
  <si>
    <t>列12684</t>
  </si>
  <si>
    <t>列12685</t>
  </si>
  <si>
    <t>列12686</t>
  </si>
  <si>
    <t>列12687</t>
  </si>
  <si>
    <t>列12688</t>
  </si>
  <si>
    <t>列12689</t>
  </si>
  <si>
    <t>列12690</t>
  </si>
  <si>
    <t>列12691</t>
  </si>
  <si>
    <t>列12692</t>
  </si>
  <si>
    <t>列12693</t>
  </si>
  <si>
    <t>列12694</t>
  </si>
  <si>
    <t>列12695</t>
  </si>
  <si>
    <t>列12696</t>
  </si>
  <si>
    <t>列12697</t>
  </si>
  <si>
    <t>列12698</t>
  </si>
  <si>
    <t>列12699</t>
  </si>
  <si>
    <t>列12700</t>
  </si>
  <si>
    <t>列12701</t>
  </si>
  <si>
    <t>列12702</t>
  </si>
  <si>
    <t>列12703</t>
  </si>
  <si>
    <t>列12704</t>
  </si>
  <si>
    <t>列12705</t>
  </si>
  <si>
    <t>列12706</t>
  </si>
  <si>
    <t>列12707</t>
  </si>
  <si>
    <t>列12708</t>
  </si>
  <si>
    <t>列12709</t>
  </si>
  <si>
    <t>列12710</t>
  </si>
  <si>
    <t>列12711</t>
  </si>
  <si>
    <t>列12712</t>
  </si>
  <si>
    <t>列12713</t>
  </si>
  <si>
    <t>列12714</t>
  </si>
  <si>
    <t>列12715</t>
  </si>
  <si>
    <t>列12716</t>
  </si>
  <si>
    <t>列12717</t>
  </si>
  <si>
    <t>列12718</t>
  </si>
  <si>
    <t>列12719</t>
  </si>
  <si>
    <t>列12720</t>
  </si>
  <si>
    <t>列12721</t>
  </si>
  <si>
    <t>列12722</t>
  </si>
  <si>
    <t>列12723</t>
  </si>
  <si>
    <t>列12724</t>
  </si>
  <si>
    <t>列12725</t>
  </si>
  <si>
    <t>列12726</t>
  </si>
  <si>
    <t>列12727</t>
  </si>
  <si>
    <t>列12728</t>
  </si>
  <si>
    <t>列12729</t>
  </si>
  <si>
    <t>列12730</t>
  </si>
  <si>
    <t>列12731</t>
  </si>
  <si>
    <t>列12732</t>
  </si>
  <si>
    <t>列12733</t>
  </si>
  <si>
    <t>列12734</t>
  </si>
  <si>
    <t>列12735</t>
  </si>
  <si>
    <t>列12736</t>
  </si>
  <si>
    <t>列12737</t>
  </si>
  <si>
    <t>列12738</t>
  </si>
  <si>
    <t>列12739</t>
  </si>
  <si>
    <t>列12740</t>
  </si>
  <si>
    <t>列12741</t>
  </si>
  <si>
    <t>列12742</t>
  </si>
  <si>
    <t>列12743</t>
  </si>
  <si>
    <t>列12744</t>
  </si>
  <si>
    <t>列12745</t>
  </si>
  <si>
    <t>列12746</t>
  </si>
  <si>
    <t>列12747</t>
  </si>
  <si>
    <t>列12748</t>
  </si>
  <si>
    <t>列12749</t>
  </si>
  <si>
    <t>列12750</t>
  </si>
  <si>
    <t>列12751</t>
  </si>
  <si>
    <t>列12752</t>
  </si>
  <si>
    <t>列12753</t>
  </si>
  <si>
    <t>列12754</t>
  </si>
  <si>
    <t>列12755</t>
  </si>
  <si>
    <t>列12756</t>
  </si>
  <si>
    <t>列12757</t>
  </si>
  <si>
    <t>列12758</t>
  </si>
  <si>
    <t>列12759</t>
  </si>
  <si>
    <t>列12760</t>
  </si>
  <si>
    <t>列12761</t>
  </si>
  <si>
    <t>列12762</t>
  </si>
  <si>
    <t>列12763</t>
  </si>
  <si>
    <t>列12764</t>
  </si>
  <si>
    <t>列12765</t>
  </si>
  <si>
    <t>列12766</t>
  </si>
  <si>
    <t>列12767</t>
  </si>
  <si>
    <t>列12768</t>
  </si>
  <si>
    <t>列12769</t>
  </si>
  <si>
    <t>列12770</t>
  </si>
  <si>
    <t>列12771</t>
  </si>
  <si>
    <t>列12772</t>
  </si>
  <si>
    <t>列12773</t>
  </si>
  <si>
    <t>列12774</t>
  </si>
  <si>
    <t>列12775</t>
  </si>
  <si>
    <t>列12776</t>
  </si>
  <si>
    <t>列12777</t>
  </si>
  <si>
    <t>列12778</t>
  </si>
  <si>
    <t>列12779</t>
  </si>
  <si>
    <t>列12780</t>
  </si>
  <si>
    <t>列12781</t>
  </si>
  <si>
    <t>列12782</t>
  </si>
  <si>
    <t>列12783</t>
  </si>
  <si>
    <t>列12784</t>
  </si>
  <si>
    <t>列12785</t>
  </si>
  <si>
    <t>列12786</t>
  </si>
  <si>
    <t>列12787</t>
  </si>
  <si>
    <t>列12788</t>
  </si>
  <si>
    <t>列12789</t>
  </si>
  <si>
    <t>列12790</t>
  </si>
  <si>
    <t>列12791</t>
  </si>
  <si>
    <t>列12792</t>
  </si>
  <si>
    <t>列12793</t>
  </si>
  <si>
    <t>列12794</t>
  </si>
  <si>
    <t>列12795</t>
  </si>
  <si>
    <t>列12796</t>
  </si>
  <si>
    <t>列12797</t>
  </si>
  <si>
    <t>列12798</t>
  </si>
  <si>
    <t>列12799</t>
  </si>
  <si>
    <t>列12800</t>
  </si>
  <si>
    <t>列12801</t>
  </si>
  <si>
    <t>列12802</t>
  </si>
  <si>
    <t>列12803</t>
  </si>
  <si>
    <t>列12804</t>
  </si>
  <si>
    <t>列12805</t>
  </si>
  <si>
    <t>列12806</t>
  </si>
  <si>
    <t>列12807</t>
  </si>
  <si>
    <t>列12808</t>
  </si>
  <si>
    <t>列12809</t>
  </si>
  <si>
    <t>列12810</t>
  </si>
  <si>
    <t>列12811</t>
  </si>
  <si>
    <t>列12812</t>
  </si>
  <si>
    <t>列12813</t>
  </si>
  <si>
    <t>列12814</t>
  </si>
  <si>
    <t>列12815</t>
  </si>
  <si>
    <t>列12816</t>
  </si>
  <si>
    <t>列12817</t>
  </si>
  <si>
    <t>列12818</t>
  </si>
  <si>
    <t>列12819</t>
  </si>
  <si>
    <t>列12820</t>
  </si>
  <si>
    <t>列12821</t>
  </si>
  <si>
    <t>列12822</t>
  </si>
  <si>
    <t>列12823</t>
  </si>
  <si>
    <t>列12824</t>
  </si>
  <si>
    <t>列12825</t>
  </si>
  <si>
    <t>列12826</t>
  </si>
  <si>
    <t>列12827</t>
  </si>
  <si>
    <t>列12828</t>
  </si>
  <si>
    <t>列12829</t>
  </si>
  <si>
    <t>列12830</t>
  </si>
  <si>
    <t>列12831</t>
  </si>
  <si>
    <t>列12832</t>
  </si>
  <si>
    <t>列12833</t>
  </si>
  <si>
    <t>列12834</t>
  </si>
  <si>
    <t>列12835</t>
  </si>
  <si>
    <t>列12836</t>
  </si>
  <si>
    <t>列12837</t>
  </si>
  <si>
    <t>列12838</t>
  </si>
  <si>
    <t>列12839</t>
  </si>
  <si>
    <t>列12840</t>
  </si>
  <si>
    <t>列12841</t>
  </si>
  <si>
    <t>列12842</t>
  </si>
  <si>
    <t>列12843</t>
  </si>
  <si>
    <t>列12844</t>
  </si>
  <si>
    <t>列12845</t>
  </si>
  <si>
    <t>列12846</t>
  </si>
  <si>
    <t>列12847</t>
  </si>
  <si>
    <t>列12848</t>
  </si>
  <si>
    <t>列12849</t>
  </si>
  <si>
    <t>列12850</t>
  </si>
  <si>
    <t>列12851</t>
  </si>
  <si>
    <t>列12852</t>
  </si>
  <si>
    <t>列12853</t>
  </si>
  <si>
    <t>列12854</t>
  </si>
  <si>
    <t>列12855</t>
  </si>
  <si>
    <t>列12856</t>
  </si>
  <si>
    <t>列12857</t>
  </si>
  <si>
    <t>列12858</t>
  </si>
  <si>
    <t>列12859</t>
  </si>
  <si>
    <t>列12860</t>
  </si>
  <si>
    <t>列12861</t>
  </si>
  <si>
    <t>列12862</t>
  </si>
  <si>
    <t>列12863</t>
  </si>
  <si>
    <t>列12864</t>
  </si>
  <si>
    <t>列12865</t>
  </si>
  <si>
    <t>列12866</t>
  </si>
  <si>
    <t>列12867</t>
  </si>
  <si>
    <t>列12868</t>
  </si>
  <si>
    <t>列12869</t>
  </si>
  <si>
    <t>列12870</t>
  </si>
  <si>
    <t>列12871</t>
  </si>
  <si>
    <t>列12872</t>
  </si>
  <si>
    <t>列12873</t>
  </si>
  <si>
    <t>列12874</t>
  </si>
  <si>
    <t>列12875</t>
  </si>
  <si>
    <t>列12876</t>
  </si>
  <si>
    <t>列12877</t>
  </si>
  <si>
    <t>列12878</t>
  </si>
  <si>
    <t>列12879</t>
  </si>
  <si>
    <t>列12880</t>
  </si>
  <si>
    <t>列12881</t>
  </si>
  <si>
    <t>列12882</t>
  </si>
  <si>
    <t>列12883</t>
  </si>
  <si>
    <t>列12884</t>
  </si>
  <si>
    <t>列12885</t>
  </si>
  <si>
    <t>列12886</t>
  </si>
  <si>
    <t>列12887</t>
  </si>
  <si>
    <t>列12888</t>
  </si>
  <si>
    <t>列12889</t>
  </si>
  <si>
    <t>列12890</t>
  </si>
  <si>
    <t>列12891</t>
  </si>
  <si>
    <t>列12892</t>
  </si>
  <si>
    <t>列12893</t>
  </si>
  <si>
    <t>列12894</t>
  </si>
  <si>
    <t>列12895</t>
  </si>
  <si>
    <t>列12896</t>
  </si>
  <si>
    <t>列12897</t>
  </si>
  <si>
    <t>列12898</t>
  </si>
  <si>
    <t>列12899</t>
  </si>
  <si>
    <t>列12900</t>
  </si>
  <si>
    <t>列12901</t>
  </si>
  <si>
    <t>列12902</t>
  </si>
  <si>
    <t>列12903</t>
  </si>
  <si>
    <t>列12904</t>
  </si>
  <si>
    <t>列12905</t>
  </si>
  <si>
    <t>列12906</t>
  </si>
  <si>
    <t>列12907</t>
  </si>
  <si>
    <t>列12908</t>
  </si>
  <si>
    <t>列12909</t>
  </si>
  <si>
    <t>列12910</t>
  </si>
  <si>
    <t>列12911</t>
  </si>
  <si>
    <t>列12912</t>
  </si>
  <si>
    <t>列12913</t>
  </si>
  <si>
    <t>列12914</t>
  </si>
  <si>
    <t>列12915</t>
  </si>
  <si>
    <t>列12916</t>
  </si>
  <si>
    <t>列12917</t>
  </si>
  <si>
    <t>列12918</t>
  </si>
  <si>
    <t>列12919</t>
  </si>
  <si>
    <t>列12920</t>
  </si>
  <si>
    <t>列12921</t>
  </si>
  <si>
    <t>列12922</t>
  </si>
  <si>
    <t>列12923</t>
  </si>
  <si>
    <t>列12924</t>
  </si>
  <si>
    <t>列12925</t>
  </si>
  <si>
    <t>列12926</t>
  </si>
  <si>
    <t>列12927</t>
  </si>
  <si>
    <t>列12928</t>
  </si>
  <si>
    <t>列12929</t>
  </si>
  <si>
    <t>列12930</t>
  </si>
  <si>
    <t>列12931</t>
  </si>
  <si>
    <t>列12932</t>
  </si>
  <si>
    <t>列12933</t>
  </si>
  <si>
    <t>列12934</t>
  </si>
  <si>
    <t>列12935</t>
  </si>
  <si>
    <t>列12936</t>
  </si>
  <si>
    <t>列12937</t>
  </si>
  <si>
    <t>列12938</t>
  </si>
  <si>
    <t>列12939</t>
  </si>
  <si>
    <t>列12940</t>
  </si>
  <si>
    <t>列12941</t>
  </si>
  <si>
    <t>列12942</t>
  </si>
  <si>
    <t>列12943</t>
  </si>
  <si>
    <t>列12944</t>
  </si>
  <si>
    <t>列12945</t>
  </si>
  <si>
    <t>列12946</t>
  </si>
  <si>
    <t>列12947</t>
  </si>
  <si>
    <t>列12948</t>
  </si>
  <si>
    <t>列12949</t>
  </si>
  <si>
    <t>列12950</t>
  </si>
  <si>
    <t>列12951</t>
  </si>
  <si>
    <t>列12952</t>
  </si>
  <si>
    <t>列12953</t>
  </si>
  <si>
    <t>列12954</t>
  </si>
  <si>
    <t>列12955</t>
  </si>
  <si>
    <t>列12956</t>
  </si>
  <si>
    <t>列12957</t>
  </si>
  <si>
    <t>列12958</t>
  </si>
  <si>
    <t>列12959</t>
  </si>
  <si>
    <t>列12960</t>
  </si>
  <si>
    <t>列12961</t>
  </si>
  <si>
    <t>列12962</t>
  </si>
  <si>
    <t>列12963</t>
  </si>
  <si>
    <t>列12964</t>
  </si>
  <si>
    <t>列12965</t>
  </si>
  <si>
    <t>列12966</t>
  </si>
  <si>
    <t>列12967</t>
  </si>
  <si>
    <t>列12968</t>
  </si>
  <si>
    <t>列12969</t>
  </si>
  <si>
    <t>列12970</t>
  </si>
  <si>
    <t>列12971</t>
  </si>
  <si>
    <t>列12972</t>
  </si>
  <si>
    <t>列12973</t>
  </si>
  <si>
    <t>列12974</t>
  </si>
  <si>
    <t>列12975</t>
  </si>
  <si>
    <t>列12976</t>
  </si>
  <si>
    <t>列12977</t>
  </si>
  <si>
    <t>列12978</t>
  </si>
  <si>
    <t>列12979</t>
  </si>
  <si>
    <t>列12980</t>
  </si>
  <si>
    <t>列12981</t>
  </si>
  <si>
    <t>列12982</t>
  </si>
  <si>
    <t>列12983</t>
  </si>
  <si>
    <t>列12984</t>
  </si>
  <si>
    <t>列12985</t>
  </si>
  <si>
    <t>列12986</t>
  </si>
  <si>
    <t>列12987</t>
  </si>
  <si>
    <t>列12988</t>
  </si>
  <si>
    <t>列12989</t>
  </si>
  <si>
    <t>列12990</t>
  </si>
  <si>
    <t>列12991</t>
  </si>
  <si>
    <t>列12992</t>
  </si>
  <si>
    <t>列12993</t>
  </si>
  <si>
    <t>列12994</t>
  </si>
  <si>
    <t>列12995</t>
  </si>
  <si>
    <t>列12996</t>
  </si>
  <si>
    <t>列12997</t>
  </si>
  <si>
    <t>列12998</t>
  </si>
  <si>
    <t>列12999</t>
  </si>
  <si>
    <t>列13000</t>
  </si>
  <si>
    <t>列13001</t>
  </si>
  <si>
    <t>列13002</t>
  </si>
  <si>
    <t>列13003</t>
  </si>
  <si>
    <t>列13004</t>
  </si>
  <si>
    <t>列13005</t>
  </si>
  <si>
    <t>列13006</t>
  </si>
  <si>
    <t>列13007</t>
  </si>
  <si>
    <t>列13008</t>
  </si>
  <si>
    <t>列13009</t>
  </si>
  <si>
    <t>列13010</t>
  </si>
  <si>
    <t>列13011</t>
  </si>
  <si>
    <t>列13012</t>
  </si>
  <si>
    <t>列13013</t>
  </si>
  <si>
    <t>列13014</t>
  </si>
  <si>
    <t>列13015</t>
  </si>
  <si>
    <t>列13016</t>
  </si>
  <si>
    <t>列13017</t>
  </si>
  <si>
    <t>列13018</t>
  </si>
  <si>
    <t>列13019</t>
  </si>
  <si>
    <t>列13020</t>
  </si>
  <si>
    <t>列13021</t>
  </si>
  <si>
    <t>列13022</t>
  </si>
  <si>
    <t>列13023</t>
  </si>
  <si>
    <t>列13024</t>
  </si>
  <si>
    <t>列13025</t>
  </si>
  <si>
    <t>列13026</t>
  </si>
  <si>
    <t>列13027</t>
  </si>
  <si>
    <t>列13028</t>
  </si>
  <si>
    <t>列13029</t>
  </si>
  <si>
    <t>列13030</t>
  </si>
  <si>
    <t>列13031</t>
  </si>
  <si>
    <t>列13032</t>
  </si>
  <si>
    <t>列13033</t>
  </si>
  <si>
    <t>列13034</t>
  </si>
  <si>
    <t>列13035</t>
  </si>
  <si>
    <t>列13036</t>
  </si>
  <si>
    <t>列13037</t>
  </si>
  <si>
    <t>列13038</t>
  </si>
  <si>
    <t>列13039</t>
  </si>
  <si>
    <t>列13040</t>
  </si>
  <si>
    <t>列13041</t>
  </si>
  <si>
    <t>列13042</t>
  </si>
  <si>
    <t>列13043</t>
  </si>
  <si>
    <t>列13044</t>
  </si>
  <si>
    <t>列13045</t>
  </si>
  <si>
    <t>列13046</t>
  </si>
  <si>
    <t>列13047</t>
  </si>
  <si>
    <t>列13048</t>
  </si>
  <si>
    <t>列13049</t>
  </si>
  <si>
    <t>列13050</t>
  </si>
  <si>
    <t>列13051</t>
  </si>
  <si>
    <t>列13052</t>
  </si>
  <si>
    <t>列13053</t>
  </si>
  <si>
    <t>列13054</t>
  </si>
  <si>
    <t>列13055</t>
  </si>
  <si>
    <t>列13056</t>
  </si>
  <si>
    <t>列13057</t>
  </si>
  <si>
    <t>列13058</t>
  </si>
  <si>
    <t>列13059</t>
  </si>
  <si>
    <t>列13060</t>
  </si>
  <si>
    <t>列13061</t>
  </si>
  <si>
    <t>列13062</t>
  </si>
  <si>
    <t>列13063</t>
  </si>
  <si>
    <t>列13064</t>
  </si>
  <si>
    <t>列13065</t>
  </si>
  <si>
    <t>列13066</t>
  </si>
  <si>
    <t>列13067</t>
  </si>
  <si>
    <t>列13068</t>
  </si>
  <si>
    <t>列13069</t>
  </si>
  <si>
    <t>列13070</t>
  </si>
  <si>
    <t>列13071</t>
  </si>
  <si>
    <t>列13072</t>
  </si>
  <si>
    <t>列13073</t>
  </si>
  <si>
    <t>列13074</t>
  </si>
  <si>
    <t>列13075</t>
  </si>
  <si>
    <t>列13076</t>
  </si>
  <si>
    <t>列13077</t>
  </si>
  <si>
    <t>列13078</t>
  </si>
  <si>
    <t>列13079</t>
  </si>
  <si>
    <t>列13080</t>
  </si>
  <si>
    <t>列13081</t>
  </si>
  <si>
    <t>列13082</t>
  </si>
  <si>
    <t>列13083</t>
  </si>
  <si>
    <t>列13084</t>
  </si>
  <si>
    <t>列13085</t>
  </si>
  <si>
    <t>列13086</t>
  </si>
  <si>
    <t>列13087</t>
  </si>
  <si>
    <t>列13088</t>
  </si>
  <si>
    <t>列13089</t>
  </si>
  <si>
    <t>列13090</t>
  </si>
  <si>
    <t>列13091</t>
  </si>
  <si>
    <t>列13092</t>
  </si>
  <si>
    <t>列13093</t>
  </si>
  <si>
    <t>列13094</t>
  </si>
  <si>
    <t>列13095</t>
  </si>
  <si>
    <t>列13096</t>
  </si>
  <si>
    <t>列13097</t>
  </si>
  <si>
    <t>列13098</t>
  </si>
  <si>
    <t>列13099</t>
  </si>
  <si>
    <t>列13100</t>
  </si>
  <si>
    <t>列13101</t>
  </si>
  <si>
    <t>列13102</t>
  </si>
  <si>
    <t>列13103</t>
  </si>
  <si>
    <t>列13104</t>
  </si>
  <si>
    <t>列13105</t>
  </si>
  <si>
    <t>列13106</t>
  </si>
  <si>
    <t>列13107</t>
  </si>
  <si>
    <t>列13108</t>
  </si>
  <si>
    <t>列13109</t>
  </si>
  <si>
    <t>列13110</t>
  </si>
  <si>
    <t>列13111</t>
  </si>
  <si>
    <t>列13112</t>
  </si>
  <si>
    <t>列13113</t>
  </si>
  <si>
    <t>列13114</t>
  </si>
  <si>
    <t>列13115</t>
  </si>
  <si>
    <t>列13116</t>
  </si>
  <si>
    <t>列13117</t>
  </si>
  <si>
    <t>列13118</t>
  </si>
  <si>
    <t>列13119</t>
  </si>
  <si>
    <t>列13120</t>
  </si>
  <si>
    <t>列13121</t>
  </si>
  <si>
    <t>列13122</t>
  </si>
  <si>
    <t>列13123</t>
  </si>
  <si>
    <t>列13124</t>
  </si>
  <si>
    <t>列13125</t>
  </si>
  <si>
    <t>列13126</t>
  </si>
  <si>
    <t>列13127</t>
  </si>
  <si>
    <t>列13128</t>
  </si>
  <si>
    <t>列13129</t>
  </si>
  <si>
    <t>列13130</t>
  </si>
  <si>
    <t>列13131</t>
  </si>
  <si>
    <t>列13132</t>
  </si>
  <si>
    <t>列13133</t>
  </si>
  <si>
    <t>列13134</t>
  </si>
  <si>
    <t>列13135</t>
  </si>
  <si>
    <t>列13136</t>
  </si>
  <si>
    <t>列13137</t>
  </si>
  <si>
    <t>列13138</t>
  </si>
  <si>
    <t>列13139</t>
  </si>
  <si>
    <t>列13140</t>
  </si>
  <si>
    <t>列13141</t>
  </si>
  <si>
    <t>列13142</t>
  </si>
  <si>
    <t>列13143</t>
  </si>
  <si>
    <t>列13144</t>
  </si>
  <si>
    <t>列13145</t>
  </si>
  <si>
    <t>列13146</t>
  </si>
  <si>
    <t>列13147</t>
  </si>
  <si>
    <t>列13148</t>
  </si>
  <si>
    <t>列13149</t>
  </si>
  <si>
    <t>列13150</t>
  </si>
  <si>
    <t>列13151</t>
  </si>
  <si>
    <t>列13152</t>
  </si>
  <si>
    <t>列13153</t>
  </si>
  <si>
    <t>列13154</t>
  </si>
  <si>
    <t>列13155</t>
  </si>
  <si>
    <t>列13156</t>
  </si>
  <si>
    <t>列13157</t>
  </si>
  <si>
    <t>列13158</t>
  </si>
  <si>
    <t>列13159</t>
  </si>
  <si>
    <t>列13160</t>
  </si>
  <si>
    <t>列13161</t>
  </si>
  <si>
    <t>列13162</t>
  </si>
  <si>
    <t>列13163</t>
  </si>
  <si>
    <t>列13164</t>
  </si>
  <si>
    <t>列13165</t>
  </si>
  <si>
    <t>列13166</t>
  </si>
  <si>
    <t>列13167</t>
  </si>
  <si>
    <t>列13168</t>
  </si>
  <si>
    <t>列13169</t>
  </si>
  <si>
    <t>列13170</t>
  </si>
  <si>
    <t>列13171</t>
  </si>
  <si>
    <t>列13172</t>
  </si>
  <si>
    <t>列13173</t>
  </si>
  <si>
    <t>列13174</t>
  </si>
  <si>
    <t>列13175</t>
  </si>
  <si>
    <t>列13176</t>
  </si>
  <si>
    <t>列13177</t>
  </si>
  <si>
    <t>列13178</t>
  </si>
  <si>
    <t>列13179</t>
  </si>
  <si>
    <t>列13180</t>
  </si>
  <si>
    <t>列13181</t>
  </si>
  <si>
    <t>列13182</t>
  </si>
  <si>
    <t>列13183</t>
  </si>
  <si>
    <t>列13184</t>
  </si>
  <si>
    <t>列13185</t>
  </si>
  <si>
    <t>列13186</t>
  </si>
  <si>
    <t>列13187</t>
  </si>
  <si>
    <t>列13188</t>
  </si>
  <si>
    <t>列13189</t>
  </si>
  <si>
    <t>列13190</t>
  </si>
  <si>
    <t>列13191</t>
  </si>
  <si>
    <t>列13192</t>
  </si>
  <si>
    <t>列13193</t>
  </si>
  <si>
    <t>列13194</t>
  </si>
  <si>
    <t>列13195</t>
  </si>
  <si>
    <t>列13196</t>
  </si>
  <si>
    <t>列13197</t>
  </si>
  <si>
    <t>列13198</t>
  </si>
  <si>
    <t>列13199</t>
  </si>
  <si>
    <t>列13200</t>
  </si>
  <si>
    <t>列13201</t>
  </si>
  <si>
    <t>列13202</t>
  </si>
  <si>
    <t>列13203</t>
  </si>
  <si>
    <t>列13204</t>
  </si>
  <si>
    <t>列13205</t>
  </si>
  <si>
    <t>列13206</t>
  </si>
  <si>
    <t>列13207</t>
  </si>
  <si>
    <t>列13208</t>
  </si>
  <si>
    <t>列13209</t>
  </si>
  <si>
    <t>列13210</t>
  </si>
  <si>
    <t>列13211</t>
  </si>
  <si>
    <t>列13212</t>
  </si>
  <si>
    <t>列13213</t>
  </si>
  <si>
    <t>列13214</t>
  </si>
  <si>
    <t>列13215</t>
  </si>
  <si>
    <t>列13216</t>
  </si>
  <si>
    <t>列13217</t>
  </si>
  <si>
    <t>列13218</t>
  </si>
  <si>
    <t>列13219</t>
  </si>
  <si>
    <t>列13220</t>
  </si>
  <si>
    <t>列13221</t>
  </si>
  <si>
    <t>列13222</t>
  </si>
  <si>
    <t>列13223</t>
  </si>
  <si>
    <t>列13224</t>
  </si>
  <si>
    <t>列13225</t>
  </si>
  <si>
    <t>列13226</t>
  </si>
  <si>
    <t>列13227</t>
  </si>
  <si>
    <t>列13228</t>
  </si>
  <si>
    <t>列13229</t>
  </si>
  <si>
    <t>列13230</t>
  </si>
  <si>
    <t>列13231</t>
  </si>
  <si>
    <t>列13232</t>
  </si>
  <si>
    <t>列13233</t>
  </si>
  <si>
    <t>列13234</t>
  </si>
  <si>
    <t>列13235</t>
  </si>
  <si>
    <t>列13236</t>
  </si>
  <si>
    <t>列13237</t>
  </si>
  <si>
    <t>列13238</t>
  </si>
  <si>
    <t>列13239</t>
  </si>
  <si>
    <t>列13240</t>
  </si>
  <si>
    <t>列13241</t>
  </si>
  <si>
    <t>列13242</t>
  </si>
  <si>
    <t>列13243</t>
  </si>
  <si>
    <t>列13244</t>
  </si>
  <si>
    <t>列13245</t>
  </si>
  <si>
    <t>列13246</t>
  </si>
  <si>
    <t>列13247</t>
  </si>
  <si>
    <t>列13248</t>
  </si>
  <si>
    <t>列13249</t>
  </si>
  <si>
    <t>列13250</t>
  </si>
  <si>
    <t>列13251</t>
  </si>
  <si>
    <t>列13252</t>
  </si>
  <si>
    <t>列13253</t>
  </si>
  <si>
    <t>列13254</t>
  </si>
  <si>
    <t>列13255</t>
  </si>
  <si>
    <t>列13256</t>
  </si>
  <si>
    <t>列13257</t>
  </si>
  <si>
    <t>列13258</t>
  </si>
  <si>
    <t>列13259</t>
  </si>
  <si>
    <t>列13260</t>
  </si>
  <si>
    <t>列13261</t>
  </si>
  <si>
    <t>列13262</t>
  </si>
  <si>
    <t>列13263</t>
  </si>
  <si>
    <t>列13264</t>
  </si>
  <si>
    <t>列13265</t>
  </si>
  <si>
    <t>列13266</t>
  </si>
  <si>
    <t>列13267</t>
  </si>
  <si>
    <t>列13268</t>
  </si>
  <si>
    <t>列13269</t>
  </si>
  <si>
    <t>列13270</t>
  </si>
  <si>
    <t>列13271</t>
  </si>
  <si>
    <t>列13272</t>
  </si>
  <si>
    <t>列13273</t>
  </si>
  <si>
    <t>列13274</t>
  </si>
  <si>
    <t>列13275</t>
  </si>
  <si>
    <t>列13276</t>
  </si>
  <si>
    <t>列13277</t>
  </si>
  <si>
    <t>列13278</t>
  </si>
  <si>
    <t>列13279</t>
  </si>
  <si>
    <t>列13280</t>
  </si>
  <si>
    <t>列13281</t>
  </si>
  <si>
    <t>列13282</t>
  </si>
  <si>
    <t>列13283</t>
  </si>
  <si>
    <t>列13284</t>
  </si>
  <si>
    <t>列13285</t>
  </si>
  <si>
    <t>列13286</t>
  </si>
  <si>
    <t>列13287</t>
  </si>
  <si>
    <t>列13288</t>
  </si>
  <si>
    <t>列13289</t>
  </si>
  <si>
    <t>列13290</t>
  </si>
  <si>
    <t>列13291</t>
  </si>
  <si>
    <t>列13292</t>
  </si>
  <si>
    <t>列13293</t>
  </si>
  <si>
    <t>列13294</t>
  </si>
  <si>
    <t>列13295</t>
  </si>
  <si>
    <t>列13296</t>
  </si>
  <si>
    <t>列13297</t>
  </si>
  <si>
    <t>列13298</t>
  </si>
  <si>
    <t>列13299</t>
  </si>
  <si>
    <t>列13300</t>
  </si>
  <si>
    <t>列13301</t>
  </si>
  <si>
    <t>列13302</t>
  </si>
  <si>
    <t>列13303</t>
  </si>
  <si>
    <t>列13304</t>
  </si>
  <si>
    <t>列13305</t>
  </si>
  <si>
    <t>列13306</t>
  </si>
  <si>
    <t>列13307</t>
  </si>
  <si>
    <t>列13308</t>
  </si>
  <si>
    <t>列13309</t>
  </si>
  <si>
    <t>列13310</t>
  </si>
  <si>
    <t>列13311</t>
  </si>
  <si>
    <t>列13312</t>
  </si>
  <si>
    <t>列13313</t>
  </si>
  <si>
    <t>列13314</t>
  </si>
  <si>
    <t>列13315</t>
  </si>
  <si>
    <t>列13316</t>
  </si>
  <si>
    <t>列13317</t>
  </si>
  <si>
    <t>列13318</t>
  </si>
  <si>
    <t>列13319</t>
  </si>
  <si>
    <t>列13320</t>
  </si>
  <si>
    <t>列13321</t>
  </si>
  <si>
    <t>列13322</t>
  </si>
  <si>
    <t>列13323</t>
  </si>
  <si>
    <t>列13324</t>
  </si>
  <si>
    <t>列13325</t>
  </si>
  <si>
    <t>列13326</t>
  </si>
  <si>
    <t>列13327</t>
  </si>
  <si>
    <t>列13328</t>
  </si>
  <si>
    <t>列13329</t>
  </si>
  <si>
    <t>列13330</t>
  </si>
  <si>
    <t>列13331</t>
  </si>
  <si>
    <t>列13332</t>
  </si>
  <si>
    <t>列13333</t>
  </si>
  <si>
    <t>列13334</t>
  </si>
  <si>
    <t>列13335</t>
  </si>
  <si>
    <t>列13336</t>
  </si>
  <si>
    <t>列13337</t>
  </si>
  <si>
    <t>列13338</t>
  </si>
  <si>
    <t>列13339</t>
  </si>
  <si>
    <t>列13340</t>
  </si>
  <si>
    <t>列13341</t>
  </si>
  <si>
    <t>列13342</t>
  </si>
  <si>
    <t>列13343</t>
  </si>
  <si>
    <t>列13344</t>
  </si>
  <si>
    <t>列13345</t>
  </si>
  <si>
    <t>列13346</t>
  </si>
  <si>
    <t>列13347</t>
  </si>
  <si>
    <t>列13348</t>
  </si>
  <si>
    <t>列13349</t>
  </si>
  <si>
    <t>列13350</t>
  </si>
  <si>
    <t>列13351</t>
  </si>
  <si>
    <t>列13352</t>
  </si>
  <si>
    <t>列13353</t>
  </si>
  <si>
    <t>列13354</t>
  </si>
  <si>
    <t>列13355</t>
  </si>
  <si>
    <t>列13356</t>
  </si>
  <si>
    <t>列13357</t>
  </si>
  <si>
    <t>列13358</t>
  </si>
  <si>
    <t>列13359</t>
  </si>
  <si>
    <t>列13360</t>
  </si>
  <si>
    <t>列13361</t>
  </si>
  <si>
    <t>列13362</t>
  </si>
  <si>
    <t>列13363</t>
  </si>
  <si>
    <t>列13364</t>
  </si>
  <si>
    <t>列13365</t>
  </si>
  <si>
    <t>列13366</t>
  </si>
  <si>
    <t>列13367</t>
  </si>
  <si>
    <t>列13368</t>
  </si>
  <si>
    <t>列13369</t>
  </si>
  <si>
    <t>列13370</t>
  </si>
  <si>
    <t>列13371</t>
  </si>
  <si>
    <t>列13372</t>
  </si>
  <si>
    <t>列13373</t>
  </si>
  <si>
    <t>列13374</t>
  </si>
  <si>
    <t>列13375</t>
  </si>
  <si>
    <t>列13376</t>
  </si>
  <si>
    <t>列13377</t>
  </si>
  <si>
    <t>列13378</t>
  </si>
  <si>
    <t>列13379</t>
  </si>
  <si>
    <t>列13380</t>
  </si>
  <si>
    <t>列13381</t>
  </si>
  <si>
    <t>列13382</t>
  </si>
  <si>
    <t>列13383</t>
  </si>
  <si>
    <t>列13384</t>
  </si>
  <si>
    <t>列13385</t>
  </si>
  <si>
    <t>列13386</t>
  </si>
  <si>
    <t>列13387</t>
  </si>
  <si>
    <t>列13388</t>
  </si>
  <si>
    <t>列13389</t>
  </si>
  <si>
    <t>列13390</t>
  </si>
  <si>
    <t>列13391</t>
  </si>
  <si>
    <t>列13392</t>
  </si>
  <si>
    <t>列13393</t>
  </si>
  <si>
    <t>列13394</t>
  </si>
  <si>
    <t>列13395</t>
  </si>
  <si>
    <t>列13396</t>
  </si>
  <si>
    <t>列13397</t>
  </si>
  <si>
    <t>列13398</t>
  </si>
  <si>
    <t>列13399</t>
  </si>
  <si>
    <t>列13400</t>
  </si>
  <si>
    <t>列13401</t>
  </si>
  <si>
    <t>列13402</t>
  </si>
  <si>
    <t>列13403</t>
  </si>
  <si>
    <t>列13404</t>
  </si>
  <si>
    <t>列13405</t>
  </si>
  <si>
    <t>列13406</t>
  </si>
  <si>
    <t>列13407</t>
  </si>
  <si>
    <t>列13408</t>
  </si>
  <si>
    <t>列13409</t>
  </si>
  <si>
    <t>列13410</t>
  </si>
  <si>
    <t>列13411</t>
  </si>
  <si>
    <t>列13412</t>
  </si>
  <si>
    <t>列13413</t>
  </si>
  <si>
    <t>列13414</t>
  </si>
  <si>
    <t>列13415</t>
  </si>
  <si>
    <t>列13416</t>
  </si>
  <si>
    <t>列13417</t>
  </si>
  <si>
    <t>列13418</t>
  </si>
  <si>
    <t>列13419</t>
  </si>
  <si>
    <t>列13420</t>
  </si>
  <si>
    <t>列13421</t>
  </si>
  <si>
    <t>列13422</t>
  </si>
  <si>
    <t>列13423</t>
  </si>
  <si>
    <t>列13424</t>
  </si>
  <si>
    <t>列13425</t>
  </si>
  <si>
    <t>列13426</t>
  </si>
  <si>
    <t>列13427</t>
  </si>
  <si>
    <t>列13428</t>
  </si>
  <si>
    <t>列13429</t>
  </si>
  <si>
    <t>列13430</t>
  </si>
  <si>
    <t>列13431</t>
  </si>
  <si>
    <t>列13432</t>
  </si>
  <si>
    <t>列13433</t>
  </si>
  <si>
    <t>列13434</t>
  </si>
  <si>
    <t>列13435</t>
  </si>
  <si>
    <t>列13436</t>
  </si>
  <si>
    <t>列13437</t>
  </si>
  <si>
    <t>列13438</t>
  </si>
  <si>
    <t>列13439</t>
  </si>
  <si>
    <t>列13440</t>
  </si>
  <si>
    <t>列13441</t>
  </si>
  <si>
    <t>列13442</t>
  </si>
  <si>
    <t>列13443</t>
  </si>
  <si>
    <t>列13444</t>
  </si>
  <si>
    <t>列13445</t>
  </si>
  <si>
    <t>列13446</t>
  </si>
  <si>
    <t>列13447</t>
  </si>
  <si>
    <t>列13448</t>
  </si>
  <si>
    <t>列13449</t>
  </si>
  <si>
    <t>列13450</t>
  </si>
  <si>
    <t>列13451</t>
  </si>
  <si>
    <t>列13452</t>
  </si>
  <si>
    <t>列13453</t>
  </si>
  <si>
    <t>列13454</t>
  </si>
  <si>
    <t>列13455</t>
  </si>
  <si>
    <t>列13456</t>
  </si>
  <si>
    <t>列13457</t>
  </si>
  <si>
    <t>列13458</t>
  </si>
  <si>
    <t>列13459</t>
  </si>
  <si>
    <t>列13460</t>
  </si>
  <si>
    <t>列13461</t>
  </si>
  <si>
    <t>列13462</t>
  </si>
  <si>
    <t>列13463</t>
  </si>
  <si>
    <t>列13464</t>
  </si>
  <si>
    <t>列13465</t>
  </si>
  <si>
    <t>列13466</t>
  </si>
  <si>
    <t>列13467</t>
  </si>
  <si>
    <t>列13468</t>
  </si>
  <si>
    <t>列13469</t>
  </si>
  <si>
    <t>列13470</t>
  </si>
  <si>
    <t>列13471</t>
  </si>
  <si>
    <t>列13472</t>
  </si>
  <si>
    <t>列13473</t>
  </si>
  <si>
    <t>列13474</t>
  </si>
  <si>
    <t>列13475</t>
  </si>
  <si>
    <t>列13476</t>
  </si>
  <si>
    <t>列13477</t>
  </si>
  <si>
    <t>列13478</t>
  </si>
  <si>
    <t>列13479</t>
  </si>
  <si>
    <t>列13480</t>
  </si>
  <si>
    <t>列13481</t>
  </si>
  <si>
    <t>列13482</t>
  </si>
  <si>
    <t>列13483</t>
  </si>
  <si>
    <t>列13484</t>
  </si>
  <si>
    <t>列13485</t>
  </si>
  <si>
    <t>列13486</t>
  </si>
  <si>
    <t>列13487</t>
  </si>
  <si>
    <t>列13488</t>
  </si>
  <si>
    <t>列13489</t>
  </si>
  <si>
    <t>列13490</t>
  </si>
  <si>
    <t>列13491</t>
  </si>
  <si>
    <t>列13492</t>
  </si>
  <si>
    <t>列13493</t>
  </si>
  <si>
    <t>列13494</t>
  </si>
  <si>
    <t>列13495</t>
  </si>
  <si>
    <t>列13496</t>
  </si>
  <si>
    <t>列13497</t>
  </si>
  <si>
    <t>列13498</t>
  </si>
  <si>
    <t>列13499</t>
  </si>
  <si>
    <t>列13500</t>
  </si>
  <si>
    <t>列13501</t>
  </si>
  <si>
    <t>列13502</t>
  </si>
  <si>
    <t>列13503</t>
  </si>
  <si>
    <t>列13504</t>
  </si>
  <si>
    <t>列13505</t>
  </si>
  <si>
    <t>列13506</t>
  </si>
  <si>
    <t>列13507</t>
  </si>
  <si>
    <t>列13508</t>
  </si>
  <si>
    <t>列13509</t>
  </si>
  <si>
    <t>列13510</t>
  </si>
  <si>
    <t>列13511</t>
  </si>
  <si>
    <t>列13512</t>
  </si>
  <si>
    <t>列13513</t>
  </si>
  <si>
    <t>列13514</t>
  </si>
  <si>
    <t>列13515</t>
  </si>
  <si>
    <t>列13516</t>
  </si>
  <si>
    <t>列13517</t>
  </si>
  <si>
    <t>列13518</t>
  </si>
  <si>
    <t>列13519</t>
  </si>
  <si>
    <t>列13520</t>
  </si>
  <si>
    <t>列13521</t>
  </si>
  <si>
    <t>列13522</t>
  </si>
  <si>
    <t>列13523</t>
  </si>
  <si>
    <t>列13524</t>
  </si>
  <si>
    <t>列13525</t>
  </si>
  <si>
    <t>列13526</t>
  </si>
  <si>
    <t>列13527</t>
  </si>
  <si>
    <t>列13528</t>
  </si>
  <si>
    <t>列13529</t>
  </si>
  <si>
    <t>列13530</t>
  </si>
  <si>
    <t>列13531</t>
  </si>
  <si>
    <t>列13532</t>
  </si>
  <si>
    <t>列13533</t>
  </si>
  <si>
    <t>列13534</t>
  </si>
  <si>
    <t>列13535</t>
  </si>
  <si>
    <t>列13536</t>
  </si>
  <si>
    <t>列13537</t>
  </si>
  <si>
    <t>列13538</t>
  </si>
  <si>
    <t>列13539</t>
  </si>
  <si>
    <t>列13540</t>
  </si>
  <si>
    <t>列13541</t>
  </si>
  <si>
    <t>列13542</t>
  </si>
  <si>
    <t>列13543</t>
  </si>
  <si>
    <t>列13544</t>
  </si>
  <si>
    <t>列13545</t>
  </si>
  <si>
    <t>列13546</t>
  </si>
  <si>
    <t>列13547</t>
  </si>
  <si>
    <t>列13548</t>
  </si>
  <si>
    <t>列13549</t>
  </si>
  <si>
    <t>列13550</t>
  </si>
  <si>
    <t>列13551</t>
  </si>
  <si>
    <t>列13552</t>
  </si>
  <si>
    <t>列13553</t>
  </si>
  <si>
    <t>列13554</t>
  </si>
  <si>
    <t>列13555</t>
  </si>
  <si>
    <t>列13556</t>
  </si>
  <si>
    <t>列13557</t>
  </si>
  <si>
    <t>列13558</t>
  </si>
  <si>
    <t>列13559</t>
  </si>
  <si>
    <t>列13560</t>
  </si>
  <si>
    <t>列13561</t>
  </si>
  <si>
    <t>列13562</t>
  </si>
  <si>
    <t>列13563</t>
  </si>
  <si>
    <t>列13564</t>
  </si>
  <si>
    <t>列13565</t>
  </si>
  <si>
    <t>列13566</t>
  </si>
  <si>
    <t>列13567</t>
  </si>
  <si>
    <t>列13568</t>
  </si>
  <si>
    <t>列13569</t>
  </si>
  <si>
    <t>列13570</t>
  </si>
  <si>
    <t>列13571</t>
  </si>
  <si>
    <t>列13572</t>
  </si>
  <si>
    <t>列13573</t>
  </si>
  <si>
    <t>列13574</t>
  </si>
  <si>
    <t>列13575</t>
  </si>
  <si>
    <t>列13576</t>
  </si>
  <si>
    <t>列13577</t>
  </si>
  <si>
    <t>列13578</t>
  </si>
  <si>
    <t>列13579</t>
  </si>
  <si>
    <t>列13580</t>
  </si>
  <si>
    <t>列13581</t>
  </si>
  <si>
    <t>列13582</t>
  </si>
  <si>
    <t>列13583</t>
  </si>
  <si>
    <t>列13584</t>
  </si>
  <si>
    <t>列13585</t>
  </si>
  <si>
    <t>列13586</t>
  </si>
  <si>
    <t>列13587</t>
  </si>
  <si>
    <t>列13588</t>
  </si>
  <si>
    <t>列13589</t>
  </si>
  <si>
    <t>列13590</t>
  </si>
  <si>
    <t>列13591</t>
  </si>
  <si>
    <t>列13592</t>
  </si>
  <si>
    <t>列13593</t>
  </si>
  <si>
    <t>列13594</t>
  </si>
  <si>
    <t>列13595</t>
  </si>
  <si>
    <t>列13596</t>
  </si>
  <si>
    <t>列13597</t>
  </si>
  <si>
    <t>列13598</t>
  </si>
  <si>
    <t>列13599</t>
  </si>
  <si>
    <t>列13600</t>
  </si>
  <si>
    <t>列13601</t>
  </si>
  <si>
    <t>列13602</t>
  </si>
  <si>
    <t>列13603</t>
  </si>
  <si>
    <t>列13604</t>
  </si>
  <si>
    <t>列13605</t>
  </si>
  <si>
    <t>列13606</t>
  </si>
  <si>
    <t>列13607</t>
  </si>
  <si>
    <t>列13608</t>
  </si>
  <si>
    <t>列13609</t>
  </si>
  <si>
    <t>列13610</t>
  </si>
  <si>
    <t>列13611</t>
  </si>
  <si>
    <t>列13612</t>
  </si>
  <si>
    <t>列13613</t>
  </si>
  <si>
    <t>列13614</t>
  </si>
  <si>
    <t>列13615</t>
  </si>
  <si>
    <t>列13616</t>
  </si>
  <si>
    <t>列13617</t>
  </si>
  <si>
    <t>列13618</t>
  </si>
  <si>
    <t>列13619</t>
  </si>
  <si>
    <t>列13620</t>
  </si>
  <si>
    <t>列13621</t>
  </si>
  <si>
    <t>列13622</t>
  </si>
  <si>
    <t>列13623</t>
  </si>
  <si>
    <t>列13624</t>
  </si>
  <si>
    <t>列13625</t>
  </si>
  <si>
    <t>列13626</t>
  </si>
  <si>
    <t>列13627</t>
  </si>
  <si>
    <t>列13628</t>
  </si>
  <si>
    <t>列13629</t>
  </si>
  <si>
    <t>列13630</t>
  </si>
  <si>
    <t>列13631</t>
  </si>
  <si>
    <t>列13632</t>
  </si>
  <si>
    <t>列13633</t>
  </si>
  <si>
    <t>列13634</t>
  </si>
  <si>
    <t>列13635</t>
  </si>
  <si>
    <t>列13636</t>
  </si>
  <si>
    <t>列13637</t>
  </si>
  <si>
    <t>列13638</t>
  </si>
  <si>
    <t>列13639</t>
  </si>
  <si>
    <t>列13640</t>
  </si>
  <si>
    <t>列13641</t>
  </si>
  <si>
    <t>列13642</t>
  </si>
  <si>
    <t>列13643</t>
  </si>
  <si>
    <t>列13644</t>
  </si>
  <si>
    <t>列13645</t>
  </si>
  <si>
    <t>列13646</t>
  </si>
  <si>
    <t>列13647</t>
  </si>
  <si>
    <t>列13648</t>
  </si>
  <si>
    <t>列13649</t>
  </si>
  <si>
    <t>列13650</t>
  </si>
  <si>
    <t>列13651</t>
  </si>
  <si>
    <t>列13652</t>
  </si>
  <si>
    <t>列13653</t>
  </si>
  <si>
    <t>列13654</t>
  </si>
  <si>
    <t>列13655</t>
  </si>
  <si>
    <t>列13656</t>
  </si>
  <si>
    <t>列13657</t>
  </si>
  <si>
    <t>列13658</t>
  </si>
  <si>
    <t>列13659</t>
  </si>
  <si>
    <t>列13660</t>
  </si>
  <si>
    <t>列13661</t>
  </si>
  <si>
    <t>列13662</t>
  </si>
  <si>
    <t>列13663</t>
  </si>
  <si>
    <t>列13664</t>
  </si>
  <si>
    <t>列13665</t>
  </si>
  <si>
    <t>列13666</t>
  </si>
  <si>
    <t>列13667</t>
  </si>
  <si>
    <t>列13668</t>
  </si>
  <si>
    <t>列13669</t>
  </si>
  <si>
    <t>列13670</t>
  </si>
  <si>
    <t>列13671</t>
  </si>
  <si>
    <t>列13672</t>
  </si>
  <si>
    <t>列13673</t>
  </si>
  <si>
    <t>列13674</t>
  </si>
  <si>
    <t>列13675</t>
  </si>
  <si>
    <t>列13676</t>
  </si>
  <si>
    <t>列13677</t>
  </si>
  <si>
    <t>列13678</t>
  </si>
  <si>
    <t>列13679</t>
  </si>
  <si>
    <t>列13680</t>
  </si>
  <si>
    <t>列13681</t>
  </si>
  <si>
    <t>列13682</t>
  </si>
  <si>
    <t>列13683</t>
  </si>
  <si>
    <t>列13684</t>
  </si>
  <si>
    <t>列13685</t>
  </si>
  <si>
    <t>列13686</t>
  </si>
  <si>
    <t>列13687</t>
  </si>
  <si>
    <t>列13688</t>
  </si>
  <si>
    <t>列13689</t>
  </si>
  <si>
    <t>列13690</t>
  </si>
  <si>
    <t>列13691</t>
  </si>
  <si>
    <t>列13692</t>
  </si>
  <si>
    <t>列13693</t>
  </si>
  <si>
    <t>列13694</t>
  </si>
  <si>
    <t>列13695</t>
  </si>
  <si>
    <t>列13696</t>
  </si>
  <si>
    <t>列13697</t>
  </si>
  <si>
    <t>列13698</t>
  </si>
  <si>
    <t>列13699</t>
  </si>
  <si>
    <t>列13700</t>
  </si>
  <si>
    <t>列13701</t>
  </si>
  <si>
    <t>列13702</t>
  </si>
  <si>
    <t>列13703</t>
  </si>
  <si>
    <t>列13704</t>
  </si>
  <si>
    <t>列13705</t>
  </si>
  <si>
    <t>列13706</t>
  </si>
  <si>
    <t>列13707</t>
  </si>
  <si>
    <t>列13708</t>
  </si>
  <si>
    <t>列13709</t>
  </si>
  <si>
    <t>列13710</t>
  </si>
  <si>
    <t>列13711</t>
  </si>
  <si>
    <t>列13712</t>
  </si>
  <si>
    <t>列13713</t>
  </si>
  <si>
    <t>列13714</t>
  </si>
  <si>
    <t>列13715</t>
  </si>
  <si>
    <t>列13716</t>
  </si>
  <si>
    <t>列13717</t>
  </si>
  <si>
    <t>列13718</t>
  </si>
  <si>
    <t>列13719</t>
  </si>
  <si>
    <t>列13720</t>
  </si>
  <si>
    <t>列13721</t>
  </si>
  <si>
    <t>列13722</t>
  </si>
  <si>
    <t>列13723</t>
  </si>
  <si>
    <t>列13724</t>
  </si>
  <si>
    <t>列13725</t>
  </si>
  <si>
    <t>列13726</t>
  </si>
  <si>
    <t>列13727</t>
  </si>
  <si>
    <t>列13728</t>
  </si>
  <si>
    <t>列13729</t>
  </si>
  <si>
    <t>列13730</t>
  </si>
  <si>
    <t>列13731</t>
  </si>
  <si>
    <t>列13732</t>
  </si>
  <si>
    <t>列13733</t>
  </si>
  <si>
    <t>列13734</t>
  </si>
  <si>
    <t>列13735</t>
  </si>
  <si>
    <t>列13736</t>
  </si>
  <si>
    <t>列13737</t>
  </si>
  <si>
    <t>列13738</t>
  </si>
  <si>
    <t>列13739</t>
  </si>
  <si>
    <t>列13740</t>
  </si>
  <si>
    <t>列13741</t>
  </si>
  <si>
    <t>列13742</t>
  </si>
  <si>
    <t>列13743</t>
  </si>
  <si>
    <t>列13744</t>
  </si>
  <si>
    <t>列13745</t>
  </si>
  <si>
    <t>列13746</t>
  </si>
  <si>
    <t>列13747</t>
  </si>
  <si>
    <t>列13748</t>
  </si>
  <si>
    <t>列13749</t>
  </si>
  <si>
    <t>列13750</t>
  </si>
  <si>
    <t>列13751</t>
  </si>
  <si>
    <t>列13752</t>
  </si>
  <si>
    <t>列13753</t>
  </si>
  <si>
    <t>列13754</t>
  </si>
  <si>
    <t>列13755</t>
  </si>
  <si>
    <t>列13756</t>
  </si>
  <si>
    <t>列13757</t>
  </si>
  <si>
    <t>列13758</t>
  </si>
  <si>
    <t>列13759</t>
  </si>
  <si>
    <t>列13760</t>
  </si>
  <si>
    <t>列13761</t>
  </si>
  <si>
    <t>列13762</t>
  </si>
  <si>
    <t>列13763</t>
  </si>
  <si>
    <t>列13764</t>
  </si>
  <si>
    <t>列13765</t>
  </si>
  <si>
    <t>列13766</t>
  </si>
  <si>
    <t>列13767</t>
  </si>
  <si>
    <t>列13768</t>
  </si>
  <si>
    <t>列13769</t>
  </si>
  <si>
    <t>列13770</t>
  </si>
  <si>
    <t>列13771</t>
  </si>
  <si>
    <t>列13772</t>
  </si>
  <si>
    <t>列13773</t>
  </si>
  <si>
    <t>列13774</t>
  </si>
  <si>
    <t>列13775</t>
  </si>
  <si>
    <t>列13776</t>
  </si>
  <si>
    <t>列13777</t>
  </si>
  <si>
    <t>列13778</t>
  </si>
  <si>
    <t>列13779</t>
  </si>
  <si>
    <t>列13780</t>
  </si>
  <si>
    <t>列13781</t>
  </si>
  <si>
    <t>列13782</t>
  </si>
  <si>
    <t>列13783</t>
  </si>
  <si>
    <t>列13784</t>
  </si>
  <si>
    <t>列13785</t>
  </si>
  <si>
    <t>列13786</t>
  </si>
  <si>
    <t>列13787</t>
  </si>
  <si>
    <t>列13788</t>
  </si>
  <si>
    <t>列13789</t>
  </si>
  <si>
    <t>列13790</t>
  </si>
  <si>
    <t>列13791</t>
  </si>
  <si>
    <t>列13792</t>
  </si>
  <si>
    <t>列13793</t>
  </si>
  <si>
    <t>列13794</t>
  </si>
  <si>
    <t>列13795</t>
  </si>
  <si>
    <t>列13796</t>
  </si>
  <si>
    <t>列13797</t>
  </si>
  <si>
    <t>列13798</t>
  </si>
  <si>
    <t>列13799</t>
  </si>
  <si>
    <t>列13800</t>
  </si>
  <si>
    <t>列13801</t>
  </si>
  <si>
    <t>列13802</t>
  </si>
  <si>
    <t>列13803</t>
  </si>
  <si>
    <t>列13804</t>
  </si>
  <si>
    <t>列13805</t>
  </si>
  <si>
    <t>列13806</t>
  </si>
  <si>
    <t>列13807</t>
  </si>
  <si>
    <t>列13808</t>
  </si>
  <si>
    <t>列13809</t>
  </si>
  <si>
    <t>列13810</t>
  </si>
  <si>
    <t>列13811</t>
  </si>
  <si>
    <t>列13812</t>
  </si>
  <si>
    <t>列13813</t>
  </si>
  <si>
    <t>列13814</t>
  </si>
  <si>
    <t>列13815</t>
  </si>
  <si>
    <t>列13816</t>
  </si>
  <si>
    <t>列13817</t>
  </si>
  <si>
    <t>列13818</t>
  </si>
  <si>
    <t>列13819</t>
  </si>
  <si>
    <t>列13820</t>
  </si>
  <si>
    <t>列13821</t>
  </si>
  <si>
    <t>列13822</t>
  </si>
  <si>
    <t>列13823</t>
  </si>
  <si>
    <t>列13824</t>
  </si>
  <si>
    <t>列13825</t>
  </si>
  <si>
    <t>列13826</t>
  </si>
  <si>
    <t>列13827</t>
  </si>
  <si>
    <t>列13828</t>
  </si>
  <si>
    <t>列13829</t>
  </si>
  <si>
    <t>列13830</t>
  </si>
  <si>
    <t>列13831</t>
  </si>
  <si>
    <t>列13832</t>
  </si>
  <si>
    <t>列13833</t>
  </si>
  <si>
    <t>列13834</t>
  </si>
  <si>
    <t>列13835</t>
  </si>
  <si>
    <t>列13836</t>
  </si>
  <si>
    <t>列13837</t>
  </si>
  <si>
    <t>列13838</t>
  </si>
  <si>
    <t>列13839</t>
  </si>
  <si>
    <t>列13840</t>
  </si>
  <si>
    <t>列13841</t>
  </si>
  <si>
    <t>列13842</t>
  </si>
  <si>
    <t>列13843</t>
  </si>
  <si>
    <t>列13844</t>
  </si>
  <si>
    <t>列13845</t>
  </si>
  <si>
    <t>列13846</t>
  </si>
  <si>
    <t>列13847</t>
  </si>
  <si>
    <t>列13848</t>
  </si>
  <si>
    <t>列13849</t>
  </si>
  <si>
    <t>列13850</t>
  </si>
  <si>
    <t>列13851</t>
  </si>
  <si>
    <t>列13852</t>
  </si>
  <si>
    <t>列13853</t>
  </si>
  <si>
    <t>列13854</t>
  </si>
  <si>
    <t>列13855</t>
  </si>
  <si>
    <t>列13856</t>
  </si>
  <si>
    <t>列13857</t>
  </si>
  <si>
    <t>列13858</t>
  </si>
  <si>
    <t>列13859</t>
  </si>
  <si>
    <t>列13860</t>
  </si>
  <si>
    <t>列13861</t>
  </si>
  <si>
    <t>列13862</t>
  </si>
  <si>
    <t>列13863</t>
  </si>
  <si>
    <t>列13864</t>
  </si>
  <si>
    <t>列13865</t>
  </si>
  <si>
    <t>列13866</t>
  </si>
  <si>
    <t>列13867</t>
  </si>
  <si>
    <t>列13868</t>
  </si>
  <si>
    <t>列13869</t>
  </si>
  <si>
    <t>列13870</t>
  </si>
  <si>
    <t>列13871</t>
  </si>
  <si>
    <t>列13872</t>
  </si>
  <si>
    <t>列13873</t>
  </si>
  <si>
    <t>列13874</t>
  </si>
  <si>
    <t>列13875</t>
  </si>
  <si>
    <t>列13876</t>
  </si>
  <si>
    <t>列13877</t>
  </si>
  <si>
    <t>列13878</t>
  </si>
  <si>
    <t>列13879</t>
  </si>
  <si>
    <t>列13880</t>
  </si>
  <si>
    <t>列13881</t>
  </si>
  <si>
    <t>列13882</t>
  </si>
  <si>
    <t>列13883</t>
  </si>
  <si>
    <t>列13884</t>
  </si>
  <si>
    <t>列13885</t>
  </si>
  <si>
    <t>列13886</t>
  </si>
  <si>
    <t>列13887</t>
  </si>
  <si>
    <t>列13888</t>
  </si>
  <si>
    <t>列13889</t>
  </si>
  <si>
    <t>列13890</t>
  </si>
  <si>
    <t>列13891</t>
  </si>
  <si>
    <t>列13892</t>
  </si>
  <si>
    <t>列13893</t>
  </si>
  <si>
    <t>列13894</t>
  </si>
  <si>
    <t>列13895</t>
  </si>
  <si>
    <t>列13896</t>
  </si>
  <si>
    <t>列13897</t>
  </si>
  <si>
    <t>列13898</t>
  </si>
  <si>
    <t>列13899</t>
  </si>
  <si>
    <t>列13900</t>
  </si>
  <si>
    <t>列13901</t>
  </si>
  <si>
    <t>列13902</t>
  </si>
  <si>
    <t>列13903</t>
  </si>
  <si>
    <t>列13904</t>
  </si>
  <si>
    <t>列13905</t>
  </si>
  <si>
    <t>列13906</t>
  </si>
  <si>
    <t>列13907</t>
  </si>
  <si>
    <t>列13908</t>
  </si>
  <si>
    <t>列13909</t>
  </si>
  <si>
    <t>列13910</t>
  </si>
  <si>
    <t>列13911</t>
  </si>
  <si>
    <t>列13912</t>
  </si>
  <si>
    <t>列13913</t>
  </si>
  <si>
    <t>列13914</t>
  </si>
  <si>
    <t>列13915</t>
  </si>
  <si>
    <t>列13916</t>
  </si>
  <si>
    <t>列13917</t>
  </si>
  <si>
    <t>列13918</t>
  </si>
  <si>
    <t>列13919</t>
  </si>
  <si>
    <t>列13920</t>
  </si>
  <si>
    <t>列13921</t>
  </si>
  <si>
    <t>列13922</t>
  </si>
  <si>
    <t>列13923</t>
  </si>
  <si>
    <t>列13924</t>
  </si>
  <si>
    <t>列13925</t>
  </si>
  <si>
    <t>列13926</t>
  </si>
  <si>
    <t>列13927</t>
  </si>
  <si>
    <t>列13928</t>
  </si>
  <si>
    <t>列13929</t>
  </si>
  <si>
    <t>列13930</t>
  </si>
  <si>
    <t>列13931</t>
  </si>
  <si>
    <t>列13932</t>
  </si>
  <si>
    <t>列13933</t>
  </si>
  <si>
    <t>列13934</t>
  </si>
  <si>
    <t>列13935</t>
  </si>
  <si>
    <t>列13936</t>
  </si>
  <si>
    <t>列13937</t>
  </si>
  <si>
    <t>列13938</t>
  </si>
  <si>
    <t>列13939</t>
  </si>
  <si>
    <t>列13940</t>
  </si>
  <si>
    <t>列13941</t>
  </si>
  <si>
    <t>列13942</t>
  </si>
  <si>
    <t>列13943</t>
  </si>
  <si>
    <t>列13944</t>
  </si>
  <si>
    <t>列13945</t>
  </si>
  <si>
    <t>列13946</t>
  </si>
  <si>
    <t>列13947</t>
  </si>
  <si>
    <t>列13948</t>
  </si>
  <si>
    <t>列13949</t>
  </si>
  <si>
    <t>列13950</t>
  </si>
  <si>
    <t>列13951</t>
  </si>
  <si>
    <t>列13952</t>
  </si>
  <si>
    <t>列13953</t>
  </si>
  <si>
    <t>列13954</t>
  </si>
  <si>
    <t>列13955</t>
  </si>
  <si>
    <t>列13956</t>
  </si>
  <si>
    <t>列13957</t>
  </si>
  <si>
    <t>列13958</t>
  </si>
  <si>
    <t>列13959</t>
  </si>
  <si>
    <t>列13960</t>
  </si>
  <si>
    <t>列13961</t>
  </si>
  <si>
    <t>列13962</t>
  </si>
  <si>
    <t>列13963</t>
  </si>
  <si>
    <t>列13964</t>
  </si>
  <si>
    <t>列13965</t>
  </si>
  <si>
    <t>列13966</t>
  </si>
  <si>
    <t>列13967</t>
  </si>
  <si>
    <t>列13968</t>
  </si>
  <si>
    <t>列13969</t>
  </si>
  <si>
    <t>列13970</t>
  </si>
  <si>
    <t>列13971</t>
  </si>
  <si>
    <t>列13972</t>
  </si>
  <si>
    <t>列13973</t>
  </si>
  <si>
    <t>列13974</t>
  </si>
  <si>
    <t>列13975</t>
  </si>
  <si>
    <t>列13976</t>
  </si>
  <si>
    <t>列13977</t>
  </si>
  <si>
    <t>列13978</t>
  </si>
  <si>
    <t>列13979</t>
  </si>
  <si>
    <t>列13980</t>
  </si>
  <si>
    <t>列13981</t>
  </si>
  <si>
    <t>列13982</t>
  </si>
  <si>
    <t>列13983</t>
  </si>
  <si>
    <t>列13984</t>
  </si>
  <si>
    <t>列13985</t>
  </si>
  <si>
    <t>列13986</t>
  </si>
  <si>
    <t>列13987</t>
  </si>
  <si>
    <t>列13988</t>
  </si>
  <si>
    <t>列13989</t>
  </si>
  <si>
    <t>列13990</t>
  </si>
  <si>
    <t>列13991</t>
  </si>
  <si>
    <t>列13992</t>
  </si>
  <si>
    <t>列13993</t>
  </si>
  <si>
    <t>列13994</t>
  </si>
  <si>
    <t>列13995</t>
  </si>
  <si>
    <t>列13996</t>
  </si>
  <si>
    <t>列13997</t>
  </si>
  <si>
    <t>列13998</t>
  </si>
  <si>
    <t>列13999</t>
  </si>
  <si>
    <t>列14000</t>
  </si>
  <si>
    <t>列14001</t>
  </si>
  <si>
    <t>列14002</t>
  </si>
  <si>
    <t>列14003</t>
  </si>
  <si>
    <t>列14004</t>
  </si>
  <si>
    <t>列14005</t>
  </si>
  <si>
    <t>列14006</t>
  </si>
  <si>
    <t>列14007</t>
  </si>
  <si>
    <t>列14008</t>
  </si>
  <si>
    <t>列14009</t>
  </si>
  <si>
    <t>列14010</t>
  </si>
  <si>
    <t>列14011</t>
  </si>
  <si>
    <t>列14012</t>
  </si>
  <si>
    <t>列14013</t>
  </si>
  <si>
    <t>列14014</t>
  </si>
  <si>
    <t>列14015</t>
  </si>
  <si>
    <t>列14016</t>
  </si>
  <si>
    <t>列14017</t>
  </si>
  <si>
    <t>列14018</t>
  </si>
  <si>
    <t>列14019</t>
  </si>
  <si>
    <t>列14020</t>
  </si>
  <si>
    <t>列14021</t>
  </si>
  <si>
    <t>列14022</t>
  </si>
  <si>
    <t>列14023</t>
  </si>
  <si>
    <t>列14024</t>
  </si>
  <si>
    <t>列14025</t>
  </si>
  <si>
    <t>列14026</t>
  </si>
  <si>
    <t>列14027</t>
  </si>
  <si>
    <t>列14028</t>
  </si>
  <si>
    <t>列14029</t>
  </si>
  <si>
    <t>列14030</t>
  </si>
  <si>
    <t>列14031</t>
  </si>
  <si>
    <t>列14032</t>
  </si>
  <si>
    <t>列14033</t>
  </si>
  <si>
    <t>列14034</t>
  </si>
  <si>
    <t>列14035</t>
  </si>
  <si>
    <t>列14036</t>
  </si>
  <si>
    <t>列14037</t>
  </si>
  <si>
    <t>列14038</t>
  </si>
  <si>
    <t>列14039</t>
  </si>
  <si>
    <t>列14040</t>
  </si>
  <si>
    <t>列14041</t>
  </si>
  <si>
    <t>列14042</t>
  </si>
  <si>
    <t>列14043</t>
  </si>
  <si>
    <t>列14044</t>
  </si>
  <si>
    <t>列14045</t>
  </si>
  <si>
    <t>列14046</t>
  </si>
  <si>
    <t>列14047</t>
  </si>
  <si>
    <t>列14048</t>
  </si>
  <si>
    <t>列14049</t>
  </si>
  <si>
    <t>列14050</t>
  </si>
  <si>
    <t>列14051</t>
  </si>
  <si>
    <t>列14052</t>
  </si>
  <si>
    <t>列14053</t>
  </si>
  <si>
    <t>列14054</t>
  </si>
  <si>
    <t>列14055</t>
  </si>
  <si>
    <t>列14056</t>
  </si>
  <si>
    <t>列14057</t>
  </si>
  <si>
    <t>列14058</t>
  </si>
  <si>
    <t>列14059</t>
  </si>
  <si>
    <t>列14060</t>
  </si>
  <si>
    <t>列14061</t>
  </si>
  <si>
    <t>列14062</t>
  </si>
  <si>
    <t>列14063</t>
  </si>
  <si>
    <t>列14064</t>
  </si>
  <si>
    <t>列14065</t>
  </si>
  <si>
    <t>列14066</t>
  </si>
  <si>
    <t>列14067</t>
  </si>
  <si>
    <t>列14068</t>
  </si>
  <si>
    <t>列14069</t>
  </si>
  <si>
    <t>列14070</t>
  </si>
  <si>
    <t>列14071</t>
  </si>
  <si>
    <t>列14072</t>
  </si>
  <si>
    <t>列14073</t>
  </si>
  <si>
    <t>列14074</t>
  </si>
  <si>
    <t>列14075</t>
  </si>
  <si>
    <t>列14076</t>
  </si>
  <si>
    <t>列14077</t>
  </si>
  <si>
    <t>列14078</t>
  </si>
  <si>
    <t>列14079</t>
  </si>
  <si>
    <t>列14080</t>
  </si>
  <si>
    <t>列14081</t>
  </si>
  <si>
    <t>列14082</t>
  </si>
  <si>
    <t>列14083</t>
  </si>
  <si>
    <t>列14084</t>
  </si>
  <si>
    <t>列14085</t>
  </si>
  <si>
    <t>列14086</t>
  </si>
  <si>
    <t>列14087</t>
  </si>
  <si>
    <t>列14088</t>
  </si>
  <si>
    <t>列14089</t>
  </si>
  <si>
    <t>列14090</t>
  </si>
  <si>
    <t>列14091</t>
  </si>
  <si>
    <t>列14092</t>
  </si>
  <si>
    <t>列14093</t>
  </si>
  <si>
    <t>列14094</t>
  </si>
  <si>
    <t>列14095</t>
  </si>
  <si>
    <t>列14096</t>
  </si>
  <si>
    <t>列14097</t>
  </si>
  <si>
    <t>列14098</t>
  </si>
  <si>
    <t>列14099</t>
  </si>
  <si>
    <t>列14100</t>
  </si>
  <si>
    <t>列14101</t>
  </si>
  <si>
    <t>列14102</t>
  </si>
  <si>
    <t>列14103</t>
  </si>
  <si>
    <t>列14104</t>
  </si>
  <si>
    <t>列14105</t>
  </si>
  <si>
    <t>列14106</t>
  </si>
  <si>
    <t>列14107</t>
  </si>
  <si>
    <t>列14108</t>
  </si>
  <si>
    <t>列14109</t>
  </si>
  <si>
    <t>列14110</t>
  </si>
  <si>
    <t>列14111</t>
  </si>
  <si>
    <t>列14112</t>
  </si>
  <si>
    <t>列14113</t>
  </si>
  <si>
    <t>列14114</t>
  </si>
  <si>
    <t>列14115</t>
  </si>
  <si>
    <t>列14116</t>
  </si>
  <si>
    <t>列14117</t>
  </si>
  <si>
    <t>列14118</t>
  </si>
  <si>
    <t>列14119</t>
  </si>
  <si>
    <t>列14120</t>
  </si>
  <si>
    <t>列14121</t>
  </si>
  <si>
    <t>列14122</t>
  </si>
  <si>
    <t>列14123</t>
  </si>
  <si>
    <t>列14124</t>
  </si>
  <si>
    <t>列14125</t>
  </si>
  <si>
    <t>列14126</t>
  </si>
  <si>
    <t>列14127</t>
  </si>
  <si>
    <t>列14128</t>
  </si>
  <si>
    <t>列14129</t>
  </si>
  <si>
    <t>列14130</t>
  </si>
  <si>
    <t>列14131</t>
  </si>
  <si>
    <t>列14132</t>
  </si>
  <si>
    <t>列14133</t>
  </si>
  <si>
    <t>列14134</t>
  </si>
  <si>
    <t>列14135</t>
  </si>
  <si>
    <t>列14136</t>
  </si>
  <si>
    <t>列14137</t>
  </si>
  <si>
    <t>列14138</t>
  </si>
  <si>
    <t>列14139</t>
  </si>
  <si>
    <t>列14140</t>
  </si>
  <si>
    <t>列14141</t>
  </si>
  <si>
    <t>列14142</t>
  </si>
  <si>
    <t>列14143</t>
  </si>
  <si>
    <t>列14144</t>
  </si>
  <si>
    <t>列14145</t>
  </si>
  <si>
    <t>列14146</t>
  </si>
  <si>
    <t>列14147</t>
  </si>
  <si>
    <t>列14148</t>
  </si>
  <si>
    <t>列14149</t>
  </si>
  <si>
    <t>列14150</t>
  </si>
  <si>
    <t>列14151</t>
  </si>
  <si>
    <t>列14152</t>
  </si>
  <si>
    <t>列14153</t>
  </si>
  <si>
    <t>列14154</t>
  </si>
  <si>
    <t>列14155</t>
  </si>
  <si>
    <t>列14156</t>
  </si>
  <si>
    <t>列14157</t>
  </si>
  <si>
    <t>列14158</t>
  </si>
  <si>
    <t>列14159</t>
  </si>
  <si>
    <t>列14160</t>
  </si>
  <si>
    <t>列14161</t>
  </si>
  <si>
    <t>列14162</t>
  </si>
  <si>
    <t>列14163</t>
  </si>
  <si>
    <t>列14164</t>
  </si>
  <si>
    <t>列14165</t>
  </si>
  <si>
    <t>列14166</t>
  </si>
  <si>
    <t>列14167</t>
  </si>
  <si>
    <t>列14168</t>
  </si>
  <si>
    <t>列14169</t>
  </si>
  <si>
    <t>列14170</t>
  </si>
  <si>
    <t>列14171</t>
  </si>
  <si>
    <t>列14172</t>
  </si>
  <si>
    <t>列14173</t>
  </si>
  <si>
    <t>列14174</t>
  </si>
  <si>
    <t>列14175</t>
  </si>
  <si>
    <t>列14176</t>
  </si>
  <si>
    <t>列14177</t>
  </si>
  <si>
    <t>列14178</t>
  </si>
  <si>
    <t>列14179</t>
  </si>
  <si>
    <t>列14180</t>
  </si>
  <si>
    <t>列14181</t>
  </si>
  <si>
    <t>列14182</t>
  </si>
  <si>
    <t>列14183</t>
  </si>
  <si>
    <t>列14184</t>
  </si>
  <si>
    <t>列14185</t>
  </si>
  <si>
    <t>列14186</t>
  </si>
  <si>
    <t>列14187</t>
  </si>
  <si>
    <t>列14188</t>
  </si>
  <si>
    <t>列14189</t>
  </si>
  <si>
    <t>列14190</t>
  </si>
  <si>
    <t>列14191</t>
  </si>
  <si>
    <t>列14192</t>
  </si>
  <si>
    <t>列14193</t>
  </si>
  <si>
    <t>列14194</t>
  </si>
  <si>
    <t>列14195</t>
  </si>
  <si>
    <t>列14196</t>
  </si>
  <si>
    <t>列14197</t>
  </si>
  <si>
    <t>列14198</t>
  </si>
  <si>
    <t>列14199</t>
  </si>
  <si>
    <t>列14200</t>
  </si>
  <si>
    <t>列14201</t>
  </si>
  <si>
    <t>列14202</t>
  </si>
  <si>
    <t>列14203</t>
  </si>
  <si>
    <t>列14204</t>
  </si>
  <si>
    <t>列14205</t>
  </si>
  <si>
    <t>列14206</t>
  </si>
  <si>
    <t>列14207</t>
  </si>
  <si>
    <t>列14208</t>
  </si>
  <si>
    <t>列14209</t>
  </si>
  <si>
    <t>列14210</t>
  </si>
  <si>
    <t>列14211</t>
  </si>
  <si>
    <t>列14212</t>
  </si>
  <si>
    <t>列14213</t>
  </si>
  <si>
    <t>列14214</t>
  </si>
  <si>
    <t>列14215</t>
  </si>
  <si>
    <t>列14216</t>
  </si>
  <si>
    <t>列14217</t>
  </si>
  <si>
    <t>列14218</t>
  </si>
  <si>
    <t>列14219</t>
  </si>
  <si>
    <t>列14220</t>
  </si>
  <si>
    <t>列14221</t>
  </si>
  <si>
    <t>列14222</t>
  </si>
  <si>
    <t>列14223</t>
  </si>
  <si>
    <t>列14224</t>
  </si>
  <si>
    <t>列14225</t>
  </si>
  <si>
    <t>列14226</t>
  </si>
  <si>
    <t>列14227</t>
  </si>
  <si>
    <t>列14228</t>
  </si>
  <si>
    <t>列14229</t>
  </si>
  <si>
    <t>列14230</t>
  </si>
  <si>
    <t>列14231</t>
  </si>
  <si>
    <t>列14232</t>
  </si>
  <si>
    <t>列14233</t>
  </si>
  <si>
    <t>列14234</t>
  </si>
  <si>
    <t>列14235</t>
  </si>
  <si>
    <t>列14236</t>
  </si>
  <si>
    <t>列14237</t>
  </si>
  <si>
    <t>列14238</t>
  </si>
  <si>
    <t>列14239</t>
  </si>
  <si>
    <t>列14240</t>
  </si>
  <si>
    <t>列14241</t>
  </si>
  <si>
    <t>列14242</t>
  </si>
  <si>
    <t>列14243</t>
  </si>
  <si>
    <t>列14244</t>
  </si>
  <si>
    <t>列14245</t>
  </si>
  <si>
    <t>列14246</t>
  </si>
  <si>
    <t>列14247</t>
  </si>
  <si>
    <t>列14248</t>
  </si>
  <si>
    <t>列14249</t>
  </si>
  <si>
    <t>列14250</t>
  </si>
  <si>
    <t>列14251</t>
  </si>
  <si>
    <t>列14252</t>
  </si>
  <si>
    <t>列14253</t>
  </si>
  <si>
    <t>列14254</t>
  </si>
  <si>
    <t>列14255</t>
  </si>
  <si>
    <t>列14256</t>
  </si>
  <si>
    <t>列14257</t>
  </si>
  <si>
    <t>列14258</t>
  </si>
  <si>
    <t>列14259</t>
  </si>
  <si>
    <t>列14260</t>
  </si>
  <si>
    <t>列14261</t>
  </si>
  <si>
    <t>列14262</t>
  </si>
  <si>
    <t>列14263</t>
  </si>
  <si>
    <t>列14264</t>
  </si>
  <si>
    <t>列14265</t>
  </si>
  <si>
    <t>列14266</t>
  </si>
  <si>
    <t>列14267</t>
  </si>
  <si>
    <t>列14268</t>
  </si>
  <si>
    <t>列14269</t>
  </si>
  <si>
    <t>列14270</t>
  </si>
  <si>
    <t>列14271</t>
  </si>
  <si>
    <t>列14272</t>
  </si>
  <si>
    <t>列14273</t>
  </si>
  <si>
    <t>列14274</t>
  </si>
  <si>
    <t>列14275</t>
  </si>
  <si>
    <t>列14276</t>
  </si>
  <si>
    <t>列14277</t>
  </si>
  <si>
    <t>列14278</t>
  </si>
  <si>
    <t>列14279</t>
  </si>
  <si>
    <t>列14280</t>
  </si>
  <si>
    <t>列14281</t>
  </si>
  <si>
    <t>列14282</t>
  </si>
  <si>
    <t>列14283</t>
  </si>
  <si>
    <t>列14284</t>
  </si>
  <si>
    <t>列14285</t>
  </si>
  <si>
    <t>列14286</t>
  </si>
  <si>
    <t>列14287</t>
  </si>
  <si>
    <t>列14288</t>
  </si>
  <si>
    <t>列14289</t>
  </si>
  <si>
    <t>列14290</t>
  </si>
  <si>
    <t>列14291</t>
  </si>
  <si>
    <t>列14292</t>
  </si>
  <si>
    <t>列14293</t>
  </si>
  <si>
    <t>列14294</t>
  </si>
  <si>
    <t>列14295</t>
  </si>
  <si>
    <t>列14296</t>
  </si>
  <si>
    <t>列14297</t>
  </si>
  <si>
    <t>列14298</t>
  </si>
  <si>
    <t>列14299</t>
  </si>
  <si>
    <t>列14300</t>
  </si>
  <si>
    <t>列14301</t>
  </si>
  <si>
    <t>列14302</t>
  </si>
  <si>
    <t>列14303</t>
  </si>
  <si>
    <t>列14304</t>
  </si>
  <si>
    <t>列14305</t>
  </si>
  <si>
    <t>列14306</t>
  </si>
  <si>
    <t>列14307</t>
  </si>
  <si>
    <t>列14308</t>
  </si>
  <si>
    <t>列14309</t>
  </si>
  <si>
    <t>列14310</t>
  </si>
  <si>
    <t>列14311</t>
  </si>
  <si>
    <t>列14312</t>
  </si>
  <si>
    <t>列14313</t>
  </si>
  <si>
    <t>列14314</t>
  </si>
  <si>
    <t>列14315</t>
  </si>
  <si>
    <t>列14316</t>
  </si>
  <si>
    <t>列14317</t>
  </si>
  <si>
    <t>列14318</t>
  </si>
  <si>
    <t>列14319</t>
  </si>
  <si>
    <t>列14320</t>
  </si>
  <si>
    <t>列14321</t>
  </si>
  <si>
    <t>列14322</t>
  </si>
  <si>
    <t>列14323</t>
  </si>
  <si>
    <t>列14324</t>
  </si>
  <si>
    <t>列14325</t>
  </si>
  <si>
    <t>列14326</t>
  </si>
  <si>
    <t>列14327</t>
  </si>
  <si>
    <t>列14328</t>
  </si>
  <si>
    <t>列14329</t>
  </si>
  <si>
    <t>列14330</t>
  </si>
  <si>
    <t>列14331</t>
  </si>
  <si>
    <t>列14332</t>
  </si>
  <si>
    <t>列14333</t>
  </si>
  <si>
    <t>列14334</t>
  </si>
  <si>
    <t>列14335</t>
  </si>
  <si>
    <t>列14336</t>
  </si>
  <si>
    <t>列14337</t>
  </si>
  <si>
    <t>列14338</t>
  </si>
  <si>
    <t>列14339</t>
  </si>
  <si>
    <t>列14340</t>
  </si>
  <si>
    <t>列14341</t>
  </si>
  <si>
    <t>列14342</t>
  </si>
  <si>
    <t>列14343</t>
  </si>
  <si>
    <t>列14344</t>
  </si>
  <si>
    <t>列14345</t>
  </si>
  <si>
    <t>列14346</t>
  </si>
  <si>
    <t>列14347</t>
  </si>
  <si>
    <t>列14348</t>
  </si>
  <si>
    <t>列14349</t>
  </si>
  <si>
    <t>列14350</t>
  </si>
  <si>
    <t>列14351</t>
  </si>
  <si>
    <t>列14352</t>
  </si>
  <si>
    <t>列14353</t>
  </si>
  <si>
    <t>列14354</t>
  </si>
  <si>
    <t>列14355</t>
  </si>
  <si>
    <t>列14356</t>
  </si>
  <si>
    <t>列14357</t>
  </si>
  <si>
    <t>列14358</t>
  </si>
  <si>
    <t>列14359</t>
  </si>
  <si>
    <t>列14360</t>
  </si>
  <si>
    <t>列14361</t>
  </si>
  <si>
    <t>列14362</t>
  </si>
  <si>
    <t>列14363</t>
  </si>
  <si>
    <t>列14364</t>
  </si>
  <si>
    <t>列14365</t>
  </si>
  <si>
    <t>列14366</t>
  </si>
  <si>
    <t>列14367</t>
  </si>
  <si>
    <t>列14368</t>
  </si>
  <si>
    <t>列14369</t>
  </si>
  <si>
    <t>列14370</t>
  </si>
  <si>
    <t>列14371</t>
  </si>
  <si>
    <t>列14372</t>
  </si>
  <si>
    <t>列14373</t>
  </si>
  <si>
    <t>列14374</t>
  </si>
  <si>
    <t>列14375</t>
  </si>
  <si>
    <t>列14376</t>
  </si>
  <si>
    <t>列14377</t>
  </si>
  <si>
    <t>列14378</t>
  </si>
  <si>
    <t>列14379</t>
  </si>
  <si>
    <t>列14380</t>
  </si>
  <si>
    <t>列14381</t>
  </si>
  <si>
    <t>列14382</t>
  </si>
  <si>
    <t>列14383</t>
  </si>
  <si>
    <t>列14384</t>
  </si>
  <si>
    <t>列14385</t>
  </si>
  <si>
    <t>列14386</t>
  </si>
  <si>
    <t>列14387</t>
  </si>
  <si>
    <t>列14388</t>
  </si>
  <si>
    <t>列14389</t>
  </si>
  <si>
    <t>列14390</t>
  </si>
  <si>
    <t>列14391</t>
  </si>
  <si>
    <t>列14392</t>
  </si>
  <si>
    <t>列14393</t>
  </si>
  <si>
    <t>列14394</t>
  </si>
  <si>
    <t>列14395</t>
  </si>
  <si>
    <t>列14396</t>
  </si>
  <si>
    <t>列14397</t>
  </si>
  <si>
    <t>列14398</t>
  </si>
  <si>
    <t>列14399</t>
  </si>
  <si>
    <t>列14400</t>
  </si>
  <si>
    <t>列14401</t>
  </si>
  <si>
    <t>列14402</t>
  </si>
  <si>
    <t>列14403</t>
  </si>
  <si>
    <t>列14404</t>
  </si>
  <si>
    <t>列14405</t>
  </si>
  <si>
    <t>列14406</t>
  </si>
  <si>
    <t>列14407</t>
  </si>
  <si>
    <t>列14408</t>
  </si>
  <si>
    <t>列14409</t>
  </si>
  <si>
    <t>列14410</t>
  </si>
  <si>
    <t>列14411</t>
  </si>
  <si>
    <t>列14412</t>
  </si>
  <si>
    <t>列14413</t>
  </si>
  <si>
    <t>列14414</t>
  </si>
  <si>
    <t>列14415</t>
  </si>
  <si>
    <t>列14416</t>
  </si>
  <si>
    <t>列14417</t>
  </si>
  <si>
    <t>列14418</t>
  </si>
  <si>
    <t>列14419</t>
  </si>
  <si>
    <t>列14420</t>
  </si>
  <si>
    <t>列14421</t>
  </si>
  <si>
    <t>列14422</t>
  </si>
  <si>
    <t>列14423</t>
  </si>
  <si>
    <t>列14424</t>
  </si>
  <si>
    <t>列14425</t>
  </si>
  <si>
    <t>列14426</t>
  </si>
  <si>
    <t>列14427</t>
  </si>
  <si>
    <t>列14428</t>
  </si>
  <si>
    <t>列14429</t>
  </si>
  <si>
    <t>列14430</t>
  </si>
  <si>
    <t>列14431</t>
  </si>
  <si>
    <t>列14432</t>
  </si>
  <si>
    <t>列14433</t>
  </si>
  <si>
    <t>列14434</t>
  </si>
  <si>
    <t>列14435</t>
  </si>
  <si>
    <t>列14436</t>
  </si>
  <si>
    <t>列14437</t>
  </si>
  <si>
    <t>列14438</t>
  </si>
  <si>
    <t>列14439</t>
  </si>
  <si>
    <t>列14440</t>
  </si>
  <si>
    <t>列14441</t>
  </si>
  <si>
    <t>列14442</t>
  </si>
  <si>
    <t>列14443</t>
  </si>
  <si>
    <t>列14444</t>
  </si>
  <si>
    <t>列14445</t>
  </si>
  <si>
    <t>列14446</t>
  </si>
  <si>
    <t>列14447</t>
  </si>
  <si>
    <t>列14448</t>
  </si>
  <si>
    <t>列14449</t>
  </si>
  <si>
    <t>列14450</t>
  </si>
  <si>
    <t>列14451</t>
  </si>
  <si>
    <t>列14452</t>
  </si>
  <si>
    <t>列14453</t>
  </si>
  <si>
    <t>列14454</t>
  </si>
  <si>
    <t>列14455</t>
  </si>
  <si>
    <t>列14456</t>
  </si>
  <si>
    <t>列14457</t>
  </si>
  <si>
    <t>列14458</t>
  </si>
  <si>
    <t>列14459</t>
  </si>
  <si>
    <t>列14460</t>
  </si>
  <si>
    <t>列14461</t>
  </si>
  <si>
    <t>列14462</t>
  </si>
  <si>
    <t>列14463</t>
  </si>
  <si>
    <t>列14464</t>
  </si>
  <si>
    <t>列14465</t>
  </si>
  <si>
    <t>列14466</t>
  </si>
  <si>
    <t>列14467</t>
  </si>
  <si>
    <t>列14468</t>
  </si>
  <si>
    <t>列14469</t>
  </si>
  <si>
    <t>列14470</t>
  </si>
  <si>
    <t>列14471</t>
  </si>
  <si>
    <t>列14472</t>
  </si>
  <si>
    <t>列14473</t>
  </si>
  <si>
    <t>列14474</t>
  </si>
  <si>
    <t>列14475</t>
  </si>
  <si>
    <t>列14476</t>
  </si>
  <si>
    <t>列14477</t>
  </si>
  <si>
    <t>列14478</t>
  </si>
  <si>
    <t>列14479</t>
  </si>
  <si>
    <t>列14480</t>
  </si>
  <si>
    <t>列14481</t>
  </si>
  <si>
    <t>列14482</t>
  </si>
  <si>
    <t>列14483</t>
  </si>
  <si>
    <t>列14484</t>
  </si>
  <si>
    <t>列14485</t>
  </si>
  <si>
    <t>列14486</t>
  </si>
  <si>
    <t>列14487</t>
  </si>
  <si>
    <t>列14488</t>
  </si>
  <si>
    <t>列14489</t>
  </si>
  <si>
    <t>列14490</t>
  </si>
  <si>
    <t>列14491</t>
  </si>
  <si>
    <t>列14492</t>
  </si>
  <si>
    <t>列14493</t>
  </si>
  <si>
    <t>列14494</t>
  </si>
  <si>
    <t>列14495</t>
  </si>
  <si>
    <t>列14496</t>
  </si>
  <si>
    <t>列14497</t>
  </si>
  <si>
    <t>列14498</t>
  </si>
  <si>
    <t>列14499</t>
  </si>
  <si>
    <t>列14500</t>
  </si>
  <si>
    <t>列14501</t>
  </si>
  <si>
    <t>列14502</t>
  </si>
  <si>
    <t>列14503</t>
  </si>
  <si>
    <t>列14504</t>
  </si>
  <si>
    <t>列14505</t>
  </si>
  <si>
    <t>列14506</t>
  </si>
  <si>
    <t>列14507</t>
  </si>
  <si>
    <t>列14508</t>
  </si>
  <si>
    <t>列14509</t>
  </si>
  <si>
    <t>列14510</t>
  </si>
  <si>
    <t>列14511</t>
  </si>
  <si>
    <t>列14512</t>
  </si>
  <si>
    <t>列14513</t>
  </si>
  <si>
    <t>列14514</t>
  </si>
  <si>
    <t>列14515</t>
  </si>
  <si>
    <t>列14516</t>
  </si>
  <si>
    <t>列14517</t>
  </si>
  <si>
    <t>列14518</t>
  </si>
  <si>
    <t>列14519</t>
  </si>
  <si>
    <t>列14520</t>
  </si>
  <si>
    <t>列14521</t>
  </si>
  <si>
    <t>列14522</t>
  </si>
  <si>
    <t>列14523</t>
  </si>
  <si>
    <t>列14524</t>
  </si>
  <si>
    <t>列14525</t>
  </si>
  <si>
    <t>列14526</t>
  </si>
  <si>
    <t>列14527</t>
  </si>
  <si>
    <t>列14528</t>
  </si>
  <si>
    <t>列14529</t>
  </si>
  <si>
    <t>列14530</t>
  </si>
  <si>
    <t>列14531</t>
  </si>
  <si>
    <t>列14532</t>
  </si>
  <si>
    <t>列14533</t>
  </si>
  <si>
    <t>列14534</t>
  </si>
  <si>
    <t>列14535</t>
  </si>
  <si>
    <t>列14536</t>
  </si>
  <si>
    <t>列14537</t>
  </si>
  <si>
    <t>列14538</t>
  </si>
  <si>
    <t>列14539</t>
  </si>
  <si>
    <t>列14540</t>
  </si>
  <si>
    <t>列14541</t>
  </si>
  <si>
    <t>列14542</t>
  </si>
  <si>
    <t>列14543</t>
  </si>
  <si>
    <t>列14544</t>
  </si>
  <si>
    <t>列14545</t>
  </si>
  <si>
    <t>列14546</t>
  </si>
  <si>
    <t>列14547</t>
  </si>
  <si>
    <t>列14548</t>
  </si>
  <si>
    <t>列14549</t>
  </si>
  <si>
    <t>列14550</t>
  </si>
  <si>
    <t>列14551</t>
  </si>
  <si>
    <t>列14552</t>
  </si>
  <si>
    <t>列14553</t>
  </si>
  <si>
    <t>列14554</t>
  </si>
  <si>
    <t>列14555</t>
  </si>
  <si>
    <t>列14556</t>
  </si>
  <si>
    <t>列14557</t>
  </si>
  <si>
    <t>列14558</t>
  </si>
  <si>
    <t>列14559</t>
  </si>
  <si>
    <t>列14560</t>
  </si>
  <si>
    <t>列14561</t>
  </si>
  <si>
    <t>列14562</t>
  </si>
  <si>
    <t>列14563</t>
  </si>
  <si>
    <t>列14564</t>
  </si>
  <si>
    <t>列14565</t>
  </si>
  <si>
    <t>列14566</t>
  </si>
  <si>
    <t>列14567</t>
  </si>
  <si>
    <t>列14568</t>
  </si>
  <si>
    <t>列14569</t>
  </si>
  <si>
    <t>列14570</t>
  </si>
  <si>
    <t>列14571</t>
  </si>
  <si>
    <t>列14572</t>
  </si>
  <si>
    <t>列14573</t>
  </si>
  <si>
    <t>列14574</t>
  </si>
  <si>
    <t>列14575</t>
  </si>
  <si>
    <t>列14576</t>
  </si>
  <si>
    <t>列14577</t>
  </si>
  <si>
    <t>列14578</t>
  </si>
  <si>
    <t>列14579</t>
  </si>
  <si>
    <t>列14580</t>
  </si>
  <si>
    <t>列14581</t>
  </si>
  <si>
    <t>列14582</t>
  </si>
  <si>
    <t>列14583</t>
  </si>
  <si>
    <t>列14584</t>
  </si>
  <si>
    <t>列14585</t>
  </si>
  <si>
    <t>列14586</t>
  </si>
  <si>
    <t>列14587</t>
  </si>
  <si>
    <t>列14588</t>
  </si>
  <si>
    <t>列14589</t>
  </si>
  <si>
    <t>列14590</t>
  </si>
  <si>
    <t>列14591</t>
  </si>
  <si>
    <t>列14592</t>
  </si>
  <si>
    <t>列14593</t>
  </si>
  <si>
    <t>列14594</t>
  </si>
  <si>
    <t>列14595</t>
  </si>
  <si>
    <t>列14596</t>
  </si>
  <si>
    <t>列14597</t>
  </si>
  <si>
    <t>列14598</t>
  </si>
  <si>
    <t>列14599</t>
  </si>
  <si>
    <t>列14600</t>
  </si>
  <si>
    <t>列14601</t>
  </si>
  <si>
    <t>列14602</t>
  </si>
  <si>
    <t>列14603</t>
  </si>
  <si>
    <t>列14604</t>
  </si>
  <si>
    <t>列14605</t>
  </si>
  <si>
    <t>列14606</t>
  </si>
  <si>
    <t>列14607</t>
  </si>
  <si>
    <t>列14608</t>
  </si>
  <si>
    <t>列14609</t>
  </si>
  <si>
    <t>列14610</t>
  </si>
  <si>
    <t>列14611</t>
  </si>
  <si>
    <t>列14612</t>
  </si>
  <si>
    <t>列14613</t>
  </si>
  <si>
    <t>列14614</t>
  </si>
  <si>
    <t>列14615</t>
  </si>
  <si>
    <t>列14616</t>
  </si>
  <si>
    <t>列14617</t>
  </si>
  <si>
    <t>列14618</t>
  </si>
  <si>
    <t>列14619</t>
  </si>
  <si>
    <t>列14620</t>
  </si>
  <si>
    <t>列14621</t>
  </si>
  <si>
    <t>列14622</t>
  </si>
  <si>
    <t>列14623</t>
  </si>
  <si>
    <t>列14624</t>
  </si>
  <si>
    <t>列14625</t>
  </si>
  <si>
    <t>列14626</t>
  </si>
  <si>
    <t>列14627</t>
  </si>
  <si>
    <t>列14628</t>
  </si>
  <si>
    <t>列14629</t>
  </si>
  <si>
    <t>列14630</t>
  </si>
  <si>
    <t>列14631</t>
  </si>
  <si>
    <t>列14632</t>
  </si>
  <si>
    <t>列14633</t>
  </si>
  <si>
    <t>列14634</t>
  </si>
  <si>
    <t>列14635</t>
  </si>
  <si>
    <t>列14636</t>
  </si>
  <si>
    <t>列14637</t>
  </si>
  <si>
    <t>列14638</t>
  </si>
  <si>
    <t>列14639</t>
  </si>
  <si>
    <t>列14640</t>
  </si>
  <si>
    <t>列14641</t>
  </si>
  <si>
    <t>列14642</t>
  </si>
  <si>
    <t>列14643</t>
  </si>
  <si>
    <t>列14644</t>
  </si>
  <si>
    <t>列14645</t>
  </si>
  <si>
    <t>列14646</t>
  </si>
  <si>
    <t>列14647</t>
  </si>
  <si>
    <t>列14648</t>
  </si>
  <si>
    <t>列14649</t>
  </si>
  <si>
    <t>列14650</t>
  </si>
  <si>
    <t>列14651</t>
  </si>
  <si>
    <t>列14652</t>
  </si>
  <si>
    <t>列14653</t>
  </si>
  <si>
    <t>列14654</t>
  </si>
  <si>
    <t>列14655</t>
  </si>
  <si>
    <t>列14656</t>
  </si>
  <si>
    <t>列14657</t>
  </si>
  <si>
    <t>列14658</t>
  </si>
  <si>
    <t>列14659</t>
  </si>
  <si>
    <t>列14660</t>
  </si>
  <si>
    <t>列14661</t>
  </si>
  <si>
    <t>列14662</t>
  </si>
  <si>
    <t>列14663</t>
  </si>
  <si>
    <t>列14664</t>
  </si>
  <si>
    <t>列14665</t>
  </si>
  <si>
    <t>列14666</t>
  </si>
  <si>
    <t>列14667</t>
  </si>
  <si>
    <t>列14668</t>
  </si>
  <si>
    <t>列14669</t>
  </si>
  <si>
    <t>列14670</t>
  </si>
  <si>
    <t>列14671</t>
  </si>
  <si>
    <t>列14672</t>
  </si>
  <si>
    <t>列14673</t>
  </si>
  <si>
    <t>列14674</t>
  </si>
  <si>
    <t>列14675</t>
  </si>
  <si>
    <t>列14676</t>
  </si>
  <si>
    <t>列14677</t>
  </si>
  <si>
    <t>列14678</t>
  </si>
  <si>
    <t>列14679</t>
  </si>
  <si>
    <t>列14680</t>
  </si>
  <si>
    <t>列14681</t>
  </si>
  <si>
    <t>列14682</t>
  </si>
  <si>
    <t>列14683</t>
  </si>
  <si>
    <t>列14684</t>
  </si>
  <si>
    <t>列14685</t>
  </si>
  <si>
    <t>列14686</t>
  </si>
  <si>
    <t>列14687</t>
  </si>
  <si>
    <t>列14688</t>
  </si>
  <si>
    <t>列14689</t>
  </si>
  <si>
    <t>列14690</t>
  </si>
  <si>
    <t>列14691</t>
  </si>
  <si>
    <t>列14692</t>
  </si>
  <si>
    <t>列14693</t>
  </si>
  <si>
    <t>列14694</t>
  </si>
  <si>
    <t>列14695</t>
  </si>
  <si>
    <t>列14696</t>
  </si>
  <si>
    <t>列14697</t>
  </si>
  <si>
    <t>列14698</t>
  </si>
  <si>
    <t>列14699</t>
  </si>
  <si>
    <t>列14700</t>
  </si>
  <si>
    <t>列14701</t>
  </si>
  <si>
    <t>列14702</t>
  </si>
  <si>
    <t>列14703</t>
  </si>
  <si>
    <t>列14704</t>
  </si>
  <si>
    <t>列14705</t>
  </si>
  <si>
    <t>列14706</t>
  </si>
  <si>
    <t>列14707</t>
  </si>
  <si>
    <t>列14708</t>
  </si>
  <si>
    <t>列14709</t>
  </si>
  <si>
    <t>列14710</t>
  </si>
  <si>
    <t>列14711</t>
  </si>
  <si>
    <t>列14712</t>
  </si>
  <si>
    <t>列14713</t>
  </si>
  <si>
    <t>列14714</t>
  </si>
  <si>
    <t>列14715</t>
  </si>
  <si>
    <t>列14716</t>
  </si>
  <si>
    <t>列14717</t>
  </si>
  <si>
    <t>列14718</t>
  </si>
  <si>
    <t>列14719</t>
  </si>
  <si>
    <t>列14720</t>
  </si>
  <si>
    <t>列14721</t>
  </si>
  <si>
    <t>列14722</t>
  </si>
  <si>
    <t>列14723</t>
  </si>
  <si>
    <t>列14724</t>
  </si>
  <si>
    <t>列14725</t>
  </si>
  <si>
    <t>列14726</t>
  </si>
  <si>
    <t>列14727</t>
  </si>
  <si>
    <t>列14728</t>
  </si>
  <si>
    <t>列14729</t>
  </si>
  <si>
    <t>列14730</t>
  </si>
  <si>
    <t>列14731</t>
  </si>
  <si>
    <t>列14732</t>
  </si>
  <si>
    <t>列14733</t>
  </si>
  <si>
    <t>列14734</t>
  </si>
  <si>
    <t>列14735</t>
  </si>
  <si>
    <t>列14736</t>
  </si>
  <si>
    <t>列14737</t>
  </si>
  <si>
    <t>列14738</t>
  </si>
  <si>
    <t>列14739</t>
  </si>
  <si>
    <t>列14740</t>
  </si>
  <si>
    <t>列14741</t>
  </si>
  <si>
    <t>列14742</t>
  </si>
  <si>
    <t>列14743</t>
  </si>
  <si>
    <t>列14744</t>
  </si>
  <si>
    <t>列14745</t>
  </si>
  <si>
    <t>列14746</t>
  </si>
  <si>
    <t>列14747</t>
  </si>
  <si>
    <t>列14748</t>
  </si>
  <si>
    <t>列14749</t>
  </si>
  <si>
    <t>列14750</t>
  </si>
  <si>
    <t>列14751</t>
  </si>
  <si>
    <t>列14752</t>
  </si>
  <si>
    <t>列14753</t>
  </si>
  <si>
    <t>列14754</t>
  </si>
  <si>
    <t>列14755</t>
  </si>
  <si>
    <t>列14756</t>
  </si>
  <si>
    <t>列14757</t>
  </si>
  <si>
    <t>列14758</t>
  </si>
  <si>
    <t>列14759</t>
  </si>
  <si>
    <t>列14760</t>
  </si>
  <si>
    <t>列14761</t>
  </si>
  <si>
    <t>列14762</t>
  </si>
  <si>
    <t>列14763</t>
  </si>
  <si>
    <t>列14764</t>
  </si>
  <si>
    <t>列14765</t>
  </si>
  <si>
    <t>列14766</t>
  </si>
  <si>
    <t>列14767</t>
  </si>
  <si>
    <t>列14768</t>
  </si>
  <si>
    <t>列14769</t>
  </si>
  <si>
    <t>列14770</t>
  </si>
  <si>
    <t>列14771</t>
  </si>
  <si>
    <t>列14772</t>
  </si>
  <si>
    <t>列14773</t>
  </si>
  <si>
    <t>列14774</t>
  </si>
  <si>
    <t>列14775</t>
  </si>
  <si>
    <t>列14776</t>
  </si>
  <si>
    <t>列14777</t>
  </si>
  <si>
    <t>列14778</t>
  </si>
  <si>
    <t>列14779</t>
  </si>
  <si>
    <t>列14780</t>
  </si>
  <si>
    <t>列14781</t>
  </si>
  <si>
    <t>列14782</t>
  </si>
  <si>
    <t>列14783</t>
  </si>
  <si>
    <t>列14784</t>
  </si>
  <si>
    <t>列14785</t>
  </si>
  <si>
    <t>列14786</t>
  </si>
  <si>
    <t>列14787</t>
  </si>
  <si>
    <t>列14788</t>
  </si>
  <si>
    <t>列14789</t>
  </si>
  <si>
    <t>列14790</t>
  </si>
  <si>
    <t>列14791</t>
  </si>
  <si>
    <t>列14792</t>
  </si>
  <si>
    <t>列14793</t>
  </si>
  <si>
    <t>列14794</t>
  </si>
  <si>
    <t>列14795</t>
  </si>
  <si>
    <t>列14796</t>
  </si>
  <si>
    <t>列14797</t>
  </si>
  <si>
    <t>列14798</t>
  </si>
  <si>
    <t>列14799</t>
  </si>
  <si>
    <t>列14800</t>
  </si>
  <si>
    <t>列14801</t>
  </si>
  <si>
    <t>列14802</t>
  </si>
  <si>
    <t>列14803</t>
  </si>
  <si>
    <t>列14804</t>
  </si>
  <si>
    <t>列14805</t>
  </si>
  <si>
    <t>列14806</t>
  </si>
  <si>
    <t>列14807</t>
  </si>
  <si>
    <t>列14808</t>
  </si>
  <si>
    <t>列14809</t>
  </si>
  <si>
    <t>列14810</t>
  </si>
  <si>
    <t>列14811</t>
  </si>
  <si>
    <t>列14812</t>
  </si>
  <si>
    <t>列14813</t>
  </si>
  <si>
    <t>列14814</t>
  </si>
  <si>
    <t>列14815</t>
  </si>
  <si>
    <t>列14816</t>
  </si>
  <si>
    <t>列14817</t>
  </si>
  <si>
    <t>列14818</t>
  </si>
  <si>
    <t>列14819</t>
  </si>
  <si>
    <t>列14820</t>
  </si>
  <si>
    <t>列14821</t>
  </si>
  <si>
    <t>列14822</t>
  </si>
  <si>
    <t>列14823</t>
  </si>
  <si>
    <t>列14824</t>
  </si>
  <si>
    <t>列14825</t>
  </si>
  <si>
    <t>列14826</t>
  </si>
  <si>
    <t>列14827</t>
  </si>
  <si>
    <t>列14828</t>
  </si>
  <si>
    <t>列14829</t>
  </si>
  <si>
    <t>列14830</t>
  </si>
  <si>
    <t>列14831</t>
  </si>
  <si>
    <t>列14832</t>
  </si>
  <si>
    <t>列14833</t>
  </si>
  <si>
    <t>列14834</t>
  </si>
  <si>
    <t>列14835</t>
  </si>
  <si>
    <t>列14836</t>
  </si>
  <si>
    <t>列14837</t>
  </si>
  <si>
    <t>列14838</t>
  </si>
  <si>
    <t>列14839</t>
  </si>
  <si>
    <t>列14840</t>
  </si>
  <si>
    <t>列14841</t>
  </si>
  <si>
    <t>列14842</t>
  </si>
  <si>
    <t>列14843</t>
  </si>
  <si>
    <t>列14844</t>
  </si>
  <si>
    <t>列14845</t>
  </si>
  <si>
    <t>列14846</t>
  </si>
  <si>
    <t>列14847</t>
  </si>
  <si>
    <t>列14848</t>
  </si>
  <si>
    <t>列14849</t>
  </si>
  <si>
    <t>列14850</t>
  </si>
  <si>
    <t>列14851</t>
  </si>
  <si>
    <t>列14852</t>
  </si>
  <si>
    <t>列14853</t>
  </si>
  <si>
    <t>列14854</t>
  </si>
  <si>
    <t>列14855</t>
  </si>
  <si>
    <t>列14856</t>
  </si>
  <si>
    <t>列14857</t>
  </si>
  <si>
    <t>列14858</t>
  </si>
  <si>
    <t>列14859</t>
  </si>
  <si>
    <t>列14860</t>
  </si>
  <si>
    <t>列14861</t>
  </si>
  <si>
    <t>列14862</t>
  </si>
  <si>
    <t>列14863</t>
  </si>
  <si>
    <t>列14864</t>
  </si>
  <si>
    <t>列14865</t>
  </si>
  <si>
    <t>列14866</t>
  </si>
  <si>
    <t>列14867</t>
  </si>
  <si>
    <t>列14868</t>
  </si>
  <si>
    <t>列14869</t>
  </si>
  <si>
    <t>列14870</t>
  </si>
  <si>
    <t>列14871</t>
  </si>
  <si>
    <t>列14872</t>
  </si>
  <si>
    <t>列14873</t>
  </si>
  <si>
    <t>列14874</t>
  </si>
  <si>
    <t>列14875</t>
  </si>
  <si>
    <t>列14876</t>
  </si>
  <si>
    <t>列14877</t>
  </si>
  <si>
    <t>列14878</t>
  </si>
  <si>
    <t>列14879</t>
  </si>
  <si>
    <t>列14880</t>
  </si>
  <si>
    <t>列14881</t>
  </si>
  <si>
    <t>列14882</t>
  </si>
  <si>
    <t>列14883</t>
  </si>
  <si>
    <t>列14884</t>
  </si>
  <si>
    <t>列14885</t>
  </si>
  <si>
    <t>列14886</t>
  </si>
  <si>
    <t>列14887</t>
  </si>
  <si>
    <t>列14888</t>
  </si>
  <si>
    <t>列14889</t>
  </si>
  <si>
    <t>列14890</t>
  </si>
  <si>
    <t>列14891</t>
  </si>
  <si>
    <t>列14892</t>
  </si>
  <si>
    <t>列14893</t>
  </si>
  <si>
    <t>列14894</t>
  </si>
  <si>
    <t>列14895</t>
  </si>
  <si>
    <t>列14896</t>
  </si>
  <si>
    <t>列14897</t>
  </si>
  <si>
    <t>列14898</t>
  </si>
  <si>
    <t>列14899</t>
  </si>
  <si>
    <t>列14900</t>
  </si>
  <si>
    <t>列14901</t>
  </si>
  <si>
    <t>列14902</t>
  </si>
  <si>
    <t>列14903</t>
  </si>
  <si>
    <t>列14904</t>
  </si>
  <si>
    <t>列14905</t>
  </si>
  <si>
    <t>列14906</t>
  </si>
  <si>
    <t>列14907</t>
  </si>
  <si>
    <t>列14908</t>
  </si>
  <si>
    <t>列14909</t>
  </si>
  <si>
    <t>列14910</t>
  </si>
  <si>
    <t>列14911</t>
  </si>
  <si>
    <t>列14912</t>
  </si>
  <si>
    <t>列14913</t>
  </si>
  <si>
    <t>列14914</t>
  </si>
  <si>
    <t>列14915</t>
  </si>
  <si>
    <t>列14916</t>
  </si>
  <si>
    <t>列14917</t>
  </si>
  <si>
    <t>列14918</t>
  </si>
  <si>
    <t>列14919</t>
  </si>
  <si>
    <t>列14920</t>
  </si>
  <si>
    <t>列14921</t>
  </si>
  <si>
    <t>列14922</t>
  </si>
  <si>
    <t>列14923</t>
  </si>
  <si>
    <t>列14924</t>
  </si>
  <si>
    <t>列14925</t>
  </si>
  <si>
    <t>列14926</t>
  </si>
  <si>
    <t>列14927</t>
  </si>
  <si>
    <t>列14928</t>
  </si>
  <si>
    <t>列14929</t>
  </si>
  <si>
    <t>列14930</t>
  </si>
  <si>
    <t>列14931</t>
  </si>
  <si>
    <t>列14932</t>
  </si>
  <si>
    <t>列14933</t>
  </si>
  <si>
    <t>列14934</t>
  </si>
  <si>
    <t>列14935</t>
  </si>
  <si>
    <t>列14936</t>
  </si>
  <si>
    <t>列14937</t>
  </si>
  <si>
    <t>列14938</t>
  </si>
  <si>
    <t>列14939</t>
  </si>
  <si>
    <t>列14940</t>
  </si>
  <si>
    <t>列14941</t>
  </si>
  <si>
    <t>列14942</t>
  </si>
  <si>
    <t>列14943</t>
  </si>
  <si>
    <t>列14944</t>
  </si>
  <si>
    <t>列14945</t>
  </si>
  <si>
    <t>列14946</t>
  </si>
  <si>
    <t>列14947</t>
  </si>
  <si>
    <t>列14948</t>
  </si>
  <si>
    <t>列14949</t>
  </si>
  <si>
    <t>列14950</t>
  </si>
  <si>
    <t>列14951</t>
  </si>
  <si>
    <t>列14952</t>
  </si>
  <si>
    <t>列14953</t>
  </si>
  <si>
    <t>列14954</t>
  </si>
  <si>
    <t>列14955</t>
  </si>
  <si>
    <t>列14956</t>
  </si>
  <si>
    <t>列14957</t>
  </si>
  <si>
    <t>列14958</t>
  </si>
  <si>
    <t>列14959</t>
  </si>
  <si>
    <t>列14960</t>
  </si>
  <si>
    <t>列14961</t>
  </si>
  <si>
    <t>列14962</t>
  </si>
  <si>
    <t>列14963</t>
  </si>
  <si>
    <t>列14964</t>
  </si>
  <si>
    <t>列14965</t>
  </si>
  <si>
    <t>列14966</t>
  </si>
  <si>
    <t>列14967</t>
  </si>
  <si>
    <t>列14968</t>
  </si>
  <si>
    <t>列14969</t>
  </si>
  <si>
    <t>列14970</t>
  </si>
  <si>
    <t>列14971</t>
  </si>
  <si>
    <t>列14972</t>
  </si>
  <si>
    <t>列14973</t>
  </si>
  <si>
    <t>列14974</t>
  </si>
  <si>
    <t>列14975</t>
  </si>
  <si>
    <t>列14976</t>
  </si>
  <si>
    <t>列14977</t>
  </si>
  <si>
    <t>列14978</t>
  </si>
  <si>
    <t>列14979</t>
  </si>
  <si>
    <t>列14980</t>
  </si>
  <si>
    <t>列14981</t>
  </si>
  <si>
    <t>列14982</t>
  </si>
  <si>
    <t>列14983</t>
  </si>
  <si>
    <t>列14984</t>
  </si>
  <si>
    <t>列14985</t>
  </si>
  <si>
    <t>列14986</t>
  </si>
  <si>
    <t>列14987</t>
  </si>
  <si>
    <t>列14988</t>
  </si>
  <si>
    <t>列14989</t>
  </si>
  <si>
    <t>列14990</t>
  </si>
  <si>
    <t>列14991</t>
  </si>
  <si>
    <t>列14992</t>
  </si>
  <si>
    <t>列14993</t>
  </si>
  <si>
    <t>列14994</t>
  </si>
  <si>
    <t>列14995</t>
  </si>
  <si>
    <t>列14996</t>
  </si>
  <si>
    <t>列14997</t>
  </si>
  <si>
    <t>列14998</t>
  </si>
  <si>
    <t>列14999</t>
  </si>
  <si>
    <t>列15000</t>
  </si>
  <si>
    <t>列15001</t>
  </si>
  <si>
    <t>列15002</t>
  </si>
  <si>
    <t>列15003</t>
  </si>
  <si>
    <t>列15004</t>
  </si>
  <si>
    <t>列15005</t>
  </si>
  <si>
    <t>列15006</t>
  </si>
  <si>
    <t>列15007</t>
  </si>
  <si>
    <t>列15008</t>
  </si>
  <si>
    <t>列15009</t>
  </si>
  <si>
    <t>列15010</t>
  </si>
  <si>
    <t>列15011</t>
  </si>
  <si>
    <t>列15012</t>
  </si>
  <si>
    <t>列15013</t>
  </si>
  <si>
    <t>列15014</t>
  </si>
  <si>
    <t>列15015</t>
  </si>
  <si>
    <t>列15016</t>
  </si>
  <si>
    <t>列15017</t>
  </si>
  <si>
    <t>列15018</t>
  </si>
  <si>
    <t>列15019</t>
  </si>
  <si>
    <t>列15020</t>
  </si>
  <si>
    <t>列15021</t>
  </si>
  <si>
    <t>列15022</t>
  </si>
  <si>
    <t>列15023</t>
  </si>
  <si>
    <t>列15024</t>
  </si>
  <si>
    <t>列15025</t>
  </si>
  <si>
    <t>列15026</t>
  </si>
  <si>
    <t>列15027</t>
  </si>
  <si>
    <t>列15028</t>
  </si>
  <si>
    <t>列15029</t>
  </si>
  <si>
    <t>列15030</t>
  </si>
  <si>
    <t>列15031</t>
  </si>
  <si>
    <t>列15032</t>
  </si>
  <si>
    <t>列15033</t>
  </si>
  <si>
    <t>列15034</t>
  </si>
  <si>
    <t>列15035</t>
  </si>
  <si>
    <t>列15036</t>
  </si>
  <si>
    <t>列15037</t>
  </si>
  <si>
    <t>列15038</t>
  </si>
  <si>
    <t>列15039</t>
  </si>
  <si>
    <t>列15040</t>
  </si>
  <si>
    <t>列15041</t>
  </si>
  <si>
    <t>列15042</t>
  </si>
  <si>
    <t>列15043</t>
  </si>
  <si>
    <t>列15044</t>
  </si>
  <si>
    <t>列15045</t>
  </si>
  <si>
    <t>列15046</t>
  </si>
  <si>
    <t>列15047</t>
  </si>
  <si>
    <t>列15048</t>
  </si>
  <si>
    <t>列15049</t>
  </si>
  <si>
    <t>列15050</t>
  </si>
  <si>
    <t>列15051</t>
  </si>
  <si>
    <t>列15052</t>
  </si>
  <si>
    <t>列15053</t>
  </si>
  <si>
    <t>列15054</t>
  </si>
  <si>
    <t>列15055</t>
  </si>
  <si>
    <t>列15056</t>
  </si>
  <si>
    <t>列15057</t>
  </si>
  <si>
    <t>列15058</t>
  </si>
  <si>
    <t>列15059</t>
  </si>
  <si>
    <t>列15060</t>
  </si>
  <si>
    <t>列15061</t>
  </si>
  <si>
    <t>列15062</t>
  </si>
  <si>
    <t>列15063</t>
  </si>
  <si>
    <t>列15064</t>
  </si>
  <si>
    <t>列15065</t>
  </si>
  <si>
    <t>列15066</t>
  </si>
  <si>
    <t>列15067</t>
  </si>
  <si>
    <t>列15068</t>
  </si>
  <si>
    <t>列15069</t>
  </si>
  <si>
    <t>列15070</t>
  </si>
  <si>
    <t>列15071</t>
  </si>
  <si>
    <t>列15072</t>
  </si>
  <si>
    <t>列15073</t>
  </si>
  <si>
    <t>列15074</t>
  </si>
  <si>
    <t>列15075</t>
  </si>
  <si>
    <t>列15076</t>
  </si>
  <si>
    <t>列15077</t>
  </si>
  <si>
    <t>列15078</t>
  </si>
  <si>
    <t>列15079</t>
  </si>
  <si>
    <t>列15080</t>
  </si>
  <si>
    <t>列15081</t>
  </si>
  <si>
    <t>列15082</t>
  </si>
  <si>
    <t>列15083</t>
  </si>
  <si>
    <t>列15084</t>
  </si>
  <si>
    <t>列15085</t>
  </si>
  <si>
    <t>列15086</t>
  </si>
  <si>
    <t>列15087</t>
  </si>
  <si>
    <t>列15088</t>
  </si>
  <si>
    <t>列15089</t>
  </si>
  <si>
    <t>列15090</t>
  </si>
  <si>
    <t>列15091</t>
  </si>
  <si>
    <t>列15092</t>
  </si>
  <si>
    <t>列15093</t>
  </si>
  <si>
    <t>列15094</t>
  </si>
  <si>
    <t>列15095</t>
  </si>
  <si>
    <t>列15096</t>
  </si>
  <si>
    <t>列15097</t>
  </si>
  <si>
    <t>列15098</t>
  </si>
  <si>
    <t>列15099</t>
  </si>
  <si>
    <t>列15100</t>
  </si>
  <si>
    <t>列15101</t>
  </si>
  <si>
    <t>列15102</t>
  </si>
  <si>
    <t>列15103</t>
  </si>
  <si>
    <t>列15104</t>
  </si>
  <si>
    <t>列15105</t>
  </si>
  <si>
    <t>列15106</t>
  </si>
  <si>
    <t>列15107</t>
  </si>
  <si>
    <t>列15108</t>
  </si>
  <si>
    <t>列15109</t>
  </si>
  <si>
    <t>列15110</t>
  </si>
  <si>
    <t>列15111</t>
  </si>
  <si>
    <t>列15112</t>
  </si>
  <si>
    <t>列15113</t>
  </si>
  <si>
    <t>列15114</t>
  </si>
  <si>
    <t>列15115</t>
  </si>
  <si>
    <t>列15116</t>
  </si>
  <si>
    <t>列15117</t>
  </si>
  <si>
    <t>列15118</t>
  </si>
  <si>
    <t>列15119</t>
  </si>
  <si>
    <t>列15120</t>
  </si>
  <si>
    <t>列15121</t>
  </si>
  <si>
    <t>列15122</t>
  </si>
  <si>
    <t>列15123</t>
  </si>
  <si>
    <t>列15124</t>
  </si>
  <si>
    <t>列15125</t>
  </si>
  <si>
    <t>列15126</t>
  </si>
  <si>
    <t>列15127</t>
  </si>
  <si>
    <t>列15128</t>
  </si>
  <si>
    <t>列15129</t>
  </si>
  <si>
    <t>列15130</t>
  </si>
  <si>
    <t>列15131</t>
  </si>
  <si>
    <t>列15132</t>
  </si>
  <si>
    <t>列15133</t>
  </si>
  <si>
    <t>列15134</t>
  </si>
  <si>
    <t>列15135</t>
  </si>
  <si>
    <t>列15136</t>
  </si>
  <si>
    <t>列15137</t>
  </si>
  <si>
    <t>列15138</t>
  </si>
  <si>
    <t>列15139</t>
  </si>
  <si>
    <t>列15140</t>
  </si>
  <si>
    <t>列15141</t>
  </si>
  <si>
    <t>列15142</t>
  </si>
  <si>
    <t>列15143</t>
  </si>
  <si>
    <t>列15144</t>
  </si>
  <si>
    <t>列15145</t>
  </si>
  <si>
    <t>列15146</t>
  </si>
  <si>
    <t>列15147</t>
  </si>
  <si>
    <t>列15148</t>
  </si>
  <si>
    <t>列15149</t>
  </si>
  <si>
    <t>列15150</t>
  </si>
  <si>
    <t>列15151</t>
  </si>
  <si>
    <t>列15152</t>
  </si>
  <si>
    <t>列15153</t>
  </si>
  <si>
    <t>列15154</t>
  </si>
  <si>
    <t>列15155</t>
  </si>
  <si>
    <t>列15156</t>
  </si>
  <si>
    <t>列15157</t>
  </si>
  <si>
    <t>列15158</t>
  </si>
  <si>
    <t>列15159</t>
  </si>
  <si>
    <t>列15160</t>
  </si>
  <si>
    <t>列15161</t>
  </si>
  <si>
    <t>列15162</t>
  </si>
  <si>
    <t>列15163</t>
  </si>
  <si>
    <t>列15164</t>
  </si>
  <si>
    <t>列15165</t>
  </si>
  <si>
    <t>列15166</t>
  </si>
  <si>
    <t>列15167</t>
  </si>
  <si>
    <t>列15168</t>
  </si>
  <si>
    <t>列15169</t>
  </si>
  <si>
    <t>列15170</t>
  </si>
  <si>
    <t>列15171</t>
  </si>
  <si>
    <t>列15172</t>
  </si>
  <si>
    <t>列15173</t>
  </si>
  <si>
    <t>列15174</t>
  </si>
  <si>
    <t>列15175</t>
  </si>
  <si>
    <t>列15176</t>
  </si>
  <si>
    <t>列15177</t>
  </si>
  <si>
    <t>列15178</t>
  </si>
  <si>
    <t>列15179</t>
  </si>
  <si>
    <t>列15180</t>
  </si>
  <si>
    <t>列15181</t>
  </si>
  <si>
    <t>列15182</t>
  </si>
  <si>
    <t>列15183</t>
  </si>
  <si>
    <t>列15184</t>
  </si>
  <si>
    <t>列15185</t>
  </si>
  <si>
    <t>列15186</t>
  </si>
  <si>
    <t>列15187</t>
  </si>
  <si>
    <t>列15188</t>
  </si>
  <si>
    <t>列15189</t>
  </si>
  <si>
    <t>列15190</t>
  </si>
  <si>
    <t>列15191</t>
  </si>
  <si>
    <t>列15192</t>
  </si>
  <si>
    <t>列15193</t>
  </si>
  <si>
    <t>列15194</t>
  </si>
  <si>
    <t>列15195</t>
  </si>
  <si>
    <t>列15196</t>
  </si>
  <si>
    <t>列15197</t>
  </si>
  <si>
    <t>列15198</t>
  </si>
  <si>
    <t>列15199</t>
  </si>
  <si>
    <t>列15200</t>
  </si>
  <si>
    <t>列15201</t>
  </si>
  <si>
    <t>列15202</t>
  </si>
  <si>
    <t>列15203</t>
  </si>
  <si>
    <t>列15204</t>
  </si>
  <si>
    <t>列15205</t>
  </si>
  <si>
    <t>列15206</t>
  </si>
  <si>
    <t>列15207</t>
  </si>
  <si>
    <t>列15208</t>
  </si>
  <si>
    <t>列15209</t>
  </si>
  <si>
    <t>列15210</t>
  </si>
  <si>
    <t>列15211</t>
  </si>
  <si>
    <t>列15212</t>
  </si>
  <si>
    <t>列15213</t>
  </si>
  <si>
    <t>列15214</t>
  </si>
  <si>
    <t>列15215</t>
  </si>
  <si>
    <t>列15216</t>
  </si>
  <si>
    <t>列15217</t>
  </si>
  <si>
    <t>列15218</t>
  </si>
  <si>
    <t>列15219</t>
  </si>
  <si>
    <t>列15220</t>
  </si>
  <si>
    <t>列15221</t>
  </si>
  <si>
    <t>列15222</t>
  </si>
  <si>
    <t>列15223</t>
  </si>
  <si>
    <t>列15224</t>
  </si>
  <si>
    <t>列15225</t>
  </si>
  <si>
    <t>列15226</t>
  </si>
  <si>
    <t>列15227</t>
  </si>
  <si>
    <t>列15228</t>
  </si>
  <si>
    <t>列15229</t>
  </si>
  <si>
    <t>列15230</t>
  </si>
  <si>
    <t>列15231</t>
  </si>
  <si>
    <t>列15232</t>
  </si>
  <si>
    <t>列15233</t>
  </si>
  <si>
    <t>列15234</t>
  </si>
  <si>
    <t>列15235</t>
  </si>
  <si>
    <t>列15236</t>
  </si>
  <si>
    <t>列15237</t>
  </si>
  <si>
    <t>列15238</t>
  </si>
  <si>
    <t>列15239</t>
  </si>
  <si>
    <t>列15240</t>
  </si>
  <si>
    <t>列15241</t>
  </si>
  <si>
    <t>列15242</t>
  </si>
  <si>
    <t>列15243</t>
  </si>
  <si>
    <t>列15244</t>
  </si>
  <si>
    <t>列15245</t>
  </si>
  <si>
    <t>列15246</t>
  </si>
  <si>
    <t>列15247</t>
  </si>
  <si>
    <t>列15248</t>
  </si>
  <si>
    <t>列15249</t>
  </si>
  <si>
    <t>列15250</t>
  </si>
  <si>
    <t>列15251</t>
  </si>
  <si>
    <t>列15252</t>
  </si>
  <si>
    <t>列15253</t>
  </si>
  <si>
    <t>列15254</t>
  </si>
  <si>
    <t>列15255</t>
  </si>
  <si>
    <t>列15256</t>
  </si>
  <si>
    <t>列15257</t>
  </si>
  <si>
    <t>列15258</t>
  </si>
  <si>
    <t>列15259</t>
  </si>
  <si>
    <t>列15260</t>
  </si>
  <si>
    <t>列15261</t>
  </si>
  <si>
    <t>列15262</t>
  </si>
  <si>
    <t>列15263</t>
  </si>
  <si>
    <t>列15264</t>
  </si>
  <si>
    <t>列15265</t>
  </si>
  <si>
    <t>列15266</t>
  </si>
  <si>
    <t>列15267</t>
  </si>
  <si>
    <t>列15268</t>
  </si>
  <si>
    <t>列15269</t>
  </si>
  <si>
    <t>列15270</t>
  </si>
  <si>
    <t>列15271</t>
  </si>
  <si>
    <t>列15272</t>
  </si>
  <si>
    <t>列15273</t>
  </si>
  <si>
    <t>列15274</t>
  </si>
  <si>
    <t>列15275</t>
  </si>
  <si>
    <t>列15276</t>
  </si>
  <si>
    <t>列15277</t>
  </si>
  <si>
    <t>列15278</t>
  </si>
  <si>
    <t>列15279</t>
  </si>
  <si>
    <t>列15280</t>
  </si>
  <si>
    <t>列15281</t>
  </si>
  <si>
    <t>列15282</t>
  </si>
  <si>
    <t>列15283</t>
  </si>
  <si>
    <t>列15284</t>
  </si>
  <si>
    <t>列15285</t>
  </si>
  <si>
    <t>列15286</t>
  </si>
  <si>
    <t>列15287</t>
  </si>
  <si>
    <t>列15288</t>
  </si>
  <si>
    <t>列15289</t>
  </si>
  <si>
    <t>列15290</t>
  </si>
  <si>
    <t>列15291</t>
  </si>
  <si>
    <t>列15292</t>
  </si>
  <si>
    <t>列15293</t>
  </si>
  <si>
    <t>列15294</t>
  </si>
  <si>
    <t>列15295</t>
  </si>
  <si>
    <t>列15296</t>
  </si>
  <si>
    <t>列15297</t>
  </si>
  <si>
    <t>列15298</t>
  </si>
  <si>
    <t>列15299</t>
  </si>
  <si>
    <t>列15300</t>
  </si>
  <si>
    <t>列15301</t>
  </si>
  <si>
    <t>列15302</t>
  </si>
  <si>
    <t>列15303</t>
  </si>
  <si>
    <t>列15304</t>
  </si>
  <si>
    <t>列15305</t>
  </si>
  <si>
    <t>列15306</t>
  </si>
  <si>
    <t>列15307</t>
  </si>
  <si>
    <t>列15308</t>
  </si>
  <si>
    <t>列15309</t>
  </si>
  <si>
    <t>列15310</t>
  </si>
  <si>
    <t>列15311</t>
  </si>
  <si>
    <t>列15312</t>
  </si>
  <si>
    <t>列15313</t>
  </si>
  <si>
    <t>列15314</t>
  </si>
  <si>
    <t>列15315</t>
  </si>
  <si>
    <t>列15316</t>
  </si>
  <si>
    <t>列15317</t>
  </si>
  <si>
    <t>列15318</t>
  </si>
  <si>
    <t>列15319</t>
  </si>
  <si>
    <t>列15320</t>
  </si>
  <si>
    <t>列15321</t>
  </si>
  <si>
    <t>列15322</t>
  </si>
  <si>
    <t>列15323</t>
  </si>
  <si>
    <t>列15324</t>
  </si>
  <si>
    <t>列15325</t>
  </si>
  <si>
    <t>列15326</t>
  </si>
  <si>
    <t>列15327</t>
  </si>
  <si>
    <t>列15328</t>
  </si>
  <si>
    <t>列15329</t>
  </si>
  <si>
    <t>列15330</t>
  </si>
  <si>
    <t>列15331</t>
  </si>
  <si>
    <t>列15332</t>
  </si>
  <si>
    <t>列15333</t>
  </si>
  <si>
    <t>列15334</t>
  </si>
  <si>
    <t>列15335</t>
  </si>
  <si>
    <t>列15336</t>
  </si>
  <si>
    <t>列15337</t>
  </si>
  <si>
    <t>列15338</t>
  </si>
  <si>
    <t>列15339</t>
  </si>
  <si>
    <t>列15340</t>
  </si>
  <si>
    <t>列15341</t>
  </si>
  <si>
    <t>列15342</t>
  </si>
  <si>
    <t>列15343</t>
  </si>
  <si>
    <t>列15344</t>
  </si>
  <si>
    <t>列15345</t>
  </si>
  <si>
    <t>列15346</t>
  </si>
  <si>
    <t>列15347</t>
  </si>
  <si>
    <t>列15348</t>
  </si>
  <si>
    <t>列15349</t>
  </si>
  <si>
    <t>列15350</t>
  </si>
  <si>
    <t>列15351</t>
  </si>
  <si>
    <t>列15352</t>
  </si>
  <si>
    <t>列15353</t>
  </si>
  <si>
    <t>列15354</t>
  </si>
  <si>
    <t>列15355</t>
  </si>
  <si>
    <t>列15356</t>
  </si>
  <si>
    <t>列15357</t>
  </si>
  <si>
    <t>列15358</t>
  </si>
  <si>
    <t>列15359</t>
  </si>
  <si>
    <t>列15360</t>
  </si>
  <si>
    <t>列15361</t>
  </si>
  <si>
    <t>列15362</t>
  </si>
  <si>
    <t>列15363</t>
  </si>
  <si>
    <t>列15364</t>
  </si>
  <si>
    <t>列15365</t>
  </si>
  <si>
    <t>列15366</t>
  </si>
  <si>
    <t>列15367</t>
  </si>
  <si>
    <t>列15368</t>
  </si>
  <si>
    <t>列15369</t>
  </si>
  <si>
    <t>列15370</t>
  </si>
  <si>
    <t>列15371</t>
  </si>
  <si>
    <t>列15372</t>
  </si>
  <si>
    <t>列15373</t>
  </si>
  <si>
    <t>列15374</t>
  </si>
  <si>
    <t>列15375</t>
  </si>
  <si>
    <t>列15376</t>
  </si>
  <si>
    <t>列15377</t>
  </si>
  <si>
    <t>列15378</t>
  </si>
  <si>
    <t>列15379</t>
  </si>
  <si>
    <t>列15380</t>
  </si>
  <si>
    <t>列15381</t>
  </si>
  <si>
    <t>列15382</t>
  </si>
  <si>
    <t>列15383</t>
  </si>
  <si>
    <t>列15384</t>
  </si>
  <si>
    <t>列15385</t>
  </si>
  <si>
    <t>列15386</t>
  </si>
  <si>
    <t>列15387</t>
  </si>
  <si>
    <t>列15388</t>
  </si>
  <si>
    <t>列15389</t>
  </si>
  <si>
    <t>列15390</t>
  </si>
  <si>
    <t>列15391</t>
  </si>
  <si>
    <t>列15392</t>
  </si>
  <si>
    <t>列15393</t>
  </si>
  <si>
    <t>列15394</t>
  </si>
  <si>
    <t>列15395</t>
  </si>
  <si>
    <t>列15396</t>
  </si>
  <si>
    <t>列15397</t>
  </si>
  <si>
    <t>列15398</t>
  </si>
  <si>
    <t>列15399</t>
  </si>
  <si>
    <t>列15400</t>
  </si>
  <si>
    <t>列15401</t>
  </si>
  <si>
    <t>列15402</t>
  </si>
  <si>
    <t>列15403</t>
  </si>
  <si>
    <t>列15404</t>
  </si>
  <si>
    <t>列15405</t>
  </si>
  <si>
    <t>列15406</t>
  </si>
  <si>
    <t>列15407</t>
  </si>
  <si>
    <t>列15408</t>
  </si>
  <si>
    <t>列15409</t>
  </si>
  <si>
    <t>列15410</t>
  </si>
  <si>
    <t>列15411</t>
  </si>
  <si>
    <t>列15412</t>
  </si>
  <si>
    <t>列15413</t>
  </si>
  <si>
    <t>列15414</t>
  </si>
  <si>
    <t>列15415</t>
  </si>
  <si>
    <t>列15416</t>
  </si>
  <si>
    <t>列15417</t>
  </si>
  <si>
    <t>列15418</t>
  </si>
  <si>
    <t>列15419</t>
  </si>
  <si>
    <t>列15420</t>
  </si>
  <si>
    <t>列15421</t>
  </si>
  <si>
    <t>列15422</t>
  </si>
  <si>
    <t>列15423</t>
  </si>
  <si>
    <t>列15424</t>
  </si>
  <si>
    <t>列15425</t>
  </si>
  <si>
    <t>列15426</t>
  </si>
  <si>
    <t>列15427</t>
  </si>
  <si>
    <t>列15428</t>
  </si>
  <si>
    <t>列15429</t>
  </si>
  <si>
    <t>列15430</t>
  </si>
  <si>
    <t>列15431</t>
  </si>
  <si>
    <t>列15432</t>
  </si>
  <si>
    <t>列15433</t>
  </si>
  <si>
    <t>列15434</t>
  </si>
  <si>
    <t>列15435</t>
  </si>
  <si>
    <t>列15436</t>
  </si>
  <si>
    <t>列15437</t>
  </si>
  <si>
    <t>列15438</t>
  </si>
  <si>
    <t>列15439</t>
  </si>
  <si>
    <t>列15440</t>
  </si>
  <si>
    <t>列15441</t>
  </si>
  <si>
    <t>列15442</t>
  </si>
  <si>
    <t>列15443</t>
  </si>
  <si>
    <t>列15444</t>
  </si>
  <si>
    <t>列15445</t>
  </si>
  <si>
    <t>列15446</t>
  </si>
  <si>
    <t>列15447</t>
  </si>
  <si>
    <t>列15448</t>
  </si>
  <si>
    <t>列15449</t>
  </si>
  <si>
    <t>列15450</t>
  </si>
  <si>
    <t>列15451</t>
  </si>
  <si>
    <t>列15452</t>
  </si>
  <si>
    <t>列15453</t>
  </si>
  <si>
    <t>列15454</t>
  </si>
  <si>
    <t>列15455</t>
  </si>
  <si>
    <t>列15456</t>
  </si>
  <si>
    <t>列15457</t>
  </si>
  <si>
    <t>列15458</t>
  </si>
  <si>
    <t>列15459</t>
  </si>
  <si>
    <t>列15460</t>
  </si>
  <si>
    <t>列15461</t>
  </si>
  <si>
    <t>列15462</t>
  </si>
  <si>
    <t>列15463</t>
  </si>
  <si>
    <t>列15464</t>
  </si>
  <si>
    <t>列15465</t>
  </si>
  <si>
    <t>列15466</t>
  </si>
  <si>
    <t>列15467</t>
  </si>
  <si>
    <t>列15468</t>
  </si>
  <si>
    <t>列15469</t>
  </si>
  <si>
    <t>列15470</t>
  </si>
  <si>
    <t>列15471</t>
  </si>
  <si>
    <t>列15472</t>
  </si>
  <si>
    <t>列15473</t>
  </si>
  <si>
    <t>列15474</t>
  </si>
  <si>
    <t>列15475</t>
  </si>
  <si>
    <t>列15476</t>
  </si>
  <si>
    <t>列15477</t>
  </si>
  <si>
    <t>列15478</t>
  </si>
  <si>
    <t>列15479</t>
  </si>
  <si>
    <t>列15480</t>
  </si>
  <si>
    <t>列15481</t>
  </si>
  <si>
    <t>列15482</t>
  </si>
  <si>
    <t>列15483</t>
  </si>
  <si>
    <t>列15484</t>
  </si>
  <si>
    <t>列15485</t>
  </si>
  <si>
    <t>列15486</t>
  </si>
  <si>
    <t>列15487</t>
  </si>
  <si>
    <t>列15488</t>
  </si>
  <si>
    <t>列15489</t>
  </si>
  <si>
    <t>列15490</t>
  </si>
  <si>
    <t>列15491</t>
  </si>
  <si>
    <t>列15492</t>
  </si>
  <si>
    <t>列15493</t>
  </si>
  <si>
    <t>列15494</t>
  </si>
  <si>
    <t>列15495</t>
  </si>
  <si>
    <t>列15496</t>
  </si>
  <si>
    <t>列15497</t>
  </si>
  <si>
    <t>列15498</t>
  </si>
  <si>
    <t>列15499</t>
  </si>
  <si>
    <t>列15500</t>
  </si>
  <si>
    <t>列15501</t>
  </si>
  <si>
    <t>列15502</t>
  </si>
  <si>
    <t>列15503</t>
  </si>
  <si>
    <t>列15504</t>
  </si>
  <si>
    <t>列15505</t>
  </si>
  <si>
    <t>列15506</t>
  </si>
  <si>
    <t>列15507</t>
  </si>
  <si>
    <t>列15508</t>
  </si>
  <si>
    <t>列15509</t>
  </si>
  <si>
    <t>列15510</t>
  </si>
  <si>
    <t>列15511</t>
  </si>
  <si>
    <t>列15512</t>
  </si>
  <si>
    <t>列15513</t>
  </si>
  <si>
    <t>列15514</t>
  </si>
  <si>
    <t>列15515</t>
  </si>
  <si>
    <t>列15516</t>
  </si>
  <si>
    <t>列15517</t>
  </si>
  <si>
    <t>列15518</t>
  </si>
  <si>
    <t>列15519</t>
  </si>
  <si>
    <t>列15520</t>
  </si>
  <si>
    <t>列15521</t>
  </si>
  <si>
    <t>列15522</t>
  </si>
  <si>
    <t>列15523</t>
  </si>
  <si>
    <t>列15524</t>
  </si>
  <si>
    <t>列15525</t>
  </si>
  <si>
    <t>列15526</t>
  </si>
  <si>
    <t>列15527</t>
  </si>
  <si>
    <t>列15528</t>
  </si>
  <si>
    <t>列15529</t>
  </si>
  <si>
    <t>列15530</t>
  </si>
  <si>
    <t>列15531</t>
  </si>
  <si>
    <t>列15532</t>
  </si>
  <si>
    <t>列15533</t>
  </si>
  <si>
    <t>列15534</t>
  </si>
  <si>
    <t>列15535</t>
  </si>
  <si>
    <t>列15536</t>
  </si>
  <si>
    <t>列15537</t>
  </si>
  <si>
    <t>列15538</t>
  </si>
  <si>
    <t>列15539</t>
  </si>
  <si>
    <t>列15540</t>
  </si>
  <si>
    <t>列15541</t>
  </si>
  <si>
    <t>列15542</t>
  </si>
  <si>
    <t>列15543</t>
  </si>
  <si>
    <t>列15544</t>
  </si>
  <si>
    <t>列15545</t>
  </si>
  <si>
    <t>列15546</t>
  </si>
  <si>
    <t>列15547</t>
  </si>
  <si>
    <t>列15548</t>
  </si>
  <si>
    <t>列15549</t>
  </si>
  <si>
    <t>列15550</t>
  </si>
  <si>
    <t>列15551</t>
  </si>
  <si>
    <t>列15552</t>
  </si>
  <si>
    <t>列15553</t>
  </si>
  <si>
    <t>列15554</t>
  </si>
  <si>
    <t>列15555</t>
  </si>
  <si>
    <t>列15556</t>
  </si>
  <si>
    <t>列15557</t>
  </si>
  <si>
    <t>列15558</t>
  </si>
  <si>
    <t>列15559</t>
  </si>
  <si>
    <t>列15560</t>
  </si>
  <si>
    <t>列15561</t>
  </si>
  <si>
    <t>列15562</t>
  </si>
  <si>
    <t>列15563</t>
  </si>
  <si>
    <t>列15564</t>
  </si>
  <si>
    <t>列15565</t>
  </si>
  <si>
    <t>列15566</t>
  </si>
  <si>
    <t>列15567</t>
  </si>
  <si>
    <t>列15568</t>
  </si>
  <si>
    <t>列15569</t>
  </si>
  <si>
    <t>列15570</t>
  </si>
  <si>
    <t>列15571</t>
  </si>
  <si>
    <t>列15572</t>
  </si>
  <si>
    <t>列15573</t>
  </si>
  <si>
    <t>列15574</t>
  </si>
  <si>
    <t>列15575</t>
  </si>
  <si>
    <t>列15576</t>
  </si>
  <si>
    <t>列15577</t>
  </si>
  <si>
    <t>列15578</t>
  </si>
  <si>
    <t>列15579</t>
  </si>
  <si>
    <t>列15580</t>
  </si>
  <si>
    <t>列15581</t>
  </si>
  <si>
    <t>列15582</t>
  </si>
  <si>
    <t>列15583</t>
  </si>
  <si>
    <t>列15584</t>
  </si>
  <si>
    <t>列15585</t>
  </si>
  <si>
    <t>列15586</t>
  </si>
  <si>
    <t>列15587</t>
  </si>
  <si>
    <t>列15588</t>
  </si>
  <si>
    <t>列15589</t>
  </si>
  <si>
    <t>列15590</t>
  </si>
  <si>
    <t>列15591</t>
  </si>
  <si>
    <t>列15592</t>
  </si>
  <si>
    <t>列15593</t>
  </si>
  <si>
    <t>列15594</t>
  </si>
  <si>
    <t>列15595</t>
  </si>
  <si>
    <t>列15596</t>
  </si>
  <si>
    <t>列15597</t>
  </si>
  <si>
    <t>列15598</t>
  </si>
  <si>
    <t>列15599</t>
  </si>
  <si>
    <t>列15600</t>
  </si>
  <si>
    <t>列15601</t>
  </si>
  <si>
    <t>列15602</t>
  </si>
  <si>
    <t>列15603</t>
  </si>
  <si>
    <t>列15604</t>
  </si>
  <si>
    <t>列15605</t>
  </si>
  <si>
    <t>列15606</t>
  </si>
  <si>
    <t>列15607</t>
  </si>
  <si>
    <t>列15608</t>
  </si>
  <si>
    <t>列15609</t>
  </si>
  <si>
    <t>列15610</t>
  </si>
  <si>
    <t>列15611</t>
  </si>
  <si>
    <t>列15612</t>
  </si>
  <si>
    <t>列15613</t>
  </si>
  <si>
    <t>列15614</t>
  </si>
  <si>
    <t>列15615</t>
  </si>
  <si>
    <t>列15616</t>
  </si>
  <si>
    <t>列15617</t>
  </si>
  <si>
    <t>列15618</t>
  </si>
  <si>
    <t>列15619</t>
  </si>
  <si>
    <t>列15620</t>
  </si>
  <si>
    <t>列15621</t>
  </si>
  <si>
    <t>列15622</t>
  </si>
  <si>
    <t>列15623</t>
  </si>
  <si>
    <t>列15624</t>
  </si>
  <si>
    <t>列15625</t>
  </si>
  <si>
    <t>列15626</t>
  </si>
  <si>
    <t>列15627</t>
  </si>
  <si>
    <t>列15628</t>
  </si>
  <si>
    <t>列15629</t>
  </si>
  <si>
    <t>列15630</t>
  </si>
  <si>
    <t>列15631</t>
  </si>
  <si>
    <t>列15632</t>
  </si>
  <si>
    <t>列15633</t>
  </si>
  <si>
    <t>列15634</t>
  </si>
  <si>
    <t>列15635</t>
  </si>
  <si>
    <t>列15636</t>
  </si>
  <si>
    <t>列15637</t>
  </si>
  <si>
    <t>列15638</t>
  </si>
  <si>
    <t>列15639</t>
  </si>
  <si>
    <t>列15640</t>
  </si>
  <si>
    <t>列15641</t>
  </si>
  <si>
    <t>列15642</t>
  </si>
  <si>
    <t>列15643</t>
  </si>
  <si>
    <t>列15644</t>
  </si>
  <si>
    <t>列15645</t>
  </si>
  <si>
    <t>列15646</t>
  </si>
  <si>
    <t>列15647</t>
  </si>
  <si>
    <t>列15648</t>
  </si>
  <si>
    <t>列15649</t>
  </si>
  <si>
    <t>列15650</t>
  </si>
  <si>
    <t>列15651</t>
  </si>
  <si>
    <t>列15652</t>
  </si>
  <si>
    <t>列15653</t>
  </si>
  <si>
    <t>列15654</t>
  </si>
  <si>
    <t>列15655</t>
  </si>
  <si>
    <t>列15656</t>
  </si>
  <si>
    <t>列15657</t>
  </si>
  <si>
    <t>列15658</t>
  </si>
  <si>
    <t>列15659</t>
  </si>
  <si>
    <t>列15660</t>
  </si>
  <si>
    <t>列15661</t>
  </si>
  <si>
    <t>列15662</t>
  </si>
  <si>
    <t>列15663</t>
  </si>
  <si>
    <t>列15664</t>
  </si>
  <si>
    <t>列15665</t>
  </si>
  <si>
    <t>列15666</t>
  </si>
  <si>
    <t>列15667</t>
  </si>
  <si>
    <t>列15668</t>
  </si>
  <si>
    <t>列15669</t>
  </si>
  <si>
    <t>列15670</t>
  </si>
  <si>
    <t>列15671</t>
  </si>
  <si>
    <t>列15672</t>
  </si>
  <si>
    <t>列15673</t>
  </si>
  <si>
    <t>列15674</t>
  </si>
  <si>
    <t>列15675</t>
  </si>
  <si>
    <t>列15676</t>
  </si>
  <si>
    <t>列15677</t>
  </si>
  <si>
    <t>列15678</t>
  </si>
  <si>
    <t>列15679</t>
  </si>
  <si>
    <t>列15680</t>
  </si>
  <si>
    <t>列15681</t>
  </si>
  <si>
    <t>列15682</t>
  </si>
  <si>
    <t>列15683</t>
  </si>
  <si>
    <t>列15684</t>
  </si>
  <si>
    <t>列15685</t>
  </si>
  <si>
    <t>列15686</t>
  </si>
  <si>
    <t>列15687</t>
  </si>
  <si>
    <t>列15688</t>
  </si>
  <si>
    <t>列15689</t>
  </si>
  <si>
    <t>列15690</t>
  </si>
  <si>
    <t>列15691</t>
  </si>
  <si>
    <t>列15692</t>
  </si>
  <si>
    <t>列15693</t>
  </si>
  <si>
    <t>列15694</t>
  </si>
  <si>
    <t>列15695</t>
  </si>
  <si>
    <t>列15696</t>
  </si>
  <si>
    <t>列15697</t>
  </si>
  <si>
    <t>列15698</t>
  </si>
  <si>
    <t>列15699</t>
  </si>
  <si>
    <t>列15700</t>
  </si>
  <si>
    <t>列15701</t>
  </si>
  <si>
    <t>列15702</t>
  </si>
  <si>
    <t>列15703</t>
  </si>
  <si>
    <t>列15704</t>
  </si>
  <si>
    <t>列15705</t>
  </si>
  <si>
    <t>列15706</t>
  </si>
  <si>
    <t>列15707</t>
  </si>
  <si>
    <t>列15708</t>
  </si>
  <si>
    <t>列15709</t>
  </si>
  <si>
    <t>列15710</t>
  </si>
  <si>
    <t>列15711</t>
  </si>
  <si>
    <t>列15712</t>
  </si>
  <si>
    <t>列15713</t>
  </si>
  <si>
    <t>列15714</t>
  </si>
  <si>
    <t>列15715</t>
  </si>
  <si>
    <t>列15716</t>
  </si>
  <si>
    <t>列15717</t>
  </si>
  <si>
    <t>列15718</t>
  </si>
  <si>
    <t>列15719</t>
  </si>
  <si>
    <t>列15720</t>
  </si>
  <si>
    <t>列15721</t>
  </si>
  <si>
    <t>列15722</t>
  </si>
  <si>
    <t>列15723</t>
  </si>
  <si>
    <t>列15724</t>
  </si>
  <si>
    <t>列15725</t>
  </si>
  <si>
    <t>列15726</t>
  </si>
  <si>
    <t>列15727</t>
  </si>
  <si>
    <t>列15728</t>
  </si>
  <si>
    <t>列15729</t>
  </si>
  <si>
    <t>列15730</t>
  </si>
  <si>
    <t>列15731</t>
  </si>
  <si>
    <t>列15732</t>
  </si>
  <si>
    <t>列15733</t>
  </si>
  <si>
    <t>列15734</t>
  </si>
  <si>
    <t>列15735</t>
  </si>
  <si>
    <t>列15736</t>
  </si>
  <si>
    <t>列15737</t>
  </si>
  <si>
    <t>列15738</t>
  </si>
  <si>
    <t>列15739</t>
  </si>
  <si>
    <t>列15740</t>
  </si>
  <si>
    <t>列15741</t>
  </si>
  <si>
    <t>列15742</t>
  </si>
  <si>
    <t>列15743</t>
  </si>
  <si>
    <t>列15744</t>
  </si>
  <si>
    <t>列15745</t>
  </si>
  <si>
    <t>列15746</t>
  </si>
  <si>
    <t>列15747</t>
  </si>
  <si>
    <t>列15748</t>
  </si>
  <si>
    <t>列15749</t>
  </si>
  <si>
    <t>列15750</t>
  </si>
  <si>
    <t>列15751</t>
  </si>
  <si>
    <t>列15752</t>
  </si>
  <si>
    <t>列15753</t>
  </si>
  <si>
    <t>列15754</t>
  </si>
  <si>
    <t>列15755</t>
  </si>
  <si>
    <t>列15756</t>
  </si>
  <si>
    <t>列15757</t>
  </si>
  <si>
    <t>列15758</t>
  </si>
  <si>
    <t>列15759</t>
  </si>
  <si>
    <t>列15760</t>
  </si>
  <si>
    <t>列15761</t>
  </si>
  <si>
    <t>列15762</t>
  </si>
  <si>
    <t>列15763</t>
  </si>
  <si>
    <t>列15764</t>
  </si>
  <si>
    <t>列15765</t>
  </si>
  <si>
    <t>列15766</t>
  </si>
  <si>
    <t>列15767</t>
  </si>
  <si>
    <t>列15768</t>
  </si>
  <si>
    <t>列15769</t>
  </si>
  <si>
    <t>列15770</t>
  </si>
  <si>
    <t>列15771</t>
  </si>
  <si>
    <t>列15772</t>
  </si>
  <si>
    <t>列15773</t>
  </si>
  <si>
    <t>列15774</t>
  </si>
  <si>
    <t>列15775</t>
  </si>
  <si>
    <t>列15776</t>
  </si>
  <si>
    <t>列15777</t>
  </si>
  <si>
    <t>列15778</t>
  </si>
  <si>
    <t>列15779</t>
  </si>
  <si>
    <t>列15780</t>
  </si>
  <si>
    <t>列15781</t>
  </si>
  <si>
    <t>列15782</t>
  </si>
  <si>
    <t>列15783</t>
  </si>
  <si>
    <t>列15784</t>
  </si>
  <si>
    <t>列15785</t>
  </si>
  <si>
    <t>列15786</t>
  </si>
  <si>
    <t>列15787</t>
  </si>
  <si>
    <t>列15788</t>
  </si>
  <si>
    <t>列15789</t>
  </si>
  <si>
    <t>列15790</t>
  </si>
  <si>
    <t>列15791</t>
  </si>
  <si>
    <t>列15792</t>
  </si>
  <si>
    <t>列15793</t>
  </si>
  <si>
    <t>列15794</t>
  </si>
  <si>
    <t>列15795</t>
  </si>
  <si>
    <t>列15796</t>
  </si>
  <si>
    <t>列15797</t>
  </si>
  <si>
    <t>列15798</t>
  </si>
  <si>
    <t>列15799</t>
  </si>
  <si>
    <t>列15800</t>
  </si>
  <si>
    <t>列15801</t>
  </si>
  <si>
    <t>列15802</t>
  </si>
  <si>
    <t>列15803</t>
  </si>
  <si>
    <t>列15804</t>
  </si>
  <si>
    <t>列15805</t>
  </si>
  <si>
    <t>列15806</t>
  </si>
  <si>
    <t>列15807</t>
  </si>
  <si>
    <t>列15808</t>
  </si>
  <si>
    <t>列15809</t>
  </si>
  <si>
    <t>列15810</t>
  </si>
  <si>
    <t>列15811</t>
  </si>
  <si>
    <t>列15812</t>
  </si>
  <si>
    <t>列15813</t>
  </si>
  <si>
    <t>列15814</t>
  </si>
  <si>
    <t>列15815</t>
  </si>
  <si>
    <t>列15816</t>
  </si>
  <si>
    <t>列15817</t>
  </si>
  <si>
    <t>列15818</t>
  </si>
  <si>
    <t>列15819</t>
  </si>
  <si>
    <t>列15820</t>
  </si>
  <si>
    <t>列15821</t>
  </si>
  <si>
    <t>列15822</t>
  </si>
  <si>
    <t>列15823</t>
  </si>
  <si>
    <t>列15824</t>
  </si>
  <si>
    <t>列15825</t>
  </si>
  <si>
    <t>列15826</t>
  </si>
  <si>
    <t>列15827</t>
  </si>
  <si>
    <t>列15828</t>
  </si>
  <si>
    <t>列15829</t>
  </si>
  <si>
    <t>列15830</t>
  </si>
  <si>
    <t>列15831</t>
  </si>
  <si>
    <t>列15832</t>
  </si>
  <si>
    <t>列15833</t>
  </si>
  <si>
    <t>列15834</t>
  </si>
  <si>
    <t>列15835</t>
  </si>
  <si>
    <t>列15836</t>
  </si>
  <si>
    <t>列15837</t>
  </si>
  <si>
    <t>列15838</t>
  </si>
  <si>
    <t>列15839</t>
  </si>
  <si>
    <t>列15840</t>
  </si>
  <si>
    <t>列15841</t>
  </si>
  <si>
    <t>列15842</t>
  </si>
  <si>
    <t>列15843</t>
  </si>
  <si>
    <t>列15844</t>
  </si>
  <si>
    <t>列15845</t>
  </si>
  <si>
    <t>列15846</t>
  </si>
  <si>
    <t>列15847</t>
  </si>
  <si>
    <t>列15848</t>
  </si>
  <si>
    <t>列15849</t>
  </si>
  <si>
    <t>列15850</t>
  </si>
  <si>
    <t>列15851</t>
  </si>
  <si>
    <t>列15852</t>
  </si>
  <si>
    <t>列15853</t>
  </si>
  <si>
    <t>列15854</t>
  </si>
  <si>
    <t>列15855</t>
  </si>
  <si>
    <t>列15856</t>
  </si>
  <si>
    <t>列15857</t>
  </si>
  <si>
    <t>列15858</t>
  </si>
  <si>
    <t>列15859</t>
  </si>
  <si>
    <t>列15860</t>
  </si>
  <si>
    <t>列15861</t>
  </si>
  <si>
    <t>列15862</t>
  </si>
  <si>
    <t>列15863</t>
  </si>
  <si>
    <t>列15864</t>
  </si>
  <si>
    <t>列15865</t>
  </si>
  <si>
    <t>列15866</t>
  </si>
  <si>
    <t>列15867</t>
  </si>
  <si>
    <t>列15868</t>
  </si>
  <si>
    <t>列15869</t>
  </si>
  <si>
    <t>列15870</t>
  </si>
  <si>
    <t>列15871</t>
  </si>
  <si>
    <t>列15872</t>
  </si>
  <si>
    <t>列15873</t>
  </si>
  <si>
    <t>列15874</t>
  </si>
  <si>
    <t>列15875</t>
  </si>
  <si>
    <t>列15876</t>
  </si>
  <si>
    <t>列15877</t>
  </si>
  <si>
    <t>列15878</t>
  </si>
  <si>
    <t>列15879</t>
  </si>
  <si>
    <t>列15880</t>
  </si>
  <si>
    <t>列15881</t>
  </si>
  <si>
    <t>列15882</t>
  </si>
  <si>
    <t>列15883</t>
  </si>
  <si>
    <t>列15884</t>
  </si>
  <si>
    <t>列15885</t>
  </si>
  <si>
    <t>列15886</t>
  </si>
  <si>
    <t>列15887</t>
  </si>
  <si>
    <t>列15888</t>
  </si>
  <si>
    <t>列15889</t>
  </si>
  <si>
    <t>列15890</t>
  </si>
  <si>
    <t>列15891</t>
  </si>
  <si>
    <t>列15892</t>
  </si>
  <si>
    <t>列15893</t>
  </si>
  <si>
    <t>列15894</t>
  </si>
  <si>
    <t>列15895</t>
  </si>
  <si>
    <t>列15896</t>
  </si>
  <si>
    <t>列15897</t>
  </si>
  <si>
    <t>列15898</t>
  </si>
  <si>
    <t>列15899</t>
  </si>
  <si>
    <t>列15900</t>
  </si>
  <si>
    <t>列15901</t>
  </si>
  <si>
    <t>列15902</t>
  </si>
  <si>
    <t>列15903</t>
  </si>
  <si>
    <t>列15904</t>
  </si>
  <si>
    <t>列15905</t>
  </si>
  <si>
    <t>列15906</t>
  </si>
  <si>
    <t>列15907</t>
  </si>
  <si>
    <t>列15908</t>
  </si>
  <si>
    <t>列15909</t>
  </si>
  <si>
    <t>列15910</t>
  </si>
  <si>
    <t>列15911</t>
  </si>
  <si>
    <t>列15912</t>
  </si>
  <si>
    <t>列15913</t>
  </si>
  <si>
    <t>列15914</t>
  </si>
  <si>
    <t>列15915</t>
  </si>
  <si>
    <t>列15916</t>
  </si>
  <si>
    <t>列15917</t>
  </si>
  <si>
    <t>列15918</t>
  </si>
  <si>
    <t>列15919</t>
  </si>
  <si>
    <t>列15920</t>
  </si>
  <si>
    <t>列15921</t>
  </si>
  <si>
    <t>列15922</t>
  </si>
  <si>
    <t>列15923</t>
  </si>
  <si>
    <t>列15924</t>
  </si>
  <si>
    <t>列15925</t>
  </si>
  <si>
    <t>列15926</t>
  </si>
  <si>
    <t>列15927</t>
  </si>
  <si>
    <t>列15928</t>
  </si>
  <si>
    <t>列15929</t>
  </si>
  <si>
    <t>列15930</t>
  </si>
  <si>
    <t>列15931</t>
  </si>
  <si>
    <t>列15932</t>
  </si>
  <si>
    <t>列15933</t>
  </si>
  <si>
    <t>列15934</t>
  </si>
  <si>
    <t>列15935</t>
  </si>
  <si>
    <t>列15936</t>
  </si>
  <si>
    <t>列15937</t>
  </si>
  <si>
    <t>列15938</t>
  </si>
  <si>
    <t>列15939</t>
  </si>
  <si>
    <t>列15940</t>
  </si>
  <si>
    <t>列15941</t>
  </si>
  <si>
    <t>列15942</t>
  </si>
  <si>
    <t>列15943</t>
  </si>
  <si>
    <t>列15944</t>
  </si>
  <si>
    <t>列15945</t>
  </si>
  <si>
    <t>列15946</t>
  </si>
  <si>
    <t>列15947</t>
  </si>
  <si>
    <t>列15948</t>
  </si>
  <si>
    <t>列15949</t>
  </si>
  <si>
    <t>列15950</t>
  </si>
  <si>
    <t>列15951</t>
  </si>
  <si>
    <t>列15952</t>
  </si>
  <si>
    <t>列15953</t>
  </si>
  <si>
    <t>列15954</t>
  </si>
  <si>
    <t>列15955</t>
  </si>
  <si>
    <t>列15956</t>
  </si>
  <si>
    <t>列15957</t>
  </si>
  <si>
    <t>列15958</t>
  </si>
  <si>
    <t>列15959</t>
  </si>
  <si>
    <t>列15960</t>
  </si>
  <si>
    <t>列15961</t>
  </si>
  <si>
    <t>列15962</t>
  </si>
  <si>
    <t>列15963</t>
  </si>
  <si>
    <t>列15964</t>
  </si>
  <si>
    <t>列15965</t>
  </si>
  <si>
    <t>列15966</t>
  </si>
  <si>
    <t>列15967</t>
  </si>
  <si>
    <t>列15968</t>
  </si>
  <si>
    <t>列15969</t>
  </si>
  <si>
    <t>列15970</t>
  </si>
  <si>
    <t>列15971</t>
  </si>
  <si>
    <t>列15972</t>
  </si>
  <si>
    <t>列15973</t>
  </si>
  <si>
    <t>列15974</t>
  </si>
  <si>
    <t>列15975</t>
  </si>
  <si>
    <t>列15976</t>
  </si>
  <si>
    <t>列15977</t>
  </si>
  <si>
    <t>列15978</t>
  </si>
  <si>
    <t>列15979</t>
  </si>
  <si>
    <t>列15980</t>
  </si>
  <si>
    <t>列15981</t>
  </si>
  <si>
    <t>列15982</t>
  </si>
  <si>
    <t>列15983</t>
  </si>
  <si>
    <t>列15984</t>
  </si>
  <si>
    <t>列15985</t>
  </si>
  <si>
    <t>列15986</t>
  </si>
  <si>
    <t>列15987</t>
  </si>
  <si>
    <t>列15988</t>
  </si>
  <si>
    <t>列15989</t>
  </si>
  <si>
    <t>列15990</t>
  </si>
  <si>
    <t>列15991</t>
  </si>
  <si>
    <t>列15992</t>
  </si>
  <si>
    <t>列15993</t>
  </si>
  <si>
    <t>列15994</t>
  </si>
  <si>
    <t>列15995</t>
  </si>
  <si>
    <t>列15996</t>
  </si>
  <si>
    <t>列15997</t>
  </si>
  <si>
    <t>列15998</t>
  </si>
  <si>
    <t>列15999</t>
  </si>
  <si>
    <t>列16000</t>
  </si>
  <si>
    <t>列16001</t>
  </si>
  <si>
    <t>列16002</t>
  </si>
  <si>
    <t>列16003</t>
  </si>
  <si>
    <t>列16004</t>
  </si>
  <si>
    <t>列16005</t>
  </si>
  <si>
    <t>列16006</t>
  </si>
  <si>
    <t>列16007</t>
  </si>
  <si>
    <t>列16008</t>
  </si>
  <si>
    <t>列16009</t>
  </si>
  <si>
    <t>列16010</t>
  </si>
  <si>
    <t>列16011</t>
  </si>
  <si>
    <t>列16012</t>
  </si>
  <si>
    <t>列16013</t>
  </si>
  <si>
    <t>列16014</t>
  </si>
  <si>
    <t>列16015</t>
  </si>
  <si>
    <t>列16016</t>
  </si>
  <si>
    <t>列16017</t>
  </si>
  <si>
    <t>列16018</t>
  </si>
  <si>
    <t>列16019</t>
  </si>
  <si>
    <t>列16020</t>
  </si>
  <si>
    <t>列16021</t>
  </si>
  <si>
    <t>列16022</t>
  </si>
  <si>
    <t>列16023</t>
  </si>
  <si>
    <t>列16024</t>
  </si>
  <si>
    <t>列16025</t>
  </si>
  <si>
    <t>列16026</t>
  </si>
  <si>
    <t>列16027</t>
  </si>
  <si>
    <t>列16028</t>
  </si>
  <si>
    <t>列16029</t>
  </si>
  <si>
    <t>列16030</t>
  </si>
  <si>
    <t>列16031</t>
  </si>
  <si>
    <t>列16032</t>
  </si>
  <si>
    <t>列16033</t>
  </si>
  <si>
    <t>列16034</t>
  </si>
  <si>
    <t>列16035</t>
  </si>
  <si>
    <t>列16036</t>
  </si>
  <si>
    <t>列16037</t>
  </si>
  <si>
    <t>列16038</t>
  </si>
  <si>
    <t>列16039</t>
  </si>
  <si>
    <t>列16040</t>
  </si>
  <si>
    <t>列16041</t>
  </si>
  <si>
    <t>列16042</t>
  </si>
  <si>
    <t>列16043</t>
  </si>
  <si>
    <t>列16044</t>
  </si>
  <si>
    <t>列16045</t>
  </si>
  <si>
    <t>列16046</t>
  </si>
  <si>
    <t>列16047</t>
  </si>
  <si>
    <t>列16048</t>
  </si>
  <si>
    <t>列16049</t>
  </si>
  <si>
    <t>列16050</t>
  </si>
  <si>
    <t>列16051</t>
  </si>
  <si>
    <t>列16052</t>
  </si>
  <si>
    <t>列16053</t>
  </si>
  <si>
    <t>列16054</t>
  </si>
  <si>
    <t>列16055</t>
  </si>
  <si>
    <t>列16056</t>
  </si>
  <si>
    <t>列16057</t>
  </si>
  <si>
    <t>列16058</t>
  </si>
  <si>
    <t>列16059</t>
  </si>
  <si>
    <t>列16060</t>
  </si>
  <si>
    <t>列16061</t>
  </si>
  <si>
    <t>列16062</t>
  </si>
  <si>
    <t>列16063</t>
  </si>
  <si>
    <t>列16064</t>
  </si>
  <si>
    <t>列16065</t>
  </si>
  <si>
    <t>列16066</t>
  </si>
  <si>
    <t>列16067</t>
  </si>
  <si>
    <t>列16068</t>
  </si>
  <si>
    <t>列16069</t>
  </si>
  <si>
    <t>列16070</t>
  </si>
  <si>
    <t>列16071</t>
  </si>
  <si>
    <t>列16072</t>
  </si>
  <si>
    <t>列16073</t>
  </si>
  <si>
    <t>列16074</t>
  </si>
  <si>
    <t>列16075</t>
  </si>
  <si>
    <t>列16076</t>
  </si>
  <si>
    <t>列16077</t>
  </si>
  <si>
    <t>列16078</t>
  </si>
  <si>
    <t>列16079</t>
  </si>
  <si>
    <t>列16080</t>
  </si>
  <si>
    <t>列16081</t>
  </si>
  <si>
    <t>列16082</t>
  </si>
  <si>
    <t>列16083</t>
  </si>
  <si>
    <t>列16084</t>
  </si>
  <si>
    <t>列16085</t>
  </si>
  <si>
    <t>列16086</t>
  </si>
  <si>
    <t>列16087</t>
  </si>
  <si>
    <t>列16088</t>
  </si>
  <si>
    <t>列16089</t>
  </si>
  <si>
    <t>列16090</t>
  </si>
  <si>
    <t>列16091</t>
  </si>
  <si>
    <t>列16092</t>
  </si>
  <si>
    <t>列16093</t>
  </si>
  <si>
    <t>列16094</t>
  </si>
  <si>
    <t>列16095</t>
  </si>
  <si>
    <t>列16096</t>
  </si>
  <si>
    <t>列16097</t>
  </si>
  <si>
    <t>列16098</t>
  </si>
  <si>
    <t>列16099</t>
  </si>
  <si>
    <t>列16100</t>
  </si>
  <si>
    <t>列16101</t>
  </si>
  <si>
    <t>列16102</t>
  </si>
  <si>
    <t>列16103</t>
  </si>
  <si>
    <t>列16104</t>
  </si>
  <si>
    <t>列16105</t>
  </si>
  <si>
    <t>列16106</t>
  </si>
  <si>
    <t>列16107</t>
  </si>
  <si>
    <t>列16108</t>
  </si>
  <si>
    <t>列16109</t>
  </si>
  <si>
    <t>列16110</t>
  </si>
  <si>
    <t>列16111</t>
  </si>
  <si>
    <t>列16112</t>
  </si>
  <si>
    <t>列16113</t>
  </si>
  <si>
    <t>列16114</t>
  </si>
  <si>
    <t>列16115</t>
  </si>
  <si>
    <t>列16116</t>
  </si>
  <si>
    <t>列16117</t>
  </si>
  <si>
    <t>列16118</t>
  </si>
  <si>
    <t>列16119</t>
  </si>
  <si>
    <t>列16120</t>
  </si>
  <si>
    <t>列16121</t>
  </si>
  <si>
    <t>列16122</t>
  </si>
  <si>
    <t>列16123</t>
  </si>
  <si>
    <t>列16124</t>
  </si>
  <si>
    <t>列16125</t>
  </si>
  <si>
    <t>列16126</t>
  </si>
  <si>
    <t>列16127</t>
  </si>
  <si>
    <t>列16128</t>
  </si>
  <si>
    <t>列16129</t>
  </si>
  <si>
    <t>列16130</t>
  </si>
  <si>
    <t>列16131</t>
  </si>
  <si>
    <t>列16132</t>
  </si>
  <si>
    <t>列16133</t>
  </si>
  <si>
    <t>列16134</t>
  </si>
  <si>
    <t>列16135</t>
  </si>
  <si>
    <t>列16136</t>
  </si>
  <si>
    <t>列16137</t>
  </si>
  <si>
    <t>列16138</t>
  </si>
  <si>
    <t>列16139</t>
  </si>
  <si>
    <t>列16140</t>
  </si>
  <si>
    <t>列16141</t>
  </si>
  <si>
    <t>列16142</t>
  </si>
  <si>
    <t>列16143</t>
  </si>
  <si>
    <t>列16144</t>
  </si>
  <si>
    <t>列16145</t>
  </si>
  <si>
    <t>列16146</t>
  </si>
  <si>
    <t>列16147</t>
  </si>
  <si>
    <t>列16148</t>
  </si>
  <si>
    <t>列16149</t>
  </si>
  <si>
    <t>列16150</t>
  </si>
  <si>
    <t>列16151</t>
  </si>
  <si>
    <t>列16152</t>
  </si>
  <si>
    <t>列16153</t>
  </si>
  <si>
    <t>列16154</t>
  </si>
  <si>
    <t>列16155</t>
  </si>
  <si>
    <t>列16156</t>
  </si>
  <si>
    <t>列16157</t>
  </si>
  <si>
    <t>列16158</t>
  </si>
  <si>
    <t>列16159</t>
  </si>
  <si>
    <t>列16160</t>
  </si>
  <si>
    <t>列16161</t>
  </si>
  <si>
    <t>列16162</t>
  </si>
  <si>
    <t>列16163</t>
  </si>
  <si>
    <t>列16164</t>
  </si>
  <si>
    <t>列16165</t>
  </si>
  <si>
    <t>列16166</t>
  </si>
  <si>
    <t>列16167</t>
  </si>
  <si>
    <t>列16168</t>
  </si>
  <si>
    <t>列16169</t>
  </si>
  <si>
    <t>列16170</t>
  </si>
  <si>
    <t>列16171</t>
  </si>
  <si>
    <t>列16172</t>
  </si>
  <si>
    <t>列16173</t>
  </si>
  <si>
    <t>列16174</t>
  </si>
  <si>
    <t>列16175</t>
  </si>
  <si>
    <t>列16176</t>
  </si>
  <si>
    <t>列16177</t>
  </si>
  <si>
    <t>列16178</t>
  </si>
  <si>
    <t>列16179</t>
  </si>
  <si>
    <t>列16180</t>
  </si>
  <si>
    <t>列16181</t>
  </si>
  <si>
    <t>列16182</t>
  </si>
  <si>
    <t>列16183</t>
  </si>
  <si>
    <t>列16184</t>
  </si>
  <si>
    <t>列16185</t>
  </si>
  <si>
    <t>列16186</t>
  </si>
  <si>
    <t>列16187</t>
  </si>
  <si>
    <t>列16188</t>
  </si>
  <si>
    <t>列16189</t>
  </si>
  <si>
    <t>列16190</t>
  </si>
  <si>
    <t>列16191</t>
  </si>
  <si>
    <t>列16192</t>
  </si>
  <si>
    <t>列16193</t>
  </si>
  <si>
    <t>列16194</t>
  </si>
  <si>
    <t>列16195</t>
  </si>
  <si>
    <t>列16196</t>
  </si>
  <si>
    <t>列16197</t>
  </si>
  <si>
    <t>列16198</t>
  </si>
  <si>
    <t>列16199</t>
  </si>
  <si>
    <t>列16200</t>
  </si>
  <si>
    <t>列16201</t>
  </si>
  <si>
    <t>列16202</t>
  </si>
  <si>
    <t>列16203</t>
  </si>
  <si>
    <t>列16204</t>
  </si>
  <si>
    <t>列16205</t>
  </si>
  <si>
    <t>列16206</t>
  </si>
  <si>
    <t>列16207</t>
  </si>
  <si>
    <t>列16208</t>
  </si>
  <si>
    <t>列16209</t>
  </si>
  <si>
    <t>列16210</t>
  </si>
  <si>
    <t>列16211</t>
  </si>
  <si>
    <t>列16212</t>
  </si>
  <si>
    <t>列16213</t>
  </si>
  <si>
    <t>列16214</t>
  </si>
  <si>
    <t>列16215</t>
  </si>
  <si>
    <t>列16216</t>
  </si>
  <si>
    <t>列16217</t>
  </si>
  <si>
    <t>列16218</t>
  </si>
  <si>
    <t>列16219</t>
  </si>
  <si>
    <t>列16220</t>
  </si>
  <si>
    <t>列16221</t>
  </si>
  <si>
    <t>列16222</t>
  </si>
  <si>
    <t>列16223</t>
  </si>
  <si>
    <t>列16224</t>
  </si>
  <si>
    <t>列16225</t>
  </si>
  <si>
    <t>列16226</t>
  </si>
  <si>
    <t>列16227</t>
  </si>
  <si>
    <t>列16228</t>
  </si>
  <si>
    <t>列16229</t>
  </si>
  <si>
    <t>列16230</t>
  </si>
  <si>
    <t>列16231</t>
  </si>
  <si>
    <t>列16232</t>
  </si>
  <si>
    <t>列16233</t>
  </si>
  <si>
    <t>列16234</t>
  </si>
  <si>
    <t>列16235</t>
  </si>
  <si>
    <t>列16236</t>
  </si>
  <si>
    <t>列16237</t>
  </si>
  <si>
    <t>列16238</t>
  </si>
  <si>
    <t>列16239</t>
  </si>
  <si>
    <t>列16240</t>
  </si>
  <si>
    <t>列16241</t>
  </si>
  <si>
    <t>列16242</t>
  </si>
  <si>
    <t>列16243</t>
  </si>
  <si>
    <t>列16244</t>
  </si>
  <si>
    <t>列16245</t>
  </si>
  <si>
    <t>列16246</t>
  </si>
  <si>
    <t>列16247</t>
  </si>
  <si>
    <t>列16248</t>
  </si>
  <si>
    <t>列16249</t>
  </si>
  <si>
    <t>列16250</t>
  </si>
  <si>
    <t>列16251</t>
  </si>
  <si>
    <t>列16252</t>
  </si>
  <si>
    <t>列16253</t>
  </si>
  <si>
    <t>列16254</t>
  </si>
  <si>
    <t>列16255</t>
  </si>
  <si>
    <t>列16256</t>
  </si>
  <si>
    <t>列16257</t>
  </si>
  <si>
    <t>列16258</t>
  </si>
  <si>
    <t>列16259</t>
  </si>
  <si>
    <t>列16260</t>
  </si>
  <si>
    <t>列16261</t>
  </si>
  <si>
    <t>列16262</t>
  </si>
  <si>
    <t>列16263</t>
  </si>
  <si>
    <t>列16264</t>
  </si>
  <si>
    <t>列16265</t>
  </si>
  <si>
    <t>列16266</t>
  </si>
  <si>
    <t>列16267</t>
  </si>
  <si>
    <t>列16268</t>
  </si>
  <si>
    <t>列16269</t>
  </si>
  <si>
    <t>列16270</t>
  </si>
  <si>
    <t>列16271</t>
  </si>
  <si>
    <t>列16272</t>
  </si>
  <si>
    <t>列16273</t>
  </si>
  <si>
    <t>列16274</t>
  </si>
  <si>
    <t>列16275</t>
  </si>
  <si>
    <t>列16276</t>
  </si>
  <si>
    <t>列16277</t>
  </si>
  <si>
    <t>列16278</t>
  </si>
  <si>
    <t>列16279</t>
  </si>
  <si>
    <t>列16280</t>
  </si>
  <si>
    <t>列16281</t>
  </si>
  <si>
    <t>列16282</t>
  </si>
  <si>
    <t>列16283</t>
  </si>
  <si>
    <t>列16284</t>
  </si>
  <si>
    <t>列16285</t>
  </si>
  <si>
    <t>列16286</t>
  </si>
  <si>
    <t>列16287</t>
  </si>
  <si>
    <t>列16288</t>
  </si>
  <si>
    <t>列16289</t>
  </si>
  <si>
    <t>列16290</t>
  </si>
  <si>
    <t>列16291</t>
  </si>
  <si>
    <t>列16292</t>
  </si>
  <si>
    <t>列16293</t>
  </si>
  <si>
    <t>列16294</t>
  </si>
  <si>
    <t>列16295</t>
  </si>
  <si>
    <t>列16296</t>
  </si>
  <si>
    <t>列16297</t>
  </si>
  <si>
    <t>列16298</t>
  </si>
  <si>
    <t>列16299</t>
  </si>
  <si>
    <t>列16300</t>
  </si>
  <si>
    <t>列16301</t>
  </si>
  <si>
    <t>列16302</t>
  </si>
  <si>
    <t>列16303</t>
  </si>
  <si>
    <t>列16304</t>
  </si>
  <si>
    <t>列16305</t>
  </si>
  <si>
    <t>列16306</t>
  </si>
  <si>
    <t>列16307</t>
  </si>
  <si>
    <t>列16308</t>
  </si>
  <si>
    <t>列16309</t>
  </si>
  <si>
    <t>列16310</t>
  </si>
  <si>
    <t>列16311</t>
  </si>
  <si>
    <t>列16312</t>
  </si>
  <si>
    <t>列16313</t>
  </si>
  <si>
    <t>列16314</t>
  </si>
  <si>
    <t>列16315</t>
  </si>
  <si>
    <t>列16316</t>
  </si>
  <si>
    <t>列16317</t>
  </si>
  <si>
    <t>列16318</t>
  </si>
  <si>
    <t>列16319</t>
  </si>
  <si>
    <t>列16320</t>
  </si>
  <si>
    <t>列16321</t>
  </si>
  <si>
    <t>列16322</t>
  </si>
  <si>
    <t>列16323</t>
  </si>
  <si>
    <t>列16324</t>
  </si>
  <si>
    <t>列16325</t>
  </si>
  <si>
    <t>列16326</t>
  </si>
  <si>
    <t>列16327</t>
  </si>
  <si>
    <t>列16328</t>
  </si>
  <si>
    <t>列16329</t>
  </si>
  <si>
    <t>列16330</t>
  </si>
  <si>
    <t>列16331</t>
  </si>
  <si>
    <t>列16332</t>
  </si>
  <si>
    <t>列16333</t>
  </si>
  <si>
    <t>列16334</t>
  </si>
  <si>
    <t>列16335</t>
  </si>
  <si>
    <t>列16336</t>
  </si>
  <si>
    <t>列16337</t>
  </si>
  <si>
    <t>列16338</t>
  </si>
  <si>
    <t>列16339</t>
  </si>
  <si>
    <t>列16340</t>
  </si>
  <si>
    <t>列16341</t>
  </si>
  <si>
    <t>沪电股份</t>
  </si>
  <si>
    <t>深南电路</t>
  </si>
  <si>
    <t>记录类型</t>
  </si>
  <si>
    <t>止损阶段序号</t>
  </si>
  <si>
    <t>激活价</t>
  </si>
  <si>
    <t>激活后止损价</t>
  </si>
  <si>
    <t>止损依据</t>
  </si>
  <si>
    <t>记录日期</t>
  </si>
  <si>
    <t>收盘价</t>
  </si>
  <si>
    <t>成交量</t>
  </si>
  <si>
    <t>量价分析</t>
  </si>
  <si>
    <t>当前阶段</t>
  </si>
  <si>
    <t>阶段判断理由</t>
  </si>
  <si>
    <t>初始止损</t>
  </si>
  <si>
    <t>历史最高收盘价</t>
  </si>
  <si>
    <t>已激活止损阶段</t>
  </si>
  <si>
    <t>当前计划止损</t>
  </si>
  <si>
    <t>人工上调止损</t>
  </si>
  <si>
    <t>当前有效止损</t>
  </si>
  <si>
    <t>下一阶段激活价</t>
  </si>
  <si>
    <t>下一阶段止损价</t>
  </si>
  <si>
    <t>距离下一阶段涨幅</t>
  </si>
  <si>
    <t>止损判断</t>
  </si>
  <si>
    <t>卖出动作</t>
  </si>
  <si>
    <t>实际卖出股数</t>
  </si>
  <si>
    <t>执行检查</t>
  </si>
  <si>
    <t>规则检查</t>
  </si>
  <si>
    <t>所属板块</t>
  </si>
  <si>
    <t>阶段</t>
  </si>
  <si>
    <t>技术指标1</t>
  </si>
  <si>
    <t>技术指标2</t>
  </si>
  <si>
    <t>技术指标3</t>
  </si>
  <si>
    <t>综述</t>
  </si>
  <si>
    <t>沪电科技</t>
  </si>
  <si>
    <t>之前有交易量迅速放大的迹象</t>
  </si>
  <si>
    <t>上冲不利，可能继续下跌，尝试失败</t>
  </si>
  <si>
    <t>没有冲出震荡区呢，冲破了再买吧</t>
  </si>
  <si>
    <t>会不会有震仓</t>
  </si>
  <si>
    <t>上方压力大，趋势没有那么好，继续磨底，没有到拉伸的时候</t>
  </si>
  <si>
    <t>持续吸筹正仓，均线附近</t>
  </si>
  <si>
    <t>现在是弱势，不一定能上去，会反复磨底</t>
  </si>
  <si>
    <t>还是弱势，不适合交易，上方压力也大，很多上影线</t>
  </si>
  <si>
    <t>强势期可以搞，及时止损就行</t>
  </si>
  <si>
    <t>可能是诱多，量不大</t>
  </si>
  <si>
    <t>上方压力，可能一下子突破，及时止损</t>
  </si>
  <si>
    <t>支撑不知道能不能城主</t>
  </si>
  <si>
    <t>引诱了</t>
  </si>
  <si>
    <t>震仓还是跑路</t>
  </si>
  <si>
    <t>拉高跑路？</t>
  </si>
  <si>
    <t>再次跑路</t>
  </si>
  <si>
    <t xml:space="preserve">震荡拉伸 </t>
  </si>
  <si>
    <t>继续回调</t>
  </si>
  <si>
    <t>30左右震荡</t>
  </si>
  <si>
    <t>又震荡下去</t>
  </si>
  <si>
    <t>均线附近欧，很危险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</si>
  <si>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</si>
  <si>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</si>
  <si>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</si>
  <si>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</si>
  <si>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</si>
  <si>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</si>
  <si>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</si>
  <si>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</si>
  <si>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</si>
  <si>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</si>
  <si>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</si>
  <si>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</si>
  <si>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</si>
  <si>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</si>
  <si>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</si>
  <si>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</si>
  <si>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</si>
  <si>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</si>
  <si>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</si>
  <si>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</si>
  <si>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</si>
  <si>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</si>
  <si>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</si>
  <si>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</si>
  <si>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</si>
  <si>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</si>
  <si>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</si>
  <si>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</si>
  <si>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</si>
  <si>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</si>
  <si>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</si>
  <si>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</si>
  <si>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</si>
  <si>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</si>
  <si>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</si>
  <si>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</si>
  <si>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</si>
  <si>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</si>
  <si>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</si>
  <si>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</si>
  <si>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</si>
  <si>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</si>
  <si>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</si>
  <si>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</si>
  <si>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</si>
  <si>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</si>
  <si>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</si>
  <si>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</si>
  <si>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</si>
  <si>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</si>
  <si>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</si>
  <si>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</si>
  <si>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</si>
  <si>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</si>
  <si>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</si>
  <si>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</si>
  <si>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</si>
  <si>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</si>
  <si>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</si>
  <si>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已完成复盘，开始新的模拟周期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</si>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</sst>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¥#,##0.00;[Red]\-\¥#,##0.00"/>
    <numFmt numFmtId="177" formatCode="yyyy\-mm\-dd"/>
  </numFmts>
  <fonts count="25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0" fontId="0" fillId="3" borderId="1" xfId="0" applyFont="1" applyFill="1" applyBorder="1" applyAlignment="1">
      <alignment vertical="top" wrapText="1"/>
    </xf>
    <xf numFmtId="0" fontId="0" fillId="0" borderId="1" xfId="0" applyFont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0" fontId="0" fillId="0" borderId="0" xfId="0" applyFont="1"/>
    <xf numFmtId="0" fontId="3" fillId="0" borderId="0" xfId="0" applyFont="1"/>
    <xf numFmtId="0" fontId="0" fillId="0" borderId="0" xfId="0" applyFont="1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176" fontId="0" fillId="3" borderId="1" xfId="0" applyNumberFormat="1" applyFont="1" applyFill="1" applyBorder="1" applyAlignment="1">
      <alignment vertical="top" wrapText="1"/>
    </xf>
    <xf numFmtId="1" fontId="0" fillId="3" borderId="1" xfId="0" applyNumberFormat="1" applyFont="1" applyFill="1" applyBorder="1" applyAlignment="1">
      <alignment vertical="top" wrapText="1"/>
    </xf>
    <xf numFmtId="0" fontId="4" fillId="0" borderId="0" xfId="0" applyFont="1"/>
    <xf numFmtId="177" fontId="0" fillId="4" borderId="1" xfId="0" applyNumberFormat="1" applyFill="1" applyBorder="1" applyAlignment="1">
      <alignment vertical="top" wrapText="1"/>
    </xf>
    <xf numFmtId="2" fontId="0" fillId="4" borderId="1" xfId="0" applyNumberForma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176" fontId="4" fillId="3" borderId="1" xfId="0" applyNumberFormat="1" applyFont="1" applyFill="1" applyBorder="1" applyAlignment="1">
      <alignment vertical="top" wrapText="1"/>
    </xf>
    <xf numFmtId="10" fontId="4" fillId="3" borderId="1" xfId="0" applyNumberFormat="1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177" fontId="4" fillId="3" borderId="1" xfId="0" applyNumberFormat="1" applyFont="1" applyFill="1" applyBorder="1" applyAlignment="1">
      <alignment vertical="top" wrapText="1"/>
    </xf>
    <xf numFmtId="176" fontId="4" fillId="4" borderId="1" xfId="0" applyNumberFormat="1" applyFont="1" applyFill="1" applyBorder="1" applyAlignment="1">
      <alignment vertical="top" wrapText="1"/>
    </xf>
    <xf numFmtId="177" fontId="4" fillId="4" borderId="1" xfId="0" applyNumberFormat="1" applyFont="1" applyFill="1" applyBorder="1" applyAlignment="1">
      <alignment vertical="top" wrapText="1"/>
    </xf>
    <xf numFmtId="10" fontId="4" fillId="4" borderId="1" xfId="0" applyNumberFormat="1" applyFont="1" applyFill="1" applyBorder="1" applyAlignment="1">
      <alignment vertical="top" wrapText="1"/>
    </xf>
    <xf numFmtId="2" fontId="4" fillId="4" borderId="1" xfId="0" applyNumberFormat="1" applyFont="1" applyFill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1" fontId="4" fillId="3" borderId="1" xfId="0" applyNumberFormat="1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radeRecords" displayName="TradeRecords" ref="1:200">
  <autoFilter xmlns:etc="http://www.wps.cn/officeDocument/2017/etCustomData" ref="A1:XFD200" etc:filterBottomFollowUsedRange="0"/>
  <tableColumns count="16384">
    <tableColumn id="1" name="交易编号"/>
    <tableColumn id="2" name="股票代码"/>
    <tableColumn id="3" name="买入时账户金额"/>
    <tableColumn id="4" name="本次允许亏损比例"/>
    <tableColumn id="5" name="第一批买入价"/>
    <tableColumn id="6" name="买入建议股数">
      <calculatedColumnFormula>IF(OR(#REF!="",#REF!="",#REF!="",#REF!="",#REF!&lt;=0,#REF!&lt;=0,#REF!&lt;=#REF!),"",ROUNDDOWN((#REF!*#REF!)/(#REF!-#REF!)/100,0)*100)</calculatedColumnFormula>
    </tableColumn>
    <tableColumn id="7" name="开仓风险告警">
      <calculatedColumnFormula>IF(OR(#REF!="",#REF!="",#REF!="",#REF!="",#REF!&lt;=#REF!,账户数据!$B$7=""),"",IF(账户数据!$B$9+IF(#REF!="",#REF!*(#REF!-#REF!),0)&gt;=账户数据!$B$7,"禁止开仓","允许开仓"))</calculatedColumnFormula>
    </tableColumn>
    <tableColumn id="8" name="第一批买入股数"/>
    <tableColumn id="9" name="首次买入日期"/>
    <tableColumn id="10" name="期望卖出价"/>
    <tableColumn id="11" name="实际卖出价">
      <calculatedColumnFormula>IF(#REF!="","",IFERROR(LOOKUP(2,1/((持仓跟踪!$B$2:$B$497=#REF!)*(持仓跟踪!$X$2:$X$497="执行卖出")*(持仓跟踪!$Y$2:$Y$497&lt;&gt;"")),持仓跟踪!$Y$2:$Y$497),""))</calculatedColumnFormula>
    </tableColumn>
    <tableColumn id="12" name="卖出股数">
      <calculatedColumnFormula>IF(#REF!="","",#REF!)</calculatedColumnFormula>
    </tableColumn>
    <tableColumn id="13" name="卖出日期">
      <calculatedColumnFormula>IF(#REF!="","",IFERROR(LOOKUP(2,1/((持仓跟踪!$B$2:$B$497=#REF!)*(持仓跟踪!$X$2:$X$497="执行卖出")*(持仓跟踪!$H$2:$H$497&lt;&gt;"")),持仓跟踪!$H$2:$H$497),""))</calculatedColumnFormula>
    </tableColumn>
    <tableColumn id="14" name="止损价"/>
    <tableColumn id="15" name="买入总费用"/>
    <tableColumn id="16" name="卖出费用">
      <calculatedColumnFormula>IF(#REF!="","",IFERROR(LOOKUP(2,1/((持仓跟踪!$B$2:$B$497=#REF!)*(持仓跟踪!$X$2:$X$497="执行卖出")*(持仓跟踪!$AA$2:$AA$497&lt;&gt;"")),持仓跟踪!$AA$2:$AA$497),""))</calculatedColumnFormula>
    </tableColumn>
    <tableColumn id="17" name="买入价的由来"/>
    <tableColumn id="18" name="止损价的由来"/>
    <tableColumn id="19" name="期望卖出价的由来"/>
    <tableColumn id="20" name="实际卖出价的由来"/>
    <tableColumn id="21" name="期望盈利比例">
      <calculatedColumnFormula>IF(OR(#REF!="",#REF!="",#REF!&lt;=0),"",(#REF!-#REF!)/#REF!)</calculatedColumnFormula>
    </tableColumn>
    <tableColumn id="22" name="期望止损比例">
      <calculatedColumnFormula>IF(OR(#REF!="",#REF!="",#REF!&lt;=0),"",(#REF!-#REF!)/#REF!)</calculatedColumnFormula>
    </tableColumn>
    <tableColumn id="23" name="盈亏比">
      <calculatedColumnFormula>IF(OR(#REF!="",#REF!="",#REF!&lt;=0),"",#REF!/#REF!)</calculatedColumnFormula>
    </tableColumn>
    <tableColumn id="24" name="实际盈亏金额">
      <calculatedColumnFormula>IF(OR(#REF!="",#REF!="",#REF!="",#REF!=""),"",#REF!*#REF!-#REF!*#REF!-IF(#REF!="",0,#REF!)-IF(#REF!="",0,#REF!))</calculatedColumnFormula>
    </tableColumn>
    <tableColumn id="25" name="单笔仓位收益率">
      <calculatedColumnFormula>IF(OR(#REF!="",#REF!="",#REF!=""),"",IF(#REF!*#REF!+IF(#REF!="",0,#REF!)&lt;=0,"",#REF!/(#REF!*#REF!+IF(#REF!="",0,#REF!))))</calculatedColumnFormula>
    </tableColumn>
    <tableColumn id="26" name="账户收益率与平均盈利率差值">
      <calculatedColumnFormula>IF(OR(#REF!="",多次统计数据!$B$8=""),"",#REF!-多次统计数据!$B$8)</calculatedColumnFormula>
    </tableColumn>
    <tableColumn id="27" name="持有天数">
      <calculatedColumnFormula>IF(OR(#REF!="",#REF!="",#REF!&lt;#REF!),"",#REF!-#REF!)</calculatedColumnFormula>
    </tableColumn>
    <tableColumn id="28" name="复利容许平均亏损上限">
      <calculatedColumnFormula>IF(OR(#REF!="",多次统计数据!$B$8="",多次统计数据!$B$6&lt;=0,多次统计数据!$B$6&gt;=1),"",1-POWER(1+多次统计数据!$B$8,-多次统计数据!$B$6/(1-多次统计数据!$B$6)))</calculatedColumnFormula>
    </tableColumn>
    <tableColumn id="29" name="复利风险判断">
      <calculatedColumnFormula>IF(OR(#REF!="",多次统计数据!$B$9=""),"",IF(多次统计数据!$B$9&lt;#REF!,"低于上限","达到或超过上限"))</calculatedColumnFormula>
    </tableColumn>
    <tableColumn id="30" name="交易打分评价"/>
    <tableColumn id="31" name="实际账户收益率">
      <calculatedColumnFormula>IF(OR(#REF!="",#REF!="",#REF!&lt;=0),"",#REF!/#REF!)</calculatedColumnFormula>
    </tableColumn>
    <tableColumn id="32" name="列1"/>
    <tableColumn id="33" name="交易预期类型"/>
    <tableColumn id="34" name="预期持有周期"/>
    <tableColumn id="35" name="预期选择理由"/>
    <tableColumn id="36" name="周期匹配检查">
      <calculatedColumnFormula>IF(OR(#REF!="",#REF!=""),"",IF(OR(AND(#REF!="短期博反弹",OR(#REF!="1～3个交易日",#REF!="4～10个交易日")),AND(#REF!="突破冲新高",OR(#REF!="4～10个交易日",#REF!="11～20个交易日")),AND(#REF!="趋势波段",OR(#REF!="11～20个交易日",#REF!="21～60个交易日",#REF!="60个交易日以上"))),"匹配","周期与交易预期不匹配，请重新确认"))</calculatedColumnFormula>
    </tableColumn>
    <tableColumn id="37" name="第二批买入价"/>
    <tableColumn id="38" name="第二批买入股数"/>
    <tableColumn id="39" name="第三批买入价"/>
    <tableColumn id="40" name="第三批买入股数"/>
    <tableColumn id="41" name="实际加权买入价">
      <calculatedColumnFormula>IF(OR(#REF!="",#REF!="",#REF!&lt;=0),"",(#REF!*#REF!+IF(AND(#REF!&lt;&gt;"",#REF!&lt;&gt;""),#REF!*#REF!,0)+IF(AND(#REF!&lt;&gt;"",#REF!&lt;&gt;""),#REF!*#REF!,0))/#REF!)</calculatedColumnFormula>
    </tableColumn>
    <tableColumn id="42" name="累计买入股数">
      <calculatedColumnFormula>IF(OR(#REF!="",#REF!="",#REF!&lt;=0),"",#REF!+IF(#REF!="",0,#REF!)+IF(#REF!="",0,#REF!))</calculatedColumnFormula>
    </tableColumn>
    <tableColumn id="43" name="当前持仓风险">
      <calculatedColumnFormula>IF(#REF!="","",IF(#REF!&lt;&gt;"",0,IF(OR(#REF!="",#REF!=""),"",MAX(#REF!-MAX(#REF!,IFERROR(SUMPRODUCT(MAX(((持仓跟踪!$A$2:$A$497="每日跟踪")*(持仓跟踪!$B$2:$B$497=#REF!))*持仓跟踪!$S$2:$S$497)),0)),0)*#REF!+IF(OR(#REF!="",#REF!=""),0,MAX(#REF!-MAX(#REF!,IFERROR(SUMPRODUCT(MAX(((持仓跟踪!$A$2:$A$497="每日跟踪")*(持仓跟踪!$B$2:$B$497=#REF!))*持仓跟踪!$S$2:$S$497)),0)),0)*#REF!)+IF(OR(#REF!="",#REF!=""),0,MAX(#REF!-MAX(#REF!,IFERROR(SUMPRODUCT(MAX(((持仓跟踪!$A$2:$A$497="每日跟踪")*(持仓跟踪!$B$2:$B$497=#REF!))*持仓跟踪!$S$2:$S$497)),0)),0)*#REF!))))</calculatedColumnFormula>
    </tableColumn>
    <tableColumn id="44" name="分仓规则检查">
      <calculatedColumnFormula>IF(#REF!="","",IF(OR(#REF!="",#REF!=""),"违规：第一批价格或股数缺失",IF(OR(AND(#REF!="",#REF!&lt;&gt;""),AND(#REF!&lt;&gt;"",#REF!="")),"违规：第二批价格与股数须成对填写",IF(OR(AND(#REF!="",#REF!&lt;&gt;""),AND(#REF!&lt;&gt;"",#REF!="")),"违规：第三批价格与股数须成对填写",IF(AND(OR(#REF!&lt;&gt;"",#REF!&lt;&gt;""),OR(#REF!="",#REF!="")),"违规：必须先完成第二批",IF(OR(#REF!&lt;=0,#REF!&lt;&gt;INT(#REF!),MOD(#REF!,100)&lt;&gt;0,AND(#REF!&lt;&gt;"",OR(#REF!&lt;=0,#REF!&lt;&gt;INT(#REF!),MOD(#REF!,100)&lt;&gt;0)),AND(#REF!&lt;&gt;"",OR(#REF!&lt;=0,#REF!&lt;&gt;INT(#REF!),MOD(#REF!,100)&lt;&gt;0))),"违规：股数须为100股整数倍",IF(AND(OR(#REF!&lt;&gt;"",#REF!&lt;&gt;""),OR(_LockStatus="已锁仓",_LockStatus="解锁信息不完整")),"违规：锁仓期间禁止加仓",IF(#REF!&gt;#REF!*#REF!,"违规：超过单笔风险上限",IF(SUM($AQ$2:$AQ$163)&gt;账户数据!$B$7,"违规：超过账户风险上限","通过")))))))))</calculatedColumnFormula>
    </tableColumn>
    <tableColumn id="45" name="列2"/>
    <tableColumn id="46" name="列3"/>
    <tableColumn id="47" name="列4"/>
    <tableColumn id="48" name="列5"/>
    <tableColumn id="49" name="列6"/>
    <tableColumn id="50" name="列7"/>
    <tableColumn id="51" name="列8"/>
    <tableColumn id="52" name="列9"/>
    <tableColumn id="53" name="列10"/>
    <tableColumn id="54" name="列11"/>
    <tableColumn id="55" name="列12"/>
    <tableColumn id="56" name="列13"/>
    <tableColumn id="57" name="列14"/>
    <tableColumn id="58" name="列15"/>
    <tableColumn id="59" name="列16"/>
    <tableColumn id="60" name="列17"/>
    <tableColumn id="61" name="列18"/>
    <tableColumn id="62" name="列19"/>
    <tableColumn id="63" name="列20"/>
    <tableColumn id="64" name="列21"/>
    <tableColumn id="65" name="列22"/>
    <tableColumn id="66" name="列23"/>
    <tableColumn id="67" name="列24"/>
    <tableColumn id="68" name="列25"/>
    <tableColumn id="69" name="列26"/>
    <tableColumn id="70" name="列27"/>
    <tableColumn id="71" name="列28"/>
    <tableColumn id="72" name="列29"/>
    <tableColumn id="73" name="列30"/>
    <tableColumn id="74" name="列31"/>
    <tableColumn id="75" name="列32"/>
    <tableColumn id="76" name="列33"/>
    <tableColumn id="77" name="列34"/>
    <tableColumn id="78" name="列35"/>
    <tableColumn id="79" name="列36"/>
    <tableColumn id="80" name="列37"/>
    <tableColumn id="81" name="列38"/>
    <tableColumn id="82" name="列39"/>
    <tableColumn id="83" name="列40"/>
    <tableColumn id="84" name="列41"/>
    <tableColumn id="85" name="列42"/>
    <tableColumn id="86" name="列43"/>
    <tableColumn id="87" name="列44"/>
    <tableColumn id="88" name="列45"/>
    <tableColumn id="89" name="列46"/>
    <tableColumn id="90" name="列47"/>
    <tableColumn id="91" name="列48"/>
    <tableColumn id="92" name="列49"/>
    <tableColumn id="93" name="列50"/>
    <tableColumn id="94" name="列51"/>
    <tableColumn id="95" name="列52"/>
    <tableColumn id="96" name="列53"/>
    <tableColumn id="97" name="列54"/>
    <tableColumn id="98" name="列55"/>
    <tableColumn id="99" name="列56"/>
    <tableColumn id="100" name="列57"/>
    <tableColumn id="101" name="列58"/>
    <tableColumn id="102" name="列59"/>
    <tableColumn id="103" name="列60"/>
    <tableColumn id="104" name="列61"/>
    <tableColumn id="105" name="列62"/>
    <tableColumn id="106" name="列63"/>
    <tableColumn id="107" name="列64"/>
    <tableColumn id="108" name="列65"/>
    <tableColumn id="109" name="列66"/>
    <tableColumn id="110" name="列67"/>
    <tableColumn id="111" name="列68"/>
    <tableColumn id="112" name="列69"/>
    <tableColumn id="113" name="列70"/>
    <tableColumn id="114" name="列71"/>
    <tableColumn id="115" name="列72"/>
    <tableColumn id="116" name="列73"/>
    <tableColumn id="117" name="列74"/>
    <tableColumn id="118" name="列75"/>
    <tableColumn id="119" name="列76"/>
    <tableColumn id="120" name="列77"/>
    <tableColumn id="121" name="列78"/>
    <tableColumn id="122" name="列79"/>
    <tableColumn id="123" name="列80"/>
    <tableColumn id="124" name="列81"/>
    <tableColumn id="125" name="列82"/>
    <tableColumn id="126" name="列83"/>
    <tableColumn id="127" name="列84"/>
    <tableColumn id="128" name="列85"/>
    <tableColumn id="129" name="列86"/>
    <tableColumn id="130" name="列87"/>
    <tableColumn id="131" name="列88"/>
    <tableColumn id="132" name="列89"/>
    <tableColumn id="133" name="列90"/>
    <tableColumn id="134" name="列91"/>
    <tableColumn id="135" name="列92"/>
    <tableColumn id="136" name="列93"/>
    <tableColumn id="137" name="列94"/>
    <tableColumn id="138" name="列95"/>
    <tableColumn id="139" name="列96"/>
    <tableColumn id="140" name="列97"/>
    <tableColumn id="141" name="列98"/>
    <tableColumn id="142" name="列99"/>
    <tableColumn id="143" name="列100"/>
    <tableColumn id="144" name="列101"/>
    <tableColumn id="145" name="列102"/>
    <tableColumn id="146" name="列103"/>
    <tableColumn id="147" name="列104"/>
    <tableColumn id="148" name="列105"/>
    <tableColumn id="149" name="列106"/>
    <tableColumn id="150" name="列107"/>
    <tableColumn id="151" name="列108"/>
    <tableColumn id="152" name="列109"/>
    <tableColumn id="153" name="列110"/>
    <tableColumn id="154" name="列111"/>
    <tableColumn id="155" name="列112"/>
    <tableColumn id="156" name="列113"/>
    <tableColumn id="157" name="列114"/>
    <tableColumn id="158" name="列115"/>
    <tableColumn id="159" name="列116"/>
    <tableColumn id="160" name="列117"/>
    <tableColumn id="161" name="列118"/>
    <tableColumn id="162" name="列119"/>
    <tableColumn id="163" name="列120"/>
    <tableColumn id="164" name="列121"/>
    <tableColumn id="165" name="列122"/>
    <tableColumn id="166" name="列123"/>
    <tableColumn id="167" name="列124"/>
    <tableColumn id="168" name="列125"/>
    <tableColumn id="169" name="列126"/>
    <tableColumn id="170" name="列127"/>
    <tableColumn id="171" name="列128"/>
    <tableColumn id="172" name="列129"/>
    <tableColumn id="173" name="列130"/>
    <tableColumn id="174" name="列131"/>
    <tableColumn id="175" name="列132"/>
    <tableColumn id="176" name="列133"/>
    <tableColumn id="177" name="列134"/>
    <tableColumn id="178" name="列135"/>
    <tableColumn id="179" name="列136"/>
    <tableColumn id="180" name="列137"/>
    <tableColumn id="181" name="列138"/>
    <tableColumn id="182" name="列139"/>
    <tableColumn id="183" name="列140"/>
    <tableColumn id="184" name="列141"/>
    <tableColumn id="185" name="列142"/>
    <tableColumn id="186" name="列143"/>
    <tableColumn id="187" name="列144"/>
    <tableColumn id="188" name="列145"/>
    <tableColumn id="189" name="列146"/>
    <tableColumn id="190" name="列147"/>
    <tableColumn id="191" name="列148"/>
    <tableColumn id="192" name="列149"/>
    <tableColumn id="193" name="列150"/>
    <tableColumn id="194" name="列151"/>
    <tableColumn id="195" name="列152"/>
    <tableColumn id="196" name="列153"/>
    <tableColumn id="197" name="列154"/>
    <tableColumn id="198" name="列155"/>
    <tableColumn id="199" name="列156"/>
    <tableColumn id="200" name="列157"/>
    <tableColumn id="201" name="列158"/>
    <tableColumn id="202" name="列159"/>
    <tableColumn id="203" name="列160"/>
    <tableColumn id="204" name="列161"/>
    <tableColumn id="205" name="列162"/>
    <tableColumn id="206" name="列163"/>
    <tableColumn id="207" name="列164"/>
    <tableColumn id="208" name="列165"/>
    <tableColumn id="209" name="列166"/>
    <tableColumn id="210" name="列167"/>
    <tableColumn id="211" name="列168"/>
    <tableColumn id="212" name="列169"/>
    <tableColumn id="213" name="列170"/>
    <tableColumn id="214" name="列171"/>
    <tableColumn id="215" name="列172"/>
    <tableColumn id="216" name="列173"/>
    <tableColumn id="217" name="列174"/>
    <tableColumn id="218" name="列175"/>
    <tableColumn id="219" name="列176"/>
    <tableColumn id="220" name="列177"/>
    <tableColumn id="221" name="列178"/>
    <tableColumn id="222" name="列179"/>
    <tableColumn id="223" name="列180"/>
    <tableColumn id="224" name="列181"/>
    <tableColumn id="225" name="列182"/>
    <tableColumn id="226" name="列183"/>
    <tableColumn id="227" name="列184"/>
    <tableColumn id="228" name="列185"/>
    <tableColumn id="229" name="列186"/>
    <tableColumn id="230" name="列187"/>
    <tableColumn id="231" name="列188"/>
    <tableColumn id="232" name="列189"/>
    <tableColumn id="233" name="列190"/>
    <tableColumn id="234" name="列191"/>
    <tableColumn id="235" name="列192"/>
    <tableColumn id="236" name="列193"/>
    <tableColumn id="237" name="列194"/>
    <tableColumn id="238" name="列195"/>
    <tableColumn id="239" name="列196"/>
    <tableColumn id="240" name="列197"/>
    <tableColumn id="241" name="列198"/>
    <tableColumn id="242" name="列199"/>
    <tableColumn id="243" name="列200"/>
    <tableColumn id="244" name="列201"/>
    <tableColumn id="245" name="列202"/>
    <tableColumn id="246" name="列203"/>
    <tableColumn id="247" name="列204"/>
    <tableColumn id="248" name="列205"/>
    <tableColumn id="249" name="列206"/>
    <tableColumn id="250" name="列207"/>
    <tableColumn id="251" name="列208"/>
    <tableColumn id="252" name="列209"/>
    <tableColumn id="253" name="列210"/>
    <tableColumn id="254" name="列211"/>
    <tableColumn id="255" name="列212"/>
    <tableColumn id="256" name="列213"/>
    <tableColumn id="257" name="列214"/>
    <tableColumn id="258" name="列215"/>
    <tableColumn id="259" name="列216"/>
    <tableColumn id="260" name="列217"/>
    <tableColumn id="261" name="列218"/>
    <tableColumn id="262" name="列219"/>
    <tableColumn id="263" name="列220"/>
    <tableColumn id="264" name="列221"/>
    <tableColumn id="265" name="列222"/>
    <tableColumn id="266" name="列223"/>
    <tableColumn id="267" name="列224"/>
    <tableColumn id="268" name="列225"/>
    <tableColumn id="269" name="列226"/>
    <tableColumn id="270" name="列227"/>
    <tableColumn id="271" name="列228"/>
    <tableColumn id="272" name="列229"/>
    <tableColumn id="273" name="列230"/>
    <tableColumn id="274" name="列231"/>
    <tableColumn id="275" name="列232"/>
    <tableColumn id="276" name="列233"/>
    <tableColumn id="277" name="列234"/>
    <tableColumn id="278" name="列235"/>
    <tableColumn id="279" name="列236"/>
    <tableColumn id="280" name="列237"/>
    <tableColumn id="281" name="列238"/>
    <tableColumn id="282" name="列239"/>
    <tableColumn id="283" name="列240"/>
    <tableColumn id="284" name="列241"/>
    <tableColumn id="285" name="列242"/>
    <tableColumn id="286" name="列243"/>
    <tableColumn id="287" name="列244"/>
    <tableColumn id="288" name="列245"/>
    <tableColumn id="289" name="列246"/>
    <tableColumn id="290" name="列247"/>
    <tableColumn id="291" name="列248"/>
    <tableColumn id="292" name="列249"/>
    <tableColumn id="293" name="列250"/>
    <tableColumn id="294" name="列251"/>
    <tableColumn id="295" name="列252"/>
    <tableColumn id="296" name="列253"/>
    <tableColumn id="297" name="列254"/>
    <tableColumn id="298" name="列255"/>
    <tableColumn id="299" name="列256"/>
    <tableColumn id="300" name="列257"/>
    <tableColumn id="301" name="列258"/>
    <tableColumn id="302" name="列259"/>
    <tableColumn id="303" name="列260"/>
    <tableColumn id="304" name="列261"/>
    <tableColumn id="305" name="列262"/>
    <tableColumn id="306" name="列263"/>
    <tableColumn id="307" name="列264"/>
    <tableColumn id="308" name="列265"/>
    <tableColumn id="309" name="列266"/>
    <tableColumn id="310" name="列267"/>
    <tableColumn id="311" name="列268"/>
    <tableColumn id="312" name="列269"/>
    <tableColumn id="313" name="列270"/>
    <tableColumn id="314" name="列271"/>
    <tableColumn id="315" name="列272"/>
    <tableColumn id="316" name="列273"/>
    <tableColumn id="317" name="列274"/>
    <tableColumn id="318" name="列275"/>
    <tableColumn id="319" name="列276"/>
    <tableColumn id="320" name="列277"/>
    <tableColumn id="321" name="列278"/>
    <tableColumn id="322" name="列279"/>
    <tableColumn id="323" name="列280"/>
    <tableColumn id="324" name="列281"/>
    <tableColumn id="325" name="列282"/>
    <tableColumn id="326" name="列283"/>
    <tableColumn id="327" name="列284"/>
    <tableColumn id="328" name="列285"/>
    <tableColumn id="329" name="列286"/>
    <tableColumn id="330" name="列287"/>
    <tableColumn id="331" name="列288"/>
    <tableColumn id="332" name="列289"/>
    <tableColumn id="333" name="列290"/>
    <tableColumn id="334" name="列291"/>
    <tableColumn id="335" name="列292"/>
    <tableColumn id="336" name="列293"/>
    <tableColumn id="337" name="列294"/>
    <tableColumn id="338" name="列295"/>
    <tableColumn id="339" name="列296"/>
    <tableColumn id="340" name="列297"/>
    <tableColumn id="341" name="列298"/>
    <tableColumn id="342" name="列299"/>
    <tableColumn id="343" name="列300"/>
    <tableColumn id="344" name="列301"/>
    <tableColumn id="345" name="列302"/>
    <tableColumn id="346" name="列303"/>
    <tableColumn id="347" name="列304"/>
    <tableColumn id="348" name="列305"/>
    <tableColumn id="349" name="列306"/>
    <tableColumn id="350" name="列307"/>
    <tableColumn id="351" name="列308"/>
    <tableColumn id="352" name="列309"/>
    <tableColumn id="353" name="列310"/>
    <tableColumn id="354" name="列311"/>
    <tableColumn id="355" name="列312"/>
    <tableColumn id="356" name="列313"/>
    <tableColumn id="357" name="列314"/>
    <tableColumn id="358" name="列315"/>
    <tableColumn id="359" name="列316"/>
    <tableColumn id="360" name="列317"/>
    <tableColumn id="361" name="列318"/>
    <tableColumn id="362" name="列319"/>
    <tableColumn id="363" name="列320"/>
    <tableColumn id="364" name="列321"/>
    <tableColumn id="365" name="列322"/>
    <tableColumn id="366" name="列323"/>
    <tableColumn id="367" name="列324"/>
    <tableColumn id="368" name="列325"/>
    <tableColumn id="369" name="列326"/>
    <tableColumn id="370" name="列327"/>
    <tableColumn id="371" name="列328"/>
    <tableColumn id="372" name="列329"/>
    <tableColumn id="373" name="列330"/>
    <tableColumn id="374" name="列331"/>
    <tableColumn id="375" name="列332"/>
    <tableColumn id="376" name="列333"/>
    <tableColumn id="377" name="列334"/>
    <tableColumn id="378" name="列335"/>
    <tableColumn id="379" name="列336"/>
    <tableColumn id="380" name="列337"/>
    <tableColumn id="381" name="列338"/>
    <tableColumn id="382" name="列339"/>
    <tableColumn id="383" name="列340"/>
    <tableColumn id="384" name="列341"/>
    <tableColumn id="385" name="列342"/>
    <tableColumn id="386" name="列343"/>
    <tableColumn id="387" name="列344"/>
    <tableColumn id="388" name="列345"/>
    <tableColumn id="389" name="列346"/>
    <tableColumn id="390" name="列347"/>
    <tableColumn id="391" name="列348"/>
    <tableColumn id="392" name="列349"/>
    <tableColumn id="393" name="列350"/>
    <tableColumn id="394" name="列351"/>
    <tableColumn id="395" name="列352"/>
    <tableColumn id="396" name="列353"/>
    <tableColumn id="397" name="列354"/>
    <tableColumn id="398" name="列355"/>
    <tableColumn id="399" name="列356"/>
    <tableColumn id="400" name="列357"/>
    <tableColumn id="401" name="列358"/>
    <tableColumn id="402" name="列359"/>
    <tableColumn id="403" name="列360"/>
    <tableColumn id="404" name="列361"/>
    <tableColumn id="405" name="列362"/>
    <tableColumn id="406" name="列363"/>
    <tableColumn id="407" name="列364"/>
    <tableColumn id="408" name="列365"/>
    <tableColumn id="409" name="列366"/>
    <tableColumn id="410" name="列367"/>
    <tableColumn id="411" name="列368"/>
    <tableColumn id="412" name="列369"/>
    <tableColumn id="413" name="列370"/>
    <tableColumn id="414" name="列371"/>
    <tableColumn id="415" name="列372"/>
    <tableColumn id="416" name="列373"/>
    <tableColumn id="417" name="列374"/>
    <tableColumn id="418" name="列375"/>
    <tableColumn id="419" name="列376"/>
    <tableColumn id="420" name="列377"/>
    <tableColumn id="421" name="列378"/>
    <tableColumn id="422" name="列379"/>
    <tableColumn id="423" name="列380"/>
    <tableColumn id="424" name="列381"/>
    <tableColumn id="425" name="列382"/>
    <tableColumn id="426" name="列383"/>
    <tableColumn id="427" name="列384"/>
    <tableColumn id="428" name="列385"/>
    <tableColumn id="429" name="列386"/>
    <tableColumn id="430" name="列387"/>
    <tableColumn id="431" name="列388"/>
    <tableColumn id="432" name="列389"/>
    <tableColumn id="433" name="列390"/>
    <tableColumn id="434" name="列391"/>
    <tableColumn id="435" name="列392"/>
    <tableColumn id="436" name="列393"/>
    <tableColumn id="437" name="列394"/>
    <tableColumn id="438" name="列395"/>
    <tableColumn id="439" name="列396"/>
    <tableColumn id="440" name="列397"/>
    <tableColumn id="441" name="列398"/>
    <tableColumn id="442" name="列399"/>
    <tableColumn id="443" name="列400"/>
    <tableColumn id="444" name="列401"/>
    <tableColumn id="445" name="列402"/>
    <tableColumn id="446" name="列403"/>
    <tableColumn id="447" name="列404"/>
    <tableColumn id="448" name="列405"/>
    <tableColumn id="449" name="列406"/>
    <tableColumn id="450" name="列407"/>
    <tableColumn id="451" name="列408"/>
    <tableColumn id="452" name="列409"/>
    <tableColumn id="453" name="列410"/>
    <tableColumn id="454" name="列411"/>
    <tableColumn id="455" name="列412"/>
    <tableColumn id="456" name="列413"/>
    <tableColumn id="457" name="列414"/>
    <tableColumn id="458" name="列415"/>
    <tableColumn id="459" name="列416"/>
    <tableColumn id="460" name="列417"/>
    <tableColumn id="461" name="列418"/>
    <tableColumn id="462" name="列419"/>
    <tableColumn id="463" name="列420"/>
    <tableColumn id="464" name="列421"/>
    <tableColumn id="465" name="列422"/>
    <tableColumn id="466" name="列423"/>
    <tableColumn id="467" name="列424"/>
    <tableColumn id="468" name="列425"/>
    <tableColumn id="469" name="列426"/>
    <tableColumn id="470" name="列427"/>
    <tableColumn id="471" name="列428"/>
    <tableColumn id="472" name="列429"/>
    <tableColumn id="473" name="列430"/>
    <tableColumn id="474" name="列431"/>
    <tableColumn id="475" name="列432"/>
    <tableColumn id="476" name="列433"/>
    <tableColumn id="477" name="列434"/>
    <tableColumn id="478" name="列435"/>
    <tableColumn id="479" name="列436"/>
    <tableColumn id="480" name="列437"/>
    <tableColumn id="481" name="列438"/>
    <tableColumn id="482" name="列439"/>
    <tableColumn id="483" name="列440"/>
    <tableColumn id="484" name="列441"/>
    <tableColumn id="485" name="列442"/>
    <tableColumn id="486" name="列443"/>
    <tableColumn id="487" name="列444"/>
    <tableColumn id="488" name="列445"/>
    <tableColumn id="489" name="列446"/>
    <tableColumn id="490" name="列447"/>
    <tableColumn id="491" name="列448"/>
    <tableColumn id="492" name="列449"/>
    <tableColumn id="493" name="列450"/>
    <tableColumn id="494" name="列451"/>
    <tableColumn id="495" name="列452"/>
    <tableColumn id="496" name="列453"/>
    <tableColumn id="497" name="列454"/>
    <tableColumn id="498" name="列455"/>
    <tableColumn id="499" name="列456"/>
    <tableColumn id="500" name="列457"/>
    <tableColumn id="501" name="列458"/>
    <tableColumn id="502" name="列459"/>
    <tableColumn id="503" name="列460"/>
    <tableColumn id="504" name="列461"/>
    <tableColumn id="505" name="列462"/>
    <tableColumn id="506" name="列463"/>
    <tableColumn id="507" name="列464"/>
    <tableColumn id="508" name="列465"/>
    <tableColumn id="509" name="列466"/>
    <tableColumn id="510" name="列467"/>
    <tableColumn id="511" name="列468"/>
    <tableColumn id="512" name="列469"/>
    <tableColumn id="513" name="列470"/>
    <tableColumn id="514" name="列471"/>
    <tableColumn id="515" name="列472"/>
    <tableColumn id="516" name="列473"/>
    <tableColumn id="517" name="列474"/>
    <tableColumn id="518" name="列475"/>
    <tableColumn id="519" name="列476"/>
    <tableColumn id="520" name="列477"/>
    <tableColumn id="521" name="列478"/>
    <tableColumn id="522" name="列479"/>
    <tableColumn id="523" name="列480"/>
    <tableColumn id="524" name="列481"/>
    <tableColumn id="525" name="列482"/>
    <tableColumn id="526" name="列483"/>
    <tableColumn id="527" name="列484"/>
    <tableColumn id="528" name="列485"/>
    <tableColumn id="529" name="列486"/>
    <tableColumn id="530" name="列487"/>
    <tableColumn id="531" name="列488"/>
    <tableColumn id="532" name="列489"/>
    <tableColumn id="533" name="列490"/>
    <tableColumn id="534" name="列491"/>
    <tableColumn id="535" name="列492"/>
    <tableColumn id="536" name="列493"/>
    <tableColumn id="537" name="列494"/>
    <tableColumn id="538" name="列495"/>
    <tableColumn id="539" name="列496"/>
    <tableColumn id="540" name="列497"/>
    <tableColumn id="541" name="列498"/>
    <tableColumn id="542" name="列499"/>
    <tableColumn id="543" name="列500"/>
    <tableColumn id="544" name="列501"/>
    <tableColumn id="545" name="列502"/>
    <tableColumn id="546" name="列503"/>
    <tableColumn id="547" name="列504"/>
    <tableColumn id="548" name="列505"/>
    <tableColumn id="549" name="列506"/>
    <tableColumn id="550" name="列507"/>
    <tableColumn id="551" name="列508"/>
    <tableColumn id="552" name="列509"/>
    <tableColumn id="553" name="列510"/>
    <tableColumn id="554" name="列511"/>
    <tableColumn id="555" name="列512"/>
    <tableColumn id="556" name="列513"/>
    <tableColumn id="557" name="列514"/>
    <tableColumn id="558" name="列515"/>
    <tableColumn id="559" name="列516"/>
    <tableColumn id="560" name="列517"/>
    <tableColumn id="561" name="列518"/>
    <tableColumn id="562" name="列519"/>
    <tableColumn id="563" name="列520"/>
    <tableColumn id="564" name="列521"/>
    <tableColumn id="565" name="列522"/>
    <tableColumn id="566" name="列523"/>
    <tableColumn id="567" name="列524"/>
    <tableColumn id="568" name="列525"/>
    <tableColumn id="569" name="列526"/>
    <tableColumn id="570" name="列527"/>
    <tableColumn id="571" name="列528"/>
    <tableColumn id="572" name="列529"/>
    <tableColumn id="573" name="列530"/>
    <tableColumn id="574" name="列531"/>
    <tableColumn id="575" name="列532"/>
    <tableColumn id="576" name="列533"/>
    <tableColumn id="577" name="列534"/>
    <tableColumn id="578" name="列535"/>
    <tableColumn id="579" name="列536"/>
    <tableColumn id="580" name="列537"/>
    <tableColumn id="581" name="列538"/>
    <tableColumn id="582" name="列539"/>
    <tableColumn id="583" name="列540"/>
    <tableColumn id="584" name="列541"/>
    <tableColumn id="585" name="列542"/>
    <tableColumn id="586" name="列543"/>
    <tableColumn id="587" name="列544"/>
    <tableColumn id="588" name="列545"/>
    <tableColumn id="589" name="列546"/>
    <tableColumn id="590" name="列547"/>
    <tableColumn id="591" name="列548"/>
    <tableColumn id="592" name="列549"/>
    <tableColumn id="593" name="列550"/>
    <tableColumn id="594" name="列551"/>
    <tableColumn id="595" name="列552"/>
    <tableColumn id="596" name="列553"/>
    <tableColumn id="597" name="列554"/>
    <tableColumn id="598" name="列555"/>
    <tableColumn id="599" name="列556"/>
    <tableColumn id="600" name="列557"/>
    <tableColumn id="601" name="列558"/>
    <tableColumn id="602" name="列559"/>
    <tableColumn id="603" name="列560"/>
    <tableColumn id="604" name="列561"/>
    <tableColumn id="605" name="列562"/>
    <tableColumn id="606" name="列563"/>
    <tableColumn id="607" name="列564"/>
    <tableColumn id="608" name="列565"/>
    <tableColumn id="609" name="列566"/>
    <tableColumn id="610" name="列567"/>
    <tableColumn id="611" name="列568"/>
    <tableColumn id="612" name="列569"/>
    <tableColumn id="613" name="列570"/>
    <tableColumn id="614" name="列571"/>
    <tableColumn id="615" name="列572"/>
    <tableColumn id="616" name="列573"/>
    <tableColumn id="617" name="列574"/>
    <tableColumn id="618" name="列575"/>
    <tableColumn id="619" name="列576"/>
    <tableColumn id="620" name="列577"/>
    <tableColumn id="621" name="列578"/>
    <tableColumn id="622" name="列579"/>
    <tableColumn id="623" name="列580"/>
    <tableColumn id="624" name="列581"/>
    <tableColumn id="625" name="列582"/>
    <tableColumn id="626" name="列583"/>
    <tableColumn id="627" name="列584"/>
    <tableColumn id="628" name="列585"/>
    <tableColumn id="629" name="列586"/>
    <tableColumn id="630" name="列587"/>
    <tableColumn id="631" name="列588"/>
    <tableColumn id="632" name="列589"/>
    <tableColumn id="633" name="列590"/>
    <tableColumn id="634" name="列591"/>
    <tableColumn id="635" name="列592"/>
    <tableColumn id="636" name="列593"/>
    <tableColumn id="637" name="列594"/>
    <tableColumn id="638" name="列595"/>
    <tableColumn id="639" name="列596"/>
    <tableColumn id="640" name="列597"/>
    <tableColumn id="641" name="列598"/>
    <tableColumn id="642" name="列599"/>
    <tableColumn id="643" name="列600"/>
    <tableColumn id="644" name="列601"/>
    <tableColumn id="645" name="列602"/>
    <tableColumn id="646" name="列603"/>
    <tableColumn id="647" name="列604"/>
    <tableColumn id="648" name="列605"/>
    <tableColumn id="649" name="列606"/>
    <tableColumn id="650" name="列607"/>
    <tableColumn id="651" name="列608"/>
    <tableColumn id="652" name="列609"/>
    <tableColumn id="653" name="列610"/>
    <tableColumn id="654" name="列611"/>
    <tableColumn id="655" name="列612"/>
    <tableColumn id="656" name="列613"/>
    <tableColumn id="657" name="列614"/>
    <tableColumn id="658" name="列615"/>
    <tableColumn id="659" name="列616"/>
    <tableColumn id="660" name="列617"/>
    <tableColumn id="661" name="列618"/>
    <tableColumn id="662" name="列619"/>
    <tableColumn id="663" name="列620"/>
    <tableColumn id="664" name="列621"/>
    <tableColumn id="665" name="列622"/>
    <tableColumn id="666" name="列623"/>
    <tableColumn id="667" name="列624"/>
    <tableColumn id="668" name="列625"/>
    <tableColumn id="669" name="列626"/>
    <tableColumn id="670" name="列627"/>
    <tableColumn id="671" name="列628"/>
    <tableColumn id="672" name="列629"/>
    <tableColumn id="673" name="列630"/>
    <tableColumn id="674" name="列631"/>
    <tableColumn id="675" name="列632"/>
    <tableColumn id="676" name="列633"/>
    <tableColumn id="677" name="列634"/>
    <tableColumn id="678" name="列635"/>
    <tableColumn id="679" name="列636"/>
    <tableColumn id="680" name="列637"/>
    <tableColumn id="681" name="列638"/>
    <tableColumn id="682" name="列639"/>
    <tableColumn id="683" name="列640"/>
    <tableColumn id="684" name="列641"/>
    <tableColumn id="685" name="列642"/>
    <tableColumn id="686" name="列643"/>
    <tableColumn id="687" name="列644"/>
    <tableColumn id="688" name="列645"/>
    <tableColumn id="689" name="列646"/>
    <tableColumn id="690" name="列647"/>
    <tableColumn id="691" name="列648"/>
    <tableColumn id="692" name="列649"/>
    <tableColumn id="693" name="列650"/>
    <tableColumn id="694" name="列651"/>
    <tableColumn id="695" name="列652"/>
    <tableColumn id="696" name="列653"/>
    <tableColumn id="697" name="列654"/>
    <tableColumn id="698" name="列655"/>
    <tableColumn id="699" name="列656"/>
    <tableColumn id="700" name="列657"/>
    <tableColumn id="701" name="列658"/>
    <tableColumn id="702" name="列659"/>
    <tableColumn id="703" name="列660"/>
    <tableColumn id="704" name="列661"/>
    <tableColumn id="705" name="列662"/>
    <tableColumn id="706" name="列663"/>
    <tableColumn id="707" name="列664"/>
    <tableColumn id="708" name="列665"/>
    <tableColumn id="709" name="列666"/>
    <tableColumn id="710" name="列667"/>
    <tableColumn id="711" name="列668"/>
    <tableColumn id="712" name="列669"/>
    <tableColumn id="713" name="列670"/>
    <tableColumn id="714" name="列671"/>
    <tableColumn id="715" name="列672"/>
    <tableColumn id="716" name="列673"/>
    <tableColumn id="717" name="列674"/>
    <tableColumn id="718" name="列675"/>
    <tableColumn id="719" name="列676"/>
    <tableColumn id="720" name="列677"/>
    <tableColumn id="721" name="列678"/>
    <tableColumn id="722" name="列679"/>
    <tableColumn id="723" name="列680"/>
    <tableColumn id="724" name="列681"/>
    <tableColumn id="725" name="列682"/>
    <tableColumn id="726" name="列683"/>
    <tableColumn id="727" name="列684"/>
    <tableColumn id="728" name="列685"/>
    <tableColumn id="729" name="列686"/>
    <tableColumn id="730" name="列687"/>
    <tableColumn id="731" name="列688"/>
    <tableColumn id="732" name="列689"/>
    <tableColumn id="733" name="列690"/>
    <tableColumn id="734" name="列691"/>
    <tableColumn id="735" name="列692"/>
    <tableColumn id="736" name="列693"/>
    <tableColumn id="737" name="列694"/>
    <tableColumn id="738" name="列695"/>
    <tableColumn id="739" name="列696"/>
    <tableColumn id="740" name="列697"/>
    <tableColumn id="741" name="列698"/>
    <tableColumn id="742" name="列699"/>
    <tableColumn id="743" name="列700"/>
    <tableColumn id="744" name="列701"/>
    <tableColumn id="745" name="列702"/>
    <tableColumn id="746" name="列703"/>
    <tableColumn id="747" name="列704"/>
    <tableColumn id="748" name="列705"/>
    <tableColumn id="749" name="列706"/>
    <tableColumn id="750" name="列707"/>
    <tableColumn id="751" name="列708"/>
    <tableColumn id="752" name="列709"/>
    <tableColumn id="753" name="列710"/>
    <tableColumn id="754" name="列711"/>
    <tableColumn id="755" name="列712"/>
    <tableColumn id="756" name="列713"/>
    <tableColumn id="757" name="列714"/>
    <tableColumn id="758" name="列715"/>
    <tableColumn id="759" name="列716"/>
    <tableColumn id="760" name="列717"/>
    <tableColumn id="761" name="列718"/>
    <tableColumn id="762" name="列719"/>
    <tableColumn id="763" name="列720"/>
    <tableColumn id="764" name="列721"/>
    <tableColumn id="765" name="列722"/>
    <tableColumn id="766" name="列723"/>
    <tableColumn id="767" name="列724"/>
    <tableColumn id="768" name="列725"/>
    <tableColumn id="769" name="列726"/>
    <tableColumn id="770" name="列727"/>
    <tableColumn id="771" name="列728"/>
    <tableColumn id="772" name="列729"/>
    <tableColumn id="773" name="列730"/>
    <tableColumn id="774" name="列731"/>
    <tableColumn id="775" name="列732"/>
    <tableColumn id="776" name="列733"/>
    <tableColumn id="777" name="列734"/>
    <tableColumn id="778" name="列735"/>
    <tableColumn id="779" name="列736"/>
    <tableColumn id="780" name="列737"/>
    <tableColumn id="781" name="列738"/>
    <tableColumn id="782" name="列739"/>
    <tableColumn id="783" name="列740"/>
    <tableColumn id="784" name="列741"/>
    <tableColumn id="785" name="列742"/>
    <tableColumn id="786" name="列743"/>
    <tableColumn id="787" name="列744"/>
    <tableColumn id="788" name="列745"/>
    <tableColumn id="789" name="列746"/>
    <tableColumn id="790" name="列747"/>
    <tableColumn id="791" name="列748"/>
    <tableColumn id="792" name="列749"/>
    <tableColumn id="793" name="列750"/>
    <tableColumn id="794" name="列751"/>
    <tableColumn id="795" name="列752"/>
    <tableColumn id="796" name="列753"/>
    <tableColumn id="797" name="列754"/>
    <tableColumn id="798" name="列755"/>
    <tableColumn id="799" name="列756"/>
    <tableColumn id="800" name="列757"/>
    <tableColumn id="801" name="列758"/>
    <tableColumn id="802" name="列759"/>
    <tableColumn id="803" name="列760"/>
    <tableColumn id="804" name="列761"/>
    <tableColumn id="805" name="列762"/>
    <tableColumn id="806" name="列763"/>
    <tableColumn id="807" name="列764"/>
    <tableColumn id="808" name="列765"/>
    <tableColumn id="809" name="列766"/>
    <tableColumn id="810" name="列767"/>
    <tableColumn id="811" name="列768"/>
    <tableColumn id="812" name="列769"/>
    <tableColumn id="813" name="列770"/>
    <tableColumn id="814" name="列771"/>
    <tableColumn id="815" name="列772"/>
    <tableColumn id="816" name="列773"/>
    <tableColumn id="817" name="列774"/>
    <tableColumn id="818" name="列775"/>
    <tableColumn id="819" name="列776"/>
    <tableColumn id="820" name="列777"/>
    <tableColumn id="821" name="列778"/>
    <tableColumn id="822" name="列779"/>
    <tableColumn id="823" name="列780"/>
    <tableColumn id="824" name="列781"/>
    <tableColumn id="825" name="列782"/>
    <tableColumn id="826" name="列783"/>
    <tableColumn id="827" name="列784"/>
    <tableColumn id="828" name="列785"/>
    <tableColumn id="829" name="列786"/>
    <tableColumn id="830" name="列787"/>
    <tableColumn id="831" name="列788"/>
    <tableColumn id="832" name="列789"/>
    <tableColumn id="833" name="列790"/>
    <tableColumn id="834" name="列791"/>
    <tableColumn id="835" name="列792"/>
    <tableColumn id="836" name="列793"/>
    <tableColumn id="837" name="列794"/>
    <tableColumn id="838" name="列795"/>
    <tableColumn id="839" name="列796"/>
    <tableColumn id="840" name="列797"/>
    <tableColumn id="841" name="列798"/>
    <tableColumn id="842" name="列799"/>
    <tableColumn id="843" name="列800"/>
    <tableColumn id="844" name="列801"/>
    <tableColumn id="845" name="列802"/>
    <tableColumn id="846" name="列803"/>
    <tableColumn id="847" name="列804"/>
    <tableColumn id="848" name="列805"/>
    <tableColumn id="849" name="列806"/>
    <tableColumn id="850" name="列807"/>
    <tableColumn id="851" name="列808"/>
    <tableColumn id="852" name="列809"/>
    <tableColumn id="853" name="列810"/>
    <tableColumn id="854" name="列811"/>
    <tableColumn id="855" name="列812"/>
    <tableColumn id="856" name="列813"/>
    <tableColumn id="857" name="列814"/>
    <tableColumn id="858" name="列815"/>
    <tableColumn id="859" name="列816"/>
    <tableColumn id="860" name="列817"/>
    <tableColumn id="861" name="列818"/>
    <tableColumn id="862" name="列819"/>
    <tableColumn id="863" name="列820"/>
    <tableColumn id="864" name="列821"/>
    <tableColumn id="865" name="列822"/>
    <tableColumn id="866" name="列823"/>
    <tableColumn id="867" name="列824"/>
    <tableColumn id="868" name="列825"/>
    <tableColumn id="869" name="列826"/>
    <tableColumn id="870" name="列827"/>
    <tableColumn id="871" name="列828"/>
    <tableColumn id="872" name="列829"/>
    <tableColumn id="873" name="列830"/>
    <tableColumn id="874" name="列831"/>
    <tableColumn id="875" name="列832"/>
    <tableColumn id="876" name="列833"/>
    <tableColumn id="877" name="列834"/>
    <tableColumn id="878" name="列835"/>
    <tableColumn id="879" name="列836"/>
    <tableColumn id="880" name="列837"/>
    <tableColumn id="881" name="列838"/>
    <tableColumn id="882" name="列839"/>
    <tableColumn id="883" name="列840"/>
    <tableColumn id="884" name="列841"/>
    <tableColumn id="885" name="列842"/>
    <tableColumn id="886" name="列843"/>
    <tableColumn id="887" name="列844"/>
    <tableColumn id="888" name="列845"/>
    <tableColumn id="889" name="列846"/>
    <tableColumn id="890" name="列847"/>
    <tableColumn id="891" name="列848"/>
    <tableColumn id="892" name="列849"/>
    <tableColumn id="893" name="列850"/>
    <tableColumn id="894" name="列851"/>
    <tableColumn id="895" name="列852"/>
    <tableColumn id="896" name="列853"/>
    <tableColumn id="897" name="列854"/>
    <tableColumn id="898" name="列855"/>
    <tableColumn id="899" name="列856"/>
    <tableColumn id="900" name="列857"/>
    <tableColumn id="901" name="列858"/>
    <tableColumn id="902" name="列859"/>
    <tableColumn id="903" name="列860"/>
    <tableColumn id="904" name="列861"/>
    <tableColumn id="905" name="列862"/>
    <tableColumn id="906" name="列863"/>
    <tableColumn id="907" name="列864"/>
    <tableColumn id="908" name="列865"/>
    <tableColumn id="909" name="列866"/>
    <tableColumn id="910" name="列867"/>
    <tableColumn id="911" name="列868"/>
    <tableColumn id="912" name="列869"/>
    <tableColumn id="913" name="列870"/>
    <tableColumn id="914" name="列871"/>
    <tableColumn id="915" name="列872"/>
    <tableColumn id="916" name="列873"/>
    <tableColumn id="917" name="列874"/>
    <tableColumn id="918" name="列875"/>
    <tableColumn id="919" name="列876"/>
    <tableColumn id="920" name="列877"/>
    <tableColumn id="921" name="列878"/>
    <tableColumn id="922" name="列879"/>
    <tableColumn id="923" name="列880"/>
    <tableColumn id="924" name="列881"/>
    <tableColumn id="925" name="列882"/>
    <tableColumn id="926" name="列883"/>
    <tableColumn id="927" name="列884"/>
    <tableColumn id="928" name="列885"/>
    <tableColumn id="929" name="列886"/>
    <tableColumn id="930" name="列887"/>
    <tableColumn id="931" name="列888"/>
    <tableColumn id="932" name="列889"/>
    <tableColumn id="933" name="列890"/>
    <tableColumn id="934" name="列891"/>
    <tableColumn id="935" name="列892"/>
    <tableColumn id="936" name="列893"/>
    <tableColumn id="937" name="列894"/>
    <tableColumn id="938" name="列895"/>
    <tableColumn id="939" name="列896"/>
    <tableColumn id="940" name="列897"/>
    <tableColumn id="941" name="列898"/>
    <tableColumn id="942" name="列899"/>
    <tableColumn id="943" name="列900"/>
    <tableColumn id="944" name="列901"/>
    <tableColumn id="945" name="列902"/>
    <tableColumn id="946" name="列903"/>
    <tableColumn id="947" name="列904"/>
    <tableColumn id="948" name="列905"/>
    <tableColumn id="949" name="列906"/>
    <tableColumn id="950" name="列907"/>
    <tableColumn id="951" name="列908"/>
    <tableColumn id="952" name="列909"/>
    <tableColumn id="953" name="列910"/>
    <tableColumn id="954" name="列911"/>
    <tableColumn id="955" name="列912"/>
    <tableColumn id="956" name="列913"/>
    <tableColumn id="957" name="列914"/>
    <tableColumn id="958" name="列915"/>
    <tableColumn id="959" name="列916"/>
    <tableColumn id="960" name="列917"/>
    <tableColumn id="961" name="列918"/>
    <tableColumn id="962" name="列919"/>
    <tableColumn id="963" name="列920"/>
    <tableColumn id="964" name="列921"/>
    <tableColumn id="965" name="列922"/>
    <tableColumn id="966" name="列923"/>
    <tableColumn id="967" name="列924"/>
    <tableColumn id="968" name="列925"/>
    <tableColumn id="969" name="列926"/>
    <tableColumn id="970" name="列927"/>
    <tableColumn id="971" name="列928"/>
    <tableColumn id="972" name="列929"/>
    <tableColumn id="973" name="列930"/>
    <tableColumn id="974" name="列931"/>
    <tableColumn id="975" name="列932"/>
    <tableColumn id="976" name="列933"/>
    <tableColumn id="977" name="列934"/>
    <tableColumn id="978" name="列935"/>
    <tableColumn id="979" name="列936"/>
    <tableColumn id="980" name="列937"/>
    <tableColumn id="981" name="列938"/>
    <tableColumn id="982" name="列939"/>
    <tableColumn id="983" name="列940"/>
    <tableColumn id="984" name="列941"/>
    <tableColumn id="985" name="列942"/>
    <tableColumn id="986" name="列943"/>
    <tableColumn id="987" name="列944"/>
    <tableColumn id="988" name="列945"/>
    <tableColumn id="989" name="列946"/>
    <tableColumn id="990" name="列947"/>
    <tableColumn id="991" name="列948"/>
    <tableColumn id="992" name="列949"/>
    <tableColumn id="993" name="列950"/>
    <tableColumn id="994" name="列951"/>
    <tableColumn id="995" name="列952"/>
    <tableColumn id="996" name="列953"/>
    <tableColumn id="997" name="列954"/>
    <tableColumn id="998" name="列955"/>
    <tableColumn id="999" name="列956"/>
    <tableColumn id="1000" name="列957"/>
    <tableColumn id="1001" name="列958"/>
    <tableColumn id="1002" name="列959"/>
    <tableColumn id="1003" name="列960"/>
    <tableColumn id="1004" name="列961"/>
    <tableColumn id="1005" name="列962"/>
    <tableColumn id="1006" name="列963"/>
    <tableColumn id="1007" name="列964"/>
    <tableColumn id="1008" name="列965"/>
    <tableColumn id="1009" name="列966"/>
    <tableColumn id="1010" name="列967"/>
    <tableColumn id="1011" name="列968"/>
    <tableColumn id="1012" name="列969"/>
    <tableColumn id="1013" name="列970"/>
    <tableColumn id="1014" name="列971"/>
    <tableColumn id="1015" name="列972"/>
    <tableColumn id="1016" name="列973"/>
    <tableColumn id="1017" name="列974"/>
    <tableColumn id="1018" name="列975"/>
    <tableColumn id="1019" name="列976"/>
    <tableColumn id="1020" name="列977"/>
    <tableColumn id="1021" name="列978"/>
    <tableColumn id="1022" name="列979"/>
    <tableColumn id="1023" name="列980"/>
    <tableColumn id="1024" name="列981"/>
    <tableColumn id="1025" name="列982"/>
    <tableColumn id="1026" name="列983"/>
    <tableColumn id="1027" name="列984"/>
    <tableColumn id="1028" name="列985"/>
    <tableColumn id="1029" name="列986"/>
    <tableColumn id="1030" name="列987"/>
    <tableColumn id="1031" name="列988"/>
    <tableColumn id="1032" name="列989"/>
    <tableColumn id="1033" name="列990"/>
    <tableColumn id="1034" name="列991"/>
    <tableColumn id="1035" name="列992"/>
    <tableColumn id="1036" name="列993"/>
    <tableColumn id="1037" name="列994"/>
    <tableColumn id="1038" name="列995"/>
    <tableColumn id="1039" name="列996"/>
    <tableColumn id="1040" name="列997"/>
    <tableColumn id="1041" name="列998"/>
    <tableColumn id="1042" name="列999"/>
    <tableColumn id="1043" name="列1000"/>
    <tableColumn id="1044" name="列1001"/>
    <tableColumn id="1045" name="列1002"/>
    <tableColumn id="1046" name="列1003"/>
    <tableColumn id="1047" name="列1004"/>
    <tableColumn id="1048" name="列1005"/>
    <tableColumn id="1049" name="列1006"/>
    <tableColumn id="1050" name="列1007"/>
    <tableColumn id="1051" name="列1008"/>
    <tableColumn id="1052" name="列1009"/>
    <tableColumn id="1053" name="列1010"/>
    <tableColumn id="1054" name="列1011"/>
    <tableColumn id="1055" name="列1012"/>
    <tableColumn id="1056" name="列1013"/>
    <tableColumn id="1057" name="列1014"/>
    <tableColumn id="1058" name="列1015"/>
    <tableColumn id="1059" name="列1016"/>
    <tableColumn id="1060" name="列1017"/>
    <tableColumn id="1061" name="列1018"/>
    <tableColumn id="1062" name="列1019"/>
    <tableColumn id="1063" name="列1020"/>
    <tableColumn id="1064" name="列1021"/>
    <tableColumn id="1065" name="列1022"/>
    <tableColumn id="1066" name="列1023"/>
    <tableColumn id="1067" name="列1024"/>
    <tableColumn id="1068" name="列1025"/>
    <tableColumn id="1069" name="列1026"/>
    <tableColumn id="1070" name="列1027"/>
    <tableColumn id="1071" name="列1028"/>
    <tableColumn id="1072" name="列1029"/>
    <tableColumn id="1073" name="列1030"/>
    <tableColumn id="1074" name="列1031"/>
    <tableColumn id="1075" name="列1032"/>
    <tableColumn id="1076" name="列1033"/>
    <tableColumn id="1077" name="列1034"/>
    <tableColumn id="1078" name="列1035"/>
    <tableColumn id="1079" name="列1036"/>
    <tableColumn id="1080" name="列1037"/>
    <tableColumn id="1081" name="列1038"/>
    <tableColumn id="1082" name="列1039"/>
    <tableColumn id="1083" name="列1040"/>
    <tableColumn id="1084" name="列1041"/>
    <tableColumn id="1085" name="列1042"/>
    <tableColumn id="1086" name="列1043"/>
    <tableColumn id="1087" name="列1044"/>
    <tableColumn id="1088" name="列1045"/>
    <tableColumn id="1089" name="列1046"/>
    <tableColumn id="1090" name="列1047"/>
    <tableColumn id="1091" name="列1048"/>
    <tableColumn id="1092" name="列1049"/>
    <tableColumn id="1093" name="列1050"/>
    <tableColumn id="1094" name="列1051"/>
    <tableColumn id="1095" name="列1052"/>
    <tableColumn id="1096" name="列1053"/>
    <tableColumn id="1097" name="列1054"/>
    <tableColumn id="1098" name="列1055"/>
    <tableColumn id="1099" name="列1056"/>
    <tableColumn id="1100" name="列1057"/>
    <tableColumn id="1101" name="列1058"/>
    <tableColumn id="1102" name="列1059"/>
    <tableColumn id="1103" name="列1060"/>
    <tableColumn id="1104" name="列1061"/>
    <tableColumn id="1105" name="列1062"/>
    <tableColumn id="1106" name="列1063"/>
    <tableColumn id="1107" name="列1064"/>
    <tableColumn id="1108" name="列1065"/>
    <tableColumn id="1109" name="列1066"/>
    <tableColumn id="1110" name="列1067"/>
    <tableColumn id="1111" name="列1068"/>
    <tableColumn id="1112" name="列1069"/>
    <tableColumn id="1113" name="列1070"/>
    <tableColumn id="1114" name="列1071"/>
    <tableColumn id="1115" name="列1072"/>
    <tableColumn id="1116" name="列1073"/>
    <tableColumn id="1117" name="列1074"/>
    <tableColumn id="1118" name="列1075"/>
    <tableColumn id="1119" name="列1076"/>
    <tableColumn id="1120" name="列1077"/>
    <tableColumn id="1121" name="列1078"/>
    <tableColumn id="1122" name="列1079"/>
    <tableColumn id="1123" name="列1080"/>
    <tableColumn id="1124" name="列1081"/>
    <tableColumn id="1125" name="列1082"/>
    <tableColumn id="1126" name="列1083"/>
    <tableColumn id="1127" name="列1084"/>
    <tableColumn id="1128" name="列1085"/>
    <tableColumn id="1129" name="列1086"/>
    <tableColumn id="1130" name="列1087"/>
    <tableColumn id="1131" name="列1088"/>
    <tableColumn id="1132" name="列1089"/>
    <tableColumn id="1133" name="列1090"/>
    <tableColumn id="1134" name="列1091"/>
    <tableColumn id="1135" name="列1092"/>
    <tableColumn id="1136" name="列1093"/>
    <tableColumn id="1137" name="列1094"/>
    <tableColumn id="1138" name="列1095"/>
    <tableColumn id="1139" name="列1096"/>
    <tableColumn id="1140" name="列1097"/>
    <tableColumn id="1141" name="列1098"/>
    <tableColumn id="1142" name="列1099"/>
    <tableColumn id="1143" name="列1100"/>
    <tableColumn id="1144" name="列1101"/>
    <tableColumn id="1145" name="列1102"/>
    <tableColumn id="1146" name="列1103"/>
    <tableColumn id="1147" name="列1104"/>
    <tableColumn id="1148" name="列1105"/>
    <tableColumn id="1149" name="列1106"/>
    <tableColumn id="1150" name="列1107"/>
    <tableColumn id="1151" name="列1108"/>
    <tableColumn id="1152" name="列1109"/>
    <tableColumn id="1153" name="列1110"/>
    <tableColumn id="1154" name="列1111"/>
    <tableColumn id="1155" name="列1112"/>
    <tableColumn id="1156" name="列1113"/>
    <tableColumn id="1157" name="列1114"/>
    <tableColumn id="1158" name="列1115"/>
    <tableColumn id="1159" name="列1116"/>
    <tableColumn id="1160" name="列1117"/>
    <tableColumn id="1161" name="列1118"/>
    <tableColumn id="1162" name="列1119"/>
    <tableColumn id="1163" name="列1120"/>
    <tableColumn id="1164" name="列1121"/>
    <tableColumn id="1165" name="列1122"/>
    <tableColumn id="1166" name="列1123"/>
    <tableColumn id="1167" name="列1124"/>
    <tableColumn id="1168" name="列1125"/>
    <tableColumn id="1169" name="列1126"/>
    <tableColumn id="1170" name="列1127"/>
    <tableColumn id="1171" name="列1128"/>
    <tableColumn id="1172" name="列1129"/>
    <tableColumn id="1173" name="列1130"/>
    <tableColumn id="1174" name="列1131"/>
    <tableColumn id="1175" name="列1132"/>
    <tableColumn id="1176" name="列1133"/>
    <tableColumn id="1177" name="列1134"/>
    <tableColumn id="1178" name="列1135"/>
    <tableColumn id="1179" name="列1136"/>
    <tableColumn id="1180" name="列1137"/>
    <tableColumn id="1181" name="列1138"/>
    <tableColumn id="1182" name="列1139"/>
    <tableColumn id="1183" name="列1140"/>
    <tableColumn id="1184" name="列1141"/>
    <tableColumn id="1185" name="列1142"/>
    <tableColumn id="1186" name="列1143"/>
    <tableColumn id="1187" name="列1144"/>
    <tableColumn id="1188" name="列1145"/>
    <tableColumn id="1189" name="列1146"/>
    <tableColumn id="1190" name="列1147"/>
    <tableColumn id="1191" name="列1148"/>
    <tableColumn id="1192" name="列1149"/>
    <tableColumn id="1193" name="列1150"/>
    <tableColumn id="1194" name="列1151"/>
    <tableColumn id="1195" name="列1152"/>
    <tableColumn id="1196" name="列1153"/>
    <tableColumn id="1197" name="列1154"/>
    <tableColumn id="1198" name="列1155"/>
    <tableColumn id="1199" name="列1156"/>
    <tableColumn id="1200" name="列1157"/>
    <tableColumn id="1201" name="列1158"/>
    <tableColumn id="1202" name="列1159"/>
    <tableColumn id="1203" name="列1160"/>
    <tableColumn id="1204" name="列1161"/>
    <tableColumn id="1205" name="列1162"/>
    <tableColumn id="1206" name="列1163"/>
    <tableColumn id="1207" name="列1164"/>
    <tableColumn id="1208" name="列1165"/>
    <tableColumn id="1209" name="列1166"/>
    <tableColumn id="1210" name="列1167"/>
    <tableColumn id="1211" name="列1168"/>
    <tableColumn id="1212" name="列1169"/>
    <tableColumn id="1213" name="列1170"/>
    <tableColumn id="1214" name="列1171"/>
    <tableColumn id="1215" name="列1172"/>
    <tableColumn id="1216" name="列1173"/>
    <tableColumn id="1217" name="列1174"/>
    <tableColumn id="1218" name="列1175"/>
    <tableColumn id="1219" name="列1176"/>
    <tableColumn id="1220" name="列1177"/>
    <tableColumn id="1221" name="列1178"/>
    <tableColumn id="1222" name="列1179"/>
    <tableColumn id="1223" name="列1180"/>
    <tableColumn id="1224" name="列1181"/>
    <tableColumn id="1225" name="列1182"/>
    <tableColumn id="1226" name="列1183"/>
    <tableColumn id="1227" name="列1184"/>
    <tableColumn id="1228" name="列1185"/>
    <tableColumn id="1229" name="列1186"/>
    <tableColumn id="1230" name="列1187"/>
    <tableColumn id="1231" name="列1188"/>
    <tableColumn id="1232" name="列1189"/>
    <tableColumn id="1233" name="列1190"/>
    <tableColumn id="1234" name="列1191"/>
    <tableColumn id="1235" name="列1192"/>
    <tableColumn id="1236" name="列1193"/>
    <tableColumn id="1237" name="列1194"/>
    <tableColumn id="1238" name="列1195"/>
    <tableColumn id="1239" name="列1196"/>
    <tableColumn id="1240" name="列1197"/>
    <tableColumn id="1241" name="列1198"/>
    <tableColumn id="1242" name="列1199"/>
    <tableColumn id="1243" name="列1200"/>
    <tableColumn id="1244" name="列1201"/>
    <tableColumn id="1245" name="列1202"/>
    <tableColumn id="1246" name="列1203"/>
    <tableColumn id="1247" name="列1204"/>
    <tableColumn id="1248" name="列1205"/>
    <tableColumn id="1249" name="列1206"/>
    <tableColumn id="1250" name="列1207"/>
    <tableColumn id="1251" name="列1208"/>
    <tableColumn id="1252" name="列1209"/>
    <tableColumn id="1253" name="列1210"/>
    <tableColumn id="1254" name="列1211"/>
    <tableColumn id="1255" name="列1212"/>
    <tableColumn id="1256" name="列1213"/>
    <tableColumn id="1257" name="列1214"/>
    <tableColumn id="1258" name="列1215"/>
    <tableColumn id="1259" name="列1216"/>
    <tableColumn id="1260" name="列1217"/>
    <tableColumn id="1261" name="列1218"/>
    <tableColumn id="1262" name="列1219"/>
    <tableColumn id="1263" name="列1220"/>
    <tableColumn id="1264" name="列1221"/>
    <tableColumn id="1265" name="列1222"/>
    <tableColumn id="1266" name="列1223"/>
    <tableColumn id="1267" name="列1224"/>
    <tableColumn id="1268" name="列1225"/>
    <tableColumn id="1269" name="列1226"/>
    <tableColumn id="1270" name="列1227"/>
    <tableColumn id="1271" name="列1228"/>
    <tableColumn id="1272" name="列1229"/>
    <tableColumn id="1273" name="列1230"/>
    <tableColumn id="1274" name="列1231"/>
    <tableColumn id="1275" name="列1232"/>
    <tableColumn id="1276" name="列1233"/>
    <tableColumn id="1277" name="列1234"/>
    <tableColumn id="1278" name="列1235"/>
    <tableColumn id="1279" name="列1236"/>
    <tableColumn id="1280" name="列1237"/>
    <tableColumn id="1281" name="列1238"/>
    <tableColumn id="1282" name="列1239"/>
    <tableColumn id="1283" name="列1240"/>
    <tableColumn id="1284" name="列1241"/>
    <tableColumn id="1285" name="列1242"/>
    <tableColumn id="1286" name="列1243"/>
    <tableColumn id="1287" name="列1244"/>
    <tableColumn id="1288" name="列1245"/>
    <tableColumn id="1289" name="列1246"/>
    <tableColumn id="1290" name="列1247"/>
    <tableColumn id="1291" name="列1248"/>
    <tableColumn id="1292" name="列1249"/>
    <tableColumn id="1293" name="列1250"/>
    <tableColumn id="1294" name="列1251"/>
    <tableColumn id="1295" name="列1252"/>
    <tableColumn id="1296" name="列1253"/>
    <tableColumn id="1297" name="列1254"/>
    <tableColumn id="1298" name="列1255"/>
    <tableColumn id="1299" name="列1256"/>
    <tableColumn id="1300" name="列1257"/>
    <tableColumn id="1301" name="列1258"/>
    <tableColumn id="1302" name="列1259"/>
    <tableColumn id="1303" name="列1260"/>
    <tableColumn id="1304" name="列1261"/>
    <tableColumn id="1305" name="列1262"/>
    <tableColumn id="1306" name="列1263"/>
    <tableColumn id="1307" name="列1264"/>
    <tableColumn id="1308" name="列1265"/>
    <tableColumn id="1309" name="列1266"/>
    <tableColumn id="1310" name="列1267"/>
    <tableColumn id="1311" name="列1268"/>
    <tableColumn id="1312" name="列1269"/>
    <tableColumn id="1313" name="列1270"/>
    <tableColumn id="1314" name="列1271"/>
    <tableColumn id="1315" name="列1272"/>
    <tableColumn id="1316" name="列1273"/>
    <tableColumn id="1317" name="列1274"/>
    <tableColumn id="1318" name="列1275"/>
    <tableColumn id="1319" name="列1276"/>
    <tableColumn id="1320" name="列1277"/>
    <tableColumn id="1321" name="列1278"/>
    <tableColumn id="1322" name="列1279"/>
    <tableColumn id="1323" name="列1280"/>
    <tableColumn id="1324" name="列1281"/>
    <tableColumn id="1325" name="列1282"/>
    <tableColumn id="1326" name="列1283"/>
    <tableColumn id="1327" name="列1284"/>
    <tableColumn id="1328" name="列1285"/>
    <tableColumn id="1329" name="列1286"/>
    <tableColumn id="1330" name="列1287"/>
    <tableColumn id="1331" name="列1288"/>
    <tableColumn id="1332" name="列1289"/>
    <tableColumn id="1333" name="列1290"/>
    <tableColumn id="1334" name="列1291"/>
    <tableColumn id="1335" name="列1292"/>
    <tableColumn id="1336" name="列1293"/>
    <tableColumn id="1337" name="列1294"/>
    <tableColumn id="1338" name="列1295"/>
    <tableColumn id="1339" name="列1296"/>
    <tableColumn id="1340" name="列1297"/>
    <tableColumn id="1341" name="列1298"/>
    <tableColumn id="1342" name="列1299"/>
    <tableColumn id="1343" name="列1300"/>
    <tableColumn id="1344" name="列1301"/>
    <tableColumn id="1345" name="列1302"/>
    <tableColumn id="1346" name="列1303"/>
    <tableColumn id="1347" name="列1304"/>
    <tableColumn id="1348" name="列1305"/>
    <tableColumn id="1349" name="列1306"/>
    <tableColumn id="1350" name="列1307"/>
    <tableColumn id="1351" name="列1308"/>
    <tableColumn id="1352" name="列1309"/>
    <tableColumn id="1353" name="列1310"/>
    <tableColumn id="1354" name="列1311"/>
    <tableColumn id="1355" name="列1312"/>
    <tableColumn id="1356" name="列1313"/>
    <tableColumn id="1357" name="列1314"/>
    <tableColumn id="1358" name="列1315"/>
    <tableColumn id="1359" name="列1316"/>
    <tableColumn id="1360" name="列1317"/>
    <tableColumn id="1361" name="列1318"/>
    <tableColumn id="1362" name="列1319"/>
    <tableColumn id="1363" name="列1320"/>
    <tableColumn id="1364" name="列1321"/>
    <tableColumn id="1365" name="列1322"/>
    <tableColumn id="1366" name="列1323"/>
    <tableColumn id="1367" name="列1324"/>
    <tableColumn id="1368" name="列1325"/>
    <tableColumn id="1369" name="列1326"/>
    <tableColumn id="1370" name="列1327"/>
    <tableColumn id="1371" name="列1328"/>
    <tableColumn id="1372" name="列1329"/>
    <tableColumn id="1373" name="列1330"/>
    <tableColumn id="1374" name="列1331"/>
    <tableColumn id="1375" name="列1332"/>
    <tableColumn id="1376" name="列1333"/>
    <tableColumn id="1377" name="列1334"/>
    <tableColumn id="1378" name="列1335"/>
    <tableColumn id="1379" name="列1336"/>
    <tableColumn id="1380" name="列1337"/>
    <tableColumn id="1381" name="列1338"/>
    <tableColumn id="1382" name="列1339"/>
    <tableColumn id="1383" name="列1340"/>
    <tableColumn id="1384" name="列1341"/>
    <tableColumn id="1385" name="列1342"/>
    <tableColumn id="1386" name="列1343"/>
    <tableColumn id="1387" name="列1344"/>
    <tableColumn id="1388" name="列1345"/>
    <tableColumn id="1389" name="列1346"/>
    <tableColumn id="1390" name="列1347"/>
    <tableColumn id="1391" name="列1348"/>
    <tableColumn id="1392" name="列1349"/>
    <tableColumn id="1393" name="列1350"/>
    <tableColumn id="1394" name="列1351"/>
    <tableColumn id="1395" name="列1352"/>
    <tableColumn id="1396" name="列1353"/>
    <tableColumn id="1397" name="列1354"/>
    <tableColumn id="1398" name="列1355"/>
    <tableColumn id="1399" name="列1356"/>
    <tableColumn id="1400" name="列1357"/>
    <tableColumn id="1401" name="列1358"/>
    <tableColumn id="1402" name="列1359"/>
    <tableColumn id="1403" name="列1360"/>
    <tableColumn id="1404" name="列1361"/>
    <tableColumn id="1405" name="列1362"/>
    <tableColumn id="1406" name="列1363"/>
    <tableColumn id="1407" name="列1364"/>
    <tableColumn id="1408" name="列1365"/>
    <tableColumn id="1409" name="列1366"/>
    <tableColumn id="1410" name="列1367"/>
    <tableColumn id="1411" name="列1368"/>
    <tableColumn id="1412" name="列1369"/>
    <tableColumn id="1413" name="列1370"/>
    <tableColumn id="1414" name="列1371"/>
    <tableColumn id="1415" name="列1372"/>
    <tableColumn id="1416" name="列1373"/>
    <tableColumn id="1417" name="列1374"/>
    <tableColumn id="1418" name="列1375"/>
    <tableColumn id="1419" name="列1376"/>
    <tableColumn id="1420" name="列1377"/>
    <tableColumn id="1421" name="列1378"/>
    <tableColumn id="1422" name="列1379"/>
    <tableColumn id="1423" name="列1380"/>
    <tableColumn id="1424" name="列1381"/>
    <tableColumn id="1425" name="列1382"/>
    <tableColumn id="1426" name="列1383"/>
    <tableColumn id="1427" name="列1384"/>
    <tableColumn id="1428" name="列1385"/>
    <tableColumn id="1429" name="列1386"/>
    <tableColumn id="1430" name="列1387"/>
    <tableColumn id="1431" name="列1388"/>
    <tableColumn id="1432" name="列1389"/>
    <tableColumn id="1433" name="列1390"/>
    <tableColumn id="1434" name="列1391"/>
    <tableColumn id="1435" name="列1392"/>
    <tableColumn id="1436" name="列1393"/>
    <tableColumn id="1437" name="列1394"/>
    <tableColumn id="1438" name="列1395"/>
    <tableColumn id="1439" name="列1396"/>
    <tableColumn id="1440" name="列1397"/>
    <tableColumn id="1441" name="列1398"/>
    <tableColumn id="1442" name="列1399"/>
    <tableColumn id="1443" name="列1400"/>
    <tableColumn id="1444" name="列1401"/>
    <tableColumn id="1445" name="列1402"/>
    <tableColumn id="1446" name="列1403"/>
    <tableColumn id="1447" name="列1404"/>
    <tableColumn id="1448" name="列1405"/>
    <tableColumn id="1449" name="列1406"/>
    <tableColumn id="1450" name="列1407"/>
    <tableColumn id="1451" name="列1408"/>
    <tableColumn id="1452" name="列1409"/>
    <tableColumn id="1453" name="列1410"/>
    <tableColumn id="1454" name="列1411"/>
    <tableColumn id="1455" name="列1412"/>
    <tableColumn id="1456" name="列1413"/>
    <tableColumn id="1457" name="列1414"/>
    <tableColumn id="1458" name="列1415"/>
    <tableColumn id="1459" name="列1416"/>
    <tableColumn id="1460" name="列1417"/>
    <tableColumn id="1461" name="列1418"/>
    <tableColumn id="1462" name="列1419"/>
    <tableColumn id="1463" name="列1420"/>
    <tableColumn id="1464" name="列1421"/>
    <tableColumn id="1465" name="列1422"/>
    <tableColumn id="1466" name="列1423"/>
    <tableColumn id="1467" name="列1424"/>
    <tableColumn id="1468" name="列1425"/>
    <tableColumn id="1469" name="列1426"/>
    <tableColumn id="1470" name="列1427"/>
    <tableColumn id="1471" name="列1428"/>
    <tableColumn id="1472" name="列1429"/>
    <tableColumn id="1473" name="列1430"/>
    <tableColumn id="1474" name="列1431"/>
    <tableColumn id="1475" name="列1432"/>
    <tableColumn id="1476" name="列1433"/>
    <tableColumn id="1477" name="列1434"/>
    <tableColumn id="1478" name="列1435"/>
    <tableColumn id="1479" name="列1436"/>
    <tableColumn id="1480" name="列1437"/>
    <tableColumn id="1481" name="列1438"/>
    <tableColumn id="1482" name="列1439"/>
    <tableColumn id="1483" name="列1440"/>
    <tableColumn id="1484" name="列1441"/>
    <tableColumn id="1485" name="列1442"/>
    <tableColumn id="1486" name="列1443"/>
    <tableColumn id="1487" name="列1444"/>
    <tableColumn id="1488" name="列1445"/>
    <tableColumn id="1489" name="列1446"/>
    <tableColumn id="1490" name="列1447"/>
    <tableColumn id="1491" name="列1448"/>
    <tableColumn id="1492" name="列1449"/>
    <tableColumn id="1493" name="列1450"/>
    <tableColumn id="1494" name="列1451"/>
    <tableColumn id="1495" name="列1452"/>
    <tableColumn id="1496" name="列1453"/>
    <tableColumn id="1497" name="列1454"/>
    <tableColumn id="1498" name="列1455"/>
    <tableColumn id="1499" name="列1456"/>
    <tableColumn id="1500" name="列1457"/>
    <tableColumn id="1501" name="列1458"/>
    <tableColumn id="1502" name="列1459"/>
    <tableColumn id="1503" name="列1460"/>
    <tableColumn id="1504" name="列1461"/>
    <tableColumn id="1505" name="列1462"/>
    <tableColumn id="1506" name="列1463"/>
    <tableColumn id="1507" name="列1464"/>
    <tableColumn id="1508" name="列1465"/>
    <tableColumn id="1509" name="列1466"/>
    <tableColumn id="1510" name="列1467"/>
    <tableColumn id="1511" name="列1468"/>
    <tableColumn id="1512" name="列1469"/>
    <tableColumn id="1513" name="列1470"/>
    <tableColumn id="1514" name="列1471"/>
    <tableColumn id="1515" name="列1472"/>
    <tableColumn id="1516" name="列1473"/>
    <tableColumn id="1517" name="列1474"/>
    <tableColumn id="1518" name="列1475"/>
    <tableColumn id="1519" name="列1476"/>
    <tableColumn id="1520" name="列1477"/>
    <tableColumn id="1521" name="列1478"/>
    <tableColumn id="1522" name="列1479"/>
    <tableColumn id="1523" name="列1480"/>
    <tableColumn id="1524" name="列1481"/>
    <tableColumn id="1525" name="列1482"/>
    <tableColumn id="1526" name="列1483"/>
    <tableColumn id="1527" name="列1484"/>
    <tableColumn id="1528" name="列1485"/>
    <tableColumn id="1529" name="列1486"/>
    <tableColumn id="1530" name="列1487"/>
    <tableColumn id="1531" name="列1488"/>
    <tableColumn id="1532" name="列1489"/>
    <tableColumn id="1533" name="列1490"/>
    <tableColumn id="1534" name="列1491"/>
    <tableColumn id="1535" name="列1492"/>
    <tableColumn id="1536" name="列1493"/>
    <tableColumn id="1537" name="列1494"/>
    <tableColumn id="1538" name="列1495"/>
    <tableColumn id="1539" name="列1496"/>
    <tableColumn id="1540" name="列1497"/>
    <tableColumn id="1541" name="列1498"/>
    <tableColumn id="1542" name="列1499"/>
    <tableColumn id="1543" name="列1500"/>
    <tableColumn id="1544" name="列1501"/>
    <tableColumn id="1545" name="列1502"/>
    <tableColumn id="1546" name="列1503"/>
    <tableColumn id="1547" name="列1504"/>
    <tableColumn id="1548" name="列1505"/>
    <tableColumn id="1549" name="列1506"/>
    <tableColumn id="1550" name="列1507"/>
    <tableColumn id="1551" name="列1508"/>
    <tableColumn id="1552" name="列1509"/>
    <tableColumn id="1553" name="列1510"/>
    <tableColumn id="1554" name="列1511"/>
    <tableColumn id="1555" name="列1512"/>
    <tableColumn id="1556" name="列1513"/>
    <tableColumn id="1557" name="列1514"/>
    <tableColumn id="1558" name="列1515"/>
    <tableColumn id="1559" name="列1516"/>
    <tableColumn id="1560" name="列1517"/>
    <tableColumn id="1561" name="列1518"/>
    <tableColumn id="1562" name="列1519"/>
    <tableColumn id="1563" name="列1520"/>
    <tableColumn id="1564" name="列1521"/>
    <tableColumn id="1565" name="列1522"/>
    <tableColumn id="1566" name="列1523"/>
    <tableColumn id="1567" name="列1524"/>
    <tableColumn id="1568" name="列1525"/>
    <tableColumn id="1569" name="列1526"/>
    <tableColumn id="1570" name="列1527"/>
    <tableColumn id="1571" name="列1528"/>
    <tableColumn id="1572" name="列1529"/>
    <tableColumn id="1573" name="列1530"/>
    <tableColumn id="1574" name="列1531"/>
    <tableColumn id="1575" name="列1532"/>
    <tableColumn id="1576" name="列1533"/>
    <tableColumn id="1577" name="列1534"/>
    <tableColumn id="1578" name="列1535"/>
    <tableColumn id="1579" name="列1536"/>
    <tableColumn id="1580" name="列1537"/>
    <tableColumn id="1581" name="列1538"/>
    <tableColumn id="1582" name="列1539"/>
    <tableColumn id="1583" name="列1540"/>
    <tableColumn id="1584" name="列1541"/>
    <tableColumn id="1585" name="列1542"/>
    <tableColumn id="1586" name="列1543"/>
    <tableColumn id="1587" name="列1544"/>
    <tableColumn id="1588" name="列1545"/>
    <tableColumn id="1589" name="列1546"/>
    <tableColumn id="1590" name="列1547"/>
    <tableColumn id="1591" name="列1548"/>
    <tableColumn id="1592" name="列1549"/>
    <tableColumn id="1593" name="列1550"/>
    <tableColumn id="1594" name="列1551"/>
    <tableColumn id="1595" name="列1552"/>
    <tableColumn id="1596" name="列1553"/>
    <tableColumn id="1597" name="列1554"/>
    <tableColumn id="1598" name="列1555"/>
    <tableColumn id="1599" name="列1556"/>
    <tableColumn id="1600" name="列1557"/>
    <tableColumn id="1601" name="列1558"/>
    <tableColumn id="1602" name="列1559"/>
    <tableColumn id="1603" name="列1560"/>
    <tableColumn id="1604" name="列1561"/>
    <tableColumn id="1605" name="列1562"/>
    <tableColumn id="1606" name="列1563"/>
    <tableColumn id="1607" name="列1564"/>
    <tableColumn id="1608" name="列1565"/>
    <tableColumn id="1609" name="列1566"/>
    <tableColumn id="1610" name="列1567"/>
    <tableColumn id="1611" name="列1568"/>
    <tableColumn id="1612" name="列1569"/>
    <tableColumn id="1613" name="列1570"/>
    <tableColumn id="1614" name="列1571"/>
    <tableColumn id="1615" name="列1572"/>
    <tableColumn id="1616" name="列1573"/>
    <tableColumn id="1617" name="列1574"/>
    <tableColumn id="1618" name="列1575"/>
    <tableColumn id="1619" name="列1576"/>
    <tableColumn id="1620" name="列1577"/>
    <tableColumn id="1621" name="列1578"/>
    <tableColumn id="1622" name="列1579"/>
    <tableColumn id="1623" name="列1580"/>
    <tableColumn id="1624" name="列1581"/>
    <tableColumn id="1625" name="列1582"/>
    <tableColumn id="1626" name="列1583"/>
    <tableColumn id="1627" name="列1584"/>
    <tableColumn id="1628" name="列1585"/>
    <tableColumn id="1629" name="列1586"/>
    <tableColumn id="1630" name="列1587"/>
    <tableColumn id="1631" name="列1588"/>
    <tableColumn id="1632" name="列1589"/>
    <tableColumn id="1633" name="列1590"/>
    <tableColumn id="1634" name="列1591"/>
    <tableColumn id="1635" name="列1592"/>
    <tableColumn id="1636" name="列1593"/>
    <tableColumn id="1637" name="列1594"/>
    <tableColumn id="1638" name="列1595"/>
    <tableColumn id="1639" name="列1596"/>
    <tableColumn id="1640" name="列1597"/>
    <tableColumn id="1641" name="列1598"/>
    <tableColumn id="1642" name="列1599"/>
    <tableColumn id="1643" name="列1600"/>
    <tableColumn id="1644" name="列1601"/>
    <tableColumn id="1645" name="列1602"/>
    <tableColumn id="1646" name="列1603"/>
    <tableColumn id="1647" name="列1604"/>
    <tableColumn id="1648" name="列1605"/>
    <tableColumn id="1649" name="列1606"/>
    <tableColumn id="1650" name="列1607"/>
    <tableColumn id="1651" name="列1608"/>
    <tableColumn id="1652" name="列1609"/>
    <tableColumn id="1653" name="列1610"/>
    <tableColumn id="1654" name="列1611"/>
    <tableColumn id="1655" name="列1612"/>
    <tableColumn id="1656" name="列1613"/>
    <tableColumn id="1657" name="列1614"/>
    <tableColumn id="1658" name="列1615"/>
    <tableColumn id="1659" name="列1616"/>
    <tableColumn id="1660" name="列1617"/>
    <tableColumn id="1661" name="列1618"/>
    <tableColumn id="1662" name="列1619"/>
    <tableColumn id="1663" name="列1620"/>
    <tableColumn id="1664" name="列1621"/>
    <tableColumn id="1665" name="列1622"/>
    <tableColumn id="1666" name="列1623"/>
    <tableColumn id="1667" name="列1624"/>
    <tableColumn id="1668" name="列1625"/>
    <tableColumn id="1669" name="列1626"/>
    <tableColumn id="1670" name="列1627"/>
    <tableColumn id="1671" name="列1628"/>
    <tableColumn id="1672" name="列1629"/>
    <tableColumn id="1673" name="列1630"/>
    <tableColumn id="1674" name="列1631"/>
    <tableColumn id="1675" name="列1632"/>
    <tableColumn id="1676" name="列1633"/>
    <tableColumn id="1677" name="列1634"/>
    <tableColumn id="1678" name="列1635"/>
    <tableColumn id="1679" name="列1636"/>
    <tableColumn id="1680" name="列1637"/>
    <tableColumn id="1681" name="列1638"/>
    <tableColumn id="1682" name="列1639"/>
    <tableColumn id="1683" name="列1640"/>
    <tableColumn id="1684" name="列1641"/>
    <tableColumn id="1685" name="列1642"/>
    <tableColumn id="1686" name="列1643"/>
    <tableColumn id="1687" name="列1644"/>
    <tableColumn id="1688" name="列1645"/>
    <tableColumn id="1689" name="列1646"/>
    <tableColumn id="1690" name="列1647"/>
    <tableColumn id="1691" name="列1648"/>
    <tableColumn id="1692" name="列1649"/>
    <tableColumn id="1693" name="列1650"/>
    <tableColumn id="1694" name="列1651"/>
    <tableColumn id="1695" name="列1652"/>
    <tableColumn id="1696" name="列1653"/>
    <tableColumn id="1697" name="列1654"/>
    <tableColumn id="1698" name="列1655"/>
    <tableColumn id="1699" name="列1656"/>
    <tableColumn id="1700" name="列1657"/>
    <tableColumn id="1701" name="列1658"/>
    <tableColumn id="1702" name="列1659"/>
    <tableColumn id="1703" name="列1660"/>
    <tableColumn id="1704" name="列1661"/>
    <tableColumn id="1705" name="列1662"/>
    <tableColumn id="1706" name="列1663"/>
    <tableColumn id="1707" name="列1664"/>
    <tableColumn id="1708" name="列1665"/>
    <tableColumn id="1709" name="列1666"/>
    <tableColumn id="1710" name="列1667"/>
    <tableColumn id="1711" name="列1668"/>
    <tableColumn id="1712" name="列1669"/>
    <tableColumn id="1713" name="列1670"/>
    <tableColumn id="1714" name="列1671"/>
    <tableColumn id="1715" name="列1672"/>
    <tableColumn id="1716" name="列1673"/>
    <tableColumn id="1717" name="列1674"/>
    <tableColumn id="1718" name="列1675"/>
    <tableColumn id="1719" name="列1676"/>
    <tableColumn id="1720" name="列1677"/>
    <tableColumn id="1721" name="列1678"/>
    <tableColumn id="1722" name="列1679"/>
    <tableColumn id="1723" name="列1680"/>
    <tableColumn id="1724" name="列1681"/>
    <tableColumn id="1725" name="列1682"/>
    <tableColumn id="1726" name="列1683"/>
    <tableColumn id="1727" name="列1684"/>
    <tableColumn id="1728" name="列1685"/>
    <tableColumn id="1729" name="列1686"/>
    <tableColumn id="1730" name="列1687"/>
    <tableColumn id="1731" name="列1688"/>
    <tableColumn id="1732" name="列1689"/>
    <tableColumn id="1733" name="列1690"/>
    <tableColumn id="1734" name="列1691"/>
    <tableColumn id="1735" name="列1692"/>
    <tableColumn id="1736" name="列1693"/>
    <tableColumn id="1737" name="列1694"/>
    <tableColumn id="1738" name="列1695"/>
    <tableColumn id="1739" name="列1696"/>
    <tableColumn id="1740" name="列1697"/>
    <tableColumn id="1741" name="列1698"/>
    <tableColumn id="1742" name="列1699"/>
    <tableColumn id="1743" name="列1700"/>
    <tableColumn id="1744" name="列1701"/>
    <tableColumn id="1745" name="列1702"/>
    <tableColumn id="1746" name="列1703"/>
    <tableColumn id="1747" name="列1704"/>
    <tableColumn id="1748" name="列1705"/>
    <tableColumn id="1749" name="列1706"/>
    <tableColumn id="1750" name="列1707"/>
    <tableColumn id="1751" name="列1708"/>
    <tableColumn id="1752" name="列1709"/>
    <tableColumn id="1753" name="列1710"/>
    <tableColumn id="1754" name="列1711"/>
    <tableColumn id="1755" name="列1712"/>
    <tableColumn id="1756" name="列1713"/>
    <tableColumn id="1757" name="列1714"/>
    <tableColumn id="1758" name="列1715"/>
    <tableColumn id="1759" name="列1716"/>
    <tableColumn id="1760" name="列1717"/>
    <tableColumn id="1761" name="列1718"/>
    <tableColumn id="1762" name="列1719"/>
    <tableColumn id="1763" name="列1720"/>
    <tableColumn id="1764" name="列1721"/>
    <tableColumn id="1765" name="列1722"/>
    <tableColumn id="1766" name="列1723"/>
    <tableColumn id="1767" name="列1724"/>
    <tableColumn id="1768" name="列1725"/>
    <tableColumn id="1769" name="列1726"/>
    <tableColumn id="1770" name="列1727"/>
    <tableColumn id="1771" name="列1728"/>
    <tableColumn id="1772" name="列1729"/>
    <tableColumn id="1773" name="列1730"/>
    <tableColumn id="1774" name="列1731"/>
    <tableColumn id="1775" name="列1732"/>
    <tableColumn id="1776" name="列1733"/>
    <tableColumn id="1777" name="列1734"/>
    <tableColumn id="1778" name="列1735"/>
    <tableColumn id="1779" name="列1736"/>
    <tableColumn id="1780" name="列1737"/>
    <tableColumn id="1781" name="列1738"/>
    <tableColumn id="1782" name="列1739"/>
    <tableColumn id="1783" name="列1740"/>
    <tableColumn id="1784" name="列1741"/>
    <tableColumn id="1785" name="列1742"/>
    <tableColumn id="1786" name="列1743"/>
    <tableColumn id="1787" name="列1744"/>
    <tableColumn id="1788" name="列1745"/>
    <tableColumn id="1789" name="列1746"/>
    <tableColumn id="1790" name="列1747"/>
    <tableColumn id="1791" name="列1748"/>
    <tableColumn id="1792" name="列1749"/>
    <tableColumn id="1793" name="列1750"/>
    <tableColumn id="1794" name="列1751"/>
    <tableColumn id="1795" name="列1752"/>
    <tableColumn id="1796" name="列1753"/>
    <tableColumn id="1797" name="列1754"/>
    <tableColumn id="1798" name="列1755"/>
    <tableColumn id="1799" name="列1756"/>
    <tableColumn id="1800" name="列1757"/>
    <tableColumn id="1801" name="列1758"/>
    <tableColumn id="1802" name="列1759"/>
    <tableColumn id="1803" name="列1760"/>
    <tableColumn id="1804" name="列1761"/>
    <tableColumn id="1805" name="列1762"/>
    <tableColumn id="1806" name="列1763"/>
    <tableColumn id="1807" name="列1764"/>
    <tableColumn id="1808" name="列1765"/>
    <tableColumn id="1809" name="列1766"/>
    <tableColumn id="1810" name="列1767"/>
    <tableColumn id="1811" name="列1768"/>
    <tableColumn id="1812" name="列1769"/>
    <tableColumn id="1813" name="列1770"/>
    <tableColumn id="1814" name="列1771"/>
    <tableColumn id="1815" name="列1772"/>
    <tableColumn id="1816" name="列1773"/>
    <tableColumn id="1817" name="列1774"/>
    <tableColumn id="1818" name="列1775"/>
    <tableColumn id="1819" name="列1776"/>
    <tableColumn id="1820" name="列1777"/>
    <tableColumn id="1821" name="列1778"/>
    <tableColumn id="1822" name="列1779"/>
    <tableColumn id="1823" name="列1780"/>
    <tableColumn id="1824" name="列1781"/>
    <tableColumn id="1825" name="列1782"/>
    <tableColumn id="1826" name="列1783"/>
    <tableColumn id="1827" name="列1784"/>
    <tableColumn id="1828" name="列1785"/>
    <tableColumn id="1829" name="列1786"/>
    <tableColumn id="1830" name="列1787"/>
    <tableColumn id="1831" name="列1788"/>
    <tableColumn id="1832" name="列1789"/>
    <tableColumn id="1833" name="列1790"/>
    <tableColumn id="1834" name="列1791"/>
    <tableColumn id="1835" name="列1792"/>
    <tableColumn id="1836" name="列1793"/>
    <tableColumn id="1837" name="列1794"/>
    <tableColumn id="1838" name="列1795"/>
    <tableColumn id="1839" name="列1796"/>
    <tableColumn id="1840" name="列1797"/>
    <tableColumn id="1841" name="列1798"/>
    <tableColumn id="1842" name="列1799"/>
    <tableColumn id="1843" name="列1800"/>
    <tableColumn id="1844" name="列1801"/>
    <tableColumn id="1845" name="列1802"/>
    <tableColumn id="1846" name="列1803"/>
    <tableColumn id="1847" name="列1804"/>
    <tableColumn id="1848" name="列1805"/>
    <tableColumn id="1849" name="列1806"/>
    <tableColumn id="1850" name="列1807"/>
    <tableColumn id="1851" name="列1808"/>
    <tableColumn id="1852" name="列1809"/>
    <tableColumn id="1853" name="列1810"/>
    <tableColumn id="1854" name="列1811"/>
    <tableColumn id="1855" name="列1812"/>
    <tableColumn id="1856" name="列1813"/>
    <tableColumn id="1857" name="列1814"/>
    <tableColumn id="1858" name="列1815"/>
    <tableColumn id="1859" name="列1816"/>
    <tableColumn id="1860" name="列1817"/>
    <tableColumn id="1861" name="列1818"/>
    <tableColumn id="1862" name="列1819"/>
    <tableColumn id="1863" name="列1820"/>
    <tableColumn id="1864" name="列1821"/>
    <tableColumn id="1865" name="列1822"/>
    <tableColumn id="1866" name="列1823"/>
    <tableColumn id="1867" name="列1824"/>
    <tableColumn id="1868" name="列1825"/>
    <tableColumn id="1869" name="列1826"/>
    <tableColumn id="1870" name="列1827"/>
    <tableColumn id="1871" name="列1828"/>
    <tableColumn id="1872" name="列1829"/>
    <tableColumn id="1873" name="列1830"/>
    <tableColumn id="1874" name="列1831"/>
    <tableColumn id="1875" name="列1832"/>
    <tableColumn id="1876" name="列1833"/>
    <tableColumn id="1877" name="列1834"/>
    <tableColumn id="1878" name="列1835"/>
    <tableColumn id="1879" name="列1836"/>
    <tableColumn id="1880" name="列1837"/>
    <tableColumn id="1881" name="列1838"/>
    <tableColumn id="1882" name="列1839"/>
    <tableColumn id="1883" name="列1840"/>
    <tableColumn id="1884" name="列1841"/>
    <tableColumn id="1885" name="列1842"/>
    <tableColumn id="1886" name="列1843"/>
    <tableColumn id="1887" name="列1844"/>
    <tableColumn id="1888" name="列1845"/>
    <tableColumn id="1889" name="列1846"/>
    <tableColumn id="1890" name="列1847"/>
    <tableColumn id="1891" name="列1848"/>
    <tableColumn id="1892" name="列1849"/>
    <tableColumn id="1893" name="列1850"/>
    <tableColumn id="1894" name="列1851"/>
    <tableColumn id="1895" name="列1852"/>
    <tableColumn id="1896" name="列1853"/>
    <tableColumn id="1897" name="列1854"/>
    <tableColumn id="1898" name="列1855"/>
    <tableColumn id="1899" name="列1856"/>
    <tableColumn id="1900" name="列1857"/>
    <tableColumn id="1901" name="列1858"/>
    <tableColumn id="1902" name="列1859"/>
    <tableColumn id="1903" name="列1860"/>
    <tableColumn id="1904" name="列1861"/>
    <tableColumn id="1905" name="列1862"/>
    <tableColumn id="1906" name="列1863"/>
    <tableColumn id="1907" name="列1864"/>
    <tableColumn id="1908" name="列1865"/>
    <tableColumn id="1909" name="列1866"/>
    <tableColumn id="1910" name="列1867"/>
    <tableColumn id="1911" name="列1868"/>
    <tableColumn id="1912" name="列1869"/>
    <tableColumn id="1913" name="列1870"/>
    <tableColumn id="1914" name="列1871"/>
    <tableColumn id="1915" name="列1872"/>
    <tableColumn id="1916" name="列1873"/>
    <tableColumn id="1917" name="列1874"/>
    <tableColumn id="1918" name="列1875"/>
    <tableColumn id="1919" name="列1876"/>
    <tableColumn id="1920" name="列1877"/>
    <tableColumn id="1921" name="列1878"/>
    <tableColumn id="1922" name="列1879"/>
    <tableColumn id="1923" name="列1880"/>
    <tableColumn id="1924" name="列1881"/>
    <tableColumn id="1925" name="列1882"/>
    <tableColumn id="1926" name="列1883"/>
    <tableColumn id="1927" name="列1884"/>
    <tableColumn id="1928" name="列1885"/>
    <tableColumn id="1929" name="列1886"/>
    <tableColumn id="1930" name="列1887"/>
    <tableColumn id="1931" name="列1888"/>
    <tableColumn id="1932" name="列1889"/>
    <tableColumn id="1933" name="列1890"/>
    <tableColumn id="1934" name="列1891"/>
    <tableColumn id="1935" name="列1892"/>
    <tableColumn id="1936" name="列1893"/>
    <tableColumn id="1937" name="列1894"/>
    <tableColumn id="1938" name="列1895"/>
    <tableColumn id="1939" name="列1896"/>
    <tableColumn id="1940" name="列1897"/>
    <tableColumn id="1941" name="列1898"/>
    <tableColumn id="1942" name="列1899"/>
    <tableColumn id="1943" name="列1900"/>
    <tableColumn id="1944" name="列1901"/>
    <tableColumn id="1945" name="列1902"/>
    <tableColumn id="1946" name="列1903"/>
    <tableColumn id="1947" name="列1904"/>
    <tableColumn id="1948" name="列1905"/>
    <tableColumn id="1949" name="列1906"/>
    <tableColumn id="1950" name="列1907"/>
    <tableColumn id="1951" name="列1908"/>
    <tableColumn id="1952" name="列1909"/>
    <tableColumn id="1953" name="列1910"/>
    <tableColumn id="1954" name="列1911"/>
    <tableColumn id="1955" name="列1912"/>
    <tableColumn id="1956" name="列1913"/>
    <tableColumn id="1957" name="列1914"/>
    <tableColumn id="1958" name="列1915"/>
    <tableColumn id="1959" name="列1916"/>
    <tableColumn id="1960" name="列1917"/>
    <tableColumn id="1961" name="列1918"/>
    <tableColumn id="1962" name="列1919"/>
    <tableColumn id="1963" name="列1920"/>
    <tableColumn id="1964" name="列1921"/>
    <tableColumn id="1965" name="列1922"/>
    <tableColumn id="1966" name="列1923"/>
    <tableColumn id="1967" name="列1924"/>
    <tableColumn id="1968" name="列1925"/>
    <tableColumn id="1969" name="列1926"/>
    <tableColumn id="1970" name="列1927"/>
    <tableColumn id="1971" name="列1928"/>
    <tableColumn id="1972" name="列1929"/>
    <tableColumn id="1973" name="列1930"/>
    <tableColumn id="1974" name="列1931"/>
    <tableColumn id="1975" name="列1932"/>
    <tableColumn id="1976" name="列1933"/>
    <tableColumn id="1977" name="列1934"/>
    <tableColumn id="1978" name="列1935"/>
    <tableColumn id="1979" name="列1936"/>
    <tableColumn id="1980" name="列1937"/>
    <tableColumn id="1981" name="列1938"/>
    <tableColumn id="1982" name="列1939"/>
    <tableColumn id="1983" name="列1940"/>
    <tableColumn id="1984" name="列1941"/>
    <tableColumn id="1985" name="列1942"/>
    <tableColumn id="1986" name="列1943"/>
    <tableColumn id="1987" name="列1944"/>
    <tableColumn id="1988" name="列1945"/>
    <tableColumn id="1989" name="列1946"/>
    <tableColumn id="1990" name="列1947"/>
    <tableColumn id="1991" name="列1948"/>
    <tableColumn id="1992" name="列1949"/>
    <tableColumn id="1993" name="列1950"/>
    <tableColumn id="1994" name="列1951"/>
    <tableColumn id="1995" name="列1952"/>
    <tableColumn id="1996" name="列1953"/>
    <tableColumn id="1997" name="列1954"/>
    <tableColumn id="1998" name="列1955"/>
    <tableColumn id="1999" name="列1956"/>
    <tableColumn id="2000" name="列1957"/>
    <tableColumn id="2001" name="列1958"/>
    <tableColumn id="2002" name="列1959"/>
    <tableColumn id="2003" name="列1960"/>
    <tableColumn id="2004" name="列1961"/>
    <tableColumn id="2005" name="列1962"/>
    <tableColumn id="2006" name="列1963"/>
    <tableColumn id="2007" name="列1964"/>
    <tableColumn id="2008" name="列1965"/>
    <tableColumn id="2009" name="列1966"/>
    <tableColumn id="2010" name="列1967"/>
    <tableColumn id="2011" name="列1968"/>
    <tableColumn id="2012" name="列1969"/>
    <tableColumn id="2013" name="列1970"/>
    <tableColumn id="2014" name="列1971"/>
    <tableColumn id="2015" name="列1972"/>
    <tableColumn id="2016" name="列1973"/>
    <tableColumn id="2017" name="列1974"/>
    <tableColumn id="2018" name="列1975"/>
    <tableColumn id="2019" name="列1976"/>
    <tableColumn id="2020" name="列1977"/>
    <tableColumn id="2021" name="列1978"/>
    <tableColumn id="2022" name="列1979"/>
    <tableColumn id="2023" name="列1980"/>
    <tableColumn id="2024" name="列1981"/>
    <tableColumn id="2025" name="列1982"/>
    <tableColumn id="2026" name="列1983"/>
    <tableColumn id="2027" name="列1984"/>
    <tableColumn id="2028" name="列1985"/>
    <tableColumn id="2029" name="列1986"/>
    <tableColumn id="2030" name="列1987"/>
    <tableColumn id="2031" name="列1988"/>
    <tableColumn id="2032" name="列1989"/>
    <tableColumn id="2033" name="列1990"/>
    <tableColumn id="2034" name="列1991"/>
    <tableColumn id="2035" name="列1992"/>
    <tableColumn id="2036" name="列1993"/>
    <tableColumn id="2037" name="列1994"/>
    <tableColumn id="2038" name="列1995"/>
    <tableColumn id="2039" name="列1996"/>
    <tableColumn id="2040" name="列1997"/>
    <tableColumn id="2041" name="列1998"/>
    <tableColumn id="2042" name="列1999"/>
    <tableColumn id="2043" name="列2000"/>
    <tableColumn id="2044" name="列2001"/>
    <tableColumn id="2045" name="列2002"/>
    <tableColumn id="2046" name="列2003"/>
    <tableColumn id="2047" name="列2004"/>
    <tableColumn id="2048" name="列2005"/>
    <tableColumn id="2049" name="列2006"/>
    <tableColumn id="2050" name="列2007"/>
    <tableColumn id="2051" name="列2008"/>
    <tableColumn id="2052" name="列2009"/>
    <tableColumn id="2053" name="列2010"/>
    <tableColumn id="2054" name="列2011"/>
    <tableColumn id="2055" name="列2012"/>
    <tableColumn id="2056" name="列2013"/>
    <tableColumn id="2057" name="列2014"/>
    <tableColumn id="2058" name="列2015"/>
    <tableColumn id="2059" name="列2016"/>
    <tableColumn id="2060" name="列2017"/>
    <tableColumn id="2061" name="列2018"/>
    <tableColumn id="2062" name="列2019"/>
    <tableColumn id="2063" name="列2020"/>
    <tableColumn id="2064" name="列2021"/>
    <tableColumn id="2065" name="列2022"/>
    <tableColumn id="2066" name="列2023"/>
    <tableColumn id="2067" name="列2024"/>
    <tableColumn id="2068" name="列2025"/>
    <tableColumn id="2069" name="列2026"/>
    <tableColumn id="2070" name="列2027"/>
    <tableColumn id="2071" name="列2028"/>
    <tableColumn id="2072" name="列2029"/>
    <tableColumn id="2073" name="列2030"/>
    <tableColumn id="2074" name="列2031"/>
    <tableColumn id="2075" name="列2032"/>
    <tableColumn id="2076" name="列2033"/>
    <tableColumn id="2077" name="列2034"/>
    <tableColumn id="2078" name="列2035"/>
    <tableColumn id="2079" name="列2036"/>
    <tableColumn id="2080" name="列2037"/>
    <tableColumn id="2081" name="列2038"/>
    <tableColumn id="2082" name="列2039"/>
    <tableColumn id="2083" name="列2040"/>
    <tableColumn id="2084" name="列2041"/>
    <tableColumn id="2085" name="列2042"/>
    <tableColumn id="2086" name="列2043"/>
    <tableColumn id="2087" name="列2044"/>
    <tableColumn id="2088" name="列2045"/>
    <tableColumn id="2089" name="列2046"/>
    <tableColumn id="2090" name="列2047"/>
    <tableColumn id="2091" name="列2048"/>
    <tableColumn id="2092" name="列2049"/>
    <tableColumn id="2093" name="列2050"/>
    <tableColumn id="2094" name="列2051"/>
    <tableColumn id="2095" name="列2052"/>
    <tableColumn id="2096" name="列2053"/>
    <tableColumn id="2097" name="列2054"/>
    <tableColumn id="2098" name="列2055"/>
    <tableColumn id="2099" name="列2056"/>
    <tableColumn id="2100" name="列2057"/>
    <tableColumn id="2101" name="列2058"/>
    <tableColumn id="2102" name="列2059"/>
    <tableColumn id="2103" name="列2060"/>
    <tableColumn id="2104" name="列2061"/>
    <tableColumn id="2105" name="列2062"/>
    <tableColumn id="2106" name="列2063"/>
    <tableColumn id="2107" name="列2064"/>
    <tableColumn id="2108" name="列2065"/>
    <tableColumn id="2109" name="列2066"/>
    <tableColumn id="2110" name="列2067"/>
    <tableColumn id="2111" name="列2068"/>
    <tableColumn id="2112" name="列2069"/>
    <tableColumn id="2113" name="列2070"/>
    <tableColumn id="2114" name="列2071"/>
    <tableColumn id="2115" name="列2072"/>
    <tableColumn id="2116" name="列2073"/>
    <tableColumn id="2117" name="列2074"/>
    <tableColumn id="2118" name="列2075"/>
    <tableColumn id="2119" name="列2076"/>
    <tableColumn id="2120" name="列2077"/>
    <tableColumn id="2121" name="列2078"/>
    <tableColumn id="2122" name="列2079"/>
    <tableColumn id="2123" name="列2080"/>
    <tableColumn id="2124" name="列2081"/>
    <tableColumn id="2125" name="列2082"/>
    <tableColumn id="2126" name="列2083"/>
    <tableColumn id="2127" name="列2084"/>
    <tableColumn id="2128" name="列2085"/>
    <tableColumn id="2129" name="列2086"/>
    <tableColumn id="2130" name="列2087"/>
    <tableColumn id="2131" name="列2088"/>
    <tableColumn id="2132" name="列2089"/>
    <tableColumn id="2133" name="列2090"/>
    <tableColumn id="2134" name="列2091"/>
    <tableColumn id="2135" name="列2092"/>
    <tableColumn id="2136" name="列2093"/>
    <tableColumn id="2137" name="列2094"/>
    <tableColumn id="2138" name="列2095"/>
    <tableColumn id="2139" name="列2096"/>
    <tableColumn id="2140" name="列2097"/>
    <tableColumn id="2141" name="列2098"/>
    <tableColumn id="2142" name="列2099"/>
    <tableColumn id="2143" name="列2100"/>
    <tableColumn id="2144" name="列2101"/>
    <tableColumn id="2145" name="列2102"/>
    <tableColumn id="2146" name="列2103"/>
    <tableColumn id="2147" name="列2104"/>
    <tableColumn id="2148" name="列2105"/>
    <tableColumn id="2149" name="列2106"/>
    <tableColumn id="2150" name="列2107"/>
    <tableColumn id="2151" name="列2108"/>
    <tableColumn id="2152" name="列2109"/>
    <tableColumn id="2153" name="列2110"/>
    <tableColumn id="2154" name="列2111"/>
    <tableColumn id="2155" name="列2112"/>
    <tableColumn id="2156" name="列2113"/>
    <tableColumn id="2157" name="列2114"/>
    <tableColumn id="2158" name="列2115"/>
    <tableColumn id="2159" name="列2116"/>
    <tableColumn id="2160" name="列2117"/>
    <tableColumn id="2161" name="列2118"/>
    <tableColumn id="2162" name="列2119"/>
    <tableColumn id="2163" name="列2120"/>
    <tableColumn id="2164" name="列2121"/>
    <tableColumn id="2165" name="列2122"/>
    <tableColumn id="2166" name="列2123"/>
    <tableColumn id="2167" name="列2124"/>
    <tableColumn id="2168" name="列2125"/>
    <tableColumn id="2169" name="列2126"/>
    <tableColumn id="2170" name="列2127"/>
    <tableColumn id="2171" name="列2128"/>
    <tableColumn id="2172" name="列2129"/>
    <tableColumn id="2173" name="列2130"/>
    <tableColumn id="2174" name="列2131"/>
    <tableColumn id="2175" name="列2132"/>
    <tableColumn id="2176" name="列2133"/>
    <tableColumn id="2177" name="列2134"/>
    <tableColumn id="2178" name="列2135"/>
    <tableColumn id="2179" name="列2136"/>
    <tableColumn id="2180" name="列2137"/>
    <tableColumn id="2181" name="列2138"/>
    <tableColumn id="2182" name="列2139"/>
    <tableColumn id="2183" name="列2140"/>
    <tableColumn id="2184" name="列2141"/>
    <tableColumn id="2185" name="列2142"/>
    <tableColumn id="2186" name="列2143"/>
    <tableColumn id="2187" name="列2144"/>
    <tableColumn id="2188" name="列2145"/>
    <tableColumn id="2189" name="列2146"/>
    <tableColumn id="2190" name="列2147"/>
    <tableColumn id="2191" name="列2148"/>
    <tableColumn id="2192" name="列2149"/>
    <tableColumn id="2193" name="列2150"/>
    <tableColumn id="2194" name="列2151"/>
    <tableColumn id="2195" name="列2152"/>
    <tableColumn id="2196" name="列2153"/>
    <tableColumn id="2197" name="列2154"/>
    <tableColumn id="2198" name="列2155"/>
    <tableColumn id="2199" name="列2156"/>
    <tableColumn id="2200" name="列2157"/>
    <tableColumn id="2201" name="列2158"/>
    <tableColumn id="2202" name="列2159"/>
    <tableColumn id="2203" name="列2160"/>
    <tableColumn id="2204" name="列2161"/>
    <tableColumn id="2205" name="列2162"/>
    <tableColumn id="2206" name="列2163"/>
    <tableColumn id="2207" name="列2164"/>
    <tableColumn id="2208" name="列2165"/>
    <tableColumn id="2209" name="列2166"/>
    <tableColumn id="2210" name="列2167"/>
    <tableColumn id="2211" name="列2168"/>
    <tableColumn id="2212" name="列2169"/>
    <tableColumn id="2213" name="列2170"/>
    <tableColumn id="2214" name="列2171"/>
    <tableColumn id="2215" name="列2172"/>
    <tableColumn id="2216" name="列2173"/>
    <tableColumn id="2217" name="列2174"/>
    <tableColumn id="2218" name="列2175"/>
    <tableColumn id="2219" name="列2176"/>
    <tableColumn id="2220" name="列2177"/>
    <tableColumn id="2221" name="列2178"/>
    <tableColumn id="2222" name="列2179"/>
    <tableColumn id="2223" name="列2180"/>
    <tableColumn id="2224" name="列2181"/>
    <tableColumn id="2225" name="列2182"/>
    <tableColumn id="2226" name="列2183"/>
    <tableColumn id="2227" name="列2184"/>
    <tableColumn id="2228" name="列2185"/>
    <tableColumn id="2229" name="列2186"/>
    <tableColumn id="2230" name="列2187"/>
    <tableColumn id="2231" name="列2188"/>
    <tableColumn id="2232" name="列2189"/>
    <tableColumn id="2233" name="列2190"/>
    <tableColumn id="2234" name="列2191"/>
    <tableColumn id="2235" name="列2192"/>
    <tableColumn id="2236" name="列2193"/>
    <tableColumn id="2237" name="列2194"/>
    <tableColumn id="2238" name="列2195"/>
    <tableColumn id="2239" name="列2196"/>
    <tableColumn id="2240" name="列2197"/>
    <tableColumn id="2241" name="列2198"/>
    <tableColumn id="2242" name="列2199"/>
    <tableColumn id="2243" name="列2200"/>
    <tableColumn id="2244" name="列2201"/>
    <tableColumn id="2245" name="列2202"/>
    <tableColumn id="2246" name="列2203"/>
    <tableColumn id="2247" name="列2204"/>
    <tableColumn id="2248" name="列2205"/>
    <tableColumn id="2249" name="列2206"/>
    <tableColumn id="2250" name="列2207"/>
    <tableColumn id="2251" name="列2208"/>
    <tableColumn id="2252" name="列2209"/>
    <tableColumn id="2253" name="列2210"/>
    <tableColumn id="2254" name="列2211"/>
    <tableColumn id="2255" name="列2212"/>
    <tableColumn id="2256" name="列2213"/>
    <tableColumn id="2257" name="列2214"/>
    <tableColumn id="2258" name="列2215"/>
    <tableColumn id="2259" name="列2216"/>
    <tableColumn id="2260" name="列2217"/>
    <tableColumn id="2261" name="列2218"/>
    <tableColumn id="2262" name="列2219"/>
    <tableColumn id="2263" name="列2220"/>
    <tableColumn id="2264" name="列2221"/>
    <tableColumn id="2265" name="列2222"/>
    <tableColumn id="2266" name="列2223"/>
    <tableColumn id="2267" name="列2224"/>
    <tableColumn id="2268" name="列2225"/>
    <tableColumn id="2269" name="列2226"/>
    <tableColumn id="2270" name="列2227"/>
    <tableColumn id="2271" name="列2228"/>
    <tableColumn id="2272" name="列2229"/>
    <tableColumn id="2273" name="列2230"/>
    <tableColumn id="2274" name="列2231"/>
    <tableColumn id="2275" name="列2232"/>
    <tableColumn id="2276" name="列2233"/>
    <tableColumn id="2277" name="列2234"/>
    <tableColumn id="2278" name="列2235"/>
    <tableColumn id="2279" name="列2236"/>
    <tableColumn id="2280" name="列2237"/>
    <tableColumn id="2281" name="列2238"/>
    <tableColumn id="2282" name="列2239"/>
    <tableColumn id="2283" name="列2240"/>
    <tableColumn id="2284" name="列2241"/>
    <tableColumn id="2285" name="列2242"/>
    <tableColumn id="2286" name="列2243"/>
    <tableColumn id="2287" name="列2244"/>
    <tableColumn id="2288" name="列2245"/>
    <tableColumn id="2289" name="列2246"/>
    <tableColumn id="2290" name="列2247"/>
    <tableColumn id="2291" name="列2248"/>
    <tableColumn id="2292" name="列2249"/>
    <tableColumn id="2293" name="列2250"/>
    <tableColumn id="2294" name="列2251"/>
    <tableColumn id="2295" name="列2252"/>
    <tableColumn id="2296" name="列2253"/>
    <tableColumn id="2297" name="列2254"/>
    <tableColumn id="2298" name="列2255"/>
    <tableColumn id="2299" name="列2256"/>
    <tableColumn id="2300" name="列2257"/>
    <tableColumn id="2301" name="列2258"/>
    <tableColumn id="2302" name="列2259"/>
    <tableColumn id="2303" name="列2260"/>
    <tableColumn id="2304" name="列2261"/>
    <tableColumn id="2305" name="列2262"/>
    <tableColumn id="2306" name="列2263"/>
    <tableColumn id="2307" name="列2264"/>
    <tableColumn id="2308" name="列2265"/>
    <tableColumn id="2309" name="列2266"/>
    <tableColumn id="2310" name="列2267"/>
    <tableColumn id="2311" name="列2268"/>
    <tableColumn id="2312" name="列2269"/>
    <tableColumn id="2313" name="列2270"/>
    <tableColumn id="2314" name="列2271"/>
    <tableColumn id="2315" name="列2272"/>
    <tableColumn id="2316" name="列2273"/>
    <tableColumn id="2317" name="列2274"/>
    <tableColumn id="2318" name="列2275"/>
    <tableColumn id="2319" name="列2276"/>
    <tableColumn id="2320" name="列2277"/>
    <tableColumn id="2321" name="列2278"/>
    <tableColumn id="2322" name="列2279"/>
    <tableColumn id="2323" name="列2280"/>
    <tableColumn id="2324" name="列2281"/>
    <tableColumn id="2325" name="列2282"/>
    <tableColumn id="2326" name="列2283"/>
    <tableColumn id="2327" name="列2284"/>
    <tableColumn id="2328" name="列2285"/>
    <tableColumn id="2329" name="列2286"/>
    <tableColumn id="2330" name="列2287"/>
    <tableColumn id="2331" name="列2288"/>
    <tableColumn id="2332" name="列2289"/>
    <tableColumn id="2333" name="列2290"/>
    <tableColumn id="2334" name="列2291"/>
    <tableColumn id="2335" name="列2292"/>
    <tableColumn id="2336" name="列2293"/>
    <tableColumn id="2337" name="列2294"/>
    <tableColumn id="2338" name="列2295"/>
    <tableColumn id="2339" name="列2296"/>
    <tableColumn id="2340" name="列2297"/>
    <tableColumn id="2341" name="列2298"/>
    <tableColumn id="2342" name="列2299"/>
    <tableColumn id="2343" name="列2300"/>
    <tableColumn id="2344" name="列2301"/>
    <tableColumn id="2345" name="列2302"/>
    <tableColumn id="2346" name="列2303"/>
    <tableColumn id="2347" name="列2304"/>
    <tableColumn id="2348" name="列2305"/>
    <tableColumn id="2349" name="列2306"/>
    <tableColumn id="2350" name="列2307"/>
    <tableColumn id="2351" name="列2308"/>
    <tableColumn id="2352" name="列2309"/>
    <tableColumn id="2353" name="列2310"/>
    <tableColumn id="2354" name="列2311"/>
    <tableColumn id="2355" name="列2312"/>
    <tableColumn id="2356" name="列2313"/>
    <tableColumn id="2357" name="列2314"/>
    <tableColumn id="2358" name="列2315"/>
    <tableColumn id="2359" name="列2316"/>
    <tableColumn id="2360" name="列2317"/>
    <tableColumn id="2361" name="列2318"/>
    <tableColumn id="2362" name="列2319"/>
    <tableColumn id="2363" name="列2320"/>
    <tableColumn id="2364" name="列2321"/>
    <tableColumn id="2365" name="列2322"/>
    <tableColumn id="2366" name="列2323"/>
    <tableColumn id="2367" name="列2324"/>
    <tableColumn id="2368" name="列2325"/>
    <tableColumn id="2369" name="列2326"/>
    <tableColumn id="2370" name="列2327"/>
    <tableColumn id="2371" name="列2328"/>
    <tableColumn id="2372" name="列2329"/>
    <tableColumn id="2373" name="列2330"/>
    <tableColumn id="2374" name="列2331"/>
    <tableColumn id="2375" name="列2332"/>
    <tableColumn id="2376" name="列2333"/>
    <tableColumn id="2377" name="列2334"/>
    <tableColumn id="2378" name="列2335"/>
    <tableColumn id="2379" name="列2336"/>
    <tableColumn id="2380" name="列2337"/>
    <tableColumn id="2381" name="列2338"/>
    <tableColumn id="2382" name="列2339"/>
    <tableColumn id="2383" name="列2340"/>
    <tableColumn id="2384" name="列2341"/>
    <tableColumn id="2385" name="列2342"/>
    <tableColumn id="2386" name="列2343"/>
    <tableColumn id="2387" name="列2344"/>
    <tableColumn id="2388" name="列2345"/>
    <tableColumn id="2389" name="列2346"/>
    <tableColumn id="2390" name="列2347"/>
    <tableColumn id="2391" name="列2348"/>
    <tableColumn id="2392" name="列2349"/>
    <tableColumn id="2393" name="列2350"/>
    <tableColumn id="2394" name="列2351"/>
    <tableColumn id="2395" name="列2352"/>
    <tableColumn id="2396" name="列2353"/>
    <tableColumn id="2397" name="列2354"/>
    <tableColumn id="2398" name="列2355"/>
    <tableColumn id="2399" name="列2356"/>
    <tableColumn id="2400" name="列2357"/>
    <tableColumn id="2401" name="列2358"/>
    <tableColumn id="2402" name="列2359"/>
    <tableColumn id="2403" name="列2360"/>
    <tableColumn id="2404" name="列2361"/>
    <tableColumn id="2405" name="列2362"/>
    <tableColumn id="2406" name="列2363"/>
    <tableColumn id="2407" name="列2364"/>
    <tableColumn id="2408" name="列2365"/>
    <tableColumn id="2409" name="列2366"/>
    <tableColumn id="2410" name="列2367"/>
    <tableColumn id="2411" name="列2368"/>
    <tableColumn id="2412" name="列2369"/>
    <tableColumn id="2413" name="列2370"/>
    <tableColumn id="2414" name="列2371"/>
    <tableColumn id="2415" name="列2372"/>
    <tableColumn id="2416" name="列2373"/>
    <tableColumn id="2417" name="列2374"/>
    <tableColumn id="2418" name="列2375"/>
    <tableColumn id="2419" name="列2376"/>
    <tableColumn id="2420" name="列2377"/>
    <tableColumn id="2421" name="列2378"/>
    <tableColumn id="2422" name="列2379"/>
    <tableColumn id="2423" name="列2380"/>
    <tableColumn id="2424" name="列2381"/>
    <tableColumn id="2425" name="列2382"/>
    <tableColumn id="2426" name="列2383"/>
    <tableColumn id="2427" name="列2384"/>
    <tableColumn id="2428" name="列2385"/>
    <tableColumn id="2429" name="列2386"/>
    <tableColumn id="2430" name="列2387"/>
    <tableColumn id="2431" name="列2388"/>
    <tableColumn id="2432" name="列2389"/>
    <tableColumn id="2433" name="列2390"/>
    <tableColumn id="2434" name="列2391"/>
    <tableColumn id="2435" name="列2392"/>
    <tableColumn id="2436" name="列2393"/>
    <tableColumn id="2437" name="列2394"/>
    <tableColumn id="2438" name="列2395"/>
    <tableColumn id="2439" name="列2396"/>
    <tableColumn id="2440" name="列2397"/>
    <tableColumn id="2441" name="列2398"/>
    <tableColumn id="2442" name="列2399"/>
    <tableColumn id="2443" name="列2400"/>
    <tableColumn id="2444" name="列2401"/>
    <tableColumn id="2445" name="列2402"/>
    <tableColumn id="2446" name="列2403"/>
    <tableColumn id="2447" name="列2404"/>
    <tableColumn id="2448" name="列2405"/>
    <tableColumn id="2449" name="列2406"/>
    <tableColumn id="2450" name="列2407"/>
    <tableColumn id="2451" name="列2408"/>
    <tableColumn id="2452" name="列2409"/>
    <tableColumn id="2453" name="列2410"/>
    <tableColumn id="2454" name="列2411"/>
    <tableColumn id="2455" name="列2412"/>
    <tableColumn id="2456" name="列2413"/>
    <tableColumn id="2457" name="列2414"/>
    <tableColumn id="2458" name="列2415"/>
    <tableColumn id="2459" name="列2416"/>
    <tableColumn id="2460" name="列2417"/>
    <tableColumn id="2461" name="列2418"/>
    <tableColumn id="2462" name="列2419"/>
    <tableColumn id="2463" name="列2420"/>
    <tableColumn id="2464" name="列2421"/>
    <tableColumn id="2465" name="列2422"/>
    <tableColumn id="2466" name="列2423"/>
    <tableColumn id="2467" name="列2424"/>
    <tableColumn id="2468" name="列2425"/>
    <tableColumn id="2469" name="列2426"/>
    <tableColumn id="2470" name="列2427"/>
    <tableColumn id="2471" name="列2428"/>
    <tableColumn id="2472" name="列2429"/>
    <tableColumn id="2473" name="列2430"/>
    <tableColumn id="2474" name="列2431"/>
    <tableColumn id="2475" name="列2432"/>
    <tableColumn id="2476" name="列2433"/>
    <tableColumn id="2477" name="列2434"/>
    <tableColumn id="2478" name="列2435"/>
    <tableColumn id="2479" name="列2436"/>
    <tableColumn id="2480" name="列2437"/>
    <tableColumn id="2481" name="列2438"/>
    <tableColumn id="2482" name="列2439"/>
    <tableColumn id="2483" name="列2440"/>
    <tableColumn id="2484" name="列2441"/>
    <tableColumn id="2485" name="列2442"/>
    <tableColumn id="2486" name="列2443"/>
    <tableColumn id="2487" name="列2444"/>
    <tableColumn id="2488" name="列2445"/>
    <tableColumn id="2489" name="列2446"/>
    <tableColumn id="2490" name="列2447"/>
    <tableColumn id="2491" name="列2448"/>
    <tableColumn id="2492" name="列2449"/>
    <tableColumn id="2493" name="列2450"/>
    <tableColumn id="2494" name="列2451"/>
    <tableColumn id="2495" name="列2452"/>
    <tableColumn id="2496" name="列2453"/>
    <tableColumn id="2497" name="列2454"/>
    <tableColumn id="2498" name="列2455"/>
    <tableColumn id="2499" name="列2456"/>
    <tableColumn id="2500" name="列2457"/>
    <tableColumn id="2501" name="列2458"/>
    <tableColumn id="2502" name="列2459"/>
    <tableColumn id="2503" name="列2460"/>
    <tableColumn id="2504" name="列2461"/>
    <tableColumn id="2505" name="列2462"/>
    <tableColumn id="2506" name="列2463"/>
    <tableColumn id="2507" name="列2464"/>
    <tableColumn id="2508" name="列2465"/>
    <tableColumn id="2509" name="列2466"/>
    <tableColumn id="2510" name="列2467"/>
    <tableColumn id="2511" name="列2468"/>
    <tableColumn id="2512" name="列2469"/>
    <tableColumn id="2513" name="列2470"/>
    <tableColumn id="2514" name="列2471"/>
    <tableColumn id="2515" name="列2472"/>
    <tableColumn id="2516" name="列2473"/>
    <tableColumn id="2517" name="列2474"/>
    <tableColumn id="2518" name="列2475"/>
    <tableColumn id="2519" name="列2476"/>
    <tableColumn id="2520" name="列2477"/>
    <tableColumn id="2521" name="列2478"/>
    <tableColumn id="2522" name="列2479"/>
    <tableColumn id="2523" name="列2480"/>
    <tableColumn id="2524" name="列2481"/>
    <tableColumn id="2525" name="列2482"/>
    <tableColumn id="2526" name="列2483"/>
    <tableColumn id="2527" name="列2484"/>
    <tableColumn id="2528" name="列2485"/>
    <tableColumn id="2529" name="列2486"/>
    <tableColumn id="2530" name="列2487"/>
    <tableColumn id="2531" name="列2488"/>
    <tableColumn id="2532" name="列2489"/>
    <tableColumn id="2533" name="列2490"/>
    <tableColumn id="2534" name="列2491"/>
    <tableColumn id="2535" name="列2492"/>
    <tableColumn id="2536" name="列2493"/>
    <tableColumn id="2537" name="列2494"/>
    <tableColumn id="2538" name="列2495"/>
    <tableColumn id="2539" name="列2496"/>
    <tableColumn id="2540" name="列2497"/>
    <tableColumn id="2541" name="列2498"/>
    <tableColumn id="2542" name="列2499"/>
    <tableColumn id="2543" name="列2500"/>
    <tableColumn id="2544" name="列2501"/>
    <tableColumn id="2545" name="列2502"/>
    <tableColumn id="2546" name="列2503"/>
    <tableColumn id="2547" name="列2504"/>
    <tableColumn id="2548" name="列2505"/>
    <tableColumn id="2549" name="列2506"/>
    <tableColumn id="2550" name="列2507"/>
    <tableColumn id="2551" name="列2508"/>
    <tableColumn id="2552" name="列2509"/>
    <tableColumn id="2553" name="列2510"/>
    <tableColumn id="2554" name="列2511"/>
    <tableColumn id="2555" name="列2512"/>
    <tableColumn id="2556" name="列2513"/>
    <tableColumn id="2557" name="列2514"/>
    <tableColumn id="2558" name="列2515"/>
    <tableColumn id="2559" name="列2516"/>
    <tableColumn id="2560" name="列2517"/>
    <tableColumn id="2561" name="列2518"/>
    <tableColumn id="2562" name="列2519"/>
    <tableColumn id="2563" name="列2520"/>
    <tableColumn id="2564" name="列2521"/>
    <tableColumn id="2565" name="列2522"/>
    <tableColumn id="2566" name="列2523"/>
    <tableColumn id="2567" name="列2524"/>
    <tableColumn id="2568" name="列2525"/>
    <tableColumn id="2569" name="列2526"/>
    <tableColumn id="2570" name="列2527"/>
    <tableColumn id="2571" name="列2528"/>
    <tableColumn id="2572" name="列2529"/>
    <tableColumn id="2573" name="列2530"/>
    <tableColumn id="2574" name="列2531"/>
    <tableColumn id="2575" name="列2532"/>
    <tableColumn id="2576" name="列2533"/>
    <tableColumn id="2577" name="列2534"/>
    <tableColumn id="2578" name="列2535"/>
    <tableColumn id="2579" name="列2536"/>
    <tableColumn id="2580" name="列2537"/>
    <tableColumn id="2581" name="列2538"/>
    <tableColumn id="2582" name="列2539"/>
    <tableColumn id="2583" name="列2540"/>
    <tableColumn id="2584" name="列2541"/>
    <tableColumn id="2585" name="列2542"/>
    <tableColumn id="2586" name="列2543"/>
    <tableColumn id="2587" name="列2544"/>
    <tableColumn id="2588" name="列2545"/>
    <tableColumn id="2589" name="列2546"/>
    <tableColumn id="2590" name="列2547"/>
    <tableColumn id="2591" name="列2548"/>
    <tableColumn id="2592" name="列2549"/>
    <tableColumn id="2593" name="列2550"/>
    <tableColumn id="2594" name="列2551"/>
    <tableColumn id="2595" name="列2552"/>
    <tableColumn id="2596" name="列2553"/>
    <tableColumn id="2597" name="列2554"/>
    <tableColumn id="2598" name="列2555"/>
    <tableColumn id="2599" name="列2556"/>
    <tableColumn id="2600" name="列2557"/>
    <tableColumn id="2601" name="列2558"/>
    <tableColumn id="2602" name="列2559"/>
    <tableColumn id="2603" name="列2560"/>
    <tableColumn id="2604" name="列2561"/>
    <tableColumn id="2605" name="列2562"/>
    <tableColumn id="2606" name="列2563"/>
    <tableColumn id="2607" name="列2564"/>
    <tableColumn id="2608" name="列2565"/>
    <tableColumn id="2609" name="列2566"/>
    <tableColumn id="2610" name="列2567"/>
    <tableColumn id="2611" name="列2568"/>
    <tableColumn id="2612" name="列2569"/>
    <tableColumn id="2613" name="列2570"/>
    <tableColumn id="2614" name="列2571"/>
    <tableColumn id="2615" name="列2572"/>
    <tableColumn id="2616" name="列2573"/>
    <tableColumn id="2617" name="列2574"/>
    <tableColumn id="2618" name="列2575"/>
    <tableColumn id="2619" name="列2576"/>
    <tableColumn id="2620" name="列2577"/>
    <tableColumn id="2621" name="列2578"/>
    <tableColumn id="2622" name="列2579"/>
    <tableColumn id="2623" name="列2580"/>
    <tableColumn id="2624" name="列2581"/>
    <tableColumn id="2625" name="列2582"/>
    <tableColumn id="2626" name="列2583"/>
    <tableColumn id="2627" name="列2584"/>
    <tableColumn id="2628" name="列2585"/>
    <tableColumn id="2629" name="列2586"/>
    <tableColumn id="2630" name="列2587"/>
    <tableColumn id="2631" name="列2588"/>
    <tableColumn id="2632" name="列2589"/>
    <tableColumn id="2633" name="列2590"/>
    <tableColumn id="2634" name="列2591"/>
    <tableColumn id="2635" name="列2592"/>
    <tableColumn id="2636" name="列2593"/>
    <tableColumn id="2637" name="列2594"/>
    <tableColumn id="2638" name="列2595"/>
    <tableColumn id="2639" name="列2596"/>
    <tableColumn id="2640" name="列2597"/>
    <tableColumn id="2641" name="列2598"/>
    <tableColumn id="2642" name="列2599"/>
    <tableColumn id="2643" name="列2600"/>
    <tableColumn id="2644" name="列2601"/>
    <tableColumn id="2645" name="列2602"/>
    <tableColumn id="2646" name="列2603"/>
    <tableColumn id="2647" name="列2604"/>
    <tableColumn id="2648" name="列2605"/>
    <tableColumn id="2649" name="列2606"/>
    <tableColumn id="2650" name="列2607"/>
    <tableColumn id="2651" name="列2608"/>
    <tableColumn id="2652" name="列2609"/>
    <tableColumn id="2653" name="列2610"/>
    <tableColumn id="2654" name="列2611"/>
    <tableColumn id="2655" name="列2612"/>
    <tableColumn id="2656" name="列2613"/>
    <tableColumn id="2657" name="列2614"/>
    <tableColumn id="2658" name="列2615"/>
    <tableColumn id="2659" name="列2616"/>
    <tableColumn id="2660" name="列2617"/>
    <tableColumn id="2661" name="列2618"/>
    <tableColumn id="2662" name="列2619"/>
    <tableColumn id="2663" name="列2620"/>
    <tableColumn id="2664" name="列2621"/>
    <tableColumn id="2665" name="列2622"/>
    <tableColumn id="2666" name="列2623"/>
    <tableColumn id="2667" name="列2624"/>
    <tableColumn id="2668" name="列2625"/>
    <tableColumn id="2669" name="列2626"/>
    <tableColumn id="2670" name="列2627"/>
    <tableColumn id="2671" name="列2628"/>
    <tableColumn id="2672" name="列2629"/>
    <tableColumn id="2673" name="列2630"/>
    <tableColumn id="2674" name="列2631"/>
    <tableColumn id="2675" name="列2632"/>
    <tableColumn id="2676" name="列2633"/>
    <tableColumn id="2677" name="列2634"/>
    <tableColumn id="2678" name="列2635"/>
    <tableColumn id="2679" name="列2636"/>
    <tableColumn id="2680" name="列2637"/>
    <tableColumn id="2681" name="列2638"/>
    <tableColumn id="2682" name="列2639"/>
    <tableColumn id="2683" name="列2640"/>
    <tableColumn id="2684" name="列2641"/>
    <tableColumn id="2685" name="列2642"/>
    <tableColumn id="2686" name="列2643"/>
    <tableColumn id="2687" name="列2644"/>
    <tableColumn id="2688" name="列2645"/>
    <tableColumn id="2689" name="列2646"/>
    <tableColumn id="2690" name="列2647"/>
    <tableColumn id="2691" name="列2648"/>
    <tableColumn id="2692" name="列2649"/>
    <tableColumn id="2693" name="列2650"/>
    <tableColumn id="2694" name="列2651"/>
    <tableColumn id="2695" name="列2652"/>
    <tableColumn id="2696" name="列2653"/>
    <tableColumn id="2697" name="列2654"/>
    <tableColumn id="2698" name="列2655"/>
    <tableColumn id="2699" name="列2656"/>
    <tableColumn id="2700" name="列2657"/>
    <tableColumn id="2701" name="列2658"/>
    <tableColumn id="2702" name="列2659"/>
    <tableColumn id="2703" name="列2660"/>
    <tableColumn id="2704" name="列2661"/>
    <tableColumn id="2705" name="列2662"/>
    <tableColumn id="2706" name="列2663"/>
    <tableColumn id="2707" name="列2664"/>
    <tableColumn id="2708" name="列2665"/>
    <tableColumn id="2709" name="列2666"/>
    <tableColumn id="2710" name="列2667"/>
    <tableColumn id="2711" name="列2668"/>
    <tableColumn id="2712" name="列2669"/>
    <tableColumn id="2713" name="列2670"/>
    <tableColumn id="2714" name="列2671"/>
    <tableColumn id="2715" name="列2672"/>
    <tableColumn id="2716" name="列2673"/>
    <tableColumn id="2717" name="列2674"/>
    <tableColumn id="2718" name="列2675"/>
    <tableColumn id="2719" name="列2676"/>
    <tableColumn id="2720" name="列2677"/>
    <tableColumn id="2721" name="列2678"/>
    <tableColumn id="2722" name="列2679"/>
    <tableColumn id="2723" name="列2680"/>
    <tableColumn id="2724" name="列2681"/>
    <tableColumn id="2725" name="列2682"/>
    <tableColumn id="2726" name="列2683"/>
    <tableColumn id="2727" name="列2684"/>
    <tableColumn id="2728" name="列2685"/>
    <tableColumn id="2729" name="列2686"/>
    <tableColumn id="2730" name="列2687"/>
    <tableColumn id="2731" name="列2688"/>
    <tableColumn id="2732" name="列2689"/>
    <tableColumn id="2733" name="列2690"/>
    <tableColumn id="2734" name="列2691"/>
    <tableColumn id="2735" name="列2692"/>
    <tableColumn id="2736" name="列2693"/>
    <tableColumn id="2737" name="列2694"/>
    <tableColumn id="2738" name="列2695"/>
    <tableColumn id="2739" name="列2696"/>
    <tableColumn id="2740" name="列2697"/>
    <tableColumn id="2741" name="列2698"/>
    <tableColumn id="2742" name="列2699"/>
    <tableColumn id="2743" name="列2700"/>
    <tableColumn id="2744" name="列2701"/>
    <tableColumn id="2745" name="列2702"/>
    <tableColumn id="2746" name="列2703"/>
    <tableColumn id="2747" name="列2704"/>
    <tableColumn id="2748" name="列2705"/>
    <tableColumn id="2749" name="列2706"/>
    <tableColumn id="2750" name="列2707"/>
    <tableColumn id="2751" name="列2708"/>
    <tableColumn id="2752" name="列2709"/>
    <tableColumn id="2753" name="列2710"/>
    <tableColumn id="2754" name="列2711"/>
    <tableColumn id="2755" name="列2712"/>
    <tableColumn id="2756" name="列2713"/>
    <tableColumn id="2757" name="列2714"/>
    <tableColumn id="2758" name="列2715"/>
    <tableColumn id="2759" name="列2716"/>
    <tableColumn id="2760" name="列2717"/>
    <tableColumn id="2761" name="列2718"/>
    <tableColumn id="2762" name="列2719"/>
    <tableColumn id="2763" name="列2720"/>
    <tableColumn id="2764" name="列2721"/>
    <tableColumn id="2765" name="列2722"/>
    <tableColumn id="2766" name="列2723"/>
    <tableColumn id="2767" name="列2724"/>
    <tableColumn id="2768" name="列2725"/>
    <tableColumn id="2769" name="列2726"/>
    <tableColumn id="2770" name="列2727"/>
    <tableColumn id="2771" name="列2728"/>
    <tableColumn id="2772" name="列2729"/>
    <tableColumn id="2773" name="列2730"/>
    <tableColumn id="2774" name="列2731"/>
    <tableColumn id="2775" name="列2732"/>
    <tableColumn id="2776" name="列2733"/>
    <tableColumn id="2777" name="列2734"/>
    <tableColumn id="2778" name="列2735"/>
    <tableColumn id="2779" name="列2736"/>
    <tableColumn id="2780" name="列2737"/>
    <tableColumn id="2781" name="列2738"/>
    <tableColumn id="2782" name="列2739"/>
    <tableColumn id="2783" name="列2740"/>
    <tableColumn id="2784" name="列2741"/>
    <tableColumn id="2785" name="列2742"/>
    <tableColumn id="2786" name="列2743"/>
    <tableColumn id="2787" name="列2744"/>
    <tableColumn id="2788" name="列2745"/>
    <tableColumn id="2789" name="列2746"/>
    <tableColumn id="2790" name="列2747"/>
    <tableColumn id="2791" name="列2748"/>
    <tableColumn id="2792" name="列2749"/>
    <tableColumn id="2793" name="列2750"/>
    <tableColumn id="2794" name="列2751"/>
    <tableColumn id="2795" name="列2752"/>
    <tableColumn id="2796" name="列2753"/>
    <tableColumn id="2797" name="列2754"/>
    <tableColumn id="2798" name="列2755"/>
    <tableColumn id="2799" name="列2756"/>
    <tableColumn id="2800" name="列2757"/>
    <tableColumn id="2801" name="列2758"/>
    <tableColumn id="2802" name="列2759"/>
    <tableColumn id="2803" name="列2760"/>
    <tableColumn id="2804" name="列2761"/>
    <tableColumn id="2805" name="列2762"/>
    <tableColumn id="2806" name="列2763"/>
    <tableColumn id="2807" name="列2764"/>
    <tableColumn id="2808" name="列2765"/>
    <tableColumn id="2809" name="列2766"/>
    <tableColumn id="2810" name="列2767"/>
    <tableColumn id="2811" name="列2768"/>
    <tableColumn id="2812" name="列2769"/>
    <tableColumn id="2813" name="列2770"/>
    <tableColumn id="2814" name="列2771"/>
    <tableColumn id="2815" name="列2772"/>
    <tableColumn id="2816" name="列2773"/>
    <tableColumn id="2817" name="列2774"/>
    <tableColumn id="2818" name="列2775"/>
    <tableColumn id="2819" name="列2776"/>
    <tableColumn id="2820" name="列2777"/>
    <tableColumn id="2821" name="列2778"/>
    <tableColumn id="2822" name="列2779"/>
    <tableColumn id="2823" name="列2780"/>
    <tableColumn id="2824" name="列2781"/>
    <tableColumn id="2825" name="列2782"/>
    <tableColumn id="2826" name="列2783"/>
    <tableColumn id="2827" name="列2784"/>
    <tableColumn id="2828" name="列2785"/>
    <tableColumn id="2829" name="列2786"/>
    <tableColumn id="2830" name="列2787"/>
    <tableColumn id="2831" name="列2788"/>
    <tableColumn id="2832" name="列2789"/>
    <tableColumn id="2833" name="列2790"/>
    <tableColumn id="2834" name="列2791"/>
    <tableColumn id="2835" name="列2792"/>
    <tableColumn id="2836" name="列2793"/>
    <tableColumn id="2837" name="列2794"/>
    <tableColumn id="2838" name="列2795"/>
    <tableColumn id="2839" name="列2796"/>
    <tableColumn id="2840" name="列2797"/>
    <tableColumn id="2841" name="列2798"/>
    <tableColumn id="2842" name="列2799"/>
    <tableColumn id="2843" name="列2800"/>
    <tableColumn id="2844" name="列2801"/>
    <tableColumn id="2845" name="列2802"/>
    <tableColumn id="2846" name="列2803"/>
    <tableColumn id="2847" name="列2804"/>
    <tableColumn id="2848" name="列2805"/>
    <tableColumn id="2849" name="列2806"/>
    <tableColumn id="2850" name="列2807"/>
    <tableColumn id="2851" name="列2808"/>
    <tableColumn id="2852" name="列2809"/>
    <tableColumn id="2853" name="列2810"/>
    <tableColumn id="2854" name="列2811"/>
    <tableColumn id="2855" name="列2812"/>
    <tableColumn id="2856" name="列2813"/>
    <tableColumn id="2857" name="列2814"/>
    <tableColumn id="2858" name="列2815"/>
    <tableColumn id="2859" name="列2816"/>
    <tableColumn id="2860" name="列2817"/>
    <tableColumn id="2861" name="列2818"/>
    <tableColumn id="2862" name="列2819"/>
    <tableColumn id="2863" name="列2820"/>
    <tableColumn id="2864" name="列2821"/>
    <tableColumn id="2865" name="列2822"/>
    <tableColumn id="2866" name="列2823"/>
    <tableColumn id="2867" name="列2824"/>
    <tableColumn id="2868" name="列2825"/>
    <tableColumn id="2869" name="列2826"/>
    <tableColumn id="2870" name="列2827"/>
    <tableColumn id="2871" name="列2828"/>
    <tableColumn id="2872" name="列2829"/>
    <tableColumn id="2873" name="列2830"/>
    <tableColumn id="2874" name="列2831"/>
    <tableColumn id="2875" name="列2832"/>
    <tableColumn id="2876" name="列2833"/>
    <tableColumn id="2877" name="列2834"/>
    <tableColumn id="2878" name="列2835"/>
    <tableColumn id="2879" name="列2836"/>
    <tableColumn id="2880" name="列2837"/>
    <tableColumn id="2881" name="列2838"/>
    <tableColumn id="2882" name="列2839"/>
    <tableColumn id="2883" name="列2840"/>
    <tableColumn id="2884" name="列2841"/>
    <tableColumn id="2885" name="列2842"/>
    <tableColumn id="2886" name="列2843"/>
    <tableColumn id="2887" name="列2844"/>
    <tableColumn id="2888" name="列2845"/>
    <tableColumn id="2889" name="列2846"/>
    <tableColumn id="2890" name="列2847"/>
    <tableColumn id="2891" name="列2848"/>
    <tableColumn id="2892" name="列2849"/>
    <tableColumn id="2893" name="列2850"/>
    <tableColumn id="2894" name="列2851"/>
    <tableColumn id="2895" name="列2852"/>
    <tableColumn id="2896" name="列2853"/>
    <tableColumn id="2897" name="列2854"/>
    <tableColumn id="2898" name="列2855"/>
    <tableColumn id="2899" name="列2856"/>
    <tableColumn id="2900" name="列2857"/>
    <tableColumn id="2901" name="列2858"/>
    <tableColumn id="2902" name="列2859"/>
    <tableColumn id="2903" name="列2860"/>
    <tableColumn id="2904" name="列2861"/>
    <tableColumn id="2905" name="列2862"/>
    <tableColumn id="2906" name="列2863"/>
    <tableColumn id="2907" name="列2864"/>
    <tableColumn id="2908" name="列2865"/>
    <tableColumn id="2909" name="列2866"/>
    <tableColumn id="2910" name="列2867"/>
    <tableColumn id="2911" name="列2868"/>
    <tableColumn id="2912" name="列2869"/>
    <tableColumn id="2913" name="列2870"/>
    <tableColumn id="2914" name="列2871"/>
    <tableColumn id="2915" name="列2872"/>
    <tableColumn id="2916" name="列2873"/>
    <tableColumn id="2917" name="列2874"/>
    <tableColumn id="2918" name="列2875"/>
    <tableColumn id="2919" name="列2876"/>
    <tableColumn id="2920" name="列2877"/>
    <tableColumn id="2921" name="列2878"/>
    <tableColumn id="2922" name="列2879"/>
    <tableColumn id="2923" name="列2880"/>
    <tableColumn id="2924" name="列2881"/>
    <tableColumn id="2925" name="列2882"/>
    <tableColumn id="2926" name="列2883"/>
    <tableColumn id="2927" name="列2884"/>
    <tableColumn id="2928" name="列2885"/>
    <tableColumn id="2929" name="列2886"/>
    <tableColumn id="2930" name="列2887"/>
    <tableColumn id="2931" name="列2888"/>
    <tableColumn id="2932" name="列2889"/>
    <tableColumn id="2933" name="列2890"/>
    <tableColumn id="2934" name="列2891"/>
    <tableColumn id="2935" name="列2892"/>
    <tableColumn id="2936" name="列2893"/>
    <tableColumn id="2937" name="列2894"/>
    <tableColumn id="2938" name="列2895"/>
    <tableColumn id="2939" name="列2896"/>
    <tableColumn id="2940" name="列2897"/>
    <tableColumn id="2941" name="列2898"/>
    <tableColumn id="2942" name="列2899"/>
    <tableColumn id="2943" name="列2900"/>
    <tableColumn id="2944" name="列2901"/>
    <tableColumn id="2945" name="列2902"/>
    <tableColumn id="2946" name="列2903"/>
    <tableColumn id="2947" name="列2904"/>
    <tableColumn id="2948" name="列2905"/>
    <tableColumn id="2949" name="列2906"/>
    <tableColumn id="2950" name="列2907"/>
    <tableColumn id="2951" name="列2908"/>
    <tableColumn id="2952" name="列2909"/>
    <tableColumn id="2953" name="列2910"/>
    <tableColumn id="2954" name="列2911"/>
    <tableColumn id="2955" name="列2912"/>
    <tableColumn id="2956" name="列2913"/>
    <tableColumn id="2957" name="列2914"/>
    <tableColumn id="2958" name="列2915"/>
    <tableColumn id="2959" name="列2916"/>
    <tableColumn id="2960" name="列2917"/>
    <tableColumn id="2961" name="列2918"/>
    <tableColumn id="2962" name="列2919"/>
    <tableColumn id="2963" name="列2920"/>
    <tableColumn id="2964" name="列2921"/>
    <tableColumn id="2965" name="列2922"/>
    <tableColumn id="2966" name="列2923"/>
    <tableColumn id="2967" name="列2924"/>
    <tableColumn id="2968" name="列2925"/>
    <tableColumn id="2969" name="列2926"/>
    <tableColumn id="2970" name="列2927"/>
    <tableColumn id="2971" name="列2928"/>
    <tableColumn id="2972" name="列2929"/>
    <tableColumn id="2973" name="列2930"/>
    <tableColumn id="2974" name="列2931"/>
    <tableColumn id="2975" name="列2932"/>
    <tableColumn id="2976" name="列2933"/>
    <tableColumn id="2977" name="列2934"/>
    <tableColumn id="2978" name="列2935"/>
    <tableColumn id="2979" name="列2936"/>
    <tableColumn id="2980" name="列2937"/>
    <tableColumn id="2981" name="列2938"/>
    <tableColumn id="2982" name="列2939"/>
    <tableColumn id="2983" name="列2940"/>
    <tableColumn id="2984" name="列2941"/>
    <tableColumn id="2985" name="列2942"/>
    <tableColumn id="2986" name="列2943"/>
    <tableColumn id="2987" name="列2944"/>
    <tableColumn id="2988" name="列2945"/>
    <tableColumn id="2989" name="列2946"/>
    <tableColumn id="2990" name="列2947"/>
    <tableColumn id="2991" name="列2948"/>
    <tableColumn id="2992" name="列2949"/>
    <tableColumn id="2993" name="列2950"/>
    <tableColumn id="2994" name="列2951"/>
    <tableColumn id="2995" name="列2952"/>
    <tableColumn id="2996" name="列2953"/>
    <tableColumn id="2997" name="列2954"/>
    <tableColumn id="2998" name="列2955"/>
    <tableColumn id="2999" name="列2956"/>
    <tableColumn id="3000" name="列2957"/>
    <tableColumn id="3001" name="列2958"/>
    <tableColumn id="3002" name="列2959"/>
    <tableColumn id="3003" name="列2960"/>
    <tableColumn id="3004" name="列2961"/>
    <tableColumn id="3005" name="列2962"/>
    <tableColumn id="3006" name="列2963"/>
    <tableColumn id="3007" name="列2964"/>
    <tableColumn id="3008" name="列2965"/>
    <tableColumn id="3009" name="列2966"/>
    <tableColumn id="3010" name="列2967"/>
    <tableColumn id="3011" name="列2968"/>
    <tableColumn id="3012" name="列2969"/>
    <tableColumn id="3013" name="列2970"/>
    <tableColumn id="3014" name="列2971"/>
    <tableColumn id="3015" name="列2972"/>
    <tableColumn id="3016" name="列2973"/>
    <tableColumn id="3017" name="列2974"/>
    <tableColumn id="3018" name="列2975"/>
    <tableColumn id="3019" name="列2976"/>
    <tableColumn id="3020" name="列2977"/>
    <tableColumn id="3021" name="列2978"/>
    <tableColumn id="3022" name="列2979"/>
    <tableColumn id="3023" name="列2980"/>
    <tableColumn id="3024" name="列2981"/>
    <tableColumn id="3025" name="列2982"/>
    <tableColumn id="3026" name="列2983"/>
    <tableColumn id="3027" name="列2984"/>
    <tableColumn id="3028" name="列2985"/>
    <tableColumn id="3029" name="列2986"/>
    <tableColumn id="3030" name="列2987"/>
    <tableColumn id="3031" name="列2988"/>
    <tableColumn id="3032" name="列2989"/>
    <tableColumn id="3033" name="列2990"/>
    <tableColumn id="3034" name="列2991"/>
    <tableColumn id="3035" name="列2992"/>
    <tableColumn id="3036" name="列2993"/>
    <tableColumn id="3037" name="列2994"/>
    <tableColumn id="3038" name="列2995"/>
    <tableColumn id="3039" name="列2996"/>
    <tableColumn id="3040" name="列2997"/>
    <tableColumn id="3041" name="列2998"/>
    <tableColumn id="3042" name="列2999"/>
    <tableColumn id="3043" name="列3000"/>
    <tableColumn id="3044" name="列3001"/>
    <tableColumn id="3045" name="列3002"/>
    <tableColumn id="3046" name="列3003"/>
    <tableColumn id="3047" name="列3004"/>
    <tableColumn id="3048" name="列3005"/>
    <tableColumn id="3049" name="列3006"/>
    <tableColumn id="3050" name="列3007"/>
    <tableColumn id="3051" name="列3008"/>
    <tableColumn id="3052" name="列3009"/>
    <tableColumn id="3053" name="列3010"/>
    <tableColumn id="3054" name="列3011"/>
    <tableColumn id="3055" name="列3012"/>
    <tableColumn id="3056" name="列3013"/>
    <tableColumn id="3057" name="列3014"/>
    <tableColumn id="3058" name="列3015"/>
    <tableColumn id="3059" name="列3016"/>
    <tableColumn id="3060" name="列3017"/>
    <tableColumn id="3061" name="列3018"/>
    <tableColumn id="3062" name="列3019"/>
    <tableColumn id="3063" name="列3020"/>
    <tableColumn id="3064" name="列3021"/>
    <tableColumn id="3065" name="列3022"/>
    <tableColumn id="3066" name="列3023"/>
    <tableColumn id="3067" name="列3024"/>
    <tableColumn id="3068" name="列3025"/>
    <tableColumn id="3069" name="列3026"/>
    <tableColumn id="3070" name="列3027"/>
    <tableColumn id="3071" name="列3028"/>
    <tableColumn id="3072" name="列3029"/>
    <tableColumn id="3073" name="列3030"/>
    <tableColumn id="3074" name="列3031"/>
    <tableColumn id="3075" name="列3032"/>
    <tableColumn id="3076" name="列3033"/>
    <tableColumn id="3077" name="列3034"/>
    <tableColumn id="3078" name="列3035"/>
    <tableColumn id="3079" name="列3036"/>
    <tableColumn id="3080" name="列3037"/>
    <tableColumn id="3081" name="列3038"/>
    <tableColumn id="3082" name="列3039"/>
    <tableColumn id="3083" name="列3040"/>
    <tableColumn id="3084" name="列3041"/>
    <tableColumn id="3085" name="列3042"/>
    <tableColumn id="3086" name="列3043"/>
    <tableColumn id="3087" name="列3044"/>
    <tableColumn id="3088" name="列3045"/>
    <tableColumn id="3089" name="列3046"/>
    <tableColumn id="3090" name="列3047"/>
    <tableColumn id="3091" name="列3048"/>
    <tableColumn id="3092" name="列3049"/>
    <tableColumn id="3093" name="列3050"/>
    <tableColumn id="3094" name="列3051"/>
    <tableColumn id="3095" name="列3052"/>
    <tableColumn id="3096" name="列3053"/>
    <tableColumn id="3097" name="列3054"/>
    <tableColumn id="3098" name="列3055"/>
    <tableColumn id="3099" name="列3056"/>
    <tableColumn id="3100" name="列3057"/>
    <tableColumn id="3101" name="列3058"/>
    <tableColumn id="3102" name="列3059"/>
    <tableColumn id="3103" name="列3060"/>
    <tableColumn id="3104" name="列3061"/>
    <tableColumn id="3105" name="列3062"/>
    <tableColumn id="3106" name="列3063"/>
    <tableColumn id="3107" name="列3064"/>
    <tableColumn id="3108" name="列3065"/>
    <tableColumn id="3109" name="列3066"/>
    <tableColumn id="3110" name="列3067"/>
    <tableColumn id="3111" name="列3068"/>
    <tableColumn id="3112" name="列3069"/>
    <tableColumn id="3113" name="列3070"/>
    <tableColumn id="3114" name="列3071"/>
    <tableColumn id="3115" name="列3072"/>
    <tableColumn id="3116" name="列3073"/>
    <tableColumn id="3117" name="列3074"/>
    <tableColumn id="3118" name="列3075"/>
    <tableColumn id="3119" name="列3076"/>
    <tableColumn id="3120" name="列3077"/>
    <tableColumn id="3121" name="列3078"/>
    <tableColumn id="3122" name="列3079"/>
    <tableColumn id="3123" name="列3080"/>
    <tableColumn id="3124" name="列3081"/>
    <tableColumn id="3125" name="列3082"/>
    <tableColumn id="3126" name="列3083"/>
    <tableColumn id="3127" name="列3084"/>
    <tableColumn id="3128" name="列3085"/>
    <tableColumn id="3129" name="列3086"/>
    <tableColumn id="3130" name="列3087"/>
    <tableColumn id="3131" name="列3088"/>
    <tableColumn id="3132" name="列3089"/>
    <tableColumn id="3133" name="列3090"/>
    <tableColumn id="3134" name="列3091"/>
    <tableColumn id="3135" name="列3092"/>
    <tableColumn id="3136" name="列3093"/>
    <tableColumn id="3137" name="列3094"/>
    <tableColumn id="3138" name="列3095"/>
    <tableColumn id="3139" name="列3096"/>
    <tableColumn id="3140" name="列3097"/>
    <tableColumn id="3141" name="列3098"/>
    <tableColumn id="3142" name="列3099"/>
    <tableColumn id="3143" name="列3100"/>
    <tableColumn id="3144" name="列3101"/>
    <tableColumn id="3145" name="列3102"/>
    <tableColumn id="3146" name="列3103"/>
    <tableColumn id="3147" name="列3104"/>
    <tableColumn id="3148" name="列3105"/>
    <tableColumn id="3149" name="列3106"/>
    <tableColumn id="3150" name="列3107"/>
    <tableColumn id="3151" name="列3108"/>
    <tableColumn id="3152" name="列3109"/>
    <tableColumn id="3153" name="列3110"/>
    <tableColumn id="3154" name="列3111"/>
    <tableColumn id="3155" name="列3112"/>
    <tableColumn id="3156" name="列3113"/>
    <tableColumn id="3157" name="列3114"/>
    <tableColumn id="3158" name="列3115"/>
    <tableColumn id="3159" name="列3116"/>
    <tableColumn id="3160" name="列3117"/>
    <tableColumn id="3161" name="列3118"/>
    <tableColumn id="3162" name="列3119"/>
    <tableColumn id="3163" name="列3120"/>
    <tableColumn id="3164" name="列3121"/>
    <tableColumn id="3165" name="列3122"/>
    <tableColumn id="3166" name="列3123"/>
    <tableColumn id="3167" name="列3124"/>
    <tableColumn id="3168" name="列3125"/>
    <tableColumn id="3169" name="列3126"/>
    <tableColumn id="3170" name="列3127"/>
    <tableColumn id="3171" name="列3128"/>
    <tableColumn id="3172" name="列3129"/>
    <tableColumn id="3173" name="列3130"/>
    <tableColumn id="3174" name="列3131"/>
    <tableColumn id="3175" name="列3132"/>
    <tableColumn id="3176" name="列3133"/>
    <tableColumn id="3177" name="列3134"/>
    <tableColumn id="3178" name="列3135"/>
    <tableColumn id="3179" name="列3136"/>
    <tableColumn id="3180" name="列3137"/>
    <tableColumn id="3181" name="列3138"/>
    <tableColumn id="3182" name="列3139"/>
    <tableColumn id="3183" name="列3140"/>
    <tableColumn id="3184" name="列3141"/>
    <tableColumn id="3185" name="列3142"/>
    <tableColumn id="3186" name="列3143"/>
    <tableColumn id="3187" name="列3144"/>
    <tableColumn id="3188" name="列3145"/>
    <tableColumn id="3189" name="列3146"/>
    <tableColumn id="3190" name="列3147"/>
    <tableColumn id="3191" name="列3148"/>
    <tableColumn id="3192" name="列3149"/>
    <tableColumn id="3193" name="列3150"/>
    <tableColumn id="3194" name="列3151"/>
    <tableColumn id="3195" name="列3152"/>
    <tableColumn id="3196" name="列3153"/>
    <tableColumn id="3197" name="列3154"/>
    <tableColumn id="3198" name="列3155"/>
    <tableColumn id="3199" name="列3156"/>
    <tableColumn id="3200" name="列3157"/>
    <tableColumn id="3201" name="列3158"/>
    <tableColumn id="3202" name="列3159"/>
    <tableColumn id="3203" name="列3160"/>
    <tableColumn id="3204" name="列3161"/>
    <tableColumn id="3205" name="列3162"/>
    <tableColumn id="3206" name="列3163"/>
    <tableColumn id="3207" name="列3164"/>
    <tableColumn id="3208" name="列3165"/>
    <tableColumn id="3209" name="列3166"/>
    <tableColumn id="3210" name="列3167"/>
    <tableColumn id="3211" name="列3168"/>
    <tableColumn id="3212" name="列3169"/>
    <tableColumn id="3213" name="列3170"/>
    <tableColumn id="3214" name="列3171"/>
    <tableColumn id="3215" name="列3172"/>
    <tableColumn id="3216" name="列3173"/>
    <tableColumn id="3217" name="列3174"/>
    <tableColumn id="3218" name="列3175"/>
    <tableColumn id="3219" name="列3176"/>
    <tableColumn id="3220" name="列3177"/>
    <tableColumn id="3221" name="列3178"/>
    <tableColumn id="3222" name="列3179"/>
    <tableColumn id="3223" name="列3180"/>
    <tableColumn id="3224" name="列3181"/>
    <tableColumn id="3225" name="列3182"/>
    <tableColumn id="3226" name="列3183"/>
    <tableColumn id="3227" name="列3184"/>
    <tableColumn id="3228" name="列3185"/>
    <tableColumn id="3229" name="列3186"/>
    <tableColumn id="3230" name="列3187"/>
    <tableColumn id="3231" name="列3188"/>
    <tableColumn id="3232" name="列3189"/>
    <tableColumn id="3233" name="列3190"/>
    <tableColumn id="3234" name="列3191"/>
    <tableColumn id="3235" name="列3192"/>
    <tableColumn id="3236" name="列3193"/>
    <tableColumn id="3237" name="列3194"/>
    <tableColumn id="3238" name="列3195"/>
    <tableColumn id="3239" name="列3196"/>
    <tableColumn id="3240" name="列3197"/>
    <tableColumn id="3241" name="列3198"/>
    <tableColumn id="3242" name="列3199"/>
    <tableColumn id="3243" name="列3200"/>
    <tableColumn id="3244" name="列3201"/>
    <tableColumn id="3245" name="列3202"/>
    <tableColumn id="3246" name="列3203"/>
    <tableColumn id="3247" name="列3204"/>
    <tableColumn id="3248" name="列3205"/>
    <tableColumn id="3249" name="列3206"/>
    <tableColumn id="3250" name="列3207"/>
    <tableColumn id="3251" name="列3208"/>
    <tableColumn id="3252" name="列3209"/>
    <tableColumn id="3253" name="列3210"/>
    <tableColumn id="3254" name="列3211"/>
    <tableColumn id="3255" name="列3212"/>
    <tableColumn id="3256" name="列3213"/>
    <tableColumn id="3257" name="列3214"/>
    <tableColumn id="3258" name="列3215"/>
    <tableColumn id="3259" name="列3216"/>
    <tableColumn id="3260" name="列3217"/>
    <tableColumn id="3261" name="列3218"/>
    <tableColumn id="3262" name="列3219"/>
    <tableColumn id="3263" name="列3220"/>
    <tableColumn id="3264" name="列3221"/>
    <tableColumn id="3265" name="列3222"/>
    <tableColumn id="3266" name="列3223"/>
    <tableColumn id="3267" name="列3224"/>
    <tableColumn id="3268" name="列3225"/>
    <tableColumn id="3269" name="列3226"/>
    <tableColumn id="3270" name="列3227"/>
    <tableColumn id="3271" name="列3228"/>
    <tableColumn id="3272" name="列3229"/>
    <tableColumn id="3273" name="列3230"/>
    <tableColumn id="3274" name="列3231"/>
    <tableColumn id="3275" name="列3232"/>
    <tableColumn id="3276" name="列3233"/>
    <tableColumn id="3277" name="列3234"/>
    <tableColumn id="3278" name="列3235"/>
    <tableColumn id="3279" name="列3236"/>
    <tableColumn id="3280" name="列3237"/>
    <tableColumn id="3281" name="列3238"/>
    <tableColumn id="3282" name="列3239"/>
    <tableColumn id="3283" name="列3240"/>
    <tableColumn id="3284" name="列3241"/>
    <tableColumn id="3285" name="列3242"/>
    <tableColumn id="3286" name="列3243"/>
    <tableColumn id="3287" name="列3244"/>
    <tableColumn id="3288" name="列3245"/>
    <tableColumn id="3289" name="列3246"/>
    <tableColumn id="3290" name="列3247"/>
    <tableColumn id="3291" name="列3248"/>
    <tableColumn id="3292" name="列3249"/>
    <tableColumn id="3293" name="列3250"/>
    <tableColumn id="3294" name="列3251"/>
    <tableColumn id="3295" name="列3252"/>
    <tableColumn id="3296" name="列3253"/>
    <tableColumn id="3297" name="列3254"/>
    <tableColumn id="3298" name="列3255"/>
    <tableColumn id="3299" name="列3256"/>
    <tableColumn id="3300" name="列3257"/>
    <tableColumn id="3301" name="列3258"/>
    <tableColumn id="3302" name="列3259"/>
    <tableColumn id="3303" name="列3260"/>
    <tableColumn id="3304" name="列3261"/>
    <tableColumn id="3305" name="列3262"/>
    <tableColumn id="3306" name="列3263"/>
    <tableColumn id="3307" name="列3264"/>
    <tableColumn id="3308" name="列3265"/>
    <tableColumn id="3309" name="列3266"/>
    <tableColumn id="3310" name="列3267"/>
    <tableColumn id="3311" name="列3268"/>
    <tableColumn id="3312" name="列3269"/>
    <tableColumn id="3313" name="列3270"/>
    <tableColumn id="3314" name="列3271"/>
    <tableColumn id="3315" name="列3272"/>
    <tableColumn id="3316" name="列3273"/>
    <tableColumn id="3317" name="列3274"/>
    <tableColumn id="3318" name="列3275"/>
    <tableColumn id="3319" name="列3276"/>
    <tableColumn id="3320" name="列3277"/>
    <tableColumn id="3321" name="列3278"/>
    <tableColumn id="3322" name="列3279"/>
    <tableColumn id="3323" name="列3280"/>
    <tableColumn id="3324" name="列3281"/>
    <tableColumn id="3325" name="列3282"/>
    <tableColumn id="3326" name="列3283"/>
    <tableColumn id="3327" name="列3284"/>
    <tableColumn id="3328" name="列3285"/>
    <tableColumn id="3329" name="列3286"/>
    <tableColumn id="3330" name="列3287"/>
    <tableColumn id="3331" name="列3288"/>
    <tableColumn id="3332" name="列3289"/>
    <tableColumn id="3333" name="列3290"/>
    <tableColumn id="3334" name="列3291"/>
    <tableColumn id="3335" name="列3292"/>
    <tableColumn id="3336" name="列3293"/>
    <tableColumn id="3337" name="列3294"/>
    <tableColumn id="3338" name="列3295"/>
    <tableColumn id="3339" name="列3296"/>
    <tableColumn id="3340" name="列3297"/>
    <tableColumn id="3341" name="列3298"/>
    <tableColumn id="3342" name="列3299"/>
    <tableColumn id="3343" name="列3300"/>
    <tableColumn id="3344" name="列3301"/>
    <tableColumn id="3345" name="列3302"/>
    <tableColumn id="3346" name="列3303"/>
    <tableColumn id="3347" name="列3304"/>
    <tableColumn id="3348" name="列3305"/>
    <tableColumn id="3349" name="列3306"/>
    <tableColumn id="3350" name="列3307"/>
    <tableColumn id="3351" name="列3308"/>
    <tableColumn id="3352" name="列3309"/>
    <tableColumn id="3353" name="列3310"/>
    <tableColumn id="3354" name="列3311"/>
    <tableColumn id="3355" name="列3312"/>
    <tableColumn id="3356" name="列3313"/>
    <tableColumn id="3357" name="列3314"/>
    <tableColumn id="3358" name="列3315"/>
    <tableColumn id="3359" name="列3316"/>
    <tableColumn id="3360" name="列3317"/>
    <tableColumn id="3361" name="列3318"/>
    <tableColumn id="3362" name="列3319"/>
    <tableColumn id="3363" name="列3320"/>
    <tableColumn id="3364" name="列3321"/>
    <tableColumn id="3365" name="列3322"/>
    <tableColumn id="3366" name="列3323"/>
    <tableColumn id="3367" name="列3324"/>
    <tableColumn id="3368" name="列3325"/>
    <tableColumn id="3369" name="列3326"/>
    <tableColumn id="3370" name="列3327"/>
    <tableColumn id="3371" name="列3328"/>
    <tableColumn id="3372" name="列3329"/>
    <tableColumn id="3373" name="列3330"/>
    <tableColumn id="3374" name="列3331"/>
    <tableColumn id="3375" name="列3332"/>
    <tableColumn id="3376" name="列3333"/>
    <tableColumn id="3377" name="列3334"/>
    <tableColumn id="3378" name="列3335"/>
    <tableColumn id="3379" name="列3336"/>
    <tableColumn id="3380" name="列3337"/>
    <tableColumn id="3381" name="列3338"/>
    <tableColumn id="3382" name="列3339"/>
    <tableColumn id="3383" name="列3340"/>
    <tableColumn id="3384" name="列3341"/>
    <tableColumn id="3385" name="列3342"/>
    <tableColumn id="3386" name="列3343"/>
    <tableColumn id="3387" name="列3344"/>
    <tableColumn id="3388" name="列3345"/>
    <tableColumn id="3389" name="列3346"/>
    <tableColumn id="3390" name="列3347"/>
    <tableColumn id="3391" name="列3348"/>
    <tableColumn id="3392" name="列3349"/>
    <tableColumn id="3393" name="列3350"/>
    <tableColumn id="3394" name="列3351"/>
    <tableColumn id="3395" name="列3352"/>
    <tableColumn id="3396" name="列3353"/>
    <tableColumn id="3397" name="列3354"/>
    <tableColumn id="3398" name="列3355"/>
    <tableColumn id="3399" name="列3356"/>
    <tableColumn id="3400" name="列3357"/>
    <tableColumn id="3401" name="列3358"/>
    <tableColumn id="3402" name="列3359"/>
    <tableColumn id="3403" name="列3360"/>
    <tableColumn id="3404" name="列3361"/>
    <tableColumn id="3405" name="列3362"/>
    <tableColumn id="3406" name="列3363"/>
    <tableColumn id="3407" name="列3364"/>
    <tableColumn id="3408" name="列3365"/>
    <tableColumn id="3409" name="列3366"/>
    <tableColumn id="3410" name="列3367"/>
    <tableColumn id="3411" name="列3368"/>
    <tableColumn id="3412" name="列3369"/>
    <tableColumn id="3413" name="列3370"/>
    <tableColumn id="3414" name="列3371"/>
    <tableColumn id="3415" name="列3372"/>
    <tableColumn id="3416" name="列3373"/>
    <tableColumn id="3417" name="列3374"/>
    <tableColumn id="3418" name="列3375"/>
    <tableColumn id="3419" name="列3376"/>
    <tableColumn id="3420" name="列3377"/>
    <tableColumn id="3421" name="列3378"/>
    <tableColumn id="3422" name="列3379"/>
    <tableColumn id="3423" name="列3380"/>
    <tableColumn id="3424" name="列3381"/>
    <tableColumn id="3425" name="列3382"/>
    <tableColumn id="3426" name="列3383"/>
    <tableColumn id="3427" name="列3384"/>
    <tableColumn id="3428" name="列3385"/>
    <tableColumn id="3429" name="列3386"/>
    <tableColumn id="3430" name="列3387"/>
    <tableColumn id="3431" name="列3388"/>
    <tableColumn id="3432" name="列3389"/>
    <tableColumn id="3433" name="列3390"/>
    <tableColumn id="3434" name="列3391"/>
    <tableColumn id="3435" name="列3392"/>
    <tableColumn id="3436" name="列3393"/>
    <tableColumn id="3437" name="列3394"/>
    <tableColumn id="3438" name="列3395"/>
    <tableColumn id="3439" name="列3396"/>
    <tableColumn id="3440" name="列3397"/>
    <tableColumn id="3441" name="列3398"/>
    <tableColumn id="3442" name="列3399"/>
    <tableColumn id="3443" name="列3400"/>
    <tableColumn id="3444" name="列3401"/>
    <tableColumn id="3445" name="列3402"/>
    <tableColumn id="3446" name="列3403"/>
    <tableColumn id="3447" name="列3404"/>
    <tableColumn id="3448" name="列3405"/>
    <tableColumn id="3449" name="列3406"/>
    <tableColumn id="3450" name="列3407"/>
    <tableColumn id="3451" name="列3408"/>
    <tableColumn id="3452" name="列3409"/>
    <tableColumn id="3453" name="列3410"/>
    <tableColumn id="3454" name="列3411"/>
    <tableColumn id="3455" name="列3412"/>
    <tableColumn id="3456" name="列3413"/>
    <tableColumn id="3457" name="列3414"/>
    <tableColumn id="3458" name="列3415"/>
    <tableColumn id="3459" name="列3416"/>
    <tableColumn id="3460" name="列3417"/>
    <tableColumn id="3461" name="列3418"/>
    <tableColumn id="3462" name="列3419"/>
    <tableColumn id="3463" name="列3420"/>
    <tableColumn id="3464" name="列3421"/>
    <tableColumn id="3465" name="列3422"/>
    <tableColumn id="3466" name="列3423"/>
    <tableColumn id="3467" name="列3424"/>
    <tableColumn id="3468" name="列3425"/>
    <tableColumn id="3469" name="列3426"/>
    <tableColumn id="3470" name="列3427"/>
    <tableColumn id="3471" name="列3428"/>
    <tableColumn id="3472" name="列3429"/>
    <tableColumn id="3473" name="列3430"/>
    <tableColumn id="3474" name="列3431"/>
    <tableColumn id="3475" name="列3432"/>
    <tableColumn id="3476" name="列3433"/>
    <tableColumn id="3477" name="列3434"/>
    <tableColumn id="3478" name="列3435"/>
    <tableColumn id="3479" name="列3436"/>
    <tableColumn id="3480" name="列3437"/>
    <tableColumn id="3481" name="列3438"/>
    <tableColumn id="3482" name="列3439"/>
    <tableColumn id="3483" name="列3440"/>
    <tableColumn id="3484" name="列3441"/>
    <tableColumn id="3485" name="列3442"/>
    <tableColumn id="3486" name="列3443"/>
    <tableColumn id="3487" name="列3444"/>
    <tableColumn id="3488" name="列3445"/>
    <tableColumn id="3489" name="列3446"/>
    <tableColumn id="3490" name="列3447"/>
    <tableColumn id="3491" name="列3448"/>
    <tableColumn id="3492" name="列3449"/>
    <tableColumn id="3493" name="列3450"/>
    <tableColumn id="3494" name="列3451"/>
    <tableColumn id="3495" name="列3452"/>
    <tableColumn id="3496" name="列3453"/>
    <tableColumn id="3497" name="列3454"/>
    <tableColumn id="3498" name="列3455"/>
    <tableColumn id="3499" name="列3456"/>
    <tableColumn id="3500" name="列3457"/>
    <tableColumn id="3501" name="列3458"/>
    <tableColumn id="3502" name="列3459"/>
    <tableColumn id="3503" name="列3460"/>
    <tableColumn id="3504" name="列3461"/>
    <tableColumn id="3505" name="列3462"/>
    <tableColumn id="3506" name="列3463"/>
    <tableColumn id="3507" name="列3464"/>
    <tableColumn id="3508" name="列3465"/>
    <tableColumn id="3509" name="列3466"/>
    <tableColumn id="3510" name="列3467"/>
    <tableColumn id="3511" name="列3468"/>
    <tableColumn id="3512" name="列3469"/>
    <tableColumn id="3513" name="列3470"/>
    <tableColumn id="3514" name="列3471"/>
    <tableColumn id="3515" name="列3472"/>
    <tableColumn id="3516" name="列3473"/>
    <tableColumn id="3517" name="列3474"/>
    <tableColumn id="3518" name="列3475"/>
    <tableColumn id="3519" name="列3476"/>
    <tableColumn id="3520" name="列3477"/>
    <tableColumn id="3521" name="列3478"/>
    <tableColumn id="3522" name="列3479"/>
    <tableColumn id="3523" name="列3480"/>
    <tableColumn id="3524" name="列3481"/>
    <tableColumn id="3525" name="列3482"/>
    <tableColumn id="3526" name="列3483"/>
    <tableColumn id="3527" name="列3484"/>
    <tableColumn id="3528" name="列3485"/>
    <tableColumn id="3529" name="列3486"/>
    <tableColumn id="3530" name="列3487"/>
    <tableColumn id="3531" name="列3488"/>
    <tableColumn id="3532" name="列3489"/>
    <tableColumn id="3533" name="列3490"/>
    <tableColumn id="3534" name="列3491"/>
    <tableColumn id="3535" name="列3492"/>
    <tableColumn id="3536" name="列3493"/>
    <tableColumn id="3537" name="列3494"/>
    <tableColumn id="3538" name="列3495"/>
    <tableColumn id="3539" name="列3496"/>
    <tableColumn id="3540" name="列3497"/>
    <tableColumn id="3541" name="列3498"/>
    <tableColumn id="3542" name="列3499"/>
    <tableColumn id="3543" name="列3500"/>
    <tableColumn id="3544" name="列3501"/>
    <tableColumn id="3545" name="列3502"/>
    <tableColumn id="3546" name="列3503"/>
    <tableColumn id="3547" name="列3504"/>
    <tableColumn id="3548" name="列3505"/>
    <tableColumn id="3549" name="列3506"/>
    <tableColumn id="3550" name="列3507"/>
    <tableColumn id="3551" name="列3508"/>
    <tableColumn id="3552" name="列3509"/>
    <tableColumn id="3553" name="列3510"/>
    <tableColumn id="3554" name="列3511"/>
    <tableColumn id="3555" name="列3512"/>
    <tableColumn id="3556" name="列3513"/>
    <tableColumn id="3557" name="列3514"/>
    <tableColumn id="3558" name="列3515"/>
    <tableColumn id="3559" name="列3516"/>
    <tableColumn id="3560" name="列3517"/>
    <tableColumn id="3561" name="列3518"/>
    <tableColumn id="3562" name="列3519"/>
    <tableColumn id="3563" name="列3520"/>
    <tableColumn id="3564" name="列3521"/>
    <tableColumn id="3565" name="列3522"/>
    <tableColumn id="3566" name="列3523"/>
    <tableColumn id="3567" name="列3524"/>
    <tableColumn id="3568" name="列3525"/>
    <tableColumn id="3569" name="列3526"/>
    <tableColumn id="3570" name="列3527"/>
    <tableColumn id="3571" name="列3528"/>
    <tableColumn id="3572" name="列3529"/>
    <tableColumn id="3573" name="列3530"/>
    <tableColumn id="3574" name="列3531"/>
    <tableColumn id="3575" name="列3532"/>
    <tableColumn id="3576" name="列3533"/>
    <tableColumn id="3577" name="列3534"/>
    <tableColumn id="3578" name="列3535"/>
    <tableColumn id="3579" name="列3536"/>
    <tableColumn id="3580" name="列3537"/>
    <tableColumn id="3581" name="列3538"/>
    <tableColumn id="3582" name="列3539"/>
    <tableColumn id="3583" name="列3540"/>
    <tableColumn id="3584" name="列3541"/>
    <tableColumn id="3585" name="列3542"/>
    <tableColumn id="3586" name="列3543"/>
    <tableColumn id="3587" name="列3544"/>
    <tableColumn id="3588" name="列3545"/>
    <tableColumn id="3589" name="列3546"/>
    <tableColumn id="3590" name="列3547"/>
    <tableColumn id="3591" name="列3548"/>
    <tableColumn id="3592" name="列3549"/>
    <tableColumn id="3593" name="列3550"/>
    <tableColumn id="3594" name="列3551"/>
    <tableColumn id="3595" name="列3552"/>
    <tableColumn id="3596" name="列3553"/>
    <tableColumn id="3597" name="列3554"/>
    <tableColumn id="3598" name="列3555"/>
    <tableColumn id="3599" name="列3556"/>
    <tableColumn id="3600" name="列3557"/>
    <tableColumn id="3601" name="列3558"/>
    <tableColumn id="3602" name="列3559"/>
    <tableColumn id="3603" name="列3560"/>
    <tableColumn id="3604" name="列3561"/>
    <tableColumn id="3605" name="列3562"/>
    <tableColumn id="3606" name="列3563"/>
    <tableColumn id="3607" name="列3564"/>
    <tableColumn id="3608" name="列3565"/>
    <tableColumn id="3609" name="列3566"/>
    <tableColumn id="3610" name="列3567"/>
    <tableColumn id="3611" name="列3568"/>
    <tableColumn id="3612" name="列3569"/>
    <tableColumn id="3613" name="列3570"/>
    <tableColumn id="3614" name="列3571"/>
    <tableColumn id="3615" name="列3572"/>
    <tableColumn id="3616" name="列3573"/>
    <tableColumn id="3617" name="列3574"/>
    <tableColumn id="3618" name="列3575"/>
    <tableColumn id="3619" name="列3576"/>
    <tableColumn id="3620" name="列3577"/>
    <tableColumn id="3621" name="列3578"/>
    <tableColumn id="3622" name="列3579"/>
    <tableColumn id="3623" name="列3580"/>
    <tableColumn id="3624" name="列3581"/>
    <tableColumn id="3625" name="列3582"/>
    <tableColumn id="3626" name="列3583"/>
    <tableColumn id="3627" name="列3584"/>
    <tableColumn id="3628" name="列3585"/>
    <tableColumn id="3629" name="列3586"/>
    <tableColumn id="3630" name="列3587"/>
    <tableColumn id="3631" name="列3588"/>
    <tableColumn id="3632" name="列3589"/>
    <tableColumn id="3633" name="列3590"/>
    <tableColumn id="3634" name="列3591"/>
    <tableColumn id="3635" name="列3592"/>
    <tableColumn id="3636" name="列3593"/>
    <tableColumn id="3637" name="列3594"/>
    <tableColumn id="3638" name="列3595"/>
    <tableColumn id="3639" name="列3596"/>
    <tableColumn id="3640" name="列3597"/>
    <tableColumn id="3641" name="列3598"/>
    <tableColumn id="3642" name="列3599"/>
    <tableColumn id="3643" name="列3600"/>
    <tableColumn id="3644" name="列3601"/>
    <tableColumn id="3645" name="列3602"/>
    <tableColumn id="3646" name="列3603"/>
    <tableColumn id="3647" name="列3604"/>
    <tableColumn id="3648" name="列3605"/>
    <tableColumn id="3649" name="列3606"/>
    <tableColumn id="3650" name="列3607"/>
    <tableColumn id="3651" name="列3608"/>
    <tableColumn id="3652" name="列3609"/>
    <tableColumn id="3653" name="列3610"/>
    <tableColumn id="3654" name="列3611"/>
    <tableColumn id="3655" name="列3612"/>
    <tableColumn id="3656" name="列3613"/>
    <tableColumn id="3657" name="列3614"/>
    <tableColumn id="3658" name="列3615"/>
    <tableColumn id="3659" name="列3616"/>
    <tableColumn id="3660" name="列3617"/>
    <tableColumn id="3661" name="列3618"/>
    <tableColumn id="3662" name="列3619"/>
    <tableColumn id="3663" name="列3620"/>
    <tableColumn id="3664" name="列3621"/>
    <tableColumn id="3665" name="列3622"/>
    <tableColumn id="3666" name="列3623"/>
    <tableColumn id="3667" name="列3624"/>
    <tableColumn id="3668" name="列3625"/>
    <tableColumn id="3669" name="列3626"/>
    <tableColumn id="3670" name="列3627"/>
    <tableColumn id="3671" name="列3628"/>
    <tableColumn id="3672" name="列3629"/>
    <tableColumn id="3673" name="列3630"/>
    <tableColumn id="3674" name="列3631"/>
    <tableColumn id="3675" name="列3632"/>
    <tableColumn id="3676" name="列3633"/>
    <tableColumn id="3677" name="列3634"/>
    <tableColumn id="3678" name="列3635"/>
    <tableColumn id="3679" name="列3636"/>
    <tableColumn id="3680" name="列3637"/>
    <tableColumn id="3681" name="列3638"/>
    <tableColumn id="3682" name="列3639"/>
    <tableColumn id="3683" name="列3640"/>
    <tableColumn id="3684" name="列3641"/>
    <tableColumn id="3685" name="列3642"/>
    <tableColumn id="3686" name="列3643"/>
    <tableColumn id="3687" name="列3644"/>
    <tableColumn id="3688" name="列3645"/>
    <tableColumn id="3689" name="列3646"/>
    <tableColumn id="3690" name="列3647"/>
    <tableColumn id="3691" name="列3648"/>
    <tableColumn id="3692" name="列3649"/>
    <tableColumn id="3693" name="列3650"/>
    <tableColumn id="3694" name="列3651"/>
    <tableColumn id="3695" name="列3652"/>
    <tableColumn id="3696" name="列3653"/>
    <tableColumn id="3697" name="列3654"/>
    <tableColumn id="3698" name="列3655"/>
    <tableColumn id="3699" name="列3656"/>
    <tableColumn id="3700" name="列3657"/>
    <tableColumn id="3701" name="列3658"/>
    <tableColumn id="3702" name="列3659"/>
    <tableColumn id="3703" name="列3660"/>
    <tableColumn id="3704" name="列3661"/>
    <tableColumn id="3705" name="列3662"/>
    <tableColumn id="3706" name="列3663"/>
    <tableColumn id="3707" name="列3664"/>
    <tableColumn id="3708" name="列3665"/>
    <tableColumn id="3709" name="列3666"/>
    <tableColumn id="3710" name="列3667"/>
    <tableColumn id="3711" name="列3668"/>
    <tableColumn id="3712" name="列3669"/>
    <tableColumn id="3713" name="列3670"/>
    <tableColumn id="3714" name="列3671"/>
    <tableColumn id="3715" name="列3672"/>
    <tableColumn id="3716" name="列3673"/>
    <tableColumn id="3717" name="列3674"/>
    <tableColumn id="3718" name="列3675"/>
    <tableColumn id="3719" name="列3676"/>
    <tableColumn id="3720" name="列3677"/>
    <tableColumn id="3721" name="列3678"/>
    <tableColumn id="3722" name="列3679"/>
    <tableColumn id="3723" name="列3680"/>
    <tableColumn id="3724" name="列3681"/>
    <tableColumn id="3725" name="列3682"/>
    <tableColumn id="3726" name="列3683"/>
    <tableColumn id="3727" name="列3684"/>
    <tableColumn id="3728" name="列3685"/>
    <tableColumn id="3729" name="列3686"/>
    <tableColumn id="3730" name="列3687"/>
    <tableColumn id="3731" name="列3688"/>
    <tableColumn id="3732" name="列3689"/>
    <tableColumn id="3733" name="列3690"/>
    <tableColumn id="3734" name="列3691"/>
    <tableColumn id="3735" name="列3692"/>
    <tableColumn id="3736" name="列3693"/>
    <tableColumn id="3737" name="列3694"/>
    <tableColumn id="3738" name="列3695"/>
    <tableColumn id="3739" name="列3696"/>
    <tableColumn id="3740" name="列3697"/>
    <tableColumn id="3741" name="列3698"/>
    <tableColumn id="3742" name="列3699"/>
    <tableColumn id="3743" name="列3700"/>
    <tableColumn id="3744" name="列3701"/>
    <tableColumn id="3745" name="列3702"/>
    <tableColumn id="3746" name="列3703"/>
    <tableColumn id="3747" name="列3704"/>
    <tableColumn id="3748" name="列3705"/>
    <tableColumn id="3749" name="列3706"/>
    <tableColumn id="3750" name="列3707"/>
    <tableColumn id="3751" name="列3708"/>
    <tableColumn id="3752" name="列3709"/>
    <tableColumn id="3753" name="列3710"/>
    <tableColumn id="3754" name="列3711"/>
    <tableColumn id="3755" name="列3712"/>
    <tableColumn id="3756" name="列3713"/>
    <tableColumn id="3757" name="列3714"/>
    <tableColumn id="3758" name="列3715"/>
    <tableColumn id="3759" name="列3716"/>
    <tableColumn id="3760" name="列3717"/>
    <tableColumn id="3761" name="列3718"/>
    <tableColumn id="3762" name="列3719"/>
    <tableColumn id="3763" name="列3720"/>
    <tableColumn id="3764" name="列3721"/>
    <tableColumn id="3765" name="列3722"/>
    <tableColumn id="3766" name="列3723"/>
    <tableColumn id="3767" name="列3724"/>
    <tableColumn id="3768" name="列3725"/>
    <tableColumn id="3769" name="列3726"/>
    <tableColumn id="3770" name="列3727"/>
    <tableColumn id="3771" name="列3728"/>
    <tableColumn id="3772" name="列3729"/>
    <tableColumn id="3773" name="列3730"/>
    <tableColumn id="3774" name="列3731"/>
    <tableColumn id="3775" name="列3732"/>
    <tableColumn id="3776" name="列3733"/>
    <tableColumn id="3777" name="列3734"/>
    <tableColumn id="3778" name="列3735"/>
    <tableColumn id="3779" name="列3736"/>
    <tableColumn id="3780" name="列3737"/>
    <tableColumn id="3781" name="列3738"/>
    <tableColumn id="3782" name="列3739"/>
    <tableColumn id="3783" name="列3740"/>
    <tableColumn id="3784" name="列3741"/>
    <tableColumn id="3785" name="列3742"/>
    <tableColumn id="3786" name="列3743"/>
    <tableColumn id="3787" name="列3744"/>
    <tableColumn id="3788" name="列3745"/>
    <tableColumn id="3789" name="列3746"/>
    <tableColumn id="3790" name="列3747"/>
    <tableColumn id="3791" name="列3748"/>
    <tableColumn id="3792" name="列3749"/>
    <tableColumn id="3793" name="列3750"/>
    <tableColumn id="3794" name="列3751"/>
    <tableColumn id="3795" name="列3752"/>
    <tableColumn id="3796" name="列3753"/>
    <tableColumn id="3797" name="列3754"/>
    <tableColumn id="3798" name="列3755"/>
    <tableColumn id="3799" name="列3756"/>
    <tableColumn id="3800" name="列3757"/>
    <tableColumn id="3801" name="列3758"/>
    <tableColumn id="3802" name="列3759"/>
    <tableColumn id="3803" name="列3760"/>
    <tableColumn id="3804" name="列3761"/>
    <tableColumn id="3805" name="列3762"/>
    <tableColumn id="3806" name="列3763"/>
    <tableColumn id="3807" name="列3764"/>
    <tableColumn id="3808" name="列3765"/>
    <tableColumn id="3809" name="列3766"/>
    <tableColumn id="3810" name="列3767"/>
    <tableColumn id="3811" name="列3768"/>
    <tableColumn id="3812" name="列3769"/>
    <tableColumn id="3813" name="列3770"/>
    <tableColumn id="3814" name="列3771"/>
    <tableColumn id="3815" name="列3772"/>
    <tableColumn id="3816" name="列3773"/>
    <tableColumn id="3817" name="列3774"/>
    <tableColumn id="3818" name="列3775"/>
    <tableColumn id="3819" name="列3776"/>
    <tableColumn id="3820" name="列3777"/>
    <tableColumn id="3821" name="列3778"/>
    <tableColumn id="3822" name="列3779"/>
    <tableColumn id="3823" name="列3780"/>
    <tableColumn id="3824" name="列3781"/>
    <tableColumn id="3825" name="列3782"/>
    <tableColumn id="3826" name="列3783"/>
    <tableColumn id="3827" name="列3784"/>
    <tableColumn id="3828" name="列3785"/>
    <tableColumn id="3829" name="列3786"/>
    <tableColumn id="3830" name="列3787"/>
    <tableColumn id="3831" name="列3788"/>
    <tableColumn id="3832" name="列3789"/>
    <tableColumn id="3833" name="列3790"/>
    <tableColumn id="3834" name="列3791"/>
    <tableColumn id="3835" name="列3792"/>
    <tableColumn id="3836" name="列3793"/>
    <tableColumn id="3837" name="列3794"/>
    <tableColumn id="3838" name="列3795"/>
    <tableColumn id="3839" name="列3796"/>
    <tableColumn id="3840" name="列3797"/>
    <tableColumn id="3841" name="列3798"/>
    <tableColumn id="3842" name="列3799"/>
    <tableColumn id="3843" name="列3800"/>
    <tableColumn id="3844" name="列3801"/>
    <tableColumn id="3845" name="列3802"/>
    <tableColumn id="3846" name="列3803"/>
    <tableColumn id="3847" name="列3804"/>
    <tableColumn id="3848" name="列3805"/>
    <tableColumn id="3849" name="列3806"/>
    <tableColumn id="3850" name="列3807"/>
    <tableColumn id="3851" name="列3808"/>
    <tableColumn id="3852" name="列3809"/>
    <tableColumn id="3853" name="列3810"/>
    <tableColumn id="3854" name="列3811"/>
    <tableColumn id="3855" name="列3812"/>
    <tableColumn id="3856" name="列3813"/>
    <tableColumn id="3857" name="列3814"/>
    <tableColumn id="3858" name="列3815"/>
    <tableColumn id="3859" name="列3816"/>
    <tableColumn id="3860" name="列3817"/>
    <tableColumn id="3861" name="列3818"/>
    <tableColumn id="3862" name="列3819"/>
    <tableColumn id="3863" name="列3820"/>
    <tableColumn id="3864" name="列3821"/>
    <tableColumn id="3865" name="列3822"/>
    <tableColumn id="3866" name="列3823"/>
    <tableColumn id="3867" name="列3824"/>
    <tableColumn id="3868" name="列3825"/>
    <tableColumn id="3869" name="列3826"/>
    <tableColumn id="3870" name="列3827"/>
    <tableColumn id="3871" name="列3828"/>
    <tableColumn id="3872" name="列3829"/>
    <tableColumn id="3873" name="列3830"/>
    <tableColumn id="3874" name="列3831"/>
    <tableColumn id="3875" name="列3832"/>
    <tableColumn id="3876" name="列3833"/>
    <tableColumn id="3877" name="列3834"/>
    <tableColumn id="3878" name="列3835"/>
    <tableColumn id="3879" name="列3836"/>
    <tableColumn id="3880" name="列3837"/>
    <tableColumn id="3881" name="列3838"/>
    <tableColumn id="3882" name="列3839"/>
    <tableColumn id="3883" name="列3840"/>
    <tableColumn id="3884" name="列3841"/>
    <tableColumn id="3885" name="列3842"/>
    <tableColumn id="3886" name="列3843"/>
    <tableColumn id="3887" name="列3844"/>
    <tableColumn id="3888" name="列3845"/>
    <tableColumn id="3889" name="列3846"/>
    <tableColumn id="3890" name="列3847"/>
    <tableColumn id="3891" name="列3848"/>
    <tableColumn id="3892" name="列3849"/>
    <tableColumn id="3893" name="列3850"/>
    <tableColumn id="3894" name="列3851"/>
    <tableColumn id="3895" name="列3852"/>
    <tableColumn id="3896" name="列3853"/>
    <tableColumn id="3897" name="列3854"/>
    <tableColumn id="3898" name="列3855"/>
    <tableColumn id="3899" name="列3856"/>
    <tableColumn id="3900" name="列3857"/>
    <tableColumn id="3901" name="列3858"/>
    <tableColumn id="3902" name="列3859"/>
    <tableColumn id="3903" name="列3860"/>
    <tableColumn id="3904" name="列3861"/>
    <tableColumn id="3905" name="列3862"/>
    <tableColumn id="3906" name="列3863"/>
    <tableColumn id="3907" name="列3864"/>
    <tableColumn id="3908" name="列3865"/>
    <tableColumn id="3909" name="列3866"/>
    <tableColumn id="3910" name="列3867"/>
    <tableColumn id="3911" name="列3868"/>
    <tableColumn id="3912" name="列3869"/>
    <tableColumn id="3913" name="列3870"/>
    <tableColumn id="3914" name="列3871"/>
    <tableColumn id="3915" name="列3872"/>
    <tableColumn id="3916" name="列3873"/>
    <tableColumn id="3917" name="列3874"/>
    <tableColumn id="3918" name="列3875"/>
    <tableColumn id="3919" name="列3876"/>
    <tableColumn id="3920" name="列3877"/>
    <tableColumn id="3921" name="列3878"/>
    <tableColumn id="3922" name="列3879"/>
    <tableColumn id="3923" name="列3880"/>
    <tableColumn id="3924" name="列3881"/>
    <tableColumn id="3925" name="列3882"/>
    <tableColumn id="3926" name="列3883"/>
    <tableColumn id="3927" name="列3884"/>
    <tableColumn id="3928" name="列3885"/>
    <tableColumn id="3929" name="列3886"/>
    <tableColumn id="3930" name="列3887"/>
    <tableColumn id="3931" name="列3888"/>
    <tableColumn id="3932" name="列3889"/>
    <tableColumn id="3933" name="列3890"/>
    <tableColumn id="3934" name="列3891"/>
    <tableColumn id="3935" name="列3892"/>
    <tableColumn id="3936" name="列3893"/>
    <tableColumn id="3937" name="列3894"/>
    <tableColumn id="3938" name="列3895"/>
    <tableColumn id="3939" name="列3896"/>
    <tableColumn id="3940" name="列3897"/>
    <tableColumn id="3941" name="列3898"/>
    <tableColumn id="3942" name="列3899"/>
    <tableColumn id="3943" name="列3900"/>
    <tableColumn id="3944" name="列3901"/>
    <tableColumn id="3945" name="列3902"/>
    <tableColumn id="3946" name="列3903"/>
    <tableColumn id="3947" name="列3904"/>
    <tableColumn id="3948" name="列3905"/>
    <tableColumn id="3949" name="列3906"/>
    <tableColumn id="3950" name="列3907"/>
    <tableColumn id="3951" name="列3908"/>
    <tableColumn id="3952" name="列3909"/>
    <tableColumn id="3953" name="列3910"/>
    <tableColumn id="3954" name="列3911"/>
    <tableColumn id="3955" name="列3912"/>
    <tableColumn id="3956" name="列3913"/>
    <tableColumn id="3957" name="列3914"/>
    <tableColumn id="3958" name="列3915"/>
    <tableColumn id="3959" name="列3916"/>
    <tableColumn id="3960" name="列3917"/>
    <tableColumn id="3961" name="列3918"/>
    <tableColumn id="3962" name="列3919"/>
    <tableColumn id="3963" name="列3920"/>
    <tableColumn id="3964" name="列3921"/>
    <tableColumn id="3965" name="列3922"/>
    <tableColumn id="3966" name="列3923"/>
    <tableColumn id="3967" name="列3924"/>
    <tableColumn id="3968" name="列3925"/>
    <tableColumn id="3969" name="列3926"/>
    <tableColumn id="3970" name="列3927"/>
    <tableColumn id="3971" name="列3928"/>
    <tableColumn id="3972" name="列3929"/>
    <tableColumn id="3973" name="列3930"/>
    <tableColumn id="3974" name="列3931"/>
    <tableColumn id="3975" name="列3932"/>
    <tableColumn id="3976" name="列3933"/>
    <tableColumn id="3977" name="列3934"/>
    <tableColumn id="3978" name="列3935"/>
    <tableColumn id="3979" name="列3936"/>
    <tableColumn id="3980" name="列3937"/>
    <tableColumn id="3981" name="列3938"/>
    <tableColumn id="3982" name="列3939"/>
    <tableColumn id="3983" name="列3940"/>
    <tableColumn id="3984" name="列3941"/>
    <tableColumn id="3985" name="列3942"/>
    <tableColumn id="3986" name="列3943"/>
    <tableColumn id="3987" name="列3944"/>
    <tableColumn id="3988" name="列3945"/>
    <tableColumn id="3989" name="列3946"/>
    <tableColumn id="3990" name="列3947"/>
    <tableColumn id="3991" name="列3948"/>
    <tableColumn id="3992" name="列3949"/>
    <tableColumn id="3993" name="列3950"/>
    <tableColumn id="3994" name="列3951"/>
    <tableColumn id="3995" name="列3952"/>
    <tableColumn id="3996" name="列3953"/>
    <tableColumn id="3997" name="列3954"/>
    <tableColumn id="3998" name="列3955"/>
    <tableColumn id="3999" name="列3956"/>
    <tableColumn id="4000" name="列3957"/>
    <tableColumn id="4001" name="列3958"/>
    <tableColumn id="4002" name="列3959"/>
    <tableColumn id="4003" name="列3960"/>
    <tableColumn id="4004" name="列3961"/>
    <tableColumn id="4005" name="列3962"/>
    <tableColumn id="4006" name="列3963"/>
    <tableColumn id="4007" name="列3964"/>
    <tableColumn id="4008" name="列3965"/>
    <tableColumn id="4009" name="列3966"/>
    <tableColumn id="4010" name="列3967"/>
    <tableColumn id="4011" name="列3968"/>
    <tableColumn id="4012" name="列3969"/>
    <tableColumn id="4013" name="列3970"/>
    <tableColumn id="4014" name="列3971"/>
    <tableColumn id="4015" name="列3972"/>
    <tableColumn id="4016" name="列3973"/>
    <tableColumn id="4017" name="列3974"/>
    <tableColumn id="4018" name="列3975"/>
    <tableColumn id="4019" name="列3976"/>
    <tableColumn id="4020" name="列3977"/>
    <tableColumn id="4021" name="列3978"/>
    <tableColumn id="4022" name="列3979"/>
    <tableColumn id="4023" name="列3980"/>
    <tableColumn id="4024" name="列3981"/>
    <tableColumn id="4025" name="列3982"/>
    <tableColumn id="4026" name="列3983"/>
    <tableColumn id="4027" name="列3984"/>
    <tableColumn id="4028" name="列3985"/>
    <tableColumn id="4029" name="列3986"/>
    <tableColumn id="4030" name="列3987"/>
    <tableColumn id="4031" name="列3988"/>
    <tableColumn id="4032" name="列3989"/>
    <tableColumn id="4033" name="列3990"/>
    <tableColumn id="4034" name="列3991"/>
    <tableColumn id="4035" name="列3992"/>
    <tableColumn id="4036" name="列3993"/>
    <tableColumn id="4037" name="列3994"/>
    <tableColumn id="4038" name="列3995"/>
    <tableColumn id="4039" name="列3996"/>
    <tableColumn id="4040" name="列3997"/>
    <tableColumn id="4041" name="列3998"/>
    <tableColumn id="4042" name="列3999"/>
    <tableColumn id="4043" name="列4000"/>
    <tableColumn id="4044" name="列4001"/>
    <tableColumn id="4045" name="列4002"/>
    <tableColumn id="4046" name="列4003"/>
    <tableColumn id="4047" name="列4004"/>
    <tableColumn id="4048" name="列4005"/>
    <tableColumn id="4049" name="列4006"/>
    <tableColumn id="4050" name="列4007"/>
    <tableColumn id="4051" name="列4008"/>
    <tableColumn id="4052" name="列4009"/>
    <tableColumn id="4053" name="列4010"/>
    <tableColumn id="4054" name="列4011"/>
    <tableColumn id="4055" name="列4012"/>
    <tableColumn id="4056" name="列4013"/>
    <tableColumn id="4057" name="列4014"/>
    <tableColumn id="4058" name="列4015"/>
    <tableColumn id="4059" name="列4016"/>
    <tableColumn id="4060" name="列4017"/>
    <tableColumn id="4061" name="列4018"/>
    <tableColumn id="4062" name="列4019"/>
    <tableColumn id="4063" name="列4020"/>
    <tableColumn id="4064" name="列4021"/>
    <tableColumn id="4065" name="列4022"/>
    <tableColumn id="4066" name="列4023"/>
    <tableColumn id="4067" name="列4024"/>
    <tableColumn id="4068" name="列4025"/>
    <tableColumn id="4069" name="列4026"/>
    <tableColumn id="4070" name="列4027"/>
    <tableColumn id="4071" name="列4028"/>
    <tableColumn id="4072" name="列4029"/>
    <tableColumn id="4073" name="列4030"/>
    <tableColumn id="4074" name="列4031"/>
    <tableColumn id="4075" name="列4032"/>
    <tableColumn id="4076" name="列4033"/>
    <tableColumn id="4077" name="列4034"/>
    <tableColumn id="4078" name="列4035"/>
    <tableColumn id="4079" name="列4036"/>
    <tableColumn id="4080" name="列4037"/>
    <tableColumn id="4081" name="列4038"/>
    <tableColumn id="4082" name="列4039"/>
    <tableColumn id="4083" name="列4040"/>
    <tableColumn id="4084" name="列4041"/>
    <tableColumn id="4085" name="列4042"/>
    <tableColumn id="4086" name="列4043"/>
    <tableColumn id="4087" name="列4044"/>
    <tableColumn id="4088" name="列4045"/>
    <tableColumn id="4089" name="列4046"/>
    <tableColumn id="4090" name="列4047"/>
    <tableColumn id="4091" name="列4048"/>
    <tableColumn id="4092" name="列4049"/>
    <tableColumn id="4093" name="列4050"/>
    <tableColumn id="4094" name="列4051"/>
    <tableColumn id="4095" name="列4052"/>
    <tableColumn id="4096" name="列4053"/>
    <tableColumn id="4097" name="列4054"/>
    <tableColumn id="4098" name="列4055"/>
    <tableColumn id="4099" name="列4056"/>
    <tableColumn id="4100" name="列4057"/>
    <tableColumn id="4101" name="列4058"/>
    <tableColumn id="4102" name="列4059"/>
    <tableColumn id="4103" name="列4060"/>
    <tableColumn id="4104" name="列4061"/>
    <tableColumn id="4105" name="列4062"/>
    <tableColumn id="4106" name="列4063"/>
    <tableColumn id="4107" name="列4064"/>
    <tableColumn id="4108" name="列4065"/>
    <tableColumn id="4109" name="列4066"/>
    <tableColumn id="4110" name="列4067"/>
    <tableColumn id="4111" name="列4068"/>
    <tableColumn id="4112" name="列4069"/>
    <tableColumn id="4113" name="列4070"/>
    <tableColumn id="4114" name="列4071"/>
    <tableColumn id="4115" name="列4072"/>
    <tableColumn id="4116" name="列4073"/>
    <tableColumn id="4117" name="列4074"/>
    <tableColumn id="4118" name="列4075"/>
    <tableColumn id="4119" name="列4076"/>
    <tableColumn id="4120" name="列4077"/>
    <tableColumn id="4121" name="列4078"/>
    <tableColumn id="4122" name="列4079"/>
    <tableColumn id="4123" name="列4080"/>
    <tableColumn id="4124" name="列4081"/>
    <tableColumn id="4125" name="列4082"/>
    <tableColumn id="4126" name="列4083"/>
    <tableColumn id="4127" name="列4084"/>
    <tableColumn id="4128" name="列4085"/>
    <tableColumn id="4129" name="列4086"/>
    <tableColumn id="4130" name="列4087"/>
    <tableColumn id="4131" name="列4088"/>
    <tableColumn id="4132" name="列4089"/>
    <tableColumn id="4133" name="列4090"/>
    <tableColumn id="4134" name="列4091"/>
    <tableColumn id="4135" name="列4092"/>
    <tableColumn id="4136" name="列4093"/>
    <tableColumn id="4137" name="列4094"/>
    <tableColumn id="4138" name="列4095"/>
    <tableColumn id="4139" name="列4096"/>
    <tableColumn id="4140" name="列4097"/>
    <tableColumn id="4141" name="列4098"/>
    <tableColumn id="4142" name="列4099"/>
    <tableColumn id="4143" name="列4100"/>
    <tableColumn id="4144" name="列4101"/>
    <tableColumn id="4145" name="列4102"/>
    <tableColumn id="4146" name="列4103"/>
    <tableColumn id="4147" name="列4104"/>
    <tableColumn id="4148" name="列4105"/>
    <tableColumn id="4149" name="列4106"/>
    <tableColumn id="4150" name="列4107"/>
    <tableColumn id="4151" name="列4108"/>
    <tableColumn id="4152" name="列4109"/>
    <tableColumn id="4153" name="列4110"/>
    <tableColumn id="4154" name="列4111"/>
    <tableColumn id="4155" name="列4112"/>
    <tableColumn id="4156" name="列4113"/>
    <tableColumn id="4157" name="列4114"/>
    <tableColumn id="4158" name="列4115"/>
    <tableColumn id="4159" name="列4116"/>
    <tableColumn id="4160" name="列4117"/>
    <tableColumn id="4161" name="列4118"/>
    <tableColumn id="4162" name="列4119"/>
    <tableColumn id="4163" name="列4120"/>
    <tableColumn id="4164" name="列4121"/>
    <tableColumn id="4165" name="列4122"/>
    <tableColumn id="4166" name="列4123"/>
    <tableColumn id="4167" name="列4124"/>
    <tableColumn id="4168" name="列4125"/>
    <tableColumn id="4169" name="列4126"/>
    <tableColumn id="4170" name="列4127"/>
    <tableColumn id="4171" name="列4128"/>
    <tableColumn id="4172" name="列4129"/>
    <tableColumn id="4173" name="列4130"/>
    <tableColumn id="4174" name="列4131"/>
    <tableColumn id="4175" name="列4132"/>
    <tableColumn id="4176" name="列4133"/>
    <tableColumn id="4177" name="列4134"/>
    <tableColumn id="4178" name="列4135"/>
    <tableColumn id="4179" name="列4136"/>
    <tableColumn id="4180" name="列4137"/>
    <tableColumn id="4181" name="列4138"/>
    <tableColumn id="4182" name="列4139"/>
    <tableColumn id="4183" name="列4140"/>
    <tableColumn id="4184" name="列4141"/>
    <tableColumn id="4185" name="列4142"/>
    <tableColumn id="4186" name="列4143"/>
    <tableColumn id="4187" name="列4144"/>
    <tableColumn id="4188" name="列4145"/>
    <tableColumn id="4189" name="列4146"/>
    <tableColumn id="4190" name="列4147"/>
    <tableColumn id="4191" name="列4148"/>
    <tableColumn id="4192" name="列4149"/>
    <tableColumn id="4193" name="列4150"/>
    <tableColumn id="4194" name="列4151"/>
    <tableColumn id="4195" name="列4152"/>
    <tableColumn id="4196" name="列4153"/>
    <tableColumn id="4197" name="列4154"/>
    <tableColumn id="4198" name="列4155"/>
    <tableColumn id="4199" name="列4156"/>
    <tableColumn id="4200" name="列4157"/>
    <tableColumn id="4201" name="列4158"/>
    <tableColumn id="4202" name="列4159"/>
    <tableColumn id="4203" name="列4160"/>
    <tableColumn id="4204" name="列4161"/>
    <tableColumn id="4205" name="列4162"/>
    <tableColumn id="4206" name="列4163"/>
    <tableColumn id="4207" name="列4164"/>
    <tableColumn id="4208" name="列4165"/>
    <tableColumn id="4209" name="列4166"/>
    <tableColumn id="4210" name="列4167"/>
    <tableColumn id="4211" name="列4168"/>
    <tableColumn id="4212" name="列4169"/>
    <tableColumn id="4213" name="列4170"/>
    <tableColumn id="4214" name="列4171"/>
    <tableColumn id="4215" name="列4172"/>
    <tableColumn id="4216" name="列4173"/>
    <tableColumn id="4217" name="列4174"/>
    <tableColumn id="4218" name="列4175"/>
    <tableColumn id="4219" name="列4176"/>
    <tableColumn id="4220" name="列4177"/>
    <tableColumn id="4221" name="列4178"/>
    <tableColumn id="4222" name="列4179"/>
    <tableColumn id="4223" name="列4180"/>
    <tableColumn id="4224" name="列4181"/>
    <tableColumn id="4225" name="列4182"/>
    <tableColumn id="4226" name="列4183"/>
    <tableColumn id="4227" name="列4184"/>
    <tableColumn id="4228" name="列4185"/>
    <tableColumn id="4229" name="列4186"/>
    <tableColumn id="4230" name="列4187"/>
    <tableColumn id="4231" name="列4188"/>
    <tableColumn id="4232" name="列4189"/>
    <tableColumn id="4233" name="列4190"/>
    <tableColumn id="4234" name="列4191"/>
    <tableColumn id="4235" name="列4192"/>
    <tableColumn id="4236" name="列4193"/>
    <tableColumn id="4237" name="列4194"/>
    <tableColumn id="4238" name="列4195"/>
    <tableColumn id="4239" name="列4196"/>
    <tableColumn id="4240" name="列4197"/>
    <tableColumn id="4241" name="列4198"/>
    <tableColumn id="4242" name="列4199"/>
    <tableColumn id="4243" name="列4200"/>
    <tableColumn id="4244" name="列4201"/>
    <tableColumn id="4245" name="列4202"/>
    <tableColumn id="4246" name="列4203"/>
    <tableColumn id="4247" name="列4204"/>
    <tableColumn id="4248" name="列4205"/>
    <tableColumn id="4249" name="列4206"/>
    <tableColumn id="4250" name="列4207"/>
    <tableColumn id="4251" name="列4208"/>
    <tableColumn id="4252" name="列4209"/>
    <tableColumn id="4253" name="列4210"/>
    <tableColumn id="4254" name="列4211"/>
    <tableColumn id="4255" name="列4212"/>
    <tableColumn id="4256" name="列4213"/>
    <tableColumn id="4257" name="列4214"/>
    <tableColumn id="4258" name="列4215"/>
    <tableColumn id="4259" name="列4216"/>
    <tableColumn id="4260" name="列4217"/>
    <tableColumn id="4261" name="列4218"/>
    <tableColumn id="4262" name="列4219"/>
    <tableColumn id="4263" name="列4220"/>
    <tableColumn id="4264" name="列4221"/>
    <tableColumn id="4265" name="列4222"/>
    <tableColumn id="4266" name="列4223"/>
    <tableColumn id="4267" name="列4224"/>
    <tableColumn id="4268" name="列4225"/>
    <tableColumn id="4269" name="列4226"/>
    <tableColumn id="4270" name="列4227"/>
    <tableColumn id="4271" name="列4228"/>
    <tableColumn id="4272" name="列4229"/>
    <tableColumn id="4273" name="列4230"/>
    <tableColumn id="4274" name="列4231"/>
    <tableColumn id="4275" name="列4232"/>
    <tableColumn id="4276" name="列4233"/>
    <tableColumn id="4277" name="列4234"/>
    <tableColumn id="4278" name="列4235"/>
    <tableColumn id="4279" name="列4236"/>
    <tableColumn id="4280" name="列4237"/>
    <tableColumn id="4281" name="列4238"/>
    <tableColumn id="4282" name="列4239"/>
    <tableColumn id="4283" name="列4240"/>
    <tableColumn id="4284" name="列4241"/>
    <tableColumn id="4285" name="列4242"/>
    <tableColumn id="4286" name="列4243"/>
    <tableColumn id="4287" name="列4244"/>
    <tableColumn id="4288" name="列4245"/>
    <tableColumn id="4289" name="列4246"/>
    <tableColumn id="4290" name="列4247"/>
    <tableColumn id="4291" name="列4248"/>
    <tableColumn id="4292" name="列4249"/>
    <tableColumn id="4293" name="列4250"/>
    <tableColumn id="4294" name="列4251"/>
    <tableColumn id="4295" name="列4252"/>
    <tableColumn id="4296" name="列4253"/>
    <tableColumn id="4297" name="列4254"/>
    <tableColumn id="4298" name="列4255"/>
    <tableColumn id="4299" name="列4256"/>
    <tableColumn id="4300" name="列4257"/>
    <tableColumn id="4301" name="列4258"/>
    <tableColumn id="4302" name="列4259"/>
    <tableColumn id="4303" name="列4260"/>
    <tableColumn id="4304" name="列4261"/>
    <tableColumn id="4305" name="列4262"/>
    <tableColumn id="4306" name="列4263"/>
    <tableColumn id="4307" name="列4264"/>
    <tableColumn id="4308" name="列4265"/>
    <tableColumn id="4309" name="列4266"/>
    <tableColumn id="4310" name="列4267"/>
    <tableColumn id="4311" name="列4268"/>
    <tableColumn id="4312" name="列4269"/>
    <tableColumn id="4313" name="列4270"/>
    <tableColumn id="4314" name="列4271"/>
    <tableColumn id="4315" name="列4272"/>
    <tableColumn id="4316" name="列4273"/>
    <tableColumn id="4317" name="列4274"/>
    <tableColumn id="4318" name="列4275"/>
    <tableColumn id="4319" name="列4276"/>
    <tableColumn id="4320" name="列4277"/>
    <tableColumn id="4321" name="列4278"/>
    <tableColumn id="4322" name="列4279"/>
    <tableColumn id="4323" name="列4280"/>
    <tableColumn id="4324" name="列4281"/>
    <tableColumn id="4325" name="列4282"/>
    <tableColumn id="4326" name="列4283"/>
    <tableColumn id="4327" name="列4284"/>
    <tableColumn id="4328" name="列4285"/>
    <tableColumn id="4329" name="列4286"/>
    <tableColumn id="4330" name="列4287"/>
    <tableColumn id="4331" name="列4288"/>
    <tableColumn id="4332" name="列4289"/>
    <tableColumn id="4333" name="列4290"/>
    <tableColumn id="4334" name="列4291"/>
    <tableColumn id="4335" name="列4292"/>
    <tableColumn id="4336" name="列4293"/>
    <tableColumn id="4337" name="列4294"/>
    <tableColumn id="4338" name="列4295"/>
    <tableColumn id="4339" name="列4296"/>
    <tableColumn id="4340" name="列4297"/>
    <tableColumn id="4341" name="列4298"/>
    <tableColumn id="4342" name="列4299"/>
    <tableColumn id="4343" name="列4300"/>
    <tableColumn id="4344" name="列4301"/>
    <tableColumn id="4345" name="列4302"/>
    <tableColumn id="4346" name="列4303"/>
    <tableColumn id="4347" name="列4304"/>
    <tableColumn id="4348" name="列4305"/>
    <tableColumn id="4349" name="列4306"/>
    <tableColumn id="4350" name="列4307"/>
    <tableColumn id="4351" name="列4308"/>
    <tableColumn id="4352" name="列4309"/>
    <tableColumn id="4353" name="列4310"/>
    <tableColumn id="4354" name="列4311"/>
    <tableColumn id="4355" name="列4312"/>
    <tableColumn id="4356" name="列4313"/>
    <tableColumn id="4357" name="列4314"/>
    <tableColumn id="4358" name="列4315"/>
    <tableColumn id="4359" name="列4316"/>
    <tableColumn id="4360" name="列4317"/>
    <tableColumn id="4361" name="列4318"/>
    <tableColumn id="4362" name="列4319"/>
    <tableColumn id="4363" name="列4320"/>
    <tableColumn id="4364" name="列4321"/>
    <tableColumn id="4365" name="列4322"/>
    <tableColumn id="4366" name="列4323"/>
    <tableColumn id="4367" name="列4324"/>
    <tableColumn id="4368" name="列4325"/>
    <tableColumn id="4369" name="列4326"/>
    <tableColumn id="4370" name="列4327"/>
    <tableColumn id="4371" name="列4328"/>
    <tableColumn id="4372" name="列4329"/>
    <tableColumn id="4373" name="列4330"/>
    <tableColumn id="4374" name="列4331"/>
    <tableColumn id="4375" name="列4332"/>
    <tableColumn id="4376" name="列4333"/>
    <tableColumn id="4377" name="列4334"/>
    <tableColumn id="4378" name="列4335"/>
    <tableColumn id="4379" name="列4336"/>
    <tableColumn id="4380" name="列4337"/>
    <tableColumn id="4381" name="列4338"/>
    <tableColumn id="4382" name="列4339"/>
    <tableColumn id="4383" name="列4340"/>
    <tableColumn id="4384" name="列4341"/>
    <tableColumn id="4385" name="列4342"/>
    <tableColumn id="4386" name="列4343"/>
    <tableColumn id="4387" name="列4344"/>
    <tableColumn id="4388" name="列4345"/>
    <tableColumn id="4389" name="列4346"/>
    <tableColumn id="4390" name="列4347"/>
    <tableColumn id="4391" name="列4348"/>
    <tableColumn id="4392" name="列4349"/>
    <tableColumn id="4393" name="列4350"/>
    <tableColumn id="4394" name="列4351"/>
    <tableColumn id="4395" name="列4352"/>
    <tableColumn id="4396" name="列4353"/>
    <tableColumn id="4397" name="列4354"/>
    <tableColumn id="4398" name="列4355"/>
    <tableColumn id="4399" name="列4356"/>
    <tableColumn id="4400" name="列4357"/>
    <tableColumn id="4401" name="列4358"/>
    <tableColumn id="4402" name="列4359"/>
    <tableColumn id="4403" name="列4360"/>
    <tableColumn id="4404" name="列4361"/>
    <tableColumn id="4405" name="列4362"/>
    <tableColumn id="4406" name="列4363"/>
    <tableColumn id="4407" name="列4364"/>
    <tableColumn id="4408" name="列4365"/>
    <tableColumn id="4409" name="列4366"/>
    <tableColumn id="4410" name="列4367"/>
    <tableColumn id="4411" name="列4368"/>
    <tableColumn id="4412" name="列4369"/>
    <tableColumn id="4413" name="列4370"/>
    <tableColumn id="4414" name="列4371"/>
    <tableColumn id="4415" name="列4372"/>
    <tableColumn id="4416" name="列4373"/>
    <tableColumn id="4417" name="列4374"/>
    <tableColumn id="4418" name="列4375"/>
    <tableColumn id="4419" name="列4376"/>
    <tableColumn id="4420" name="列4377"/>
    <tableColumn id="4421" name="列4378"/>
    <tableColumn id="4422" name="列4379"/>
    <tableColumn id="4423" name="列4380"/>
    <tableColumn id="4424" name="列4381"/>
    <tableColumn id="4425" name="列4382"/>
    <tableColumn id="4426" name="列4383"/>
    <tableColumn id="4427" name="列4384"/>
    <tableColumn id="4428" name="列4385"/>
    <tableColumn id="4429" name="列4386"/>
    <tableColumn id="4430" name="列4387"/>
    <tableColumn id="4431" name="列4388"/>
    <tableColumn id="4432" name="列4389"/>
    <tableColumn id="4433" name="列4390"/>
    <tableColumn id="4434" name="列4391"/>
    <tableColumn id="4435" name="列4392"/>
    <tableColumn id="4436" name="列4393"/>
    <tableColumn id="4437" name="列4394"/>
    <tableColumn id="4438" name="列4395"/>
    <tableColumn id="4439" name="列4396"/>
    <tableColumn id="4440" name="列4397"/>
    <tableColumn id="4441" name="列4398"/>
    <tableColumn id="4442" name="列4399"/>
    <tableColumn id="4443" name="列4400"/>
    <tableColumn id="4444" name="列4401"/>
    <tableColumn id="4445" name="列4402"/>
    <tableColumn id="4446" name="列4403"/>
    <tableColumn id="4447" name="列4404"/>
    <tableColumn id="4448" name="列4405"/>
    <tableColumn id="4449" name="列4406"/>
    <tableColumn id="4450" name="列4407"/>
    <tableColumn id="4451" name="列4408"/>
    <tableColumn id="4452" name="列4409"/>
    <tableColumn id="4453" name="列4410"/>
    <tableColumn id="4454" name="列4411"/>
    <tableColumn id="4455" name="列4412"/>
    <tableColumn id="4456" name="列4413"/>
    <tableColumn id="4457" name="列4414"/>
    <tableColumn id="4458" name="列4415"/>
    <tableColumn id="4459" name="列4416"/>
    <tableColumn id="4460" name="列4417"/>
    <tableColumn id="4461" name="列4418"/>
    <tableColumn id="4462" name="列4419"/>
    <tableColumn id="4463" name="列4420"/>
    <tableColumn id="4464" name="列4421"/>
    <tableColumn id="4465" name="列4422"/>
    <tableColumn id="4466" name="列4423"/>
    <tableColumn id="4467" name="列4424"/>
    <tableColumn id="4468" name="列4425"/>
    <tableColumn id="4469" name="列4426"/>
    <tableColumn id="4470" name="列4427"/>
    <tableColumn id="4471" name="列4428"/>
    <tableColumn id="4472" name="列4429"/>
    <tableColumn id="4473" name="列4430"/>
    <tableColumn id="4474" name="列4431"/>
    <tableColumn id="4475" name="列4432"/>
    <tableColumn id="4476" name="列4433"/>
    <tableColumn id="4477" name="列4434"/>
    <tableColumn id="4478" name="列4435"/>
    <tableColumn id="4479" name="列4436"/>
    <tableColumn id="4480" name="列4437"/>
    <tableColumn id="4481" name="列4438"/>
    <tableColumn id="4482" name="列4439"/>
    <tableColumn id="4483" name="列4440"/>
    <tableColumn id="4484" name="列4441"/>
    <tableColumn id="4485" name="列4442"/>
    <tableColumn id="4486" name="列4443"/>
    <tableColumn id="4487" name="列4444"/>
    <tableColumn id="4488" name="列4445"/>
    <tableColumn id="4489" name="列4446"/>
    <tableColumn id="4490" name="列4447"/>
    <tableColumn id="4491" name="列4448"/>
    <tableColumn id="4492" name="列4449"/>
    <tableColumn id="4493" name="列4450"/>
    <tableColumn id="4494" name="列4451"/>
    <tableColumn id="4495" name="列4452"/>
    <tableColumn id="4496" name="列4453"/>
    <tableColumn id="4497" name="列4454"/>
    <tableColumn id="4498" name="列4455"/>
    <tableColumn id="4499" name="列4456"/>
    <tableColumn id="4500" name="列4457"/>
    <tableColumn id="4501" name="列4458"/>
    <tableColumn id="4502" name="列4459"/>
    <tableColumn id="4503" name="列4460"/>
    <tableColumn id="4504" name="列4461"/>
    <tableColumn id="4505" name="列4462"/>
    <tableColumn id="4506" name="列4463"/>
    <tableColumn id="4507" name="列4464"/>
    <tableColumn id="4508" name="列4465"/>
    <tableColumn id="4509" name="列4466"/>
    <tableColumn id="4510" name="列4467"/>
    <tableColumn id="4511" name="列4468"/>
    <tableColumn id="4512" name="列4469"/>
    <tableColumn id="4513" name="列4470"/>
    <tableColumn id="4514" name="列4471"/>
    <tableColumn id="4515" name="列4472"/>
    <tableColumn id="4516" name="列4473"/>
    <tableColumn id="4517" name="列4474"/>
    <tableColumn id="4518" name="列4475"/>
    <tableColumn id="4519" name="列4476"/>
    <tableColumn id="4520" name="列4477"/>
    <tableColumn id="4521" name="列4478"/>
    <tableColumn id="4522" name="列4479"/>
    <tableColumn id="4523" name="列4480"/>
    <tableColumn id="4524" name="列4481"/>
    <tableColumn id="4525" name="列4482"/>
    <tableColumn id="4526" name="列4483"/>
    <tableColumn id="4527" name="列4484"/>
    <tableColumn id="4528" name="列4485"/>
    <tableColumn id="4529" name="列4486"/>
    <tableColumn id="4530" name="列4487"/>
    <tableColumn id="4531" name="列4488"/>
    <tableColumn id="4532" name="列4489"/>
    <tableColumn id="4533" name="列4490"/>
    <tableColumn id="4534" name="列4491"/>
    <tableColumn id="4535" name="列4492"/>
    <tableColumn id="4536" name="列4493"/>
    <tableColumn id="4537" name="列4494"/>
    <tableColumn id="4538" name="列4495"/>
    <tableColumn id="4539" name="列4496"/>
    <tableColumn id="4540" name="列4497"/>
    <tableColumn id="4541" name="列4498"/>
    <tableColumn id="4542" name="列4499"/>
    <tableColumn id="4543" name="列4500"/>
    <tableColumn id="4544" name="列4501"/>
    <tableColumn id="4545" name="列4502"/>
    <tableColumn id="4546" name="列4503"/>
    <tableColumn id="4547" name="列4504"/>
    <tableColumn id="4548" name="列4505"/>
    <tableColumn id="4549" name="列4506"/>
    <tableColumn id="4550" name="列4507"/>
    <tableColumn id="4551" name="列4508"/>
    <tableColumn id="4552" name="列4509"/>
    <tableColumn id="4553" name="列4510"/>
    <tableColumn id="4554" name="列4511"/>
    <tableColumn id="4555" name="列4512"/>
    <tableColumn id="4556" name="列4513"/>
    <tableColumn id="4557" name="列4514"/>
    <tableColumn id="4558" name="列4515"/>
    <tableColumn id="4559" name="列4516"/>
    <tableColumn id="4560" name="列4517"/>
    <tableColumn id="4561" name="列4518"/>
    <tableColumn id="4562" name="列4519"/>
    <tableColumn id="4563" name="列4520"/>
    <tableColumn id="4564" name="列4521"/>
    <tableColumn id="4565" name="列4522"/>
    <tableColumn id="4566" name="列4523"/>
    <tableColumn id="4567" name="列4524"/>
    <tableColumn id="4568" name="列4525"/>
    <tableColumn id="4569" name="列4526"/>
    <tableColumn id="4570" name="列4527"/>
    <tableColumn id="4571" name="列4528"/>
    <tableColumn id="4572" name="列4529"/>
    <tableColumn id="4573" name="列4530"/>
    <tableColumn id="4574" name="列4531"/>
    <tableColumn id="4575" name="列4532"/>
    <tableColumn id="4576" name="列4533"/>
    <tableColumn id="4577" name="列4534"/>
    <tableColumn id="4578" name="列4535"/>
    <tableColumn id="4579" name="列4536"/>
    <tableColumn id="4580" name="列4537"/>
    <tableColumn id="4581" name="列4538"/>
    <tableColumn id="4582" name="列4539"/>
    <tableColumn id="4583" name="列4540"/>
    <tableColumn id="4584" name="列4541"/>
    <tableColumn id="4585" name="列4542"/>
    <tableColumn id="4586" name="列4543"/>
    <tableColumn id="4587" name="列4544"/>
    <tableColumn id="4588" name="列4545"/>
    <tableColumn id="4589" name="列4546"/>
    <tableColumn id="4590" name="列4547"/>
    <tableColumn id="4591" name="列4548"/>
    <tableColumn id="4592" name="列4549"/>
    <tableColumn id="4593" name="列4550"/>
    <tableColumn id="4594" name="列4551"/>
    <tableColumn id="4595" name="列4552"/>
    <tableColumn id="4596" name="列4553"/>
    <tableColumn id="4597" name="列4554"/>
    <tableColumn id="4598" name="列4555"/>
    <tableColumn id="4599" name="列4556"/>
    <tableColumn id="4600" name="列4557"/>
    <tableColumn id="4601" name="列4558"/>
    <tableColumn id="4602" name="列4559"/>
    <tableColumn id="4603" name="列4560"/>
    <tableColumn id="4604" name="列4561"/>
    <tableColumn id="4605" name="列4562"/>
    <tableColumn id="4606" name="列4563"/>
    <tableColumn id="4607" name="列4564"/>
    <tableColumn id="4608" name="列4565"/>
    <tableColumn id="4609" name="列4566"/>
    <tableColumn id="4610" name="列4567"/>
    <tableColumn id="4611" name="列4568"/>
    <tableColumn id="4612" name="列4569"/>
    <tableColumn id="4613" name="列4570"/>
    <tableColumn id="4614" name="列4571"/>
    <tableColumn id="4615" name="列4572"/>
    <tableColumn id="4616" name="列4573"/>
    <tableColumn id="4617" name="列4574"/>
    <tableColumn id="4618" name="列4575"/>
    <tableColumn id="4619" name="列4576"/>
    <tableColumn id="4620" name="列4577"/>
    <tableColumn id="4621" name="列4578"/>
    <tableColumn id="4622" name="列4579"/>
    <tableColumn id="4623" name="列4580"/>
    <tableColumn id="4624" name="列4581"/>
    <tableColumn id="4625" name="列4582"/>
    <tableColumn id="4626" name="列4583"/>
    <tableColumn id="4627" name="列4584"/>
    <tableColumn id="4628" name="列4585"/>
    <tableColumn id="4629" name="列4586"/>
    <tableColumn id="4630" name="列4587"/>
    <tableColumn id="4631" name="列4588"/>
    <tableColumn id="4632" name="列4589"/>
    <tableColumn id="4633" name="列4590"/>
    <tableColumn id="4634" name="列4591"/>
    <tableColumn id="4635" name="列4592"/>
    <tableColumn id="4636" name="列4593"/>
    <tableColumn id="4637" name="列4594"/>
    <tableColumn id="4638" name="列4595"/>
    <tableColumn id="4639" name="列4596"/>
    <tableColumn id="4640" name="列4597"/>
    <tableColumn id="4641" name="列4598"/>
    <tableColumn id="4642" name="列4599"/>
    <tableColumn id="4643" name="列4600"/>
    <tableColumn id="4644" name="列4601"/>
    <tableColumn id="4645" name="列4602"/>
    <tableColumn id="4646" name="列4603"/>
    <tableColumn id="4647" name="列4604"/>
    <tableColumn id="4648" name="列4605"/>
    <tableColumn id="4649" name="列4606"/>
    <tableColumn id="4650" name="列4607"/>
    <tableColumn id="4651" name="列4608"/>
    <tableColumn id="4652" name="列4609"/>
    <tableColumn id="4653" name="列4610"/>
    <tableColumn id="4654" name="列4611"/>
    <tableColumn id="4655" name="列4612"/>
    <tableColumn id="4656" name="列4613"/>
    <tableColumn id="4657" name="列4614"/>
    <tableColumn id="4658" name="列4615"/>
    <tableColumn id="4659" name="列4616"/>
    <tableColumn id="4660" name="列4617"/>
    <tableColumn id="4661" name="列4618"/>
    <tableColumn id="4662" name="列4619"/>
    <tableColumn id="4663" name="列4620"/>
    <tableColumn id="4664" name="列4621"/>
    <tableColumn id="4665" name="列4622"/>
    <tableColumn id="4666" name="列4623"/>
    <tableColumn id="4667" name="列4624"/>
    <tableColumn id="4668" name="列4625"/>
    <tableColumn id="4669" name="列4626"/>
    <tableColumn id="4670" name="列4627"/>
    <tableColumn id="4671" name="列4628"/>
    <tableColumn id="4672" name="列4629"/>
    <tableColumn id="4673" name="列4630"/>
    <tableColumn id="4674" name="列4631"/>
    <tableColumn id="4675" name="列4632"/>
    <tableColumn id="4676" name="列4633"/>
    <tableColumn id="4677" name="列4634"/>
    <tableColumn id="4678" name="列4635"/>
    <tableColumn id="4679" name="列4636"/>
    <tableColumn id="4680" name="列4637"/>
    <tableColumn id="4681" name="列4638"/>
    <tableColumn id="4682" name="列4639"/>
    <tableColumn id="4683" name="列4640"/>
    <tableColumn id="4684" name="列4641"/>
    <tableColumn id="4685" name="列4642"/>
    <tableColumn id="4686" name="列4643"/>
    <tableColumn id="4687" name="列4644"/>
    <tableColumn id="4688" name="列4645"/>
    <tableColumn id="4689" name="列4646"/>
    <tableColumn id="4690" name="列4647"/>
    <tableColumn id="4691" name="列4648"/>
    <tableColumn id="4692" name="列4649"/>
    <tableColumn id="4693" name="列4650"/>
    <tableColumn id="4694" name="列4651"/>
    <tableColumn id="4695" name="列4652"/>
    <tableColumn id="4696" name="列4653"/>
    <tableColumn id="4697" name="列4654"/>
    <tableColumn id="4698" name="列4655"/>
    <tableColumn id="4699" name="列4656"/>
    <tableColumn id="4700" name="列4657"/>
    <tableColumn id="4701" name="列4658"/>
    <tableColumn id="4702" name="列4659"/>
    <tableColumn id="4703" name="列4660"/>
    <tableColumn id="4704" name="列4661"/>
    <tableColumn id="4705" name="列4662"/>
    <tableColumn id="4706" name="列4663"/>
    <tableColumn id="4707" name="列4664"/>
    <tableColumn id="4708" name="列4665"/>
    <tableColumn id="4709" name="列4666"/>
    <tableColumn id="4710" name="列4667"/>
    <tableColumn id="4711" name="列4668"/>
    <tableColumn id="4712" name="列4669"/>
    <tableColumn id="4713" name="列4670"/>
    <tableColumn id="4714" name="列4671"/>
    <tableColumn id="4715" name="列4672"/>
    <tableColumn id="4716" name="列4673"/>
    <tableColumn id="4717" name="列4674"/>
    <tableColumn id="4718" name="列4675"/>
    <tableColumn id="4719" name="列4676"/>
    <tableColumn id="4720" name="列4677"/>
    <tableColumn id="4721" name="列4678"/>
    <tableColumn id="4722" name="列4679"/>
    <tableColumn id="4723" name="列4680"/>
    <tableColumn id="4724" name="列4681"/>
    <tableColumn id="4725" name="列4682"/>
    <tableColumn id="4726" name="列4683"/>
    <tableColumn id="4727" name="列4684"/>
    <tableColumn id="4728" name="列4685"/>
    <tableColumn id="4729" name="列4686"/>
    <tableColumn id="4730" name="列4687"/>
    <tableColumn id="4731" name="列4688"/>
    <tableColumn id="4732" name="列4689"/>
    <tableColumn id="4733" name="列4690"/>
    <tableColumn id="4734" name="列4691"/>
    <tableColumn id="4735" name="列4692"/>
    <tableColumn id="4736" name="列4693"/>
    <tableColumn id="4737" name="列4694"/>
    <tableColumn id="4738" name="列4695"/>
    <tableColumn id="4739" name="列4696"/>
    <tableColumn id="4740" name="列4697"/>
    <tableColumn id="4741" name="列4698"/>
    <tableColumn id="4742" name="列4699"/>
    <tableColumn id="4743" name="列4700"/>
    <tableColumn id="4744" name="列4701"/>
    <tableColumn id="4745" name="列4702"/>
    <tableColumn id="4746" name="列4703"/>
    <tableColumn id="4747" name="列4704"/>
    <tableColumn id="4748" name="列4705"/>
    <tableColumn id="4749" name="列4706"/>
    <tableColumn id="4750" name="列4707"/>
    <tableColumn id="4751" name="列4708"/>
    <tableColumn id="4752" name="列4709"/>
    <tableColumn id="4753" name="列4710"/>
    <tableColumn id="4754" name="列4711"/>
    <tableColumn id="4755" name="列4712"/>
    <tableColumn id="4756" name="列4713"/>
    <tableColumn id="4757" name="列4714"/>
    <tableColumn id="4758" name="列4715"/>
    <tableColumn id="4759" name="列4716"/>
    <tableColumn id="4760" name="列4717"/>
    <tableColumn id="4761" name="列4718"/>
    <tableColumn id="4762" name="列4719"/>
    <tableColumn id="4763" name="列4720"/>
    <tableColumn id="4764" name="列4721"/>
    <tableColumn id="4765" name="列4722"/>
    <tableColumn id="4766" name="列4723"/>
    <tableColumn id="4767" name="列4724"/>
    <tableColumn id="4768" name="列4725"/>
    <tableColumn id="4769" name="列4726"/>
    <tableColumn id="4770" name="列4727"/>
    <tableColumn id="4771" name="列4728"/>
    <tableColumn id="4772" name="列4729"/>
    <tableColumn id="4773" name="列4730"/>
    <tableColumn id="4774" name="列4731"/>
    <tableColumn id="4775" name="列4732"/>
    <tableColumn id="4776" name="列4733"/>
    <tableColumn id="4777" name="列4734"/>
    <tableColumn id="4778" name="列4735"/>
    <tableColumn id="4779" name="列4736"/>
    <tableColumn id="4780" name="列4737"/>
    <tableColumn id="4781" name="列4738"/>
    <tableColumn id="4782" name="列4739"/>
    <tableColumn id="4783" name="列4740"/>
    <tableColumn id="4784" name="列4741"/>
    <tableColumn id="4785" name="列4742"/>
    <tableColumn id="4786" name="列4743"/>
    <tableColumn id="4787" name="列4744"/>
    <tableColumn id="4788" name="列4745"/>
    <tableColumn id="4789" name="列4746"/>
    <tableColumn id="4790" name="列4747"/>
    <tableColumn id="4791" name="列4748"/>
    <tableColumn id="4792" name="列4749"/>
    <tableColumn id="4793" name="列4750"/>
    <tableColumn id="4794" name="列4751"/>
    <tableColumn id="4795" name="列4752"/>
    <tableColumn id="4796" name="列4753"/>
    <tableColumn id="4797" name="列4754"/>
    <tableColumn id="4798" name="列4755"/>
    <tableColumn id="4799" name="列4756"/>
    <tableColumn id="4800" name="列4757"/>
    <tableColumn id="4801" name="列4758"/>
    <tableColumn id="4802" name="列4759"/>
    <tableColumn id="4803" name="列4760"/>
    <tableColumn id="4804" name="列4761"/>
    <tableColumn id="4805" name="列4762"/>
    <tableColumn id="4806" name="列4763"/>
    <tableColumn id="4807" name="列4764"/>
    <tableColumn id="4808" name="列4765"/>
    <tableColumn id="4809" name="列4766"/>
    <tableColumn id="4810" name="列4767"/>
    <tableColumn id="4811" name="列4768"/>
    <tableColumn id="4812" name="列4769"/>
    <tableColumn id="4813" name="列4770"/>
    <tableColumn id="4814" name="列4771"/>
    <tableColumn id="4815" name="列4772"/>
    <tableColumn id="4816" name="列4773"/>
    <tableColumn id="4817" name="列4774"/>
    <tableColumn id="4818" name="列4775"/>
    <tableColumn id="4819" name="列4776"/>
    <tableColumn id="4820" name="列4777"/>
    <tableColumn id="4821" name="列4778"/>
    <tableColumn id="4822" name="列4779"/>
    <tableColumn id="4823" name="列4780"/>
    <tableColumn id="4824" name="列4781"/>
    <tableColumn id="4825" name="列4782"/>
    <tableColumn id="4826" name="列4783"/>
    <tableColumn id="4827" name="列4784"/>
    <tableColumn id="4828" name="列4785"/>
    <tableColumn id="4829" name="列4786"/>
    <tableColumn id="4830" name="列4787"/>
    <tableColumn id="4831" name="列4788"/>
    <tableColumn id="4832" name="列4789"/>
    <tableColumn id="4833" name="列4790"/>
    <tableColumn id="4834" name="列4791"/>
    <tableColumn id="4835" name="列4792"/>
    <tableColumn id="4836" name="列4793"/>
    <tableColumn id="4837" name="列4794"/>
    <tableColumn id="4838" name="列4795"/>
    <tableColumn id="4839" name="列4796"/>
    <tableColumn id="4840" name="列4797"/>
    <tableColumn id="4841" name="列4798"/>
    <tableColumn id="4842" name="列4799"/>
    <tableColumn id="4843" name="列4800"/>
    <tableColumn id="4844" name="列4801"/>
    <tableColumn id="4845" name="列4802"/>
    <tableColumn id="4846" name="列4803"/>
    <tableColumn id="4847" name="列4804"/>
    <tableColumn id="4848" name="列4805"/>
    <tableColumn id="4849" name="列4806"/>
    <tableColumn id="4850" name="列4807"/>
    <tableColumn id="4851" name="列4808"/>
    <tableColumn id="4852" name="列4809"/>
    <tableColumn id="4853" name="列4810"/>
    <tableColumn id="4854" name="列4811"/>
    <tableColumn id="4855" name="列4812"/>
    <tableColumn id="4856" name="列4813"/>
    <tableColumn id="4857" name="列4814"/>
    <tableColumn id="4858" name="列4815"/>
    <tableColumn id="4859" name="列4816"/>
    <tableColumn id="4860" name="列4817"/>
    <tableColumn id="4861" name="列4818"/>
    <tableColumn id="4862" name="列4819"/>
    <tableColumn id="4863" name="列4820"/>
    <tableColumn id="4864" name="列4821"/>
    <tableColumn id="4865" name="列4822"/>
    <tableColumn id="4866" name="列4823"/>
    <tableColumn id="4867" name="列4824"/>
    <tableColumn id="4868" name="列4825"/>
    <tableColumn id="4869" name="列4826"/>
    <tableColumn id="4870" name="列4827"/>
    <tableColumn id="4871" name="列4828"/>
    <tableColumn id="4872" name="列4829"/>
    <tableColumn id="4873" name="列4830"/>
    <tableColumn id="4874" name="列4831"/>
    <tableColumn id="4875" name="列4832"/>
    <tableColumn id="4876" name="列4833"/>
    <tableColumn id="4877" name="列4834"/>
    <tableColumn id="4878" name="列4835"/>
    <tableColumn id="4879" name="列4836"/>
    <tableColumn id="4880" name="列4837"/>
    <tableColumn id="4881" name="列4838"/>
    <tableColumn id="4882" name="列4839"/>
    <tableColumn id="4883" name="列4840"/>
    <tableColumn id="4884" name="列4841"/>
    <tableColumn id="4885" name="列4842"/>
    <tableColumn id="4886" name="列4843"/>
    <tableColumn id="4887" name="列4844"/>
    <tableColumn id="4888" name="列4845"/>
    <tableColumn id="4889" name="列4846"/>
    <tableColumn id="4890" name="列4847"/>
    <tableColumn id="4891" name="列4848"/>
    <tableColumn id="4892" name="列4849"/>
    <tableColumn id="4893" name="列4850"/>
    <tableColumn id="4894" name="列4851"/>
    <tableColumn id="4895" name="列4852"/>
    <tableColumn id="4896" name="列4853"/>
    <tableColumn id="4897" name="列4854"/>
    <tableColumn id="4898" name="列4855"/>
    <tableColumn id="4899" name="列4856"/>
    <tableColumn id="4900" name="列4857"/>
    <tableColumn id="4901" name="列4858"/>
    <tableColumn id="4902" name="列4859"/>
    <tableColumn id="4903" name="列4860"/>
    <tableColumn id="4904" name="列4861"/>
    <tableColumn id="4905" name="列4862"/>
    <tableColumn id="4906" name="列4863"/>
    <tableColumn id="4907" name="列4864"/>
    <tableColumn id="4908" name="列4865"/>
    <tableColumn id="4909" name="列4866"/>
    <tableColumn id="4910" name="列4867"/>
    <tableColumn id="4911" name="列4868"/>
    <tableColumn id="4912" name="列4869"/>
    <tableColumn id="4913" name="列4870"/>
    <tableColumn id="4914" name="列4871"/>
    <tableColumn id="4915" name="列4872"/>
    <tableColumn id="4916" name="列4873"/>
    <tableColumn id="4917" name="列4874"/>
    <tableColumn id="4918" name="列4875"/>
    <tableColumn id="4919" name="列4876"/>
    <tableColumn id="4920" name="列4877"/>
    <tableColumn id="4921" name="列4878"/>
    <tableColumn id="4922" name="列4879"/>
    <tableColumn id="4923" name="列4880"/>
    <tableColumn id="4924" name="列4881"/>
    <tableColumn id="4925" name="列4882"/>
    <tableColumn id="4926" name="列4883"/>
    <tableColumn id="4927" name="列4884"/>
    <tableColumn id="4928" name="列4885"/>
    <tableColumn id="4929" name="列4886"/>
    <tableColumn id="4930" name="列4887"/>
    <tableColumn id="4931" name="列4888"/>
    <tableColumn id="4932" name="列4889"/>
    <tableColumn id="4933" name="列4890"/>
    <tableColumn id="4934" name="列4891"/>
    <tableColumn id="4935" name="列4892"/>
    <tableColumn id="4936" name="列4893"/>
    <tableColumn id="4937" name="列4894"/>
    <tableColumn id="4938" name="列4895"/>
    <tableColumn id="4939" name="列4896"/>
    <tableColumn id="4940" name="列4897"/>
    <tableColumn id="4941" name="列4898"/>
    <tableColumn id="4942" name="列4899"/>
    <tableColumn id="4943" name="列4900"/>
    <tableColumn id="4944" name="列4901"/>
    <tableColumn id="4945" name="列4902"/>
    <tableColumn id="4946" name="列4903"/>
    <tableColumn id="4947" name="列4904"/>
    <tableColumn id="4948" name="列4905"/>
    <tableColumn id="4949" name="列4906"/>
    <tableColumn id="4950" name="列4907"/>
    <tableColumn id="4951" name="列4908"/>
    <tableColumn id="4952" name="列4909"/>
    <tableColumn id="4953" name="列4910"/>
    <tableColumn id="4954" name="列4911"/>
    <tableColumn id="4955" name="列4912"/>
    <tableColumn id="4956" name="列4913"/>
    <tableColumn id="4957" name="列4914"/>
    <tableColumn id="4958" name="列4915"/>
    <tableColumn id="4959" name="列4916"/>
    <tableColumn id="4960" name="列4917"/>
    <tableColumn id="4961" name="列4918"/>
    <tableColumn id="4962" name="列4919"/>
    <tableColumn id="4963" name="列4920"/>
    <tableColumn id="4964" name="列4921"/>
    <tableColumn id="4965" name="列4922"/>
    <tableColumn id="4966" name="列4923"/>
    <tableColumn id="4967" name="列4924"/>
    <tableColumn id="4968" name="列4925"/>
    <tableColumn id="4969" name="列4926"/>
    <tableColumn id="4970" name="列4927"/>
    <tableColumn id="4971" name="列4928"/>
    <tableColumn id="4972" name="列4929"/>
    <tableColumn id="4973" name="列4930"/>
    <tableColumn id="4974" name="列4931"/>
    <tableColumn id="4975" name="列4932"/>
    <tableColumn id="4976" name="列4933"/>
    <tableColumn id="4977" name="列4934"/>
    <tableColumn id="4978" name="列4935"/>
    <tableColumn id="4979" name="列4936"/>
    <tableColumn id="4980" name="列4937"/>
    <tableColumn id="4981" name="列4938"/>
    <tableColumn id="4982" name="列4939"/>
    <tableColumn id="4983" name="列4940"/>
    <tableColumn id="4984" name="列4941"/>
    <tableColumn id="4985" name="列4942"/>
    <tableColumn id="4986" name="列4943"/>
    <tableColumn id="4987" name="列4944"/>
    <tableColumn id="4988" name="列4945"/>
    <tableColumn id="4989" name="列4946"/>
    <tableColumn id="4990" name="列4947"/>
    <tableColumn id="4991" name="列4948"/>
    <tableColumn id="4992" name="列4949"/>
    <tableColumn id="4993" name="列4950"/>
    <tableColumn id="4994" name="列4951"/>
    <tableColumn id="4995" name="列4952"/>
    <tableColumn id="4996" name="列4953"/>
    <tableColumn id="4997" name="列4954"/>
    <tableColumn id="4998" name="列4955"/>
    <tableColumn id="4999" name="列4956"/>
    <tableColumn id="5000" name="列4957"/>
    <tableColumn id="5001" name="列4958"/>
    <tableColumn id="5002" name="列4959"/>
    <tableColumn id="5003" name="列4960"/>
    <tableColumn id="5004" name="列4961"/>
    <tableColumn id="5005" name="列4962"/>
    <tableColumn id="5006" name="列4963"/>
    <tableColumn id="5007" name="列4964"/>
    <tableColumn id="5008" name="列4965"/>
    <tableColumn id="5009" name="列4966"/>
    <tableColumn id="5010" name="列4967"/>
    <tableColumn id="5011" name="列4968"/>
    <tableColumn id="5012" name="列4969"/>
    <tableColumn id="5013" name="列4970"/>
    <tableColumn id="5014" name="列4971"/>
    <tableColumn id="5015" name="列4972"/>
    <tableColumn id="5016" name="列4973"/>
    <tableColumn id="5017" name="列4974"/>
    <tableColumn id="5018" name="列4975"/>
    <tableColumn id="5019" name="列4976"/>
    <tableColumn id="5020" name="列4977"/>
    <tableColumn id="5021" name="列4978"/>
    <tableColumn id="5022" name="列4979"/>
    <tableColumn id="5023" name="列4980"/>
    <tableColumn id="5024" name="列4981"/>
    <tableColumn id="5025" name="列4982"/>
    <tableColumn id="5026" name="列4983"/>
    <tableColumn id="5027" name="列4984"/>
    <tableColumn id="5028" name="列4985"/>
    <tableColumn id="5029" name="列4986"/>
    <tableColumn id="5030" name="列4987"/>
    <tableColumn id="5031" name="列4988"/>
    <tableColumn id="5032" name="列4989"/>
    <tableColumn id="5033" name="列4990"/>
    <tableColumn id="5034" name="列4991"/>
    <tableColumn id="5035" name="列4992"/>
    <tableColumn id="5036" name="列4993"/>
    <tableColumn id="5037" name="列4994"/>
    <tableColumn id="5038" name="列4995"/>
    <tableColumn id="5039" name="列4996"/>
    <tableColumn id="5040" name="列4997"/>
    <tableColumn id="5041" name="列4998"/>
    <tableColumn id="5042" name="列4999"/>
    <tableColumn id="5043" name="列5000"/>
    <tableColumn id="5044" name="列5001"/>
    <tableColumn id="5045" name="列5002"/>
    <tableColumn id="5046" name="列5003"/>
    <tableColumn id="5047" name="列5004"/>
    <tableColumn id="5048" name="列5005"/>
    <tableColumn id="5049" name="列5006"/>
    <tableColumn id="5050" name="列5007"/>
    <tableColumn id="5051" name="列5008"/>
    <tableColumn id="5052" name="列5009"/>
    <tableColumn id="5053" name="列5010"/>
    <tableColumn id="5054" name="列5011"/>
    <tableColumn id="5055" name="列5012"/>
    <tableColumn id="5056" name="列5013"/>
    <tableColumn id="5057" name="列5014"/>
    <tableColumn id="5058" name="列5015"/>
    <tableColumn id="5059" name="列5016"/>
    <tableColumn id="5060" name="列5017"/>
    <tableColumn id="5061" name="列5018"/>
    <tableColumn id="5062" name="列5019"/>
    <tableColumn id="5063" name="列5020"/>
    <tableColumn id="5064" name="列5021"/>
    <tableColumn id="5065" name="列5022"/>
    <tableColumn id="5066" name="列5023"/>
    <tableColumn id="5067" name="列5024"/>
    <tableColumn id="5068" name="列5025"/>
    <tableColumn id="5069" name="列5026"/>
    <tableColumn id="5070" name="列5027"/>
    <tableColumn id="5071" name="列5028"/>
    <tableColumn id="5072" name="列5029"/>
    <tableColumn id="5073" name="列5030"/>
    <tableColumn id="5074" name="列5031"/>
    <tableColumn id="5075" name="列5032"/>
    <tableColumn id="5076" name="列5033"/>
    <tableColumn id="5077" name="列5034"/>
    <tableColumn id="5078" name="列5035"/>
    <tableColumn id="5079" name="列5036"/>
    <tableColumn id="5080" name="列5037"/>
    <tableColumn id="5081" name="列5038"/>
    <tableColumn id="5082" name="列5039"/>
    <tableColumn id="5083" name="列5040"/>
    <tableColumn id="5084" name="列5041"/>
    <tableColumn id="5085" name="列5042"/>
    <tableColumn id="5086" name="列5043"/>
    <tableColumn id="5087" name="列5044"/>
    <tableColumn id="5088" name="列5045"/>
    <tableColumn id="5089" name="列5046"/>
    <tableColumn id="5090" name="列5047"/>
    <tableColumn id="5091" name="列5048"/>
    <tableColumn id="5092" name="列5049"/>
    <tableColumn id="5093" name="列5050"/>
    <tableColumn id="5094" name="列5051"/>
    <tableColumn id="5095" name="列5052"/>
    <tableColumn id="5096" name="列5053"/>
    <tableColumn id="5097" name="列5054"/>
    <tableColumn id="5098" name="列5055"/>
    <tableColumn id="5099" name="列5056"/>
    <tableColumn id="5100" name="列5057"/>
    <tableColumn id="5101" name="列5058"/>
    <tableColumn id="5102" name="列5059"/>
    <tableColumn id="5103" name="列5060"/>
    <tableColumn id="5104" name="列5061"/>
    <tableColumn id="5105" name="列5062"/>
    <tableColumn id="5106" name="列5063"/>
    <tableColumn id="5107" name="列5064"/>
    <tableColumn id="5108" name="列5065"/>
    <tableColumn id="5109" name="列5066"/>
    <tableColumn id="5110" name="列5067"/>
    <tableColumn id="5111" name="列5068"/>
    <tableColumn id="5112" name="列5069"/>
    <tableColumn id="5113" name="列5070"/>
    <tableColumn id="5114" name="列5071"/>
    <tableColumn id="5115" name="列5072"/>
    <tableColumn id="5116" name="列5073"/>
    <tableColumn id="5117" name="列5074"/>
    <tableColumn id="5118" name="列5075"/>
    <tableColumn id="5119" name="列5076"/>
    <tableColumn id="5120" name="列5077"/>
    <tableColumn id="5121" name="列5078"/>
    <tableColumn id="5122" name="列5079"/>
    <tableColumn id="5123" name="列5080"/>
    <tableColumn id="5124" name="列5081"/>
    <tableColumn id="5125" name="列5082"/>
    <tableColumn id="5126" name="列5083"/>
    <tableColumn id="5127" name="列5084"/>
    <tableColumn id="5128" name="列5085"/>
    <tableColumn id="5129" name="列5086"/>
    <tableColumn id="5130" name="列5087"/>
    <tableColumn id="5131" name="列5088"/>
    <tableColumn id="5132" name="列5089"/>
    <tableColumn id="5133" name="列5090"/>
    <tableColumn id="5134" name="列5091"/>
    <tableColumn id="5135" name="列5092"/>
    <tableColumn id="5136" name="列5093"/>
    <tableColumn id="5137" name="列5094"/>
    <tableColumn id="5138" name="列5095"/>
    <tableColumn id="5139" name="列5096"/>
    <tableColumn id="5140" name="列5097"/>
    <tableColumn id="5141" name="列5098"/>
    <tableColumn id="5142" name="列5099"/>
    <tableColumn id="5143" name="列5100"/>
    <tableColumn id="5144" name="列5101"/>
    <tableColumn id="5145" name="列5102"/>
    <tableColumn id="5146" name="列5103"/>
    <tableColumn id="5147" name="列5104"/>
    <tableColumn id="5148" name="列5105"/>
    <tableColumn id="5149" name="列5106"/>
    <tableColumn id="5150" name="列5107"/>
    <tableColumn id="5151" name="列5108"/>
    <tableColumn id="5152" name="列5109"/>
    <tableColumn id="5153" name="列5110"/>
    <tableColumn id="5154" name="列5111"/>
    <tableColumn id="5155" name="列5112"/>
    <tableColumn id="5156" name="列5113"/>
    <tableColumn id="5157" name="列5114"/>
    <tableColumn id="5158" name="列5115"/>
    <tableColumn id="5159" name="列5116"/>
    <tableColumn id="5160" name="列5117"/>
    <tableColumn id="5161" name="列5118"/>
    <tableColumn id="5162" name="列5119"/>
    <tableColumn id="5163" name="列5120"/>
    <tableColumn id="5164" name="列5121"/>
    <tableColumn id="5165" name="列5122"/>
    <tableColumn id="5166" name="列5123"/>
    <tableColumn id="5167" name="列5124"/>
    <tableColumn id="5168" name="列5125"/>
    <tableColumn id="5169" name="列5126"/>
    <tableColumn id="5170" name="列5127"/>
    <tableColumn id="5171" name="列5128"/>
    <tableColumn id="5172" name="列5129"/>
    <tableColumn id="5173" name="列5130"/>
    <tableColumn id="5174" name="列5131"/>
    <tableColumn id="5175" name="列5132"/>
    <tableColumn id="5176" name="列5133"/>
    <tableColumn id="5177" name="列5134"/>
    <tableColumn id="5178" name="列5135"/>
    <tableColumn id="5179" name="列5136"/>
    <tableColumn id="5180" name="列5137"/>
    <tableColumn id="5181" name="列5138"/>
    <tableColumn id="5182" name="列5139"/>
    <tableColumn id="5183" name="列5140"/>
    <tableColumn id="5184" name="列5141"/>
    <tableColumn id="5185" name="列5142"/>
    <tableColumn id="5186" name="列5143"/>
    <tableColumn id="5187" name="列5144"/>
    <tableColumn id="5188" name="列5145"/>
    <tableColumn id="5189" name="列5146"/>
    <tableColumn id="5190" name="列5147"/>
    <tableColumn id="5191" name="列5148"/>
    <tableColumn id="5192" name="列5149"/>
    <tableColumn id="5193" name="列5150"/>
    <tableColumn id="5194" name="列5151"/>
    <tableColumn id="5195" name="列5152"/>
    <tableColumn id="5196" name="列5153"/>
    <tableColumn id="5197" name="列5154"/>
    <tableColumn id="5198" name="列5155"/>
    <tableColumn id="5199" name="列5156"/>
    <tableColumn id="5200" name="列5157"/>
    <tableColumn id="5201" name="列5158"/>
    <tableColumn id="5202" name="列5159"/>
    <tableColumn id="5203" name="列5160"/>
    <tableColumn id="5204" name="列5161"/>
    <tableColumn id="5205" name="列5162"/>
    <tableColumn id="5206" name="列5163"/>
    <tableColumn id="5207" name="列5164"/>
    <tableColumn id="5208" name="列5165"/>
    <tableColumn id="5209" name="列5166"/>
    <tableColumn id="5210" name="列5167"/>
    <tableColumn id="5211" name="列5168"/>
    <tableColumn id="5212" name="列5169"/>
    <tableColumn id="5213" name="列5170"/>
    <tableColumn id="5214" name="列5171"/>
    <tableColumn id="5215" name="列5172"/>
    <tableColumn id="5216" name="列5173"/>
    <tableColumn id="5217" name="列5174"/>
    <tableColumn id="5218" name="列5175"/>
    <tableColumn id="5219" name="列5176"/>
    <tableColumn id="5220" name="列5177"/>
    <tableColumn id="5221" name="列5178"/>
    <tableColumn id="5222" name="列5179"/>
    <tableColumn id="5223" name="列5180"/>
    <tableColumn id="5224" name="列5181"/>
    <tableColumn id="5225" name="列5182"/>
    <tableColumn id="5226" name="列5183"/>
    <tableColumn id="5227" name="列5184"/>
    <tableColumn id="5228" name="列5185"/>
    <tableColumn id="5229" name="列5186"/>
    <tableColumn id="5230" name="列5187"/>
    <tableColumn id="5231" name="列5188"/>
    <tableColumn id="5232" name="列5189"/>
    <tableColumn id="5233" name="列5190"/>
    <tableColumn id="5234" name="列5191"/>
    <tableColumn id="5235" name="列5192"/>
    <tableColumn id="5236" name="列5193"/>
    <tableColumn id="5237" name="列5194"/>
    <tableColumn id="5238" name="列5195"/>
    <tableColumn id="5239" name="列5196"/>
    <tableColumn id="5240" name="列5197"/>
    <tableColumn id="5241" name="列5198"/>
    <tableColumn id="5242" name="列5199"/>
    <tableColumn id="5243" name="列5200"/>
    <tableColumn id="5244" name="列5201"/>
    <tableColumn id="5245" name="列5202"/>
    <tableColumn id="5246" name="列5203"/>
    <tableColumn id="5247" name="列5204"/>
    <tableColumn id="5248" name="列5205"/>
    <tableColumn id="5249" name="列5206"/>
    <tableColumn id="5250" name="列5207"/>
    <tableColumn id="5251" name="列5208"/>
    <tableColumn id="5252" name="列5209"/>
    <tableColumn id="5253" name="列5210"/>
    <tableColumn id="5254" name="列5211"/>
    <tableColumn id="5255" name="列5212"/>
    <tableColumn id="5256" name="列5213"/>
    <tableColumn id="5257" name="列5214"/>
    <tableColumn id="5258" name="列5215"/>
    <tableColumn id="5259" name="列5216"/>
    <tableColumn id="5260" name="列5217"/>
    <tableColumn id="5261" name="列5218"/>
    <tableColumn id="5262" name="列5219"/>
    <tableColumn id="5263" name="列5220"/>
    <tableColumn id="5264" name="列5221"/>
    <tableColumn id="5265" name="列5222"/>
    <tableColumn id="5266" name="列5223"/>
    <tableColumn id="5267" name="列5224"/>
    <tableColumn id="5268" name="列5225"/>
    <tableColumn id="5269" name="列5226"/>
    <tableColumn id="5270" name="列5227"/>
    <tableColumn id="5271" name="列5228"/>
    <tableColumn id="5272" name="列5229"/>
    <tableColumn id="5273" name="列5230"/>
    <tableColumn id="5274" name="列5231"/>
    <tableColumn id="5275" name="列5232"/>
    <tableColumn id="5276" name="列5233"/>
    <tableColumn id="5277" name="列5234"/>
    <tableColumn id="5278" name="列5235"/>
    <tableColumn id="5279" name="列5236"/>
    <tableColumn id="5280" name="列5237"/>
    <tableColumn id="5281" name="列5238"/>
    <tableColumn id="5282" name="列5239"/>
    <tableColumn id="5283" name="列5240"/>
    <tableColumn id="5284" name="列5241"/>
    <tableColumn id="5285" name="列5242"/>
    <tableColumn id="5286" name="列5243"/>
    <tableColumn id="5287" name="列5244"/>
    <tableColumn id="5288" name="列5245"/>
    <tableColumn id="5289" name="列5246"/>
    <tableColumn id="5290" name="列5247"/>
    <tableColumn id="5291" name="列5248"/>
    <tableColumn id="5292" name="列5249"/>
    <tableColumn id="5293" name="列5250"/>
    <tableColumn id="5294" name="列5251"/>
    <tableColumn id="5295" name="列5252"/>
    <tableColumn id="5296" name="列5253"/>
    <tableColumn id="5297" name="列5254"/>
    <tableColumn id="5298" name="列5255"/>
    <tableColumn id="5299" name="列5256"/>
    <tableColumn id="5300" name="列5257"/>
    <tableColumn id="5301" name="列5258"/>
    <tableColumn id="5302" name="列5259"/>
    <tableColumn id="5303" name="列5260"/>
    <tableColumn id="5304" name="列5261"/>
    <tableColumn id="5305" name="列5262"/>
    <tableColumn id="5306" name="列5263"/>
    <tableColumn id="5307" name="列5264"/>
    <tableColumn id="5308" name="列5265"/>
    <tableColumn id="5309" name="列5266"/>
    <tableColumn id="5310" name="列5267"/>
    <tableColumn id="5311" name="列5268"/>
    <tableColumn id="5312" name="列5269"/>
    <tableColumn id="5313" name="列5270"/>
    <tableColumn id="5314" name="列5271"/>
    <tableColumn id="5315" name="列5272"/>
    <tableColumn id="5316" name="列5273"/>
    <tableColumn id="5317" name="列5274"/>
    <tableColumn id="5318" name="列5275"/>
    <tableColumn id="5319" name="列5276"/>
    <tableColumn id="5320" name="列5277"/>
    <tableColumn id="5321" name="列5278"/>
    <tableColumn id="5322" name="列5279"/>
    <tableColumn id="5323" name="列5280"/>
    <tableColumn id="5324" name="列5281"/>
    <tableColumn id="5325" name="列5282"/>
    <tableColumn id="5326" name="列5283"/>
    <tableColumn id="5327" name="列5284"/>
    <tableColumn id="5328" name="列5285"/>
    <tableColumn id="5329" name="列5286"/>
    <tableColumn id="5330" name="列5287"/>
    <tableColumn id="5331" name="列5288"/>
    <tableColumn id="5332" name="列5289"/>
    <tableColumn id="5333" name="列5290"/>
    <tableColumn id="5334" name="列5291"/>
    <tableColumn id="5335" name="列5292"/>
    <tableColumn id="5336" name="列5293"/>
    <tableColumn id="5337" name="列5294"/>
    <tableColumn id="5338" name="列5295"/>
    <tableColumn id="5339" name="列5296"/>
    <tableColumn id="5340" name="列5297"/>
    <tableColumn id="5341" name="列5298"/>
    <tableColumn id="5342" name="列5299"/>
    <tableColumn id="5343" name="列5300"/>
    <tableColumn id="5344" name="列5301"/>
    <tableColumn id="5345" name="列5302"/>
    <tableColumn id="5346" name="列5303"/>
    <tableColumn id="5347" name="列5304"/>
    <tableColumn id="5348" name="列5305"/>
    <tableColumn id="5349" name="列5306"/>
    <tableColumn id="5350" name="列5307"/>
    <tableColumn id="5351" name="列5308"/>
    <tableColumn id="5352" name="列5309"/>
    <tableColumn id="5353" name="列5310"/>
    <tableColumn id="5354" name="列5311"/>
    <tableColumn id="5355" name="列5312"/>
    <tableColumn id="5356" name="列5313"/>
    <tableColumn id="5357" name="列5314"/>
    <tableColumn id="5358" name="列5315"/>
    <tableColumn id="5359" name="列5316"/>
    <tableColumn id="5360" name="列5317"/>
    <tableColumn id="5361" name="列5318"/>
    <tableColumn id="5362" name="列5319"/>
    <tableColumn id="5363" name="列5320"/>
    <tableColumn id="5364" name="列5321"/>
    <tableColumn id="5365" name="列5322"/>
    <tableColumn id="5366" name="列5323"/>
    <tableColumn id="5367" name="列5324"/>
    <tableColumn id="5368" name="列5325"/>
    <tableColumn id="5369" name="列5326"/>
    <tableColumn id="5370" name="列5327"/>
    <tableColumn id="5371" name="列5328"/>
    <tableColumn id="5372" name="列5329"/>
    <tableColumn id="5373" name="列5330"/>
    <tableColumn id="5374" name="列5331"/>
    <tableColumn id="5375" name="列5332"/>
    <tableColumn id="5376" name="列5333"/>
    <tableColumn id="5377" name="列5334"/>
    <tableColumn id="5378" name="列5335"/>
    <tableColumn id="5379" name="列5336"/>
    <tableColumn id="5380" name="列5337"/>
    <tableColumn id="5381" name="列5338"/>
    <tableColumn id="5382" name="列5339"/>
    <tableColumn id="5383" name="列5340"/>
    <tableColumn id="5384" name="列5341"/>
    <tableColumn id="5385" name="列5342"/>
    <tableColumn id="5386" name="列5343"/>
    <tableColumn id="5387" name="列5344"/>
    <tableColumn id="5388" name="列5345"/>
    <tableColumn id="5389" name="列5346"/>
    <tableColumn id="5390" name="列5347"/>
    <tableColumn id="5391" name="列5348"/>
    <tableColumn id="5392" name="列5349"/>
    <tableColumn id="5393" name="列5350"/>
    <tableColumn id="5394" name="列5351"/>
    <tableColumn id="5395" name="列5352"/>
    <tableColumn id="5396" name="列5353"/>
    <tableColumn id="5397" name="列5354"/>
    <tableColumn id="5398" name="列5355"/>
    <tableColumn id="5399" name="列5356"/>
    <tableColumn id="5400" name="列5357"/>
    <tableColumn id="5401" name="列5358"/>
    <tableColumn id="5402" name="列5359"/>
    <tableColumn id="5403" name="列5360"/>
    <tableColumn id="5404" name="列5361"/>
    <tableColumn id="5405" name="列5362"/>
    <tableColumn id="5406" name="列5363"/>
    <tableColumn id="5407" name="列5364"/>
    <tableColumn id="5408" name="列5365"/>
    <tableColumn id="5409" name="列5366"/>
    <tableColumn id="5410" name="列5367"/>
    <tableColumn id="5411" name="列5368"/>
    <tableColumn id="5412" name="列5369"/>
    <tableColumn id="5413" name="列5370"/>
    <tableColumn id="5414" name="列5371"/>
    <tableColumn id="5415" name="列5372"/>
    <tableColumn id="5416" name="列5373"/>
    <tableColumn id="5417" name="列5374"/>
    <tableColumn id="5418" name="列5375"/>
    <tableColumn id="5419" name="列5376"/>
    <tableColumn id="5420" name="列5377"/>
    <tableColumn id="5421" name="列5378"/>
    <tableColumn id="5422" name="列5379"/>
    <tableColumn id="5423" name="列5380"/>
    <tableColumn id="5424" name="列5381"/>
    <tableColumn id="5425" name="列5382"/>
    <tableColumn id="5426" name="列5383"/>
    <tableColumn id="5427" name="列5384"/>
    <tableColumn id="5428" name="列5385"/>
    <tableColumn id="5429" name="列5386"/>
    <tableColumn id="5430" name="列5387"/>
    <tableColumn id="5431" name="列5388"/>
    <tableColumn id="5432" name="列5389"/>
    <tableColumn id="5433" name="列5390"/>
    <tableColumn id="5434" name="列5391"/>
    <tableColumn id="5435" name="列5392"/>
    <tableColumn id="5436" name="列5393"/>
    <tableColumn id="5437" name="列5394"/>
    <tableColumn id="5438" name="列5395"/>
    <tableColumn id="5439" name="列5396"/>
    <tableColumn id="5440" name="列5397"/>
    <tableColumn id="5441" name="列5398"/>
    <tableColumn id="5442" name="列5399"/>
    <tableColumn id="5443" name="列5400"/>
    <tableColumn id="5444" name="列5401"/>
    <tableColumn id="5445" name="列5402"/>
    <tableColumn id="5446" name="列5403"/>
    <tableColumn id="5447" name="列5404"/>
    <tableColumn id="5448" name="列5405"/>
    <tableColumn id="5449" name="列5406"/>
    <tableColumn id="5450" name="列5407"/>
    <tableColumn id="5451" name="列5408"/>
    <tableColumn id="5452" name="列5409"/>
    <tableColumn id="5453" name="列5410"/>
    <tableColumn id="5454" name="列5411"/>
    <tableColumn id="5455" name="列5412"/>
    <tableColumn id="5456" name="列5413"/>
    <tableColumn id="5457" name="列5414"/>
    <tableColumn id="5458" name="列5415"/>
    <tableColumn id="5459" name="列5416"/>
    <tableColumn id="5460" name="列5417"/>
    <tableColumn id="5461" name="列5418"/>
    <tableColumn id="5462" name="列5419"/>
    <tableColumn id="5463" name="列5420"/>
    <tableColumn id="5464" name="列5421"/>
    <tableColumn id="5465" name="列5422"/>
    <tableColumn id="5466" name="列5423"/>
    <tableColumn id="5467" name="列5424"/>
    <tableColumn id="5468" name="列5425"/>
    <tableColumn id="5469" name="列5426"/>
    <tableColumn id="5470" name="列5427"/>
    <tableColumn id="5471" name="列5428"/>
    <tableColumn id="5472" name="列5429"/>
    <tableColumn id="5473" name="列5430"/>
    <tableColumn id="5474" name="列5431"/>
    <tableColumn id="5475" name="列5432"/>
    <tableColumn id="5476" name="列5433"/>
    <tableColumn id="5477" name="列5434"/>
    <tableColumn id="5478" name="列5435"/>
    <tableColumn id="5479" name="列5436"/>
    <tableColumn id="5480" name="列5437"/>
    <tableColumn id="5481" name="列5438"/>
    <tableColumn id="5482" name="列5439"/>
    <tableColumn id="5483" name="列5440"/>
    <tableColumn id="5484" name="列5441"/>
    <tableColumn id="5485" name="列5442"/>
    <tableColumn id="5486" name="列5443"/>
    <tableColumn id="5487" name="列5444"/>
    <tableColumn id="5488" name="列5445"/>
    <tableColumn id="5489" name="列5446"/>
    <tableColumn id="5490" name="列5447"/>
    <tableColumn id="5491" name="列5448"/>
    <tableColumn id="5492" name="列5449"/>
    <tableColumn id="5493" name="列5450"/>
    <tableColumn id="5494" name="列5451"/>
    <tableColumn id="5495" name="列5452"/>
    <tableColumn id="5496" name="列5453"/>
    <tableColumn id="5497" name="列5454"/>
    <tableColumn id="5498" name="列5455"/>
    <tableColumn id="5499" name="列5456"/>
    <tableColumn id="5500" name="列5457"/>
    <tableColumn id="5501" name="列5458"/>
    <tableColumn id="5502" name="列5459"/>
    <tableColumn id="5503" name="列5460"/>
    <tableColumn id="5504" name="列5461"/>
    <tableColumn id="5505" name="列5462"/>
    <tableColumn id="5506" name="列5463"/>
    <tableColumn id="5507" name="列5464"/>
    <tableColumn id="5508" name="列5465"/>
    <tableColumn id="5509" name="列5466"/>
    <tableColumn id="5510" name="列5467"/>
    <tableColumn id="5511" name="列5468"/>
    <tableColumn id="5512" name="列5469"/>
    <tableColumn id="5513" name="列5470"/>
    <tableColumn id="5514" name="列5471"/>
    <tableColumn id="5515" name="列5472"/>
    <tableColumn id="5516" name="列5473"/>
    <tableColumn id="5517" name="列5474"/>
    <tableColumn id="5518" name="列5475"/>
    <tableColumn id="5519" name="列5476"/>
    <tableColumn id="5520" name="列5477"/>
    <tableColumn id="5521" name="列5478"/>
    <tableColumn id="5522" name="列5479"/>
    <tableColumn id="5523" name="列5480"/>
    <tableColumn id="5524" name="列5481"/>
    <tableColumn id="5525" name="列5482"/>
    <tableColumn id="5526" name="列5483"/>
    <tableColumn id="5527" name="列5484"/>
    <tableColumn id="5528" name="列5485"/>
    <tableColumn id="5529" name="列5486"/>
    <tableColumn id="5530" name="列5487"/>
    <tableColumn id="5531" name="列5488"/>
    <tableColumn id="5532" name="列5489"/>
    <tableColumn id="5533" name="列5490"/>
    <tableColumn id="5534" name="列5491"/>
    <tableColumn id="5535" name="列5492"/>
    <tableColumn id="5536" name="列5493"/>
    <tableColumn id="5537" name="列5494"/>
    <tableColumn id="5538" name="列5495"/>
    <tableColumn id="5539" name="列5496"/>
    <tableColumn id="5540" name="列5497"/>
    <tableColumn id="5541" name="列5498"/>
    <tableColumn id="5542" name="列5499"/>
    <tableColumn id="5543" name="列5500"/>
    <tableColumn id="5544" name="列5501"/>
    <tableColumn id="5545" name="列5502"/>
    <tableColumn id="5546" name="列5503"/>
    <tableColumn id="5547" name="列5504"/>
    <tableColumn id="5548" name="列5505"/>
    <tableColumn id="5549" name="列5506"/>
    <tableColumn id="5550" name="列5507"/>
    <tableColumn id="5551" name="列5508"/>
    <tableColumn id="5552" name="列5509"/>
    <tableColumn id="5553" name="列5510"/>
    <tableColumn id="5554" name="列5511"/>
    <tableColumn id="5555" name="列5512"/>
    <tableColumn id="5556" name="列5513"/>
    <tableColumn id="5557" name="列5514"/>
    <tableColumn id="5558" name="列5515"/>
    <tableColumn id="5559" name="列5516"/>
    <tableColumn id="5560" name="列5517"/>
    <tableColumn id="5561" name="列5518"/>
    <tableColumn id="5562" name="列5519"/>
    <tableColumn id="5563" name="列5520"/>
    <tableColumn id="5564" name="列5521"/>
    <tableColumn id="5565" name="列5522"/>
    <tableColumn id="5566" name="列5523"/>
    <tableColumn id="5567" name="列5524"/>
    <tableColumn id="5568" name="列5525"/>
    <tableColumn id="5569" name="列5526"/>
    <tableColumn id="5570" name="列5527"/>
    <tableColumn id="5571" name="列5528"/>
    <tableColumn id="5572" name="列5529"/>
    <tableColumn id="5573" name="列5530"/>
    <tableColumn id="5574" name="列5531"/>
    <tableColumn id="5575" name="列5532"/>
    <tableColumn id="5576" name="列5533"/>
    <tableColumn id="5577" name="列5534"/>
    <tableColumn id="5578" name="列5535"/>
    <tableColumn id="5579" name="列5536"/>
    <tableColumn id="5580" name="列5537"/>
    <tableColumn id="5581" name="列5538"/>
    <tableColumn id="5582" name="列5539"/>
    <tableColumn id="5583" name="列5540"/>
    <tableColumn id="5584" name="列5541"/>
    <tableColumn id="5585" name="列5542"/>
    <tableColumn id="5586" name="列5543"/>
    <tableColumn id="5587" name="列5544"/>
    <tableColumn id="5588" name="列5545"/>
    <tableColumn id="5589" name="列5546"/>
    <tableColumn id="5590" name="列5547"/>
    <tableColumn id="5591" name="列5548"/>
    <tableColumn id="5592" name="列5549"/>
    <tableColumn id="5593" name="列5550"/>
    <tableColumn id="5594" name="列5551"/>
    <tableColumn id="5595" name="列5552"/>
    <tableColumn id="5596" name="列5553"/>
    <tableColumn id="5597" name="列5554"/>
    <tableColumn id="5598" name="列5555"/>
    <tableColumn id="5599" name="列5556"/>
    <tableColumn id="5600" name="列5557"/>
    <tableColumn id="5601" name="列5558"/>
    <tableColumn id="5602" name="列5559"/>
    <tableColumn id="5603" name="列5560"/>
    <tableColumn id="5604" name="列5561"/>
    <tableColumn id="5605" name="列5562"/>
    <tableColumn id="5606" name="列5563"/>
    <tableColumn id="5607" name="列5564"/>
    <tableColumn id="5608" name="列5565"/>
    <tableColumn id="5609" name="列5566"/>
    <tableColumn id="5610" name="列5567"/>
    <tableColumn id="5611" name="列5568"/>
    <tableColumn id="5612" name="列5569"/>
    <tableColumn id="5613" name="列5570"/>
    <tableColumn id="5614" name="列5571"/>
    <tableColumn id="5615" name="列5572"/>
    <tableColumn id="5616" name="列5573"/>
    <tableColumn id="5617" name="列5574"/>
    <tableColumn id="5618" name="列5575"/>
    <tableColumn id="5619" name="列5576"/>
    <tableColumn id="5620" name="列5577"/>
    <tableColumn id="5621" name="列5578"/>
    <tableColumn id="5622" name="列5579"/>
    <tableColumn id="5623" name="列5580"/>
    <tableColumn id="5624" name="列5581"/>
    <tableColumn id="5625" name="列5582"/>
    <tableColumn id="5626" name="列5583"/>
    <tableColumn id="5627" name="列5584"/>
    <tableColumn id="5628" name="列5585"/>
    <tableColumn id="5629" name="列5586"/>
    <tableColumn id="5630" name="列5587"/>
    <tableColumn id="5631" name="列5588"/>
    <tableColumn id="5632" name="列5589"/>
    <tableColumn id="5633" name="列5590"/>
    <tableColumn id="5634" name="列5591"/>
    <tableColumn id="5635" name="列5592"/>
    <tableColumn id="5636" name="列5593"/>
    <tableColumn id="5637" name="列5594"/>
    <tableColumn id="5638" name="列5595"/>
    <tableColumn id="5639" name="列5596"/>
    <tableColumn id="5640" name="列5597"/>
    <tableColumn id="5641" name="列5598"/>
    <tableColumn id="5642" name="列5599"/>
    <tableColumn id="5643" name="列5600"/>
    <tableColumn id="5644" name="列5601"/>
    <tableColumn id="5645" name="列5602"/>
    <tableColumn id="5646" name="列5603"/>
    <tableColumn id="5647" name="列5604"/>
    <tableColumn id="5648" name="列5605"/>
    <tableColumn id="5649" name="列5606"/>
    <tableColumn id="5650" name="列5607"/>
    <tableColumn id="5651" name="列5608"/>
    <tableColumn id="5652" name="列5609"/>
    <tableColumn id="5653" name="列5610"/>
    <tableColumn id="5654" name="列5611"/>
    <tableColumn id="5655" name="列5612"/>
    <tableColumn id="5656" name="列5613"/>
    <tableColumn id="5657" name="列5614"/>
    <tableColumn id="5658" name="列5615"/>
    <tableColumn id="5659" name="列5616"/>
    <tableColumn id="5660" name="列5617"/>
    <tableColumn id="5661" name="列5618"/>
    <tableColumn id="5662" name="列5619"/>
    <tableColumn id="5663" name="列5620"/>
    <tableColumn id="5664" name="列5621"/>
    <tableColumn id="5665" name="列5622"/>
    <tableColumn id="5666" name="列5623"/>
    <tableColumn id="5667" name="列5624"/>
    <tableColumn id="5668" name="列5625"/>
    <tableColumn id="5669" name="列5626"/>
    <tableColumn id="5670" name="列5627"/>
    <tableColumn id="5671" name="列5628"/>
    <tableColumn id="5672" name="列5629"/>
    <tableColumn id="5673" name="列5630"/>
    <tableColumn id="5674" name="列5631"/>
    <tableColumn id="5675" name="列5632"/>
    <tableColumn id="5676" name="列5633"/>
    <tableColumn id="5677" name="列5634"/>
    <tableColumn id="5678" name="列5635"/>
    <tableColumn id="5679" name="列5636"/>
    <tableColumn id="5680" name="列5637"/>
    <tableColumn id="5681" name="列5638"/>
    <tableColumn id="5682" name="列5639"/>
    <tableColumn id="5683" name="列5640"/>
    <tableColumn id="5684" name="列5641"/>
    <tableColumn id="5685" name="列5642"/>
    <tableColumn id="5686" name="列5643"/>
    <tableColumn id="5687" name="列5644"/>
    <tableColumn id="5688" name="列5645"/>
    <tableColumn id="5689" name="列5646"/>
    <tableColumn id="5690" name="列5647"/>
    <tableColumn id="5691" name="列5648"/>
    <tableColumn id="5692" name="列5649"/>
    <tableColumn id="5693" name="列5650"/>
    <tableColumn id="5694" name="列5651"/>
    <tableColumn id="5695" name="列5652"/>
    <tableColumn id="5696" name="列5653"/>
    <tableColumn id="5697" name="列5654"/>
    <tableColumn id="5698" name="列5655"/>
    <tableColumn id="5699" name="列5656"/>
    <tableColumn id="5700" name="列5657"/>
    <tableColumn id="5701" name="列5658"/>
    <tableColumn id="5702" name="列5659"/>
    <tableColumn id="5703" name="列5660"/>
    <tableColumn id="5704" name="列5661"/>
    <tableColumn id="5705" name="列5662"/>
    <tableColumn id="5706" name="列5663"/>
    <tableColumn id="5707" name="列5664"/>
    <tableColumn id="5708" name="列5665"/>
    <tableColumn id="5709" name="列5666"/>
    <tableColumn id="5710" name="列5667"/>
    <tableColumn id="5711" name="列5668"/>
    <tableColumn id="5712" name="列5669"/>
    <tableColumn id="5713" name="列5670"/>
    <tableColumn id="5714" name="列5671"/>
    <tableColumn id="5715" name="列5672"/>
    <tableColumn id="5716" name="列5673"/>
    <tableColumn id="5717" name="列5674"/>
    <tableColumn id="5718" name="列5675"/>
    <tableColumn id="5719" name="列5676"/>
    <tableColumn id="5720" name="列5677"/>
    <tableColumn id="5721" name="列5678"/>
    <tableColumn id="5722" name="列5679"/>
    <tableColumn id="5723" name="列5680"/>
    <tableColumn id="5724" name="列5681"/>
    <tableColumn id="5725" name="列5682"/>
    <tableColumn id="5726" name="列5683"/>
    <tableColumn id="5727" name="列5684"/>
    <tableColumn id="5728" name="列5685"/>
    <tableColumn id="5729" name="列5686"/>
    <tableColumn id="5730" name="列5687"/>
    <tableColumn id="5731" name="列5688"/>
    <tableColumn id="5732" name="列5689"/>
    <tableColumn id="5733" name="列5690"/>
    <tableColumn id="5734" name="列5691"/>
    <tableColumn id="5735" name="列5692"/>
    <tableColumn id="5736" name="列5693"/>
    <tableColumn id="5737" name="列5694"/>
    <tableColumn id="5738" name="列5695"/>
    <tableColumn id="5739" name="列5696"/>
    <tableColumn id="5740" name="列5697"/>
    <tableColumn id="5741" name="列5698"/>
    <tableColumn id="5742" name="列5699"/>
    <tableColumn id="5743" name="列5700"/>
    <tableColumn id="5744" name="列5701"/>
    <tableColumn id="5745" name="列5702"/>
    <tableColumn id="5746" name="列5703"/>
    <tableColumn id="5747" name="列5704"/>
    <tableColumn id="5748" name="列5705"/>
    <tableColumn id="5749" name="列5706"/>
    <tableColumn id="5750" name="列5707"/>
    <tableColumn id="5751" name="列5708"/>
    <tableColumn id="5752" name="列5709"/>
    <tableColumn id="5753" name="列5710"/>
    <tableColumn id="5754" name="列5711"/>
    <tableColumn id="5755" name="列5712"/>
    <tableColumn id="5756" name="列5713"/>
    <tableColumn id="5757" name="列5714"/>
    <tableColumn id="5758" name="列5715"/>
    <tableColumn id="5759" name="列5716"/>
    <tableColumn id="5760" name="列5717"/>
    <tableColumn id="5761" name="列5718"/>
    <tableColumn id="5762" name="列5719"/>
    <tableColumn id="5763" name="列5720"/>
    <tableColumn id="5764" name="列5721"/>
    <tableColumn id="5765" name="列5722"/>
    <tableColumn id="5766" name="列5723"/>
    <tableColumn id="5767" name="列5724"/>
    <tableColumn id="5768" name="列5725"/>
    <tableColumn id="5769" name="列5726"/>
    <tableColumn id="5770" name="列5727"/>
    <tableColumn id="5771" name="列5728"/>
    <tableColumn id="5772" name="列5729"/>
    <tableColumn id="5773" name="列5730"/>
    <tableColumn id="5774" name="列5731"/>
    <tableColumn id="5775" name="列5732"/>
    <tableColumn id="5776" name="列5733"/>
    <tableColumn id="5777" name="列5734"/>
    <tableColumn id="5778" name="列5735"/>
    <tableColumn id="5779" name="列5736"/>
    <tableColumn id="5780" name="列5737"/>
    <tableColumn id="5781" name="列5738"/>
    <tableColumn id="5782" name="列5739"/>
    <tableColumn id="5783" name="列5740"/>
    <tableColumn id="5784" name="列5741"/>
    <tableColumn id="5785" name="列5742"/>
    <tableColumn id="5786" name="列5743"/>
    <tableColumn id="5787" name="列5744"/>
    <tableColumn id="5788" name="列5745"/>
    <tableColumn id="5789" name="列5746"/>
    <tableColumn id="5790" name="列5747"/>
    <tableColumn id="5791" name="列5748"/>
    <tableColumn id="5792" name="列5749"/>
    <tableColumn id="5793" name="列5750"/>
    <tableColumn id="5794" name="列5751"/>
    <tableColumn id="5795" name="列5752"/>
    <tableColumn id="5796" name="列5753"/>
    <tableColumn id="5797" name="列5754"/>
    <tableColumn id="5798" name="列5755"/>
    <tableColumn id="5799" name="列5756"/>
    <tableColumn id="5800" name="列5757"/>
    <tableColumn id="5801" name="列5758"/>
    <tableColumn id="5802" name="列5759"/>
    <tableColumn id="5803" name="列5760"/>
    <tableColumn id="5804" name="列5761"/>
    <tableColumn id="5805" name="列5762"/>
    <tableColumn id="5806" name="列5763"/>
    <tableColumn id="5807" name="列5764"/>
    <tableColumn id="5808" name="列5765"/>
    <tableColumn id="5809" name="列5766"/>
    <tableColumn id="5810" name="列5767"/>
    <tableColumn id="5811" name="列5768"/>
    <tableColumn id="5812" name="列5769"/>
    <tableColumn id="5813" name="列5770"/>
    <tableColumn id="5814" name="列5771"/>
    <tableColumn id="5815" name="列5772"/>
    <tableColumn id="5816" name="列5773"/>
    <tableColumn id="5817" name="列5774"/>
    <tableColumn id="5818" name="列5775"/>
    <tableColumn id="5819" name="列5776"/>
    <tableColumn id="5820" name="列5777"/>
    <tableColumn id="5821" name="列5778"/>
    <tableColumn id="5822" name="列5779"/>
    <tableColumn id="5823" name="列5780"/>
    <tableColumn id="5824" name="列5781"/>
    <tableColumn id="5825" name="列5782"/>
    <tableColumn id="5826" name="列5783"/>
    <tableColumn id="5827" name="列5784"/>
    <tableColumn id="5828" name="列5785"/>
    <tableColumn id="5829" name="列5786"/>
    <tableColumn id="5830" name="列5787"/>
    <tableColumn id="5831" name="列5788"/>
    <tableColumn id="5832" name="列5789"/>
    <tableColumn id="5833" name="列5790"/>
    <tableColumn id="5834" name="列5791"/>
    <tableColumn id="5835" name="列5792"/>
    <tableColumn id="5836" name="列5793"/>
    <tableColumn id="5837" name="列5794"/>
    <tableColumn id="5838" name="列5795"/>
    <tableColumn id="5839" name="列5796"/>
    <tableColumn id="5840" name="列5797"/>
    <tableColumn id="5841" name="列5798"/>
    <tableColumn id="5842" name="列5799"/>
    <tableColumn id="5843" name="列5800"/>
    <tableColumn id="5844" name="列5801"/>
    <tableColumn id="5845" name="列5802"/>
    <tableColumn id="5846" name="列5803"/>
    <tableColumn id="5847" name="列5804"/>
    <tableColumn id="5848" name="列5805"/>
    <tableColumn id="5849" name="列5806"/>
    <tableColumn id="5850" name="列5807"/>
    <tableColumn id="5851" name="列5808"/>
    <tableColumn id="5852" name="列5809"/>
    <tableColumn id="5853" name="列5810"/>
    <tableColumn id="5854" name="列5811"/>
    <tableColumn id="5855" name="列5812"/>
    <tableColumn id="5856" name="列5813"/>
    <tableColumn id="5857" name="列5814"/>
    <tableColumn id="5858" name="列5815"/>
    <tableColumn id="5859" name="列5816"/>
    <tableColumn id="5860" name="列5817"/>
    <tableColumn id="5861" name="列5818"/>
    <tableColumn id="5862" name="列5819"/>
    <tableColumn id="5863" name="列5820"/>
    <tableColumn id="5864" name="列5821"/>
    <tableColumn id="5865" name="列5822"/>
    <tableColumn id="5866" name="列5823"/>
    <tableColumn id="5867" name="列5824"/>
    <tableColumn id="5868" name="列5825"/>
    <tableColumn id="5869" name="列5826"/>
    <tableColumn id="5870" name="列5827"/>
    <tableColumn id="5871" name="列5828"/>
    <tableColumn id="5872" name="列5829"/>
    <tableColumn id="5873" name="列5830"/>
    <tableColumn id="5874" name="列5831"/>
    <tableColumn id="5875" name="列5832"/>
    <tableColumn id="5876" name="列5833"/>
    <tableColumn id="5877" name="列5834"/>
    <tableColumn id="5878" name="列5835"/>
    <tableColumn id="5879" name="列5836"/>
    <tableColumn id="5880" name="列5837"/>
    <tableColumn id="5881" name="列5838"/>
    <tableColumn id="5882" name="列5839"/>
    <tableColumn id="5883" name="列5840"/>
    <tableColumn id="5884" name="列5841"/>
    <tableColumn id="5885" name="列5842"/>
    <tableColumn id="5886" name="列5843"/>
    <tableColumn id="5887" name="列5844"/>
    <tableColumn id="5888" name="列5845"/>
    <tableColumn id="5889" name="列5846"/>
    <tableColumn id="5890" name="列5847"/>
    <tableColumn id="5891" name="列5848"/>
    <tableColumn id="5892" name="列5849"/>
    <tableColumn id="5893" name="列5850"/>
    <tableColumn id="5894" name="列5851"/>
    <tableColumn id="5895" name="列5852"/>
    <tableColumn id="5896" name="列5853"/>
    <tableColumn id="5897" name="列5854"/>
    <tableColumn id="5898" name="列5855"/>
    <tableColumn id="5899" name="列5856"/>
    <tableColumn id="5900" name="列5857"/>
    <tableColumn id="5901" name="列5858"/>
    <tableColumn id="5902" name="列5859"/>
    <tableColumn id="5903" name="列5860"/>
    <tableColumn id="5904" name="列5861"/>
    <tableColumn id="5905" name="列5862"/>
    <tableColumn id="5906" name="列5863"/>
    <tableColumn id="5907" name="列5864"/>
    <tableColumn id="5908" name="列5865"/>
    <tableColumn id="5909" name="列5866"/>
    <tableColumn id="5910" name="列5867"/>
    <tableColumn id="5911" name="列5868"/>
    <tableColumn id="5912" name="列5869"/>
    <tableColumn id="5913" name="列5870"/>
    <tableColumn id="5914" name="列5871"/>
    <tableColumn id="5915" name="列5872"/>
    <tableColumn id="5916" name="列5873"/>
    <tableColumn id="5917" name="列5874"/>
    <tableColumn id="5918" name="列5875"/>
    <tableColumn id="5919" name="列5876"/>
    <tableColumn id="5920" name="列5877"/>
    <tableColumn id="5921" name="列5878"/>
    <tableColumn id="5922" name="列5879"/>
    <tableColumn id="5923" name="列5880"/>
    <tableColumn id="5924" name="列5881"/>
    <tableColumn id="5925" name="列5882"/>
    <tableColumn id="5926" name="列5883"/>
    <tableColumn id="5927" name="列5884"/>
    <tableColumn id="5928" name="列5885"/>
    <tableColumn id="5929" name="列5886"/>
    <tableColumn id="5930" name="列5887"/>
    <tableColumn id="5931" name="列5888"/>
    <tableColumn id="5932" name="列5889"/>
    <tableColumn id="5933" name="列5890"/>
    <tableColumn id="5934" name="列5891"/>
    <tableColumn id="5935" name="列5892"/>
    <tableColumn id="5936" name="列5893"/>
    <tableColumn id="5937" name="列5894"/>
    <tableColumn id="5938" name="列5895"/>
    <tableColumn id="5939" name="列5896"/>
    <tableColumn id="5940" name="列5897"/>
    <tableColumn id="5941" name="列5898"/>
    <tableColumn id="5942" name="列5899"/>
    <tableColumn id="5943" name="列5900"/>
    <tableColumn id="5944" name="列5901"/>
    <tableColumn id="5945" name="列5902"/>
    <tableColumn id="5946" name="列5903"/>
    <tableColumn id="5947" name="列5904"/>
    <tableColumn id="5948" name="列5905"/>
    <tableColumn id="5949" name="列5906"/>
    <tableColumn id="5950" name="列5907"/>
    <tableColumn id="5951" name="列5908"/>
    <tableColumn id="5952" name="列5909"/>
    <tableColumn id="5953" name="列5910"/>
    <tableColumn id="5954" name="列5911"/>
    <tableColumn id="5955" name="列5912"/>
    <tableColumn id="5956" name="列5913"/>
    <tableColumn id="5957" name="列5914"/>
    <tableColumn id="5958" name="列5915"/>
    <tableColumn id="5959" name="列5916"/>
    <tableColumn id="5960" name="列5917"/>
    <tableColumn id="5961" name="列5918"/>
    <tableColumn id="5962" name="列5919"/>
    <tableColumn id="5963" name="列5920"/>
    <tableColumn id="5964" name="列5921"/>
    <tableColumn id="5965" name="列5922"/>
    <tableColumn id="5966" name="列5923"/>
    <tableColumn id="5967" name="列5924"/>
    <tableColumn id="5968" name="列5925"/>
    <tableColumn id="5969" name="列5926"/>
    <tableColumn id="5970" name="列5927"/>
    <tableColumn id="5971" name="列5928"/>
    <tableColumn id="5972" name="列5929"/>
    <tableColumn id="5973" name="列5930"/>
    <tableColumn id="5974" name="列5931"/>
    <tableColumn id="5975" name="列5932"/>
    <tableColumn id="5976" name="列5933"/>
    <tableColumn id="5977" name="列5934"/>
    <tableColumn id="5978" name="列5935"/>
    <tableColumn id="5979" name="列5936"/>
    <tableColumn id="5980" name="列5937"/>
    <tableColumn id="5981" name="列5938"/>
    <tableColumn id="5982" name="列5939"/>
    <tableColumn id="5983" name="列5940"/>
    <tableColumn id="5984" name="列5941"/>
    <tableColumn id="5985" name="列5942"/>
    <tableColumn id="5986" name="列5943"/>
    <tableColumn id="5987" name="列5944"/>
    <tableColumn id="5988" name="列5945"/>
    <tableColumn id="5989" name="列5946"/>
    <tableColumn id="5990" name="列5947"/>
    <tableColumn id="5991" name="列5948"/>
    <tableColumn id="5992" name="列5949"/>
    <tableColumn id="5993" name="列5950"/>
    <tableColumn id="5994" name="列5951"/>
    <tableColumn id="5995" name="列5952"/>
    <tableColumn id="5996" name="列5953"/>
    <tableColumn id="5997" name="列5954"/>
    <tableColumn id="5998" name="列5955"/>
    <tableColumn id="5999" name="列5956"/>
    <tableColumn id="6000" name="列5957"/>
    <tableColumn id="6001" name="列5958"/>
    <tableColumn id="6002" name="列5959"/>
    <tableColumn id="6003" name="列5960"/>
    <tableColumn id="6004" name="列5961"/>
    <tableColumn id="6005" name="列5962"/>
    <tableColumn id="6006" name="列5963"/>
    <tableColumn id="6007" name="列5964"/>
    <tableColumn id="6008" name="列5965"/>
    <tableColumn id="6009" name="列5966"/>
    <tableColumn id="6010" name="列5967"/>
    <tableColumn id="6011" name="列5968"/>
    <tableColumn id="6012" name="列5969"/>
    <tableColumn id="6013" name="列5970"/>
    <tableColumn id="6014" name="列5971"/>
    <tableColumn id="6015" name="列5972"/>
    <tableColumn id="6016" name="列5973"/>
    <tableColumn id="6017" name="列5974"/>
    <tableColumn id="6018" name="列5975"/>
    <tableColumn id="6019" name="列5976"/>
    <tableColumn id="6020" name="列5977"/>
    <tableColumn id="6021" name="列5978"/>
    <tableColumn id="6022" name="列5979"/>
    <tableColumn id="6023" name="列5980"/>
    <tableColumn id="6024" name="列5981"/>
    <tableColumn id="6025" name="列5982"/>
    <tableColumn id="6026" name="列5983"/>
    <tableColumn id="6027" name="列5984"/>
    <tableColumn id="6028" name="列5985"/>
    <tableColumn id="6029" name="列5986"/>
    <tableColumn id="6030" name="列5987"/>
    <tableColumn id="6031" name="列5988"/>
    <tableColumn id="6032" name="列5989"/>
    <tableColumn id="6033" name="列5990"/>
    <tableColumn id="6034" name="列5991"/>
    <tableColumn id="6035" name="列5992"/>
    <tableColumn id="6036" name="列5993"/>
    <tableColumn id="6037" name="列5994"/>
    <tableColumn id="6038" name="列5995"/>
    <tableColumn id="6039" name="列5996"/>
    <tableColumn id="6040" name="列5997"/>
    <tableColumn id="6041" name="列5998"/>
    <tableColumn id="6042" name="列5999"/>
    <tableColumn id="6043" name="列6000"/>
    <tableColumn id="6044" name="列6001"/>
    <tableColumn id="6045" name="列6002"/>
    <tableColumn id="6046" name="列6003"/>
    <tableColumn id="6047" name="列6004"/>
    <tableColumn id="6048" name="列6005"/>
    <tableColumn id="6049" name="列6006"/>
    <tableColumn id="6050" name="列6007"/>
    <tableColumn id="6051" name="列6008"/>
    <tableColumn id="6052" name="列6009"/>
    <tableColumn id="6053" name="列6010"/>
    <tableColumn id="6054" name="列6011"/>
    <tableColumn id="6055" name="列6012"/>
    <tableColumn id="6056" name="列6013"/>
    <tableColumn id="6057" name="列6014"/>
    <tableColumn id="6058" name="列6015"/>
    <tableColumn id="6059" name="列6016"/>
    <tableColumn id="6060" name="列6017"/>
    <tableColumn id="6061" name="列6018"/>
    <tableColumn id="6062" name="列6019"/>
    <tableColumn id="6063" name="列6020"/>
    <tableColumn id="6064" name="列6021"/>
    <tableColumn id="6065" name="列6022"/>
    <tableColumn id="6066" name="列6023"/>
    <tableColumn id="6067" name="列6024"/>
    <tableColumn id="6068" name="列6025"/>
    <tableColumn id="6069" name="列6026"/>
    <tableColumn id="6070" name="列6027"/>
    <tableColumn id="6071" name="列6028"/>
    <tableColumn id="6072" name="列6029"/>
    <tableColumn id="6073" name="列6030"/>
    <tableColumn id="6074" name="列6031"/>
    <tableColumn id="6075" name="列6032"/>
    <tableColumn id="6076" name="列6033"/>
    <tableColumn id="6077" name="列6034"/>
    <tableColumn id="6078" name="列6035"/>
    <tableColumn id="6079" name="列6036"/>
    <tableColumn id="6080" name="列6037"/>
    <tableColumn id="6081" name="列6038"/>
    <tableColumn id="6082" name="列6039"/>
    <tableColumn id="6083" name="列6040"/>
    <tableColumn id="6084" name="列6041"/>
    <tableColumn id="6085" name="列6042"/>
    <tableColumn id="6086" name="列6043"/>
    <tableColumn id="6087" name="列6044"/>
    <tableColumn id="6088" name="列6045"/>
    <tableColumn id="6089" name="列6046"/>
    <tableColumn id="6090" name="列6047"/>
    <tableColumn id="6091" name="列6048"/>
    <tableColumn id="6092" name="列6049"/>
    <tableColumn id="6093" name="列6050"/>
    <tableColumn id="6094" name="列6051"/>
    <tableColumn id="6095" name="列6052"/>
    <tableColumn id="6096" name="列6053"/>
    <tableColumn id="6097" name="列6054"/>
    <tableColumn id="6098" name="列6055"/>
    <tableColumn id="6099" name="列6056"/>
    <tableColumn id="6100" name="列6057"/>
    <tableColumn id="6101" name="列6058"/>
    <tableColumn id="6102" name="列6059"/>
    <tableColumn id="6103" name="列6060"/>
    <tableColumn id="6104" name="列6061"/>
    <tableColumn id="6105" name="列6062"/>
    <tableColumn id="6106" name="列6063"/>
    <tableColumn id="6107" name="列6064"/>
    <tableColumn id="6108" name="列6065"/>
    <tableColumn id="6109" name="列6066"/>
    <tableColumn id="6110" name="列6067"/>
    <tableColumn id="6111" name="列6068"/>
    <tableColumn id="6112" name="列6069"/>
    <tableColumn id="6113" name="列6070"/>
    <tableColumn id="6114" name="列6071"/>
    <tableColumn id="6115" name="列6072"/>
    <tableColumn id="6116" name="列6073"/>
    <tableColumn id="6117" name="列6074"/>
    <tableColumn id="6118" name="列6075"/>
    <tableColumn id="6119" name="列6076"/>
    <tableColumn id="6120" name="列6077"/>
    <tableColumn id="6121" name="列6078"/>
    <tableColumn id="6122" name="列6079"/>
    <tableColumn id="6123" name="列6080"/>
    <tableColumn id="6124" name="列6081"/>
    <tableColumn id="6125" name="列6082"/>
    <tableColumn id="6126" name="列6083"/>
    <tableColumn id="6127" name="列6084"/>
    <tableColumn id="6128" name="列6085"/>
    <tableColumn id="6129" name="列6086"/>
    <tableColumn id="6130" name="列6087"/>
    <tableColumn id="6131" name="列6088"/>
    <tableColumn id="6132" name="列6089"/>
    <tableColumn id="6133" name="列6090"/>
    <tableColumn id="6134" name="列6091"/>
    <tableColumn id="6135" name="列6092"/>
    <tableColumn id="6136" name="列6093"/>
    <tableColumn id="6137" name="列6094"/>
    <tableColumn id="6138" name="列6095"/>
    <tableColumn id="6139" name="列6096"/>
    <tableColumn id="6140" name="列6097"/>
    <tableColumn id="6141" name="列6098"/>
    <tableColumn id="6142" name="列6099"/>
    <tableColumn id="6143" name="列6100"/>
    <tableColumn id="6144" name="列6101"/>
    <tableColumn id="6145" name="列6102"/>
    <tableColumn id="6146" name="列6103"/>
    <tableColumn id="6147" name="列6104"/>
    <tableColumn id="6148" name="列6105"/>
    <tableColumn id="6149" name="列6106"/>
    <tableColumn id="6150" name="列6107"/>
    <tableColumn id="6151" name="列6108"/>
    <tableColumn id="6152" name="列6109"/>
    <tableColumn id="6153" name="列6110"/>
    <tableColumn id="6154" name="列6111"/>
    <tableColumn id="6155" name="列6112"/>
    <tableColumn id="6156" name="列6113"/>
    <tableColumn id="6157" name="列6114"/>
    <tableColumn id="6158" name="列6115"/>
    <tableColumn id="6159" name="列6116"/>
    <tableColumn id="6160" name="列6117"/>
    <tableColumn id="6161" name="列6118"/>
    <tableColumn id="6162" name="列6119"/>
    <tableColumn id="6163" name="列6120"/>
    <tableColumn id="6164" name="列6121"/>
    <tableColumn id="6165" name="列6122"/>
    <tableColumn id="6166" name="列6123"/>
    <tableColumn id="6167" name="列6124"/>
    <tableColumn id="6168" name="列6125"/>
    <tableColumn id="6169" name="列6126"/>
    <tableColumn id="6170" name="列6127"/>
    <tableColumn id="6171" name="列6128"/>
    <tableColumn id="6172" name="列6129"/>
    <tableColumn id="6173" name="列6130"/>
    <tableColumn id="6174" name="列6131"/>
    <tableColumn id="6175" name="列6132"/>
    <tableColumn id="6176" name="列6133"/>
    <tableColumn id="6177" name="列6134"/>
    <tableColumn id="6178" name="列6135"/>
    <tableColumn id="6179" name="列6136"/>
    <tableColumn id="6180" name="列6137"/>
    <tableColumn id="6181" name="列6138"/>
    <tableColumn id="6182" name="列6139"/>
    <tableColumn id="6183" name="列6140"/>
    <tableColumn id="6184" name="列6141"/>
    <tableColumn id="6185" name="列6142"/>
    <tableColumn id="6186" name="列6143"/>
    <tableColumn id="6187" name="列6144"/>
    <tableColumn id="6188" name="列6145"/>
    <tableColumn id="6189" name="列6146"/>
    <tableColumn id="6190" name="列6147"/>
    <tableColumn id="6191" name="列6148"/>
    <tableColumn id="6192" name="列6149"/>
    <tableColumn id="6193" name="列6150"/>
    <tableColumn id="6194" name="列6151"/>
    <tableColumn id="6195" name="列6152"/>
    <tableColumn id="6196" name="列6153"/>
    <tableColumn id="6197" name="列6154"/>
    <tableColumn id="6198" name="列6155"/>
    <tableColumn id="6199" name="列6156"/>
    <tableColumn id="6200" name="列6157"/>
    <tableColumn id="6201" name="列6158"/>
    <tableColumn id="6202" name="列6159"/>
    <tableColumn id="6203" name="列6160"/>
    <tableColumn id="6204" name="列6161"/>
    <tableColumn id="6205" name="列6162"/>
    <tableColumn id="6206" name="列6163"/>
    <tableColumn id="6207" name="列6164"/>
    <tableColumn id="6208" name="列6165"/>
    <tableColumn id="6209" name="列6166"/>
    <tableColumn id="6210" name="列6167"/>
    <tableColumn id="6211" name="列6168"/>
    <tableColumn id="6212" name="列6169"/>
    <tableColumn id="6213" name="列6170"/>
    <tableColumn id="6214" name="列6171"/>
    <tableColumn id="6215" name="列6172"/>
    <tableColumn id="6216" name="列6173"/>
    <tableColumn id="6217" name="列6174"/>
    <tableColumn id="6218" name="列6175"/>
    <tableColumn id="6219" name="列6176"/>
    <tableColumn id="6220" name="列6177"/>
    <tableColumn id="6221" name="列6178"/>
    <tableColumn id="6222" name="列6179"/>
    <tableColumn id="6223" name="列6180"/>
    <tableColumn id="6224" name="列6181"/>
    <tableColumn id="6225" name="列6182"/>
    <tableColumn id="6226" name="列6183"/>
    <tableColumn id="6227" name="列6184"/>
    <tableColumn id="6228" name="列6185"/>
    <tableColumn id="6229" name="列6186"/>
    <tableColumn id="6230" name="列6187"/>
    <tableColumn id="6231" name="列6188"/>
    <tableColumn id="6232" name="列6189"/>
    <tableColumn id="6233" name="列6190"/>
    <tableColumn id="6234" name="列6191"/>
    <tableColumn id="6235" name="列6192"/>
    <tableColumn id="6236" name="列6193"/>
    <tableColumn id="6237" name="列6194"/>
    <tableColumn id="6238" name="列6195"/>
    <tableColumn id="6239" name="列6196"/>
    <tableColumn id="6240" name="列6197"/>
    <tableColumn id="6241" name="列6198"/>
    <tableColumn id="6242" name="列6199"/>
    <tableColumn id="6243" name="列6200"/>
    <tableColumn id="6244" name="列6201"/>
    <tableColumn id="6245" name="列6202"/>
    <tableColumn id="6246" name="列6203"/>
    <tableColumn id="6247" name="列6204"/>
    <tableColumn id="6248" name="列6205"/>
    <tableColumn id="6249" name="列6206"/>
    <tableColumn id="6250" name="列6207"/>
    <tableColumn id="6251" name="列6208"/>
    <tableColumn id="6252" name="列6209"/>
    <tableColumn id="6253" name="列6210"/>
    <tableColumn id="6254" name="列6211"/>
    <tableColumn id="6255" name="列6212"/>
    <tableColumn id="6256" name="列6213"/>
    <tableColumn id="6257" name="列6214"/>
    <tableColumn id="6258" name="列6215"/>
    <tableColumn id="6259" name="列6216"/>
    <tableColumn id="6260" name="列6217"/>
    <tableColumn id="6261" name="列6218"/>
    <tableColumn id="6262" name="列6219"/>
    <tableColumn id="6263" name="列6220"/>
    <tableColumn id="6264" name="列6221"/>
    <tableColumn id="6265" name="列6222"/>
    <tableColumn id="6266" name="列6223"/>
    <tableColumn id="6267" name="列6224"/>
    <tableColumn id="6268" name="列6225"/>
    <tableColumn id="6269" name="列6226"/>
    <tableColumn id="6270" name="列6227"/>
    <tableColumn id="6271" name="列6228"/>
    <tableColumn id="6272" name="列6229"/>
    <tableColumn id="6273" name="列6230"/>
    <tableColumn id="6274" name="列6231"/>
    <tableColumn id="6275" name="列6232"/>
    <tableColumn id="6276" name="列6233"/>
    <tableColumn id="6277" name="列6234"/>
    <tableColumn id="6278" name="列6235"/>
    <tableColumn id="6279" name="列6236"/>
    <tableColumn id="6280" name="列6237"/>
    <tableColumn id="6281" name="列6238"/>
    <tableColumn id="6282" name="列6239"/>
    <tableColumn id="6283" name="列6240"/>
    <tableColumn id="6284" name="列6241"/>
    <tableColumn id="6285" name="列6242"/>
    <tableColumn id="6286" name="列6243"/>
    <tableColumn id="6287" name="列6244"/>
    <tableColumn id="6288" name="列6245"/>
    <tableColumn id="6289" name="列6246"/>
    <tableColumn id="6290" name="列6247"/>
    <tableColumn id="6291" name="列6248"/>
    <tableColumn id="6292" name="列6249"/>
    <tableColumn id="6293" name="列6250"/>
    <tableColumn id="6294" name="列6251"/>
    <tableColumn id="6295" name="列6252"/>
    <tableColumn id="6296" name="列6253"/>
    <tableColumn id="6297" name="列6254"/>
    <tableColumn id="6298" name="列6255"/>
    <tableColumn id="6299" name="列6256"/>
    <tableColumn id="6300" name="列6257"/>
    <tableColumn id="6301" name="列6258"/>
    <tableColumn id="6302" name="列6259"/>
    <tableColumn id="6303" name="列6260"/>
    <tableColumn id="6304" name="列6261"/>
    <tableColumn id="6305" name="列6262"/>
    <tableColumn id="6306" name="列6263"/>
    <tableColumn id="6307" name="列6264"/>
    <tableColumn id="6308" name="列6265"/>
    <tableColumn id="6309" name="列6266"/>
    <tableColumn id="6310" name="列6267"/>
    <tableColumn id="6311" name="列6268"/>
    <tableColumn id="6312" name="列6269"/>
    <tableColumn id="6313" name="列6270"/>
    <tableColumn id="6314" name="列6271"/>
    <tableColumn id="6315" name="列6272"/>
    <tableColumn id="6316" name="列6273"/>
    <tableColumn id="6317" name="列6274"/>
    <tableColumn id="6318" name="列6275"/>
    <tableColumn id="6319" name="列6276"/>
    <tableColumn id="6320" name="列6277"/>
    <tableColumn id="6321" name="列6278"/>
    <tableColumn id="6322" name="列6279"/>
    <tableColumn id="6323" name="列6280"/>
    <tableColumn id="6324" name="列6281"/>
    <tableColumn id="6325" name="列6282"/>
    <tableColumn id="6326" name="列6283"/>
    <tableColumn id="6327" name="列6284"/>
    <tableColumn id="6328" name="列6285"/>
    <tableColumn id="6329" name="列6286"/>
    <tableColumn id="6330" name="列6287"/>
    <tableColumn id="6331" name="列6288"/>
    <tableColumn id="6332" name="列6289"/>
    <tableColumn id="6333" name="列6290"/>
    <tableColumn id="6334" name="列6291"/>
    <tableColumn id="6335" name="列6292"/>
    <tableColumn id="6336" name="列6293"/>
    <tableColumn id="6337" name="列6294"/>
    <tableColumn id="6338" name="列6295"/>
    <tableColumn id="6339" name="列6296"/>
    <tableColumn id="6340" name="列6297"/>
    <tableColumn id="6341" name="列6298"/>
    <tableColumn id="6342" name="列6299"/>
    <tableColumn id="6343" name="列6300"/>
    <tableColumn id="6344" name="列6301"/>
    <tableColumn id="6345" name="列6302"/>
    <tableColumn id="6346" name="列6303"/>
    <tableColumn id="6347" name="列6304"/>
    <tableColumn id="6348" name="列6305"/>
    <tableColumn id="6349" name="列6306"/>
    <tableColumn id="6350" name="列6307"/>
    <tableColumn id="6351" name="列6308"/>
    <tableColumn id="6352" name="列6309"/>
    <tableColumn id="6353" name="列6310"/>
    <tableColumn id="6354" name="列6311"/>
    <tableColumn id="6355" name="列6312"/>
    <tableColumn id="6356" name="列6313"/>
    <tableColumn id="6357" name="列6314"/>
    <tableColumn id="6358" name="列6315"/>
    <tableColumn id="6359" name="列6316"/>
    <tableColumn id="6360" name="列6317"/>
    <tableColumn id="6361" name="列6318"/>
    <tableColumn id="6362" name="列6319"/>
    <tableColumn id="6363" name="列6320"/>
    <tableColumn id="6364" name="列6321"/>
    <tableColumn id="6365" name="列6322"/>
    <tableColumn id="6366" name="列6323"/>
    <tableColumn id="6367" name="列6324"/>
    <tableColumn id="6368" name="列6325"/>
    <tableColumn id="6369" name="列6326"/>
    <tableColumn id="6370" name="列6327"/>
    <tableColumn id="6371" name="列6328"/>
    <tableColumn id="6372" name="列6329"/>
    <tableColumn id="6373" name="列6330"/>
    <tableColumn id="6374" name="列6331"/>
    <tableColumn id="6375" name="列6332"/>
    <tableColumn id="6376" name="列6333"/>
    <tableColumn id="6377" name="列6334"/>
    <tableColumn id="6378" name="列6335"/>
    <tableColumn id="6379" name="列6336"/>
    <tableColumn id="6380" name="列6337"/>
    <tableColumn id="6381" name="列6338"/>
    <tableColumn id="6382" name="列6339"/>
    <tableColumn id="6383" name="列6340"/>
    <tableColumn id="6384" name="列6341"/>
    <tableColumn id="6385" name="列6342"/>
    <tableColumn id="6386" name="列6343"/>
    <tableColumn id="6387" name="列6344"/>
    <tableColumn id="6388" name="列6345"/>
    <tableColumn id="6389" name="列6346"/>
    <tableColumn id="6390" name="列6347"/>
    <tableColumn id="6391" name="列6348"/>
    <tableColumn id="6392" name="列6349"/>
    <tableColumn id="6393" name="列6350"/>
    <tableColumn id="6394" name="列6351"/>
    <tableColumn id="6395" name="列6352"/>
    <tableColumn id="6396" name="列6353"/>
    <tableColumn id="6397" name="列6354"/>
    <tableColumn id="6398" name="列6355"/>
    <tableColumn id="6399" name="列6356"/>
    <tableColumn id="6400" name="列6357"/>
    <tableColumn id="6401" name="列6358"/>
    <tableColumn id="6402" name="列6359"/>
    <tableColumn id="6403" name="列6360"/>
    <tableColumn id="6404" name="列6361"/>
    <tableColumn id="6405" name="列6362"/>
    <tableColumn id="6406" name="列6363"/>
    <tableColumn id="6407" name="列6364"/>
    <tableColumn id="6408" name="列6365"/>
    <tableColumn id="6409" name="列6366"/>
    <tableColumn id="6410" name="列6367"/>
    <tableColumn id="6411" name="列6368"/>
    <tableColumn id="6412" name="列6369"/>
    <tableColumn id="6413" name="列6370"/>
    <tableColumn id="6414" name="列6371"/>
    <tableColumn id="6415" name="列6372"/>
    <tableColumn id="6416" name="列6373"/>
    <tableColumn id="6417" name="列6374"/>
    <tableColumn id="6418" name="列6375"/>
    <tableColumn id="6419" name="列6376"/>
    <tableColumn id="6420" name="列6377"/>
    <tableColumn id="6421" name="列6378"/>
    <tableColumn id="6422" name="列6379"/>
    <tableColumn id="6423" name="列6380"/>
    <tableColumn id="6424" name="列6381"/>
    <tableColumn id="6425" name="列6382"/>
    <tableColumn id="6426" name="列6383"/>
    <tableColumn id="6427" name="列6384"/>
    <tableColumn id="6428" name="列6385"/>
    <tableColumn id="6429" name="列6386"/>
    <tableColumn id="6430" name="列6387"/>
    <tableColumn id="6431" name="列6388"/>
    <tableColumn id="6432" name="列6389"/>
    <tableColumn id="6433" name="列6390"/>
    <tableColumn id="6434" name="列6391"/>
    <tableColumn id="6435" name="列6392"/>
    <tableColumn id="6436" name="列6393"/>
    <tableColumn id="6437" name="列6394"/>
    <tableColumn id="6438" name="列6395"/>
    <tableColumn id="6439" name="列6396"/>
    <tableColumn id="6440" name="列6397"/>
    <tableColumn id="6441" name="列6398"/>
    <tableColumn id="6442" name="列6399"/>
    <tableColumn id="6443" name="列6400"/>
    <tableColumn id="6444" name="列6401"/>
    <tableColumn id="6445" name="列6402"/>
    <tableColumn id="6446" name="列6403"/>
    <tableColumn id="6447" name="列6404"/>
    <tableColumn id="6448" name="列6405"/>
    <tableColumn id="6449" name="列6406"/>
    <tableColumn id="6450" name="列6407"/>
    <tableColumn id="6451" name="列6408"/>
    <tableColumn id="6452" name="列6409"/>
    <tableColumn id="6453" name="列6410"/>
    <tableColumn id="6454" name="列6411"/>
    <tableColumn id="6455" name="列6412"/>
    <tableColumn id="6456" name="列6413"/>
    <tableColumn id="6457" name="列6414"/>
    <tableColumn id="6458" name="列6415"/>
    <tableColumn id="6459" name="列6416"/>
    <tableColumn id="6460" name="列6417"/>
    <tableColumn id="6461" name="列6418"/>
    <tableColumn id="6462" name="列6419"/>
    <tableColumn id="6463" name="列6420"/>
    <tableColumn id="6464" name="列6421"/>
    <tableColumn id="6465" name="列6422"/>
    <tableColumn id="6466" name="列6423"/>
    <tableColumn id="6467" name="列6424"/>
    <tableColumn id="6468" name="列6425"/>
    <tableColumn id="6469" name="列6426"/>
    <tableColumn id="6470" name="列6427"/>
    <tableColumn id="6471" name="列6428"/>
    <tableColumn id="6472" name="列6429"/>
    <tableColumn id="6473" name="列6430"/>
    <tableColumn id="6474" name="列6431"/>
    <tableColumn id="6475" name="列6432"/>
    <tableColumn id="6476" name="列6433"/>
    <tableColumn id="6477" name="列6434"/>
    <tableColumn id="6478" name="列6435"/>
    <tableColumn id="6479" name="列6436"/>
    <tableColumn id="6480" name="列6437"/>
    <tableColumn id="6481" name="列6438"/>
    <tableColumn id="6482" name="列6439"/>
    <tableColumn id="6483" name="列6440"/>
    <tableColumn id="6484" name="列6441"/>
    <tableColumn id="6485" name="列6442"/>
    <tableColumn id="6486" name="列6443"/>
    <tableColumn id="6487" name="列6444"/>
    <tableColumn id="6488" name="列6445"/>
    <tableColumn id="6489" name="列6446"/>
    <tableColumn id="6490" name="列6447"/>
    <tableColumn id="6491" name="列6448"/>
    <tableColumn id="6492" name="列6449"/>
    <tableColumn id="6493" name="列6450"/>
    <tableColumn id="6494" name="列6451"/>
    <tableColumn id="6495" name="列6452"/>
    <tableColumn id="6496" name="列6453"/>
    <tableColumn id="6497" name="列6454"/>
    <tableColumn id="6498" name="列6455"/>
    <tableColumn id="6499" name="列6456"/>
    <tableColumn id="6500" name="列6457"/>
    <tableColumn id="6501" name="列6458"/>
    <tableColumn id="6502" name="列6459"/>
    <tableColumn id="6503" name="列6460"/>
    <tableColumn id="6504" name="列6461"/>
    <tableColumn id="6505" name="列6462"/>
    <tableColumn id="6506" name="列6463"/>
    <tableColumn id="6507" name="列6464"/>
    <tableColumn id="6508" name="列6465"/>
    <tableColumn id="6509" name="列6466"/>
    <tableColumn id="6510" name="列6467"/>
    <tableColumn id="6511" name="列6468"/>
    <tableColumn id="6512" name="列6469"/>
    <tableColumn id="6513" name="列6470"/>
    <tableColumn id="6514" name="列6471"/>
    <tableColumn id="6515" name="列6472"/>
    <tableColumn id="6516" name="列6473"/>
    <tableColumn id="6517" name="列6474"/>
    <tableColumn id="6518" name="列6475"/>
    <tableColumn id="6519" name="列6476"/>
    <tableColumn id="6520" name="列6477"/>
    <tableColumn id="6521" name="列6478"/>
    <tableColumn id="6522" name="列6479"/>
    <tableColumn id="6523" name="列6480"/>
    <tableColumn id="6524" name="列6481"/>
    <tableColumn id="6525" name="列6482"/>
    <tableColumn id="6526" name="列6483"/>
    <tableColumn id="6527" name="列6484"/>
    <tableColumn id="6528" name="列6485"/>
    <tableColumn id="6529" name="列6486"/>
    <tableColumn id="6530" name="列6487"/>
    <tableColumn id="6531" name="列6488"/>
    <tableColumn id="6532" name="列6489"/>
    <tableColumn id="6533" name="列6490"/>
    <tableColumn id="6534" name="列6491"/>
    <tableColumn id="6535" name="列6492"/>
    <tableColumn id="6536" name="列6493"/>
    <tableColumn id="6537" name="列6494"/>
    <tableColumn id="6538" name="列6495"/>
    <tableColumn id="6539" name="列6496"/>
    <tableColumn id="6540" name="列6497"/>
    <tableColumn id="6541" name="列6498"/>
    <tableColumn id="6542" name="列6499"/>
    <tableColumn id="6543" name="列6500"/>
    <tableColumn id="6544" name="列6501"/>
    <tableColumn id="6545" name="列6502"/>
    <tableColumn id="6546" name="列6503"/>
    <tableColumn id="6547" name="列6504"/>
    <tableColumn id="6548" name="列6505"/>
    <tableColumn id="6549" name="列6506"/>
    <tableColumn id="6550" name="列6507"/>
    <tableColumn id="6551" name="列6508"/>
    <tableColumn id="6552" name="列6509"/>
    <tableColumn id="6553" name="列6510"/>
    <tableColumn id="6554" name="列6511"/>
    <tableColumn id="6555" name="列6512"/>
    <tableColumn id="6556" name="列6513"/>
    <tableColumn id="6557" name="列6514"/>
    <tableColumn id="6558" name="列6515"/>
    <tableColumn id="6559" name="列6516"/>
    <tableColumn id="6560" name="列6517"/>
    <tableColumn id="6561" name="列6518"/>
    <tableColumn id="6562" name="列6519"/>
    <tableColumn id="6563" name="列6520"/>
    <tableColumn id="6564" name="列6521"/>
    <tableColumn id="6565" name="列6522"/>
    <tableColumn id="6566" name="列6523"/>
    <tableColumn id="6567" name="列6524"/>
    <tableColumn id="6568" name="列6525"/>
    <tableColumn id="6569" name="列6526"/>
    <tableColumn id="6570" name="列6527"/>
    <tableColumn id="6571" name="列6528"/>
    <tableColumn id="6572" name="列6529"/>
    <tableColumn id="6573" name="列6530"/>
    <tableColumn id="6574" name="列6531"/>
    <tableColumn id="6575" name="列6532"/>
    <tableColumn id="6576" name="列6533"/>
    <tableColumn id="6577" name="列6534"/>
    <tableColumn id="6578" name="列6535"/>
    <tableColumn id="6579" name="列6536"/>
    <tableColumn id="6580" name="列6537"/>
    <tableColumn id="6581" name="列6538"/>
    <tableColumn id="6582" name="列6539"/>
    <tableColumn id="6583" name="列6540"/>
    <tableColumn id="6584" name="列6541"/>
    <tableColumn id="6585" name="列6542"/>
    <tableColumn id="6586" name="列6543"/>
    <tableColumn id="6587" name="列6544"/>
    <tableColumn id="6588" name="列6545"/>
    <tableColumn id="6589" name="列6546"/>
    <tableColumn id="6590" name="列6547"/>
    <tableColumn id="6591" name="列6548"/>
    <tableColumn id="6592" name="列6549"/>
    <tableColumn id="6593" name="列6550"/>
    <tableColumn id="6594" name="列6551"/>
    <tableColumn id="6595" name="列6552"/>
    <tableColumn id="6596" name="列6553"/>
    <tableColumn id="6597" name="列6554"/>
    <tableColumn id="6598" name="列6555"/>
    <tableColumn id="6599" name="列6556"/>
    <tableColumn id="6600" name="列6557"/>
    <tableColumn id="6601" name="列6558"/>
    <tableColumn id="6602" name="列6559"/>
    <tableColumn id="6603" name="列6560"/>
    <tableColumn id="6604" name="列6561"/>
    <tableColumn id="6605" name="列6562"/>
    <tableColumn id="6606" name="列6563"/>
    <tableColumn id="6607" name="列6564"/>
    <tableColumn id="6608" name="列6565"/>
    <tableColumn id="6609" name="列6566"/>
    <tableColumn id="6610" name="列6567"/>
    <tableColumn id="6611" name="列6568"/>
    <tableColumn id="6612" name="列6569"/>
    <tableColumn id="6613" name="列6570"/>
    <tableColumn id="6614" name="列6571"/>
    <tableColumn id="6615" name="列6572"/>
    <tableColumn id="6616" name="列6573"/>
    <tableColumn id="6617" name="列6574"/>
    <tableColumn id="6618" name="列6575"/>
    <tableColumn id="6619" name="列6576"/>
    <tableColumn id="6620" name="列6577"/>
    <tableColumn id="6621" name="列6578"/>
    <tableColumn id="6622" name="列6579"/>
    <tableColumn id="6623" name="列6580"/>
    <tableColumn id="6624" name="列6581"/>
    <tableColumn id="6625" name="列6582"/>
    <tableColumn id="6626" name="列6583"/>
    <tableColumn id="6627" name="列6584"/>
    <tableColumn id="6628" name="列6585"/>
    <tableColumn id="6629" name="列6586"/>
    <tableColumn id="6630" name="列6587"/>
    <tableColumn id="6631" name="列6588"/>
    <tableColumn id="6632" name="列6589"/>
    <tableColumn id="6633" name="列6590"/>
    <tableColumn id="6634" name="列6591"/>
    <tableColumn id="6635" name="列6592"/>
    <tableColumn id="6636" name="列6593"/>
    <tableColumn id="6637" name="列6594"/>
    <tableColumn id="6638" name="列6595"/>
    <tableColumn id="6639" name="列6596"/>
    <tableColumn id="6640" name="列6597"/>
    <tableColumn id="6641" name="列6598"/>
    <tableColumn id="6642" name="列6599"/>
    <tableColumn id="6643" name="列6600"/>
    <tableColumn id="6644" name="列6601"/>
    <tableColumn id="6645" name="列6602"/>
    <tableColumn id="6646" name="列6603"/>
    <tableColumn id="6647" name="列6604"/>
    <tableColumn id="6648" name="列6605"/>
    <tableColumn id="6649" name="列6606"/>
    <tableColumn id="6650" name="列6607"/>
    <tableColumn id="6651" name="列6608"/>
    <tableColumn id="6652" name="列6609"/>
    <tableColumn id="6653" name="列6610"/>
    <tableColumn id="6654" name="列6611"/>
    <tableColumn id="6655" name="列6612"/>
    <tableColumn id="6656" name="列6613"/>
    <tableColumn id="6657" name="列6614"/>
    <tableColumn id="6658" name="列6615"/>
    <tableColumn id="6659" name="列6616"/>
    <tableColumn id="6660" name="列6617"/>
    <tableColumn id="6661" name="列6618"/>
    <tableColumn id="6662" name="列6619"/>
    <tableColumn id="6663" name="列6620"/>
    <tableColumn id="6664" name="列6621"/>
    <tableColumn id="6665" name="列6622"/>
    <tableColumn id="6666" name="列6623"/>
    <tableColumn id="6667" name="列6624"/>
    <tableColumn id="6668" name="列6625"/>
    <tableColumn id="6669" name="列6626"/>
    <tableColumn id="6670" name="列6627"/>
    <tableColumn id="6671" name="列6628"/>
    <tableColumn id="6672" name="列6629"/>
    <tableColumn id="6673" name="列6630"/>
    <tableColumn id="6674" name="列6631"/>
    <tableColumn id="6675" name="列6632"/>
    <tableColumn id="6676" name="列6633"/>
    <tableColumn id="6677" name="列6634"/>
    <tableColumn id="6678" name="列6635"/>
    <tableColumn id="6679" name="列6636"/>
    <tableColumn id="6680" name="列6637"/>
    <tableColumn id="6681" name="列6638"/>
    <tableColumn id="6682" name="列6639"/>
    <tableColumn id="6683" name="列6640"/>
    <tableColumn id="6684" name="列6641"/>
    <tableColumn id="6685" name="列6642"/>
    <tableColumn id="6686" name="列6643"/>
    <tableColumn id="6687" name="列6644"/>
    <tableColumn id="6688" name="列6645"/>
    <tableColumn id="6689" name="列6646"/>
    <tableColumn id="6690" name="列6647"/>
    <tableColumn id="6691" name="列6648"/>
    <tableColumn id="6692" name="列6649"/>
    <tableColumn id="6693" name="列6650"/>
    <tableColumn id="6694" name="列6651"/>
    <tableColumn id="6695" name="列6652"/>
    <tableColumn id="6696" name="列6653"/>
    <tableColumn id="6697" name="列6654"/>
    <tableColumn id="6698" name="列6655"/>
    <tableColumn id="6699" name="列6656"/>
    <tableColumn id="6700" name="列6657"/>
    <tableColumn id="6701" name="列6658"/>
    <tableColumn id="6702" name="列6659"/>
    <tableColumn id="6703" name="列6660"/>
    <tableColumn id="6704" name="列6661"/>
    <tableColumn id="6705" name="列6662"/>
    <tableColumn id="6706" name="列6663"/>
    <tableColumn id="6707" name="列6664"/>
    <tableColumn id="6708" name="列6665"/>
    <tableColumn id="6709" name="列6666"/>
    <tableColumn id="6710" name="列6667"/>
    <tableColumn id="6711" name="列6668"/>
    <tableColumn id="6712" name="列6669"/>
    <tableColumn id="6713" name="列6670"/>
    <tableColumn id="6714" name="列6671"/>
    <tableColumn id="6715" name="列6672"/>
    <tableColumn id="6716" name="列6673"/>
    <tableColumn id="6717" name="列6674"/>
    <tableColumn id="6718" name="列6675"/>
    <tableColumn id="6719" name="列6676"/>
    <tableColumn id="6720" name="列6677"/>
    <tableColumn id="6721" name="列6678"/>
    <tableColumn id="6722" name="列6679"/>
    <tableColumn id="6723" name="列6680"/>
    <tableColumn id="6724" name="列6681"/>
    <tableColumn id="6725" name="列6682"/>
    <tableColumn id="6726" name="列6683"/>
    <tableColumn id="6727" name="列6684"/>
    <tableColumn id="6728" name="列6685"/>
    <tableColumn id="6729" name="列6686"/>
    <tableColumn id="6730" name="列6687"/>
    <tableColumn id="6731" name="列6688"/>
    <tableColumn id="6732" name="列6689"/>
    <tableColumn id="6733" name="列6690"/>
    <tableColumn id="6734" name="列6691"/>
    <tableColumn id="6735" name="列6692"/>
    <tableColumn id="6736" name="列6693"/>
    <tableColumn id="6737" name="列6694"/>
    <tableColumn id="6738" name="列6695"/>
    <tableColumn id="6739" name="列6696"/>
    <tableColumn id="6740" name="列6697"/>
    <tableColumn id="6741" name="列6698"/>
    <tableColumn id="6742" name="列6699"/>
    <tableColumn id="6743" name="列6700"/>
    <tableColumn id="6744" name="列6701"/>
    <tableColumn id="6745" name="列6702"/>
    <tableColumn id="6746" name="列6703"/>
    <tableColumn id="6747" name="列6704"/>
    <tableColumn id="6748" name="列6705"/>
    <tableColumn id="6749" name="列6706"/>
    <tableColumn id="6750" name="列6707"/>
    <tableColumn id="6751" name="列6708"/>
    <tableColumn id="6752" name="列6709"/>
    <tableColumn id="6753" name="列6710"/>
    <tableColumn id="6754" name="列6711"/>
    <tableColumn id="6755" name="列6712"/>
    <tableColumn id="6756" name="列6713"/>
    <tableColumn id="6757" name="列6714"/>
    <tableColumn id="6758" name="列6715"/>
    <tableColumn id="6759" name="列6716"/>
    <tableColumn id="6760" name="列6717"/>
    <tableColumn id="6761" name="列6718"/>
    <tableColumn id="6762" name="列6719"/>
    <tableColumn id="6763" name="列6720"/>
    <tableColumn id="6764" name="列6721"/>
    <tableColumn id="6765" name="列6722"/>
    <tableColumn id="6766" name="列6723"/>
    <tableColumn id="6767" name="列6724"/>
    <tableColumn id="6768" name="列6725"/>
    <tableColumn id="6769" name="列6726"/>
    <tableColumn id="6770" name="列6727"/>
    <tableColumn id="6771" name="列6728"/>
    <tableColumn id="6772" name="列6729"/>
    <tableColumn id="6773" name="列6730"/>
    <tableColumn id="6774" name="列6731"/>
    <tableColumn id="6775" name="列6732"/>
    <tableColumn id="6776" name="列6733"/>
    <tableColumn id="6777" name="列6734"/>
    <tableColumn id="6778" name="列6735"/>
    <tableColumn id="6779" name="列6736"/>
    <tableColumn id="6780" name="列6737"/>
    <tableColumn id="6781" name="列6738"/>
    <tableColumn id="6782" name="列6739"/>
    <tableColumn id="6783" name="列6740"/>
    <tableColumn id="6784" name="列6741"/>
    <tableColumn id="6785" name="列6742"/>
    <tableColumn id="6786" name="列6743"/>
    <tableColumn id="6787" name="列6744"/>
    <tableColumn id="6788" name="列6745"/>
    <tableColumn id="6789" name="列6746"/>
    <tableColumn id="6790" name="列6747"/>
    <tableColumn id="6791" name="列6748"/>
    <tableColumn id="6792" name="列6749"/>
    <tableColumn id="6793" name="列6750"/>
    <tableColumn id="6794" name="列6751"/>
    <tableColumn id="6795" name="列6752"/>
    <tableColumn id="6796" name="列6753"/>
    <tableColumn id="6797" name="列6754"/>
    <tableColumn id="6798" name="列6755"/>
    <tableColumn id="6799" name="列6756"/>
    <tableColumn id="6800" name="列6757"/>
    <tableColumn id="6801" name="列6758"/>
    <tableColumn id="6802" name="列6759"/>
    <tableColumn id="6803" name="列6760"/>
    <tableColumn id="6804" name="列6761"/>
    <tableColumn id="6805" name="列6762"/>
    <tableColumn id="6806" name="列6763"/>
    <tableColumn id="6807" name="列6764"/>
    <tableColumn id="6808" name="列6765"/>
    <tableColumn id="6809" name="列6766"/>
    <tableColumn id="6810" name="列6767"/>
    <tableColumn id="6811" name="列6768"/>
    <tableColumn id="6812" name="列6769"/>
    <tableColumn id="6813" name="列6770"/>
    <tableColumn id="6814" name="列6771"/>
    <tableColumn id="6815" name="列6772"/>
    <tableColumn id="6816" name="列6773"/>
    <tableColumn id="6817" name="列6774"/>
    <tableColumn id="6818" name="列6775"/>
    <tableColumn id="6819" name="列6776"/>
    <tableColumn id="6820" name="列6777"/>
    <tableColumn id="6821" name="列6778"/>
    <tableColumn id="6822" name="列6779"/>
    <tableColumn id="6823" name="列6780"/>
    <tableColumn id="6824" name="列6781"/>
    <tableColumn id="6825" name="列6782"/>
    <tableColumn id="6826" name="列6783"/>
    <tableColumn id="6827" name="列6784"/>
    <tableColumn id="6828" name="列6785"/>
    <tableColumn id="6829" name="列6786"/>
    <tableColumn id="6830" name="列6787"/>
    <tableColumn id="6831" name="列6788"/>
    <tableColumn id="6832" name="列6789"/>
    <tableColumn id="6833" name="列6790"/>
    <tableColumn id="6834" name="列6791"/>
    <tableColumn id="6835" name="列6792"/>
    <tableColumn id="6836" name="列6793"/>
    <tableColumn id="6837" name="列6794"/>
    <tableColumn id="6838" name="列6795"/>
    <tableColumn id="6839" name="列6796"/>
    <tableColumn id="6840" name="列6797"/>
    <tableColumn id="6841" name="列6798"/>
    <tableColumn id="6842" name="列6799"/>
    <tableColumn id="6843" name="列6800"/>
    <tableColumn id="6844" name="列6801"/>
    <tableColumn id="6845" name="列6802"/>
    <tableColumn id="6846" name="列6803"/>
    <tableColumn id="6847" name="列6804"/>
    <tableColumn id="6848" name="列6805"/>
    <tableColumn id="6849" name="列6806"/>
    <tableColumn id="6850" name="列6807"/>
    <tableColumn id="6851" name="列6808"/>
    <tableColumn id="6852" name="列6809"/>
    <tableColumn id="6853" name="列6810"/>
    <tableColumn id="6854" name="列6811"/>
    <tableColumn id="6855" name="列6812"/>
    <tableColumn id="6856" name="列6813"/>
    <tableColumn id="6857" name="列6814"/>
    <tableColumn id="6858" name="列6815"/>
    <tableColumn id="6859" name="列6816"/>
    <tableColumn id="6860" name="列6817"/>
    <tableColumn id="6861" name="列6818"/>
    <tableColumn id="6862" name="列6819"/>
    <tableColumn id="6863" name="列6820"/>
    <tableColumn id="6864" name="列6821"/>
    <tableColumn id="6865" name="列6822"/>
    <tableColumn id="6866" name="列6823"/>
    <tableColumn id="6867" name="列6824"/>
    <tableColumn id="6868" name="列6825"/>
    <tableColumn id="6869" name="列6826"/>
    <tableColumn id="6870" name="列6827"/>
    <tableColumn id="6871" name="列6828"/>
    <tableColumn id="6872" name="列6829"/>
    <tableColumn id="6873" name="列6830"/>
    <tableColumn id="6874" name="列6831"/>
    <tableColumn id="6875" name="列6832"/>
    <tableColumn id="6876" name="列6833"/>
    <tableColumn id="6877" name="列6834"/>
    <tableColumn id="6878" name="列6835"/>
    <tableColumn id="6879" name="列6836"/>
    <tableColumn id="6880" name="列6837"/>
    <tableColumn id="6881" name="列6838"/>
    <tableColumn id="6882" name="列6839"/>
    <tableColumn id="6883" name="列6840"/>
    <tableColumn id="6884" name="列6841"/>
    <tableColumn id="6885" name="列6842"/>
    <tableColumn id="6886" name="列6843"/>
    <tableColumn id="6887" name="列6844"/>
    <tableColumn id="6888" name="列6845"/>
    <tableColumn id="6889" name="列6846"/>
    <tableColumn id="6890" name="列6847"/>
    <tableColumn id="6891" name="列6848"/>
    <tableColumn id="6892" name="列6849"/>
    <tableColumn id="6893" name="列6850"/>
    <tableColumn id="6894" name="列6851"/>
    <tableColumn id="6895" name="列6852"/>
    <tableColumn id="6896" name="列6853"/>
    <tableColumn id="6897" name="列6854"/>
    <tableColumn id="6898" name="列6855"/>
    <tableColumn id="6899" name="列6856"/>
    <tableColumn id="6900" name="列6857"/>
    <tableColumn id="6901" name="列6858"/>
    <tableColumn id="6902" name="列6859"/>
    <tableColumn id="6903" name="列6860"/>
    <tableColumn id="6904" name="列6861"/>
    <tableColumn id="6905" name="列6862"/>
    <tableColumn id="6906" name="列6863"/>
    <tableColumn id="6907" name="列6864"/>
    <tableColumn id="6908" name="列6865"/>
    <tableColumn id="6909" name="列6866"/>
    <tableColumn id="6910" name="列6867"/>
    <tableColumn id="6911" name="列6868"/>
    <tableColumn id="6912" name="列6869"/>
    <tableColumn id="6913" name="列6870"/>
    <tableColumn id="6914" name="列6871"/>
    <tableColumn id="6915" name="列6872"/>
    <tableColumn id="6916" name="列6873"/>
    <tableColumn id="6917" name="列6874"/>
    <tableColumn id="6918" name="列6875"/>
    <tableColumn id="6919" name="列6876"/>
    <tableColumn id="6920" name="列6877"/>
    <tableColumn id="6921" name="列6878"/>
    <tableColumn id="6922" name="列6879"/>
    <tableColumn id="6923" name="列6880"/>
    <tableColumn id="6924" name="列6881"/>
    <tableColumn id="6925" name="列6882"/>
    <tableColumn id="6926" name="列6883"/>
    <tableColumn id="6927" name="列6884"/>
    <tableColumn id="6928" name="列6885"/>
    <tableColumn id="6929" name="列6886"/>
    <tableColumn id="6930" name="列6887"/>
    <tableColumn id="6931" name="列6888"/>
    <tableColumn id="6932" name="列6889"/>
    <tableColumn id="6933" name="列6890"/>
    <tableColumn id="6934" name="列6891"/>
    <tableColumn id="6935" name="列6892"/>
    <tableColumn id="6936" name="列6893"/>
    <tableColumn id="6937" name="列6894"/>
    <tableColumn id="6938" name="列6895"/>
    <tableColumn id="6939" name="列6896"/>
    <tableColumn id="6940" name="列6897"/>
    <tableColumn id="6941" name="列6898"/>
    <tableColumn id="6942" name="列6899"/>
    <tableColumn id="6943" name="列6900"/>
    <tableColumn id="6944" name="列6901"/>
    <tableColumn id="6945" name="列6902"/>
    <tableColumn id="6946" name="列6903"/>
    <tableColumn id="6947" name="列6904"/>
    <tableColumn id="6948" name="列6905"/>
    <tableColumn id="6949" name="列6906"/>
    <tableColumn id="6950" name="列6907"/>
    <tableColumn id="6951" name="列6908"/>
    <tableColumn id="6952" name="列6909"/>
    <tableColumn id="6953" name="列6910"/>
    <tableColumn id="6954" name="列6911"/>
    <tableColumn id="6955" name="列6912"/>
    <tableColumn id="6956" name="列6913"/>
    <tableColumn id="6957" name="列6914"/>
    <tableColumn id="6958" name="列6915"/>
    <tableColumn id="6959" name="列6916"/>
    <tableColumn id="6960" name="列6917"/>
    <tableColumn id="6961" name="列6918"/>
    <tableColumn id="6962" name="列6919"/>
    <tableColumn id="6963" name="列6920"/>
    <tableColumn id="6964" name="列6921"/>
    <tableColumn id="6965" name="列6922"/>
    <tableColumn id="6966" name="列6923"/>
    <tableColumn id="6967" name="列6924"/>
    <tableColumn id="6968" name="列6925"/>
    <tableColumn id="6969" name="列6926"/>
    <tableColumn id="6970" name="列6927"/>
    <tableColumn id="6971" name="列6928"/>
    <tableColumn id="6972" name="列6929"/>
    <tableColumn id="6973" name="列6930"/>
    <tableColumn id="6974" name="列6931"/>
    <tableColumn id="6975" name="列6932"/>
    <tableColumn id="6976" name="列6933"/>
    <tableColumn id="6977" name="列6934"/>
    <tableColumn id="6978" name="列6935"/>
    <tableColumn id="6979" name="列6936"/>
    <tableColumn id="6980" name="列6937"/>
    <tableColumn id="6981" name="列6938"/>
    <tableColumn id="6982" name="列6939"/>
    <tableColumn id="6983" name="列6940"/>
    <tableColumn id="6984" name="列6941"/>
    <tableColumn id="6985" name="列6942"/>
    <tableColumn id="6986" name="列6943"/>
    <tableColumn id="6987" name="列6944"/>
    <tableColumn id="6988" name="列6945"/>
    <tableColumn id="6989" name="列6946"/>
    <tableColumn id="6990" name="列6947"/>
    <tableColumn id="6991" name="列6948"/>
    <tableColumn id="6992" name="列6949"/>
    <tableColumn id="6993" name="列6950"/>
    <tableColumn id="6994" name="列6951"/>
    <tableColumn id="6995" name="列6952"/>
    <tableColumn id="6996" name="列6953"/>
    <tableColumn id="6997" name="列6954"/>
    <tableColumn id="6998" name="列6955"/>
    <tableColumn id="6999" name="列6956"/>
    <tableColumn id="7000" name="列6957"/>
    <tableColumn id="7001" name="列6958"/>
    <tableColumn id="7002" name="列6959"/>
    <tableColumn id="7003" name="列6960"/>
    <tableColumn id="7004" name="列6961"/>
    <tableColumn id="7005" name="列6962"/>
    <tableColumn id="7006" name="列6963"/>
    <tableColumn id="7007" name="列6964"/>
    <tableColumn id="7008" name="列6965"/>
    <tableColumn id="7009" name="列6966"/>
    <tableColumn id="7010" name="列6967"/>
    <tableColumn id="7011" name="列6968"/>
    <tableColumn id="7012" name="列6969"/>
    <tableColumn id="7013" name="列6970"/>
    <tableColumn id="7014" name="列6971"/>
    <tableColumn id="7015" name="列6972"/>
    <tableColumn id="7016" name="列6973"/>
    <tableColumn id="7017" name="列6974"/>
    <tableColumn id="7018" name="列6975"/>
    <tableColumn id="7019" name="列6976"/>
    <tableColumn id="7020" name="列6977"/>
    <tableColumn id="7021" name="列6978"/>
    <tableColumn id="7022" name="列6979"/>
    <tableColumn id="7023" name="列6980"/>
    <tableColumn id="7024" name="列6981"/>
    <tableColumn id="7025" name="列6982"/>
    <tableColumn id="7026" name="列6983"/>
    <tableColumn id="7027" name="列6984"/>
    <tableColumn id="7028" name="列6985"/>
    <tableColumn id="7029" name="列6986"/>
    <tableColumn id="7030" name="列6987"/>
    <tableColumn id="7031" name="列6988"/>
    <tableColumn id="7032" name="列6989"/>
    <tableColumn id="7033" name="列6990"/>
    <tableColumn id="7034" name="列6991"/>
    <tableColumn id="7035" name="列6992"/>
    <tableColumn id="7036" name="列6993"/>
    <tableColumn id="7037" name="列6994"/>
    <tableColumn id="7038" name="列6995"/>
    <tableColumn id="7039" name="列6996"/>
    <tableColumn id="7040" name="列6997"/>
    <tableColumn id="7041" name="列6998"/>
    <tableColumn id="7042" name="列6999"/>
    <tableColumn id="7043" name="列7000"/>
    <tableColumn id="7044" name="列7001"/>
    <tableColumn id="7045" name="列7002"/>
    <tableColumn id="7046" name="列7003"/>
    <tableColumn id="7047" name="列7004"/>
    <tableColumn id="7048" name="列7005"/>
    <tableColumn id="7049" name="列7006"/>
    <tableColumn id="7050" name="列7007"/>
    <tableColumn id="7051" name="列7008"/>
    <tableColumn id="7052" name="列7009"/>
    <tableColumn id="7053" name="列7010"/>
    <tableColumn id="7054" name="列7011"/>
    <tableColumn id="7055" name="列7012"/>
    <tableColumn id="7056" name="列7013"/>
    <tableColumn id="7057" name="列7014"/>
    <tableColumn id="7058" name="列7015"/>
    <tableColumn id="7059" name="列7016"/>
    <tableColumn id="7060" name="列7017"/>
    <tableColumn id="7061" name="列7018"/>
    <tableColumn id="7062" name="列7019"/>
    <tableColumn id="7063" name="列7020"/>
    <tableColumn id="7064" name="列7021"/>
    <tableColumn id="7065" name="列7022"/>
    <tableColumn id="7066" name="列7023"/>
    <tableColumn id="7067" name="列7024"/>
    <tableColumn id="7068" name="列7025"/>
    <tableColumn id="7069" name="列7026"/>
    <tableColumn id="7070" name="列7027"/>
    <tableColumn id="7071" name="列7028"/>
    <tableColumn id="7072" name="列7029"/>
    <tableColumn id="7073" name="列7030"/>
    <tableColumn id="7074" name="列7031"/>
    <tableColumn id="7075" name="列7032"/>
    <tableColumn id="7076" name="列7033"/>
    <tableColumn id="7077" name="列7034"/>
    <tableColumn id="7078" name="列7035"/>
    <tableColumn id="7079" name="列7036"/>
    <tableColumn id="7080" name="列7037"/>
    <tableColumn id="7081" name="列7038"/>
    <tableColumn id="7082" name="列7039"/>
    <tableColumn id="7083" name="列7040"/>
    <tableColumn id="7084" name="列7041"/>
    <tableColumn id="7085" name="列7042"/>
    <tableColumn id="7086" name="列7043"/>
    <tableColumn id="7087" name="列7044"/>
    <tableColumn id="7088" name="列7045"/>
    <tableColumn id="7089" name="列7046"/>
    <tableColumn id="7090" name="列7047"/>
    <tableColumn id="7091" name="列7048"/>
    <tableColumn id="7092" name="列7049"/>
    <tableColumn id="7093" name="列7050"/>
    <tableColumn id="7094" name="列7051"/>
    <tableColumn id="7095" name="列7052"/>
    <tableColumn id="7096" name="列7053"/>
    <tableColumn id="7097" name="列7054"/>
    <tableColumn id="7098" name="列7055"/>
    <tableColumn id="7099" name="列7056"/>
    <tableColumn id="7100" name="列7057"/>
    <tableColumn id="7101" name="列7058"/>
    <tableColumn id="7102" name="列7059"/>
    <tableColumn id="7103" name="列7060"/>
    <tableColumn id="7104" name="列7061"/>
    <tableColumn id="7105" name="列7062"/>
    <tableColumn id="7106" name="列7063"/>
    <tableColumn id="7107" name="列7064"/>
    <tableColumn id="7108" name="列7065"/>
    <tableColumn id="7109" name="列7066"/>
    <tableColumn id="7110" name="列7067"/>
    <tableColumn id="7111" name="列7068"/>
    <tableColumn id="7112" name="列7069"/>
    <tableColumn id="7113" name="列7070"/>
    <tableColumn id="7114" name="列7071"/>
    <tableColumn id="7115" name="列7072"/>
    <tableColumn id="7116" name="列7073"/>
    <tableColumn id="7117" name="列7074"/>
    <tableColumn id="7118" name="列7075"/>
    <tableColumn id="7119" name="列7076"/>
    <tableColumn id="7120" name="列7077"/>
    <tableColumn id="7121" name="列7078"/>
    <tableColumn id="7122" name="列7079"/>
    <tableColumn id="7123" name="列7080"/>
    <tableColumn id="7124" name="列7081"/>
    <tableColumn id="7125" name="列7082"/>
    <tableColumn id="7126" name="列7083"/>
    <tableColumn id="7127" name="列7084"/>
    <tableColumn id="7128" name="列7085"/>
    <tableColumn id="7129" name="列7086"/>
    <tableColumn id="7130" name="列7087"/>
    <tableColumn id="7131" name="列7088"/>
    <tableColumn id="7132" name="列7089"/>
    <tableColumn id="7133" name="列7090"/>
    <tableColumn id="7134" name="列7091"/>
    <tableColumn id="7135" name="列7092"/>
    <tableColumn id="7136" name="列7093"/>
    <tableColumn id="7137" name="列7094"/>
    <tableColumn id="7138" name="列7095"/>
    <tableColumn id="7139" name="列7096"/>
    <tableColumn id="7140" name="列7097"/>
    <tableColumn id="7141" name="列7098"/>
    <tableColumn id="7142" name="列7099"/>
    <tableColumn id="7143" name="列7100"/>
    <tableColumn id="7144" name="列7101"/>
    <tableColumn id="7145" name="列7102"/>
    <tableColumn id="7146" name="列7103"/>
    <tableColumn id="7147" name="列7104"/>
    <tableColumn id="7148" name="列7105"/>
    <tableColumn id="7149" name="列7106"/>
    <tableColumn id="7150" name="列7107"/>
    <tableColumn id="7151" name="列7108"/>
    <tableColumn id="7152" name="列7109"/>
    <tableColumn id="7153" name="列7110"/>
    <tableColumn id="7154" name="列7111"/>
    <tableColumn id="7155" name="列7112"/>
    <tableColumn id="7156" name="列7113"/>
    <tableColumn id="7157" name="列7114"/>
    <tableColumn id="7158" name="列7115"/>
    <tableColumn id="7159" name="列7116"/>
    <tableColumn id="7160" name="列7117"/>
    <tableColumn id="7161" name="列7118"/>
    <tableColumn id="7162" name="列7119"/>
    <tableColumn id="7163" name="列7120"/>
    <tableColumn id="7164" name="列7121"/>
    <tableColumn id="7165" name="列7122"/>
    <tableColumn id="7166" name="列7123"/>
    <tableColumn id="7167" name="列7124"/>
    <tableColumn id="7168" name="列7125"/>
    <tableColumn id="7169" name="列7126"/>
    <tableColumn id="7170" name="列7127"/>
    <tableColumn id="7171" name="列7128"/>
    <tableColumn id="7172" name="列7129"/>
    <tableColumn id="7173" name="列7130"/>
    <tableColumn id="7174" name="列7131"/>
    <tableColumn id="7175" name="列7132"/>
    <tableColumn id="7176" name="列7133"/>
    <tableColumn id="7177" name="列7134"/>
    <tableColumn id="7178" name="列7135"/>
    <tableColumn id="7179" name="列7136"/>
    <tableColumn id="7180" name="列7137"/>
    <tableColumn id="7181" name="列7138"/>
    <tableColumn id="7182" name="列7139"/>
    <tableColumn id="7183" name="列7140"/>
    <tableColumn id="7184" name="列7141"/>
    <tableColumn id="7185" name="列7142"/>
    <tableColumn id="7186" name="列7143"/>
    <tableColumn id="7187" name="列7144"/>
    <tableColumn id="7188" name="列7145"/>
    <tableColumn id="7189" name="列7146"/>
    <tableColumn id="7190" name="列7147"/>
    <tableColumn id="7191" name="列7148"/>
    <tableColumn id="7192" name="列7149"/>
    <tableColumn id="7193" name="列7150"/>
    <tableColumn id="7194" name="列7151"/>
    <tableColumn id="7195" name="列7152"/>
    <tableColumn id="7196" name="列7153"/>
    <tableColumn id="7197" name="列7154"/>
    <tableColumn id="7198" name="列7155"/>
    <tableColumn id="7199" name="列7156"/>
    <tableColumn id="7200" name="列7157"/>
    <tableColumn id="7201" name="列7158"/>
    <tableColumn id="7202" name="列7159"/>
    <tableColumn id="7203" name="列7160"/>
    <tableColumn id="7204" name="列7161"/>
    <tableColumn id="7205" name="列7162"/>
    <tableColumn id="7206" name="列7163"/>
    <tableColumn id="7207" name="列7164"/>
    <tableColumn id="7208" name="列7165"/>
    <tableColumn id="7209" name="列7166"/>
    <tableColumn id="7210" name="列7167"/>
    <tableColumn id="7211" name="列7168"/>
    <tableColumn id="7212" name="列7169"/>
    <tableColumn id="7213" name="列7170"/>
    <tableColumn id="7214" name="列7171"/>
    <tableColumn id="7215" name="列7172"/>
    <tableColumn id="7216" name="列7173"/>
    <tableColumn id="7217" name="列7174"/>
    <tableColumn id="7218" name="列7175"/>
    <tableColumn id="7219" name="列7176"/>
    <tableColumn id="7220" name="列7177"/>
    <tableColumn id="7221" name="列7178"/>
    <tableColumn id="7222" name="列7179"/>
    <tableColumn id="7223" name="列7180"/>
    <tableColumn id="7224" name="列7181"/>
    <tableColumn id="7225" name="列7182"/>
    <tableColumn id="7226" name="列7183"/>
    <tableColumn id="7227" name="列7184"/>
    <tableColumn id="7228" name="列7185"/>
    <tableColumn id="7229" name="列7186"/>
    <tableColumn id="7230" name="列7187"/>
    <tableColumn id="7231" name="列7188"/>
    <tableColumn id="7232" name="列7189"/>
    <tableColumn id="7233" name="列7190"/>
    <tableColumn id="7234" name="列7191"/>
    <tableColumn id="7235" name="列7192"/>
    <tableColumn id="7236" name="列7193"/>
    <tableColumn id="7237" name="列7194"/>
    <tableColumn id="7238" name="列7195"/>
    <tableColumn id="7239" name="列7196"/>
    <tableColumn id="7240" name="列7197"/>
    <tableColumn id="7241" name="列7198"/>
    <tableColumn id="7242" name="列7199"/>
    <tableColumn id="7243" name="列7200"/>
    <tableColumn id="7244" name="列7201"/>
    <tableColumn id="7245" name="列7202"/>
    <tableColumn id="7246" name="列7203"/>
    <tableColumn id="7247" name="列7204"/>
    <tableColumn id="7248" name="列7205"/>
    <tableColumn id="7249" name="列7206"/>
    <tableColumn id="7250" name="列7207"/>
    <tableColumn id="7251" name="列7208"/>
    <tableColumn id="7252" name="列7209"/>
    <tableColumn id="7253" name="列7210"/>
    <tableColumn id="7254" name="列7211"/>
    <tableColumn id="7255" name="列7212"/>
    <tableColumn id="7256" name="列7213"/>
    <tableColumn id="7257" name="列7214"/>
    <tableColumn id="7258" name="列7215"/>
    <tableColumn id="7259" name="列7216"/>
    <tableColumn id="7260" name="列7217"/>
    <tableColumn id="7261" name="列7218"/>
    <tableColumn id="7262" name="列7219"/>
    <tableColumn id="7263" name="列7220"/>
    <tableColumn id="7264" name="列7221"/>
    <tableColumn id="7265" name="列7222"/>
    <tableColumn id="7266" name="列7223"/>
    <tableColumn id="7267" name="列7224"/>
    <tableColumn id="7268" name="列7225"/>
    <tableColumn id="7269" name="列7226"/>
    <tableColumn id="7270" name="列7227"/>
    <tableColumn id="7271" name="列7228"/>
    <tableColumn id="7272" name="列7229"/>
    <tableColumn id="7273" name="列7230"/>
    <tableColumn id="7274" name="列7231"/>
    <tableColumn id="7275" name="列7232"/>
    <tableColumn id="7276" name="列7233"/>
    <tableColumn id="7277" name="列7234"/>
    <tableColumn id="7278" name="列7235"/>
    <tableColumn id="7279" name="列7236"/>
    <tableColumn id="7280" name="列7237"/>
    <tableColumn id="7281" name="列7238"/>
    <tableColumn id="7282" name="列7239"/>
    <tableColumn id="7283" name="列7240"/>
    <tableColumn id="7284" name="列7241"/>
    <tableColumn id="7285" name="列7242"/>
    <tableColumn id="7286" name="列7243"/>
    <tableColumn id="7287" name="列7244"/>
    <tableColumn id="7288" name="列7245"/>
    <tableColumn id="7289" name="列7246"/>
    <tableColumn id="7290" name="列7247"/>
    <tableColumn id="7291" name="列7248"/>
    <tableColumn id="7292" name="列7249"/>
    <tableColumn id="7293" name="列7250"/>
    <tableColumn id="7294" name="列7251"/>
    <tableColumn id="7295" name="列7252"/>
    <tableColumn id="7296" name="列7253"/>
    <tableColumn id="7297" name="列7254"/>
    <tableColumn id="7298" name="列7255"/>
    <tableColumn id="7299" name="列7256"/>
    <tableColumn id="7300" name="列7257"/>
    <tableColumn id="7301" name="列7258"/>
    <tableColumn id="7302" name="列7259"/>
    <tableColumn id="7303" name="列7260"/>
    <tableColumn id="7304" name="列7261"/>
    <tableColumn id="7305" name="列7262"/>
    <tableColumn id="7306" name="列7263"/>
    <tableColumn id="7307" name="列7264"/>
    <tableColumn id="7308" name="列7265"/>
    <tableColumn id="7309" name="列7266"/>
    <tableColumn id="7310" name="列7267"/>
    <tableColumn id="7311" name="列7268"/>
    <tableColumn id="7312" name="列7269"/>
    <tableColumn id="7313" name="列7270"/>
    <tableColumn id="7314" name="列7271"/>
    <tableColumn id="7315" name="列7272"/>
    <tableColumn id="7316" name="列7273"/>
    <tableColumn id="7317" name="列7274"/>
    <tableColumn id="7318" name="列7275"/>
    <tableColumn id="7319" name="列7276"/>
    <tableColumn id="7320" name="列7277"/>
    <tableColumn id="7321" name="列7278"/>
    <tableColumn id="7322" name="列7279"/>
    <tableColumn id="7323" name="列7280"/>
    <tableColumn id="7324" name="列7281"/>
    <tableColumn id="7325" name="列7282"/>
    <tableColumn id="7326" name="列7283"/>
    <tableColumn id="7327" name="列7284"/>
    <tableColumn id="7328" name="列7285"/>
    <tableColumn id="7329" name="列7286"/>
    <tableColumn id="7330" name="列7287"/>
    <tableColumn id="7331" name="列7288"/>
    <tableColumn id="7332" name="列7289"/>
    <tableColumn id="7333" name="列7290"/>
    <tableColumn id="7334" name="列7291"/>
    <tableColumn id="7335" name="列7292"/>
    <tableColumn id="7336" name="列7293"/>
    <tableColumn id="7337" name="列7294"/>
    <tableColumn id="7338" name="列7295"/>
    <tableColumn id="7339" name="列7296"/>
    <tableColumn id="7340" name="列7297"/>
    <tableColumn id="7341" name="列7298"/>
    <tableColumn id="7342" name="列7299"/>
    <tableColumn id="7343" name="列7300"/>
    <tableColumn id="7344" name="列7301"/>
    <tableColumn id="7345" name="列7302"/>
    <tableColumn id="7346" name="列7303"/>
    <tableColumn id="7347" name="列7304"/>
    <tableColumn id="7348" name="列7305"/>
    <tableColumn id="7349" name="列7306"/>
    <tableColumn id="7350" name="列7307"/>
    <tableColumn id="7351" name="列7308"/>
    <tableColumn id="7352" name="列7309"/>
    <tableColumn id="7353" name="列7310"/>
    <tableColumn id="7354" name="列7311"/>
    <tableColumn id="7355" name="列7312"/>
    <tableColumn id="7356" name="列7313"/>
    <tableColumn id="7357" name="列7314"/>
    <tableColumn id="7358" name="列7315"/>
    <tableColumn id="7359" name="列7316"/>
    <tableColumn id="7360" name="列7317"/>
    <tableColumn id="7361" name="列7318"/>
    <tableColumn id="7362" name="列7319"/>
    <tableColumn id="7363" name="列7320"/>
    <tableColumn id="7364" name="列7321"/>
    <tableColumn id="7365" name="列7322"/>
    <tableColumn id="7366" name="列7323"/>
    <tableColumn id="7367" name="列7324"/>
    <tableColumn id="7368" name="列7325"/>
    <tableColumn id="7369" name="列7326"/>
    <tableColumn id="7370" name="列7327"/>
    <tableColumn id="7371" name="列7328"/>
    <tableColumn id="7372" name="列7329"/>
    <tableColumn id="7373" name="列7330"/>
    <tableColumn id="7374" name="列7331"/>
    <tableColumn id="7375" name="列7332"/>
    <tableColumn id="7376" name="列7333"/>
    <tableColumn id="7377" name="列7334"/>
    <tableColumn id="7378" name="列7335"/>
    <tableColumn id="7379" name="列7336"/>
    <tableColumn id="7380" name="列7337"/>
    <tableColumn id="7381" name="列7338"/>
    <tableColumn id="7382" name="列7339"/>
    <tableColumn id="7383" name="列7340"/>
    <tableColumn id="7384" name="列7341"/>
    <tableColumn id="7385" name="列7342"/>
    <tableColumn id="7386" name="列7343"/>
    <tableColumn id="7387" name="列7344"/>
    <tableColumn id="7388" name="列7345"/>
    <tableColumn id="7389" name="列7346"/>
    <tableColumn id="7390" name="列7347"/>
    <tableColumn id="7391" name="列7348"/>
    <tableColumn id="7392" name="列7349"/>
    <tableColumn id="7393" name="列7350"/>
    <tableColumn id="7394" name="列7351"/>
    <tableColumn id="7395" name="列7352"/>
    <tableColumn id="7396" name="列7353"/>
    <tableColumn id="7397" name="列7354"/>
    <tableColumn id="7398" name="列7355"/>
    <tableColumn id="7399" name="列7356"/>
    <tableColumn id="7400" name="列7357"/>
    <tableColumn id="7401" name="列7358"/>
    <tableColumn id="7402" name="列7359"/>
    <tableColumn id="7403" name="列7360"/>
    <tableColumn id="7404" name="列7361"/>
    <tableColumn id="7405" name="列7362"/>
    <tableColumn id="7406" name="列7363"/>
    <tableColumn id="7407" name="列7364"/>
    <tableColumn id="7408" name="列7365"/>
    <tableColumn id="7409" name="列7366"/>
    <tableColumn id="7410" name="列7367"/>
    <tableColumn id="7411" name="列7368"/>
    <tableColumn id="7412" name="列7369"/>
    <tableColumn id="7413" name="列7370"/>
    <tableColumn id="7414" name="列7371"/>
    <tableColumn id="7415" name="列7372"/>
    <tableColumn id="7416" name="列7373"/>
    <tableColumn id="7417" name="列7374"/>
    <tableColumn id="7418" name="列7375"/>
    <tableColumn id="7419" name="列7376"/>
    <tableColumn id="7420" name="列7377"/>
    <tableColumn id="7421" name="列7378"/>
    <tableColumn id="7422" name="列7379"/>
    <tableColumn id="7423" name="列7380"/>
    <tableColumn id="7424" name="列7381"/>
    <tableColumn id="7425" name="列7382"/>
    <tableColumn id="7426" name="列7383"/>
    <tableColumn id="7427" name="列7384"/>
    <tableColumn id="7428" name="列7385"/>
    <tableColumn id="7429" name="列7386"/>
    <tableColumn id="7430" name="列7387"/>
    <tableColumn id="7431" name="列7388"/>
    <tableColumn id="7432" name="列7389"/>
    <tableColumn id="7433" name="列7390"/>
    <tableColumn id="7434" name="列7391"/>
    <tableColumn id="7435" name="列7392"/>
    <tableColumn id="7436" name="列7393"/>
    <tableColumn id="7437" name="列7394"/>
    <tableColumn id="7438" name="列7395"/>
    <tableColumn id="7439" name="列7396"/>
    <tableColumn id="7440" name="列7397"/>
    <tableColumn id="7441" name="列7398"/>
    <tableColumn id="7442" name="列7399"/>
    <tableColumn id="7443" name="列7400"/>
    <tableColumn id="7444" name="列7401"/>
    <tableColumn id="7445" name="列7402"/>
    <tableColumn id="7446" name="列7403"/>
    <tableColumn id="7447" name="列7404"/>
    <tableColumn id="7448" name="列7405"/>
    <tableColumn id="7449" name="列7406"/>
    <tableColumn id="7450" name="列7407"/>
    <tableColumn id="7451" name="列7408"/>
    <tableColumn id="7452" name="列7409"/>
    <tableColumn id="7453" name="列7410"/>
    <tableColumn id="7454" name="列7411"/>
    <tableColumn id="7455" name="列7412"/>
    <tableColumn id="7456" name="列7413"/>
    <tableColumn id="7457" name="列7414"/>
    <tableColumn id="7458" name="列7415"/>
    <tableColumn id="7459" name="列7416"/>
    <tableColumn id="7460" name="列7417"/>
    <tableColumn id="7461" name="列7418"/>
    <tableColumn id="7462" name="列7419"/>
    <tableColumn id="7463" name="列7420"/>
    <tableColumn id="7464" name="列7421"/>
    <tableColumn id="7465" name="列7422"/>
    <tableColumn id="7466" name="列7423"/>
    <tableColumn id="7467" name="列7424"/>
    <tableColumn id="7468" name="列7425"/>
    <tableColumn id="7469" name="列7426"/>
    <tableColumn id="7470" name="列7427"/>
    <tableColumn id="7471" name="列7428"/>
    <tableColumn id="7472" name="列7429"/>
    <tableColumn id="7473" name="列7430"/>
    <tableColumn id="7474" name="列7431"/>
    <tableColumn id="7475" name="列7432"/>
    <tableColumn id="7476" name="列7433"/>
    <tableColumn id="7477" name="列7434"/>
    <tableColumn id="7478" name="列7435"/>
    <tableColumn id="7479" name="列7436"/>
    <tableColumn id="7480" name="列7437"/>
    <tableColumn id="7481" name="列7438"/>
    <tableColumn id="7482" name="列7439"/>
    <tableColumn id="7483" name="列7440"/>
    <tableColumn id="7484" name="列7441"/>
    <tableColumn id="7485" name="列7442"/>
    <tableColumn id="7486" name="列7443"/>
    <tableColumn id="7487" name="列7444"/>
    <tableColumn id="7488" name="列7445"/>
    <tableColumn id="7489" name="列7446"/>
    <tableColumn id="7490" name="列7447"/>
    <tableColumn id="7491" name="列7448"/>
    <tableColumn id="7492" name="列7449"/>
    <tableColumn id="7493" name="列7450"/>
    <tableColumn id="7494" name="列7451"/>
    <tableColumn id="7495" name="列7452"/>
    <tableColumn id="7496" name="列7453"/>
    <tableColumn id="7497" name="列7454"/>
    <tableColumn id="7498" name="列7455"/>
    <tableColumn id="7499" name="列7456"/>
    <tableColumn id="7500" name="列7457"/>
    <tableColumn id="7501" name="列7458"/>
    <tableColumn id="7502" name="列7459"/>
    <tableColumn id="7503" name="列7460"/>
    <tableColumn id="7504" name="列7461"/>
    <tableColumn id="7505" name="列7462"/>
    <tableColumn id="7506" name="列7463"/>
    <tableColumn id="7507" name="列7464"/>
    <tableColumn id="7508" name="列7465"/>
    <tableColumn id="7509" name="列7466"/>
    <tableColumn id="7510" name="列7467"/>
    <tableColumn id="7511" name="列7468"/>
    <tableColumn id="7512" name="列7469"/>
    <tableColumn id="7513" name="列7470"/>
    <tableColumn id="7514" name="列7471"/>
    <tableColumn id="7515" name="列7472"/>
    <tableColumn id="7516" name="列7473"/>
    <tableColumn id="7517" name="列7474"/>
    <tableColumn id="7518" name="列7475"/>
    <tableColumn id="7519" name="列7476"/>
    <tableColumn id="7520" name="列7477"/>
    <tableColumn id="7521" name="列7478"/>
    <tableColumn id="7522" name="列7479"/>
    <tableColumn id="7523" name="列7480"/>
    <tableColumn id="7524" name="列7481"/>
    <tableColumn id="7525" name="列7482"/>
    <tableColumn id="7526" name="列7483"/>
    <tableColumn id="7527" name="列7484"/>
    <tableColumn id="7528" name="列7485"/>
    <tableColumn id="7529" name="列7486"/>
    <tableColumn id="7530" name="列7487"/>
    <tableColumn id="7531" name="列7488"/>
    <tableColumn id="7532" name="列7489"/>
    <tableColumn id="7533" name="列7490"/>
    <tableColumn id="7534" name="列7491"/>
    <tableColumn id="7535" name="列7492"/>
    <tableColumn id="7536" name="列7493"/>
    <tableColumn id="7537" name="列7494"/>
    <tableColumn id="7538" name="列7495"/>
    <tableColumn id="7539" name="列7496"/>
    <tableColumn id="7540" name="列7497"/>
    <tableColumn id="7541" name="列7498"/>
    <tableColumn id="7542" name="列7499"/>
    <tableColumn id="7543" name="列7500"/>
    <tableColumn id="7544" name="列7501"/>
    <tableColumn id="7545" name="列7502"/>
    <tableColumn id="7546" name="列7503"/>
    <tableColumn id="7547" name="列7504"/>
    <tableColumn id="7548" name="列7505"/>
    <tableColumn id="7549" name="列7506"/>
    <tableColumn id="7550" name="列7507"/>
    <tableColumn id="7551" name="列7508"/>
    <tableColumn id="7552" name="列7509"/>
    <tableColumn id="7553" name="列7510"/>
    <tableColumn id="7554" name="列7511"/>
    <tableColumn id="7555" name="列7512"/>
    <tableColumn id="7556" name="列7513"/>
    <tableColumn id="7557" name="列7514"/>
    <tableColumn id="7558" name="列7515"/>
    <tableColumn id="7559" name="列7516"/>
    <tableColumn id="7560" name="列7517"/>
    <tableColumn id="7561" name="列7518"/>
    <tableColumn id="7562" name="列7519"/>
    <tableColumn id="7563" name="列7520"/>
    <tableColumn id="7564" name="列7521"/>
    <tableColumn id="7565" name="列7522"/>
    <tableColumn id="7566" name="列7523"/>
    <tableColumn id="7567" name="列7524"/>
    <tableColumn id="7568" name="列7525"/>
    <tableColumn id="7569" name="列7526"/>
    <tableColumn id="7570" name="列7527"/>
    <tableColumn id="7571" name="列7528"/>
    <tableColumn id="7572" name="列7529"/>
    <tableColumn id="7573" name="列7530"/>
    <tableColumn id="7574" name="列7531"/>
    <tableColumn id="7575" name="列7532"/>
    <tableColumn id="7576" name="列7533"/>
    <tableColumn id="7577" name="列7534"/>
    <tableColumn id="7578" name="列7535"/>
    <tableColumn id="7579" name="列7536"/>
    <tableColumn id="7580" name="列7537"/>
    <tableColumn id="7581" name="列7538"/>
    <tableColumn id="7582" name="列7539"/>
    <tableColumn id="7583" name="列7540"/>
    <tableColumn id="7584" name="列7541"/>
    <tableColumn id="7585" name="列7542"/>
    <tableColumn id="7586" name="列7543"/>
    <tableColumn id="7587" name="列7544"/>
    <tableColumn id="7588" name="列7545"/>
    <tableColumn id="7589" name="列7546"/>
    <tableColumn id="7590" name="列7547"/>
    <tableColumn id="7591" name="列7548"/>
    <tableColumn id="7592" name="列7549"/>
    <tableColumn id="7593" name="列7550"/>
    <tableColumn id="7594" name="列7551"/>
    <tableColumn id="7595" name="列7552"/>
    <tableColumn id="7596" name="列7553"/>
    <tableColumn id="7597" name="列7554"/>
    <tableColumn id="7598" name="列7555"/>
    <tableColumn id="7599" name="列7556"/>
    <tableColumn id="7600" name="列7557"/>
    <tableColumn id="7601" name="列7558"/>
    <tableColumn id="7602" name="列7559"/>
    <tableColumn id="7603" name="列7560"/>
    <tableColumn id="7604" name="列7561"/>
    <tableColumn id="7605" name="列7562"/>
    <tableColumn id="7606" name="列7563"/>
    <tableColumn id="7607" name="列7564"/>
    <tableColumn id="7608" name="列7565"/>
    <tableColumn id="7609" name="列7566"/>
    <tableColumn id="7610" name="列7567"/>
    <tableColumn id="7611" name="列7568"/>
    <tableColumn id="7612" name="列7569"/>
    <tableColumn id="7613" name="列7570"/>
    <tableColumn id="7614" name="列7571"/>
    <tableColumn id="7615" name="列7572"/>
    <tableColumn id="7616" name="列7573"/>
    <tableColumn id="7617" name="列7574"/>
    <tableColumn id="7618" name="列7575"/>
    <tableColumn id="7619" name="列7576"/>
    <tableColumn id="7620" name="列7577"/>
    <tableColumn id="7621" name="列7578"/>
    <tableColumn id="7622" name="列7579"/>
    <tableColumn id="7623" name="列7580"/>
    <tableColumn id="7624" name="列7581"/>
    <tableColumn id="7625" name="列7582"/>
    <tableColumn id="7626" name="列7583"/>
    <tableColumn id="7627" name="列7584"/>
    <tableColumn id="7628" name="列7585"/>
    <tableColumn id="7629" name="列7586"/>
    <tableColumn id="7630" name="列7587"/>
    <tableColumn id="7631" name="列7588"/>
    <tableColumn id="7632" name="列7589"/>
    <tableColumn id="7633" name="列7590"/>
    <tableColumn id="7634" name="列7591"/>
    <tableColumn id="7635" name="列7592"/>
    <tableColumn id="7636" name="列7593"/>
    <tableColumn id="7637" name="列7594"/>
    <tableColumn id="7638" name="列7595"/>
    <tableColumn id="7639" name="列7596"/>
    <tableColumn id="7640" name="列7597"/>
    <tableColumn id="7641" name="列7598"/>
    <tableColumn id="7642" name="列7599"/>
    <tableColumn id="7643" name="列7600"/>
    <tableColumn id="7644" name="列7601"/>
    <tableColumn id="7645" name="列7602"/>
    <tableColumn id="7646" name="列7603"/>
    <tableColumn id="7647" name="列7604"/>
    <tableColumn id="7648" name="列7605"/>
    <tableColumn id="7649" name="列7606"/>
    <tableColumn id="7650" name="列7607"/>
    <tableColumn id="7651" name="列7608"/>
    <tableColumn id="7652" name="列7609"/>
    <tableColumn id="7653" name="列7610"/>
    <tableColumn id="7654" name="列7611"/>
    <tableColumn id="7655" name="列7612"/>
    <tableColumn id="7656" name="列7613"/>
    <tableColumn id="7657" name="列7614"/>
    <tableColumn id="7658" name="列7615"/>
    <tableColumn id="7659" name="列7616"/>
    <tableColumn id="7660" name="列7617"/>
    <tableColumn id="7661" name="列7618"/>
    <tableColumn id="7662" name="列7619"/>
    <tableColumn id="7663" name="列7620"/>
    <tableColumn id="7664" name="列7621"/>
    <tableColumn id="7665" name="列7622"/>
    <tableColumn id="7666" name="列7623"/>
    <tableColumn id="7667" name="列7624"/>
    <tableColumn id="7668" name="列7625"/>
    <tableColumn id="7669" name="列7626"/>
    <tableColumn id="7670" name="列7627"/>
    <tableColumn id="7671" name="列7628"/>
    <tableColumn id="7672" name="列7629"/>
    <tableColumn id="7673" name="列7630"/>
    <tableColumn id="7674" name="列7631"/>
    <tableColumn id="7675" name="列7632"/>
    <tableColumn id="7676" name="列7633"/>
    <tableColumn id="7677" name="列7634"/>
    <tableColumn id="7678" name="列7635"/>
    <tableColumn id="7679" name="列7636"/>
    <tableColumn id="7680" name="列7637"/>
    <tableColumn id="7681" name="列7638"/>
    <tableColumn id="7682" name="列7639"/>
    <tableColumn id="7683" name="列7640"/>
    <tableColumn id="7684" name="列7641"/>
    <tableColumn id="7685" name="列7642"/>
    <tableColumn id="7686" name="列7643"/>
    <tableColumn id="7687" name="列7644"/>
    <tableColumn id="7688" name="列7645"/>
    <tableColumn id="7689" name="列7646"/>
    <tableColumn id="7690" name="列7647"/>
    <tableColumn id="7691" name="列7648"/>
    <tableColumn id="7692" name="列7649"/>
    <tableColumn id="7693" name="列7650"/>
    <tableColumn id="7694" name="列7651"/>
    <tableColumn id="7695" name="列7652"/>
    <tableColumn id="7696" name="列7653"/>
    <tableColumn id="7697" name="列7654"/>
    <tableColumn id="7698" name="列7655"/>
    <tableColumn id="7699" name="列7656"/>
    <tableColumn id="7700" name="列7657"/>
    <tableColumn id="7701" name="列7658"/>
    <tableColumn id="7702" name="列7659"/>
    <tableColumn id="7703" name="列7660"/>
    <tableColumn id="7704" name="列7661"/>
    <tableColumn id="7705" name="列7662"/>
    <tableColumn id="7706" name="列7663"/>
    <tableColumn id="7707" name="列7664"/>
    <tableColumn id="7708" name="列7665"/>
    <tableColumn id="7709" name="列7666"/>
    <tableColumn id="7710" name="列7667"/>
    <tableColumn id="7711" name="列7668"/>
    <tableColumn id="7712" name="列7669"/>
    <tableColumn id="7713" name="列7670"/>
    <tableColumn id="7714" name="列7671"/>
    <tableColumn id="7715" name="列7672"/>
    <tableColumn id="7716" name="列7673"/>
    <tableColumn id="7717" name="列7674"/>
    <tableColumn id="7718" name="列7675"/>
    <tableColumn id="7719" name="列7676"/>
    <tableColumn id="7720" name="列7677"/>
    <tableColumn id="7721" name="列7678"/>
    <tableColumn id="7722" name="列7679"/>
    <tableColumn id="7723" name="列7680"/>
    <tableColumn id="7724" name="列7681"/>
    <tableColumn id="7725" name="列7682"/>
    <tableColumn id="7726" name="列7683"/>
    <tableColumn id="7727" name="列7684"/>
    <tableColumn id="7728" name="列7685"/>
    <tableColumn id="7729" name="列7686"/>
    <tableColumn id="7730" name="列7687"/>
    <tableColumn id="7731" name="列7688"/>
    <tableColumn id="7732" name="列7689"/>
    <tableColumn id="7733" name="列7690"/>
    <tableColumn id="7734" name="列7691"/>
    <tableColumn id="7735" name="列7692"/>
    <tableColumn id="7736" name="列7693"/>
    <tableColumn id="7737" name="列7694"/>
    <tableColumn id="7738" name="列7695"/>
    <tableColumn id="7739" name="列7696"/>
    <tableColumn id="7740" name="列7697"/>
    <tableColumn id="7741" name="列7698"/>
    <tableColumn id="7742" name="列7699"/>
    <tableColumn id="7743" name="列7700"/>
    <tableColumn id="7744" name="列7701"/>
    <tableColumn id="7745" name="列7702"/>
    <tableColumn id="7746" name="列7703"/>
    <tableColumn id="7747" name="列7704"/>
    <tableColumn id="7748" name="列7705"/>
    <tableColumn id="7749" name="列7706"/>
    <tableColumn id="7750" name="列7707"/>
    <tableColumn id="7751" name="列7708"/>
    <tableColumn id="7752" name="列7709"/>
    <tableColumn id="7753" name="列7710"/>
    <tableColumn id="7754" name="列7711"/>
    <tableColumn id="7755" name="列7712"/>
    <tableColumn id="7756" name="列7713"/>
    <tableColumn id="7757" name="列7714"/>
    <tableColumn id="7758" name="列7715"/>
    <tableColumn id="7759" name="列7716"/>
    <tableColumn id="7760" name="列7717"/>
    <tableColumn id="7761" name="列7718"/>
    <tableColumn id="7762" name="列7719"/>
    <tableColumn id="7763" name="列7720"/>
    <tableColumn id="7764" name="列7721"/>
    <tableColumn id="7765" name="列7722"/>
    <tableColumn id="7766" name="列7723"/>
    <tableColumn id="7767" name="列7724"/>
    <tableColumn id="7768" name="列7725"/>
    <tableColumn id="7769" name="列7726"/>
    <tableColumn id="7770" name="列7727"/>
    <tableColumn id="7771" name="列7728"/>
    <tableColumn id="7772" name="列7729"/>
    <tableColumn id="7773" name="列7730"/>
    <tableColumn id="7774" name="列7731"/>
    <tableColumn id="7775" name="列7732"/>
    <tableColumn id="7776" name="列7733"/>
    <tableColumn id="7777" name="列7734"/>
    <tableColumn id="7778" name="列7735"/>
    <tableColumn id="7779" name="列7736"/>
    <tableColumn id="7780" name="列7737"/>
    <tableColumn id="7781" name="列7738"/>
    <tableColumn id="7782" name="列7739"/>
    <tableColumn id="7783" name="列7740"/>
    <tableColumn id="7784" name="列7741"/>
    <tableColumn id="7785" name="列7742"/>
    <tableColumn id="7786" name="列7743"/>
    <tableColumn id="7787" name="列7744"/>
    <tableColumn id="7788" name="列7745"/>
    <tableColumn id="7789" name="列7746"/>
    <tableColumn id="7790" name="列7747"/>
    <tableColumn id="7791" name="列7748"/>
    <tableColumn id="7792" name="列7749"/>
    <tableColumn id="7793" name="列7750"/>
    <tableColumn id="7794" name="列7751"/>
    <tableColumn id="7795" name="列7752"/>
    <tableColumn id="7796" name="列7753"/>
    <tableColumn id="7797" name="列7754"/>
    <tableColumn id="7798" name="列7755"/>
    <tableColumn id="7799" name="列7756"/>
    <tableColumn id="7800" name="列7757"/>
    <tableColumn id="7801" name="列7758"/>
    <tableColumn id="7802" name="列7759"/>
    <tableColumn id="7803" name="列7760"/>
    <tableColumn id="7804" name="列7761"/>
    <tableColumn id="7805" name="列7762"/>
    <tableColumn id="7806" name="列7763"/>
    <tableColumn id="7807" name="列7764"/>
    <tableColumn id="7808" name="列7765"/>
    <tableColumn id="7809" name="列7766"/>
    <tableColumn id="7810" name="列7767"/>
    <tableColumn id="7811" name="列7768"/>
    <tableColumn id="7812" name="列7769"/>
    <tableColumn id="7813" name="列7770"/>
    <tableColumn id="7814" name="列7771"/>
    <tableColumn id="7815" name="列7772"/>
    <tableColumn id="7816" name="列7773"/>
    <tableColumn id="7817" name="列7774"/>
    <tableColumn id="7818" name="列7775"/>
    <tableColumn id="7819" name="列7776"/>
    <tableColumn id="7820" name="列7777"/>
    <tableColumn id="7821" name="列7778"/>
    <tableColumn id="7822" name="列7779"/>
    <tableColumn id="7823" name="列7780"/>
    <tableColumn id="7824" name="列7781"/>
    <tableColumn id="7825" name="列7782"/>
    <tableColumn id="7826" name="列7783"/>
    <tableColumn id="7827" name="列7784"/>
    <tableColumn id="7828" name="列7785"/>
    <tableColumn id="7829" name="列7786"/>
    <tableColumn id="7830" name="列7787"/>
    <tableColumn id="7831" name="列7788"/>
    <tableColumn id="7832" name="列7789"/>
    <tableColumn id="7833" name="列7790"/>
    <tableColumn id="7834" name="列7791"/>
    <tableColumn id="7835" name="列7792"/>
    <tableColumn id="7836" name="列7793"/>
    <tableColumn id="7837" name="列7794"/>
    <tableColumn id="7838" name="列7795"/>
    <tableColumn id="7839" name="列7796"/>
    <tableColumn id="7840" name="列7797"/>
    <tableColumn id="7841" name="列7798"/>
    <tableColumn id="7842" name="列7799"/>
    <tableColumn id="7843" name="列7800"/>
    <tableColumn id="7844" name="列7801"/>
    <tableColumn id="7845" name="列7802"/>
    <tableColumn id="7846" name="列7803"/>
    <tableColumn id="7847" name="列7804"/>
    <tableColumn id="7848" name="列7805"/>
    <tableColumn id="7849" name="列7806"/>
    <tableColumn id="7850" name="列7807"/>
    <tableColumn id="7851" name="列7808"/>
    <tableColumn id="7852" name="列7809"/>
    <tableColumn id="7853" name="列7810"/>
    <tableColumn id="7854" name="列7811"/>
    <tableColumn id="7855" name="列7812"/>
    <tableColumn id="7856" name="列7813"/>
    <tableColumn id="7857" name="列7814"/>
    <tableColumn id="7858" name="列7815"/>
    <tableColumn id="7859" name="列7816"/>
    <tableColumn id="7860" name="列7817"/>
    <tableColumn id="7861" name="列7818"/>
    <tableColumn id="7862" name="列7819"/>
    <tableColumn id="7863" name="列7820"/>
    <tableColumn id="7864" name="列7821"/>
    <tableColumn id="7865" name="列7822"/>
    <tableColumn id="7866" name="列7823"/>
    <tableColumn id="7867" name="列7824"/>
    <tableColumn id="7868" name="列7825"/>
    <tableColumn id="7869" name="列7826"/>
    <tableColumn id="7870" name="列7827"/>
    <tableColumn id="7871" name="列7828"/>
    <tableColumn id="7872" name="列7829"/>
    <tableColumn id="7873" name="列7830"/>
    <tableColumn id="7874" name="列7831"/>
    <tableColumn id="7875" name="列7832"/>
    <tableColumn id="7876" name="列7833"/>
    <tableColumn id="7877" name="列7834"/>
    <tableColumn id="7878" name="列7835"/>
    <tableColumn id="7879" name="列7836"/>
    <tableColumn id="7880" name="列7837"/>
    <tableColumn id="7881" name="列7838"/>
    <tableColumn id="7882" name="列7839"/>
    <tableColumn id="7883" name="列7840"/>
    <tableColumn id="7884" name="列7841"/>
    <tableColumn id="7885" name="列7842"/>
    <tableColumn id="7886" name="列7843"/>
    <tableColumn id="7887" name="列7844"/>
    <tableColumn id="7888" name="列7845"/>
    <tableColumn id="7889" name="列7846"/>
    <tableColumn id="7890" name="列7847"/>
    <tableColumn id="7891" name="列7848"/>
    <tableColumn id="7892" name="列7849"/>
    <tableColumn id="7893" name="列7850"/>
    <tableColumn id="7894" name="列7851"/>
    <tableColumn id="7895" name="列7852"/>
    <tableColumn id="7896" name="列7853"/>
    <tableColumn id="7897" name="列7854"/>
    <tableColumn id="7898" name="列7855"/>
    <tableColumn id="7899" name="列7856"/>
    <tableColumn id="7900" name="列7857"/>
    <tableColumn id="7901" name="列7858"/>
    <tableColumn id="7902" name="列7859"/>
    <tableColumn id="7903" name="列7860"/>
    <tableColumn id="7904" name="列7861"/>
    <tableColumn id="7905" name="列7862"/>
    <tableColumn id="7906" name="列7863"/>
    <tableColumn id="7907" name="列7864"/>
    <tableColumn id="7908" name="列7865"/>
    <tableColumn id="7909" name="列7866"/>
    <tableColumn id="7910" name="列7867"/>
    <tableColumn id="7911" name="列7868"/>
    <tableColumn id="7912" name="列7869"/>
    <tableColumn id="7913" name="列7870"/>
    <tableColumn id="7914" name="列7871"/>
    <tableColumn id="7915" name="列7872"/>
    <tableColumn id="7916" name="列7873"/>
    <tableColumn id="7917" name="列7874"/>
    <tableColumn id="7918" name="列7875"/>
    <tableColumn id="7919" name="列7876"/>
    <tableColumn id="7920" name="列7877"/>
    <tableColumn id="7921" name="列7878"/>
    <tableColumn id="7922" name="列7879"/>
    <tableColumn id="7923" name="列7880"/>
    <tableColumn id="7924" name="列7881"/>
    <tableColumn id="7925" name="列7882"/>
    <tableColumn id="7926" name="列7883"/>
    <tableColumn id="7927" name="列7884"/>
    <tableColumn id="7928" name="列7885"/>
    <tableColumn id="7929" name="列7886"/>
    <tableColumn id="7930" name="列7887"/>
    <tableColumn id="7931" name="列7888"/>
    <tableColumn id="7932" name="列7889"/>
    <tableColumn id="7933" name="列7890"/>
    <tableColumn id="7934" name="列7891"/>
    <tableColumn id="7935" name="列7892"/>
    <tableColumn id="7936" name="列7893"/>
    <tableColumn id="7937" name="列7894"/>
    <tableColumn id="7938" name="列7895"/>
    <tableColumn id="7939" name="列7896"/>
    <tableColumn id="7940" name="列7897"/>
    <tableColumn id="7941" name="列7898"/>
    <tableColumn id="7942" name="列7899"/>
    <tableColumn id="7943" name="列7900"/>
    <tableColumn id="7944" name="列7901"/>
    <tableColumn id="7945" name="列7902"/>
    <tableColumn id="7946" name="列7903"/>
    <tableColumn id="7947" name="列7904"/>
    <tableColumn id="7948" name="列7905"/>
    <tableColumn id="7949" name="列7906"/>
    <tableColumn id="7950" name="列7907"/>
    <tableColumn id="7951" name="列7908"/>
    <tableColumn id="7952" name="列7909"/>
    <tableColumn id="7953" name="列7910"/>
    <tableColumn id="7954" name="列7911"/>
    <tableColumn id="7955" name="列7912"/>
    <tableColumn id="7956" name="列7913"/>
    <tableColumn id="7957" name="列7914"/>
    <tableColumn id="7958" name="列7915"/>
    <tableColumn id="7959" name="列7916"/>
    <tableColumn id="7960" name="列7917"/>
    <tableColumn id="7961" name="列7918"/>
    <tableColumn id="7962" name="列7919"/>
    <tableColumn id="7963" name="列7920"/>
    <tableColumn id="7964" name="列7921"/>
    <tableColumn id="7965" name="列7922"/>
    <tableColumn id="7966" name="列7923"/>
    <tableColumn id="7967" name="列7924"/>
    <tableColumn id="7968" name="列7925"/>
    <tableColumn id="7969" name="列7926"/>
    <tableColumn id="7970" name="列7927"/>
    <tableColumn id="7971" name="列7928"/>
    <tableColumn id="7972" name="列7929"/>
    <tableColumn id="7973" name="列7930"/>
    <tableColumn id="7974" name="列7931"/>
    <tableColumn id="7975" name="列7932"/>
    <tableColumn id="7976" name="列7933"/>
    <tableColumn id="7977" name="列7934"/>
    <tableColumn id="7978" name="列7935"/>
    <tableColumn id="7979" name="列7936"/>
    <tableColumn id="7980" name="列7937"/>
    <tableColumn id="7981" name="列7938"/>
    <tableColumn id="7982" name="列7939"/>
    <tableColumn id="7983" name="列7940"/>
    <tableColumn id="7984" name="列7941"/>
    <tableColumn id="7985" name="列7942"/>
    <tableColumn id="7986" name="列7943"/>
    <tableColumn id="7987" name="列7944"/>
    <tableColumn id="7988" name="列7945"/>
    <tableColumn id="7989" name="列7946"/>
    <tableColumn id="7990" name="列7947"/>
    <tableColumn id="7991" name="列7948"/>
    <tableColumn id="7992" name="列7949"/>
    <tableColumn id="7993" name="列7950"/>
    <tableColumn id="7994" name="列7951"/>
    <tableColumn id="7995" name="列7952"/>
    <tableColumn id="7996" name="列7953"/>
    <tableColumn id="7997" name="列7954"/>
    <tableColumn id="7998" name="列7955"/>
    <tableColumn id="7999" name="列7956"/>
    <tableColumn id="8000" name="列7957"/>
    <tableColumn id="8001" name="列7958"/>
    <tableColumn id="8002" name="列7959"/>
    <tableColumn id="8003" name="列7960"/>
    <tableColumn id="8004" name="列7961"/>
    <tableColumn id="8005" name="列7962"/>
    <tableColumn id="8006" name="列7963"/>
    <tableColumn id="8007" name="列7964"/>
    <tableColumn id="8008" name="列7965"/>
    <tableColumn id="8009" name="列7966"/>
    <tableColumn id="8010" name="列7967"/>
    <tableColumn id="8011" name="列7968"/>
    <tableColumn id="8012" name="列7969"/>
    <tableColumn id="8013" name="列7970"/>
    <tableColumn id="8014" name="列7971"/>
    <tableColumn id="8015" name="列7972"/>
    <tableColumn id="8016" name="列7973"/>
    <tableColumn id="8017" name="列7974"/>
    <tableColumn id="8018" name="列7975"/>
    <tableColumn id="8019" name="列7976"/>
    <tableColumn id="8020" name="列7977"/>
    <tableColumn id="8021" name="列7978"/>
    <tableColumn id="8022" name="列7979"/>
    <tableColumn id="8023" name="列7980"/>
    <tableColumn id="8024" name="列7981"/>
    <tableColumn id="8025" name="列7982"/>
    <tableColumn id="8026" name="列7983"/>
    <tableColumn id="8027" name="列7984"/>
    <tableColumn id="8028" name="列7985"/>
    <tableColumn id="8029" name="列7986"/>
    <tableColumn id="8030" name="列7987"/>
    <tableColumn id="8031" name="列7988"/>
    <tableColumn id="8032" name="列7989"/>
    <tableColumn id="8033" name="列7990"/>
    <tableColumn id="8034" name="列7991"/>
    <tableColumn id="8035" name="列7992"/>
    <tableColumn id="8036" name="列7993"/>
    <tableColumn id="8037" name="列7994"/>
    <tableColumn id="8038" name="列7995"/>
    <tableColumn id="8039" name="列7996"/>
    <tableColumn id="8040" name="列7997"/>
    <tableColumn id="8041" name="列7998"/>
    <tableColumn id="8042" name="列7999"/>
    <tableColumn id="8043" name="列8000"/>
    <tableColumn id="8044" name="列8001"/>
    <tableColumn id="8045" name="列8002"/>
    <tableColumn id="8046" name="列8003"/>
    <tableColumn id="8047" name="列8004"/>
    <tableColumn id="8048" name="列8005"/>
    <tableColumn id="8049" name="列8006"/>
    <tableColumn id="8050" name="列8007"/>
    <tableColumn id="8051" name="列8008"/>
    <tableColumn id="8052" name="列8009"/>
    <tableColumn id="8053" name="列8010"/>
    <tableColumn id="8054" name="列8011"/>
    <tableColumn id="8055" name="列8012"/>
    <tableColumn id="8056" name="列8013"/>
    <tableColumn id="8057" name="列8014"/>
    <tableColumn id="8058" name="列8015"/>
    <tableColumn id="8059" name="列8016"/>
    <tableColumn id="8060" name="列8017"/>
    <tableColumn id="8061" name="列8018"/>
    <tableColumn id="8062" name="列8019"/>
    <tableColumn id="8063" name="列8020"/>
    <tableColumn id="8064" name="列8021"/>
    <tableColumn id="8065" name="列8022"/>
    <tableColumn id="8066" name="列8023"/>
    <tableColumn id="8067" name="列8024"/>
    <tableColumn id="8068" name="列8025"/>
    <tableColumn id="8069" name="列8026"/>
    <tableColumn id="8070" name="列8027"/>
    <tableColumn id="8071" name="列8028"/>
    <tableColumn id="8072" name="列8029"/>
    <tableColumn id="8073" name="列8030"/>
    <tableColumn id="8074" name="列8031"/>
    <tableColumn id="8075" name="列8032"/>
    <tableColumn id="8076" name="列8033"/>
    <tableColumn id="8077" name="列8034"/>
    <tableColumn id="8078" name="列8035"/>
    <tableColumn id="8079" name="列8036"/>
    <tableColumn id="8080" name="列8037"/>
    <tableColumn id="8081" name="列8038"/>
    <tableColumn id="8082" name="列8039"/>
    <tableColumn id="8083" name="列8040"/>
    <tableColumn id="8084" name="列8041"/>
    <tableColumn id="8085" name="列8042"/>
    <tableColumn id="8086" name="列8043"/>
    <tableColumn id="8087" name="列8044"/>
    <tableColumn id="8088" name="列8045"/>
    <tableColumn id="8089" name="列8046"/>
    <tableColumn id="8090" name="列8047"/>
    <tableColumn id="8091" name="列8048"/>
    <tableColumn id="8092" name="列8049"/>
    <tableColumn id="8093" name="列8050"/>
    <tableColumn id="8094" name="列8051"/>
    <tableColumn id="8095" name="列8052"/>
    <tableColumn id="8096" name="列8053"/>
    <tableColumn id="8097" name="列8054"/>
    <tableColumn id="8098" name="列8055"/>
    <tableColumn id="8099" name="列8056"/>
    <tableColumn id="8100" name="列8057"/>
    <tableColumn id="8101" name="列8058"/>
    <tableColumn id="8102" name="列8059"/>
    <tableColumn id="8103" name="列8060"/>
    <tableColumn id="8104" name="列8061"/>
    <tableColumn id="8105" name="列8062"/>
    <tableColumn id="8106" name="列8063"/>
    <tableColumn id="8107" name="列8064"/>
    <tableColumn id="8108" name="列8065"/>
    <tableColumn id="8109" name="列8066"/>
    <tableColumn id="8110" name="列8067"/>
    <tableColumn id="8111" name="列8068"/>
    <tableColumn id="8112" name="列8069"/>
    <tableColumn id="8113" name="列8070"/>
    <tableColumn id="8114" name="列8071"/>
    <tableColumn id="8115" name="列8072"/>
    <tableColumn id="8116" name="列8073"/>
    <tableColumn id="8117" name="列8074"/>
    <tableColumn id="8118" name="列8075"/>
    <tableColumn id="8119" name="列8076"/>
    <tableColumn id="8120" name="列8077"/>
    <tableColumn id="8121" name="列8078"/>
    <tableColumn id="8122" name="列8079"/>
    <tableColumn id="8123" name="列8080"/>
    <tableColumn id="8124" name="列8081"/>
    <tableColumn id="8125" name="列8082"/>
    <tableColumn id="8126" name="列8083"/>
    <tableColumn id="8127" name="列8084"/>
    <tableColumn id="8128" name="列8085"/>
    <tableColumn id="8129" name="列8086"/>
    <tableColumn id="8130" name="列8087"/>
    <tableColumn id="8131" name="列8088"/>
    <tableColumn id="8132" name="列8089"/>
    <tableColumn id="8133" name="列8090"/>
    <tableColumn id="8134" name="列8091"/>
    <tableColumn id="8135" name="列8092"/>
    <tableColumn id="8136" name="列8093"/>
    <tableColumn id="8137" name="列8094"/>
    <tableColumn id="8138" name="列8095"/>
    <tableColumn id="8139" name="列8096"/>
    <tableColumn id="8140" name="列8097"/>
    <tableColumn id="8141" name="列8098"/>
    <tableColumn id="8142" name="列8099"/>
    <tableColumn id="8143" name="列8100"/>
    <tableColumn id="8144" name="列8101"/>
    <tableColumn id="8145" name="列8102"/>
    <tableColumn id="8146" name="列8103"/>
    <tableColumn id="8147" name="列8104"/>
    <tableColumn id="8148" name="列8105"/>
    <tableColumn id="8149" name="列8106"/>
    <tableColumn id="8150" name="列8107"/>
    <tableColumn id="8151" name="列8108"/>
    <tableColumn id="8152" name="列8109"/>
    <tableColumn id="8153" name="列8110"/>
    <tableColumn id="8154" name="列8111"/>
    <tableColumn id="8155" name="列8112"/>
    <tableColumn id="8156" name="列8113"/>
    <tableColumn id="8157" name="列8114"/>
    <tableColumn id="8158" name="列8115"/>
    <tableColumn id="8159" name="列8116"/>
    <tableColumn id="8160" name="列8117"/>
    <tableColumn id="8161" name="列8118"/>
    <tableColumn id="8162" name="列8119"/>
    <tableColumn id="8163" name="列8120"/>
    <tableColumn id="8164" name="列8121"/>
    <tableColumn id="8165" name="列8122"/>
    <tableColumn id="8166" name="列8123"/>
    <tableColumn id="8167" name="列8124"/>
    <tableColumn id="8168" name="列8125"/>
    <tableColumn id="8169" name="列8126"/>
    <tableColumn id="8170" name="列8127"/>
    <tableColumn id="8171" name="列8128"/>
    <tableColumn id="8172" name="列8129"/>
    <tableColumn id="8173" name="列8130"/>
    <tableColumn id="8174" name="列8131"/>
    <tableColumn id="8175" name="列8132"/>
    <tableColumn id="8176" name="列8133"/>
    <tableColumn id="8177" name="列8134"/>
    <tableColumn id="8178" name="列8135"/>
    <tableColumn id="8179" name="列8136"/>
    <tableColumn id="8180" name="列8137"/>
    <tableColumn id="8181" name="列8138"/>
    <tableColumn id="8182" name="列8139"/>
    <tableColumn id="8183" name="列8140"/>
    <tableColumn id="8184" name="列8141"/>
    <tableColumn id="8185" name="列8142"/>
    <tableColumn id="8186" name="列8143"/>
    <tableColumn id="8187" name="列8144"/>
    <tableColumn id="8188" name="列8145"/>
    <tableColumn id="8189" name="列8146"/>
    <tableColumn id="8190" name="列8147"/>
    <tableColumn id="8191" name="列8148"/>
    <tableColumn id="8192" name="列8149"/>
    <tableColumn id="8193" name="列8150"/>
    <tableColumn id="8194" name="列8151"/>
    <tableColumn id="8195" name="列8152"/>
    <tableColumn id="8196" name="列8153"/>
    <tableColumn id="8197" name="列8154"/>
    <tableColumn id="8198" name="列8155"/>
    <tableColumn id="8199" name="列8156"/>
    <tableColumn id="8200" name="列8157"/>
    <tableColumn id="8201" name="列8158"/>
    <tableColumn id="8202" name="列8159"/>
    <tableColumn id="8203" name="列8160"/>
    <tableColumn id="8204" name="列8161"/>
    <tableColumn id="8205" name="列8162"/>
    <tableColumn id="8206" name="列8163"/>
    <tableColumn id="8207" name="列8164"/>
    <tableColumn id="8208" name="列8165"/>
    <tableColumn id="8209" name="列8166"/>
    <tableColumn id="8210" name="列8167"/>
    <tableColumn id="8211" name="列8168"/>
    <tableColumn id="8212" name="列8169"/>
    <tableColumn id="8213" name="列8170"/>
    <tableColumn id="8214" name="列8171"/>
    <tableColumn id="8215" name="列8172"/>
    <tableColumn id="8216" name="列8173"/>
    <tableColumn id="8217" name="列8174"/>
    <tableColumn id="8218" name="列8175"/>
    <tableColumn id="8219" name="列8176"/>
    <tableColumn id="8220" name="列8177"/>
    <tableColumn id="8221" name="列8178"/>
    <tableColumn id="8222" name="列8179"/>
    <tableColumn id="8223" name="列8180"/>
    <tableColumn id="8224" name="列8181"/>
    <tableColumn id="8225" name="列8182"/>
    <tableColumn id="8226" name="列8183"/>
    <tableColumn id="8227" name="列8184"/>
    <tableColumn id="8228" name="列8185"/>
    <tableColumn id="8229" name="列8186"/>
    <tableColumn id="8230" name="列8187"/>
    <tableColumn id="8231" name="列8188"/>
    <tableColumn id="8232" name="列8189"/>
    <tableColumn id="8233" name="列8190"/>
    <tableColumn id="8234" name="列8191"/>
    <tableColumn id="8235" name="列8192"/>
    <tableColumn id="8236" name="列8193"/>
    <tableColumn id="8237" name="列8194"/>
    <tableColumn id="8238" name="列8195"/>
    <tableColumn id="8239" name="列8196"/>
    <tableColumn id="8240" name="列8197"/>
    <tableColumn id="8241" name="列8198"/>
    <tableColumn id="8242" name="列8199"/>
    <tableColumn id="8243" name="列8200"/>
    <tableColumn id="8244" name="列8201"/>
    <tableColumn id="8245" name="列8202"/>
    <tableColumn id="8246" name="列8203"/>
    <tableColumn id="8247" name="列8204"/>
    <tableColumn id="8248" name="列8205"/>
    <tableColumn id="8249" name="列8206"/>
    <tableColumn id="8250" name="列8207"/>
    <tableColumn id="8251" name="列8208"/>
    <tableColumn id="8252" name="列8209"/>
    <tableColumn id="8253" name="列8210"/>
    <tableColumn id="8254" name="列8211"/>
    <tableColumn id="8255" name="列8212"/>
    <tableColumn id="8256" name="列8213"/>
    <tableColumn id="8257" name="列8214"/>
    <tableColumn id="8258" name="列8215"/>
    <tableColumn id="8259" name="列8216"/>
    <tableColumn id="8260" name="列8217"/>
    <tableColumn id="8261" name="列8218"/>
    <tableColumn id="8262" name="列8219"/>
    <tableColumn id="8263" name="列8220"/>
    <tableColumn id="8264" name="列8221"/>
    <tableColumn id="8265" name="列8222"/>
    <tableColumn id="8266" name="列8223"/>
    <tableColumn id="8267" name="列8224"/>
    <tableColumn id="8268" name="列8225"/>
    <tableColumn id="8269" name="列8226"/>
    <tableColumn id="8270" name="列8227"/>
    <tableColumn id="8271" name="列8228"/>
    <tableColumn id="8272" name="列8229"/>
    <tableColumn id="8273" name="列8230"/>
    <tableColumn id="8274" name="列8231"/>
    <tableColumn id="8275" name="列8232"/>
    <tableColumn id="8276" name="列8233"/>
    <tableColumn id="8277" name="列8234"/>
    <tableColumn id="8278" name="列8235"/>
    <tableColumn id="8279" name="列8236"/>
    <tableColumn id="8280" name="列8237"/>
    <tableColumn id="8281" name="列8238"/>
    <tableColumn id="8282" name="列8239"/>
    <tableColumn id="8283" name="列8240"/>
    <tableColumn id="8284" name="列8241"/>
    <tableColumn id="8285" name="列8242"/>
    <tableColumn id="8286" name="列8243"/>
    <tableColumn id="8287" name="列8244"/>
    <tableColumn id="8288" name="列8245"/>
    <tableColumn id="8289" name="列8246"/>
    <tableColumn id="8290" name="列8247"/>
    <tableColumn id="8291" name="列8248"/>
    <tableColumn id="8292" name="列8249"/>
    <tableColumn id="8293" name="列8250"/>
    <tableColumn id="8294" name="列8251"/>
    <tableColumn id="8295" name="列8252"/>
    <tableColumn id="8296" name="列8253"/>
    <tableColumn id="8297" name="列8254"/>
    <tableColumn id="8298" name="列8255"/>
    <tableColumn id="8299" name="列8256"/>
    <tableColumn id="8300" name="列8257"/>
    <tableColumn id="8301" name="列8258"/>
    <tableColumn id="8302" name="列8259"/>
    <tableColumn id="8303" name="列8260"/>
    <tableColumn id="8304" name="列8261"/>
    <tableColumn id="8305" name="列8262"/>
    <tableColumn id="8306" name="列8263"/>
    <tableColumn id="8307" name="列8264"/>
    <tableColumn id="8308" name="列8265"/>
    <tableColumn id="8309" name="列8266"/>
    <tableColumn id="8310" name="列8267"/>
    <tableColumn id="8311" name="列8268"/>
    <tableColumn id="8312" name="列8269"/>
    <tableColumn id="8313" name="列8270"/>
    <tableColumn id="8314" name="列8271"/>
    <tableColumn id="8315" name="列8272"/>
    <tableColumn id="8316" name="列8273"/>
    <tableColumn id="8317" name="列8274"/>
    <tableColumn id="8318" name="列8275"/>
    <tableColumn id="8319" name="列8276"/>
    <tableColumn id="8320" name="列8277"/>
    <tableColumn id="8321" name="列8278"/>
    <tableColumn id="8322" name="列8279"/>
    <tableColumn id="8323" name="列8280"/>
    <tableColumn id="8324" name="列8281"/>
    <tableColumn id="8325" name="列8282"/>
    <tableColumn id="8326" name="列8283"/>
    <tableColumn id="8327" name="列8284"/>
    <tableColumn id="8328" name="列8285"/>
    <tableColumn id="8329" name="列8286"/>
    <tableColumn id="8330" name="列8287"/>
    <tableColumn id="8331" name="列8288"/>
    <tableColumn id="8332" name="列8289"/>
    <tableColumn id="8333" name="列8290"/>
    <tableColumn id="8334" name="列8291"/>
    <tableColumn id="8335" name="列8292"/>
    <tableColumn id="8336" name="列8293"/>
    <tableColumn id="8337" name="列8294"/>
    <tableColumn id="8338" name="列8295"/>
    <tableColumn id="8339" name="列8296"/>
    <tableColumn id="8340" name="列8297"/>
    <tableColumn id="8341" name="列8298"/>
    <tableColumn id="8342" name="列8299"/>
    <tableColumn id="8343" name="列8300"/>
    <tableColumn id="8344" name="列8301"/>
    <tableColumn id="8345" name="列8302"/>
    <tableColumn id="8346" name="列8303"/>
    <tableColumn id="8347" name="列8304"/>
    <tableColumn id="8348" name="列8305"/>
    <tableColumn id="8349" name="列8306"/>
    <tableColumn id="8350" name="列8307"/>
    <tableColumn id="8351" name="列8308"/>
    <tableColumn id="8352" name="列8309"/>
    <tableColumn id="8353" name="列8310"/>
    <tableColumn id="8354" name="列8311"/>
    <tableColumn id="8355" name="列8312"/>
    <tableColumn id="8356" name="列8313"/>
    <tableColumn id="8357" name="列8314"/>
    <tableColumn id="8358" name="列8315"/>
    <tableColumn id="8359" name="列8316"/>
    <tableColumn id="8360" name="列8317"/>
    <tableColumn id="8361" name="列8318"/>
    <tableColumn id="8362" name="列8319"/>
    <tableColumn id="8363" name="列8320"/>
    <tableColumn id="8364" name="列8321"/>
    <tableColumn id="8365" name="列8322"/>
    <tableColumn id="8366" name="列8323"/>
    <tableColumn id="8367" name="列8324"/>
    <tableColumn id="8368" name="列8325"/>
    <tableColumn id="8369" name="列8326"/>
    <tableColumn id="8370" name="列8327"/>
    <tableColumn id="8371" name="列8328"/>
    <tableColumn id="8372" name="列8329"/>
    <tableColumn id="8373" name="列8330"/>
    <tableColumn id="8374" name="列8331"/>
    <tableColumn id="8375" name="列8332"/>
    <tableColumn id="8376" name="列8333"/>
    <tableColumn id="8377" name="列8334"/>
    <tableColumn id="8378" name="列8335"/>
    <tableColumn id="8379" name="列8336"/>
    <tableColumn id="8380" name="列8337"/>
    <tableColumn id="8381" name="列8338"/>
    <tableColumn id="8382" name="列8339"/>
    <tableColumn id="8383" name="列8340"/>
    <tableColumn id="8384" name="列8341"/>
    <tableColumn id="8385" name="列8342"/>
    <tableColumn id="8386" name="列8343"/>
    <tableColumn id="8387" name="列8344"/>
    <tableColumn id="8388" name="列8345"/>
    <tableColumn id="8389" name="列8346"/>
    <tableColumn id="8390" name="列8347"/>
    <tableColumn id="8391" name="列8348"/>
    <tableColumn id="8392" name="列8349"/>
    <tableColumn id="8393" name="列8350"/>
    <tableColumn id="8394" name="列8351"/>
    <tableColumn id="8395" name="列8352"/>
    <tableColumn id="8396" name="列8353"/>
    <tableColumn id="8397" name="列8354"/>
    <tableColumn id="8398" name="列8355"/>
    <tableColumn id="8399" name="列8356"/>
    <tableColumn id="8400" name="列8357"/>
    <tableColumn id="8401" name="列8358"/>
    <tableColumn id="8402" name="列8359"/>
    <tableColumn id="8403" name="列8360"/>
    <tableColumn id="8404" name="列8361"/>
    <tableColumn id="8405" name="列8362"/>
    <tableColumn id="8406" name="列8363"/>
    <tableColumn id="8407" name="列8364"/>
    <tableColumn id="8408" name="列8365"/>
    <tableColumn id="8409" name="列8366"/>
    <tableColumn id="8410" name="列8367"/>
    <tableColumn id="8411" name="列8368"/>
    <tableColumn id="8412" name="列8369"/>
    <tableColumn id="8413" name="列8370"/>
    <tableColumn id="8414" name="列8371"/>
    <tableColumn id="8415" name="列8372"/>
    <tableColumn id="8416" name="列8373"/>
    <tableColumn id="8417" name="列8374"/>
    <tableColumn id="8418" name="列8375"/>
    <tableColumn id="8419" name="列8376"/>
    <tableColumn id="8420" name="列8377"/>
    <tableColumn id="8421" name="列8378"/>
    <tableColumn id="8422" name="列8379"/>
    <tableColumn id="8423" name="列8380"/>
    <tableColumn id="8424" name="列8381"/>
    <tableColumn id="8425" name="列8382"/>
    <tableColumn id="8426" name="列8383"/>
    <tableColumn id="8427" name="列8384"/>
    <tableColumn id="8428" name="列8385"/>
    <tableColumn id="8429" name="列8386"/>
    <tableColumn id="8430" name="列8387"/>
    <tableColumn id="8431" name="列8388"/>
    <tableColumn id="8432" name="列8389"/>
    <tableColumn id="8433" name="列8390"/>
    <tableColumn id="8434" name="列8391"/>
    <tableColumn id="8435" name="列8392"/>
    <tableColumn id="8436" name="列8393"/>
    <tableColumn id="8437" name="列8394"/>
    <tableColumn id="8438" name="列8395"/>
    <tableColumn id="8439" name="列8396"/>
    <tableColumn id="8440" name="列8397"/>
    <tableColumn id="8441" name="列8398"/>
    <tableColumn id="8442" name="列8399"/>
    <tableColumn id="8443" name="列8400"/>
    <tableColumn id="8444" name="列8401"/>
    <tableColumn id="8445" name="列8402"/>
    <tableColumn id="8446" name="列8403"/>
    <tableColumn id="8447" name="列8404"/>
    <tableColumn id="8448" name="列8405"/>
    <tableColumn id="8449" name="列8406"/>
    <tableColumn id="8450" name="列8407"/>
    <tableColumn id="8451" name="列8408"/>
    <tableColumn id="8452" name="列8409"/>
    <tableColumn id="8453" name="列8410"/>
    <tableColumn id="8454" name="列8411"/>
    <tableColumn id="8455" name="列8412"/>
    <tableColumn id="8456" name="列8413"/>
    <tableColumn id="8457" name="列8414"/>
    <tableColumn id="8458" name="列8415"/>
    <tableColumn id="8459" name="列8416"/>
    <tableColumn id="8460" name="列8417"/>
    <tableColumn id="8461" name="列8418"/>
    <tableColumn id="8462" name="列8419"/>
    <tableColumn id="8463" name="列8420"/>
    <tableColumn id="8464" name="列8421"/>
    <tableColumn id="8465" name="列8422"/>
    <tableColumn id="8466" name="列8423"/>
    <tableColumn id="8467" name="列8424"/>
    <tableColumn id="8468" name="列8425"/>
    <tableColumn id="8469" name="列8426"/>
    <tableColumn id="8470" name="列8427"/>
    <tableColumn id="8471" name="列8428"/>
    <tableColumn id="8472" name="列8429"/>
    <tableColumn id="8473" name="列8430"/>
    <tableColumn id="8474" name="列8431"/>
    <tableColumn id="8475" name="列8432"/>
    <tableColumn id="8476" name="列8433"/>
    <tableColumn id="8477" name="列8434"/>
    <tableColumn id="8478" name="列8435"/>
    <tableColumn id="8479" name="列8436"/>
    <tableColumn id="8480" name="列8437"/>
    <tableColumn id="8481" name="列8438"/>
    <tableColumn id="8482" name="列8439"/>
    <tableColumn id="8483" name="列8440"/>
    <tableColumn id="8484" name="列8441"/>
    <tableColumn id="8485" name="列8442"/>
    <tableColumn id="8486" name="列8443"/>
    <tableColumn id="8487" name="列8444"/>
    <tableColumn id="8488" name="列8445"/>
    <tableColumn id="8489" name="列8446"/>
    <tableColumn id="8490" name="列8447"/>
    <tableColumn id="8491" name="列8448"/>
    <tableColumn id="8492" name="列8449"/>
    <tableColumn id="8493" name="列8450"/>
    <tableColumn id="8494" name="列8451"/>
    <tableColumn id="8495" name="列8452"/>
    <tableColumn id="8496" name="列8453"/>
    <tableColumn id="8497" name="列8454"/>
    <tableColumn id="8498" name="列8455"/>
    <tableColumn id="8499" name="列8456"/>
    <tableColumn id="8500" name="列8457"/>
    <tableColumn id="8501" name="列8458"/>
    <tableColumn id="8502" name="列8459"/>
    <tableColumn id="8503" name="列8460"/>
    <tableColumn id="8504" name="列8461"/>
    <tableColumn id="8505" name="列8462"/>
    <tableColumn id="8506" name="列8463"/>
    <tableColumn id="8507" name="列8464"/>
    <tableColumn id="8508" name="列8465"/>
    <tableColumn id="8509" name="列8466"/>
    <tableColumn id="8510" name="列8467"/>
    <tableColumn id="8511" name="列8468"/>
    <tableColumn id="8512" name="列8469"/>
    <tableColumn id="8513" name="列8470"/>
    <tableColumn id="8514" name="列8471"/>
    <tableColumn id="8515" name="列8472"/>
    <tableColumn id="8516" name="列8473"/>
    <tableColumn id="8517" name="列8474"/>
    <tableColumn id="8518" name="列8475"/>
    <tableColumn id="8519" name="列8476"/>
    <tableColumn id="8520" name="列8477"/>
    <tableColumn id="8521" name="列8478"/>
    <tableColumn id="8522" name="列8479"/>
    <tableColumn id="8523" name="列8480"/>
    <tableColumn id="8524" name="列8481"/>
    <tableColumn id="8525" name="列8482"/>
    <tableColumn id="8526" name="列8483"/>
    <tableColumn id="8527" name="列8484"/>
    <tableColumn id="8528" name="列8485"/>
    <tableColumn id="8529" name="列8486"/>
    <tableColumn id="8530" name="列8487"/>
    <tableColumn id="8531" name="列8488"/>
    <tableColumn id="8532" name="列8489"/>
    <tableColumn id="8533" name="列8490"/>
    <tableColumn id="8534" name="列8491"/>
    <tableColumn id="8535" name="列8492"/>
    <tableColumn id="8536" name="列8493"/>
    <tableColumn id="8537" name="列8494"/>
    <tableColumn id="8538" name="列8495"/>
    <tableColumn id="8539" name="列8496"/>
    <tableColumn id="8540" name="列8497"/>
    <tableColumn id="8541" name="列8498"/>
    <tableColumn id="8542" name="列8499"/>
    <tableColumn id="8543" name="列8500"/>
    <tableColumn id="8544" name="列8501"/>
    <tableColumn id="8545" name="列8502"/>
    <tableColumn id="8546" name="列8503"/>
    <tableColumn id="8547" name="列8504"/>
    <tableColumn id="8548" name="列8505"/>
    <tableColumn id="8549" name="列8506"/>
    <tableColumn id="8550" name="列8507"/>
    <tableColumn id="8551" name="列8508"/>
    <tableColumn id="8552" name="列8509"/>
    <tableColumn id="8553" name="列8510"/>
    <tableColumn id="8554" name="列8511"/>
    <tableColumn id="8555" name="列8512"/>
    <tableColumn id="8556" name="列8513"/>
    <tableColumn id="8557" name="列8514"/>
    <tableColumn id="8558" name="列8515"/>
    <tableColumn id="8559" name="列8516"/>
    <tableColumn id="8560" name="列8517"/>
    <tableColumn id="8561" name="列8518"/>
    <tableColumn id="8562" name="列8519"/>
    <tableColumn id="8563" name="列8520"/>
    <tableColumn id="8564" name="列8521"/>
    <tableColumn id="8565" name="列8522"/>
    <tableColumn id="8566" name="列8523"/>
    <tableColumn id="8567" name="列8524"/>
    <tableColumn id="8568" name="列8525"/>
    <tableColumn id="8569" name="列8526"/>
    <tableColumn id="8570" name="列8527"/>
    <tableColumn id="8571" name="列8528"/>
    <tableColumn id="8572" name="列8529"/>
    <tableColumn id="8573" name="列8530"/>
    <tableColumn id="8574" name="列8531"/>
    <tableColumn id="8575" name="列8532"/>
    <tableColumn id="8576" name="列8533"/>
    <tableColumn id="8577" name="列8534"/>
    <tableColumn id="8578" name="列8535"/>
    <tableColumn id="8579" name="列8536"/>
    <tableColumn id="8580" name="列8537"/>
    <tableColumn id="8581" name="列8538"/>
    <tableColumn id="8582" name="列8539"/>
    <tableColumn id="8583" name="列8540"/>
    <tableColumn id="8584" name="列8541"/>
    <tableColumn id="8585" name="列8542"/>
    <tableColumn id="8586" name="列8543"/>
    <tableColumn id="8587" name="列8544"/>
    <tableColumn id="8588" name="列8545"/>
    <tableColumn id="8589" name="列8546"/>
    <tableColumn id="8590" name="列8547"/>
    <tableColumn id="8591" name="列8548"/>
    <tableColumn id="8592" name="列8549"/>
    <tableColumn id="8593" name="列8550"/>
    <tableColumn id="8594" name="列8551"/>
    <tableColumn id="8595" name="列8552"/>
    <tableColumn id="8596" name="列8553"/>
    <tableColumn id="8597" name="列8554"/>
    <tableColumn id="8598" name="列8555"/>
    <tableColumn id="8599" name="列8556"/>
    <tableColumn id="8600" name="列8557"/>
    <tableColumn id="8601" name="列8558"/>
    <tableColumn id="8602" name="列8559"/>
    <tableColumn id="8603" name="列8560"/>
    <tableColumn id="8604" name="列8561"/>
    <tableColumn id="8605" name="列8562"/>
    <tableColumn id="8606" name="列8563"/>
    <tableColumn id="8607" name="列8564"/>
    <tableColumn id="8608" name="列8565"/>
    <tableColumn id="8609" name="列8566"/>
    <tableColumn id="8610" name="列8567"/>
    <tableColumn id="8611" name="列8568"/>
    <tableColumn id="8612" name="列8569"/>
    <tableColumn id="8613" name="列8570"/>
    <tableColumn id="8614" name="列8571"/>
    <tableColumn id="8615" name="列8572"/>
    <tableColumn id="8616" name="列8573"/>
    <tableColumn id="8617" name="列8574"/>
    <tableColumn id="8618" name="列8575"/>
    <tableColumn id="8619" name="列8576"/>
    <tableColumn id="8620" name="列8577"/>
    <tableColumn id="8621" name="列8578"/>
    <tableColumn id="8622" name="列8579"/>
    <tableColumn id="8623" name="列8580"/>
    <tableColumn id="8624" name="列8581"/>
    <tableColumn id="8625" name="列8582"/>
    <tableColumn id="8626" name="列8583"/>
    <tableColumn id="8627" name="列8584"/>
    <tableColumn id="8628" name="列8585"/>
    <tableColumn id="8629" name="列8586"/>
    <tableColumn id="8630" name="列8587"/>
    <tableColumn id="8631" name="列8588"/>
    <tableColumn id="8632" name="列8589"/>
    <tableColumn id="8633" name="列8590"/>
    <tableColumn id="8634" name="列8591"/>
    <tableColumn id="8635" name="列8592"/>
    <tableColumn id="8636" name="列8593"/>
    <tableColumn id="8637" name="列8594"/>
    <tableColumn id="8638" name="列8595"/>
    <tableColumn id="8639" name="列8596"/>
    <tableColumn id="8640" name="列8597"/>
    <tableColumn id="8641" name="列8598"/>
    <tableColumn id="8642" name="列8599"/>
    <tableColumn id="8643" name="列8600"/>
    <tableColumn id="8644" name="列8601"/>
    <tableColumn id="8645" name="列8602"/>
    <tableColumn id="8646" name="列8603"/>
    <tableColumn id="8647" name="列8604"/>
    <tableColumn id="8648" name="列8605"/>
    <tableColumn id="8649" name="列8606"/>
    <tableColumn id="8650" name="列8607"/>
    <tableColumn id="8651" name="列8608"/>
    <tableColumn id="8652" name="列8609"/>
    <tableColumn id="8653" name="列8610"/>
    <tableColumn id="8654" name="列8611"/>
    <tableColumn id="8655" name="列8612"/>
    <tableColumn id="8656" name="列8613"/>
    <tableColumn id="8657" name="列8614"/>
    <tableColumn id="8658" name="列8615"/>
    <tableColumn id="8659" name="列8616"/>
    <tableColumn id="8660" name="列8617"/>
    <tableColumn id="8661" name="列8618"/>
    <tableColumn id="8662" name="列8619"/>
    <tableColumn id="8663" name="列8620"/>
    <tableColumn id="8664" name="列8621"/>
    <tableColumn id="8665" name="列8622"/>
    <tableColumn id="8666" name="列8623"/>
    <tableColumn id="8667" name="列8624"/>
    <tableColumn id="8668" name="列8625"/>
    <tableColumn id="8669" name="列8626"/>
    <tableColumn id="8670" name="列8627"/>
    <tableColumn id="8671" name="列8628"/>
    <tableColumn id="8672" name="列8629"/>
    <tableColumn id="8673" name="列8630"/>
    <tableColumn id="8674" name="列8631"/>
    <tableColumn id="8675" name="列8632"/>
    <tableColumn id="8676" name="列8633"/>
    <tableColumn id="8677" name="列8634"/>
    <tableColumn id="8678" name="列8635"/>
    <tableColumn id="8679" name="列8636"/>
    <tableColumn id="8680" name="列8637"/>
    <tableColumn id="8681" name="列8638"/>
    <tableColumn id="8682" name="列8639"/>
    <tableColumn id="8683" name="列8640"/>
    <tableColumn id="8684" name="列8641"/>
    <tableColumn id="8685" name="列8642"/>
    <tableColumn id="8686" name="列8643"/>
    <tableColumn id="8687" name="列8644"/>
    <tableColumn id="8688" name="列8645"/>
    <tableColumn id="8689" name="列8646"/>
    <tableColumn id="8690" name="列8647"/>
    <tableColumn id="8691" name="列8648"/>
    <tableColumn id="8692" name="列8649"/>
    <tableColumn id="8693" name="列8650"/>
    <tableColumn id="8694" name="列8651"/>
    <tableColumn id="8695" name="列8652"/>
    <tableColumn id="8696" name="列8653"/>
    <tableColumn id="8697" name="列8654"/>
    <tableColumn id="8698" name="列8655"/>
    <tableColumn id="8699" name="列8656"/>
    <tableColumn id="8700" name="列8657"/>
    <tableColumn id="8701" name="列8658"/>
    <tableColumn id="8702" name="列8659"/>
    <tableColumn id="8703" name="列8660"/>
    <tableColumn id="8704" name="列8661"/>
    <tableColumn id="8705" name="列8662"/>
    <tableColumn id="8706" name="列8663"/>
    <tableColumn id="8707" name="列8664"/>
    <tableColumn id="8708" name="列8665"/>
    <tableColumn id="8709" name="列8666"/>
    <tableColumn id="8710" name="列8667"/>
    <tableColumn id="8711" name="列8668"/>
    <tableColumn id="8712" name="列8669"/>
    <tableColumn id="8713" name="列8670"/>
    <tableColumn id="8714" name="列8671"/>
    <tableColumn id="8715" name="列8672"/>
    <tableColumn id="8716" name="列8673"/>
    <tableColumn id="8717" name="列8674"/>
    <tableColumn id="8718" name="列8675"/>
    <tableColumn id="8719" name="列8676"/>
    <tableColumn id="8720" name="列8677"/>
    <tableColumn id="8721" name="列8678"/>
    <tableColumn id="8722" name="列8679"/>
    <tableColumn id="8723" name="列8680"/>
    <tableColumn id="8724" name="列8681"/>
    <tableColumn id="8725" name="列8682"/>
    <tableColumn id="8726" name="列8683"/>
    <tableColumn id="8727" name="列8684"/>
    <tableColumn id="8728" name="列8685"/>
    <tableColumn id="8729" name="列8686"/>
    <tableColumn id="8730" name="列8687"/>
    <tableColumn id="8731" name="列8688"/>
    <tableColumn id="8732" name="列8689"/>
    <tableColumn id="8733" name="列8690"/>
    <tableColumn id="8734" name="列8691"/>
    <tableColumn id="8735" name="列8692"/>
    <tableColumn id="8736" name="列8693"/>
    <tableColumn id="8737" name="列8694"/>
    <tableColumn id="8738" name="列8695"/>
    <tableColumn id="8739" name="列8696"/>
    <tableColumn id="8740" name="列8697"/>
    <tableColumn id="8741" name="列8698"/>
    <tableColumn id="8742" name="列8699"/>
    <tableColumn id="8743" name="列8700"/>
    <tableColumn id="8744" name="列8701"/>
    <tableColumn id="8745" name="列8702"/>
    <tableColumn id="8746" name="列8703"/>
    <tableColumn id="8747" name="列8704"/>
    <tableColumn id="8748" name="列8705"/>
    <tableColumn id="8749" name="列8706"/>
    <tableColumn id="8750" name="列8707"/>
    <tableColumn id="8751" name="列8708"/>
    <tableColumn id="8752" name="列8709"/>
    <tableColumn id="8753" name="列8710"/>
    <tableColumn id="8754" name="列8711"/>
    <tableColumn id="8755" name="列8712"/>
    <tableColumn id="8756" name="列8713"/>
    <tableColumn id="8757" name="列8714"/>
    <tableColumn id="8758" name="列8715"/>
    <tableColumn id="8759" name="列8716"/>
    <tableColumn id="8760" name="列8717"/>
    <tableColumn id="8761" name="列8718"/>
    <tableColumn id="8762" name="列8719"/>
    <tableColumn id="8763" name="列8720"/>
    <tableColumn id="8764" name="列8721"/>
    <tableColumn id="8765" name="列8722"/>
    <tableColumn id="8766" name="列8723"/>
    <tableColumn id="8767" name="列8724"/>
    <tableColumn id="8768" name="列8725"/>
    <tableColumn id="8769" name="列8726"/>
    <tableColumn id="8770" name="列8727"/>
    <tableColumn id="8771" name="列8728"/>
    <tableColumn id="8772" name="列8729"/>
    <tableColumn id="8773" name="列8730"/>
    <tableColumn id="8774" name="列8731"/>
    <tableColumn id="8775" name="列8732"/>
    <tableColumn id="8776" name="列8733"/>
    <tableColumn id="8777" name="列8734"/>
    <tableColumn id="8778" name="列8735"/>
    <tableColumn id="8779" name="列8736"/>
    <tableColumn id="8780" name="列8737"/>
    <tableColumn id="8781" name="列8738"/>
    <tableColumn id="8782" name="列8739"/>
    <tableColumn id="8783" name="列8740"/>
    <tableColumn id="8784" name="列8741"/>
    <tableColumn id="8785" name="列8742"/>
    <tableColumn id="8786" name="列8743"/>
    <tableColumn id="8787" name="列8744"/>
    <tableColumn id="8788" name="列8745"/>
    <tableColumn id="8789" name="列8746"/>
    <tableColumn id="8790" name="列8747"/>
    <tableColumn id="8791" name="列8748"/>
    <tableColumn id="8792" name="列8749"/>
    <tableColumn id="8793" name="列8750"/>
    <tableColumn id="8794" name="列8751"/>
    <tableColumn id="8795" name="列8752"/>
    <tableColumn id="8796" name="列8753"/>
    <tableColumn id="8797" name="列8754"/>
    <tableColumn id="8798" name="列8755"/>
    <tableColumn id="8799" name="列8756"/>
    <tableColumn id="8800" name="列8757"/>
    <tableColumn id="8801" name="列8758"/>
    <tableColumn id="8802" name="列8759"/>
    <tableColumn id="8803" name="列8760"/>
    <tableColumn id="8804" name="列8761"/>
    <tableColumn id="8805" name="列8762"/>
    <tableColumn id="8806" name="列8763"/>
    <tableColumn id="8807" name="列8764"/>
    <tableColumn id="8808" name="列8765"/>
    <tableColumn id="8809" name="列8766"/>
    <tableColumn id="8810" name="列8767"/>
    <tableColumn id="8811" name="列8768"/>
    <tableColumn id="8812" name="列8769"/>
    <tableColumn id="8813" name="列8770"/>
    <tableColumn id="8814" name="列8771"/>
    <tableColumn id="8815" name="列8772"/>
    <tableColumn id="8816" name="列8773"/>
    <tableColumn id="8817" name="列8774"/>
    <tableColumn id="8818" name="列8775"/>
    <tableColumn id="8819" name="列8776"/>
    <tableColumn id="8820" name="列8777"/>
    <tableColumn id="8821" name="列8778"/>
    <tableColumn id="8822" name="列8779"/>
    <tableColumn id="8823" name="列8780"/>
    <tableColumn id="8824" name="列8781"/>
    <tableColumn id="8825" name="列8782"/>
    <tableColumn id="8826" name="列8783"/>
    <tableColumn id="8827" name="列8784"/>
    <tableColumn id="8828" name="列8785"/>
    <tableColumn id="8829" name="列8786"/>
    <tableColumn id="8830" name="列8787"/>
    <tableColumn id="8831" name="列8788"/>
    <tableColumn id="8832" name="列8789"/>
    <tableColumn id="8833" name="列8790"/>
    <tableColumn id="8834" name="列8791"/>
    <tableColumn id="8835" name="列8792"/>
    <tableColumn id="8836" name="列8793"/>
    <tableColumn id="8837" name="列8794"/>
    <tableColumn id="8838" name="列8795"/>
    <tableColumn id="8839" name="列8796"/>
    <tableColumn id="8840" name="列8797"/>
    <tableColumn id="8841" name="列8798"/>
    <tableColumn id="8842" name="列8799"/>
    <tableColumn id="8843" name="列8800"/>
    <tableColumn id="8844" name="列8801"/>
    <tableColumn id="8845" name="列8802"/>
    <tableColumn id="8846" name="列8803"/>
    <tableColumn id="8847" name="列8804"/>
    <tableColumn id="8848" name="列8805"/>
    <tableColumn id="8849" name="列8806"/>
    <tableColumn id="8850" name="列8807"/>
    <tableColumn id="8851" name="列8808"/>
    <tableColumn id="8852" name="列8809"/>
    <tableColumn id="8853" name="列8810"/>
    <tableColumn id="8854" name="列8811"/>
    <tableColumn id="8855" name="列8812"/>
    <tableColumn id="8856" name="列8813"/>
    <tableColumn id="8857" name="列8814"/>
    <tableColumn id="8858" name="列8815"/>
    <tableColumn id="8859" name="列8816"/>
    <tableColumn id="8860" name="列8817"/>
    <tableColumn id="8861" name="列8818"/>
    <tableColumn id="8862" name="列8819"/>
    <tableColumn id="8863" name="列8820"/>
    <tableColumn id="8864" name="列8821"/>
    <tableColumn id="8865" name="列8822"/>
    <tableColumn id="8866" name="列8823"/>
    <tableColumn id="8867" name="列8824"/>
    <tableColumn id="8868" name="列8825"/>
    <tableColumn id="8869" name="列8826"/>
    <tableColumn id="8870" name="列8827"/>
    <tableColumn id="8871" name="列8828"/>
    <tableColumn id="8872" name="列8829"/>
    <tableColumn id="8873" name="列8830"/>
    <tableColumn id="8874" name="列8831"/>
    <tableColumn id="8875" name="列8832"/>
    <tableColumn id="8876" name="列8833"/>
    <tableColumn id="8877" name="列8834"/>
    <tableColumn id="8878" name="列8835"/>
    <tableColumn id="8879" name="列8836"/>
    <tableColumn id="8880" name="列8837"/>
    <tableColumn id="8881" name="列8838"/>
    <tableColumn id="8882" name="列8839"/>
    <tableColumn id="8883" name="列8840"/>
    <tableColumn id="8884" name="列8841"/>
    <tableColumn id="8885" name="列8842"/>
    <tableColumn id="8886" name="列8843"/>
    <tableColumn id="8887" name="列8844"/>
    <tableColumn id="8888" name="列8845"/>
    <tableColumn id="8889" name="列8846"/>
    <tableColumn id="8890" name="列8847"/>
    <tableColumn id="8891" name="列8848"/>
    <tableColumn id="8892" name="列8849"/>
    <tableColumn id="8893" name="列8850"/>
    <tableColumn id="8894" name="列8851"/>
    <tableColumn id="8895" name="列8852"/>
    <tableColumn id="8896" name="列8853"/>
    <tableColumn id="8897" name="列8854"/>
    <tableColumn id="8898" name="列8855"/>
    <tableColumn id="8899" name="列8856"/>
    <tableColumn id="8900" name="列8857"/>
    <tableColumn id="8901" name="列8858"/>
    <tableColumn id="8902" name="列8859"/>
    <tableColumn id="8903" name="列8860"/>
    <tableColumn id="8904" name="列8861"/>
    <tableColumn id="8905" name="列8862"/>
    <tableColumn id="8906" name="列8863"/>
    <tableColumn id="8907" name="列8864"/>
    <tableColumn id="8908" name="列8865"/>
    <tableColumn id="8909" name="列8866"/>
    <tableColumn id="8910" name="列8867"/>
    <tableColumn id="8911" name="列8868"/>
    <tableColumn id="8912" name="列8869"/>
    <tableColumn id="8913" name="列8870"/>
    <tableColumn id="8914" name="列8871"/>
    <tableColumn id="8915" name="列8872"/>
    <tableColumn id="8916" name="列8873"/>
    <tableColumn id="8917" name="列8874"/>
    <tableColumn id="8918" name="列8875"/>
    <tableColumn id="8919" name="列8876"/>
    <tableColumn id="8920" name="列8877"/>
    <tableColumn id="8921" name="列8878"/>
    <tableColumn id="8922" name="列8879"/>
    <tableColumn id="8923" name="列8880"/>
    <tableColumn id="8924" name="列8881"/>
    <tableColumn id="8925" name="列8882"/>
    <tableColumn id="8926" name="列8883"/>
    <tableColumn id="8927" name="列8884"/>
    <tableColumn id="8928" name="列8885"/>
    <tableColumn id="8929" name="列8886"/>
    <tableColumn id="8930" name="列8887"/>
    <tableColumn id="8931" name="列8888"/>
    <tableColumn id="8932" name="列8889"/>
    <tableColumn id="8933" name="列8890"/>
    <tableColumn id="8934" name="列8891"/>
    <tableColumn id="8935" name="列8892"/>
    <tableColumn id="8936" name="列8893"/>
    <tableColumn id="8937" name="列8894"/>
    <tableColumn id="8938" name="列8895"/>
    <tableColumn id="8939" name="列8896"/>
    <tableColumn id="8940" name="列8897"/>
    <tableColumn id="8941" name="列8898"/>
    <tableColumn id="8942" name="列8899"/>
    <tableColumn id="8943" name="列8900"/>
    <tableColumn id="8944" name="列8901"/>
    <tableColumn id="8945" name="列8902"/>
    <tableColumn id="8946" name="列8903"/>
    <tableColumn id="8947" name="列8904"/>
    <tableColumn id="8948" name="列8905"/>
    <tableColumn id="8949" name="列8906"/>
    <tableColumn id="8950" name="列8907"/>
    <tableColumn id="8951" name="列8908"/>
    <tableColumn id="8952" name="列8909"/>
    <tableColumn id="8953" name="列8910"/>
    <tableColumn id="8954" name="列8911"/>
    <tableColumn id="8955" name="列8912"/>
    <tableColumn id="8956" name="列8913"/>
    <tableColumn id="8957" name="列8914"/>
    <tableColumn id="8958" name="列8915"/>
    <tableColumn id="8959" name="列8916"/>
    <tableColumn id="8960" name="列8917"/>
    <tableColumn id="8961" name="列8918"/>
    <tableColumn id="8962" name="列8919"/>
    <tableColumn id="8963" name="列8920"/>
    <tableColumn id="8964" name="列8921"/>
    <tableColumn id="8965" name="列8922"/>
    <tableColumn id="8966" name="列8923"/>
    <tableColumn id="8967" name="列8924"/>
    <tableColumn id="8968" name="列8925"/>
    <tableColumn id="8969" name="列8926"/>
    <tableColumn id="8970" name="列8927"/>
    <tableColumn id="8971" name="列8928"/>
    <tableColumn id="8972" name="列8929"/>
    <tableColumn id="8973" name="列8930"/>
    <tableColumn id="8974" name="列8931"/>
    <tableColumn id="8975" name="列8932"/>
    <tableColumn id="8976" name="列8933"/>
    <tableColumn id="8977" name="列8934"/>
    <tableColumn id="8978" name="列8935"/>
    <tableColumn id="8979" name="列8936"/>
    <tableColumn id="8980" name="列8937"/>
    <tableColumn id="8981" name="列8938"/>
    <tableColumn id="8982" name="列8939"/>
    <tableColumn id="8983" name="列8940"/>
    <tableColumn id="8984" name="列8941"/>
    <tableColumn id="8985" name="列8942"/>
    <tableColumn id="8986" name="列8943"/>
    <tableColumn id="8987" name="列8944"/>
    <tableColumn id="8988" name="列8945"/>
    <tableColumn id="8989" name="列8946"/>
    <tableColumn id="8990" name="列8947"/>
    <tableColumn id="8991" name="列8948"/>
    <tableColumn id="8992" name="列8949"/>
    <tableColumn id="8993" name="列8950"/>
    <tableColumn id="8994" name="列8951"/>
    <tableColumn id="8995" name="列8952"/>
    <tableColumn id="8996" name="列8953"/>
    <tableColumn id="8997" name="列8954"/>
    <tableColumn id="8998" name="列8955"/>
    <tableColumn id="8999" name="列8956"/>
    <tableColumn id="9000" name="列8957"/>
    <tableColumn id="9001" name="列8958"/>
    <tableColumn id="9002" name="列8959"/>
    <tableColumn id="9003" name="列8960"/>
    <tableColumn id="9004" name="列8961"/>
    <tableColumn id="9005" name="列8962"/>
    <tableColumn id="9006" name="列8963"/>
    <tableColumn id="9007" name="列8964"/>
    <tableColumn id="9008" name="列8965"/>
    <tableColumn id="9009" name="列8966"/>
    <tableColumn id="9010" name="列8967"/>
    <tableColumn id="9011" name="列8968"/>
    <tableColumn id="9012" name="列8969"/>
    <tableColumn id="9013" name="列8970"/>
    <tableColumn id="9014" name="列8971"/>
    <tableColumn id="9015" name="列8972"/>
    <tableColumn id="9016" name="列8973"/>
    <tableColumn id="9017" name="列8974"/>
    <tableColumn id="9018" name="列8975"/>
    <tableColumn id="9019" name="列8976"/>
    <tableColumn id="9020" name="列8977"/>
    <tableColumn id="9021" name="列8978"/>
    <tableColumn id="9022" name="列8979"/>
    <tableColumn id="9023" name="列8980"/>
    <tableColumn id="9024" name="列8981"/>
    <tableColumn id="9025" name="列8982"/>
    <tableColumn id="9026" name="列8983"/>
    <tableColumn id="9027" name="列8984"/>
    <tableColumn id="9028" name="列8985"/>
    <tableColumn id="9029" name="列8986"/>
    <tableColumn id="9030" name="列8987"/>
    <tableColumn id="9031" name="列8988"/>
    <tableColumn id="9032" name="列8989"/>
    <tableColumn id="9033" name="列8990"/>
    <tableColumn id="9034" name="列8991"/>
    <tableColumn id="9035" name="列8992"/>
    <tableColumn id="9036" name="列8993"/>
    <tableColumn id="9037" name="列8994"/>
    <tableColumn id="9038" name="列8995"/>
    <tableColumn id="9039" name="列8996"/>
    <tableColumn id="9040" name="列8997"/>
    <tableColumn id="9041" name="列8998"/>
    <tableColumn id="9042" name="列8999"/>
    <tableColumn id="9043" name="列9000"/>
    <tableColumn id="9044" name="列9001"/>
    <tableColumn id="9045" name="列9002"/>
    <tableColumn id="9046" name="列9003"/>
    <tableColumn id="9047" name="列9004"/>
    <tableColumn id="9048" name="列9005"/>
    <tableColumn id="9049" name="列9006"/>
    <tableColumn id="9050" name="列9007"/>
    <tableColumn id="9051" name="列9008"/>
    <tableColumn id="9052" name="列9009"/>
    <tableColumn id="9053" name="列9010"/>
    <tableColumn id="9054" name="列9011"/>
    <tableColumn id="9055" name="列9012"/>
    <tableColumn id="9056" name="列9013"/>
    <tableColumn id="9057" name="列9014"/>
    <tableColumn id="9058" name="列9015"/>
    <tableColumn id="9059" name="列9016"/>
    <tableColumn id="9060" name="列9017"/>
    <tableColumn id="9061" name="列9018"/>
    <tableColumn id="9062" name="列9019"/>
    <tableColumn id="9063" name="列9020"/>
    <tableColumn id="9064" name="列9021"/>
    <tableColumn id="9065" name="列9022"/>
    <tableColumn id="9066" name="列9023"/>
    <tableColumn id="9067" name="列9024"/>
    <tableColumn id="9068" name="列9025"/>
    <tableColumn id="9069" name="列9026"/>
    <tableColumn id="9070" name="列9027"/>
    <tableColumn id="9071" name="列9028"/>
    <tableColumn id="9072" name="列9029"/>
    <tableColumn id="9073" name="列9030"/>
    <tableColumn id="9074" name="列9031"/>
    <tableColumn id="9075" name="列9032"/>
    <tableColumn id="9076" name="列9033"/>
    <tableColumn id="9077" name="列9034"/>
    <tableColumn id="9078" name="列9035"/>
    <tableColumn id="9079" name="列9036"/>
    <tableColumn id="9080" name="列9037"/>
    <tableColumn id="9081" name="列9038"/>
    <tableColumn id="9082" name="列9039"/>
    <tableColumn id="9083" name="列9040"/>
    <tableColumn id="9084" name="列9041"/>
    <tableColumn id="9085" name="列9042"/>
    <tableColumn id="9086" name="列9043"/>
    <tableColumn id="9087" name="列9044"/>
    <tableColumn id="9088" name="列9045"/>
    <tableColumn id="9089" name="列9046"/>
    <tableColumn id="9090" name="列9047"/>
    <tableColumn id="9091" name="列9048"/>
    <tableColumn id="9092" name="列9049"/>
    <tableColumn id="9093" name="列9050"/>
    <tableColumn id="9094" name="列9051"/>
    <tableColumn id="9095" name="列9052"/>
    <tableColumn id="9096" name="列9053"/>
    <tableColumn id="9097" name="列9054"/>
    <tableColumn id="9098" name="列9055"/>
    <tableColumn id="9099" name="列9056"/>
    <tableColumn id="9100" name="列9057"/>
    <tableColumn id="9101" name="列9058"/>
    <tableColumn id="9102" name="列9059"/>
    <tableColumn id="9103" name="列9060"/>
    <tableColumn id="9104" name="列9061"/>
    <tableColumn id="9105" name="列9062"/>
    <tableColumn id="9106" name="列9063"/>
    <tableColumn id="9107" name="列9064"/>
    <tableColumn id="9108" name="列9065"/>
    <tableColumn id="9109" name="列9066"/>
    <tableColumn id="9110" name="列9067"/>
    <tableColumn id="9111" name="列9068"/>
    <tableColumn id="9112" name="列9069"/>
    <tableColumn id="9113" name="列9070"/>
    <tableColumn id="9114" name="列9071"/>
    <tableColumn id="9115" name="列9072"/>
    <tableColumn id="9116" name="列9073"/>
    <tableColumn id="9117" name="列9074"/>
    <tableColumn id="9118" name="列9075"/>
    <tableColumn id="9119" name="列9076"/>
    <tableColumn id="9120" name="列9077"/>
    <tableColumn id="9121" name="列9078"/>
    <tableColumn id="9122" name="列9079"/>
    <tableColumn id="9123" name="列9080"/>
    <tableColumn id="9124" name="列9081"/>
    <tableColumn id="9125" name="列9082"/>
    <tableColumn id="9126" name="列9083"/>
    <tableColumn id="9127" name="列9084"/>
    <tableColumn id="9128" name="列9085"/>
    <tableColumn id="9129" name="列9086"/>
    <tableColumn id="9130" name="列9087"/>
    <tableColumn id="9131" name="列9088"/>
    <tableColumn id="9132" name="列9089"/>
    <tableColumn id="9133" name="列9090"/>
    <tableColumn id="9134" name="列9091"/>
    <tableColumn id="9135" name="列9092"/>
    <tableColumn id="9136" name="列9093"/>
    <tableColumn id="9137" name="列9094"/>
    <tableColumn id="9138" name="列9095"/>
    <tableColumn id="9139" name="列9096"/>
    <tableColumn id="9140" name="列9097"/>
    <tableColumn id="9141" name="列9098"/>
    <tableColumn id="9142" name="列9099"/>
    <tableColumn id="9143" name="列9100"/>
    <tableColumn id="9144" name="列9101"/>
    <tableColumn id="9145" name="列9102"/>
    <tableColumn id="9146" name="列9103"/>
    <tableColumn id="9147" name="列9104"/>
    <tableColumn id="9148" name="列9105"/>
    <tableColumn id="9149" name="列9106"/>
    <tableColumn id="9150" name="列9107"/>
    <tableColumn id="9151" name="列9108"/>
    <tableColumn id="9152" name="列9109"/>
    <tableColumn id="9153" name="列9110"/>
    <tableColumn id="9154" name="列9111"/>
    <tableColumn id="9155" name="列9112"/>
    <tableColumn id="9156" name="列9113"/>
    <tableColumn id="9157" name="列9114"/>
    <tableColumn id="9158" name="列9115"/>
    <tableColumn id="9159" name="列9116"/>
    <tableColumn id="9160" name="列9117"/>
    <tableColumn id="9161" name="列9118"/>
    <tableColumn id="9162" name="列9119"/>
    <tableColumn id="9163" name="列9120"/>
    <tableColumn id="9164" name="列9121"/>
    <tableColumn id="9165" name="列9122"/>
    <tableColumn id="9166" name="列9123"/>
    <tableColumn id="9167" name="列9124"/>
    <tableColumn id="9168" name="列9125"/>
    <tableColumn id="9169" name="列9126"/>
    <tableColumn id="9170" name="列9127"/>
    <tableColumn id="9171" name="列9128"/>
    <tableColumn id="9172" name="列9129"/>
    <tableColumn id="9173" name="列9130"/>
    <tableColumn id="9174" name="列9131"/>
    <tableColumn id="9175" name="列9132"/>
    <tableColumn id="9176" name="列9133"/>
    <tableColumn id="9177" name="列9134"/>
    <tableColumn id="9178" name="列9135"/>
    <tableColumn id="9179" name="列9136"/>
    <tableColumn id="9180" name="列9137"/>
    <tableColumn id="9181" name="列9138"/>
    <tableColumn id="9182" name="列9139"/>
    <tableColumn id="9183" name="列9140"/>
    <tableColumn id="9184" name="列9141"/>
    <tableColumn id="9185" name="列9142"/>
    <tableColumn id="9186" name="列9143"/>
    <tableColumn id="9187" name="列9144"/>
    <tableColumn id="9188" name="列9145"/>
    <tableColumn id="9189" name="列9146"/>
    <tableColumn id="9190" name="列9147"/>
    <tableColumn id="9191" name="列9148"/>
    <tableColumn id="9192" name="列9149"/>
    <tableColumn id="9193" name="列9150"/>
    <tableColumn id="9194" name="列9151"/>
    <tableColumn id="9195" name="列9152"/>
    <tableColumn id="9196" name="列9153"/>
    <tableColumn id="9197" name="列9154"/>
    <tableColumn id="9198" name="列9155"/>
    <tableColumn id="9199" name="列9156"/>
    <tableColumn id="9200" name="列9157"/>
    <tableColumn id="9201" name="列9158"/>
    <tableColumn id="9202" name="列9159"/>
    <tableColumn id="9203" name="列9160"/>
    <tableColumn id="9204" name="列9161"/>
    <tableColumn id="9205" name="列9162"/>
    <tableColumn id="9206" name="列9163"/>
    <tableColumn id="9207" name="列9164"/>
    <tableColumn id="9208" name="列9165"/>
    <tableColumn id="9209" name="列9166"/>
    <tableColumn id="9210" name="列9167"/>
    <tableColumn id="9211" name="列9168"/>
    <tableColumn id="9212" name="列9169"/>
    <tableColumn id="9213" name="列9170"/>
    <tableColumn id="9214" name="列9171"/>
    <tableColumn id="9215" name="列9172"/>
    <tableColumn id="9216" name="列9173"/>
    <tableColumn id="9217" name="列9174"/>
    <tableColumn id="9218" name="列9175"/>
    <tableColumn id="9219" name="列9176"/>
    <tableColumn id="9220" name="列9177"/>
    <tableColumn id="9221" name="列9178"/>
    <tableColumn id="9222" name="列9179"/>
    <tableColumn id="9223" name="列9180"/>
    <tableColumn id="9224" name="列9181"/>
    <tableColumn id="9225" name="列9182"/>
    <tableColumn id="9226" name="列9183"/>
    <tableColumn id="9227" name="列9184"/>
    <tableColumn id="9228" name="列9185"/>
    <tableColumn id="9229" name="列9186"/>
    <tableColumn id="9230" name="列9187"/>
    <tableColumn id="9231" name="列9188"/>
    <tableColumn id="9232" name="列9189"/>
    <tableColumn id="9233" name="列9190"/>
    <tableColumn id="9234" name="列9191"/>
    <tableColumn id="9235" name="列9192"/>
    <tableColumn id="9236" name="列9193"/>
    <tableColumn id="9237" name="列9194"/>
    <tableColumn id="9238" name="列9195"/>
    <tableColumn id="9239" name="列9196"/>
    <tableColumn id="9240" name="列9197"/>
    <tableColumn id="9241" name="列9198"/>
    <tableColumn id="9242" name="列9199"/>
    <tableColumn id="9243" name="列9200"/>
    <tableColumn id="9244" name="列9201"/>
    <tableColumn id="9245" name="列9202"/>
    <tableColumn id="9246" name="列9203"/>
    <tableColumn id="9247" name="列9204"/>
    <tableColumn id="9248" name="列9205"/>
    <tableColumn id="9249" name="列9206"/>
    <tableColumn id="9250" name="列9207"/>
    <tableColumn id="9251" name="列9208"/>
    <tableColumn id="9252" name="列9209"/>
    <tableColumn id="9253" name="列9210"/>
    <tableColumn id="9254" name="列9211"/>
    <tableColumn id="9255" name="列9212"/>
    <tableColumn id="9256" name="列9213"/>
    <tableColumn id="9257" name="列9214"/>
    <tableColumn id="9258" name="列9215"/>
    <tableColumn id="9259" name="列9216"/>
    <tableColumn id="9260" name="列9217"/>
    <tableColumn id="9261" name="列9218"/>
    <tableColumn id="9262" name="列9219"/>
    <tableColumn id="9263" name="列9220"/>
    <tableColumn id="9264" name="列9221"/>
    <tableColumn id="9265" name="列9222"/>
    <tableColumn id="9266" name="列9223"/>
    <tableColumn id="9267" name="列9224"/>
    <tableColumn id="9268" name="列9225"/>
    <tableColumn id="9269" name="列9226"/>
    <tableColumn id="9270" name="列9227"/>
    <tableColumn id="9271" name="列9228"/>
    <tableColumn id="9272" name="列9229"/>
    <tableColumn id="9273" name="列9230"/>
    <tableColumn id="9274" name="列9231"/>
    <tableColumn id="9275" name="列9232"/>
    <tableColumn id="9276" name="列9233"/>
    <tableColumn id="9277" name="列9234"/>
    <tableColumn id="9278" name="列9235"/>
    <tableColumn id="9279" name="列9236"/>
    <tableColumn id="9280" name="列9237"/>
    <tableColumn id="9281" name="列9238"/>
    <tableColumn id="9282" name="列9239"/>
    <tableColumn id="9283" name="列9240"/>
    <tableColumn id="9284" name="列9241"/>
    <tableColumn id="9285" name="列9242"/>
    <tableColumn id="9286" name="列9243"/>
    <tableColumn id="9287" name="列9244"/>
    <tableColumn id="9288" name="列9245"/>
    <tableColumn id="9289" name="列9246"/>
    <tableColumn id="9290" name="列9247"/>
    <tableColumn id="9291" name="列9248"/>
    <tableColumn id="9292" name="列9249"/>
    <tableColumn id="9293" name="列9250"/>
    <tableColumn id="9294" name="列9251"/>
    <tableColumn id="9295" name="列9252"/>
    <tableColumn id="9296" name="列9253"/>
    <tableColumn id="9297" name="列9254"/>
    <tableColumn id="9298" name="列9255"/>
    <tableColumn id="9299" name="列9256"/>
    <tableColumn id="9300" name="列9257"/>
    <tableColumn id="9301" name="列9258"/>
    <tableColumn id="9302" name="列9259"/>
    <tableColumn id="9303" name="列9260"/>
    <tableColumn id="9304" name="列9261"/>
    <tableColumn id="9305" name="列9262"/>
    <tableColumn id="9306" name="列9263"/>
    <tableColumn id="9307" name="列9264"/>
    <tableColumn id="9308" name="列9265"/>
    <tableColumn id="9309" name="列9266"/>
    <tableColumn id="9310" name="列9267"/>
    <tableColumn id="9311" name="列9268"/>
    <tableColumn id="9312" name="列9269"/>
    <tableColumn id="9313" name="列9270"/>
    <tableColumn id="9314" name="列9271"/>
    <tableColumn id="9315" name="列9272"/>
    <tableColumn id="9316" name="列9273"/>
    <tableColumn id="9317" name="列9274"/>
    <tableColumn id="9318" name="列9275"/>
    <tableColumn id="9319" name="列9276"/>
    <tableColumn id="9320" name="列9277"/>
    <tableColumn id="9321" name="列9278"/>
    <tableColumn id="9322" name="列9279"/>
    <tableColumn id="9323" name="列9280"/>
    <tableColumn id="9324" name="列9281"/>
    <tableColumn id="9325" name="列9282"/>
    <tableColumn id="9326" name="列9283"/>
    <tableColumn id="9327" name="列9284"/>
    <tableColumn id="9328" name="列9285"/>
    <tableColumn id="9329" name="列9286"/>
    <tableColumn id="9330" name="列9287"/>
    <tableColumn id="9331" name="列9288"/>
    <tableColumn id="9332" name="列9289"/>
    <tableColumn id="9333" name="列9290"/>
    <tableColumn id="9334" name="列9291"/>
    <tableColumn id="9335" name="列9292"/>
    <tableColumn id="9336" name="列9293"/>
    <tableColumn id="9337" name="列9294"/>
    <tableColumn id="9338" name="列9295"/>
    <tableColumn id="9339" name="列9296"/>
    <tableColumn id="9340" name="列9297"/>
    <tableColumn id="9341" name="列9298"/>
    <tableColumn id="9342" name="列9299"/>
    <tableColumn id="9343" name="列9300"/>
    <tableColumn id="9344" name="列9301"/>
    <tableColumn id="9345" name="列9302"/>
    <tableColumn id="9346" name="列9303"/>
    <tableColumn id="9347" name="列9304"/>
    <tableColumn id="9348" name="列9305"/>
    <tableColumn id="9349" name="列9306"/>
    <tableColumn id="9350" name="列9307"/>
    <tableColumn id="9351" name="列9308"/>
    <tableColumn id="9352" name="列9309"/>
    <tableColumn id="9353" name="列9310"/>
    <tableColumn id="9354" name="列9311"/>
    <tableColumn id="9355" name="列9312"/>
    <tableColumn id="9356" name="列9313"/>
    <tableColumn id="9357" name="列9314"/>
    <tableColumn id="9358" name="列9315"/>
    <tableColumn id="9359" name="列9316"/>
    <tableColumn id="9360" name="列9317"/>
    <tableColumn id="9361" name="列9318"/>
    <tableColumn id="9362" name="列9319"/>
    <tableColumn id="9363" name="列9320"/>
    <tableColumn id="9364" name="列9321"/>
    <tableColumn id="9365" name="列9322"/>
    <tableColumn id="9366" name="列9323"/>
    <tableColumn id="9367" name="列9324"/>
    <tableColumn id="9368" name="列9325"/>
    <tableColumn id="9369" name="列9326"/>
    <tableColumn id="9370" name="列9327"/>
    <tableColumn id="9371" name="列9328"/>
    <tableColumn id="9372" name="列9329"/>
    <tableColumn id="9373" name="列9330"/>
    <tableColumn id="9374" name="列9331"/>
    <tableColumn id="9375" name="列9332"/>
    <tableColumn id="9376" name="列9333"/>
    <tableColumn id="9377" name="列9334"/>
    <tableColumn id="9378" name="列9335"/>
    <tableColumn id="9379" name="列9336"/>
    <tableColumn id="9380" name="列9337"/>
    <tableColumn id="9381" name="列9338"/>
    <tableColumn id="9382" name="列9339"/>
    <tableColumn id="9383" name="列9340"/>
    <tableColumn id="9384" name="列9341"/>
    <tableColumn id="9385" name="列9342"/>
    <tableColumn id="9386" name="列9343"/>
    <tableColumn id="9387" name="列9344"/>
    <tableColumn id="9388" name="列9345"/>
    <tableColumn id="9389" name="列9346"/>
    <tableColumn id="9390" name="列9347"/>
    <tableColumn id="9391" name="列9348"/>
    <tableColumn id="9392" name="列9349"/>
    <tableColumn id="9393" name="列9350"/>
    <tableColumn id="9394" name="列9351"/>
    <tableColumn id="9395" name="列9352"/>
    <tableColumn id="9396" name="列9353"/>
    <tableColumn id="9397" name="列9354"/>
    <tableColumn id="9398" name="列9355"/>
    <tableColumn id="9399" name="列9356"/>
    <tableColumn id="9400" name="列9357"/>
    <tableColumn id="9401" name="列9358"/>
    <tableColumn id="9402" name="列9359"/>
    <tableColumn id="9403" name="列9360"/>
    <tableColumn id="9404" name="列9361"/>
    <tableColumn id="9405" name="列9362"/>
    <tableColumn id="9406" name="列9363"/>
    <tableColumn id="9407" name="列9364"/>
    <tableColumn id="9408" name="列9365"/>
    <tableColumn id="9409" name="列9366"/>
    <tableColumn id="9410" name="列9367"/>
    <tableColumn id="9411" name="列9368"/>
    <tableColumn id="9412" name="列9369"/>
    <tableColumn id="9413" name="列9370"/>
    <tableColumn id="9414" name="列9371"/>
    <tableColumn id="9415" name="列9372"/>
    <tableColumn id="9416" name="列9373"/>
    <tableColumn id="9417" name="列9374"/>
    <tableColumn id="9418" name="列9375"/>
    <tableColumn id="9419" name="列9376"/>
    <tableColumn id="9420" name="列9377"/>
    <tableColumn id="9421" name="列9378"/>
    <tableColumn id="9422" name="列9379"/>
    <tableColumn id="9423" name="列9380"/>
    <tableColumn id="9424" name="列9381"/>
    <tableColumn id="9425" name="列9382"/>
    <tableColumn id="9426" name="列9383"/>
    <tableColumn id="9427" name="列9384"/>
    <tableColumn id="9428" name="列9385"/>
    <tableColumn id="9429" name="列9386"/>
    <tableColumn id="9430" name="列9387"/>
    <tableColumn id="9431" name="列9388"/>
    <tableColumn id="9432" name="列9389"/>
    <tableColumn id="9433" name="列9390"/>
    <tableColumn id="9434" name="列9391"/>
    <tableColumn id="9435" name="列9392"/>
    <tableColumn id="9436" name="列9393"/>
    <tableColumn id="9437" name="列9394"/>
    <tableColumn id="9438" name="列9395"/>
    <tableColumn id="9439" name="列9396"/>
    <tableColumn id="9440" name="列9397"/>
    <tableColumn id="9441" name="列9398"/>
    <tableColumn id="9442" name="列9399"/>
    <tableColumn id="9443" name="列9400"/>
    <tableColumn id="9444" name="列9401"/>
    <tableColumn id="9445" name="列9402"/>
    <tableColumn id="9446" name="列9403"/>
    <tableColumn id="9447" name="列9404"/>
    <tableColumn id="9448" name="列9405"/>
    <tableColumn id="9449" name="列9406"/>
    <tableColumn id="9450" name="列9407"/>
    <tableColumn id="9451" name="列9408"/>
    <tableColumn id="9452" name="列9409"/>
    <tableColumn id="9453" name="列9410"/>
    <tableColumn id="9454" name="列9411"/>
    <tableColumn id="9455" name="列9412"/>
    <tableColumn id="9456" name="列9413"/>
    <tableColumn id="9457" name="列9414"/>
    <tableColumn id="9458" name="列9415"/>
    <tableColumn id="9459" name="列9416"/>
    <tableColumn id="9460" name="列9417"/>
    <tableColumn id="9461" name="列9418"/>
    <tableColumn id="9462" name="列9419"/>
    <tableColumn id="9463" name="列9420"/>
    <tableColumn id="9464" name="列9421"/>
    <tableColumn id="9465" name="列9422"/>
    <tableColumn id="9466" name="列9423"/>
    <tableColumn id="9467" name="列9424"/>
    <tableColumn id="9468" name="列9425"/>
    <tableColumn id="9469" name="列9426"/>
    <tableColumn id="9470" name="列9427"/>
    <tableColumn id="9471" name="列9428"/>
    <tableColumn id="9472" name="列9429"/>
    <tableColumn id="9473" name="列9430"/>
    <tableColumn id="9474" name="列9431"/>
    <tableColumn id="9475" name="列9432"/>
    <tableColumn id="9476" name="列9433"/>
    <tableColumn id="9477" name="列9434"/>
    <tableColumn id="9478" name="列9435"/>
    <tableColumn id="9479" name="列9436"/>
    <tableColumn id="9480" name="列9437"/>
    <tableColumn id="9481" name="列9438"/>
    <tableColumn id="9482" name="列9439"/>
    <tableColumn id="9483" name="列9440"/>
    <tableColumn id="9484" name="列9441"/>
    <tableColumn id="9485" name="列9442"/>
    <tableColumn id="9486" name="列9443"/>
    <tableColumn id="9487" name="列9444"/>
    <tableColumn id="9488" name="列9445"/>
    <tableColumn id="9489" name="列9446"/>
    <tableColumn id="9490" name="列9447"/>
    <tableColumn id="9491" name="列9448"/>
    <tableColumn id="9492" name="列9449"/>
    <tableColumn id="9493" name="列9450"/>
    <tableColumn id="9494" name="列9451"/>
    <tableColumn id="9495" name="列9452"/>
    <tableColumn id="9496" name="列9453"/>
    <tableColumn id="9497" name="列9454"/>
    <tableColumn id="9498" name="列9455"/>
    <tableColumn id="9499" name="列9456"/>
    <tableColumn id="9500" name="列9457"/>
    <tableColumn id="9501" name="列9458"/>
    <tableColumn id="9502" name="列9459"/>
    <tableColumn id="9503" name="列9460"/>
    <tableColumn id="9504" name="列9461"/>
    <tableColumn id="9505" name="列9462"/>
    <tableColumn id="9506" name="列9463"/>
    <tableColumn id="9507" name="列9464"/>
    <tableColumn id="9508" name="列9465"/>
    <tableColumn id="9509" name="列9466"/>
    <tableColumn id="9510" name="列9467"/>
    <tableColumn id="9511" name="列9468"/>
    <tableColumn id="9512" name="列9469"/>
    <tableColumn id="9513" name="列9470"/>
    <tableColumn id="9514" name="列9471"/>
    <tableColumn id="9515" name="列9472"/>
    <tableColumn id="9516" name="列9473"/>
    <tableColumn id="9517" name="列9474"/>
    <tableColumn id="9518" name="列9475"/>
    <tableColumn id="9519" name="列9476"/>
    <tableColumn id="9520" name="列9477"/>
    <tableColumn id="9521" name="列9478"/>
    <tableColumn id="9522" name="列9479"/>
    <tableColumn id="9523" name="列9480"/>
    <tableColumn id="9524" name="列9481"/>
    <tableColumn id="9525" name="列9482"/>
    <tableColumn id="9526" name="列9483"/>
    <tableColumn id="9527" name="列9484"/>
    <tableColumn id="9528" name="列9485"/>
    <tableColumn id="9529" name="列9486"/>
    <tableColumn id="9530" name="列9487"/>
    <tableColumn id="9531" name="列9488"/>
    <tableColumn id="9532" name="列9489"/>
    <tableColumn id="9533" name="列9490"/>
    <tableColumn id="9534" name="列9491"/>
    <tableColumn id="9535" name="列9492"/>
    <tableColumn id="9536" name="列9493"/>
    <tableColumn id="9537" name="列9494"/>
    <tableColumn id="9538" name="列9495"/>
    <tableColumn id="9539" name="列9496"/>
    <tableColumn id="9540" name="列9497"/>
    <tableColumn id="9541" name="列9498"/>
    <tableColumn id="9542" name="列9499"/>
    <tableColumn id="9543" name="列9500"/>
    <tableColumn id="9544" name="列9501"/>
    <tableColumn id="9545" name="列9502"/>
    <tableColumn id="9546" name="列9503"/>
    <tableColumn id="9547" name="列9504"/>
    <tableColumn id="9548" name="列9505"/>
    <tableColumn id="9549" name="列9506"/>
    <tableColumn id="9550" name="列9507"/>
    <tableColumn id="9551" name="列9508"/>
    <tableColumn id="9552" name="列9509"/>
    <tableColumn id="9553" name="列9510"/>
    <tableColumn id="9554" name="列9511"/>
    <tableColumn id="9555" name="列9512"/>
    <tableColumn id="9556" name="列9513"/>
    <tableColumn id="9557" name="列9514"/>
    <tableColumn id="9558" name="列9515"/>
    <tableColumn id="9559" name="列9516"/>
    <tableColumn id="9560" name="列9517"/>
    <tableColumn id="9561" name="列9518"/>
    <tableColumn id="9562" name="列9519"/>
    <tableColumn id="9563" name="列9520"/>
    <tableColumn id="9564" name="列9521"/>
    <tableColumn id="9565" name="列9522"/>
    <tableColumn id="9566" name="列9523"/>
    <tableColumn id="9567" name="列9524"/>
    <tableColumn id="9568" name="列9525"/>
    <tableColumn id="9569" name="列9526"/>
    <tableColumn id="9570" name="列9527"/>
    <tableColumn id="9571" name="列9528"/>
    <tableColumn id="9572" name="列9529"/>
    <tableColumn id="9573" name="列9530"/>
    <tableColumn id="9574" name="列9531"/>
    <tableColumn id="9575" name="列9532"/>
    <tableColumn id="9576" name="列9533"/>
    <tableColumn id="9577" name="列9534"/>
    <tableColumn id="9578" name="列9535"/>
    <tableColumn id="9579" name="列9536"/>
    <tableColumn id="9580" name="列9537"/>
    <tableColumn id="9581" name="列9538"/>
    <tableColumn id="9582" name="列9539"/>
    <tableColumn id="9583" name="列9540"/>
    <tableColumn id="9584" name="列9541"/>
    <tableColumn id="9585" name="列9542"/>
    <tableColumn id="9586" name="列9543"/>
    <tableColumn id="9587" name="列9544"/>
    <tableColumn id="9588" name="列9545"/>
    <tableColumn id="9589" name="列9546"/>
    <tableColumn id="9590" name="列9547"/>
    <tableColumn id="9591" name="列9548"/>
    <tableColumn id="9592" name="列9549"/>
    <tableColumn id="9593" name="列9550"/>
    <tableColumn id="9594" name="列9551"/>
    <tableColumn id="9595" name="列9552"/>
    <tableColumn id="9596" name="列9553"/>
    <tableColumn id="9597" name="列9554"/>
    <tableColumn id="9598" name="列9555"/>
    <tableColumn id="9599" name="列9556"/>
    <tableColumn id="9600" name="列9557"/>
    <tableColumn id="9601" name="列9558"/>
    <tableColumn id="9602" name="列9559"/>
    <tableColumn id="9603" name="列9560"/>
    <tableColumn id="9604" name="列9561"/>
    <tableColumn id="9605" name="列9562"/>
    <tableColumn id="9606" name="列9563"/>
    <tableColumn id="9607" name="列9564"/>
    <tableColumn id="9608" name="列9565"/>
    <tableColumn id="9609" name="列9566"/>
    <tableColumn id="9610" name="列9567"/>
    <tableColumn id="9611" name="列9568"/>
    <tableColumn id="9612" name="列9569"/>
    <tableColumn id="9613" name="列9570"/>
    <tableColumn id="9614" name="列9571"/>
    <tableColumn id="9615" name="列9572"/>
    <tableColumn id="9616" name="列9573"/>
    <tableColumn id="9617" name="列9574"/>
    <tableColumn id="9618" name="列9575"/>
    <tableColumn id="9619" name="列9576"/>
    <tableColumn id="9620" name="列9577"/>
    <tableColumn id="9621" name="列9578"/>
    <tableColumn id="9622" name="列9579"/>
    <tableColumn id="9623" name="列9580"/>
    <tableColumn id="9624" name="列9581"/>
    <tableColumn id="9625" name="列9582"/>
    <tableColumn id="9626" name="列9583"/>
    <tableColumn id="9627" name="列9584"/>
    <tableColumn id="9628" name="列9585"/>
    <tableColumn id="9629" name="列9586"/>
    <tableColumn id="9630" name="列9587"/>
    <tableColumn id="9631" name="列9588"/>
    <tableColumn id="9632" name="列9589"/>
    <tableColumn id="9633" name="列9590"/>
    <tableColumn id="9634" name="列9591"/>
    <tableColumn id="9635" name="列9592"/>
    <tableColumn id="9636" name="列9593"/>
    <tableColumn id="9637" name="列9594"/>
    <tableColumn id="9638" name="列9595"/>
    <tableColumn id="9639" name="列9596"/>
    <tableColumn id="9640" name="列9597"/>
    <tableColumn id="9641" name="列9598"/>
    <tableColumn id="9642" name="列9599"/>
    <tableColumn id="9643" name="列9600"/>
    <tableColumn id="9644" name="列9601"/>
    <tableColumn id="9645" name="列9602"/>
    <tableColumn id="9646" name="列9603"/>
    <tableColumn id="9647" name="列9604"/>
    <tableColumn id="9648" name="列9605"/>
    <tableColumn id="9649" name="列9606"/>
    <tableColumn id="9650" name="列9607"/>
    <tableColumn id="9651" name="列9608"/>
    <tableColumn id="9652" name="列9609"/>
    <tableColumn id="9653" name="列9610"/>
    <tableColumn id="9654" name="列9611"/>
    <tableColumn id="9655" name="列9612"/>
    <tableColumn id="9656" name="列9613"/>
    <tableColumn id="9657" name="列9614"/>
    <tableColumn id="9658" name="列9615"/>
    <tableColumn id="9659" name="列9616"/>
    <tableColumn id="9660" name="列9617"/>
    <tableColumn id="9661" name="列9618"/>
    <tableColumn id="9662" name="列9619"/>
    <tableColumn id="9663" name="列9620"/>
    <tableColumn id="9664" name="列9621"/>
    <tableColumn id="9665" name="列9622"/>
    <tableColumn id="9666" name="列9623"/>
    <tableColumn id="9667" name="列9624"/>
    <tableColumn id="9668" name="列9625"/>
    <tableColumn id="9669" name="列9626"/>
    <tableColumn id="9670" name="列9627"/>
    <tableColumn id="9671" name="列9628"/>
    <tableColumn id="9672" name="列9629"/>
    <tableColumn id="9673" name="列9630"/>
    <tableColumn id="9674" name="列9631"/>
    <tableColumn id="9675" name="列9632"/>
    <tableColumn id="9676" name="列9633"/>
    <tableColumn id="9677" name="列9634"/>
    <tableColumn id="9678" name="列9635"/>
    <tableColumn id="9679" name="列9636"/>
    <tableColumn id="9680" name="列9637"/>
    <tableColumn id="9681" name="列9638"/>
    <tableColumn id="9682" name="列9639"/>
    <tableColumn id="9683" name="列9640"/>
    <tableColumn id="9684" name="列9641"/>
    <tableColumn id="9685" name="列9642"/>
    <tableColumn id="9686" name="列9643"/>
    <tableColumn id="9687" name="列9644"/>
    <tableColumn id="9688" name="列9645"/>
    <tableColumn id="9689" name="列9646"/>
    <tableColumn id="9690" name="列9647"/>
    <tableColumn id="9691" name="列9648"/>
    <tableColumn id="9692" name="列9649"/>
    <tableColumn id="9693" name="列9650"/>
    <tableColumn id="9694" name="列9651"/>
    <tableColumn id="9695" name="列9652"/>
    <tableColumn id="9696" name="列9653"/>
    <tableColumn id="9697" name="列9654"/>
    <tableColumn id="9698" name="列9655"/>
    <tableColumn id="9699" name="列9656"/>
    <tableColumn id="9700" name="列9657"/>
    <tableColumn id="9701" name="列9658"/>
    <tableColumn id="9702" name="列9659"/>
    <tableColumn id="9703" name="列9660"/>
    <tableColumn id="9704" name="列9661"/>
    <tableColumn id="9705" name="列9662"/>
    <tableColumn id="9706" name="列9663"/>
    <tableColumn id="9707" name="列9664"/>
    <tableColumn id="9708" name="列9665"/>
    <tableColumn id="9709" name="列9666"/>
    <tableColumn id="9710" name="列9667"/>
    <tableColumn id="9711" name="列9668"/>
    <tableColumn id="9712" name="列9669"/>
    <tableColumn id="9713" name="列9670"/>
    <tableColumn id="9714" name="列9671"/>
    <tableColumn id="9715" name="列9672"/>
    <tableColumn id="9716" name="列9673"/>
    <tableColumn id="9717" name="列9674"/>
    <tableColumn id="9718" name="列9675"/>
    <tableColumn id="9719" name="列9676"/>
    <tableColumn id="9720" name="列9677"/>
    <tableColumn id="9721" name="列9678"/>
    <tableColumn id="9722" name="列9679"/>
    <tableColumn id="9723" name="列9680"/>
    <tableColumn id="9724" name="列9681"/>
    <tableColumn id="9725" name="列9682"/>
    <tableColumn id="9726" name="列9683"/>
    <tableColumn id="9727" name="列9684"/>
    <tableColumn id="9728" name="列9685"/>
    <tableColumn id="9729" name="列9686"/>
    <tableColumn id="9730" name="列9687"/>
    <tableColumn id="9731" name="列9688"/>
    <tableColumn id="9732" name="列9689"/>
    <tableColumn id="9733" name="列9690"/>
    <tableColumn id="9734" name="列9691"/>
    <tableColumn id="9735" name="列9692"/>
    <tableColumn id="9736" name="列9693"/>
    <tableColumn id="9737" name="列9694"/>
    <tableColumn id="9738" name="列9695"/>
    <tableColumn id="9739" name="列9696"/>
    <tableColumn id="9740" name="列9697"/>
    <tableColumn id="9741" name="列9698"/>
    <tableColumn id="9742" name="列9699"/>
    <tableColumn id="9743" name="列9700"/>
    <tableColumn id="9744" name="列9701"/>
    <tableColumn id="9745" name="列9702"/>
    <tableColumn id="9746" name="列9703"/>
    <tableColumn id="9747" name="列9704"/>
    <tableColumn id="9748" name="列9705"/>
    <tableColumn id="9749" name="列9706"/>
    <tableColumn id="9750" name="列9707"/>
    <tableColumn id="9751" name="列9708"/>
    <tableColumn id="9752" name="列9709"/>
    <tableColumn id="9753" name="列9710"/>
    <tableColumn id="9754" name="列9711"/>
    <tableColumn id="9755" name="列9712"/>
    <tableColumn id="9756" name="列9713"/>
    <tableColumn id="9757" name="列9714"/>
    <tableColumn id="9758" name="列9715"/>
    <tableColumn id="9759" name="列9716"/>
    <tableColumn id="9760" name="列9717"/>
    <tableColumn id="9761" name="列9718"/>
    <tableColumn id="9762" name="列9719"/>
    <tableColumn id="9763" name="列9720"/>
    <tableColumn id="9764" name="列9721"/>
    <tableColumn id="9765" name="列9722"/>
    <tableColumn id="9766" name="列9723"/>
    <tableColumn id="9767" name="列9724"/>
    <tableColumn id="9768" name="列9725"/>
    <tableColumn id="9769" name="列9726"/>
    <tableColumn id="9770" name="列9727"/>
    <tableColumn id="9771" name="列9728"/>
    <tableColumn id="9772" name="列9729"/>
    <tableColumn id="9773" name="列9730"/>
    <tableColumn id="9774" name="列9731"/>
    <tableColumn id="9775" name="列9732"/>
    <tableColumn id="9776" name="列9733"/>
    <tableColumn id="9777" name="列9734"/>
    <tableColumn id="9778" name="列9735"/>
    <tableColumn id="9779" name="列9736"/>
    <tableColumn id="9780" name="列9737"/>
    <tableColumn id="9781" name="列9738"/>
    <tableColumn id="9782" name="列9739"/>
    <tableColumn id="9783" name="列9740"/>
    <tableColumn id="9784" name="列9741"/>
    <tableColumn id="9785" name="列9742"/>
    <tableColumn id="9786" name="列9743"/>
    <tableColumn id="9787" name="列9744"/>
    <tableColumn id="9788" name="列9745"/>
    <tableColumn id="9789" name="列9746"/>
    <tableColumn id="9790" name="列9747"/>
    <tableColumn id="9791" name="列9748"/>
    <tableColumn id="9792" name="列9749"/>
    <tableColumn id="9793" name="列9750"/>
    <tableColumn id="9794" name="列9751"/>
    <tableColumn id="9795" name="列9752"/>
    <tableColumn id="9796" name="列9753"/>
    <tableColumn id="9797" name="列9754"/>
    <tableColumn id="9798" name="列9755"/>
    <tableColumn id="9799" name="列9756"/>
    <tableColumn id="9800" name="列9757"/>
    <tableColumn id="9801" name="列9758"/>
    <tableColumn id="9802" name="列9759"/>
    <tableColumn id="9803" name="列9760"/>
    <tableColumn id="9804" name="列9761"/>
    <tableColumn id="9805" name="列9762"/>
    <tableColumn id="9806" name="列9763"/>
    <tableColumn id="9807" name="列9764"/>
    <tableColumn id="9808" name="列9765"/>
    <tableColumn id="9809" name="列9766"/>
    <tableColumn id="9810" name="列9767"/>
    <tableColumn id="9811" name="列9768"/>
    <tableColumn id="9812" name="列9769"/>
    <tableColumn id="9813" name="列9770"/>
    <tableColumn id="9814" name="列9771"/>
    <tableColumn id="9815" name="列9772"/>
    <tableColumn id="9816" name="列9773"/>
    <tableColumn id="9817" name="列9774"/>
    <tableColumn id="9818" name="列9775"/>
    <tableColumn id="9819" name="列9776"/>
    <tableColumn id="9820" name="列9777"/>
    <tableColumn id="9821" name="列9778"/>
    <tableColumn id="9822" name="列9779"/>
    <tableColumn id="9823" name="列9780"/>
    <tableColumn id="9824" name="列9781"/>
    <tableColumn id="9825" name="列9782"/>
    <tableColumn id="9826" name="列9783"/>
    <tableColumn id="9827" name="列9784"/>
    <tableColumn id="9828" name="列9785"/>
    <tableColumn id="9829" name="列9786"/>
    <tableColumn id="9830" name="列9787"/>
    <tableColumn id="9831" name="列9788"/>
    <tableColumn id="9832" name="列9789"/>
    <tableColumn id="9833" name="列9790"/>
    <tableColumn id="9834" name="列9791"/>
    <tableColumn id="9835" name="列9792"/>
    <tableColumn id="9836" name="列9793"/>
    <tableColumn id="9837" name="列9794"/>
    <tableColumn id="9838" name="列9795"/>
    <tableColumn id="9839" name="列9796"/>
    <tableColumn id="9840" name="列9797"/>
    <tableColumn id="9841" name="列9798"/>
    <tableColumn id="9842" name="列9799"/>
    <tableColumn id="9843" name="列9800"/>
    <tableColumn id="9844" name="列9801"/>
    <tableColumn id="9845" name="列9802"/>
    <tableColumn id="9846" name="列9803"/>
    <tableColumn id="9847" name="列9804"/>
    <tableColumn id="9848" name="列9805"/>
    <tableColumn id="9849" name="列9806"/>
    <tableColumn id="9850" name="列9807"/>
    <tableColumn id="9851" name="列9808"/>
    <tableColumn id="9852" name="列9809"/>
    <tableColumn id="9853" name="列9810"/>
    <tableColumn id="9854" name="列9811"/>
    <tableColumn id="9855" name="列9812"/>
    <tableColumn id="9856" name="列9813"/>
    <tableColumn id="9857" name="列9814"/>
    <tableColumn id="9858" name="列9815"/>
    <tableColumn id="9859" name="列9816"/>
    <tableColumn id="9860" name="列9817"/>
    <tableColumn id="9861" name="列9818"/>
    <tableColumn id="9862" name="列9819"/>
    <tableColumn id="9863" name="列9820"/>
    <tableColumn id="9864" name="列9821"/>
    <tableColumn id="9865" name="列9822"/>
    <tableColumn id="9866" name="列9823"/>
    <tableColumn id="9867" name="列9824"/>
    <tableColumn id="9868" name="列9825"/>
    <tableColumn id="9869" name="列9826"/>
    <tableColumn id="9870" name="列9827"/>
    <tableColumn id="9871" name="列9828"/>
    <tableColumn id="9872" name="列9829"/>
    <tableColumn id="9873" name="列9830"/>
    <tableColumn id="9874" name="列9831"/>
    <tableColumn id="9875" name="列9832"/>
    <tableColumn id="9876" name="列9833"/>
    <tableColumn id="9877" name="列9834"/>
    <tableColumn id="9878" name="列9835"/>
    <tableColumn id="9879" name="列9836"/>
    <tableColumn id="9880" name="列9837"/>
    <tableColumn id="9881" name="列9838"/>
    <tableColumn id="9882" name="列9839"/>
    <tableColumn id="9883" name="列9840"/>
    <tableColumn id="9884" name="列9841"/>
    <tableColumn id="9885" name="列9842"/>
    <tableColumn id="9886" name="列9843"/>
    <tableColumn id="9887" name="列9844"/>
    <tableColumn id="9888" name="列9845"/>
    <tableColumn id="9889" name="列9846"/>
    <tableColumn id="9890" name="列9847"/>
    <tableColumn id="9891" name="列9848"/>
    <tableColumn id="9892" name="列9849"/>
    <tableColumn id="9893" name="列9850"/>
    <tableColumn id="9894" name="列9851"/>
    <tableColumn id="9895" name="列9852"/>
    <tableColumn id="9896" name="列9853"/>
    <tableColumn id="9897" name="列9854"/>
    <tableColumn id="9898" name="列9855"/>
    <tableColumn id="9899" name="列9856"/>
    <tableColumn id="9900" name="列9857"/>
    <tableColumn id="9901" name="列9858"/>
    <tableColumn id="9902" name="列9859"/>
    <tableColumn id="9903" name="列9860"/>
    <tableColumn id="9904" name="列9861"/>
    <tableColumn id="9905" name="列9862"/>
    <tableColumn id="9906" name="列9863"/>
    <tableColumn id="9907" name="列9864"/>
    <tableColumn id="9908" name="列9865"/>
    <tableColumn id="9909" name="列9866"/>
    <tableColumn id="9910" name="列9867"/>
    <tableColumn id="9911" name="列9868"/>
    <tableColumn id="9912" name="列9869"/>
    <tableColumn id="9913" name="列9870"/>
    <tableColumn id="9914" name="列9871"/>
    <tableColumn id="9915" name="列9872"/>
    <tableColumn id="9916" name="列9873"/>
    <tableColumn id="9917" name="列9874"/>
    <tableColumn id="9918" name="列9875"/>
    <tableColumn id="9919" name="列9876"/>
    <tableColumn id="9920" name="列9877"/>
    <tableColumn id="9921" name="列9878"/>
    <tableColumn id="9922" name="列9879"/>
    <tableColumn id="9923" name="列9880"/>
    <tableColumn id="9924" name="列9881"/>
    <tableColumn id="9925" name="列9882"/>
    <tableColumn id="9926" name="列9883"/>
    <tableColumn id="9927" name="列9884"/>
    <tableColumn id="9928" name="列9885"/>
    <tableColumn id="9929" name="列9886"/>
    <tableColumn id="9930" name="列9887"/>
    <tableColumn id="9931" name="列9888"/>
    <tableColumn id="9932" name="列9889"/>
    <tableColumn id="9933" name="列9890"/>
    <tableColumn id="9934" name="列9891"/>
    <tableColumn id="9935" name="列9892"/>
    <tableColumn id="9936" name="列9893"/>
    <tableColumn id="9937" name="列9894"/>
    <tableColumn id="9938" name="列9895"/>
    <tableColumn id="9939" name="列9896"/>
    <tableColumn id="9940" name="列9897"/>
    <tableColumn id="9941" name="列9898"/>
    <tableColumn id="9942" name="列9899"/>
    <tableColumn id="9943" name="列9900"/>
    <tableColumn id="9944" name="列9901"/>
    <tableColumn id="9945" name="列9902"/>
    <tableColumn id="9946" name="列9903"/>
    <tableColumn id="9947" name="列9904"/>
    <tableColumn id="9948" name="列9905"/>
    <tableColumn id="9949" name="列9906"/>
    <tableColumn id="9950" name="列9907"/>
    <tableColumn id="9951" name="列9908"/>
    <tableColumn id="9952" name="列9909"/>
    <tableColumn id="9953" name="列9910"/>
    <tableColumn id="9954" name="列9911"/>
    <tableColumn id="9955" name="列9912"/>
    <tableColumn id="9956" name="列9913"/>
    <tableColumn id="9957" name="列9914"/>
    <tableColumn id="9958" name="列9915"/>
    <tableColumn id="9959" name="列9916"/>
    <tableColumn id="9960" name="列9917"/>
    <tableColumn id="9961" name="列9918"/>
    <tableColumn id="9962" name="列9919"/>
    <tableColumn id="9963" name="列9920"/>
    <tableColumn id="9964" name="列9921"/>
    <tableColumn id="9965" name="列9922"/>
    <tableColumn id="9966" name="列9923"/>
    <tableColumn id="9967" name="列9924"/>
    <tableColumn id="9968" name="列9925"/>
    <tableColumn id="9969" name="列9926"/>
    <tableColumn id="9970" name="列9927"/>
    <tableColumn id="9971" name="列9928"/>
    <tableColumn id="9972" name="列9929"/>
    <tableColumn id="9973" name="列9930"/>
    <tableColumn id="9974" name="列9931"/>
    <tableColumn id="9975" name="列9932"/>
    <tableColumn id="9976" name="列9933"/>
    <tableColumn id="9977" name="列9934"/>
    <tableColumn id="9978" name="列9935"/>
    <tableColumn id="9979" name="列9936"/>
    <tableColumn id="9980" name="列9937"/>
    <tableColumn id="9981" name="列9938"/>
    <tableColumn id="9982" name="列9939"/>
    <tableColumn id="9983" name="列9940"/>
    <tableColumn id="9984" name="列9941"/>
    <tableColumn id="9985" name="列9942"/>
    <tableColumn id="9986" name="列9943"/>
    <tableColumn id="9987" name="列9944"/>
    <tableColumn id="9988" name="列9945"/>
    <tableColumn id="9989" name="列9946"/>
    <tableColumn id="9990" name="列9947"/>
    <tableColumn id="9991" name="列9948"/>
    <tableColumn id="9992" name="列9949"/>
    <tableColumn id="9993" name="列9950"/>
    <tableColumn id="9994" name="列9951"/>
    <tableColumn id="9995" name="列9952"/>
    <tableColumn id="9996" name="列9953"/>
    <tableColumn id="9997" name="列9954"/>
    <tableColumn id="9998" name="列9955"/>
    <tableColumn id="9999" name="列9956"/>
    <tableColumn id="10000" name="列9957"/>
    <tableColumn id="10001" name="列9958"/>
    <tableColumn id="10002" name="列9959"/>
    <tableColumn id="10003" name="列9960"/>
    <tableColumn id="10004" name="列9961"/>
    <tableColumn id="10005" name="列9962"/>
    <tableColumn id="10006" name="列9963"/>
    <tableColumn id="10007" name="列9964"/>
    <tableColumn id="10008" name="列9965"/>
    <tableColumn id="10009" name="列9966"/>
    <tableColumn id="10010" name="列9967"/>
    <tableColumn id="10011" name="列9968"/>
    <tableColumn id="10012" name="列9969"/>
    <tableColumn id="10013" name="列9970"/>
    <tableColumn id="10014" name="列9971"/>
    <tableColumn id="10015" name="列9972"/>
    <tableColumn id="10016" name="列9973"/>
    <tableColumn id="10017" name="列9974"/>
    <tableColumn id="10018" name="列9975"/>
    <tableColumn id="10019" name="列9976"/>
    <tableColumn id="10020" name="列9977"/>
    <tableColumn id="10021" name="列9978"/>
    <tableColumn id="10022" name="列9979"/>
    <tableColumn id="10023" name="列9980"/>
    <tableColumn id="10024" name="列9981"/>
    <tableColumn id="10025" name="列9982"/>
    <tableColumn id="10026" name="列9983"/>
    <tableColumn id="10027" name="列9984"/>
    <tableColumn id="10028" name="列9985"/>
    <tableColumn id="10029" name="列9986"/>
    <tableColumn id="10030" name="列9987"/>
    <tableColumn id="10031" name="列9988"/>
    <tableColumn id="10032" name="列9989"/>
    <tableColumn id="10033" name="列9990"/>
    <tableColumn id="10034" name="列9991"/>
    <tableColumn id="10035" name="列9992"/>
    <tableColumn id="10036" name="列9993"/>
    <tableColumn id="10037" name="列9994"/>
    <tableColumn id="10038" name="列9995"/>
    <tableColumn id="10039" name="列9996"/>
    <tableColumn id="10040" name="列9997"/>
    <tableColumn id="10041" name="列9998"/>
    <tableColumn id="10042" name="列9999"/>
    <tableColumn id="10043" name="列10000"/>
    <tableColumn id="10044" name="列10001"/>
    <tableColumn id="10045" name="列10002"/>
    <tableColumn id="10046" name="列10003"/>
    <tableColumn id="10047" name="列10004"/>
    <tableColumn id="10048" name="列10005"/>
    <tableColumn id="10049" name="列10006"/>
    <tableColumn id="10050" name="列10007"/>
    <tableColumn id="10051" name="列10008"/>
    <tableColumn id="10052" name="列10009"/>
    <tableColumn id="10053" name="列10010"/>
    <tableColumn id="10054" name="列10011"/>
    <tableColumn id="10055" name="列10012"/>
    <tableColumn id="10056" name="列10013"/>
    <tableColumn id="10057" name="列10014"/>
    <tableColumn id="10058" name="列10015"/>
    <tableColumn id="10059" name="列10016"/>
    <tableColumn id="10060" name="列10017"/>
    <tableColumn id="10061" name="列10018"/>
    <tableColumn id="10062" name="列10019"/>
    <tableColumn id="10063" name="列10020"/>
    <tableColumn id="10064" name="列10021"/>
    <tableColumn id="10065" name="列10022"/>
    <tableColumn id="10066" name="列10023"/>
    <tableColumn id="10067" name="列10024"/>
    <tableColumn id="10068" name="列10025"/>
    <tableColumn id="10069" name="列10026"/>
    <tableColumn id="10070" name="列10027"/>
    <tableColumn id="10071" name="列10028"/>
    <tableColumn id="10072" name="列10029"/>
    <tableColumn id="10073" name="列10030"/>
    <tableColumn id="10074" name="列10031"/>
    <tableColumn id="10075" name="列10032"/>
    <tableColumn id="10076" name="列10033"/>
    <tableColumn id="10077" name="列10034"/>
    <tableColumn id="10078" name="列10035"/>
    <tableColumn id="10079" name="列10036"/>
    <tableColumn id="10080" name="列10037"/>
    <tableColumn id="10081" name="列10038"/>
    <tableColumn id="10082" name="列10039"/>
    <tableColumn id="10083" name="列10040"/>
    <tableColumn id="10084" name="列10041"/>
    <tableColumn id="10085" name="列10042"/>
    <tableColumn id="10086" name="列10043"/>
    <tableColumn id="10087" name="列10044"/>
    <tableColumn id="10088" name="列10045"/>
    <tableColumn id="10089" name="列10046"/>
    <tableColumn id="10090" name="列10047"/>
    <tableColumn id="10091" name="列10048"/>
    <tableColumn id="10092" name="列10049"/>
    <tableColumn id="10093" name="列10050"/>
    <tableColumn id="10094" name="列10051"/>
    <tableColumn id="10095" name="列10052"/>
    <tableColumn id="10096" name="列10053"/>
    <tableColumn id="10097" name="列10054"/>
    <tableColumn id="10098" name="列10055"/>
    <tableColumn id="10099" name="列10056"/>
    <tableColumn id="10100" name="列10057"/>
    <tableColumn id="10101" name="列10058"/>
    <tableColumn id="10102" name="列10059"/>
    <tableColumn id="10103" name="列10060"/>
    <tableColumn id="10104" name="列10061"/>
    <tableColumn id="10105" name="列10062"/>
    <tableColumn id="10106" name="列10063"/>
    <tableColumn id="10107" name="列10064"/>
    <tableColumn id="10108" name="列10065"/>
    <tableColumn id="10109" name="列10066"/>
    <tableColumn id="10110" name="列10067"/>
    <tableColumn id="10111" name="列10068"/>
    <tableColumn id="10112" name="列10069"/>
    <tableColumn id="10113" name="列10070"/>
    <tableColumn id="10114" name="列10071"/>
    <tableColumn id="10115" name="列10072"/>
    <tableColumn id="10116" name="列10073"/>
    <tableColumn id="10117" name="列10074"/>
    <tableColumn id="10118" name="列10075"/>
    <tableColumn id="10119" name="列10076"/>
    <tableColumn id="10120" name="列10077"/>
    <tableColumn id="10121" name="列10078"/>
    <tableColumn id="10122" name="列10079"/>
    <tableColumn id="10123" name="列10080"/>
    <tableColumn id="10124" name="列10081"/>
    <tableColumn id="10125" name="列10082"/>
    <tableColumn id="10126" name="列10083"/>
    <tableColumn id="10127" name="列10084"/>
    <tableColumn id="10128" name="列10085"/>
    <tableColumn id="10129" name="列10086"/>
    <tableColumn id="10130" name="列10087"/>
    <tableColumn id="10131" name="列10088"/>
    <tableColumn id="10132" name="列10089"/>
    <tableColumn id="10133" name="列10090"/>
    <tableColumn id="10134" name="列10091"/>
    <tableColumn id="10135" name="列10092"/>
    <tableColumn id="10136" name="列10093"/>
    <tableColumn id="10137" name="列10094"/>
    <tableColumn id="10138" name="列10095"/>
    <tableColumn id="10139" name="列10096"/>
    <tableColumn id="10140" name="列10097"/>
    <tableColumn id="10141" name="列10098"/>
    <tableColumn id="10142" name="列10099"/>
    <tableColumn id="10143" name="列10100"/>
    <tableColumn id="10144" name="列10101"/>
    <tableColumn id="10145" name="列10102"/>
    <tableColumn id="10146" name="列10103"/>
    <tableColumn id="10147" name="列10104"/>
    <tableColumn id="10148" name="列10105"/>
    <tableColumn id="10149" name="列10106"/>
    <tableColumn id="10150" name="列10107"/>
    <tableColumn id="10151" name="列10108"/>
    <tableColumn id="10152" name="列10109"/>
    <tableColumn id="10153" name="列10110"/>
    <tableColumn id="10154" name="列10111"/>
    <tableColumn id="10155" name="列10112"/>
    <tableColumn id="10156" name="列10113"/>
    <tableColumn id="10157" name="列10114"/>
    <tableColumn id="10158" name="列10115"/>
    <tableColumn id="10159" name="列10116"/>
    <tableColumn id="10160" name="列10117"/>
    <tableColumn id="10161" name="列10118"/>
    <tableColumn id="10162" name="列10119"/>
    <tableColumn id="10163" name="列10120"/>
    <tableColumn id="10164" name="列10121"/>
    <tableColumn id="10165" name="列10122"/>
    <tableColumn id="10166" name="列10123"/>
    <tableColumn id="10167" name="列10124"/>
    <tableColumn id="10168" name="列10125"/>
    <tableColumn id="10169" name="列10126"/>
    <tableColumn id="10170" name="列10127"/>
    <tableColumn id="10171" name="列10128"/>
    <tableColumn id="10172" name="列10129"/>
    <tableColumn id="10173" name="列10130"/>
    <tableColumn id="10174" name="列10131"/>
    <tableColumn id="10175" name="列10132"/>
    <tableColumn id="10176" name="列10133"/>
    <tableColumn id="10177" name="列10134"/>
    <tableColumn id="10178" name="列10135"/>
    <tableColumn id="10179" name="列10136"/>
    <tableColumn id="10180" name="列10137"/>
    <tableColumn id="10181" name="列10138"/>
    <tableColumn id="10182" name="列10139"/>
    <tableColumn id="10183" name="列10140"/>
    <tableColumn id="10184" name="列10141"/>
    <tableColumn id="10185" name="列10142"/>
    <tableColumn id="10186" name="列10143"/>
    <tableColumn id="10187" name="列10144"/>
    <tableColumn id="10188" name="列10145"/>
    <tableColumn id="10189" name="列10146"/>
    <tableColumn id="10190" name="列10147"/>
    <tableColumn id="10191" name="列10148"/>
    <tableColumn id="10192" name="列10149"/>
    <tableColumn id="10193" name="列10150"/>
    <tableColumn id="10194" name="列10151"/>
    <tableColumn id="10195" name="列10152"/>
    <tableColumn id="10196" name="列10153"/>
    <tableColumn id="10197" name="列10154"/>
    <tableColumn id="10198" name="列10155"/>
    <tableColumn id="10199" name="列10156"/>
    <tableColumn id="10200" name="列10157"/>
    <tableColumn id="10201" name="列10158"/>
    <tableColumn id="10202" name="列10159"/>
    <tableColumn id="10203" name="列10160"/>
    <tableColumn id="10204" name="列10161"/>
    <tableColumn id="10205" name="列10162"/>
    <tableColumn id="10206" name="列10163"/>
    <tableColumn id="10207" name="列10164"/>
    <tableColumn id="10208" name="列10165"/>
    <tableColumn id="10209" name="列10166"/>
    <tableColumn id="10210" name="列10167"/>
    <tableColumn id="10211" name="列10168"/>
    <tableColumn id="10212" name="列10169"/>
    <tableColumn id="10213" name="列10170"/>
    <tableColumn id="10214" name="列10171"/>
    <tableColumn id="10215" name="列10172"/>
    <tableColumn id="10216" name="列10173"/>
    <tableColumn id="10217" name="列10174"/>
    <tableColumn id="10218" name="列10175"/>
    <tableColumn id="10219" name="列10176"/>
    <tableColumn id="10220" name="列10177"/>
    <tableColumn id="10221" name="列10178"/>
    <tableColumn id="10222" name="列10179"/>
    <tableColumn id="10223" name="列10180"/>
    <tableColumn id="10224" name="列10181"/>
    <tableColumn id="10225" name="列10182"/>
    <tableColumn id="10226" name="列10183"/>
    <tableColumn id="10227" name="列10184"/>
    <tableColumn id="10228" name="列10185"/>
    <tableColumn id="10229" name="列10186"/>
    <tableColumn id="10230" name="列10187"/>
    <tableColumn id="10231" name="列10188"/>
    <tableColumn id="10232" name="列10189"/>
    <tableColumn id="10233" name="列10190"/>
    <tableColumn id="10234" name="列10191"/>
    <tableColumn id="10235" name="列10192"/>
    <tableColumn id="10236" name="列10193"/>
    <tableColumn id="10237" name="列10194"/>
    <tableColumn id="10238" name="列10195"/>
    <tableColumn id="10239" name="列10196"/>
    <tableColumn id="10240" name="列10197"/>
    <tableColumn id="10241" name="列10198"/>
    <tableColumn id="10242" name="列10199"/>
    <tableColumn id="10243" name="列10200"/>
    <tableColumn id="10244" name="列10201"/>
    <tableColumn id="10245" name="列10202"/>
    <tableColumn id="10246" name="列10203"/>
    <tableColumn id="10247" name="列10204"/>
    <tableColumn id="10248" name="列10205"/>
    <tableColumn id="10249" name="列10206"/>
    <tableColumn id="10250" name="列10207"/>
    <tableColumn id="10251" name="列10208"/>
    <tableColumn id="10252" name="列10209"/>
    <tableColumn id="10253" name="列10210"/>
    <tableColumn id="10254" name="列10211"/>
    <tableColumn id="10255" name="列10212"/>
    <tableColumn id="10256" name="列10213"/>
    <tableColumn id="10257" name="列10214"/>
    <tableColumn id="10258" name="列10215"/>
    <tableColumn id="10259" name="列10216"/>
    <tableColumn id="10260" name="列10217"/>
    <tableColumn id="10261" name="列10218"/>
    <tableColumn id="10262" name="列10219"/>
    <tableColumn id="10263" name="列10220"/>
    <tableColumn id="10264" name="列10221"/>
    <tableColumn id="10265" name="列10222"/>
    <tableColumn id="10266" name="列10223"/>
    <tableColumn id="10267" name="列10224"/>
    <tableColumn id="10268" name="列10225"/>
    <tableColumn id="10269" name="列10226"/>
    <tableColumn id="10270" name="列10227"/>
    <tableColumn id="10271" name="列10228"/>
    <tableColumn id="10272" name="列10229"/>
    <tableColumn id="10273" name="列10230"/>
    <tableColumn id="10274" name="列10231"/>
    <tableColumn id="10275" name="列10232"/>
    <tableColumn id="10276" name="列10233"/>
    <tableColumn id="10277" name="列10234"/>
    <tableColumn id="10278" name="列10235"/>
    <tableColumn id="10279" name="列10236"/>
    <tableColumn id="10280" name="列10237"/>
    <tableColumn id="10281" name="列10238"/>
    <tableColumn id="10282" name="列10239"/>
    <tableColumn id="10283" name="列10240"/>
    <tableColumn id="10284" name="列10241"/>
    <tableColumn id="10285" name="列10242"/>
    <tableColumn id="10286" name="列10243"/>
    <tableColumn id="10287" name="列10244"/>
    <tableColumn id="10288" name="列10245"/>
    <tableColumn id="10289" name="列10246"/>
    <tableColumn id="10290" name="列10247"/>
    <tableColumn id="10291" name="列10248"/>
    <tableColumn id="10292" name="列10249"/>
    <tableColumn id="10293" name="列10250"/>
    <tableColumn id="10294" name="列10251"/>
    <tableColumn id="10295" name="列10252"/>
    <tableColumn id="10296" name="列10253"/>
    <tableColumn id="10297" name="列10254"/>
    <tableColumn id="10298" name="列10255"/>
    <tableColumn id="10299" name="列10256"/>
    <tableColumn id="10300" name="列10257"/>
    <tableColumn id="10301" name="列10258"/>
    <tableColumn id="10302" name="列10259"/>
    <tableColumn id="10303" name="列10260"/>
    <tableColumn id="10304" name="列10261"/>
    <tableColumn id="10305" name="列10262"/>
    <tableColumn id="10306" name="列10263"/>
    <tableColumn id="10307" name="列10264"/>
    <tableColumn id="10308" name="列10265"/>
    <tableColumn id="10309" name="列10266"/>
    <tableColumn id="10310" name="列10267"/>
    <tableColumn id="10311" name="列10268"/>
    <tableColumn id="10312" name="列10269"/>
    <tableColumn id="10313" name="列10270"/>
    <tableColumn id="10314" name="列10271"/>
    <tableColumn id="10315" name="列10272"/>
    <tableColumn id="10316" name="列10273"/>
    <tableColumn id="10317" name="列10274"/>
    <tableColumn id="10318" name="列10275"/>
    <tableColumn id="10319" name="列10276"/>
    <tableColumn id="10320" name="列10277"/>
    <tableColumn id="10321" name="列10278"/>
    <tableColumn id="10322" name="列10279"/>
    <tableColumn id="10323" name="列10280"/>
    <tableColumn id="10324" name="列10281"/>
    <tableColumn id="10325" name="列10282"/>
    <tableColumn id="10326" name="列10283"/>
    <tableColumn id="10327" name="列10284"/>
    <tableColumn id="10328" name="列10285"/>
    <tableColumn id="10329" name="列10286"/>
    <tableColumn id="10330" name="列10287"/>
    <tableColumn id="10331" name="列10288"/>
    <tableColumn id="10332" name="列10289"/>
    <tableColumn id="10333" name="列10290"/>
    <tableColumn id="10334" name="列10291"/>
    <tableColumn id="10335" name="列10292"/>
    <tableColumn id="10336" name="列10293"/>
    <tableColumn id="10337" name="列10294"/>
    <tableColumn id="10338" name="列10295"/>
    <tableColumn id="10339" name="列10296"/>
    <tableColumn id="10340" name="列10297"/>
    <tableColumn id="10341" name="列10298"/>
    <tableColumn id="10342" name="列10299"/>
    <tableColumn id="10343" name="列10300"/>
    <tableColumn id="10344" name="列10301"/>
    <tableColumn id="10345" name="列10302"/>
    <tableColumn id="10346" name="列10303"/>
    <tableColumn id="10347" name="列10304"/>
    <tableColumn id="10348" name="列10305"/>
    <tableColumn id="10349" name="列10306"/>
    <tableColumn id="10350" name="列10307"/>
    <tableColumn id="10351" name="列10308"/>
    <tableColumn id="10352" name="列10309"/>
    <tableColumn id="10353" name="列10310"/>
    <tableColumn id="10354" name="列10311"/>
    <tableColumn id="10355" name="列10312"/>
    <tableColumn id="10356" name="列10313"/>
    <tableColumn id="10357" name="列10314"/>
    <tableColumn id="10358" name="列10315"/>
    <tableColumn id="10359" name="列10316"/>
    <tableColumn id="10360" name="列10317"/>
    <tableColumn id="10361" name="列10318"/>
    <tableColumn id="10362" name="列10319"/>
    <tableColumn id="10363" name="列10320"/>
    <tableColumn id="10364" name="列10321"/>
    <tableColumn id="10365" name="列10322"/>
    <tableColumn id="10366" name="列10323"/>
    <tableColumn id="10367" name="列10324"/>
    <tableColumn id="10368" name="列10325"/>
    <tableColumn id="10369" name="列10326"/>
    <tableColumn id="10370" name="列10327"/>
    <tableColumn id="10371" name="列10328"/>
    <tableColumn id="10372" name="列10329"/>
    <tableColumn id="10373" name="列10330"/>
    <tableColumn id="10374" name="列10331"/>
    <tableColumn id="10375" name="列10332"/>
    <tableColumn id="10376" name="列10333"/>
    <tableColumn id="10377" name="列10334"/>
    <tableColumn id="10378" name="列10335"/>
    <tableColumn id="10379" name="列10336"/>
    <tableColumn id="10380" name="列10337"/>
    <tableColumn id="10381" name="列10338"/>
    <tableColumn id="10382" name="列10339"/>
    <tableColumn id="10383" name="列10340"/>
    <tableColumn id="10384" name="列10341"/>
    <tableColumn id="10385" name="列10342"/>
    <tableColumn id="10386" name="列10343"/>
    <tableColumn id="10387" name="列10344"/>
    <tableColumn id="10388" name="列10345"/>
    <tableColumn id="10389" name="列10346"/>
    <tableColumn id="10390" name="列10347"/>
    <tableColumn id="10391" name="列10348"/>
    <tableColumn id="10392" name="列10349"/>
    <tableColumn id="10393" name="列10350"/>
    <tableColumn id="10394" name="列10351"/>
    <tableColumn id="10395" name="列10352"/>
    <tableColumn id="10396" name="列10353"/>
    <tableColumn id="10397" name="列10354"/>
    <tableColumn id="10398" name="列10355"/>
    <tableColumn id="10399" name="列10356"/>
    <tableColumn id="10400" name="列10357"/>
    <tableColumn id="10401" name="列10358"/>
    <tableColumn id="10402" name="列10359"/>
    <tableColumn id="10403" name="列10360"/>
    <tableColumn id="10404" name="列10361"/>
    <tableColumn id="10405" name="列10362"/>
    <tableColumn id="10406" name="列10363"/>
    <tableColumn id="10407" name="列10364"/>
    <tableColumn id="10408" name="列10365"/>
    <tableColumn id="10409" name="列10366"/>
    <tableColumn id="10410" name="列10367"/>
    <tableColumn id="10411" name="列10368"/>
    <tableColumn id="10412" name="列10369"/>
    <tableColumn id="10413" name="列10370"/>
    <tableColumn id="10414" name="列10371"/>
    <tableColumn id="10415" name="列10372"/>
    <tableColumn id="10416" name="列10373"/>
    <tableColumn id="10417" name="列10374"/>
    <tableColumn id="10418" name="列10375"/>
    <tableColumn id="10419" name="列10376"/>
    <tableColumn id="10420" name="列10377"/>
    <tableColumn id="10421" name="列10378"/>
    <tableColumn id="10422" name="列10379"/>
    <tableColumn id="10423" name="列10380"/>
    <tableColumn id="10424" name="列10381"/>
    <tableColumn id="10425" name="列10382"/>
    <tableColumn id="10426" name="列10383"/>
    <tableColumn id="10427" name="列10384"/>
    <tableColumn id="10428" name="列10385"/>
    <tableColumn id="10429" name="列10386"/>
    <tableColumn id="10430" name="列10387"/>
    <tableColumn id="10431" name="列10388"/>
    <tableColumn id="10432" name="列10389"/>
    <tableColumn id="10433" name="列10390"/>
    <tableColumn id="10434" name="列10391"/>
    <tableColumn id="10435" name="列10392"/>
    <tableColumn id="10436" name="列10393"/>
    <tableColumn id="10437" name="列10394"/>
    <tableColumn id="10438" name="列10395"/>
    <tableColumn id="10439" name="列10396"/>
    <tableColumn id="10440" name="列10397"/>
    <tableColumn id="10441" name="列10398"/>
    <tableColumn id="10442" name="列10399"/>
    <tableColumn id="10443" name="列10400"/>
    <tableColumn id="10444" name="列10401"/>
    <tableColumn id="10445" name="列10402"/>
    <tableColumn id="10446" name="列10403"/>
    <tableColumn id="10447" name="列10404"/>
    <tableColumn id="10448" name="列10405"/>
    <tableColumn id="10449" name="列10406"/>
    <tableColumn id="10450" name="列10407"/>
    <tableColumn id="10451" name="列10408"/>
    <tableColumn id="10452" name="列10409"/>
    <tableColumn id="10453" name="列10410"/>
    <tableColumn id="10454" name="列10411"/>
    <tableColumn id="10455" name="列10412"/>
    <tableColumn id="10456" name="列10413"/>
    <tableColumn id="10457" name="列10414"/>
    <tableColumn id="10458" name="列10415"/>
    <tableColumn id="10459" name="列10416"/>
    <tableColumn id="10460" name="列10417"/>
    <tableColumn id="10461" name="列10418"/>
    <tableColumn id="10462" name="列10419"/>
    <tableColumn id="10463" name="列10420"/>
    <tableColumn id="10464" name="列10421"/>
    <tableColumn id="10465" name="列10422"/>
    <tableColumn id="10466" name="列10423"/>
    <tableColumn id="10467" name="列10424"/>
    <tableColumn id="10468" name="列10425"/>
    <tableColumn id="10469" name="列10426"/>
    <tableColumn id="10470" name="列10427"/>
    <tableColumn id="10471" name="列10428"/>
    <tableColumn id="10472" name="列10429"/>
    <tableColumn id="10473" name="列10430"/>
    <tableColumn id="10474" name="列10431"/>
    <tableColumn id="10475" name="列10432"/>
    <tableColumn id="10476" name="列10433"/>
    <tableColumn id="10477" name="列10434"/>
    <tableColumn id="10478" name="列10435"/>
    <tableColumn id="10479" name="列10436"/>
    <tableColumn id="10480" name="列10437"/>
    <tableColumn id="10481" name="列10438"/>
    <tableColumn id="10482" name="列10439"/>
    <tableColumn id="10483" name="列10440"/>
    <tableColumn id="10484" name="列10441"/>
    <tableColumn id="10485" name="列10442"/>
    <tableColumn id="10486" name="列10443"/>
    <tableColumn id="10487" name="列10444"/>
    <tableColumn id="10488" name="列10445"/>
    <tableColumn id="10489" name="列10446"/>
    <tableColumn id="10490" name="列10447"/>
    <tableColumn id="10491" name="列10448"/>
    <tableColumn id="10492" name="列10449"/>
    <tableColumn id="10493" name="列10450"/>
    <tableColumn id="10494" name="列10451"/>
    <tableColumn id="10495" name="列10452"/>
    <tableColumn id="10496" name="列10453"/>
    <tableColumn id="10497" name="列10454"/>
    <tableColumn id="10498" name="列10455"/>
    <tableColumn id="10499" name="列10456"/>
    <tableColumn id="10500" name="列10457"/>
    <tableColumn id="10501" name="列10458"/>
    <tableColumn id="10502" name="列10459"/>
    <tableColumn id="10503" name="列10460"/>
    <tableColumn id="10504" name="列10461"/>
    <tableColumn id="10505" name="列10462"/>
    <tableColumn id="10506" name="列10463"/>
    <tableColumn id="10507" name="列10464"/>
    <tableColumn id="10508" name="列10465"/>
    <tableColumn id="10509" name="列10466"/>
    <tableColumn id="10510" name="列10467"/>
    <tableColumn id="10511" name="列10468"/>
    <tableColumn id="10512" name="列10469"/>
    <tableColumn id="10513" name="列10470"/>
    <tableColumn id="10514" name="列10471"/>
    <tableColumn id="10515" name="列10472"/>
    <tableColumn id="10516" name="列10473"/>
    <tableColumn id="10517" name="列10474"/>
    <tableColumn id="10518" name="列10475"/>
    <tableColumn id="10519" name="列10476"/>
    <tableColumn id="10520" name="列10477"/>
    <tableColumn id="10521" name="列10478"/>
    <tableColumn id="10522" name="列10479"/>
    <tableColumn id="10523" name="列10480"/>
    <tableColumn id="10524" name="列10481"/>
    <tableColumn id="10525" name="列10482"/>
    <tableColumn id="10526" name="列10483"/>
    <tableColumn id="10527" name="列10484"/>
    <tableColumn id="10528" name="列10485"/>
    <tableColumn id="10529" name="列10486"/>
    <tableColumn id="10530" name="列10487"/>
    <tableColumn id="10531" name="列10488"/>
    <tableColumn id="10532" name="列10489"/>
    <tableColumn id="10533" name="列10490"/>
    <tableColumn id="10534" name="列10491"/>
    <tableColumn id="10535" name="列10492"/>
    <tableColumn id="10536" name="列10493"/>
    <tableColumn id="10537" name="列10494"/>
    <tableColumn id="10538" name="列10495"/>
    <tableColumn id="10539" name="列10496"/>
    <tableColumn id="10540" name="列10497"/>
    <tableColumn id="10541" name="列10498"/>
    <tableColumn id="10542" name="列10499"/>
    <tableColumn id="10543" name="列10500"/>
    <tableColumn id="10544" name="列10501"/>
    <tableColumn id="10545" name="列10502"/>
    <tableColumn id="10546" name="列10503"/>
    <tableColumn id="10547" name="列10504"/>
    <tableColumn id="10548" name="列10505"/>
    <tableColumn id="10549" name="列10506"/>
    <tableColumn id="10550" name="列10507"/>
    <tableColumn id="10551" name="列10508"/>
    <tableColumn id="10552" name="列10509"/>
    <tableColumn id="10553" name="列10510"/>
    <tableColumn id="10554" name="列10511"/>
    <tableColumn id="10555" name="列10512"/>
    <tableColumn id="10556" name="列10513"/>
    <tableColumn id="10557" name="列10514"/>
    <tableColumn id="10558" name="列10515"/>
    <tableColumn id="10559" name="列10516"/>
    <tableColumn id="10560" name="列10517"/>
    <tableColumn id="10561" name="列10518"/>
    <tableColumn id="10562" name="列10519"/>
    <tableColumn id="10563" name="列10520"/>
    <tableColumn id="10564" name="列10521"/>
    <tableColumn id="10565" name="列10522"/>
    <tableColumn id="10566" name="列10523"/>
    <tableColumn id="10567" name="列10524"/>
    <tableColumn id="10568" name="列10525"/>
    <tableColumn id="10569" name="列10526"/>
    <tableColumn id="10570" name="列10527"/>
    <tableColumn id="10571" name="列10528"/>
    <tableColumn id="10572" name="列10529"/>
    <tableColumn id="10573" name="列10530"/>
    <tableColumn id="10574" name="列10531"/>
    <tableColumn id="10575" name="列10532"/>
    <tableColumn id="10576" name="列10533"/>
    <tableColumn id="10577" name="列10534"/>
    <tableColumn id="10578" name="列10535"/>
    <tableColumn id="10579" name="列10536"/>
    <tableColumn id="10580" name="列10537"/>
    <tableColumn id="10581" name="列10538"/>
    <tableColumn id="10582" name="列10539"/>
    <tableColumn id="10583" name="列10540"/>
    <tableColumn id="10584" name="列10541"/>
    <tableColumn id="10585" name="列10542"/>
    <tableColumn id="10586" name="列10543"/>
    <tableColumn id="10587" name="列10544"/>
    <tableColumn id="10588" name="列10545"/>
    <tableColumn id="10589" name="列10546"/>
    <tableColumn id="10590" name="列10547"/>
    <tableColumn id="10591" name="列10548"/>
    <tableColumn id="10592" name="列10549"/>
    <tableColumn id="10593" name="列10550"/>
    <tableColumn id="10594" name="列10551"/>
    <tableColumn id="10595" name="列10552"/>
    <tableColumn id="10596" name="列10553"/>
    <tableColumn id="10597" name="列10554"/>
    <tableColumn id="10598" name="列10555"/>
    <tableColumn id="10599" name="列10556"/>
    <tableColumn id="10600" name="列10557"/>
    <tableColumn id="10601" name="列10558"/>
    <tableColumn id="10602" name="列10559"/>
    <tableColumn id="10603" name="列10560"/>
    <tableColumn id="10604" name="列10561"/>
    <tableColumn id="10605" name="列10562"/>
    <tableColumn id="10606" name="列10563"/>
    <tableColumn id="10607" name="列10564"/>
    <tableColumn id="10608" name="列10565"/>
    <tableColumn id="10609" name="列10566"/>
    <tableColumn id="10610" name="列10567"/>
    <tableColumn id="10611" name="列10568"/>
    <tableColumn id="10612" name="列10569"/>
    <tableColumn id="10613" name="列10570"/>
    <tableColumn id="10614" name="列10571"/>
    <tableColumn id="10615" name="列10572"/>
    <tableColumn id="10616" name="列10573"/>
    <tableColumn id="10617" name="列10574"/>
    <tableColumn id="10618" name="列10575"/>
    <tableColumn id="10619" name="列10576"/>
    <tableColumn id="10620" name="列10577"/>
    <tableColumn id="10621" name="列10578"/>
    <tableColumn id="10622" name="列10579"/>
    <tableColumn id="10623" name="列10580"/>
    <tableColumn id="10624" name="列10581"/>
    <tableColumn id="10625" name="列10582"/>
    <tableColumn id="10626" name="列10583"/>
    <tableColumn id="10627" name="列10584"/>
    <tableColumn id="10628" name="列10585"/>
    <tableColumn id="10629" name="列10586"/>
    <tableColumn id="10630" name="列10587"/>
    <tableColumn id="10631" name="列10588"/>
    <tableColumn id="10632" name="列10589"/>
    <tableColumn id="10633" name="列10590"/>
    <tableColumn id="10634" name="列10591"/>
    <tableColumn id="10635" name="列10592"/>
    <tableColumn id="10636" name="列10593"/>
    <tableColumn id="10637" name="列10594"/>
    <tableColumn id="10638" name="列10595"/>
    <tableColumn id="10639" name="列10596"/>
    <tableColumn id="10640" name="列10597"/>
    <tableColumn id="10641" name="列10598"/>
    <tableColumn id="10642" name="列10599"/>
    <tableColumn id="10643" name="列10600"/>
    <tableColumn id="10644" name="列10601"/>
    <tableColumn id="10645" name="列10602"/>
    <tableColumn id="10646" name="列10603"/>
    <tableColumn id="10647" name="列10604"/>
    <tableColumn id="10648" name="列10605"/>
    <tableColumn id="10649" name="列10606"/>
    <tableColumn id="10650" name="列10607"/>
    <tableColumn id="10651" name="列10608"/>
    <tableColumn id="10652" name="列10609"/>
    <tableColumn id="10653" name="列10610"/>
    <tableColumn id="10654" name="列10611"/>
    <tableColumn id="10655" name="列10612"/>
    <tableColumn id="10656" name="列10613"/>
    <tableColumn id="10657" name="列10614"/>
    <tableColumn id="10658" name="列10615"/>
    <tableColumn id="10659" name="列10616"/>
    <tableColumn id="10660" name="列10617"/>
    <tableColumn id="10661" name="列10618"/>
    <tableColumn id="10662" name="列10619"/>
    <tableColumn id="10663" name="列10620"/>
    <tableColumn id="10664" name="列10621"/>
    <tableColumn id="10665" name="列10622"/>
    <tableColumn id="10666" name="列10623"/>
    <tableColumn id="10667" name="列10624"/>
    <tableColumn id="10668" name="列10625"/>
    <tableColumn id="10669" name="列10626"/>
    <tableColumn id="10670" name="列10627"/>
    <tableColumn id="10671" name="列10628"/>
    <tableColumn id="10672" name="列10629"/>
    <tableColumn id="10673" name="列10630"/>
    <tableColumn id="10674" name="列10631"/>
    <tableColumn id="10675" name="列10632"/>
    <tableColumn id="10676" name="列10633"/>
    <tableColumn id="10677" name="列10634"/>
    <tableColumn id="10678" name="列10635"/>
    <tableColumn id="10679" name="列10636"/>
    <tableColumn id="10680" name="列10637"/>
    <tableColumn id="10681" name="列10638"/>
    <tableColumn id="10682" name="列10639"/>
    <tableColumn id="10683" name="列10640"/>
    <tableColumn id="10684" name="列10641"/>
    <tableColumn id="10685" name="列10642"/>
    <tableColumn id="10686" name="列10643"/>
    <tableColumn id="10687" name="列10644"/>
    <tableColumn id="10688" name="列10645"/>
    <tableColumn id="10689" name="列10646"/>
    <tableColumn id="10690" name="列10647"/>
    <tableColumn id="10691" name="列10648"/>
    <tableColumn id="10692" name="列10649"/>
    <tableColumn id="10693" name="列10650"/>
    <tableColumn id="10694" name="列10651"/>
    <tableColumn id="10695" name="列10652"/>
    <tableColumn id="10696" name="列10653"/>
    <tableColumn id="10697" name="列10654"/>
    <tableColumn id="10698" name="列10655"/>
    <tableColumn id="10699" name="列10656"/>
    <tableColumn id="10700" name="列10657"/>
    <tableColumn id="10701" name="列10658"/>
    <tableColumn id="10702" name="列10659"/>
    <tableColumn id="10703" name="列10660"/>
    <tableColumn id="10704" name="列10661"/>
    <tableColumn id="10705" name="列10662"/>
    <tableColumn id="10706" name="列10663"/>
    <tableColumn id="10707" name="列10664"/>
    <tableColumn id="10708" name="列10665"/>
    <tableColumn id="10709" name="列10666"/>
    <tableColumn id="10710" name="列10667"/>
    <tableColumn id="10711" name="列10668"/>
    <tableColumn id="10712" name="列10669"/>
    <tableColumn id="10713" name="列10670"/>
    <tableColumn id="10714" name="列10671"/>
    <tableColumn id="10715" name="列10672"/>
    <tableColumn id="10716" name="列10673"/>
    <tableColumn id="10717" name="列10674"/>
    <tableColumn id="10718" name="列10675"/>
    <tableColumn id="10719" name="列10676"/>
    <tableColumn id="10720" name="列10677"/>
    <tableColumn id="10721" name="列10678"/>
    <tableColumn id="10722" name="列10679"/>
    <tableColumn id="10723" name="列10680"/>
    <tableColumn id="10724" name="列10681"/>
    <tableColumn id="10725" name="列10682"/>
    <tableColumn id="10726" name="列10683"/>
    <tableColumn id="10727" name="列10684"/>
    <tableColumn id="10728" name="列10685"/>
    <tableColumn id="10729" name="列10686"/>
    <tableColumn id="10730" name="列10687"/>
    <tableColumn id="10731" name="列10688"/>
    <tableColumn id="10732" name="列10689"/>
    <tableColumn id="10733" name="列10690"/>
    <tableColumn id="10734" name="列10691"/>
    <tableColumn id="10735" name="列10692"/>
    <tableColumn id="10736" name="列10693"/>
    <tableColumn id="10737" name="列10694"/>
    <tableColumn id="10738" name="列10695"/>
    <tableColumn id="10739" name="列10696"/>
    <tableColumn id="10740" name="列10697"/>
    <tableColumn id="10741" name="列10698"/>
    <tableColumn id="10742" name="列10699"/>
    <tableColumn id="10743" name="列10700"/>
    <tableColumn id="10744" name="列10701"/>
    <tableColumn id="10745" name="列10702"/>
    <tableColumn id="10746" name="列10703"/>
    <tableColumn id="10747" name="列10704"/>
    <tableColumn id="10748" name="列10705"/>
    <tableColumn id="10749" name="列10706"/>
    <tableColumn id="10750" name="列10707"/>
    <tableColumn id="10751" name="列10708"/>
    <tableColumn id="10752" name="列10709"/>
    <tableColumn id="10753" name="列10710"/>
    <tableColumn id="10754" name="列10711"/>
    <tableColumn id="10755" name="列10712"/>
    <tableColumn id="10756" name="列10713"/>
    <tableColumn id="10757" name="列10714"/>
    <tableColumn id="10758" name="列10715"/>
    <tableColumn id="10759" name="列10716"/>
    <tableColumn id="10760" name="列10717"/>
    <tableColumn id="10761" name="列10718"/>
    <tableColumn id="10762" name="列10719"/>
    <tableColumn id="10763" name="列10720"/>
    <tableColumn id="10764" name="列10721"/>
    <tableColumn id="10765" name="列10722"/>
    <tableColumn id="10766" name="列10723"/>
    <tableColumn id="10767" name="列10724"/>
    <tableColumn id="10768" name="列10725"/>
    <tableColumn id="10769" name="列10726"/>
    <tableColumn id="10770" name="列10727"/>
    <tableColumn id="10771" name="列10728"/>
    <tableColumn id="10772" name="列10729"/>
    <tableColumn id="10773" name="列10730"/>
    <tableColumn id="10774" name="列10731"/>
    <tableColumn id="10775" name="列10732"/>
    <tableColumn id="10776" name="列10733"/>
    <tableColumn id="10777" name="列10734"/>
    <tableColumn id="10778" name="列10735"/>
    <tableColumn id="10779" name="列10736"/>
    <tableColumn id="10780" name="列10737"/>
    <tableColumn id="10781" name="列10738"/>
    <tableColumn id="10782" name="列10739"/>
    <tableColumn id="10783" name="列10740"/>
    <tableColumn id="10784" name="列10741"/>
    <tableColumn id="10785" name="列10742"/>
    <tableColumn id="10786" name="列10743"/>
    <tableColumn id="10787" name="列10744"/>
    <tableColumn id="10788" name="列10745"/>
    <tableColumn id="10789" name="列10746"/>
    <tableColumn id="10790" name="列10747"/>
    <tableColumn id="10791" name="列10748"/>
    <tableColumn id="10792" name="列10749"/>
    <tableColumn id="10793" name="列10750"/>
    <tableColumn id="10794" name="列10751"/>
    <tableColumn id="10795" name="列10752"/>
    <tableColumn id="10796" name="列10753"/>
    <tableColumn id="10797" name="列10754"/>
    <tableColumn id="10798" name="列10755"/>
    <tableColumn id="10799" name="列10756"/>
    <tableColumn id="10800" name="列10757"/>
    <tableColumn id="10801" name="列10758"/>
    <tableColumn id="10802" name="列10759"/>
    <tableColumn id="10803" name="列10760"/>
    <tableColumn id="10804" name="列10761"/>
    <tableColumn id="10805" name="列10762"/>
    <tableColumn id="10806" name="列10763"/>
    <tableColumn id="10807" name="列10764"/>
    <tableColumn id="10808" name="列10765"/>
    <tableColumn id="10809" name="列10766"/>
    <tableColumn id="10810" name="列10767"/>
    <tableColumn id="10811" name="列10768"/>
    <tableColumn id="10812" name="列10769"/>
    <tableColumn id="10813" name="列10770"/>
    <tableColumn id="10814" name="列10771"/>
    <tableColumn id="10815" name="列10772"/>
    <tableColumn id="10816" name="列10773"/>
    <tableColumn id="10817" name="列10774"/>
    <tableColumn id="10818" name="列10775"/>
    <tableColumn id="10819" name="列10776"/>
    <tableColumn id="10820" name="列10777"/>
    <tableColumn id="10821" name="列10778"/>
    <tableColumn id="10822" name="列10779"/>
    <tableColumn id="10823" name="列10780"/>
    <tableColumn id="10824" name="列10781"/>
    <tableColumn id="10825" name="列10782"/>
    <tableColumn id="10826" name="列10783"/>
    <tableColumn id="10827" name="列10784"/>
    <tableColumn id="10828" name="列10785"/>
    <tableColumn id="10829" name="列10786"/>
    <tableColumn id="10830" name="列10787"/>
    <tableColumn id="10831" name="列10788"/>
    <tableColumn id="10832" name="列10789"/>
    <tableColumn id="10833" name="列10790"/>
    <tableColumn id="10834" name="列10791"/>
    <tableColumn id="10835" name="列10792"/>
    <tableColumn id="10836" name="列10793"/>
    <tableColumn id="10837" name="列10794"/>
    <tableColumn id="10838" name="列10795"/>
    <tableColumn id="10839" name="列10796"/>
    <tableColumn id="10840" name="列10797"/>
    <tableColumn id="10841" name="列10798"/>
    <tableColumn id="10842" name="列10799"/>
    <tableColumn id="10843" name="列10800"/>
    <tableColumn id="10844" name="列10801"/>
    <tableColumn id="10845" name="列10802"/>
    <tableColumn id="10846" name="列10803"/>
    <tableColumn id="10847" name="列10804"/>
    <tableColumn id="10848" name="列10805"/>
    <tableColumn id="10849" name="列10806"/>
    <tableColumn id="10850" name="列10807"/>
    <tableColumn id="10851" name="列10808"/>
    <tableColumn id="10852" name="列10809"/>
    <tableColumn id="10853" name="列10810"/>
    <tableColumn id="10854" name="列10811"/>
    <tableColumn id="10855" name="列10812"/>
    <tableColumn id="10856" name="列10813"/>
    <tableColumn id="10857" name="列10814"/>
    <tableColumn id="10858" name="列10815"/>
    <tableColumn id="10859" name="列10816"/>
    <tableColumn id="10860" name="列10817"/>
    <tableColumn id="10861" name="列10818"/>
    <tableColumn id="10862" name="列10819"/>
    <tableColumn id="10863" name="列10820"/>
    <tableColumn id="10864" name="列10821"/>
    <tableColumn id="10865" name="列10822"/>
    <tableColumn id="10866" name="列10823"/>
    <tableColumn id="10867" name="列10824"/>
    <tableColumn id="10868" name="列10825"/>
    <tableColumn id="10869" name="列10826"/>
    <tableColumn id="10870" name="列10827"/>
    <tableColumn id="10871" name="列10828"/>
    <tableColumn id="10872" name="列10829"/>
    <tableColumn id="10873" name="列10830"/>
    <tableColumn id="10874" name="列10831"/>
    <tableColumn id="10875" name="列10832"/>
    <tableColumn id="10876" name="列10833"/>
    <tableColumn id="10877" name="列10834"/>
    <tableColumn id="10878" name="列10835"/>
    <tableColumn id="10879" name="列10836"/>
    <tableColumn id="10880" name="列10837"/>
    <tableColumn id="10881" name="列10838"/>
    <tableColumn id="10882" name="列10839"/>
    <tableColumn id="10883" name="列10840"/>
    <tableColumn id="10884" name="列10841"/>
    <tableColumn id="10885" name="列10842"/>
    <tableColumn id="10886" name="列10843"/>
    <tableColumn id="10887" name="列10844"/>
    <tableColumn id="10888" name="列10845"/>
    <tableColumn id="10889" name="列10846"/>
    <tableColumn id="10890" name="列10847"/>
    <tableColumn id="10891" name="列10848"/>
    <tableColumn id="10892" name="列10849"/>
    <tableColumn id="10893" name="列10850"/>
    <tableColumn id="10894" name="列10851"/>
    <tableColumn id="10895" name="列10852"/>
    <tableColumn id="10896" name="列10853"/>
    <tableColumn id="10897" name="列10854"/>
    <tableColumn id="10898" name="列10855"/>
    <tableColumn id="10899" name="列10856"/>
    <tableColumn id="10900" name="列10857"/>
    <tableColumn id="10901" name="列10858"/>
    <tableColumn id="10902" name="列10859"/>
    <tableColumn id="10903" name="列10860"/>
    <tableColumn id="10904" name="列10861"/>
    <tableColumn id="10905" name="列10862"/>
    <tableColumn id="10906" name="列10863"/>
    <tableColumn id="10907" name="列10864"/>
    <tableColumn id="10908" name="列10865"/>
    <tableColumn id="10909" name="列10866"/>
    <tableColumn id="10910" name="列10867"/>
    <tableColumn id="10911" name="列10868"/>
    <tableColumn id="10912" name="列10869"/>
    <tableColumn id="10913" name="列10870"/>
    <tableColumn id="10914" name="列10871"/>
    <tableColumn id="10915" name="列10872"/>
    <tableColumn id="10916" name="列10873"/>
    <tableColumn id="10917" name="列10874"/>
    <tableColumn id="10918" name="列10875"/>
    <tableColumn id="10919" name="列10876"/>
    <tableColumn id="10920" name="列10877"/>
    <tableColumn id="10921" name="列10878"/>
    <tableColumn id="10922" name="列10879"/>
    <tableColumn id="10923" name="列10880"/>
    <tableColumn id="10924" name="列10881"/>
    <tableColumn id="10925" name="列10882"/>
    <tableColumn id="10926" name="列10883"/>
    <tableColumn id="10927" name="列10884"/>
    <tableColumn id="10928" name="列10885"/>
    <tableColumn id="10929" name="列10886"/>
    <tableColumn id="10930" name="列10887"/>
    <tableColumn id="10931" name="列10888"/>
    <tableColumn id="10932" name="列10889"/>
    <tableColumn id="10933" name="列10890"/>
    <tableColumn id="10934" name="列10891"/>
    <tableColumn id="10935" name="列10892"/>
    <tableColumn id="10936" name="列10893"/>
    <tableColumn id="10937" name="列10894"/>
    <tableColumn id="10938" name="列10895"/>
    <tableColumn id="10939" name="列10896"/>
    <tableColumn id="10940" name="列10897"/>
    <tableColumn id="10941" name="列10898"/>
    <tableColumn id="10942" name="列10899"/>
    <tableColumn id="10943" name="列10900"/>
    <tableColumn id="10944" name="列10901"/>
    <tableColumn id="10945" name="列10902"/>
    <tableColumn id="10946" name="列10903"/>
    <tableColumn id="10947" name="列10904"/>
    <tableColumn id="10948" name="列10905"/>
    <tableColumn id="10949" name="列10906"/>
    <tableColumn id="10950" name="列10907"/>
    <tableColumn id="10951" name="列10908"/>
    <tableColumn id="10952" name="列10909"/>
    <tableColumn id="10953" name="列10910"/>
    <tableColumn id="10954" name="列10911"/>
    <tableColumn id="10955" name="列10912"/>
    <tableColumn id="10956" name="列10913"/>
    <tableColumn id="10957" name="列10914"/>
    <tableColumn id="10958" name="列10915"/>
    <tableColumn id="10959" name="列10916"/>
    <tableColumn id="10960" name="列10917"/>
    <tableColumn id="10961" name="列10918"/>
    <tableColumn id="10962" name="列10919"/>
    <tableColumn id="10963" name="列10920"/>
    <tableColumn id="10964" name="列10921"/>
    <tableColumn id="10965" name="列10922"/>
    <tableColumn id="10966" name="列10923"/>
    <tableColumn id="10967" name="列10924"/>
    <tableColumn id="10968" name="列10925"/>
    <tableColumn id="10969" name="列10926"/>
    <tableColumn id="10970" name="列10927"/>
    <tableColumn id="10971" name="列10928"/>
    <tableColumn id="10972" name="列10929"/>
    <tableColumn id="10973" name="列10930"/>
    <tableColumn id="10974" name="列10931"/>
    <tableColumn id="10975" name="列10932"/>
    <tableColumn id="10976" name="列10933"/>
    <tableColumn id="10977" name="列10934"/>
    <tableColumn id="10978" name="列10935"/>
    <tableColumn id="10979" name="列10936"/>
    <tableColumn id="10980" name="列10937"/>
    <tableColumn id="10981" name="列10938"/>
    <tableColumn id="10982" name="列10939"/>
    <tableColumn id="10983" name="列10940"/>
    <tableColumn id="10984" name="列10941"/>
    <tableColumn id="10985" name="列10942"/>
    <tableColumn id="10986" name="列10943"/>
    <tableColumn id="10987" name="列10944"/>
    <tableColumn id="10988" name="列10945"/>
    <tableColumn id="10989" name="列10946"/>
    <tableColumn id="10990" name="列10947"/>
    <tableColumn id="10991" name="列10948"/>
    <tableColumn id="10992" name="列10949"/>
    <tableColumn id="10993" name="列10950"/>
    <tableColumn id="10994" name="列10951"/>
    <tableColumn id="10995" name="列10952"/>
    <tableColumn id="10996" name="列10953"/>
    <tableColumn id="10997" name="列10954"/>
    <tableColumn id="10998" name="列10955"/>
    <tableColumn id="10999" name="列10956"/>
    <tableColumn id="11000" name="列10957"/>
    <tableColumn id="11001" name="列10958"/>
    <tableColumn id="11002" name="列10959"/>
    <tableColumn id="11003" name="列10960"/>
    <tableColumn id="11004" name="列10961"/>
    <tableColumn id="11005" name="列10962"/>
    <tableColumn id="11006" name="列10963"/>
    <tableColumn id="11007" name="列10964"/>
    <tableColumn id="11008" name="列10965"/>
    <tableColumn id="11009" name="列10966"/>
    <tableColumn id="11010" name="列10967"/>
    <tableColumn id="11011" name="列10968"/>
    <tableColumn id="11012" name="列10969"/>
    <tableColumn id="11013" name="列10970"/>
    <tableColumn id="11014" name="列10971"/>
    <tableColumn id="11015" name="列10972"/>
    <tableColumn id="11016" name="列10973"/>
    <tableColumn id="11017" name="列10974"/>
    <tableColumn id="11018" name="列10975"/>
    <tableColumn id="11019" name="列10976"/>
    <tableColumn id="11020" name="列10977"/>
    <tableColumn id="11021" name="列10978"/>
    <tableColumn id="11022" name="列10979"/>
    <tableColumn id="11023" name="列10980"/>
    <tableColumn id="11024" name="列10981"/>
    <tableColumn id="11025" name="列10982"/>
    <tableColumn id="11026" name="列10983"/>
    <tableColumn id="11027" name="列10984"/>
    <tableColumn id="11028" name="列10985"/>
    <tableColumn id="11029" name="列10986"/>
    <tableColumn id="11030" name="列10987"/>
    <tableColumn id="11031" name="列10988"/>
    <tableColumn id="11032" name="列10989"/>
    <tableColumn id="11033" name="列10990"/>
    <tableColumn id="11034" name="列10991"/>
    <tableColumn id="11035" name="列10992"/>
    <tableColumn id="11036" name="列10993"/>
    <tableColumn id="11037" name="列10994"/>
    <tableColumn id="11038" name="列10995"/>
    <tableColumn id="11039" name="列10996"/>
    <tableColumn id="11040" name="列10997"/>
    <tableColumn id="11041" name="列10998"/>
    <tableColumn id="11042" name="列10999"/>
    <tableColumn id="11043" name="列11000"/>
    <tableColumn id="11044" name="列11001"/>
    <tableColumn id="11045" name="列11002"/>
    <tableColumn id="11046" name="列11003"/>
    <tableColumn id="11047" name="列11004"/>
    <tableColumn id="11048" name="列11005"/>
    <tableColumn id="11049" name="列11006"/>
    <tableColumn id="11050" name="列11007"/>
    <tableColumn id="11051" name="列11008"/>
    <tableColumn id="11052" name="列11009"/>
    <tableColumn id="11053" name="列11010"/>
    <tableColumn id="11054" name="列11011"/>
    <tableColumn id="11055" name="列11012"/>
    <tableColumn id="11056" name="列11013"/>
    <tableColumn id="11057" name="列11014"/>
    <tableColumn id="11058" name="列11015"/>
    <tableColumn id="11059" name="列11016"/>
    <tableColumn id="11060" name="列11017"/>
    <tableColumn id="11061" name="列11018"/>
    <tableColumn id="11062" name="列11019"/>
    <tableColumn id="11063" name="列11020"/>
    <tableColumn id="11064" name="列11021"/>
    <tableColumn id="11065" name="列11022"/>
    <tableColumn id="11066" name="列11023"/>
    <tableColumn id="11067" name="列11024"/>
    <tableColumn id="11068" name="列11025"/>
    <tableColumn id="11069" name="列11026"/>
    <tableColumn id="11070" name="列11027"/>
    <tableColumn id="11071" name="列11028"/>
    <tableColumn id="11072" name="列11029"/>
    <tableColumn id="11073" name="列11030"/>
    <tableColumn id="11074" name="列11031"/>
    <tableColumn id="11075" name="列11032"/>
    <tableColumn id="11076" name="列11033"/>
    <tableColumn id="11077" name="列11034"/>
    <tableColumn id="11078" name="列11035"/>
    <tableColumn id="11079" name="列11036"/>
    <tableColumn id="11080" name="列11037"/>
    <tableColumn id="11081" name="列11038"/>
    <tableColumn id="11082" name="列11039"/>
    <tableColumn id="11083" name="列11040"/>
    <tableColumn id="11084" name="列11041"/>
    <tableColumn id="11085" name="列11042"/>
    <tableColumn id="11086" name="列11043"/>
    <tableColumn id="11087" name="列11044"/>
    <tableColumn id="11088" name="列11045"/>
    <tableColumn id="11089" name="列11046"/>
    <tableColumn id="11090" name="列11047"/>
    <tableColumn id="11091" name="列11048"/>
    <tableColumn id="11092" name="列11049"/>
    <tableColumn id="11093" name="列11050"/>
    <tableColumn id="11094" name="列11051"/>
    <tableColumn id="11095" name="列11052"/>
    <tableColumn id="11096" name="列11053"/>
    <tableColumn id="11097" name="列11054"/>
    <tableColumn id="11098" name="列11055"/>
    <tableColumn id="11099" name="列11056"/>
    <tableColumn id="11100" name="列11057"/>
    <tableColumn id="11101" name="列11058"/>
    <tableColumn id="11102" name="列11059"/>
    <tableColumn id="11103" name="列11060"/>
    <tableColumn id="11104" name="列11061"/>
    <tableColumn id="11105" name="列11062"/>
    <tableColumn id="11106" name="列11063"/>
    <tableColumn id="11107" name="列11064"/>
    <tableColumn id="11108" name="列11065"/>
    <tableColumn id="11109" name="列11066"/>
    <tableColumn id="11110" name="列11067"/>
    <tableColumn id="11111" name="列11068"/>
    <tableColumn id="11112" name="列11069"/>
    <tableColumn id="11113" name="列11070"/>
    <tableColumn id="11114" name="列11071"/>
    <tableColumn id="11115" name="列11072"/>
    <tableColumn id="11116" name="列11073"/>
    <tableColumn id="11117" name="列11074"/>
    <tableColumn id="11118" name="列11075"/>
    <tableColumn id="11119" name="列11076"/>
    <tableColumn id="11120" name="列11077"/>
    <tableColumn id="11121" name="列11078"/>
    <tableColumn id="11122" name="列11079"/>
    <tableColumn id="11123" name="列11080"/>
    <tableColumn id="11124" name="列11081"/>
    <tableColumn id="11125" name="列11082"/>
    <tableColumn id="11126" name="列11083"/>
    <tableColumn id="11127" name="列11084"/>
    <tableColumn id="11128" name="列11085"/>
    <tableColumn id="11129" name="列11086"/>
    <tableColumn id="11130" name="列11087"/>
    <tableColumn id="11131" name="列11088"/>
    <tableColumn id="11132" name="列11089"/>
    <tableColumn id="11133" name="列11090"/>
    <tableColumn id="11134" name="列11091"/>
    <tableColumn id="11135" name="列11092"/>
    <tableColumn id="11136" name="列11093"/>
    <tableColumn id="11137" name="列11094"/>
    <tableColumn id="11138" name="列11095"/>
    <tableColumn id="11139" name="列11096"/>
    <tableColumn id="11140" name="列11097"/>
    <tableColumn id="11141" name="列11098"/>
    <tableColumn id="11142" name="列11099"/>
    <tableColumn id="11143" name="列11100"/>
    <tableColumn id="11144" name="列11101"/>
    <tableColumn id="11145" name="列11102"/>
    <tableColumn id="11146" name="列11103"/>
    <tableColumn id="11147" name="列11104"/>
    <tableColumn id="11148" name="列11105"/>
    <tableColumn id="11149" name="列11106"/>
    <tableColumn id="11150" name="列11107"/>
    <tableColumn id="11151" name="列11108"/>
    <tableColumn id="11152" name="列11109"/>
    <tableColumn id="11153" name="列11110"/>
    <tableColumn id="11154" name="列11111"/>
    <tableColumn id="11155" name="列11112"/>
    <tableColumn id="11156" name="列11113"/>
    <tableColumn id="11157" name="列11114"/>
    <tableColumn id="11158" name="列11115"/>
    <tableColumn id="11159" name="列11116"/>
    <tableColumn id="11160" name="列11117"/>
    <tableColumn id="11161" name="列11118"/>
    <tableColumn id="11162" name="列11119"/>
    <tableColumn id="11163" name="列11120"/>
    <tableColumn id="11164" name="列11121"/>
    <tableColumn id="11165" name="列11122"/>
    <tableColumn id="11166" name="列11123"/>
    <tableColumn id="11167" name="列11124"/>
    <tableColumn id="11168" name="列11125"/>
    <tableColumn id="11169" name="列11126"/>
    <tableColumn id="11170" name="列11127"/>
    <tableColumn id="11171" name="列11128"/>
    <tableColumn id="11172" name="列11129"/>
    <tableColumn id="11173" name="列11130"/>
    <tableColumn id="11174" name="列11131"/>
    <tableColumn id="11175" name="列11132"/>
    <tableColumn id="11176" name="列11133"/>
    <tableColumn id="11177" name="列11134"/>
    <tableColumn id="11178" name="列11135"/>
    <tableColumn id="11179" name="列11136"/>
    <tableColumn id="11180" name="列11137"/>
    <tableColumn id="11181" name="列11138"/>
    <tableColumn id="11182" name="列11139"/>
    <tableColumn id="11183" name="列11140"/>
    <tableColumn id="11184" name="列11141"/>
    <tableColumn id="11185" name="列11142"/>
    <tableColumn id="11186" name="列11143"/>
    <tableColumn id="11187" name="列11144"/>
    <tableColumn id="11188" name="列11145"/>
    <tableColumn id="11189" name="列11146"/>
    <tableColumn id="11190" name="列11147"/>
    <tableColumn id="11191" name="列11148"/>
    <tableColumn id="11192" name="列11149"/>
    <tableColumn id="11193" name="列11150"/>
    <tableColumn id="11194" name="列11151"/>
    <tableColumn id="11195" name="列11152"/>
    <tableColumn id="11196" name="列11153"/>
    <tableColumn id="11197" name="列11154"/>
    <tableColumn id="11198" name="列11155"/>
    <tableColumn id="11199" name="列11156"/>
    <tableColumn id="11200" name="列11157"/>
    <tableColumn id="11201" name="列11158"/>
    <tableColumn id="11202" name="列11159"/>
    <tableColumn id="11203" name="列11160"/>
    <tableColumn id="11204" name="列11161"/>
    <tableColumn id="11205" name="列11162"/>
    <tableColumn id="11206" name="列11163"/>
    <tableColumn id="11207" name="列11164"/>
    <tableColumn id="11208" name="列11165"/>
    <tableColumn id="11209" name="列11166"/>
    <tableColumn id="11210" name="列11167"/>
    <tableColumn id="11211" name="列11168"/>
    <tableColumn id="11212" name="列11169"/>
    <tableColumn id="11213" name="列11170"/>
    <tableColumn id="11214" name="列11171"/>
    <tableColumn id="11215" name="列11172"/>
    <tableColumn id="11216" name="列11173"/>
    <tableColumn id="11217" name="列11174"/>
    <tableColumn id="11218" name="列11175"/>
    <tableColumn id="11219" name="列11176"/>
    <tableColumn id="11220" name="列11177"/>
    <tableColumn id="11221" name="列11178"/>
    <tableColumn id="11222" name="列11179"/>
    <tableColumn id="11223" name="列11180"/>
    <tableColumn id="11224" name="列11181"/>
    <tableColumn id="11225" name="列11182"/>
    <tableColumn id="11226" name="列11183"/>
    <tableColumn id="11227" name="列11184"/>
    <tableColumn id="11228" name="列11185"/>
    <tableColumn id="11229" name="列11186"/>
    <tableColumn id="11230" name="列11187"/>
    <tableColumn id="11231" name="列11188"/>
    <tableColumn id="11232" name="列11189"/>
    <tableColumn id="11233" name="列11190"/>
    <tableColumn id="11234" name="列11191"/>
    <tableColumn id="11235" name="列11192"/>
    <tableColumn id="11236" name="列11193"/>
    <tableColumn id="11237" name="列11194"/>
    <tableColumn id="11238" name="列11195"/>
    <tableColumn id="11239" name="列11196"/>
    <tableColumn id="11240" name="列11197"/>
    <tableColumn id="11241" name="列11198"/>
    <tableColumn id="11242" name="列11199"/>
    <tableColumn id="11243" name="列11200"/>
    <tableColumn id="11244" name="列11201"/>
    <tableColumn id="11245" name="列11202"/>
    <tableColumn id="11246" name="列11203"/>
    <tableColumn id="11247" name="列11204"/>
    <tableColumn id="11248" name="列11205"/>
    <tableColumn id="11249" name="列11206"/>
    <tableColumn id="11250" name="列11207"/>
    <tableColumn id="11251" name="列11208"/>
    <tableColumn id="11252" name="列11209"/>
    <tableColumn id="11253" name="列11210"/>
    <tableColumn id="11254" name="列11211"/>
    <tableColumn id="11255" name="列11212"/>
    <tableColumn id="11256" name="列11213"/>
    <tableColumn id="11257" name="列11214"/>
    <tableColumn id="11258" name="列11215"/>
    <tableColumn id="11259" name="列11216"/>
    <tableColumn id="11260" name="列11217"/>
    <tableColumn id="11261" name="列11218"/>
    <tableColumn id="11262" name="列11219"/>
    <tableColumn id="11263" name="列11220"/>
    <tableColumn id="11264" name="列11221"/>
    <tableColumn id="11265" name="列11222"/>
    <tableColumn id="11266" name="列11223"/>
    <tableColumn id="11267" name="列11224"/>
    <tableColumn id="11268" name="列11225"/>
    <tableColumn id="11269" name="列11226"/>
    <tableColumn id="11270" name="列11227"/>
    <tableColumn id="11271" name="列11228"/>
    <tableColumn id="11272" name="列11229"/>
    <tableColumn id="11273" name="列11230"/>
    <tableColumn id="11274" name="列11231"/>
    <tableColumn id="11275" name="列11232"/>
    <tableColumn id="11276" name="列11233"/>
    <tableColumn id="11277" name="列11234"/>
    <tableColumn id="11278" name="列11235"/>
    <tableColumn id="11279" name="列11236"/>
    <tableColumn id="11280" name="列11237"/>
    <tableColumn id="11281" name="列11238"/>
    <tableColumn id="11282" name="列11239"/>
    <tableColumn id="11283" name="列11240"/>
    <tableColumn id="11284" name="列11241"/>
    <tableColumn id="11285" name="列11242"/>
    <tableColumn id="11286" name="列11243"/>
    <tableColumn id="11287" name="列11244"/>
    <tableColumn id="11288" name="列11245"/>
    <tableColumn id="11289" name="列11246"/>
    <tableColumn id="11290" name="列11247"/>
    <tableColumn id="11291" name="列11248"/>
    <tableColumn id="11292" name="列11249"/>
    <tableColumn id="11293" name="列11250"/>
    <tableColumn id="11294" name="列11251"/>
    <tableColumn id="11295" name="列11252"/>
    <tableColumn id="11296" name="列11253"/>
    <tableColumn id="11297" name="列11254"/>
    <tableColumn id="11298" name="列11255"/>
    <tableColumn id="11299" name="列11256"/>
    <tableColumn id="11300" name="列11257"/>
    <tableColumn id="11301" name="列11258"/>
    <tableColumn id="11302" name="列11259"/>
    <tableColumn id="11303" name="列11260"/>
    <tableColumn id="11304" name="列11261"/>
    <tableColumn id="11305" name="列11262"/>
    <tableColumn id="11306" name="列11263"/>
    <tableColumn id="11307" name="列11264"/>
    <tableColumn id="11308" name="列11265"/>
    <tableColumn id="11309" name="列11266"/>
    <tableColumn id="11310" name="列11267"/>
    <tableColumn id="11311" name="列11268"/>
    <tableColumn id="11312" name="列11269"/>
    <tableColumn id="11313" name="列11270"/>
    <tableColumn id="11314" name="列11271"/>
    <tableColumn id="11315" name="列11272"/>
    <tableColumn id="11316" name="列11273"/>
    <tableColumn id="11317" name="列11274"/>
    <tableColumn id="11318" name="列11275"/>
    <tableColumn id="11319" name="列11276"/>
    <tableColumn id="11320" name="列11277"/>
    <tableColumn id="11321" name="列11278"/>
    <tableColumn id="11322" name="列11279"/>
    <tableColumn id="11323" name="列11280"/>
    <tableColumn id="11324" name="列11281"/>
    <tableColumn id="11325" name="列11282"/>
    <tableColumn id="11326" name="列11283"/>
    <tableColumn id="11327" name="列11284"/>
    <tableColumn id="11328" name="列11285"/>
    <tableColumn id="11329" name="列11286"/>
    <tableColumn id="11330" name="列11287"/>
    <tableColumn id="11331" name="列11288"/>
    <tableColumn id="11332" name="列11289"/>
    <tableColumn id="11333" name="列11290"/>
    <tableColumn id="11334" name="列11291"/>
    <tableColumn id="11335" name="列11292"/>
    <tableColumn id="11336" name="列11293"/>
    <tableColumn id="11337" name="列11294"/>
    <tableColumn id="11338" name="列11295"/>
    <tableColumn id="11339" name="列11296"/>
    <tableColumn id="11340" name="列11297"/>
    <tableColumn id="11341" name="列11298"/>
    <tableColumn id="11342" name="列11299"/>
    <tableColumn id="11343" name="列11300"/>
    <tableColumn id="11344" name="列11301"/>
    <tableColumn id="11345" name="列11302"/>
    <tableColumn id="11346" name="列11303"/>
    <tableColumn id="11347" name="列11304"/>
    <tableColumn id="11348" name="列11305"/>
    <tableColumn id="11349" name="列11306"/>
    <tableColumn id="11350" name="列11307"/>
    <tableColumn id="11351" name="列11308"/>
    <tableColumn id="11352" name="列11309"/>
    <tableColumn id="11353" name="列11310"/>
    <tableColumn id="11354" name="列11311"/>
    <tableColumn id="11355" name="列11312"/>
    <tableColumn id="11356" name="列11313"/>
    <tableColumn id="11357" name="列11314"/>
    <tableColumn id="11358" name="列11315"/>
    <tableColumn id="11359" name="列11316"/>
    <tableColumn id="11360" name="列11317"/>
    <tableColumn id="11361" name="列11318"/>
    <tableColumn id="11362" name="列11319"/>
    <tableColumn id="11363" name="列11320"/>
    <tableColumn id="11364" name="列11321"/>
    <tableColumn id="11365" name="列11322"/>
    <tableColumn id="11366" name="列11323"/>
    <tableColumn id="11367" name="列11324"/>
    <tableColumn id="11368" name="列11325"/>
    <tableColumn id="11369" name="列11326"/>
    <tableColumn id="11370" name="列11327"/>
    <tableColumn id="11371" name="列11328"/>
    <tableColumn id="11372" name="列11329"/>
    <tableColumn id="11373" name="列11330"/>
    <tableColumn id="11374" name="列11331"/>
    <tableColumn id="11375" name="列11332"/>
    <tableColumn id="11376" name="列11333"/>
    <tableColumn id="11377" name="列11334"/>
    <tableColumn id="11378" name="列11335"/>
    <tableColumn id="11379" name="列11336"/>
    <tableColumn id="11380" name="列11337"/>
    <tableColumn id="11381" name="列11338"/>
    <tableColumn id="11382" name="列11339"/>
    <tableColumn id="11383" name="列11340"/>
    <tableColumn id="11384" name="列11341"/>
    <tableColumn id="11385" name="列11342"/>
    <tableColumn id="11386" name="列11343"/>
    <tableColumn id="11387" name="列11344"/>
    <tableColumn id="11388" name="列11345"/>
    <tableColumn id="11389" name="列11346"/>
    <tableColumn id="11390" name="列11347"/>
    <tableColumn id="11391" name="列11348"/>
    <tableColumn id="11392" name="列11349"/>
    <tableColumn id="11393" name="列11350"/>
    <tableColumn id="11394" name="列11351"/>
    <tableColumn id="11395" name="列11352"/>
    <tableColumn id="11396" name="列11353"/>
    <tableColumn id="11397" name="列11354"/>
    <tableColumn id="11398" name="列11355"/>
    <tableColumn id="11399" name="列11356"/>
    <tableColumn id="11400" name="列11357"/>
    <tableColumn id="11401" name="列11358"/>
    <tableColumn id="11402" name="列11359"/>
    <tableColumn id="11403" name="列11360"/>
    <tableColumn id="11404" name="列11361"/>
    <tableColumn id="11405" name="列11362"/>
    <tableColumn id="11406" name="列11363"/>
    <tableColumn id="11407" name="列11364"/>
    <tableColumn id="11408" name="列11365"/>
    <tableColumn id="11409" name="列11366"/>
    <tableColumn id="11410" name="列11367"/>
    <tableColumn id="11411" name="列11368"/>
    <tableColumn id="11412" name="列11369"/>
    <tableColumn id="11413" name="列11370"/>
    <tableColumn id="11414" name="列11371"/>
    <tableColumn id="11415" name="列11372"/>
    <tableColumn id="11416" name="列11373"/>
    <tableColumn id="11417" name="列11374"/>
    <tableColumn id="11418" name="列11375"/>
    <tableColumn id="11419" name="列11376"/>
    <tableColumn id="11420" name="列11377"/>
    <tableColumn id="11421" name="列11378"/>
    <tableColumn id="11422" name="列11379"/>
    <tableColumn id="11423" name="列11380"/>
    <tableColumn id="11424" name="列11381"/>
    <tableColumn id="11425" name="列11382"/>
    <tableColumn id="11426" name="列11383"/>
    <tableColumn id="11427" name="列11384"/>
    <tableColumn id="11428" name="列11385"/>
    <tableColumn id="11429" name="列11386"/>
    <tableColumn id="11430" name="列11387"/>
    <tableColumn id="11431" name="列11388"/>
    <tableColumn id="11432" name="列11389"/>
    <tableColumn id="11433" name="列11390"/>
    <tableColumn id="11434" name="列11391"/>
    <tableColumn id="11435" name="列11392"/>
    <tableColumn id="11436" name="列11393"/>
    <tableColumn id="11437" name="列11394"/>
    <tableColumn id="11438" name="列11395"/>
    <tableColumn id="11439" name="列11396"/>
    <tableColumn id="11440" name="列11397"/>
    <tableColumn id="11441" name="列11398"/>
    <tableColumn id="11442" name="列11399"/>
    <tableColumn id="11443" name="列11400"/>
    <tableColumn id="11444" name="列11401"/>
    <tableColumn id="11445" name="列11402"/>
    <tableColumn id="11446" name="列11403"/>
    <tableColumn id="11447" name="列11404"/>
    <tableColumn id="11448" name="列11405"/>
    <tableColumn id="11449" name="列11406"/>
    <tableColumn id="11450" name="列11407"/>
    <tableColumn id="11451" name="列11408"/>
    <tableColumn id="11452" name="列11409"/>
    <tableColumn id="11453" name="列11410"/>
    <tableColumn id="11454" name="列11411"/>
    <tableColumn id="11455" name="列11412"/>
    <tableColumn id="11456" name="列11413"/>
    <tableColumn id="11457" name="列11414"/>
    <tableColumn id="11458" name="列11415"/>
    <tableColumn id="11459" name="列11416"/>
    <tableColumn id="11460" name="列11417"/>
    <tableColumn id="11461" name="列11418"/>
    <tableColumn id="11462" name="列11419"/>
    <tableColumn id="11463" name="列11420"/>
    <tableColumn id="11464" name="列11421"/>
    <tableColumn id="11465" name="列11422"/>
    <tableColumn id="11466" name="列11423"/>
    <tableColumn id="11467" name="列11424"/>
    <tableColumn id="11468" name="列11425"/>
    <tableColumn id="11469" name="列11426"/>
    <tableColumn id="11470" name="列11427"/>
    <tableColumn id="11471" name="列11428"/>
    <tableColumn id="11472" name="列11429"/>
    <tableColumn id="11473" name="列11430"/>
    <tableColumn id="11474" name="列11431"/>
    <tableColumn id="11475" name="列11432"/>
    <tableColumn id="11476" name="列11433"/>
    <tableColumn id="11477" name="列11434"/>
    <tableColumn id="11478" name="列11435"/>
    <tableColumn id="11479" name="列11436"/>
    <tableColumn id="11480" name="列11437"/>
    <tableColumn id="11481" name="列11438"/>
    <tableColumn id="11482" name="列11439"/>
    <tableColumn id="11483" name="列11440"/>
    <tableColumn id="11484" name="列11441"/>
    <tableColumn id="11485" name="列11442"/>
    <tableColumn id="11486" name="列11443"/>
    <tableColumn id="11487" name="列11444"/>
    <tableColumn id="11488" name="列11445"/>
    <tableColumn id="11489" name="列11446"/>
    <tableColumn id="11490" name="列11447"/>
    <tableColumn id="11491" name="列11448"/>
    <tableColumn id="11492" name="列11449"/>
    <tableColumn id="11493" name="列11450"/>
    <tableColumn id="11494" name="列11451"/>
    <tableColumn id="11495" name="列11452"/>
    <tableColumn id="11496" name="列11453"/>
    <tableColumn id="11497" name="列11454"/>
    <tableColumn id="11498" name="列11455"/>
    <tableColumn id="11499" name="列11456"/>
    <tableColumn id="11500" name="列11457"/>
    <tableColumn id="11501" name="列11458"/>
    <tableColumn id="11502" name="列11459"/>
    <tableColumn id="11503" name="列11460"/>
    <tableColumn id="11504" name="列11461"/>
    <tableColumn id="11505" name="列11462"/>
    <tableColumn id="11506" name="列11463"/>
    <tableColumn id="11507" name="列11464"/>
    <tableColumn id="11508" name="列11465"/>
    <tableColumn id="11509" name="列11466"/>
    <tableColumn id="11510" name="列11467"/>
    <tableColumn id="11511" name="列11468"/>
    <tableColumn id="11512" name="列11469"/>
    <tableColumn id="11513" name="列11470"/>
    <tableColumn id="11514" name="列11471"/>
    <tableColumn id="11515" name="列11472"/>
    <tableColumn id="11516" name="列11473"/>
    <tableColumn id="11517" name="列11474"/>
    <tableColumn id="11518" name="列11475"/>
    <tableColumn id="11519" name="列11476"/>
    <tableColumn id="11520" name="列11477"/>
    <tableColumn id="11521" name="列11478"/>
    <tableColumn id="11522" name="列11479"/>
    <tableColumn id="11523" name="列11480"/>
    <tableColumn id="11524" name="列11481"/>
    <tableColumn id="11525" name="列11482"/>
    <tableColumn id="11526" name="列11483"/>
    <tableColumn id="11527" name="列11484"/>
    <tableColumn id="11528" name="列11485"/>
    <tableColumn id="11529" name="列11486"/>
    <tableColumn id="11530" name="列11487"/>
    <tableColumn id="11531" name="列11488"/>
    <tableColumn id="11532" name="列11489"/>
    <tableColumn id="11533" name="列11490"/>
    <tableColumn id="11534" name="列11491"/>
    <tableColumn id="11535" name="列11492"/>
    <tableColumn id="11536" name="列11493"/>
    <tableColumn id="11537" name="列11494"/>
    <tableColumn id="11538" name="列11495"/>
    <tableColumn id="11539" name="列11496"/>
    <tableColumn id="11540" name="列11497"/>
    <tableColumn id="11541" name="列11498"/>
    <tableColumn id="11542" name="列11499"/>
    <tableColumn id="11543" name="列11500"/>
    <tableColumn id="11544" name="列11501"/>
    <tableColumn id="11545" name="列11502"/>
    <tableColumn id="11546" name="列11503"/>
    <tableColumn id="11547" name="列11504"/>
    <tableColumn id="11548" name="列11505"/>
    <tableColumn id="11549" name="列11506"/>
    <tableColumn id="11550" name="列11507"/>
    <tableColumn id="11551" name="列11508"/>
    <tableColumn id="11552" name="列11509"/>
    <tableColumn id="11553" name="列11510"/>
    <tableColumn id="11554" name="列11511"/>
    <tableColumn id="11555" name="列11512"/>
    <tableColumn id="11556" name="列11513"/>
    <tableColumn id="11557" name="列11514"/>
    <tableColumn id="11558" name="列11515"/>
    <tableColumn id="11559" name="列11516"/>
    <tableColumn id="11560" name="列11517"/>
    <tableColumn id="11561" name="列11518"/>
    <tableColumn id="11562" name="列11519"/>
    <tableColumn id="11563" name="列11520"/>
    <tableColumn id="11564" name="列11521"/>
    <tableColumn id="11565" name="列11522"/>
    <tableColumn id="11566" name="列11523"/>
    <tableColumn id="11567" name="列11524"/>
    <tableColumn id="11568" name="列11525"/>
    <tableColumn id="11569" name="列11526"/>
    <tableColumn id="11570" name="列11527"/>
    <tableColumn id="11571" name="列11528"/>
    <tableColumn id="11572" name="列11529"/>
    <tableColumn id="11573" name="列11530"/>
    <tableColumn id="11574" name="列11531"/>
    <tableColumn id="11575" name="列11532"/>
    <tableColumn id="11576" name="列11533"/>
    <tableColumn id="11577" name="列11534"/>
    <tableColumn id="11578" name="列11535"/>
    <tableColumn id="11579" name="列11536"/>
    <tableColumn id="11580" name="列11537"/>
    <tableColumn id="11581" name="列11538"/>
    <tableColumn id="11582" name="列11539"/>
    <tableColumn id="11583" name="列11540"/>
    <tableColumn id="11584" name="列11541"/>
    <tableColumn id="11585" name="列11542"/>
    <tableColumn id="11586" name="列11543"/>
    <tableColumn id="11587" name="列11544"/>
    <tableColumn id="11588" name="列11545"/>
    <tableColumn id="11589" name="列11546"/>
    <tableColumn id="11590" name="列11547"/>
    <tableColumn id="11591" name="列11548"/>
    <tableColumn id="11592" name="列11549"/>
    <tableColumn id="11593" name="列11550"/>
    <tableColumn id="11594" name="列11551"/>
    <tableColumn id="11595" name="列11552"/>
    <tableColumn id="11596" name="列11553"/>
    <tableColumn id="11597" name="列11554"/>
    <tableColumn id="11598" name="列11555"/>
    <tableColumn id="11599" name="列11556"/>
    <tableColumn id="11600" name="列11557"/>
    <tableColumn id="11601" name="列11558"/>
    <tableColumn id="11602" name="列11559"/>
    <tableColumn id="11603" name="列11560"/>
    <tableColumn id="11604" name="列11561"/>
    <tableColumn id="11605" name="列11562"/>
    <tableColumn id="11606" name="列11563"/>
    <tableColumn id="11607" name="列11564"/>
    <tableColumn id="11608" name="列11565"/>
    <tableColumn id="11609" name="列11566"/>
    <tableColumn id="11610" name="列11567"/>
    <tableColumn id="11611" name="列11568"/>
    <tableColumn id="11612" name="列11569"/>
    <tableColumn id="11613" name="列11570"/>
    <tableColumn id="11614" name="列11571"/>
    <tableColumn id="11615" name="列11572"/>
    <tableColumn id="11616" name="列11573"/>
    <tableColumn id="11617" name="列11574"/>
    <tableColumn id="11618" name="列11575"/>
    <tableColumn id="11619" name="列11576"/>
    <tableColumn id="11620" name="列11577"/>
    <tableColumn id="11621" name="列11578"/>
    <tableColumn id="11622" name="列11579"/>
    <tableColumn id="11623" name="列11580"/>
    <tableColumn id="11624" name="列11581"/>
    <tableColumn id="11625" name="列11582"/>
    <tableColumn id="11626" name="列11583"/>
    <tableColumn id="11627" name="列11584"/>
    <tableColumn id="11628" name="列11585"/>
    <tableColumn id="11629" name="列11586"/>
    <tableColumn id="11630" name="列11587"/>
    <tableColumn id="11631" name="列11588"/>
    <tableColumn id="11632" name="列11589"/>
    <tableColumn id="11633" name="列11590"/>
    <tableColumn id="11634" name="列11591"/>
    <tableColumn id="11635" name="列11592"/>
    <tableColumn id="11636" name="列11593"/>
    <tableColumn id="11637" name="列11594"/>
    <tableColumn id="11638" name="列11595"/>
    <tableColumn id="11639" name="列11596"/>
    <tableColumn id="11640" name="列11597"/>
    <tableColumn id="11641" name="列11598"/>
    <tableColumn id="11642" name="列11599"/>
    <tableColumn id="11643" name="列11600"/>
    <tableColumn id="11644" name="列11601"/>
    <tableColumn id="11645" name="列11602"/>
    <tableColumn id="11646" name="列11603"/>
    <tableColumn id="11647" name="列11604"/>
    <tableColumn id="11648" name="列11605"/>
    <tableColumn id="11649" name="列11606"/>
    <tableColumn id="11650" name="列11607"/>
    <tableColumn id="11651" name="列11608"/>
    <tableColumn id="11652" name="列11609"/>
    <tableColumn id="11653" name="列11610"/>
    <tableColumn id="11654" name="列11611"/>
    <tableColumn id="11655" name="列11612"/>
    <tableColumn id="11656" name="列11613"/>
    <tableColumn id="11657" name="列11614"/>
    <tableColumn id="11658" name="列11615"/>
    <tableColumn id="11659" name="列11616"/>
    <tableColumn id="11660" name="列11617"/>
    <tableColumn id="11661" name="列11618"/>
    <tableColumn id="11662" name="列11619"/>
    <tableColumn id="11663" name="列11620"/>
    <tableColumn id="11664" name="列11621"/>
    <tableColumn id="11665" name="列11622"/>
    <tableColumn id="11666" name="列11623"/>
    <tableColumn id="11667" name="列11624"/>
    <tableColumn id="11668" name="列11625"/>
    <tableColumn id="11669" name="列11626"/>
    <tableColumn id="11670" name="列11627"/>
    <tableColumn id="11671" name="列11628"/>
    <tableColumn id="11672" name="列11629"/>
    <tableColumn id="11673" name="列11630"/>
    <tableColumn id="11674" name="列11631"/>
    <tableColumn id="11675" name="列11632"/>
    <tableColumn id="11676" name="列11633"/>
    <tableColumn id="11677" name="列11634"/>
    <tableColumn id="11678" name="列11635"/>
    <tableColumn id="11679" name="列11636"/>
    <tableColumn id="11680" name="列11637"/>
    <tableColumn id="11681" name="列11638"/>
    <tableColumn id="11682" name="列11639"/>
    <tableColumn id="11683" name="列11640"/>
    <tableColumn id="11684" name="列11641"/>
    <tableColumn id="11685" name="列11642"/>
    <tableColumn id="11686" name="列11643"/>
    <tableColumn id="11687" name="列11644"/>
    <tableColumn id="11688" name="列11645"/>
    <tableColumn id="11689" name="列11646"/>
    <tableColumn id="11690" name="列11647"/>
    <tableColumn id="11691" name="列11648"/>
    <tableColumn id="11692" name="列11649"/>
    <tableColumn id="11693" name="列11650"/>
    <tableColumn id="11694" name="列11651"/>
    <tableColumn id="11695" name="列11652"/>
    <tableColumn id="11696" name="列11653"/>
    <tableColumn id="11697" name="列11654"/>
    <tableColumn id="11698" name="列11655"/>
    <tableColumn id="11699" name="列11656"/>
    <tableColumn id="11700" name="列11657"/>
    <tableColumn id="11701" name="列11658"/>
    <tableColumn id="11702" name="列11659"/>
    <tableColumn id="11703" name="列11660"/>
    <tableColumn id="11704" name="列11661"/>
    <tableColumn id="11705" name="列11662"/>
    <tableColumn id="11706" name="列11663"/>
    <tableColumn id="11707" name="列11664"/>
    <tableColumn id="11708" name="列11665"/>
    <tableColumn id="11709" name="列11666"/>
    <tableColumn id="11710" name="列11667"/>
    <tableColumn id="11711" name="列11668"/>
    <tableColumn id="11712" name="列11669"/>
    <tableColumn id="11713" name="列11670"/>
    <tableColumn id="11714" name="列11671"/>
    <tableColumn id="11715" name="列11672"/>
    <tableColumn id="11716" name="列11673"/>
    <tableColumn id="11717" name="列11674"/>
    <tableColumn id="11718" name="列11675"/>
    <tableColumn id="11719" name="列11676"/>
    <tableColumn id="11720" name="列11677"/>
    <tableColumn id="11721" name="列11678"/>
    <tableColumn id="11722" name="列11679"/>
    <tableColumn id="11723" name="列11680"/>
    <tableColumn id="11724" name="列11681"/>
    <tableColumn id="11725" name="列11682"/>
    <tableColumn id="11726" name="列11683"/>
    <tableColumn id="11727" name="列11684"/>
    <tableColumn id="11728" name="列11685"/>
    <tableColumn id="11729" name="列11686"/>
    <tableColumn id="11730" name="列11687"/>
    <tableColumn id="11731" name="列11688"/>
    <tableColumn id="11732" name="列11689"/>
    <tableColumn id="11733" name="列11690"/>
    <tableColumn id="11734" name="列11691"/>
    <tableColumn id="11735" name="列11692"/>
    <tableColumn id="11736" name="列11693"/>
    <tableColumn id="11737" name="列11694"/>
    <tableColumn id="11738" name="列11695"/>
    <tableColumn id="11739" name="列11696"/>
    <tableColumn id="11740" name="列11697"/>
    <tableColumn id="11741" name="列11698"/>
    <tableColumn id="11742" name="列11699"/>
    <tableColumn id="11743" name="列11700"/>
    <tableColumn id="11744" name="列11701"/>
    <tableColumn id="11745" name="列11702"/>
    <tableColumn id="11746" name="列11703"/>
    <tableColumn id="11747" name="列11704"/>
    <tableColumn id="11748" name="列11705"/>
    <tableColumn id="11749" name="列11706"/>
    <tableColumn id="11750" name="列11707"/>
    <tableColumn id="11751" name="列11708"/>
    <tableColumn id="11752" name="列11709"/>
    <tableColumn id="11753" name="列11710"/>
    <tableColumn id="11754" name="列11711"/>
    <tableColumn id="11755" name="列11712"/>
    <tableColumn id="11756" name="列11713"/>
    <tableColumn id="11757" name="列11714"/>
    <tableColumn id="11758" name="列11715"/>
    <tableColumn id="11759" name="列11716"/>
    <tableColumn id="11760" name="列11717"/>
    <tableColumn id="11761" name="列11718"/>
    <tableColumn id="11762" name="列11719"/>
    <tableColumn id="11763" name="列11720"/>
    <tableColumn id="11764" name="列11721"/>
    <tableColumn id="11765" name="列11722"/>
    <tableColumn id="11766" name="列11723"/>
    <tableColumn id="11767" name="列11724"/>
    <tableColumn id="11768" name="列11725"/>
    <tableColumn id="11769" name="列11726"/>
    <tableColumn id="11770" name="列11727"/>
    <tableColumn id="11771" name="列11728"/>
    <tableColumn id="11772" name="列11729"/>
    <tableColumn id="11773" name="列11730"/>
    <tableColumn id="11774" name="列11731"/>
    <tableColumn id="11775" name="列11732"/>
    <tableColumn id="11776" name="列11733"/>
    <tableColumn id="11777" name="列11734"/>
    <tableColumn id="11778" name="列11735"/>
    <tableColumn id="11779" name="列11736"/>
    <tableColumn id="11780" name="列11737"/>
    <tableColumn id="11781" name="列11738"/>
    <tableColumn id="11782" name="列11739"/>
    <tableColumn id="11783" name="列11740"/>
    <tableColumn id="11784" name="列11741"/>
    <tableColumn id="11785" name="列11742"/>
    <tableColumn id="11786" name="列11743"/>
    <tableColumn id="11787" name="列11744"/>
    <tableColumn id="11788" name="列11745"/>
    <tableColumn id="11789" name="列11746"/>
    <tableColumn id="11790" name="列11747"/>
    <tableColumn id="11791" name="列11748"/>
    <tableColumn id="11792" name="列11749"/>
    <tableColumn id="11793" name="列11750"/>
    <tableColumn id="11794" name="列11751"/>
    <tableColumn id="11795" name="列11752"/>
    <tableColumn id="11796" name="列11753"/>
    <tableColumn id="11797" name="列11754"/>
    <tableColumn id="11798" name="列11755"/>
    <tableColumn id="11799" name="列11756"/>
    <tableColumn id="11800" name="列11757"/>
    <tableColumn id="11801" name="列11758"/>
    <tableColumn id="11802" name="列11759"/>
    <tableColumn id="11803" name="列11760"/>
    <tableColumn id="11804" name="列11761"/>
    <tableColumn id="11805" name="列11762"/>
    <tableColumn id="11806" name="列11763"/>
    <tableColumn id="11807" name="列11764"/>
    <tableColumn id="11808" name="列11765"/>
    <tableColumn id="11809" name="列11766"/>
    <tableColumn id="11810" name="列11767"/>
    <tableColumn id="11811" name="列11768"/>
    <tableColumn id="11812" name="列11769"/>
    <tableColumn id="11813" name="列11770"/>
    <tableColumn id="11814" name="列11771"/>
    <tableColumn id="11815" name="列11772"/>
    <tableColumn id="11816" name="列11773"/>
    <tableColumn id="11817" name="列11774"/>
    <tableColumn id="11818" name="列11775"/>
    <tableColumn id="11819" name="列11776"/>
    <tableColumn id="11820" name="列11777"/>
    <tableColumn id="11821" name="列11778"/>
    <tableColumn id="11822" name="列11779"/>
    <tableColumn id="11823" name="列11780"/>
    <tableColumn id="11824" name="列11781"/>
    <tableColumn id="11825" name="列11782"/>
    <tableColumn id="11826" name="列11783"/>
    <tableColumn id="11827" name="列11784"/>
    <tableColumn id="11828" name="列11785"/>
    <tableColumn id="11829" name="列11786"/>
    <tableColumn id="11830" name="列11787"/>
    <tableColumn id="11831" name="列11788"/>
    <tableColumn id="11832" name="列11789"/>
    <tableColumn id="11833" name="列11790"/>
    <tableColumn id="11834" name="列11791"/>
    <tableColumn id="11835" name="列11792"/>
    <tableColumn id="11836" name="列11793"/>
    <tableColumn id="11837" name="列11794"/>
    <tableColumn id="11838" name="列11795"/>
    <tableColumn id="11839" name="列11796"/>
    <tableColumn id="11840" name="列11797"/>
    <tableColumn id="11841" name="列11798"/>
    <tableColumn id="11842" name="列11799"/>
    <tableColumn id="11843" name="列11800"/>
    <tableColumn id="11844" name="列11801"/>
    <tableColumn id="11845" name="列11802"/>
    <tableColumn id="11846" name="列11803"/>
    <tableColumn id="11847" name="列11804"/>
    <tableColumn id="11848" name="列11805"/>
    <tableColumn id="11849" name="列11806"/>
    <tableColumn id="11850" name="列11807"/>
    <tableColumn id="11851" name="列11808"/>
    <tableColumn id="11852" name="列11809"/>
    <tableColumn id="11853" name="列11810"/>
    <tableColumn id="11854" name="列11811"/>
    <tableColumn id="11855" name="列11812"/>
    <tableColumn id="11856" name="列11813"/>
    <tableColumn id="11857" name="列11814"/>
    <tableColumn id="11858" name="列11815"/>
    <tableColumn id="11859" name="列11816"/>
    <tableColumn id="11860" name="列11817"/>
    <tableColumn id="11861" name="列11818"/>
    <tableColumn id="11862" name="列11819"/>
    <tableColumn id="11863" name="列11820"/>
    <tableColumn id="11864" name="列11821"/>
    <tableColumn id="11865" name="列11822"/>
    <tableColumn id="11866" name="列11823"/>
    <tableColumn id="11867" name="列11824"/>
    <tableColumn id="11868" name="列11825"/>
    <tableColumn id="11869" name="列11826"/>
    <tableColumn id="11870" name="列11827"/>
    <tableColumn id="11871" name="列11828"/>
    <tableColumn id="11872" name="列11829"/>
    <tableColumn id="11873" name="列11830"/>
    <tableColumn id="11874" name="列11831"/>
    <tableColumn id="11875" name="列11832"/>
    <tableColumn id="11876" name="列11833"/>
    <tableColumn id="11877" name="列11834"/>
    <tableColumn id="11878" name="列11835"/>
    <tableColumn id="11879" name="列11836"/>
    <tableColumn id="11880" name="列11837"/>
    <tableColumn id="11881" name="列11838"/>
    <tableColumn id="11882" name="列11839"/>
    <tableColumn id="11883" name="列11840"/>
    <tableColumn id="11884" name="列11841"/>
    <tableColumn id="11885" name="列11842"/>
    <tableColumn id="11886" name="列11843"/>
    <tableColumn id="11887" name="列11844"/>
    <tableColumn id="11888" name="列11845"/>
    <tableColumn id="11889" name="列11846"/>
    <tableColumn id="11890" name="列11847"/>
    <tableColumn id="11891" name="列11848"/>
    <tableColumn id="11892" name="列11849"/>
    <tableColumn id="11893" name="列11850"/>
    <tableColumn id="11894" name="列11851"/>
    <tableColumn id="11895" name="列11852"/>
    <tableColumn id="11896" name="列11853"/>
    <tableColumn id="11897" name="列11854"/>
    <tableColumn id="11898" name="列11855"/>
    <tableColumn id="11899" name="列11856"/>
    <tableColumn id="11900" name="列11857"/>
    <tableColumn id="11901" name="列11858"/>
    <tableColumn id="11902" name="列11859"/>
    <tableColumn id="11903" name="列11860"/>
    <tableColumn id="11904" name="列11861"/>
    <tableColumn id="11905" name="列11862"/>
    <tableColumn id="11906" name="列11863"/>
    <tableColumn id="11907" name="列11864"/>
    <tableColumn id="11908" name="列11865"/>
    <tableColumn id="11909" name="列11866"/>
    <tableColumn id="11910" name="列11867"/>
    <tableColumn id="11911" name="列11868"/>
    <tableColumn id="11912" name="列11869"/>
    <tableColumn id="11913" name="列11870"/>
    <tableColumn id="11914" name="列11871"/>
    <tableColumn id="11915" name="列11872"/>
    <tableColumn id="11916" name="列11873"/>
    <tableColumn id="11917" name="列11874"/>
    <tableColumn id="11918" name="列11875"/>
    <tableColumn id="11919" name="列11876"/>
    <tableColumn id="11920" name="列11877"/>
    <tableColumn id="11921" name="列11878"/>
    <tableColumn id="11922" name="列11879"/>
    <tableColumn id="11923" name="列11880"/>
    <tableColumn id="11924" name="列11881"/>
    <tableColumn id="11925" name="列11882"/>
    <tableColumn id="11926" name="列11883"/>
    <tableColumn id="11927" name="列11884"/>
    <tableColumn id="11928" name="列11885"/>
    <tableColumn id="11929" name="列11886"/>
    <tableColumn id="11930" name="列11887"/>
    <tableColumn id="11931" name="列11888"/>
    <tableColumn id="11932" name="列11889"/>
    <tableColumn id="11933" name="列11890"/>
    <tableColumn id="11934" name="列11891"/>
    <tableColumn id="11935" name="列11892"/>
    <tableColumn id="11936" name="列11893"/>
    <tableColumn id="11937" name="列11894"/>
    <tableColumn id="11938" name="列11895"/>
    <tableColumn id="11939" name="列11896"/>
    <tableColumn id="11940" name="列11897"/>
    <tableColumn id="11941" name="列11898"/>
    <tableColumn id="11942" name="列11899"/>
    <tableColumn id="11943" name="列11900"/>
    <tableColumn id="11944" name="列11901"/>
    <tableColumn id="11945" name="列11902"/>
    <tableColumn id="11946" name="列11903"/>
    <tableColumn id="11947" name="列11904"/>
    <tableColumn id="11948" name="列11905"/>
    <tableColumn id="11949" name="列11906"/>
    <tableColumn id="11950" name="列11907"/>
    <tableColumn id="11951" name="列11908"/>
    <tableColumn id="11952" name="列11909"/>
    <tableColumn id="11953" name="列11910"/>
    <tableColumn id="11954" name="列11911"/>
    <tableColumn id="11955" name="列11912"/>
    <tableColumn id="11956" name="列11913"/>
    <tableColumn id="11957" name="列11914"/>
    <tableColumn id="11958" name="列11915"/>
    <tableColumn id="11959" name="列11916"/>
    <tableColumn id="11960" name="列11917"/>
    <tableColumn id="11961" name="列11918"/>
    <tableColumn id="11962" name="列11919"/>
    <tableColumn id="11963" name="列11920"/>
    <tableColumn id="11964" name="列11921"/>
    <tableColumn id="11965" name="列11922"/>
    <tableColumn id="11966" name="列11923"/>
    <tableColumn id="11967" name="列11924"/>
    <tableColumn id="11968" name="列11925"/>
    <tableColumn id="11969" name="列11926"/>
    <tableColumn id="11970" name="列11927"/>
    <tableColumn id="11971" name="列11928"/>
    <tableColumn id="11972" name="列11929"/>
    <tableColumn id="11973" name="列11930"/>
    <tableColumn id="11974" name="列11931"/>
    <tableColumn id="11975" name="列11932"/>
    <tableColumn id="11976" name="列11933"/>
    <tableColumn id="11977" name="列11934"/>
    <tableColumn id="11978" name="列11935"/>
    <tableColumn id="11979" name="列11936"/>
    <tableColumn id="11980" name="列11937"/>
    <tableColumn id="11981" name="列11938"/>
    <tableColumn id="11982" name="列11939"/>
    <tableColumn id="11983" name="列11940"/>
    <tableColumn id="11984" name="列11941"/>
    <tableColumn id="11985" name="列11942"/>
    <tableColumn id="11986" name="列11943"/>
    <tableColumn id="11987" name="列11944"/>
    <tableColumn id="11988" name="列11945"/>
    <tableColumn id="11989" name="列11946"/>
    <tableColumn id="11990" name="列11947"/>
    <tableColumn id="11991" name="列11948"/>
    <tableColumn id="11992" name="列11949"/>
    <tableColumn id="11993" name="列11950"/>
    <tableColumn id="11994" name="列11951"/>
    <tableColumn id="11995" name="列11952"/>
    <tableColumn id="11996" name="列11953"/>
    <tableColumn id="11997" name="列11954"/>
    <tableColumn id="11998" name="列11955"/>
    <tableColumn id="11999" name="列11956"/>
    <tableColumn id="12000" name="列11957"/>
    <tableColumn id="12001" name="列11958"/>
    <tableColumn id="12002" name="列11959"/>
    <tableColumn id="12003" name="列11960"/>
    <tableColumn id="12004" name="列11961"/>
    <tableColumn id="12005" name="列11962"/>
    <tableColumn id="12006" name="列11963"/>
    <tableColumn id="12007" name="列11964"/>
    <tableColumn id="12008" name="列11965"/>
    <tableColumn id="12009" name="列11966"/>
    <tableColumn id="12010" name="列11967"/>
    <tableColumn id="12011" name="列11968"/>
    <tableColumn id="12012" name="列11969"/>
    <tableColumn id="12013" name="列11970"/>
    <tableColumn id="12014" name="列11971"/>
    <tableColumn id="12015" name="列11972"/>
    <tableColumn id="12016" name="列11973"/>
    <tableColumn id="12017" name="列11974"/>
    <tableColumn id="12018" name="列11975"/>
    <tableColumn id="12019" name="列11976"/>
    <tableColumn id="12020" name="列11977"/>
    <tableColumn id="12021" name="列11978"/>
    <tableColumn id="12022" name="列11979"/>
    <tableColumn id="12023" name="列11980"/>
    <tableColumn id="12024" name="列11981"/>
    <tableColumn id="12025" name="列11982"/>
    <tableColumn id="12026" name="列11983"/>
    <tableColumn id="12027" name="列11984"/>
    <tableColumn id="12028" name="列11985"/>
    <tableColumn id="12029" name="列11986"/>
    <tableColumn id="12030" name="列11987"/>
    <tableColumn id="12031" name="列11988"/>
    <tableColumn id="12032" name="列11989"/>
    <tableColumn id="12033" name="列11990"/>
    <tableColumn id="12034" name="列11991"/>
    <tableColumn id="12035" name="列11992"/>
    <tableColumn id="12036" name="列11993"/>
    <tableColumn id="12037" name="列11994"/>
    <tableColumn id="12038" name="列11995"/>
    <tableColumn id="12039" name="列11996"/>
    <tableColumn id="12040" name="列11997"/>
    <tableColumn id="12041" name="列11998"/>
    <tableColumn id="12042" name="列11999"/>
    <tableColumn id="12043" name="列12000"/>
    <tableColumn id="12044" name="列12001"/>
    <tableColumn id="12045" name="列12002"/>
    <tableColumn id="12046" name="列12003"/>
    <tableColumn id="12047" name="列12004"/>
    <tableColumn id="12048" name="列12005"/>
    <tableColumn id="12049" name="列12006"/>
    <tableColumn id="12050" name="列12007"/>
    <tableColumn id="12051" name="列12008"/>
    <tableColumn id="12052" name="列12009"/>
    <tableColumn id="12053" name="列12010"/>
    <tableColumn id="12054" name="列12011"/>
    <tableColumn id="12055" name="列12012"/>
    <tableColumn id="12056" name="列12013"/>
    <tableColumn id="12057" name="列12014"/>
    <tableColumn id="12058" name="列12015"/>
    <tableColumn id="12059" name="列12016"/>
    <tableColumn id="12060" name="列12017"/>
    <tableColumn id="12061" name="列12018"/>
    <tableColumn id="12062" name="列12019"/>
    <tableColumn id="12063" name="列12020"/>
    <tableColumn id="12064" name="列12021"/>
    <tableColumn id="12065" name="列12022"/>
    <tableColumn id="12066" name="列12023"/>
    <tableColumn id="12067" name="列12024"/>
    <tableColumn id="12068" name="列12025"/>
    <tableColumn id="12069" name="列12026"/>
    <tableColumn id="12070" name="列12027"/>
    <tableColumn id="12071" name="列12028"/>
    <tableColumn id="12072" name="列12029"/>
    <tableColumn id="12073" name="列12030"/>
    <tableColumn id="12074" name="列12031"/>
    <tableColumn id="12075" name="列12032"/>
    <tableColumn id="12076" name="列12033"/>
    <tableColumn id="12077" name="列12034"/>
    <tableColumn id="12078" name="列12035"/>
    <tableColumn id="12079" name="列12036"/>
    <tableColumn id="12080" name="列12037"/>
    <tableColumn id="12081" name="列12038"/>
    <tableColumn id="12082" name="列12039"/>
    <tableColumn id="12083" name="列12040"/>
    <tableColumn id="12084" name="列12041"/>
    <tableColumn id="12085" name="列12042"/>
    <tableColumn id="12086" name="列12043"/>
    <tableColumn id="12087" name="列12044"/>
    <tableColumn id="12088" name="列12045"/>
    <tableColumn id="12089" name="列12046"/>
    <tableColumn id="12090" name="列12047"/>
    <tableColumn id="12091" name="列12048"/>
    <tableColumn id="12092" name="列12049"/>
    <tableColumn id="12093" name="列12050"/>
    <tableColumn id="12094" name="列12051"/>
    <tableColumn id="12095" name="列12052"/>
    <tableColumn id="12096" name="列12053"/>
    <tableColumn id="12097" name="列12054"/>
    <tableColumn id="12098" name="列12055"/>
    <tableColumn id="12099" name="列12056"/>
    <tableColumn id="12100" name="列12057"/>
    <tableColumn id="12101" name="列12058"/>
    <tableColumn id="12102" name="列12059"/>
    <tableColumn id="12103" name="列12060"/>
    <tableColumn id="12104" name="列12061"/>
    <tableColumn id="12105" name="列12062"/>
    <tableColumn id="12106" name="列12063"/>
    <tableColumn id="12107" name="列12064"/>
    <tableColumn id="12108" name="列12065"/>
    <tableColumn id="12109" name="列12066"/>
    <tableColumn id="12110" name="列12067"/>
    <tableColumn id="12111" name="列12068"/>
    <tableColumn id="12112" name="列12069"/>
    <tableColumn id="12113" name="列12070"/>
    <tableColumn id="12114" name="列12071"/>
    <tableColumn id="12115" name="列12072"/>
    <tableColumn id="12116" name="列12073"/>
    <tableColumn id="12117" name="列12074"/>
    <tableColumn id="12118" name="列12075"/>
    <tableColumn id="12119" name="列12076"/>
    <tableColumn id="12120" name="列12077"/>
    <tableColumn id="12121" name="列12078"/>
    <tableColumn id="12122" name="列12079"/>
    <tableColumn id="12123" name="列12080"/>
    <tableColumn id="12124" name="列12081"/>
    <tableColumn id="12125" name="列12082"/>
    <tableColumn id="12126" name="列12083"/>
    <tableColumn id="12127" name="列12084"/>
    <tableColumn id="12128" name="列12085"/>
    <tableColumn id="12129" name="列12086"/>
    <tableColumn id="12130" name="列12087"/>
    <tableColumn id="12131" name="列12088"/>
    <tableColumn id="12132" name="列12089"/>
    <tableColumn id="12133" name="列12090"/>
    <tableColumn id="12134" name="列12091"/>
    <tableColumn id="12135" name="列12092"/>
    <tableColumn id="12136" name="列12093"/>
    <tableColumn id="12137" name="列12094"/>
    <tableColumn id="12138" name="列12095"/>
    <tableColumn id="12139" name="列12096"/>
    <tableColumn id="12140" name="列12097"/>
    <tableColumn id="12141" name="列12098"/>
    <tableColumn id="12142" name="列12099"/>
    <tableColumn id="12143" name="列12100"/>
    <tableColumn id="12144" name="列12101"/>
    <tableColumn id="12145" name="列12102"/>
    <tableColumn id="12146" name="列12103"/>
    <tableColumn id="12147" name="列12104"/>
    <tableColumn id="12148" name="列12105"/>
    <tableColumn id="12149" name="列12106"/>
    <tableColumn id="12150" name="列12107"/>
    <tableColumn id="12151" name="列12108"/>
    <tableColumn id="12152" name="列12109"/>
    <tableColumn id="12153" name="列12110"/>
    <tableColumn id="12154" name="列12111"/>
    <tableColumn id="12155" name="列12112"/>
    <tableColumn id="12156" name="列12113"/>
    <tableColumn id="12157" name="列12114"/>
    <tableColumn id="12158" name="列12115"/>
    <tableColumn id="12159" name="列12116"/>
    <tableColumn id="12160" name="列12117"/>
    <tableColumn id="12161" name="列12118"/>
    <tableColumn id="12162" name="列12119"/>
    <tableColumn id="12163" name="列12120"/>
    <tableColumn id="12164" name="列12121"/>
    <tableColumn id="12165" name="列12122"/>
    <tableColumn id="12166" name="列12123"/>
    <tableColumn id="12167" name="列12124"/>
    <tableColumn id="12168" name="列12125"/>
    <tableColumn id="12169" name="列12126"/>
    <tableColumn id="12170" name="列12127"/>
    <tableColumn id="12171" name="列12128"/>
    <tableColumn id="12172" name="列12129"/>
    <tableColumn id="12173" name="列12130"/>
    <tableColumn id="12174" name="列12131"/>
    <tableColumn id="12175" name="列12132"/>
    <tableColumn id="12176" name="列12133"/>
    <tableColumn id="12177" name="列12134"/>
    <tableColumn id="12178" name="列12135"/>
    <tableColumn id="12179" name="列12136"/>
    <tableColumn id="12180" name="列12137"/>
    <tableColumn id="12181" name="列12138"/>
    <tableColumn id="12182" name="列12139"/>
    <tableColumn id="12183" name="列12140"/>
    <tableColumn id="12184" name="列12141"/>
    <tableColumn id="12185" name="列12142"/>
    <tableColumn id="12186" name="列12143"/>
    <tableColumn id="12187" name="列12144"/>
    <tableColumn id="12188" name="列12145"/>
    <tableColumn id="12189" name="列12146"/>
    <tableColumn id="12190" name="列12147"/>
    <tableColumn id="12191" name="列12148"/>
    <tableColumn id="12192" name="列12149"/>
    <tableColumn id="12193" name="列12150"/>
    <tableColumn id="12194" name="列12151"/>
    <tableColumn id="12195" name="列12152"/>
    <tableColumn id="12196" name="列12153"/>
    <tableColumn id="12197" name="列12154"/>
    <tableColumn id="12198" name="列12155"/>
    <tableColumn id="12199" name="列12156"/>
    <tableColumn id="12200" name="列12157"/>
    <tableColumn id="12201" name="列12158"/>
    <tableColumn id="12202" name="列12159"/>
    <tableColumn id="12203" name="列12160"/>
    <tableColumn id="12204" name="列12161"/>
    <tableColumn id="12205" name="列12162"/>
    <tableColumn id="12206" name="列12163"/>
    <tableColumn id="12207" name="列12164"/>
    <tableColumn id="12208" name="列12165"/>
    <tableColumn id="12209" name="列12166"/>
    <tableColumn id="12210" name="列12167"/>
    <tableColumn id="12211" name="列12168"/>
    <tableColumn id="12212" name="列12169"/>
    <tableColumn id="12213" name="列12170"/>
    <tableColumn id="12214" name="列12171"/>
    <tableColumn id="12215" name="列12172"/>
    <tableColumn id="12216" name="列12173"/>
    <tableColumn id="12217" name="列12174"/>
    <tableColumn id="12218" name="列12175"/>
    <tableColumn id="12219" name="列12176"/>
    <tableColumn id="12220" name="列12177"/>
    <tableColumn id="12221" name="列12178"/>
    <tableColumn id="12222" name="列12179"/>
    <tableColumn id="12223" name="列12180"/>
    <tableColumn id="12224" name="列12181"/>
    <tableColumn id="12225" name="列12182"/>
    <tableColumn id="12226" name="列12183"/>
    <tableColumn id="12227" name="列12184"/>
    <tableColumn id="12228" name="列12185"/>
    <tableColumn id="12229" name="列12186"/>
    <tableColumn id="12230" name="列12187"/>
    <tableColumn id="12231" name="列12188"/>
    <tableColumn id="12232" name="列12189"/>
    <tableColumn id="12233" name="列12190"/>
    <tableColumn id="12234" name="列12191"/>
    <tableColumn id="12235" name="列12192"/>
    <tableColumn id="12236" name="列12193"/>
    <tableColumn id="12237" name="列12194"/>
    <tableColumn id="12238" name="列12195"/>
    <tableColumn id="12239" name="列12196"/>
    <tableColumn id="12240" name="列12197"/>
    <tableColumn id="12241" name="列12198"/>
    <tableColumn id="12242" name="列12199"/>
    <tableColumn id="12243" name="列12200"/>
    <tableColumn id="12244" name="列12201"/>
    <tableColumn id="12245" name="列12202"/>
    <tableColumn id="12246" name="列12203"/>
    <tableColumn id="12247" name="列12204"/>
    <tableColumn id="12248" name="列12205"/>
    <tableColumn id="12249" name="列12206"/>
    <tableColumn id="12250" name="列12207"/>
    <tableColumn id="12251" name="列12208"/>
    <tableColumn id="12252" name="列12209"/>
    <tableColumn id="12253" name="列12210"/>
    <tableColumn id="12254" name="列12211"/>
    <tableColumn id="12255" name="列12212"/>
    <tableColumn id="12256" name="列12213"/>
    <tableColumn id="12257" name="列12214"/>
    <tableColumn id="12258" name="列12215"/>
    <tableColumn id="12259" name="列12216"/>
    <tableColumn id="12260" name="列12217"/>
    <tableColumn id="12261" name="列12218"/>
    <tableColumn id="12262" name="列12219"/>
    <tableColumn id="12263" name="列12220"/>
    <tableColumn id="12264" name="列12221"/>
    <tableColumn id="12265" name="列12222"/>
    <tableColumn id="12266" name="列12223"/>
    <tableColumn id="12267" name="列12224"/>
    <tableColumn id="12268" name="列12225"/>
    <tableColumn id="12269" name="列12226"/>
    <tableColumn id="12270" name="列12227"/>
    <tableColumn id="12271" name="列12228"/>
    <tableColumn id="12272" name="列12229"/>
    <tableColumn id="12273" name="列12230"/>
    <tableColumn id="12274" name="列12231"/>
    <tableColumn id="12275" name="列12232"/>
    <tableColumn id="12276" name="列12233"/>
    <tableColumn id="12277" name="列12234"/>
    <tableColumn id="12278" name="列12235"/>
    <tableColumn id="12279" name="列12236"/>
    <tableColumn id="12280" name="列12237"/>
    <tableColumn id="12281" name="列12238"/>
    <tableColumn id="12282" name="列12239"/>
    <tableColumn id="12283" name="列12240"/>
    <tableColumn id="12284" name="列12241"/>
    <tableColumn id="12285" name="列12242"/>
    <tableColumn id="12286" name="列12243"/>
    <tableColumn id="12287" name="列12244"/>
    <tableColumn id="12288" name="列12245"/>
    <tableColumn id="12289" name="列12246"/>
    <tableColumn id="12290" name="列12247"/>
    <tableColumn id="12291" name="列12248"/>
    <tableColumn id="12292" name="列12249"/>
    <tableColumn id="12293" name="列12250"/>
    <tableColumn id="12294" name="列12251"/>
    <tableColumn id="12295" name="列12252"/>
    <tableColumn id="12296" name="列12253"/>
    <tableColumn id="12297" name="列12254"/>
    <tableColumn id="12298" name="列12255"/>
    <tableColumn id="12299" name="列12256"/>
    <tableColumn id="12300" name="列12257"/>
    <tableColumn id="12301" name="列12258"/>
    <tableColumn id="12302" name="列12259"/>
    <tableColumn id="12303" name="列12260"/>
    <tableColumn id="12304" name="列12261"/>
    <tableColumn id="12305" name="列12262"/>
    <tableColumn id="12306" name="列12263"/>
    <tableColumn id="12307" name="列12264"/>
    <tableColumn id="12308" name="列12265"/>
    <tableColumn id="12309" name="列12266"/>
    <tableColumn id="12310" name="列12267"/>
    <tableColumn id="12311" name="列12268"/>
    <tableColumn id="12312" name="列12269"/>
    <tableColumn id="12313" name="列12270"/>
    <tableColumn id="12314" name="列12271"/>
    <tableColumn id="12315" name="列12272"/>
    <tableColumn id="12316" name="列12273"/>
    <tableColumn id="12317" name="列12274"/>
    <tableColumn id="12318" name="列12275"/>
    <tableColumn id="12319" name="列12276"/>
    <tableColumn id="12320" name="列12277"/>
    <tableColumn id="12321" name="列12278"/>
    <tableColumn id="12322" name="列12279"/>
    <tableColumn id="12323" name="列12280"/>
    <tableColumn id="12324" name="列12281"/>
    <tableColumn id="12325" name="列12282"/>
    <tableColumn id="12326" name="列12283"/>
    <tableColumn id="12327" name="列12284"/>
    <tableColumn id="12328" name="列12285"/>
    <tableColumn id="12329" name="列12286"/>
    <tableColumn id="12330" name="列12287"/>
    <tableColumn id="12331" name="列12288"/>
    <tableColumn id="12332" name="列12289"/>
    <tableColumn id="12333" name="列12290"/>
    <tableColumn id="12334" name="列12291"/>
    <tableColumn id="12335" name="列12292"/>
    <tableColumn id="12336" name="列12293"/>
    <tableColumn id="12337" name="列12294"/>
    <tableColumn id="12338" name="列12295"/>
    <tableColumn id="12339" name="列12296"/>
    <tableColumn id="12340" name="列12297"/>
    <tableColumn id="12341" name="列12298"/>
    <tableColumn id="12342" name="列12299"/>
    <tableColumn id="12343" name="列12300"/>
    <tableColumn id="12344" name="列12301"/>
    <tableColumn id="12345" name="列12302"/>
    <tableColumn id="12346" name="列12303"/>
    <tableColumn id="12347" name="列12304"/>
    <tableColumn id="12348" name="列12305"/>
    <tableColumn id="12349" name="列12306"/>
    <tableColumn id="12350" name="列12307"/>
    <tableColumn id="12351" name="列12308"/>
    <tableColumn id="12352" name="列12309"/>
    <tableColumn id="12353" name="列12310"/>
    <tableColumn id="12354" name="列12311"/>
    <tableColumn id="12355" name="列12312"/>
    <tableColumn id="12356" name="列12313"/>
    <tableColumn id="12357" name="列12314"/>
    <tableColumn id="12358" name="列12315"/>
    <tableColumn id="12359" name="列12316"/>
    <tableColumn id="12360" name="列12317"/>
    <tableColumn id="12361" name="列12318"/>
    <tableColumn id="12362" name="列12319"/>
    <tableColumn id="12363" name="列12320"/>
    <tableColumn id="12364" name="列12321"/>
    <tableColumn id="12365" name="列12322"/>
    <tableColumn id="12366" name="列12323"/>
    <tableColumn id="12367" name="列12324"/>
    <tableColumn id="12368" name="列12325"/>
    <tableColumn id="12369" name="列12326"/>
    <tableColumn id="12370" name="列12327"/>
    <tableColumn id="12371" name="列12328"/>
    <tableColumn id="12372" name="列12329"/>
    <tableColumn id="12373" name="列12330"/>
    <tableColumn id="12374" name="列12331"/>
    <tableColumn id="12375" name="列12332"/>
    <tableColumn id="12376" name="列12333"/>
    <tableColumn id="12377" name="列12334"/>
    <tableColumn id="12378" name="列12335"/>
    <tableColumn id="12379" name="列12336"/>
    <tableColumn id="12380" name="列12337"/>
    <tableColumn id="12381" name="列12338"/>
    <tableColumn id="12382" name="列12339"/>
    <tableColumn id="12383" name="列12340"/>
    <tableColumn id="12384" name="列12341"/>
    <tableColumn id="12385" name="列12342"/>
    <tableColumn id="12386" name="列12343"/>
    <tableColumn id="12387" name="列12344"/>
    <tableColumn id="12388" name="列12345"/>
    <tableColumn id="12389" name="列12346"/>
    <tableColumn id="12390" name="列12347"/>
    <tableColumn id="12391" name="列12348"/>
    <tableColumn id="12392" name="列12349"/>
    <tableColumn id="12393" name="列12350"/>
    <tableColumn id="12394" name="列12351"/>
    <tableColumn id="12395" name="列12352"/>
    <tableColumn id="12396" name="列12353"/>
    <tableColumn id="12397" name="列12354"/>
    <tableColumn id="12398" name="列12355"/>
    <tableColumn id="12399" name="列12356"/>
    <tableColumn id="12400" name="列12357"/>
    <tableColumn id="12401" name="列12358"/>
    <tableColumn id="12402" name="列12359"/>
    <tableColumn id="12403" name="列12360"/>
    <tableColumn id="12404" name="列12361"/>
    <tableColumn id="12405" name="列12362"/>
    <tableColumn id="12406" name="列12363"/>
    <tableColumn id="12407" name="列12364"/>
    <tableColumn id="12408" name="列12365"/>
    <tableColumn id="12409" name="列12366"/>
    <tableColumn id="12410" name="列12367"/>
    <tableColumn id="12411" name="列12368"/>
    <tableColumn id="12412" name="列12369"/>
    <tableColumn id="12413" name="列12370"/>
    <tableColumn id="12414" name="列12371"/>
    <tableColumn id="12415" name="列12372"/>
    <tableColumn id="12416" name="列12373"/>
    <tableColumn id="12417" name="列12374"/>
    <tableColumn id="12418" name="列12375"/>
    <tableColumn id="12419" name="列12376"/>
    <tableColumn id="12420" name="列12377"/>
    <tableColumn id="12421" name="列12378"/>
    <tableColumn id="12422" name="列12379"/>
    <tableColumn id="12423" name="列12380"/>
    <tableColumn id="12424" name="列12381"/>
    <tableColumn id="12425" name="列12382"/>
    <tableColumn id="12426" name="列12383"/>
    <tableColumn id="12427" name="列12384"/>
    <tableColumn id="12428" name="列12385"/>
    <tableColumn id="12429" name="列12386"/>
    <tableColumn id="12430" name="列12387"/>
    <tableColumn id="12431" name="列12388"/>
    <tableColumn id="12432" name="列12389"/>
    <tableColumn id="12433" name="列12390"/>
    <tableColumn id="12434" name="列12391"/>
    <tableColumn id="12435" name="列12392"/>
    <tableColumn id="12436" name="列12393"/>
    <tableColumn id="12437" name="列12394"/>
    <tableColumn id="12438" name="列12395"/>
    <tableColumn id="12439" name="列12396"/>
    <tableColumn id="12440" name="列12397"/>
    <tableColumn id="12441" name="列12398"/>
    <tableColumn id="12442" name="列12399"/>
    <tableColumn id="12443" name="列12400"/>
    <tableColumn id="12444" name="列12401"/>
    <tableColumn id="12445" name="列12402"/>
    <tableColumn id="12446" name="列12403"/>
    <tableColumn id="12447" name="列12404"/>
    <tableColumn id="12448" name="列12405"/>
    <tableColumn id="12449" name="列12406"/>
    <tableColumn id="12450" name="列12407"/>
    <tableColumn id="12451" name="列12408"/>
    <tableColumn id="12452" name="列12409"/>
    <tableColumn id="12453" name="列12410"/>
    <tableColumn id="12454" name="列12411"/>
    <tableColumn id="12455" name="列12412"/>
    <tableColumn id="12456" name="列12413"/>
    <tableColumn id="12457" name="列12414"/>
    <tableColumn id="12458" name="列12415"/>
    <tableColumn id="12459" name="列12416"/>
    <tableColumn id="12460" name="列12417"/>
    <tableColumn id="12461" name="列12418"/>
    <tableColumn id="12462" name="列12419"/>
    <tableColumn id="12463" name="列12420"/>
    <tableColumn id="12464" name="列12421"/>
    <tableColumn id="12465" name="列12422"/>
    <tableColumn id="12466" name="列12423"/>
    <tableColumn id="12467" name="列12424"/>
    <tableColumn id="12468" name="列12425"/>
    <tableColumn id="12469" name="列12426"/>
    <tableColumn id="12470" name="列12427"/>
    <tableColumn id="12471" name="列12428"/>
    <tableColumn id="12472" name="列12429"/>
    <tableColumn id="12473" name="列12430"/>
    <tableColumn id="12474" name="列12431"/>
    <tableColumn id="12475" name="列12432"/>
    <tableColumn id="12476" name="列12433"/>
    <tableColumn id="12477" name="列12434"/>
    <tableColumn id="12478" name="列12435"/>
    <tableColumn id="12479" name="列12436"/>
    <tableColumn id="12480" name="列12437"/>
    <tableColumn id="12481" name="列12438"/>
    <tableColumn id="12482" name="列12439"/>
    <tableColumn id="12483" name="列12440"/>
    <tableColumn id="12484" name="列12441"/>
    <tableColumn id="12485" name="列12442"/>
    <tableColumn id="12486" name="列12443"/>
    <tableColumn id="12487" name="列12444"/>
    <tableColumn id="12488" name="列12445"/>
    <tableColumn id="12489" name="列12446"/>
    <tableColumn id="12490" name="列12447"/>
    <tableColumn id="12491" name="列12448"/>
    <tableColumn id="12492" name="列12449"/>
    <tableColumn id="12493" name="列12450"/>
    <tableColumn id="12494" name="列12451"/>
    <tableColumn id="12495" name="列12452"/>
    <tableColumn id="12496" name="列12453"/>
    <tableColumn id="12497" name="列12454"/>
    <tableColumn id="12498" name="列12455"/>
    <tableColumn id="12499" name="列12456"/>
    <tableColumn id="12500" name="列12457"/>
    <tableColumn id="12501" name="列12458"/>
    <tableColumn id="12502" name="列12459"/>
    <tableColumn id="12503" name="列12460"/>
    <tableColumn id="12504" name="列12461"/>
    <tableColumn id="12505" name="列12462"/>
    <tableColumn id="12506" name="列12463"/>
    <tableColumn id="12507" name="列12464"/>
    <tableColumn id="12508" name="列12465"/>
    <tableColumn id="12509" name="列12466"/>
    <tableColumn id="12510" name="列12467"/>
    <tableColumn id="12511" name="列12468"/>
    <tableColumn id="12512" name="列12469"/>
    <tableColumn id="12513" name="列12470"/>
    <tableColumn id="12514" name="列12471"/>
    <tableColumn id="12515" name="列12472"/>
    <tableColumn id="12516" name="列12473"/>
    <tableColumn id="12517" name="列12474"/>
    <tableColumn id="12518" name="列12475"/>
    <tableColumn id="12519" name="列12476"/>
    <tableColumn id="12520" name="列12477"/>
    <tableColumn id="12521" name="列12478"/>
    <tableColumn id="12522" name="列12479"/>
    <tableColumn id="12523" name="列12480"/>
    <tableColumn id="12524" name="列12481"/>
    <tableColumn id="12525" name="列12482"/>
    <tableColumn id="12526" name="列12483"/>
    <tableColumn id="12527" name="列12484"/>
    <tableColumn id="12528" name="列12485"/>
    <tableColumn id="12529" name="列12486"/>
    <tableColumn id="12530" name="列12487"/>
    <tableColumn id="12531" name="列12488"/>
    <tableColumn id="12532" name="列12489"/>
    <tableColumn id="12533" name="列12490"/>
    <tableColumn id="12534" name="列12491"/>
    <tableColumn id="12535" name="列12492"/>
    <tableColumn id="12536" name="列12493"/>
    <tableColumn id="12537" name="列12494"/>
    <tableColumn id="12538" name="列12495"/>
    <tableColumn id="12539" name="列12496"/>
    <tableColumn id="12540" name="列12497"/>
    <tableColumn id="12541" name="列12498"/>
    <tableColumn id="12542" name="列12499"/>
    <tableColumn id="12543" name="列12500"/>
    <tableColumn id="12544" name="列12501"/>
    <tableColumn id="12545" name="列12502"/>
    <tableColumn id="12546" name="列12503"/>
    <tableColumn id="12547" name="列12504"/>
    <tableColumn id="12548" name="列12505"/>
    <tableColumn id="12549" name="列12506"/>
    <tableColumn id="12550" name="列12507"/>
    <tableColumn id="12551" name="列12508"/>
    <tableColumn id="12552" name="列12509"/>
    <tableColumn id="12553" name="列12510"/>
    <tableColumn id="12554" name="列12511"/>
    <tableColumn id="12555" name="列12512"/>
    <tableColumn id="12556" name="列12513"/>
    <tableColumn id="12557" name="列12514"/>
    <tableColumn id="12558" name="列12515"/>
    <tableColumn id="12559" name="列12516"/>
    <tableColumn id="12560" name="列12517"/>
    <tableColumn id="12561" name="列12518"/>
    <tableColumn id="12562" name="列12519"/>
    <tableColumn id="12563" name="列12520"/>
    <tableColumn id="12564" name="列12521"/>
    <tableColumn id="12565" name="列12522"/>
    <tableColumn id="12566" name="列12523"/>
    <tableColumn id="12567" name="列12524"/>
    <tableColumn id="12568" name="列12525"/>
    <tableColumn id="12569" name="列12526"/>
    <tableColumn id="12570" name="列12527"/>
    <tableColumn id="12571" name="列12528"/>
    <tableColumn id="12572" name="列12529"/>
    <tableColumn id="12573" name="列12530"/>
    <tableColumn id="12574" name="列12531"/>
    <tableColumn id="12575" name="列12532"/>
    <tableColumn id="12576" name="列12533"/>
    <tableColumn id="12577" name="列12534"/>
    <tableColumn id="12578" name="列12535"/>
    <tableColumn id="12579" name="列12536"/>
    <tableColumn id="12580" name="列12537"/>
    <tableColumn id="12581" name="列12538"/>
    <tableColumn id="12582" name="列12539"/>
    <tableColumn id="12583" name="列12540"/>
    <tableColumn id="12584" name="列12541"/>
    <tableColumn id="12585" name="列12542"/>
    <tableColumn id="12586" name="列12543"/>
    <tableColumn id="12587" name="列12544"/>
    <tableColumn id="12588" name="列12545"/>
    <tableColumn id="12589" name="列12546"/>
    <tableColumn id="12590" name="列12547"/>
    <tableColumn id="12591" name="列12548"/>
    <tableColumn id="12592" name="列12549"/>
    <tableColumn id="12593" name="列12550"/>
    <tableColumn id="12594" name="列12551"/>
    <tableColumn id="12595" name="列12552"/>
    <tableColumn id="12596" name="列12553"/>
    <tableColumn id="12597" name="列12554"/>
    <tableColumn id="12598" name="列12555"/>
    <tableColumn id="12599" name="列12556"/>
    <tableColumn id="12600" name="列12557"/>
    <tableColumn id="12601" name="列12558"/>
    <tableColumn id="12602" name="列12559"/>
    <tableColumn id="12603" name="列12560"/>
    <tableColumn id="12604" name="列12561"/>
    <tableColumn id="12605" name="列12562"/>
    <tableColumn id="12606" name="列12563"/>
    <tableColumn id="12607" name="列12564"/>
    <tableColumn id="12608" name="列12565"/>
    <tableColumn id="12609" name="列12566"/>
    <tableColumn id="12610" name="列12567"/>
    <tableColumn id="12611" name="列12568"/>
    <tableColumn id="12612" name="列12569"/>
    <tableColumn id="12613" name="列12570"/>
    <tableColumn id="12614" name="列12571"/>
    <tableColumn id="12615" name="列12572"/>
    <tableColumn id="12616" name="列12573"/>
    <tableColumn id="12617" name="列12574"/>
    <tableColumn id="12618" name="列12575"/>
    <tableColumn id="12619" name="列12576"/>
    <tableColumn id="12620" name="列12577"/>
    <tableColumn id="12621" name="列12578"/>
    <tableColumn id="12622" name="列12579"/>
    <tableColumn id="12623" name="列12580"/>
    <tableColumn id="12624" name="列12581"/>
    <tableColumn id="12625" name="列12582"/>
    <tableColumn id="12626" name="列12583"/>
    <tableColumn id="12627" name="列12584"/>
    <tableColumn id="12628" name="列12585"/>
    <tableColumn id="12629" name="列12586"/>
    <tableColumn id="12630" name="列12587"/>
    <tableColumn id="12631" name="列12588"/>
    <tableColumn id="12632" name="列12589"/>
    <tableColumn id="12633" name="列12590"/>
    <tableColumn id="12634" name="列12591"/>
    <tableColumn id="12635" name="列12592"/>
    <tableColumn id="12636" name="列12593"/>
    <tableColumn id="12637" name="列12594"/>
    <tableColumn id="12638" name="列12595"/>
    <tableColumn id="12639" name="列12596"/>
    <tableColumn id="12640" name="列12597"/>
    <tableColumn id="12641" name="列12598"/>
    <tableColumn id="12642" name="列12599"/>
    <tableColumn id="12643" name="列12600"/>
    <tableColumn id="12644" name="列12601"/>
    <tableColumn id="12645" name="列12602"/>
    <tableColumn id="12646" name="列12603"/>
    <tableColumn id="12647" name="列12604"/>
    <tableColumn id="12648" name="列12605"/>
    <tableColumn id="12649" name="列12606"/>
    <tableColumn id="12650" name="列12607"/>
    <tableColumn id="12651" name="列12608"/>
    <tableColumn id="12652" name="列12609"/>
    <tableColumn id="12653" name="列12610"/>
    <tableColumn id="12654" name="列12611"/>
    <tableColumn id="12655" name="列12612"/>
    <tableColumn id="12656" name="列12613"/>
    <tableColumn id="12657" name="列12614"/>
    <tableColumn id="12658" name="列12615"/>
    <tableColumn id="12659" name="列12616"/>
    <tableColumn id="12660" name="列12617"/>
    <tableColumn id="12661" name="列12618"/>
    <tableColumn id="12662" name="列12619"/>
    <tableColumn id="12663" name="列12620"/>
    <tableColumn id="12664" name="列12621"/>
    <tableColumn id="12665" name="列12622"/>
    <tableColumn id="12666" name="列12623"/>
    <tableColumn id="12667" name="列12624"/>
    <tableColumn id="12668" name="列12625"/>
    <tableColumn id="12669" name="列12626"/>
    <tableColumn id="12670" name="列12627"/>
    <tableColumn id="12671" name="列12628"/>
    <tableColumn id="12672" name="列12629"/>
    <tableColumn id="12673" name="列12630"/>
    <tableColumn id="12674" name="列12631"/>
    <tableColumn id="12675" name="列12632"/>
    <tableColumn id="12676" name="列12633"/>
    <tableColumn id="12677" name="列12634"/>
    <tableColumn id="12678" name="列12635"/>
    <tableColumn id="12679" name="列12636"/>
    <tableColumn id="12680" name="列12637"/>
    <tableColumn id="12681" name="列12638"/>
    <tableColumn id="12682" name="列12639"/>
    <tableColumn id="12683" name="列12640"/>
    <tableColumn id="12684" name="列12641"/>
    <tableColumn id="12685" name="列12642"/>
    <tableColumn id="12686" name="列12643"/>
    <tableColumn id="12687" name="列12644"/>
    <tableColumn id="12688" name="列12645"/>
    <tableColumn id="12689" name="列12646"/>
    <tableColumn id="12690" name="列12647"/>
    <tableColumn id="12691" name="列12648"/>
    <tableColumn id="12692" name="列12649"/>
    <tableColumn id="12693" name="列12650"/>
    <tableColumn id="12694" name="列12651"/>
    <tableColumn id="12695" name="列12652"/>
    <tableColumn id="12696" name="列12653"/>
    <tableColumn id="12697" name="列12654"/>
    <tableColumn id="12698" name="列12655"/>
    <tableColumn id="12699" name="列12656"/>
    <tableColumn id="12700" name="列12657"/>
    <tableColumn id="12701" name="列12658"/>
    <tableColumn id="12702" name="列12659"/>
    <tableColumn id="12703" name="列12660"/>
    <tableColumn id="12704" name="列12661"/>
    <tableColumn id="12705" name="列12662"/>
    <tableColumn id="12706" name="列12663"/>
    <tableColumn id="12707" name="列12664"/>
    <tableColumn id="12708" name="列12665"/>
    <tableColumn id="12709" name="列12666"/>
    <tableColumn id="12710" name="列12667"/>
    <tableColumn id="12711" name="列12668"/>
    <tableColumn id="12712" name="列12669"/>
    <tableColumn id="12713" name="列12670"/>
    <tableColumn id="12714" name="列12671"/>
    <tableColumn id="12715" name="列12672"/>
    <tableColumn id="12716" name="列12673"/>
    <tableColumn id="12717" name="列12674"/>
    <tableColumn id="12718" name="列12675"/>
    <tableColumn id="12719" name="列12676"/>
    <tableColumn id="12720" name="列12677"/>
    <tableColumn id="12721" name="列12678"/>
    <tableColumn id="12722" name="列12679"/>
    <tableColumn id="12723" name="列12680"/>
    <tableColumn id="12724" name="列12681"/>
    <tableColumn id="12725" name="列12682"/>
    <tableColumn id="12726" name="列12683"/>
    <tableColumn id="12727" name="列12684"/>
    <tableColumn id="12728" name="列12685"/>
    <tableColumn id="12729" name="列12686"/>
    <tableColumn id="12730" name="列12687"/>
    <tableColumn id="12731" name="列12688"/>
    <tableColumn id="12732" name="列12689"/>
    <tableColumn id="12733" name="列12690"/>
    <tableColumn id="12734" name="列12691"/>
    <tableColumn id="12735" name="列12692"/>
    <tableColumn id="12736" name="列12693"/>
    <tableColumn id="12737" name="列12694"/>
    <tableColumn id="12738" name="列12695"/>
    <tableColumn id="12739" name="列12696"/>
    <tableColumn id="12740" name="列12697"/>
    <tableColumn id="12741" name="列12698"/>
    <tableColumn id="12742" name="列12699"/>
    <tableColumn id="12743" name="列12700"/>
    <tableColumn id="12744" name="列12701"/>
    <tableColumn id="12745" name="列12702"/>
    <tableColumn id="12746" name="列12703"/>
    <tableColumn id="12747" name="列12704"/>
    <tableColumn id="12748" name="列12705"/>
    <tableColumn id="12749" name="列12706"/>
    <tableColumn id="12750" name="列12707"/>
    <tableColumn id="12751" name="列12708"/>
    <tableColumn id="12752" name="列12709"/>
    <tableColumn id="12753" name="列12710"/>
    <tableColumn id="12754" name="列12711"/>
    <tableColumn id="12755" name="列12712"/>
    <tableColumn id="12756" name="列12713"/>
    <tableColumn id="12757" name="列12714"/>
    <tableColumn id="12758" name="列12715"/>
    <tableColumn id="12759" name="列12716"/>
    <tableColumn id="12760" name="列12717"/>
    <tableColumn id="12761" name="列12718"/>
    <tableColumn id="12762" name="列12719"/>
    <tableColumn id="12763" name="列12720"/>
    <tableColumn id="12764" name="列12721"/>
    <tableColumn id="12765" name="列12722"/>
    <tableColumn id="12766" name="列12723"/>
    <tableColumn id="12767" name="列12724"/>
    <tableColumn id="12768" name="列12725"/>
    <tableColumn id="12769" name="列12726"/>
    <tableColumn id="12770" name="列12727"/>
    <tableColumn id="12771" name="列12728"/>
    <tableColumn id="12772" name="列12729"/>
    <tableColumn id="12773" name="列12730"/>
    <tableColumn id="12774" name="列12731"/>
    <tableColumn id="12775" name="列12732"/>
    <tableColumn id="12776" name="列12733"/>
    <tableColumn id="12777" name="列12734"/>
    <tableColumn id="12778" name="列12735"/>
    <tableColumn id="12779" name="列12736"/>
    <tableColumn id="12780" name="列12737"/>
    <tableColumn id="12781" name="列12738"/>
    <tableColumn id="12782" name="列12739"/>
    <tableColumn id="12783" name="列12740"/>
    <tableColumn id="12784" name="列12741"/>
    <tableColumn id="12785" name="列12742"/>
    <tableColumn id="12786" name="列12743"/>
    <tableColumn id="12787" name="列12744"/>
    <tableColumn id="12788" name="列12745"/>
    <tableColumn id="12789" name="列12746"/>
    <tableColumn id="12790" name="列12747"/>
    <tableColumn id="12791" name="列12748"/>
    <tableColumn id="12792" name="列12749"/>
    <tableColumn id="12793" name="列12750"/>
    <tableColumn id="12794" name="列12751"/>
    <tableColumn id="12795" name="列12752"/>
    <tableColumn id="12796" name="列12753"/>
    <tableColumn id="12797" name="列12754"/>
    <tableColumn id="12798" name="列12755"/>
    <tableColumn id="12799" name="列12756"/>
    <tableColumn id="12800" name="列12757"/>
    <tableColumn id="12801" name="列12758"/>
    <tableColumn id="12802" name="列12759"/>
    <tableColumn id="12803" name="列12760"/>
    <tableColumn id="12804" name="列12761"/>
    <tableColumn id="12805" name="列12762"/>
    <tableColumn id="12806" name="列12763"/>
    <tableColumn id="12807" name="列12764"/>
    <tableColumn id="12808" name="列12765"/>
    <tableColumn id="12809" name="列12766"/>
    <tableColumn id="12810" name="列12767"/>
    <tableColumn id="12811" name="列12768"/>
    <tableColumn id="12812" name="列12769"/>
    <tableColumn id="12813" name="列12770"/>
    <tableColumn id="12814" name="列12771"/>
    <tableColumn id="12815" name="列12772"/>
    <tableColumn id="12816" name="列12773"/>
    <tableColumn id="12817" name="列12774"/>
    <tableColumn id="12818" name="列12775"/>
    <tableColumn id="12819" name="列12776"/>
    <tableColumn id="12820" name="列12777"/>
    <tableColumn id="12821" name="列12778"/>
    <tableColumn id="12822" name="列12779"/>
    <tableColumn id="12823" name="列12780"/>
    <tableColumn id="12824" name="列12781"/>
    <tableColumn id="12825" name="列12782"/>
    <tableColumn id="12826" name="列12783"/>
    <tableColumn id="12827" name="列12784"/>
    <tableColumn id="12828" name="列12785"/>
    <tableColumn id="12829" name="列12786"/>
    <tableColumn id="12830" name="列12787"/>
    <tableColumn id="12831" name="列12788"/>
    <tableColumn id="12832" name="列12789"/>
    <tableColumn id="12833" name="列12790"/>
    <tableColumn id="12834" name="列12791"/>
    <tableColumn id="12835" name="列12792"/>
    <tableColumn id="12836" name="列12793"/>
    <tableColumn id="12837" name="列12794"/>
    <tableColumn id="12838" name="列12795"/>
    <tableColumn id="12839" name="列12796"/>
    <tableColumn id="12840" name="列12797"/>
    <tableColumn id="12841" name="列12798"/>
    <tableColumn id="12842" name="列12799"/>
    <tableColumn id="12843" name="列12800"/>
    <tableColumn id="12844" name="列12801"/>
    <tableColumn id="12845" name="列12802"/>
    <tableColumn id="12846" name="列12803"/>
    <tableColumn id="12847" name="列12804"/>
    <tableColumn id="12848" name="列12805"/>
    <tableColumn id="12849" name="列12806"/>
    <tableColumn id="12850" name="列12807"/>
    <tableColumn id="12851" name="列12808"/>
    <tableColumn id="12852" name="列12809"/>
    <tableColumn id="12853" name="列12810"/>
    <tableColumn id="12854" name="列12811"/>
    <tableColumn id="12855" name="列12812"/>
    <tableColumn id="12856" name="列12813"/>
    <tableColumn id="12857" name="列12814"/>
    <tableColumn id="12858" name="列12815"/>
    <tableColumn id="12859" name="列12816"/>
    <tableColumn id="12860" name="列12817"/>
    <tableColumn id="12861" name="列12818"/>
    <tableColumn id="12862" name="列12819"/>
    <tableColumn id="12863" name="列12820"/>
    <tableColumn id="12864" name="列12821"/>
    <tableColumn id="12865" name="列12822"/>
    <tableColumn id="12866" name="列12823"/>
    <tableColumn id="12867" name="列12824"/>
    <tableColumn id="12868" name="列12825"/>
    <tableColumn id="12869" name="列12826"/>
    <tableColumn id="12870" name="列12827"/>
    <tableColumn id="12871" name="列12828"/>
    <tableColumn id="12872" name="列12829"/>
    <tableColumn id="12873" name="列12830"/>
    <tableColumn id="12874" name="列12831"/>
    <tableColumn id="12875" name="列12832"/>
    <tableColumn id="12876" name="列12833"/>
    <tableColumn id="12877" name="列12834"/>
    <tableColumn id="12878" name="列12835"/>
    <tableColumn id="12879" name="列12836"/>
    <tableColumn id="12880" name="列12837"/>
    <tableColumn id="12881" name="列12838"/>
    <tableColumn id="12882" name="列12839"/>
    <tableColumn id="12883" name="列12840"/>
    <tableColumn id="12884" name="列12841"/>
    <tableColumn id="12885" name="列12842"/>
    <tableColumn id="12886" name="列12843"/>
    <tableColumn id="12887" name="列12844"/>
    <tableColumn id="12888" name="列12845"/>
    <tableColumn id="12889" name="列12846"/>
    <tableColumn id="12890" name="列12847"/>
    <tableColumn id="12891" name="列12848"/>
    <tableColumn id="12892" name="列12849"/>
    <tableColumn id="12893" name="列12850"/>
    <tableColumn id="12894" name="列12851"/>
    <tableColumn id="12895" name="列12852"/>
    <tableColumn id="12896" name="列12853"/>
    <tableColumn id="12897" name="列12854"/>
    <tableColumn id="12898" name="列12855"/>
    <tableColumn id="12899" name="列12856"/>
    <tableColumn id="12900" name="列12857"/>
    <tableColumn id="12901" name="列12858"/>
    <tableColumn id="12902" name="列12859"/>
    <tableColumn id="12903" name="列12860"/>
    <tableColumn id="12904" name="列12861"/>
    <tableColumn id="12905" name="列12862"/>
    <tableColumn id="12906" name="列12863"/>
    <tableColumn id="12907" name="列12864"/>
    <tableColumn id="12908" name="列12865"/>
    <tableColumn id="12909" name="列12866"/>
    <tableColumn id="12910" name="列12867"/>
    <tableColumn id="12911" name="列12868"/>
    <tableColumn id="12912" name="列12869"/>
    <tableColumn id="12913" name="列12870"/>
    <tableColumn id="12914" name="列12871"/>
    <tableColumn id="12915" name="列12872"/>
    <tableColumn id="12916" name="列12873"/>
    <tableColumn id="12917" name="列12874"/>
    <tableColumn id="12918" name="列12875"/>
    <tableColumn id="12919" name="列12876"/>
    <tableColumn id="12920" name="列12877"/>
    <tableColumn id="12921" name="列12878"/>
    <tableColumn id="12922" name="列12879"/>
    <tableColumn id="12923" name="列12880"/>
    <tableColumn id="12924" name="列12881"/>
    <tableColumn id="12925" name="列12882"/>
    <tableColumn id="12926" name="列12883"/>
    <tableColumn id="12927" name="列12884"/>
    <tableColumn id="12928" name="列12885"/>
    <tableColumn id="12929" name="列12886"/>
    <tableColumn id="12930" name="列12887"/>
    <tableColumn id="12931" name="列12888"/>
    <tableColumn id="12932" name="列12889"/>
    <tableColumn id="12933" name="列12890"/>
    <tableColumn id="12934" name="列12891"/>
    <tableColumn id="12935" name="列12892"/>
    <tableColumn id="12936" name="列12893"/>
    <tableColumn id="12937" name="列12894"/>
    <tableColumn id="12938" name="列12895"/>
    <tableColumn id="12939" name="列12896"/>
    <tableColumn id="12940" name="列12897"/>
    <tableColumn id="12941" name="列12898"/>
    <tableColumn id="12942" name="列12899"/>
    <tableColumn id="12943" name="列12900"/>
    <tableColumn id="12944" name="列12901"/>
    <tableColumn id="12945" name="列12902"/>
    <tableColumn id="12946" name="列12903"/>
    <tableColumn id="12947" name="列12904"/>
    <tableColumn id="12948" name="列12905"/>
    <tableColumn id="12949" name="列12906"/>
    <tableColumn id="12950" name="列12907"/>
    <tableColumn id="12951" name="列12908"/>
    <tableColumn id="12952" name="列12909"/>
    <tableColumn id="12953" name="列12910"/>
    <tableColumn id="12954" name="列12911"/>
    <tableColumn id="12955" name="列12912"/>
    <tableColumn id="12956" name="列12913"/>
    <tableColumn id="12957" name="列12914"/>
    <tableColumn id="12958" name="列12915"/>
    <tableColumn id="12959" name="列12916"/>
    <tableColumn id="12960" name="列12917"/>
    <tableColumn id="12961" name="列12918"/>
    <tableColumn id="12962" name="列12919"/>
    <tableColumn id="12963" name="列12920"/>
    <tableColumn id="12964" name="列12921"/>
    <tableColumn id="12965" name="列12922"/>
    <tableColumn id="12966" name="列12923"/>
    <tableColumn id="12967" name="列12924"/>
    <tableColumn id="12968" name="列12925"/>
    <tableColumn id="12969" name="列12926"/>
    <tableColumn id="12970" name="列12927"/>
    <tableColumn id="12971" name="列12928"/>
    <tableColumn id="12972" name="列12929"/>
    <tableColumn id="12973" name="列12930"/>
    <tableColumn id="12974" name="列12931"/>
    <tableColumn id="12975" name="列12932"/>
    <tableColumn id="12976" name="列12933"/>
    <tableColumn id="12977" name="列12934"/>
    <tableColumn id="12978" name="列12935"/>
    <tableColumn id="12979" name="列12936"/>
    <tableColumn id="12980" name="列12937"/>
    <tableColumn id="12981" name="列12938"/>
    <tableColumn id="12982" name="列12939"/>
    <tableColumn id="12983" name="列12940"/>
    <tableColumn id="12984" name="列12941"/>
    <tableColumn id="12985" name="列12942"/>
    <tableColumn id="12986" name="列12943"/>
    <tableColumn id="12987" name="列12944"/>
    <tableColumn id="12988" name="列12945"/>
    <tableColumn id="12989" name="列12946"/>
    <tableColumn id="12990" name="列12947"/>
    <tableColumn id="12991" name="列12948"/>
    <tableColumn id="12992" name="列12949"/>
    <tableColumn id="12993" name="列12950"/>
    <tableColumn id="12994" name="列12951"/>
    <tableColumn id="12995" name="列12952"/>
    <tableColumn id="12996" name="列12953"/>
    <tableColumn id="12997" name="列12954"/>
    <tableColumn id="12998" name="列12955"/>
    <tableColumn id="12999" name="列12956"/>
    <tableColumn id="13000" name="列12957"/>
    <tableColumn id="13001" name="列12958"/>
    <tableColumn id="13002" name="列12959"/>
    <tableColumn id="13003" name="列12960"/>
    <tableColumn id="13004" name="列12961"/>
    <tableColumn id="13005" name="列12962"/>
    <tableColumn id="13006" name="列12963"/>
    <tableColumn id="13007" name="列12964"/>
    <tableColumn id="13008" name="列12965"/>
    <tableColumn id="13009" name="列12966"/>
    <tableColumn id="13010" name="列12967"/>
    <tableColumn id="13011" name="列12968"/>
    <tableColumn id="13012" name="列12969"/>
    <tableColumn id="13013" name="列12970"/>
    <tableColumn id="13014" name="列12971"/>
    <tableColumn id="13015" name="列12972"/>
    <tableColumn id="13016" name="列12973"/>
    <tableColumn id="13017" name="列12974"/>
    <tableColumn id="13018" name="列12975"/>
    <tableColumn id="13019" name="列12976"/>
    <tableColumn id="13020" name="列12977"/>
    <tableColumn id="13021" name="列12978"/>
    <tableColumn id="13022" name="列12979"/>
    <tableColumn id="13023" name="列12980"/>
    <tableColumn id="13024" name="列12981"/>
    <tableColumn id="13025" name="列12982"/>
    <tableColumn id="13026" name="列12983"/>
    <tableColumn id="13027" name="列12984"/>
    <tableColumn id="13028" name="列12985"/>
    <tableColumn id="13029" name="列12986"/>
    <tableColumn id="13030" name="列12987"/>
    <tableColumn id="13031" name="列12988"/>
    <tableColumn id="13032" name="列12989"/>
    <tableColumn id="13033" name="列12990"/>
    <tableColumn id="13034" name="列12991"/>
    <tableColumn id="13035" name="列12992"/>
    <tableColumn id="13036" name="列12993"/>
    <tableColumn id="13037" name="列12994"/>
    <tableColumn id="13038" name="列12995"/>
    <tableColumn id="13039" name="列12996"/>
    <tableColumn id="13040" name="列12997"/>
    <tableColumn id="13041" name="列12998"/>
    <tableColumn id="13042" name="列12999"/>
    <tableColumn id="13043" name="列13000"/>
    <tableColumn id="13044" name="列13001"/>
    <tableColumn id="13045" name="列13002"/>
    <tableColumn id="13046" name="列13003"/>
    <tableColumn id="13047" name="列13004"/>
    <tableColumn id="13048" name="列13005"/>
    <tableColumn id="13049" name="列13006"/>
    <tableColumn id="13050" name="列13007"/>
    <tableColumn id="13051" name="列13008"/>
    <tableColumn id="13052" name="列13009"/>
    <tableColumn id="13053" name="列13010"/>
    <tableColumn id="13054" name="列13011"/>
    <tableColumn id="13055" name="列13012"/>
    <tableColumn id="13056" name="列13013"/>
    <tableColumn id="13057" name="列13014"/>
    <tableColumn id="13058" name="列13015"/>
    <tableColumn id="13059" name="列13016"/>
    <tableColumn id="13060" name="列13017"/>
    <tableColumn id="13061" name="列13018"/>
    <tableColumn id="13062" name="列13019"/>
    <tableColumn id="13063" name="列13020"/>
    <tableColumn id="13064" name="列13021"/>
    <tableColumn id="13065" name="列13022"/>
    <tableColumn id="13066" name="列13023"/>
    <tableColumn id="13067" name="列13024"/>
    <tableColumn id="13068" name="列13025"/>
    <tableColumn id="13069" name="列13026"/>
    <tableColumn id="13070" name="列13027"/>
    <tableColumn id="13071" name="列13028"/>
    <tableColumn id="13072" name="列13029"/>
    <tableColumn id="13073" name="列13030"/>
    <tableColumn id="13074" name="列13031"/>
    <tableColumn id="13075" name="列13032"/>
    <tableColumn id="13076" name="列13033"/>
    <tableColumn id="13077" name="列13034"/>
    <tableColumn id="13078" name="列13035"/>
    <tableColumn id="13079" name="列13036"/>
    <tableColumn id="13080" name="列13037"/>
    <tableColumn id="13081" name="列13038"/>
    <tableColumn id="13082" name="列13039"/>
    <tableColumn id="13083" name="列13040"/>
    <tableColumn id="13084" name="列13041"/>
    <tableColumn id="13085" name="列13042"/>
    <tableColumn id="13086" name="列13043"/>
    <tableColumn id="13087" name="列13044"/>
    <tableColumn id="13088" name="列13045"/>
    <tableColumn id="13089" name="列13046"/>
    <tableColumn id="13090" name="列13047"/>
    <tableColumn id="13091" name="列13048"/>
    <tableColumn id="13092" name="列13049"/>
    <tableColumn id="13093" name="列13050"/>
    <tableColumn id="13094" name="列13051"/>
    <tableColumn id="13095" name="列13052"/>
    <tableColumn id="13096" name="列13053"/>
    <tableColumn id="13097" name="列13054"/>
    <tableColumn id="13098" name="列13055"/>
    <tableColumn id="13099" name="列13056"/>
    <tableColumn id="13100" name="列13057"/>
    <tableColumn id="13101" name="列13058"/>
    <tableColumn id="13102" name="列13059"/>
    <tableColumn id="13103" name="列13060"/>
    <tableColumn id="13104" name="列13061"/>
    <tableColumn id="13105" name="列13062"/>
    <tableColumn id="13106" name="列13063"/>
    <tableColumn id="13107" name="列13064"/>
    <tableColumn id="13108" name="列13065"/>
    <tableColumn id="13109" name="列13066"/>
    <tableColumn id="13110" name="列13067"/>
    <tableColumn id="13111" name="列13068"/>
    <tableColumn id="13112" name="列13069"/>
    <tableColumn id="13113" name="列13070"/>
    <tableColumn id="13114" name="列13071"/>
    <tableColumn id="13115" name="列13072"/>
    <tableColumn id="13116" name="列13073"/>
    <tableColumn id="13117" name="列13074"/>
    <tableColumn id="13118" name="列13075"/>
    <tableColumn id="13119" name="列13076"/>
    <tableColumn id="13120" name="列13077"/>
    <tableColumn id="13121" name="列13078"/>
    <tableColumn id="13122" name="列13079"/>
    <tableColumn id="13123" name="列13080"/>
    <tableColumn id="13124" name="列13081"/>
    <tableColumn id="13125" name="列13082"/>
    <tableColumn id="13126" name="列13083"/>
    <tableColumn id="13127" name="列13084"/>
    <tableColumn id="13128" name="列13085"/>
    <tableColumn id="13129" name="列13086"/>
    <tableColumn id="13130" name="列13087"/>
    <tableColumn id="13131" name="列13088"/>
    <tableColumn id="13132" name="列13089"/>
    <tableColumn id="13133" name="列13090"/>
    <tableColumn id="13134" name="列13091"/>
    <tableColumn id="13135" name="列13092"/>
    <tableColumn id="13136" name="列13093"/>
    <tableColumn id="13137" name="列13094"/>
    <tableColumn id="13138" name="列13095"/>
    <tableColumn id="13139" name="列13096"/>
    <tableColumn id="13140" name="列13097"/>
    <tableColumn id="13141" name="列13098"/>
    <tableColumn id="13142" name="列13099"/>
    <tableColumn id="13143" name="列13100"/>
    <tableColumn id="13144" name="列13101"/>
    <tableColumn id="13145" name="列13102"/>
    <tableColumn id="13146" name="列13103"/>
    <tableColumn id="13147" name="列13104"/>
    <tableColumn id="13148" name="列13105"/>
    <tableColumn id="13149" name="列13106"/>
    <tableColumn id="13150" name="列13107"/>
    <tableColumn id="13151" name="列13108"/>
    <tableColumn id="13152" name="列13109"/>
    <tableColumn id="13153" name="列13110"/>
    <tableColumn id="13154" name="列13111"/>
    <tableColumn id="13155" name="列13112"/>
    <tableColumn id="13156" name="列13113"/>
    <tableColumn id="13157" name="列13114"/>
    <tableColumn id="13158" name="列13115"/>
    <tableColumn id="13159" name="列13116"/>
    <tableColumn id="13160" name="列13117"/>
    <tableColumn id="13161" name="列13118"/>
    <tableColumn id="13162" name="列13119"/>
    <tableColumn id="13163" name="列13120"/>
    <tableColumn id="13164" name="列13121"/>
    <tableColumn id="13165" name="列13122"/>
    <tableColumn id="13166" name="列13123"/>
    <tableColumn id="13167" name="列13124"/>
    <tableColumn id="13168" name="列13125"/>
    <tableColumn id="13169" name="列13126"/>
    <tableColumn id="13170" name="列13127"/>
    <tableColumn id="13171" name="列13128"/>
    <tableColumn id="13172" name="列13129"/>
    <tableColumn id="13173" name="列13130"/>
    <tableColumn id="13174" name="列13131"/>
    <tableColumn id="13175" name="列13132"/>
    <tableColumn id="13176" name="列13133"/>
    <tableColumn id="13177" name="列13134"/>
    <tableColumn id="13178" name="列13135"/>
    <tableColumn id="13179" name="列13136"/>
    <tableColumn id="13180" name="列13137"/>
    <tableColumn id="13181" name="列13138"/>
    <tableColumn id="13182" name="列13139"/>
    <tableColumn id="13183" name="列13140"/>
    <tableColumn id="13184" name="列13141"/>
    <tableColumn id="13185" name="列13142"/>
    <tableColumn id="13186" name="列13143"/>
    <tableColumn id="13187" name="列13144"/>
    <tableColumn id="13188" name="列13145"/>
    <tableColumn id="13189" name="列13146"/>
    <tableColumn id="13190" name="列13147"/>
    <tableColumn id="13191" name="列13148"/>
    <tableColumn id="13192" name="列13149"/>
    <tableColumn id="13193" name="列13150"/>
    <tableColumn id="13194" name="列13151"/>
    <tableColumn id="13195" name="列13152"/>
    <tableColumn id="13196" name="列13153"/>
    <tableColumn id="13197" name="列13154"/>
    <tableColumn id="13198" name="列13155"/>
    <tableColumn id="13199" name="列13156"/>
    <tableColumn id="13200" name="列13157"/>
    <tableColumn id="13201" name="列13158"/>
    <tableColumn id="13202" name="列13159"/>
    <tableColumn id="13203" name="列13160"/>
    <tableColumn id="13204" name="列13161"/>
    <tableColumn id="13205" name="列13162"/>
    <tableColumn id="13206" name="列13163"/>
    <tableColumn id="13207" name="列13164"/>
    <tableColumn id="13208" name="列13165"/>
    <tableColumn id="13209" name="列13166"/>
    <tableColumn id="13210" name="列13167"/>
    <tableColumn id="13211" name="列13168"/>
    <tableColumn id="13212" name="列13169"/>
    <tableColumn id="13213" name="列13170"/>
    <tableColumn id="13214" name="列13171"/>
    <tableColumn id="13215" name="列13172"/>
    <tableColumn id="13216" name="列13173"/>
    <tableColumn id="13217" name="列13174"/>
    <tableColumn id="13218" name="列13175"/>
    <tableColumn id="13219" name="列13176"/>
    <tableColumn id="13220" name="列13177"/>
    <tableColumn id="13221" name="列13178"/>
    <tableColumn id="13222" name="列13179"/>
    <tableColumn id="13223" name="列13180"/>
    <tableColumn id="13224" name="列13181"/>
    <tableColumn id="13225" name="列13182"/>
    <tableColumn id="13226" name="列13183"/>
    <tableColumn id="13227" name="列13184"/>
    <tableColumn id="13228" name="列13185"/>
    <tableColumn id="13229" name="列13186"/>
    <tableColumn id="13230" name="列13187"/>
    <tableColumn id="13231" name="列13188"/>
    <tableColumn id="13232" name="列13189"/>
    <tableColumn id="13233" name="列13190"/>
    <tableColumn id="13234" name="列13191"/>
    <tableColumn id="13235" name="列13192"/>
    <tableColumn id="13236" name="列13193"/>
    <tableColumn id="13237" name="列13194"/>
    <tableColumn id="13238" name="列13195"/>
    <tableColumn id="13239" name="列13196"/>
    <tableColumn id="13240" name="列13197"/>
    <tableColumn id="13241" name="列13198"/>
    <tableColumn id="13242" name="列13199"/>
    <tableColumn id="13243" name="列13200"/>
    <tableColumn id="13244" name="列13201"/>
    <tableColumn id="13245" name="列13202"/>
    <tableColumn id="13246" name="列13203"/>
    <tableColumn id="13247" name="列13204"/>
    <tableColumn id="13248" name="列13205"/>
    <tableColumn id="13249" name="列13206"/>
    <tableColumn id="13250" name="列13207"/>
    <tableColumn id="13251" name="列13208"/>
    <tableColumn id="13252" name="列13209"/>
    <tableColumn id="13253" name="列13210"/>
    <tableColumn id="13254" name="列13211"/>
    <tableColumn id="13255" name="列13212"/>
    <tableColumn id="13256" name="列13213"/>
    <tableColumn id="13257" name="列13214"/>
    <tableColumn id="13258" name="列13215"/>
    <tableColumn id="13259" name="列13216"/>
    <tableColumn id="13260" name="列13217"/>
    <tableColumn id="13261" name="列13218"/>
    <tableColumn id="13262" name="列13219"/>
    <tableColumn id="13263" name="列13220"/>
    <tableColumn id="13264" name="列13221"/>
    <tableColumn id="13265" name="列13222"/>
    <tableColumn id="13266" name="列13223"/>
    <tableColumn id="13267" name="列13224"/>
    <tableColumn id="13268" name="列13225"/>
    <tableColumn id="13269" name="列13226"/>
    <tableColumn id="13270" name="列13227"/>
    <tableColumn id="13271" name="列13228"/>
    <tableColumn id="13272" name="列13229"/>
    <tableColumn id="13273" name="列13230"/>
    <tableColumn id="13274" name="列13231"/>
    <tableColumn id="13275" name="列13232"/>
    <tableColumn id="13276" name="列13233"/>
    <tableColumn id="13277" name="列13234"/>
    <tableColumn id="13278" name="列13235"/>
    <tableColumn id="13279" name="列13236"/>
    <tableColumn id="13280" name="列13237"/>
    <tableColumn id="13281" name="列13238"/>
    <tableColumn id="13282" name="列13239"/>
    <tableColumn id="13283" name="列13240"/>
    <tableColumn id="13284" name="列13241"/>
    <tableColumn id="13285" name="列13242"/>
    <tableColumn id="13286" name="列13243"/>
    <tableColumn id="13287" name="列13244"/>
    <tableColumn id="13288" name="列13245"/>
    <tableColumn id="13289" name="列13246"/>
    <tableColumn id="13290" name="列13247"/>
    <tableColumn id="13291" name="列13248"/>
    <tableColumn id="13292" name="列13249"/>
    <tableColumn id="13293" name="列13250"/>
    <tableColumn id="13294" name="列13251"/>
    <tableColumn id="13295" name="列13252"/>
    <tableColumn id="13296" name="列13253"/>
    <tableColumn id="13297" name="列13254"/>
    <tableColumn id="13298" name="列13255"/>
    <tableColumn id="13299" name="列13256"/>
    <tableColumn id="13300" name="列13257"/>
    <tableColumn id="13301" name="列13258"/>
    <tableColumn id="13302" name="列13259"/>
    <tableColumn id="13303" name="列13260"/>
    <tableColumn id="13304" name="列13261"/>
    <tableColumn id="13305" name="列13262"/>
    <tableColumn id="13306" name="列13263"/>
    <tableColumn id="13307" name="列13264"/>
    <tableColumn id="13308" name="列13265"/>
    <tableColumn id="13309" name="列13266"/>
    <tableColumn id="13310" name="列13267"/>
    <tableColumn id="13311" name="列13268"/>
    <tableColumn id="13312" name="列13269"/>
    <tableColumn id="13313" name="列13270"/>
    <tableColumn id="13314" name="列13271"/>
    <tableColumn id="13315" name="列13272"/>
    <tableColumn id="13316" name="列13273"/>
    <tableColumn id="13317" name="列13274"/>
    <tableColumn id="13318" name="列13275"/>
    <tableColumn id="13319" name="列13276"/>
    <tableColumn id="13320" name="列13277"/>
    <tableColumn id="13321" name="列13278"/>
    <tableColumn id="13322" name="列13279"/>
    <tableColumn id="13323" name="列13280"/>
    <tableColumn id="13324" name="列13281"/>
    <tableColumn id="13325" name="列13282"/>
    <tableColumn id="13326" name="列13283"/>
    <tableColumn id="13327" name="列13284"/>
    <tableColumn id="13328" name="列13285"/>
    <tableColumn id="13329" name="列13286"/>
    <tableColumn id="13330" name="列13287"/>
    <tableColumn id="13331" name="列13288"/>
    <tableColumn id="13332" name="列13289"/>
    <tableColumn id="13333" name="列13290"/>
    <tableColumn id="13334" name="列13291"/>
    <tableColumn id="13335" name="列13292"/>
    <tableColumn id="13336" name="列13293"/>
    <tableColumn id="13337" name="列13294"/>
    <tableColumn id="13338" name="列13295"/>
    <tableColumn id="13339" name="列13296"/>
    <tableColumn id="13340" name="列13297"/>
    <tableColumn id="13341" name="列13298"/>
    <tableColumn id="13342" name="列13299"/>
    <tableColumn id="13343" name="列13300"/>
    <tableColumn id="13344" name="列13301"/>
    <tableColumn id="13345" name="列13302"/>
    <tableColumn id="13346" name="列13303"/>
    <tableColumn id="13347" name="列13304"/>
    <tableColumn id="13348" name="列13305"/>
    <tableColumn id="13349" name="列13306"/>
    <tableColumn id="13350" name="列13307"/>
    <tableColumn id="13351" name="列13308"/>
    <tableColumn id="13352" name="列13309"/>
    <tableColumn id="13353" name="列13310"/>
    <tableColumn id="13354" name="列13311"/>
    <tableColumn id="13355" name="列13312"/>
    <tableColumn id="13356" name="列13313"/>
    <tableColumn id="13357" name="列13314"/>
    <tableColumn id="13358" name="列13315"/>
    <tableColumn id="13359" name="列13316"/>
    <tableColumn id="13360" name="列13317"/>
    <tableColumn id="13361" name="列13318"/>
    <tableColumn id="13362" name="列13319"/>
    <tableColumn id="13363" name="列13320"/>
    <tableColumn id="13364" name="列13321"/>
    <tableColumn id="13365" name="列13322"/>
    <tableColumn id="13366" name="列13323"/>
    <tableColumn id="13367" name="列13324"/>
    <tableColumn id="13368" name="列13325"/>
    <tableColumn id="13369" name="列13326"/>
    <tableColumn id="13370" name="列13327"/>
    <tableColumn id="13371" name="列13328"/>
    <tableColumn id="13372" name="列13329"/>
    <tableColumn id="13373" name="列13330"/>
    <tableColumn id="13374" name="列13331"/>
    <tableColumn id="13375" name="列13332"/>
    <tableColumn id="13376" name="列13333"/>
    <tableColumn id="13377" name="列13334"/>
    <tableColumn id="13378" name="列13335"/>
    <tableColumn id="13379" name="列13336"/>
    <tableColumn id="13380" name="列13337"/>
    <tableColumn id="13381" name="列13338"/>
    <tableColumn id="13382" name="列13339"/>
    <tableColumn id="13383" name="列13340"/>
    <tableColumn id="13384" name="列13341"/>
    <tableColumn id="13385" name="列13342"/>
    <tableColumn id="13386" name="列13343"/>
    <tableColumn id="13387" name="列13344"/>
    <tableColumn id="13388" name="列13345"/>
    <tableColumn id="13389" name="列13346"/>
    <tableColumn id="13390" name="列13347"/>
    <tableColumn id="13391" name="列13348"/>
    <tableColumn id="13392" name="列13349"/>
    <tableColumn id="13393" name="列13350"/>
    <tableColumn id="13394" name="列13351"/>
    <tableColumn id="13395" name="列13352"/>
    <tableColumn id="13396" name="列13353"/>
    <tableColumn id="13397" name="列13354"/>
    <tableColumn id="13398" name="列13355"/>
    <tableColumn id="13399" name="列13356"/>
    <tableColumn id="13400" name="列13357"/>
    <tableColumn id="13401" name="列13358"/>
    <tableColumn id="13402" name="列13359"/>
    <tableColumn id="13403" name="列13360"/>
    <tableColumn id="13404" name="列13361"/>
    <tableColumn id="13405" name="列13362"/>
    <tableColumn id="13406" name="列13363"/>
    <tableColumn id="13407" name="列13364"/>
    <tableColumn id="13408" name="列13365"/>
    <tableColumn id="13409" name="列13366"/>
    <tableColumn id="13410" name="列13367"/>
    <tableColumn id="13411" name="列13368"/>
    <tableColumn id="13412" name="列13369"/>
    <tableColumn id="13413" name="列13370"/>
    <tableColumn id="13414" name="列13371"/>
    <tableColumn id="13415" name="列13372"/>
    <tableColumn id="13416" name="列13373"/>
    <tableColumn id="13417" name="列13374"/>
    <tableColumn id="13418" name="列13375"/>
    <tableColumn id="13419" name="列13376"/>
    <tableColumn id="13420" name="列13377"/>
    <tableColumn id="13421" name="列13378"/>
    <tableColumn id="13422" name="列13379"/>
    <tableColumn id="13423" name="列13380"/>
    <tableColumn id="13424" name="列13381"/>
    <tableColumn id="13425" name="列13382"/>
    <tableColumn id="13426" name="列13383"/>
    <tableColumn id="13427" name="列13384"/>
    <tableColumn id="13428" name="列13385"/>
    <tableColumn id="13429" name="列13386"/>
    <tableColumn id="13430" name="列13387"/>
    <tableColumn id="13431" name="列13388"/>
    <tableColumn id="13432" name="列13389"/>
    <tableColumn id="13433" name="列13390"/>
    <tableColumn id="13434" name="列13391"/>
    <tableColumn id="13435" name="列13392"/>
    <tableColumn id="13436" name="列13393"/>
    <tableColumn id="13437" name="列13394"/>
    <tableColumn id="13438" name="列13395"/>
    <tableColumn id="13439" name="列13396"/>
    <tableColumn id="13440" name="列13397"/>
    <tableColumn id="13441" name="列13398"/>
    <tableColumn id="13442" name="列13399"/>
    <tableColumn id="13443" name="列13400"/>
    <tableColumn id="13444" name="列13401"/>
    <tableColumn id="13445" name="列13402"/>
    <tableColumn id="13446" name="列13403"/>
    <tableColumn id="13447" name="列13404"/>
    <tableColumn id="13448" name="列13405"/>
    <tableColumn id="13449" name="列13406"/>
    <tableColumn id="13450" name="列13407"/>
    <tableColumn id="13451" name="列13408"/>
    <tableColumn id="13452" name="列13409"/>
    <tableColumn id="13453" name="列13410"/>
    <tableColumn id="13454" name="列13411"/>
    <tableColumn id="13455" name="列13412"/>
    <tableColumn id="13456" name="列13413"/>
    <tableColumn id="13457" name="列13414"/>
    <tableColumn id="13458" name="列13415"/>
    <tableColumn id="13459" name="列13416"/>
    <tableColumn id="13460" name="列13417"/>
    <tableColumn id="13461" name="列13418"/>
    <tableColumn id="13462" name="列13419"/>
    <tableColumn id="13463" name="列13420"/>
    <tableColumn id="13464" name="列13421"/>
    <tableColumn id="13465" name="列13422"/>
    <tableColumn id="13466" name="列13423"/>
    <tableColumn id="13467" name="列13424"/>
    <tableColumn id="13468" name="列13425"/>
    <tableColumn id="13469" name="列13426"/>
    <tableColumn id="13470" name="列13427"/>
    <tableColumn id="13471" name="列13428"/>
    <tableColumn id="13472" name="列13429"/>
    <tableColumn id="13473" name="列13430"/>
    <tableColumn id="13474" name="列13431"/>
    <tableColumn id="13475" name="列13432"/>
    <tableColumn id="13476" name="列13433"/>
    <tableColumn id="13477" name="列13434"/>
    <tableColumn id="13478" name="列13435"/>
    <tableColumn id="13479" name="列13436"/>
    <tableColumn id="13480" name="列13437"/>
    <tableColumn id="13481" name="列13438"/>
    <tableColumn id="13482" name="列13439"/>
    <tableColumn id="13483" name="列13440"/>
    <tableColumn id="13484" name="列13441"/>
    <tableColumn id="13485" name="列13442"/>
    <tableColumn id="13486" name="列13443"/>
    <tableColumn id="13487" name="列13444"/>
    <tableColumn id="13488" name="列13445"/>
    <tableColumn id="13489" name="列13446"/>
    <tableColumn id="13490" name="列13447"/>
    <tableColumn id="13491" name="列13448"/>
    <tableColumn id="13492" name="列13449"/>
    <tableColumn id="13493" name="列13450"/>
    <tableColumn id="13494" name="列13451"/>
    <tableColumn id="13495" name="列13452"/>
    <tableColumn id="13496" name="列13453"/>
    <tableColumn id="13497" name="列13454"/>
    <tableColumn id="13498" name="列13455"/>
    <tableColumn id="13499" name="列13456"/>
    <tableColumn id="13500" name="列13457"/>
    <tableColumn id="13501" name="列13458"/>
    <tableColumn id="13502" name="列13459"/>
    <tableColumn id="13503" name="列13460"/>
    <tableColumn id="13504" name="列13461"/>
    <tableColumn id="13505" name="列13462"/>
    <tableColumn id="13506" name="列13463"/>
    <tableColumn id="13507" name="列13464"/>
    <tableColumn id="13508" name="列13465"/>
    <tableColumn id="13509" name="列13466"/>
    <tableColumn id="13510" name="列13467"/>
    <tableColumn id="13511" name="列13468"/>
    <tableColumn id="13512" name="列13469"/>
    <tableColumn id="13513" name="列13470"/>
    <tableColumn id="13514" name="列13471"/>
    <tableColumn id="13515" name="列13472"/>
    <tableColumn id="13516" name="列13473"/>
    <tableColumn id="13517" name="列13474"/>
    <tableColumn id="13518" name="列13475"/>
    <tableColumn id="13519" name="列13476"/>
    <tableColumn id="13520" name="列13477"/>
    <tableColumn id="13521" name="列13478"/>
    <tableColumn id="13522" name="列13479"/>
    <tableColumn id="13523" name="列13480"/>
    <tableColumn id="13524" name="列13481"/>
    <tableColumn id="13525" name="列13482"/>
    <tableColumn id="13526" name="列13483"/>
    <tableColumn id="13527" name="列13484"/>
    <tableColumn id="13528" name="列13485"/>
    <tableColumn id="13529" name="列13486"/>
    <tableColumn id="13530" name="列13487"/>
    <tableColumn id="13531" name="列13488"/>
    <tableColumn id="13532" name="列13489"/>
    <tableColumn id="13533" name="列13490"/>
    <tableColumn id="13534" name="列13491"/>
    <tableColumn id="13535" name="列13492"/>
    <tableColumn id="13536" name="列13493"/>
    <tableColumn id="13537" name="列13494"/>
    <tableColumn id="13538" name="列13495"/>
    <tableColumn id="13539" name="列13496"/>
    <tableColumn id="13540" name="列13497"/>
    <tableColumn id="13541" name="列13498"/>
    <tableColumn id="13542" name="列13499"/>
    <tableColumn id="13543" name="列13500"/>
    <tableColumn id="13544" name="列13501"/>
    <tableColumn id="13545" name="列13502"/>
    <tableColumn id="13546" name="列13503"/>
    <tableColumn id="13547" name="列13504"/>
    <tableColumn id="13548" name="列13505"/>
    <tableColumn id="13549" name="列13506"/>
    <tableColumn id="13550" name="列13507"/>
    <tableColumn id="13551" name="列13508"/>
    <tableColumn id="13552" name="列13509"/>
    <tableColumn id="13553" name="列13510"/>
    <tableColumn id="13554" name="列13511"/>
    <tableColumn id="13555" name="列13512"/>
    <tableColumn id="13556" name="列13513"/>
    <tableColumn id="13557" name="列13514"/>
    <tableColumn id="13558" name="列13515"/>
    <tableColumn id="13559" name="列13516"/>
    <tableColumn id="13560" name="列13517"/>
    <tableColumn id="13561" name="列13518"/>
    <tableColumn id="13562" name="列13519"/>
    <tableColumn id="13563" name="列13520"/>
    <tableColumn id="13564" name="列13521"/>
    <tableColumn id="13565" name="列13522"/>
    <tableColumn id="13566" name="列13523"/>
    <tableColumn id="13567" name="列13524"/>
    <tableColumn id="13568" name="列13525"/>
    <tableColumn id="13569" name="列13526"/>
    <tableColumn id="13570" name="列13527"/>
    <tableColumn id="13571" name="列13528"/>
    <tableColumn id="13572" name="列13529"/>
    <tableColumn id="13573" name="列13530"/>
    <tableColumn id="13574" name="列13531"/>
    <tableColumn id="13575" name="列13532"/>
    <tableColumn id="13576" name="列13533"/>
    <tableColumn id="13577" name="列13534"/>
    <tableColumn id="13578" name="列13535"/>
    <tableColumn id="13579" name="列13536"/>
    <tableColumn id="13580" name="列13537"/>
    <tableColumn id="13581" name="列13538"/>
    <tableColumn id="13582" name="列13539"/>
    <tableColumn id="13583" name="列13540"/>
    <tableColumn id="13584" name="列13541"/>
    <tableColumn id="13585" name="列13542"/>
    <tableColumn id="13586" name="列13543"/>
    <tableColumn id="13587" name="列13544"/>
    <tableColumn id="13588" name="列13545"/>
    <tableColumn id="13589" name="列13546"/>
    <tableColumn id="13590" name="列13547"/>
    <tableColumn id="13591" name="列13548"/>
    <tableColumn id="13592" name="列13549"/>
    <tableColumn id="13593" name="列13550"/>
    <tableColumn id="13594" name="列13551"/>
    <tableColumn id="13595" name="列13552"/>
    <tableColumn id="13596" name="列13553"/>
    <tableColumn id="13597" name="列13554"/>
    <tableColumn id="13598" name="列13555"/>
    <tableColumn id="13599" name="列13556"/>
    <tableColumn id="13600" name="列13557"/>
    <tableColumn id="13601" name="列13558"/>
    <tableColumn id="13602" name="列13559"/>
    <tableColumn id="13603" name="列13560"/>
    <tableColumn id="13604" name="列13561"/>
    <tableColumn id="13605" name="列13562"/>
    <tableColumn id="13606" name="列13563"/>
    <tableColumn id="13607" name="列13564"/>
    <tableColumn id="13608" name="列13565"/>
    <tableColumn id="13609" name="列13566"/>
    <tableColumn id="13610" name="列13567"/>
    <tableColumn id="13611" name="列13568"/>
    <tableColumn id="13612" name="列13569"/>
    <tableColumn id="13613" name="列13570"/>
    <tableColumn id="13614" name="列13571"/>
    <tableColumn id="13615" name="列13572"/>
    <tableColumn id="13616" name="列13573"/>
    <tableColumn id="13617" name="列13574"/>
    <tableColumn id="13618" name="列13575"/>
    <tableColumn id="13619" name="列13576"/>
    <tableColumn id="13620" name="列13577"/>
    <tableColumn id="13621" name="列13578"/>
    <tableColumn id="13622" name="列13579"/>
    <tableColumn id="13623" name="列13580"/>
    <tableColumn id="13624" name="列13581"/>
    <tableColumn id="13625" name="列13582"/>
    <tableColumn id="13626" name="列13583"/>
    <tableColumn id="13627" name="列13584"/>
    <tableColumn id="13628" name="列13585"/>
    <tableColumn id="13629" name="列13586"/>
    <tableColumn id="13630" name="列13587"/>
    <tableColumn id="13631" name="列13588"/>
    <tableColumn id="13632" name="列13589"/>
    <tableColumn id="13633" name="列13590"/>
    <tableColumn id="13634" name="列13591"/>
    <tableColumn id="13635" name="列13592"/>
    <tableColumn id="13636" name="列13593"/>
    <tableColumn id="13637" name="列13594"/>
    <tableColumn id="13638" name="列13595"/>
    <tableColumn id="13639" name="列13596"/>
    <tableColumn id="13640" name="列13597"/>
    <tableColumn id="13641" name="列13598"/>
    <tableColumn id="13642" name="列13599"/>
    <tableColumn id="13643" name="列13600"/>
    <tableColumn id="13644" name="列13601"/>
    <tableColumn id="13645" name="列13602"/>
    <tableColumn id="13646" name="列13603"/>
    <tableColumn id="13647" name="列13604"/>
    <tableColumn id="13648" name="列13605"/>
    <tableColumn id="13649" name="列13606"/>
    <tableColumn id="13650" name="列13607"/>
    <tableColumn id="13651" name="列13608"/>
    <tableColumn id="13652" name="列13609"/>
    <tableColumn id="13653" name="列13610"/>
    <tableColumn id="13654" name="列13611"/>
    <tableColumn id="13655" name="列13612"/>
    <tableColumn id="13656" name="列13613"/>
    <tableColumn id="13657" name="列13614"/>
    <tableColumn id="13658" name="列13615"/>
    <tableColumn id="13659" name="列13616"/>
    <tableColumn id="13660" name="列13617"/>
    <tableColumn id="13661" name="列13618"/>
    <tableColumn id="13662" name="列13619"/>
    <tableColumn id="13663" name="列13620"/>
    <tableColumn id="13664" name="列13621"/>
    <tableColumn id="13665" name="列13622"/>
    <tableColumn id="13666" name="列13623"/>
    <tableColumn id="13667" name="列13624"/>
    <tableColumn id="13668" name="列13625"/>
    <tableColumn id="13669" name="列13626"/>
    <tableColumn id="13670" name="列13627"/>
    <tableColumn id="13671" name="列13628"/>
    <tableColumn id="13672" name="列13629"/>
    <tableColumn id="13673" name="列13630"/>
    <tableColumn id="13674" name="列13631"/>
    <tableColumn id="13675" name="列13632"/>
    <tableColumn id="13676" name="列13633"/>
    <tableColumn id="13677" name="列13634"/>
    <tableColumn id="13678" name="列13635"/>
    <tableColumn id="13679" name="列13636"/>
    <tableColumn id="13680" name="列13637"/>
    <tableColumn id="13681" name="列13638"/>
    <tableColumn id="13682" name="列13639"/>
    <tableColumn id="13683" name="列13640"/>
    <tableColumn id="13684" name="列13641"/>
    <tableColumn id="13685" name="列13642"/>
    <tableColumn id="13686" name="列13643"/>
    <tableColumn id="13687" name="列13644"/>
    <tableColumn id="13688" name="列13645"/>
    <tableColumn id="13689" name="列13646"/>
    <tableColumn id="13690" name="列13647"/>
    <tableColumn id="13691" name="列13648"/>
    <tableColumn id="13692" name="列13649"/>
    <tableColumn id="13693" name="列13650"/>
    <tableColumn id="13694" name="列13651"/>
    <tableColumn id="13695" name="列13652"/>
    <tableColumn id="13696" name="列13653"/>
    <tableColumn id="13697" name="列13654"/>
    <tableColumn id="13698" name="列13655"/>
    <tableColumn id="13699" name="列13656"/>
    <tableColumn id="13700" name="列13657"/>
    <tableColumn id="13701" name="列13658"/>
    <tableColumn id="13702" name="列13659"/>
    <tableColumn id="13703" name="列13660"/>
    <tableColumn id="13704" name="列13661"/>
    <tableColumn id="13705" name="列13662"/>
    <tableColumn id="13706" name="列13663"/>
    <tableColumn id="13707" name="列13664"/>
    <tableColumn id="13708" name="列13665"/>
    <tableColumn id="13709" name="列13666"/>
    <tableColumn id="13710" name="列13667"/>
    <tableColumn id="13711" name="列13668"/>
    <tableColumn id="13712" name="列13669"/>
    <tableColumn id="13713" name="列13670"/>
    <tableColumn id="13714" name="列13671"/>
    <tableColumn id="13715" name="列13672"/>
    <tableColumn id="13716" name="列13673"/>
    <tableColumn id="13717" name="列13674"/>
    <tableColumn id="13718" name="列13675"/>
    <tableColumn id="13719" name="列13676"/>
    <tableColumn id="13720" name="列13677"/>
    <tableColumn id="13721" name="列13678"/>
    <tableColumn id="13722" name="列13679"/>
    <tableColumn id="13723" name="列13680"/>
    <tableColumn id="13724" name="列13681"/>
    <tableColumn id="13725" name="列13682"/>
    <tableColumn id="13726" name="列13683"/>
    <tableColumn id="13727" name="列13684"/>
    <tableColumn id="13728" name="列13685"/>
    <tableColumn id="13729" name="列13686"/>
    <tableColumn id="13730" name="列13687"/>
    <tableColumn id="13731" name="列13688"/>
    <tableColumn id="13732" name="列13689"/>
    <tableColumn id="13733" name="列13690"/>
    <tableColumn id="13734" name="列13691"/>
    <tableColumn id="13735" name="列13692"/>
    <tableColumn id="13736" name="列13693"/>
    <tableColumn id="13737" name="列13694"/>
    <tableColumn id="13738" name="列13695"/>
    <tableColumn id="13739" name="列13696"/>
    <tableColumn id="13740" name="列13697"/>
    <tableColumn id="13741" name="列13698"/>
    <tableColumn id="13742" name="列13699"/>
    <tableColumn id="13743" name="列13700"/>
    <tableColumn id="13744" name="列13701"/>
    <tableColumn id="13745" name="列13702"/>
    <tableColumn id="13746" name="列13703"/>
    <tableColumn id="13747" name="列13704"/>
    <tableColumn id="13748" name="列13705"/>
    <tableColumn id="13749" name="列13706"/>
    <tableColumn id="13750" name="列13707"/>
    <tableColumn id="13751" name="列13708"/>
    <tableColumn id="13752" name="列13709"/>
    <tableColumn id="13753" name="列13710"/>
    <tableColumn id="13754" name="列13711"/>
    <tableColumn id="13755" name="列13712"/>
    <tableColumn id="13756" name="列13713"/>
    <tableColumn id="13757" name="列13714"/>
    <tableColumn id="13758" name="列13715"/>
    <tableColumn id="13759" name="列13716"/>
    <tableColumn id="13760" name="列13717"/>
    <tableColumn id="13761" name="列13718"/>
    <tableColumn id="13762" name="列13719"/>
    <tableColumn id="13763" name="列13720"/>
    <tableColumn id="13764" name="列13721"/>
    <tableColumn id="13765" name="列13722"/>
    <tableColumn id="13766" name="列13723"/>
    <tableColumn id="13767" name="列13724"/>
    <tableColumn id="13768" name="列13725"/>
    <tableColumn id="13769" name="列13726"/>
    <tableColumn id="13770" name="列13727"/>
    <tableColumn id="13771" name="列13728"/>
    <tableColumn id="13772" name="列13729"/>
    <tableColumn id="13773" name="列13730"/>
    <tableColumn id="13774" name="列13731"/>
    <tableColumn id="13775" name="列13732"/>
    <tableColumn id="13776" name="列13733"/>
    <tableColumn id="13777" name="列13734"/>
    <tableColumn id="13778" name="列13735"/>
    <tableColumn id="13779" name="列13736"/>
    <tableColumn id="13780" name="列13737"/>
    <tableColumn id="13781" name="列13738"/>
    <tableColumn id="13782" name="列13739"/>
    <tableColumn id="13783" name="列13740"/>
    <tableColumn id="13784" name="列13741"/>
    <tableColumn id="13785" name="列13742"/>
    <tableColumn id="13786" name="列13743"/>
    <tableColumn id="13787" name="列13744"/>
    <tableColumn id="13788" name="列13745"/>
    <tableColumn id="13789" name="列13746"/>
    <tableColumn id="13790" name="列13747"/>
    <tableColumn id="13791" name="列13748"/>
    <tableColumn id="13792" name="列13749"/>
    <tableColumn id="13793" name="列13750"/>
    <tableColumn id="13794" name="列13751"/>
    <tableColumn id="13795" name="列13752"/>
    <tableColumn id="13796" name="列13753"/>
    <tableColumn id="13797" name="列13754"/>
    <tableColumn id="13798" name="列13755"/>
    <tableColumn id="13799" name="列13756"/>
    <tableColumn id="13800" name="列13757"/>
    <tableColumn id="13801" name="列13758"/>
    <tableColumn id="13802" name="列13759"/>
    <tableColumn id="13803" name="列13760"/>
    <tableColumn id="13804" name="列13761"/>
    <tableColumn id="13805" name="列13762"/>
    <tableColumn id="13806" name="列13763"/>
    <tableColumn id="13807" name="列13764"/>
    <tableColumn id="13808" name="列13765"/>
    <tableColumn id="13809" name="列13766"/>
    <tableColumn id="13810" name="列13767"/>
    <tableColumn id="13811" name="列13768"/>
    <tableColumn id="13812" name="列13769"/>
    <tableColumn id="13813" name="列13770"/>
    <tableColumn id="13814" name="列13771"/>
    <tableColumn id="13815" name="列13772"/>
    <tableColumn id="13816" name="列13773"/>
    <tableColumn id="13817" name="列13774"/>
    <tableColumn id="13818" name="列13775"/>
    <tableColumn id="13819" name="列13776"/>
    <tableColumn id="13820" name="列13777"/>
    <tableColumn id="13821" name="列13778"/>
    <tableColumn id="13822" name="列13779"/>
    <tableColumn id="13823" name="列13780"/>
    <tableColumn id="13824" name="列13781"/>
    <tableColumn id="13825" name="列13782"/>
    <tableColumn id="13826" name="列13783"/>
    <tableColumn id="13827" name="列13784"/>
    <tableColumn id="13828" name="列13785"/>
    <tableColumn id="13829" name="列13786"/>
    <tableColumn id="13830" name="列13787"/>
    <tableColumn id="13831" name="列13788"/>
    <tableColumn id="13832" name="列13789"/>
    <tableColumn id="13833" name="列13790"/>
    <tableColumn id="13834" name="列13791"/>
    <tableColumn id="13835" name="列13792"/>
    <tableColumn id="13836" name="列13793"/>
    <tableColumn id="13837" name="列13794"/>
    <tableColumn id="13838" name="列13795"/>
    <tableColumn id="13839" name="列13796"/>
    <tableColumn id="13840" name="列13797"/>
    <tableColumn id="13841" name="列13798"/>
    <tableColumn id="13842" name="列13799"/>
    <tableColumn id="13843" name="列13800"/>
    <tableColumn id="13844" name="列13801"/>
    <tableColumn id="13845" name="列13802"/>
    <tableColumn id="13846" name="列13803"/>
    <tableColumn id="13847" name="列13804"/>
    <tableColumn id="13848" name="列13805"/>
    <tableColumn id="13849" name="列13806"/>
    <tableColumn id="13850" name="列13807"/>
    <tableColumn id="13851" name="列13808"/>
    <tableColumn id="13852" name="列13809"/>
    <tableColumn id="13853" name="列13810"/>
    <tableColumn id="13854" name="列13811"/>
    <tableColumn id="13855" name="列13812"/>
    <tableColumn id="13856" name="列13813"/>
    <tableColumn id="13857" name="列13814"/>
    <tableColumn id="13858" name="列13815"/>
    <tableColumn id="13859" name="列13816"/>
    <tableColumn id="13860" name="列13817"/>
    <tableColumn id="13861" name="列13818"/>
    <tableColumn id="13862" name="列13819"/>
    <tableColumn id="13863" name="列13820"/>
    <tableColumn id="13864" name="列13821"/>
    <tableColumn id="13865" name="列13822"/>
    <tableColumn id="13866" name="列13823"/>
    <tableColumn id="13867" name="列13824"/>
    <tableColumn id="13868" name="列13825"/>
    <tableColumn id="13869" name="列13826"/>
    <tableColumn id="13870" name="列13827"/>
    <tableColumn id="13871" name="列13828"/>
    <tableColumn id="13872" name="列13829"/>
    <tableColumn id="13873" name="列13830"/>
    <tableColumn id="13874" name="列13831"/>
    <tableColumn id="13875" name="列13832"/>
    <tableColumn id="13876" name="列13833"/>
    <tableColumn id="13877" name="列13834"/>
    <tableColumn id="13878" name="列13835"/>
    <tableColumn id="13879" name="列13836"/>
    <tableColumn id="13880" name="列13837"/>
    <tableColumn id="13881" name="列13838"/>
    <tableColumn id="13882" name="列13839"/>
    <tableColumn id="13883" name="列13840"/>
    <tableColumn id="13884" name="列13841"/>
    <tableColumn id="13885" name="列13842"/>
    <tableColumn id="13886" name="列13843"/>
    <tableColumn id="13887" name="列13844"/>
    <tableColumn id="13888" name="列13845"/>
    <tableColumn id="13889" name="列13846"/>
    <tableColumn id="13890" name="列13847"/>
    <tableColumn id="13891" name="列13848"/>
    <tableColumn id="13892" name="列13849"/>
    <tableColumn id="13893" name="列13850"/>
    <tableColumn id="13894" name="列13851"/>
    <tableColumn id="13895" name="列13852"/>
    <tableColumn id="13896" name="列13853"/>
    <tableColumn id="13897" name="列13854"/>
    <tableColumn id="13898" name="列13855"/>
    <tableColumn id="13899" name="列13856"/>
    <tableColumn id="13900" name="列13857"/>
    <tableColumn id="13901" name="列13858"/>
    <tableColumn id="13902" name="列13859"/>
    <tableColumn id="13903" name="列13860"/>
    <tableColumn id="13904" name="列13861"/>
    <tableColumn id="13905" name="列13862"/>
    <tableColumn id="13906" name="列13863"/>
    <tableColumn id="13907" name="列13864"/>
    <tableColumn id="13908" name="列13865"/>
    <tableColumn id="13909" name="列13866"/>
    <tableColumn id="13910" name="列13867"/>
    <tableColumn id="13911" name="列13868"/>
    <tableColumn id="13912" name="列13869"/>
    <tableColumn id="13913" name="列13870"/>
    <tableColumn id="13914" name="列13871"/>
    <tableColumn id="13915" name="列13872"/>
    <tableColumn id="13916" name="列13873"/>
    <tableColumn id="13917" name="列13874"/>
    <tableColumn id="13918" name="列13875"/>
    <tableColumn id="13919" name="列13876"/>
    <tableColumn id="13920" name="列13877"/>
    <tableColumn id="13921" name="列13878"/>
    <tableColumn id="13922" name="列13879"/>
    <tableColumn id="13923" name="列13880"/>
    <tableColumn id="13924" name="列13881"/>
    <tableColumn id="13925" name="列13882"/>
    <tableColumn id="13926" name="列13883"/>
    <tableColumn id="13927" name="列13884"/>
    <tableColumn id="13928" name="列13885"/>
    <tableColumn id="13929" name="列13886"/>
    <tableColumn id="13930" name="列13887"/>
    <tableColumn id="13931" name="列13888"/>
    <tableColumn id="13932" name="列13889"/>
    <tableColumn id="13933" name="列13890"/>
    <tableColumn id="13934" name="列13891"/>
    <tableColumn id="13935" name="列13892"/>
    <tableColumn id="13936" name="列13893"/>
    <tableColumn id="13937" name="列13894"/>
    <tableColumn id="13938" name="列13895"/>
    <tableColumn id="13939" name="列13896"/>
    <tableColumn id="13940" name="列13897"/>
    <tableColumn id="13941" name="列13898"/>
    <tableColumn id="13942" name="列13899"/>
    <tableColumn id="13943" name="列13900"/>
    <tableColumn id="13944" name="列13901"/>
    <tableColumn id="13945" name="列13902"/>
    <tableColumn id="13946" name="列13903"/>
    <tableColumn id="13947" name="列13904"/>
    <tableColumn id="13948" name="列13905"/>
    <tableColumn id="13949" name="列13906"/>
    <tableColumn id="13950" name="列13907"/>
    <tableColumn id="13951" name="列13908"/>
    <tableColumn id="13952" name="列13909"/>
    <tableColumn id="13953" name="列13910"/>
    <tableColumn id="13954" name="列13911"/>
    <tableColumn id="13955" name="列13912"/>
    <tableColumn id="13956" name="列13913"/>
    <tableColumn id="13957" name="列13914"/>
    <tableColumn id="13958" name="列13915"/>
    <tableColumn id="13959" name="列13916"/>
    <tableColumn id="13960" name="列13917"/>
    <tableColumn id="13961" name="列13918"/>
    <tableColumn id="13962" name="列13919"/>
    <tableColumn id="13963" name="列13920"/>
    <tableColumn id="13964" name="列13921"/>
    <tableColumn id="13965" name="列13922"/>
    <tableColumn id="13966" name="列13923"/>
    <tableColumn id="13967" name="列13924"/>
    <tableColumn id="13968" name="列13925"/>
    <tableColumn id="13969" name="列13926"/>
    <tableColumn id="13970" name="列13927"/>
    <tableColumn id="13971" name="列13928"/>
    <tableColumn id="13972" name="列13929"/>
    <tableColumn id="13973" name="列13930"/>
    <tableColumn id="13974" name="列13931"/>
    <tableColumn id="13975" name="列13932"/>
    <tableColumn id="13976" name="列13933"/>
    <tableColumn id="13977" name="列13934"/>
    <tableColumn id="13978" name="列13935"/>
    <tableColumn id="13979" name="列13936"/>
    <tableColumn id="13980" name="列13937"/>
    <tableColumn id="13981" name="列13938"/>
    <tableColumn id="13982" name="列13939"/>
    <tableColumn id="13983" name="列13940"/>
    <tableColumn id="13984" name="列13941"/>
    <tableColumn id="13985" name="列13942"/>
    <tableColumn id="13986" name="列13943"/>
    <tableColumn id="13987" name="列13944"/>
    <tableColumn id="13988" name="列13945"/>
    <tableColumn id="13989" name="列13946"/>
    <tableColumn id="13990" name="列13947"/>
    <tableColumn id="13991" name="列13948"/>
    <tableColumn id="13992" name="列13949"/>
    <tableColumn id="13993" name="列13950"/>
    <tableColumn id="13994" name="列13951"/>
    <tableColumn id="13995" name="列13952"/>
    <tableColumn id="13996" name="列13953"/>
    <tableColumn id="13997" name="列13954"/>
    <tableColumn id="13998" name="列13955"/>
    <tableColumn id="13999" name="列13956"/>
    <tableColumn id="14000" name="列13957"/>
    <tableColumn id="14001" name="列13958"/>
    <tableColumn id="14002" name="列13959"/>
    <tableColumn id="14003" name="列13960"/>
    <tableColumn id="14004" name="列13961"/>
    <tableColumn id="14005" name="列13962"/>
    <tableColumn id="14006" name="列13963"/>
    <tableColumn id="14007" name="列13964"/>
    <tableColumn id="14008" name="列13965"/>
    <tableColumn id="14009" name="列13966"/>
    <tableColumn id="14010" name="列13967"/>
    <tableColumn id="14011" name="列13968"/>
    <tableColumn id="14012" name="列13969"/>
    <tableColumn id="14013" name="列13970"/>
    <tableColumn id="14014" name="列13971"/>
    <tableColumn id="14015" name="列13972"/>
    <tableColumn id="14016" name="列13973"/>
    <tableColumn id="14017" name="列13974"/>
    <tableColumn id="14018" name="列13975"/>
    <tableColumn id="14019" name="列13976"/>
    <tableColumn id="14020" name="列13977"/>
    <tableColumn id="14021" name="列13978"/>
    <tableColumn id="14022" name="列13979"/>
    <tableColumn id="14023" name="列13980"/>
    <tableColumn id="14024" name="列13981"/>
    <tableColumn id="14025" name="列13982"/>
    <tableColumn id="14026" name="列13983"/>
    <tableColumn id="14027" name="列13984"/>
    <tableColumn id="14028" name="列13985"/>
    <tableColumn id="14029" name="列13986"/>
    <tableColumn id="14030" name="列13987"/>
    <tableColumn id="14031" name="列13988"/>
    <tableColumn id="14032" name="列13989"/>
    <tableColumn id="14033" name="列13990"/>
    <tableColumn id="14034" name="列13991"/>
    <tableColumn id="14035" name="列13992"/>
    <tableColumn id="14036" name="列13993"/>
    <tableColumn id="14037" name="列13994"/>
    <tableColumn id="14038" name="列13995"/>
    <tableColumn id="14039" name="列13996"/>
    <tableColumn id="14040" name="列13997"/>
    <tableColumn id="14041" name="列13998"/>
    <tableColumn id="14042" name="列13999"/>
    <tableColumn id="14043" name="列14000"/>
    <tableColumn id="14044" name="列14001"/>
    <tableColumn id="14045" name="列14002"/>
    <tableColumn id="14046" name="列14003"/>
    <tableColumn id="14047" name="列14004"/>
    <tableColumn id="14048" name="列14005"/>
    <tableColumn id="14049" name="列14006"/>
    <tableColumn id="14050" name="列14007"/>
    <tableColumn id="14051" name="列14008"/>
    <tableColumn id="14052" name="列14009"/>
    <tableColumn id="14053" name="列14010"/>
    <tableColumn id="14054" name="列14011"/>
    <tableColumn id="14055" name="列14012"/>
    <tableColumn id="14056" name="列14013"/>
    <tableColumn id="14057" name="列14014"/>
    <tableColumn id="14058" name="列14015"/>
    <tableColumn id="14059" name="列14016"/>
    <tableColumn id="14060" name="列14017"/>
    <tableColumn id="14061" name="列14018"/>
    <tableColumn id="14062" name="列14019"/>
    <tableColumn id="14063" name="列14020"/>
    <tableColumn id="14064" name="列14021"/>
    <tableColumn id="14065" name="列14022"/>
    <tableColumn id="14066" name="列14023"/>
    <tableColumn id="14067" name="列14024"/>
    <tableColumn id="14068" name="列14025"/>
    <tableColumn id="14069" name="列14026"/>
    <tableColumn id="14070" name="列14027"/>
    <tableColumn id="14071" name="列14028"/>
    <tableColumn id="14072" name="列14029"/>
    <tableColumn id="14073" name="列14030"/>
    <tableColumn id="14074" name="列14031"/>
    <tableColumn id="14075" name="列14032"/>
    <tableColumn id="14076" name="列14033"/>
    <tableColumn id="14077" name="列14034"/>
    <tableColumn id="14078" name="列14035"/>
    <tableColumn id="14079" name="列14036"/>
    <tableColumn id="14080" name="列14037"/>
    <tableColumn id="14081" name="列14038"/>
    <tableColumn id="14082" name="列14039"/>
    <tableColumn id="14083" name="列14040"/>
    <tableColumn id="14084" name="列14041"/>
    <tableColumn id="14085" name="列14042"/>
    <tableColumn id="14086" name="列14043"/>
    <tableColumn id="14087" name="列14044"/>
    <tableColumn id="14088" name="列14045"/>
    <tableColumn id="14089" name="列14046"/>
    <tableColumn id="14090" name="列14047"/>
    <tableColumn id="14091" name="列14048"/>
    <tableColumn id="14092" name="列14049"/>
    <tableColumn id="14093" name="列14050"/>
    <tableColumn id="14094" name="列14051"/>
    <tableColumn id="14095" name="列14052"/>
    <tableColumn id="14096" name="列14053"/>
    <tableColumn id="14097" name="列14054"/>
    <tableColumn id="14098" name="列14055"/>
    <tableColumn id="14099" name="列14056"/>
    <tableColumn id="14100" name="列14057"/>
    <tableColumn id="14101" name="列14058"/>
    <tableColumn id="14102" name="列14059"/>
    <tableColumn id="14103" name="列14060"/>
    <tableColumn id="14104" name="列14061"/>
    <tableColumn id="14105" name="列14062"/>
    <tableColumn id="14106" name="列14063"/>
    <tableColumn id="14107" name="列14064"/>
    <tableColumn id="14108" name="列14065"/>
    <tableColumn id="14109" name="列14066"/>
    <tableColumn id="14110" name="列14067"/>
    <tableColumn id="14111" name="列14068"/>
    <tableColumn id="14112" name="列14069"/>
    <tableColumn id="14113" name="列14070"/>
    <tableColumn id="14114" name="列14071"/>
    <tableColumn id="14115" name="列14072"/>
    <tableColumn id="14116" name="列14073"/>
    <tableColumn id="14117" name="列14074"/>
    <tableColumn id="14118" name="列14075"/>
    <tableColumn id="14119" name="列14076"/>
    <tableColumn id="14120" name="列14077"/>
    <tableColumn id="14121" name="列14078"/>
    <tableColumn id="14122" name="列14079"/>
    <tableColumn id="14123" name="列14080"/>
    <tableColumn id="14124" name="列14081"/>
    <tableColumn id="14125" name="列14082"/>
    <tableColumn id="14126" name="列14083"/>
    <tableColumn id="14127" name="列14084"/>
    <tableColumn id="14128" name="列14085"/>
    <tableColumn id="14129" name="列14086"/>
    <tableColumn id="14130" name="列14087"/>
    <tableColumn id="14131" name="列14088"/>
    <tableColumn id="14132" name="列14089"/>
    <tableColumn id="14133" name="列14090"/>
    <tableColumn id="14134" name="列14091"/>
    <tableColumn id="14135" name="列14092"/>
    <tableColumn id="14136" name="列14093"/>
    <tableColumn id="14137" name="列14094"/>
    <tableColumn id="14138" name="列14095"/>
    <tableColumn id="14139" name="列14096"/>
    <tableColumn id="14140" name="列14097"/>
    <tableColumn id="14141" name="列14098"/>
    <tableColumn id="14142" name="列14099"/>
    <tableColumn id="14143" name="列14100"/>
    <tableColumn id="14144" name="列14101"/>
    <tableColumn id="14145" name="列14102"/>
    <tableColumn id="14146" name="列14103"/>
    <tableColumn id="14147" name="列14104"/>
    <tableColumn id="14148" name="列14105"/>
    <tableColumn id="14149" name="列14106"/>
    <tableColumn id="14150" name="列14107"/>
    <tableColumn id="14151" name="列14108"/>
    <tableColumn id="14152" name="列14109"/>
    <tableColumn id="14153" name="列14110"/>
    <tableColumn id="14154" name="列14111"/>
    <tableColumn id="14155" name="列14112"/>
    <tableColumn id="14156" name="列14113"/>
    <tableColumn id="14157" name="列14114"/>
    <tableColumn id="14158" name="列14115"/>
    <tableColumn id="14159" name="列14116"/>
    <tableColumn id="14160" name="列14117"/>
    <tableColumn id="14161" name="列14118"/>
    <tableColumn id="14162" name="列14119"/>
    <tableColumn id="14163" name="列14120"/>
    <tableColumn id="14164" name="列14121"/>
    <tableColumn id="14165" name="列14122"/>
    <tableColumn id="14166" name="列14123"/>
    <tableColumn id="14167" name="列14124"/>
    <tableColumn id="14168" name="列14125"/>
    <tableColumn id="14169" name="列14126"/>
    <tableColumn id="14170" name="列14127"/>
    <tableColumn id="14171" name="列14128"/>
    <tableColumn id="14172" name="列14129"/>
    <tableColumn id="14173" name="列14130"/>
    <tableColumn id="14174" name="列14131"/>
    <tableColumn id="14175" name="列14132"/>
    <tableColumn id="14176" name="列14133"/>
    <tableColumn id="14177" name="列14134"/>
    <tableColumn id="14178" name="列14135"/>
    <tableColumn id="14179" name="列14136"/>
    <tableColumn id="14180" name="列14137"/>
    <tableColumn id="14181" name="列14138"/>
    <tableColumn id="14182" name="列14139"/>
    <tableColumn id="14183" name="列14140"/>
    <tableColumn id="14184" name="列14141"/>
    <tableColumn id="14185" name="列14142"/>
    <tableColumn id="14186" name="列14143"/>
    <tableColumn id="14187" name="列14144"/>
    <tableColumn id="14188" name="列14145"/>
    <tableColumn id="14189" name="列14146"/>
    <tableColumn id="14190" name="列14147"/>
    <tableColumn id="14191" name="列14148"/>
    <tableColumn id="14192" name="列14149"/>
    <tableColumn id="14193" name="列14150"/>
    <tableColumn id="14194" name="列14151"/>
    <tableColumn id="14195" name="列14152"/>
    <tableColumn id="14196" name="列14153"/>
    <tableColumn id="14197" name="列14154"/>
    <tableColumn id="14198" name="列14155"/>
    <tableColumn id="14199" name="列14156"/>
    <tableColumn id="14200" name="列14157"/>
    <tableColumn id="14201" name="列14158"/>
    <tableColumn id="14202" name="列14159"/>
    <tableColumn id="14203" name="列14160"/>
    <tableColumn id="14204" name="列14161"/>
    <tableColumn id="14205" name="列14162"/>
    <tableColumn id="14206" name="列14163"/>
    <tableColumn id="14207" name="列14164"/>
    <tableColumn id="14208" name="列14165"/>
    <tableColumn id="14209" name="列14166"/>
    <tableColumn id="14210" name="列14167"/>
    <tableColumn id="14211" name="列14168"/>
    <tableColumn id="14212" name="列14169"/>
    <tableColumn id="14213" name="列14170"/>
    <tableColumn id="14214" name="列14171"/>
    <tableColumn id="14215" name="列14172"/>
    <tableColumn id="14216" name="列14173"/>
    <tableColumn id="14217" name="列14174"/>
    <tableColumn id="14218" name="列14175"/>
    <tableColumn id="14219" name="列14176"/>
    <tableColumn id="14220" name="列14177"/>
    <tableColumn id="14221" name="列14178"/>
    <tableColumn id="14222" name="列14179"/>
    <tableColumn id="14223" name="列14180"/>
    <tableColumn id="14224" name="列14181"/>
    <tableColumn id="14225" name="列14182"/>
    <tableColumn id="14226" name="列14183"/>
    <tableColumn id="14227" name="列14184"/>
    <tableColumn id="14228" name="列14185"/>
    <tableColumn id="14229" name="列14186"/>
    <tableColumn id="14230" name="列14187"/>
    <tableColumn id="14231" name="列14188"/>
    <tableColumn id="14232" name="列14189"/>
    <tableColumn id="14233" name="列14190"/>
    <tableColumn id="14234" name="列14191"/>
    <tableColumn id="14235" name="列14192"/>
    <tableColumn id="14236" name="列14193"/>
    <tableColumn id="14237" name="列14194"/>
    <tableColumn id="14238" name="列14195"/>
    <tableColumn id="14239" name="列14196"/>
    <tableColumn id="14240" name="列14197"/>
    <tableColumn id="14241" name="列14198"/>
    <tableColumn id="14242" name="列14199"/>
    <tableColumn id="14243" name="列14200"/>
    <tableColumn id="14244" name="列14201"/>
    <tableColumn id="14245" name="列14202"/>
    <tableColumn id="14246" name="列14203"/>
    <tableColumn id="14247" name="列14204"/>
    <tableColumn id="14248" name="列14205"/>
    <tableColumn id="14249" name="列14206"/>
    <tableColumn id="14250" name="列14207"/>
    <tableColumn id="14251" name="列14208"/>
    <tableColumn id="14252" name="列14209"/>
    <tableColumn id="14253" name="列14210"/>
    <tableColumn id="14254" name="列14211"/>
    <tableColumn id="14255" name="列14212"/>
    <tableColumn id="14256" name="列14213"/>
    <tableColumn id="14257" name="列14214"/>
    <tableColumn id="14258" name="列14215"/>
    <tableColumn id="14259" name="列14216"/>
    <tableColumn id="14260" name="列14217"/>
    <tableColumn id="14261" name="列14218"/>
    <tableColumn id="14262" name="列14219"/>
    <tableColumn id="14263" name="列14220"/>
    <tableColumn id="14264" name="列14221"/>
    <tableColumn id="14265" name="列14222"/>
    <tableColumn id="14266" name="列14223"/>
    <tableColumn id="14267" name="列14224"/>
    <tableColumn id="14268" name="列14225"/>
    <tableColumn id="14269" name="列14226"/>
    <tableColumn id="14270" name="列14227"/>
    <tableColumn id="14271" name="列14228"/>
    <tableColumn id="14272" name="列14229"/>
    <tableColumn id="14273" name="列14230"/>
    <tableColumn id="14274" name="列14231"/>
    <tableColumn id="14275" name="列14232"/>
    <tableColumn id="14276" name="列14233"/>
    <tableColumn id="14277" name="列14234"/>
    <tableColumn id="14278" name="列14235"/>
    <tableColumn id="14279" name="列14236"/>
    <tableColumn id="14280" name="列14237"/>
    <tableColumn id="14281" name="列14238"/>
    <tableColumn id="14282" name="列14239"/>
    <tableColumn id="14283" name="列14240"/>
    <tableColumn id="14284" name="列14241"/>
    <tableColumn id="14285" name="列14242"/>
    <tableColumn id="14286" name="列14243"/>
    <tableColumn id="14287" name="列14244"/>
    <tableColumn id="14288" name="列14245"/>
    <tableColumn id="14289" name="列14246"/>
    <tableColumn id="14290" name="列14247"/>
    <tableColumn id="14291" name="列14248"/>
    <tableColumn id="14292" name="列14249"/>
    <tableColumn id="14293" name="列14250"/>
    <tableColumn id="14294" name="列14251"/>
    <tableColumn id="14295" name="列14252"/>
    <tableColumn id="14296" name="列14253"/>
    <tableColumn id="14297" name="列14254"/>
    <tableColumn id="14298" name="列14255"/>
    <tableColumn id="14299" name="列14256"/>
    <tableColumn id="14300" name="列14257"/>
    <tableColumn id="14301" name="列14258"/>
    <tableColumn id="14302" name="列14259"/>
    <tableColumn id="14303" name="列14260"/>
    <tableColumn id="14304" name="列14261"/>
    <tableColumn id="14305" name="列14262"/>
    <tableColumn id="14306" name="列14263"/>
    <tableColumn id="14307" name="列14264"/>
    <tableColumn id="14308" name="列14265"/>
    <tableColumn id="14309" name="列14266"/>
    <tableColumn id="14310" name="列14267"/>
    <tableColumn id="14311" name="列14268"/>
    <tableColumn id="14312" name="列14269"/>
    <tableColumn id="14313" name="列14270"/>
    <tableColumn id="14314" name="列14271"/>
    <tableColumn id="14315" name="列14272"/>
    <tableColumn id="14316" name="列14273"/>
    <tableColumn id="14317" name="列14274"/>
    <tableColumn id="14318" name="列14275"/>
    <tableColumn id="14319" name="列14276"/>
    <tableColumn id="14320" name="列14277"/>
    <tableColumn id="14321" name="列14278"/>
    <tableColumn id="14322" name="列14279"/>
    <tableColumn id="14323" name="列14280"/>
    <tableColumn id="14324" name="列14281"/>
    <tableColumn id="14325" name="列14282"/>
    <tableColumn id="14326" name="列14283"/>
    <tableColumn id="14327" name="列14284"/>
    <tableColumn id="14328" name="列14285"/>
    <tableColumn id="14329" name="列14286"/>
    <tableColumn id="14330" name="列14287"/>
    <tableColumn id="14331" name="列14288"/>
    <tableColumn id="14332" name="列14289"/>
    <tableColumn id="14333" name="列14290"/>
    <tableColumn id="14334" name="列14291"/>
    <tableColumn id="14335" name="列14292"/>
    <tableColumn id="14336" name="列14293"/>
    <tableColumn id="14337" name="列14294"/>
    <tableColumn id="14338" name="列14295"/>
    <tableColumn id="14339" name="列14296"/>
    <tableColumn id="14340" name="列14297"/>
    <tableColumn id="14341" name="列14298"/>
    <tableColumn id="14342" name="列14299"/>
    <tableColumn id="14343" name="列14300"/>
    <tableColumn id="14344" name="列14301"/>
    <tableColumn id="14345" name="列14302"/>
    <tableColumn id="14346" name="列14303"/>
    <tableColumn id="14347" name="列14304"/>
    <tableColumn id="14348" name="列14305"/>
    <tableColumn id="14349" name="列14306"/>
    <tableColumn id="14350" name="列14307"/>
    <tableColumn id="14351" name="列14308"/>
    <tableColumn id="14352" name="列14309"/>
    <tableColumn id="14353" name="列14310"/>
    <tableColumn id="14354" name="列14311"/>
    <tableColumn id="14355" name="列14312"/>
    <tableColumn id="14356" name="列14313"/>
    <tableColumn id="14357" name="列14314"/>
    <tableColumn id="14358" name="列14315"/>
    <tableColumn id="14359" name="列14316"/>
    <tableColumn id="14360" name="列14317"/>
    <tableColumn id="14361" name="列14318"/>
    <tableColumn id="14362" name="列14319"/>
    <tableColumn id="14363" name="列14320"/>
    <tableColumn id="14364" name="列14321"/>
    <tableColumn id="14365" name="列14322"/>
    <tableColumn id="14366" name="列14323"/>
    <tableColumn id="14367" name="列14324"/>
    <tableColumn id="14368" name="列14325"/>
    <tableColumn id="14369" name="列14326"/>
    <tableColumn id="14370" name="列14327"/>
    <tableColumn id="14371" name="列14328"/>
    <tableColumn id="14372" name="列14329"/>
    <tableColumn id="14373" name="列14330"/>
    <tableColumn id="14374" name="列14331"/>
    <tableColumn id="14375" name="列14332"/>
    <tableColumn id="14376" name="列14333"/>
    <tableColumn id="14377" name="列14334"/>
    <tableColumn id="14378" name="列14335"/>
    <tableColumn id="14379" name="列14336"/>
    <tableColumn id="14380" name="列14337"/>
    <tableColumn id="14381" name="列14338"/>
    <tableColumn id="14382" name="列14339"/>
    <tableColumn id="14383" name="列14340"/>
    <tableColumn id="14384" name="列14341"/>
    <tableColumn id="14385" name="列14342"/>
    <tableColumn id="14386" name="列14343"/>
    <tableColumn id="14387" name="列14344"/>
    <tableColumn id="14388" name="列14345"/>
    <tableColumn id="14389" name="列14346"/>
    <tableColumn id="14390" name="列14347"/>
    <tableColumn id="14391" name="列14348"/>
    <tableColumn id="14392" name="列14349"/>
    <tableColumn id="14393" name="列14350"/>
    <tableColumn id="14394" name="列14351"/>
    <tableColumn id="14395" name="列14352"/>
    <tableColumn id="14396" name="列14353"/>
    <tableColumn id="14397" name="列14354"/>
    <tableColumn id="14398" name="列14355"/>
    <tableColumn id="14399" name="列14356"/>
    <tableColumn id="14400" name="列14357"/>
    <tableColumn id="14401" name="列14358"/>
    <tableColumn id="14402" name="列14359"/>
    <tableColumn id="14403" name="列14360"/>
    <tableColumn id="14404" name="列14361"/>
    <tableColumn id="14405" name="列14362"/>
    <tableColumn id="14406" name="列14363"/>
    <tableColumn id="14407" name="列14364"/>
    <tableColumn id="14408" name="列14365"/>
    <tableColumn id="14409" name="列14366"/>
    <tableColumn id="14410" name="列14367"/>
    <tableColumn id="14411" name="列14368"/>
    <tableColumn id="14412" name="列14369"/>
    <tableColumn id="14413" name="列14370"/>
    <tableColumn id="14414" name="列14371"/>
    <tableColumn id="14415" name="列14372"/>
    <tableColumn id="14416" name="列14373"/>
    <tableColumn id="14417" name="列14374"/>
    <tableColumn id="14418" name="列14375"/>
    <tableColumn id="14419" name="列14376"/>
    <tableColumn id="14420" name="列14377"/>
    <tableColumn id="14421" name="列14378"/>
    <tableColumn id="14422" name="列14379"/>
    <tableColumn id="14423" name="列14380"/>
    <tableColumn id="14424" name="列14381"/>
    <tableColumn id="14425" name="列14382"/>
    <tableColumn id="14426" name="列14383"/>
    <tableColumn id="14427" name="列14384"/>
    <tableColumn id="14428" name="列14385"/>
    <tableColumn id="14429" name="列14386"/>
    <tableColumn id="14430" name="列14387"/>
    <tableColumn id="14431" name="列14388"/>
    <tableColumn id="14432" name="列14389"/>
    <tableColumn id="14433" name="列14390"/>
    <tableColumn id="14434" name="列14391"/>
    <tableColumn id="14435" name="列14392"/>
    <tableColumn id="14436" name="列14393"/>
    <tableColumn id="14437" name="列14394"/>
    <tableColumn id="14438" name="列14395"/>
    <tableColumn id="14439" name="列14396"/>
    <tableColumn id="14440" name="列14397"/>
    <tableColumn id="14441" name="列14398"/>
    <tableColumn id="14442" name="列14399"/>
    <tableColumn id="14443" name="列14400"/>
    <tableColumn id="14444" name="列14401"/>
    <tableColumn id="14445" name="列14402"/>
    <tableColumn id="14446" name="列14403"/>
    <tableColumn id="14447" name="列14404"/>
    <tableColumn id="14448" name="列14405"/>
    <tableColumn id="14449" name="列14406"/>
    <tableColumn id="14450" name="列14407"/>
    <tableColumn id="14451" name="列14408"/>
    <tableColumn id="14452" name="列14409"/>
    <tableColumn id="14453" name="列14410"/>
    <tableColumn id="14454" name="列14411"/>
    <tableColumn id="14455" name="列14412"/>
    <tableColumn id="14456" name="列14413"/>
    <tableColumn id="14457" name="列14414"/>
    <tableColumn id="14458" name="列14415"/>
    <tableColumn id="14459" name="列14416"/>
    <tableColumn id="14460" name="列14417"/>
    <tableColumn id="14461" name="列14418"/>
    <tableColumn id="14462" name="列14419"/>
    <tableColumn id="14463" name="列14420"/>
    <tableColumn id="14464" name="列14421"/>
    <tableColumn id="14465" name="列14422"/>
    <tableColumn id="14466" name="列14423"/>
    <tableColumn id="14467" name="列14424"/>
    <tableColumn id="14468" name="列14425"/>
    <tableColumn id="14469" name="列14426"/>
    <tableColumn id="14470" name="列14427"/>
    <tableColumn id="14471" name="列14428"/>
    <tableColumn id="14472" name="列14429"/>
    <tableColumn id="14473" name="列14430"/>
    <tableColumn id="14474" name="列14431"/>
    <tableColumn id="14475" name="列14432"/>
    <tableColumn id="14476" name="列14433"/>
    <tableColumn id="14477" name="列14434"/>
    <tableColumn id="14478" name="列14435"/>
    <tableColumn id="14479" name="列14436"/>
    <tableColumn id="14480" name="列14437"/>
    <tableColumn id="14481" name="列14438"/>
    <tableColumn id="14482" name="列14439"/>
    <tableColumn id="14483" name="列14440"/>
    <tableColumn id="14484" name="列14441"/>
    <tableColumn id="14485" name="列14442"/>
    <tableColumn id="14486" name="列14443"/>
    <tableColumn id="14487" name="列14444"/>
    <tableColumn id="14488" name="列14445"/>
    <tableColumn id="14489" name="列14446"/>
    <tableColumn id="14490" name="列14447"/>
    <tableColumn id="14491" name="列14448"/>
    <tableColumn id="14492" name="列14449"/>
    <tableColumn id="14493" name="列14450"/>
    <tableColumn id="14494" name="列14451"/>
    <tableColumn id="14495" name="列14452"/>
    <tableColumn id="14496" name="列14453"/>
    <tableColumn id="14497" name="列14454"/>
    <tableColumn id="14498" name="列14455"/>
    <tableColumn id="14499" name="列14456"/>
    <tableColumn id="14500" name="列14457"/>
    <tableColumn id="14501" name="列14458"/>
    <tableColumn id="14502" name="列14459"/>
    <tableColumn id="14503" name="列14460"/>
    <tableColumn id="14504" name="列14461"/>
    <tableColumn id="14505" name="列14462"/>
    <tableColumn id="14506" name="列14463"/>
    <tableColumn id="14507" name="列14464"/>
    <tableColumn id="14508" name="列14465"/>
    <tableColumn id="14509" name="列14466"/>
    <tableColumn id="14510" name="列14467"/>
    <tableColumn id="14511" name="列14468"/>
    <tableColumn id="14512" name="列14469"/>
    <tableColumn id="14513" name="列14470"/>
    <tableColumn id="14514" name="列14471"/>
    <tableColumn id="14515" name="列14472"/>
    <tableColumn id="14516" name="列14473"/>
    <tableColumn id="14517" name="列14474"/>
    <tableColumn id="14518" name="列14475"/>
    <tableColumn id="14519" name="列14476"/>
    <tableColumn id="14520" name="列14477"/>
    <tableColumn id="14521" name="列14478"/>
    <tableColumn id="14522" name="列14479"/>
    <tableColumn id="14523" name="列14480"/>
    <tableColumn id="14524" name="列14481"/>
    <tableColumn id="14525" name="列14482"/>
    <tableColumn id="14526" name="列14483"/>
    <tableColumn id="14527" name="列14484"/>
    <tableColumn id="14528" name="列14485"/>
    <tableColumn id="14529" name="列14486"/>
    <tableColumn id="14530" name="列14487"/>
    <tableColumn id="14531" name="列14488"/>
    <tableColumn id="14532" name="列14489"/>
    <tableColumn id="14533" name="列14490"/>
    <tableColumn id="14534" name="列14491"/>
    <tableColumn id="14535" name="列14492"/>
    <tableColumn id="14536" name="列14493"/>
    <tableColumn id="14537" name="列14494"/>
    <tableColumn id="14538" name="列14495"/>
    <tableColumn id="14539" name="列14496"/>
    <tableColumn id="14540" name="列14497"/>
    <tableColumn id="14541" name="列14498"/>
    <tableColumn id="14542" name="列14499"/>
    <tableColumn id="14543" name="列14500"/>
    <tableColumn id="14544" name="列14501"/>
    <tableColumn id="14545" name="列14502"/>
    <tableColumn id="14546" name="列14503"/>
    <tableColumn id="14547" name="列14504"/>
    <tableColumn id="14548" name="列14505"/>
    <tableColumn id="14549" name="列14506"/>
    <tableColumn id="14550" name="列14507"/>
    <tableColumn id="14551" name="列14508"/>
    <tableColumn id="14552" name="列14509"/>
    <tableColumn id="14553" name="列14510"/>
    <tableColumn id="14554" name="列14511"/>
    <tableColumn id="14555" name="列14512"/>
    <tableColumn id="14556" name="列14513"/>
    <tableColumn id="14557" name="列14514"/>
    <tableColumn id="14558" name="列14515"/>
    <tableColumn id="14559" name="列14516"/>
    <tableColumn id="14560" name="列14517"/>
    <tableColumn id="14561" name="列14518"/>
    <tableColumn id="14562" name="列14519"/>
    <tableColumn id="14563" name="列14520"/>
    <tableColumn id="14564" name="列14521"/>
    <tableColumn id="14565" name="列14522"/>
    <tableColumn id="14566" name="列14523"/>
    <tableColumn id="14567" name="列14524"/>
    <tableColumn id="14568" name="列14525"/>
    <tableColumn id="14569" name="列14526"/>
    <tableColumn id="14570" name="列14527"/>
    <tableColumn id="14571" name="列14528"/>
    <tableColumn id="14572" name="列14529"/>
    <tableColumn id="14573" name="列14530"/>
    <tableColumn id="14574" name="列14531"/>
    <tableColumn id="14575" name="列14532"/>
    <tableColumn id="14576" name="列14533"/>
    <tableColumn id="14577" name="列14534"/>
    <tableColumn id="14578" name="列14535"/>
    <tableColumn id="14579" name="列14536"/>
    <tableColumn id="14580" name="列14537"/>
    <tableColumn id="14581" name="列14538"/>
    <tableColumn id="14582" name="列14539"/>
    <tableColumn id="14583" name="列14540"/>
    <tableColumn id="14584" name="列14541"/>
    <tableColumn id="14585" name="列14542"/>
    <tableColumn id="14586" name="列14543"/>
    <tableColumn id="14587" name="列14544"/>
    <tableColumn id="14588" name="列14545"/>
    <tableColumn id="14589" name="列14546"/>
    <tableColumn id="14590" name="列14547"/>
    <tableColumn id="14591" name="列14548"/>
    <tableColumn id="14592" name="列14549"/>
    <tableColumn id="14593" name="列14550"/>
    <tableColumn id="14594" name="列14551"/>
    <tableColumn id="14595" name="列14552"/>
    <tableColumn id="14596" name="列14553"/>
    <tableColumn id="14597" name="列14554"/>
    <tableColumn id="14598" name="列14555"/>
    <tableColumn id="14599" name="列14556"/>
    <tableColumn id="14600" name="列14557"/>
    <tableColumn id="14601" name="列14558"/>
    <tableColumn id="14602" name="列14559"/>
    <tableColumn id="14603" name="列14560"/>
    <tableColumn id="14604" name="列14561"/>
    <tableColumn id="14605" name="列14562"/>
    <tableColumn id="14606" name="列14563"/>
    <tableColumn id="14607" name="列14564"/>
    <tableColumn id="14608" name="列14565"/>
    <tableColumn id="14609" name="列14566"/>
    <tableColumn id="14610" name="列14567"/>
    <tableColumn id="14611" name="列14568"/>
    <tableColumn id="14612" name="列14569"/>
    <tableColumn id="14613" name="列14570"/>
    <tableColumn id="14614" name="列14571"/>
    <tableColumn id="14615" name="列14572"/>
    <tableColumn id="14616" name="列14573"/>
    <tableColumn id="14617" name="列14574"/>
    <tableColumn id="14618" name="列14575"/>
    <tableColumn id="14619" name="列14576"/>
    <tableColumn id="14620" name="列14577"/>
    <tableColumn id="14621" name="列14578"/>
    <tableColumn id="14622" name="列14579"/>
    <tableColumn id="14623" name="列14580"/>
    <tableColumn id="14624" name="列14581"/>
    <tableColumn id="14625" name="列14582"/>
    <tableColumn id="14626" name="列14583"/>
    <tableColumn id="14627" name="列14584"/>
    <tableColumn id="14628" name="列14585"/>
    <tableColumn id="14629" name="列14586"/>
    <tableColumn id="14630" name="列14587"/>
    <tableColumn id="14631" name="列14588"/>
    <tableColumn id="14632" name="列14589"/>
    <tableColumn id="14633" name="列14590"/>
    <tableColumn id="14634" name="列14591"/>
    <tableColumn id="14635" name="列14592"/>
    <tableColumn id="14636" name="列14593"/>
    <tableColumn id="14637" name="列14594"/>
    <tableColumn id="14638" name="列14595"/>
    <tableColumn id="14639" name="列14596"/>
    <tableColumn id="14640" name="列14597"/>
    <tableColumn id="14641" name="列14598"/>
    <tableColumn id="14642" name="列14599"/>
    <tableColumn id="14643" name="列14600"/>
    <tableColumn id="14644" name="列14601"/>
    <tableColumn id="14645" name="列14602"/>
    <tableColumn id="14646" name="列14603"/>
    <tableColumn id="14647" name="列14604"/>
    <tableColumn id="14648" name="列14605"/>
    <tableColumn id="14649" name="列14606"/>
    <tableColumn id="14650" name="列14607"/>
    <tableColumn id="14651" name="列14608"/>
    <tableColumn id="14652" name="列14609"/>
    <tableColumn id="14653" name="列14610"/>
    <tableColumn id="14654" name="列14611"/>
    <tableColumn id="14655" name="列14612"/>
    <tableColumn id="14656" name="列14613"/>
    <tableColumn id="14657" name="列14614"/>
    <tableColumn id="14658" name="列14615"/>
    <tableColumn id="14659" name="列14616"/>
    <tableColumn id="14660" name="列14617"/>
    <tableColumn id="14661" name="列14618"/>
    <tableColumn id="14662" name="列14619"/>
    <tableColumn id="14663" name="列14620"/>
    <tableColumn id="14664" name="列14621"/>
    <tableColumn id="14665" name="列14622"/>
    <tableColumn id="14666" name="列14623"/>
    <tableColumn id="14667" name="列14624"/>
    <tableColumn id="14668" name="列14625"/>
    <tableColumn id="14669" name="列14626"/>
    <tableColumn id="14670" name="列14627"/>
    <tableColumn id="14671" name="列14628"/>
    <tableColumn id="14672" name="列14629"/>
    <tableColumn id="14673" name="列14630"/>
    <tableColumn id="14674" name="列14631"/>
    <tableColumn id="14675" name="列14632"/>
    <tableColumn id="14676" name="列14633"/>
    <tableColumn id="14677" name="列14634"/>
    <tableColumn id="14678" name="列14635"/>
    <tableColumn id="14679" name="列14636"/>
    <tableColumn id="14680" name="列14637"/>
    <tableColumn id="14681" name="列14638"/>
    <tableColumn id="14682" name="列14639"/>
    <tableColumn id="14683" name="列14640"/>
    <tableColumn id="14684" name="列14641"/>
    <tableColumn id="14685" name="列14642"/>
    <tableColumn id="14686" name="列14643"/>
    <tableColumn id="14687" name="列14644"/>
    <tableColumn id="14688" name="列14645"/>
    <tableColumn id="14689" name="列14646"/>
    <tableColumn id="14690" name="列14647"/>
    <tableColumn id="14691" name="列14648"/>
    <tableColumn id="14692" name="列14649"/>
    <tableColumn id="14693" name="列14650"/>
    <tableColumn id="14694" name="列14651"/>
    <tableColumn id="14695" name="列14652"/>
    <tableColumn id="14696" name="列14653"/>
    <tableColumn id="14697" name="列14654"/>
    <tableColumn id="14698" name="列14655"/>
    <tableColumn id="14699" name="列14656"/>
    <tableColumn id="14700" name="列14657"/>
    <tableColumn id="14701" name="列14658"/>
    <tableColumn id="14702" name="列14659"/>
    <tableColumn id="14703" name="列14660"/>
    <tableColumn id="14704" name="列14661"/>
    <tableColumn id="14705" name="列14662"/>
    <tableColumn id="14706" name="列14663"/>
    <tableColumn id="14707" name="列14664"/>
    <tableColumn id="14708" name="列14665"/>
    <tableColumn id="14709" name="列14666"/>
    <tableColumn id="14710" name="列14667"/>
    <tableColumn id="14711" name="列14668"/>
    <tableColumn id="14712" name="列14669"/>
    <tableColumn id="14713" name="列14670"/>
    <tableColumn id="14714" name="列14671"/>
    <tableColumn id="14715" name="列14672"/>
    <tableColumn id="14716" name="列14673"/>
    <tableColumn id="14717" name="列14674"/>
    <tableColumn id="14718" name="列14675"/>
    <tableColumn id="14719" name="列14676"/>
    <tableColumn id="14720" name="列14677"/>
    <tableColumn id="14721" name="列14678"/>
    <tableColumn id="14722" name="列14679"/>
    <tableColumn id="14723" name="列14680"/>
    <tableColumn id="14724" name="列14681"/>
    <tableColumn id="14725" name="列14682"/>
    <tableColumn id="14726" name="列14683"/>
    <tableColumn id="14727" name="列14684"/>
    <tableColumn id="14728" name="列14685"/>
    <tableColumn id="14729" name="列14686"/>
    <tableColumn id="14730" name="列14687"/>
    <tableColumn id="14731" name="列14688"/>
    <tableColumn id="14732" name="列14689"/>
    <tableColumn id="14733" name="列14690"/>
    <tableColumn id="14734" name="列14691"/>
    <tableColumn id="14735" name="列14692"/>
    <tableColumn id="14736" name="列14693"/>
    <tableColumn id="14737" name="列14694"/>
    <tableColumn id="14738" name="列14695"/>
    <tableColumn id="14739" name="列14696"/>
    <tableColumn id="14740" name="列14697"/>
    <tableColumn id="14741" name="列14698"/>
    <tableColumn id="14742" name="列14699"/>
    <tableColumn id="14743" name="列14700"/>
    <tableColumn id="14744" name="列14701"/>
    <tableColumn id="14745" name="列14702"/>
    <tableColumn id="14746" name="列14703"/>
    <tableColumn id="14747" name="列14704"/>
    <tableColumn id="14748" name="列14705"/>
    <tableColumn id="14749" name="列14706"/>
    <tableColumn id="14750" name="列14707"/>
    <tableColumn id="14751" name="列14708"/>
    <tableColumn id="14752" name="列14709"/>
    <tableColumn id="14753" name="列14710"/>
    <tableColumn id="14754" name="列14711"/>
    <tableColumn id="14755" name="列14712"/>
    <tableColumn id="14756" name="列14713"/>
    <tableColumn id="14757" name="列14714"/>
    <tableColumn id="14758" name="列14715"/>
    <tableColumn id="14759" name="列14716"/>
    <tableColumn id="14760" name="列14717"/>
    <tableColumn id="14761" name="列14718"/>
    <tableColumn id="14762" name="列14719"/>
    <tableColumn id="14763" name="列14720"/>
    <tableColumn id="14764" name="列14721"/>
    <tableColumn id="14765" name="列14722"/>
    <tableColumn id="14766" name="列14723"/>
    <tableColumn id="14767" name="列14724"/>
    <tableColumn id="14768" name="列14725"/>
    <tableColumn id="14769" name="列14726"/>
    <tableColumn id="14770" name="列14727"/>
    <tableColumn id="14771" name="列14728"/>
    <tableColumn id="14772" name="列14729"/>
    <tableColumn id="14773" name="列14730"/>
    <tableColumn id="14774" name="列14731"/>
    <tableColumn id="14775" name="列14732"/>
    <tableColumn id="14776" name="列14733"/>
    <tableColumn id="14777" name="列14734"/>
    <tableColumn id="14778" name="列14735"/>
    <tableColumn id="14779" name="列14736"/>
    <tableColumn id="14780" name="列14737"/>
    <tableColumn id="14781" name="列14738"/>
    <tableColumn id="14782" name="列14739"/>
    <tableColumn id="14783" name="列14740"/>
    <tableColumn id="14784" name="列14741"/>
    <tableColumn id="14785" name="列14742"/>
    <tableColumn id="14786" name="列14743"/>
    <tableColumn id="14787" name="列14744"/>
    <tableColumn id="14788" name="列14745"/>
    <tableColumn id="14789" name="列14746"/>
    <tableColumn id="14790" name="列14747"/>
    <tableColumn id="14791" name="列14748"/>
    <tableColumn id="14792" name="列14749"/>
    <tableColumn id="14793" name="列14750"/>
    <tableColumn id="14794" name="列14751"/>
    <tableColumn id="14795" name="列14752"/>
    <tableColumn id="14796" name="列14753"/>
    <tableColumn id="14797" name="列14754"/>
    <tableColumn id="14798" name="列14755"/>
    <tableColumn id="14799" name="列14756"/>
    <tableColumn id="14800" name="列14757"/>
    <tableColumn id="14801" name="列14758"/>
    <tableColumn id="14802" name="列14759"/>
    <tableColumn id="14803" name="列14760"/>
    <tableColumn id="14804" name="列14761"/>
    <tableColumn id="14805" name="列14762"/>
    <tableColumn id="14806" name="列14763"/>
    <tableColumn id="14807" name="列14764"/>
    <tableColumn id="14808" name="列14765"/>
    <tableColumn id="14809" name="列14766"/>
    <tableColumn id="14810" name="列14767"/>
    <tableColumn id="14811" name="列14768"/>
    <tableColumn id="14812" name="列14769"/>
    <tableColumn id="14813" name="列14770"/>
    <tableColumn id="14814" name="列14771"/>
    <tableColumn id="14815" name="列14772"/>
    <tableColumn id="14816" name="列14773"/>
    <tableColumn id="14817" name="列14774"/>
    <tableColumn id="14818" name="列14775"/>
    <tableColumn id="14819" name="列14776"/>
    <tableColumn id="14820" name="列14777"/>
    <tableColumn id="14821" name="列14778"/>
    <tableColumn id="14822" name="列14779"/>
    <tableColumn id="14823" name="列14780"/>
    <tableColumn id="14824" name="列14781"/>
    <tableColumn id="14825" name="列14782"/>
    <tableColumn id="14826" name="列14783"/>
    <tableColumn id="14827" name="列14784"/>
    <tableColumn id="14828" name="列14785"/>
    <tableColumn id="14829" name="列14786"/>
    <tableColumn id="14830" name="列14787"/>
    <tableColumn id="14831" name="列14788"/>
    <tableColumn id="14832" name="列14789"/>
    <tableColumn id="14833" name="列14790"/>
    <tableColumn id="14834" name="列14791"/>
    <tableColumn id="14835" name="列14792"/>
    <tableColumn id="14836" name="列14793"/>
    <tableColumn id="14837" name="列14794"/>
    <tableColumn id="14838" name="列14795"/>
    <tableColumn id="14839" name="列14796"/>
    <tableColumn id="14840" name="列14797"/>
    <tableColumn id="14841" name="列14798"/>
    <tableColumn id="14842" name="列14799"/>
    <tableColumn id="14843" name="列14800"/>
    <tableColumn id="14844" name="列14801"/>
    <tableColumn id="14845" name="列14802"/>
    <tableColumn id="14846" name="列14803"/>
    <tableColumn id="14847" name="列14804"/>
    <tableColumn id="14848" name="列14805"/>
    <tableColumn id="14849" name="列14806"/>
    <tableColumn id="14850" name="列14807"/>
    <tableColumn id="14851" name="列14808"/>
    <tableColumn id="14852" name="列14809"/>
    <tableColumn id="14853" name="列14810"/>
    <tableColumn id="14854" name="列14811"/>
    <tableColumn id="14855" name="列14812"/>
    <tableColumn id="14856" name="列14813"/>
    <tableColumn id="14857" name="列14814"/>
    <tableColumn id="14858" name="列14815"/>
    <tableColumn id="14859" name="列14816"/>
    <tableColumn id="14860" name="列14817"/>
    <tableColumn id="14861" name="列14818"/>
    <tableColumn id="14862" name="列14819"/>
    <tableColumn id="14863" name="列14820"/>
    <tableColumn id="14864" name="列14821"/>
    <tableColumn id="14865" name="列14822"/>
    <tableColumn id="14866" name="列14823"/>
    <tableColumn id="14867" name="列14824"/>
    <tableColumn id="14868" name="列14825"/>
    <tableColumn id="14869" name="列14826"/>
    <tableColumn id="14870" name="列14827"/>
    <tableColumn id="14871" name="列14828"/>
    <tableColumn id="14872" name="列14829"/>
    <tableColumn id="14873" name="列14830"/>
    <tableColumn id="14874" name="列14831"/>
    <tableColumn id="14875" name="列14832"/>
    <tableColumn id="14876" name="列14833"/>
    <tableColumn id="14877" name="列14834"/>
    <tableColumn id="14878" name="列14835"/>
    <tableColumn id="14879" name="列14836"/>
    <tableColumn id="14880" name="列14837"/>
    <tableColumn id="14881" name="列14838"/>
    <tableColumn id="14882" name="列14839"/>
    <tableColumn id="14883" name="列14840"/>
    <tableColumn id="14884" name="列14841"/>
    <tableColumn id="14885" name="列14842"/>
    <tableColumn id="14886" name="列14843"/>
    <tableColumn id="14887" name="列14844"/>
    <tableColumn id="14888" name="列14845"/>
    <tableColumn id="14889" name="列14846"/>
    <tableColumn id="14890" name="列14847"/>
    <tableColumn id="14891" name="列14848"/>
    <tableColumn id="14892" name="列14849"/>
    <tableColumn id="14893" name="列14850"/>
    <tableColumn id="14894" name="列14851"/>
    <tableColumn id="14895" name="列14852"/>
    <tableColumn id="14896" name="列14853"/>
    <tableColumn id="14897" name="列14854"/>
    <tableColumn id="14898" name="列14855"/>
    <tableColumn id="14899" name="列14856"/>
    <tableColumn id="14900" name="列14857"/>
    <tableColumn id="14901" name="列14858"/>
    <tableColumn id="14902" name="列14859"/>
    <tableColumn id="14903" name="列14860"/>
    <tableColumn id="14904" name="列14861"/>
    <tableColumn id="14905" name="列14862"/>
    <tableColumn id="14906" name="列14863"/>
    <tableColumn id="14907" name="列14864"/>
    <tableColumn id="14908" name="列14865"/>
    <tableColumn id="14909" name="列14866"/>
    <tableColumn id="14910" name="列14867"/>
    <tableColumn id="14911" name="列14868"/>
    <tableColumn id="14912" name="列14869"/>
    <tableColumn id="14913" name="列14870"/>
    <tableColumn id="14914" name="列14871"/>
    <tableColumn id="14915" name="列14872"/>
    <tableColumn id="14916" name="列14873"/>
    <tableColumn id="14917" name="列14874"/>
    <tableColumn id="14918" name="列14875"/>
    <tableColumn id="14919" name="列14876"/>
    <tableColumn id="14920" name="列14877"/>
    <tableColumn id="14921" name="列14878"/>
    <tableColumn id="14922" name="列14879"/>
    <tableColumn id="14923" name="列14880"/>
    <tableColumn id="14924" name="列14881"/>
    <tableColumn id="14925" name="列14882"/>
    <tableColumn id="14926" name="列14883"/>
    <tableColumn id="14927" name="列14884"/>
    <tableColumn id="14928" name="列14885"/>
    <tableColumn id="14929" name="列14886"/>
    <tableColumn id="14930" name="列14887"/>
    <tableColumn id="14931" name="列14888"/>
    <tableColumn id="14932" name="列14889"/>
    <tableColumn id="14933" name="列14890"/>
    <tableColumn id="14934" name="列14891"/>
    <tableColumn id="14935" name="列14892"/>
    <tableColumn id="14936" name="列14893"/>
    <tableColumn id="14937" name="列14894"/>
    <tableColumn id="14938" name="列14895"/>
    <tableColumn id="14939" name="列14896"/>
    <tableColumn id="14940" name="列14897"/>
    <tableColumn id="14941" name="列14898"/>
    <tableColumn id="14942" name="列14899"/>
    <tableColumn id="14943" name="列14900"/>
    <tableColumn id="14944" name="列14901"/>
    <tableColumn id="14945" name="列14902"/>
    <tableColumn id="14946" name="列14903"/>
    <tableColumn id="14947" name="列14904"/>
    <tableColumn id="14948" name="列14905"/>
    <tableColumn id="14949" name="列14906"/>
    <tableColumn id="14950" name="列14907"/>
    <tableColumn id="14951" name="列14908"/>
    <tableColumn id="14952" name="列14909"/>
    <tableColumn id="14953" name="列14910"/>
    <tableColumn id="14954" name="列14911"/>
    <tableColumn id="14955" name="列14912"/>
    <tableColumn id="14956" name="列14913"/>
    <tableColumn id="14957" name="列14914"/>
    <tableColumn id="14958" name="列14915"/>
    <tableColumn id="14959" name="列14916"/>
    <tableColumn id="14960" name="列14917"/>
    <tableColumn id="14961" name="列14918"/>
    <tableColumn id="14962" name="列14919"/>
    <tableColumn id="14963" name="列14920"/>
    <tableColumn id="14964" name="列14921"/>
    <tableColumn id="14965" name="列14922"/>
    <tableColumn id="14966" name="列14923"/>
    <tableColumn id="14967" name="列14924"/>
    <tableColumn id="14968" name="列14925"/>
    <tableColumn id="14969" name="列14926"/>
    <tableColumn id="14970" name="列14927"/>
    <tableColumn id="14971" name="列14928"/>
    <tableColumn id="14972" name="列14929"/>
    <tableColumn id="14973" name="列14930"/>
    <tableColumn id="14974" name="列14931"/>
    <tableColumn id="14975" name="列14932"/>
    <tableColumn id="14976" name="列14933"/>
    <tableColumn id="14977" name="列14934"/>
    <tableColumn id="14978" name="列14935"/>
    <tableColumn id="14979" name="列14936"/>
    <tableColumn id="14980" name="列14937"/>
    <tableColumn id="14981" name="列14938"/>
    <tableColumn id="14982" name="列14939"/>
    <tableColumn id="14983" name="列14940"/>
    <tableColumn id="14984" name="列14941"/>
    <tableColumn id="14985" name="列14942"/>
    <tableColumn id="14986" name="列14943"/>
    <tableColumn id="14987" name="列14944"/>
    <tableColumn id="14988" name="列14945"/>
    <tableColumn id="14989" name="列14946"/>
    <tableColumn id="14990" name="列14947"/>
    <tableColumn id="14991" name="列14948"/>
    <tableColumn id="14992" name="列14949"/>
    <tableColumn id="14993" name="列14950"/>
    <tableColumn id="14994" name="列14951"/>
    <tableColumn id="14995" name="列14952"/>
    <tableColumn id="14996" name="列14953"/>
    <tableColumn id="14997" name="列14954"/>
    <tableColumn id="14998" name="列14955"/>
    <tableColumn id="14999" name="列14956"/>
    <tableColumn id="15000" name="列14957"/>
    <tableColumn id="15001" name="列14958"/>
    <tableColumn id="15002" name="列14959"/>
    <tableColumn id="15003" name="列14960"/>
    <tableColumn id="15004" name="列14961"/>
    <tableColumn id="15005" name="列14962"/>
    <tableColumn id="15006" name="列14963"/>
    <tableColumn id="15007" name="列14964"/>
    <tableColumn id="15008" name="列14965"/>
    <tableColumn id="15009" name="列14966"/>
    <tableColumn id="15010" name="列14967"/>
    <tableColumn id="15011" name="列14968"/>
    <tableColumn id="15012" name="列14969"/>
    <tableColumn id="15013" name="列14970"/>
    <tableColumn id="15014" name="列14971"/>
    <tableColumn id="15015" name="列14972"/>
    <tableColumn id="15016" name="列14973"/>
    <tableColumn id="15017" name="列14974"/>
    <tableColumn id="15018" name="列14975"/>
    <tableColumn id="15019" name="列14976"/>
    <tableColumn id="15020" name="列14977"/>
    <tableColumn id="15021" name="列14978"/>
    <tableColumn id="15022" name="列14979"/>
    <tableColumn id="15023" name="列14980"/>
    <tableColumn id="15024" name="列14981"/>
    <tableColumn id="15025" name="列14982"/>
    <tableColumn id="15026" name="列14983"/>
    <tableColumn id="15027" name="列14984"/>
    <tableColumn id="15028" name="列14985"/>
    <tableColumn id="15029" name="列14986"/>
    <tableColumn id="15030" name="列14987"/>
    <tableColumn id="15031" name="列14988"/>
    <tableColumn id="15032" name="列14989"/>
    <tableColumn id="15033" name="列14990"/>
    <tableColumn id="15034" name="列14991"/>
    <tableColumn id="15035" name="列14992"/>
    <tableColumn id="15036" name="列14993"/>
    <tableColumn id="15037" name="列14994"/>
    <tableColumn id="15038" name="列14995"/>
    <tableColumn id="15039" name="列14996"/>
    <tableColumn id="15040" name="列14997"/>
    <tableColumn id="15041" name="列14998"/>
    <tableColumn id="15042" name="列14999"/>
    <tableColumn id="15043" name="列15000"/>
    <tableColumn id="15044" name="列15001"/>
    <tableColumn id="15045" name="列15002"/>
    <tableColumn id="15046" name="列15003"/>
    <tableColumn id="15047" name="列15004"/>
    <tableColumn id="15048" name="列15005"/>
    <tableColumn id="15049" name="列15006"/>
    <tableColumn id="15050" name="列15007"/>
    <tableColumn id="15051" name="列15008"/>
    <tableColumn id="15052" name="列15009"/>
    <tableColumn id="15053" name="列15010"/>
    <tableColumn id="15054" name="列15011"/>
    <tableColumn id="15055" name="列15012"/>
    <tableColumn id="15056" name="列15013"/>
    <tableColumn id="15057" name="列15014"/>
    <tableColumn id="15058" name="列15015"/>
    <tableColumn id="15059" name="列15016"/>
    <tableColumn id="15060" name="列15017"/>
    <tableColumn id="15061" name="列15018"/>
    <tableColumn id="15062" name="列15019"/>
    <tableColumn id="15063" name="列15020"/>
    <tableColumn id="15064" name="列15021"/>
    <tableColumn id="15065" name="列15022"/>
    <tableColumn id="15066" name="列15023"/>
    <tableColumn id="15067" name="列15024"/>
    <tableColumn id="15068" name="列15025"/>
    <tableColumn id="15069" name="列15026"/>
    <tableColumn id="15070" name="列15027"/>
    <tableColumn id="15071" name="列15028"/>
    <tableColumn id="15072" name="列15029"/>
    <tableColumn id="15073" name="列15030"/>
    <tableColumn id="15074" name="列15031"/>
    <tableColumn id="15075" name="列15032"/>
    <tableColumn id="15076" name="列15033"/>
    <tableColumn id="15077" name="列15034"/>
    <tableColumn id="15078" name="列15035"/>
    <tableColumn id="15079" name="列15036"/>
    <tableColumn id="15080" name="列15037"/>
    <tableColumn id="15081" name="列15038"/>
    <tableColumn id="15082" name="列15039"/>
    <tableColumn id="15083" name="列15040"/>
    <tableColumn id="15084" name="列15041"/>
    <tableColumn id="15085" name="列15042"/>
    <tableColumn id="15086" name="列15043"/>
    <tableColumn id="15087" name="列15044"/>
    <tableColumn id="15088" name="列15045"/>
    <tableColumn id="15089" name="列15046"/>
    <tableColumn id="15090" name="列15047"/>
    <tableColumn id="15091" name="列15048"/>
    <tableColumn id="15092" name="列15049"/>
    <tableColumn id="15093" name="列15050"/>
    <tableColumn id="15094" name="列15051"/>
    <tableColumn id="15095" name="列15052"/>
    <tableColumn id="15096" name="列15053"/>
    <tableColumn id="15097" name="列15054"/>
    <tableColumn id="15098" name="列15055"/>
    <tableColumn id="15099" name="列15056"/>
    <tableColumn id="15100" name="列15057"/>
    <tableColumn id="15101" name="列15058"/>
    <tableColumn id="15102" name="列15059"/>
    <tableColumn id="15103" name="列15060"/>
    <tableColumn id="15104" name="列15061"/>
    <tableColumn id="15105" name="列15062"/>
    <tableColumn id="15106" name="列15063"/>
    <tableColumn id="15107" name="列15064"/>
    <tableColumn id="15108" name="列15065"/>
    <tableColumn id="15109" name="列15066"/>
    <tableColumn id="15110" name="列15067"/>
    <tableColumn id="15111" name="列15068"/>
    <tableColumn id="15112" name="列15069"/>
    <tableColumn id="15113" name="列15070"/>
    <tableColumn id="15114" name="列15071"/>
    <tableColumn id="15115" name="列15072"/>
    <tableColumn id="15116" name="列15073"/>
    <tableColumn id="15117" name="列15074"/>
    <tableColumn id="15118" name="列15075"/>
    <tableColumn id="15119" name="列15076"/>
    <tableColumn id="15120" name="列15077"/>
    <tableColumn id="15121" name="列15078"/>
    <tableColumn id="15122" name="列15079"/>
    <tableColumn id="15123" name="列15080"/>
    <tableColumn id="15124" name="列15081"/>
    <tableColumn id="15125" name="列15082"/>
    <tableColumn id="15126" name="列15083"/>
    <tableColumn id="15127" name="列15084"/>
    <tableColumn id="15128" name="列15085"/>
    <tableColumn id="15129" name="列15086"/>
    <tableColumn id="15130" name="列15087"/>
    <tableColumn id="15131" name="列15088"/>
    <tableColumn id="15132" name="列15089"/>
    <tableColumn id="15133" name="列15090"/>
    <tableColumn id="15134" name="列15091"/>
    <tableColumn id="15135" name="列15092"/>
    <tableColumn id="15136" name="列15093"/>
    <tableColumn id="15137" name="列15094"/>
    <tableColumn id="15138" name="列15095"/>
    <tableColumn id="15139" name="列15096"/>
    <tableColumn id="15140" name="列15097"/>
    <tableColumn id="15141" name="列15098"/>
    <tableColumn id="15142" name="列15099"/>
    <tableColumn id="15143" name="列15100"/>
    <tableColumn id="15144" name="列15101"/>
    <tableColumn id="15145" name="列15102"/>
    <tableColumn id="15146" name="列15103"/>
    <tableColumn id="15147" name="列15104"/>
    <tableColumn id="15148" name="列15105"/>
    <tableColumn id="15149" name="列15106"/>
    <tableColumn id="15150" name="列15107"/>
    <tableColumn id="15151" name="列15108"/>
    <tableColumn id="15152" name="列15109"/>
    <tableColumn id="15153" name="列15110"/>
    <tableColumn id="15154" name="列15111"/>
    <tableColumn id="15155" name="列15112"/>
    <tableColumn id="15156" name="列15113"/>
    <tableColumn id="15157" name="列15114"/>
    <tableColumn id="15158" name="列15115"/>
    <tableColumn id="15159" name="列15116"/>
    <tableColumn id="15160" name="列15117"/>
    <tableColumn id="15161" name="列15118"/>
    <tableColumn id="15162" name="列15119"/>
    <tableColumn id="15163" name="列15120"/>
    <tableColumn id="15164" name="列15121"/>
    <tableColumn id="15165" name="列15122"/>
    <tableColumn id="15166" name="列15123"/>
    <tableColumn id="15167" name="列15124"/>
    <tableColumn id="15168" name="列15125"/>
    <tableColumn id="15169" name="列15126"/>
    <tableColumn id="15170" name="列15127"/>
    <tableColumn id="15171" name="列15128"/>
    <tableColumn id="15172" name="列15129"/>
    <tableColumn id="15173" name="列15130"/>
    <tableColumn id="15174" name="列15131"/>
    <tableColumn id="15175" name="列15132"/>
    <tableColumn id="15176" name="列15133"/>
    <tableColumn id="15177" name="列15134"/>
    <tableColumn id="15178" name="列15135"/>
    <tableColumn id="15179" name="列15136"/>
    <tableColumn id="15180" name="列15137"/>
    <tableColumn id="15181" name="列15138"/>
    <tableColumn id="15182" name="列15139"/>
    <tableColumn id="15183" name="列15140"/>
    <tableColumn id="15184" name="列15141"/>
    <tableColumn id="15185" name="列15142"/>
    <tableColumn id="15186" name="列15143"/>
    <tableColumn id="15187" name="列15144"/>
    <tableColumn id="15188" name="列15145"/>
    <tableColumn id="15189" name="列15146"/>
    <tableColumn id="15190" name="列15147"/>
    <tableColumn id="15191" name="列15148"/>
    <tableColumn id="15192" name="列15149"/>
    <tableColumn id="15193" name="列15150"/>
    <tableColumn id="15194" name="列15151"/>
    <tableColumn id="15195" name="列15152"/>
    <tableColumn id="15196" name="列15153"/>
    <tableColumn id="15197" name="列15154"/>
    <tableColumn id="15198" name="列15155"/>
    <tableColumn id="15199" name="列15156"/>
    <tableColumn id="15200" name="列15157"/>
    <tableColumn id="15201" name="列15158"/>
    <tableColumn id="15202" name="列15159"/>
    <tableColumn id="15203" name="列15160"/>
    <tableColumn id="15204" name="列15161"/>
    <tableColumn id="15205" name="列15162"/>
    <tableColumn id="15206" name="列15163"/>
    <tableColumn id="15207" name="列15164"/>
    <tableColumn id="15208" name="列15165"/>
    <tableColumn id="15209" name="列15166"/>
    <tableColumn id="15210" name="列15167"/>
    <tableColumn id="15211" name="列15168"/>
    <tableColumn id="15212" name="列15169"/>
    <tableColumn id="15213" name="列15170"/>
    <tableColumn id="15214" name="列15171"/>
    <tableColumn id="15215" name="列15172"/>
    <tableColumn id="15216" name="列15173"/>
    <tableColumn id="15217" name="列15174"/>
    <tableColumn id="15218" name="列15175"/>
    <tableColumn id="15219" name="列15176"/>
    <tableColumn id="15220" name="列15177"/>
    <tableColumn id="15221" name="列15178"/>
    <tableColumn id="15222" name="列15179"/>
    <tableColumn id="15223" name="列15180"/>
    <tableColumn id="15224" name="列15181"/>
    <tableColumn id="15225" name="列15182"/>
    <tableColumn id="15226" name="列15183"/>
    <tableColumn id="15227" name="列15184"/>
    <tableColumn id="15228" name="列15185"/>
    <tableColumn id="15229" name="列15186"/>
    <tableColumn id="15230" name="列15187"/>
    <tableColumn id="15231" name="列15188"/>
    <tableColumn id="15232" name="列15189"/>
    <tableColumn id="15233" name="列15190"/>
    <tableColumn id="15234" name="列15191"/>
    <tableColumn id="15235" name="列15192"/>
    <tableColumn id="15236" name="列15193"/>
    <tableColumn id="15237" name="列15194"/>
    <tableColumn id="15238" name="列15195"/>
    <tableColumn id="15239" name="列15196"/>
    <tableColumn id="15240" name="列15197"/>
    <tableColumn id="15241" name="列15198"/>
    <tableColumn id="15242" name="列15199"/>
    <tableColumn id="15243" name="列15200"/>
    <tableColumn id="15244" name="列15201"/>
    <tableColumn id="15245" name="列15202"/>
    <tableColumn id="15246" name="列15203"/>
    <tableColumn id="15247" name="列15204"/>
    <tableColumn id="15248" name="列15205"/>
    <tableColumn id="15249" name="列15206"/>
    <tableColumn id="15250" name="列15207"/>
    <tableColumn id="15251" name="列15208"/>
    <tableColumn id="15252" name="列15209"/>
    <tableColumn id="15253" name="列15210"/>
    <tableColumn id="15254" name="列15211"/>
    <tableColumn id="15255" name="列15212"/>
    <tableColumn id="15256" name="列15213"/>
    <tableColumn id="15257" name="列15214"/>
    <tableColumn id="15258" name="列15215"/>
    <tableColumn id="15259" name="列15216"/>
    <tableColumn id="15260" name="列15217"/>
    <tableColumn id="15261" name="列15218"/>
    <tableColumn id="15262" name="列15219"/>
    <tableColumn id="15263" name="列15220"/>
    <tableColumn id="15264" name="列15221"/>
    <tableColumn id="15265" name="列15222"/>
    <tableColumn id="15266" name="列15223"/>
    <tableColumn id="15267" name="列15224"/>
    <tableColumn id="15268" name="列15225"/>
    <tableColumn id="15269" name="列15226"/>
    <tableColumn id="15270" name="列15227"/>
    <tableColumn id="15271" name="列15228"/>
    <tableColumn id="15272" name="列15229"/>
    <tableColumn id="15273" name="列15230"/>
    <tableColumn id="15274" name="列15231"/>
    <tableColumn id="15275" name="列15232"/>
    <tableColumn id="15276" name="列15233"/>
    <tableColumn id="15277" name="列15234"/>
    <tableColumn id="15278" name="列15235"/>
    <tableColumn id="15279" name="列15236"/>
    <tableColumn id="15280" name="列15237"/>
    <tableColumn id="15281" name="列15238"/>
    <tableColumn id="15282" name="列15239"/>
    <tableColumn id="15283" name="列15240"/>
    <tableColumn id="15284" name="列15241"/>
    <tableColumn id="15285" name="列15242"/>
    <tableColumn id="15286" name="列15243"/>
    <tableColumn id="15287" name="列15244"/>
    <tableColumn id="15288" name="列15245"/>
    <tableColumn id="15289" name="列15246"/>
    <tableColumn id="15290" name="列15247"/>
    <tableColumn id="15291" name="列15248"/>
    <tableColumn id="15292" name="列15249"/>
    <tableColumn id="15293" name="列15250"/>
    <tableColumn id="15294" name="列15251"/>
    <tableColumn id="15295" name="列15252"/>
    <tableColumn id="15296" name="列15253"/>
    <tableColumn id="15297" name="列15254"/>
    <tableColumn id="15298" name="列15255"/>
    <tableColumn id="15299" name="列15256"/>
    <tableColumn id="15300" name="列15257"/>
    <tableColumn id="15301" name="列15258"/>
    <tableColumn id="15302" name="列15259"/>
    <tableColumn id="15303" name="列15260"/>
    <tableColumn id="15304" name="列15261"/>
    <tableColumn id="15305" name="列15262"/>
    <tableColumn id="15306" name="列15263"/>
    <tableColumn id="15307" name="列15264"/>
    <tableColumn id="15308" name="列15265"/>
    <tableColumn id="15309" name="列15266"/>
    <tableColumn id="15310" name="列15267"/>
    <tableColumn id="15311" name="列15268"/>
    <tableColumn id="15312" name="列15269"/>
    <tableColumn id="15313" name="列15270"/>
    <tableColumn id="15314" name="列15271"/>
    <tableColumn id="15315" name="列15272"/>
    <tableColumn id="15316" name="列15273"/>
    <tableColumn id="15317" name="列15274"/>
    <tableColumn id="15318" name="列15275"/>
    <tableColumn id="15319" name="列15276"/>
    <tableColumn id="15320" name="列15277"/>
    <tableColumn id="15321" name="列15278"/>
    <tableColumn id="15322" name="列15279"/>
    <tableColumn id="15323" name="列15280"/>
    <tableColumn id="15324" name="列15281"/>
    <tableColumn id="15325" name="列15282"/>
    <tableColumn id="15326" name="列15283"/>
    <tableColumn id="15327" name="列15284"/>
    <tableColumn id="15328" name="列15285"/>
    <tableColumn id="15329" name="列15286"/>
    <tableColumn id="15330" name="列15287"/>
    <tableColumn id="15331" name="列15288"/>
    <tableColumn id="15332" name="列15289"/>
    <tableColumn id="15333" name="列15290"/>
    <tableColumn id="15334" name="列15291"/>
    <tableColumn id="15335" name="列15292"/>
    <tableColumn id="15336" name="列15293"/>
    <tableColumn id="15337" name="列15294"/>
    <tableColumn id="15338" name="列15295"/>
    <tableColumn id="15339" name="列15296"/>
    <tableColumn id="15340" name="列15297"/>
    <tableColumn id="15341" name="列15298"/>
    <tableColumn id="15342" name="列15299"/>
    <tableColumn id="15343" name="列15300"/>
    <tableColumn id="15344" name="列15301"/>
    <tableColumn id="15345" name="列15302"/>
    <tableColumn id="15346" name="列15303"/>
    <tableColumn id="15347" name="列15304"/>
    <tableColumn id="15348" name="列15305"/>
    <tableColumn id="15349" name="列15306"/>
    <tableColumn id="15350" name="列15307"/>
    <tableColumn id="15351" name="列15308"/>
    <tableColumn id="15352" name="列15309"/>
    <tableColumn id="15353" name="列15310"/>
    <tableColumn id="15354" name="列15311"/>
    <tableColumn id="15355" name="列15312"/>
    <tableColumn id="15356" name="列15313"/>
    <tableColumn id="15357" name="列15314"/>
    <tableColumn id="15358" name="列15315"/>
    <tableColumn id="15359" name="列15316"/>
    <tableColumn id="15360" name="列15317"/>
    <tableColumn id="15361" name="列15318"/>
    <tableColumn id="15362" name="列15319"/>
    <tableColumn id="15363" name="列15320"/>
    <tableColumn id="15364" name="列15321"/>
    <tableColumn id="15365" name="列15322"/>
    <tableColumn id="15366" name="列15323"/>
    <tableColumn id="15367" name="列15324"/>
    <tableColumn id="15368" name="列15325"/>
    <tableColumn id="15369" name="列15326"/>
    <tableColumn id="15370" name="列15327"/>
    <tableColumn id="15371" name="列15328"/>
    <tableColumn id="15372" name="列15329"/>
    <tableColumn id="15373" name="列15330"/>
    <tableColumn id="15374" name="列15331"/>
    <tableColumn id="15375" name="列15332"/>
    <tableColumn id="15376" name="列15333"/>
    <tableColumn id="15377" name="列15334"/>
    <tableColumn id="15378" name="列15335"/>
    <tableColumn id="15379" name="列15336"/>
    <tableColumn id="15380" name="列15337"/>
    <tableColumn id="15381" name="列15338"/>
    <tableColumn id="15382" name="列15339"/>
    <tableColumn id="15383" name="列15340"/>
    <tableColumn id="15384" name="列15341"/>
    <tableColumn id="15385" name="列15342"/>
    <tableColumn id="15386" name="列15343"/>
    <tableColumn id="15387" name="列15344"/>
    <tableColumn id="15388" name="列15345"/>
    <tableColumn id="15389" name="列15346"/>
    <tableColumn id="15390" name="列15347"/>
    <tableColumn id="15391" name="列15348"/>
    <tableColumn id="15392" name="列15349"/>
    <tableColumn id="15393" name="列15350"/>
    <tableColumn id="15394" name="列15351"/>
    <tableColumn id="15395" name="列15352"/>
    <tableColumn id="15396" name="列15353"/>
    <tableColumn id="15397" name="列15354"/>
    <tableColumn id="15398" name="列15355"/>
    <tableColumn id="15399" name="列15356"/>
    <tableColumn id="15400" name="列15357"/>
    <tableColumn id="15401" name="列15358"/>
    <tableColumn id="15402" name="列15359"/>
    <tableColumn id="15403" name="列15360"/>
    <tableColumn id="15404" name="列15361"/>
    <tableColumn id="15405" name="列15362"/>
    <tableColumn id="15406" name="列15363"/>
    <tableColumn id="15407" name="列15364"/>
    <tableColumn id="15408" name="列15365"/>
    <tableColumn id="15409" name="列15366"/>
    <tableColumn id="15410" name="列15367"/>
    <tableColumn id="15411" name="列15368"/>
    <tableColumn id="15412" name="列15369"/>
    <tableColumn id="15413" name="列15370"/>
    <tableColumn id="15414" name="列15371"/>
    <tableColumn id="15415" name="列15372"/>
    <tableColumn id="15416" name="列15373"/>
    <tableColumn id="15417" name="列15374"/>
    <tableColumn id="15418" name="列15375"/>
    <tableColumn id="15419" name="列15376"/>
    <tableColumn id="15420" name="列15377"/>
    <tableColumn id="15421" name="列15378"/>
    <tableColumn id="15422" name="列15379"/>
    <tableColumn id="15423" name="列15380"/>
    <tableColumn id="15424" name="列15381"/>
    <tableColumn id="15425" name="列15382"/>
    <tableColumn id="15426" name="列15383"/>
    <tableColumn id="15427" name="列15384"/>
    <tableColumn id="15428" name="列15385"/>
    <tableColumn id="15429" name="列15386"/>
    <tableColumn id="15430" name="列15387"/>
    <tableColumn id="15431" name="列15388"/>
    <tableColumn id="15432" name="列15389"/>
    <tableColumn id="15433" name="列15390"/>
    <tableColumn id="15434" name="列15391"/>
    <tableColumn id="15435" name="列15392"/>
    <tableColumn id="15436" name="列15393"/>
    <tableColumn id="15437" name="列15394"/>
    <tableColumn id="15438" name="列15395"/>
    <tableColumn id="15439" name="列15396"/>
    <tableColumn id="15440" name="列15397"/>
    <tableColumn id="15441" name="列15398"/>
    <tableColumn id="15442" name="列15399"/>
    <tableColumn id="15443" name="列15400"/>
    <tableColumn id="15444" name="列15401"/>
    <tableColumn id="15445" name="列15402"/>
    <tableColumn id="15446" name="列15403"/>
    <tableColumn id="15447" name="列15404"/>
    <tableColumn id="15448" name="列15405"/>
    <tableColumn id="15449" name="列15406"/>
    <tableColumn id="15450" name="列15407"/>
    <tableColumn id="15451" name="列15408"/>
    <tableColumn id="15452" name="列15409"/>
    <tableColumn id="15453" name="列15410"/>
    <tableColumn id="15454" name="列15411"/>
    <tableColumn id="15455" name="列15412"/>
    <tableColumn id="15456" name="列15413"/>
    <tableColumn id="15457" name="列15414"/>
    <tableColumn id="15458" name="列15415"/>
    <tableColumn id="15459" name="列15416"/>
    <tableColumn id="15460" name="列15417"/>
    <tableColumn id="15461" name="列15418"/>
    <tableColumn id="15462" name="列15419"/>
    <tableColumn id="15463" name="列15420"/>
    <tableColumn id="15464" name="列15421"/>
    <tableColumn id="15465" name="列15422"/>
    <tableColumn id="15466" name="列15423"/>
    <tableColumn id="15467" name="列15424"/>
    <tableColumn id="15468" name="列15425"/>
    <tableColumn id="15469" name="列15426"/>
    <tableColumn id="15470" name="列15427"/>
    <tableColumn id="15471" name="列15428"/>
    <tableColumn id="15472" name="列15429"/>
    <tableColumn id="15473" name="列15430"/>
    <tableColumn id="15474" name="列15431"/>
    <tableColumn id="15475" name="列15432"/>
    <tableColumn id="15476" name="列15433"/>
    <tableColumn id="15477" name="列15434"/>
    <tableColumn id="15478" name="列15435"/>
    <tableColumn id="15479" name="列15436"/>
    <tableColumn id="15480" name="列15437"/>
    <tableColumn id="15481" name="列15438"/>
    <tableColumn id="15482" name="列15439"/>
    <tableColumn id="15483" name="列15440"/>
    <tableColumn id="15484" name="列15441"/>
    <tableColumn id="15485" name="列15442"/>
    <tableColumn id="15486" name="列15443"/>
    <tableColumn id="15487" name="列15444"/>
    <tableColumn id="15488" name="列15445"/>
    <tableColumn id="15489" name="列15446"/>
    <tableColumn id="15490" name="列15447"/>
    <tableColumn id="15491" name="列15448"/>
    <tableColumn id="15492" name="列15449"/>
    <tableColumn id="15493" name="列15450"/>
    <tableColumn id="15494" name="列15451"/>
    <tableColumn id="15495" name="列15452"/>
    <tableColumn id="15496" name="列15453"/>
    <tableColumn id="15497" name="列15454"/>
    <tableColumn id="15498" name="列15455"/>
    <tableColumn id="15499" name="列15456"/>
    <tableColumn id="15500" name="列15457"/>
    <tableColumn id="15501" name="列15458"/>
    <tableColumn id="15502" name="列15459"/>
    <tableColumn id="15503" name="列15460"/>
    <tableColumn id="15504" name="列15461"/>
    <tableColumn id="15505" name="列15462"/>
    <tableColumn id="15506" name="列15463"/>
    <tableColumn id="15507" name="列15464"/>
    <tableColumn id="15508" name="列15465"/>
    <tableColumn id="15509" name="列15466"/>
    <tableColumn id="15510" name="列15467"/>
    <tableColumn id="15511" name="列15468"/>
    <tableColumn id="15512" name="列15469"/>
    <tableColumn id="15513" name="列15470"/>
    <tableColumn id="15514" name="列15471"/>
    <tableColumn id="15515" name="列15472"/>
    <tableColumn id="15516" name="列15473"/>
    <tableColumn id="15517" name="列15474"/>
    <tableColumn id="15518" name="列15475"/>
    <tableColumn id="15519" name="列15476"/>
    <tableColumn id="15520" name="列15477"/>
    <tableColumn id="15521" name="列15478"/>
    <tableColumn id="15522" name="列15479"/>
    <tableColumn id="15523" name="列15480"/>
    <tableColumn id="15524" name="列15481"/>
    <tableColumn id="15525" name="列15482"/>
    <tableColumn id="15526" name="列15483"/>
    <tableColumn id="15527" name="列15484"/>
    <tableColumn id="15528" name="列15485"/>
    <tableColumn id="15529" name="列15486"/>
    <tableColumn id="15530" name="列15487"/>
    <tableColumn id="15531" name="列15488"/>
    <tableColumn id="15532" name="列15489"/>
    <tableColumn id="15533" name="列15490"/>
    <tableColumn id="15534" name="列15491"/>
    <tableColumn id="15535" name="列15492"/>
    <tableColumn id="15536" name="列15493"/>
    <tableColumn id="15537" name="列15494"/>
    <tableColumn id="15538" name="列15495"/>
    <tableColumn id="15539" name="列15496"/>
    <tableColumn id="15540" name="列15497"/>
    <tableColumn id="15541" name="列15498"/>
    <tableColumn id="15542" name="列15499"/>
    <tableColumn id="15543" name="列15500"/>
    <tableColumn id="15544" name="列15501"/>
    <tableColumn id="15545" name="列15502"/>
    <tableColumn id="15546" name="列15503"/>
    <tableColumn id="15547" name="列15504"/>
    <tableColumn id="15548" name="列15505"/>
    <tableColumn id="15549" name="列15506"/>
    <tableColumn id="15550" name="列15507"/>
    <tableColumn id="15551" name="列15508"/>
    <tableColumn id="15552" name="列15509"/>
    <tableColumn id="15553" name="列15510"/>
    <tableColumn id="15554" name="列15511"/>
    <tableColumn id="15555" name="列15512"/>
    <tableColumn id="15556" name="列15513"/>
    <tableColumn id="15557" name="列15514"/>
    <tableColumn id="15558" name="列15515"/>
    <tableColumn id="15559" name="列15516"/>
    <tableColumn id="15560" name="列15517"/>
    <tableColumn id="15561" name="列15518"/>
    <tableColumn id="15562" name="列15519"/>
    <tableColumn id="15563" name="列15520"/>
    <tableColumn id="15564" name="列15521"/>
    <tableColumn id="15565" name="列15522"/>
    <tableColumn id="15566" name="列15523"/>
    <tableColumn id="15567" name="列15524"/>
    <tableColumn id="15568" name="列15525"/>
    <tableColumn id="15569" name="列15526"/>
    <tableColumn id="15570" name="列15527"/>
    <tableColumn id="15571" name="列15528"/>
    <tableColumn id="15572" name="列15529"/>
    <tableColumn id="15573" name="列15530"/>
    <tableColumn id="15574" name="列15531"/>
    <tableColumn id="15575" name="列15532"/>
    <tableColumn id="15576" name="列15533"/>
    <tableColumn id="15577" name="列15534"/>
    <tableColumn id="15578" name="列15535"/>
    <tableColumn id="15579" name="列15536"/>
    <tableColumn id="15580" name="列15537"/>
    <tableColumn id="15581" name="列15538"/>
    <tableColumn id="15582" name="列15539"/>
    <tableColumn id="15583" name="列15540"/>
    <tableColumn id="15584" name="列15541"/>
    <tableColumn id="15585" name="列15542"/>
    <tableColumn id="15586" name="列15543"/>
    <tableColumn id="15587" name="列15544"/>
    <tableColumn id="15588" name="列15545"/>
    <tableColumn id="15589" name="列15546"/>
    <tableColumn id="15590" name="列15547"/>
    <tableColumn id="15591" name="列15548"/>
    <tableColumn id="15592" name="列15549"/>
    <tableColumn id="15593" name="列15550"/>
    <tableColumn id="15594" name="列15551"/>
    <tableColumn id="15595" name="列15552"/>
    <tableColumn id="15596" name="列15553"/>
    <tableColumn id="15597" name="列15554"/>
    <tableColumn id="15598" name="列15555"/>
    <tableColumn id="15599" name="列15556"/>
    <tableColumn id="15600" name="列15557"/>
    <tableColumn id="15601" name="列15558"/>
    <tableColumn id="15602" name="列15559"/>
    <tableColumn id="15603" name="列15560"/>
    <tableColumn id="15604" name="列15561"/>
    <tableColumn id="15605" name="列15562"/>
    <tableColumn id="15606" name="列15563"/>
    <tableColumn id="15607" name="列15564"/>
    <tableColumn id="15608" name="列15565"/>
    <tableColumn id="15609" name="列15566"/>
    <tableColumn id="15610" name="列15567"/>
    <tableColumn id="15611" name="列15568"/>
    <tableColumn id="15612" name="列15569"/>
    <tableColumn id="15613" name="列15570"/>
    <tableColumn id="15614" name="列15571"/>
    <tableColumn id="15615" name="列15572"/>
    <tableColumn id="15616" name="列15573"/>
    <tableColumn id="15617" name="列15574"/>
    <tableColumn id="15618" name="列15575"/>
    <tableColumn id="15619" name="列15576"/>
    <tableColumn id="15620" name="列15577"/>
    <tableColumn id="15621" name="列15578"/>
    <tableColumn id="15622" name="列15579"/>
    <tableColumn id="15623" name="列15580"/>
    <tableColumn id="15624" name="列15581"/>
    <tableColumn id="15625" name="列15582"/>
    <tableColumn id="15626" name="列15583"/>
    <tableColumn id="15627" name="列15584"/>
    <tableColumn id="15628" name="列15585"/>
    <tableColumn id="15629" name="列15586"/>
    <tableColumn id="15630" name="列15587"/>
    <tableColumn id="15631" name="列15588"/>
    <tableColumn id="15632" name="列15589"/>
    <tableColumn id="15633" name="列15590"/>
    <tableColumn id="15634" name="列15591"/>
    <tableColumn id="15635" name="列15592"/>
    <tableColumn id="15636" name="列15593"/>
    <tableColumn id="15637" name="列15594"/>
    <tableColumn id="15638" name="列15595"/>
    <tableColumn id="15639" name="列15596"/>
    <tableColumn id="15640" name="列15597"/>
    <tableColumn id="15641" name="列15598"/>
    <tableColumn id="15642" name="列15599"/>
    <tableColumn id="15643" name="列15600"/>
    <tableColumn id="15644" name="列15601"/>
    <tableColumn id="15645" name="列15602"/>
    <tableColumn id="15646" name="列15603"/>
    <tableColumn id="15647" name="列15604"/>
    <tableColumn id="15648" name="列15605"/>
    <tableColumn id="15649" name="列15606"/>
    <tableColumn id="15650" name="列15607"/>
    <tableColumn id="15651" name="列15608"/>
    <tableColumn id="15652" name="列15609"/>
    <tableColumn id="15653" name="列15610"/>
    <tableColumn id="15654" name="列15611"/>
    <tableColumn id="15655" name="列15612"/>
    <tableColumn id="15656" name="列15613"/>
    <tableColumn id="15657" name="列15614"/>
    <tableColumn id="15658" name="列15615"/>
    <tableColumn id="15659" name="列15616"/>
    <tableColumn id="15660" name="列15617"/>
    <tableColumn id="15661" name="列15618"/>
    <tableColumn id="15662" name="列15619"/>
    <tableColumn id="15663" name="列15620"/>
    <tableColumn id="15664" name="列15621"/>
    <tableColumn id="15665" name="列15622"/>
    <tableColumn id="15666" name="列15623"/>
    <tableColumn id="15667" name="列15624"/>
    <tableColumn id="15668" name="列15625"/>
    <tableColumn id="15669" name="列15626"/>
    <tableColumn id="15670" name="列15627"/>
    <tableColumn id="15671" name="列15628"/>
    <tableColumn id="15672" name="列15629"/>
    <tableColumn id="15673" name="列15630"/>
    <tableColumn id="15674" name="列15631"/>
    <tableColumn id="15675" name="列15632"/>
    <tableColumn id="15676" name="列15633"/>
    <tableColumn id="15677" name="列15634"/>
    <tableColumn id="15678" name="列15635"/>
    <tableColumn id="15679" name="列15636"/>
    <tableColumn id="15680" name="列15637"/>
    <tableColumn id="15681" name="列15638"/>
    <tableColumn id="15682" name="列15639"/>
    <tableColumn id="15683" name="列15640"/>
    <tableColumn id="15684" name="列15641"/>
    <tableColumn id="15685" name="列15642"/>
    <tableColumn id="15686" name="列15643"/>
    <tableColumn id="15687" name="列15644"/>
    <tableColumn id="15688" name="列15645"/>
    <tableColumn id="15689" name="列15646"/>
    <tableColumn id="15690" name="列15647"/>
    <tableColumn id="15691" name="列15648"/>
    <tableColumn id="15692" name="列15649"/>
    <tableColumn id="15693" name="列15650"/>
    <tableColumn id="15694" name="列15651"/>
    <tableColumn id="15695" name="列15652"/>
    <tableColumn id="15696" name="列15653"/>
    <tableColumn id="15697" name="列15654"/>
    <tableColumn id="15698" name="列15655"/>
    <tableColumn id="15699" name="列15656"/>
    <tableColumn id="15700" name="列15657"/>
    <tableColumn id="15701" name="列15658"/>
    <tableColumn id="15702" name="列15659"/>
    <tableColumn id="15703" name="列15660"/>
    <tableColumn id="15704" name="列15661"/>
    <tableColumn id="15705" name="列15662"/>
    <tableColumn id="15706" name="列15663"/>
    <tableColumn id="15707" name="列15664"/>
    <tableColumn id="15708" name="列15665"/>
    <tableColumn id="15709" name="列15666"/>
    <tableColumn id="15710" name="列15667"/>
    <tableColumn id="15711" name="列15668"/>
    <tableColumn id="15712" name="列15669"/>
    <tableColumn id="15713" name="列15670"/>
    <tableColumn id="15714" name="列15671"/>
    <tableColumn id="15715" name="列15672"/>
    <tableColumn id="15716" name="列15673"/>
    <tableColumn id="15717" name="列15674"/>
    <tableColumn id="15718" name="列15675"/>
    <tableColumn id="15719" name="列15676"/>
    <tableColumn id="15720" name="列15677"/>
    <tableColumn id="15721" name="列15678"/>
    <tableColumn id="15722" name="列15679"/>
    <tableColumn id="15723" name="列15680"/>
    <tableColumn id="15724" name="列15681"/>
    <tableColumn id="15725" name="列15682"/>
    <tableColumn id="15726" name="列15683"/>
    <tableColumn id="15727" name="列15684"/>
    <tableColumn id="15728" name="列15685"/>
    <tableColumn id="15729" name="列15686"/>
    <tableColumn id="15730" name="列15687"/>
    <tableColumn id="15731" name="列15688"/>
    <tableColumn id="15732" name="列15689"/>
    <tableColumn id="15733" name="列15690"/>
    <tableColumn id="15734" name="列15691"/>
    <tableColumn id="15735" name="列15692"/>
    <tableColumn id="15736" name="列15693"/>
    <tableColumn id="15737" name="列15694"/>
    <tableColumn id="15738" name="列15695"/>
    <tableColumn id="15739" name="列15696"/>
    <tableColumn id="15740" name="列15697"/>
    <tableColumn id="15741" name="列15698"/>
    <tableColumn id="15742" name="列15699"/>
    <tableColumn id="15743" name="列15700"/>
    <tableColumn id="15744" name="列15701"/>
    <tableColumn id="15745" name="列15702"/>
    <tableColumn id="15746" name="列15703"/>
    <tableColumn id="15747" name="列15704"/>
    <tableColumn id="15748" name="列15705"/>
    <tableColumn id="15749" name="列15706"/>
    <tableColumn id="15750" name="列15707"/>
    <tableColumn id="15751" name="列15708"/>
    <tableColumn id="15752" name="列15709"/>
    <tableColumn id="15753" name="列15710"/>
    <tableColumn id="15754" name="列15711"/>
    <tableColumn id="15755" name="列15712"/>
    <tableColumn id="15756" name="列15713"/>
    <tableColumn id="15757" name="列15714"/>
    <tableColumn id="15758" name="列15715"/>
    <tableColumn id="15759" name="列15716"/>
    <tableColumn id="15760" name="列15717"/>
    <tableColumn id="15761" name="列15718"/>
    <tableColumn id="15762" name="列15719"/>
    <tableColumn id="15763" name="列15720"/>
    <tableColumn id="15764" name="列15721"/>
    <tableColumn id="15765" name="列15722"/>
    <tableColumn id="15766" name="列15723"/>
    <tableColumn id="15767" name="列15724"/>
    <tableColumn id="15768" name="列15725"/>
    <tableColumn id="15769" name="列15726"/>
    <tableColumn id="15770" name="列15727"/>
    <tableColumn id="15771" name="列15728"/>
    <tableColumn id="15772" name="列15729"/>
    <tableColumn id="15773" name="列15730"/>
    <tableColumn id="15774" name="列15731"/>
    <tableColumn id="15775" name="列15732"/>
    <tableColumn id="15776" name="列15733"/>
    <tableColumn id="15777" name="列15734"/>
    <tableColumn id="15778" name="列15735"/>
    <tableColumn id="15779" name="列15736"/>
    <tableColumn id="15780" name="列15737"/>
    <tableColumn id="15781" name="列15738"/>
    <tableColumn id="15782" name="列15739"/>
    <tableColumn id="15783" name="列15740"/>
    <tableColumn id="15784" name="列15741"/>
    <tableColumn id="15785" name="列15742"/>
    <tableColumn id="15786" name="列15743"/>
    <tableColumn id="15787" name="列15744"/>
    <tableColumn id="15788" name="列15745"/>
    <tableColumn id="15789" name="列15746"/>
    <tableColumn id="15790" name="列15747"/>
    <tableColumn id="15791" name="列15748"/>
    <tableColumn id="15792" name="列15749"/>
    <tableColumn id="15793" name="列15750"/>
    <tableColumn id="15794" name="列15751"/>
    <tableColumn id="15795" name="列15752"/>
    <tableColumn id="15796" name="列15753"/>
    <tableColumn id="15797" name="列15754"/>
    <tableColumn id="15798" name="列15755"/>
    <tableColumn id="15799" name="列15756"/>
    <tableColumn id="15800" name="列15757"/>
    <tableColumn id="15801" name="列15758"/>
    <tableColumn id="15802" name="列15759"/>
    <tableColumn id="15803" name="列15760"/>
    <tableColumn id="15804" name="列15761"/>
    <tableColumn id="15805" name="列15762"/>
    <tableColumn id="15806" name="列15763"/>
    <tableColumn id="15807" name="列15764"/>
    <tableColumn id="15808" name="列15765"/>
    <tableColumn id="15809" name="列15766"/>
    <tableColumn id="15810" name="列15767"/>
    <tableColumn id="15811" name="列15768"/>
    <tableColumn id="15812" name="列15769"/>
    <tableColumn id="15813" name="列15770"/>
    <tableColumn id="15814" name="列15771"/>
    <tableColumn id="15815" name="列15772"/>
    <tableColumn id="15816" name="列15773"/>
    <tableColumn id="15817" name="列15774"/>
    <tableColumn id="15818" name="列15775"/>
    <tableColumn id="15819" name="列15776"/>
    <tableColumn id="15820" name="列15777"/>
    <tableColumn id="15821" name="列15778"/>
    <tableColumn id="15822" name="列15779"/>
    <tableColumn id="15823" name="列15780"/>
    <tableColumn id="15824" name="列15781"/>
    <tableColumn id="15825" name="列15782"/>
    <tableColumn id="15826" name="列15783"/>
    <tableColumn id="15827" name="列15784"/>
    <tableColumn id="15828" name="列15785"/>
    <tableColumn id="15829" name="列15786"/>
    <tableColumn id="15830" name="列15787"/>
    <tableColumn id="15831" name="列15788"/>
    <tableColumn id="15832" name="列15789"/>
    <tableColumn id="15833" name="列15790"/>
    <tableColumn id="15834" name="列15791"/>
    <tableColumn id="15835" name="列15792"/>
    <tableColumn id="15836" name="列15793"/>
    <tableColumn id="15837" name="列15794"/>
    <tableColumn id="15838" name="列15795"/>
    <tableColumn id="15839" name="列15796"/>
    <tableColumn id="15840" name="列15797"/>
    <tableColumn id="15841" name="列15798"/>
    <tableColumn id="15842" name="列15799"/>
    <tableColumn id="15843" name="列15800"/>
    <tableColumn id="15844" name="列15801"/>
    <tableColumn id="15845" name="列15802"/>
    <tableColumn id="15846" name="列15803"/>
    <tableColumn id="15847" name="列15804"/>
    <tableColumn id="15848" name="列15805"/>
    <tableColumn id="15849" name="列15806"/>
    <tableColumn id="15850" name="列15807"/>
    <tableColumn id="15851" name="列15808"/>
    <tableColumn id="15852" name="列15809"/>
    <tableColumn id="15853" name="列15810"/>
    <tableColumn id="15854" name="列15811"/>
    <tableColumn id="15855" name="列15812"/>
    <tableColumn id="15856" name="列15813"/>
    <tableColumn id="15857" name="列15814"/>
    <tableColumn id="15858" name="列15815"/>
    <tableColumn id="15859" name="列15816"/>
    <tableColumn id="15860" name="列15817"/>
    <tableColumn id="15861" name="列15818"/>
    <tableColumn id="15862" name="列15819"/>
    <tableColumn id="15863" name="列15820"/>
    <tableColumn id="15864" name="列15821"/>
    <tableColumn id="15865" name="列15822"/>
    <tableColumn id="15866" name="列15823"/>
    <tableColumn id="15867" name="列15824"/>
    <tableColumn id="15868" name="列15825"/>
    <tableColumn id="15869" name="列15826"/>
    <tableColumn id="15870" name="列15827"/>
    <tableColumn id="15871" name="列15828"/>
    <tableColumn id="15872" name="列15829"/>
    <tableColumn id="15873" name="列15830"/>
    <tableColumn id="15874" name="列15831"/>
    <tableColumn id="15875" name="列15832"/>
    <tableColumn id="15876" name="列15833"/>
    <tableColumn id="15877" name="列15834"/>
    <tableColumn id="15878" name="列15835"/>
    <tableColumn id="15879" name="列15836"/>
    <tableColumn id="15880" name="列15837"/>
    <tableColumn id="15881" name="列15838"/>
    <tableColumn id="15882" name="列15839"/>
    <tableColumn id="15883" name="列15840"/>
    <tableColumn id="15884" name="列15841"/>
    <tableColumn id="15885" name="列15842"/>
    <tableColumn id="15886" name="列15843"/>
    <tableColumn id="15887" name="列15844"/>
    <tableColumn id="15888" name="列15845"/>
    <tableColumn id="15889" name="列15846"/>
    <tableColumn id="15890" name="列15847"/>
    <tableColumn id="15891" name="列15848"/>
    <tableColumn id="15892" name="列15849"/>
    <tableColumn id="15893" name="列15850"/>
    <tableColumn id="15894" name="列15851"/>
    <tableColumn id="15895" name="列15852"/>
    <tableColumn id="15896" name="列15853"/>
    <tableColumn id="15897" name="列15854"/>
    <tableColumn id="15898" name="列15855"/>
    <tableColumn id="15899" name="列15856"/>
    <tableColumn id="15900" name="列15857"/>
    <tableColumn id="15901" name="列15858"/>
    <tableColumn id="15902" name="列15859"/>
    <tableColumn id="15903" name="列15860"/>
    <tableColumn id="15904" name="列15861"/>
    <tableColumn id="15905" name="列15862"/>
    <tableColumn id="15906" name="列15863"/>
    <tableColumn id="15907" name="列15864"/>
    <tableColumn id="15908" name="列15865"/>
    <tableColumn id="15909" name="列15866"/>
    <tableColumn id="15910" name="列15867"/>
    <tableColumn id="15911" name="列15868"/>
    <tableColumn id="15912" name="列15869"/>
    <tableColumn id="15913" name="列15870"/>
    <tableColumn id="15914" name="列15871"/>
    <tableColumn id="15915" name="列15872"/>
    <tableColumn id="15916" name="列15873"/>
    <tableColumn id="15917" name="列15874"/>
    <tableColumn id="15918" name="列15875"/>
    <tableColumn id="15919" name="列15876"/>
    <tableColumn id="15920" name="列15877"/>
    <tableColumn id="15921" name="列15878"/>
    <tableColumn id="15922" name="列15879"/>
    <tableColumn id="15923" name="列15880"/>
    <tableColumn id="15924" name="列15881"/>
    <tableColumn id="15925" name="列15882"/>
    <tableColumn id="15926" name="列15883"/>
    <tableColumn id="15927" name="列15884"/>
    <tableColumn id="15928" name="列15885"/>
    <tableColumn id="15929" name="列15886"/>
    <tableColumn id="15930" name="列15887"/>
    <tableColumn id="15931" name="列15888"/>
    <tableColumn id="15932" name="列15889"/>
    <tableColumn id="15933" name="列15890"/>
    <tableColumn id="15934" name="列15891"/>
    <tableColumn id="15935" name="列15892"/>
    <tableColumn id="15936" name="列15893"/>
    <tableColumn id="15937" name="列15894"/>
    <tableColumn id="15938" name="列15895"/>
    <tableColumn id="15939" name="列15896"/>
    <tableColumn id="15940" name="列15897"/>
    <tableColumn id="15941" name="列15898"/>
    <tableColumn id="15942" name="列15899"/>
    <tableColumn id="15943" name="列15900"/>
    <tableColumn id="15944" name="列15901"/>
    <tableColumn id="15945" name="列15902"/>
    <tableColumn id="15946" name="列15903"/>
    <tableColumn id="15947" name="列15904"/>
    <tableColumn id="15948" name="列15905"/>
    <tableColumn id="15949" name="列15906"/>
    <tableColumn id="15950" name="列15907"/>
    <tableColumn id="15951" name="列15908"/>
    <tableColumn id="15952" name="列15909"/>
    <tableColumn id="15953" name="列15910"/>
    <tableColumn id="15954" name="列15911"/>
    <tableColumn id="15955" name="列15912"/>
    <tableColumn id="15956" name="列15913"/>
    <tableColumn id="15957" name="列15914"/>
    <tableColumn id="15958" name="列15915"/>
    <tableColumn id="15959" name="列15916"/>
    <tableColumn id="15960" name="列15917"/>
    <tableColumn id="15961" name="列15918"/>
    <tableColumn id="15962" name="列15919"/>
    <tableColumn id="15963" name="列15920"/>
    <tableColumn id="15964" name="列15921"/>
    <tableColumn id="15965" name="列15922"/>
    <tableColumn id="15966" name="列15923"/>
    <tableColumn id="15967" name="列15924"/>
    <tableColumn id="15968" name="列15925"/>
    <tableColumn id="15969" name="列15926"/>
    <tableColumn id="15970" name="列15927"/>
    <tableColumn id="15971" name="列15928"/>
    <tableColumn id="15972" name="列15929"/>
    <tableColumn id="15973" name="列15930"/>
    <tableColumn id="15974" name="列15931"/>
    <tableColumn id="15975" name="列15932"/>
    <tableColumn id="15976" name="列15933"/>
    <tableColumn id="15977" name="列15934"/>
    <tableColumn id="15978" name="列15935"/>
    <tableColumn id="15979" name="列15936"/>
    <tableColumn id="15980" name="列15937"/>
    <tableColumn id="15981" name="列15938"/>
    <tableColumn id="15982" name="列15939"/>
    <tableColumn id="15983" name="列15940"/>
    <tableColumn id="15984" name="列15941"/>
    <tableColumn id="15985" name="列15942"/>
    <tableColumn id="15986" name="列15943"/>
    <tableColumn id="15987" name="列15944"/>
    <tableColumn id="15988" name="列15945"/>
    <tableColumn id="15989" name="列15946"/>
    <tableColumn id="15990" name="列15947"/>
    <tableColumn id="15991" name="列15948"/>
    <tableColumn id="15992" name="列15949"/>
    <tableColumn id="15993" name="列15950"/>
    <tableColumn id="15994" name="列15951"/>
    <tableColumn id="15995" name="列15952"/>
    <tableColumn id="15996" name="列15953"/>
    <tableColumn id="15997" name="列15954"/>
    <tableColumn id="15998" name="列15955"/>
    <tableColumn id="15999" name="列15956"/>
    <tableColumn id="16000" name="列15957"/>
    <tableColumn id="16001" name="列15958"/>
    <tableColumn id="16002" name="列15959"/>
    <tableColumn id="16003" name="列15960"/>
    <tableColumn id="16004" name="列15961"/>
    <tableColumn id="16005" name="列15962"/>
    <tableColumn id="16006" name="列15963"/>
    <tableColumn id="16007" name="列15964"/>
    <tableColumn id="16008" name="列15965"/>
    <tableColumn id="16009" name="列15966"/>
    <tableColumn id="16010" name="列15967"/>
    <tableColumn id="16011" name="列15968"/>
    <tableColumn id="16012" name="列15969"/>
    <tableColumn id="16013" name="列15970"/>
    <tableColumn id="16014" name="列15971"/>
    <tableColumn id="16015" name="列15972"/>
    <tableColumn id="16016" name="列15973"/>
    <tableColumn id="16017" name="列15974"/>
    <tableColumn id="16018" name="列15975"/>
    <tableColumn id="16019" name="列15976"/>
    <tableColumn id="16020" name="列15977"/>
    <tableColumn id="16021" name="列15978"/>
    <tableColumn id="16022" name="列15979"/>
    <tableColumn id="16023" name="列15980"/>
    <tableColumn id="16024" name="列15981"/>
    <tableColumn id="16025" name="列15982"/>
    <tableColumn id="16026" name="列15983"/>
    <tableColumn id="16027" name="列15984"/>
    <tableColumn id="16028" name="列15985"/>
    <tableColumn id="16029" name="列15986"/>
    <tableColumn id="16030" name="列15987"/>
    <tableColumn id="16031" name="列15988"/>
    <tableColumn id="16032" name="列15989"/>
    <tableColumn id="16033" name="列15990"/>
    <tableColumn id="16034" name="列15991"/>
    <tableColumn id="16035" name="列15992"/>
    <tableColumn id="16036" name="列15993"/>
    <tableColumn id="16037" name="列15994"/>
    <tableColumn id="16038" name="列15995"/>
    <tableColumn id="16039" name="列15996"/>
    <tableColumn id="16040" name="列15997"/>
    <tableColumn id="16041" name="列15998"/>
    <tableColumn id="16042" name="列15999"/>
    <tableColumn id="16043" name="列16000"/>
    <tableColumn id="16044" name="列16001"/>
    <tableColumn id="16045" name="列16002"/>
    <tableColumn id="16046" name="列16003"/>
    <tableColumn id="16047" name="列16004"/>
    <tableColumn id="16048" name="列16005"/>
    <tableColumn id="16049" name="列16006"/>
    <tableColumn id="16050" name="列16007"/>
    <tableColumn id="16051" name="列16008"/>
    <tableColumn id="16052" name="列16009"/>
    <tableColumn id="16053" name="列16010"/>
    <tableColumn id="16054" name="列16011"/>
    <tableColumn id="16055" name="列16012"/>
    <tableColumn id="16056" name="列16013"/>
    <tableColumn id="16057" name="列16014"/>
    <tableColumn id="16058" name="列16015"/>
    <tableColumn id="16059" name="列16016"/>
    <tableColumn id="16060" name="列16017"/>
    <tableColumn id="16061" name="列16018"/>
    <tableColumn id="16062" name="列16019"/>
    <tableColumn id="16063" name="列16020"/>
    <tableColumn id="16064" name="列16021"/>
    <tableColumn id="16065" name="列16022"/>
    <tableColumn id="16066" name="列16023"/>
    <tableColumn id="16067" name="列16024"/>
    <tableColumn id="16068" name="列16025"/>
    <tableColumn id="16069" name="列16026"/>
    <tableColumn id="16070" name="列16027"/>
    <tableColumn id="16071" name="列16028"/>
    <tableColumn id="16072" name="列16029"/>
    <tableColumn id="16073" name="列16030"/>
    <tableColumn id="16074" name="列16031"/>
    <tableColumn id="16075" name="列16032"/>
    <tableColumn id="16076" name="列16033"/>
    <tableColumn id="16077" name="列16034"/>
    <tableColumn id="16078" name="列16035"/>
    <tableColumn id="16079" name="列16036"/>
    <tableColumn id="16080" name="列16037"/>
    <tableColumn id="16081" name="列16038"/>
    <tableColumn id="16082" name="列16039"/>
    <tableColumn id="16083" name="列16040"/>
    <tableColumn id="16084" name="列16041"/>
    <tableColumn id="16085" name="列16042"/>
    <tableColumn id="16086" name="列16043"/>
    <tableColumn id="16087" name="列16044"/>
    <tableColumn id="16088" name="列16045"/>
    <tableColumn id="16089" name="列16046"/>
    <tableColumn id="16090" name="列16047"/>
    <tableColumn id="16091" name="列16048"/>
    <tableColumn id="16092" name="列16049"/>
    <tableColumn id="16093" name="列16050"/>
    <tableColumn id="16094" name="列16051"/>
    <tableColumn id="16095" name="列16052"/>
    <tableColumn id="16096" name="列16053"/>
    <tableColumn id="16097" name="列16054"/>
    <tableColumn id="16098" name="列16055"/>
    <tableColumn id="16099" name="列16056"/>
    <tableColumn id="16100" name="列16057"/>
    <tableColumn id="16101" name="列16058"/>
    <tableColumn id="16102" name="列16059"/>
    <tableColumn id="16103" name="列16060"/>
    <tableColumn id="16104" name="列16061"/>
    <tableColumn id="16105" name="列16062"/>
    <tableColumn id="16106" name="列16063"/>
    <tableColumn id="16107" name="列16064"/>
    <tableColumn id="16108" name="列16065"/>
    <tableColumn id="16109" name="列16066"/>
    <tableColumn id="16110" name="列16067"/>
    <tableColumn id="16111" name="列16068"/>
    <tableColumn id="16112" name="列16069"/>
    <tableColumn id="16113" name="列16070"/>
    <tableColumn id="16114" name="列16071"/>
    <tableColumn id="16115" name="列16072"/>
    <tableColumn id="16116" name="列16073"/>
    <tableColumn id="16117" name="列16074"/>
    <tableColumn id="16118" name="列16075"/>
    <tableColumn id="16119" name="列16076"/>
    <tableColumn id="16120" name="列16077"/>
    <tableColumn id="16121" name="列16078"/>
    <tableColumn id="16122" name="列16079"/>
    <tableColumn id="16123" name="列16080"/>
    <tableColumn id="16124" name="列16081"/>
    <tableColumn id="16125" name="列16082"/>
    <tableColumn id="16126" name="列16083"/>
    <tableColumn id="16127" name="列16084"/>
    <tableColumn id="16128" name="列16085"/>
    <tableColumn id="16129" name="列16086"/>
    <tableColumn id="16130" name="列16087"/>
    <tableColumn id="16131" name="列16088"/>
    <tableColumn id="16132" name="列16089"/>
    <tableColumn id="16133" name="列16090"/>
    <tableColumn id="16134" name="列16091"/>
    <tableColumn id="16135" name="列16092"/>
    <tableColumn id="16136" name="列16093"/>
    <tableColumn id="16137" name="列16094"/>
    <tableColumn id="16138" name="列16095"/>
    <tableColumn id="16139" name="列16096"/>
    <tableColumn id="16140" name="列16097"/>
    <tableColumn id="16141" name="列16098"/>
    <tableColumn id="16142" name="列16099"/>
    <tableColumn id="16143" name="列16100"/>
    <tableColumn id="16144" name="列16101"/>
    <tableColumn id="16145" name="列16102"/>
    <tableColumn id="16146" name="列16103"/>
    <tableColumn id="16147" name="列16104"/>
    <tableColumn id="16148" name="列16105"/>
    <tableColumn id="16149" name="列16106"/>
    <tableColumn id="16150" name="列16107"/>
    <tableColumn id="16151" name="列16108"/>
    <tableColumn id="16152" name="列16109"/>
    <tableColumn id="16153" name="列16110"/>
    <tableColumn id="16154" name="列16111"/>
    <tableColumn id="16155" name="列16112"/>
    <tableColumn id="16156" name="列16113"/>
    <tableColumn id="16157" name="列16114"/>
    <tableColumn id="16158" name="列16115"/>
    <tableColumn id="16159" name="列16116"/>
    <tableColumn id="16160" name="列16117"/>
    <tableColumn id="16161" name="列16118"/>
    <tableColumn id="16162" name="列16119"/>
    <tableColumn id="16163" name="列16120"/>
    <tableColumn id="16164" name="列16121"/>
    <tableColumn id="16165" name="列16122"/>
    <tableColumn id="16166" name="列16123"/>
    <tableColumn id="16167" name="列16124"/>
    <tableColumn id="16168" name="列16125"/>
    <tableColumn id="16169" name="列16126"/>
    <tableColumn id="16170" name="列16127"/>
    <tableColumn id="16171" name="列16128"/>
    <tableColumn id="16172" name="列16129"/>
    <tableColumn id="16173" name="列16130"/>
    <tableColumn id="16174" name="列16131"/>
    <tableColumn id="16175" name="列16132"/>
    <tableColumn id="16176" name="列16133"/>
    <tableColumn id="16177" name="列16134"/>
    <tableColumn id="16178" name="列16135"/>
    <tableColumn id="16179" name="列16136"/>
    <tableColumn id="16180" name="列16137"/>
    <tableColumn id="16181" name="列16138"/>
    <tableColumn id="16182" name="列16139"/>
    <tableColumn id="16183" name="列16140"/>
    <tableColumn id="16184" name="列16141"/>
    <tableColumn id="16185" name="列16142"/>
    <tableColumn id="16186" name="列16143"/>
    <tableColumn id="16187" name="列16144"/>
    <tableColumn id="16188" name="列16145"/>
    <tableColumn id="16189" name="列16146"/>
    <tableColumn id="16190" name="列16147"/>
    <tableColumn id="16191" name="列16148"/>
    <tableColumn id="16192" name="列16149"/>
    <tableColumn id="16193" name="列16150"/>
    <tableColumn id="16194" name="列16151"/>
    <tableColumn id="16195" name="列16152"/>
    <tableColumn id="16196" name="列16153"/>
    <tableColumn id="16197" name="列16154"/>
    <tableColumn id="16198" name="列16155"/>
    <tableColumn id="16199" name="列16156"/>
    <tableColumn id="16200" name="列16157"/>
    <tableColumn id="16201" name="列16158"/>
    <tableColumn id="16202" name="列16159"/>
    <tableColumn id="16203" name="列16160"/>
    <tableColumn id="16204" name="列16161"/>
    <tableColumn id="16205" name="列16162"/>
    <tableColumn id="16206" name="列16163"/>
    <tableColumn id="16207" name="列16164"/>
    <tableColumn id="16208" name="列16165"/>
    <tableColumn id="16209" name="列16166"/>
    <tableColumn id="16210" name="列16167"/>
    <tableColumn id="16211" name="列16168"/>
    <tableColumn id="16212" name="列16169"/>
    <tableColumn id="16213" name="列16170"/>
    <tableColumn id="16214" name="列16171"/>
    <tableColumn id="16215" name="列16172"/>
    <tableColumn id="16216" name="列16173"/>
    <tableColumn id="16217" name="列16174"/>
    <tableColumn id="16218" name="列16175"/>
    <tableColumn id="16219" name="列16176"/>
    <tableColumn id="16220" name="列16177"/>
    <tableColumn id="16221" name="列16178"/>
    <tableColumn id="16222" name="列16179"/>
    <tableColumn id="16223" name="列16180"/>
    <tableColumn id="16224" name="列16181"/>
    <tableColumn id="16225" name="列16182"/>
    <tableColumn id="16226" name="列16183"/>
    <tableColumn id="16227" name="列16184"/>
    <tableColumn id="16228" name="列16185"/>
    <tableColumn id="16229" name="列16186"/>
    <tableColumn id="16230" name="列16187"/>
    <tableColumn id="16231" name="列16188"/>
    <tableColumn id="16232" name="列16189"/>
    <tableColumn id="16233" name="列16190"/>
    <tableColumn id="16234" name="列16191"/>
    <tableColumn id="16235" name="列16192"/>
    <tableColumn id="16236" name="列16193"/>
    <tableColumn id="16237" name="列16194"/>
    <tableColumn id="16238" name="列16195"/>
    <tableColumn id="16239" name="列16196"/>
    <tableColumn id="16240" name="列16197"/>
    <tableColumn id="16241" name="列16198"/>
    <tableColumn id="16242" name="列16199"/>
    <tableColumn id="16243" name="列16200"/>
    <tableColumn id="16244" name="列16201"/>
    <tableColumn id="16245" name="列16202"/>
    <tableColumn id="16246" name="列16203"/>
    <tableColumn id="16247" name="列16204"/>
    <tableColumn id="16248" name="列16205"/>
    <tableColumn id="16249" name="列16206"/>
    <tableColumn id="16250" name="列16207"/>
    <tableColumn id="16251" name="列16208"/>
    <tableColumn id="16252" name="列16209"/>
    <tableColumn id="16253" name="列16210"/>
    <tableColumn id="16254" name="列16211"/>
    <tableColumn id="16255" name="列16212"/>
    <tableColumn id="16256" name="列16213"/>
    <tableColumn id="16257" name="列16214"/>
    <tableColumn id="16258" name="列16215"/>
    <tableColumn id="16259" name="列16216"/>
    <tableColumn id="16260" name="列16217"/>
    <tableColumn id="16261" name="列16218"/>
    <tableColumn id="16262" name="列16219"/>
    <tableColumn id="16263" name="列16220"/>
    <tableColumn id="16264" name="列16221"/>
    <tableColumn id="16265" name="列16222"/>
    <tableColumn id="16266" name="列16223"/>
    <tableColumn id="16267" name="列16224"/>
    <tableColumn id="16268" name="列16225"/>
    <tableColumn id="16269" name="列16226"/>
    <tableColumn id="16270" name="列16227"/>
    <tableColumn id="16271" name="列16228"/>
    <tableColumn id="16272" name="列16229"/>
    <tableColumn id="16273" name="列16230"/>
    <tableColumn id="16274" name="列16231"/>
    <tableColumn id="16275" name="列16232"/>
    <tableColumn id="16276" name="列16233"/>
    <tableColumn id="16277" name="列16234"/>
    <tableColumn id="16278" name="列16235"/>
    <tableColumn id="16279" name="列16236"/>
    <tableColumn id="16280" name="列16237"/>
    <tableColumn id="16281" name="列16238"/>
    <tableColumn id="16282" name="列16239"/>
    <tableColumn id="16283" name="列16240"/>
    <tableColumn id="16284" name="列16241"/>
    <tableColumn id="16285" name="列16242"/>
    <tableColumn id="16286" name="列16243"/>
    <tableColumn id="16287" name="列16244"/>
    <tableColumn id="16288" name="列16245"/>
    <tableColumn id="16289" name="列16246"/>
    <tableColumn id="16290" name="列16247"/>
    <tableColumn id="16291" name="列16248"/>
    <tableColumn id="16292" name="列16249"/>
    <tableColumn id="16293" name="列16250"/>
    <tableColumn id="16294" name="列16251"/>
    <tableColumn id="16295" name="列16252"/>
    <tableColumn id="16296" name="列16253"/>
    <tableColumn id="16297" name="列16254"/>
    <tableColumn id="16298" name="列16255"/>
    <tableColumn id="16299" name="列16256"/>
    <tableColumn id="16300" name="列16257"/>
    <tableColumn id="16301" name="列16258"/>
    <tableColumn id="16302" name="列16259"/>
    <tableColumn id="16303" name="列16260"/>
    <tableColumn id="16304" name="列16261"/>
    <tableColumn id="16305" name="列16262"/>
    <tableColumn id="16306" name="列16263"/>
    <tableColumn id="16307" name="列16264"/>
    <tableColumn id="16308" name="列16265"/>
    <tableColumn id="16309" name="列16266"/>
    <tableColumn id="16310" name="列16267"/>
    <tableColumn id="16311" name="列16268"/>
    <tableColumn id="16312" name="列16269"/>
    <tableColumn id="16313" name="列16270"/>
    <tableColumn id="16314" name="列16271"/>
    <tableColumn id="16315" name="列16272"/>
    <tableColumn id="16316" name="列16273"/>
    <tableColumn id="16317" name="列16274"/>
    <tableColumn id="16318" name="列16275"/>
    <tableColumn id="16319" name="列16276"/>
    <tableColumn id="16320" name="列16277"/>
    <tableColumn id="16321" name="列16278"/>
    <tableColumn id="16322" name="列16279"/>
    <tableColumn id="16323" name="列16280"/>
    <tableColumn id="16324" name="列16281"/>
    <tableColumn id="16325" name="列16282"/>
    <tableColumn id="16326" name="列16283"/>
    <tableColumn id="16327" name="列16284"/>
    <tableColumn id="16328" name="列16285"/>
    <tableColumn id="16329" name="列16286"/>
    <tableColumn id="16330" name="列16287"/>
    <tableColumn id="16331" name="列16288"/>
    <tableColumn id="16332" name="列16289"/>
    <tableColumn id="16333" name="列16290"/>
    <tableColumn id="16334" name="列16291"/>
    <tableColumn id="16335" name="列16292"/>
    <tableColumn id="16336" name="列16293"/>
    <tableColumn id="16337" name="列16294"/>
    <tableColumn id="16338" name="列16295"/>
    <tableColumn id="16339" name="列16296"/>
    <tableColumn id="16340" name="列16297"/>
    <tableColumn id="16341" name="列16298"/>
    <tableColumn id="16342" name="列16299"/>
    <tableColumn id="16343" name="列16300"/>
    <tableColumn id="16344" name="列16301"/>
    <tableColumn id="16345" name="列16302"/>
    <tableColumn id="16346" name="列16303"/>
    <tableColumn id="16347" name="列16304"/>
    <tableColumn id="16348" name="列16305"/>
    <tableColumn id="16349" name="列16306"/>
    <tableColumn id="16350" name="列16307"/>
    <tableColumn id="16351" name="列16308"/>
    <tableColumn id="16352" name="列16309"/>
    <tableColumn id="16353" name="列16310"/>
    <tableColumn id="16354" name="列16311"/>
    <tableColumn id="16355" name="列16312"/>
    <tableColumn id="16356" name="列16313"/>
    <tableColumn id="16357" name="列16314"/>
    <tableColumn id="16358" name="列16315"/>
    <tableColumn id="16359" name="列16316"/>
    <tableColumn id="16360" name="列16317"/>
    <tableColumn id="16361" name="列16318"/>
    <tableColumn id="16362" name="列16319"/>
    <tableColumn id="16363" name="列16320"/>
    <tableColumn id="16364" name="列16321"/>
    <tableColumn id="16365" name="列16322"/>
    <tableColumn id="16366" name="列16323"/>
    <tableColumn id="16367" name="列16324"/>
    <tableColumn id="16368" name="列16325"/>
    <tableColumn id="16369" name="列16326"/>
    <tableColumn id="16370" name="列16327"/>
    <tableColumn id="16371" name="列16328"/>
    <tableColumn id="16372" name="列16329"/>
    <tableColumn id="16373" name="列16330"/>
    <tableColumn id="16374" name="列16331"/>
    <tableColumn id="16375" name="列16332"/>
    <tableColumn id="16376" name="列16333"/>
    <tableColumn id="16377" name="列16334"/>
    <tableColumn id="16378" name="列16335"/>
    <tableColumn id="16379" name="列16336"/>
    <tableColumn id="16380" name="列16337"/>
    <tableColumn id="16381" name="列16338"/>
    <tableColumn id="16382" name="列16339"/>
    <tableColumn id="16383" name="列16340"/>
    <tableColumn id="16384" name="列163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ositionTracking" displayName="PositionTracking" ref="A1:AC497">
  <autoFilter xmlns:etc="http://www.wps.cn/officeDocument/2017/etCustomData" ref="A1:AC497" etc:filterBottomFollowUsedRange="0"/>
  <tableColumns count="29">
    <tableColumn id="1" name="记录类型"/>
    <tableColumn id="2" name="交易编号"/>
    <tableColumn id="3" name="股票代码">
      <calculatedColumnFormula>IF(B2="","",IFERROR(LOOKUP(2,1/(单次交易!$A$2:$A$163=B2),单次交易!$B$2:$B$163),""))</calculatedColumnFormula>
    </tableColumn>
    <tableColumn id="4" name="止损阶段序号"/>
    <tableColumn id="5" name="激活价"/>
    <tableColumn id="6" name="激活后止损价"/>
    <tableColumn id="7" name="止损依据"/>
    <tableColumn id="8" name="记录日期"/>
    <tableColumn id="9" name="收盘价"/>
    <tableColumn id="10" name="成交量"/>
    <tableColumn id="11" name="量价分析"/>
    <tableColumn id="12" name="当前阶段"/>
    <tableColumn id="13" name="阶段判断理由"/>
    <tableColumn id="14" name="初始止损">
      <calculatedColumnFormula>IF(B2="","",IFERROR(LOOKUP(2,1/(单次交易!$A$2:$A$163=B2),单次交易!$N$2:$N$163),""))</calculatedColumnFormula>
    </tableColumn>
    <tableColumn id="15" name="历史最高收盘价">
      <calculatedColumnFormula>IF(A2&lt;&gt;"每日跟踪","",IF(OR(B2="",H2="",I2=""),"",IFERROR(SUMPRODUCT(MAX((($A$2:$A$497="每日跟踪")*($B$2:$B$497=B2)*($H$2:$H$497&lt;=H2))*$I$2:$I$497)),"")))</calculatedColumnFormula>
    </tableColumn>
    <tableColumn id="16" name="已激活止损阶段">
      <calculatedColumnFormula>IF(A2&lt;&gt;"每日跟踪","",IF(O2="","",IFERROR(SUMPRODUCT(MAX((($A$2:$A$497="止损计划")*($B$2:$B$497=B2)*($E$2:$E$497&lt;=O2))*$D$2:$D$497)),0)))</calculatedColumnFormula>
    </tableColumn>
    <tableColumn id="17" name="当前计划止损">
      <calculatedColumnFormula>IF(A2&lt;&gt;"每日跟踪","",IF(N2="","",MAX(N2,IFERROR(SUMPRODUCT(MAX((($A$2:$A$497="止损计划")*($B$2:$B$497=B2)*($E$2:$E$497&lt;=O2))*$F$2:$F$497)),0))))</calculatedColumnFormula>
    </tableColumn>
    <tableColumn id="18" name="人工上调止损"/>
    <tableColumn id="19" name="当前有效止损">
      <calculatedColumnFormula>IF(A2&lt;&gt;"每日跟踪","",IF(Q2="","",MAX(Q2,IFERROR(SUMPRODUCT(MAX((($A$2:$A$497="每日跟踪")*($B$2:$B$497=B2)*($H$2:$H$497&lt;=H2))*$R$2:$R$497)),0))))</calculatedColumnFormula>
    </tableColumn>
    <tableColumn id="20" name="下一阶段激活价">
      <calculatedColumnFormula>IF(A2&lt;&gt;"每日跟踪","",IF(O2="","",IF(COUNTIFS($A$2:$A$497,"止损计划",$B$2:$B$497,B2,$E$2:$E$497,"&gt;"&amp;O2)=0,"",INDEX($E$2:$E$497,MATCH(1,INDEX(($A$2:$A$497="止损计划")*($B$2:$B$497=B2)*($E$2:$E$497&gt;O2),0),0)))))</calculatedColumnFormula>
    </tableColumn>
    <tableColumn id="21" name="下一阶段止损价">
      <calculatedColumnFormula>IF(OR(A2&lt;&gt;"每日跟踪",T2=""),"",IFERROR(SUMIFS($F$2:$F$497,$A$2:$A$497,"止损计划",$B$2:$B$497,B2,$E$2:$E$497,T2),""))</calculatedColumnFormula>
    </tableColumn>
    <tableColumn id="22" name="距离下一阶段涨幅">
      <calculatedColumnFormula>IF(OR(A2&lt;&gt;"每日跟踪",T2="",I2="",I2&lt;=0),"",T2/I2-1)</calculatedColumnFormula>
    </tableColumn>
    <tableColumn id="23" name="止损判断">
      <calculatedColumnFormula>IF(A2&lt;&gt;"每日跟踪","",IF(OR(I2="",S2=""),"",IF(I2&lt;=S2,"触发止损：应全部卖出","继续观察")))</calculatedColumnFormula>
    </tableColumn>
    <tableColumn id="24" name="卖出动作"/>
    <tableColumn id="25" name="实际卖出价"/>
    <tableColumn id="26" name="实际卖出股数">
      <calculatedColumnFormula>IF(X2&lt;&gt;"执行卖出","",IFERROR(LOOKUP(2,1/(单次交易!$A$2:$A$163=B2),单次交易!$AP$2:$AP$163),""))</calculatedColumnFormula>
    </tableColumn>
    <tableColumn id="27" name="卖出费用"/>
    <tableColumn id="28" name="执行检查">
      <calculatedColumnFormula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calculatedColumnFormula>
    </tableColumn>
    <tableColumn id="29" name="规则检查">
      <calculatedColumnFormula>IF(A2="","",IF(A2="止损计划",IF(OR(B2="",D2="",E2="",F2="",G2=""),"计划不完整",IF(OR(D2&lt;1,D2&lt;&gt;INT(D2)),"阶段序号无效",IF(COUNTIFS($A$2:$A$497,"止损计划",$B$2:$B$497,B2,$D$2:$D$497,D2)&gt;1,"阶段序号重复",IF(E2&lt;=IFERROR(LOOKUP(2,1/(单次交易!$A$2:$A$163=B2),单次交易!$E$2:$E$163),0),"激活价须高于买入价",IF(F2&lt;N2,"止损价不得低于初始止损",IF(F2&gt;E2,"止损价不得高于激活价",IF(AND(COUNTIFS($A$2:$A$497,"止损计划",$B$2:$B$497,B2,$D$2:$D$497,"&lt;"&amp;D2)&gt;0,OR(E2&lt;=SUMPRODUCT(MAX((($A$2:$A$497="止损计划")*($B$2:$B$497=B2)*($D$2:$D$497&lt;D2))*$E$2:$E$497)),F2&lt;SUMPRODUCT(MAX((($A$2:$A$497="止损计划")*($B$2:$B$497=B2)*($D$2:$D$497&lt;D2))*$F$2:$F$497)))),"阶段价格必须逐级提高","计划有效"))))))),IF(A2="每日跟踪",IF(OR(B2="",H2="",I2="",J2=""),"每日数据不完整",IF(COUNTIFS($A$2:$A$497,"每日跟踪",$B$2:$B$497,B2,$H$2:$H$497,H2)&gt;1,"同一交易日期重复",IF(AND(R2&lt;&gt;"",R2&lt;S2),"人工止损无效：不能下调","跟踪有效"))),"记录类型无效"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radeReasonLog" displayName="TradeReasonLog" ref="A1:L501">
  <autoFilter xmlns:etc="http://www.wps.cn/officeDocument/2017/etCustomData" ref="A1:L501" etc:filterBottomFollowUsedRange="0"/>
  <tableColumns count="12">
    <tableColumn id="1" name="交易编号"/>
    <tableColumn id="2" name="股票代码"/>
    <tableColumn id="3" name="所属板块"/>
    <tableColumn id="4" name="阶段"/>
    <tableColumn id="5" name="记录日期"/>
    <tableColumn id="6" name="技术指标1"/>
    <tableColumn id="7" name="技术指标2"/>
    <tableColumn id="8" name="技术指标3"/>
    <tableColumn id="9" name="综述"/>
    <tableColumn id="10" name="列1"/>
    <tableColumn id="11" name="列2"/>
    <tableColumn id="12" name="列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chnicalIndicatorCatalog" displayName="TechnicalIndicatorCatalog" ref="A1:C201">
  <autoFilter xmlns:etc="http://www.wps.cn/officeDocument/2017/etCustomData" ref="A1:C201" etc:filterBottomFollowUsedRange="0"/>
  <tableColumns count="3">
    <tableColumn id="1" name="技术指标"/>
    <tableColumn id="2" name="分类"/>
    <tableColumn id="3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31"/>
  <sheetViews>
    <sheetView tabSelected="1" zoomScale="115" zoomScaleNormal="115" topLeftCell="A43" workbookViewId="0">
      <pane xSplit="2" topLeftCell="E1" activePane="topRight" state="frozen"/>
      <selection/>
      <selection pane="topRight" activeCell="A66" sqref="$A66:$XFD66"/>
    </sheetView>
  </sheetViews>
  <sheetFormatPr defaultColWidth="9" defaultRowHeight="16.8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5" customWidth="1"/>
    <col min="12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20.875" customWidth="1"/>
    <col min="38" max="38" width="18" customWidth="1"/>
    <col min="39" max="39" width="16" customWidth="1"/>
    <col min="40" max="43" width="18" customWidth="1"/>
    <col min="44" max="44" width="28" customWidth="1"/>
  </cols>
  <sheetData>
    <row r="1" ht="42" customHeight="1" spans="1:1024 1025:1638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s="19" t="s">
        <v>32</v>
      </c>
      <c r="AH1" s="19" t="s">
        <v>33</v>
      </c>
      <c r="AI1" s="19" t="s">
        <v>34</v>
      </c>
      <c r="AJ1" s="19" t="s">
        <v>35</v>
      </c>
      <c r="AK1" s="19" t="s">
        <v>36</v>
      </c>
      <c r="AL1" s="19" t="s">
        <v>37</v>
      </c>
      <c r="AM1" s="19" t="s">
        <v>38</v>
      </c>
      <c r="AN1" s="19" t="s">
        <v>39</v>
      </c>
      <c r="AO1" s="19" t="s">
        <v>40</v>
      </c>
      <c r="AP1" s="19" t="s">
        <v>41</v>
      </c>
      <c r="AQ1" s="19" t="s">
        <v>42</v>
      </c>
      <c r="AR1" s="19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  <c r="FI1" t="s">
        <v>164</v>
      </c>
      <c r="FJ1" t="s">
        <v>165</v>
      </c>
      <c r="FK1" t="s">
        <v>166</v>
      </c>
      <c r="FL1" t="s">
        <v>167</v>
      </c>
      <c r="FM1" t="s">
        <v>168</v>
      </c>
      <c r="FN1" t="s">
        <v>169</v>
      </c>
      <c r="FO1" t="s">
        <v>170</v>
      </c>
      <c r="FP1" t="s">
        <v>171</v>
      </c>
      <c r="FQ1" t="s">
        <v>172</v>
      </c>
      <c r="FR1" t="s">
        <v>173</v>
      </c>
      <c r="FS1" t="s">
        <v>174</v>
      </c>
      <c r="FT1" t="s">
        <v>175</v>
      </c>
      <c r="FU1" t="s">
        <v>176</v>
      </c>
      <c r="FV1" t="s">
        <v>177</v>
      </c>
      <c r="FW1" t="s">
        <v>178</v>
      </c>
      <c r="FX1" t="s">
        <v>179</v>
      </c>
      <c r="FY1" t="s">
        <v>180</v>
      </c>
      <c r="FZ1" t="s">
        <v>181</v>
      </c>
      <c r="GA1" t="s">
        <v>182</v>
      </c>
      <c r="GB1" t="s">
        <v>183</v>
      </c>
      <c r="GC1" t="s">
        <v>184</v>
      </c>
      <c r="GD1" t="s">
        <v>185</v>
      </c>
      <c r="GE1" t="s">
        <v>186</v>
      </c>
      <c r="GF1" t="s">
        <v>187</v>
      </c>
      <c r="GG1" t="s">
        <v>188</v>
      </c>
      <c r="GH1" t="s">
        <v>189</v>
      </c>
      <c r="GI1" t="s">
        <v>190</v>
      </c>
      <c r="GJ1" t="s">
        <v>191</v>
      </c>
      <c r="GK1" t="s">
        <v>192</v>
      </c>
      <c r="GL1" t="s">
        <v>193</v>
      </c>
      <c r="GM1" t="s">
        <v>194</v>
      </c>
      <c r="GN1" t="s">
        <v>195</v>
      </c>
      <c r="GO1" t="s">
        <v>196</v>
      </c>
      <c r="GP1" t="s">
        <v>197</v>
      </c>
      <c r="GQ1" t="s">
        <v>198</v>
      </c>
      <c r="GR1" t="s">
        <v>199</v>
      </c>
      <c r="GS1" t="s">
        <v>200</v>
      </c>
      <c r="GT1" t="s">
        <v>201</v>
      </c>
      <c r="GU1" t="s">
        <v>202</v>
      </c>
      <c r="GV1" t="s">
        <v>203</v>
      </c>
      <c r="GW1" t="s">
        <v>204</v>
      </c>
      <c r="GX1" t="s">
        <v>205</v>
      </c>
      <c r="GY1" t="s">
        <v>206</v>
      </c>
      <c r="GZ1" t="s">
        <v>207</v>
      </c>
      <c r="HA1" t="s">
        <v>208</v>
      </c>
      <c r="HB1" t="s">
        <v>209</v>
      </c>
      <c r="HC1" t="s">
        <v>210</v>
      </c>
      <c r="HD1" t="s">
        <v>211</v>
      </c>
      <c r="HE1" t="s">
        <v>212</v>
      </c>
      <c r="HF1" t="s">
        <v>213</v>
      </c>
      <c r="HG1" t="s">
        <v>214</v>
      </c>
      <c r="HH1" t="s">
        <v>215</v>
      </c>
      <c r="HI1" t="s">
        <v>216</v>
      </c>
      <c r="HJ1" t="s">
        <v>217</v>
      </c>
      <c r="HK1" t="s">
        <v>218</v>
      </c>
      <c r="HL1" t="s">
        <v>219</v>
      </c>
      <c r="HM1" t="s">
        <v>220</v>
      </c>
      <c r="HN1" t="s">
        <v>221</v>
      </c>
      <c r="HO1" t="s">
        <v>222</v>
      </c>
      <c r="HP1" t="s">
        <v>223</v>
      </c>
      <c r="HQ1" t="s">
        <v>224</v>
      </c>
      <c r="HR1" t="s">
        <v>225</v>
      </c>
      <c r="HS1" t="s">
        <v>226</v>
      </c>
      <c r="HT1" t="s">
        <v>227</v>
      </c>
      <c r="HU1" t="s">
        <v>228</v>
      </c>
      <c r="HV1" t="s">
        <v>229</v>
      </c>
      <c r="HW1" t="s">
        <v>230</v>
      </c>
      <c r="HX1" t="s">
        <v>231</v>
      </c>
      <c r="HY1" t="s">
        <v>232</v>
      </c>
      <c r="HZ1" t="s">
        <v>233</v>
      </c>
      <c r="IA1" t="s">
        <v>234</v>
      </c>
      <c r="IB1" t="s">
        <v>235</v>
      </c>
      <c r="IC1" t="s">
        <v>236</v>
      </c>
      <c r="ID1" t="s">
        <v>237</v>
      </c>
      <c r="IE1" t="s">
        <v>238</v>
      </c>
      <c r="IF1" t="s">
        <v>239</v>
      </c>
      <c r="IG1" t="s">
        <v>240</v>
      </c>
      <c r="IH1" t="s">
        <v>241</v>
      </c>
      <c r="II1" t="s">
        <v>242</v>
      </c>
      <c r="IJ1" t="s">
        <v>243</v>
      </c>
      <c r="IK1" t="s">
        <v>244</v>
      </c>
      <c r="IL1" t="s">
        <v>245</v>
      </c>
      <c r="IM1" t="s">
        <v>246</v>
      </c>
      <c r="IN1" t="s">
        <v>247</v>
      </c>
      <c r="IO1" t="s">
        <v>248</v>
      </c>
      <c r="IP1" t="s">
        <v>249</v>
      </c>
      <c r="IQ1" t="s">
        <v>250</v>
      </c>
      <c r="IR1" t="s">
        <v>251</v>
      </c>
      <c r="IS1" t="s">
        <v>252</v>
      </c>
      <c r="IT1" t="s">
        <v>253</v>
      </c>
      <c r="IU1" t="s">
        <v>254</v>
      </c>
      <c r="IV1" t="s">
        <v>255</v>
      </c>
      <c r="IW1" t="s">
        <v>256</v>
      </c>
      <c r="IX1" t="s">
        <v>257</v>
      </c>
      <c r="IY1" t="s">
        <v>258</v>
      </c>
      <c r="IZ1" t="s">
        <v>259</v>
      </c>
      <c r="JA1" t="s">
        <v>260</v>
      </c>
      <c r="JB1" t="s">
        <v>261</v>
      </c>
      <c r="JC1" t="s">
        <v>262</v>
      </c>
      <c r="JD1" t="s">
        <v>263</v>
      </c>
      <c r="JE1" t="s">
        <v>264</v>
      </c>
      <c r="JF1" t="s">
        <v>265</v>
      </c>
      <c r="JG1" t="s">
        <v>266</v>
      </c>
      <c r="JH1" t="s">
        <v>267</v>
      </c>
      <c r="JI1" t="s">
        <v>268</v>
      </c>
      <c r="JJ1" t="s">
        <v>269</v>
      </c>
      <c r="JK1" t="s">
        <v>270</v>
      </c>
      <c r="JL1" t="s">
        <v>271</v>
      </c>
      <c r="JM1" t="s">
        <v>272</v>
      </c>
      <c r="JN1" t="s">
        <v>273</v>
      </c>
      <c r="JO1" t="s">
        <v>274</v>
      </c>
      <c r="JP1" t="s">
        <v>275</v>
      </c>
      <c r="JQ1" t="s">
        <v>276</v>
      </c>
      <c r="JR1" t="s">
        <v>277</v>
      </c>
      <c r="JS1" t="s">
        <v>278</v>
      </c>
      <c r="JT1" t="s">
        <v>279</v>
      </c>
      <c r="JU1" t="s">
        <v>280</v>
      </c>
      <c r="JV1" t="s">
        <v>281</v>
      </c>
      <c r="JW1" t="s">
        <v>282</v>
      </c>
      <c r="JX1" t="s">
        <v>283</v>
      </c>
      <c r="JY1" t="s">
        <v>284</v>
      </c>
      <c r="JZ1" t="s">
        <v>285</v>
      </c>
      <c r="KA1" t="s">
        <v>286</v>
      </c>
      <c r="KB1" t="s">
        <v>287</v>
      </c>
      <c r="KC1" t="s">
        <v>288</v>
      </c>
      <c r="KD1" t="s">
        <v>289</v>
      </c>
      <c r="KE1" t="s">
        <v>290</v>
      </c>
      <c r="KF1" t="s">
        <v>291</v>
      </c>
      <c r="KG1" t="s">
        <v>292</v>
      </c>
      <c r="KH1" t="s">
        <v>293</v>
      </c>
      <c r="KI1" t="s">
        <v>294</v>
      </c>
      <c r="KJ1" t="s">
        <v>295</v>
      </c>
      <c r="KK1" t="s">
        <v>296</v>
      </c>
      <c r="KL1" t="s">
        <v>297</v>
      </c>
      <c r="KM1" t="s">
        <v>298</v>
      </c>
      <c r="KN1" t="s">
        <v>299</v>
      </c>
      <c r="KO1" t="s">
        <v>300</v>
      </c>
      <c r="KP1" t="s">
        <v>301</v>
      </c>
      <c r="KQ1" t="s">
        <v>302</v>
      </c>
      <c r="KR1" t="s">
        <v>303</v>
      </c>
      <c r="KS1" t="s">
        <v>304</v>
      </c>
      <c r="KT1" t="s">
        <v>305</v>
      </c>
      <c r="KU1" t="s">
        <v>306</v>
      </c>
      <c r="KV1" t="s">
        <v>307</v>
      </c>
      <c r="KW1" t="s">
        <v>308</v>
      </c>
      <c r="KX1" t="s">
        <v>309</v>
      </c>
      <c r="KY1" t="s">
        <v>310</v>
      </c>
      <c r="KZ1" t="s">
        <v>311</v>
      </c>
      <c r="LA1" t="s">
        <v>312</v>
      </c>
      <c r="LB1" t="s">
        <v>313</v>
      </c>
      <c r="LC1" t="s">
        <v>314</v>
      </c>
      <c r="LD1" t="s">
        <v>315</v>
      </c>
      <c r="LE1" t="s">
        <v>316</v>
      </c>
      <c r="LF1" t="s">
        <v>317</v>
      </c>
      <c r="LG1" t="s">
        <v>318</v>
      </c>
      <c r="LH1" t="s">
        <v>319</v>
      </c>
      <c r="LI1" t="s">
        <v>320</v>
      </c>
      <c r="LJ1" t="s">
        <v>321</v>
      </c>
      <c r="LK1" t="s">
        <v>322</v>
      </c>
      <c r="LL1" t="s">
        <v>323</v>
      </c>
      <c r="LM1" t="s">
        <v>324</v>
      </c>
      <c r="LN1" t="s">
        <v>325</v>
      </c>
      <c r="LO1" t="s">
        <v>326</v>
      </c>
      <c r="LP1" t="s">
        <v>327</v>
      </c>
      <c r="LQ1" t="s">
        <v>328</v>
      </c>
      <c r="LR1" t="s">
        <v>329</v>
      </c>
      <c r="LS1" t="s">
        <v>330</v>
      </c>
      <c r="LT1" t="s">
        <v>331</v>
      </c>
      <c r="LU1" t="s">
        <v>332</v>
      </c>
      <c r="LV1" t="s">
        <v>333</v>
      </c>
      <c r="LW1" t="s">
        <v>334</v>
      </c>
      <c r="LX1" t="s">
        <v>335</v>
      </c>
      <c r="LY1" t="s">
        <v>336</v>
      </c>
      <c r="LZ1" t="s">
        <v>337</v>
      </c>
      <c r="MA1" t="s">
        <v>338</v>
      </c>
      <c r="MB1" t="s">
        <v>339</v>
      </c>
      <c r="MC1" t="s">
        <v>340</v>
      </c>
      <c r="MD1" t="s">
        <v>341</v>
      </c>
      <c r="ME1" t="s">
        <v>342</v>
      </c>
      <c r="MF1" t="s">
        <v>343</v>
      </c>
      <c r="MG1" t="s">
        <v>344</v>
      </c>
      <c r="MH1" t="s">
        <v>345</v>
      </c>
      <c r="MI1" t="s">
        <v>346</v>
      </c>
      <c r="MJ1" t="s">
        <v>347</v>
      </c>
      <c r="MK1" t="s">
        <v>348</v>
      </c>
      <c r="ML1" t="s">
        <v>349</v>
      </c>
      <c r="MM1" t="s">
        <v>350</v>
      </c>
      <c r="MN1" t="s">
        <v>351</v>
      </c>
      <c r="MO1" t="s">
        <v>352</v>
      </c>
      <c r="MP1" t="s">
        <v>353</v>
      </c>
      <c r="MQ1" t="s">
        <v>354</v>
      </c>
      <c r="MR1" t="s">
        <v>355</v>
      </c>
      <c r="MS1" t="s">
        <v>356</v>
      </c>
      <c r="MT1" t="s">
        <v>357</v>
      </c>
      <c r="MU1" t="s">
        <v>358</v>
      </c>
      <c r="MV1" t="s">
        <v>359</v>
      </c>
      <c r="MW1" t="s">
        <v>360</v>
      </c>
      <c r="MX1" t="s">
        <v>361</v>
      </c>
      <c r="MY1" t="s">
        <v>362</v>
      </c>
      <c r="MZ1" t="s">
        <v>363</v>
      </c>
      <c r="NA1" t="s">
        <v>364</v>
      </c>
      <c r="NB1" t="s">
        <v>365</v>
      </c>
      <c r="NC1" t="s">
        <v>366</v>
      </c>
      <c r="ND1" t="s">
        <v>367</v>
      </c>
      <c r="NE1" t="s">
        <v>368</v>
      </c>
      <c r="NF1" t="s">
        <v>369</v>
      </c>
      <c r="NG1" t="s">
        <v>370</v>
      </c>
      <c r="NH1" t="s">
        <v>371</v>
      </c>
      <c r="NI1" t="s">
        <v>372</v>
      </c>
      <c r="NJ1" t="s">
        <v>373</v>
      </c>
      <c r="NK1" t="s">
        <v>374</v>
      </c>
      <c r="NL1" t="s">
        <v>375</v>
      </c>
      <c r="NM1" t="s">
        <v>376</v>
      </c>
      <c r="NN1" t="s">
        <v>377</v>
      </c>
      <c r="NO1" t="s">
        <v>378</v>
      </c>
      <c r="NP1" t="s">
        <v>379</v>
      </c>
      <c r="NQ1" t="s">
        <v>380</v>
      </c>
      <c r="NR1" t="s">
        <v>381</v>
      </c>
      <c r="NS1" t="s">
        <v>382</v>
      </c>
      <c r="NT1" t="s">
        <v>383</v>
      </c>
      <c r="NU1" t="s">
        <v>384</v>
      </c>
      <c r="NV1" t="s">
        <v>385</v>
      </c>
      <c r="NW1" t="s">
        <v>386</v>
      </c>
      <c r="NX1" t="s">
        <v>387</v>
      </c>
      <c r="NY1" t="s">
        <v>388</v>
      </c>
      <c r="NZ1" t="s">
        <v>389</v>
      </c>
      <c r="OA1" t="s">
        <v>390</v>
      </c>
      <c r="OB1" t="s">
        <v>391</v>
      </c>
      <c r="OC1" t="s">
        <v>392</v>
      </c>
      <c r="OD1" t="s">
        <v>393</v>
      </c>
      <c r="OE1" t="s">
        <v>394</v>
      </c>
      <c r="OF1" t="s">
        <v>395</v>
      </c>
      <c r="OG1" t="s">
        <v>396</v>
      </c>
      <c r="OH1" t="s">
        <v>397</v>
      </c>
      <c r="OI1" t="s">
        <v>398</v>
      </c>
      <c r="OJ1" t="s">
        <v>399</v>
      </c>
      <c r="OK1" t="s">
        <v>400</v>
      </c>
      <c r="OL1" t="s">
        <v>401</v>
      </c>
      <c r="OM1" t="s">
        <v>402</v>
      </c>
      <c r="ON1" t="s">
        <v>403</v>
      </c>
      <c r="OO1" t="s">
        <v>404</v>
      </c>
      <c r="OP1" t="s">
        <v>405</v>
      </c>
      <c r="OQ1" t="s">
        <v>406</v>
      </c>
      <c r="OR1" t="s">
        <v>407</v>
      </c>
      <c r="OS1" t="s">
        <v>408</v>
      </c>
      <c r="OT1" t="s">
        <v>409</v>
      </c>
      <c r="OU1" t="s">
        <v>410</v>
      </c>
      <c r="OV1" t="s">
        <v>411</v>
      </c>
      <c r="OW1" t="s">
        <v>412</v>
      </c>
      <c r="OX1" t="s">
        <v>413</v>
      </c>
      <c r="OY1" t="s">
        <v>414</v>
      </c>
      <c r="OZ1" t="s">
        <v>415</v>
      </c>
      <c r="PA1" t="s">
        <v>416</v>
      </c>
      <c r="PB1" t="s">
        <v>417</v>
      </c>
      <c r="PC1" t="s">
        <v>418</v>
      </c>
      <c r="PD1" t="s">
        <v>419</v>
      </c>
      <c r="PE1" t="s">
        <v>420</v>
      </c>
      <c r="PF1" t="s">
        <v>421</v>
      </c>
      <c r="PG1" t="s">
        <v>422</v>
      </c>
      <c r="PH1" t="s">
        <v>423</v>
      </c>
      <c r="PI1" t="s">
        <v>424</v>
      </c>
      <c r="PJ1" t="s">
        <v>425</v>
      </c>
      <c r="PK1" t="s">
        <v>426</v>
      </c>
      <c r="PL1" t="s">
        <v>427</v>
      </c>
      <c r="PM1" t="s">
        <v>428</v>
      </c>
      <c r="PN1" t="s">
        <v>429</v>
      </c>
      <c r="PO1" t="s">
        <v>430</v>
      </c>
      <c r="PP1" t="s">
        <v>431</v>
      </c>
      <c r="PQ1" t="s">
        <v>432</v>
      </c>
      <c r="PR1" t="s">
        <v>433</v>
      </c>
      <c r="PS1" t="s">
        <v>434</v>
      </c>
      <c r="PT1" t="s">
        <v>435</v>
      </c>
      <c r="PU1" t="s">
        <v>436</v>
      </c>
      <c r="PV1" t="s">
        <v>437</v>
      </c>
      <c r="PW1" t="s">
        <v>438</v>
      </c>
      <c r="PX1" t="s">
        <v>439</v>
      </c>
      <c r="PY1" t="s">
        <v>440</v>
      </c>
      <c r="PZ1" t="s">
        <v>441</v>
      </c>
      <c r="QA1" t="s">
        <v>442</v>
      </c>
      <c r="QB1" t="s">
        <v>443</v>
      </c>
      <c r="QC1" t="s">
        <v>444</v>
      </c>
      <c r="QD1" t="s">
        <v>445</v>
      </c>
      <c r="QE1" t="s">
        <v>446</v>
      </c>
      <c r="QF1" t="s">
        <v>447</v>
      </c>
      <c r="QG1" t="s">
        <v>448</v>
      </c>
      <c r="QH1" t="s">
        <v>449</v>
      </c>
      <c r="QI1" t="s">
        <v>450</v>
      </c>
      <c r="QJ1" t="s">
        <v>451</v>
      </c>
      <c r="QK1" t="s">
        <v>452</v>
      </c>
      <c r="QL1" t="s">
        <v>453</v>
      </c>
      <c r="QM1" t="s">
        <v>454</v>
      </c>
      <c r="QN1" t="s">
        <v>455</v>
      </c>
      <c r="QO1" t="s">
        <v>456</v>
      </c>
      <c r="QP1" t="s">
        <v>457</v>
      </c>
      <c r="QQ1" t="s">
        <v>458</v>
      </c>
      <c r="QR1" t="s">
        <v>459</v>
      </c>
      <c r="QS1" t="s">
        <v>460</v>
      </c>
      <c r="QT1" t="s">
        <v>461</v>
      </c>
      <c r="QU1" t="s">
        <v>462</v>
      </c>
      <c r="QV1" t="s">
        <v>463</v>
      </c>
      <c r="QW1" t="s">
        <v>464</v>
      </c>
      <c r="QX1" t="s">
        <v>465</v>
      </c>
      <c r="QY1" t="s">
        <v>466</v>
      </c>
      <c r="QZ1" t="s">
        <v>467</v>
      </c>
      <c r="RA1" t="s">
        <v>468</v>
      </c>
      <c r="RB1" t="s">
        <v>469</v>
      </c>
      <c r="RC1" t="s">
        <v>470</v>
      </c>
      <c r="RD1" t="s">
        <v>471</v>
      </c>
      <c r="RE1" t="s">
        <v>472</v>
      </c>
      <c r="RF1" t="s">
        <v>473</v>
      </c>
      <c r="RG1" t="s">
        <v>474</v>
      </c>
      <c r="RH1" t="s">
        <v>475</v>
      </c>
      <c r="RI1" t="s">
        <v>476</v>
      </c>
      <c r="RJ1" t="s">
        <v>477</v>
      </c>
      <c r="RK1" t="s">
        <v>478</v>
      </c>
      <c r="RL1" t="s">
        <v>479</v>
      </c>
      <c r="RM1" t="s">
        <v>480</v>
      </c>
      <c r="RN1" t="s">
        <v>481</v>
      </c>
      <c r="RO1" t="s">
        <v>482</v>
      </c>
      <c r="RP1" t="s">
        <v>483</v>
      </c>
      <c r="RQ1" t="s">
        <v>484</v>
      </c>
      <c r="RR1" t="s">
        <v>485</v>
      </c>
      <c r="RS1" t="s">
        <v>486</v>
      </c>
      <c r="RT1" t="s">
        <v>487</v>
      </c>
      <c r="RU1" t="s">
        <v>488</v>
      </c>
      <c r="RV1" t="s">
        <v>489</v>
      </c>
      <c r="RW1" t="s">
        <v>490</v>
      </c>
      <c r="RX1" t="s">
        <v>491</v>
      </c>
      <c r="RY1" t="s">
        <v>492</v>
      </c>
      <c r="RZ1" t="s">
        <v>493</v>
      </c>
      <c r="SA1" t="s">
        <v>494</v>
      </c>
      <c r="SB1" t="s">
        <v>495</v>
      </c>
      <c r="SC1" t="s">
        <v>496</v>
      </c>
      <c r="SD1" t="s">
        <v>497</v>
      </c>
      <c r="SE1" t="s">
        <v>498</v>
      </c>
      <c r="SF1" t="s">
        <v>499</v>
      </c>
      <c r="SG1" t="s">
        <v>500</v>
      </c>
      <c r="SH1" t="s">
        <v>501</v>
      </c>
      <c r="SI1" t="s">
        <v>502</v>
      </c>
      <c r="SJ1" t="s">
        <v>503</v>
      </c>
      <c r="SK1" t="s">
        <v>504</v>
      </c>
      <c r="SL1" t="s">
        <v>505</v>
      </c>
      <c r="SM1" t="s">
        <v>506</v>
      </c>
      <c r="SN1" t="s">
        <v>507</v>
      </c>
      <c r="SO1" t="s">
        <v>508</v>
      </c>
      <c r="SP1" t="s">
        <v>509</v>
      </c>
      <c r="SQ1" t="s">
        <v>510</v>
      </c>
      <c r="SR1" t="s">
        <v>511</v>
      </c>
      <c r="SS1" t="s">
        <v>512</v>
      </c>
      <c r="ST1" t="s">
        <v>513</v>
      </c>
      <c r="SU1" t="s">
        <v>514</v>
      </c>
      <c r="SV1" t="s">
        <v>515</v>
      </c>
      <c r="SW1" t="s">
        <v>516</v>
      </c>
      <c r="SX1" t="s">
        <v>517</v>
      </c>
      <c r="SY1" t="s">
        <v>518</v>
      </c>
      <c r="SZ1" t="s">
        <v>519</v>
      </c>
      <c r="TA1" t="s">
        <v>520</v>
      </c>
      <c r="TB1" t="s">
        <v>521</v>
      </c>
      <c r="TC1" t="s">
        <v>522</v>
      </c>
      <c r="TD1" t="s">
        <v>523</v>
      </c>
      <c r="TE1" t="s">
        <v>524</v>
      </c>
      <c r="TF1" t="s">
        <v>525</v>
      </c>
      <c r="TG1" t="s">
        <v>526</v>
      </c>
      <c r="TH1" t="s">
        <v>527</v>
      </c>
      <c r="TI1" t="s">
        <v>528</v>
      </c>
      <c r="TJ1" t="s">
        <v>529</v>
      </c>
      <c r="TK1" t="s">
        <v>530</v>
      </c>
      <c r="TL1" t="s">
        <v>531</v>
      </c>
      <c r="TM1" t="s">
        <v>532</v>
      </c>
      <c r="TN1" t="s">
        <v>533</v>
      </c>
      <c r="TO1" t="s">
        <v>534</v>
      </c>
      <c r="TP1" t="s">
        <v>535</v>
      </c>
      <c r="TQ1" t="s">
        <v>536</v>
      </c>
      <c r="TR1" t="s">
        <v>537</v>
      </c>
      <c r="TS1" t="s">
        <v>538</v>
      </c>
      <c r="TT1" t="s">
        <v>539</v>
      </c>
      <c r="TU1" t="s">
        <v>540</v>
      </c>
      <c r="TV1" t="s">
        <v>541</v>
      </c>
      <c r="TW1" t="s">
        <v>542</v>
      </c>
      <c r="TX1" t="s">
        <v>543</v>
      </c>
      <c r="TY1" t="s">
        <v>544</v>
      </c>
      <c r="TZ1" t="s">
        <v>545</v>
      </c>
      <c r="UA1" t="s">
        <v>546</v>
      </c>
      <c r="UB1" t="s">
        <v>547</v>
      </c>
      <c r="UC1" t="s">
        <v>548</v>
      </c>
      <c r="UD1" t="s">
        <v>549</v>
      </c>
      <c r="UE1" t="s">
        <v>550</v>
      </c>
      <c r="UF1" t="s">
        <v>551</v>
      </c>
      <c r="UG1" t="s">
        <v>552</v>
      </c>
      <c r="UH1" t="s">
        <v>553</v>
      </c>
      <c r="UI1" t="s">
        <v>554</v>
      </c>
      <c r="UJ1" t="s">
        <v>555</v>
      </c>
      <c r="UK1" t="s">
        <v>556</v>
      </c>
      <c r="UL1" t="s">
        <v>557</v>
      </c>
      <c r="UM1" t="s">
        <v>558</v>
      </c>
      <c r="UN1" t="s">
        <v>559</v>
      </c>
      <c r="UO1" t="s">
        <v>560</v>
      </c>
      <c r="UP1" t="s">
        <v>561</v>
      </c>
      <c r="UQ1" t="s">
        <v>562</v>
      </c>
      <c r="UR1" t="s">
        <v>563</v>
      </c>
      <c r="US1" t="s">
        <v>564</v>
      </c>
      <c r="UT1" t="s">
        <v>565</v>
      </c>
      <c r="UU1" t="s">
        <v>566</v>
      </c>
      <c r="UV1" t="s">
        <v>567</v>
      </c>
      <c r="UW1" t="s">
        <v>568</v>
      </c>
      <c r="UX1" t="s">
        <v>569</v>
      </c>
      <c r="UY1" t="s">
        <v>570</v>
      </c>
      <c r="UZ1" t="s">
        <v>571</v>
      </c>
      <c r="VA1" t="s">
        <v>572</v>
      </c>
      <c r="VB1" t="s">
        <v>573</v>
      </c>
      <c r="VC1" t="s">
        <v>574</v>
      </c>
      <c r="VD1" t="s">
        <v>575</v>
      </c>
      <c r="VE1" t="s">
        <v>576</v>
      </c>
      <c r="VF1" t="s">
        <v>577</v>
      </c>
      <c r="VG1" t="s">
        <v>578</v>
      </c>
      <c r="VH1" t="s">
        <v>579</v>
      </c>
      <c r="VI1" t="s">
        <v>580</v>
      </c>
      <c r="VJ1" t="s">
        <v>581</v>
      </c>
      <c r="VK1" t="s">
        <v>582</v>
      </c>
      <c r="VL1" t="s">
        <v>583</v>
      </c>
      <c r="VM1" t="s">
        <v>584</v>
      </c>
      <c r="VN1" t="s">
        <v>585</v>
      </c>
      <c r="VO1" t="s">
        <v>586</v>
      </c>
      <c r="VP1" t="s">
        <v>587</v>
      </c>
      <c r="VQ1" t="s">
        <v>588</v>
      </c>
      <c r="VR1" t="s">
        <v>589</v>
      </c>
      <c r="VS1" t="s">
        <v>590</v>
      </c>
      <c r="VT1" t="s">
        <v>591</v>
      </c>
      <c r="VU1" t="s">
        <v>592</v>
      </c>
      <c r="VV1" t="s">
        <v>593</v>
      </c>
      <c r="VW1" t="s">
        <v>594</v>
      </c>
      <c r="VX1" t="s">
        <v>595</v>
      </c>
      <c r="VY1" t="s">
        <v>596</v>
      </c>
      <c r="VZ1" t="s">
        <v>597</v>
      </c>
      <c r="WA1" t="s">
        <v>598</v>
      </c>
      <c r="WB1" t="s">
        <v>599</v>
      </c>
      <c r="WC1" t="s">
        <v>600</v>
      </c>
      <c r="WD1" t="s">
        <v>601</v>
      </c>
      <c r="WE1" t="s">
        <v>602</v>
      </c>
      <c r="WF1" t="s">
        <v>603</v>
      </c>
      <c r="WG1" t="s">
        <v>604</v>
      </c>
      <c r="WH1" t="s">
        <v>605</v>
      </c>
      <c r="WI1" t="s">
        <v>606</v>
      </c>
      <c r="WJ1" t="s">
        <v>607</v>
      </c>
      <c r="WK1" t="s">
        <v>608</v>
      </c>
      <c r="WL1" t="s">
        <v>609</v>
      </c>
      <c r="WM1" t="s">
        <v>610</v>
      </c>
      <c r="WN1" t="s">
        <v>611</v>
      </c>
      <c r="WO1" t="s">
        <v>612</v>
      </c>
      <c r="WP1" t="s">
        <v>613</v>
      </c>
      <c r="WQ1" t="s">
        <v>614</v>
      </c>
      <c r="WR1" t="s">
        <v>615</v>
      </c>
      <c r="WS1" t="s">
        <v>616</v>
      </c>
      <c r="WT1" t="s">
        <v>617</v>
      </c>
      <c r="WU1" t="s">
        <v>618</v>
      </c>
      <c r="WV1" t="s">
        <v>619</v>
      </c>
      <c r="WW1" t="s">
        <v>620</v>
      </c>
      <c r="WX1" t="s">
        <v>621</v>
      </c>
      <c r="WY1" t="s">
        <v>622</v>
      </c>
      <c r="WZ1" t="s">
        <v>623</v>
      </c>
      <c r="XA1" t="s">
        <v>624</v>
      </c>
      <c r="XB1" t="s">
        <v>625</v>
      </c>
      <c r="XC1" t="s">
        <v>626</v>
      </c>
      <c r="XD1" t="s">
        <v>627</v>
      </c>
      <c r="XE1" t="s">
        <v>628</v>
      </c>
      <c r="XF1" t="s">
        <v>629</v>
      </c>
      <c r="XG1" t="s">
        <v>630</v>
      </c>
      <c r="XH1" t="s">
        <v>631</v>
      </c>
      <c r="XI1" t="s">
        <v>632</v>
      </c>
      <c r="XJ1" t="s">
        <v>633</v>
      </c>
      <c r="XK1" t="s">
        <v>634</v>
      </c>
      <c r="XL1" t="s">
        <v>635</v>
      </c>
      <c r="XM1" t="s">
        <v>636</v>
      </c>
      <c r="XN1" t="s">
        <v>637</v>
      </c>
      <c r="XO1" t="s">
        <v>638</v>
      </c>
      <c r="XP1" t="s">
        <v>639</v>
      </c>
      <c r="XQ1" t="s">
        <v>640</v>
      </c>
      <c r="XR1" t="s">
        <v>641</v>
      </c>
      <c r="XS1" t="s">
        <v>642</v>
      </c>
      <c r="XT1" t="s">
        <v>643</v>
      </c>
      <c r="XU1" t="s">
        <v>644</v>
      </c>
      <c r="XV1" t="s">
        <v>645</v>
      </c>
      <c r="XW1" t="s">
        <v>646</v>
      </c>
      <c r="XX1" t="s">
        <v>647</v>
      </c>
      <c r="XY1" t="s">
        <v>648</v>
      </c>
      <c r="XZ1" t="s">
        <v>649</v>
      </c>
      <c r="YA1" t="s">
        <v>650</v>
      </c>
      <c r="YB1" t="s">
        <v>651</v>
      </c>
      <c r="YC1" t="s">
        <v>652</v>
      </c>
      <c r="YD1" t="s">
        <v>653</v>
      </c>
      <c r="YE1" t="s">
        <v>654</v>
      </c>
      <c r="YF1" t="s">
        <v>655</v>
      </c>
      <c r="YG1" t="s">
        <v>656</v>
      </c>
      <c r="YH1" t="s">
        <v>657</v>
      </c>
      <c r="YI1" t="s">
        <v>658</v>
      </c>
      <c r="YJ1" t="s">
        <v>659</v>
      </c>
      <c r="YK1" t="s">
        <v>660</v>
      </c>
      <c r="YL1" t="s">
        <v>661</v>
      </c>
      <c r="YM1" t="s">
        <v>662</v>
      </c>
      <c r="YN1" t="s">
        <v>663</v>
      </c>
      <c r="YO1" t="s">
        <v>664</v>
      </c>
      <c r="YP1" t="s">
        <v>665</v>
      </c>
      <c r="YQ1" t="s">
        <v>666</v>
      </c>
      <c r="YR1" t="s">
        <v>667</v>
      </c>
      <c r="YS1" t="s">
        <v>668</v>
      </c>
      <c r="YT1" t="s">
        <v>669</v>
      </c>
      <c r="YU1" t="s">
        <v>670</v>
      </c>
      <c r="YV1" t="s">
        <v>671</v>
      </c>
      <c r="YW1" t="s">
        <v>672</v>
      </c>
      <c r="YX1" t="s">
        <v>673</v>
      </c>
      <c r="YY1" t="s">
        <v>674</v>
      </c>
      <c r="YZ1" t="s">
        <v>675</v>
      </c>
      <c r="ZA1" t="s">
        <v>676</v>
      </c>
      <c r="ZB1" t="s">
        <v>677</v>
      </c>
      <c r="ZC1" t="s">
        <v>678</v>
      </c>
      <c r="ZD1" t="s">
        <v>679</v>
      </c>
      <c r="ZE1" t="s">
        <v>680</v>
      </c>
      <c r="ZF1" t="s">
        <v>681</v>
      </c>
      <c r="ZG1" t="s">
        <v>682</v>
      </c>
      <c r="ZH1" t="s">
        <v>683</v>
      </c>
      <c r="ZI1" t="s">
        <v>684</v>
      </c>
      <c r="ZJ1" t="s">
        <v>685</v>
      </c>
      <c r="ZK1" t="s">
        <v>686</v>
      </c>
      <c r="ZL1" t="s">
        <v>687</v>
      </c>
      <c r="ZM1" t="s">
        <v>688</v>
      </c>
      <c r="ZN1" t="s">
        <v>689</v>
      </c>
      <c r="ZO1" t="s">
        <v>690</v>
      </c>
      <c r="ZP1" t="s">
        <v>691</v>
      </c>
      <c r="ZQ1" t="s">
        <v>692</v>
      </c>
      <c r="ZR1" t="s">
        <v>693</v>
      </c>
      <c r="ZS1" t="s">
        <v>694</v>
      </c>
      <c r="ZT1" t="s">
        <v>695</v>
      </c>
      <c r="ZU1" t="s">
        <v>696</v>
      </c>
      <c r="ZV1" t="s">
        <v>697</v>
      </c>
      <c r="ZW1" t="s">
        <v>698</v>
      </c>
      <c r="ZX1" t="s">
        <v>699</v>
      </c>
      <c r="ZY1" t="s">
        <v>700</v>
      </c>
      <c r="ZZ1" t="s">
        <v>701</v>
      </c>
      <c r="AAA1" t="s">
        <v>702</v>
      </c>
      <c r="AAB1" t="s">
        <v>703</v>
      </c>
      <c r="AAC1" t="s">
        <v>704</v>
      </c>
      <c r="AAD1" t="s">
        <v>705</v>
      </c>
      <c r="AAE1" t="s">
        <v>706</v>
      </c>
      <c r="AAF1" t="s">
        <v>707</v>
      </c>
      <c r="AAG1" t="s">
        <v>708</v>
      </c>
      <c r="AAH1" t="s">
        <v>709</v>
      </c>
      <c r="AAI1" t="s">
        <v>710</v>
      </c>
      <c r="AAJ1" t="s">
        <v>711</v>
      </c>
      <c r="AAK1" t="s">
        <v>712</v>
      </c>
      <c r="AAL1" t="s">
        <v>713</v>
      </c>
      <c r="AAM1" t="s">
        <v>714</v>
      </c>
      <c r="AAN1" t="s">
        <v>715</v>
      </c>
      <c r="AAO1" t="s">
        <v>716</v>
      </c>
      <c r="AAP1" t="s">
        <v>717</v>
      </c>
      <c r="AAQ1" t="s">
        <v>718</v>
      </c>
      <c r="AAR1" t="s">
        <v>719</v>
      </c>
      <c r="AAS1" t="s">
        <v>720</v>
      </c>
      <c r="AAT1" t="s">
        <v>721</v>
      </c>
      <c r="AAU1" t="s">
        <v>722</v>
      </c>
      <c r="AAV1" t="s">
        <v>723</v>
      </c>
      <c r="AAW1" t="s">
        <v>724</v>
      </c>
      <c r="AAX1" t="s">
        <v>725</v>
      </c>
      <c r="AAY1" t="s">
        <v>726</v>
      </c>
      <c r="AAZ1" t="s">
        <v>727</v>
      </c>
      <c r="ABA1" t="s">
        <v>728</v>
      </c>
      <c r="ABB1" t="s">
        <v>729</v>
      </c>
      <c r="ABC1" t="s">
        <v>730</v>
      </c>
      <c r="ABD1" t="s">
        <v>731</v>
      </c>
      <c r="ABE1" t="s">
        <v>732</v>
      </c>
      <c r="ABF1" t="s">
        <v>733</v>
      </c>
      <c r="ABG1" t="s">
        <v>734</v>
      </c>
      <c r="ABH1" t="s">
        <v>735</v>
      </c>
      <c r="ABI1" t="s">
        <v>736</v>
      </c>
      <c r="ABJ1" t="s">
        <v>737</v>
      </c>
      <c r="ABK1" t="s">
        <v>738</v>
      </c>
      <c r="ABL1" t="s">
        <v>739</v>
      </c>
      <c r="ABM1" t="s">
        <v>740</v>
      </c>
      <c r="ABN1" t="s">
        <v>741</v>
      </c>
      <c r="ABO1" t="s">
        <v>742</v>
      </c>
      <c r="ABP1" t="s">
        <v>743</v>
      </c>
      <c r="ABQ1" t="s">
        <v>744</v>
      </c>
      <c r="ABR1" t="s">
        <v>745</v>
      </c>
      <c r="ABS1" t="s">
        <v>746</v>
      </c>
      <c r="ABT1" t="s">
        <v>747</v>
      </c>
      <c r="ABU1" t="s">
        <v>748</v>
      </c>
      <c r="ABV1" t="s">
        <v>749</v>
      </c>
      <c r="ABW1" t="s">
        <v>750</v>
      </c>
      <c r="ABX1" t="s">
        <v>751</v>
      </c>
      <c r="ABY1" t="s">
        <v>752</v>
      </c>
      <c r="ABZ1" t="s">
        <v>753</v>
      </c>
      <c r="ACA1" t="s">
        <v>754</v>
      </c>
      <c r="ACB1" t="s">
        <v>755</v>
      </c>
      <c r="ACC1" t="s">
        <v>756</v>
      </c>
      <c r="ACD1" t="s">
        <v>757</v>
      </c>
      <c r="ACE1" t="s">
        <v>758</v>
      </c>
      <c r="ACF1" t="s">
        <v>759</v>
      </c>
      <c r="ACG1" t="s">
        <v>760</v>
      </c>
      <c r="ACH1" t="s">
        <v>761</v>
      </c>
      <c r="ACI1" t="s">
        <v>762</v>
      </c>
      <c r="ACJ1" t="s">
        <v>763</v>
      </c>
      <c r="ACK1" t="s">
        <v>764</v>
      </c>
      <c r="ACL1" t="s">
        <v>765</v>
      </c>
      <c r="ACM1" t="s">
        <v>766</v>
      </c>
      <c r="ACN1" t="s">
        <v>767</v>
      </c>
      <c r="ACO1" t="s">
        <v>768</v>
      </c>
      <c r="ACP1" t="s">
        <v>769</v>
      </c>
      <c r="ACQ1" t="s">
        <v>770</v>
      </c>
      <c r="ACR1" t="s">
        <v>771</v>
      </c>
      <c r="ACS1" t="s">
        <v>772</v>
      </c>
      <c r="ACT1" t="s">
        <v>773</v>
      </c>
      <c r="ACU1" t="s">
        <v>774</v>
      </c>
      <c r="ACV1" t="s">
        <v>775</v>
      </c>
      <c r="ACW1" t="s">
        <v>776</v>
      </c>
      <c r="ACX1" t="s">
        <v>777</v>
      </c>
      <c r="ACY1" t="s">
        <v>778</v>
      </c>
      <c r="ACZ1" t="s">
        <v>779</v>
      </c>
      <c r="ADA1" t="s">
        <v>780</v>
      </c>
      <c r="ADB1" t="s">
        <v>781</v>
      </c>
      <c r="ADC1" t="s">
        <v>782</v>
      </c>
      <c r="ADD1" t="s">
        <v>783</v>
      </c>
      <c r="ADE1" t="s">
        <v>784</v>
      </c>
      <c r="ADF1" t="s">
        <v>785</v>
      </c>
      <c r="ADG1" t="s">
        <v>786</v>
      </c>
      <c r="ADH1" t="s">
        <v>787</v>
      </c>
      <c r="ADI1" t="s">
        <v>788</v>
      </c>
      <c r="ADJ1" t="s">
        <v>789</v>
      </c>
      <c r="ADK1" t="s">
        <v>790</v>
      </c>
      <c r="ADL1" t="s">
        <v>791</v>
      </c>
      <c r="ADM1" t="s">
        <v>792</v>
      </c>
      <c r="ADN1" t="s">
        <v>793</v>
      </c>
      <c r="ADO1" t="s">
        <v>794</v>
      </c>
      <c r="ADP1" t="s">
        <v>795</v>
      </c>
      <c r="ADQ1" t="s">
        <v>796</v>
      </c>
      <c r="ADR1" t="s">
        <v>797</v>
      </c>
      <c r="ADS1" t="s">
        <v>798</v>
      </c>
      <c r="ADT1" t="s">
        <v>799</v>
      </c>
      <c r="ADU1" t="s">
        <v>800</v>
      </c>
      <c r="ADV1" t="s">
        <v>801</v>
      </c>
      <c r="ADW1" t="s">
        <v>802</v>
      </c>
      <c r="ADX1" t="s">
        <v>803</v>
      </c>
      <c r="ADY1" t="s">
        <v>804</v>
      </c>
      <c r="ADZ1" t="s">
        <v>805</v>
      </c>
      <c r="AEA1" t="s">
        <v>806</v>
      </c>
      <c r="AEB1" t="s">
        <v>807</v>
      </c>
      <c r="AEC1" t="s">
        <v>808</v>
      </c>
      <c r="AED1" t="s">
        <v>809</v>
      </c>
      <c r="AEE1" t="s">
        <v>810</v>
      </c>
      <c r="AEF1" t="s">
        <v>811</v>
      </c>
      <c r="AEG1" t="s">
        <v>812</v>
      </c>
      <c r="AEH1" t="s">
        <v>813</v>
      </c>
      <c r="AEI1" t="s">
        <v>814</v>
      </c>
      <c r="AEJ1" t="s">
        <v>815</v>
      </c>
      <c r="AEK1" t="s">
        <v>816</v>
      </c>
      <c r="AEL1" t="s">
        <v>817</v>
      </c>
      <c r="AEM1" t="s">
        <v>818</v>
      </c>
      <c r="AEN1" t="s">
        <v>819</v>
      </c>
      <c r="AEO1" t="s">
        <v>820</v>
      </c>
      <c r="AEP1" t="s">
        <v>821</v>
      </c>
      <c r="AEQ1" t="s">
        <v>822</v>
      </c>
      <c r="AER1" t="s">
        <v>823</v>
      </c>
      <c r="AES1" t="s">
        <v>824</v>
      </c>
      <c r="AET1" t="s">
        <v>825</v>
      </c>
      <c r="AEU1" t="s">
        <v>826</v>
      </c>
      <c r="AEV1" t="s">
        <v>827</v>
      </c>
      <c r="AEW1" t="s">
        <v>828</v>
      </c>
      <c r="AEX1" t="s">
        <v>829</v>
      </c>
      <c r="AEY1" t="s">
        <v>830</v>
      </c>
      <c r="AEZ1" t="s">
        <v>831</v>
      </c>
      <c r="AFA1" t="s">
        <v>832</v>
      </c>
      <c r="AFB1" t="s">
        <v>833</v>
      </c>
      <c r="AFC1" t="s">
        <v>834</v>
      </c>
      <c r="AFD1" t="s">
        <v>835</v>
      </c>
      <c r="AFE1" t="s">
        <v>836</v>
      </c>
      <c r="AFF1" t="s">
        <v>837</v>
      </c>
      <c r="AFG1" t="s">
        <v>838</v>
      </c>
      <c r="AFH1" t="s">
        <v>839</v>
      </c>
      <c r="AFI1" t="s">
        <v>840</v>
      </c>
      <c r="AFJ1" t="s">
        <v>841</v>
      </c>
      <c r="AFK1" t="s">
        <v>842</v>
      </c>
      <c r="AFL1" t="s">
        <v>843</v>
      </c>
      <c r="AFM1" t="s">
        <v>844</v>
      </c>
      <c r="AFN1" t="s">
        <v>845</v>
      </c>
      <c r="AFO1" t="s">
        <v>846</v>
      </c>
      <c r="AFP1" t="s">
        <v>847</v>
      </c>
      <c r="AFQ1" t="s">
        <v>848</v>
      </c>
      <c r="AFR1" t="s">
        <v>849</v>
      </c>
      <c r="AFS1" t="s">
        <v>850</v>
      </c>
      <c r="AFT1" t="s">
        <v>851</v>
      </c>
      <c r="AFU1" t="s">
        <v>852</v>
      </c>
      <c r="AFV1" t="s">
        <v>853</v>
      </c>
      <c r="AFW1" t="s">
        <v>854</v>
      </c>
      <c r="AFX1" t="s">
        <v>855</v>
      </c>
      <c r="AFY1" t="s">
        <v>856</v>
      </c>
      <c r="AFZ1" t="s">
        <v>857</v>
      </c>
      <c r="AGA1" t="s">
        <v>858</v>
      </c>
      <c r="AGB1" t="s">
        <v>859</v>
      </c>
      <c r="AGC1" t="s">
        <v>860</v>
      </c>
      <c r="AGD1" t="s">
        <v>861</v>
      </c>
      <c r="AGE1" t="s">
        <v>862</v>
      </c>
      <c r="AGF1" t="s">
        <v>863</v>
      </c>
      <c r="AGG1" t="s">
        <v>864</v>
      </c>
      <c r="AGH1" t="s">
        <v>865</v>
      </c>
      <c r="AGI1" t="s">
        <v>866</v>
      </c>
      <c r="AGJ1" t="s">
        <v>867</v>
      </c>
      <c r="AGK1" t="s">
        <v>868</v>
      </c>
      <c r="AGL1" t="s">
        <v>869</v>
      </c>
      <c r="AGM1" t="s">
        <v>870</v>
      </c>
      <c r="AGN1" t="s">
        <v>871</v>
      </c>
      <c r="AGO1" t="s">
        <v>872</v>
      </c>
      <c r="AGP1" t="s">
        <v>873</v>
      </c>
      <c r="AGQ1" t="s">
        <v>874</v>
      </c>
      <c r="AGR1" t="s">
        <v>875</v>
      </c>
      <c r="AGS1" t="s">
        <v>876</v>
      </c>
      <c r="AGT1" t="s">
        <v>877</v>
      </c>
      <c r="AGU1" t="s">
        <v>878</v>
      </c>
      <c r="AGV1" t="s">
        <v>879</v>
      </c>
      <c r="AGW1" t="s">
        <v>880</v>
      </c>
      <c r="AGX1" t="s">
        <v>881</v>
      </c>
      <c r="AGY1" t="s">
        <v>882</v>
      </c>
      <c r="AGZ1" t="s">
        <v>883</v>
      </c>
      <c r="AHA1" t="s">
        <v>884</v>
      </c>
      <c r="AHB1" t="s">
        <v>885</v>
      </c>
      <c r="AHC1" t="s">
        <v>886</v>
      </c>
      <c r="AHD1" t="s">
        <v>887</v>
      </c>
      <c r="AHE1" t="s">
        <v>888</v>
      </c>
      <c r="AHF1" t="s">
        <v>889</v>
      </c>
      <c r="AHG1" t="s">
        <v>890</v>
      </c>
      <c r="AHH1" t="s">
        <v>891</v>
      </c>
      <c r="AHI1" t="s">
        <v>892</v>
      </c>
      <c r="AHJ1" t="s">
        <v>893</v>
      </c>
      <c r="AHK1" t="s">
        <v>894</v>
      </c>
      <c r="AHL1" t="s">
        <v>895</v>
      </c>
      <c r="AHM1" t="s">
        <v>896</v>
      </c>
      <c r="AHN1" t="s">
        <v>897</v>
      </c>
      <c r="AHO1" t="s">
        <v>898</v>
      </c>
      <c r="AHP1" t="s">
        <v>899</v>
      </c>
      <c r="AHQ1" t="s">
        <v>900</v>
      </c>
      <c r="AHR1" t="s">
        <v>901</v>
      </c>
      <c r="AHS1" t="s">
        <v>902</v>
      </c>
      <c r="AHT1" t="s">
        <v>903</v>
      </c>
      <c r="AHU1" t="s">
        <v>904</v>
      </c>
      <c r="AHV1" t="s">
        <v>905</v>
      </c>
      <c r="AHW1" t="s">
        <v>906</v>
      </c>
      <c r="AHX1" t="s">
        <v>907</v>
      </c>
      <c r="AHY1" t="s">
        <v>908</v>
      </c>
      <c r="AHZ1" t="s">
        <v>909</v>
      </c>
      <c r="AIA1" t="s">
        <v>910</v>
      </c>
      <c r="AIB1" t="s">
        <v>911</v>
      </c>
      <c r="AIC1" t="s">
        <v>912</v>
      </c>
      <c r="AID1" t="s">
        <v>913</v>
      </c>
      <c r="AIE1" t="s">
        <v>914</v>
      </c>
      <c r="AIF1" t="s">
        <v>915</v>
      </c>
      <c r="AIG1" t="s">
        <v>916</v>
      </c>
      <c r="AIH1" t="s">
        <v>917</v>
      </c>
      <c r="AII1" t="s">
        <v>918</v>
      </c>
      <c r="AIJ1" t="s">
        <v>919</v>
      </c>
      <c r="AIK1" t="s">
        <v>920</v>
      </c>
      <c r="AIL1" t="s">
        <v>921</v>
      </c>
      <c r="AIM1" t="s">
        <v>922</v>
      </c>
      <c r="AIN1" t="s">
        <v>923</v>
      </c>
      <c r="AIO1" t="s">
        <v>924</v>
      </c>
      <c r="AIP1" t="s">
        <v>925</v>
      </c>
      <c r="AIQ1" t="s">
        <v>926</v>
      </c>
      <c r="AIR1" t="s">
        <v>927</v>
      </c>
      <c r="AIS1" t="s">
        <v>928</v>
      </c>
      <c r="AIT1" t="s">
        <v>929</v>
      </c>
      <c r="AIU1" t="s">
        <v>930</v>
      </c>
      <c r="AIV1" t="s">
        <v>931</v>
      </c>
      <c r="AIW1" t="s">
        <v>932</v>
      </c>
      <c r="AIX1" t="s">
        <v>933</v>
      </c>
      <c r="AIY1" t="s">
        <v>934</v>
      </c>
      <c r="AIZ1" t="s">
        <v>935</v>
      </c>
      <c r="AJA1" t="s">
        <v>936</v>
      </c>
      <c r="AJB1" t="s">
        <v>937</v>
      </c>
      <c r="AJC1" t="s">
        <v>938</v>
      </c>
      <c r="AJD1" t="s">
        <v>939</v>
      </c>
      <c r="AJE1" t="s">
        <v>940</v>
      </c>
      <c r="AJF1" t="s">
        <v>941</v>
      </c>
      <c r="AJG1" t="s">
        <v>942</v>
      </c>
      <c r="AJH1" t="s">
        <v>943</v>
      </c>
      <c r="AJI1" t="s">
        <v>944</v>
      </c>
      <c r="AJJ1" t="s">
        <v>945</v>
      </c>
      <c r="AJK1" t="s">
        <v>946</v>
      </c>
      <c r="AJL1" t="s">
        <v>947</v>
      </c>
      <c r="AJM1" t="s">
        <v>948</v>
      </c>
      <c r="AJN1" t="s">
        <v>949</v>
      </c>
      <c r="AJO1" t="s">
        <v>950</v>
      </c>
      <c r="AJP1" t="s">
        <v>951</v>
      </c>
      <c r="AJQ1" t="s">
        <v>952</v>
      </c>
      <c r="AJR1" t="s">
        <v>953</v>
      </c>
      <c r="AJS1" t="s">
        <v>954</v>
      </c>
      <c r="AJT1" t="s">
        <v>955</v>
      </c>
      <c r="AJU1" t="s">
        <v>956</v>
      </c>
      <c r="AJV1" t="s">
        <v>957</v>
      </c>
      <c r="AJW1" t="s">
        <v>958</v>
      </c>
      <c r="AJX1" t="s">
        <v>959</v>
      </c>
      <c r="AJY1" t="s">
        <v>960</v>
      </c>
      <c r="AJZ1" t="s">
        <v>961</v>
      </c>
      <c r="AKA1" t="s">
        <v>962</v>
      </c>
      <c r="AKB1" t="s">
        <v>963</v>
      </c>
      <c r="AKC1" t="s">
        <v>964</v>
      </c>
      <c r="AKD1" t="s">
        <v>965</v>
      </c>
      <c r="AKE1" t="s">
        <v>966</v>
      </c>
      <c r="AKF1" t="s">
        <v>967</v>
      </c>
      <c r="AKG1" t="s">
        <v>968</v>
      </c>
      <c r="AKH1" t="s">
        <v>969</v>
      </c>
      <c r="AKI1" t="s">
        <v>970</v>
      </c>
      <c r="AKJ1" t="s">
        <v>971</v>
      </c>
      <c r="AKK1" t="s">
        <v>972</v>
      </c>
      <c r="AKL1" t="s">
        <v>973</v>
      </c>
      <c r="AKM1" t="s">
        <v>974</v>
      </c>
      <c r="AKN1" t="s">
        <v>975</v>
      </c>
      <c r="AKO1" t="s">
        <v>976</v>
      </c>
      <c r="AKP1" t="s">
        <v>977</v>
      </c>
      <c r="AKQ1" t="s">
        <v>978</v>
      </c>
      <c r="AKR1" t="s">
        <v>979</v>
      </c>
      <c r="AKS1" t="s">
        <v>980</v>
      </c>
      <c r="AKT1" t="s">
        <v>981</v>
      </c>
      <c r="AKU1" t="s">
        <v>982</v>
      </c>
      <c r="AKV1" t="s">
        <v>983</v>
      </c>
      <c r="AKW1" t="s">
        <v>984</v>
      </c>
      <c r="AKX1" t="s">
        <v>985</v>
      </c>
      <c r="AKY1" t="s">
        <v>986</v>
      </c>
      <c r="AKZ1" t="s">
        <v>987</v>
      </c>
      <c r="ALA1" t="s">
        <v>988</v>
      </c>
      <c r="ALB1" t="s">
        <v>989</v>
      </c>
      <c r="ALC1" t="s">
        <v>990</v>
      </c>
      <c r="ALD1" t="s">
        <v>991</v>
      </c>
      <c r="ALE1" t="s">
        <v>992</v>
      </c>
      <c r="ALF1" t="s">
        <v>993</v>
      </c>
      <c r="ALG1" t="s">
        <v>994</v>
      </c>
      <c r="ALH1" t="s">
        <v>995</v>
      </c>
      <c r="ALI1" t="s">
        <v>996</v>
      </c>
      <c r="ALJ1" t="s">
        <v>997</v>
      </c>
      <c r="ALK1" t="s">
        <v>998</v>
      </c>
      <c r="ALL1" t="s">
        <v>999</v>
      </c>
      <c r="ALM1" t="s">
        <v>1000</v>
      </c>
      <c r="ALN1" t="s">
        <v>1001</v>
      </c>
      <c r="ALO1" t="s">
        <v>1002</v>
      </c>
      <c r="ALP1" t="s">
        <v>1003</v>
      </c>
      <c r="ALQ1" t="s">
        <v>1004</v>
      </c>
      <c r="ALR1" t="s">
        <v>1005</v>
      </c>
      <c r="ALS1" t="s">
        <v>1006</v>
      </c>
      <c r="ALT1" t="s">
        <v>1007</v>
      </c>
      <c r="ALU1" t="s">
        <v>1008</v>
      </c>
      <c r="ALV1" t="s">
        <v>1009</v>
      </c>
      <c r="ALW1" t="s">
        <v>1010</v>
      </c>
      <c r="ALX1" t="s">
        <v>1011</v>
      </c>
      <c r="ALY1" t="s">
        <v>1012</v>
      </c>
      <c r="ALZ1" t="s">
        <v>1013</v>
      </c>
      <c r="AMA1" t="s">
        <v>1014</v>
      </c>
      <c r="AMB1" t="s">
        <v>1015</v>
      </c>
      <c r="AMC1" t="s">
        <v>1016</v>
      </c>
      <c r="AMD1" t="s">
        <v>1017</v>
      </c>
      <c r="AME1" t="s">
        <v>1018</v>
      </c>
      <c r="AMF1" t="s">
        <v>1019</v>
      </c>
      <c r="AMG1" t="s">
        <v>1020</v>
      </c>
      <c r="AMH1" t="s">
        <v>1021</v>
      </c>
      <c r="AMI1" t="s">
        <v>1022</v>
      </c>
      <c r="AMJ1" t="s">
        <v>1023</v>
      </c>
      <c r="AMK1" t="s">
        <v>1024</v>
      </c>
      <c r="AML1" t="s">
        <v>1025</v>
      </c>
      <c r="AMM1" t="s">
        <v>1026</v>
      </c>
      <c r="AMN1" t="s">
        <v>1027</v>
      </c>
      <c r="AMO1" t="s">
        <v>1028</v>
      </c>
      <c r="AMP1" t="s">
        <v>1029</v>
      </c>
      <c r="AMQ1" t="s">
        <v>1030</v>
      </c>
      <c r="AMR1" t="s">
        <v>1031</v>
      </c>
      <c r="AMS1" t="s">
        <v>1032</v>
      </c>
      <c r="AMT1" t="s">
        <v>1033</v>
      </c>
      <c r="AMU1" t="s">
        <v>1034</v>
      </c>
      <c r="AMV1" t="s">
        <v>1035</v>
      </c>
      <c r="AMW1" t="s">
        <v>1036</v>
      </c>
      <c r="AMX1" t="s">
        <v>1037</v>
      </c>
      <c r="AMY1" t="s">
        <v>1038</v>
      </c>
      <c r="AMZ1" t="s">
        <v>1039</v>
      </c>
      <c r="ANA1" t="s">
        <v>1040</v>
      </c>
      <c r="ANB1" t="s">
        <v>1041</v>
      </c>
      <c r="ANC1" t="s">
        <v>1042</v>
      </c>
      <c r="AND1" t="s">
        <v>1043</v>
      </c>
      <c r="ANE1" t="s">
        <v>1044</v>
      </c>
      <c r="ANF1" t="s">
        <v>1045</v>
      </c>
      <c r="ANG1" t="s">
        <v>1046</v>
      </c>
      <c r="ANH1" t="s">
        <v>1047</v>
      </c>
      <c r="ANI1" t="s">
        <v>1048</v>
      </c>
      <c r="ANJ1" t="s">
        <v>1049</v>
      </c>
      <c r="ANK1" t="s">
        <v>1050</v>
      </c>
      <c r="ANL1" t="s">
        <v>1051</v>
      </c>
      <c r="ANM1" t="s">
        <v>1052</v>
      </c>
      <c r="ANN1" t="s">
        <v>1053</v>
      </c>
      <c r="ANO1" t="s">
        <v>1054</v>
      </c>
      <c r="ANP1" t="s">
        <v>1055</v>
      </c>
      <c r="ANQ1" t="s">
        <v>1056</v>
      </c>
      <c r="ANR1" t="s">
        <v>1057</v>
      </c>
      <c r="ANS1" t="s">
        <v>1058</v>
      </c>
      <c r="ANT1" t="s">
        <v>1059</v>
      </c>
      <c r="ANU1" t="s">
        <v>1060</v>
      </c>
      <c r="ANV1" t="s">
        <v>1061</v>
      </c>
      <c r="ANW1" t="s">
        <v>1062</v>
      </c>
      <c r="ANX1" t="s">
        <v>1063</v>
      </c>
      <c r="ANY1" t="s">
        <v>1064</v>
      </c>
      <c r="ANZ1" t="s">
        <v>1065</v>
      </c>
      <c r="AOA1" t="s">
        <v>1066</v>
      </c>
      <c r="AOB1" t="s">
        <v>1067</v>
      </c>
      <c r="AOC1" t="s">
        <v>1068</v>
      </c>
      <c r="AOD1" t="s">
        <v>1069</v>
      </c>
      <c r="AOE1" t="s">
        <v>1070</v>
      </c>
      <c r="AOF1" t="s">
        <v>1071</v>
      </c>
      <c r="AOG1" t="s">
        <v>1072</v>
      </c>
      <c r="AOH1" t="s">
        <v>1073</v>
      </c>
      <c r="AOI1" t="s">
        <v>1074</v>
      </c>
      <c r="AOJ1" t="s">
        <v>1075</v>
      </c>
      <c r="AOK1" t="s">
        <v>1076</v>
      </c>
      <c r="AOL1" t="s">
        <v>1077</v>
      </c>
      <c r="AOM1" t="s">
        <v>1078</v>
      </c>
      <c r="AON1" t="s">
        <v>1079</v>
      </c>
      <c r="AOO1" t="s">
        <v>1080</v>
      </c>
      <c r="AOP1" t="s">
        <v>1081</v>
      </c>
      <c r="AOQ1" t="s">
        <v>1082</v>
      </c>
      <c r="AOR1" t="s">
        <v>1083</v>
      </c>
      <c r="AOS1" t="s">
        <v>1084</v>
      </c>
      <c r="AOT1" t="s">
        <v>1085</v>
      </c>
      <c r="AOU1" t="s">
        <v>1086</v>
      </c>
      <c r="AOV1" t="s">
        <v>1087</v>
      </c>
      <c r="AOW1" t="s">
        <v>1088</v>
      </c>
      <c r="AOX1" t="s">
        <v>1089</v>
      </c>
      <c r="AOY1" t="s">
        <v>1090</v>
      </c>
      <c r="AOZ1" t="s">
        <v>1091</v>
      </c>
      <c r="APA1" t="s">
        <v>1092</v>
      </c>
      <c r="APB1" t="s">
        <v>1093</v>
      </c>
      <c r="APC1" t="s">
        <v>1094</v>
      </c>
      <c r="APD1" t="s">
        <v>1095</v>
      </c>
      <c r="APE1" t="s">
        <v>1096</v>
      </c>
      <c r="APF1" t="s">
        <v>1097</v>
      </c>
      <c r="APG1" t="s">
        <v>1098</v>
      </c>
      <c r="APH1" t="s">
        <v>1099</v>
      </c>
      <c r="API1" t="s">
        <v>1100</v>
      </c>
      <c r="APJ1" t="s">
        <v>1101</v>
      </c>
      <c r="APK1" t="s">
        <v>1102</v>
      </c>
      <c r="APL1" t="s">
        <v>1103</v>
      </c>
      <c r="APM1" t="s">
        <v>1104</v>
      </c>
      <c r="APN1" t="s">
        <v>1105</v>
      </c>
      <c r="APO1" t="s">
        <v>1106</v>
      </c>
      <c r="APP1" t="s">
        <v>1107</v>
      </c>
      <c r="APQ1" t="s">
        <v>1108</v>
      </c>
      <c r="APR1" t="s">
        <v>1109</v>
      </c>
      <c r="APS1" t="s">
        <v>1110</v>
      </c>
      <c r="APT1" t="s">
        <v>1111</v>
      </c>
      <c r="APU1" t="s">
        <v>1112</v>
      </c>
      <c r="APV1" t="s">
        <v>1113</v>
      </c>
      <c r="APW1" t="s">
        <v>1114</v>
      </c>
      <c r="APX1" t="s">
        <v>1115</v>
      </c>
      <c r="APY1" t="s">
        <v>1116</v>
      </c>
      <c r="APZ1" t="s">
        <v>1117</v>
      </c>
      <c r="AQA1" t="s">
        <v>1118</v>
      </c>
      <c r="AQB1" t="s">
        <v>1119</v>
      </c>
      <c r="AQC1" t="s">
        <v>1120</v>
      </c>
      <c r="AQD1" t="s">
        <v>1121</v>
      </c>
      <c r="AQE1" t="s">
        <v>1122</v>
      </c>
      <c r="AQF1" t="s">
        <v>1123</v>
      </c>
      <c r="AQG1" t="s">
        <v>1124</v>
      </c>
      <c r="AQH1" t="s">
        <v>1125</v>
      </c>
      <c r="AQI1" t="s">
        <v>1126</v>
      </c>
      <c r="AQJ1" t="s">
        <v>1127</v>
      </c>
      <c r="AQK1" t="s">
        <v>1128</v>
      </c>
      <c r="AQL1" t="s">
        <v>1129</v>
      </c>
      <c r="AQM1" t="s">
        <v>1130</v>
      </c>
      <c r="AQN1" t="s">
        <v>1131</v>
      </c>
      <c r="AQO1" t="s">
        <v>1132</v>
      </c>
      <c r="AQP1" t="s">
        <v>1133</v>
      </c>
      <c r="AQQ1" t="s">
        <v>1134</v>
      </c>
      <c r="AQR1" t="s">
        <v>1135</v>
      </c>
      <c r="AQS1" t="s">
        <v>1136</v>
      </c>
      <c r="AQT1" t="s">
        <v>1137</v>
      </c>
      <c r="AQU1" t="s">
        <v>1138</v>
      </c>
      <c r="AQV1" t="s">
        <v>1139</v>
      </c>
      <c r="AQW1" t="s">
        <v>1140</v>
      </c>
      <c r="AQX1" t="s">
        <v>1141</v>
      </c>
      <c r="AQY1" t="s">
        <v>1142</v>
      </c>
      <c r="AQZ1" t="s">
        <v>1143</v>
      </c>
      <c r="ARA1" t="s">
        <v>1144</v>
      </c>
      <c r="ARB1" t="s">
        <v>1145</v>
      </c>
      <c r="ARC1" t="s">
        <v>1146</v>
      </c>
      <c r="ARD1" t="s">
        <v>1147</v>
      </c>
      <c r="ARE1" t="s">
        <v>1148</v>
      </c>
      <c r="ARF1" t="s">
        <v>1149</v>
      </c>
      <c r="ARG1" t="s">
        <v>1150</v>
      </c>
      <c r="ARH1" t="s">
        <v>1151</v>
      </c>
      <c r="ARI1" t="s">
        <v>1152</v>
      </c>
      <c r="ARJ1" t="s">
        <v>1153</v>
      </c>
      <c r="ARK1" t="s">
        <v>1154</v>
      </c>
      <c r="ARL1" t="s">
        <v>1155</v>
      </c>
      <c r="ARM1" t="s">
        <v>1156</v>
      </c>
      <c r="ARN1" t="s">
        <v>1157</v>
      </c>
      <c r="ARO1" t="s">
        <v>1158</v>
      </c>
      <c r="ARP1" t="s">
        <v>1159</v>
      </c>
      <c r="ARQ1" t="s">
        <v>1160</v>
      </c>
      <c r="ARR1" t="s">
        <v>1161</v>
      </c>
      <c r="ARS1" t="s">
        <v>1162</v>
      </c>
      <c r="ART1" t="s">
        <v>1163</v>
      </c>
      <c r="ARU1" t="s">
        <v>1164</v>
      </c>
      <c r="ARV1" t="s">
        <v>1165</v>
      </c>
      <c r="ARW1" t="s">
        <v>1166</v>
      </c>
      <c r="ARX1" t="s">
        <v>1167</v>
      </c>
      <c r="ARY1" t="s">
        <v>1168</v>
      </c>
      <c r="ARZ1" t="s">
        <v>1169</v>
      </c>
      <c r="ASA1" t="s">
        <v>1170</v>
      </c>
      <c r="ASB1" t="s">
        <v>1171</v>
      </c>
      <c r="ASC1" t="s">
        <v>1172</v>
      </c>
      <c r="ASD1" t="s">
        <v>1173</v>
      </c>
      <c r="ASE1" t="s">
        <v>1174</v>
      </c>
      <c r="ASF1" t="s">
        <v>1175</v>
      </c>
      <c r="ASG1" t="s">
        <v>1176</v>
      </c>
      <c r="ASH1" t="s">
        <v>1177</v>
      </c>
      <c r="ASI1" t="s">
        <v>1178</v>
      </c>
      <c r="ASJ1" t="s">
        <v>1179</v>
      </c>
      <c r="ASK1" t="s">
        <v>1180</v>
      </c>
      <c r="ASL1" t="s">
        <v>1181</v>
      </c>
      <c r="ASM1" t="s">
        <v>1182</v>
      </c>
      <c r="ASN1" t="s">
        <v>1183</v>
      </c>
      <c r="ASO1" t="s">
        <v>1184</v>
      </c>
      <c r="ASP1" t="s">
        <v>1185</v>
      </c>
      <c r="ASQ1" t="s">
        <v>1186</v>
      </c>
      <c r="ASR1" t="s">
        <v>1187</v>
      </c>
      <c r="ASS1" t="s">
        <v>1188</v>
      </c>
      <c r="AST1" t="s">
        <v>1189</v>
      </c>
      <c r="ASU1" t="s">
        <v>1190</v>
      </c>
      <c r="ASV1" t="s">
        <v>1191</v>
      </c>
      <c r="ASW1" t="s">
        <v>1192</v>
      </c>
      <c r="ASX1" t="s">
        <v>1193</v>
      </c>
      <c r="ASY1" t="s">
        <v>1194</v>
      </c>
      <c r="ASZ1" t="s">
        <v>1195</v>
      </c>
      <c r="ATA1" t="s">
        <v>1196</v>
      </c>
      <c r="ATB1" t="s">
        <v>1197</v>
      </c>
      <c r="ATC1" t="s">
        <v>1198</v>
      </c>
      <c r="ATD1" t="s">
        <v>1199</v>
      </c>
      <c r="ATE1" t="s">
        <v>1200</v>
      </c>
      <c r="ATF1" t="s">
        <v>1201</v>
      </c>
      <c r="ATG1" t="s">
        <v>1202</v>
      </c>
      <c r="ATH1" t="s">
        <v>1203</v>
      </c>
      <c r="ATI1" t="s">
        <v>1204</v>
      </c>
      <c r="ATJ1" t="s">
        <v>1205</v>
      </c>
      <c r="ATK1" t="s">
        <v>1206</v>
      </c>
      <c r="ATL1" t="s">
        <v>1207</v>
      </c>
      <c r="ATM1" t="s">
        <v>1208</v>
      </c>
      <c r="ATN1" t="s">
        <v>1209</v>
      </c>
      <c r="ATO1" t="s">
        <v>1210</v>
      </c>
      <c r="ATP1" t="s">
        <v>1211</v>
      </c>
      <c r="ATQ1" t="s">
        <v>1212</v>
      </c>
      <c r="ATR1" t="s">
        <v>1213</v>
      </c>
      <c r="ATS1" t="s">
        <v>1214</v>
      </c>
      <c r="ATT1" t="s">
        <v>1215</v>
      </c>
      <c r="ATU1" t="s">
        <v>1216</v>
      </c>
      <c r="ATV1" t="s">
        <v>1217</v>
      </c>
      <c r="ATW1" t="s">
        <v>1218</v>
      </c>
      <c r="ATX1" t="s">
        <v>1219</v>
      </c>
      <c r="ATY1" t="s">
        <v>1220</v>
      </c>
      <c r="ATZ1" t="s">
        <v>1221</v>
      </c>
      <c r="AUA1" t="s">
        <v>1222</v>
      </c>
      <c r="AUB1" t="s">
        <v>1223</v>
      </c>
      <c r="AUC1" t="s">
        <v>1224</v>
      </c>
      <c r="AUD1" t="s">
        <v>1225</v>
      </c>
      <c r="AUE1" t="s">
        <v>1226</v>
      </c>
      <c r="AUF1" t="s">
        <v>1227</v>
      </c>
      <c r="AUG1" t="s">
        <v>1228</v>
      </c>
      <c r="AUH1" t="s">
        <v>1229</v>
      </c>
      <c r="AUI1" t="s">
        <v>1230</v>
      </c>
      <c r="AUJ1" t="s">
        <v>1231</v>
      </c>
      <c r="AUK1" t="s">
        <v>1232</v>
      </c>
      <c r="AUL1" t="s">
        <v>1233</v>
      </c>
      <c r="AUM1" t="s">
        <v>1234</v>
      </c>
      <c r="AUN1" t="s">
        <v>1235</v>
      </c>
      <c r="AUO1" t="s">
        <v>1236</v>
      </c>
      <c r="AUP1" t="s">
        <v>1237</v>
      </c>
      <c r="AUQ1" t="s">
        <v>1238</v>
      </c>
      <c r="AUR1" t="s">
        <v>1239</v>
      </c>
      <c r="AUS1" t="s">
        <v>1240</v>
      </c>
      <c r="AUT1" t="s">
        <v>1241</v>
      </c>
      <c r="AUU1" t="s">
        <v>1242</v>
      </c>
      <c r="AUV1" t="s">
        <v>1243</v>
      </c>
      <c r="AUW1" t="s">
        <v>1244</v>
      </c>
      <c r="AUX1" t="s">
        <v>1245</v>
      </c>
      <c r="AUY1" t="s">
        <v>1246</v>
      </c>
      <c r="AUZ1" t="s">
        <v>1247</v>
      </c>
      <c r="AVA1" t="s">
        <v>1248</v>
      </c>
      <c r="AVB1" t="s">
        <v>1249</v>
      </c>
      <c r="AVC1" t="s">
        <v>1250</v>
      </c>
      <c r="AVD1" t="s">
        <v>1251</v>
      </c>
      <c r="AVE1" t="s">
        <v>1252</v>
      </c>
      <c r="AVF1" t="s">
        <v>1253</v>
      </c>
      <c r="AVG1" t="s">
        <v>1254</v>
      </c>
      <c r="AVH1" t="s">
        <v>1255</v>
      </c>
      <c r="AVI1" t="s">
        <v>1256</v>
      </c>
      <c r="AVJ1" t="s">
        <v>1257</v>
      </c>
      <c r="AVK1" t="s">
        <v>1258</v>
      </c>
      <c r="AVL1" t="s">
        <v>1259</v>
      </c>
      <c r="AVM1" t="s">
        <v>1260</v>
      </c>
      <c r="AVN1" t="s">
        <v>1261</v>
      </c>
      <c r="AVO1" t="s">
        <v>1262</v>
      </c>
      <c r="AVP1" t="s">
        <v>1263</v>
      </c>
      <c r="AVQ1" t="s">
        <v>1264</v>
      </c>
      <c r="AVR1" t="s">
        <v>1265</v>
      </c>
      <c r="AVS1" t="s">
        <v>1266</v>
      </c>
      <c r="AVT1" t="s">
        <v>1267</v>
      </c>
      <c r="AVU1" t="s">
        <v>1268</v>
      </c>
      <c r="AVV1" t="s">
        <v>1269</v>
      </c>
      <c r="AVW1" t="s">
        <v>1270</v>
      </c>
      <c r="AVX1" t="s">
        <v>1271</v>
      </c>
      <c r="AVY1" t="s">
        <v>1272</v>
      </c>
      <c r="AVZ1" t="s">
        <v>1273</v>
      </c>
      <c r="AWA1" t="s">
        <v>1274</v>
      </c>
      <c r="AWB1" t="s">
        <v>1275</v>
      </c>
      <c r="AWC1" t="s">
        <v>1276</v>
      </c>
      <c r="AWD1" t="s">
        <v>1277</v>
      </c>
      <c r="AWE1" t="s">
        <v>1278</v>
      </c>
      <c r="AWF1" t="s">
        <v>1279</v>
      </c>
      <c r="AWG1" t="s">
        <v>1280</v>
      </c>
      <c r="AWH1" t="s">
        <v>1281</v>
      </c>
      <c r="AWI1" t="s">
        <v>1282</v>
      </c>
      <c r="AWJ1" t="s">
        <v>1283</v>
      </c>
      <c r="AWK1" t="s">
        <v>1284</v>
      </c>
      <c r="AWL1" t="s">
        <v>1285</v>
      </c>
      <c r="AWM1" t="s">
        <v>1286</v>
      </c>
      <c r="AWN1" t="s">
        <v>1287</v>
      </c>
      <c r="AWO1" t="s">
        <v>1288</v>
      </c>
      <c r="AWP1" t="s">
        <v>1289</v>
      </c>
      <c r="AWQ1" t="s">
        <v>1290</v>
      </c>
      <c r="AWR1" t="s">
        <v>1291</v>
      </c>
      <c r="AWS1" t="s">
        <v>1292</v>
      </c>
      <c r="AWT1" t="s">
        <v>1293</v>
      </c>
      <c r="AWU1" t="s">
        <v>1294</v>
      </c>
      <c r="AWV1" t="s">
        <v>1295</v>
      </c>
      <c r="AWW1" t="s">
        <v>1296</v>
      </c>
      <c r="AWX1" t="s">
        <v>1297</v>
      </c>
      <c r="AWY1" t="s">
        <v>1298</v>
      </c>
      <c r="AWZ1" t="s">
        <v>1299</v>
      </c>
      <c r="AXA1" t="s">
        <v>1300</v>
      </c>
      <c r="AXB1" t="s">
        <v>1301</v>
      </c>
      <c r="AXC1" t="s">
        <v>1302</v>
      </c>
      <c r="AXD1" t="s">
        <v>1303</v>
      </c>
      <c r="AXE1" t="s">
        <v>1304</v>
      </c>
      <c r="AXF1" t="s">
        <v>1305</v>
      </c>
      <c r="AXG1" t="s">
        <v>1306</v>
      </c>
      <c r="AXH1" t="s">
        <v>1307</v>
      </c>
      <c r="AXI1" t="s">
        <v>1308</v>
      </c>
      <c r="AXJ1" t="s">
        <v>1309</v>
      </c>
      <c r="AXK1" t="s">
        <v>1310</v>
      </c>
      <c r="AXL1" t="s">
        <v>1311</v>
      </c>
      <c r="AXM1" t="s">
        <v>1312</v>
      </c>
      <c r="AXN1" t="s">
        <v>1313</v>
      </c>
      <c r="AXO1" t="s">
        <v>1314</v>
      </c>
      <c r="AXP1" t="s">
        <v>1315</v>
      </c>
      <c r="AXQ1" t="s">
        <v>1316</v>
      </c>
      <c r="AXR1" t="s">
        <v>1317</v>
      </c>
      <c r="AXS1" t="s">
        <v>1318</v>
      </c>
      <c r="AXT1" t="s">
        <v>1319</v>
      </c>
      <c r="AXU1" t="s">
        <v>1320</v>
      </c>
      <c r="AXV1" t="s">
        <v>1321</v>
      </c>
      <c r="AXW1" t="s">
        <v>1322</v>
      </c>
      <c r="AXX1" t="s">
        <v>1323</v>
      </c>
      <c r="AXY1" t="s">
        <v>1324</v>
      </c>
      <c r="AXZ1" t="s">
        <v>1325</v>
      </c>
      <c r="AYA1" t="s">
        <v>1326</v>
      </c>
      <c r="AYB1" t="s">
        <v>1327</v>
      </c>
      <c r="AYC1" t="s">
        <v>1328</v>
      </c>
      <c r="AYD1" t="s">
        <v>1329</v>
      </c>
      <c r="AYE1" t="s">
        <v>1330</v>
      </c>
      <c r="AYF1" t="s">
        <v>1331</v>
      </c>
      <c r="AYG1" t="s">
        <v>1332</v>
      </c>
      <c r="AYH1" t="s">
        <v>1333</v>
      </c>
      <c r="AYI1" t="s">
        <v>1334</v>
      </c>
      <c r="AYJ1" t="s">
        <v>1335</v>
      </c>
      <c r="AYK1" t="s">
        <v>1336</v>
      </c>
      <c r="AYL1" t="s">
        <v>1337</v>
      </c>
      <c r="AYM1" t="s">
        <v>1338</v>
      </c>
      <c r="AYN1" t="s">
        <v>1339</v>
      </c>
      <c r="AYO1" t="s">
        <v>1340</v>
      </c>
      <c r="AYP1" t="s">
        <v>1341</v>
      </c>
      <c r="AYQ1" t="s">
        <v>1342</v>
      </c>
      <c r="AYR1" t="s">
        <v>1343</v>
      </c>
      <c r="AYS1" t="s">
        <v>1344</v>
      </c>
      <c r="AYT1" t="s">
        <v>1345</v>
      </c>
      <c r="AYU1" t="s">
        <v>1346</v>
      </c>
      <c r="AYV1" t="s">
        <v>1347</v>
      </c>
      <c r="AYW1" t="s">
        <v>1348</v>
      </c>
      <c r="AYX1" t="s">
        <v>1349</v>
      </c>
      <c r="AYY1" t="s">
        <v>1350</v>
      </c>
      <c r="AYZ1" t="s">
        <v>1351</v>
      </c>
      <c r="AZA1" t="s">
        <v>1352</v>
      </c>
      <c r="AZB1" t="s">
        <v>1353</v>
      </c>
      <c r="AZC1" t="s">
        <v>1354</v>
      </c>
      <c r="AZD1" t="s">
        <v>1355</v>
      </c>
      <c r="AZE1" t="s">
        <v>1356</v>
      </c>
      <c r="AZF1" t="s">
        <v>1357</v>
      </c>
      <c r="AZG1" t="s">
        <v>1358</v>
      </c>
      <c r="AZH1" t="s">
        <v>1359</v>
      </c>
      <c r="AZI1" t="s">
        <v>1360</v>
      </c>
      <c r="AZJ1" t="s">
        <v>1361</v>
      </c>
      <c r="AZK1" t="s">
        <v>1362</v>
      </c>
      <c r="AZL1" t="s">
        <v>1363</v>
      </c>
      <c r="AZM1" t="s">
        <v>1364</v>
      </c>
      <c r="AZN1" t="s">
        <v>1365</v>
      </c>
      <c r="AZO1" t="s">
        <v>1366</v>
      </c>
      <c r="AZP1" t="s">
        <v>1367</v>
      </c>
      <c r="AZQ1" t="s">
        <v>1368</v>
      </c>
      <c r="AZR1" t="s">
        <v>1369</v>
      </c>
      <c r="AZS1" t="s">
        <v>1370</v>
      </c>
      <c r="AZT1" t="s">
        <v>1371</v>
      </c>
      <c r="AZU1" t="s">
        <v>1372</v>
      </c>
      <c r="AZV1" t="s">
        <v>1373</v>
      </c>
      <c r="AZW1" t="s">
        <v>1374</v>
      </c>
      <c r="AZX1" t="s">
        <v>1375</v>
      </c>
      <c r="AZY1" t="s">
        <v>1376</v>
      </c>
      <c r="AZZ1" t="s">
        <v>1377</v>
      </c>
      <c r="BAA1" t="s">
        <v>1378</v>
      </c>
      <c r="BAB1" t="s">
        <v>1379</v>
      </c>
      <c r="BAC1" t="s">
        <v>1380</v>
      </c>
      <c r="BAD1" t="s">
        <v>1381</v>
      </c>
      <c r="BAE1" t="s">
        <v>1382</v>
      </c>
      <c r="BAF1" t="s">
        <v>1383</v>
      </c>
      <c r="BAG1" t="s">
        <v>1384</v>
      </c>
      <c r="BAH1" t="s">
        <v>1385</v>
      </c>
      <c r="BAI1" t="s">
        <v>1386</v>
      </c>
      <c r="BAJ1" t="s">
        <v>1387</v>
      </c>
      <c r="BAK1" t="s">
        <v>1388</v>
      </c>
      <c r="BAL1" t="s">
        <v>1389</v>
      </c>
      <c r="BAM1" t="s">
        <v>1390</v>
      </c>
      <c r="BAN1" t="s">
        <v>1391</v>
      </c>
      <c r="BAO1" t="s">
        <v>1392</v>
      </c>
      <c r="BAP1" t="s">
        <v>1393</v>
      </c>
      <c r="BAQ1" t="s">
        <v>1394</v>
      </c>
      <c r="BAR1" t="s">
        <v>1395</v>
      </c>
      <c r="BAS1" t="s">
        <v>1396</v>
      </c>
      <c r="BAT1" t="s">
        <v>1397</v>
      </c>
      <c r="BAU1" t="s">
        <v>1398</v>
      </c>
      <c r="BAV1" t="s">
        <v>1399</v>
      </c>
      <c r="BAW1" t="s">
        <v>1400</v>
      </c>
      <c r="BAX1" t="s">
        <v>1401</v>
      </c>
      <c r="BAY1" t="s">
        <v>1402</v>
      </c>
      <c r="BAZ1" t="s">
        <v>1403</v>
      </c>
      <c r="BBA1" t="s">
        <v>1404</v>
      </c>
      <c r="BBB1" t="s">
        <v>1405</v>
      </c>
      <c r="BBC1" t="s">
        <v>1406</v>
      </c>
      <c r="BBD1" t="s">
        <v>1407</v>
      </c>
      <c r="BBE1" t="s">
        <v>1408</v>
      </c>
      <c r="BBF1" t="s">
        <v>1409</v>
      </c>
      <c r="BBG1" t="s">
        <v>1410</v>
      </c>
      <c r="BBH1" t="s">
        <v>1411</v>
      </c>
      <c r="BBI1" t="s">
        <v>1412</v>
      </c>
      <c r="BBJ1" t="s">
        <v>1413</v>
      </c>
      <c r="BBK1" t="s">
        <v>1414</v>
      </c>
      <c r="BBL1" t="s">
        <v>1415</v>
      </c>
      <c r="BBM1" t="s">
        <v>1416</v>
      </c>
      <c r="BBN1" t="s">
        <v>1417</v>
      </c>
      <c r="BBO1" t="s">
        <v>1418</v>
      </c>
      <c r="BBP1" t="s">
        <v>1419</v>
      </c>
      <c r="BBQ1" t="s">
        <v>1420</v>
      </c>
      <c r="BBR1" t="s">
        <v>1421</v>
      </c>
      <c r="BBS1" t="s">
        <v>1422</v>
      </c>
      <c r="BBT1" t="s">
        <v>1423</v>
      </c>
      <c r="BBU1" t="s">
        <v>1424</v>
      </c>
      <c r="BBV1" t="s">
        <v>1425</v>
      </c>
      <c r="BBW1" t="s">
        <v>1426</v>
      </c>
      <c r="BBX1" t="s">
        <v>1427</v>
      </c>
      <c r="BBY1" t="s">
        <v>1428</v>
      </c>
      <c r="BBZ1" t="s">
        <v>1429</v>
      </c>
      <c r="BCA1" t="s">
        <v>1430</v>
      </c>
      <c r="BCB1" t="s">
        <v>1431</v>
      </c>
      <c r="BCC1" t="s">
        <v>1432</v>
      </c>
      <c r="BCD1" t="s">
        <v>1433</v>
      </c>
      <c r="BCE1" t="s">
        <v>1434</v>
      </c>
      <c r="BCF1" t="s">
        <v>1435</v>
      </c>
      <c r="BCG1" t="s">
        <v>1436</v>
      </c>
      <c r="BCH1" t="s">
        <v>1437</v>
      </c>
      <c r="BCI1" t="s">
        <v>1438</v>
      </c>
      <c r="BCJ1" t="s">
        <v>1439</v>
      </c>
      <c r="BCK1" t="s">
        <v>1440</v>
      </c>
      <c r="BCL1" t="s">
        <v>1441</v>
      </c>
      <c r="BCM1" t="s">
        <v>1442</v>
      </c>
      <c r="BCN1" t="s">
        <v>1443</v>
      </c>
      <c r="BCO1" t="s">
        <v>1444</v>
      </c>
      <c r="BCP1" t="s">
        <v>1445</v>
      </c>
      <c r="BCQ1" t="s">
        <v>1446</v>
      </c>
      <c r="BCR1" t="s">
        <v>1447</v>
      </c>
      <c r="BCS1" t="s">
        <v>1448</v>
      </c>
      <c r="BCT1" t="s">
        <v>1449</v>
      </c>
      <c r="BCU1" t="s">
        <v>1450</v>
      </c>
      <c r="BCV1" t="s">
        <v>1451</v>
      </c>
      <c r="BCW1" t="s">
        <v>1452</v>
      </c>
      <c r="BCX1" t="s">
        <v>1453</v>
      </c>
      <c r="BCY1" t="s">
        <v>1454</v>
      </c>
      <c r="BCZ1" t="s">
        <v>1455</v>
      </c>
      <c r="BDA1" t="s">
        <v>1456</v>
      </c>
      <c r="BDB1" t="s">
        <v>1457</v>
      </c>
      <c r="BDC1" t="s">
        <v>1458</v>
      </c>
      <c r="BDD1" t="s">
        <v>1459</v>
      </c>
      <c r="BDE1" t="s">
        <v>1460</v>
      </c>
      <c r="BDF1" t="s">
        <v>1461</v>
      </c>
      <c r="BDG1" t="s">
        <v>1462</v>
      </c>
      <c r="BDH1" t="s">
        <v>1463</v>
      </c>
      <c r="BDI1" t="s">
        <v>1464</v>
      </c>
      <c r="BDJ1" t="s">
        <v>1465</v>
      </c>
      <c r="BDK1" t="s">
        <v>1466</v>
      </c>
      <c r="BDL1" t="s">
        <v>1467</v>
      </c>
      <c r="BDM1" t="s">
        <v>1468</v>
      </c>
      <c r="BDN1" t="s">
        <v>1469</v>
      </c>
      <c r="BDO1" t="s">
        <v>1470</v>
      </c>
      <c r="BDP1" t="s">
        <v>1471</v>
      </c>
      <c r="BDQ1" t="s">
        <v>1472</v>
      </c>
      <c r="BDR1" t="s">
        <v>1473</v>
      </c>
      <c r="BDS1" t="s">
        <v>1474</v>
      </c>
      <c r="BDT1" t="s">
        <v>1475</v>
      </c>
      <c r="BDU1" t="s">
        <v>1476</v>
      </c>
      <c r="BDV1" t="s">
        <v>1477</v>
      </c>
      <c r="BDW1" t="s">
        <v>1478</v>
      </c>
      <c r="BDX1" t="s">
        <v>1479</v>
      </c>
      <c r="BDY1" t="s">
        <v>1480</v>
      </c>
      <c r="BDZ1" t="s">
        <v>1481</v>
      </c>
      <c r="BEA1" t="s">
        <v>1482</v>
      </c>
      <c r="BEB1" t="s">
        <v>1483</v>
      </c>
      <c r="BEC1" t="s">
        <v>1484</v>
      </c>
      <c r="BED1" t="s">
        <v>1485</v>
      </c>
      <c r="BEE1" t="s">
        <v>1486</v>
      </c>
      <c r="BEF1" t="s">
        <v>1487</v>
      </c>
      <c r="BEG1" t="s">
        <v>1488</v>
      </c>
      <c r="BEH1" t="s">
        <v>1489</v>
      </c>
      <c r="BEI1" t="s">
        <v>1490</v>
      </c>
      <c r="BEJ1" t="s">
        <v>1491</v>
      </c>
      <c r="BEK1" t="s">
        <v>1492</v>
      </c>
      <c r="BEL1" t="s">
        <v>1493</v>
      </c>
      <c r="BEM1" t="s">
        <v>1494</v>
      </c>
      <c r="BEN1" t="s">
        <v>1495</v>
      </c>
      <c r="BEO1" t="s">
        <v>1496</v>
      </c>
      <c r="BEP1" t="s">
        <v>1497</v>
      </c>
      <c r="BEQ1" t="s">
        <v>1498</v>
      </c>
      <c r="BER1" t="s">
        <v>1499</v>
      </c>
      <c r="BES1" t="s">
        <v>1500</v>
      </c>
      <c r="BET1" t="s">
        <v>1501</v>
      </c>
      <c r="BEU1" t="s">
        <v>1502</v>
      </c>
      <c r="BEV1" t="s">
        <v>1503</v>
      </c>
      <c r="BEW1" t="s">
        <v>1504</v>
      </c>
      <c r="BEX1" t="s">
        <v>1505</v>
      </c>
      <c r="BEY1" t="s">
        <v>1506</v>
      </c>
      <c r="BEZ1" t="s">
        <v>1507</v>
      </c>
      <c r="BFA1" t="s">
        <v>1508</v>
      </c>
      <c r="BFB1" t="s">
        <v>1509</v>
      </c>
      <c r="BFC1" t="s">
        <v>1510</v>
      </c>
      <c r="BFD1" t="s">
        <v>1511</v>
      </c>
      <c r="BFE1" t="s">
        <v>1512</v>
      </c>
      <c r="BFF1" t="s">
        <v>1513</v>
      </c>
      <c r="BFG1" t="s">
        <v>1514</v>
      </c>
      <c r="BFH1" t="s">
        <v>1515</v>
      </c>
      <c r="BFI1" t="s">
        <v>1516</v>
      </c>
      <c r="BFJ1" t="s">
        <v>1517</v>
      </c>
      <c r="BFK1" t="s">
        <v>1518</v>
      </c>
      <c r="BFL1" t="s">
        <v>1519</v>
      </c>
      <c r="BFM1" t="s">
        <v>1520</v>
      </c>
      <c r="BFN1" t="s">
        <v>1521</v>
      </c>
      <c r="BFO1" t="s">
        <v>1522</v>
      </c>
      <c r="BFP1" t="s">
        <v>1523</v>
      </c>
      <c r="BFQ1" t="s">
        <v>1524</v>
      </c>
      <c r="BFR1" t="s">
        <v>1525</v>
      </c>
      <c r="BFS1" t="s">
        <v>1526</v>
      </c>
      <c r="BFT1" t="s">
        <v>1527</v>
      </c>
      <c r="BFU1" t="s">
        <v>1528</v>
      </c>
      <c r="BFV1" t="s">
        <v>1529</v>
      </c>
      <c r="BFW1" t="s">
        <v>1530</v>
      </c>
      <c r="BFX1" t="s">
        <v>1531</v>
      </c>
      <c r="BFY1" t="s">
        <v>1532</v>
      </c>
      <c r="BFZ1" t="s">
        <v>1533</v>
      </c>
      <c r="BGA1" t="s">
        <v>1534</v>
      </c>
      <c r="BGB1" t="s">
        <v>1535</v>
      </c>
      <c r="BGC1" t="s">
        <v>1536</v>
      </c>
      <c r="BGD1" t="s">
        <v>1537</v>
      </c>
      <c r="BGE1" t="s">
        <v>1538</v>
      </c>
      <c r="BGF1" t="s">
        <v>1539</v>
      </c>
      <c r="BGG1" t="s">
        <v>1540</v>
      </c>
      <c r="BGH1" t="s">
        <v>1541</v>
      </c>
      <c r="BGI1" t="s">
        <v>1542</v>
      </c>
      <c r="BGJ1" t="s">
        <v>1543</v>
      </c>
      <c r="BGK1" t="s">
        <v>1544</v>
      </c>
      <c r="BGL1" t="s">
        <v>1545</v>
      </c>
      <c r="BGM1" t="s">
        <v>1546</v>
      </c>
      <c r="BGN1" t="s">
        <v>1547</v>
      </c>
      <c r="BGO1" t="s">
        <v>1548</v>
      </c>
      <c r="BGP1" t="s">
        <v>1549</v>
      </c>
      <c r="BGQ1" t="s">
        <v>1550</v>
      </c>
      <c r="BGR1" t="s">
        <v>1551</v>
      </c>
      <c r="BGS1" t="s">
        <v>1552</v>
      </c>
      <c r="BGT1" t="s">
        <v>1553</v>
      </c>
      <c r="BGU1" t="s">
        <v>1554</v>
      </c>
      <c r="BGV1" t="s">
        <v>1555</v>
      </c>
      <c r="BGW1" t="s">
        <v>1556</v>
      </c>
      <c r="BGX1" t="s">
        <v>1557</v>
      </c>
      <c r="BGY1" t="s">
        <v>1558</v>
      </c>
      <c r="BGZ1" t="s">
        <v>1559</v>
      </c>
      <c r="BHA1" t="s">
        <v>1560</v>
      </c>
      <c r="BHB1" t="s">
        <v>1561</v>
      </c>
      <c r="BHC1" t="s">
        <v>1562</v>
      </c>
      <c r="BHD1" t="s">
        <v>1563</v>
      </c>
      <c r="BHE1" t="s">
        <v>1564</v>
      </c>
      <c r="BHF1" t="s">
        <v>1565</v>
      </c>
      <c r="BHG1" t="s">
        <v>1566</v>
      </c>
      <c r="BHH1" t="s">
        <v>1567</v>
      </c>
      <c r="BHI1" t="s">
        <v>1568</v>
      </c>
      <c r="BHJ1" t="s">
        <v>1569</v>
      </c>
      <c r="BHK1" t="s">
        <v>1570</v>
      </c>
      <c r="BHL1" t="s">
        <v>1571</v>
      </c>
      <c r="BHM1" t="s">
        <v>1572</v>
      </c>
      <c r="BHN1" t="s">
        <v>1573</v>
      </c>
      <c r="BHO1" t="s">
        <v>1574</v>
      </c>
      <c r="BHP1" t="s">
        <v>1575</v>
      </c>
      <c r="BHQ1" t="s">
        <v>1576</v>
      </c>
      <c r="BHR1" t="s">
        <v>1577</v>
      </c>
      <c r="BHS1" t="s">
        <v>1578</v>
      </c>
      <c r="BHT1" t="s">
        <v>1579</v>
      </c>
      <c r="BHU1" t="s">
        <v>1580</v>
      </c>
      <c r="BHV1" t="s">
        <v>1581</v>
      </c>
      <c r="BHW1" t="s">
        <v>1582</v>
      </c>
      <c r="BHX1" t="s">
        <v>1583</v>
      </c>
      <c r="BHY1" t="s">
        <v>1584</v>
      </c>
      <c r="BHZ1" t="s">
        <v>1585</v>
      </c>
      <c r="BIA1" t="s">
        <v>1586</v>
      </c>
      <c r="BIB1" t="s">
        <v>1587</v>
      </c>
      <c r="BIC1" t="s">
        <v>1588</v>
      </c>
      <c r="BID1" t="s">
        <v>1589</v>
      </c>
      <c r="BIE1" t="s">
        <v>1590</v>
      </c>
      <c r="BIF1" t="s">
        <v>1591</v>
      </c>
      <c r="BIG1" t="s">
        <v>1592</v>
      </c>
      <c r="BIH1" t="s">
        <v>1593</v>
      </c>
      <c r="BII1" t="s">
        <v>1594</v>
      </c>
      <c r="BIJ1" t="s">
        <v>1595</v>
      </c>
      <c r="BIK1" t="s">
        <v>1596</v>
      </c>
      <c r="BIL1" t="s">
        <v>1597</v>
      </c>
      <c r="BIM1" t="s">
        <v>1598</v>
      </c>
      <c r="BIN1" t="s">
        <v>1599</v>
      </c>
      <c r="BIO1" t="s">
        <v>1600</v>
      </c>
      <c r="BIP1" t="s">
        <v>1601</v>
      </c>
      <c r="BIQ1" t="s">
        <v>1602</v>
      </c>
      <c r="BIR1" t="s">
        <v>1603</v>
      </c>
      <c r="BIS1" t="s">
        <v>1604</v>
      </c>
      <c r="BIT1" t="s">
        <v>1605</v>
      </c>
      <c r="BIU1" t="s">
        <v>1606</v>
      </c>
      <c r="BIV1" t="s">
        <v>1607</v>
      </c>
      <c r="BIW1" t="s">
        <v>1608</v>
      </c>
      <c r="BIX1" t="s">
        <v>1609</v>
      </c>
      <c r="BIY1" t="s">
        <v>1610</v>
      </c>
      <c r="BIZ1" t="s">
        <v>1611</v>
      </c>
      <c r="BJA1" t="s">
        <v>1612</v>
      </c>
      <c r="BJB1" t="s">
        <v>1613</v>
      </c>
      <c r="BJC1" t="s">
        <v>1614</v>
      </c>
      <c r="BJD1" t="s">
        <v>1615</v>
      </c>
      <c r="BJE1" t="s">
        <v>1616</v>
      </c>
      <c r="BJF1" t="s">
        <v>1617</v>
      </c>
      <c r="BJG1" t="s">
        <v>1618</v>
      </c>
      <c r="BJH1" t="s">
        <v>1619</v>
      </c>
      <c r="BJI1" t="s">
        <v>1620</v>
      </c>
      <c r="BJJ1" t="s">
        <v>1621</v>
      </c>
      <c r="BJK1" t="s">
        <v>1622</v>
      </c>
      <c r="BJL1" t="s">
        <v>1623</v>
      </c>
      <c r="BJM1" t="s">
        <v>1624</v>
      </c>
      <c r="BJN1" t="s">
        <v>1625</v>
      </c>
      <c r="BJO1" t="s">
        <v>1626</v>
      </c>
      <c r="BJP1" t="s">
        <v>1627</v>
      </c>
      <c r="BJQ1" t="s">
        <v>1628</v>
      </c>
      <c r="BJR1" t="s">
        <v>1629</v>
      </c>
      <c r="BJS1" t="s">
        <v>1630</v>
      </c>
      <c r="BJT1" t="s">
        <v>1631</v>
      </c>
      <c r="BJU1" t="s">
        <v>1632</v>
      </c>
      <c r="BJV1" t="s">
        <v>1633</v>
      </c>
      <c r="BJW1" t="s">
        <v>1634</v>
      </c>
      <c r="BJX1" t="s">
        <v>1635</v>
      </c>
      <c r="BJY1" t="s">
        <v>1636</v>
      </c>
      <c r="BJZ1" t="s">
        <v>1637</v>
      </c>
      <c r="BKA1" t="s">
        <v>1638</v>
      </c>
      <c r="BKB1" t="s">
        <v>1639</v>
      </c>
      <c r="BKC1" t="s">
        <v>1640</v>
      </c>
      <c r="BKD1" t="s">
        <v>1641</v>
      </c>
      <c r="BKE1" t="s">
        <v>1642</v>
      </c>
      <c r="BKF1" t="s">
        <v>1643</v>
      </c>
      <c r="BKG1" t="s">
        <v>1644</v>
      </c>
      <c r="BKH1" t="s">
        <v>1645</v>
      </c>
      <c r="BKI1" t="s">
        <v>1646</v>
      </c>
      <c r="BKJ1" t="s">
        <v>1647</v>
      </c>
      <c r="BKK1" t="s">
        <v>1648</v>
      </c>
      <c r="BKL1" t="s">
        <v>1649</v>
      </c>
      <c r="BKM1" t="s">
        <v>1650</v>
      </c>
      <c r="BKN1" t="s">
        <v>1651</v>
      </c>
      <c r="BKO1" t="s">
        <v>1652</v>
      </c>
      <c r="BKP1" t="s">
        <v>1653</v>
      </c>
      <c r="BKQ1" t="s">
        <v>1654</v>
      </c>
      <c r="BKR1" t="s">
        <v>1655</v>
      </c>
      <c r="BKS1" t="s">
        <v>1656</v>
      </c>
      <c r="BKT1" t="s">
        <v>1657</v>
      </c>
      <c r="BKU1" t="s">
        <v>1658</v>
      </c>
      <c r="BKV1" t="s">
        <v>1659</v>
      </c>
      <c r="BKW1" t="s">
        <v>1660</v>
      </c>
      <c r="BKX1" t="s">
        <v>1661</v>
      </c>
      <c r="BKY1" t="s">
        <v>1662</v>
      </c>
      <c r="BKZ1" t="s">
        <v>1663</v>
      </c>
      <c r="BLA1" t="s">
        <v>1664</v>
      </c>
      <c r="BLB1" t="s">
        <v>1665</v>
      </c>
      <c r="BLC1" t="s">
        <v>1666</v>
      </c>
      <c r="BLD1" t="s">
        <v>1667</v>
      </c>
      <c r="BLE1" t="s">
        <v>1668</v>
      </c>
      <c r="BLF1" t="s">
        <v>1669</v>
      </c>
      <c r="BLG1" t="s">
        <v>1670</v>
      </c>
      <c r="BLH1" t="s">
        <v>1671</v>
      </c>
      <c r="BLI1" t="s">
        <v>1672</v>
      </c>
      <c r="BLJ1" t="s">
        <v>1673</v>
      </c>
      <c r="BLK1" t="s">
        <v>1674</v>
      </c>
      <c r="BLL1" t="s">
        <v>1675</v>
      </c>
      <c r="BLM1" t="s">
        <v>1676</v>
      </c>
      <c r="BLN1" t="s">
        <v>1677</v>
      </c>
      <c r="BLO1" t="s">
        <v>1678</v>
      </c>
      <c r="BLP1" t="s">
        <v>1679</v>
      </c>
      <c r="BLQ1" t="s">
        <v>1680</v>
      </c>
      <c r="BLR1" t="s">
        <v>1681</v>
      </c>
      <c r="BLS1" t="s">
        <v>1682</v>
      </c>
      <c r="BLT1" t="s">
        <v>1683</v>
      </c>
      <c r="BLU1" t="s">
        <v>1684</v>
      </c>
      <c r="BLV1" t="s">
        <v>1685</v>
      </c>
      <c r="BLW1" t="s">
        <v>1686</v>
      </c>
      <c r="BLX1" t="s">
        <v>1687</v>
      </c>
      <c r="BLY1" t="s">
        <v>1688</v>
      </c>
      <c r="BLZ1" t="s">
        <v>1689</v>
      </c>
      <c r="BMA1" t="s">
        <v>1690</v>
      </c>
      <c r="BMB1" t="s">
        <v>1691</v>
      </c>
      <c r="BMC1" t="s">
        <v>1692</v>
      </c>
      <c r="BMD1" t="s">
        <v>1693</v>
      </c>
      <c r="BME1" t="s">
        <v>1694</v>
      </c>
      <c r="BMF1" t="s">
        <v>1695</v>
      </c>
      <c r="BMG1" t="s">
        <v>1696</v>
      </c>
      <c r="BMH1" t="s">
        <v>1697</v>
      </c>
      <c r="BMI1" t="s">
        <v>1698</v>
      </c>
      <c r="BMJ1" t="s">
        <v>1699</v>
      </c>
      <c r="BMK1" t="s">
        <v>1700</v>
      </c>
      <c r="BML1" t="s">
        <v>1701</v>
      </c>
      <c r="BMM1" t="s">
        <v>1702</v>
      </c>
      <c r="BMN1" t="s">
        <v>1703</v>
      </c>
      <c r="BMO1" t="s">
        <v>1704</v>
      </c>
      <c r="BMP1" t="s">
        <v>1705</v>
      </c>
      <c r="BMQ1" t="s">
        <v>1706</v>
      </c>
      <c r="BMR1" t="s">
        <v>1707</v>
      </c>
      <c r="BMS1" t="s">
        <v>1708</v>
      </c>
      <c r="BMT1" t="s">
        <v>1709</v>
      </c>
      <c r="BMU1" t="s">
        <v>1710</v>
      </c>
      <c r="BMV1" t="s">
        <v>1711</v>
      </c>
      <c r="BMW1" t="s">
        <v>1712</v>
      </c>
      <c r="BMX1" t="s">
        <v>1713</v>
      </c>
      <c r="BMY1" t="s">
        <v>1714</v>
      </c>
      <c r="BMZ1" t="s">
        <v>1715</v>
      </c>
      <c r="BNA1" t="s">
        <v>1716</v>
      </c>
      <c r="BNB1" t="s">
        <v>1717</v>
      </c>
      <c r="BNC1" t="s">
        <v>1718</v>
      </c>
      <c r="BND1" t="s">
        <v>1719</v>
      </c>
      <c r="BNE1" t="s">
        <v>1720</v>
      </c>
      <c r="BNF1" t="s">
        <v>1721</v>
      </c>
      <c r="BNG1" t="s">
        <v>1722</v>
      </c>
      <c r="BNH1" t="s">
        <v>1723</v>
      </c>
      <c r="BNI1" t="s">
        <v>1724</v>
      </c>
      <c r="BNJ1" t="s">
        <v>1725</v>
      </c>
      <c r="BNK1" t="s">
        <v>1726</v>
      </c>
      <c r="BNL1" t="s">
        <v>1727</v>
      </c>
      <c r="BNM1" t="s">
        <v>1728</v>
      </c>
      <c r="BNN1" t="s">
        <v>1729</v>
      </c>
      <c r="BNO1" t="s">
        <v>1730</v>
      </c>
      <c r="BNP1" t="s">
        <v>1731</v>
      </c>
      <c r="BNQ1" t="s">
        <v>1732</v>
      </c>
      <c r="BNR1" t="s">
        <v>1733</v>
      </c>
      <c r="BNS1" t="s">
        <v>1734</v>
      </c>
      <c r="BNT1" t="s">
        <v>1735</v>
      </c>
      <c r="BNU1" t="s">
        <v>1736</v>
      </c>
      <c r="BNV1" t="s">
        <v>1737</v>
      </c>
      <c r="BNW1" t="s">
        <v>1738</v>
      </c>
      <c r="BNX1" t="s">
        <v>1739</v>
      </c>
      <c r="BNY1" t="s">
        <v>1740</v>
      </c>
      <c r="BNZ1" t="s">
        <v>1741</v>
      </c>
      <c r="BOA1" t="s">
        <v>1742</v>
      </c>
      <c r="BOB1" t="s">
        <v>1743</v>
      </c>
      <c r="BOC1" t="s">
        <v>1744</v>
      </c>
      <c r="BOD1" t="s">
        <v>1745</v>
      </c>
      <c r="BOE1" t="s">
        <v>1746</v>
      </c>
      <c r="BOF1" t="s">
        <v>1747</v>
      </c>
      <c r="BOG1" t="s">
        <v>1748</v>
      </c>
      <c r="BOH1" t="s">
        <v>1749</v>
      </c>
      <c r="BOI1" t="s">
        <v>1750</v>
      </c>
      <c r="BOJ1" t="s">
        <v>1751</v>
      </c>
      <c r="BOK1" t="s">
        <v>1752</v>
      </c>
      <c r="BOL1" t="s">
        <v>1753</v>
      </c>
      <c r="BOM1" t="s">
        <v>1754</v>
      </c>
      <c r="BON1" t="s">
        <v>1755</v>
      </c>
      <c r="BOO1" t="s">
        <v>1756</v>
      </c>
      <c r="BOP1" t="s">
        <v>1757</v>
      </c>
      <c r="BOQ1" t="s">
        <v>1758</v>
      </c>
      <c r="BOR1" t="s">
        <v>1759</v>
      </c>
      <c r="BOS1" t="s">
        <v>1760</v>
      </c>
      <c r="BOT1" t="s">
        <v>1761</v>
      </c>
      <c r="BOU1" t="s">
        <v>1762</v>
      </c>
      <c r="BOV1" t="s">
        <v>1763</v>
      </c>
      <c r="BOW1" t="s">
        <v>1764</v>
      </c>
      <c r="BOX1" t="s">
        <v>1765</v>
      </c>
      <c r="BOY1" t="s">
        <v>1766</v>
      </c>
      <c r="BOZ1" t="s">
        <v>1767</v>
      </c>
      <c r="BPA1" t="s">
        <v>1768</v>
      </c>
      <c r="BPB1" t="s">
        <v>1769</v>
      </c>
      <c r="BPC1" t="s">
        <v>1770</v>
      </c>
      <c r="BPD1" t="s">
        <v>1771</v>
      </c>
      <c r="BPE1" t="s">
        <v>1772</v>
      </c>
      <c r="BPF1" t="s">
        <v>1773</v>
      </c>
      <c r="BPG1" t="s">
        <v>1774</v>
      </c>
      <c r="BPH1" t="s">
        <v>1775</v>
      </c>
      <c r="BPI1" t="s">
        <v>1776</v>
      </c>
      <c r="BPJ1" t="s">
        <v>1777</v>
      </c>
      <c r="BPK1" t="s">
        <v>1778</v>
      </c>
      <c r="BPL1" t="s">
        <v>1779</v>
      </c>
      <c r="BPM1" t="s">
        <v>1780</v>
      </c>
      <c r="BPN1" t="s">
        <v>1781</v>
      </c>
      <c r="BPO1" t="s">
        <v>1782</v>
      </c>
      <c r="BPP1" t="s">
        <v>1783</v>
      </c>
      <c r="BPQ1" t="s">
        <v>1784</v>
      </c>
      <c r="BPR1" t="s">
        <v>1785</v>
      </c>
      <c r="BPS1" t="s">
        <v>1786</v>
      </c>
      <c r="BPT1" t="s">
        <v>1787</v>
      </c>
      <c r="BPU1" t="s">
        <v>1788</v>
      </c>
      <c r="BPV1" t="s">
        <v>1789</v>
      </c>
      <c r="BPW1" t="s">
        <v>1790</v>
      </c>
      <c r="BPX1" t="s">
        <v>1791</v>
      </c>
      <c r="BPY1" t="s">
        <v>1792</v>
      </c>
      <c r="BPZ1" t="s">
        <v>1793</v>
      </c>
      <c r="BQA1" t="s">
        <v>1794</v>
      </c>
      <c r="BQB1" t="s">
        <v>1795</v>
      </c>
      <c r="BQC1" t="s">
        <v>1796</v>
      </c>
      <c r="BQD1" t="s">
        <v>1797</v>
      </c>
      <c r="BQE1" t="s">
        <v>1798</v>
      </c>
      <c r="BQF1" t="s">
        <v>1799</v>
      </c>
      <c r="BQG1" t="s">
        <v>1800</v>
      </c>
      <c r="BQH1" t="s">
        <v>1801</v>
      </c>
      <c r="BQI1" t="s">
        <v>1802</v>
      </c>
      <c r="BQJ1" t="s">
        <v>1803</v>
      </c>
      <c r="BQK1" t="s">
        <v>1804</v>
      </c>
      <c r="BQL1" t="s">
        <v>1805</v>
      </c>
      <c r="BQM1" t="s">
        <v>1806</v>
      </c>
      <c r="BQN1" t="s">
        <v>1807</v>
      </c>
      <c r="BQO1" t="s">
        <v>1808</v>
      </c>
      <c r="BQP1" t="s">
        <v>1809</v>
      </c>
      <c r="BQQ1" t="s">
        <v>1810</v>
      </c>
      <c r="BQR1" t="s">
        <v>1811</v>
      </c>
      <c r="BQS1" t="s">
        <v>1812</v>
      </c>
      <c r="BQT1" t="s">
        <v>1813</v>
      </c>
      <c r="BQU1" t="s">
        <v>1814</v>
      </c>
      <c r="BQV1" t="s">
        <v>1815</v>
      </c>
      <c r="BQW1" t="s">
        <v>1816</v>
      </c>
      <c r="BQX1" t="s">
        <v>1817</v>
      </c>
      <c r="BQY1" t="s">
        <v>1818</v>
      </c>
      <c r="BQZ1" t="s">
        <v>1819</v>
      </c>
      <c r="BRA1" t="s">
        <v>1820</v>
      </c>
      <c r="BRB1" t="s">
        <v>1821</v>
      </c>
      <c r="BRC1" t="s">
        <v>1822</v>
      </c>
      <c r="BRD1" t="s">
        <v>1823</v>
      </c>
      <c r="BRE1" t="s">
        <v>1824</v>
      </c>
      <c r="BRF1" t="s">
        <v>1825</v>
      </c>
      <c r="BRG1" t="s">
        <v>1826</v>
      </c>
      <c r="BRH1" t="s">
        <v>1827</v>
      </c>
      <c r="BRI1" t="s">
        <v>1828</v>
      </c>
      <c r="BRJ1" t="s">
        <v>1829</v>
      </c>
      <c r="BRK1" t="s">
        <v>1830</v>
      </c>
      <c r="BRL1" t="s">
        <v>1831</v>
      </c>
      <c r="BRM1" t="s">
        <v>1832</v>
      </c>
      <c r="BRN1" t="s">
        <v>1833</v>
      </c>
      <c r="BRO1" t="s">
        <v>1834</v>
      </c>
      <c r="BRP1" t="s">
        <v>1835</v>
      </c>
      <c r="BRQ1" t="s">
        <v>1836</v>
      </c>
      <c r="BRR1" t="s">
        <v>1837</v>
      </c>
      <c r="BRS1" t="s">
        <v>1838</v>
      </c>
      <c r="BRT1" t="s">
        <v>1839</v>
      </c>
      <c r="BRU1" t="s">
        <v>1840</v>
      </c>
      <c r="BRV1" t="s">
        <v>1841</v>
      </c>
      <c r="BRW1" t="s">
        <v>1842</v>
      </c>
      <c r="BRX1" t="s">
        <v>1843</v>
      </c>
      <c r="BRY1" t="s">
        <v>1844</v>
      </c>
      <c r="BRZ1" t="s">
        <v>1845</v>
      </c>
      <c r="BSA1" t="s">
        <v>1846</v>
      </c>
      <c r="BSB1" t="s">
        <v>1847</v>
      </c>
      <c r="BSC1" t="s">
        <v>1848</v>
      </c>
      <c r="BSD1" t="s">
        <v>1849</v>
      </c>
      <c r="BSE1" t="s">
        <v>1850</v>
      </c>
      <c r="BSF1" t="s">
        <v>1851</v>
      </c>
      <c r="BSG1" t="s">
        <v>1852</v>
      </c>
      <c r="BSH1" t="s">
        <v>1853</v>
      </c>
      <c r="BSI1" t="s">
        <v>1854</v>
      </c>
      <c r="BSJ1" t="s">
        <v>1855</v>
      </c>
      <c r="BSK1" t="s">
        <v>1856</v>
      </c>
      <c r="BSL1" t="s">
        <v>1857</v>
      </c>
      <c r="BSM1" t="s">
        <v>1858</v>
      </c>
      <c r="BSN1" t="s">
        <v>1859</v>
      </c>
      <c r="BSO1" t="s">
        <v>1860</v>
      </c>
      <c r="BSP1" t="s">
        <v>1861</v>
      </c>
      <c r="BSQ1" t="s">
        <v>1862</v>
      </c>
      <c r="BSR1" t="s">
        <v>1863</v>
      </c>
      <c r="BSS1" t="s">
        <v>1864</v>
      </c>
      <c r="BST1" t="s">
        <v>1865</v>
      </c>
      <c r="BSU1" t="s">
        <v>1866</v>
      </c>
      <c r="BSV1" t="s">
        <v>1867</v>
      </c>
      <c r="BSW1" t="s">
        <v>1868</v>
      </c>
      <c r="BSX1" t="s">
        <v>1869</v>
      </c>
      <c r="BSY1" t="s">
        <v>1870</v>
      </c>
      <c r="BSZ1" t="s">
        <v>1871</v>
      </c>
      <c r="BTA1" t="s">
        <v>1872</v>
      </c>
      <c r="BTB1" t="s">
        <v>1873</v>
      </c>
      <c r="BTC1" t="s">
        <v>1874</v>
      </c>
      <c r="BTD1" t="s">
        <v>1875</v>
      </c>
      <c r="BTE1" t="s">
        <v>1876</v>
      </c>
      <c r="BTF1" t="s">
        <v>1877</v>
      </c>
      <c r="BTG1" t="s">
        <v>1878</v>
      </c>
      <c r="BTH1" t="s">
        <v>1879</v>
      </c>
      <c r="BTI1" t="s">
        <v>1880</v>
      </c>
      <c r="BTJ1" t="s">
        <v>1881</v>
      </c>
      <c r="BTK1" t="s">
        <v>1882</v>
      </c>
      <c r="BTL1" t="s">
        <v>1883</v>
      </c>
      <c r="BTM1" t="s">
        <v>1884</v>
      </c>
      <c r="BTN1" t="s">
        <v>1885</v>
      </c>
      <c r="BTO1" t="s">
        <v>1886</v>
      </c>
      <c r="BTP1" t="s">
        <v>1887</v>
      </c>
      <c r="BTQ1" t="s">
        <v>1888</v>
      </c>
      <c r="BTR1" t="s">
        <v>1889</v>
      </c>
      <c r="BTS1" t="s">
        <v>1890</v>
      </c>
      <c r="BTT1" t="s">
        <v>1891</v>
      </c>
      <c r="BTU1" t="s">
        <v>1892</v>
      </c>
      <c r="BTV1" t="s">
        <v>1893</v>
      </c>
      <c r="BTW1" t="s">
        <v>1894</v>
      </c>
      <c r="BTX1" t="s">
        <v>1895</v>
      </c>
      <c r="BTY1" t="s">
        <v>1896</v>
      </c>
      <c r="BTZ1" t="s">
        <v>1897</v>
      </c>
      <c r="BUA1" t="s">
        <v>1898</v>
      </c>
      <c r="BUB1" t="s">
        <v>1899</v>
      </c>
      <c r="BUC1" t="s">
        <v>1900</v>
      </c>
      <c r="BUD1" t="s">
        <v>1901</v>
      </c>
      <c r="BUE1" t="s">
        <v>1902</v>
      </c>
      <c r="BUF1" t="s">
        <v>1903</v>
      </c>
      <c r="BUG1" t="s">
        <v>1904</v>
      </c>
      <c r="BUH1" t="s">
        <v>1905</v>
      </c>
      <c r="BUI1" t="s">
        <v>1906</v>
      </c>
      <c r="BUJ1" t="s">
        <v>1907</v>
      </c>
      <c r="BUK1" t="s">
        <v>1908</v>
      </c>
      <c r="BUL1" t="s">
        <v>1909</v>
      </c>
      <c r="BUM1" t="s">
        <v>1910</v>
      </c>
      <c r="BUN1" t="s">
        <v>1911</v>
      </c>
      <c r="BUO1" t="s">
        <v>1912</v>
      </c>
      <c r="BUP1" t="s">
        <v>1913</v>
      </c>
      <c r="BUQ1" t="s">
        <v>1914</v>
      </c>
      <c r="BUR1" t="s">
        <v>1915</v>
      </c>
      <c r="BUS1" t="s">
        <v>1916</v>
      </c>
      <c r="BUT1" t="s">
        <v>1917</v>
      </c>
      <c r="BUU1" t="s">
        <v>1918</v>
      </c>
      <c r="BUV1" t="s">
        <v>1919</v>
      </c>
      <c r="BUW1" t="s">
        <v>1920</v>
      </c>
      <c r="BUX1" t="s">
        <v>1921</v>
      </c>
      <c r="BUY1" t="s">
        <v>1922</v>
      </c>
      <c r="BUZ1" t="s">
        <v>1923</v>
      </c>
      <c r="BVA1" t="s">
        <v>1924</v>
      </c>
      <c r="BVB1" t="s">
        <v>1925</v>
      </c>
      <c r="BVC1" t="s">
        <v>1926</v>
      </c>
      <c r="BVD1" t="s">
        <v>1927</v>
      </c>
      <c r="BVE1" t="s">
        <v>1928</v>
      </c>
      <c r="BVF1" t="s">
        <v>1929</v>
      </c>
      <c r="BVG1" t="s">
        <v>1930</v>
      </c>
      <c r="BVH1" t="s">
        <v>1931</v>
      </c>
      <c r="BVI1" t="s">
        <v>1932</v>
      </c>
      <c r="BVJ1" t="s">
        <v>1933</v>
      </c>
      <c r="BVK1" t="s">
        <v>1934</v>
      </c>
      <c r="BVL1" t="s">
        <v>1935</v>
      </c>
      <c r="BVM1" t="s">
        <v>1936</v>
      </c>
      <c r="BVN1" t="s">
        <v>1937</v>
      </c>
      <c r="BVO1" t="s">
        <v>1938</v>
      </c>
      <c r="BVP1" t="s">
        <v>1939</v>
      </c>
      <c r="BVQ1" t="s">
        <v>1940</v>
      </c>
      <c r="BVR1" t="s">
        <v>1941</v>
      </c>
      <c r="BVS1" t="s">
        <v>1942</v>
      </c>
      <c r="BVT1" t="s">
        <v>1943</v>
      </c>
      <c r="BVU1" t="s">
        <v>1944</v>
      </c>
      <c r="BVV1" t="s">
        <v>1945</v>
      </c>
      <c r="BVW1" t="s">
        <v>1946</v>
      </c>
      <c r="BVX1" t="s">
        <v>1947</v>
      </c>
      <c r="BVY1" t="s">
        <v>1948</v>
      </c>
      <c r="BVZ1" t="s">
        <v>1949</v>
      </c>
      <c r="BWA1" t="s">
        <v>1950</v>
      </c>
      <c r="BWB1" t="s">
        <v>1951</v>
      </c>
      <c r="BWC1" t="s">
        <v>1952</v>
      </c>
      <c r="BWD1" t="s">
        <v>1953</v>
      </c>
      <c r="BWE1" t="s">
        <v>1954</v>
      </c>
      <c r="BWF1" t="s">
        <v>1955</v>
      </c>
      <c r="BWG1" t="s">
        <v>1956</v>
      </c>
      <c r="BWH1" t="s">
        <v>1957</v>
      </c>
      <c r="BWI1" t="s">
        <v>1958</v>
      </c>
      <c r="BWJ1" t="s">
        <v>1959</v>
      </c>
      <c r="BWK1" t="s">
        <v>1960</v>
      </c>
      <c r="BWL1" t="s">
        <v>1961</v>
      </c>
      <c r="BWM1" t="s">
        <v>1962</v>
      </c>
      <c r="BWN1" t="s">
        <v>1963</v>
      </c>
      <c r="BWO1" t="s">
        <v>1964</v>
      </c>
      <c r="BWP1" t="s">
        <v>1965</v>
      </c>
      <c r="BWQ1" t="s">
        <v>1966</v>
      </c>
      <c r="BWR1" t="s">
        <v>1967</v>
      </c>
      <c r="BWS1" t="s">
        <v>1968</v>
      </c>
      <c r="BWT1" t="s">
        <v>1969</v>
      </c>
      <c r="BWU1" t="s">
        <v>1970</v>
      </c>
      <c r="BWV1" t="s">
        <v>1971</v>
      </c>
      <c r="BWW1" t="s">
        <v>1972</v>
      </c>
      <c r="BWX1" t="s">
        <v>1973</v>
      </c>
      <c r="BWY1" t="s">
        <v>1974</v>
      </c>
      <c r="BWZ1" t="s">
        <v>1975</v>
      </c>
      <c r="BXA1" t="s">
        <v>1976</v>
      </c>
      <c r="BXB1" t="s">
        <v>1977</v>
      </c>
      <c r="BXC1" t="s">
        <v>1978</v>
      </c>
      <c r="BXD1" t="s">
        <v>1979</v>
      </c>
      <c r="BXE1" t="s">
        <v>1980</v>
      </c>
      <c r="BXF1" t="s">
        <v>1981</v>
      </c>
      <c r="BXG1" t="s">
        <v>1982</v>
      </c>
      <c r="BXH1" t="s">
        <v>1983</v>
      </c>
      <c r="BXI1" t="s">
        <v>1984</v>
      </c>
      <c r="BXJ1" t="s">
        <v>1985</v>
      </c>
      <c r="BXK1" t="s">
        <v>1986</v>
      </c>
      <c r="BXL1" t="s">
        <v>1987</v>
      </c>
      <c r="BXM1" t="s">
        <v>1988</v>
      </c>
      <c r="BXN1" t="s">
        <v>1989</v>
      </c>
      <c r="BXO1" t="s">
        <v>1990</v>
      </c>
      <c r="BXP1" t="s">
        <v>1991</v>
      </c>
      <c r="BXQ1" t="s">
        <v>1992</v>
      </c>
      <c r="BXR1" t="s">
        <v>1993</v>
      </c>
      <c r="BXS1" t="s">
        <v>1994</v>
      </c>
      <c r="BXT1" t="s">
        <v>1995</v>
      </c>
      <c r="BXU1" t="s">
        <v>1996</v>
      </c>
      <c r="BXV1" t="s">
        <v>1997</v>
      </c>
      <c r="BXW1" t="s">
        <v>1998</v>
      </c>
      <c r="BXX1" t="s">
        <v>1999</v>
      </c>
      <c r="BXY1" t="s">
        <v>2000</v>
      </c>
      <c r="BXZ1" t="s">
        <v>2001</v>
      </c>
      <c r="BYA1" t="s">
        <v>2002</v>
      </c>
      <c r="BYB1" t="s">
        <v>2003</v>
      </c>
      <c r="BYC1" t="s">
        <v>2004</v>
      </c>
      <c r="BYD1" t="s">
        <v>2005</v>
      </c>
      <c r="BYE1" t="s">
        <v>2006</v>
      </c>
      <c r="BYF1" t="s">
        <v>2007</v>
      </c>
      <c r="BYG1" t="s">
        <v>2008</v>
      </c>
      <c r="BYH1" t="s">
        <v>2009</v>
      </c>
      <c r="BYI1" t="s">
        <v>2010</v>
      </c>
      <c r="BYJ1" t="s">
        <v>2011</v>
      </c>
      <c r="BYK1" t="s">
        <v>2012</v>
      </c>
      <c r="BYL1" t="s">
        <v>2013</v>
      </c>
      <c r="BYM1" t="s">
        <v>2014</v>
      </c>
      <c r="BYN1" t="s">
        <v>2015</v>
      </c>
      <c r="BYO1" t="s">
        <v>2016</v>
      </c>
      <c r="BYP1" t="s">
        <v>2017</v>
      </c>
      <c r="BYQ1" t="s">
        <v>2018</v>
      </c>
      <c r="BYR1" t="s">
        <v>2019</v>
      </c>
      <c r="BYS1" t="s">
        <v>2020</v>
      </c>
      <c r="BYT1" t="s">
        <v>2021</v>
      </c>
      <c r="BYU1" t="s">
        <v>2022</v>
      </c>
      <c r="BYV1" t="s">
        <v>2023</v>
      </c>
      <c r="BYW1" t="s">
        <v>2024</v>
      </c>
      <c r="BYX1" t="s">
        <v>2025</v>
      </c>
      <c r="BYY1" t="s">
        <v>2026</v>
      </c>
      <c r="BYZ1" t="s">
        <v>2027</v>
      </c>
      <c r="BZA1" t="s">
        <v>2028</v>
      </c>
      <c r="BZB1" t="s">
        <v>2029</v>
      </c>
      <c r="BZC1" t="s">
        <v>2030</v>
      </c>
      <c r="BZD1" t="s">
        <v>2031</v>
      </c>
      <c r="BZE1" t="s">
        <v>2032</v>
      </c>
      <c r="BZF1" t="s">
        <v>2033</v>
      </c>
      <c r="BZG1" t="s">
        <v>2034</v>
      </c>
      <c r="BZH1" t="s">
        <v>2035</v>
      </c>
      <c r="BZI1" t="s">
        <v>2036</v>
      </c>
      <c r="BZJ1" t="s">
        <v>2037</v>
      </c>
      <c r="BZK1" t="s">
        <v>2038</v>
      </c>
      <c r="BZL1" t="s">
        <v>2039</v>
      </c>
      <c r="BZM1" t="s">
        <v>2040</v>
      </c>
      <c r="BZN1" t="s">
        <v>2041</v>
      </c>
      <c r="BZO1" t="s">
        <v>2042</v>
      </c>
      <c r="BZP1" t="s">
        <v>2043</v>
      </c>
      <c r="BZQ1" t="s">
        <v>2044</v>
      </c>
      <c r="BZR1" t="s">
        <v>2045</v>
      </c>
      <c r="BZS1" t="s">
        <v>2046</v>
      </c>
      <c r="BZT1" t="s">
        <v>2047</v>
      </c>
      <c r="BZU1" t="s">
        <v>2048</v>
      </c>
      <c r="BZV1" t="s">
        <v>2049</v>
      </c>
      <c r="BZW1" t="s">
        <v>2050</v>
      </c>
      <c r="BZX1" t="s">
        <v>2051</v>
      </c>
      <c r="BZY1" t="s">
        <v>2052</v>
      </c>
      <c r="BZZ1" t="s">
        <v>2053</v>
      </c>
      <c r="CAA1" t="s">
        <v>2054</v>
      </c>
      <c r="CAB1" t="s">
        <v>2055</v>
      </c>
      <c r="CAC1" t="s">
        <v>2056</v>
      </c>
      <c r="CAD1" t="s">
        <v>2057</v>
      </c>
      <c r="CAE1" t="s">
        <v>2058</v>
      </c>
      <c r="CAF1" t="s">
        <v>2059</v>
      </c>
      <c r="CAG1" t="s">
        <v>2060</v>
      </c>
      <c r="CAH1" t="s">
        <v>2061</v>
      </c>
      <c r="CAI1" t="s">
        <v>2062</v>
      </c>
      <c r="CAJ1" t="s">
        <v>2063</v>
      </c>
      <c r="CAK1" t="s">
        <v>2064</v>
      </c>
      <c r="CAL1" t="s">
        <v>2065</v>
      </c>
      <c r="CAM1" t="s">
        <v>2066</v>
      </c>
      <c r="CAN1" t="s">
        <v>2067</v>
      </c>
      <c r="CAO1" t="s">
        <v>2068</v>
      </c>
      <c r="CAP1" t="s">
        <v>2069</v>
      </c>
      <c r="CAQ1" t="s">
        <v>2070</v>
      </c>
      <c r="CAR1" t="s">
        <v>2071</v>
      </c>
      <c r="CAS1" t="s">
        <v>2072</v>
      </c>
      <c r="CAT1" t="s">
        <v>2073</v>
      </c>
      <c r="CAU1" t="s">
        <v>2074</v>
      </c>
      <c r="CAV1" t="s">
        <v>2075</v>
      </c>
      <c r="CAW1" t="s">
        <v>2076</v>
      </c>
      <c r="CAX1" t="s">
        <v>2077</v>
      </c>
      <c r="CAY1" t="s">
        <v>2078</v>
      </c>
      <c r="CAZ1" t="s">
        <v>2079</v>
      </c>
      <c r="CBA1" t="s">
        <v>2080</v>
      </c>
      <c r="CBB1" t="s">
        <v>2081</v>
      </c>
      <c r="CBC1" t="s">
        <v>2082</v>
      </c>
      <c r="CBD1" t="s">
        <v>2083</v>
      </c>
      <c r="CBE1" t="s">
        <v>2084</v>
      </c>
      <c r="CBF1" t="s">
        <v>2085</v>
      </c>
      <c r="CBG1" t="s">
        <v>2086</v>
      </c>
      <c r="CBH1" t="s">
        <v>2087</v>
      </c>
      <c r="CBI1" t="s">
        <v>2088</v>
      </c>
      <c r="CBJ1" t="s">
        <v>2089</v>
      </c>
      <c r="CBK1" t="s">
        <v>2090</v>
      </c>
      <c r="CBL1" t="s">
        <v>2091</v>
      </c>
      <c r="CBM1" t="s">
        <v>2092</v>
      </c>
      <c r="CBN1" t="s">
        <v>2093</v>
      </c>
      <c r="CBO1" t="s">
        <v>2094</v>
      </c>
      <c r="CBP1" t="s">
        <v>2095</v>
      </c>
      <c r="CBQ1" t="s">
        <v>2096</v>
      </c>
      <c r="CBR1" t="s">
        <v>2097</v>
      </c>
      <c r="CBS1" t="s">
        <v>2098</v>
      </c>
      <c r="CBT1" t="s">
        <v>2099</v>
      </c>
      <c r="CBU1" t="s">
        <v>2100</v>
      </c>
      <c r="CBV1" t="s">
        <v>2101</v>
      </c>
      <c r="CBW1" t="s">
        <v>2102</v>
      </c>
      <c r="CBX1" t="s">
        <v>2103</v>
      </c>
      <c r="CBY1" t="s">
        <v>2104</v>
      </c>
      <c r="CBZ1" t="s">
        <v>2105</v>
      </c>
      <c r="CCA1" t="s">
        <v>2106</v>
      </c>
      <c r="CCB1" t="s">
        <v>2107</v>
      </c>
      <c r="CCC1" t="s">
        <v>2108</v>
      </c>
      <c r="CCD1" t="s">
        <v>2109</v>
      </c>
      <c r="CCE1" t="s">
        <v>2110</v>
      </c>
      <c r="CCF1" t="s">
        <v>2111</v>
      </c>
      <c r="CCG1" t="s">
        <v>2112</v>
      </c>
      <c r="CCH1" t="s">
        <v>2113</v>
      </c>
      <c r="CCI1" t="s">
        <v>2114</v>
      </c>
      <c r="CCJ1" t="s">
        <v>2115</v>
      </c>
      <c r="CCK1" t="s">
        <v>2116</v>
      </c>
      <c r="CCL1" t="s">
        <v>2117</v>
      </c>
      <c r="CCM1" t="s">
        <v>2118</v>
      </c>
      <c r="CCN1" t="s">
        <v>2119</v>
      </c>
      <c r="CCO1" t="s">
        <v>2120</v>
      </c>
      <c r="CCP1" t="s">
        <v>2121</v>
      </c>
      <c r="CCQ1" t="s">
        <v>2122</v>
      </c>
      <c r="CCR1" t="s">
        <v>2123</v>
      </c>
      <c r="CCS1" t="s">
        <v>2124</v>
      </c>
      <c r="CCT1" t="s">
        <v>2125</v>
      </c>
      <c r="CCU1" t="s">
        <v>2126</v>
      </c>
      <c r="CCV1" t="s">
        <v>2127</v>
      </c>
      <c r="CCW1" t="s">
        <v>2128</v>
      </c>
      <c r="CCX1" t="s">
        <v>2129</v>
      </c>
      <c r="CCY1" t="s">
        <v>2130</v>
      </c>
      <c r="CCZ1" t="s">
        <v>2131</v>
      </c>
      <c r="CDA1" t="s">
        <v>2132</v>
      </c>
      <c r="CDB1" t="s">
        <v>2133</v>
      </c>
      <c r="CDC1" t="s">
        <v>2134</v>
      </c>
      <c r="CDD1" t="s">
        <v>2135</v>
      </c>
      <c r="CDE1" t="s">
        <v>2136</v>
      </c>
      <c r="CDF1" t="s">
        <v>2137</v>
      </c>
      <c r="CDG1" t="s">
        <v>2138</v>
      </c>
      <c r="CDH1" t="s">
        <v>2139</v>
      </c>
      <c r="CDI1" t="s">
        <v>2140</v>
      </c>
      <c r="CDJ1" t="s">
        <v>2141</v>
      </c>
      <c r="CDK1" t="s">
        <v>2142</v>
      </c>
      <c r="CDL1" t="s">
        <v>2143</v>
      </c>
      <c r="CDM1" t="s">
        <v>2144</v>
      </c>
      <c r="CDN1" t="s">
        <v>2145</v>
      </c>
      <c r="CDO1" t="s">
        <v>2146</v>
      </c>
      <c r="CDP1" t="s">
        <v>2147</v>
      </c>
      <c r="CDQ1" t="s">
        <v>2148</v>
      </c>
      <c r="CDR1" t="s">
        <v>2149</v>
      </c>
      <c r="CDS1" t="s">
        <v>2150</v>
      </c>
      <c r="CDT1" t="s">
        <v>2151</v>
      </c>
      <c r="CDU1" t="s">
        <v>2152</v>
      </c>
      <c r="CDV1" t="s">
        <v>2153</v>
      </c>
      <c r="CDW1" t="s">
        <v>2154</v>
      </c>
      <c r="CDX1" t="s">
        <v>2155</v>
      </c>
      <c r="CDY1" t="s">
        <v>2156</v>
      </c>
      <c r="CDZ1" t="s">
        <v>2157</v>
      </c>
      <c r="CEA1" t="s">
        <v>2158</v>
      </c>
      <c r="CEB1" t="s">
        <v>2159</v>
      </c>
      <c r="CEC1" t="s">
        <v>2160</v>
      </c>
      <c r="CED1" t="s">
        <v>2161</v>
      </c>
      <c r="CEE1" t="s">
        <v>2162</v>
      </c>
      <c r="CEF1" t="s">
        <v>2163</v>
      </c>
      <c r="CEG1" t="s">
        <v>2164</v>
      </c>
      <c r="CEH1" t="s">
        <v>2165</v>
      </c>
      <c r="CEI1" t="s">
        <v>2166</v>
      </c>
      <c r="CEJ1" t="s">
        <v>2167</v>
      </c>
      <c r="CEK1" t="s">
        <v>2168</v>
      </c>
      <c r="CEL1" t="s">
        <v>2169</v>
      </c>
      <c r="CEM1" t="s">
        <v>2170</v>
      </c>
      <c r="CEN1" t="s">
        <v>2171</v>
      </c>
      <c r="CEO1" t="s">
        <v>2172</v>
      </c>
      <c r="CEP1" t="s">
        <v>2173</v>
      </c>
      <c r="CEQ1" t="s">
        <v>2174</v>
      </c>
      <c r="CER1" t="s">
        <v>2175</v>
      </c>
      <c r="CES1" t="s">
        <v>2176</v>
      </c>
      <c r="CET1" t="s">
        <v>2177</v>
      </c>
      <c r="CEU1" t="s">
        <v>2178</v>
      </c>
      <c r="CEV1" t="s">
        <v>2179</v>
      </c>
      <c r="CEW1" t="s">
        <v>2180</v>
      </c>
      <c r="CEX1" t="s">
        <v>2181</v>
      </c>
      <c r="CEY1" t="s">
        <v>2182</v>
      </c>
      <c r="CEZ1" t="s">
        <v>2183</v>
      </c>
      <c r="CFA1" t="s">
        <v>2184</v>
      </c>
      <c r="CFB1" t="s">
        <v>2185</v>
      </c>
      <c r="CFC1" t="s">
        <v>2186</v>
      </c>
      <c r="CFD1" t="s">
        <v>2187</v>
      </c>
      <c r="CFE1" t="s">
        <v>2188</v>
      </c>
      <c r="CFF1" t="s">
        <v>2189</v>
      </c>
      <c r="CFG1" t="s">
        <v>2190</v>
      </c>
      <c r="CFH1" t="s">
        <v>2191</v>
      </c>
      <c r="CFI1" t="s">
        <v>2192</v>
      </c>
      <c r="CFJ1" t="s">
        <v>2193</v>
      </c>
      <c r="CFK1" t="s">
        <v>2194</v>
      </c>
      <c r="CFL1" t="s">
        <v>2195</v>
      </c>
      <c r="CFM1" t="s">
        <v>2196</v>
      </c>
      <c r="CFN1" t="s">
        <v>2197</v>
      </c>
      <c r="CFO1" t="s">
        <v>2198</v>
      </c>
      <c r="CFP1" t="s">
        <v>2199</v>
      </c>
      <c r="CFQ1" t="s">
        <v>2200</v>
      </c>
      <c r="CFR1" t="s">
        <v>2201</v>
      </c>
      <c r="CFS1" t="s">
        <v>2202</v>
      </c>
      <c r="CFT1" t="s">
        <v>2203</v>
      </c>
      <c r="CFU1" t="s">
        <v>2204</v>
      </c>
      <c r="CFV1" t="s">
        <v>2205</v>
      </c>
      <c r="CFW1" t="s">
        <v>2206</v>
      </c>
      <c r="CFX1" t="s">
        <v>2207</v>
      </c>
      <c r="CFY1" t="s">
        <v>2208</v>
      </c>
      <c r="CFZ1" t="s">
        <v>2209</v>
      </c>
      <c r="CGA1" t="s">
        <v>2210</v>
      </c>
      <c r="CGB1" t="s">
        <v>2211</v>
      </c>
      <c r="CGC1" t="s">
        <v>2212</v>
      </c>
      <c r="CGD1" t="s">
        <v>2213</v>
      </c>
      <c r="CGE1" t="s">
        <v>2214</v>
      </c>
      <c r="CGF1" t="s">
        <v>2215</v>
      </c>
      <c r="CGG1" t="s">
        <v>2216</v>
      </c>
      <c r="CGH1" t="s">
        <v>2217</v>
      </c>
      <c r="CGI1" t="s">
        <v>2218</v>
      </c>
      <c r="CGJ1" t="s">
        <v>2219</v>
      </c>
      <c r="CGK1" t="s">
        <v>2220</v>
      </c>
      <c r="CGL1" t="s">
        <v>2221</v>
      </c>
      <c r="CGM1" t="s">
        <v>2222</v>
      </c>
      <c r="CGN1" t="s">
        <v>2223</v>
      </c>
      <c r="CGO1" t="s">
        <v>2224</v>
      </c>
      <c r="CGP1" t="s">
        <v>2225</v>
      </c>
      <c r="CGQ1" t="s">
        <v>2226</v>
      </c>
      <c r="CGR1" t="s">
        <v>2227</v>
      </c>
      <c r="CGS1" t="s">
        <v>2228</v>
      </c>
      <c r="CGT1" t="s">
        <v>2229</v>
      </c>
      <c r="CGU1" t="s">
        <v>2230</v>
      </c>
      <c r="CGV1" t="s">
        <v>2231</v>
      </c>
      <c r="CGW1" t="s">
        <v>2232</v>
      </c>
      <c r="CGX1" t="s">
        <v>2233</v>
      </c>
      <c r="CGY1" t="s">
        <v>2234</v>
      </c>
      <c r="CGZ1" t="s">
        <v>2235</v>
      </c>
      <c r="CHA1" t="s">
        <v>2236</v>
      </c>
      <c r="CHB1" t="s">
        <v>2237</v>
      </c>
      <c r="CHC1" t="s">
        <v>2238</v>
      </c>
      <c r="CHD1" t="s">
        <v>2239</v>
      </c>
      <c r="CHE1" t="s">
        <v>2240</v>
      </c>
      <c r="CHF1" t="s">
        <v>2241</v>
      </c>
      <c r="CHG1" t="s">
        <v>2242</v>
      </c>
      <c r="CHH1" t="s">
        <v>2243</v>
      </c>
      <c r="CHI1" t="s">
        <v>2244</v>
      </c>
      <c r="CHJ1" t="s">
        <v>2245</v>
      </c>
      <c r="CHK1" t="s">
        <v>2246</v>
      </c>
      <c r="CHL1" t="s">
        <v>2247</v>
      </c>
      <c r="CHM1" t="s">
        <v>2248</v>
      </c>
      <c r="CHN1" t="s">
        <v>2249</v>
      </c>
      <c r="CHO1" t="s">
        <v>2250</v>
      </c>
      <c r="CHP1" t="s">
        <v>2251</v>
      </c>
      <c r="CHQ1" t="s">
        <v>2252</v>
      </c>
      <c r="CHR1" t="s">
        <v>2253</v>
      </c>
      <c r="CHS1" t="s">
        <v>2254</v>
      </c>
      <c r="CHT1" t="s">
        <v>2255</v>
      </c>
      <c r="CHU1" t="s">
        <v>2256</v>
      </c>
      <c r="CHV1" t="s">
        <v>2257</v>
      </c>
      <c r="CHW1" t="s">
        <v>2258</v>
      </c>
      <c r="CHX1" t="s">
        <v>2259</v>
      </c>
      <c r="CHY1" t="s">
        <v>2260</v>
      </c>
      <c r="CHZ1" t="s">
        <v>2261</v>
      </c>
      <c r="CIA1" t="s">
        <v>2262</v>
      </c>
      <c r="CIB1" t="s">
        <v>2263</v>
      </c>
      <c r="CIC1" t="s">
        <v>2264</v>
      </c>
      <c r="CID1" t="s">
        <v>2265</v>
      </c>
      <c r="CIE1" t="s">
        <v>2266</v>
      </c>
      <c r="CIF1" t="s">
        <v>2267</v>
      </c>
      <c r="CIG1" t="s">
        <v>2268</v>
      </c>
      <c r="CIH1" t="s">
        <v>2269</v>
      </c>
      <c r="CII1" t="s">
        <v>2270</v>
      </c>
      <c r="CIJ1" t="s">
        <v>2271</v>
      </c>
      <c r="CIK1" t="s">
        <v>2272</v>
      </c>
      <c r="CIL1" t="s">
        <v>2273</v>
      </c>
      <c r="CIM1" t="s">
        <v>2274</v>
      </c>
      <c r="CIN1" t="s">
        <v>2275</v>
      </c>
      <c r="CIO1" t="s">
        <v>2276</v>
      </c>
      <c r="CIP1" t="s">
        <v>2277</v>
      </c>
      <c r="CIQ1" t="s">
        <v>2278</v>
      </c>
      <c r="CIR1" t="s">
        <v>2279</v>
      </c>
      <c r="CIS1" t="s">
        <v>2280</v>
      </c>
      <c r="CIT1" t="s">
        <v>2281</v>
      </c>
      <c r="CIU1" t="s">
        <v>2282</v>
      </c>
      <c r="CIV1" t="s">
        <v>2283</v>
      </c>
      <c r="CIW1" t="s">
        <v>2284</v>
      </c>
      <c r="CIX1" t="s">
        <v>2285</v>
      </c>
      <c r="CIY1" t="s">
        <v>2286</v>
      </c>
      <c r="CIZ1" t="s">
        <v>2287</v>
      </c>
      <c r="CJA1" t="s">
        <v>2288</v>
      </c>
      <c r="CJB1" t="s">
        <v>2289</v>
      </c>
      <c r="CJC1" t="s">
        <v>2290</v>
      </c>
      <c r="CJD1" t="s">
        <v>2291</v>
      </c>
      <c r="CJE1" t="s">
        <v>2292</v>
      </c>
      <c r="CJF1" t="s">
        <v>2293</v>
      </c>
      <c r="CJG1" t="s">
        <v>2294</v>
      </c>
      <c r="CJH1" t="s">
        <v>2295</v>
      </c>
      <c r="CJI1" t="s">
        <v>2296</v>
      </c>
      <c r="CJJ1" t="s">
        <v>2297</v>
      </c>
      <c r="CJK1" t="s">
        <v>2298</v>
      </c>
      <c r="CJL1" t="s">
        <v>2299</v>
      </c>
      <c r="CJM1" t="s">
        <v>2300</v>
      </c>
      <c r="CJN1" t="s">
        <v>2301</v>
      </c>
      <c r="CJO1" t="s">
        <v>2302</v>
      </c>
      <c r="CJP1" t="s">
        <v>2303</v>
      </c>
      <c r="CJQ1" t="s">
        <v>2304</v>
      </c>
      <c r="CJR1" t="s">
        <v>2305</v>
      </c>
      <c r="CJS1" t="s">
        <v>2306</v>
      </c>
      <c r="CJT1" t="s">
        <v>2307</v>
      </c>
      <c r="CJU1" t="s">
        <v>2308</v>
      </c>
      <c r="CJV1" t="s">
        <v>2309</v>
      </c>
      <c r="CJW1" t="s">
        <v>2310</v>
      </c>
      <c r="CJX1" t="s">
        <v>2311</v>
      </c>
      <c r="CJY1" t="s">
        <v>2312</v>
      </c>
      <c r="CJZ1" t="s">
        <v>2313</v>
      </c>
      <c r="CKA1" t="s">
        <v>2314</v>
      </c>
      <c r="CKB1" t="s">
        <v>2315</v>
      </c>
      <c r="CKC1" t="s">
        <v>2316</v>
      </c>
      <c r="CKD1" t="s">
        <v>2317</v>
      </c>
      <c r="CKE1" t="s">
        <v>2318</v>
      </c>
      <c r="CKF1" t="s">
        <v>2319</v>
      </c>
      <c r="CKG1" t="s">
        <v>2320</v>
      </c>
      <c r="CKH1" t="s">
        <v>2321</v>
      </c>
      <c r="CKI1" t="s">
        <v>2322</v>
      </c>
      <c r="CKJ1" t="s">
        <v>2323</v>
      </c>
      <c r="CKK1" t="s">
        <v>2324</v>
      </c>
      <c r="CKL1" t="s">
        <v>2325</v>
      </c>
      <c r="CKM1" t="s">
        <v>2326</v>
      </c>
      <c r="CKN1" t="s">
        <v>2327</v>
      </c>
      <c r="CKO1" t="s">
        <v>2328</v>
      </c>
      <c r="CKP1" t="s">
        <v>2329</v>
      </c>
      <c r="CKQ1" t="s">
        <v>2330</v>
      </c>
      <c r="CKR1" t="s">
        <v>2331</v>
      </c>
      <c r="CKS1" t="s">
        <v>2332</v>
      </c>
      <c r="CKT1" t="s">
        <v>2333</v>
      </c>
      <c r="CKU1" t="s">
        <v>2334</v>
      </c>
      <c r="CKV1" t="s">
        <v>2335</v>
      </c>
      <c r="CKW1" t="s">
        <v>2336</v>
      </c>
      <c r="CKX1" t="s">
        <v>2337</v>
      </c>
      <c r="CKY1" t="s">
        <v>2338</v>
      </c>
      <c r="CKZ1" t="s">
        <v>2339</v>
      </c>
      <c r="CLA1" t="s">
        <v>2340</v>
      </c>
      <c r="CLB1" t="s">
        <v>2341</v>
      </c>
      <c r="CLC1" t="s">
        <v>2342</v>
      </c>
      <c r="CLD1" t="s">
        <v>2343</v>
      </c>
      <c r="CLE1" t="s">
        <v>2344</v>
      </c>
      <c r="CLF1" t="s">
        <v>2345</v>
      </c>
      <c r="CLG1" t="s">
        <v>2346</v>
      </c>
      <c r="CLH1" t="s">
        <v>2347</v>
      </c>
      <c r="CLI1" t="s">
        <v>2348</v>
      </c>
      <c r="CLJ1" t="s">
        <v>2349</v>
      </c>
      <c r="CLK1" t="s">
        <v>2350</v>
      </c>
      <c r="CLL1" t="s">
        <v>2351</v>
      </c>
      <c r="CLM1" t="s">
        <v>2352</v>
      </c>
      <c r="CLN1" t="s">
        <v>2353</v>
      </c>
      <c r="CLO1" t="s">
        <v>2354</v>
      </c>
      <c r="CLP1" t="s">
        <v>2355</v>
      </c>
      <c r="CLQ1" t="s">
        <v>2356</v>
      </c>
      <c r="CLR1" t="s">
        <v>2357</v>
      </c>
      <c r="CLS1" t="s">
        <v>2358</v>
      </c>
      <c r="CLT1" t="s">
        <v>2359</v>
      </c>
      <c r="CLU1" t="s">
        <v>2360</v>
      </c>
      <c r="CLV1" t="s">
        <v>2361</v>
      </c>
      <c r="CLW1" t="s">
        <v>2362</v>
      </c>
      <c r="CLX1" t="s">
        <v>2363</v>
      </c>
      <c r="CLY1" t="s">
        <v>2364</v>
      </c>
      <c r="CLZ1" t="s">
        <v>2365</v>
      </c>
      <c r="CMA1" t="s">
        <v>2366</v>
      </c>
      <c r="CMB1" t="s">
        <v>2367</v>
      </c>
      <c r="CMC1" t="s">
        <v>2368</v>
      </c>
      <c r="CMD1" t="s">
        <v>2369</v>
      </c>
      <c r="CME1" t="s">
        <v>2370</v>
      </c>
      <c r="CMF1" t="s">
        <v>2371</v>
      </c>
      <c r="CMG1" t="s">
        <v>2372</v>
      </c>
      <c r="CMH1" t="s">
        <v>2373</v>
      </c>
      <c r="CMI1" t="s">
        <v>2374</v>
      </c>
      <c r="CMJ1" t="s">
        <v>2375</v>
      </c>
      <c r="CMK1" t="s">
        <v>2376</v>
      </c>
      <c r="CML1" t="s">
        <v>2377</v>
      </c>
      <c r="CMM1" t="s">
        <v>2378</v>
      </c>
      <c r="CMN1" t="s">
        <v>2379</v>
      </c>
      <c r="CMO1" t="s">
        <v>2380</v>
      </c>
      <c r="CMP1" t="s">
        <v>2381</v>
      </c>
      <c r="CMQ1" t="s">
        <v>2382</v>
      </c>
      <c r="CMR1" t="s">
        <v>2383</v>
      </c>
      <c r="CMS1" t="s">
        <v>2384</v>
      </c>
      <c r="CMT1" t="s">
        <v>2385</v>
      </c>
      <c r="CMU1" t="s">
        <v>2386</v>
      </c>
      <c r="CMV1" t="s">
        <v>2387</v>
      </c>
      <c r="CMW1" t="s">
        <v>2388</v>
      </c>
      <c r="CMX1" t="s">
        <v>2389</v>
      </c>
      <c r="CMY1" t="s">
        <v>2390</v>
      </c>
      <c r="CMZ1" t="s">
        <v>2391</v>
      </c>
      <c r="CNA1" t="s">
        <v>2392</v>
      </c>
      <c r="CNB1" t="s">
        <v>2393</v>
      </c>
      <c r="CNC1" t="s">
        <v>2394</v>
      </c>
      <c r="CND1" t="s">
        <v>2395</v>
      </c>
      <c r="CNE1" t="s">
        <v>2396</v>
      </c>
      <c r="CNF1" t="s">
        <v>2397</v>
      </c>
      <c r="CNG1" t="s">
        <v>2398</v>
      </c>
      <c r="CNH1" t="s">
        <v>2399</v>
      </c>
      <c r="CNI1" t="s">
        <v>2400</v>
      </c>
      <c r="CNJ1" t="s">
        <v>2401</v>
      </c>
      <c r="CNK1" t="s">
        <v>2402</v>
      </c>
      <c r="CNL1" t="s">
        <v>2403</v>
      </c>
      <c r="CNM1" t="s">
        <v>2404</v>
      </c>
      <c r="CNN1" t="s">
        <v>2405</v>
      </c>
      <c r="CNO1" t="s">
        <v>2406</v>
      </c>
      <c r="CNP1" t="s">
        <v>2407</v>
      </c>
      <c r="CNQ1" t="s">
        <v>2408</v>
      </c>
      <c r="CNR1" t="s">
        <v>2409</v>
      </c>
      <c r="CNS1" t="s">
        <v>2410</v>
      </c>
      <c r="CNT1" t="s">
        <v>2411</v>
      </c>
      <c r="CNU1" t="s">
        <v>2412</v>
      </c>
      <c r="CNV1" t="s">
        <v>2413</v>
      </c>
      <c r="CNW1" t="s">
        <v>2414</v>
      </c>
      <c r="CNX1" t="s">
        <v>2415</v>
      </c>
      <c r="CNY1" t="s">
        <v>2416</v>
      </c>
      <c r="CNZ1" t="s">
        <v>2417</v>
      </c>
      <c r="COA1" t="s">
        <v>2418</v>
      </c>
      <c r="COB1" t="s">
        <v>2419</v>
      </c>
      <c r="COC1" t="s">
        <v>2420</v>
      </c>
      <c r="COD1" t="s">
        <v>2421</v>
      </c>
      <c r="COE1" t="s">
        <v>2422</v>
      </c>
      <c r="COF1" t="s">
        <v>2423</v>
      </c>
      <c r="COG1" t="s">
        <v>2424</v>
      </c>
      <c r="COH1" t="s">
        <v>2425</v>
      </c>
      <c r="COI1" t="s">
        <v>2426</v>
      </c>
      <c r="COJ1" t="s">
        <v>2427</v>
      </c>
      <c r="COK1" t="s">
        <v>2428</v>
      </c>
      <c r="COL1" t="s">
        <v>2429</v>
      </c>
      <c r="COM1" t="s">
        <v>2430</v>
      </c>
      <c r="CON1" t="s">
        <v>2431</v>
      </c>
      <c r="COO1" t="s">
        <v>2432</v>
      </c>
      <c r="COP1" t="s">
        <v>2433</v>
      </c>
      <c r="COQ1" t="s">
        <v>2434</v>
      </c>
      <c r="COR1" t="s">
        <v>2435</v>
      </c>
      <c r="COS1" t="s">
        <v>2436</v>
      </c>
      <c r="COT1" t="s">
        <v>2437</v>
      </c>
      <c r="COU1" t="s">
        <v>2438</v>
      </c>
      <c r="COV1" t="s">
        <v>2439</v>
      </c>
      <c r="COW1" t="s">
        <v>2440</v>
      </c>
      <c r="COX1" t="s">
        <v>2441</v>
      </c>
      <c r="COY1" t="s">
        <v>2442</v>
      </c>
      <c r="COZ1" t="s">
        <v>2443</v>
      </c>
      <c r="CPA1" t="s">
        <v>2444</v>
      </c>
      <c r="CPB1" t="s">
        <v>2445</v>
      </c>
      <c r="CPC1" t="s">
        <v>2446</v>
      </c>
      <c r="CPD1" t="s">
        <v>2447</v>
      </c>
      <c r="CPE1" t="s">
        <v>2448</v>
      </c>
      <c r="CPF1" t="s">
        <v>2449</v>
      </c>
      <c r="CPG1" t="s">
        <v>2450</v>
      </c>
      <c r="CPH1" t="s">
        <v>2451</v>
      </c>
      <c r="CPI1" t="s">
        <v>2452</v>
      </c>
      <c r="CPJ1" t="s">
        <v>2453</v>
      </c>
      <c r="CPK1" t="s">
        <v>2454</v>
      </c>
      <c r="CPL1" t="s">
        <v>2455</v>
      </c>
      <c r="CPM1" t="s">
        <v>2456</v>
      </c>
      <c r="CPN1" t="s">
        <v>2457</v>
      </c>
      <c r="CPO1" t="s">
        <v>2458</v>
      </c>
      <c r="CPP1" t="s">
        <v>2459</v>
      </c>
      <c r="CPQ1" t="s">
        <v>2460</v>
      </c>
      <c r="CPR1" t="s">
        <v>2461</v>
      </c>
      <c r="CPS1" t="s">
        <v>2462</v>
      </c>
      <c r="CPT1" t="s">
        <v>2463</v>
      </c>
      <c r="CPU1" t="s">
        <v>2464</v>
      </c>
      <c r="CPV1" t="s">
        <v>2465</v>
      </c>
      <c r="CPW1" t="s">
        <v>2466</v>
      </c>
      <c r="CPX1" t="s">
        <v>2467</v>
      </c>
      <c r="CPY1" t="s">
        <v>2468</v>
      </c>
      <c r="CPZ1" t="s">
        <v>2469</v>
      </c>
      <c r="CQA1" t="s">
        <v>2470</v>
      </c>
      <c r="CQB1" t="s">
        <v>2471</v>
      </c>
      <c r="CQC1" t="s">
        <v>2472</v>
      </c>
      <c r="CQD1" t="s">
        <v>2473</v>
      </c>
      <c r="CQE1" t="s">
        <v>2474</v>
      </c>
      <c r="CQF1" t="s">
        <v>2475</v>
      </c>
      <c r="CQG1" t="s">
        <v>2476</v>
      </c>
      <c r="CQH1" t="s">
        <v>2477</v>
      </c>
      <c r="CQI1" t="s">
        <v>2478</v>
      </c>
      <c r="CQJ1" t="s">
        <v>2479</v>
      </c>
      <c r="CQK1" t="s">
        <v>2480</v>
      </c>
      <c r="CQL1" t="s">
        <v>2481</v>
      </c>
      <c r="CQM1" t="s">
        <v>2482</v>
      </c>
      <c r="CQN1" t="s">
        <v>2483</v>
      </c>
      <c r="CQO1" t="s">
        <v>2484</v>
      </c>
      <c r="CQP1" t="s">
        <v>2485</v>
      </c>
      <c r="CQQ1" t="s">
        <v>2486</v>
      </c>
      <c r="CQR1" t="s">
        <v>2487</v>
      </c>
      <c r="CQS1" t="s">
        <v>2488</v>
      </c>
      <c r="CQT1" t="s">
        <v>2489</v>
      </c>
      <c r="CQU1" t="s">
        <v>2490</v>
      </c>
      <c r="CQV1" t="s">
        <v>2491</v>
      </c>
      <c r="CQW1" t="s">
        <v>2492</v>
      </c>
      <c r="CQX1" t="s">
        <v>2493</v>
      </c>
      <c r="CQY1" t="s">
        <v>2494</v>
      </c>
      <c r="CQZ1" t="s">
        <v>2495</v>
      </c>
      <c r="CRA1" t="s">
        <v>2496</v>
      </c>
      <c r="CRB1" t="s">
        <v>2497</v>
      </c>
      <c r="CRC1" t="s">
        <v>2498</v>
      </c>
      <c r="CRD1" t="s">
        <v>2499</v>
      </c>
      <c r="CRE1" t="s">
        <v>2500</v>
      </c>
      <c r="CRF1" t="s">
        <v>2501</v>
      </c>
      <c r="CRG1" t="s">
        <v>2502</v>
      </c>
      <c r="CRH1" t="s">
        <v>2503</v>
      </c>
      <c r="CRI1" t="s">
        <v>2504</v>
      </c>
      <c r="CRJ1" t="s">
        <v>2505</v>
      </c>
      <c r="CRK1" t="s">
        <v>2506</v>
      </c>
      <c r="CRL1" t="s">
        <v>2507</v>
      </c>
      <c r="CRM1" t="s">
        <v>2508</v>
      </c>
      <c r="CRN1" t="s">
        <v>2509</v>
      </c>
      <c r="CRO1" t="s">
        <v>2510</v>
      </c>
      <c r="CRP1" t="s">
        <v>2511</v>
      </c>
      <c r="CRQ1" t="s">
        <v>2512</v>
      </c>
      <c r="CRR1" t="s">
        <v>2513</v>
      </c>
      <c r="CRS1" t="s">
        <v>2514</v>
      </c>
      <c r="CRT1" t="s">
        <v>2515</v>
      </c>
      <c r="CRU1" t="s">
        <v>2516</v>
      </c>
      <c r="CRV1" t="s">
        <v>2517</v>
      </c>
      <c r="CRW1" t="s">
        <v>2518</v>
      </c>
      <c r="CRX1" t="s">
        <v>2519</v>
      </c>
      <c r="CRY1" t="s">
        <v>2520</v>
      </c>
      <c r="CRZ1" t="s">
        <v>2521</v>
      </c>
      <c r="CSA1" t="s">
        <v>2522</v>
      </c>
      <c r="CSB1" t="s">
        <v>2523</v>
      </c>
      <c r="CSC1" t="s">
        <v>2524</v>
      </c>
      <c r="CSD1" t="s">
        <v>2525</v>
      </c>
      <c r="CSE1" t="s">
        <v>2526</v>
      </c>
      <c r="CSF1" t="s">
        <v>2527</v>
      </c>
      <c r="CSG1" t="s">
        <v>2528</v>
      </c>
      <c r="CSH1" t="s">
        <v>2529</v>
      </c>
      <c r="CSI1" t="s">
        <v>2530</v>
      </c>
      <c r="CSJ1" t="s">
        <v>2531</v>
      </c>
      <c r="CSK1" t="s">
        <v>2532</v>
      </c>
      <c r="CSL1" t="s">
        <v>2533</v>
      </c>
      <c r="CSM1" t="s">
        <v>2534</v>
      </c>
      <c r="CSN1" t="s">
        <v>2535</v>
      </c>
      <c r="CSO1" t="s">
        <v>2536</v>
      </c>
      <c r="CSP1" t="s">
        <v>2537</v>
      </c>
      <c r="CSQ1" t="s">
        <v>2538</v>
      </c>
      <c r="CSR1" t="s">
        <v>2539</v>
      </c>
      <c r="CSS1" t="s">
        <v>2540</v>
      </c>
      <c r="CST1" t="s">
        <v>2541</v>
      </c>
      <c r="CSU1" t="s">
        <v>2542</v>
      </c>
      <c r="CSV1" t="s">
        <v>2543</v>
      </c>
      <c r="CSW1" t="s">
        <v>2544</v>
      </c>
      <c r="CSX1" t="s">
        <v>2545</v>
      </c>
      <c r="CSY1" t="s">
        <v>2546</v>
      </c>
      <c r="CSZ1" t="s">
        <v>2547</v>
      </c>
      <c r="CTA1" t="s">
        <v>2548</v>
      </c>
      <c r="CTB1" t="s">
        <v>2549</v>
      </c>
      <c r="CTC1" t="s">
        <v>2550</v>
      </c>
      <c r="CTD1" t="s">
        <v>2551</v>
      </c>
      <c r="CTE1" t="s">
        <v>2552</v>
      </c>
      <c r="CTF1" t="s">
        <v>2553</v>
      </c>
      <c r="CTG1" t="s">
        <v>2554</v>
      </c>
      <c r="CTH1" t="s">
        <v>2555</v>
      </c>
      <c r="CTI1" t="s">
        <v>2556</v>
      </c>
      <c r="CTJ1" t="s">
        <v>2557</v>
      </c>
      <c r="CTK1" t="s">
        <v>2558</v>
      </c>
      <c r="CTL1" t="s">
        <v>2559</v>
      </c>
      <c r="CTM1" t="s">
        <v>2560</v>
      </c>
      <c r="CTN1" t="s">
        <v>2561</v>
      </c>
      <c r="CTO1" t="s">
        <v>2562</v>
      </c>
      <c r="CTP1" t="s">
        <v>2563</v>
      </c>
      <c r="CTQ1" t="s">
        <v>2564</v>
      </c>
      <c r="CTR1" t="s">
        <v>2565</v>
      </c>
      <c r="CTS1" t="s">
        <v>2566</v>
      </c>
      <c r="CTT1" t="s">
        <v>2567</v>
      </c>
      <c r="CTU1" t="s">
        <v>2568</v>
      </c>
      <c r="CTV1" t="s">
        <v>2569</v>
      </c>
      <c r="CTW1" t="s">
        <v>2570</v>
      </c>
      <c r="CTX1" t="s">
        <v>2571</v>
      </c>
      <c r="CTY1" t="s">
        <v>2572</v>
      </c>
      <c r="CTZ1" t="s">
        <v>2573</v>
      </c>
      <c r="CUA1" t="s">
        <v>2574</v>
      </c>
      <c r="CUB1" t="s">
        <v>2575</v>
      </c>
      <c r="CUC1" t="s">
        <v>2576</v>
      </c>
      <c r="CUD1" t="s">
        <v>2577</v>
      </c>
      <c r="CUE1" t="s">
        <v>2578</v>
      </c>
      <c r="CUF1" t="s">
        <v>2579</v>
      </c>
      <c r="CUG1" t="s">
        <v>2580</v>
      </c>
      <c r="CUH1" t="s">
        <v>2581</v>
      </c>
      <c r="CUI1" t="s">
        <v>2582</v>
      </c>
      <c r="CUJ1" t="s">
        <v>2583</v>
      </c>
      <c r="CUK1" t="s">
        <v>2584</v>
      </c>
      <c r="CUL1" t="s">
        <v>2585</v>
      </c>
      <c r="CUM1" t="s">
        <v>2586</v>
      </c>
      <c r="CUN1" t="s">
        <v>2587</v>
      </c>
      <c r="CUO1" t="s">
        <v>2588</v>
      </c>
      <c r="CUP1" t="s">
        <v>2589</v>
      </c>
      <c r="CUQ1" t="s">
        <v>2590</v>
      </c>
      <c r="CUR1" t="s">
        <v>2591</v>
      </c>
      <c r="CUS1" t="s">
        <v>2592</v>
      </c>
      <c r="CUT1" t="s">
        <v>2593</v>
      </c>
      <c r="CUU1" t="s">
        <v>2594</v>
      </c>
      <c r="CUV1" t="s">
        <v>2595</v>
      </c>
      <c r="CUW1" t="s">
        <v>2596</v>
      </c>
      <c r="CUX1" t="s">
        <v>2597</v>
      </c>
      <c r="CUY1" t="s">
        <v>2598</v>
      </c>
      <c r="CUZ1" t="s">
        <v>2599</v>
      </c>
      <c r="CVA1" t="s">
        <v>2600</v>
      </c>
      <c r="CVB1" t="s">
        <v>2601</v>
      </c>
      <c r="CVC1" t="s">
        <v>2602</v>
      </c>
      <c r="CVD1" t="s">
        <v>2603</v>
      </c>
      <c r="CVE1" t="s">
        <v>2604</v>
      </c>
      <c r="CVF1" t="s">
        <v>2605</v>
      </c>
      <c r="CVG1" t="s">
        <v>2606</v>
      </c>
      <c r="CVH1" t="s">
        <v>2607</v>
      </c>
      <c r="CVI1" t="s">
        <v>2608</v>
      </c>
      <c r="CVJ1" t="s">
        <v>2609</v>
      </c>
      <c r="CVK1" t="s">
        <v>2610</v>
      </c>
      <c r="CVL1" t="s">
        <v>2611</v>
      </c>
      <c r="CVM1" t="s">
        <v>2612</v>
      </c>
      <c r="CVN1" t="s">
        <v>2613</v>
      </c>
      <c r="CVO1" t="s">
        <v>2614</v>
      </c>
      <c r="CVP1" t="s">
        <v>2615</v>
      </c>
      <c r="CVQ1" t="s">
        <v>2616</v>
      </c>
      <c r="CVR1" t="s">
        <v>2617</v>
      </c>
      <c r="CVS1" t="s">
        <v>2618</v>
      </c>
      <c r="CVT1" t="s">
        <v>2619</v>
      </c>
      <c r="CVU1" t="s">
        <v>2620</v>
      </c>
      <c r="CVV1" t="s">
        <v>2621</v>
      </c>
      <c r="CVW1" t="s">
        <v>2622</v>
      </c>
      <c r="CVX1" t="s">
        <v>2623</v>
      </c>
      <c r="CVY1" t="s">
        <v>2624</v>
      </c>
      <c r="CVZ1" t="s">
        <v>2625</v>
      </c>
      <c r="CWA1" t="s">
        <v>2626</v>
      </c>
      <c r="CWB1" t="s">
        <v>2627</v>
      </c>
      <c r="CWC1" t="s">
        <v>2628</v>
      </c>
      <c r="CWD1" t="s">
        <v>2629</v>
      </c>
      <c r="CWE1" t="s">
        <v>2630</v>
      </c>
      <c r="CWF1" t="s">
        <v>2631</v>
      </c>
      <c r="CWG1" t="s">
        <v>2632</v>
      </c>
      <c r="CWH1" t="s">
        <v>2633</v>
      </c>
      <c r="CWI1" t="s">
        <v>2634</v>
      </c>
      <c r="CWJ1" t="s">
        <v>2635</v>
      </c>
      <c r="CWK1" t="s">
        <v>2636</v>
      </c>
      <c r="CWL1" t="s">
        <v>2637</v>
      </c>
      <c r="CWM1" t="s">
        <v>2638</v>
      </c>
      <c r="CWN1" t="s">
        <v>2639</v>
      </c>
      <c r="CWO1" t="s">
        <v>2640</v>
      </c>
      <c r="CWP1" t="s">
        <v>2641</v>
      </c>
      <c r="CWQ1" t="s">
        <v>2642</v>
      </c>
      <c r="CWR1" t="s">
        <v>2643</v>
      </c>
      <c r="CWS1" t="s">
        <v>2644</v>
      </c>
      <c r="CWT1" t="s">
        <v>2645</v>
      </c>
      <c r="CWU1" t="s">
        <v>2646</v>
      </c>
      <c r="CWV1" t="s">
        <v>2647</v>
      </c>
      <c r="CWW1" t="s">
        <v>2648</v>
      </c>
      <c r="CWX1" t="s">
        <v>2649</v>
      </c>
      <c r="CWY1" t="s">
        <v>2650</v>
      </c>
      <c r="CWZ1" t="s">
        <v>2651</v>
      </c>
      <c r="CXA1" t="s">
        <v>2652</v>
      </c>
      <c r="CXB1" t="s">
        <v>2653</v>
      </c>
      <c r="CXC1" t="s">
        <v>2654</v>
      </c>
      <c r="CXD1" t="s">
        <v>2655</v>
      </c>
      <c r="CXE1" t="s">
        <v>2656</v>
      </c>
      <c r="CXF1" t="s">
        <v>2657</v>
      </c>
      <c r="CXG1" t="s">
        <v>2658</v>
      </c>
      <c r="CXH1" t="s">
        <v>2659</v>
      </c>
      <c r="CXI1" t="s">
        <v>2660</v>
      </c>
      <c r="CXJ1" t="s">
        <v>2661</v>
      </c>
      <c r="CXK1" t="s">
        <v>2662</v>
      </c>
      <c r="CXL1" t="s">
        <v>2663</v>
      </c>
      <c r="CXM1" t="s">
        <v>2664</v>
      </c>
      <c r="CXN1" t="s">
        <v>2665</v>
      </c>
      <c r="CXO1" t="s">
        <v>2666</v>
      </c>
      <c r="CXP1" t="s">
        <v>2667</v>
      </c>
      <c r="CXQ1" t="s">
        <v>2668</v>
      </c>
      <c r="CXR1" t="s">
        <v>2669</v>
      </c>
      <c r="CXS1" t="s">
        <v>2670</v>
      </c>
      <c r="CXT1" t="s">
        <v>2671</v>
      </c>
      <c r="CXU1" t="s">
        <v>2672</v>
      </c>
      <c r="CXV1" t="s">
        <v>2673</v>
      </c>
      <c r="CXW1" t="s">
        <v>2674</v>
      </c>
      <c r="CXX1" t="s">
        <v>2675</v>
      </c>
      <c r="CXY1" t="s">
        <v>2676</v>
      </c>
      <c r="CXZ1" t="s">
        <v>2677</v>
      </c>
      <c r="CYA1" t="s">
        <v>2678</v>
      </c>
      <c r="CYB1" t="s">
        <v>2679</v>
      </c>
      <c r="CYC1" t="s">
        <v>2680</v>
      </c>
      <c r="CYD1" t="s">
        <v>2681</v>
      </c>
      <c r="CYE1" t="s">
        <v>2682</v>
      </c>
      <c r="CYF1" t="s">
        <v>2683</v>
      </c>
      <c r="CYG1" t="s">
        <v>2684</v>
      </c>
      <c r="CYH1" t="s">
        <v>2685</v>
      </c>
      <c r="CYI1" t="s">
        <v>2686</v>
      </c>
      <c r="CYJ1" t="s">
        <v>2687</v>
      </c>
      <c r="CYK1" t="s">
        <v>2688</v>
      </c>
      <c r="CYL1" t="s">
        <v>2689</v>
      </c>
      <c r="CYM1" t="s">
        <v>2690</v>
      </c>
      <c r="CYN1" t="s">
        <v>2691</v>
      </c>
      <c r="CYO1" t="s">
        <v>2692</v>
      </c>
      <c r="CYP1" t="s">
        <v>2693</v>
      </c>
      <c r="CYQ1" t="s">
        <v>2694</v>
      </c>
      <c r="CYR1" t="s">
        <v>2695</v>
      </c>
      <c r="CYS1" t="s">
        <v>2696</v>
      </c>
      <c r="CYT1" t="s">
        <v>2697</v>
      </c>
      <c r="CYU1" t="s">
        <v>2698</v>
      </c>
      <c r="CYV1" t="s">
        <v>2699</v>
      </c>
      <c r="CYW1" t="s">
        <v>2700</v>
      </c>
      <c r="CYX1" t="s">
        <v>2701</v>
      </c>
      <c r="CYY1" t="s">
        <v>2702</v>
      </c>
      <c r="CYZ1" t="s">
        <v>2703</v>
      </c>
      <c r="CZA1" t="s">
        <v>2704</v>
      </c>
      <c r="CZB1" t="s">
        <v>2705</v>
      </c>
      <c r="CZC1" t="s">
        <v>2706</v>
      </c>
      <c r="CZD1" t="s">
        <v>2707</v>
      </c>
      <c r="CZE1" t="s">
        <v>2708</v>
      </c>
      <c r="CZF1" t="s">
        <v>2709</v>
      </c>
      <c r="CZG1" t="s">
        <v>2710</v>
      </c>
      <c r="CZH1" t="s">
        <v>2711</v>
      </c>
      <c r="CZI1" t="s">
        <v>2712</v>
      </c>
      <c r="CZJ1" t="s">
        <v>2713</v>
      </c>
      <c r="CZK1" t="s">
        <v>2714</v>
      </c>
      <c r="CZL1" t="s">
        <v>2715</v>
      </c>
      <c r="CZM1" t="s">
        <v>2716</v>
      </c>
      <c r="CZN1" t="s">
        <v>2717</v>
      </c>
      <c r="CZO1" t="s">
        <v>2718</v>
      </c>
      <c r="CZP1" t="s">
        <v>2719</v>
      </c>
      <c r="CZQ1" t="s">
        <v>2720</v>
      </c>
      <c r="CZR1" t="s">
        <v>2721</v>
      </c>
      <c r="CZS1" t="s">
        <v>2722</v>
      </c>
      <c r="CZT1" t="s">
        <v>2723</v>
      </c>
      <c r="CZU1" t="s">
        <v>2724</v>
      </c>
      <c r="CZV1" t="s">
        <v>2725</v>
      </c>
      <c r="CZW1" t="s">
        <v>2726</v>
      </c>
      <c r="CZX1" t="s">
        <v>2727</v>
      </c>
      <c r="CZY1" t="s">
        <v>2728</v>
      </c>
      <c r="CZZ1" t="s">
        <v>2729</v>
      </c>
      <c r="DAA1" t="s">
        <v>2730</v>
      </c>
      <c r="DAB1" t="s">
        <v>2731</v>
      </c>
      <c r="DAC1" t="s">
        <v>2732</v>
      </c>
      <c r="DAD1" t="s">
        <v>2733</v>
      </c>
      <c r="DAE1" t="s">
        <v>2734</v>
      </c>
      <c r="DAF1" t="s">
        <v>2735</v>
      </c>
      <c r="DAG1" t="s">
        <v>2736</v>
      </c>
      <c r="DAH1" t="s">
        <v>2737</v>
      </c>
      <c r="DAI1" t="s">
        <v>2738</v>
      </c>
      <c r="DAJ1" t="s">
        <v>2739</v>
      </c>
      <c r="DAK1" t="s">
        <v>2740</v>
      </c>
      <c r="DAL1" t="s">
        <v>2741</v>
      </c>
      <c r="DAM1" t="s">
        <v>2742</v>
      </c>
      <c r="DAN1" t="s">
        <v>2743</v>
      </c>
      <c r="DAO1" t="s">
        <v>2744</v>
      </c>
      <c r="DAP1" t="s">
        <v>2745</v>
      </c>
      <c r="DAQ1" t="s">
        <v>2746</v>
      </c>
      <c r="DAR1" t="s">
        <v>2747</v>
      </c>
      <c r="DAS1" t="s">
        <v>2748</v>
      </c>
      <c r="DAT1" t="s">
        <v>2749</v>
      </c>
      <c r="DAU1" t="s">
        <v>2750</v>
      </c>
      <c r="DAV1" t="s">
        <v>2751</v>
      </c>
      <c r="DAW1" t="s">
        <v>2752</v>
      </c>
      <c r="DAX1" t="s">
        <v>2753</v>
      </c>
      <c r="DAY1" t="s">
        <v>2754</v>
      </c>
      <c r="DAZ1" t="s">
        <v>2755</v>
      </c>
      <c r="DBA1" t="s">
        <v>2756</v>
      </c>
      <c r="DBB1" t="s">
        <v>2757</v>
      </c>
      <c r="DBC1" t="s">
        <v>2758</v>
      </c>
      <c r="DBD1" t="s">
        <v>2759</v>
      </c>
      <c r="DBE1" t="s">
        <v>2760</v>
      </c>
      <c r="DBF1" t="s">
        <v>2761</v>
      </c>
      <c r="DBG1" t="s">
        <v>2762</v>
      </c>
      <c r="DBH1" t="s">
        <v>2763</v>
      </c>
      <c r="DBI1" t="s">
        <v>2764</v>
      </c>
      <c r="DBJ1" t="s">
        <v>2765</v>
      </c>
      <c r="DBK1" t="s">
        <v>2766</v>
      </c>
      <c r="DBL1" t="s">
        <v>2767</v>
      </c>
      <c r="DBM1" t="s">
        <v>2768</v>
      </c>
      <c r="DBN1" t="s">
        <v>2769</v>
      </c>
      <c r="DBO1" t="s">
        <v>2770</v>
      </c>
      <c r="DBP1" t="s">
        <v>2771</v>
      </c>
      <c r="DBQ1" t="s">
        <v>2772</v>
      </c>
      <c r="DBR1" t="s">
        <v>2773</v>
      </c>
      <c r="DBS1" t="s">
        <v>2774</v>
      </c>
      <c r="DBT1" t="s">
        <v>2775</v>
      </c>
      <c r="DBU1" t="s">
        <v>2776</v>
      </c>
      <c r="DBV1" t="s">
        <v>2777</v>
      </c>
      <c r="DBW1" t="s">
        <v>2778</v>
      </c>
      <c r="DBX1" t="s">
        <v>2779</v>
      </c>
      <c r="DBY1" t="s">
        <v>2780</v>
      </c>
      <c r="DBZ1" t="s">
        <v>2781</v>
      </c>
      <c r="DCA1" t="s">
        <v>2782</v>
      </c>
      <c r="DCB1" t="s">
        <v>2783</v>
      </c>
      <c r="DCC1" t="s">
        <v>2784</v>
      </c>
      <c r="DCD1" t="s">
        <v>2785</v>
      </c>
      <c r="DCE1" t="s">
        <v>2786</v>
      </c>
      <c r="DCF1" t="s">
        <v>2787</v>
      </c>
      <c r="DCG1" t="s">
        <v>2788</v>
      </c>
      <c r="DCH1" t="s">
        <v>2789</v>
      </c>
      <c r="DCI1" t="s">
        <v>2790</v>
      </c>
      <c r="DCJ1" t="s">
        <v>2791</v>
      </c>
      <c r="DCK1" t="s">
        <v>2792</v>
      </c>
      <c r="DCL1" t="s">
        <v>2793</v>
      </c>
      <c r="DCM1" t="s">
        <v>2794</v>
      </c>
      <c r="DCN1" t="s">
        <v>2795</v>
      </c>
      <c r="DCO1" t="s">
        <v>2796</v>
      </c>
      <c r="DCP1" t="s">
        <v>2797</v>
      </c>
      <c r="DCQ1" t="s">
        <v>2798</v>
      </c>
      <c r="DCR1" t="s">
        <v>2799</v>
      </c>
      <c r="DCS1" t="s">
        <v>2800</v>
      </c>
      <c r="DCT1" t="s">
        <v>2801</v>
      </c>
      <c r="DCU1" t="s">
        <v>2802</v>
      </c>
      <c r="DCV1" t="s">
        <v>2803</v>
      </c>
      <c r="DCW1" t="s">
        <v>2804</v>
      </c>
      <c r="DCX1" t="s">
        <v>2805</v>
      </c>
      <c r="DCY1" t="s">
        <v>2806</v>
      </c>
      <c r="DCZ1" t="s">
        <v>2807</v>
      </c>
      <c r="DDA1" t="s">
        <v>2808</v>
      </c>
      <c r="DDB1" t="s">
        <v>2809</v>
      </c>
      <c r="DDC1" t="s">
        <v>2810</v>
      </c>
      <c r="DDD1" t="s">
        <v>2811</v>
      </c>
      <c r="DDE1" t="s">
        <v>2812</v>
      </c>
      <c r="DDF1" t="s">
        <v>2813</v>
      </c>
      <c r="DDG1" t="s">
        <v>2814</v>
      </c>
      <c r="DDH1" t="s">
        <v>2815</v>
      </c>
      <c r="DDI1" t="s">
        <v>2816</v>
      </c>
      <c r="DDJ1" t="s">
        <v>2817</v>
      </c>
      <c r="DDK1" t="s">
        <v>2818</v>
      </c>
      <c r="DDL1" t="s">
        <v>2819</v>
      </c>
      <c r="DDM1" t="s">
        <v>2820</v>
      </c>
      <c r="DDN1" t="s">
        <v>2821</v>
      </c>
      <c r="DDO1" t="s">
        <v>2822</v>
      </c>
      <c r="DDP1" t="s">
        <v>2823</v>
      </c>
      <c r="DDQ1" t="s">
        <v>2824</v>
      </c>
      <c r="DDR1" t="s">
        <v>2825</v>
      </c>
      <c r="DDS1" t="s">
        <v>2826</v>
      </c>
      <c r="DDT1" t="s">
        <v>2827</v>
      </c>
      <c r="DDU1" t="s">
        <v>2828</v>
      </c>
      <c r="DDV1" t="s">
        <v>2829</v>
      </c>
      <c r="DDW1" t="s">
        <v>2830</v>
      </c>
      <c r="DDX1" t="s">
        <v>2831</v>
      </c>
      <c r="DDY1" t="s">
        <v>2832</v>
      </c>
      <c r="DDZ1" t="s">
        <v>2833</v>
      </c>
      <c r="DEA1" t="s">
        <v>2834</v>
      </c>
      <c r="DEB1" t="s">
        <v>2835</v>
      </c>
      <c r="DEC1" t="s">
        <v>2836</v>
      </c>
      <c r="DED1" t="s">
        <v>2837</v>
      </c>
      <c r="DEE1" t="s">
        <v>2838</v>
      </c>
      <c r="DEF1" t="s">
        <v>2839</v>
      </c>
      <c r="DEG1" t="s">
        <v>2840</v>
      </c>
      <c r="DEH1" t="s">
        <v>2841</v>
      </c>
      <c r="DEI1" t="s">
        <v>2842</v>
      </c>
      <c r="DEJ1" t="s">
        <v>2843</v>
      </c>
      <c r="DEK1" t="s">
        <v>2844</v>
      </c>
      <c r="DEL1" t="s">
        <v>2845</v>
      </c>
      <c r="DEM1" t="s">
        <v>2846</v>
      </c>
      <c r="DEN1" t="s">
        <v>2847</v>
      </c>
      <c r="DEO1" t="s">
        <v>2848</v>
      </c>
      <c r="DEP1" t="s">
        <v>2849</v>
      </c>
      <c r="DEQ1" t="s">
        <v>2850</v>
      </c>
      <c r="DER1" t="s">
        <v>2851</v>
      </c>
      <c r="DES1" t="s">
        <v>2852</v>
      </c>
      <c r="DET1" t="s">
        <v>2853</v>
      </c>
      <c r="DEU1" t="s">
        <v>2854</v>
      </c>
      <c r="DEV1" t="s">
        <v>2855</v>
      </c>
      <c r="DEW1" t="s">
        <v>2856</v>
      </c>
      <c r="DEX1" t="s">
        <v>2857</v>
      </c>
      <c r="DEY1" t="s">
        <v>2858</v>
      </c>
      <c r="DEZ1" t="s">
        <v>2859</v>
      </c>
      <c r="DFA1" t="s">
        <v>2860</v>
      </c>
      <c r="DFB1" t="s">
        <v>2861</v>
      </c>
      <c r="DFC1" t="s">
        <v>2862</v>
      </c>
      <c r="DFD1" t="s">
        <v>2863</v>
      </c>
      <c r="DFE1" t="s">
        <v>2864</v>
      </c>
      <c r="DFF1" t="s">
        <v>2865</v>
      </c>
      <c r="DFG1" t="s">
        <v>2866</v>
      </c>
      <c r="DFH1" t="s">
        <v>2867</v>
      </c>
      <c r="DFI1" t="s">
        <v>2868</v>
      </c>
      <c r="DFJ1" t="s">
        <v>2869</v>
      </c>
      <c r="DFK1" t="s">
        <v>2870</v>
      </c>
      <c r="DFL1" t="s">
        <v>2871</v>
      </c>
      <c r="DFM1" t="s">
        <v>2872</v>
      </c>
      <c r="DFN1" t="s">
        <v>2873</v>
      </c>
      <c r="DFO1" t="s">
        <v>2874</v>
      </c>
      <c r="DFP1" t="s">
        <v>2875</v>
      </c>
      <c r="DFQ1" t="s">
        <v>2876</v>
      </c>
      <c r="DFR1" t="s">
        <v>2877</v>
      </c>
      <c r="DFS1" t="s">
        <v>2878</v>
      </c>
      <c r="DFT1" t="s">
        <v>2879</v>
      </c>
      <c r="DFU1" t="s">
        <v>2880</v>
      </c>
      <c r="DFV1" t="s">
        <v>2881</v>
      </c>
      <c r="DFW1" t="s">
        <v>2882</v>
      </c>
      <c r="DFX1" t="s">
        <v>2883</v>
      </c>
      <c r="DFY1" t="s">
        <v>2884</v>
      </c>
      <c r="DFZ1" t="s">
        <v>2885</v>
      </c>
      <c r="DGA1" t="s">
        <v>2886</v>
      </c>
      <c r="DGB1" t="s">
        <v>2887</v>
      </c>
      <c r="DGC1" t="s">
        <v>2888</v>
      </c>
      <c r="DGD1" t="s">
        <v>2889</v>
      </c>
      <c r="DGE1" t="s">
        <v>2890</v>
      </c>
      <c r="DGF1" t="s">
        <v>2891</v>
      </c>
      <c r="DGG1" t="s">
        <v>2892</v>
      </c>
      <c r="DGH1" t="s">
        <v>2893</v>
      </c>
      <c r="DGI1" t="s">
        <v>2894</v>
      </c>
      <c r="DGJ1" t="s">
        <v>2895</v>
      </c>
      <c r="DGK1" t="s">
        <v>2896</v>
      </c>
      <c r="DGL1" t="s">
        <v>2897</v>
      </c>
      <c r="DGM1" t="s">
        <v>2898</v>
      </c>
      <c r="DGN1" t="s">
        <v>2899</v>
      </c>
      <c r="DGO1" t="s">
        <v>2900</v>
      </c>
      <c r="DGP1" t="s">
        <v>2901</v>
      </c>
      <c r="DGQ1" t="s">
        <v>2902</v>
      </c>
      <c r="DGR1" t="s">
        <v>2903</v>
      </c>
      <c r="DGS1" t="s">
        <v>2904</v>
      </c>
      <c r="DGT1" t="s">
        <v>2905</v>
      </c>
      <c r="DGU1" t="s">
        <v>2906</v>
      </c>
      <c r="DGV1" t="s">
        <v>2907</v>
      </c>
      <c r="DGW1" t="s">
        <v>2908</v>
      </c>
      <c r="DGX1" t="s">
        <v>2909</v>
      </c>
      <c r="DGY1" t="s">
        <v>2910</v>
      </c>
      <c r="DGZ1" t="s">
        <v>2911</v>
      </c>
      <c r="DHA1" t="s">
        <v>2912</v>
      </c>
      <c r="DHB1" t="s">
        <v>2913</v>
      </c>
      <c r="DHC1" t="s">
        <v>2914</v>
      </c>
      <c r="DHD1" t="s">
        <v>2915</v>
      </c>
      <c r="DHE1" t="s">
        <v>2916</v>
      </c>
      <c r="DHF1" t="s">
        <v>2917</v>
      </c>
      <c r="DHG1" t="s">
        <v>2918</v>
      </c>
      <c r="DHH1" t="s">
        <v>2919</v>
      </c>
      <c r="DHI1" t="s">
        <v>2920</v>
      </c>
      <c r="DHJ1" t="s">
        <v>2921</v>
      </c>
      <c r="DHK1" t="s">
        <v>2922</v>
      </c>
      <c r="DHL1" t="s">
        <v>2923</v>
      </c>
      <c r="DHM1" t="s">
        <v>2924</v>
      </c>
      <c r="DHN1" t="s">
        <v>2925</v>
      </c>
      <c r="DHO1" t="s">
        <v>2926</v>
      </c>
      <c r="DHP1" t="s">
        <v>2927</v>
      </c>
      <c r="DHQ1" t="s">
        <v>2928</v>
      </c>
      <c r="DHR1" t="s">
        <v>2929</v>
      </c>
      <c r="DHS1" t="s">
        <v>2930</v>
      </c>
      <c r="DHT1" t="s">
        <v>2931</v>
      </c>
      <c r="DHU1" t="s">
        <v>2932</v>
      </c>
      <c r="DHV1" t="s">
        <v>2933</v>
      </c>
      <c r="DHW1" t="s">
        <v>2934</v>
      </c>
      <c r="DHX1" t="s">
        <v>2935</v>
      </c>
      <c r="DHY1" t="s">
        <v>2936</v>
      </c>
      <c r="DHZ1" t="s">
        <v>2937</v>
      </c>
      <c r="DIA1" t="s">
        <v>2938</v>
      </c>
      <c r="DIB1" t="s">
        <v>2939</v>
      </c>
      <c r="DIC1" t="s">
        <v>2940</v>
      </c>
      <c r="DID1" t="s">
        <v>2941</v>
      </c>
      <c r="DIE1" t="s">
        <v>2942</v>
      </c>
      <c r="DIF1" t="s">
        <v>2943</v>
      </c>
      <c r="DIG1" t="s">
        <v>2944</v>
      </c>
      <c r="DIH1" t="s">
        <v>2945</v>
      </c>
      <c r="DII1" t="s">
        <v>2946</v>
      </c>
      <c r="DIJ1" t="s">
        <v>2947</v>
      </c>
      <c r="DIK1" t="s">
        <v>2948</v>
      </c>
      <c r="DIL1" t="s">
        <v>2949</v>
      </c>
      <c r="DIM1" t="s">
        <v>2950</v>
      </c>
      <c r="DIN1" t="s">
        <v>2951</v>
      </c>
      <c r="DIO1" t="s">
        <v>2952</v>
      </c>
      <c r="DIP1" t="s">
        <v>2953</v>
      </c>
      <c r="DIQ1" t="s">
        <v>2954</v>
      </c>
      <c r="DIR1" t="s">
        <v>2955</v>
      </c>
      <c r="DIS1" t="s">
        <v>2956</v>
      </c>
      <c r="DIT1" t="s">
        <v>2957</v>
      </c>
      <c r="DIU1" t="s">
        <v>2958</v>
      </c>
      <c r="DIV1" t="s">
        <v>2959</v>
      </c>
      <c r="DIW1" t="s">
        <v>2960</v>
      </c>
      <c r="DIX1" t="s">
        <v>2961</v>
      </c>
      <c r="DIY1" t="s">
        <v>2962</v>
      </c>
      <c r="DIZ1" t="s">
        <v>2963</v>
      </c>
      <c r="DJA1" t="s">
        <v>2964</v>
      </c>
      <c r="DJB1" t="s">
        <v>2965</v>
      </c>
      <c r="DJC1" t="s">
        <v>2966</v>
      </c>
      <c r="DJD1" t="s">
        <v>2967</v>
      </c>
      <c r="DJE1" t="s">
        <v>2968</v>
      </c>
      <c r="DJF1" t="s">
        <v>2969</v>
      </c>
      <c r="DJG1" t="s">
        <v>2970</v>
      </c>
      <c r="DJH1" t="s">
        <v>2971</v>
      </c>
      <c r="DJI1" t="s">
        <v>2972</v>
      </c>
      <c r="DJJ1" t="s">
        <v>2973</v>
      </c>
      <c r="DJK1" t="s">
        <v>2974</v>
      </c>
      <c r="DJL1" t="s">
        <v>2975</v>
      </c>
      <c r="DJM1" t="s">
        <v>2976</v>
      </c>
      <c r="DJN1" t="s">
        <v>2977</v>
      </c>
      <c r="DJO1" t="s">
        <v>2978</v>
      </c>
      <c r="DJP1" t="s">
        <v>2979</v>
      </c>
      <c r="DJQ1" t="s">
        <v>2980</v>
      </c>
      <c r="DJR1" t="s">
        <v>2981</v>
      </c>
      <c r="DJS1" t="s">
        <v>2982</v>
      </c>
      <c r="DJT1" t="s">
        <v>2983</v>
      </c>
      <c r="DJU1" t="s">
        <v>2984</v>
      </c>
      <c r="DJV1" t="s">
        <v>2985</v>
      </c>
      <c r="DJW1" t="s">
        <v>2986</v>
      </c>
      <c r="DJX1" t="s">
        <v>2987</v>
      </c>
      <c r="DJY1" t="s">
        <v>2988</v>
      </c>
      <c r="DJZ1" t="s">
        <v>2989</v>
      </c>
      <c r="DKA1" t="s">
        <v>2990</v>
      </c>
      <c r="DKB1" t="s">
        <v>2991</v>
      </c>
      <c r="DKC1" t="s">
        <v>2992</v>
      </c>
      <c r="DKD1" t="s">
        <v>2993</v>
      </c>
      <c r="DKE1" t="s">
        <v>2994</v>
      </c>
      <c r="DKF1" t="s">
        <v>2995</v>
      </c>
      <c r="DKG1" t="s">
        <v>2996</v>
      </c>
      <c r="DKH1" t="s">
        <v>2997</v>
      </c>
      <c r="DKI1" t="s">
        <v>2998</v>
      </c>
      <c r="DKJ1" t="s">
        <v>2999</v>
      </c>
      <c r="DKK1" t="s">
        <v>3000</v>
      </c>
      <c r="DKL1" t="s">
        <v>3001</v>
      </c>
      <c r="DKM1" t="s">
        <v>3002</v>
      </c>
      <c r="DKN1" t="s">
        <v>3003</v>
      </c>
      <c r="DKO1" t="s">
        <v>3004</v>
      </c>
      <c r="DKP1" t="s">
        <v>3005</v>
      </c>
      <c r="DKQ1" t="s">
        <v>3006</v>
      </c>
      <c r="DKR1" t="s">
        <v>3007</v>
      </c>
      <c r="DKS1" t="s">
        <v>3008</v>
      </c>
      <c r="DKT1" t="s">
        <v>3009</v>
      </c>
      <c r="DKU1" t="s">
        <v>3010</v>
      </c>
      <c r="DKV1" t="s">
        <v>3011</v>
      </c>
      <c r="DKW1" t="s">
        <v>3012</v>
      </c>
      <c r="DKX1" t="s">
        <v>3013</v>
      </c>
      <c r="DKY1" t="s">
        <v>3014</v>
      </c>
      <c r="DKZ1" t="s">
        <v>3015</v>
      </c>
      <c r="DLA1" t="s">
        <v>3016</v>
      </c>
      <c r="DLB1" t="s">
        <v>3017</v>
      </c>
      <c r="DLC1" t="s">
        <v>3018</v>
      </c>
      <c r="DLD1" t="s">
        <v>3019</v>
      </c>
      <c r="DLE1" t="s">
        <v>3020</v>
      </c>
      <c r="DLF1" t="s">
        <v>3021</v>
      </c>
      <c r="DLG1" t="s">
        <v>3022</v>
      </c>
      <c r="DLH1" t="s">
        <v>3023</v>
      </c>
      <c r="DLI1" t="s">
        <v>3024</v>
      </c>
      <c r="DLJ1" t="s">
        <v>3025</v>
      </c>
      <c r="DLK1" t="s">
        <v>3026</v>
      </c>
      <c r="DLL1" t="s">
        <v>3027</v>
      </c>
      <c r="DLM1" t="s">
        <v>3028</v>
      </c>
      <c r="DLN1" t="s">
        <v>3029</v>
      </c>
      <c r="DLO1" t="s">
        <v>3030</v>
      </c>
      <c r="DLP1" t="s">
        <v>3031</v>
      </c>
      <c r="DLQ1" t="s">
        <v>3032</v>
      </c>
      <c r="DLR1" t="s">
        <v>3033</v>
      </c>
      <c r="DLS1" t="s">
        <v>3034</v>
      </c>
      <c r="DLT1" t="s">
        <v>3035</v>
      </c>
      <c r="DLU1" t="s">
        <v>3036</v>
      </c>
      <c r="DLV1" t="s">
        <v>3037</v>
      </c>
      <c r="DLW1" t="s">
        <v>3038</v>
      </c>
      <c r="DLX1" t="s">
        <v>3039</v>
      </c>
      <c r="DLY1" t="s">
        <v>3040</v>
      </c>
      <c r="DLZ1" t="s">
        <v>3041</v>
      </c>
      <c r="DMA1" t="s">
        <v>3042</v>
      </c>
      <c r="DMB1" t="s">
        <v>3043</v>
      </c>
      <c r="DMC1" t="s">
        <v>3044</v>
      </c>
      <c r="DMD1" t="s">
        <v>3045</v>
      </c>
      <c r="DME1" t="s">
        <v>3046</v>
      </c>
      <c r="DMF1" t="s">
        <v>3047</v>
      </c>
      <c r="DMG1" t="s">
        <v>3048</v>
      </c>
      <c r="DMH1" t="s">
        <v>3049</v>
      </c>
      <c r="DMI1" t="s">
        <v>3050</v>
      </c>
      <c r="DMJ1" t="s">
        <v>3051</v>
      </c>
      <c r="DMK1" t="s">
        <v>3052</v>
      </c>
      <c r="DML1" t="s">
        <v>3053</v>
      </c>
      <c r="DMM1" t="s">
        <v>3054</v>
      </c>
      <c r="DMN1" t="s">
        <v>3055</v>
      </c>
      <c r="DMO1" t="s">
        <v>3056</v>
      </c>
      <c r="DMP1" t="s">
        <v>3057</v>
      </c>
      <c r="DMQ1" t="s">
        <v>3058</v>
      </c>
      <c r="DMR1" t="s">
        <v>3059</v>
      </c>
      <c r="DMS1" t="s">
        <v>3060</v>
      </c>
      <c r="DMT1" t="s">
        <v>3061</v>
      </c>
      <c r="DMU1" t="s">
        <v>3062</v>
      </c>
      <c r="DMV1" t="s">
        <v>3063</v>
      </c>
      <c r="DMW1" t="s">
        <v>3064</v>
      </c>
      <c r="DMX1" t="s">
        <v>3065</v>
      </c>
      <c r="DMY1" t="s">
        <v>3066</v>
      </c>
      <c r="DMZ1" t="s">
        <v>3067</v>
      </c>
      <c r="DNA1" t="s">
        <v>3068</v>
      </c>
      <c r="DNB1" t="s">
        <v>3069</v>
      </c>
      <c r="DNC1" t="s">
        <v>3070</v>
      </c>
      <c r="DND1" t="s">
        <v>3071</v>
      </c>
      <c r="DNE1" t="s">
        <v>3072</v>
      </c>
      <c r="DNF1" t="s">
        <v>3073</v>
      </c>
      <c r="DNG1" t="s">
        <v>3074</v>
      </c>
      <c r="DNH1" t="s">
        <v>3075</v>
      </c>
      <c r="DNI1" t="s">
        <v>3076</v>
      </c>
      <c r="DNJ1" t="s">
        <v>3077</v>
      </c>
      <c r="DNK1" t="s">
        <v>3078</v>
      </c>
      <c r="DNL1" t="s">
        <v>3079</v>
      </c>
      <c r="DNM1" t="s">
        <v>3080</v>
      </c>
      <c r="DNN1" t="s">
        <v>3081</v>
      </c>
      <c r="DNO1" t="s">
        <v>3082</v>
      </c>
      <c r="DNP1" t="s">
        <v>3083</v>
      </c>
      <c r="DNQ1" t="s">
        <v>3084</v>
      </c>
      <c r="DNR1" t="s">
        <v>3085</v>
      </c>
      <c r="DNS1" t="s">
        <v>3086</v>
      </c>
      <c r="DNT1" t="s">
        <v>3087</v>
      </c>
      <c r="DNU1" t="s">
        <v>3088</v>
      </c>
      <c r="DNV1" t="s">
        <v>3089</v>
      </c>
      <c r="DNW1" t="s">
        <v>3090</v>
      </c>
      <c r="DNX1" t="s">
        <v>3091</v>
      </c>
      <c r="DNY1" t="s">
        <v>3092</v>
      </c>
      <c r="DNZ1" t="s">
        <v>3093</v>
      </c>
      <c r="DOA1" t="s">
        <v>3094</v>
      </c>
      <c r="DOB1" t="s">
        <v>3095</v>
      </c>
      <c r="DOC1" t="s">
        <v>3096</v>
      </c>
      <c r="DOD1" t="s">
        <v>3097</v>
      </c>
      <c r="DOE1" t="s">
        <v>3098</v>
      </c>
      <c r="DOF1" t="s">
        <v>3099</v>
      </c>
      <c r="DOG1" t="s">
        <v>3100</v>
      </c>
      <c r="DOH1" t="s">
        <v>3101</v>
      </c>
      <c r="DOI1" t="s">
        <v>3102</v>
      </c>
      <c r="DOJ1" t="s">
        <v>3103</v>
      </c>
      <c r="DOK1" t="s">
        <v>3104</v>
      </c>
      <c r="DOL1" t="s">
        <v>3105</v>
      </c>
      <c r="DOM1" t="s">
        <v>3106</v>
      </c>
      <c r="DON1" t="s">
        <v>3107</v>
      </c>
      <c r="DOO1" t="s">
        <v>3108</v>
      </c>
      <c r="DOP1" t="s">
        <v>3109</v>
      </c>
      <c r="DOQ1" t="s">
        <v>3110</v>
      </c>
      <c r="DOR1" t="s">
        <v>3111</v>
      </c>
      <c r="DOS1" t="s">
        <v>3112</v>
      </c>
      <c r="DOT1" t="s">
        <v>3113</v>
      </c>
      <c r="DOU1" t="s">
        <v>3114</v>
      </c>
      <c r="DOV1" t="s">
        <v>3115</v>
      </c>
      <c r="DOW1" t="s">
        <v>3116</v>
      </c>
      <c r="DOX1" t="s">
        <v>3117</v>
      </c>
      <c r="DOY1" t="s">
        <v>3118</v>
      </c>
      <c r="DOZ1" t="s">
        <v>3119</v>
      </c>
      <c r="DPA1" t="s">
        <v>3120</v>
      </c>
      <c r="DPB1" t="s">
        <v>3121</v>
      </c>
      <c r="DPC1" t="s">
        <v>3122</v>
      </c>
      <c r="DPD1" t="s">
        <v>3123</v>
      </c>
      <c r="DPE1" t="s">
        <v>3124</v>
      </c>
      <c r="DPF1" t="s">
        <v>3125</v>
      </c>
      <c r="DPG1" t="s">
        <v>3126</v>
      </c>
      <c r="DPH1" t="s">
        <v>3127</v>
      </c>
      <c r="DPI1" t="s">
        <v>3128</v>
      </c>
      <c r="DPJ1" t="s">
        <v>3129</v>
      </c>
      <c r="DPK1" t="s">
        <v>3130</v>
      </c>
      <c r="DPL1" t="s">
        <v>3131</v>
      </c>
      <c r="DPM1" t="s">
        <v>3132</v>
      </c>
      <c r="DPN1" t="s">
        <v>3133</v>
      </c>
      <c r="DPO1" t="s">
        <v>3134</v>
      </c>
      <c r="DPP1" t="s">
        <v>3135</v>
      </c>
      <c r="DPQ1" t="s">
        <v>3136</v>
      </c>
      <c r="DPR1" t="s">
        <v>3137</v>
      </c>
      <c r="DPS1" t="s">
        <v>3138</v>
      </c>
      <c r="DPT1" t="s">
        <v>3139</v>
      </c>
      <c r="DPU1" t="s">
        <v>3140</v>
      </c>
      <c r="DPV1" t="s">
        <v>3141</v>
      </c>
      <c r="DPW1" t="s">
        <v>3142</v>
      </c>
      <c r="DPX1" t="s">
        <v>3143</v>
      </c>
      <c r="DPY1" t="s">
        <v>3144</v>
      </c>
      <c r="DPZ1" t="s">
        <v>3145</v>
      </c>
      <c r="DQA1" t="s">
        <v>3146</v>
      </c>
      <c r="DQB1" t="s">
        <v>3147</v>
      </c>
      <c r="DQC1" t="s">
        <v>3148</v>
      </c>
      <c r="DQD1" t="s">
        <v>3149</v>
      </c>
      <c r="DQE1" t="s">
        <v>3150</v>
      </c>
      <c r="DQF1" t="s">
        <v>3151</v>
      </c>
      <c r="DQG1" t="s">
        <v>3152</v>
      </c>
      <c r="DQH1" t="s">
        <v>3153</v>
      </c>
      <c r="DQI1" t="s">
        <v>3154</v>
      </c>
      <c r="DQJ1" t="s">
        <v>3155</v>
      </c>
      <c r="DQK1" t="s">
        <v>3156</v>
      </c>
      <c r="DQL1" t="s">
        <v>3157</v>
      </c>
      <c r="DQM1" t="s">
        <v>3158</v>
      </c>
      <c r="DQN1" t="s">
        <v>3159</v>
      </c>
      <c r="DQO1" t="s">
        <v>3160</v>
      </c>
      <c r="DQP1" t="s">
        <v>3161</v>
      </c>
      <c r="DQQ1" t="s">
        <v>3162</v>
      </c>
      <c r="DQR1" t="s">
        <v>3163</v>
      </c>
      <c r="DQS1" t="s">
        <v>3164</v>
      </c>
      <c r="DQT1" t="s">
        <v>3165</v>
      </c>
      <c r="DQU1" t="s">
        <v>3166</v>
      </c>
      <c r="DQV1" t="s">
        <v>3167</v>
      </c>
      <c r="DQW1" t="s">
        <v>3168</v>
      </c>
      <c r="DQX1" t="s">
        <v>3169</v>
      </c>
      <c r="DQY1" t="s">
        <v>3170</v>
      </c>
      <c r="DQZ1" t="s">
        <v>3171</v>
      </c>
      <c r="DRA1" t="s">
        <v>3172</v>
      </c>
      <c r="DRB1" t="s">
        <v>3173</v>
      </c>
      <c r="DRC1" t="s">
        <v>3174</v>
      </c>
      <c r="DRD1" t="s">
        <v>3175</v>
      </c>
      <c r="DRE1" t="s">
        <v>3176</v>
      </c>
      <c r="DRF1" t="s">
        <v>3177</v>
      </c>
      <c r="DRG1" t="s">
        <v>3178</v>
      </c>
      <c r="DRH1" t="s">
        <v>3179</v>
      </c>
      <c r="DRI1" t="s">
        <v>3180</v>
      </c>
      <c r="DRJ1" t="s">
        <v>3181</v>
      </c>
      <c r="DRK1" t="s">
        <v>3182</v>
      </c>
      <c r="DRL1" t="s">
        <v>3183</v>
      </c>
      <c r="DRM1" t="s">
        <v>3184</v>
      </c>
      <c r="DRN1" t="s">
        <v>3185</v>
      </c>
      <c r="DRO1" t="s">
        <v>3186</v>
      </c>
      <c r="DRP1" t="s">
        <v>3187</v>
      </c>
      <c r="DRQ1" t="s">
        <v>3188</v>
      </c>
      <c r="DRR1" t="s">
        <v>3189</v>
      </c>
      <c r="DRS1" t="s">
        <v>3190</v>
      </c>
      <c r="DRT1" t="s">
        <v>3191</v>
      </c>
      <c r="DRU1" t="s">
        <v>3192</v>
      </c>
      <c r="DRV1" t="s">
        <v>3193</v>
      </c>
      <c r="DRW1" t="s">
        <v>3194</v>
      </c>
      <c r="DRX1" t="s">
        <v>3195</v>
      </c>
      <c r="DRY1" t="s">
        <v>3196</v>
      </c>
      <c r="DRZ1" t="s">
        <v>3197</v>
      </c>
      <c r="DSA1" t="s">
        <v>3198</v>
      </c>
      <c r="DSB1" t="s">
        <v>3199</v>
      </c>
      <c r="DSC1" t="s">
        <v>3200</v>
      </c>
      <c r="DSD1" t="s">
        <v>3201</v>
      </c>
      <c r="DSE1" t="s">
        <v>3202</v>
      </c>
      <c r="DSF1" t="s">
        <v>3203</v>
      </c>
      <c r="DSG1" t="s">
        <v>3204</v>
      </c>
      <c r="DSH1" t="s">
        <v>3205</v>
      </c>
      <c r="DSI1" t="s">
        <v>3206</v>
      </c>
      <c r="DSJ1" t="s">
        <v>3207</v>
      </c>
      <c r="DSK1" t="s">
        <v>3208</v>
      </c>
      <c r="DSL1" t="s">
        <v>3209</v>
      </c>
      <c r="DSM1" t="s">
        <v>3210</v>
      </c>
      <c r="DSN1" t="s">
        <v>3211</v>
      </c>
      <c r="DSO1" t="s">
        <v>3212</v>
      </c>
      <c r="DSP1" t="s">
        <v>3213</v>
      </c>
      <c r="DSQ1" t="s">
        <v>3214</v>
      </c>
      <c r="DSR1" t="s">
        <v>3215</v>
      </c>
      <c r="DSS1" t="s">
        <v>3216</v>
      </c>
      <c r="DST1" t="s">
        <v>3217</v>
      </c>
      <c r="DSU1" t="s">
        <v>3218</v>
      </c>
      <c r="DSV1" t="s">
        <v>3219</v>
      </c>
      <c r="DSW1" t="s">
        <v>3220</v>
      </c>
      <c r="DSX1" t="s">
        <v>3221</v>
      </c>
      <c r="DSY1" t="s">
        <v>3222</v>
      </c>
      <c r="DSZ1" t="s">
        <v>3223</v>
      </c>
      <c r="DTA1" t="s">
        <v>3224</v>
      </c>
      <c r="DTB1" t="s">
        <v>3225</v>
      </c>
      <c r="DTC1" t="s">
        <v>3226</v>
      </c>
      <c r="DTD1" t="s">
        <v>3227</v>
      </c>
      <c r="DTE1" t="s">
        <v>3228</v>
      </c>
      <c r="DTF1" t="s">
        <v>3229</v>
      </c>
      <c r="DTG1" t="s">
        <v>3230</v>
      </c>
      <c r="DTH1" t="s">
        <v>3231</v>
      </c>
      <c r="DTI1" t="s">
        <v>3232</v>
      </c>
      <c r="DTJ1" t="s">
        <v>3233</v>
      </c>
      <c r="DTK1" t="s">
        <v>3234</v>
      </c>
      <c r="DTL1" t="s">
        <v>3235</v>
      </c>
      <c r="DTM1" t="s">
        <v>3236</v>
      </c>
      <c r="DTN1" t="s">
        <v>3237</v>
      </c>
      <c r="DTO1" t="s">
        <v>3238</v>
      </c>
      <c r="DTP1" t="s">
        <v>3239</v>
      </c>
      <c r="DTQ1" t="s">
        <v>3240</v>
      </c>
      <c r="DTR1" t="s">
        <v>3241</v>
      </c>
      <c r="DTS1" t="s">
        <v>3242</v>
      </c>
      <c r="DTT1" t="s">
        <v>3243</v>
      </c>
      <c r="DTU1" t="s">
        <v>3244</v>
      </c>
      <c r="DTV1" t="s">
        <v>3245</v>
      </c>
      <c r="DTW1" t="s">
        <v>3246</v>
      </c>
      <c r="DTX1" t="s">
        <v>3247</v>
      </c>
      <c r="DTY1" t="s">
        <v>3248</v>
      </c>
      <c r="DTZ1" t="s">
        <v>3249</v>
      </c>
      <c r="DUA1" t="s">
        <v>3250</v>
      </c>
      <c r="DUB1" t="s">
        <v>3251</v>
      </c>
      <c r="DUC1" t="s">
        <v>3252</v>
      </c>
      <c r="DUD1" t="s">
        <v>3253</v>
      </c>
      <c r="DUE1" t="s">
        <v>3254</v>
      </c>
      <c r="DUF1" t="s">
        <v>3255</v>
      </c>
      <c r="DUG1" t="s">
        <v>3256</v>
      </c>
      <c r="DUH1" t="s">
        <v>3257</v>
      </c>
      <c r="DUI1" t="s">
        <v>3258</v>
      </c>
      <c r="DUJ1" t="s">
        <v>3259</v>
      </c>
      <c r="DUK1" t="s">
        <v>3260</v>
      </c>
      <c r="DUL1" t="s">
        <v>3261</v>
      </c>
      <c r="DUM1" t="s">
        <v>3262</v>
      </c>
      <c r="DUN1" t="s">
        <v>3263</v>
      </c>
      <c r="DUO1" t="s">
        <v>3264</v>
      </c>
      <c r="DUP1" t="s">
        <v>3265</v>
      </c>
      <c r="DUQ1" t="s">
        <v>3266</v>
      </c>
      <c r="DUR1" t="s">
        <v>3267</v>
      </c>
      <c r="DUS1" t="s">
        <v>3268</v>
      </c>
      <c r="DUT1" t="s">
        <v>3269</v>
      </c>
      <c r="DUU1" t="s">
        <v>3270</v>
      </c>
      <c r="DUV1" t="s">
        <v>3271</v>
      </c>
      <c r="DUW1" t="s">
        <v>3272</v>
      </c>
      <c r="DUX1" t="s">
        <v>3273</v>
      </c>
      <c r="DUY1" t="s">
        <v>3274</v>
      </c>
      <c r="DUZ1" t="s">
        <v>3275</v>
      </c>
      <c r="DVA1" t="s">
        <v>3276</v>
      </c>
      <c r="DVB1" t="s">
        <v>3277</v>
      </c>
      <c r="DVC1" t="s">
        <v>3278</v>
      </c>
      <c r="DVD1" t="s">
        <v>3279</v>
      </c>
      <c r="DVE1" t="s">
        <v>3280</v>
      </c>
      <c r="DVF1" t="s">
        <v>3281</v>
      </c>
      <c r="DVG1" t="s">
        <v>3282</v>
      </c>
      <c r="DVH1" t="s">
        <v>3283</v>
      </c>
      <c r="DVI1" t="s">
        <v>3284</v>
      </c>
      <c r="DVJ1" t="s">
        <v>3285</v>
      </c>
      <c r="DVK1" t="s">
        <v>3286</v>
      </c>
      <c r="DVL1" t="s">
        <v>3287</v>
      </c>
      <c r="DVM1" t="s">
        <v>3288</v>
      </c>
      <c r="DVN1" t="s">
        <v>3289</v>
      </c>
      <c r="DVO1" t="s">
        <v>3290</v>
      </c>
      <c r="DVP1" t="s">
        <v>3291</v>
      </c>
      <c r="DVQ1" t="s">
        <v>3292</v>
      </c>
      <c r="DVR1" t="s">
        <v>3293</v>
      </c>
      <c r="DVS1" t="s">
        <v>3294</v>
      </c>
      <c r="DVT1" t="s">
        <v>3295</v>
      </c>
      <c r="DVU1" t="s">
        <v>3296</v>
      </c>
      <c r="DVV1" t="s">
        <v>3297</v>
      </c>
      <c r="DVW1" t="s">
        <v>3298</v>
      </c>
      <c r="DVX1" t="s">
        <v>3299</v>
      </c>
      <c r="DVY1" t="s">
        <v>3300</v>
      </c>
      <c r="DVZ1" t="s">
        <v>3301</v>
      </c>
      <c r="DWA1" t="s">
        <v>3302</v>
      </c>
      <c r="DWB1" t="s">
        <v>3303</v>
      </c>
      <c r="DWC1" t="s">
        <v>3304</v>
      </c>
      <c r="DWD1" t="s">
        <v>3305</v>
      </c>
      <c r="DWE1" t="s">
        <v>3306</v>
      </c>
      <c r="DWF1" t="s">
        <v>3307</v>
      </c>
      <c r="DWG1" t="s">
        <v>3308</v>
      </c>
      <c r="DWH1" t="s">
        <v>3309</v>
      </c>
      <c r="DWI1" t="s">
        <v>3310</v>
      </c>
      <c r="DWJ1" t="s">
        <v>3311</v>
      </c>
      <c r="DWK1" t="s">
        <v>3312</v>
      </c>
      <c r="DWL1" t="s">
        <v>3313</v>
      </c>
      <c r="DWM1" t="s">
        <v>3314</v>
      </c>
      <c r="DWN1" t="s">
        <v>3315</v>
      </c>
      <c r="DWO1" t="s">
        <v>3316</v>
      </c>
      <c r="DWP1" t="s">
        <v>3317</v>
      </c>
      <c r="DWQ1" t="s">
        <v>3318</v>
      </c>
      <c r="DWR1" t="s">
        <v>3319</v>
      </c>
      <c r="DWS1" t="s">
        <v>3320</v>
      </c>
      <c r="DWT1" t="s">
        <v>3321</v>
      </c>
      <c r="DWU1" t="s">
        <v>3322</v>
      </c>
      <c r="DWV1" t="s">
        <v>3323</v>
      </c>
      <c r="DWW1" t="s">
        <v>3324</v>
      </c>
      <c r="DWX1" t="s">
        <v>3325</v>
      </c>
      <c r="DWY1" t="s">
        <v>3326</v>
      </c>
      <c r="DWZ1" t="s">
        <v>3327</v>
      </c>
      <c r="DXA1" t="s">
        <v>3328</v>
      </c>
      <c r="DXB1" t="s">
        <v>3329</v>
      </c>
      <c r="DXC1" t="s">
        <v>3330</v>
      </c>
      <c r="DXD1" t="s">
        <v>3331</v>
      </c>
      <c r="DXE1" t="s">
        <v>3332</v>
      </c>
      <c r="DXF1" t="s">
        <v>3333</v>
      </c>
      <c r="DXG1" t="s">
        <v>3334</v>
      </c>
      <c r="DXH1" t="s">
        <v>3335</v>
      </c>
      <c r="DXI1" t="s">
        <v>3336</v>
      </c>
      <c r="DXJ1" t="s">
        <v>3337</v>
      </c>
      <c r="DXK1" t="s">
        <v>3338</v>
      </c>
      <c r="DXL1" t="s">
        <v>3339</v>
      </c>
      <c r="DXM1" t="s">
        <v>3340</v>
      </c>
      <c r="DXN1" t="s">
        <v>3341</v>
      </c>
      <c r="DXO1" t="s">
        <v>3342</v>
      </c>
      <c r="DXP1" t="s">
        <v>3343</v>
      </c>
      <c r="DXQ1" t="s">
        <v>3344</v>
      </c>
      <c r="DXR1" t="s">
        <v>3345</v>
      </c>
      <c r="DXS1" t="s">
        <v>3346</v>
      </c>
      <c r="DXT1" t="s">
        <v>3347</v>
      </c>
      <c r="DXU1" t="s">
        <v>3348</v>
      </c>
      <c r="DXV1" t="s">
        <v>3349</v>
      </c>
      <c r="DXW1" t="s">
        <v>3350</v>
      </c>
      <c r="DXX1" t="s">
        <v>3351</v>
      </c>
      <c r="DXY1" t="s">
        <v>3352</v>
      </c>
      <c r="DXZ1" t="s">
        <v>3353</v>
      </c>
      <c r="DYA1" t="s">
        <v>3354</v>
      </c>
      <c r="DYB1" t="s">
        <v>3355</v>
      </c>
      <c r="DYC1" t="s">
        <v>3356</v>
      </c>
      <c r="DYD1" t="s">
        <v>3357</v>
      </c>
      <c r="DYE1" t="s">
        <v>3358</v>
      </c>
      <c r="DYF1" t="s">
        <v>3359</v>
      </c>
      <c r="DYG1" t="s">
        <v>3360</v>
      </c>
      <c r="DYH1" t="s">
        <v>3361</v>
      </c>
      <c r="DYI1" t="s">
        <v>3362</v>
      </c>
      <c r="DYJ1" t="s">
        <v>3363</v>
      </c>
      <c r="DYK1" t="s">
        <v>3364</v>
      </c>
      <c r="DYL1" t="s">
        <v>3365</v>
      </c>
      <c r="DYM1" t="s">
        <v>3366</v>
      </c>
      <c r="DYN1" t="s">
        <v>3367</v>
      </c>
      <c r="DYO1" t="s">
        <v>3368</v>
      </c>
      <c r="DYP1" t="s">
        <v>3369</v>
      </c>
      <c r="DYQ1" t="s">
        <v>3370</v>
      </c>
      <c r="DYR1" t="s">
        <v>3371</v>
      </c>
      <c r="DYS1" t="s">
        <v>3372</v>
      </c>
      <c r="DYT1" t="s">
        <v>3373</v>
      </c>
      <c r="DYU1" t="s">
        <v>3374</v>
      </c>
      <c r="DYV1" t="s">
        <v>3375</v>
      </c>
      <c r="DYW1" t="s">
        <v>3376</v>
      </c>
      <c r="DYX1" t="s">
        <v>3377</v>
      </c>
      <c r="DYY1" t="s">
        <v>3378</v>
      </c>
      <c r="DYZ1" t="s">
        <v>3379</v>
      </c>
      <c r="DZA1" t="s">
        <v>3380</v>
      </c>
      <c r="DZB1" t="s">
        <v>3381</v>
      </c>
      <c r="DZC1" t="s">
        <v>3382</v>
      </c>
      <c r="DZD1" t="s">
        <v>3383</v>
      </c>
      <c r="DZE1" t="s">
        <v>3384</v>
      </c>
      <c r="DZF1" t="s">
        <v>3385</v>
      </c>
      <c r="DZG1" t="s">
        <v>3386</v>
      </c>
      <c r="DZH1" t="s">
        <v>3387</v>
      </c>
      <c r="DZI1" t="s">
        <v>3388</v>
      </c>
      <c r="DZJ1" t="s">
        <v>3389</v>
      </c>
      <c r="DZK1" t="s">
        <v>3390</v>
      </c>
      <c r="DZL1" t="s">
        <v>3391</v>
      </c>
      <c r="DZM1" t="s">
        <v>3392</v>
      </c>
      <c r="DZN1" t="s">
        <v>3393</v>
      </c>
      <c r="DZO1" t="s">
        <v>3394</v>
      </c>
      <c r="DZP1" t="s">
        <v>3395</v>
      </c>
      <c r="DZQ1" t="s">
        <v>3396</v>
      </c>
      <c r="DZR1" t="s">
        <v>3397</v>
      </c>
      <c r="DZS1" t="s">
        <v>3398</v>
      </c>
      <c r="DZT1" t="s">
        <v>3399</v>
      </c>
      <c r="DZU1" t="s">
        <v>3400</v>
      </c>
      <c r="DZV1" t="s">
        <v>3401</v>
      </c>
      <c r="DZW1" t="s">
        <v>3402</v>
      </c>
      <c r="DZX1" t="s">
        <v>3403</v>
      </c>
      <c r="DZY1" t="s">
        <v>3404</v>
      </c>
      <c r="DZZ1" t="s">
        <v>3405</v>
      </c>
      <c r="EAA1" t="s">
        <v>3406</v>
      </c>
      <c r="EAB1" t="s">
        <v>3407</v>
      </c>
      <c r="EAC1" t="s">
        <v>3408</v>
      </c>
      <c r="EAD1" t="s">
        <v>3409</v>
      </c>
      <c r="EAE1" t="s">
        <v>3410</v>
      </c>
      <c r="EAF1" t="s">
        <v>3411</v>
      </c>
      <c r="EAG1" t="s">
        <v>3412</v>
      </c>
      <c r="EAH1" t="s">
        <v>3413</v>
      </c>
      <c r="EAI1" t="s">
        <v>3414</v>
      </c>
      <c r="EAJ1" t="s">
        <v>3415</v>
      </c>
      <c r="EAK1" t="s">
        <v>3416</v>
      </c>
      <c r="EAL1" t="s">
        <v>3417</v>
      </c>
      <c r="EAM1" t="s">
        <v>3418</v>
      </c>
      <c r="EAN1" t="s">
        <v>3419</v>
      </c>
      <c r="EAO1" t="s">
        <v>3420</v>
      </c>
      <c r="EAP1" t="s">
        <v>3421</v>
      </c>
      <c r="EAQ1" t="s">
        <v>3422</v>
      </c>
      <c r="EAR1" t="s">
        <v>3423</v>
      </c>
      <c r="EAS1" t="s">
        <v>3424</v>
      </c>
      <c r="EAT1" t="s">
        <v>3425</v>
      </c>
      <c r="EAU1" t="s">
        <v>3426</v>
      </c>
      <c r="EAV1" t="s">
        <v>3427</v>
      </c>
      <c r="EAW1" t="s">
        <v>3428</v>
      </c>
      <c r="EAX1" t="s">
        <v>3429</v>
      </c>
      <c r="EAY1" t="s">
        <v>3430</v>
      </c>
      <c r="EAZ1" t="s">
        <v>3431</v>
      </c>
      <c r="EBA1" t="s">
        <v>3432</v>
      </c>
      <c r="EBB1" t="s">
        <v>3433</v>
      </c>
      <c r="EBC1" t="s">
        <v>3434</v>
      </c>
      <c r="EBD1" t="s">
        <v>3435</v>
      </c>
      <c r="EBE1" t="s">
        <v>3436</v>
      </c>
      <c r="EBF1" t="s">
        <v>3437</v>
      </c>
      <c r="EBG1" t="s">
        <v>3438</v>
      </c>
      <c r="EBH1" t="s">
        <v>3439</v>
      </c>
      <c r="EBI1" t="s">
        <v>3440</v>
      </c>
      <c r="EBJ1" t="s">
        <v>3441</v>
      </c>
      <c r="EBK1" t="s">
        <v>3442</v>
      </c>
      <c r="EBL1" t="s">
        <v>3443</v>
      </c>
      <c r="EBM1" t="s">
        <v>3444</v>
      </c>
      <c r="EBN1" t="s">
        <v>3445</v>
      </c>
      <c r="EBO1" t="s">
        <v>3446</v>
      </c>
      <c r="EBP1" t="s">
        <v>3447</v>
      </c>
      <c r="EBQ1" t="s">
        <v>3448</v>
      </c>
      <c r="EBR1" t="s">
        <v>3449</v>
      </c>
      <c r="EBS1" t="s">
        <v>3450</v>
      </c>
      <c r="EBT1" t="s">
        <v>3451</v>
      </c>
      <c r="EBU1" t="s">
        <v>3452</v>
      </c>
      <c r="EBV1" t="s">
        <v>3453</v>
      </c>
      <c r="EBW1" t="s">
        <v>3454</v>
      </c>
      <c r="EBX1" t="s">
        <v>3455</v>
      </c>
      <c r="EBY1" t="s">
        <v>3456</v>
      </c>
      <c r="EBZ1" t="s">
        <v>3457</v>
      </c>
      <c r="ECA1" t="s">
        <v>3458</v>
      </c>
      <c r="ECB1" t="s">
        <v>3459</v>
      </c>
      <c r="ECC1" t="s">
        <v>3460</v>
      </c>
      <c r="ECD1" t="s">
        <v>3461</v>
      </c>
      <c r="ECE1" t="s">
        <v>3462</v>
      </c>
      <c r="ECF1" t="s">
        <v>3463</v>
      </c>
      <c r="ECG1" t="s">
        <v>3464</v>
      </c>
      <c r="ECH1" t="s">
        <v>3465</v>
      </c>
      <c r="ECI1" t="s">
        <v>3466</v>
      </c>
      <c r="ECJ1" t="s">
        <v>3467</v>
      </c>
      <c r="ECK1" t="s">
        <v>3468</v>
      </c>
      <c r="ECL1" t="s">
        <v>3469</v>
      </c>
      <c r="ECM1" t="s">
        <v>3470</v>
      </c>
      <c r="ECN1" t="s">
        <v>3471</v>
      </c>
      <c r="ECO1" t="s">
        <v>3472</v>
      </c>
      <c r="ECP1" t="s">
        <v>3473</v>
      </c>
      <c r="ECQ1" t="s">
        <v>3474</v>
      </c>
      <c r="ECR1" t="s">
        <v>3475</v>
      </c>
      <c r="ECS1" t="s">
        <v>3476</v>
      </c>
      <c r="ECT1" t="s">
        <v>3477</v>
      </c>
      <c r="ECU1" t="s">
        <v>3478</v>
      </c>
      <c r="ECV1" t="s">
        <v>3479</v>
      </c>
      <c r="ECW1" t="s">
        <v>3480</v>
      </c>
      <c r="ECX1" t="s">
        <v>3481</v>
      </c>
      <c r="ECY1" t="s">
        <v>3482</v>
      </c>
      <c r="ECZ1" t="s">
        <v>3483</v>
      </c>
      <c r="EDA1" t="s">
        <v>3484</v>
      </c>
      <c r="EDB1" t="s">
        <v>3485</v>
      </c>
      <c r="EDC1" t="s">
        <v>3486</v>
      </c>
      <c r="EDD1" t="s">
        <v>3487</v>
      </c>
      <c r="EDE1" t="s">
        <v>3488</v>
      </c>
      <c r="EDF1" t="s">
        <v>3489</v>
      </c>
      <c r="EDG1" t="s">
        <v>3490</v>
      </c>
      <c r="EDH1" t="s">
        <v>3491</v>
      </c>
      <c r="EDI1" t="s">
        <v>3492</v>
      </c>
      <c r="EDJ1" t="s">
        <v>3493</v>
      </c>
      <c r="EDK1" t="s">
        <v>3494</v>
      </c>
      <c r="EDL1" t="s">
        <v>3495</v>
      </c>
      <c r="EDM1" t="s">
        <v>3496</v>
      </c>
      <c r="EDN1" t="s">
        <v>3497</v>
      </c>
      <c r="EDO1" t="s">
        <v>3498</v>
      </c>
      <c r="EDP1" t="s">
        <v>3499</v>
      </c>
      <c r="EDQ1" t="s">
        <v>3500</v>
      </c>
      <c r="EDR1" t="s">
        <v>3501</v>
      </c>
      <c r="EDS1" t="s">
        <v>3502</v>
      </c>
      <c r="EDT1" t="s">
        <v>3503</v>
      </c>
      <c r="EDU1" t="s">
        <v>3504</v>
      </c>
      <c r="EDV1" t="s">
        <v>3505</v>
      </c>
      <c r="EDW1" t="s">
        <v>3506</v>
      </c>
      <c r="EDX1" t="s">
        <v>3507</v>
      </c>
      <c r="EDY1" t="s">
        <v>3508</v>
      </c>
      <c r="EDZ1" t="s">
        <v>3509</v>
      </c>
      <c r="EEA1" t="s">
        <v>3510</v>
      </c>
      <c r="EEB1" t="s">
        <v>3511</v>
      </c>
      <c r="EEC1" t="s">
        <v>3512</v>
      </c>
      <c r="EED1" t="s">
        <v>3513</v>
      </c>
      <c r="EEE1" t="s">
        <v>3514</v>
      </c>
      <c r="EEF1" t="s">
        <v>3515</v>
      </c>
      <c r="EEG1" t="s">
        <v>3516</v>
      </c>
      <c r="EEH1" t="s">
        <v>3517</v>
      </c>
      <c r="EEI1" t="s">
        <v>3518</v>
      </c>
      <c r="EEJ1" t="s">
        <v>3519</v>
      </c>
      <c r="EEK1" t="s">
        <v>3520</v>
      </c>
      <c r="EEL1" t="s">
        <v>3521</v>
      </c>
      <c r="EEM1" t="s">
        <v>3522</v>
      </c>
      <c r="EEN1" t="s">
        <v>3523</v>
      </c>
      <c r="EEO1" t="s">
        <v>3524</v>
      </c>
      <c r="EEP1" t="s">
        <v>3525</v>
      </c>
      <c r="EEQ1" t="s">
        <v>3526</v>
      </c>
      <c r="EER1" t="s">
        <v>3527</v>
      </c>
      <c r="EES1" t="s">
        <v>3528</v>
      </c>
      <c r="EET1" t="s">
        <v>3529</v>
      </c>
      <c r="EEU1" t="s">
        <v>3530</v>
      </c>
      <c r="EEV1" t="s">
        <v>3531</v>
      </c>
      <c r="EEW1" t="s">
        <v>3532</v>
      </c>
      <c r="EEX1" t="s">
        <v>3533</v>
      </c>
      <c r="EEY1" t="s">
        <v>3534</v>
      </c>
      <c r="EEZ1" t="s">
        <v>3535</v>
      </c>
      <c r="EFA1" t="s">
        <v>3536</v>
      </c>
      <c r="EFB1" t="s">
        <v>3537</v>
      </c>
      <c r="EFC1" t="s">
        <v>3538</v>
      </c>
      <c r="EFD1" t="s">
        <v>3539</v>
      </c>
      <c r="EFE1" t="s">
        <v>3540</v>
      </c>
      <c r="EFF1" t="s">
        <v>3541</v>
      </c>
      <c r="EFG1" t="s">
        <v>3542</v>
      </c>
      <c r="EFH1" t="s">
        <v>3543</v>
      </c>
      <c r="EFI1" t="s">
        <v>3544</v>
      </c>
      <c r="EFJ1" t="s">
        <v>3545</v>
      </c>
      <c r="EFK1" t="s">
        <v>3546</v>
      </c>
      <c r="EFL1" t="s">
        <v>3547</v>
      </c>
      <c r="EFM1" t="s">
        <v>3548</v>
      </c>
      <c r="EFN1" t="s">
        <v>3549</v>
      </c>
      <c r="EFO1" t="s">
        <v>3550</v>
      </c>
      <c r="EFP1" t="s">
        <v>3551</v>
      </c>
      <c r="EFQ1" t="s">
        <v>3552</v>
      </c>
      <c r="EFR1" t="s">
        <v>3553</v>
      </c>
      <c r="EFS1" t="s">
        <v>3554</v>
      </c>
      <c r="EFT1" t="s">
        <v>3555</v>
      </c>
      <c r="EFU1" t="s">
        <v>3556</v>
      </c>
      <c r="EFV1" t="s">
        <v>3557</v>
      </c>
      <c r="EFW1" t="s">
        <v>3558</v>
      </c>
      <c r="EFX1" t="s">
        <v>3559</v>
      </c>
      <c r="EFY1" t="s">
        <v>3560</v>
      </c>
      <c r="EFZ1" t="s">
        <v>3561</v>
      </c>
      <c r="EGA1" t="s">
        <v>3562</v>
      </c>
      <c r="EGB1" t="s">
        <v>3563</v>
      </c>
      <c r="EGC1" t="s">
        <v>3564</v>
      </c>
      <c r="EGD1" t="s">
        <v>3565</v>
      </c>
      <c r="EGE1" t="s">
        <v>3566</v>
      </c>
      <c r="EGF1" t="s">
        <v>3567</v>
      </c>
      <c r="EGG1" t="s">
        <v>3568</v>
      </c>
      <c r="EGH1" t="s">
        <v>3569</v>
      </c>
      <c r="EGI1" t="s">
        <v>3570</v>
      </c>
      <c r="EGJ1" t="s">
        <v>3571</v>
      </c>
      <c r="EGK1" t="s">
        <v>3572</v>
      </c>
      <c r="EGL1" t="s">
        <v>3573</v>
      </c>
      <c r="EGM1" t="s">
        <v>3574</v>
      </c>
      <c r="EGN1" t="s">
        <v>3575</v>
      </c>
      <c r="EGO1" t="s">
        <v>3576</v>
      </c>
      <c r="EGP1" t="s">
        <v>3577</v>
      </c>
      <c r="EGQ1" t="s">
        <v>3578</v>
      </c>
      <c r="EGR1" t="s">
        <v>3579</v>
      </c>
      <c r="EGS1" t="s">
        <v>3580</v>
      </c>
      <c r="EGT1" t="s">
        <v>3581</v>
      </c>
      <c r="EGU1" t="s">
        <v>3582</v>
      </c>
      <c r="EGV1" t="s">
        <v>3583</v>
      </c>
      <c r="EGW1" t="s">
        <v>3584</v>
      </c>
      <c r="EGX1" t="s">
        <v>3585</v>
      </c>
      <c r="EGY1" t="s">
        <v>3586</v>
      </c>
      <c r="EGZ1" t="s">
        <v>3587</v>
      </c>
      <c r="EHA1" t="s">
        <v>3588</v>
      </c>
      <c r="EHB1" t="s">
        <v>3589</v>
      </c>
      <c r="EHC1" t="s">
        <v>3590</v>
      </c>
      <c r="EHD1" t="s">
        <v>3591</v>
      </c>
      <c r="EHE1" t="s">
        <v>3592</v>
      </c>
      <c r="EHF1" t="s">
        <v>3593</v>
      </c>
      <c r="EHG1" t="s">
        <v>3594</v>
      </c>
      <c r="EHH1" t="s">
        <v>3595</v>
      </c>
      <c r="EHI1" t="s">
        <v>3596</v>
      </c>
      <c r="EHJ1" t="s">
        <v>3597</v>
      </c>
      <c r="EHK1" t="s">
        <v>3598</v>
      </c>
      <c r="EHL1" t="s">
        <v>3599</v>
      </c>
      <c r="EHM1" t="s">
        <v>3600</v>
      </c>
      <c r="EHN1" t="s">
        <v>3601</v>
      </c>
      <c r="EHO1" t="s">
        <v>3602</v>
      </c>
      <c r="EHP1" t="s">
        <v>3603</v>
      </c>
      <c r="EHQ1" t="s">
        <v>3604</v>
      </c>
      <c r="EHR1" t="s">
        <v>3605</v>
      </c>
      <c r="EHS1" t="s">
        <v>3606</v>
      </c>
      <c r="EHT1" t="s">
        <v>3607</v>
      </c>
      <c r="EHU1" t="s">
        <v>3608</v>
      </c>
      <c r="EHV1" t="s">
        <v>3609</v>
      </c>
      <c r="EHW1" t="s">
        <v>3610</v>
      </c>
      <c r="EHX1" t="s">
        <v>3611</v>
      </c>
      <c r="EHY1" t="s">
        <v>3612</v>
      </c>
      <c r="EHZ1" t="s">
        <v>3613</v>
      </c>
      <c r="EIA1" t="s">
        <v>3614</v>
      </c>
      <c r="EIB1" t="s">
        <v>3615</v>
      </c>
      <c r="EIC1" t="s">
        <v>3616</v>
      </c>
      <c r="EID1" t="s">
        <v>3617</v>
      </c>
      <c r="EIE1" t="s">
        <v>3618</v>
      </c>
      <c r="EIF1" t="s">
        <v>3619</v>
      </c>
      <c r="EIG1" t="s">
        <v>3620</v>
      </c>
      <c r="EIH1" t="s">
        <v>3621</v>
      </c>
      <c r="EII1" t="s">
        <v>3622</v>
      </c>
      <c r="EIJ1" t="s">
        <v>3623</v>
      </c>
      <c r="EIK1" t="s">
        <v>3624</v>
      </c>
      <c r="EIL1" t="s">
        <v>3625</v>
      </c>
      <c r="EIM1" t="s">
        <v>3626</v>
      </c>
      <c r="EIN1" t="s">
        <v>3627</v>
      </c>
      <c r="EIO1" t="s">
        <v>3628</v>
      </c>
      <c r="EIP1" t="s">
        <v>3629</v>
      </c>
      <c r="EIQ1" t="s">
        <v>3630</v>
      </c>
      <c r="EIR1" t="s">
        <v>3631</v>
      </c>
      <c r="EIS1" t="s">
        <v>3632</v>
      </c>
      <c r="EIT1" t="s">
        <v>3633</v>
      </c>
      <c r="EIU1" t="s">
        <v>3634</v>
      </c>
      <c r="EIV1" t="s">
        <v>3635</v>
      </c>
      <c r="EIW1" t="s">
        <v>3636</v>
      </c>
      <c r="EIX1" t="s">
        <v>3637</v>
      </c>
      <c r="EIY1" t="s">
        <v>3638</v>
      </c>
      <c r="EIZ1" t="s">
        <v>3639</v>
      </c>
      <c r="EJA1" t="s">
        <v>3640</v>
      </c>
      <c r="EJB1" t="s">
        <v>3641</v>
      </c>
      <c r="EJC1" t="s">
        <v>3642</v>
      </c>
      <c r="EJD1" t="s">
        <v>3643</v>
      </c>
      <c r="EJE1" t="s">
        <v>3644</v>
      </c>
      <c r="EJF1" t="s">
        <v>3645</v>
      </c>
      <c r="EJG1" t="s">
        <v>3646</v>
      </c>
      <c r="EJH1" t="s">
        <v>3647</v>
      </c>
      <c r="EJI1" t="s">
        <v>3648</v>
      </c>
      <c r="EJJ1" t="s">
        <v>3649</v>
      </c>
      <c r="EJK1" t="s">
        <v>3650</v>
      </c>
      <c r="EJL1" t="s">
        <v>3651</v>
      </c>
      <c r="EJM1" t="s">
        <v>3652</v>
      </c>
      <c r="EJN1" t="s">
        <v>3653</v>
      </c>
      <c r="EJO1" t="s">
        <v>3654</v>
      </c>
      <c r="EJP1" t="s">
        <v>3655</v>
      </c>
      <c r="EJQ1" t="s">
        <v>3656</v>
      </c>
      <c r="EJR1" t="s">
        <v>3657</v>
      </c>
      <c r="EJS1" t="s">
        <v>3658</v>
      </c>
      <c r="EJT1" t="s">
        <v>3659</v>
      </c>
      <c r="EJU1" t="s">
        <v>3660</v>
      </c>
      <c r="EJV1" t="s">
        <v>3661</v>
      </c>
      <c r="EJW1" t="s">
        <v>3662</v>
      </c>
      <c r="EJX1" t="s">
        <v>3663</v>
      </c>
      <c r="EJY1" t="s">
        <v>3664</v>
      </c>
      <c r="EJZ1" t="s">
        <v>3665</v>
      </c>
      <c r="EKA1" t="s">
        <v>3666</v>
      </c>
      <c r="EKB1" t="s">
        <v>3667</v>
      </c>
      <c r="EKC1" t="s">
        <v>3668</v>
      </c>
      <c r="EKD1" t="s">
        <v>3669</v>
      </c>
      <c r="EKE1" t="s">
        <v>3670</v>
      </c>
      <c r="EKF1" t="s">
        <v>3671</v>
      </c>
      <c r="EKG1" t="s">
        <v>3672</v>
      </c>
      <c r="EKH1" t="s">
        <v>3673</v>
      </c>
      <c r="EKI1" t="s">
        <v>3674</v>
      </c>
      <c r="EKJ1" t="s">
        <v>3675</v>
      </c>
      <c r="EKK1" t="s">
        <v>3676</v>
      </c>
      <c r="EKL1" t="s">
        <v>3677</v>
      </c>
      <c r="EKM1" t="s">
        <v>3678</v>
      </c>
      <c r="EKN1" t="s">
        <v>3679</v>
      </c>
      <c r="EKO1" t="s">
        <v>3680</v>
      </c>
      <c r="EKP1" t="s">
        <v>3681</v>
      </c>
      <c r="EKQ1" t="s">
        <v>3682</v>
      </c>
      <c r="EKR1" t="s">
        <v>3683</v>
      </c>
      <c r="EKS1" t="s">
        <v>3684</v>
      </c>
      <c r="EKT1" t="s">
        <v>3685</v>
      </c>
      <c r="EKU1" t="s">
        <v>3686</v>
      </c>
      <c r="EKV1" t="s">
        <v>3687</v>
      </c>
      <c r="EKW1" t="s">
        <v>3688</v>
      </c>
      <c r="EKX1" t="s">
        <v>3689</v>
      </c>
      <c r="EKY1" t="s">
        <v>3690</v>
      </c>
      <c r="EKZ1" t="s">
        <v>3691</v>
      </c>
      <c r="ELA1" t="s">
        <v>3692</v>
      </c>
      <c r="ELB1" t="s">
        <v>3693</v>
      </c>
      <c r="ELC1" t="s">
        <v>3694</v>
      </c>
      <c r="ELD1" t="s">
        <v>3695</v>
      </c>
      <c r="ELE1" t="s">
        <v>3696</v>
      </c>
      <c r="ELF1" t="s">
        <v>3697</v>
      </c>
      <c r="ELG1" t="s">
        <v>3698</v>
      </c>
      <c r="ELH1" t="s">
        <v>3699</v>
      </c>
      <c r="ELI1" t="s">
        <v>3700</v>
      </c>
      <c r="ELJ1" t="s">
        <v>3701</v>
      </c>
      <c r="ELK1" t="s">
        <v>3702</v>
      </c>
      <c r="ELL1" t="s">
        <v>3703</v>
      </c>
      <c r="ELM1" t="s">
        <v>3704</v>
      </c>
      <c r="ELN1" t="s">
        <v>3705</v>
      </c>
      <c r="ELO1" t="s">
        <v>3706</v>
      </c>
      <c r="ELP1" t="s">
        <v>3707</v>
      </c>
      <c r="ELQ1" t="s">
        <v>3708</v>
      </c>
      <c r="ELR1" t="s">
        <v>3709</v>
      </c>
      <c r="ELS1" t="s">
        <v>3710</v>
      </c>
      <c r="ELT1" t="s">
        <v>3711</v>
      </c>
      <c r="ELU1" t="s">
        <v>3712</v>
      </c>
      <c r="ELV1" t="s">
        <v>3713</v>
      </c>
      <c r="ELW1" t="s">
        <v>3714</v>
      </c>
      <c r="ELX1" t="s">
        <v>3715</v>
      </c>
      <c r="ELY1" t="s">
        <v>3716</v>
      </c>
      <c r="ELZ1" t="s">
        <v>3717</v>
      </c>
      <c r="EMA1" t="s">
        <v>3718</v>
      </c>
      <c r="EMB1" t="s">
        <v>3719</v>
      </c>
      <c r="EMC1" t="s">
        <v>3720</v>
      </c>
      <c r="EMD1" t="s">
        <v>3721</v>
      </c>
      <c r="EME1" t="s">
        <v>3722</v>
      </c>
      <c r="EMF1" t="s">
        <v>3723</v>
      </c>
      <c r="EMG1" t="s">
        <v>3724</v>
      </c>
      <c r="EMH1" t="s">
        <v>3725</v>
      </c>
      <c r="EMI1" t="s">
        <v>3726</v>
      </c>
      <c r="EMJ1" t="s">
        <v>3727</v>
      </c>
      <c r="EMK1" t="s">
        <v>3728</v>
      </c>
      <c r="EML1" t="s">
        <v>3729</v>
      </c>
      <c r="EMM1" t="s">
        <v>3730</v>
      </c>
      <c r="EMN1" t="s">
        <v>3731</v>
      </c>
      <c r="EMO1" t="s">
        <v>3732</v>
      </c>
      <c r="EMP1" t="s">
        <v>3733</v>
      </c>
      <c r="EMQ1" t="s">
        <v>3734</v>
      </c>
      <c r="EMR1" t="s">
        <v>3735</v>
      </c>
      <c r="EMS1" t="s">
        <v>3736</v>
      </c>
      <c r="EMT1" t="s">
        <v>3737</v>
      </c>
      <c r="EMU1" t="s">
        <v>3738</v>
      </c>
      <c r="EMV1" t="s">
        <v>3739</v>
      </c>
      <c r="EMW1" t="s">
        <v>3740</v>
      </c>
      <c r="EMX1" t="s">
        <v>3741</v>
      </c>
      <c r="EMY1" t="s">
        <v>3742</v>
      </c>
      <c r="EMZ1" t="s">
        <v>3743</v>
      </c>
      <c r="ENA1" t="s">
        <v>3744</v>
      </c>
      <c r="ENB1" t="s">
        <v>3745</v>
      </c>
      <c r="ENC1" t="s">
        <v>3746</v>
      </c>
      <c r="END1" t="s">
        <v>3747</v>
      </c>
      <c r="ENE1" t="s">
        <v>3748</v>
      </c>
      <c r="ENF1" t="s">
        <v>3749</v>
      </c>
      <c r="ENG1" t="s">
        <v>3750</v>
      </c>
      <c r="ENH1" t="s">
        <v>3751</v>
      </c>
      <c r="ENI1" t="s">
        <v>3752</v>
      </c>
      <c r="ENJ1" t="s">
        <v>3753</v>
      </c>
      <c r="ENK1" t="s">
        <v>3754</v>
      </c>
      <c r="ENL1" t="s">
        <v>3755</v>
      </c>
      <c r="ENM1" t="s">
        <v>3756</v>
      </c>
      <c r="ENN1" t="s">
        <v>3757</v>
      </c>
      <c r="ENO1" t="s">
        <v>3758</v>
      </c>
      <c r="ENP1" t="s">
        <v>3759</v>
      </c>
      <c r="ENQ1" t="s">
        <v>3760</v>
      </c>
      <c r="ENR1" t="s">
        <v>3761</v>
      </c>
      <c r="ENS1" t="s">
        <v>3762</v>
      </c>
      <c r="ENT1" t="s">
        <v>3763</v>
      </c>
      <c r="ENU1" t="s">
        <v>3764</v>
      </c>
      <c r="ENV1" t="s">
        <v>3765</v>
      </c>
      <c r="ENW1" t="s">
        <v>3766</v>
      </c>
      <c r="ENX1" t="s">
        <v>3767</v>
      </c>
      <c r="ENY1" t="s">
        <v>3768</v>
      </c>
      <c r="ENZ1" t="s">
        <v>3769</v>
      </c>
      <c r="EOA1" t="s">
        <v>3770</v>
      </c>
      <c r="EOB1" t="s">
        <v>3771</v>
      </c>
      <c r="EOC1" t="s">
        <v>3772</v>
      </c>
      <c r="EOD1" t="s">
        <v>3773</v>
      </c>
      <c r="EOE1" t="s">
        <v>3774</v>
      </c>
      <c r="EOF1" t="s">
        <v>3775</v>
      </c>
      <c r="EOG1" t="s">
        <v>3776</v>
      </c>
      <c r="EOH1" t="s">
        <v>3777</v>
      </c>
      <c r="EOI1" t="s">
        <v>3778</v>
      </c>
      <c r="EOJ1" t="s">
        <v>3779</v>
      </c>
      <c r="EOK1" t="s">
        <v>3780</v>
      </c>
      <c r="EOL1" t="s">
        <v>3781</v>
      </c>
      <c r="EOM1" t="s">
        <v>3782</v>
      </c>
      <c r="EON1" t="s">
        <v>3783</v>
      </c>
      <c r="EOO1" t="s">
        <v>3784</v>
      </c>
      <c r="EOP1" t="s">
        <v>3785</v>
      </c>
      <c r="EOQ1" t="s">
        <v>3786</v>
      </c>
      <c r="EOR1" t="s">
        <v>3787</v>
      </c>
      <c r="EOS1" t="s">
        <v>3788</v>
      </c>
      <c r="EOT1" t="s">
        <v>3789</v>
      </c>
      <c r="EOU1" t="s">
        <v>3790</v>
      </c>
      <c r="EOV1" t="s">
        <v>3791</v>
      </c>
      <c r="EOW1" t="s">
        <v>3792</v>
      </c>
      <c r="EOX1" t="s">
        <v>3793</v>
      </c>
      <c r="EOY1" t="s">
        <v>3794</v>
      </c>
      <c r="EOZ1" t="s">
        <v>3795</v>
      </c>
      <c r="EPA1" t="s">
        <v>3796</v>
      </c>
      <c r="EPB1" t="s">
        <v>3797</v>
      </c>
      <c r="EPC1" t="s">
        <v>3798</v>
      </c>
      <c r="EPD1" t="s">
        <v>3799</v>
      </c>
      <c r="EPE1" t="s">
        <v>3800</v>
      </c>
      <c r="EPF1" t="s">
        <v>3801</v>
      </c>
      <c r="EPG1" t="s">
        <v>3802</v>
      </c>
      <c r="EPH1" t="s">
        <v>3803</v>
      </c>
      <c r="EPI1" t="s">
        <v>3804</v>
      </c>
      <c r="EPJ1" t="s">
        <v>3805</v>
      </c>
      <c r="EPK1" t="s">
        <v>3806</v>
      </c>
      <c r="EPL1" t="s">
        <v>3807</v>
      </c>
      <c r="EPM1" t="s">
        <v>3808</v>
      </c>
      <c r="EPN1" t="s">
        <v>3809</v>
      </c>
      <c r="EPO1" t="s">
        <v>3810</v>
      </c>
      <c r="EPP1" t="s">
        <v>3811</v>
      </c>
      <c r="EPQ1" t="s">
        <v>3812</v>
      </c>
      <c r="EPR1" t="s">
        <v>3813</v>
      </c>
      <c r="EPS1" t="s">
        <v>3814</v>
      </c>
      <c r="EPT1" t="s">
        <v>3815</v>
      </c>
      <c r="EPU1" t="s">
        <v>3816</v>
      </c>
      <c r="EPV1" t="s">
        <v>3817</v>
      </c>
      <c r="EPW1" t="s">
        <v>3818</v>
      </c>
      <c r="EPX1" t="s">
        <v>3819</v>
      </c>
      <c r="EPY1" t="s">
        <v>3820</v>
      </c>
      <c r="EPZ1" t="s">
        <v>3821</v>
      </c>
      <c r="EQA1" t="s">
        <v>3822</v>
      </c>
      <c r="EQB1" t="s">
        <v>3823</v>
      </c>
      <c r="EQC1" t="s">
        <v>3824</v>
      </c>
      <c r="EQD1" t="s">
        <v>3825</v>
      </c>
      <c r="EQE1" t="s">
        <v>3826</v>
      </c>
      <c r="EQF1" t="s">
        <v>3827</v>
      </c>
      <c r="EQG1" t="s">
        <v>3828</v>
      </c>
      <c r="EQH1" t="s">
        <v>3829</v>
      </c>
      <c r="EQI1" t="s">
        <v>3830</v>
      </c>
      <c r="EQJ1" t="s">
        <v>3831</v>
      </c>
      <c r="EQK1" t="s">
        <v>3832</v>
      </c>
      <c r="EQL1" t="s">
        <v>3833</v>
      </c>
      <c r="EQM1" t="s">
        <v>3834</v>
      </c>
      <c r="EQN1" t="s">
        <v>3835</v>
      </c>
      <c r="EQO1" t="s">
        <v>3836</v>
      </c>
      <c r="EQP1" t="s">
        <v>3837</v>
      </c>
      <c r="EQQ1" t="s">
        <v>3838</v>
      </c>
      <c r="EQR1" t="s">
        <v>3839</v>
      </c>
      <c r="EQS1" t="s">
        <v>3840</v>
      </c>
      <c r="EQT1" t="s">
        <v>3841</v>
      </c>
      <c r="EQU1" t="s">
        <v>3842</v>
      </c>
      <c r="EQV1" t="s">
        <v>3843</v>
      </c>
      <c r="EQW1" t="s">
        <v>3844</v>
      </c>
      <c r="EQX1" t="s">
        <v>3845</v>
      </c>
      <c r="EQY1" t="s">
        <v>3846</v>
      </c>
      <c r="EQZ1" t="s">
        <v>3847</v>
      </c>
      <c r="ERA1" t="s">
        <v>3848</v>
      </c>
      <c r="ERB1" t="s">
        <v>3849</v>
      </c>
      <c r="ERC1" t="s">
        <v>3850</v>
      </c>
      <c r="ERD1" t="s">
        <v>3851</v>
      </c>
      <c r="ERE1" t="s">
        <v>3852</v>
      </c>
      <c r="ERF1" t="s">
        <v>3853</v>
      </c>
      <c r="ERG1" t="s">
        <v>3854</v>
      </c>
      <c r="ERH1" t="s">
        <v>3855</v>
      </c>
      <c r="ERI1" t="s">
        <v>3856</v>
      </c>
      <c r="ERJ1" t="s">
        <v>3857</v>
      </c>
      <c r="ERK1" t="s">
        <v>3858</v>
      </c>
      <c r="ERL1" t="s">
        <v>3859</v>
      </c>
      <c r="ERM1" t="s">
        <v>3860</v>
      </c>
      <c r="ERN1" t="s">
        <v>3861</v>
      </c>
      <c r="ERO1" t="s">
        <v>3862</v>
      </c>
      <c r="ERP1" t="s">
        <v>3863</v>
      </c>
      <c r="ERQ1" t="s">
        <v>3864</v>
      </c>
      <c r="ERR1" t="s">
        <v>3865</v>
      </c>
      <c r="ERS1" t="s">
        <v>3866</v>
      </c>
      <c r="ERT1" t="s">
        <v>3867</v>
      </c>
      <c r="ERU1" t="s">
        <v>3868</v>
      </c>
      <c r="ERV1" t="s">
        <v>3869</v>
      </c>
      <c r="ERW1" t="s">
        <v>3870</v>
      </c>
      <c r="ERX1" t="s">
        <v>3871</v>
      </c>
      <c r="ERY1" t="s">
        <v>3872</v>
      </c>
      <c r="ERZ1" t="s">
        <v>3873</v>
      </c>
      <c r="ESA1" t="s">
        <v>3874</v>
      </c>
      <c r="ESB1" t="s">
        <v>3875</v>
      </c>
      <c r="ESC1" t="s">
        <v>3876</v>
      </c>
      <c r="ESD1" t="s">
        <v>3877</v>
      </c>
      <c r="ESE1" t="s">
        <v>3878</v>
      </c>
      <c r="ESF1" t="s">
        <v>3879</v>
      </c>
      <c r="ESG1" t="s">
        <v>3880</v>
      </c>
      <c r="ESH1" t="s">
        <v>3881</v>
      </c>
      <c r="ESI1" t="s">
        <v>3882</v>
      </c>
      <c r="ESJ1" t="s">
        <v>3883</v>
      </c>
      <c r="ESK1" t="s">
        <v>3884</v>
      </c>
      <c r="ESL1" t="s">
        <v>3885</v>
      </c>
      <c r="ESM1" t="s">
        <v>3886</v>
      </c>
      <c r="ESN1" t="s">
        <v>3887</v>
      </c>
      <c r="ESO1" t="s">
        <v>3888</v>
      </c>
      <c r="ESP1" t="s">
        <v>3889</v>
      </c>
      <c r="ESQ1" t="s">
        <v>3890</v>
      </c>
      <c r="ESR1" t="s">
        <v>3891</v>
      </c>
      <c r="ESS1" t="s">
        <v>3892</v>
      </c>
      <c r="EST1" t="s">
        <v>3893</v>
      </c>
      <c r="ESU1" t="s">
        <v>3894</v>
      </c>
      <c r="ESV1" t="s">
        <v>3895</v>
      </c>
      <c r="ESW1" t="s">
        <v>3896</v>
      </c>
      <c r="ESX1" t="s">
        <v>3897</v>
      </c>
      <c r="ESY1" t="s">
        <v>3898</v>
      </c>
      <c r="ESZ1" t="s">
        <v>3899</v>
      </c>
      <c r="ETA1" t="s">
        <v>3900</v>
      </c>
      <c r="ETB1" t="s">
        <v>3901</v>
      </c>
      <c r="ETC1" t="s">
        <v>3902</v>
      </c>
      <c r="ETD1" t="s">
        <v>3903</v>
      </c>
      <c r="ETE1" t="s">
        <v>3904</v>
      </c>
      <c r="ETF1" t="s">
        <v>3905</v>
      </c>
      <c r="ETG1" t="s">
        <v>3906</v>
      </c>
      <c r="ETH1" t="s">
        <v>3907</v>
      </c>
      <c r="ETI1" t="s">
        <v>3908</v>
      </c>
      <c r="ETJ1" t="s">
        <v>3909</v>
      </c>
      <c r="ETK1" t="s">
        <v>3910</v>
      </c>
      <c r="ETL1" t="s">
        <v>3911</v>
      </c>
      <c r="ETM1" t="s">
        <v>3912</v>
      </c>
      <c r="ETN1" t="s">
        <v>3913</v>
      </c>
      <c r="ETO1" t="s">
        <v>3914</v>
      </c>
      <c r="ETP1" t="s">
        <v>3915</v>
      </c>
      <c r="ETQ1" t="s">
        <v>3916</v>
      </c>
      <c r="ETR1" t="s">
        <v>3917</v>
      </c>
      <c r="ETS1" t="s">
        <v>3918</v>
      </c>
      <c r="ETT1" t="s">
        <v>3919</v>
      </c>
      <c r="ETU1" t="s">
        <v>3920</v>
      </c>
      <c r="ETV1" t="s">
        <v>3921</v>
      </c>
      <c r="ETW1" t="s">
        <v>3922</v>
      </c>
      <c r="ETX1" t="s">
        <v>3923</v>
      </c>
      <c r="ETY1" t="s">
        <v>3924</v>
      </c>
      <c r="ETZ1" t="s">
        <v>3925</v>
      </c>
      <c r="EUA1" t="s">
        <v>3926</v>
      </c>
      <c r="EUB1" t="s">
        <v>3927</v>
      </c>
      <c r="EUC1" t="s">
        <v>3928</v>
      </c>
      <c r="EUD1" t="s">
        <v>3929</v>
      </c>
      <c r="EUE1" t="s">
        <v>3930</v>
      </c>
      <c r="EUF1" t="s">
        <v>3931</v>
      </c>
      <c r="EUG1" t="s">
        <v>3932</v>
      </c>
      <c r="EUH1" t="s">
        <v>3933</v>
      </c>
      <c r="EUI1" t="s">
        <v>3934</v>
      </c>
      <c r="EUJ1" t="s">
        <v>3935</v>
      </c>
      <c r="EUK1" t="s">
        <v>3936</v>
      </c>
      <c r="EUL1" t="s">
        <v>3937</v>
      </c>
      <c r="EUM1" t="s">
        <v>3938</v>
      </c>
      <c r="EUN1" t="s">
        <v>3939</v>
      </c>
      <c r="EUO1" t="s">
        <v>3940</v>
      </c>
      <c r="EUP1" t="s">
        <v>3941</v>
      </c>
      <c r="EUQ1" t="s">
        <v>3942</v>
      </c>
      <c r="EUR1" t="s">
        <v>3943</v>
      </c>
      <c r="EUS1" t="s">
        <v>3944</v>
      </c>
      <c r="EUT1" t="s">
        <v>3945</v>
      </c>
      <c r="EUU1" t="s">
        <v>3946</v>
      </c>
      <c r="EUV1" t="s">
        <v>3947</v>
      </c>
      <c r="EUW1" t="s">
        <v>3948</v>
      </c>
      <c r="EUX1" t="s">
        <v>3949</v>
      </c>
      <c r="EUY1" t="s">
        <v>3950</v>
      </c>
      <c r="EUZ1" t="s">
        <v>3951</v>
      </c>
      <c r="EVA1" t="s">
        <v>3952</v>
      </c>
      <c r="EVB1" t="s">
        <v>3953</v>
      </c>
      <c r="EVC1" t="s">
        <v>3954</v>
      </c>
      <c r="EVD1" t="s">
        <v>3955</v>
      </c>
      <c r="EVE1" t="s">
        <v>3956</v>
      </c>
      <c r="EVF1" t="s">
        <v>3957</v>
      </c>
      <c r="EVG1" t="s">
        <v>3958</v>
      </c>
      <c r="EVH1" t="s">
        <v>3959</v>
      </c>
      <c r="EVI1" t="s">
        <v>3960</v>
      </c>
      <c r="EVJ1" t="s">
        <v>3961</v>
      </c>
      <c r="EVK1" t="s">
        <v>3962</v>
      </c>
      <c r="EVL1" t="s">
        <v>3963</v>
      </c>
      <c r="EVM1" t="s">
        <v>3964</v>
      </c>
      <c r="EVN1" t="s">
        <v>3965</v>
      </c>
      <c r="EVO1" t="s">
        <v>3966</v>
      </c>
      <c r="EVP1" t="s">
        <v>3967</v>
      </c>
      <c r="EVQ1" t="s">
        <v>3968</v>
      </c>
      <c r="EVR1" t="s">
        <v>3969</v>
      </c>
      <c r="EVS1" t="s">
        <v>3970</v>
      </c>
      <c r="EVT1" t="s">
        <v>3971</v>
      </c>
      <c r="EVU1" t="s">
        <v>3972</v>
      </c>
      <c r="EVV1" t="s">
        <v>3973</v>
      </c>
      <c r="EVW1" t="s">
        <v>3974</v>
      </c>
      <c r="EVX1" t="s">
        <v>3975</v>
      </c>
      <c r="EVY1" t="s">
        <v>3976</v>
      </c>
      <c r="EVZ1" t="s">
        <v>3977</v>
      </c>
      <c r="EWA1" t="s">
        <v>3978</v>
      </c>
      <c r="EWB1" t="s">
        <v>3979</v>
      </c>
      <c r="EWC1" t="s">
        <v>3980</v>
      </c>
      <c r="EWD1" t="s">
        <v>3981</v>
      </c>
      <c r="EWE1" t="s">
        <v>3982</v>
      </c>
      <c r="EWF1" t="s">
        <v>3983</v>
      </c>
      <c r="EWG1" t="s">
        <v>3984</v>
      </c>
      <c r="EWH1" t="s">
        <v>3985</v>
      </c>
      <c r="EWI1" t="s">
        <v>3986</v>
      </c>
      <c r="EWJ1" t="s">
        <v>3987</v>
      </c>
      <c r="EWK1" t="s">
        <v>3988</v>
      </c>
      <c r="EWL1" t="s">
        <v>3989</v>
      </c>
      <c r="EWM1" t="s">
        <v>3990</v>
      </c>
      <c r="EWN1" t="s">
        <v>3991</v>
      </c>
      <c r="EWO1" t="s">
        <v>3992</v>
      </c>
      <c r="EWP1" t="s">
        <v>3993</v>
      </c>
      <c r="EWQ1" t="s">
        <v>3994</v>
      </c>
      <c r="EWR1" t="s">
        <v>3995</v>
      </c>
      <c r="EWS1" t="s">
        <v>3996</v>
      </c>
      <c r="EWT1" t="s">
        <v>3997</v>
      </c>
      <c r="EWU1" t="s">
        <v>3998</v>
      </c>
      <c r="EWV1" t="s">
        <v>3999</v>
      </c>
      <c r="EWW1" t="s">
        <v>4000</v>
      </c>
      <c r="EWX1" t="s">
        <v>4001</v>
      </c>
      <c r="EWY1" t="s">
        <v>4002</v>
      </c>
      <c r="EWZ1" t="s">
        <v>4003</v>
      </c>
      <c r="EXA1" t="s">
        <v>4004</v>
      </c>
      <c r="EXB1" t="s">
        <v>4005</v>
      </c>
      <c r="EXC1" t="s">
        <v>4006</v>
      </c>
      <c r="EXD1" t="s">
        <v>4007</v>
      </c>
      <c r="EXE1" t="s">
        <v>4008</v>
      </c>
      <c r="EXF1" t="s">
        <v>4009</v>
      </c>
      <c r="EXG1" t="s">
        <v>4010</v>
      </c>
      <c r="EXH1" t="s">
        <v>4011</v>
      </c>
      <c r="EXI1" t="s">
        <v>4012</v>
      </c>
      <c r="EXJ1" t="s">
        <v>4013</v>
      </c>
      <c r="EXK1" t="s">
        <v>4014</v>
      </c>
      <c r="EXL1" t="s">
        <v>4015</v>
      </c>
      <c r="EXM1" t="s">
        <v>4016</v>
      </c>
      <c r="EXN1" t="s">
        <v>4017</v>
      </c>
      <c r="EXO1" t="s">
        <v>4018</v>
      </c>
      <c r="EXP1" t="s">
        <v>4019</v>
      </c>
      <c r="EXQ1" t="s">
        <v>4020</v>
      </c>
      <c r="EXR1" t="s">
        <v>4021</v>
      </c>
      <c r="EXS1" t="s">
        <v>4022</v>
      </c>
      <c r="EXT1" t="s">
        <v>4023</v>
      </c>
      <c r="EXU1" t="s">
        <v>4024</v>
      </c>
      <c r="EXV1" t="s">
        <v>4025</v>
      </c>
      <c r="EXW1" t="s">
        <v>4026</v>
      </c>
      <c r="EXX1" t="s">
        <v>4027</v>
      </c>
      <c r="EXY1" t="s">
        <v>4028</v>
      </c>
      <c r="EXZ1" t="s">
        <v>4029</v>
      </c>
      <c r="EYA1" t="s">
        <v>4030</v>
      </c>
      <c r="EYB1" t="s">
        <v>4031</v>
      </c>
      <c r="EYC1" t="s">
        <v>4032</v>
      </c>
      <c r="EYD1" t="s">
        <v>4033</v>
      </c>
      <c r="EYE1" t="s">
        <v>4034</v>
      </c>
      <c r="EYF1" t="s">
        <v>4035</v>
      </c>
      <c r="EYG1" t="s">
        <v>4036</v>
      </c>
      <c r="EYH1" t="s">
        <v>4037</v>
      </c>
      <c r="EYI1" t="s">
        <v>4038</v>
      </c>
      <c r="EYJ1" t="s">
        <v>4039</v>
      </c>
      <c r="EYK1" t="s">
        <v>4040</v>
      </c>
      <c r="EYL1" t="s">
        <v>4041</v>
      </c>
      <c r="EYM1" t="s">
        <v>4042</v>
      </c>
      <c r="EYN1" t="s">
        <v>4043</v>
      </c>
      <c r="EYO1" t="s">
        <v>4044</v>
      </c>
      <c r="EYP1" t="s">
        <v>4045</v>
      </c>
      <c r="EYQ1" t="s">
        <v>4046</v>
      </c>
      <c r="EYR1" t="s">
        <v>4047</v>
      </c>
      <c r="EYS1" t="s">
        <v>4048</v>
      </c>
      <c r="EYT1" t="s">
        <v>4049</v>
      </c>
      <c r="EYU1" t="s">
        <v>4050</v>
      </c>
      <c r="EYV1" t="s">
        <v>4051</v>
      </c>
      <c r="EYW1" t="s">
        <v>4052</v>
      </c>
      <c r="EYX1" t="s">
        <v>4053</v>
      </c>
      <c r="EYY1" t="s">
        <v>4054</v>
      </c>
      <c r="EYZ1" t="s">
        <v>4055</v>
      </c>
      <c r="EZA1" t="s">
        <v>4056</v>
      </c>
      <c r="EZB1" t="s">
        <v>4057</v>
      </c>
      <c r="EZC1" t="s">
        <v>4058</v>
      </c>
      <c r="EZD1" t="s">
        <v>4059</v>
      </c>
      <c r="EZE1" t="s">
        <v>4060</v>
      </c>
      <c r="EZF1" t="s">
        <v>4061</v>
      </c>
      <c r="EZG1" t="s">
        <v>4062</v>
      </c>
      <c r="EZH1" t="s">
        <v>4063</v>
      </c>
      <c r="EZI1" t="s">
        <v>4064</v>
      </c>
      <c r="EZJ1" t="s">
        <v>4065</v>
      </c>
      <c r="EZK1" t="s">
        <v>4066</v>
      </c>
      <c r="EZL1" t="s">
        <v>4067</v>
      </c>
      <c r="EZM1" t="s">
        <v>4068</v>
      </c>
      <c r="EZN1" t="s">
        <v>4069</v>
      </c>
      <c r="EZO1" t="s">
        <v>4070</v>
      </c>
      <c r="EZP1" t="s">
        <v>4071</v>
      </c>
      <c r="EZQ1" t="s">
        <v>4072</v>
      </c>
      <c r="EZR1" t="s">
        <v>4073</v>
      </c>
      <c r="EZS1" t="s">
        <v>4074</v>
      </c>
      <c r="EZT1" t="s">
        <v>4075</v>
      </c>
      <c r="EZU1" t="s">
        <v>4076</v>
      </c>
      <c r="EZV1" t="s">
        <v>4077</v>
      </c>
      <c r="EZW1" t="s">
        <v>4078</v>
      </c>
      <c r="EZX1" t="s">
        <v>4079</v>
      </c>
      <c r="EZY1" t="s">
        <v>4080</v>
      </c>
      <c r="EZZ1" t="s">
        <v>4081</v>
      </c>
      <c r="FAA1" t="s">
        <v>4082</v>
      </c>
      <c r="FAB1" t="s">
        <v>4083</v>
      </c>
      <c r="FAC1" t="s">
        <v>4084</v>
      </c>
      <c r="FAD1" t="s">
        <v>4085</v>
      </c>
      <c r="FAE1" t="s">
        <v>4086</v>
      </c>
      <c r="FAF1" t="s">
        <v>4087</v>
      </c>
      <c r="FAG1" t="s">
        <v>4088</v>
      </c>
      <c r="FAH1" t="s">
        <v>4089</v>
      </c>
      <c r="FAI1" t="s">
        <v>4090</v>
      </c>
      <c r="FAJ1" t="s">
        <v>4091</v>
      </c>
      <c r="FAK1" t="s">
        <v>4092</v>
      </c>
      <c r="FAL1" t="s">
        <v>4093</v>
      </c>
      <c r="FAM1" t="s">
        <v>4094</v>
      </c>
      <c r="FAN1" t="s">
        <v>4095</v>
      </c>
      <c r="FAO1" t="s">
        <v>4096</v>
      </c>
      <c r="FAP1" t="s">
        <v>4097</v>
      </c>
      <c r="FAQ1" t="s">
        <v>4098</v>
      </c>
      <c r="FAR1" t="s">
        <v>4099</v>
      </c>
      <c r="FAS1" t="s">
        <v>4100</v>
      </c>
      <c r="FAT1" t="s">
        <v>4101</v>
      </c>
      <c r="FAU1" t="s">
        <v>4102</v>
      </c>
      <c r="FAV1" t="s">
        <v>4103</v>
      </c>
      <c r="FAW1" t="s">
        <v>4104</v>
      </c>
      <c r="FAX1" t="s">
        <v>4105</v>
      </c>
      <c r="FAY1" t="s">
        <v>4106</v>
      </c>
      <c r="FAZ1" t="s">
        <v>4107</v>
      </c>
      <c r="FBA1" t="s">
        <v>4108</v>
      </c>
      <c r="FBB1" t="s">
        <v>4109</v>
      </c>
      <c r="FBC1" t="s">
        <v>4110</v>
      </c>
      <c r="FBD1" t="s">
        <v>4111</v>
      </c>
      <c r="FBE1" t="s">
        <v>4112</v>
      </c>
      <c r="FBF1" t="s">
        <v>4113</v>
      </c>
      <c r="FBG1" t="s">
        <v>4114</v>
      </c>
      <c r="FBH1" t="s">
        <v>4115</v>
      </c>
      <c r="FBI1" t="s">
        <v>4116</v>
      </c>
      <c r="FBJ1" t="s">
        <v>4117</v>
      </c>
      <c r="FBK1" t="s">
        <v>4118</v>
      </c>
      <c r="FBL1" t="s">
        <v>4119</v>
      </c>
      <c r="FBM1" t="s">
        <v>4120</v>
      </c>
      <c r="FBN1" t="s">
        <v>4121</v>
      </c>
      <c r="FBO1" t="s">
        <v>4122</v>
      </c>
      <c r="FBP1" t="s">
        <v>4123</v>
      </c>
      <c r="FBQ1" t="s">
        <v>4124</v>
      </c>
      <c r="FBR1" t="s">
        <v>4125</v>
      </c>
      <c r="FBS1" t="s">
        <v>4126</v>
      </c>
      <c r="FBT1" t="s">
        <v>4127</v>
      </c>
      <c r="FBU1" t="s">
        <v>4128</v>
      </c>
      <c r="FBV1" t="s">
        <v>4129</v>
      </c>
      <c r="FBW1" t="s">
        <v>4130</v>
      </c>
      <c r="FBX1" t="s">
        <v>4131</v>
      </c>
      <c r="FBY1" t="s">
        <v>4132</v>
      </c>
      <c r="FBZ1" t="s">
        <v>4133</v>
      </c>
      <c r="FCA1" t="s">
        <v>4134</v>
      </c>
      <c r="FCB1" t="s">
        <v>4135</v>
      </c>
      <c r="FCC1" t="s">
        <v>4136</v>
      </c>
      <c r="FCD1" t="s">
        <v>4137</v>
      </c>
      <c r="FCE1" t="s">
        <v>4138</v>
      </c>
      <c r="FCF1" t="s">
        <v>4139</v>
      </c>
      <c r="FCG1" t="s">
        <v>4140</v>
      </c>
      <c r="FCH1" t="s">
        <v>4141</v>
      </c>
      <c r="FCI1" t="s">
        <v>4142</v>
      </c>
      <c r="FCJ1" t="s">
        <v>4143</v>
      </c>
      <c r="FCK1" t="s">
        <v>4144</v>
      </c>
      <c r="FCL1" t="s">
        <v>4145</v>
      </c>
      <c r="FCM1" t="s">
        <v>4146</v>
      </c>
      <c r="FCN1" t="s">
        <v>4147</v>
      </c>
      <c r="FCO1" t="s">
        <v>4148</v>
      </c>
      <c r="FCP1" t="s">
        <v>4149</v>
      </c>
      <c r="FCQ1" t="s">
        <v>4150</v>
      </c>
      <c r="FCR1" t="s">
        <v>4151</v>
      </c>
      <c r="FCS1" t="s">
        <v>4152</v>
      </c>
      <c r="FCT1" t="s">
        <v>4153</v>
      </c>
      <c r="FCU1" t="s">
        <v>4154</v>
      </c>
      <c r="FCV1" t="s">
        <v>4155</v>
      </c>
      <c r="FCW1" t="s">
        <v>4156</v>
      </c>
      <c r="FCX1" t="s">
        <v>4157</v>
      </c>
      <c r="FCY1" t="s">
        <v>4158</v>
      </c>
      <c r="FCZ1" t="s">
        <v>4159</v>
      </c>
      <c r="FDA1" t="s">
        <v>4160</v>
      </c>
      <c r="FDB1" t="s">
        <v>4161</v>
      </c>
      <c r="FDC1" t="s">
        <v>4162</v>
      </c>
      <c r="FDD1" t="s">
        <v>4163</v>
      </c>
      <c r="FDE1" t="s">
        <v>4164</v>
      </c>
      <c r="FDF1" t="s">
        <v>4165</v>
      </c>
      <c r="FDG1" t="s">
        <v>4166</v>
      </c>
      <c r="FDH1" t="s">
        <v>4167</v>
      </c>
      <c r="FDI1" t="s">
        <v>4168</v>
      </c>
      <c r="FDJ1" t="s">
        <v>4169</v>
      </c>
      <c r="FDK1" t="s">
        <v>4170</v>
      </c>
      <c r="FDL1" t="s">
        <v>4171</v>
      </c>
      <c r="FDM1" t="s">
        <v>4172</v>
      </c>
      <c r="FDN1" t="s">
        <v>4173</v>
      </c>
      <c r="FDO1" t="s">
        <v>4174</v>
      </c>
      <c r="FDP1" t="s">
        <v>4175</v>
      </c>
      <c r="FDQ1" t="s">
        <v>4176</v>
      </c>
      <c r="FDR1" t="s">
        <v>4177</v>
      </c>
      <c r="FDS1" t="s">
        <v>4178</v>
      </c>
      <c r="FDT1" t="s">
        <v>4179</v>
      </c>
      <c r="FDU1" t="s">
        <v>4180</v>
      </c>
      <c r="FDV1" t="s">
        <v>4181</v>
      </c>
      <c r="FDW1" t="s">
        <v>4182</v>
      </c>
      <c r="FDX1" t="s">
        <v>4183</v>
      </c>
      <c r="FDY1" t="s">
        <v>4184</v>
      </c>
      <c r="FDZ1" t="s">
        <v>4185</v>
      </c>
      <c r="FEA1" t="s">
        <v>4186</v>
      </c>
      <c r="FEB1" t="s">
        <v>4187</v>
      </c>
      <c r="FEC1" t="s">
        <v>4188</v>
      </c>
      <c r="FED1" t="s">
        <v>4189</v>
      </c>
      <c r="FEE1" t="s">
        <v>4190</v>
      </c>
      <c r="FEF1" t="s">
        <v>4191</v>
      </c>
      <c r="FEG1" t="s">
        <v>4192</v>
      </c>
      <c r="FEH1" t="s">
        <v>4193</v>
      </c>
      <c r="FEI1" t="s">
        <v>4194</v>
      </c>
      <c r="FEJ1" t="s">
        <v>4195</v>
      </c>
      <c r="FEK1" t="s">
        <v>4196</v>
      </c>
      <c r="FEL1" t="s">
        <v>4197</v>
      </c>
      <c r="FEM1" t="s">
        <v>4198</v>
      </c>
      <c r="FEN1" t="s">
        <v>4199</v>
      </c>
      <c r="FEO1" t="s">
        <v>4200</v>
      </c>
      <c r="FEP1" t="s">
        <v>4201</v>
      </c>
      <c r="FEQ1" t="s">
        <v>4202</v>
      </c>
      <c r="FER1" t="s">
        <v>4203</v>
      </c>
      <c r="FES1" t="s">
        <v>4204</v>
      </c>
      <c r="FET1" t="s">
        <v>4205</v>
      </c>
      <c r="FEU1" t="s">
        <v>4206</v>
      </c>
      <c r="FEV1" t="s">
        <v>4207</v>
      </c>
      <c r="FEW1" t="s">
        <v>4208</v>
      </c>
      <c r="FEX1" t="s">
        <v>4209</v>
      </c>
      <c r="FEY1" t="s">
        <v>4210</v>
      </c>
      <c r="FEZ1" t="s">
        <v>4211</v>
      </c>
      <c r="FFA1" t="s">
        <v>4212</v>
      </c>
      <c r="FFB1" t="s">
        <v>4213</v>
      </c>
      <c r="FFC1" t="s">
        <v>4214</v>
      </c>
      <c r="FFD1" t="s">
        <v>4215</v>
      </c>
      <c r="FFE1" t="s">
        <v>4216</v>
      </c>
      <c r="FFF1" t="s">
        <v>4217</v>
      </c>
      <c r="FFG1" t="s">
        <v>4218</v>
      </c>
      <c r="FFH1" t="s">
        <v>4219</v>
      </c>
      <c r="FFI1" t="s">
        <v>4220</v>
      </c>
      <c r="FFJ1" t="s">
        <v>4221</v>
      </c>
      <c r="FFK1" t="s">
        <v>4222</v>
      </c>
      <c r="FFL1" t="s">
        <v>4223</v>
      </c>
      <c r="FFM1" t="s">
        <v>4224</v>
      </c>
      <c r="FFN1" t="s">
        <v>4225</v>
      </c>
      <c r="FFO1" t="s">
        <v>4226</v>
      </c>
      <c r="FFP1" t="s">
        <v>4227</v>
      </c>
      <c r="FFQ1" t="s">
        <v>4228</v>
      </c>
      <c r="FFR1" t="s">
        <v>4229</v>
      </c>
      <c r="FFS1" t="s">
        <v>4230</v>
      </c>
      <c r="FFT1" t="s">
        <v>4231</v>
      </c>
      <c r="FFU1" t="s">
        <v>4232</v>
      </c>
      <c r="FFV1" t="s">
        <v>4233</v>
      </c>
      <c r="FFW1" t="s">
        <v>4234</v>
      </c>
      <c r="FFX1" t="s">
        <v>4235</v>
      </c>
      <c r="FFY1" t="s">
        <v>4236</v>
      </c>
      <c r="FFZ1" t="s">
        <v>4237</v>
      </c>
      <c r="FGA1" t="s">
        <v>4238</v>
      </c>
      <c r="FGB1" t="s">
        <v>4239</v>
      </c>
      <c r="FGC1" t="s">
        <v>4240</v>
      </c>
      <c r="FGD1" t="s">
        <v>4241</v>
      </c>
      <c r="FGE1" t="s">
        <v>4242</v>
      </c>
      <c r="FGF1" t="s">
        <v>4243</v>
      </c>
      <c r="FGG1" t="s">
        <v>4244</v>
      </c>
      <c r="FGH1" t="s">
        <v>4245</v>
      </c>
      <c r="FGI1" t="s">
        <v>4246</v>
      </c>
      <c r="FGJ1" t="s">
        <v>4247</v>
      </c>
      <c r="FGK1" t="s">
        <v>4248</v>
      </c>
      <c r="FGL1" t="s">
        <v>4249</v>
      </c>
      <c r="FGM1" t="s">
        <v>4250</v>
      </c>
      <c r="FGN1" t="s">
        <v>4251</v>
      </c>
      <c r="FGO1" t="s">
        <v>4252</v>
      </c>
      <c r="FGP1" t="s">
        <v>4253</v>
      </c>
      <c r="FGQ1" t="s">
        <v>4254</v>
      </c>
      <c r="FGR1" t="s">
        <v>4255</v>
      </c>
      <c r="FGS1" t="s">
        <v>4256</v>
      </c>
      <c r="FGT1" t="s">
        <v>4257</v>
      </c>
      <c r="FGU1" t="s">
        <v>4258</v>
      </c>
      <c r="FGV1" t="s">
        <v>4259</v>
      </c>
      <c r="FGW1" t="s">
        <v>4260</v>
      </c>
      <c r="FGX1" t="s">
        <v>4261</v>
      </c>
      <c r="FGY1" t="s">
        <v>4262</v>
      </c>
      <c r="FGZ1" t="s">
        <v>4263</v>
      </c>
      <c r="FHA1" t="s">
        <v>4264</v>
      </c>
      <c r="FHB1" t="s">
        <v>4265</v>
      </c>
      <c r="FHC1" t="s">
        <v>4266</v>
      </c>
      <c r="FHD1" t="s">
        <v>4267</v>
      </c>
      <c r="FHE1" t="s">
        <v>4268</v>
      </c>
      <c r="FHF1" t="s">
        <v>4269</v>
      </c>
      <c r="FHG1" t="s">
        <v>4270</v>
      </c>
      <c r="FHH1" t="s">
        <v>4271</v>
      </c>
      <c r="FHI1" t="s">
        <v>4272</v>
      </c>
      <c r="FHJ1" t="s">
        <v>4273</v>
      </c>
      <c r="FHK1" t="s">
        <v>4274</v>
      </c>
      <c r="FHL1" t="s">
        <v>4275</v>
      </c>
      <c r="FHM1" t="s">
        <v>4276</v>
      </c>
      <c r="FHN1" t="s">
        <v>4277</v>
      </c>
      <c r="FHO1" t="s">
        <v>4278</v>
      </c>
      <c r="FHP1" t="s">
        <v>4279</v>
      </c>
      <c r="FHQ1" t="s">
        <v>4280</v>
      </c>
      <c r="FHR1" t="s">
        <v>4281</v>
      </c>
      <c r="FHS1" t="s">
        <v>4282</v>
      </c>
      <c r="FHT1" t="s">
        <v>4283</v>
      </c>
      <c r="FHU1" t="s">
        <v>4284</v>
      </c>
      <c r="FHV1" t="s">
        <v>4285</v>
      </c>
      <c r="FHW1" t="s">
        <v>4286</v>
      </c>
      <c r="FHX1" t="s">
        <v>4287</v>
      </c>
      <c r="FHY1" t="s">
        <v>4288</v>
      </c>
      <c r="FHZ1" t="s">
        <v>4289</v>
      </c>
      <c r="FIA1" t="s">
        <v>4290</v>
      </c>
      <c r="FIB1" t="s">
        <v>4291</v>
      </c>
      <c r="FIC1" t="s">
        <v>4292</v>
      </c>
      <c r="FID1" t="s">
        <v>4293</v>
      </c>
      <c r="FIE1" t="s">
        <v>4294</v>
      </c>
      <c r="FIF1" t="s">
        <v>4295</v>
      </c>
      <c r="FIG1" t="s">
        <v>4296</v>
      </c>
      <c r="FIH1" t="s">
        <v>4297</v>
      </c>
      <c r="FII1" t="s">
        <v>4298</v>
      </c>
      <c r="FIJ1" t="s">
        <v>4299</v>
      </c>
      <c r="FIK1" t="s">
        <v>4300</v>
      </c>
      <c r="FIL1" t="s">
        <v>4301</v>
      </c>
      <c r="FIM1" t="s">
        <v>4302</v>
      </c>
      <c r="FIN1" t="s">
        <v>4303</v>
      </c>
      <c r="FIO1" t="s">
        <v>4304</v>
      </c>
      <c r="FIP1" t="s">
        <v>4305</v>
      </c>
      <c r="FIQ1" t="s">
        <v>4306</v>
      </c>
      <c r="FIR1" t="s">
        <v>4307</v>
      </c>
      <c r="FIS1" t="s">
        <v>4308</v>
      </c>
      <c r="FIT1" t="s">
        <v>4309</v>
      </c>
      <c r="FIU1" t="s">
        <v>4310</v>
      </c>
      <c r="FIV1" t="s">
        <v>4311</v>
      </c>
      <c r="FIW1" t="s">
        <v>4312</v>
      </c>
      <c r="FIX1" t="s">
        <v>4313</v>
      </c>
      <c r="FIY1" t="s">
        <v>4314</v>
      </c>
      <c r="FIZ1" t="s">
        <v>4315</v>
      </c>
      <c r="FJA1" t="s">
        <v>4316</v>
      </c>
      <c r="FJB1" t="s">
        <v>4317</v>
      </c>
      <c r="FJC1" t="s">
        <v>4318</v>
      </c>
      <c r="FJD1" t="s">
        <v>4319</v>
      </c>
      <c r="FJE1" t="s">
        <v>4320</v>
      </c>
      <c r="FJF1" t="s">
        <v>4321</v>
      </c>
      <c r="FJG1" t="s">
        <v>4322</v>
      </c>
      <c r="FJH1" t="s">
        <v>4323</v>
      </c>
      <c r="FJI1" t="s">
        <v>4324</v>
      </c>
      <c r="FJJ1" t="s">
        <v>4325</v>
      </c>
      <c r="FJK1" t="s">
        <v>4326</v>
      </c>
      <c r="FJL1" t="s">
        <v>4327</v>
      </c>
      <c r="FJM1" t="s">
        <v>4328</v>
      </c>
      <c r="FJN1" t="s">
        <v>4329</v>
      </c>
      <c r="FJO1" t="s">
        <v>4330</v>
      </c>
      <c r="FJP1" t="s">
        <v>4331</v>
      </c>
      <c r="FJQ1" t="s">
        <v>4332</v>
      </c>
      <c r="FJR1" t="s">
        <v>4333</v>
      </c>
      <c r="FJS1" t="s">
        <v>4334</v>
      </c>
      <c r="FJT1" t="s">
        <v>4335</v>
      </c>
      <c r="FJU1" t="s">
        <v>4336</v>
      </c>
      <c r="FJV1" t="s">
        <v>4337</v>
      </c>
      <c r="FJW1" t="s">
        <v>4338</v>
      </c>
      <c r="FJX1" t="s">
        <v>4339</v>
      </c>
      <c r="FJY1" t="s">
        <v>4340</v>
      </c>
      <c r="FJZ1" t="s">
        <v>4341</v>
      </c>
      <c r="FKA1" t="s">
        <v>4342</v>
      </c>
      <c r="FKB1" t="s">
        <v>4343</v>
      </c>
      <c r="FKC1" t="s">
        <v>4344</v>
      </c>
      <c r="FKD1" t="s">
        <v>4345</v>
      </c>
      <c r="FKE1" t="s">
        <v>4346</v>
      </c>
      <c r="FKF1" t="s">
        <v>4347</v>
      </c>
      <c r="FKG1" t="s">
        <v>4348</v>
      </c>
      <c r="FKH1" t="s">
        <v>4349</v>
      </c>
      <c r="FKI1" t="s">
        <v>4350</v>
      </c>
      <c r="FKJ1" t="s">
        <v>4351</v>
      </c>
      <c r="FKK1" t="s">
        <v>4352</v>
      </c>
      <c r="FKL1" t="s">
        <v>4353</v>
      </c>
      <c r="FKM1" t="s">
        <v>4354</v>
      </c>
      <c r="FKN1" t="s">
        <v>4355</v>
      </c>
      <c r="FKO1" t="s">
        <v>4356</v>
      </c>
      <c r="FKP1" t="s">
        <v>4357</v>
      </c>
      <c r="FKQ1" t="s">
        <v>4358</v>
      </c>
      <c r="FKR1" t="s">
        <v>4359</v>
      </c>
      <c r="FKS1" t="s">
        <v>4360</v>
      </c>
      <c r="FKT1" t="s">
        <v>4361</v>
      </c>
      <c r="FKU1" t="s">
        <v>4362</v>
      </c>
      <c r="FKV1" t="s">
        <v>4363</v>
      </c>
      <c r="FKW1" t="s">
        <v>4364</v>
      </c>
      <c r="FKX1" t="s">
        <v>4365</v>
      </c>
      <c r="FKY1" t="s">
        <v>4366</v>
      </c>
      <c r="FKZ1" t="s">
        <v>4367</v>
      </c>
      <c r="FLA1" t="s">
        <v>4368</v>
      </c>
      <c r="FLB1" t="s">
        <v>4369</v>
      </c>
      <c r="FLC1" t="s">
        <v>4370</v>
      </c>
      <c r="FLD1" t="s">
        <v>4371</v>
      </c>
      <c r="FLE1" t="s">
        <v>4372</v>
      </c>
      <c r="FLF1" t="s">
        <v>4373</v>
      </c>
      <c r="FLG1" t="s">
        <v>4374</v>
      </c>
      <c r="FLH1" t="s">
        <v>4375</v>
      </c>
      <c r="FLI1" t="s">
        <v>4376</v>
      </c>
      <c r="FLJ1" t="s">
        <v>4377</v>
      </c>
      <c r="FLK1" t="s">
        <v>4378</v>
      </c>
      <c r="FLL1" t="s">
        <v>4379</v>
      </c>
      <c r="FLM1" t="s">
        <v>4380</v>
      </c>
      <c r="FLN1" t="s">
        <v>4381</v>
      </c>
      <c r="FLO1" t="s">
        <v>4382</v>
      </c>
      <c r="FLP1" t="s">
        <v>4383</v>
      </c>
      <c r="FLQ1" t="s">
        <v>4384</v>
      </c>
      <c r="FLR1" t="s">
        <v>4385</v>
      </c>
      <c r="FLS1" t="s">
        <v>4386</v>
      </c>
      <c r="FLT1" t="s">
        <v>4387</v>
      </c>
      <c r="FLU1" t="s">
        <v>4388</v>
      </c>
      <c r="FLV1" t="s">
        <v>4389</v>
      </c>
      <c r="FLW1" t="s">
        <v>4390</v>
      </c>
      <c r="FLX1" t="s">
        <v>4391</v>
      </c>
      <c r="FLY1" t="s">
        <v>4392</v>
      </c>
      <c r="FLZ1" t="s">
        <v>4393</v>
      </c>
      <c r="FMA1" t="s">
        <v>4394</v>
      </c>
      <c r="FMB1" t="s">
        <v>4395</v>
      </c>
      <c r="FMC1" t="s">
        <v>4396</v>
      </c>
      <c r="FMD1" t="s">
        <v>4397</v>
      </c>
      <c r="FME1" t="s">
        <v>4398</v>
      </c>
      <c r="FMF1" t="s">
        <v>4399</v>
      </c>
      <c r="FMG1" t="s">
        <v>4400</v>
      </c>
      <c r="FMH1" t="s">
        <v>4401</v>
      </c>
      <c r="FMI1" t="s">
        <v>4402</v>
      </c>
      <c r="FMJ1" t="s">
        <v>4403</v>
      </c>
      <c r="FMK1" t="s">
        <v>4404</v>
      </c>
      <c r="FML1" t="s">
        <v>4405</v>
      </c>
      <c r="FMM1" t="s">
        <v>4406</v>
      </c>
      <c r="FMN1" t="s">
        <v>4407</v>
      </c>
      <c r="FMO1" t="s">
        <v>4408</v>
      </c>
      <c r="FMP1" t="s">
        <v>4409</v>
      </c>
      <c r="FMQ1" t="s">
        <v>4410</v>
      </c>
      <c r="FMR1" t="s">
        <v>4411</v>
      </c>
      <c r="FMS1" t="s">
        <v>4412</v>
      </c>
      <c r="FMT1" t="s">
        <v>4413</v>
      </c>
      <c r="FMU1" t="s">
        <v>4414</v>
      </c>
      <c r="FMV1" t="s">
        <v>4415</v>
      </c>
      <c r="FMW1" t="s">
        <v>4416</v>
      </c>
      <c r="FMX1" t="s">
        <v>4417</v>
      </c>
      <c r="FMY1" t="s">
        <v>4418</v>
      </c>
      <c r="FMZ1" t="s">
        <v>4419</v>
      </c>
      <c r="FNA1" t="s">
        <v>4420</v>
      </c>
      <c r="FNB1" t="s">
        <v>4421</v>
      </c>
      <c r="FNC1" t="s">
        <v>4422</v>
      </c>
      <c r="FND1" t="s">
        <v>4423</v>
      </c>
      <c r="FNE1" t="s">
        <v>4424</v>
      </c>
      <c r="FNF1" t="s">
        <v>4425</v>
      </c>
      <c r="FNG1" t="s">
        <v>4426</v>
      </c>
      <c r="FNH1" t="s">
        <v>4427</v>
      </c>
      <c r="FNI1" t="s">
        <v>4428</v>
      </c>
      <c r="FNJ1" t="s">
        <v>4429</v>
      </c>
      <c r="FNK1" t="s">
        <v>4430</v>
      </c>
      <c r="FNL1" t="s">
        <v>4431</v>
      </c>
      <c r="FNM1" t="s">
        <v>4432</v>
      </c>
      <c r="FNN1" t="s">
        <v>4433</v>
      </c>
      <c r="FNO1" t="s">
        <v>4434</v>
      </c>
      <c r="FNP1" t="s">
        <v>4435</v>
      </c>
      <c r="FNQ1" t="s">
        <v>4436</v>
      </c>
      <c r="FNR1" t="s">
        <v>4437</v>
      </c>
      <c r="FNS1" t="s">
        <v>4438</v>
      </c>
      <c r="FNT1" t="s">
        <v>4439</v>
      </c>
      <c r="FNU1" t="s">
        <v>4440</v>
      </c>
      <c r="FNV1" t="s">
        <v>4441</v>
      </c>
      <c r="FNW1" t="s">
        <v>4442</v>
      </c>
      <c r="FNX1" t="s">
        <v>4443</v>
      </c>
      <c r="FNY1" t="s">
        <v>4444</v>
      </c>
      <c r="FNZ1" t="s">
        <v>4445</v>
      </c>
      <c r="FOA1" t="s">
        <v>4446</v>
      </c>
      <c r="FOB1" t="s">
        <v>4447</v>
      </c>
      <c r="FOC1" t="s">
        <v>4448</v>
      </c>
      <c r="FOD1" t="s">
        <v>4449</v>
      </c>
      <c r="FOE1" t="s">
        <v>4450</v>
      </c>
      <c r="FOF1" t="s">
        <v>4451</v>
      </c>
      <c r="FOG1" t="s">
        <v>4452</v>
      </c>
      <c r="FOH1" t="s">
        <v>4453</v>
      </c>
      <c r="FOI1" t="s">
        <v>4454</v>
      </c>
      <c r="FOJ1" t="s">
        <v>4455</v>
      </c>
      <c r="FOK1" t="s">
        <v>4456</v>
      </c>
      <c r="FOL1" t="s">
        <v>4457</v>
      </c>
      <c r="FOM1" t="s">
        <v>4458</v>
      </c>
      <c r="FON1" t="s">
        <v>4459</v>
      </c>
      <c r="FOO1" t="s">
        <v>4460</v>
      </c>
      <c r="FOP1" t="s">
        <v>4461</v>
      </c>
      <c r="FOQ1" t="s">
        <v>4462</v>
      </c>
      <c r="FOR1" t="s">
        <v>4463</v>
      </c>
      <c r="FOS1" t="s">
        <v>4464</v>
      </c>
      <c r="FOT1" t="s">
        <v>4465</v>
      </c>
      <c r="FOU1" t="s">
        <v>4466</v>
      </c>
      <c r="FOV1" t="s">
        <v>4467</v>
      </c>
      <c r="FOW1" t="s">
        <v>4468</v>
      </c>
      <c r="FOX1" t="s">
        <v>4469</v>
      </c>
      <c r="FOY1" t="s">
        <v>4470</v>
      </c>
      <c r="FOZ1" t="s">
        <v>4471</v>
      </c>
      <c r="FPA1" t="s">
        <v>4472</v>
      </c>
      <c r="FPB1" t="s">
        <v>4473</v>
      </c>
      <c r="FPC1" t="s">
        <v>4474</v>
      </c>
      <c r="FPD1" t="s">
        <v>4475</v>
      </c>
      <c r="FPE1" t="s">
        <v>4476</v>
      </c>
      <c r="FPF1" t="s">
        <v>4477</v>
      </c>
      <c r="FPG1" t="s">
        <v>4478</v>
      </c>
      <c r="FPH1" t="s">
        <v>4479</v>
      </c>
      <c r="FPI1" t="s">
        <v>4480</v>
      </c>
      <c r="FPJ1" t="s">
        <v>4481</v>
      </c>
      <c r="FPK1" t="s">
        <v>4482</v>
      </c>
      <c r="FPL1" t="s">
        <v>4483</v>
      </c>
      <c r="FPM1" t="s">
        <v>4484</v>
      </c>
      <c r="FPN1" t="s">
        <v>4485</v>
      </c>
      <c r="FPO1" t="s">
        <v>4486</v>
      </c>
      <c r="FPP1" t="s">
        <v>4487</v>
      </c>
      <c r="FPQ1" t="s">
        <v>4488</v>
      </c>
      <c r="FPR1" t="s">
        <v>4489</v>
      </c>
      <c r="FPS1" t="s">
        <v>4490</v>
      </c>
      <c r="FPT1" t="s">
        <v>4491</v>
      </c>
      <c r="FPU1" t="s">
        <v>4492</v>
      </c>
      <c r="FPV1" t="s">
        <v>4493</v>
      </c>
      <c r="FPW1" t="s">
        <v>4494</v>
      </c>
      <c r="FPX1" t="s">
        <v>4495</v>
      </c>
      <c r="FPY1" t="s">
        <v>4496</v>
      </c>
      <c r="FPZ1" t="s">
        <v>4497</v>
      </c>
      <c r="FQA1" t="s">
        <v>4498</v>
      </c>
      <c r="FQB1" t="s">
        <v>4499</v>
      </c>
      <c r="FQC1" t="s">
        <v>4500</v>
      </c>
      <c r="FQD1" t="s">
        <v>4501</v>
      </c>
      <c r="FQE1" t="s">
        <v>4502</v>
      </c>
      <c r="FQF1" t="s">
        <v>4503</v>
      </c>
      <c r="FQG1" t="s">
        <v>4504</v>
      </c>
      <c r="FQH1" t="s">
        <v>4505</v>
      </c>
      <c r="FQI1" t="s">
        <v>4506</v>
      </c>
      <c r="FQJ1" t="s">
        <v>4507</v>
      </c>
      <c r="FQK1" t="s">
        <v>4508</v>
      </c>
      <c r="FQL1" t="s">
        <v>4509</v>
      </c>
      <c r="FQM1" t="s">
        <v>4510</v>
      </c>
      <c r="FQN1" t="s">
        <v>4511</v>
      </c>
      <c r="FQO1" t="s">
        <v>4512</v>
      </c>
      <c r="FQP1" t="s">
        <v>4513</v>
      </c>
      <c r="FQQ1" t="s">
        <v>4514</v>
      </c>
      <c r="FQR1" t="s">
        <v>4515</v>
      </c>
      <c r="FQS1" t="s">
        <v>4516</v>
      </c>
      <c r="FQT1" t="s">
        <v>4517</v>
      </c>
      <c r="FQU1" t="s">
        <v>4518</v>
      </c>
      <c r="FQV1" t="s">
        <v>4519</v>
      </c>
      <c r="FQW1" t="s">
        <v>4520</v>
      </c>
      <c r="FQX1" t="s">
        <v>4521</v>
      </c>
      <c r="FQY1" t="s">
        <v>4522</v>
      </c>
      <c r="FQZ1" t="s">
        <v>4523</v>
      </c>
      <c r="FRA1" t="s">
        <v>4524</v>
      </c>
      <c r="FRB1" t="s">
        <v>4525</v>
      </c>
      <c r="FRC1" t="s">
        <v>4526</v>
      </c>
      <c r="FRD1" t="s">
        <v>4527</v>
      </c>
      <c r="FRE1" t="s">
        <v>4528</v>
      </c>
      <c r="FRF1" t="s">
        <v>4529</v>
      </c>
      <c r="FRG1" t="s">
        <v>4530</v>
      </c>
      <c r="FRH1" t="s">
        <v>4531</v>
      </c>
      <c r="FRI1" t="s">
        <v>4532</v>
      </c>
      <c r="FRJ1" t="s">
        <v>4533</v>
      </c>
      <c r="FRK1" t="s">
        <v>4534</v>
      </c>
      <c r="FRL1" t="s">
        <v>4535</v>
      </c>
      <c r="FRM1" t="s">
        <v>4536</v>
      </c>
      <c r="FRN1" t="s">
        <v>4537</v>
      </c>
      <c r="FRO1" t="s">
        <v>4538</v>
      </c>
      <c r="FRP1" t="s">
        <v>4539</v>
      </c>
      <c r="FRQ1" t="s">
        <v>4540</v>
      </c>
      <c r="FRR1" t="s">
        <v>4541</v>
      </c>
      <c r="FRS1" t="s">
        <v>4542</v>
      </c>
      <c r="FRT1" t="s">
        <v>4543</v>
      </c>
      <c r="FRU1" t="s">
        <v>4544</v>
      </c>
      <c r="FRV1" t="s">
        <v>4545</v>
      </c>
      <c r="FRW1" t="s">
        <v>4546</v>
      </c>
      <c r="FRX1" t="s">
        <v>4547</v>
      </c>
      <c r="FRY1" t="s">
        <v>4548</v>
      </c>
      <c r="FRZ1" t="s">
        <v>4549</v>
      </c>
      <c r="FSA1" t="s">
        <v>4550</v>
      </c>
      <c r="FSB1" t="s">
        <v>4551</v>
      </c>
      <c r="FSC1" t="s">
        <v>4552</v>
      </c>
      <c r="FSD1" t="s">
        <v>4553</v>
      </c>
      <c r="FSE1" t="s">
        <v>4554</v>
      </c>
      <c r="FSF1" t="s">
        <v>4555</v>
      </c>
      <c r="FSG1" t="s">
        <v>4556</v>
      </c>
      <c r="FSH1" t="s">
        <v>4557</v>
      </c>
      <c r="FSI1" t="s">
        <v>4558</v>
      </c>
      <c r="FSJ1" t="s">
        <v>4559</v>
      </c>
      <c r="FSK1" t="s">
        <v>4560</v>
      </c>
      <c r="FSL1" t="s">
        <v>4561</v>
      </c>
      <c r="FSM1" t="s">
        <v>4562</v>
      </c>
      <c r="FSN1" t="s">
        <v>4563</v>
      </c>
      <c r="FSO1" t="s">
        <v>4564</v>
      </c>
      <c r="FSP1" t="s">
        <v>4565</v>
      </c>
      <c r="FSQ1" t="s">
        <v>4566</v>
      </c>
      <c r="FSR1" t="s">
        <v>4567</v>
      </c>
      <c r="FSS1" t="s">
        <v>4568</v>
      </c>
      <c r="FST1" t="s">
        <v>4569</v>
      </c>
      <c r="FSU1" t="s">
        <v>4570</v>
      </c>
      <c r="FSV1" t="s">
        <v>4571</v>
      </c>
      <c r="FSW1" t="s">
        <v>4572</v>
      </c>
      <c r="FSX1" t="s">
        <v>4573</v>
      </c>
      <c r="FSY1" t="s">
        <v>4574</v>
      </c>
      <c r="FSZ1" t="s">
        <v>4575</v>
      </c>
      <c r="FTA1" t="s">
        <v>4576</v>
      </c>
      <c r="FTB1" t="s">
        <v>4577</v>
      </c>
      <c r="FTC1" t="s">
        <v>4578</v>
      </c>
      <c r="FTD1" t="s">
        <v>4579</v>
      </c>
      <c r="FTE1" t="s">
        <v>4580</v>
      </c>
      <c r="FTF1" t="s">
        <v>4581</v>
      </c>
      <c r="FTG1" t="s">
        <v>4582</v>
      </c>
      <c r="FTH1" t="s">
        <v>4583</v>
      </c>
      <c r="FTI1" t="s">
        <v>4584</v>
      </c>
      <c r="FTJ1" t="s">
        <v>4585</v>
      </c>
      <c r="FTK1" t="s">
        <v>4586</v>
      </c>
      <c r="FTL1" t="s">
        <v>4587</v>
      </c>
      <c r="FTM1" t="s">
        <v>4588</v>
      </c>
      <c r="FTN1" t="s">
        <v>4589</v>
      </c>
      <c r="FTO1" t="s">
        <v>4590</v>
      </c>
      <c r="FTP1" t="s">
        <v>4591</v>
      </c>
      <c r="FTQ1" t="s">
        <v>4592</v>
      </c>
      <c r="FTR1" t="s">
        <v>4593</v>
      </c>
      <c r="FTS1" t="s">
        <v>4594</v>
      </c>
      <c r="FTT1" t="s">
        <v>4595</v>
      </c>
      <c r="FTU1" t="s">
        <v>4596</v>
      </c>
      <c r="FTV1" t="s">
        <v>4597</v>
      </c>
      <c r="FTW1" t="s">
        <v>4598</v>
      </c>
      <c r="FTX1" t="s">
        <v>4599</v>
      </c>
      <c r="FTY1" t="s">
        <v>4600</v>
      </c>
      <c r="FTZ1" t="s">
        <v>4601</v>
      </c>
      <c r="FUA1" t="s">
        <v>4602</v>
      </c>
      <c r="FUB1" t="s">
        <v>4603</v>
      </c>
      <c r="FUC1" t="s">
        <v>4604</v>
      </c>
      <c r="FUD1" t="s">
        <v>4605</v>
      </c>
      <c r="FUE1" t="s">
        <v>4606</v>
      </c>
      <c r="FUF1" t="s">
        <v>4607</v>
      </c>
      <c r="FUG1" t="s">
        <v>4608</v>
      </c>
      <c r="FUH1" t="s">
        <v>4609</v>
      </c>
      <c r="FUI1" t="s">
        <v>4610</v>
      </c>
      <c r="FUJ1" t="s">
        <v>4611</v>
      </c>
      <c r="FUK1" t="s">
        <v>4612</v>
      </c>
      <c r="FUL1" t="s">
        <v>4613</v>
      </c>
      <c r="FUM1" t="s">
        <v>4614</v>
      </c>
      <c r="FUN1" t="s">
        <v>4615</v>
      </c>
      <c r="FUO1" t="s">
        <v>4616</v>
      </c>
      <c r="FUP1" t="s">
        <v>4617</v>
      </c>
      <c r="FUQ1" t="s">
        <v>4618</v>
      </c>
      <c r="FUR1" t="s">
        <v>4619</v>
      </c>
      <c r="FUS1" t="s">
        <v>4620</v>
      </c>
      <c r="FUT1" t="s">
        <v>4621</v>
      </c>
      <c r="FUU1" t="s">
        <v>4622</v>
      </c>
      <c r="FUV1" t="s">
        <v>4623</v>
      </c>
      <c r="FUW1" t="s">
        <v>4624</v>
      </c>
      <c r="FUX1" t="s">
        <v>4625</v>
      </c>
      <c r="FUY1" t="s">
        <v>4626</v>
      </c>
      <c r="FUZ1" t="s">
        <v>4627</v>
      </c>
      <c r="FVA1" t="s">
        <v>4628</v>
      </c>
      <c r="FVB1" t="s">
        <v>4629</v>
      </c>
      <c r="FVC1" t="s">
        <v>4630</v>
      </c>
      <c r="FVD1" t="s">
        <v>4631</v>
      </c>
      <c r="FVE1" t="s">
        <v>4632</v>
      </c>
      <c r="FVF1" t="s">
        <v>4633</v>
      </c>
      <c r="FVG1" t="s">
        <v>4634</v>
      </c>
      <c r="FVH1" t="s">
        <v>4635</v>
      </c>
      <c r="FVI1" t="s">
        <v>4636</v>
      </c>
      <c r="FVJ1" t="s">
        <v>4637</v>
      </c>
      <c r="FVK1" t="s">
        <v>4638</v>
      </c>
      <c r="FVL1" t="s">
        <v>4639</v>
      </c>
      <c r="FVM1" t="s">
        <v>4640</v>
      </c>
      <c r="FVN1" t="s">
        <v>4641</v>
      </c>
      <c r="FVO1" t="s">
        <v>4642</v>
      </c>
      <c r="FVP1" t="s">
        <v>4643</v>
      </c>
      <c r="FVQ1" t="s">
        <v>4644</v>
      </c>
      <c r="FVR1" t="s">
        <v>4645</v>
      </c>
      <c r="FVS1" t="s">
        <v>4646</v>
      </c>
      <c r="FVT1" t="s">
        <v>4647</v>
      </c>
      <c r="FVU1" t="s">
        <v>4648</v>
      </c>
      <c r="FVV1" t="s">
        <v>4649</v>
      </c>
      <c r="FVW1" t="s">
        <v>4650</v>
      </c>
      <c r="FVX1" t="s">
        <v>4651</v>
      </c>
      <c r="FVY1" t="s">
        <v>4652</v>
      </c>
      <c r="FVZ1" t="s">
        <v>4653</v>
      </c>
      <c r="FWA1" t="s">
        <v>4654</v>
      </c>
      <c r="FWB1" t="s">
        <v>4655</v>
      </c>
      <c r="FWC1" t="s">
        <v>4656</v>
      </c>
      <c r="FWD1" t="s">
        <v>4657</v>
      </c>
      <c r="FWE1" t="s">
        <v>4658</v>
      </c>
      <c r="FWF1" t="s">
        <v>4659</v>
      </c>
      <c r="FWG1" t="s">
        <v>4660</v>
      </c>
      <c r="FWH1" t="s">
        <v>4661</v>
      </c>
      <c r="FWI1" t="s">
        <v>4662</v>
      </c>
      <c r="FWJ1" t="s">
        <v>4663</v>
      </c>
      <c r="FWK1" t="s">
        <v>4664</v>
      </c>
      <c r="FWL1" t="s">
        <v>4665</v>
      </c>
      <c r="FWM1" t="s">
        <v>4666</v>
      </c>
      <c r="FWN1" t="s">
        <v>4667</v>
      </c>
      <c r="FWO1" t="s">
        <v>4668</v>
      </c>
      <c r="FWP1" t="s">
        <v>4669</v>
      </c>
      <c r="FWQ1" t="s">
        <v>4670</v>
      </c>
      <c r="FWR1" t="s">
        <v>4671</v>
      </c>
      <c r="FWS1" t="s">
        <v>4672</v>
      </c>
      <c r="FWT1" t="s">
        <v>4673</v>
      </c>
      <c r="FWU1" t="s">
        <v>4674</v>
      </c>
      <c r="FWV1" t="s">
        <v>4675</v>
      </c>
      <c r="FWW1" t="s">
        <v>4676</v>
      </c>
      <c r="FWX1" t="s">
        <v>4677</v>
      </c>
      <c r="FWY1" t="s">
        <v>4678</v>
      </c>
      <c r="FWZ1" t="s">
        <v>4679</v>
      </c>
      <c r="FXA1" t="s">
        <v>4680</v>
      </c>
      <c r="FXB1" t="s">
        <v>4681</v>
      </c>
      <c r="FXC1" t="s">
        <v>4682</v>
      </c>
      <c r="FXD1" t="s">
        <v>4683</v>
      </c>
      <c r="FXE1" t="s">
        <v>4684</v>
      </c>
      <c r="FXF1" t="s">
        <v>4685</v>
      </c>
      <c r="FXG1" t="s">
        <v>4686</v>
      </c>
      <c r="FXH1" t="s">
        <v>4687</v>
      </c>
      <c r="FXI1" t="s">
        <v>4688</v>
      </c>
      <c r="FXJ1" t="s">
        <v>4689</v>
      </c>
      <c r="FXK1" t="s">
        <v>4690</v>
      </c>
      <c r="FXL1" t="s">
        <v>4691</v>
      </c>
      <c r="FXM1" t="s">
        <v>4692</v>
      </c>
      <c r="FXN1" t="s">
        <v>4693</v>
      </c>
      <c r="FXO1" t="s">
        <v>4694</v>
      </c>
      <c r="FXP1" t="s">
        <v>4695</v>
      </c>
      <c r="FXQ1" t="s">
        <v>4696</v>
      </c>
      <c r="FXR1" t="s">
        <v>4697</v>
      </c>
      <c r="FXS1" t="s">
        <v>4698</v>
      </c>
      <c r="FXT1" t="s">
        <v>4699</v>
      </c>
      <c r="FXU1" t="s">
        <v>4700</v>
      </c>
      <c r="FXV1" t="s">
        <v>4701</v>
      </c>
      <c r="FXW1" t="s">
        <v>4702</v>
      </c>
      <c r="FXX1" t="s">
        <v>4703</v>
      </c>
      <c r="FXY1" t="s">
        <v>4704</v>
      </c>
      <c r="FXZ1" t="s">
        <v>4705</v>
      </c>
      <c r="FYA1" t="s">
        <v>4706</v>
      </c>
      <c r="FYB1" t="s">
        <v>4707</v>
      </c>
      <c r="FYC1" t="s">
        <v>4708</v>
      </c>
      <c r="FYD1" t="s">
        <v>4709</v>
      </c>
      <c r="FYE1" t="s">
        <v>4710</v>
      </c>
      <c r="FYF1" t="s">
        <v>4711</v>
      </c>
      <c r="FYG1" t="s">
        <v>4712</v>
      </c>
      <c r="FYH1" t="s">
        <v>4713</v>
      </c>
      <c r="FYI1" t="s">
        <v>4714</v>
      </c>
      <c r="FYJ1" t="s">
        <v>4715</v>
      </c>
      <c r="FYK1" t="s">
        <v>4716</v>
      </c>
      <c r="FYL1" t="s">
        <v>4717</v>
      </c>
      <c r="FYM1" t="s">
        <v>4718</v>
      </c>
      <c r="FYN1" t="s">
        <v>4719</v>
      </c>
      <c r="FYO1" t="s">
        <v>4720</v>
      </c>
      <c r="FYP1" t="s">
        <v>4721</v>
      </c>
      <c r="FYQ1" t="s">
        <v>4722</v>
      </c>
      <c r="FYR1" t="s">
        <v>4723</v>
      </c>
      <c r="FYS1" t="s">
        <v>4724</v>
      </c>
      <c r="FYT1" t="s">
        <v>4725</v>
      </c>
      <c r="FYU1" t="s">
        <v>4726</v>
      </c>
      <c r="FYV1" t="s">
        <v>4727</v>
      </c>
      <c r="FYW1" t="s">
        <v>4728</v>
      </c>
      <c r="FYX1" t="s">
        <v>4729</v>
      </c>
      <c r="FYY1" t="s">
        <v>4730</v>
      </c>
      <c r="FYZ1" t="s">
        <v>4731</v>
      </c>
      <c r="FZA1" t="s">
        <v>4732</v>
      </c>
      <c r="FZB1" t="s">
        <v>4733</v>
      </c>
      <c r="FZC1" t="s">
        <v>4734</v>
      </c>
      <c r="FZD1" t="s">
        <v>4735</v>
      </c>
      <c r="FZE1" t="s">
        <v>4736</v>
      </c>
      <c r="FZF1" t="s">
        <v>4737</v>
      </c>
      <c r="FZG1" t="s">
        <v>4738</v>
      </c>
      <c r="FZH1" t="s">
        <v>4739</v>
      </c>
      <c r="FZI1" t="s">
        <v>4740</v>
      </c>
      <c r="FZJ1" t="s">
        <v>4741</v>
      </c>
      <c r="FZK1" t="s">
        <v>4742</v>
      </c>
      <c r="FZL1" t="s">
        <v>4743</v>
      </c>
      <c r="FZM1" t="s">
        <v>4744</v>
      </c>
      <c r="FZN1" t="s">
        <v>4745</v>
      </c>
      <c r="FZO1" t="s">
        <v>4746</v>
      </c>
      <c r="FZP1" t="s">
        <v>4747</v>
      </c>
      <c r="FZQ1" t="s">
        <v>4748</v>
      </c>
      <c r="FZR1" t="s">
        <v>4749</v>
      </c>
      <c r="FZS1" t="s">
        <v>4750</v>
      </c>
      <c r="FZT1" t="s">
        <v>4751</v>
      </c>
      <c r="FZU1" t="s">
        <v>4752</v>
      </c>
      <c r="FZV1" t="s">
        <v>4753</v>
      </c>
      <c r="FZW1" t="s">
        <v>4754</v>
      </c>
      <c r="FZX1" t="s">
        <v>4755</v>
      </c>
      <c r="FZY1" t="s">
        <v>4756</v>
      </c>
      <c r="FZZ1" t="s">
        <v>4757</v>
      </c>
      <c r="GAA1" t="s">
        <v>4758</v>
      </c>
      <c r="GAB1" t="s">
        <v>4759</v>
      </c>
      <c r="GAC1" t="s">
        <v>4760</v>
      </c>
      <c r="GAD1" t="s">
        <v>4761</v>
      </c>
      <c r="GAE1" t="s">
        <v>4762</v>
      </c>
      <c r="GAF1" t="s">
        <v>4763</v>
      </c>
      <c r="GAG1" t="s">
        <v>4764</v>
      </c>
      <c r="GAH1" t="s">
        <v>4765</v>
      </c>
      <c r="GAI1" t="s">
        <v>4766</v>
      </c>
      <c r="GAJ1" t="s">
        <v>4767</v>
      </c>
      <c r="GAK1" t="s">
        <v>4768</v>
      </c>
      <c r="GAL1" t="s">
        <v>4769</v>
      </c>
      <c r="GAM1" t="s">
        <v>4770</v>
      </c>
      <c r="GAN1" t="s">
        <v>4771</v>
      </c>
      <c r="GAO1" t="s">
        <v>4772</v>
      </c>
      <c r="GAP1" t="s">
        <v>4773</v>
      </c>
      <c r="GAQ1" t="s">
        <v>4774</v>
      </c>
      <c r="GAR1" t="s">
        <v>4775</v>
      </c>
      <c r="GAS1" t="s">
        <v>4776</v>
      </c>
      <c r="GAT1" t="s">
        <v>4777</v>
      </c>
      <c r="GAU1" t="s">
        <v>4778</v>
      </c>
      <c r="GAV1" t="s">
        <v>4779</v>
      </c>
      <c r="GAW1" t="s">
        <v>4780</v>
      </c>
      <c r="GAX1" t="s">
        <v>4781</v>
      </c>
      <c r="GAY1" t="s">
        <v>4782</v>
      </c>
      <c r="GAZ1" t="s">
        <v>4783</v>
      </c>
      <c r="GBA1" t="s">
        <v>4784</v>
      </c>
      <c r="GBB1" t="s">
        <v>4785</v>
      </c>
      <c r="GBC1" t="s">
        <v>4786</v>
      </c>
      <c r="GBD1" t="s">
        <v>4787</v>
      </c>
      <c r="GBE1" t="s">
        <v>4788</v>
      </c>
      <c r="GBF1" t="s">
        <v>4789</v>
      </c>
      <c r="GBG1" t="s">
        <v>4790</v>
      </c>
      <c r="GBH1" t="s">
        <v>4791</v>
      </c>
      <c r="GBI1" t="s">
        <v>4792</v>
      </c>
      <c r="GBJ1" t="s">
        <v>4793</v>
      </c>
      <c r="GBK1" t="s">
        <v>4794</v>
      </c>
      <c r="GBL1" t="s">
        <v>4795</v>
      </c>
      <c r="GBM1" t="s">
        <v>4796</v>
      </c>
      <c r="GBN1" t="s">
        <v>4797</v>
      </c>
      <c r="GBO1" t="s">
        <v>4798</v>
      </c>
      <c r="GBP1" t="s">
        <v>4799</v>
      </c>
      <c r="GBQ1" t="s">
        <v>4800</v>
      </c>
      <c r="GBR1" t="s">
        <v>4801</v>
      </c>
      <c r="GBS1" t="s">
        <v>4802</v>
      </c>
      <c r="GBT1" t="s">
        <v>4803</v>
      </c>
      <c r="GBU1" t="s">
        <v>4804</v>
      </c>
      <c r="GBV1" t="s">
        <v>4805</v>
      </c>
      <c r="GBW1" t="s">
        <v>4806</v>
      </c>
      <c r="GBX1" t="s">
        <v>4807</v>
      </c>
      <c r="GBY1" t="s">
        <v>4808</v>
      </c>
      <c r="GBZ1" t="s">
        <v>4809</v>
      </c>
      <c r="GCA1" t="s">
        <v>4810</v>
      </c>
      <c r="GCB1" t="s">
        <v>4811</v>
      </c>
      <c r="GCC1" t="s">
        <v>4812</v>
      </c>
      <c r="GCD1" t="s">
        <v>4813</v>
      </c>
      <c r="GCE1" t="s">
        <v>4814</v>
      </c>
      <c r="GCF1" t="s">
        <v>4815</v>
      </c>
      <c r="GCG1" t="s">
        <v>4816</v>
      </c>
      <c r="GCH1" t="s">
        <v>4817</v>
      </c>
      <c r="GCI1" t="s">
        <v>4818</v>
      </c>
      <c r="GCJ1" t="s">
        <v>4819</v>
      </c>
      <c r="GCK1" t="s">
        <v>4820</v>
      </c>
      <c r="GCL1" t="s">
        <v>4821</v>
      </c>
      <c r="GCM1" t="s">
        <v>4822</v>
      </c>
      <c r="GCN1" t="s">
        <v>4823</v>
      </c>
      <c r="GCO1" t="s">
        <v>4824</v>
      </c>
      <c r="GCP1" t="s">
        <v>4825</v>
      </c>
      <c r="GCQ1" t="s">
        <v>4826</v>
      </c>
      <c r="GCR1" t="s">
        <v>4827</v>
      </c>
      <c r="GCS1" t="s">
        <v>4828</v>
      </c>
      <c r="GCT1" t="s">
        <v>4829</v>
      </c>
      <c r="GCU1" t="s">
        <v>4830</v>
      </c>
      <c r="GCV1" t="s">
        <v>4831</v>
      </c>
      <c r="GCW1" t="s">
        <v>4832</v>
      </c>
      <c r="GCX1" t="s">
        <v>4833</v>
      </c>
      <c r="GCY1" t="s">
        <v>4834</v>
      </c>
      <c r="GCZ1" t="s">
        <v>4835</v>
      </c>
      <c r="GDA1" t="s">
        <v>4836</v>
      </c>
      <c r="GDB1" t="s">
        <v>4837</v>
      </c>
      <c r="GDC1" t="s">
        <v>4838</v>
      </c>
      <c r="GDD1" t="s">
        <v>4839</v>
      </c>
      <c r="GDE1" t="s">
        <v>4840</v>
      </c>
      <c r="GDF1" t="s">
        <v>4841</v>
      </c>
      <c r="GDG1" t="s">
        <v>4842</v>
      </c>
      <c r="GDH1" t="s">
        <v>4843</v>
      </c>
      <c r="GDI1" t="s">
        <v>4844</v>
      </c>
      <c r="GDJ1" t="s">
        <v>4845</v>
      </c>
      <c r="GDK1" t="s">
        <v>4846</v>
      </c>
      <c r="GDL1" t="s">
        <v>4847</v>
      </c>
      <c r="GDM1" t="s">
        <v>4848</v>
      </c>
      <c r="GDN1" t="s">
        <v>4849</v>
      </c>
      <c r="GDO1" t="s">
        <v>4850</v>
      </c>
      <c r="GDP1" t="s">
        <v>4851</v>
      </c>
      <c r="GDQ1" t="s">
        <v>4852</v>
      </c>
      <c r="GDR1" t="s">
        <v>4853</v>
      </c>
      <c r="GDS1" t="s">
        <v>4854</v>
      </c>
      <c r="GDT1" t="s">
        <v>4855</v>
      </c>
      <c r="GDU1" t="s">
        <v>4856</v>
      </c>
      <c r="GDV1" t="s">
        <v>4857</v>
      </c>
      <c r="GDW1" t="s">
        <v>4858</v>
      </c>
      <c r="GDX1" t="s">
        <v>4859</v>
      </c>
      <c r="GDY1" t="s">
        <v>4860</v>
      </c>
      <c r="GDZ1" t="s">
        <v>4861</v>
      </c>
      <c r="GEA1" t="s">
        <v>4862</v>
      </c>
      <c r="GEB1" t="s">
        <v>4863</v>
      </c>
      <c r="GEC1" t="s">
        <v>4864</v>
      </c>
      <c r="GED1" t="s">
        <v>4865</v>
      </c>
      <c r="GEE1" t="s">
        <v>4866</v>
      </c>
      <c r="GEF1" t="s">
        <v>4867</v>
      </c>
      <c r="GEG1" t="s">
        <v>4868</v>
      </c>
      <c r="GEH1" t="s">
        <v>4869</v>
      </c>
      <c r="GEI1" t="s">
        <v>4870</v>
      </c>
      <c r="GEJ1" t="s">
        <v>4871</v>
      </c>
      <c r="GEK1" t="s">
        <v>4872</v>
      </c>
      <c r="GEL1" t="s">
        <v>4873</v>
      </c>
      <c r="GEM1" t="s">
        <v>4874</v>
      </c>
      <c r="GEN1" t="s">
        <v>4875</v>
      </c>
      <c r="GEO1" t="s">
        <v>4876</v>
      </c>
      <c r="GEP1" t="s">
        <v>4877</v>
      </c>
      <c r="GEQ1" t="s">
        <v>4878</v>
      </c>
      <c r="GER1" t="s">
        <v>4879</v>
      </c>
      <c r="GES1" t="s">
        <v>4880</v>
      </c>
      <c r="GET1" t="s">
        <v>4881</v>
      </c>
      <c r="GEU1" t="s">
        <v>4882</v>
      </c>
      <c r="GEV1" t="s">
        <v>4883</v>
      </c>
      <c r="GEW1" t="s">
        <v>4884</v>
      </c>
      <c r="GEX1" t="s">
        <v>4885</v>
      </c>
      <c r="GEY1" t="s">
        <v>4886</v>
      </c>
      <c r="GEZ1" t="s">
        <v>4887</v>
      </c>
      <c r="GFA1" t="s">
        <v>4888</v>
      </c>
      <c r="GFB1" t="s">
        <v>4889</v>
      </c>
      <c r="GFC1" t="s">
        <v>4890</v>
      </c>
      <c r="GFD1" t="s">
        <v>4891</v>
      </c>
      <c r="GFE1" t="s">
        <v>4892</v>
      </c>
      <c r="GFF1" t="s">
        <v>4893</v>
      </c>
      <c r="GFG1" t="s">
        <v>4894</v>
      </c>
      <c r="GFH1" t="s">
        <v>4895</v>
      </c>
      <c r="GFI1" t="s">
        <v>4896</v>
      </c>
      <c r="GFJ1" t="s">
        <v>4897</v>
      </c>
      <c r="GFK1" t="s">
        <v>4898</v>
      </c>
      <c r="GFL1" t="s">
        <v>4899</v>
      </c>
      <c r="GFM1" t="s">
        <v>4900</v>
      </c>
      <c r="GFN1" t="s">
        <v>4901</v>
      </c>
      <c r="GFO1" t="s">
        <v>4902</v>
      </c>
      <c r="GFP1" t="s">
        <v>4903</v>
      </c>
      <c r="GFQ1" t="s">
        <v>4904</v>
      </c>
      <c r="GFR1" t="s">
        <v>4905</v>
      </c>
      <c r="GFS1" t="s">
        <v>4906</v>
      </c>
      <c r="GFT1" t="s">
        <v>4907</v>
      </c>
      <c r="GFU1" t="s">
        <v>4908</v>
      </c>
      <c r="GFV1" t="s">
        <v>4909</v>
      </c>
      <c r="GFW1" t="s">
        <v>4910</v>
      </c>
      <c r="GFX1" t="s">
        <v>4911</v>
      </c>
      <c r="GFY1" t="s">
        <v>4912</v>
      </c>
      <c r="GFZ1" t="s">
        <v>4913</v>
      </c>
      <c r="GGA1" t="s">
        <v>4914</v>
      </c>
      <c r="GGB1" t="s">
        <v>4915</v>
      </c>
      <c r="GGC1" t="s">
        <v>4916</v>
      </c>
      <c r="GGD1" t="s">
        <v>4917</v>
      </c>
      <c r="GGE1" t="s">
        <v>4918</v>
      </c>
      <c r="GGF1" t="s">
        <v>4919</v>
      </c>
      <c r="GGG1" t="s">
        <v>4920</v>
      </c>
      <c r="GGH1" t="s">
        <v>4921</v>
      </c>
      <c r="GGI1" t="s">
        <v>4922</v>
      </c>
      <c r="GGJ1" t="s">
        <v>4923</v>
      </c>
      <c r="GGK1" t="s">
        <v>4924</v>
      </c>
      <c r="GGL1" t="s">
        <v>4925</v>
      </c>
      <c r="GGM1" t="s">
        <v>4926</v>
      </c>
      <c r="GGN1" t="s">
        <v>4927</v>
      </c>
      <c r="GGO1" t="s">
        <v>4928</v>
      </c>
      <c r="GGP1" t="s">
        <v>4929</v>
      </c>
      <c r="GGQ1" t="s">
        <v>4930</v>
      </c>
      <c r="GGR1" t="s">
        <v>4931</v>
      </c>
      <c r="GGS1" t="s">
        <v>4932</v>
      </c>
      <c r="GGT1" t="s">
        <v>4933</v>
      </c>
      <c r="GGU1" t="s">
        <v>4934</v>
      </c>
      <c r="GGV1" t="s">
        <v>4935</v>
      </c>
      <c r="GGW1" t="s">
        <v>4936</v>
      </c>
      <c r="GGX1" t="s">
        <v>4937</v>
      </c>
      <c r="GGY1" t="s">
        <v>4938</v>
      </c>
      <c r="GGZ1" t="s">
        <v>4939</v>
      </c>
      <c r="GHA1" t="s">
        <v>4940</v>
      </c>
      <c r="GHB1" t="s">
        <v>4941</v>
      </c>
      <c r="GHC1" t="s">
        <v>4942</v>
      </c>
      <c r="GHD1" t="s">
        <v>4943</v>
      </c>
      <c r="GHE1" t="s">
        <v>4944</v>
      </c>
      <c r="GHF1" t="s">
        <v>4945</v>
      </c>
      <c r="GHG1" t="s">
        <v>4946</v>
      </c>
      <c r="GHH1" t="s">
        <v>4947</v>
      </c>
      <c r="GHI1" t="s">
        <v>4948</v>
      </c>
      <c r="GHJ1" t="s">
        <v>4949</v>
      </c>
      <c r="GHK1" t="s">
        <v>4950</v>
      </c>
      <c r="GHL1" t="s">
        <v>4951</v>
      </c>
      <c r="GHM1" t="s">
        <v>4952</v>
      </c>
      <c r="GHN1" t="s">
        <v>4953</v>
      </c>
      <c r="GHO1" t="s">
        <v>4954</v>
      </c>
      <c r="GHP1" t="s">
        <v>4955</v>
      </c>
      <c r="GHQ1" t="s">
        <v>4956</v>
      </c>
      <c r="GHR1" t="s">
        <v>4957</v>
      </c>
      <c r="GHS1" t="s">
        <v>4958</v>
      </c>
      <c r="GHT1" t="s">
        <v>4959</v>
      </c>
      <c r="GHU1" t="s">
        <v>4960</v>
      </c>
      <c r="GHV1" t="s">
        <v>4961</v>
      </c>
      <c r="GHW1" t="s">
        <v>4962</v>
      </c>
      <c r="GHX1" t="s">
        <v>4963</v>
      </c>
      <c r="GHY1" t="s">
        <v>4964</v>
      </c>
      <c r="GHZ1" t="s">
        <v>4965</v>
      </c>
      <c r="GIA1" t="s">
        <v>4966</v>
      </c>
      <c r="GIB1" t="s">
        <v>4967</v>
      </c>
      <c r="GIC1" t="s">
        <v>4968</v>
      </c>
      <c r="GID1" t="s">
        <v>4969</v>
      </c>
      <c r="GIE1" t="s">
        <v>4970</v>
      </c>
      <c r="GIF1" t="s">
        <v>4971</v>
      </c>
      <c r="GIG1" t="s">
        <v>4972</v>
      </c>
      <c r="GIH1" t="s">
        <v>4973</v>
      </c>
      <c r="GII1" t="s">
        <v>4974</v>
      </c>
      <c r="GIJ1" t="s">
        <v>4975</v>
      </c>
      <c r="GIK1" t="s">
        <v>4976</v>
      </c>
      <c r="GIL1" t="s">
        <v>4977</v>
      </c>
      <c r="GIM1" t="s">
        <v>4978</v>
      </c>
      <c r="GIN1" t="s">
        <v>4979</v>
      </c>
      <c r="GIO1" t="s">
        <v>4980</v>
      </c>
      <c r="GIP1" t="s">
        <v>4981</v>
      </c>
      <c r="GIQ1" t="s">
        <v>4982</v>
      </c>
      <c r="GIR1" t="s">
        <v>4983</v>
      </c>
      <c r="GIS1" t="s">
        <v>4984</v>
      </c>
      <c r="GIT1" t="s">
        <v>4985</v>
      </c>
      <c r="GIU1" t="s">
        <v>4986</v>
      </c>
      <c r="GIV1" t="s">
        <v>4987</v>
      </c>
      <c r="GIW1" t="s">
        <v>4988</v>
      </c>
      <c r="GIX1" t="s">
        <v>4989</v>
      </c>
      <c r="GIY1" t="s">
        <v>4990</v>
      </c>
      <c r="GIZ1" t="s">
        <v>4991</v>
      </c>
      <c r="GJA1" t="s">
        <v>4992</v>
      </c>
      <c r="GJB1" t="s">
        <v>4993</v>
      </c>
      <c r="GJC1" t="s">
        <v>4994</v>
      </c>
      <c r="GJD1" t="s">
        <v>4995</v>
      </c>
      <c r="GJE1" t="s">
        <v>4996</v>
      </c>
      <c r="GJF1" t="s">
        <v>4997</v>
      </c>
      <c r="GJG1" t="s">
        <v>4998</v>
      </c>
      <c r="GJH1" t="s">
        <v>4999</v>
      </c>
      <c r="GJI1" t="s">
        <v>5000</v>
      </c>
      <c r="GJJ1" t="s">
        <v>5001</v>
      </c>
      <c r="GJK1" t="s">
        <v>5002</v>
      </c>
      <c r="GJL1" t="s">
        <v>5003</v>
      </c>
      <c r="GJM1" t="s">
        <v>5004</v>
      </c>
      <c r="GJN1" t="s">
        <v>5005</v>
      </c>
      <c r="GJO1" t="s">
        <v>5006</v>
      </c>
      <c r="GJP1" t="s">
        <v>5007</v>
      </c>
      <c r="GJQ1" t="s">
        <v>5008</v>
      </c>
      <c r="GJR1" t="s">
        <v>5009</v>
      </c>
      <c r="GJS1" t="s">
        <v>5010</v>
      </c>
      <c r="GJT1" t="s">
        <v>5011</v>
      </c>
      <c r="GJU1" t="s">
        <v>5012</v>
      </c>
      <c r="GJV1" t="s">
        <v>5013</v>
      </c>
      <c r="GJW1" t="s">
        <v>5014</v>
      </c>
      <c r="GJX1" t="s">
        <v>5015</v>
      </c>
      <c r="GJY1" t="s">
        <v>5016</v>
      </c>
      <c r="GJZ1" t="s">
        <v>5017</v>
      </c>
      <c r="GKA1" t="s">
        <v>5018</v>
      </c>
      <c r="GKB1" t="s">
        <v>5019</v>
      </c>
      <c r="GKC1" t="s">
        <v>5020</v>
      </c>
      <c r="GKD1" t="s">
        <v>5021</v>
      </c>
      <c r="GKE1" t="s">
        <v>5022</v>
      </c>
      <c r="GKF1" t="s">
        <v>5023</v>
      </c>
      <c r="GKG1" t="s">
        <v>5024</v>
      </c>
      <c r="GKH1" t="s">
        <v>5025</v>
      </c>
      <c r="GKI1" t="s">
        <v>5026</v>
      </c>
      <c r="GKJ1" t="s">
        <v>5027</v>
      </c>
      <c r="GKK1" t="s">
        <v>5028</v>
      </c>
      <c r="GKL1" t="s">
        <v>5029</v>
      </c>
      <c r="GKM1" t="s">
        <v>5030</v>
      </c>
      <c r="GKN1" t="s">
        <v>5031</v>
      </c>
      <c r="GKO1" t="s">
        <v>5032</v>
      </c>
      <c r="GKP1" t="s">
        <v>5033</v>
      </c>
      <c r="GKQ1" t="s">
        <v>5034</v>
      </c>
      <c r="GKR1" t="s">
        <v>5035</v>
      </c>
      <c r="GKS1" t="s">
        <v>5036</v>
      </c>
      <c r="GKT1" t="s">
        <v>5037</v>
      </c>
      <c r="GKU1" t="s">
        <v>5038</v>
      </c>
      <c r="GKV1" t="s">
        <v>5039</v>
      </c>
      <c r="GKW1" t="s">
        <v>5040</v>
      </c>
      <c r="GKX1" t="s">
        <v>5041</v>
      </c>
      <c r="GKY1" t="s">
        <v>5042</v>
      </c>
      <c r="GKZ1" t="s">
        <v>5043</v>
      </c>
      <c r="GLA1" t="s">
        <v>5044</v>
      </c>
      <c r="GLB1" t="s">
        <v>5045</v>
      </c>
      <c r="GLC1" t="s">
        <v>5046</v>
      </c>
      <c r="GLD1" t="s">
        <v>5047</v>
      </c>
      <c r="GLE1" t="s">
        <v>5048</v>
      </c>
      <c r="GLF1" t="s">
        <v>5049</v>
      </c>
      <c r="GLG1" t="s">
        <v>5050</v>
      </c>
      <c r="GLH1" t="s">
        <v>5051</v>
      </c>
      <c r="GLI1" t="s">
        <v>5052</v>
      </c>
      <c r="GLJ1" t="s">
        <v>5053</v>
      </c>
      <c r="GLK1" t="s">
        <v>5054</v>
      </c>
      <c r="GLL1" t="s">
        <v>5055</v>
      </c>
      <c r="GLM1" t="s">
        <v>5056</v>
      </c>
      <c r="GLN1" t="s">
        <v>5057</v>
      </c>
      <c r="GLO1" t="s">
        <v>5058</v>
      </c>
      <c r="GLP1" t="s">
        <v>5059</v>
      </c>
      <c r="GLQ1" t="s">
        <v>5060</v>
      </c>
      <c r="GLR1" t="s">
        <v>5061</v>
      </c>
      <c r="GLS1" t="s">
        <v>5062</v>
      </c>
      <c r="GLT1" t="s">
        <v>5063</v>
      </c>
      <c r="GLU1" t="s">
        <v>5064</v>
      </c>
      <c r="GLV1" t="s">
        <v>5065</v>
      </c>
      <c r="GLW1" t="s">
        <v>5066</v>
      </c>
      <c r="GLX1" t="s">
        <v>5067</v>
      </c>
      <c r="GLY1" t="s">
        <v>5068</v>
      </c>
      <c r="GLZ1" t="s">
        <v>5069</v>
      </c>
      <c r="GMA1" t="s">
        <v>5070</v>
      </c>
      <c r="GMB1" t="s">
        <v>5071</v>
      </c>
      <c r="GMC1" t="s">
        <v>5072</v>
      </c>
      <c r="GMD1" t="s">
        <v>5073</v>
      </c>
      <c r="GME1" t="s">
        <v>5074</v>
      </c>
      <c r="GMF1" t="s">
        <v>5075</v>
      </c>
      <c r="GMG1" t="s">
        <v>5076</v>
      </c>
      <c r="GMH1" t="s">
        <v>5077</v>
      </c>
      <c r="GMI1" t="s">
        <v>5078</v>
      </c>
      <c r="GMJ1" t="s">
        <v>5079</v>
      </c>
      <c r="GMK1" t="s">
        <v>5080</v>
      </c>
      <c r="GML1" t="s">
        <v>5081</v>
      </c>
      <c r="GMM1" t="s">
        <v>5082</v>
      </c>
      <c r="GMN1" t="s">
        <v>5083</v>
      </c>
      <c r="GMO1" t="s">
        <v>5084</v>
      </c>
      <c r="GMP1" t="s">
        <v>5085</v>
      </c>
      <c r="GMQ1" t="s">
        <v>5086</v>
      </c>
      <c r="GMR1" t="s">
        <v>5087</v>
      </c>
      <c r="GMS1" t="s">
        <v>5088</v>
      </c>
      <c r="GMT1" t="s">
        <v>5089</v>
      </c>
      <c r="GMU1" t="s">
        <v>5090</v>
      </c>
      <c r="GMV1" t="s">
        <v>5091</v>
      </c>
      <c r="GMW1" t="s">
        <v>5092</v>
      </c>
      <c r="GMX1" t="s">
        <v>5093</v>
      </c>
      <c r="GMY1" t="s">
        <v>5094</v>
      </c>
      <c r="GMZ1" t="s">
        <v>5095</v>
      </c>
      <c r="GNA1" t="s">
        <v>5096</v>
      </c>
      <c r="GNB1" t="s">
        <v>5097</v>
      </c>
      <c r="GNC1" t="s">
        <v>5098</v>
      </c>
      <c r="GND1" t="s">
        <v>5099</v>
      </c>
      <c r="GNE1" t="s">
        <v>5100</v>
      </c>
      <c r="GNF1" t="s">
        <v>5101</v>
      </c>
      <c r="GNG1" t="s">
        <v>5102</v>
      </c>
      <c r="GNH1" t="s">
        <v>5103</v>
      </c>
      <c r="GNI1" t="s">
        <v>5104</v>
      </c>
      <c r="GNJ1" t="s">
        <v>5105</v>
      </c>
      <c r="GNK1" t="s">
        <v>5106</v>
      </c>
      <c r="GNL1" t="s">
        <v>5107</v>
      </c>
      <c r="GNM1" t="s">
        <v>5108</v>
      </c>
      <c r="GNN1" t="s">
        <v>5109</v>
      </c>
      <c r="GNO1" t="s">
        <v>5110</v>
      </c>
      <c r="GNP1" t="s">
        <v>5111</v>
      </c>
      <c r="GNQ1" t="s">
        <v>5112</v>
      </c>
      <c r="GNR1" t="s">
        <v>5113</v>
      </c>
      <c r="GNS1" t="s">
        <v>5114</v>
      </c>
      <c r="GNT1" t="s">
        <v>5115</v>
      </c>
      <c r="GNU1" t="s">
        <v>5116</v>
      </c>
      <c r="GNV1" t="s">
        <v>5117</v>
      </c>
      <c r="GNW1" t="s">
        <v>5118</v>
      </c>
      <c r="GNX1" t="s">
        <v>5119</v>
      </c>
      <c r="GNY1" t="s">
        <v>5120</v>
      </c>
      <c r="GNZ1" t="s">
        <v>5121</v>
      </c>
      <c r="GOA1" t="s">
        <v>5122</v>
      </c>
      <c r="GOB1" t="s">
        <v>5123</v>
      </c>
      <c r="GOC1" t="s">
        <v>5124</v>
      </c>
      <c r="GOD1" t="s">
        <v>5125</v>
      </c>
      <c r="GOE1" t="s">
        <v>5126</v>
      </c>
      <c r="GOF1" t="s">
        <v>5127</v>
      </c>
      <c r="GOG1" t="s">
        <v>5128</v>
      </c>
      <c r="GOH1" t="s">
        <v>5129</v>
      </c>
      <c r="GOI1" t="s">
        <v>5130</v>
      </c>
      <c r="GOJ1" t="s">
        <v>5131</v>
      </c>
      <c r="GOK1" t="s">
        <v>5132</v>
      </c>
      <c r="GOL1" t="s">
        <v>5133</v>
      </c>
      <c r="GOM1" t="s">
        <v>5134</v>
      </c>
      <c r="GON1" t="s">
        <v>5135</v>
      </c>
      <c r="GOO1" t="s">
        <v>5136</v>
      </c>
      <c r="GOP1" t="s">
        <v>5137</v>
      </c>
      <c r="GOQ1" t="s">
        <v>5138</v>
      </c>
      <c r="GOR1" t="s">
        <v>5139</v>
      </c>
      <c r="GOS1" t="s">
        <v>5140</v>
      </c>
      <c r="GOT1" t="s">
        <v>5141</v>
      </c>
      <c r="GOU1" t="s">
        <v>5142</v>
      </c>
      <c r="GOV1" t="s">
        <v>5143</v>
      </c>
      <c r="GOW1" t="s">
        <v>5144</v>
      </c>
      <c r="GOX1" t="s">
        <v>5145</v>
      </c>
      <c r="GOY1" t="s">
        <v>5146</v>
      </c>
      <c r="GOZ1" t="s">
        <v>5147</v>
      </c>
      <c r="GPA1" t="s">
        <v>5148</v>
      </c>
      <c r="GPB1" t="s">
        <v>5149</v>
      </c>
      <c r="GPC1" t="s">
        <v>5150</v>
      </c>
      <c r="GPD1" t="s">
        <v>5151</v>
      </c>
      <c r="GPE1" t="s">
        <v>5152</v>
      </c>
      <c r="GPF1" t="s">
        <v>5153</v>
      </c>
      <c r="GPG1" t="s">
        <v>5154</v>
      </c>
      <c r="GPH1" t="s">
        <v>5155</v>
      </c>
      <c r="GPI1" t="s">
        <v>5156</v>
      </c>
      <c r="GPJ1" t="s">
        <v>5157</v>
      </c>
      <c r="GPK1" t="s">
        <v>5158</v>
      </c>
      <c r="GPL1" t="s">
        <v>5159</v>
      </c>
      <c r="GPM1" t="s">
        <v>5160</v>
      </c>
      <c r="GPN1" t="s">
        <v>5161</v>
      </c>
      <c r="GPO1" t="s">
        <v>5162</v>
      </c>
      <c r="GPP1" t="s">
        <v>5163</v>
      </c>
      <c r="GPQ1" t="s">
        <v>5164</v>
      </c>
      <c r="GPR1" t="s">
        <v>5165</v>
      </c>
      <c r="GPS1" t="s">
        <v>5166</v>
      </c>
      <c r="GPT1" t="s">
        <v>5167</v>
      </c>
      <c r="GPU1" t="s">
        <v>5168</v>
      </c>
      <c r="GPV1" t="s">
        <v>5169</v>
      </c>
      <c r="GPW1" t="s">
        <v>5170</v>
      </c>
      <c r="GPX1" t="s">
        <v>5171</v>
      </c>
      <c r="GPY1" t="s">
        <v>5172</v>
      </c>
      <c r="GPZ1" t="s">
        <v>5173</v>
      </c>
      <c r="GQA1" t="s">
        <v>5174</v>
      </c>
      <c r="GQB1" t="s">
        <v>5175</v>
      </c>
      <c r="GQC1" t="s">
        <v>5176</v>
      </c>
      <c r="GQD1" t="s">
        <v>5177</v>
      </c>
      <c r="GQE1" t="s">
        <v>5178</v>
      </c>
      <c r="GQF1" t="s">
        <v>5179</v>
      </c>
      <c r="GQG1" t="s">
        <v>5180</v>
      </c>
      <c r="GQH1" t="s">
        <v>5181</v>
      </c>
      <c r="GQI1" t="s">
        <v>5182</v>
      </c>
      <c r="GQJ1" t="s">
        <v>5183</v>
      </c>
      <c r="GQK1" t="s">
        <v>5184</v>
      </c>
      <c r="GQL1" t="s">
        <v>5185</v>
      </c>
      <c r="GQM1" t="s">
        <v>5186</v>
      </c>
      <c r="GQN1" t="s">
        <v>5187</v>
      </c>
      <c r="GQO1" t="s">
        <v>5188</v>
      </c>
      <c r="GQP1" t="s">
        <v>5189</v>
      </c>
      <c r="GQQ1" t="s">
        <v>5190</v>
      </c>
      <c r="GQR1" t="s">
        <v>5191</v>
      </c>
      <c r="GQS1" t="s">
        <v>5192</v>
      </c>
      <c r="GQT1" t="s">
        <v>5193</v>
      </c>
      <c r="GQU1" t="s">
        <v>5194</v>
      </c>
      <c r="GQV1" t="s">
        <v>5195</v>
      </c>
      <c r="GQW1" t="s">
        <v>5196</v>
      </c>
      <c r="GQX1" t="s">
        <v>5197</v>
      </c>
      <c r="GQY1" t="s">
        <v>5198</v>
      </c>
      <c r="GQZ1" t="s">
        <v>5199</v>
      </c>
      <c r="GRA1" t="s">
        <v>5200</v>
      </c>
      <c r="GRB1" t="s">
        <v>5201</v>
      </c>
      <c r="GRC1" t="s">
        <v>5202</v>
      </c>
      <c r="GRD1" t="s">
        <v>5203</v>
      </c>
      <c r="GRE1" t="s">
        <v>5204</v>
      </c>
      <c r="GRF1" t="s">
        <v>5205</v>
      </c>
      <c r="GRG1" t="s">
        <v>5206</v>
      </c>
      <c r="GRH1" t="s">
        <v>5207</v>
      </c>
      <c r="GRI1" t="s">
        <v>5208</v>
      </c>
      <c r="GRJ1" t="s">
        <v>5209</v>
      </c>
      <c r="GRK1" t="s">
        <v>5210</v>
      </c>
      <c r="GRL1" t="s">
        <v>5211</v>
      </c>
      <c r="GRM1" t="s">
        <v>5212</v>
      </c>
      <c r="GRN1" t="s">
        <v>5213</v>
      </c>
      <c r="GRO1" t="s">
        <v>5214</v>
      </c>
      <c r="GRP1" t="s">
        <v>5215</v>
      </c>
      <c r="GRQ1" t="s">
        <v>5216</v>
      </c>
      <c r="GRR1" t="s">
        <v>5217</v>
      </c>
      <c r="GRS1" t="s">
        <v>5218</v>
      </c>
      <c r="GRT1" t="s">
        <v>5219</v>
      </c>
      <c r="GRU1" t="s">
        <v>5220</v>
      </c>
      <c r="GRV1" t="s">
        <v>5221</v>
      </c>
      <c r="GRW1" t="s">
        <v>5222</v>
      </c>
      <c r="GRX1" t="s">
        <v>5223</v>
      </c>
      <c r="GRY1" t="s">
        <v>5224</v>
      </c>
      <c r="GRZ1" t="s">
        <v>5225</v>
      </c>
      <c r="GSA1" t="s">
        <v>5226</v>
      </c>
      <c r="GSB1" t="s">
        <v>5227</v>
      </c>
      <c r="GSC1" t="s">
        <v>5228</v>
      </c>
      <c r="GSD1" t="s">
        <v>5229</v>
      </c>
      <c r="GSE1" t="s">
        <v>5230</v>
      </c>
      <c r="GSF1" t="s">
        <v>5231</v>
      </c>
      <c r="GSG1" t="s">
        <v>5232</v>
      </c>
      <c r="GSH1" t="s">
        <v>5233</v>
      </c>
      <c r="GSI1" t="s">
        <v>5234</v>
      </c>
      <c r="GSJ1" t="s">
        <v>5235</v>
      </c>
      <c r="GSK1" t="s">
        <v>5236</v>
      </c>
      <c r="GSL1" t="s">
        <v>5237</v>
      </c>
      <c r="GSM1" t="s">
        <v>5238</v>
      </c>
      <c r="GSN1" t="s">
        <v>5239</v>
      </c>
      <c r="GSO1" t="s">
        <v>5240</v>
      </c>
      <c r="GSP1" t="s">
        <v>5241</v>
      </c>
      <c r="GSQ1" t="s">
        <v>5242</v>
      </c>
      <c r="GSR1" t="s">
        <v>5243</v>
      </c>
      <c r="GSS1" t="s">
        <v>5244</v>
      </c>
      <c r="GST1" t="s">
        <v>5245</v>
      </c>
      <c r="GSU1" t="s">
        <v>5246</v>
      </c>
      <c r="GSV1" t="s">
        <v>5247</v>
      </c>
      <c r="GSW1" t="s">
        <v>5248</v>
      </c>
      <c r="GSX1" t="s">
        <v>5249</v>
      </c>
      <c r="GSY1" t="s">
        <v>5250</v>
      </c>
      <c r="GSZ1" t="s">
        <v>5251</v>
      </c>
      <c r="GTA1" t="s">
        <v>5252</v>
      </c>
      <c r="GTB1" t="s">
        <v>5253</v>
      </c>
      <c r="GTC1" t="s">
        <v>5254</v>
      </c>
      <c r="GTD1" t="s">
        <v>5255</v>
      </c>
      <c r="GTE1" t="s">
        <v>5256</v>
      </c>
      <c r="GTF1" t="s">
        <v>5257</v>
      </c>
      <c r="GTG1" t="s">
        <v>5258</v>
      </c>
      <c r="GTH1" t="s">
        <v>5259</v>
      </c>
      <c r="GTI1" t="s">
        <v>5260</v>
      </c>
      <c r="GTJ1" t="s">
        <v>5261</v>
      </c>
      <c r="GTK1" t="s">
        <v>5262</v>
      </c>
      <c r="GTL1" t="s">
        <v>5263</v>
      </c>
      <c r="GTM1" t="s">
        <v>5264</v>
      </c>
      <c r="GTN1" t="s">
        <v>5265</v>
      </c>
      <c r="GTO1" t="s">
        <v>5266</v>
      </c>
      <c r="GTP1" t="s">
        <v>5267</v>
      </c>
      <c r="GTQ1" t="s">
        <v>5268</v>
      </c>
      <c r="GTR1" t="s">
        <v>5269</v>
      </c>
      <c r="GTS1" t="s">
        <v>5270</v>
      </c>
      <c r="GTT1" t="s">
        <v>5271</v>
      </c>
      <c r="GTU1" t="s">
        <v>5272</v>
      </c>
      <c r="GTV1" t="s">
        <v>5273</v>
      </c>
      <c r="GTW1" t="s">
        <v>5274</v>
      </c>
      <c r="GTX1" t="s">
        <v>5275</v>
      </c>
      <c r="GTY1" t="s">
        <v>5276</v>
      </c>
      <c r="GTZ1" t="s">
        <v>5277</v>
      </c>
      <c r="GUA1" t="s">
        <v>5278</v>
      </c>
      <c r="GUB1" t="s">
        <v>5279</v>
      </c>
      <c r="GUC1" t="s">
        <v>5280</v>
      </c>
      <c r="GUD1" t="s">
        <v>5281</v>
      </c>
      <c r="GUE1" t="s">
        <v>5282</v>
      </c>
      <c r="GUF1" t="s">
        <v>5283</v>
      </c>
      <c r="GUG1" t="s">
        <v>5284</v>
      </c>
      <c r="GUH1" t="s">
        <v>5285</v>
      </c>
      <c r="GUI1" t="s">
        <v>5286</v>
      </c>
      <c r="GUJ1" t="s">
        <v>5287</v>
      </c>
      <c r="GUK1" t="s">
        <v>5288</v>
      </c>
      <c r="GUL1" t="s">
        <v>5289</v>
      </c>
      <c r="GUM1" t="s">
        <v>5290</v>
      </c>
      <c r="GUN1" t="s">
        <v>5291</v>
      </c>
      <c r="GUO1" t="s">
        <v>5292</v>
      </c>
      <c r="GUP1" t="s">
        <v>5293</v>
      </c>
      <c r="GUQ1" t="s">
        <v>5294</v>
      </c>
      <c r="GUR1" t="s">
        <v>5295</v>
      </c>
      <c r="GUS1" t="s">
        <v>5296</v>
      </c>
      <c r="GUT1" t="s">
        <v>5297</v>
      </c>
      <c r="GUU1" t="s">
        <v>5298</v>
      </c>
      <c r="GUV1" t="s">
        <v>5299</v>
      </c>
      <c r="GUW1" t="s">
        <v>5300</v>
      </c>
      <c r="GUX1" t="s">
        <v>5301</v>
      </c>
      <c r="GUY1" t="s">
        <v>5302</v>
      </c>
      <c r="GUZ1" t="s">
        <v>5303</v>
      </c>
      <c r="GVA1" t="s">
        <v>5304</v>
      </c>
      <c r="GVB1" t="s">
        <v>5305</v>
      </c>
      <c r="GVC1" t="s">
        <v>5306</v>
      </c>
      <c r="GVD1" t="s">
        <v>5307</v>
      </c>
      <c r="GVE1" t="s">
        <v>5308</v>
      </c>
      <c r="GVF1" t="s">
        <v>5309</v>
      </c>
      <c r="GVG1" t="s">
        <v>5310</v>
      </c>
      <c r="GVH1" t="s">
        <v>5311</v>
      </c>
      <c r="GVI1" t="s">
        <v>5312</v>
      </c>
      <c r="GVJ1" t="s">
        <v>5313</v>
      </c>
      <c r="GVK1" t="s">
        <v>5314</v>
      </c>
      <c r="GVL1" t="s">
        <v>5315</v>
      </c>
      <c r="GVM1" t="s">
        <v>5316</v>
      </c>
      <c r="GVN1" t="s">
        <v>5317</v>
      </c>
      <c r="GVO1" t="s">
        <v>5318</v>
      </c>
      <c r="GVP1" t="s">
        <v>5319</v>
      </c>
      <c r="GVQ1" t="s">
        <v>5320</v>
      </c>
      <c r="GVR1" t="s">
        <v>5321</v>
      </c>
      <c r="GVS1" t="s">
        <v>5322</v>
      </c>
      <c r="GVT1" t="s">
        <v>5323</v>
      </c>
      <c r="GVU1" t="s">
        <v>5324</v>
      </c>
      <c r="GVV1" t="s">
        <v>5325</v>
      </c>
      <c r="GVW1" t="s">
        <v>5326</v>
      </c>
      <c r="GVX1" t="s">
        <v>5327</v>
      </c>
      <c r="GVY1" t="s">
        <v>5328</v>
      </c>
      <c r="GVZ1" t="s">
        <v>5329</v>
      </c>
      <c r="GWA1" t="s">
        <v>5330</v>
      </c>
      <c r="GWB1" t="s">
        <v>5331</v>
      </c>
      <c r="GWC1" t="s">
        <v>5332</v>
      </c>
      <c r="GWD1" t="s">
        <v>5333</v>
      </c>
      <c r="GWE1" t="s">
        <v>5334</v>
      </c>
      <c r="GWF1" t="s">
        <v>5335</v>
      </c>
      <c r="GWG1" t="s">
        <v>5336</v>
      </c>
      <c r="GWH1" t="s">
        <v>5337</v>
      </c>
      <c r="GWI1" t="s">
        <v>5338</v>
      </c>
      <c r="GWJ1" t="s">
        <v>5339</v>
      </c>
      <c r="GWK1" t="s">
        <v>5340</v>
      </c>
      <c r="GWL1" t="s">
        <v>5341</v>
      </c>
      <c r="GWM1" t="s">
        <v>5342</v>
      </c>
      <c r="GWN1" t="s">
        <v>5343</v>
      </c>
      <c r="GWO1" t="s">
        <v>5344</v>
      </c>
      <c r="GWP1" t="s">
        <v>5345</v>
      </c>
      <c r="GWQ1" t="s">
        <v>5346</v>
      </c>
      <c r="GWR1" t="s">
        <v>5347</v>
      </c>
      <c r="GWS1" t="s">
        <v>5348</v>
      </c>
      <c r="GWT1" t="s">
        <v>5349</v>
      </c>
      <c r="GWU1" t="s">
        <v>5350</v>
      </c>
      <c r="GWV1" t="s">
        <v>5351</v>
      </c>
      <c r="GWW1" t="s">
        <v>5352</v>
      </c>
      <c r="GWX1" t="s">
        <v>5353</v>
      </c>
      <c r="GWY1" t="s">
        <v>5354</v>
      </c>
      <c r="GWZ1" t="s">
        <v>5355</v>
      </c>
      <c r="GXA1" t="s">
        <v>5356</v>
      </c>
      <c r="GXB1" t="s">
        <v>5357</v>
      </c>
      <c r="GXC1" t="s">
        <v>5358</v>
      </c>
      <c r="GXD1" t="s">
        <v>5359</v>
      </c>
      <c r="GXE1" t="s">
        <v>5360</v>
      </c>
      <c r="GXF1" t="s">
        <v>5361</v>
      </c>
      <c r="GXG1" t="s">
        <v>5362</v>
      </c>
      <c r="GXH1" t="s">
        <v>5363</v>
      </c>
      <c r="GXI1" t="s">
        <v>5364</v>
      </c>
      <c r="GXJ1" t="s">
        <v>5365</v>
      </c>
      <c r="GXK1" t="s">
        <v>5366</v>
      </c>
      <c r="GXL1" t="s">
        <v>5367</v>
      </c>
      <c r="GXM1" t="s">
        <v>5368</v>
      </c>
      <c r="GXN1" t="s">
        <v>5369</v>
      </c>
      <c r="GXO1" t="s">
        <v>5370</v>
      </c>
      <c r="GXP1" t="s">
        <v>5371</v>
      </c>
      <c r="GXQ1" t="s">
        <v>5372</v>
      </c>
      <c r="GXR1" t="s">
        <v>5373</v>
      </c>
      <c r="GXS1" t="s">
        <v>5374</v>
      </c>
      <c r="GXT1" t="s">
        <v>5375</v>
      </c>
      <c r="GXU1" t="s">
        <v>5376</v>
      </c>
      <c r="GXV1" t="s">
        <v>5377</v>
      </c>
      <c r="GXW1" t="s">
        <v>5378</v>
      </c>
      <c r="GXX1" t="s">
        <v>5379</v>
      </c>
      <c r="GXY1" t="s">
        <v>5380</v>
      </c>
      <c r="GXZ1" t="s">
        <v>5381</v>
      </c>
      <c r="GYA1" t="s">
        <v>5382</v>
      </c>
      <c r="GYB1" t="s">
        <v>5383</v>
      </c>
      <c r="GYC1" t="s">
        <v>5384</v>
      </c>
      <c r="GYD1" t="s">
        <v>5385</v>
      </c>
      <c r="GYE1" t="s">
        <v>5386</v>
      </c>
      <c r="GYF1" t="s">
        <v>5387</v>
      </c>
      <c r="GYG1" t="s">
        <v>5388</v>
      </c>
      <c r="GYH1" t="s">
        <v>5389</v>
      </c>
      <c r="GYI1" t="s">
        <v>5390</v>
      </c>
      <c r="GYJ1" t="s">
        <v>5391</v>
      </c>
      <c r="GYK1" t="s">
        <v>5392</v>
      </c>
      <c r="GYL1" t="s">
        <v>5393</v>
      </c>
      <c r="GYM1" t="s">
        <v>5394</v>
      </c>
      <c r="GYN1" t="s">
        <v>5395</v>
      </c>
      <c r="GYO1" t="s">
        <v>5396</v>
      </c>
      <c r="GYP1" t="s">
        <v>5397</v>
      </c>
      <c r="GYQ1" t="s">
        <v>5398</v>
      </c>
      <c r="GYR1" t="s">
        <v>5399</v>
      </c>
      <c r="GYS1" t="s">
        <v>5400</v>
      </c>
      <c r="GYT1" t="s">
        <v>5401</v>
      </c>
      <c r="GYU1" t="s">
        <v>5402</v>
      </c>
      <c r="GYV1" t="s">
        <v>5403</v>
      </c>
      <c r="GYW1" t="s">
        <v>5404</v>
      </c>
      <c r="GYX1" t="s">
        <v>5405</v>
      </c>
      <c r="GYY1" t="s">
        <v>5406</v>
      </c>
      <c r="GYZ1" t="s">
        <v>5407</v>
      </c>
      <c r="GZA1" t="s">
        <v>5408</v>
      </c>
      <c r="GZB1" t="s">
        <v>5409</v>
      </c>
      <c r="GZC1" t="s">
        <v>5410</v>
      </c>
      <c r="GZD1" t="s">
        <v>5411</v>
      </c>
      <c r="GZE1" t="s">
        <v>5412</v>
      </c>
      <c r="GZF1" t="s">
        <v>5413</v>
      </c>
      <c r="GZG1" t="s">
        <v>5414</v>
      </c>
      <c r="GZH1" t="s">
        <v>5415</v>
      </c>
      <c r="GZI1" t="s">
        <v>5416</v>
      </c>
      <c r="GZJ1" t="s">
        <v>5417</v>
      </c>
      <c r="GZK1" t="s">
        <v>5418</v>
      </c>
      <c r="GZL1" t="s">
        <v>5419</v>
      </c>
      <c r="GZM1" t="s">
        <v>5420</v>
      </c>
      <c r="GZN1" t="s">
        <v>5421</v>
      </c>
      <c r="GZO1" t="s">
        <v>5422</v>
      </c>
      <c r="GZP1" t="s">
        <v>5423</v>
      </c>
      <c r="GZQ1" t="s">
        <v>5424</v>
      </c>
      <c r="GZR1" t="s">
        <v>5425</v>
      </c>
      <c r="GZS1" t="s">
        <v>5426</v>
      </c>
      <c r="GZT1" t="s">
        <v>5427</v>
      </c>
      <c r="GZU1" t="s">
        <v>5428</v>
      </c>
      <c r="GZV1" t="s">
        <v>5429</v>
      </c>
      <c r="GZW1" t="s">
        <v>5430</v>
      </c>
      <c r="GZX1" t="s">
        <v>5431</v>
      </c>
      <c r="GZY1" t="s">
        <v>5432</v>
      </c>
      <c r="GZZ1" t="s">
        <v>5433</v>
      </c>
      <c r="HAA1" t="s">
        <v>5434</v>
      </c>
      <c r="HAB1" t="s">
        <v>5435</v>
      </c>
      <c r="HAC1" t="s">
        <v>5436</v>
      </c>
      <c r="HAD1" t="s">
        <v>5437</v>
      </c>
      <c r="HAE1" t="s">
        <v>5438</v>
      </c>
      <c r="HAF1" t="s">
        <v>5439</v>
      </c>
      <c r="HAG1" t="s">
        <v>5440</v>
      </c>
      <c r="HAH1" t="s">
        <v>5441</v>
      </c>
      <c r="HAI1" t="s">
        <v>5442</v>
      </c>
      <c r="HAJ1" t="s">
        <v>5443</v>
      </c>
      <c r="HAK1" t="s">
        <v>5444</v>
      </c>
      <c r="HAL1" t="s">
        <v>5445</v>
      </c>
      <c r="HAM1" t="s">
        <v>5446</v>
      </c>
      <c r="HAN1" t="s">
        <v>5447</v>
      </c>
      <c r="HAO1" t="s">
        <v>5448</v>
      </c>
      <c r="HAP1" t="s">
        <v>5449</v>
      </c>
      <c r="HAQ1" t="s">
        <v>5450</v>
      </c>
      <c r="HAR1" t="s">
        <v>5451</v>
      </c>
      <c r="HAS1" t="s">
        <v>5452</v>
      </c>
      <c r="HAT1" t="s">
        <v>5453</v>
      </c>
      <c r="HAU1" t="s">
        <v>5454</v>
      </c>
      <c r="HAV1" t="s">
        <v>5455</v>
      </c>
      <c r="HAW1" t="s">
        <v>5456</v>
      </c>
      <c r="HAX1" t="s">
        <v>5457</v>
      </c>
      <c r="HAY1" t="s">
        <v>5458</v>
      </c>
      <c r="HAZ1" t="s">
        <v>5459</v>
      </c>
      <c r="HBA1" t="s">
        <v>5460</v>
      </c>
      <c r="HBB1" t="s">
        <v>5461</v>
      </c>
      <c r="HBC1" t="s">
        <v>5462</v>
      </c>
      <c r="HBD1" t="s">
        <v>5463</v>
      </c>
      <c r="HBE1" t="s">
        <v>5464</v>
      </c>
      <c r="HBF1" t="s">
        <v>5465</v>
      </c>
      <c r="HBG1" t="s">
        <v>5466</v>
      </c>
      <c r="HBH1" t="s">
        <v>5467</v>
      </c>
      <c r="HBI1" t="s">
        <v>5468</v>
      </c>
      <c r="HBJ1" t="s">
        <v>5469</v>
      </c>
      <c r="HBK1" t="s">
        <v>5470</v>
      </c>
      <c r="HBL1" t="s">
        <v>5471</v>
      </c>
      <c r="HBM1" t="s">
        <v>5472</v>
      </c>
      <c r="HBN1" t="s">
        <v>5473</v>
      </c>
      <c r="HBO1" t="s">
        <v>5474</v>
      </c>
      <c r="HBP1" t="s">
        <v>5475</v>
      </c>
      <c r="HBQ1" t="s">
        <v>5476</v>
      </c>
      <c r="HBR1" t="s">
        <v>5477</v>
      </c>
      <c r="HBS1" t="s">
        <v>5478</v>
      </c>
      <c r="HBT1" t="s">
        <v>5479</v>
      </c>
      <c r="HBU1" t="s">
        <v>5480</v>
      </c>
      <c r="HBV1" t="s">
        <v>5481</v>
      </c>
      <c r="HBW1" t="s">
        <v>5482</v>
      </c>
      <c r="HBX1" t="s">
        <v>5483</v>
      </c>
      <c r="HBY1" t="s">
        <v>5484</v>
      </c>
      <c r="HBZ1" t="s">
        <v>5485</v>
      </c>
      <c r="HCA1" t="s">
        <v>5486</v>
      </c>
      <c r="HCB1" t="s">
        <v>5487</v>
      </c>
      <c r="HCC1" t="s">
        <v>5488</v>
      </c>
      <c r="HCD1" t="s">
        <v>5489</v>
      </c>
      <c r="HCE1" t="s">
        <v>5490</v>
      </c>
      <c r="HCF1" t="s">
        <v>5491</v>
      </c>
      <c r="HCG1" t="s">
        <v>5492</v>
      </c>
      <c r="HCH1" t="s">
        <v>5493</v>
      </c>
      <c r="HCI1" t="s">
        <v>5494</v>
      </c>
      <c r="HCJ1" t="s">
        <v>5495</v>
      </c>
      <c r="HCK1" t="s">
        <v>5496</v>
      </c>
      <c r="HCL1" t="s">
        <v>5497</v>
      </c>
      <c r="HCM1" t="s">
        <v>5498</v>
      </c>
      <c r="HCN1" t="s">
        <v>5499</v>
      </c>
      <c r="HCO1" t="s">
        <v>5500</v>
      </c>
      <c r="HCP1" t="s">
        <v>5501</v>
      </c>
      <c r="HCQ1" t="s">
        <v>5502</v>
      </c>
      <c r="HCR1" t="s">
        <v>5503</v>
      </c>
      <c r="HCS1" t="s">
        <v>5504</v>
      </c>
      <c r="HCT1" t="s">
        <v>5505</v>
      </c>
      <c r="HCU1" t="s">
        <v>5506</v>
      </c>
      <c r="HCV1" t="s">
        <v>5507</v>
      </c>
      <c r="HCW1" t="s">
        <v>5508</v>
      </c>
      <c r="HCX1" t="s">
        <v>5509</v>
      </c>
      <c r="HCY1" t="s">
        <v>5510</v>
      </c>
      <c r="HCZ1" t="s">
        <v>5511</v>
      </c>
      <c r="HDA1" t="s">
        <v>5512</v>
      </c>
      <c r="HDB1" t="s">
        <v>5513</v>
      </c>
      <c r="HDC1" t="s">
        <v>5514</v>
      </c>
      <c r="HDD1" t="s">
        <v>5515</v>
      </c>
      <c r="HDE1" t="s">
        <v>5516</v>
      </c>
      <c r="HDF1" t="s">
        <v>5517</v>
      </c>
      <c r="HDG1" t="s">
        <v>5518</v>
      </c>
      <c r="HDH1" t="s">
        <v>5519</v>
      </c>
      <c r="HDI1" t="s">
        <v>5520</v>
      </c>
      <c r="HDJ1" t="s">
        <v>5521</v>
      </c>
      <c r="HDK1" t="s">
        <v>5522</v>
      </c>
      <c r="HDL1" t="s">
        <v>5523</v>
      </c>
      <c r="HDM1" t="s">
        <v>5524</v>
      </c>
      <c r="HDN1" t="s">
        <v>5525</v>
      </c>
      <c r="HDO1" t="s">
        <v>5526</v>
      </c>
      <c r="HDP1" t="s">
        <v>5527</v>
      </c>
      <c r="HDQ1" t="s">
        <v>5528</v>
      </c>
      <c r="HDR1" t="s">
        <v>5529</v>
      </c>
      <c r="HDS1" t="s">
        <v>5530</v>
      </c>
      <c r="HDT1" t="s">
        <v>5531</v>
      </c>
      <c r="HDU1" t="s">
        <v>5532</v>
      </c>
      <c r="HDV1" t="s">
        <v>5533</v>
      </c>
      <c r="HDW1" t="s">
        <v>5534</v>
      </c>
      <c r="HDX1" t="s">
        <v>5535</v>
      </c>
      <c r="HDY1" t="s">
        <v>5536</v>
      </c>
      <c r="HDZ1" t="s">
        <v>5537</v>
      </c>
      <c r="HEA1" t="s">
        <v>5538</v>
      </c>
      <c r="HEB1" t="s">
        <v>5539</v>
      </c>
      <c r="HEC1" t="s">
        <v>5540</v>
      </c>
      <c r="HED1" t="s">
        <v>5541</v>
      </c>
      <c r="HEE1" t="s">
        <v>5542</v>
      </c>
      <c r="HEF1" t="s">
        <v>5543</v>
      </c>
      <c r="HEG1" t="s">
        <v>5544</v>
      </c>
      <c r="HEH1" t="s">
        <v>5545</v>
      </c>
      <c r="HEI1" t="s">
        <v>5546</v>
      </c>
      <c r="HEJ1" t="s">
        <v>5547</v>
      </c>
      <c r="HEK1" t="s">
        <v>5548</v>
      </c>
      <c r="HEL1" t="s">
        <v>5549</v>
      </c>
      <c r="HEM1" t="s">
        <v>5550</v>
      </c>
      <c r="HEN1" t="s">
        <v>5551</v>
      </c>
      <c r="HEO1" t="s">
        <v>5552</v>
      </c>
      <c r="HEP1" t="s">
        <v>5553</v>
      </c>
      <c r="HEQ1" t="s">
        <v>5554</v>
      </c>
      <c r="HER1" t="s">
        <v>5555</v>
      </c>
      <c r="HES1" t="s">
        <v>5556</v>
      </c>
      <c r="HET1" t="s">
        <v>5557</v>
      </c>
      <c r="HEU1" t="s">
        <v>5558</v>
      </c>
      <c r="HEV1" t="s">
        <v>5559</v>
      </c>
      <c r="HEW1" t="s">
        <v>5560</v>
      </c>
      <c r="HEX1" t="s">
        <v>5561</v>
      </c>
      <c r="HEY1" t="s">
        <v>5562</v>
      </c>
      <c r="HEZ1" t="s">
        <v>5563</v>
      </c>
      <c r="HFA1" t="s">
        <v>5564</v>
      </c>
      <c r="HFB1" t="s">
        <v>5565</v>
      </c>
      <c r="HFC1" t="s">
        <v>5566</v>
      </c>
      <c r="HFD1" t="s">
        <v>5567</v>
      </c>
      <c r="HFE1" t="s">
        <v>5568</v>
      </c>
      <c r="HFF1" t="s">
        <v>5569</v>
      </c>
      <c r="HFG1" t="s">
        <v>5570</v>
      </c>
      <c r="HFH1" t="s">
        <v>5571</v>
      </c>
      <c r="HFI1" t="s">
        <v>5572</v>
      </c>
      <c r="HFJ1" t="s">
        <v>5573</v>
      </c>
      <c r="HFK1" t="s">
        <v>5574</v>
      </c>
      <c r="HFL1" t="s">
        <v>5575</v>
      </c>
      <c r="HFM1" t="s">
        <v>5576</v>
      </c>
      <c r="HFN1" t="s">
        <v>5577</v>
      </c>
      <c r="HFO1" t="s">
        <v>5578</v>
      </c>
      <c r="HFP1" t="s">
        <v>5579</v>
      </c>
      <c r="HFQ1" t="s">
        <v>5580</v>
      </c>
      <c r="HFR1" t="s">
        <v>5581</v>
      </c>
      <c r="HFS1" t="s">
        <v>5582</v>
      </c>
      <c r="HFT1" t="s">
        <v>5583</v>
      </c>
      <c r="HFU1" t="s">
        <v>5584</v>
      </c>
      <c r="HFV1" t="s">
        <v>5585</v>
      </c>
      <c r="HFW1" t="s">
        <v>5586</v>
      </c>
      <c r="HFX1" t="s">
        <v>5587</v>
      </c>
      <c r="HFY1" t="s">
        <v>5588</v>
      </c>
      <c r="HFZ1" t="s">
        <v>5589</v>
      </c>
      <c r="HGA1" t="s">
        <v>5590</v>
      </c>
      <c r="HGB1" t="s">
        <v>5591</v>
      </c>
      <c r="HGC1" t="s">
        <v>5592</v>
      </c>
      <c r="HGD1" t="s">
        <v>5593</v>
      </c>
      <c r="HGE1" t="s">
        <v>5594</v>
      </c>
      <c r="HGF1" t="s">
        <v>5595</v>
      </c>
      <c r="HGG1" t="s">
        <v>5596</v>
      </c>
      <c r="HGH1" t="s">
        <v>5597</v>
      </c>
      <c r="HGI1" t="s">
        <v>5598</v>
      </c>
      <c r="HGJ1" t="s">
        <v>5599</v>
      </c>
      <c r="HGK1" t="s">
        <v>5600</v>
      </c>
      <c r="HGL1" t="s">
        <v>5601</v>
      </c>
      <c r="HGM1" t="s">
        <v>5602</v>
      </c>
      <c r="HGN1" t="s">
        <v>5603</v>
      </c>
      <c r="HGO1" t="s">
        <v>5604</v>
      </c>
      <c r="HGP1" t="s">
        <v>5605</v>
      </c>
      <c r="HGQ1" t="s">
        <v>5606</v>
      </c>
      <c r="HGR1" t="s">
        <v>5607</v>
      </c>
      <c r="HGS1" t="s">
        <v>5608</v>
      </c>
      <c r="HGT1" t="s">
        <v>5609</v>
      </c>
      <c r="HGU1" t="s">
        <v>5610</v>
      </c>
      <c r="HGV1" t="s">
        <v>5611</v>
      </c>
      <c r="HGW1" t="s">
        <v>5612</v>
      </c>
      <c r="HGX1" t="s">
        <v>5613</v>
      </c>
      <c r="HGY1" t="s">
        <v>5614</v>
      </c>
      <c r="HGZ1" t="s">
        <v>5615</v>
      </c>
      <c r="HHA1" t="s">
        <v>5616</v>
      </c>
      <c r="HHB1" t="s">
        <v>5617</v>
      </c>
      <c r="HHC1" t="s">
        <v>5618</v>
      </c>
      <c r="HHD1" t="s">
        <v>5619</v>
      </c>
      <c r="HHE1" t="s">
        <v>5620</v>
      </c>
      <c r="HHF1" t="s">
        <v>5621</v>
      </c>
      <c r="HHG1" t="s">
        <v>5622</v>
      </c>
      <c r="HHH1" t="s">
        <v>5623</v>
      </c>
      <c r="HHI1" t="s">
        <v>5624</v>
      </c>
      <c r="HHJ1" t="s">
        <v>5625</v>
      </c>
      <c r="HHK1" t="s">
        <v>5626</v>
      </c>
      <c r="HHL1" t="s">
        <v>5627</v>
      </c>
      <c r="HHM1" t="s">
        <v>5628</v>
      </c>
      <c r="HHN1" t="s">
        <v>5629</v>
      </c>
      <c r="HHO1" t="s">
        <v>5630</v>
      </c>
      <c r="HHP1" t="s">
        <v>5631</v>
      </c>
      <c r="HHQ1" t="s">
        <v>5632</v>
      </c>
      <c r="HHR1" t="s">
        <v>5633</v>
      </c>
      <c r="HHS1" t="s">
        <v>5634</v>
      </c>
      <c r="HHT1" t="s">
        <v>5635</v>
      </c>
      <c r="HHU1" t="s">
        <v>5636</v>
      </c>
      <c r="HHV1" t="s">
        <v>5637</v>
      </c>
      <c r="HHW1" t="s">
        <v>5638</v>
      </c>
      <c r="HHX1" t="s">
        <v>5639</v>
      </c>
      <c r="HHY1" t="s">
        <v>5640</v>
      </c>
      <c r="HHZ1" t="s">
        <v>5641</v>
      </c>
      <c r="HIA1" t="s">
        <v>5642</v>
      </c>
      <c r="HIB1" t="s">
        <v>5643</v>
      </c>
      <c r="HIC1" t="s">
        <v>5644</v>
      </c>
      <c r="HID1" t="s">
        <v>5645</v>
      </c>
      <c r="HIE1" t="s">
        <v>5646</v>
      </c>
      <c r="HIF1" t="s">
        <v>5647</v>
      </c>
      <c r="HIG1" t="s">
        <v>5648</v>
      </c>
      <c r="HIH1" t="s">
        <v>5649</v>
      </c>
      <c r="HII1" t="s">
        <v>5650</v>
      </c>
      <c r="HIJ1" t="s">
        <v>5651</v>
      </c>
      <c r="HIK1" t="s">
        <v>5652</v>
      </c>
      <c r="HIL1" t="s">
        <v>5653</v>
      </c>
      <c r="HIM1" t="s">
        <v>5654</v>
      </c>
      <c r="HIN1" t="s">
        <v>5655</v>
      </c>
      <c r="HIO1" t="s">
        <v>5656</v>
      </c>
      <c r="HIP1" t="s">
        <v>5657</v>
      </c>
      <c r="HIQ1" t="s">
        <v>5658</v>
      </c>
      <c r="HIR1" t="s">
        <v>5659</v>
      </c>
      <c r="HIS1" t="s">
        <v>5660</v>
      </c>
      <c r="HIT1" t="s">
        <v>5661</v>
      </c>
      <c r="HIU1" t="s">
        <v>5662</v>
      </c>
      <c r="HIV1" t="s">
        <v>5663</v>
      </c>
      <c r="HIW1" t="s">
        <v>5664</v>
      </c>
      <c r="HIX1" t="s">
        <v>5665</v>
      </c>
      <c r="HIY1" t="s">
        <v>5666</v>
      </c>
      <c r="HIZ1" t="s">
        <v>5667</v>
      </c>
      <c r="HJA1" t="s">
        <v>5668</v>
      </c>
      <c r="HJB1" t="s">
        <v>5669</v>
      </c>
      <c r="HJC1" t="s">
        <v>5670</v>
      </c>
      <c r="HJD1" t="s">
        <v>5671</v>
      </c>
      <c r="HJE1" t="s">
        <v>5672</v>
      </c>
      <c r="HJF1" t="s">
        <v>5673</v>
      </c>
      <c r="HJG1" t="s">
        <v>5674</v>
      </c>
      <c r="HJH1" t="s">
        <v>5675</v>
      </c>
      <c r="HJI1" t="s">
        <v>5676</v>
      </c>
      <c r="HJJ1" t="s">
        <v>5677</v>
      </c>
      <c r="HJK1" t="s">
        <v>5678</v>
      </c>
      <c r="HJL1" t="s">
        <v>5679</v>
      </c>
      <c r="HJM1" t="s">
        <v>5680</v>
      </c>
      <c r="HJN1" t="s">
        <v>5681</v>
      </c>
      <c r="HJO1" t="s">
        <v>5682</v>
      </c>
      <c r="HJP1" t="s">
        <v>5683</v>
      </c>
      <c r="HJQ1" t="s">
        <v>5684</v>
      </c>
      <c r="HJR1" t="s">
        <v>5685</v>
      </c>
      <c r="HJS1" t="s">
        <v>5686</v>
      </c>
      <c r="HJT1" t="s">
        <v>5687</v>
      </c>
      <c r="HJU1" t="s">
        <v>5688</v>
      </c>
      <c r="HJV1" t="s">
        <v>5689</v>
      </c>
      <c r="HJW1" t="s">
        <v>5690</v>
      </c>
      <c r="HJX1" t="s">
        <v>5691</v>
      </c>
      <c r="HJY1" t="s">
        <v>5692</v>
      </c>
      <c r="HJZ1" t="s">
        <v>5693</v>
      </c>
      <c r="HKA1" t="s">
        <v>5694</v>
      </c>
      <c r="HKB1" t="s">
        <v>5695</v>
      </c>
      <c r="HKC1" t="s">
        <v>5696</v>
      </c>
      <c r="HKD1" t="s">
        <v>5697</v>
      </c>
      <c r="HKE1" t="s">
        <v>5698</v>
      </c>
      <c r="HKF1" t="s">
        <v>5699</v>
      </c>
      <c r="HKG1" t="s">
        <v>5700</v>
      </c>
      <c r="HKH1" t="s">
        <v>5701</v>
      </c>
      <c r="HKI1" t="s">
        <v>5702</v>
      </c>
      <c r="HKJ1" t="s">
        <v>5703</v>
      </c>
      <c r="HKK1" t="s">
        <v>5704</v>
      </c>
      <c r="HKL1" t="s">
        <v>5705</v>
      </c>
      <c r="HKM1" t="s">
        <v>5706</v>
      </c>
      <c r="HKN1" t="s">
        <v>5707</v>
      </c>
      <c r="HKO1" t="s">
        <v>5708</v>
      </c>
      <c r="HKP1" t="s">
        <v>5709</v>
      </c>
      <c r="HKQ1" t="s">
        <v>5710</v>
      </c>
      <c r="HKR1" t="s">
        <v>5711</v>
      </c>
      <c r="HKS1" t="s">
        <v>5712</v>
      </c>
      <c r="HKT1" t="s">
        <v>5713</v>
      </c>
      <c r="HKU1" t="s">
        <v>5714</v>
      </c>
      <c r="HKV1" t="s">
        <v>5715</v>
      </c>
      <c r="HKW1" t="s">
        <v>5716</v>
      </c>
      <c r="HKX1" t="s">
        <v>5717</v>
      </c>
      <c r="HKY1" t="s">
        <v>5718</v>
      </c>
      <c r="HKZ1" t="s">
        <v>5719</v>
      </c>
      <c r="HLA1" t="s">
        <v>5720</v>
      </c>
      <c r="HLB1" t="s">
        <v>5721</v>
      </c>
      <c r="HLC1" t="s">
        <v>5722</v>
      </c>
      <c r="HLD1" t="s">
        <v>5723</v>
      </c>
      <c r="HLE1" t="s">
        <v>5724</v>
      </c>
      <c r="HLF1" t="s">
        <v>5725</v>
      </c>
      <c r="HLG1" t="s">
        <v>5726</v>
      </c>
      <c r="HLH1" t="s">
        <v>5727</v>
      </c>
      <c r="HLI1" t="s">
        <v>5728</v>
      </c>
      <c r="HLJ1" t="s">
        <v>5729</v>
      </c>
      <c r="HLK1" t="s">
        <v>5730</v>
      </c>
      <c r="HLL1" t="s">
        <v>5731</v>
      </c>
      <c r="HLM1" t="s">
        <v>5732</v>
      </c>
      <c r="HLN1" t="s">
        <v>5733</v>
      </c>
      <c r="HLO1" t="s">
        <v>5734</v>
      </c>
      <c r="HLP1" t="s">
        <v>5735</v>
      </c>
      <c r="HLQ1" t="s">
        <v>5736</v>
      </c>
      <c r="HLR1" t="s">
        <v>5737</v>
      </c>
      <c r="HLS1" t="s">
        <v>5738</v>
      </c>
      <c r="HLT1" t="s">
        <v>5739</v>
      </c>
      <c r="HLU1" t="s">
        <v>5740</v>
      </c>
      <c r="HLV1" t="s">
        <v>5741</v>
      </c>
      <c r="HLW1" t="s">
        <v>5742</v>
      </c>
      <c r="HLX1" t="s">
        <v>5743</v>
      </c>
      <c r="HLY1" t="s">
        <v>5744</v>
      </c>
      <c r="HLZ1" t="s">
        <v>5745</v>
      </c>
      <c r="HMA1" t="s">
        <v>5746</v>
      </c>
      <c r="HMB1" t="s">
        <v>5747</v>
      </c>
      <c r="HMC1" t="s">
        <v>5748</v>
      </c>
      <c r="HMD1" t="s">
        <v>5749</v>
      </c>
      <c r="HME1" t="s">
        <v>5750</v>
      </c>
      <c r="HMF1" t="s">
        <v>5751</v>
      </c>
      <c r="HMG1" t="s">
        <v>5752</v>
      </c>
      <c r="HMH1" t="s">
        <v>5753</v>
      </c>
      <c r="HMI1" t="s">
        <v>5754</v>
      </c>
      <c r="HMJ1" t="s">
        <v>5755</v>
      </c>
      <c r="HMK1" t="s">
        <v>5756</v>
      </c>
      <c r="HML1" t="s">
        <v>5757</v>
      </c>
      <c r="HMM1" t="s">
        <v>5758</v>
      </c>
      <c r="HMN1" t="s">
        <v>5759</v>
      </c>
      <c r="HMO1" t="s">
        <v>5760</v>
      </c>
      <c r="HMP1" t="s">
        <v>5761</v>
      </c>
      <c r="HMQ1" t="s">
        <v>5762</v>
      </c>
      <c r="HMR1" t="s">
        <v>5763</v>
      </c>
      <c r="HMS1" t="s">
        <v>5764</v>
      </c>
      <c r="HMT1" t="s">
        <v>5765</v>
      </c>
      <c r="HMU1" t="s">
        <v>5766</v>
      </c>
      <c r="HMV1" t="s">
        <v>5767</v>
      </c>
      <c r="HMW1" t="s">
        <v>5768</v>
      </c>
      <c r="HMX1" t="s">
        <v>5769</v>
      </c>
      <c r="HMY1" t="s">
        <v>5770</v>
      </c>
      <c r="HMZ1" t="s">
        <v>5771</v>
      </c>
      <c r="HNA1" t="s">
        <v>5772</v>
      </c>
      <c r="HNB1" t="s">
        <v>5773</v>
      </c>
      <c r="HNC1" t="s">
        <v>5774</v>
      </c>
      <c r="HND1" t="s">
        <v>5775</v>
      </c>
      <c r="HNE1" t="s">
        <v>5776</v>
      </c>
      <c r="HNF1" t="s">
        <v>5777</v>
      </c>
      <c r="HNG1" t="s">
        <v>5778</v>
      </c>
      <c r="HNH1" t="s">
        <v>5779</v>
      </c>
      <c r="HNI1" t="s">
        <v>5780</v>
      </c>
      <c r="HNJ1" t="s">
        <v>5781</v>
      </c>
      <c r="HNK1" t="s">
        <v>5782</v>
      </c>
      <c r="HNL1" t="s">
        <v>5783</v>
      </c>
      <c r="HNM1" t="s">
        <v>5784</v>
      </c>
      <c r="HNN1" t="s">
        <v>5785</v>
      </c>
      <c r="HNO1" t="s">
        <v>5786</v>
      </c>
      <c r="HNP1" t="s">
        <v>5787</v>
      </c>
      <c r="HNQ1" t="s">
        <v>5788</v>
      </c>
      <c r="HNR1" t="s">
        <v>5789</v>
      </c>
      <c r="HNS1" t="s">
        <v>5790</v>
      </c>
      <c r="HNT1" t="s">
        <v>5791</v>
      </c>
      <c r="HNU1" t="s">
        <v>5792</v>
      </c>
      <c r="HNV1" t="s">
        <v>5793</v>
      </c>
      <c r="HNW1" t="s">
        <v>5794</v>
      </c>
      <c r="HNX1" t="s">
        <v>5795</v>
      </c>
      <c r="HNY1" t="s">
        <v>5796</v>
      </c>
      <c r="HNZ1" t="s">
        <v>5797</v>
      </c>
      <c r="HOA1" t="s">
        <v>5798</v>
      </c>
      <c r="HOB1" t="s">
        <v>5799</v>
      </c>
      <c r="HOC1" t="s">
        <v>5800</v>
      </c>
      <c r="HOD1" t="s">
        <v>5801</v>
      </c>
      <c r="HOE1" t="s">
        <v>5802</v>
      </c>
      <c r="HOF1" t="s">
        <v>5803</v>
      </c>
      <c r="HOG1" t="s">
        <v>5804</v>
      </c>
      <c r="HOH1" t="s">
        <v>5805</v>
      </c>
      <c r="HOI1" t="s">
        <v>5806</v>
      </c>
      <c r="HOJ1" t="s">
        <v>5807</v>
      </c>
      <c r="HOK1" t="s">
        <v>5808</v>
      </c>
      <c r="HOL1" t="s">
        <v>5809</v>
      </c>
      <c r="HOM1" t="s">
        <v>5810</v>
      </c>
      <c r="HON1" t="s">
        <v>5811</v>
      </c>
      <c r="HOO1" t="s">
        <v>5812</v>
      </c>
      <c r="HOP1" t="s">
        <v>5813</v>
      </c>
      <c r="HOQ1" t="s">
        <v>5814</v>
      </c>
      <c r="HOR1" t="s">
        <v>5815</v>
      </c>
      <c r="HOS1" t="s">
        <v>5816</v>
      </c>
      <c r="HOT1" t="s">
        <v>5817</v>
      </c>
      <c r="HOU1" t="s">
        <v>5818</v>
      </c>
      <c r="HOV1" t="s">
        <v>5819</v>
      </c>
      <c r="HOW1" t="s">
        <v>5820</v>
      </c>
      <c r="HOX1" t="s">
        <v>5821</v>
      </c>
      <c r="HOY1" t="s">
        <v>5822</v>
      </c>
      <c r="HOZ1" t="s">
        <v>5823</v>
      </c>
      <c r="HPA1" t="s">
        <v>5824</v>
      </c>
      <c r="HPB1" t="s">
        <v>5825</v>
      </c>
      <c r="HPC1" t="s">
        <v>5826</v>
      </c>
      <c r="HPD1" t="s">
        <v>5827</v>
      </c>
      <c r="HPE1" t="s">
        <v>5828</v>
      </c>
      <c r="HPF1" t="s">
        <v>5829</v>
      </c>
      <c r="HPG1" t="s">
        <v>5830</v>
      </c>
      <c r="HPH1" t="s">
        <v>5831</v>
      </c>
      <c r="HPI1" t="s">
        <v>5832</v>
      </c>
      <c r="HPJ1" t="s">
        <v>5833</v>
      </c>
      <c r="HPK1" t="s">
        <v>5834</v>
      </c>
      <c r="HPL1" t="s">
        <v>5835</v>
      </c>
      <c r="HPM1" t="s">
        <v>5836</v>
      </c>
      <c r="HPN1" t="s">
        <v>5837</v>
      </c>
      <c r="HPO1" t="s">
        <v>5838</v>
      </c>
      <c r="HPP1" t="s">
        <v>5839</v>
      </c>
      <c r="HPQ1" t="s">
        <v>5840</v>
      </c>
      <c r="HPR1" t="s">
        <v>5841</v>
      </c>
      <c r="HPS1" t="s">
        <v>5842</v>
      </c>
      <c r="HPT1" t="s">
        <v>5843</v>
      </c>
      <c r="HPU1" t="s">
        <v>5844</v>
      </c>
      <c r="HPV1" t="s">
        <v>5845</v>
      </c>
      <c r="HPW1" t="s">
        <v>5846</v>
      </c>
      <c r="HPX1" t="s">
        <v>5847</v>
      </c>
      <c r="HPY1" t="s">
        <v>5848</v>
      </c>
      <c r="HPZ1" t="s">
        <v>5849</v>
      </c>
      <c r="HQA1" t="s">
        <v>5850</v>
      </c>
      <c r="HQB1" t="s">
        <v>5851</v>
      </c>
      <c r="HQC1" t="s">
        <v>5852</v>
      </c>
      <c r="HQD1" t="s">
        <v>5853</v>
      </c>
      <c r="HQE1" t="s">
        <v>5854</v>
      </c>
      <c r="HQF1" t="s">
        <v>5855</v>
      </c>
      <c r="HQG1" t="s">
        <v>5856</v>
      </c>
      <c r="HQH1" t="s">
        <v>5857</v>
      </c>
      <c r="HQI1" t="s">
        <v>5858</v>
      </c>
      <c r="HQJ1" t="s">
        <v>5859</v>
      </c>
      <c r="HQK1" t="s">
        <v>5860</v>
      </c>
      <c r="HQL1" t="s">
        <v>5861</v>
      </c>
      <c r="HQM1" t="s">
        <v>5862</v>
      </c>
      <c r="HQN1" t="s">
        <v>5863</v>
      </c>
      <c r="HQO1" t="s">
        <v>5864</v>
      </c>
      <c r="HQP1" t="s">
        <v>5865</v>
      </c>
      <c r="HQQ1" t="s">
        <v>5866</v>
      </c>
      <c r="HQR1" t="s">
        <v>5867</v>
      </c>
      <c r="HQS1" t="s">
        <v>5868</v>
      </c>
      <c r="HQT1" t="s">
        <v>5869</v>
      </c>
      <c r="HQU1" t="s">
        <v>5870</v>
      </c>
      <c r="HQV1" t="s">
        <v>5871</v>
      </c>
      <c r="HQW1" t="s">
        <v>5872</v>
      </c>
      <c r="HQX1" t="s">
        <v>5873</v>
      </c>
      <c r="HQY1" t="s">
        <v>5874</v>
      </c>
      <c r="HQZ1" t="s">
        <v>5875</v>
      </c>
      <c r="HRA1" t="s">
        <v>5876</v>
      </c>
      <c r="HRB1" t="s">
        <v>5877</v>
      </c>
      <c r="HRC1" t="s">
        <v>5878</v>
      </c>
      <c r="HRD1" t="s">
        <v>5879</v>
      </c>
      <c r="HRE1" t="s">
        <v>5880</v>
      </c>
      <c r="HRF1" t="s">
        <v>5881</v>
      </c>
      <c r="HRG1" t="s">
        <v>5882</v>
      </c>
      <c r="HRH1" t="s">
        <v>5883</v>
      </c>
      <c r="HRI1" t="s">
        <v>5884</v>
      </c>
      <c r="HRJ1" t="s">
        <v>5885</v>
      </c>
      <c r="HRK1" t="s">
        <v>5886</v>
      </c>
      <c r="HRL1" t="s">
        <v>5887</v>
      </c>
      <c r="HRM1" t="s">
        <v>5888</v>
      </c>
      <c r="HRN1" t="s">
        <v>5889</v>
      </c>
      <c r="HRO1" t="s">
        <v>5890</v>
      </c>
      <c r="HRP1" t="s">
        <v>5891</v>
      </c>
      <c r="HRQ1" t="s">
        <v>5892</v>
      </c>
      <c r="HRR1" t="s">
        <v>5893</v>
      </c>
      <c r="HRS1" t="s">
        <v>5894</v>
      </c>
      <c r="HRT1" t="s">
        <v>5895</v>
      </c>
      <c r="HRU1" t="s">
        <v>5896</v>
      </c>
      <c r="HRV1" t="s">
        <v>5897</v>
      </c>
      <c r="HRW1" t="s">
        <v>5898</v>
      </c>
      <c r="HRX1" t="s">
        <v>5899</v>
      </c>
      <c r="HRY1" t="s">
        <v>5900</v>
      </c>
      <c r="HRZ1" t="s">
        <v>5901</v>
      </c>
      <c r="HSA1" t="s">
        <v>5902</v>
      </c>
      <c r="HSB1" t="s">
        <v>5903</v>
      </c>
      <c r="HSC1" t="s">
        <v>5904</v>
      </c>
      <c r="HSD1" t="s">
        <v>5905</v>
      </c>
      <c r="HSE1" t="s">
        <v>5906</v>
      </c>
      <c r="HSF1" t="s">
        <v>5907</v>
      </c>
      <c r="HSG1" t="s">
        <v>5908</v>
      </c>
      <c r="HSH1" t="s">
        <v>5909</v>
      </c>
      <c r="HSI1" t="s">
        <v>5910</v>
      </c>
      <c r="HSJ1" t="s">
        <v>5911</v>
      </c>
      <c r="HSK1" t="s">
        <v>5912</v>
      </c>
      <c r="HSL1" t="s">
        <v>5913</v>
      </c>
      <c r="HSM1" t="s">
        <v>5914</v>
      </c>
      <c r="HSN1" t="s">
        <v>5915</v>
      </c>
      <c r="HSO1" t="s">
        <v>5916</v>
      </c>
      <c r="HSP1" t="s">
        <v>5917</v>
      </c>
      <c r="HSQ1" t="s">
        <v>5918</v>
      </c>
      <c r="HSR1" t="s">
        <v>5919</v>
      </c>
      <c r="HSS1" t="s">
        <v>5920</v>
      </c>
      <c r="HST1" t="s">
        <v>5921</v>
      </c>
      <c r="HSU1" t="s">
        <v>5922</v>
      </c>
      <c r="HSV1" t="s">
        <v>5923</v>
      </c>
      <c r="HSW1" t="s">
        <v>5924</v>
      </c>
      <c r="HSX1" t="s">
        <v>5925</v>
      </c>
      <c r="HSY1" t="s">
        <v>5926</v>
      </c>
      <c r="HSZ1" t="s">
        <v>5927</v>
      </c>
      <c r="HTA1" t="s">
        <v>5928</v>
      </c>
      <c r="HTB1" t="s">
        <v>5929</v>
      </c>
      <c r="HTC1" t="s">
        <v>5930</v>
      </c>
      <c r="HTD1" t="s">
        <v>5931</v>
      </c>
      <c r="HTE1" t="s">
        <v>5932</v>
      </c>
      <c r="HTF1" t="s">
        <v>5933</v>
      </c>
      <c r="HTG1" t="s">
        <v>5934</v>
      </c>
      <c r="HTH1" t="s">
        <v>5935</v>
      </c>
      <c r="HTI1" t="s">
        <v>5936</v>
      </c>
      <c r="HTJ1" t="s">
        <v>5937</v>
      </c>
      <c r="HTK1" t="s">
        <v>5938</v>
      </c>
      <c r="HTL1" t="s">
        <v>5939</v>
      </c>
      <c r="HTM1" t="s">
        <v>5940</v>
      </c>
      <c r="HTN1" t="s">
        <v>5941</v>
      </c>
      <c r="HTO1" t="s">
        <v>5942</v>
      </c>
      <c r="HTP1" t="s">
        <v>5943</v>
      </c>
      <c r="HTQ1" t="s">
        <v>5944</v>
      </c>
      <c r="HTR1" t="s">
        <v>5945</v>
      </c>
      <c r="HTS1" t="s">
        <v>5946</v>
      </c>
      <c r="HTT1" t="s">
        <v>5947</v>
      </c>
      <c r="HTU1" t="s">
        <v>5948</v>
      </c>
      <c r="HTV1" t="s">
        <v>5949</v>
      </c>
      <c r="HTW1" t="s">
        <v>5950</v>
      </c>
      <c r="HTX1" t="s">
        <v>5951</v>
      </c>
      <c r="HTY1" t="s">
        <v>5952</v>
      </c>
      <c r="HTZ1" t="s">
        <v>5953</v>
      </c>
      <c r="HUA1" t="s">
        <v>5954</v>
      </c>
      <c r="HUB1" t="s">
        <v>5955</v>
      </c>
      <c r="HUC1" t="s">
        <v>5956</v>
      </c>
      <c r="HUD1" t="s">
        <v>5957</v>
      </c>
      <c r="HUE1" t="s">
        <v>5958</v>
      </c>
      <c r="HUF1" t="s">
        <v>5959</v>
      </c>
      <c r="HUG1" t="s">
        <v>5960</v>
      </c>
      <c r="HUH1" t="s">
        <v>5961</v>
      </c>
      <c r="HUI1" t="s">
        <v>5962</v>
      </c>
      <c r="HUJ1" t="s">
        <v>5963</v>
      </c>
      <c r="HUK1" t="s">
        <v>5964</v>
      </c>
      <c r="HUL1" t="s">
        <v>5965</v>
      </c>
      <c r="HUM1" t="s">
        <v>5966</v>
      </c>
      <c r="HUN1" t="s">
        <v>5967</v>
      </c>
      <c r="HUO1" t="s">
        <v>5968</v>
      </c>
      <c r="HUP1" t="s">
        <v>5969</v>
      </c>
      <c r="HUQ1" t="s">
        <v>5970</v>
      </c>
      <c r="HUR1" t="s">
        <v>5971</v>
      </c>
      <c r="HUS1" t="s">
        <v>5972</v>
      </c>
      <c r="HUT1" t="s">
        <v>5973</v>
      </c>
      <c r="HUU1" t="s">
        <v>5974</v>
      </c>
      <c r="HUV1" t="s">
        <v>5975</v>
      </c>
      <c r="HUW1" t="s">
        <v>5976</v>
      </c>
      <c r="HUX1" t="s">
        <v>5977</v>
      </c>
      <c r="HUY1" t="s">
        <v>5978</v>
      </c>
      <c r="HUZ1" t="s">
        <v>5979</v>
      </c>
      <c r="HVA1" t="s">
        <v>5980</v>
      </c>
      <c r="HVB1" t="s">
        <v>5981</v>
      </c>
      <c r="HVC1" t="s">
        <v>5982</v>
      </c>
      <c r="HVD1" t="s">
        <v>5983</v>
      </c>
      <c r="HVE1" t="s">
        <v>5984</v>
      </c>
      <c r="HVF1" t="s">
        <v>5985</v>
      </c>
      <c r="HVG1" t="s">
        <v>5986</v>
      </c>
      <c r="HVH1" t="s">
        <v>5987</v>
      </c>
      <c r="HVI1" t="s">
        <v>5988</v>
      </c>
      <c r="HVJ1" t="s">
        <v>5989</v>
      </c>
      <c r="HVK1" t="s">
        <v>5990</v>
      </c>
      <c r="HVL1" t="s">
        <v>5991</v>
      </c>
      <c r="HVM1" t="s">
        <v>5992</v>
      </c>
      <c r="HVN1" t="s">
        <v>5993</v>
      </c>
      <c r="HVO1" t="s">
        <v>5994</v>
      </c>
      <c r="HVP1" t="s">
        <v>5995</v>
      </c>
      <c r="HVQ1" t="s">
        <v>5996</v>
      </c>
      <c r="HVR1" t="s">
        <v>5997</v>
      </c>
      <c r="HVS1" t="s">
        <v>5998</v>
      </c>
      <c r="HVT1" t="s">
        <v>5999</v>
      </c>
      <c r="HVU1" t="s">
        <v>6000</v>
      </c>
      <c r="HVV1" t="s">
        <v>6001</v>
      </c>
      <c r="HVW1" t="s">
        <v>6002</v>
      </c>
      <c r="HVX1" t="s">
        <v>6003</v>
      </c>
      <c r="HVY1" t="s">
        <v>6004</v>
      </c>
      <c r="HVZ1" t="s">
        <v>6005</v>
      </c>
      <c r="HWA1" t="s">
        <v>6006</v>
      </c>
      <c r="HWB1" t="s">
        <v>6007</v>
      </c>
      <c r="HWC1" t="s">
        <v>6008</v>
      </c>
      <c r="HWD1" t="s">
        <v>6009</v>
      </c>
      <c r="HWE1" t="s">
        <v>6010</v>
      </c>
      <c r="HWF1" t="s">
        <v>6011</v>
      </c>
      <c r="HWG1" t="s">
        <v>6012</v>
      </c>
      <c r="HWH1" t="s">
        <v>6013</v>
      </c>
      <c r="HWI1" t="s">
        <v>6014</v>
      </c>
      <c r="HWJ1" t="s">
        <v>6015</v>
      </c>
      <c r="HWK1" t="s">
        <v>6016</v>
      </c>
      <c r="HWL1" t="s">
        <v>6017</v>
      </c>
      <c r="HWM1" t="s">
        <v>6018</v>
      </c>
      <c r="HWN1" t="s">
        <v>6019</v>
      </c>
      <c r="HWO1" t="s">
        <v>6020</v>
      </c>
      <c r="HWP1" t="s">
        <v>6021</v>
      </c>
      <c r="HWQ1" t="s">
        <v>6022</v>
      </c>
      <c r="HWR1" t="s">
        <v>6023</v>
      </c>
      <c r="HWS1" t="s">
        <v>6024</v>
      </c>
      <c r="HWT1" t="s">
        <v>6025</v>
      </c>
      <c r="HWU1" t="s">
        <v>6026</v>
      </c>
      <c r="HWV1" t="s">
        <v>6027</v>
      </c>
      <c r="HWW1" t="s">
        <v>6028</v>
      </c>
      <c r="HWX1" t="s">
        <v>6029</v>
      </c>
      <c r="HWY1" t="s">
        <v>6030</v>
      </c>
      <c r="HWZ1" t="s">
        <v>6031</v>
      </c>
      <c r="HXA1" t="s">
        <v>6032</v>
      </c>
      <c r="HXB1" t="s">
        <v>6033</v>
      </c>
      <c r="HXC1" t="s">
        <v>6034</v>
      </c>
      <c r="HXD1" t="s">
        <v>6035</v>
      </c>
      <c r="HXE1" t="s">
        <v>6036</v>
      </c>
      <c r="HXF1" t="s">
        <v>6037</v>
      </c>
      <c r="HXG1" t="s">
        <v>6038</v>
      </c>
      <c r="HXH1" t="s">
        <v>6039</v>
      </c>
      <c r="HXI1" t="s">
        <v>6040</v>
      </c>
      <c r="HXJ1" t="s">
        <v>6041</v>
      </c>
      <c r="HXK1" t="s">
        <v>6042</v>
      </c>
      <c r="HXL1" t="s">
        <v>6043</v>
      </c>
      <c r="HXM1" t="s">
        <v>6044</v>
      </c>
      <c r="HXN1" t="s">
        <v>6045</v>
      </c>
      <c r="HXO1" t="s">
        <v>6046</v>
      </c>
      <c r="HXP1" t="s">
        <v>6047</v>
      </c>
      <c r="HXQ1" t="s">
        <v>6048</v>
      </c>
      <c r="HXR1" t="s">
        <v>6049</v>
      </c>
      <c r="HXS1" t="s">
        <v>6050</v>
      </c>
      <c r="HXT1" t="s">
        <v>6051</v>
      </c>
      <c r="HXU1" t="s">
        <v>6052</v>
      </c>
      <c r="HXV1" t="s">
        <v>6053</v>
      </c>
      <c r="HXW1" t="s">
        <v>6054</v>
      </c>
      <c r="HXX1" t="s">
        <v>6055</v>
      </c>
      <c r="HXY1" t="s">
        <v>6056</v>
      </c>
      <c r="HXZ1" t="s">
        <v>6057</v>
      </c>
      <c r="HYA1" t="s">
        <v>6058</v>
      </c>
      <c r="HYB1" t="s">
        <v>6059</v>
      </c>
      <c r="HYC1" t="s">
        <v>6060</v>
      </c>
      <c r="HYD1" t="s">
        <v>6061</v>
      </c>
      <c r="HYE1" t="s">
        <v>6062</v>
      </c>
      <c r="HYF1" t="s">
        <v>6063</v>
      </c>
      <c r="HYG1" t="s">
        <v>6064</v>
      </c>
      <c r="HYH1" t="s">
        <v>6065</v>
      </c>
      <c r="HYI1" t="s">
        <v>6066</v>
      </c>
      <c r="HYJ1" t="s">
        <v>6067</v>
      </c>
      <c r="HYK1" t="s">
        <v>6068</v>
      </c>
      <c r="HYL1" t="s">
        <v>6069</v>
      </c>
      <c r="HYM1" t="s">
        <v>6070</v>
      </c>
      <c r="HYN1" t="s">
        <v>6071</v>
      </c>
      <c r="HYO1" t="s">
        <v>6072</v>
      </c>
      <c r="HYP1" t="s">
        <v>6073</v>
      </c>
      <c r="HYQ1" t="s">
        <v>6074</v>
      </c>
      <c r="HYR1" t="s">
        <v>6075</v>
      </c>
      <c r="HYS1" t="s">
        <v>6076</v>
      </c>
      <c r="HYT1" t="s">
        <v>6077</v>
      </c>
      <c r="HYU1" t="s">
        <v>6078</v>
      </c>
      <c r="HYV1" t="s">
        <v>6079</v>
      </c>
      <c r="HYW1" t="s">
        <v>6080</v>
      </c>
      <c r="HYX1" t="s">
        <v>6081</v>
      </c>
      <c r="HYY1" t="s">
        <v>6082</v>
      </c>
      <c r="HYZ1" t="s">
        <v>6083</v>
      </c>
      <c r="HZA1" t="s">
        <v>6084</v>
      </c>
      <c r="HZB1" t="s">
        <v>6085</v>
      </c>
      <c r="HZC1" t="s">
        <v>6086</v>
      </c>
      <c r="HZD1" t="s">
        <v>6087</v>
      </c>
      <c r="HZE1" t="s">
        <v>6088</v>
      </c>
      <c r="HZF1" t="s">
        <v>6089</v>
      </c>
      <c r="HZG1" t="s">
        <v>6090</v>
      </c>
      <c r="HZH1" t="s">
        <v>6091</v>
      </c>
      <c r="HZI1" t="s">
        <v>6092</v>
      </c>
      <c r="HZJ1" t="s">
        <v>6093</v>
      </c>
      <c r="HZK1" t="s">
        <v>6094</v>
      </c>
      <c r="HZL1" t="s">
        <v>6095</v>
      </c>
      <c r="HZM1" t="s">
        <v>6096</v>
      </c>
      <c r="HZN1" t="s">
        <v>6097</v>
      </c>
      <c r="HZO1" t="s">
        <v>6098</v>
      </c>
      <c r="HZP1" t="s">
        <v>6099</v>
      </c>
      <c r="HZQ1" t="s">
        <v>6100</v>
      </c>
      <c r="HZR1" t="s">
        <v>6101</v>
      </c>
      <c r="HZS1" t="s">
        <v>6102</v>
      </c>
      <c r="HZT1" t="s">
        <v>6103</v>
      </c>
      <c r="HZU1" t="s">
        <v>6104</v>
      </c>
      <c r="HZV1" t="s">
        <v>6105</v>
      </c>
      <c r="HZW1" t="s">
        <v>6106</v>
      </c>
      <c r="HZX1" t="s">
        <v>6107</v>
      </c>
      <c r="HZY1" t="s">
        <v>6108</v>
      </c>
      <c r="HZZ1" t="s">
        <v>6109</v>
      </c>
      <c r="IAA1" t="s">
        <v>6110</v>
      </c>
      <c r="IAB1" t="s">
        <v>6111</v>
      </c>
      <c r="IAC1" t="s">
        <v>6112</v>
      </c>
      <c r="IAD1" t="s">
        <v>6113</v>
      </c>
      <c r="IAE1" t="s">
        <v>6114</v>
      </c>
      <c r="IAF1" t="s">
        <v>6115</v>
      </c>
      <c r="IAG1" t="s">
        <v>6116</v>
      </c>
      <c r="IAH1" t="s">
        <v>6117</v>
      </c>
      <c r="IAI1" t="s">
        <v>6118</v>
      </c>
      <c r="IAJ1" t="s">
        <v>6119</v>
      </c>
      <c r="IAK1" t="s">
        <v>6120</v>
      </c>
      <c r="IAL1" t="s">
        <v>6121</v>
      </c>
      <c r="IAM1" t="s">
        <v>6122</v>
      </c>
      <c r="IAN1" t="s">
        <v>6123</v>
      </c>
      <c r="IAO1" t="s">
        <v>6124</v>
      </c>
      <c r="IAP1" t="s">
        <v>6125</v>
      </c>
      <c r="IAQ1" t="s">
        <v>6126</v>
      </c>
      <c r="IAR1" t="s">
        <v>6127</v>
      </c>
      <c r="IAS1" t="s">
        <v>6128</v>
      </c>
      <c r="IAT1" t="s">
        <v>6129</v>
      </c>
      <c r="IAU1" t="s">
        <v>6130</v>
      </c>
      <c r="IAV1" t="s">
        <v>6131</v>
      </c>
      <c r="IAW1" t="s">
        <v>6132</v>
      </c>
      <c r="IAX1" t="s">
        <v>6133</v>
      </c>
      <c r="IAY1" t="s">
        <v>6134</v>
      </c>
      <c r="IAZ1" t="s">
        <v>6135</v>
      </c>
      <c r="IBA1" t="s">
        <v>6136</v>
      </c>
      <c r="IBB1" t="s">
        <v>6137</v>
      </c>
      <c r="IBC1" t="s">
        <v>6138</v>
      </c>
      <c r="IBD1" t="s">
        <v>6139</v>
      </c>
      <c r="IBE1" t="s">
        <v>6140</v>
      </c>
      <c r="IBF1" t="s">
        <v>6141</v>
      </c>
      <c r="IBG1" t="s">
        <v>6142</v>
      </c>
      <c r="IBH1" t="s">
        <v>6143</v>
      </c>
      <c r="IBI1" t="s">
        <v>6144</v>
      </c>
      <c r="IBJ1" t="s">
        <v>6145</v>
      </c>
      <c r="IBK1" t="s">
        <v>6146</v>
      </c>
      <c r="IBL1" t="s">
        <v>6147</v>
      </c>
      <c r="IBM1" t="s">
        <v>6148</v>
      </c>
      <c r="IBN1" t="s">
        <v>6149</v>
      </c>
      <c r="IBO1" t="s">
        <v>6150</v>
      </c>
      <c r="IBP1" t="s">
        <v>6151</v>
      </c>
      <c r="IBQ1" t="s">
        <v>6152</v>
      </c>
      <c r="IBR1" t="s">
        <v>6153</v>
      </c>
      <c r="IBS1" t="s">
        <v>6154</v>
      </c>
      <c r="IBT1" t="s">
        <v>6155</v>
      </c>
      <c r="IBU1" t="s">
        <v>6156</v>
      </c>
      <c r="IBV1" t="s">
        <v>6157</v>
      </c>
      <c r="IBW1" t="s">
        <v>6158</v>
      </c>
      <c r="IBX1" t="s">
        <v>6159</v>
      </c>
      <c r="IBY1" t="s">
        <v>6160</v>
      </c>
      <c r="IBZ1" t="s">
        <v>6161</v>
      </c>
      <c r="ICA1" t="s">
        <v>6162</v>
      </c>
      <c r="ICB1" t="s">
        <v>6163</v>
      </c>
      <c r="ICC1" t="s">
        <v>6164</v>
      </c>
      <c r="ICD1" t="s">
        <v>6165</v>
      </c>
      <c r="ICE1" t="s">
        <v>6166</v>
      </c>
      <c r="ICF1" t="s">
        <v>6167</v>
      </c>
      <c r="ICG1" t="s">
        <v>6168</v>
      </c>
      <c r="ICH1" t="s">
        <v>6169</v>
      </c>
      <c r="ICI1" t="s">
        <v>6170</v>
      </c>
      <c r="ICJ1" t="s">
        <v>6171</v>
      </c>
      <c r="ICK1" t="s">
        <v>6172</v>
      </c>
      <c r="ICL1" t="s">
        <v>6173</v>
      </c>
      <c r="ICM1" t="s">
        <v>6174</v>
      </c>
      <c r="ICN1" t="s">
        <v>6175</v>
      </c>
      <c r="ICO1" t="s">
        <v>6176</v>
      </c>
      <c r="ICP1" t="s">
        <v>6177</v>
      </c>
      <c r="ICQ1" t="s">
        <v>6178</v>
      </c>
      <c r="ICR1" t="s">
        <v>6179</v>
      </c>
      <c r="ICS1" t="s">
        <v>6180</v>
      </c>
      <c r="ICT1" t="s">
        <v>6181</v>
      </c>
      <c r="ICU1" t="s">
        <v>6182</v>
      </c>
      <c r="ICV1" t="s">
        <v>6183</v>
      </c>
      <c r="ICW1" t="s">
        <v>6184</v>
      </c>
      <c r="ICX1" t="s">
        <v>6185</v>
      </c>
      <c r="ICY1" t="s">
        <v>6186</v>
      </c>
      <c r="ICZ1" t="s">
        <v>6187</v>
      </c>
      <c r="IDA1" t="s">
        <v>6188</v>
      </c>
      <c r="IDB1" t="s">
        <v>6189</v>
      </c>
      <c r="IDC1" t="s">
        <v>6190</v>
      </c>
      <c r="IDD1" t="s">
        <v>6191</v>
      </c>
      <c r="IDE1" t="s">
        <v>6192</v>
      </c>
      <c r="IDF1" t="s">
        <v>6193</v>
      </c>
      <c r="IDG1" t="s">
        <v>6194</v>
      </c>
      <c r="IDH1" t="s">
        <v>6195</v>
      </c>
      <c r="IDI1" t="s">
        <v>6196</v>
      </c>
      <c r="IDJ1" t="s">
        <v>6197</v>
      </c>
      <c r="IDK1" t="s">
        <v>6198</v>
      </c>
      <c r="IDL1" t="s">
        <v>6199</v>
      </c>
      <c r="IDM1" t="s">
        <v>6200</v>
      </c>
      <c r="IDN1" t="s">
        <v>6201</v>
      </c>
      <c r="IDO1" t="s">
        <v>6202</v>
      </c>
      <c r="IDP1" t="s">
        <v>6203</v>
      </c>
      <c r="IDQ1" t="s">
        <v>6204</v>
      </c>
      <c r="IDR1" t="s">
        <v>6205</v>
      </c>
      <c r="IDS1" t="s">
        <v>6206</v>
      </c>
      <c r="IDT1" t="s">
        <v>6207</v>
      </c>
      <c r="IDU1" t="s">
        <v>6208</v>
      </c>
      <c r="IDV1" t="s">
        <v>6209</v>
      </c>
      <c r="IDW1" t="s">
        <v>6210</v>
      </c>
      <c r="IDX1" t="s">
        <v>6211</v>
      </c>
      <c r="IDY1" t="s">
        <v>6212</v>
      </c>
      <c r="IDZ1" t="s">
        <v>6213</v>
      </c>
      <c r="IEA1" t="s">
        <v>6214</v>
      </c>
      <c r="IEB1" t="s">
        <v>6215</v>
      </c>
      <c r="IEC1" t="s">
        <v>6216</v>
      </c>
      <c r="IED1" t="s">
        <v>6217</v>
      </c>
      <c r="IEE1" t="s">
        <v>6218</v>
      </c>
      <c r="IEF1" t="s">
        <v>6219</v>
      </c>
      <c r="IEG1" t="s">
        <v>6220</v>
      </c>
      <c r="IEH1" t="s">
        <v>6221</v>
      </c>
      <c r="IEI1" t="s">
        <v>6222</v>
      </c>
      <c r="IEJ1" t="s">
        <v>6223</v>
      </c>
      <c r="IEK1" t="s">
        <v>6224</v>
      </c>
      <c r="IEL1" t="s">
        <v>6225</v>
      </c>
      <c r="IEM1" t="s">
        <v>6226</v>
      </c>
      <c r="IEN1" t="s">
        <v>6227</v>
      </c>
      <c r="IEO1" t="s">
        <v>6228</v>
      </c>
      <c r="IEP1" t="s">
        <v>6229</v>
      </c>
      <c r="IEQ1" t="s">
        <v>6230</v>
      </c>
      <c r="IER1" t="s">
        <v>6231</v>
      </c>
      <c r="IES1" t="s">
        <v>6232</v>
      </c>
      <c r="IET1" t="s">
        <v>6233</v>
      </c>
      <c r="IEU1" t="s">
        <v>6234</v>
      </c>
      <c r="IEV1" t="s">
        <v>6235</v>
      </c>
      <c r="IEW1" t="s">
        <v>6236</v>
      </c>
      <c r="IEX1" t="s">
        <v>6237</v>
      </c>
      <c r="IEY1" t="s">
        <v>6238</v>
      </c>
      <c r="IEZ1" t="s">
        <v>6239</v>
      </c>
      <c r="IFA1" t="s">
        <v>6240</v>
      </c>
      <c r="IFB1" t="s">
        <v>6241</v>
      </c>
      <c r="IFC1" t="s">
        <v>6242</v>
      </c>
      <c r="IFD1" t="s">
        <v>6243</v>
      </c>
      <c r="IFE1" t="s">
        <v>6244</v>
      </c>
      <c r="IFF1" t="s">
        <v>6245</v>
      </c>
      <c r="IFG1" t="s">
        <v>6246</v>
      </c>
      <c r="IFH1" t="s">
        <v>6247</v>
      </c>
      <c r="IFI1" t="s">
        <v>6248</v>
      </c>
      <c r="IFJ1" t="s">
        <v>6249</v>
      </c>
      <c r="IFK1" t="s">
        <v>6250</v>
      </c>
      <c r="IFL1" t="s">
        <v>6251</v>
      </c>
      <c r="IFM1" t="s">
        <v>6252</v>
      </c>
      <c r="IFN1" t="s">
        <v>6253</v>
      </c>
      <c r="IFO1" t="s">
        <v>6254</v>
      </c>
      <c r="IFP1" t="s">
        <v>6255</v>
      </c>
      <c r="IFQ1" t="s">
        <v>6256</v>
      </c>
      <c r="IFR1" t="s">
        <v>6257</v>
      </c>
      <c r="IFS1" t="s">
        <v>6258</v>
      </c>
      <c r="IFT1" t="s">
        <v>6259</v>
      </c>
      <c r="IFU1" t="s">
        <v>6260</v>
      </c>
      <c r="IFV1" t="s">
        <v>6261</v>
      </c>
      <c r="IFW1" t="s">
        <v>6262</v>
      </c>
      <c r="IFX1" t="s">
        <v>6263</v>
      </c>
      <c r="IFY1" t="s">
        <v>6264</v>
      </c>
      <c r="IFZ1" t="s">
        <v>6265</v>
      </c>
      <c r="IGA1" t="s">
        <v>6266</v>
      </c>
      <c r="IGB1" t="s">
        <v>6267</v>
      </c>
      <c r="IGC1" t="s">
        <v>6268</v>
      </c>
      <c r="IGD1" t="s">
        <v>6269</v>
      </c>
      <c r="IGE1" t="s">
        <v>6270</v>
      </c>
      <c r="IGF1" t="s">
        <v>6271</v>
      </c>
      <c r="IGG1" t="s">
        <v>6272</v>
      </c>
      <c r="IGH1" t="s">
        <v>6273</v>
      </c>
      <c r="IGI1" t="s">
        <v>6274</v>
      </c>
      <c r="IGJ1" t="s">
        <v>6275</v>
      </c>
      <c r="IGK1" t="s">
        <v>6276</v>
      </c>
      <c r="IGL1" t="s">
        <v>6277</v>
      </c>
      <c r="IGM1" t="s">
        <v>6278</v>
      </c>
      <c r="IGN1" t="s">
        <v>6279</v>
      </c>
      <c r="IGO1" t="s">
        <v>6280</v>
      </c>
      <c r="IGP1" t="s">
        <v>6281</v>
      </c>
      <c r="IGQ1" t="s">
        <v>6282</v>
      </c>
      <c r="IGR1" t="s">
        <v>6283</v>
      </c>
      <c r="IGS1" t="s">
        <v>6284</v>
      </c>
      <c r="IGT1" t="s">
        <v>6285</v>
      </c>
      <c r="IGU1" t="s">
        <v>6286</v>
      </c>
      <c r="IGV1" t="s">
        <v>6287</v>
      </c>
      <c r="IGW1" t="s">
        <v>6288</v>
      </c>
      <c r="IGX1" t="s">
        <v>6289</v>
      </c>
      <c r="IGY1" t="s">
        <v>6290</v>
      </c>
      <c r="IGZ1" t="s">
        <v>6291</v>
      </c>
      <c r="IHA1" t="s">
        <v>6292</v>
      </c>
      <c r="IHB1" t="s">
        <v>6293</v>
      </c>
      <c r="IHC1" t="s">
        <v>6294</v>
      </c>
      <c r="IHD1" t="s">
        <v>6295</v>
      </c>
      <c r="IHE1" t="s">
        <v>6296</v>
      </c>
      <c r="IHF1" t="s">
        <v>6297</v>
      </c>
      <c r="IHG1" t="s">
        <v>6298</v>
      </c>
      <c r="IHH1" t="s">
        <v>6299</v>
      </c>
      <c r="IHI1" t="s">
        <v>6300</v>
      </c>
      <c r="IHJ1" t="s">
        <v>6301</v>
      </c>
      <c r="IHK1" t="s">
        <v>6302</v>
      </c>
      <c r="IHL1" t="s">
        <v>6303</v>
      </c>
      <c r="IHM1" t="s">
        <v>6304</v>
      </c>
      <c r="IHN1" t="s">
        <v>6305</v>
      </c>
      <c r="IHO1" t="s">
        <v>6306</v>
      </c>
      <c r="IHP1" t="s">
        <v>6307</v>
      </c>
      <c r="IHQ1" t="s">
        <v>6308</v>
      </c>
      <c r="IHR1" t="s">
        <v>6309</v>
      </c>
      <c r="IHS1" t="s">
        <v>6310</v>
      </c>
      <c r="IHT1" t="s">
        <v>6311</v>
      </c>
      <c r="IHU1" t="s">
        <v>6312</v>
      </c>
      <c r="IHV1" t="s">
        <v>6313</v>
      </c>
      <c r="IHW1" t="s">
        <v>6314</v>
      </c>
      <c r="IHX1" t="s">
        <v>6315</v>
      </c>
      <c r="IHY1" t="s">
        <v>6316</v>
      </c>
      <c r="IHZ1" t="s">
        <v>6317</v>
      </c>
      <c r="IIA1" t="s">
        <v>6318</v>
      </c>
      <c r="IIB1" t="s">
        <v>6319</v>
      </c>
      <c r="IIC1" t="s">
        <v>6320</v>
      </c>
      <c r="IID1" t="s">
        <v>6321</v>
      </c>
      <c r="IIE1" t="s">
        <v>6322</v>
      </c>
      <c r="IIF1" t="s">
        <v>6323</v>
      </c>
      <c r="IIG1" t="s">
        <v>6324</v>
      </c>
      <c r="IIH1" t="s">
        <v>6325</v>
      </c>
      <c r="III1" t="s">
        <v>6326</v>
      </c>
      <c r="IIJ1" t="s">
        <v>6327</v>
      </c>
      <c r="IIK1" t="s">
        <v>6328</v>
      </c>
      <c r="IIL1" t="s">
        <v>6329</v>
      </c>
      <c r="IIM1" t="s">
        <v>6330</v>
      </c>
      <c r="IIN1" t="s">
        <v>6331</v>
      </c>
      <c r="IIO1" t="s">
        <v>6332</v>
      </c>
      <c r="IIP1" t="s">
        <v>6333</v>
      </c>
      <c r="IIQ1" t="s">
        <v>6334</v>
      </c>
      <c r="IIR1" t="s">
        <v>6335</v>
      </c>
      <c r="IIS1" t="s">
        <v>6336</v>
      </c>
      <c r="IIT1" t="s">
        <v>6337</v>
      </c>
      <c r="IIU1" t="s">
        <v>6338</v>
      </c>
      <c r="IIV1" t="s">
        <v>6339</v>
      </c>
      <c r="IIW1" t="s">
        <v>6340</v>
      </c>
      <c r="IIX1" t="s">
        <v>6341</v>
      </c>
      <c r="IIY1" t="s">
        <v>6342</v>
      </c>
      <c r="IIZ1" t="s">
        <v>6343</v>
      </c>
      <c r="IJA1" t="s">
        <v>6344</v>
      </c>
      <c r="IJB1" t="s">
        <v>6345</v>
      </c>
      <c r="IJC1" t="s">
        <v>6346</v>
      </c>
      <c r="IJD1" t="s">
        <v>6347</v>
      </c>
      <c r="IJE1" t="s">
        <v>6348</v>
      </c>
      <c r="IJF1" t="s">
        <v>6349</v>
      </c>
      <c r="IJG1" t="s">
        <v>6350</v>
      </c>
      <c r="IJH1" t="s">
        <v>6351</v>
      </c>
      <c r="IJI1" t="s">
        <v>6352</v>
      </c>
      <c r="IJJ1" t="s">
        <v>6353</v>
      </c>
      <c r="IJK1" t="s">
        <v>6354</v>
      </c>
      <c r="IJL1" t="s">
        <v>6355</v>
      </c>
      <c r="IJM1" t="s">
        <v>6356</v>
      </c>
      <c r="IJN1" t="s">
        <v>6357</v>
      </c>
      <c r="IJO1" t="s">
        <v>6358</v>
      </c>
      <c r="IJP1" t="s">
        <v>6359</v>
      </c>
      <c r="IJQ1" t="s">
        <v>6360</v>
      </c>
      <c r="IJR1" t="s">
        <v>6361</v>
      </c>
      <c r="IJS1" t="s">
        <v>6362</v>
      </c>
      <c r="IJT1" t="s">
        <v>6363</v>
      </c>
      <c r="IJU1" t="s">
        <v>6364</v>
      </c>
      <c r="IJV1" t="s">
        <v>6365</v>
      </c>
      <c r="IJW1" t="s">
        <v>6366</v>
      </c>
      <c r="IJX1" t="s">
        <v>6367</v>
      </c>
      <c r="IJY1" t="s">
        <v>6368</v>
      </c>
      <c r="IJZ1" t="s">
        <v>6369</v>
      </c>
      <c r="IKA1" t="s">
        <v>6370</v>
      </c>
      <c r="IKB1" t="s">
        <v>6371</v>
      </c>
      <c r="IKC1" t="s">
        <v>6372</v>
      </c>
      <c r="IKD1" t="s">
        <v>6373</v>
      </c>
      <c r="IKE1" t="s">
        <v>6374</v>
      </c>
      <c r="IKF1" t="s">
        <v>6375</v>
      </c>
      <c r="IKG1" t="s">
        <v>6376</v>
      </c>
      <c r="IKH1" t="s">
        <v>6377</v>
      </c>
      <c r="IKI1" t="s">
        <v>6378</v>
      </c>
      <c r="IKJ1" t="s">
        <v>6379</v>
      </c>
      <c r="IKK1" t="s">
        <v>6380</v>
      </c>
      <c r="IKL1" t="s">
        <v>6381</v>
      </c>
      <c r="IKM1" t="s">
        <v>6382</v>
      </c>
      <c r="IKN1" t="s">
        <v>6383</v>
      </c>
      <c r="IKO1" t="s">
        <v>6384</v>
      </c>
      <c r="IKP1" t="s">
        <v>6385</v>
      </c>
      <c r="IKQ1" t="s">
        <v>6386</v>
      </c>
      <c r="IKR1" t="s">
        <v>6387</v>
      </c>
      <c r="IKS1" t="s">
        <v>6388</v>
      </c>
      <c r="IKT1" t="s">
        <v>6389</v>
      </c>
      <c r="IKU1" t="s">
        <v>6390</v>
      </c>
      <c r="IKV1" t="s">
        <v>6391</v>
      </c>
      <c r="IKW1" t="s">
        <v>6392</v>
      </c>
      <c r="IKX1" t="s">
        <v>6393</v>
      </c>
      <c r="IKY1" t="s">
        <v>6394</v>
      </c>
      <c r="IKZ1" t="s">
        <v>6395</v>
      </c>
      <c r="ILA1" t="s">
        <v>6396</v>
      </c>
      <c r="ILB1" t="s">
        <v>6397</v>
      </c>
      <c r="ILC1" t="s">
        <v>6398</v>
      </c>
      <c r="ILD1" t="s">
        <v>6399</v>
      </c>
      <c r="ILE1" t="s">
        <v>6400</v>
      </c>
      <c r="ILF1" t="s">
        <v>6401</v>
      </c>
      <c r="ILG1" t="s">
        <v>6402</v>
      </c>
      <c r="ILH1" t="s">
        <v>6403</v>
      </c>
      <c r="ILI1" t="s">
        <v>6404</v>
      </c>
      <c r="ILJ1" t="s">
        <v>6405</v>
      </c>
      <c r="ILK1" t="s">
        <v>6406</v>
      </c>
      <c r="ILL1" t="s">
        <v>6407</v>
      </c>
      <c r="ILM1" t="s">
        <v>6408</v>
      </c>
      <c r="ILN1" t="s">
        <v>6409</v>
      </c>
      <c r="ILO1" t="s">
        <v>6410</v>
      </c>
      <c r="ILP1" t="s">
        <v>6411</v>
      </c>
      <c r="ILQ1" t="s">
        <v>6412</v>
      </c>
      <c r="ILR1" t="s">
        <v>6413</v>
      </c>
      <c r="ILS1" t="s">
        <v>6414</v>
      </c>
      <c r="ILT1" t="s">
        <v>6415</v>
      </c>
      <c r="ILU1" t="s">
        <v>6416</v>
      </c>
      <c r="ILV1" t="s">
        <v>6417</v>
      </c>
      <c r="ILW1" t="s">
        <v>6418</v>
      </c>
      <c r="ILX1" t="s">
        <v>6419</v>
      </c>
      <c r="ILY1" t="s">
        <v>6420</v>
      </c>
      <c r="ILZ1" t="s">
        <v>6421</v>
      </c>
      <c r="IMA1" t="s">
        <v>6422</v>
      </c>
      <c r="IMB1" t="s">
        <v>6423</v>
      </c>
      <c r="IMC1" t="s">
        <v>6424</v>
      </c>
      <c r="IMD1" t="s">
        <v>6425</v>
      </c>
      <c r="IME1" t="s">
        <v>6426</v>
      </c>
      <c r="IMF1" t="s">
        <v>6427</v>
      </c>
      <c r="IMG1" t="s">
        <v>6428</v>
      </c>
      <c r="IMH1" t="s">
        <v>6429</v>
      </c>
      <c r="IMI1" t="s">
        <v>6430</v>
      </c>
      <c r="IMJ1" t="s">
        <v>6431</v>
      </c>
      <c r="IMK1" t="s">
        <v>6432</v>
      </c>
      <c r="IML1" t="s">
        <v>6433</v>
      </c>
      <c r="IMM1" t="s">
        <v>6434</v>
      </c>
      <c r="IMN1" t="s">
        <v>6435</v>
      </c>
      <c r="IMO1" t="s">
        <v>6436</v>
      </c>
      <c r="IMP1" t="s">
        <v>6437</v>
      </c>
      <c r="IMQ1" t="s">
        <v>6438</v>
      </c>
      <c r="IMR1" t="s">
        <v>6439</v>
      </c>
      <c r="IMS1" t="s">
        <v>6440</v>
      </c>
      <c r="IMT1" t="s">
        <v>6441</v>
      </c>
      <c r="IMU1" t="s">
        <v>6442</v>
      </c>
      <c r="IMV1" t="s">
        <v>6443</v>
      </c>
      <c r="IMW1" t="s">
        <v>6444</v>
      </c>
      <c r="IMX1" t="s">
        <v>6445</v>
      </c>
      <c r="IMY1" t="s">
        <v>6446</v>
      </c>
      <c r="IMZ1" t="s">
        <v>6447</v>
      </c>
      <c r="INA1" t="s">
        <v>6448</v>
      </c>
      <c r="INB1" t="s">
        <v>6449</v>
      </c>
      <c r="INC1" t="s">
        <v>6450</v>
      </c>
      <c r="IND1" t="s">
        <v>6451</v>
      </c>
      <c r="INE1" t="s">
        <v>6452</v>
      </c>
      <c r="INF1" t="s">
        <v>6453</v>
      </c>
      <c r="ING1" t="s">
        <v>6454</v>
      </c>
      <c r="INH1" t="s">
        <v>6455</v>
      </c>
      <c r="INI1" t="s">
        <v>6456</v>
      </c>
      <c r="INJ1" t="s">
        <v>6457</v>
      </c>
      <c r="INK1" t="s">
        <v>6458</v>
      </c>
      <c r="INL1" t="s">
        <v>6459</v>
      </c>
      <c r="INM1" t="s">
        <v>6460</v>
      </c>
      <c r="INN1" t="s">
        <v>6461</v>
      </c>
      <c r="INO1" t="s">
        <v>6462</v>
      </c>
      <c r="INP1" t="s">
        <v>6463</v>
      </c>
      <c r="INQ1" t="s">
        <v>6464</v>
      </c>
      <c r="INR1" t="s">
        <v>6465</v>
      </c>
      <c r="INS1" t="s">
        <v>6466</v>
      </c>
      <c r="INT1" t="s">
        <v>6467</v>
      </c>
      <c r="INU1" t="s">
        <v>6468</v>
      </c>
      <c r="INV1" t="s">
        <v>6469</v>
      </c>
      <c r="INW1" t="s">
        <v>6470</v>
      </c>
      <c r="INX1" t="s">
        <v>6471</v>
      </c>
      <c r="INY1" t="s">
        <v>6472</v>
      </c>
      <c r="INZ1" t="s">
        <v>6473</v>
      </c>
      <c r="IOA1" t="s">
        <v>6474</v>
      </c>
      <c r="IOB1" t="s">
        <v>6475</v>
      </c>
      <c r="IOC1" t="s">
        <v>6476</v>
      </c>
      <c r="IOD1" t="s">
        <v>6477</v>
      </c>
      <c r="IOE1" t="s">
        <v>6478</v>
      </c>
      <c r="IOF1" t="s">
        <v>6479</v>
      </c>
      <c r="IOG1" t="s">
        <v>6480</v>
      </c>
      <c r="IOH1" t="s">
        <v>6481</v>
      </c>
      <c r="IOI1" t="s">
        <v>6482</v>
      </c>
      <c r="IOJ1" t="s">
        <v>6483</v>
      </c>
      <c r="IOK1" t="s">
        <v>6484</v>
      </c>
      <c r="IOL1" t="s">
        <v>6485</v>
      </c>
      <c r="IOM1" t="s">
        <v>6486</v>
      </c>
      <c r="ION1" t="s">
        <v>6487</v>
      </c>
      <c r="IOO1" t="s">
        <v>6488</v>
      </c>
      <c r="IOP1" t="s">
        <v>6489</v>
      </c>
      <c r="IOQ1" t="s">
        <v>6490</v>
      </c>
      <c r="IOR1" t="s">
        <v>6491</v>
      </c>
      <c r="IOS1" t="s">
        <v>6492</v>
      </c>
      <c r="IOT1" t="s">
        <v>6493</v>
      </c>
      <c r="IOU1" t="s">
        <v>6494</v>
      </c>
      <c r="IOV1" t="s">
        <v>6495</v>
      </c>
      <c r="IOW1" t="s">
        <v>6496</v>
      </c>
      <c r="IOX1" t="s">
        <v>6497</v>
      </c>
      <c r="IOY1" t="s">
        <v>6498</v>
      </c>
      <c r="IOZ1" t="s">
        <v>6499</v>
      </c>
      <c r="IPA1" t="s">
        <v>6500</v>
      </c>
      <c r="IPB1" t="s">
        <v>6501</v>
      </c>
      <c r="IPC1" t="s">
        <v>6502</v>
      </c>
      <c r="IPD1" t="s">
        <v>6503</v>
      </c>
      <c r="IPE1" t="s">
        <v>6504</v>
      </c>
      <c r="IPF1" t="s">
        <v>6505</v>
      </c>
      <c r="IPG1" t="s">
        <v>6506</v>
      </c>
      <c r="IPH1" t="s">
        <v>6507</v>
      </c>
      <c r="IPI1" t="s">
        <v>6508</v>
      </c>
      <c r="IPJ1" t="s">
        <v>6509</v>
      </c>
      <c r="IPK1" t="s">
        <v>6510</v>
      </c>
      <c r="IPL1" t="s">
        <v>6511</v>
      </c>
      <c r="IPM1" t="s">
        <v>6512</v>
      </c>
      <c r="IPN1" t="s">
        <v>6513</v>
      </c>
      <c r="IPO1" t="s">
        <v>6514</v>
      </c>
      <c r="IPP1" t="s">
        <v>6515</v>
      </c>
      <c r="IPQ1" t="s">
        <v>6516</v>
      </c>
      <c r="IPR1" t="s">
        <v>6517</v>
      </c>
      <c r="IPS1" t="s">
        <v>6518</v>
      </c>
      <c r="IPT1" t="s">
        <v>6519</v>
      </c>
      <c r="IPU1" t="s">
        <v>6520</v>
      </c>
      <c r="IPV1" t="s">
        <v>6521</v>
      </c>
      <c r="IPW1" t="s">
        <v>6522</v>
      </c>
      <c r="IPX1" t="s">
        <v>6523</v>
      </c>
      <c r="IPY1" t="s">
        <v>6524</v>
      </c>
      <c r="IPZ1" t="s">
        <v>6525</v>
      </c>
      <c r="IQA1" t="s">
        <v>6526</v>
      </c>
      <c r="IQB1" t="s">
        <v>6527</v>
      </c>
      <c r="IQC1" t="s">
        <v>6528</v>
      </c>
      <c r="IQD1" t="s">
        <v>6529</v>
      </c>
      <c r="IQE1" t="s">
        <v>6530</v>
      </c>
      <c r="IQF1" t="s">
        <v>6531</v>
      </c>
      <c r="IQG1" t="s">
        <v>6532</v>
      </c>
      <c r="IQH1" t="s">
        <v>6533</v>
      </c>
      <c r="IQI1" t="s">
        <v>6534</v>
      </c>
      <c r="IQJ1" t="s">
        <v>6535</v>
      </c>
      <c r="IQK1" t="s">
        <v>6536</v>
      </c>
      <c r="IQL1" t="s">
        <v>6537</v>
      </c>
      <c r="IQM1" t="s">
        <v>6538</v>
      </c>
      <c r="IQN1" t="s">
        <v>6539</v>
      </c>
      <c r="IQO1" t="s">
        <v>6540</v>
      </c>
      <c r="IQP1" t="s">
        <v>6541</v>
      </c>
      <c r="IQQ1" t="s">
        <v>6542</v>
      </c>
      <c r="IQR1" t="s">
        <v>6543</v>
      </c>
      <c r="IQS1" t="s">
        <v>6544</v>
      </c>
      <c r="IQT1" t="s">
        <v>6545</v>
      </c>
      <c r="IQU1" t="s">
        <v>6546</v>
      </c>
      <c r="IQV1" t="s">
        <v>6547</v>
      </c>
      <c r="IQW1" t="s">
        <v>6548</v>
      </c>
      <c r="IQX1" t="s">
        <v>6549</v>
      </c>
      <c r="IQY1" t="s">
        <v>6550</v>
      </c>
      <c r="IQZ1" t="s">
        <v>6551</v>
      </c>
      <c r="IRA1" t="s">
        <v>6552</v>
      </c>
      <c r="IRB1" t="s">
        <v>6553</v>
      </c>
      <c r="IRC1" t="s">
        <v>6554</v>
      </c>
      <c r="IRD1" t="s">
        <v>6555</v>
      </c>
      <c r="IRE1" t="s">
        <v>6556</v>
      </c>
      <c r="IRF1" t="s">
        <v>6557</v>
      </c>
      <c r="IRG1" t="s">
        <v>6558</v>
      </c>
      <c r="IRH1" t="s">
        <v>6559</v>
      </c>
      <c r="IRI1" t="s">
        <v>6560</v>
      </c>
      <c r="IRJ1" t="s">
        <v>6561</v>
      </c>
      <c r="IRK1" t="s">
        <v>6562</v>
      </c>
      <c r="IRL1" t="s">
        <v>6563</v>
      </c>
      <c r="IRM1" t="s">
        <v>6564</v>
      </c>
      <c r="IRN1" t="s">
        <v>6565</v>
      </c>
      <c r="IRO1" t="s">
        <v>6566</v>
      </c>
      <c r="IRP1" t="s">
        <v>6567</v>
      </c>
      <c r="IRQ1" t="s">
        <v>6568</v>
      </c>
      <c r="IRR1" t="s">
        <v>6569</v>
      </c>
      <c r="IRS1" t="s">
        <v>6570</v>
      </c>
      <c r="IRT1" t="s">
        <v>6571</v>
      </c>
      <c r="IRU1" t="s">
        <v>6572</v>
      </c>
      <c r="IRV1" t="s">
        <v>6573</v>
      </c>
      <c r="IRW1" t="s">
        <v>6574</v>
      </c>
      <c r="IRX1" t="s">
        <v>6575</v>
      </c>
      <c r="IRY1" t="s">
        <v>6576</v>
      </c>
      <c r="IRZ1" t="s">
        <v>6577</v>
      </c>
      <c r="ISA1" t="s">
        <v>6578</v>
      </c>
      <c r="ISB1" t="s">
        <v>6579</v>
      </c>
      <c r="ISC1" t="s">
        <v>6580</v>
      </c>
      <c r="ISD1" t="s">
        <v>6581</v>
      </c>
      <c r="ISE1" t="s">
        <v>6582</v>
      </c>
      <c r="ISF1" t="s">
        <v>6583</v>
      </c>
      <c r="ISG1" t="s">
        <v>6584</v>
      </c>
      <c r="ISH1" t="s">
        <v>6585</v>
      </c>
      <c r="ISI1" t="s">
        <v>6586</v>
      </c>
      <c r="ISJ1" t="s">
        <v>6587</v>
      </c>
      <c r="ISK1" t="s">
        <v>6588</v>
      </c>
      <c r="ISL1" t="s">
        <v>6589</v>
      </c>
      <c r="ISM1" t="s">
        <v>6590</v>
      </c>
      <c r="ISN1" t="s">
        <v>6591</v>
      </c>
      <c r="ISO1" t="s">
        <v>6592</v>
      </c>
      <c r="ISP1" t="s">
        <v>6593</v>
      </c>
      <c r="ISQ1" t="s">
        <v>6594</v>
      </c>
      <c r="ISR1" t="s">
        <v>6595</v>
      </c>
      <c r="ISS1" t="s">
        <v>6596</v>
      </c>
      <c r="IST1" t="s">
        <v>6597</v>
      </c>
      <c r="ISU1" t="s">
        <v>6598</v>
      </c>
      <c r="ISV1" t="s">
        <v>6599</v>
      </c>
      <c r="ISW1" t="s">
        <v>6600</v>
      </c>
      <c r="ISX1" t="s">
        <v>6601</v>
      </c>
      <c r="ISY1" t="s">
        <v>6602</v>
      </c>
      <c r="ISZ1" t="s">
        <v>6603</v>
      </c>
      <c r="ITA1" t="s">
        <v>6604</v>
      </c>
      <c r="ITB1" t="s">
        <v>6605</v>
      </c>
      <c r="ITC1" t="s">
        <v>6606</v>
      </c>
      <c r="ITD1" t="s">
        <v>6607</v>
      </c>
      <c r="ITE1" t="s">
        <v>6608</v>
      </c>
      <c r="ITF1" t="s">
        <v>6609</v>
      </c>
      <c r="ITG1" t="s">
        <v>6610</v>
      </c>
      <c r="ITH1" t="s">
        <v>6611</v>
      </c>
      <c r="ITI1" t="s">
        <v>6612</v>
      </c>
      <c r="ITJ1" t="s">
        <v>6613</v>
      </c>
      <c r="ITK1" t="s">
        <v>6614</v>
      </c>
      <c r="ITL1" t="s">
        <v>6615</v>
      </c>
      <c r="ITM1" t="s">
        <v>6616</v>
      </c>
      <c r="ITN1" t="s">
        <v>6617</v>
      </c>
      <c r="ITO1" t="s">
        <v>6618</v>
      </c>
      <c r="ITP1" t="s">
        <v>6619</v>
      </c>
      <c r="ITQ1" t="s">
        <v>6620</v>
      </c>
      <c r="ITR1" t="s">
        <v>6621</v>
      </c>
      <c r="ITS1" t="s">
        <v>6622</v>
      </c>
      <c r="ITT1" t="s">
        <v>6623</v>
      </c>
      <c r="ITU1" t="s">
        <v>6624</v>
      </c>
      <c r="ITV1" t="s">
        <v>6625</v>
      </c>
      <c r="ITW1" t="s">
        <v>6626</v>
      </c>
      <c r="ITX1" t="s">
        <v>6627</v>
      </c>
      <c r="ITY1" t="s">
        <v>6628</v>
      </c>
      <c r="ITZ1" t="s">
        <v>6629</v>
      </c>
      <c r="IUA1" t="s">
        <v>6630</v>
      </c>
      <c r="IUB1" t="s">
        <v>6631</v>
      </c>
      <c r="IUC1" t="s">
        <v>6632</v>
      </c>
      <c r="IUD1" t="s">
        <v>6633</v>
      </c>
      <c r="IUE1" t="s">
        <v>6634</v>
      </c>
      <c r="IUF1" t="s">
        <v>6635</v>
      </c>
      <c r="IUG1" t="s">
        <v>6636</v>
      </c>
      <c r="IUH1" t="s">
        <v>6637</v>
      </c>
      <c r="IUI1" t="s">
        <v>6638</v>
      </c>
      <c r="IUJ1" t="s">
        <v>6639</v>
      </c>
      <c r="IUK1" t="s">
        <v>6640</v>
      </c>
      <c r="IUL1" t="s">
        <v>6641</v>
      </c>
      <c r="IUM1" t="s">
        <v>6642</v>
      </c>
      <c r="IUN1" t="s">
        <v>6643</v>
      </c>
      <c r="IUO1" t="s">
        <v>6644</v>
      </c>
      <c r="IUP1" t="s">
        <v>6645</v>
      </c>
      <c r="IUQ1" t="s">
        <v>6646</v>
      </c>
      <c r="IUR1" t="s">
        <v>6647</v>
      </c>
      <c r="IUS1" t="s">
        <v>6648</v>
      </c>
      <c r="IUT1" t="s">
        <v>6649</v>
      </c>
      <c r="IUU1" t="s">
        <v>6650</v>
      </c>
      <c r="IUV1" t="s">
        <v>6651</v>
      </c>
      <c r="IUW1" t="s">
        <v>6652</v>
      </c>
      <c r="IUX1" t="s">
        <v>6653</v>
      </c>
      <c r="IUY1" t="s">
        <v>6654</v>
      </c>
      <c r="IUZ1" t="s">
        <v>6655</v>
      </c>
      <c r="IVA1" t="s">
        <v>6656</v>
      </c>
      <c r="IVB1" t="s">
        <v>6657</v>
      </c>
      <c r="IVC1" t="s">
        <v>6658</v>
      </c>
      <c r="IVD1" t="s">
        <v>6659</v>
      </c>
      <c r="IVE1" t="s">
        <v>6660</v>
      </c>
      <c r="IVF1" t="s">
        <v>6661</v>
      </c>
      <c r="IVG1" t="s">
        <v>6662</v>
      </c>
      <c r="IVH1" t="s">
        <v>6663</v>
      </c>
      <c r="IVI1" t="s">
        <v>6664</v>
      </c>
      <c r="IVJ1" t="s">
        <v>6665</v>
      </c>
      <c r="IVK1" t="s">
        <v>6666</v>
      </c>
      <c r="IVL1" t="s">
        <v>6667</v>
      </c>
      <c r="IVM1" t="s">
        <v>6668</v>
      </c>
      <c r="IVN1" t="s">
        <v>6669</v>
      </c>
      <c r="IVO1" t="s">
        <v>6670</v>
      </c>
      <c r="IVP1" t="s">
        <v>6671</v>
      </c>
      <c r="IVQ1" t="s">
        <v>6672</v>
      </c>
      <c r="IVR1" t="s">
        <v>6673</v>
      </c>
      <c r="IVS1" t="s">
        <v>6674</v>
      </c>
      <c r="IVT1" t="s">
        <v>6675</v>
      </c>
      <c r="IVU1" t="s">
        <v>6676</v>
      </c>
      <c r="IVV1" t="s">
        <v>6677</v>
      </c>
      <c r="IVW1" t="s">
        <v>6678</v>
      </c>
      <c r="IVX1" t="s">
        <v>6679</v>
      </c>
      <c r="IVY1" t="s">
        <v>6680</v>
      </c>
      <c r="IVZ1" t="s">
        <v>6681</v>
      </c>
      <c r="IWA1" t="s">
        <v>6682</v>
      </c>
      <c r="IWB1" t="s">
        <v>6683</v>
      </c>
      <c r="IWC1" t="s">
        <v>6684</v>
      </c>
      <c r="IWD1" t="s">
        <v>6685</v>
      </c>
      <c r="IWE1" t="s">
        <v>6686</v>
      </c>
      <c r="IWF1" t="s">
        <v>6687</v>
      </c>
      <c r="IWG1" t="s">
        <v>6688</v>
      </c>
      <c r="IWH1" t="s">
        <v>6689</v>
      </c>
      <c r="IWI1" t="s">
        <v>6690</v>
      </c>
      <c r="IWJ1" t="s">
        <v>6691</v>
      </c>
      <c r="IWK1" t="s">
        <v>6692</v>
      </c>
      <c r="IWL1" t="s">
        <v>6693</v>
      </c>
      <c r="IWM1" t="s">
        <v>6694</v>
      </c>
      <c r="IWN1" t="s">
        <v>6695</v>
      </c>
      <c r="IWO1" t="s">
        <v>6696</v>
      </c>
      <c r="IWP1" t="s">
        <v>6697</v>
      </c>
      <c r="IWQ1" t="s">
        <v>6698</v>
      </c>
      <c r="IWR1" t="s">
        <v>6699</v>
      </c>
      <c r="IWS1" t="s">
        <v>6700</v>
      </c>
      <c r="IWT1" t="s">
        <v>6701</v>
      </c>
      <c r="IWU1" t="s">
        <v>6702</v>
      </c>
      <c r="IWV1" t="s">
        <v>6703</v>
      </c>
      <c r="IWW1" t="s">
        <v>6704</v>
      </c>
      <c r="IWX1" t="s">
        <v>6705</v>
      </c>
      <c r="IWY1" t="s">
        <v>6706</v>
      </c>
      <c r="IWZ1" t="s">
        <v>6707</v>
      </c>
      <c r="IXA1" t="s">
        <v>6708</v>
      </c>
      <c r="IXB1" t="s">
        <v>6709</v>
      </c>
      <c r="IXC1" t="s">
        <v>6710</v>
      </c>
      <c r="IXD1" t="s">
        <v>6711</v>
      </c>
      <c r="IXE1" t="s">
        <v>6712</v>
      </c>
      <c r="IXF1" t="s">
        <v>6713</v>
      </c>
      <c r="IXG1" t="s">
        <v>6714</v>
      </c>
      <c r="IXH1" t="s">
        <v>6715</v>
      </c>
      <c r="IXI1" t="s">
        <v>6716</v>
      </c>
      <c r="IXJ1" t="s">
        <v>6717</v>
      </c>
      <c r="IXK1" t="s">
        <v>6718</v>
      </c>
      <c r="IXL1" t="s">
        <v>6719</v>
      </c>
      <c r="IXM1" t="s">
        <v>6720</v>
      </c>
      <c r="IXN1" t="s">
        <v>6721</v>
      </c>
      <c r="IXO1" t="s">
        <v>6722</v>
      </c>
      <c r="IXP1" t="s">
        <v>6723</v>
      </c>
      <c r="IXQ1" t="s">
        <v>6724</v>
      </c>
      <c r="IXR1" t="s">
        <v>6725</v>
      </c>
      <c r="IXS1" t="s">
        <v>6726</v>
      </c>
      <c r="IXT1" t="s">
        <v>6727</v>
      </c>
      <c r="IXU1" t="s">
        <v>6728</v>
      </c>
      <c r="IXV1" t="s">
        <v>6729</v>
      </c>
      <c r="IXW1" t="s">
        <v>6730</v>
      </c>
      <c r="IXX1" t="s">
        <v>6731</v>
      </c>
      <c r="IXY1" t="s">
        <v>6732</v>
      </c>
      <c r="IXZ1" t="s">
        <v>6733</v>
      </c>
      <c r="IYA1" t="s">
        <v>6734</v>
      </c>
      <c r="IYB1" t="s">
        <v>6735</v>
      </c>
      <c r="IYC1" t="s">
        <v>6736</v>
      </c>
      <c r="IYD1" t="s">
        <v>6737</v>
      </c>
      <c r="IYE1" t="s">
        <v>6738</v>
      </c>
      <c r="IYF1" t="s">
        <v>6739</v>
      </c>
      <c r="IYG1" t="s">
        <v>6740</v>
      </c>
      <c r="IYH1" t="s">
        <v>6741</v>
      </c>
      <c r="IYI1" t="s">
        <v>6742</v>
      </c>
      <c r="IYJ1" t="s">
        <v>6743</v>
      </c>
      <c r="IYK1" t="s">
        <v>6744</v>
      </c>
      <c r="IYL1" t="s">
        <v>6745</v>
      </c>
      <c r="IYM1" t="s">
        <v>6746</v>
      </c>
      <c r="IYN1" t="s">
        <v>6747</v>
      </c>
      <c r="IYO1" t="s">
        <v>6748</v>
      </c>
      <c r="IYP1" t="s">
        <v>6749</v>
      </c>
      <c r="IYQ1" t="s">
        <v>6750</v>
      </c>
      <c r="IYR1" t="s">
        <v>6751</v>
      </c>
      <c r="IYS1" t="s">
        <v>6752</v>
      </c>
      <c r="IYT1" t="s">
        <v>6753</v>
      </c>
      <c r="IYU1" t="s">
        <v>6754</v>
      </c>
      <c r="IYV1" t="s">
        <v>6755</v>
      </c>
      <c r="IYW1" t="s">
        <v>6756</v>
      </c>
      <c r="IYX1" t="s">
        <v>6757</v>
      </c>
      <c r="IYY1" t="s">
        <v>6758</v>
      </c>
      <c r="IYZ1" t="s">
        <v>6759</v>
      </c>
      <c r="IZA1" t="s">
        <v>6760</v>
      </c>
      <c r="IZB1" t="s">
        <v>6761</v>
      </c>
      <c r="IZC1" t="s">
        <v>6762</v>
      </c>
      <c r="IZD1" t="s">
        <v>6763</v>
      </c>
      <c r="IZE1" t="s">
        <v>6764</v>
      </c>
      <c r="IZF1" t="s">
        <v>6765</v>
      </c>
      <c r="IZG1" t="s">
        <v>6766</v>
      </c>
      <c r="IZH1" t="s">
        <v>6767</v>
      </c>
      <c r="IZI1" t="s">
        <v>6768</v>
      </c>
      <c r="IZJ1" t="s">
        <v>6769</v>
      </c>
      <c r="IZK1" t="s">
        <v>6770</v>
      </c>
      <c r="IZL1" t="s">
        <v>6771</v>
      </c>
      <c r="IZM1" t="s">
        <v>6772</v>
      </c>
      <c r="IZN1" t="s">
        <v>6773</v>
      </c>
      <c r="IZO1" t="s">
        <v>6774</v>
      </c>
      <c r="IZP1" t="s">
        <v>6775</v>
      </c>
      <c r="IZQ1" t="s">
        <v>6776</v>
      </c>
      <c r="IZR1" t="s">
        <v>6777</v>
      </c>
      <c r="IZS1" t="s">
        <v>6778</v>
      </c>
      <c r="IZT1" t="s">
        <v>6779</v>
      </c>
      <c r="IZU1" t="s">
        <v>6780</v>
      </c>
      <c r="IZV1" t="s">
        <v>6781</v>
      </c>
      <c r="IZW1" t="s">
        <v>6782</v>
      </c>
      <c r="IZX1" t="s">
        <v>6783</v>
      </c>
      <c r="IZY1" t="s">
        <v>6784</v>
      </c>
      <c r="IZZ1" t="s">
        <v>6785</v>
      </c>
      <c r="JAA1" t="s">
        <v>6786</v>
      </c>
      <c r="JAB1" t="s">
        <v>6787</v>
      </c>
      <c r="JAC1" t="s">
        <v>6788</v>
      </c>
      <c r="JAD1" t="s">
        <v>6789</v>
      </c>
      <c r="JAE1" t="s">
        <v>6790</v>
      </c>
      <c r="JAF1" t="s">
        <v>6791</v>
      </c>
      <c r="JAG1" t="s">
        <v>6792</v>
      </c>
      <c r="JAH1" t="s">
        <v>6793</v>
      </c>
      <c r="JAI1" t="s">
        <v>6794</v>
      </c>
      <c r="JAJ1" t="s">
        <v>6795</v>
      </c>
      <c r="JAK1" t="s">
        <v>6796</v>
      </c>
      <c r="JAL1" t="s">
        <v>6797</v>
      </c>
      <c r="JAM1" t="s">
        <v>6798</v>
      </c>
      <c r="JAN1" t="s">
        <v>6799</v>
      </c>
      <c r="JAO1" t="s">
        <v>6800</v>
      </c>
      <c r="JAP1" t="s">
        <v>6801</v>
      </c>
      <c r="JAQ1" t="s">
        <v>6802</v>
      </c>
      <c r="JAR1" t="s">
        <v>6803</v>
      </c>
      <c r="JAS1" t="s">
        <v>6804</v>
      </c>
      <c r="JAT1" t="s">
        <v>6805</v>
      </c>
      <c r="JAU1" t="s">
        <v>6806</v>
      </c>
      <c r="JAV1" t="s">
        <v>6807</v>
      </c>
      <c r="JAW1" t="s">
        <v>6808</v>
      </c>
      <c r="JAX1" t="s">
        <v>6809</v>
      </c>
      <c r="JAY1" t="s">
        <v>6810</v>
      </c>
      <c r="JAZ1" t="s">
        <v>6811</v>
      </c>
      <c r="JBA1" t="s">
        <v>6812</v>
      </c>
      <c r="JBB1" t="s">
        <v>6813</v>
      </c>
      <c r="JBC1" t="s">
        <v>6814</v>
      </c>
      <c r="JBD1" t="s">
        <v>6815</v>
      </c>
      <c r="JBE1" t="s">
        <v>6816</v>
      </c>
      <c r="JBF1" t="s">
        <v>6817</v>
      </c>
      <c r="JBG1" t="s">
        <v>6818</v>
      </c>
      <c r="JBH1" t="s">
        <v>6819</v>
      </c>
      <c r="JBI1" t="s">
        <v>6820</v>
      </c>
      <c r="JBJ1" t="s">
        <v>6821</v>
      </c>
      <c r="JBK1" t="s">
        <v>6822</v>
      </c>
      <c r="JBL1" t="s">
        <v>6823</v>
      </c>
      <c r="JBM1" t="s">
        <v>6824</v>
      </c>
      <c r="JBN1" t="s">
        <v>6825</v>
      </c>
      <c r="JBO1" t="s">
        <v>6826</v>
      </c>
      <c r="JBP1" t="s">
        <v>6827</v>
      </c>
      <c r="JBQ1" t="s">
        <v>6828</v>
      </c>
      <c r="JBR1" t="s">
        <v>6829</v>
      </c>
      <c r="JBS1" t="s">
        <v>6830</v>
      </c>
      <c r="JBT1" t="s">
        <v>6831</v>
      </c>
      <c r="JBU1" t="s">
        <v>6832</v>
      </c>
      <c r="JBV1" t="s">
        <v>6833</v>
      </c>
      <c r="JBW1" t="s">
        <v>6834</v>
      </c>
      <c r="JBX1" t="s">
        <v>6835</v>
      </c>
      <c r="JBY1" t="s">
        <v>6836</v>
      </c>
      <c r="JBZ1" t="s">
        <v>6837</v>
      </c>
      <c r="JCA1" t="s">
        <v>6838</v>
      </c>
      <c r="JCB1" t="s">
        <v>6839</v>
      </c>
      <c r="JCC1" t="s">
        <v>6840</v>
      </c>
      <c r="JCD1" t="s">
        <v>6841</v>
      </c>
      <c r="JCE1" t="s">
        <v>6842</v>
      </c>
      <c r="JCF1" t="s">
        <v>6843</v>
      </c>
      <c r="JCG1" t="s">
        <v>6844</v>
      </c>
      <c r="JCH1" t="s">
        <v>6845</v>
      </c>
      <c r="JCI1" t="s">
        <v>6846</v>
      </c>
      <c r="JCJ1" t="s">
        <v>6847</v>
      </c>
      <c r="JCK1" t="s">
        <v>6848</v>
      </c>
      <c r="JCL1" t="s">
        <v>6849</v>
      </c>
      <c r="JCM1" t="s">
        <v>6850</v>
      </c>
      <c r="JCN1" t="s">
        <v>6851</v>
      </c>
      <c r="JCO1" t="s">
        <v>6852</v>
      </c>
      <c r="JCP1" t="s">
        <v>6853</v>
      </c>
      <c r="JCQ1" t="s">
        <v>6854</v>
      </c>
      <c r="JCR1" t="s">
        <v>6855</v>
      </c>
      <c r="JCS1" t="s">
        <v>6856</v>
      </c>
      <c r="JCT1" t="s">
        <v>6857</v>
      </c>
      <c r="JCU1" t="s">
        <v>6858</v>
      </c>
      <c r="JCV1" t="s">
        <v>6859</v>
      </c>
      <c r="JCW1" t="s">
        <v>6860</v>
      </c>
      <c r="JCX1" t="s">
        <v>6861</v>
      </c>
      <c r="JCY1" t="s">
        <v>6862</v>
      </c>
      <c r="JCZ1" t="s">
        <v>6863</v>
      </c>
      <c r="JDA1" t="s">
        <v>6864</v>
      </c>
      <c r="JDB1" t="s">
        <v>6865</v>
      </c>
      <c r="JDC1" t="s">
        <v>6866</v>
      </c>
      <c r="JDD1" t="s">
        <v>6867</v>
      </c>
      <c r="JDE1" t="s">
        <v>6868</v>
      </c>
      <c r="JDF1" t="s">
        <v>6869</v>
      </c>
      <c r="JDG1" t="s">
        <v>6870</v>
      </c>
      <c r="JDH1" t="s">
        <v>6871</v>
      </c>
      <c r="JDI1" t="s">
        <v>6872</v>
      </c>
      <c r="JDJ1" t="s">
        <v>6873</v>
      </c>
      <c r="JDK1" t="s">
        <v>6874</v>
      </c>
      <c r="JDL1" t="s">
        <v>6875</v>
      </c>
      <c r="JDM1" t="s">
        <v>6876</v>
      </c>
      <c r="JDN1" t="s">
        <v>6877</v>
      </c>
      <c r="JDO1" t="s">
        <v>6878</v>
      </c>
      <c r="JDP1" t="s">
        <v>6879</v>
      </c>
      <c r="JDQ1" t="s">
        <v>6880</v>
      </c>
      <c r="JDR1" t="s">
        <v>6881</v>
      </c>
      <c r="JDS1" t="s">
        <v>6882</v>
      </c>
      <c r="JDT1" t="s">
        <v>6883</v>
      </c>
      <c r="JDU1" t="s">
        <v>6884</v>
      </c>
      <c r="JDV1" t="s">
        <v>6885</v>
      </c>
      <c r="JDW1" t="s">
        <v>6886</v>
      </c>
      <c r="JDX1" t="s">
        <v>6887</v>
      </c>
      <c r="JDY1" t="s">
        <v>6888</v>
      </c>
      <c r="JDZ1" t="s">
        <v>6889</v>
      </c>
      <c r="JEA1" t="s">
        <v>6890</v>
      </c>
      <c r="JEB1" t="s">
        <v>6891</v>
      </c>
      <c r="JEC1" t="s">
        <v>6892</v>
      </c>
      <c r="JED1" t="s">
        <v>6893</v>
      </c>
      <c r="JEE1" t="s">
        <v>6894</v>
      </c>
      <c r="JEF1" t="s">
        <v>6895</v>
      </c>
      <c r="JEG1" t="s">
        <v>6896</v>
      </c>
      <c r="JEH1" t="s">
        <v>6897</v>
      </c>
      <c r="JEI1" t="s">
        <v>6898</v>
      </c>
      <c r="JEJ1" t="s">
        <v>6899</v>
      </c>
      <c r="JEK1" t="s">
        <v>6900</v>
      </c>
      <c r="JEL1" t="s">
        <v>6901</v>
      </c>
      <c r="JEM1" t="s">
        <v>6902</v>
      </c>
      <c r="JEN1" t="s">
        <v>6903</v>
      </c>
      <c r="JEO1" t="s">
        <v>6904</v>
      </c>
      <c r="JEP1" t="s">
        <v>6905</v>
      </c>
      <c r="JEQ1" t="s">
        <v>6906</v>
      </c>
      <c r="JER1" t="s">
        <v>6907</v>
      </c>
      <c r="JES1" t="s">
        <v>6908</v>
      </c>
      <c r="JET1" t="s">
        <v>6909</v>
      </c>
      <c r="JEU1" t="s">
        <v>6910</v>
      </c>
      <c r="JEV1" t="s">
        <v>6911</v>
      </c>
      <c r="JEW1" t="s">
        <v>6912</v>
      </c>
      <c r="JEX1" t="s">
        <v>6913</v>
      </c>
      <c r="JEY1" t="s">
        <v>6914</v>
      </c>
      <c r="JEZ1" t="s">
        <v>6915</v>
      </c>
      <c r="JFA1" t="s">
        <v>6916</v>
      </c>
      <c r="JFB1" t="s">
        <v>6917</v>
      </c>
      <c r="JFC1" t="s">
        <v>6918</v>
      </c>
      <c r="JFD1" t="s">
        <v>6919</v>
      </c>
      <c r="JFE1" t="s">
        <v>6920</v>
      </c>
      <c r="JFF1" t="s">
        <v>6921</v>
      </c>
      <c r="JFG1" t="s">
        <v>6922</v>
      </c>
      <c r="JFH1" t="s">
        <v>6923</v>
      </c>
      <c r="JFI1" t="s">
        <v>6924</v>
      </c>
      <c r="JFJ1" t="s">
        <v>6925</v>
      </c>
      <c r="JFK1" t="s">
        <v>6926</v>
      </c>
      <c r="JFL1" t="s">
        <v>6927</v>
      </c>
      <c r="JFM1" t="s">
        <v>6928</v>
      </c>
      <c r="JFN1" t="s">
        <v>6929</v>
      </c>
      <c r="JFO1" t="s">
        <v>6930</v>
      </c>
      <c r="JFP1" t="s">
        <v>6931</v>
      </c>
      <c r="JFQ1" t="s">
        <v>6932</v>
      </c>
      <c r="JFR1" t="s">
        <v>6933</v>
      </c>
      <c r="JFS1" t="s">
        <v>6934</v>
      </c>
      <c r="JFT1" t="s">
        <v>6935</v>
      </c>
      <c r="JFU1" t="s">
        <v>6936</v>
      </c>
      <c r="JFV1" t="s">
        <v>6937</v>
      </c>
      <c r="JFW1" t="s">
        <v>6938</v>
      </c>
      <c r="JFX1" t="s">
        <v>6939</v>
      </c>
      <c r="JFY1" t="s">
        <v>6940</v>
      </c>
      <c r="JFZ1" t="s">
        <v>6941</v>
      </c>
      <c r="JGA1" t="s">
        <v>6942</v>
      </c>
      <c r="JGB1" t="s">
        <v>6943</v>
      </c>
      <c r="JGC1" t="s">
        <v>6944</v>
      </c>
      <c r="JGD1" t="s">
        <v>6945</v>
      </c>
      <c r="JGE1" t="s">
        <v>6946</v>
      </c>
      <c r="JGF1" t="s">
        <v>6947</v>
      </c>
      <c r="JGG1" t="s">
        <v>6948</v>
      </c>
      <c r="JGH1" t="s">
        <v>6949</v>
      </c>
      <c r="JGI1" t="s">
        <v>6950</v>
      </c>
      <c r="JGJ1" t="s">
        <v>6951</v>
      </c>
      <c r="JGK1" t="s">
        <v>6952</v>
      </c>
      <c r="JGL1" t="s">
        <v>6953</v>
      </c>
      <c r="JGM1" t="s">
        <v>6954</v>
      </c>
      <c r="JGN1" t="s">
        <v>6955</v>
      </c>
      <c r="JGO1" t="s">
        <v>6956</v>
      </c>
      <c r="JGP1" t="s">
        <v>6957</v>
      </c>
      <c r="JGQ1" t="s">
        <v>6958</v>
      </c>
      <c r="JGR1" t="s">
        <v>6959</v>
      </c>
      <c r="JGS1" t="s">
        <v>6960</v>
      </c>
      <c r="JGT1" t="s">
        <v>6961</v>
      </c>
      <c r="JGU1" t="s">
        <v>6962</v>
      </c>
      <c r="JGV1" t="s">
        <v>6963</v>
      </c>
      <c r="JGW1" t="s">
        <v>6964</v>
      </c>
      <c r="JGX1" t="s">
        <v>6965</v>
      </c>
      <c r="JGY1" t="s">
        <v>6966</v>
      </c>
      <c r="JGZ1" t="s">
        <v>6967</v>
      </c>
      <c r="JHA1" t="s">
        <v>6968</v>
      </c>
      <c r="JHB1" t="s">
        <v>6969</v>
      </c>
      <c r="JHC1" t="s">
        <v>6970</v>
      </c>
      <c r="JHD1" t="s">
        <v>6971</v>
      </c>
      <c r="JHE1" t="s">
        <v>6972</v>
      </c>
      <c r="JHF1" t="s">
        <v>6973</v>
      </c>
      <c r="JHG1" t="s">
        <v>6974</v>
      </c>
      <c r="JHH1" t="s">
        <v>6975</v>
      </c>
      <c r="JHI1" t="s">
        <v>6976</v>
      </c>
      <c r="JHJ1" t="s">
        <v>6977</v>
      </c>
      <c r="JHK1" t="s">
        <v>6978</v>
      </c>
      <c r="JHL1" t="s">
        <v>6979</v>
      </c>
      <c r="JHM1" t="s">
        <v>6980</v>
      </c>
      <c r="JHN1" t="s">
        <v>6981</v>
      </c>
      <c r="JHO1" t="s">
        <v>6982</v>
      </c>
      <c r="JHP1" t="s">
        <v>6983</v>
      </c>
      <c r="JHQ1" t="s">
        <v>6984</v>
      </c>
      <c r="JHR1" t="s">
        <v>6985</v>
      </c>
      <c r="JHS1" t="s">
        <v>6986</v>
      </c>
      <c r="JHT1" t="s">
        <v>6987</v>
      </c>
      <c r="JHU1" t="s">
        <v>6988</v>
      </c>
      <c r="JHV1" t="s">
        <v>6989</v>
      </c>
      <c r="JHW1" t="s">
        <v>6990</v>
      </c>
      <c r="JHX1" t="s">
        <v>6991</v>
      </c>
      <c r="JHY1" t="s">
        <v>6992</v>
      </c>
      <c r="JHZ1" t="s">
        <v>6993</v>
      </c>
      <c r="JIA1" t="s">
        <v>6994</v>
      </c>
      <c r="JIB1" t="s">
        <v>6995</v>
      </c>
      <c r="JIC1" t="s">
        <v>6996</v>
      </c>
      <c r="JID1" t="s">
        <v>6997</v>
      </c>
      <c r="JIE1" t="s">
        <v>6998</v>
      </c>
      <c r="JIF1" t="s">
        <v>6999</v>
      </c>
      <c r="JIG1" t="s">
        <v>7000</v>
      </c>
      <c r="JIH1" t="s">
        <v>7001</v>
      </c>
      <c r="JII1" t="s">
        <v>7002</v>
      </c>
      <c r="JIJ1" t="s">
        <v>7003</v>
      </c>
      <c r="JIK1" t="s">
        <v>7004</v>
      </c>
      <c r="JIL1" t="s">
        <v>7005</v>
      </c>
      <c r="JIM1" t="s">
        <v>7006</v>
      </c>
      <c r="JIN1" t="s">
        <v>7007</v>
      </c>
      <c r="JIO1" t="s">
        <v>7008</v>
      </c>
      <c r="JIP1" t="s">
        <v>7009</v>
      </c>
      <c r="JIQ1" t="s">
        <v>7010</v>
      </c>
      <c r="JIR1" t="s">
        <v>7011</v>
      </c>
      <c r="JIS1" t="s">
        <v>7012</v>
      </c>
      <c r="JIT1" t="s">
        <v>7013</v>
      </c>
      <c r="JIU1" t="s">
        <v>7014</v>
      </c>
      <c r="JIV1" t="s">
        <v>7015</v>
      </c>
      <c r="JIW1" t="s">
        <v>7016</v>
      </c>
      <c r="JIX1" t="s">
        <v>7017</v>
      </c>
      <c r="JIY1" t="s">
        <v>7018</v>
      </c>
      <c r="JIZ1" t="s">
        <v>7019</v>
      </c>
      <c r="JJA1" t="s">
        <v>7020</v>
      </c>
      <c r="JJB1" t="s">
        <v>7021</v>
      </c>
      <c r="JJC1" t="s">
        <v>7022</v>
      </c>
      <c r="JJD1" t="s">
        <v>7023</v>
      </c>
      <c r="JJE1" t="s">
        <v>7024</v>
      </c>
      <c r="JJF1" t="s">
        <v>7025</v>
      </c>
      <c r="JJG1" t="s">
        <v>7026</v>
      </c>
      <c r="JJH1" t="s">
        <v>7027</v>
      </c>
      <c r="JJI1" t="s">
        <v>7028</v>
      </c>
      <c r="JJJ1" t="s">
        <v>7029</v>
      </c>
      <c r="JJK1" t="s">
        <v>7030</v>
      </c>
      <c r="JJL1" t="s">
        <v>7031</v>
      </c>
      <c r="JJM1" t="s">
        <v>7032</v>
      </c>
      <c r="JJN1" t="s">
        <v>7033</v>
      </c>
      <c r="JJO1" t="s">
        <v>7034</v>
      </c>
      <c r="JJP1" t="s">
        <v>7035</v>
      </c>
      <c r="JJQ1" t="s">
        <v>7036</v>
      </c>
      <c r="JJR1" t="s">
        <v>7037</v>
      </c>
      <c r="JJS1" t="s">
        <v>7038</v>
      </c>
      <c r="JJT1" t="s">
        <v>7039</v>
      </c>
      <c r="JJU1" t="s">
        <v>7040</v>
      </c>
      <c r="JJV1" t="s">
        <v>7041</v>
      </c>
      <c r="JJW1" t="s">
        <v>7042</v>
      </c>
      <c r="JJX1" t="s">
        <v>7043</v>
      </c>
      <c r="JJY1" t="s">
        <v>7044</v>
      </c>
      <c r="JJZ1" t="s">
        <v>7045</v>
      </c>
      <c r="JKA1" t="s">
        <v>7046</v>
      </c>
      <c r="JKB1" t="s">
        <v>7047</v>
      </c>
      <c r="JKC1" t="s">
        <v>7048</v>
      </c>
      <c r="JKD1" t="s">
        <v>7049</v>
      </c>
      <c r="JKE1" t="s">
        <v>7050</v>
      </c>
      <c r="JKF1" t="s">
        <v>7051</v>
      </c>
      <c r="JKG1" t="s">
        <v>7052</v>
      </c>
      <c r="JKH1" t="s">
        <v>7053</v>
      </c>
      <c r="JKI1" t="s">
        <v>7054</v>
      </c>
      <c r="JKJ1" t="s">
        <v>7055</v>
      </c>
      <c r="JKK1" t="s">
        <v>7056</v>
      </c>
      <c r="JKL1" t="s">
        <v>7057</v>
      </c>
      <c r="JKM1" t="s">
        <v>7058</v>
      </c>
      <c r="JKN1" t="s">
        <v>7059</v>
      </c>
      <c r="JKO1" t="s">
        <v>7060</v>
      </c>
      <c r="JKP1" t="s">
        <v>7061</v>
      </c>
      <c r="JKQ1" t="s">
        <v>7062</v>
      </c>
      <c r="JKR1" t="s">
        <v>7063</v>
      </c>
      <c r="JKS1" t="s">
        <v>7064</v>
      </c>
      <c r="JKT1" t="s">
        <v>7065</v>
      </c>
      <c r="JKU1" t="s">
        <v>7066</v>
      </c>
      <c r="JKV1" t="s">
        <v>7067</v>
      </c>
      <c r="JKW1" t="s">
        <v>7068</v>
      </c>
      <c r="JKX1" t="s">
        <v>7069</v>
      </c>
      <c r="JKY1" t="s">
        <v>7070</v>
      </c>
      <c r="JKZ1" t="s">
        <v>7071</v>
      </c>
      <c r="JLA1" t="s">
        <v>7072</v>
      </c>
      <c r="JLB1" t="s">
        <v>7073</v>
      </c>
      <c r="JLC1" t="s">
        <v>7074</v>
      </c>
      <c r="JLD1" t="s">
        <v>7075</v>
      </c>
      <c r="JLE1" t="s">
        <v>7076</v>
      </c>
      <c r="JLF1" t="s">
        <v>7077</v>
      </c>
      <c r="JLG1" t="s">
        <v>7078</v>
      </c>
      <c r="JLH1" t="s">
        <v>7079</v>
      </c>
      <c r="JLI1" t="s">
        <v>7080</v>
      </c>
      <c r="JLJ1" t="s">
        <v>7081</v>
      </c>
      <c r="JLK1" t="s">
        <v>7082</v>
      </c>
      <c r="JLL1" t="s">
        <v>7083</v>
      </c>
      <c r="JLM1" t="s">
        <v>7084</v>
      </c>
      <c r="JLN1" t="s">
        <v>7085</v>
      </c>
      <c r="JLO1" t="s">
        <v>7086</v>
      </c>
      <c r="JLP1" t="s">
        <v>7087</v>
      </c>
      <c r="JLQ1" t="s">
        <v>7088</v>
      </c>
      <c r="JLR1" t="s">
        <v>7089</v>
      </c>
      <c r="JLS1" t="s">
        <v>7090</v>
      </c>
      <c r="JLT1" t="s">
        <v>7091</v>
      </c>
      <c r="JLU1" t="s">
        <v>7092</v>
      </c>
      <c r="JLV1" t="s">
        <v>7093</v>
      </c>
      <c r="JLW1" t="s">
        <v>7094</v>
      </c>
      <c r="JLX1" t="s">
        <v>7095</v>
      </c>
      <c r="JLY1" t="s">
        <v>7096</v>
      </c>
      <c r="JLZ1" t="s">
        <v>7097</v>
      </c>
      <c r="JMA1" t="s">
        <v>7098</v>
      </c>
      <c r="JMB1" t="s">
        <v>7099</v>
      </c>
      <c r="JMC1" t="s">
        <v>7100</v>
      </c>
      <c r="JMD1" t="s">
        <v>7101</v>
      </c>
      <c r="JME1" t="s">
        <v>7102</v>
      </c>
      <c r="JMF1" t="s">
        <v>7103</v>
      </c>
      <c r="JMG1" t="s">
        <v>7104</v>
      </c>
      <c r="JMH1" t="s">
        <v>7105</v>
      </c>
      <c r="JMI1" t="s">
        <v>7106</v>
      </c>
      <c r="JMJ1" t="s">
        <v>7107</v>
      </c>
      <c r="JMK1" t="s">
        <v>7108</v>
      </c>
      <c r="JML1" t="s">
        <v>7109</v>
      </c>
      <c r="JMM1" t="s">
        <v>7110</v>
      </c>
      <c r="JMN1" t="s">
        <v>7111</v>
      </c>
      <c r="JMO1" t="s">
        <v>7112</v>
      </c>
      <c r="JMP1" t="s">
        <v>7113</v>
      </c>
      <c r="JMQ1" t="s">
        <v>7114</v>
      </c>
      <c r="JMR1" t="s">
        <v>7115</v>
      </c>
      <c r="JMS1" t="s">
        <v>7116</v>
      </c>
      <c r="JMT1" t="s">
        <v>7117</v>
      </c>
      <c r="JMU1" t="s">
        <v>7118</v>
      </c>
      <c r="JMV1" t="s">
        <v>7119</v>
      </c>
      <c r="JMW1" t="s">
        <v>7120</v>
      </c>
      <c r="JMX1" t="s">
        <v>7121</v>
      </c>
      <c r="JMY1" t="s">
        <v>7122</v>
      </c>
      <c r="JMZ1" t="s">
        <v>7123</v>
      </c>
      <c r="JNA1" t="s">
        <v>7124</v>
      </c>
      <c r="JNB1" t="s">
        <v>7125</v>
      </c>
      <c r="JNC1" t="s">
        <v>7126</v>
      </c>
      <c r="JND1" t="s">
        <v>7127</v>
      </c>
      <c r="JNE1" t="s">
        <v>7128</v>
      </c>
      <c r="JNF1" t="s">
        <v>7129</v>
      </c>
      <c r="JNG1" t="s">
        <v>7130</v>
      </c>
      <c r="JNH1" t="s">
        <v>7131</v>
      </c>
      <c r="JNI1" t="s">
        <v>7132</v>
      </c>
      <c r="JNJ1" t="s">
        <v>7133</v>
      </c>
      <c r="JNK1" t="s">
        <v>7134</v>
      </c>
      <c r="JNL1" t="s">
        <v>7135</v>
      </c>
      <c r="JNM1" t="s">
        <v>7136</v>
      </c>
      <c r="JNN1" t="s">
        <v>7137</v>
      </c>
      <c r="JNO1" t="s">
        <v>7138</v>
      </c>
      <c r="JNP1" t="s">
        <v>7139</v>
      </c>
      <c r="JNQ1" t="s">
        <v>7140</v>
      </c>
      <c r="JNR1" t="s">
        <v>7141</v>
      </c>
      <c r="JNS1" t="s">
        <v>7142</v>
      </c>
      <c r="JNT1" t="s">
        <v>7143</v>
      </c>
      <c r="JNU1" t="s">
        <v>7144</v>
      </c>
      <c r="JNV1" t="s">
        <v>7145</v>
      </c>
      <c r="JNW1" t="s">
        <v>7146</v>
      </c>
      <c r="JNX1" t="s">
        <v>7147</v>
      </c>
      <c r="JNY1" t="s">
        <v>7148</v>
      </c>
      <c r="JNZ1" t="s">
        <v>7149</v>
      </c>
      <c r="JOA1" t="s">
        <v>7150</v>
      </c>
      <c r="JOB1" t="s">
        <v>7151</v>
      </c>
      <c r="JOC1" t="s">
        <v>7152</v>
      </c>
      <c r="JOD1" t="s">
        <v>7153</v>
      </c>
      <c r="JOE1" t="s">
        <v>7154</v>
      </c>
      <c r="JOF1" t="s">
        <v>7155</v>
      </c>
      <c r="JOG1" t="s">
        <v>7156</v>
      </c>
      <c r="JOH1" t="s">
        <v>7157</v>
      </c>
      <c r="JOI1" t="s">
        <v>7158</v>
      </c>
      <c r="JOJ1" t="s">
        <v>7159</v>
      </c>
      <c r="JOK1" t="s">
        <v>7160</v>
      </c>
      <c r="JOL1" t="s">
        <v>7161</v>
      </c>
      <c r="JOM1" t="s">
        <v>7162</v>
      </c>
      <c r="JON1" t="s">
        <v>7163</v>
      </c>
      <c r="JOO1" t="s">
        <v>7164</v>
      </c>
      <c r="JOP1" t="s">
        <v>7165</v>
      </c>
      <c r="JOQ1" t="s">
        <v>7166</v>
      </c>
      <c r="JOR1" t="s">
        <v>7167</v>
      </c>
      <c r="JOS1" t="s">
        <v>7168</v>
      </c>
      <c r="JOT1" t="s">
        <v>7169</v>
      </c>
      <c r="JOU1" t="s">
        <v>7170</v>
      </c>
      <c r="JOV1" t="s">
        <v>7171</v>
      </c>
      <c r="JOW1" t="s">
        <v>7172</v>
      </c>
      <c r="JOX1" t="s">
        <v>7173</v>
      </c>
      <c r="JOY1" t="s">
        <v>7174</v>
      </c>
      <c r="JOZ1" t="s">
        <v>7175</v>
      </c>
      <c r="JPA1" t="s">
        <v>7176</v>
      </c>
      <c r="JPB1" t="s">
        <v>7177</v>
      </c>
      <c r="JPC1" t="s">
        <v>7178</v>
      </c>
      <c r="JPD1" t="s">
        <v>7179</v>
      </c>
      <c r="JPE1" t="s">
        <v>7180</v>
      </c>
      <c r="JPF1" t="s">
        <v>7181</v>
      </c>
      <c r="JPG1" t="s">
        <v>7182</v>
      </c>
      <c r="JPH1" t="s">
        <v>7183</v>
      </c>
      <c r="JPI1" t="s">
        <v>7184</v>
      </c>
      <c r="JPJ1" t="s">
        <v>7185</v>
      </c>
      <c r="JPK1" t="s">
        <v>7186</v>
      </c>
      <c r="JPL1" t="s">
        <v>7187</v>
      </c>
      <c r="JPM1" t="s">
        <v>7188</v>
      </c>
      <c r="JPN1" t="s">
        <v>7189</v>
      </c>
      <c r="JPO1" t="s">
        <v>7190</v>
      </c>
      <c r="JPP1" t="s">
        <v>7191</v>
      </c>
      <c r="JPQ1" t="s">
        <v>7192</v>
      </c>
      <c r="JPR1" t="s">
        <v>7193</v>
      </c>
      <c r="JPS1" t="s">
        <v>7194</v>
      </c>
      <c r="JPT1" t="s">
        <v>7195</v>
      </c>
      <c r="JPU1" t="s">
        <v>7196</v>
      </c>
      <c r="JPV1" t="s">
        <v>7197</v>
      </c>
      <c r="JPW1" t="s">
        <v>7198</v>
      </c>
      <c r="JPX1" t="s">
        <v>7199</v>
      </c>
      <c r="JPY1" t="s">
        <v>7200</v>
      </c>
      <c r="JPZ1" t="s">
        <v>7201</v>
      </c>
      <c r="JQA1" t="s">
        <v>7202</v>
      </c>
      <c r="JQB1" t="s">
        <v>7203</v>
      </c>
      <c r="JQC1" t="s">
        <v>7204</v>
      </c>
      <c r="JQD1" t="s">
        <v>7205</v>
      </c>
      <c r="JQE1" t="s">
        <v>7206</v>
      </c>
      <c r="JQF1" t="s">
        <v>7207</v>
      </c>
      <c r="JQG1" t="s">
        <v>7208</v>
      </c>
      <c r="JQH1" t="s">
        <v>7209</v>
      </c>
      <c r="JQI1" t="s">
        <v>7210</v>
      </c>
      <c r="JQJ1" t="s">
        <v>7211</v>
      </c>
      <c r="JQK1" t="s">
        <v>7212</v>
      </c>
      <c r="JQL1" t="s">
        <v>7213</v>
      </c>
      <c r="JQM1" t="s">
        <v>7214</v>
      </c>
      <c r="JQN1" t="s">
        <v>7215</v>
      </c>
      <c r="JQO1" t="s">
        <v>7216</v>
      </c>
      <c r="JQP1" t="s">
        <v>7217</v>
      </c>
      <c r="JQQ1" t="s">
        <v>7218</v>
      </c>
      <c r="JQR1" t="s">
        <v>7219</v>
      </c>
      <c r="JQS1" t="s">
        <v>7220</v>
      </c>
      <c r="JQT1" t="s">
        <v>7221</v>
      </c>
      <c r="JQU1" t="s">
        <v>7222</v>
      </c>
      <c r="JQV1" t="s">
        <v>7223</v>
      </c>
      <c r="JQW1" t="s">
        <v>7224</v>
      </c>
      <c r="JQX1" t="s">
        <v>7225</v>
      </c>
      <c r="JQY1" t="s">
        <v>7226</v>
      </c>
      <c r="JQZ1" t="s">
        <v>7227</v>
      </c>
      <c r="JRA1" t="s">
        <v>7228</v>
      </c>
      <c r="JRB1" t="s">
        <v>7229</v>
      </c>
      <c r="JRC1" t="s">
        <v>7230</v>
      </c>
      <c r="JRD1" t="s">
        <v>7231</v>
      </c>
      <c r="JRE1" t="s">
        <v>7232</v>
      </c>
      <c r="JRF1" t="s">
        <v>7233</v>
      </c>
      <c r="JRG1" t="s">
        <v>7234</v>
      </c>
      <c r="JRH1" t="s">
        <v>7235</v>
      </c>
      <c r="JRI1" t="s">
        <v>7236</v>
      </c>
      <c r="JRJ1" t="s">
        <v>7237</v>
      </c>
      <c r="JRK1" t="s">
        <v>7238</v>
      </c>
      <c r="JRL1" t="s">
        <v>7239</v>
      </c>
      <c r="JRM1" t="s">
        <v>7240</v>
      </c>
      <c r="JRN1" t="s">
        <v>7241</v>
      </c>
      <c r="JRO1" t="s">
        <v>7242</v>
      </c>
      <c r="JRP1" t="s">
        <v>7243</v>
      </c>
      <c r="JRQ1" t="s">
        <v>7244</v>
      </c>
      <c r="JRR1" t="s">
        <v>7245</v>
      </c>
      <c r="JRS1" t="s">
        <v>7246</v>
      </c>
      <c r="JRT1" t="s">
        <v>7247</v>
      </c>
      <c r="JRU1" t="s">
        <v>7248</v>
      </c>
      <c r="JRV1" t="s">
        <v>7249</v>
      </c>
      <c r="JRW1" t="s">
        <v>7250</v>
      </c>
      <c r="JRX1" t="s">
        <v>7251</v>
      </c>
      <c r="JRY1" t="s">
        <v>7252</v>
      </c>
      <c r="JRZ1" t="s">
        <v>7253</v>
      </c>
      <c r="JSA1" t="s">
        <v>7254</v>
      </c>
      <c r="JSB1" t="s">
        <v>7255</v>
      </c>
      <c r="JSC1" t="s">
        <v>7256</v>
      </c>
      <c r="JSD1" t="s">
        <v>7257</v>
      </c>
      <c r="JSE1" t="s">
        <v>7258</v>
      </c>
      <c r="JSF1" t="s">
        <v>7259</v>
      </c>
      <c r="JSG1" t="s">
        <v>7260</v>
      </c>
      <c r="JSH1" t="s">
        <v>7261</v>
      </c>
      <c r="JSI1" t="s">
        <v>7262</v>
      </c>
      <c r="JSJ1" t="s">
        <v>7263</v>
      </c>
      <c r="JSK1" t="s">
        <v>7264</v>
      </c>
      <c r="JSL1" t="s">
        <v>7265</v>
      </c>
      <c r="JSM1" t="s">
        <v>7266</v>
      </c>
      <c r="JSN1" t="s">
        <v>7267</v>
      </c>
      <c r="JSO1" t="s">
        <v>7268</v>
      </c>
      <c r="JSP1" t="s">
        <v>7269</v>
      </c>
      <c r="JSQ1" t="s">
        <v>7270</v>
      </c>
      <c r="JSR1" t="s">
        <v>7271</v>
      </c>
      <c r="JSS1" t="s">
        <v>7272</v>
      </c>
      <c r="JST1" t="s">
        <v>7273</v>
      </c>
      <c r="JSU1" t="s">
        <v>7274</v>
      </c>
      <c r="JSV1" t="s">
        <v>7275</v>
      </c>
      <c r="JSW1" t="s">
        <v>7276</v>
      </c>
      <c r="JSX1" t="s">
        <v>7277</v>
      </c>
      <c r="JSY1" t="s">
        <v>7278</v>
      </c>
      <c r="JSZ1" t="s">
        <v>7279</v>
      </c>
      <c r="JTA1" t="s">
        <v>7280</v>
      </c>
      <c r="JTB1" t="s">
        <v>7281</v>
      </c>
      <c r="JTC1" t="s">
        <v>7282</v>
      </c>
      <c r="JTD1" t="s">
        <v>7283</v>
      </c>
      <c r="JTE1" t="s">
        <v>7284</v>
      </c>
      <c r="JTF1" t="s">
        <v>7285</v>
      </c>
      <c r="JTG1" t="s">
        <v>7286</v>
      </c>
      <c r="JTH1" t="s">
        <v>7287</v>
      </c>
      <c r="JTI1" t="s">
        <v>7288</v>
      </c>
      <c r="JTJ1" t="s">
        <v>7289</v>
      </c>
      <c r="JTK1" t="s">
        <v>7290</v>
      </c>
      <c r="JTL1" t="s">
        <v>7291</v>
      </c>
      <c r="JTM1" t="s">
        <v>7292</v>
      </c>
      <c r="JTN1" t="s">
        <v>7293</v>
      </c>
      <c r="JTO1" t="s">
        <v>7294</v>
      </c>
      <c r="JTP1" t="s">
        <v>7295</v>
      </c>
      <c r="JTQ1" t="s">
        <v>7296</v>
      </c>
      <c r="JTR1" t="s">
        <v>7297</v>
      </c>
      <c r="JTS1" t="s">
        <v>7298</v>
      </c>
      <c r="JTT1" t="s">
        <v>7299</v>
      </c>
      <c r="JTU1" t="s">
        <v>7300</v>
      </c>
      <c r="JTV1" t="s">
        <v>7301</v>
      </c>
      <c r="JTW1" t="s">
        <v>7302</v>
      </c>
      <c r="JTX1" t="s">
        <v>7303</v>
      </c>
      <c r="JTY1" t="s">
        <v>7304</v>
      </c>
      <c r="JTZ1" t="s">
        <v>7305</v>
      </c>
      <c r="JUA1" t="s">
        <v>7306</v>
      </c>
      <c r="JUB1" t="s">
        <v>7307</v>
      </c>
      <c r="JUC1" t="s">
        <v>7308</v>
      </c>
      <c r="JUD1" t="s">
        <v>7309</v>
      </c>
      <c r="JUE1" t="s">
        <v>7310</v>
      </c>
      <c r="JUF1" t="s">
        <v>7311</v>
      </c>
      <c r="JUG1" t="s">
        <v>7312</v>
      </c>
      <c r="JUH1" t="s">
        <v>7313</v>
      </c>
      <c r="JUI1" t="s">
        <v>7314</v>
      </c>
      <c r="JUJ1" t="s">
        <v>7315</v>
      </c>
      <c r="JUK1" t="s">
        <v>7316</v>
      </c>
      <c r="JUL1" t="s">
        <v>7317</v>
      </c>
      <c r="JUM1" t="s">
        <v>7318</v>
      </c>
      <c r="JUN1" t="s">
        <v>7319</v>
      </c>
      <c r="JUO1" t="s">
        <v>7320</v>
      </c>
      <c r="JUP1" t="s">
        <v>7321</v>
      </c>
      <c r="JUQ1" t="s">
        <v>7322</v>
      </c>
      <c r="JUR1" t="s">
        <v>7323</v>
      </c>
      <c r="JUS1" t="s">
        <v>7324</v>
      </c>
      <c r="JUT1" t="s">
        <v>7325</v>
      </c>
      <c r="JUU1" t="s">
        <v>7326</v>
      </c>
      <c r="JUV1" t="s">
        <v>7327</v>
      </c>
      <c r="JUW1" t="s">
        <v>7328</v>
      </c>
      <c r="JUX1" t="s">
        <v>7329</v>
      </c>
      <c r="JUY1" t="s">
        <v>7330</v>
      </c>
      <c r="JUZ1" t="s">
        <v>7331</v>
      </c>
      <c r="JVA1" t="s">
        <v>7332</v>
      </c>
      <c r="JVB1" t="s">
        <v>7333</v>
      </c>
      <c r="JVC1" t="s">
        <v>7334</v>
      </c>
      <c r="JVD1" t="s">
        <v>7335</v>
      </c>
      <c r="JVE1" t="s">
        <v>7336</v>
      </c>
      <c r="JVF1" t="s">
        <v>7337</v>
      </c>
      <c r="JVG1" t="s">
        <v>7338</v>
      </c>
      <c r="JVH1" t="s">
        <v>7339</v>
      </c>
      <c r="JVI1" t="s">
        <v>7340</v>
      </c>
      <c r="JVJ1" t="s">
        <v>7341</v>
      </c>
      <c r="JVK1" t="s">
        <v>7342</v>
      </c>
      <c r="JVL1" t="s">
        <v>7343</v>
      </c>
      <c r="JVM1" t="s">
        <v>7344</v>
      </c>
      <c r="JVN1" t="s">
        <v>7345</v>
      </c>
      <c r="JVO1" t="s">
        <v>7346</v>
      </c>
      <c r="JVP1" t="s">
        <v>7347</v>
      </c>
      <c r="JVQ1" t="s">
        <v>7348</v>
      </c>
      <c r="JVR1" t="s">
        <v>7349</v>
      </c>
      <c r="JVS1" t="s">
        <v>7350</v>
      </c>
      <c r="JVT1" t="s">
        <v>7351</v>
      </c>
      <c r="JVU1" t="s">
        <v>7352</v>
      </c>
      <c r="JVV1" t="s">
        <v>7353</v>
      </c>
      <c r="JVW1" t="s">
        <v>7354</v>
      </c>
      <c r="JVX1" t="s">
        <v>7355</v>
      </c>
      <c r="JVY1" t="s">
        <v>7356</v>
      </c>
      <c r="JVZ1" t="s">
        <v>7357</v>
      </c>
      <c r="JWA1" t="s">
        <v>7358</v>
      </c>
      <c r="JWB1" t="s">
        <v>7359</v>
      </c>
      <c r="JWC1" t="s">
        <v>7360</v>
      </c>
      <c r="JWD1" t="s">
        <v>7361</v>
      </c>
      <c r="JWE1" t="s">
        <v>7362</v>
      </c>
      <c r="JWF1" t="s">
        <v>7363</v>
      </c>
      <c r="JWG1" t="s">
        <v>7364</v>
      </c>
      <c r="JWH1" t="s">
        <v>7365</v>
      </c>
      <c r="JWI1" t="s">
        <v>7366</v>
      </c>
      <c r="JWJ1" t="s">
        <v>7367</v>
      </c>
      <c r="JWK1" t="s">
        <v>7368</v>
      </c>
      <c r="JWL1" t="s">
        <v>7369</v>
      </c>
      <c r="JWM1" t="s">
        <v>7370</v>
      </c>
      <c r="JWN1" t="s">
        <v>7371</v>
      </c>
      <c r="JWO1" t="s">
        <v>7372</v>
      </c>
      <c r="JWP1" t="s">
        <v>7373</v>
      </c>
      <c r="JWQ1" t="s">
        <v>7374</v>
      </c>
      <c r="JWR1" t="s">
        <v>7375</v>
      </c>
      <c r="JWS1" t="s">
        <v>7376</v>
      </c>
      <c r="JWT1" t="s">
        <v>7377</v>
      </c>
      <c r="JWU1" t="s">
        <v>7378</v>
      </c>
      <c r="JWV1" t="s">
        <v>7379</v>
      </c>
      <c r="JWW1" t="s">
        <v>7380</v>
      </c>
      <c r="JWX1" t="s">
        <v>7381</v>
      </c>
      <c r="JWY1" t="s">
        <v>7382</v>
      </c>
      <c r="JWZ1" t="s">
        <v>7383</v>
      </c>
      <c r="JXA1" t="s">
        <v>7384</v>
      </c>
      <c r="JXB1" t="s">
        <v>7385</v>
      </c>
      <c r="JXC1" t="s">
        <v>7386</v>
      </c>
      <c r="JXD1" t="s">
        <v>7387</v>
      </c>
      <c r="JXE1" t="s">
        <v>7388</v>
      </c>
      <c r="JXF1" t="s">
        <v>7389</v>
      </c>
      <c r="JXG1" t="s">
        <v>7390</v>
      </c>
      <c r="JXH1" t="s">
        <v>7391</v>
      </c>
      <c r="JXI1" t="s">
        <v>7392</v>
      </c>
      <c r="JXJ1" t="s">
        <v>7393</v>
      </c>
      <c r="JXK1" t="s">
        <v>7394</v>
      </c>
      <c r="JXL1" t="s">
        <v>7395</v>
      </c>
      <c r="JXM1" t="s">
        <v>7396</v>
      </c>
      <c r="JXN1" t="s">
        <v>7397</v>
      </c>
      <c r="JXO1" t="s">
        <v>7398</v>
      </c>
      <c r="JXP1" t="s">
        <v>7399</v>
      </c>
      <c r="JXQ1" t="s">
        <v>7400</v>
      </c>
      <c r="JXR1" t="s">
        <v>7401</v>
      </c>
      <c r="JXS1" t="s">
        <v>7402</v>
      </c>
      <c r="JXT1" t="s">
        <v>7403</v>
      </c>
      <c r="JXU1" t="s">
        <v>7404</v>
      </c>
      <c r="JXV1" t="s">
        <v>7405</v>
      </c>
      <c r="JXW1" t="s">
        <v>7406</v>
      </c>
      <c r="JXX1" t="s">
        <v>7407</v>
      </c>
      <c r="JXY1" t="s">
        <v>7408</v>
      </c>
      <c r="JXZ1" t="s">
        <v>7409</v>
      </c>
      <c r="JYA1" t="s">
        <v>7410</v>
      </c>
      <c r="JYB1" t="s">
        <v>7411</v>
      </c>
      <c r="JYC1" t="s">
        <v>7412</v>
      </c>
      <c r="JYD1" t="s">
        <v>7413</v>
      </c>
      <c r="JYE1" t="s">
        <v>7414</v>
      </c>
      <c r="JYF1" t="s">
        <v>7415</v>
      </c>
      <c r="JYG1" t="s">
        <v>7416</v>
      </c>
      <c r="JYH1" t="s">
        <v>7417</v>
      </c>
      <c r="JYI1" t="s">
        <v>7418</v>
      </c>
      <c r="JYJ1" t="s">
        <v>7419</v>
      </c>
      <c r="JYK1" t="s">
        <v>7420</v>
      </c>
      <c r="JYL1" t="s">
        <v>7421</v>
      </c>
      <c r="JYM1" t="s">
        <v>7422</v>
      </c>
      <c r="JYN1" t="s">
        <v>7423</v>
      </c>
      <c r="JYO1" t="s">
        <v>7424</v>
      </c>
      <c r="JYP1" t="s">
        <v>7425</v>
      </c>
      <c r="JYQ1" t="s">
        <v>7426</v>
      </c>
      <c r="JYR1" t="s">
        <v>7427</v>
      </c>
      <c r="JYS1" t="s">
        <v>7428</v>
      </c>
      <c r="JYT1" t="s">
        <v>7429</v>
      </c>
      <c r="JYU1" t="s">
        <v>7430</v>
      </c>
      <c r="JYV1" t="s">
        <v>7431</v>
      </c>
      <c r="JYW1" t="s">
        <v>7432</v>
      </c>
      <c r="JYX1" t="s">
        <v>7433</v>
      </c>
      <c r="JYY1" t="s">
        <v>7434</v>
      </c>
      <c r="JYZ1" t="s">
        <v>7435</v>
      </c>
      <c r="JZA1" t="s">
        <v>7436</v>
      </c>
      <c r="JZB1" t="s">
        <v>7437</v>
      </c>
      <c r="JZC1" t="s">
        <v>7438</v>
      </c>
      <c r="JZD1" t="s">
        <v>7439</v>
      </c>
      <c r="JZE1" t="s">
        <v>7440</v>
      </c>
      <c r="JZF1" t="s">
        <v>7441</v>
      </c>
      <c r="JZG1" t="s">
        <v>7442</v>
      </c>
      <c r="JZH1" t="s">
        <v>7443</v>
      </c>
      <c r="JZI1" t="s">
        <v>7444</v>
      </c>
      <c r="JZJ1" t="s">
        <v>7445</v>
      </c>
      <c r="JZK1" t="s">
        <v>7446</v>
      </c>
      <c r="JZL1" t="s">
        <v>7447</v>
      </c>
      <c r="JZM1" t="s">
        <v>7448</v>
      </c>
      <c r="JZN1" t="s">
        <v>7449</v>
      </c>
      <c r="JZO1" t="s">
        <v>7450</v>
      </c>
      <c r="JZP1" t="s">
        <v>7451</v>
      </c>
      <c r="JZQ1" t="s">
        <v>7452</v>
      </c>
      <c r="JZR1" t="s">
        <v>7453</v>
      </c>
      <c r="JZS1" t="s">
        <v>7454</v>
      </c>
      <c r="JZT1" t="s">
        <v>7455</v>
      </c>
      <c r="JZU1" t="s">
        <v>7456</v>
      </c>
      <c r="JZV1" t="s">
        <v>7457</v>
      </c>
      <c r="JZW1" t="s">
        <v>7458</v>
      </c>
      <c r="JZX1" t="s">
        <v>7459</v>
      </c>
      <c r="JZY1" t="s">
        <v>7460</v>
      </c>
      <c r="JZZ1" t="s">
        <v>7461</v>
      </c>
      <c r="KAA1" t="s">
        <v>7462</v>
      </c>
      <c r="KAB1" t="s">
        <v>7463</v>
      </c>
      <c r="KAC1" t="s">
        <v>7464</v>
      </c>
      <c r="KAD1" t="s">
        <v>7465</v>
      </c>
      <c r="KAE1" t="s">
        <v>7466</v>
      </c>
      <c r="KAF1" t="s">
        <v>7467</v>
      </c>
      <c r="KAG1" t="s">
        <v>7468</v>
      </c>
      <c r="KAH1" t="s">
        <v>7469</v>
      </c>
      <c r="KAI1" t="s">
        <v>7470</v>
      </c>
      <c r="KAJ1" t="s">
        <v>7471</v>
      </c>
      <c r="KAK1" t="s">
        <v>7472</v>
      </c>
      <c r="KAL1" t="s">
        <v>7473</v>
      </c>
      <c r="KAM1" t="s">
        <v>7474</v>
      </c>
      <c r="KAN1" t="s">
        <v>7475</v>
      </c>
      <c r="KAO1" t="s">
        <v>7476</v>
      </c>
      <c r="KAP1" t="s">
        <v>7477</v>
      </c>
      <c r="KAQ1" t="s">
        <v>7478</v>
      </c>
      <c r="KAR1" t="s">
        <v>7479</v>
      </c>
      <c r="KAS1" t="s">
        <v>7480</v>
      </c>
      <c r="KAT1" t="s">
        <v>7481</v>
      </c>
      <c r="KAU1" t="s">
        <v>7482</v>
      </c>
      <c r="KAV1" t="s">
        <v>7483</v>
      </c>
      <c r="KAW1" t="s">
        <v>7484</v>
      </c>
      <c r="KAX1" t="s">
        <v>7485</v>
      </c>
      <c r="KAY1" t="s">
        <v>7486</v>
      </c>
      <c r="KAZ1" t="s">
        <v>7487</v>
      </c>
      <c r="KBA1" t="s">
        <v>7488</v>
      </c>
      <c r="KBB1" t="s">
        <v>7489</v>
      </c>
      <c r="KBC1" t="s">
        <v>7490</v>
      </c>
      <c r="KBD1" t="s">
        <v>7491</v>
      </c>
      <c r="KBE1" t="s">
        <v>7492</v>
      </c>
      <c r="KBF1" t="s">
        <v>7493</v>
      </c>
      <c r="KBG1" t="s">
        <v>7494</v>
      </c>
      <c r="KBH1" t="s">
        <v>7495</v>
      </c>
      <c r="KBI1" t="s">
        <v>7496</v>
      </c>
      <c r="KBJ1" t="s">
        <v>7497</v>
      </c>
      <c r="KBK1" t="s">
        <v>7498</v>
      </c>
      <c r="KBL1" t="s">
        <v>7499</v>
      </c>
      <c r="KBM1" t="s">
        <v>7500</v>
      </c>
      <c r="KBN1" t="s">
        <v>7501</v>
      </c>
      <c r="KBO1" t="s">
        <v>7502</v>
      </c>
      <c r="KBP1" t="s">
        <v>7503</v>
      </c>
      <c r="KBQ1" t="s">
        <v>7504</v>
      </c>
      <c r="KBR1" t="s">
        <v>7505</v>
      </c>
      <c r="KBS1" t="s">
        <v>7506</v>
      </c>
      <c r="KBT1" t="s">
        <v>7507</v>
      </c>
      <c r="KBU1" t="s">
        <v>7508</v>
      </c>
      <c r="KBV1" t="s">
        <v>7509</v>
      </c>
      <c r="KBW1" t="s">
        <v>7510</v>
      </c>
      <c r="KBX1" t="s">
        <v>7511</v>
      </c>
      <c r="KBY1" t="s">
        <v>7512</v>
      </c>
      <c r="KBZ1" t="s">
        <v>7513</v>
      </c>
      <c r="KCA1" t="s">
        <v>7514</v>
      </c>
      <c r="KCB1" t="s">
        <v>7515</v>
      </c>
      <c r="KCC1" t="s">
        <v>7516</v>
      </c>
      <c r="KCD1" t="s">
        <v>7517</v>
      </c>
      <c r="KCE1" t="s">
        <v>7518</v>
      </c>
      <c r="KCF1" t="s">
        <v>7519</v>
      </c>
      <c r="KCG1" t="s">
        <v>7520</v>
      </c>
      <c r="KCH1" t="s">
        <v>7521</v>
      </c>
      <c r="KCI1" t="s">
        <v>7522</v>
      </c>
      <c r="KCJ1" t="s">
        <v>7523</v>
      </c>
      <c r="KCK1" t="s">
        <v>7524</v>
      </c>
      <c r="KCL1" t="s">
        <v>7525</v>
      </c>
      <c r="KCM1" t="s">
        <v>7526</v>
      </c>
      <c r="KCN1" t="s">
        <v>7527</v>
      </c>
      <c r="KCO1" t="s">
        <v>7528</v>
      </c>
      <c r="KCP1" t="s">
        <v>7529</v>
      </c>
      <c r="KCQ1" t="s">
        <v>7530</v>
      </c>
      <c r="KCR1" t="s">
        <v>7531</v>
      </c>
      <c r="KCS1" t="s">
        <v>7532</v>
      </c>
      <c r="KCT1" t="s">
        <v>7533</v>
      </c>
      <c r="KCU1" t="s">
        <v>7534</v>
      </c>
      <c r="KCV1" t="s">
        <v>7535</v>
      </c>
      <c r="KCW1" t="s">
        <v>7536</v>
      </c>
      <c r="KCX1" t="s">
        <v>7537</v>
      </c>
      <c r="KCY1" t="s">
        <v>7538</v>
      </c>
      <c r="KCZ1" t="s">
        <v>7539</v>
      </c>
      <c r="KDA1" t="s">
        <v>7540</v>
      </c>
      <c r="KDB1" t="s">
        <v>7541</v>
      </c>
      <c r="KDC1" t="s">
        <v>7542</v>
      </c>
      <c r="KDD1" t="s">
        <v>7543</v>
      </c>
      <c r="KDE1" t="s">
        <v>7544</v>
      </c>
      <c r="KDF1" t="s">
        <v>7545</v>
      </c>
      <c r="KDG1" t="s">
        <v>7546</v>
      </c>
      <c r="KDH1" t="s">
        <v>7547</v>
      </c>
      <c r="KDI1" t="s">
        <v>7548</v>
      </c>
      <c r="KDJ1" t="s">
        <v>7549</v>
      </c>
      <c r="KDK1" t="s">
        <v>7550</v>
      </c>
      <c r="KDL1" t="s">
        <v>7551</v>
      </c>
      <c r="KDM1" t="s">
        <v>7552</v>
      </c>
      <c r="KDN1" t="s">
        <v>7553</v>
      </c>
      <c r="KDO1" t="s">
        <v>7554</v>
      </c>
      <c r="KDP1" t="s">
        <v>7555</v>
      </c>
      <c r="KDQ1" t="s">
        <v>7556</v>
      </c>
      <c r="KDR1" t="s">
        <v>7557</v>
      </c>
      <c r="KDS1" t="s">
        <v>7558</v>
      </c>
      <c r="KDT1" t="s">
        <v>7559</v>
      </c>
      <c r="KDU1" t="s">
        <v>7560</v>
      </c>
      <c r="KDV1" t="s">
        <v>7561</v>
      </c>
      <c r="KDW1" t="s">
        <v>7562</v>
      </c>
      <c r="KDX1" t="s">
        <v>7563</v>
      </c>
      <c r="KDY1" t="s">
        <v>7564</v>
      </c>
      <c r="KDZ1" t="s">
        <v>7565</v>
      </c>
      <c r="KEA1" t="s">
        <v>7566</v>
      </c>
      <c r="KEB1" t="s">
        <v>7567</v>
      </c>
      <c r="KEC1" t="s">
        <v>7568</v>
      </c>
      <c r="KED1" t="s">
        <v>7569</v>
      </c>
      <c r="KEE1" t="s">
        <v>7570</v>
      </c>
      <c r="KEF1" t="s">
        <v>7571</v>
      </c>
      <c r="KEG1" t="s">
        <v>7572</v>
      </c>
      <c r="KEH1" t="s">
        <v>7573</v>
      </c>
      <c r="KEI1" t="s">
        <v>7574</v>
      </c>
      <c r="KEJ1" t="s">
        <v>7575</v>
      </c>
      <c r="KEK1" t="s">
        <v>7576</v>
      </c>
      <c r="KEL1" t="s">
        <v>7577</v>
      </c>
      <c r="KEM1" t="s">
        <v>7578</v>
      </c>
      <c r="KEN1" t="s">
        <v>7579</v>
      </c>
      <c r="KEO1" t="s">
        <v>7580</v>
      </c>
      <c r="KEP1" t="s">
        <v>7581</v>
      </c>
      <c r="KEQ1" t="s">
        <v>7582</v>
      </c>
      <c r="KER1" t="s">
        <v>7583</v>
      </c>
      <c r="KES1" t="s">
        <v>7584</v>
      </c>
      <c r="KET1" t="s">
        <v>7585</v>
      </c>
      <c r="KEU1" t="s">
        <v>7586</v>
      </c>
      <c r="KEV1" t="s">
        <v>7587</v>
      </c>
      <c r="KEW1" t="s">
        <v>7588</v>
      </c>
      <c r="KEX1" t="s">
        <v>7589</v>
      </c>
      <c r="KEY1" t="s">
        <v>7590</v>
      </c>
      <c r="KEZ1" t="s">
        <v>7591</v>
      </c>
      <c r="KFA1" t="s">
        <v>7592</v>
      </c>
      <c r="KFB1" t="s">
        <v>7593</v>
      </c>
      <c r="KFC1" t="s">
        <v>7594</v>
      </c>
      <c r="KFD1" t="s">
        <v>7595</v>
      </c>
      <c r="KFE1" t="s">
        <v>7596</v>
      </c>
      <c r="KFF1" t="s">
        <v>7597</v>
      </c>
      <c r="KFG1" t="s">
        <v>7598</v>
      </c>
      <c r="KFH1" t="s">
        <v>7599</v>
      </c>
      <c r="KFI1" t="s">
        <v>7600</v>
      </c>
      <c r="KFJ1" t="s">
        <v>7601</v>
      </c>
      <c r="KFK1" t="s">
        <v>7602</v>
      </c>
      <c r="KFL1" t="s">
        <v>7603</v>
      </c>
      <c r="KFM1" t="s">
        <v>7604</v>
      </c>
      <c r="KFN1" t="s">
        <v>7605</v>
      </c>
      <c r="KFO1" t="s">
        <v>7606</v>
      </c>
      <c r="KFP1" t="s">
        <v>7607</v>
      </c>
      <c r="KFQ1" t="s">
        <v>7608</v>
      </c>
      <c r="KFR1" t="s">
        <v>7609</v>
      </c>
      <c r="KFS1" t="s">
        <v>7610</v>
      </c>
      <c r="KFT1" t="s">
        <v>7611</v>
      </c>
      <c r="KFU1" t="s">
        <v>7612</v>
      </c>
      <c r="KFV1" t="s">
        <v>7613</v>
      </c>
      <c r="KFW1" t="s">
        <v>7614</v>
      </c>
      <c r="KFX1" t="s">
        <v>7615</v>
      </c>
      <c r="KFY1" t="s">
        <v>7616</v>
      </c>
      <c r="KFZ1" t="s">
        <v>7617</v>
      </c>
      <c r="KGA1" t="s">
        <v>7618</v>
      </c>
      <c r="KGB1" t="s">
        <v>7619</v>
      </c>
      <c r="KGC1" t="s">
        <v>7620</v>
      </c>
      <c r="KGD1" t="s">
        <v>7621</v>
      </c>
      <c r="KGE1" t="s">
        <v>7622</v>
      </c>
      <c r="KGF1" t="s">
        <v>7623</v>
      </c>
      <c r="KGG1" t="s">
        <v>7624</v>
      </c>
      <c r="KGH1" t="s">
        <v>7625</v>
      </c>
      <c r="KGI1" t="s">
        <v>7626</v>
      </c>
      <c r="KGJ1" t="s">
        <v>7627</v>
      </c>
      <c r="KGK1" t="s">
        <v>7628</v>
      </c>
      <c r="KGL1" t="s">
        <v>7629</v>
      </c>
      <c r="KGM1" t="s">
        <v>7630</v>
      </c>
      <c r="KGN1" t="s">
        <v>7631</v>
      </c>
      <c r="KGO1" t="s">
        <v>7632</v>
      </c>
      <c r="KGP1" t="s">
        <v>7633</v>
      </c>
      <c r="KGQ1" t="s">
        <v>7634</v>
      </c>
      <c r="KGR1" t="s">
        <v>7635</v>
      </c>
      <c r="KGS1" t="s">
        <v>7636</v>
      </c>
      <c r="KGT1" t="s">
        <v>7637</v>
      </c>
      <c r="KGU1" t="s">
        <v>7638</v>
      </c>
      <c r="KGV1" t="s">
        <v>7639</v>
      </c>
      <c r="KGW1" t="s">
        <v>7640</v>
      </c>
      <c r="KGX1" t="s">
        <v>7641</v>
      </c>
      <c r="KGY1" t="s">
        <v>7642</v>
      </c>
      <c r="KGZ1" t="s">
        <v>7643</v>
      </c>
      <c r="KHA1" t="s">
        <v>7644</v>
      </c>
      <c r="KHB1" t="s">
        <v>7645</v>
      </c>
      <c r="KHC1" t="s">
        <v>7646</v>
      </c>
      <c r="KHD1" t="s">
        <v>7647</v>
      </c>
      <c r="KHE1" t="s">
        <v>7648</v>
      </c>
      <c r="KHF1" t="s">
        <v>7649</v>
      </c>
      <c r="KHG1" t="s">
        <v>7650</v>
      </c>
      <c r="KHH1" t="s">
        <v>7651</v>
      </c>
      <c r="KHI1" t="s">
        <v>7652</v>
      </c>
      <c r="KHJ1" t="s">
        <v>7653</v>
      </c>
      <c r="KHK1" t="s">
        <v>7654</v>
      </c>
      <c r="KHL1" t="s">
        <v>7655</v>
      </c>
      <c r="KHM1" t="s">
        <v>7656</v>
      </c>
      <c r="KHN1" t="s">
        <v>7657</v>
      </c>
      <c r="KHO1" t="s">
        <v>7658</v>
      </c>
      <c r="KHP1" t="s">
        <v>7659</v>
      </c>
      <c r="KHQ1" t="s">
        <v>7660</v>
      </c>
      <c r="KHR1" t="s">
        <v>7661</v>
      </c>
      <c r="KHS1" t="s">
        <v>7662</v>
      </c>
      <c r="KHT1" t="s">
        <v>7663</v>
      </c>
      <c r="KHU1" t="s">
        <v>7664</v>
      </c>
      <c r="KHV1" t="s">
        <v>7665</v>
      </c>
      <c r="KHW1" t="s">
        <v>7666</v>
      </c>
      <c r="KHX1" t="s">
        <v>7667</v>
      </c>
      <c r="KHY1" t="s">
        <v>7668</v>
      </c>
      <c r="KHZ1" t="s">
        <v>7669</v>
      </c>
      <c r="KIA1" t="s">
        <v>7670</v>
      </c>
      <c r="KIB1" t="s">
        <v>7671</v>
      </c>
      <c r="KIC1" t="s">
        <v>7672</v>
      </c>
      <c r="KID1" t="s">
        <v>7673</v>
      </c>
      <c r="KIE1" t="s">
        <v>7674</v>
      </c>
      <c r="KIF1" t="s">
        <v>7675</v>
      </c>
      <c r="KIG1" t="s">
        <v>7676</v>
      </c>
      <c r="KIH1" t="s">
        <v>7677</v>
      </c>
      <c r="KII1" t="s">
        <v>7678</v>
      </c>
      <c r="KIJ1" t="s">
        <v>7679</v>
      </c>
      <c r="KIK1" t="s">
        <v>7680</v>
      </c>
      <c r="KIL1" t="s">
        <v>7681</v>
      </c>
      <c r="KIM1" t="s">
        <v>7682</v>
      </c>
      <c r="KIN1" t="s">
        <v>7683</v>
      </c>
      <c r="KIO1" t="s">
        <v>7684</v>
      </c>
      <c r="KIP1" t="s">
        <v>7685</v>
      </c>
      <c r="KIQ1" t="s">
        <v>7686</v>
      </c>
      <c r="KIR1" t="s">
        <v>7687</v>
      </c>
      <c r="KIS1" t="s">
        <v>7688</v>
      </c>
      <c r="KIT1" t="s">
        <v>7689</v>
      </c>
      <c r="KIU1" t="s">
        <v>7690</v>
      </c>
      <c r="KIV1" t="s">
        <v>7691</v>
      </c>
      <c r="KIW1" t="s">
        <v>7692</v>
      </c>
      <c r="KIX1" t="s">
        <v>7693</v>
      </c>
      <c r="KIY1" t="s">
        <v>7694</v>
      </c>
      <c r="KIZ1" t="s">
        <v>7695</v>
      </c>
      <c r="KJA1" t="s">
        <v>7696</v>
      </c>
      <c r="KJB1" t="s">
        <v>7697</v>
      </c>
      <c r="KJC1" t="s">
        <v>7698</v>
      </c>
      <c r="KJD1" t="s">
        <v>7699</v>
      </c>
      <c r="KJE1" t="s">
        <v>7700</v>
      </c>
      <c r="KJF1" t="s">
        <v>7701</v>
      </c>
      <c r="KJG1" t="s">
        <v>7702</v>
      </c>
      <c r="KJH1" t="s">
        <v>7703</v>
      </c>
      <c r="KJI1" t="s">
        <v>7704</v>
      </c>
      <c r="KJJ1" t="s">
        <v>7705</v>
      </c>
      <c r="KJK1" t="s">
        <v>7706</v>
      </c>
      <c r="KJL1" t="s">
        <v>7707</v>
      </c>
      <c r="KJM1" t="s">
        <v>7708</v>
      </c>
      <c r="KJN1" t="s">
        <v>7709</v>
      </c>
      <c r="KJO1" t="s">
        <v>7710</v>
      </c>
      <c r="KJP1" t="s">
        <v>7711</v>
      </c>
      <c r="KJQ1" t="s">
        <v>7712</v>
      </c>
      <c r="KJR1" t="s">
        <v>7713</v>
      </c>
      <c r="KJS1" t="s">
        <v>7714</v>
      </c>
      <c r="KJT1" t="s">
        <v>7715</v>
      </c>
      <c r="KJU1" t="s">
        <v>7716</v>
      </c>
      <c r="KJV1" t="s">
        <v>7717</v>
      </c>
      <c r="KJW1" t="s">
        <v>7718</v>
      </c>
      <c r="KJX1" t="s">
        <v>7719</v>
      </c>
      <c r="KJY1" t="s">
        <v>7720</v>
      </c>
      <c r="KJZ1" t="s">
        <v>7721</v>
      </c>
      <c r="KKA1" t="s">
        <v>7722</v>
      </c>
      <c r="KKB1" t="s">
        <v>7723</v>
      </c>
      <c r="KKC1" t="s">
        <v>7724</v>
      </c>
      <c r="KKD1" t="s">
        <v>7725</v>
      </c>
      <c r="KKE1" t="s">
        <v>7726</v>
      </c>
      <c r="KKF1" t="s">
        <v>7727</v>
      </c>
      <c r="KKG1" t="s">
        <v>7728</v>
      </c>
      <c r="KKH1" t="s">
        <v>7729</v>
      </c>
      <c r="KKI1" t="s">
        <v>7730</v>
      </c>
      <c r="KKJ1" t="s">
        <v>7731</v>
      </c>
      <c r="KKK1" t="s">
        <v>7732</v>
      </c>
      <c r="KKL1" t="s">
        <v>7733</v>
      </c>
      <c r="KKM1" t="s">
        <v>7734</v>
      </c>
      <c r="KKN1" t="s">
        <v>7735</v>
      </c>
      <c r="KKO1" t="s">
        <v>7736</v>
      </c>
      <c r="KKP1" t="s">
        <v>7737</v>
      </c>
      <c r="KKQ1" t="s">
        <v>7738</v>
      </c>
      <c r="KKR1" t="s">
        <v>7739</v>
      </c>
      <c r="KKS1" t="s">
        <v>7740</v>
      </c>
      <c r="KKT1" t="s">
        <v>7741</v>
      </c>
      <c r="KKU1" t="s">
        <v>7742</v>
      </c>
      <c r="KKV1" t="s">
        <v>7743</v>
      </c>
      <c r="KKW1" t="s">
        <v>7744</v>
      </c>
      <c r="KKX1" t="s">
        <v>7745</v>
      </c>
      <c r="KKY1" t="s">
        <v>7746</v>
      </c>
      <c r="KKZ1" t="s">
        <v>7747</v>
      </c>
      <c r="KLA1" t="s">
        <v>7748</v>
      </c>
      <c r="KLB1" t="s">
        <v>7749</v>
      </c>
      <c r="KLC1" t="s">
        <v>7750</v>
      </c>
      <c r="KLD1" t="s">
        <v>7751</v>
      </c>
      <c r="KLE1" t="s">
        <v>7752</v>
      </c>
      <c r="KLF1" t="s">
        <v>7753</v>
      </c>
      <c r="KLG1" t="s">
        <v>7754</v>
      </c>
      <c r="KLH1" t="s">
        <v>7755</v>
      </c>
      <c r="KLI1" t="s">
        <v>7756</v>
      </c>
      <c r="KLJ1" t="s">
        <v>7757</v>
      </c>
      <c r="KLK1" t="s">
        <v>7758</v>
      </c>
      <c r="KLL1" t="s">
        <v>7759</v>
      </c>
      <c r="KLM1" t="s">
        <v>7760</v>
      </c>
      <c r="KLN1" t="s">
        <v>7761</v>
      </c>
      <c r="KLO1" t="s">
        <v>7762</v>
      </c>
      <c r="KLP1" t="s">
        <v>7763</v>
      </c>
      <c r="KLQ1" t="s">
        <v>7764</v>
      </c>
      <c r="KLR1" t="s">
        <v>7765</v>
      </c>
      <c r="KLS1" t="s">
        <v>7766</v>
      </c>
      <c r="KLT1" t="s">
        <v>7767</v>
      </c>
      <c r="KLU1" t="s">
        <v>7768</v>
      </c>
      <c r="KLV1" t="s">
        <v>7769</v>
      </c>
      <c r="KLW1" t="s">
        <v>7770</v>
      </c>
      <c r="KLX1" t="s">
        <v>7771</v>
      </c>
      <c r="KLY1" t="s">
        <v>7772</v>
      </c>
      <c r="KLZ1" t="s">
        <v>7773</v>
      </c>
      <c r="KMA1" t="s">
        <v>7774</v>
      </c>
      <c r="KMB1" t="s">
        <v>7775</v>
      </c>
      <c r="KMC1" t="s">
        <v>7776</v>
      </c>
      <c r="KMD1" t="s">
        <v>7777</v>
      </c>
      <c r="KME1" t="s">
        <v>7778</v>
      </c>
      <c r="KMF1" t="s">
        <v>7779</v>
      </c>
      <c r="KMG1" t="s">
        <v>7780</v>
      </c>
      <c r="KMH1" t="s">
        <v>7781</v>
      </c>
      <c r="KMI1" t="s">
        <v>7782</v>
      </c>
      <c r="KMJ1" t="s">
        <v>7783</v>
      </c>
      <c r="KMK1" t="s">
        <v>7784</v>
      </c>
      <c r="KML1" t="s">
        <v>7785</v>
      </c>
      <c r="KMM1" t="s">
        <v>7786</v>
      </c>
      <c r="KMN1" t="s">
        <v>7787</v>
      </c>
      <c r="KMO1" t="s">
        <v>7788</v>
      </c>
      <c r="KMP1" t="s">
        <v>7789</v>
      </c>
      <c r="KMQ1" t="s">
        <v>7790</v>
      </c>
      <c r="KMR1" t="s">
        <v>7791</v>
      </c>
      <c r="KMS1" t="s">
        <v>7792</v>
      </c>
      <c r="KMT1" t="s">
        <v>7793</v>
      </c>
      <c r="KMU1" t="s">
        <v>7794</v>
      </c>
      <c r="KMV1" t="s">
        <v>7795</v>
      </c>
      <c r="KMW1" t="s">
        <v>7796</v>
      </c>
      <c r="KMX1" t="s">
        <v>7797</v>
      </c>
      <c r="KMY1" t="s">
        <v>7798</v>
      </c>
      <c r="KMZ1" t="s">
        <v>7799</v>
      </c>
      <c r="KNA1" t="s">
        <v>7800</v>
      </c>
      <c r="KNB1" t="s">
        <v>7801</v>
      </c>
      <c r="KNC1" t="s">
        <v>7802</v>
      </c>
      <c r="KND1" t="s">
        <v>7803</v>
      </c>
      <c r="KNE1" t="s">
        <v>7804</v>
      </c>
      <c r="KNF1" t="s">
        <v>7805</v>
      </c>
      <c r="KNG1" t="s">
        <v>7806</v>
      </c>
      <c r="KNH1" t="s">
        <v>7807</v>
      </c>
      <c r="KNI1" t="s">
        <v>7808</v>
      </c>
      <c r="KNJ1" t="s">
        <v>7809</v>
      </c>
      <c r="KNK1" t="s">
        <v>7810</v>
      </c>
      <c r="KNL1" t="s">
        <v>7811</v>
      </c>
      <c r="KNM1" t="s">
        <v>7812</v>
      </c>
      <c r="KNN1" t="s">
        <v>7813</v>
      </c>
      <c r="KNO1" t="s">
        <v>7814</v>
      </c>
      <c r="KNP1" t="s">
        <v>7815</v>
      </c>
      <c r="KNQ1" t="s">
        <v>7816</v>
      </c>
      <c r="KNR1" t="s">
        <v>7817</v>
      </c>
      <c r="KNS1" t="s">
        <v>7818</v>
      </c>
      <c r="KNT1" t="s">
        <v>7819</v>
      </c>
      <c r="KNU1" t="s">
        <v>7820</v>
      </c>
      <c r="KNV1" t="s">
        <v>7821</v>
      </c>
      <c r="KNW1" t="s">
        <v>7822</v>
      </c>
      <c r="KNX1" t="s">
        <v>7823</v>
      </c>
      <c r="KNY1" t="s">
        <v>7824</v>
      </c>
      <c r="KNZ1" t="s">
        <v>7825</v>
      </c>
      <c r="KOA1" t="s">
        <v>7826</v>
      </c>
      <c r="KOB1" t="s">
        <v>7827</v>
      </c>
      <c r="KOC1" t="s">
        <v>7828</v>
      </c>
      <c r="KOD1" t="s">
        <v>7829</v>
      </c>
      <c r="KOE1" t="s">
        <v>7830</v>
      </c>
      <c r="KOF1" t="s">
        <v>7831</v>
      </c>
      <c r="KOG1" t="s">
        <v>7832</v>
      </c>
      <c r="KOH1" t="s">
        <v>7833</v>
      </c>
      <c r="KOI1" t="s">
        <v>7834</v>
      </c>
      <c r="KOJ1" t="s">
        <v>7835</v>
      </c>
      <c r="KOK1" t="s">
        <v>7836</v>
      </c>
      <c r="KOL1" t="s">
        <v>7837</v>
      </c>
      <c r="KOM1" t="s">
        <v>7838</v>
      </c>
      <c r="KON1" t="s">
        <v>7839</v>
      </c>
      <c r="KOO1" t="s">
        <v>7840</v>
      </c>
      <c r="KOP1" t="s">
        <v>7841</v>
      </c>
      <c r="KOQ1" t="s">
        <v>7842</v>
      </c>
      <c r="KOR1" t="s">
        <v>7843</v>
      </c>
      <c r="KOS1" t="s">
        <v>7844</v>
      </c>
      <c r="KOT1" t="s">
        <v>7845</v>
      </c>
      <c r="KOU1" t="s">
        <v>7846</v>
      </c>
      <c r="KOV1" t="s">
        <v>7847</v>
      </c>
      <c r="KOW1" t="s">
        <v>7848</v>
      </c>
      <c r="KOX1" t="s">
        <v>7849</v>
      </c>
      <c r="KOY1" t="s">
        <v>7850</v>
      </c>
      <c r="KOZ1" t="s">
        <v>7851</v>
      </c>
      <c r="KPA1" t="s">
        <v>7852</v>
      </c>
      <c r="KPB1" t="s">
        <v>7853</v>
      </c>
      <c r="KPC1" t="s">
        <v>7854</v>
      </c>
      <c r="KPD1" t="s">
        <v>7855</v>
      </c>
      <c r="KPE1" t="s">
        <v>7856</v>
      </c>
      <c r="KPF1" t="s">
        <v>7857</v>
      </c>
      <c r="KPG1" t="s">
        <v>7858</v>
      </c>
      <c r="KPH1" t="s">
        <v>7859</v>
      </c>
      <c r="KPI1" t="s">
        <v>7860</v>
      </c>
      <c r="KPJ1" t="s">
        <v>7861</v>
      </c>
      <c r="KPK1" t="s">
        <v>7862</v>
      </c>
      <c r="KPL1" t="s">
        <v>7863</v>
      </c>
      <c r="KPM1" t="s">
        <v>7864</v>
      </c>
      <c r="KPN1" t="s">
        <v>7865</v>
      </c>
      <c r="KPO1" t="s">
        <v>7866</v>
      </c>
      <c r="KPP1" t="s">
        <v>7867</v>
      </c>
      <c r="KPQ1" t="s">
        <v>7868</v>
      </c>
      <c r="KPR1" t="s">
        <v>7869</v>
      </c>
      <c r="KPS1" t="s">
        <v>7870</v>
      </c>
      <c r="KPT1" t="s">
        <v>7871</v>
      </c>
      <c r="KPU1" t="s">
        <v>7872</v>
      </c>
      <c r="KPV1" t="s">
        <v>7873</v>
      </c>
      <c r="KPW1" t="s">
        <v>7874</v>
      </c>
      <c r="KPX1" t="s">
        <v>7875</v>
      </c>
      <c r="KPY1" t="s">
        <v>7876</v>
      </c>
      <c r="KPZ1" t="s">
        <v>7877</v>
      </c>
      <c r="KQA1" t="s">
        <v>7878</v>
      </c>
      <c r="KQB1" t="s">
        <v>7879</v>
      </c>
      <c r="KQC1" t="s">
        <v>7880</v>
      </c>
      <c r="KQD1" t="s">
        <v>7881</v>
      </c>
      <c r="KQE1" t="s">
        <v>7882</v>
      </c>
      <c r="KQF1" t="s">
        <v>7883</v>
      </c>
      <c r="KQG1" t="s">
        <v>7884</v>
      </c>
      <c r="KQH1" t="s">
        <v>7885</v>
      </c>
      <c r="KQI1" t="s">
        <v>7886</v>
      </c>
      <c r="KQJ1" t="s">
        <v>7887</v>
      </c>
      <c r="KQK1" t="s">
        <v>7888</v>
      </c>
      <c r="KQL1" t="s">
        <v>7889</v>
      </c>
      <c r="KQM1" t="s">
        <v>7890</v>
      </c>
      <c r="KQN1" t="s">
        <v>7891</v>
      </c>
      <c r="KQO1" t="s">
        <v>7892</v>
      </c>
      <c r="KQP1" t="s">
        <v>7893</v>
      </c>
      <c r="KQQ1" t="s">
        <v>7894</v>
      </c>
      <c r="KQR1" t="s">
        <v>7895</v>
      </c>
      <c r="KQS1" t="s">
        <v>7896</v>
      </c>
      <c r="KQT1" t="s">
        <v>7897</v>
      </c>
      <c r="KQU1" t="s">
        <v>7898</v>
      </c>
      <c r="KQV1" t="s">
        <v>7899</v>
      </c>
      <c r="KQW1" t="s">
        <v>7900</v>
      </c>
      <c r="KQX1" t="s">
        <v>7901</v>
      </c>
      <c r="KQY1" t="s">
        <v>7902</v>
      </c>
      <c r="KQZ1" t="s">
        <v>7903</v>
      </c>
      <c r="KRA1" t="s">
        <v>7904</v>
      </c>
      <c r="KRB1" t="s">
        <v>7905</v>
      </c>
      <c r="KRC1" t="s">
        <v>7906</v>
      </c>
      <c r="KRD1" t="s">
        <v>7907</v>
      </c>
      <c r="KRE1" t="s">
        <v>7908</v>
      </c>
      <c r="KRF1" t="s">
        <v>7909</v>
      </c>
      <c r="KRG1" t="s">
        <v>7910</v>
      </c>
      <c r="KRH1" t="s">
        <v>7911</v>
      </c>
      <c r="KRI1" t="s">
        <v>7912</v>
      </c>
      <c r="KRJ1" t="s">
        <v>7913</v>
      </c>
      <c r="KRK1" t="s">
        <v>7914</v>
      </c>
      <c r="KRL1" t="s">
        <v>7915</v>
      </c>
      <c r="KRM1" t="s">
        <v>7916</v>
      </c>
      <c r="KRN1" t="s">
        <v>7917</v>
      </c>
      <c r="KRO1" t="s">
        <v>7918</v>
      </c>
      <c r="KRP1" t="s">
        <v>7919</v>
      </c>
      <c r="KRQ1" t="s">
        <v>7920</v>
      </c>
      <c r="KRR1" t="s">
        <v>7921</v>
      </c>
      <c r="KRS1" t="s">
        <v>7922</v>
      </c>
      <c r="KRT1" t="s">
        <v>7923</v>
      </c>
      <c r="KRU1" t="s">
        <v>7924</v>
      </c>
      <c r="KRV1" t="s">
        <v>7925</v>
      </c>
      <c r="KRW1" t="s">
        <v>7926</v>
      </c>
      <c r="KRX1" t="s">
        <v>7927</v>
      </c>
      <c r="KRY1" t="s">
        <v>7928</v>
      </c>
      <c r="KRZ1" t="s">
        <v>7929</v>
      </c>
      <c r="KSA1" t="s">
        <v>7930</v>
      </c>
      <c r="KSB1" t="s">
        <v>7931</v>
      </c>
      <c r="KSC1" t="s">
        <v>7932</v>
      </c>
      <c r="KSD1" t="s">
        <v>7933</v>
      </c>
      <c r="KSE1" t="s">
        <v>7934</v>
      </c>
      <c r="KSF1" t="s">
        <v>7935</v>
      </c>
      <c r="KSG1" t="s">
        <v>7936</v>
      </c>
      <c r="KSH1" t="s">
        <v>7937</v>
      </c>
      <c r="KSI1" t="s">
        <v>7938</v>
      </c>
      <c r="KSJ1" t="s">
        <v>7939</v>
      </c>
      <c r="KSK1" t="s">
        <v>7940</v>
      </c>
      <c r="KSL1" t="s">
        <v>7941</v>
      </c>
      <c r="KSM1" t="s">
        <v>7942</v>
      </c>
      <c r="KSN1" t="s">
        <v>7943</v>
      </c>
      <c r="KSO1" t="s">
        <v>7944</v>
      </c>
      <c r="KSP1" t="s">
        <v>7945</v>
      </c>
      <c r="KSQ1" t="s">
        <v>7946</v>
      </c>
      <c r="KSR1" t="s">
        <v>7947</v>
      </c>
      <c r="KSS1" t="s">
        <v>7948</v>
      </c>
      <c r="KST1" t="s">
        <v>7949</v>
      </c>
      <c r="KSU1" t="s">
        <v>7950</v>
      </c>
      <c r="KSV1" t="s">
        <v>7951</v>
      </c>
      <c r="KSW1" t="s">
        <v>7952</v>
      </c>
      <c r="KSX1" t="s">
        <v>7953</v>
      </c>
      <c r="KSY1" t="s">
        <v>7954</v>
      </c>
      <c r="KSZ1" t="s">
        <v>7955</v>
      </c>
      <c r="KTA1" t="s">
        <v>7956</v>
      </c>
      <c r="KTB1" t="s">
        <v>7957</v>
      </c>
      <c r="KTC1" t="s">
        <v>7958</v>
      </c>
      <c r="KTD1" t="s">
        <v>7959</v>
      </c>
      <c r="KTE1" t="s">
        <v>7960</v>
      </c>
      <c r="KTF1" t="s">
        <v>7961</v>
      </c>
      <c r="KTG1" t="s">
        <v>7962</v>
      </c>
      <c r="KTH1" t="s">
        <v>7963</v>
      </c>
      <c r="KTI1" t="s">
        <v>7964</v>
      </c>
      <c r="KTJ1" t="s">
        <v>7965</v>
      </c>
      <c r="KTK1" t="s">
        <v>7966</v>
      </c>
      <c r="KTL1" t="s">
        <v>7967</v>
      </c>
      <c r="KTM1" t="s">
        <v>7968</v>
      </c>
      <c r="KTN1" t="s">
        <v>7969</v>
      </c>
      <c r="KTO1" t="s">
        <v>7970</v>
      </c>
      <c r="KTP1" t="s">
        <v>7971</v>
      </c>
      <c r="KTQ1" t="s">
        <v>7972</v>
      </c>
      <c r="KTR1" t="s">
        <v>7973</v>
      </c>
      <c r="KTS1" t="s">
        <v>7974</v>
      </c>
      <c r="KTT1" t="s">
        <v>7975</v>
      </c>
      <c r="KTU1" t="s">
        <v>7976</v>
      </c>
      <c r="KTV1" t="s">
        <v>7977</v>
      </c>
      <c r="KTW1" t="s">
        <v>7978</v>
      </c>
      <c r="KTX1" t="s">
        <v>7979</v>
      </c>
      <c r="KTY1" t="s">
        <v>7980</v>
      </c>
      <c r="KTZ1" t="s">
        <v>7981</v>
      </c>
      <c r="KUA1" t="s">
        <v>7982</v>
      </c>
      <c r="KUB1" t="s">
        <v>7983</v>
      </c>
      <c r="KUC1" t="s">
        <v>7984</v>
      </c>
      <c r="KUD1" t="s">
        <v>7985</v>
      </c>
      <c r="KUE1" t="s">
        <v>7986</v>
      </c>
      <c r="KUF1" t="s">
        <v>7987</v>
      </c>
      <c r="KUG1" t="s">
        <v>7988</v>
      </c>
      <c r="KUH1" t="s">
        <v>7989</v>
      </c>
      <c r="KUI1" t="s">
        <v>7990</v>
      </c>
      <c r="KUJ1" t="s">
        <v>7991</v>
      </c>
      <c r="KUK1" t="s">
        <v>7992</v>
      </c>
      <c r="KUL1" t="s">
        <v>7993</v>
      </c>
      <c r="KUM1" t="s">
        <v>7994</v>
      </c>
      <c r="KUN1" t="s">
        <v>7995</v>
      </c>
      <c r="KUO1" t="s">
        <v>7996</v>
      </c>
      <c r="KUP1" t="s">
        <v>7997</v>
      </c>
      <c r="KUQ1" t="s">
        <v>7998</v>
      </c>
      <c r="KUR1" t="s">
        <v>7999</v>
      </c>
      <c r="KUS1" t="s">
        <v>8000</v>
      </c>
      <c r="KUT1" t="s">
        <v>8001</v>
      </c>
      <c r="KUU1" t="s">
        <v>8002</v>
      </c>
      <c r="KUV1" t="s">
        <v>8003</v>
      </c>
      <c r="KUW1" t="s">
        <v>8004</v>
      </c>
      <c r="KUX1" t="s">
        <v>8005</v>
      </c>
      <c r="KUY1" t="s">
        <v>8006</v>
      </c>
      <c r="KUZ1" t="s">
        <v>8007</v>
      </c>
      <c r="KVA1" t="s">
        <v>8008</v>
      </c>
      <c r="KVB1" t="s">
        <v>8009</v>
      </c>
      <c r="KVC1" t="s">
        <v>8010</v>
      </c>
      <c r="KVD1" t="s">
        <v>8011</v>
      </c>
      <c r="KVE1" t="s">
        <v>8012</v>
      </c>
      <c r="KVF1" t="s">
        <v>8013</v>
      </c>
      <c r="KVG1" t="s">
        <v>8014</v>
      </c>
      <c r="KVH1" t="s">
        <v>8015</v>
      </c>
      <c r="KVI1" t="s">
        <v>8016</v>
      </c>
      <c r="KVJ1" t="s">
        <v>8017</v>
      </c>
      <c r="KVK1" t="s">
        <v>8018</v>
      </c>
      <c r="KVL1" t="s">
        <v>8019</v>
      </c>
      <c r="KVM1" t="s">
        <v>8020</v>
      </c>
      <c r="KVN1" t="s">
        <v>8021</v>
      </c>
      <c r="KVO1" t="s">
        <v>8022</v>
      </c>
      <c r="KVP1" t="s">
        <v>8023</v>
      </c>
      <c r="KVQ1" t="s">
        <v>8024</v>
      </c>
      <c r="KVR1" t="s">
        <v>8025</v>
      </c>
      <c r="KVS1" t="s">
        <v>8026</v>
      </c>
      <c r="KVT1" t="s">
        <v>8027</v>
      </c>
      <c r="KVU1" t="s">
        <v>8028</v>
      </c>
      <c r="KVV1" t="s">
        <v>8029</v>
      </c>
      <c r="KVW1" t="s">
        <v>8030</v>
      </c>
      <c r="KVX1" t="s">
        <v>8031</v>
      </c>
      <c r="KVY1" t="s">
        <v>8032</v>
      </c>
      <c r="KVZ1" t="s">
        <v>8033</v>
      </c>
      <c r="KWA1" t="s">
        <v>8034</v>
      </c>
      <c r="KWB1" t="s">
        <v>8035</v>
      </c>
      <c r="KWC1" t="s">
        <v>8036</v>
      </c>
      <c r="KWD1" t="s">
        <v>8037</v>
      </c>
      <c r="KWE1" t="s">
        <v>8038</v>
      </c>
      <c r="KWF1" t="s">
        <v>8039</v>
      </c>
      <c r="KWG1" t="s">
        <v>8040</v>
      </c>
      <c r="KWH1" t="s">
        <v>8041</v>
      </c>
      <c r="KWI1" t="s">
        <v>8042</v>
      </c>
      <c r="KWJ1" t="s">
        <v>8043</v>
      </c>
      <c r="KWK1" t="s">
        <v>8044</v>
      </c>
      <c r="KWL1" t="s">
        <v>8045</v>
      </c>
      <c r="KWM1" t="s">
        <v>8046</v>
      </c>
      <c r="KWN1" t="s">
        <v>8047</v>
      </c>
      <c r="KWO1" t="s">
        <v>8048</v>
      </c>
      <c r="KWP1" t="s">
        <v>8049</v>
      </c>
      <c r="KWQ1" t="s">
        <v>8050</v>
      </c>
      <c r="KWR1" t="s">
        <v>8051</v>
      </c>
      <c r="KWS1" t="s">
        <v>8052</v>
      </c>
      <c r="KWT1" t="s">
        <v>8053</v>
      </c>
      <c r="KWU1" t="s">
        <v>8054</v>
      </c>
      <c r="KWV1" t="s">
        <v>8055</v>
      </c>
      <c r="KWW1" t="s">
        <v>8056</v>
      </c>
      <c r="KWX1" t="s">
        <v>8057</v>
      </c>
      <c r="KWY1" t="s">
        <v>8058</v>
      </c>
      <c r="KWZ1" t="s">
        <v>8059</v>
      </c>
      <c r="KXA1" t="s">
        <v>8060</v>
      </c>
      <c r="KXB1" t="s">
        <v>8061</v>
      </c>
      <c r="KXC1" t="s">
        <v>8062</v>
      </c>
      <c r="KXD1" t="s">
        <v>8063</v>
      </c>
      <c r="KXE1" t="s">
        <v>8064</v>
      </c>
      <c r="KXF1" t="s">
        <v>8065</v>
      </c>
      <c r="KXG1" t="s">
        <v>8066</v>
      </c>
      <c r="KXH1" t="s">
        <v>8067</v>
      </c>
      <c r="KXI1" t="s">
        <v>8068</v>
      </c>
      <c r="KXJ1" t="s">
        <v>8069</v>
      </c>
      <c r="KXK1" t="s">
        <v>8070</v>
      </c>
      <c r="KXL1" t="s">
        <v>8071</v>
      </c>
      <c r="KXM1" t="s">
        <v>8072</v>
      </c>
      <c r="KXN1" t="s">
        <v>8073</v>
      </c>
      <c r="KXO1" t="s">
        <v>8074</v>
      </c>
      <c r="KXP1" t="s">
        <v>8075</v>
      </c>
      <c r="KXQ1" t="s">
        <v>8076</v>
      </c>
      <c r="KXR1" t="s">
        <v>8077</v>
      </c>
      <c r="KXS1" t="s">
        <v>8078</v>
      </c>
      <c r="KXT1" t="s">
        <v>8079</v>
      </c>
      <c r="KXU1" t="s">
        <v>8080</v>
      </c>
      <c r="KXV1" t="s">
        <v>8081</v>
      </c>
      <c r="KXW1" t="s">
        <v>8082</v>
      </c>
      <c r="KXX1" t="s">
        <v>8083</v>
      </c>
      <c r="KXY1" t="s">
        <v>8084</v>
      </c>
      <c r="KXZ1" t="s">
        <v>8085</v>
      </c>
      <c r="KYA1" t="s">
        <v>8086</v>
      </c>
      <c r="KYB1" t="s">
        <v>8087</v>
      </c>
      <c r="KYC1" t="s">
        <v>8088</v>
      </c>
      <c r="KYD1" t="s">
        <v>8089</v>
      </c>
      <c r="KYE1" t="s">
        <v>8090</v>
      </c>
      <c r="KYF1" t="s">
        <v>8091</v>
      </c>
      <c r="KYG1" t="s">
        <v>8092</v>
      </c>
      <c r="KYH1" t="s">
        <v>8093</v>
      </c>
      <c r="KYI1" t="s">
        <v>8094</v>
      </c>
      <c r="KYJ1" t="s">
        <v>8095</v>
      </c>
      <c r="KYK1" t="s">
        <v>8096</v>
      </c>
      <c r="KYL1" t="s">
        <v>8097</v>
      </c>
      <c r="KYM1" t="s">
        <v>8098</v>
      </c>
      <c r="KYN1" t="s">
        <v>8099</v>
      </c>
      <c r="KYO1" t="s">
        <v>8100</v>
      </c>
      <c r="KYP1" t="s">
        <v>8101</v>
      </c>
      <c r="KYQ1" t="s">
        <v>8102</v>
      </c>
      <c r="KYR1" t="s">
        <v>8103</v>
      </c>
      <c r="KYS1" t="s">
        <v>8104</v>
      </c>
      <c r="KYT1" t="s">
        <v>8105</v>
      </c>
      <c r="KYU1" t="s">
        <v>8106</v>
      </c>
      <c r="KYV1" t="s">
        <v>8107</v>
      </c>
      <c r="KYW1" t="s">
        <v>8108</v>
      </c>
      <c r="KYX1" t="s">
        <v>8109</v>
      </c>
      <c r="KYY1" t="s">
        <v>8110</v>
      </c>
      <c r="KYZ1" t="s">
        <v>8111</v>
      </c>
      <c r="KZA1" t="s">
        <v>8112</v>
      </c>
      <c r="KZB1" t="s">
        <v>8113</v>
      </c>
      <c r="KZC1" t="s">
        <v>8114</v>
      </c>
      <c r="KZD1" t="s">
        <v>8115</v>
      </c>
      <c r="KZE1" t="s">
        <v>8116</v>
      </c>
      <c r="KZF1" t="s">
        <v>8117</v>
      </c>
      <c r="KZG1" t="s">
        <v>8118</v>
      </c>
      <c r="KZH1" t="s">
        <v>8119</v>
      </c>
      <c r="KZI1" t="s">
        <v>8120</v>
      </c>
      <c r="KZJ1" t="s">
        <v>8121</v>
      </c>
      <c r="KZK1" t="s">
        <v>8122</v>
      </c>
      <c r="KZL1" t="s">
        <v>8123</v>
      </c>
      <c r="KZM1" t="s">
        <v>8124</v>
      </c>
      <c r="KZN1" t="s">
        <v>8125</v>
      </c>
      <c r="KZO1" t="s">
        <v>8126</v>
      </c>
      <c r="KZP1" t="s">
        <v>8127</v>
      </c>
      <c r="KZQ1" t="s">
        <v>8128</v>
      </c>
      <c r="KZR1" t="s">
        <v>8129</v>
      </c>
      <c r="KZS1" t="s">
        <v>8130</v>
      </c>
      <c r="KZT1" t="s">
        <v>8131</v>
      </c>
      <c r="KZU1" t="s">
        <v>8132</v>
      </c>
      <c r="KZV1" t="s">
        <v>8133</v>
      </c>
      <c r="KZW1" t="s">
        <v>8134</v>
      </c>
      <c r="KZX1" t="s">
        <v>8135</v>
      </c>
      <c r="KZY1" t="s">
        <v>8136</v>
      </c>
      <c r="KZZ1" t="s">
        <v>8137</v>
      </c>
      <c r="LAA1" t="s">
        <v>8138</v>
      </c>
      <c r="LAB1" t="s">
        <v>8139</v>
      </c>
      <c r="LAC1" t="s">
        <v>8140</v>
      </c>
      <c r="LAD1" t="s">
        <v>8141</v>
      </c>
      <c r="LAE1" t="s">
        <v>8142</v>
      </c>
      <c r="LAF1" t="s">
        <v>8143</v>
      </c>
      <c r="LAG1" t="s">
        <v>8144</v>
      </c>
      <c r="LAH1" t="s">
        <v>8145</v>
      </c>
      <c r="LAI1" t="s">
        <v>8146</v>
      </c>
      <c r="LAJ1" t="s">
        <v>8147</v>
      </c>
      <c r="LAK1" t="s">
        <v>8148</v>
      </c>
      <c r="LAL1" t="s">
        <v>8149</v>
      </c>
      <c r="LAM1" t="s">
        <v>8150</v>
      </c>
      <c r="LAN1" t="s">
        <v>8151</v>
      </c>
      <c r="LAO1" t="s">
        <v>8152</v>
      </c>
      <c r="LAP1" t="s">
        <v>8153</v>
      </c>
      <c r="LAQ1" t="s">
        <v>8154</v>
      </c>
      <c r="LAR1" t="s">
        <v>8155</v>
      </c>
      <c r="LAS1" t="s">
        <v>8156</v>
      </c>
      <c r="LAT1" t="s">
        <v>8157</v>
      </c>
      <c r="LAU1" t="s">
        <v>8158</v>
      </c>
      <c r="LAV1" t="s">
        <v>8159</v>
      </c>
      <c r="LAW1" t="s">
        <v>8160</v>
      </c>
      <c r="LAX1" t="s">
        <v>8161</v>
      </c>
      <c r="LAY1" t="s">
        <v>8162</v>
      </c>
      <c r="LAZ1" t="s">
        <v>8163</v>
      </c>
      <c r="LBA1" t="s">
        <v>8164</v>
      </c>
      <c r="LBB1" t="s">
        <v>8165</v>
      </c>
      <c r="LBC1" t="s">
        <v>8166</v>
      </c>
      <c r="LBD1" t="s">
        <v>8167</v>
      </c>
      <c r="LBE1" t="s">
        <v>8168</v>
      </c>
      <c r="LBF1" t="s">
        <v>8169</v>
      </c>
      <c r="LBG1" t="s">
        <v>8170</v>
      </c>
      <c r="LBH1" t="s">
        <v>8171</v>
      </c>
      <c r="LBI1" t="s">
        <v>8172</v>
      </c>
      <c r="LBJ1" t="s">
        <v>8173</v>
      </c>
      <c r="LBK1" t="s">
        <v>8174</v>
      </c>
      <c r="LBL1" t="s">
        <v>8175</v>
      </c>
      <c r="LBM1" t="s">
        <v>8176</v>
      </c>
      <c r="LBN1" t="s">
        <v>8177</v>
      </c>
      <c r="LBO1" t="s">
        <v>8178</v>
      </c>
      <c r="LBP1" t="s">
        <v>8179</v>
      </c>
      <c r="LBQ1" t="s">
        <v>8180</v>
      </c>
      <c r="LBR1" t="s">
        <v>8181</v>
      </c>
      <c r="LBS1" t="s">
        <v>8182</v>
      </c>
      <c r="LBT1" t="s">
        <v>8183</v>
      </c>
      <c r="LBU1" t="s">
        <v>8184</v>
      </c>
      <c r="LBV1" t="s">
        <v>8185</v>
      </c>
      <c r="LBW1" t="s">
        <v>8186</v>
      </c>
      <c r="LBX1" t="s">
        <v>8187</v>
      </c>
      <c r="LBY1" t="s">
        <v>8188</v>
      </c>
      <c r="LBZ1" t="s">
        <v>8189</v>
      </c>
      <c r="LCA1" t="s">
        <v>8190</v>
      </c>
      <c r="LCB1" t="s">
        <v>8191</v>
      </c>
      <c r="LCC1" t="s">
        <v>8192</v>
      </c>
      <c r="LCD1" t="s">
        <v>8193</v>
      </c>
      <c r="LCE1" t="s">
        <v>8194</v>
      </c>
      <c r="LCF1" t="s">
        <v>8195</v>
      </c>
      <c r="LCG1" t="s">
        <v>8196</v>
      </c>
      <c r="LCH1" t="s">
        <v>8197</v>
      </c>
      <c r="LCI1" t="s">
        <v>8198</v>
      </c>
      <c r="LCJ1" t="s">
        <v>8199</v>
      </c>
      <c r="LCK1" t="s">
        <v>8200</v>
      </c>
      <c r="LCL1" t="s">
        <v>8201</v>
      </c>
      <c r="LCM1" t="s">
        <v>8202</v>
      </c>
      <c r="LCN1" t="s">
        <v>8203</v>
      </c>
      <c r="LCO1" t="s">
        <v>8204</v>
      </c>
      <c r="LCP1" t="s">
        <v>8205</v>
      </c>
      <c r="LCQ1" t="s">
        <v>8206</v>
      </c>
      <c r="LCR1" t="s">
        <v>8207</v>
      </c>
      <c r="LCS1" t="s">
        <v>8208</v>
      </c>
      <c r="LCT1" t="s">
        <v>8209</v>
      </c>
      <c r="LCU1" t="s">
        <v>8210</v>
      </c>
      <c r="LCV1" t="s">
        <v>8211</v>
      </c>
      <c r="LCW1" t="s">
        <v>8212</v>
      </c>
      <c r="LCX1" t="s">
        <v>8213</v>
      </c>
      <c r="LCY1" t="s">
        <v>8214</v>
      </c>
      <c r="LCZ1" t="s">
        <v>8215</v>
      </c>
      <c r="LDA1" t="s">
        <v>8216</v>
      </c>
      <c r="LDB1" t="s">
        <v>8217</v>
      </c>
      <c r="LDC1" t="s">
        <v>8218</v>
      </c>
      <c r="LDD1" t="s">
        <v>8219</v>
      </c>
      <c r="LDE1" t="s">
        <v>8220</v>
      </c>
      <c r="LDF1" t="s">
        <v>8221</v>
      </c>
      <c r="LDG1" t="s">
        <v>8222</v>
      </c>
      <c r="LDH1" t="s">
        <v>8223</v>
      </c>
      <c r="LDI1" t="s">
        <v>8224</v>
      </c>
      <c r="LDJ1" t="s">
        <v>8225</v>
      </c>
      <c r="LDK1" t="s">
        <v>8226</v>
      </c>
      <c r="LDL1" t="s">
        <v>8227</v>
      </c>
      <c r="LDM1" t="s">
        <v>8228</v>
      </c>
      <c r="LDN1" t="s">
        <v>8229</v>
      </c>
      <c r="LDO1" t="s">
        <v>8230</v>
      </c>
      <c r="LDP1" t="s">
        <v>8231</v>
      </c>
      <c r="LDQ1" t="s">
        <v>8232</v>
      </c>
      <c r="LDR1" t="s">
        <v>8233</v>
      </c>
      <c r="LDS1" t="s">
        <v>8234</v>
      </c>
      <c r="LDT1" t="s">
        <v>8235</v>
      </c>
      <c r="LDU1" t="s">
        <v>8236</v>
      </c>
      <c r="LDV1" t="s">
        <v>8237</v>
      </c>
      <c r="LDW1" t="s">
        <v>8238</v>
      </c>
      <c r="LDX1" t="s">
        <v>8239</v>
      </c>
      <c r="LDY1" t="s">
        <v>8240</v>
      </c>
      <c r="LDZ1" t="s">
        <v>8241</v>
      </c>
      <c r="LEA1" t="s">
        <v>8242</v>
      </c>
      <c r="LEB1" t="s">
        <v>8243</v>
      </c>
      <c r="LEC1" t="s">
        <v>8244</v>
      </c>
      <c r="LED1" t="s">
        <v>8245</v>
      </c>
      <c r="LEE1" t="s">
        <v>8246</v>
      </c>
      <c r="LEF1" t="s">
        <v>8247</v>
      </c>
      <c r="LEG1" t="s">
        <v>8248</v>
      </c>
      <c r="LEH1" t="s">
        <v>8249</v>
      </c>
      <c r="LEI1" t="s">
        <v>8250</v>
      </c>
      <c r="LEJ1" t="s">
        <v>8251</v>
      </c>
      <c r="LEK1" t="s">
        <v>8252</v>
      </c>
      <c r="LEL1" t="s">
        <v>8253</v>
      </c>
      <c r="LEM1" t="s">
        <v>8254</v>
      </c>
      <c r="LEN1" t="s">
        <v>8255</v>
      </c>
      <c r="LEO1" t="s">
        <v>8256</v>
      </c>
      <c r="LEP1" t="s">
        <v>8257</v>
      </c>
      <c r="LEQ1" t="s">
        <v>8258</v>
      </c>
      <c r="LER1" t="s">
        <v>8259</v>
      </c>
      <c r="LES1" t="s">
        <v>8260</v>
      </c>
      <c r="LET1" t="s">
        <v>8261</v>
      </c>
      <c r="LEU1" t="s">
        <v>8262</v>
      </c>
      <c r="LEV1" t="s">
        <v>8263</v>
      </c>
      <c r="LEW1" t="s">
        <v>8264</v>
      </c>
      <c r="LEX1" t="s">
        <v>8265</v>
      </c>
      <c r="LEY1" t="s">
        <v>8266</v>
      </c>
      <c r="LEZ1" t="s">
        <v>8267</v>
      </c>
      <c r="LFA1" t="s">
        <v>8268</v>
      </c>
      <c r="LFB1" t="s">
        <v>8269</v>
      </c>
      <c r="LFC1" t="s">
        <v>8270</v>
      </c>
      <c r="LFD1" t="s">
        <v>8271</v>
      </c>
      <c r="LFE1" t="s">
        <v>8272</v>
      </c>
      <c r="LFF1" t="s">
        <v>8273</v>
      </c>
      <c r="LFG1" t="s">
        <v>8274</v>
      </c>
      <c r="LFH1" t="s">
        <v>8275</v>
      </c>
      <c r="LFI1" t="s">
        <v>8276</v>
      </c>
      <c r="LFJ1" t="s">
        <v>8277</v>
      </c>
      <c r="LFK1" t="s">
        <v>8278</v>
      </c>
      <c r="LFL1" t="s">
        <v>8279</v>
      </c>
      <c r="LFM1" t="s">
        <v>8280</v>
      </c>
      <c r="LFN1" t="s">
        <v>8281</v>
      </c>
      <c r="LFO1" t="s">
        <v>8282</v>
      </c>
      <c r="LFP1" t="s">
        <v>8283</v>
      </c>
      <c r="LFQ1" t="s">
        <v>8284</v>
      </c>
      <c r="LFR1" t="s">
        <v>8285</v>
      </c>
      <c r="LFS1" t="s">
        <v>8286</v>
      </c>
      <c r="LFT1" t="s">
        <v>8287</v>
      </c>
      <c r="LFU1" t="s">
        <v>8288</v>
      </c>
      <c r="LFV1" t="s">
        <v>8289</v>
      </c>
      <c r="LFW1" t="s">
        <v>8290</v>
      </c>
      <c r="LFX1" t="s">
        <v>8291</v>
      </c>
      <c r="LFY1" t="s">
        <v>8292</v>
      </c>
      <c r="LFZ1" t="s">
        <v>8293</v>
      </c>
      <c r="LGA1" t="s">
        <v>8294</v>
      </c>
      <c r="LGB1" t="s">
        <v>8295</v>
      </c>
      <c r="LGC1" t="s">
        <v>8296</v>
      </c>
      <c r="LGD1" t="s">
        <v>8297</v>
      </c>
      <c r="LGE1" t="s">
        <v>8298</v>
      </c>
      <c r="LGF1" t="s">
        <v>8299</v>
      </c>
      <c r="LGG1" t="s">
        <v>8300</v>
      </c>
      <c r="LGH1" t="s">
        <v>8301</v>
      </c>
      <c r="LGI1" t="s">
        <v>8302</v>
      </c>
      <c r="LGJ1" t="s">
        <v>8303</v>
      </c>
      <c r="LGK1" t="s">
        <v>8304</v>
      </c>
      <c r="LGL1" t="s">
        <v>8305</v>
      </c>
      <c r="LGM1" t="s">
        <v>8306</v>
      </c>
      <c r="LGN1" t="s">
        <v>8307</v>
      </c>
      <c r="LGO1" t="s">
        <v>8308</v>
      </c>
      <c r="LGP1" t="s">
        <v>8309</v>
      </c>
      <c r="LGQ1" t="s">
        <v>8310</v>
      </c>
      <c r="LGR1" t="s">
        <v>8311</v>
      </c>
      <c r="LGS1" t="s">
        <v>8312</v>
      </c>
      <c r="LGT1" t="s">
        <v>8313</v>
      </c>
      <c r="LGU1" t="s">
        <v>8314</v>
      </c>
      <c r="LGV1" t="s">
        <v>8315</v>
      </c>
      <c r="LGW1" t="s">
        <v>8316</v>
      </c>
      <c r="LGX1" t="s">
        <v>8317</v>
      </c>
      <c r="LGY1" t="s">
        <v>8318</v>
      </c>
      <c r="LGZ1" t="s">
        <v>8319</v>
      </c>
      <c r="LHA1" t="s">
        <v>8320</v>
      </c>
      <c r="LHB1" t="s">
        <v>8321</v>
      </c>
      <c r="LHC1" t="s">
        <v>8322</v>
      </c>
      <c r="LHD1" t="s">
        <v>8323</v>
      </c>
      <c r="LHE1" t="s">
        <v>8324</v>
      </c>
      <c r="LHF1" t="s">
        <v>8325</v>
      </c>
      <c r="LHG1" t="s">
        <v>8326</v>
      </c>
      <c r="LHH1" t="s">
        <v>8327</v>
      </c>
      <c r="LHI1" t="s">
        <v>8328</v>
      </c>
      <c r="LHJ1" t="s">
        <v>8329</v>
      </c>
      <c r="LHK1" t="s">
        <v>8330</v>
      </c>
      <c r="LHL1" t="s">
        <v>8331</v>
      </c>
      <c r="LHM1" t="s">
        <v>8332</v>
      </c>
      <c r="LHN1" t="s">
        <v>8333</v>
      </c>
      <c r="LHO1" t="s">
        <v>8334</v>
      </c>
      <c r="LHP1" t="s">
        <v>8335</v>
      </c>
      <c r="LHQ1" t="s">
        <v>8336</v>
      </c>
      <c r="LHR1" t="s">
        <v>8337</v>
      </c>
      <c r="LHS1" t="s">
        <v>8338</v>
      </c>
      <c r="LHT1" t="s">
        <v>8339</v>
      </c>
      <c r="LHU1" t="s">
        <v>8340</v>
      </c>
      <c r="LHV1" t="s">
        <v>8341</v>
      </c>
      <c r="LHW1" t="s">
        <v>8342</v>
      </c>
      <c r="LHX1" t="s">
        <v>8343</v>
      </c>
      <c r="LHY1" t="s">
        <v>8344</v>
      </c>
      <c r="LHZ1" t="s">
        <v>8345</v>
      </c>
      <c r="LIA1" t="s">
        <v>8346</v>
      </c>
      <c r="LIB1" t="s">
        <v>8347</v>
      </c>
      <c r="LIC1" t="s">
        <v>8348</v>
      </c>
      <c r="LID1" t="s">
        <v>8349</v>
      </c>
      <c r="LIE1" t="s">
        <v>8350</v>
      </c>
      <c r="LIF1" t="s">
        <v>8351</v>
      </c>
      <c r="LIG1" t="s">
        <v>8352</v>
      </c>
      <c r="LIH1" t="s">
        <v>8353</v>
      </c>
      <c r="LII1" t="s">
        <v>8354</v>
      </c>
      <c r="LIJ1" t="s">
        <v>8355</v>
      </c>
      <c r="LIK1" t="s">
        <v>8356</v>
      </c>
      <c r="LIL1" t="s">
        <v>8357</v>
      </c>
      <c r="LIM1" t="s">
        <v>8358</v>
      </c>
      <c r="LIN1" t="s">
        <v>8359</v>
      </c>
      <c r="LIO1" t="s">
        <v>8360</v>
      </c>
      <c r="LIP1" t="s">
        <v>8361</v>
      </c>
      <c r="LIQ1" t="s">
        <v>8362</v>
      </c>
      <c r="LIR1" t="s">
        <v>8363</v>
      </c>
      <c r="LIS1" t="s">
        <v>8364</v>
      </c>
      <c r="LIT1" t="s">
        <v>8365</v>
      </c>
      <c r="LIU1" t="s">
        <v>8366</v>
      </c>
      <c r="LIV1" t="s">
        <v>8367</v>
      </c>
      <c r="LIW1" t="s">
        <v>8368</v>
      </c>
      <c r="LIX1" t="s">
        <v>8369</v>
      </c>
      <c r="LIY1" t="s">
        <v>8370</v>
      </c>
      <c r="LIZ1" t="s">
        <v>8371</v>
      </c>
      <c r="LJA1" t="s">
        <v>8372</v>
      </c>
      <c r="LJB1" t="s">
        <v>8373</v>
      </c>
      <c r="LJC1" t="s">
        <v>8374</v>
      </c>
      <c r="LJD1" t="s">
        <v>8375</v>
      </c>
      <c r="LJE1" t="s">
        <v>8376</v>
      </c>
      <c r="LJF1" t="s">
        <v>8377</v>
      </c>
      <c r="LJG1" t="s">
        <v>8378</v>
      </c>
      <c r="LJH1" t="s">
        <v>8379</v>
      </c>
      <c r="LJI1" t="s">
        <v>8380</v>
      </c>
      <c r="LJJ1" t="s">
        <v>8381</v>
      </c>
      <c r="LJK1" t="s">
        <v>8382</v>
      </c>
      <c r="LJL1" t="s">
        <v>8383</v>
      </c>
      <c r="LJM1" t="s">
        <v>8384</v>
      </c>
      <c r="LJN1" t="s">
        <v>8385</v>
      </c>
      <c r="LJO1" t="s">
        <v>8386</v>
      </c>
      <c r="LJP1" t="s">
        <v>8387</v>
      </c>
      <c r="LJQ1" t="s">
        <v>8388</v>
      </c>
      <c r="LJR1" t="s">
        <v>8389</v>
      </c>
      <c r="LJS1" t="s">
        <v>8390</v>
      </c>
      <c r="LJT1" t="s">
        <v>8391</v>
      </c>
      <c r="LJU1" t="s">
        <v>8392</v>
      </c>
      <c r="LJV1" t="s">
        <v>8393</v>
      </c>
      <c r="LJW1" t="s">
        <v>8394</v>
      </c>
      <c r="LJX1" t="s">
        <v>8395</v>
      </c>
      <c r="LJY1" t="s">
        <v>8396</v>
      </c>
      <c r="LJZ1" t="s">
        <v>8397</v>
      </c>
      <c r="LKA1" t="s">
        <v>8398</v>
      </c>
      <c r="LKB1" t="s">
        <v>8399</v>
      </c>
      <c r="LKC1" t="s">
        <v>8400</v>
      </c>
      <c r="LKD1" t="s">
        <v>8401</v>
      </c>
      <c r="LKE1" t="s">
        <v>8402</v>
      </c>
      <c r="LKF1" t="s">
        <v>8403</v>
      </c>
      <c r="LKG1" t="s">
        <v>8404</v>
      </c>
      <c r="LKH1" t="s">
        <v>8405</v>
      </c>
      <c r="LKI1" t="s">
        <v>8406</v>
      </c>
      <c r="LKJ1" t="s">
        <v>8407</v>
      </c>
      <c r="LKK1" t="s">
        <v>8408</v>
      </c>
      <c r="LKL1" t="s">
        <v>8409</v>
      </c>
      <c r="LKM1" t="s">
        <v>8410</v>
      </c>
      <c r="LKN1" t="s">
        <v>8411</v>
      </c>
      <c r="LKO1" t="s">
        <v>8412</v>
      </c>
      <c r="LKP1" t="s">
        <v>8413</v>
      </c>
      <c r="LKQ1" t="s">
        <v>8414</v>
      </c>
      <c r="LKR1" t="s">
        <v>8415</v>
      </c>
      <c r="LKS1" t="s">
        <v>8416</v>
      </c>
      <c r="LKT1" t="s">
        <v>8417</v>
      </c>
      <c r="LKU1" t="s">
        <v>8418</v>
      </c>
      <c r="LKV1" t="s">
        <v>8419</v>
      </c>
      <c r="LKW1" t="s">
        <v>8420</v>
      </c>
      <c r="LKX1" t="s">
        <v>8421</v>
      </c>
      <c r="LKY1" t="s">
        <v>8422</v>
      </c>
      <c r="LKZ1" t="s">
        <v>8423</v>
      </c>
      <c r="LLA1" t="s">
        <v>8424</v>
      </c>
      <c r="LLB1" t="s">
        <v>8425</v>
      </c>
      <c r="LLC1" t="s">
        <v>8426</v>
      </c>
      <c r="LLD1" t="s">
        <v>8427</v>
      </c>
      <c r="LLE1" t="s">
        <v>8428</v>
      </c>
      <c r="LLF1" t="s">
        <v>8429</v>
      </c>
      <c r="LLG1" t="s">
        <v>8430</v>
      </c>
      <c r="LLH1" t="s">
        <v>8431</v>
      </c>
      <c r="LLI1" t="s">
        <v>8432</v>
      </c>
      <c r="LLJ1" t="s">
        <v>8433</v>
      </c>
      <c r="LLK1" t="s">
        <v>8434</v>
      </c>
      <c r="LLL1" t="s">
        <v>8435</v>
      </c>
      <c r="LLM1" t="s">
        <v>8436</v>
      </c>
      <c r="LLN1" t="s">
        <v>8437</v>
      </c>
      <c r="LLO1" t="s">
        <v>8438</v>
      </c>
      <c r="LLP1" t="s">
        <v>8439</v>
      </c>
      <c r="LLQ1" t="s">
        <v>8440</v>
      </c>
      <c r="LLR1" t="s">
        <v>8441</v>
      </c>
      <c r="LLS1" t="s">
        <v>8442</v>
      </c>
      <c r="LLT1" t="s">
        <v>8443</v>
      </c>
      <c r="LLU1" t="s">
        <v>8444</v>
      </c>
      <c r="LLV1" t="s">
        <v>8445</v>
      </c>
      <c r="LLW1" t="s">
        <v>8446</v>
      </c>
      <c r="LLX1" t="s">
        <v>8447</v>
      </c>
      <c r="LLY1" t="s">
        <v>8448</v>
      </c>
      <c r="LLZ1" t="s">
        <v>8449</v>
      </c>
      <c r="LMA1" t="s">
        <v>8450</v>
      </c>
      <c r="LMB1" t="s">
        <v>8451</v>
      </c>
      <c r="LMC1" t="s">
        <v>8452</v>
      </c>
      <c r="LMD1" t="s">
        <v>8453</v>
      </c>
      <c r="LME1" t="s">
        <v>8454</v>
      </c>
      <c r="LMF1" t="s">
        <v>8455</v>
      </c>
      <c r="LMG1" t="s">
        <v>8456</v>
      </c>
      <c r="LMH1" t="s">
        <v>8457</v>
      </c>
      <c r="LMI1" t="s">
        <v>8458</v>
      </c>
      <c r="LMJ1" t="s">
        <v>8459</v>
      </c>
      <c r="LMK1" t="s">
        <v>8460</v>
      </c>
      <c r="LML1" t="s">
        <v>8461</v>
      </c>
      <c r="LMM1" t="s">
        <v>8462</v>
      </c>
      <c r="LMN1" t="s">
        <v>8463</v>
      </c>
      <c r="LMO1" t="s">
        <v>8464</v>
      </c>
      <c r="LMP1" t="s">
        <v>8465</v>
      </c>
      <c r="LMQ1" t="s">
        <v>8466</v>
      </c>
      <c r="LMR1" t="s">
        <v>8467</v>
      </c>
      <c r="LMS1" t="s">
        <v>8468</v>
      </c>
      <c r="LMT1" t="s">
        <v>8469</v>
      </c>
      <c r="LMU1" t="s">
        <v>8470</v>
      </c>
      <c r="LMV1" t="s">
        <v>8471</v>
      </c>
      <c r="LMW1" t="s">
        <v>8472</v>
      </c>
      <c r="LMX1" t="s">
        <v>8473</v>
      </c>
      <c r="LMY1" t="s">
        <v>8474</v>
      </c>
      <c r="LMZ1" t="s">
        <v>8475</v>
      </c>
      <c r="LNA1" t="s">
        <v>8476</v>
      </c>
      <c r="LNB1" t="s">
        <v>8477</v>
      </c>
      <c r="LNC1" t="s">
        <v>8478</v>
      </c>
      <c r="LND1" t="s">
        <v>8479</v>
      </c>
      <c r="LNE1" t="s">
        <v>8480</v>
      </c>
      <c r="LNF1" t="s">
        <v>8481</v>
      </c>
      <c r="LNG1" t="s">
        <v>8482</v>
      </c>
      <c r="LNH1" t="s">
        <v>8483</v>
      </c>
      <c r="LNI1" t="s">
        <v>8484</v>
      </c>
      <c r="LNJ1" t="s">
        <v>8485</v>
      </c>
      <c r="LNK1" t="s">
        <v>8486</v>
      </c>
      <c r="LNL1" t="s">
        <v>8487</v>
      </c>
      <c r="LNM1" t="s">
        <v>8488</v>
      </c>
      <c r="LNN1" t="s">
        <v>8489</v>
      </c>
      <c r="LNO1" t="s">
        <v>8490</v>
      </c>
      <c r="LNP1" t="s">
        <v>8491</v>
      </c>
      <c r="LNQ1" t="s">
        <v>8492</v>
      </c>
      <c r="LNR1" t="s">
        <v>8493</v>
      </c>
      <c r="LNS1" t="s">
        <v>8494</v>
      </c>
      <c r="LNT1" t="s">
        <v>8495</v>
      </c>
      <c r="LNU1" t="s">
        <v>8496</v>
      </c>
      <c r="LNV1" t="s">
        <v>8497</v>
      </c>
      <c r="LNW1" t="s">
        <v>8498</v>
      </c>
      <c r="LNX1" t="s">
        <v>8499</v>
      </c>
      <c r="LNY1" t="s">
        <v>8500</v>
      </c>
      <c r="LNZ1" t="s">
        <v>8501</v>
      </c>
      <c r="LOA1" t="s">
        <v>8502</v>
      </c>
      <c r="LOB1" t="s">
        <v>8503</v>
      </c>
      <c r="LOC1" t="s">
        <v>8504</v>
      </c>
      <c r="LOD1" t="s">
        <v>8505</v>
      </c>
      <c r="LOE1" t="s">
        <v>8506</v>
      </c>
      <c r="LOF1" t="s">
        <v>8507</v>
      </c>
      <c r="LOG1" t="s">
        <v>8508</v>
      </c>
      <c r="LOH1" t="s">
        <v>8509</v>
      </c>
      <c r="LOI1" t="s">
        <v>8510</v>
      </c>
      <c r="LOJ1" t="s">
        <v>8511</v>
      </c>
      <c r="LOK1" t="s">
        <v>8512</v>
      </c>
      <c r="LOL1" t="s">
        <v>8513</v>
      </c>
      <c r="LOM1" t="s">
        <v>8514</v>
      </c>
      <c r="LON1" t="s">
        <v>8515</v>
      </c>
      <c r="LOO1" t="s">
        <v>8516</v>
      </c>
      <c r="LOP1" t="s">
        <v>8517</v>
      </c>
      <c r="LOQ1" t="s">
        <v>8518</v>
      </c>
      <c r="LOR1" t="s">
        <v>8519</v>
      </c>
      <c r="LOS1" t="s">
        <v>8520</v>
      </c>
      <c r="LOT1" t="s">
        <v>8521</v>
      </c>
      <c r="LOU1" t="s">
        <v>8522</v>
      </c>
      <c r="LOV1" t="s">
        <v>8523</v>
      </c>
      <c r="LOW1" t="s">
        <v>8524</v>
      </c>
      <c r="LOX1" t="s">
        <v>8525</v>
      </c>
      <c r="LOY1" t="s">
        <v>8526</v>
      </c>
      <c r="LOZ1" t="s">
        <v>8527</v>
      </c>
      <c r="LPA1" t="s">
        <v>8528</v>
      </c>
      <c r="LPB1" t="s">
        <v>8529</v>
      </c>
      <c r="LPC1" t="s">
        <v>8530</v>
      </c>
      <c r="LPD1" t="s">
        <v>8531</v>
      </c>
      <c r="LPE1" t="s">
        <v>8532</v>
      </c>
      <c r="LPF1" t="s">
        <v>8533</v>
      </c>
      <c r="LPG1" t="s">
        <v>8534</v>
      </c>
      <c r="LPH1" t="s">
        <v>8535</v>
      </c>
      <c r="LPI1" t="s">
        <v>8536</v>
      </c>
      <c r="LPJ1" t="s">
        <v>8537</v>
      </c>
      <c r="LPK1" t="s">
        <v>8538</v>
      </c>
      <c r="LPL1" t="s">
        <v>8539</v>
      </c>
      <c r="LPM1" t="s">
        <v>8540</v>
      </c>
      <c r="LPN1" t="s">
        <v>8541</v>
      </c>
      <c r="LPO1" t="s">
        <v>8542</v>
      </c>
      <c r="LPP1" t="s">
        <v>8543</v>
      </c>
      <c r="LPQ1" t="s">
        <v>8544</v>
      </c>
      <c r="LPR1" t="s">
        <v>8545</v>
      </c>
      <c r="LPS1" t="s">
        <v>8546</v>
      </c>
      <c r="LPT1" t="s">
        <v>8547</v>
      </c>
      <c r="LPU1" t="s">
        <v>8548</v>
      </c>
      <c r="LPV1" t="s">
        <v>8549</v>
      </c>
      <c r="LPW1" t="s">
        <v>8550</v>
      </c>
      <c r="LPX1" t="s">
        <v>8551</v>
      </c>
      <c r="LPY1" t="s">
        <v>8552</v>
      </c>
      <c r="LPZ1" t="s">
        <v>8553</v>
      </c>
      <c r="LQA1" t="s">
        <v>8554</v>
      </c>
      <c r="LQB1" t="s">
        <v>8555</v>
      </c>
      <c r="LQC1" t="s">
        <v>8556</v>
      </c>
      <c r="LQD1" t="s">
        <v>8557</v>
      </c>
      <c r="LQE1" t="s">
        <v>8558</v>
      </c>
      <c r="LQF1" t="s">
        <v>8559</v>
      </c>
      <c r="LQG1" t="s">
        <v>8560</v>
      </c>
      <c r="LQH1" t="s">
        <v>8561</v>
      </c>
      <c r="LQI1" t="s">
        <v>8562</v>
      </c>
      <c r="LQJ1" t="s">
        <v>8563</v>
      </c>
      <c r="LQK1" t="s">
        <v>8564</v>
      </c>
      <c r="LQL1" t="s">
        <v>8565</v>
      </c>
      <c r="LQM1" t="s">
        <v>8566</v>
      </c>
      <c r="LQN1" t="s">
        <v>8567</v>
      </c>
      <c r="LQO1" t="s">
        <v>8568</v>
      </c>
      <c r="LQP1" t="s">
        <v>8569</v>
      </c>
      <c r="LQQ1" t="s">
        <v>8570</v>
      </c>
      <c r="LQR1" t="s">
        <v>8571</v>
      </c>
      <c r="LQS1" t="s">
        <v>8572</v>
      </c>
      <c r="LQT1" t="s">
        <v>8573</v>
      </c>
      <c r="LQU1" t="s">
        <v>8574</v>
      </c>
      <c r="LQV1" t="s">
        <v>8575</v>
      </c>
      <c r="LQW1" t="s">
        <v>8576</v>
      </c>
      <c r="LQX1" t="s">
        <v>8577</v>
      </c>
      <c r="LQY1" t="s">
        <v>8578</v>
      </c>
      <c r="LQZ1" t="s">
        <v>8579</v>
      </c>
      <c r="LRA1" t="s">
        <v>8580</v>
      </c>
      <c r="LRB1" t="s">
        <v>8581</v>
      </c>
      <c r="LRC1" t="s">
        <v>8582</v>
      </c>
      <c r="LRD1" t="s">
        <v>8583</v>
      </c>
      <c r="LRE1" t="s">
        <v>8584</v>
      </c>
      <c r="LRF1" t="s">
        <v>8585</v>
      </c>
      <c r="LRG1" t="s">
        <v>8586</v>
      </c>
      <c r="LRH1" t="s">
        <v>8587</v>
      </c>
      <c r="LRI1" t="s">
        <v>8588</v>
      </c>
      <c r="LRJ1" t="s">
        <v>8589</v>
      </c>
      <c r="LRK1" t="s">
        <v>8590</v>
      </c>
      <c r="LRL1" t="s">
        <v>8591</v>
      </c>
      <c r="LRM1" t="s">
        <v>8592</v>
      </c>
      <c r="LRN1" t="s">
        <v>8593</v>
      </c>
      <c r="LRO1" t="s">
        <v>8594</v>
      </c>
      <c r="LRP1" t="s">
        <v>8595</v>
      </c>
      <c r="LRQ1" t="s">
        <v>8596</v>
      </c>
      <c r="LRR1" t="s">
        <v>8597</v>
      </c>
      <c r="LRS1" t="s">
        <v>8598</v>
      </c>
      <c r="LRT1" t="s">
        <v>8599</v>
      </c>
      <c r="LRU1" t="s">
        <v>8600</v>
      </c>
      <c r="LRV1" t="s">
        <v>8601</v>
      </c>
      <c r="LRW1" t="s">
        <v>8602</v>
      </c>
      <c r="LRX1" t="s">
        <v>8603</v>
      </c>
      <c r="LRY1" t="s">
        <v>8604</v>
      </c>
      <c r="LRZ1" t="s">
        <v>8605</v>
      </c>
      <c r="LSA1" t="s">
        <v>8606</v>
      </c>
      <c r="LSB1" t="s">
        <v>8607</v>
      </c>
      <c r="LSC1" t="s">
        <v>8608</v>
      </c>
      <c r="LSD1" t="s">
        <v>8609</v>
      </c>
      <c r="LSE1" t="s">
        <v>8610</v>
      </c>
      <c r="LSF1" t="s">
        <v>8611</v>
      </c>
      <c r="LSG1" t="s">
        <v>8612</v>
      </c>
      <c r="LSH1" t="s">
        <v>8613</v>
      </c>
      <c r="LSI1" t="s">
        <v>8614</v>
      </c>
      <c r="LSJ1" t="s">
        <v>8615</v>
      </c>
      <c r="LSK1" t="s">
        <v>8616</v>
      </c>
      <c r="LSL1" t="s">
        <v>8617</v>
      </c>
      <c r="LSM1" t="s">
        <v>8618</v>
      </c>
      <c r="LSN1" t="s">
        <v>8619</v>
      </c>
      <c r="LSO1" t="s">
        <v>8620</v>
      </c>
      <c r="LSP1" t="s">
        <v>8621</v>
      </c>
      <c r="LSQ1" t="s">
        <v>8622</v>
      </c>
      <c r="LSR1" t="s">
        <v>8623</v>
      </c>
      <c r="LSS1" t="s">
        <v>8624</v>
      </c>
      <c r="LST1" t="s">
        <v>8625</v>
      </c>
      <c r="LSU1" t="s">
        <v>8626</v>
      </c>
      <c r="LSV1" t="s">
        <v>8627</v>
      </c>
      <c r="LSW1" t="s">
        <v>8628</v>
      </c>
      <c r="LSX1" t="s">
        <v>8629</v>
      </c>
      <c r="LSY1" t="s">
        <v>8630</v>
      </c>
      <c r="LSZ1" t="s">
        <v>8631</v>
      </c>
      <c r="LTA1" t="s">
        <v>8632</v>
      </c>
      <c r="LTB1" t="s">
        <v>8633</v>
      </c>
      <c r="LTC1" t="s">
        <v>8634</v>
      </c>
      <c r="LTD1" t="s">
        <v>8635</v>
      </c>
      <c r="LTE1" t="s">
        <v>8636</v>
      </c>
      <c r="LTF1" t="s">
        <v>8637</v>
      </c>
      <c r="LTG1" t="s">
        <v>8638</v>
      </c>
      <c r="LTH1" t="s">
        <v>8639</v>
      </c>
      <c r="LTI1" t="s">
        <v>8640</v>
      </c>
      <c r="LTJ1" t="s">
        <v>8641</v>
      </c>
      <c r="LTK1" t="s">
        <v>8642</v>
      </c>
      <c r="LTL1" t="s">
        <v>8643</v>
      </c>
      <c r="LTM1" t="s">
        <v>8644</v>
      </c>
      <c r="LTN1" t="s">
        <v>8645</v>
      </c>
      <c r="LTO1" t="s">
        <v>8646</v>
      </c>
      <c r="LTP1" t="s">
        <v>8647</v>
      </c>
      <c r="LTQ1" t="s">
        <v>8648</v>
      </c>
      <c r="LTR1" t="s">
        <v>8649</v>
      </c>
      <c r="LTS1" t="s">
        <v>8650</v>
      </c>
      <c r="LTT1" t="s">
        <v>8651</v>
      </c>
      <c r="LTU1" t="s">
        <v>8652</v>
      </c>
      <c r="LTV1" t="s">
        <v>8653</v>
      </c>
      <c r="LTW1" t="s">
        <v>8654</v>
      </c>
      <c r="LTX1" t="s">
        <v>8655</v>
      </c>
      <c r="LTY1" t="s">
        <v>8656</v>
      </c>
      <c r="LTZ1" t="s">
        <v>8657</v>
      </c>
      <c r="LUA1" t="s">
        <v>8658</v>
      </c>
      <c r="LUB1" t="s">
        <v>8659</v>
      </c>
      <c r="LUC1" t="s">
        <v>8660</v>
      </c>
      <c r="LUD1" t="s">
        <v>8661</v>
      </c>
      <c r="LUE1" t="s">
        <v>8662</v>
      </c>
      <c r="LUF1" t="s">
        <v>8663</v>
      </c>
      <c r="LUG1" t="s">
        <v>8664</v>
      </c>
      <c r="LUH1" t="s">
        <v>8665</v>
      </c>
      <c r="LUI1" t="s">
        <v>8666</v>
      </c>
      <c r="LUJ1" t="s">
        <v>8667</v>
      </c>
      <c r="LUK1" t="s">
        <v>8668</v>
      </c>
      <c r="LUL1" t="s">
        <v>8669</v>
      </c>
      <c r="LUM1" t="s">
        <v>8670</v>
      </c>
      <c r="LUN1" t="s">
        <v>8671</v>
      </c>
      <c r="LUO1" t="s">
        <v>8672</v>
      </c>
      <c r="LUP1" t="s">
        <v>8673</v>
      </c>
      <c r="LUQ1" t="s">
        <v>8674</v>
      </c>
      <c r="LUR1" t="s">
        <v>8675</v>
      </c>
      <c r="LUS1" t="s">
        <v>8676</v>
      </c>
      <c r="LUT1" t="s">
        <v>8677</v>
      </c>
      <c r="LUU1" t="s">
        <v>8678</v>
      </c>
      <c r="LUV1" t="s">
        <v>8679</v>
      </c>
      <c r="LUW1" t="s">
        <v>8680</v>
      </c>
      <c r="LUX1" t="s">
        <v>8681</v>
      </c>
      <c r="LUY1" t="s">
        <v>8682</v>
      </c>
      <c r="LUZ1" t="s">
        <v>8683</v>
      </c>
      <c r="LVA1" t="s">
        <v>8684</v>
      </c>
      <c r="LVB1" t="s">
        <v>8685</v>
      </c>
      <c r="LVC1" t="s">
        <v>8686</v>
      </c>
      <c r="LVD1" t="s">
        <v>8687</v>
      </c>
      <c r="LVE1" t="s">
        <v>8688</v>
      </c>
      <c r="LVF1" t="s">
        <v>8689</v>
      </c>
      <c r="LVG1" t="s">
        <v>8690</v>
      </c>
      <c r="LVH1" t="s">
        <v>8691</v>
      </c>
      <c r="LVI1" t="s">
        <v>8692</v>
      </c>
      <c r="LVJ1" t="s">
        <v>8693</v>
      </c>
      <c r="LVK1" t="s">
        <v>8694</v>
      </c>
      <c r="LVL1" t="s">
        <v>8695</v>
      </c>
      <c r="LVM1" t="s">
        <v>8696</v>
      </c>
      <c r="LVN1" t="s">
        <v>8697</v>
      </c>
      <c r="LVO1" t="s">
        <v>8698</v>
      </c>
      <c r="LVP1" t="s">
        <v>8699</v>
      </c>
      <c r="LVQ1" t="s">
        <v>8700</v>
      </c>
      <c r="LVR1" t="s">
        <v>8701</v>
      </c>
      <c r="LVS1" t="s">
        <v>8702</v>
      </c>
      <c r="LVT1" t="s">
        <v>8703</v>
      </c>
      <c r="LVU1" t="s">
        <v>8704</v>
      </c>
      <c r="LVV1" t="s">
        <v>8705</v>
      </c>
      <c r="LVW1" t="s">
        <v>8706</v>
      </c>
      <c r="LVX1" t="s">
        <v>8707</v>
      </c>
      <c r="LVY1" t="s">
        <v>8708</v>
      </c>
      <c r="LVZ1" t="s">
        <v>8709</v>
      </c>
      <c r="LWA1" t="s">
        <v>8710</v>
      </c>
      <c r="LWB1" t="s">
        <v>8711</v>
      </c>
      <c r="LWC1" t="s">
        <v>8712</v>
      </c>
      <c r="LWD1" t="s">
        <v>8713</v>
      </c>
      <c r="LWE1" t="s">
        <v>8714</v>
      </c>
      <c r="LWF1" t="s">
        <v>8715</v>
      </c>
      <c r="LWG1" t="s">
        <v>8716</v>
      </c>
      <c r="LWH1" t="s">
        <v>8717</v>
      </c>
      <c r="LWI1" t="s">
        <v>8718</v>
      </c>
      <c r="LWJ1" t="s">
        <v>8719</v>
      </c>
      <c r="LWK1" t="s">
        <v>8720</v>
      </c>
      <c r="LWL1" t="s">
        <v>8721</v>
      </c>
      <c r="LWM1" t="s">
        <v>8722</v>
      </c>
      <c r="LWN1" t="s">
        <v>8723</v>
      </c>
      <c r="LWO1" t="s">
        <v>8724</v>
      </c>
      <c r="LWP1" t="s">
        <v>8725</v>
      </c>
      <c r="LWQ1" t="s">
        <v>8726</v>
      </c>
      <c r="LWR1" t="s">
        <v>8727</v>
      </c>
      <c r="LWS1" t="s">
        <v>8728</v>
      </c>
      <c r="LWT1" t="s">
        <v>8729</v>
      </c>
      <c r="LWU1" t="s">
        <v>8730</v>
      </c>
      <c r="LWV1" t="s">
        <v>8731</v>
      </c>
      <c r="LWW1" t="s">
        <v>8732</v>
      </c>
      <c r="LWX1" t="s">
        <v>8733</v>
      </c>
      <c r="LWY1" t="s">
        <v>8734</v>
      </c>
      <c r="LWZ1" t="s">
        <v>8735</v>
      </c>
      <c r="LXA1" t="s">
        <v>8736</v>
      </c>
      <c r="LXB1" t="s">
        <v>8737</v>
      </c>
      <c r="LXC1" t="s">
        <v>8738</v>
      </c>
      <c r="LXD1" t="s">
        <v>8739</v>
      </c>
      <c r="LXE1" t="s">
        <v>8740</v>
      </c>
      <c r="LXF1" t="s">
        <v>8741</v>
      </c>
      <c r="LXG1" t="s">
        <v>8742</v>
      </c>
      <c r="LXH1" t="s">
        <v>8743</v>
      </c>
      <c r="LXI1" t="s">
        <v>8744</v>
      </c>
      <c r="LXJ1" t="s">
        <v>8745</v>
      </c>
      <c r="LXK1" t="s">
        <v>8746</v>
      </c>
      <c r="LXL1" t="s">
        <v>8747</v>
      </c>
      <c r="LXM1" t="s">
        <v>8748</v>
      </c>
      <c r="LXN1" t="s">
        <v>8749</v>
      </c>
      <c r="LXO1" t="s">
        <v>8750</v>
      </c>
      <c r="LXP1" t="s">
        <v>8751</v>
      </c>
      <c r="LXQ1" t="s">
        <v>8752</v>
      </c>
      <c r="LXR1" t="s">
        <v>8753</v>
      </c>
      <c r="LXS1" t="s">
        <v>8754</v>
      </c>
      <c r="LXT1" t="s">
        <v>8755</v>
      </c>
      <c r="LXU1" t="s">
        <v>8756</v>
      </c>
      <c r="LXV1" t="s">
        <v>8757</v>
      </c>
      <c r="LXW1" t="s">
        <v>8758</v>
      </c>
      <c r="LXX1" t="s">
        <v>8759</v>
      </c>
      <c r="LXY1" t="s">
        <v>8760</v>
      </c>
      <c r="LXZ1" t="s">
        <v>8761</v>
      </c>
      <c r="LYA1" t="s">
        <v>8762</v>
      </c>
      <c r="LYB1" t="s">
        <v>8763</v>
      </c>
      <c r="LYC1" t="s">
        <v>8764</v>
      </c>
      <c r="LYD1" t="s">
        <v>8765</v>
      </c>
      <c r="LYE1" t="s">
        <v>8766</v>
      </c>
      <c r="LYF1" t="s">
        <v>8767</v>
      </c>
      <c r="LYG1" t="s">
        <v>8768</v>
      </c>
      <c r="LYH1" t="s">
        <v>8769</v>
      </c>
      <c r="LYI1" t="s">
        <v>8770</v>
      </c>
      <c r="LYJ1" t="s">
        <v>8771</v>
      </c>
      <c r="LYK1" t="s">
        <v>8772</v>
      </c>
      <c r="LYL1" t="s">
        <v>8773</v>
      </c>
      <c r="LYM1" t="s">
        <v>8774</v>
      </c>
      <c r="LYN1" t="s">
        <v>8775</v>
      </c>
      <c r="LYO1" t="s">
        <v>8776</v>
      </c>
      <c r="LYP1" t="s">
        <v>8777</v>
      </c>
      <c r="LYQ1" t="s">
        <v>8778</v>
      </c>
      <c r="LYR1" t="s">
        <v>8779</v>
      </c>
      <c r="LYS1" t="s">
        <v>8780</v>
      </c>
      <c r="LYT1" t="s">
        <v>8781</v>
      </c>
      <c r="LYU1" t="s">
        <v>8782</v>
      </c>
      <c r="LYV1" t="s">
        <v>8783</v>
      </c>
      <c r="LYW1" t="s">
        <v>8784</v>
      </c>
      <c r="LYX1" t="s">
        <v>8785</v>
      </c>
      <c r="LYY1" t="s">
        <v>8786</v>
      </c>
      <c r="LYZ1" t="s">
        <v>8787</v>
      </c>
      <c r="LZA1" t="s">
        <v>8788</v>
      </c>
      <c r="LZB1" t="s">
        <v>8789</v>
      </c>
      <c r="LZC1" t="s">
        <v>8790</v>
      </c>
      <c r="LZD1" t="s">
        <v>8791</v>
      </c>
      <c r="LZE1" t="s">
        <v>8792</v>
      </c>
      <c r="LZF1" t="s">
        <v>8793</v>
      </c>
      <c r="LZG1" t="s">
        <v>8794</v>
      </c>
      <c r="LZH1" t="s">
        <v>8795</v>
      </c>
      <c r="LZI1" t="s">
        <v>8796</v>
      </c>
      <c r="LZJ1" t="s">
        <v>8797</v>
      </c>
      <c r="LZK1" t="s">
        <v>8798</v>
      </c>
      <c r="LZL1" t="s">
        <v>8799</v>
      </c>
      <c r="LZM1" t="s">
        <v>8800</v>
      </c>
      <c r="LZN1" t="s">
        <v>8801</v>
      </c>
      <c r="LZO1" t="s">
        <v>8802</v>
      </c>
      <c r="LZP1" t="s">
        <v>8803</v>
      </c>
      <c r="LZQ1" t="s">
        <v>8804</v>
      </c>
      <c r="LZR1" t="s">
        <v>8805</v>
      </c>
      <c r="LZS1" t="s">
        <v>8806</v>
      </c>
      <c r="LZT1" t="s">
        <v>8807</v>
      </c>
      <c r="LZU1" t="s">
        <v>8808</v>
      </c>
      <c r="LZV1" t="s">
        <v>8809</v>
      </c>
      <c r="LZW1" t="s">
        <v>8810</v>
      </c>
      <c r="LZX1" t="s">
        <v>8811</v>
      </c>
      <c r="LZY1" t="s">
        <v>8812</v>
      </c>
      <c r="LZZ1" t="s">
        <v>8813</v>
      </c>
      <c r="MAA1" t="s">
        <v>8814</v>
      </c>
      <c r="MAB1" t="s">
        <v>8815</v>
      </c>
      <c r="MAC1" t="s">
        <v>8816</v>
      </c>
      <c r="MAD1" t="s">
        <v>8817</v>
      </c>
      <c r="MAE1" t="s">
        <v>8818</v>
      </c>
      <c r="MAF1" t="s">
        <v>8819</v>
      </c>
      <c r="MAG1" t="s">
        <v>8820</v>
      </c>
      <c r="MAH1" t="s">
        <v>8821</v>
      </c>
      <c r="MAI1" t="s">
        <v>8822</v>
      </c>
      <c r="MAJ1" t="s">
        <v>8823</v>
      </c>
      <c r="MAK1" t="s">
        <v>8824</v>
      </c>
      <c r="MAL1" t="s">
        <v>8825</v>
      </c>
      <c r="MAM1" t="s">
        <v>8826</v>
      </c>
      <c r="MAN1" t="s">
        <v>8827</v>
      </c>
      <c r="MAO1" t="s">
        <v>8828</v>
      </c>
      <c r="MAP1" t="s">
        <v>8829</v>
      </c>
      <c r="MAQ1" t="s">
        <v>8830</v>
      </c>
      <c r="MAR1" t="s">
        <v>8831</v>
      </c>
      <c r="MAS1" t="s">
        <v>8832</v>
      </c>
      <c r="MAT1" t="s">
        <v>8833</v>
      </c>
      <c r="MAU1" t="s">
        <v>8834</v>
      </c>
      <c r="MAV1" t="s">
        <v>8835</v>
      </c>
      <c r="MAW1" t="s">
        <v>8836</v>
      </c>
      <c r="MAX1" t="s">
        <v>8837</v>
      </c>
      <c r="MAY1" t="s">
        <v>8838</v>
      </c>
      <c r="MAZ1" t="s">
        <v>8839</v>
      </c>
      <c r="MBA1" t="s">
        <v>8840</v>
      </c>
      <c r="MBB1" t="s">
        <v>8841</v>
      </c>
      <c r="MBC1" t="s">
        <v>8842</v>
      </c>
      <c r="MBD1" t="s">
        <v>8843</v>
      </c>
      <c r="MBE1" t="s">
        <v>8844</v>
      </c>
      <c r="MBF1" t="s">
        <v>8845</v>
      </c>
      <c r="MBG1" t="s">
        <v>8846</v>
      </c>
      <c r="MBH1" t="s">
        <v>8847</v>
      </c>
      <c r="MBI1" t="s">
        <v>8848</v>
      </c>
      <c r="MBJ1" t="s">
        <v>8849</v>
      </c>
      <c r="MBK1" t="s">
        <v>8850</v>
      </c>
      <c r="MBL1" t="s">
        <v>8851</v>
      </c>
      <c r="MBM1" t="s">
        <v>8852</v>
      </c>
      <c r="MBN1" t="s">
        <v>8853</v>
      </c>
      <c r="MBO1" t="s">
        <v>8854</v>
      </c>
      <c r="MBP1" t="s">
        <v>8855</v>
      </c>
      <c r="MBQ1" t="s">
        <v>8856</v>
      </c>
      <c r="MBR1" t="s">
        <v>8857</v>
      </c>
      <c r="MBS1" t="s">
        <v>8858</v>
      </c>
      <c r="MBT1" t="s">
        <v>8859</v>
      </c>
      <c r="MBU1" t="s">
        <v>8860</v>
      </c>
      <c r="MBV1" t="s">
        <v>8861</v>
      </c>
      <c r="MBW1" t="s">
        <v>8862</v>
      </c>
      <c r="MBX1" t="s">
        <v>8863</v>
      </c>
      <c r="MBY1" t="s">
        <v>8864</v>
      </c>
      <c r="MBZ1" t="s">
        <v>8865</v>
      </c>
      <c r="MCA1" t="s">
        <v>8866</v>
      </c>
      <c r="MCB1" t="s">
        <v>8867</v>
      </c>
      <c r="MCC1" t="s">
        <v>8868</v>
      </c>
      <c r="MCD1" t="s">
        <v>8869</v>
      </c>
      <c r="MCE1" t="s">
        <v>8870</v>
      </c>
      <c r="MCF1" t="s">
        <v>8871</v>
      </c>
      <c r="MCG1" t="s">
        <v>8872</v>
      </c>
      <c r="MCH1" t="s">
        <v>8873</v>
      </c>
      <c r="MCI1" t="s">
        <v>8874</v>
      </c>
      <c r="MCJ1" t="s">
        <v>8875</v>
      </c>
      <c r="MCK1" t="s">
        <v>8876</v>
      </c>
      <c r="MCL1" t="s">
        <v>8877</v>
      </c>
      <c r="MCM1" t="s">
        <v>8878</v>
      </c>
      <c r="MCN1" t="s">
        <v>8879</v>
      </c>
      <c r="MCO1" t="s">
        <v>8880</v>
      </c>
      <c r="MCP1" t="s">
        <v>8881</v>
      </c>
      <c r="MCQ1" t="s">
        <v>8882</v>
      </c>
      <c r="MCR1" t="s">
        <v>8883</v>
      </c>
      <c r="MCS1" t="s">
        <v>8884</v>
      </c>
      <c r="MCT1" t="s">
        <v>8885</v>
      </c>
      <c r="MCU1" t="s">
        <v>8886</v>
      </c>
      <c r="MCV1" t="s">
        <v>8887</v>
      </c>
      <c r="MCW1" t="s">
        <v>8888</v>
      </c>
      <c r="MCX1" t="s">
        <v>8889</v>
      </c>
      <c r="MCY1" t="s">
        <v>8890</v>
      </c>
      <c r="MCZ1" t="s">
        <v>8891</v>
      </c>
      <c r="MDA1" t="s">
        <v>8892</v>
      </c>
      <c r="MDB1" t="s">
        <v>8893</v>
      </c>
      <c r="MDC1" t="s">
        <v>8894</v>
      </c>
      <c r="MDD1" t="s">
        <v>8895</v>
      </c>
      <c r="MDE1" t="s">
        <v>8896</v>
      </c>
      <c r="MDF1" t="s">
        <v>8897</v>
      </c>
      <c r="MDG1" t="s">
        <v>8898</v>
      </c>
      <c r="MDH1" t="s">
        <v>8899</v>
      </c>
      <c r="MDI1" t="s">
        <v>8900</v>
      </c>
      <c r="MDJ1" t="s">
        <v>8901</v>
      </c>
      <c r="MDK1" t="s">
        <v>8902</v>
      </c>
      <c r="MDL1" t="s">
        <v>8903</v>
      </c>
      <c r="MDM1" t="s">
        <v>8904</v>
      </c>
      <c r="MDN1" t="s">
        <v>8905</v>
      </c>
      <c r="MDO1" t="s">
        <v>8906</v>
      </c>
      <c r="MDP1" t="s">
        <v>8907</v>
      </c>
      <c r="MDQ1" t="s">
        <v>8908</v>
      </c>
      <c r="MDR1" t="s">
        <v>8909</v>
      </c>
      <c r="MDS1" t="s">
        <v>8910</v>
      </c>
      <c r="MDT1" t="s">
        <v>8911</v>
      </c>
      <c r="MDU1" t="s">
        <v>8912</v>
      </c>
      <c r="MDV1" t="s">
        <v>8913</v>
      </c>
      <c r="MDW1" t="s">
        <v>8914</v>
      </c>
      <c r="MDX1" t="s">
        <v>8915</v>
      </c>
      <c r="MDY1" t="s">
        <v>8916</v>
      </c>
      <c r="MDZ1" t="s">
        <v>8917</v>
      </c>
      <c r="MEA1" t="s">
        <v>8918</v>
      </c>
      <c r="MEB1" t="s">
        <v>8919</v>
      </c>
      <c r="MEC1" t="s">
        <v>8920</v>
      </c>
      <c r="MED1" t="s">
        <v>8921</v>
      </c>
      <c r="MEE1" t="s">
        <v>8922</v>
      </c>
      <c r="MEF1" t="s">
        <v>8923</v>
      </c>
      <c r="MEG1" t="s">
        <v>8924</v>
      </c>
      <c r="MEH1" t="s">
        <v>8925</v>
      </c>
      <c r="MEI1" t="s">
        <v>8926</v>
      </c>
      <c r="MEJ1" t="s">
        <v>8927</v>
      </c>
      <c r="MEK1" t="s">
        <v>8928</v>
      </c>
      <c r="MEL1" t="s">
        <v>8929</v>
      </c>
      <c r="MEM1" t="s">
        <v>8930</v>
      </c>
      <c r="MEN1" t="s">
        <v>8931</v>
      </c>
      <c r="MEO1" t="s">
        <v>8932</v>
      </c>
      <c r="MEP1" t="s">
        <v>8933</v>
      </c>
      <c r="MEQ1" t="s">
        <v>8934</v>
      </c>
      <c r="MER1" t="s">
        <v>8935</v>
      </c>
      <c r="MES1" t="s">
        <v>8936</v>
      </c>
      <c r="MET1" t="s">
        <v>8937</v>
      </c>
      <c r="MEU1" t="s">
        <v>8938</v>
      </c>
      <c r="MEV1" t="s">
        <v>8939</v>
      </c>
      <c r="MEW1" t="s">
        <v>8940</v>
      </c>
      <c r="MEX1" t="s">
        <v>8941</v>
      </c>
      <c r="MEY1" t="s">
        <v>8942</v>
      </c>
      <c r="MEZ1" t="s">
        <v>8943</v>
      </c>
      <c r="MFA1" t="s">
        <v>8944</v>
      </c>
      <c r="MFB1" t="s">
        <v>8945</v>
      </c>
      <c r="MFC1" t="s">
        <v>8946</v>
      </c>
      <c r="MFD1" t="s">
        <v>8947</v>
      </c>
      <c r="MFE1" t="s">
        <v>8948</v>
      </c>
      <c r="MFF1" t="s">
        <v>8949</v>
      </c>
      <c r="MFG1" t="s">
        <v>8950</v>
      </c>
      <c r="MFH1" t="s">
        <v>8951</v>
      </c>
      <c r="MFI1" t="s">
        <v>8952</v>
      </c>
      <c r="MFJ1" t="s">
        <v>8953</v>
      </c>
      <c r="MFK1" t="s">
        <v>8954</v>
      </c>
      <c r="MFL1" t="s">
        <v>8955</v>
      </c>
      <c r="MFM1" t="s">
        <v>8956</v>
      </c>
      <c r="MFN1" t="s">
        <v>8957</v>
      </c>
      <c r="MFO1" t="s">
        <v>8958</v>
      </c>
      <c r="MFP1" t="s">
        <v>8959</v>
      </c>
      <c r="MFQ1" t="s">
        <v>8960</v>
      </c>
      <c r="MFR1" t="s">
        <v>8961</v>
      </c>
      <c r="MFS1" t="s">
        <v>8962</v>
      </c>
      <c r="MFT1" t="s">
        <v>8963</v>
      </c>
      <c r="MFU1" t="s">
        <v>8964</v>
      </c>
      <c r="MFV1" t="s">
        <v>8965</v>
      </c>
      <c r="MFW1" t="s">
        <v>8966</v>
      </c>
      <c r="MFX1" t="s">
        <v>8967</v>
      </c>
      <c r="MFY1" t="s">
        <v>8968</v>
      </c>
      <c r="MFZ1" t="s">
        <v>8969</v>
      </c>
      <c r="MGA1" t="s">
        <v>8970</v>
      </c>
      <c r="MGB1" t="s">
        <v>8971</v>
      </c>
      <c r="MGC1" t="s">
        <v>8972</v>
      </c>
      <c r="MGD1" t="s">
        <v>8973</v>
      </c>
      <c r="MGE1" t="s">
        <v>8974</v>
      </c>
      <c r="MGF1" t="s">
        <v>8975</v>
      </c>
      <c r="MGG1" t="s">
        <v>8976</v>
      </c>
      <c r="MGH1" t="s">
        <v>8977</v>
      </c>
      <c r="MGI1" t="s">
        <v>8978</v>
      </c>
      <c r="MGJ1" t="s">
        <v>8979</v>
      </c>
      <c r="MGK1" t="s">
        <v>8980</v>
      </c>
      <c r="MGL1" t="s">
        <v>8981</v>
      </c>
      <c r="MGM1" t="s">
        <v>8982</v>
      </c>
      <c r="MGN1" t="s">
        <v>8983</v>
      </c>
      <c r="MGO1" t="s">
        <v>8984</v>
      </c>
      <c r="MGP1" t="s">
        <v>8985</v>
      </c>
      <c r="MGQ1" t="s">
        <v>8986</v>
      </c>
      <c r="MGR1" t="s">
        <v>8987</v>
      </c>
      <c r="MGS1" t="s">
        <v>8988</v>
      </c>
      <c r="MGT1" t="s">
        <v>8989</v>
      </c>
      <c r="MGU1" t="s">
        <v>8990</v>
      </c>
      <c r="MGV1" t="s">
        <v>8991</v>
      </c>
      <c r="MGW1" t="s">
        <v>8992</v>
      </c>
      <c r="MGX1" t="s">
        <v>8993</v>
      </c>
      <c r="MGY1" t="s">
        <v>8994</v>
      </c>
      <c r="MGZ1" t="s">
        <v>8995</v>
      </c>
      <c r="MHA1" t="s">
        <v>8996</v>
      </c>
      <c r="MHB1" t="s">
        <v>8997</v>
      </c>
      <c r="MHC1" t="s">
        <v>8998</v>
      </c>
      <c r="MHD1" t="s">
        <v>8999</v>
      </c>
      <c r="MHE1" t="s">
        <v>9000</v>
      </c>
      <c r="MHF1" t="s">
        <v>9001</v>
      </c>
      <c r="MHG1" t="s">
        <v>9002</v>
      </c>
      <c r="MHH1" t="s">
        <v>9003</v>
      </c>
      <c r="MHI1" t="s">
        <v>9004</v>
      </c>
      <c r="MHJ1" t="s">
        <v>9005</v>
      </c>
      <c r="MHK1" t="s">
        <v>9006</v>
      </c>
      <c r="MHL1" t="s">
        <v>9007</v>
      </c>
      <c r="MHM1" t="s">
        <v>9008</v>
      </c>
      <c r="MHN1" t="s">
        <v>9009</v>
      </c>
      <c r="MHO1" t="s">
        <v>9010</v>
      </c>
      <c r="MHP1" t="s">
        <v>9011</v>
      </c>
      <c r="MHQ1" t="s">
        <v>9012</v>
      </c>
      <c r="MHR1" t="s">
        <v>9013</v>
      </c>
      <c r="MHS1" t="s">
        <v>9014</v>
      </c>
      <c r="MHT1" t="s">
        <v>9015</v>
      </c>
      <c r="MHU1" t="s">
        <v>9016</v>
      </c>
      <c r="MHV1" t="s">
        <v>9017</v>
      </c>
      <c r="MHW1" t="s">
        <v>9018</v>
      </c>
      <c r="MHX1" t="s">
        <v>9019</v>
      </c>
      <c r="MHY1" t="s">
        <v>9020</v>
      </c>
      <c r="MHZ1" t="s">
        <v>9021</v>
      </c>
      <c r="MIA1" t="s">
        <v>9022</v>
      </c>
      <c r="MIB1" t="s">
        <v>9023</v>
      </c>
      <c r="MIC1" t="s">
        <v>9024</v>
      </c>
      <c r="MID1" t="s">
        <v>9025</v>
      </c>
      <c r="MIE1" t="s">
        <v>9026</v>
      </c>
      <c r="MIF1" t="s">
        <v>9027</v>
      </c>
      <c r="MIG1" t="s">
        <v>9028</v>
      </c>
      <c r="MIH1" t="s">
        <v>9029</v>
      </c>
      <c r="MII1" t="s">
        <v>9030</v>
      </c>
      <c r="MIJ1" t="s">
        <v>9031</v>
      </c>
      <c r="MIK1" t="s">
        <v>9032</v>
      </c>
      <c r="MIL1" t="s">
        <v>9033</v>
      </c>
      <c r="MIM1" t="s">
        <v>9034</v>
      </c>
      <c r="MIN1" t="s">
        <v>9035</v>
      </c>
      <c r="MIO1" t="s">
        <v>9036</v>
      </c>
      <c r="MIP1" t="s">
        <v>9037</v>
      </c>
      <c r="MIQ1" t="s">
        <v>9038</v>
      </c>
      <c r="MIR1" t="s">
        <v>9039</v>
      </c>
      <c r="MIS1" t="s">
        <v>9040</v>
      </c>
      <c r="MIT1" t="s">
        <v>9041</v>
      </c>
      <c r="MIU1" t="s">
        <v>9042</v>
      </c>
      <c r="MIV1" t="s">
        <v>9043</v>
      </c>
      <c r="MIW1" t="s">
        <v>9044</v>
      </c>
      <c r="MIX1" t="s">
        <v>9045</v>
      </c>
      <c r="MIY1" t="s">
        <v>9046</v>
      </c>
      <c r="MIZ1" t="s">
        <v>9047</v>
      </c>
      <c r="MJA1" t="s">
        <v>9048</v>
      </c>
      <c r="MJB1" t="s">
        <v>9049</v>
      </c>
      <c r="MJC1" t="s">
        <v>9050</v>
      </c>
      <c r="MJD1" t="s">
        <v>9051</v>
      </c>
      <c r="MJE1" t="s">
        <v>9052</v>
      </c>
      <c r="MJF1" t="s">
        <v>9053</v>
      </c>
      <c r="MJG1" t="s">
        <v>9054</v>
      </c>
      <c r="MJH1" t="s">
        <v>9055</v>
      </c>
      <c r="MJI1" t="s">
        <v>9056</v>
      </c>
      <c r="MJJ1" t="s">
        <v>9057</v>
      </c>
      <c r="MJK1" t="s">
        <v>9058</v>
      </c>
      <c r="MJL1" t="s">
        <v>9059</v>
      </c>
      <c r="MJM1" t="s">
        <v>9060</v>
      </c>
      <c r="MJN1" t="s">
        <v>9061</v>
      </c>
      <c r="MJO1" t="s">
        <v>9062</v>
      </c>
      <c r="MJP1" t="s">
        <v>9063</v>
      </c>
      <c r="MJQ1" t="s">
        <v>9064</v>
      </c>
      <c r="MJR1" t="s">
        <v>9065</v>
      </c>
      <c r="MJS1" t="s">
        <v>9066</v>
      </c>
      <c r="MJT1" t="s">
        <v>9067</v>
      </c>
      <c r="MJU1" t="s">
        <v>9068</v>
      </c>
      <c r="MJV1" t="s">
        <v>9069</v>
      </c>
      <c r="MJW1" t="s">
        <v>9070</v>
      </c>
      <c r="MJX1" t="s">
        <v>9071</v>
      </c>
      <c r="MJY1" t="s">
        <v>9072</v>
      </c>
      <c r="MJZ1" t="s">
        <v>9073</v>
      </c>
      <c r="MKA1" t="s">
        <v>9074</v>
      </c>
      <c r="MKB1" t="s">
        <v>9075</v>
      </c>
      <c r="MKC1" t="s">
        <v>9076</v>
      </c>
      <c r="MKD1" t="s">
        <v>9077</v>
      </c>
      <c r="MKE1" t="s">
        <v>9078</v>
      </c>
      <c r="MKF1" t="s">
        <v>9079</v>
      </c>
      <c r="MKG1" t="s">
        <v>9080</v>
      </c>
      <c r="MKH1" t="s">
        <v>9081</v>
      </c>
      <c r="MKI1" t="s">
        <v>9082</v>
      </c>
      <c r="MKJ1" t="s">
        <v>9083</v>
      </c>
      <c r="MKK1" t="s">
        <v>9084</v>
      </c>
      <c r="MKL1" t="s">
        <v>9085</v>
      </c>
      <c r="MKM1" t="s">
        <v>9086</v>
      </c>
      <c r="MKN1" t="s">
        <v>9087</v>
      </c>
      <c r="MKO1" t="s">
        <v>9088</v>
      </c>
      <c r="MKP1" t="s">
        <v>9089</v>
      </c>
      <c r="MKQ1" t="s">
        <v>9090</v>
      </c>
      <c r="MKR1" t="s">
        <v>9091</v>
      </c>
      <c r="MKS1" t="s">
        <v>9092</v>
      </c>
      <c r="MKT1" t="s">
        <v>9093</v>
      </c>
      <c r="MKU1" t="s">
        <v>9094</v>
      </c>
      <c r="MKV1" t="s">
        <v>9095</v>
      </c>
      <c r="MKW1" t="s">
        <v>9096</v>
      </c>
      <c r="MKX1" t="s">
        <v>9097</v>
      </c>
      <c r="MKY1" t="s">
        <v>9098</v>
      </c>
      <c r="MKZ1" t="s">
        <v>9099</v>
      </c>
      <c r="MLA1" t="s">
        <v>9100</v>
      </c>
      <c r="MLB1" t="s">
        <v>9101</v>
      </c>
      <c r="MLC1" t="s">
        <v>9102</v>
      </c>
      <c r="MLD1" t="s">
        <v>9103</v>
      </c>
      <c r="MLE1" t="s">
        <v>9104</v>
      </c>
      <c r="MLF1" t="s">
        <v>9105</v>
      </c>
      <c r="MLG1" t="s">
        <v>9106</v>
      </c>
      <c r="MLH1" t="s">
        <v>9107</v>
      </c>
      <c r="MLI1" t="s">
        <v>9108</v>
      </c>
      <c r="MLJ1" t="s">
        <v>9109</v>
      </c>
      <c r="MLK1" t="s">
        <v>9110</v>
      </c>
      <c r="MLL1" t="s">
        <v>9111</v>
      </c>
      <c r="MLM1" t="s">
        <v>9112</v>
      </c>
      <c r="MLN1" t="s">
        <v>9113</v>
      </c>
      <c r="MLO1" t="s">
        <v>9114</v>
      </c>
      <c r="MLP1" t="s">
        <v>9115</v>
      </c>
      <c r="MLQ1" t="s">
        <v>9116</v>
      </c>
      <c r="MLR1" t="s">
        <v>9117</v>
      </c>
      <c r="MLS1" t="s">
        <v>9118</v>
      </c>
      <c r="MLT1" t="s">
        <v>9119</v>
      </c>
      <c r="MLU1" t="s">
        <v>9120</v>
      </c>
      <c r="MLV1" t="s">
        <v>9121</v>
      </c>
      <c r="MLW1" t="s">
        <v>9122</v>
      </c>
      <c r="MLX1" t="s">
        <v>9123</v>
      </c>
      <c r="MLY1" t="s">
        <v>9124</v>
      </c>
      <c r="MLZ1" t="s">
        <v>9125</v>
      </c>
      <c r="MMA1" t="s">
        <v>9126</v>
      </c>
      <c r="MMB1" t="s">
        <v>9127</v>
      </c>
      <c r="MMC1" t="s">
        <v>9128</v>
      </c>
      <c r="MMD1" t="s">
        <v>9129</v>
      </c>
      <c r="MME1" t="s">
        <v>9130</v>
      </c>
      <c r="MMF1" t="s">
        <v>9131</v>
      </c>
      <c r="MMG1" t="s">
        <v>9132</v>
      </c>
      <c r="MMH1" t="s">
        <v>9133</v>
      </c>
      <c r="MMI1" t="s">
        <v>9134</v>
      </c>
      <c r="MMJ1" t="s">
        <v>9135</v>
      </c>
      <c r="MMK1" t="s">
        <v>9136</v>
      </c>
      <c r="MML1" t="s">
        <v>9137</v>
      </c>
      <c r="MMM1" t="s">
        <v>9138</v>
      </c>
      <c r="MMN1" t="s">
        <v>9139</v>
      </c>
      <c r="MMO1" t="s">
        <v>9140</v>
      </c>
      <c r="MMP1" t="s">
        <v>9141</v>
      </c>
      <c r="MMQ1" t="s">
        <v>9142</v>
      </c>
      <c r="MMR1" t="s">
        <v>9143</v>
      </c>
      <c r="MMS1" t="s">
        <v>9144</v>
      </c>
      <c r="MMT1" t="s">
        <v>9145</v>
      </c>
      <c r="MMU1" t="s">
        <v>9146</v>
      </c>
      <c r="MMV1" t="s">
        <v>9147</v>
      </c>
      <c r="MMW1" t="s">
        <v>9148</v>
      </c>
      <c r="MMX1" t="s">
        <v>9149</v>
      </c>
      <c r="MMY1" t="s">
        <v>9150</v>
      </c>
      <c r="MMZ1" t="s">
        <v>9151</v>
      </c>
      <c r="MNA1" t="s">
        <v>9152</v>
      </c>
      <c r="MNB1" t="s">
        <v>9153</v>
      </c>
      <c r="MNC1" t="s">
        <v>9154</v>
      </c>
      <c r="MND1" t="s">
        <v>9155</v>
      </c>
      <c r="MNE1" t="s">
        <v>9156</v>
      </c>
      <c r="MNF1" t="s">
        <v>9157</v>
      </c>
      <c r="MNG1" t="s">
        <v>9158</v>
      </c>
      <c r="MNH1" t="s">
        <v>9159</v>
      </c>
      <c r="MNI1" t="s">
        <v>9160</v>
      </c>
      <c r="MNJ1" t="s">
        <v>9161</v>
      </c>
      <c r="MNK1" t="s">
        <v>9162</v>
      </c>
      <c r="MNL1" t="s">
        <v>9163</v>
      </c>
      <c r="MNM1" t="s">
        <v>9164</v>
      </c>
      <c r="MNN1" t="s">
        <v>9165</v>
      </c>
      <c r="MNO1" t="s">
        <v>9166</v>
      </c>
      <c r="MNP1" t="s">
        <v>9167</v>
      </c>
      <c r="MNQ1" t="s">
        <v>9168</v>
      </c>
      <c r="MNR1" t="s">
        <v>9169</v>
      </c>
      <c r="MNS1" t="s">
        <v>9170</v>
      </c>
      <c r="MNT1" t="s">
        <v>9171</v>
      </c>
      <c r="MNU1" t="s">
        <v>9172</v>
      </c>
      <c r="MNV1" t="s">
        <v>9173</v>
      </c>
      <c r="MNW1" t="s">
        <v>9174</v>
      </c>
      <c r="MNX1" t="s">
        <v>9175</v>
      </c>
      <c r="MNY1" t="s">
        <v>9176</v>
      </c>
      <c r="MNZ1" t="s">
        <v>9177</v>
      </c>
      <c r="MOA1" t="s">
        <v>9178</v>
      </c>
      <c r="MOB1" t="s">
        <v>9179</v>
      </c>
      <c r="MOC1" t="s">
        <v>9180</v>
      </c>
      <c r="MOD1" t="s">
        <v>9181</v>
      </c>
      <c r="MOE1" t="s">
        <v>9182</v>
      </c>
      <c r="MOF1" t="s">
        <v>9183</v>
      </c>
      <c r="MOG1" t="s">
        <v>9184</v>
      </c>
      <c r="MOH1" t="s">
        <v>9185</v>
      </c>
      <c r="MOI1" t="s">
        <v>9186</v>
      </c>
      <c r="MOJ1" t="s">
        <v>9187</v>
      </c>
      <c r="MOK1" t="s">
        <v>9188</v>
      </c>
      <c r="MOL1" t="s">
        <v>9189</v>
      </c>
      <c r="MOM1" t="s">
        <v>9190</v>
      </c>
      <c r="MON1" t="s">
        <v>9191</v>
      </c>
      <c r="MOO1" t="s">
        <v>9192</v>
      </c>
      <c r="MOP1" t="s">
        <v>9193</v>
      </c>
      <c r="MOQ1" t="s">
        <v>9194</v>
      </c>
      <c r="MOR1" t="s">
        <v>9195</v>
      </c>
      <c r="MOS1" t="s">
        <v>9196</v>
      </c>
      <c r="MOT1" t="s">
        <v>9197</v>
      </c>
      <c r="MOU1" t="s">
        <v>9198</v>
      </c>
      <c r="MOV1" t="s">
        <v>9199</v>
      </c>
      <c r="MOW1" t="s">
        <v>9200</v>
      </c>
      <c r="MOX1" t="s">
        <v>9201</v>
      </c>
      <c r="MOY1" t="s">
        <v>9202</v>
      </c>
      <c r="MOZ1" t="s">
        <v>9203</v>
      </c>
      <c r="MPA1" t="s">
        <v>9204</v>
      </c>
      <c r="MPB1" t="s">
        <v>9205</v>
      </c>
      <c r="MPC1" t="s">
        <v>9206</v>
      </c>
      <c r="MPD1" t="s">
        <v>9207</v>
      </c>
      <c r="MPE1" t="s">
        <v>9208</v>
      </c>
      <c r="MPF1" t="s">
        <v>9209</v>
      </c>
      <c r="MPG1" t="s">
        <v>9210</v>
      </c>
      <c r="MPH1" t="s">
        <v>9211</v>
      </c>
      <c r="MPI1" t="s">
        <v>9212</v>
      </c>
      <c r="MPJ1" t="s">
        <v>9213</v>
      </c>
      <c r="MPK1" t="s">
        <v>9214</v>
      </c>
      <c r="MPL1" t="s">
        <v>9215</v>
      </c>
      <c r="MPM1" t="s">
        <v>9216</v>
      </c>
      <c r="MPN1" t="s">
        <v>9217</v>
      </c>
      <c r="MPO1" t="s">
        <v>9218</v>
      </c>
      <c r="MPP1" t="s">
        <v>9219</v>
      </c>
      <c r="MPQ1" t="s">
        <v>9220</v>
      </c>
      <c r="MPR1" t="s">
        <v>9221</v>
      </c>
      <c r="MPS1" t="s">
        <v>9222</v>
      </c>
      <c r="MPT1" t="s">
        <v>9223</v>
      </c>
      <c r="MPU1" t="s">
        <v>9224</v>
      </c>
      <c r="MPV1" t="s">
        <v>9225</v>
      </c>
      <c r="MPW1" t="s">
        <v>9226</v>
      </c>
      <c r="MPX1" t="s">
        <v>9227</v>
      </c>
      <c r="MPY1" t="s">
        <v>9228</v>
      </c>
      <c r="MPZ1" t="s">
        <v>9229</v>
      </c>
      <c r="MQA1" t="s">
        <v>9230</v>
      </c>
      <c r="MQB1" t="s">
        <v>9231</v>
      </c>
      <c r="MQC1" t="s">
        <v>9232</v>
      </c>
      <c r="MQD1" t="s">
        <v>9233</v>
      </c>
      <c r="MQE1" t="s">
        <v>9234</v>
      </c>
      <c r="MQF1" t="s">
        <v>9235</v>
      </c>
      <c r="MQG1" t="s">
        <v>9236</v>
      </c>
      <c r="MQH1" t="s">
        <v>9237</v>
      </c>
      <c r="MQI1" t="s">
        <v>9238</v>
      </c>
      <c r="MQJ1" t="s">
        <v>9239</v>
      </c>
      <c r="MQK1" t="s">
        <v>9240</v>
      </c>
      <c r="MQL1" t="s">
        <v>9241</v>
      </c>
      <c r="MQM1" t="s">
        <v>9242</v>
      </c>
      <c r="MQN1" t="s">
        <v>9243</v>
      </c>
      <c r="MQO1" t="s">
        <v>9244</v>
      </c>
      <c r="MQP1" t="s">
        <v>9245</v>
      </c>
      <c r="MQQ1" t="s">
        <v>9246</v>
      </c>
      <c r="MQR1" t="s">
        <v>9247</v>
      </c>
      <c r="MQS1" t="s">
        <v>9248</v>
      </c>
      <c r="MQT1" t="s">
        <v>9249</v>
      </c>
      <c r="MQU1" t="s">
        <v>9250</v>
      </c>
      <c r="MQV1" t="s">
        <v>9251</v>
      </c>
      <c r="MQW1" t="s">
        <v>9252</v>
      </c>
      <c r="MQX1" t="s">
        <v>9253</v>
      </c>
      <c r="MQY1" t="s">
        <v>9254</v>
      </c>
      <c r="MQZ1" t="s">
        <v>9255</v>
      </c>
      <c r="MRA1" t="s">
        <v>9256</v>
      </c>
      <c r="MRB1" t="s">
        <v>9257</v>
      </c>
      <c r="MRC1" t="s">
        <v>9258</v>
      </c>
      <c r="MRD1" t="s">
        <v>9259</v>
      </c>
      <c r="MRE1" t="s">
        <v>9260</v>
      </c>
      <c r="MRF1" t="s">
        <v>9261</v>
      </c>
      <c r="MRG1" t="s">
        <v>9262</v>
      </c>
      <c r="MRH1" t="s">
        <v>9263</v>
      </c>
      <c r="MRI1" t="s">
        <v>9264</v>
      </c>
      <c r="MRJ1" t="s">
        <v>9265</v>
      </c>
      <c r="MRK1" t="s">
        <v>9266</v>
      </c>
      <c r="MRL1" t="s">
        <v>9267</v>
      </c>
      <c r="MRM1" t="s">
        <v>9268</v>
      </c>
      <c r="MRN1" t="s">
        <v>9269</v>
      </c>
      <c r="MRO1" t="s">
        <v>9270</v>
      </c>
      <c r="MRP1" t="s">
        <v>9271</v>
      </c>
      <c r="MRQ1" t="s">
        <v>9272</v>
      </c>
      <c r="MRR1" t="s">
        <v>9273</v>
      </c>
      <c r="MRS1" t="s">
        <v>9274</v>
      </c>
      <c r="MRT1" t="s">
        <v>9275</v>
      </c>
      <c r="MRU1" t="s">
        <v>9276</v>
      </c>
      <c r="MRV1" t="s">
        <v>9277</v>
      </c>
      <c r="MRW1" t="s">
        <v>9278</v>
      </c>
      <c r="MRX1" t="s">
        <v>9279</v>
      </c>
      <c r="MRY1" t="s">
        <v>9280</v>
      </c>
      <c r="MRZ1" t="s">
        <v>9281</v>
      </c>
      <c r="MSA1" t="s">
        <v>9282</v>
      </c>
      <c r="MSB1" t="s">
        <v>9283</v>
      </c>
      <c r="MSC1" t="s">
        <v>9284</v>
      </c>
      <c r="MSD1" t="s">
        <v>9285</v>
      </c>
      <c r="MSE1" t="s">
        <v>9286</v>
      </c>
      <c r="MSF1" t="s">
        <v>9287</v>
      </c>
      <c r="MSG1" t="s">
        <v>9288</v>
      </c>
      <c r="MSH1" t="s">
        <v>9289</v>
      </c>
      <c r="MSI1" t="s">
        <v>9290</v>
      </c>
      <c r="MSJ1" t="s">
        <v>9291</v>
      </c>
      <c r="MSK1" t="s">
        <v>9292</v>
      </c>
      <c r="MSL1" t="s">
        <v>9293</v>
      </c>
      <c r="MSM1" t="s">
        <v>9294</v>
      </c>
      <c r="MSN1" t="s">
        <v>9295</v>
      </c>
      <c r="MSO1" t="s">
        <v>9296</v>
      </c>
      <c r="MSP1" t="s">
        <v>9297</v>
      </c>
      <c r="MSQ1" t="s">
        <v>9298</v>
      </c>
      <c r="MSR1" t="s">
        <v>9299</v>
      </c>
      <c r="MSS1" t="s">
        <v>9300</v>
      </c>
      <c r="MST1" t="s">
        <v>9301</v>
      </c>
      <c r="MSU1" t="s">
        <v>9302</v>
      </c>
      <c r="MSV1" t="s">
        <v>9303</v>
      </c>
      <c r="MSW1" t="s">
        <v>9304</v>
      </c>
      <c r="MSX1" t="s">
        <v>9305</v>
      </c>
      <c r="MSY1" t="s">
        <v>9306</v>
      </c>
      <c r="MSZ1" t="s">
        <v>9307</v>
      </c>
      <c r="MTA1" t="s">
        <v>9308</v>
      </c>
      <c r="MTB1" t="s">
        <v>9309</v>
      </c>
      <c r="MTC1" t="s">
        <v>9310</v>
      </c>
      <c r="MTD1" t="s">
        <v>9311</v>
      </c>
      <c r="MTE1" t="s">
        <v>9312</v>
      </c>
      <c r="MTF1" t="s">
        <v>9313</v>
      </c>
      <c r="MTG1" t="s">
        <v>9314</v>
      </c>
      <c r="MTH1" t="s">
        <v>9315</v>
      </c>
      <c r="MTI1" t="s">
        <v>9316</v>
      </c>
      <c r="MTJ1" t="s">
        <v>9317</v>
      </c>
      <c r="MTK1" t="s">
        <v>9318</v>
      </c>
      <c r="MTL1" t="s">
        <v>9319</v>
      </c>
      <c r="MTM1" t="s">
        <v>9320</v>
      </c>
      <c r="MTN1" t="s">
        <v>9321</v>
      </c>
      <c r="MTO1" t="s">
        <v>9322</v>
      </c>
      <c r="MTP1" t="s">
        <v>9323</v>
      </c>
      <c r="MTQ1" t="s">
        <v>9324</v>
      </c>
      <c r="MTR1" t="s">
        <v>9325</v>
      </c>
      <c r="MTS1" t="s">
        <v>9326</v>
      </c>
      <c r="MTT1" t="s">
        <v>9327</v>
      </c>
      <c r="MTU1" t="s">
        <v>9328</v>
      </c>
      <c r="MTV1" t="s">
        <v>9329</v>
      </c>
      <c r="MTW1" t="s">
        <v>9330</v>
      </c>
      <c r="MTX1" t="s">
        <v>9331</v>
      </c>
      <c r="MTY1" t="s">
        <v>9332</v>
      </c>
      <c r="MTZ1" t="s">
        <v>9333</v>
      </c>
      <c r="MUA1" t="s">
        <v>9334</v>
      </c>
      <c r="MUB1" t="s">
        <v>9335</v>
      </c>
      <c r="MUC1" t="s">
        <v>9336</v>
      </c>
      <c r="MUD1" t="s">
        <v>9337</v>
      </c>
      <c r="MUE1" t="s">
        <v>9338</v>
      </c>
      <c r="MUF1" t="s">
        <v>9339</v>
      </c>
      <c r="MUG1" t="s">
        <v>9340</v>
      </c>
      <c r="MUH1" t="s">
        <v>9341</v>
      </c>
      <c r="MUI1" t="s">
        <v>9342</v>
      </c>
      <c r="MUJ1" t="s">
        <v>9343</v>
      </c>
      <c r="MUK1" t="s">
        <v>9344</v>
      </c>
      <c r="MUL1" t="s">
        <v>9345</v>
      </c>
      <c r="MUM1" t="s">
        <v>9346</v>
      </c>
      <c r="MUN1" t="s">
        <v>9347</v>
      </c>
      <c r="MUO1" t="s">
        <v>9348</v>
      </c>
      <c r="MUP1" t="s">
        <v>9349</v>
      </c>
      <c r="MUQ1" t="s">
        <v>9350</v>
      </c>
      <c r="MUR1" t="s">
        <v>9351</v>
      </c>
      <c r="MUS1" t="s">
        <v>9352</v>
      </c>
      <c r="MUT1" t="s">
        <v>9353</v>
      </c>
      <c r="MUU1" t="s">
        <v>9354</v>
      </c>
      <c r="MUV1" t="s">
        <v>9355</v>
      </c>
      <c r="MUW1" t="s">
        <v>9356</v>
      </c>
      <c r="MUX1" t="s">
        <v>9357</v>
      </c>
      <c r="MUY1" t="s">
        <v>9358</v>
      </c>
      <c r="MUZ1" t="s">
        <v>9359</v>
      </c>
      <c r="MVA1" t="s">
        <v>9360</v>
      </c>
      <c r="MVB1" t="s">
        <v>9361</v>
      </c>
      <c r="MVC1" t="s">
        <v>9362</v>
      </c>
      <c r="MVD1" t="s">
        <v>9363</v>
      </c>
      <c r="MVE1" t="s">
        <v>9364</v>
      </c>
      <c r="MVF1" t="s">
        <v>9365</v>
      </c>
      <c r="MVG1" t="s">
        <v>9366</v>
      </c>
      <c r="MVH1" t="s">
        <v>9367</v>
      </c>
      <c r="MVI1" t="s">
        <v>9368</v>
      </c>
      <c r="MVJ1" t="s">
        <v>9369</v>
      </c>
      <c r="MVK1" t="s">
        <v>9370</v>
      </c>
      <c r="MVL1" t="s">
        <v>9371</v>
      </c>
      <c r="MVM1" t="s">
        <v>9372</v>
      </c>
      <c r="MVN1" t="s">
        <v>9373</v>
      </c>
      <c r="MVO1" t="s">
        <v>9374</v>
      </c>
      <c r="MVP1" t="s">
        <v>9375</v>
      </c>
      <c r="MVQ1" t="s">
        <v>9376</v>
      </c>
      <c r="MVR1" t="s">
        <v>9377</v>
      </c>
      <c r="MVS1" t="s">
        <v>9378</v>
      </c>
      <c r="MVT1" t="s">
        <v>9379</v>
      </c>
      <c r="MVU1" t="s">
        <v>9380</v>
      </c>
      <c r="MVV1" t="s">
        <v>9381</v>
      </c>
      <c r="MVW1" t="s">
        <v>9382</v>
      </c>
      <c r="MVX1" t="s">
        <v>9383</v>
      </c>
      <c r="MVY1" t="s">
        <v>9384</v>
      </c>
      <c r="MVZ1" t="s">
        <v>9385</v>
      </c>
      <c r="MWA1" t="s">
        <v>9386</v>
      </c>
      <c r="MWB1" t="s">
        <v>9387</v>
      </c>
      <c r="MWC1" t="s">
        <v>9388</v>
      </c>
      <c r="MWD1" t="s">
        <v>9389</v>
      </c>
      <c r="MWE1" t="s">
        <v>9390</v>
      </c>
      <c r="MWF1" t="s">
        <v>9391</v>
      </c>
      <c r="MWG1" t="s">
        <v>9392</v>
      </c>
      <c r="MWH1" t="s">
        <v>9393</v>
      </c>
      <c r="MWI1" t="s">
        <v>9394</v>
      </c>
      <c r="MWJ1" t="s">
        <v>9395</v>
      </c>
      <c r="MWK1" t="s">
        <v>9396</v>
      </c>
      <c r="MWL1" t="s">
        <v>9397</v>
      </c>
      <c r="MWM1" t="s">
        <v>9398</v>
      </c>
      <c r="MWN1" t="s">
        <v>9399</v>
      </c>
      <c r="MWO1" t="s">
        <v>9400</v>
      </c>
      <c r="MWP1" t="s">
        <v>9401</v>
      </c>
      <c r="MWQ1" t="s">
        <v>9402</v>
      </c>
      <c r="MWR1" t="s">
        <v>9403</v>
      </c>
      <c r="MWS1" t="s">
        <v>9404</v>
      </c>
      <c r="MWT1" t="s">
        <v>9405</v>
      </c>
      <c r="MWU1" t="s">
        <v>9406</v>
      </c>
      <c r="MWV1" t="s">
        <v>9407</v>
      </c>
      <c r="MWW1" t="s">
        <v>9408</v>
      </c>
      <c r="MWX1" t="s">
        <v>9409</v>
      </c>
      <c r="MWY1" t="s">
        <v>9410</v>
      </c>
      <c r="MWZ1" t="s">
        <v>9411</v>
      </c>
      <c r="MXA1" t="s">
        <v>9412</v>
      </c>
      <c r="MXB1" t="s">
        <v>9413</v>
      </c>
      <c r="MXC1" t="s">
        <v>9414</v>
      </c>
      <c r="MXD1" t="s">
        <v>9415</v>
      </c>
      <c r="MXE1" t="s">
        <v>9416</v>
      </c>
      <c r="MXF1" t="s">
        <v>9417</v>
      </c>
      <c r="MXG1" t="s">
        <v>9418</v>
      </c>
      <c r="MXH1" t="s">
        <v>9419</v>
      </c>
      <c r="MXI1" t="s">
        <v>9420</v>
      </c>
      <c r="MXJ1" t="s">
        <v>9421</v>
      </c>
      <c r="MXK1" t="s">
        <v>9422</v>
      </c>
      <c r="MXL1" t="s">
        <v>9423</v>
      </c>
      <c r="MXM1" t="s">
        <v>9424</v>
      </c>
      <c r="MXN1" t="s">
        <v>9425</v>
      </c>
      <c r="MXO1" t="s">
        <v>9426</v>
      </c>
      <c r="MXP1" t="s">
        <v>9427</v>
      </c>
      <c r="MXQ1" t="s">
        <v>9428</v>
      </c>
      <c r="MXR1" t="s">
        <v>9429</v>
      </c>
      <c r="MXS1" t="s">
        <v>9430</v>
      </c>
      <c r="MXT1" t="s">
        <v>9431</v>
      </c>
      <c r="MXU1" t="s">
        <v>9432</v>
      </c>
      <c r="MXV1" t="s">
        <v>9433</v>
      </c>
      <c r="MXW1" t="s">
        <v>9434</v>
      </c>
      <c r="MXX1" t="s">
        <v>9435</v>
      </c>
      <c r="MXY1" t="s">
        <v>9436</v>
      </c>
      <c r="MXZ1" t="s">
        <v>9437</v>
      </c>
      <c r="MYA1" t="s">
        <v>9438</v>
      </c>
      <c r="MYB1" t="s">
        <v>9439</v>
      </c>
      <c r="MYC1" t="s">
        <v>9440</v>
      </c>
      <c r="MYD1" t="s">
        <v>9441</v>
      </c>
      <c r="MYE1" t="s">
        <v>9442</v>
      </c>
      <c r="MYF1" t="s">
        <v>9443</v>
      </c>
      <c r="MYG1" t="s">
        <v>9444</v>
      </c>
      <c r="MYH1" t="s">
        <v>9445</v>
      </c>
      <c r="MYI1" t="s">
        <v>9446</v>
      </c>
      <c r="MYJ1" t="s">
        <v>9447</v>
      </c>
      <c r="MYK1" t="s">
        <v>9448</v>
      </c>
      <c r="MYL1" t="s">
        <v>9449</v>
      </c>
      <c r="MYM1" t="s">
        <v>9450</v>
      </c>
      <c r="MYN1" t="s">
        <v>9451</v>
      </c>
      <c r="MYO1" t="s">
        <v>9452</v>
      </c>
      <c r="MYP1" t="s">
        <v>9453</v>
      </c>
      <c r="MYQ1" t="s">
        <v>9454</v>
      </c>
      <c r="MYR1" t="s">
        <v>9455</v>
      </c>
      <c r="MYS1" t="s">
        <v>9456</v>
      </c>
      <c r="MYT1" t="s">
        <v>9457</v>
      </c>
      <c r="MYU1" t="s">
        <v>9458</v>
      </c>
      <c r="MYV1" t="s">
        <v>9459</v>
      </c>
      <c r="MYW1" t="s">
        <v>9460</v>
      </c>
      <c r="MYX1" t="s">
        <v>9461</v>
      </c>
      <c r="MYY1" t="s">
        <v>9462</v>
      </c>
      <c r="MYZ1" t="s">
        <v>9463</v>
      </c>
      <c r="MZA1" t="s">
        <v>9464</v>
      </c>
      <c r="MZB1" t="s">
        <v>9465</v>
      </c>
      <c r="MZC1" t="s">
        <v>9466</v>
      </c>
      <c r="MZD1" t="s">
        <v>9467</v>
      </c>
      <c r="MZE1" t="s">
        <v>9468</v>
      </c>
      <c r="MZF1" t="s">
        <v>9469</v>
      </c>
      <c r="MZG1" t="s">
        <v>9470</v>
      </c>
      <c r="MZH1" t="s">
        <v>9471</v>
      </c>
      <c r="MZI1" t="s">
        <v>9472</v>
      </c>
      <c r="MZJ1" t="s">
        <v>9473</v>
      </c>
      <c r="MZK1" t="s">
        <v>9474</v>
      </c>
      <c r="MZL1" t="s">
        <v>9475</v>
      </c>
      <c r="MZM1" t="s">
        <v>9476</v>
      </c>
      <c r="MZN1" t="s">
        <v>9477</v>
      </c>
      <c r="MZO1" t="s">
        <v>9478</v>
      </c>
      <c r="MZP1" t="s">
        <v>9479</v>
      </c>
      <c r="MZQ1" t="s">
        <v>9480</v>
      </c>
      <c r="MZR1" t="s">
        <v>9481</v>
      </c>
      <c r="MZS1" t="s">
        <v>9482</v>
      </c>
      <c r="MZT1" t="s">
        <v>9483</v>
      </c>
      <c r="MZU1" t="s">
        <v>9484</v>
      </c>
      <c r="MZV1" t="s">
        <v>9485</v>
      </c>
      <c r="MZW1" t="s">
        <v>9486</v>
      </c>
      <c r="MZX1" t="s">
        <v>9487</v>
      </c>
      <c r="MZY1" t="s">
        <v>9488</v>
      </c>
      <c r="MZZ1" t="s">
        <v>9489</v>
      </c>
      <c r="NAA1" t="s">
        <v>9490</v>
      </c>
      <c r="NAB1" t="s">
        <v>9491</v>
      </c>
      <c r="NAC1" t="s">
        <v>9492</v>
      </c>
      <c r="NAD1" t="s">
        <v>9493</v>
      </c>
      <c r="NAE1" t="s">
        <v>9494</v>
      </c>
      <c r="NAF1" t="s">
        <v>9495</v>
      </c>
      <c r="NAG1" t="s">
        <v>9496</v>
      </c>
      <c r="NAH1" t="s">
        <v>9497</v>
      </c>
      <c r="NAI1" t="s">
        <v>9498</v>
      </c>
      <c r="NAJ1" t="s">
        <v>9499</v>
      </c>
      <c r="NAK1" t="s">
        <v>9500</v>
      </c>
      <c r="NAL1" t="s">
        <v>9501</v>
      </c>
      <c r="NAM1" t="s">
        <v>9502</v>
      </c>
      <c r="NAN1" t="s">
        <v>9503</v>
      </c>
      <c r="NAO1" t="s">
        <v>9504</v>
      </c>
      <c r="NAP1" t="s">
        <v>9505</v>
      </c>
      <c r="NAQ1" t="s">
        <v>9506</v>
      </c>
      <c r="NAR1" t="s">
        <v>9507</v>
      </c>
      <c r="NAS1" t="s">
        <v>9508</v>
      </c>
      <c r="NAT1" t="s">
        <v>9509</v>
      </c>
      <c r="NAU1" t="s">
        <v>9510</v>
      </c>
      <c r="NAV1" t="s">
        <v>9511</v>
      </c>
      <c r="NAW1" t="s">
        <v>9512</v>
      </c>
      <c r="NAX1" t="s">
        <v>9513</v>
      </c>
      <c r="NAY1" t="s">
        <v>9514</v>
      </c>
      <c r="NAZ1" t="s">
        <v>9515</v>
      </c>
      <c r="NBA1" t="s">
        <v>9516</v>
      </c>
      <c r="NBB1" t="s">
        <v>9517</v>
      </c>
      <c r="NBC1" t="s">
        <v>9518</v>
      </c>
      <c r="NBD1" t="s">
        <v>9519</v>
      </c>
      <c r="NBE1" t="s">
        <v>9520</v>
      </c>
      <c r="NBF1" t="s">
        <v>9521</v>
      </c>
      <c r="NBG1" t="s">
        <v>9522</v>
      </c>
      <c r="NBH1" t="s">
        <v>9523</v>
      </c>
      <c r="NBI1" t="s">
        <v>9524</v>
      </c>
      <c r="NBJ1" t="s">
        <v>9525</v>
      </c>
      <c r="NBK1" t="s">
        <v>9526</v>
      </c>
      <c r="NBL1" t="s">
        <v>9527</v>
      </c>
      <c r="NBM1" t="s">
        <v>9528</v>
      </c>
      <c r="NBN1" t="s">
        <v>9529</v>
      </c>
      <c r="NBO1" t="s">
        <v>9530</v>
      </c>
      <c r="NBP1" t="s">
        <v>9531</v>
      </c>
      <c r="NBQ1" t="s">
        <v>9532</v>
      </c>
      <c r="NBR1" t="s">
        <v>9533</v>
      </c>
      <c r="NBS1" t="s">
        <v>9534</v>
      </c>
      <c r="NBT1" t="s">
        <v>9535</v>
      </c>
      <c r="NBU1" t="s">
        <v>9536</v>
      </c>
      <c r="NBV1" t="s">
        <v>9537</v>
      </c>
      <c r="NBW1" t="s">
        <v>9538</v>
      </c>
      <c r="NBX1" t="s">
        <v>9539</v>
      </c>
      <c r="NBY1" t="s">
        <v>9540</v>
      </c>
      <c r="NBZ1" t="s">
        <v>9541</v>
      </c>
      <c r="NCA1" t="s">
        <v>9542</v>
      </c>
      <c r="NCB1" t="s">
        <v>9543</v>
      </c>
      <c r="NCC1" t="s">
        <v>9544</v>
      </c>
      <c r="NCD1" t="s">
        <v>9545</v>
      </c>
      <c r="NCE1" t="s">
        <v>9546</v>
      </c>
      <c r="NCF1" t="s">
        <v>9547</v>
      </c>
      <c r="NCG1" t="s">
        <v>9548</v>
      </c>
      <c r="NCH1" t="s">
        <v>9549</v>
      </c>
      <c r="NCI1" t="s">
        <v>9550</v>
      </c>
      <c r="NCJ1" t="s">
        <v>9551</v>
      </c>
      <c r="NCK1" t="s">
        <v>9552</v>
      </c>
      <c r="NCL1" t="s">
        <v>9553</v>
      </c>
      <c r="NCM1" t="s">
        <v>9554</v>
      </c>
      <c r="NCN1" t="s">
        <v>9555</v>
      </c>
      <c r="NCO1" t="s">
        <v>9556</v>
      </c>
      <c r="NCP1" t="s">
        <v>9557</v>
      </c>
      <c r="NCQ1" t="s">
        <v>9558</v>
      </c>
      <c r="NCR1" t="s">
        <v>9559</v>
      </c>
      <c r="NCS1" t="s">
        <v>9560</v>
      </c>
      <c r="NCT1" t="s">
        <v>9561</v>
      </c>
      <c r="NCU1" t="s">
        <v>9562</v>
      </c>
      <c r="NCV1" t="s">
        <v>9563</v>
      </c>
      <c r="NCW1" t="s">
        <v>9564</v>
      </c>
      <c r="NCX1" t="s">
        <v>9565</v>
      </c>
      <c r="NCY1" t="s">
        <v>9566</v>
      </c>
      <c r="NCZ1" t="s">
        <v>9567</v>
      </c>
      <c r="NDA1" t="s">
        <v>9568</v>
      </c>
      <c r="NDB1" t="s">
        <v>9569</v>
      </c>
      <c r="NDC1" t="s">
        <v>9570</v>
      </c>
      <c r="NDD1" t="s">
        <v>9571</v>
      </c>
      <c r="NDE1" t="s">
        <v>9572</v>
      </c>
      <c r="NDF1" t="s">
        <v>9573</v>
      </c>
      <c r="NDG1" t="s">
        <v>9574</v>
      </c>
      <c r="NDH1" t="s">
        <v>9575</v>
      </c>
      <c r="NDI1" t="s">
        <v>9576</v>
      </c>
      <c r="NDJ1" t="s">
        <v>9577</v>
      </c>
      <c r="NDK1" t="s">
        <v>9578</v>
      </c>
      <c r="NDL1" t="s">
        <v>9579</v>
      </c>
      <c r="NDM1" t="s">
        <v>9580</v>
      </c>
      <c r="NDN1" t="s">
        <v>9581</v>
      </c>
      <c r="NDO1" t="s">
        <v>9582</v>
      </c>
      <c r="NDP1" t="s">
        <v>9583</v>
      </c>
      <c r="NDQ1" t="s">
        <v>9584</v>
      </c>
      <c r="NDR1" t="s">
        <v>9585</v>
      </c>
      <c r="NDS1" t="s">
        <v>9586</v>
      </c>
      <c r="NDT1" t="s">
        <v>9587</v>
      </c>
      <c r="NDU1" t="s">
        <v>9588</v>
      </c>
      <c r="NDV1" t="s">
        <v>9589</v>
      </c>
      <c r="NDW1" t="s">
        <v>9590</v>
      </c>
      <c r="NDX1" t="s">
        <v>9591</v>
      </c>
      <c r="NDY1" t="s">
        <v>9592</v>
      </c>
      <c r="NDZ1" t="s">
        <v>9593</v>
      </c>
      <c r="NEA1" t="s">
        <v>9594</v>
      </c>
      <c r="NEB1" t="s">
        <v>9595</v>
      </c>
      <c r="NEC1" t="s">
        <v>9596</v>
      </c>
      <c r="NED1" t="s">
        <v>9597</v>
      </c>
      <c r="NEE1" t="s">
        <v>9598</v>
      </c>
      <c r="NEF1" t="s">
        <v>9599</v>
      </c>
      <c r="NEG1" t="s">
        <v>9600</v>
      </c>
      <c r="NEH1" t="s">
        <v>9601</v>
      </c>
      <c r="NEI1" t="s">
        <v>9602</v>
      </c>
      <c r="NEJ1" t="s">
        <v>9603</v>
      </c>
      <c r="NEK1" t="s">
        <v>9604</v>
      </c>
      <c r="NEL1" t="s">
        <v>9605</v>
      </c>
      <c r="NEM1" t="s">
        <v>9606</v>
      </c>
      <c r="NEN1" t="s">
        <v>9607</v>
      </c>
      <c r="NEO1" t="s">
        <v>9608</v>
      </c>
      <c r="NEP1" t="s">
        <v>9609</v>
      </c>
      <c r="NEQ1" t="s">
        <v>9610</v>
      </c>
      <c r="NER1" t="s">
        <v>9611</v>
      </c>
      <c r="NES1" t="s">
        <v>9612</v>
      </c>
      <c r="NET1" t="s">
        <v>9613</v>
      </c>
      <c r="NEU1" t="s">
        <v>9614</v>
      </c>
      <c r="NEV1" t="s">
        <v>9615</v>
      </c>
      <c r="NEW1" t="s">
        <v>9616</v>
      </c>
      <c r="NEX1" t="s">
        <v>9617</v>
      </c>
      <c r="NEY1" t="s">
        <v>9618</v>
      </c>
      <c r="NEZ1" t="s">
        <v>9619</v>
      </c>
      <c r="NFA1" t="s">
        <v>9620</v>
      </c>
      <c r="NFB1" t="s">
        <v>9621</v>
      </c>
      <c r="NFC1" t="s">
        <v>9622</v>
      </c>
      <c r="NFD1" t="s">
        <v>9623</v>
      </c>
      <c r="NFE1" t="s">
        <v>9624</v>
      </c>
      <c r="NFF1" t="s">
        <v>9625</v>
      </c>
      <c r="NFG1" t="s">
        <v>9626</v>
      </c>
      <c r="NFH1" t="s">
        <v>9627</v>
      </c>
      <c r="NFI1" t="s">
        <v>9628</v>
      </c>
      <c r="NFJ1" t="s">
        <v>9629</v>
      </c>
      <c r="NFK1" t="s">
        <v>9630</v>
      </c>
      <c r="NFL1" t="s">
        <v>9631</v>
      </c>
      <c r="NFM1" t="s">
        <v>9632</v>
      </c>
      <c r="NFN1" t="s">
        <v>9633</v>
      </c>
      <c r="NFO1" t="s">
        <v>9634</v>
      </c>
      <c r="NFP1" t="s">
        <v>9635</v>
      </c>
      <c r="NFQ1" t="s">
        <v>9636</v>
      </c>
      <c r="NFR1" t="s">
        <v>9637</v>
      </c>
      <c r="NFS1" t="s">
        <v>9638</v>
      </c>
      <c r="NFT1" t="s">
        <v>9639</v>
      </c>
      <c r="NFU1" t="s">
        <v>9640</v>
      </c>
      <c r="NFV1" t="s">
        <v>9641</v>
      </c>
      <c r="NFW1" t="s">
        <v>9642</v>
      </c>
      <c r="NFX1" t="s">
        <v>9643</v>
      </c>
      <c r="NFY1" t="s">
        <v>9644</v>
      </c>
      <c r="NFZ1" t="s">
        <v>9645</v>
      </c>
      <c r="NGA1" t="s">
        <v>9646</v>
      </c>
      <c r="NGB1" t="s">
        <v>9647</v>
      </c>
      <c r="NGC1" t="s">
        <v>9648</v>
      </c>
      <c r="NGD1" t="s">
        <v>9649</v>
      </c>
      <c r="NGE1" t="s">
        <v>9650</v>
      </c>
      <c r="NGF1" t="s">
        <v>9651</v>
      </c>
      <c r="NGG1" t="s">
        <v>9652</v>
      </c>
      <c r="NGH1" t="s">
        <v>9653</v>
      </c>
      <c r="NGI1" t="s">
        <v>9654</v>
      </c>
      <c r="NGJ1" t="s">
        <v>9655</v>
      </c>
      <c r="NGK1" t="s">
        <v>9656</v>
      </c>
      <c r="NGL1" t="s">
        <v>9657</v>
      </c>
      <c r="NGM1" t="s">
        <v>9658</v>
      </c>
      <c r="NGN1" t="s">
        <v>9659</v>
      </c>
      <c r="NGO1" t="s">
        <v>9660</v>
      </c>
      <c r="NGP1" t="s">
        <v>9661</v>
      </c>
      <c r="NGQ1" t="s">
        <v>9662</v>
      </c>
      <c r="NGR1" t="s">
        <v>9663</v>
      </c>
      <c r="NGS1" t="s">
        <v>9664</v>
      </c>
      <c r="NGT1" t="s">
        <v>9665</v>
      </c>
      <c r="NGU1" t="s">
        <v>9666</v>
      </c>
      <c r="NGV1" t="s">
        <v>9667</v>
      </c>
      <c r="NGW1" t="s">
        <v>9668</v>
      </c>
      <c r="NGX1" t="s">
        <v>9669</v>
      </c>
      <c r="NGY1" t="s">
        <v>9670</v>
      </c>
      <c r="NGZ1" t="s">
        <v>9671</v>
      </c>
      <c r="NHA1" t="s">
        <v>9672</v>
      </c>
      <c r="NHB1" t="s">
        <v>9673</v>
      </c>
      <c r="NHC1" t="s">
        <v>9674</v>
      </c>
      <c r="NHD1" t="s">
        <v>9675</v>
      </c>
      <c r="NHE1" t="s">
        <v>9676</v>
      </c>
      <c r="NHF1" t="s">
        <v>9677</v>
      </c>
      <c r="NHG1" t="s">
        <v>9678</v>
      </c>
      <c r="NHH1" t="s">
        <v>9679</v>
      </c>
      <c r="NHI1" t="s">
        <v>9680</v>
      </c>
      <c r="NHJ1" t="s">
        <v>9681</v>
      </c>
      <c r="NHK1" t="s">
        <v>9682</v>
      </c>
      <c r="NHL1" t="s">
        <v>9683</v>
      </c>
      <c r="NHM1" t="s">
        <v>9684</v>
      </c>
      <c r="NHN1" t="s">
        <v>9685</v>
      </c>
      <c r="NHO1" t="s">
        <v>9686</v>
      </c>
      <c r="NHP1" t="s">
        <v>9687</v>
      </c>
      <c r="NHQ1" t="s">
        <v>9688</v>
      </c>
      <c r="NHR1" t="s">
        <v>9689</v>
      </c>
      <c r="NHS1" t="s">
        <v>9690</v>
      </c>
      <c r="NHT1" t="s">
        <v>9691</v>
      </c>
      <c r="NHU1" t="s">
        <v>9692</v>
      </c>
      <c r="NHV1" t="s">
        <v>9693</v>
      </c>
      <c r="NHW1" t="s">
        <v>9694</v>
      </c>
      <c r="NHX1" t="s">
        <v>9695</v>
      </c>
      <c r="NHY1" t="s">
        <v>9696</v>
      </c>
      <c r="NHZ1" t="s">
        <v>9697</v>
      </c>
      <c r="NIA1" t="s">
        <v>9698</v>
      </c>
      <c r="NIB1" t="s">
        <v>9699</v>
      </c>
      <c r="NIC1" t="s">
        <v>9700</v>
      </c>
      <c r="NID1" t="s">
        <v>9701</v>
      </c>
      <c r="NIE1" t="s">
        <v>9702</v>
      </c>
      <c r="NIF1" t="s">
        <v>9703</v>
      </c>
      <c r="NIG1" t="s">
        <v>9704</v>
      </c>
      <c r="NIH1" t="s">
        <v>9705</v>
      </c>
      <c r="NII1" t="s">
        <v>9706</v>
      </c>
      <c r="NIJ1" t="s">
        <v>9707</v>
      </c>
      <c r="NIK1" t="s">
        <v>9708</v>
      </c>
      <c r="NIL1" t="s">
        <v>9709</v>
      </c>
      <c r="NIM1" t="s">
        <v>9710</v>
      </c>
      <c r="NIN1" t="s">
        <v>9711</v>
      </c>
      <c r="NIO1" t="s">
        <v>9712</v>
      </c>
      <c r="NIP1" t="s">
        <v>9713</v>
      </c>
      <c r="NIQ1" t="s">
        <v>9714</v>
      </c>
      <c r="NIR1" t="s">
        <v>9715</v>
      </c>
      <c r="NIS1" t="s">
        <v>9716</v>
      </c>
      <c r="NIT1" t="s">
        <v>9717</v>
      </c>
      <c r="NIU1" t="s">
        <v>9718</v>
      </c>
      <c r="NIV1" t="s">
        <v>9719</v>
      </c>
      <c r="NIW1" t="s">
        <v>9720</v>
      </c>
      <c r="NIX1" t="s">
        <v>9721</v>
      </c>
      <c r="NIY1" t="s">
        <v>9722</v>
      </c>
      <c r="NIZ1" t="s">
        <v>9723</v>
      </c>
      <c r="NJA1" t="s">
        <v>9724</v>
      </c>
      <c r="NJB1" t="s">
        <v>9725</v>
      </c>
      <c r="NJC1" t="s">
        <v>9726</v>
      </c>
      <c r="NJD1" t="s">
        <v>9727</v>
      </c>
      <c r="NJE1" t="s">
        <v>9728</v>
      </c>
      <c r="NJF1" t="s">
        <v>9729</v>
      </c>
      <c r="NJG1" t="s">
        <v>9730</v>
      </c>
      <c r="NJH1" t="s">
        <v>9731</v>
      </c>
      <c r="NJI1" t="s">
        <v>9732</v>
      </c>
      <c r="NJJ1" t="s">
        <v>9733</v>
      </c>
      <c r="NJK1" t="s">
        <v>9734</v>
      </c>
      <c r="NJL1" t="s">
        <v>9735</v>
      </c>
      <c r="NJM1" t="s">
        <v>9736</v>
      </c>
      <c r="NJN1" t="s">
        <v>9737</v>
      </c>
      <c r="NJO1" t="s">
        <v>9738</v>
      </c>
      <c r="NJP1" t="s">
        <v>9739</v>
      </c>
      <c r="NJQ1" t="s">
        <v>9740</v>
      </c>
      <c r="NJR1" t="s">
        <v>9741</v>
      </c>
      <c r="NJS1" t="s">
        <v>9742</v>
      </c>
      <c r="NJT1" t="s">
        <v>9743</v>
      </c>
      <c r="NJU1" t="s">
        <v>9744</v>
      </c>
      <c r="NJV1" t="s">
        <v>9745</v>
      </c>
      <c r="NJW1" t="s">
        <v>9746</v>
      </c>
      <c r="NJX1" t="s">
        <v>9747</v>
      </c>
      <c r="NJY1" t="s">
        <v>9748</v>
      </c>
      <c r="NJZ1" t="s">
        <v>9749</v>
      </c>
      <c r="NKA1" t="s">
        <v>9750</v>
      </c>
      <c r="NKB1" t="s">
        <v>9751</v>
      </c>
      <c r="NKC1" t="s">
        <v>9752</v>
      </c>
      <c r="NKD1" t="s">
        <v>9753</v>
      </c>
      <c r="NKE1" t="s">
        <v>9754</v>
      </c>
      <c r="NKF1" t="s">
        <v>9755</v>
      </c>
      <c r="NKG1" t="s">
        <v>9756</v>
      </c>
      <c r="NKH1" t="s">
        <v>9757</v>
      </c>
      <c r="NKI1" t="s">
        <v>9758</v>
      </c>
      <c r="NKJ1" t="s">
        <v>9759</v>
      </c>
      <c r="NKK1" t="s">
        <v>9760</v>
      </c>
      <c r="NKL1" t="s">
        <v>9761</v>
      </c>
      <c r="NKM1" t="s">
        <v>9762</v>
      </c>
      <c r="NKN1" t="s">
        <v>9763</v>
      </c>
      <c r="NKO1" t="s">
        <v>9764</v>
      </c>
      <c r="NKP1" t="s">
        <v>9765</v>
      </c>
      <c r="NKQ1" t="s">
        <v>9766</v>
      </c>
      <c r="NKR1" t="s">
        <v>9767</v>
      </c>
      <c r="NKS1" t="s">
        <v>9768</v>
      </c>
      <c r="NKT1" t="s">
        <v>9769</v>
      </c>
      <c r="NKU1" t="s">
        <v>9770</v>
      </c>
      <c r="NKV1" t="s">
        <v>9771</v>
      </c>
      <c r="NKW1" t="s">
        <v>9772</v>
      </c>
      <c r="NKX1" t="s">
        <v>9773</v>
      </c>
      <c r="NKY1" t="s">
        <v>9774</v>
      </c>
      <c r="NKZ1" t="s">
        <v>9775</v>
      </c>
      <c r="NLA1" t="s">
        <v>9776</v>
      </c>
      <c r="NLB1" t="s">
        <v>9777</v>
      </c>
      <c r="NLC1" t="s">
        <v>9778</v>
      </c>
      <c r="NLD1" t="s">
        <v>9779</v>
      </c>
      <c r="NLE1" t="s">
        <v>9780</v>
      </c>
      <c r="NLF1" t="s">
        <v>9781</v>
      </c>
      <c r="NLG1" t="s">
        <v>9782</v>
      </c>
      <c r="NLH1" t="s">
        <v>9783</v>
      </c>
      <c r="NLI1" t="s">
        <v>9784</v>
      </c>
      <c r="NLJ1" t="s">
        <v>9785</v>
      </c>
      <c r="NLK1" t="s">
        <v>9786</v>
      </c>
      <c r="NLL1" t="s">
        <v>9787</v>
      </c>
      <c r="NLM1" t="s">
        <v>9788</v>
      </c>
      <c r="NLN1" t="s">
        <v>9789</v>
      </c>
      <c r="NLO1" t="s">
        <v>9790</v>
      </c>
      <c r="NLP1" t="s">
        <v>9791</v>
      </c>
      <c r="NLQ1" t="s">
        <v>9792</v>
      </c>
      <c r="NLR1" t="s">
        <v>9793</v>
      </c>
      <c r="NLS1" t="s">
        <v>9794</v>
      </c>
      <c r="NLT1" t="s">
        <v>9795</v>
      </c>
      <c r="NLU1" t="s">
        <v>9796</v>
      </c>
      <c r="NLV1" t="s">
        <v>9797</v>
      </c>
      <c r="NLW1" t="s">
        <v>9798</v>
      </c>
      <c r="NLX1" t="s">
        <v>9799</v>
      </c>
      <c r="NLY1" t="s">
        <v>9800</v>
      </c>
      <c r="NLZ1" t="s">
        <v>9801</v>
      </c>
      <c r="NMA1" t="s">
        <v>9802</v>
      </c>
      <c r="NMB1" t="s">
        <v>9803</v>
      </c>
      <c r="NMC1" t="s">
        <v>9804</v>
      </c>
      <c r="NMD1" t="s">
        <v>9805</v>
      </c>
      <c r="NME1" t="s">
        <v>9806</v>
      </c>
      <c r="NMF1" t="s">
        <v>9807</v>
      </c>
      <c r="NMG1" t="s">
        <v>9808</v>
      </c>
      <c r="NMH1" t="s">
        <v>9809</v>
      </c>
      <c r="NMI1" t="s">
        <v>9810</v>
      </c>
      <c r="NMJ1" t="s">
        <v>9811</v>
      </c>
      <c r="NMK1" t="s">
        <v>9812</v>
      </c>
      <c r="NML1" t="s">
        <v>9813</v>
      </c>
      <c r="NMM1" t="s">
        <v>9814</v>
      </c>
      <c r="NMN1" t="s">
        <v>9815</v>
      </c>
      <c r="NMO1" t="s">
        <v>9816</v>
      </c>
      <c r="NMP1" t="s">
        <v>9817</v>
      </c>
      <c r="NMQ1" t="s">
        <v>9818</v>
      </c>
      <c r="NMR1" t="s">
        <v>9819</v>
      </c>
      <c r="NMS1" t="s">
        <v>9820</v>
      </c>
      <c r="NMT1" t="s">
        <v>9821</v>
      </c>
      <c r="NMU1" t="s">
        <v>9822</v>
      </c>
      <c r="NMV1" t="s">
        <v>9823</v>
      </c>
      <c r="NMW1" t="s">
        <v>9824</v>
      </c>
      <c r="NMX1" t="s">
        <v>9825</v>
      </c>
      <c r="NMY1" t="s">
        <v>9826</v>
      </c>
      <c r="NMZ1" t="s">
        <v>9827</v>
      </c>
      <c r="NNA1" t="s">
        <v>9828</v>
      </c>
      <c r="NNB1" t="s">
        <v>9829</v>
      </c>
      <c r="NNC1" t="s">
        <v>9830</v>
      </c>
      <c r="NND1" t="s">
        <v>9831</v>
      </c>
      <c r="NNE1" t="s">
        <v>9832</v>
      </c>
      <c r="NNF1" t="s">
        <v>9833</v>
      </c>
      <c r="NNG1" t="s">
        <v>9834</v>
      </c>
      <c r="NNH1" t="s">
        <v>9835</v>
      </c>
      <c r="NNI1" t="s">
        <v>9836</v>
      </c>
      <c r="NNJ1" t="s">
        <v>9837</v>
      </c>
      <c r="NNK1" t="s">
        <v>9838</v>
      </c>
      <c r="NNL1" t="s">
        <v>9839</v>
      </c>
      <c r="NNM1" t="s">
        <v>9840</v>
      </c>
      <c r="NNN1" t="s">
        <v>9841</v>
      </c>
      <c r="NNO1" t="s">
        <v>9842</v>
      </c>
      <c r="NNP1" t="s">
        <v>9843</v>
      </c>
      <c r="NNQ1" t="s">
        <v>9844</v>
      </c>
      <c r="NNR1" t="s">
        <v>9845</v>
      </c>
      <c r="NNS1" t="s">
        <v>9846</v>
      </c>
      <c r="NNT1" t="s">
        <v>9847</v>
      </c>
      <c r="NNU1" t="s">
        <v>9848</v>
      </c>
      <c r="NNV1" t="s">
        <v>9849</v>
      </c>
      <c r="NNW1" t="s">
        <v>9850</v>
      </c>
      <c r="NNX1" t="s">
        <v>9851</v>
      </c>
      <c r="NNY1" t="s">
        <v>9852</v>
      </c>
      <c r="NNZ1" t="s">
        <v>9853</v>
      </c>
      <c r="NOA1" t="s">
        <v>9854</v>
      </c>
      <c r="NOB1" t="s">
        <v>9855</v>
      </c>
      <c r="NOC1" t="s">
        <v>9856</v>
      </c>
      <c r="NOD1" t="s">
        <v>9857</v>
      </c>
      <c r="NOE1" t="s">
        <v>9858</v>
      </c>
      <c r="NOF1" t="s">
        <v>9859</v>
      </c>
      <c r="NOG1" t="s">
        <v>9860</v>
      </c>
      <c r="NOH1" t="s">
        <v>9861</v>
      </c>
      <c r="NOI1" t="s">
        <v>9862</v>
      </c>
      <c r="NOJ1" t="s">
        <v>9863</v>
      </c>
      <c r="NOK1" t="s">
        <v>9864</v>
      </c>
      <c r="NOL1" t="s">
        <v>9865</v>
      </c>
      <c r="NOM1" t="s">
        <v>9866</v>
      </c>
      <c r="NON1" t="s">
        <v>9867</v>
      </c>
      <c r="NOO1" t="s">
        <v>9868</v>
      </c>
      <c r="NOP1" t="s">
        <v>9869</v>
      </c>
      <c r="NOQ1" t="s">
        <v>9870</v>
      </c>
      <c r="NOR1" t="s">
        <v>9871</v>
      </c>
      <c r="NOS1" t="s">
        <v>9872</v>
      </c>
      <c r="NOT1" t="s">
        <v>9873</v>
      </c>
      <c r="NOU1" t="s">
        <v>9874</v>
      </c>
      <c r="NOV1" t="s">
        <v>9875</v>
      </c>
      <c r="NOW1" t="s">
        <v>9876</v>
      </c>
      <c r="NOX1" t="s">
        <v>9877</v>
      </c>
      <c r="NOY1" t="s">
        <v>9878</v>
      </c>
      <c r="NOZ1" t="s">
        <v>9879</v>
      </c>
      <c r="NPA1" t="s">
        <v>9880</v>
      </c>
      <c r="NPB1" t="s">
        <v>9881</v>
      </c>
      <c r="NPC1" t="s">
        <v>9882</v>
      </c>
      <c r="NPD1" t="s">
        <v>9883</v>
      </c>
      <c r="NPE1" t="s">
        <v>9884</v>
      </c>
      <c r="NPF1" t="s">
        <v>9885</v>
      </c>
      <c r="NPG1" t="s">
        <v>9886</v>
      </c>
      <c r="NPH1" t="s">
        <v>9887</v>
      </c>
      <c r="NPI1" t="s">
        <v>9888</v>
      </c>
      <c r="NPJ1" t="s">
        <v>9889</v>
      </c>
      <c r="NPK1" t="s">
        <v>9890</v>
      </c>
      <c r="NPL1" t="s">
        <v>9891</v>
      </c>
      <c r="NPM1" t="s">
        <v>9892</v>
      </c>
      <c r="NPN1" t="s">
        <v>9893</v>
      </c>
      <c r="NPO1" t="s">
        <v>9894</v>
      </c>
      <c r="NPP1" t="s">
        <v>9895</v>
      </c>
      <c r="NPQ1" t="s">
        <v>9896</v>
      </c>
      <c r="NPR1" t="s">
        <v>9897</v>
      </c>
      <c r="NPS1" t="s">
        <v>9898</v>
      </c>
      <c r="NPT1" t="s">
        <v>9899</v>
      </c>
      <c r="NPU1" t="s">
        <v>9900</v>
      </c>
      <c r="NPV1" t="s">
        <v>9901</v>
      </c>
      <c r="NPW1" t="s">
        <v>9902</v>
      </c>
      <c r="NPX1" t="s">
        <v>9903</v>
      </c>
      <c r="NPY1" t="s">
        <v>9904</v>
      </c>
      <c r="NPZ1" t="s">
        <v>9905</v>
      </c>
      <c r="NQA1" t="s">
        <v>9906</v>
      </c>
      <c r="NQB1" t="s">
        <v>9907</v>
      </c>
      <c r="NQC1" t="s">
        <v>9908</v>
      </c>
      <c r="NQD1" t="s">
        <v>9909</v>
      </c>
      <c r="NQE1" t="s">
        <v>9910</v>
      </c>
      <c r="NQF1" t="s">
        <v>9911</v>
      </c>
      <c r="NQG1" t="s">
        <v>9912</v>
      </c>
      <c r="NQH1" t="s">
        <v>9913</v>
      </c>
      <c r="NQI1" t="s">
        <v>9914</v>
      </c>
      <c r="NQJ1" t="s">
        <v>9915</v>
      </c>
      <c r="NQK1" t="s">
        <v>9916</v>
      </c>
      <c r="NQL1" t="s">
        <v>9917</v>
      </c>
      <c r="NQM1" t="s">
        <v>9918</v>
      </c>
      <c r="NQN1" t="s">
        <v>9919</v>
      </c>
      <c r="NQO1" t="s">
        <v>9920</v>
      </c>
      <c r="NQP1" t="s">
        <v>9921</v>
      </c>
      <c r="NQQ1" t="s">
        <v>9922</v>
      </c>
      <c r="NQR1" t="s">
        <v>9923</v>
      </c>
      <c r="NQS1" t="s">
        <v>9924</v>
      </c>
      <c r="NQT1" t="s">
        <v>9925</v>
      </c>
      <c r="NQU1" t="s">
        <v>9926</v>
      </c>
      <c r="NQV1" t="s">
        <v>9927</v>
      </c>
      <c r="NQW1" t="s">
        <v>9928</v>
      </c>
      <c r="NQX1" t="s">
        <v>9929</v>
      </c>
      <c r="NQY1" t="s">
        <v>9930</v>
      </c>
      <c r="NQZ1" t="s">
        <v>9931</v>
      </c>
      <c r="NRA1" t="s">
        <v>9932</v>
      </c>
      <c r="NRB1" t="s">
        <v>9933</v>
      </c>
      <c r="NRC1" t="s">
        <v>9934</v>
      </c>
      <c r="NRD1" t="s">
        <v>9935</v>
      </c>
      <c r="NRE1" t="s">
        <v>9936</v>
      </c>
      <c r="NRF1" t="s">
        <v>9937</v>
      </c>
      <c r="NRG1" t="s">
        <v>9938</v>
      </c>
      <c r="NRH1" t="s">
        <v>9939</v>
      </c>
      <c r="NRI1" t="s">
        <v>9940</v>
      </c>
      <c r="NRJ1" t="s">
        <v>9941</v>
      </c>
      <c r="NRK1" t="s">
        <v>9942</v>
      </c>
      <c r="NRL1" t="s">
        <v>9943</v>
      </c>
      <c r="NRM1" t="s">
        <v>9944</v>
      </c>
      <c r="NRN1" t="s">
        <v>9945</v>
      </c>
      <c r="NRO1" t="s">
        <v>9946</v>
      </c>
      <c r="NRP1" t="s">
        <v>9947</v>
      </c>
      <c r="NRQ1" t="s">
        <v>9948</v>
      </c>
      <c r="NRR1" t="s">
        <v>9949</v>
      </c>
      <c r="NRS1" t="s">
        <v>9950</v>
      </c>
      <c r="NRT1" t="s">
        <v>9951</v>
      </c>
      <c r="NRU1" t="s">
        <v>9952</v>
      </c>
      <c r="NRV1" t="s">
        <v>9953</v>
      </c>
      <c r="NRW1" t="s">
        <v>9954</v>
      </c>
      <c r="NRX1" t="s">
        <v>9955</v>
      </c>
      <c r="NRY1" t="s">
        <v>9956</v>
      </c>
      <c r="NRZ1" t="s">
        <v>9957</v>
      </c>
      <c r="NSA1" t="s">
        <v>9958</v>
      </c>
      <c r="NSB1" t="s">
        <v>9959</v>
      </c>
      <c r="NSC1" t="s">
        <v>9960</v>
      </c>
      <c r="NSD1" t="s">
        <v>9961</v>
      </c>
      <c r="NSE1" t="s">
        <v>9962</v>
      </c>
      <c r="NSF1" t="s">
        <v>9963</v>
      </c>
      <c r="NSG1" t="s">
        <v>9964</v>
      </c>
      <c r="NSH1" t="s">
        <v>9965</v>
      </c>
      <c r="NSI1" t="s">
        <v>9966</v>
      </c>
      <c r="NSJ1" t="s">
        <v>9967</v>
      </c>
      <c r="NSK1" t="s">
        <v>9968</v>
      </c>
      <c r="NSL1" t="s">
        <v>9969</v>
      </c>
      <c r="NSM1" t="s">
        <v>9970</v>
      </c>
      <c r="NSN1" t="s">
        <v>9971</v>
      </c>
      <c r="NSO1" t="s">
        <v>9972</v>
      </c>
      <c r="NSP1" t="s">
        <v>9973</v>
      </c>
      <c r="NSQ1" t="s">
        <v>9974</v>
      </c>
      <c r="NSR1" t="s">
        <v>9975</v>
      </c>
      <c r="NSS1" t="s">
        <v>9976</v>
      </c>
      <c r="NST1" t="s">
        <v>9977</v>
      </c>
      <c r="NSU1" t="s">
        <v>9978</v>
      </c>
      <c r="NSV1" t="s">
        <v>9979</v>
      </c>
      <c r="NSW1" t="s">
        <v>9980</v>
      </c>
      <c r="NSX1" t="s">
        <v>9981</v>
      </c>
      <c r="NSY1" t="s">
        <v>9982</v>
      </c>
      <c r="NSZ1" t="s">
        <v>9983</v>
      </c>
      <c r="NTA1" t="s">
        <v>9984</v>
      </c>
      <c r="NTB1" t="s">
        <v>9985</v>
      </c>
      <c r="NTC1" t="s">
        <v>9986</v>
      </c>
      <c r="NTD1" t="s">
        <v>9987</v>
      </c>
      <c r="NTE1" t="s">
        <v>9988</v>
      </c>
      <c r="NTF1" t="s">
        <v>9989</v>
      </c>
      <c r="NTG1" t="s">
        <v>9990</v>
      </c>
      <c r="NTH1" t="s">
        <v>9991</v>
      </c>
      <c r="NTI1" t="s">
        <v>9992</v>
      </c>
      <c r="NTJ1" t="s">
        <v>9993</v>
      </c>
      <c r="NTK1" t="s">
        <v>9994</v>
      </c>
      <c r="NTL1" t="s">
        <v>9995</v>
      </c>
      <c r="NTM1" t="s">
        <v>9996</v>
      </c>
      <c r="NTN1" t="s">
        <v>9997</v>
      </c>
      <c r="NTO1" t="s">
        <v>9998</v>
      </c>
      <c r="NTP1" t="s">
        <v>9999</v>
      </c>
      <c r="NTQ1" t="s">
        <v>10000</v>
      </c>
      <c r="NTR1" t="s">
        <v>10001</v>
      </c>
      <c r="NTS1" t="s">
        <v>10002</v>
      </c>
      <c r="NTT1" t="s">
        <v>10003</v>
      </c>
      <c r="NTU1" t="s">
        <v>10004</v>
      </c>
      <c r="NTV1" t="s">
        <v>10005</v>
      </c>
      <c r="NTW1" t="s">
        <v>10006</v>
      </c>
      <c r="NTX1" t="s">
        <v>10007</v>
      </c>
      <c r="NTY1" t="s">
        <v>10008</v>
      </c>
      <c r="NTZ1" t="s">
        <v>10009</v>
      </c>
      <c r="NUA1" t="s">
        <v>10010</v>
      </c>
      <c r="NUB1" t="s">
        <v>10011</v>
      </c>
      <c r="NUC1" t="s">
        <v>10012</v>
      </c>
      <c r="NUD1" t="s">
        <v>10013</v>
      </c>
      <c r="NUE1" t="s">
        <v>10014</v>
      </c>
      <c r="NUF1" t="s">
        <v>10015</v>
      </c>
      <c r="NUG1" t="s">
        <v>10016</v>
      </c>
      <c r="NUH1" t="s">
        <v>10017</v>
      </c>
      <c r="NUI1" t="s">
        <v>10018</v>
      </c>
      <c r="NUJ1" t="s">
        <v>10019</v>
      </c>
      <c r="NUK1" t="s">
        <v>10020</v>
      </c>
      <c r="NUL1" t="s">
        <v>10021</v>
      </c>
      <c r="NUM1" t="s">
        <v>10022</v>
      </c>
      <c r="NUN1" t="s">
        <v>10023</v>
      </c>
      <c r="NUO1" t="s">
        <v>10024</v>
      </c>
      <c r="NUP1" t="s">
        <v>10025</v>
      </c>
      <c r="NUQ1" t="s">
        <v>10026</v>
      </c>
      <c r="NUR1" t="s">
        <v>10027</v>
      </c>
      <c r="NUS1" t="s">
        <v>10028</v>
      </c>
      <c r="NUT1" t="s">
        <v>10029</v>
      </c>
      <c r="NUU1" t="s">
        <v>10030</v>
      </c>
      <c r="NUV1" t="s">
        <v>10031</v>
      </c>
      <c r="NUW1" t="s">
        <v>10032</v>
      </c>
      <c r="NUX1" t="s">
        <v>10033</v>
      </c>
      <c r="NUY1" t="s">
        <v>10034</v>
      </c>
      <c r="NUZ1" t="s">
        <v>10035</v>
      </c>
      <c r="NVA1" t="s">
        <v>10036</v>
      </c>
      <c r="NVB1" t="s">
        <v>10037</v>
      </c>
      <c r="NVC1" t="s">
        <v>10038</v>
      </c>
      <c r="NVD1" t="s">
        <v>10039</v>
      </c>
      <c r="NVE1" t="s">
        <v>10040</v>
      </c>
      <c r="NVF1" t="s">
        <v>10041</v>
      </c>
      <c r="NVG1" t="s">
        <v>10042</v>
      </c>
      <c r="NVH1" t="s">
        <v>10043</v>
      </c>
      <c r="NVI1" t="s">
        <v>10044</v>
      </c>
      <c r="NVJ1" t="s">
        <v>10045</v>
      </c>
      <c r="NVK1" t="s">
        <v>10046</v>
      </c>
      <c r="NVL1" t="s">
        <v>10047</v>
      </c>
      <c r="NVM1" t="s">
        <v>10048</v>
      </c>
      <c r="NVN1" t="s">
        <v>10049</v>
      </c>
      <c r="NVO1" t="s">
        <v>10050</v>
      </c>
      <c r="NVP1" t="s">
        <v>10051</v>
      </c>
      <c r="NVQ1" t="s">
        <v>10052</v>
      </c>
      <c r="NVR1" t="s">
        <v>10053</v>
      </c>
      <c r="NVS1" t="s">
        <v>10054</v>
      </c>
      <c r="NVT1" t="s">
        <v>10055</v>
      </c>
      <c r="NVU1" t="s">
        <v>10056</v>
      </c>
      <c r="NVV1" t="s">
        <v>10057</v>
      </c>
      <c r="NVW1" t="s">
        <v>10058</v>
      </c>
      <c r="NVX1" t="s">
        <v>10059</v>
      </c>
      <c r="NVY1" t="s">
        <v>10060</v>
      </c>
      <c r="NVZ1" t="s">
        <v>10061</v>
      </c>
      <c r="NWA1" t="s">
        <v>10062</v>
      </c>
      <c r="NWB1" t="s">
        <v>10063</v>
      </c>
      <c r="NWC1" t="s">
        <v>10064</v>
      </c>
      <c r="NWD1" t="s">
        <v>10065</v>
      </c>
      <c r="NWE1" t="s">
        <v>10066</v>
      </c>
      <c r="NWF1" t="s">
        <v>10067</v>
      </c>
      <c r="NWG1" t="s">
        <v>10068</v>
      </c>
      <c r="NWH1" t="s">
        <v>10069</v>
      </c>
      <c r="NWI1" t="s">
        <v>10070</v>
      </c>
      <c r="NWJ1" t="s">
        <v>10071</v>
      </c>
      <c r="NWK1" t="s">
        <v>10072</v>
      </c>
      <c r="NWL1" t="s">
        <v>10073</v>
      </c>
      <c r="NWM1" t="s">
        <v>10074</v>
      </c>
      <c r="NWN1" t="s">
        <v>10075</v>
      </c>
      <c r="NWO1" t="s">
        <v>10076</v>
      </c>
      <c r="NWP1" t="s">
        <v>10077</v>
      </c>
      <c r="NWQ1" t="s">
        <v>10078</v>
      </c>
      <c r="NWR1" t="s">
        <v>10079</v>
      </c>
      <c r="NWS1" t="s">
        <v>10080</v>
      </c>
      <c r="NWT1" t="s">
        <v>10081</v>
      </c>
      <c r="NWU1" t="s">
        <v>10082</v>
      </c>
      <c r="NWV1" t="s">
        <v>10083</v>
      </c>
      <c r="NWW1" t="s">
        <v>10084</v>
      </c>
      <c r="NWX1" t="s">
        <v>10085</v>
      </c>
      <c r="NWY1" t="s">
        <v>10086</v>
      </c>
      <c r="NWZ1" t="s">
        <v>10087</v>
      </c>
      <c r="NXA1" t="s">
        <v>10088</v>
      </c>
      <c r="NXB1" t="s">
        <v>10089</v>
      </c>
      <c r="NXC1" t="s">
        <v>10090</v>
      </c>
      <c r="NXD1" t="s">
        <v>10091</v>
      </c>
      <c r="NXE1" t="s">
        <v>10092</v>
      </c>
      <c r="NXF1" t="s">
        <v>10093</v>
      </c>
      <c r="NXG1" t="s">
        <v>10094</v>
      </c>
      <c r="NXH1" t="s">
        <v>10095</v>
      </c>
      <c r="NXI1" t="s">
        <v>10096</v>
      </c>
      <c r="NXJ1" t="s">
        <v>10097</v>
      </c>
      <c r="NXK1" t="s">
        <v>10098</v>
      </c>
      <c r="NXL1" t="s">
        <v>10099</v>
      </c>
      <c r="NXM1" t="s">
        <v>10100</v>
      </c>
      <c r="NXN1" t="s">
        <v>10101</v>
      </c>
      <c r="NXO1" t="s">
        <v>10102</v>
      </c>
      <c r="NXP1" t="s">
        <v>10103</v>
      </c>
      <c r="NXQ1" t="s">
        <v>10104</v>
      </c>
      <c r="NXR1" t="s">
        <v>10105</v>
      </c>
      <c r="NXS1" t="s">
        <v>10106</v>
      </c>
      <c r="NXT1" t="s">
        <v>10107</v>
      </c>
      <c r="NXU1" t="s">
        <v>10108</v>
      </c>
      <c r="NXV1" t="s">
        <v>10109</v>
      </c>
      <c r="NXW1" t="s">
        <v>10110</v>
      </c>
      <c r="NXX1" t="s">
        <v>10111</v>
      </c>
      <c r="NXY1" t="s">
        <v>10112</v>
      </c>
      <c r="NXZ1" t="s">
        <v>10113</v>
      </c>
      <c r="NYA1" t="s">
        <v>10114</v>
      </c>
      <c r="NYB1" t="s">
        <v>10115</v>
      </c>
      <c r="NYC1" t="s">
        <v>10116</v>
      </c>
      <c r="NYD1" t="s">
        <v>10117</v>
      </c>
      <c r="NYE1" t="s">
        <v>10118</v>
      </c>
      <c r="NYF1" t="s">
        <v>10119</v>
      </c>
      <c r="NYG1" t="s">
        <v>10120</v>
      </c>
      <c r="NYH1" t="s">
        <v>10121</v>
      </c>
      <c r="NYI1" t="s">
        <v>10122</v>
      </c>
      <c r="NYJ1" t="s">
        <v>10123</v>
      </c>
      <c r="NYK1" t="s">
        <v>10124</v>
      </c>
      <c r="NYL1" t="s">
        <v>10125</v>
      </c>
      <c r="NYM1" t="s">
        <v>10126</v>
      </c>
      <c r="NYN1" t="s">
        <v>10127</v>
      </c>
      <c r="NYO1" t="s">
        <v>10128</v>
      </c>
      <c r="NYP1" t="s">
        <v>10129</v>
      </c>
      <c r="NYQ1" t="s">
        <v>10130</v>
      </c>
      <c r="NYR1" t="s">
        <v>10131</v>
      </c>
      <c r="NYS1" t="s">
        <v>10132</v>
      </c>
      <c r="NYT1" t="s">
        <v>10133</v>
      </c>
      <c r="NYU1" t="s">
        <v>10134</v>
      </c>
      <c r="NYV1" t="s">
        <v>10135</v>
      </c>
      <c r="NYW1" t="s">
        <v>10136</v>
      </c>
      <c r="NYX1" t="s">
        <v>10137</v>
      </c>
      <c r="NYY1" t="s">
        <v>10138</v>
      </c>
      <c r="NYZ1" t="s">
        <v>10139</v>
      </c>
      <c r="NZA1" t="s">
        <v>10140</v>
      </c>
      <c r="NZB1" t="s">
        <v>10141</v>
      </c>
      <c r="NZC1" t="s">
        <v>10142</v>
      </c>
      <c r="NZD1" t="s">
        <v>10143</v>
      </c>
      <c r="NZE1" t="s">
        <v>10144</v>
      </c>
      <c r="NZF1" t="s">
        <v>10145</v>
      </c>
      <c r="NZG1" t="s">
        <v>10146</v>
      </c>
      <c r="NZH1" t="s">
        <v>10147</v>
      </c>
      <c r="NZI1" t="s">
        <v>10148</v>
      </c>
      <c r="NZJ1" t="s">
        <v>10149</v>
      </c>
      <c r="NZK1" t="s">
        <v>10150</v>
      </c>
      <c r="NZL1" t="s">
        <v>10151</v>
      </c>
      <c r="NZM1" t="s">
        <v>10152</v>
      </c>
      <c r="NZN1" t="s">
        <v>10153</v>
      </c>
      <c r="NZO1" t="s">
        <v>10154</v>
      </c>
      <c r="NZP1" t="s">
        <v>10155</v>
      </c>
      <c r="NZQ1" t="s">
        <v>10156</v>
      </c>
      <c r="NZR1" t="s">
        <v>10157</v>
      </c>
      <c r="NZS1" t="s">
        <v>10158</v>
      </c>
      <c r="NZT1" t="s">
        <v>10159</v>
      </c>
      <c r="NZU1" t="s">
        <v>10160</v>
      </c>
      <c r="NZV1" t="s">
        <v>10161</v>
      </c>
      <c r="NZW1" t="s">
        <v>10162</v>
      </c>
      <c r="NZX1" t="s">
        <v>10163</v>
      </c>
      <c r="NZY1" t="s">
        <v>10164</v>
      </c>
      <c r="NZZ1" t="s">
        <v>10165</v>
      </c>
      <c r="OAA1" t="s">
        <v>10166</v>
      </c>
      <c r="OAB1" t="s">
        <v>10167</v>
      </c>
      <c r="OAC1" t="s">
        <v>10168</v>
      </c>
      <c r="OAD1" t="s">
        <v>10169</v>
      </c>
      <c r="OAE1" t="s">
        <v>10170</v>
      </c>
      <c r="OAF1" t="s">
        <v>10171</v>
      </c>
      <c r="OAG1" t="s">
        <v>10172</v>
      </c>
      <c r="OAH1" t="s">
        <v>10173</v>
      </c>
      <c r="OAI1" t="s">
        <v>10174</v>
      </c>
      <c r="OAJ1" t="s">
        <v>10175</v>
      </c>
      <c r="OAK1" t="s">
        <v>10176</v>
      </c>
      <c r="OAL1" t="s">
        <v>10177</v>
      </c>
      <c r="OAM1" t="s">
        <v>10178</v>
      </c>
      <c r="OAN1" t="s">
        <v>10179</v>
      </c>
      <c r="OAO1" t="s">
        <v>10180</v>
      </c>
      <c r="OAP1" t="s">
        <v>10181</v>
      </c>
      <c r="OAQ1" t="s">
        <v>10182</v>
      </c>
      <c r="OAR1" t="s">
        <v>10183</v>
      </c>
      <c r="OAS1" t="s">
        <v>10184</v>
      </c>
      <c r="OAT1" t="s">
        <v>10185</v>
      </c>
      <c r="OAU1" t="s">
        <v>10186</v>
      </c>
      <c r="OAV1" t="s">
        <v>10187</v>
      </c>
      <c r="OAW1" t="s">
        <v>10188</v>
      </c>
      <c r="OAX1" t="s">
        <v>10189</v>
      </c>
      <c r="OAY1" t="s">
        <v>10190</v>
      </c>
      <c r="OAZ1" t="s">
        <v>10191</v>
      </c>
      <c r="OBA1" t="s">
        <v>10192</v>
      </c>
      <c r="OBB1" t="s">
        <v>10193</v>
      </c>
      <c r="OBC1" t="s">
        <v>10194</v>
      </c>
      <c r="OBD1" t="s">
        <v>10195</v>
      </c>
      <c r="OBE1" t="s">
        <v>10196</v>
      </c>
      <c r="OBF1" t="s">
        <v>10197</v>
      </c>
      <c r="OBG1" t="s">
        <v>10198</v>
      </c>
      <c r="OBH1" t="s">
        <v>10199</v>
      </c>
      <c r="OBI1" t="s">
        <v>10200</v>
      </c>
      <c r="OBJ1" t="s">
        <v>10201</v>
      </c>
      <c r="OBK1" t="s">
        <v>10202</v>
      </c>
      <c r="OBL1" t="s">
        <v>10203</v>
      </c>
      <c r="OBM1" t="s">
        <v>10204</v>
      </c>
      <c r="OBN1" t="s">
        <v>10205</v>
      </c>
      <c r="OBO1" t="s">
        <v>10206</v>
      </c>
      <c r="OBP1" t="s">
        <v>10207</v>
      </c>
      <c r="OBQ1" t="s">
        <v>10208</v>
      </c>
      <c r="OBR1" t="s">
        <v>10209</v>
      </c>
      <c r="OBS1" t="s">
        <v>10210</v>
      </c>
      <c r="OBT1" t="s">
        <v>10211</v>
      </c>
      <c r="OBU1" t="s">
        <v>10212</v>
      </c>
      <c r="OBV1" t="s">
        <v>10213</v>
      </c>
      <c r="OBW1" t="s">
        <v>10214</v>
      </c>
      <c r="OBX1" t="s">
        <v>10215</v>
      </c>
      <c r="OBY1" t="s">
        <v>10216</v>
      </c>
      <c r="OBZ1" t="s">
        <v>10217</v>
      </c>
      <c r="OCA1" t="s">
        <v>10218</v>
      </c>
      <c r="OCB1" t="s">
        <v>10219</v>
      </c>
      <c r="OCC1" t="s">
        <v>10220</v>
      </c>
      <c r="OCD1" t="s">
        <v>10221</v>
      </c>
      <c r="OCE1" t="s">
        <v>10222</v>
      </c>
      <c r="OCF1" t="s">
        <v>10223</v>
      </c>
      <c r="OCG1" t="s">
        <v>10224</v>
      </c>
      <c r="OCH1" t="s">
        <v>10225</v>
      </c>
      <c r="OCI1" t="s">
        <v>10226</v>
      </c>
      <c r="OCJ1" t="s">
        <v>10227</v>
      </c>
      <c r="OCK1" t="s">
        <v>10228</v>
      </c>
      <c r="OCL1" t="s">
        <v>10229</v>
      </c>
      <c r="OCM1" t="s">
        <v>10230</v>
      </c>
      <c r="OCN1" t="s">
        <v>10231</v>
      </c>
      <c r="OCO1" t="s">
        <v>10232</v>
      </c>
      <c r="OCP1" t="s">
        <v>10233</v>
      </c>
      <c r="OCQ1" t="s">
        <v>10234</v>
      </c>
      <c r="OCR1" t="s">
        <v>10235</v>
      </c>
      <c r="OCS1" t="s">
        <v>10236</v>
      </c>
      <c r="OCT1" t="s">
        <v>10237</v>
      </c>
      <c r="OCU1" t="s">
        <v>10238</v>
      </c>
      <c r="OCV1" t="s">
        <v>10239</v>
      </c>
      <c r="OCW1" t="s">
        <v>10240</v>
      </c>
      <c r="OCX1" t="s">
        <v>10241</v>
      </c>
      <c r="OCY1" t="s">
        <v>10242</v>
      </c>
      <c r="OCZ1" t="s">
        <v>10243</v>
      </c>
      <c r="ODA1" t="s">
        <v>10244</v>
      </c>
      <c r="ODB1" t="s">
        <v>10245</v>
      </c>
      <c r="ODC1" t="s">
        <v>10246</v>
      </c>
      <c r="ODD1" t="s">
        <v>10247</v>
      </c>
      <c r="ODE1" t="s">
        <v>10248</v>
      </c>
      <c r="ODF1" t="s">
        <v>10249</v>
      </c>
      <c r="ODG1" t="s">
        <v>10250</v>
      </c>
      <c r="ODH1" t="s">
        <v>10251</v>
      </c>
      <c r="ODI1" t="s">
        <v>10252</v>
      </c>
      <c r="ODJ1" t="s">
        <v>10253</v>
      </c>
      <c r="ODK1" t="s">
        <v>10254</v>
      </c>
      <c r="ODL1" t="s">
        <v>10255</v>
      </c>
      <c r="ODM1" t="s">
        <v>10256</v>
      </c>
      <c r="ODN1" t="s">
        <v>10257</v>
      </c>
      <c r="ODO1" t="s">
        <v>10258</v>
      </c>
      <c r="ODP1" t="s">
        <v>10259</v>
      </c>
      <c r="ODQ1" t="s">
        <v>10260</v>
      </c>
      <c r="ODR1" t="s">
        <v>10261</v>
      </c>
      <c r="ODS1" t="s">
        <v>10262</v>
      </c>
      <c r="ODT1" t="s">
        <v>10263</v>
      </c>
      <c r="ODU1" t="s">
        <v>10264</v>
      </c>
      <c r="ODV1" t="s">
        <v>10265</v>
      </c>
      <c r="ODW1" t="s">
        <v>10266</v>
      </c>
      <c r="ODX1" t="s">
        <v>10267</v>
      </c>
      <c r="ODY1" t="s">
        <v>10268</v>
      </c>
      <c r="ODZ1" t="s">
        <v>10269</v>
      </c>
      <c r="OEA1" t="s">
        <v>10270</v>
      </c>
      <c r="OEB1" t="s">
        <v>10271</v>
      </c>
      <c r="OEC1" t="s">
        <v>10272</v>
      </c>
      <c r="OED1" t="s">
        <v>10273</v>
      </c>
      <c r="OEE1" t="s">
        <v>10274</v>
      </c>
      <c r="OEF1" t="s">
        <v>10275</v>
      </c>
      <c r="OEG1" t="s">
        <v>10276</v>
      </c>
      <c r="OEH1" t="s">
        <v>10277</v>
      </c>
      <c r="OEI1" t="s">
        <v>10278</v>
      </c>
      <c r="OEJ1" t="s">
        <v>10279</v>
      </c>
      <c r="OEK1" t="s">
        <v>10280</v>
      </c>
      <c r="OEL1" t="s">
        <v>10281</v>
      </c>
      <c r="OEM1" t="s">
        <v>10282</v>
      </c>
      <c r="OEN1" t="s">
        <v>10283</v>
      </c>
      <c r="OEO1" t="s">
        <v>10284</v>
      </c>
      <c r="OEP1" t="s">
        <v>10285</v>
      </c>
      <c r="OEQ1" t="s">
        <v>10286</v>
      </c>
      <c r="OER1" t="s">
        <v>10287</v>
      </c>
      <c r="OES1" t="s">
        <v>10288</v>
      </c>
      <c r="OET1" t="s">
        <v>10289</v>
      </c>
      <c r="OEU1" t="s">
        <v>10290</v>
      </c>
      <c r="OEV1" t="s">
        <v>10291</v>
      </c>
      <c r="OEW1" t="s">
        <v>10292</v>
      </c>
      <c r="OEX1" t="s">
        <v>10293</v>
      </c>
      <c r="OEY1" t="s">
        <v>10294</v>
      </c>
      <c r="OEZ1" t="s">
        <v>10295</v>
      </c>
      <c r="OFA1" t="s">
        <v>10296</v>
      </c>
      <c r="OFB1" t="s">
        <v>10297</v>
      </c>
      <c r="OFC1" t="s">
        <v>10298</v>
      </c>
      <c r="OFD1" t="s">
        <v>10299</v>
      </c>
      <c r="OFE1" t="s">
        <v>10300</v>
      </c>
      <c r="OFF1" t="s">
        <v>10301</v>
      </c>
      <c r="OFG1" t="s">
        <v>10302</v>
      </c>
      <c r="OFH1" t="s">
        <v>10303</v>
      </c>
      <c r="OFI1" t="s">
        <v>10304</v>
      </c>
      <c r="OFJ1" t="s">
        <v>10305</v>
      </c>
      <c r="OFK1" t="s">
        <v>10306</v>
      </c>
      <c r="OFL1" t="s">
        <v>10307</v>
      </c>
      <c r="OFM1" t="s">
        <v>10308</v>
      </c>
      <c r="OFN1" t="s">
        <v>10309</v>
      </c>
      <c r="OFO1" t="s">
        <v>10310</v>
      </c>
      <c r="OFP1" t="s">
        <v>10311</v>
      </c>
      <c r="OFQ1" t="s">
        <v>10312</v>
      </c>
      <c r="OFR1" t="s">
        <v>10313</v>
      </c>
      <c r="OFS1" t="s">
        <v>10314</v>
      </c>
      <c r="OFT1" t="s">
        <v>10315</v>
      </c>
      <c r="OFU1" t="s">
        <v>10316</v>
      </c>
      <c r="OFV1" t="s">
        <v>10317</v>
      </c>
      <c r="OFW1" t="s">
        <v>10318</v>
      </c>
      <c r="OFX1" t="s">
        <v>10319</v>
      </c>
      <c r="OFY1" t="s">
        <v>10320</v>
      </c>
      <c r="OFZ1" t="s">
        <v>10321</v>
      </c>
      <c r="OGA1" t="s">
        <v>10322</v>
      </c>
      <c r="OGB1" t="s">
        <v>10323</v>
      </c>
      <c r="OGC1" t="s">
        <v>10324</v>
      </c>
      <c r="OGD1" t="s">
        <v>10325</v>
      </c>
      <c r="OGE1" t="s">
        <v>10326</v>
      </c>
      <c r="OGF1" t="s">
        <v>10327</v>
      </c>
      <c r="OGG1" t="s">
        <v>10328</v>
      </c>
      <c r="OGH1" t="s">
        <v>10329</v>
      </c>
      <c r="OGI1" t="s">
        <v>10330</v>
      </c>
      <c r="OGJ1" t="s">
        <v>10331</v>
      </c>
      <c r="OGK1" t="s">
        <v>10332</v>
      </c>
      <c r="OGL1" t="s">
        <v>10333</v>
      </c>
      <c r="OGM1" t="s">
        <v>10334</v>
      </c>
      <c r="OGN1" t="s">
        <v>10335</v>
      </c>
      <c r="OGO1" t="s">
        <v>10336</v>
      </c>
      <c r="OGP1" t="s">
        <v>10337</v>
      </c>
      <c r="OGQ1" t="s">
        <v>10338</v>
      </c>
      <c r="OGR1" t="s">
        <v>10339</v>
      </c>
      <c r="OGS1" t="s">
        <v>10340</v>
      </c>
      <c r="OGT1" t="s">
        <v>10341</v>
      </c>
      <c r="OGU1" t="s">
        <v>10342</v>
      </c>
      <c r="OGV1" t="s">
        <v>10343</v>
      </c>
      <c r="OGW1" t="s">
        <v>10344</v>
      </c>
      <c r="OGX1" t="s">
        <v>10345</v>
      </c>
      <c r="OGY1" t="s">
        <v>10346</v>
      </c>
      <c r="OGZ1" t="s">
        <v>10347</v>
      </c>
      <c r="OHA1" t="s">
        <v>10348</v>
      </c>
      <c r="OHB1" t="s">
        <v>10349</v>
      </c>
      <c r="OHC1" t="s">
        <v>10350</v>
      </c>
      <c r="OHD1" t="s">
        <v>10351</v>
      </c>
      <c r="OHE1" t="s">
        <v>10352</v>
      </c>
      <c r="OHF1" t="s">
        <v>10353</v>
      </c>
      <c r="OHG1" t="s">
        <v>10354</v>
      </c>
      <c r="OHH1" t="s">
        <v>10355</v>
      </c>
      <c r="OHI1" t="s">
        <v>10356</v>
      </c>
      <c r="OHJ1" t="s">
        <v>10357</v>
      </c>
      <c r="OHK1" t="s">
        <v>10358</v>
      </c>
      <c r="OHL1" t="s">
        <v>10359</v>
      </c>
      <c r="OHM1" t="s">
        <v>10360</v>
      </c>
      <c r="OHN1" t="s">
        <v>10361</v>
      </c>
      <c r="OHO1" t="s">
        <v>10362</v>
      </c>
      <c r="OHP1" t="s">
        <v>10363</v>
      </c>
      <c r="OHQ1" t="s">
        <v>10364</v>
      </c>
      <c r="OHR1" t="s">
        <v>10365</v>
      </c>
      <c r="OHS1" t="s">
        <v>10366</v>
      </c>
      <c r="OHT1" t="s">
        <v>10367</v>
      </c>
      <c r="OHU1" t="s">
        <v>10368</v>
      </c>
      <c r="OHV1" t="s">
        <v>10369</v>
      </c>
      <c r="OHW1" t="s">
        <v>10370</v>
      </c>
      <c r="OHX1" t="s">
        <v>10371</v>
      </c>
      <c r="OHY1" t="s">
        <v>10372</v>
      </c>
      <c r="OHZ1" t="s">
        <v>10373</v>
      </c>
      <c r="OIA1" t="s">
        <v>10374</v>
      </c>
      <c r="OIB1" t="s">
        <v>10375</v>
      </c>
      <c r="OIC1" t="s">
        <v>10376</v>
      </c>
      <c r="OID1" t="s">
        <v>10377</v>
      </c>
      <c r="OIE1" t="s">
        <v>10378</v>
      </c>
      <c r="OIF1" t="s">
        <v>10379</v>
      </c>
      <c r="OIG1" t="s">
        <v>10380</v>
      </c>
      <c r="OIH1" t="s">
        <v>10381</v>
      </c>
      <c r="OII1" t="s">
        <v>10382</v>
      </c>
      <c r="OIJ1" t="s">
        <v>10383</v>
      </c>
      <c r="OIK1" t="s">
        <v>10384</v>
      </c>
      <c r="OIL1" t="s">
        <v>10385</v>
      </c>
      <c r="OIM1" t="s">
        <v>10386</v>
      </c>
      <c r="OIN1" t="s">
        <v>10387</v>
      </c>
      <c r="OIO1" t="s">
        <v>10388</v>
      </c>
      <c r="OIP1" t="s">
        <v>10389</v>
      </c>
      <c r="OIQ1" t="s">
        <v>10390</v>
      </c>
      <c r="OIR1" t="s">
        <v>10391</v>
      </c>
      <c r="OIS1" t="s">
        <v>10392</v>
      </c>
      <c r="OIT1" t="s">
        <v>10393</v>
      </c>
      <c r="OIU1" t="s">
        <v>10394</v>
      </c>
      <c r="OIV1" t="s">
        <v>10395</v>
      </c>
      <c r="OIW1" t="s">
        <v>10396</v>
      </c>
      <c r="OIX1" t="s">
        <v>10397</v>
      </c>
      <c r="OIY1" t="s">
        <v>10398</v>
      </c>
      <c r="OIZ1" t="s">
        <v>10399</v>
      </c>
      <c r="OJA1" t="s">
        <v>10400</v>
      </c>
      <c r="OJB1" t="s">
        <v>10401</v>
      </c>
      <c r="OJC1" t="s">
        <v>10402</v>
      </c>
      <c r="OJD1" t="s">
        <v>10403</v>
      </c>
      <c r="OJE1" t="s">
        <v>10404</v>
      </c>
      <c r="OJF1" t="s">
        <v>10405</v>
      </c>
      <c r="OJG1" t="s">
        <v>10406</v>
      </c>
      <c r="OJH1" t="s">
        <v>10407</v>
      </c>
      <c r="OJI1" t="s">
        <v>10408</v>
      </c>
      <c r="OJJ1" t="s">
        <v>10409</v>
      </c>
      <c r="OJK1" t="s">
        <v>10410</v>
      </c>
      <c r="OJL1" t="s">
        <v>10411</v>
      </c>
      <c r="OJM1" t="s">
        <v>10412</v>
      </c>
      <c r="OJN1" t="s">
        <v>10413</v>
      </c>
      <c r="OJO1" t="s">
        <v>10414</v>
      </c>
      <c r="OJP1" t="s">
        <v>10415</v>
      </c>
      <c r="OJQ1" t="s">
        <v>10416</v>
      </c>
      <c r="OJR1" t="s">
        <v>10417</v>
      </c>
      <c r="OJS1" t="s">
        <v>10418</v>
      </c>
      <c r="OJT1" t="s">
        <v>10419</v>
      </c>
      <c r="OJU1" t="s">
        <v>10420</v>
      </c>
      <c r="OJV1" t="s">
        <v>10421</v>
      </c>
      <c r="OJW1" t="s">
        <v>10422</v>
      </c>
      <c r="OJX1" t="s">
        <v>10423</v>
      </c>
      <c r="OJY1" t="s">
        <v>10424</v>
      </c>
      <c r="OJZ1" t="s">
        <v>10425</v>
      </c>
      <c r="OKA1" t="s">
        <v>10426</v>
      </c>
      <c r="OKB1" t="s">
        <v>10427</v>
      </c>
      <c r="OKC1" t="s">
        <v>10428</v>
      </c>
      <c r="OKD1" t="s">
        <v>10429</v>
      </c>
      <c r="OKE1" t="s">
        <v>10430</v>
      </c>
      <c r="OKF1" t="s">
        <v>10431</v>
      </c>
      <c r="OKG1" t="s">
        <v>10432</v>
      </c>
      <c r="OKH1" t="s">
        <v>10433</v>
      </c>
      <c r="OKI1" t="s">
        <v>10434</v>
      </c>
      <c r="OKJ1" t="s">
        <v>10435</v>
      </c>
      <c r="OKK1" t="s">
        <v>10436</v>
      </c>
      <c r="OKL1" t="s">
        <v>10437</v>
      </c>
      <c r="OKM1" t="s">
        <v>10438</v>
      </c>
      <c r="OKN1" t="s">
        <v>10439</v>
      </c>
      <c r="OKO1" t="s">
        <v>10440</v>
      </c>
      <c r="OKP1" t="s">
        <v>10441</v>
      </c>
      <c r="OKQ1" t="s">
        <v>10442</v>
      </c>
      <c r="OKR1" t="s">
        <v>10443</v>
      </c>
      <c r="OKS1" t="s">
        <v>10444</v>
      </c>
      <c r="OKT1" t="s">
        <v>10445</v>
      </c>
      <c r="OKU1" t="s">
        <v>10446</v>
      </c>
      <c r="OKV1" t="s">
        <v>10447</v>
      </c>
      <c r="OKW1" t="s">
        <v>10448</v>
      </c>
      <c r="OKX1" t="s">
        <v>10449</v>
      </c>
      <c r="OKY1" t="s">
        <v>10450</v>
      </c>
      <c r="OKZ1" t="s">
        <v>10451</v>
      </c>
      <c r="OLA1" t="s">
        <v>10452</v>
      </c>
      <c r="OLB1" t="s">
        <v>10453</v>
      </c>
      <c r="OLC1" t="s">
        <v>10454</v>
      </c>
      <c r="OLD1" t="s">
        <v>10455</v>
      </c>
      <c r="OLE1" t="s">
        <v>10456</v>
      </c>
      <c r="OLF1" t="s">
        <v>10457</v>
      </c>
      <c r="OLG1" t="s">
        <v>10458</v>
      </c>
      <c r="OLH1" t="s">
        <v>10459</v>
      </c>
      <c r="OLI1" t="s">
        <v>10460</v>
      </c>
      <c r="OLJ1" t="s">
        <v>10461</v>
      </c>
      <c r="OLK1" t="s">
        <v>10462</v>
      </c>
      <c r="OLL1" t="s">
        <v>10463</v>
      </c>
      <c r="OLM1" t="s">
        <v>10464</v>
      </c>
      <c r="OLN1" t="s">
        <v>10465</v>
      </c>
      <c r="OLO1" t="s">
        <v>10466</v>
      </c>
      <c r="OLP1" t="s">
        <v>10467</v>
      </c>
      <c r="OLQ1" t="s">
        <v>10468</v>
      </c>
      <c r="OLR1" t="s">
        <v>10469</v>
      </c>
      <c r="OLS1" t="s">
        <v>10470</v>
      </c>
      <c r="OLT1" t="s">
        <v>10471</v>
      </c>
      <c r="OLU1" t="s">
        <v>10472</v>
      </c>
      <c r="OLV1" t="s">
        <v>10473</v>
      </c>
      <c r="OLW1" t="s">
        <v>10474</v>
      </c>
      <c r="OLX1" t="s">
        <v>10475</v>
      </c>
      <c r="OLY1" t="s">
        <v>10476</v>
      </c>
      <c r="OLZ1" t="s">
        <v>10477</v>
      </c>
      <c r="OMA1" t="s">
        <v>10478</v>
      </c>
      <c r="OMB1" t="s">
        <v>10479</v>
      </c>
      <c r="OMC1" t="s">
        <v>10480</v>
      </c>
      <c r="OMD1" t="s">
        <v>10481</v>
      </c>
      <c r="OME1" t="s">
        <v>10482</v>
      </c>
      <c r="OMF1" t="s">
        <v>10483</v>
      </c>
      <c r="OMG1" t="s">
        <v>10484</v>
      </c>
      <c r="OMH1" t="s">
        <v>10485</v>
      </c>
      <c r="OMI1" t="s">
        <v>10486</v>
      </c>
      <c r="OMJ1" t="s">
        <v>10487</v>
      </c>
      <c r="OMK1" t="s">
        <v>10488</v>
      </c>
      <c r="OML1" t="s">
        <v>10489</v>
      </c>
      <c r="OMM1" t="s">
        <v>10490</v>
      </c>
      <c r="OMN1" t="s">
        <v>10491</v>
      </c>
      <c r="OMO1" t="s">
        <v>10492</v>
      </c>
      <c r="OMP1" t="s">
        <v>10493</v>
      </c>
      <c r="OMQ1" t="s">
        <v>10494</v>
      </c>
      <c r="OMR1" t="s">
        <v>10495</v>
      </c>
      <c r="OMS1" t="s">
        <v>10496</v>
      </c>
      <c r="OMT1" t="s">
        <v>10497</v>
      </c>
      <c r="OMU1" t="s">
        <v>10498</v>
      </c>
      <c r="OMV1" t="s">
        <v>10499</v>
      </c>
      <c r="OMW1" t="s">
        <v>10500</v>
      </c>
      <c r="OMX1" t="s">
        <v>10501</v>
      </c>
      <c r="OMY1" t="s">
        <v>10502</v>
      </c>
      <c r="OMZ1" t="s">
        <v>10503</v>
      </c>
      <c r="ONA1" t="s">
        <v>10504</v>
      </c>
      <c r="ONB1" t="s">
        <v>10505</v>
      </c>
      <c r="ONC1" t="s">
        <v>10506</v>
      </c>
      <c r="OND1" t="s">
        <v>10507</v>
      </c>
      <c r="ONE1" t="s">
        <v>10508</v>
      </c>
      <c r="ONF1" t="s">
        <v>10509</v>
      </c>
      <c r="ONG1" t="s">
        <v>10510</v>
      </c>
      <c r="ONH1" t="s">
        <v>10511</v>
      </c>
      <c r="ONI1" t="s">
        <v>10512</v>
      </c>
      <c r="ONJ1" t="s">
        <v>10513</v>
      </c>
      <c r="ONK1" t="s">
        <v>10514</v>
      </c>
      <c r="ONL1" t="s">
        <v>10515</v>
      </c>
      <c r="ONM1" t="s">
        <v>10516</v>
      </c>
      <c r="ONN1" t="s">
        <v>10517</v>
      </c>
      <c r="ONO1" t="s">
        <v>10518</v>
      </c>
      <c r="ONP1" t="s">
        <v>10519</v>
      </c>
      <c r="ONQ1" t="s">
        <v>10520</v>
      </c>
      <c r="ONR1" t="s">
        <v>10521</v>
      </c>
      <c r="ONS1" t="s">
        <v>10522</v>
      </c>
      <c r="ONT1" t="s">
        <v>10523</v>
      </c>
      <c r="ONU1" t="s">
        <v>10524</v>
      </c>
      <c r="ONV1" t="s">
        <v>10525</v>
      </c>
      <c r="ONW1" t="s">
        <v>10526</v>
      </c>
      <c r="ONX1" t="s">
        <v>10527</v>
      </c>
      <c r="ONY1" t="s">
        <v>10528</v>
      </c>
      <c r="ONZ1" t="s">
        <v>10529</v>
      </c>
      <c r="OOA1" t="s">
        <v>10530</v>
      </c>
      <c r="OOB1" t="s">
        <v>10531</v>
      </c>
      <c r="OOC1" t="s">
        <v>10532</v>
      </c>
      <c r="OOD1" t="s">
        <v>10533</v>
      </c>
      <c r="OOE1" t="s">
        <v>10534</v>
      </c>
      <c r="OOF1" t="s">
        <v>10535</v>
      </c>
      <c r="OOG1" t="s">
        <v>10536</v>
      </c>
      <c r="OOH1" t="s">
        <v>10537</v>
      </c>
      <c r="OOI1" t="s">
        <v>10538</v>
      </c>
      <c r="OOJ1" t="s">
        <v>10539</v>
      </c>
      <c r="OOK1" t="s">
        <v>10540</v>
      </c>
      <c r="OOL1" t="s">
        <v>10541</v>
      </c>
      <c r="OOM1" t="s">
        <v>10542</v>
      </c>
      <c r="OON1" t="s">
        <v>10543</v>
      </c>
      <c r="OOO1" t="s">
        <v>10544</v>
      </c>
      <c r="OOP1" t="s">
        <v>10545</v>
      </c>
      <c r="OOQ1" t="s">
        <v>10546</v>
      </c>
      <c r="OOR1" t="s">
        <v>10547</v>
      </c>
      <c r="OOS1" t="s">
        <v>10548</v>
      </c>
      <c r="OOT1" t="s">
        <v>10549</v>
      </c>
      <c r="OOU1" t="s">
        <v>10550</v>
      </c>
      <c r="OOV1" t="s">
        <v>10551</v>
      </c>
      <c r="OOW1" t="s">
        <v>10552</v>
      </c>
      <c r="OOX1" t="s">
        <v>10553</v>
      </c>
      <c r="OOY1" t="s">
        <v>10554</v>
      </c>
      <c r="OOZ1" t="s">
        <v>10555</v>
      </c>
      <c r="OPA1" t="s">
        <v>10556</v>
      </c>
      <c r="OPB1" t="s">
        <v>10557</v>
      </c>
      <c r="OPC1" t="s">
        <v>10558</v>
      </c>
      <c r="OPD1" t="s">
        <v>10559</v>
      </c>
      <c r="OPE1" t="s">
        <v>10560</v>
      </c>
      <c r="OPF1" t="s">
        <v>10561</v>
      </c>
      <c r="OPG1" t="s">
        <v>10562</v>
      </c>
      <c r="OPH1" t="s">
        <v>10563</v>
      </c>
      <c r="OPI1" t="s">
        <v>10564</v>
      </c>
      <c r="OPJ1" t="s">
        <v>10565</v>
      </c>
      <c r="OPK1" t="s">
        <v>10566</v>
      </c>
      <c r="OPL1" t="s">
        <v>10567</v>
      </c>
      <c r="OPM1" t="s">
        <v>10568</v>
      </c>
      <c r="OPN1" t="s">
        <v>10569</v>
      </c>
      <c r="OPO1" t="s">
        <v>10570</v>
      </c>
      <c r="OPP1" t="s">
        <v>10571</v>
      </c>
      <c r="OPQ1" t="s">
        <v>10572</v>
      </c>
      <c r="OPR1" t="s">
        <v>10573</v>
      </c>
      <c r="OPS1" t="s">
        <v>10574</v>
      </c>
      <c r="OPT1" t="s">
        <v>10575</v>
      </c>
      <c r="OPU1" t="s">
        <v>10576</v>
      </c>
      <c r="OPV1" t="s">
        <v>10577</v>
      </c>
      <c r="OPW1" t="s">
        <v>10578</v>
      </c>
      <c r="OPX1" t="s">
        <v>10579</v>
      </c>
      <c r="OPY1" t="s">
        <v>10580</v>
      </c>
      <c r="OPZ1" t="s">
        <v>10581</v>
      </c>
      <c r="OQA1" t="s">
        <v>10582</v>
      </c>
      <c r="OQB1" t="s">
        <v>10583</v>
      </c>
      <c r="OQC1" t="s">
        <v>10584</v>
      </c>
      <c r="OQD1" t="s">
        <v>10585</v>
      </c>
      <c r="OQE1" t="s">
        <v>10586</v>
      </c>
      <c r="OQF1" t="s">
        <v>10587</v>
      </c>
      <c r="OQG1" t="s">
        <v>10588</v>
      </c>
      <c r="OQH1" t="s">
        <v>10589</v>
      </c>
      <c r="OQI1" t="s">
        <v>10590</v>
      </c>
      <c r="OQJ1" t="s">
        <v>10591</v>
      </c>
      <c r="OQK1" t="s">
        <v>10592</v>
      </c>
      <c r="OQL1" t="s">
        <v>10593</v>
      </c>
      <c r="OQM1" t="s">
        <v>10594</v>
      </c>
      <c r="OQN1" t="s">
        <v>10595</v>
      </c>
      <c r="OQO1" t="s">
        <v>10596</v>
      </c>
      <c r="OQP1" t="s">
        <v>10597</v>
      </c>
      <c r="OQQ1" t="s">
        <v>10598</v>
      </c>
      <c r="OQR1" t="s">
        <v>10599</v>
      </c>
      <c r="OQS1" t="s">
        <v>10600</v>
      </c>
      <c r="OQT1" t="s">
        <v>10601</v>
      </c>
      <c r="OQU1" t="s">
        <v>10602</v>
      </c>
      <c r="OQV1" t="s">
        <v>10603</v>
      </c>
      <c r="OQW1" t="s">
        <v>10604</v>
      </c>
      <c r="OQX1" t="s">
        <v>10605</v>
      </c>
      <c r="OQY1" t="s">
        <v>10606</v>
      </c>
      <c r="OQZ1" t="s">
        <v>10607</v>
      </c>
      <c r="ORA1" t="s">
        <v>10608</v>
      </c>
      <c r="ORB1" t="s">
        <v>10609</v>
      </c>
      <c r="ORC1" t="s">
        <v>10610</v>
      </c>
      <c r="ORD1" t="s">
        <v>10611</v>
      </c>
      <c r="ORE1" t="s">
        <v>10612</v>
      </c>
      <c r="ORF1" t="s">
        <v>10613</v>
      </c>
      <c r="ORG1" t="s">
        <v>10614</v>
      </c>
      <c r="ORH1" t="s">
        <v>10615</v>
      </c>
      <c r="ORI1" t="s">
        <v>10616</v>
      </c>
      <c r="ORJ1" t="s">
        <v>10617</v>
      </c>
      <c r="ORK1" t="s">
        <v>10618</v>
      </c>
      <c r="ORL1" t="s">
        <v>10619</v>
      </c>
      <c r="ORM1" t="s">
        <v>10620</v>
      </c>
      <c r="ORN1" t="s">
        <v>10621</v>
      </c>
      <c r="ORO1" t="s">
        <v>10622</v>
      </c>
      <c r="ORP1" t="s">
        <v>10623</v>
      </c>
      <c r="ORQ1" t="s">
        <v>10624</v>
      </c>
      <c r="ORR1" t="s">
        <v>10625</v>
      </c>
      <c r="ORS1" t="s">
        <v>10626</v>
      </c>
      <c r="ORT1" t="s">
        <v>10627</v>
      </c>
      <c r="ORU1" t="s">
        <v>10628</v>
      </c>
      <c r="ORV1" t="s">
        <v>10629</v>
      </c>
      <c r="ORW1" t="s">
        <v>10630</v>
      </c>
      <c r="ORX1" t="s">
        <v>10631</v>
      </c>
      <c r="ORY1" t="s">
        <v>10632</v>
      </c>
      <c r="ORZ1" t="s">
        <v>10633</v>
      </c>
      <c r="OSA1" t="s">
        <v>10634</v>
      </c>
      <c r="OSB1" t="s">
        <v>10635</v>
      </c>
      <c r="OSC1" t="s">
        <v>10636</v>
      </c>
      <c r="OSD1" t="s">
        <v>10637</v>
      </c>
      <c r="OSE1" t="s">
        <v>10638</v>
      </c>
      <c r="OSF1" t="s">
        <v>10639</v>
      </c>
      <c r="OSG1" t="s">
        <v>10640</v>
      </c>
      <c r="OSH1" t="s">
        <v>10641</v>
      </c>
      <c r="OSI1" t="s">
        <v>10642</v>
      </c>
      <c r="OSJ1" t="s">
        <v>10643</v>
      </c>
      <c r="OSK1" t="s">
        <v>10644</v>
      </c>
      <c r="OSL1" t="s">
        <v>10645</v>
      </c>
      <c r="OSM1" t="s">
        <v>10646</v>
      </c>
      <c r="OSN1" t="s">
        <v>10647</v>
      </c>
      <c r="OSO1" t="s">
        <v>10648</v>
      </c>
      <c r="OSP1" t="s">
        <v>10649</v>
      </c>
      <c r="OSQ1" t="s">
        <v>10650</v>
      </c>
      <c r="OSR1" t="s">
        <v>10651</v>
      </c>
      <c r="OSS1" t="s">
        <v>10652</v>
      </c>
      <c r="OST1" t="s">
        <v>10653</v>
      </c>
      <c r="OSU1" t="s">
        <v>10654</v>
      </c>
      <c r="OSV1" t="s">
        <v>10655</v>
      </c>
      <c r="OSW1" t="s">
        <v>10656</v>
      </c>
      <c r="OSX1" t="s">
        <v>10657</v>
      </c>
      <c r="OSY1" t="s">
        <v>10658</v>
      </c>
      <c r="OSZ1" t="s">
        <v>10659</v>
      </c>
      <c r="OTA1" t="s">
        <v>10660</v>
      </c>
      <c r="OTB1" t="s">
        <v>10661</v>
      </c>
      <c r="OTC1" t="s">
        <v>10662</v>
      </c>
      <c r="OTD1" t="s">
        <v>10663</v>
      </c>
      <c r="OTE1" t="s">
        <v>10664</v>
      </c>
      <c r="OTF1" t="s">
        <v>10665</v>
      </c>
      <c r="OTG1" t="s">
        <v>10666</v>
      </c>
      <c r="OTH1" t="s">
        <v>10667</v>
      </c>
      <c r="OTI1" t="s">
        <v>10668</v>
      </c>
      <c r="OTJ1" t="s">
        <v>10669</v>
      </c>
      <c r="OTK1" t="s">
        <v>10670</v>
      </c>
      <c r="OTL1" t="s">
        <v>10671</v>
      </c>
      <c r="OTM1" t="s">
        <v>10672</v>
      </c>
      <c r="OTN1" t="s">
        <v>10673</v>
      </c>
      <c r="OTO1" t="s">
        <v>10674</v>
      </c>
      <c r="OTP1" t="s">
        <v>10675</v>
      </c>
      <c r="OTQ1" t="s">
        <v>10676</v>
      </c>
      <c r="OTR1" t="s">
        <v>10677</v>
      </c>
      <c r="OTS1" t="s">
        <v>10678</v>
      </c>
      <c r="OTT1" t="s">
        <v>10679</v>
      </c>
      <c r="OTU1" t="s">
        <v>10680</v>
      </c>
      <c r="OTV1" t="s">
        <v>10681</v>
      </c>
      <c r="OTW1" t="s">
        <v>10682</v>
      </c>
      <c r="OTX1" t="s">
        <v>10683</v>
      </c>
      <c r="OTY1" t="s">
        <v>10684</v>
      </c>
      <c r="OTZ1" t="s">
        <v>10685</v>
      </c>
      <c r="OUA1" t="s">
        <v>10686</v>
      </c>
      <c r="OUB1" t="s">
        <v>10687</v>
      </c>
      <c r="OUC1" t="s">
        <v>10688</v>
      </c>
      <c r="OUD1" t="s">
        <v>10689</v>
      </c>
      <c r="OUE1" t="s">
        <v>10690</v>
      </c>
      <c r="OUF1" t="s">
        <v>10691</v>
      </c>
      <c r="OUG1" t="s">
        <v>10692</v>
      </c>
      <c r="OUH1" t="s">
        <v>10693</v>
      </c>
      <c r="OUI1" t="s">
        <v>10694</v>
      </c>
      <c r="OUJ1" t="s">
        <v>10695</v>
      </c>
      <c r="OUK1" t="s">
        <v>10696</v>
      </c>
      <c r="OUL1" t="s">
        <v>10697</v>
      </c>
      <c r="OUM1" t="s">
        <v>10698</v>
      </c>
      <c r="OUN1" t="s">
        <v>10699</v>
      </c>
      <c r="OUO1" t="s">
        <v>10700</v>
      </c>
      <c r="OUP1" t="s">
        <v>10701</v>
      </c>
      <c r="OUQ1" t="s">
        <v>10702</v>
      </c>
      <c r="OUR1" t="s">
        <v>10703</v>
      </c>
      <c r="OUS1" t="s">
        <v>10704</v>
      </c>
      <c r="OUT1" t="s">
        <v>10705</v>
      </c>
      <c r="OUU1" t="s">
        <v>10706</v>
      </c>
      <c r="OUV1" t="s">
        <v>10707</v>
      </c>
      <c r="OUW1" t="s">
        <v>10708</v>
      </c>
      <c r="OUX1" t="s">
        <v>10709</v>
      </c>
      <c r="OUY1" t="s">
        <v>10710</v>
      </c>
      <c r="OUZ1" t="s">
        <v>10711</v>
      </c>
      <c r="OVA1" t="s">
        <v>10712</v>
      </c>
      <c r="OVB1" t="s">
        <v>10713</v>
      </c>
      <c r="OVC1" t="s">
        <v>10714</v>
      </c>
      <c r="OVD1" t="s">
        <v>10715</v>
      </c>
      <c r="OVE1" t="s">
        <v>10716</v>
      </c>
      <c r="OVF1" t="s">
        <v>10717</v>
      </c>
      <c r="OVG1" t="s">
        <v>10718</v>
      </c>
      <c r="OVH1" t="s">
        <v>10719</v>
      </c>
      <c r="OVI1" t="s">
        <v>10720</v>
      </c>
      <c r="OVJ1" t="s">
        <v>10721</v>
      </c>
      <c r="OVK1" t="s">
        <v>10722</v>
      </c>
      <c r="OVL1" t="s">
        <v>10723</v>
      </c>
      <c r="OVM1" t="s">
        <v>10724</v>
      </c>
      <c r="OVN1" t="s">
        <v>10725</v>
      </c>
      <c r="OVO1" t="s">
        <v>10726</v>
      </c>
      <c r="OVP1" t="s">
        <v>10727</v>
      </c>
      <c r="OVQ1" t="s">
        <v>10728</v>
      </c>
      <c r="OVR1" t="s">
        <v>10729</v>
      </c>
      <c r="OVS1" t="s">
        <v>10730</v>
      </c>
      <c r="OVT1" t="s">
        <v>10731</v>
      </c>
      <c r="OVU1" t="s">
        <v>10732</v>
      </c>
      <c r="OVV1" t="s">
        <v>10733</v>
      </c>
      <c r="OVW1" t="s">
        <v>10734</v>
      </c>
      <c r="OVX1" t="s">
        <v>10735</v>
      </c>
      <c r="OVY1" t="s">
        <v>10736</v>
      </c>
      <c r="OVZ1" t="s">
        <v>10737</v>
      </c>
      <c r="OWA1" t="s">
        <v>10738</v>
      </c>
      <c r="OWB1" t="s">
        <v>10739</v>
      </c>
      <c r="OWC1" t="s">
        <v>10740</v>
      </c>
      <c r="OWD1" t="s">
        <v>10741</v>
      </c>
      <c r="OWE1" t="s">
        <v>10742</v>
      </c>
      <c r="OWF1" t="s">
        <v>10743</v>
      </c>
      <c r="OWG1" t="s">
        <v>10744</v>
      </c>
      <c r="OWH1" t="s">
        <v>10745</v>
      </c>
      <c r="OWI1" t="s">
        <v>10746</v>
      </c>
      <c r="OWJ1" t="s">
        <v>10747</v>
      </c>
      <c r="OWK1" t="s">
        <v>10748</v>
      </c>
      <c r="OWL1" t="s">
        <v>10749</v>
      </c>
      <c r="OWM1" t="s">
        <v>10750</v>
      </c>
      <c r="OWN1" t="s">
        <v>10751</v>
      </c>
      <c r="OWO1" t="s">
        <v>10752</v>
      </c>
      <c r="OWP1" t="s">
        <v>10753</v>
      </c>
      <c r="OWQ1" t="s">
        <v>10754</v>
      </c>
      <c r="OWR1" t="s">
        <v>10755</v>
      </c>
      <c r="OWS1" t="s">
        <v>10756</v>
      </c>
      <c r="OWT1" t="s">
        <v>10757</v>
      </c>
      <c r="OWU1" t="s">
        <v>10758</v>
      </c>
      <c r="OWV1" t="s">
        <v>10759</v>
      </c>
      <c r="OWW1" t="s">
        <v>10760</v>
      </c>
      <c r="OWX1" t="s">
        <v>10761</v>
      </c>
      <c r="OWY1" t="s">
        <v>10762</v>
      </c>
      <c r="OWZ1" t="s">
        <v>10763</v>
      </c>
      <c r="OXA1" t="s">
        <v>10764</v>
      </c>
      <c r="OXB1" t="s">
        <v>10765</v>
      </c>
      <c r="OXC1" t="s">
        <v>10766</v>
      </c>
      <c r="OXD1" t="s">
        <v>10767</v>
      </c>
      <c r="OXE1" t="s">
        <v>10768</v>
      </c>
      <c r="OXF1" t="s">
        <v>10769</v>
      </c>
      <c r="OXG1" t="s">
        <v>10770</v>
      </c>
      <c r="OXH1" t="s">
        <v>10771</v>
      </c>
      <c r="OXI1" t="s">
        <v>10772</v>
      </c>
      <c r="OXJ1" t="s">
        <v>10773</v>
      </c>
      <c r="OXK1" t="s">
        <v>10774</v>
      </c>
      <c r="OXL1" t="s">
        <v>10775</v>
      </c>
      <c r="OXM1" t="s">
        <v>10776</v>
      </c>
      <c r="OXN1" t="s">
        <v>10777</v>
      </c>
      <c r="OXO1" t="s">
        <v>10778</v>
      </c>
      <c r="OXP1" t="s">
        <v>10779</v>
      </c>
      <c r="OXQ1" t="s">
        <v>10780</v>
      </c>
      <c r="OXR1" t="s">
        <v>10781</v>
      </c>
      <c r="OXS1" t="s">
        <v>10782</v>
      </c>
      <c r="OXT1" t="s">
        <v>10783</v>
      </c>
      <c r="OXU1" t="s">
        <v>10784</v>
      </c>
      <c r="OXV1" t="s">
        <v>10785</v>
      </c>
      <c r="OXW1" t="s">
        <v>10786</v>
      </c>
      <c r="OXX1" t="s">
        <v>10787</v>
      </c>
      <c r="OXY1" t="s">
        <v>10788</v>
      </c>
      <c r="OXZ1" t="s">
        <v>10789</v>
      </c>
      <c r="OYA1" t="s">
        <v>10790</v>
      </c>
      <c r="OYB1" t="s">
        <v>10791</v>
      </c>
      <c r="OYC1" t="s">
        <v>10792</v>
      </c>
      <c r="OYD1" t="s">
        <v>10793</v>
      </c>
      <c r="OYE1" t="s">
        <v>10794</v>
      </c>
      <c r="OYF1" t="s">
        <v>10795</v>
      </c>
      <c r="OYG1" t="s">
        <v>10796</v>
      </c>
      <c r="OYH1" t="s">
        <v>10797</v>
      </c>
      <c r="OYI1" t="s">
        <v>10798</v>
      </c>
      <c r="OYJ1" t="s">
        <v>10799</v>
      </c>
      <c r="OYK1" t="s">
        <v>10800</v>
      </c>
      <c r="OYL1" t="s">
        <v>10801</v>
      </c>
      <c r="OYM1" t="s">
        <v>10802</v>
      </c>
      <c r="OYN1" t="s">
        <v>10803</v>
      </c>
      <c r="OYO1" t="s">
        <v>10804</v>
      </c>
      <c r="OYP1" t="s">
        <v>10805</v>
      </c>
      <c r="OYQ1" t="s">
        <v>10806</v>
      </c>
      <c r="OYR1" t="s">
        <v>10807</v>
      </c>
      <c r="OYS1" t="s">
        <v>10808</v>
      </c>
      <c r="OYT1" t="s">
        <v>10809</v>
      </c>
      <c r="OYU1" t="s">
        <v>10810</v>
      </c>
      <c r="OYV1" t="s">
        <v>10811</v>
      </c>
      <c r="OYW1" t="s">
        <v>10812</v>
      </c>
      <c r="OYX1" t="s">
        <v>10813</v>
      </c>
      <c r="OYY1" t="s">
        <v>10814</v>
      </c>
      <c r="OYZ1" t="s">
        <v>10815</v>
      </c>
      <c r="OZA1" t="s">
        <v>10816</v>
      </c>
      <c r="OZB1" t="s">
        <v>10817</v>
      </c>
      <c r="OZC1" t="s">
        <v>10818</v>
      </c>
      <c r="OZD1" t="s">
        <v>10819</v>
      </c>
      <c r="OZE1" t="s">
        <v>10820</v>
      </c>
      <c r="OZF1" t="s">
        <v>10821</v>
      </c>
      <c r="OZG1" t="s">
        <v>10822</v>
      </c>
      <c r="OZH1" t="s">
        <v>10823</v>
      </c>
      <c r="OZI1" t="s">
        <v>10824</v>
      </c>
      <c r="OZJ1" t="s">
        <v>10825</v>
      </c>
      <c r="OZK1" t="s">
        <v>10826</v>
      </c>
      <c r="OZL1" t="s">
        <v>10827</v>
      </c>
      <c r="OZM1" t="s">
        <v>10828</v>
      </c>
      <c r="OZN1" t="s">
        <v>10829</v>
      </c>
      <c r="OZO1" t="s">
        <v>10830</v>
      </c>
      <c r="OZP1" t="s">
        <v>10831</v>
      </c>
      <c r="OZQ1" t="s">
        <v>10832</v>
      </c>
      <c r="OZR1" t="s">
        <v>10833</v>
      </c>
      <c r="OZS1" t="s">
        <v>10834</v>
      </c>
      <c r="OZT1" t="s">
        <v>10835</v>
      </c>
      <c r="OZU1" t="s">
        <v>10836</v>
      </c>
      <c r="OZV1" t="s">
        <v>10837</v>
      </c>
      <c r="OZW1" t="s">
        <v>10838</v>
      </c>
      <c r="OZX1" t="s">
        <v>10839</v>
      </c>
      <c r="OZY1" t="s">
        <v>10840</v>
      </c>
      <c r="OZZ1" t="s">
        <v>10841</v>
      </c>
      <c r="PAA1" t="s">
        <v>10842</v>
      </c>
      <c r="PAB1" t="s">
        <v>10843</v>
      </c>
      <c r="PAC1" t="s">
        <v>10844</v>
      </c>
      <c r="PAD1" t="s">
        <v>10845</v>
      </c>
      <c r="PAE1" t="s">
        <v>10846</v>
      </c>
      <c r="PAF1" t="s">
        <v>10847</v>
      </c>
      <c r="PAG1" t="s">
        <v>10848</v>
      </c>
      <c r="PAH1" t="s">
        <v>10849</v>
      </c>
      <c r="PAI1" t="s">
        <v>10850</v>
      </c>
      <c r="PAJ1" t="s">
        <v>10851</v>
      </c>
      <c r="PAK1" t="s">
        <v>10852</v>
      </c>
      <c r="PAL1" t="s">
        <v>10853</v>
      </c>
      <c r="PAM1" t="s">
        <v>10854</v>
      </c>
      <c r="PAN1" t="s">
        <v>10855</v>
      </c>
      <c r="PAO1" t="s">
        <v>10856</v>
      </c>
      <c r="PAP1" t="s">
        <v>10857</v>
      </c>
      <c r="PAQ1" t="s">
        <v>10858</v>
      </c>
      <c r="PAR1" t="s">
        <v>10859</v>
      </c>
      <c r="PAS1" t="s">
        <v>10860</v>
      </c>
      <c r="PAT1" t="s">
        <v>10861</v>
      </c>
      <c r="PAU1" t="s">
        <v>10862</v>
      </c>
      <c r="PAV1" t="s">
        <v>10863</v>
      </c>
      <c r="PAW1" t="s">
        <v>10864</v>
      </c>
      <c r="PAX1" t="s">
        <v>10865</v>
      </c>
      <c r="PAY1" t="s">
        <v>10866</v>
      </c>
      <c r="PAZ1" t="s">
        <v>10867</v>
      </c>
      <c r="PBA1" t="s">
        <v>10868</v>
      </c>
      <c r="PBB1" t="s">
        <v>10869</v>
      </c>
      <c r="PBC1" t="s">
        <v>10870</v>
      </c>
      <c r="PBD1" t="s">
        <v>10871</v>
      </c>
      <c r="PBE1" t="s">
        <v>10872</v>
      </c>
      <c r="PBF1" t="s">
        <v>10873</v>
      </c>
      <c r="PBG1" t="s">
        <v>10874</v>
      </c>
      <c r="PBH1" t="s">
        <v>10875</v>
      </c>
      <c r="PBI1" t="s">
        <v>10876</v>
      </c>
      <c r="PBJ1" t="s">
        <v>10877</v>
      </c>
      <c r="PBK1" t="s">
        <v>10878</v>
      </c>
      <c r="PBL1" t="s">
        <v>10879</v>
      </c>
      <c r="PBM1" t="s">
        <v>10880</v>
      </c>
      <c r="PBN1" t="s">
        <v>10881</v>
      </c>
      <c r="PBO1" t="s">
        <v>10882</v>
      </c>
      <c r="PBP1" t="s">
        <v>10883</v>
      </c>
      <c r="PBQ1" t="s">
        <v>10884</v>
      </c>
      <c r="PBR1" t="s">
        <v>10885</v>
      </c>
      <c r="PBS1" t="s">
        <v>10886</v>
      </c>
      <c r="PBT1" t="s">
        <v>10887</v>
      </c>
      <c r="PBU1" t="s">
        <v>10888</v>
      </c>
      <c r="PBV1" t="s">
        <v>10889</v>
      </c>
      <c r="PBW1" t="s">
        <v>10890</v>
      </c>
      <c r="PBX1" t="s">
        <v>10891</v>
      </c>
      <c r="PBY1" t="s">
        <v>10892</v>
      </c>
      <c r="PBZ1" t="s">
        <v>10893</v>
      </c>
      <c r="PCA1" t="s">
        <v>10894</v>
      </c>
      <c r="PCB1" t="s">
        <v>10895</v>
      </c>
      <c r="PCC1" t="s">
        <v>10896</v>
      </c>
      <c r="PCD1" t="s">
        <v>10897</v>
      </c>
      <c r="PCE1" t="s">
        <v>10898</v>
      </c>
      <c r="PCF1" t="s">
        <v>10899</v>
      </c>
      <c r="PCG1" t="s">
        <v>10900</v>
      </c>
      <c r="PCH1" t="s">
        <v>10901</v>
      </c>
      <c r="PCI1" t="s">
        <v>10902</v>
      </c>
      <c r="PCJ1" t="s">
        <v>10903</v>
      </c>
      <c r="PCK1" t="s">
        <v>10904</v>
      </c>
      <c r="PCL1" t="s">
        <v>10905</v>
      </c>
      <c r="PCM1" t="s">
        <v>10906</v>
      </c>
      <c r="PCN1" t="s">
        <v>10907</v>
      </c>
      <c r="PCO1" t="s">
        <v>10908</v>
      </c>
      <c r="PCP1" t="s">
        <v>10909</v>
      </c>
      <c r="PCQ1" t="s">
        <v>10910</v>
      </c>
      <c r="PCR1" t="s">
        <v>10911</v>
      </c>
      <c r="PCS1" t="s">
        <v>10912</v>
      </c>
      <c r="PCT1" t="s">
        <v>10913</v>
      </c>
      <c r="PCU1" t="s">
        <v>10914</v>
      </c>
      <c r="PCV1" t="s">
        <v>10915</v>
      </c>
      <c r="PCW1" t="s">
        <v>10916</v>
      </c>
      <c r="PCX1" t="s">
        <v>10917</v>
      </c>
      <c r="PCY1" t="s">
        <v>10918</v>
      </c>
      <c r="PCZ1" t="s">
        <v>10919</v>
      </c>
      <c r="PDA1" t="s">
        <v>10920</v>
      </c>
      <c r="PDB1" t="s">
        <v>10921</v>
      </c>
      <c r="PDC1" t="s">
        <v>10922</v>
      </c>
      <c r="PDD1" t="s">
        <v>10923</v>
      </c>
      <c r="PDE1" t="s">
        <v>10924</v>
      </c>
      <c r="PDF1" t="s">
        <v>10925</v>
      </c>
      <c r="PDG1" t="s">
        <v>10926</v>
      </c>
      <c r="PDH1" t="s">
        <v>10927</v>
      </c>
      <c r="PDI1" t="s">
        <v>10928</v>
      </c>
      <c r="PDJ1" t="s">
        <v>10929</v>
      </c>
      <c r="PDK1" t="s">
        <v>10930</v>
      </c>
      <c r="PDL1" t="s">
        <v>10931</v>
      </c>
      <c r="PDM1" t="s">
        <v>10932</v>
      </c>
      <c r="PDN1" t="s">
        <v>10933</v>
      </c>
      <c r="PDO1" t="s">
        <v>10934</v>
      </c>
      <c r="PDP1" t="s">
        <v>10935</v>
      </c>
      <c r="PDQ1" t="s">
        <v>10936</v>
      </c>
      <c r="PDR1" t="s">
        <v>10937</v>
      </c>
      <c r="PDS1" t="s">
        <v>10938</v>
      </c>
      <c r="PDT1" t="s">
        <v>10939</v>
      </c>
      <c r="PDU1" t="s">
        <v>10940</v>
      </c>
      <c r="PDV1" t="s">
        <v>10941</v>
      </c>
      <c r="PDW1" t="s">
        <v>10942</v>
      </c>
      <c r="PDX1" t="s">
        <v>10943</v>
      </c>
      <c r="PDY1" t="s">
        <v>10944</v>
      </c>
      <c r="PDZ1" t="s">
        <v>10945</v>
      </c>
      <c r="PEA1" t="s">
        <v>10946</v>
      </c>
      <c r="PEB1" t="s">
        <v>10947</v>
      </c>
      <c r="PEC1" t="s">
        <v>10948</v>
      </c>
      <c r="PED1" t="s">
        <v>10949</v>
      </c>
      <c r="PEE1" t="s">
        <v>10950</v>
      </c>
      <c r="PEF1" t="s">
        <v>10951</v>
      </c>
      <c r="PEG1" t="s">
        <v>10952</v>
      </c>
      <c r="PEH1" t="s">
        <v>10953</v>
      </c>
      <c r="PEI1" t="s">
        <v>10954</v>
      </c>
      <c r="PEJ1" t="s">
        <v>10955</v>
      </c>
      <c r="PEK1" t="s">
        <v>10956</v>
      </c>
      <c r="PEL1" t="s">
        <v>10957</v>
      </c>
      <c r="PEM1" t="s">
        <v>10958</v>
      </c>
      <c r="PEN1" t="s">
        <v>10959</v>
      </c>
      <c r="PEO1" t="s">
        <v>10960</v>
      </c>
      <c r="PEP1" t="s">
        <v>10961</v>
      </c>
      <c r="PEQ1" t="s">
        <v>10962</v>
      </c>
      <c r="PER1" t="s">
        <v>10963</v>
      </c>
      <c r="PES1" t="s">
        <v>10964</v>
      </c>
      <c r="PET1" t="s">
        <v>10965</v>
      </c>
      <c r="PEU1" t="s">
        <v>10966</v>
      </c>
      <c r="PEV1" t="s">
        <v>10967</v>
      </c>
      <c r="PEW1" t="s">
        <v>10968</v>
      </c>
      <c r="PEX1" t="s">
        <v>10969</v>
      </c>
      <c r="PEY1" t="s">
        <v>10970</v>
      </c>
      <c r="PEZ1" t="s">
        <v>10971</v>
      </c>
      <c r="PFA1" t="s">
        <v>10972</v>
      </c>
      <c r="PFB1" t="s">
        <v>10973</v>
      </c>
      <c r="PFC1" t="s">
        <v>10974</v>
      </c>
      <c r="PFD1" t="s">
        <v>10975</v>
      </c>
      <c r="PFE1" t="s">
        <v>10976</v>
      </c>
      <c r="PFF1" t="s">
        <v>10977</v>
      </c>
      <c r="PFG1" t="s">
        <v>10978</v>
      </c>
      <c r="PFH1" t="s">
        <v>10979</v>
      </c>
      <c r="PFI1" t="s">
        <v>10980</v>
      </c>
      <c r="PFJ1" t="s">
        <v>10981</v>
      </c>
      <c r="PFK1" t="s">
        <v>10982</v>
      </c>
      <c r="PFL1" t="s">
        <v>10983</v>
      </c>
      <c r="PFM1" t="s">
        <v>10984</v>
      </c>
      <c r="PFN1" t="s">
        <v>10985</v>
      </c>
      <c r="PFO1" t="s">
        <v>10986</v>
      </c>
      <c r="PFP1" t="s">
        <v>10987</v>
      </c>
      <c r="PFQ1" t="s">
        <v>10988</v>
      </c>
      <c r="PFR1" t="s">
        <v>10989</v>
      </c>
      <c r="PFS1" t="s">
        <v>10990</v>
      </c>
      <c r="PFT1" t="s">
        <v>10991</v>
      </c>
      <c r="PFU1" t="s">
        <v>10992</v>
      </c>
      <c r="PFV1" t="s">
        <v>10993</v>
      </c>
      <c r="PFW1" t="s">
        <v>10994</v>
      </c>
      <c r="PFX1" t="s">
        <v>10995</v>
      </c>
      <c r="PFY1" t="s">
        <v>10996</v>
      </c>
      <c r="PFZ1" t="s">
        <v>10997</v>
      </c>
      <c r="PGA1" t="s">
        <v>10998</v>
      </c>
      <c r="PGB1" t="s">
        <v>10999</v>
      </c>
      <c r="PGC1" t="s">
        <v>11000</v>
      </c>
      <c r="PGD1" t="s">
        <v>11001</v>
      </c>
      <c r="PGE1" t="s">
        <v>11002</v>
      </c>
      <c r="PGF1" t="s">
        <v>11003</v>
      </c>
      <c r="PGG1" t="s">
        <v>11004</v>
      </c>
      <c r="PGH1" t="s">
        <v>11005</v>
      </c>
      <c r="PGI1" t="s">
        <v>11006</v>
      </c>
      <c r="PGJ1" t="s">
        <v>11007</v>
      </c>
      <c r="PGK1" t="s">
        <v>11008</v>
      </c>
      <c r="PGL1" t="s">
        <v>11009</v>
      </c>
      <c r="PGM1" t="s">
        <v>11010</v>
      </c>
      <c r="PGN1" t="s">
        <v>11011</v>
      </c>
      <c r="PGO1" t="s">
        <v>11012</v>
      </c>
      <c r="PGP1" t="s">
        <v>11013</v>
      </c>
      <c r="PGQ1" t="s">
        <v>11014</v>
      </c>
      <c r="PGR1" t="s">
        <v>11015</v>
      </c>
      <c r="PGS1" t="s">
        <v>11016</v>
      </c>
      <c r="PGT1" t="s">
        <v>11017</v>
      </c>
      <c r="PGU1" t="s">
        <v>11018</v>
      </c>
      <c r="PGV1" t="s">
        <v>11019</v>
      </c>
      <c r="PGW1" t="s">
        <v>11020</v>
      </c>
      <c r="PGX1" t="s">
        <v>11021</v>
      </c>
      <c r="PGY1" t="s">
        <v>11022</v>
      </c>
      <c r="PGZ1" t="s">
        <v>11023</v>
      </c>
      <c r="PHA1" t="s">
        <v>11024</v>
      </c>
      <c r="PHB1" t="s">
        <v>11025</v>
      </c>
      <c r="PHC1" t="s">
        <v>11026</v>
      </c>
      <c r="PHD1" t="s">
        <v>11027</v>
      </c>
      <c r="PHE1" t="s">
        <v>11028</v>
      </c>
      <c r="PHF1" t="s">
        <v>11029</v>
      </c>
      <c r="PHG1" t="s">
        <v>11030</v>
      </c>
      <c r="PHH1" t="s">
        <v>11031</v>
      </c>
      <c r="PHI1" t="s">
        <v>11032</v>
      </c>
      <c r="PHJ1" t="s">
        <v>11033</v>
      </c>
      <c r="PHK1" t="s">
        <v>11034</v>
      </c>
      <c r="PHL1" t="s">
        <v>11035</v>
      </c>
      <c r="PHM1" t="s">
        <v>11036</v>
      </c>
      <c r="PHN1" t="s">
        <v>11037</v>
      </c>
      <c r="PHO1" t="s">
        <v>11038</v>
      </c>
      <c r="PHP1" t="s">
        <v>11039</v>
      </c>
      <c r="PHQ1" t="s">
        <v>11040</v>
      </c>
      <c r="PHR1" t="s">
        <v>11041</v>
      </c>
      <c r="PHS1" t="s">
        <v>11042</v>
      </c>
      <c r="PHT1" t="s">
        <v>11043</v>
      </c>
      <c r="PHU1" t="s">
        <v>11044</v>
      </c>
      <c r="PHV1" t="s">
        <v>11045</v>
      </c>
      <c r="PHW1" t="s">
        <v>11046</v>
      </c>
      <c r="PHX1" t="s">
        <v>11047</v>
      </c>
      <c r="PHY1" t="s">
        <v>11048</v>
      </c>
      <c r="PHZ1" t="s">
        <v>11049</v>
      </c>
      <c r="PIA1" t="s">
        <v>11050</v>
      </c>
      <c r="PIB1" t="s">
        <v>11051</v>
      </c>
      <c r="PIC1" t="s">
        <v>11052</v>
      </c>
      <c r="PID1" t="s">
        <v>11053</v>
      </c>
      <c r="PIE1" t="s">
        <v>11054</v>
      </c>
      <c r="PIF1" t="s">
        <v>11055</v>
      </c>
      <c r="PIG1" t="s">
        <v>11056</v>
      </c>
      <c r="PIH1" t="s">
        <v>11057</v>
      </c>
      <c r="PII1" t="s">
        <v>11058</v>
      </c>
      <c r="PIJ1" t="s">
        <v>11059</v>
      </c>
      <c r="PIK1" t="s">
        <v>11060</v>
      </c>
      <c r="PIL1" t="s">
        <v>11061</v>
      </c>
      <c r="PIM1" t="s">
        <v>11062</v>
      </c>
      <c r="PIN1" t="s">
        <v>11063</v>
      </c>
      <c r="PIO1" t="s">
        <v>11064</v>
      </c>
      <c r="PIP1" t="s">
        <v>11065</v>
      </c>
      <c r="PIQ1" t="s">
        <v>11066</v>
      </c>
      <c r="PIR1" t="s">
        <v>11067</v>
      </c>
      <c r="PIS1" t="s">
        <v>11068</v>
      </c>
      <c r="PIT1" t="s">
        <v>11069</v>
      </c>
      <c r="PIU1" t="s">
        <v>11070</v>
      </c>
      <c r="PIV1" t="s">
        <v>11071</v>
      </c>
      <c r="PIW1" t="s">
        <v>11072</v>
      </c>
      <c r="PIX1" t="s">
        <v>11073</v>
      </c>
      <c r="PIY1" t="s">
        <v>11074</v>
      </c>
      <c r="PIZ1" t="s">
        <v>11075</v>
      </c>
      <c r="PJA1" t="s">
        <v>11076</v>
      </c>
      <c r="PJB1" t="s">
        <v>11077</v>
      </c>
      <c r="PJC1" t="s">
        <v>11078</v>
      </c>
      <c r="PJD1" t="s">
        <v>11079</v>
      </c>
      <c r="PJE1" t="s">
        <v>11080</v>
      </c>
      <c r="PJF1" t="s">
        <v>11081</v>
      </c>
      <c r="PJG1" t="s">
        <v>11082</v>
      </c>
      <c r="PJH1" t="s">
        <v>11083</v>
      </c>
      <c r="PJI1" t="s">
        <v>11084</v>
      </c>
      <c r="PJJ1" t="s">
        <v>11085</v>
      </c>
      <c r="PJK1" t="s">
        <v>11086</v>
      </c>
      <c r="PJL1" t="s">
        <v>11087</v>
      </c>
      <c r="PJM1" t="s">
        <v>11088</v>
      </c>
      <c r="PJN1" t="s">
        <v>11089</v>
      </c>
      <c r="PJO1" t="s">
        <v>11090</v>
      </c>
      <c r="PJP1" t="s">
        <v>11091</v>
      </c>
      <c r="PJQ1" t="s">
        <v>11092</v>
      </c>
      <c r="PJR1" t="s">
        <v>11093</v>
      </c>
      <c r="PJS1" t="s">
        <v>11094</v>
      </c>
      <c r="PJT1" t="s">
        <v>11095</v>
      </c>
      <c r="PJU1" t="s">
        <v>11096</v>
      </c>
      <c r="PJV1" t="s">
        <v>11097</v>
      </c>
      <c r="PJW1" t="s">
        <v>11098</v>
      </c>
      <c r="PJX1" t="s">
        <v>11099</v>
      </c>
      <c r="PJY1" t="s">
        <v>11100</v>
      </c>
      <c r="PJZ1" t="s">
        <v>11101</v>
      </c>
      <c r="PKA1" t="s">
        <v>11102</v>
      </c>
      <c r="PKB1" t="s">
        <v>11103</v>
      </c>
      <c r="PKC1" t="s">
        <v>11104</v>
      </c>
      <c r="PKD1" t="s">
        <v>11105</v>
      </c>
      <c r="PKE1" t="s">
        <v>11106</v>
      </c>
      <c r="PKF1" t="s">
        <v>11107</v>
      </c>
      <c r="PKG1" t="s">
        <v>11108</v>
      </c>
      <c r="PKH1" t="s">
        <v>11109</v>
      </c>
      <c r="PKI1" t="s">
        <v>11110</v>
      </c>
      <c r="PKJ1" t="s">
        <v>11111</v>
      </c>
      <c r="PKK1" t="s">
        <v>11112</v>
      </c>
      <c r="PKL1" t="s">
        <v>11113</v>
      </c>
      <c r="PKM1" t="s">
        <v>11114</v>
      </c>
      <c r="PKN1" t="s">
        <v>11115</v>
      </c>
      <c r="PKO1" t="s">
        <v>11116</v>
      </c>
      <c r="PKP1" t="s">
        <v>11117</v>
      </c>
      <c r="PKQ1" t="s">
        <v>11118</v>
      </c>
      <c r="PKR1" t="s">
        <v>11119</v>
      </c>
      <c r="PKS1" t="s">
        <v>11120</v>
      </c>
      <c r="PKT1" t="s">
        <v>11121</v>
      </c>
      <c r="PKU1" t="s">
        <v>11122</v>
      </c>
      <c r="PKV1" t="s">
        <v>11123</v>
      </c>
      <c r="PKW1" t="s">
        <v>11124</v>
      </c>
      <c r="PKX1" t="s">
        <v>11125</v>
      </c>
      <c r="PKY1" t="s">
        <v>11126</v>
      </c>
      <c r="PKZ1" t="s">
        <v>11127</v>
      </c>
      <c r="PLA1" t="s">
        <v>11128</v>
      </c>
      <c r="PLB1" t="s">
        <v>11129</v>
      </c>
      <c r="PLC1" t="s">
        <v>11130</v>
      </c>
      <c r="PLD1" t="s">
        <v>11131</v>
      </c>
      <c r="PLE1" t="s">
        <v>11132</v>
      </c>
      <c r="PLF1" t="s">
        <v>11133</v>
      </c>
      <c r="PLG1" t="s">
        <v>11134</v>
      </c>
      <c r="PLH1" t="s">
        <v>11135</v>
      </c>
      <c r="PLI1" t="s">
        <v>11136</v>
      </c>
      <c r="PLJ1" t="s">
        <v>11137</v>
      </c>
      <c r="PLK1" t="s">
        <v>11138</v>
      </c>
      <c r="PLL1" t="s">
        <v>11139</v>
      </c>
      <c r="PLM1" t="s">
        <v>11140</v>
      </c>
      <c r="PLN1" t="s">
        <v>11141</v>
      </c>
      <c r="PLO1" t="s">
        <v>11142</v>
      </c>
      <c r="PLP1" t="s">
        <v>11143</v>
      </c>
      <c r="PLQ1" t="s">
        <v>11144</v>
      </c>
      <c r="PLR1" t="s">
        <v>11145</v>
      </c>
      <c r="PLS1" t="s">
        <v>11146</v>
      </c>
      <c r="PLT1" t="s">
        <v>11147</v>
      </c>
      <c r="PLU1" t="s">
        <v>11148</v>
      </c>
      <c r="PLV1" t="s">
        <v>11149</v>
      </c>
      <c r="PLW1" t="s">
        <v>11150</v>
      </c>
      <c r="PLX1" t="s">
        <v>11151</v>
      </c>
      <c r="PLY1" t="s">
        <v>11152</v>
      </c>
      <c r="PLZ1" t="s">
        <v>11153</v>
      </c>
      <c r="PMA1" t="s">
        <v>11154</v>
      </c>
      <c r="PMB1" t="s">
        <v>11155</v>
      </c>
      <c r="PMC1" t="s">
        <v>11156</v>
      </c>
      <c r="PMD1" t="s">
        <v>11157</v>
      </c>
      <c r="PME1" t="s">
        <v>11158</v>
      </c>
      <c r="PMF1" t="s">
        <v>11159</v>
      </c>
      <c r="PMG1" t="s">
        <v>11160</v>
      </c>
      <c r="PMH1" t="s">
        <v>11161</v>
      </c>
      <c r="PMI1" t="s">
        <v>11162</v>
      </c>
      <c r="PMJ1" t="s">
        <v>11163</v>
      </c>
      <c r="PMK1" t="s">
        <v>11164</v>
      </c>
      <c r="PML1" t="s">
        <v>11165</v>
      </c>
      <c r="PMM1" t="s">
        <v>11166</v>
      </c>
      <c r="PMN1" t="s">
        <v>11167</v>
      </c>
      <c r="PMO1" t="s">
        <v>11168</v>
      </c>
      <c r="PMP1" t="s">
        <v>11169</v>
      </c>
      <c r="PMQ1" t="s">
        <v>11170</v>
      </c>
      <c r="PMR1" t="s">
        <v>11171</v>
      </c>
      <c r="PMS1" t="s">
        <v>11172</v>
      </c>
      <c r="PMT1" t="s">
        <v>11173</v>
      </c>
      <c r="PMU1" t="s">
        <v>11174</v>
      </c>
      <c r="PMV1" t="s">
        <v>11175</v>
      </c>
      <c r="PMW1" t="s">
        <v>11176</v>
      </c>
      <c r="PMX1" t="s">
        <v>11177</v>
      </c>
      <c r="PMY1" t="s">
        <v>11178</v>
      </c>
      <c r="PMZ1" t="s">
        <v>11179</v>
      </c>
      <c r="PNA1" t="s">
        <v>11180</v>
      </c>
      <c r="PNB1" t="s">
        <v>11181</v>
      </c>
      <c r="PNC1" t="s">
        <v>11182</v>
      </c>
      <c r="PND1" t="s">
        <v>11183</v>
      </c>
      <c r="PNE1" t="s">
        <v>11184</v>
      </c>
      <c r="PNF1" t="s">
        <v>11185</v>
      </c>
      <c r="PNG1" t="s">
        <v>11186</v>
      </c>
      <c r="PNH1" t="s">
        <v>11187</v>
      </c>
      <c r="PNI1" t="s">
        <v>11188</v>
      </c>
      <c r="PNJ1" t="s">
        <v>11189</v>
      </c>
      <c r="PNK1" t="s">
        <v>11190</v>
      </c>
      <c r="PNL1" t="s">
        <v>11191</v>
      </c>
      <c r="PNM1" t="s">
        <v>11192</v>
      </c>
      <c r="PNN1" t="s">
        <v>11193</v>
      </c>
      <c r="PNO1" t="s">
        <v>11194</v>
      </c>
      <c r="PNP1" t="s">
        <v>11195</v>
      </c>
      <c r="PNQ1" t="s">
        <v>11196</v>
      </c>
      <c r="PNR1" t="s">
        <v>11197</v>
      </c>
      <c r="PNS1" t="s">
        <v>11198</v>
      </c>
      <c r="PNT1" t="s">
        <v>11199</v>
      </c>
      <c r="PNU1" t="s">
        <v>11200</v>
      </c>
      <c r="PNV1" t="s">
        <v>11201</v>
      </c>
      <c r="PNW1" t="s">
        <v>11202</v>
      </c>
      <c r="PNX1" t="s">
        <v>11203</v>
      </c>
      <c r="PNY1" t="s">
        <v>11204</v>
      </c>
      <c r="PNZ1" t="s">
        <v>11205</v>
      </c>
      <c r="POA1" t="s">
        <v>11206</v>
      </c>
      <c r="POB1" t="s">
        <v>11207</v>
      </c>
      <c r="POC1" t="s">
        <v>11208</v>
      </c>
      <c r="POD1" t="s">
        <v>11209</v>
      </c>
      <c r="POE1" t="s">
        <v>11210</v>
      </c>
      <c r="POF1" t="s">
        <v>11211</v>
      </c>
      <c r="POG1" t="s">
        <v>11212</v>
      </c>
      <c r="POH1" t="s">
        <v>11213</v>
      </c>
      <c r="POI1" t="s">
        <v>11214</v>
      </c>
      <c r="POJ1" t="s">
        <v>11215</v>
      </c>
      <c r="POK1" t="s">
        <v>11216</v>
      </c>
      <c r="POL1" t="s">
        <v>11217</v>
      </c>
      <c r="POM1" t="s">
        <v>11218</v>
      </c>
      <c r="PON1" t="s">
        <v>11219</v>
      </c>
      <c r="POO1" t="s">
        <v>11220</v>
      </c>
      <c r="POP1" t="s">
        <v>11221</v>
      </c>
      <c r="POQ1" t="s">
        <v>11222</v>
      </c>
      <c r="POR1" t="s">
        <v>11223</v>
      </c>
      <c r="POS1" t="s">
        <v>11224</v>
      </c>
      <c r="POT1" t="s">
        <v>11225</v>
      </c>
      <c r="POU1" t="s">
        <v>11226</v>
      </c>
      <c r="POV1" t="s">
        <v>11227</v>
      </c>
      <c r="POW1" t="s">
        <v>11228</v>
      </c>
      <c r="POX1" t="s">
        <v>11229</v>
      </c>
      <c r="POY1" t="s">
        <v>11230</v>
      </c>
      <c r="POZ1" t="s">
        <v>11231</v>
      </c>
      <c r="PPA1" t="s">
        <v>11232</v>
      </c>
      <c r="PPB1" t="s">
        <v>11233</v>
      </c>
      <c r="PPC1" t="s">
        <v>11234</v>
      </c>
      <c r="PPD1" t="s">
        <v>11235</v>
      </c>
      <c r="PPE1" t="s">
        <v>11236</v>
      </c>
      <c r="PPF1" t="s">
        <v>11237</v>
      </c>
      <c r="PPG1" t="s">
        <v>11238</v>
      </c>
      <c r="PPH1" t="s">
        <v>11239</v>
      </c>
      <c r="PPI1" t="s">
        <v>11240</v>
      </c>
      <c r="PPJ1" t="s">
        <v>11241</v>
      </c>
      <c r="PPK1" t="s">
        <v>11242</v>
      </c>
      <c r="PPL1" t="s">
        <v>11243</v>
      </c>
      <c r="PPM1" t="s">
        <v>11244</v>
      </c>
      <c r="PPN1" t="s">
        <v>11245</v>
      </c>
      <c r="PPO1" t="s">
        <v>11246</v>
      </c>
      <c r="PPP1" t="s">
        <v>11247</v>
      </c>
      <c r="PPQ1" t="s">
        <v>11248</v>
      </c>
      <c r="PPR1" t="s">
        <v>11249</v>
      </c>
      <c r="PPS1" t="s">
        <v>11250</v>
      </c>
      <c r="PPT1" t="s">
        <v>11251</v>
      </c>
      <c r="PPU1" t="s">
        <v>11252</v>
      </c>
      <c r="PPV1" t="s">
        <v>11253</v>
      </c>
      <c r="PPW1" t="s">
        <v>11254</v>
      </c>
      <c r="PPX1" t="s">
        <v>11255</v>
      </c>
      <c r="PPY1" t="s">
        <v>11256</v>
      </c>
      <c r="PPZ1" t="s">
        <v>11257</v>
      </c>
      <c r="PQA1" t="s">
        <v>11258</v>
      </c>
      <c r="PQB1" t="s">
        <v>11259</v>
      </c>
      <c r="PQC1" t="s">
        <v>11260</v>
      </c>
      <c r="PQD1" t="s">
        <v>11261</v>
      </c>
      <c r="PQE1" t="s">
        <v>11262</v>
      </c>
      <c r="PQF1" t="s">
        <v>11263</v>
      </c>
      <c r="PQG1" t="s">
        <v>11264</v>
      </c>
      <c r="PQH1" t="s">
        <v>11265</v>
      </c>
      <c r="PQI1" t="s">
        <v>11266</v>
      </c>
      <c r="PQJ1" t="s">
        <v>11267</v>
      </c>
      <c r="PQK1" t="s">
        <v>11268</v>
      </c>
      <c r="PQL1" t="s">
        <v>11269</v>
      </c>
      <c r="PQM1" t="s">
        <v>11270</v>
      </c>
      <c r="PQN1" t="s">
        <v>11271</v>
      </c>
      <c r="PQO1" t="s">
        <v>11272</v>
      </c>
      <c r="PQP1" t="s">
        <v>11273</v>
      </c>
      <c r="PQQ1" t="s">
        <v>11274</v>
      </c>
      <c r="PQR1" t="s">
        <v>11275</v>
      </c>
      <c r="PQS1" t="s">
        <v>11276</v>
      </c>
      <c r="PQT1" t="s">
        <v>11277</v>
      </c>
      <c r="PQU1" t="s">
        <v>11278</v>
      </c>
      <c r="PQV1" t="s">
        <v>11279</v>
      </c>
      <c r="PQW1" t="s">
        <v>11280</v>
      </c>
      <c r="PQX1" t="s">
        <v>11281</v>
      </c>
      <c r="PQY1" t="s">
        <v>11282</v>
      </c>
      <c r="PQZ1" t="s">
        <v>11283</v>
      </c>
      <c r="PRA1" t="s">
        <v>11284</v>
      </c>
      <c r="PRB1" t="s">
        <v>11285</v>
      </c>
      <c r="PRC1" t="s">
        <v>11286</v>
      </c>
      <c r="PRD1" t="s">
        <v>11287</v>
      </c>
      <c r="PRE1" t="s">
        <v>11288</v>
      </c>
      <c r="PRF1" t="s">
        <v>11289</v>
      </c>
      <c r="PRG1" t="s">
        <v>11290</v>
      </c>
      <c r="PRH1" t="s">
        <v>11291</v>
      </c>
      <c r="PRI1" t="s">
        <v>11292</v>
      </c>
      <c r="PRJ1" t="s">
        <v>11293</v>
      </c>
      <c r="PRK1" t="s">
        <v>11294</v>
      </c>
      <c r="PRL1" t="s">
        <v>11295</v>
      </c>
      <c r="PRM1" t="s">
        <v>11296</v>
      </c>
      <c r="PRN1" t="s">
        <v>11297</v>
      </c>
      <c r="PRO1" t="s">
        <v>11298</v>
      </c>
      <c r="PRP1" t="s">
        <v>11299</v>
      </c>
      <c r="PRQ1" t="s">
        <v>11300</v>
      </c>
      <c r="PRR1" t="s">
        <v>11301</v>
      </c>
      <c r="PRS1" t="s">
        <v>11302</v>
      </c>
      <c r="PRT1" t="s">
        <v>11303</v>
      </c>
      <c r="PRU1" t="s">
        <v>11304</v>
      </c>
      <c r="PRV1" t="s">
        <v>11305</v>
      </c>
      <c r="PRW1" t="s">
        <v>11306</v>
      </c>
      <c r="PRX1" t="s">
        <v>11307</v>
      </c>
      <c r="PRY1" t="s">
        <v>11308</v>
      </c>
      <c r="PRZ1" t="s">
        <v>11309</v>
      </c>
      <c r="PSA1" t="s">
        <v>11310</v>
      </c>
      <c r="PSB1" t="s">
        <v>11311</v>
      </c>
      <c r="PSC1" t="s">
        <v>11312</v>
      </c>
      <c r="PSD1" t="s">
        <v>11313</v>
      </c>
      <c r="PSE1" t="s">
        <v>11314</v>
      </c>
      <c r="PSF1" t="s">
        <v>11315</v>
      </c>
      <c r="PSG1" t="s">
        <v>11316</v>
      </c>
      <c r="PSH1" t="s">
        <v>11317</v>
      </c>
      <c r="PSI1" t="s">
        <v>11318</v>
      </c>
      <c r="PSJ1" t="s">
        <v>11319</v>
      </c>
      <c r="PSK1" t="s">
        <v>11320</v>
      </c>
      <c r="PSL1" t="s">
        <v>11321</v>
      </c>
      <c r="PSM1" t="s">
        <v>11322</v>
      </c>
      <c r="PSN1" t="s">
        <v>11323</v>
      </c>
      <c r="PSO1" t="s">
        <v>11324</v>
      </c>
      <c r="PSP1" t="s">
        <v>11325</v>
      </c>
      <c r="PSQ1" t="s">
        <v>11326</v>
      </c>
      <c r="PSR1" t="s">
        <v>11327</v>
      </c>
      <c r="PSS1" t="s">
        <v>11328</v>
      </c>
      <c r="PST1" t="s">
        <v>11329</v>
      </c>
      <c r="PSU1" t="s">
        <v>11330</v>
      </c>
      <c r="PSV1" t="s">
        <v>11331</v>
      </c>
      <c r="PSW1" t="s">
        <v>11332</v>
      </c>
      <c r="PSX1" t="s">
        <v>11333</v>
      </c>
      <c r="PSY1" t="s">
        <v>11334</v>
      </c>
      <c r="PSZ1" t="s">
        <v>11335</v>
      </c>
      <c r="PTA1" t="s">
        <v>11336</v>
      </c>
      <c r="PTB1" t="s">
        <v>11337</v>
      </c>
      <c r="PTC1" t="s">
        <v>11338</v>
      </c>
      <c r="PTD1" t="s">
        <v>11339</v>
      </c>
      <c r="PTE1" t="s">
        <v>11340</v>
      </c>
      <c r="PTF1" t="s">
        <v>11341</v>
      </c>
      <c r="PTG1" t="s">
        <v>11342</v>
      </c>
      <c r="PTH1" t="s">
        <v>11343</v>
      </c>
      <c r="PTI1" t="s">
        <v>11344</v>
      </c>
      <c r="PTJ1" t="s">
        <v>11345</v>
      </c>
      <c r="PTK1" t="s">
        <v>11346</v>
      </c>
      <c r="PTL1" t="s">
        <v>11347</v>
      </c>
      <c r="PTM1" t="s">
        <v>11348</v>
      </c>
      <c r="PTN1" t="s">
        <v>11349</v>
      </c>
      <c r="PTO1" t="s">
        <v>11350</v>
      </c>
      <c r="PTP1" t="s">
        <v>11351</v>
      </c>
      <c r="PTQ1" t="s">
        <v>11352</v>
      </c>
      <c r="PTR1" t="s">
        <v>11353</v>
      </c>
      <c r="PTS1" t="s">
        <v>11354</v>
      </c>
      <c r="PTT1" t="s">
        <v>11355</v>
      </c>
      <c r="PTU1" t="s">
        <v>11356</v>
      </c>
      <c r="PTV1" t="s">
        <v>11357</v>
      </c>
      <c r="PTW1" t="s">
        <v>11358</v>
      </c>
      <c r="PTX1" t="s">
        <v>11359</v>
      </c>
      <c r="PTY1" t="s">
        <v>11360</v>
      </c>
      <c r="PTZ1" t="s">
        <v>11361</v>
      </c>
      <c r="PUA1" t="s">
        <v>11362</v>
      </c>
      <c r="PUB1" t="s">
        <v>11363</v>
      </c>
      <c r="PUC1" t="s">
        <v>11364</v>
      </c>
      <c r="PUD1" t="s">
        <v>11365</v>
      </c>
      <c r="PUE1" t="s">
        <v>11366</v>
      </c>
      <c r="PUF1" t="s">
        <v>11367</v>
      </c>
      <c r="PUG1" t="s">
        <v>11368</v>
      </c>
      <c r="PUH1" t="s">
        <v>11369</v>
      </c>
      <c r="PUI1" t="s">
        <v>11370</v>
      </c>
      <c r="PUJ1" t="s">
        <v>11371</v>
      </c>
      <c r="PUK1" t="s">
        <v>11372</v>
      </c>
      <c r="PUL1" t="s">
        <v>11373</v>
      </c>
      <c r="PUM1" t="s">
        <v>11374</v>
      </c>
      <c r="PUN1" t="s">
        <v>11375</v>
      </c>
      <c r="PUO1" t="s">
        <v>11376</v>
      </c>
      <c r="PUP1" t="s">
        <v>11377</v>
      </c>
      <c r="PUQ1" t="s">
        <v>11378</v>
      </c>
      <c r="PUR1" t="s">
        <v>11379</v>
      </c>
      <c r="PUS1" t="s">
        <v>11380</v>
      </c>
      <c r="PUT1" t="s">
        <v>11381</v>
      </c>
      <c r="PUU1" t="s">
        <v>11382</v>
      </c>
      <c r="PUV1" t="s">
        <v>11383</v>
      </c>
      <c r="PUW1" t="s">
        <v>11384</v>
      </c>
      <c r="PUX1" t="s">
        <v>11385</v>
      </c>
      <c r="PUY1" t="s">
        <v>11386</v>
      </c>
      <c r="PUZ1" t="s">
        <v>11387</v>
      </c>
      <c r="PVA1" t="s">
        <v>11388</v>
      </c>
      <c r="PVB1" t="s">
        <v>11389</v>
      </c>
      <c r="PVC1" t="s">
        <v>11390</v>
      </c>
      <c r="PVD1" t="s">
        <v>11391</v>
      </c>
      <c r="PVE1" t="s">
        <v>11392</v>
      </c>
      <c r="PVF1" t="s">
        <v>11393</v>
      </c>
      <c r="PVG1" t="s">
        <v>11394</v>
      </c>
      <c r="PVH1" t="s">
        <v>11395</v>
      </c>
      <c r="PVI1" t="s">
        <v>11396</v>
      </c>
      <c r="PVJ1" t="s">
        <v>11397</v>
      </c>
      <c r="PVK1" t="s">
        <v>11398</v>
      </c>
      <c r="PVL1" t="s">
        <v>11399</v>
      </c>
      <c r="PVM1" t="s">
        <v>11400</v>
      </c>
      <c r="PVN1" t="s">
        <v>11401</v>
      </c>
      <c r="PVO1" t="s">
        <v>11402</v>
      </c>
      <c r="PVP1" t="s">
        <v>11403</v>
      </c>
      <c r="PVQ1" t="s">
        <v>11404</v>
      </c>
      <c r="PVR1" t="s">
        <v>11405</v>
      </c>
      <c r="PVS1" t="s">
        <v>11406</v>
      </c>
      <c r="PVT1" t="s">
        <v>11407</v>
      </c>
      <c r="PVU1" t="s">
        <v>11408</v>
      </c>
      <c r="PVV1" t="s">
        <v>11409</v>
      </c>
      <c r="PVW1" t="s">
        <v>11410</v>
      </c>
      <c r="PVX1" t="s">
        <v>11411</v>
      </c>
      <c r="PVY1" t="s">
        <v>11412</v>
      </c>
      <c r="PVZ1" t="s">
        <v>11413</v>
      </c>
      <c r="PWA1" t="s">
        <v>11414</v>
      </c>
      <c r="PWB1" t="s">
        <v>11415</v>
      </c>
      <c r="PWC1" t="s">
        <v>11416</v>
      </c>
      <c r="PWD1" t="s">
        <v>11417</v>
      </c>
      <c r="PWE1" t="s">
        <v>11418</v>
      </c>
      <c r="PWF1" t="s">
        <v>11419</v>
      </c>
      <c r="PWG1" t="s">
        <v>11420</v>
      </c>
      <c r="PWH1" t="s">
        <v>11421</v>
      </c>
      <c r="PWI1" t="s">
        <v>11422</v>
      </c>
      <c r="PWJ1" t="s">
        <v>11423</v>
      </c>
      <c r="PWK1" t="s">
        <v>11424</v>
      </c>
      <c r="PWL1" t="s">
        <v>11425</v>
      </c>
      <c r="PWM1" t="s">
        <v>11426</v>
      </c>
      <c r="PWN1" t="s">
        <v>11427</v>
      </c>
      <c r="PWO1" t="s">
        <v>11428</v>
      </c>
      <c r="PWP1" t="s">
        <v>11429</v>
      </c>
      <c r="PWQ1" t="s">
        <v>11430</v>
      </c>
      <c r="PWR1" t="s">
        <v>11431</v>
      </c>
      <c r="PWS1" t="s">
        <v>11432</v>
      </c>
      <c r="PWT1" t="s">
        <v>11433</v>
      </c>
      <c r="PWU1" t="s">
        <v>11434</v>
      </c>
      <c r="PWV1" t="s">
        <v>11435</v>
      </c>
      <c r="PWW1" t="s">
        <v>11436</v>
      </c>
      <c r="PWX1" t="s">
        <v>11437</v>
      </c>
      <c r="PWY1" t="s">
        <v>11438</v>
      </c>
      <c r="PWZ1" t="s">
        <v>11439</v>
      </c>
      <c r="PXA1" t="s">
        <v>11440</v>
      </c>
      <c r="PXB1" t="s">
        <v>11441</v>
      </c>
      <c r="PXC1" t="s">
        <v>11442</v>
      </c>
      <c r="PXD1" t="s">
        <v>11443</v>
      </c>
      <c r="PXE1" t="s">
        <v>11444</v>
      </c>
      <c r="PXF1" t="s">
        <v>11445</v>
      </c>
      <c r="PXG1" t="s">
        <v>11446</v>
      </c>
      <c r="PXH1" t="s">
        <v>11447</v>
      </c>
      <c r="PXI1" t="s">
        <v>11448</v>
      </c>
      <c r="PXJ1" t="s">
        <v>11449</v>
      </c>
      <c r="PXK1" t="s">
        <v>11450</v>
      </c>
      <c r="PXL1" t="s">
        <v>11451</v>
      </c>
      <c r="PXM1" t="s">
        <v>11452</v>
      </c>
      <c r="PXN1" t="s">
        <v>11453</v>
      </c>
      <c r="PXO1" t="s">
        <v>11454</v>
      </c>
      <c r="PXP1" t="s">
        <v>11455</v>
      </c>
      <c r="PXQ1" t="s">
        <v>11456</v>
      </c>
      <c r="PXR1" t="s">
        <v>11457</v>
      </c>
      <c r="PXS1" t="s">
        <v>11458</v>
      </c>
      <c r="PXT1" t="s">
        <v>11459</v>
      </c>
      <c r="PXU1" t="s">
        <v>11460</v>
      </c>
      <c r="PXV1" t="s">
        <v>11461</v>
      </c>
      <c r="PXW1" t="s">
        <v>11462</v>
      </c>
      <c r="PXX1" t="s">
        <v>11463</v>
      </c>
      <c r="PXY1" t="s">
        <v>11464</v>
      </c>
      <c r="PXZ1" t="s">
        <v>11465</v>
      </c>
      <c r="PYA1" t="s">
        <v>11466</v>
      </c>
      <c r="PYB1" t="s">
        <v>11467</v>
      </c>
      <c r="PYC1" t="s">
        <v>11468</v>
      </c>
      <c r="PYD1" t="s">
        <v>11469</v>
      </c>
      <c r="PYE1" t="s">
        <v>11470</v>
      </c>
      <c r="PYF1" t="s">
        <v>11471</v>
      </c>
      <c r="PYG1" t="s">
        <v>11472</v>
      </c>
      <c r="PYH1" t="s">
        <v>11473</v>
      </c>
      <c r="PYI1" t="s">
        <v>11474</v>
      </c>
      <c r="PYJ1" t="s">
        <v>11475</v>
      </c>
      <c r="PYK1" t="s">
        <v>11476</v>
      </c>
      <c r="PYL1" t="s">
        <v>11477</v>
      </c>
      <c r="PYM1" t="s">
        <v>11478</v>
      </c>
      <c r="PYN1" t="s">
        <v>11479</v>
      </c>
      <c r="PYO1" t="s">
        <v>11480</v>
      </c>
      <c r="PYP1" t="s">
        <v>11481</v>
      </c>
      <c r="PYQ1" t="s">
        <v>11482</v>
      </c>
      <c r="PYR1" t="s">
        <v>11483</v>
      </c>
      <c r="PYS1" t="s">
        <v>11484</v>
      </c>
      <c r="PYT1" t="s">
        <v>11485</v>
      </c>
      <c r="PYU1" t="s">
        <v>11486</v>
      </c>
      <c r="PYV1" t="s">
        <v>11487</v>
      </c>
      <c r="PYW1" t="s">
        <v>11488</v>
      </c>
      <c r="PYX1" t="s">
        <v>11489</v>
      </c>
      <c r="PYY1" t="s">
        <v>11490</v>
      </c>
      <c r="PYZ1" t="s">
        <v>11491</v>
      </c>
      <c r="PZA1" t="s">
        <v>11492</v>
      </c>
      <c r="PZB1" t="s">
        <v>11493</v>
      </c>
      <c r="PZC1" t="s">
        <v>11494</v>
      </c>
      <c r="PZD1" t="s">
        <v>11495</v>
      </c>
      <c r="PZE1" t="s">
        <v>11496</v>
      </c>
      <c r="PZF1" t="s">
        <v>11497</v>
      </c>
      <c r="PZG1" t="s">
        <v>11498</v>
      </c>
      <c r="PZH1" t="s">
        <v>11499</v>
      </c>
      <c r="PZI1" t="s">
        <v>11500</v>
      </c>
      <c r="PZJ1" t="s">
        <v>11501</v>
      </c>
      <c r="PZK1" t="s">
        <v>11502</v>
      </c>
      <c r="PZL1" t="s">
        <v>11503</v>
      </c>
      <c r="PZM1" t="s">
        <v>11504</v>
      </c>
      <c r="PZN1" t="s">
        <v>11505</v>
      </c>
      <c r="PZO1" t="s">
        <v>11506</v>
      </c>
      <c r="PZP1" t="s">
        <v>11507</v>
      </c>
      <c r="PZQ1" t="s">
        <v>11508</v>
      </c>
      <c r="PZR1" t="s">
        <v>11509</v>
      </c>
      <c r="PZS1" t="s">
        <v>11510</v>
      </c>
      <c r="PZT1" t="s">
        <v>11511</v>
      </c>
      <c r="PZU1" t="s">
        <v>11512</v>
      </c>
      <c r="PZV1" t="s">
        <v>11513</v>
      </c>
      <c r="PZW1" t="s">
        <v>11514</v>
      </c>
      <c r="PZX1" t="s">
        <v>11515</v>
      </c>
      <c r="PZY1" t="s">
        <v>11516</v>
      </c>
      <c r="PZZ1" t="s">
        <v>11517</v>
      </c>
      <c r="QAA1" t="s">
        <v>11518</v>
      </c>
      <c r="QAB1" t="s">
        <v>11519</v>
      </c>
      <c r="QAC1" t="s">
        <v>11520</v>
      </c>
      <c r="QAD1" t="s">
        <v>11521</v>
      </c>
      <c r="QAE1" t="s">
        <v>11522</v>
      </c>
      <c r="QAF1" t="s">
        <v>11523</v>
      </c>
      <c r="QAG1" t="s">
        <v>11524</v>
      </c>
      <c r="QAH1" t="s">
        <v>11525</v>
      </c>
      <c r="QAI1" t="s">
        <v>11526</v>
      </c>
      <c r="QAJ1" t="s">
        <v>11527</v>
      </c>
      <c r="QAK1" t="s">
        <v>11528</v>
      </c>
      <c r="QAL1" t="s">
        <v>11529</v>
      </c>
      <c r="QAM1" t="s">
        <v>11530</v>
      </c>
      <c r="QAN1" t="s">
        <v>11531</v>
      </c>
      <c r="QAO1" t="s">
        <v>11532</v>
      </c>
      <c r="QAP1" t="s">
        <v>11533</v>
      </c>
      <c r="QAQ1" t="s">
        <v>11534</v>
      </c>
      <c r="QAR1" t="s">
        <v>11535</v>
      </c>
      <c r="QAS1" t="s">
        <v>11536</v>
      </c>
      <c r="QAT1" t="s">
        <v>11537</v>
      </c>
      <c r="QAU1" t="s">
        <v>11538</v>
      </c>
      <c r="QAV1" t="s">
        <v>11539</v>
      </c>
      <c r="QAW1" t="s">
        <v>11540</v>
      </c>
      <c r="QAX1" t="s">
        <v>11541</v>
      </c>
      <c r="QAY1" t="s">
        <v>11542</v>
      </c>
      <c r="QAZ1" t="s">
        <v>11543</v>
      </c>
      <c r="QBA1" t="s">
        <v>11544</v>
      </c>
      <c r="QBB1" t="s">
        <v>11545</v>
      </c>
      <c r="QBC1" t="s">
        <v>11546</v>
      </c>
      <c r="QBD1" t="s">
        <v>11547</v>
      </c>
      <c r="QBE1" t="s">
        <v>11548</v>
      </c>
      <c r="QBF1" t="s">
        <v>11549</v>
      </c>
      <c r="QBG1" t="s">
        <v>11550</v>
      </c>
      <c r="QBH1" t="s">
        <v>11551</v>
      </c>
      <c r="QBI1" t="s">
        <v>11552</v>
      </c>
      <c r="QBJ1" t="s">
        <v>11553</v>
      </c>
      <c r="QBK1" t="s">
        <v>11554</v>
      </c>
      <c r="QBL1" t="s">
        <v>11555</v>
      </c>
      <c r="QBM1" t="s">
        <v>11556</v>
      </c>
      <c r="QBN1" t="s">
        <v>11557</v>
      </c>
      <c r="QBO1" t="s">
        <v>11558</v>
      </c>
      <c r="QBP1" t="s">
        <v>11559</v>
      </c>
      <c r="QBQ1" t="s">
        <v>11560</v>
      </c>
      <c r="QBR1" t="s">
        <v>11561</v>
      </c>
      <c r="QBS1" t="s">
        <v>11562</v>
      </c>
      <c r="QBT1" t="s">
        <v>11563</v>
      </c>
      <c r="QBU1" t="s">
        <v>11564</v>
      </c>
      <c r="QBV1" t="s">
        <v>11565</v>
      </c>
      <c r="QBW1" t="s">
        <v>11566</v>
      </c>
      <c r="QBX1" t="s">
        <v>11567</v>
      </c>
      <c r="QBY1" t="s">
        <v>11568</v>
      </c>
      <c r="QBZ1" t="s">
        <v>11569</v>
      </c>
      <c r="QCA1" t="s">
        <v>11570</v>
      </c>
      <c r="QCB1" t="s">
        <v>11571</v>
      </c>
      <c r="QCC1" t="s">
        <v>11572</v>
      </c>
      <c r="QCD1" t="s">
        <v>11573</v>
      </c>
      <c r="QCE1" t="s">
        <v>11574</v>
      </c>
      <c r="QCF1" t="s">
        <v>11575</v>
      </c>
      <c r="QCG1" t="s">
        <v>11576</v>
      </c>
      <c r="QCH1" t="s">
        <v>11577</v>
      </c>
      <c r="QCI1" t="s">
        <v>11578</v>
      </c>
      <c r="QCJ1" t="s">
        <v>11579</v>
      </c>
      <c r="QCK1" t="s">
        <v>11580</v>
      </c>
      <c r="QCL1" t="s">
        <v>11581</v>
      </c>
      <c r="QCM1" t="s">
        <v>11582</v>
      </c>
      <c r="QCN1" t="s">
        <v>11583</v>
      </c>
      <c r="QCO1" t="s">
        <v>11584</v>
      </c>
      <c r="QCP1" t="s">
        <v>11585</v>
      </c>
      <c r="QCQ1" t="s">
        <v>11586</v>
      </c>
      <c r="QCR1" t="s">
        <v>11587</v>
      </c>
      <c r="QCS1" t="s">
        <v>11588</v>
      </c>
      <c r="QCT1" t="s">
        <v>11589</v>
      </c>
      <c r="QCU1" t="s">
        <v>11590</v>
      </c>
      <c r="QCV1" t="s">
        <v>11591</v>
      </c>
      <c r="QCW1" t="s">
        <v>11592</v>
      </c>
      <c r="QCX1" t="s">
        <v>11593</v>
      </c>
      <c r="QCY1" t="s">
        <v>11594</v>
      </c>
      <c r="QCZ1" t="s">
        <v>11595</v>
      </c>
      <c r="QDA1" t="s">
        <v>11596</v>
      </c>
      <c r="QDB1" t="s">
        <v>11597</v>
      </c>
      <c r="QDC1" t="s">
        <v>11598</v>
      </c>
      <c r="QDD1" t="s">
        <v>11599</v>
      </c>
      <c r="QDE1" t="s">
        <v>11600</v>
      </c>
      <c r="QDF1" t="s">
        <v>11601</v>
      </c>
      <c r="QDG1" t="s">
        <v>11602</v>
      </c>
      <c r="QDH1" t="s">
        <v>11603</v>
      </c>
      <c r="QDI1" t="s">
        <v>11604</v>
      </c>
      <c r="QDJ1" t="s">
        <v>11605</v>
      </c>
      <c r="QDK1" t="s">
        <v>11606</v>
      </c>
      <c r="QDL1" t="s">
        <v>11607</v>
      </c>
      <c r="QDM1" t="s">
        <v>11608</v>
      </c>
      <c r="QDN1" t="s">
        <v>11609</v>
      </c>
      <c r="QDO1" t="s">
        <v>11610</v>
      </c>
      <c r="QDP1" t="s">
        <v>11611</v>
      </c>
      <c r="QDQ1" t="s">
        <v>11612</v>
      </c>
      <c r="QDR1" t="s">
        <v>11613</v>
      </c>
      <c r="QDS1" t="s">
        <v>11614</v>
      </c>
      <c r="QDT1" t="s">
        <v>11615</v>
      </c>
      <c r="QDU1" t="s">
        <v>11616</v>
      </c>
      <c r="QDV1" t="s">
        <v>11617</v>
      </c>
      <c r="QDW1" t="s">
        <v>11618</v>
      </c>
      <c r="QDX1" t="s">
        <v>11619</v>
      </c>
      <c r="QDY1" t="s">
        <v>11620</v>
      </c>
      <c r="QDZ1" t="s">
        <v>11621</v>
      </c>
      <c r="QEA1" t="s">
        <v>11622</v>
      </c>
      <c r="QEB1" t="s">
        <v>11623</v>
      </c>
      <c r="QEC1" t="s">
        <v>11624</v>
      </c>
      <c r="QED1" t="s">
        <v>11625</v>
      </c>
      <c r="QEE1" t="s">
        <v>11626</v>
      </c>
      <c r="QEF1" t="s">
        <v>11627</v>
      </c>
      <c r="QEG1" t="s">
        <v>11628</v>
      </c>
      <c r="QEH1" t="s">
        <v>11629</v>
      </c>
      <c r="QEI1" t="s">
        <v>11630</v>
      </c>
      <c r="QEJ1" t="s">
        <v>11631</v>
      </c>
      <c r="QEK1" t="s">
        <v>11632</v>
      </c>
      <c r="QEL1" t="s">
        <v>11633</v>
      </c>
      <c r="QEM1" t="s">
        <v>11634</v>
      </c>
      <c r="QEN1" t="s">
        <v>11635</v>
      </c>
      <c r="QEO1" t="s">
        <v>11636</v>
      </c>
      <c r="QEP1" t="s">
        <v>11637</v>
      </c>
      <c r="QEQ1" t="s">
        <v>11638</v>
      </c>
      <c r="QER1" t="s">
        <v>11639</v>
      </c>
      <c r="QES1" t="s">
        <v>11640</v>
      </c>
      <c r="QET1" t="s">
        <v>11641</v>
      </c>
      <c r="QEU1" t="s">
        <v>11642</v>
      </c>
      <c r="QEV1" t="s">
        <v>11643</v>
      </c>
      <c r="QEW1" t="s">
        <v>11644</v>
      </c>
      <c r="QEX1" t="s">
        <v>11645</v>
      </c>
      <c r="QEY1" t="s">
        <v>11646</v>
      </c>
      <c r="QEZ1" t="s">
        <v>11647</v>
      </c>
      <c r="QFA1" t="s">
        <v>11648</v>
      </c>
      <c r="QFB1" t="s">
        <v>11649</v>
      </c>
      <c r="QFC1" t="s">
        <v>11650</v>
      </c>
      <c r="QFD1" t="s">
        <v>11651</v>
      </c>
      <c r="QFE1" t="s">
        <v>11652</v>
      </c>
      <c r="QFF1" t="s">
        <v>11653</v>
      </c>
      <c r="QFG1" t="s">
        <v>11654</v>
      </c>
      <c r="QFH1" t="s">
        <v>11655</v>
      </c>
      <c r="QFI1" t="s">
        <v>11656</v>
      </c>
      <c r="QFJ1" t="s">
        <v>11657</v>
      </c>
      <c r="QFK1" t="s">
        <v>11658</v>
      </c>
      <c r="QFL1" t="s">
        <v>11659</v>
      </c>
      <c r="QFM1" t="s">
        <v>11660</v>
      </c>
      <c r="QFN1" t="s">
        <v>11661</v>
      </c>
      <c r="QFO1" t="s">
        <v>11662</v>
      </c>
      <c r="QFP1" t="s">
        <v>11663</v>
      </c>
      <c r="QFQ1" t="s">
        <v>11664</v>
      </c>
      <c r="QFR1" t="s">
        <v>11665</v>
      </c>
      <c r="QFS1" t="s">
        <v>11666</v>
      </c>
      <c r="QFT1" t="s">
        <v>11667</v>
      </c>
      <c r="QFU1" t="s">
        <v>11668</v>
      </c>
      <c r="QFV1" t="s">
        <v>11669</v>
      </c>
      <c r="QFW1" t="s">
        <v>11670</v>
      </c>
      <c r="QFX1" t="s">
        <v>11671</v>
      </c>
      <c r="QFY1" t="s">
        <v>11672</v>
      </c>
      <c r="QFZ1" t="s">
        <v>11673</v>
      </c>
      <c r="QGA1" t="s">
        <v>11674</v>
      </c>
      <c r="QGB1" t="s">
        <v>11675</v>
      </c>
      <c r="QGC1" t="s">
        <v>11676</v>
      </c>
      <c r="QGD1" t="s">
        <v>11677</v>
      </c>
      <c r="QGE1" t="s">
        <v>11678</v>
      </c>
      <c r="QGF1" t="s">
        <v>11679</v>
      </c>
      <c r="QGG1" t="s">
        <v>11680</v>
      </c>
      <c r="QGH1" t="s">
        <v>11681</v>
      </c>
      <c r="QGI1" t="s">
        <v>11682</v>
      </c>
      <c r="QGJ1" t="s">
        <v>11683</v>
      </c>
      <c r="QGK1" t="s">
        <v>11684</v>
      </c>
      <c r="QGL1" t="s">
        <v>11685</v>
      </c>
      <c r="QGM1" t="s">
        <v>11686</v>
      </c>
      <c r="QGN1" t="s">
        <v>11687</v>
      </c>
      <c r="QGO1" t="s">
        <v>11688</v>
      </c>
      <c r="QGP1" t="s">
        <v>11689</v>
      </c>
      <c r="QGQ1" t="s">
        <v>11690</v>
      </c>
      <c r="QGR1" t="s">
        <v>11691</v>
      </c>
      <c r="QGS1" t="s">
        <v>11692</v>
      </c>
      <c r="QGT1" t="s">
        <v>11693</v>
      </c>
      <c r="QGU1" t="s">
        <v>11694</v>
      </c>
      <c r="QGV1" t="s">
        <v>11695</v>
      </c>
      <c r="QGW1" t="s">
        <v>11696</v>
      </c>
      <c r="QGX1" t="s">
        <v>11697</v>
      </c>
      <c r="QGY1" t="s">
        <v>11698</v>
      </c>
      <c r="QGZ1" t="s">
        <v>11699</v>
      </c>
      <c r="QHA1" t="s">
        <v>11700</v>
      </c>
      <c r="QHB1" t="s">
        <v>11701</v>
      </c>
      <c r="QHC1" t="s">
        <v>11702</v>
      </c>
      <c r="QHD1" t="s">
        <v>11703</v>
      </c>
      <c r="QHE1" t="s">
        <v>11704</v>
      </c>
      <c r="QHF1" t="s">
        <v>11705</v>
      </c>
      <c r="QHG1" t="s">
        <v>11706</v>
      </c>
      <c r="QHH1" t="s">
        <v>11707</v>
      </c>
      <c r="QHI1" t="s">
        <v>11708</v>
      </c>
      <c r="QHJ1" t="s">
        <v>11709</v>
      </c>
      <c r="QHK1" t="s">
        <v>11710</v>
      </c>
      <c r="QHL1" t="s">
        <v>11711</v>
      </c>
      <c r="QHM1" t="s">
        <v>11712</v>
      </c>
      <c r="QHN1" t="s">
        <v>11713</v>
      </c>
      <c r="QHO1" t="s">
        <v>11714</v>
      </c>
      <c r="QHP1" t="s">
        <v>11715</v>
      </c>
      <c r="QHQ1" t="s">
        <v>11716</v>
      </c>
      <c r="QHR1" t="s">
        <v>11717</v>
      </c>
      <c r="QHS1" t="s">
        <v>11718</v>
      </c>
      <c r="QHT1" t="s">
        <v>11719</v>
      </c>
      <c r="QHU1" t="s">
        <v>11720</v>
      </c>
      <c r="QHV1" t="s">
        <v>11721</v>
      </c>
      <c r="QHW1" t="s">
        <v>11722</v>
      </c>
      <c r="QHX1" t="s">
        <v>11723</v>
      </c>
      <c r="QHY1" t="s">
        <v>11724</v>
      </c>
      <c r="QHZ1" t="s">
        <v>11725</v>
      </c>
      <c r="QIA1" t="s">
        <v>11726</v>
      </c>
      <c r="QIB1" t="s">
        <v>11727</v>
      </c>
      <c r="QIC1" t="s">
        <v>11728</v>
      </c>
      <c r="QID1" t="s">
        <v>11729</v>
      </c>
      <c r="QIE1" t="s">
        <v>11730</v>
      </c>
      <c r="QIF1" t="s">
        <v>11731</v>
      </c>
      <c r="QIG1" t="s">
        <v>11732</v>
      </c>
      <c r="QIH1" t="s">
        <v>11733</v>
      </c>
      <c r="QII1" t="s">
        <v>11734</v>
      </c>
      <c r="QIJ1" t="s">
        <v>11735</v>
      </c>
      <c r="QIK1" t="s">
        <v>11736</v>
      </c>
      <c r="QIL1" t="s">
        <v>11737</v>
      </c>
      <c r="QIM1" t="s">
        <v>11738</v>
      </c>
      <c r="QIN1" t="s">
        <v>11739</v>
      </c>
      <c r="QIO1" t="s">
        <v>11740</v>
      </c>
      <c r="QIP1" t="s">
        <v>11741</v>
      </c>
      <c r="QIQ1" t="s">
        <v>11742</v>
      </c>
      <c r="QIR1" t="s">
        <v>11743</v>
      </c>
      <c r="QIS1" t="s">
        <v>11744</v>
      </c>
      <c r="QIT1" t="s">
        <v>11745</v>
      </c>
      <c r="QIU1" t="s">
        <v>11746</v>
      </c>
      <c r="QIV1" t="s">
        <v>11747</v>
      </c>
      <c r="QIW1" t="s">
        <v>11748</v>
      </c>
      <c r="QIX1" t="s">
        <v>11749</v>
      </c>
      <c r="QIY1" t="s">
        <v>11750</v>
      </c>
      <c r="QIZ1" t="s">
        <v>11751</v>
      </c>
      <c r="QJA1" t="s">
        <v>11752</v>
      </c>
      <c r="QJB1" t="s">
        <v>11753</v>
      </c>
      <c r="QJC1" t="s">
        <v>11754</v>
      </c>
      <c r="QJD1" t="s">
        <v>11755</v>
      </c>
      <c r="QJE1" t="s">
        <v>11756</v>
      </c>
      <c r="QJF1" t="s">
        <v>11757</v>
      </c>
      <c r="QJG1" t="s">
        <v>11758</v>
      </c>
      <c r="QJH1" t="s">
        <v>11759</v>
      </c>
      <c r="QJI1" t="s">
        <v>11760</v>
      </c>
      <c r="QJJ1" t="s">
        <v>11761</v>
      </c>
      <c r="QJK1" t="s">
        <v>11762</v>
      </c>
      <c r="QJL1" t="s">
        <v>11763</v>
      </c>
      <c r="QJM1" t="s">
        <v>11764</v>
      </c>
      <c r="QJN1" t="s">
        <v>11765</v>
      </c>
      <c r="QJO1" t="s">
        <v>11766</v>
      </c>
      <c r="QJP1" t="s">
        <v>11767</v>
      </c>
      <c r="QJQ1" t="s">
        <v>11768</v>
      </c>
      <c r="QJR1" t="s">
        <v>11769</v>
      </c>
      <c r="QJS1" t="s">
        <v>11770</v>
      </c>
      <c r="QJT1" t="s">
        <v>11771</v>
      </c>
      <c r="QJU1" t="s">
        <v>11772</v>
      </c>
      <c r="QJV1" t="s">
        <v>11773</v>
      </c>
      <c r="QJW1" t="s">
        <v>11774</v>
      </c>
      <c r="QJX1" t="s">
        <v>11775</v>
      </c>
      <c r="QJY1" t="s">
        <v>11776</v>
      </c>
      <c r="QJZ1" t="s">
        <v>11777</v>
      </c>
      <c r="QKA1" t="s">
        <v>11778</v>
      </c>
      <c r="QKB1" t="s">
        <v>11779</v>
      </c>
      <c r="QKC1" t="s">
        <v>11780</v>
      </c>
      <c r="QKD1" t="s">
        <v>11781</v>
      </c>
      <c r="QKE1" t="s">
        <v>11782</v>
      </c>
      <c r="QKF1" t="s">
        <v>11783</v>
      </c>
      <c r="QKG1" t="s">
        <v>11784</v>
      </c>
      <c r="QKH1" t="s">
        <v>11785</v>
      </c>
      <c r="QKI1" t="s">
        <v>11786</v>
      </c>
      <c r="QKJ1" t="s">
        <v>11787</v>
      </c>
      <c r="QKK1" t="s">
        <v>11788</v>
      </c>
      <c r="QKL1" t="s">
        <v>11789</v>
      </c>
      <c r="QKM1" t="s">
        <v>11790</v>
      </c>
      <c r="QKN1" t="s">
        <v>11791</v>
      </c>
      <c r="QKO1" t="s">
        <v>11792</v>
      </c>
      <c r="QKP1" t="s">
        <v>11793</v>
      </c>
      <c r="QKQ1" t="s">
        <v>11794</v>
      </c>
      <c r="QKR1" t="s">
        <v>11795</v>
      </c>
      <c r="QKS1" t="s">
        <v>11796</v>
      </c>
      <c r="QKT1" t="s">
        <v>11797</v>
      </c>
      <c r="QKU1" t="s">
        <v>11798</v>
      </c>
      <c r="QKV1" t="s">
        <v>11799</v>
      </c>
      <c r="QKW1" t="s">
        <v>11800</v>
      </c>
      <c r="QKX1" t="s">
        <v>11801</v>
      </c>
      <c r="QKY1" t="s">
        <v>11802</v>
      </c>
      <c r="QKZ1" t="s">
        <v>11803</v>
      </c>
      <c r="QLA1" t="s">
        <v>11804</v>
      </c>
      <c r="QLB1" t="s">
        <v>11805</v>
      </c>
      <c r="QLC1" t="s">
        <v>11806</v>
      </c>
      <c r="QLD1" t="s">
        <v>11807</v>
      </c>
      <c r="QLE1" t="s">
        <v>11808</v>
      </c>
      <c r="QLF1" t="s">
        <v>11809</v>
      </c>
      <c r="QLG1" t="s">
        <v>11810</v>
      </c>
      <c r="QLH1" t="s">
        <v>11811</v>
      </c>
      <c r="QLI1" t="s">
        <v>11812</v>
      </c>
      <c r="QLJ1" t="s">
        <v>11813</v>
      </c>
      <c r="QLK1" t="s">
        <v>11814</v>
      </c>
      <c r="QLL1" t="s">
        <v>11815</v>
      </c>
      <c r="QLM1" t="s">
        <v>11816</v>
      </c>
      <c r="QLN1" t="s">
        <v>11817</v>
      </c>
      <c r="QLO1" t="s">
        <v>11818</v>
      </c>
      <c r="QLP1" t="s">
        <v>11819</v>
      </c>
      <c r="QLQ1" t="s">
        <v>11820</v>
      </c>
      <c r="QLR1" t="s">
        <v>11821</v>
      </c>
      <c r="QLS1" t="s">
        <v>11822</v>
      </c>
      <c r="QLT1" t="s">
        <v>11823</v>
      </c>
      <c r="QLU1" t="s">
        <v>11824</v>
      </c>
      <c r="QLV1" t="s">
        <v>11825</v>
      </c>
      <c r="QLW1" t="s">
        <v>11826</v>
      </c>
      <c r="QLX1" t="s">
        <v>11827</v>
      </c>
      <c r="QLY1" t="s">
        <v>11828</v>
      </c>
      <c r="QLZ1" t="s">
        <v>11829</v>
      </c>
      <c r="QMA1" t="s">
        <v>11830</v>
      </c>
      <c r="QMB1" t="s">
        <v>11831</v>
      </c>
      <c r="QMC1" t="s">
        <v>11832</v>
      </c>
      <c r="QMD1" t="s">
        <v>11833</v>
      </c>
      <c r="QME1" t="s">
        <v>11834</v>
      </c>
      <c r="QMF1" t="s">
        <v>11835</v>
      </c>
      <c r="QMG1" t="s">
        <v>11836</v>
      </c>
      <c r="QMH1" t="s">
        <v>11837</v>
      </c>
      <c r="QMI1" t="s">
        <v>11838</v>
      </c>
      <c r="QMJ1" t="s">
        <v>11839</v>
      </c>
      <c r="QMK1" t="s">
        <v>11840</v>
      </c>
      <c r="QML1" t="s">
        <v>11841</v>
      </c>
      <c r="QMM1" t="s">
        <v>11842</v>
      </c>
      <c r="QMN1" t="s">
        <v>11843</v>
      </c>
      <c r="QMO1" t="s">
        <v>11844</v>
      </c>
      <c r="QMP1" t="s">
        <v>11845</v>
      </c>
      <c r="QMQ1" t="s">
        <v>11846</v>
      </c>
      <c r="QMR1" t="s">
        <v>11847</v>
      </c>
      <c r="QMS1" t="s">
        <v>11848</v>
      </c>
      <c r="QMT1" t="s">
        <v>11849</v>
      </c>
      <c r="QMU1" t="s">
        <v>11850</v>
      </c>
      <c r="QMV1" t="s">
        <v>11851</v>
      </c>
      <c r="QMW1" t="s">
        <v>11852</v>
      </c>
      <c r="QMX1" t="s">
        <v>11853</v>
      </c>
      <c r="QMY1" t="s">
        <v>11854</v>
      </c>
      <c r="QMZ1" t="s">
        <v>11855</v>
      </c>
      <c r="QNA1" t="s">
        <v>11856</v>
      </c>
      <c r="QNB1" t="s">
        <v>11857</v>
      </c>
      <c r="QNC1" t="s">
        <v>11858</v>
      </c>
      <c r="QND1" t="s">
        <v>11859</v>
      </c>
      <c r="QNE1" t="s">
        <v>11860</v>
      </c>
      <c r="QNF1" t="s">
        <v>11861</v>
      </c>
      <c r="QNG1" t="s">
        <v>11862</v>
      </c>
      <c r="QNH1" t="s">
        <v>11863</v>
      </c>
      <c r="QNI1" t="s">
        <v>11864</v>
      </c>
      <c r="QNJ1" t="s">
        <v>11865</v>
      </c>
      <c r="QNK1" t="s">
        <v>11866</v>
      </c>
      <c r="QNL1" t="s">
        <v>11867</v>
      </c>
      <c r="QNM1" t="s">
        <v>11868</v>
      </c>
      <c r="QNN1" t="s">
        <v>11869</v>
      </c>
      <c r="QNO1" t="s">
        <v>11870</v>
      </c>
      <c r="QNP1" t="s">
        <v>11871</v>
      </c>
      <c r="QNQ1" t="s">
        <v>11872</v>
      </c>
      <c r="QNR1" t="s">
        <v>11873</v>
      </c>
      <c r="QNS1" t="s">
        <v>11874</v>
      </c>
      <c r="QNT1" t="s">
        <v>11875</v>
      </c>
      <c r="QNU1" t="s">
        <v>11876</v>
      </c>
      <c r="QNV1" t="s">
        <v>11877</v>
      </c>
      <c r="QNW1" t="s">
        <v>11878</v>
      </c>
      <c r="QNX1" t="s">
        <v>11879</v>
      </c>
      <c r="QNY1" t="s">
        <v>11880</v>
      </c>
      <c r="QNZ1" t="s">
        <v>11881</v>
      </c>
      <c r="QOA1" t="s">
        <v>11882</v>
      </c>
      <c r="QOB1" t="s">
        <v>11883</v>
      </c>
      <c r="QOC1" t="s">
        <v>11884</v>
      </c>
      <c r="QOD1" t="s">
        <v>11885</v>
      </c>
      <c r="QOE1" t="s">
        <v>11886</v>
      </c>
      <c r="QOF1" t="s">
        <v>11887</v>
      </c>
      <c r="QOG1" t="s">
        <v>11888</v>
      </c>
      <c r="QOH1" t="s">
        <v>11889</v>
      </c>
      <c r="QOI1" t="s">
        <v>11890</v>
      </c>
      <c r="QOJ1" t="s">
        <v>11891</v>
      </c>
      <c r="QOK1" t="s">
        <v>11892</v>
      </c>
      <c r="QOL1" t="s">
        <v>11893</v>
      </c>
      <c r="QOM1" t="s">
        <v>11894</v>
      </c>
      <c r="QON1" t="s">
        <v>11895</v>
      </c>
      <c r="QOO1" t="s">
        <v>11896</v>
      </c>
      <c r="QOP1" t="s">
        <v>11897</v>
      </c>
      <c r="QOQ1" t="s">
        <v>11898</v>
      </c>
      <c r="QOR1" t="s">
        <v>11899</v>
      </c>
      <c r="QOS1" t="s">
        <v>11900</v>
      </c>
      <c r="QOT1" t="s">
        <v>11901</v>
      </c>
      <c r="QOU1" t="s">
        <v>11902</v>
      </c>
      <c r="QOV1" t="s">
        <v>11903</v>
      </c>
      <c r="QOW1" t="s">
        <v>11904</v>
      </c>
      <c r="QOX1" t="s">
        <v>11905</v>
      </c>
      <c r="QOY1" t="s">
        <v>11906</v>
      </c>
      <c r="QOZ1" t="s">
        <v>11907</v>
      </c>
      <c r="QPA1" t="s">
        <v>11908</v>
      </c>
      <c r="QPB1" t="s">
        <v>11909</v>
      </c>
      <c r="QPC1" t="s">
        <v>11910</v>
      </c>
      <c r="QPD1" t="s">
        <v>11911</v>
      </c>
      <c r="QPE1" t="s">
        <v>11912</v>
      </c>
      <c r="QPF1" t="s">
        <v>11913</v>
      </c>
      <c r="QPG1" t="s">
        <v>11914</v>
      </c>
      <c r="QPH1" t="s">
        <v>11915</v>
      </c>
      <c r="QPI1" t="s">
        <v>11916</v>
      </c>
      <c r="QPJ1" t="s">
        <v>11917</v>
      </c>
      <c r="QPK1" t="s">
        <v>11918</v>
      </c>
      <c r="QPL1" t="s">
        <v>11919</v>
      </c>
      <c r="QPM1" t="s">
        <v>11920</v>
      </c>
      <c r="QPN1" t="s">
        <v>11921</v>
      </c>
      <c r="QPO1" t="s">
        <v>11922</v>
      </c>
      <c r="QPP1" t="s">
        <v>11923</v>
      </c>
      <c r="QPQ1" t="s">
        <v>11924</v>
      </c>
      <c r="QPR1" t="s">
        <v>11925</v>
      </c>
      <c r="QPS1" t="s">
        <v>11926</v>
      </c>
      <c r="QPT1" t="s">
        <v>11927</v>
      </c>
      <c r="QPU1" t="s">
        <v>11928</v>
      </c>
      <c r="QPV1" t="s">
        <v>11929</v>
      </c>
      <c r="QPW1" t="s">
        <v>11930</v>
      </c>
      <c r="QPX1" t="s">
        <v>11931</v>
      </c>
      <c r="QPY1" t="s">
        <v>11932</v>
      </c>
      <c r="QPZ1" t="s">
        <v>11933</v>
      </c>
      <c r="QQA1" t="s">
        <v>11934</v>
      </c>
      <c r="QQB1" t="s">
        <v>11935</v>
      </c>
      <c r="QQC1" t="s">
        <v>11936</v>
      </c>
      <c r="QQD1" t="s">
        <v>11937</v>
      </c>
      <c r="QQE1" t="s">
        <v>11938</v>
      </c>
      <c r="QQF1" t="s">
        <v>11939</v>
      </c>
      <c r="QQG1" t="s">
        <v>11940</v>
      </c>
      <c r="QQH1" t="s">
        <v>11941</v>
      </c>
      <c r="QQI1" t="s">
        <v>11942</v>
      </c>
      <c r="QQJ1" t="s">
        <v>11943</v>
      </c>
      <c r="QQK1" t="s">
        <v>11944</v>
      </c>
      <c r="QQL1" t="s">
        <v>11945</v>
      </c>
      <c r="QQM1" t="s">
        <v>11946</v>
      </c>
      <c r="QQN1" t="s">
        <v>11947</v>
      </c>
      <c r="QQO1" t="s">
        <v>11948</v>
      </c>
      <c r="QQP1" t="s">
        <v>11949</v>
      </c>
      <c r="QQQ1" t="s">
        <v>11950</v>
      </c>
      <c r="QQR1" t="s">
        <v>11951</v>
      </c>
      <c r="QQS1" t="s">
        <v>11952</v>
      </c>
      <c r="QQT1" t="s">
        <v>11953</v>
      </c>
      <c r="QQU1" t="s">
        <v>11954</v>
      </c>
      <c r="QQV1" t="s">
        <v>11955</v>
      </c>
      <c r="QQW1" t="s">
        <v>11956</v>
      </c>
      <c r="QQX1" t="s">
        <v>11957</v>
      </c>
      <c r="QQY1" t="s">
        <v>11958</v>
      </c>
      <c r="QQZ1" t="s">
        <v>11959</v>
      </c>
      <c r="QRA1" t="s">
        <v>11960</v>
      </c>
      <c r="QRB1" t="s">
        <v>11961</v>
      </c>
      <c r="QRC1" t="s">
        <v>11962</v>
      </c>
      <c r="QRD1" t="s">
        <v>11963</v>
      </c>
      <c r="QRE1" t="s">
        <v>11964</v>
      </c>
      <c r="QRF1" t="s">
        <v>11965</v>
      </c>
      <c r="QRG1" t="s">
        <v>11966</v>
      </c>
      <c r="QRH1" t="s">
        <v>11967</v>
      </c>
      <c r="QRI1" t="s">
        <v>11968</v>
      </c>
      <c r="QRJ1" t="s">
        <v>11969</v>
      </c>
      <c r="QRK1" t="s">
        <v>11970</v>
      </c>
      <c r="QRL1" t="s">
        <v>11971</v>
      </c>
      <c r="QRM1" t="s">
        <v>11972</v>
      </c>
      <c r="QRN1" t="s">
        <v>11973</v>
      </c>
      <c r="QRO1" t="s">
        <v>11974</v>
      </c>
      <c r="QRP1" t="s">
        <v>11975</v>
      </c>
      <c r="QRQ1" t="s">
        <v>11976</v>
      </c>
      <c r="QRR1" t="s">
        <v>11977</v>
      </c>
      <c r="QRS1" t="s">
        <v>11978</v>
      </c>
      <c r="QRT1" t="s">
        <v>11979</v>
      </c>
      <c r="QRU1" t="s">
        <v>11980</v>
      </c>
      <c r="QRV1" t="s">
        <v>11981</v>
      </c>
      <c r="QRW1" t="s">
        <v>11982</v>
      </c>
      <c r="QRX1" t="s">
        <v>11983</v>
      </c>
      <c r="QRY1" t="s">
        <v>11984</v>
      </c>
      <c r="QRZ1" t="s">
        <v>11985</v>
      </c>
      <c r="QSA1" t="s">
        <v>11986</v>
      </c>
      <c r="QSB1" t="s">
        <v>11987</v>
      </c>
      <c r="QSC1" t="s">
        <v>11988</v>
      </c>
      <c r="QSD1" t="s">
        <v>11989</v>
      </c>
      <c r="QSE1" t="s">
        <v>11990</v>
      </c>
      <c r="QSF1" t="s">
        <v>11991</v>
      </c>
      <c r="QSG1" t="s">
        <v>11992</v>
      </c>
      <c r="QSH1" t="s">
        <v>11993</v>
      </c>
      <c r="QSI1" t="s">
        <v>11994</v>
      </c>
      <c r="QSJ1" t="s">
        <v>11995</v>
      </c>
      <c r="QSK1" t="s">
        <v>11996</v>
      </c>
      <c r="QSL1" t="s">
        <v>11997</v>
      </c>
      <c r="QSM1" t="s">
        <v>11998</v>
      </c>
      <c r="QSN1" t="s">
        <v>11999</v>
      </c>
      <c r="QSO1" t="s">
        <v>12000</v>
      </c>
      <c r="QSP1" t="s">
        <v>12001</v>
      </c>
      <c r="QSQ1" t="s">
        <v>12002</v>
      </c>
      <c r="QSR1" t="s">
        <v>12003</v>
      </c>
      <c r="QSS1" t="s">
        <v>12004</v>
      </c>
      <c r="QST1" t="s">
        <v>12005</v>
      </c>
      <c r="QSU1" t="s">
        <v>12006</v>
      </c>
      <c r="QSV1" t="s">
        <v>12007</v>
      </c>
      <c r="QSW1" t="s">
        <v>12008</v>
      </c>
      <c r="QSX1" t="s">
        <v>12009</v>
      </c>
      <c r="QSY1" t="s">
        <v>12010</v>
      </c>
      <c r="QSZ1" t="s">
        <v>12011</v>
      </c>
      <c r="QTA1" t="s">
        <v>12012</v>
      </c>
      <c r="QTB1" t="s">
        <v>12013</v>
      </c>
      <c r="QTC1" t="s">
        <v>12014</v>
      </c>
      <c r="QTD1" t="s">
        <v>12015</v>
      </c>
      <c r="QTE1" t="s">
        <v>12016</v>
      </c>
      <c r="QTF1" t="s">
        <v>12017</v>
      </c>
      <c r="QTG1" t="s">
        <v>12018</v>
      </c>
      <c r="QTH1" t="s">
        <v>12019</v>
      </c>
      <c r="QTI1" t="s">
        <v>12020</v>
      </c>
      <c r="QTJ1" t="s">
        <v>12021</v>
      </c>
      <c r="QTK1" t="s">
        <v>12022</v>
      </c>
      <c r="QTL1" t="s">
        <v>12023</v>
      </c>
      <c r="QTM1" t="s">
        <v>12024</v>
      </c>
      <c r="QTN1" t="s">
        <v>12025</v>
      </c>
      <c r="QTO1" t="s">
        <v>12026</v>
      </c>
      <c r="QTP1" t="s">
        <v>12027</v>
      </c>
      <c r="QTQ1" t="s">
        <v>12028</v>
      </c>
      <c r="QTR1" t="s">
        <v>12029</v>
      </c>
      <c r="QTS1" t="s">
        <v>12030</v>
      </c>
      <c r="QTT1" t="s">
        <v>12031</v>
      </c>
      <c r="QTU1" t="s">
        <v>12032</v>
      </c>
      <c r="QTV1" t="s">
        <v>12033</v>
      </c>
      <c r="QTW1" t="s">
        <v>12034</v>
      </c>
      <c r="QTX1" t="s">
        <v>12035</v>
      </c>
      <c r="QTY1" t="s">
        <v>12036</v>
      </c>
      <c r="QTZ1" t="s">
        <v>12037</v>
      </c>
      <c r="QUA1" t="s">
        <v>12038</v>
      </c>
      <c r="QUB1" t="s">
        <v>12039</v>
      </c>
      <c r="QUC1" t="s">
        <v>12040</v>
      </c>
      <c r="QUD1" t="s">
        <v>12041</v>
      </c>
      <c r="QUE1" t="s">
        <v>12042</v>
      </c>
      <c r="QUF1" t="s">
        <v>12043</v>
      </c>
      <c r="QUG1" t="s">
        <v>12044</v>
      </c>
      <c r="QUH1" t="s">
        <v>12045</v>
      </c>
      <c r="QUI1" t="s">
        <v>12046</v>
      </c>
      <c r="QUJ1" t="s">
        <v>12047</v>
      </c>
      <c r="QUK1" t="s">
        <v>12048</v>
      </c>
      <c r="QUL1" t="s">
        <v>12049</v>
      </c>
      <c r="QUM1" t="s">
        <v>12050</v>
      </c>
      <c r="QUN1" t="s">
        <v>12051</v>
      </c>
      <c r="QUO1" t="s">
        <v>12052</v>
      </c>
      <c r="QUP1" t="s">
        <v>12053</v>
      </c>
      <c r="QUQ1" t="s">
        <v>12054</v>
      </c>
      <c r="QUR1" t="s">
        <v>12055</v>
      </c>
      <c r="QUS1" t="s">
        <v>12056</v>
      </c>
      <c r="QUT1" t="s">
        <v>12057</v>
      </c>
      <c r="QUU1" t="s">
        <v>12058</v>
      </c>
      <c r="QUV1" t="s">
        <v>12059</v>
      </c>
      <c r="QUW1" t="s">
        <v>12060</v>
      </c>
      <c r="QUX1" t="s">
        <v>12061</v>
      </c>
      <c r="QUY1" t="s">
        <v>12062</v>
      </c>
      <c r="QUZ1" t="s">
        <v>12063</v>
      </c>
      <c r="QVA1" t="s">
        <v>12064</v>
      </c>
      <c r="QVB1" t="s">
        <v>12065</v>
      </c>
      <c r="QVC1" t="s">
        <v>12066</v>
      </c>
      <c r="QVD1" t="s">
        <v>12067</v>
      </c>
      <c r="QVE1" t="s">
        <v>12068</v>
      </c>
      <c r="QVF1" t="s">
        <v>12069</v>
      </c>
      <c r="QVG1" t="s">
        <v>12070</v>
      </c>
      <c r="QVH1" t="s">
        <v>12071</v>
      </c>
      <c r="QVI1" t="s">
        <v>12072</v>
      </c>
      <c r="QVJ1" t="s">
        <v>12073</v>
      </c>
      <c r="QVK1" t="s">
        <v>12074</v>
      </c>
      <c r="QVL1" t="s">
        <v>12075</v>
      </c>
      <c r="QVM1" t="s">
        <v>12076</v>
      </c>
      <c r="QVN1" t="s">
        <v>12077</v>
      </c>
      <c r="QVO1" t="s">
        <v>12078</v>
      </c>
      <c r="QVP1" t="s">
        <v>12079</v>
      </c>
      <c r="QVQ1" t="s">
        <v>12080</v>
      </c>
      <c r="QVR1" t="s">
        <v>12081</v>
      </c>
      <c r="QVS1" t="s">
        <v>12082</v>
      </c>
      <c r="QVT1" t="s">
        <v>12083</v>
      </c>
      <c r="QVU1" t="s">
        <v>12084</v>
      </c>
      <c r="QVV1" t="s">
        <v>12085</v>
      </c>
      <c r="QVW1" t="s">
        <v>12086</v>
      </c>
      <c r="QVX1" t="s">
        <v>12087</v>
      </c>
      <c r="QVY1" t="s">
        <v>12088</v>
      </c>
      <c r="QVZ1" t="s">
        <v>12089</v>
      </c>
      <c r="QWA1" t="s">
        <v>12090</v>
      </c>
      <c r="QWB1" t="s">
        <v>12091</v>
      </c>
      <c r="QWC1" t="s">
        <v>12092</v>
      </c>
      <c r="QWD1" t="s">
        <v>12093</v>
      </c>
      <c r="QWE1" t="s">
        <v>12094</v>
      </c>
      <c r="QWF1" t="s">
        <v>12095</v>
      </c>
      <c r="QWG1" t="s">
        <v>12096</v>
      </c>
      <c r="QWH1" t="s">
        <v>12097</v>
      </c>
      <c r="QWI1" t="s">
        <v>12098</v>
      </c>
      <c r="QWJ1" t="s">
        <v>12099</v>
      </c>
      <c r="QWK1" t="s">
        <v>12100</v>
      </c>
      <c r="QWL1" t="s">
        <v>12101</v>
      </c>
      <c r="QWM1" t="s">
        <v>12102</v>
      </c>
      <c r="QWN1" t="s">
        <v>12103</v>
      </c>
      <c r="QWO1" t="s">
        <v>12104</v>
      </c>
      <c r="QWP1" t="s">
        <v>12105</v>
      </c>
      <c r="QWQ1" t="s">
        <v>12106</v>
      </c>
      <c r="QWR1" t="s">
        <v>12107</v>
      </c>
      <c r="QWS1" t="s">
        <v>12108</v>
      </c>
      <c r="QWT1" t="s">
        <v>12109</v>
      </c>
      <c r="QWU1" t="s">
        <v>12110</v>
      </c>
      <c r="QWV1" t="s">
        <v>12111</v>
      </c>
      <c r="QWW1" t="s">
        <v>12112</v>
      </c>
      <c r="QWX1" t="s">
        <v>12113</v>
      </c>
      <c r="QWY1" t="s">
        <v>12114</v>
      </c>
      <c r="QWZ1" t="s">
        <v>12115</v>
      </c>
      <c r="QXA1" t="s">
        <v>12116</v>
      </c>
      <c r="QXB1" t="s">
        <v>12117</v>
      </c>
      <c r="QXC1" t="s">
        <v>12118</v>
      </c>
      <c r="QXD1" t="s">
        <v>12119</v>
      </c>
      <c r="QXE1" t="s">
        <v>12120</v>
      </c>
      <c r="QXF1" t="s">
        <v>12121</v>
      </c>
      <c r="QXG1" t="s">
        <v>12122</v>
      </c>
      <c r="QXH1" t="s">
        <v>12123</v>
      </c>
      <c r="QXI1" t="s">
        <v>12124</v>
      </c>
      <c r="QXJ1" t="s">
        <v>12125</v>
      </c>
      <c r="QXK1" t="s">
        <v>12126</v>
      </c>
      <c r="QXL1" t="s">
        <v>12127</v>
      </c>
      <c r="QXM1" t="s">
        <v>12128</v>
      </c>
      <c r="QXN1" t="s">
        <v>12129</v>
      </c>
      <c r="QXO1" t="s">
        <v>12130</v>
      </c>
      <c r="QXP1" t="s">
        <v>12131</v>
      </c>
      <c r="QXQ1" t="s">
        <v>12132</v>
      </c>
      <c r="QXR1" t="s">
        <v>12133</v>
      </c>
      <c r="QXS1" t="s">
        <v>12134</v>
      </c>
      <c r="QXT1" t="s">
        <v>12135</v>
      </c>
      <c r="QXU1" t="s">
        <v>12136</v>
      </c>
      <c r="QXV1" t="s">
        <v>12137</v>
      </c>
      <c r="QXW1" t="s">
        <v>12138</v>
      </c>
      <c r="QXX1" t="s">
        <v>12139</v>
      </c>
      <c r="QXY1" t="s">
        <v>12140</v>
      </c>
      <c r="QXZ1" t="s">
        <v>12141</v>
      </c>
      <c r="QYA1" t="s">
        <v>12142</v>
      </c>
      <c r="QYB1" t="s">
        <v>12143</v>
      </c>
      <c r="QYC1" t="s">
        <v>12144</v>
      </c>
      <c r="QYD1" t="s">
        <v>12145</v>
      </c>
      <c r="QYE1" t="s">
        <v>12146</v>
      </c>
      <c r="QYF1" t="s">
        <v>12147</v>
      </c>
      <c r="QYG1" t="s">
        <v>12148</v>
      </c>
      <c r="QYH1" t="s">
        <v>12149</v>
      </c>
      <c r="QYI1" t="s">
        <v>12150</v>
      </c>
      <c r="QYJ1" t="s">
        <v>12151</v>
      </c>
      <c r="QYK1" t="s">
        <v>12152</v>
      </c>
      <c r="QYL1" t="s">
        <v>12153</v>
      </c>
      <c r="QYM1" t="s">
        <v>12154</v>
      </c>
      <c r="QYN1" t="s">
        <v>12155</v>
      </c>
      <c r="QYO1" t="s">
        <v>12156</v>
      </c>
      <c r="QYP1" t="s">
        <v>12157</v>
      </c>
      <c r="QYQ1" t="s">
        <v>12158</v>
      </c>
      <c r="QYR1" t="s">
        <v>12159</v>
      </c>
      <c r="QYS1" t="s">
        <v>12160</v>
      </c>
      <c r="QYT1" t="s">
        <v>12161</v>
      </c>
      <c r="QYU1" t="s">
        <v>12162</v>
      </c>
      <c r="QYV1" t="s">
        <v>12163</v>
      </c>
      <c r="QYW1" t="s">
        <v>12164</v>
      </c>
      <c r="QYX1" t="s">
        <v>12165</v>
      </c>
      <c r="QYY1" t="s">
        <v>12166</v>
      </c>
      <c r="QYZ1" t="s">
        <v>12167</v>
      </c>
      <c r="QZA1" t="s">
        <v>12168</v>
      </c>
      <c r="QZB1" t="s">
        <v>12169</v>
      </c>
      <c r="QZC1" t="s">
        <v>12170</v>
      </c>
      <c r="QZD1" t="s">
        <v>12171</v>
      </c>
      <c r="QZE1" t="s">
        <v>12172</v>
      </c>
      <c r="QZF1" t="s">
        <v>12173</v>
      </c>
      <c r="QZG1" t="s">
        <v>12174</v>
      </c>
      <c r="QZH1" t="s">
        <v>12175</v>
      </c>
      <c r="QZI1" t="s">
        <v>12176</v>
      </c>
      <c r="QZJ1" t="s">
        <v>12177</v>
      </c>
      <c r="QZK1" t="s">
        <v>12178</v>
      </c>
      <c r="QZL1" t="s">
        <v>12179</v>
      </c>
      <c r="QZM1" t="s">
        <v>12180</v>
      </c>
      <c r="QZN1" t="s">
        <v>12181</v>
      </c>
      <c r="QZO1" t="s">
        <v>12182</v>
      </c>
      <c r="QZP1" t="s">
        <v>12183</v>
      </c>
      <c r="QZQ1" t="s">
        <v>12184</v>
      </c>
      <c r="QZR1" t="s">
        <v>12185</v>
      </c>
      <c r="QZS1" t="s">
        <v>12186</v>
      </c>
      <c r="QZT1" t="s">
        <v>12187</v>
      </c>
      <c r="QZU1" t="s">
        <v>12188</v>
      </c>
      <c r="QZV1" t="s">
        <v>12189</v>
      </c>
      <c r="QZW1" t="s">
        <v>12190</v>
      </c>
      <c r="QZX1" t="s">
        <v>12191</v>
      </c>
      <c r="QZY1" t="s">
        <v>12192</v>
      </c>
      <c r="QZZ1" t="s">
        <v>12193</v>
      </c>
      <c r="RAA1" t="s">
        <v>12194</v>
      </c>
      <c r="RAB1" t="s">
        <v>12195</v>
      </c>
      <c r="RAC1" t="s">
        <v>12196</v>
      </c>
      <c r="RAD1" t="s">
        <v>12197</v>
      </c>
      <c r="RAE1" t="s">
        <v>12198</v>
      </c>
      <c r="RAF1" t="s">
        <v>12199</v>
      </c>
      <c r="RAG1" t="s">
        <v>12200</v>
      </c>
      <c r="RAH1" t="s">
        <v>12201</v>
      </c>
      <c r="RAI1" t="s">
        <v>12202</v>
      </c>
      <c r="RAJ1" t="s">
        <v>12203</v>
      </c>
      <c r="RAK1" t="s">
        <v>12204</v>
      </c>
      <c r="RAL1" t="s">
        <v>12205</v>
      </c>
      <c r="RAM1" t="s">
        <v>12206</v>
      </c>
      <c r="RAN1" t="s">
        <v>12207</v>
      </c>
      <c r="RAO1" t="s">
        <v>12208</v>
      </c>
      <c r="RAP1" t="s">
        <v>12209</v>
      </c>
      <c r="RAQ1" t="s">
        <v>12210</v>
      </c>
      <c r="RAR1" t="s">
        <v>12211</v>
      </c>
      <c r="RAS1" t="s">
        <v>12212</v>
      </c>
      <c r="RAT1" t="s">
        <v>12213</v>
      </c>
      <c r="RAU1" t="s">
        <v>12214</v>
      </c>
      <c r="RAV1" t="s">
        <v>12215</v>
      </c>
      <c r="RAW1" t="s">
        <v>12216</v>
      </c>
      <c r="RAX1" t="s">
        <v>12217</v>
      </c>
      <c r="RAY1" t="s">
        <v>12218</v>
      </c>
      <c r="RAZ1" t="s">
        <v>12219</v>
      </c>
      <c r="RBA1" t="s">
        <v>12220</v>
      </c>
      <c r="RBB1" t="s">
        <v>12221</v>
      </c>
      <c r="RBC1" t="s">
        <v>12222</v>
      </c>
      <c r="RBD1" t="s">
        <v>12223</v>
      </c>
      <c r="RBE1" t="s">
        <v>12224</v>
      </c>
      <c r="RBF1" t="s">
        <v>12225</v>
      </c>
      <c r="RBG1" t="s">
        <v>12226</v>
      </c>
      <c r="RBH1" t="s">
        <v>12227</v>
      </c>
      <c r="RBI1" t="s">
        <v>12228</v>
      </c>
      <c r="RBJ1" t="s">
        <v>12229</v>
      </c>
      <c r="RBK1" t="s">
        <v>12230</v>
      </c>
      <c r="RBL1" t="s">
        <v>12231</v>
      </c>
      <c r="RBM1" t="s">
        <v>12232</v>
      </c>
      <c r="RBN1" t="s">
        <v>12233</v>
      </c>
      <c r="RBO1" t="s">
        <v>12234</v>
      </c>
      <c r="RBP1" t="s">
        <v>12235</v>
      </c>
      <c r="RBQ1" t="s">
        <v>12236</v>
      </c>
      <c r="RBR1" t="s">
        <v>12237</v>
      </c>
      <c r="RBS1" t="s">
        <v>12238</v>
      </c>
      <c r="RBT1" t="s">
        <v>12239</v>
      </c>
      <c r="RBU1" t="s">
        <v>12240</v>
      </c>
      <c r="RBV1" t="s">
        <v>12241</v>
      </c>
      <c r="RBW1" t="s">
        <v>12242</v>
      </c>
      <c r="RBX1" t="s">
        <v>12243</v>
      </c>
      <c r="RBY1" t="s">
        <v>12244</v>
      </c>
      <c r="RBZ1" t="s">
        <v>12245</v>
      </c>
      <c r="RCA1" t="s">
        <v>12246</v>
      </c>
      <c r="RCB1" t="s">
        <v>12247</v>
      </c>
      <c r="RCC1" t="s">
        <v>12248</v>
      </c>
      <c r="RCD1" t="s">
        <v>12249</v>
      </c>
      <c r="RCE1" t="s">
        <v>12250</v>
      </c>
      <c r="RCF1" t="s">
        <v>12251</v>
      </c>
      <c r="RCG1" t="s">
        <v>12252</v>
      </c>
      <c r="RCH1" t="s">
        <v>12253</v>
      </c>
      <c r="RCI1" t="s">
        <v>12254</v>
      </c>
      <c r="RCJ1" t="s">
        <v>12255</v>
      </c>
      <c r="RCK1" t="s">
        <v>12256</v>
      </c>
      <c r="RCL1" t="s">
        <v>12257</v>
      </c>
      <c r="RCM1" t="s">
        <v>12258</v>
      </c>
      <c r="RCN1" t="s">
        <v>12259</v>
      </c>
      <c r="RCO1" t="s">
        <v>12260</v>
      </c>
      <c r="RCP1" t="s">
        <v>12261</v>
      </c>
      <c r="RCQ1" t="s">
        <v>12262</v>
      </c>
      <c r="RCR1" t="s">
        <v>12263</v>
      </c>
      <c r="RCS1" t="s">
        <v>12264</v>
      </c>
      <c r="RCT1" t="s">
        <v>12265</v>
      </c>
      <c r="RCU1" t="s">
        <v>12266</v>
      </c>
      <c r="RCV1" t="s">
        <v>12267</v>
      </c>
      <c r="RCW1" t="s">
        <v>12268</v>
      </c>
      <c r="RCX1" t="s">
        <v>12269</v>
      </c>
      <c r="RCY1" t="s">
        <v>12270</v>
      </c>
      <c r="RCZ1" t="s">
        <v>12271</v>
      </c>
      <c r="RDA1" t="s">
        <v>12272</v>
      </c>
      <c r="RDB1" t="s">
        <v>12273</v>
      </c>
      <c r="RDC1" t="s">
        <v>12274</v>
      </c>
      <c r="RDD1" t="s">
        <v>12275</v>
      </c>
      <c r="RDE1" t="s">
        <v>12276</v>
      </c>
      <c r="RDF1" t="s">
        <v>12277</v>
      </c>
      <c r="RDG1" t="s">
        <v>12278</v>
      </c>
      <c r="RDH1" t="s">
        <v>12279</v>
      </c>
      <c r="RDI1" t="s">
        <v>12280</v>
      </c>
      <c r="RDJ1" t="s">
        <v>12281</v>
      </c>
      <c r="RDK1" t="s">
        <v>12282</v>
      </c>
      <c r="RDL1" t="s">
        <v>12283</v>
      </c>
      <c r="RDM1" t="s">
        <v>12284</v>
      </c>
      <c r="RDN1" t="s">
        <v>12285</v>
      </c>
      <c r="RDO1" t="s">
        <v>12286</v>
      </c>
      <c r="RDP1" t="s">
        <v>12287</v>
      </c>
      <c r="RDQ1" t="s">
        <v>12288</v>
      </c>
      <c r="RDR1" t="s">
        <v>12289</v>
      </c>
      <c r="RDS1" t="s">
        <v>12290</v>
      </c>
      <c r="RDT1" t="s">
        <v>12291</v>
      </c>
      <c r="RDU1" t="s">
        <v>12292</v>
      </c>
      <c r="RDV1" t="s">
        <v>12293</v>
      </c>
      <c r="RDW1" t="s">
        <v>12294</v>
      </c>
      <c r="RDX1" t="s">
        <v>12295</v>
      </c>
      <c r="RDY1" t="s">
        <v>12296</v>
      </c>
      <c r="RDZ1" t="s">
        <v>12297</v>
      </c>
      <c r="REA1" t="s">
        <v>12298</v>
      </c>
      <c r="REB1" t="s">
        <v>12299</v>
      </c>
      <c r="REC1" t="s">
        <v>12300</v>
      </c>
      <c r="RED1" t="s">
        <v>12301</v>
      </c>
      <c r="REE1" t="s">
        <v>12302</v>
      </c>
      <c r="REF1" t="s">
        <v>12303</v>
      </c>
      <c r="REG1" t="s">
        <v>12304</v>
      </c>
      <c r="REH1" t="s">
        <v>12305</v>
      </c>
      <c r="REI1" t="s">
        <v>12306</v>
      </c>
      <c r="REJ1" t="s">
        <v>12307</v>
      </c>
      <c r="REK1" t="s">
        <v>12308</v>
      </c>
      <c r="REL1" t="s">
        <v>12309</v>
      </c>
      <c r="REM1" t="s">
        <v>12310</v>
      </c>
      <c r="REN1" t="s">
        <v>12311</v>
      </c>
      <c r="REO1" t="s">
        <v>12312</v>
      </c>
      <c r="REP1" t="s">
        <v>12313</v>
      </c>
      <c r="REQ1" t="s">
        <v>12314</v>
      </c>
      <c r="RER1" t="s">
        <v>12315</v>
      </c>
      <c r="RES1" t="s">
        <v>12316</v>
      </c>
      <c r="RET1" t="s">
        <v>12317</v>
      </c>
      <c r="REU1" t="s">
        <v>12318</v>
      </c>
      <c r="REV1" t="s">
        <v>12319</v>
      </c>
      <c r="REW1" t="s">
        <v>12320</v>
      </c>
      <c r="REX1" t="s">
        <v>12321</v>
      </c>
      <c r="REY1" t="s">
        <v>12322</v>
      </c>
      <c r="REZ1" t="s">
        <v>12323</v>
      </c>
      <c r="RFA1" t="s">
        <v>12324</v>
      </c>
      <c r="RFB1" t="s">
        <v>12325</v>
      </c>
      <c r="RFC1" t="s">
        <v>12326</v>
      </c>
      <c r="RFD1" t="s">
        <v>12327</v>
      </c>
      <c r="RFE1" t="s">
        <v>12328</v>
      </c>
      <c r="RFF1" t="s">
        <v>12329</v>
      </c>
      <c r="RFG1" t="s">
        <v>12330</v>
      </c>
      <c r="RFH1" t="s">
        <v>12331</v>
      </c>
      <c r="RFI1" t="s">
        <v>12332</v>
      </c>
      <c r="RFJ1" t="s">
        <v>12333</v>
      </c>
      <c r="RFK1" t="s">
        <v>12334</v>
      </c>
      <c r="RFL1" t="s">
        <v>12335</v>
      </c>
      <c r="RFM1" t="s">
        <v>12336</v>
      </c>
      <c r="RFN1" t="s">
        <v>12337</v>
      </c>
      <c r="RFO1" t="s">
        <v>12338</v>
      </c>
      <c r="RFP1" t="s">
        <v>12339</v>
      </c>
      <c r="RFQ1" t="s">
        <v>12340</v>
      </c>
      <c r="RFR1" t="s">
        <v>12341</v>
      </c>
      <c r="RFS1" t="s">
        <v>12342</v>
      </c>
      <c r="RFT1" t="s">
        <v>12343</v>
      </c>
      <c r="RFU1" t="s">
        <v>12344</v>
      </c>
      <c r="RFV1" t="s">
        <v>12345</v>
      </c>
      <c r="RFW1" t="s">
        <v>12346</v>
      </c>
      <c r="RFX1" t="s">
        <v>12347</v>
      </c>
      <c r="RFY1" t="s">
        <v>12348</v>
      </c>
      <c r="RFZ1" t="s">
        <v>12349</v>
      </c>
      <c r="RGA1" t="s">
        <v>12350</v>
      </c>
      <c r="RGB1" t="s">
        <v>12351</v>
      </c>
      <c r="RGC1" t="s">
        <v>12352</v>
      </c>
      <c r="RGD1" t="s">
        <v>12353</v>
      </c>
      <c r="RGE1" t="s">
        <v>12354</v>
      </c>
      <c r="RGF1" t="s">
        <v>12355</v>
      </c>
      <c r="RGG1" t="s">
        <v>12356</v>
      </c>
      <c r="RGH1" t="s">
        <v>12357</v>
      </c>
      <c r="RGI1" t="s">
        <v>12358</v>
      </c>
      <c r="RGJ1" t="s">
        <v>12359</v>
      </c>
      <c r="RGK1" t="s">
        <v>12360</v>
      </c>
      <c r="RGL1" t="s">
        <v>12361</v>
      </c>
      <c r="RGM1" t="s">
        <v>12362</v>
      </c>
      <c r="RGN1" t="s">
        <v>12363</v>
      </c>
      <c r="RGO1" t="s">
        <v>12364</v>
      </c>
      <c r="RGP1" t="s">
        <v>12365</v>
      </c>
      <c r="RGQ1" t="s">
        <v>12366</v>
      </c>
      <c r="RGR1" t="s">
        <v>12367</v>
      </c>
      <c r="RGS1" t="s">
        <v>12368</v>
      </c>
      <c r="RGT1" t="s">
        <v>12369</v>
      </c>
      <c r="RGU1" t="s">
        <v>12370</v>
      </c>
      <c r="RGV1" t="s">
        <v>12371</v>
      </c>
      <c r="RGW1" t="s">
        <v>12372</v>
      </c>
      <c r="RGX1" t="s">
        <v>12373</v>
      </c>
      <c r="RGY1" t="s">
        <v>12374</v>
      </c>
      <c r="RGZ1" t="s">
        <v>12375</v>
      </c>
      <c r="RHA1" t="s">
        <v>12376</v>
      </c>
      <c r="RHB1" t="s">
        <v>12377</v>
      </c>
      <c r="RHC1" t="s">
        <v>12378</v>
      </c>
      <c r="RHD1" t="s">
        <v>12379</v>
      </c>
      <c r="RHE1" t="s">
        <v>12380</v>
      </c>
      <c r="RHF1" t="s">
        <v>12381</v>
      </c>
      <c r="RHG1" t="s">
        <v>12382</v>
      </c>
      <c r="RHH1" t="s">
        <v>12383</v>
      </c>
      <c r="RHI1" t="s">
        <v>12384</v>
      </c>
      <c r="RHJ1" t="s">
        <v>12385</v>
      </c>
      <c r="RHK1" t="s">
        <v>12386</v>
      </c>
      <c r="RHL1" t="s">
        <v>12387</v>
      </c>
      <c r="RHM1" t="s">
        <v>12388</v>
      </c>
      <c r="RHN1" t="s">
        <v>12389</v>
      </c>
      <c r="RHO1" t="s">
        <v>12390</v>
      </c>
      <c r="RHP1" t="s">
        <v>12391</v>
      </c>
      <c r="RHQ1" t="s">
        <v>12392</v>
      </c>
      <c r="RHR1" t="s">
        <v>12393</v>
      </c>
      <c r="RHS1" t="s">
        <v>12394</v>
      </c>
      <c r="RHT1" t="s">
        <v>12395</v>
      </c>
      <c r="RHU1" t="s">
        <v>12396</v>
      </c>
      <c r="RHV1" t="s">
        <v>12397</v>
      </c>
      <c r="RHW1" t="s">
        <v>12398</v>
      </c>
      <c r="RHX1" t="s">
        <v>12399</v>
      </c>
      <c r="RHY1" t="s">
        <v>12400</v>
      </c>
      <c r="RHZ1" t="s">
        <v>12401</v>
      </c>
      <c r="RIA1" t="s">
        <v>12402</v>
      </c>
      <c r="RIB1" t="s">
        <v>12403</v>
      </c>
      <c r="RIC1" t="s">
        <v>12404</v>
      </c>
      <c r="RID1" t="s">
        <v>12405</v>
      </c>
      <c r="RIE1" t="s">
        <v>12406</v>
      </c>
      <c r="RIF1" t="s">
        <v>12407</v>
      </c>
      <c r="RIG1" t="s">
        <v>12408</v>
      </c>
      <c r="RIH1" t="s">
        <v>12409</v>
      </c>
      <c r="RII1" t="s">
        <v>12410</v>
      </c>
      <c r="RIJ1" t="s">
        <v>12411</v>
      </c>
      <c r="RIK1" t="s">
        <v>12412</v>
      </c>
      <c r="RIL1" t="s">
        <v>12413</v>
      </c>
      <c r="RIM1" t="s">
        <v>12414</v>
      </c>
      <c r="RIN1" t="s">
        <v>12415</v>
      </c>
      <c r="RIO1" t="s">
        <v>12416</v>
      </c>
      <c r="RIP1" t="s">
        <v>12417</v>
      </c>
      <c r="RIQ1" t="s">
        <v>12418</v>
      </c>
      <c r="RIR1" t="s">
        <v>12419</v>
      </c>
      <c r="RIS1" t="s">
        <v>12420</v>
      </c>
      <c r="RIT1" t="s">
        <v>12421</v>
      </c>
      <c r="RIU1" t="s">
        <v>12422</v>
      </c>
      <c r="RIV1" t="s">
        <v>12423</v>
      </c>
      <c r="RIW1" t="s">
        <v>12424</v>
      </c>
      <c r="RIX1" t="s">
        <v>12425</v>
      </c>
      <c r="RIY1" t="s">
        <v>12426</v>
      </c>
      <c r="RIZ1" t="s">
        <v>12427</v>
      </c>
      <c r="RJA1" t="s">
        <v>12428</v>
      </c>
      <c r="RJB1" t="s">
        <v>12429</v>
      </c>
      <c r="RJC1" t="s">
        <v>12430</v>
      </c>
      <c r="RJD1" t="s">
        <v>12431</v>
      </c>
      <c r="RJE1" t="s">
        <v>12432</v>
      </c>
      <c r="RJF1" t="s">
        <v>12433</v>
      </c>
      <c r="RJG1" t="s">
        <v>12434</v>
      </c>
      <c r="RJH1" t="s">
        <v>12435</v>
      </c>
      <c r="RJI1" t="s">
        <v>12436</v>
      </c>
      <c r="RJJ1" t="s">
        <v>12437</v>
      </c>
      <c r="RJK1" t="s">
        <v>12438</v>
      </c>
      <c r="RJL1" t="s">
        <v>12439</v>
      </c>
      <c r="RJM1" t="s">
        <v>12440</v>
      </c>
      <c r="RJN1" t="s">
        <v>12441</v>
      </c>
      <c r="RJO1" t="s">
        <v>12442</v>
      </c>
      <c r="RJP1" t="s">
        <v>12443</v>
      </c>
      <c r="RJQ1" t="s">
        <v>12444</v>
      </c>
      <c r="RJR1" t="s">
        <v>12445</v>
      </c>
      <c r="RJS1" t="s">
        <v>12446</v>
      </c>
      <c r="RJT1" t="s">
        <v>12447</v>
      </c>
      <c r="RJU1" t="s">
        <v>12448</v>
      </c>
      <c r="RJV1" t="s">
        <v>12449</v>
      </c>
      <c r="RJW1" t="s">
        <v>12450</v>
      </c>
      <c r="RJX1" t="s">
        <v>12451</v>
      </c>
      <c r="RJY1" t="s">
        <v>12452</v>
      </c>
      <c r="RJZ1" t="s">
        <v>12453</v>
      </c>
      <c r="RKA1" t="s">
        <v>12454</v>
      </c>
      <c r="RKB1" t="s">
        <v>12455</v>
      </c>
      <c r="RKC1" t="s">
        <v>12456</v>
      </c>
      <c r="RKD1" t="s">
        <v>12457</v>
      </c>
      <c r="RKE1" t="s">
        <v>12458</v>
      </c>
      <c r="RKF1" t="s">
        <v>12459</v>
      </c>
      <c r="RKG1" t="s">
        <v>12460</v>
      </c>
      <c r="RKH1" t="s">
        <v>12461</v>
      </c>
      <c r="RKI1" t="s">
        <v>12462</v>
      </c>
      <c r="RKJ1" t="s">
        <v>12463</v>
      </c>
      <c r="RKK1" t="s">
        <v>12464</v>
      </c>
      <c r="RKL1" t="s">
        <v>12465</v>
      </c>
      <c r="RKM1" t="s">
        <v>12466</v>
      </c>
      <c r="RKN1" t="s">
        <v>12467</v>
      </c>
      <c r="RKO1" t="s">
        <v>12468</v>
      </c>
      <c r="RKP1" t="s">
        <v>12469</v>
      </c>
      <c r="RKQ1" t="s">
        <v>12470</v>
      </c>
      <c r="RKR1" t="s">
        <v>12471</v>
      </c>
      <c r="RKS1" t="s">
        <v>12472</v>
      </c>
      <c r="RKT1" t="s">
        <v>12473</v>
      </c>
      <c r="RKU1" t="s">
        <v>12474</v>
      </c>
      <c r="RKV1" t="s">
        <v>12475</v>
      </c>
      <c r="RKW1" t="s">
        <v>12476</v>
      </c>
      <c r="RKX1" t="s">
        <v>12477</v>
      </c>
      <c r="RKY1" t="s">
        <v>12478</v>
      </c>
      <c r="RKZ1" t="s">
        <v>12479</v>
      </c>
      <c r="RLA1" t="s">
        <v>12480</v>
      </c>
      <c r="RLB1" t="s">
        <v>12481</v>
      </c>
      <c r="RLC1" t="s">
        <v>12482</v>
      </c>
      <c r="RLD1" t="s">
        <v>12483</v>
      </c>
      <c r="RLE1" t="s">
        <v>12484</v>
      </c>
      <c r="RLF1" t="s">
        <v>12485</v>
      </c>
      <c r="RLG1" t="s">
        <v>12486</v>
      </c>
      <c r="RLH1" t="s">
        <v>12487</v>
      </c>
      <c r="RLI1" t="s">
        <v>12488</v>
      </c>
      <c r="RLJ1" t="s">
        <v>12489</v>
      </c>
      <c r="RLK1" t="s">
        <v>12490</v>
      </c>
      <c r="RLL1" t="s">
        <v>12491</v>
      </c>
      <c r="RLM1" t="s">
        <v>12492</v>
      </c>
      <c r="RLN1" t="s">
        <v>12493</v>
      </c>
      <c r="RLO1" t="s">
        <v>12494</v>
      </c>
      <c r="RLP1" t="s">
        <v>12495</v>
      </c>
      <c r="RLQ1" t="s">
        <v>12496</v>
      </c>
      <c r="RLR1" t="s">
        <v>12497</v>
      </c>
      <c r="RLS1" t="s">
        <v>12498</v>
      </c>
      <c r="RLT1" t="s">
        <v>12499</v>
      </c>
      <c r="RLU1" t="s">
        <v>12500</v>
      </c>
      <c r="RLV1" t="s">
        <v>12501</v>
      </c>
      <c r="RLW1" t="s">
        <v>12502</v>
      </c>
      <c r="RLX1" t="s">
        <v>12503</v>
      </c>
      <c r="RLY1" t="s">
        <v>12504</v>
      </c>
      <c r="RLZ1" t="s">
        <v>12505</v>
      </c>
      <c r="RMA1" t="s">
        <v>12506</v>
      </c>
      <c r="RMB1" t="s">
        <v>12507</v>
      </c>
      <c r="RMC1" t="s">
        <v>12508</v>
      </c>
      <c r="RMD1" t="s">
        <v>12509</v>
      </c>
      <c r="RME1" t="s">
        <v>12510</v>
      </c>
      <c r="RMF1" t="s">
        <v>12511</v>
      </c>
      <c r="RMG1" t="s">
        <v>12512</v>
      </c>
      <c r="RMH1" t="s">
        <v>12513</v>
      </c>
      <c r="RMI1" t="s">
        <v>12514</v>
      </c>
      <c r="RMJ1" t="s">
        <v>12515</v>
      </c>
      <c r="RMK1" t="s">
        <v>12516</v>
      </c>
      <c r="RML1" t="s">
        <v>12517</v>
      </c>
      <c r="RMM1" t="s">
        <v>12518</v>
      </c>
      <c r="RMN1" t="s">
        <v>12519</v>
      </c>
      <c r="RMO1" t="s">
        <v>12520</v>
      </c>
      <c r="RMP1" t="s">
        <v>12521</v>
      </c>
      <c r="RMQ1" t="s">
        <v>12522</v>
      </c>
      <c r="RMR1" t="s">
        <v>12523</v>
      </c>
      <c r="RMS1" t="s">
        <v>12524</v>
      </c>
      <c r="RMT1" t="s">
        <v>12525</v>
      </c>
      <c r="RMU1" t="s">
        <v>12526</v>
      </c>
      <c r="RMV1" t="s">
        <v>12527</v>
      </c>
      <c r="RMW1" t="s">
        <v>12528</v>
      </c>
      <c r="RMX1" t="s">
        <v>12529</v>
      </c>
      <c r="RMY1" t="s">
        <v>12530</v>
      </c>
      <c r="RMZ1" t="s">
        <v>12531</v>
      </c>
      <c r="RNA1" t="s">
        <v>12532</v>
      </c>
      <c r="RNB1" t="s">
        <v>12533</v>
      </c>
      <c r="RNC1" t="s">
        <v>12534</v>
      </c>
      <c r="RND1" t="s">
        <v>12535</v>
      </c>
      <c r="RNE1" t="s">
        <v>12536</v>
      </c>
      <c r="RNF1" t="s">
        <v>12537</v>
      </c>
      <c r="RNG1" t="s">
        <v>12538</v>
      </c>
      <c r="RNH1" t="s">
        <v>12539</v>
      </c>
      <c r="RNI1" t="s">
        <v>12540</v>
      </c>
      <c r="RNJ1" t="s">
        <v>12541</v>
      </c>
      <c r="RNK1" t="s">
        <v>12542</v>
      </c>
      <c r="RNL1" t="s">
        <v>12543</v>
      </c>
      <c r="RNM1" t="s">
        <v>12544</v>
      </c>
      <c r="RNN1" t="s">
        <v>12545</v>
      </c>
      <c r="RNO1" t="s">
        <v>12546</v>
      </c>
      <c r="RNP1" t="s">
        <v>12547</v>
      </c>
      <c r="RNQ1" t="s">
        <v>12548</v>
      </c>
      <c r="RNR1" t="s">
        <v>12549</v>
      </c>
      <c r="RNS1" t="s">
        <v>12550</v>
      </c>
      <c r="RNT1" t="s">
        <v>12551</v>
      </c>
      <c r="RNU1" t="s">
        <v>12552</v>
      </c>
      <c r="RNV1" t="s">
        <v>12553</v>
      </c>
      <c r="RNW1" t="s">
        <v>12554</v>
      </c>
      <c r="RNX1" t="s">
        <v>12555</v>
      </c>
      <c r="RNY1" t="s">
        <v>12556</v>
      </c>
      <c r="RNZ1" t="s">
        <v>12557</v>
      </c>
      <c r="ROA1" t="s">
        <v>12558</v>
      </c>
      <c r="ROB1" t="s">
        <v>12559</v>
      </c>
      <c r="ROC1" t="s">
        <v>12560</v>
      </c>
      <c r="ROD1" t="s">
        <v>12561</v>
      </c>
      <c r="ROE1" t="s">
        <v>12562</v>
      </c>
      <c r="ROF1" t="s">
        <v>12563</v>
      </c>
      <c r="ROG1" t="s">
        <v>12564</v>
      </c>
      <c r="ROH1" t="s">
        <v>12565</v>
      </c>
      <c r="ROI1" t="s">
        <v>12566</v>
      </c>
      <c r="ROJ1" t="s">
        <v>12567</v>
      </c>
      <c r="ROK1" t="s">
        <v>12568</v>
      </c>
      <c r="ROL1" t="s">
        <v>12569</v>
      </c>
      <c r="ROM1" t="s">
        <v>12570</v>
      </c>
      <c r="RON1" t="s">
        <v>12571</v>
      </c>
      <c r="ROO1" t="s">
        <v>12572</v>
      </c>
      <c r="ROP1" t="s">
        <v>12573</v>
      </c>
      <c r="ROQ1" t="s">
        <v>12574</v>
      </c>
      <c r="ROR1" t="s">
        <v>12575</v>
      </c>
      <c r="ROS1" t="s">
        <v>12576</v>
      </c>
      <c r="ROT1" t="s">
        <v>12577</v>
      </c>
      <c r="ROU1" t="s">
        <v>12578</v>
      </c>
      <c r="ROV1" t="s">
        <v>12579</v>
      </c>
      <c r="ROW1" t="s">
        <v>12580</v>
      </c>
      <c r="ROX1" t="s">
        <v>12581</v>
      </c>
      <c r="ROY1" t="s">
        <v>12582</v>
      </c>
      <c r="ROZ1" t="s">
        <v>12583</v>
      </c>
      <c r="RPA1" t="s">
        <v>12584</v>
      </c>
      <c r="RPB1" t="s">
        <v>12585</v>
      </c>
      <c r="RPC1" t="s">
        <v>12586</v>
      </c>
      <c r="RPD1" t="s">
        <v>12587</v>
      </c>
      <c r="RPE1" t="s">
        <v>12588</v>
      </c>
      <c r="RPF1" t="s">
        <v>12589</v>
      </c>
      <c r="RPG1" t="s">
        <v>12590</v>
      </c>
      <c r="RPH1" t="s">
        <v>12591</v>
      </c>
      <c r="RPI1" t="s">
        <v>12592</v>
      </c>
      <c r="RPJ1" t="s">
        <v>12593</v>
      </c>
      <c r="RPK1" t="s">
        <v>12594</v>
      </c>
      <c r="RPL1" t="s">
        <v>12595</v>
      </c>
      <c r="RPM1" t="s">
        <v>12596</v>
      </c>
      <c r="RPN1" t="s">
        <v>12597</v>
      </c>
      <c r="RPO1" t="s">
        <v>12598</v>
      </c>
      <c r="RPP1" t="s">
        <v>12599</v>
      </c>
      <c r="RPQ1" t="s">
        <v>12600</v>
      </c>
      <c r="RPR1" t="s">
        <v>12601</v>
      </c>
      <c r="RPS1" t="s">
        <v>12602</v>
      </c>
      <c r="RPT1" t="s">
        <v>12603</v>
      </c>
      <c r="RPU1" t="s">
        <v>12604</v>
      </c>
      <c r="RPV1" t="s">
        <v>12605</v>
      </c>
      <c r="RPW1" t="s">
        <v>12606</v>
      </c>
      <c r="RPX1" t="s">
        <v>12607</v>
      </c>
      <c r="RPY1" t="s">
        <v>12608</v>
      </c>
      <c r="RPZ1" t="s">
        <v>12609</v>
      </c>
      <c r="RQA1" t="s">
        <v>12610</v>
      </c>
      <c r="RQB1" t="s">
        <v>12611</v>
      </c>
      <c r="RQC1" t="s">
        <v>12612</v>
      </c>
      <c r="RQD1" t="s">
        <v>12613</v>
      </c>
      <c r="RQE1" t="s">
        <v>12614</v>
      </c>
      <c r="RQF1" t="s">
        <v>12615</v>
      </c>
      <c r="RQG1" t="s">
        <v>12616</v>
      </c>
      <c r="RQH1" t="s">
        <v>12617</v>
      </c>
      <c r="RQI1" t="s">
        <v>12618</v>
      </c>
      <c r="RQJ1" t="s">
        <v>12619</v>
      </c>
      <c r="RQK1" t="s">
        <v>12620</v>
      </c>
      <c r="RQL1" t="s">
        <v>12621</v>
      </c>
      <c r="RQM1" t="s">
        <v>12622</v>
      </c>
      <c r="RQN1" t="s">
        <v>12623</v>
      </c>
      <c r="RQO1" t="s">
        <v>12624</v>
      </c>
      <c r="RQP1" t="s">
        <v>12625</v>
      </c>
      <c r="RQQ1" t="s">
        <v>12626</v>
      </c>
      <c r="RQR1" t="s">
        <v>12627</v>
      </c>
      <c r="RQS1" t="s">
        <v>12628</v>
      </c>
      <c r="RQT1" t="s">
        <v>12629</v>
      </c>
      <c r="RQU1" t="s">
        <v>12630</v>
      </c>
      <c r="RQV1" t="s">
        <v>12631</v>
      </c>
      <c r="RQW1" t="s">
        <v>12632</v>
      </c>
      <c r="RQX1" t="s">
        <v>12633</v>
      </c>
      <c r="RQY1" t="s">
        <v>12634</v>
      </c>
      <c r="RQZ1" t="s">
        <v>12635</v>
      </c>
      <c r="RRA1" t="s">
        <v>12636</v>
      </c>
      <c r="RRB1" t="s">
        <v>12637</v>
      </c>
      <c r="RRC1" t="s">
        <v>12638</v>
      </c>
      <c r="RRD1" t="s">
        <v>12639</v>
      </c>
      <c r="RRE1" t="s">
        <v>12640</v>
      </c>
      <c r="RRF1" t="s">
        <v>12641</v>
      </c>
      <c r="RRG1" t="s">
        <v>12642</v>
      </c>
      <c r="RRH1" t="s">
        <v>12643</v>
      </c>
      <c r="RRI1" t="s">
        <v>12644</v>
      </c>
      <c r="RRJ1" t="s">
        <v>12645</v>
      </c>
      <c r="RRK1" t="s">
        <v>12646</v>
      </c>
      <c r="RRL1" t="s">
        <v>12647</v>
      </c>
      <c r="RRM1" t="s">
        <v>12648</v>
      </c>
      <c r="RRN1" t="s">
        <v>12649</v>
      </c>
      <c r="RRO1" t="s">
        <v>12650</v>
      </c>
      <c r="RRP1" t="s">
        <v>12651</v>
      </c>
      <c r="RRQ1" t="s">
        <v>12652</v>
      </c>
      <c r="RRR1" t="s">
        <v>12653</v>
      </c>
      <c r="RRS1" t="s">
        <v>12654</v>
      </c>
      <c r="RRT1" t="s">
        <v>12655</v>
      </c>
      <c r="RRU1" t="s">
        <v>12656</v>
      </c>
      <c r="RRV1" t="s">
        <v>12657</v>
      </c>
      <c r="RRW1" t="s">
        <v>12658</v>
      </c>
      <c r="RRX1" t="s">
        <v>12659</v>
      </c>
      <c r="RRY1" t="s">
        <v>12660</v>
      </c>
      <c r="RRZ1" t="s">
        <v>12661</v>
      </c>
      <c r="RSA1" t="s">
        <v>12662</v>
      </c>
      <c r="RSB1" t="s">
        <v>12663</v>
      </c>
      <c r="RSC1" t="s">
        <v>12664</v>
      </c>
      <c r="RSD1" t="s">
        <v>12665</v>
      </c>
      <c r="RSE1" t="s">
        <v>12666</v>
      </c>
      <c r="RSF1" t="s">
        <v>12667</v>
      </c>
      <c r="RSG1" t="s">
        <v>12668</v>
      </c>
      <c r="RSH1" t="s">
        <v>12669</v>
      </c>
      <c r="RSI1" t="s">
        <v>12670</v>
      </c>
      <c r="RSJ1" t="s">
        <v>12671</v>
      </c>
      <c r="RSK1" t="s">
        <v>12672</v>
      </c>
      <c r="RSL1" t="s">
        <v>12673</v>
      </c>
      <c r="RSM1" t="s">
        <v>12674</v>
      </c>
      <c r="RSN1" t="s">
        <v>12675</v>
      </c>
      <c r="RSO1" t="s">
        <v>12676</v>
      </c>
      <c r="RSP1" t="s">
        <v>12677</v>
      </c>
      <c r="RSQ1" t="s">
        <v>12678</v>
      </c>
      <c r="RSR1" t="s">
        <v>12679</v>
      </c>
      <c r="RSS1" t="s">
        <v>12680</v>
      </c>
      <c r="RST1" t="s">
        <v>12681</v>
      </c>
      <c r="RSU1" t="s">
        <v>12682</v>
      </c>
      <c r="RSV1" t="s">
        <v>12683</v>
      </c>
      <c r="RSW1" t="s">
        <v>12684</v>
      </c>
      <c r="RSX1" t="s">
        <v>12685</v>
      </c>
      <c r="RSY1" t="s">
        <v>12686</v>
      </c>
      <c r="RSZ1" t="s">
        <v>12687</v>
      </c>
      <c r="RTA1" t="s">
        <v>12688</v>
      </c>
      <c r="RTB1" t="s">
        <v>12689</v>
      </c>
      <c r="RTC1" t="s">
        <v>12690</v>
      </c>
      <c r="RTD1" t="s">
        <v>12691</v>
      </c>
      <c r="RTE1" t="s">
        <v>12692</v>
      </c>
      <c r="RTF1" t="s">
        <v>12693</v>
      </c>
      <c r="RTG1" t="s">
        <v>12694</v>
      </c>
      <c r="RTH1" t="s">
        <v>12695</v>
      </c>
      <c r="RTI1" t="s">
        <v>12696</v>
      </c>
      <c r="RTJ1" t="s">
        <v>12697</v>
      </c>
      <c r="RTK1" t="s">
        <v>12698</v>
      </c>
      <c r="RTL1" t="s">
        <v>12699</v>
      </c>
      <c r="RTM1" t="s">
        <v>12700</v>
      </c>
      <c r="RTN1" t="s">
        <v>12701</v>
      </c>
      <c r="RTO1" t="s">
        <v>12702</v>
      </c>
      <c r="RTP1" t="s">
        <v>12703</v>
      </c>
      <c r="RTQ1" t="s">
        <v>12704</v>
      </c>
      <c r="RTR1" t="s">
        <v>12705</v>
      </c>
      <c r="RTS1" t="s">
        <v>12706</v>
      </c>
      <c r="RTT1" t="s">
        <v>12707</v>
      </c>
      <c r="RTU1" t="s">
        <v>12708</v>
      </c>
      <c r="RTV1" t="s">
        <v>12709</v>
      </c>
      <c r="RTW1" t="s">
        <v>12710</v>
      </c>
      <c r="RTX1" t="s">
        <v>12711</v>
      </c>
      <c r="RTY1" t="s">
        <v>12712</v>
      </c>
      <c r="RTZ1" t="s">
        <v>12713</v>
      </c>
      <c r="RUA1" t="s">
        <v>12714</v>
      </c>
      <c r="RUB1" t="s">
        <v>12715</v>
      </c>
      <c r="RUC1" t="s">
        <v>12716</v>
      </c>
      <c r="RUD1" t="s">
        <v>12717</v>
      </c>
      <c r="RUE1" t="s">
        <v>12718</v>
      </c>
      <c r="RUF1" t="s">
        <v>12719</v>
      </c>
      <c r="RUG1" t="s">
        <v>12720</v>
      </c>
      <c r="RUH1" t="s">
        <v>12721</v>
      </c>
      <c r="RUI1" t="s">
        <v>12722</v>
      </c>
      <c r="RUJ1" t="s">
        <v>12723</v>
      </c>
      <c r="RUK1" t="s">
        <v>12724</v>
      </c>
      <c r="RUL1" t="s">
        <v>12725</v>
      </c>
      <c r="RUM1" t="s">
        <v>12726</v>
      </c>
      <c r="RUN1" t="s">
        <v>12727</v>
      </c>
      <c r="RUO1" t="s">
        <v>12728</v>
      </c>
      <c r="RUP1" t="s">
        <v>12729</v>
      </c>
      <c r="RUQ1" t="s">
        <v>12730</v>
      </c>
      <c r="RUR1" t="s">
        <v>12731</v>
      </c>
      <c r="RUS1" t="s">
        <v>12732</v>
      </c>
      <c r="RUT1" t="s">
        <v>12733</v>
      </c>
      <c r="RUU1" t="s">
        <v>12734</v>
      </c>
      <c r="RUV1" t="s">
        <v>12735</v>
      </c>
      <c r="RUW1" t="s">
        <v>12736</v>
      </c>
      <c r="RUX1" t="s">
        <v>12737</v>
      </c>
      <c r="RUY1" t="s">
        <v>12738</v>
      </c>
      <c r="RUZ1" t="s">
        <v>12739</v>
      </c>
      <c r="RVA1" t="s">
        <v>12740</v>
      </c>
      <c r="RVB1" t="s">
        <v>12741</v>
      </c>
      <c r="RVC1" t="s">
        <v>12742</v>
      </c>
      <c r="RVD1" t="s">
        <v>12743</v>
      </c>
      <c r="RVE1" t="s">
        <v>12744</v>
      </c>
      <c r="RVF1" t="s">
        <v>12745</v>
      </c>
      <c r="RVG1" t="s">
        <v>12746</v>
      </c>
      <c r="RVH1" t="s">
        <v>12747</v>
      </c>
      <c r="RVI1" t="s">
        <v>12748</v>
      </c>
      <c r="RVJ1" t="s">
        <v>12749</v>
      </c>
      <c r="RVK1" t="s">
        <v>12750</v>
      </c>
      <c r="RVL1" t="s">
        <v>12751</v>
      </c>
      <c r="RVM1" t="s">
        <v>12752</v>
      </c>
      <c r="RVN1" t="s">
        <v>12753</v>
      </c>
      <c r="RVO1" t="s">
        <v>12754</v>
      </c>
      <c r="RVP1" t="s">
        <v>12755</v>
      </c>
      <c r="RVQ1" t="s">
        <v>12756</v>
      </c>
      <c r="RVR1" t="s">
        <v>12757</v>
      </c>
      <c r="RVS1" t="s">
        <v>12758</v>
      </c>
      <c r="RVT1" t="s">
        <v>12759</v>
      </c>
      <c r="RVU1" t="s">
        <v>12760</v>
      </c>
      <c r="RVV1" t="s">
        <v>12761</v>
      </c>
      <c r="RVW1" t="s">
        <v>12762</v>
      </c>
      <c r="RVX1" t="s">
        <v>12763</v>
      </c>
      <c r="RVY1" t="s">
        <v>12764</v>
      </c>
      <c r="RVZ1" t="s">
        <v>12765</v>
      </c>
      <c r="RWA1" t="s">
        <v>12766</v>
      </c>
      <c r="RWB1" t="s">
        <v>12767</v>
      </c>
      <c r="RWC1" t="s">
        <v>12768</v>
      </c>
      <c r="RWD1" t="s">
        <v>12769</v>
      </c>
      <c r="RWE1" t="s">
        <v>12770</v>
      </c>
      <c r="RWF1" t="s">
        <v>12771</v>
      </c>
      <c r="RWG1" t="s">
        <v>12772</v>
      </c>
      <c r="RWH1" t="s">
        <v>12773</v>
      </c>
      <c r="RWI1" t="s">
        <v>12774</v>
      </c>
      <c r="RWJ1" t="s">
        <v>12775</v>
      </c>
      <c r="RWK1" t="s">
        <v>12776</v>
      </c>
      <c r="RWL1" t="s">
        <v>12777</v>
      </c>
      <c r="RWM1" t="s">
        <v>12778</v>
      </c>
      <c r="RWN1" t="s">
        <v>12779</v>
      </c>
      <c r="RWO1" t="s">
        <v>12780</v>
      </c>
      <c r="RWP1" t="s">
        <v>12781</v>
      </c>
      <c r="RWQ1" t="s">
        <v>12782</v>
      </c>
      <c r="RWR1" t="s">
        <v>12783</v>
      </c>
      <c r="RWS1" t="s">
        <v>12784</v>
      </c>
      <c r="RWT1" t="s">
        <v>12785</v>
      </c>
      <c r="RWU1" t="s">
        <v>12786</v>
      </c>
      <c r="RWV1" t="s">
        <v>12787</v>
      </c>
      <c r="RWW1" t="s">
        <v>12788</v>
      </c>
      <c r="RWX1" t="s">
        <v>12789</v>
      </c>
      <c r="RWY1" t="s">
        <v>12790</v>
      </c>
      <c r="RWZ1" t="s">
        <v>12791</v>
      </c>
      <c r="RXA1" t="s">
        <v>12792</v>
      </c>
      <c r="RXB1" t="s">
        <v>12793</v>
      </c>
      <c r="RXC1" t="s">
        <v>12794</v>
      </c>
      <c r="RXD1" t="s">
        <v>12795</v>
      </c>
      <c r="RXE1" t="s">
        <v>12796</v>
      </c>
      <c r="RXF1" t="s">
        <v>12797</v>
      </c>
      <c r="RXG1" t="s">
        <v>12798</v>
      </c>
      <c r="RXH1" t="s">
        <v>12799</v>
      </c>
      <c r="RXI1" t="s">
        <v>12800</v>
      </c>
      <c r="RXJ1" t="s">
        <v>12801</v>
      </c>
      <c r="RXK1" t="s">
        <v>12802</v>
      </c>
      <c r="RXL1" t="s">
        <v>12803</v>
      </c>
      <c r="RXM1" t="s">
        <v>12804</v>
      </c>
      <c r="RXN1" t="s">
        <v>12805</v>
      </c>
      <c r="RXO1" t="s">
        <v>12806</v>
      </c>
      <c r="RXP1" t="s">
        <v>12807</v>
      </c>
      <c r="RXQ1" t="s">
        <v>12808</v>
      </c>
      <c r="RXR1" t="s">
        <v>12809</v>
      </c>
      <c r="RXS1" t="s">
        <v>12810</v>
      </c>
      <c r="RXT1" t="s">
        <v>12811</v>
      </c>
      <c r="RXU1" t="s">
        <v>12812</v>
      </c>
      <c r="RXV1" t="s">
        <v>12813</v>
      </c>
      <c r="RXW1" t="s">
        <v>12814</v>
      </c>
      <c r="RXX1" t="s">
        <v>12815</v>
      </c>
      <c r="RXY1" t="s">
        <v>12816</v>
      </c>
      <c r="RXZ1" t="s">
        <v>12817</v>
      </c>
      <c r="RYA1" t="s">
        <v>12818</v>
      </c>
      <c r="RYB1" t="s">
        <v>12819</v>
      </c>
      <c r="RYC1" t="s">
        <v>12820</v>
      </c>
      <c r="RYD1" t="s">
        <v>12821</v>
      </c>
      <c r="RYE1" t="s">
        <v>12822</v>
      </c>
      <c r="RYF1" t="s">
        <v>12823</v>
      </c>
      <c r="RYG1" t="s">
        <v>12824</v>
      </c>
      <c r="RYH1" t="s">
        <v>12825</v>
      </c>
      <c r="RYI1" t="s">
        <v>12826</v>
      </c>
      <c r="RYJ1" t="s">
        <v>12827</v>
      </c>
      <c r="RYK1" t="s">
        <v>12828</v>
      </c>
      <c r="RYL1" t="s">
        <v>12829</v>
      </c>
      <c r="RYM1" t="s">
        <v>12830</v>
      </c>
      <c r="RYN1" t="s">
        <v>12831</v>
      </c>
      <c r="RYO1" t="s">
        <v>12832</v>
      </c>
      <c r="RYP1" t="s">
        <v>12833</v>
      </c>
      <c r="RYQ1" t="s">
        <v>12834</v>
      </c>
      <c r="RYR1" t="s">
        <v>12835</v>
      </c>
      <c r="RYS1" t="s">
        <v>12836</v>
      </c>
      <c r="RYT1" t="s">
        <v>12837</v>
      </c>
      <c r="RYU1" t="s">
        <v>12838</v>
      </c>
      <c r="RYV1" t="s">
        <v>12839</v>
      </c>
      <c r="RYW1" t="s">
        <v>12840</v>
      </c>
      <c r="RYX1" t="s">
        <v>12841</v>
      </c>
      <c r="RYY1" t="s">
        <v>12842</v>
      </c>
      <c r="RYZ1" t="s">
        <v>12843</v>
      </c>
      <c r="RZA1" t="s">
        <v>12844</v>
      </c>
      <c r="RZB1" t="s">
        <v>12845</v>
      </c>
      <c r="RZC1" t="s">
        <v>12846</v>
      </c>
      <c r="RZD1" t="s">
        <v>12847</v>
      </c>
      <c r="RZE1" t="s">
        <v>12848</v>
      </c>
      <c r="RZF1" t="s">
        <v>12849</v>
      </c>
      <c r="RZG1" t="s">
        <v>12850</v>
      </c>
      <c r="RZH1" t="s">
        <v>12851</v>
      </c>
      <c r="RZI1" t="s">
        <v>12852</v>
      </c>
      <c r="RZJ1" t="s">
        <v>12853</v>
      </c>
      <c r="RZK1" t="s">
        <v>12854</v>
      </c>
      <c r="RZL1" t="s">
        <v>12855</v>
      </c>
      <c r="RZM1" t="s">
        <v>12856</v>
      </c>
      <c r="RZN1" t="s">
        <v>12857</v>
      </c>
      <c r="RZO1" t="s">
        <v>12858</v>
      </c>
      <c r="RZP1" t="s">
        <v>12859</v>
      </c>
      <c r="RZQ1" t="s">
        <v>12860</v>
      </c>
      <c r="RZR1" t="s">
        <v>12861</v>
      </c>
      <c r="RZS1" t="s">
        <v>12862</v>
      </c>
      <c r="RZT1" t="s">
        <v>12863</v>
      </c>
      <c r="RZU1" t="s">
        <v>12864</v>
      </c>
      <c r="RZV1" t="s">
        <v>12865</v>
      </c>
      <c r="RZW1" t="s">
        <v>12866</v>
      </c>
      <c r="RZX1" t="s">
        <v>12867</v>
      </c>
      <c r="RZY1" t="s">
        <v>12868</v>
      </c>
      <c r="RZZ1" t="s">
        <v>12869</v>
      </c>
      <c r="SAA1" t="s">
        <v>12870</v>
      </c>
      <c r="SAB1" t="s">
        <v>12871</v>
      </c>
      <c r="SAC1" t="s">
        <v>12872</v>
      </c>
      <c r="SAD1" t="s">
        <v>12873</v>
      </c>
      <c r="SAE1" t="s">
        <v>12874</v>
      </c>
      <c r="SAF1" t="s">
        <v>12875</v>
      </c>
      <c r="SAG1" t="s">
        <v>12876</v>
      </c>
      <c r="SAH1" t="s">
        <v>12877</v>
      </c>
      <c r="SAI1" t="s">
        <v>12878</v>
      </c>
      <c r="SAJ1" t="s">
        <v>12879</v>
      </c>
      <c r="SAK1" t="s">
        <v>12880</v>
      </c>
      <c r="SAL1" t="s">
        <v>12881</v>
      </c>
      <c r="SAM1" t="s">
        <v>12882</v>
      </c>
      <c r="SAN1" t="s">
        <v>12883</v>
      </c>
      <c r="SAO1" t="s">
        <v>12884</v>
      </c>
      <c r="SAP1" t="s">
        <v>12885</v>
      </c>
      <c r="SAQ1" t="s">
        <v>12886</v>
      </c>
      <c r="SAR1" t="s">
        <v>12887</v>
      </c>
      <c r="SAS1" t="s">
        <v>12888</v>
      </c>
      <c r="SAT1" t="s">
        <v>12889</v>
      </c>
      <c r="SAU1" t="s">
        <v>12890</v>
      </c>
      <c r="SAV1" t="s">
        <v>12891</v>
      </c>
      <c r="SAW1" t="s">
        <v>12892</v>
      </c>
      <c r="SAX1" t="s">
        <v>12893</v>
      </c>
      <c r="SAY1" t="s">
        <v>12894</v>
      </c>
      <c r="SAZ1" t="s">
        <v>12895</v>
      </c>
      <c r="SBA1" t="s">
        <v>12896</v>
      </c>
      <c r="SBB1" t="s">
        <v>12897</v>
      </c>
      <c r="SBC1" t="s">
        <v>12898</v>
      </c>
      <c r="SBD1" t="s">
        <v>12899</v>
      </c>
      <c r="SBE1" t="s">
        <v>12900</v>
      </c>
      <c r="SBF1" t="s">
        <v>12901</v>
      </c>
      <c r="SBG1" t="s">
        <v>12902</v>
      </c>
      <c r="SBH1" t="s">
        <v>12903</v>
      </c>
      <c r="SBI1" t="s">
        <v>12904</v>
      </c>
      <c r="SBJ1" t="s">
        <v>12905</v>
      </c>
      <c r="SBK1" t="s">
        <v>12906</v>
      </c>
      <c r="SBL1" t="s">
        <v>12907</v>
      </c>
      <c r="SBM1" t="s">
        <v>12908</v>
      </c>
      <c r="SBN1" t="s">
        <v>12909</v>
      </c>
      <c r="SBO1" t="s">
        <v>12910</v>
      </c>
      <c r="SBP1" t="s">
        <v>12911</v>
      </c>
      <c r="SBQ1" t="s">
        <v>12912</v>
      </c>
      <c r="SBR1" t="s">
        <v>12913</v>
      </c>
      <c r="SBS1" t="s">
        <v>12914</v>
      </c>
      <c r="SBT1" t="s">
        <v>12915</v>
      </c>
      <c r="SBU1" t="s">
        <v>12916</v>
      </c>
      <c r="SBV1" t="s">
        <v>12917</v>
      </c>
      <c r="SBW1" t="s">
        <v>12918</v>
      </c>
      <c r="SBX1" t="s">
        <v>12919</v>
      </c>
      <c r="SBY1" t="s">
        <v>12920</v>
      </c>
      <c r="SBZ1" t="s">
        <v>12921</v>
      </c>
      <c r="SCA1" t="s">
        <v>12922</v>
      </c>
      <c r="SCB1" t="s">
        <v>12923</v>
      </c>
      <c r="SCC1" t="s">
        <v>12924</v>
      </c>
      <c r="SCD1" t="s">
        <v>12925</v>
      </c>
      <c r="SCE1" t="s">
        <v>12926</v>
      </c>
      <c r="SCF1" t="s">
        <v>12927</v>
      </c>
      <c r="SCG1" t="s">
        <v>12928</v>
      </c>
      <c r="SCH1" t="s">
        <v>12929</v>
      </c>
      <c r="SCI1" t="s">
        <v>12930</v>
      </c>
      <c r="SCJ1" t="s">
        <v>12931</v>
      </c>
      <c r="SCK1" t="s">
        <v>12932</v>
      </c>
      <c r="SCL1" t="s">
        <v>12933</v>
      </c>
      <c r="SCM1" t="s">
        <v>12934</v>
      </c>
      <c r="SCN1" t="s">
        <v>12935</v>
      </c>
      <c r="SCO1" t="s">
        <v>12936</v>
      </c>
      <c r="SCP1" t="s">
        <v>12937</v>
      </c>
      <c r="SCQ1" t="s">
        <v>12938</v>
      </c>
      <c r="SCR1" t="s">
        <v>12939</v>
      </c>
      <c r="SCS1" t="s">
        <v>12940</v>
      </c>
      <c r="SCT1" t="s">
        <v>12941</v>
      </c>
      <c r="SCU1" t="s">
        <v>12942</v>
      </c>
      <c r="SCV1" t="s">
        <v>12943</v>
      </c>
      <c r="SCW1" t="s">
        <v>12944</v>
      </c>
      <c r="SCX1" t="s">
        <v>12945</v>
      </c>
      <c r="SCY1" t="s">
        <v>12946</v>
      </c>
      <c r="SCZ1" t="s">
        <v>12947</v>
      </c>
      <c r="SDA1" t="s">
        <v>12948</v>
      </c>
      <c r="SDB1" t="s">
        <v>12949</v>
      </c>
      <c r="SDC1" t="s">
        <v>12950</v>
      </c>
      <c r="SDD1" t="s">
        <v>12951</v>
      </c>
      <c r="SDE1" t="s">
        <v>12952</v>
      </c>
      <c r="SDF1" t="s">
        <v>12953</v>
      </c>
      <c r="SDG1" t="s">
        <v>12954</v>
      </c>
      <c r="SDH1" t="s">
        <v>12955</v>
      </c>
      <c r="SDI1" t="s">
        <v>12956</v>
      </c>
      <c r="SDJ1" t="s">
        <v>12957</v>
      </c>
      <c r="SDK1" t="s">
        <v>12958</v>
      </c>
      <c r="SDL1" t="s">
        <v>12959</v>
      </c>
      <c r="SDM1" t="s">
        <v>12960</v>
      </c>
      <c r="SDN1" t="s">
        <v>12961</v>
      </c>
      <c r="SDO1" t="s">
        <v>12962</v>
      </c>
      <c r="SDP1" t="s">
        <v>12963</v>
      </c>
      <c r="SDQ1" t="s">
        <v>12964</v>
      </c>
      <c r="SDR1" t="s">
        <v>12965</v>
      </c>
      <c r="SDS1" t="s">
        <v>12966</v>
      </c>
      <c r="SDT1" t="s">
        <v>12967</v>
      </c>
      <c r="SDU1" t="s">
        <v>12968</v>
      </c>
      <c r="SDV1" t="s">
        <v>12969</v>
      </c>
      <c r="SDW1" t="s">
        <v>12970</v>
      </c>
      <c r="SDX1" t="s">
        <v>12971</v>
      </c>
      <c r="SDY1" t="s">
        <v>12972</v>
      </c>
      <c r="SDZ1" t="s">
        <v>12973</v>
      </c>
      <c r="SEA1" t="s">
        <v>12974</v>
      </c>
      <c r="SEB1" t="s">
        <v>12975</v>
      </c>
      <c r="SEC1" t="s">
        <v>12976</v>
      </c>
      <c r="SED1" t="s">
        <v>12977</v>
      </c>
      <c r="SEE1" t="s">
        <v>12978</v>
      </c>
      <c r="SEF1" t="s">
        <v>12979</v>
      </c>
      <c r="SEG1" t="s">
        <v>12980</v>
      </c>
      <c r="SEH1" t="s">
        <v>12981</v>
      </c>
      <c r="SEI1" t="s">
        <v>12982</v>
      </c>
      <c r="SEJ1" t="s">
        <v>12983</v>
      </c>
      <c r="SEK1" t="s">
        <v>12984</v>
      </c>
      <c r="SEL1" t="s">
        <v>12985</v>
      </c>
      <c r="SEM1" t="s">
        <v>12986</v>
      </c>
      <c r="SEN1" t="s">
        <v>12987</v>
      </c>
      <c r="SEO1" t="s">
        <v>12988</v>
      </c>
      <c r="SEP1" t="s">
        <v>12989</v>
      </c>
      <c r="SEQ1" t="s">
        <v>12990</v>
      </c>
      <c r="SER1" t="s">
        <v>12991</v>
      </c>
      <c r="SES1" t="s">
        <v>12992</v>
      </c>
      <c r="SET1" t="s">
        <v>12993</v>
      </c>
      <c r="SEU1" t="s">
        <v>12994</v>
      </c>
      <c r="SEV1" t="s">
        <v>12995</v>
      </c>
      <c r="SEW1" t="s">
        <v>12996</v>
      </c>
      <c r="SEX1" t="s">
        <v>12997</v>
      </c>
      <c r="SEY1" t="s">
        <v>12998</v>
      </c>
      <c r="SEZ1" t="s">
        <v>12999</v>
      </c>
      <c r="SFA1" t="s">
        <v>13000</v>
      </c>
      <c r="SFB1" t="s">
        <v>13001</v>
      </c>
      <c r="SFC1" t="s">
        <v>13002</v>
      </c>
      <c r="SFD1" t="s">
        <v>13003</v>
      </c>
      <c r="SFE1" t="s">
        <v>13004</v>
      </c>
      <c r="SFF1" t="s">
        <v>13005</v>
      </c>
      <c r="SFG1" t="s">
        <v>13006</v>
      </c>
      <c r="SFH1" t="s">
        <v>13007</v>
      </c>
      <c r="SFI1" t="s">
        <v>13008</v>
      </c>
      <c r="SFJ1" t="s">
        <v>13009</v>
      </c>
      <c r="SFK1" t="s">
        <v>13010</v>
      </c>
      <c r="SFL1" t="s">
        <v>13011</v>
      </c>
      <c r="SFM1" t="s">
        <v>13012</v>
      </c>
      <c r="SFN1" t="s">
        <v>13013</v>
      </c>
      <c r="SFO1" t="s">
        <v>13014</v>
      </c>
      <c r="SFP1" t="s">
        <v>13015</v>
      </c>
      <c r="SFQ1" t="s">
        <v>13016</v>
      </c>
      <c r="SFR1" t="s">
        <v>13017</v>
      </c>
      <c r="SFS1" t="s">
        <v>13018</v>
      </c>
      <c r="SFT1" t="s">
        <v>13019</v>
      </c>
      <c r="SFU1" t="s">
        <v>13020</v>
      </c>
      <c r="SFV1" t="s">
        <v>13021</v>
      </c>
      <c r="SFW1" t="s">
        <v>13022</v>
      </c>
      <c r="SFX1" t="s">
        <v>13023</v>
      </c>
      <c r="SFY1" t="s">
        <v>13024</v>
      </c>
      <c r="SFZ1" t="s">
        <v>13025</v>
      </c>
      <c r="SGA1" t="s">
        <v>13026</v>
      </c>
      <c r="SGB1" t="s">
        <v>13027</v>
      </c>
      <c r="SGC1" t="s">
        <v>13028</v>
      </c>
      <c r="SGD1" t="s">
        <v>13029</v>
      </c>
      <c r="SGE1" t="s">
        <v>13030</v>
      </c>
      <c r="SGF1" t="s">
        <v>13031</v>
      </c>
      <c r="SGG1" t="s">
        <v>13032</v>
      </c>
      <c r="SGH1" t="s">
        <v>13033</v>
      </c>
      <c r="SGI1" t="s">
        <v>13034</v>
      </c>
      <c r="SGJ1" t="s">
        <v>13035</v>
      </c>
      <c r="SGK1" t="s">
        <v>13036</v>
      </c>
      <c r="SGL1" t="s">
        <v>13037</v>
      </c>
      <c r="SGM1" t="s">
        <v>13038</v>
      </c>
      <c r="SGN1" t="s">
        <v>13039</v>
      </c>
      <c r="SGO1" t="s">
        <v>13040</v>
      </c>
      <c r="SGP1" t="s">
        <v>13041</v>
      </c>
      <c r="SGQ1" t="s">
        <v>13042</v>
      </c>
      <c r="SGR1" t="s">
        <v>13043</v>
      </c>
      <c r="SGS1" t="s">
        <v>13044</v>
      </c>
      <c r="SGT1" t="s">
        <v>13045</v>
      </c>
      <c r="SGU1" t="s">
        <v>13046</v>
      </c>
      <c r="SGV1" t="s">
        <v>13047</v>
      </c>
      <c r="SGW1" t="s">
        <v>13048</v>
      </c>
      <c r="SGX1" t="s">
        <v>13049</v>
      </c>
      <c r="SGY1" t="s">
        <v>13050</v>
      </c>
      <c r="SGZ1" t="s">
        <v>13051</v>
      </c>
      <c r="SHA1" t="s">
        <v>13052</v>
      </c>
      <c r="SHB1" t="s">
        <v>13053</v>
      </c>
      <c r="SHC1" t="s">
        <v>13054</v>
      </c>
      <c r="SHD1" t="s">
        <v>13055</v>
      </c>
      <c r="SHE1" t="s">
        <v>13056</v>
      </c>
      <c r="SHF1" t="s">
        <v>13057</v>
      </c>
      <c r="SHG1" t="s">
        <v>13058</v>
      </c>
      <c r="SHH1" t="s">
        <v>13059</v>
      </c>
      <c r="SHI1" t="s">
        <v>13060</v>
      </c>
      <c r="SHJ1" t="s">
        <v>13061</v>
      </c>
      <c r="SHK1" t="s">
        <v>13062</v>
      </c>
      <c r="SHL1" t="s">
        <v>13063</v>
      </c>
      <c r="SHM1" t="s">
        <v>13064</v>
      </c>
      <c r="SHN1" t="s">
        <v>13065</v>
      </c>
      <c r="SHO1" t="s">
        <v>13066</v>
      </c>
      <c r="SHP1" t="s">
        <v>13067</v>
      </c>
      <c r="SHQ1" t="s">
        <v>13068</v>
      </c>
      <c r="SHR1" t="s">
        <v>13069</v>
      </c>
      <c r="SHS1" t="s">
        <v>13070</v>
      </c>
      <c r="SHT1" t="s">
        <v>13071</v>
      </c>
      <c r="SHU1" t="s">
        <v>13072</v>
      </c>
      <c r="SHV1" t="s">
        <v>13073</v>
      </c>
      <c r="SHW1" t="s">
        <v>13074</v>
      </c>
      <c r="SHX1" t="s">
        <v>13075</v>
      </c>
      <c r="SHY1" t="s">
        <v>13076</v>
      </c>
      <c r="SHZ1" t="s">
        <v>13077</v>
      </c>
      <c r="SIA1" t="s">
        <v>13078</v>
      </c>
      <c r="SIB1" t="s">
        <v>13079</v>
      </c>
      <c r="SIC1" t="s">
        <v>13080</v>
      </c>
      <c r="SID1" t="s">
        <v>13081</v>
      </c>
      <c r="SIE1" t="s">
        <v>13082</v>
      </c>
      <c r="SIF1" t="s">
        <v>13083</v>
      </c>
      <c r="SIG1" t="s">
        <v>13084</v>
      </c>
      <c r="SIH1" t="s">
        <v>13085</v>
      </c>
      <c r="SII1" t="s">
        <v>13086</v>
      </c>
      <c r="SIJ1" t="s">
        <v>13087</v>
      </c>
      <c r="SIK1" t="s">
        <v>13088</v>
      </c>
      <c r="SIL1" t="s">
        <v>13089</v>
      </c>
      <c r="SIM1" t="s">
        <v>13090</v>
      </c>
      <c r="SIN1" t="s">
        <v>13091</v>
      </c>
      <c r="SIO1" t="s">
        <v>13092</v>
      </c>
      <c r="SIP1" t="s">
        <v>13093</v>
      </c>
      <c r="SIQ1" t="s">
        <v>13094</v>
      </c>
      <c r="SIR1" t="s">
        <v>13095</v>
      </c>
      <c r="SIS1" t="s">
        <v>13096</v>
      </c>
      <c r="SIT1" t="s">
        <v>13097</v>
      </c>
      <c r="SIU1" t="s">
        <v>13098</v>
      </c>
      <c r="SIV1" t="s">
        <v>13099</v>
      </c>
      <c r="SIW1" t="s">
        <v>13100</v>
      </c>
      <c r="SIX1" t="s">
        <v>13101</v>
      </c>
      <c r="SIY1" t="s">
        <v>13102</v>
      </c>
      <c r="SIZ1" t="s">
        <v>13103</v>
      </c>
      <c r="SJA1" t="s">
        <v>13104</v>
      </c>
      <c r="SJB1" t="s">
        <v>13105</v>
      </c>
      <c r="SJC1" t="s">
        <v>13106</v>
      </c>
      <c r="SJD1" t="s">
        <v>13107</v>
      </c>
      <c r="SJE1" t="s">
        <v>13108</v>
      </c>
      <c r="SJF1" t="s">
        <v>13109</v>
      </c>
      <c r="SJG1" t="s">
        <v>13110</v>
      </c>
      <c r="SJH1" t="s">
        <v>13111</v>
      </c>
      <c r="SJI1" t="s">
        <v>13112</v>
      </c>
      <c r="SJJ1" t="s">
        <v>13113</v>
      </c>
      <c r="SJK1" t="s">
        <v>13114</v>
      </c>
      <c r="SJL1" t="s">
        <v>13115</v>
      </c>
      <c r="SJM1" t="s">
        <v>13116</v>
      </c>
      <c r="SJN1" t="s">
        <v>13117</v>
      </c>
      <c r="SJO1" t="s">
        <v>13118</v>
      </c>
      <c r="SJP1" t="s">
        <v>13119</v>
      </c>
      <c r="SJQ1" t="s">
        <v>13120</v>
      </c>
      <c r="SJR1" t="s">
        <v>13121</v>
      </c>
      <c r="SJS1" t="s">
        <v>13122</v>
      </c>
      <c r="SJT1" t="s">
        <v>13123</v>
      </c>
      <c r="SJU1" t="s">
        <v>13124</v>
      </c>
      <c r="SJV1" t="s">
        <v>13125</v>
      </c>
      <c r="SJW1" t="s">
        <v>13126</v>
      </c>
      <c r="SJX1" t="s">
        <v>13127</v>
      </c>
      <c r="SJY1" t="s">
        <v>13128</v>
      </c>
      <c r="SJZ1" t="s">
        <v>13129</v>
      </c>
      <c r="SKA1" t="s">
        <v>13130</v>
      </c>
      <c r="SKB1" t="s">
        <v>13131</v>
      </c>
      <c r="SKC1" t="s">
        <v>13132</v>
      </c>
      <c r="SKD1" t="s">
        <v>13133</v>
      </c>
      <c r="SKE1" t="s">
        <v>13134</v>
      </c>
      <c r="SKF1" t="s">
        <v>13135</v>
      </c>
      <c r="SKG1" t="s">
        <v>13136</v>
      </c>
      <c r="SKH1" t="s">
        <v>13137</v>
      </c>
      <c r="SKI1" t="s">
        <v>13138</v>
      </c>
      <c r="SKJ1" t="s">
        <v>13139</v>
      </c>
      <c r="SKK1" t="s">
        <v>13140</v>
      </c>
      <c r="SKL1" t="s">
        <v>13141</v>
      </c>
      <c r="SKM1" t="s">
        <v>13142</v>
      </c>
      <c r="SKN1" t="s">
        <v>13143</v>
      </c>
      <c r="SKO1" t="s">
        <v>13144</v>
      </c>
      <c r="SKP1" t="s">
        <v>13145</v>
      </c>
      <c r="SKQ1" t="s">
        <v>13146</v>
      </c>
      <c r="SKR1" t="s">
        <v>13147</v>
      </c>
      <c r="SKS1" t="s">
        <v>13148</v>
      </c>
      <c r="SKT1" t="s">
        <v>13149</v>
      </c>
      <c r="SKU1" t="s">
        <v>13150</v>
      </c>
      <c r="SKV1" t="s">
        <v>13151</v>
      </c>
      <c r="SKW1" t="s">
        <v>13152</v>
      </c>
      <c r="SKX1" t="s">
        <v>13153</v>
      </c>
      <c r="SKY1" t="s">
        <v>13154</v>
      </c>
      <c r="SKZ1" t="s">
        <v>13155</v>
      </c>
      <c r="SLA1" t="s">
        <v>13156</v>
      </c>
      <c r="SLB1" t="s">
        <v>13157</v>
      </c>
      <c r="SLC1" t="s">
        <v>13158</v>
      </c>
      <c r="SLD1" t="s">
        <v>13159</v>
      </c>
      <c r="SLE1" t="s">
        <v>13160</v>
      </c>
      <c r="SLF1" t="s">
        <v>13161</v>
      </c>
      <c r="SLG1" t="s">
        <v>13162</v>
      </c>
      <c r="SLH1" t="s">
        <v>13163</v>
      </c>
      <c r="SLI1" t="s">
        <v>13164</v>
      </c>
      <c r="SLJ1" t="s">
        <v>13165</v>
      </c>
      <c r="SLK1" t="s">
        <v>13166</v>
      </c>
      <c r="SLL1" t="s">
        <v>13167</v>
      </c>
      <c r="SLM1" t="s">
        <v>13168</v>
      </c>
      <c r="SLN1" t="s">
        <v>13169</v>
      </c>
      <c r="SLO1" t="s">
        <v>13170</v>
      </c>
      <c r="SLP1" t="s">
        <v>13171</v>
      </c>
      <c r="SLQ1" t="s">
        <v>13172</v>
      </c>
      <c r="SLR1" t="s">
        <v>13173</v>
      </c>
      <c r="SLS1" t="s">
        <v>13174</v>
      </c>
      <c r="SLT1" t="s">
        <v>13175</v>
      </c>
      <c r="SLU1" t="s">
        <v>13176</v>
      </c>
      <c r="SLV1" t="s">
        <v>13177</v>
      </c>
      <c r="SLW1" t="s">
        <v>13178</v>
      </c>
      <c r="SLX1" t="s">
        <v>13179</v>
      </c>
      <c r="SLY1" t="s">
        <v>13180</v>
      </c>
      <c r="SLZ1" t="s">
        <v>13181</v>
      </c>
      <c r="SMA1" t="s">
        <v>13182</v>
      </c>
      <c r="SMB1" t="s">
        <v>13183</v>
      </c>
      <c r="SMC1" t="s">
        <v>13184</v>
      </c>
      <c r="SMD1" t="s">
        <v>13185</v>
      </c>
      <c r="SME1" t="s">
        <v>13186</v>
      </c>
      <c r="SMF1" t="s">
        <v>13187</v>
      </c>
      <c r="SMG1" t="s">
        <v>13188</v>
      </c>
      <c r="SMH1" t="s">
        <v>13189</v>
      </c>
      <c r="SMI1" t="s">
        <v>13190</v>
      </c>
      <c r="SMJ1" t="s">
        <v>13191</v>
      </c>
      <c r="SMK1" t="s">
        <v>13192</v>
      </c>
      <c r="SML1" t="s">
        <v>13193</v>
      </c>
      <c r="SMM1" t="s">
        <v>13194</v>
      </c>
      <c r="SMN1" t="s">
        <v>13195</v>
      </c>
      <c r="SMO1" t="s">
        <v>13196</v>
      </c>
      <c r="SMP1" t="s">
        <v>13197</v>
      </c>
      <c r="SMQ1" t="s">
        <v>13198</v>
      </c>
      <c r="SMR1" t="s">
        <v>13199</v>
      </c>
      <c r="SMS1" t="s">
        <v>13200</v>
      </c>
      <c r="SMT1" t="s">
        <v>13201</v>
      </c>
      <c r="SMU1" t="s">
        <v>13202</v>
      </c>
      <c r="SMV1" t="s">
        <v>13203</v>
      </c>
      <c r="SMW1" t="s">
        <v>13204</v>
      </c>
      <c r="SMX1" t="s">
        <v>13205</v>
      </c>
      <c r="SMY1" t="s">
        <v>13206</v>
      </c>
      <c r="SMZ1" t="s">
        <v>13207</v>
      </c>
      <c r="SNA1" t="s">
        <v>13208</v>
      </c>
      <c r="SNB1" t="s">
        <v>13209</v>
      </c>
      <c r="SNC1" t="s">
        <v>13210</v>
      </c>
      <c r="SND1" t="s">
        <v>13211</v>
      </c>
      <c r="SNE1" t="s">
        <v>13212</v>
      </c>
      <c r="SNF1" t="s">
        <v>13213</v>
      </c>
      <c r="SNG1" t="s">
        <v>13214</v>
      </c>
      <c r="SNH1" t="s">
        <v>13215</v>
      </c>
      <c r="SNI1" t="s">
        <v>13216</v>
      </c>
      <c r="SNJ1" t="s">
        <v>13217</v>
      </c>
      <c r="SNK1" t="s">
        <v>13218</v>
      </c>
      <c r="SNL1" t="s">
        <v>13219</v>
      </c>
      <c r="SNM1" t="s">
        <v>13220</v>
      </c>
      <c r="SNN1" t="s">
        <v>13221</v>
      </c>
      <c r="SNO1" t="s">
        <v>13222</v>
      </c>
      <c r="SNP1" t="s">
        <v>13223</v>
      </c>
      <c r="SNQ1" t="s">
        <v>13224</v>
      </c>
      <c r="SNR1" t="s">
        <v>13225</v>
      </c>
      <c r="SNS1" t="s">
        <v>13226</v>
      </c>
      <c r="SNT1" t="s">
        <v>13227</v>
      </c>
      <c r="SNU1" t="s">
        <v>13228</v>
      </c>
      <c r="SNV1" t="s">
        <v>13229</v>
      </c>
      <c r="SNW1" t="s">
        <v>13230</v>
      </c>
      <c r="SNX1" t="s">
        <v>13231</v>
      </c>
      <c r="SNY1" t="s">
        <v>13232</v>
      </c>
      <c r="SNZ1" t="s">
        <v>13233</v>
      </c>
      <c r="SOA1" t="s">
        <v>13234</v>
      </c>
      <c r="SOB1" t="s">
        <v>13235</v>
      </c>
      <c r="SOC1" t="s">
        <v>13236</v>
      </c>
      <c r="SOD1" t="s">
        <v>13237</v>
      </c>
      <c r="SOE1" t="s">
        <v>13238</v>
      </c>
      <c r="SOF1" t="s">
        <v>13239</v>
      </c>
      <c r="SOG1" t="s">
        <v>13240</v>
      </c>
      <c r="SOH1" t="s">
        <v>13241</v>
      </c>
      <c r="SOI1" t="s">
        <v>13242</v>
      </c>
      <c r="SOJ1" t="s">
        <v>13243</v>
      </c>
      <c r="SOK1" t="s">
        <v>13244</v>
      </c>
      <c r="SOL1" t="s">
        <v>13245</v>
      </c>
      <c r="SOM1" t="s">
        <v>13246</v>
      </c>
      <c r="SON1" t="s">
        <v>13247</v>
      </c>
      <c r="SOO1" t="s">
        <v>13248</v>
      </c>
      <c r="SOP1" t="s">
        <v>13249</v>
      </c>
      <c r="SOQ1" t="s">
        <v>13250</v>
      </c>
      <c r="SOR1" t="s">
        <v>13251</v>
      </c>
      <c r="SOS1" t="s">
        <v>13252</v>
      </c>
      <c r="SOT1" t="s">
        <v>13253</v>
      </c>
      <c r="SOU1" t="s">
        <v>13254</v>
      </c>
      <c r="SOV1" t="s">
        <v>13255</v>
      </c>
      <c r="SOW1" t="s">
        <v>13256</v>
      </c>
      <c r="SOX1" t="s">
        <v>13257</v>
      </c>
      <c r="SOY1" t="s">
        <v>13258</v>
      </c>
      <c r="SOZ1" t="s">
        <v>13259</v>
      </c>
      <c r="SPA1" t="s">
        <v>13260</v>
      </c>
      <c r="SPB1" t="s">
        <v>13261</v>
      </c>
      <c r="SPC1" t="s">
        <v>13262</v>
      </c>
      <c r="SPD1" t="s">
        <v>13263</v>
      </c>
      <c r="SPE1" t="s">
        <v>13264</v>
      </c>
      <c r="SPF1" t="s">
        <v>13265</v>
      </c>
      <c r="SPG1" t="s">
        <v>13266</v>
      </c>
      <c r="SPH1" t="s">
        <v>13267</v>
      </c>
      <c r="SPI1" t="s">
        <v>13268</v>
      </c>
      <c r="SPJ1" t="s">
        <v>13269</v>
      </c>
      <c r="SPK1" t="s">
        <v>13270</v>
      </c>
      <c r="SPL1" t="s">
        <v>13271</v>
      </c>
      <c r="SPM1" t="s">
        <v>13272</v>
      </c>
      <c r="SPN1" t="s">
        <v>13273</v>
      </c>
      <c r="SPO1" t="s">
        <v>13274</v>
      </c>
      <c r="SPP1" t="s">
        <v>13275</v>
      </c>
      <c r="SPQ1" t="s">
        <v>13276</v>
      </c>
      <c r="SPR1" t="s">
        <v>13277</v>
      </c>
      <c r="SPS1" t="s">
        <v>13278</v>
      </c>
      <c r="SPT1" t="s">
        <v>13279</v>
      </c>
      <c r="SPU1" t="s">
        <v>13280</v>
      </c>
      <c r="SPV1" t="s">
        <v>13281</v>
      </c>
      <c r="SPW1" t="s">
        <v>13282</v>
      </c>
      <c r="SPX1" t="s">
        <v>13283</v>
      </c>
      <c r="SPY1" t="s">
        <v>13284</v>
      </c>
      <c r="SPZ1" t="s">
        <v>13285</v>
      </c>
      <c r="SQA1" t="s">
        <v>13286</v>
      </c>
      <c r="SQB1" t="s">
        <v>13287</v>
      </c>
      <c r="SQC1" t="s">
        <v>13288</v>
      </c>
      <c r="SQD1" t="s">
        <v>13289</v>
      </c>
      <c r="SQE1" t="s">
        <v>13290</v>
      </c>
      <c r="SQF1" t="s">
        <v>13291</v>
      </c>
      <c r="SQG1" t="s">
        <v>13292</v>
      </c>
      <c r="SQH1" t="s">
        <v>13293</v>
      </c>
      <c r="SQI1" t="s">
        <v>13294</v>
      </c>
      <c r="SQJ1" t="s">
        <v>13295</v>
      </c>
      <c r="SQK1" t="s">
        <v>13296</v>
      </c>
      <c r="SQL1" t="s">
        <v>13297</v>
      </c>
      <c r="SQM1" t="s">
        <v>13298</v>
      </c>
      <c r="SQN1" t="s">
        <v>13299</v>
      </c>
      <c r="SQO1" t="s">
        <v>13300</v>
      </c>
      <c r="SQP1" t="s">
        <v>13301</v>
      </c>
      <c r="SQQ1" t="s">
        <v>13302</v>
      </c>
      <c r="SQR1" t="s">
        <v>13303</v>
      </c>
      <c r="SQS1" t="s">
        <v>13304</v>
      </c>
      <c r="SQT1" t="s">
        <v>13305</v>
      </c>
      <c r="SQU1" t="s">
        <v>13306</v>
      </c>
      <c r="SQV1" t="s">
        <v>13307</v>
      </c>
      <c r="SQW1" t="s">
        <v>13308</v>
      </c>
      <c r="SQX1" t="s">
        <v>13309</v>
      </c>
      <c r="SQY1" t="s">
        <v>13310</v>
      </c>
      <c r="SQZ1" t="s">
        <v>13311</v>
      </c>
      <c r="SRA1" t="s">
        <v>13312</v>
      </c>
      <c r="SRB1" t="s">
        <v>13313</v>
      </c>
      <c r="SRC1" t="s">
        <v>13314</v>
      </c>
      <c r="SRD1" t="s">
        <v>13315</v>
      </c>
      <c r="SRE1" t="s">
        <v>13316</v>
      </c>
      <c r="SRF1" t="s">
        <v>13317</v>
      </c>
      <c r="SRG1" t="s">
        <v>13318</v>
      </c>
      <c r="SRH1" t="s">
        <v>13319</v>
      </c>
      <c r="SRI1" t="s">
        <v>13320</v>
      </c>
      <c r="SRJ1" t="s">
        <v>13321</v>
      </c>
      <c r="SRK1" t="s">
        <v>13322</v>
      </c>
      <c r="SRL1" t="s">
        <v>13323</v>
      </c>
      <c r="SRM1" t="s">
        <v>13324</v>
      </c>
      <c r="SRN1" t="s">
        <v>13325</v>
      </c>
      <c r="SRO1" t="s">
        <v>13326</v>
      </c>
      <c r="SRP1" t="s">
        <v>13327</v>
      </c>
      <c r="SRQ1" t="s">
        <v>13328</v>
      </c>
      <c r="SRR1" t="s">
        <v>13329</v>
      </c>
      <c r="SRS1" t="s">
        <v>13330</v>
      </c>
      <c r="SRT1" t="s">
        <v>13331</v>
      </c>
      <c r="SRU1" t="s">
        <v>13332</v>
      </c>
      <c r="SRV1" t="s">
        <v>13333</v>
      </c>
      <c r="SRW1" t="s">
        <v>13334</v>
      </c>
      <c r="SRX1" t="s">
        <v>13335</v>
      </c>
      <c r="SRY1" t="s">
        <v>13336</v>
      </c>
      <c r="SRZ1" t="s">
        <v>13337</v>
      </c>
      <c r="SSA1" t="s">
        <v>13338</v>
      </c>
      <c r="SSB1" t="s">
        <v>13339</v>
      </c>
      <c r="SSC1" t="s">
        <v>13340</v>
      </c>
      <c r="SSD1" t="s">
        <v>13341</v>
      </c>
      <c r="SSE1" t="s">
        <v>13342</v>
      </c>
      <c r="SSF1" t="s">
        <v>13343</v>
      </c>
      <c r="SSG1" t="s">
        <v>13344</v>
      </c>
      <c r="SSH1" t="s">
        <v>13345</v>
      </c>
      <c r="SSI1" t="s">
        <v>13346</v>
      </c>
      <c r="SSJ1" t="s">
        <v>13347</v>
      </c>
      <c r="SSK1" t="s">
        <v>13348</v>
      </c>
      <c r="SSL1" t="s">
        <v>13349</v>
      </c>
      <c r="SSM1" t="s">
        <v>13350</v>
      </c>
      <c r="SSN1" t="s">
        <v>13351</v>
      </c>
      <c r="SSO1" t="s">
        <v>13352</v>
      </c>
      <c r="SSP1" t="s">
        <v>13353</v>
      </c>
      <c r="SSQ1" t="s">
        <v>13354</v>
      </c>
      <c r="SSR1" t="s">
        <v>13355</v>
      </c>
      <c r="SSS1" t="s">
        <v>13356</v>
      </c>
      <c r="SST1" t="s">
        <v>13357</v>
      </c>
      <c r="SSU1" t="s">
        <v>13358</v>
      </c>
      <c r="SSV1" t="s">
        <v>13359</v>
      </c>
      <c r="SSW1" t="s">
        <v>13360</v>
      </c>
      <c r="SSX1" t="s">
        <v>13361</v>
      </c>
      <c r="SSY1" t="s">
        <v>13362</v>
      </c>
      <c r="SSZ1" t="s">
        <v>13363</v>
      </c>
      <c r="STA1" t="s">
        <v>13364</v>
      </c>
      <c r="STB1" t="s">
        <v>13365</v>
      </c>
      <c r="STC1" t="s">
        <v>13366</v>
      </c>
      <c r="STD1" t="s">
        <v>13367</v>
      </c>
      <c r="STE1" t="s">
        <v>13368</v>
      </c>
      <c r="STF1" t="s">
        <v>13369</v>
      </c>
      <c r="STG1" t="s">
        <v>13370</v>
      </c>
      <c r="STH1" t="s">
        <v>13371</v>
      </c>
      <c r="STI1" t="s">
        <v>13372</v>
      </c>
      <c r="STJ1" t="s">
        <v>13373</v>
      </c>
      <c r="STK1" t="s">
        <v>13374</v>
      </c>
      <c r="STL1" t="s">
        <v>13375</v>
      </c>
      <c r="STM1" t="s">
        <v>13376</v>
      </c>
      <c r="STN1" t="s">
        <v>13377</v>
      </c>
      <c r="STO1" t="s">
        <v>13378</v>
      </c>
      <c r="STP1" t="s">
        <v>13379</v>
      </c>
      <c r="STQ1" t="s">
        <v>13380</v>
      </c>
      <c r="STR1" t="s">
        <v>13381</v>
      </c>
      <c r="STS1" t="s">
        <v>13382</v>
      </c>
      <c r="STT1" t="s">
        <v>13383</v>
      </c>
      <c r="STU1" t="s">
        <v>13384</v>
      </c>
      <c r="STV1" t="s">
        <v>13385</v>
      </c>
      <c r="STW1" t="s">
        <v>13386</v>
      </c>
      <c r="STX1" t="s">
        <v>13387</v>
      </c>
      <c r="STY1" t="s">
        <v>13388</v>
      </c>
      <c r="STZ1" t="s">
        <v>13389</v>
      </c>
      <c r="SUA1" t="s">
        <v>13390</v>
      </c>
      <c r="SUB1" t="s">
        <v>13391</v>
      </c>
      <c r="SUC1" t="s">
        <v>13392</v>
      </c>
      <c r="SUD1" t="s">
        <v>13393</v>
      </c>
      <c r="SUE1" t="s">
        <v>13394</v>
      </c>
      <c r="SUF1" t="s">
        <v>13395</v>
      </c>
      <c r="SUG1" t="s">
        <v>13396</v>
      </c>
      <c r="SUH1" t="s">
        <v>13397</v>
      </c>
      <c r="SUI1" t="s">
        <v>13398</v>
      </c>
      <c r="SUJ1" t="s">
        <v>13399</v>
      </c>
      <c r="SUK1" t="s">
        <v>13400</v>
      </c>
      <c r="SUL1" t="s">
        <v>13401</v>
      </c>
      <c r="SUM1" t="s">
        <v>13402</v>
      </c>
      <c r="SUN1" t="s">
        <v>13403</v>
      </c>
      <c r="SUO1" t="s">
        <v>13404</v>
      </c>
      <c r="SUP1" t="s">
        <v>13405</v>
      </c>
      <c r="SUQ1" t="s">
        <v>13406</v>
      </c>
      <c r="SUR1" t="s">
        <v>13407</v>
      </c>
      <c r="SUS1" t="s">
        <v>13408</v>
      </c>
      <c r="SUT1" t="s">
        <v>13409</v>
      </c>
      <c r="SUU1" t="s">
        <v>13410</v>
      </c>
      <c r="SUV1" t="s">
        <v>13411</v>
      </c>
      <c r="SUW1" t="s">
        <v>13412</v>
      </c>
      <c r="SUX1" t="s">
        <v>13413</v>
      </c>
      <c r="SUY1" t="s">
        <v>13414</v>
      </c>
      <c r="SUZ1" t="s">
        <v>13415</v>
      </c>
      <c r="SVA1" t="s">
        <v>13416</v>
      </c>
      <c r="SVB1" t="s">
        <v>13417</v>
      </c>
      <c r="SVC1" t="s">
        <v>13418</v>
      </c>
      <c r="SVD1" t="s">
        <v>13419</v>
      </c>
      <c r="SVE1" t="s">
        <v>13420</v>
      </c>
      <c r="SVF1" t="s">
        <v>13421</v>
      </c>
      <c r="SVG1" t="s">
        <v>13422</v>
      </c>
      <c r="SVH1" t="s">
        <v>13423</v>
      </c>
      <c r="SVI1" t="s">
        <v>13424</v>
      </c>
      <c r="SVJ1" t="s">
        <v>13425</v>
      </c>
      <c r="SVK1" t="s">
        <v>13426</v>
      </c>
      <c r="SVL1" t="s">
        <v>13427</v>
      </c>
      <c r="SVM1" t="s">
        <v>13428</v>
      </c>
      <c r="SVN1" t="s">
        <v>13429</v>
      </c>
      <c r="SVO1" t="s">
        <v>13430</v>
      </c>
      <c r="SVP1" t="s">
        <v>13431</v>
      </c>
      <c r="SVQ1" t="s">
        <v>13432</v>
      </c>
      <c r="SVR1" t="s">
        <v>13433</v>
      </c>
      <c r="SVS1" t="s">
        <v>13434</v>
      </c>
      <c r="SVT1" t="s">
        <v>13435</v>
      </c>
      <c r="SVU1" t="s">
        <v>13436</v>
      </c>
      <c r="SVV1" t="s">
        <v>13437</v>
      </c>
      <c r="SVW1" t="s">
        <v>13438</v>
      </c>
      <c r="SVX1" t="s">
        <v>13439</v>
      </c>
      <c r="SVY1" t="s">
        <v>13440</v>
      </c>
      <c r="SVZ1" t="s">
        <v>13441</v>
      </c>
      <c r="SWA1" t="s">
        <v>13442</v>
      </c>
      <c r="SWB1" t="s">
        <v>13443</v>
      </c>
      <c r="SWC1" t="s">
        <v>13444</v>
      </c>
      <c r="SWD1" t="s">
        <v>13445</v>
      </c>
      <c r="SWE1" t="s">
        <v>13446</v>
      </c>
      <c r="SWF1" t="s">
        <v>13447</v>
      </c>
      <c r="SWG1" t="s">
        <v>13448</v>
      </c>
      <c r="SWH1" t="s">
        <v>13449</v>
      </c>
      <c r="SWI1" t="s">
        <v>13450</v>
      </c>
      <c r="SWJ1" t="s">
        <v>13451</v>
      </c>
      <c r="SWK1" t="s">
        <v>13452</v>
      </c>
      <c r="SWL1" t="s">
        <v>13453</v>
      </c>
      <c r="SWM1" t="s">
        <v>13454</v>
      </c>
      <c r="SWN1" t="s">
        <v>13455</v>
      </c>
      <c r="SWO1" t="s">
        <v>13456</v>
      </c>
      <c r="SWP1" t="s">
        <v>13457</v>
      </c>
      <c r="SWQ1" t="s">
        <v>13458</v>
      </c>
      <c r="SWR1" t="s">
        <v>13459</v>
      </c>
      <c r="SWS1" t="s">
        <v>13460</v>
      </c>
      <c r="SWT1" t="s">
        <v>13461</v>
      </c>
      <c r="SWU1" t="s">
        <v>13462</v>
      </c>
      <c r="SWV1" t="s">
        <v>13463</v>
      </c>
      <c r="SWW1" t="s">
        <v>13464</v>
      </c>
      <c r="SWX1" t="s">
        <v>13465</v>
      </c>
      <c r="SWY1" t="s">
        <v>13466</v>
      </c>
      <c r="SWZ1" t="s">
        <v>13467</v>
      </c>
      <c r="SXA1" t="s">
        <v>13468</v>
      </c>
      <c r="SXB1" t="s">
        <v>13469</v>
      </c>
      <c r="SXC1" t="s">
        <v>13470</v>
      </c>
      <c r="SXD1" t="s">
        <v>13471</v>
      </c>
      <c r="SXE1" t="s">
        <v>13472</v>
      </c>
      <c r="SXF1" t="s">
        <v>13473</v>
      </c>
      <c r="SXG1" t="s">
        <v>13474</v>
      </c>
      <c r="SXH1" t="s">
        <v>13475</v>
      </c>
      <c r="SXI1" t="s">
        <v>13476</v>
      </c>
      <c r="SXJ1" t="s">
        <v>13477</v>
      </c>
      <c r="SXK1" t="s">
        <v>13478</v>
      </c>
      <c r="SXL1" t="s">
        <v>13479</v>
      </c>
      <c r="SXM1" t="s">
        <v>13480</v>
      </c>
      <c r="SXN1" t="s">
        <v>13481</v>
      </c>
      <c r="SXO1" t="s">
        <v>13482</v>
      </c>
      <c r="SXP1" t="s">
        <v>13483</v>
      </c>
      <c r="SXQ1" t="s">
        <v>13484</v>
      </c>
      <c r="SXR1" t="s">
        <v>13485</v>
      </c>
      <c r="SXS1" t="s">
        <v>13486</v>
      </c>
      <c r="SXT1" t="s">
        <v>13487</v>
      </c>
      <c r="SXU1" t="s">
        <v>13488</v>
      </c>
      <c r="SXV1" t="s">
        <v>13489</v>
      </c>
      <c r="SXW1" t="s">
        <v>13490</v>
      </c>
      <c r="SXX1" t="s">
        <v>13491</v>
      </c>
      <c r="SXY1" t="s">
        <v>13492</v>
      </c>
      <c r="SXZ1" t="s">
        <v>13493</v>
      </c>
      <c r="SYA1" t="s">
        <v>13494</v>
      </c>
      <c r="SYB1" t="s">
        <v>13495</v>
      </c>
      <c r="SYC1" t="s">
        <v>13496</v>
      </c>
      <c r="SYD1" t="s">
        <v>13497</v>
      </c>
      <c r="SYE1" t="s">
        <v>13498</v>
      </c>
      <c r="SYF1" t="s">
        <v>13499</v>
      </c>
      <c r="SYG1" t="s">
        <v>13500</v>
      </c>
      <c r="SYH1" t="s">
        <v>13501</v>
      </c>
      <c r="SYI1" t="s">
        <v>13502</v>
      </c>
      <c r="SYJ1" t="s">
        <v>13503</v>
      </c>
      <c r="SYK1" t="s">
        <v>13504</v>
      </c>
      <c r="SYL1" t="s">
        <v>13505</v>
      </c>
      <c r="SYM1" t="s">
        <v>13506</v>
      </c>
      <c r="SYN1" t="s">
        <v>13507</v>
      </c>
      <c r="SYO1" t="s">
        <v>13508</v>
      </c>
      <c r="SYP1" t="s">
        <v>13509</v>
      </c>
      <c r="SYQ1" t="s">
        <v>13510</v>
      </c>
      <c r="SYR1" t="s">
        <v>13511</v>
      </c>
      <c r="SYS1" t="s">
        <v>13512</v>
      </c>
      <c r="SYT1" t="s">
        <v>13513</v>
      </c>
      <c r="SYU1" t="s">
        <v>13514</v>
      </c>
      <c r="SYV1" t="s">
        <v>13515</v>
      </c>
      <c r="SYW1" t="s">
        <v>13516</v>
      </c>
      <c r="SYX1" t="s">
        <v>13517</v>
      </c>
      <c r="SYY1" t="s">
        <v>13518</v>
      </c>
      <c r="SYZ1" t="s">
        <v>13519</v>
      </c>
      <c r="SZA1" t="s">
        <v>13520</v>
      </c>
      <c r="SZB1" t="s">
        <v>13521</v>
      </c>
      <c r="SZC1" t="s">
        <v>13522</v>
      </c>
      <c r="SZD1" t="s">
        <v>13523</v>
      </c>
      <c r="SZE1" t="s">
        <v>13524</v>
      </c>
      <c r="SZF1" t="s">
        <v>13525</v>
      </c>
      <c r="SZG1" t="s">
        <v>13526</v>
      </c>
      <c r="SZH1" t="s">
        <v>13527</v>
      </c>
      <c r="SZI1" t="s">
        <v>13528</v>
      </c>
      <c r="SZJ1" t="s">
        <v>13529</v>
      </c>
      <c r="SZK1" t="s">
        <v>13530</v>
      </c>
      <c r="SZL1" t="s">
        <v>13531</v>
      </c>
      <c r="SZM1" t="s">
        <v>13532</v>
      </c>
      <c r="SZN1" t="s">
        <v>13533</v>
      </c>
      <c r="SZO1" t="s">
        <v>13534</v>
      </c>
      <c r="SZP1" t="s">
        <v>13535</v>
      </c>
      <c r="SZQ1" t="s">
        <v>13536</v>
      </c>
      <c r="SZR1" t="s">
        <v>13537</v>
      </c>
      <c r="SZS1" t="s">
        <v>13538</v>
      </c>
      <c r="SZT1" t="s">
        <v>13539</v>
      </c>
      <c r="SZU1" t="s">
        <v>13540</v>
      </c>
      <c r="SZV1" t="s">
        <v>13541</v>
      </c>
      <c r="SZW1" t="s">
        <v>13542</v>
      </c>
      <c r="SZX1" t="s">
        <v>13543</v>
      </c>
      <c r="SZY1" t="s">
        <v>13544</v>
      </c>
      <c r="SZZ1" t="s">
        <v>13545</v>
      </c>
      <c r="TAA1" t="s">
        <v>13546</v>
      </c>
      <c r="TAB1" t="s">
        <v>13547</v>
      </c>
      <c r="TAC1" t="s">
        <v>13548</v>
      </c>
      <c r="TAD1" t="s">
        <v>13549</v>
      </c>
      <c r="TAE1" t="s">
        <v>13550</v>
      </c>
      <c r="TAF1" t="s">
        <v>13551</v>
      </c>
      <c r="TAG1" t="s">
        <v>13552</v>
      </c>
      <c r="TAH1" t="s">
        <v>13553</v>
      </c>
      <c r="TAI1" t="s">
        <v>13554</v>
      </c>
      <c r="TAJ1" t="s">
        <v>13555</v>
      </c>
      <c r="TAK1" t="s">
        <v>13556</v>
      </c>
      <c r="TAL1" t="s">
        <v>13557</v>
      </c>
      <c r="TAM1" t="s">
        <v>13558</v>
      </c>
      <c r="TAN1" t="s">
        <v>13559</v>
      </c>
      <c r="TAO1" t="s">
        <v>13560</v>
      </c>
      <c r="TAP1" t="s">
        <v>13561</v>
      </c>
      <c r="TAQ1" t="s">
        <v>13562</v>
      </c>
      <c r="TAR1" t="s">
        <v>13563</v>
      </c>
      <c r="TAS1" t="s">
        <v>13564</v>
      </c>
      <c r="TAT1" t="s">
        <v>13565</v>
      </c>
      <c r="TAU1" t="s">
        <v>13566</v>
      </c>
      <c r="TAV1" t="s">
        <v>13567</v>
      </c>
      <c r="TAW1" t="s">
        <v>13568</v>
      </c>
      <c r="TAX1" t="s">
        <v>13569</v>
      </c>
      <c r="TAY1" t="s">
        <v>13570</v>
      </c>
      <c r="TAZ1" t="s">
        <v>13571</v>
      </c>
      <c r="TBA1" t="s">
        <v>13572</v>
      </c>
      <c r="TBB1" t="s">
        <v>13573</v>
      </c>
      <c r="TBC1" t="s">
        <v>13574</v>
      </c>
      <c r="TBD1" t="s">
        <v>13575</v>
      </c>
      <c r="TBE1" t="s">
        <v>13576</v>
      </c>
      <c r="TBF1" t="s">
        <v>13577</v>
      </c>
      <c r="TBG1" t="s">
        <v>13578</v>
      </c>
      <c r="TBH1" t="s">
        <v>13579</v>
      </c>
      <c r="TBI1" t="s">
        <v>13580</v>
      </c>
      <c r="TBJ1" t="s">
        <v>13581</v>
      </c>
      <c r="TBK1" t="s">
        <v>13582</v>
      </c>
      <c r="TBL1" t="s">
        <v>13583</v>
      </c>
      <c r="TBM1" t="s">
        <v>13584</v>
      </c>
      <c r="TBN1" t="s">
        <v>13585</v>
      </c>
      <c r="TBO1" t="s">
        <v>13586</v>
      </c>
      <c r="TBP1" t="s">
        <v>13587</v>
      </c>
      <c r="TBQ1" t="s">
        <v>13588</v>
      </c>
      <c r="TBR1" t="s">
        <v>13589</v>
      </c>
      <c r="TBS1" t="s">
        <v>13590</v>
      </c>
      <c r="TBT1" t="s">
        <v>13591</v>
      </c>
      <c r="TBU1" t="s">
        <v>13592</v>
      </c>
      <c r="TBV1" t="s">
        <v>13593</v>
      </c>
      <c r="TBW1" t="s">
        <v>13594</v>
      </c>
      <c r="TBX1" t="s">
        <v>13595</v>
      </c>
      <c r="TBY1" t="s">
        <v>13596</v>
      </c>
      <c r="TBZ1" t="s">
        <v>13597</v>
      </c>
      <c r="TCA1" t="s">
        <v>13598</v>
      </c>
      <c r="TCB1" t="s">
        <v>13599</v>
      </c>
      <c r="TCC1" t="s">
        <v>13600</v>
      </c>
      <c r="TCD1" t="s">
        <v>13601</v>
      </c>
      <c r="TCE1" t="s">
        <v>13602</v>
      </c>
      <c r="TCF1" t="s">
        <v>13603</v>
      </c>
      <c r="TCG1" t="s">
        <v>13604</v>
      </c>
      <c r="TCH1" t="s">
        <v>13605</v>
      </c>
      <c r="TCI1" t="s">
        <v>13606</v>
      </c>
      <c r="TCJ1" t="s">
        <v>13607</v>
      </c>
      <c r="TCK1" t="s">
        <v>13608</v>
      </c>
      <c r="TCL1" t="s">
        <v>13609</v>
      </c>
      <c r="TCM1" t="s">
        <v>13610</v>
      </c>
      <c r="TCN1" t="s">
        <v>13611</v>
      </c>
      <c r="TCO1" t="s">
        <v>13612</v>
      </c>
      <c r="TCP1" t="s">
        <v>13613</v>
      </c>
      <c r="TCQ1" t="s">
        <v>13614</v>
      </c>
      <c r="TCR1" t="s">
        <v>13615</v>
      </c>
      <c r="TCS1" t="s">
        <v>13616</v>
      </c>
      <c r="TCT1" t="s">
        <v>13617</v>
      </c>
      <c r="TCU1" t="s">
        <v>13618</v>
      </c>
      <c r="TCV1" t="s">
        <v>13619</v>
      </c>
      <c r="TCW1" t="s">
        <v>13620</v>
      </c>
      <c r="TCX1" t="s">
        <v>13621</v>
      </c>
      <c r="TCY1" t="s">
        <v>13622</v>
      </c>
      <c r="TCZ1" t="s">
        <v>13623</v>
      </c>
      <c r="TDA1" t="s">
        <v>13624</v>
      </c>
      <c r="TDB1" t="s">
        <v>13625</v>
      </c>
      <c r="TDC1" t="s">
        <v>13626</v>
      </c>
      <c r="TDD1" t="s">
        <v>13627</v>
      </c>
      <c r="TDE1" t="s">
        <v>13628</v>
      </c>
      <c r="TDF1" t="s">
        <v>13629</v>
      </c>
      <c r="TDG1" t="s">
        <v>13630</v>
      </c>
      <c r="TDH1" t="s">
        <v>13631</v>
      </c>
      <c r="TDI1" t="s">
        <v>13632</v>
      </c>
      <c r="TDJ1" t="s">
        <v>13633</v>
      </c>
      <c r="TDK1" t="s">
        <v>13634</v>
      </c>
      <c r="TDL1" t="s">
        <v>13635</v>
      </c>
      <c r="TDM1" t="s">
        <v>13636</v>
      </c>
      <c r="TDN1" t="s">
        <v>13637</v>
      </c>
      <c r="TDO1" t="s">
        <v>13638</v>
      </c>
      <c r="TDP1" t="s">
        <v>13639</v>
      </c>
      <c r="TDQ1" t="s">
        <v>13640</v>
      </c>
      <c r="TDR1" t="s">
        <v>13641</v>
      </c>
      <c r="TDS1" t="s">
        <v>13642</v>
      </c>
      <c r="TDT1" t="s">
        <v>13643</v>
      </c>
      <c r="TDU1" t="s">
        <v>13644</v>
      </c>
      <c r="TDV1" t="s">
        <v>13645</v>
      </c>
      <c r="TDW1" t="s">
        <v>13646</v>
      </c>
      <c r="TDX1" t="s">
        <v>13647</v>
      </c>
      <c r="TDY1" t="s">
        <v>13648</v>
      </c>
      <c r="TDZ1" t="s">
        <v>13649</v>
      </c>
      <c r="TEA1" t="s">
        <v>13650</v>
      </c>
      <c r="TEB1" t="s">
        <v>13651</v>
      </c>
      <c r="TEC1" t="s">
        <v>13652</v>
      </c>
      <c r="TED1" t="s">
        <v>13653</v>
      </c>
      <c r="TEE1" t="s">
        <v>13654</v>
      </c>
      <c r="TEF1" t="s">
        <v>13655</v>
      </c>
      <c r="TEG1" t="s">
        <v>13656</v>
      </c>
      <c r="TEH1" t="s">
        <v>13657</v>
      </c>
      <c r="TEI1" t="s">
        <v>13658</v>
      </c>
      <c r="TEJ1" t="s">
        <v>13659</v>
      </c>
      <c r="TEK1" t="s">
        <v>13660</v>
      </c>
      <c r="TEL1" t="s">
        <v>13661</v>
      </c>
      <c r="TEM1" t="s">
        <v>13662</v>
      </c>
      <c r="TEN1" t="s">
        <v>13663</v>
      </c>
      <c r="TEO1" t="s">
        <v>13664</v>
      </c>
      <c r="TEP1" t="s">
        <v>13665</v>
      </c>
      <c r="TEQ1" t="s">
        <v>13666</v>
      </c>
      <c r="TER1" t="s">
        <v>13667</v>
      </c>
      <c r="TES1" t="s">
        <v>13668</v>
      </c>
      <c r="TET1" t="s">
        <v>13669</v>
      </c>
      <c r="TEU1" t="s">
        <v>13670</v>
      </c>
      <c r="TEV1" t="s">
        <v>13671</v>
      </c>
      <c r="TEW1" t="s">
        <v>13672</v>
      </c>
      <c r="TEX1" t="s">
        <v>13673</v>
      </c>
      <c r="TEY1" t="s">
        <v>13674</v>
      </c>
      <c r="TEZ1" t="s">
        <v>13675</v>
      </c>
      <c r="TFA1" t="s">
        <v>13676</v>
      </c>
      <c r="TFB1" t="s">
        <v>13677</v>
      </c>
      <c r="TFC1" t="s">
        <v>13678</v>
      </c>
      <c r="TFD1" t="s">
        <v>13679</v>
      </c>
      <c r="TFE1" t="s">
        <v>13680</v>
      </c>
      <c r="TFF1" t="s">
        <v>13681</v>
      </c>
      <c r="TFG1" t="s">
        <v>13682</v>
      </c>
      <c r="TFH1" t="s">
        <v>13683</v>
      </c>
      <c r="TFI1" t="s">
        <v>13684</v>
      </c>
      <c r="TFJ1" t="s">
        <v>13685</v>
      </c>
      <c r="TFK1" t="s">
        <v>13686</v>
      </c>
      <c r="TFL1" t="s">
        <v>13687</v>
      </c>
      <c r="TFM1" t="s">
        <v>13688</v>
      </c>
      <c r="TFN1" t="s">
        <v>13689</v>
      </c>
      <c r="TFO1" t="s">
        <v>13690</v>
      </c>
      <c r="TFP1" t="s">
        <v>13691</v>
      </c>
      <c r="TFQ1" t="s">
        <v>13692</v>
      </c>
      <c r="TFR1" t="s">
        <v>13693</v>
      </c>
      <c r="TFS1" t="s">
        <v>13694</v>
      </c>
      <c r="TFT1" t="s">
        <v>13695</v>
      </c>
      <c r="TFU1" t="s">
        <v>13696</v>
      </c>
      <c r="TFV1" t="s">
        <v>13697</v>
      </c>
      <c r="TFW1" t="s">
        <v>13698</v>
      </c>
      <c r="TFX1" t="s">
        <v>13699</v>
      </c>
      <c r="TFY1" t="s">
        <v>13700</v>
      </c>
      <c r="TFZ1" t="s">
        <v>13701</v>
      </c>
      <c r="TGA1" t="s">
        <v>13702</v>
      </c>
      <c r="TGB1" t="s">
        <v>13703</v>
      </c>
      <c r="TGC1" t="s">
        <v>13704</v>
      </c>
      <c r="TGD1" t="s">
        <v>13705</v>
      </c>
      <c r="TGE1" t="s">
        <v>13706</v>
      </c>
      <c r="TGF1" t="s">
        <v>13707</v>
      </c>
      <c r="TGG1" t="s">
        <v>13708</v>
      </c>
      <c r="TGH1" t="s">
        <v>13709</v>
      </c>
      <c r="TGI1" t="s">
        <v>13710</v>
      </c>
      <c r="TGJ1" t="s">
        <v>13711</v>
      </c>
      <c r="TGK1" t="s">
        <v>13712</v>
      </c>
      <c r="TGL1" t="s">
        <v>13713</v>
      </c>
      <c r="TGM1" t="s">
        <v>13714</v>
      </c>
      <c r="TGN1" t="s">
        <v>13715</v>
      </c>
      <c r="TGO1" t="s">
        <v>13716</v>
      </c>
      <c r="TGP1" t="s">
        <v>13717</v>
      </c>
      <c r="TGQ1" t="s">
        <v>13718</v>
      </c>
      <c r="TGR1" t="s">
        <v>13719</v>
      </c>
      <c r="TGS1" t="s">
        <v>13720</v>
      </c>
      <c r="TGT1" t="s">
        <v>13721</v>
      </c>
      <c r="TGU1" t="s">
        <v>13722</v>
      </c>
      <c r="TGV1" t="s">
        <v>13723</v>
      </c>
      <c r="TGW1" t="s">
        <v>13724</v>
      </c>
      <c r="TGX1" t="s">
        <v>13725</v>
      </c>
      <c r="TGY1" t="s">
        <v>13726</v>
      </c>
      <c r="TGZ1" t="s">
        <v>13727</v>
      </c>
      <c r="THA1" t="s">
        <v>13728</v>
      </c>
      <c r="THB1" t="s">
        <v>13729</v>
      </c>
      <c r="THC1" t="s">
        <v>13730</v>
      </c>
      <c r="THD1" t="s">
        <v>13731</v>
      </c>
      <c r="THE1" t="s">
        <v>13732</v>
      </c>
      <c r="THF1" t="s">
        <v>13733</v>
      </c>
      <c r="THG1" t="s">
        <v>13734</v>
      </c>
      <c r="THH1" t="s">
        <v>13735</v>
      </c>
      <c r="THI1" t="s">
        <v>13736</v>
      </c>
      <c r="THJ1" t="s">
        <v>13737</v>
      </c>
      <c r="THK1" t="s">
        <v>13738</v>
      </c>
      <c r="THL1" t="s">
        <v>13739</v>
      </c>
      <c r="THM1" t="s">
        <v>13740</v>
      </c>
      <c r="THN1" t="s">
        <v>13741</v>
      </c>
      <c r="THO1" t="s">
        <v>13742</v>
      </c>
      <c r="THP1" t="s">
        <v>13743</v>
      </c>
      <c r="THQ1" t="s">
        <v>13744</v>
      </c>
      <c r="THR1" t="s">
        <v>13745</v>
      </c>
      <c r="THS1" t="s">
        <v>13746</v>
      </c>
      <c r="THT1" t="s">
        <v>13747</v>
      </c>
      <c r="THU1" t="s">
        <v>13748</v>
      </c>
      <c r="THV1" t="s">
        <v>13749</v>
      </c>
      <c r="THW1" t="s">
        <v>13750</v>
      </c>
      <c r="THX1" t="s">
        <v>13751</v>
      </c>
      <c r="THY1" t="s">
        <v>13752</v>
      </c>
      <c r="THZ1" t="s">
        <v>13753</v>
      </c>
      <c r="TIA1" t="s">
        <v>13754</v>
      </c>
      <c r="TIB1" t="s">
        <v>13755</v>
      </c>
      <c r="TIC1" t="s">
        <v>13756</v>
      </c>
      <c r="TID1" t="s">
        <v>13757</v>
      </c>
      <c r="TIE1" t="s">
        <v>13758</v>
      </c>
      <c r="TIF1" t="s">
        <v>13759</v>
      </c>
      <c r="TIG1" t="s">
        <v>13760</v>
      </c>
      <c r="TIH1" t="s">
        <v>13761</v>
      </c>
      <c r="TII1" t="s">
        <v>13762</v>
      </c>
      <c r="TIJ1" t="s">
        <v>13763</v>
      </c>
      <c r="TIK1" t="s">
        <v>13764</v>
      </c>
      <c r="TIL1" t="s">
        <v>13765</v>
      </c>
      <c r="TIM1" t="s">
        <v>13766</v>
      </c>
      <c r="TIN1" t="s">
        <v>13767</v>
      </c>
      <c r="TIO1" t="s">
        <v>13768</v>
      </c>
      <c r="TIP1" t="s">
        <v>13769</v>
      </c>
      <c r="TIQ1" t="s">
        <v>13770</v>
      </c>
      <c r="TIR1" t="s">
        <v>13771</v>
      </c>
      <c r="TIS1" t="s">
        <v>13772</v>
      </c>
      <c r="TIT1" t="s">
        <v>13773</v>
      </c>
      <c r="TIU1" t="s">
        <v>13774</v>
      </c>
      <c r="TIV1" t="s">
        <v>13775</v>
      </c>
      <c r="TIW1" t="s">
        <v>13776</v>
      </c>
      <c r="TIX1" t="s">
        <v>13777</v>
      </c>
      <c r="TIY1" t="s">
        <v>13778</v>
      </c>
      <c r="TIZ1" t="s">
        <v>13779</v>
      </c>
      <c r="TJA1" t="s">
        <v>13780</v>
      </c>
      <c r="TJB1" t="s">
        <v>13781</v>
      </c>
      <c r="TJC1" t="s">
        <v>13782</v>
      </c>
      <c r="TJD1" t="s">
        <v>13783</v>
      </c>
      <c r="TJE1" t="s">
        <v>13784</v>
      </c>
      <c r="TJF1" t="s">
        <v>13785</v>
      </c>
      <c r="TJG1" t="s">
        <v>13786</v>
      </c>
      <c r="TJH1" t="s">
        <v>13787</v>
      </c>
      <c r="TJI1" t="s">
        <v>13788</v>
      </c>
      <c r="TJJ1" t="s">
        <v>13789</v>
      </c>
      <c r="TJK1" t="s">
        <v>13790</v>
      </c>
      <c r="TJL1" t="s">
        <v>13791</v>
      </c>
      <c r="TJM1" t="s">
        <v>13792</v>
      </c>
      <c r="TJN1" t="s">
        <v>13793</v>
      </c>
      <c r="TJO1" t="s">
        <v>13794</v>
      </c>
      <c r="TJP1" t="s">
        <v>13795</v>
      </c>
      <c r="TJQ1" t="s">
        <v>13796</v>
      </c>
      <c r="TJR1" t="s">
        <v>13797</v>
      </c>
      <c r="TJS1" t="s">
        <v>13798</v>
      </c>
      <c r="TJT1" t="s">
        <v>13799</v>
      </c>
      <c r="TJU1" t="s">
        <v>13800</v>
      </c>
      <c r="TJV1" t="s">
        <v>13801</v>
      </c>
      <c r="TJW1" t="s">
        <v>13802</v>
      </c>
      <c r="TJX1" t="s">
        <v>13803</v>
      </c>
      <c r="TJY1" t="s">
        <v>13804</v>
      </c>
      <c r="TJZ1" t="s">
        <v>13805</v>
      </c>
      <c r="TKA1" t="s">
        <v>13806</v>
      </c>
      <c r="TKB1" t="s">
        <v>13807</v>
      </c>
      <c r="TKC1" t="s">
        <v>13808</v>
      </c>
      <c r="TKD1" t="s">
        <v>13809</v>
      </c>
      <c r="TKE1" t="s">
        <v>13810</v>
      </c>
      <c r="TKF1" t="s">
        <v>13811</v>
      </c>
      <c r="TKG1" t="s">
        <v>13812</v>
      </c>
      <c r="TKH1" t="s">
        <v>13813</v>
      </c>
      <c r="TKI1" t="s">
        <v>13814</v>
      </c>
      <c r="TKJ1" t="s">
        <v>13815</v>
      </c>
      <c r="TKK1" t="s">
        <v>13816</v>
      </c>
      <c r="TKL1" t="s">
        <v>13817</v>
      </c>
      <c r="TKM1" t="s">
        <v>13818</v>
      </c>
      <c r="TKN1" t="s">
        <v>13819</v>
      </c>
      <c r="TKO1" t="s">
        <v>13820</v>
      </c>
      <c r="TKP1" t="s">
        <v>13821</v>
      </c>
      <c r="TKQ1" t="s">
        <v>13822</v>
      </c>
      <c r="TKR1" t="s">
        <v>13823</v>
      </c>
      <c r="TKS1" t="s">
        <v>13824</v>
      </c>
      <c r="TKT1" t="s">
        <v>13825</v>
      </c>
      <c r="TKU1" t="s">
        <v>13826</v>
      </c>
      <c r="TKV1" t="s">
        <v>13827</v>
      </c>
      <c r="TKW1" t="s">
        <v>13828</v>
      </c>
      <c r="TKX1" t="s">
        <v>13829</v>
      </c>
      <c r="TKY1" t="s">
        <v>13830</v>
      </c>
      <c r="TKZ1" t="s">
        <v>13831</v>
      </c>
      <c r="TLA1" t="s">
        <v>13832</v>
      </c>
      <c r="TLB1" t="s">
        <v>13833</v>
      </c>
      <c r="TLC1" t="s">
        <v>13834</v>
      </c>
      <c r="TLD1" t="s">
        <v>13835</v>
      </c>
      <c r="TLE1" t="s">
        <v>13836</v>
      </c>
      <c r="TLF1" t="s">
        <v>13837</v>
      </c>
      <c r="TLG1" t="s">
        <v>13838</v>
      </c>
      <c r="TLH1" t="s">
        <v>13839</v>
      </c>
      <c r="TLI1" t="s">
        <v>13840</v>
      </c>
      <c r="TLJ1" t="s">
        <v>13841</v>
      </c>
      <c r="TLK1" t="s">
        <v>13842</v>
      </c>
      <c r="TLL1" t="s">
        <v>13843</v>
      </c>
      <c r="TLM1" t="s">
        <v>13844</v>
      </c>
      <c r="TLN1" t="s">
        <v>13845</v>
      </c>
      <c r="TLO1" t="s">
        <v>13846</v>
      </c>
      <c r="TLP1" t="s">
        <v>13847</v>
      </c>
      <c r="TLQ1" t="s">
        <v>13848</v>
      </c>
      <c r="TLR1" t="s">
        <v>13849</v>
      </c>
      <c r="TLS1" t="s">
        <v>13850</v>
      </c>
      <c r="TLT1" t="s">
        <v>13851</v>
      </c>
      <c r="TLU1" t="s">
        <v>13852</v>
      </c>
      <c r="TLV1" t="s">
        <v>13853</v>
      </c>
      <c r="TLW1" t="s">
        <v>13854</v>
      </c>
      <c r="TLX1" t="s">
        <v>13855</v>
      </c>
      <c r="TLY1" t="s">
        <v>13856</v>
      </c>
      <c r="TLZ1" t="s">
        <v>13857</v>
      </c>
      <c r="TMA1" t="s">
        <v>13858</v>
      </c>
      <c r="TMB1" t="s">
        <v>13859</v>
      </c>
      <c r="TMC1" t="s">
        <v>13860</v>
      </c>
      <c r="TMD1" t="s">
        <v>13861</v>
      </c>
      <c r="TME1" t="s">
        <v>13862</v>
      </c>
      <c r="TMF1" t="s">
        <v>13863</v>
      </c>
      <c r="TMG1" t="s">
        <v>13864</v>
      </c>
      <c r="TMH1" t="s">
        <v>13865</v>
      </c>
      <c r="TMI1" t="s">
        <v>13866</v>
      </c>
      <c r="TMJ1" t="s">
        <v>13867</v>
      </c>
      <c r="TMK1" t="s">
        <v>13868</v>
      </c>
      <c r="TML1" t="s">
        <v>13869</v>
      </c>
      <c r="TMM1" t="s">
        <v>13870</v>
      </c>
      <c r="TMN1" t="s">
        <v>13871</v>
      </c>
      <c r="TMO1" t="s">
        <v>13872</v>
      </c>
      <c r="TMP1" t="s">
        <v>13873</v>
      </c>
      <c r="TMQ1" t="s">
        <v>13874</v>
      </c>
      <c r="TMR1" t="s">
        <v>13875</v>
      </c>
      <c r="TMS1" t="s">
        <v>13876</v>
      </c>
      <c r="TMT1" t="s">
        <v>13877</v>
      </c>
      <c r="TMU1" t="s">
        <v>13878</v>
      </c>
      <c r="TMV1" t="s">
        <v>13879</v>
      </c>
      <c r="TMW1" t="s">
        <v>13880</v>
      </c>
      <c r="TMX1" t="s">
        <v>13881</v>
      </c>
      <c r="TMY1" t="s">
        <v>13882</v>
      </c>
      <c r="TMZ1" t="s">
        <v>13883</v>
      </c>
      <c r="TNA1" t="s">
        <v>13884</v>
      </c>
      <c r="TNB1" t="s">
        <v>13885</v>
      </c>
      <c r="TNC1" t="s">
        <v>13886</v>
      </c>
      <c r="TND1" t="s">
        <v>13887</v>
      </c>
      <c r="TNE1" t="s">
        <v>13888</v>
      </c>
      <c r="TNF1" t="s">
        <v>13889</v>
      </c>
      <c r="TNG1" t="s">
        <v>13890</v>
      </c>
      <c r="TNH1" t="s">
        <v>13891</v>
      </c>
      <c r="TNI1" t="s">
        <v>13892</v>
      </c>
      <c r="TNJ1" t="s">
        <v>13893</v>
      </c>
      <c r="TNK1" t="s">
        <v>13894</v>
      </c>
      <c r="TNL1" t="s">
        <v>13895</v>
      </c>
      <c r="TNM1" t="s">
        <v>13896</v>
      </c>
      <c r="TNN1" t="s">
        <v>13897</v>
      </c>
      <c r="TNO1" t="s">
        <v>13898</v>
      </c>
      <c r="TNP1" t="s">
        <v>13899</v>
      </c>
      <c r="TNQ1" t="s">
        <v>13900</v>
      </c>
      <c r="TNR1" t="s">
        <v>13901</v>
      </c>
      <c r="TNS1" t="s">
        <v>13902</v>
      </c>
      <c r="TNT1" t="s">
        <v>13903</v>
      </c>
      <c r="TNU1" t="s">
        <v>13904</v>
      </c>
      <c r="TNV1" t="s">
        <v>13905</v>
      </c>
      <c r="TNW1" t="s">
        <v>13906</v>
      </c>
      <c r="TNX1" t="s">
        <v>13907</v>
      </c>
      <c r="TNY1" t="s">
        <v>13908</v>
      </c>
      <c r="TNZ1" t="s">
        <v>13909</v>
      </c>
      <c r="TOA1" t="s">
        <v>13910</v>
      </c>
      <c r="TOB1" t="s">
        <v>13911</v>
      </c>
      <c r="TOC1" t="s">
        <v>13912</v>
      </c>
      <c r="TOD1" t="s">
        <v>13913</v>
      </c>
      <c r="TOE1" t="s">
        <v>13914</v>
      </c>
      <c r="TOF1" t="s">
        <v>13915</v>
      </c>
      <c r="TOG1" t="s">
        <v>13916</v>
      </c>
      <c r="TOH1" t="s">
        <v>13917</v>
      </c>
      <c r="TOI1" t="s">
        <v>13918</v>
      </c>
      <c r="TOJ1" t="s">
        <v>13919</v>
      </c>
      <c r="TOK1" t="s">
        <v>13920</v>
      </c>
      <c r="TOL1" t="s">
        <v>13921</v>
      </c>
      <c r="TOM1" t="s">
        <v>13922</v>
      </c>
      <c r="TON1" t="s">
        <v>13923</v>
      </c>
      <c r="TOO1" t="s">
        <v>13924</v>
      </c>
      <c r="TOP1" t="s">
        <v>13925</v>
      </c>
      <c r="TOQ1" t="s">
        <v>13926</v>
      </c>
      <c r="TOR1" t="s">
        <v>13927</v>
      </c>
      <c r="TOS1" t="s">
        <v>13928</v>
      </c>
      <c r="TOT1" t="s">
        <v>13929</v>
      </c>
      <c r="TOU1" t="s">
        <v>13930</v>
      </c>
      <c r="TOV1" t="s">
        <v>13931</v>
      </c>
      <c r="TOW1" t="s">
        <v>13932</v>
      </c>
      <c r="TOX1" t="s">
        <v>13933</v>
      </c>
      <c r="TOY1" t="s">
        <v>13934</v>
      </c>
      <c r="TOZ1" t="s">
        <v>13935</v>
      </c>
      <c r="TPA1" t="s">
        <v>13936</v>
      </c>
      <c r="TPB1" t="s">
        <v>13937</v>
      </c>
      <c r="TPC1" t="s">
        <v>13938</v>
      </c>
      <c r="TPD1" t="s">
        <v>13939</v>
      </c>
      <c r="TPE1" t="s">
        <v>13940</v>
      </c>
      <c r="TPF1" t="s">
        <v>13941</v>
      </c>
      <c r="TPG1" t="s">
        <v>13942</v>
      </c>
      <c r="TPH1" t="s">
        <v>13943</v>
      </c>
      <c r="TPI1" t="s">
        <v>13944</v>
      </c>
      <c r="TPJ1" t="s">
        <v>13945</v>
      </c>
      <c r="TPK1" t="s">
        <v>13946</v>
      </c>
      <c r="TPL1" t="s">
        <v>13947</v>
      </c>
      <c r="TPM1" t="s">
        <v>13948</v>
      </c>
      <c r="TPN1" t="s">
        <v>13949</v>
      </c>
      <c r="TPO1" t="s">
        <v>13950</v>
      </c>
      <c r="TPP1" t="s">
        <v>13951</v>
      </c>
      <c r="TPQ1" t="s">
        <v>13952</v>
      </c>
      <c r="TPR1" t="s">
        <v>13953</v>
      </c>
      <c r="TPS1" t="s">
        <v>13954</v>
      </c>
      <c r="TPT1" t="s">
        <v>13955</v>
      </c>
      <c r="TPU1" t="s">
        <v>13956</v>
      </c>
      <c r="TPV1" t="s">
        <v>13957</v>
      </c>
      <c r="TPW1" t="s">
        <v>13958</v>
      </c>
      <c r="TPX1" t="s">
        <v>13959</v>
      </c>
      <c r="TPY1" t="s">
        <v>13960</v>
      </c>
      <c r="TPZ1" t="s">
        <v>13961</v>
      </c>
      <c r="TQA1" t="s">
        <v>13962</v>
      </c>
      <c r="TQB1" t="s">
        <v>13963</v>
      </c>
      <c r="TQC1" t="s">
        <v>13964</v>
      </c>
      <c r="TQD1" t="s">
        <v>13965</v>
      </c>
      <c r="TQE1" t="s">
        <v>13966</v>
      </c>
      <c r="TQF1" t="s">
        <v>13967</v>
      </c>
      <c r="TQG1" t="s">
        <v>13968</v>
      </c>
      <c r="TQH1" t="s">
        <v>13969</v>
      </c>
      <c r="TQI1" t="s">
        <v>13970</v>
      </c>
      <c r="TQJ1" t="s">
        <v>13971</v>
      </c>
      <c r="TQK1" t="s">
        <v>13972</v>
      </c>
      <c r="TQL1" t="s">
        <v>13973</v>
      </c>
      <c r="TQM1" t="s">
        <v>13974</v>
      </c>
      <c r="TQN1" t="s">
        <v>13975</v>
      </c>
      <c r="TQO1" t="s">
        <v>13976</v>
      </c>
      <c r="TQP1" t="s">
        <v>13977</v>
      </c>
      <c r="TQQ1" t="s">
        <v>13978</v>
      </c>
      <c r="TQR1" t="s">
        <v>13979</v>
      </c>
      <c r="TQS1" t="s">
        <v>13980</v>
      </c>
      <c r="TQT1" t="s">
        <v>13981</v>
      </c>
      <c r="TQU1" t="s">
        <v>13982</v>
      </c>
      <c r="TQV1" t="s">
        <v>13983</v>
      </c>
      <c r="TQW1" t="s">
        <v>13984</v>
      </c>
      <c r="TQX1" t="s">
        <v>13985</v>
      </c>
      <c r="TQY1" t="s">
        <v>13986</v>
      </c>
      <c r="TQZ1" t="s">
        <v>13987</v>
      </c>
      <c r="TRA1" t="s">
        <v>13988</v>
      </c>
      <c r="TRB1" t="s">
        <v>13989</v>
      </c>
      <c r="TRC1" t="s">
        <v>13990</v>
      </c>
      <c r="TRD1" t="s">
        <v>13991</v>
      </c>
      <c r="TRE1" t="s">
        <v>13992</v>
      </c>
      <c r="TRF1" t="s">
        <v>13993</v>
      </c>
      <c r="TRG1" t="s">
        <v>13994</v>
      </c>
      <c r="TRH1" t="s">
        <v>13995</v>
      </c>
      <c r="TRI1" t="s">
        <v>13996</v>
      </c>
      <c r="TRJ1" t="s">
        <v>13997</v>
      </c>
      <c r="TRK1" t="s">
        <v>13998</v>
      </c>
      <c r="TRL1" t="s">
        <v>13999</v>
      </c>
      <c r="TRM1" t="s">
        <v>14000</v>
      </c>
      <c r="TRN1" t="s">
        <v>14001</v>
      </c>
      <c r="TRO1" t="s">
        <v>14002</v>
      </c>
      <c r="TRP1" t="s">
        <v>14003</v>
      </c>
      <c r="TRQ1" t="s">
        <v>14004</v>
      </c>
      <c r="TRR1" t="s">
        <v>14005</v>
      </c>
      <c r="TRS1" t="s">
        <v>14006</v>
      </c>
      <c r="TRT1" t="s">
        <v>14007</v>
      </c>
      <c r="TRU1" t="s">
        <v>14008</v>
      </c>
      <c r="TRV1" t="s">
        <v>14009</v>
      </c>
      <c r="TRW1" t="s">
        <v>14010</v>
      </c>
      <c r="TRX1" t="s">
        <v>14011</v>
      </c>
      <c r="TRY1" t="s">
        <v>14012</v>
      </c>
      <c r="TRZ1" t="s">
        <v>14013</v>
      </c>
      <c r="TSA1" t="s">
        <v>14014</v>
      </c>
      <c r="TSB1" t="s">
        <v>14015</v>
      </c>
      <c r="TSC1" t="s">
        <v>14016</v>
      </c>
      <c r="TSD1" t="s">
        <v>14017</v>
      </c>
      <c r="TSE1" t="s">
        <v>14018</v>
      </c>
      <c r="TSF1" t="s">
        <v>14019</v>
      </c>
      <c r="TSG1" t="s">
        <v>14020</v>
      </c>
      <c r="TSH1" t="s">
        <v>14021</v>
      </c>
      <c r="TSI1" t="s">
        <v>14022</v>
      </c>
      <c r="TSJ1" t="s">
        <v>14023</v>
      </c>
      <c r="TSK1" t="s">
        <v>14024</v>
      </c>
      <c r="TSL1" t="s">
        <v>14025</v>
      </c>
      <c r="TSM1" t="s">
        <v>14026</v>
      </c>
      <c r="TSN1" t="s">
        <v>14027</v>
      </c>
      <c r="TSO1" t="s">
        <v>14028</v>
      </c>
      <c r="TSP1" t="s">
        <v>14029</v>
      </c>
      <c r="TSQ1" t="s">
        <v>14030</v>
      </c>
      <c r="TSR1" t="s">
        <v>14031</v>
      </c>
      <c r="TSS1" t="s">
        <v>14032</v>
      </c>
      <c r="TST1" t="s">
        <v>14033</v>
      </c>
      <c r="TSU1" t="s">
        <v>14034</v>
      </c>
      <c r="TSV1" t="s">
        <v>14035</v>
      </c>
      <c r="TSW1" t="s">
        <v>14036</v>
      </c>
      <c r="TSX1" t="s">
        <v>14037</v>
      </c>
      <c r="TSY1" t="s">
        <v>14038</v>
      </c>
      <c r="TSZ1" t="s">
        <v>14039</v>
      </c>
      <c r="TTA1" t="s">
        <v>14040</v>
      </c>
      <c r="TTB1" t="s">
        <v>14041</v>
      </c>
      <c r="TTC1" t="s">
        <v>14042</v>
      </c>
      <c r="TTD1" t="s">
        <v>14043</v>
      </c>
      <c r="TTE1" t="s">
        <v>14044</v>
      </c>
      <c r="TTF1" t="s">
        <v>14045</v>
      </c>
      <c r="TTG1" t="s">
        <v>14046</v>
      </c>
      <c r="TTH1" t="s">
        <v>14047</v>
      </c>
      <c r="TTI1" t="s">
        <v>14048</v>
      </c>
      <c r="TTJ1" t="s">
        <v>14049</v>
      </c>
      <c r="TTK1" t="s">
        <v>14050</v>
      </c>
      <c r="TTL1" t="s">
        <v>14051</v>
      </c>
      <c r="TTM1" t="s">
        <v>14052</v>
      </c>
      <c r="TTN1" t="s">
        <v>14053</v>
      </c>
      <c r="TTO1" t="s">
        <v>14054</v>
      </c>
      <c r="TTP1" t="s">
        <v>14055</v>
      </c>
      <c r="TTQ1" t="s">
        <v>14056</v>
      </c>
      <c r="TTR1" t="s">
        <v>14057</v>
      </c>
      <c r="TTS1" t="s">
        <v>14058</v>
      </c>
      <c r="TTT1" t="s">
        <v>14059</v>
      </c>
      <c r="TTU1" t="s">
        <v>14060</v>
      </c>
      <c r="TTV1" t="s">
        <v>14061</v>
      </c>
      <c r="TTW1" t="s">
        <v>14062</v>
      </c>
      <c r="TTX1" t="s">
        <v>14063</v>
      </c>
      <c r="TTY1" t="s">
        <v>14064</v>
      </c>
      <c r="TTZ1" t="s">
        <v>14065</v>
      </c>
      <c r="TUA1" t="s">
        <v>14066</v>
      </c>
      <c r="TUB1" t="s">
        <v>14067</v>
      </c>
      <c r="TUC1" t="s">
        <v>14068</v>
      </c>
      <c r="TUD1" t="s">
        <v>14069</v>
      </c>
      <c r="TUE1" t="s">
        <v>14070</v>
      </c>
      <c r="TUF1" t="s">
        <v>14071</v>
      </c>
      <c r="TUG1" t="s">
        <v>14072</v>
      </c>
      <c r="TUH1" t="s">
        <v>14073</v>
      </c>
      <c r="TUI1" t="s">
        <v>14074</v>
      </c>
      <c r="TUJ1" t="s">
        <v>14075</v>
      </c>
      <c r="TUK1" t="s">
        <v>14076</v>
      </c>
      <c r="TUL1" t="s">
        <v>14077</v>
      </c>
      <c r="TUM1" t="s">
        <v>14078</v>
      </c>
      <c r="TUN1" t="s">
        <v>14079</v>
      </c>
      <c r="TUO1" t="s">
        <v>14080</v>
      </c>
      <c r="TUP1" t="s">
        <v>14081</v>
      </c>
      <c r="TUQ1" t="s">
        <v>14082</v>
      </c>
      <c r="TUR1" t="s">
        <v>14083</v>
      </c>
      <c r="TUS1" t="s">
        <v>14084</v>
      </c>
      <c r="TUT1" t="s">
        <v>14085</v>
      </c>
      <c r="TUU1" t="s">
        <v>14086</v>
      </c>
      <c r="TUV1" t="s">
        <v>14087</v>
      </c>
      <c r="TUW1" t="s">
        <v>14088</v>
      </c>
      <c r="TUX1" t="s">
        <v>14089</v>
      </c>
      <c r="TUY1" t="s">
        <v>14090</v>
      </c>
      <c r="TUZ1" t="s">
        <v>14091</v>
      </c>
      <c r="TVA1" t="s">
        <v>14092</v>
      </c>
      <c r="TVB1" t="s">
        <v>14093</v>
      </c>
      <c r="TVC1" t="s">
        <v>14094</v>
      </c>
      <c r="TVD1" t="s">
        <v>14095</v>
      </c>
      <c r="TVE1" t="s">
        <v>14096</v>
      </c>
      <c r="TVF1" t="s">
        <v>14097</v>
      </c>
      <c r="TVG1" t="s">
        <v>14098</v>
      </c>
      <c r="TVH1" t="s">
        <v>14099</v>
      </c>
      <c r="TVI1" t="s">
        <v>14100</v>
      </c>
      <c r="TVJ1" t="s">
        <v>14101</v>
      </c>
      <c r="TVK1" t="s">
        <v>14102</v>
      </c>
      <c r="TVL1" t="s">
        <v>14103</v>
      </c>
      <c r="TVM1" t="s">
        <v>14104</v>
      </c>
      <c r="TVN1" t="s">
        <v>14105</v>
      </c>
      <c r="TVO1" t="s">
        <v>14106</v>
      </c>
      <c r="TVP1" t="s">
        <v>14107</v>
      </c>
      <c r="TVQ1" t="s">
        <v>14108</v>
      </c>
      <c r="TVR1" t="s">
        <v>14109</v>
      </c>
      <c r="TVS1" t="s">
        <v>14110</v>
      </c>
      <c r="TVT1" t="s">
        <v>14111</v>
      </c>
      <c r="TVU1" t="s">
        <v>14112</v>
      </c>
      <c r="TVV1" t="s">
        <v>14113</v>
      </c>
      <c r="TVW1" t="s">
        <v>14114</v>
      </c>
      <c r="TVX1" t="s">
        <v>14115</v>
      </c>
      <c r="TVY1" t="s">
        <v>14116</v>
      </c>
      <c r="TVZ1" t="s">
        <v>14117</v>
      </c>
      <c r="TWA1" t="s">
        <v>14118</v>
      </c>
      <c r="TWB1" t="s">
        <v>14119</v>
      </c>
      <c r="TWC1" t="s">
        <v>14120</v>
      </c>
      <c r="TWD1" t="s">
        <v>14121</v>
      </c>
      <c r="TWE1" t="s">
        <v>14122</v>
      </c>
      <c r="TWF1" t="s">
        <v>14123</v>
      </c>
      <c r="TWG1" t="s">
        <v>14124</v>
      </c>
      <c r="TWH1" t="s">
        <v>14125</v>
      </c>
      <c r="TWI1" t="s">
        <v>14126</v>
      </c>
      <c r="TWJ1" t="s">
        <v>14127</v>
      </c>
      <c r="TWK1" t="s">
        <v>14128</v>
      </c>
      <c r="TWL1" t="s">
        <v>14129</v>
      </c>
      <c r="TWM1" t="s">
        <v>14130</v>
      </c>
      <c r="TWN1" t="s">
        <v>14131</v>
      </c>
      <c r="TWO1" t="s">
        <v>14132</v>
      </c>
      <c r="TWP1" t="s">
        <v>14133</v>
      </c>
      <c r="TWQ1" t="s">
        <v>14134</v>
      </c>
      <c r="TWR1" t="s">
        <v>14135</v>
      </c>
      <c r="TWS1" t="s">
        <v>14136</v>
      </c>
      <c r="TWT1" t="s">
        <v>14137</v>
      </c>
      <c r="TWU1" t="s">
        <v>14138</v>
      </c>
      <c r="TWV1" t="s">
        <v>14139</v>
      </c>
      <c r="TWW1" t="s">
        <v>14140</v>
      </c>
      <c r="TWX1" t="s">
        <v>14141</v>
      </c>
      <c r="TWY1" t="s">
        <v>14142</v>
      </c>
      <c r="TWZ1" t="s">
        <v>14143</v>
      </c>
      <c r="TXA1" t="s">
        <v>14144</v>
      </c>
      <c r="TXB1" t="s">
        <v>14145</v>
      </c>
      <c r="TXC1" t="s">
        <v>14146</v>
      </c>
      <c r="TXD1" t="s">
        <v>14147</v>
      </c>
      <c r="TXE1" t="s">
        <v>14148</v>
      </c>
      <c r="TXF1" t="s">
        <v>14149</v>
      </c>
      <c r="TXG1" t="s">
        <v>14150</v>
      </c>
      <c r="TXH1" t="s">
        <v>14151</v>
      </c>
      <c r="TXI1" t="s">
        <v>14152</v>
      </c>
      <c r="TXJ1" t="s">
        <v>14153</v>
      </c>
      <c r="TXK1" t="s">
        <v>14154</v>
      </c>
      <c r="TXL1" t="s">
        <v>14155</v>
      </c>
      <c r="TXM1" t="s">
        <v>14156</v>
      </c>
      <c r="TXN1" t="s">
        <v>14157</v>
      </c>
      <c r="TXO1" t="s">
        <v>14158</v>
      </c>
      <c r="TXP1" t="s">
        <v>14159</v>
      </c>
      <c r="TXQ1" t="s">
        <v>14160</v>
      </c>
      <c r="TXR1" t="s">
        <v>14161</v>
      </c>
      <c r="TXS1" t="s">
        <v>14162</v>
      </c>
      <c r="TXT1" t="s">
        <v>14163</v>
      </c>
      <c r="TXU1" t="s">
        <v>14164</v>
      </c>
      <c r="TXV1" t="s">
        <v>14165</v>
      </c>
      <c r="TXW1" t="s">
        <v>14166</v>
      </c>
      <c r="TXX1" t="s">
        <v>14167</v>
      </c>
      <c r="TXY1" t="s">
        <v>14168</v>
      </c>
      <c r="TXZ1" t="s">
        <v>14169</v>
      </c>
      <c r="TYA1" t="s">
        <v>14170</v>
      </c>
      <c r="TYB1" t="s">
        <v>14171</v>
      </c>
      <c r="TYC1" t="s">
        <v>14172</v>
      </c>
      <c r="TYD1" t="s">
        <v>14173</v>
      </c>
      <c r="TYE1" t="s">
        <v>14174</v>
      </c>
      <c r="TYF1" t="s">
        <v>14175</v>
      </c>
      <c r="TYG1" t="s">
        <v>14176</v>
      </c>
      <c r="TYH1" t="s">
        <v>14177</v>
      </c>
      <c r="TYI1" t="s">
        <v>14178</v>
      </c>
      <c r="TYJ1" t="s">
        <v>14179</v>
      </c>
      <c r="TYK1" t="s">
        <v>14180</v>
      </c>
      <c r="TYL1" t="s">
        <v>14181</v>
      </c>
      <c r="TYM1" t="s">
        <v>14182</v>
      </c>
      <c r="TYN1" t="s">
        <v>14183</v>
      </c>
      <c r="TYO1" t="s">
        <v>14184</v>
      </c>
      <c r="TYP1" t="s">
        <v>14185</v>
      </c>
      <c r="TYQ1" t="s">
        <v>14186</v>
      </c>
      <c r="TYR1" t="s">
        <v>14187</v>
      </c>
      <c r="TYS1" t="s">
        <v>14188</v>
      </c>
      <c r="TYT1" t="s">
        <v>14189</v>
      </c>
      <c r="TYU1" t="s">
        <v>14190</v>
      </c>
      <c r="TYV1" t="s">
        <v>14191</v>
      </c>
      <c r="TYW1" t="s">
        <v>14192</v>
      </c>
      <c r="TYX1" t="s">
        <v>14193</v>
      </c>
      <c r="TYY1" t="s">
        <v>14194</v>
      </c>
      <c r="TYZ1" t="s">
        <v>14195</v>
      </c>
      <c r="TZA1" t="s">
        <v>14196</v>
      </c>
      <c r="TZB1" t="s">
        <v>14197</v>
      </c>
      <c r="TZC1" t="s">
        <v>14198</v>
      </c>
      <c r="TZD1" t="s">
        <v>14199</v>
      </c>
      <c r="TZE1" t="s">
        <v>14200</v>
      </c>
      <c r="TZF1" t="s">
        <v>14201</v>
      </c>
      <c r="TZG1" t="s">
        <v>14202</v>
      </c>
      <c r="TZH1" t="s">
        <v>14203</v>
      </c>
      <c r="TZI1" t="s">
        <v>14204</v>
      </c>
      <c r="TZJ1" t="s">
        <v>14205</v>
      </c>
      <c r="TZK1" t="s">
        <v>14206</v>
      </c>
      <c r="TZL1" t="s">
        <v>14207</v>
      </c>
      <c r="TZM1" t="s">
        <v>14208</v>
      </c>
      <c r="TZN1" t="s">
        <v>14209</v>
      </c>
      <c r="TZO1" t="s">
        <v>14210</v>
      </c>
      <c r="TZP1" t="s">
        <v>14211</v>
      </c>
      <c r="TZQ1" t="s">
        <v>14212</v>
      </c>
      <c r="TZR1" t="s">
        <v>14213</v>
      </c>
      <c r="TZS1" t="s">
        <v>14214</v>
      </c>
      <c r="TZT1" t="s">
        <v>14215</v>
      </c>
      <c r="TZU1" t="s">
        <v>14216</v>
      </c>
      <c r="TZV1" t="s">
        <v>14217</v>
      </c>
      <c r="TZW1" t="s">
        <v>14218</v>
      </c>
      <c r="TZX1" t="s">
        <v>14219</v>
      </c>
      <c r="TZY1" t="s">
        <v>14220</v>
      </c>
      <c r="TZZ1" t="s">
        <v>14221</v>
      </c>
      <c r="UAA1" t="s">
        <v>14222</v>
      </c>
      <c r="UAB1" t="s">
        <v>14223</v>
      </c>
      <c r="UAC1" t="s">
        <v>14224</v>
      </c>
      <c r="UAD1" t="s">
        <v>14225</v>
      </c>
      <c r="UAE1" t="s">
        <v>14226</v>
      </c>
      <c r="UAF1" t="s">
        <v>14227</v>
      </c>
      <c r="UAG1" t="s">
        <v>14228</v>
      </c>
      <c r="UAH1" t="s">
        <v>14229</v>
      </c>
      <c r="UAI1" t="s">
        <v>14230</v>
      </c>
      <c r="UAJ1" t="s">
        <v>14231</v>
      </c>
      <c r="UAK1" t="s">
        <v>14232</v>
      </c>
      <c r="UAL1" t="s">
        <v>14233</v>
      </c>
      <c r="UAM1" t="s">
        <v>14234</v>
      </c>
      <c r="UAN1" t="s">
        <v>14235</v>
      </c>
      <c r="UAO1" t="s">
        <v>14236</v>
      </c>
      <c r="UAP1" t="s">
        <v>14237</v>
      </c>
      <c r="UAQ1" t="s">
        <v>14238</v>
      </c>
      <c r="UAR1" t="s">
        <v>14239</v>
      </c>
      <c r="UAS1" t="s">
        <v>14240</v>
      </c>
      <c r="UAT1" t="s">
        <v>14241</v>
      </c>
      <c r="UAU1" t="s">
        <v>14242</v>
      </c>
      <c r="UAV1" t="s">
        <v>14243</v>
      </c>
      <c r="UAW1" t="s">
        <v>14244</v>
      </c>
      <c r="UAX1" t="s">
        <v>14245</v>
      </c>
      <c r="UAY1" t="s">
        <v>14246</v>
      </c>
      <c r="UAZ1" t="s">
        <v>14247</v>
      </c>
      <c r="UBA1" t="s">
        <v>14248</v>
      </c>
      <c r="UBB1" t="s">
        <v>14249</v>
      </c>
      <c r="UBC1" t="s">
        <v>14250</v>
      </c>
      <c r="UBD1" t="s">
        <v>14251</v>
      </c>
      <c r="UBE1" t="s">
        <v>14252</v>
      </c>
      <c r="UBF1" t="s">
        <v>14253</v>
      </c>
      <c r="UBG1" t="s">
        <v>14254</v>
      </c>
      <c r="UBH1" t="s">
        <v>14255</v>
      </c>
      <c r="UBI1" t="s">
        <v>14256</v>
      </c>
      <c r="UBJ1" t="s">
        <v>14257</v>
      </c>
      <c r="UBK1" t="s">
        <v>14258</v>
      </c>
      <c r="UBL1" t="s">
        <v>14259</v>
      </c>
      <c r="UBM1" t="s">
        <v>14260</v>
      </c>
      <c r="UBN1" t="s">
        <v>14261</v>
      </c>
      <c r="UBO1" t="s">
        <v>14262</v>
      </c>
      <c r="UBP1" t="s">
        <v>14263</v>
      </c>
      <c r="UBQ1" t="s">
        <v>14264</v>
      </c>
      <c r="UBR1" t="s">
        <v>14265</v>
      </c>
      <c r="UBS1" t="s">
        <v>14266</v>
      </c>
      <c r="UBT1" t="s">
        <v>14267</v>
      </c>
      <c r="UBU1" t="s">
        <v>14268</v>
      </c>
      <c r="UBV1" t="s">
        <v>14269</v>
      </c>
      <c r="UBW1" t="s">
        <v>14270</v>
      </c>
      <c r="UBX1" t="s">
        <v>14271</v>
      </c>
      <c r="UBY1" t="s">
        <v>14272</v>
      </c>
      <c r="UBZ1" t="s">
        <v>14273</v>
      </c>
      <c r="UCA1" t="s">
        <v>14274</v>
      </c>
      <c r="UCB1" t="s">
        <v>14275</v>
      </c>
      <c r="UCC1" t="s">
        <v>14276</v>
      </c>
      <c r="UCD1" t="s">
        <v>14277</v>
      </c>
      <c r="UCE1" t="s">
        <v>14278</v>
      </c>
      <c r="UCF1" t="s">
        <v>14279</v>
      </c>
      <c r="UCG1" t="s">
        <v>14280</v>
      </c>
      <c r="UCH1" t="s">
        <v>14281</v>
      </c>
      <c r="UCI1" t="s">
        <v>14282</v>
      </c>
      <c r="UCJ1" t="s">
        <v>14283</v>
      </c>
      <c r="UCK1" t="s">
        <v>14284</v>
      </c>
      <c r="UCL1" t="s">
        <v>14285</v>
      </c>
      <c r="UCM1" t="s">
        <v>14286</v>
      </c>
      <c r="UCN1" t="s">
        <v>14287</v>
      </c>
      <c r="UCO1" t="s">
        <v>14288</v>
      </c>
      <c r="UCP1" t="s">
        <v>14289</v>
      </c>
      <c r="UCQ1" t="s">
        <v>14290</v>
      </c>
      <c r="UCR1" t="s">
        <v>14291</v>
      </c>
      <c r="UCS1" t="s">
        <v>14292</v>
      </c>
      <c r="UCT1" t="s">
        <v>14293</v>
      </c>
      <c r="UCU1" t="s">
        <v>14294</v>
      </c>
      <c r="UCV1" t="s">
        <v>14295</v>
      </c>
      <c r="UCW1" t="s">
        <v>14296</v>
      </c>
      <c r="UCX1" t="s">
        <v>14297</v>
      </c>
      <c r="UCY1" t="s">
        <v>14298</v>
      </c>
      <c r="UCZ1" t="s">
        <v>14299</v>
      </c>
      <c r="UDA1" t="s">
        <v>14300</v>
      </c>
      <c r="UDB1" t="s">
        <v>14301</v>
      </c>
      <c r="UDC1" t="s">
        <v>14302</v>
      </c>
      <c r="UDD1" t="s">
        <v>14303</v>
      </c>
      <c r="UDE1" t="s">
        <v>14304</v>
      </c>
      <c r="UDF1" t="s">
        <v>14305</v>
      </c>
      <c r="UDG1" t="s">
        <v>14306</v>
      </c>
      <c r="UDH1" t="s">
        <v>14307</v>
      </c>
      <c r="UDI1" t="s">
        <v>14308</v>
      </c>
      <c r="UDJ1" t="s">
        <v>14309</v>
      </c>
      <c r="UDK1" t="s">
        <v>14310</v>
      </c>
      <c r="UDL1" t="s">
        <v>14311</v>
      </c>
      <c r="UDM1" t="s">
        <v>14312</v>
      </c>
      <c r="UDN1" t="s">
        <v>14313</v>
      </c>
      <c r="UDO1" t="s">
        <v>14314</v>
      </c>
      <c r="UDP1" t="s">
        <v>14315</v>
      </c>
      <c r="UDQ1" t="s">
        <v>14316</v>
      </c>
      <c r="UDR1" t="s">
        <v>14317</v>
      </c>
      <c r="UDS1" t="s">
        <v>14318</v>
      </c>
      <c r="UDT1" t="s">
        <v>14319</v>
      </c>
      <c r="UDU1" t="s">
        <v>14320</v>
      </c>
      <c r="UDV1" t="s">
        <v>14321</v>
      </c>
      <c r="UDW1" t="s">
        <v>14322</v>
      </c>
      <c r="UDX1" t="s">
        <v>14323</v>
      </c>
      <c r="UDY1" t="s">
        <v>14324</v>
      </c>
      <c r="UDZ1" t="s">
        <v>14325</v>
      </c>
      <c r="UEA1" t="s">
        <v>14326</v>
      </c>
      <c r="UEB1" t="s">
        <v>14327</v>
      </c>
      <c r="UEC1" t="s">
        <v>14328</v>
      </c>
      <c r="UED1" t="s">
        <v>14329</v>
      </c>
      <c r="UEE1" t="s">
        <v>14330</v>
      </c>
      <c r="UEF1" t="s">
        <v>14331</v>
      </c>
      <c r="UEG1" t="s">
        <v>14332</v>
      </c>
      <c r="UEH1" t="s">
        <v>14333</v>
      </c>
      <c r="UEI1" t="s">
        <v>14334</v>
      </c>
      <c r="UEJ1" t="s">
        <v>14335</v>
      </c>
      <c r="UEK1" t="s">
        <v>14336</v>
      </c>
      <c r="UEL1" t="s">
        <v>14337</v>
      </c>
      <c r="UEM1" t="s">
        <v>14338</v>
      </c>
      <c r="UEN1" t="s">
        <v>14339</v>
      </c>
      <c r="UEO1" t="s">
        <v>14340</v>
      </c>
      <c r="UEP1" t="s">
        <v>14341</v>
      </c>
      <c r="UEQ1" t="s">
        <v>14342</v>
      </c>
      <c r="UER1" t="s">
        <v>14343</v>
      </c>
      <c r="UES1" t="s">
        <v>14344</v>
      </c>
      <c r="UET1" t="s">
        <v>14345</v>
      </c>
      <c r="UEU1" t="s">
        <v>14346</v>
      </c>
      <c r="UEV1" t="s">
        <v>14347</v>
      </c>
      <c r="UEW1" t="s">
        <v>14348</v>
      </c>
      <c r="UEX1" t="s">
        <v>14349</v>
      </c>
      <c r="UEY1" t="s">
        <v>14350</v>
      </c>
      <c r="UEZ1" t="s">
        <v>14351</v>
      </c>
      <c r="UFA1" t="s">
        <v>14352</v>
      </c>
      <c r="UFB1" t="s">
        <v>14353</v>
      </c>
      <c r="UFC1" t="s">
        <v>14354</v>
      </c>
      <c r="UFD1" t="s">
        <v>14355</v>
      </c>
      <c r="UFE1" t="s">
        <v>14356</v>
      </c>
      <c r="UFF1" t="s">
        <v>14357</v>
      </c>
      <c r="UFG1" t="s">
        <v>14358</v>
      </c>
      <c r="UFH1" t="s">
        <v>14359</v>
      </c>
      <c r="UFI1" t="s">
        <v>14360</v>
      </c>
      <c r="UFJ1" t="s">
        <v>14361</v>
      </c>
      <c r="UFK1" t="s">
        <v>14362</v>
      </c>
      <c r="UFL1" t="s">
        <v>14363</v>
      </c>
      <c r="UFM1" t="s">
        <v>14364</v>
      </c>
      <c r="UFN1" t="s">
        <v>14365</v>
      </c>
      <c r="UFO1" t="s">
        <v>14366</v>
      </c>
      <c r="UFP1" t="s">
        <v>14367</v>
      </c>
      <c r="UFQ1" t="s">
        <v>14368</v>
      </c>
      <c r="UFR1" t="s">
        <v>14369</v>
      </c>
      <c r="UFS1" t="s">
        <v>14370</v>
      </c>
      <c r="UFT1" t="s">
        <v>14371</v>
      </c>
      <c r="UFU1" t="s">
        <v>14372</v>
      </c>
      <c r="UFV1" t="s">
        <v>14373</v>
      </c>
      <c r="UFW1" t="s">
        <v>14374</v>
      </c>
      <c r="UFX1" t="s">
        <v>14375</v>
      </c>
      <c r="UFY1" t="s">
        <v>14376</v>
      </c>
      <c r="UFZ1" t="s">
        <v>14377</v>
      </c>
      <c r="UGA1" t="s">
        <v>14378</v>
      </c>
      <c r="UGB1" t="s">
        <v>14379</v>
      </c>
      <c r="UGC1" t="s">
        <v>14380</v>
      </c>
      <c r="UGD1" t="s">
        <v>14381</v>
      </c>
      <c r="UGE1" t="s">
        <v>14382</v>
      </c>
      <c r="UGF1" t="s">
        <v>14383</v>
      </c>
      <c r="UGG1" t="s">
        <v>14384</v>
      </c>
      <c r="UGH1" t="s">
        <v>14385</v>
      </c>
      <c r="UGI1" t="s">
        <v>14386</v>
      </c>
      <c r="UGJ1" t="s">
        <v>14387</v>
      </c>
      <c r="UGK1" t="s">
        <v>14388</v>
      </c>
      <c r="UGL1" t="s">
        <v>14389</v>
      </c>
      <c r="UGM1" t="s">
        <v>14390</v>
      </c>
      <c r="UGN1" t="s">
        <v>14391</v>
      </c>
      <c r="UGO1" t="s">
        <v>14392</v>
      </c>
      <c r="UGP1" t="s">
        <v>14393</v>
      </c>
      <c r="UGQ1" t="s">
        <v>14394</v>
      </c>
      <c r="UGR1" t="s">
        <v>14395</v>
      </c>
      <c r="UGS1" t="s">
        <v>14396</v>
      </c>
      <c r="UGT1" t="s">
        <v>14397</v>
      </c>
      <c r="UGU1" t="s">
        <v>14398</v>
      </c>
      <c r="UGV1" t="s">
        <v>14399</v>
      </c>
      <c r="UGW1" t="s">
        <v>14400</v>
      </c>
      <c r="UGX1" t="s">
        <v>14401</v>
      </c>
      <c r="UGY1" t="s">
        <v>14402</v>
      </c>
      <c r="UGZ1" t="s">
        <v>14403</v>
      </c>
      <c r="UHA1" t="s">
        <v>14404</v>
      </c>
      <c r="UHB1" t="s">
        <v>14405</v>
      </c>
      <c r="UHC1" t="s">
        <v>14406</v>
      </c>
      <c r="UHD1" t="s">
        <v>14407</v>
      </c>
      <c r="UHE1" t="s">
        <v>14408</v>
      </c>
      <c r="UHF1" t="s">
        <v>14409</v>
      </c>
      <c r="UHG1" t="s">
        <v>14410</v>
      </c>
      <c r="UHH1" t="s">
        <v>14411</v>
      </c>
      <c r="UHI1" t="s">
        <v>14412</v>
      </c>
      <c r="UHJ1" t="s">
        <v>14413</v>
      </c>
      <c r="UHK1" t="s">
        <v>14414</v>
      </c>
      <c r="UHL1" t="s">
        <v>14415</v>
      </c>
      <c r="UHM1" t="s">
        <v>14416</v>
      </c>
      <c r="UHN1" t="s">
        <v>14417</v>
      </c>
      <c r="UHO1" t="s">
        <v>14418</v>
      </c>
      <c r="UHP1" t="s">
        <v>14419</v>
      </c>
      <c r="UHQ1" t="s">
        <v>14420</v>
      </c>
      <c r="UHR1" t="s">
        <v>14421</v>
      </c>
      <c r="UHS1" t="s">
        <v>14422</v>
      </c>
      <c r="UHT1" t="s">
        <v>14423</v>
      </c>
      <c r="UHU1" t="s">
        <v>14424</v>
      </c>
      <c r="UHV1" t="s">
        <v>14425</v>
      </c>
      <c r="UHW1" t="s">
        <v>14426</v>
      </c>
      <c r="UHX1" t="s">
        <v>14427</v>
      </c>
      <c r="UHY1" t="s">
        <v>14428</v>
      </c>
      <c r="UHZ1" t="s">
        <v>14429</v>
      </c>
      <c r="UIA1" t="s">
        <v>14430</v>
      </c>
      <c r="UIB1" t="s">
        <v>14431</v>
      </c>
      <c r="UIC1" t="s">
        <v>14432</v>
      </c>
      <c r="UID1" t="s">
        <v>14433</v>
      </c>
      <c r="UIE1" t="s">
        <v>14434</v>
      </c>
      <c r="UIF1" t="s">
        <v>14435</v>
      </c>
      <c r="UIG1" t="s">
        <v>14436</v>
      </c>
      <c r="UIH1" t="s">
        <v>14437</v>
      </c>
      <c r="UII1" t="s">
        <v>14438</v>
      </c>
      <c r="UIJ1" t="s">
        <v>14439</v>
      </c>
      <c r="UIK1" t="s">
        <v>14440</v>
      </c>
      <c r="UIL1" t="s">
        <v>14441</v>
      </c>
      <c r="UIM1" t="s">
        <v>14442</v>
      </c>
      <c r="UIN1" t="s">
        <v>14443</v>
      </c>
      <c r="UIO1" t="s">
        <v>14444</v>
      </c>
      <c r="UIP1" t="s">
        <v>14445</v>
      </c>
      <c r="UIQ1" t="s">
        <v>14446</v>
      </c>
      <c r="UIR1" t="s">
        <v>14447</v>
      </c>
      <c r="UIS1" t="s">
        <v>14448</v>
      </c>
      <c r="UIT1" t="s">
        <v>14449</v>
      </c>
      <c r="UIU1" t="s">
        <v>14450</v>
      </c>
      <c r="UIV1" t="s">
        <v>14451</v>
      </c>
      <c r="UIW1" t="s">
        <v>14452</v>
      </c>
      <c r="UIX1" t="s">
        <v>14453</v>
      </c>
      <c r="UIY1" t="s">
        <v>14454</v>
      </c>
      <c r="UIZ1" t="s">
        <v>14455</v>
      </c>
      <c r="UJA1" t="s">
        <v>14456</v>
      </c>
      <c r="UJB1" t="s">
        <v>14457</v>
      </c>
      <c r="UJC1" t="s">
        <v>14458</v>
      </c>
      <c r="UJD1" t="s">
        <v>14459</v>
      </c>
      <c r="UJE1" t="s">
        <v>14460</v>
      </c>
      <c r="UJF1" t="s">
        <v>14461</v>
      </c>
      <c r="UJG1" t="s">
        <v>14462</v>
      </c>
      <c r="UJH1" t="s">
        <v>14463</v>
      </c>
      <c r="UJI1" t="s">
        <v>14464</v>
      </c>
      <c r="UJJ1" t="s">
        <v>14465</v>
      </c>
      <c r="UJK1" t="s">
        <v>14466</v>
      </c>
      <c r="UJL1" t="s">
        <v>14467</v>
      </c>
      <c r="UJM1" t="s">
        <v>14468</v>
      </c>
      <c r="UJN1" t="s">
        <v>14469</v>
      </c>
      <c r="UJO1" t="s">
        <v>14470</v>
      </c>
      <c r="UJP1" t="s">
        <v>14471</v>
      </c>
      <c r="UJQ1" t="s">
        <v>14472</v>
      </c>
      <c r="UJR1" t="s">
        <v>14473</v>
      </c>
      <c r="UJS1" t="s">
        <v>14474</v>
      </c>
      <c r="UJT1" t="s">
        <v>14475</v>
      </c>
      <c r="UJU1" t="s">
        <v>14476</v>
      </c>
      <c r="UJV1" t="s">
        <v>14477</v>
      </c>
      <c r="UJW1" t="s">
        <v>14478</v>
      </c>
      <c r="UJX1" t="s">
        <v>14479</v>
      </c>
      <c r="UJY1" t="s">
        <v>14480</v>
      </c>
      <c r="UJZ1" t="s">
        <v>14481</v>
      </c>
      <c r="UKA1" t="s">
        <v>14482</v>
      </c>
      <c r="UKB1" t="s">
        <v>14483</v>
      </c>
      <c r="UKC1" t="s">
        <v>14484</v>
      </c>
      <c r="UKD1" t="s">
        <v>14485</v>
      </c>
      <c r="UKE1" t="s">
        <v>14486</v>
      </c>
      <c r="UKF1" t="s">
        <v>14487</v>
      </c>
      <c r="UKG1" t="s">
        <v>14488</v>
      </c>
      <c r="UKH1" t="s">
        <v>14489</v>
      </c>
      <c r="UKI1" t="s">
        <v>14490</v>
      </c>
      <c r="UKJ1" t="s">
        <v>14491</v>
      </c>
      <c r="UKK1" t="s">
        <v>14492</v>
      </c>
      <c r="UKL1" t="s">
        <v>14493</v>
      </c>
      <c r="UKM1" t="s">
        <v>14494</v>
      </c>
      <c r="UKN1" t="s">
        <v>14495</v>
      </c>
      <c r="UKO1" t="s">
        <v>14496</v>
      </c>
      <c r="UKP1" t="s">
        <v>14497</v>
      </c>
      <c r="UKQ1" t="s">
        <v>14498</v>
      </c>
      <c r="UKR1" t="s">
        <v>14499</v>
      </c>
      <c r="UKS1" t="s">
        <v>14500</v>
      </c>
      <c r="UKT1" t="s">
        <v>14501</v>
      </c>
      <c r="UKU1" t="s">
        <v>14502</v>
      </c>
      <c r="UKV1" t="s">
        <v>14503</v>
      </c>
      <c r="UKW1" t="s">
        <v>14504</v>
      </c>
      <c r="UKX1" t="s">
        <v>14505</v>
      </c>
      <c r="UKY1" t="s">
        <v>14506</v>
      </c>
      <c r="UKZ1" t="s">
        <v>14507</v>
      </c>
      <c r="ULA1" t="s">
        <v>14508</v>
      </c>
      <c r="ULB1" t="s">
        <v>14509</v>
      </c>
      <c r="ULC1" t="s">
        <v>14510</v>
      </c>
      <c r="ULD1" t="s">
        <v>14511</v>
      </c>
      <c r="ULE1" t="s">
        <v>14512</v>
      </c>
      <c r="ULF1" t="s">
        <v>14513</v>
      </c>
      <c r="ULG1" t="s">
        <v>14514</v>
      </c>
      <c r="ULH1" t="s">
        <v>14515</v>
      </c>
      <c r="ULI1" t="s">
        <v>14516</v>
      </c>
      <c r="ULJ1" t="s">
        <v>14517</v>
      </c>
      <c r="ULK1" t="s">
        <v>14518</v>
      </c>
      <c r="ULL1" t="s">
        <v>14519</v>
      </c>
      <c r="ULM1" t="s">
        <v>14520</v>
      </c>
      <c r="ULN1" t="s">
        <v>14521</v>
      </c>
      <c r="ULO1" t="s">
        <v>14522</v>
      </c>
      <c r="ULP1" t="s">
        <v>14523</v>
      </c>
      <c r="ULQ1" t="s">
        <v>14524</v>
      </c>
      <c r="ULR1" t="s">
        <v>14525</v>
      </c>
      <c r="ULS1" t="s">
        <v>14526</v>
      </c>
      <c r="ULT1" t="s">
        <v>14527</v>
      </c>
      <c r="ULU1" t="s">
        <v>14528</v>
      </c>
      <c r="ULV1" t="s">
        <v>14529</v>
      </c>
      <c r="ULW1" t="s">
        <v>14530</v>
      </c>
      <c r="ULX1" t="s">
        <v>14531</v>
      </c>
      <c r="ULY1" t="s">
        <v>14532</v>
      </c>
      <c r="ULZ1" t="s">
        <v>14533</v>
      </c>
      <c r="UMA1" t="s">
        <v>14534</v>
      </c>
      <c r="UMB1" t="s">
        <v>14535</v>
      </c>
      <c r="UMC1" t="s">
        <v>14536</v>
      </c>
      <c r="UMD1" t="s">
        <v>14537</v>
      </c>
      <c r="UME1" t="s">
        <v>14538</v>
      </c>
      <c r="UMF1" t="s">
        <v>14539</v>
      </c>
      <c r="UMG1" t="s">
        <v>14540</v>
      </c>
      <c r="UMH1" t="s">
        <v>14541</v>
      </c>
      <c r="UMI1" t="s">
        <v>14542</v>
      </c>
      <c r="UMJ1" t="s">
        <v>14543</v>
      </c>
      <c r="UMK1" t="s">
        <v>14544</v>
      </c>
      <c r="UML1" t="s">
        <v>14545</v>
      </c>
      <c r="UMM1" t="s">
        <v>14546</v>
      </c>
      <c r="UMN1" t="s">
        <v>14547</v>
      </c>
      <c r="UMO1" t="s">
        <v>14548</v>
      </c>
      <c r="UMP1" t="s">
        <v>14549</v>
      </c>
      <c r="UMQ1" t="s">
        <v>14550</v>
      </c>
      <c r="UMR1" t="s">
        <v>14551</v>
      </c>
      <c r="UMS1" t="s">
        <v>14552</v>
      </c>
      <c r="UMT1" t="s">
        <v>14553</v>
      </c>
      <c r="UMU1" t="s">
        <v>14554</v>
      </c>
      <c r="UMV1" t="s">
        <v>14555</v>
      </c>
      <c r="UMW1" t="s">
        <v>14556</v>
      </c>
      <c r="UMX1" t="s">
        <v>14557</v>
      </c>
      <c r="UMY1" t="s">
        <v>14558</v>
      </c>
      <c r="UMZ1" t="s">
        <v>14559</v>
      </c>
      <c r="UNA1" t="s">
        <v>14560</v>
      </c>
      <c r="UNB1" t="s">
        <v>14561</v>
      </c>
      <c r="UNC1" t="s">
        <v>14562</v>
      </c>
      <c r="UND1" t="s">
        <v>14563</v>
      </c>
      <c r="UNE1" t="s">
        <v>14564</v>
      </c>
      <c r="UNF1" t="s">
        <v>14565</v>
      </c>
      <c r="UNG1" t="s">
        <v>14566</v>
      </c>
      <c r="UNH1" t="s">
        <v>14567</v>
      </c>
      <c r="UNI1" t="s">
        <v>14568</v>
      </c>
      <c r="UNJ1" t="s">
        <v>14569</v>
      </c>
      <c r="UNK1" t="s">
        <v>14570</v>
      </c>
      <c r="UNL1" t="s">
        <v>14571</v>
      </c>
      <c r="UNM1" t="s">
        <v>14572</v>
      </c>
      <c r="UNN1" t="s">
        <v>14573</v>
      </c>
      <c r="UNO1" t="s">
        <v>14574</v>
      </c>
      <c r="UNP1" t="s">
        <v>14575</v>
      </c>
      <c r="UNQ1" t="s">
        <v>14576</v>
      </c>
      <c r="UNR1" t="s">
        <v>14577</v>
      </c>
      <c r="UNS1" t="s">
        <v>14578</v>
      </c>
      <c r="UNT1" t="s">
        <v>14579</v>
      </c>
      <c r="UNU1" t="s">
        <v>14580</v>
      </c>
      <c r="UNV1" t="s">
        <v>14581</v>
      </c>
      <c r="UNW1" t="s">
        <v>14582</v>
      </c>
      <c r="UNX1" t="s">
        <v>14583</v>
      </c>
      <c r="UNY1" t="s">
        <v>14584</v>
      </c>
      <c r="UNZ1" t="s">
        <v>14585</v>
      </c>
      <c r="UOA1" t="s">
        <v>14586</v>
      </c>
      <c r="UOB1" t="s">
        <v>14587</v>
      </c>
      <c r="UOC1" t="s">
        <v>14588</v>
      </c>
      <c r="UOD1" t="s">
        <v>14589</v>
      </c>
      <c r="UOE1" t="s">
        <v>14590</v>
      </c>
      <c r="UOF1" t="s">
        <v>14591</v>
      </c>
      <c r="UOG1" t="s">
        <v>14592</v>
      </c>
      <c r="UOH1" t="s">
        <v>14593</v>
      </c>
      <c r="UOI1" t="s">
        <v>14594</v>
      </c>
      <c r="UOJ1" t="s">
        <v>14595</v>
      </c>
      <c r="UOK1" t="s">
        <v>14596</v>
      </c>
      <c r="UOL1" t="s">
        <v>14597</v>
      </c>
      <c r="UOM1" t="s">
        <v>14598</v>
      </c>
      <c r="UON1" t="s">
        <v>14599</v>
      </c>
      <c r="UOO1" t="s">
        <v>14600</v>
      </c>
      <c r="UOP1" t="s">
        <v>14601</v>
      </c>
      <c r="UOQ1" t="s">
        <v>14602</v>
      </c>
      <c r="UOR1" t="s">
        <v>14603</v>
      </c>
      <c r="UOS1" t="s">
        <v>14604</v>
      </c>
      <c r="UOT1" t="s">
        <v>14605</v>
      </c>
      <c r="UOU1" t="s">
        <v>14606</v>
      </c>
      <c r="UOV1" t="s">
        <v>14607</v>
      </c>
      <c r="UOW1" t="s">
        <v>14608</v>
      </c>
      <c r="UOX1" t="s">
        <v>14609</v>
      </c>
      <c r="UOY1" t="s">
        <v>14610</v>
      </c>
      <c r="UOZ1" t="s">
        <v>14611</v>
      </c>
      <c r="UPA1" t="s">
        <v>14612</v>
      </c>
      <c r="UPB1" t="s">
        <v>14613</v>
      </c>
      <c r="UPC1" t="s">
        <v>14614</v>
      </c>
      <c r="UPD1" t="s">
        <v>14615</v>
      </c>
      <c r="UPE1" t="s">
        <v>14616</v>
      </c>
      <c r="UPF1" t="s">
        <v>14617</v>
      </c>
      <c r="UPG1" t="s">
        <v>14618</v>
      </c>
      <c r="UPH1" t="s">
        <v>14619</v>
      </c>
      <c r="UPI1" t="s">
        <v>14620</v>
      </c>
      <c r="UPJ1" t="s">
        <v>14621</v>
      </c>
      <c r="UPK1" t="s">
        <v>14622</v>
      </c>
      <c r="UPL1" t="s">
        <v>14623</v>
      </c>
      <c r="UPM1" t="s">
        <v>14624</v>
      </c>
      <c r="UPN1" t="s">
        <v>14625</v>
      </c>
      <c r="UPO1" t="s">
        <v>14626</v>
      </c>
      <c r="UPP1" t="s">
        <v>14627</v>
      </c>
      <c r="UPQ1" t="s">
        <v>14628</v>
      </c>
      <c r="UPR1" t="s">
        <v>14629</v>
      </c>
      <c r="UPS1" t="s">
        <v>14630</v>
      </c>
      <c r="UPT1" t="s">
        <v>14631</v>
      </c>
      <c r="UPU1" t="s">
        <v>14632</v>
      </c>
      <c r="UPV1" t="s">
        <v>14633</v>
      </c>
      <c r="UPW1" t="s">
        <v>14634</v>
      </c>
      <c r="UPX1" t="s">
        <v>14635</v>
      </c>
      <c r="UPY1" t="s">
        <v>14636</v>
      </c>
      <c r="UPZ1" t="s">
        <v>14637</v>
      </c>
      <c r="UQA1" t="s">
        <v>14638</v>
      </c>
      <c r="UQB1" t="s">
        <v>14639</v>
      </c>
      <c r="UQC1" t="s">
        <v>14640</v>
      </c>
      <c r="UQD1" t="s">
        <v>14641</v>
      </c>
      <c r="UQE1" t="s">
        <v>14642</v>
      </c>
      <c r="UQF1" t="s">
        <v>14643</v>
      </c>
      <c r="UQG1" t="s">
        <v>14644</v>
      </c>
      <c r="UQH1" t="s">
        <v>14645</v>
      </c>
      <c r="UQI1" t="s">
        <v>14646</v>
      </c>
      <c r="UQJ1" t="s">
        <v>14647</v>
      </c>
      <c r="UQK1" t="s">
        <v>14648</v>
      </c>
      <c r="UQL1" t="s">
        <v>14649</v>
      </c>
      <c r="UQM1" t="s">
        <v>14650</v>
      </c>
      <c r="UQN1" t="s">
        <v>14651</v>
      </c>
      <c r="UQO1" t="s">
        <v>14652</v>
      </c>
      <c r="UQP1" t="s">
        <v>14653</v>
      </c>
      <c r="UQQ1" t="s">
        <v>14654</v>
      </c>
      <c r="UQR1" t="s">
        <v>14655</v>
      </c>
      <c r="UQS1" t="s">
        <v>14656</v>
      </c>
      <c r="UQT1" t="s">
        <v>14657</v>
      </c>
      <c r="UQU1" t="s">
        <v>14658</v>
      </c>
      <c r="UQV1" t="s">
        <v>14659</v>
      </c>
      <c r="UQW1" t="s">
        <v>14660</v>
      </c>
      <c r="UQX1" t="s">
        <v>14661</v>
      </c>
      <c r="UQY1" t="s">
        <v>14662</v>
      </c>
      <c r="UQZ1" t="s">
        <v>14663</v>
      </c>
      <c r="URA1" t="s">
        <v>14664</v>
      </c>
      <c r="URB1" t="s">
        <v>14665</v>
      </c>
      <c r="URC1" t="s">
        <v>14666</v>
      </c>
      <c r="URD1" t="s">
        <v>14667</v>
      </c>
      <c r="URE1" t="s">
        <v>14668</v>
      </c>
      <c r="URF1" t="s">
        <v>14669</v>
      </c>
      <c r="URG1" t="s">
        <v>14670</v>
      </c>
      <c r="URH1" t="s">
        <v>14671</v>
      </c>
      <c r="URI1" t="s">
        <v>14672</v>
      </c>
      <c r="URJ1" t="s">
        <v>14673</v>
      </c>
      <c r="URK1" t="s">
        <v>14674</v>
      </c>
      <c r="URL1" t="s">
        <v>14675</v>
      </c>
      <c r="URM1" t="s">
        <v>14676</v>
      </c>
      <c r="URN1" t="s">
        <v>14677</v>
      </c>
      <c r="URO1" t="s">
        <v>14678</v>
      </c>
      <c r="URP1" t="s">
        <v>14679</v>
      </c>
      <c r="URQ1" t="s">
        <v>14680</v>
      </c>
      <c r="URR1" t="s">
        <v>14681</v>
      </c>
      <c r="URS1" t="s">
        <v>14682</v>
      </c>
      <c r="URT1" t="s">
        <v>14683</v>
      </c>
      <c r="URU1" t="s">
        <v>14684</v>
      </c>
      <c r="URV1" t="s">
        <v>14685</v>
      </c>
      <c r="URW1" t="s">
        <v>14686</v>
      </c>
      <c r="URX1" t="s">
        <v>14687</v>
      </c>
      <c r="URY1" t="s">
        <v>14688</v>
      </c>
      <c r="URZ1" t="s">
        <v>14689</v>
      </c>
      <c r="USA1" t="s">
        <v>14690</v>
      </c>
      <c r="USB1" t="s">
        <v>14691</v>
      </c>
      <c r="USC1" t="s">
        <v>14692</v>
      </c>
      <c r="USD1" t="s">
        <v>14693</v>
      </c>
      <c r="USE1" t="s">
        <v>14694</v>
      </c>
      <c r="USF1" t="s">
        <v>14695</v>
      </c>
      <c r="USG1" t="s">
        <v>14696</v>
      </c>
      <c r="USH1" t="s">
        <v>14697</v>
      </c>
      <c r="USI1" t="s">
        <v>14698</v>
      </c>
      <c r="USJ1" t="s">
        <v>14699</v>
      </c>
      <c r="USK1" t="s">
        <v>14700</v>
      </c>
      <c r="USL1" t="s">
        <v>14701</v>
      </c>
      <c r="USM1" t="s">
        <v>14702</v>
      </c>
      <c r="USN1" t="s">
        <v>14703</v>
      </c>
      <c r="USO1" t="s">
        <v>14704</v>
      </c>
      <c r="USP1" t="s">
        <v>14705</v>
      </c>
      <c r="USQ1" t="s">
        <v>14706</v>
      </c>
      <c r="USR1" t="s">
        <v>14707</v>
      </c>
      <c r="USS1" t="s">
        <v>14708</v>
      </c>
      <c r="UST1" t="s">
        <v>14709</v>
      </c>
      <c r="USU1" t="s">
        <v>14710</v>
      </c>
      <c r="USV1" t="s">
        <v>14711</v>
      </c>
      <c r="USW1" t="s">
        <v>14712</v>
      </c>
      <c r="USX1" t="s">
        <v>14713</v>
      </c>
      <c r="USY1" t="s">
        <v>14714</v>
      </c>
      <c r="USZ1" t="s">
        <v>14715</v>
      </c>
      <c r="UTA1" t="s">
        <v>14716</v>
      </c>
      <c r="UTB1" t="s">
        <v>14717</v>
      </c>
      <c r="UTC1" t="s">
        <v>14718</v>
      </c>
      <c r="UTD1" t="s">
        <v>14719</v>
      </c>
      <c r="UTE1" t="s">
        <v>14720</v>
      </c>
      <c r="UTF1" t="s">
        <v>14721</v>
      </c>
      <c r="UTG1" t="s">
        <v>14722</v>
      </c>
      <c r="UTH1" t="s">
        <v>14723</v>
      </c>
      <c r="UTI1" t="s">
        <v>14724</v>
      </c>
      <c r="UTJ1" t="s">
        <v>14725</v>
      </c>
      <c r="UTK1" t="s">
        <v>14726</v>
      </c>
      <c r="UTL1" t="s">
        <v>14727</v>
      </c>
      <c r="UTM1" t="s">
        <v>14728</v>
      </c>
      <c r="UTN1" t="s">
        <v>14729</v>
      </c>
      <c r="UTO1" t="s">
        <v>14730</v>
      </c>
      <c r="UTP1" t="s">
        <v>14731</v>
      </c>
      <c r="UTQ1" t="s">
        <v>14732</v>
      </c>
      <c r="UTR1" t="s">
        <v>14733</v>
      </c>
      <c r="UTS1" t="s">
        <v>14734</v>
      </c>
      <c r="UTT1" t="s">
        <v>14735</v>
      </c>
      <c r="UTU1" t="s">
        <v>14736</v>
      </c>
      <c r="UTV1" t="s">
        <v>14737</v>
      </c>
      <c r="UTW1" t="s">
        <v>14738</v>
      </c>
      <c r="UTX1" t="s">
        <v>14739</v>
      </c>
      <c r="UTY1" t="s">
        <v>14740</v>
      </c>
      <c r="UTZ1" t="s">
        <v>14741</v>
      </c>
      <c r="UUA1" t="s">
        <v>14742</v>
      </c>
      <c r="UUB1" t="s">
        <v>14743</v>
      </c>
      <c r="UUC1" t="s">
        <v>14744</v>
      </c>
      <c r="UUD1" t="s">
        <v>14745</v>
      </c>
      <c r="UUE1" t="s">
        <v>14746</v>
      </c>
      <c r="UUF1" t="s">
        <v>14747</v>
      </c>
      <c r="UUG1" t="s">
        <v>14748</v>
      </c>
      <c r="UUH1" t="s">
        <v>14749</v>
      </c>
      <c r="UUI1" t="s">
        <v>14750</v>
      </c>
      <c r="UUJ1" t="s">
        <v>14751</v>
      </c>
      <c r="UUK1" t="s">
        <v>14752</v>
      </c>
      <c r="UUL1" t="s">
        <v>14753</v>
      </c>
      <c r="UUM1" t="s">
        <v>14754</v>
      </c>
      <c r="UUN1" t="s">
        <v>14755</v>
      </c>
      <c r="UUO1" t="s">
        <v>14756</v>
      </c>
      <c r="UUP1" t="s">
        <v>14757</v>
      </c>
      <c r="UUQ1" t="s">
        <v>14758</v>
      </c>
      <c r="UUR1" t="s">
        <v>14759</v>
      </c>
      <c r="UUS1" t="s">
        <v>14760</v>
      </c>
      <c r="UUT1" t="s">
        <v>14761</v>
      </c>
      <c r="UUU1" t="s">
        <v>14762</v>
      </c>
      <c r="UUV1" t="s">
        <v>14763</v>
      </c>
      <c r="UUW1" t="s">
        <v>14764</v>
      </c>
      <c r="UUX1" t="s">
        <v>14765</v>
      </c>
      <c r="UUY1" t="s">
        <v>14766</v>
      </c>
      <c r="UUZ1" t="s">
        <v>14767</v>
      </c>
      <c r="UVA1" t="s">
        <v>14768</v>
      </c>
      <c r="UVB1" t="s">
        <v>14769</v>
      </c>
      <c r="UVC1" t="s">
        <v>14770</v>
      </c>
      <c r="UVD1" t="s">
        <v>14771</v>
      </c>
      <c r="UVE1" t="s">
        <v>14772</v>
      </c>
      <c r="UVF1" t="s">
        <v>14773</v>
      </c>
      <c r="UVG1" t="s">
        <v>14774</v>
      </c>
      <c r="UVH1" t="s">
        <v>14775</v>
      </c>
      <c r="UVI1" t="s">
        <v>14776</v>
      </c>
      <c r="UVJ1" t="s">
        <v>14777</v>
      </c>
      <c r="UVK1" t="s">
        <v>14778</v>
      </c>
      <c r="UVL1" t="s">
        <v>14779</v>
      </c>
      <c r="UVM1" t="s">
        <v>14780</v>
      </c>
      <c r="UVN1" t="s">
        <v>14781</v>
      </c>
      <c r="UVO1" t="s">
        <v>14782</v>
      </c>
      <c r="UVP1" t="s">
        <v>14783</v>
      </c>
      <c r="UVQ1" t="s">
        <v>14784</v>
      </c>
      <c r="UVR1" t="s">
        <v>14785</v>
      </c>
      <c r="UVS1" t="s">
        <v>14786</v>
      </c>
      <c r="UVT1" t="s">
        <v>14787</v>
      </c>
      <c r="UVU1" t="s">
        <v>14788</v>
      </c>
      <c r="UVV1" t="s">
        <v>14789</v>
      </c>
      <c r="UVW1" t="s">
        <v>14790</v>
      </c>
      <c r="UVX1" t="s">
        <v>14791</v>
      </c>
      <c r="UVY1" t="s">
        <v>14792</v>
      </c>
      <c r="UVZ1" t="s">
        <v>14793</v>
      </c>
      <c r="UWA1" t="s">
        <v>14794</v>
      </c>
      <c r="UWB1" t="s">
        <v>14795</v>
      </c>
      <c r="UWC1" t="s">
        <v>14796</v>
      </c>
      <c r="UWD1" t="s">
        <v>14797</v>
      </c>
      <c r="UWE1" t="s">
        <v>14798</v>
      </c>
      <c r="UWF1" t="s">
        <v>14799</v>
      </c>
      <c r="UWG1" t="s">
        <v>14800</v>
      </c>
      <c r="UWH1" t="s">
        <v>14801</v>
      </c>
      <c r="UWI1" t="s">
        <v>14802</v>
      </c>
      <c r="UWJ1" t="s">
        <v>14803</v>
      </c>
      <c r="UWK1" t="s">
        <v>14804</v>
      </c>
      <c r="UWL1" t="s">
        <v>14805</v>
      </c>
      <c r="UWM1" t="s">
        <v>14806</v>
      </c>
      <c r="UWN1" t="s">
        <v>14807</v>
      </c>
      <c r="UWO1" t="s">
        <v>14808</v>
      </c>
      <c r="UWP1" t="s">
        <v>14809</v>
      </c>
      <c r="UWQ1" t="s">
        <v>14810</v>
      </c>
      <c r="UWR1" t="s">
        <v>14811</v>
      </c>
      <c r="UWS1" t="s">
        <v>14812</v>
      </c>
      <c r="UWT1" t="s">
        <v>14813</v>
      </c>
      <c r="UWU1" t="s">
        <v>14814</v>
      </c>
      <c r="UWV1" t="s">
        <v>14815</v>
      </c>
      <c r="UWW1" t="s">
        <v>14816</v>
      </c>
      <c r="UWX1" t="s">
        <v>14817</v>
      </c>
      <c r="UWY1" t="s">
        <v>14818</v>
      </c>
      <c r="UWZ1" t="s">
        <v>14819</v>
      </c>
      <c r="UXA1" t="s">
        <v>14820</v>
      </c>
      <c r="UXB1" t="s">
        <v>14821</v>
      </c>
      <c r="UXC1" t="s">
        <v>14822</v>
      </c>
      <c r="UXD1" t="s">
        <v>14823</v>
      </c>
      <c r="UXE1" t="s">
        <v>14824</v>
      </c>
      <c r="UXF1" t="s">
        <v>14825</v>
      </c>
      <c r="UXG1" t="s">
        <v>14826</v>
      </c>
      <c r="UXH1" t="s">
        <v>14827</v>
      </c>
      <c r="UXI1" t="s">
        <v>14828</v>
      </c>
      <c r="UXJ1" t="s">
        <v>14829</v>
      </c>
      <c r="UXK1" t="s">
        <v>14830</v>
      </c>
      <c r="UXL1" t="s">
        <v>14831</v>
      </c>
      <c r="UXM1" t="s">
        <v>14832</v>
      </c>
      <c r="UXN1" t="s">
        <v>14833</v>
      </c>
      <c r="UXO1" t="s">
        <v>14834</v>
      </c>
      <c r="UXP1" t="s">
        <v>14835</v>
      </c>
      <c r="UXQ1" t="s">
        <v>14836</v>
      </c>
      <c r="UXR1" t="s">
        <v>14837</v>
      </c>
      <c r="UXS1" t="s">
        <v>14838</v>
      </c>
      <c r="UXT1" t="s">
        <v>14839</v>
      </c>
      <c r="UXU1" t="s">
        <v>14840</v>
      </c>
      <c r="UXV1" t="s">
        <v>14841</v>
      </c>
      <c r="UXW1" t="s">
        <v>14842</v>
      </c>
      <c r="UXX1" t="s">
        <v>14843</v>
      </c>
      <c r="UXY1" t="s">
        <v>14844</v>
      </c>
      <c r="UXZ1" t="s">
        <v>14845</v>
      </c>
      <c r="UYA1" t="s">
        <v>14846</v>
      </c>
      <c r="UYB1" t="s">
        <v>14847</v>
      </c>
      <c r="UYC1" t="s">
        <v>14848</v>
      </c>
      <c r="UYD1" t="s">
        <v>14849</v>
      </c>
      <c r="UYE1" t="s">
        <v>14850</v>
      </c>
      <c r="UYF1" t="s">
        <v>14851</v>
      </c>
      <c r="UYG1" t="s">
        <v>14852</v>
      </c>
      <c r="UYH1" t="s">
        <v>14853</v>
      </c>
      <c r="UYI1" t="s">
        <v>14854</v>
      </c>
      <c r="UYJ1" t="s">
        <v>14855</v>
      </c>
      <c r="UYK1" t="s">
        <v>14856</v>
      </c>
      <c r="UYL1" t="s">
        <v>14857</v>
      </c>
      <c r="UYM1" t="s">
        <v>14858</v>
      </c>
      <c r="UYN1" t="s">
        <v>14859</v>
      </c>
      <c r="UYO1" t="s">
        <v>14860</v>
      </c>
      <c r="UYP1" t="s">
        <v>14861</v>
      </c>
      <c r="UYQ1" t="s">
        <v>14862</v>
      </c>
      <c r="UYR1" t="s">
        <v>14863</v>
      </c>
      <c r="UYS1" t="s">
        <v>14864</v>
      </c>
      <c r="UYT1" t="s">
        <v>14865</v>
      </c>
      <c r="UYU1" t="s">
        <v>14866</v>
      </c>
      <c r="UYV1" t="s">
        <v>14867</v>
      </c>
      <c r="UYW1" t="s">
        <v>14868</v>
      </c>
      <c r="UYX1" t="s">
        <v>14869</v>
      </c>
      <c r="UYY1" t="s">
        <v>14870</v>
      </c>
      <c r="UYZ1" t="s">
        <v>14871</v>
      </c>
      <c r="UZA1" t="s">
        <v>14872</v>
      </c>
      <c r="UZB1" t="s">
        <v>14873</v>
      </c>
      <c r="UZC1" t="s">
        <v>14874</v>
      </c>
      <c r="UZD1" t="s">
        <v>14875</v>
      </c>
      <c r="UZE1" t="s">
        <v>14876</v>
      </c>
      <c r="UZF1" t="s">
        <v>14877</v>
      </c>
      <c r="UZG1" t="s">
        <v>14878</v>
      </c>
      <c r="UZH1" t="s">
        <v>14879</v>
      </c>
      <c r="UZI1" t="s">
        <v>14880</v>
      </c>
      <c r="UZJ1" t="s">
        <v>14881</v>
      </c>
      <c r="UZK1" t="s">
        <v>14882</v>
      </c>
      <c r="UZL1" t="s">
        <v>14883</v>
      </c>
      <c r="UZM1" t="s">
        <v>14884</v>
      </c>
      <c r="UZN1" t="s">
        <v>14885</v>
      </c>
      <c r="UZO1" t="s">
        <v>14886</v>
      </c>
      <c r="UZP1" t="s">
        <v>14887</v>
      </c>
      <c r="UZQ1" t="s">
        <v>14888</v>
      </c>
      <c r="UZR1" t="s">
        <v>14889</v>
      </c>
      <c r="UZS1" t="s">
        <v>14890</v>
      </c>
      <c r="UZT1" t="s">
        <v>14891</v>
      </c>
      <c r="UZU1" t="s">
        <v>14892</v>
      </c>
      <c r="UZV1" t="s">
        <v>14893</v>
      </c>
      <c r="UZW1" t="s">
        <v>14894</v>
      </c>
      <c r="UZX1" t="s">
        <v>14895</v>
      </c>
      <c r="UZY1" t="s">
        <v>14896</v>
      </c>
      <c r="UZZ1" t="s">
        <v>14897</v>
      </c>
      <c r="VAA1" t="s">
        <v>14898</v>
      </c>
      <c r="VAB1" t="s">
        <v>14899</v>
      </c>
      <c r="VAC1" t="s">
        <v>14900</v>
      </c>
      <c r="VAD1" t="s">
        <v>14901</v>
      </c>
      <c r="VAE1" t="s">
        <v>14902</v>
      </c>
      <c r="VAF1" t="s">
        <v>14903</v>
      </c>
      <c r="VAG1" t="s">
        <v>14904</v>
      </c>
      <c r="VAH1" t="s">
        <v>14905</v>
      </c>
      <c r="VAI1" t="s">
        <v>14906</v>
      </c>
      <c r="VAJ1" t="s">
        <v>14907</v>
      </c>
      <c r="VAK1" t="s">
        <v>14908</v>
      </c>
      <c r="VAL1" t="s">
        <v>14909</v>
      </c>
      <c r="VAM1" t="s">
        <v>14910</v>
      </c>
      <c r="VAN1" t="s">
        <v>14911</v>
      </c>
      <c r="VAO1" t="s">
        <v>14912</v>
      </c>
      <c r="VAP1" t="s">
        <v>14913</v>
      </c>
      <c r="VAQ1" t="s">
        <v>14914</v>
      </c>
      <c r="VAR1" t="s">
        <v>14915</v>
      </c>
      <c r="VAS1" t="s">
        <v>14916</v>
      </c>
      <c r="VAT1" t="s">
        <v>14917</v>
      </c>
      <c r="VAU1" t="s">
        <v>14918</v>
      </c>
      <c r="VAV1" t="s">
        <v>14919</v>
      </c>
      <c r="VAW1" t="s">
        <v>14920</v>
      </c>
      <c r="VAX1" t="s">
        <v>14921</v>
      </c>
      <c r="VAY1" t="s">
        <v>14922</v>
      </c>
      <c r="VAZ1" t="s">
        <v>14923</v>
      </c>
      <c r="VBA1" t="s">
        <v>14924</v>
      </c>
      <c r="VBB1" t="s">
        <v>14925</v>
      </c>
      <c r="VBC1" t="s">
        <v>14926</v>
      </c>
      <c r="VBD1" t="s">
        <v>14927</v>
      </c>
      <c r="VBE1" t="s">
        <v>14928</v>
      </c>
      <c r="VBF1" t="s">
        <v>14929</v>
      </c>
      <c r="VBG1" t="s">
        <v>14930</v>
      </c>
      <c r="VBH1" t="s">
        <v>14931</v>
      </c>
      <c r="VBI1" t="s">
        <v>14932</v>
      </c>
      <c r="VBJ1" t="s">
        <v>14933</v>
      </c>
      <c r="VBK1" t="s">
        <v>14934</v>
      </c>
      <c r="VBL1" t="s">
        <v>14935</v>
      </c>
      <c r="VBM1" t="s">
        <v>14936</v>
      </c>
      <c r="VBN1" t="s">
        <v>14937</v>
      </c>
      <c r="VBO1" t="s">
        <v>14938</v>
      </c>
      <c r="VBP1" t="s">
        <v>14939</v>
      </c>
      <c r="VBQ1" t="s">
        <v>14940</v>
      </c>
      <c r="VBR1" t="s">
        <v>14941</v>
      </c>
      <c r="VBS1" t="s">
        <v>14942</v>
      </c>
      <c r="VBT1" t="s">
        <v>14943</v>
      </c>
      <c r="VBU1" t="s">
        <v>14944</v>
      </c>
      <c r="VBV1" t="s">
        <v>14945</v>
      </c>
      <c r="VBW1" t="s">
        <v>14946</v>
      </c>
      <c r="VBX1" t="s">
        <v>14947</v>
      </c>
      <c r="VBY1" t="s">
        <v>14948</v>
      </c>
      <c r="VBZ1" t="s">
        <v>14949</v>
      </c>
      <c r="VCA1" t="s">
        <v>14950</v>
      </c>
      <c r="VCB1" t="s">
        <v>14951</v>
      </c>
      <c r="VCC1" t="s">
        <v>14952</v>
      </c>
      <c r="VCD1" t="s">
        <v>14953</v>
      </c>
      <c r="VCE1" t="s">
        <v>14954</v>
      </c>
      <c r="VCF1" t="s">
        <v>14955</v>
      </c>
      <c r="VCG1" t="s">
        <v>14956</v>
      </c>
      <c r="VCH1" t="s">
        <v>14957</v>
      </c>
      <c r="VCI1" t="s">
        <v>14958</v>
      </c>
      <c r="VCJ1" t="s">
        <v>14959</v>
      </c>
      <c r="VCK1" t="s">
        <v>14960</v>
      </c>
      <c r="VCL1" t="s">
        <v>14961</v>
      </c>
      <c r="VCM1" t="s">
        <v>14962</v>
      </c>
      <c r="VCN1" t="s">
        <v>14963</v>
      </c>
      <c r="VCO1" t="s">
        <v>14964</v>
      </c>
      <c r="VCP1" t="s">
        <v>14965</v>
      </c>
      <c r="VCQ1" t="s">
        <v>14966</v>
      </c>
      <c r="VCR1" t="s">
        <v>14967</v>
      </c>
      <c r="VCS1" t="s">
        <v>14968</v>
      </c>
      <c r="VCT1" t="s">
        <v>14969</v>
      </c>
      <c r="VCU1" t="s">
        <v>14970</v>
      </c>
      <c r="VCV1" t="s">
        <v>14971</v>
      </c>
      <c r="VCW1" t="s">
        <v>14972</v>
      </c>
      <c r="VCX1" t="s">
        <v>14973</v>
      </c>
      <c r="VCY1" t="s">
        <v>14974</v>
      </c>
      <c r="VCZ1" t="s">
        <v>14975</v>
      </c>
      <c r="VDA1" t="s">
        <v>14976</v>
      </c>
      <c r="VDB1" t="s">
        <v>14977</v>
      </c>
      <c r="VDC1" t="s">
        <v>14978</v>
      </c>
      <c r="VDD1" t="s">
        <v>14979</v>
      </c>
      <c r="VDE1" t="s">
        <v>14980</v>
      </c>
      <c r="VDF1" t="s">
        <v>14981</v>
      </c>
      <c r="VDG1" t="s">
        <v>14982</v>
      </c>
      <c r="VDH1" t="s">
        <v>14983</v>
      </c>
      <c r="VDI1" t="s">
        <v>14984</v>
      </c>
      <c r="VDJ1" t="s">
        <v>14985</v>
      </c>
      <c r="VDK1" t="s">
        <v>14986</v>
      </c>
      <c r="VDL1" t="s">
        <v>14987</v>
      </c>
      <c r="VDM1" t="s">
        <v>14988</v>
      </c>
      <c r="VDN1" t="s">
        <v>14989</v>
      </c>
      <c r="VDO1" t="s">
        <v>14990</v>
      </c>
      <c r="VDP1" t="s">
        <v>14991</v>
      </c>
      <c r="VDQ1" t="s">
        <v>14992</v>
      </c>
      <c r="VDR1" t="s">
        <v>14993</v>
      </c>
      <c r="VDS1" t="s">
        <v>14994</v>
      </c>
      <c r="VDT1" t="s">
        <v>14995</v>
      </c>
      <c r="VDU1" t="s">
        <v>14996</v>
      </c>
      <c r="VDV1" t="s">
        <v>14997</v>
      </c>
      <c r="VDW1" t="s">
        <v>14998</v>
      </c>
      <c r="VDX1" t="s">
        <v>14999</v>
      </c>
      <c r="VDY1" t="s">
        <v>15000</v>
      </c>
      <c r="VDZ1" t="s">
        <v>15001</v>
      </c>
      <c r="VEA1" t="s">
        <v>15002</v>
      </c>
      <c r="VEB1" t="s">
        <v>15003</v>
      </c>
      <c r="VEC1" t="s">
        <v>15004</v>
      </c>
      <c r="VED1" t="s">
        <v>15005</v>
      </c>
      <c r="VEE1" t="s">
        <v>15006</v>
      </c>
      <c r="VEF1" t="s">
        <v>15007</v>
      </c>
      <c r="VEG1" t="s">
        <v>15008</v>
      </c>
      <c r="VEH1" t="s">
        <v>15009</v>
      </c>
      <c r="VEI1" t="s">
        <v>15010</v>
      </c>
      <c r="VEJ1" t="s">
        <v>15011</v>
      </c>
      <c r="VEK1" t="s">
        <v>15012</v>
      </c>
      <c r="VEL1" t="s">
        <v>15013</v>
      </c>
      <c r="VEM1" t="s">
        <v>15014</v>
      </c>
      <c r="VEN1" t="s">
        <v>15015</v>
      </c>
      <c r="VEO1" t="s">
        <v>15016</v>
      </c>
      <c r="VEP1" t="s">
        <v>15017</v>
      </c>
      <c r="VEQ1" t="s">
        <v>15018</v>
      </c>
      <c r="VER1" t="s">
        <v>15019</v>
      </c>
      <c r="VES1" t="s">
        <v>15020</v>
      </c>
      <c r="VET1" t="s">
        <v>15021</v>
      </c>
      <c r="VEU1" t="s">
        <v>15022</v>
      </c>
      <c r="VEV1" t="s">
        <v>15023</v>
      </c>
      <c r="VEW1" t="s">
        <v>15024</v>
      </c>
      <c r="VEX1" t="s">
        <v>15025</v>
      </c>
      <c r="VEY1" t="s">
        <v>15026</v>
      </c>
      <c r="VEZ1" t="s">
        <v>15027</v>
      </c>
      <c r="VFA1" t="s">
        <v>15028</v>
      </c>
      <c r="VFB1" t="s">
        <v>15029</v>
      </c>
      <c r="VFC1" t="s">
        <v>15030</v>
      </c>
      <c r="VFD1" t="s">
        <v>15031</v>
      </c>
      <c r="VFE1" t="s">
        <v>15032</v>
      </c>
      <c r="VFF1" t="s">
        <v>15033</v>
      </c>
      <c r="VFG1" t="s">
        <v>15034</v>
      </c>
      <c r="VFH1" t="s">
        <v>15035</v>
      </c>
      <c r="VFI1" t="s">
        <v>15036</v>
      </c>
      <c r="VFJ1" t="s">
        <v>15037</v>
      </c>
      <c r="VFK1" t="s">
        <v>15038</v>
      </c>
      <c r="VFL1" t="s">
        <v>15039</v>
      </c>
      <c r="VFM1" t="s">
        <v>15040</v>
      </c>
      <c r="VFN1" t="s">
        <v>15041</v>
      </c>
      <c r="VFO1" t="s">
        <v>15042</v>
      </c>
      <c r="VFP1" t="s">
        <v>15043</v>
      </c>
      <c r="VFQ1" t="s">
        <v>15044</v>
      </c>
      <c r="VFR1" t="s">
        <v>15045</v>
      </c>
      <c r="VFS1" t="s">
        <v>15046</v>
      </c>
      <c r="VFT1" t="s">
        <v>15047</v>
      </c>
      <c r="VFU1" t="s">
        <v>15048</v>
      </c>
      <c r="VFV1" t="s">
        <v>15049</v>
      </c>
      <c r="VFW1" t="s">
        <v>15050</v>
      </c>
      <c r="VFX1" t="s">
        <v>15051</v>
      </c>
      <c r="VFY1" t="s">
        <v>15052</v>
      </c>
      <c r="VFZ1" t="s">
        <v>15053</v>
      </c>
      <c r="VGA1" t="s">
        <v>15054</v>
      </c>
      <c r="VGB1" t="s">
        <v>15055</v>
      </c>
      <c r="VGC1" t="s">
        <v>15056</v>
      </c>
      <c r="VGD1" t="s">
        <v>15057</v>
      </c>
      <c r="VGE1" t="s">
        <v>15058</v>
      </c>
      <c r="VGF1" t="s">
        <v>15059</v>
      </c>
      <c r="VGG1" t="s">
        <v>15060</v>
      </c>
      <c r="VGH1" t="s">
        <v>15061</v>
      </c>
      <c r="VGI1" t="s">
        <v>15062</v>
      </c>
      <c r="VGJ1" t="s">
        <v>15063</v>
      </c>
      <c r="VGK1" t="s">
        <v>15064</v>
      </c>
      <c r="VGL1" t="s">
        <v>15065</v>
      </c>
      <c r="VGM1" t="s">
        <v>15066</v>
      </c>
      <c r="VGN1" t="s">
        <v>15067</v>
      </c>
      <c r="VGO1" t="s">
        <v>15068</v>
      </c>
      <c r="VGP1" t="s">
        <v>15069</v>
      </c>
      <c r="VGQ1" t="s">
        <v>15070</v>
      </c>
      <c r="VGR1" t="s">
        <v>15071</v>
      </c>
      <c r="VGS1" t="s">
        <v>15072</v>
      </c>
      <c r="VGT1" t="s">
        <v>15073</v>
      </c>
      <c r="VGU1" t="s">
        <v>15074</v>
      </c>
      <c r="VGV1" t="s">
        <v>15075</v>
      </c>
      <c r="VGW1" t="s">
        <v>15076</v>
      </c>
      <c r="VGX1" t="s">
        <v>15077</v>
      </c>
      <c r="VGY1" t="s">
        <v>15078</v>
      </c>
      <c r="VGZ1" t="s">
        <v>15079</v>
      </c>
      <c r="VHA1" t="s">
        <v>15080</v>
      </c>
      <c r="VHB1" t="s">
        <v>15081</v>
      </c>
      <c r="VHC1" t="s">
        <v>15082</v>
      </c>
      <c r="VHD1" t="s">
        <v>15083</v>
      </c>
      <c r="VHE1" t="s">
        <v>15084</v>
      </c>
      <c r="VHF1" t="s">
        <v>15085</v>
      </c>
      <c r="VHG1" t="s">
        <v>15086</v>
      </c>
      <c r="VHH1" t="s">
        <v>15087</v>
      </c>
      <c r="VHI1" t="s">
        <v>15088</v>
      </c>
      <c r="VHJ1" t="s">
        <v>15089</v>
      </c>
      <c r="VHK1" t="s">
        <v>15090</v>
      </c>
      <c r="VHL1" t="s">
        <v>15091</v>
      </c>
      <c r="VHM1" t="s">
        <v>15092</v>
      </c>
      <c r="VHN1" t="s">
        <v>15093</v>
      </c>
      <c r="VHO1" t="s">
        <v>15094</v>
      </c>
      <c r="VHP1" t="s">
        <v>15095</v>
      </c>
      <c r="VHQ1" t="s">
        <v>15096</v>
      </c>
      <c r="VHR1" t="s">
        <v>15097</v>
      </c>
      <c r="VHS1" t="s">
        <v>15098</v>
      </c>
      <c r="VHT1" t="s">
        <v>15099</v>
      </c>
      <c r="VHU1" t="s">
        <v>15100</v>
      </c>
      <c r="VHV1" t="s">
        <v>15101</v>
      </c>
      <c r="VHW1" t="s">
        <v>15102</v>
      </c>
      <c r="VHX1" t="s">
        <v>15103</v>
      </c>
      <c r="VHY1" t="s">
        <v>15104</v>
      </c>
      <c r="VHZ1" t="s">
        <v>15105</v>
      </c>
      <c r="VIA1" t="s">
        <v>15106</v>
      </c>
      <c r="VIB1" t="s">
        <v>15107</v>
      </c>
      <c r="VIC1" t="s">
        <v>15108</v>
      </c>
      <c r="VID1" t="s">
        <v>15109</v>
      </c>
      <c r="VIE1" t="s">
        <v>15110</v>
      </c>
      <c r="VIF1" t="s">
        <v>15111</v>
      </c>
      <c r="VIG1" t="s">
        <v>15112</v>
      </c>
      <c r="VIH1" t="s">
        <v>15113</v>
      </c>
      <c r="VII1" t="s">
        <v>15114</v>
      </c>
      <c r="VIJ1" t="s">
        <v>15115</v>
      </c>
      <c r="VIK1" t="s">
        <v>15116</v>
      </c>
      <c r="VIL1" t="s">
        <v>15117</v>
      </c>
      <c r="VIM1" t="s">
        <v>15118</v>
      </c>
      <c r="VIN1" t="s">
        <v>15119</v>
      </c>
      <c r="VIO1" t="s">
        <v>15120</v>
      </c>
      <c r="VIP1" t="s">
        <v>15121</v>
      </c>
      <c r="VIQ1" t="s">
        <v>15122</v>
      </c>
      <c r="VIR1" t="s">
        <v>15123</v>
      </c>
      <c r="VIS1" t="s">
        <v>15124</v>
      </c>
      <c r="VIT1" t="s">
        <v>15125</v>
      </c>
      <c r="VIU1" t="s">
        <v>15126</v>
      </c>
      <c r="VIV1" t="s">
        <v>15127</v>
      </c>
      <c r="VIW1" t="s">
        <v>15128</v>
      </c>
      <c r="VIX1" t="s">
        <v>15129</v>
      </c>
      <c r="VIY1" t="s">
        <v>15130</v>
      </c>
      <c r="VIZ1" t="s">
        <v>15131</v>
      </c>
      <c r="VJA1" t="s">
        <v>15132</v>
      </c>
      <c r="VJB1" t="s">
        <v>15133</v>
      </c>
      <c r="VJC1" t="s">
        <v>15134</v>
      </c>
      <c r="VJD1" t="s">
        <v>15135</v>
      </c>
      <c r="VJE1" t="s">
        <v>15136</v>
      </c>
      <c r="VJF1" t="s">
        <v>15137</v>
      </c>
      <c r="VJG1" t="s">
        <v>15138</v>
      </c>
      <c r="VJH1" t="s">
        <v>15139</v>
      </c>
      <c r="VJI1" t="s">
        <v>15140</v>
      </c>
      <c r="VJJ1" t="s">
        <v>15141</v>
      </c>
      <c r="VJK1" t="s">
        <v>15142</v>
      </c>
      <c r="VJL1" t="s">
        <v>15143</v>
      </c>
      <c r="VJM1" t="s">
        <v>15144</v>
      </c>
      <c r="VJN1" t="s">
        <v>15145</v>
      </c>
      <c r="VJO1" t="s">
        <v>15146</v>
      </c>
      <c r="VJP1" t="s">
        <v>15147</v>
      </c>
      <c r="VJQ1" t="s">
        <v>15148</v>
      </c>
      <c r="VJR1" t="s">
        <v>15149</v>
      </c>
      <c r="VJS1" t="s">
        <v>15150</v>
      </c>
      <c r="VJT1" t="s">
        <v>15151</v>
      </c>
      <c r="VJU1" t="s">
        <v>15152</v>
      </c>
      <c r="VJV1" t="s">
        <v>15153</v>
      </c>
      <c r="VJW1" t="s">
        <v>15154</v>
      </c>
      <c r="VJX1" t="s">
        <v>15155</v>
      </c>
      <c r="VJY1" t="s">
        <v>15156</v>
      </c>
      <c r="VJZ1" t="s">
        <v>15157</v>
      </c>
      <c r="VKA1" t="s">
        <v>15158</v>
      </c>
      <c r="VKB1" t="s">
        <v>15159</v>
      </c>
      <c r="VKC1" t="s">
        <v>15160</v>
      </c>
      <c r="VKD1" t="s">
        <v>15161</v>
      </c>
      <c r="VKE1" t="s">
        <v>15162</v>
      </c>
      <c r="VKF1" t="s">
        <v>15163</v>
      </c>
      <c r="VKG1" t="s">
        <v>15164</v>
      </c>
      <c r="VKH1" t="s">
        <v>15165</v>
      </c>
      <c r="VKI1" t="s">
        <v>15166</v>
      </c>
      <c r="VKJ1" t="s">
        <v>15167</v>
      </c>
      <c r="VKK1" t="s">
        <v>15168</v>
      </c>
      <c r="VKL1" t="s">
        <v>15169</v>
      </c>
      <c r="VKM1" t="s">
        <v>15170</v>
      </c>
      <c r="VKN1" t="s">
        <v>15171</v>
      </c>
      <c r="VKO1" t="s">
        <v>15172</v>
      </c>
      <c r="VKP1" t="s">
        <v>15173</v>
      </c>
      <c r="VKQ1" t="s">
        <v>15174</v>
      </c>
      <c r="VKR1" t="s">
        <v>15175</v>
      </c>
      <c r="VKS1" t="s">
        <v>15176</v>
      </c>
      <c r="VKT1" t="s">
        <v>15177</v>
      </c>
      <c r="VKU1" t="s">
        <v>15178</v>
      </c>
      <c r="VKV1" t="s">
        <v>15179</v>
      </c>
      <c r="VKW1" t="s">
        <v>15180</v>
      </c>
      <c r="VKX1" t="s">
        <v>15181</v>
      </c>
      <c r="VKY1" t="s">
        <v>15182</v>
      </c>
      <c r="VKZ1" t="s">
        <v>15183</v>
      </c>
      <c r="VLA1" t="s">
        <v>15184</v>
      </c>
      <c r="VLB1" t="s">
        <v>15185</v>
      </c>
      <c r="VLC1" t="s">
        <v>15186</v>
      </c>
      <c r="VLD1" t="s">
        <v>15187</v>
      </c>
      <c r="VLE1" t="s">
        <v>15188</v>
      </c>
      <c r="VLF1" t="s">
        <v>15189</v>
      </c>
      <c r="VLG1" t="s">
        <v>15190</v>
      </c>
      <c r="VLH1" t="s">
        <v>15191</v>
      </c>
      <c r="VLI1" t="s">
        <v>15192</v>
      </c>
      <c r="VLJ1" t="s">
        <v>15193</v>
      </c>
      <c r="VLK1" t="s">
        <v>15194</v>
      </c>
      <c r="VLL1" t="s">
        <v>15195</v>
      </c>
      <c r="VLM1" t="s">
        <v>15196</v>
      </c>
      <c r="VLN1" t="s">
        <v>15197</v>
      </c>
      <c r="VLO1" t="s">
        <v>15198</v>
      </c>
      <c r="VLP1" t="s">
        <v>15199</v>
      </c>
      <c r="VLQ1" t="s">
        <v>15200</v>
      </c>
      <c r="VLR1" t="s">
        <v>15201</v>
      </c>
      <c r="VLS1" t="s">
        <v>15202</v>
      </c>
      <c r="VLT1" t="s">
        <v>15203</v>
      </c>
      <c r="VLU1" t="s">
        <v>15204</v>
      </c>
      <c r="VLV1" t="s">
        <v>15205</v>
      </c>
      <c r="VLW1" t="s">
        <v>15206</v>
      </c>
      <c r="VLX1" t="s">
        <v>15207</v>
      </c>
      <c r="VLY1" t="s">
        <v>15208</v>
      </c>
      <c r="VLZ1" t="s">
        <v>15209</v>
      </c>
      <c r="VMA1" t="s">
        <v>15210</v>
      </c>
      <c r="VMB1" t="s">
        <v>15211</v>
      </c>
      <c r="VMC1" t="s">
        <v>15212</v>
      </c>
      <c r="VMD1" t="s">
        <v>15213</v>
      </c>
      <c r="VME1" t="s">
        <v>15214</v>
      </c>
      <c r="VMF1" t="s">
        <v>15215</v>
      </c>
      <c r="VMG1" t="s">
        <v>15216</v>
      </c>
      <c r="VMH1" t="s">
        <v>15217</v>
      </c>
      <c r="VMI1" t="s">
        <v>15218</v>
      </c>
      <c r="VMJ1" t="s">
        <v>15219</v>
      </c>
      <c r="VMK1" t="s">
        <v>15220</v>
      </c>
      <c r="VML1" t="s">
        <v>15221</v>
      </c>
      <c r="VMM1" t="s">
        <v>15222</v>
      </c>
      <c r="VMN1" t="s">
        <v>15223</v>
      </c>
      <c r="VMO1" t="s">
        <v>15224</v>
      </c>
      <c r="VMP1" t="s">
        <v>15225</v>
      </c>
      <c r="VMQ1" t="s">
        <v>15226</v>
      </c>
      <c r="VMR1" t="s">
        <v>15227</v>
      </c>
      <c r="VMS1" t="s">
        <v>15228</v>
      </c>
      <c r="VMT1" t="s">
        <v>15229</v>
      </c>
      <c r="VMU1" t="s">
        <v>15230</v>
      </c>
      <c r="VMV1" t="s">
        <v>15231</v>
      </c>
      <c r="VMW1" t="s">
        <v>15232</v>
      </c>
      <c r="VMX1" t="s">
        <v>15233</v>
      </c>
      <c r="VMY1" t="s">
        <v>15234</v>
      </c>
      <c r="VMZ1" t="s">
        <v>15235</v>
      </c>
      <c r="VNA1" t="s">
        <v>15236</v>
      </c>
      <c r="VNB1" t="s">
        <v>15237</v>
      </c>
      <c r="VNC1" t="s">
        <v>15238</v>
      </c>
      <c r="VND1" t="s">
        <v>15239</v>
      </c>
      <c r="VNE1" t="s">
        <v>15240</v>
      </c>
      <c r="VNF1" t="s">
        <v>15241</v>
      </c>
      <c r="VNG1" t="s">
        <v>15242</v>
      </c>
      <c r="VNH1" t="s">
        <v>15243</v>
      </c>
      <c r="VNI1" t="s">
        <v>15244</v>
      </c>
      <c r="VNJ1" t="s">
        <v>15245</v>
      </c>
      <c r="VNK1" t="s">
        <v>15246</v>
      </c>
      <c r="VNL1" t="s">
        <v>15247</v>
      </c>
      <c r="VNM1" t="s">
        <v>15248</v>
      </c>
      <c r="VNN1" t="s">
        <v>15249</v>
      </c>
      <c r="VNO1" t="s">
        <v>15250</v>
      </c>
      <c r="VNP1" t="s">
        <v>15251</v>
      </c>
      <c r="VNQ1" t="s">
        <v>15252</v>
      </c>
      <c r="VNR1" t="s">
        <v>15253</v>
      </c>
      <c r="VNS1" t="s">
        <v>15254</v>
      </c>
      <c r="VNT1" t="s">
        <v>15255</v>
      </c>
      <c r="VNU1" t="s">
        <v>15256</v>
      </c>
      <c r="VNV1" t="s">
        <v>15257</v>
      </c>
      <c r="VNW1" t="s">
        <v>15258</v>
      </c>
      <c r="VNX1" t="s">
        <v>15259</v>
      </c>
      <c r="VNY1" t="s">
        <v>15260</v>
      </c>
      <c r="VNZ1" t="s">
        <v>15261</v>
      </c>
      <c r="VOA1" t="s">
        <v>15262</v>
      </c>
      <c r="VOB1" t="s">
        <v>15263</v>
      </c>
      <c r="VOC1" t="s">
        <v>15264</v>
      </c>
      <c r="VOD1" t="s">
        <v>15265</v>
      </c>
      <c r="VOE1" t="s">
        <v>15266</v>
      </c>
      <c r="VOF1" t="s">
        <v>15267</v>
      </c>
      <c r="VOG1" t="s">
        <v>15268</v>
      </c>
      <c r="VOH1" t="s">
        <v>15269</v>
      </c>
      <c r="VOI1" t="s">
        <v>15270</v>
      </c>
      <c r="VOJ1" t="s">
        <v>15271</v>
      </c>
      <c r="VOK1" t="s">
        <v>15272</v>
      </c>
      <c r="VOL1" t="s">
        <v>15273</v>
      </c>
      <c r="VOM1" t="s">
        <v>15274</v>
      </c>
      <c r="VON1" t="s">
        <v>15275</v>
      </c>
      <c r="VOO1" t="s">
        <v>15276</v>
      </c>
      <c r="VOP1" t="s">
        <v>15277</v>
      </c>
      <c r="VOQ1" t="s">
        <v>15278</v>
      </c>
      <c r="VOR1" t="s">
        <v>15279</v>
      </c>
      <c r="VOS1" t="s">
        <v>15280</v>
      </c>
      <c r="VOT1" t="s">
        <v>15281</v>
      </c>
      <c r="VOU1" t="s">
        <v>15282</v>
      </c>
      <c r="VOV1" t="s">
        <v>15283</v>
      </c>
      <c r="VOW1" t="s">
        <v>15284</v>
      </c>
      <c r="VOX1" t="s">
        <v>15285</v>
      </c>
      <c r="VOY1" t="s">
        <v>15286</v>
      </c>
      <c r="VOZ1" t="s">
        <v>15287</v>
      </c>
      <c r="VPA1" t="s">
        <v>15288</v>
      </c>
      <c r="VPB1" t="s">
        <v>15289</v>
      </c>
      <c r="VPC1" t="s">
        <v>15290</v>
      </c>
      <c r="VPD1" t="s">
        <v>15291</v>
      </c>
      <c r="VPE1" t="s">
        <v>15292</v>
      </c>
      <c r="VPF1" t="s">
        <v>15293</v>
      </c>
      <c r="VPG1" t="s">
        <v>15294</v>
      </c>
      <c r="VPH1" t="s">
        <v>15295</v>
      </c>
      <c r="VPI1" t="s">
        <v>15296</v>
      </c>
      <c r="VPJ1" t="s">
        <v>15297</v>
      </c>
      <c r="VPK1" t="s">
        <v>15298</v>
      </c>
      <c r="VPL1" t="s">
        <v>15299</v>
      </c>
      <c r="VPM1" t="s">
        <v>15300</v>
      </c>
      <c r="VPN1" t="s">
        <v>15301</v>
      </c>
      <c r="VPO1" t="s">
        <v>15302</v>
      </c>
      <c r="VPP1" t="s">
        <v>15303</v>
      </c>
      <c r="VPQ1" t="s">
        <v>15304</v>
      </c>
      <c r="VPR1" t="s">
        <v>15305</v>
      </c>
      <c r="VPS1" t="s">
        <v>15306</v>
      </c>
      <c r="VPT1" t="s">
        <v>15307</v>
      </c>
      <c r="VPU1" t="s">
        <v>15308</v>
      </c>
      <c r="VPV1" t="s">
        <v>15309</v>
      </c>
      <c r="VPW1" t="s">
        <v>15310</v>
      </c>
      <c r="VPX1" t="s">
        <v>15311</v>
      </c>
      <c r="VPY1" t="s">
        <v>15312</v>
      </c>
      <c r="VPZ1" t="s">
        <v>15313</v>
      </c>
      <c r="VQA1" t="s">
        <v>15314</v>
      </c>
      <c r="VQB1" t="s">
        <v>15315</v>
      </c>
      <c r="VQC1" t="s">
        <v>15316</v>
      </c>
      <c r="VQD1" t="s">
        <v>15317</v>
      </c>
      <c r="VQE1" t="s">
        <v>15318</v>
      </c>
      <c r="VQF1" t="s">
        <v>15319</v>
      </c>
      <c r="VQG1" t="s">
        <v>15320</v>
      </c>
      <c r="VQH1" t="s">
        <v>15321</v>
      </c>
      <c r="VQI1" t="s">
        <v>15322</v>
      </c>
      <c r="VQJ1" t="s">
        <v>15323</v>
      </c>
      <c r="VQK1" t="s">
        <v>15324</v>
      </c>
      <c r="VQL1" t="s">
        <v>15325</v>
      </c>
      <c r="VQM1" t="s">
        <v>15326</v>
      </c>
      <c r="VQN1" t="s">
        <v>15327</v>
      </c>
      <c r="VQO1" t="s">
        <v>15328</v>
      </c>
      <c r="VQP1" t="s">
        <v>15329</v>
      </c>
      <c r="VQQ1" t="s">
        <v>15330</v>
      </c>
      <c r="VQR1" t="s">
        <v>15331</v>
      </c>
      <c r="VQS1" t="s">
        <v>15332</v>
      </c>
      <c r="VQT1" t="s">
        <v>15333</v>
      </c>
      <c r="VQU1" t="s">
        <v>15334</v>
      </c>
      <c r="VQV1" t="s">
        <v>15335</v>
      </c>
      <c r="VQW1" t="s">
        <v>15336</v>
      </c>
      <c r="VQX1" t="s">
        <v>15337</v>
      </c>
      <c r="VQY1" t="s">
        <v>15338</v>
      </c>
      <c r="VQZ1" t="s">
        <v>15339</v>
      </c>
      <c r="VRA1" t="s">
        <v>15340</v>
      </c>
      <c r="VRB1" t="s">
        <v>15341</v>
      </c>
      <c r="VRC1" t="s">
        <v>15342</v>
      </c>
      <c r="VRD1" t="s">
        <v>15343</v>
      </c>
      <c r="VRE1" t="s">
        <v>15344</v>
      </c>
      <c r="VRF1" t="s">
        <v>15345</v>
      </c>
      <c r="VRG1" t="s">
        <v>15346</v>
      </c>
      <c r="VRH1" t="s">
        <v>15347</v>
      </c>
      <c r="VRI1" t="s">
        <v>15348</v>
      </c>
      <c r="VRJ1" t="s">
        <v>15349</v>
      </c>
      <c r="VRK1" t="s">
        <v>15350</v>
      </c>
      <c r="VRL1" t="s">
        <v>15351</v>
      </c>
      <c r="VRM1" t="s">
        <v>15352</v>
      </c>
      <c r="VRN1" t="s">
        <v>15353</v>
      </c>
      <c r="VRO1" t="s">
        <v>15354</v>
      </c>
      <c r="VRP1" t="s">
        <v>15355</v>
      </c>
      <c r="VRQ1" t="s">
        <v>15356</v>
      </c>
      <c r="VRR1" t="s">
        <v>15357</v>
      </c>
      <c r="VRS1" t="s">
        <v>15358</v>
      </c>
      <c r="VRT1" t="s">
        <v>15359</v>
      </c>
      <c r="VRU1" t="s">
        <v>15360</v>
      </c>
      <c r="VRV1" t="s">
        <v>15361</v>
      </c>
      <c r="VRW1" t="s">
        <v>15362</v>
      </c>
      <c r="VRX1" t="s">
        <v>15363</v>
      </c>
      <c r="VRY1" t="s">
        <v>15364</v>
      </c>
      <c r="VRZ1" t="s">
        <v>15365</v>
      </c>
      <c r="VSA1" t="s">
        <v>15366</v>
      </c>
      <c r="VSB1" t="s">
        <v>15367</v>
      </c>
      <c r="VSC1" t="s">
        <v>15368</v>
      </c>
      <c r="VSD1" t="s">
        <v>15369</v>
      </c>
      <c r="VSE1" t="s">
        <v>15370</v>
      </c>
      <c r="VSF1" t="s">
        <v>15371</v>
      </c>
      <c r="VSG1" t="s">
        <v>15372</v>
      </c>
      <c r="VSH1" t="s">
        <v>15373</v>
      </c>
      <c r="VSI1" t="s">
        <v>15374</v>
      </c>
      <c r="VSJ1" t="s">
        <v>15375</v>
      </c>
      <c r="VSK1" t="s">
        <v>15376</v>
      </c>
      <c r="VSL1" t="s">
        <v>15377</v>
      </c>
      <c r="VSM1" t="s">
        <v>15378</v>
      </c>
      <c r="VSN1" t="s">
        <v>15379</v>
      </c>
      <c r="VSO1" t="s">
        <v>15380</v>
      </c>
      <c r="VSP1" t="s">
        <v>15381</v>
      </c>
      <c r="VSQ1" t="s">
        <v>15382</v>
      </c>
      <c r="VSR1" t="s">
        <v>15383</v>
      </c>
      <c r="VSS1" t="s">
        <v>15384</v>
      </c>
      <c r="VST1" t="s">
        <v>15385</v>
      </c>
      <c r="VSU1" t="s">
        <v>15386</v>
      </c>
      <c r="VSV1" t="s">
        <v>15387</v>
      </c>
      <c r="VSW1" t="s">
        <v>15388</v>
      </c>
      <c r="VSX1" t="s">
        <v>15389</v>
      </c>
      <c r="VSY1" t="s">
        <v>15390</v>
      </c>
      <c r="VSZ1" t="s">
        <v>15391</v>
      </c>
      <c r="VTA1" t="s">
        <v>15392</v>
      </c>
      <c r="VTB1" t="s">
        <v>15393</v>
      </c>
      <c r="VTC1" t="s">
        <v>15394</v>
      </c>
      <c r="VTD1" t="s">
        <v>15395</v>
      </c>
      <c r="VTE1" t="s">
        <v>15396</v>
      </c>
      <c r="VTF1" t="s">
        <v>15397</v>
      </c>
      <c r="VTG1" t="s">
        <v>15398</v>
      </c>
      <c r="VTH1" t="s">
        <v>15399</v>
      </c>
      <c r="VTI1" t="s">
        <v>15400</v>
      </c>
      <c r="VTJ1" t="s">
        <v>15401</v>
      </c>
      <c r="VTK1" t="s">
        <v>15402</v>
      </c>
      <c r="VTL1" t="s">
        <v>15403</v>
      </c>
      <c r="VTM1" t="s">
        <v>15404</v>
      </c>
      <c r="VTN1" t="s">
        <v>15405</v>
      </c>
      <c r="VTO1" t="s">
        <v>15406</v>
      </c>
      <c r="VTP1" t="s">
        <v>15407</v>
      </c>
      <c r="VTQ1" t="s">
        <v>15408</v>
      </c>
      <c r="VTR1" t="s">
        <v>15409</v>
      </c>
      <c r="VTS1" t="s">
        <v>15410</v>
      </c>
      <c r="VTT1" t="s">
        <v>15411</v>
      </c>
      <c r="VTU1" t="s">
        <v>15412</v>
      </c>
      <c r="VTV1" t="s">
        <v>15413</v>
      </c>
      <c r="VTW1" t="s">
        <v>15414</v>
      </c>
      <c r="VTX1" t="s">
        <v>15415</v>
      </c>
      <c r="VTY1" t="s">
        <v>15416</v>
      </c>
      <c r="VTZ1" t="s">
        <v>15417</v>
      </c>
      <c r="VUA1" t="s">
        <v>15418</v>
      </c>
      <c r="VUB1" t="s">
        <v>15419</v>
      </c>
      <c r="VUC1" t="s">
        <v>15420</v>
      </c>
      <c r="VUD1" t="s">
        <v>15421</v>
      </c>
      <c r="VUE1" t="s">
        <v>15422</v>
      </c>
      <c r="VUF1" t="s">
        <v>15423</v>
      </c>
      <c r="VUG1" t="s">
        <v>15424</v>
      </c>
      <c r="VUH1" t="s">
        <v>15425</v>
      </c>
      <c r="VUI1" t="s">
        <v>15426</v>
      </c>
      <c r="VUJ1" t="s">
        <v>15427</v>
      </c>
      <c r="VUK1" t="s">
        <v>15428</v>
      </c>
      <c r="VUL1" t="s">
        <v>15429</v>
      </c>
      <c r="VUM1" t="s">
        <v>15430</v>
      </c>
      <c r="VUN1" t="s">
        <v>15431</v>
      </c>
      <c r="VUO1" t="s">
        <v>15432</v>
      </c>
      <c r="VUP1" t="s">
        <v>15433</v>
      </c>
      <c r="VUQ1" t="s">
        <v>15434</v>
      </c>
      <c r="VUR1" t="s">
        <v>15435</v>
      </c>
      <c r="VUS1" t="s">
        <v>15436</v>
      </c>
      <c r="VUT1" t="s">
        <v>15437</v>
      </c>
      <c r="VUU1" t="s">
        <v>15438</v>
      </c>
      <c r="VUV1" t="s">
        <v>15439</v>
      </c>
      <c r="VUW1" t="s">
        <v>15440</v>
      </c>
      <c r="VUX1" t="s">
        <v>15441</v>
      </c>
      <c r="VUY1" t="s">
        <v>15442</v>
      </c>
      <c r="VUZ1" t="s">
        <v>15443</v>
      </c>
      <c r="VVA1" t="s">
        <v>15444</v>
      </c>
      <c r="VVB1" t="s">
        <v>15445</v>
      </c>
      <c r="VVC1" t="s">
        <v>15446</v>
      </c>
      <c r="VVD1" t="s">
        <v>15447</v>
      </c>
      <c r="VVE1" t="s">
        <v>15448</v>
      </c>
      <c r="VVF1" t="s">
        <v>15449</v>
      </c>
      <c r="VVG1" t="s">
        <v>15450</v>
      </c>
      <c r="VVH1" t="s">
        <v>15451</v>
      </c>
      <c r="VVI1" t="s">
        <v>15452</v>
      </c>
      <c r="VVJ1" t="s">
        <v>15453</v>
      </c>
      <c r="VVK1" t="s">
        <v>15454</v>
      </c>
      <c r="VVL1" t="s">
        <v>15455</v>
      </c>
      <c r="VVM1" t="s">
        <v>15456</v>
      </c>
      <c r="VVN1" t="s">
        <v>15457</v>
      </c>
      <c r="VVO1" t="s">
        <v>15458</v>
      </c>
      <c r="VVP1" t="s">
        <v>15459</v>
      </c>
      <c r="VVQ1" t="s">
        <v>15460</v>
      </c>
      <c r="VVR1" t="s">
        <v>15461</v>
      </c>
      <c r="VVS1" t="s">
        <v>15462</v>
      </c>
      <c r="VVT1" t="s">
        <v>15463</v>
      </c>
      <c r="VVU1" t="s">
        <v>15464</v>
      </c>
      <c r="VVV1" t="s">
        <v>15465</v>
      </c>
      <c r="VVW1" t="s">
        <v>15466</v>
      </c>
      <c r="VVX1" t="s">
        <v>15467</v>
      </c>
      <c r="VVY1" t="s">
        <v>15468</v>
      </c>
      <c r="VVZ1" t="s">
        <v>15469</v>
      </c>
      <c r="VWA1" t="s">
        <v>15470</v>
      </c>
      <c r="VWB1" t="s">
        <v>15471</v>
      </c>
      <c r="VWC1" t="s">
        <v>15472</v>
      </c>
      <c r="VWD1" t="s">
        <v>15473</v>
      </c>
      <c r="VWE1" t="s">
        <v>15474</v>
      </c>
      <c r="VWF1" t="s">
        <v>15475</v>
      </c>
      <c r="VWG1" t="s">
        <v>15476</v>
      </c>
      <c r="VWH1" t="s">
        <v>15477</v>
      </c>
      <c r="VWI1" t="s">
        <v>15478</v>
      </c>
      <c r="VWJ1" t="s">
        <v>15479</v>
      </c>
      <c r="VWK1" t="s">
        <v>15480</v>
      </c>
      <c r="VWL1" t="s">
        <v>15481</v>
      </c>
      <c r="VWM1" t="s">
        <v>15482</v>
      </c>
      <c r="VWN1" t="s">
        <v>15483</v>
      </c>
      <c r="VWO1" t="s">
        <v>15484</v>
      </c>
      <c r="VWP1" t="s">
        <v>15485</v>
      </c>
      <c r="VWQ1" t="s">
        <v>15486</v>
      </c>
      <c r="VWR1" t="s">
        <v>15487</v>
      </c>
      <c r="VWS1" t="s">
        <v>15488</v>
      </c>
      <c r="VWT1" t="s">
        <v>15489</v>
      </c>
      <c r="VWU1" t="s">
        <v>15490</v>
      </c>
      <c r="VWV1" t="s">
        <v>15491</v>
      </c>
      <c r="VWW1" t="s">
        <v>15492</v>
      </c>
      <c r="VWX1" t="s">
        <v>15493</v>
      </c>
      <c r="VWY1" t="s">
        <v>15494</v>
      </c>
      <c r="VWZ1" t="s">
        <v>15495</v>
      </c>
      <c r="VXA1" t="s">
        <v>15496</v>
      </c>
      <c r="VXB1" t="s">
        <v>15497</v>
      </c>
      <c r="VXC1" t="s">
        <v>15498</v>
      </c>
      <c r="VXD1" t="s">
        <v>15499</v>
      </c>
      <c r="VXE1" t="s">
        <v>15500</v>
      </c>
      <c r="VXF1" t="s">
        <v>15501</v>
      </c>
      <c r="VXG1" t="s">
        <v>15502</v>
      </c>
      <c r="VXH1" t="s">
        <v>15503</v>
      </c>
      <c r="VXI1" t="s">
        <v>15504</v>
      </c>
      <c r="VXJ1" t="s">
        <v>15505</v>
      </c>
      <c r="VXK1" t="s">
        <v>15506</v>
      </c>
      <c r="VXL1" t="s">
        <v>15507</v>
      </c>
      <c r="VXM1" t="s">
        <v>15508</v>
      </c>
      <c r="VXN1" t="s">
        <v>15509</v>
      </c>
      <c r="VXO1" t="s">
        <v>15510</v>
      </c>
      <c r="VXP1" t="s">
        <v>15511</v>
      </c>
      <c r="VXQ1" t="s">
        <v>15512</v>
      </c>
      <c r="VXR1" t="s">
        <v>15513</v>
      </c>
      <c r="VXS1" t="s">
        <v>15514</v>
      </c>
      <c r="VXT1" t="s">
        <v>15515</v>
      </c>
      <c r="VXU1" t="s">
        <v>15516</v>
      </c>
      <c r="VXV1" t="s">
        <v>15517</v>
      </c>
      <c r="VXW1" t="s">
        <v>15518</v>
      </c>
      <c r="VXX1" t="s">
        <v>15519</v>
      </c>
      <c r="VXY1" t="s">
        <v>15520</v>
      </c>
      <c r="VXZ1" t="s">
        <v>15521</v>
      </c>
      <c r="VYA1" t="s">
        <v>15522</v>
      </c>
      <c r="VYB1" t="s">
        <v>15523</v>
      </c>
      <c r="VYC1" t="s">
        <v>15524</v>
      </c>
      <c r="VYD1" t="s">
        <v>15525</v>
      </c>
      <c r="VYE1" t="s">
        <v>15526</v>
      </c>
      <c r="VYF1" t="s">
        <v>15527</v>
      </c>
      <c r="VYG1" t="s">
        <v>15528</v>
      </c>
      <c r="VYH1" t="s">
        <v>15529</v>
      </c>
      <c r="VYI1" t="s">
        <v>15530</v>
      </c>
      <c r="VYJ1" t="s">
        <v>15531</v>
      </c>
      <c r="VYK1" t="s">
        <v>15532</v>
      </c>
      <c r="VYL1" t="s">
        <v>15533</v>
      </c>
      <c r="VYM1" t="s">
        <v>15534</v>
      </c>
      <c r="VYN1" t="s">
        <v>15535</v>
      </c>
      <c r="VYO1" t="s">
        <v>15536</v>
      </c>
      <c r="VYP1" t="s">
        <v>15537</v>
      </c>
      <c r="VYQ1" t="s">
        <v>15538</v>
      </c>
      <c r="VYR1" t="s">
        <v>15539</v>
      </c>
      <c r="VYS1" t="s">
        <v>15540</v>
      </c>
      <c r="VYT1" t="s">
        <v>15541</v>
      </c>
      <c r="VYU1" t="s">
        <v>15542</v>
      </c>
      <c r="VYV1" t="s">
        <v>15543</v>
      </c>
      <c r="VYW1" t="s">
        <v>15544</v>
      </c>
      <c r="VYX1" t="s">
        <v>15545</v>
      </c>
      <c r="VYY1" t="s">
        <v>15546</v>
      </c>
      <c r="VYZ1" t="s">
        <v>15547</v>
      </c>
      <c r="VZA1" t="s">
        <v>15548</v>
      </c>
      <c r="VZB1" t="s">
        <v>15549</v>
      </c>
      <c r="VZC1" t="s">
        <v>15550</v>
      </c>
      <c r="VZD1" t="s">
        <v>15551</v>
      </c>
      <c r="VZE1" t="s">
        <v>15552</v>
      </c>
      <c r="VZF1" t="s">
        <v>15553</v>
      </c>
      <c r="VZG1" t="s">
        <v>15554</v>
      </c>
      <c r="VZH1" t="s">
        <v>15555</v>
      </c>
      <c r="VZI1" t="s">
        <v>15556</v>
      </c>
      <c r="VZJ1" t="s">
        <v>15557</v>
      </c>
      <c r="VZK1" t="s">
        <v>15558</v>
      </c>
      <c r="VZL1" t="s">
        <v>15559</v>
      </c>
      <c r="VZM1" t="s">
        <v>15560</v>
      </c>
      <c r="VZN1" t="s">
        <v>15561</v>
      </c>
      <c r="VZO1" t="s">
        <v>15562</v>
      </c>
      <c r="VZP1" t="s">
        <v>15563</v>
      </c>
      <c r="VZQ1" t="s">
        <v>15564</v>
      </c>
      <c r="VZR1" t="s">
        <v>15565</v>
      </c>
      <c r="VZS1" t="s">
        <v>15566</v>
      </c>
      <c r="VZT1" t="s">
        <v>15567</v>
      </c>
      <c r="VZU1" t="s">
        <v>15568</v>
      </c>
      <c r="VZV1" t="s">
        <v>15569</v>
      </c>
      <c r="VZW1" t="s">
        <v>15570</v>
      </c>
      <c r="VZX1" t="s">
        <v>15571</v>
      </c>
      <c r="VZY1" t="s">
        <v>15572</v>
      </c>
      <c r="VZZ1" t="s">
        <v>15573</v>
      </c>
      <c r="WAA1" t="s">
        <v>15574</v>
      </c>
      <c r="WAB1" t="s">
        <v>15575</v>
      </c>
      <c r="WAC1" t="s">
        <v>15576</v>
      </c>
      <c r="WAD1" t="s">
        <v>15577</v>
      </c>
      <c r="WAE1" t="s">
        <v>15578</v>
      </c>
      <c r="WAF1" t="s">
        <v>15579</v>
      </c>
      <c r="WAG1" t="s">
        <v>15580</v>
      </c>
      <c r="WAH1" t="s">
        <v>15581</v>
      </c>
      <c r="WAI1" t="s">
        <v>15582</v>
      </c>
      <c r="WAJ1" t="s">
        <v>15583</v>
      </c>
      <c r="WAK1" t="s">
        <v>15584</v>
      </c>
      <c r="WAL1" t="s">
        <v>15585</v>
      </c>
      <c r="WAM1" t="s">
        <v>15586</v>
      </c>
      <c r="WAN1" t="s">
        <v>15587</v>
      </c>
      <c r="WAO1" t="s">
        <v>15588</v>
      </c>
      <c r="WAP1" t="s">
        <v>15589</v>
      </c>
      <c r="WAQ1" t="s">
        <v>15590</v>
      </c>
      <c r="WAR1" t="s">
        <v>15591</v>
      </c>
      <c r="WAS1" t="s">
        <v>15592</v>
      </c>
      <c r="WAT1" t="s">
        <v>15593</v>
      </c>
      <c r="WAU1" t="s">
        <v>15594</v>
      </c>
      <c r="WAV1" t="s">
        <v>15595</v>
      </c>
      <c r="WAW1" t="s">
        <v>15596</v>
      </c>
      <c r="WAX1" t="s">
        <v>15597</v>
      </c>
      <c r="WAY1" t="s">
        <v>15598</v>
      </c>
      <c r="WAZ1" t="s">
        <v>15599</v>
      </c>
      <c r="WBA1" t="s">
        <v>15600</v>
      </c>
      <c r="WBB1" t="s">
        <v>15601</v>
      </c>
      <c r="WBC1" t="s">
        <v>15602</v>
      </c>
      <c r="WBD1" t="s">
        <v>15603</v>
      </c>
      <c r="WBE1" t="s">
        <v>15604</v>
      </c>
      <c r="WBF1" t="s">
        <v>15605</v>
      </c>
      <c r="WBG1" t="s">
        <v>15606</v>
      </c>
      <c r="WBH1" t="s">
        <v>15607</v>
      </c>
      <c r="WBI1" t="s">
        <v>15608</v>
      </c>
      <c r="WBJ1" t="s">
        <v>15609</v>
      </c>
      <c r="WBK1" t="s">
        <v>15610</v>
      </c>
      <c r="WBL1" t="s">
        <v>15611</v>
      </c>
      <c r="WBM1" t="s">
        <v>15612</v>
      </c>
      <c r="WBN1" t="s">
        <v>15613</v>
      </c>
      <c r="WBO1" t="s">
        <v>15614</v>
      </c>
      <c r="WBP1" t="s">
        <v>15615</v>
      </c>
      <c r="WBQ1" t="s">
        <v>15616</v>
      </c>
      <c r="WBR1" t="s">
        <v>15617</v>
      </c>
      <c r="WBS1" t="s">
        <v>15618</v>
      </c>
      <c r="WBT1" t="s">
        <v>15619</v>
      </c>
      <c r="WBU1" t="s">
        <v>15620</v>
      </c>
      <c r="WBV1" t="s">
        <v>15621</v>
      </c>
      <c r="WBW1" t="s">
        <v>15622</v>
      </c>
      <c r="WBX1" t="s">
        <v>15623</v>
      </c>
      <c r="WBY1" t="s">
        <v>15624</v>
      </c>
      <c r="WBZ1" t="s">
        <v>15625</v>
      </c>
      <c r="WCA1" t="s">
        <v>15626</v>
      </c>
      <c r="WCB1" t="s">
        <v>15627</v>
      </c>
      <c r="WCC1" t="s">
        <v>15628</v>
      </c>
      <c r="WCD1" t="s">
        <v>15629</v>
      </c>
      <c r="WCE1" t="s">
        <v>15630</v>
      </c>
      <c r="WCF1" t="s">
        <v>15631</v>
      </c>
      <c r="WCG1" t="s">
        <v>15632</v>
      </c>
      <c r="WCH1" t="s">
        <v>15633</v>
      </c>
      <c r="WCI1" t="s">
        <v>15634</v>
      </c>
      <c r="WCJ1" t="s">
        <v>15635</v>
      </c>
      <c r="WCK1" t="s">
        <v>15636</v>
      </c>
      <c r="WCL1" t="s">
        <v>15637</v>
      </c>
      <c r="WCM1" t="s">
        <v>15638</v>
      </c>
      <c r="WCN1" t="s">
        <v>15639</v>
      </c>
      <c r="WCO1" t="s">
        <v>15640</v>
      </c>
      <c r="WCP1" t="s">
        <v>15641</v>
      </c>
      <c r="WCQ1" t="s">
        <v>15642</v>
      </c>
      <c r="WCR1" t="s">
        <v>15643</v>
      </c>
      <c r="WCS1" t="s">
        <v>15644</v>
      </c>
      <c r="WCT1" t="s">
        <v>15645</v>
      </c>
      <c r="WCU1" t="s">
        <v>15646</v>
      </c>
      <c r="WCV1" t="s">
        <v>15647</v>
      </c>
      <c r="WCW1" t="s">
        <v>15648</v>
      </c>
      <c r="WCX1" t="s">
        <v>15649</v>
      </c>
      <c r="WCY1" t="s">
        <v>15650</v>
      </c>
      <c r="WCZ1" t="s">
        <v>15651</v>
      </c>
      <c r="WDA1" t="s">
        <v>15652</v>
      </c>
      <c r="WDB1" t="s">
        <v>15653</v>
      </c>
      <c r="WDC1" t="s">
        <v>15654</v>
      </c>
      <c r="WDD1" t="s">
        <v>15655</v>
      </c>
      <c r="WDE1" t="s">
        <v>15656</v>
      </c>
      <c r="WDF1" t="s">
        <v>15657</v>
      </c>
      <c r="WDG1" t="s">
        <v>15658</v>
      </c>
      <c r="WDH1" t="s">
        <v>15659</v>
      </c>
      <c r="WDI1" t="s">
        <v>15660</v>
      </c>
      <c r="WDJ1" t="s">
        <v>15661</v>
      </c>
      <c r="WDK1" t="s">
        <v>15662</v>
      </c>
      <c r="WDL1" t="s">
        <v>15663</v>
      </c>
      <c r="WDM1" t="s">
        <v>15664</v>
      </c>
      <c r="WDN1" t="s">
        <v>15665</v>
      </c>
      <c r="WDO1" t="s">
        <v>15666</v>
      </c>
      <c r="WDP1" t="s">
        <v>15667</v>
      </c>
      <c r="WDQ1" t="s">
        <v>15668</v>
      </c>
      <c r="WDR1" t="s">
        <v>15669</v>
      </c>
      <c r="WDS1" t="s">
        <v>15670</v>
      </c>
      <c r="WDT1" t="s">
        <v>15671</v>
      </c>
      <c r="WDU1" t="s">
        <v>15672</v>
      </c>
      <c r="WDV1" t="s">
        <v>15673</v>
      </c>
      <c r="WDW1" t="s">
        <v>15674</v>
      </c>
      <c r="WDX1" t="s">
        <v>15675</v>
      </c>
      <c r="WDY1" t="s">
        <v>15676</v>
      </c>
      <c r="WDZ1" t="s">
        <v>15677</v>
      </c>
      <c r="WEA1" t="s">
        <v>15678</v>
      </c>
      <c r="WEB1" t="s">
        <v>15679</v>
      </c>
      <c r="WEC1" t="s">
        <v>15680</v>
      </c>
      <c r="WED1" t="s">
        <v>15681</v>
      </c>
      <c r="WEE1" t="s">
        <v>15682</v>
      </c>
      <c r="WEF1" t="s">
        <v>15683</v>
      </c>
      <c r="WEG1" t="s">
        <v>15684</v>
      </c>
      <c r="WEH1" t="s">
        <v>15685</v>
      </c>
      <c r="WEI1" t="s">
        <v>15686</v>
      </c>
      <c r="WEJ1" t="s">
        <v>15687</v>
      </c>
      <c r="WEK1" t="s">
        <v>15688</v>
      </c>
      <c r="WEL1" t="s">
        <v>15689</v>
      </c>
      <c r="WEM1" t="s">
        <v>15690</v>
      </c>
      <c r="WEN1" t="s">
        <v>15691</v>
      </c>
      <c r="WEO1" t="s">
        <v>15692</v>
      </c>
      <c r="WEP1" t="s">
        <v>15693</v>
      </c>
      <c r="WEQ1" t="s">
        <v>15694</v>
      </c>
      <c r="WER1" t="s">
        <v>15695</v>
      </c>
      <c r="WES1" t="s">
        <v>15696</v>
      </c>
      <c r="WET1" t="s">
        <v>15697</v>
      </c>
      <c r="WEU1" t="s">
        <v>15698</v>
      </c>
      <c r="WEV1" t="s">
        <v>15699</v>
      </c>
      <c r="WEW1" t="s">
        <v>15700</v>
      </c>
      <c r="WEX1" t="s">
        <v>15701</v>
      </c>
      <c r="WEY1" t="s">
        <v>15702</v>
      </c>
      <c r="WEZ1" t="s">
        <v>15703</v>
      </c>
      <c r="WFA1" t="s">
        <v>15704</v>
      </c>
      <c r="WFB1" t="s">
        <v>15705</v>
      </c>
      <c r="WFC1" t="s">
        <v>15706</v>
      </c>
      <c r="WFD1" t="s">
        <v>15707</v>
      </c>
      <c r="WFE1" t="s">
        <v>15708</v>
      </c>
      <c r="WFF1" t="s">
        <v>15709</v>
      </c>
      <c r="WFG1" t="s">
        <v>15710</v>
      </c>
      <c r="WFH1" t="s">
        <v>15711</v>
      </c>
      <c r="WFI1" t="s">
        <v>15712</v>
      </c>
      <c r="WFJ1" t="s">
        <v>15713</v>
      </c>
      <c r="WFK1" t="s">
        <v>15714</v>
      </c>
      <c r="WFL1" t="s">
        <v>15715</v>
      </c>
      <c r="WFM1" t="s">
        <v>15716</v>
      </c>
      <c r="WFN1" t="s">
        <v>15717</v>
      </c>
      <c r="WFO1" t="s">
        <v>15718</v>
      </c>
      <c r="WFP1" t="s">
        <v>15719</v>
      </c>
      <c r="WFQ1" t="s">
        <v>15720</v>
      </c>
      <c r="WFR1" t="s">
        <v>15721</v>
      </c>
      <c r="WFS1" t="s">
        <v>15722</v>
      </c>
      <c r="WFT1" t="s">
        <v>15723</v>
      </c>
      <c r="WFU1" t="s">
        <v>15724</v>
      </c>
      <c r="WFV1" t="s">
        <v>15725</v>
      </c>
      <c r="WFW1" t="s">
        <v>15726</v>
      </c>
      <c r="WFX1" t="s">
        <v>15727</v>
      </c>
      <c r="WFY1" t="s">
        <v>15728</v>
      </c>
      <c r="WFZ1" t="s">
        <v>15729</v>
      </c>
      <c r="WGA1" t="s">
        <v>15730</v>
      </c>
      <c r="WGB1" t="s">
        <v>15731</v>
      </c>
      <c r="WGC1" t="s">
        <v>15732</v>
      </c>
      <c r="WGD1" t="s">
        <v>15733</v>
      </c>
      <c r="WGE1" t="s">
        <v>15734</v>
      </c>
      <c r="WGF1" t="s">
        <v>15735</v>
      </c>
      <c r="WGG1" t="s">
        <v>15736</v>
      </c>
      <c r="WGH1" t="s">
        <v>15737</v>
      </c>
      <c r="WGI1" t="s">
        <v>15738</v>
      </c>
      <c r="WGJ1" t="s">
        <v>15739</v>
      </c>
      <c r="WGK1" t="s">
        <v>15740</v>
      </c>
      <c r="WGL1" t="s">
        <v>15741</v>
      </c>
      <c r="WGM1" t="s">
        <v>15742</v>
      </c>
      <c r="WGN1" t="s">
        <v>15743</v>
      </c>
      <c r="WGO1" t="s">
        <v>15744</v>
      </c>
      <c r="WGP1" t="s">
        <v>15745</v>
      </c>
      <c r="WGQ1" t="s">
        <v>15746</v>
      </c>
      <c r="WGR1" t="s">
        <v>15747</v>
      </c>
      <c r="WGS1" t="s">
        <v>15748</v>
      </c>
      <c r="WGT1" t="s">
        <v>15749</v>
      </c>
      <c r="WGU1" t="s">
        <v>15750</v>
      </c>
      <c r="WGV1" t="s">
        <v>15751</v>
      </c>
      <c r="WGW1" t="s">
        <v>15752</v>
      </c>
      <c r="WGX1" t="s">
        <v>15753</v>
      </c>
      <c r="WGY1" t="s">
        <v>15754</v>
      </c>
      <c r="WGZ1" t="s">
        <v>15755</v>
      </c>
      <c r="WHA1" t="s">
        <v>15756</v>
      </c>
      <c r="WHB1" t="s">
        <v>15757</v>
      </c>
      <c r="WHC1" t="s">
        <v>15758</v>
      </c>
      <c r="WHD1" t="s">
        <v>15759</v>
      </c>
      <c r="WHE1" t="s">
        <v>15760</v>
      </c>
      <c r="WHF1" t="s">
        <v>15761</v>
      </c>
      <c r="WHG1" t="s">
        <v>15762</v>
      </c>
      <c r="WHH1" t="s">
        <v>15763</v>
      </c>
      <c r="WHI1" t="s">
        <v>15764</v>
      </c>
      <c r="WHJ1" t="s">
        <v>15765</v>
      </c>
      <c r="WHK1" t="s">
        <v>15766</v>
      </c>
      <c r="WHL1" t="s">
        <v>15767</v>
      </c>
      <c r="WHM1" t="s">
        <v>15768</v>
      </c>
      <c r="WHN1" t="s">
        <v>15769</v>
      </c>
      <c r="WHO1" t="s">
        <v>15770</v>
      </c>
      <c r="WHP1" t="s">
        <v>15771</v>
      </c>
      <c r="WHQ1" t="s">
        <v>15772</v>
      </c>
      <c r="WHR1" t="s">
        <v>15773</v>
      </c>
      <c r="WHS1" t="s">
        <v>15774</v>
      </c>
      <c r="WHT1" t="s">
        <v>15775</v>
      </c>
      <c r="WHU1" t="s">
        <v>15776</v>
      </c>
      <c r="WHV1" t="s">
        <v>15777</v>
      </c>
      <c r="WHW1" t="s">
        <v>15778</v>
      </c>
      <c r="WHX1" t="s">
        <v>15779</v>
      </c>
      <c r="WHY1" t="s">
        <v>15780</v>
      </c>
      <c r="WHZ1" t="s">
        <v>15781</v>
      </c>
      <c r="WIA1" t="s">
        <v>15782</v>
      </c>
      <c r="WIB1" t="s">
        <v>15783</v>
      </c>
      <c r="WIC1" t="s">
        <v>15784</v>
      </c>
      <c r="WID1" t="s">
        <v>15785</v>
      </c>
      <c r="WIE1" t="s">
        <v>15786</v>
      </c>
      <c r="WIF1" t="s">
        <v>15787</v>
      </c>
      <c r="WIG1" t="s">
        <v>15788</v>
      </c>
      <c r="WIH1" t="s">
        <v>15789</v>
      </c>
      <c r="WII1" t="s">
        <v>15790</v>
      </c>
      <c r="WIJ1" t="s">
        <v>15791</v>
      </c>
      <c r="WIK1" t="s">
        <v>15792</v>
      </c>
      <c r="WIL1" t="s">
        <v>15793</v>
      </c>
      <c r="WIM1" t="s">
        <v>15794</v>
      </c>
      <c r="WIN1" t="s">
        <v>15795</v>
      </c>
      <c r="WIO1" t="s">
        <v>15796</v>
      </c>
      <c r="WIP1" t="s">
        <v>15797</v>
      </c>
      <c r="WIQ1" t="s">
        <v>15798</v>
      </c>
      <c r="WIR1" t="s">
        <v>15799</v>
      </c>
      <c r="WIS1" t="s">
        <v>15800</v>
      </c>
      <c r="WIT1" t="s">
        <v>15801</v>
      </c>
      <c r="WIU1" t="s">
        <v>15802</v>
      </c>
      <c r="WIV1" t="s">
        <v>15803</v>
      </c>
      <c r="WIW1" t="s">
        <v>15804</v>
      </c>
      <c r="WIX1" t="s">
        <v>15805</v>
      </c>
      <c r="WIY1" t="s">
        <v>15806</v>
      </c>
      <c r="WIZ1" t="s">
        <v>15807</v>
      </c>
      <c r="WJA1" t="s">
        <v>15808</v>
      </c>
      <c r="WJB1" t="s">
        <v>15809</v>
      </c>
      <c r="WJC1" t="s">
        <v>15810</v>
      </c>
      <c r="WJD1" t="s">
        <v>15811</v>
      </c>
      <c r="WJE1" t="s">
        <v>15812</v>
      </c>
      <c r="WJF1" t="s">
        <v>15813</v>
      </c>
      <c r="WJG1" t="s">
        <v>15814</v>
      </c>
      <c r="WJH1" t="s">
        <v>15815</v>
      </c>
      <c r="WJI1" t="s">
        <v>15816</v>
      </c>
      <c r="WJJ1" t="s">
        <v>15817</v>
      </c>
      <c r="WJK1" t="s">
        <v>15818</v>
      </c>
      <c r="WJL1" t="s">
        <v>15819</v>
      </c>
      <c r="WJM1" t="s">
        <v>15820</v>
      </c>
      <c r="WJN1" t="s">
        <v>15821</v>
      </c>
      <c r="WJO1" t="s">
        <v>15822</v>
      </c>
      <c r="WJP1" t="s">
        <v>15823</v>
      </c>
      <c r="WJQ1" t="s">
        <v>15824</v>
      </c>
      <c r="WJR1" t="s">
        <v>15825</v>
      </c>
      <c r="WJS1" t="s">
        <v>15826</v>
      </c>
      <c r="WJT1" t="s">
        <v>15827</v>
      </c>
      <c r="WJU1" t="s">
        <v>15828</v>
      </c>
      <c r="WJV1" t="s">
        <v>15829</v>
      </c>
      <c r="WJW1" t="s">
        <v>15830</v>
      </c>
      <c r="WJX1" t="s">
        <v>15831</v>
      </c>
      <c r="WJY1" t="s">
        <v>15832</v>
      </c>
      <c r="WJZ1" t="s">
        <v>15833</v>
      </c>
      <c r="WKA1" t="s">
        <v>15834</v>
      </c>
      <c r="WKB1" t="s">
        <v>15835</v>
      </c>
      <c r="WKC1" t="s">
        <v>15836</v>
      </c>
      <c r="WKD1" t="s">
        <v>15837</v>
      </c>
      <c r="WKE1" t="s">
        <v>15838</v>
      </c>
      <c r="WKF1" t="s">
        <v>15839</v>
      </c>
      <c r="WKG1" t="s">
        <v>15840</v>
      </c>
      <c r="WKH1" t="s">
        <v>15841</v>
      </c>
      <c r="WKI1" t="s">
        <v>15842</v>
      </c>
      <c r="WKJ1" t="s">
        <v>15843</v>
      </c>
      <c r="WKK1" t="s">
        <v>15844</v>
      </c>
      <c r="WKL1" t="s">
        <v>15845</v>
      </c>
      <c r="WKM1" t="s">
        <v>15846</v>
      </c>
      <c r="WKN1" t="s">
        <v>15847</v>
      </c>
      <c r="WKO1" t="s">
        <v>15848</v>
      </c>
      <c r="WKP1" t="s">
        <v>15849</v>
      </c>
      <c r="WKQ1" t="s">
        <v>15850</v>
      </c>
      <c r="WKR1" t="s">
        <v>15851</v>
      </c>
      <c r="WKS1" t="s">
        <v>15852</v>
      </c>
      <c r="WKT1" t="s">
        <v>15853</v>
      </c>
      <c r="WKU1" t="s">
        <v>15854</v>
      </c>
      <c r="WKV1" t="s">
        <v>15855</v>
      </c>
      <c r="WKW1" t="s">
        <v>15856</v>
      </c>
      <c r="WKX1" t="s">
        <v>15857</v>
      </c>
      <c r="WKY1" t="s">
        <v>15858</v>
      </c>
      <c r="WKZ1" t="s">
        <v>15859</v>
      </c>
      <c r="WLA1" t="s">
        <v>15860</v>
      </c>
      <c r="WLB1" t="s">
        <v>15861</v>
      </c>
      <c r="WLC1" t="s">
        <v>15862</v>
      </c>
      <c r="WLD1" t="s">
        <v>15863</v>
      </c>
      <c r="WLE1" t="s">
        <v>15864</v>
      </c>
      <c r="WLF1" t="s">
        <v>15865</v>
      </c>
      <c r="WLG1" t="s">
        <v>15866</v>
      </c>
      <c r="WLH1" t="s">
        <v>15867</v>
      </c>
      <c r="WLI1" t="s">
        <v>15868</v>
      </c>
      <c r="WLJ1" t="s">
        <v>15869</v>
      </c>
      <c r="WLK1" t="s">
        <v>15870</v>
      </c>
      <c r="WLL1" t="s">
        <v>15871</v>
      </c>
      <c r="WLM1" t="s">
        <v>15872</v>
      </c>
      <c r="WLN1" t="s">
        <v>15873</v>
      </c>
      <c r="WLO1" t="s">
        <v>15874</v>
      </c>
      <c r="WLP1" t="s">
        <v>15875</v>
      </c>
      <c r="WLQ1" t="s">
        <v>15876</v>
      </c>
      <c r="WLR1" t="s">
        <v>15877</v>
      </c>
      <c r="WLS1" t="s">
        <v>15878</v>
      </c>
      <c r="WLT1" t="s">
        <v>15879</v>
      </c>
      <c r="WLU1" t="s">
        <v>15880</v>
      </c>
      <c r="WLV1" t="s">
        <v>15881</v>
      </c>
      <c r="WLW1" t="s">
        <v>15882</v>
      </c>
      <c r="WLX1" t="s">
        <v>15883</v>
      </c>
      <c r="WLY1" t="s">
        <v>15884</v>
      </c>
      <c r="WLZ1" t="s">
        <v>15885</v>
      </c>
      <c r="WMA1" t="s">
        <v>15886</v>
      </c>
      <c r="WMB1" t="s">
        <v>15887</v>
      </c>
      <c r="WMC1" t="s">
        <v>15888</v>
      </c>
      <c r="WMD1" t="s">
        <v>15889</v>
      </c>
      <c r="WME1" t="s">
        <v>15890</v>
      </c>
      <c r="WMF1" t="s">
        <v>15891</v>
      </c>
      <c r="WMG1" t="s">
        <v>15892</v>
      </c>
      <c r="WMH1" t="s">
        <v>15893</v>
      </c>
      <c r="WMI1" t="s">
        <v>15894</v>
      </c>
      <c r="WMJ1" t="s">
        <v>15895</v>
      </c>
      <c r="WMK1" t="s">
        <v>15896</v>
      </c>
      <c r="WML1" t="s">
        <v>15897</v>
      </c>
      <c r="WMM1" t="s">
        <v>15898</v>
      </c>
      <c r="WMN1" t="s">
        <v>15899</v>
      </c>
      <c r="WMO1" t="s">
        <v>15900</v>
      </c>
      <c r="WMP1" t="s">
        <v>15901</v>
      </c>
      <c r="WMQ1" t="s">
        <v>15902</v>
      </c>
      <c r="WMR1" t="s">
        <v>15903</v>
      </c>
      <c r="WMS1" t="s">
        <v>15904</v>
      </c>
      <c r="WMT1" t="s">
        <v>15905</v>
      </c>
      <c r="WMU1" t="s">
        <v>15906</v>
      </c>
      <c r="WMV1" t="s">
        <v>15907</v>
      </c>
      <c r="WMW1" t="s">
        <v>15908</v>
      </c>
      <c r="WMX1" t="s">
        <v>15909</v>
      </c>
      <c r="WMY1" t="s">
        <v>15910</v>
      </c>
      <c r="WMZ1" t="s">
        <v>15911</v>
      </c>
      <c r="WNA1" t="s">
        <v>15912</v>
      </c>
      <c r="WNB1" t="s">
        <v>15913</v>
      </c>
      <c r="WNC1" t="s">
        <v>15914</v>
      </c>
      <c r="WND1" t="s">
        <v>15915</v>
      </c>
      <c r="WNE1" t="s">
        <v>15916</v>
      </c>
      <c r="WNF1" t="s">
        <v>15917</v>
      </c>
      <c r="WNG1" t="s">
        <v>15918</v>
      </c>
      <c r="WNH1" t="s">
        <v>15919</v>
      </c>
      <c r="WNI1" t="s">
        <v>15920</v>
      </c>
      <c r="WNJ1" t="s">
        <v>15921</v>
      </c>
      <c r="WNK1" t="s">
        <v>15922</v>
      </c>
      <c r="WNL1" t="s">
        <v>15923</v>
      </c>
      <c r="WNM1" t="s">
        <v>15924</v>
      </c>
      <c r="WNN1" t="s">
        <v>15925</v>
      </c>
      <c r="WNO1" t="s">
        <v>15926</v>
      </c>
      <c r="WNP1" t="s">
        <v>15927</v>
      </c>
      <c r="WNQ1" t="s">
        <v>15928</v>
      </c>
      <c r="WNR1" t="s">
        <v>15929</v>
      </c>
      <c r="WNS1" t="s">
        <v>15930</v>
      </c>
      <c r="WNT1" t="s">
        <v>15931</v>
      </c>
      <c r="WNU1" t="s">
        <v>15932</v>
      </c>
      <c r="WNV1" t="s">
        <v>15933</v>
      </c>
      <c r="WNW1" t="s">
        <v>15934</v>
      </c>
      <c r="WNX1" t="s">
        <v>15935</v>
      </c>
      <c r="WNY1" t="s">
        <v>15936</v>
      </c>
      <c r="WNZ1" t="s">
        <v>15937</v>
      </c>
      <c r="WOA1" t="s">
        <v>15938</v>
      </c>
      <c r="WOB1" t="s">
        <v>15939</v>
      </c>
      <c r="WOC1" t="s">
        <v>15940</v>
      </c>
      <c r="WOD1" t="s">
        <v>15941</v>
      </c>
      <c r="WOE1" t="s">
        <v>15942</v>
      </c>
      <c r="WOF1" t="s">
        <v>15943</v>
      </c>
      <c r="WOG1" t="s">
        <v>15944</v>
      </c>
      <c r="WOH1" t="s">
        <v>15945</v>
      </c>
      <c r="WOI1" t="s">
        <v>15946</v>
      </c>
      <c r="WOJ1" t="s">
        <v>15947</v>
      </c>
      <c r="WOK1" t="s">
        <v>15948</v>
      </c>
      <c r="WOL1" t="s">
        <v>15949</v>
      </c>
      <c r="WOM1" t="s">
        <v>15950</v>
      </c>
      <c r="WON1" t="s">
        <v>15951</v>
      </c>
      <c r="WOO1" t="s">
        <v>15952</v>
      </c>
      <c r="WOP1" t="s">
        <v>15953</v>
      </c>
      <c r="WOQ1" t="s">
        <v>15954</v>
      </c>
      <c r="WOR1" t="s">
        <v>15955</v>
      </c>
      <c r="WOS1" t="s">
        <v>15956</v>
      </c>
      <c r="WOT1" t="s">
        <v>15957</v>
      </c>
      <c r="WOU1" t="s">
        <v>15958</v>
      </c>
      <c r="WOV1" t="s">
        <v>15959</v>
      </c>
      <c r="WOW1" t="s">
        <v>15960</v>
      </c>
      <c r="WOX1" t="s">
        <v>15961</v>
      </c>
      <c r="WOY1" t="s">
        <v>15962</v>
      </c>
      <c r="WOZ1" t="s">
        <v>15963</v>
      </c>
      <c r="WPA1" t="s">
        <v>15964</v>
      </c>
      <c r="WPB1" t="s">
        <v>15965</v>
      </c>
      <c r="WPC1" t="s">
        <v>15966</v>
      </c>
      <c r="WPD1" t="s">
        <v>15967</v>
      </c>
      <c r="WPE1" t="s">
        <v>15968</v>
      </c>
      <c r="WPF1" t="s">
        <v>15969</v>
      </c>
      <c r="WPG1" t="s">
        <v>15970</v>
      </c>
      <c r="WPH1" t="s">
        <v>15971</v>
      </c>
      <c r="WPI1" t="s">
        <v>15972</v>
      </c>
      <c r="WPJ1" t="s">
        <v>15973</v>
      </c>
      <c r="WPK1" t="s">
        <v>15974</v>
      </c>
      <c r="WPL1" t="s">
        <v>15975</v>
      </c>
      <c r="WPM1" t="s">
        <v>15976</v>
      </c>
      <c r="WPN1" t="s">
        <v>15977</v>
      </c>
      <c r="WPO1" t="s">
        <v>15978</v>
      </c>
      <c r="WPP1" t="s">
        <v>15979</v>
      </c>
      <c r="WPQ1" t="s">
        <v>15980</v>
      </c>
      <c r="WPR1" t="s">
        <v>15981</v>
      </c>
      <c r="WPS1" t="s">
        <v>15982</v>
      </c>
      <c r="WPT1" t="s">
        <v>15983</v>
      </c>
      <c r="WPU1" t="s">
        <v>15984</v>
      </c>
      <c r="WPV1" t="s">
        <v>15985</v>
      </c>
      <c r="WPW1" t="s">
        <v>15986</v>
      </c>
      <c r="WPX1" t="s">
        <v>15987</v>
      </c>
      <c r="WPY1" t="s">
        <v>15988</v>
      </c>
      <c r="WPZ1" t="s">
        <v>15989</v>
      </c>
      <c r="WQA1" t="s">
        <v>15990</v>
      </c>
      <c r="WQB1" t="s">
        <v>15991</v>
      </c>
      <c r="WQC1" t="s">
        <v>15992</v>
      </c>
      <c r="WQD1" t="s">
        <v>15993</v>
      </c>
      <c r="WQE1" t="s">
        <v>15994</v>
      </c>
      <c r="WQF1" t="s">
        <v>15995</v>
      </c>
      <c r="WQG1" t="s">
        <v>15996</v>
      </c>
      <c r="WQH1" t="s">
        <v>15997</v>
      </c>
      <c r="WQI1" t="s">
        <v>15998</v>
      </c>
      <c r="WQJ1" t="s">
        <v>15999</v>
      </c>
      <c r="WQK1" t="s">
        <v>16000</v>
      </c>
      <c r="WQL1" t="s">
        <v>16001</v>
      </c>
      <c r="WQM1" t="s">
        <v>16002</v>
      </c>
      <c r="WQN1" t="s">
        <v>16003</v>
      </c>
      <c r="WQO1" t="s">
        <v>16004</v>
      </c>
      <c r="WQP1" t="s">
        <v>16005</v>
      </c>
      <c r="WQQ1" t="s">
        <v>16006</v>
      </c>
      <c r="WQR1" t="s">
        <v>16007</v>
      </c>
      <c r="WQS1" t="s">
        <v>16008</v>
      </c>
      <c r="WQT1" t="s">
        <v>16009</v>
      </c>
      <c r="WQU1" t="s">
        <v>16010</v>
      </c>
      <c r="WQV1" t="s">
        <v>16011</v>
      </c>
      <c r="WQW1" t="s">
        <v>16012</v>
      </c>
      <c r="WQX1" t="s">
        <v>16013</v>
      </c>
      <c r="WQY1" t="s">
        <v>16014</v>
      </c>
      <c r="WQZ1" t="s">
        <v>16015</v>
      </c>
      <c r="WRA1" t="s">
        <v>16016</v>
      </c>
      <c r="WRB1" t="s">
        <v>16017</v>
      </c>
      <c r="WRC1" t="s">
        <v>16018</v>
      </c>
      <c r="WRD1" t="s">
        <v>16019</v>
      </c>
      <c r="WRE1" t="s">
        <v>16020</v>
      </c>
      <c r="WRF1" t="s">
        <v>16021</v>
      </c>
      <c r="WRG1" t="s">
        <v>16022</v>
      </c>
      <c r="WRH1" t="s">
        <v>16023</v>
      </c>
      <c r="WRI1" t="s">
        <v>16024</v>
      </c>
      <c r="WRJ1" t="s">
        <v>16025</v>
      </c>
      <c r="WRK1" t="s">
        <v>16026</v>
      </c>
      <c r="WRL1" t="s">
        <v>16027</v>
      </c>
      <c r="WRM1" t="s">
        <v>16028</v>
      </c>
      <c r="WRN1" t="s">
        <v>16029</v>
      </c>
      <c r="WRO1" t="s">
        <v>16030</v>
      </c>
      <c r="WRP1" t="s">
        <v>16031</v>
      </c>
      <c r="WRQ1" t="s">
        <v>16032</v>
      </c>
      <c r="WRR1" t="s">
        <v>16033</v>
      </c>
      <c r="WRS1" t="s">
        <v>16034</v>
      </c>
      <c r="WRT1" t="s">
        <v>16035</v>
      </c>
      <c r="WRU1" t="s">
        <v>16036</v>
      </c>
      <c r="WRV1" t="s">
        <v>16037</v>
      </c>
      <c r="WRW1" t="s">
        <v>16038</v>
      </c>
      <c r="WRX1" t="s">
        <v>16039</v>
      </c>
      <c r="WRY1" t="s">
        <v>16040</v>
      </c>
      <c r="WRZ1" t="s">
        <v>16041</v>
      </c>
      <c r="WSA1" t="s">
        <v>16042</v>
      </c>
      <c r="WSB1" t="s">
        <v>16043</v>
      </c>
      <c r="WSC1" t="s">
        <v>16044</v>
      </c>
      <c r="WSD1" t="s">
        <v>16045</v>
      </c>
      <c r="WSE1" t="s">
        <v>16046</v>
      </c>
      <c r="WSF1" t="s">
        <v>16047</v>
      </c>
      <c r="WSG1" t="s">
        <v>16048</v>
      </c>
      <c r="WSH1" t="s">
        <v>16049</v>
      </c>
      <c r="WSI1" t="s">
        <v>16050</v>
      </c>
      <c r="WSJ1" t="s">
        <v>16051</v>
      </c>
      <c r="WSK1" t="s">
        <v>16052</v>
      </c>
      <c r="WSL1" t="s">
        <v>16053</v>
      </c>
      <c r="WSM1" t="s">
        <v>16054</v>
      </c>
      <c r="WSN1" t="s">
        <v>16055</v>
      </c>
      <c r="WSO1" t="s">
        <v>16056</v>
      </c>
      <c r="WSP1" t="s">
        <v>16057</v>
      </c>
      <c r="WSQ1" t="s">
        <v>16058</v>
      </c>
      <c r="WSR1" t="s">
        <v>16059</v>
      </c>
      <c r="WSS1" t="s">
        <v>16060</v>
      </c>
      <c r="WST1" t="s">
        <v>16061</v>
      </c>
      <c r="WSU1" t="s">
        <v>16062</v>
      </c>
      <c r="WSV1" t="s">
        <v>16063</v>
      </c>
      <c r="WSW1" t="s">
        <v>16064</v>
      </c>
      <c r="WSX1" t="s">
        <v>16065</v>
      </c>
      <c r="WSY1" t="s">
        <v>16066</v>
      </c>
      <c r="WSZ1" t="s">
        <v>16067</v>
      </c>
      <c r="WTA1" t="s">
        <v>16068</v>
      </c>
      <c r="WTB1" t="s">
        <v>16069</v>
      </c>
      <c r="WTC1" t="s">
        <v>16070</v>
      </c>
      <c r="WTD1" t="s">
        <v>16071</v>
      </c>
      <c r="WTE1" t="s">
        <v>16072</v>
      </c>
      <c r="WTF1" t="s">
        <v>16073</v>
      </c>
      <c r="WTG1" t="s">
        <v>16074</v>
      </c>
      <c r="WTH1" t="s">
        <v>16075</v>
      </c>
      <c r="WTI1" t="s">
        <v>16076</v>
      </c>
      <c r="WTJ1" t="s">
        <v>16077</v>
      </c>
      <c r="WTK1" t="s">
        <v>16078</v>
      </c>
      <c r="WTL1" t="s">
        <v>16079</v>
      </c>
      <c r="WTM1" t="s">
        <v>16080</v>
      </c>
      <c r="WTN1" t="s">
        <v>16081</v>
      </c>
      <c r="WTO1" t="s">
        <v>16082</v>
      </c>
      <c r="WTP1" t="s">
        <v>16083</v>
      </c>
      <c r="WTQ1" t="s">
        <v>16084</v>
      </c>
      <c r="WTR1" t="s">
        <v>16085</v>
      </c>
      <c r="WTS1" t="s">
        <v>16086</v>
      </c>
      <c r="WTT1" t="s">
        <v>16087</v>
      </c>
      <c r="WTU1" t="s">
        <v>16088</v>
      </c>
      <c r="WTV1" t="s">
        <v>16089</v>
      </c>
      <c r="WTW1" t="s">
        <v>16090</v>
      </c>
      <c r="WTX1" t="s">
        <v>16091</v>
      </c>
      <c r="WTY1" t="s">
        <v>16092</v>
      </c>
      <c r="WTZ1" t="s">
        <v>16093</v>
      </c>
      <c r="WUA1" t="s">
        <v>16094</v>
      </c>
      <c r="WUB1" t="s">
        <v>16095</v>
      </c>
      <c r="WUC1" t="s">
        <v>16096</v>
      </c>
      <c r="WUD1" t="s">
        <v>16097</v>
      </c>
      <c r="WUE1" t="s">
        <v>16098</v>
      </c>
      <c r="WUF1" t="s">
        <v>16099</v>
      </c>
      <c r="WUG1" t="s">
        <v>16100</v>
      </c>
      <c r="WUH1" t="s">
        <v>16101</v>
      </c>
      <c r="WUI1" t="s">
        <v>16102</v>
      </c>
      <c r="WUJ1" t="s">
        <v>16103</v>
      </c>
      <c r="WUK1" t="s">
        <v>16104</v>
      </c>
      <c r="WUL1" t="s">
        <v>16105</v>
      </c>
      <c r="WUM1" t="s">
        <v>16106</v>
      </c>
      <c r="WUN1" t="s">
        <v>16107</v>
      </c>
      <c r="WUO1" t="s">
        <v>16108</v>
      </c>
      <c r="WUP1" t="s">
        <v>16109</v>
      </c>
      <c r="WUQ1" t="s">
        <v>16110</v>
      </c>
      <c r="WUR1" t="s">
        <v>16111</v>
      </c>
      <c r="WUS1" t="s">
        <v>16112</v>
      </c>
      <c r="WUT1" t="s">
        <v>16113</v>
      </c>
      <c r="WUU1" t="s">
        <v>16114</v>
      </c>
      <c r="WUV1" t="s">
        <v>16115</v>
      </c>
      <c r="WUW1" t="s">
        <v>16116</v>
      </c>
      <c r="WUX1" t="s">
        <v>16117</v>
      </c>
      <c r="WUY1" t="s">
        <v>16118</v>
      </c>
      <c r="WUZ1" t="s">
        <v>16119</v>
      </c>
      <c r="WVA1" t="s">
        <v>16120</v>
      </c>
      <c r="WVB1" t="s">
        <v>16121</v>
      </c>
      <c r="WVC1" t="s">
        <v>16122</v>
      </c>
      <c r="WVD1" t="s">
        <v>16123</v>
      </c>
      <c r="WVE1" t="s">
        <v>16124</v>
      </c>
      <c r="WVF1" t="s">
        <v>16125</v>
      </c>
      <c r="WVG1" t="s">
        <v>16126</v>
      </c>
      <c r="WVH1" t="s">
        <v>16127</v>
      </c>
      <c r="WVI1" t="s">
        <v>16128</v>
      </c>
      <c r="WVJ1" t="s">
        <v>16129</v>
      </c>
      <c r="WVK1" t="s">
        <v>16130</v>
      </c>
      <c r="WVL1" t="s">
        <v>16131</v>
      </c>
      <c r="WVM1" t="s">
        <v>16132</v>
      </c>
      <c r="WVN1" t="s">
        <v>16133</v>
      </c>
      <c r="WVO1" t="s">
        <v>16134</v>
      </c>
      <c r="WVP1" t="s">
        <v>16135</v>
      </c>
      <c r="WVQ1" t="s">
        <v>16136</v>
      </c>
      <c r="WVR1" t="s">
        <v>16137</v>
      </c>
      <c r="WVS1" t="s">
        <v>16138</v>
      </c>
      <c r="WVT1" t="s">
        <v>16139</v>
      </c>
      <c r="WVU1" t="s">
        <v>16140</v>
      </c>
      <c r="WVV1" t="s">
        <v>16141</v>
      </c>
      <c r="WVW1" t="s">
        <v>16142</v>
      </c>
      <c r="WVX1" t="s">
        <v>16143</v>
      </c>
      <c r="WVY1" t="s">
        <v>16144</v>
      </c>
      <c r="WVZ1" t="s">
        <v>16145</v>
      </c>
      <c r="WWA1" t="s">
        <v>16146</v>
      </c>
      <c r="WWB1" t="s">
        <v>16147</v>
      </c>
      <c r="WWC1" t="s">
        <v>16148</v>
      </c>
      <c r="WWD1" t="s">
        <v>16149</v>
      </c>
      <c r="WWE1" t="s">
        <v>16150</v>
      </c>
      <c r="WWF1" t="s">
        <v>16151</v>
      </c>
      <c r="WWG1" t="s">
        <v>16152</v>
      </c>
      <c r="WWH1" t="s">
        <v>16153</v>
      </c>
      <c r="WWI1" t="s">
        <v>16154</v>
      </c>
      <c r="WWJ1" t="s">
        <v>16155</v>
      </c>
      <c r="WWK1" t="s">
        <v>16156</v>
      </c>
      <c r="WWL1" t="s">
        <v>16157</v>
      </c>
      <c r="WWM1" t="s">
        <v>16158</v>
      </c>
      <c r="WWN1" t="s">
        <v>16159</v>
      </c>
      <c r="WWO1" t="s">
        <v>16160</v>
      </c>
      <c r="WWP1" t="s">
        <v>16161</v>
      </c>
      <c r="WWQ1" t="s">
        <v>16162</v>
      </c>
      <c r="WWR1" t="s">
        <v>16163</v>
      </c>
      <c r="WWS1" t="s">
        <v>16164</v>
      </c>
      <c r="WWT1" t="s">
        <v>16165</v>
      </c>
      <c r="WWU1" t="s">
        <v>16166</v>
      </c>
      <c r="WWV1" t="s">
        <v>16167</v>
      </c>
      <c r="WWW1" t="s">
        <v>16168</v>
      </c>
      <c r="WWX1" t="s">
        <v>16169</v>
      </c>
      <c r="WWY1" t="s">
        <v>16170</v>
      </c>
      <c r="WWZ1" t="s">
        <v>16171</v>
      </c>
      <c r="WXA1" t="s">
        <v>16172</v>
      </c>
      <c r="WXB1" t="s">
        <v>16173</v>
      </c>
      <c r="WXC1" t="s">
        <v>16174</v>
      </c>
      <c r="WXD1" t="s">
        <v>16175</v>
      </c>
      <c r="WXE1" t="s">
        <v>16176</v>
      </c>
      <c r="WXF1" t="s">
        <v>16177</v>
      </c>
      <c r="WXG1" t="s">
        <v>16178</v>
      </c>
      <c r="WXH1" t="s">
        <v>16179</v>
      </c>
      <c r="WXI1" t="s">
        <v>16180</v>
      </c>
      <c r="WXJ1" t="s">
        <v>16181</v>
      </c>
      <c r="WXK1" t="s">
        <v>16182</v>
      </c>
      <c r="WXL1" t="s">
        <v>16183</v>
      </c>
      <c r="WXM1" t="s">
        <v>16184</v>
      </c>
      <c r="WXN1" t="s">
        <v>16185</v>
      </c>
      <c r="WXO1" t="s">
        <v>16186</v>
      </c>
      <c r="WXP1" t="s">
        <v>16187</v>
      </c>
      <c r="WXQ1" t="s">
        <v>16188</v>
      </c>
      <c r="WXR1" t="s">
        <v>16189</v>
      </c>
      <c r="WXS1" t="s">
        <v>16190</v>
      </c>
      <c r="WXT1" t="s">
        <v>16191</v>
      </c>
      <c r="WXU1" t="s">
        <v>16192</v>
      </c>
      <c r="WXV1" t="s">
        <v>16193</v>
      </c>
      <c r="WXW1" t="s">
        <v>16194</v>
      </c>
      <c r="WXX1" t="s">
        <v>16195</v>
      </c>
      <c r="WXY1" t="s">
        <v>16196</v>
      </c>
      <c r="WXZ1" t="s">
        <v>16197</v>
      </c>
      <c r="WYA1" t="s">
        <v>16198</v>
      </c>
      <c r="WYB1" t="s">
        <v>16199</v>
      </c>
      <c r="WYC1" t="s">
        <v>16200</v>
      </c>
      <c r="WYD1" t="s">
        <v>16201</v>
      </c>
      <c r="WYE1" t="s">
        <v>16202</v>
      </c>
      <c r="WYF1" t="s">
        <v>16203</v>
      </c>
      <c r="WYG1" t="s">
        <v>16204</v>
      </c>
      <c r="WYH1" t="s">
        <v>16205</v>
      </c>
      <c r="WYI1" t="s">
        <v>16206</v>
      </c>
      <c r="WYJ1" t="s">
        <v>16207</v>
      </c>
      <c r="WYK1" t="s">
        <v>16208</v>
      </c>
      <c r="WYL1" t="s">
        <v>16209</v>
      </c>
      <c r="WYM1" t="s">
        <v>16210</v>
      </c>
      <c r="WYN1" t="s">
        <v>16211</v>
      </c>
      <c r="WYO1" t="s">
        <v>16212</v>
      </c>
      <c r="WYP1" t="s">
        <v>16213</v>
      </c>
      <c r="WYQ1" t="s">
        <v>16214</v>
      </c>
      <c r="WYR1" t="s">
        <v>16215</v>
      </c>
      <c r="WYS1" t="s">
        <v>16216</v>
      </c>
      <c r="WYT1" t="s">
        <v>16217</v>
      </c>
      <c r="WYU1" t="s">
        <v>16218</v>
      </c>
      <c r="WYV1" t="s">
        <v>16219</v>
      </c>
      <c r="WYW1" t="s">
        <v>16220</v>
      </c>
      <c r="WYX1" t="s">
        <v>16221</v>
      </c>
      <c r="WYY1" t="s">
        <v>16222</v>
      </c>
      <c r="WYZ1" t="s">
        <v>16223</v>
      </c>
      <c r="WZA1" t="s">
        <v>16224</v>
      </c>
      <c r="WZB1" t="s">
        <v>16225</v>
      </c>
      <c r="WZC1" t="s">
        <v>16226</v>
      </c>
      <c r="WZD1" t="s">
        <v>16227</v>
      </c>
      <c r="WZE1" t="s">
        <v>16228</v>
      </c>
      <c r="WZF1" t="s">
        <v>16229</v>
      </c>
      <c r="WZG1" t="s">
        <v>16230</v>
      </c>
      <c r="WZH1" t="s">
        <v>16231</v>
      </c>
      <c r="WZI1" t="s">
        <v>16232</v>
      </c>
      <c r="WZJ1" t="s">
        <v>16233</v>
      </c>
      <c r="WZK1" t="s">
        <v>16234</v>
      </c>
      <c r="WZL1" t="s">
        <v>16235</v>
      </c>
      <c r="WZM1" t="s">
        <v>16236</v>
      </c>
      <c r="WZN1" t="s">
        <v>16237</v>
      </c>
      <c r="WZO1" t="s">
        <v>16238</v>
      </c>
      <c r="WZP1" t="s">
        <v>16239</v>
      </c>
      <c r="WZQ1" t="s">
        <v>16240</v>
      </c>
      <c r="WZR1" t="s">
        <v>16241</v>
      </c>
      <c r="WZS1" t="s">
        <v>16242</v>
      </c>
      <c r="WZT1" t="s">
        <v>16243</v>
      </c>
      <c r="WZU1" t="s">
        <v>16244</v>
      </c>
      <c r="WZV1" t="s">
        <v>16245</v>
      </c>
      <c r="WZW1" t="s">
        <v>16246</v>
      </c>
      <c r="WZX1" t="s">
        <v>16247</v>
      </c>
      <c r="WZY1" t="s">
        <v>16248</v>
      </c>
      <c r="WZZ1" t="s">
        <v>16249</v>
      </c>
      <c r="XAA1" t="s">
        <v>16250</v>
      </c>
      <c r="XAB1" t="s">
        <v>16251</v>
      </c>
      <c r="XAC1" t="s">
        <v>16252</v>
      </c>
      <c r="XAD1" t="s">
        <v>16253</v>
      </c>
      <c r="XAE1" t="s">
        <v>16254</v>
      </c>
      <c r="XAF1" t="s">
        <v>16255</v>
      </c>
      <c r="XAG1" t="s">
        <v>16256</v>
      </c>
      <c r="XAH1" t="s">
        <v>16257</v>
      </c>
      <c r="XAI1" t="s">
        <v>16258</v>
      </c>
      <c r="XAJ1" t="s">
        <v>16259</v>
      </c>
      <c r="XAK1" t="s">
        <v>16260</v>
      </c>
      <c r="XAL1" t="s">
        <v>16261</v>
      </c>
      <c r="XAM1" t="s">
        <v>16262</v>
      </c>
      <c r="XAN1" t="s">
        <v>16263</v>
      </c>
      <c r="XAO1" t="s">
        <v>16264</v>
      </c>
      <c r="XAP1" t="s">
        <v>16265</v>
      </c>
      <c r="XAQ1" t="s">
        <v>16266</v>
      </c>
      <c r="XAR1" t="s">
        <v>16267</v>
      </c>
      <c r="XAS1" t="s">
        <v>16268</v>
      </c>
      <c r="XAT1" t="s">
        <v>16269</v>
      </c>
      <c r="XAU1" t="s">
        <v>16270</v>
      </c>
      <c r="XAV1" t="s">
        <v>16271</v>
      </c>
      <c r="XAW1" t="s">
        <v>16272</v>
      </c>
      <c r="XAX1" t="s">
        <v>16273</v>
      </c>
      <c r="XAY1" t="s">
        <v>16274</v>
      </c>
      <c r="XAZ1" t="s">
        <v>16275</v>
      </c>
      <c r="XBA1" t="s">
        <v>16276</v>
      </c>
      <c r="XBB1" t="s">
        <v>16277</v>
      </c>
      <c r="XBC1" t="s">
        <v>16278</v>
      </c>
      <c r="XBD1" t="s">
        <v>16279</v>
      </c>
      <c r="XBE1" t="s">
        <v>16280</v>
      </c>
      <c r="XBF1" t="s">
        <v>16281</v>
      </c>
      <c r="XBG1" t="s">
        <v>16282</v>
      </c>
      <c r="XBH1" t="s">
        <v>16283</v>
      </c>
      <c r="XBI1" t="s">
        <v>16284</v>
      </c>
      <c r="XBJ1" t="s">
        <v>16285</v>
      </c>
      <c r="XBK1" t="s">
        <v>16286</v>
      </c>
      <c r="XBL1" t="s">
        <v>16287</v>
      </c>
      <c r="XBM1" t="s">
        <v>16288</v>
      </c>
      <c r="XBN1" t="s">
        <v>16289</v>
      </c>
      <c r="XBO1" t="s">
        <v>16290</v>
      </c>
      <c r="XBP1" t="s">
        <v>16291</v>
      </c>
      <c r="XBQ1" t="s">
        <v>16292</v>
      </c>
      <c r="XBR1" t="s">
        <v>16293</v>
      </c>
      <c r="XBS1" t="s">
        <v>16294</v>
      </c>
      <c r="XBT1" t="s">
        <v>16295</v>
      </c>
      <c r="XBU1" t="s">
        <v>16296</v>
      </c>
      <c r="XBV1" t="s">
        <v>16297</v>
      </c>
      <c r="XBW1" t="s">
        <v>16298</v>
      </c>
      <c r="XBX1" t="s">
        <v>16299</v>
      </c>
      <c r="XBY1" t="s">
        <v>16300</v>
      </c>
      <c r="XBZ1" t="s">
        <v>16301</v>
      </c>
      <c r="XCA1" t="s">
        <v>16302</v>
      </c>
      <c r="XCB1" t="s">
        <v>16303</v>
      </c>
      <c r="XCC1" t="s">
        <v>16304</v>
      </c>
      <c r="XCD1" t="s">
        <v>16305</v>
      </c>
      <c r="XCE1" t="s">
        <v>16306</v>
      </c>
      <c r="XCF1" t="s">
        <v>16307</v>
      </c>
      <c r="XCG1" t="s">
        <v>16308</v>
      </c>
      <c r="XCH1" t="s">
        <v>16309</v>
      </c>
      <c r="XCI1" t="s">
        <v>16310</v>
      </c>
      <c r="XCJ1" t="s">
        <v>16311</v>
      </c>
      <c r="XCK1" t="s">
        <v>16312</v>
      </c>
      <c r="XCL1" t="s">
        <v>16313</v>
      </c>
      <c r="XCM1" t="s">
        <v>16314</v>
      </c>
      <c r="XCN1" t="s">
        <v>16315</v>
      </c>
      <c r="XCO1" t="s">
        <v>16316</v>
      </c>
      <c r="XCP1" t="s">
        <v>16317</v>
      </c>
      <c r="XCQ1" t="s">
        <v>16318</v>
      </c>
      <c r="XCR1" t="s">
        <v>16319</v>
      </c>
      <c r="XCS1" t="s">
        <v>16320</v>
      </c>
      <c r="XCT1" t="s">
        <v>16321</v>
      </c>
      <c r="XCU1" t="s">
        <v>16322</v>
      </c>
      <c r="XCV1" t="s">
        <v>16323</v>
      </c>
      <c r="XCW1" t="s">
        <v>16324</v>
      </c>
      <c r="XCX1" t="s">
        <v>16325</v>
      </c>
      <c r="XCY1" t="s">
        <v>16326</v>
      </c>
      <c r="XCZ1" t="s">
        <v>16327</v>
      </c>
      <c r="XDA1" t="s">
        <v>16328</v>
      </c>
      <c r="XDB1" t="s">
        <v>16329</v>
      </c>
      <c r="XDC1" t="s">
        <v>16330</v>
      </c>
      <c r="XDD1" t="s">
        <v>16331</v>
      </c>
      <c r="XDE1" t="s">
        <v>16332</v>
      </c>
      <c r="XDF1" t="s">
        <v>16333</v>
      </c>
      <c r="XDG1" t="s">
        <v>16334</v>
      </c>
      <c r="XDH1" t="s">
        <v>16335</v>
      </c>
      <c r="XDI1" t="s">
        <v>16336</v>
      </c>
      <c r="XDJ1" t="s">
        <v>16337</v>
      </c>
      <c r="XDK1" t="s">
        <v>16338</v>
      </c>
      <c r="XDL1" t="s">
        <v>16339</v>
      </c>
      <c r="XDM1" t="s">
        <v>16340</v>
      </c>
      <c r="XDN1" t="s">
        <v>16341</v>
      </c>
      <c r="XDO1" t="s">
        <v>16342</v>
      </c>
      <c r="XDP1" t="s">
        <v>16343</v>
      </c>
      <c r="XDQ1" t="s">
        <v>16344</v>
      </c>
      <c r="XDR1" t="s">
        <v>16345</v>
      </c>
      <c r="XDS1" t="s">
        <v>16346</v>
      </c>
      <c r="XDT1" t="s">
        <v>16347</v>
      </c>
      <c r="XDU1" t="s">
        <v>16348</v>
      </c>
      <c r="XDV1" t="s">
        <v>16349</v>
      </c>
      <c r="XDW1" t="s">
        <v>16350</v>
      </c>
      <c r="XDX1" t="s">
        <v>16351</v>
      </c>
      <c r="XDY1" t="s">
        <v>16352</v>
      </c>
      <c r="XDZ1" t="s">
        <v>16353</v>
      </c>
      <c r="XEA1" t="s">
        <v>16354</v>
      </c>
      <c r="XEB1" t="s">
        <v>16355</v>
      </c>
      <c r="XEC1" t="s">
        <v>16356</v>
      </c>
      <c r="XED1" t="s">
        <v>16357</v>
      </c>
      <c r="XEE1" t="s">
        <v>16358</v>
      </c>
      <c r="XEF1" t="s">
        <v>16359</v>
      </c>
      <c r="XEG1" t="s">
        <v>16360</v>
      </c>
      <c r="XEH1" t="s">
        <v>16361</v>
      </c>
      <c r="XEI1" t="s">
        <v>16362</v>
      </c>
      <c r="XEJ1" t="s">
        <v>16363</v>
      </c>
      <c r="XEK1" t="s">
        <v>16364</v>
      </c>
      <c r="XEL1" t="s">
        <v>16365</v>
      </c>
      <c r="XEM1" t="s">
        <v>16366</v>
      </c>
      <c r="XEN1" t="s">
        <v>16367</v>
      </c>
      <c r="XEO1" t="s">
        <v>16368</v>
      </c>
      <c r="XEP1" t="s">
        <v>16369</v>
      </c>
      <c r="XEQ1" t="s">
        <v>16370</v>
      </c>
      <c r="XER1" t="s">
        <v>16371</v>
      </c>
      <c r="XES1" t="s">
        <v>16372</v>
      </c>
      <c r="XET1" t="s">
        <v>16373</v>
      </c>
      <c r="XEU1" t="s">
        <v>16374</v>
      </c>
      <c r="XEV1" t="s">
        <v>16375</v>
      </c>
      <c r="XEW1" t="s">
        <v>16376</v>
      </c>
      <c r="XEX1" t="s">
        <v>16377</v>
      </c>
      <c r="XEY1" t="s">
        <v>16378</v>
      </c>
      <c r="XEZ1" t="s">
        <v>16379</v>
      </c>
      <c r="XFA1" t="s">
        <v>16380</v>
      </c>
      <c r="XFB1" t="s">
        <v>16381</v>
      </c>
      <c r="XFC1" t="s">
        <v>16382</v>
      </c>
      <c r="XFD1" t="s">
        <v>16383</v>
      </c>
    </row>
    <row r="2" ht="17" spans="1:1024 1025:16384">
      <c r="A2" s="2">
        <v>1</v>
      </c>
      <c r="B2" s="13" t="s">
        <v>16384</v>
      </c>
      <c r="C2" s="10">
        <v>100000</v>
      </c>
      <c r="D2" s="6">
        <v>0.02</v>
      </c>
      <c r="E2" s="10">
        <v>5.11</v>
      </c>
      <c r="F2" s="8">
        <f>IF(OR(C2="",D2="",E2="",N2="",C2&lt;=0,D2&lt;=0,E2&lt;=N2),"",ROUNDDOWN((C2*D2)/(E2-N2)/100,0)*100)</f>
        <v>3200</v>
      </c>
      <c r="G2" s="8" t="str">
        <f ca="1"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COUNTIFS(持仓跟踪!$A$2:$A$497,"止损计划",持仓跟踪!$B$2:$B$497,A2,持仓跟踪!$AC$2:$AC$497,"计划有效")=0,"禁止开仓：请先填写止损计划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" s="2">
        <v>3200</v>
      </c>
      <c r="I2" s="15">
        <v>43420</v>
      </c>
      <c r="J2" s="10">
        <v>6</v>
      </c>
      <c r="K2" s="5">
        <v>4.41</v>
      </c>
      <c r="L2" s="8">
        <v>3200</v>
      </c>
      <c r="M2" s="23">
        <v>43424</v>
      </c>
      <c r="N2" s="10">
        <v>4.5</v>
      </c>
      <c r="O2" s="10"/>
      <c r="P2" s="5" t="str">
        <f>IF(A2="","",IFERROR(LOOKUP(2,1/((持仓跟踪!$B$2:$B$497=A2)*(持仓跟踪!$X$2:$X$497="执行卖出")*(持仓跟踪!$AA$2:$AA$497&lt;&gt;"")),持仓跟踪!$AA$2:$AA$497),""))</f>
        <v/>
      </c>
      <c r="Q2" s="2"/>
      <c r="R2" s="2"/>
      <c r="S2" s="2"/>
      <c r="T2" s="2"/>
      <c r="U2" s="7">
        <f>IF(OR(AO2="",J2="",AO2&lt;=0),"",(J2-AO2)/AO2)</f>
        <v>0.174168297455969</v>
      </c>
      <c r="V2" s="7">
        <f>IF(OR(AO2="",N2="",AO2&lt;=0),"",(AO2-N2)/AO2)</f>
        <v>0.119373776908024</v>
      </c>
      <c r="W2" s="24">
        <f>IF(OR(U2="",V2="",V2&lt;=0),"",U2/V2)</f>
        <v>1.45901639344262</v>
      </c>
      <c r="X2" s="5">
        <f>IF(OR(K2="",L2="",AP2=""),"",K2*L2-(E2*H2+IF(AND(AK2&lt;&gt;"",AL2&lt;&gt;""),AK2*AL2,0)+IF(AND(AM2&lt;&gt;"",AN2&lt;&gt;""),AM2*AN2,0))-IF(O2="",0,O2)-IF(P2="",0,P2))</f>
        <v>-2240</v>
      </c>
      <c r="Y2" s="7">
        <f>IF(OR(X2="",AP2=""),"",IF((E2*H2+IF(AND(AK2&lt;&gt;"",AL2&lt;&gt;""),AK2*AL2,0)+IF(AND(AM2&lt;&gt;"",AN2&lt;&gt;""),AM2*AN2,0))+IF(O2="",0,O2)&lt;=0,"",X2/((E2*H2+IF(AND(AK2&lt;&gt;"",AL2&lt;&gt;""),AK2*AL2,0)+IF(AND(AM2&lt;&gt;"",AN2&lt;&gt;""),AM2*AN2,0))+IF(O2="",0,O2))))</f>
        <v>-0.136986301369863</v>
      </c>
      <c r="Z2" s="7">
        <f>IF(OR(AE2="",多次统计数据!$B$8=""),"",AE2-多次统计数据!$B$8)</f>
        <v>-0.0811471185907686</v>
      </c>
      <c r="AA2" s="11">
        <f>IF(OR(I2="",M2="",M2&lt;I2),"",M2-I2)</f>
        <v>4</v>
      </c>
      <c r="AB2" s="7">
        <f>IF(OR(A2="",多次统计数据!$B$8="",多次统计数据!$B$6&lt;=0,多次统计数据!$B$6&gt;=1),"",1-POWER(1+多次统计数据!$B$8,-多次统计数据!$B$6/(1-多次统计数据!$B$6)))</f>
        <v>0.0315166534281621</v>
      </c>
      <c r="AC2" s="8" t="str">
        <f>IF(OR(AB2="",多次统计数据!$B$9=""),"",IF(多次统计数据!$B$9&lt;AB2,"低于上限","达到或超过上限"))</f>
        <v>低于上限</v>
      </c>
      <c r="AD2" s="2"/>
      <c r="AE2" s="7">
        <f>IF(OR(X2="",C2="",C2&lt;=0),"",X2/C2)</f>
        <v>-0.0224</v>
      </c>
      <c r="AG2" s="2"/>
      <c r="AH2" s="2"/>
      <c r="AI2" s="2"/>
      <c r="AJ2" s="8" t="str">
        <f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/>
      </c>
      <c r="AK2" s="10"/>
      <c r="AL2" s="12"/>
      <c r="AM2" s="10"/>
      <c r="AN2" s="12"/>
      <c r="AO2" s="5">
        <f>IF(OR(A2="",H2="",H2&lt;=0),"",(E2*H2+IF(AND(AK2&lt;&gt;"",AL2&lt;&gt;""),AK2*AL2,0)+IF(AND(AM2&lt;&gt;"",AN2&lt;&gt;""),AM2*AN2,0))/AP2)</f>
        <v>5.11</v>
      </c>
      <c r="AP2" s="11">
        <f>IF(OR(A2="",H2="",H2&lt;=0),"",H2+IF(AL2="",0,AL2)+IF(AN2="",0,AN2))</f>
        <v>3200</v>
      </c>
      <c r="AQ2" s="5">
        <f>IF(A2="","",IF(M2&lt;&gt;"",0,IF(OR(H2="",N2=""),"",MAX(E2-MAX(N2,IFERROR(SUMPRODUCT(MAX(((持仓跟踪!$A$2:$A$497="每日跟踪")*(持仓跟踪!$B$2:$B$497=A2))*持仓跟踪!$S$2:$S$497)),0)),0)*H2+IF(OR(AK2="",AL2=""),0,MAX(AK2-MAX(N2,IFERROR(SUMPRODUCT(MAX(((持仓跟踪!$A$2:$A$497="每日跟踪")*(持仓跟踪!$B$2:$B$497=A2))*持仓跟踪!$S$2:$S$497)),0)),0)*AL2)+IF(OR(AM2="",AN2=""),0,MAX(AM2-MAX(N2,IFERROR(SUMPRODUCT(MAX(((持仓跟踪!$A$2:$A$497="每日跟踪")*(持仓跟踪!$B$2:$B$497=A2))*持仓跟踪!$S$2:$S$497)),0)),0)*AN2))))</f>
        <v>0</v>
      </c>
      <c r="AR2" s="8" t="str">
        <f ca="1"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$163)&gt;账户数据!$B$7,"违规：超过账户风险上限","通过")))))))))</f>
        <v>通过</v>
      </c>
    </row>
    <row r="3" ht="17" spans="1:1024 1025:16384">
      <c r="A3" s="2">
        <v>2</v>
      </c>
      <c r="B3" s="13" t="s">
        <v>16384</v>
      </c>
      <c r="C3" s="10">
        <v>97760</v>
      </c>
      <c r="D3" s="6">
        <v>0.02</v>
      </c>
      <c r="E3" s="10">
        <v>4.87</v>
      </c>
      <c r="F3" s="8">
        <f>IF(OR(C3="",D3="",E3="",N3="",C3&lt;=0,D3&lt;=0,E3&lt;=N3),"",ROUNDDOWN((C3*D3)/(E3-N3)/100,0)*100)</f>
        <v>5200</v>
      </c>
      <c r="G3" s="8" t="str">
        <f ca="1"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COUNTIFS(持仓跟踪!$A$2:$A$497,"止损计划",持仓跟踪!$B$2:$B$497,A3,持仓跟踪!$AC$2:$AC$497,"计划有效")=0,"禁止开仓：请先填写止损计划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" s="2">
        <v>5200</v>
      </c>
      <c r="I3" s="15">
        <v>43479</v>
      </c>
      <c r="J3" s="10">
        <v>5.5</v>
      </c>
      <c r="K3" s="5">
        <v>7.84</v>
      </c>
      <c r="L3" s="8">
        <v>5200</v>
      </c>
      <c r="M3" s="23">
        <v>43521</v>
      </c>
      <c r="N3" s="10">
        <v>4.5</v>
      </c>
      <c r="O3" s="10"/>
      <c r="P3" s="5" t="str">
        <f>IF(A3="","",IFERROR(LOOKUP(2,1/((持仓跟踪!$B$2:$B$497=A3)*(持仓跟踪!$X$2:$X$497="执行卖出")*(持仓跟踪!$AA$2:$AA$497&lt;&gt;"")),持仓跟踪!$AA$2:$AA$497),""))</f>
        <v/>
      </c>
      <c r="Q3" s="2"/>
      <c r="R3" s="2"/>
      <c r="S3" s="2"/>
      <c r="T3" s="2"/>
      <c r="U3" s="7">
        <f>IF(OR(AO3="",J3="",AO3&lt;=0),"",(J3-AO3)/AO3)</f>
        <v>0.129363449691992</v>
      </c>
      <c r="V3" s="7">
        <f>IF(OR(AO3="",N3="",AO3&lt;=0),"",(AO3-N3)/AO3)</f>
        <v>0.0759753593429158</v>
      </c>
      <c r="W3" s="24">
        <f>IF(OR(U3="",V3="",V3&lt;=0),"",U3/V3)</f>
        <v>1.7027027027027</v>
      </c>
      <c r="X3" s="5">
        <f>IF(OR(K3="",L3="",AP3=""),"",K3*L3-(E3*H3+IF(AND(AK3&lt;&gt;"",AL3&lt;&gt;""),AK3*AL3,0)+IF(AND(AM3&lt;&gt;"",AN3&lt;&gt;""),AM3*AN3,0))-IF(O3="",0,O3)-IF(P3="",0,P3))</f>
        <v>15444</v>
      </c>
      <c r="Y3" s="7">
        <f>IF(OR(X3="",AP3=""),"",IF((E3*H3+IF(AND(AK3&lt;&gt;"",AL3&lt;&gt;""),AK3*AL3,0)+IF(AND(AM3&lt;&gt;"",AN3&lt;&gt;""),AM3*AN3,0))+IF(O3="",0,O3)&lt;=0,"",X3/((E3*H3+IF(AND(AK3&lt;&gt;"",AL3&lt;&gt;""),AK3*AL3,0)+IF(AND(AM3&lt;&gt;"",AN3&lt;&gt;""),AM3*AN3,0))+IF(O3="",0,O3))))</f>
        <v>0.609856262833676</v>
      </c>
      <c r="Z3" s="7">
        <f>IF(OR(AE3="",多次统计数据!$B$8=""),"",AE3-多次统计数据!$B$8)</f>
        <v>0.0992316048134868</v>
      </c>
      <c r="AA3" s="11">
        <f>IF(OR(I3="",M3="",M3&lt;I3),"",M3-I3)</f>
        <v>42</v>
      </c>
      <c r="AB3" s="7">
        <f>IF(OR(A3="",多次统计数据!$B$8="",多次统计数据!$B$6&lt;=0,多次统计数据!$B$6&gt;=1),"",1-POWER(1+多次统计数据!$B$8,-多次统计数据!$B$6/(1-多次统计数据!$B$6)))</f>
        <v>0.0315166534281621</v>
      </c>
      <c r="AC3" s="8" t="str">
        <f>IF(OR(AB3="",多次统计数据!$B$9=""),"",IF(多次统计数据!$B$9&lt;AB3,"低于上限","达到或超过上限"))</f>
        <v>低于上限</v>
      </c>
      <c r="AD3" s="2"/>
      <c r="AE3" s="7">
        <f>IF(OR(X3="",C3="",C3&lt;=0),"",X3/C3)</f>
        <v>0.157978723404255</v>
      </c>
      <c r="AG3" s="2"/>
      <c r="AH3" s="2"/>
      <c r="AI3" s="2"/>
      <c r="AJ3" s="8" t="str">
        <f>IF(OR(AG3="",AH3=""),"",IF(OR(AND(AG3="短期博反弹",OR(AH3="1～3个交易日",AH3="4～10个交易日")),AND(AG3="突破冲新高",OR(AH3="4～10个交易日",AH3="11～20个交易日")),AND(AG3="趋势波段",OR(AH3="11～20个交易日",AH3="21～60个交易日",AH3="60个交易日以上"))),"匹配","周期与交易预期不匹配，请重新确认"))</f>
        <v/>
      </c>
      <c r="AK3" s="10"/>
      <c r="AL3" s="12"/>
      <c r="AM3" s="10"/>
      <c r="AN3" s="12"/>
      <c r="AO3" s="5">
        <f>IF(OR(A3="",H3="",H3&lt;=0),"",(E3*H3+IF(AND(AK3&lt;&gt;"",AL3&lt;&gt;""),AK3*AL3,0)+IF(AND(AM3&lt;&gt;"",AN3&lt;&gt;""),AM3*AN3,0))/AP3)</f>
        <v>4.87</v>
      </c>
      <c r="AP3" s="11">
        <f>IF(OR(A3="",H3="",H3&lt;=0),"",H3+IF(AL3="",0,AL3)+IF(AN3="",0,AN3))</f>
        <v>5200</v>
      </c>
      <c r="AQ3" s="5">
        <f>IF(A3="","",IF(M3&lt;&gt;"",0,IF(OR(H3="",N3=""),"",MAX(E3-MAX(N3,IFERROR(SUMPRODUCT(MAX(((持仓跟踪!$A$2:$A$497="每日跟踪")*(持仓跟踪!$B$2:$B$497=A3))*持仓跟踪!$S$2:$S$497)),0)),0)*H3+IF(OR(AK3="",AL3=""),0,MAX(AK3-MAX(N3,IFERROR(SUMPRODUCT(MAX(((持仓跟踪!$A$2:$A$497="每日跟踪")*(持仓跟踪!$B$2:$B$497=A3))*持仓跟踪!$S$2:$S$497)),0)),0)*AL3)+IF(OR(AM3="",AN3=""),0,MAX(AM3-MAX(N3,IFERROR(SUMPRODUCT(MAX(((持仓跟踪!$A$2:$A$497="每日跟踪")*(持仓跟踪!$B$2:$B$497=A3))*持仓跟踪!$S$2:$S$497)),0)),0)*AN3))))</f>
        <v>0</v>
      </c>
      <c r="AR3" s="8" t="str">
        <f ca="1">IF(A3="","",IF(OR(E3="",H3=""),"违规：第一批价格或股数缺失",IF(OR(AND(AK3="",AL3&lt;&gt;""),AND(AK3&lt;&gt;"",AL3="")),"违规：第二批价格与股数须成对填写",IF(OR(AND(AM3="",AN3&lt;&gt;""),AND(AM3&lt;&gt;"",AN3="")),"违规：第三批价格与股数须成对填写",IF(AND(OR(AM3&lt;&gt;"",AN3&lt;&gt;""),OR(AK3="",AL3="")),"违规：必须先完成第二批",IF(OR(H3&lt;=0,H3&lt;&gt;INT(H3),MOD(H3,100)&lt;&gt;0,AND(AL3&lt;&gt;"",OR(AL3&lt;=0,AL3&lt;&gt;INT(AL3),MOD(AL3,100)&lt;&gt;0)),AND(AN3&lt;&gt;"",OR(AN3&lt;=0,AN3&lt;&gt;INT(AN3),MOD(AN3,100)&lt;&gt;0))),"违规：股数须为100股整数倍",IF(AND(OR(AL3&lt;&gt;"",AN3&lt;&gt;""),OR(_LockStatus="已锁仓",_LockStatus="解锁信息不完整")),"违规：锁仓期间禁止加仓",IF(AQ3&gt;C3*D3,"违规：超过单笔风险上限",IF(SUM($AQ$2:$AQ$163)&gt;账户数据!$B$7,"违规：超过账户风险上限","通过")))))))))</f>
        <v>通过</v>
      </c>
    </row>
    <row r="4" ht="17" spans="1:1024 1025:16384">
      <c r="A4" s="2">
        <v>3</v>
      </c>
      <c r="B4" s="13" t="s">
        <v>16384</v>
      </c>
      <c r="C4" s="10">
        <v>113204</v>
      </c>
      <c r="D4" s="6">
        <v>0.02</v>
      </c>
      <c r="E4" s="10">
        <v>20.45</v>
      </c>
      <c r="F4" s="8">
        <f>IF(OR(C4="",D4="",E4="",N4="",C4&lt;=0,D4&lt;=0,E4&lt;=N4),"",ROUNDDOWN((C4*D4)/(E4-N4)/100,0)*100)</f>
        <v>1800</v>
      </c>
      <c r="G4" s="8" t="str">
        <f ca="1"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COUNTIFS(持仓跟踪!$A$2:$A$497,"止损计划",持仓跟踪!$B$2:$B$497,A4,持仓跟踪!$AC$2:$AC$497,"计划有效")=0,"禁止开仓：请先填写止损计划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" s="2">
        <v>1800</v>
      </c>
      <c r="I4" s="15">
        <v>43487</v>
      </c>
      <c r="J4" s="10">
        <v>22</v>
      </c>
      <c r="K4" s="5">
        <v>17.45</v>
      </c>
      <c r="L4" s="8">
        <v>1800</v>
      </c>
      <c r="M4" s="23">
        <v>43864</v>
      </c>
      <c r="N4" s="10">
        <v>19.2</v>
      </c>
      <c r="O4" s="10"/>
      <c r="P4" s="5" t="str">
        <f>IF(A4="","",IFERROR(LOOKUP(2,1/((持仓跟踪!$B$2:$B$497=A4)*(持仓跟踪!$X$2:$X$497="执行卖出")*(持仓跟踪!$AA$2:$AA$497&lt;&gt;"")),持仓跟踪!$AA$2:$AA$497),""))</f>
        <v/>
      </c>
      <c r="Q4" s="2"/>
      <c r="R4" s="2"/>
      <c r="S4" s="2"/>
      <c r="T4" s="2"/>
      <c r="U4" s="7">
        <f>IF(OR(AO4="",J4="",AO4&lt;=0),"",(J4-AO4)/AO4)</f>
        <v>0.0757946210268949</v>
      </c>
      <c r="V4" s="7">
        <f>IF(OR(AO4="",N4="",AO4&lt;=0),"",(AO4-N4)/AO4)</f>
        <v>0.0611246943765281</v>
      </c>
      <c r="W4" s="24">
        <f>IF(OR(U4="",V4="",V4&lt;=0),"",U4/V4)</f>
        <v>1.24</v>
      </c>
      <c r="X4" s="5">
        <f>IF(OR(K4="",L4="",AP4=""),"",K4*L4-(E4*H4+IF(AND(AK4&lt;&gt;"",AL4&lt;&gt;""),AK4*AL4,0)+IF(AND(AM4&lt;&gt;"",AN4&lt;&gt;""),AM4*AN4,0))-IF(O4="",0,O4)-IF(P4="",0,P4))</f>
        <v>-5400</v>
      </c>
      <c r="Y4" s="7">
        <f>IF(OR(X4="",AP4=""),"",IF((E4*H4+IF(AND(AK4&lt;&gt;"",AL4&lt;&gt;""),AK4*AL4,0)+IF(AND(AM4&lt;&gt;"",AN4&lt;&gt;""),AM4*AN4,0))+IF(O4="",0,O4)&lt;=0,"",X4/((E4*H4+IF(AND(AK4&lt;&gt;"",AL4&lt;&gt;""),AK4*AL4,0)+IF(AND(AM4&lt;&gt;"",AN4&lt;&gt;""),AM4*AN4,0))+IF(O4="",0,O4))))</f>
        <v>-0.146699266503667</v>
      </c>
      <c r="Z4" s="7">
        <f>IF(OR(AE4="",多次统计数据!$B$8=""),"",AE4-多次统计数据!$B$8)</f>
        <v>-0.106448613237601</v>
      </c>
      <c r="AA4" s="11">
        <f>IF(OR(I4="",M4="",M4&lt;I4),"",M4-I4)</f>
        <v>377</v>
      </c>
      <c r="AB4" s="7">
        <f>IF(OR(A4="",多次统计数据!$B$8="",多次统计数据!$B$6&lt;=0,多次统计数据!$B$6&gt;=1),"",1-POWER(1+多次统计数据!$B$8,-多次统计数据!$B$6/(1-多次统计数据!$B$6)))</f>
        <v>0.0315166534281621</v>
      </c>
      <c r="AC4" s="8" t="str">
        <f>IF(OR(AB4="",多次统计数据!$B$9=""),"",IF(多次统计数据!$B$9&lt;AB4,"低于上限","达到或超过上限"))</f>
        <v>低于上限</v>
      </c>
      <c r="AD4" s="2"/>
      <c r="AE4" s="7">
        <f>IF(OR(X4="",C4="",C4&lt;=0),"",X4/C4)</f>
        <v>-0.0477014946468323</v>
      </c>
      <c r="AG4" s="2"/>
      <c r="AH4" s="2"/>
      <c r="AI4" s="2"/>
      <c r="AJ4" s="8" t="str">
        <f>IF(OR(AG4="",AH4=""),"",IF(OR(AND(AG4="短期博反弹",OR(AH4="1～3个交易日",AH4="4～10个交易日")),AND(AG4="突破冲新高",OR(AH4="4～10个交易日",AH4="11～20个交易日")),AND(AG4="趋势波段",OR(AH4="11～20个交易日",AH4="21～60个交易日",AH4="60个交易日以上"))),"匹配","周期与交易预期不匹配，请重新确认"))</f>
        <v/>
      </c>
      <c r="AK4" s="10"/>
      <c r="AL4" s="12"/>
      <c r="AM4" s="10"/>
      <c r="AN4" s="12"/>
      <c r="AO4" s="5">
        <f>IF(OR(A4="",H4="",H4&lt;=0),"",(E4*H4+IF(AND(AK4&lt;&gt;"",AL4&lt;&gt;""),AK4*AL4,0)+IF(AND(AM4&lt;&gt;"",AN4&lt;&gt;""),AM4*AN4,0))/AP4)</f>
        <v>20.45</v>
      </c>
      <c r="AP4" s="11">
        <f>IF(OR(A4="",H4="",H4&lt;=0),"",H4+IF(AL4="",0,AL4)+IF(AN4="",0,AN4))</f>
        <v>1800</v>
      </c>
      <c r="AQ4" s="5">
        <f>IF(A4="","",IF(M4&lt;&gt;"",0,IF(OR(H4="",N4=""),"",MAX(E4-MAX(N4,IFERROR(SUMPRODUCT(MAX(((持仓跟踪!$A$2:$A$497="每日跟踪")*(持仓跟踪!$B$2:$B$497=A4))*持仓跟踪!$S$2:$S$497)),0)),0)*H4+IF(OR(AK4="",AL4=""),0,MAX(AK4-MAX(N4,IFERROR(SUMPRODUCT(MAX(((持仓跟踪!$A$2:$A$497="每日跟踪")*(持仓跟踪!$B$2:$B$497=A4))*持仓跟踪!$S$2:$S$497)),0)),0)*AL4)+IF(OR(AM4="",AN4=""),0,MAX(AM4-MAX(N4,IFERROR(SUMPRODUCT(MAX(((持仓跟踪!$A$2:$A$497="每日跟踪")*(持仓跟踪!$B$2:$B$497=A4))*持仓跟踪!$S$2:$S$497)),0)),0)*AN4))))</f>
        <v>0</v>
      </c>
      <c r="AR4" s="8" t="str">
        <f ca="1">IF(A4="","",IF(OR(E4="",H4=""),"违规：第一批价格或股数缺失",IF(OR(AND(AK4="",AL4&lt;&gt;""),AND(AK4&lt;&gt;"",AL4="")),"违规：第二批价格与股数须成对填写",IF(OR(AND(AM4="",AN4&lt;&gt;""),AND(AM4&lt;&gt;"",AN4="")),"违规：第三批价格与股数须成对填写",IF(AND(OR(AM4&lt;&gt;"",AN4&lt;&gt;""),OR(AK4="",AL4="")),"违规：必须先完成第二批",IF(OR(H4&lt;=0,H4&lt;&gt;INT(H4),MOD(H4,100)&lt;&gt;0,AND(AL4&lt;&gt;"",OR(AL4&lt;=0,AL4&lt;&gt;INT(AL4),MOD(AL4,100)&lt;&gt;0)),AND(AN4&lt;&gt;"",OR(AN4&lt;=0,AN4&lt;&gt;INT(AN4),MOD(AN4,100)&lt;&gt;0))),"违规：股数须为100股整数倍",IF(AND(OR(AL4&lt;&gt;"",AN4&lt;&gt;""),OR(_LockStatus="已锁仓",_LockStatus="解锁信息不完整")),"违规：锁仓期间禁止加仓",IF(AQ4&gt;C4*D4,"违规：超过单笔风险上限",IF(SUM($AQ$2:$AQ$163)&gt;账户数据!$B$7,"违规：超过账户风险上限","通过")))))))))</f>
        <v>通过</v>
      </c>
    </row>
    <row r="5" s="22" customFormat="1" ht="17" spans="1:1024 1025:16384">
      <c r="A5" s="25">
        <v>4</v>
      </c>
      <c r="B5" s="25" t="s">
        <v>16384</v>
      </c>
      <c r="C5" s="26">
        <v>107804</v>
      </c>
      <c r="D5" s="27">
        <v>0.02</v>
      </c>
      <c r="E5" s="26">
        <v>20.97</v>
      </c>
      <c r="F5" s="28">
        <f>IF(OR(C5="",D5="",E5="",N5="",C5&lt;=0,D5&lt;=0,E5&lt;=N5),"",ROUNDDOWN((C5*D5)/(E5-N5)/100,0)*100)</f>
        <v>2200</v>
      </c>
      <c r="G5" s="28" t="str">
        <f ca="1"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COUNTIFS(持仓跟踪!$A$2:$A$497,"止损计划",持仓跟踪!$B$2:$B$497,A5,持仓跟踪!$AC$2:$AC$497,"计划有效")=0,"禁止开仓：请先填写止损计划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" s="25">
        <v>2200</v>
      </c>
      <c r="I5" s="29">
        <v>43882</v>
      </c>
      <c r="J5" s="26">
        <v>23</v>
      </c>
      <c r="K5" s="30">
        <v>23.65</v>
      </c>
      <c r="L5" s="28">
        <v>2200</v>
      </c>
      <c r="M5" s="31">
        <v>43893</v>
      </c>
      <c r="N5" s="26">
        <v>20</v>
      </c>
      <c r="O5" s="26"/>
      <c r="P5" s="30" t="str">
        <f>IF(A5="","",IFERROR(LOOKUP(2,1/((持仓跟踪!$B$2:$B$497=A5)*(持仓跟踪!$X$2:$X$497="执行卖出")*(持仓跟踪!$AA$2:$AA$497&lt;&gt;"")),持仓跟踪!$AA$2:$AA$497),""))</f>
        <v/>
      </c>
      <c r="Q5" s="25"/>
      <c r="R5" s="25"/>
      <c r="S5" s="25"/>
      <c r="T5" s="25"/>
      <c r="U5" s="32">
        <f>IF(OR(AO5="",J5="",AO5&lt;=0),"",(J5-AO5)/AO5)</f>
        <v>0.0968049594659037</v>
      </c>
      <c r="V5" s="32">
        <f>IF(OR(AO5="",N5="",AO5&lt;=0),"",(AO5-N5)/AO5)</f>
        <v>0.0462565569861707</v>
      </c>
      <c r="W5" s="33">
        <f>IF(OR(U5="",V5="",V5&lt;=0),"",U5/V5)</f>
        <v>2.09278350515464</v>
      </c>
      <c r="X5" s="30">
        <f>IF(OR(K5="",L5="",AP5=""),"",K5*L5-(E5*H5+IF(AND(AK5&lt;&gt;"",AL5&lt;&gt;""),AK5*AL5,0)+IF(AND(AM5&lt;&gt;"",AN5&lt;&gt;""),AM5*AN5,0))-IF(O5="",0,O5)-IF(P5="",0,P5))</f>
        <v>5896</v>
      </c>
      <c r="Y5" s="32">
        <f>IF(OR(X5="",AP5=""),"",IF((E5*H5+IF(AND(AK5&lt;&gt;"",AL5&lt;&gt;""),AK5*AL5,0)+IF(AND(AM5&lt;&gt;"",AN5&lt;&gt;""),AM5*AN5,0))+IF(O5="",0,O5)&lt;=0,"",X5/((E5*H5+IF(AND(AK5&lt;&gt;"",AL5&lt;&gt;""),AK5*AL5,0)+IF(AND(AM5&lt;&gt;"",AN5&lt;&gt;""),AM5*AN5,0))+IF(O5="",0,O5))))</f>
        <v>0.127801621363853</v>
      </c>
      <c r="Z5" s="32">
        <f>IF(OR(AE5="",多次统计数据!$B$8=""),"",AE5-多次统计数据!$B$8)</f>
        <v>-0.00405527042186944</v>
      </c>
      <c r="AA5" s="34">
        <f>IF(OR(I5="",M5="",M5&lt;I5),"",M5-I5)</f>
        <v>11</v>
      </c>
      <c r="AB5" s="32">
        <f>IF(OR(A5="",多次统计数据!$B$8="",多次统计数据!$B$6&lt;=0,多次统计数据!$B$6&gt;=1),"",1-POWER(1+多次统计数据!$B$8,-多次统计数据!$B$6/(1-多次统计数据!$B$6)))</f>
        <v>0.0315166534281621</v>
      </c>
      <c r="AC5" s="28" t="str">
        <f>IF(OR(AB5="",多次统计数据!$B$9=""),"",IF(多次统计数据!$B$9&lt;AB5,"低于上限","达到或超过上限"))</f>
        <v>低于上限</v>
      </c>
      <c r="AD5" s="25"/>
      <c r="AE5" s="32">
        <f>IF(OR(X5="",C5="",C5&lt;=0),"",X5/C5)</f>
        <v>0.0546918481688991</v>
      </c>
      <c r="AG5" s="25"/>
      <c r="AH5" s="25"/>
      <c r="AI5" s="25"/>
      <c r="AJ5" s="28" t="str">
        <f>IF(OR(AG5="",AH5=""),"",IF(OR(AND(AG5="短期博反弹",OR(AH5="1～3个交易日",AH5="4～10个交易日")),AND(AG5="突破冲新高",OR(AH5="4～10个交易日",AH5="11～20个交易日")),AND(AG5="趋势波段",OR(AH5="11～20个交易日",AH5="21～60个交易日",AH5="60个交易日以上"))),"匹配","周期与交易预期不匹配，请重新确认"))</f>
        <v/>
      </c>
      <c r="AK5" s="26"/>
      <c r="AL5" s="35"/>
      <c r="AM5" s="26"/>
      <c r="AN5" s="35"/>
      <c r="AO5" s="30">
        <f>IF(OR(A5="",H5="",H5&lt;=0),"",(E5*H5+IF(AND(AK5&lt;&gt;"",AL5&lt;&gt;""),AK5*AL5,0)+IF(AND(AM5&lt;&gt;"",AN5&lt;&gt;""),AM5*AN5,0))/AP5)</f>
        <v>20.97</v>
      </c>
      <c r="AP5" s="34">
        <f>IF(OR(A5="",H5="",H5&lt;=0),"",H5+IF(AL5="",0,AL5)+IF(AN5="",0,AN5))</f>
        <v>2200</v>
      </c>
      <c r="AQ5" s="30">
        <f>IF(A5="","",IF(M5&lt;&gt;"",0,IF(OR(H5="",N5=""),"",MAX(E5-MAX(N5,IFERROR(SUMPRODUCT(MAX(((持仓跟踪!$A$2:$A$497="每日跟踪")*(持仓跟踪!$B$2:$B$497=A5))*持仓跟踪!$S$2:$S$497)),0)),0)*H5+IF(OR(AK5="",AL5=""),0,MAX(AK5-MAX(N5,IFERROR(SUMPRODUCT(MAX(((持仓跟踪!$A$2:$A$497="每日跟踪")*(持仓跟踪!$B$2:$B$497=A5))*持仓跟踪!$S$2:$S$497)),0)),0)*AL5)+IF(OR(AM5="",AN5=""),0,MAX(AM5-MAX(N5,IFERROR(SUMPRODUCT(MAX(((持仓跟踪!$A$2:$A$497="每日跟踪")*(持仓跟踪!$B$2:$B$497=A5))*持仓跟踪!$S$2:$S$497)),0)),0)*AN5))))</f>
        <v>0</v>
      </c>
      <c r="AR5" s="28" t="str">
        <f ca="1">IF(A5="","",IF(OR(E5="",H5=""),"违规：第一批价格或股数缺失",IF(OR(AND(AK5="",AL5&lt;&gt;""),AND(AK5&lt;&gt;"",AL5="")),"违规：第二批价格与股数须成对填写",IF(OR(AND(AM5="",AN5&lt;&gt;""),AND(AM5&lt;&gt;"",AN5="")),"违规：第三批价格与股数须成对填写",IF(AND(OR(AM5&lt;&gt;"",AN5&lt;&gt;""),OR(AK5="",AL5="")),"违规：必须先完成第二批",IF(OR(H5&lt;=0,H5&lt;&gt;INT(H5),MOD(H5,100)&lt;&gt;0,AND(AL5&lt;&gt;"",OR(AL5&lt;=0,AL5&lt;&gt;INT(AL5),MOD(AL5,100)&lt;&gt;0)),AND(AN5&lt;&gt;"",OR(AN5&lt;=0,AN5&lt;&gt;INT(AN5),MOD(AN5,100)&lt;&gt;0))),"违规：股数须为100股整数倍",IF(AND(OR(AL5&lt;&gt;"",AN5&lt;&gt;""),OR(_LockStatus="已锁仓",_LockStatus="解锁信息不完整")),"违规：锁仓期间禁止加仓",IF(AQ5&gt;C5*D5,"违规：超过单笔风险上限",IF(SUM($AQ$2:$AQ$163)&gt;账户数据!$B$7,"违规：超过账户风险上限","通过")))))))))</f>
        <v>通过</v>
      </c>
    </row>
    <row r="6" ht="17" spans="1:1024 1025:16384">
      <c r="A6" s="2">
        <v>5</v>
      </c>
      <c r="B6" s="13" t="s">
        <v>16384</v>
      </c>
      <c r="C6" s="10">
        <v>113700</v>
      </c>
      <c r="D6" s="6">
        <v>0.02</v>
      </c>
      <c r="E6" s="10">
        <v>22.61</v>
      </c>
      <c r="F6" s="8">
        <f>IF(OR(C6="",D6="",E6="",N6="",C6&lt;=0,D6&lt;=0,E6&lt;=N6),"",ROUNDDOWN((C6*D6)/(E6-N6)/100,0)*100)</f>
        <v>1400</v>
      </c>
      <c r="G6" s="8" t="str">
        <f ca="1"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COUNTIFS(持仓跟踪!$A$2:$A$497,"止损计划",持仓跟踪!$B$2:$B$497,A6,持仓跟踪!$AC$2:$AC$497,"计划有效")=0,"禁止开仓：请先填写止损计划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" s="2">
        <v>1400</v>
      </c>
      <c r="I6" s="15">
        <v>43896</v>
      </c>
      <c r="J6" s="10">
        <v>25</v>
      </c>
      <c r="K6" s="5">
        <v>19.42</v>
      </c>
      <c r="L6" s="8">
        <v>1400</v>
      </c>
      <c r="M6" s="23">
        <v>43920</v>
      </c>
      <c r="N6" s="10">
        <v>21</v>
      </c>
      <c r="O6" s="10"/>
      <c r="P6" s="5" t="str">
        <f>IF(A6="","",IFERROR(LOOKUP(2,1/((持仓跟踪!$B$2:$B$497=A6)*(持仓跟踪!$X$2:$X$497="执行卖出")*(持仓跟踪!$AA$2:$AA$497&lt;&gt;"")),持仓跟踪!$AA$2:$AA$497),""))</f>
        <v/>
      </c>
      <c r="Q6" s="2"/>
      <c r="R6" s="2"/>
      <c r="S6" s="2"/>
      <c r="T6" s="2"/>
      <c r="U6" s="7">
        <f>IF(OR(AO6="",J6="",AO6&lt;=0),"",(J6-AO6)/AO6)</f>
        <v>0.105705440070765</v>
      </c>
      <c r="V6" s="7">
        <f>IF(OR(AO6="",N6="",AO6&lt;=0),"",(AO6-N6)/AO6)</f>
        <v>0.0712074303405573</v>
      </c>
      <c r="W6" s="24">
        <f>IF(OR(U6="",V6="",V6&lt;=0),"",U6/V6)</f>
        <v>1.48447204968944</v>
      </c>
      <c r="X6" s="5">
        <f>IF(OR(K6="",L6="",AP6=""),"",K6*L6-(E6*H6+IF(AND(AK6&lt;&gt;"",AL6&lt;&gt;""),AK6*AL6,0)+IF(AND(AM6&lt;&gt;"",AN6&lt;&gt;""),AM6*AN6,0))-IF(O6="",0,O6)-IF(P6="",0,P6))</f>
        <v>-4466</v>
      </c>
      <c r="Y6" s="7">
        <f>IF(OR(X6="",AP6=""),"",IF((E6*H6+IF(AND(AK6&lt;&gt;"",AL6&lt;&gt;""),AK6*AL6,0)+IF(AND(AM6&lt;&gt;"",AN6&lt;&gt;""),AM6*AN6,0))+IF(O6="",0,O6)&lt;=0,"",X6/((E6*H6+IF(AND(AK6&lt;&gt;"",AL6&lt;&gt;""),AK6*AL6,0)+IF(AND(AM6&lt;&gt;"",AN6&lt;&gt;""),AM6*AN6,0))+IF(O6="",0,O6))))</f>
        <v>-0.14108801415303</v>
      </c>
      <c r="Z6" s="7">
        <f>IF(OR(AE6="",多次统计数据!$B$8=""),"",AE6-多次统计数据!$B$8)</f>
        <v>-0.0980259224606014</v>
      </c>
      <c r="AA6" s="11">
        <f>IF(OR(I6="",M6="",M6&lt;I6),"",M6-I6)</f>
        <v>24</v>
      </c>
      <c r="AB6" s="7">
        <f>IF(OR(A6="",多次统计数据!$B$8="",多次统计数据!$B$6&lt;=0,多次统计数据!$B$6&gt;=1),"",1-POWER(1+多次统计数据!$B$8,-多次统计数据!$B$6/(1-多次统计数据!$B$6)))</f>
        <v>0.0315166534281621</v>
      </c>
      <c r="AC6" s="8" t="str">
        <f>IF(OR(AB6="",多次统计数据!$B$9=""),"",IF(多次统计数据!$B$9&lt;AB6,"低于上限","达到或超过上限"))</f>
        <v>低于上限</v>
      </c>
      <c r="AD6" s="2"/>
      <c r="AE6" s="7">
        <f>IF(OR(X6="",C6="",C6&lt;=0),"",X6/C6)</f>
        <v>-0.0392788038698329</v>
      </c>
      <c r="AG6" s="2"/>
      <c r="AH6" s="2"/>
      <c r="AI6" s="2"/>
      <c r="AJ6" s="8" t="str">
        <f>IF(OR(AG6="",AH6=""),"",IF(OR(AND(AG6="短期博反弹",OR(AH6="1～3个交易日",AH6="4～10个交易日")),AND(AG6="突破冲新高",OR(AH6="4～10个交易日",AH6="11～20个交易日")),AND(AG6="趋势波段",OR(AH6="11～20个交易日",AH6="21～60个交易日",AH6="60个交易日以上"))),"匹配","周期与交易预期不匹配，请重新确认"))</f>
        <v/>
      </c>
      <c r="AK6" s="10"/>
      <c r="AL6" s="12"/>
      <c r="AM6" s="10"/>
      <c r="AN6" s="12"/>
      <c r="AO6" s="5">
        <f>IF(OR(A6="",H6="",H6&lt;=0),"",(E6*H6+IF(AND(AK6&lt;&gt;"",AL6&lt;&gt;""),AK6*AL6,0)+IF(AND(AM6&lt;&gt;"",AN6&lt;&gt;""),AM6*AN6,0))/AP6)</f>
        <v>22.61</v>
      </c>
      <c r="AP6" s="11">
        <f>IF(OR(A6="",H6="",H6&lt;=0),"",H6+IF(AL6="",0,AL6)+IF(AN6="",0,AN6))</f>
        <v>1400</v>
      </c>
      <c r="AQ6" s="5">
        <f>IF(A6="","",IF(M6&lt;&gt;"",0,IF(OR(H6="",N6=""),"",MAX(E6-MAX(N6,IFERROR(SUMPRODUCT(MAX(((持仓跟踪!$A$2:$A$497="每日跟踪")*(持仓跟踪!$B$2:$B$497=A6))*持仓跟踪!$S$2:$S$497)),0)),0)*H6+IF(OR(AK6="",AL6=""),0,MAX(AK6-MAX(N6,IFERROR(SUMPRODUCT(MAX(((持仓跟踪!$A$2:$A$497="每日跟踪")*(持仓跟踪!$B$2:$B$497=A6))*持仓跟踪!$S$2:$S$497)),0)),0)*AL6)+IF(OR(AM6="",AN6=""),0,MAX(AM6-MAX(N6,IFERROR(SUMPRODUCT(MAX(((持仓跟踪!$A$2:$A$497="每日跟踪")*(持仓跟踪!$B$2:$B$497=A6))*持仓跟踪!$S$2:$S$497)),0)),0)*AN6))))</f>
        <v>0</v>
      </c>
      <c r="AR6" s="8" t="str">
        <f ca="1">IF(A6="","",IF(OR(E6="",H6=""),"违规：第一批价格或股数缺失",IF(OR(AND(AK6="",AL6&lt;&gt;""),AND(AK6&lt;&gt;"",AL6="")),"违规：第二批价格与股数须成对填写",IF(OR(AND(AM6="",AN6&lt;&gt;""),AND(AM6&lt;&gt;"",AN6="")),"违规：第三批价格与股数须成对填写",IF(AND(OR(AM6&lt;&gt;"",AN6&lt;&gt;""),OR(AK6="",AL6="")),"违规：必须先完成第二批",IF(OR(H6&lt;=0,H6&lt;&gt;INT(H6),MOD(H6,100)&lt;&gt;0,AND(AL6&lt;&gt;"",OR(AL6&lt;=0,AL6&lt;&gt;INT(AL6),MOD(AL6,100)&lt;&gt;0)),AND(AN6&lt;&gt;"",OR(AN6&lt;=0,AN6&lt;&gt;INT(AN6),MOD(AN6,100)&lt;&gt;0))),"违规：股数须为100股整数倍",IF(AND(OR(AL6&lt;&gt;"",AN6&lt;&gt;""),OR(_LockStatus="已锁仓",_LockStatus="解锁信息不完整")),"违规：锁仓期间禁止加仓",IF(AQ6&gt;C6*D6,"违规：超过单笔风险上限",IF(SUM($AQ$2:$AQ$163)&gt;账户数据!$B$7,"违规：超过账户风险上限","通过")))))))))</f>
        <v>通过</v>
      </c>
    </row>
    <row r="7" ht="17" spans="1:1024 1025:16384">
      <c r="A7" s="2">
        <v>6</v>
      </c>
      <c r="B7" s="13" t="s">
        <v>16384</v>
      </c>
      <c r="C7" s="10">
        <v>109234</v>
      </c>
      <c r="D7" s="6">
        <v>0.02</v>
      </c>
      <c r="E7" s="10">
        <v>23.1</v>
      </c>
      <c r="F7" s="8">
        <f>IF(OR(C7="",D7="",E7="",N7="",C7&lt;=0,D7&lt;=0,E7&lt;=N7),"",ROUNDDOWN((C7*D7)/(E7-N7)/100,0)*100)</f>
        <v>1900</v>
      </c>
      <c r="G7" s="8" t="str">
        <f ca="1"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COUNTIFS(持仓跟踪!$A$2:$A$497,"止损计划",持仓跟踪!$B$2:$B$497,A7,持仓跟踪!$AC$2:$AC$497,"计划有效")=0,"禁止开仓：请先填写止损计划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" s="2">
        <v>1900</v>
      </c>
      <c r="I7" s="15">
        <v>43957</v>
      </c>
      <c r="J7" s="10">
        <v>25</v>
      </c>
      <c r="K7" s="5">
        <v>20.75</v>
      </c>
      <c r="L7" s="8">
        <v>1900</v>
      </c>
      <c r="M7" s="23">
        <v>43969</v>
      </c>
      <c r="N7" s="10">
        <v>22</v>
      </c>
      <c r="O7" s="10"/>
      <c r="P7" s="5" t="str">
        <f>IF(A7="","",IFERROR(LOOKUP(2,1/((持仓跟踪!$B$2:$B$497=A7)*(持仓跟踪!$X$2:$X$497="执行卖出")*(持仓跟踪!$AA$2:$AA$497&lt;&gt;"")),持仓跟踪!$AA$2:$AA$497),""))</f>
        <v/>
      </c>
      <c r="Q7" s="2"/>
      <c r="R7" s="2"/>
      <c r="S7" s="2"/>
      <c r="T7" s="2"/>
      <c r="U7" s="7">
        <f>IF(OR(AO7="",J7="",AO7&lt;=0),"",(J7-AO7)/AO7)</f>
        <v>0.0822510822510822</v>
      </c>
      <c r="V7" s="7">
        <f>IF(OR(AO7="",N7="",AO7&lt;=0),"",(AO7-N7)/AO7)</f>
        <v>0.0476190476190477</v>
      </c>
      <c r="W7" s="24">
        <f>IF(OR(U7="",V7="",V7&lt;=0),"",U7/V7)</f>
        <v>1.72727272727272</v>
      </c>
      <c r="X7" s="5">
        <f>IF(OR(K7="",L7="",AP7=""),"",K7*L7-(E7*H7+IF(AND(AK7&lt;&gt;"",AL7&lt;&gt;""),AK7*AL7,0)+IF(AND(AM7&lt;&gt;"",AN7&lt;&gt;""),AM7*AN7,0))-IF(O7="",0,O7)-IF(P7="",0,P7))</f>
        <v>-4465</v>
      </c>
      <c r="Y7" s="7">
        <f>IF(OR(X7="",AP7=""),"",IF((E7*H7+IF(AND(AK7&lt;&gt;"",AL7&lt;&gt;""),AK7*AL7,0)+IF(AND(AM7&lt;&gt;"",AN7&lt;&gt;""),AM7*AN7,0))+IF(O7="",0,O7)&lt;=0,"",X7/((E7*H7+IF(AND(AK7&lt;&gt;"",AL7&lt;&gt;""),AK7*AL7,0)+IF(AND(AM7&lt;&gt;"",AN7&lt;&gt;""),AM7*AN7,0))+IF(O7="",0,O7))))</f>
        <v>-0.101731601731602</v>
      </c>
      <c r="Z7" s="7">
        <f>IF(OR(AE7="",多次统计数据!$B$8=""),"",AE7-多次统计数据!$B$8)</f>
        <v>-0.0996226701589616</v>
      </c>
      <c r="AA7" s="11">
        <f>IF(OR(I7="",M7="",M7&lt;I7),"",M7-I7)</f>
        <v>12</v>
      </c>
      <c r="AB7" s="7">
        <f>IF(OR(A7="",多次统计数据!$B$8="",多次统计数据!$B$6&lt;=0,多次统计数据!$B$6&gt;=1),"",1-POWER(1+多次统计数据!$B$8,-多次统计数据!$B$6/(1-多次统计数据!$B$6)))</f>
        <v>0.0315166534281621</v>
      </c>
      <c r="AC7" s="8" t="str">
        <f>IF(OR(AB7="",多次统计数据!$B$9=""),"",IF(多次统计数据!$B$9&lt;AB7,"低于上限","达到或超过上限"))</f>
        <v>低于上限</v>
      </c>
      <c r="AD7" s="2"/>
      <c r="AE7" s="7">
        <f>IF(OR(X7="",C7="",C7&lt;=0),"",X7/C7)</f>
        <v>-0.0408755515681931</v>
      </c>
      <c r="AG7" s="2"/>
      <c r="AH7" s="2"/>
      <c r="AI7" s="2"/>
      <c r="AJ7" s="8" t="str">
        <f>IF(OR(AG7="",AH7=""),"",IF(OR(AND(AG7="短期博反弹",OR(AH7="1～3个交易日",AH7="4～10个交易日")),AND(AG7="突破冲新高",OR(AH7="4～10个交易日",AH7="11～20个交易日")),AND(AG7="趋势波段",OR(AH7="11～20个交易日",AH7="21～60个交易日",AH7="60个交易日以上"))),"匹配","周期与交易预期不匹配，请重新确认"))</f>
        <v/>
      </c>
      <c r="AK7" s="10"/>
      <c r="AL7" s="12"/>
      <c r="AM7" s="10"/>
      <c r="AN7" s="12"/>
      <c r="AO7" s="5">
        <f>IF(OR(A7="",H7="",H7&lt;=0),"",(E7*H7+IF(AND(AK7&lt;&gt;"",AL7&lt;&gt;""),AK7*AL7,0)+IF(AND(AM7&lt;&gt;"",AN7&lt;&gt;""),AM7*AN7,0))/AP7)</f>
        <v>23.1</v>
      </c>
      <c r="AP7" s="11">
        <f>IF(OR(A7="",H7="",H7&lt;=0),"",H7+IF(AL7="",0,AL7)+IF(AN7="",0,AN7))</f>
        <v>1900</v>
      </c>
      <c r="AQ7" s="5">
        <f>IF(A7="","",IF(M7&lt;&gt;"",0,IF(OR(H7="",N7=""),"",MAX(E7-MAX(N7,IFERROR(SUMPRODUCT(MAX(((持仓跟踪!$A$2:$A$497="每日跟踪")*(持仓跟踪!$B$2:$B$497=A7))*持仓跟踪!$S$2:$S$497)),0)),0)*H7+IF(OR(AK7="",AL7=""),0,MAX(AK7-MAX(N7,IFERROR(SUMPRODUCT(MAX(((持仓跟踪!$A$2:$A$497="每日跟踪")*(持仓跟踪!$B$2:$B$497=A7))*持仓跟踪!$S$2:$S$497)),0)),0)*AL7)+IF(OR(AM7="",AN7=""),0,MAX(AM7-MAX(N7,IFERROR(SUMPRODUCT(MAX(((持仓跟踪!$A$2:$A$497="每日跟踪")*(持仓跟踪!$B$2:$B$497=A7))*持仓跟踪!$S$2:$S$497)),0)),0)*AN7))))</f>
        <v>0</v>
      </c>
      <c r="AR7" s="8" t="str">
        <f ca="1">IF(A7="","",IF(OR(E7="",H7=""),"违规：第一批价格或股数缺失",IF(OR(AND(AK7="",AL7&lt;&gt;""),AND(AK7&lt;&gt;"",AL7="")),"违规：第二批价格与股数须成对填写",IF(OR(AND(AM7="",AN7&lt;&gt;""),AND(AM7&lt;&gt;"",AN7="")),"违规：第三批价格与股数须成对填写",IF(AND(OR(AM7&lt;&gt;"",AN7&lt;&gt;""),OR(AK7="",AL7="")),"违规：必须先完成第二批",IF(OR(H7&lt;=0,H7&lt;&gt;INT(H7),MOD(H7,100)&lt;&gt;0,AND(AL7&lt;&gt;"",OR(AL7&lt;=0,AL7&lt;&gt;INT(AL7),MOD(AL7,100)&lt;&gt;0)),AND(AN7&lt;&gt;"",OR(AN7&lt;=0,AN7&lt;&gt;INT(AN7),MOD(AN7,100)&lt;&gt;0))),"违规：股数须为100股整数倍",IF(AND(OR(AL7&lt;&gt;"",AN7&lt;&gt;""),OR(_LockStatus="已锁仓",_LockStatus="解锁信息不完整")),"违规：锁仓期间禁止加仓",IF(AQ7&gt;C7*D7,"违规：超过单笔风险上限",IF(SUM($AQ$2:$AQ$163)&gt;账户数据!$B$7,"违规：超过账户风险上限","通过")))))))))</f>
        <v>通过</v>
      </c>
    </row>
    <row r="8" ht="17" spans="1:1024 1025:16384">
      <c r="A8" s="2">
        <v>7</v>
      </c>
      <c r="B8" s="13" t="s">
        <v>16384</v>
      </c>
      <c r="C8" s="10">
        <v>104769</v>
      </c>
      <c r="D8" s="6">
        <v>0.02</v>
      </c>
      <c r="E8" s="10">
        <v>22.2</v>
      </c>
      <c r="F8" s="8">
        <f>IF(OR(C8="",D8="",E8="",N8="",C8&lt;=0,D8&lt;=0,E8&lt;=N8),"",ROUNDDOWN((C8*D8)/(E8-N8)/100,0)*100)</f>
        <v>1700</v>
      </c>
      <c r="G8" s="8" t="str">
        <f ca="1"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COUNTIFS(持仓跟踪!$A$2:$A$497,"止损计划",持仓跟踪!$B$2:$B$497,A8,持仓跟踪!$AC$2:$AC$497,"计划有效")=0,"禁止开仓：请先填写止损计划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" s="2">
        <v>1700</v>
      </c>
      <c r="I8" s="15">
        <v>44018</v>
      </c>
      <c r="J8" s="10">
        <v>25</v>
      </c>
      <c r="K8" s="5">
        <v>19.94</v>
      </c>
      <c r="L8" s="8">
        <v>1700</v>
      </c>
      <c r="M8" s="23">
        <v>44028</v>
      </c>
      <c r="N8" s="10">
        <v>21</v>
      </c>
      <c r="O8" s="10"/>
      <c r="P8" s="5" t="str">
        <f>IF(A8="","",IFERROR(LOOKUP(2,1/((持仓跟踪!$B$2:$B$497=A8)*(持仓跟踪!$X$2:$X$497="执行卖出")*(持仓跟踪!$AA$2:$AA$497&lt;&gt;"")),持仓跟踪!$AA$2:$AA$497),""))</f>
        <v/>
      </c>
      <c r="Q8" s="2"/>
      <c r="R8" s="2"/>
      <c r="S8" s="2"/>
      <c r="T8" s="2"/>
      <c r="U8" s="7">
        <f>IF(OR(AO8="",J8="",AO8&lt;=0),"",(J8-AO8)/AO8)</f>
        <v>0.126126126126126</v>
      </c>
      <c r="V8" s="7">
        <f>IF(OR(AO8="",N8="",AO8&lt;=0),"",(AO8-N8)/AO8)</f>
        <v>0.054054054054054</v>
      </c>
      <c r="W8" s="24">
        <f>IF(OR(U8="",V8="",V8&lt;=0),"",U8/V8)</f>
        <v>2.33333333333334</v>
      </c>
      <c r="X8" s="5">
        <f>IF(OR(K8="",L8="",AP8=""),"",K8*L8-(E8*H8+IF(AND(AK8&lt;&gt;"",AL8&lt;&gt;""),AK8*AL8,0)+IF(AND(AM8&lt;&gt;"",AN8&lt;&gt;""),AM8*AN8,0))-IF(O8="",0,O8)-IF(P8="",0,P8))</f>
        <v>-3842</v>
      </c>
      <c r="Y8" s="7">
        <f>IF(OR(X8="",AP8=""),"",IF((E8*H8+IF(AND(AK8&lt;&gt;"",AL8&lt;&gt;""),AK8*AL8,0)+IF(AND(AM8&lt;&gt;"",AN8&lt;&gt;""),AM8*AN8,0))+IF(O8="",0,O8)&lt;=0,"",X8/((E8*H8+IF(AND(AK8&lt;&gt;"",AL8&lt;&gt;""),AK8*AL8,0)+IF(AND(AM8&lt;&gt;"",AN8&lt;&gt;""),AM8*AN8,0))+IF(O8="",0,O8))))</f>
        <v>-0.101801801801802</v>
      </c>
      <c r="Z8" s="7">
        <f>IF(OR(AE8="",多次统计数据!$B$8=""),"",AE8-多次统计数据!$B$8)</f>
        <v>-0.095418271317243</v>
      </c>
      <c r="AA8" s="11">
        <f>IF(OR(I8="",M8="",M8&lt;I8),"",M8-I8)</f>
        <v>10</v>
      </c>
      <c r="AB8" s="7">
        <f>IF(OR(A8="",多次统计数据!$B$8="",多次统计数据!$B$6&lt;=0,多次统计数据!$B$6&gt;=1),"",1-POWER(1+多次统计数据!$B$8,-多次统计数据!$B$6/(1-多次统计数据!$B$6)))</f>
        <v>0.0315166534281621</v>
      </c>
      <c r="AC8" s="8" t="str">
        <f>IF(OR(AB8="",多次统计数据!$B$9=""),"",IF(多次统计数据!$B$9&lt;AB8,"低于上限","达到或超过上限"))</f>
        <v>低于上限</v>
      </c>
      <c r="AD8" s="2"/>
      <c r="AE8" s="7">
        <f>IF(OR(X8="",C8="",C8&lt;=0),"",X8/C8)</f>
        <v>-0.0366711527264744</v>
      </c>
      <c r="AG8" s="2"/>
      <c r="AH8" s="2"/>
      <c r="AI8" s="2"/>
      <c r="AJ8" s="8" t="str">
        <f>IF(OR(AG8="",AH8=""),"",IF(OR(AND(AG8="短期博反弹",OR(AH8="1～3个交易日",AH8="4～10个交易日")),AND(AG8="突破冲新高",OR(AH8="4～10个交易日",AH8="11～20个交易日")),AND(AG8="趋势波段",OR(AH8="11～20个交易日",AH8="21～60个交易日",AH8="60个交易日以上"))),"匹配","周期与交易预期不匹配，请重新确认"))</f>
        <v/>
      </c>
      <c r="AK8" s="10"/>
      <c r="AL8" s="12"/>
      <c r="AM8" s="10"/>
      <c r="AN8" s="12"/>
      <c r="AO8" s="5">
        <f>IF(OR(A8="",H8="",H8&lt;=0),"",(E8*H8+IF(AND(AK8&lt;&gt;"",AL8&lt;&gt;""),AK8*AL8,0)+IF(AND(AM8&lt;&gt;"",AN8&lt;&gt;""),AM8*AN8,0))/AP8)</f>
        <v>22.2</v>
      </c>
      <c r="AP8" s="11">
        <f>IF(OR(A8="",H8="",H8&lt;=0),"",H8+IF(AL8="",0,AL8)+IF(AN8="",0,AN8))</f>
        <v>1700</v>
      </c>
      <c r="AQ8" s="5">
        <f>IF(A8="","",IF(M8&lt;&gt;"",0,IF(OR(H8="",N8=""),"",MAX(E8-MAX(N8,IFERROR(SUMPRODUCT(MAX(((持仓跟踪!$A$2:$A$497="每日跟踪")*(持仓跟踪!$B$2:$B$497=A8))*持仓跟踪!$S$2:$S$497)),0)),0)*H8+IF(OR(AK8="",AL8=""),0,MAX(AK8-MAX(N8,IFERROR(SUMPRODUCT(MAX(((持仓跟踪!$A$2:$A$497="每日跟踪")*(持仓跟踪!$B$2:$B$497=A8))*持仓跟踪!$S$2:$S$497)),0)),0)*AL8)+IF(OR(AM8="",AN8=""),0,MAX(AM8-MAX(N8,IFERROR(SUMPRODUCT(MAX(((持仓跟踪!$A$2:$A$497="每日跟踪")*(持仓跟踪!$B$2:$B$497=A8))*持仓跟踪!$S$2:$S$497)),0)),0)*AN8))))</f>
        <v>0</v>
      </c>
      <c r="AR8" s="8" t="str">
        <f ca="1">IF(A8="","",IF(OR(E8="",H8=""),"违规：第一批价格或股数缺失",IF(OR(AND(AK8="",AL8&lt;&gt;""),AND(AK8&lt;&gt;"",AL8="")),"违规：第二批价格与股数须成对填写",IF(OR(AND(AM8="",AN8&lt;&gt;""),AND(AM8&lt;&gt;"",AN8="")),"违规：第三批价格与股数须成对填写",IF(AND(OR(AM8&lt;&gt;"",AN8&lt;&gt;""),OR(AK8="",AL8="")),"违规：必须先完成第二批",IF(OR(H8&lt;=0,H8&lt;&gt;INT(H8),MOD(H8,100)&lt;&gt;0,AND(AL8&lt;&gt;"",OR(AL8&lt;=0,AL8&lt;&gt;INT(AL8),MOD(AL8,100)&lt;&gt;0)),AND(AN8&lt;&gt;"",OR(AN8&lt;=0,AN8&lt;&gt;INT(AN8),MOD(AN8,100)&lt;&gt;0))),"违规：股数须为100股整数倍",IF(AND(OR(AL8&lt;&gt;"",AN8&lt;&gt;""),OR(_LockStatus="已锁仓",_LockStatus="解锁信息不完整")),"违规：锁仓期间禁止加仓",IF(AQ8&gt;C8*D8,"违规：超过单笔风险上限",IF(SUM($AQ$2:$AQ$163)&gt;账户数据!$B$7,"违规：超过账户风险上限","通过")))))))))</f>
        <v>通过</v>
      </c>
    </row>
    <row r="9" ht="17" spans="1:1024 1025:16384">
      <c r="A9" s="2">
        <v>8</v>
      </c>
      <c r="B9" s="13" t="s">
        <v>16384</v>
      </c>
      <c r="C9" s="10">
        <v>100927</v>
      </c>
      <c r="D9" s="6">
        <v>0.02</v>
      </c>
      <c r="E9" s="10">
        <v>16.51</v>
      </c>
      <c r="F9" s="8">
        <f>IF(OR(C9="",D9="",E9="",N9="",C9&lt;=0,D9&lt;=0,E9&lt;=N9),"",ROUNDDOWN((C9*D9)/(E9-N9)/100,0)*100)</f>
        <v>3900</v>
      </c>
      <c r="G9" s="8" t="str">
        <f ca="1"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COUNTIFS(持仓跟踪!$A$2:$A$497,"止损计划",持仓跟踪!$B$2:$B$497,A9,持仓跟踪!$AC$2:$AC$497,"计划有效")=0,"禁止开仓：请先填写止损计划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" s="2">
        <v>3900</v>
      </c>
      <c r="I9" s="15">
        <v>44076</v>
      </c>
      <c r="J9" s="10">
        <v>17.5</v>
      </c>
      <c r="K9" s="5">
        <v>16.57</v>
      </c>
      <c r="L9" s="8">
        <v>3900</v>
      </c>
      <c r="M9" s="23">
        <v>44168</v>
      </c>
      <c r="N9" s="10">
        <v>16</v>
      </c>
      <c r="O9" s="10"/>
      <c r="P9" s="5" t="str">
        <f>IF(A9="","",IFERROR(LOOKUP(2,1/((持仓跟踪!$B$2:$B$497=A9)*(持仓跟踪!$X$2:$X$497="执行卖出")*(持仓跟踪!$AA$2:$AA$497&lt;&gt;"")),持仓跟踪!$AA$2:$AA$497),""))</f>
        <v/>
      </c>
      <c r="Q9" s="2"/>
      <c r="R9" s="2"/>
      <c r="S9" s="2"/>
      <c r="T9" s="2"/>
      <c r="U9" s="7">
        <f>IF(OR(AO9="",J9="",AO9&lt;=0),"",(J9-AO9)/AO9)</f>
        <v>0.0599636583888551</v>
      </c>
      <c r="V9" s="7">
        <f>IF(OR(AO9="",N9="",AO9&lt;=0),"",(AO9-N9)/AO9)</f>
        <v>0.0308903694730467</v>
      </c>
      <c r="W9" s="24">
        <f>IF(OR(U9="",V9="",V9&lt;=0),"",U9/V9)</f>
        <v>1.94117647058823</v>
      </c>
      <c r="X9" s="5">
        <f>IF(OR(K9="",L9="",AP9=""),"",K9*L9-(E9*H9+IF(AND(AK9&lt;&gt;"",AL9&lt;&gt;""),AK9*AL9,0)+IF(AND(AM9&lt;&gt;"",AN9&lt;&gt;""),AM9*AN9,0))-IF(O9="",0,O9)-IF(P9="",0,P9))</f>
        <v>233.999999999993</v>
      </c>
      <c r="Y9" s="7">
        <f>IF(OR(X9="",AP9=""),"",IF((E9*H9+IF(AND(AK9&lt;&gt;"",AL9&lt;&gt;""),AK9*AL9,0)+IF(AND(AM9&lt;&gt;"",AN9&lt;&gt;""),AM9*AN9,0))+IF(O9="",0,O9)&lt;=0,"",X9/((E9*H9+IF(AND(AK9&lt;&gt;"",AL9&lt;&gt;""),AK9*AL9,0)+IF(AND(AM9&lt;&gt;"",AN9&lt;&gt;""),AM9*AN9,0))+IF(O9="",0,O9))))</f>
        <v>0.00363416111447596</v>
      </c>
      <c r="Z9" s="7">
        <f>IF(OR(AE9="",多次统计数据!$B$8=""),"",AE9-多次统计数据!$B$8)</f>
        <v>-0.056428611154701</v>
      </c>
      <c r="AA9" s="11">
        <f>IF(OR(I9="",M9="",M9&lt;I9),"",M9-I9)</f>
        <v>92</v>
      </c>
      <c r="AB9" s="7">
        <f>IF(OR(A9="",多次统计数据!$B$8="",多次统计数据!$B$6&lt;=0,多次统计数据!$B$6&gt;=1),"",1-POWER(1+多次统计数据!$B$8,-多次统计数据!$B$6/(1-多次统计数据!$B$6)))</f>
        <v>0.0315166534281621</v>
      </c>
      <c r="AC9" s="8" t="str">
        <f>IF(OR(AB9="",多次统计数据!$B$9=""),"",IF(多次统计数据!$B$9&lt;AB9,"低于上限","达到或超过上限"))</f>
        <v>低于上限</v>
      </c>
      <c r="AD9" s="2"/>
      <c r="AE9" s="7">
        <f>IF(OR(X9="",C9="",C9&lt;=0),"",X9/C9)</f>
        <v>0.00231850743606758</v>
      </c>
      <c r="AG9" s="2"/>
      <c r="AH9" s="2"/>
      <c r="AI9" s="2"/>
      <c r="AJ9" s="8" t="str">
        <f>IF(OR(AG9="",AH9=""),"",IF(OR(AND(AG9="短期博反弹",OR(AH9="1～3个交易日",AH9="4～10个交易日")),AND(AG9="突破冲新高",OR(AH9="4～10个交易日",AH9="11～20个交易日")),AND(AG9="趋势波段",OR(AH9="11～20个交易日",AH9="21～60个交易日",AH9="60个交易日以上"))),"匹配","周期与交易预期不匹配，请重新确认"))</f>
        <v/>
      </c>
      <c r="AK9" s="10"/>
      <c r="AL9" s="12"/>
      <c r="AM9" s="10"/>
      <c r="AN9" s="12"/>
      <c r="AO9" s="5">
        <f>IF(OR(A9="",H9="",H9&lt;=0),"",(E9*H9+IF(AND(AK9&lt;&gt;"",AL9&lt;&gt;""),AK9*AL9,0)+IF(AND(AM9&lt;&gt;"",AN9&lt;&gt;""),AM9*AN9,0))/AP9)</f>
        <v>16.51</v>
      </c>
      <c r="AP9" s="11">
        <f>IF(OR(A9="",H9="",H9&lt;=0),"",H9+IF(AL9="",0,AL9)+IF(AN9="",0,AN9))</f>
        <v>3900</v>
      </c>
      <c r="AQ9" s="5">
        <f>IF(A9="","",IF(M9&lt;&gt;"",0,IF(OR(H9="",N9=""),"",MAX(E9-MAX(N9,IFERROR(SUMPRODUCT(MAX(((持仓跟踪!$A$2:$A$497="每日跟踪")*(持仓跟踪!$B$2:$B$497=A9))*持仓跟踪!$S$2:$S$497)),0)),0)*H9+IF(OR(AK9="",AL9=""),0,MAX(AK9-MAX(N9,IFERROR(SUMPRODUCT(MAX(((持仓跟踪!$A$2:$A$497="每日跟踪")*(持仓跟踪!$B$2:$B$497=A9))*持仓跟踪!$S$2:$S$497)),0)),0)*AL9)+IF(OR(AM9="",AN9=""),0,MAX(AM9-MAX(N9,IFERROR(SUMPRODUCT(MAX(((持仓跟踪!$A$2:$A$497="每日跟踪")*(持仓跟踪!$B$2:$B$497=A9))*持仓跟踪!$S$2:$S$497)),0)),0)*AN9))))</f>
        <v>0</v>
      </c>
      <c r="AR9" s="8" t="str">
        <f ca="1">IF(A9="","",IF(OR(E9="",H9=""),"违规：第一批价格或股数缺失",IF(OR(AND(AK9="",AL9&lt;&gt;""),AND(AK9&lt;&gt;"",AL9="")),"违规：第二批价格与股数须成对填写",IF(OR(AND(AM9="",AN9&lt;&gt;""),AND(AM9&lt;&gt;"",AN9="")),"违规：第三批价格与股数须成对填写",IF(AND(OR(AM9&lt;&gt;"",AN9&lt;&gt;""),OR(AK9="",AL9="")),"违规：必须先完成第二批",IF(OR(H9&lt;=0,H9&lt;&gt;INT(H9),MOD(H9,100)&lt;&gt;0,AND(AL9&lt;&gt;"",OR(AL9&lt;=0,AL9&lt;&gt;INT(AL9),MOD(AL9,100)&lt;&gt;0)),AND(AN9&lt;&gt;"",OR(AN9&lt;=0,AN9&lt;&gt;INT(AN9),MOD(AN9,100)&lt;&gt;0))),"违规：股数须为100股整数倍",IF(AND(OR(AL9&lt;&gt;"",AN9&lt;&gt;""),OR(_LockStatus="已锁仓",_LockStatus="解锁信息不完整")),"违规：锁仓期间禁止加仓",IF(AQ9&gt;C9*D9,"违规：超过单笔风险上限",IF(SUM($AQ$2:$AQ$163)&gt;账户数据!$B$7,"违规：超过账户风险上限","通过")))))))))</f>
        <v>通过</v>
      </c>
    </row>
    <row r="10" ht="17" spans="1:1024 1025:16384">
      <c r="A10" s="2">
        <v>9</v>
      </c>
      <c r="B10" s="13" t="s">
        <v>16384</v>
      </c>
      <c r="C10" s="10">
        <v>101161</v>
      </c>
      <c r="D10" s="6">
        <v>0.02</v>
      </c>
      <c r="E10" s="10">
        <v>15.57</v>
      </c>
      <c r="F10" s="8">
        <f>IF(OR(C10="",D10="",E10="",N10="",C10&lt;=0,D10&lt;=0,E10&lt;=N10),"",ROUNDDOWN((C10*D10)/(E10-N10)/100,0)*100)</f>
        <v>3500</v>
      </c>
      <c r="G10" s="8" t="str">
        <f ca="1"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COUNTIFS(持仓跟踪!$A$2:$A$497,"止损计划",持仓跟踪!$B$2:$B$497,A10,持仓跟踪!$AC$2:$AC$497,"计划有效")=0,"禁止开仓：请先填写止损计划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" s="2">
        <v>3500</v>
      </c>
      <c r="I10" s="15">
        <v>44204</v>
      </c>
      <c r="J10" s="10">
        <v>16.5</v>
      </c>
      <c r="K10" s="5">
        <v>15.96</v>
      </c>
      <c r="L10" s="8">
        <v>3500</v>
      </c>
      <c r="M10" s="23">
        <v>44214</v>
      </c>
      <c r="N10" s="10">
        <v>15</v>
      </c>
      <c r="O10" s="10"/>
      <c r="P10" s="5" t="str">
        <f>IF(A10="","",IFERROR(LOOKUP(2,1/((持仓跟踪!$B$2:$B$497=A10)*(持仓跟踪!$X$2:$X$497="执行卖出")*(持仓跟踪!$AA$2:$AA$497&lt;&gt;"")),持仓跟踪!$AA$2:$AA$497),""))</f>
        <v/>
      </c>
      <c r="Q10" s="2"/>
      <c r="R10" s="2"/>
      <c r="S10" s="2"/>
      <c r="T10" s="2"/>
      <c r="U10" s="7">
        <f>IF(OR(AO10="",J10="",AO10&lt;=0),"",(J10-AO10)/AO10)</f>
        <v>0.0597302504816956</v>
      </c>
      <c r="V10" s="7">
        <f>IF(OR(AO10="",N10="",AO10&lt;=0),"",(AO10-N10)/AO10)</f>
        <v>0.0366088631984586</v>
      </c>
      <c r="W10" s="24">
        <f>IF(OR(U10="",V10="",V10&lt;=0),"",U10/V10)</f>
        <v>1.63157894736842</v>
      </c>
      <c r="X10" s="5">
        <f>IF(OR(K10="",L10="",AP10=""),"",K10*L10-(E10*H10+IF(AND(AK10&lt;&gt;"",AL10&lt;&gt;""),AK10*AL10,0)+IF(AND(AM10&lt;&gt;"",AN10&lt;&gt;""),AM10*AN10,0))-IF(O10="",0,O10)-IF(P10="",0,P10))</f>
        <v>1365</v>
      </c>
      <c r="Y10" s="7">
        <f>IF(OR(X10="",AP10=""),"",IF((E10*H10+IF(AND(AK10&lt;&gt;"",AL10&lt;&gt;""),AK10*AL10,0)+IF(AND(AM10&lt;&gt;"",AN10&lt;&gt;""),AM10*AN10,0))+IF(O10="",0,O10)&lt;=0,"",X10/((E10*H10+IF(AND(AK10&lt;&gt;"",AL10&lt;&gt;""),AK10*AL10,0)+IF(AND(AM10&lt;&gt;"",AN10&lt;&gt;""),AM10*AN10,0))+IF(O10="",0,O10))))</f>
        <v>0.0250481695568401</v>
      </c>
      <c r="Z10" s="7">
        <f>IF(OR(AE10="",多次统计数据!$B$8=""),"",AE10-多次统计数据!$B$8)</f>
        <v>-0.0452537762948245</v>
      </c>
      <c r="AA10" s="11">
        <f>IF(OR(I10="",M10="",M10&lt;I10),"",M10-I10)</f>
        <v>10</v>
      </c>
      <c r="AB10" s="7">
        <f>IF(OR(A10="",多次统计数据!$B$8="",多次统计数据!$B$6&lt;=0,多次统计数据!$B$6&gt;=1),"",1-POWER(1+多次统计数据!$B$8,-多次统计数据!$B$6/(1-多次统计数据!$B$6)))</f>
        <v>0.0315166534281621</v>
      </c>
      <c r="AC10" s="8" t="str">
        <f>IF(OR(AB10="",多次统计数据!$B$9=""),"",IF(多次统计数据!$B$9&lt;AB10,"低于上限","达到或超过上限"))</f>
        <v>低于上限</v>
      </c>
      <c r="AD10" s="2"/>
      <c r="AE10" s="7">
        <f>IF(OR(X10="",C10="",C10&lt;=0),"",X10/C10)</f>
        <v>0.0134933422959441</v>
      </c>
      <c r="AG10" s="2"/>
      <c r="AH10" s="2"/>
      <c r="AI10" s="2"/>
      <c r="AJ10" s="8" t="str">
        <f>IF(OR(AG10="",AH10=""),"",IF(OR(AND(AG10="短期博反弹",OR(AH10="1～3个交易日",AH10="4～10个交易日")),AND(AG10="突破冲新高",OR(AH10="4～10个交易日",AH10="11～20个交易日")),AND(AG10="趋势波段",OR(AH10="11～20个交易日",AH10="21～60个交易日",AH10="60个交易日以上"))),"匹配","周期与交易预期不匹配，请重新确认"))</f>
        <v/>
      </c>
      <c r="AK10" s="10"/>
      <c r="AL10" s="12"/>
      <c r="AM10" s="10"/>
      <c r="AN10" s="12"/>
      <c r="AO10" s="5">
        <f>IF(OR(A10="",H10="",H10&lt;=0),"",(E10*H10+IF(AND(AK10&lt;&gt;"",AL10&lt;&gt;""),AK10*AL10,0)+IF(AND(AM10&lt;&gt;"",AN10&lt;&gt;""),AM10*AN10,0))/AP10)</f>
        <v>15.57</v>
      </c>
      <c r="AP10" s="11">
        <f>IF(OR(A10="",H10="",H10&lt;=0),"",H10+IF(AL10="",0,AL10)+IF(AN10="",0,AN10))</f>
        <v>3500</v>
      </c>
      <c r="AQ10" s="5">
        <f>IF(A10="","",IF(M10&lt;&gt;"",0,IF(OR(H10="",N10=""),"",MAX(E10-MAX(N10,IFERROR(SUMPRODUCT(MAX(((持仓跟踪!$A$2:$A$497="每日跟踪")*(持仓跟踪!$B$2:$B$497=A10))*持仓跟踪!$S$2:$S$497)),0)),0)*H10+IF(OR(AK10="",AL10=""),0,MAX(AK10-MAX(N10,IFERROR(SUMPRODUCT(MAX(((持仓跟踪!$A$2:$A$497="每日跟踪")*(持仓跟踪!$B$2:$B$497=A10))*持仓跟踪!$S$2:$S$497)),0)),0)*AL10)+IF(OR(AM10="",AN10=""),0,MAX(AM10-MAX(N10,IFERROR(SUMPRODUCT(MAX(((持仓跟踪!$A$2:$A$497="每日跟踪")*(持仓跟踪!$B$2:$B$497=A10))*持仓跟踪!$S$2:$S$497)),0)),0)*AN10))))</f>
        <v>0</v>
      </c>
      <c r="AR10" s="8" t="str">
        <f ca="1">IF(A10="","",IF(OR(E10="",H10=""),"违规：第一批价格或股数缺失",IF(OR(AND(AK10="",AL10&lt;&gt;""),AND(AK10&lt;&gt;"",AL10="")),"违规：第二批价格与股数须成对填写",IF(OR(AND(AM10="",AN10&lt;&gt;""),AND(AM10&lt;&gt;"",AN10="")),"违规：第三批价格与股数须成对填写",IF(AND(OR(AM10&lt;&gt;"",AN10&lt;&gt;""),OR(AK10="",AL10="")),"违规：必须先完成第二批",IF(OR(H10&lt;=0,H10&lt;&gt;INT(H10),MOD(H10,100)&lt;&gt;0,AND(AL10&lt;&gt;"",OR(AL10&lt;=0,AL10&lt;&gt;INT(AL10),MOD(AL10,100)&lt;&gt;0)),AND(AN10&lt;&gt;"",OR(AN10&lt;=0,AN10&lt;&gt;INT(AN10),MOD(AN10,100)&lt;&gt;0))),"违规：股数须为100股整数倍",IF(AND(OR(AL10&lt;&gt;"",AN10&lt;&gt;""),OR(_LockStatus="已锁仓",_LockStatus="解锁信息不完整")),"违规：锁仓期间禁止加仓",IF(AQ10&gt;C10*D10,"违规：超过单笔风险上限",IF(SUM($AQ$2:$AQ$163)&gt;账户数据!$B$7,"违规：超过账户风险上限","通过")))))))))</f>
        <v>通过</v>
      </c>
    </row>
    <row r="11" ht="17" spans="1:1024 1025:16384">
      <c r="A11" s="2">
        <v>10</v>
      </c>
      <c r="B11" s="13" t="s">
        <v>16384</v>
      </c>
      <c r="C11" s="10">
        <v>102526</v>
      </c>
      <c r="D11" s="6">
        <v>0.02</v>
      </c>
      <c r="E11" s="10">
        <v>14.96</v>
      </c>
      <c r="F11" s="8">
        <f>IF(OR(C11="",D11="",E11="",N11="",C11&lt;=0,D11&lt;=0,E11&lt;=N11),"",ROUNDDOWN((C11*D11)/(E11-N11)/100,0)*100)</f>
        <v>2600</v>
      </c>
      <c r="G11" s="8" t="str">
        <f ca="1"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COUNTIFS(持仓跟踪!$A$2:$A$497,"止损计划",持仓跟踪!$B$2:$B$497,A11,持仓跟踪!$AC$2:$AC$497,"计划有效")=0,"禁止开仓：请先填写止损计划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1" s="2">
        <v>2600</v>
      </c>
      <c r="I11" s="15">
        <v>44217</v>
      </c>
      <c r="J11" s="10">
        <v>17</v>
      </c>
      <c r="K11" s="5">
        <v>14.8</v>
      </c>
      <c r="L11" s="8">
        <v>2600</v>
      </c>
      <c r="M11" s="23">
        <v>44221</v>
      </c>
      <c r="N11" s="10">
        <v>14.2</v>
      </c>
      <c r="O11" s="10"/>
      <c r="P11" s="5" t="str">
        <f>IF(A11="","",IFERROR(LOOKUP(2,1/((持仓跟踪!$B$2:$B$497=A11)*(持仓跟踪!$X$2:$X$497="执行卖出")*(持仓跟踪!$AA$2:$AA$497&lt;&gt;"")),持仓跟踪!$AA$2:$AA$497),""))</f>
        <v/>
      </c>
      <c r="Q11" s="2"/>
      <c r="R11" s="2"/>
      <c r="S11" s="2"/>
      <c r="T11" s="2"/>
      <c r="U11" s="7">
        <f>IF(OR(AO11="",J11="",AO11&lt;=0),"",(J11-AO11)/AO11)</f>
        <v>0.136363636363636</v>
      </c>
      <c r="V11" s="7">
        <f>IF(OR(AO11="",N11="",AO11&lt;=0),"",(AO11-N11)/AO11)</f>
        <v>0.0508021390374333</v>
      </c>
      <c r="W11" s="24">
        <f>IF(OR(U11="",V11="",V11&lt;=0),"",U11/V11)</f>
        <v>2.68421052631578</v>
      </c>
      <c r="X11" s="5">
        <f>IF(OR(K11="",L11="",AP11=""),"",K11*L11-(E11*H11+IF(AND(AK11&lt;&gt;"",AL11&lt;&gt;""),AK11*AL11,0)+IF(AND(AM11&lt;&gt;"",AN11&lt;&gt;""),AM11*AN11,0))-IF(O11="",0,O11)-IF(P11="",0,P11))</f>
        <v>-416</v>
      </c>
      <c r="Y11" s="7">
        <f>IF(OR(X11="",AP11=""),"",IF((E11*H11+IF(AND(AK11&lt;&gt;"",AL11&lt;&gt;""),AK11*AL11,0)+IF(AND(AM11&lt;&gt;"",AN11&lt;&gt;""),AM11*AN11,0))+IF(O11="",0,O11)&lt;=0,"",X11/((E11*H11+IF(AND(AK11&lt;&gt;"",AL11&lt;&gt;""),AK11*AL11,0)+IF(AND(AM11&lt;&gt;"",AN11&lt;&gt;""),AM11*AN11,0))+IF(O11="",0,O11))))</f>
        <v>-0.0106951871657754</v>
      </c>
      <c r="Z11" s="7">
        <f>IF(OR(AE11="",多次统计数据!$B$8=""),"",AE11-多次统计数据!$B$8)</f>
        <v>-0.0628046259547543</v>
      </c>
      <c r="AA11" s="11">
        <f>IF(OR(I11="",M11="",M11&lt;I11),"",M11-I11)</f>
        <v>4</v>
      </c>
      <c r="AB11" s="7">
        <f>IF(OR(A11="",多次统计数据!$B$8="",多次统计数据!$B$6&lt;=0,多次统计数据!$B$6&gt;=1),"",1-POWER(1+多次统计数据!$B$8,-多次统计数据!$B$6/(1-多次统计数据!$B$6)))</f>
        <v>0.0315166534281621</v>
      </c>
      <c r="AC11" s="8" t="str">
        <f>IF(OR(AB11="",多次统计数据!$B$9=""),"",IF(多次统计数据!$B$9&lt;AB11,"低于上限","达到或超过上限"))</f>
        <v>低于上限</v>
      </c>
      <c r="AD11" s="2"/>
      <c r="AE11" s="7">
        <f>IF(OR(X11="",C11="",C11&lt;=0),"",X11/C11)</f>
        <v>-0.00405750736398572</v>
      </c>
      <c r="AG11" s="2"/>
      <c r="AH11" s="2"/>
      <c r="AI11" s="2"/>
      <c r="AJ11" s="8" t="str">
        <f>IF(OR(AG11="",AH11=""),"",IF(OR(AND(AG11="短期博反弹",OR(AH11="1～3个交易日",AH11="4～10个交易日")),AND(AG11="突破冲新高",OR(AH11="4～10个交易日",AH11="11～20个交易日")),AND(AG11="趋势波段",OR(AH11="11～20个交易日",AH11="21～60个交易日",AH11="60个交易日以上"))),"匹配","周期与交易预期不匹配，请重新确认"))</f>
        <v/>
      </c>
      <c r="AK11" s="10"/>
      <c r="AL11" s="12"/>
      <c r="AM11" s="10"/>
      <c r="AN11" s="12"/>
      <c r="AO11" s="5">
        <f>IF(OR(A11="",H11="",H11&lt;=0),"",(E11*H11+IF(AND(AK11&lt;&gt;"",AL11&lt;&gt;""),AK11*AL11,0)+IF(AND(AM11&lt;&gt;"",AN11&lt;&gt;""),AM11*AN11,0))/AP11)</f>
        <v>14.96</v>
      </c>
      <c r="AP11" s="11">
        <f>IF(OR(A11="",H11="",H11&lt;=0),"",H11+IF(AL11="",0,AL11)+IF(AN11="",0,AN11))</f>
        <v>2600</v>
      </c>
      <c r="AQ11" s="5">
        <f>IF(A11="","",IF(M11&lt;&gt;"",0,IF(OR(H11="",N11=""),"",MAX(E11-MAX(N11,IFERROR(SUMPRODUCT(MAX(((持仓跟踪!$A$2:$A$497="每日跟踪")*(持仓跟踪!$B$2:$B$497=A11))*持仓跟踪!$S$2:$S$497)),0)),0)*H11+IF(OR(AK11="",AL11=""),0,MAX(AK11-MAX(N11,IFERROR(SUMPRODUCT(MAX(((持仓跟踪!$A$2:$A$497="每日跟踪")*(持仓跟踪!$B$2:$B$497=A11))*持仓跟踪!$S$2:$S$497)),0)),0)*AL11)+IF(OR(AM11="",AN11=""),0,MAX(AM11-MAX(N11,IFERROR(SUMPRODUCT(MAX(((持仓跟踪!$A$2:$A$497="每日跟踪")*(持仓跟踪!$B$2:$B$497=A11))*持仓跟踪!$S$2:$S$497)),0)),0)*AN11))))</f>
        <v>0</v>
      </c>
      <c r="AR11" s="8" t="str">
        <f ca="1">IF(A11="","",IF(OR(E11="",H11=""),"违规：第一批价格或股数缺失",IF(OR(AND(AK11="",AL11&lt;&gt;""),AND(AK11&lt;&gt;"",AL11="")),"违规：第二批价格与股数须成对填写",IF(OR(AND(AM11="",AN11&lt;&gt;""),AND(AM11&lt;&gt;"",AN11="")),"违规：第三批价格与股数须成对填写",IF(AND(OR(AM11&lt;&gt;"",AN11&lt;&gt;""),OR(AK11="",AL11="")),"违规：必须先完成第二批",IF(OR(H11&lt;=0,H11&lt;&gt;INT(H11),MOD(H11,100)&lt;&gt;0,AND(AL11&lt;&gt;"",OR(AL11&lt;=0,AL11&lt;&gt;INT(AL11),MOD(AL11,100)&lt;&gt;0)),AND(AN11&lt;&gt;"",OR(AN11&lt;=0,AN11&lt;&gt;INT(AN11),MOD(AN11,100)&lt;&gt;0))),"违规：股数须为100股整数倍",IF(AND(OR(AL11&lt;&gt;"",AN11&lt;&gt;""),OR(_LockStatus="已锁仓",_LockStatus="解锁信息不完整")),"违规：锁仓期间禁止加仓",IF(AQ11&gt;C11*D11,"违规：超过单笔风险上限",IF(SUM($AQ$2:$AQ$163)&gt;账户数据!$B$7,"违规：超过账户风险上限","通过")))))))))</f>
        <v>通过</v>
      </c>
    </row>
    <row r="12" ht="17" spans="1:1024 1025:16384">
      <c r="A12" s="2">
        <v>11</v>
      </c>
      <c r="B12" s="13" t="s">
        <v>16384</v>
      </c>
      <c r="C12" s="10">
        <v>102110</v>
      </c>
      <c r="D12" s="6">
        <v>0.02</v>
      </c>
      <c r="E12" s="10">
        <v>14.75</v>
      </c>
      <c r="F12" s="8">
        <f>IF(OR(C12="",D12="",E12="",N12="",C12&lt;=0,D12&lt;=0,E12&lt;=N12),"",ROUNDDOWN((C12*D12)/(E12-N12)/100,0)*100)</f>
        <v>3700</v>
      </c>
      <c r="G12" s="8" t="str">
        <f ca="1"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COUNTIFS(持仓跟踪!$A$2:$A$497,"止损计划",持仓跟踪!$B$2:$B$497,A12,持仓跟踪!$AC$2:$AC$497,"计划有效")=0,"禁止开仓：请先填写止损计划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2" s="2">
        <v>3700</v>
      </c>
      <c r="I12" s="15">
        <v>44223</v>
      </c>
      <c r="J12" s="10">
        <v>16</v>
      </c>
      <c r="K12" s="5">
        <v>13.62</v>
      </c>
      <c r="L12" s="8">
        <v>3700</v>
      </c>
      <c r="M12" s="23">
        <v>44225</v>
      </c>
      <c r="N12" s="10">
        <v>14.2</v>
      </c>
      <c r="O12" s="10"/>
      <c r="P12" s="5" t="str">
        <f>IF(A12="","",IFERROR(LOOKUP(2,1/((持仓跟踪!$B$2:$B$497=A12)*(持仓跟踪!$X$2:$X$497="执行卖出")*(持仓跟踪!$AA$2:$AA$497&lt;&gt;"")),持仓跟踪!$AA$2:$AA$497),""))</f>
        <v/>
      </c>
      <c r="Q12" s="2"/>
      <c r="R12" s="2"/>
      <c r="S12" s="2"/>
      <c r="T12" s="2"/>
      <c r="U12" s="7">
        <f>IF(OR(AO12="",J12="",AO12&lt;=0),"",(J12-AO12)/AO12)</f>
        <v>0.0847457627118644</v>
      </c>
      <c r="V12" s="7">
        <f>IF(OR(AO12="",N12="",AO12&lt;=0),"",(AO12-N12)/AO12)</f>
        <v>0.0372881355932204</v>
      </c>
      <c r="W12" s="24">
        <f>IF(OR(U12="",V12="",V12&lt;=0),"",U12/V12)</f>
        <v>2.27272727272727</v>
      </c>
      <c r="X12" s="5">
        <f>IF(OR(K12="",L12="",AP12=""),"",K12*L12-(E12*H12+IF(AND(AK12&lt;&gt;"",AL12&lt;&gt;""),AK12*AL12,0)+IF(AND(AM12&lt;&gt;"",AN12&lt;&gt;""),AM12*AN12,0))-IF(O12="",0,O12)-IF(P12="",0,P12))</f>
        <v>-4181</v>
      </c>
      <c r="Y12" s="7">
        <f>IF(OR(X12="",AP12=""),"",IF((E12*H12+IF(AND(AK12&lt;&gt;"",AL12&lt;&gt;""),AK12*AL12,0)+IF(AND(AM12&lt;&gt;"",AN12&lt;&gt;""),AM12*AN12,0))+IF(O12="",0,O12)&lt;=0,"",X12/((E12*H12+IF(AND(AK12&lt;&gt;"",AL12&lt;&gt;""),AK12*AL12,0)+IF(AND(AM12&lt;&gt;"",AN12&lt;&gt;""),AM12*AN12,0))+IF(O12="",0,O12))))</f>
        <v>-0.0766101694915254</v>
      </c>
      <c r="Z12" s="7">
        <f>IF(OR(AE12="",多次统计数据!$B$8=""),"",AE12-多次统计数据!$B$8)</f>
        <v>-0.0996931571766073</v>
      </c>
      <c r="AA12" s="11">
        <f>IF(OR(I12="",M12="",M12&lt;I12),"",M12-I12)</f>
        <v>2</v>
      </c>
      <c r="AB12" s="7">
        <f>IF(OR(A12="",多次统计数据!$B$8="",多次统计数据!$B$6&lt;=0,多次统计数据!$B$6&gt;=1),"",1-POWER(1+多次统计数据!$B$8,-多次统计数据!$B$6/(1-多次统计数据!$B$6)))</f>
        <v>0.0315166534281621</v>
      </c>
      <c r="AC12" s="8" t="str">
        <f>IF(OR(AB12="",多次统计数据!$B$9=""),"",IF(多次统计数据!$B$9&lt;AB12,"低于上限","达到或超过上限"))</f>
        <v>低于上限</v>
      </c>
      <c r="AD12" s="2"/>
      <c r="AE12" s="7">
        <f>IF(OR(X12="",C12="",C12&lt;=0),"",X12/C12)</f>
        <v>-0.0409460385858388</v>
      </c>
      <c r="AG12" s="2"/>
      <c r="AH12" s="2"/>
      <c r="AI12" s="2"/>
      <c r="AJ12" s="8" t="str">
        <f>IF(OR(AG12="",AH12=""),"",IF(OR(AND(AG12="短期博反弹",OR(AH12="1～3个交易日",AH12="4～10个交易日")),AND(AG12="突破冲新高",OR(AH12="4～10个交易日",AH12="11～20个交易日")),AND(AG12="趋势波段",OR(AH12="11～20个交易日",AH12="21～60个交易日",AH12="60个交易日以上"))),"匹配","周期与交易预期不匹配，请重新确认"))</f>
        <v/>
      </c>
      <c r="AK12" s="10"/>
      <c r="AL12" s="12"/>
      <c r="AM12" s="10"/>
      <c r="AN12" s="12"/>
      <c r="AO12" s="5">
        <f>IF(OR(A12="",H12="",H12&lt;=0),"",(E12*H12+IF(AND(AK12&lt;&gt;"",AL12&lt;&gt;""),AK12*AL12,0)+IF(AND(AM12&lt;&gt;"",AN12&lt;&gt;""),AM12*AN12,0))/AP12)</f>
        <v>14.75</v>
      </c>
      <c r="AP12" s="11">
        <f>IF(OR(A12="",H12="",H12&lt;=0),"",H12+IF(AL12="",0,AL12)+IF(AN12="",0,AN12))</f>
        <v>3700</v>
      </c>
      <c r="AQ12" s="5">
        <f>IF(A12="","",IF(M12&lt;&gt;"",0,IF(OR(H12="",N12=""),"",MAX(E12-MAX(N12,IFERROR(SUMPRODUCT(MAX(((持仓跟踪!$A$2:$A$497="每日跟踪")*(持仓跟踪!$B$2:$B$497=A12))*持仓跟踪!$S$2:$S$497)),0)),0)*H12+IF(OR(AK12="",AL12=""),0,MAX(AK12-MAX(N12,IFERROR(SUMPRODUCT(MAX(((持仓跟踪!$A$2:$A$497="每日跟踪")*(持仓跟踪!$B$2:$B$497=A12))*持仓跟踪!$S$2:$S$497)),0)),0)*AL12)+IF(OR(AM12="",AN12=""),0,MAX(AM12-MAX(N12,IFERROR(SUMPRODUCT(MAX(((持仓跟踪!$A$2:$A$497="每日跟踪")*(持仓跟踪!$B$2:$B$497=A12))*持仓跟踪!$S$2:$S$497)),0)),0)*AN12))))</f>
        <v>0</v>
      </c>
      <c r="AR12" s="8" t="str">
        <f ca="1">IF(A12="","",IF(OR(E12="",H12=""),"违规：第一批价格或股数缺失",IF(OR(AND(AK12="",AL12&lt;&gt;""),AND(AK12&lt;&gt;"",AL12="")),"违规：第二批价格与股数须成对填写",IF(OR(AND(AM12="",AN12&lt;&gt;""),AND(AM12&lt;&gt;"",AN12="")),"违规：第三批价格与股数须成对填写",IF(AND(OR(AM12&lt;&gt;"",AN12&lt;&gt;""),OR(AK12="",AL12="")),"违规：必须先完成第二批",IF(OR(H12&lt;=0,H12&lt;&gt;INT(H12),MOD(H12,100)&lt;&gt;0,AND(AL12&lt;&gt;"",OR(AL12&lt;=0,AL12&lt;&gt;INT(AL12),MOD(AL12,100)&lt;&gt;0)),AND(AN12&lt;&gt;"",OR(AN12&lt;=0,AN12&lt;&gt;INT(AN12),MOD(AN12,100)&lt;&gt;0))),"违规：股数须为100股整数倍",IF(AND(OR(AL12&lt;&gt;"",AN12&lt;&gt;""),OR(_LockStatus="已锁仓",_LockStatus="解锁信息不完整")),"违规：锁仓期间禁止加仓",IF(AQ12&gt;C12*D12,"违规：超过单笔风险上限",IF(SUM($AQ$2:$AQ$163)&gt;账户数据!$B$7,"违规：超过账户风险上限","通过")))))))))</f>
        <v>通过</v>
      </c>
    </row>
    <row r="13" ht="17" spans="1:1024 1025:16384">
      <c r="A13" s="2">
        <v>12</v>
      </c>
      <c r="B13" s="13" t="s">
        <v>16384</v>
      </c>
      <c r="C13" s="10">
        <v>97929</v>
      </c>
      <c r="D13" s="6">
        <v>0.02</v>
      </c>
      <c r="E13" s="10">
        <v>10.04</v>
      </c>
      <c r="F13" s="8">
        <f>IF(OR(C13="",D13="",E13="",N13="",C13&lt;=0,D13&lt;=0,E13&lt;=N13),"",ROUNDDOWN((C13*D13)/(E13-N13)/100,0)*100)</f>
        <v>3600</v>
      </c>
      <c r="G13" s="8" t="str">
        <f ca="1"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COUNTIFS(持仓跟踪!$A$2:$A$497,"止损计划",持仓跟踪!$B$2:$B$497,A13,持仓跟踪!$AC$2:$AC$497,"计划有效")=0,"禁止开仓：请先填写止损计划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3" s="2">
        <v>3600</v>
      </c>
      <c r="I13" s="15">
        <v>44510</v>
      </c>
      <c r="J13" s="10">
        <v>11.5</v>
      </c>
      <c r="K13" s="5">
        <v>11.35</v>
      </c>
      <c r="L13" s="8">
        <v>3600</v>
      </c>
      <c r="M13" s="23">
        <v>44516</v>
      </c>
      <c r="N13" s="10">
        <v>9.5</v>
      </c>
      <c r="O13" s="10"/>
      <c r="P13" s="5" t="str">
        <f>IF(A13="","",IFERROR(LOOKUP(2,1/((持仓跟踪!$B$2:$B$497=A13)*(持仓跟踪!$X$2:$X$497="执行卖出")*(持仓跟踪!$AA$2:$AA$497&lt;&gt;"")),持仓跟踪!$AA$2:$AA$497),""))</f>
        <v/>
      </c>
      <c r="Q13" s="2"/>
      <c r="R13" s="2"/>
      <c r="S13" s="2"/>
      <c r="T13" s="2"/>
      <c r="U13" s="7">
        <f>IF(OR(AO13="",J13="",AO13&lt;=0),"",(J13-AO13)/AO13)</f>
        <v>0.145418326693227</v>
      </c>
      <c r="V13" s="7">
        <f>IF(OR(AO13="",N13="",AO13&lt;=0),"",(AO13-N13)/AO13)</f>
        <v>0.0537848605577688</v>
      </c>
      <c r="W13" s="24">
        <f>IF(OR(U13="",V13="",V13&lt;=0),"",U13/V13)</f>
        <v>2.70370370370371</v>
      </c>
      <c r="X13" s="5">
        <f>IF(OR(K13="",L13="",AP13=""),"",K13*L13-(E13*H13+IF(AND(AK13&lt;&gt;"",AL13&lt;&gt;""),AK13*AL13,0)+IF(AND(AM13&lt;&gt;"",AN13&lt;&gt;""),AM13*AN13,0))-IF(O13="",0,O13)-IF(P13="",0,P13))</f>
        <v>4716</v>
      </c>
      <c r="Y13" s="7">
        <f>IF(OR(X13="",AP13=""),"",IF((E13*H13+IF(AND(AK13&lt;&gt;"",AL13&lt;&gt;""),AK13*AL13,0)+IF(AND(AM13&lt;&gt;"",AN13&lt;&gt;""),AM13*AN13,0))+IF(O13="",0,O13)&lt;=0,"",X13/((E13*H13+IF(AND(AK13&lt;&gt;"",AL13&lt;&gt;""),AK13*AL13,0)+IF(AND(AM13&lt;&gt;"",AN13&lt;&gt;""),AM13*AN13,0))+IF(O13="",0,O13))))</f>
        <v>0.130478087649402</v>
      </c>
      <c r="Z13" s="7">
        <f>IF(OR(AE13="",多次统计数据!$B$8=""),"",AE13-多次统计数据!$B$8)</f>
        <v>-0.0105897801108494</v>
      </c>
      <c r="AA13" s="11">
        <f>IF(OR(I13="",M13="",M13&lt;I13),"",M13-I13)</f>
        <v>6</v>
      </c>
      <c r="AB13" s="7">
        <f>IF(OR(A13="",多次统计数据!$B$8="",多次统计数据!$B$6&lt;=0,多次统计数据!$B$6&gt;=1),"",1-POWER(1+多次统计数据!$B$8,-多次统计数据!$B$6/(1-多次统计数据!$B$6)))</f>
        <v>0.0315166534281621</v>
      </c>
      <c r="AC13" s="8" t="str">
        <f>IF(OR(AB13="",多次统计数据!$B$9=""),"",IF(多次统计数据!$B$9&lt;AB13,"低于上限","达到或超过上限"))</f>
        <v>低于上限</v>
      </c>
      <c r="AD13" s="2"/>
      <c r="AE13" s="7">
        <f>IF(OR(X13="",C13="",C13&lt;=0),"",X13/C13)</f>
        <v>0.0481573384799191</v>
      </c>
      <c r="AG13" s="2"/>
      <c r="AH13" s="2"/>
      <c r="AI13" s="2"/>
      <c r="AJ13" s="8" t="str">
        <f>IF(OR(AG13="",AH13=""),"",IF(OR(AND(AG13="短期博反弹",OR(AH13="1～3个交易日",AH13="4～10个交易日")),AND(AG13="突破冲新高",OR(AH13="4～10个交易日",AH13="11～20个交易日")),AND(AG13="趋势波段",OR(AH13="11～20个交易日",AH13="21～60个交易日",AH13="60个交易日以上"))),"匹配","周期与交易预期不匹配，请重新确认"))</f>
        <v/>
      </c>
      <c r="AK13" s="10"/>
      <c r="AL13" s="12"/>
      <c r="AM13" s="10"/>
      <c r="AN13" s="12"/>
      <c r="AO13" s="5">
        <f>IF(OR(A13="",H13="",H13&lt;=0),"",(E13*H13+IF(AND(AK13&lt;&gt;"",AL13&lt;&gt;""),AK13*AL13,0)+IF(AND(AM13&lt;&gt;"",AN13&lt;&gt;""),AM13*AN13,0))/AP13)</f>
        <v>10.04</v>
      </c>
      <c r="AP13" s="11">
        <f>IF(OR(A13="",H13="",H13&lt;=0),"",H13+IF(AL13="",0,AL13)+IF(AN13="",0,AN13))</f>
        <v>3600</v>
      </c>
      <c r="AQ13" s="5">
        <f>IF(A13="","",IF(M13&lt;&gt;"",0,IF(OR(H13="",N13=""),"",MAX(E13-MAX(N13,IFERROR(SUMPRODUCT(MAX(((持仓跟踪!$A$2:$A$497="每日跟踪")*(持仓跟踪!$B$2:$B$497=A13))*持仓跟踪!$S$2:$S$497)),0)),0)*H13+IF(OR(AK13="",AL13=""),0,MAX(AK13-MAX(N13,IFERROR(SUMPRODUCT(MAX(((持仓跟踪!$A$2:$A$497="每日跟踪")*(持仓跟踪!$B$2:$B$497=A13))*持仓跟踪!$S$2:$S$497)),0)),0)*AL13)+IF(OR(AM13="",AN13=""),0,MAX(AM13-MAX(N13,IFERROR(SUMPRODUCT(MAX(((持仓跟踪!$A$2:$A$497="每日跟踪")*(持仓跟踪!$B$2:$B$497=A13))*持仓跟踪!$S$2:$S$497)),0)),0)*AN13))))</f>
        <v>0</v>
      </c>
      <c r="AR13" s="8" t="str">
        <f ca="1">IF(A13="","",IF(OR(E13="",H13=""),"违规：第一批价格或股数缺失",IF(OR(AND(AK13="",AL13&lt;&gt;""),AND(AK13&lt;&gt;"",AL13="")),"违规：第二批价格与股数须成对填写",IF(OR(AND(AM13="",AN13&lt;&gt;""),AND(AM13&lt;&gt;"",AN13="")),"违规：第三批价格与股数须成对填写",IF(AND(OR(AM13&lt;&gt;"",AN13&lt;&gt;""),OR(AK13="",AL13="")),"违规：必须先完成第二批",IF(OR(H13&lt;=0,H13&lt;&gt;INT(H13),MOD(H13,100)&lt;&gt;0,AND(AL13&lt;&gt;"",OR(AL13&lt;=0,AL13&lt;&gt;INT(AL13),MOD(AL13,100)&lt;&gt;0)),AND(AN13&lt;&gt;"",OR(AN13&lt;=0,AN13&lt;&gt;INT(AN13),MOD(AN13,100)&lt;&gt;0))),"违规：股数须为100股整数倍",IF(AND(OR(AL13&lt;&gt;"",AN13&lt;&gt;""),OR(_LockStatus="已锁仓",_LockStatus="解锁信息不完整")),"违规：锁仓期间禁止加仓",IF(AQ13&gt;C13*D13,"违规：超过单笔风险上限",IF(SUM($AQ$2:$AQ$163)&gt;账户数据!$B$7,"违规：超过账户风险上限","通过")))))))))</f>
        <v>通过</v>
      </c>
    </row>
    <row r="14" ht="17" spans="1:1024 1025:16384">
      <c r="A14" s="2">
        <v>13</v>
      </c>
      <c r="B14" s="13" t="s">
        <v>16384</v>
      </c>
      <c r="C14" s="10">
        <v>102645</v>
      </c>
      <c r="D14" s="6">
        <v>0.02</v>
      </c>
      <c r="E14" s="10">
        <v>14.19</v>
      </c>
      <c r="F14" s="8">
        <f>IF(OR(C14="",D14="",E14="",N14="",C14&lt;=0,D14&lt;=0,E14&lt;=N14),"",ROUNDDOWN((C14*D14)/(E14-N14)/100,0)*100)</f>
        <v>2900</v>
      </c>
      <c r="G14" s="8" t="str">
        <f ca="1"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COUNTIFS(持仓跟踪!$A$2:$A$497,"止损计划",持仓跟踪!$B$2:$B$497,A14,持仓跟踪!$AC$2:$AC$497,"计划有效")=0,"禁止开仓：请先填写止损计划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4" s="2">
        <v>2900</v>
      </c>
      <c r="I14" s="15">
        <v>44571</v>
      </c>
      <c r="J14" s="10">
        <v>16</v>
      </c>
      <c r="K14" s="5">
        <v>16.29</v>
      </c>
      <c r="L14" s="8">
        <v>2900</v>
      </c>
      <c r="M14" s="23">
        <v>44581</v>
      </c>
      <c r="N14" s="10">
        <v>13.5</v>
      </c>
      <c r="O14" s="10"/>
      <c r="P14" s="5" t="str">
        <f>IF(A14="","",IFERROR(LOOKUP(2,1/((持仓跟踪!$B$2:$B$497=A14)*(持仓跟踪!$X$2:$X$497="执行卖出")*(持仓跟踪!$AA$2:$AA$497&lt;&gt;"")),持仓跟踪!$AA$2:$AA$497),""))</f>
        <v/>
      </c>
      <c r="Q14" s="2"/>
      <c r="R14" s="2"/>
      <c r="S14" s="2"/>
      <c r="T14" s="2"/>
      <c r="U14" s="7">
        <f>IF(OR(AO14="",J14="",AO14&lt;=0),"",(J14-AO14)/AO14)</f>
        <v>0.127554615926709</v>
      </c>
      <c r="V14" s="7">
        <f>IF(OR(AO14="",N14="",AO14&lt;=0),"",(AO14-N14)/AO14)</f>
        <v>0.0486257928118393</v>
      </c>
      <c r="W14" s="24">
        <f>IF(OR(U14="",V14="",V14&lt;=0),"",U14/V14)</f>
        <v>2.6231884057971</v>
      </c>
      <c r="X14" s="5">
        <f>IF(OR(K14="",L14="",AP14=""),"",K14*L14-(E14*H14+IF(AND(AK14&lt;&gt;"",AL14&lt;&gt;""),AK14*AL14,0)+IF(AND(AM14&lt;&gt;"",AN14&lt;&gt;""),AM14*AN14,0))-IF(O14="",0,O14)-IF(P14="",0,P14))</f>
        <v>6090</v>
      </c>
      <c r="Y14" s="7">
        <f>IF(OR(X14="",AP14=""),"",IF((E14*H14+IF(AND(AK14&lt;&gt;"",AL14&lt;&gt;""),AK14*AL14,0)+IF(AND(AM14&lt;&gt;"",AN14&lt;&gt;""),AM14*AN14,0))+IF(O14="",0,O14)&lt;=0,"",X14/((E14*H14+IF(AND(AK14&lt;&gt;"",AL14&lt;&gt;""),AK14*AL14,0)+IF(AND(AM14&lt;&gt;"",AN14&lt;&gt;""),AM14*AN14,0))+IF(O14="",0,O14))))</f>
        <v>0.147991543340381</v>
      </c>
      <c r="Z14" s="7">
        <f>IF(OR(AE14="",多次统计数据!$B$8=""),"",AE14-多次统计数据!$B$8)</f>
        <v>0.000583584317312695</v>
      </c>
      <c r="AA14" s="11">
        <f>IF(OR(I14="",M14="",M14&lt;I14),"",M14-I14)</f>
        <v>10</v>
      </c>
      <c r="AB14" s="7">
        <f>IF(OR(A14="",多次统计数据!$B$8="",多次统计数据!$B$6&lt;=0,多次统计数据!$B$6&gt;=1),"",1-POWER(1+多次统计数据!$B$8,-多次统计数据!$B$6/(1-多次统计数据!$B$6)))</f>
        <v>0.0315166534281621</v>
      </c>
      <c r="AC14" s="8" t="str">
        <f>IF(OR(AB14="",多次统计数据!$B$9=""),"",IF(多次统计数据!$B$9&lt;AB14,"低于上限","达到或超过上限"))</f>
        <v>低于上限</v>
      </c>
      <c r="AD14" s="2"/>
      <c r="AE14" s="7">
        <f>IF(OR(X14="",C14="",C14&lt;=0),"",X14/C14)</f>
        <v>0.0593307029080812</v>
      </c>
      <c r="AG14" s="2"/>
      <c r="AH14" s="2"/>
      <c r="AI14" s="2"/>
      <c r="AJ14" s="8" t="str">
        <f>IF(OR(AG14="",AH14=""),"",IF(OR(AND(AG14="短期博反弹",OR(AH14="1～3个交易日",AH14="4～10个交易日")),AND(AG14="突破冲新高",OR(AH14="4～10个交易日",AH14="11～20个交易日")),AND(AG14="趋势波段",OR(AH14="11～20个交易日",AH14="21～60个交易日",AH14="60个交易日以上"))),"匹配","周期与交易预期不匹配，请重新确认"))</f>
        <v/>
      </c>
      <c r="AK14" s="10"/>
      <c r="AL14" s="12"/>
      <c r="AM14" s="10"/>
      <c r="AN14" s="12"/>
      <c r="AO14" s="5">
        <f>IF(OR(A14="",H14="",H14&lt;=0),"",(E14*H14+IF(AND(AK14&lt;&gt;"",AL14&lt;&gt;""),AK14*AL14,0)+IF(AND(AM14&lt;&gt;"",AN14&lt;&gt;""),AM14*AN14,0))/AP14)</f>
        <v>14.19</v>
      </c>
      <c r="AP14" s="11">
        <f>IF(OR(A14="",H14="",H14&lt;=0),"",H14+IF(AL14="",0,AL14)+IF(AN14="",0,AN14))</f>
        <v>2900</v>
      </c>
      <c r="AQ14" s="5">
        <f>IF(A14="","",IF(M14&lt;&gt;"",0,IF(OR(H14="",N14=""),"",MAX(E14-MAX(N14,IFERROR(SUMPRODUCT(MAX(((持仓跟踪!$A$2:$A$497="每日跟踪")*(持仓跟踪!$B$2:$B$497=A14))*持仓跟踪!$S$2:$S$497)),0)),0)*H14+IF(OR(AK14="",AL14=""),0,MAX(AK14-MAX(N14,IFERROR(SUMPRODUCT(MAX(((持仓跟踪!$A$2:$A$497="每日跟踪")*(持仓跟踪!$B$2:$B$497=A14))*持仓跟踪!$S$2:$S$497)),0)),0)*AL14)+IF(OR(AM14="",AN14=""),0,MAX(AM14-MAX(N14,IFERROR(SUMPRODUCT(MAX(((持仓跟踪!$A$2:$A$497="每日跟踪")*(持仓跟踪!$B$2:$B$497=A14))*持仓跟踪!$S$2:$S$497)),0)),0)*AN14))))</f>
        <v>0</v>
      </c>
      <c r="AR14" s="8" t="str">
        <f ca="1">IF(A14="","",IF(OR(E14="",H14=""),"违规：第一批价格或股数缺失",IF(OR(AND(AK14="",AL14&lt;&gt;""),AND(AK14&lt;&gt;"",AL14="")),"违规：第二批价格与股数须成对填写",IF(OR(AND(AM14="",AN14&lt;&gt;""),AND(AM14&lt;&gt;"",AN14="")),"违规：第三批价格与股数须成对填写",IF(AND(OR(AM14&lt;&gt;"",AN14&lt;&gt;""),OR(AK14="",AL14="")),"违规：必须先完成第二批",IF(OR(H14&lt;=0,H14&lt;&gt;INT(H14),MOD(H14,100)&lt;&gt;0,AND(AL14&lt;&gt;"",OR(AL14&lt;=0,AL14&lt;&gt;INT(AL14),MOD(AL14,100)&lt;&gt;0)),AND(AN14&lt;&gt;"",OR(AN14&lt;=0,AN14&lt;&gt;INT(AN14),MOD(AN14,100)&lt;&gt;0))),"违规：股数须为100股整数倍",IF(AND(OR(AL14&lt;&gt;"",AN14&lt;&gt;""),OR(_LockStatus="已锁仓",_LockStatus="解锁信息不完整")),"违规：锁仓期间禁止加仓",IF(AQ14&gt;C14*D14,"违规：超过单笔风险上限",IF(SUM($AQ$2:$AQ$163)&gt;账户数据!$B$7,"违规：超过账户风险上限","通过")))))))))</f>
        <v>通过</v>
      </c>
    </row>
    <row r="15" ht="17" spans="1:1024 1025:16384">
      <c r="A15" s="2">
        <v>14</v>
      </c>
      <c r="B15" s="13" t="s">
        <v>16384</v>
      </c>
      <c r="C15" s="10">
        <v>108735</v>
      </c>
      <c r="D15" s="6">
        <v>0.02</v>
      </c>
      <c r="E15" s="10">
        <v>16.6</v>
      </c>
      <c r="F15" s="8">
        <f>IF(OR(C15="",D15="",E15="",N15="",C15&lt;=0,D15&lt;=0,E15&lt;=N15),"",ROUNDDOWN((C15*D15)/(E15-N15)/100,0)*100)</f>
        <v>1900</v>
      </c>
      <c r="G15" s="8" t="str">
        <f ca="1"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COUNTIFS(持仓跟踪!$A$2:$A$497,"止损计划",持仓跟踪!$B$2:$B$497,A15,持仓跟踪!$AC$2:$AC$497,"计划有效")=0,"禁止开仓：请先填写止损计划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5" s="2">
        <v>1900</v>
      </c>
      <c r="I15" s="15">
        <v>44587</v>
      </c>
      <c r="J15" s="10">
        <v>18</v>
      </c>
      <c r="K15" s="5">
        <v>14.49</v>
      </c>
      <c r="L15" s="8">
        <v>1900</v>
      </c>
      <c r="M15" s="23">
        <v>44600</v>
      </c>
      <c r="N15" s="10">
        <v>15.5</v>
      </c>
      <c r="O15" s="10"/>
      <c r="P15" s="5" t="str">
        <f>IF(A15="","",IFERROR(LOOKUP(2,1/((持仓跟踪!$B$2:$B$497=A15)*(持仓跟踪!$X$2:$X$497="执行卖出")*(持仓跟踪!$AA$2:$AA$497&lt;&gt;"")),持仓跟踪!$AA$2:$AA$497),""))</f>
        <v/>
      </c>
      <c r="Q15" s="2"/>
      <c r="R15" s="2"/>
      <c r="S15" s="2"/>
      <c r="T15" s="2"/>
      <c r="U15" s="7">
        <f>IF(OR(AO15="",J15="",AO15&lt;=0),"",(J15-AO15)/AO15)</f>
        <v>0.0843373493975903</v>
      </c>
      <c r="V15" s="7">
        <f>IF(OR(AO15="",N15="",AO15&lt;=0),"",(AO15-N15)/AO15)</f>
        <v>0.0662650602409639</v>
      </c>
      <c r="W15" s="24">
        <f>IF(OR(U15="",V15="",V15&lt;=0),"",U15/V15)</f>
        <v>1.27272727272727</v>
      </c>
      <c r="X15" s="5">
        <f>IF(OR(K15="",L15="",AP15=""),"",K15*L15-(E15*H15+IF(AND(AK15&lt;&gt;"",AL15&lt;&gt;""),AK15*AL15,0)+IF(AND(AM15&lt;&gt;"",AN15&lt;&gt;""),AM15*AN15,0))-IF(O15="",0,O15)-IF(P15="",0,P15))</f>
        <v>-4009</v>
      </c>
      <c r="Y15" s="7">
        <f>IF(OR(X15="",AP15=""),"",IF((E15*H15+IF(AND(AK15&lt;&gt;"",AL15&lt;&gt;""),AK15*AL15,0)+IF(AND(AM15&lt;&gt;"",AN15&lt;&gt;""),AM15*AN15,0))+IF(O15="",0,O15)&lt;=0,"",X15/((E15*H15+IF(AND(AK15&lt;&gt;"",AL15&lt;&gt;""),AK15*AL15,0)+IF(AND(AM15&lt;&gt;"",AN15&lt;&gt;""),AM15*AN15,0))+IF(O15="",0,O15))))</f>
        <v>-0.12710843373494</v>
      </c>
      <c r="Z15" s="7">
        <f>IF(OR(AE15="",多次统计数据!$B$8=""),"",AE15-多次统计数据!$B$8)</f>
        <v>-0.0956165718486892</v>
      </c>
      <c r="AA15" s="11">
        <f>IF(OR(I15="",M15="",M15&lt;I15),"",M15-I15)</f>
        <v>13</v>
      </c>
      <c r="AB15" s="7">
        <f>IF(OR(A15="",多次统计数据!$B$8="",多次统计数据!$B$6&lt;=0,多次统计数据!$B$6&gt;=1),"",1-POWER(1+多次统计数据!$B$8,-多次统计数据!$B$6/(1-多次统计数据!$B$6)))</f>
        <v>0.0315166534281621</v>
      </c>
      <c r="AC15" s="8" t="str">
        <f>IF(OR(AB15="",多次统计数据!$B$9=""),"",IF(多次统计数据!$B$9&lt;AB15,"低于上限","达到或超过上限"))</f>
        <v>低于上限</v>
      </c>
      <c r="AD15" s="2"/>
      <c r="AE15" s="7">
        <f>IF(OR(X15="",C15="",C15&lt;=0),"",X15/C15)</f>
        <v>-0.0368694532579207</v>
      </c>
      <c r="AG15" s="2"/>
      <c r="AH15" s="2"/>
      <c r="AI15" s="2"/>
      <c r="AJ15" s="8" t="str">
        <f>IF(OR(AG15="",AH15=""),"",IF(OR(AND(AG15="短期博反弹",OR(AH15="1～3个交易日",AH15="4～10个交易日")),AND(AG15="突破冲新高",OR(AH15="4～10个交易日",AH15="11～20个交易日")),AND(AG15="趋势波段",OR(AH15="11～20个交易日",AH15="21～60个交易日",AH15="60个交易日以上"))),"匹配","周期与交易预期不匹配，请重新确认"))</f>
        <v/>
      </c>
      <c r="AK15" s="10"/>
      <c r="AL15" s="12"/>
      <c r="AM15" s="10"/>
      <c r="AN15" s="12"/>
      <c r="AO15" s="5">
        <f>IF(OR(A15="",H15="",H15&lt;=0),"",(E15*H15+IF(AND(AK15&lt;&gt;"",AL15&lt;&gt;""),AK15*AL15,0)+IF(AND(AM15&lt;&gt;"",AN15&lt;&gt;""),AM15*AN15,0))/AP15)</f>
        <v>16.6</v>
      </c>
      <c r="AP15" s="11">
        <f>IF(OR(A15="",H15="",H15&lt;=0),"",H15+IF(AL15="",0,AL15)+IF(AN15="",0,AN15))</f>
        <v>1900</v>
      </c>
      <c r="AQ15" s="5">
        <f>IF(A15="","",IF(M15&lt;&gt;"",0,IF(OR(H15="",N15=""),"",MAX(E15-MAX(N15,IFERROR(SUMPRODUCT(MAX(((持仓跟踪!$A$2:$A$497="每日跟踪")*(持仓跟踪!$B$2:$B$497=A15))*持仓跟踪!$S$2:$S$497)),0)),0)*H15+IF(OR(AK15="",AL15=""),0,MAX(AK15-MAX(N15,IFERROR(SUMPRODUCT(MAX(((持仓跟踪!$A$2:$A$497="每日跟踪")*(持仓跟踪!$B$2:$B$497=A15))*持仓跟踪!$S$2:$S$497)),0)),0)*AL15)+IF(OR(AM15="",AN15=""),0,MAX(AM15-MAX(N15,IFERROR(SUMPRODUCT(MAX(((持仓跟踪!$A$2:$A$497="每日跟踪")*(持仓跟踪!$B$2:$B$497=A15))*持仓跟踪!$S$2:$S$497)),0)),0)*AN15))))</f>
        <v>0</v>
      </c>
      <c r="AR15" s="8" t="str">
        <f ca="1">IF(A15="","",IF(OR(E15="",H15=""),"违规：第一批价格或股数缺失",IF(OR(AND(AK15="",AL15&lt;&gt;""),AND(AK15&lt;&gt;"",AL15="")),"违规：第二批价格与股数须成对填写",IF(OR(AND(AM15="",AN15&lt;&gt;""),AND(AM15&lt;&gt;"",AN15="")),"违规：第三批价格与股数须成对填写",IF(AND(OR(AM15&lt;&gt;"",AN15&lt;&gt;""),OR(AK15="",AL15="")),"违规：必须先完成第二批",IF(OR(H15&lt;=0,H15&lt;&gt;INT(H15),MOD(H15,100)&lt;&gt;0,AND(AL15&lt;&gt;"",OR(AL15&lt;=0,AL15&lt;&gt;INT(AL15),MOD(AL15,100)&lt;&gt;0)),AND(AN15&lt;&gt;"",OR(AN15&lt;=0,AN15&lt;&gt;INT(AN15),MOD(AN15,100)&lt;&gt;0))),"违规：股数须为100股整数倍",IF(AND(OR(AL15&lt;&gt;"",AN15&lt;&gt;""),OR(_LockStatus="已锁仓",_LockStatus="解锁信息不完整")),"违规：锁仓期间禁止加仓",IF(AQ15&gt;C15*D15,"违规：超过单笔风险上限",IF(SUM($AQ$2:$AQ$163)&gt;账户数据!$B$7,"违规：超过账户风险上限","通过")))))))))</f>
        <v>通过</v>
      </c>
    </row>
    <row r="16" ht="17" spans="1:1024 1025:16384">
      <c r="A16" s="2">
        <v>15</v>
      </c>
      <c r="B16" s="13" t="s">
        <v>16384</v>
      </c>
      <c r="C16" s="10">
        <v>104726</v>
      </c>
      <c r="D16" s="6">
        <v>0.02</v>
      </c>
      <c r="E16" s="10">
        <v>16.05</v>
      </c>
      <c r="F16" s="8">
        <f>IF(OR(C16="",D16="",E16="",N16="",C16&lt;=0,D16&lt;=0,E16&lt;=N16),"",ROUNDDOWN((C16*D16)/(E16-N16)/100,0)*100)</f>
        <v>3800</v>
      </c>
      <c r="G16" s="8" t="str">
        <f ca="1"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COUNTIFS(持仓跟踪!$A$2:$A$497,"止损计划",持仓跟踪!$B$2:$B$497,A16,持仓跟踪!$AC$2:$AC$497,"计划有效")=0,"禁止开仓：请先填写止损计划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6" s="2">
        <v>3800</v>
      </c>
      <c r="I16" s="15">
        <v>44613</v>
      </c>
      <c r="J16" s="10">
        <v>18</v>
      </c>
      <c r="K16" s="5">
        <v>15.01</v>
      </c>
      <c r="L16" s="8">
        <v>3800</v>
      </c>
      <c r="M16" s="23">
        <v>44620</v>
      </c>
      <c r="N16" s="10">
        <v>15.5</v>
      </c>
      <c r="O16" s="10"/>
      <c r="P16" s="5" t="str">
        <f>IF(A16="","",IFERROR(LOOKUP(2,1/((持仓跟踪!$B$2:$B$497=A16)*(持仓跟踪!$X$2:$X$497="执行卖出")*(持仓跟踪!$AA$2:$AA$497&lt;&gt;"")),持仓跟踪!$AA$2:$AA$497),""))</f>
        <v/>
      </c>
      <c r="Q16" s="2"/>
      <c r="R16" s="2"/>
      <c r="S16" s="2"/>
      <c r="T16" s="2"/>
      <c r="U16" s="7">
        <f>IF(OR(AO16="",J16="",AO16&lt;=0),"",(J16-AO16)/AO16)</f>
        <v>0.121495327102804</v>
      </c>
      <c r="V16" s="7">
        <f>IF(OR(AO16="",N16="",AO16&lt;=0),"",(AO16-N16)/AO16)</f>
        <v>0.0342679127725857</v>
      </c>
      <c r="W16" s="24">
        <f>IF(OR(U16="",V16="",V16&lt;=0),"",U16/V16)</f>
        <v>3.54545454545454</v>
      </c>
      <c r="X16" s="5">
        <f>IF(OR(K16="",L16="",AP16=""),"",K16*L16-(E16*H16+IF(AND(AK16&lt;&gt;"",AL16&lt;&gt;""),AK16*AL16,0)+IF(AND(AM16&lt;&gt;"",AN16&lt;&gt;""),AM16*AN16,0))-IF(O16="",0,O16)-IF(P16="",0,P16))</f>
        <v>-3952</v>
      </c>
      <c r="Y16" s="7">
        <f>IF(OR(X16="",AP16=""),"",IF((E16*H16+IF(AND(AK16&lt;&gt;"",AL16&lt;&gt;""),AK16*AL16,0)+IF(AND(AM16&lt;&gt;"",AN16&lt;&gt;""),AM16*AN16,0))+IF(O16="",0,O16)&lt;=0,"",X16/((E16*H16+IF(AND(AK16&lt;&gt;"",AL16&lt;&gt;""),AK16*AL16,0)+IF(AND(AM16&lt;&gt;"",AN16&lt;&gt;""),AM16*AN16,0))+IF(O16="",0,O16))))</f>
        <v>-0.064797507788162</v>
      </c>
      <c r="Z16" s="7">
        <f>IF(OR(AE16="",多次统计数据!$B$8=""),"",AE16-多次统计数据!$B$8)</f>
        <v>-0.0964836883060255</v>
      </c>
      <c r="AA16" s="11">
        <f>IF(OR(I16="",M16="",M16&lt;I16),"",M16-I16)</f>
        <v>7</v>
      </c>
      <c r="AB16" s="7">
        <f>IF(OR(A16="",多次统计数据!$B$8="",多次统计数据!$B$6&lt;=0,多次统计数据!$B$6&gt;=1),"",1-POWER(1+多次统计数据!$B$8,-多次统计数据!$B$6/(1-多次统计数据!$B$6)))</f>
        <v>0.0315166534281621</v>
      </c>
      <c r="AC16" s="8" t="str">
        <f>IF(OR(AB16="",多次统计数据!$B$9=""),"",IF(多次统计数据!$B$9&lt;AB16,"低于上限","达到或超过上限"))</f>
        <v>低于上限</v>
      </c>
      <c r="AD16" s="2"/>
      <c r="AE16" s="7">
        <f>IF(OR(X16="",C16="",C16&lt;=0),"",X16/C16)</f>
        <v>-0.037736569715257</v>
      </c>
      <c r="AG16" s="2"/>
      <c r="AH16" s="2"/>
      <c r="AI16" s="2"/>
      <c r="AJ16" s="8" t="str">
        <f>IF(OR(AG16="",AH16=""),"",IF(OR(AND(AG16="短期博反弹",OR(AH16="1～3个交易日",AH16="4～10个交易日")),AND(AG16="突破冲新高",OR(AH16="4～10个交易日",AH16="11～20个交易日")),AND(AG16="趋势波段",OR(AH16="11～20个交易日",AH16="21～60个交易日",AH16="60个交易日以上"))),"匹配","周期与交易预期不匹配，请重新确认"))</f>
        <v/>
      </c>
      <c r="AK16" s="10"/>
      <c r="AL16" s="12"/>
      <c r="AM16" s="10"/>
      <c r="AN16" s="12"/>
      <c r="AO16" s="5">
        <f>IF(OR(A16="",H16="",H16&lt;=0),"",(E16*H16+IF(AND(AK16&lt;&gt;"",AL16&lt;&gt;""),AK16*AL16,0)+IF(AND(AM16&lt;&gt;"",AN16&lt;&gt;""),AM16*AN16,0))/AP16)</f>
        <v>16.05</v>
      </c>
      <c r="AP16" s="11">
        <f>IF(OR(A16="",H16="",H16&lt;=0),"",H16+IF(AL16="",0,AL16)+IF(AN16="",0,AN16))</f>
        <v>3800</v>
      </c>
      <c r="AQ16" s="5">
        <f>IF(A16="","",IF(M16&lt;&gt;"",0,IF(OR(H16="",N16=""),"",MAX(E16-MAX(N16,IFERROR(SUMPRODUCT(MAX(((持仓跟踪!$A$2:$A$497="每日跟踪")*(持仓跟踪!$B$2:$B$497=A16))*持仓跟踪!$S$2:$S$497)),0)),0)*H16+IF(OR(AK16="",AL16=""),0,MAX(AK16-MAX(N16,IFERROR(SUMPRODUCT(MAX(((持仓跟踪!$A$2:$A$497="每日跟踪")*(持仓跟踪!$B$2:$B$497=A16))*持仓跟踪!$S$2:$S$497)),0)),0)*AL16)+IF(OR(AM16="",AN16=""),0,MAX(AM16-MAX(N16,IFERROR(SUMPRODUCT(MAX(((持仓跟踪!$A$2:$A$497="每日跟踪")*(持仓跟踪!$B$2:$B$497=A16))*持仓跟踪!$S$2:$S$497)),0)),0)*AN16))))</f>
        <v>0</v>
      </c>
      <c r="AR16" s="8" t="str">
        <f ca="1">IF(A16="","",IF(OR(E16="",H16=""),"违规：第一批价格或股数缺失",IF(OR(AND(AK16="",AL16&lt;&gt;""),AND(AK16&lt;&gt;"",AL16="")),"违规：第二批价格与股数须成对填写",IF(OR(AND(AM16="",AN16&lt;&gt;""),AND(AM16&lt;&gt;"",AN16="")),"违规：第三批价格与股数须成对填写",IF(AND(OR(AM16&lt;&gt;"",AN16&lt;&gt;""),OR(AK16="",AL16="")),"违规：必须先完成第二批",IF(OR(H16&lt;=0,H16&lt;&gt;INT(H16),MOD(H16,100)&lt;&gt;0,AND(AL16&lt;&gt;"",OR(AL16&lt;=0,AL16&lt;&gt;INT(AL16),MOD(AL16,100)&lt;&gt;0)),AND(AN16&lt;&gt;"",OR(AN16&lt;=0,AN16&lt;&gt;INT(AN16),MOD(AN16,100)&lt;&gt;0))),"违规：股数须为100股整数倍",IF(AND(OR(AL16&lt;&gt;"",AN16&lt;&gt;""),OR(_LockStatus="已锁仓",_LockStatus="解锁信息不完整")),"违规：锁仓期间禁止加仓",IF(AQ16&gt;C16*D16,"违规：超过单笔风险上限",IF(SUM($AQ$2:$AQ$163)&gt;账户数据!$B$7,"违规：超过账户风险上限","通过")))))))))</f>
        <v>通过</v>
      </c>
    </row>
    <row r="17" ht="17" spans="1:44">
      <c r="A17" s="2">
        <v>16</v>
      </c>
      <c r="B17" s="13" t="s">
        <v>16384</v>
      </c>
      <c r="C17" s="10">
        <v>100774</v>
      </c>
      <c r="D17" s="6">
        <v>0.02</v>
      </c>
      <c r="E17" s="10">
        <v>12.54</v>
      </c>
      <c r="F17" s="8">
        <f>IF(OR(C17="",D17="",E17="",N17="",C17&lt;=0,D17&lt;=0,E17&lt;=N17),"",ROUNDDOWN((C17*D17)/(E17-N17)/100,0)*100)</f>
        <v>3700</v>
      </c>
      <c r="G17" s="8" t="str">
        <f ca="1"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COUNTIFS(持仓跟踪!$A$2:$A$497,"止损计划",持仓跟踪!$B$2:$B$497,A17,持仓跟踪!$AC$2:$AC$497,"计划有效")=0,"禁止开仓：请先填写止损计划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" s="2">
        <v>3700</v>
      </c>
      <c r="I17" s="15">
        <v>44701</v>
      </c>
      <c r="J17" s="10">
        <v>14</v>
      </c>
      <c r="K17" s="5">
        <v>13.76</v>
      </c>
      <c r="L17" s="8">
        <v>3700</v>
      </c>
      <c r="M17" s="23">
        <v>44732</v>
      </c>
      <c r="N17" s="10">
        <v>12</v>
      </c>
      <c r="O17" s="10"/>
      <c r="P17" s="5" t="str">
        <f>IF(A17="","",IFERROR(LOOKUP(2,1/((持仓跟踪!$B$2:$B$497=A17)*(持仓跟踪!$X$2:$X$497="执行卖出")*(持仓跟踪!$AA$2:$AA$497&lt;&gt;"")),持仓跟踪!$AA$2:$AA$497),""))</f>
        <v/>
      </c>
      <c r="Q17" s="2"/>
      <c r="R17" s="2"/>
      <c r="S17" s="2"/>
      <c r="T17" s="2"/>
      <c r="U17" s="7">
        <f>IF(OR(AO17="",J17="",AO17&lt;=0),"",(J17-AO17)/AO17)</f>
        <v>0.116427432216906</v>
      </c>
      <c r="V17" s="7">
        <f>IF(OR(AO17="",N17="",AO17&lt;=0),"",(AO17-N17)/AO17)</f>
        <v>0.0430622009569377</v>
      </c>
      <c r="W17" s="24">
        <f>IF(OR(U17="",V17="",V17&lt;=0),"",U17/V17)</f>
        <v>2.70370370370371</v>
      </c>
      <c r="X17" s="5">
        <f>IF(OR(K17="",L17="",AP17=""),"",K17*L17-(E17*H17+IF(AND(AK17&lt;&gt;"",AL17&lt;&gt;""),AK17*AL17,0)+IF(AND(AM17&lt;&gt;"",AN17&lt;&gt;""),AM17*AN17,0))-IF(O17="",0,O17)-IF(P17="",0,P17))</f>
        <v>4514</v>
      </c>
      <c r="Y17" s="7">
        <f>IF(OR(X17="",AP17=""),"",IF((E17*H17+IF(AND(AK17&lt;&gt;"",AL17&lt;&gt;""),AK17*AL17,0)+IF(AND(AM17&lt;&gt;"",AN17&lt;&gt;""),AM17*AN17,0))+IF(O17="",0,O17)&lt;=0,"",X17/((E17*H17+IF(AND(AK17&lt;&gt;"",AL17&lt;&gt;""),AK17*AL17,0)+IF(AND(AM17&lt;&gt;"",AN17&lt;&gt;""),AM17*AN17,0))+IF(O17="",0,O17))))</f>
        <v>0.0972886762360447</v>
      </c>
      <c r="Z17" s="7">
        <f>IF(OR(AE17="",多次统计数据!$B$8=""),"",AE17-多次统计数据!$B$8)</f>
        <v>-0.0139538187316779</v>
      </c>
      <c r="AA17" s="11">
        <f>IF(OR(I17="",M17="",M17&lt;I17),"",M17-I17)</f>
        <v>31</v>
      </c>
      <c r="AB17" s="7">
        <f>IF(OR(A17="",多次统计数据!$B$8="",多次统计数据!$B$6&lt;=0,多次统计数据!$B$6&gt;=1),"",1-POWER(1+多次统计数据!$B$8,-多次统计数据!$B$6/(1-多次统计数据!$B$6)))</f>
        <v>0.0315166534281621</v>
      </c>
      <c r="AC17" s="8" t="str">
        <f>IF(OR(AB17="",多次统计数据!$B$9=""),"",IF(多次统计数据!$B$9&lt;AB17,"低于上限","达到或超过上限"))</f>
        <v>低于上限</v>
      </c>
      <c r="AD17" s="2"/>
      <c r="AE17" s="7">
        <f>IF(OR(X17="",C17="",C17&lt;=0),"",X17/C17)</f>
        <v>0.0447932998590906</v>
      </c>
      <c r="AG17" s="2"/>
      <c r="AH17" s="2"/>
      <c r="AI17" s="2"/>
      <c r="AJ17" s="8" t="str">
        <f>IF(OR(AG17="",AH17=""),"",IF(OR(AND(AG17="短期博反弹",OR(AH17="1～3个交易日",AH17="4～10个交易日")),AND(AG17="突破冲新高",OR(AH17="4～10个交易日",AH17="11～20个交易日")),AND(AG17="趋势波段",OR(AH17="11～20个交易日",AH17="21～60个交易日",AH17="60个交易日以上"))),"匹配","周期与交易预期不匹配，请重新确认"))</f>
        <v/>
      </c>
      <c r="AK17" s="10"/>
      <c r="AL17" s="12"/>
      <c r="AM17" s="10"/>
      <c r="AN17" s="12"/>
      <c r="AO17" s="5">
        <f>IF(OR(A17="",H17="",H17&lt;=0),"",(E17*H17+IF(AND(AK17&lt;&gt;"",AL17&lt;&gt;""),AK17*AL17,0)+IF(AND(AM17&lt;&gt;"",AN17&lt;&gt;""),AM17*AN17,0))/AP17)</f>
        <v>12.54</v>
      </c>
      <c r="AP17" s="11">
        <f>IF(OR(A17="",H17="",H17&lt;=0),"",H17+IF(AL17="",0,AL17)+IF(AN17="",0,AN17))</f>
        <v>3700</v>
      </c>
      <c r="AQ17" s="5">
        <f>IF(A17="","",IF(M17&lt;&gt;"",0,IF(OR(H17="",N17=""),"",MAX(E17-MAX(N17,IFERROR(SUMPRODUCT(MAX(((持仓跟踪!$A$2:$A$497="每日跟踪")*(持仓跟踪!$B$2:$B$497=A17))*持仓跟踪!$S$2:$S$497)),0)),0)*H17+IF(OR(AK17="",AL17=""),0,MAX(AK17-MAX(N17,IFERROR(SUMPRODUCT(MAX(((持仓跟踪!$A$2:$A$497="每日跟踪")*(持仓跟踪!$B$2:$B$497=A17))*持仓跟踪!$S$2:$S$497)),0)),0)*AL17)+IF(OR(AM17="",AN17=""),0,MAX(AM17-MAX(N17,IFERROR(SUMPRODUCT(MAX(((持仓跟踪!$A$2:$A$497="每日跟踪")*(持仓跟踪!$B$2:$B$497=A17))*持仓跟踪!$S$2:$S$497)),0)),0)*AN17))))</f>
        <v>0</v>
      </c>
      <c r="AR17" s="8" t="str">
        <f ca="1">IF(A17="","",IF(OR(E17="",H17=""),"违规：第一批价格或股数缺失",IF(OR(AND(AK17="",AL17&lt;&gt;""),AND(AK17&lt;&gt;"",AL17="")),"违规：第二批价格与股数须成对填写",IF(OR(AND(AM17="",AN17&lt;&gt;""),AND(AM17&lt;&gt;"",AN17="")),"违规：第三批价格与股数须成对填写",IF(AND(OR(AM17&lt;&gt;"",AN17&lt;&gt;""),OR(AK17="",AL17="")),"违规：必须先完成第二批",IF(OR(H17&lt;=0,H17&lt;&gt;INT(H17),MOD(H17,100)&lt;&gt;0,AND(AL17&lt;&gt;"",OR(AL17&lt;=0,AL17&lt;&gt;INT(AL17),MOD(AL17,100)&lt;&gt;0)),AND(AN17&lt;&gt;"",OR(AN17&lt;=0,AN17&lt;&gt;INT(AN17),MOD(AN17,100)&lt;&gt;0))),"违规：股数须为100股整数倍",IF(AND(OR(AL17&lt;&gt;"",AN17&lt;&gt;""),OR(_LockStatus="已锁仓",_LockStatus="解锁信息不完整")),"违规：锁仓期间禁止加仓",IF(AQ17&gt;C17*D17,"违规：超过单笔风险上限",IF(SUM($AQ$2:$AQ$163)&gt;账户数据!$B$7,"违规：超过账户风险上限","通过")))))))))</f>
        <v>通过</v>
      </c>
    </row>
    <row r="18" ht="17" spans="1:44">
      <c r="A18" s="2">
        <v>17</v>
      </c>
      <c r="B18" s="13" t="s">
        <v>16384</v>
      </c>
      <c r="C18" s="10">
        <v>105228</v>
      </c>
      <c r="D18" s="6">
        <v>0.02</v>
      </c>
      <c r="E18" s="10">
        <v>13.1</v>
      </c>
      <c r="F18" s="8">
        <f>IF(OR(C18="",D18="",E18="",N18="",C18&lt;=0,D18&lt;=0,E18&lt;=N18),"",ROUNDDOWN((C18*D18)/(E18-N18)/100,0)*100)</f>
        <v>3500</v>
      </c>
      <c r="G18" s="8" t="str">
        <f ca="1"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COUNTIFS(持仓跟踪!$A$2:$A$497,"止损计划",持仓跟踪!$B$2:$B$497,A18,持仓跟踪!$AC$2:$AC$497,"计划有效")=0,"禁止开仓：请先填写止损计划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8" s="2">
        <v>3500</v>
      </c>
      <c r="I18" s="15">
        <v>44741</v>
      </c>
      <c r="J18" s="10">
        <v>15</v>
      </c>
      <c r="K18" s="5">
        <v>11.59</v>
      </c>
      <c r="L18" s="8">
        <v>3500</v>
      </c>
      <c r="M18" s="23">
        <v>44747</v>
      </c>
      <c r="N18" s="10">
        <v>12.5</v>
      </c>
      <c r="O18" s="10"/>
      <c r="P18" s="5" t="str">
        <f>IF(A18="","",IFERROR(LOOKUP(2,1/((持仓跟踪!$B$2:$B$497=A18)*(持仓跟踪!$X$2:$X$497="执行卖出")*(持仓跟踪!$AA$2:$AA$497&lt;&gt;"")),持仓跟踪!$AA$2:$AA$497),""))</f>
        <v/>
      </c>
      <c r="Q18" s="2"/>
      <c r="R18" s="2"/>
      <c r="S18" s="2"/>
      <c r="T18" s="2"/>
      <c r="U18" s="7">
        <f>IF(OR(AO18="",J18="",AO18&lt;=0),"",(J18-AO18)/AO18)</f>
        <v>0.145038167938931</v>
      </c>
      <c r="V18" s="7">
        <f>IF(OR(AO18="",N18="",AO18&lt;=0),"",(AO18-N18)/AO18)</f>
        <v>0.0458015267175572</v>
      </c>
      <c r="W18" s="24">
        <f>IF(OR(U18="",V18="",V18&lt;=0),"",U18/V18)</f>
        <v>3.16666666666667</v>
      </c>
      <c r="X18" s="5">
        <f>IF(OR(K18="",L18="",AP18=""),"",K18*L18-(E18*H18+IF(AND(AK18&lt;&gt;"",AL18&lt;&gt;""),AK18*AL18,0)+IF(AND(AM18&lt;&gt;"",AN18&lt;&gt;""),AM18*AN18,0))-IF(O18="",0,O18)-IF(P18="",0,P18))</f>
        <v>-5285</v>
      </c>
      <c r="Y18" s="7">
        <f>IF(OR(X18="",AP18=""),"",IF((E18*H18+IF(AND(AK18&lt;&gt;"",AL18&lt;&gt;""),AK18*AL18,0)+IF(AND(AM18&lt;&gt;"",AN18&lt;&gt;""),AM18*AN18,0))+IF(O18="",0,O18)&lt;=0,"",X18/((E18*H18+IF(AND(AK18&lt;&gt;"",AL18&lt;&gt;""),AK18*AL18,0)+IF(AND(AM18&lt;&gt;"",AN18&lt;&gt;""),AM18*AN18,0))+IF(O18="",0,O18))))</f>
        <v>-0.115267175572519</v>
      </c>
      <c r="Z18" s="7">
        <f>IF(OR(AE18="",多次统计数据!$B$8=""),"",AE18-多次统计数据!$B$8)</f>
        <v>-0.108971393498588</v>
      </c>
      <c r="AA18" s="11">
        <f>IF(OR(I18="",M18="",M18&lt;I18),"",M18-I18)</f>
        <v>6</v>
      </c>
      <c r="AB18" s="7">
        <f>IF(OR(A18="",多次统计数据!$B$8="",多次统计数据!$B$6&lt;=0,多次统计数据!$B$6&gt;=1),"",1-POWER(1+多次统计数据!$B$8,-多次统计数据!$B$6/(1-多次统计数据!$B$6)))</f>
        <v>0.0315166534281621</v>
      </c>
      <c r="AC18" s="8" t="str">
        <f>IF(OR(AB18="",多次统计数据!$B$9=""),"",IF(多次统计数据!$B$9&lt;AB18,"低于上限","达到或超过上限"))</f>
        <v>低于上限</v>
      </c>
      <c r="AD18" s="2"/>
      <c r="AE18" s="7">
        <f>IF(OR(X18="",C18="",C18&lt;=0),"",X18/C18)</f>
        <v>-0.0502242749078192</v>
      </c>
      <c r="AG18" s="2"/>
      <c r="AH18" s="2"/>
      <c r="AI18" s="2"/>
      <c r="AJ18" s="8" t="str">
        <f>IF(OR(AG18="",AH18=""),"",IF(OR(AND(AG18="短期博反弹",OR(AH18="1～3个交易日",AH18="4～10个交易日")),AND(AG18="突破冲新高",OR(AH18="4～10个交易日",AH18="11～20个交易日")),AND(AG18="趋势波段",OR(AH18="11～20个交易日",AH18="21～60个交易日",AH18="60个交易日以上"))),"匹配","周期与交易预期不匹配，请重新确认"))</f>
        <v/>
      </c>
      <c r="AK18" s="10"/>
      <c r="AL18" s="12"/>
      <c r="AM18" s="10"/>
      <c r="AN18" s="12"/>
      <c r="AO18" s="5">
        <f>IF(OR(A18="",H18="",H18&lt;=0),"",(E18*H18+IF(AND(AK18&lt;&gt;"",AL18&lt;&gt;""),AK18*AL18,0)+IF(AND(AM18&lt;&gt;"",AN18&lt;&gt;""),AM18*AN18,0))/AP18)</f>
        <v>13.1</v>
      </c>
      <c r="AP18" s="11">
        <f>IF(OR(A18="",H18="",H18&lt;=0),"",H18+IF(AL18="",0,AL18)+IF(AN18="",0,AN18))</f>
        <v>3500</v>
      </c>
      <c r="AQ18" s="5">
        <f>IF(A18="","",IF(M18&lt;&gt;"",0,IF(OR(H18="",N18=""),"",MAX(E18-MAX(N18,IFERROR(SUMPRODUCT(MAX(((持仓跟踪!$A$2:$A$497="每日跟踪")*(持仓跟踪!$B$2:$B$497=A18))*持仓跟踪!$S$2:$S$497)),0)),0)*H18+IF(OR(AK18="",AL18=""),0,MAX(AK18-MAX(N18,IFERROR(SUMPRODUCT(MAX(((持仓跟踪!$A$2:$A$497="每日跟踪")*(持仓跟踪!$B$2:$B$497=A18))*持仓跟踪!$S$2:$S$497)),0)),0)*AL18)+IF(OR(AM18="",AN18=""),0,MAX(AM18-MAX(N18,IFERROR(SUMPRODUCT(MAX(((持仓跟踪!$A$2:$A$497="每日跟踪")*(持仓跟踪!$B$2:$B$497=A18))*持仓跟踪!$S$2:$S$497)),0)),0)*AN18))))</f>
        <v>0</v>
      </c>
      <c r="AR18" s="8" t="str">
        <f ca="1">IF(A18="","",IF(OR(E18="",H18=""),"违规：第一批价格或股数缺失",IF(OR(AND(AK18="",AL18&lt;&gt;""),AND(AK18&lt;&gt;"",AL18="")),"违规：第二批价格与股数须成对填写",IF(OR(AND(AM18="",AN18&lt;&gt;""),AND(AM18&lt;&gt;"",AN18="")),"违规：第三批价格与股数须成对填写",IF(AND(OR(AM18&lt;&gt;"",AN18&lt;&gt;""),OR(AK18="",AL18="")),"违规：必须先完成第二批",IF(OR(H18&lt;=0,H18&lt;&gt;INT(H18),MOD(H18,100)&lt;&gt;0,AND(AL18&lt;&gt;"",OR(AL18&lt;=0,AL18&lt;&gt;INT(AL18),MOD(AL18,100)&lt;&gt;0)),AND(AN18&lt;&gt;"",OR(AN18&lt;=0,AN18&lt;&gt;INT(AN18),MOD(AN18,100)&lt;&gt;0))),"违规：股数须为100股整数倍",IF(AND(OR(AL18&lt;&gt;"",AN18&lt;&gt;""),OR(_LockStatus="已锁仓",_LockStatus="解锁信息不完整")),"违规：锁仓期间禁止加仓",IF(AQ18&gt;C18*D18,"违规：超过单笔风险上限",IF(SUM($AQ$2:$AQ$163)&gt;账户数据!$B$7,"违规：超过账户风险上限","通过")))))))))</f>
        <v>通过</v>
      </c>
    </row>
    <row r="19" ht="17" spans="1:44">
      <c r="A19" s="2">
        <v>18</v>
      </c>
      <c r="B19" s="13" t="s">
        <v>16384</v>
      </c>
      <c r="C19" s="10">
        <v>100003</v>
      </c>
      <c r="D19" s="6">
        <v>0.02</v>
      </c>
      <c r="E19" s="10">
        <v>11.08</v>
      </c>
      <c r="F19" s="8">
        <f>IF(OR(C19="",D19="",E19="",N19="",C19&lt;=0,D19&lt;=0,E19&lt;=N19),"",ROUNDDOWN((C19*D19)/(E19-N19)/100,0)*100)</f>
        <v>3400</v>
      </c>
      <c r="G19" s="8" t="str">
        <f ca="1"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COUNTIFS(持仓跟踪!$A$2:$A$497,"止损计划",持仓跟踪!$B$2:$B$497,A19,持仓跟踪!$AC$2:$AC$497,"计划有效")=0,"禁止开仓：请先填写止损计划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9" s="2">
        <v>3400</v>
      </c>
      <c r="I19" s="15">
        <v>44770</v>
      </c>
      <c r="J19" s="10">
        <v>13</v>
      </c>
      <c r="K19" s="5">
        <v>11.42</v>
      </c>
      <c r="L19" s="8">
        <v>3400</v>
      </c>
      <c r="M19" s="23">
        <v>44789</v>
      </c>
      <c r="N19" s="10">
        <v>10.5</v>
      </c>
      <c r="O19" s="10"/>
      <c r="P19" s="5" t="str">
        <f>IF(A19="","",IFERROR(LOOKUP(2,1/((持仓跟踪!$B$2:$B$497=A19)*(持仓跟踪!$X$2:$X$497="执行卖出")*(持仓跟踪!$AA$2:$AA$497&lt;&gt;"")),持仓跟踪!$AA$2:$AA$497),""))</f>
        <v/>
      </c>
      <c r="Q19" s="2"/>
      <c r="R19" s="2"/>
      <c r="S19" s="2"/>
      <c r="T19" s="2"/>
      <c r="U19" s="7">
        <f>IF(OR(AO19="",J19="",AO19&lt;=0),"",(J19-AO19)/AO19)</f>
        <v>0.173285198555957</v>
      </c>
      <c r="V19" s="7">
        <f>IF(OR(AO19="",N19="",AO19&lt;=0),"",(AO19-N19)/AO19)</f>
        <v>0.0523465703971119</v>
      </c>
      <c r="W19" s="24">
        <f>IF(OR(U19="",V19="",V19&lt;=0),"",U19/V19)</f>
        <v>3.31034482758621</v>
      </c>
      <c r="X19" s="5">
        <f>IF(OR(K19="",L19="",AP19=""),"",K19*L19-(E19*H19+IF(AND(AK19&lt;&gt;"",AL19&lt;&gt;""),AK19*AL19,0)+IF(AND(AM19&lt;&gt;"",AN19&lt;&gt;""),AM19*AN19,0))-IF(O19="",0,O19)-IF(P19="",0,P19))</f>
        <v>1156</v>
      </c>
      <c r="Y19" s="7">
        <f>IF(OR(X19="",AP19=""),"",IF((E19*H19+IF(AND(AK19&lt;&gt;"",AL19&lt;&gt;""),AK19*AL19,0)+IF(AND(AM19&lt;&gt;"",AN19&lt;&gt;""),AM19*AN19,0))+IF(O19="",0,O19)&lt;=0,"",X19/((E19*H19+IF(AND(AK19&lt;&gt;"",AL19&lt;&gt;""),AK19*AL19,0)+IF(AND(AM19&lt;&gt;"",AN19&lt;&gt;""),AM19*AN19,0))+IF(O19="",0,O19))))</f>
        <v>0.0306859205776173</v>
      </c>
      <c r="Z19" s="7">
        <f>IF(OR(AE19="",多次统计数据!$B$8=""),"",AE19-多次统计数据!$B$8)</f>
        <v>-0.0471874653803649</v>
      </c>
      <c r="AA19" s="11">
        <f>IF(OR(I19="",M19="",M19&lt;I19),"",M19-I19)</f>
        <v>19</v>
      </c>
      <c r="AB19" s="7">
        <f>IF(OR(A19="",多次统计数据!$B$8="",多次统计数据!$B$6&lt;=0,多次统计数据!$B$6&gt;=1),"",1-POWER(1+多次统计数据!$B$8,-多次统计数据!$B$6/(1-多次统计数据!$B$6)))</f>
        <v>0.0315166534281621</v>
      </c>
      <c r="AC19" s="8" t="str">
        <f>IF(OR(AB19="",多次统计数据!$B$9=""),"",IF(多次统计数据!$B$9&lt;AB19,"低于上限","达到或超过上限"))</f>
        <v>低于上限</v>
      </c>
      <c r="AD19" s="2"/>
      <c r="AE19" s="7">
        <f>IF(OR(X19="",C19="",C19&lt;=0),"",X19/C19)</f>
        <v>0.0115596532104037</v>
      </c>
      <c r="AG19" s="2"/>
      <c r="AH19" s="2"/>
      <c r="AI19" s="2"/>
      <c r="AJ19" s="8" t="str">
        <f>IF(OR(AG19="",AH19=""),"",IF(OR(AND(AG19="短期博反弹",OR(AH19="1～3个交易日",AH19="4～10个交易日")),AND(AG19="突破冲新高",OR(AH19="4～10个交易日",AH19="11～20个交易日")),AND(AG19="趋势波段",OR(AH19="11～20个交易日",AH19="21～60个交易日",AH19="60个交易日以上"))),"匹配","周期与交易预期不匹配，请重新确认"))</f>
        <v/>
      </c>
      <c r="AK19" s="10"/>
      <c r="AL19" s="12"/>
      <c r="AM19" s="10"/>
      <c r="AN19" s="12"/>
      <c r="AO19" s="5">
        <f>IF(OR(A19="",H19="",H19&lt;=0),"",(E19*H19+IF(AND(AK19&lt;&gt;"",AL19&lt;&gt;""),AK19*AL19,0)+IF(AND(AM19&lt;&gt;"",AN19&lt;&gt;""),AM19*AN19,0))/AP19)</f>
        <v>11.08</v>
      </c>
      <c r="AP19" s="11">
        <f>IF(OR(A19="",H19="",H19&lt;=0),"",H19+IF(AL19="",0,AL19)+IF(AN19="",0,AN19))</f>
        <v>3400</v>
      </c>
      <c r="AQ19" s="5">
        <f>IF(A19="","",IF(M19&lt;&gt;"",0,IF(OR(H19="",N19=""),"",MAX(E19-MAX(N19,IFERROR(SUMPRODUCT(MAX(((持仓跟踪!$A$2:$A$497="每日跟踪")*(持仓跟踪!$B$2:$B$497=A19))*持仓跟踪!$S$2:$S$497)),0)),0)*H19+IF(OR(AK19="",AL19=""),0,MAX(AK19-MAX(N19,IFERROR(SUMPRODUCT(MAX(((持仓跟踪!$A$2:$A$497="每日跟踪")*(持仓跟踪!$B$2:$B$497=A19))*持仓跟踪!$S$2:$S$497)),0)),0)*AL19)+IF(OR(AM19="",AN19=""),0,MAX(AM19-MAX(N19,IFERROR(SUMPRODUCT(MAX(((持仓跟踪!$A$2:$A$497="每日跟踪")*(持仓跟踪!$B$2:$B$497=A19))*持仓跟踪!$S$2:$S$497)),0)),0)*AN19))))</f>
        <v>0</v>
      </c>
      <c r="AR19" s="8" t="str">
        <f ca="1">IF(A19="","",IF(OR(E19="",H19=""),"违规：第一批价格或股数缺失",IF(OR(AND(AK19="",AL19&lt;&gt;""),AND(AK19&lt;&gt;"",AL19="")),"违规：第二批价格与股数须成对填写",IF(OR(AND(AM19="",AN19&lt;&gt;""),AND(AM19&lt;&gt;"",AN19="")),"违规：第三批价格与股数须成对填写",IF(AND(OR(AM19&lt;&gt;"",AN19&lt;&gt;""),OR(AK19="",AL19="")),"违规：必须先完成第二批",IF(OR(H19&lt;=0,H19&lt;&gt;INT(H19),MOD(H19,100)&lt;&gt;0,AND(AL19&lt;&gt;"",OR(AL19&lt;=0,AL19&lt;&gt;INT(AL19),MOD(AL19,100)&lt;&gt;0)),AND(AN19&lt;&gt;"",OR(AN19&lt;=0,AN19&lt;&gt;INT(AN19),MOD(AN19,100)&lt;&gt;0))),"违规：股数须为100股整数倍",IF(AND(OR(AL19&lt;&gt;"",AN19&lt;&gt;""),OR(_LockStatus="已锁仓",_LockStatus="解锁信息不完整")),"违规：锁仓期间禁止加仓",IF(AQ19&gt;C19*D19,"违规：超过单笔风险上限",IF(SUM($AQ$2:$AQ$163)&gt;账户数据!$B$7,"违规：超过账户风险上限","通过")))))))))</f>
        <v>通过</v>
      </c>
    </row>
    <row r="20" ht="17" spans="1:44">
      <c r="A20" s="2">
        <v>19</v>
      </c>
      <c r="B20" s="13" t="s">
        <v>16384</v>
      </c>
      <c r="C20" s="10">
        <v>101159</v>
      </c>
      <c r="D20" s="6">
        <v>0.02</v>
      </c>
      <c r="E20" s="10">
        <v>11.18</v>
      </c>
      <c r="F20" s="8">
        <f>IF(OR(C20="",D20="",E20="",N20="",C20&lt;=0,D20&lt;=0,E20&lt;=N20),"",ROUNDDOWN((C20*D20)/(E20-N20)/100,0)*100)</f>
        <v>3400</v>
      </c>
      <c r="G20" s="8" t="str">
        <f ca="1"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COUNTIFS(持仓跟踪!$A$2:$A$497,"止损计划",持仓跟踪!$B$2:$B$497,A20,持仓跟踪!$AC$2:$AC$497,"计划有效")=0,"禁止开仓：请先填写止损计划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0" s="2">
        <v>3400</v>
      </c>
      <c r="I20" s="15">
        <v>44869</v>
      </c>
      <c r="J20" s="10">
        <v>13</v>
      </c>
      <c r="K20" s="5">
        <v>10.23</v>
      </c>
      <c r="L20" s="8">
        <v>3400</v>
      </c>
      <c r="M20" s="23">
        <v>44914</v>
      </c>
      <c r="N20" s="10">
        <v>10.6</v>
      </c>
      <c r="O20" s="10"/>
      <c r="P20" s="5" t="str">
        <f>IF(A20="","",IFERROR(LOOKUP(2,1/((持仓跟踪!$B$2:$B$497=A20)*(持仓跟踪!$X$2:$X$497="执行卖出")*(持仓跟踪!$AA$2:$AA$497&lt;&gt;"")),持仓跟踪!$AA$2:$AA$497),""))</f>
        <v/>
      </c>
      <c r="Q20" s="2"/>
      <c r="R20" s="2"/>
      <c r="S20" s="2"/>
      <c r="T20" s="2"/>
      <c r="U20" s="7">
        <f>IF(OR(AO20="",J20="",AO20&lt;=0),"",(J20-AO20)/AO20)</f>
        <v>0.162790697674419</v>
      </c>
      <c r="V20" s="7">
        <f>IF(OR(AO20="",N20="",AO20&lt;=0),"",(AO20-N20)/AO20)</f>
        <v>0.0518783542039356</v>
      </c>
      <c r="W20" s="24">
        <f>IF(OR(U20="",V20="",V20&lt;=0),"",U20/V20)</f>
        <v>3.13793103448276</v>
      </c>
      <c r="X20" s="5">
        <f>IF(OR(K20="",L20="",AP20=""),"",K20*L20-(E20*H20+IF(AND(AK20&lt;&gt;"",AL20&lt;&gt;""),AK20*AL20,0)+IF(AND(AM20&lt;&gt;"",AN20&lt;&gt;""),AM20*AN20,0))-IF(O20="",0,O20)-IF(P20="",0,P20))</f>
        <v>-3230</v>
      </c>
      <c r="Y20" s="7">
        <f>IF(OR(X20="",AP20=""),"",IF((E20*H20+IF(AND(AK20&lt;&gt;"",AL20&lt;&gt;""),AK20*AL20,0)+IF(AND(AM20&lt;&gt;"",AN20&lt;&gt;""),AM20*AN20,0))+IF(O20="",0,O20)&lt;=0,"",X20/((E20*H20+IF(AND(AK20&lt;&gt;"",AL20&lt;&gt;""),AK20*AL20,0)+IF(AND(AM20&lt;&gt;"",AN20&lt;&gt;""),AM20*AN20,0))+IF(O20="",0,O20))))</f>
        <v>-0.0849731663685152</v>
      </c>
      <c r="Z20" s="7">
        <f>IF(OR(AE20="",多次统计数据!$B$8=""),"",AE20-多次统计数据!$B$8)</f>
        <v>-0.0906770506778789</v>
      </c>
      <c r="AA20" s="11">
        <f>IF(OR(I20="",M20="",M20&lt;I20),"",M20-I20)</f>
        <v>45</v>
      </c>
      <c r="AB20" s="7">
        <f>IF(OR(A20="",多次统计数据!$B$8="",多次统计数据!$B$6&lt;=0,多次统计数据!$B$6&gt;=1),"",1-POWER(1+多次统计数据!$B$8,-多次统计数据!$B$6/(1-多次统计数据!$B$6)))</f>
        <v>0.0315166534281621</v>
      </c>
      <c r="AC20" s="8" t="str">
        <f>IF(OR(AB20="",多次统计数据!$B$9=""),"",IF(多次统计数据!$B$9&lt;AB20,"低于上限","达到或超过上限"))</f>
        <v>低于上限</v>
      </c>
      <c r="AD20" s="2"/>
      <c r="AE20" s="7">
        <f>IF(OR(X20="",C20="",C20&lt;=0),"",X20/C20)</f>
        <v>-0.0319299320871104</v>
      </c>
      <c r="AG20" s="2"/>
      <c r="AH20" s="2"/>
      <c r="AI20" s="2"/>
      <c r="AJ20" s="8" t="str">
        <f>IF(OR(AG20="",AH20=""),"",IF(OR(AND(AG20="短期博反弹",OR(AH20="1～3个交易日",AH20="4～10个交易日")),AND(AG20="突破冲新高",OR(AH20="4～10个交易日",AH20="11～20个交易日")),AND(AG20="趋势波段",OR(AH20="11～20个交易日",AH20="21～60个交易日",AH20="60个交易日以上"))),"匹配","周期与交易预期不匹配，请重新确认"))</f>
        <v/>
      </c>
      <c r="AK20" s="10"/>
      <c r="AL20" s="12"/>
      <c r="AM20" s="10"/>
      <c r="AN20" s="12"/>
      <c r="AO20" s="5">
        <f>IF(OR(A20="",H20="",H20&lt;=0),"",(E20*H20+IF(AND(AK20&lt;&gt;"",AL20&lt;&gt;""),AK20*AL20,0)+IF(AND(AM20&lt;&gt;"",AN20&lt;&gt;""),AM20*AN20,0))/AP20)</f>
        <v>11.18</v>
      </c>
      <c r="AP20" s="11">
        <f>IF(OR(A20="",H20="",H20&lt;=0),"",H20+IF(AL20="",0,AL20)+IF(AN20="",0,AN20))</f>
        <v>3400</v>
      </c>
      <c r="AQ20" s="5">
        <f>IF(A20="","",IF(M20&lt;&gt;"",0,IF(OR(H20="",N20=""),"",MAX(E20-MAX(N20,IFERROR(SUMPRODUCT(MAX(((持仓跟踪!$A$2:$A$497="每日跟踪")*(持仓跟踪!$B$2:$B$497=A20))*持仓跟踪!$S$2:$S$497)),0)),0)*H20+IF(OR(AK20="",AL20=""),0,MAX(AK20-MAX(N20,IFERROR(SUMPRODUCT(MAX(((持仓跟踪!$A$2:$A$497="每日跟踪")*(持仓跟踪!$B$2:$B$497=A20))*持仓跟踪!$S$2:$S$497)),0)),0)*AL20)+IF(OR(AM20="",AN20=""),0,MAX(AM20-MAX(N20,IFERROR(SUMPRODUCT(MAX(((持仓跟踪!$A$2:$A$497="每日跟踪")*(持仓跟踪!$B$2:$B$497=A20))*持仓跟踪!$S$2:$S$497)),0)),0)*AN20))))</f>
        <v>0</v>
      </c>
      <c r="AR20" s="8" t="str">
        <f ca="1">IF(A20="","",IF(OR(E20="",H20=""),"违规：第一批价格或股数缺失",IF(OR(AND(AK20="",AL20&lt;&gt;""),AND(AK20&lt;&gt;"",AL20="")),"违规：第二批价格与股数须成对填写",IF(OR(AND(AM20="",AN20&lt;&gt;""),AND(AM20&lt;&gt;"",AN20="")),"违规：第三批价格与股数须成对填写",IF(AND(OR(AM20&lt;&gt;"",AN20&lt;&gt;""),OR(AK20="",AL20="")),"违规：必须先完成第二批",IF(OR(H20&lt;=0,H20&lt;&gt;INT(H20),MOD(H20,100)&lt;&gt;0,AND(AL20&lt;&gt;"",OR(AL20&lt;=0,AL20&lt;&gt;INT(AL20),MOD(AL20,100)&lt;&gt;0)),AND(AN20&lt;&gt;"",OR(AN20&lt;=0,AN20&lt;&gt;INT(AN20),MOD(AN20,100)&lt;&gt;0))),"违规：股数须为100股整数倍",IF(AND(OR(AL20&lt;&gt;"",AN20&lt;&gt;""),OR(_LockStatus="已锁仓",_LockStatus="解锁信息不完整")),"违规：锁仓期间禁止加仓",IF(AQ20&gt;C20*D20,"违规：超过单笔风险上限",IF(SUM($AQ$2:$AQ$163)&gt;账户数据!$B$7,"违规：超过账户风险上限","通过")))))))))</f>
        <v>通过</v>
      </c>
    </row>
    <row r="21" ht="17" spans="1:44">
      <c r="A21" s="2">
        <v>20</v>
      </c>
      <c r="B21" s="13" t="s">
        <v>16384</v>
      </c>
      <c r="C21" s="10">
        <v>97929</v>
      </c>
      <c r="D21" s="6">
        <v>0.02</v>
      </c>
      <c r="E21" s="10">
        <v>22.05</v>
      </c>
      <c r="F21" s="8">
        <f>IF(OR(C21="",D21="",E21="",N21="",C21&lt;=0,D21&lt;=0,E21&lt;=N21),"",ROUNDDOWN((C21*D21)/(E21-N21)/100,0)*100)</f>
        <v>1200</v>
      </c>
      <c r="G21" s="8" t="str">
        <f ca="1"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COUNTIFS(持仓跟踪!$A$2:$A$497,"止损计划",持仓跟踪!$B$2:$B$497,A21,持仓跟踪!$AC$2:$AC$497,"计划有效")=0,"禁止开仓：请先填写止损计划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1" s="2">
        <v>1200</v>
      </c>
      <c r="I21" s="15">
        <v>45035</v>
      </c>
      <c r="J21" s="10">
        <v>25</v>
      </c>
      <c r="K21" s="5">
        <v>18.95</v>
      </c>
      <c r="L21" s="8">
        <v>1200</v>
      </c>
      <c r="M21" s="23">
        <v>45050</v>
      </c>
      <c r="N21" s="10">
        <v>20.5</v>
      </c>
      <c r="O21" s="10"/>
      <c r="P21" s="5" t="str">
        <f>IF(A21="","",IFERROR(LOOKUP(2,1/((持仓跟踪!$B$2:$B$497=A21)*(持仓跟踪!$X$2:$X$497="执行卖出")*(持仓跟踪!$AA$2:$AA$497&lt;&gt;"")),持仓跟踪!$AA$2:$AA$497),""))</f>
        <v/>
      </c>
      <c r="Q21" s="2"/>
      <c r="R21" s="2"/>
      <c r="S21" s="2"/>
      <c r="T21" s="2"/>
      <c r="U21" s="7">
        <f>IF(OR(AO21="",J21="",AO21&lt;=0),"",(J21-AO21)/AO21)</f>
        <v>0.133786848072562</v>
      </c>
      <c r="V21" s="7">
        <f>IF(OR(AO21="",N21="",AO21&lt;=0),"",(AO21-N21)/AO21)</f>
        <v>0.0702947845804989</v>
      </c>
      <c r="W21" s="24">
        <f>IF(OR(U21="",V21="",V21&lt;=0),"",U21/V21)</f>
        <v>1.90322580645161</v>
      </c>
      <c r="X21" s="5">
        <f>IF(OR(K21="",L21="",AP21=""),"",K21*L21-(E21*H21+IF(AND(AK21&lt;&gt;"",AL21&lt;&gt;""),AK21*AL21,0)+IF(AND(AM21&lt;&gt;"",AN21&lt;&gt;""),AM21*AN21,0))-IF(O21="",0,O21)-IF(P21="",0,P21))</f>
        <v>-3720</v>
      </c>
      <c r="Y21" s="7">
        <f>IF(OR(X21="",AP21=""),"",IF((E21*H21+IF(AND(AK21&lt;&gt;"",AL21&lt;&gt;""),AK21*AL21,0)+IF(AND(AM21&lt;&gt;"",AN21&lt;&gt;""),AM21*AN21,0))+IF(O21="",0,O21)&lt;=0,"",X21/((E21*H21+IF(AND(AK21&lt;&gt;"",AL21&lt;&gt;""),AK21*AL21,0)+IF(AND(AM21&lt;&gt;"",AN21&lt;&gt;""),AM21*AN21,0))+IF(O21="",0,O21))))</f>
        <v>-0.140589569160998</v>
      </c>
      <c r="Z21" s="7">
        <f>IF(OR(AE21="",多次统计数据!$B$8=""),"",AE21-多次统计数据!$B$8)</f>
        <v>-0.0967338232441399</v>
      </c>
      <c r="AA21" s="11">
        <f>IF(OR(I21="",M21="",M21&lt;I21),"",M21-I21)</f>
        <v>15</v>
      </c>
      <c r="AB21" s="7">
        <f>IF(OR(A21="",多次统计数据!$B$8="",多次统计数据!$B$6&lt;=0,多次统计数据!$B$6&gt;=1),"",1-POWER(1+多次统计数据!$B$8,-多次统计数据!$B$6/(1-多次统计数据!$B$6)))</f>
        <v>0.0315166534281621</v>
      </c>
      <c r="AC21" s="8" t="str">
        <f>IF(OR(AB21="",多次统计数据!$B$9=""),"",IF(多次统计数据!$B$9&lt;AB21,"低于上限","达到或超过上限"))</f>
        <v>低于上限</v>
      </c>
      <c r="AD21" s="2"/>
      <c r="AE21" s="7">
        <f>IF(OR(X21="",C21="",C21&lt;=0),"",X21/C21)</f>
        <v>-0.0379867046533713</v>
      </c>
      <c r="AG21" s="2"/>
      <c r="AH21" s="2"/>
      <c r="AI21" s="2"/>
      <c r="AJ21" s="8" t="str">
        <f>IF(OR(AG21="",AH21=""),"",IF(OR(AND(AG21="短期博反弹",OR(AH21="1～3个交易日",AH21="4～10个交易日")),AND(AG21="突破冲新高",OR(AH21="4～10个交易日",AH21="11～20个交易日")),AND(AG21="趋势波段",OR(AH21="11～20个交易日",AH21="21～60个交易日",AH21="60个交易日以上"))),"匹配","周期与交易预期不匹配，请重新确认"))</f>
        <v/>
      </c>
      <c r="AK21" s="10"/>
      <c r="AL21" s="12"/>
      <c r="AM21" s="10"/>
      <c r="AN21" s="12"/>
      <c r="AO21" s="5">
        <f>IF(OR(A21="",H21="",H21&lt;=0),"",(E21*H21+IF(AND(AK21&lt;&gt;"",AL21&lt;&gt;""),AK21*AL21,0)+IF(AND(AM21&lt;&gt;"",AN21&lt;&gt;""),AM21*AN21,0))/AP21)</f>
        <v>22.05</v>
      </c>
      <c r="AP21" s="11">
        <f>IF(OR(A21="",H21="",H21&lt;=0),"",H21+IF(AL21="",0,AL21)+IF(AN21="",0,AN21))</f>
        <v>1200</v>
      </c>
      <c r="AQ21" s="5">
        <f>IF(A21="","",IF(M21&lt;&gt;"",0,IF(OR(H21="",N21=""),"",MAX(E21-MAX(N21,IFERROR(SUMPRODUCT(MAX(((持仓跟踪!$A$2:$A$497="每日跟踪")*(持仓跟踪!$B$2:$B$497=A21))*持仓跟踪!$S$2:$S$497)),0)),0)*H21+IF(OR(AK21="",AL21=""),0,MAX(AK21-MAX(N21,IFERROR(SUMPRODUCT(MAX(((持仓跟踪!$A$2:$A$497="每日跟踪")*(持仓跟踪!$B$2:$B$497=A21))*持仓跟踪!$S$2:$S$497)),0)),0)*AL21)+IF(OR(AM21="",AN21=""),0,MAX(AM21-MAX(N21,IFERROR(SUMPRODUCT(MAX(((持仓跟踪!$A$2:$A$497="每日跟踪")*(持仓跟踪!$B$2:$B$497=A21))*持仓跟踪!$S$2:$S$497)),0)),0)*AN21))))</f>
        <v>0</v>
      </c>
      <c r="AR21" s="8" t="str">
        <f ca="1">IF(A21="","",IF(OR(E21="",H21=""),"违规：第一批价格或股数缺失",IF(OR(AND(AK21="",AL21&lt;&gt;""),AND(AK21&lt;&gt;"",AL21="")),"违规：第二批价格与股数须成对填写",IF(OR(AND(AM21="",AN21&lt;&gt;""),AND(AM21&lt;&gt;"",AN21="")),"违规：第三批价格与股数须成对填写",IF(AND(OR(AM21&lt;&gt;"",AN21&lt;&gt;""),OR(AK21="",AL21="")),"违规：必须先完成第二批",IF(OR(H21&lt;=0,H21&lt;&gt;INT(H21),MOD(H21,100)&lt;&gt;0,AND(AL21&lt;&gt;"",OR(AL21&lt;=0,AL21&lt;&gt;INT(AL21),MOD(AL21,100)&lt;&gt;0)),AND(AN21&lt;&gt;"",OR(AN21&lt;=0,AN21&lt;&gt;INT(AN21),MOD(AN21,100)&lt;&gt;0))),"违规：股数须为100股整数倍",IF(AND(OR(AL21&lt;&gt;"",AN21&lt;&gt;""),OR(_LockStatus="已锁仓",_LockStatus="解锁信息不完整")),"违规：锁仓期间禁止加仓",IF(AQ21&gt;C21*D21,"违规：超过单笔风险上限",IF(SUM($AQ$2:$AQ$163)&gt;账户数据!$B$7,"违规：超过账户风险上限","通过")))))))))</f>
        <v>通过</v>
      </c>
    </row>
    <row r="22" ht="17" spans="1:44">
      <c r="A22" s="2">
        <v>21</v>
      </c>
      <c r="B22" s="13" t="s">
        <v>16384</v>
      </c>
      <c r="C22" s="10">
        <v>94209</v>
      </c>
      <c r="D22" s="6">
        <v>0.02</v>
      </c>
      <c r="E22" s="10">
        <v>21.21</v>
      </c>
      <c r="F22" s="8">
        <f>IF(OR(C22="",D22="",E22="",N22="",C22&lt;=0,D22&lt;=0,E22&lt;=N22),"",ROUNDDOWN((C22*D22)/(E22-N22)/100,0)*100)</f>
        <v>2600</v>
      </c>
      <c r="G22" s="8" t="str">
        <f ca="1"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COUNTIFS(持仓跟踪!$A$2:$A$497,"止损计划",持仓跟踪!$B$2:$B$497,A22,持仓跟踪!$AC$2:$AC$497,"计划有效")=0,"禁止开仓：请先填写止损计划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2" s="2">
        <v>2600</v>
      </c>
      <c r="I22" s="15">
        <v>45139</v>
      </c>
      <c r="J22" s="10">
        <v>25</v>
      </c>
      <c r="K22" s="5">
        <v>19.9</v>
      </c>
      <c r="L22" s="8">
        <v>2600</v>
      </c>
      <c r="M22" s="23">
        <v>45147</v>
      </c>
      <c r="N22" s="10">
        <v>20.5</v>
      </c>
      <c r="O22" s="10"/>
      <c r="P22" s="5" t="str">
        <f>IF(A22="","",IFERROR(LOOKUP(2,1/((持仓跟踪!$B$2:$B$497=A22)*(持仓跟踪!$X$2:$X$497="执行卖出")*(持仓跟踪!$AA$2:$AA$497&lt;&gt;"")),持仓跟踪!$AA$2:$AA$497),""))</f>
        <v/>
      </c>
      <c r="Q22" s="2"/>
      <c r="R22" s="2"/>
      <c r="S22" s="2"/>
      <c r="T22" s="2"/>
      <c r="U22" s="7">
        <f>IF(OR(AO22="",J22="",AO22&lt;=0),"",(J22-AO22)/AO22)</f>
        <v>0.178689297501179</v>
      </c>
      <c r="V22" s="7">
        <f>IF(OR(AO22="",N22="",AO22&lt;=0),"",(AO22-N22)/AO22)</f>
        <v>0.0334747760490335</v>
      </c>
      <c r="W22" s="24">
        <f>IF(OR(U22="",V22="",V22&lt;=0),"",U22/V22)</f>
        <v>5.33802816901408</v>
      </c>
      <c r="X22" s="5">
        <f>IF(OR(K22="",L22="",AP22=""),"",K22*L22-(E22*H22+IF(AND(AK22&lt;&gt;"",AL22&lt;&gt;""),AK22*AL22,0)+IF(AND(AM22&lt;&gt;"",AN22&lt;&gt;""),AM22*AN22,0))-IF(O22="",0,O22)-IF(P22="",0,P22))</f>
        <v>-3406.00000000001</v>
      </c>
      <c r="Y22" s="7">
        <f>IF(OR(X22="",AP22=""),"",IF((E22*H22+IF(AND(AK22&lt;&gt;"",AL22&lt;&gt;""),AK22*AL22,0)+IF(AND(AM22&lt;&gt;"",AN22&lt;&gt;""),AM22*AN22,0))+IF(O22="",0,O22)&lt;=0,"",X22/((E22*H22+IF(AND(AK22&lt;&gt;"",AL22&lt;&gt;""),AK22*AL22,0)+IF(AND(AM22&lt;&gt;"",AN22&lt;&gt;""),AM22*AN22,0))+IF(O22="",0,O22))))</f>
        <v>-0.0617633191890619</v>
      </c>
      <c r="Z22" s="7">
        <f>IF(OR(AE22="",多次统计数据!$B$8=""),"",AE22-多次统计数据!$B$8)</f>
        <v>-0.0949007769461275</v>
      </c>
      <c r="AA22" s="11">
        <f>IF(OR(I22="",M22="",M22&lt;I22),"",M22-I22)</f>
        <v>8</v>
      </c>
      <c r="AB22" s="7">
        <f>IF(OR(A22="",多次统计数据!$B$8="",多次统计数据!$B$6&lt;=0,多次统计数据!$B$6&gt;=1),"",1-POWER(1+多次统计数据!$B$8,-多次统计数据!$B$6/(1-多次统计数据!$B$6)))</f>
        <v>0.0315166534281621</v>
      </c>
      <c r="AC22" s="8" t="str">
        <f>IF(OR(AB22="",多次统计数据!$B$9=""),"",IF(多次统计数据!$B$9&lt;AB22,"低于上限","达到或超过上限"))</f>
        <v>低于上限</v>
      </c>
      <c r="AD22" s="2"/>
      <c r="AE22" s="7">
        <f>IF(OR(X22="",C22="",C22&lt;=0),"",X22/C22)</f>
        <v>-0.0361536583553589</v>
      </c>
      <c r="AG22" s="2"/>
      <c r="AH22" s="2"/>
      <c r="AI22" s="2"/>
      <c r="AJ22" s="8" t="str">
        <f>IF(OR(AG22="",AH22=""),"",IF(OR(AND(AG22="短期博反弹",OR(AH22="1～3个交易日",AH22="4～10个交易日")),AND(AG22="突破冲新高",OR(AH22="4～10个交易日",AH22="11～20个交易日")),AND(AG22="趋势波段",OR(AH22="11～20个交易日",AH22="21～60个交易日",AH22="60个交易日以上"))),"匹配","周期与交易预期不匹配，请重新确认"))</f>
        <v/>
      </c>
      <c r="AK22" s="10"/>
      <c r="AL22" s="12"/>
      <c r="AM22" s="10"/>
      <c r="AN22" s="12"/>
      <c r="AO22" s="5">
        <f>IF(OR(A22="",H22="",H22&lt;=0),"",(E22*H22+IF(AND(AK22&lt;&gt;"",AL22&lt;&gt;""),AK22*AL22,0)+IF(AND(AM22&lt;&gt;"",AN22&lt;&gt;""),AM22*AN22,0))/AP22)</f>
        <v>21.21</v>
      </c>
      <c r="AP22" s="11">
        <f>IF(OR(A22="",H22="",H22&lt;=0),"",H22+IF(AL22="",0,AL22)+IF(AN22="",0,AN22))</f>
        <v>2600</v>
      </c>
      <c r="AQ22" s="5">
        <f>IF(A22="","",IF(M22&lt;&gt;"",0,IF(OR(H22="",N22=""),"",MAX(E22-MAX(N22,IFERROR(SUMPRODUCT(MAX(((持仓跟踪!$A$2:$A$497="每日跟踪")*(持仓跟踪!$B$2:$B$497=A22))*持仓跟踪!$S$2:$S$497)),0)),0)*H22+IF(OR(AK22="",AL22=""),0,MAX(AK22-MAX(N22,IFERROR(SUMPRODUCT(MAX(((持仓跟踪!$A$2:$A$497="每日跟踪")*(持仓跟踪!$B$2:$B$497=A22))*持仓跟踪!$S$2:$S$497)),0)),0)*AL22)+IF(OR(AM22="",AN22=""),0,MAX(AM22-MAX(N22,IFERROR(SUMPRODUCT(MAX(((持仓跟踪!$A$2:$A$497="每日跟踪")*(持仓跟踪!$B$2:$B$497=A22))*持仓跟踪!$S$2:$S$497)),0)),0)*AN22))))</f>
        <v>0</v>
      </c>
      <c r="AR22" s="8" t="str">
        <f ca="1">IF(A22="","",IF(OR(E22="",H22=""),"违规：第一批价格或股数缺失",IF(OR(AND(AK22="",AL22&lt;&gt;""),AND(AK22&lt;&gt;"",AL22="")),"违规：第二批价格与股数须成对填写",IF(OR(AND(AM22="",AN22&lt;&gt;""),AND(AM22&lt;&gt;"",AN22="")),"违规：第三批价格与股数须成对填写",IF(AND(OR(AM22&lt;&gt;"",AN22&lt;&gt;""),OR(AK22="",AL22="")),"违规：必须先完成第二批",IF(OR(H22&lt;=0,H22&lt;&gt;INT(H22),MOD(H22,100)&lt;&gt;0,AND(AL22&lt;&gt;"",OR(AL22&lt;=0,AL22&lt;&gt;INT(AL22),MOD(AL22,100)&lt;&gt;0)),AND(AN22&lt;&gt;"",OR(AN22&lt;=0,AN22&lt;&gt;INT(AN22),MOD(AN22,100)&lt;&gt;0))),"违规：股数须为100股整数倍",IF(AND(OR(AL22&lt;&gt;"",AN22&lt;&gt;""),OR(_LockStatus="已锁仓",_LockStatus="解锁信息不完整")),"违规：锁仓期间禁止加仓",IF(AQ22&gt;C22*D22,"违规：超过单笔风险上限",IF(SUM($AQ$2:$AQ$163)&gt;账户数据!$B$7,"违规：超过账户风险上限","通过")))))))))</f>
        <v>通过</v>
      </c>
    </row>
    <row r="23" ht="17" spans="1:44">
      <c r="A23" s="2">
        <v>22</v>
      </c>
      <c r="B23" s="13" t="s">
        <v>16384</v>
      </c>
      <c r="C23" s="10">
        <v>90803</v>
      </c>
      <c r="D23" s="6">
        <v>0.02</v>
      </c>
      <c r="E23" s="10">
        <v>19.97</v>
      </c>
      <c r="F23" s="8">
        <f>IF(OR(C23="",D23="",E23="",N23="",C23&lt;=0,D23&lt;=0,E23&lt;=N23),"",ROUNDDOWN((C23*D23)/(E23-N23)/100,0)*100)</f>
        <v>3800</v>
      </c>
      <c r="G23" s="8" t="str">
        <f ca="1"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COUNTIFS(持仓跟踪!$A$2:$A$497,"止损计划",持仓跟踪!$B$2:$B$497,A23,持仓跟踪!$AC$2:$AC$497,"计划有效")=0,"禁止开仓：请先填写止损计划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3" s="2">
        <v>3800</v>
      </c>
      <c r="I23" s="15">
        <v>45295</v>
      </c>
      <c r="J23" s="10">
        <v>22</v>
      </c>
      <c r="K23" s="5">
        <v>19.05</v>
      </c>
      <c r="L23" s="8">
        <v>3800</v>
      </c>
      <c r="M23" s="23">
        <v>45296</v>
      </c>
      <c r="N23" s="10">
        <v>19.5</v>
      </c>
      <c r="O23" s="10"/>
      <c r="P23" s="5" t="str">
        <f>IF(A23="","",IFERROR(LOOKUP(2,1/((持仓跟踪!$B$2:$B$497=A23)*(持仓跟踪!$X$2:$X$497="执行卖出")*(持仓跟踪!$AA$2:$AA$497&lt;&gt;"")),持仓跟踪!$AA$2:$AA$497),""))</f>
        <v/>
      </c>
      <c r="Q23" s="2"/>
      <c r="R23" s="2"/>
      <c r="S23" s="2"/>
      <c r="T23" s="2"/>
      <c r="U23" s="7">
        <f>IF(OR(AO23="",J23="",AO23&lt;=0),"",(J23-AO23)/AO23)</f>
        <v>0.101652478718077</v>
      </c>
      <c r="V23" s="7">
        <f>IF(OR(AO23="",N23="",AO23&lt;=0),"",(AO23-N23)/AO23)</f>
        <v>0.0235353029544316</v>
      </c>
      <c r="W23" s="24">
        <f>IF(OR(U23="",V23="",V23&lt;=0),"",U23/V23)</f>
        <v>4.31914893617023</v>
      </c>
      <c r="X23" s="5">
        <f>IF(OR(K23="",L23="",AP23=""),"",K23*L23-(E23*H23+IF(AND(AK23&lt;&gt;"",AL23&lt;&gt;""),AK23*AL23,0)+IF(AND(AM23&lt;&gt;"",AN23&lt;&gt;""),AM23*AN23,0))-IF(O23="",0,O23)-IF(P23="",0,P23))</f>
        <v>-3496</v>
      </c>
      <c r="Y23" s="7">
        <f>IF(OR(X23="",AP23=""),"",IF((E23*H23+IF(AND(AK23&lt;&gt;"",AL23&lt;&gt;""),AK23*AL23,0)+IF(AND(AM23&lt;&gt;"",AN23&lt;&gt;""),AM23*AN23,0))+IF(O23="",0,O23)&lt;=0,"",X23/((E23*H23+IF(AND(AK23&lt;&gt;"",AL23&lt;&gt;""),AK23*AL23,0)+IF(AND(AM23&lt;&gt;"",AN23&lt;&gt;""),AM23*AN23,0))+IF(O23="",0,O23))))</f>
        <v>-0.0460691036554832</v>
      </c>
      <c r="Z23" s="7">
        <f>IF(OR(AE23="",多次统计数据!$B$8=""),"",AE23-多次统计数据!$B$8)</f>
        <v>-0.0972480491767624</v>
      </c>
      <c r="AA23" s="11">
        <f>IF(OR(I23="",M23="",M23&lt;I23),"",M23-I23)</f>
        <v>1</v>
      </c>
      <c r="AB23" s="7">
        <f>IF(OR(A23="",多次统计数据!$B$8="",多次统计数据!$B$6&lt;=0,多次统计数据!$B$6&gt;=1),"",1-POWER(1+多次统计数据!$B$8,-多次统计数据!$B$6/(1-多次统计数据!$B$6)))</f>
        <v>0.0315166534281621</v>
      </c>
      <c r="AC23" s="8" t="str">
        <f>IF(OR(AB23="",多次统计数据!$B$9=""),"",IF(多次统计数据!$B$9&lt;AB23,"低于上限","达到或超过上限"))</f>
        <v>低于上限</v>
      </c>
      <c r="AD23" s="2"/>
      <c r="AE23" s="7">
        <f>IF(OR(X23="",C23="",C23&lt;=0),"",X23/C23)</f>
        <v>-0.0385009305859939</v>
      </c>
      <c r="AG23" s="2"/>
      <c r="AH23" s="2"/>
      <c r="AI23" s="2"/>
      <c r="AJ23" s="8" t="str">
        <f>IF(OR(AG23="",AH23=""),"",IF(OR(AND(AG23="短期博反弹",OR(AH23="1～3个交易日",AH23="4～10个交易日")),AND(AG23="突破冲新高",OR(AH23="4～10个交易日",AH23="11～20个交易日")),AND(AG23="趋势波段",OR(AH23="11～20个交易日",AH23="21～60个交易日",AH23="60个交易日以上"))),"匹配","周期与交易预期不匹配，请重新确认"))</f>
        <v/>
      </c>
      <c r="AK23" s="10"/>
      <c r="AL23" s="12"/>
      <c r="AM23" s="10"/>
      <c r="AN23" s="12"/>
      <c r="AO23" s="5">
        <f>IF(OR(A23="",H23="",H23&lt;=0),"",(E23*H23+IF(AND(AK23&lt;&gt;"",AL23&lt;&gt;""),AK23*AL23,0)+IF(AND(AM23&lt;&gt;"",AN23&lt;&gt;""),AM23*AN23,0))/AP23)</f>
        <v>19.97</v>
      </c>
      <c r="AP23" s="11">
        <f>IF(OR(A23="",H23="",H23&lt;=0),"",H23+IF(AL23="",0,AL23)+IF(AN23="",0,AN23))</f>
        <v>3800</v>
      </c>
      <c r="AQ23" s="5">
        <f>IF(A23="","",IF(M23&lt;&gt;"",0,IF(OR(H23="",N23=""),"",MAX(E23-MAX(N23,IFERROR(SUMPRODUCT(MAX(((持仓跟踪!$A$2:$A$497="每日跟踪")*(持仓跟踪!$B$2:$B$497=A23))*持仓跟踪!$S$2:$S$497)),0)),0)*H23+IF(OR(AK23="",AL23=""),0,MAX(AK23-MAX(N23,IFERROR(SUMPRODUCT(MAX(((持仓跟踪!$A$2:$A$497="每日跟踪")*(持仓跟踪!$B$2:$B$497=A23))*持仓跟踪!$S$2:$S$497)),0)),0)*AL23)+IF(OR(AM23="",AN23=""),0,MAX(AM23-MAX(N23,IFERROR(SUMPRODUCT(MAX(((持仓跟踪!$A$2:$A$497="每日跟踪")*(持仓跟踪!$B$2:$B$497=A23))*持仓跟踪!$S$2:$S$497)),0)),0)*AN23))))</f>
        <v>0</v>
      </c>
      <c r="AR23" s="8" t="str">
        <f ca="1">IF(A23="","",IF(OR(E23="",H23=""),"违规：第一批价格或股数缺失",IF(OR(AND(AK23="",AL23&lt;&gt;""),AND(AK23&lt;&gt;"",AL23="")),"违规：第二批价格与股数须成对填写",IF(OR(AND(AM23="",AN23&lt;&gt;""),AND(AM23&lt;&gt;"",AN23="")),"违规：第三批价格与股数须成对填写",IF(AND(OR(AM23&lt;&gt;"",AN23&lt;&gt;""),OR(AK23="",AL23="")),"违规：必须先完成第二批",IF(OR(H23&lt;=0,H23&lt;&gt;INT(H23),MOD(H23,100)&lt;&gt;0,AND(AL23&lt;&gt;"",OR(AL23&lt;=0,AL23&lt;&gt;INT(AL23),MOD(AL23,100)&lt;&gt;0)),AND(AN23&lt;&gt;"",OR(AN23&lt;=0,AN23&lt;&gt;INT(AN23),MOD(AN23,100)&lt;&gt;0))),"违规：股数须为100股整数倍",IF(AND(OR(AL23&lt;&gt;"",AN23&lt;&gt;""),OR(_LockStatus="已锁仓",_LockStatus="解锁信息不完整")),"违规：锁仓期间禁止加仓",IF(AQ23&gt;C23*D23,"违规：超过单笔风险上限",IF(SUM($AQ$2:$AQ$163)&gt;账户数据!$B$7,"违规：超过账户风险上限","通过")))))))))</f>
        <v>通过</v>
      </c>
    </row>
    <row r="24" ht="17" spans="1:44">
      <c r="A24" s="2">
        <v>23</v>
      </c>
      <c r="B24" s="13" t="s">
        <v>16384</v>
      </c>
      <c r="C24" s="10">
        <v>87307</v>
      </c>
      <c r="D24" s="6">
        <v>0.02</v>
      </c>
      <c r="E24" s="10">
        <v>26.84</v>
      </c>
      <c r="F24" s="8">
        <f>IF(OR(C24="",D24="",E24="",N24="",C24&lt;=0,D24&lt;=0,E24&lt;=N24),"",ROUNDDOWN((C24*D24)/(E24-N24)/100,0)*100)</f>
        <v>1600</v>
      </c>
      <c r="G24" s="8" t="str">
        <f ca="1"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COUNTIFS(持仓跟踪!$A$2:$A$497,"止损计划",持仓跟踪!$B$2:$B$497,A24,持仓跟踪!$AC$2:$AC$497,"计划有效")=0,"禁止开仓：请先填写止损计划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4" s="2">
        <v>1600</v>
      </c>
      <c r="I24" s="15">
        <v>45352</v>
      </c>
      <c r="J24" s="10">
        <v>29.5</v>
      </c>
      <c r="K24" s="5">
        <v>26.82</v>
      </c>
      <c r="L24" s="8">
        <v>1600</v>
      </c>
      <c r="M24" s="23">
        <v>45356</v>
      </c>
      <c r="N24" s="10">
        <v>25.75</v>
      </c>
      <c r="O24" s="10"/>
      <c r="P24" s="5" t="str">
        <f>IF(A24="","",IFERROR(LOOKUP(2,1/((持仓跟踪!$B$2:$B$497=A24)*(持仓跟踪!$X$2:$X$497="执行卖出")*(持仓跟踪!$AA$2:$AA$497&lt;&gt;"")),持仓跟踪!$AA$2:$AA$497),""))</f>
        <v/>
      </c>
      <c r="Q24" s="2"/>
      <c r="R24" s="2"/>
      <c r="S24" s="2"/>
      <c r="T24" s="2"/>
      <c r="U24" s="7">
        <f>IF(OR(AO24="",J24="",AO24&lt;=0),"",(J24-AO24)/AO24)</f>
        <v>0.0991058122205663</v>
      </c>
      <c r="V24" s="7">
        <f>IF(OR(AO24="",N24="",AO24&lt;=0),"",(AO24-N24)/AO24)</f>
        <v>0.0406110283159463</v>
      </c>
      <c r="W24" s="24">
        <f>IF(OR(U24="",V24="",V24&lt;=0),"",U24/V24)</f>
        <v>2.44036697247706</v>
      </c>
      <c r="X24" s="5">
        <f>IF(OR(K24="",L24="",AP24=""),"",K24*L24-(E24*H24+IF(AND(AK24&lt;&gt;"",AL24&lt;&gt;""),AK24*AL24,0)+IF(AND(AM24&lt;&gt;"",AN24&lt;&gt;""),AM24*AN24,0))-IF(O24="",0,O24)-IF(P24="",0,P24))</f>
        <v>-32</v>
      </c>
      <c r="Y24" s="7">
        <f>IF(OR(X24="",AP24=""),"",IF((E24*H24+IF(AND(AK24&lt;&gt;"",AL24&lt;&gt;""),AK24*AL24,0)+IF(AND(AM24&lt;&gt;"",AN24&lt;&gt;""),AM24*AN24,0))+IF(O24="",0,O24)&lt;=0,"",X24/((E24*H24+IF(AND(AK24&lt;&gt;"",AL24&lt;&gt;""),AK24*AL24,0)+IF(AND(AM24&lt;&gt;"",AN24&lt;&gt;""),AM24*AN24,0))+IF(O24="",0,O24))))</f>
        <v>-0.000745156482861401</v>
      </c>
      <c r="Z24" s="7">
        <f>IF(OR(AE24="",多次统计数据!$B$8=""),"",AE24-多次统计数据!$B$8)</f>
        <v>-0.0591136413209047</v>
      </c>
      <c r="AA24" s="11">
        <f>IF(OR(I24="",M24="",M24&lt;I24),"",M24-I24)</f>
        <v>4</v>
      </c>
      <c r="AB24" s="7">
        <f>IF(OR(A24="",多次统计数据!$B$8="",多次统计数据!$B$6&lt;=0,多次统计数据!$B$6&gt;=1),"",1-POWER(1+多次统计数据!$B$8,-多次统计数据!$B$6/(1-多次统计数据!$B$6)))</f>
        <v>0.0315166534281621</v>
      </c>
      <c r="AC24" s="8" t="str">
        <f>IF(OR(AB24="",多次统计数据!$B$9=""),"",IF(多次统计数据!$B$9&lt;AB24,"低于上限","达到或超过上限"))</f>
        <v>低于上限</v>
      </c>
      <c r="AD24" s="2"/>
      <c r="AE24" s="7">
        <f>IF(OR(X24="",C24="",C24&lt;=0),"",X24/C24)</f>
        <v>-0.000366522730136186</v>
      </c>
      <c r="AG24" s="2"/>
      <c r="AH24" s="2"/>
      <c r="AI24" s="2"/>
      <c r="AJ24" s="8" t="str">
        <f>IF(OR(AG24="",AH24=""),"",IF(OR(AND(AG24="短期博反弹",OR(AH24="1～3个交易日",AH24="4～10个交易日")),AND(AG24="突破冲新高",OR(AH24="4～10个交易日",AH24="11～20个交易日")),AND(AG24="趋势波段",OR(AH24="11～20个交易日",AH24="21～60个交易日",AH24="60个交易日以上"))),"匹配","周期与交易预期不匹配，请重新确认"))</f>
        <v/>
      </c>
      <c r="AK24" s="10"/>
      <c r="AL24" s="12"/>
      <c r="AM24" s="10"/>
      <c r="AN24" s="12"/>
      <c r="AO24" s="5">
        <f>IF(OR(A24="",H24="",H24&lt;=0),"",(E24*H24+IF(AND(AK24&lt;&gt;"",AL24&lt;&gt;""),AK24*AL24,0)+IF(AND(AM24&lt;&gt;"",AN24&lt;&gt;""),AM24*AN24,0))/AP24)</f>
        <v>26.84</v>
      </c>
      <c r="AP24" s="11">
        <f>IF(OR(A24="",H24="",H24&lt;=0),"",H24+IF(AL24="",0,AL24)+IF(AN24="",0,AN24))</f>
        <v>1600</v>
      </c>
      <c r="AQ24" s="5">
        <f>IF(A24="","",IF(M24&lt;&gt;"",0,IF(OR(H24="",N24=""),"",MAX(E24-MAX(N24,IFERROR(SUMPRODUCT(MAX(((持仓跟踪!$A$2:$A$497="每日跟踪")*(持仓跟踪!$B$2:$B$497=A24))*持仓跟踪!$S$2:$S$497)),0)),0)*H24+IF(OR(AK24="",AL24=""),0,MAX(AK24-MAX(N24,IFERROR(SUMPRODUCT(MAX(((持仓跟踪!$A$2:$A$497="每日跟踪")*(持仓跟踪!$B$2:$B$497=A24))*持仓跟踪!$S$2:$S$497)),0)),0)*AL24)+IF(OR(AM24="",AN24=""),0,MAX(AM24-MAX(N24,IFERROR(SUMPRODUCT(MAX(((持仓跟踪!$A$2:$A$497="每日跟踪")*(持仓跟踪!$B$2:$B$497=A24))*持仓跟踪!$S$2:$S$497)),0)),0)*AN24))))</f>
        <v>0</v>
      </c>
      <c r="AR24" s="8" t="str">
        <f ca="1">IF(A24="","",IF(OR(E24="",H24=""),"违规：第一批价格或股数缺失",IF(OR(AND(AK24="",AL24&lt;&gt;""),AND(AK24&lt;&gt;"",AL24="")),"违规：第二批价格与股数须成对填写",IF(OR(AND(AM24="",AN24&lt;&gt;""),AND(AM24&lt;&gt;"",AN24="")),"违规：第三批价格与股数须成对填写",IF(AND(OR(AM24&lt;&gt;"",AN24&lt;&gt;""),OR(AK24="",AL24="")),"违规：必须先完成第二批",IF(OR(H24&lt;=0,H24&lt;&gt;INT(H24),MOD(H24,100)&lt;&gt;0,AND(AL24&lt;&gt;"",OR(AL24&lt;=0,AL24&lt;&gt;INT(AL24),MOD(AL24,100)&lt;&gt;0)),AND(AN24&lt;&gt;"",OR(AN24&lt;=0,AN24&lt;&gt;INT(AN24),MOD(AN24,100)&lt;&gt;0))),"违规：股数须为100股整数倍",IF(AND(OR(AL24&lt;&gt;"",AN24&lt;&gt;""),OR(_LockStatus="已锁仓",_LockStatus="解锁信息不完整")),"违规：锁仓期间禁止加仓",IF(AQ24&gt;C24*D24,"违规：超过单笔风险上限",IF(SUM($AQ$2:$AQ$163)&gt;账户数据!$B$7,"违规：超过账户风险上限","通过")))))))))</f>
        <v>通过</v>
      </c>
    </row>
    <row r="25" ht="17" spans="1:44">
      <c r="A25" s="2">
        <v>24</v>
      </c>
      <c r="B25" s="13" t="s">
        <v>16384</v>
      </c>
      <c r="C25" s="10">
        <v>87275</v>
      </c>
      <c r="D25" s="6">
        <v>0.02</v>
      </c>
      <c r="E25" s="10">
        <v>30.34</v>
      </c>
      <c r="F25" s="8">
        <f>IF(OR(C25="",D25="",E25="",N25="",C25&lt;=0,D25&lt;=0,E25&lt;=N25),"",ROUNDDOWN((C25*D25)/(E25-N25)/100,0)*100)</f>
        <v>2000</v>
      </c>
      <c r="G25" s="8" t="str">
        <f ca="1"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COUNTIFS(持仓跟踪!$A$2:$A$497,"止损计划",持仓跟踪!$B$2:$B$497,A25,持仓跟踪!$AC$2:$AC$497,"计划有效")=0,"禁止开仓：请先填写止损计划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5" s="2">
        <v>2000</v>
      </c>
      <c r="I25" s="15">
        <v>45373</v>
      </c>
      <c r="J25" s="10">
        <v>33</v>
      </c>
      <c r="K25" s="5">
        <v>28.72</v>
      </c>
      <c r="L25" s="8">
        <v>2000</v>
      </c>
      <c r="M25" s="23">
        <v>45376</v>
      </c>
      <c r="N25" s="10">
        <v>29.5</v>
      </c>
      <c r="O25" s="10"/>
      <c r="P25" s="5" t="str">
        <f>IF(A25="","",IFERROR(LOOKUP(2,1/((持仓跟踪!$B$2:$B$497=A25)*(持仓跟踪!$X$2:$X$497="执行卖出")*(持仓跟踪!$AA$2:$AA$497&lt;&gt;"")),持仓跟踪!$AA$2:$AA$497),""))</f>
        <v/>
      </c>
      <c r="Q25" s="2"/>
      <c r="R25" s="2"/>
      <c r="S25" s="2"/>
      <c r="T25" s="2"/>
      <c r="U25" s="7">
        <f>IF(OR(AO25="",J25="",AO25&lt;=0),"",(J25-AO25)/AO25)</f>
        <v>0.0876730388925511</v>
      </c>
      <c r="V25" s="7">
        <f>IF(OR(AO25="",N25="",AO25&lt;=0),"",(AO25-N25)/AO25)</f>
        <v>0.027686222808174</v>
      </c>
      <c r="W25" s="24">
        <f>IF(OR(U25="",V25="",V25&lt;=0),"",U25/V25)</f>
        <v>3.16666666666667</v>
      </c>
      <c r="X25" s="5">
        <f>IF(OR(K25="",L25="",AP25=""),"",K25*L25-(E25*H25+IF(AND(AK25&lt;&gt;"",AL25&lt;&gt;""),AK25*AL25,0)+IF(AND(AM25&lt;&gt;"",AN25&lt;&gt;""),AM25*AN25,0))-IF(O25="",0,O25)-IF(P25="",0,P25))</f>
        <v>-3240</v>
      </c>
      <c r="Y25" s="7">
        <f>IF(OR(X25="",AP25=""),"",IF((E25*H25+IF(AND(AK25&lt;&gt;"",AL25&lt;&gt;""),AK25*AL25,0)+IF(AND(AM25&lt;&gt;"",AN25&lt;&gt;""),AM25*AN25,0))+IF(O25="",0,O25)&lt;=0,"",X25/((E25*H25+IF(AND(AK25&lt;&gt;"",AL25&lt;&gt;""),AK25*AL25,0)+IF(AND(AM25&lt;&gt;"",AN25&lt;&gt;""),AM25*AN25,0))+IF(O25="",0,O25))))</f>
        <v>-0.0533948582729071</v>
      </c>
      <c r="Z25" s="7">
        <f>IF(OR(AE25="",多次统计数据!$B$8=""),"",AE25-多次统计数据!$B$8)</f>
        <v>-0.0958711518190699</v>
      </c>
      <c r="AA25" s="11">
        <f>IF(OR(I25="",M25="",M25&lt;I25),"",M25-I25)</f>
        <v>3</v>
      </c>
      <c r="AB25" s="7">
        <f>IF(OR(A25="",多次统计数据!$B$8="",多次统计数据!$B$6&lt;=0,多次统计数据!$B$6&gt;=1),"",1-POWER(1+多次统计数据!$B$8,-多次统计数据!$B$6/(1-多次统计数据!$B$6)))</f>
        <v>0.0315166534281621</v>
      </c>
      <c r="AC25" s="8" t="str">
        <f>IF(OR(AB25="",多次统计数据!$B$9=""),"",IF(多次统计数据!$B$9&lt;AB25,"低于上限","达到或超过上限"))</f>
        <v>低于上限</v>
      </c>
      <c r="AD25" s="2"/>
      <c r="AE25" s="7">
        <f>IF(OR(X25="",C25="",C25&lt;=0),"",X25/C25)</f>
        <v>-0.0371240332283013</v>
      </c>
      <c r="AG25" s="2"/>
      <c r="AH25" s="2"/>
      <c r="AI25" s="2"/>
      <c r="AJ25" s="8" t="str">
        <f>IF(OR(AG25="",AH25=""),"",IF(OR(AND(AG25="短期博反弹",OR(AH25="1～3个交易日",AH25="4～10个交易日")),AND(AG25="突破冲新高",OR(AH25="4～10个交易日",AH25="11～20个交易日")),AND(AG25="趋势波段",OR(AH25="11～20个交易日",AH25="21～60个交易日",AH25="60个交易日以上"))),"匹配","周期与交易预期不匹配，请重新确认"))</f>
        <v/>
      </c>
      <c r="AK25" s="10"/>
      <c r="AL25" s="12"/>
      <c r="AM25" s="10"/>
      <c r="AN25" s="12"/>
      <c r="AO25" s="5">
        <f>IF(OR(A25="",H25="",H25&lt;=0),"",(E25*H25+IF(AND(AK25&lt;&gt;"",AL25&lt;&gt;""),AK25*AL25,0)+IF(AND(AM25&lt;&gt;"",AN25&lt;&gt;""),AM25*AN25,0))/AP25)</f>
        <v>30.34</v>
      </c>
      <c r="AP25" s="11">
        <f>IF(OR(A25="",H25="",H25&lt;=0),"",H25+IF(AL25="",0,AL25)+IF(AN25="",0,AN25))</f>
        <v>2000</v>
      </c>
      <c r="AQ25" s="5">
        <f>IF(A25="","",IF(M25&lt;&gt;"",0,IF(OR(H25="",N25=""),"",MAX(E25-MAX(N25,IFERROR(SUMPRODUCT(MAX(((持仓跟踪!$A$2:$A$497="每日跟踪")*(持仓跟踪!$B$2:$B$497=A25))*持仓跟踪!$S$2:$S$497)),0)),0)*H25+IF(OR(AK25="",AL25=""),0,MAX(AK25-MAX(N25,IFERROR(SUMPRODUCT(MAX(((持仓跟踪!$A$2:$A$497="每日跟踪")*(持仓跟踪!$B$2:$B$497=A25))*持仓跟踪!$S$2:$S$497)),0)),0)*AL25)+IF(OR(AM25="",AN25=""),0,MAX(AM25-MAX(N25,IFERROR(SUMPRODUCT(MAX(((持仓跟踪!$A$2:$A$497="每日跟踪")*(持仓跟踪!$B$2:$B$497=A25))*持仓跟踪!$S$2:$S$497)),0)),0)*AN25))))</f>
        <v>0</v>
      </c>
      <c r="AR25" s="8" t="str">
        <f ca="1">IF(A25="","",IF(OR(E25="",H25=""),"违规：第一批价格或股数缺失",IF(OR(AND(AK25="",AL25&lt;&gt;""),AND(AK25&lt;&gt;"",AL25="")),"违规：第二批价格与股数须成对填写",IF(OR(AND(AM25="",AN25&lt;&gt;""),AND(AM25&lt;&gt;"",AN25="")),"违规：第三批价格与股数须成对填写",IF(AND(OR(AM25&lt;&gt;"",AN25&lt;&gt;""),OR(AK25="",AL25="")),"违规：必须先完成第二批",IF(OR(H25&lt;=0,H25&lt;&gt;INT(H25),MOD(H25,100)&lt;&gt;0,AND(AL25&lt;&gt;"",OR(AL25&lt;=0,AL25&lt;&gt;INT(AL25),MOD(AL25,100)&lt;&gt;0)),AND(AN25&lt;&gt;"",OR(AN25&lt;=0,AN25&lt;&gt;INT(AN25),MOD(AN25,100)&lt;&gt;0))),"违规：股数须为100股整数倍",IF(AND(OR(AL25&lt;&gt;"",AN25&lt;&gt;""),OR(_LockStatus="已锁仓",_LockStatus="解锁信息不完整")),"违规：锁仓期间禁止加仓",IF(AQ25&gt;C25*D25,"违规：超过单笔风险上限",IF(SUM($AQ$2:$AQ$163)&gt;账户数据!$B$7,"违规：超过账户风险上限","通过")))))))))</f>
        <v>通过</v>
      </c>
    </row>
    <row r="26" ht="17" spans="1:44">
      <c r="A26" s="2">
        <v>25</v>
      </c>
      <c r="B26" s="13" t="s">
        <v>16384</v>
      </c>
      <c r="C26" s="10">
        <v>84035</v>
      </c>
      <c r="D26" s="6">
        <v>0.02</v>
      </c>
      <c r="E26" s="10">
        <v>30.3</v>
      </c>
      <c r="F26" s="8">
        <f>IF(OR(C26="",D26="",E26="",N26="",C26&lt;=0,D26&lt;=0,E26&lt;=N26),"",ROUNDDOWN((C26*D26)/(E26-N26)/100,0)*100)</f>
        <v>2100</v>
      </c>
      <c r="G26" s="8" t="str">
        <f ca="1"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COUNTIFS(持仓跟踪!$A$2:$A$497,"止损计划",持仓跟踪!$B$2:$B$497,A26,持仓跟踪!$AC$2:$AC$497,"计划有效")=0,"禁止开仓：请先填写止损计划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6" s="2">
        <v>2100</v>
      </c>
      <c r="I26" s="15">
        <v>45383</v>
      </c>
      <c r="J26" s="10">
        <v>33</v>
      </c>
      <c r="K26" s="5">
        <v>29.24</v>
      </c>
      <c r="L26" s="8">
        <v>2100</v>
      </c>
      <c r="M26" s="23">
        <v>45384</v>
      </c>
      <c r="N26" s="10">
        <v>29.5</v>
      </c>
      <c r="O26" s="10"/>
      <c r="P26" s="5" t="str">
        <f>IF(A26="","",IFERROR(LOOKUP(2,1/((持仓跟踪!$B$2:$B$497=A26)*(持仓跟踪!$X$2:$X$497="执行卖出")*(持仓跟踪!$AA$2:$AA$497&lt;&gt;"")),持仓跟踪!$AA$2:$AA$497),""))</f>
        <v/>
      </c>
      <c r="Q26" s="2"/>
      <c r="R26" s="2"/>
      <c r="S26" s="2"/>
      <c r="T26" s="2"/>
      <c r="U26" s="7">
        <f>IF(OR(AO26="",J26="",AO26&lt;=0),"",(J26-AO26)/AO26)</f>
        <v>0.0891089108910891</v>
      </c>
      <c r="V26" s="7">
        <f>IF(OR(AO26="",N26="",AO26&lt;=0),"",(AO26-N26)/AO26)</f>
        <v>0.0264026402640264</v>
      </c>
      <c r="W26" s="24">
        <f>IF(OR(U26="",V26="",V26&lt;=0),"",U26/V26)</f>
        <v>3.375</v>
      </c>
      <c r="X26" s="5">
        <f>IF(OR(K26="",L26="",AP26=""),"",K26*L26-(E26*H26+IF(AND(AK26&lt;&gt;"",AL26&lt;&gt;""),AK26*AL26,0)+IF(AND(AM26&lt;&gt;"",AN26&lt;&gt;""),AM26*AN26,0))-IF(O26="",0,O26)-IF(P26="",0,P26))</f>
        <v>-2226</v>
      </c>
      <c r="Y26" s="7">
        <f>IF(OR(X26="",AP26=""),"",IF((E26*H26+IF(AND(AK26&lt;&gt;"",AL26&lt;&gt;""),AK26*AL26,0)+IF(AND(AM26&lt;&gt;"",AN26&lt;&gt;""),AM26*AN26,0))+IF(O26="",0,O26)&lt;=0,"",X26/((E26*H26+IF(AND(AK26&lt;&gt;"",AL26&lt;&gt;""),AK26*AL26,0)+IF(AND(AM26&lt;&gt;"",AN26&lt;&gt;""),AM26*AN26,0))+IF(O26="",0,O26))))</f>
        <v>-0.034983498349835</v>
      </c>
      <c r="Z26" s="7">
        <f>IF(OR(AE26="",多次统计数据!$B$8=""),"",AE26-多次统计数据!$B$8)</f>
        <v>-0.0852360815228802</v>
      </c>
      <c r="AA26" s="11">
        <f>IF(OR(I26="",M26="",M26&lt;I26),"",M26-I26)</f>
        <v>1</v>
      </c>
      <c r="AB26" s="7">
        <f>IF(OR(A26="",多次统计数据!$B$8="",多次统计数据!$B$6&lt;=0,多次统计数据!$B$6&gt;=1),"",1-POWER(1+多次统计数据!$B$8,-多次统计数据!$B$6/(1-多次统计数据!$B$6)))</f>
        <v>0.0315166534281621</v>
      </c>
      <c r="AC26" s="8" t="str">
        <f>IF(OR(AB26="",多次统计数据!$B$9=""),"",IF(多次统计数据!$B$9&lt;AB26,"低于上限","达到或超过上限"))</f>
        <v>低于上限</v>
      </c>
      <c r="AD26" s="2"/>
      <c r="AE26" s="7">
        <f>IF(OR(X26="",C26="",C26&lt;=0),"",X26/C26)</f>
        <v>-0.0264889629321116</v>
      </c>
      <c r="AG26" s="2"/>
      <c r="AH26" s="2"/>
      <c r="AI26" s="2"/>
      <c r="AJ26" s="8" t="str">
        <f>IF(OR(AG26="",AH26=""),"",IF(OR(AND(AG26="短期博反弹",OR(AH26="1～3个交易日",AH26="4～10个交易日")),AND(AG26="突破冲新高",OR(AH26="4～10个交易日",AH26="11～20个交易日")),AND(AG26="趋势波段",OR(AH26="11～20个交易日",AH26="21～60个交易日",AH26="60个交易日以上"))),"匹配","周期与交易预期不匹配，请重新确认"))</f>
        <v/>
      </c>
      <c r="AK26" s="10"/>
      <c r="AL26" s="12"/>
      <c r="AM26" s="10"/>
      <c r="AN26" s="12"/>
      <c r="AO26" s="5">
        <f>IF(OR(A26="",H26="",H26&lt;=0),"",(E26*H26+IF(AND(AK26&lt;&gt;"",AL26&lt;&gt;""),AK26*AL26,0)+IF(AND(AM26&lt;&gt;"",AN26&lt;&gt;""),AM26*AN26,0))/AP26)</f>
        <v>30.3</v>
      </c>
      <c r="AP26" s="11">
        <f>IF(OR(A26="",H26="",H26&lt;=0),"",H26+IF(AL26="",0,AL26)+IF(AN26="",0,AN26))</f>
        <v>2100</v>
      </c>
      <c r="AQ26" s="5">
        <f>IF(A26="","",IF(M26&lt;&gt;"",0,IF(OR(H26="",N26=""),"",MAX(E26-MAX(N26,IFERROR(SUMPRODUCT(MAX(((持仓跟踪!$A$2:$A$497="每日跟踪")*(持仓跟踪!$B$2:$B$497=A26))*持仓跟踪!$S$2:$S$497)),0)),0)*H26+IF(OR(AK26="",AL26=""),0,MAX(AK26-MAX(N26,IFERROR(SUMPRODUCT(MAX(((持仓跟踪!$A$2:$A$497="每日跟踪")*(持仓跟踪!$B$2:$B$497=A26))*持仓跟踪!$S$2:$S$497)),0)),0)*AL26)+IF(OR(AM26="",AN26=""),0,MAX(AM26-MAX(N26,IFERROR(SUMPRODUCT(MAX(((持仓跟踪!$A$2:$A$497="每日跟踪")*(持仓跟踪!$B$2:$B$497=A26))*持仓跟踪!$S$2:$S$497)),0)),0)*AN26))))</f>
        <v>0</v>
      </c>
      <c r="AR26" s="8" t="str">
        <f ca="1">IF(A26="","",IF(OR(E26="",H26=""),"违规：第一批价格或股数缺失",IF(OR(AND(AK26="",AL26&lt;&gt;""),AND(AK26&lt;&gt;"",AL26="")),"违规：第二批价格与股数须成对填写",IF(OR(AND(AM26="",AN26&lt;&gt;""),AND(AM26&lt;&gt;"",AN26="")),"违规：第三批价格与股数须成对填写",IF(AND(OR(AM26&lt;&gt;"",AN26&lt;&gt;""),OR(AK26="",AL26="")),"违规：必须先完成第二批",IF(OR(H26&lt;=0,H26&lt;&gt;INT(H26),MOD(H26,100)&lt;&gt;0,AND(AL26&lt;&gt;"",OR(AL26&lt;=0,AL26&lt;&gt;INT(AL26),MOD(AL26,100)&lt;&gt;0)),AND(AN26&lt;&gt;"",OR(AN26&lt;=0,AN26&lt;&gt;INT(AN26),MOD(AN26,100)&lt;&gt;0))),"违规：股数须为100股整数倍",IF(AND(OR(AL26&lt;&gt;"",AN26&lt;&gt;""),OR(_LockStatus="已锁仓",_LockStatus="解锁信息不完整")),"违规：锁仓期间禁止加仓",IF(AQ26&gt;C26*D26,"违规：超过单笔风险上限",IF(SUM($AQ$2:$AQ$163)&gt;账户数据!$B$7,"违规：超过账户风险上限","通过")))))))))</f>
        <v>通过</v>
      </c>
    </row>
    <row r="27" ht="17" spans="1:44">
      <c r="A27" s="2">
        <v>26</v>
      </c>
      <c r="B27" s="13" t="s">
        <v>16384</v>
      </c>
      <c r="C27" s="10">
        <v>81809</v>
      </c>
      <c r="D27" s="6">
        <v>0.02</v>
      </c>
      <c r="E27" s="10">
        <v>31.66</v>
      </c>
      <c r="F27" s="8">
        <f>IF(OR(C27="",D27="",E27="",N27="",C27&lt;=0,D27&lt;=0,E27&lt;=N27),"",ROUNDDOWN((C27*D27)/(E27-N27)/100,0)*100)</f>
        <v>1200</v>
      </c>
      <c r="G27" s="8" t="str">
        <f ca="1"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COUNTIFS(持仓跟踪!$A$2:$A$497,"止损计划",持仓跟踪!$B$2:$B$497,A27,持仓跟踪!$AC$2:$AC$497,"计划有效")=0,"禁止开仓：请先填写止损计划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7" s="2">
        <v>1200</v>
      </c>
      <c r="I27" s="15">
        <v>45408</v>
      </c>
      <c r="J27" s="10">
        <v>35</v>
      </c>
      <c r="K27" s="5">
        <v>29.89</v>
      </c>
      <c r="L27" s="8">
        <v>1200</v>
      </c>
      <c r="M27" s="23">
        <v>45422</v>
      </c>
      <c r="N27" s="10">
        <v>30.3</v>
      </c>
      <c r="O27" s="10"/>
      <c r="P27" s="5" t="str">
        <f>IF(A27="","",IFERROR(LOOKUP(2,1/((持仓跟踪!$B$2:$B$497=A27)*(持仓跟踪!$X$2:$X$497="执行卖出")*(持仓跟踪!$AA$2:$AA$497&lt;&gt;"")),持仓跟踪!$AA$2:$AA$497),""))</f>
        <v/>
      </c>
      <c r="Q27" s="2"/>
      <c r="R27" s="2"/>
      <c r="S27" s="2"/>
      <c r="T27" s="2"/>
      <c r="U27" s="7">
        <f>IF(OR(AO27="",J27="",AO27&lt;=0),"",(J27-AO27)/AO27)</f>
        <v>0.105495893872394</v>
      </c>
      <c r="V27" s="7">
        <f>IF(OR(AO27="",N27="",AO27&lt;=0),"",(AO27-N27)/AO27)</f>
        <v>0.0429564118761844</v>
      </c>
      <c r="W27" s="24">
        <f>IF(OR(U27="",V27="",V27&lt;=0),"",U27/V27)</f>
        <v>2.45588235294118</v>
      </c>
      <c r="X27" s="5">
        <f>IF(OR(K27="",L27="",AP27=""),"",K27*L27-(E27*H27+IF(AND(AK27&lt;&gt;"",AL27&lt;&gt;""),AK27*AL27,0)+IF(AND(AM27&lt;&gt;"",AN27&lt;&gt;""),AM27*AN27,0))-IF(O27="",0,O27)-IF(P27="",0,P27))</f>
        <v>-2124</v>
      </c>
      <c r="Y27" s="7">
        <f>IF(OR(X27="",AP27=""),"",IF((E27*H27+IF(AND(AK27&lt;&gt;"",AL27&lt;&gt;""),AK27*AL27,0)+IF(AND(AM27&lt;&gt;"",AN27&lt;&gt;""),AM27*AN27,0))+IF(O27="",0,O27)&lt;=0,"",X27/((E27*H27+IF(AND(AK27&lt;&gt;"",AL27&lt;&gt;""),AK27*AL27,0)+IF(AND(AM27&lt;&gt;"",AN27&lt;&gt;""),AM27*AN27,0))+IF(O27="",0,O27))))</f>
        <v>-0.0559065066329754</v>
      </c>
      <c r="Z27" s="7">
        <f>IF(OR(AE27="",多次统计数据!$B$8=""),"",AE27-多次统计数据!$B$8)</f>
        <v>-0.0847100322066299</v>
      </c>
      <c r="AA27" s="11">
        <f>IF(OR(I27="",M27="",M27&lt;I27),"",M27-I27)</f>
        <v>14</v>
      </c>
      <c r="AB27" s="7">
        <f>IF(OR(A27="",多次统计数据!$B$8="",多次统计数据!$B$6&lt;=0,多次统计数据!$B$6&gt;=1),"",1-POWER(1+多次统计数据!$B$8,-多次统计数据!$B$6/(1-多次统计数据!$B$6)))</f>
        <v>0.0315166534281621</v>
      </c>
      <c r="AC27" s="8" t="str">
        <f>IF(OR(AB27="",多次统计数据!$B$9=""),"",IF(多次统计数据!$B$9&lt;AB27,"低于上限","达到或超过上限"))</f>
        <v>低于上限</v>
      </c>
      <c r="AD27" s="2"/>
      <c r="AE27" s="7">
        <f>IF(OR(X27="",C27="",C27&lt;=0),"",X27/C27)</f>
        <v>-0.0259629136158613</v>
      </c>
      <c r="AG27" s="2"/>
      <c r="AH27" s="2"/>
      <c r="AI27" s="2"/>
      <c r="AJ27" s="8" t="str">
        <f>IF(OR(AG27="",AH27=""),"",IF(OR(AND(AG27="短期博反弹",OR(AH27="1～3个交易日",AH27="4～10个交易日")),AND(AG27="突破冲新高",OR(AH27="4～10个交易日",AH27="11～20个交易日")),AND(AG27="趋势波段",OR(AH27="11～20个交易日",AH27="21～60个交易日",AH27="60个交易日以上"))),"匹配","周期与交易预期不匹配，请重新确认"))</f>
        <v/>
      </c>
      <c r="AK27" s="10"/>
      <c r="AL27" s="12"/>
      <c r="AM27" s="10"/>
      <c r="AN27" s="12"/>
      <c r="AO27" s="5">
        <f>IF(OR(A27="",H27="",H27&lt;=0),"",(E27*H27+IF(AND(AK27&lt;&gt;"",AL27&lt;&gt;""),AK27*AL27,0)+IF(AND(AM27&lt;&gt;"",AN27&lt;&gt;""),AM27*AN27,0))/AP27)</f>
        <v>31.66</v>
      </c>
      <c r="AP27" s="11">
        <f>IF(OR(A27="",H27="",H27&lt;=0),"",H27+IF(AL27="",0,AL27)+IF(AN27="",0,AN27))</f>
        <v>1200</v>
      </c>
      <c r="AQ27" s="5">
        <f>IF(A27="","",IF(M27&lt;&gt;"",0,IF(OR(H27="",N27=""),"",MAX(E27-MAX(N27,IFERROR(SUMPRODUCT(MAX(((持仓跟踪!$A$2:$A$497="每日跟踪")*(持仓跟踪!$B$2:$B$497=A27))*持仓跟踪!$S$2:$S$497)),0)),0)*H27+IF(OR(AK27="",AL27=""),0,MAX(AK27-MAX(N27,IFERROR(SUMPRODUCT(MAX(((持仓跟踪!$A$2:$A$497="每日跟踪")*(持仓跟踪!$B$2:$B$497=A27))*持仓跟踪!$S$2:$S$497)),0)),0)*AL27)+IF(OR(AM27="",AN27=""),0,MAX(AM27-MAX(N27,IFERROR(SUMPRODUCT(MAX(((持仓跟踪!$A$2:$A$497="每日跟踪")*(持仓跟踪!$B$2:$B$497=A27))*持仓跟踪!$S$2:$S$497)),0)),0)*AN27))))</f>
        <v>0</v>
      </c>
      <c r="AR27" s="8" t="str">
        <f ca="1">IF(A27="","",IF(OR(E27="",H27=""),"违规：第一批价格或股数缺失",IF(OR(AND(AK27="",AL27&lt;&gt;""),AND(AK27&lt;&gt;"",AL27="")),"违规：第二批价格与股数须成对填写",IF(OR(AND(AM27="",AN27&lt;&gt;""),AND(AM27&lt;&gt;"",AN27="")),"违规：第三批价格与股数须成对填写",IF(AND(OR(AM27&lt;&gt;"",AN27&lt;&gt;""),OR(AK27="",AL27="")),"违规：必须先完成第二批",IF(OR(H27&lt;=0,H27&lt;&gt;INT(H27),MOD(H27,100)&lt;&gt;0,AND(AL27&lt;&gt;"",OR(AL27&lt;=0,AL27&lt;&gt;INT(AL27),MOD(AL27,100)&lt;&gt;0)),AND(AN27&lt;&gt;"",OR(AN27&lt;=0,AN27&lt;&gt;INT(AN27),MOD(AN27,100)&lt;&gt;0))),"违规：股数须为100股整数倍",IF(AND(OR(AL27&lt;&gt;"",AN27&lt;&gt;""),OR(_LockStatus="已锁仓",_LockStatus="解锁信息不完整")),"违规：锁仓期间禁止加仓",IF(AQ27&gt;C27*D27,"违规：超过单笔风险上限",IF(SUM($AQ$2:$AQ$163)&gt;账户数据!$B$7,"违规：超过账户风险上限","通过")))))))))</f>
        <v>通过</v>
      </c>
    </row>
    <row r="28" ht="17" spans="1:44">
      <c r="A28" s="2">
        <v>27</v>
      </c>
      <c r="B28" s="13" t="s">
        <v>16384</v>
      </c>
      <c r="C28" s="10">
        <v>79685</v>
      </c>
      <c r="D28" s="6">
        <v>0.02</v>
      </c>
      <c r="E28" s="10">
        <v>37.5</v>
      </c>
      <c r="F28" s="8">
        <f>IF(OR(C28="",D28="",E28="",N28="",C28&lt;=0,D28&lt;=0,E28&lt;=N28),"",ROUNDDOWN((C28*D28)/(E28-N28)/100,0)*100)</f>
        <v>300</v>
      </c>
      <c r="G28" s="8" t="str">
        <f ca="1"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COUNTIFS(持仓跟踪!$A$2:$A$497,"止损计划",持仓跟踪!$B$2:$B$497,A28,持仓跟踪!$AC$2:$AC$497,"计划有效")=0,"禁止开仓：请先填写止损计划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8" s="2">
        <v>300</v>
      </c>
      <c r="I28" s="15">
        <v>45461</v>
      </c>
      <c r="J28" s="10">
        <v>45</v>
      </c>
      <c r="K28" s="5">
        <v>32.4</v>
      </c>
      <c r="L28" s="8">
        <v>300</v>
      </c>
      <c r="M28" s="23">
        <v>45498</v>
      </c>
      <c r="N28" s="10">
        <v>33</v>
      </c>
      <c r="O28" s="10"/>
      <c r="P28" s="5" t="str">
        <f>IF(A28="","",IFERROR(LOOKUP(2,1/((持仓跟踪!$B$2:$B$497=A28)*(持仓跟踪!$X$2:$X$497="执行卖出")*(持仓跟踪!$AA$2:$AA$497&lt;&gt;"")),持仓跟踪!$AA$2:$AA$497),""))</f>
        <v/>
      </c>
      <c r="Q28" s="2"/>
      <c r="R28" s="2"/>
      <c r="S28" s="2"/>
      <c r="T28" s="2"/>
      <c r="U28" s="7">
        <f>IF(OR(AO28="",J28="",AO28&lt;=0),"",(J28-AO28)/AO28)</f>
        <v>0.2</v>
      </c>
      <c r="V28" s="7">
        <f>IF(OR(AO28="",N28="",AO28&lt;=0),"",(AO28-N28)/AO28)</f>
        <v>0.12</v>
      </c>
      <c r="W28" s="24">
        <f>IF(OR(U28="",V28="",V28&lt;=0),"",U28/V28)</f>
        <v>1.66666666666667</v>
      </c>
      <c r="X28" s="5">
        <f>IF(OR(K28="",L28="",AP28=""),"",K28*L28-(E28*H28+IF(AND(AK28&lt;&gt;"",AL28&lt;&gt;""),AK28*AL28,0)+IF(AND(AM28&lt;&gt;"",AN28&lt;&gt;""),AM28*AN28,0))-IF(O28="",0,O28)-IF(P28="",0,P28))</f>
        <v>-1530</v>
      </c>
      <c r="Y28" s="7">
        <f>IF(OR(X28="",AP28=""),"",IF((E28*H28+IF(AND(AK28&lt;&gt;"",AL28&lt;&gt;""),AK28*AL28,0)+IF(AND(AM28&lt;&gt;"",AN28&lt;&gt;""),AM28*AN28,0))+IF(O28="",0,O28)&lt;=0,"",X28/((E28*H28+IF(AND(AK28&lt;&gt;"",AL28&lt;&gt;""),AK28*AL28,0)+IF(AND(AM28&lt;&gt;"",AN28&lt;&gt;""),AM28*AN28,0))+IF(O28="",0,O28))))</f>
        <v>-0.136</v>
      </c>
      <c r="Z28" s="7">
        <f>IF(OR(AE28="",多次统计数据!$B$8=""),"",AE28-多次统计数据!$B$8)</f>
        <v>-0.0779477209626077</v>
      </c>
      <c r="AA28" s="11">
        <f>IF(OR(I28="",M28="",M28&lt;I28),"",M28-I28)</f>
        <v>37</v>
      </c>
      <c r="AB28" s="7">
        <f>IF(OR(A28="",多次统计数据!$B$8="",多次统计数据!$B$6&lt;=0,多次统计数据!$B$6&gt;=1),"",1-POWER(1+多次统计数据!$B$8,-多次统计数据!$B$6/(1-多次统计数据!$B$6)))</f>
        <v>0.0315166534281621</v>
      </c>
      <c r="AC28" s="8" t="str">
        <f>IF(OR(AB28="",多次统计数据!$B$9=""),"",IF(多次统计数据!$B$9&lt;AB28,"低于上限","达到或超过上限"))</f>
        <v>低于上限</v>
      </c>
      <c r="AD28" s="2"/>
      <c r="AE28" s="7">
        <f>IF(OR(X28="",C28="",C28&lt;=0),"",X28/C28)</f>
        <v>-0.0192006023718391</v>
      </c>
      <c r="AG28" s="2"/>
      <c r="AH28" s="2"/>
      <c r="AI28" s="2"/>
      <c r="AJ28" s="8" t="str">
        <f>IF(OR(AG28="",AH28=""),"",IF(OR(AND(AG28="短期博反弹",OR(AH28="1～3个交易日",AH28="4～10个交易日")),AND(AG28="突破冲新高",OR(AH28="4～10个交易日",AH28="11～20个交易日")),AND(AG28="趋势波段",OR(AH28="11～20个交易日",AH28="21～60个交易日",AH28="60个交易日以上"))),"匹配","周期与交易预期不匹配，请重新确认"))</f>
        <v/>
      </c>
      <c r="AK28" s="10"/>
      <c r="AL28" s="12"/>
      <c r="AM28" s="10"/>
      <c r="AN28" s="12"/>
      <c r="AO28" s="5">
        <f>IF(OR(A28="",H28="",H28&lt;=0),"",(E28*H28+IF(AND(AK28&lt;&gt;"",AL28&lt;&gt;""),AK28*AL28,0)+IF(AND(AM28&lt;&gt;"",AN28&lt;&gt;""),AM28*AN28,0))/AP28)</f>
        <v>37.5</v>
      </c>
      <c r="AP28" s="11">
        <f>IF(OR(A28="",H28="",H28&lt;=0),"",H28+IF(AL28="",0,AL28)+IF(AN28="",0,AN28))</f>
        <v>300</v>
      </c>
      <c r="AQ28" s="5">
        <f>IF(A28="","",IF(M28&lt;&gt;"",0,IF(OR(H28="",N28=""),"",MAX(E28-MAX(N28,IFERROR(SUMPRODUCT(MAX(((持仓跟踪!$A$2:$A$497="每日跟踪")*(持仓跟踪!$B$2:$B$497=A28))*持仓跟踪!$S$2:$S$497)),0)),0)*H28+IF(OR(AK28="",AL28=""),0,MAX(AK28-MAX(N28,IFERROR(SUMPRODUCT(MAX(((持仓跟踪!$A$2:$A$497="每日跟踪")*(持仓跟踪!$B$2:$B$497=A28))*持仓跟踪!$S$2:$S$497)),0)),0)*AL28)+IF(OR(AM28="",AN28=""),0,MAX(AM28-MAX(N28,IFERROR(SUMPRODUCT(MAX(((持仓跟踪!$A$2:$A$497="每日跟踪")*(持仓跟踪!$B$2:$B$497=A28))*持仓跟踪!$S$2:$S$497)),0)),0)*AN28))))</f>
        <v>0</v>
      </c>
      <c r="AR28" s="8" t="str">
        <f ca="1">IF(A28="","",IF(OR(E28="",H28=""),"违规：第一批价格或股数缺失",IF(OR(AND(AK28="",AL28&lt;&gt;""),AND(AK28&lt;&gt;"",AL28="")),"违规：第二批价格与股数须成对填写",IF(OR(AND(AM28="",AN28&lt;&gt;""),AND(AM28&lt;&gt;"",AN28="")),"违规：第三批价格与股数须成对填写",IF(AND(OR(AM28&lt;&gt;"",AN28&lt;&gt;""),OR(AK28="",AL28="")),"违规：必须先完成第二批",IF(OR(H28&lt;=0,H28&lt;&gt;INT(H28),MOD(H28,100)&lt;&gt;0,AND(AL28&lt;&gt;"",OR(AL28&lt;=0,AL28&lt;&gt;INT(AL28),MOD(AL28,100)&lt;&gt;0)),AND(AN28&lt;&gt;"",OR(AN28&lt;=0,AN28&lt;&gt;INT(AN28),MOD(AN28,100)&lt;&gt;0))),"违规：股数须为100股整数倍",IF(AND(OR(AL28&lt;&gt;"",AN28&lt;&gt;""),OR(_LockStatus="已锁仓",_LockStatus="解锁信息不完整")),"违规：锁仓期间禁止加仓",IF(AQ28&gt;C28*D28,"违规：超过单笔风险上限",IF(SUM($AQ$2:$AQ$163)&gt;账户数据!$B$7,"违规：超过账户风险上限","通过")))))))))</f>
        <v>通过</v>
      </c>
    </row>
    <row r="29" ht="17" spans="1:44">
      <c r="A29" s="2">
        <v>28</v>
      </c>
      <c r="B29" s="13" t="s">
        <v>16384</v>
      </c>
      <c r="C29" s="10">
        <v>78155</v>
      </c>
      <c r="D29" s="6">
        <v>0.02</v>
      </c>
      <c r="E29" s="10">
        <v>39.87</v>
      </c>
      <c r="F29" s="8">
        <f>IF(OR(C29="",D29="",E29="",N29="",C29&lt;=0,D29&lt;=0,E29&lt;=N29),"",ROUNDDOWN((C29*D29)/(E29-N29)/100,0)*100)</f>
        <v>600</v>
      </c>
      <c r="G29" s="8" t="str">
        <f ca="1"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COUNTIFS(持仓跟踪!$A$2:$A$497,"止损计划",持仓跟踪!$B$2:$B$497,A29,持仓跟踪!$AC$2:$AC$497,"计划有效")=0,"禁止开仓：请先填写止损计划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9" s="2">
        <v>600</v>
      </c>
      <c r="I29" s="15">
        <v>45608</v>
      </c>
      <c r="J29" s="10">
        <v>45</v>
      </c>
      <c r="K29" s="5">
        <v>36.75</v>
      </c>
      <c r="L29" s="8">
        <v>600</v>
      </c>
      <c r="M29" s="23">
        <v>45614</v>
      </c>
      <c r="N29" s="10">
        <v>37.5</v>
      </c>
      <c r="O29" s="10"/>
      <c r="P29" s="5" t="str">
        <f>IF(A29="","",IFERROR(LOOKUP(2,1/((持仓跟踪!$B$2:$B$497=A29)*(持仓跟踪!$X$2:$X$497="执行卖出")*(持仓跟踪!$AA$2:$AA$497&lt;&gt;"")),持仓跟踪!$AA$2:$AA$497),""))</f>
        <v/>
      </c>
      <c r="Q29" s="2"/>
      <c r="R29" s="2"/>
      <c r="S29" s="2"/>
      <c r="T29" s="2"/>
      <c r="U29" s="7">
        <f>IF(OR(AO29="",J29="",AO29&lt;=0),"",(J29-AO29)/AO29)</f>
        <v>0.128668171557562</v>
      </c>
      <c r="V29" s="7">
        <f>IF(OR(AO29="",N29="",AO29&lt;=0),"",(AO29-N29)/AO29)</f>
        <v>0.0594431903686982</v>
      </c>
      <c r="W29" s="24">
        <f>IF(OR(U29="",V29="",V29&lt;=0),"",U29/V29)</f>
        <v>2.16455696202532</v>
      </c>
      <c r="X29" s="5">
        <f>IF(OR(K29="",L29="",AP29=""),"",K29*L29-(E29*H29+IF(AND(AK29&lt;&gt;"",AL29&lt;&gt;""),AK29*AL29,0)+IF(AND(AM29&lt;&gt;"",AN29&lt;&gt;""),AM29*AN29,0))-IF(O29="",0,O29)-IF(P29="",0,P29))</f>
        <v>-1872</v>
      </c>
      <c r="Y29" s="7">
        <f>IF(OR(X29="",AP29=""),"",IF((E29*H29+IF(AND(AK29&lt;&gt;"",AL29&lt;&gt;""),AK29*AL29,0)+IF(AND(AM29&lt;&gt;"",AN29&lt;&gt;""),AM29*AN29,0))+IF(O29="",0,O29)&lt;=0,"",X29/((E29*H29+IF(AND(AK29&lt;&gt;"",AL29&lt;&gt;""),AK29*AL29,0)+IF(AND(AM29&lt;&gt;"",AN29&lt;&gt;""),AM29*AN29,0))+IF(O29="",0,O29))))</f>
        <v>-0.0782543265613243</v>
      </c>
      <c r="Z29" s="7">
        <f>IF(OR(AE29="",多次统计数据!$B$8=""),"",AE29-多次统计数据!$B$8)</f>
        <v>-0.082699520868294</v>
      </c>
      <c r="AA29" s="11">
        <f>IF(OR(I29="",M29="",M29&lt;I29),"",M29-I29)</f>
        <v>6</v>
      </c>
      <c r="AB29" s="7">
        <f>IF(OR(A29="",多次统计数据!$B$8="",多次统计数据!$B$6&lt;=0,多次统计数据!$B$6&gt;=1),"",1-POWER(1+多次统计数据!$B$8,-多次统计数据!$B$6/(1-多次统计数据!$B$6)))</f>
        <v>0.0315166534281621</v>
      </c>
      <c r="AC29" s="8" t="str">
        <f>IF(OR(AB29="",多次统计数据!$B$9=""),"",IF(多次统计数据!$B$9&lt;AB29,"低于上限","达到或超过上限"))</f>
        <v>低于上限</v>
      </c>
      <c r="AD29" s="2"/>
      <c r="AE29" s="7">
        <f>IF(OR(X29="",C29="",C29&lt;=0),"",X29/C29)</f>
        <v>-0.0239524022775254</v>
      </c>
      <c r="AG29" s="2"/>
      <c r="AH29" s="2"/>
      <c r="AI29" s="2"/>
      <c r="AJ29" s="8" t="str">
        <f>IF(OR(AG29="",AH29=""),"",IF(OR(AND(AG29="短期博反弹",OR(AH29="1～3个交易日",AH29="4～10个交易日")),AND(AG29="突破冲新高",OR(AH29="4～10个交易日",AH29="11～20个交易日")),AND(AG29="趋势波段",OR(AH29="11～20个交易日",AH29="21～60个交易日",AH29="60个交易日以上"))),"匹配","周期与交易预期不匹配，请重新确认"))</f>
        <v/>
      </c>
      <c r="AK29" s="10"/>
      <c r="AL29" s="12"/>
      <c r="AM29" s="10"/>
      <c r="AN29" s="12"/>
      <c r="AO29" s="5">
        <f>IF(OR(A29="",H29="",H29&lt;=0),"",(E29*H29+IF(AND(AK29&lt;&gt;"",AL29&lt;&gt;""),AK29*AL29,0)+IF(AND(AM29&lt;&gt;"",AN29&lt;&gt;""),AM29*AN29,0))/AP29)</f>
        <v>39.87</v>
      </c>
      <c r="AP29" s="11">
        <f>IF(OR(A29="",H29="",H29&lt;=0),"",H29+IF(AL29="",0,AL29)+IF(AN29="",0,AN29))</f>
        <v>600</v>
      </c>
      <c r="AQ29" s="5">
        <f>IF(A29="","",IF(M29&lt;&gt;"",0,IF(OR(H29="",N29=""),"",MAX(E29-MAX(N29,IFERROR(SUMPRODUCT(MAX(((持仓跟踪!$A$2:$A$497="每日跟踪")*(持仓跟踪!$B$2:$B$497=A29))*持仓跟踪!$S$2:$S$497)),0)),0)*H29+IF(OR(AK29="",AL29=""),0,MAX(AK29-MAX(N29,IFERROR(SUMPRODUCT(MAX(((持仓跟踪!$A$2:$A$497="每日跟踪")*(持仓跟踪!$B$2:$B$497=A29))*持仓跟踪!$S$2:$S$497)),0)),0)*AL29)+IF(OR(AM29="",AN29=""),0,MAX(AM29-MAX(N29,IFERROR(SUMPRODUCT(MAX(((持仓跟踪!$A$2:$A$497="每日跟踪")*(持仓跟踪!$B$2:$B$497=A29))*持仓跟踪!$S$2:$S$497)),0)),0)*AN29))))</f>
        <v>0</v>
      </c>
      <c r="AR29" s="8" t="str">
        <f ca="1">IF(A29="","",IF(OR(E29="",H29=""),"违规：第一批价格或股数缺失",IF(OR(AND(AK29="",AL29&lt;&gt;""),AND(AK29&lt;&gt;"",AL29="")),"违规：第二批价格与股数须成对填写",IF(OR(AND(AM29="",AN29&lt;&gt;""),AND(AM29&lt;&gt;"",AN29="")),"违规：第三批价格与股数须成对填写",IF(AND(OR(AM29&lt;&gt;"",AN29&lt;&gt;""),OR(AK29="",AL29="")),"违规：必须先完成第二批",IF(OR(H29&lt;=0,H29&lt;&gt;INT(H29),MOD(H29,100)&lt;&gt;0,AND(AL29&lt;&gt;"",OR(AL29&lt;=0,AL29&lt;&gt;INT(AL29),MOD(AL29,100)&lt;&gt;0)),AND(AN29&lt;&gt;"",OR(AN29&lt;=0,AN29&lt;&gt;INT(AN29),MOD(AN29,100)&lt;&gt;0))),"违规：股数须为100股整数倍",IF(AND(OR(AL29&lt;&gt;"",AN29&lt;&gt;""),OR(_LockStatus="已锁仓",_LockStatus="解锁信息不完整")),"违规：锁仓期间禁止加仓",IF(AQ29&gt;C29*D29,"违规：超过单笔风险上限",IF(SUM($AQ$2:$AQ$163)&gt;账户数据!$B$7,"违规：超过账户风险上限","通过")))))))))</f>
        <v>通过</v>
      </c>
    </row>
    <row r="30" ht="17" spans="1:44">
      <c r="A30" s="2">
        <v>29</v>
      </c>
      <c r="B30" s="13" t="s">
        <v>16384</v>
      </c>
      <c r="C30" s="10">
        <v>76283</v>
      </c>
      <c r="D30" s="6">
        <v>0.02</v>
      </c>
      <c r="E30" s="10">
        <v>38.72</v>
      </c>
      <c r="F30" s="8">
        <f>IF(OR(C30="",D30="",E30="",N30="",C30&lt;=0,D30&lt;=0,E30&lt;=N30),"",ROUNDDOWN((C30*D30)/(E30-N30)/100,0)*100)</f>
        <v>400</v>
      </c>
      <c r="G30" s="8" t="str">
        <f ca="1"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COUNTIFS(持仓跟踪!$A$2:$A$497,"止损计划",持仓跟踪!$B$2:$B$497,A30,持仓跟踪!$AC$2:$AC$497,"计划有效")=0,"禁止开仓：请先填写止损计划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0" s="2">
        <v>400</v>
      </c>
      <c r="I30" s="15">
        <v>45674</v>
      </c>
      <c r="J30" s="10">
        <v>45</v>
      </c>
      <c r="K30" s="5">
        <v>33.29</v>
      </c>
      <c r="L30" s="8">
        <v>400</v>
      </c>
      <c r="M30" s="23">
        <v>45712</v>
      </c>
      <c r="N30" s="10">
        <v>35</v>
      </c>
      <c r="O30" s="10"/>
      <c r="P30" s="5" t="str">
        <f>IF(A30="","",IFERROR(LOOKUP(2,1/((持仓跟踪!$B$2:$B$497=A30)*(持仓跟踪!$X$2:$X$497="执行卖出")*(持仓跟踪!$AA$2:$AA$497&lt;&gt;"")),持仓跟踪!$AA$2:$AA$497),""))</f>
        <v/>
      </c>
      <c r="Q30" s="2"/>
      <c r="R30" s="2"/>
      <c r="S30" s="2"/>
      <c r="T30" s="2"/>
      <c r="U30" s="7">
        <f>IF(OR(AO30="",J30="",AO30&lt;=0),"",(J30-AO30)/AO30)</f>
        <v>0.162190082644628</v>
      </c>
      <c r="V30" s="7">
        <f>IF(OR(AO30="",N30="",AO30&lt;=0),"",(AO30-N30)/AO30)</f>
        <v>0.0960743801652892</v>
      </c>
      <c r="W30" s="24">
        <f>IF(OR(U30="",V30="",V30&lt;=0),"",U30/V30)</f>
        <v>1.68817204301075</v>
      </c>
      <c r="X30" s="5">
        <f>IF(OR(K30="",L30="",AP30=""),"",K30*L30-(E30*H30+IF(AND(AK30&lt;&gt;"",AL30&lt;&gt;""),AK30*AL30,0)+IF(AND(AM30&lt;&gt;"",AN30&lt;&gt;""),AM30*AN30,0))-IF(O30="",0,O30)-IF(P30="",0,P30))</f>
        <v>-2172</v>
      </c>
      <c r="Y30" s="7">
        <f>IF(OR(X30="",AP30=""),"",IF((E30*H30+IF(AND(AK30&lt;&gt;"",AL30&lt;&gt;""),AK30*AL30,0)+IF(AND(AM30&lt;&gt;"",AN30&lt;&gt;""),AM30*AN30,0))+IF(O30="",0,O30)&lt;=0,"",X30/((E30*H30+IF(AND(AK30&lt;&gt;"",AL30&lt;&gt;""),AK30*AL30,0)+IF(AND(AM30&lt;&gt;"",AN30&lt;&gt;""),AM30*AN30,0))+IF(O30="",0,O30))))</f>
        <v>-0.140237603305785</v>
      </c>
      <c r="Z30" s="7">
        <f>IF(OR(AE30="",多次统计数据!$B$8=""),"",AE30-多次统计数据!$B$8)</f>
        <v>-0.087220041784665</v>
      </c>
      <c r="AA30" s="11">
        <f>IF(OR(I30="",M30="",M30&lt;I30),"",M30-I30)</f>
        <v>38</v>
      </c>
      <c r="AB30" s="7">
        <f>IF(OR(A30="",多次统计数据!$B$8="",多次统计数据!$B$6&lt;=0,多次统计数据!$B$6&gt;=1),"",1-POWER(1+多次统计数据!$B$8,-多次统计数据!$B$6/(1-多次统计数据!$B$6)))</f>
        <v>0.0315166534281621</v>
      </c>
      <c r="AC30" s="8" t="str">
        <f>IF(OR(AB30="",多次统计数据!$B$9=""),"",IF(多次统计数据!$B$9&lt;AB30,"低于上限","达到或超过上限"))</f>
        <v>低于上限</v>
      </c>
      <c r="AD30" s="2"/>
      <c r="AE30" s="7">
        <f>IF(OR(X30="",C30="",C30&lt;=0),"",X30/C30)</f>
        <v>-0.0284729231938964</v>
      </c>
      <c r="AG30" s="2"/>
      <c r="AH30" s="2"/>
      <c r="AI30" s="2"/>
      <c r="AJ30" s="8" t="str">
        <f>IF(OR(AG30="",AH30=""),"",IF(OR(AND(AG30="短期博反弹",OR(AH30="1～3个交易日",AH30="4～10个交易日")),AND(AG30="突破冲新高",OR(AH30="4～10个交易日",AH30="11～20个交易日")),AND(AG30="趋势波段",OR(AH30="11～20个交易日",AH30="21～60个交易日",AH30="60个交易日以上"))),"匹配","周期与交易预期不匹配，请重新确认"))</f>
        <v/>
      </c>
      <c r="AK30" s="10"/>
      <c r="AL30" s="12"/>
      <c r="AM30" s="10"/>
      <c r="AN30" s="12"/>
      <c r="AO30" s="5">
        <f>IF(OR(A30="",H30="",H30&lt;=0),"",(E30*H30+IF(AND(AK30&lt;&gt;"",AL30&lt;&gt;""),AK30*AL30,0)+IF(AND(AM30&lt;&gt;"",AN30&lt;&gt;""),AM30*AN30,0))/AP30)</f>
        <v>38.72</v>
      </c>
      <c r="AP30" s="11">
        <f>IF(OR(A30="",H30="",H30&lt;=0),"",H30+IF(AL30="",0,AL30)+IF(AN30="",0,AN30))</f>
        <v>400</v>
      </c>
      <c r="AQ30" s="5">
        <f>IF(A30="","",IF(M30&lt;&gt;"",0,IF(OR(H30="",N30=""),"",MAX(E30-MAX(N30,IFERROR(SUMPRODUCT(MAX(((持仓跟踪!$A$2:$A$497="每日跟踪")*(持仓跟踪!$B$2:$B$497=A30))*持仓跟踪!$S$2:$S$497)),0)),0)*H30+IF(OR(AK30="",AL30=""),0,MAX(AK30-MAX(N30,IFERROR(SUMPRODUCT(MAX(((持仓跟踪!$A$2:$A$497="每日跟踪")*(持仓跟踪!$B$2:$B$497=A30))*持仓跟踪!$S$2:$S$497)),0)),0)*AL30)+IF(OR(AM30="",AN30=""),0,MAX(AM30-MAX(N30,IFERROR(SUMPRODUCT(MAX(((持仓跟踪!$A$2:$A$497="每日跟踪")*(持仓跟踪!$B$2:$B$497=A30))*持仓跟踪!$S$2:$S$497)),0)),0)*AN30))))</f>
        <v>0</v>
      </c>
      <c r="AR30" s="8" t="str">
        <f ca="1">IF(A30="","",IF(OR(E30="",H30=""),"违规：第一批价格或股数缺失",IF(OR(AND(AK30="",AL30&lt;&gt;""),AND(AK30&lt;&gt;"",AL30="")),"违规：第二批价格与股数须成对填写",IF(OR(AND(AM30="",AN30&lt;&gt;""),AND(AM30&lt;&gt;"",AN30="")),"违规：第三批价格与股数须成对填写",IF(AND(OR(AM30&lt;&gt;"",AN30&lt;&gt;""),OR(AK30="",AL30="")),"违规：必须先完成第二批",IF(OR(H30&lt;=0,H30&lt;&gt;INT(H30),MOD(H30,100)&lt;&gt;0,AND(AL30&lt;&gt;"",OR(AL30&lt;=0,AL30&lt;&gt;INT(AL30),MOD(AL30,100)&lt;&gt;0)),AND(AN30&lt;&gt;"",OR(AN30&lt;=0,AN30&lt;&gt;INT(AN30),MOD(AN30,100)&lt;&gt;0))),"违规：股数须为100股整数倍",IF(AND(OR(AL30&lt;&gt;"",AN30&lt;&gt;""),OR(_LockStatus="已锁仓",_LockStatus="解锁信息不完整")),"违规：锁仓期间禁止加仓",IF(AQ30&gt;C30*D30,"违规：超过单笔风险上限",IF(SUM($AQ$2:$AQ$163)&gt;账户数据!$B$7,"违规：超过账户风险上限","通过")))))))))</f>
        <v>通过</v>
      </c>
    </row>
    <row r="31" ht="17" spans="1:44">
      <c r="A31" s="2">
        <v>30</v>
      </c>
      <c r="B31" s="13" t="s">
        <v>16384</v>
      </c>
      <c r="C31" s="10">
        <v>74111</v>
      </c>
      <c r="D31" s="6">
        <v>0.02</v>
      </c>
      <c r="E31" s="10">
        <v>74.21</v>
      </c>
      <c r="F31" s="8">
        <f>IF(OR(C31="",D31="",E31="",N31="",C31&lt;=0,D31&lt;=0,E31&lt;=N31),"",ROUNDDOWN((C31*D31)/(E31-N31)/100,0)*100)</f>
        <v>300</v>
      </c>
      <c r="G31" s="8" t="str">
        <f ca="1"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COUNTIFS(持仓跟踪!$A$2:$A$497,"止损计划",持仓跟踪!$B$2:$B$497,A31,持仓跟踪!$AC$2:$AC$497,"计划有效")=0,"禁止开仓：请先填写止损计划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1" s="2">
        <v>300</v>
      </c>
      <c r="I31" s="15">
        <v>45925</v>
      </c>
      <c r="J31" s="10">
        <v>80</v>
      </c>
      <c r="K31" s="5">
        <v>65.3</v>
      </c>
      <c r="L31" s="8">
        <v>300</v>
      </c>
      <c r="M31" s="23">
        <v>45951</v>
      </c>
      <c r="N31" s="10">
        <v>70</v>
      </c>
      <c r="O31" s="10"/>
      <c r="P31" s="5" t="str">
        <f>IF(A31="","",IFERROR(LOOKUP(2,1/((持仓跟踪!$B$2:$B$497=A31)*(持仓跟踪!$X$2:$X$497="执行卖出")*(持仓跟踪!$AA$2:$AA$497&lt;&gt;"")),持仓跟踪!$AA$2:$AA$497),""))</f>
        <v/>
      </c>
      <c r="Q31" s="2"/>
      <c r="R31" s="2"/>
      <c r="S31" s="2"/>
      <c r="T31" s="2"/>
      <c r="U31" s="7">
        <f>IF(OR(AO31="",J31="",AO31&lt;=0),"",(J31-AO31)/AO31)</f>
        <v>0.0780218299420564</v>
      </c>
      <c r="V31" s="7">
        <f>IF(OR(AO31="",N31="",AO31&lt;=0),"",(AO31-N31)/AO31)</f>
        <v>0.0567308988007006</v>
      </c>
      <c r="W31" s="24">
        <f>IF(OR(U31="",V31="",V31&lt;=0),"",U31/V31)</f>
        <v>1.37529691211402</v>
      </c>
      <c r="X31" s="5">
        <f>IF(OR(K31="",L31="",AP31=""),"",K31*L31-(E31*H31+IF(AND(AK31&lt;&gt;"",AL31&lt;&gt;""),AK31*AL31,0)+IF(AND(AM31&lt;&gt;"",AN31&lt;&gt;""),AM31*AN31,0))-IF(O31="",0,O31)-IF(P31="",0,P31))</f>
        <v>-2673</v>
      </c>
      <c r="Y31" s="7">
        <f>IF(OR(X31="",AP31=""),"",IF((E31*H31+IF(AND(AK31&lt;&gt;"",AL31&lt;&gt;""),AK31*AL31,0)+IF(AND(AM31&lt;&gt;"",AN31&lt;&gt;""),AM31*AN31,0))+IF(O31="",0,O31)&lt;=0,"",X31/((E31*H31+IF(AND(AK31&lt;&gt;"",AL31&lt;&gt;""),AK31*AL31,0)+IF(AND(AM31&lt;&gt;"",AN31&lt;&gt;""),AM31*AN31,0))+IF(O31="",0,O31))))</f>
        <v>-0.120064681309796</v>
      </c>
      <c r="Z31" s="7">
        <f>IF(OR(AE31="",多次统计数据!$B$8=""),"",AE31-多次统计数据!$B$8)</f>
        <v>-0.0948146389318785</v>
      </c>
      <c r="AA31" s="11">
        <f>IF(OR(I31="",M31="",M31&lt;I31),"",M31-I31)</f>
        <v>26</v>
      </c>
      <c r="AB31" s="7">
        <f>IF(OR(A31="",多次统计数据!$B$8="",多次统计数据!$B$6&lt;=0,多次统计数据!$B$6&gt;=1),"",1-POWER(1+多次统计数据!$B$8,-多次统计数据!$B$6/(1-多次统计数据!$B$6)))</f>
        <v>0.0315166534281621</v>
      </c>
      <c r="AC31" s="8" t="str">
        <f>IF(OR(AB31="",多次统计数据!$B$9=""),"",IF(多次统计数据!$B$9&lt;AB31,"低于上限","达到或超过上限"))</f>
        <v>低于上限</v>
      </c>
      <c r="AD31" s="2"/>
      <c r="AE31" s="7">
        <f>IF(OR(X31="",C31="",C31&lt;=0),"",X31/C31)</f>
        <v>-0.0360675203411099</v>
      </c>
      <c r="AG31" s="2"/>
      <c r="AH31" s="2"/>
      <c r="AI31" s="2"/>
      <c r="AJ31" s="8" t="str">
        <f>IF(OR(AG31="",AH31=""),"",IF(OR(AND(AG31="短期博反弹",OR(AH31="1～3个交易日",AH31="4～10个交易日")),AND(AG31="突破冲新高",OR(AH31="4～10个交易日",AH31="11～20个交易日")),AND(AG31="趋势波段",OR(AH31="11～20个交易日",AH31="21～60个交易日",AH31="60个交易日以上"))),"匹配","周期与交易预期不匹配，请重新确认"))</f>
        <v/>
      </c>
      <c r="AK31" s="10"/>
      <c r="AL31" s="12"/>
      <c r="AM31" s="10"/>
      <c r="AN31" s="12"/>
      <c r="AO31" s="5">
        <f>IF(OR(A31="",H31="",H31&lt;=0),"",(E31*H31+IF(AND(AK31&lt;&gt;"",AL31&lt;&gt;""),AK31*AL31,0)+IF(AND(AM31&lt;&gt;"",AN31&lt;&gt;""),AM31*AN31,0))/AP31)</f>
        <v>74.21</v>
      </c>
      <c r="AP31" s="11">
        <f>IF(OR(A31="",H31="",H31&lt;=0),"",H31+IF(AL31="",0,AL31)+IF(AN31="",0,AN31))</f>
        <v>300</v>
      </c>
      <c r="AQ31" s="5">
        <f>IF(A31="","",IF(M31&lt;&gt;"",0,IF(OR(H31="",N31=""),"",MAX(E31-MAX(N31,IFERROR(SUMPRODUCT(MAX(((持仓跟踪!$A$2:$A$497="每日跟踪")*(持仓跟踪!$B$2:$B$497=A31))*持仓跟踪!$S$2:$S$497)),0)),0)*H31+IF(OR(AK31="",AL31=""),0,MAX(AK31-MAX(N31,IFERROR(SUMPRODUCT(MAX(((持仓跟踪!$A$2:$A$497="每日跟踪")*(持仓跟踪!$B$2:$B$497=A31))*持仓跟踪!$S$2:$S$497)),0)),0)*AL31)+IF(OR(AM31="",AN31=""),0,MAX(AM31-MAX(N31,IFERROR(SUMPRODUCT(MAX(((持仓跟踪!$A$2:$A$497="每日跟踪")*(持仓跟踪!$B$2:$B$497=A31))*持仓跟踪!$S$2:$S$497)),0)),0)*AN31))))</f>
        <v>0</v>
      </c>
      <c r="AR31" s="8" t="str">
        <f ca="1">IF(A31="","",IF(OR(E31="",H31=""),"违规：第一批价格或股数缺失",IF(OR(AND(AK31="",AL31&lt;&gt;""),AND(AK31&lt;&gt;"",AL31="")),"违规：第二批价格与股数须成对填写",IF(OR(AND(AM31="",AN31&lt;&gt;""),AND(AM31&lt;&gt;"",AN31="")),"违规：第三批价格与股数须成对填写",IF(AND(OR(AM31&lt;&gt;"",AN31&lt;&gt;""),OR(AK31="",AL31="")),"违规：必须先完成第二批",IF(OR(H31&lt;=0,H31&lt;&gt;INT(H31),MOD(H31,100)&lt;&gt;0,AND(AL31&lt;&gt;"",OR(AL31&lt;=0,AL31&lt;&gt;INT(AL31),MOD(AL31,100)&lt;&gt;0)),AND(AN31&lt;&gt;"",OR(AN31&lt;=0,AN31&lt;&gt;INT(AN31),MOD(AN31,100)&lt;&gt;0))),"违规：股数须为100股整数倍",IF(AND(OR(AL31&lt;&gt;"",AN31&lt;&gt;""),OR(_LockStatus="已锁仓",_LockStatus="解锁信息不完整")),"违规：锁仓期间禁止加仓",IF(AQ31&gt;C31*D31,"违规：超过单笔风险上限",IF(SUM($AQ$2:$AQ$163)&gt;账户数据!$B$7,"违规：超过账户风险上限","通过")))))))))</f>
        <v>通过</v>
      </c>
    </row>
    <row r="32" ht="17" spans="1:44">
      <c r="A32" s="2">
        <v>31</v>
      </c>
      <c r="B32" s="13" t="s">
        <v>16384</v>
      </c>
      <c r="C32" s="10">
        <v>71438</v>
      </c>
      <c r="D32" s="6">
        <v>0.02</v>
      </c>
      <c r="E32" s="10">
        <v>68.95</v>
      </c>
      <c r="F32" s="8">
        <f>IF(OR(C32="",D32="",E32="",N32="",C32&lt;=0,D32&lt;=0,E32&lt;=N32),"",ROUNDDOWN((C32*D32)/(E32-N32)/100,0)*100)</f>
        <v>100</v>
      </c>
      <c r="G32" s="8" t="str">
        <f ca="1"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COUNTIFS(持仓跟踪!$A$2:$A$497,"止损计划",持仓跟踪!$B$2:$B$497,A32,持仓跟踪!$AC$2:$AC$497,"计划有效")=0,"禁止开仓：请先填写止损计划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2" s="2">
        <v>100</v>
      </c>
      <c r="I32" s="15">
        <v>45989</v>
      </c>
      <c r="J32" s="10">
        <v>80</v>
      </c>
      <c r="K32" s="5">
        <v>75.72</v>
      </c>
      <c r="L32" s="8">
        <v>100</v>
      </c>
      <c r="M32" s="23">
        <v>46084</v>
      </c>
      <c r="N32" s="10">
        <v>61</v>
      </c>
      <c r="O32" s="10"/>
      <c r="P32" s="5" t="str">
        <f>IF(A32="","",IFERROR(LOOKUP(2,1/((持仓跟踪!$B$2:$B$497=A32)*(持仓跟踪!$X$2:$X$497="执行卖出")*(持仓跟踪!$AA$2:$AA$497&lt;&gt;"")),持仓跟踪!$AA$2:$AA$497),""))</f>
        <v/>
      </c>
      <c r="Q32" s="2"/>
      <c r="R32" s="2"/>
      <c r="S32" s="2"/>
      <c r="T32" s="2"/>
      <c r="U32" s="7">
        <f>IF(OR(AO32="",J32="",AO32&lt;=0),"",(J32-AO32)/AO32)</f>
        <v>0.160261058738216</v>
      </c>
      <c r="V32" s="7">
        <f>IF(OR(AO32="",N32="",AO32&lt;=0),"",(AO32-N32)/AO32)</f>
        <v>0.11530094271211</v>
      </c>
      <c r="W32" s="24">
        <f>IF(OR(U32="",V32="",V32&lt;=0),"",U32/V32)</f>
        <v>1.38993710691824</v>
      </c>
      <c r="X32" s="5">
        <f>IF(OR(K32="",L32="",AP32=""),"",K32*L32-(E32*H32+IF(AND(AK32&lt;&gt;"",AL32&lt;&gt;""),AK32*AL32,0)+IF(AND(AM32&lt;&gt;"",AN32&lt;&gt;""),AM32*AN32,0))-IF(O32="",0,O32)-IF(P32="",0,P32))</f>
        <v>677</v>
      </c>
      <c r="Y32" s="7">
        <f>IF(OR(X32="",AP32=""),"",IF((E32*H32+IF(AND(AK32&lt;&gt;"",AL32&lt;&gt;""),AK32*AL32,0)+IF(AND(AM32&lt;&gt;"",AN32&lt;&gt;""),AM32*AN32,0))+IF(O32="",0,O32)&lt;=0,"",X32/((E32*H32+IF(AND(AK32&lt;&gt;"",AL32&lt;&gt;""),AK32*AL32,0)+IF(AND(AM32&lt;&gt;"",AN32&lt;&gt;""),AM32*AN32,0))+IF(O32="",0,O32))))</f>
        <v>0.0981870920957215</v>
      </c>
      <c r="Z32" s="7">
        <f>IF(OR(AE32="",多次统计数据!$B$8=""),"",AE32-多次统计数据!$B$8)</f>
        <v>-0.0492703695216457</v>
      </c>
      <c r="AA32" s="11">
        <f>IF(OR(I32="",M32="",M32&lt;I32),"",M32-I32)</f>
        <v>95</v>
      </c>
      <c r="AB32" s="7">
        <f>IF(OR(A32="",多次统计数据!$B$8="",多次统计数据!$B$6&lt;=0,多次统计数据!$B$6&gt;=1),"",1-POWER(1+多次统计数据!$B$8,-多次统计数据!$B$6/(1-多次统计数据!$B$6)))</f>
        <v>0.0315166534281621</v>
      </c>
      <c r="AC32" s="8" t="str">
        <f>IF(OR(AB32="",多次统计数据!$B$9=""),"",IF(多次统计数据!$B$9&lt;AB32,"低于上限","达到或超过上限"))</f>
        <v>低于上限</v>
      </c>
      <c r="AD32" s="2"/>
      <c r="AE32" s="7">
        <f>IF(OR(X32="",C32="",C32&lt;=0),"",X32/C32)</f>
        <v>0.00947674906912288</v>
      </c>
      <c r="AG32" s="2"/>
      <c r="AH32" s="2"/>
      <c r="AI32" s="2"/>
      <c r="AJ32" s="8" t="str">
        <f>IF(OR(AG32="",AH32=""),"",IF(OR(AND(AG32="短期博反弹",OR(AH32="1～3个交易日",AH32="4～10个交易日")),AND(AG32="突破冲新高",OR(AH32="4～10个交易日",AH32="11～20个交易日")),AND(AG32="趋势波段",OR(AH32="11～20个交易日",AH32="21～60个交易日",AH32="60个交易日以上"))),"匹配","周期与交易预期不匹配，请重新确认"))</f>
        <v/>
      </c>
      <c r="AK32" s="10"/>
      <c r="AL32" s="12"/>
      <c r="AM32" s="10"/>
      <c r="AN32" s="12"/>
      <c r="AO32" s="5">
        <f>IF(OR(A32="",H32="",H32&lt;=0),"",(E32*H32+IF(AND(AK32&lt;&gt;"",AL32&lt;&gt;""),AK32*AL32,0)+IF(AND(AM32&lt;&gt;"",AN32&lt;&gt;""),AM32*AN32,0))/AP32)</f>
        <v>68.95</v>
      </c>
      <c r="AP32" s="11">
        <f>IF(OR(A32="",H32="",H32&lt;=0),"",H32+IF(AL32="",0,AL32)+IF(AN32="",0,AN32))</f>
        <v>100</v>
      </c>
      <c r="AQ32" s="5">
        <f>IF(A32="","",IF(M32&lt;&gt;"",0,IF(OR(H32="",N32=""),"",MAX(E32-MAX(N32,IFERROR(SUMPRODUCT(MAX(((持仓跟踪!$A$2:$A$497="每日跟踪")*(持仓跟踪!$B$2:$B$497=A32))*持仓跟踪!$S$2:$S$497)),0)),0)*H32+IF(OR(AK32="",AL32=""),0,MAX(AK32-MAX(N32,IFERROR(SUMPRODUCT(MAX(((持仓跟踪!$A$2:$A$497="每日跟踪")*(持仓跟踪!$B$2:$B$497=A32))*持仓跟踪!$S$2:$S$497)),0)),0)*AL32)+IF(OR(AM32="",AN32=""),0,MAX(AM32-MAX(N32,IFERROR(SUMPRODUCT(MAX(((持仓跟踪!$A$2:$A$497="每日跟踪")*(持仓跟踪!$B$2:$B$497=A32))*持仓跟踪!$S$2:$S$497)),0)),0)*AN32))))</f>
        <v>0</v>
      </c>
      <c r="AR32" s="8" t="str">
        <f ca="1">IF(A32="","",IF(OR(E32="",H32=""),"违规：第一批价格或股数缺失",IF(OR(AND(AK32="",AL32&lt;&gt;""),AND(AK32&lt;&gt;"",AL32="")),"违规：第二批价格与股数须成对填写",IF(OR(AND(AM32="",AN32&lt;&gt;""),AND(AM32&lt;&gt;"",AN32="")),"违规：第三批价格与股数须成对填写",IF(AND(OR(AM32&lt;&gt;"",AN32&lt;&gt;""),OR(AK32="",AL32="")),"违规：必须先完成第二批",IF(OR(H32&lt;=0,H32&lt;&gt;INT(H32),MOD(H32,100)&lt;&gt;0,AND(AL32&lt;&gt;"",OR(AL32&lt;=0,AL32&lt;&gt;INT(AL32),MOD(AL32,100)&lt;&gt;0)),AND(AN32&lt;&gt;"",OR(AN32&lt;=0,AN32&lt;&gt;INT(AN32),MOD(AN32,100)&lt;&gt;0))),"违规：股数须为100股整数倍",IF(AND(OR(AL32&lt;&gt;"",AN32&lt;&gt;""),OR(_LockStatus="已锁仓",_LockStatus="解锁信息不完整")),"违规：锁仓期间禁止加仓",IF(AQ32&gt;C32*D32,"违规：超过单笔风险上限",IF(SUM($AQ$2:$AQ$163)&gt;账户数据!$B$7,"违规：超过账户风险上限","通过")))))))))</f>
        <v>通过</v>
      </c>
    </row>
    <row r="33" ht="17" spans="1:44">
      <c r="A33" s="2">
        <v>32</v>
      </c>
      <c r="B33" s="13" t="s">
        <v>16384</v>
      </c>
      <c r="C33" s="10">
        <v>72115</v>
      </c>
      <c r="D33" s="6">
        <v>0.02</v>
      </c>
      <c r="E33" s="10">
        <v>76.15</v>
      </c>
      <c r="F33" s="8">
        <f>IF(OR(C33="",D33="",E33="",N33="",C33&lt;=0,D33&lt;=0,E33&lt;=N33),"",ROUNDDOWN((C33*D33)/(E33-N33)/100,0)*100)</f>
        <v>100</v>
      </c>
      <c r="G33" s="8" t="str">
        <f ca="1"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COUNTIFS(持仓跟踪!$A$2:$A$497,"止损计划",持仓跟踪!$B$2:$B$497,A33,持仓跟踪!$AC$2:$AC$497,"计划有效")=0,"禁止开仓：请先填写止损计划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3" s="2">
        <v>100</v>
      </c>
      <c r="I33" s="15">
        <v>46091</v>
      </c>
      <c r="J33" s="10">
        <v>90</v>
      </c>
      <c r="K33" s="5">
        <v>79.74</v>
      </c>
      <c r="L33" s="8">
        <v>100</v>
      </c>
      <c r="M33" s="23">
        <v>46104</v>
      </c>
      <c r="N33" s="10">
        <v>66</v>
      </c>
      <c r="O33" s="10"/>
      <c r="P33" s="5" t="str">
        <f>IF(A33="","",IFERROR(LOOKUP(2,1/((持仓跟踪!$B$2:$B$497=A33)*(持仓跟踪!$X$2:$X$497="执行卖出")*(持仓跟踪!$AA$2:$AA$497&lt;&gt;"")),持仓跟踪!$AA$2:$AA$497),""))</f>
        <v/>
      </c>
      <c r="Q33" s="2"/>
      <c r="R33" s="2"/>
      <c r="S33" s="2"/>
      <c r="T33" s="2"/>
      <c r="U33" s="7">
        <f>IF(OR(AO33="",J33="",AO33&lt;=0),"",(J33-AO33)/AO33)</f>
        <v>0.181877872619829</v>
      </c>
      <c r="V33" s="7">
        <f>IF(OR(AO33="",N33="",AO33&lt;=0),"",(AO33-N33)/AO33)</f>
        <v>0.133289560078792</v>
      </c>
      <c r="W33" s="24">
        <f>IF(OR(U33="",V33="",V33&lt;=0),"",U33/V33)</f>
        <v>1.36453201970443</v>
      </c>
      <c r="X33" s="5">
        <f>IF(OR(K33="",L33="",AP33=""),"",K33*L33-(E33*H33+IF(AND(AK33&lt;&gt;"",AL33&lt;&gt;""),AK33*AL33,0)+IF(AND(AM33&lt;&gt;"",AN33&lt;&gt;""),AM33*AN33,0))-IF(O33="",0,O33)-IF(P33="",0,P33))</f>
        <v>358.999999999998</v>
      </c>
      <c r="Y33" s="7">
        <f>IF(OR(X33="",AP33=""),"",IF((E33*H33+IF(AND(AK33&lt;&gt;"",AL33&lt;&gt;""),AK33*AL33,0)+IF(AND(AM33&lt;&gt;"",AN33&lt;&gt;""),AM33*AN33,0))+IF(O33="",0,O33)&lt;=0,"",X33/((E33*H33+IF(AND(AK33&lt;&gt;"",AL33&lt;&gt;""),AK33*AL33,0)+IF(AND(AM33&lt;&gt;"",AN33&lt;&gt;""),AM33*AN33,0))+IF(O33="",0,O33))))</f>
        <v>0.0471437951411685</v>
      </c>
      <c r="Z33" s="7">
        <f>IF(OR(AE33="",多次统计数据!$B$8=""),"",AE33-多次统计数据!$B$8)</f>
        <v>-0.0537689587072492</v>
      </c>
      <c r="AA33" s="11">
        <f>IF(OR(I33="",M33="",M33&lt;I33),"",M33-I33)</f>
        <v>13</v>
      </c>
      <c r="AB33" s="7">
        <f>IF(OR(A33="",多次统计数据!$B$8="",多次统计数据!$B$6&lt;=0,多次统计数据!$B$6&gt;=1),"",1-POWER(1+多次统计数据!$B$8,-多次统计数据!$B$6/(1-多次统计数据!$B$6)))</f>
        <v>0.0315166534281621</v>
      </c>
      <c r="AC33" s="8" t="str">
        <f>IF(OR(AB33="",多次统计数据!$B$9=""),"",IF(多次统计数据!$B$9&lt;AB33,"低于上限","达到或超过上限"))</f>
        <v>低于上限</v>
      </c>
      <c r="AD33" s="2"/>
      <c r="AE33" s="7">
        <f>IF(OR(X33="",C33="",C33&lt;=0),"",X33/C33)</f>
        <v>0.00497815988351935</v>
      </c>
      <c r="AG33" s="2"/>
      <c r="AH33" s="2"/>
      <c r="AI33" s="2"/>
      <c r="AJ33" s="8" t="str">
        <f>IF(OR(AG33="",AH33=""),"",IF(OR(AND(AG33="短期博反弹",OR(AH33="1～3个交易日",AH33="4～10个交易日")),AND(AG33="突破冲新高",OR(AH33="4～10个交易日",AH33="11～20个交易日")),AND(AG33="趋势波段",OR(AH33="11～20个交易日",AH33="21～60个交易日",AH33="60个交易日以上"))),"匹配","周期与交易预期不匹配，请重新确认"))</f>
        <v/>
      </c>
      <c r="AK33" s="10"/>
      <c r="AL33" s="12"/>
      <c r="AM33" s="10"/>
      <c r="AN33" s="12"/>
      <c r="AO33" s="5">
        <f>IF(OR(A33="",H33="",H33&lt;=0),"",(E33*H33+IF(AND(AK33&lt;&gt;"",AL33&lt;&gt;""),AK33*AL33,0)+IF(AND(AM33&lt;&gt;"",AN33&lt;&gt;""),AM33*AN33,0))/AP33)</f>
        <v>76.15</v>
      </c>
      <c r="AP33" s="11">
        <f>IF(OR(A33="",H33="",H33&lt;=0),"",H33+IF(AL33="",0,AL33)+IF(AN33="",0,AN33))</f>
        <v>100</v>
      </c>
      <c r="AQ33" s="5">
        <f>IF(A33="","",IF(M33&lt;&gt;"",0,IF(OR(H33="",N33=""),"",MAX(E33-MAX(N33,IFERROR(SUMPRODUCT(MAX(((持仓跟踪!$A$2:$A$497="每日跟踪")*(持仓跟踪!$B$2:$B$497=A33))*持仓跟踪!$S$2:$S$497)),0)),0)*H33+IF(OR(AK33="",AL33=""),0,MAX(AK33-MAX(N33,IFERROR(SUMPRODUCT(MAX(((持仓跟踪!$A$2:$A$497="每日跟踪")*(持仓跟踪!$B$2:$B$497=A33))*持仓跟踪!$S$2:$S$497)),0)),0)*AL33)+IF(OR(AM33="",AN33=""),0,MAX(AM33-MAX(N33,IFERROR(SUMPRODUCT(MAX(((持仓跟踪!$A$2:$A$497="每日跟踪")*(持仓跟踪!$B$2:$B$497=A33))*持仓跟踪!$S$2:$S$497)),0)),0)*AN33))))</f>
        <v>0</v>
      </c>
      <c r="AR33" s="8" t="str">
        <f ca="1">IF(A33="","",IF(OR(E33="",H33=""),"违规：第一批价格或股数缺失",IF(OR(AND(AK33="",AL33&lt;&gt;""),AND(AK33&lt;&gt;"",AL33="")),"违规：第二批价格与股数须成对填写",IF(OR(AND(AM33="",AN33&lt;&gt;""),AND(AM33&lt;&gt;"",AN33="")),"违规：第三批价格与股数须成对填写",IF(AND(OR(AM33&lt;&gt;"",AN33&lt;&gt;""),OR(AK33="",AL33="")),"违规：必须先完成第二批",IF(OR(H33&lt;=0,H33&lt;&gt;INT(H33),MOD(H33,100)&lt;&gt;0,AND(AL33&lt;&gt;"",OR(AL33&lt;=0,AL33&lt;&gt;INT(AL33),MOD(AL33,100)&lt;&gt;0)),AND(AN33&lt;&gt;"",OR(AN33&lt;=0,AN33&lt;&gt;INT(AN33),MOD(AN33,100)&lt;&gt;0))),"违规：股数须为100股整数倍",IF(AND(OR(AL33&lt;&gt;"",AN33&lt;&gt;""),OR(_LockStatus="已锁仓",_LockStatus="解锁信息不完整")),"违规：锁仓期间禁止加仓",IF(AQ33&gt;C33*D33,"违规：超过单笔风险上限",IF(SUM($AQ$2:$AQ$163)&gt;账户数据!$B$7,"违规：超过账户风险上限","通过")))))))))</f>
        <v>通过</v>
      </c>
    </row>
    <row r="34" ht="17" spans="1:44">
      <c r="A34" s="2">
        <v>33</v>
      </c>
      <c r="B34" s="13" t="s">
        <v>16384</v>
      </c>
      <c r="C34" s="10">
        <v>72474</v>
      </c>
      <c r="D34" s="6">
        <v>0.02</v>
      </c>
      <c r="E34" s="10">
        <v>75.47</v>
      </c>
      <c r="F34" s="8">
        <f>IF(OR(C34="",D34="",E34="",N34="",C34&lt;=0,D34&lt;=0,E34&lt;=N34),"",ROUNDDOWN((C34*D34)/(E34-N34)/100,0)*100)</f>
        <v>100</v>
      </c>
      <c r="G34" s="8" t="str">
        <f ca="1"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COUNTIFS(持仓跟踪!$A$2:$A$497,"止损计划",持仓跟踪!$B$2:$B$497,A34,持仓跟踪!$AC$2:$AC$497,"计划有效")=0,"禁止开仓：请先填写止损计划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4" s="2">
        <v>100</v>
      </c>
      <c r="I34" s="15">
        <v>46112</v>
      </c>
      <c r="J34" s="10">
        <v>90</v>
      </c>
      <c r="K34" s="5">
        <v>130.51</v>
      </c>
      <c r="L34" s="8">
        <v>100</v>
      </c>
      <c r="M34" s="23">
        <v>46205</v>
      </c>
      <c r="N34" s="10">
        <v>67</v>
      </c>
      <c r="O34" s="10"/>
      <c r="P34" s="5" t="str">
        <f>IF(A34="","",IFERROR(LOOKUP(2,1/((持仓跟踪!$B$2:$B$497=A34)*(持仓跟踪!$X$2:$X$497="执行卖出")*(持仓跟踪!$AA$2:$AA$497&lt;&gt;"")),持仓跟踪!$AA$2:$AA$497),""))</f>
        <v/>
      </c>
      <c r="Q34" s="2"/>
      <c r="R34" s="2"/>
      <c r="S34" s="2"/>
      <c r="T34" s="2"/>
      <c r="U34" s="7">
        <f>IF(OR(AO34="",J34="",AO34&lt;=0),"",(J34-AO34)/AO34)</f>
        <v>0.192526831853717</v>
      </c>
      <c r="V34" s="7">
        <f>IF(OR(AO34="",N34="",AO34&lt;=0),"",(AO34-N34)/AO34)</f>
        <v>0.112230025175566</v>
      </c>
      <c r="W34" s="24">
        <f>IF(OR(U34="",V34="",V34&lt;=0),"",U34/V34)</f>
        <v>1.71546635182999</v>
      </c>
      <c r="X34" s="5">
        <f>IF(OR(K34="",L34="",AP34=""),"",K34*L34-(E34*H34+IF(AND(AK34&lt;&gt;"",AL34&lt;&gt;""),AK34*AL34,0)+IF(AND(AM34&lt;&gt;"",AN34&lt;&gt;""),AM34*AN34,0))-IF(O34="",0,O34)-IF(P34="",0,P34))</f>
        <v>5504</v>
      </c>
      <c r="Y34" s="7">
        <f>IF(OR(X34="",AP34=""),"",IF((E34*H34+IF(AND(AK34&lt;&gt;"",AL34&lt;&gt;""),AK34*AL34,0)+IF(AND(AM34&lt;&gt;"",AN34&lt;&gt;""),AM34*AN34,0))+IF(O34="",0,O34)&lt;=0,"",X34/((E34*H34+IF(AND(AK34&lt;&gt;"",AL34&lt;&gt;""),AK34*AL34,0)+IF(AND(AM34&lt;&gt;"",AN34&lt;&gt;""),AM34*AN34,0))+IF(O34="",0,O34))))</f>
        <v>0.729296409169206</v>
      </c>
      <c r="Z34" s="7">
        <f>IF(OR(AE34="",多次统计数据!$B$8=""),"",AE34-多次统计数据!$B$8)</f>
        <v>0.0171973580491299</v>
      </c>
      <c r="AA34" s="11">
        <f>IF(OR(I34="",M34="",M34&lt;I34),"",M34-I34)</f>
        <v>93</v>
      </c>
      <c r="AB34" s="7">
        <f>IF(OR(A34="",多次统计数据!$B$8="",多次统计数据!$B$6&lt;=0,多次统计数据!$B$6&gt;=1),"",1-POWER(1+多次统计数据!$B$8,-多次统计数据!$B$6/(1-多次统计数据!$B$6)))</f>
        <v>0.0315166534281621</v>
      </c>
      <c r="AC34" s="8" t="str">
        <f>IF(OR(AB34="",多次统计数据!$B$9=""),"",IF(多次统计数据!$B$9&lt;AB34,"低于上限","达到或超过上限"))</f>
        <v>低于上限</v>
      </c>
      <c r="AD34" s="2"/>
      <c r="AE34" s="7">
        <f>IF(OR(X34="",C34="",C34&lt;=0),"",X34/C34)</f>
        <v>0.0759444766398985</v>
      </c>
      <c r="AG34" s="2"/>
      <c r="AH34" s="2"/>
      <c r="AI34" s="2"/>
      <c r="AJ34" s="8" t="str">
        <f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/>
      </c>
      <c r="AK34" s="10"/>
      <c r="AL34" s="12"/>
      <c r="AM34" s="10"/>
      <c r="AN34" s="12"/>
      <c r="AO34" s="5">
        <f>IF(OR(A34="",H34="",H34&lt;=0),"",(E34*H34+IF(AND(AK34&lt;&gt;"",AL34&lt;&gt;""),AK34*AL34,0)+IF(AND(AM34&lt;&gt;"",AN34&lt;&gt;""),AM34*AN34,0))/AP34)</f>
        <v>75.47</v>
      </c>
      <c r="AP34" s="11">
        <f>IF(OR(A34="",H34="",H34&lt;=0),"",H34+IF(AL34="",0,AL34)+IF(AN34="",0,AN34))</f>
        <v>100</v>
      </c>
      <c r="AQ34" s="5">
        <f>IF(A34="","",IF(M34&lt;&gt;"",0,IF(OR(H34="",N34=""),"",MAX(E34-MAX(N34,IFERROR(SUMPRODUCT(MAX(((持仓跟踪!$A$2:$A$497="每日跟踪")*(持仓跟踪!$B$2:$B$497=A34))*持仓跟踪!$S$2:$S$497)),0)),0)*H34+IF(OR(AK34="",AL34=""),0,MAX(AK34-MAX(N34,IFERROR(SUMPRODUCT(MAX(((持仓跟踪!$A$2:$A$497="每日跟踪")*(持仓跟踪!$B$2:$B$497=A34))*持仓跟踪!$S$2:$S$497)),0)),0)*AL34)+IF(OR(AM34="",AN34=""),0,MAX(AM34-MAX(N34,IFERROR(SUMPRODUCT(MAX(((持仓跟踪!$A$2:$A$497="每日跟踪")*(持仓跟踪!$B$2:$B$497=A34))*持仓跟踪!$S$2:$S$497)),0)),0)*AN34))))</f>
        <v>0</v>
      </c>
      <c r="AR34" s="8" t="str">
        <f ca="1">IF(A34="","",IF(OR(E34="",H34=""),"违规：第一批价格或股数缺失",IF(OR(AND(AK34="",AL34&lt;&gt;""),AND(AK34&lt;&gt;"",AL34="")),"违规：第二批价格与股数须成对填写",IF(OR(AND(AM34="",AN34&lt;&gt;""),AND(AM34&lt;&gt;"",AN34="")),"违规：第三批价格与股数须成对填写",IF(AND(OR(AM34&lt;&gt;"",AN34&lt;&gt;""),OR(AK34="",AL34="")),"违规：必须先完成第二批",IF(OR(H34&lt;=0,H34&lt;&gt;INT(H34),MOD(H34,100)&lt;&gt;0,AND(AL34&lt;&gt;"",OR(AL34&lt;=0,AL34&lt;&gt;INT(AL34),MOD(AL34,100)&lt;&gt;0)),AND(AN34&lt;&gt;"",OR(AN34&lt;=0,AN34&lt;&gt;INT(AN34),MOD(AN34,100)&lt;&gt;0))),"违规：股数须为100股整数倍",IF(AND(OR(AL34&lt;&gt;"",AN34&lt;&gt;""),OR(_LockStatus="已锁仓",_LockStatus="解锁信息不完整")),"违规：锁仓期间禁止加仓",IF(AQ34&gt;C34*D34,"违规：超过单笔风险上限",IF(SUM($AQ$2:$AQ$163)&gt;账户数据!$B$7,"违规：超过账户风险上限","通过")))))))))</f>
        <v>通过</v>
      </c>
    </row>
    <row r="35" ht="17" spans="1:44">
      <c r="A35" s="2">
        <v>34</v>
      </c>
      <c r="B35" s="13" t="s">
        <v>16384</v>
      </c>
      <c r="C35" s="10">
        <v>77978</v>
      </c>
      <c r="D35" s="6">
        <v>0.02</v>
      </c>
      <c r="E35" s="10">
        <v>112.42</v>
      </c>
      <c r="F35" s="8">
        <f>IF(OR(C35="",D35="",E35="",N35="",C35&lt;=0,D35&lt;=0,E35&lt;=N35),"",ROUNDDOWN((C35*D35)/(E35-N35)/100,0)*100)</f>
        <v>100</v>
      </c>
      <c r="G35" s="8" t="str">
        <f ca="1"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COUNTIFS(持仓跟踪!$A$2:$A$497,"止损计划",持仓跟踪!$B$2:$B$497,A35,持仓跟踪!$AC$2:$AC$497,"计划有效")=0,"禁止开仓：请先填写止损计划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5" s="2">
        <v>100</v>
      </c>
      <c r="I35" s="15">
        <v>46227</v>
      </c>
      <c r="J35" s="10">
        <v>130</v>
      </c>
      <c r="K35" s="5">
        <v>105.25</v>
      </c>
      <c r="L35" s="8">
        <v>100</v>
      </c>
      <c r="M35" s="23">
        <v>46232</v>
      </c>
      <c r="N35" s="10">
        <v>102</v>
      </c>
      <c r="O35" s="10"/>
      <c r="P35" s="5" t="str">
        <f>IF(A35="","",IFERROR(LOOKUP(2,1/((持仓跟踪!$B$2:$B$497=A35)*(持仓跟踪!$X$2:$X$497="执行卖出")*(持仓跟踪!$AA$2:$AA$497&lt;&gt;"")),持仓跟踪!$AA$2:$AA$497),""))</f>
        <v/>
      </c>
      <c r="Q35" s="2"/>
      <c r="R35" s="2"/>
      <c r="S35" s="2"/>
      <c r="T35" s="2"/>
      <c r="U35" s="7">
        <f>IF(OR(AO35="",J35="",AO35&lt;=0),"",(J35-AO35)/AO35)</f>
        <v>0.156377868706636</v>
      </c>
      <c r="V35" s="7">
        <f>IF(OR(AO35="",N35="",AO35&lt;=0),"",(AO35-N35)/AO35)</f>
        <v>0.0926881337840242</v>
      </c>
      <c r="W35" s="24">
        <f>IF(OR(U35="",V35="",V35&lt;=0),"",U35/V35)</f>
        <v>1.68714011516315</v>
      </c>
      <c r="X35" s="5">
        <f>IF(OR(K35="",L35="",AP35=""),"",K35*L35-(E35*H35+IF(AND(AK35&lt;&gt;"",AL35&lt;&gt;""),AK35*AL35,0)+IF(AND(AM35&lt;&gt;"",AN35&lt;&gt;""),AM35*AN35,0))-IF(O35="",0,O35)-IF(P35="",0,P35))</f>
        <v>-717</v>
      </c>
      <c r="Y35" s="7">
        <f>IF(OR(X35="",AP35=""),"",IF((E35*H35+IF(AND(AK35&lt;&gt;"",AL35&lt;&gt;""),AK35*AL35,0)+IF(AND(AM35&lt;&gt;"",AN35&lt;&gt;""),AM35*AN35,0))+IF(O35="",0,O35)&lt;=0,"",X35/((E35*H35+IF(AND(AK35&lt;&gt;"",AL35&lt;&gt;""),AK35*AL35,0)+IF(AND(AM35&lt;&gt;"",AN35&lt;&gt;""),AM35*AN35,0))+IF(O35="",0,O35))))</f>
        <v>-0.0637786870663583</v>
      </c>
      <c r="Z35" s="7">
        <f>IF(OR(AE35="",多次统计数据!$B$8=""),"",AE35-多次统计数据!$B$8)</f>
        <v>-0.0679420197167272</v>
      </c>
      <c r="AA35" s="11">
        <f>IF(OR(I35="",M35="",M35&lt;I35),"",M35-I35)</f>
        <v>5</v>
      </c>
      <c r="AB35" s="7">
        <f>IF(OR(A35="",多次统计数据!$B$8="",多次统计数据!$B$6&lt;=0,多次统计数据!$B$6&gt;=1),"",1-POWER(1+多次统计数据!$B$8,-多次统计数据!$B$6/(1-多次统计数据!$B$6)))</f>
        <v>0.0315166534281621</v>
      </c>
      <c r="AC35" s="8" t="str">
        <f>IF(OR(AB35="",多次统计数据!$B$9=""),"",IF(多次统计数据!$B$9&lt;AB35,"低于上限","达到或超过上限"))</f>
        <v>低于上限</v>
      </c>
      <c r="AD35" s="2"/>
      <c r="AE35" s="7">
        <f>IF(OR(X35="",C35="",C35&lt;=0),"",X35/C35)</f>
        <v>-0.0091949011259586</v>
      </c>
      <c r="AG35" s="2"/>
      <c r="AH35" s="2"/>
      <c r="AI35" s="2"/>
      <c r="AJ35" s="8" t="str">
        <f>IF(OR(AG35="",AH35=""),"",IF(OR(AND(AG35="短期博反弹",OR(AH35="1～3个交易日",AH35="4～10个交易日")),AND(AG35="突破冲新高",OR(AH35="4～10个交易日",AH35="11～20个交易日")),AND(AG35="趋势波段",OR(AH35="11～20个交易日",AH35="21～60个交易日",AH35="60个交易日以上"))),"匹配","周期与交易预期不匹配，请重新确认"))</f>
        <v/>
      </c>
      <c r="AK35" s="10"/>
      <c r="AL35" s="12"/>
      <c r="AM35" s="10"/>
      <c r="AN35" s="12"/>
      <c r="AO35" s="5">
        <f>IF(OR(A35="",H35="",H35&lt;=0),"",(E35*H35+IF(AND(AK35&lt;&gt;"",AL35&lt;&gt;""),AK35*AL35,0)+IF(AND(AM35&lt;&gt;"",AN35&lt;&gt;""),AM35*AN35,0))/AP35)</f>
        <v>112.42</v>
      </c>
      <c r="AP35" s="11">
        <f>IF(OR(A35="",H35="",H35&lt;=0),"",H35+IF(AL35="",0,AL35)+IF(AN35="",0,AN35))</f>
        <v>100</v>
      </c>
      <c r="AQ35" s="5">
        <f>IF(A35="","",IF(M35&lt;&gt;"",0,IF(OR(H35="",N35=""),"",MAX(E35-MAX(N35,IFERROR(SUMPRODUCT(MAX(((持仓跟踪!$A$2:$A$497="每日跟踪")*(持仓跟踪!$B$2:$B$497=A35))*持仓跟踪!$S$2:$S$497)),0)),0)*H35+IF(OR(AK35="",AL35=""),0,MAX(AK35-MAX(N35,IFERROR(SUMPRODUCT(MAX(((持仓跟踪!$A$2:$A$497="每日跟踪")*(持仓跟踪!$B$2:$B$497=A35))*持仓跟踪!$S$2:$S$497)),0)),0)*AL35)+IF(OR(AM35="",AN35=""),0,MAX(AM35-MAX(N35,IFERROR(SUMPRODUCT(MAX(((持仓跟踪!$A$2:$A$497="每日跟踪")*(持仓跟踪!$B$2:$B$497=A35))*持仓跟踪!$S$2:$S$497)),0)),0)*AN35))))</f>
        <v>0</v>
      </c>
      <c r="AR35" s="8" t="str">
        <f ca="1">IF(A35="","",IF(OR(E35="",H35=""),"违规：第一批价格或股数缺失",IF(OR(AND(AK35="",AL35&lt;&gt;""),AND(AK35&lt;&gt;"",AL35="")),"违规：第二批价格与股数须成对填写",IF(OR(AND(AM35="",AN35&lt;&gt;""),AND(AM35&lt;&gt;"",AN35="")),"违规：第三批价格与股数须成对填写",IF(AND(OR(AM35&lt;&gt;"",AN35&lt;&gt;""),OR(AK35="",AL35="")),"违规：必须先完成第二批",IF(OR(H35&lt;=0,H35&lt;&gt;INT(H35),MOD(H35,100)&lt;&gt;0,AND(AL35&lt;&gt;"",OR(AL35&lt;=0,AL35&lt;&gt;INT(AL35),MOD(AL35,100)&lt;&gt;0)),AND(AN35&lt;&gt;"",OR(AN35&lt;=0,AN35&lt;&gt;INT(AN35),MOD(AN35,100)&lt;&gt;0))),"违规：股数须为100股整数倍",IF(AND(OR(AL35&lt;&gt;"",AN35&lt;&gt;""),OR(_LockStatus="已锁仓",_LockStatus="解锁信息不完整")),"违规：锁仓期间禁止加仓",IF(AQ35&gt;C35*D35,"违规：超过单笔风险上限",IF(SUM($AQ$2:$AQ$163)&gt;账户数据!$B$7,"违规：超过账户风险上限","通过")))))))))</f>
        <v>通过</v>
      </c>
    </row>
    <row r="36" ht="17" spans="1:44">
      <c r="A36" s="2">
        <v>34</v>
      </c>
      <c r="B36" s="36" t="s">
        <v>16385</v>
      </c>
      <c r="C36" s="10">
        <v>77261</v>
      </c>
      <c r="D36" s="6">
        <v>0.02</v>
      </c>
      <c r="E36" s="10">
        <v>27.42</v>
      </c>
      <c r="F36" s="8">
        <f>IF(OR(C36="",D36="",E36="",N36="",C36&lt;=0,D36&lt;=0,E36&lt;=N36),"",ROUNDDOWN((C36*D36)/(E36-N36)/100,0)*100)</f>
        <v>600</v>
      </c>
      <c r="G36" s="8" t="str">
        <f ca="1"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COUNTIFS(持仓跟踪!$A$2:$A$497,"止损计划",持仓跟踪!$B$2:$B$497,A36,持仓跟踪!$AC$2:$AC$497,"计划有效")=0,"禁止开仓：请先填写止损计划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6" s="2">
        <v>600</v>
      </c>
      <c r="I36" s="15">
        <v>43451</v>
      </c>
      <c r="J36" s="10">
        <v>32</v>
      </c>
      <c r="K36" s="5">
        <v>44.41</v>
      </c>
      <c r="L36" s="8">
        <v>600</v>
      </c>
      <c r="M36" s="23">
        <v>43550</v>
      </c>
      <c r="N36" s="10">
        <v>25</v>
      </c>
      <c r="O36" s="10"/>
      <c r="P36" s="5" t="str">
        <f>IF(A36="","",IFERROR(LOOKUP(2,1/((持仓跟踪!$B$2:$B$497=A36)*(持仓跟踪!$X$2:$X$497="执行卖出")*(持仓跟踪!$AA$2:$AA$497&lt;&gt;"")),持仓跟踪!$AA$2:$AA$497),""))</f>
        <v/>
      </c>
      <c r="Q36" s="2"/>
      <c r="R36" s="2"/>
      <c r="S36" s="2"/>
      <c r="T36" s="2"/>
      <c r="U36" s="7">
        <f>IF(OR(AO36="",J36="",AO36&lt;=0),"",(J36-AO36)/AO36)</f>
        <v>0.167031363967907</v>
      </c>
      <c r="V36" s="7">
        <f>IF(OR(AO36="",N36="",AO36&lt;=0),"",(AO36-N36)/AO36)</f>
        <v>0.088256746900073</v>
      </c>
      <c r="W36" s="24">
        <f>IF(OR(U36="",V36="",V36&lt;=0),"",U36/V36)</f>
        <v>1.89256198347107</v>
      </c>
      <c r="X36" s="5">
        <f>IF(OR(K36="",L36="",AP36=""),"",K36*L36-(E36*H36+IF(AND(AK36&lt;&gt;"",AL36&lt;&gt;""),AK36*AL36,0)+IF(AND(AM36&lt;&gt;"",AN36&lt;&gt;""),AM36*AN36,0))-IF(O36="",0,O36)-IF(P36="",0,P36))</f>
        <v>10194</v>
      </c>
      <c r="Y36" s="7">
        <f>IF(OR(X36="",AP36=""),"",IF((E36*H36+IF(AND(AK36&lt;&gt;"",AL36&lt;&gt;""),AK36*AL36,0)+IF(AND(AM36&lt;&gt;"",AN36&lt;&gt;""),AM36*AN36,0))+IF(O36="",0,O36)&lt;=0,"",X36/((E36*H36+IF(AND(AK36&lt;&gt;"",AL36&lt;&gt;""),AK36*AL36,0)+IF(AND(AM36&lt;&gt;"",AN36&lt;&gt;""),AM36*AN36,0))+IF(O36="",0,O36))))</f>
        <v>0.61962071480671</v>
      </c>
      <c r="Z36" s="7">
        <f>IF(OR(AE36="",多次统计数据!$B$8=""),"",AE36-多次统计数据!$B$8)</f>
        <v>0.0731952585464675</v>
      </c>
      <c r="AA36" s="11">
        <f>IF(OR(I36="",M36="",M36&lt;I36),"",M36-I36)</f>
        <v>99</v>
      </c>
      <c r="AB36" s="7">
        <f>IF(OR(A36="",多次统计数据!$B$8="",多次统计数据!$B$6&lt;=0,多次统计数据!$B$6&gt;=1),"",1-POWER(1+多次统计数据!$B$8,-多次统计数据!$B$6/(1-多次统计数据!$B$6)))</f>
        <v>0.0315166534281621</v>
      </c>
      <c r="AC36" s="8" t="str">
        <f>IF(OR(AB36="",多次统计数据!$B$9=""),"",IF(多次统计数据!$B$9&lt;AB36,"低于上限","达到或超过上限"))</f>
        <v>低于上限</v>
      </c>
      <c r="AD36" s="2"/>
      <c r="AE36" s="7">
        <f>IF(OR(X36="",C36="",C36&lt;=0),"",X36/C36)</f>
        <v>0.131942377137236</v>
      </c>
      <c r="AG36" s="2"/>
      <c r="AH36" s="2"/>
      <c r="AI36" s="2"/>
      <c r="AJ36" s="8" t="str">
        <f>IF(OR(AG36="",AH36=""),"",IF(OR(AND(AG36="短期博反弹",OR(AH36="1～3个交易日",AH36="4～10个交易日")),AND(AG36="突破冲新高",OR(AH36="4～10个交易日",AH36="11～20个交易日")),AND(AG36="趋势波段",OR(AH36="11～20个交易日",AH36="21～60个交易日",AH36="60个交易日以上"))),"匹配","周期与交易预期不匹配，请重新确认"))</f>
        <v/>
      </c>
      <c r="AK36" s="10"/>
      <c r="AL36" s="12"/>
      <c r="AM36" s="10"/>
      <c r="AN36" s="12"/>
      <c r="AO36" s="5">
        <f>IF(OR(A36="",H36="",H36&lt;=0),"",(E36*H36+IF(AND(AK36&lt;&gt;"",AL36&lt;&gt;""),AK36*AL36,0)+IF(AND(AM36&lt;&gt;"",AN36&lt;&gt;""),AM36*AN36,0))/AP36)</f>
        <v>27.42</v>
      </c>
      <c r="AP36" s="11">
        <f>IF(OR(A36="",H36="",H36&lt;=0),"",H36+IF(AL36="",0,AL36)+IF(AN36="",0,AN36))</f>
        <v>600</v>
      </c>
      <c r="AQ36" s="5">
        <f>IF(A36="","",IF(M36&lt;&gt;"",0,IF(OR(H36="",N36=""),"",MAX(E36-MAX(N36,IFERROR(SUMPRODUCT(MAX(((持仓跟踪!$A$2:$A$497="每日跟踪")*(持仓跟踪!$B$2:$B$497=A36))*持仓跟踪!$S$2:$S$497)),0)),0)*H36+IF(OR(AK36="",AL36=""),0,MAX(AK36-MAX(N36,IFERROR(SUMPRODUCT(MAX(((持仓跟踪!$A$2:$A$497="每日跟踪")*(持仓跟踪!$B$2:$B$497=A36))*持仓跟踪!$S$2:$S$497)),0)),0)*AL36)+IF(OR(AM36="",AN36=""),0,MAX(AM36-MAX(N36,IFERROR(SUMPRODUCT(MAX(((持仓跟踪!$A$2:$A$497="每日跟踪")*(持仓跟踪!$B$2:$B$497=A36))*持仓跟踪!$S$2:$S$497)),0)),0)*AN36))))</f>
        <v>0</v>
      </c>
      <c r="AR36" s="8" t="str">
        <f ca="1">IF(A36="","",IF(OR(E36="",H36=""),"违规：第一批价格或股数缺失",IF(OR(AND(AK36="",AL36&lt;&gt;""),AND(AK36&lt;&gt;"",AL36="")),"违规：第二批价格与股数须成对填写",IF(OR(AND(AM36="",AN36&lt;&gt;""),AND(AM36&lt;&gt;"",AN36="")),"违规：第三批价格与股数须成对填写",IF(AND(OR(AM36&lt;&gt;"",AN36&lt;&gt;""),OR(AK36="",AL36="")),"违规：必须先完成第二批",IF(OR(H36&lt;=0,H36&lt;&gt;INT(H36),MOD(H36,100)&lt;&gt;0,AND(AL36&lt;&gt;"",OR(AL36&lt;=0,AL36&lt;&gt;INT(AL36),MOD(AL36,100)&lt;&gt;0)),AND(AN36&lt;&gt;"",OR(AN36&lt;=0,AN36&lt;&gt;INT(AN36),MOD(AN36,100)&lt;&gt;0))),"违规：股数须为100股整数倍",IF(AND(OR(AL36&lt;&gt;"",AN36&lt;&gt;""),OR(_LockStatus="已锁仓",_LockStatus="解锁信息不完整")),"违规：锁仓期间禁止加仓",IF(AQ36&gt;C36*D36,"违规：超过单笔风险上限",IF(SUM($AQ$2:$AQ$163)&gt;账户数据!$B$7,"违规：超过账户风险上限","通过")))))))))</f>
        <v>通过</v>
      </c>
    </row>
    <row r="37" ht="15" customHeight="1" spans="1:44">
      <c r="A37" s="2">
        <v>35</v>
      </c>
      <c r="B37" s="36" t="s">
        <v>16385</v>
      </c>
      <c r="C37" s="10">
        <v>87445</v>
      </c>
      <c r="D37" s="6">
        <v>0.02</v>
      </c>
      <c r="E37" s="10">
        <v>38.56</v>
      </c>
      <c r="F37" s="8">
        <f>IF(OR(C37="",D37="",E37="",N37="",C37&lt;=0,D37&lt;=0,E37&lt;=N37),"",ROUNDDOWN((C37*D37)/(E37-N37)/100,0)*100)</f>
        <v>400</v>
      </c>
      <c r="G37" s="8" t="str">
        <f ca="1"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COUNTIFS(持仓跟踪!$A$2:$A$497,"止损计划",持仓跟踪!$B$2:$B$497,A37,持仓跟踪!$AC$2:$AC$497,"计划有效")=0,"禁止开仓：请先填写止损计划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7" s="2">
        <v>400</v>
      </c>
      <c r="I37" s="15">
        <v>43619</v>
      </c>
      <c r="J37" s="10">
        <v>45</v>
      </c>
      <c r="K37" s="5">
        <v>69.94</v>
      </c>
      <c r="L37" s="8">
        <v>400</v>
      </c>
      <c r="M37" s="23">
        <v>43746</v>
      </c>
      <c r="N37" s="10">
        <v>35</v>
      </c>
      <c r="O37" s="10"/>
      <c r="P37" s="5" t="str">
        <f>IF(A37="","",IFERROR(LOOKUP(2,1/((持仓跟踪!$B$2:$B$497=A37)*(持仓跟踪!$X$2:$X$497="执行卖出")*(持仓跟踪!$AA$2:$AA$497&lt;&gt;"")),持仓跟踪!$AA$2:$AA$497),""))</f>
        <v/>
      </c>
      <c r="Q37" s="2"/>
      <c r="R37" s="2"/>
      <c r="S37" s="2"/>
      <c r="T37" s="2"/>
      <c r="U37" s="7">
        <f>IF(OR(AO37="",J37="",AO37&lt;=0),"",(J37-AO37)/AO37)</f>
        <v>0.16701244813278</v>
      </c>
      <c r="V37" s="7">
        <f>IF(OR(AO37="",N37="",AO37&lt;=0),"",(AO37-N37)/AO37)</f>
        <v>0.0923236514522822</v>
      </c>
      <c r="W37" s="24">
        <f>IF(OR(U37="",V37="",V37&lt;=0),"",U37/V37)</f>
        <v>1.80898876404494</v>
      </c>
      <c r="X37" s="5">
        <f>IF(OR(K37="",L37="",AP37=""),"",K37*L37-(E37*H37+IF(AND(AK37&lt;&gt;"",AL37&lt;&gt;""),AK37*AL37,0)+IF(AND(AM37&lt;&gt;"",AN37&lt;&gt;""),AM37*AN37,0))-IF(O37="",0,O37)-IF(P37="",0,P37))</f>
        <v>12552</v>
      </c>
      <c r="Y37" s="7">
        <f>IF(OR(X37="",AP37=""),"",IF((E37*H37+IF(AND(AK37&lt;&gt;"",AL37&lt;&gt;""),AK37*AL37,0)+IF(AND(AM37&lt;&gt;"",AN37&lt;&gt;""),AM37*AN37,0))+IF(O37="",0,O37)&lt;=0,"",X37/((E37*H37+IF(AND(AK37&lt;&gt;"",AL37&lt;&gt;""),AK37*AL37,0)+IF(AND(AM37&lt;&gt;"",AN37&lt;&gt;""),AM37*AN37,0))+IF(O37="",0,O37))))</f>
        <v>0.813796680497925</v>
      </c>
      <c r="Z37" s="7">
        <f>IF(OR(AE37="",多次统计数据!$B$8=""),"",AE37-多次统计数据!$B$8)</f>
        <v>0.0847945361636485</v>
      </c>
      <c r="AA37" s="11">
        <f>IF(OR(I37="",M37="",M37&lt;I37),"",M37-I37)</f>
        <v>127</v>
      </c>
      <c r="AB37" s="7">
        <f>IF(OR(A37="",多次统计数据!$B$8="",多次统计数据!$B$6&lt;=0,多次统计数据!$B$6&gt;=1),"",1-POWER(1+多次统计数据!$B$8,-多次统计数据!$B$6/(1-多次统计数据!$B$6)))</f>
        <v>0.0315166534281621</v>
      </c>
      <c r="AC37" s="8" t="str">
        <f>IF(OR(AB37="",多次统计数据!$B$9=""),"",IF(多次统计数据!$B$9&lt;AB37,"低于上限","达到或超过上限"))</f>
        <v>低于上限</v>
      </c>
      <c r="AD37" s="2"/>
      <c r="AE37" s="7">
        <f>IF(OR(X37="",C37="",C37&lt;=0),"",X37/C37)</f>
        <v>0.143541654754417</v>
      </c>
      <c r="AG37" s="2"/>
      <c r="AH37" s="2"/>
      <c r="AI37" s="2"/>
      <c r="AJ37" s="8" t="str">
        <f>IF(OR(AG37="",AH37=""),"",IF(OR(AND(AG37="短期博反弹",OR(AH37="1～3个交易日",AH37="4～10个交易日")),AND(AG37="突破冲新高",OR(AH37="4～10个交易日",AH37="11～20个交易日")),AND(AG37="趋势波段",OR(AH37="11～20个交易日",AH37="21～60个交易日",AH37="60个交易日以上"))),"匹配","周期与交易预期不匹配，请重新确认"))</f>
        <v/>
      </c>
      <c r="AK37" s="10"/>
      <c r="AL37" s="12"/>
      <c r="AM37" s="10"/>
      <c r="AN37" s="12"/>
      <c r="AO37" s="5">
        <f>IF(OR(A37="",H37="",H37&lt;=0),"",(E37*H37+IF(AND(AK37&lt;&gt;"",AL37&lt;&gt;""),AK37*AL37,0)+IF(AND(AM37&lt;&gt;"",AN37&lt;&gt;""),AM37*AN37,0))/AP37)</f>
        <v>38.56</v>
      </c>
      <c r="AP37" s="11">
        <f>IF(OR(A37="",H37="",H37&lt;=0),"",H37+IF(AL37="",0,AL37)+IF(AN37="",0,AN37))</f>
        <v>400</v>
      </c>
      <c r="AQ37" s="5">
        <f>IF(A37="","",IF(M37&lt;&gt;"",0,IF(OR(H37="",N37=""),"",MAX(E37-MAX(N37,IFERROR(SUMPRODUCT(MAX(((持仓跟踪!$A$2:$A$497="每日跟踪")*(持仓跟踪!$B$2:$B$497=A37))*持仓跟踪!$S$2:$S$497)),0)),0)*H37+IF(OR(AK37="",AL37=""),0,MAX(AK37-MAX(N37,IFERROR(SUMPRODUCT(MAX(((持仓跟踪!$A$2:$A$497="每日跟踪")*(持仓跟踪!$B$2:$B$497=A37))*持仓跟踪!$S$2:$S$497)),0)),0)*AL37)+IF(OR(AM37="",AN37=""),0,MAX(AM37-MAX(N37,IFERROR(SUMPRODUCT(MAX(((持仓跟踪!$A$2:$A$497="每日跟踪")*(持仓跟踪!$B$2:$B$497=A37))*持仓跟踪!$S$2:$S$497)),0)),0)*AN37))))</f>
        <v>0</v>
      </c>
      <c r="AR37" s="8" t="str">
        <f ca="1">IF(A37="","",IF(OR(E37="",H37=""),"违规：第一批价格或股数缺失",IF(OR(AND(AK37="",AL37&lt;&gt;""),AND(AK37&lt;&gt;"",AL37="")),"违规：第二批价格与股数须成对填写",IF(OR(AND(AM37="",AN37&lt;&gt;""),AND(AM37&lt;&gt;"",AN37="")),"违规：第三批价格与股数须成对填写",IF(AND(OR(AM37&lt;&gt;"",AN37&lt;&gt;""),OR(AK37="",AL37="")),"违规：必须先完成第二批",IF(OR(H37&lt;=0,H37&lt;&gt;INT(H37),MOD(H37,100)&lt;&gt;0,AND(AL37&lt;&gt;"",OR(AL37&lt;=0,AL37&lt;&gt;INT(AL37),MOD(AL37,100)&lt;&gt;0)),AND(AN37&lt;&gt;"",OR(AN37&lt;=0,AN37&lt;&gt;INT(AN37),MOD(AN37,100)&lt;&gt;0))),"违规：股数须为100股整数倍",IF(AND(OR(AL37&lt;&gt;"",AN37&lt;&gt;""),OR(_LockStatus="已锁仓",_LockStatus="解锁信息不完整")),"违规：锁仓期间禁止加仓",IF(AQ37&gt;C37*D37,"违规：超过单笔风险上限",IF(SUM($AQ$2:$AQ$163)&gt;账户数据!$B$7,"违规：超过账户风险上限","通过")))))))))</f>
        <v>通过</v>
      </c>
    </row>
    <row r="38" ht="15" customHeight="1" spans="1:44">
      <c r="A38" s="2">
        <v>36</v>
      </c>
      <c r="B38" s="36" t="s">
        <v>16385</v>
      </c>
      <c r="C38" s="10">
        <v>100007</v>
      </c>
      <c r="D38" s="6">
        <v>0.02</v>
      </c>
      <c r="E38" s="10">
        <v>77.03</v>
      </c>
      <c r="F38" s="8">
        <f>IF(OR(C38="",D38="",E38="",N38="",C38&lt;=0,D38&lt;=0,E38&lt;=N38),"",ROUNDDOWN((C38*D38)/(E38-N38)/100,0)*100)</f>
        <v>200</v>
      </c>
      <c r="G38" s="8" t="str">
        <f>IF(OR(A38="",F38="",E38="",N38="",E38&lt;=N38,账户数据!$B$7=""),"",IF(账户数据!$B$9+IF(H38="",F38*(E38-N38),0)&gt;=账户数据!$B$7,"禁止开仓","允许开仓"))</f>
        <v>允许开仓</v>
      </c>
      <c r="H38" s="2">
        <v>200</v>
      </c>
      <c r="I38" s="15">
        <v>43734</v>
      </c>
      <c r="J38" s="10">
        <v>90</v>
      </c>
      <c r="K38" s="5">
        <v>69.89</v>
      </c>
      <c r="L38" s="8">
        <f>IF(K38="","",H38)</f>
        <v>200</v>
      </c>
      <c r="M38" s="23">
        <v>43826</v>
      </c>
      <c r="N38" s="10">
        <v>70</v>
      </c>
      <c r="O38" s="10"/>
      <c r="P38" s="5" t="str">
        <f>IF(A38="","",IFERROR(LOOKUP(2,1/((持仓跟踪!$B$2:$B$497=A38)*(持仓跟踪!$X$2:$X$497="执行卖出")*(持仓跟踪!$AA$2:$AA$497&lt;&gt;"")),持仓跟踪!$AA$2:$AA$497),""))</f>
        <v/>
      </c>
      <c r="Q38" s="2"/>
      <c r="R38" s="2"/>
      <c r="S38" s="2"/>
      <c r="T38" s="2"/>
      <c r="U38" s="7">
        <f>IF(OR(E38="",J38="",E38&lt;=0),"",(J38-E38)/E38)</f>
        <v>0.168375957419187</v>
      </c>
      <c r="V38" s="7">
        <f>IF(OR(E38="",N38="",E38&lt;=0),"",(E38-N38)/E38)</f>
        <v>0.091263144229521</v>
      </c>
      <c r="W38" s="24">
        <f>IF(OR(U38="",V38="",V38&lt;=0),"",U38/V38)</f>
        <v>1.84495021337127</v>
      </c>
      <c r="X38" s="5">
        <f>IF(OR(K38="",L38="",E38="",H38=""),"",K38*L38-E38*H38-IF(O38="",0,O38)-IF(P38="",0,P38))</f>
        <v>-1428</v>
      </c>
      <c r="Y38" s="7">
        <f>IF(OR(X38="",E38="",H38=""),"",IF(E38*H38+IF(O38="",0,O38)&lt;=0,"",X38/(E38*H38+IF(O38="",0,O38))))</f>
        <v>-0.0926911592885889</v>
      </c>
      <c r="Z38" s="7">
        <f>IF(OR(AE38="",多次统计数据!$B$8=""),"",AE38-多次统计数据!$B$8)</f>
        <v>-0.0730261190607357</v>
      </c>
      <c r="AA38" s="11">
        <f>IF(OR(I38="",M38="",M38&lt;I38),"",M38-I38)</f>
        <v>92</v>
      </c>
      <c r="AB38" s="7">
        <f>IF(OR(A38="",多次统计数据!$B$8="",多次统计数据!$B$6&lt;=0,多次统计数据!$B$6&gt;=1),"",1-POWER(1+多次统计数据!$B$8,-多次统计数据!$B$6/(1-多次统计数据!$B$6)))</f>
        <v>0.0315166534281621</v>
      </c>
      <c r="AC38" s="8" t="str">
        <f>IF(OR(AB38="",多次统计数据!$B$9=""),"",IF(多次统计数据!$B$9&lt;AB38,"低于上限","达到或超过上限"))</f>
        <v>低于上限</v>
      </c>
      <c r="AD38" s="2"/>
      <c r="AE38" s="7">
        <f>IF(OR(X38="",C38="",C38&lt;=0),"",X38/C38)</f>
        <v>-0.0142790004699671</v>
      </c>
      <c r="AG38" s="2"/>
      <c r="AH38" s="2"/>
      <c r="AI38" s="2"/>
      <c r="AJ38" s="8" t="str">
        <f>IF(OR(AG38="",AH38=""),"",IF(OR(AND(AG38="短期博反弹",OR(AH38="1～3个交易日",AH38="4～10个交易日")),AND(AG38="突破冲新高",OR(AH38="4～10个交易日",AH38="11～20个交易日")),AND(AG38="趋势波段",OR(AH38="11～20个交易日",AH38="21～60个交易日",AH38="60个交易日以上"))),"匹配","周期与交易预期不匹配，请重新确认"))</f>
        <v/>
      </c>
      <c r="AK38" s="10"/>
      <c r="AL38" s="12"/>
      <c r="AM38" s="10"/>
      <c r="AN38" s="12"/>
      <c r="AO38" s="5">
        <f>IF(OR(A38="",H38="",H38&lt;=0),"",(E38*H38+IF(AND(AK38&lt;&gt;"",AL38&lt;&gt;""),AK38*AL38,0)+IF(AND(AM38&lt;&gt;"",AN38&lt;&gt;""),AM38*AN38,0))/AP38)</f>
        <v>77.03</v>
      </c>
      <c r="AP38" s="11">
        <f>IF(OR(A38="",H38="",H38&lt;=0),"",H38+IF(AL38="",0,AL38)+IF(AN38="",0,AN38))</f>
        <v>200</v>
      </c>
      <c r="AQ38" s="5">
        <f>IF(A38="","",IF(M38&lt;&gt;"",0,IF(OR(H38="",N38=""),"",MAX(E38-MAX(N38,IFERROR(SUMPRODUCT(MAX(((持仓跟踪!$A$2:$A$497="每日跟踪")*(持仓跟踪!$B$2:$B$497=A38))*持仓跟踪!$S$2:$S$497)),0)),0)*H38+IF(OR(AK38="",AL38=""),0,MAX(AK38-MAX(N38,IFERROR(SUMPRODUCT(MAX(((持仓跟踪!$A$2:$A$497="每日跟踪")*(持仓跟踪!$B$2:$B$497=A38))*持仓跟踪!$S$2:$S$497)),0)),0)*AL38)+IF(OR(AM38="",AN38=""),0,MAX(AM38-MAX(N38,IFERROR(SUMPRODUCT(MAX(((持仓跟踪!$A$2:$A$497="每日跟踪")*(持仓跟踪!$B$2:$B$497=A38))*持仓跟踪!$S$2:$S$497)),0)),0)*AN38))))</f>
        <v>0</v>
      </c>
      <c r="AR38" s="8" t="str">
        <f ca="1">IF(A38="","",IF(OR(E38="",H38=""),"违规：第一批价格或股数缺失",IF(OR(AND(AK38="",AL38&lt;&gt;""),AND(AK38&lt;&gt;"",AL38="")),"违规：第二批价格与股数须成对填写",IF(OR(AND(AM38="",AN38&lt;&gt;""),AND(AM38&lt;&gt;"",AN38="")),"违规：第三批价格与股数须成对填写",IF(AND(OR(AM38&lt;&gt;"",AN38&lt;&gt;""),OR(AK38="",AL38="")),"违规：必须先完成第二批",IF(OR(H38&lt;=0,H38&lt;&gt;INT(H38),MOD(H38,100)&lt;&gt;0,AND(AL38&lt;&gt;"",OR(AL38&lt;=0,AL38&lt;&gt;INT(AL38),MOD(AL38,100)&lt;&gt;0)),AND(AN38&lt;&gt;"",OR(AN38&lt;=0,AN38&lt;&gt;INT(AN38),MOD(AN38,100)&lt;&gt;0))),"违规：股数须为100股整数倍",IF(AND(OR(AL38&lt;&gt;"",AN38&lt;&gt;""),OR(_LockStatus="已锁仓",_LockStatus="解锁信息不完整")),"违规：锁仓期间禁止加仓",IF(AQ38&gt;C38*D38,"违规：超过单笔风险上限",IF(SUM($AQ$2:$AQ$163)&gt;账户数据!$B$7,"违规：超过账户风险上限","通过")))))))))</f>
        <v>通过</v>
      </c>
    </row>
    <row r="39" ht="17" spans="1:44">
      <c r="A39" s="2">
        <v>37</v>
      </c>
      <c r="B39" s="36" t="s">
        <v>16385</v>
      </c>
      <c r="C39" s="10">
        <v>98579</v>
      </c>
      <c r="D39" s="6">
        <v>0.02</v>
      </c>
      <c r="E39" s="10">
        <v>75.8</v>
      </c>
      <c r="F39" s="8">
        <f>IF(OR(C39="",D39="",E39="",N39="",C39&lt;=0,D39&lt;=0,E39&lt;=N39),"",ROUNDDOWN((C39*D39)/(E39-N39)/100,0)*100)</f>
        <v>200</v>
      </c>
      <c r="G39" s="8" t="str">
        <f ca="1"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COUNTIFS(持仓跟踪!$A$2:$A$497,"止损计划",持仓跟踪!$B$2:$B$497,A39,持仓跟踪!$AC$2:$AC$497,"计划有效")=0,"禁止开仓：请先填写止损计划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9" s="2">
        <v>200</v>
      </c>
      <c r="I39" s="15">
        <v>43829</v>
      </c>
      <c r="J39" s="10">
        <v>90</v>
      </c>
      <c r="K39" s="10">
        <v>83.36</v>
      </c>
      <c r="L39" s="8">
        <f>IF(K39="","",H39)</f>
        <v>200</v>
      </c>
      <c r="M39" s="15">
        <v>43866</v>
      </c>
      <c r="N39" s="10">
        <v>67</v>
      </c>
      <c r="O39" s="10"/>
      <c r="P39" s="10"/>
      <c r="Q39" s="2"/>
      <c r="R39" s="2"/>
      <c r="S39" s="2"/>
      <c r="T39" s="2"/>
      <c r="U39" s="7">
        <f>IF(OR(AO39="",J39="",AO39&lt;=0),"",(J39-AO39)/AO39)</f>
        <v>0.187335092348285</v>
      </c>
      <c r="V39" s="7">
        <f>IF(OR(AO39="",N39="",AO39&lt;=0),"",(AO39-N39)/AO39)</f>
        <v>0.116094986807388</v>
      </c>
      <c r="W39" s="24">
        <f>IF(OR(U39="",V39="",V39&lt;=0),"",U39/V39)</f>
        <v>1.61363636363636</v>
      </c>
      <c r="X39" s="5">
        <f>IF(OR(K39="",L39="",AP39=""),"",K39*L39-(E39*H39+IF(AND(AK39&lt;&gt;"",AL39&lt;&gt;""),AK39*AL39,0)+IF(AND(AM39&lt;&gt;"",AN39&lt;&gt;""),AM39*AN39,0))-IF(O39="",0,O39)-IF(P39="",0,P39))</f>
        <v>1512</v>
      </c>
      <c r="Y39" s="7">
        <f>IF(OR(X39="",AP39=""),"",IF((E39*H39+IF(AND(AK39&lt;&gt;"",AL39&lt;&gt;""),AK39*AL39,0)+IF(AND(AM39&lt;&gt;"",AN39&lt;&gt;""),AM39*AN39,0))+IF(O39="",0,O39)&lt;=0,"",X39/((E39*H39+IF(AND(AK39&lt;&gt;"",AL39&lt;&gt;""),AK39*AL39,0)+IF(AND(AM39&lt;&gt;"",AN39&lt;&gt;""),AM39*AN39,0))+IF(O39="",0,O39))))</f>
        <v>0.0997361477572559</v>
      </c>
      <c r="Z39" s="7">
        <f>IF(OR(AE39="",多次统计数据!$B$8=""),"",AE39-多次统计数据!$B$8)</f>
        <v>-0.0434091662885541</v>
      </c>
      <c r="AA39" s="11">
        <f>IF(OR(I39="",M39="",M39&lt;I39),"",M39-I39)</f>
        <v>37</v>
      </c>
      <c r="AB39" s="7">
        <f>IF(OR(A39="",多次统计数据!$B$8="",多次统计数据!$B$6&lt;=0,多次统计数据!$B$6&gt;=1),"",1-POWER(1+多次统计数据!$B$8,-多次统计数据!$B$6/(1-多次统计数据!$B$6)))</f>
        <v>0.0315166534281621</v>
      </c>
      <c r="AC39" s="8" t="str">
        <f>IF(OR(AB39="",多次统计数据!$B$9=""),"",IF(多次统计数据!$B$9&lt;AB39,"低于上限","达到或超过上限"))</f>
        <v>低于上限</v>
      </c>
      <c r="AD39" s="2"/>
      <c r="AE39" s="7">
        <f>IF(OR(X39="",C39="",C39&lt;=0),"",X39/C39)</f>
        <v>0.0153379523022145</v>
      </c>
      <c r="AG39" s="2"/>
      <c r="AH39" s="2"/>
      <c r="AI39" s="2"/>
      <c r="AJ39" s="8" t="str">
        <f>IF(OR(AG39="",AH39=""),"",IF(OR(AND(AG39="短期博反弹",OR(AH39="1～3个交易日",AH39="4～10个交易日")),AND(AG39="突破冲新高",OR(AH39="4～10个交易日",AH39="11～20个交易日")),AND(AG39="趋势波段",OR(AH39="11～20个交易日",AH39="21～60个交易日",AH39="60个交易日以上"))),"匹配","周期与交易预期不匹配，请重新确认"))</f>
        <v/>
      </c>
      <c r="AK39" s="10"/>
      <c r="AL39" s="12"/>
      <c r="AM39" s="10"/>
      <c r="AN39" s="12"/>
      <c r="AO39" s="5">
        <f>IF(OR(A39="",H39="",H39&lt;=0),"",(E39*H39+IF(AND(AK39&lt;&gt;"",AL39&lt;&gt;""),AK39*AL39,0)+IF(AND(AM39&lt;&gt;"",AN39&lt;&gt;""),AM39*AN39,0))/AP39)</f>
        <v>75.8</v>
      </c>
      <c r="AP39" s="11">
        <f>IF(OR(A39="",H39="",H39&lt;=0),"",H39+IF(AL39="",0,AL39)+IF(AN39="",0,AN39))</f>
        <v>200</v>
      </c>
      <c r="AQ39" s="5">
        <f>IF(A39="","",IF(M39&lt;&gt;"",0,IF(OR(H39="",N39=""),"",MAX(E39-MAX(N39,IFERROR(SUMPRODUCT(MAX(((持仓跟踪!$A$2:$A$497="每日跟踪")*(持仓跟踪!$B$2:$B$497=A39))*持仓跟踪!$S$2:$S$497)),0)),0)*H39+IF(OR(AK39="",AL39=""),0,MAX(AK39-MAX(N39,IFERROR(SUMPRODUCT(MAX(((持仓跟踪!$A$2:$A$497="每日跟踪")*(持仓跟踪!$B$2:$B$497=A39))*持仓跟踪!$S$2:$S$497)),0)),0)*AL39)+IF(OR(AM39="",AN39=""),0,MAX(AM39-MAX(N39,IFERROR(SUMPRODUCT(MAX(((持仓跟踪!$A$2:$A$497="每日跟踪")*(持仓跟踪!$B$2:$B$497=A39))*持仓跟踪!$S$2:$S$497)),0)),0)*AN39))))</f>
        <v>0</v>
      </c>
      <c r="AR39" s="8" t="str">
        <f ca="1">IF(A39="","",IF(OR(E39="",H39=""),"违规：第一批价格或股数缺失",IF(OR(AND(AK39="",AL39&lt;&gt;""),AND(AK39&lt;&gt;"",AL39="")),"违规：第二批价格与股数须成对填写",IF(OR(AND(AM39="",AN39&lt;&gt;""),AND(AM39&lt;&gt;"",AN39="")),"违规：第三批价格与股数须成对填写",IF(AND(OR(AM39&lt;&gt;"",AN39&lt;&gt;""),OR(AK39="",AL39="")),"违规：必须先完成第二批",IF(OR(H39&lt;=0,H39&lt;&gt;INT(H39),MOD(H39,100)&lt;&gt;0,AND(AL39&lt;&gt;"",OR(AL39&lt;=0,AL39&lt;&gt;INT(AL39),MOD(AL39,100)&lt;&gt;0)),AND(AN39&lt;&gt;"",OR(AN39&lt;=0,AN39&lt;&gt;INT(AN39),MOD(AN39,100)&lt;&gt;0))),"违规：股数须为100股整数倍",IF(AND(OR(AL39&lt;&gt;"",AN39&lt;&gt;""),OR(_LockStatus="已锁仓",_LockStatus="解锁信息不完整")),"违规：锁仓期间禁止加仓",IF(AQ39&gt;C39*D39,"违规：超过单笔风险上限",IF(SUM($AQ$2:$AQ$163)&gt;账户数据!$B$7,"违规：超过账户风险上限","通过")))))))))</f>
        <v>通过</v>
      </c>
    </row>
    <row r="40" ht="17" spans="1:44">
      <c r="A40" s="2">
        <v>38</v>
      </c>
      <c r="B40" s="36" t="s">
        <v>16385</v>
      </c>
      <c r="C40" s="10">
        <v>100091</v>
      </c>
      <c r="D40" s="6">
        <v>0.02</v>
      </c>
      <c r="E40" s="10">
        <v>99.21</v>
      </c>
      <c r="F40" s="8">
        <f>IF(OR(C40="",D40="",E40="",N40="",C40&lt;=0,D40&lt;=0,E40&lt;=N40),"",ROUNDDOWN((C40*D40)/(E40-N40)/100,0)*100)</f>
        <v>200</v>
      </c>
      <c r="G40" s="8" t="str">
        <f ca="1"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COUNTIFS(持仓跟踪!$A$2:$A$497,"止损计划",持仓跟踪!$B$2:$B$497,A40,持仓跟踪!$AC$2:$AC$497,"计划有效")=0,"禁止开仓：请先填写止损计划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0" s="2">
        <v>200</v>
      </c>
      <c r="I40" s="15">
        <v>43914</v>
      </c>
      <c r="J40" s="10">
        <v>120</v>
      </c>
      <c r="K40" s="10">
        <v>114.52</v>
      </c>
      <c r="L40" s="8">
        <f>IF(K40="","",H40)</f>
        <v>200</v>
      </c>
      <c r="M40" s="15">
        <v>43976</v>
      </c>
      <c r="N40" s="10">
        <v>90</v>
      </c>
      <c r="O40" s="10"/>
      <c r="P40" s="10"/>
      <c r="Q40" s="2"/>
      <c r="R40" s="2"/>
      <c r="S40" s="2"/>
      <c r="T40" s="2"/>
      <c r="U40" s="7">
        <f>IF(OR(AO40="",J40="",AO40&lt;=0),"",(J40-AO40)/AO40)</f>
        <v>0.209555488358029</v>
      </c>
      <c r="V40" s="7">
        <f>IF(OR(AO40="",N40="",AO40&lt;=0),"",(AO40-N40)/AO40)</f>
        <v>0.0928333837314786</v>
      </c>
      <c r="W40" s="24">
        <f>IF(OR(U40="",V40="",V40&lt;=0),"",U40/V40)</f>
        <v>2.25732899022802</v>
      </c>
      <c r="X40" s="5">
        <f>IF(OR(K40="",L40="",AP40=""),"",K40*L40-(E40*H40+IF(AND(AK40&lt;&gt;"",AL40&lt;&gt;""),AK40*AL40,0)+IF(AND(AM40&lt;&gt;"",AN40&lt;&gt;""),AM40*AN40,0))-IF(O40="",0,O40)-IF(P40="",0,P40))</f>
        <v>3062</v>
      </c>
      <c r="Y40" s="7">
        <f>IF(OR(X40="",AP40=""),"",IF((E40*H40+IF(AND(AK40&lt;&gt;"",AL40&lt;&gt;""),AK40*AL40,0)+IF(AND(AM40&lt;&gt;"",AN40&lt;&gt;""),AM40*AN40,0))+IF(O40="",0,O40)&lt;=0,"",X40/((E40*H40+IF(AND(AK40&lt;&gt;"",AL40&lt;&gt;""),AK40*AL40,0)+IF(AND(AM40&lt;&gt;"",AN40&lt;&gt;""),AM40*AN40,0))+IF(O40="",0,O40))))</f>
        <v>0.154319121056345</v>
      </c>
      <c r="Z40" s="7">
        <f>IF(OR(AE40="",多次统计数据!$B$8=""),"",AE40-多次统计数据!$B$8)</f>
        <v>-0.0281549574573999</v>
      </c>
      <c r="AA40" s="11">
        <f>IF(OR(I40="",M40="",M40&lt;I40),"",M40-I40)</f>
        <v>62</v>
      </c>
      <c r="AB40" s="7">
        <f>IF(OR(A40="",多次统计数据!$B$8="",多次统计数据!$B$6&lt;=0,多次统计数据!$B$6&gt;=1),"",1-POWER(1+多次统计数据!$B$8,-多次统计数据!$B$6/(1-多次统计数据!$B$6)))</f>
        <v>0.0315166534281621</v>
      </c>
      <c r="AC40" s="8" t="str">
        <f>IF(OR(AB40="",多次统计数据!$B$9=""),"",IF(多次统计数据!$B$9&lt;AB40,"低于上限","达到或超过上限"))</f>
        <v>低于上限</v>
      </c>
      <c r="AD40" s="2"/>
      <c r="AE40" s="7">
        <f>IF(OR(X40="",C40="",C40&lt;=0),"",X40/C40)</f>
        <v>0.0305921611333686</v>
      </c>
      <c r="AG40" s="2"/>
      <c r="AH40" s="2"/>
      <c r="AI40" s="2"/>
      <c r="AJ40" s="8" t="str">
        <f>IF(OR(AG40="",AH40=""),"",IF(OR(AND(AG40="短期博反弹",OR(AH40="1～3个交易日",AH40="4～10个交易日")),AND(AG40="突破冲新高",OR(AH40="4～10个交易日",AH40="11～20个交易日")),AND(AG40="趋势波段",OR(AH40="11～20个交易日",AH40="21～60个交易日",AH40="60个交易日以上"))),"匹配","周期与交易预期不匹配，请重新确认"))</f>
        <v/>
      </c>
      <c r="AK40" s="10"/>
      <c r="AL40" s="12"/>
      <c r="AM40" s="10"/>
      <c r="AN40" s="12"/>
      <c r="AO40" s="5">
        <f>IF(OR(A40="",H40="",H40&lt;=0),"",(E40*H40+IF(AND(AK40&lt;&gt;"",AL40&lt;&gt;""),AK40*AL40,0)+IF(AND(AM40&lt;&gt;"",AN40&lt;&gt;""),AM40*AN40,0))/AP40)</f>
        <v>99.21</v>
      </c>
      <c r="AP40" s="11">
        <f>IF(OR(A40="",H40="",H40&lt;=0),"",H40+IF(AL40="",0,AL40)+IF(AN40="",0,AN40))</f>
        <v>200</v>
      </c>
      <c r="AQ40" s="5">
        <f>IF(A40="","",IF(M40&lt;&gt;"",0,IF(OR(H40="",N40=""),"",MAX(E40-MAX(N40,IFERROR(SUMPRODUCT(MAX(((持仓跟踪!$A$2:$A$497="每日跟踪")*(持仓跟踪!$B$2:$B$497=A40))*持仓跟踪!$S$2:$S$497)),0)),0)*H40+IF(OR(AK40="",AL40=""),0,MAX(AK40-MAX(N40,IFERROR(SUMPRODUCT(MAX(((持仓跟踪!$A$2:$A$497="每日跟踪")*(持仓跟踪!$B$2:$B$497=A40))*持仓跟踪!$S$2:$S$497)),0)),0)*AL40)+IF(OR(AM40="",AN40=""),0,MAX(AM40-MAX(N40,IFERROR(SUMPRODUCT(MAX(((持仓跟踪!$A$2:$A$497="每日跟踪")*(持仓跟踪!$B$2:$B$497=A40))*持仓跟踪!$S$2:$S$497)),0)),0)*AN40))))</f>
        <v>0</v>
      </c>
      <c r="AR40" s="8" t="str">
        <f ca="1">IF(A40="","",IF(OR(E40="",H40=""),"违规：第一批价格或股数缺失",IF(OR(AND(AK40="",AL40&lt;&gt;""),AND(AK40&lt;&gt;"",AL40="")),"违规：第二批价格与股数须成对填写",IF(OR(AND(AM40="",AN40&lt;&gt;""),AND(AM40&lt;&gt;"",AN40="")),"违规：第三批价格与股数须成对填写",IF(AND(OR(AM40&lt;&gt;"",AN40&lt;&gt;""),OR(AK40="",AL40="")),"违规：必须先完成第二批",IF(OR(H40&lt;=0,H40&lt;&gt;INT(H40),MOD(H40,100)&lt;&gt;0,AND(AL40&lt;&gt;"",OR(AL40&lt;=0,AL40&lt;&gt;INT(AL40),MOD(AL40,100)&lt;&gt;0)),AND(AN40&lt;&gt;"",OR(AN40&lt;=0,AN40&lt;&gt;INT(AN40),MOD(AN40,100)&lt;&gt;0))),"违规：股数须为100股整数倍",IF(AND(OR(AL40&lt;&gt;"",AN40&lt;&gt;""),OR(_LockStatus="已锁仓",_LockStatus="解锁信息不完整")),"违规：锁仓期间禁止加仓",IF(AQ40&gt;C40*D40,"违规：超过单笔风险上限",IF(SUM($AQ$2:$AQ$163)&gt;账户数据!$B$7,"违规：超过账户风险上限","通过")))))))))</f>
        <v>通过</v>
      </c>
    </row>
    <row r="41" ht="17" spans="1:44">
      <c r="A41" s="2">
        <v>39</v>
      </c>
      <c r="B41" s="36" t="s">
        <v>16385</v>
      </c>
      <c r="C41" s="10">
        <v>103153</v>
      </c>
      <c r="D41" s="6">
        <v>0.02</v>
      </c>
      <c r="E41" s="10">
        <v>128.89</v>
      </c>
      <c r="F41" s="8">
        <f>IF(OR(C41="",D41="",E41="",N41="",C41&lt;=0,D41&lt;=0,E41&lt;=N41),"",ROUNDDOWN((C41*D41)/(E41-N41)/100,0)*100)</f>
        <v>100</v>
      </c>
      <c r="G41" s="8" t="str">
        <f ca="1"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COUNTIFS(持仓跟踪!$A$2:$A$497,"止损计划",持仓跟踪!$B$2:$B$497,A41,持仓跟踪!$AC$2:$AC$497,"计划有效")=0,"禁止开仓：请先填写止损计划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1" s="2">
        <v>100</v>
      </c>
      <c r="I41" s="15">
        <v>44006</v>
      </c>
      <c r="J41" s="10">
        <v>150</v>
      </c>
      <c r="K41" s="10">
        <v>126.84</v>
      </c>
      <c r="L41" s="8">
        <f>IF(K41="","",H41)</f>
        <v>100</v>
      </c>
      <c r="M41" s="15">
        <v>44027</v>
      </c>
      <c r="N41" s="10">
        <v>115</v>
      </c>
      <c r="O41" s="10"/>
      <c r="P41" s="10"/>
      <c r="Q41" s="2"/>
      <c r="R41" s="2"/>
      <c r="S41" s="2"/>
      <c r="T41" s="2"/>
      <c r="U41" s="7">
        <f>IF(OR(AO41="",J41="",AO41&lt;=0),"",(J41-AO41)/AO41)</f>
        <v>0.163783070835596</v>
      </c>
      <c r="V41" s="7">
        <f>IF(OR(AO41="",N41="",AO41&lt;=0),"",(AO41-N41)/AO41)</f>
        <v>0.107766312359376</v>
      </c>
      <c r="W41" s="24">
        <f>IF(OR(U41="",V41="",V41&lt;=0),"",U41/V41)</f>
        <v>1.51979841612671</v>
      </c>
      <c r="X41" s="5">
        <f>IF(OR(K41="",L41="",AP41=""),"",K41*L41-(E41*H41+IF(AND(AK41&lt;&gt;"",AL41&lt;&gt;""),AK41*AL41,0)+IF(AND(AM41&lt;&gt;"",AN41&lt;&gt;""),AM41*AN41,0))-IF(O41="",0,O41)-IF(P41="",0,P41))</f>
        <v>-204.999999999998</v>
      </c>
      <c r="Y41" s="7">
        <f>IF(OR(X41="",AP41=""),"",IF((E41*H41+IF(AND(AK41&lt;&gt;"",AL41&lt;&gt;""),AK41*AL41,0)+IF(AND(AM41&lt;&gt;"",AN41&lt;&gt;""),AM41*AN41,0))+IF(O41="",0,O41)&lt;=0,"",X41/((E41*H41+IF(AND(AK41&lt;&gt;"",AL41&lt;&gt;""),AK41*AL41,0)+IF(AND(AM41&lt;&gt;"",AN41&lt;&gt;""),AM41*AN41,0))+IF(O41="",0,O41))))</f>
        <v>-0.0159050353014197</v>
      </c>
      <c r="Z41" s="7">
        <f>IF(OR(AE41="",多次统计数据!$B$8=""),"",AE41-多次统计数据!$B$8)</f>
        <v>-0.0607344577859446</v>
      </c>
      <c r="AA41" s="11">
        <f>IF(OR(I41="",M41="",M41&lt;I41),"",M41-I41)</f>
        <v>21</v>
      </c>
      <c r="AB41" s="7">
        <f>IF(OR(A41="",多次统计数据!$B$8="",多次统计数据!$B$6&lt;=0,多次统计数据!$B$6&gt;=1),"",1-POWER(1+多次统计数据!$B$8,-多次统计数据!$B$6/(1-多次统计数据!$B$6)))</f>
        <v>0.0315166534281621</v>
      </c>
      <c r="AC41" s="8" t="str">
        <f>IF(OR(AB41="",多次统计数据!$B$9=""),"",IF(多次统计数据!$B$9&lt;AB41,"低于上限","达到或超过上限"))</f>
        <v>低于上限</v>
      </c>
      <c r="AD41" s="2"/>
      <c r="AE41" s="7">
        <f>IF(OR(X41="",C41="",C41&lt;=0),"",X41/C41)</f>
        <v>-0.00198733919517608</v>
      </c>
      <c r="AG41" s="2"/>
      <c r="AH41" s="2"/>
      <c r="AI41" s="2"/>
      <c r="AJ41" s="8" t="str">
        <f>IF(OR(AG41="",AH41=""),"",IF(OR(AND(AG41="短期博反弹",OR(AH41="1～3个交易日",AH41="4～10个交易日")),AND(AG41="突破冲新高",OR(AH41="4～10个交易日",AH41="11～20个交易日")),AND(AG41="趋势波段",OR(AH41="11～20个交易日",AH41="21～60个交易日",AH41="60个交易日以上"))),"匹配","周期与交易预期不匹配，请重新确认"))</f>
        <v/>
      </c>
      <c r="AK41" s="10"/>
      <c r="AL41" s="12"/>
      <c r="AM41" s="10"/>
      <c r="AN41" s="12"/>
      <c r="AO41" s="5">
        <f>IF(OR(A41="",H41="",H41&lt;=0),"",(E41*H41+IF(AND(AK41&lt;&gt;"",AL41&lt;&gt;""),AK41*AL41,0)+IF(AND(AM41&lt;&gt;"",AN41&lt;&gt;""),AM41*AN41,0))/AP41)</f>
        <v>128.89</v>
      </c>
      <c r="AP41" s="11">
        <f>IF(OR(A41="",H41="",H41&lt;=0),"",H41+IF(AL41="",0,AL41)+IF(AN41="",0,AN41))</f>
        <v>100</v>
      </c>
      <c r="AQ41" s="5">
        <f>IF(A41="","",IF(M41&lt;&gt;"",0,IF(OR(H41="",N41=""),"",MAX(E41-MAX(N41,IFERROR(SUMPRODUCT(MAX(((持仓跟踪!$A$2:$A$497="每日跟踪")*(持仓跟踪!$B$2:$B$497=A41))*持仓跟踪!$S$2:$S$497)),0)),0)*H41+IF(OR(AK41="",AL41=""),0,MAX(AK41-MAX(N41,IFERROR(SUMPRODUCT(MAX(((持仓跟踪!$A$2:$A$497="每日跟踪")*(持仓跟踪!$B$2:$B$497=A41))*持仓跟踪!$S$2:$S$497)),0)),0)*AL41)+IF(OR(AM41="",AN41=""),0,MAX(AM41-MAX(N41,IFERROR(SUMPRODUCT(MAX(((持仓跟踪!$A$2:$A$497="每日跟踪")*(持仓跟踪!$B$2:$B$497=A41))*持仓跟踪!$S$2:$S$497)),0)),0)*AN41))))</f>
        <v>0</v>
      </c>
      <c r="AR41" s="8" t="str">
        <f ca="1">IF(A41="","",IF(OR(E41="",H41=""),"违规：第一批价格或股数缺失",IF(OR(AND(AK41="",AL41&lt;&gt;""),AND(AK41&lt;&gt;"",AL41="")),"违规：第二批价格与股数须成对填写",IF(OR(AND(AM41="",AN41&lt;&gt;""),AND(AM41&lt;&gt;"",AN41="")),"违规：第三批价格与股数须成对填写",IF(AND(OR(AM41&lt;&gt;"",AN41&lt;&gt;""),OR(AK41="",AL41="")),"违规：必须先完成第二批",IF(OR(H41&lt;=0,H41&lt;&gt;INT(H41),MOD(H41,100)&lt;&gt;0,AND(AL41&lt;&gt;"",OR(AL41&lt;=0,AL41&lt;&gt;INT(AL41),MOD(AL41,100)&lt;&gt;0)),AND(AN41&lt;&gt;"",OR(AN41&lt;=0,AN41&lt;&gt;INT(AN41),MOD(AN41,100)&lt;&gt;0))),"违规：股数须为100股整数倍",IF(AND(OR(AL41&lt;&gt;"",AN41&lt;&gt;""),OR(_LockStatus="已锁仓",_LockStatus="解锁信息不完整")),"违规：锁仓期间禁止加仓",IF(AQ41&gt;C41*D41,"违规：超过单笔风险上限",IF(SUM($AQ$2:$AQ$163)&gt;账户数据!$B$7,"违规：超过账户风险上限","通过")))))))))</f>
        <v>通过</v>
      </c>
    </row>
    <row r="42" ht="17" spans="1:44">
      <c r="A42" s="2">
        <v>40</v>
      </c>
      <c r="B42" s="36" t="s">
        <v>16385</v>
      </c>
      <c r="C42" s="10">
        <v>102948</v>
      </c>
      <c r="D42" s="6">
        <v>0.02</v>
      </c>
      <c r="E42" s="10">
        <v>87.79</v>
      </c>
      <c r="F42" s="8">
        <f>IF(OR(C42="",D42="",E42="",N42="",C42&lt;=0,D42&lt;=0,E42&lt;=N42),"",ROUNDDOWN((C42*D42)/(E42-N42)/100,0)*100)</f>
        <v>200</v>
      </c>
      <c r="G42" s="8" t="str">
        <f ca="1"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COUNTIFS(持仓跟踪!$A$2:$A$497,"止损计划",持仓跟踪!$B$2:$B$497,A42,持仓跟踪!$AC$2:$AC$497,"计划有效")=0,"禁止开仓：请先填写止损计划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2" s="2">
        <v>200</v>
      </c>
      <c r="I42" s="15">
        <v>44091</v>
      </c>
      <c r="J42" s="10">
        <v>100</v>
      </c>
      <c r="K42" s="10">
        <v>75.83</v>
      </c>
      <c r="L42" s="8">
        <f>IF(K42="","",H42)</f>
        <v>200</v>
      </c>
      <c r="M42" s="15">
        <v>44132</v>
      </c>
      <c r="N42" s="10">
        <v>80</v>
      </c>
      <c r="O42" s="10"/>
      <c r="P42" s="10"/>
      <c r="Q42" s="2"/>
      <c r="R42" s="2"/>
      <c r="S42" s="2"/>
      <c r="T42" s="2"/>
      <c r="U42" s="7">
        <f>IF(OR(AO42="",J42="",AO42&lt;=0),"",(J42-AO42)/AO42)</f>
        <v>0.139081899988609</v>
      </c>
      <c r="V42" s="7">
        <f>IF(OR(AO42="",N42="",AO42&lt;=0),"",(AO42-N42)/AO42)</f>
        <v>0.0887344800091127</v>
      </c>
      <c r="W42" s="24">
        <f>IF(OR(U42="",V42="",V42&lt;=0),"",U42/V42)</f>
        <v>1.56739409499358</v>
      </c>
      <c r="X42" s="5">
        <f>IF(OR(K42="",L42="",AP42=""),"",K42*L42-(E42*H42+IF(AND(AK42&lt;&gt;"",AL42&lt;&gt;""),AK42*AL42,0)+IF(AND(AM42&lt;&gt;"",AN42&lt;&gt;""),AM42*AN42,0))-IF(O42="",0,O42)-IF(P42="",0,P42))</f>
        <v>-2392</v>
      </c>
      <c r="Y42" s="7">
        <f>IF(OR(X42="",AP42=""),"",IF((E42*H42+IF(AND(AK42&lt;&gt;"",AL42&lt;&gt;""),AK42*AL42,0)+IF(AND(AM42&lt;&gt;"",AN42&lt;&gt;""),AM42*AN42,0))+IF(O42="",0,O42)&lt;=0,"",X42/((E42*H42+IF(AND(AK42&lt;&gt;"",AL42&lt;&gt;""),AK42*AL42,0)+IF(AND(AM42&lt;&gt;"",AN42&lt;&gt;""),AM42*AN42,0))+IF(O42="",0,O42))))</f>
        <v>-0.136234195238638</v>
      </c>
      <c r="Z42" s="7">
        <f>IF(OR(AE42="",多次统计数据!$B$8=""),"",AE42-多次统计数据!$B$8)</f>
        <v>-0.0819821498686953</v>
      </c>
      <c r="AA42" s="11">
        <f>IF(OR(I42="",M42="",M42&lt;I42),"",M42-I42)</f>
        <v>41</v>
      </c>
      <c r="AB42" s="7">
        <f>IF(OR(A42="",多次统计数据!$B$8="",多次统计数据!$B$6&lt;=0,多次统计数据!$B$6&gt;=1),"",1-POWER(1+多次统计数据!$B$8,-多次统计数据!$B$6/(1-多次统计数据!$B$6)))</f>
        <v>0.0315166534281621</v>
      </c>
      <c r="AC42" s="8" t="str">
        <f>IF(OR(AB42="",多次统计数据!$B$9=""),"",IF(多次统计数据!$B$9&lt;AB42,"低于上限","达到或超过上限"))</f>
        <v>低于上限</v>
      </c>
      <c r="AD42" s="2"/>
      <c r="AE42" s="7">
        <f>IF(OR(X42="",C42="",C42&lt;=0),"",X42/C42)</f>
        <v>-0.0232350312779267</v>
      </c>
      <c r="AG42" s="2"/>
      <c r="AH42" s="2"/>
      <c r="AI42" s="2"/>
      <c r="AJ42" s="8" t="str">
        <f>IF(OR(AG42="",AH42=""),"",IF(OR(AND(AG42="短期博反弹",OR(AH42="1～3个交易日",AH42="4～10个交易日")),AND(AG42="突破冲新高",OR(AH42="4～10个交易日",AH42="11～20个交易日")),AND(AG42="趋势波段",OR(AH42="11～20个交易日",AH42="21～60个交易日",AH42="60个交易日以上"))),"匹配","周期与交易预期不匹配，请重新确认"))</f>
        <v/>
      </c>
      <c r="AK42" s="10"/>
      <c r="AL42" s="12"/>
      <c r="AM42" s="10"/>
      <c r="AN42" s="12"/>
      <c r="AO42" s="5">
        <f>IF(OR(A42="",H42="",H42&lt;=0),"",(E42*H42+IF(AND(AK42&lt;&gt;"",AL42&lt;&gt;""),AK42*AL42,0)+IF(AND(AM42&lt;&gt;"",AN42&lt;&gt;""),AM42*AN42,0))/AP42)</f>
        <v>87.79</v>
      </c>
      <c r="AP42" s="11">
        <f>IF(OR(A42="",H42="",H42&lt;=0),"",H42+IF(AL42="",0,AL42)+IF(AN42="",0,AN42))</f>
        <v>200</v>
      </c>
      <c r="AQ42" s="5">
        <f>IF(A42="","",IF(M42&lt;&gt;"",0,IF(OR(H42="",N42=""),"",MAX(E42-MAX(N42,IFERROR(SUMPRODUCT(MAX(((持仓跟踪!$A$2:$A$497="每日跟踪")*(持仓跟踪!$B$2:$B$497=A42))*持仓跟踪!$S$2:$S$497)),0)),0)*H42+IF(OR(AK42="",AL42=""),0,MAX(AK42-MAX(N42,IFERROR(SUMPRODUCT(MAX(((持仓跟踪!$A$2:$A$497="每日跟踪")*(持仓跟踪!$B$2:$B$497=A42))*持仓跟踪!$S$2:$S$497)),0)),0)*AL42)+IF(OR(AM42="",AN42=""),0,MAX(AM42-MAX(N42,IFERROR(SUMPRODUCT(MAX(((持仓跟踪!$A$2:$A$497="每日跟踪")*(持仓跟踪!$B$2:$B$497=A42))*持仓跟踪!$S$2:$S$497)),0)),0)*AN42))))</f>
        <v>0</v>
      </c>
      <c r="AR42" s="8" t="str">
        <f ca="1">IF(A42="","",IF(OR(E42="",H42=""),"违规：第一批价格或股数缺失",IF(OR(AND(AK42="",AL42&lt;&gt;""),AND(AK42&lt;&gt;"",AL42="")),"违规：第二批价格与股数须成对填写",IF(OR(AND(AM42="",AN42&lt;&gt;""),AND(AM42&lt;&gt;"",AN42="")),"违规：第三批价格与股数须成对填写",IF(AND(OR(AM42&lt;&gt;"",AN42&lt;&gt;""),OR(AK42="",AL42="")),"违规：必须先完成第二批",IF(OR(H42&lt;=0,H42&lt;&gt;INT(H42),MOD(H42,100)&lt;&gt;0,AND(AL42&lt;&gt;"",OR(AL42&lt;=0,AL42&lt;&gt;INT(AL42),MOD(AL42,100)&lt;&gt;0)),AND(AN42&lt;&gt;"",OR(AN42&lt;=0,AN42&lt;&gt;INT(AN42),MOD(AN42,100)&lt;&gt;0))),"违规：股数须为100股整数倍",IF(AND(OR(AL42&lt;&gt;"",AN42&lt;&gt;""),OR(_LockStatus="已锁仓",_LockStatus="解锁信息不完整")),"违规：锁仓期间禁止加仓",IF(AQ42&gt;C42*D42,"违规：超过单笔风险上限",IF(SUM($AQ$2:$AQ$163)&gt;账户数据!$B$7,"违规：超过账户风险上限","通过")))))))))</f>
        <v>通过</v>
      </c>
    </row>
    <row r="43" ht="17" spans="1:44">
      <c r="A43" s="2">
        <v>41</v>
      </c>
      <c r="B43" s="36" t="s">
        <v>16385</v>
      </c>
      <c r="C43" s="10">
        <v>100556</v>
      </c>
      <c r="D43" s="6">
        <v>0.02</v>
      </c>
      <c r="E43" s="10">
        <v>78.28</v>
      </c>
      <c r="F43" s="8">
        <f>IF(OR(C43="",D43="",E43="",N43="",C43&lt;=0,D43&lt;=0,E43&lt;=N43),"",ROUNDDOWN((C43*D43)/(E43-N43)/100,0)*100)</f>
        <v>200</v>
      </c>
      <c r="G43" s="8" t="str">
        <f ca="1"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COUNTIFS(持仓跟踪!$A$2:$A$497,"止损计划",持仓跟踪!$B$2:$B$497,A43,持仓跟踪!$AC$2:$AC$497,"计划有效")=0,"禁止开仓：请先填写止损计划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3" s="2">
        <v>200</v>
      </c>
      <c r="I43" s="15">
        <v>44231</v>
      </c>
      <c r="J43" s="10">
        <v>100</v>
      </c>
      <c r="K43" s="10">
        <v>67.3</v>
      </c>
      <c r="L43" s="8">
        <f>IF(K43="","",H43)</f>
        <v>200</v>
      </c>
      <c r="M43" s="15">
        <v>44245</v>
      </c>
      <c r="N43" s="10">
        <v>70</v>
      </c>
      <c r="O43" s="10"/>
      <c r="P43" s="10"/>
      <c r="Q43" s="2"/>
      <c r="R43" s="2"/>
      <c r="S43" s="2"/>
      <c r="T43" s="2"/>
      <c r="U43" s="7">
        <f>IF(OR(AO43="",J43="",AO43&lt;=0),"",(J43-AO43)/AO43)</f>
        <v>0.277465508431272</v>
      </c>
      <c r="V43" s="7">
        <f>IF(OR(AO43="",N43="",AO43&lt;=0),"",(AO43-N43)/AO43)</f>
        <v>0.105774144098109</v>
      </c>
      <c r="W43" s="24">
        <f>IF(OR(U43="",V43="",V43&lt;=0),"",U43/V43)</f>
        <v>2.6231884057971</v>
      </c>
      <c r="X43" s="5">
        <f>IF(OR(K43="",L43="",AP43=""),"",K43*L43-(E43*H43+IF(AND(AK43&lt;&gt;"",AL43&lt;&gt;""),AK43*AL43,0)+IF(AND(AM43&lt;&gt;"",AN43&lt;&gt;""),AM43*AN43,0))-IF(O43="",0,O43)-IF(P43="",0,P43))</f>
        <v>-2196</v>
      </c>
      <c r="Y43" s="7">
        <f>IF(OR(X43="",AP43=""),"",IF((E43*H43+IF(AND(AK43&lt;&gt;"",AL43&lt;&gt;""),AK43*AL43,0)+IF(AND(AM43&lt;&gt;"",AN43&lt;&gt;""),AM43*AN43,0))+IF(O43="",0,O43)&lt;=0,"",X43/((E43*H43+IF(AND(AK43&lt;&gt;"",AL43&lt;&gt;""),AK43*AL43,0)+IF(AND(AM43&lt;&gt;"",AN43&lt;&gt;""),AM43*AN43,0))+IF(O43="",0,O43))))</f>
        <v>-0.140265712825754</v>
      </c>
      <c r="Z43" s="7">
        <f>IF(OR(AE43="",多次统计数据!$B$8=""),"",AE43-多次统计数据!$B$8)</f>
        <v>-0.0805856960998182</v>
      </c>
      <c r="AA43" s="11">
        <f>IF(OR(I43="",M43="",M43&lt;I43),"",M43-I43)</f>
        <v>14</v>
      </c>
      <c r="AB43" s="7">
        <f>IF(OR(A43="",多次统计数据!$B$8="",多次统计数据!$B$6&lt;=0,多次统计数据!$B$6&gt;=1),"",1-POWER(1+多次统计数据!$B$8,-多次统计数据!$B$6/(1-多次统计数据!$B$6)))</f>
        <v>0.0315166534281621</v>
      </c>
      <c r="AC43" s="8" t="str">
        <f>IF(OR(AB43="",多次统计数据!$B$9=""),"",IF(多次统计数据!$B$9&lt;AB43,"低于上限","达到或超过上限"))</f>
        <v>低于上限</v>
      </c>
      <c r="AD43" s="2"/>
      <c r="AE43" s="7">
        <f>IF(OR(X43="",C43="",C43&lt;=0),"",X43/C43)</f>
        <v>-0.0218385775090497</v>
      </c>
      <c r="AG43" s="2"/>
      <c r="AH43" s="2"/>
      <c r="AI43" s="2"/>
      <c r="AJ43" s="8" t="str">
        <f>IF(OR(AG43="",AH43=""),"",IF(OR(AND(AG43="短期博反弹",OR(AH43="1～3个交易日",AH43="4～10个交易日")),AND(AG43="突破冲新高",OR(AH43="4～10个交易日",AH43="11～20个交易日")),AND(AG43="趋势波段",OR(AH43="11～20个交易日",AH43="21～60个交易日",AH43="60个交易日以上"))),"匹配","周期与交易预期不匹配，请重新确认"))</f>
        <v/>
      </c>
      <c r="AK43" s="10"/>
      <c r="AL43" s="12"/>
      <c r="AM43" s="10"/>
      <c r="AN43" s="12"/>
      <c r="AO43" s="5">
        <f>IF(OR(A43="",H43="",H43&lt;=0),"",(E43*H43+IF(AND(AK43&lt;&gt;"",AL43&lt;&gt;""),AK43*AL43,0)+IF(AND(AM43&lt;&gt;"",AN43&lt;&gt;""),AM43*AN43,0))/AP43)</f>
        <v>78.28</v>
      </c>
      <c r="AP43" s="11">
        <f>IF(OR(A43="",H43="",H43&lt;=0),"",H43+IF(AL43="",0,AL43)+IF(AN43="",0,AN43))</f>
        <v>200</v>
      </c>
      <c r="AQ43" s="5">
        <f>IF(A43="","",IF(M43&lt;&gt;"",0,IF(OR(H43="",N43=""),"",MAX(E43-MAX(N43,IFERROR(SUMPRODUCT(MAX(((持仓跟踪!$A$2:$A$497="每日跟踪")*(持仓跟踪!$B$2:$B$497=A43))*持仓跟踪!$S$2:$S$497)),0)),0)*H43+IF(OR(AK43="",AL43=""),0,MAX(AK43-MAX(N43,IFERROR(SUMPRODUCT(MAX(((持仓跟踪!$A$2:$A$497="每日跟踪")*(持仓跟踪!$B$2:$B$497=A43))*持仓跟踪!$S$2:$S$497)),0)),0)*AL43)+IF(OR(AM43="",AN43=""),0,MAX(AM43-MAX(N43,IFERROR(SUMPRODUCT(MAX(((持仓跟踪!$A$2:$A$497="每日跟踪")*(持仓跟踪!$B$2:$B$497=A43))*持仓跟踪!$S$2:$S$497)),0)),0)*AN43))))</f>
        <v>0</v>
      </c>
      <c r="AR43" s="8" t="str">
        <f ca="1">IF(A43="","",IF(OR(E43="",H43=""),"违规：第一批价格或股数缺失",IF(OR(AND(AK43="",AL43&lt;&gt;""),AND(AK43&lt;&gt;"",AL43="")),"违规：第二批价格与股数须成对填写",IF(OR(AND(AM43="",AN43&lt;&gt;""),AND(AM43&lt;&gt;"",AN43="")),"违规：第三批价格与股数须成对填写",IF(AND(OR(AM43&lt;&gt;"",AN43&lt;&gt;""),OR(AK43="",AL43="")),"违规：必须先完成第二批",IF(OR(H43&lt;=0,H43&lt;&gt;INT(H43),MOD(H43,100)&lt;&gt;0,AND(AL43&lt;&gt;"",OR(AL43&lt;=0,AL43&lt;&gt;INT(AL43),MOD(AL43,100)&lt;&gt;0)),AND(AN43&lt;&gt;"",OR(AN43&lt;=0,AN43&lt;&gt;INT(AN43),MOD(AN43,100)&lt;&gt;0))),"违规：股数须为100股整数倍",IF(AND(OR(AL43&lt;&gt;"",AN43&lt;&gt;""),OR(_LockStatus="已锁仓",_LockStatus="解锁信息不完整")),"违规：锁仓期间禁止加仓",IF(AQ43&gt;C43*D43,"违规：超过单笔风险上限",IF(SUM($AQ$2:$AQ$163)&gt;账户数据!$B$7,"违规：超过账户风险上限","通过")))))))))</f>
        <v>通过</v>
      </c>
    </row>
    <row r="44" ht="17" spans="1:44">
      <c r="A44" s="2">
        <v>42</v>
      </c>
      <c r="B44" s="36" t="s">
        <v>16385</v>
      </c>
      <c r="C44" s="10">
        <v>98360</v>
      </c>
      <c r="D44" s="6">
        <v>0.02</v>
      </c>
      <c r="E44" s="10">
        <v>64.65</v>
      </c>
      <c r="F44" s="8">
        <f>IF(OR(C44="",D44="",E44="",N44="",C44&lt;=0,D44&lt;=0,E44&lt;=N44),"",ROUNDDOWN((C44*D44)/(E44-N44)/100,0)*100)</f>
        <v>400</v>
      </c>
      <c r="G44" s="8" t="str">
        <f ca="1"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COUNTIFS(持仓跟踪!$A$2:$A$497,"止损计划",持仓跟踪!$B$2:$B$497,A44,持仓跟踪!$AC$2:$AC$497,"计划有效")=0,"禁止开仓：请先填写止损计划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4" s="2">
        <v>400</v>
      </c>
      <c r="I44" s="15">
        <v>44272</v>
      </c>
      <c r="J44" s="10">
        <v>80</v>
      </c>
      <c r="K44" s="10">
        <v>54.26</v>
      </c>
      <c r="L44" s="8">
        <f>IF(K44="","",H44)</f>
        <v>400</v>
      </c>
      <c r="M44" s="15">
        <v>44272</v>
      </c>
      <c r="N44" s="10">
        <v>60</v>
      </c>
      <c r="O44" s="10"/>
      <c r="P44" s="10"/>
      <c r="Q44" s="2"/>
      <c r="R44" s="2"/>
      <c r="S44" s="2"/>
      <c r="T44" s="2"/>
      <c r="U44" s="7">
        <f>IF(OR(AO44="",J44="",AO44&lt;=0),"",(J44-AO44)/AO44)</f>
        <v>0.237432327919567</v>
      </c>
      <c r="V44" s="7">
        <f>IF(OR(AO44="",N44="",AO44&lt;=0),"",(AO44-N44)/AO44)</f>
        <v>0.0719257540603249</v>
      </c>
      <c r="W44" s="24">
        <f>IF(OR(U44="",V44="",V44&lt;=0),"",U44/V44)</f>
        <v>3.3010752688172</v>
      </c>
      <c r="X44" s="5">
        <f>IF(OR(K44="",L44="",AP44=""),"",K44*L44-(E44*H44+IF(AND(AK44&lt;&gt;"",AL44&lt;&gt;""),AK44*AL44,0)+IF(AND(AM44&lt;&gt;"",AN44&lt;&gt;""),AM44*AN44,0))-IF(O44="",0,O44)-IF(P44="",0,P44))</f>
        <v>-4156</v>
      </c>
      <c r="Y44" s="7">
        <f>IF(OR(X44="",AP44=""),"",IF((E44*H44+IF(AND(AK44&lt;&gt;"",AL44&lt;&gt;""),AK44*AL44,0)+IF(AND(AM44&lt;&gt;"",AN44&lt;&gt;""),AM44*AN44,0))+IF(O44="",0,O44)&lt;=0,"",X44/((E44*H44+IF(AND(AK44&lt;&gt;"",AL44&lt;&gt;""),AK44*AL44,0)+IF(AND(AM44&lt;&gt;"",AN44&lt;&gt;""),AM44*AN44,0))+IF(O44="",0,O44))))</f>
        <v>-0.160711523588554</v>
      </c>
      <c r="Z44" s="7">
        <f>IF(OR(AE44="",多次统计数据!$B$8=""),"",AE44-多次统计数据!$B$8)</f>
        <v>-0.101000066943758</v>
      </c>
      <c r="AA44" s="11">
        <f>IF(OR(I44="",M44="",M44&lt;I44),"",M44-I44)</f>
        <v>0</v>
      </c>
      <c r="AB44" s="7">
        <f>IF(OR(A44="",多次统计数据!$B$8="",多次统计数据!$B$6&lt;=0,多次统计数据!$B$6&gt;=1),"",1-POWER(1+多次统计数据!$B$8,-多次统计数据!$B$6/(1-多次统计数据!$B$6)))</f>
        <v>0.0315166534281621</v>
      </c>
      <c r="AC44" s="8" t="str">
        <f>IF(OR(AB44="",多次统计数据!$B$9=""),"",IF(多次统计数据!$B$9&lt;AB44,"低于上限","达到或超过上限"))</f>
        <v>低于上限</v>
      </c>
      <c r="AD44" s="2"/>
      <c r="AE44" s="7">
        <f>IF(OR(X44="",C44="",C44&lt;=0),"",X44/C44)</f>
        <v>-0.0422529483529891</v>
      </c>
      <c r="AG44" s="2"/>
      <c r="AH44" s="2"/>
      <c r="AI44" s="2"/>
      <c r="AJ44" s="8" t="str">
        <f>IF(OR(AG44="",AH44=""),"",IF(OR(AND(AG44="短期博反弹",OR(AH44="1～3个交易日",AH44="4～10个交易日")),AND(AG44="突破冲新高",OR(AH44="4～10个交易日",AH44="11～20个交易日")),AND(AG44="趋势波段",OR(AH44="11～20个交易日",AH44="21～60个交易日",AH44="60个交易日以上"))),"匹配","周期与交易预期不匹配，请重新确认"))</f>
        <v/>
      </c>
      <c r="AK44" s="10"/>
      <c r="AL44" s="12"/>
      <c r="AM44" s="10"/>
      <c r="AN44" s="12"/>
      <c r="AO44" s="5">
        <f>IF(OR(A44="",H44="",H44&lt;=0),"",(E44*H44+IF(AND(AK44&lt;&gt;"",AL44&lt;&gt;""),AK44*AL44,0)+IF(AND(AM44&lt;&gt;"",AN44&lt;&gt;""),AM44*AN44,0))/AP44)</f>
        <v>64.65</v>
      </c>
      <c r="AP44" s="11">
        <f>IF(OR(A44="",H44="",H44&lt;=0),"",H44+IF(AL44="",0,AL44)+IF(AN44="",0,AN44))</f>
        <v>400</v>
      </c>
      <c r="AQ44" s="5">
        <f>IF(A44="","",IF(M44&lt;&gt;"",0,IF(OR(H44="",N44=""),"",MAX(E44-MAX(N44,IFERROR(SUMPRODUCT(MAX(((持仓跟踪!$A$2:$A$497="每日跟踪")*(持仓跟踪!$B$2:$B$497=A44))*持仓跟踪!$S$2:$S$497)),0)),0)*H44+IF(OR(AK44="",AL44=""),0,MAX(AK44-MAX(N44,IFERROR(SUMPRODUCT(MAX(((持仓跟踪!$A$2:$A$497="每日跟踪")*(持仓跟踪!$B$2:$B$497=A44))*持仓跟踪!$S$2:$S$497)),0)),0)*AL44)+IF(OR(AM44="",AN44=""),0,MAX(AM44-MAX(N44,IFERROR(SUMPRODUCT(MAX(((持仓跟踪!$A$2:$A$497="每日跟踪")*(持仓跟踪!$B$2:$B$497=A44))*持仓跟踪!$S$2:$S$497)),0)),0)*AN44))))</f>
        <v>0</v>
      </c>
      <c r="AR44" s="8" t="str">
        <f ca="1">IF(A44="","",IF(OR(E44="",H44=""),"违规：第一批价格或股数缺失",IF(OR(AND(AK44="",AL44&lt;&gt;""),AND(AK44&lt;&gt;"",AL44="")),"违规：第二批价格与股数须成对填写",IF(OR(AND(AM44="",AN44&lt;&gt;""),AND(AM44&lt;&gt;"",AN44="")),"违规：第三批价格与股数须成对填写",IF(AND(OR(AM44&lt;&gt;"",AN44&lt;&gt;""),OR(AK44="",AL44="")),"违规：必须先完成第二批",IF(OR(H44&lt;=0,H44&lt;&gt;INT(H44),MOD(H44,100)&lt;&gt;0,AND(AL44&lt;&gt;"",OR(AL44&lt;=0,AL44&lt;&gt;INT(AL44),MOD(AL44,100)&lt;&gt;0)),AND(AN44&lt;&gt;"",OR(AN44&lt;=0,AN44&lt;&gt;INT(AN44),MOD(AN44,100)&lt;&gt;0))),"违规：股数须为100股整数倍",IF(AND(OR(AL44&lt;&gt;"",AN44&lt;&gt;""),OR(_LockStatus="已锁仓",_LockStatus="解锁信息不完整")),"违规：锁仓期间禁止加仓",IF(AQ44&gt;C44*D44,"违规：超过单笔风险上限",IF(SUM($AQ$2:$AQ$163)&gt;账户数据!$B$7,"违规：超过账户风险上限","通过")))))))))</f>
        <v>通过</v>
      </c>
    </row>
    <row r="45" ht="17" spans="1:44">
      <c r="A45" s="2">
        <v>43</v>
      </c>
      <c r="B45" s="36" t="s">
        <v>16385</v>
      </c>
      <c r="C45" s="10">
        <v>94204</v>
      </c>
      <c r="D45" s="6">
        <v>0.02</v>
      </c>
      <c r="E45" s="10">
        <v>77.56</v>
      </c>
      <c r="F45" s="8">
        <f>IF(OR(C45="",D45="",E45="",N45="",C45&lt;=0,D45&lt;=0,E45&lt;=N45),"",ROUNDDOWN((C45*D45)/(E45-N45)/100,0)*100)</f>
        <v>200</v>
      </c>
      <c r="G45" s="8" t="str">
        <f ca="1"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COUNTIFS(持仓跟踪!$A$2:$A$497,"止损计划",持仓跟踪!$B$2:$B$497,A45,持仓跟踪!$AC$2:$AC$497,"计划有效")=0,"禁止开仓：请先填写止损计划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5" s="2">
        <v>200</v>
      </c>
      <c r="I45" s="15">
        <v>44417</v>
      </c>
      <c r="J45" s="10">
        <v>95</v>
      </c>
      <c r="K45" s="10">
        <v>68.02</v>
      </c>
      <c r="L45" s="8">
        <f>IF(K45="","",H45)</f>
        <v>200</v>
      </c>
      <c r="M45" s="15">
        <v>44425</v>
      </c>
      <c r="N45" s="10">
        <v>70</v>
      </c>
      <c r="O45" s="10"/>
      <c r="P45" s="10"/>
      <c r="Q45" s="2"/>
      <c r="R45" s="2"/>
      <c r="S45" s="2"/>
      <c r="T45" s="2"/>
      <c r="U45" s="7">
        <f>IF(OR(AO45="",J45="",AO45&lt;=0),"",(J45-AO45)/AO45)</f>
        <v>0.224858174316658</v>
      </c>
      <c r="V45" s="7">
        <f>IF(OR(AO45="",N45="",AO45&lt;=0),"",(AO45-N45)/AO45)</f>
        <v>0.0974729241877257</v>
      </c>
      <c r="W45" s="24">
        <f>IF(OR(U45="",V45="",V45&lt;=0),"",U45/V45)</f>
        <v>2.30687830687831</v>
      </c>
      <c r="X45" s="5">
        <f>IF(OR(K45="",L45="",AP45=""),"",K45*L45-(E45*H45+IF(AND(AK45&lt;&gt;"",AL45&lt;&gt;""),AK45*AL45,0)+IF(AND(AM45&lt;&gt;"",AN45&lt;&gt;""),AM45*AN45,0))-IF(O45="",0,O45)-IF(P45="",0,P45))</f>
        <v>-1908</v>
      </c>
      <c r="Y45" s="7">
        <f>IF(OR(X45="",AP45=""),"",IF((E45*H45+IF(AND(AK45&lt;&gt;"",AL45&lt;&gt;""),AK45*AL45,0)+IF(AND(AM45&lt;&gt;"",AN45&lt;&gt;""),AM45*AN45,0))+IF(O45="",0,O45)&lt;=0,"",X45/((E45*H45+IF(AND(AK45&lt;&gt;"",AL45&lt;&gt;""),AK45*AL45,0)+IF(AND(AM45&lt;&gt;"",AN45&lt;&gt;""),AM45*AN45,0))+IF(O45="",0,O45))))</f>
        <v>-0.123001547189273</v>
      </c>
      <c r="Z45" s="7">
        <f>IF(OR(AE45="",多次统计数据!$B$8=""),"",AE45-多次统计数据!$B$8)</f>
        <v>-0.0790010356218925</v>
      </c>
      <c r="AA45" s="11">
        <f>IF(OR(I45="",M45="",M45&lt;I45),"",M45-I45)</f>
        <v>8</v>
      </c>
      <c r="AB45" s="7">
        <f>IF(OR(A45="",多次统计数据!$B$8="",多次统计数据!$B$6&lt;=0,多次统计数据!$B$6&gt;=1),"",1-POWER(1+多次统计数据!$B$8,-多次统计数据!$B$6/(1-多次统计数据!$B$6)))</f>
        <v>0.0315166534281621</v>
      </c>
      <c r="AC45" s="8" t="str">
        <f>IF(OR(AB45="",多次统计数据!$B$9=""),"",IF(多次统计数据!$B$9&lt;AB45,"低于上限","达到或超过上限"))</f>
        <v>低于上限</v>
      </c>
      <c r="AD45" s="2"/>
      <c r="AE45" s="7">
        <f>IF(OR(X45="",C45="",C45&lt;=0),"",X45/C45)</f>
        <v>-0.0202539170311239</v>
      </c>
      <c r="AG45" s="2"/>
      <c r="AH45" s="2"/>
      <c r="AI45" s="2"/>
      <c r="AJ45" s="8" t="str">
        <f>IF(OR(AG45="",AH45=""),"",IF(OR(AND(AG45="短期博反弹",OR(AH45="1～3个交易日",AH45="4～10个交易日")),AND(AG45="突破冲新高",OR(AH45="4～10个交易日",AH45="11～20个交易日")),AND(AG45="趋势波段",OR(AH45="11～20个交易日",AH45="21～60个交易日",AH45="60个交易日以上"))),"匹配","周期与交易预期不匹配，请重新确认"))</f>
        <v/>
      </c>
      <c r="AK45" s="10"/>
      <c r="AL45" s="12"/>
      <c r="AM45" s="10"/>
      <c r="AN45" s="12"/>
      <c r="AO45" s="5">
        <f>IF(OR(A45="",H45="",H45&lt;=0),"",(E45*H45+IF(AND(AK45&lt;&gt;"",AL45&lt;&gt;""),AK45*AL45,0)+IF(AND(AM45&lt;&gt;"",AN45&lt;&gt;""),AM45*AN45,0))/AP45)</f>
        <v>77.56</v>
      </c>
      <c r="AP45" s="11">
        <f>IF(OR(A45="",H45="",H45&lt;=0),"",H45+IF(AL45="",0,AL45)+IF(AN45="",0,AN45))</f>
        <v>200</v>
      </c>
      <c r="AQ45" s="5">
        <f>IF(A45="","",IF(M45&lt;&gt;"",0,IF(OR(H45="",N45=""),"",MAX(E45-MAX(N45,IFERROR(SUMPRODUCT(MAX(((持仓跟踪!$A$2:$A$497="每日跟踪")*(持仓跟踪!$B$2:$B$497=A45))*持仓跟踪!$S$2:$S$497)),0)),0)*H45+IF(OR(AK45="",AL45=""),0,MAX(AK45-MAX(N45,IFERROR(SUMPRODUCT(MAX(((持仓跟踪!$A$2:$A$497="每日跟踪")*(持仓跟踪!$B$2:$B$497=A45))*持仓跟踪!$S$2:$S$497)),0)),0)*AL45)+IF(OR(AM45="",AN45=""),0,MAX(AM45-MAX(N45,IFERROR(SUMPRODUCT(MAX(((持仓跟踪!$A$2:$A$497="每日跟踪")*(持仓跟踪!$B$2:$B$497=A45))*持仓跟踪!$S$2:$S$497)),0)),0)*AN45))))</f>
        <v>0</v>
      </c>
      <c r="AR45" s="8" t="str">
        <f ca="1">IF(A45="","",IF(OR(E45="",H45=""),"违规：第一批价格或股数缺失",IF(OR(AND(AK45="",AL45&lt;&gt;""),AND(AK45&lt;&gt;"",AL45="")),"违规：第二批价格与股数须成对填写",IF(OR(AND(AM45="",AN45&lt;&gt;""),AND(AM45&lt;&gt;"",AN45="")),"违规：第三批价格与股数须成对填写",IF(AND(OR(AM45&lt;&gt;"",AN45&lt;&gt;""),OR(AK45="",AL45="")),"违规：必须先完成第二批",IF(OR(H45&lt;=0,H45&lt;&gt;INT(H45),MOD(H45,100)&lt;&gt;0,AND(AL45&lt;&gt;"",OR(AL45&lt;=0,AL45&lt;&gt;INT(AL45),MOD(AL45,100)&lt;&gt;0)),AND(AN45&lt;&gt;"",OR(AN45&lt;=0,AN45&lt;&gt;INT(AN45),MOD(AN45,100)&lt;&gt;0))),"违规：股数须为100股整数倍",IF(AND(OR(AL45&lt;&gt;"",AN45&lt;&gt;""),OR(_LockStatus="已锁仓",_LockStatus="解锁信息不完整")),"违规：锁仓期间禁止加仓",IF(AQ45&gt;C45*D45,"违规：超过单笔风险上限",IF(SUM($AQ$2:$AQ$163)&gt;账户数据!$B$7,"违规：超过账户风险上限","通过")))))))))</f>
        <v>通过</v>
      </c>
    </row>
    <row r="46" ht="17" spans="1:44">
      <c r="A46" s="2">
        <v>44</v>
      </c>
      <c r="B46" s="36" t="s">
        <v>16385</v>
      </c>
      <c r="C46" s="10">
        <v>92296</v>
      </c>
      <c r="D46" s="6">
        <v>0.02</v>
      </c>
      <c r="E46" s="10">
        <v>62.96</v>
      </c>
      <c r="F46" s="8">
        <f>IF(OR(C46="",D46="",E46="",N46="",C46&lt;=0,D46&lt;=0,E46&lt;=N46),"",ROUNDDOWN((C46*D46)/(E46-N46)/100,0)*100)</f>
        <v>400</v>
      </c>
      <c r="G46" s="8" t="str">
        <f ca="1"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COUNTIFS(持仓跟踪!$A$2:$A$497,"止损计划",持仓跟踪!$B$2:$B$497,A46,持仓跟踪!$AC$2:$AC$497,"计划有效")=0,"禁止开仓：请先填写止损计划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6" s="2">
        <v>400</v>
      </c>
      <c r="I46" s="15">
        <v>44441</v>
      </c>
      <c r="J46" s="10">
        <v>80</v>
      </c>
      <c r="K46" s="10">
        <v>75.73</v>
      </c>
      <c r="L46" s="8">
        <f>IF(K46="","",H46)</f>
        <v>400</v>
      </c>
      <c r="M46" s="15">
        <v>44627</v>
      </c>
      <c r="N46" s="10">
        <v>59</v>
      </c>
      <c r="O46" s="10"/>
      <c r="P46" s="10"/>
      <c r="Q46" s="2"/>
      <c r="R46" s="2"/>
      <c r="S46" s="2"/>
      <c r="T46" s="2"/>
      <c r="U46" s="7">
        <f>IF(OR(AO46="",J46="",AO46&lt;=0),"",(J46-AO46)/AO46)</f>
        <v>0.270648030495553</v>
      </c>
      <c r="V46" s="7">
        <f>IF(OR(AO46="",N46="",AO46&lt;=0),"",(AO46-N46)/AO46)</f>
        <v>0.0628970775095299</v>
      </c>
      <c r="W46" s="24">
        <f>IF(OR(U46="",V46="",V46&lt;=0),"",U46/V46)</f>
        <v>4.3030303030303</v>
      </c>
      <c r="X46" s="5">
        <f>IF(OR(K46="",L46="",AP46=""),"",K46*L46-(E46*H46+IF(AND(AK46&lt;&gt;"",AL46&lt;&gt;""),AK46*AL46,0)+IF(AND(AM46&lt;&gt;"",AN46&lt;&gt;""),AM46*AN46,0))-IF(O46="",0,O46)-IF(P46="",0,P46))</f>
        <v>5108</v>
      </c>
      <c r="Y46" s="7">
        <f>IF(OR(X46="",AP46=""),"",IF((E46*H46+IF(AND(AK46&lt;&gt;"",AL46&lt;&gt;""),AK46*AL46,0)+IF(AND(AM46&lt;&gt;"",AN46&lt;&gt;""),AM46*AN46,0))+IF(O46="",0,O46)&lt;=0,"",X46/((E46*H46+IF(AND(AK46&lt;&gt;"",AL46&lt;&gt;""),AK46*AL46,0)+IF(AND(AM46&lt;&gt;"",AN46&lt;&gt;""),AM46*AN46,0))+IF(O46="",0,O46))))</f>
        <v>0.202827191867853</v>
      </c>
      <c r="Z46" s="7">
        <f>IF(OR(AE46="",多次统计数据!$B$8=""),"",AE46-多次统计数据!$B$8)</f>
        <v>-0.00340344172503223</v>
      </c>
      <c r="AA46" s="11">
        <f>IF(OR(I46="",M46="",M46&lt;I46),"",M46-I46)</f>
        <v>186</v>
      </c>
      <c r="AB46" s="7">
        <f>IF(OR(A46="",多次统计数据!$B$8="",多次统计数据!$B$6&lt;=0,多次统计数据!$B$6&gt;=1),"",1-POWER(1+多次统计数据!$B$8,-多次统计数据!$B$6/(1-多次统计数据!$B$6)))</f>
        <v>0.0315166534281621</v>
      </c>
      <c r="AC46" s="8" t="str">
        <f>IF(OR(AB46="",多次统计数据!$B$9=""),"",IF(多次统计数据!$B$9&lt;AB46,"低于上限","达到或超过上限"))</f>
        <v>低于上限</v>
      </c>
      <c r="AD46" s="2"/>
      <c r="AE46" s="7">
        <f>IF(OR(X46="",C46="",C46&lt;=0),"",X46/C46)</f>
        <v>0.0553436768657363</v>
      </c>
      <c r="AG46" s="2"/>
      <c r="AH46" s="2"/>
      <c r="AI46" s="2"/>
      <c r="AJ46" s="8" t="str">
        <f>IF(OR(AG46="",AH46=""),"",IF(OR(AND(AG46="短期博反弹",OR(AH46="1～3个交易日",AH46="4～10个交易日")),AND(AG46="突破冲新高",OR(AH46="4～10个交易日",AH46="11～20个交易日")),AND(AG46="趋势波段",OR(AH46="11～20个交易日",AH46="21～60个交易日",AH46="60个交易日以上"))),"匹配","周期与交易预期不匹配，请重新确认"))</f>
        <v/>
      </c>
      <c r="AK46" s="10"/>
      <c r="AL46" s="12"/>
      <c r="AM46" s="10"/>
      <c r="AN46" s="12"/>
      <c r="AO46" s="5">
        <f>IF(OR(A46="",H46="",H46&lt;=0),"",(E46*H46+IF(AND(AK46&lt;&gt;"",AL46&lt;&gt;""),AK46*AL46,0)+IF(AND(AM46&lt;&gt;"",AN46&lt;&gt;""),AM46*AN46,0))/AP46)</f>
        <v>62.96</v>
      </c>
      <c r="AP46" s="11">
        <f>IF(OR(A46="",H46="",H46&lt;=0),"",H46+IF(AL46="",0,AL46)+IF(AN46="",0,AN46))</f>
        <v>400</v>
      </c>
      <c r="AQ46" s="5">
        <f>IF(A46="","",IF(M46&lt;&gt;"",0,IF(OR(H46="",N46=""),"",MAX(E46-MAX(N46,IFERROR(SUMPRODUCT(MAX(((持仓跟踪!$A$2:$A$497="每日跟踪")*(持仓跟踪!$B$2:$B$497=A46))*持仓跟踪!$S$2:$S$497)),0)),0)*H46+IF(OR(AK46="",AL46=""),0,MAX(AK46-MAX(N46,IFERROR(SUMPRODUCT(MAX(((持仓跟踪!$A$2:$A$497="每日跟踪")*(持仓跟踪!$B$2:$B$497=A46))*持仓跟踪!$S$2:$S$497)),0)),0)*AL46)+IF(OR(AM46="",AN46=""),0,MAX(AM46-MAX(N46,IFERROR(SUMPRODUCT(MAX(((持仓跟踪!$A$2:$A$497="每日跟踪")*(持仓跟踪!$B$2:$B$497=A46))*持仓跟踪!$S$2:$S$497)),0)),0)*AN46))))</f>
        <v>0</v>
      </c>
      <c r="AR46" s="8" t="str">
        <f ca="1">IF(A46="","",IF(OR(E46="",H46=""),"违规：第一批价格或股数缺失",IF(OR(AND(AK46="",AL46&lt;&gt;""),AND(AK46&lt;&gt;"",AL46="")),"违规：第二批价格与股数须成对填写",IF(OR(AND(AM46="",AN46&lt;&gt;""),AND(AM46&lt;&gt;"",AN46="")),"违规：第三批价格与股数须成对填写",IF(AND(OR(AM46&lt;&gt;"",AN46&lt;&gt;""),OR(AK46="",AL46="")),"违规：必须先完成第二批",IF(OR(H46&lt;=0,H46&lt;&gt;INT(H46),MOD(H46,100)&lt;&gt;0,AND(AL46&lt;&gt;"",OR(AL46&lt;=0,AL46&lt;&gt;INT(AL46),MOD(AL46,100)&lt;&gt;0)),AND(AN46&lt;&gt;"",OR(AN46&lt;=0,AN46&lt;&gt;INT(AN46),MOD(AN46,100)&lt;&gt;0))),"违规：股数须为100股整数倍",IF(AND(OR(AL46&lt;&gt;"",AN46&lt;&gt;""),OR(_LockStatus="已锁仓",_LockStatus="解锁信息不完整")),"违规：锁仓期间禁止加仓",IF(AQ46&gt;C46*D46,"违规：超过单笔风险上限",IF(SUM($AQ$2:$AQ$163)&gt;账户数据!$B$7,"违规：超过账户风险上限","通过")))))))))</f>
        <v>通过</v>
      </c>
    </row>
    <row r="47" ht="17" spans="1:44">
      <c r="A47" s="2">
        <v>45</v>
      </c>
      <c r="B47" s="36" t="s">
        <v>16385</v>
      </c>
      <c r="C47" s="10">
        <v>97404</v>
      </c>
      <c r="D47" s="6">
        <v>0.02</v>
      </c>
      <c r="E47" s="10">
        <v>72.19</v>
      </c>
      <c r="F47" s="8">
        <f>IF(OR(C47="",D47="",E47="",N47="",C47&lt;=0,D47&lt;=0,E47&lt;=N47),"",ROUNDDOWN((C47*D47)/(E47-N47)/100,0)*100)</f>
        <v>400</v>
      </c>
      <c r="G47" s="8" t="str">
        <f ca="1"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COUNTIFS(持仓跟踪!$A$2:$A$497,"止损计划",持仓跟踪!$B$2:$B$497,A47,持仓跟踪!$AC$2:$AC$497,"计划有效")=0,"禁止开仓：请先填写止损计划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7" s="2">
        <v>400</v>
      </c>
      <c r="I47" s="15">
        <v>44630</v>
      </c>
      <c r="J47" s="10">
        <v>80</v>
      </c>
      <c r="K47" s="10">
        <v>65.59</v>
      </c>
      <c r="L47" s="8">
        <f>IF(K47="","",H47)</f>
        <v>400</v>
      </c>
      <c r="M47" s="15">
        <v>44634</v>
      </c>
      <c r="N47" s="10">
        <v>68</v>
      </c>
      <c r="O47" s="10"/>
      <c r="P47" s="10"/>
      <c r="Q47" s="2"/>
      <c r="R47" s="2"/>
      <c r="S47" s="2"/>
      <c r="T47" s="2"/>
      <c r="U47" s="7">
        <f>IF(OR(AO47="",J47="",AO47&lt;=0),"",(J47-AO47)/AO47)</f>
        <v>0.108186729463915</v>
      </c>
      <c r="V47" s="7">
        <f>IF(OR(AO47="",N47="",AO47&lt;=0),"",(AO47-N47)/AO47)</f>
        <v>0.0580412799556725</v>
      </c>
      <c r="W47" s="24">
        <f>IF(OR(U47="",V47="",V47&lt;=0),"",U47/V47)</f>
        <v>1.86396181384248</v>
      </c>
      <c r="X47" s="5">
        <f>IF(OR(K47="",L47="",AP47=""),"",K47*L47-(E47*H47+IF(AND(AK47&lt;&gt;"",AL47&lt;&gt;""),AK47*AL47,0)+IF(AND(AM47&lt;&gt;"",AN47&lt;&gt;""),AM47*AN47,0))-IF(O47="",0,O47)-IF(P47="",0,P47))</f>
        <v>-2640</v>
      </c>
      <c r="Y47" s="7">
        <f>IF(OR(X47="",AP47=""),"",IF((E47*H47+IF(AND(AK47&lt;&gt;"",AL47&lt;&gt;""),AK47*AL47,0)+IF(AND(AM47&lt;&gt;"",AN47&lt;&gt;""),AM47*AN47,0))+IF(O47="",0,O47)&lt;=0,"",X47/((E47*H47+IF(AND(AK47&lt;&gt;"",AL47&lt;&gt;""),AK47*AL47,0)+IF(AND(AM47&lt;&gt;"",AN47&lt;&gt;""),AM47*AN47,0))+IF(O47="",0,O47))))</f>
        <v>-0.091425405180773</v>
      </c>
      <c r="Z47" s="7">
        <f>IF(OR(AE47="",多次统计数据!$B$8=""),"",AE47-多次统计数据!$B$8)</f>
        <v>-0.0858507282987888</v>
      </c>
      <c r="AA47" s="11">
        <f>IF(OR(I47="",M47="",M47&lt;I47),"",M47-I47)</f>
        <v>4</v>
      </c>
      <c r="AB47" s="7">
        <f>IF(OR(A47="",多次统计数据!$B$8="",多次统计数据!$B$6&lt;=0,多次统计数据!$B$6&gt;=1),"",1-POWER(1+多次统计数据!$B$8,-多次统计数据!$B$6/(1-多次统计数据!$B$6)))</f>
        <v>0.0315166534281621</v>
      </c>
      <c r="AC47" s="8" t="str">
        <f>IF(OR(AB47="",多次统计数据!$B$9=""),"",IF(多次统计数据!$B$9&lt;AB47,"低于上限","达到或超过上限"))</f>
        <v>低于上限</v>
      </c>
      <c r="AD47" s="2"/>
      <c r="AE47" s="7">
        <f>IF(OR(X47="",C47="",C47&lt;=0),"",X47/C47)</f>
        <v>-0.0271036097080202</v>
      </c>
      <c r="AG47" s="2"/>
      <c r="AH47" s="2"/>
      <c r="AI47" s="2"/>
      <c r="AJ47" s="8" t="str">
        <f>IF(OR(AG47="",AH47=""),"",IF(OR(AND(AG47="短期博反弹",OR(AH47="1～3个交易日",AH47="4～10个交易日")),AND(AG47="突破冲新高",OR(AH47="4～10个交易日",AH47="11～20个交易日")),AND(AG47="趋势波段",OR(AH47="11～20个交易日",AH47="21～60个交易日",AH47="60个交易日以上"))),"匹配","周期与交易预期不匹配，请重新确认"))</f>
        <v/>
      </c>
      <c r="AK47" s="10"/>
      <c r="AL47" s="12"/>
      <c r="AM47" s="10"/>
      <c r="AN47" s="12"/>
      <c r="AO47" s="5">
        <f>IF(OR(A47="",H47="",H47&lt;=0),"",(E47*H47+IF(AND(AK47&lt;&gt;"",AL47&lt;&gt;""),AK47*AL47,0)+IF(AND(AM47&lt;&gt;"",AN47&lt;&gt;""),AM47*AN47,0))/AP47)</f>
        <v>72.19</v>
      </c>
      <c r="AP47" s="11">
        <f>IF(OR(A47="",H47="",H47&lt;=0),"",H47+IF(AL47="",0,AL47)+IF(AN47="",0,AN47))</f>
        <v>400</v>
      </c>
      <c r="AQ47" s="5">
        <f>IF(A47="","",IF(M47&lt;&gt;"",0,IF(OR(H47="",N47=""),"",MAX(E47-MAX(N47,IFERROR(SUMPRODUCT(MAX(((持仓跟踪!$A$2:$A$497="每日跟踪")*(持仓跟踪!$B$2:$B$497=A47))*持仓跟踪!$S$2:$S$497)),0)),0)*H47+IF(OR(AK47="",AL47=""),0,MAX(AK47-MAX(N47,IFERROR(SUMPRODUCT(MAX(((持仓跟踪!$A$2:$A$497="每日跟踪")*(持仓跟踪!$B$2:$B$497=A47))*持仓跟踪!$S$2:$S$497)),0)),0)*AL47)+IF(OR(AM47="",AN47=""),0,MAX(AM47-MAX(N47,IFERROR(SUMPRODUCT(MAX(((持仓跟踪!$A$2:$A$497="每日跟踪")*(持仓跟踪!$B$2:$B$497=A47))*持仓跟踪!$S$2:$S$497)),0)),0)*AN47))))</f>
        <v>0</v>
      </c>
      <c r="AR47" s="8" t="str">
        <f ca="1">IF(A47="","",IF(OR(E47="",H47=""),"违规：第一批价格或股数缺失",IF(OR(AND(AK47="",AL47&lt;&gt;""),AND(AK47&lt;&gt;"",AL47="")),"违规：第二批价格与股数须成对填写",IF(OR(AND(AM47="",AN47&lt;&gt;""),AND(AM47&lt;&gt;"",AN47="")),"违规：第三批价格与股数须成对填写",IF(AND(OR(AM47&lt;&gt;"",AN47&lt;&gt;""),OR(AK47="",AL47="")),"违规：必须先完成第二批",IF(OR(H47&lt;=0,H47&lt;&gt;INT(H47),MOD(H47,100)&lt;&gt;0,AND(AL47&lt;&gt;"",OR(AL47&lt;=0,AL47&lt;&gt;INT(AL47),MOD(AL47,100)&lt;&gt;0)),AND(AN47&lt;&gt;"",OR(AN47&lt;=0,AN47&lt;&gt;INT(AN47),MOD(AN47,100)&lt;&gt;0))),"违规：股数须为100股整数倍",IF(AND(OR(AL47&lt;&gt;"",AN47&lt;&gt;""),OR(_LockStatus="已锁仓",_LockStatus="解锁信息不完整")),"违规：锁仓期间禁止加仓",IF(AQ47&gt;C47*D47,"违规：超过单笔风险上限",IF(SUM($AQ$2:$AQ$163)&gt;账户数据!$B$7,"违规：超过账户风险上限","通过")))))))))</f>
        <v>通过</v>
      </c>
    </row>
    <row r="48" ht="17" spans="1:44">
      <c r="A48" s="2">
        <v>46</v>
      </c>
      <c r="B48" s="36" t="s">
        <v>16385</v>
      </c>
      <c r="C48" s="10">
        <v>94764</v>
      </c>
      <c r="D48" s="6">
        <v>0.02</v>
      </c>
      <c r="E48" s="10">
        <v>68.11</v>
      </c>
      <c r="F48" s="8">
        <f>IF(OR(C48="",D48="",E48="",N48="",C48&lt;=0,D48&lt;=0,E48&lt;=N48),"",ROUNDDOWN((C48*D48)/(E48-N48)/100,0)*100)</f>
        <v>600</v>
      </c>
      <c r="G48" s="8" t="str">
        <f ca="1"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COUNTIFS(持仓跟踪!$A$2:$A$497,"止损计划",持仓跟踪!$B$2:$B$497,A48,持仓跟踪!$AC$2:$AC$497,"计划有效")=0,"禁止开仓：请先填写止损计划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8" s="2">
        <v>600</v>
      </c>
      <c r="I48" s="15">
        <v>44636</v>
      </c>
      <c r="J48" s="10">
        <v>80</v>
      </c>
      <c r="K48" s="10">
        <v>63.84</v>
      </c>
      <c r="L48" s="8">
        <f>IF(K48="","",H48)</f>
        <v>600</v>
      </c>
      <c r="M48" s="15">
        <v>44649</v>
      </c>
      <c r="N48" s="10">
        <v>65</v>
      </c>
      <c r="O48" s="10"/>
      <c r="P48" s="10"/>
      <c r="Q48" s="2"/>
      <c r="R48" s="2"/>
      <c r="S48" s="2"/>
      <c r="T48" s="2"/>
      <c r="U48" s="7">
        <f>IF(OR(AO48="",J48="",AO48&lt;=0),"",(J48-AO48)/AO48)</f>
        <v>0.174570547643518</v>
      </c>
      <c r="V48" s="7">
        <f>IF(OR(AO48="",N48="",AO48&lt;=0),"",(AO48-N48)/AO48)</f>
        <v>0.0456614300396418</v>
      </c>
      <c r="W48" s="24">
        <f>IF(OR(U48="",V48="",V48&lt;=0),"",U48/V48)</f>
        <v>3.82315112540193</v>
      </c>
      <c r="X48" s="5">
        <f>IF(OR(K48="",L48="",AP48=""),"",K48*L48-(E48*H48+IF(AND(AK48&lt;&gt;"",AL48&lt;&gt;""),AK48*AL48,0)+IF(AND(AM48&lt;&gt;"",AN48&lt;&gt;""),AM48*AN48,0))-IF(O48="",0,O48)-IF(P48="",0,P48))</f>
        <v>-2562</v>
      </c>
      <c r="Y48" s="7">
        <f>IF(OR(X48="",AP48=""),"",IF((E48*H48+IF(AND(AK48&lt;&gt;"",AL48&lt;&gt;""),AK48*AL48,0)+IF(AND(AM48&lt;&gt;"",AN48&lt;&gt;""),AM48*AN48,0))+IF(O48="",0,O48)&lt;=0,"",X48/((E48*H48+IF(AND(AK48&lt;&gt;"",AL48&lt;&gt;""),AK48*AL48,0)+IF(AND(AM48&lt;&gt;"",AN48&lt;&gt;""),AM48*AN48,0))+IF(O48="",0,O48))))</f>
        <v>-0.0626927029804728</v>
      </c>
      <c r="Z48" s="7">
        <f>IF(OR(AE48="",多次统计数据!$B$8=""),"",AE48-多次统计数据!$B$8)</f>
        <v>-0.0857827017236038</v>
      </c>
      <c r="AA48" s="11">
        <f>IF(OR(I48="",M48="",M48&lt;I48),"",M48-I48)</f>
        <v>13</v>
      </c>
      <c r="AB48" s="7">
        <f>IF(OR(A48="",多次统计数据!$B$8="",多次统计数据!$B$6&lt;=0,多次统计数据!$B$6&gt;=1),"",1-POWER(1+多次统计数据!$B$8,-多次统计数据!$B$6/(1-多次统计数据!$B$6)))</f>
        <v>0.0315166534281621</v>
      </c>
      <c r="AC48" s="8" t="str">
        <f>IF(OR(AB48="",多次统计数据!$B$9=""),"",IF(多次统计数据!$B$9&lt;AB48,"低于上限","达到或超过上限"))</f>
        <v>低于上限</v>
      </c>
      <c r="AD48" s="2"/>
      <c r="AE48" s="7">
        <f>IF(OR(X48="",C48="",C48&lt;=0),"",X48/C48)</f>
        <v>-0.0270355831328353</v>
      </c>
      <c r="AG48" s="2"/>
      <c r="AH48" s="2"/>
      <c r="AI48" s="2"/>
      <c r="AJ48" s="8" t="str">
        <f>IF(OR(AG48="",AH48=""),"",IF(OR(AND(AG48="短期博反弹",OR(AH48="1～3个交易日",AH48="4～10个交易日")),AND(AG48="突破冲新高",OR(AH48="4～10个交易日",AH48="11～20个交易日")),AND(AG48="趋势波段",OR(AH48="11～20个交易日",AH48="21～60个交易日",AH48="60个交易日以上"))),"匹配","周期与交易预期不匹配，请重新确认"))</f>
        <v/>
      </c>
      <c r="AK48" s="10"/>
      <c r="AL48" s="12"/>
      <c r="AM48" s="10"/>
      <c r="AN48" s="12"/>
      <c r="AO48" s="5">
        <f>IF(OR(A48="",H48="",H48&lt;=0),"",(E48*H48+IF(AND(AK48&lt;&gt;"",AL48&lt;&gt;""),AK48*AL48,0)+IF(AND(AM48&lt;&gt;"",AN48&lt;&gt;""),AM48*AN48,0))/AP48)</f>
        <v>68.11</v>
      </c>
      <c r="AP48" s="11">
        <f>IF(OR(A48="",H48="",H48&lt;=0),"",H48+IF(AL48="",0,AL48)+IF(AN48="",0,AN48))</f>
        <v>600</v>
      </c>
      <c r="AQ48" s="5">
        <f>IF(A48="","",IF(M48&lt;&gt;"",0,IF(OR(H48="",N48=""),"",MAX(E48-MAX(N48,IFERROR(SUMPRODUCT(MAX(((持仓跟踪!$A$2:$A$497="每日跟踪")*(持仓跟踪!$B$2:$B$497=A48))*持仓跟踪!$S$2:$S$497)),0)),0)*H48+IF(OR(AK48="",AL48=""),0,MAX(AK48-MAX(N48,IFERROR(SUMPRODUCT(MAX(((持仓跟踪!$A$2:$A$497="每日跟踪")*(持仓跟踪!$B$2:$B$497=A48))*持仓跟踪!$S$2:$S$497)),0)),0)*AL48)+IF(OR(AM48="",AN48=""),0,MAX(AM48-MAX(N48,IFERROR(SUMPRODUCT(MAX(((持仓跟踪!$A$2:$A$497="每日跟踪")*(持仓跟踪!$B$2:$B$497=A48))*持仓跟踪!$S$2:$S$497)),0)),0)*AN48))))</f>
        <v>0</v>
      </c>
      <c r="AR48" s="8" t="str">
        <f ca="1">IF(A48="","",IF(OR(E48="",H48=""),"违规：第一批价格或股数缺失",IF(OR(AND(AK48="",AL48&lt;&gt;""),AND(AK48&lt;&gt;"",AL48="")),"违规：第二批价格与股数须成对填写",IF(OR(AND(AM48="",AN48&lt;&gt;""),AND(AM48&lt;&gt;"",AN48="")),"违规：第三批价格与股数须成对填写",IF(AND(OR(AM48&lt;&gt;"",AN48&lt;&gt;""),OR(AK48="",AL48="")),"违规：必须先完成第二批",IF(OR(H48&lt;=0,H48&lt;&gt;INT(H48),MOD(H48,100)&lt;&gt;0,AND(AL48&lt;&gt;"",OR(AL48&lt;=0,AL48&lt;&gt;INT(AL48),MOD(AL48,100)&lt;&gt;0)),AND(AN48&lt;&gt;"",OR(AN48&lt;=0,AN48&lt;&gt;INT(AN48),MOD(AN48,100)&lt;&gt;0))),"违规：股数须为100股整数倍",IF(AND(OR(AL48&lt;&gt;"",AN48&lt;&gt;""),OR(_LockStatus="已锁仓",_LockStatus="解锁信息不完整")),"违规：锁仓期间禁止加仓",IF(AQ48&gt;C48*D48,"违规：超过单笔风险上限",IF(SUM($AQ$2:$AQ$163)&gt;账户数据!$B$7,"违规：超过账户风险上限","通过")))))))))</f>
        <v>通过</v>
      </c>
    </row>
    <row r="49" ht="17" spans="1:44">
      <c r="A49" s="2">
        <v>47</v>
      </c>
      <c r="B49" s="36" t="s">
        <v>16385</v>
      </c>
      <c r="C49" s="10">
        <v>92202</v>
      </c>
      <c r="D49" s="6">
        <v>0.02</v>
      </c>
      <c r="E49" s="10">
        <v>68.86</v>
      </c>
      <c r="F49" s="8">
        <f>IF(OR(C49="",D49="",E49="",N49="",C49&lt;=0,D49&lt;=0,E49&lt;=N49),"",ROUNDDOWN((C49*D49)/(E49-N49)/100,0)*100)</f>
        <v>200</v>
      </c>
      <c r="G49" s="8" t="str">
        <f ca="1"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COUNTIFS(持仓跟踪!$A$2:$A$497,"止损计划",持仓跟踪!$B$2:$B$497,A49,持仓跟踪!$AC$2:$AC$497,"计划有效")=0,"禁止开仓：请先填写止损计划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9" s="2">
        <v>200</v>
      </c>
      <c r="I49" s="15">
        <v>44673</v>
      </c>
      <c r="J49" s="10">
        <v>80</v>
      </c>
      <c r="K49" s="10">
        <v>58.89</v>
      </c>
      <c r="L49" s="8">
        <f>IF(K49="","",H49)</f>
        <v>200</v>
      </c>
      <c r="M49" s="15">
        <v>44809</v>
      </c>
      <c r="N49" s="10">
        <v>60</v>
      </c>
      <c r="O49" s="10"/>
      <c r="P49" s="10"/>
      <c r="Q49" s="2"/>
      <c r="R49" s="2"/>
      <c r="S49" s="2"/>
      <c r="T49" s="2"/>
      <c r="U49" s="7">
        <f>IF(OR(AO49="",J49="",AO49&lt;=0),"",(J49-AO49)/AO49)</f>
        <v>0.161777519604996</v>
      </c>
      <c r="V49" s="7">
        <f>IF(OR(AO49="",N49="",AO49&lt;=0),"",(AO49-N49)/AO49)</f>
        <v>0.128666860296253</v>
      </c>
      <c r="W49" s="24">
        <f>IF(OR(U49="",V49="",V49&lt;=0),"",U49/V49)</f>
        <v>1.25733634311512</v>
      </c>
      <c r="X49" s="5">
        <f>IF(OR(K49="",L49="",AP49=""),"",K49*L49-(E49*H49+IF(AND(AK49&lt;&gt;"",AL49&lt;&gt;""),AK49*AL49,0)+IF(AND(AM49&lt;&gt;"",AN49&lt;&gt;""),AM49*AN49,0))-IF(O49="",0,O49)-IF(P49="",0,P49))</f>
        <v>-1994</v>
      </c>
      <c r="Y49" s="7">
        <f>IF(OR(X49="",AP49=""),"",IF((E49*H49+IF(AND(AK49&lt;&gt;"",AL49&lt;&gt;""),AK49*AL49,0)+IF(AND(AM49&lt;&gt;"",AN49&lt;&gt;""),AM49*AN49,0))+IF(O49="",0,O49)&lt;=0,"",X49/((E49*H49+IF(AND(AK49&lt;&gt;"",AL49&lt;&gt;""),AK49*AL49,0)+IF(AND(AM49&lt;&gt;"",AN49&lt;&gt;""),AM49*AN49,0))+IF(O49="",0,O49))))</f>
        <v>-0.144786523380773</v>
      </c>
      <c r="Z49" s="7">
        <f>IF(OR(AE49="",多次统计数据!$B$8=""),"",AE49-多次统计数据!$B$8)</f>
        <v>-0.0803735475185575</v>
      </c>
      <c r="AA49" s="11">
        <f>IF(OR(I49="",M49="",M49&lt;I49),"",M49-I49)</f>
        <v>136</v>
      </c>
      <c r="AB49" s="7">
        <f>IF(OR(A49="",多次统计数据!$B$8="",多次统计数据!$B$6&lt;=0,多次统计数据!$B$6&gt;=1),"",1-POWER(1+多次统计数据!$B$8,-多次统计数据!$B$6/(1-多次统计数据!$B$6)))</f>
        <v>0.0315166534281621</v>
      </c>
      <c r="AC49" s="8" t="str">
        <f>IF(OR(AB49="",多次统计数据!$B$9=""),"",IF(多次统计数据!$B$9&lt;AB49,"低于上限","达到或超过上限"))</f>
        <v>低于上限</v>
      </c>
      <c r="AD49" s="2"/>
      <c r="AE49" s="7">
        <f>IF(OR(X49="",C49="",C49&lt;=0),"",X49/C49)</f>
        <v>-0.021626428927789</v>
      </c>
      <c r="AG49" s="2"/>
      <c r="AH49" s="2"/>
      <c r="AI49" s="2"/>
      <c r="AJ49" s="8" t="str">
        <f>IF(OR(AG49="",AH49=""),"",IF(OR(AND(AG49="短期博反弹",OR(AH49="1～3个交易日",AH49="4～10个交易日")),AND(AG49="突破冲新高",OR(AH49="4～10个交易日",AH49="11～20个交易日")),AND(AG49="趋势波段",OR(AH49="11～20个交易日",AH49="21～60个交易日",AH49="60个交易日以上"))),"匹配","周期与交易预期不匹配，请重新确认"))</f>
        <v/>
      </c>
      <c r="AK49" s="10"/>
      <c r="AL49" s="12"/>
      <c r="AM49" s="10"/>
      <c r="AN49" s="12"/>
      <c r="AO49" s="5">
        <f>IF(OR(A49="",H49="",H49&lt;=0),"",(E49*H49+IF(AND(AK49&lt;&gt;"",AL49&lt;&gt;""),AK49*AL49,0)+IF(AND(AM49&lt;&gt;"",AN49&lt;&gt;""),AM49*AN49,0))/AP49)</f>
        <v>68.86</v>
      </c>
      <c r="AP49" s="11">
        <f>IF(OR(A49="",H49="",H49&lt;=0),"",H49+IF(AL49="",0,AL49)+IF(AN49="",0,AN49))</f>
        <v>200</v>
      </c>
      <c r="AQ49" s="5">
        <f>IF(A49="","",IF(M49&lt;&gt;"",0,IF(OR(H49="",N49=""),"",MAX(E49-MAX(N49,IFERROR(SUMPRODUCT(MAX(((持仓跟踪!$A$2:$A$497="每日跟踪")*(持仓跟踪!$B$2:$B$497=A49))*持仓跟踪!$S$2:$S$497)),0)),0)*H49+IF(OR(AK49="",AL49=""),0,MAX(AK49-MAX(N49,IFERROR(SUMPRODUCT(MAX(((持仓跟踪!$A$2:$A$497="每日跟踪")*(持仓跟踪!$B$2:$B$497=A49))*持仓跟踪!$S$2:$S$497)),0)),0)*AL49)+IF(OR(AM49="",AN49=""),0,MAX(AM49-MAX(N49,IFERROR(SUMPRODUCT(MAX(((持仓跟踪!$A$2:$A$497="每日跟踪")*(持仓跟踪!$B$2:$B$497=A49))*持仓跟踪!$S$2:$S$497)),0)),0)*AN49))))</f>
        <v>0</v>
      </c>
      <c r="AR49" s="8" t="str">
        <f ca="1">IF(A49="","",IF(OR(E49="",H49=""),"违规：第一批价格或股数缺失",IF(OR(AND(AK49="",AL49&lt;&gt;""),AND(AK49&lt;&gt;"",AL49="")),"违规：第二批价格与股数须成对填写",IF(OR(AND(AM49="",AN49&lt;&gt;""),AND(AM49&lt;&gt;"",AN49="")),"违规：第三批价格与股数须成对填写",IF(AND(OR(AM49&lt;&gt;"",AN49&lt;&gt;""),OR(AK49="",AL49="")),"违规：必须先完成第二批",IF(OR(H49&lt;=0,H49&lt;&gt;INT(H49),MOD(H49,100)&lt;&gt;0,AND(AL49&lt;&gt;"",OR(AL49&lt;=0,AL49&lt;&gt;INT(AL49),MOD(AL49,100)&lt;&gt;0)),AND(AN49&lt;&gt;"",OR(AN49&lt;=0,AN49&lt;&gt;INT(AN49),MOD(AN49,100)&lt;&gt;0))),"违规：股数须为100股整数倍",IF(AND(OR(AL49&lt;&gt;"",AN49&lt;&gt;""),OR(_LockStatus="已锁仓",_LockStatus="解锁信息不完整")),"违规：锁仓期间禁止加仓",IF(AQ49&gt;C49*D49,"违规：超过单笔风险上限",IF(SUM($AQ$2:$AQ$163)&gt;账户数据!$B$7,"违规：超过账户风险上限","通过")))))))))</f>
        <v>通过</v>
      </c>
    </row>
    <row r="50" ht="17" spans="1:44">
      <c r="A50" s="2">
        <v>48</v>
      </c>
      <c r="B50" s="36" t="s">
        <v>16385</v>
      </c>
      <c r="C50" s="10">
        <v>90208</v>
      </c>
      <c r="D50" s="6">
        <v>0.02</v>
      </c>
      <c r="E50" s="10">
        <v>52.41</v>
      </c>
      <c r="F50" s="8">
        <f>IF(OR(C50="",D50="",E50="",N50="",C50&lt;=0,D50&lt;=0,E50&lt;=N50),"",ROUNDDOWN((C50*D50)/(E50-N50)/100,0)*100)</f>
        <v>400</v>
      </c>
      <c r="G50" s="8" t="str">
        <f ca="1"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COUNTIFS(持仓跟踪!$A$2:$A$497,"止损计划",持仓跟踪!$B$2:$B$497,A50,持仓跟踪!$AC$2:$AC$497,"计划有效")=0,"禁止开仓：请先填写止损计划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0" s="2">
        <v>400</v>
      </c>
      <c r="I50" s="15">
        <v>44876</v>
      </c>
      <c r="J50" s="10">
        <v>70</v>
      </c>
      <c r="K50" s="10">
        <v>58.06</v>
      </c>
      <c r="L50" s="8">
        <f>IF(K50="","",H50)</f>
        <v>400</v>
      </c>
      <c r="M50" s="15">
        <v>45043</v>
      </c>
      <c r="N50" s="10">
        <v>48</v>
      </c>
      <c r="O50" s="10"/>
      <c r="P50" s="10"/>
      <c r="Q50" s="2"/>
      <c r="R50" s="2"/>
      <c r="S50" s="2"/>
      <c r="T50" s="2"/>
      <c r="U50" s="7">
        <f>IF(OR(AO50="",J50="",AO50&lt;=0),"",(J50-AO50)/AO50)</f>
        <v>0.335622972715131</v>
      </c>
      <c r="V50" s="7">
        <f>IF(OR(AO50="",N50="",AO50&lt;=0),"",(AO50-N50)/AO50)</f>
        <v>0.0841442472810532</v>
      </c>
      <c r="W50" s="24">
        <f>IF(OR(U50="",V50="",V50&lt;=0),"",U50/V50)</f>
        <v>3.98866213151928</v>
      </c>
      <c r="X50" s="5">
        <f>IF(OR(K50="",L50="",AP50=""),"",K50*L50-(E50*H50+IF(AND(AK50&lt;&gt;"",AL50&lt;&gt;""),AK50*AL50,0)+IF(AND(AM50&lt;&gt;"",AN50&lt;&gt;""),AM50*AN50,0))-IF(O50="",0,O50)-IF(P50="",0,P50))</f>
        <v>2260</v>
      </c>
      <c r="Y50" s="7">
        <f>IF(OR(X50="",AP50=""),"",IF((E50*H50+IF(AND(AK50&lt;&gt;"",AL50&lt;&gt;""),AK50*AL50,0)+IF(AND(AM50&lt;&gt;"",AN50&lt;&gt;""),AM50*AN50,0))+IF(O50="",0,O50)&lt;=0,"",X50/((E50*H50+IF(AND(AK50&lt;&gt;"",AL50&lt;&gt;""),AK50*AL50,0)+IF(AND(AM50&lt;&gt;"",AN50&lt;&gt;""),AM50*AN50,0))+IF(O50="",0,O50))))</f>
        <v>0.107803854226293</v>
      </c>
      <c r="Z50" s="7">
        <f>IF(OR(AE50="",多次统计数据!$B$8=""),"",AE50-多次统计数据!$B$8)</f>
        <v>-0.0336939082324855</v>
      </c>
      <c r="AA50" s="11">
        <f>IF(OR(I50="",M50="",M50&lt;I50),"",M50-I50)</f>
        <v>167</v>
      </c>
      <c r="AB50" s="7">
        <f>IF(OR(A50="",多次统计数据!$B$8="",多次统计数据!$B$6&lt;=0,多次统计数据!$B$6&gt;=1),"",1-POWER(1+多次统计数据!$B$8,-多次统计数据!$B$6/(1-多次统计数据!$B$6)))</f>
        <v>0.0315166534281621</v>
      </c>
      <c r="AC50" s="8" t="str">
        <f>IF(OR(AB50="",多次统计数据!$B$9=""),"",IF(多次统计数据!$B$9&lt;AB50,"低于上限","达到或超过上限"))</f>
        <v>低于上限</v>
      </c>
      <c r="AD50" s="2"/>
      <c r="AE50" s="7">
        <f>IF(OR(X50="",C50="",C50&lt;=0),"",X50/C50)</f>
        <v>0.0250532103582831</v>
      </c>
      <c r="AG50" s="2"/>
      <c r="AH50" s="2"/>
      <c r="AI50" s="2"/>
      <c r="AJ50" s="8" t="str">
        <f>IF(OR(AG50="",AH50=""),"",IF(OR(AND(AG50="短期博反弹",OR(AH50="1～3个交易日",AH50="4～10个交易日")),AND(AG50="突破冲新高",OR(AH50="4～10个交易日",AH50="11～20个交易日")),AND(AG50="趋势波段",OR(AH50="11～20个交易日",AH50="21～60个交易日",AH50="60个交易日以上"))),"匹配","周期与交易预期不匹配，请重新确认"))</f>
        <v/>
      </c>
      <c r="AK50" s="10"/>
      <c r="AL50" s="12"/>
      <c r="AM50" s="10"/>
      <c r="AN50" s="12"/>
      <c r="AO50" s="5">
        <f>IF(OR(A50="",H50="",H50&lt;=0),"",(E50*H50+IF(AND(AK50&lt;&gt;"",AL50&lt;&gt;""),AK50*AL50,0)+IF(AND(AM50&lt;&gt;"",AN50&lt;&gt;""),AM50*AN50,0))/AP50)</f>
        <v>52.41</v>
      </c>
      <c r="AP50" s="11">
        <f>IF(OR(A50="",H50="",H50&lt;=0),"",H50+IF(AL50="",0,AL50)+IF(AN50="",0,AN50))</f>
        <v>400</v>
      </c>
      <c r="AQ50" s="5">
        <f>IF(A50="","",IF(M50&lt;&gt;"",0,IF(OR(H50="",N50=""),"",MAX(E50-MAX(N50,IFERROR(SUMPRODUCT(MAX(((持仓跟踪!$A$2:$A$497="每日跟踪")*(持仓跟踪!$B$2:$B$497=A50))*持仓跟踪!$S$2:$S$497)),0)),0)*H50+IF(OR(AK50="",AL50=""),0,MAX(AK50-MAX(N50,IFERROR(SUMPRODUCT(MAX(((持仓跟踪!$A$2:$A$497="每日跟踪")*(持仓跟踪!$B$2:$B$497=A50))*持仓跟踪!$S$2:$S$497)),0)),0)*AL50)+IF(OR(AM50="",AN50=""),0,MAX(AM50-MAX(N50,IFERROR(SUMPRODUCT(MAX(((持仓跟踪!$A$2:$A$497="每日跟踪")*(持仓跟踪!$B$2:$B$497=A50))*持仓跟踪!$S$2:$S$497)),0)),0)*AN50))))</f>
        <v>0</v>
      </c>
      <c r="AR50" s="8" t="str">
        <f ca="1">IF(A50="","",IF(OR(E50="",H50=""),"违规：第一批价格或股数缺失",IF(OR(AND(AK50="",AL50&lt;&gt;""),AND(AK50&lt;&gt;"",AL50="")),"违规：第二批价格与股数须成对填写",IF(OR(AND(AM50="",AN50&lt;&gt;""),AND(AM50&lt;&gt;"",AN50="")),"违规：第三批价格与股数须成对填写",IF(AND(OR(AM50&lt;&gt;"",AN50&lt;&gt;""),OR(AK50="",AL50="")),"违规：必须先完成第二批",IF(OR(H50&lt;=0,H50&lt;&gt;INT(H50),MOD(H50,100)&lt;&gt;0,AND(AL50&lt;&gt;"",OR(AL50&lt;=0,AL50&lt;&gt;INT(AL50),MOD(AL50,100)&lt;&gt;0)),AND(AN50&lt;&gt;"",OR(AN50&lt;=0,AN50&lt;&gt;INT(AN50),MOD(AN50,100)&lt;&gt;0))),"违规：股数须为100股整数倍",IF(AND(OR(AL50&lt;&gt;"",AN50&lt;&gt;""),OR(_LockStatus="已锁仓",_LockStatus="解锁信息不完整")),"违规：锁仓期间禁止加仓",IF(AQ50&gt;C50*D50,"违规：超过单笔风险上限",IF(SUM($AQ$2:$AQ$163)&gt;账户数据!$B$7,"违规：超过账户风险上限","通过")))))))))</f>
        <v>通过</v>
      </c>
    </row>
    <row r="51" ht="34" spans="1:44">
      <c r="A51" s="2">
        <v>49</v>
      </c>
      <c r="B51" s="36" t="s">
        <v>16385</v>
      </c>
      <c r="C51" s="10">
        <v>92468</v>
      </c>
      <c r="D51" s="6">
        <v>0.02</v>
      </c>
      <c r="E51" s="10">
        <v>54.25</v>
      </c>
      <c r="F51" s="8">
        <f>IF(OR(C51="",D51="",E51="",N51="",C51&lt;=0,D51&lt;=0,E51&lt;=N51),"",ROUNDDOWN((C51*D51)/(E51-N51)/100,0)*100)</f>
        <v>400</v>
      </c>
      <c r="G51" s="8" t="str">
        <f ca="1"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COUNTIFS(持仓跟踪!$A$2:$A$497,"止损计划",持仓跟踪!$B$2:$B$497,A51,持仓跟踪!$AC$2:$AC$497,"计划有效")=0,"禁止开仓：请先填写止损计划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1" s="2">
        <v>400</v>
      </c>
      <c r="I51" s="15">
        <v>45130</v>
      </c>
      <c r="J51" s="10">
        <v>65</v>
      </c>
      <c r="K51" s="10">
        <v>46.19</v>
      </c>
      <c r="L51" s="8">
        <f>IF(K51="","",H51)</f>
        <v>400</v>
      </c>
      <c r="M51" s="15">
        <v>45159</v>
      </c>
      <c r="N51" s="10">
        <v>50</v>
      </c>
      <c r="O51" s="10"/>
      <c r="P51" s="10"/>
      <c r="Q51" s="2"/>
      <c r="R51" s="2"/>
      <c r="S51" s="2"/>
      <c r="T51" s="2"/>
      <c r="U51" s="7">
        <f>IF(OR(AO51="",J51="",AO51&lt;=0),"",(J51-AO51)/AO51)</f>
        <v>0.19815668202765</v>
      </c>
      <c r="V51" s="7">
        <f>IF(OR(AO51="",N51="",AO51&lt;=0),"",(AO51-N51)/AO51)</f>
        <v>0.0783410138248848</v>
      </c>
      <c r="W51" s="24">
        <f>IF(OR(U51="",V51="",V51&lt;=0),"",U51/V51)</f>
        <v>2.52941176470588</v>
      </c>
      <c r="X51" s="5">
        <f>IF(OR(K51="",L51="",AP51=""),"",K51*L51-(E51*H51+IF(AND(AK51&lt;&gt;"",AL51&lt;&gt;""),AK51*AL51,0)+IF(AND(AM51&lt;&gt;"",AN51&lt;&gt;""),AM51*AN51,0))-IF(O51="",0,O51)-IF(P51="",0,P51))</f>
        <v>-3224</v>
      </c>
      <c r="Y51" s="7">
        <f>IF(OR(X51="",AP51=""),"",IF((E51*H51+IF(AND(AK51&lt;&gt;"",AL51&lt;&gt;""),AK51*AL51,0)+IF(AND(AM51&lt;&gt;"",AN51&lt;&gt;""),AM51*AN51,0))+IF(O51="",0,O51)&lt;=0,"",X51/((E51*H51+IF(AND(AK51&lt;&gt;"",AL51&lt;&gt;""),AK51*AL51,0)+IF(AND(AM51&lt;&gt;"",AN51&lt;&gt;""),AM51*AN51,0))+IF(O51="",0,O51))))</f>
        <v>-0.148571428571429</v>
      </c>
      <c r="Z51" s="7">
        <f>IF(OR(AE51="",多次统计数据!$B$8=""),"",AE51-多次统计数据!$B$8)</f>
        <v>-0.0936132344362502</v>
      </c>
      <c r="AA51" s="11">
        <f>IF(OR(I51="",M51="",M51&lt;I51),"",M51-I51)</f>
        <v>29</v>
      </c>
      <c r="AB51" s="7">
        <f>IF(OR(A51="",多次统计数据!$B$8="",多次统计数据!$B$6&lt;=0,多次统计数据!$B$6&gt;=1),"",1-POWER(1+多次统计数据!$B$8,-多次统计数据!$B$6/(1-多次统计数据!$B$6)))</f>
        <v>0.0315166534281621</v>
      </c>
      <c r="AC51" s="8" t="str">
        <f>IF(OR(AB51="",多次统计数据!$B$9=""),"",IF(多次统计数据!$B$9&lt;AB51,"低于上限","达到或超过上限"))</f>
        <v>低于上限</v>
      </c>
      <c r="AD51" s="2"/>
      <c r="AE51" s="7">
        <f>IF(OR(X51="",C51="",C51&lt;=0),"",X51/C51)</f>
        <v>-0.0348661158454817</v>
      </c>
      <c r="AG51" s="2"/>
      <c r="AH51" s="2"/>
      <c r="AI51" s="2"/>
      <c r="AJ51" s="8" t="str">
        <f>IF(OR(AG51="",AH51=""),"",IF(OR(AND(AG51="短期博反弹",OR(AH51="1～3个交易日",AH51="4～10个交易日")),AND(AG51="突破冲新高",OR(AH51="4～10个交易日",AH51="11～20个交易日")),AND(AG51="趋势波段",OR(AH51="11～20个交易日",AH51="21～60个交易日",AH51="60个交易日以上"))),"匹配","周期与交易预期不匹配，请重新确认"))</f>
        <v/>
      </c>
      <c r="AK51" s="10"/>
      <c r="AL51" s="12"/>
      <c r="AM51" s="10"/>
      <c r="AN51" s="12"/>
      <c r="AO51" s="5">
        <f>IF(OR(A51="",H51="",H51&lt;=0),"",(E51*H51+IF(AND(AK51&lt;&gt;"",AL51&lt;&gt;""),AK51*AL51,0)+IF(AND(AM51&lt;&gt;"",AN51&lt;&gt;""),AM51*AN51,0))/AP51)</f>
        <v>54.25</v>
      </c>
      <c r="AP51" s="11">
        <f>IF(OR(A51="",H51="",H51&lt;=0),"",H51+IF(AL51="",0,AL51)+IF(AN51="",0,AN51))</f>
        <v>400</v>
      </c>
      <c r="AQ51" s="5">
        <f>IF(A51="","",IF(M51&lt;&gt;"",0,IF(OR(H51="",N51=""),"",MAX(E51-MAX(N51,IFERROR(SUMPRODUCT(MAX(((持仓跟踪!$A$2:$A$497="每日跟踪")*(持仓跟踪!$B$2:$B$497=A51))*持仓跟踪!$S$2:$S$497)),0)),0)*H51+IF(OR(AK51="",AL51=""),0,MAX(AK51-MAX(N51,IFERROR(SUMPRODUCT(MAX(((持仓跟踪!$A$2:$A$497="每日跟踪")*(持仓跟踪!$B$2:$B$497=A51))*持仓跟踪!$S$2:$S$497)),0)),0)*AL51)+IF(OR(AM51="",AN51=""),0,MAX(AM51-MAX(N51,IFERROR(SUMPRODUCT(MAX(((持仓跟踪!$A$2:$A$497="每日跟踪")*(持仓跟踪!$B$2:$B$497=A51))*持仓跟踪!$S$2:$S$497)),0)),0)*AN51))))</f>
        <v>0</v>
      </c>
      <c r="AR51" s="8" t="str">
        <f ca="1">IF(A51="","",IF(OR(E51="",H51=""),"违规：第一批价格或股数缺失",IF(OR(AND(AK51="",AL51&lt;&gt;""),AND(AK51&lt;&gt;"",AL51="")),"违规：第二批价格与股数须成对填写",IF(OR(AND(AM51="",AN51&lt;&gt;""),AND(AM51&lt;&gt;"",AN51="")),"违规：第三批价格与股数须成对填写",IF(AND(OR(AM51&lt;&gt;"",AN51&lt;&gt;""),OR(AK51="",AL51="")),"违规：必须先完成第二批",IF(OR(H51&lt;=0,H51&lt;&gt;INT(H51),MOD(H51,100)&lt;&gt;0,AND(AL51&lt;&gt;"",OR(AL51&lt;=0,AL51&lt;&gt;INT(AL51),MOD(AL51,100)&lt;&gt;0)),AND(AN51&lt;&gt;"",OR(AN51&lt;=0,AN51&lt;&gt;INT(AN51),MOD(AN51,100)&lt;&gt;0))),"违规：股数须为100股整数倍",IF(AND(OR(AL51&lt;&gt;"",AN51&lt;&gt;""),OR(_LockStatus="已锁仓",_LockStatus="解锁信息不完整")),"违规：锁仓期间禁止加仓",IF(AQ51&gt;C51*D51,"违规：超过单笔风险上限",IF(SUM($AQ$2:$AQ$163)&gt;账户数据!$B$7,"违规：超过账户风险上限","通过")))))))))</f>
        <v>通过</v>
      </c>
    </row>
    <row r="52" ht="17" spans="1:44">
      <c r="A52" s="2">
        <v>50</v>
      </c>
      <c r="B52" s="36" t="s">
        <v>16385</v>
      </c>
      <c r="C52" s="10">
        <v>89224</v>
      </c>
      <c r="D52" s="6">
        <v>0.02</v>
      </c>
      <c r="E52" s="10">
        <v>44.14</v>
      </c>
      <c r="F52" s="8">
        <f>IF(OR(C52="",D52="",E52="",N52="",C52&lt;=0,D52&lt;=0,E52&lt;=N52),"",ROUNDDOWN((C52*D52)/(E52-N52)/100,0)*100)</f>
        <v>500</v>
      </c>
      <c r="G52" s="8" t="str">
        <f ca="1"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COUNTIFS(持仓跟踪!$A$2:$A$497,"止损计划",持仓跟踪!$B$2:$B$497,A52,持仓跟踪!$AC$2:$AC$497,"计划有效")=0,"禁止开仓：请先填写止损计划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2" s="2">
        <v>500</v>
      </c>
      <c r="I52" s="15">
        <v>45166</v>
      </c>
      <c r="J52" s="10">
        <v>60</v>
      </c>
      <c r="K52" s="10">
        <v>38.83</v>
      </c>
      <c r="L52" s="8">
        <f>IF(K52="","",H52)</f>
        <v>500</v>
      </c>
      <c r="M52" s="15">
        <v>45309</v>
      </c>
      <c r="N52" s="10">
        <v>41</v>
      </c>
      <c r="O52" s="10"/>
      <c r="P52" s="10"/>
      <c r="Q52" s="2"/>
      <c r="R52" s="2"/>
      <c r="S52" s="2"/>
      <c r="T52" s="2"/>
      <c r="U52" s="7">
        <f>IF(OR(AO52="",J52="",AO52&lt;=0),"",(J52-AO52)/AO52)</f>
        <v>0.359311282283643</v>
      </c>
      <c r="V52" s="7">
        <f>IF(OR(AO52="",N52="",AO52&lt;=0),"",(AO52-N52)/AO52)</f>
        <v>0.0711372904395107</v>
      </c>
      <c r="W52" s="24">
        <f>IF(OR(U52="",V52="",V52&lt;=0),"",U52/V52)</f>
        <v>5.05095541401274</v>
      </c>
      <c r="X52" s="5">
        <f>IF(OR(K52="",L52="",AP52=""),"",K52*L52-(E52*H52+IF(AND(AK52&lt;&gt;"",AL52&lt;&gt;""),AK52*AL52,0)+IF(AND(AM52&lt;&gt;"",AN52&lt;&gt;""),AM52*AN52,0))-IF(O52="",0,O52)-IF(P52="",0,P52))</f>
        <v>-2655</v>
      </c>
      <c r="Y52" s="7">
        <f>IF(OR(X52="",AP52=""),"",IF((E52*H52+IF(AND(AK52&lt;&gt;"",AL52&lt;&gt;""),AK52*AL52,0)+IF(AND(AM52&lt;&gt;"",AN52&lt;&gt;""),AM52*AN52,0))+IF(O52="",0,O52)&lt;=0,"",X52/((E52*H52+IF(AND(AK52&lt;&gt;"",AL52&lt;&gt;""),AK52*AL52,0)+IF(AND(AM52&lt;&gt;"",AN52&lt;&gt;""),AM52*AN52,0))+IF(O52="",0,O52))))</f>
        <v>-0.120299048482102</v>
      </c>
      <c r="Z52" s="7">
        <f>IF(OR(AE52="",多次统计数据!$B$8=""),"",AE52-多次统计数据!$B$8)</f>
        <v>-0.0885036863303902</v>
      </c>
      <c r="AA52" s="11">
        <f>IF(OR(I52="",M52="",M52&lt;I52),"",M52-I52)</f>
        <v>143</v>
      </c>
      <c r="AB52" s="7">
        <f>IF(OR(A52="",多次统计数据!$B$8="",多次统计数据!$B$6&lt;=0,多次统计数据!$B$6&gt;=1),"",1-POWER(1+多次统计数据!$B$8,-多次统计数据!$B$6/(1-多次统计数据!$B$6)))</f>
        <v>0.0315166534281621</v>
      </c>
      <c r="AC52" s="8" t="str">
        <f>IF(OR(AB52="",多次统计数据!$B$9=""),"",IF(多次统计数据!$B$9&lt;AB52,"低于上限","达到或超过上限"))</f>
        <v>低于上限</v>
      </c>
      <c r="AD52" s="2"/>
      <c r="AE52" s="7">
        <f>IF(OR(X52="",C52="",C52&lt;=0),"",X52/C52)</f>
        <v>-0.0297565677396216</v>
      </c>
      <c r="AG52" s="2"/>
      <c r="AH52" s="2"/>
      <c r="AI52" s="2"/>
      <c r="AJ52" s="8" t="str">
        <f>IF(OR(AG52="",AH52=""),"",IF(OR(AND(AG52="短期博反弹",OR(AH52="1～3个交易日",AH52="4～10个交易日")),AND(AG52="突破冲新高",OR(AH52="4～10个交易日",AH52="11～20个交易日")),AND(AG52="趋势波段",OR(AH52="11～20个交易日",AH52="21～60个交易日",AH52="60个交易日以上"))),"匹配","周期与交易预期不匹配，请重新确认"))</f>
        <v/>
      </c>
      <c r="AK52" s="10"/>
      <c r="AL52" s="12"/>
      <c r="AM52" s="10"/>
      <c r="AN52" s="12"/>
      <c r="AO52" s="5">
        <f>IF(OR(A52="",H52="",H52&lt;=0),"",(E52*H52+IF(AND(AK52&lt;&gt;"",AL52&lt;&gt;""),AK52*AL52,0)+IF(AND(AM52&lt;&gt;"",AN52&lt;&gt;""),AM52*AN52,0))/AP52)</f>
        <v>44.14</v>
      </c>
      <c r="AP52" s="11">
        <f>IF(OR(A52="",H52="",H52&lt;=0),"",H52+IF(AL52="",0,AL52)+IF(AN52="",0,AN52))</f>
        <v>500</v>
      </c>
      <c r="AQ52" s="5">
        <f>IF(A52="","",IF(M52&lt;&gt;"",0,IF(OR(H52="",N52=""),"",MAX(E52-MAX(N52,IFERROR(SUMPRODUCT(MAX(((持仓跟踪!$A$2:$A$497="每日跟踪")*(持仓跟踪!$B$2:$B$497=A52))*持仓跟踪!$S$2:$S$497)),0)),0)*H52+IF(OR(AK52="",AL52=""),0,MAX(AK52-MAX(N52,IFERROR(SUMPRODUCT(MAX(((持仓跟踪!$A$2:$A$497="每日跟踪")*(持仓跟踪!$B$2:$B$497=A52))*持仓跟踪!$S$2:$S$497)),0)),0)*AL52)+IF(OR(AM52="",AN52=""),0,MAX(AM52-MAX(N52,IFERROR(SUMPRODUCT(MAX(((持仓跟踪!$A$2:$A$497="每日跟踪")*(持仓跟踪!$B$2:$B$497=A52))*持仓跟踪!$S$2:$S$497)),0)),0)*AN52))))</f>
        <v>0</v>
      </c>
      <c r="AR52" s="8" t="str">
        <f ca="1">IF(A52="","",IF(OR(E52="",H52=""),"违规：第一批价格或股数缺失",IF(OR(AND(AK52="",AL52&lt;&gt;""),AND(AK52&lt;&gt;"",AL52="")),"违规：第二批价格与股数须成对填写",IF(OR(AND(AM52="",AN52&lt;&gt;""),AND(AM52&lt;&gt;"",AN52="")),"违规：第三批价格与股数须成对填写",IF(AND(OR(AM52&lt;&gt;"",AN52&lt;&gt;""),OR(AK52="",AL52="")),"违规：必须先完成第二批",IF(OR(H52&lt;=0,H52&lt;&gt;INT(H52),MOD(H52,100)&lt;&gt;0,AND(AL52&lt;&gt;"",OR(AL52&lt;=0,AL52&lt;&gt;INT(AL52),MOD(AL52,100)&lt;&gt;0)),AND(AN52&lt;&gt;"",OR(AN52&lt;=0,AN52&lt;&gt;INT(AN52),MOD(AN52,100)&lt;&gt;0))),"违规：股数须为100股整数倍",IF(AND(OR(AL52&lt;&gt;"",AN52&lt;&gt;""),OR(_LockStatus="已锁仓",_LockStatus="解锁信息不完整")),"违规：锁仓期间禁止加仓",IF(AQ52&gt;C52*D52,"违规：超过单笔风险上限",IF(SUM($AQ$2:$AQ$163)&gt;账户数据!$B$7,"违规：超过账户风险上限","通过")))))))))</f>
        <v>通过</v>
      </c>
    </row>
    <row r="53" ht="17" spans="1:44">
      <c r="A53" s="2">
        <v>51</v>
      </c>
      <c r="B53" s="36" t="s">
        <v>16385</v>
      </c>
      <c r="C53" s="10">
        <v>86589</v>
      </c>
      <c r="D53" s="6">
        <v>0.02</v>
      </c>
      <c r="E53" s="10">
        <v>40.7</v>
      </c>
      <c r="F53" s="8">
        <f>IF(OR(C53="",D53="",E53="",N53="",C53&lt;=0,D53&lt;=0,E53&lt;=N53),"",ROUNDDOWN((C53*D53)/(E53-N53)/100,0)*100)</f>
        <v>600</v>
      </c>
      <c r="G53" s="8" t="str">
        <f ca="1"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COUNTIFS(持仓跟踪!$A$2:$A$497,"止损计划",持仓跟踪!$B$2:$B$497,A53,持仓跟踪!$AC$2:$AC$497,"计划有效")=0,"禁止开仓：请先填写止损计划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3" s="2">
        <v>600</v>
      </c>
      <c r="I53" s="15">
        <v>45316</v>
      </c>
      <c r="J53" s="10">
        <v>50</v>
      </c>
      <c r="K53" s="10">
        <v>36.94</v>
      </c>
      <c r="L53" s="8">
        <f>IF(K53="","",H53)</f>
        <v>600</v>
      </c>
      <c r="M53" s="15">
        <v>45321</v>
      </c>
      <c r="N53" s="10">
        <v>38</v>
      </c>
      <c r="O53" s="10"/>
      <c r="P53" s="10"/>
      <c r="Q53" s="2"/>
      <c r="R53" s="2"/>
      <c r="S53" s="2"/>
      <c r="T53" s="2"/>
      <c r="U53" s="7">
        <f>IF(OR(AO53="",J53="",AO53&lt;=0),"",(J53-AO53)/AO53)</f>
        <v>0.228501228501228</v>
      </c>
      <c r="V53" s="7">
        <f>IF(OR(AO53="",N53="",AO53&lt;=0),"",(AO53-N53)/AO53)</f>
        <v>0.0663390663390664</v>
      </c>
      <c r="W53" s="24">
        <f>IF(OR(U53="",V53="",V53&lt;=0),"",U53/V53)</f>
        <v>3.44444444444444</v>
      </c>
      <c r="X53" s="5">
        <f>IF(OR(K53="",L53="",AP53=""),"",K53*L53-(E53*H53+IF(AND(AK53&lt;&gt;"",AL53&lt;&gt;""),AK53*AL53,0)+IF(AND(AM53&lt;&gt;"",AN53&lt;&gt;""),AM53*AN53,0))-IF(O53="",0,O53)-IF(P53="",0,P53))</f>
        <v>-2256</v>
      </c>
      <c r="Y53" s="7">
        <f>IF(OR(X53="",AP53=""),"",IF((E53*H53+IF(AND(AK53&lt;&gt;"",AL53&lt;&gt;""),AK53*AL53,0)+IF(AND(AM53&lt;&gt;"",AN53&lt;&gt;""),AM53*AN53,0))+IF(O53="",0,O53)&lt;=0,"",X53/((E53*H53+IF(AND(AK53&lt;&gt;"",AL53&lt;&gt;""),AK53*AL53,0)+IF(AND(AM53&lt;&gt;"",AN53&lt;&gt;""),AM53*AN53,0))+IF(O53="",0,O53))))</f>
        <v>-0.0923832923832924</v>
      </c>
      <c r="Z53" s="7">
        <f>IF(OR(AE53="",多次统计数据!$B$8=""),"",AE53-多次统计数据!$B$8)</f>
        <v>-0.0848012363193484</v>
      </c>
      <c r="AA53" s="11">
        <f>IF(OR(I53="",M53="",M53&lt;I53),"",M53-I53)</f>
        <v>5</v>
      </c>
      <c r="AB53" s="7">
        <f>IF(OR(A53="",多次统计数据!$B$8="",多次统计数据!$B$6&lt;=0,多次统计数据!$B$6&gt;=1),"",1-POWER(1+多次统计数据!$B$8,-多次统计数据!$B$6/(1-多次统计数据!$B$6)))</f>
        <v>0.0315166534281621</v>
      </c>
      <c r="AC53" s="8" t="str">
        <f>IF(OR(AB53="",多次统计数据!$B$9=""),"",IF(多次统计数据!$B$9&lt;AB53,"低于上限","达到或超过上限"))</f>
        <v>低于上限</v>
      </c>
      <c r="AD53" s="2"/>
      <c r="AE53" s="7">
        <f>IF(OR(X53="",C53="",C53&lt;=0),"",X53/C53)</f>
        <v>-0.0260541177285798</v>
      </c>
      <c r="AG53" s="2"/>
      <c r="AH53" s="2"/>
      <c r="AI53" s="2"/>
      <c r="AJ53" s="8" t="str">
        <f>IF(OR(AG53="",AH53=""),"",IF(OR(AND(AG53="短期博反弹",OR(AH53="1～3个交易日",AH53="4～10个交易日")),AND(AG53="突破冲新高",OR(AH53="4～10个交易日",AH53="11～20个交易日")),AND(AG53="趋势波段",OR(AH53="11～20个交易日",AH53="21～60个交易日",AH53="60个交易日以上"))),"匹配","周期与交易预期不匹配，请重新确认"))</f>
        <v/>
      </c>
      <c r="AK53" s="10"/>
      <c r="AL53" s="12"/>
      <c r="AM53" s="10"/>
      <c r="AN53" s="12"/>
      <c r="AO53" s="5">
        <f>IF(OR(A53="",H53="",H53&lt;=0),"",(E53*H53+IF(AND(AK53&lt;&gt;"",AL53&lt;&gt;""),AK53*AL53,0)+IF(AND(AM53&lt;&gt;"",AN53&lt;&gt;""),AM53*AN53,0))/AP53)</f>
        <v>40.7</v>
      </c>
      <c r="AP53" s="11">
        <f>IF(OR(A53="",H53="",H53&lt;=0),"",H53+IF(AL53="",0,AL53)+IF(AN53="",0,AN53))</f>
        <v>600</v>
      </c>
      <c r="AQ53" s="5">
        <f>IF(A53="","",IF(M53&lt;&gt;"",0,IF(OR(H53="",N53=""),"",MAX(E53-MAX(N53,IFERROR(SUMPRODUCT(MAX(((持仓跟踪!$A$2:$A$497="每日跟踪")*(持仓跟踪!$B$2:$B$497=A53))*持仓跟踪!$S$2:$S$497)),0)),0)*H53+IF(OR(AK53="",AL53=""),0,MAX(AK53-MAX(N53,IFERROR(SUMPRODUCT(MAX(((持仓跟踪!$A$2:$A$497="每日跟踪")*(持仓跟踪!$B$2:$B$497=A53))*持仓跟踪!$S$2:$S$497)),0)),0)*AL53)+IF(OR(AM53="",AN53=""),0,MAX(AM53-MAX(N53,IFERROR(SUMPRODUCT(MAX(((持仓跟踪!$A$2:$A$497="每日跟踪")*(持仓跟踪!$B$2:$B$497=A53))*持仓跟踪!$S$2:$S$497)),0)),0)*AN53))))</f>
        <v>0</v>
      </c>
      <c r="AR53" s="8" t="str">
        <f ca="1">IF(A53="","",IF(OR(E53="",H53=""),"违规：第一批价格或股数缺失",IF(OR(AND(AK53="",AL53&lt;&gt;""),AND(AK53&lt;&gt;"",AL53="")),"违规：第二批价格与股数须成对填写",IF(OR(AND(AM53="",AN53&lt;&gt;""),AND(AM53&lt;&gt;"",AN53="")),"违规：第三批价格与股数须成对填写",IF(AND(OR(AM53&lt;&gt;"",AN53&lt;&gt;""),OR(AK53="",AL53="")),"违规：必须先完成第二批",IF(OR(H53&lt;=0,H53&lt;&gt;INT(H53),MOD(H53,100)&lt;&gt;0,AND(AL53&lt;&gt;"",OR(AL53&lt;=0,AL53&lt;&gt;INT(AL53),MOD(AL53,100)&lt;&gt;0)),AND(AN53&lt;&gt;"",OR(AN53&lt;=0,AN53&lt;&gt;INT(AN53),MOD(AN53,100)&lt;&gt;0))),"违规：股数须为100股整数倍",IF(AND(OR(AL53&lt;&gt;"",AN53&lt;&gt;""),OR(_LockStatus="已锁仓",_LockStatus="解锁信息不完整")),"违规：锁仓期间禁止加仓",IF(AQ53&gt;C53*D53,"违规：超过单笔风险上限",IF(SUM($AQ$2:$AQ$163)&gt;账户数据!$B$7,"违规：超过账户风险上限","通过")))))))))</f>
        <v>通过</v>
      </c>
    </row>
    <row r="54" ht="17" spans="1:44">
      <c r="A54" s="2">
        <v>52</v>
      </c>
      <c r="B54" s="36" t="s">
        <v>16385</v>
      </c>
      <c r="C54" s="10">
        <v>84333</v>
      </c>
      <c r="D54" s="6">
        <v>0.02</v>
      </c>
      <c r="E54" s="10">
        <v>36.29</v>
      </c>
      <c r="F54" s="8">
        <f>IF(OR(C54="",D54="",E54="",N54="",C54&lt;=0,D54&lt;=0,E54&lt;=N54),"",ROUNDDOWN((C54*D54)/(E54-N54)/100,0)*100)</f>
        <v>500</v>
      </c>
      <c r="G54" s="8" t="str">
        <f ca="1"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COUNTIFS(持仓跟踪!$A$2:$A$497,"止损计划",持仓跟踪!$B$2:$B$497,A54,持仓跟踪!$AC$2:$AC$497,"计划有效")=0,"禁止开仓：请先填写止损计划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4" s="2">
        <v>500</v>
      </c>
      <c r="I54" s="15">
        <v>45323</v>
      </c>
      <c r="J54" s="10">
        <v>45</v>
      </c>
      <c r="K54" s="10">
        <v>64.19</v>
      </c>
      <c r="L54" s="8">
        <f>IF(K54="","",H54)</f>
        <v>500</v>
      </c>
      <c r="M54" s="15">
        <v>45398</v>
      </c>
      <c r="N54" s="10">
        <v>33</v>
      </c>
      <c r="O54" s="10"/>
      <c r="P54" s="10"/>
      <c r="Q54" s="2"/>
      <c r="R54" s="2"/>
      <c r="S54" s="2"/>
      <c r="T54" s="2"/>
      <c r="U54" s="7">
        <f>IF(OR(AO54="",J54="",AO54&lt;=0),"",(J54-AO54)/AO54)</f>
        <v>0.240011022320198</v>
      </c>
      <c r="V54" s="7">
        <f>IF(OR(AO54="",N54="",AO54&lt;=0),"",(AO54-N54)/AO54)</f>
        <v>0.0906585836318545</v>
      </c>
      <c r="W54" s="24">
        <f>IF(OR(U54="",V54="",V54&lt;=0),"",U54/V54)</f>
        <v>2.64741641337386</v>
      </c>
      <c r="X54" s="5">
        <f>IF(OR(K54="",L54="",AP54=""),"",K54*L54-(E54*H54+IF(AND(AK54&lt;&gt;"",AL54&lt;&gt;""),AK54*AL54,0)+IF(AND(AM54&lt;&gt;"",AN54&lt;&gt;""),AM54*AN54,0))-IF(O54="",0,O54)-IF(P54="",0,P54))</f>
        <v>13950</v>
      </c>
      <c r="Y54" s="7">
        <f>IF(OR(X54="",AP54=""),"",IF((E54*H54+IF(AND(AK54&lt;&gt;"",AL54&lt;&gt;""),AK54*AL54,0)+IF(AND(AM54&lt;&gt;"",AN54&lt;&gt;""),AM54*AN54,0))+IF(O54="",0,O54)&lt;=0,"",X54/((E54*H54+IF(AND(AK54&lt;&gt;"",AL54&lt;&gt;""),AK54*AL54,0)+IF(AND(AM54&lt;&gt;"",AN54&lt;&gt;""),AM54*AN54,0))+IF(O54="",0,O54))))</f>
        <v>0.768806833838523</v>
      </c>
      <c r="Z54" s="7">
        <f>IF(OR(AE54="",多次统计数据!$B$8=""),"",AE54-多次统计数据!$B$8)</f>
        <v>0.106668554988969</v>
      </c>
      <c r="AA54" s="11">
        <f>IF(OR(I54="",M54="",M54&lt;I54),"",M54-I54)</f>
        <v>75</v>
      </c>
      <c r="AB54" s="7">
        <f>IF(OR(A54="",多次统计数据!$B$8="",多次统计数据!$B$6&lt;=0,多次统计数据!$B$6&gt;=1),"",1-POWER(1+多次统计数据!$B$8,-多次统计数据!$B$6/(1-多次统计数据!$B$6)))</f>
        <v>0.0315166534281621</v>
      </c>
      <c r="AC54" s="8" t="str">
        <f>IF(OR(AB54="",多次统计数据!$B$9=""),"",IF(多次统计数据!$B$9&lt;AB54,"低于上限","达到或超过上限"))</f>
        <v>低于上限</v>
      </c>
      <c r="AD54" s="2"/>
      <c r="AE54" s="7">
        <f>IF(OR(X54="",C54="",C54&lt;=0),"",X54/C54)</f>
        <v>0.165415673579737</v>
      </c>
      <c r="AG54" s="2"/>
      <c r="AH54" s="2"/>
      <c r="AI54" s="2"/>
      <c r="AJ54" s="8" t="str">
        <f>IF(OR(AG54="",AH54=""),"",IF(OR(AND(AG54="短期博反弹",OR(AH54="1～3个交易日",AH54="4～10个交易日")),AND(AG54="突破冲新高",OR(AH54="4～10个交易日",AH54="11～20个交易日")),AND(AG54="趋势波段",OR(AH54="11～20个交易日",AH54="21～60个交易日",AH54="60个交易日以上"))),"匹配","周期与交易预期不匹配，请重新确认"))</f>
        <v/>
      </c>
      <c r="AK54" s="10"/>
      <c r="AL54" s="12"/>
      <c r="AM54" s="10"/>
      <c r="AN54" s="12"/>
      <c r="AO54" s="5">
        <f>IF(OR(A54="",H54="",H54&lt;=0),"",(E54*H54+IF(AND(AK54&lt;&gt;"",AL54&lt;&gt;""),AK54*AL54,0)+IF(AND(AM54&lt;&gt;"",AN54&lt;&gt;""),AM54*AN54,0))/AP54)</f>
        <v>36.29</v>
      </c>
      <c r="AP54" s="11">
        <f>IF(OR(A54="",H54="",H54&lt;=0),"",H54+IF(AL54="",0,AL54)+IF(AN54="",0,AN54))</f>
        <v>500</v>
      </c>
      <c r="AQ54" s="5">
        <f>IF(A54="","",IF(M54&lt;&gt;"",0,IF(OR(H54="",N54=""),"",MAX(E54-MAX(N54,IFERROR(SUMPRODUCT(MAX(((持仓跟踪!$A$2:$A$497="每日跟踪")*(持仓跟踪!$B$2:$B$497=A54))*持仓跟踪!$S$2:$S$497)),0)),0)*H54+IF(OR(AK54="",AL54=""),0,MAX(AK54-MAX(N54,IFERROR(SUMPRODUCT(MAX(((持仓跟踪!$A$2:$A$497="每日跟踪")*(持仓跟踪!$B$2:$B$497=A54))*持仓跟踪!$S$2:$S$497)),0)),0)*AL54)+IF(OR(AM54="",AN54=""),0,MAX(AM54-MAX(N54,IFERROR(SUMPRODUCT(MAX(((持仓跟踪!$A$2:$A$497="每日跟踪")*(持仓跟踪!$B$2:$B$497=A54))*持仓跟踪!$S$2:$S$497)),0)),0)*AN54))))</f>
        <v>0</v>
      </c>
      <c r="AR54" s="8" t="str">
        <f ca="1">IF(A54="","",IF(OR(E54="",H54=""),"违规：第一批价格或股数缺失",IF(OR(AND(AK54="",AL54&lt;&gt;""),AND(AK54&lt;&gt;"",AL54="")),"违规：第二批价格与股数须成对填写",IF(OR(AND(AM54="",AN54&lt;&gt;""),AND(AM54&lt;&gt;"",AN54="")),"违规：第三批价格与股数须成对填写",IF(AND(OR(AM54&lt;&gt;"",AN54&lt;&gt;""),OR(AK54="",AL54="")),"违规：必须先完成第二批",IF(OR(H54&lt;=0,H54&lt;&gt;INT(H54),MOD(H54,100)&lt;&gt;0,AND(AL54&lt;&gt;"",OR(AL54&lt;=0,AL54&lt;&gt;INT(AL54),MOD(AL54,100)&lt;&gt;0)),AND(AN54&lt;&gt;"",OR(AN54&lt;=0,AN54&lt;&gt;INT(AN54),MOD(AN54,100)&lt;&gt;0))),"违规：股数须为100股整数倍",IF(AND(OR(AL54&lt;&gt;"",AN54&lt;&gt;""),OR(_LockStatus="已锁仓",_LockStatus="解锁信息不完整")),"违规：锁仓期间禁止加仓",IF(AQ54&gt;C54*D54,"违规：超过单笔风险上限",IF(SUM($AQ$2:$AQ$163)&gt;账户数据!$B$7,"违规：超过账户风险上限","通过")))))))))</f>
        <v>通过</v>
      </c>
    </row>
    <row r="55" ht="17" spans="1:44">
      <c r="A55" s="2">
        <v>53</v>
      </c>
      <c r="B55" s="36" t="s">
        <v>16385</v>
      </c>
      <c r="C55" s="10">
        <v>98283</v>
      </c>
      <c r="D55" s="6">
        <v>0.02</v>
      </c>
      <c r="E55" s="10">
        <v>68.31</v>
      </c>
      <c r="F55" s="8">
        <f>IF(OR(C55="",D55="",E55="",N55="",C55&lt;=0,D55&lt;=0,E55&lt;=N55),"",ROUNDDOWN((C55*D55)/(E55-N55)/100,0)*100)</f>
        <v>200</v>
      </c>
      <c r="G55" s="8" t="str">
        <f ca="1"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COUNTIFS(持仓跟踪!$A$2:$A$497,"止损计划",持仓跟踪!$B$2:$B$497,A55,持仓跟踪!$AC$2:$AC$497,"计划有效")=0,"禁止开仓：请先填写止损计划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5" s="2">
        <v>200</v>
      </c>
      <c r="I55" s="15">
        <v>45405</v>
      </c>
      <c r="J55" s="10">
        <v>80</v>
      </c>
      <c r="K55" s="10">
        <v>76.79</v>
      </c>
      <c r="L55" s="8">
        <f>IF(K55="","",H55)</f>
        <v>200</v>
      </c>
      <c r="M55" s="15">
        <v>45509</v>
      </c>
      <c r="N55" s="10">
        <v>60</v>
      </c>
      <c r="O55" s="10"/>
      <c r="P55" s="10"/>
      <c r="Q55" s="2"/>
      <c r="R55" s="2"/>
      <c r="S55" s="2"/>
      <c r="T55" s="2"/>
      <c r="U55" s="7">
        <f>IF(OR(AO55="",J55="",AO55&lt;=0),"",(J55-AO55)/AO55)</f>
        <v>0.171131605914215</v>
      </c>
      <c r="V55" s="7">
        <f>IF(OR(AO55="",N55="",AO55&lt;=0),"",(AO55-N55)/AO55)</f>
        <v>0.121651295564339</v>
      </c>
      <c r="W55" s="24">
        <f>IF(OR(U55="",V55="",V55&lt;=0),"",U55/V55)</f>
        <v>1.40673886883273</v>
      </c>
      <c r="X55" s="5">
        <f>IF(OR(K55="",L55="",AP55=""),"",K55*L55-(E55*H55+IF(AND(AK55&lt;&gt;"",AL55&lt;&gt;""),AK55*AL55,0)+IF(AND(AM55&lt;&gt;"",AN55&lt;&gt;""),AM55*AN55,0))-IF(O55="",0,O55)-IF(P55="",0,P55))</f>
        <v>1696</v>
      </c>
      <c r="Y55" s="7">
        <f>IF(OR(X55="",AP55=""),"",IF((E55*H55+IF(AND(AK55&lt;&gt;"",AL55&lt;&gt;""),AK55*AL55,0)+IF(AND(AM55&lt;&gt;"",AN55&lt;&gt;""),AM55*AN55,0))+IF(O55="",0,O55)&lt;=0,"",X55/((E55*H55+IF(AND(AK55&lt;&gt;"",AL55&lt;&gt;""),AK55*AL55,0)+IF(AND(AM55&lt;&gt;"",AN55&lt;&gt;""),AM55*AN55,0))+IF(O55="",0,O55))))</f>
        <v>0.124139950226907</v>
      </c>
      <c r="Z55" s="7">
        <f>IF(OR(AE55="",多次统计数据!$B$8=""),"",AE55-多次统计数据!$B$8)</f>
        <v>-0.0414908280827458</v>
      </c>
      <c r="AA55" s="11">
        <f>IF(OR(I55="",M55="",M55&lt;I55),"",M55-I55)</f>
        <v>104</v>
      </c>
      <c r="AB55" s="7">
        <f>IF(OR(A55="",多次统计数据!$B$8="",多次统计数据!$B$6&lt;=0,多次统计数据!$B$6&gt;=1),"",1-POWER(1+多次统计数据!$B$8,-多次统计数据!$B$6/(1-多次统计数据!$B$6)))</f>
        <v>0.0315166534281621</v>
      </c>
      <c r="AC55" s="8" t="str">
        <f>IF(OR(AB55="",多次统计数据!$B$9=""),"",IF(多次统计数据!$B$9&lt;AB55,"低于上限","达到或超过上限"))</f>
        <v>低于上限</v>
      </c>
      <c r="AD55" s="2"/>
      <c r="AE55" s="7">
        <f>IF(OR(X55="",C55="",C55&lt;=0),"",X55/C55)</f>
        <v>0.0172562905080228</v>
      </c>
      <c r="AG55" s="2"/>
      <c r="AH55" s="2"/>
      <c r="AI55" s="2"/>
      <c r="AJ55" s="8" t="str">
        <f>IF(OR(AG55="",AH55=""),"",IF(OR(AND(AG55="短期博反弹",OR(AH55="1～3个交易日",AH55="4～10个交易日")),AND(AG55="突破冲新高",OR(AH55="4～10个交易日",AH55="11～20个交易日")),AND(AG55="趋势波段",OR(AH55="11～20个交易日",AH55="21～60个交易日",AH55="60个交易日以上"))),"匹配","周期与交易预期不匹配，请重新确认"))</f>
        <v/>
      </c>
      <c r="AK55" s="10"/>
      <c r="AL55" s="12"/>
      <c r="AM55" s="10"/>
      <c r="AN55" s="12"/>
      <c r="AO55" s="5">
        <f>IF(OR(A55="",H55="",H55&lt;=0),"",(E55*H55+IF(AND(AK55&lt;&gt;"",AL55&lt;&gt;""),AK55*AL55,0)+IF(AND(AM55&lt;&gt;"",AN55&lt;&gt;""),AM55*AN55,0))/AP55)</f>
        <v>68.31</v>
      </c>
      <c r="AP55" s="11">
        <f>IF(OR(A55="",H55="",H55&lt;=0),"",H55+IF(AL55="",0,AL55)+IF(AN55="",0,AN55))</f>
        <v>200</v>
      </c>
      <c r="AQ55" s="5">
        <f>IF(A55="","",IF(M55&lt;&gt;"",0,IF(OR(H55="",N55=""),"",MAX(E55-MAX(N55,IFERROR(SUMPRODUCT(MAX(((持仓跟踪!$A$2:$A$497="每日跟踪")*(持仓跟踪!$B$2:$B$497=A55))*持仓跟踪!$S$2:$S$497)),0)),0)*H55+IF(OR(AK55="",AL55=""),0,MAX(AK55-MAX(N55,IFERROR(SUMPRODUCT(MAX(((持仓跟踪!$A$2:$A$497="每日跟踪")*(持仓跟踪!$B$2:$B$497=A55))*持仓跟踪!$S$2:$S$497)),0)),0)*AL55)+IF(OR(AM55="",AN55=""),0,MAX(AM55-MAX(N55,IFERROR(SUMPRODUCT(MAX(((持仓跟踪!$A$2:$A$497="每日跟踪")*(持仓跟踪!$B$2:$B$497=A55))*持仓跟踪!$S$2:$S$497)),0)),0)*AN55))))</f>
        <v>0</v>
      </c>
      <c r="AR55" s="8" t="str">
        <f ca="1">IF(A55="","",IF(OR(E55="",H55=""),"违规：第一批价格或股数缺失",IF(OR(AND(AK55="",AL55&lt;&gt;""),AND(AK55&lt;&gt;"",AL55="")),"违规：第二批价格与股数须成对填写",IF(OR(AND(AM55="",AN55&lt;&gt;""),AND(AM55&lt;&gt;"",AN55="")),"违规：第三批价格与股数须成对填写",IF(AND(OR(AM55&lt;&gt;"",AN55&lt;&gt;""),OR(AK55="",AL55="")),"违规：必须先完成第二批",IF(OR(H55&lt;=0,H55&lt;&gt;INT(H55),MOD(H55,100)&lt;&gt;0,AND(AL55&lt;&gt;"",OR(AL55&lt;=0,AL55&lt;&gt;INT(AL55),MOD(AL55,100)&lt;&gt;0)),AND(AN55&lt;&gt;"",OR(AN55&lt;=0,AN55&lt;&gt;INT(AN55),MOD(AN55,100)&lt;&gt;0))),"违规：股数须为100股整数倍",IF(AND(OR(AL55&lt;&gt;"",AN55&lt;&gt;""),OR(_LockStatus="已锁仓",_LockStatus="解锁信息不完整")),"违规：锁仓期间禁止加仓",IF(AQ55&gt;C55*D55,"违规：超过单笔风险上限",IF(SUM($AQ$2:$AQ$163)&gt;账户数据!$B$7,"违规：超过账户风险上限","通过")))))))))</f>
        <v>通过</v>
      </c>
    </row>
    <row r="56" ht="17" spans="1:44">
      <c r="A56" s="2">
        <v>54</v>
      </c>
      <c r="B56" s="36" t="s">
        <v>16385</v>
      </c>
      <c r="C56" s="10">
        <v>99979</v>
      </c>
      <c r="D56" s="6">
        <v>0.02</v>
      </c>
      <c r="E56" s="10">
        <v>79.68</v>
      </c>
      <c r="F56" s="8">
        <f>IF(OR(C56="",D56="",E56="",N56="",C56&lt;=0,D56&lt;=0,E56&lt;=N56),"",ROUNDDOWN((C56*D56)/(E56-N56)/100,0)*100)</f>
        <v>300</v>
      </c>
      <c r="G56" s="8" t="str">
        <f ca="1"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COUNTIFS(持仓跟踪!$A$2:$A$497,"止损计划",持仓跟踪!$B$2:$B$497,A56,持仓跟踪!$AC$2:$AC$497,"计划有效")=0,"禁止开仓：请先填写止损计划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6" s="2">
        <v>300</v>
      </c>
      <c r="I56" s="15">
        <v>45512</v>
      </c>
      <c r="J56" s="10">
        <v>100</v>
      </c>
      <c r="K56" s="10">
        <v>72.89</v>
      </c>
      <c r="L56" s="8">
        <f>IF(K56="","",H56)</f>
        <v>300</v>
      </c>
      <c r="M56" s="15">
        <v>45533</v>
      </c>
      <c r="N56" s="10">
        <v>74</v>
      </c>
      <c r="O56" s="10"/>
      <c r="P56" s="10"/>
      <c r="Q56" s="2"/>
      <c r="R56" s="2"/>
      <c r="S56" s="2"/>
      <c r="T56" s="2"/>
      <c r="U56" s="7">
        <f>IF(OR(AO56="",J56="",AO56&lt;=0),"",(J56-AO56)/AO56)</f>
        <v>0.255020080321285</v>
      </c>
      <c r="V56" s="7">
        <f>IF(OR(AO56="",N56="",AO56&lt;=0),"",(AO56-N56)/AO56)</f>
        <v>0.0712851405622491</v>
      </c>
      <c r="W56" s="24">
        <f>IF(OR(U56="",V56="",V56&lt;=0),"",U56/V56)</f>
        <v>3.57746478873239</v>
      </c>
      <c r="X56" s="5">
        <f>IF(OR(K56="",L56="",AP56=""),"",K56*L56-(E56*H56+IF(AND(AK56&lt;&gt;"",AL56&lt;&gt;""),AK56*AL56,0)+IF(AND(AM56&lt;&gt;"",AN56&lt;&gt;""),AM56*AN56,0))-IF(O56="",0,O56)-IF(P56="",0,P56))</f>
        <v>-2037</v>
      </c>
      <c r="Y56" s="7">
        <f>IF(OR(X56="",AP56=""),"",IF((E56*H56+IF(AND(AK56&lt;&gt;"",AL56&lt;&gt;""),AK56*AL56,0)+IF(AND(AM56&lt;&gt;"",AN56&lt;&gt;""),AM56*AN56,0))+IF(O56="",0,O56)&lt;=0,"",X56/((E56*H56+IF(AND(AK56&lt;&gt;"",AL56&lt;&gt;""),AK56*AL56,0)+IF(AND(AM56&lt;&gt;"",AN56&lt;&gt;""),AM56*AN56,0))+IF(O56="",0,O56))))</f>
        <v>-0.0852158634538154</v>
      </c>
      <c r="Z56" s="7">
        <f>IF(OR(AE56="",多次统计数据!$B$8=""),"",AE56-多次统计数据!$B$8)</f>
        <v>-0.0791213971892743</v>
      </c>
      <c r="AA56" s="11">
        <f>IF(OR(I56="",M56="",M56&lt;I56),"",M56-I56)</f>
        <v>21</v>
      </c>
      <c r="AB56" s="7">
        <f>IF(OR(A56="",多次统计数据!$B$8="",多次统计数据!$B$6&lt;=0,多次统计数据!$B$6&gt;=1),"",1-POWER(1+多次统计数据!$B$8,-多次统计数据!$B$6/(1-多次统计数据!$B$6)))</f>
        <v>0.0315166534281621</v>
      </c>
      <c r="AC56" s="8" t="str">
        <f>IF(OR(AB56="",多次统计数据!$B$9=""),"",IF(多次统计数据!$B$9&lt;AB56,"低于上限","达到或超过上限"))</f>
        <v>低于上限</v>
      </c>
      <c r="AD56" s="2"/>
      <c r="AE56" s="7">
        <f>IF(OR(X56="",C56="",C56&lt;=0),"",X56/C56)</f>
        <v>-0.0203742785985057</v>
      </c>
      <c r="AG56" s="2"/>
      <c r="AH56" s="2"/>
      <c r="AI56" s="2"/>
      <c r="AJ56" s="8" t="str">
        <f>IF(OR(AG56="",AH56=""),"",IF(OR(AND(AG56="短期博反弹",OR(AH56="1～3个交易日",AH56="4～10个交易日")),AND(AG56="突破冲新高",OR(AH56="4～10个交易日",AH56="11～20个交易日")),AND(AG56="趋势波段",OR(AH56="11～20个交易日",AH56="21～60个交易日",AH56="60个交易日以上"))),"匹配","周期与交易预期不匹配，请重新确认"))</f>
        <v/>
      </c>
      <c r="AK56" s="10"/>
      <c r="AL56" s="12"/>
      <c r="AM56" s="10"/>
      <c r="AN56" s="12"/>
      <c r="AO56" s="5">
        <f>IF(OR(A56="",H56="",H56&lt;=0),"",(E56*H56+IF(AND(AK56&lt;&gt;"",AL56&lt;&gt;""),AK56*AL56,0)+IF(AND(AM56&lt;&gt;"",AN56&lt;&gt;""),AM56*AN56,0))/AP56)</f>
        <v>79.68</v>
      </c>
      <c r="AP56" s="11">
        <f>IF(OR(A56="",H56="",H56&lt;=0),"",H56+IF(AL56="",0,AL56)+IF(AN56="",0,AN56))</f>
        <v>300</v>
      </c>
      <c r="AQ56" s="5">
        <f>IF(A56="","",IF(M56&lt;&gt;"",0,IF(OR(H56="",N56=""),"",MAX(E56-MAX(N56,IFERROR(SUMPRODUCT(MAX(((持仓跟踪!$A$2:$A$497="每日跟踪")*(持仓跟踪!$B$2:$B$497=A56))*持仓跟踪!$S$2:$S$497)),0)),0)*H56+IF(OR(AK56="",AL56=""),0,MAX(AK56-MAX(N56,IFERROR(SUMPRODUCT(MAX(((持仓跟踪!$A$2:$A$497="每日跟踪")*(持仓跟踪!$B$2:$B$497=A56))*持仓跟踪!$S$2:$S$497)),0)),0)*AL56)+IF(OR(AM56="",AN56=""),0,MAX(AM56-MAX(N56,IFERROR(SUMPRODUCT(MAX(((持仓跟踪!$A$2:$A$497="每日跟踪")*(持仓跟踪!$B$2:$B$497=A56))*持仓跟踪!$S$2:$S$497)),0)),0)*AN56))))</f>
        <v>0</v>
      </c>
      <c r="AR56" s="8" t="str">
        <f ca="1">IF(A56="","",IF(OR(E56="",H56=""),"违规：第一批价格或股数缺失",IF(OR(AND(AK56="",AL56&lt;&gt;""),AND(AK56&lt;&gt;"",AL56="")),"违规：第二批价格与股数须成对填写",IF(OR(AND(AM56="",AN56&lt;&gt;""),AND(AM56&lt;&gt;"",AN56="")),"违规：第三批价格与股数须成对填写",IF(AND(OR(AM56&lt;&gt;"",AN56&lt;&gt;""),OR(AK56="",AL56="")),"违规：必须先完成第二批",IF(OR(H56&lt;=0,H56&lt;&gt;INT(H56),MOD(H56,100)&lt;&gt;0,AND(AL56&lt;&gt;"",OR(AL56&lt;=0,AL56&lt;&gt;INT(AL56),MOD(AL56,100)&lt;&gt;0)),AND(AN56&lt;&gt;"",OR(AN56&lt;=0,AN56&lt;&gt;INT(AN56),MOD(AN56,100)&lt;&gt;0))),"违规：股数须为100股整数倍",IF(AND(OR(AL56&lt;&gt;"",AN56&lt;&gt;""),OR(_LockStatus="已锁仓",_LockStatus="解锁信息不完整")),"违规：锁仓期间禁止加仓",IF(AQ56&gt;C56*D56,"违规：超过单笔风险上限",IF(SUM($AQ$2:$AQ$163)&gt;账户数据!$B$7,"违规：超过账户风险上限","通过")))))))))</f>
        <v>通过</v>
      </c>
    </row>
    <row r="57" ht="17" spans="1:44">
      <c r="A57" s="2">
        <v>54</v>
      </c>
      <c r="B57" s="36" t="s">
        <v>16385</v>
      </c>
      <c r="C57" s="10">
        <v>97942</v>
      </c>
      <c r="D57" s="6">
        <v>0.02</v>
      </c>
      <c r="E57" s="10">
        <v>66.9</v>
      </c>
      <c r="F57" s="8">
        <f>IF(OR(C57="",D57="",E57="",N57="",C57&lt;=0,D57&lt;=0,E57&lt;=N57),"",ROUNDDOWN((C57*D57)/(E57-N57)/100,0)*100)</f>
        <v>200</v>
      </c>
      <c r="G57" s="8" t="str">
        <f ca="1"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COUNTIFS(持仓跟踪!$A$2:$A$497,"止损计划",持仓跟踪!$B$2:$B$497,A57,持仓跟踪!$AC$2:$AC$497,"计划有效")=0,"禁止开仓：请先填写止损计划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7" s="2">
        <v>200</v>
      </c>
      <c r="I57" s="15">
        <v>45559</v>
      </c>
      <c r="J57" s="10">
        <v>80</v>
      </c>
      <c r="K57" s="10">
        <v>75.32</v>
      </c>
      <c r="L57" s="8">
        <f>IF(K57="","",H57)</f>
        <v>200</v>
      </c>
      <c r="M57" s="15">
        <v>45581</v>
      </c>
      <c r="N57" s="10">
        <v>60</v>
      </c>
      <c r="O57" s="10"/>
      <c r="P57" s="10"/>
      <c r="Q57" s="2"/>
      <c r="R57" s="2"/>
      <c r="S57" s="2"/>
      <c r="T57" s="2"/>
      <c r="U57" s="7">
        <f>IF(OR(AO57="",J57="",AO57&lt;=0),"",(J57-AO57)/AO57)</f>
        <v>0.195814648729447</v>
      </c>
      <c r="V57" s="7">
        <f>IF(OR(AO57="",N57="",AO57&lt;=0),"",(AO57-N57)/AO57)</f>
        <v>0.103139013452915</v>
      </c>
      <c r="W57" s="24">
        <f>IF(OR(U57="",V57="",V57&lt;=0),"",U57/V57)</f>
        <v>1.89855072463768</v>
      </c>
      <c r="X57" s="5">
        <f>IF(OR(K57="",L57="",AP57=""),"",K57*L57-(E57*H57+IF(AND(AK57&lt;&gt;"",AL57&lt;&gt;""),AK57*AL57,0)+IF(AND(AM57&lt;&gt;"",AN57&lt;&gt;""),AM57*AN57,0))-IF(O57="",0,O57)-IF(P57="",0,P57))</f>
        <v>1684</v>
      </c>
      <c r="Y57" s="7">
        <f>IF(OR(X57="",AP57=""),"",IF((E57*H57+IF(AND(AK57&lt;&gt;"",AL57&lt;&gt;""),AK57*AL57,0)+IF(AND(AM57&lt;&gt;"",AN57&lt;&gt;""),AM57*AN57,0))+IF(O57="",0,O57)&lt;=0,"",X57/((E57*H57+IF(AND(AK57&lt;&gt;"",AL57&lt;&gt;""),AK57*AL57,0)+IF(AND(AM57&lt;&gt;"",AN57&lt;&gt;""),AM57*AN57,0))+IF(O57="",0,O57))))</f>
        <v>0.125859491778774</v>
      </c>
      <c r="Z57" s="7">
        <f>IF(OR(AE57="",多次统计数据!$B$8=""),"",AE57-多次统计数据!$B$8)</f>
        <v>-0.0415532691696826</v>
      </c>
      <c r="AA57" s="11">
        <f>IF(OR(I57="",M57="",M57&lt;I57),"",M57-I57)</f>
        <v>22</v>
      </c>
      <c r="AB57" s="7">
        <f>IF(OR(A57="",多次统计数据!$B$8="",多次统计数据!$B$6&lt;=0,多次统计数据!$B$6&gt;=1),"",1-POWER(1+多次统计数据!$B$8,-多次统计数据!$B$6/(1-多次统计数据!$B$6)))</f>
        <v>0.0315166534281621</v>
      </c>
      <c r="AC57" s="8" t="str">
        <f>IF(OR(AB57="",多次统计数据!$B$9=""),"",IF(多次统计数据!$B$9&lt;AB57,"低于上限","达到或超过上限"))</f>
        <v>低于上限</v>
      </c>
      <c r="AD57" s="2"/>
      <c r="AE57" s="7">
        <f>IF(OR(X57="",C57="",C57&lt;=0),"",X57/C57)</f>
        <v>0.0171938494210859</v>
      </c>
      <c r="AG57" s="2"/>
      <c r="AH57" s="2"/>
      <c r="AI57" s="2"/>
      <c r="AJ57" s="8" t="str">
        <f>IF(OR(AG57="",AH57=""),"",IF(OR(AND(AG57="短期博反弹",OR(AH57="1～3个交易日",AH57="4～10个交易日")),AND(AG57="突破冲新高",OR(AH57="4～10个交易日",AH57="11～20个交易日")),AND(AG57="趋势波段",OR(AH57="11～20个交易日",AH57="21～60个交易日",AH57="60个交易日以上"))),"匹配","周期与交易预期不匹配，请重新确认"))</f>
        <v/>
      </c>
      <c r="AK57" s="10"/>
      <c r="AL57" s="12"/>
      <c r="AM57" s="10"/>
      <c r="AN57" s="12"/>
      <c r="AO57" s="5">
        <f>IF(OR(A57="",H57="",H57&lt;=0),"",(E57*H57+IF(AND(AK57&lt;&gt;"",AL57&lt;&gt;""),AK57*AL57,0)+IF(AND(AM57&lt;&gt;"",AN57&lt;&gt;""),AM57*AN57,0))/AP57)</f>
        <v>66.9</v>
      </c>
      <c r="AP57" s="11">
        <f>IF(OR(A57="",H57="",H57&lt;=0),"",H57+IF(AL57="",0,AL57)+IF(AN57="",0,AN57))</f>
        <v>200</v>
      </c>
      <c r="AQ57" s="5">
        <f>IF(A57="","",IF(M57&lt;&gt;"",0,IF(OR(H57="",N57=""),"",MAX(E57-MAX(N57,IFERROR(SUMPRODUCT(MAX(((持仓跟踪!$A$2:$A$497="每日跟踪")*(持仓跟踪!$B$2:$B$497=A57))*持仓跟踪!$S$2:$S$497)),0)),0)*H57+IF(OR(AK57="",AL57=""),0,MAX(AK57-MAX(N57,IFERROR(SUMPRODUCT(MAX(((持仓跟踪!$A$2:$A$497="每日跟踪")*(持仓跟踪!$B$2:$B$497=A57))*持仓跟踪!$S$2:$S$497)),0)),0)*AL57)+IF(OR(AM57="",AN57=""),0,MAX(AM57-MAX(N57,IFERROR(SUMPRODUCT(MAX(((持仓跟踪!$A$2:$A$497="每日跟踪")*(持仓跟踪!$B$2:$B$497=A57))*持仓跟踪!$S$2:$S$497)),0)),0)*AN57))))</f>
        <v>0</v>
      </c>
      <c r="AR57" s="8" t="str">
        <f ca="1">IF(A57="","",IF(OR(E57="",H57=""),"违规：第一批价格或股数缺失",IF(OR(AND(AK57="",AL57&lt;&gt;""),AND(AK57&lt;&gt;"",AL57="")),"违规：第二批价格与股数须成对填写",IF(OR(AND(AM57="",AN57&lt;&gt;""),AND(AM57&lt;&gt;"",AN57="")),"违规：第三批价格与股数须成对填写",IF(AND(OR(AM57&lt;&gt;"",AN57&lt;&gt;""),OR(AK57="",AL57="")),"违规：必须先完成第二批",IF(OR(H57&lt;=0,H57&lt;&gt;INT(H57),MOD(H57,100)&lt;&gt;0,AND(AL57&lt;&gt;"",OR(AL57&lt;=0,AL57&lt;&gt;INT(AL57),MOD(AL57,100)&lt;&gt;0)),AND(AN57&lt;&gt;"",OR(AN57&lt;=0,AN57&lt;&gt;INT(AN57),MOD(AN57,100)&lt;&gt;0))),"违规：股数须为100股整数倍",IF(AND(OR(AL57&lt;&gt;"",AN57&lt;&gt;""),OR(_LockStatus="已锁仓",_LockStatus="解锁信息不完整")),"违规：锁仓期间禁止加仓",IF(AQ57&gt;C57*D57,"违规：超过单笔风险上限",IF(SUM($AQ$2:$AQ$163)&gt;账户数据!$B$7,"违规：超过账户风险上限","通过")))))))))</f>
        <v>通过</v>
      </c>
    </row>
    <row r="58" ht="17" spans="1:44">
      <c r="A58" s="2">
        <v>55</v>
      </c>
      <c r="B58" s="36" t="s">
        <v>16385</v>
      </c>
      <c r="C58" s="10">
        <v>99626</v>
      </c>
      <c r="D58" s="6">
        <v>0.02</v>
      </c>
      <c r="E58" s="10">
        <v>81.75</v>
      </c>
      <c r="F58" s="8">
        <f>IF(OR(C58="",D58="",E58="",N58="",C58&lt;=0,D58&lt;=0,E58&lt;=N58),"",ROUNDDOWN((C58*D58)/(E58-N58)/100,0)*100)</f>
        <v>200</v>
      </c>
      <c r="G58" s="8" t="str">
        <f ca="1"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COUNTIFS(持仓跟踪!$A$2:$A$497,"止损计划",持仓跟踪!$B$2:$B$497,A58,持仓跟踪!$AC$2:$AC$497,"计划有效")=0,"禁止开仓：请先填写止损计划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8" s="2">
        <v>200</v>
      </c>
      <c r="I58" s="15">
        <v>45590</v>
      </c>
      <c r="J58" s="10"/>
      <c r="K58" s="10">
        <v>72.22</v>
      </c>
      <c r="L58" s="8">
        <f>IF(K58="","",H58)</f>
        <v>200</v>
      </c>
      <c r="M58" s="15">
        <v>45618</v>
      </c>
      <c r="N58" s="10">
        <v>74</v>
      </c>
      <c r="O58" s="10"/>
      <c r="P58" s="10"/>
      <c r="Q58" s="2"/>
      <c r="R58" s="2"/>
      <c r="S58" s="2"/>
      <c r="T58" s="2"/>
      <c r="U58" s="7" t="str">
        <f>IF(OR(AO58="",J58="",AO58&lt;=0),"",(J58-AO58)/AO58)</f>
        <v/>
      </c>
      <c r="V58" s="7">
        <f>IF(OR(AO58="",N58="",AO58&lt;=0),"",(AO58-N58)/AO58)</f>
        <v>0.0948012232415902</v>
      </c>
      <c r="W58" s="24" t="str">
        <f>IF(OR(U58="",V58="",V58&lt;=0),"",U58/V58)</f>
        <v/>
      </c>
      <c r="X58" s="5">
        <f>IF(OR(K58="",L58="",AP58=""),"",K58*L58-(E58*H58+IF(AND(AK58&lt;&gt;"",AL58&lt;&gt;""),AK58*AL58,0)+IF(AND(AM58&lt;&gt;"",AN58&lt;&gt;""),AM58*AN58,0))-IF(O58="",0,O58)-IF(P58="",0,P58))</f>
        <v>-1906</v>
      </c>
      <c r="Y58" s="7">
        <f>IF(OR(X58="",AP58=""),"",IF((E58*H58+IF(AND(AK58&lt;&gt;"",AL58&lt;&gt;""),AK58*AL58,0)+IF(AND(AM58&lt;&gt;"",AN58&lt;&gt;""),AM58*AN58,0))+IF(O58="",0,O58)&lt;=0,"",X58/((E58*H58+IF(AND(AK58&lt;&gt;"",AL58&lt;&gt;""),AK58*AL58,0)+IF(AND(AM58&lt;&gt;"",AN58&lt;&gt;""),AM58*AN58,0))+IF(O58="",0,O58))))</f>
        <v>-0.116574923547401</v>
      </c>
      <c r="Z58" s="7">
        <f>IF(OR(AE58="",多次统计数据!$B$8=""),"",AE58-多次统计数据!$B$8)</f>
        <v>-0.0778786705952654</v>
      </c>
      <c r="AA58" s="11">
        <f>IF(OR(I58="",M58="",M58&lt;I58),"",M58-I58)</f>
        <v>28</v>
      </c>
      <c r="AB58" s="7">
        <f>IF(OR(A58="",多次统计数据!$B$8="",多次统计数据!$B$6&lt;=0,多次统计数据!$B$6&gt;=1),"",1-POWER(1+多次统计数据!$B$8,-多次统计数据!$B$6/(1-多次统计数据!$B$6)))</f>
        <v>0.0315166534281621</v>
      </c>
      <c r="AC58" s="8" t="str">
        <f>IF(OR(AB58="",多次统计数据!$B$9=""),"",IF(多次统计数据!$B$9&lt;AB58,"低于上限","达到或超过上限"))</f>
        <v>低于上限</v>
      </c>
      <c r="AD58" s="2"/>
      <c r="AE58" s="7">
        <f>IF(OR(X58="",C58="",C58&lt;=0),"",X58/C58)</f>
        <v>-0.0191315520044968</v>
      </c>
      <c r="AG58" s="2"/>
      <c r="AH58" s="2"/>
      <c r="AI58" s="2"/>
      <c r="AJ58" s="8" t="str">
        <f>IF(OR(AG58="",AH58=""),"",IF(OR(AND(AG58="短期博反弹",OR(AH58="1～3个交易日",AH58="4～10个交易日")),AND(AG58="突破冲新高",OR(AH58="4～10个交易日",AH58="11～20个交易日")),AND(AG58="趋势波段",OR(AH58="11～20个交易日",AH58="21～60个交易日",AH58="60个交易日以上"))),"匹配","周期与交易预期不匹配，请重新确认"))</f>
        <v/>
      </c>
      <c r="AK58" s="10"/>
      <c r="AL58" s="12"/>
      <c r="AM58" s="10"/>
      <c r="AN58" s="12"/>
      <c r="AO58" s="5">
        <f>IF(OR(A58="",H58="",H58&lt;=0),"",(E58*H58+IF(AND(AK58&lt;&gt;"",AL58&lt;&gt;""),AK58*AL58,0)+IF(AND(AM58&lt;&gt;"",AN58&lt;&gt;""),AM58*AN58,0))/AP58)</f>
        <v>81.75</v>
      </c>
      <c r="AP58" s="11">
        <f>IF(OR(A58="",H58="",H58&lt;=0),"",H58+IF(AL58="",0,AL58)+IF(AN58="",0,AN58))</f>
        <v>200</v>
      </c>
      <c r="AQ58" s="5">
        <f>IF(A58="","",IF(M58&lt;&gt;"",0,IF(OR(H58="",N58=""),"",MAX(E58-MAX(N58,IFERROR(SUMPRODUCT(MAX(((持仓跟踪!$A$2:$A$497="每日跟踪")*(持仓跟踪!$B$2:$B$497=A58))*持仓跟踪!$S$2:$S$497)),0)),0)*H58+IF(OR(AK58="",AL58=""),0,MAX(AK58-MAX(N58,IFERROR(SUMPRODUCT(MAX(((持仓跟踪!$A$2:$A$497="每日跟踪")*(持仓跟踪!$B$2:$B$497=A58))*持仓跟踪!$S$2:$S$497)),0)),0)*AL58)+IF(OR(AM58="",AN58=""),0,MAX(AM58-MAX(N58,IFERROR(SUMPRODUCT(MAX(((持仓跟踪!$A$2:$A$497="每日跟踪")*(持仓跟踪!$B$2:$B$497=A58))*持仓跟踪!$S$2:$S$497)),0)),0)*AN58))))</f>
        <v>0</v>
      </c>
      <c r="AR58" s="8" t="str">
        <f ca="1">IF(A58="","",IF(OR(E58="",H58=""),"违规：第一批价格或股数缺失",IF(OR(AND(AK58="",AL58&lt;&gt;""),AND(AK58&lt;&gt;"",AL58="")),"违规：第二批价格与股数须成对填写",IF(OR(AND(AM58="",AN58&lt;&gt;""),AND(AM58&lt;&gt;"",AN58="")),"违规：第三批价格与股数须成对填写",IF(AND(OR(AM58&lt;&gt;"",AN58&lt;&gt;""),OR(AK58="",AL58="")),"违规：必须先完成第二批",IF(OR(H58&lt;=0,H58&lt;&gt;INT(H58),MOD(H58,100)&lt;&gt;0,AND(AL58&lt;&gt;"",OR(AL58&lt;=0,AL58&lt;&gt;INT(AL58),MOD(AL58,100)&lt;&gt;0)),AND(AN58&lt;&gt;"",OR(AN58&lt;=0,AN58&lt;&gt;INT(AN58),MOD(AN58,100)&lt;&gt;0))),"违规：股数须为100股整数倍",IF(AND(OR(AL58&lt;&gt;"",AN58&lt;&gt;""),OR(_LockStatus="已锁仓",_LockStatus="解锁信息不完整")),"违规：锁仓期间禁止加仓",IF(AQ58&gt;C58*D58,"违规：超过单笔风险上限",IF(SUM($AQ$2:$AQ$163)&gt;账户数据!$B$7,"违规：超过账户风险上限","通过")))))))))</f>
        <v>通过</v>
      </c>
    </row>
    <row r="59" ht="17" spans="1:44">
      <c r="A59" s="2">
        <v>56</v>
      </c>
      <c r="B59" s="36" t="s">
        <v>16385</v>
      </c>
      <c r="C59" s="10">
        <v>97720</v>
      </c>
      <c r="D59" s="6">
        <v>0.02</v>
      </c>
      <c r="E59" s="10">
        <v>73</v>
      </c>
      <c r="F59" s="8">
        <f>IF(OR(C59="",D59="",E59="",N59="",C59&lt;=0,D59&lt;=0,E59&lt;=N59),"",ROUNDDOWN((C59*D59)/(E59-N59)/100,0)*100)</f>
        <v>300</v>
      </c>
      <c r="G59" s="8" t="str">
        <f ca="1"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COUNTIFS(持仓跟踪!$A$2:$A$497,"止损计划",持仓跟踪!$B$2:$B$497,A59,持仓跟踪!$AC$2:$AC$497,"计划有效")=0,"禁止开仓：请先填写止损计划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9" s="2">
        <v>300</v>
      </c>
      <c r="I59" s="15">
        <v>45638</v>
      </c>
      <c r="J59" s="10">
        <v>85</v>
      </c>
      <c r="K59" s="10">
        <v>89.88</v>
      </c>
      <c r="L59" s="8">
        <f>IF(K59="","",H59)</f>
        <v>300</v>
      </c>
      <c r="M59" s="15">
        <v>45659</v>
      </c>
      <c r="N59" s="10">
        <v>68</v>
      </c>
      <c r="O59" s="10"/>
      <c r="P59" s="10"/>
      <c r="Q59" s="2"/>
      <c r="R59" s="2"/>
      <c r="S59" s="2"/>
      <c r="T59" s="2"/>
      <c r="U59" s="7">
        <f>IF(OR(AO59="",J59="",AO59&lt;=0),"",(J59-AO59)/AO59)</f>
        <v>0.164383561643836</v>
      </c>
      <c r="V59" s="7">
        <f>IF(OR(AO59="",N59="",AO59&lt;=0),"",(AO59-N59)/AO59)</f>
        <v>0.0684931506849315</v>
      </c>
      <c r="W59" s="24">
        <f>IF(OR(U59="",V59="",V59&lt;=0),"",U59/V59)</f>
        <v>2.4</v>
      </c>
      <c r="X59" s="5">
        <f>IF(OR(K59="",L59="",AP59=""),"",K59*L59-(E59*H59+IF(AND(AK59&lt;&gt;"",AL59&lt;&gt;""),AK59*AL59,0)+IF(AND(AM59&lt;&gt;"",AN59&lt;&gt;""),AM59*AN59,0))-IF(O59="",0,O59)-IF(P59="",0,P59))</f>
        <v>5064</v>
      </c>
      <c r="Y59" s="7">
        <f>IF(OR(X59="",AP59=""),"",IF((E59*H59+IF(AND(AK59&lt;&gt;"",AL59&lt;&gt;""),AK59*AL59,0)+IF(AND(AM59&lt;&gt;"",AN59&lt;&gt;""),AM59*AN59,0))+IF(O59="",0,O59)&lt;=0,"",X59/((E59*H59+IF(AND(AK59&lt;&gt;"",AL59&lt;&gt;""),AK59*AL59,0)+IF(AND(AM59&lt;&gt;"",AN59&lt;&gt;""),AM59*AN59,0))+IF(O59="",0,O59))))</f>
        <v>0.231232876712329</v>
      </c>
      <c r="Z59" s="7">
        <f>IF(OR(AE59="",多次统计数据!$B$8=""),"",AE59-多次统计数据!$B$8)</f>
        <v>-0.00692558768614309</v>
      </c>
      <c r="AA59" s="11">
        <f>IF(OR(I59="",M59="",M59&lt;I59),"",M59-I59)</f>
        <v>21</v>
      </c>
      <c r="AB59" s="7">
        <f>IF(OR(A59="",多次统计数据!$B$8="",多次统计数据!$B$6&lt;=0,多次统计数据!$B$6&gt;=1),"",1-POWER(1+多次统计数据!$B$8,-多次统计数据!$B$6/(1-多次统计数据!$B$6)))</f>
        <v>0.0315166534281621</v>
      </c>
      <c r="AC59" s="8" t="str">
        <f>IF(OR(AB59="",多次统计数据!$B$9=""),"",IF(多次统计数据!$B$9&lt;AB59,"低于上限","达到或超过上限"))</f>
        <v>低于上限</v>
      </c>
      <c r="AD59" s="2"/>
      <c r="AE59" s="7">
        <f>IF(OR(X59="",C59="",C59&lt;=0),"",X59/C59)</f>
        <v>0.0518215309046255</v>
      </c>
      <c r="AG59" s="2"/>
      <c r="AH59" s="2"/>
      <c r="AI59" s="2"/>
      <c r="AJ59" s="8" t="str">
        <f>IF(OR(AG59="",AH59=""),"",IF(OR(AND(AG59="短期博反弹",OR(AH59="1～3个交易日",AH59="4～10个交易日")),AND(AG59="突破冲新高",OR(AH59="4～10个交易日",AH59="11～20个交易日")),AND(AG59="趋势波段",OR(AH59="11～20个交易日",AH59="21～60个交易日",AH59="60个交易日以上"))),"匹配","周期与交易预期不匹配，请重新确认"))</f>
        <v/>
      </c>
      <c r="AK59" s="10"/>
      <c r="AL59" s="12"/>
      <c r="AM59" s="10"/>
      <c r="AN59" s="12"/>
      <c r="AO59" s="5">
        <f>IF(OR(A59="",H59="",H59&lt;=0),"",(E59*H59+IF(AND(AK59&lt;&gt;"",AL59&lt;&gt;""),AK59*AL59,0)+IF(AND(AM59&lt;&gt;"",AN59&lt;&gt;""),AM59*AN59,0))/AP59)</f>
        <v>73</v>
      </c>
      <c r="AP59" s="11">
        <f>IF(OR(A59="",H59="",H59&lt;=0),"",H59+IF(AL59="",0,AL59)+IF(AN59="",0,AN59))</f>
        <v>300</v>
      </c>
      <c r="AQ59" s="5">
        <f>IF(A59="","",IF(M59&lt;&gt;"",0,IF(OR(H59="",N59=""),"",MAX(E59-MAX(N59,IFERROR(SUMPRODUCT(MAX(((持仓跟踪!$A$2:$A$497="每日跟踪")*(持仓跟踪!$B$2:$B$497=A59))*持仓跟踪!$S$2:$S$497)),0)),0)*H59+IF(OR(AK59="",AL59=""),0,MAX(AK59-MAX(N59,IFERROR(SUMPRODUCT(MAX(((持仓跟踪!$A$2:$A$497="每日跟踪")*(持仓跟踪!$B$2:$B$497=A59))*持仓跟踪!$S$2:$S$497)),0)),0)*AL59)+IF(OR(AM59="",AN59=""),0,MAX(AM59-MAX(N59,IFERROR(SUMPRODUCT(MAX(((持仓跟踪!$A$2:$A$497="每日跟踪")*(持仓跟踪!$B$2:$B$497=A59))*持仓跟踪!$S$2:$S$497)),0)),0)*AN59))))</f>
        <v>0</v>
      </c>
      <c r="AR59" s="8" t="str">
        <f ca="1">IF(A59="","",IF(OR(E59="",H59=""),"违规：第一批价格或股数缺失",IF(OR(AND(AK59="",AL59&lt;&gt;""),AND(AK59&lt;&gt;"",AL59="")),"违规：第二批价格与股数须成对填写",IF(OR(AND(AM59="",AN59&lt;&gt;""),AND(AM59&lt;&gt;"",AN59="")),"违规：第三批价格与股数须成对填写",IF(AND(OR(AM59&lt;&gt;"",AN59&lt;&gt;""),OR(AK59="",AL59="")),"违规：必须先完成第二批",IF(OR(H59&lt;=0,H59&lt;&gt;INT(H59),MOD(H59,100)&lt;&gt;0,AND(AL59&lt;&gt;"",OR(AL59&lt;=0,AL59&lt;&gt;INT(AL59),MOD(AL59,100)&lt;&gt;0)),AND(AN59&lt;&gt;"",OR(AN59&lt;=0,AN59&lt;&gt;INT(AN59),MOD(AN59,100)&lt;&gt;0))),"违规：股数须为100股整数倍",IF(AND(OR(AL59&lt;&gt;"",AN59&lt;&gt;""),OR(_LockStatus="已锁仓",_LockStatus="解锁信息不完整")),"违规：锁仓期间禁止加仓",IF(AQ59&gt;C59*D59,"违规：超过单笔风险上限",IF(SUM($AQ$2:$AQ$163)&gt;账户数据!$B$7,"违规：超过账户风险上限","通过")))))))))</f>
        <v>通过</v>
      </c>
    </row>
    <row r="60" ht="17" spans="1:44">
      <c r="A60" s="2">
        <v>57</v>
      </c>
      <c r="B60" s="36" t="s">
        <v>16385</v>
      </c>
      <c r="C60" s="10">
        <v>102784</v>
      </c>
      <c r="D60" s="6">
        <v>0.02</v>
      </c>
      <c r="E60" s="10">
        <v>92.84</v>
      </c>
      <c r="F60" s="8">
        <f>IF(OR(C60="",D60="",E60="",N60="",C60&lt;=0,D60&lt;=0,E60&lt;=N60),"",ROUNDDOWN((C60*D60)/(E60-N60)/100,0)*100)</f>
        <v>200</v>
      </c>
      <c r="G60" s="8" t="str">
        <f ca="1"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COUNTIFS(持仓跟踪!$A$2:$A$497,"止损计划",持仓跟踪!$B$2:$B$497,A60,持仓跟踪!$AC$2:$AC$497,"计划有效")=0,"禁止开仓：请先填写止损计划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0" s="2">
        <v>200</v>
      </c>
      <c r="I60" s="15">
        <v>45674</v>
      </c>
      <c r="J60" s="10">
        <v>110</v>
      </c>
      <c r="K60" s="10">
        <v>90.22</v>
      </c>
      <c r="L60" s="8">
        <f>IF(K60="","",H60)</f>
        <v>200</v>
      </c>
      <c r="M60" s="15">
        <v>45693</v>
      </c>
      <c r="N60" s="10">
        <v>85</v>
      </c>
      <c r="O60" s="10"/>
      <c r="P60" s="10"/>
      <c r="Q60" s="2"/>
      <c r="R60" s="2"/>
      <c r="S60" s="2"/>
      <c r="T60" s="2"/>
      <c r="U60" s="7">
        <f>IF(OR(AO60="",J60="",AO60&lt;=0),"",(J60-AO60)/AO60)</f>
        <v>0.184834123222749</v>
      </c>
      <c r="V60" s="7">
        <f>IF(OR(AO60="",N60="",AO60&lt;=0),"",(AO60-N60)/AO60)</f>
        <v>0.0844463593278759</v>
      </c>
      <c r="W60" s="24">
        <f>IF(OR(U60="",V60="",V60&lt;=0),"",U60/V60)</f>
        <v>2.18877551020408</v>
      </c>
      <c r="X60" s="5">
        <f>IF(OR(K60="",L60="",AP60=""),"",K60*L60-(E60*H60+IF(AND(AK60&lt;&gt;"",AL60&lt;&gt;""),AK60*AL60,0)+IF(AND(AM60&lt;&gt;"",AN60&lt;&gt;""),AM60*AN60,0))-IF(O60="",0,O60)-IF(P60="",0,P60))</f>
        <v>-524</v>
      </c>
      <c r="Y60" s="7">
        <f>IF(OR(X60="",AP60=""),"",IF((E60*H60+IF(AND(AK60&lt;&gt;"",AL60&lt;&gt;""),AK60*AL60,0)+IF(AND(AM60&lt;&gt;"",AN60&lt;&gt;""),AM60*AN60,0))+IF(O60="",0,O60)&lt;=0,"",X60/((E60*H60+IF(AND(AK60&lt;&gt;"",AL60&lt;&gt;""),AK60*AL60,0)+IF(AND(AM60&lt;&gt;"",AN60&lt;&gt;""),AM60*AN60,0))+IF(O60="",0,O60))))</f>
        <v>-0.0282205945713055</v>
      </c>
      <c r="Z60" s="7">
        <f>IF(OR(AE60="",多次统计数据!$B$8=""),"",AE60-多次统计数据!$B$8)</f>
        <v>-0.0638451883292492</v>
      </c>
      <c r="AA60" s="11">
        <f>IF(OR(I60="",M60="",M60&lt;I60),"",M60-I60)</f>
        <v>19</v>
      </c>
      <c r="AB60" s="7">
        <f>IF(OR(A60="",多次统计数据!$B$8="",多次统计数据!$B$6&lt;=0,多次统计数据!$B$6&gt;=1),"",1-POWER(1+多次统计数据!$B$8,-多次统计数据!$B$6/(1-多次统计数据!$B$6)))</f>
        <v>0.0315166534281621</v>
      </c>
      <c r="AC60" s="8" t="str">
        <f>IF(OR(AB60="",多次统计数据!$B$9=""),"",IF(多次统计数据!$B$9&lt;AB60,"低于上限","达到或超过上限"))</f>
        <v>低于上限</v>
      </c>
      <c r="AD60" s="2"/>
      <c r="AE60" s="7">
        <f>IF(OR(X60="",C60="",C60&lt;=0),"",X60/C60)</f>
        <v>-0.0050980697384807</v>
      </c>
      <c r="AG60" s="2"/>
      <c r="AH60" s="2"/>
      <c r="AI60" s="2"/>
      <c r="AJ60" s="8" t="str">
        <f>IF(OR(AG60="",AH60=""),"",IF(OR(AND(AG60="短期博反弹",OR(AH60="1～3个交易日",AH60="4～10个交易日")),AND(AG60="突破冲新高",OR(AH60="4～10个交易日",AH60="11～20个交易日")),AND(AG60="趋势波段",OR(AH60="11～20个交易日",AH60="21～60个交易日",AH60="60个交易日以上"))),"匹配","周期与交易预期不匹配，请重新确认"))</f>
        <v/>
      </c>
      <c r="AK60" s="10"/>
      <c r="AL60" s="12"/>
      <c r="AM60" s="10"/>
      <c r="AN60" s="12"/>
      <c r="AO60" s="5">
        <f>IF(OR(A60="",H60="",H60&lt;=0),"",(E60*H60+IF(AND(AK60&lt;&gt;"",AL60&lt;&gt;""),AK60*AL60,0)+IF(AND(AM60&lt;&gt;"",AN60&lt;&gt;""),AM60*AN60,0))/AP60)</f>
        <v>92.84</v>
      </c>
      <c r="AP60" s="11">
        <f>IF(OR(A60="",H60="",H60&lt;=0),"",H60+IF(AL60="",0,AL60)+IF(AN60="",0,AN60))</f>
        <v>200</v>
      </c>
      <c r="AQ60" s="5">
        <f>IF(A60="","",IF(M60&lt;&gt;"",0,IF(OR(H60="",N60=""),"",MAX(E60-MAX(N60,IFERROR(SUMPRODUCT(MAX(((持仓跟踪!$A$2:$A$497="每日跟踪")*(持仓跟踪!$B$2:$B$497=A60))*持仓跟踪!$S$2:$S$497)),0)),0)*H60+IF(OR(AK60="",AL60=""),0,MAX(AK60-MAX(N60,IFERROR(SUMPRODUCT(MAX(((持仓跟踪!$A$2:$A$497="每日跟踪")*(持仓跟踪!$B$2:$B$497=A60))*持仓跟踪!$S$2:$S$497)),0)),0)*AL60)+IF(OR(AM60="",AN60=""),0,MAX(AM60-MAX(N60,IFERROR(SUMPRODUCT(MAX(((持仓跟踪!$A$2:$A$497="每日跟踪")*(持仓跟踪!$B$2:$B$497=A60))*持仓跟踪!$S$2:$S$497)),0)),0)*AN60))))</f>
        <v>0</v>
      </c>
      <c r="AR60" s="8" t="str">
        <f ca="1">IF(A60="","",IF(OR(E60="",H60=""),"违规：第一批价格或股数缺失",IF(OR(AND(AK60="",AL60&lt;&gt;""),AND(AK60&lt;&gt;"",AL60="")),"违规：第二批价格与股数须成对填写",IF(OR(AND(AM60="",AN60&lt;&gt;""),AND(AM60&lt;&gt;"",AN60="")),"违规：第三批价格与股数须成对填写",IF(AND(OR(AM60&lt;&gt;"",AN60&lt;&gt;""),OR(AK60="",AL60="")),"违规：必须先完成第二批",IF(OR(H60&lt;=0,H60&lt;&gt;INT(H60),MOD(H60,100)&lt;&gt;0,AND(AL60&lt;&gt;"",OR(AL60&lt;=0,AL60&lt;&gt;INT(AL60),MOD(AL60,100)&lt;&gt;0)),AND(AN60&lt;&gt;"",OR(AN60&lt;=0,AN60&lt;&gt;INT(AN60),MOD(AN60,100)&lt;&gt;0))),"违规：股数须为100股整数倍",IF(AND(OR(AL60&lt;&gt;"",AN60&lt;&gt;""),OR(_LockStatus="已锁仓",_LockStatus="解锁信息不完整")),"违规：锁仓期间禁止加仓",IF(AQ60&gt;C60*D60,"违规：超过单笔风险上限",IF(SUM($AQ$2:$AQ$163)&gt;账户数据!$B$7,"违规：超过账户风险上限","通过")))))))))</f>
        <v>通过</v>
      </c>
    </row>
    <row r="61" ht="17" spans="1:44">
      <c r="A61" s="2">
        <v>58</v>
      </c>
      <c r="B61" s="36" t="s">
        <v>16385</v>
      </c>
      <c r="C61" s="10">
        <v>102260</v>
      </c>
      <c r="D61" s="6">
        <v>0.02</v>
      </c>
      <c r="E61" s="10">
        <v>114.14</v>
      </c>
      <c r="F61" s="8">
        <f>IF(OR(C61="",D61="",E61="",N61="",C61&lt;=0,D61&lt;=0,E61&lt;=N61),"",ROUNDDOWN((C61*D61)/(E61-N61)/100,0)*100)</f>
        <v>100</v>
      </c>
      <c r="G61" s="8" t="str">
        <f ca="1"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COUNTIFS(持仓跟踪!$A$2:$A$497,"止损计划",持仓跟踪!$B$2:$B$497,A61,持仓跟踪!$AC$2:$AC$497,"计划有效")=0,"禁止开仓：请先填写止损计划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1" s="2">
        <v>100</v>
      </c>
      <c r="I61" s="15">
        <v>45708</v>
      </c>
      <c r="J61" s="10">
        <v>130</v>
      </c>
      <c r="K61" s="10">
        <v>97.13</v>
      </c>
      <c r="L61" s="8">
        <f>IF(K61="","",H61)</f>
        <v>100</v>
      </c>
      <c r="M61" s="15">
        <v>45716</v>
      </c>
      <c r="N61" s="10">
        <v>100</v>
      </c>
      <c r="O61" s="10"/>
      <c r="P61" s="10"/>
      <c r="Q61" s="2"/>
      <c r="R61" s="2"/>
      <c r="S61" s="2"/>
      <c r="T61" s="2"/>
      <c r="U61" s="7">
        <f>IF(OR(AO61="",J61="",AO61&lt;=0),"",(J61-AO61)/AO61)</f>
        <v>0.138952164009112</v>
      </c>
      <c r="V61" s="7">
        <f>IF(OR(AO61="",N61="",AO61&lt;=0),"",(AO61-N61)/AO61)</f>
        <v>0.123882950762222</v>
      </c>
      <c r="W61" s="24">
        <f>IF(OR(U61="",V61="",V61&lt;=0),"",U61/V61)</f>
        <v>1.12164073550212</v>
      </c>
      <c r="X61" s="5">
        <f>IF(OR(K61="",L61="",AP61=""),"",K61*L61-(E61*H61+IF(AND(AK61&lt;&gt;"",AL61&lt;&gt;""),AK61*AL61,0)+IF(AND(AM61&lt;&gt;"",AN61&lt;&gt;""),AM61*AN61,0))-IF(O61="",0,O61)-IF(P61="",0,P61))</f>
        <v>-1701</v>
      </c>
      <c r="Y61" s="7">
        <f>IF(OR(X61="",AP61=""),"",IF((E61*H61+IF(AND(AK61&lt;&gt;"",AL61&lt;&gt;""),AK61*AL61,0)+IF(AND(AM61&lt;&gt;"",AN61&lt;&gt;""),AM61*AN61,0))+IF(O61="",0,O61)&lt;=0,"",X61/((E61*H61+IF(AND(AK61&lt;&gt;"",AL61&lt;&gt;""),AK61*AL61,0)+IF(AND(AM61&lt;&gt;"",AN61&lt;&gt;""),AM61*AN61,0))+IF(O61="",0,O61))))</f>
        <v>-0.149027510075346</v>
      </c>
      <c r="Z61" s="7">
        <f>IF(OR(AE61="",多次统计数据!$B$8=""),"",AE61-多次统计数据!$B$8)</f>
        <v>-0.0753811886083707</v>
      </c>
      <c r="AA61" s="11">
        <f>IF(OR(I61="",M61="",M61&lt;I61),"",M61-I61)</f>
        <v>8</v>
      </c>
      <c r="AB61" s="7">
        <f>IF(OR(A61="",多次统计数据!$B$8="",多次统计数据!$B$6&lt;=0,多次统计数据!$B$6&gt;=1),"",1-POWER(1+多次统计数据!$B$8,-多次统计数据!$B$6/(1-多次统计数据!$B$6)))</f>
        <v>0.0315166534281621</v>
      </c>
      <c r="AC61" s="8" t="str">
        <f>IF(OR(AB61="",多次统计数据!$B$9=""),"",IF(多次统计数据!$B$9&lt;AB61,"低于上限","达到或超过上限"))</f>
        <v>低于上限</v>
      </c>
      <c r="AD61" s="2"/>
      <c r="AE61" s="7">
        <f>IF(OR(X61="",C61="",C61&lt;=0),"",X61/C61)</f>
        <v>-0.0166340700176022</v>
      </c>
      <c r="AG61" s="2"/>
      <c r="AH61" s="2"/>
      <c r="AI61" s="2"/>
      <c r="AJ61" s="8" t="str">
        <f>IF(OR(AG61="",AH61=""),"",IF(OR(AND(AG61="短期博反弹",OR(AH61="1～3个交易日",AH61="4～10个交易日")),AND(AG61="突破冲新高",OR(AH61="4～10个交易日",AH61="11～20个交易日")),AND(AG61="趋势波段",OR(AH61="11～20个交易日",AH61="21～60个交易日",AH61="60个交易日以上"))),"匹配","周期与交易预期不匹配，请重新确认"))</f>
        <v/>
      </c>
      <c r="AK61" s="10"/>
      <c r="AL61" s="12"/>
      <c r="AM61" s="10"/>
      <c r="AN61" s="12"/>
      <c r="AO61" s="5">
        <f>IF(OR(A61="",H61="",H61&lt;=0),"",(E61*H61+IF(AND(AK61&lt;&gt;"",AL61&lt;&gt;""),AK61*AL61,0)+IF(AND(AM61&lt;&gt;"",AN61&lt;&gt;""),AM61*AN61,0))/AP61)</f>
        <v>114.14</v>
      </c>
      <c r="AP61" s="11">
        <f>IF(OR(A61="",H61="",H61&lt;=0),"",H61+IF(AL61="",0,AL61)+IF(AN61="",0,AN61))</f>
        <v>100</v>
      </c>
      <c r="AQ61" s="5">
        <f>IF(A61="","",IF(M61&lt;&gt;"",0,IF(OR(H61="",N61=""),"",MAX(E61-MAX(N61,IFERROR(SUMPRODUCT(MAX(((持仓跟踪!$A$2:$A$497="每日跟踪")*(持仓跟踪!$B$2:$B$497=A61))*持仓跟踪!$S$2:$S$497)),0)),0)*H61+IF(OR(AK61="",AL61=""),0,MAX(AK61-MAX(N61,IFERROR(SUMPRODUCT(MAX(((持仓跟踪!$A$2:$A$497="每日跟踪")*(持仓跟踪!$B$2:$B$497=A61))*持仓跟踪!$S$2:$S$497)),0)),0)*AL61)+IF(OR(AM61="",AN61=""),0,MAX(AM61-MAX(N61,IFERROR(SUMPRODUCT(MAX(((持仓跟踪!$A$2:$A$497="每日跟踪")*(持仓跟踪!$B$2:$B$497=A61))*持仓跟踪!$S$2:$S$497)),0)),0)*AN61))))</f>
        <v>0</v>
      </c>
      <c r="AR61" s="8" t="str">
        <f ca="1">IF(A61="","",IF(OR(E61="",H61=""),"违规：第一批价格或股数缺失",IF(OR(AND(AK61="",AL61&lt;&gt;""),AND(AK61&lt;&gt;"",AL61="")),"违规：第二批价格与股数须成对填写",IF(OR(AND(AM61="",AN61&lt;&gt;""),AND(AM61&lt;&gt;"",AN61="")),"违规：第三批价格与股数须成对填写",IF(AND(OR(AM61&lt;&gt;"",AN61&lt;&gt;""),OR(AK61="",AL61="")),"违规：必须先完成第二批",IF(OR(H61&lt;=0,H61&lt;&gt;INT(H61),MOD(H61,100)&lt;&gt;0,AND(AL61&lt;&gt;"",OR(AL61&lt;=0,AL61&lt;&gt;INT(AL61),MOD(AL61,100)&lt;&gt;0)),AND(AN61&lt;&gt;"",OR(AN61&lt;=0,AN61&lt;&gt;INT(AN61),MOD(AN61,100)&lt;&gt;0))),"违规：股数须为100股整数倍",IF(AND(OR(AL61&lt;&gt;"",AN61&lt;&gt;""),OR(_LockStatus="已锁仓",_LockStatus="解锁信息不完整")),"违规：锁仓期间禁止加仓",IF(AQ61&gt;C61*D61,"违规：超过单笔风险上限",IF(SUM($AQ$2:$AQ$163)&gt;账户数据!$B$7,"违规：超过账户风险上限","通过")))))))))</f>
        <v>通过</v>
      </c>
    </row>
    <row r="62" ht="17" spans="1:44">
      <c r="A62" s="2">
        <v>59</v>
      </c>
      <c r="B62" s="36" t="s">
        <v>16385</v>
      </c>
      <c r="C62" s="10">
        <v>100559</v>
      </c>
      <c r="D62" s="6">
        <v>0.02</v>
      </c>
      <c r="E62" s="10">
        <v>82.65</v>
      </c>
      <c r="F62" s="8">
        <f>IF(OR(C62="",D62="",E62="",N62="",C62&lt;=0,D62&lt;=0,E62&lt;=N62),"",ROUNDDOWN((C62*D62)/(E62-N62)/100,0)*100)</f>
        <v>200</v>
      </c>
      <c r="G62" s="8" t="str">
        <f ca="1"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COUNTIFS(持仓跟踪!$A$2:$A$497,"止损计划",持仓跟踪!$B$2:$B$497,A62,持仓跟踪!$AC$2:$AC$497,"计划有效")=0,"禁止开仓：请先填写止损计划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2" s="2">
        <v>200</v>
      </c>
      <c r="I62" s="15">
        <v>45796</v>
      </c>
      <c r="J62" s="10">
        <v>100</v>
      </c>
      <c r="K62" s="10">
        <v>129.8</v>
      </c>
      <c r="L62" s="8">
        <f>IF(K62="","",H62)</f>
        <v>200</v>
      </c>
      <c r="M62" s="15">
        <v>45861</v>
      </c>
      <c r="N62" s="10">
        <v>75</v>
      </c>
      <c r="O62" s="10"/>
      <c r="P62" s="10"/>
      <c r="Q62" s="2"/>
      <c r="R62" s="2"/>
      <c r="S62" s="2"/>
      <c r="T62" s="2"/>
      <c r="U62" s="7">
        <f>IF(OR(AO62="",J62="",AO62&lt;=0),"",(J62-AO62)/AO62)</f>
        <v>0.209921355111918</v>
      </c>
      <c r="V62" s="7">
        <f>IF(OR(AO62="",N62="",AO62&lt;=0),"",(AO62-N62)/AO62)</f>
        <v>0.0925589836660618</v>
      </c>
      <c r="W62" s="24">
        <f>IF(OR(U62="",V62="",V62&lt;=0),"",U62/V62)</f>
        <v>2.26797385620915</v>
      </c>
      <c r="X62" s="5">
        <f>IF(OR(K62="",L62="",AP62=""),"",K62*L62-(E62*H62+IF(AND(AK62&lt;&gt;"",AL62&lt;&gt;""),AK62*AL62,0)+IF(AND(AM62&lt;&gt;"",AN62&lt;&gt;""),AM62*AN62,0))-IF(O62="",0,O62)-IF(P62="",0,P62))</f>
        <v>9430</v>
      </c>
      <c r="Y62" s="7">
        <f>IF(OR(X62="",AP62=""),"",IF((E62*H62+IF(AND(AK62&lt;&gt;"",AL62&lt;&gt;""),AK62*AL62,0)+IF(AND(AM62&lt;&gt;"",AN62&lt;&gt;""),AM62*AN62,0))+IF(O62="",0,O62)&lt;=0,"",X62/((E62*H62+IF(AND(AK62&lt;&gt;"",AL62&lt;&gt;""),AK62*AL62,0)+IF(AND(AM62&lt;&gt;"",AN62&lt;&gt;""),AM62*AN62,0))+IF(O62="",0,O62))))</f>
        <v>0.570477918935269</v>
      </c>
      <c r="Z62" s="7">
        <f>IF(OR(AE62="",多次统计数据!$B$8=""),"",AE62-多次统计数据!$B$8)</f>
        <v>0.0350286747245986</v>
      </c>
      <c r="AA62" s="11">
        <f>IF(OR(I62="",M62="",M62&lt;I62),"",M62-I62)</f>
        <v>65</v>
      </c>
      <c r="AB62" s="7">
        <f>IF(OR(A62="",多次统计数据!$B$8="",多次统计数据!$B$6&lt;=0,多次统计数据!$B$6&gt;=1),"",1-POWER(1+多次统计数据!$B$8,-多次统计数据!$B$6/(1-多次统计数据!$B$6)))</f>
        <v>0.0315166534281621</v>
      </c>
      <c r="AC62" s="8" t="str">
        <f>IF(OR(AB62="",多次统计数据!$B$9=""),"",IF(多次统计数据!$B$9&lt;AB62,"低于上限","达到或超过上限"))</f>
        <v>低于上限</v>
      </c>
      <c r="AD62" s="2"/>
      <c r="AE62" s="7">
        <f>IF(OR(X62="",C62="",C62&lt;=0),"",X62/C62)</f>
        <v>0.0937757933153671</v>
      </c>
      <c r="AG62" s="2"/>
      <c r="AH62" s="2"/>
      <c r="AI62" s="2"/>
      <c r="AJ62" s="8" t="str">
        <f>IF(OR(AG62="",AH62=""),"",IF(OR(AND(AG62="短期博反弹",OR(AH62="1～3个交易日",AH62="4～10个交易日")),AND(AG62="突破冲新高",OR(AH62="4～10个交易日",AH62="11～20个交易日")),AND(AG62="趋势波段",OR(AH62="11～20个交易日",AH62="21～60个交易日",AH62="60个交易日以上"))),"匹配","周期与交易预期不匹配，请重新确认"))</f>
        <v/>
      </c>
      <c r="AK62" s="10"/>
      <c r="AL62" s="12"/>
      <c r="AM62" s="10"/>
      <c r="AN62" s="12"/>
      <c r="AO62" s="5">
        <f>IF(OR(A62="",H62="",H62&lt;=0),"",(E62*H62+IF(AND(AK62&lt;&gt;"",AL62&lt;&gt;""),AK62*AL62,0)+IF(AND(AM62&lt;&gt;"",AN62&lt;&gt;""),AM62*AN62,0))/AP62)</f>
        <v>82.65</v>
      </c>
      <c r="AP62" s="11">
        <f>IF(OR(A62="",H62="",H62&lt;=0),"",H62+IF(AL62="",0,AL62)+IF(AN62="",0,AN62))</f>
        <v>200</v>
      </c>
      <c r="AQ62" s="5">
        <f>IF(A62="","",IF(M62&lt;&gt;"",0,IF(OR(H62="",N62=""),"",MAX(E62-MAX(N62,IFERROR(SUMPRODUCT(MAX(((持仓跟踪!$A$2:$A$497="每日跟踪")*(持仓跟踪!$B$2:$B$497=A62))*持仓跟踪!$S$2:$S$497)),0)),0)*H62+IF(OR(AK62="",AL62=""),0,MAX(AK62-MAX(N62,IFERROR(SUMPRODUCT(MAX(((持仓跟踪!$A$2:$A$497="每日跟踪")*(持仓跟踪!$B$2:$B$497=A62))*持仓跟踪!$S$2:$S$497)),0)),0)*AL62)+IF(OR(AM62="",AN62=""),0,MAX(AM62-MAX(N62,IFERROR(SUMPRODUCT(MAX(((持仓跟踪!$A$2:$A$497="每日跟踪")*(持仓跟踪!$B$2:$B$497=A62))*持仓跟踪!$S$2:$S$497)),0)),0)*AN62))))</f>
        <v>0</v>
      </c>
      <c r="AR62" s="8" t="str">
        <f ca="1">IF(A62="","",IF(OR(E62="",H62=""),"违规：第一批价格或股数缺失",IF(OR(AND(AK62="",AL62&lt;&gt;""),AND(AK62&lt;&gt;"",AL62="")),"违规：第二批价格与股数须成对填写",IF(OR(AND(AM62="",AN62&lt;&gt;""),AND(AM62&lt;&gt;"",AN62="")),"违规：第三批价格与股数须成对填写",IF(AND(OR(AM62&lt;&gt;"",AN62&lt;&gt;""),OR(AK62="",AL62="")),"违规：必须先完成第二批",IF(OR(H62&lt;=0,H62&lt;&gt;INT(H62),MOD(H62,100)&lt;&gt;0,AND(AL62&lt;&gt;"",OR(AL62&lt;=0,AL62&lt;&gt;INT(AL62),MOD(AL62,100)&lt;&gt;0)),AND(AN62&lt;&gt;"",OR(AN62&lt;=0,AN62&lt;&gt;INT(AN62),MOD(AN62,100)&lt;&gt;0))),"违规：股数须为100股整数倍",IF(AND(OR(AL62&lt;&gt;"",AN62&lt;&gt;""),OR(_LockStatus="已锁仓",_LockStatus="解锁信息不完整")),"违规：锁仓期间禁止加仓",IF(AQ62&gt;C62*D62,"违规：超过单笔风险上限",IF(SUM($AQ$2:$AQ$163)&gt;账户数据!$B$7,"违规：超过账户风险上限","通过")))))))))</f>
        <v>通过</v>
      </c>
    </row>
    <row r="63" ht="17" spans="1:44">
      <c r="A63" s="2">
        <v>60</v>
      </c>
      <c r="B63" s="36" t="s">
        <v>16385</v>
      </c>
      <c r="C63" s="10">
        <v>109989</v>
      </c>
      <c r="D63" s="6">
        <v>0.02</v>
      </c>
      <c r="E63" s="10">
        <v>218.89</v>
      </c>
      <c r="F63" s="8">
        <f>IF(OR(C63="",D63="",E63="",N63="",C63&lt;=0,D63&lt;=0,E63&lt;=N63),"",ROUNDDOWN((C63*D63)/(E63-N63)/100,0)*100)</f>
        <v>100</v>
      </c>
      <c r="G63" s="8" t="str">
        <f ca="1"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COUNTIFS(持仓跟踪!$A$2:$A$497,"止损计划",持仓跟踪!$B$2:$B$497,A63,持仓跟踪!$AC$2:$AC$497,"计划有效")=0,"禁止开仓：请先填写止损计划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3" s="2">
        <v>100</v>
      </c>
      <c r="I63" s="15">
        <v>45929</v>
      </c>
      <c r="J63" s="10">
        <v>250</v>
      </c>
      <c r="K63" s="10">
        <v>194.2</v>
      </c>
      <c r="L63" s="8">
        <f>IF(K63="","",H63)</f>
        <v>100</v>
      </c>
      <c r="M63" s="15">
        <v>45944</v>
      </c>
      <c r="N63" s="10">
        <v>200</v>
      </c>
      <c r="O63" s="10"/>
      <c r="P63" s="10"/>
      <c r="Q63" s="2"/>
      <c r="R63" s="2"/>
      <c r="S63" s="2"/>
      <c r="T63" s="2"/>
      <c r="U63" s="7">
        <f>IF(OR(AO63="",J63="",AO63&lt;=0),"",(J63-AO63)/AO63)</f>
        <v>0.142126182100599</v>
      </c>
      <c r="V63" s="7">
        <f>IF(OR(AO63="",N63="",AO63&lt;=0),"",(AO63-N63)/AO63)</f>
        <v>0.0862990543195212</v>
      </c>
      <c r="W63" s="24">
        <f>IF(OR(U63="",V63="",V63&lt;=0),"",U63/V63)</f>
        <v>1.64690312334569</v>
      </c>
      <c r="X63" s="5">
        <f>IF(OR(K63="",L63="",AP63=""),"",K63*L63-(E63*H63+IF(AND(AK63&lt;&gt;"",AL63&lt;&gt;""),AK63*AL63,0)+IF(AND(AM63&lt;&gt;"",AN63&lt;&gt;""),AM63*AN63,0))-IF(O63="",0,O63)-IF(P63="",0,P63))</f>
        <v>-2469</v>
      </c>
      <c r="Y63" s="7">
        <f>IF(OR(X63="",AP63=""),"",IF((E63*H63+IF(AND(AK63&lt;&gt;"",AL63&lt;&gt;""),AK63*AL63,0)+IF(AND(AM63&lt;&gt;"",AN63&lt;&gt;""),AM63*AN63,0))+IF(O63="",0,O63)&lt;=0,"",X63/((E63*H63+IF(AND(AK63&lt;&gt;"",AL63&lt;&gt;""),AK63*AL63,0)+IF(AND(AM63&lt;&gt;"",AN63&lt;&gt;""),AM63*AN63,0))+IF(O63="",0,O63))))</f>
        <v>-0.112796381744255</v>
      </c>
      <c r="Z63" s="7">
        <f>IF(OR(AE63="",多次统计数据!$B$8=""),"",AE63-多次统计数据!$B$8)</f>
        <v>-0.0811948179061546</v>
      </c>
      <c r="AA63" s="11">
        <f>IF(OR(I63="",M63="",M63&lt;I63),"",M63-I63)</f>
        <v>15</v>
      </c>
      <c r="AB63" s="7">
        <f>IF(OR(A63="",多次统计数据!$B$8="",多次统计数据!$B$6&lt;=0,多次统计数据!$B$6&gt;=1),"",1-POWER(1+多次统计数据!$B$8,-多次统计数据!$B$6/(1-多次统计数据!$B$6)))</f>
        <v>0.0315166534281621</v>
      </c>
      <c r="AC63" s="8" t="str">
        <f>IF(OR(AB63="",多次统计数据!$B$9=""),"",IF(多次统计数据!$B$9&lt;AB63,"低于上限","达到或超过上限"))</f>
        <v>低于上限</v>
      </c>
      <c r="AD63" s="2"/>
      <c r="AE63" s="7">
        <f>IF(OR(X63="",C63="",C63&lt;=0),"",X63/C63)</f>
        <v>-0.0224476993153861</v>
      </c>
      <c r="AG63" s="2"/>
      <c r="AH63" s="2"/>
      <c r="AI63" s="2"/>
      <c r="AJ63" s="8" t="str">
        <f>IF(OR(AG63="",AH63=""),"",IF(OR(AND(AG63="短期博反弹",OR(AH63="1～3个交易日",AH63="4～10个交易日")),AND(AG63="突破冲新高",OR(AH63="4～10个交易日",AH63="11～20个交易日")),AND(AG63="趋势波段",OR(AH63="11～20个交易日",AH63="21～60个交易日",AH63="60个交易日以上"))),"匹配","周期与交易预期不匹配，请重新确认"))</f>
        <v/>
      </c>
      <c r="AK63" s="10"/>
      <c r="AL63" s="12"/>
      <c r="AM63" s="10"/>
      <c r="AN63" s="12"/>
      <c r="AO63" s="5">
        <f>IF(OR(A63="",H63="",H63&lt;=0),"",(E63*H63+IF(AND(AK63&lt;&gt;"",AL63&lt;&gt;""),AK63*AL63,0)+IF(AND(AM63&lt;&gt;"",AN63&lt;&gt;""),AM63*AN63,0))/AP63)</f>
        <v>218.89</v>
      </c>
      <c r="AP63" s="11">
        <f>IF(OR(A63="",H63="",H63&lt;=0),"",H63+IF(AL63="",0,AL63)+IF(AN63="",0,AN63))</f>
        <v>100</v>
      </c>
      <c r="AQ63" s="5">
        <f>IF(A63="","",IF(M63&lt;&gt;"",0,IF(OR(H63="",N63=""),"",MAX(E63-MAX(N63,IFERROR(SUMPRODUCT(MAX(((持仓跟踪!$A$2:$A$497="每日跟踪")*(持仓跟踪!$B$2:$B$497=A63))*持仓跟踪!$S$2:$S$497)),0)),0)*H63+IF(OR(AK63="",AL63=""),0,MAX(AK63-MAX(N63,IFERROR(SUMPRODUCT(MAX(((持仓跟踪!$A$2:$A$497="每日跟踪")*(持仓跟踪!$B$2:$B$497=A63))*持仓跟踪!$S$2:$S$497)),0)),0)*AL63)+IF(OR(AM63="",AN63=""),0,MAX(AM63-MAX(N63,IFERROR(SUMPRODUCT(MAX(((持仓跟踪!$A$2:$A$497="每日跟踪")*(持仓跟踪!$B$2:$B$497=A63))*持仓跟踪!$S$2:$S$497)),0)),0)*AN63))))</f>
        <v>0</v>
      </c>
      <c r="AR63" s="8" t="str">
        <f ca="1">IF(A63="","",IF(OR(E63="",H63=""),"违规：第一批价格或股数缺失",IF(OR(AND(AK63="",AL63&lt;&gt;""),AND(AK63&lt;&gt;"",AL63="")),"违规：第二批价格与股数须成对填写",IF(OR(AND(AM63="",AN63&lt;&gt;""),AND(AM63&lt;&gt;"",AN63="")),"违规：第三批价格与股数须成对填写",IF(AND(OR(AM63&lt;&gt;"",AN63&lt;&gt;""),OR(AK63="",AL63="")),"违规：必须先完成第二批",IF(OR(H63&lt;=0,H63&lt;&gt;INT(H63),MOD(H63,100)&lt;&gt;0,AND(AL63&lt;&gt;"",OR(AL63&lt;=0,AL63&lt;&gt;INT(AL63),MOD(AL63,100)&lt;&gt;0)),AND(AN63&lt;&gt;"",OR(AN63&lt;=0,AN63&lt;&gt;INT(AN63),MOD(AN63,100)&lt;&gt;0))),"违规：股数须为100股整数倍",IF(AND(OR(AL63&lt;&gt;"",AN63&lt;&gt;""),OR(_LockStatus="已锁仓",_LockStatus="解锁信息不完整")),"违规：锁仓期间禁止加仓",IF(AQ63&gt;C63*D63,"违规：超过单笔风险上限",IF(SUM($AQ$2:$AQ$163)&gt;账户数据!$B$7,"违规：超过账户风险上限","通过")))))))))</f>
        <v>通过</v>
      </c>
    </row>
    <row r="64" ht="17" spans="1:44">
      <c r="A64" s="2">
        <v>61</v>
      </c>
      <c r="B64" s="36" t="s">
        <v>16385</v>
      </c>
      <c r="C64" s="10">
        <v>107520</v>
      </c>
      <c r="D64" s="6">
        <v>0.02</v>
      </c>
      <c r="E64" s="10">
        <v>187.55</v>
      </c>
      <c r="F64" s="8">
        <f>IF(OR(C64="",D64="",E64="",N64="",C64&lt;=0,D64&lt;=0,E64&lt;=N64),"",ROUNDDOWN((C64*D64)/(E64-N64)/100,0)*100)</f>
        <v>200</v>
      </c>
      <c r="G64" s="8" t="str">
        <f ca="1"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COUNTIFS(持仓跟踪!$A$2:$A$497,"止损计划",持仓跟踪!$B$2:$B$497,A64,持仓跟踪!$AC$2:$AC$497,"计划有效")=0,"禁止开仓：请先填写止损计划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4" s="2">
        <v>200</v>
      </c>
      <c r="I64" s="15">
        <v>45996</v>
      </c>
      <c r="J64" s="10">
        <v>250</v>
      </c>
      <c r="K64" s="10">
        <v>252.7</v>
      </c>
      <c r="L64" s="8">
        <f>IF(K64="","",H64)</f>
        <v>200</v>
      </c>
      <c r="M64" s="15">
        <v>46090</v>
      </c>
      <c r="N64" s="10">
        <v>180</v>
      </c>
      <c r="O64" s="10"/>
      <c r="P64" s="10"/>
      <c r="Q64" s="2"/>
      <c r="R64" s="2"/>
      <c r="S64" s="2"/>
      <c r="T64" s="2"/>
      <c r="U64" s="7">
        <f>IF(OR(AO64="",J64="",AO64&lt;=0),"",(J64-AO64)/AO64)</f>
        <v>0.332977872567315</v>
      </c>
      <c r="V64" s="7">
        <f>IF(OR(AO64="",N64="",AO64&lt;=0),"",(AO64-N64)/AO64)</f>
        <v>0.040255931751533</v>
      </c>
      <c r="W64" s="24">
        <f>IF(OR(U64="",V64="",V64&lt;=0),"",U64/V64)</f>
        <v>8.27152317880793</v>
      </c>
      <c r="X64" s="5">
        <f>IF(OR(K64="",L64="",AP64=""),"",K64*L64-(E64*H64+IF(AND(AK64&lt;&gt;"",AL64&lt;&gt;""),AK64*AL64,0)+IF(AND(AM64&lt;&gt;"",AN64&lt;&gt;""),AM64*AN64,0))-IF(O64="",0,O64)-IF(P64="",0,P64))</f>
        <v>13030</v>
      </c>
      <c r="Y64" s="7">
        <f>IF(OR(X64="",AP64=""),"",IF((E64*H64+IF(AND(AK64&lt;&gt;"",AL64&lt;&gt;""),AK64*AL64,0)+IF(AND(AM64&lt;&gt;"",AN64&lt;&gt;""),AM64*AN64,0))+IF(O64="",0,O64)&lt;=0,"",X64/((E64*H64+IF(AND(AK64&lt;&gt;"",AL64&lt;&gt;""),AK64*AL64,0)+IF(AND(AM64&lt;&gt;"",AN64&lt;&gt;""),AM64*AN64,0))+IF(O64="",0,O64))))</f>
        <v>0.347374033591042</v>
      </c>
      <c r="Z64" s="7">
        <f>IF(OR(AE64="",多次统计数据!$B$8=""),"",AE64-多次统计数据!$B$8)</f>
        <v>0.0624396373616124</v>
      </c>
      <c r="AA64" s="11">
        <f>IF(OR(I64="",M64="",M64&lt;I64),"",M64-I64)</f>
        <v>94</v>
      </c>
      <c r="AB64" s="7">
        <f>IF(OR(A64="",多次统计数据!$B$8="",多次统计数据!$B$6&lt;=0,多次统计数据!$B$6&gt;=1),"",1-POWER(1+多次统计数据!$B$8,-多次统计数据!$B$6/(1-多次统计数据!$B$6)))</f>
        <v>0.0315166534281621</v>
      </c>
      <c r="AC64" s="8" t="str">
        <f>IF(OR(AB64="",多次统计数据!$B$9=""),"",IF(多次统计数据!$B$9&lt;AB64,"低于上限","达到或超过上限"))</f>
        <v>低于上限</v>
      </c>
      <c r="AD64" s="2"/>
      <c r="AE64" s="7">
        <f>IF(OR(X64="",C64="",C64&lt;=0),"",X64/C64)</f>
        <v>0.121186755952381</v>
      </c>
      <c r="AG64" s="2"/>
      <c r="AH64" s="2"/>
      <c r="AI64" s="2"/>
      <c r="AJ64" s="8" t="str">
        <f>IF(OR(AG64="",AH64=""),"",IF(OR(AND(AG64="短期博反弹",OR(AH64="1～3个交易日",AH64="4～10个交易日")),AND(AG64="突破冲新高",OR(AH64="4～10个交易日",AH64="11～20个交易日")),AND(AG64="趋势波段",OR(AH64="11～20个交易日",AH64="21～60个交易日",AH64="60个交易日以上"))),"匹配","周期与交易预期不匹配，请重新确认"))</f>
        <v/>
      </c>
      <c r="AK64" s="10"/>
      <c r="AL64" s="12"/>
      <c r="AM64" s="10"/>
      <c r="AN64" s="12"/>
      <c r="AO64" s="5">
        <f>IF(OR(A64="",H64="",H64&lt;=0),"",(E64*H64+IF(AND(AK64&lt;&gt;"",AL64&lt;&gt;""),AK64*AL64,0)+IF(AND(AM64&lt;&gt;"",AN64&lt;&gt;""),AM64*AN64,0))/AP64)</f>
        <v>187.55</v>
      </c>
      <c r="AP64" s="11">
        <f>IF(OR(A64="",H64="",H64&lt;=0),"",H64+IF(AL64="",0,AL64)+IF(AN64="",0,AN64))</f>
        <v>200</v>
      </c>
      <c r="AQ64" s="5">
        <f>IF(A64="","",IF(M64&lt;&gt;"",0,IF(OR(H64="",N64=""),"",MAX(E64-MAX(N64,IFERROR(SUMPRODUCT(MAX(((持仓跟踪!$A$2:$A$497="每日跟踪")*(持仓跟踪!$B$2:$B$497=A64))*持仓跟踪!$S$2:$S$497)),0)),0)*H64+IF(OR(AK64="",AL64=""),0,MAX(AK64-MAX(N64,IFERROR(SUMPRODUCT(MAX(((持仓跟踪!$A$2:$A$497="每日跟踪")*(持仓跟踪!$B$2:$B$497=A64))*持仓跟踪!$S$2:$S$497)),0)),0)*AL64)+IF(OR(AM64="",AN64=""),0,MAX(AM64-MAX(N64,IFERROR(SUMPRODUCT(MAX(((持仓跟踪!$A$2:$A$497="每日跟踪")*(持仓跟踪!$B$2:$B$497=A64))*持仓跟踪!$S$2:$S$497)),0)),0)*AN64))))</f>
        <v>0</v>
      </c>
      <c r="AR64" s="8" t="str">
        <f ca="1">IF(A64="","",IF(OR(E64="",H64=""),"违规：第一批价格或股数缺失",IF(OR(AND(AK64="",AL64&lt;&gt;""),AND(AK64&lt;&gt;"",AL64="")),"违规：第二批价格与股数须成对填写",IF(OR(AND(AM64="",AN64&lt;&gt;""),AND(AM64&lt;&gt;"",AN64="")),"违规：第三批价格与股数须成对填写",IF(AND(OR(AM64&lt;&gt;"",AN64&lt;&gt;""),OR(AK64="",AL64="")),"违规：必须先完成第二批",IF(OR(H64&lt;=0,H64&lt;&gt;INT(H64),MOD(H64,100)&lt;&gt;0,AND(AL64&lt;&gt;"",OR(AL64&lt;=0,AL64&lt;&gt;INT(AL64),MOD(AL64,100)&lt;&gt;0)),AND(AN64&lt;&gt;"",OR(AN64&lt;=0,AN64&lt;&gt;INT(AN64),MOD(AN64,100)&lt;&gt;0))),"违规：股数须为100股整数倍",IF(AND(OR(AL64&lt;&gt;"",AN64&lt;&gt;""),OR(_LockStatus="已锁仓",_LockStatus="解锁信息不完整")),"违规：锁仓期间禁止加仓",IF(AQ64&gt;C64*D64,"违规：超过单笔风险上限",IF(SUM($AQ$2:$AQ$163)&gt;账户数据!$B$7,"违规：超过账户风险上限","通过")))))))))</f>
        <v>通过</v>
      </c>
    </row>
    <row r="65" ht="17" spans="1:44">
      <c r="A65" s="2">
        <v>63</v>
      </c>
      <c r="B65" s="36" t="s">
        <v>16385</v>
      </c>
      <c r="C65" s="10">
        <v>120550</v>
      </c>
      <c r="D65" s="6">
        <v>0.02</v>
      </c>
      <c r="E65" s="10">
        <v>235.29</v>
      </c>
      <c r="F65" s="8">
        <f>IF(OR(C65="",D65="",E65="",N65="",C65&lt;=0,D65&lt;=0,E65&lt;=N65),"",ROUNDDOWN((C65*D65)/(E65-N65)/100,0)*100)</f>
        <v>100</v>
      </c>
      <c r="G65" s="8" t="str">
        <f ca="1"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COUNTIFS(持仓跟踪!$A$2:$A$497,"止损计划",持仓跟踪!$B$2:$B$497,A65,持仓跟踪!$AC$2:$AC$497,"计划有效")=0,"禁止开仓：请先填写止损计划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5" s="2">
        <v>100</v>
      </c>
      <c r="I65" s="15">
        <v>46106</v>
      </c>
      <c r="J65" s="10">
        <v>300</v>
      </c>
      <c r="K65" s="10">
        <v>210.1</v>
      </c>
      <c r="L65" s="8">
        <f>IF(K65="","",H65)</f>
        <v>100</v>
      </c>
      <c r="M65" s="15">
        <v>46115</v>
      </c>
      <c r="N65" s="10">
        <v>215</v>
      </c>
      <c r="O65" s="10"/>
      <c r="P65" s="10"/>
      <c r="Q65" s="2"/>
      <c r="R65" s="2"/>
      <c r="S65" s="2"/>
      <c r="T65" s="2"/>
      <c r="U65" s="7">
        <f>IF(OR(AO65="",J65="",AO65&lt;=0),"",(J65-AO65)/AO65)</f>
        <v>0.275022312890476</v>
      </c>
      <c r="V65" s="7">
        <f>IF(OR(AO65="",N65="",AO65&lt;=0),"",(AO65-N65)/AO65)</f>
        <v>0.0862340090951591</v>
      </c>
      <c r="W65" s="24">
        <f>IF(OR(U65="",V65="",V65&lt;=0),"",U65/V65)</f>
        <v>3.18925579103007</v>
      </c>
      <c r="X65" s="5">
        <f>IF(OR(K65="",L65="",AP65=""),"",K65*L65-(E65*H65+IF(AND(AK65&lt;&gt;"",AL65&lt;&gt;""),AK65*AL65,0)+IF(AND(AM65&lt;&gt;"",AN65&lt;&gt;""),AM65*AN65,0))-IF(O65="",0,O65)-IF(P65="",0,P65))</f>
        <v>-2519</v>
      </c>
      <c r="Y65" s="7">
        <f>IF(OR(X65="",AP65=""),"",IF((E65*H65+IF(AND(AK65&lt;&gt;"",AL65&lt;&gt;""),AK65*AL65,0)+IF(AND(AM65&lt;&gt;"",AN65&lt;&gt;""),AM65*AN65,0))+IF(O65="",0,O65)&lt;=0,"",X65/((E65*H65+IF(AND(AK65&lt;&gt;"",AL65&lt;&gt;""),AK65*AL65,0)+IF(AND(AM65&lt;&gt;"",AN65&lt;&gt;""),AM65*AN65,0))+IF(O65="",0,O65))))</f>
        <v>-0.107059373539037</v>
      </c>
      <c r="Z65" s="7">
        <f>IF(OR(AE65="",多次统计数据!$B$8=""),"",AE65-多次统计数据!$B$8)</f>
        <v>-0.0796430124107603</v>
      </c>
      <c r="AA65" s="11">
        <f>IF(OR(I65="",M65="",M65&lt;I65),"",M65-I65)</f>
        <v>9</v>
      </c>
      <c r="AB65" s="7">
        <f>IF(OR(A65="",多次统计数据!$B$8="",多次统计数据!$B$6&lt;=0,多次统计数据!$B$6&gt;=1),"",1-POWER(1+多次统计数据!$B$8,-多次统计数据!$B$6/(1-多次统计数据!$B$6)))</f>
        <v>0.0315166534281621</v>
      </c>
      <c r="AC65" s="8" t="str">
        <f>IF(OR(AB65="",多次统计数据!$B$9=""),"",IF(多次统计数据!$B$9&lt;AB65,"低于上限","达到或超过上限"))</f>
        <v>低于上限</v>
      </c>
      <c r="AD65" s="2"/>
      <c r="AE65" s="7">
        <f>IF(OR(X65="",C65="",C65&lt;=0),"",X65/C65)</f>
        <v>-0.0208958938199917</v>
      </c>
      <c r="AG65" s="2"/>
      <c r="AH65" s="2"/>
      <c r="AI65" s="2"/>
      <c r="AJ65" s="8" t="str">
        <f>IF(OR(AG65="",AH65=""),"",IF(OR(AND(AG65="短期博反弹",OR(AH65="1～3个交易日",AH65="4～10个交易日")),AND(AG65="突破冲新高",OR(AH65="4～10个交易日",AH65="11～20个交易日")),AND(AG65="趋势波段",OR(AH65="11～20个交易日",AH65="21～60个交易日",AH65="60个交易日以上"))),"匹配","周期与交易预期不匹配，请重新确认"))</f>
        <v/>
      </c>
      <c r="AK65" s="10"/>
      <c r="AL65" s="12"/>
      <c r="AM65" s="10"/>
      <c r="AN65" s="12"/>
      <c r="AO65" s="5">
        <f>IF(OR(A65="",H65="",H65&lt;=0),"",(E65*H65+IF(AND(AK65&lt;&gt;"",AL65&lt;&gt;""),AK65*AL65,0)+IF(AND(AM65&lt;&gt;"",AN65&lt;&gt;""),AM65*AN65,0))/AP65)</f>
        <v>235.29</v>
      </c>
      <c r="AP65" s="11">
        <f>IF(OR(A65="",H65="",H65&lt;=0),"",H65+IF(AL65="",0,AL65)+IF(AN65="",0,AN65))</f>
        <v>100</v>
      </c>
      <c r="AQ65" s="5">
        <f>IF(A65="","",IF(M65&lt;&gt;"",0,IF(OR(H65="",N65=""),"",MAX(E65-MAX(N65,IFERROR(SUMPRODUCT(MAX(((持仓跟踪!$A$2:$A$497="每日跟踪")*(持仓跟踪!$B$2:$B$497=A65))*持仓跟踪!$S$2:$S$497)),0)),0)*H65+IF(OR(AK65="",AL65=""),0,MAX(AK65-MAX(N65,IFERROR(SUMPRODUCT(MAX(((持仓跟踪!$A$2:$A$497="每日跟踪")*(持仓跟踪!$B$2:$B$497=A65))*持仓跟踪!$S$2:$S$497)),0)),0)*AL65)+IF(OR(AM65="",AN65=""),0,MAX(AM65-MAX(N65,IFERROR(SUMPRODUCT(MAX(((持仓跟踪!$A$2:$A$497="每日跟踪")*(持仓跟踪!$B$2:$B$497=A65))*持仓跟踪!$S$2:$S$497)),0)),0)*AN65))))</f>
        <v>0</v>
      </c>
      <c r="AR65" s="8" t="str">
        <f ca="1">IF(A65="","",IF(OR(E65="",H65=""),"违规：第一批价格或股数缺失",IF(OR(AND(AK65="",AL65&lt;&gt;""),AND(AK65&lt;&gt;"",AL65="")),"违规：第二批价格与股数须成对填写",IF(OR(AND(AM65="",AN65&lt;&gt;""),AND(AM65&lt;&gt;"",AN65="")),"违规：第三批价格与股数须成对填写",IF(AND(OR(AM65&lt;&gt;"",AN65&lt;&gt;""),OR(AK65="",AL65="")),"违规：必须先完成第二批",IF(OR(H65&lt;=0,H65&lt;&gt;INT(H65),MOD(H65,100)&lt;&gt;0,AND(AL65&lt;&gt;"",OR(AL65&lt;=0,AL65&lt;&gt;INT(AL65),MOD(AL65,100)&lt;&gt;0)),AND(AN65&lt;&gt;"",OR(AN65&lt;=0,AN65&lt;&gt;INT(AN65),MOD(AN65,100)&lt;&gt;0))),"违规：股数须为100股整数倍",IF(AND(OR(AL65&lt;&gt;"",AN65&lt;&gt;""),OR(_LockStatus="已锁仓",_LockStatus="解锁信息不完整")),"违规：锁仓期间禁止加仓",IF(AQ65&gt;C65*D65,"违规：超过单笔风险上限",IF(SUM($AQ$2:$AQ$163)&gt;账户数据!$B$7,"违规：超过账户风险上限","通过")))))))))</f>
        <v>通过</v>
      </c>
    </row>
    <row r="66" ht="17" spans="1:44">
      <c r="A66" s="2"/>
      <c r="B66" s="2"/>
      <c r="C66" s="10"/>
      <c r="D66" s="6"/>
      <c r="E66" s="10"/>
      <c r="F66" s="8" t="str">
        <f>IF(OR(C66="",D66="",E66="",N66="",C66&lt;=0,D66&lt;=0,E66&lt;=N66),"",ROUNDDOWN((C66*D66)/(E66-N66)/100,0)*100)</f>
        <v/>
      </c>
      <c r="G66" s="8" t="str">
        <f ca="1"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COUNTIFS(持仓跟踪!$A$2:$A$497,"止损计划",持仓跟踪!$B$2:$B$497,A66,持仓跟踪!$AC$2:$AC$497,"计划有效")=0,"禁止开仓：请先填写止损计划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6" s="2"/>
      <c r="I66" s="15"/>
      <c r="J66" s="10"/>
      <c r="K66" s="10"/>
      <c r="L66" s="8" t="str">
        <f>IF(K66="","",H66)</f>
        <v/>
      </c>
      <c r="M66" s="15"/>
      <c r="N66" s="10"/>
      <c r="O66" s="10"/>
      <c r="P66" s="10"/>
      <c r="Q66" s="2"/>
      <c r="R66" s="2"/>
      <c r="S66" s="2"/>
      <c r="T66" s="2"/>
      <c r="U66" s="7" t="str">
        <f>IF(OR(AO66="",J66="",AO66&lt;=0),"",(J66-AO66)/AO66)</f>
        <v/>
      </c>
      <c r="V66" s="7" t="str">
        <f>IF(OR(AO66="",N66="",AO66&lt;=0),"",(AO66-N66)/AO66)</f>
        <v/>
      </c>
      <c r="W66" s="24" t="str">
        <f>IF(OR(U66="",V66="",V66&lt;=0),"",U66/V66)</f>
        <v/>
      </c>
      <c r="X66" s="5" t="str">
        <f>IF(OR(K66="",L66="",AP66=""),"",K66*L66-(E66*H66+IF(AND(AK66&lt;&gt;"",AL66&lt;&gt;""),AK66*AL66,0)+IF(AND(AM66&lt;&gt;"",AN66&lt;&gt;""),AM66*AN66,0))-IF(O66="",0,O66)-IF(P66="",0,P66))</f>
        <v/>
      </c>
      <c r="Y66" s="7" t="str">
        <f>IF(OR(X66="",AP66=""),"",IF((E66*H66+IF(AND(AK66&lt;&gt;"",AL66&lt;&gt;""),AK66*AL66,0)+IF(AND(AM66&lt;&gt;"",AN66&lt;&gt;""),AM66*AN66,0))+IF(O66="",0,O66)&lt;=0,"",X66/((E66*H66+IF(AND(AK66&lt;&gt;"",AL66&lt;&gt;""),AK66*AL66,0)+IF(AND(AM66&lt;&gt;"",AN66&lt;&gt;""),AM66*AN66,0))+IF(O66="",0,O66))))</f>
        <v/>
      </c>
      <c r="Z66" s="7" t="str">
        <f>IF(OR(AE66="",多次统计数据!$B$8=""),"",AE66-多次统计数据!$B$8)</f>
        <v/>
      </c>
      <c r="AA66" s="11" t="str">
        <f>IF(OR(I66="",M66="",M66&lt;I66),"",M66-I66)</f>
        <v/>
      </c>
      <c r="AB66" s="7" t="str">
        <f>IF(OR(A66="",多次统计数据!$B$8="",多次统计数据!$B$6&lt;=0,多次统计数据!$B$6&gt;=1),"",1-POWER(1+多次统计数据!$B$8,-多次统计数据!$B$6/(1-多次统计数据!$B$6)))</f>
        <v/>
      </c>
      <c r="AC66" s="8" t="str">
        <f>IF(OR(AB66="",多次统计数据!$B$9=""),"",IF(多次统计数据!$B$9&lt;AB66,"低于上限","达到或超过上限"))</f>
        <v/>
      </c>
      <c r="AD66" s="2"/>
      <c r="AE66" s="7" t="str">
        <f>IF(OR(X66="",C66="",C66&lt;=0),"",X66/C66)</f>
        <v/>
      </c>
      <c r="AG66" s="2"/>
      <c r="AH66" s="2"/>
      <c r="AI66" s="2"/>
      <c r="AJ66" s="8" t="str">
        <f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10"/>
      <c r="AL66" s="12"/>
      <c r="AM66" s="10"/>
      <c r="AN66" s="12"/>
      <c r="AO66" s="5" t="str">
        <f>IF(OR(A66="",H66="",H66&lt;=0),"",(E66*H66+IF(AND(AK66&lt;&gt;"",AL66&lt;&gt;""),AK66*AL66,0)+IF(AND(AM66&lt;&gt;"",AN66&lt;&gt;""),AM66*AN66,0))/AP66)</f>
        <v/>
      </c>
      <c r="AP66" s="11" t="str">
        <f>IF(OR(A66="",H66="",H66&lt;=0),"",H66+IF(AL66="",0,AL66)+IF(AN66="",0,AN66))</f>
        <v/>
      </c>
      <c r="AQ66" s="5" t="str">
        <f>IF(A66="","",IF(M66&lt;&gt;"",0,IF(OR(H66="",N66=""),"",MAX(E66-MAX(N66,IFERROR(SUMPRODUCT(MAX(((持仓跟踪!$A$2:$A$497="每日跟踪")*(持仓跟踪!$B$2:$B$497=A66))*持仓跟踪!$S$2:$S$497)),0)),0)*H66+IF(OR(AK66="",AL66=""),0,MAX(AK66-MAX(N66,IFERROR(SUMPRODUCT(MAX(((持仓跟踪!$A$2:$A$497="每日跟踪")*(持仓跟踪!$B$2:$B$497=A66))*持仓跟踪!$S$2:$S$497)),0)),0)*AL66)+IF(OR(AM66="",AN66=""),0,MAX(AM66-MAX(N66,IFERROR(SUMPRODUCT(MAX(((持仓跟踪!$A$2:$A$497="每日跟踪")*(持仓跟踪!$B$2:$B$497=A66))*持仓跟踪!$S$2:$S$497)),0)),0)*AN66))))</f>
        <v/>
      </c>
      <c r="AR66" s="8" t="str">
        <f ca="1">IF(A66="","",IF(OR(E66="",H66=""),"违规：第一批价格或股数缺失",IF(OR(AND(AK66="",AL66&lt;&gt;""),AND(AK66&lt;&gt;"",AL66="")),"违规：第二批价格与股数须成对填写",IF(OR(AND(AM66="",AN66&lt;&gt;""),AND(AM66&lt;&gt;"",AN66="")),"违规：第三批价格与股数须成对填写",IF(AND(OR(AM66&lt;&gt;"",AN66&lt;&gt;""),OR(AK66="",AL66="")),"违规：必须先完成第二批",IF(OR(H66&lt;=0,H66&lt;&gt;INT(H66),MOD(H66,100)&lt;&gt;0,AND(AL66&lt;&gt;"",OR(AL66&lt;=0,AL66&lt;&gt;INT(AL66),MOD(AL66,100)&lt;&gt;0)),AND(AN66&lt;&gt;"",OR(AN66&lt;=0,AN66&lt;&gt;INT(AN66),MOD(AN66,100)&lt;&gt;0))),"违规：股数须为100股整数倍",IF(AND(OR(AL66&lt;&gt;"",AN66&lt;&gt;""),OR(_LockStatus="已锁仓",_LockStatus="解锁信息不完整")),"违规：锁仓期间禁止加仓",IF(AQ66&gt;C66*D66,"违规：超过单笔风险上限",IF(SUM($AQ$2:$AQ$163)&gt;账户数据!$B$7,"违规：超过账户风险上限","通过")))))))))</f>
        <v/>
      </c>
    </row>
    <row r="67" ht="17" spans="1:44">
      <c r="A67" s="2"/>
      <c r="B67" s="2"/>
      <c r="C67" s="10"/>
      <c r="D67" s="6"/>
      <c r="E67" s="10"/>
      <c r="F67" s="8" t="str">
        <f>IF(OR(C67="",D67="",E67="",N67="",C67&lt;=0,D67&lt;=0,E67&lt;=N67),"",ROUNDDOWN((C67*D67)/(E67-N67)/100,0)*100)</f>
        <v/>
      </c>
      <c r="G67" s="8" t="str">
        <f ca="1"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COUNTIFS(持仓跟踪!$A$2:$A$497,"止损计划",持仓跟踪!$B$2:$B$497,A67,持仓跟踪!$AC$2:$AC$497,"计划有效")=0,"禁止开仓：请先填写止损计划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7" s="2"/>
      <c r="I67" s="15"/>
      <c r="J67" s="10"/>
      <c r="K67" s="10"/>
      <c r="L67" s="8" t="str">
        <f>IF(K67="","",H67)</f>
        <v/>
      </c>
      <c r="M67" s="15"/>
      <c r="N67" s="10"/>
      <c r="O67" s="10"/>
      <c r="P67" s="10"/>
      <c r="Q67" s="2"/>
      <c r="R67" s="2"/>
      <c r="S67" s="2"/>
      <c r="T67" s="2"/>
      <c r="U67" s="7" t="str">
        <f>IF(OR(AO67="",J67="",AO67&lt;=0),"",(J67-AO67)/AO67)</f>
        <v/>
      </c>
      <c r="V67" s="7" t="str">
        <f>IF(OR(AO67="",N67="",AO67&lt;=0),"",(AO67-N67)/AO67)</f>
        <v/>
      </c>
      <c r="W67" s="24" t="str">
        <f>IF(OR(U67="",V67="",V67&lt;=0),"",U67/V67)</f>
        <v/>
      </c>
      <c r="X67" s="5" t="str">
        <f>IF(OR(K67="",L67="",AP67=""),"",K67*L67-(E67*H67+IF(AND(AK67&lt;&gt;"",AL67&lt;&gt;""),AK67*AL67,0)+IF(AND(AM67&lt;&gt;"",AN67&lt;&gt;""),AM67*AN67,0))-IF(O67="",0,O67)-IF(P67="",0,P67))</f>
        <v/>
      </c>
      <c r="Y67" s="7" t="str">
        <f>IF(OR(X67="",AP67=""),"",IF((E67*H67+IF(AND(AK67&lt;&gt;"",AL67&lt;&gt;""),AK67*AL67,0)+IF(AND(AM67&lt;&gt;"",AN67&lt;&gt;""),AM67*AN67,0))+IF(O67="",0,O67)&lt;=0,"",X67/((E67*H67+IF(AND(AK67&lt;&gt;"",AL67&lt;&gt;""),AK67*AL67,0)+IF(AND(AM67&lt;&gt;"",AN67&lt;&gt;""),AM67*AN67,0))+IF(O67="",0,O67))))</f>
        <v/>
      </c>
      <c r="Z67" s="7" t="str">
        <f>IF(OR(AE67="",多次统计数据!$B$8=""),"",AE67-多次统计数据!$B$8)</f>
        <v/>
      </c>
      <c r="AA67" s="11" t="str">
        <f>IF(OR(I67="",M67="",M67&lt;I67),"",M67-I67)</f>
        <v/>
      </c>
      <c r="AB67" s="7" t="str">
        <f>IF(OR(A67="",多次统计数据!$B$8="",多次统计数据!$B$6&lt;=0,多次统计数据!$B$6&gt;=1),"",1-POWER(1+多次统计数据!$B$8,-多次统计数据!$B$6/(1-多次统计数据!$B$6)))</f>
        <v/>
      </c>
      <c r="AC67" s="8" t="str">
        <f>IF(OR(AB67="",多次统计数据!$B$9=""),"",IF(多次统计数据!$B$9&lt;AB67,"低于上限","达到或超过上限"))</f>
        <v/>
      </c>
      <c r="AD67" s="2"/>
      <c r="AE67" s="7" t="str">
        <f>IF(OR(X67="",C67="",C67&lt;=0),"",X67/C67)</f>
        <v/>
      </c>
      <c r="AG67" s="2"/>
      <c r="AH67" s="2"/>
      <c r="AI67" s="2"/>
      <c r="AJ67" s="8" t="str">
        <f>IF(OR(AG67="",AH67=""),"",IF(OR(AND(AG67="短期博反弹",OR(AH67="1～3个交易日",AH67="4～10个交易日")),AND(AG67="突破冲新高",OR(AH67="4～10个交易日",AH67="11～20个交易日")),AND(AG67="趋势波段",OR(AH67="11～20个交易日",AH67="21～60个交易日",AH67="60个交易日以上"))),"匹配","周期与交易预期不匹配，请重新确认"))</f>
        <v/>
      </c>
      <c r="AK67" s="10"/>
      <c r="AL67" s="12"/>
      <c r="AM67" s="10"/>
      <c r="AN67" s="12"/>
      <c r="AO67" s="5" t="str">
        <f>IF(OR(A67="",H67="",H67&lt;=0),"",(E67*H67+IF(AND(AK67&lt;&gt;"",AL67&lt;&gt;""),AK67*AL67,0)+IF(AND(AM67&lt;&gt;"",AN67&lt;&gt;""),AM67*AN67,0))/AP67)</f>
        <v/>
      </c>
      <c r="AP67" s="11" t="str">
        <f>IF(OR(A67="",H67="",H67&lt;=0),"",H67+IF(AL67="",0,AL67)+IF(AN67="",0,AN67))</f>
        <v/>
      </c>
      <c r="AQ67" s="5" t="str">
        <f>IF(A67="","",IF(M67&lt;&gt;"",0,IF(OR(H67="",N67=""),"",MAX(E67-MAX(N67,IFERROR(SUMPRODUCT(MAX(((持仓跟踪!$A$2:$A$497="每日跟踪")*(持仓跟踪!$B$2:$B$497=A67))*持仓跟踪!$S$2:$S$497)),0)),0)*H67+IF(OR(AK67="",AL67=""),0,MAX(AK67-MAX(N67,IFERROR(SUMPRODUCT(MAX(((持仓跟踪!$A$2:$A$497="每日跟踪")*(持仓跟踪!$B$2:$B$497=A67))*持仓跟踪!$S$2:$S$497)),0)),0)*AL67)+IF(OR(AM67="",AN67=""),0,MAX(AM67-MAX(N67,IFERROR(SUMPRODUCT(MAX(((持仓跟踪!$A$2:$A$497="每日跟踪")*(持仓跟踪!$B$2:$B$497=A67))*持仓跟踪!$S$2:$S$497)),0)),0)*AN67))))</f>
        <v/>
      </c>
      <c r="AR67" s="8" t="str">
        <f ca="1">IF(A67="","",IF(OR(E67="",H67=""),"违规：第一批价格或股数缺失",IF(OR(AND(AK67="",AL67&lt;&gt;""),AND(AK67&lt;&gt;"",AL67="")),"违规：第二批价格与股数须成对填写",IF(OR(AND(AM67="",AN67&lt;&gt;""),AND(AM67&lt;&gt;"",AN67="")),"违规：第三批价格与股数须成对填写",IF(AND(OR(AM67&lt;&gt;"",AN67&lt;&gt;""),OR(AK67="",AL67="")),"违规：必须先完成第二批",IF(OR(H67&lt;=0,H67&lt;&gt;INT(H67),MOD(H67,100)&lt;&gt;0,AND(AL67&lt;&gt;"",OR(AL67&lt;=0,AL67&lt;&gt;INT(AL67),MOD(AL67,100)&lt;&gt;0)),AND(AN67&lt;&gt;"",OR(AN67&lt;=0,AN67&lt;&gt;INT(AN67),MOD(AN67,100)&lt;&gt;0))),"违规：股数须为100股整数倍",IF(AND(OR(AL67&lt;&gt;"",AN67&lt;&gt;""),OR(_LockStatus="已锁仓",_LockStatus="解锁信息不完整")),"违规：锁仓期间禁止加仓",IF(AQ67&gt;C67*D67,"违规：超过单笔风险上限",IF(SUM($AQ$2:$AQ$163)&gt;账户数据!$B$7,"违规：超过账户风险上限","通过")))))))))</f>
        <v/>
      </c>
    </row>
    <row r="68" ht="17" spans="1:44">
      <c r="A68" s="2"/>
      <c r="B68" s="2"/>
      <c r="C68" s="10"/>
      <c r="D68" s="6"/>
      <c r="E68" s="10"/>
      <c r="F68" s="8" t="str">
        <f>IF(OR(C68="",D68="",E68="",N68="",C68&lt;=0,D68&lt;=0,E68&lt;=N68),"",ROUNDDOWN((C68*D68)/(E68-N68)/100,0)*100)</f>
        <v/>
      </c>
      <c r="G68" s="8" t="str">
        <f ca="1"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COUNTIFS(持仓跟踪!$A$2:$A$497,"止损计划",持仓跟踪!$B$2:$B$497,A68,持仓跟踪!$AC$2:$AC$497,"计划有效")=0,"禁止开仓：请先填写止损计划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8" s="2"/>
      <c r="I68" s="15"/>
      <c r="J68" s="10"/>
      <c r="K68" s="10"/>
      <c r="L68" s="8" t="str">
        <f>IF(K68="","",H68)</f>
        <v/>
      </c>
      <c r="M68" s="15"/>
      <c r="N68" s="10"/>
      <c r="O68" s="10"/>
      <c r="P68" s="10"/>
      <c r="Q68" s="2"/>
      <c r="R68" s="2"/>
      <c r="S68" s="2"/>
      <c r="T68" s="2"/>
      <c r="U68" s="7" t="str">
        <f>IF(OR(AO68="",J68="",AO68&lt;=0),"",(J68-AO68)/AO68)</f>
        <v/>
      </c>
      <c r="V68" s="7" t="str">
        <f>IF(OR(AO68="",N68="",AO68&lt;=0),"",(AO68-N68)/AO68)</f>
        <v/>
      </c>
      <c r="W68" s="24" t="str">
        <f>IF(OR(U68="",V68="",V68&lt;=0),"",U68/V68)</f>
        <v/>
      </c>
      <c r="X68" s="5" t="str">
        <f>IF(OR(K68="",L68="",AP68=""),"",K68*L68-(E68*H68+IF(AND(AK68&lt;&gt;"",AL68&lt;&gt;""),AK68*AL68,0)+IF(AND(AM68&lt;&gt;"",AN68&lt;&gt;""),AM68*AN68,0))-IF(O68="",0,O68)-IF(P68="",0,P68))</f>
        <v/>
      </c>
      <c r="Y68" s="7" t="str">
        <f>IF(OR(X68="",AP68=""),"",IF((E68*H68+IF(AND(AK68&lt;&gt;"",AL68&lt;&gt;""),AK68*AL68,0)+IF(AND(AM68&lt;&gt;"",AN68&lt;&gt;""),AM68*AN68,0))+IF(O68="",0,O68)&lt;=0,"",X68/((E68*H68+IF(AND(AK68&lt;&gt;"",AL68&lt;&gt;""),AK68*AL68,0)+IF(AND(AM68&lt;&gt;"",AN68&lt;&gt;""),AM68*AN68,0))+IF(O68="",0,O68))))</f>
        <v/>
      </c>
      <c r="Z68" s="7" t="str">
        <f>IF(OR(AE68="",多次统计数据!$B$8=""),"",AE68-多次统计数据!$B$8)</f>
        <v/>
      </c>
      <c r="AA68" s="11" t="str">
        <f>IF(OR(I68="",M68="",M68&lt;I68),"",M68-I68)</f>
        <v/>
      </c>
      <c r="AB68" s="7" t="str">
        <f>IF(OR(A68="",多次统计数据!$B$8="",多次统计数据!$B$6&lt;=0,多次统计数据!$B$6&gt;=1),"",1-POWER(1+多次统计数据!$B$8,-多次统计数据!$B$6/(1-多次统计数据!$B$6)))</f>
        <v/>
      </c>
      <c r="AC68" s="8" t="str">
        <f>IF(OR(AB68="",多次统计数据!$B$9=""),"",IF(多次统计数据!$B$9&lt;AB68,"低于上限","达到或超过上限"))</f>
        <v/>
      </c>
      <c r="AD68" s="2"/>
      <c r="AE68" s="7" t="str">
        <f>IF(OR(X68="",C68="",C68&lt;=0),"",X68/C68)</f>
        <v/>
      </c>
      <c r="AG68" s="2"/>
      <c r="AH68" s="2"/>
      <c r="AI68" s="2"/>
      <c r="AJ68" s="8" t="str">
        <f>IF(OR(AG68="",AH68=""),"",IF(OR(AND(AG68="短期博反弹",OR(AH68="1～3个交易日",AH68="4～10个交易日")),AND(AG68="突破冲新高",OR(AH68="4～10个交易日",AH68="11～20个交易日")),AND(AG68="趋势波段",OR(AH68="11～20个交易日",AH68="21～60个交易日",AH68="60个交易日以上"))),"匹配","周期与交易预期不匹配，请重新确认"))</f>
        <v/>
      </c>
      <c r="AK68" s="10"/>
      <c r="AL68" s="12"/>
      <c r="AM68" s="10"/>
      <c r="AN68" s="12"/>
      <c r="AO68" s="5" t="str">
        <f>IF(OR(A68="",H68="",H68&lt;=0),"",(E68*H68+IF(AND(AK68&lt;&gt;"",AL68&lt;&gt;""),AK68*AL68,0)+IF(AND(AM68&lt;&gt;"",AN68&lt;&gt;""),AM68*AN68,0))/AP68)</f>
        <v/>
      </c>
      <c r="AP68" s="11" t="str">
        <f>IF(OR(A68="",H68="",H68&lt;=0),"",H68+IF(AL68="",0,AL68)+IF(AN68="",0,AN68))</f>
        <v/>
      </c>
      <c r="AQ68" s="5" t="str">
        <f>IF(A68="","",IF(M68&lt;&gt;"",0,IF(OR(H68="",N68=""),"",MAX(E68-MAX(N68,IFERROR(SUMPRODUCT(MAX(((持仓跟踪!$A$2:$A$497="每日跟踪")*(持仓跟踪!$B$2:$B$497=A68))*持仓跟踪!$S$2:$S$497)),0)),0)*H68+IF(OR(AK68="",AL68=""),0,MAX(AK68-MAX(N68,IFERROR(SUMPRODUCT(MAX(((持仓跟踪!$A$2:$A$497="每日跟踪")*(持仓跟踪!$B$2:$B$497=A68))*持仓跟踪!$S$2:$S$497)),0)),0)*AL68)+IF(OR(AM68="",AN68=""),0,MAX(AM68-MAX(N68,IFERROR(SUMPRODUCT(MAX(((持仓跟踪!$A$2:$A$497="每日跟踪")*(持仓跟踪!$B$2:$B$497=A68))*持仓跟踪!$S$2:$S$497)),0)),0)*AN68))))</f>
        <v/>
      </c>
      <c r="AR68" s="8" t="str">
        <f ca="1">IF(A68="","",IF(OR(E68="",H68=""),"违规：第一批价格或股数缺失",IF(OR(AND(AK68="",AL68&lt;&gt;""),AND(AK68&lt;&gt;"",AL68="")),"违规：第二批价格与股数须成对填写",IF(OR(AND(AM68="",AN68&lt;&gt;""),AND(AM68&lt;&gt;"",AN68="")),"违规：第三批价格与股数须成对填写",IF(AND(OR(AM68&lt;&gt;"",AN68&lt;&gt;""),OR(AK68="",AL68="")),"违规：必须先完成第二批",IF(OR(H68&lt;=0,H68&lt;&gt;INT(H68),MOD(H68,100)&lt;&gt;0,AND(AL68&lt;&gt;"",OR(AL68&lt;=0,AL68&lt;&gt;INT(AL68),MOD(AL68,100)&lt;&gt;0)),AND(AN68&lt;&gt;"",OR(AN68&lt;=0,AN68&lt;&gt;INT(AN68),MOD(AN68,100)&lt;&gt;0))),"违规：股数须为100股整数倍",IF(AND(OR(AL68&lt;&gt;"",AN68&lt;&gt;""),OR(_LockStatus="已锁仓",_LockStatus="解锁信息不完整")),"违规：锁仓期间禁止加仓",IF(AQ68&gt;C68*D68,"违规：超过单笔风险上限",IF(SUM($AQ$2:$AQ$163)&gt;账户数据!$B$7,"违规：超过账户风险上限","通过")))))))))</f>
        <v/>
      </c>
    </row>
    <row r="69" ht="17" spans="1:44">
      <c r="A69" s="2"/>
      <c r="B69" s="2"/>
      <c r="C69" s="10"/>
      <c r="D69" s="6"/>
      <c r="E69" s="10"/>
      <c r="F69" s="8" t="str">
        <f>IF(OR(C69="",D69="",E69="",N69="",C69&lt;=0,D69&lt;=0,E69&lt;=N69),"",ROUNDDOWN((C69*D69)/(E69-N69)/100,0)*100)</f>
        <v/>
      </c>
      <c r="G69" s="8" t="str">
        <f ca="1"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COUNTIFS(持仓跟踪!$A$2:$A$497,"止损计划",持仓跟踪!$B$2:$B$497,A69,持仓跟踪!$AC$2:$AC$497,"计划有效")=0,"禁止开仓：请先填写止损计划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9" s="2"/>
      <c r="I69" s="15"/>
      <c r="J69" s="10"/>
      <c r="K69" s="10"/>
      <c r="L69" s="8" t="str">
        <f>IF(K69="","",H69)</f>
        <v/>
      </c>
      <c r="M69" s="15"/>
      <c r="N69" s="10"/>
      <c r="O69" s="10"/>
      <c r="P69" s="10"/>
      <c r="Q69" s="2"/>
      <c r="R69" s="2"/>
      <c r="S69" s="2"/>
      <c r="T69" s="2"/>
      <c r="U69" s="7" t="str">
        <f>IF(OR(AO69="",J69="",AO69&lt;=0),"",(J69-AO69)/AO69)</f>
        <v/>
      </c>
      <c r="V69" s="7" t="str">
        <f>IF(OR(AO69="",N69="",AO69&lt;=0),"",(AO69-N69)/AO69)</f>
        <v/>
      </c>
      <c r="W69" s="24" t="str">
        <f>IF(OR(U69="",V69="",V69&lt;=0),"",U69/V69)</f>
        <v/>
      </c>
      <c r="X69" s="5" t="str">
        <f>IF(OR(K69="",L69="",AP69=""),"",K69*L69-(E69*H69+IF(AND(AK69&lt;&gt;"",AL69&lt;&gt;""),AK69*AL69,0)+IF(AND(AM69&lt;&gt;"",AN69&lt;&gt;""),AM69*AN69,0))-IF(O69="",0,O69)-IF(P69="",0,P69))</f>
        <v/>
      </c>
      <c r="Y69" s="7" t="str">
        <f>IF(OR(X69="",AP69=""),"",IF((E69*H69+IF(AND(AK69&lt;&gt;"",AL69&lt;&gt;""),AK69*AL69,0)+IF(AND(AM69&lt;&gt;"",AN69&lt;&gt;""),AM69*AN69,0))+IF(O69="",0,O69)&lt;=0,"",X69/((E69*H69+IF(AND(AK69&lt;&gt;"",AL69&lt;&gt;""),AK69*AL69,0)+IF(AND(AM69&lt;&gt;"",AN69&lt;&gt;""),AM69*AN69,0))+IF(O69="",0,O69))))</f>
        <v/>
      </c>
      <c r="Z69" s="7" t="str">
        <f>IF(OR(AE69="",多次统计数据!$B$8=""),"",AE69-多次统计数据!$B$8)</f>
        <v/>
      </c>
      <c r="AA69" s="11" t="str">
        <f>IF(OR(I69="",M69="",M69&lt;I69),"",M69-I69)</f>
        <v/>
      </c>
      <c r="AB69" s="7" t="str">
        <f>IF(OR(A69="",多次统计数据!$B$8="",多次统计数据!$B$6&lt;=0,多次统计数据!$B$6&gt;=1),"",1-POWER(1+多次统计数据!$B$8,-多次统计数据!$B$6/(1-多次统计数据!$B$6)))</f>
        <v/>
      </c>
      <c r="AC69" s="8" t="str">
        <f>IF(OR(AB69="",多次统计数据!$B$9=""),"",IF(多次统计数据!$B$9&lt;AB69,"低于上限","达到或超过上限"))</f>
        <v/>
      </c>
      <c r="AD69" s="2"/>
      <c r="AE69" s="7" t="str">
        <f>IF(OR(X69="",C69="",C69&lt;=0),"",X69/C69)</f>
        <v/>
      </c>
      <c r="AG69" s="2"/>
      <c r="AH69" s="2"/>
      <c r="AI69" s="2"/>
      <c r="AJ69" s="8" t="str">
        <f>IF(OR(AG69="",AH69=""),"",IF(OR(AND(AG69="短期博反弹",OR(AH69="1～3个交易日",AH69="4～10个交易日")),AND(AG69="突破冲新高",OR(AH69="4～10个交易日",AH69="11～20个交易日")),AND(AG69="趋势波段",OR(AH69="11～20个交易日",AH69="21～60个交易日",AH69="60个交易日以上"))),"匹配","周期与交易预期不匹配，请重新确认"))</f>
        <v/>
      </c>
      <c r="AK69" s="10"/>
      <c r="AL69" s="12"/>
      <c r="AM69" s="10"/>
      <c r="AN69" s="12"/>
      <c r="AO69" s="5" t="str">
        <f>IF(OR(A69="",H69="",H69&lt;=0),"",(E69*H69+IF(AND(AK69&lt;&gt;"",AL69&lt;&gt;""),AK69*AL69,0)+IF(AND(AM69&lt;&gt;"",AN69&lt;&gt;""),AM69*AN69,0))/AP69)</f>
        <v/>
      </c>
      <c r="AP69" s="11" t="str">
        <f>IF(OR(A69="",H69="",H69&lt;=0),"",H69+IF(AL69="",0,AL69)+IF(AN69="",0,AN69))</f>
        <v/>
      </c>
      <c r="AQ69" s="5" t="str">
        <f>IF(A69="","",IF(M69&lt;&gt;"",0,IF(OR(H69="",N69=""),"",MAX(E69-MAX(N69,IFERROR(SUMPRODUCT(MAX(((持仓跟踪!$A$2:$A$497="每日跟踪")*(持仓跟踪!$B$2:$B$497=A69))*持仓跟踪!$S$2:$S$497)),0)),0)*H69+IF(OR(AK69="",AL69=""),0,MAX(AK69-MAX(N69,IFERROR(SUMPRODUCT(MAX(((持仓跟踪!$A$2:$A$497="每日跟踪")*(持仓跟踪!$B$2:$B$497=A69))*持仓跟踪!$S$2:$S$497)),0)),0)*AL69)+IF(OR(AM69="",AN69=""),0,MAX(AM69-MAX(N69,IFERROR(SUMPRODUCT(MAX(((持仓跟踪!$A$2:$A$497="每日跟踪")*(持仓跟踪!$B$2:$B$497=A69))*持仓跟踪!$S$2:$S$497)),0)),0)*AN69))))</f>
        <v/>
      </c>
      <c r="AR69" s="8" t="str">
        <f ca="1">IF(A69="","",IF(OR(E69="",H69=""),"违规：第一批价格或股数缺失",IF(OR(AND(AK69="",AL69&lt;&gt;""),AND(AK69&lt;&gt;"",AL69="")),"违规：第二批价格与股数须成对填写",IF(OR(AND(AM69="",AN69&lt;&gt;""),AND(AM69&lt;&gt;"",AN69="")),"违规：第三批价格与股数须成对填写",IF(AND(OR(AM69&lt;&gt;"",AN69&lt;&gt;""),OR(AK69="",AL69="")),"违规：必须先完成第二批",IF(OR(H69&lt;=0,H69&lt;&gt;INT(H69),MOD(H69,100)&lt;&gt;0,AND(AL69&lt;&gt;"",OR(AL69&lt;=0,AL69&lt;&gt;INT(AL69),MOD(AL69,100)&lt;&gt;0)),AND(AN69&lt;&gt;"",OR(AN69&lt;=0,AN69&lt;&gt;INT(AN69),MOD(AN69,100)&lt;&gt;0))),"违规：股数须为100股整数倍",IF(AND(OR(AL69&lt;&gt;"",AN69&lt;&gt;""),OR(_LockStatus="已锁仓",_LockStatus="解锁信息不完整")),"违规：锁仓期间禁止加仓",IF(AQ69&gt;C69*D69,"违规：超过单笔风险上限",IF(SUM($AQ$2:$AQ$163)&gt;账户数据!$B$7,"违规：超过账户风险上限","通过")))))))))</f>
        <v/>
      </c>
    </row>
    <row r="70" ht="17" spans="1:44">
      <c r="A70" s="2"/>
      <c r="B70" s="2"/>
      <c r="C70" s="10"/>
      <c r="D70" s="6"/>
      <c r="E70" s="10"/>
      <c r="F70" s="8" t="str">
        <f>IF(OR(C70="",D70="",E70="",N70="",C70&lt;=0,D70&lt;=0,E70&lt;=N70),"",ROUNDDOWN((C70*D70)/(E70-N70)/100,0)*100)</f>
        <v/>
      </c>
      <c r="G70" s="8" t="str">
        <f ca="1"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COUNTIFS(持仓跟踪!$A$2:$A$497,"止损计划",持仓跟踪!$B$2:$B$497,A70,持仓跟踪!$AC$2:$AC$497,"计划有效")=0,"禁止开仓：请先填写止损计划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0" s="2"/>
      <c r="I70" s="15"/>
      <c r="J70" s="10"/>
      <c r="K70" s="10"/>
      <c r="L70" s="8" t="str">
        <f>IF(K70="","",H70)</f>
        <v/>
      </c>
      <c r="M70" s="15"/>
      <c r="N70" s="10"/>
      <c r="O70" s="10"/>
      <c r="P70" s="10"/>
      <c r="Q70" s="2"/>
      <c r="R70" s="2"/>
      <c r="S70" s="2"/>
      <c r="T70" s="2"/>
      <c r="U70" s="7" t="str">
        <f>IF(OR(AO70="",J70="",AO70&lt;=0),"",(J70-AO70)/AO70)</f>
        <v/>
      </c>
      <c r="V70" s="7" t="str">
        <f>IF(OR(AO70="",N70="",AO70&lt;=0),"",(AO70-N70)/AO70)</f>
        <v/>
      </c>
      <c r="W70" s="24" t="str">
        <f>IF(OR(U70="",V70="",V70&lt;=0),"",U70/V70)</f>
        <v/>
      </c>
      <c r="X70" s="5" t="str">
        <f>IF(OR(K70="",L70="",AP70=""),"",K70*L70-(E70*H70+IF(AND(AK70&lt;&gt;"",AL70&lt;&gt;""),AK70*AL70,0)+IF(AND(AM70&lt;&gt;"",AN70&lt;&gt;""),AM70*AN70,0))-IF(O70="",0,O70)-IF(P70="",0,P70))</f>
        <v/>
      </c>
      <c r="Y70" s="7" t="str">
        <f>IF(OR(X70="",AP70=""),"",IF((E70*H70+IF(AND(AK70&lt;&gt;"",AL70&lt;&gt;""),AK70*AL70,0)+IF(AND(AM70&lt;&gt;"",AN70&lt;&gt;""),AM70*AN70,0))+IF(O70="",0,O70)&lt;=0,"",X70/((E70*H70+IF(AND(AK70&lt;&gt;"",AL70&lt;&gt;""),AK70*AL70,0)+IF(AND(AM70&lt;&gt;"",AN70&lt;&gt;""),AM70*AN70,0))+IF(O70="",0,O70))))</f>
        <v/>
      </c>
      <c r="Z70" s="7" t="str">
        <f>IF(OR(AE70="",多次统计数据!$B$8=""),"",AE70-多次统计数据!$B$8)</f>
        <v/>
      </c>
      <c r="AA70" s="11" t="str">
        <f>IF(OR(I70="",M70="",M70&lt;I70),"",M70-I70)</f>
        <v/>
      </c>
      <c r="AB70" s="7" t="str">
        <f>IF(OR(A70="",多次统计数据!$B$8="",多次统计数据!$B$6&lt;=0,多次统计数据!$B$6&gt;=1),"",1-POWER(1+多次统计数据!$B$8,-多次统计数据!$B$6/(1-多次统计数据!$B$6)))</f>
        <v/>
      </c>
      <c r="AC70" s="8" t="str">
        <f>IF(OR(AB70="",多次统计数据!$B$9=""),"",IF(多次统计数据!$B$9&lt;AB70,"低于上限","达到或超过上限"))</f>
        <v/>
      </c>
      <c r="AD70" s="2"/>
      <c r="AE70" s="7" t="str">
        <f>IF(OR(X70="",C70="",C70&lt;=0),"",X70/C70)</f>
        <v/>
      </c>
      <c r="AG70" s="2"/>
      <c r="AH70" s="2"/>
      <c r="AI70" s="2"/>
      <c r="AJ70" s="8" t="str">
        <f>IF(OR(AG70="",AH70=""),"",IF(OR(AND(AG70="短期博反弹",OR(AH70="1～3个交易日",AH70="4～10个交易日")),AND(AG70="突破冲新高",OR(AH70="4～10个交易日",AH70="11～20个交易日")),AND(AG70="趋势波段",OR(AH70="11～20个交易日",AH70="21～60个交易日",AH70="60个交易日以上"))),"匹配","周期与交易预期不匹配，请重新确认"))</f>
        <v/>
      </c>
      <c r="AK70" s="10"/>
      <c r="AL70" s="12"/>
      <c r="AM70" s="10"/>
      <c r="AN70" s="12"/>
      <c r="AO70" s="5" t="str">
        <f>IF(OR(A70="",H70="",H70&lt;=0),"",(E70*H70+IF(AND(AK70&lt;&gt;"",AL70&lt;&gt;""),AK70*AL70,0)+IF(AND(AM70&lt;&gt;"",AN70&lt;&gt;""),AM70*AN70,0))/AP70)</f>
        <v/>
      </c>
      <c r="AP70" s="11" t="str">
        <f>IF(OR(A70="",H70="",H70&lt;=0),"",H70+IF(AL70="",0,AL70)+IF(AN70="",0,AN70))</f>
        <v/>
      </c>
      <c r="AQ70" s="5" t="str">
        <f>IF(A70="","",IF(M70&lt;&gt;"",0,IF(OR(H70="",N70=""),"",MAX(E70-MAX(N70,IFERROR(SUMPRODUCT(MAX(((持仓跟踪!$A$2:$A$497="每日跟踪")*(持仓跟踪!$B$2:$B$497=A70))*持仓跟踪!$S$2:$S$497)),0)),0)*H70+IF(OR(AK70="",AL70=""),0,MAX(AK70-MAX(N70,IFERROR(SUMPRODUCT(MAX(((持仓跟踪!$A$2:$A$497="每日跟踪")*(持仓跟踪!$B$2:$B$497=A70))*持仓跟踪!$S$2:$S$497)),0)),0)*AL70)+IF(OR(AM70="",AN70=""),0,MAX(AM70-MAX(N70,IFERROR(SUMPRODUCT(MAX(((持仓跟踪!$A$2:$A$497="每日跟踪")*(持仓跟踪!$B$2:$B$497=A70))*持仓跟踪!$S$2:$S$497)),0)),0)*AN70))))</f>
        <v/>
      </c>
      <c r="AR70" s="8" t="str">
        <f ca="1">IF(A70="","",IF(OR(E70="",H70=""),"违规：第一批价格或股数缺失",IF(OR(AND(AK70="",AL70&lt;&gt;""),AND(AK70&lt;&gt;"",AL70="")),"违规：第二批价格与股数须成对填写",IF(OR(AND(AM70="",AN70&lt;&gt;""),AND(AM70&lt;&gt;"",AN70="")),"违规：第三批价格与股数须成对填写",IF(AND(OR(AM70&lt;&gt;"",AN70&lt;&gt;""),OR(AK70="",AL70="")),"违规：必须先完成第二批",IF(OR(H70&lt;=0,H70&lt;&gt;INT(H70),MOD(H70,100)&lt;&gt;0,AND(AL70&lt;&gt;"",OR(AL70&lt;=0,AL70&lt;&gt;INT(AL70),MOD(AL70,100)&lt;&gt;0)),AND(AN70&lt;&gt;"",OR(AN70&lt;=0,AN70&lt;&gt;INT(AN70),MOD(AN70,100)&lt;&gt;0))),"违规：股数须为100股整数倍",IF(AND(OR(AL70&lt;&gt;"",AN70&lt;&gt;""),OR(_LockStatus="已锁仓",_LockStatus="解锁信息不完整")),"违规：锁仓期间禁止加仓",IF(AQ70&gt;C70*D70,"违规：超过单笔风险上限",IF(SUM($AQ$2:$AQ$163)&gt;账户数据!$B$7,"违规：超过账户风险上限","通过")))))))))</f>
        <v/>
      </c>
    </row>
    <row r="71" ht="17" spans="1:44">
      <c r="A71" s="2"/>
      <c r="B71" s="2"/>
      <c r="C71" s="10"/>
      <c r="D71" s="6"/>
      <c r="E71" s="10"/>
      <c r="F71" s="8" t="str">
        <f>IF(OR(C71="",D71="",E71="",N71="",C71&lt;=0,D71&lt;=0,E71&lt;=N71),"",ROUNDDOWN((C71*D71)/(E71-N71)/100,0)*100)</f>
        <v/>
      </c>
      <c r="G71" s="8" t="str">
        <f ca="1"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COUNTIFS(持仓跟踪!$A$2:$A$497,"止损计划",持仓跟踪!$B$2:$B$497,A71,持仓跟踪!$AC$2:$AC$497,"计划有效")=0,"禁止开仓：请先填写止损计划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1" s="2"/>
      <c r="I71" s="15"/>
      <c r="J71" s="10"/>
      <c r="K71" s="10"/>
      <c r="L71" s="8" t="str">
        <f>IF(K71="","",H71)</f>
        <v/>
      </c>
      <c r="M71" s="15"/>
      <c r="N71" s="10"/>
      <c r="O71" s="10"/>
      <c r="P71" s="10"/>
      <c r="Q71" s="2"/>
      <c r="R71" s="2"/>
      <c r="S71" s="2"/>
      <c r="T71" s="2"/>
      <c r="U71" s="7" t="str">
        <f>IF(OR(AO71="",J71="",AO71&lt;=0),"",(J71-AO71)/AO71)</f>
        <v/>
      </c>
      <c r="V71" s="7" t="str">
        <f>IF(OR(AO71="",N71="",AO71&lt;=0),"",(AO71-N71)/AO71)</f>
        <v/>
      </c>
      <c r="W71" s="24" t="str">
        <f>IF(OR(U71="",V71="",V71&lt;=0),"",U71/V71)</f>
        <v/>
      </c>
      <c r="X71" s="5" t="str">
        <f>IF(OR(K71="",L71="",AP71=""),"",K71*L71-(E71*H71+IF(AND(AK71&lt;&gt;"",AL71&lt;&gt;""),AK71*AL71,0)+IF(AND(AM71&lt;&gt;"",AN71&lt;&gt;""),AM71*AN71,0))-IF(O71="",0,O71)-IF(P71="",0,P71))</f>
        <v/>
      </c>
      <c r="Y71" s="7" t="str">
        <f>IF(OR(X71="",AP71=""),"",IF((E71*H71+IF(AND(AK71&lt;&gt;"",AL71&lt;&gt;""),AK71*AL71,0)+IF(AND(AM71&lt;&gt;"",AN71&lt;&gt;""),AM71*AN71,0))+IF(O71="",0,O71)&lt;=0,"",X71/((E71*H71+IF(AND(AK71&lt;&gt;"",AL71&lt;&gt;""),AK71*AL71,0)+IF(AND(AM71&lt;&gt;"",AN71&lt;&gt;""),AM71*AN71,0))+IF(O71="",0,O71))))</f>
        <v/>
      </c>
      <c r="Z71" s="7" t="str">
        <f>IF(OR(AE71="",多次统计数据!$B$8=""),"",AE71-多次统计数据!$B$8)</f>
        <v/>
      </c>
      <c r="AA71" s="11" t="str">
        <f>IF(OR(I71="",M71="",M71&lt;I71),"",M71-I71)</f>
        <v/>
      </c>
      <c r="AB71" s="7" t="str">
        <f>IF(OR(A71="",多次统计数据!$B$8="",多次统计数据!$B$6&lt;=0,多次统计数据!$B$6&gt;=1),"",1-POWER(1+多次统计数据!$B$8,-多次统计数据!$B$6/(1-多次统计数据!$B$6)))</f>
        <v/>
      </c>
      <c r="AC71" s="8" t="str">
        <f>IF(OR(AB71="",多次统计数据!$B$9=""),"",IF(多次统计数据!$B$9&lt;AB71,"低于上限","达到或超过上限"))</f>
        <v/>
      </c>
      <c r="AD71" s="2"/>
      <c r="AE71" s="7" t="str">
        <f>IF(OR(X71="",C71="",C71&lt;=0),"",X71/C71)</f>
        <v/>
      </c>
      <c r="AG71" s="2"/>
      <c r="AH71" s="2"/>
      <c r="AI71" s="2"/>
      <c r="AJ71" s="8" t="str">
        <f>IF(OR(AG71="",AH71=""),"",IF(OR(AND(AG71="短期博反弹",OR(AH71="1～3个交易日",AH71="4～10个交易日")),AND(AG71="突破冲新高",OR(AH71="4～10个交易日",AH71="11～20个交易日")),AND(AG71="趋势波段",OR(AH71="11～20个交易日",AH71="21～60个交易日",AH71="60个交易日以上"))),"匹配","周期与交易预期不匹配，请重新确认"))</f>
        <v/>
      </c>
      <c r="AK71" s="10"/>
      <c r="AL71" s="12"/>
      <c r="AM71" s="10"/>
      <c r="AN71" s="12"/>
      <c r="AO71" s="5" t="str">
        <f>IF(OR(A71="",H71="",H71&lt;=0),"",(E71*H71+IF(AND(AK71&lt;&gt;"",AL71&lt;&gt;""),AK71*AL71,0)+IF(AND(AM71&lt;&gt;"",AN71&lt;&gt;""),AM71*AN71,0))/AP71)</f>
        <v/>
      </c>
      <c r="AP71" s="11" t="str">
        <f>IF(OR(A71="",H71="",H71&lt;=0),"",H71+IF(AL71="",0,AL71)+IF(AN71="",0,AN71))</f>
        <v/>
      </c>
      <c r="AQ71" s="5" t="str">
        <f>IF(A71="","",IF(M71&lt;&gt;"",0,IF(OR(H71="",N71=""),"",MAX(E71-MAX(N71,IFERROR(SUMPRODUCT(MAX(((持仓跟踪!$A$2:$A$497="每日跟踪")*(持仓跟踪!$B$2:$B$497=A71))*持仓跟踪!$S$2:$S$497)),0)),0)*H71+IF(OR(AK71="",AL71=""),0,MAX(AK71-MAX(N71,IFERROR(SUMPRODUCT(MAX(((持仓跟踪!$A$2:$A$497="每日跟踪")*(持仓跟踪!$B$2:$B$497=A71))*持仓跟踪!$S$2:$S$497)),0)),0)*AL71)+IF(OR(AM71="",AN71=""),0,MAX(AM71-MAX(N71,IFERROR(SUMPRODUCT(MAX(((持仓跟踪!$A$2:$A$497="每日跟踪")*(持仓跟踪!$B$2:$B$497=A71))*持仓跟踪!$S$2:$S$497)),0)),0)*AN71))))</f>
        <v/>
      </c>
      <c r="AR71" s="8" t="str">
        <f ca="1">IF(A71="","",IF(OR(E71="",H71=""),"违规：第一批价格或股数缺失",IF(OR(AND(AK71="",AL71&lt;&gt;""),AND(AK71&lt;&gt;"",AL71="")),"违规：第二批价格与股数须成对填写",IF(OR(AND(AM71="",AN71&lt;&gt;""),AND(AM71&lt;&gt;"",AN71="")),"违规：第三批价格与股数须成对填写",IF(AND(OR(AM71&lt;&gt;"",AN71&lt;&gt;""),OR(AK71="",AL71="")),"违规：必须先完成第二批",IF(OR(H71&lt;=0,H71&lt;&gt;INT(H71),MOD(H71,100)&lt;&gt;0,AND(AL71&lt;&gt;"",OR(AL71&lt;=0,AL71&lt;&gt;INT(AL71),MOD(AL71,100)&lt;&gt;0)),AND(AN71&lt;&gt;"",OR(AN71&lt;=0,AN71&lt;&gt;INT(AN71),MOD(AN71,100)&lt;&gt;0))),"违规：股数须为100股整数倍",IF(AND(OR(AL71&lt;&gt;"",AN71&lt;&gt;""),OR(_LockStatus="已锁仓",_LockStatus="解锁信息不完整")),"违规：锁仓期间禁止加仓",IF(AQ71&gt;C71*D71,"违规：超过单笔风险上限",IF(SUM($AQ$2:$AQ$163)&gt;账户数据!$B$7,"违规：超过账户风险上限","通过")))))))))</f>
        <v/>
      </c>
    </row>
    <row r="72" ht="17" spans="1:44">
      <c r="A72" s="2"/>
      <c r="B72" s="2"/>
      <c r="C72" s="10"/>
      <c r="D72" s="6"/>
      <c r="E72" s="10"/>
      <c r="F72" s="8" t="str">
        <f>IF(OR(C72="",D72="",E72="",N72="",C72&lt;=0,D72&lt;=0,E72&lt;=N72),"",ROUNDDOWN((C72*D72)/(E72-N72)/100,0)*100)</f>
        <v/>
      </c>
      <c r="G72" s="8" t="str">
        <f ca="1"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COUNTIFS(持仓跟踪!$A$2:$A$497,"止损计划",持仓跟踪!$B$2:$B$497,A72,持仓跟踪!$AC$2:$AC$497,"计划有效")=0,"禁止开仓：请先填写止损计划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2" s="2"/>
      <c r="I72" s="15"/>
      <c r="J72" s="10"/>
      <c r="K72" s="10"/>
      <c r="L72" s="8" t="str">
        <f>IF(K72="","",H72)</f>
        <v/>
      </c>
      <c r="M72" s="15"/>
      <c r="N72" s="10"/>
      <c r="O72" s="10"/>
      <c r="P72" s="10"/>
      <c r="Q72" s="2"/>
      <c r="R72" s="2"/>
      <c r="S72" s="2"/>
      <c r="T72" s="2"/>
      <c r="U72" s="7" t="str">
        <f>IF(OR(AO72="",J72="",AO72&lt;=0),"",(J72-AO72)/AO72)</f>
        <v/>
      </c>
      <c r="V72" s="7" t="str">
        <f>IF(OR(AO72="",N72="",AO72&lt;=0),"",(AO72-N72)/AO72)</f>
        <v/>
      </c>
      <c r="W72" s="24" t="str">
        <f>IF(OR(U72="",V72="",V72&lt;=0),"",U72/V72)</f>
        <v/>
      </c>
      <c r="X72" s="5" t="str">
        <f>IF(OR(K72="",L72="",AP72=""),"",K72*L72-(E72*H72+IF(AND(AK72&lt;&gt;"",AL72&lt;&gt;""),AK72*AL72,0)+IF(AND(AM72&lt;&gt;"",AN72&lt;&gt;""),AM72*AN72,0))-IF(O72="",0,O72)-IF(P72="",0,P72))</f>
        <v/>
      </c>
      <c r="Y72" s="7" t="str">
        <f>IF(OR(X72="",AP72=""),"",IF((E72*H72+IF(AND(AK72&lt;&gt;"",AL72&lt;&gt;""),AK72*AL72,0)+IF(AND(AM72&lt;&gt;"",AN72&lt;&gt;""),AM72*AN72,0))+IF(O72="",0,O72)&lt;=0,"",X72/((E72*H72+IF(AND(AK72&lt;&gt;"",AL72&lt;&gt;""),AK72*AL72,0)+IF(AND(AM72&lt;&gt;"",AN72&lt;&gt;""),AM72*AN72,0))+IF(O72="",0,O72))))</f>
        <v/>
      </c>
      <c r="Z72" s="7" t="str">
        <f>IF(OR(AE72="",多次统计数据!$B$8=""),"",AE72-多次统计数据!$B$8)</f>
        <v/>
      </c>
      <c r="AA72" s="11" t="str">
        <f>IF(OR(I72="",M72="",M72&lt;I72),"",M72-I72)</f>
        <v/>
      </c>
      <c r="AB72" s="7" t="str">
        <f>IF(OR(A72="",多次统计数据!$B$8="",多次统计数据!$B$6&lt;=0,多次统计数据!$B$6&gt;=1),"",1-POWER(1+多次统计数据!$B$8,-多次统计数据!$B$6/(1-多次统计数据!$B$6)))</f>
        <v/>
      </c>
      <c r="AC72" s="8" t="str">
        <f>IF(OR(AB72="",多次统计数据!$B$9=""),"",IF(多次统计数据!$B$9&lt;AB72,"低于上限","达到或超过上限"))</f>
        <v/>
      </c>
      <c r="AD72" s="2"/>
      <c r="AE72" s="7" t="str">
        <f>IF(OR(X72="",C72="",C72&lt;=0),"",X72/C72)</f>
        <v/>
      </c>
      <c r="AG72" s="2"/>
      <c r="AH72" s="2"/>
      <c r="AI72" s="2"/>
      <c r="AJ72" s="8" t="str">
        <f>IF(OR(AG72="",AH72=""),"",IF(OR(AND(AG72="短期博反弹",OR(AH72="1～3个交易日",AH72="4～10个交易日")),AND(AG72="突破冲新高",OR(AH72="4～10个交易日",AH72="11～20个交易日")),AND(AG72="趋势波段",OR(AH72="11～20个交易日",AH72="21～60个交易日",AH72="60个交易日以上"))),"匹配","周期与交易预期不匹配，请重新确认"))</f>
        <v/>
      </c>
      <c r="AK72" s="10"/>
      <c r="AL72" s="12"/>
      <c r="AM72" s="10"/>
      <c r="AN72" s="12"/>
      <c r="AO72" s="5" t="str">
        <f>IF(OR(A72="",H72="",H72&lt;=0),"",(E72*H72+IF(AND(AK72&lt;&gt;"",AL72&lt;&gt;""),AK72*AL72,0)+IF(AND(AM72&lt;&gt;"",AN72&lt;&gt;""),AM72*AN72,0))/AP72)</f>
        <v/>
      </c>
      <c r="AP72" s="11" t="str">
        <f>IF(OR(A72="",H72="",H72&lt;=0),"",H72+IF(AL72="",0,AL72)+IF(AN72="",0,AN72))</f>
        <v/>
      </c>
      <c r="AQ72" s="5" t="str">
        <f>IF(A72="","",IF(M72&lt;&gt;"",0,IF(OR(H72="",N72=""),"",MAX(E72-MAX(N72,IFERROR(SUMPRODUCT(MAX(((持仓跟踪!$A$2:$A$497="每日跟踪")*(持仓跟踪!$B$2:$B$497=A72))*持仓跟踪!$S$2:$S$497)),0)),0)*H72+IF(OR(AK72="",AL72=""),0,MAX(AK72-MAX(N72,IFERROR(SUMPRODUCT(MAX(((持仓跟踪!$A$2:$A$497="每日跟踪")*(持仓跟踪!$B$2:$B$497=A72))*持仓跟踪!$S$2:$S$497)),0)),0)*AL72)+IF(OR(AM72="",AN72=""),0,MAX(AM72-MAX(N72,IFERROR(SUMPRODUCT(MAX(((持仓跟踪!$A$2:$A$497="每日跟踪")*(持仓跟踪!$B$2:$B$497=A72))*持仓跟踪!$S$2:$S$497)),0)),0)*AN72))))</f>
        <v/>
      </c>
      <c r="AR72" s="8" t="str">
        <f ca="1">IF(A72="","",IF(OR(E72="",H72=""),"违规：第一批价格或股数缺失",IF(OR(AND(AK72="",AL72&lt;&gt;""),AND(AK72&lt;&gt;"",AL72="")),"违规：第二批价格与股数须成对填写",IF(OR(AND(AM72="",AN72&lt;&gt;""),AND(AM72&lt;&gt;"",AN72="")),"违规：第三批价格与股数须成对填写",IF(AND(OR(AM72&lt;&gt;"",AN72&lt;&gt;""),OR(AK72="",AL72="")),"违规：必须先完成第二批",IF(OR(H72&lt;=0,H72&lt;&gt;INT(H72),MOD(H72,100)&lt;&gt;0,AND(AL72&lt;&gt;"",OR(AL72&lt;=0,AL72&lt;&gt;INT(AL72),MOD(AL72,100)&lt;&gt;0)),AND(AN72&lt;&gt;"",OR(AN72&lt;=0,AN72&lt;&gt;INT(AN72),MOD(AN72,100)&lt;&gt;0))),"违规：股数须为100股整数倍",IF(AND(OR(AL72&lt;&gt;"",AN72&lt;&gt;""),OR(_LockStatus="已锁仓",_LockStatus="解锁信息不完整")),"违规：锁仓期间禁止加仓",IF(AQ72&gt;C72*D72,"违规：超过单笔风险上限",IF(SUM($AQ$2:$AQ$163)&gt;账户数据!$B$7,"违规：超过账户风险上限","通过")))))))))</f>
        <v/>
      </c>
    </row>
    <row r="73" ht="17" spans="1:44">
      <c r="A73" s="2"/>
      <c r="B73" s="13"/>
      <c r="C73" s="10"/>
      <c r="D73" s="6"/>
      <c r="E73" s="10"/>
      <c r="F73" s="8" t="str">
        <f>IF(OR(C73="",D73="",E73="",N73="",C73&lt;=0,D73&lt;=0,E73&lt;=N73),"",ROUNDDOWN((C73*D73)/(E73-N73)/100,0)*100)</f>
        <v/>
      </c>
      <c r="G73" s="8" t="str">
        <f ca="1"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COUNTIFS(持仓跟踪!$A$2:$A$497,"止损计划",持仓跟踪!$B$2:$B$497,A73,持仓跟踪!$AC$2:$AC$497,"计划有效")=0,"禁止开仓：请先填写止损计划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3" s="2"/>
      <c r="I73" s="15"/>
      <c r="J73" s="10"/>
      <c r="K73" s="10"/>
      <c r="L73" s="8" t="str">
        <f>IF(K73="","",H73)</f>
        <v/>
      </c>
      <c r="M73" s="15"/>
      <c r="N73" s="10"/>
      <c r="O73" s="10"/>
      <c r="P73" s="10"/>
      <c r="Q73" s="2"/>
      <c r="R73" s="2"/>
      <c r="S73" s="2"/>
      <c r="T73" s="2"/>
      <c r="U73" s="7" t="str">
        <f>IF(OR(AO73="",J73="",AO73&lt;=0),"",(J73-AO73)/AO73)</f>
        <v/>
      </c>
      <c r="V73" s="7" t="str">
        <f>IF(OR(AO73="",N73="",AO73&lt;=0),"",(AO73-N73)/AO73)</f>
        <v/>
      </c>
      <c r="W73" s="24" t="str">
        <f>IF(OR(U73="",V73="",V73&lt;=0),"",U73/V73)</f>
        <v/>
      </c>
      <c r="X73" s="5" t="str">
        <f>IF(OR(K73="",L73="",AP73=""),"",K73*L73-(E73*H73+IF(AND(AK73&lt;&gt;"",AL73&lt;&gt;""),AK73*AL73,0)+IF(AND(AM73&lt;&gt;"",AN73&lt;&gt;""),AM73*AN73,0))-IF(O73="",0,O73)-IF(P73="",0,P73))</f>
        <v/>
      </c>
      <c r="Y73" s="7" t="str">
        <f>IF(OR(X73="",AP73=""),"",IF((E73*H73+IF(AND(AK73&lt;&gt;"",AL73&lt;&gt;""),AK73*AL73,0)+IF(AND(AM73&lt;&gt;"",AN73&lt;&gt;""),AM73*AN73,0))+IF(O73="",0,O73)&lt;=0,"",X73/((E73*H73+IF(AND(AK73&lt;&gt;"",AL73&lt;&gt;""),AK73*AL73,0)+IF(AND(AM73&lt;&gt;"",AN73&lt;&gt;""),AM73*AN73,0))+IF(O73="",0,O73))))</f>
        <v/>
      </c>
      <c r="Z73" s="7" t="str">
        <f>IF(OR(AE73="",多次统计数据!$B$8=""),"",AE73-多次统计数据!$B$8)</f>
        <v/>
      </c>
      <c r="AA73" s="11" t="str">
        <f>IF(OR(I73="",M73="",M73&lt;I73),"",M73-I73)</f>
        <v/>
      </c>
      <c r="AB73" s="7" t="str">
        <f>IF(OR(A73="",多次统计数据!$B$8="",多次统计数据!$B$6&lt;=0,多次统计数据!$B$6&gt;=1),"",1-POWER(1+多次统计数据!$B$8,-多次统计数据!$B$6/(1-多次统计数据!$B$6)))</f>
        <v/>
      </c>
      <c r="AC73" s="8" t="str">
        <f>IF(OR(AB73="",多次统计数据!$B$9=""),"",IF(多次统计数据!$B$9&lt;AB73,"低于上限","达到或超过上限"))</f>
        <v/>
      </c>
      <c r="AD73" s="2"/>
      <c r="AE73" s="7" t="str">
        <f>IF(OR(X73="",C73="",C73&lt;=0),"",X73/C73)</f>
        <v/>
      </c>
      <c r="AF73" s="16"/>
      <c r="AG73" s="2"/>
      <c r="AH73" s="2"/>
      <c r="AI73" s="2"/>
      <c r="AJ73" s="8" t="str">
        <f>IF(OR(AG73="",AH73=""),"",IF(OR(AND(AG73="短期博反弹",OR(AH73="1～3个交易日",AH73="4～10个交易日")),AND(AG73="突破冲新高",OR(AH73="4～10个交易日",AH73="11～20个交易日")),AND(AG73="趋势波段",OR(AH73="11～20个交易日",AH73="21～60个交易日",AH73="60个交易日以上"))),"匹配","周期与交易预期不匹配，请重新确认"))</f>
        <v/>
      </c>
      <c r="AK73" s="10"/>
      <c r="AL73" s="12"/>
      <c r="AM73" s="10"/>
      <c r="AN73" s="12"/>
      <c r="AO73" s="5" t="str">
        <f>IF(OR(A73="",H73="",H73&lt;=0),"",(E73*H73+IF(AND(AK73&lt;&gt;"",AL73&lt;&gt;""),AK73*AL73,0)+IF(AND(AM73&lt;&gt;"",AN73&lt;&gt;""),AM73*AN73,0))/AP73)</f>
        <v/>
      </c>
      <c r="AP73" s="11" t="str">
        <f>IF(OR(A73="",H73="",H73&lt;=0),"",H73+IF(AL73="",0,AL73)+IF(AN73="",0,AN73))</f>
        <v/>
      </c>
      <c r="AQ73" s="5" t="str">
        <f>IF(A73="","",IF(M73&lt;&gt;"",0,IF(OR(H73="",N73=""),"",MAX(E73-MAX(N73,IFERROR(SUMPRODUCT(MAX(((持仓跟踪!$A$2:$A$497="每日跟踪")*(持仓跟踪!$B$2:$B$497=A73))*持仓跟踪!$S$2:$S$497)),0)),0)*H73+IF(OR(AK73="",AL73=""),0,MAX(AK73-MAX(N73,IFERROR(SUMPRODUCT(MAX(((持仓跟踪!$A$2:$A$497="每日跟踪")*(持仓跟踪!$B$2:$B$497=A73))*持仓跟踪!$S$2:$S$497)),0)),0)*AL73)+IF(OR(AM73="",AN73=""),0,MAX(AM73-MAX(N73,IFERROR(SUMPRODUCT(MAX(((持仓跟踪!$A$2:$A$497="每日跟踪")*(持仓跟踪!$B$2:$B$497=A73))*持仓跟踪!$S$2:$S$497)),0)),0)*AN73))))</f>
        <v/>
      </c>
      <c r="AR73" s="8" t="str">
        <f ca="1">IF(A73="","",IF(OR(E73="",H73=""),"违规：第一批价格或股数缺失",IF(OR(AND(AK73="",AL73&lt;&gt;""),AND(AK73&lt;&gt;"",AL73="")),"违规：第二批价格与股数须成对填写",IF(OR(AND(AM73="",AN73&lt;&gt;""),AND(AM73&lt;&gt;"",AN73="")),"违规：第三批价格与股数须成对填写",IF(AND(OR(AM73&lt;&gt;"",AN73&lt;&gt;""),OR(AK73="",AL73="")),"违规：必须先完成第二批",IF(OR(H73&lt;=0,H73&lt;&gt;INT(H73),MOD(H73,100)&lt;&gt;0,AND(AL73&lt;&gt;"",OR(AL73&lt;=0,AL73&lt;&gt;INT(AL73),MOD(AL73,100)&lt;&gt;0)),AND(AN73&lt;&gt;"",OR(AN73&lt;=0,AN73&lt;&gt;INT(AN73),MOD(AN73,100)&lt;&gt;0))),"违规：股数须为100股整数倍",IF(AND(OR(AL73&lt;&gt;"",AN73&lt;&gt;""),OR(_LockStatus="已锁仓",_LockStatus="解锁信息不完整")),"违规：锁仓期间禁止加仓",IF(AQ73&gt;C73*D73,"违规：超过单笔风险上限",IF(SUM($AQ$2:$AQ$163)&gt;账户数据!$B$7,"违规：超过账户风险上限","通过")))))))))</f>
        <v/>
      </c>
    </row>
    <row r="74" ht="17" spans="1:44">
      <c r="A74" s="2"/>
      <c r="B74" s="13"/>
      <c r="C74" s="10"/>
      <c r="D74" s="6"/>
      <c r="E74" s="10"/>
      <c r="F74" s="8" t="str">
        <f>IF(OR(C74="",D74="",E74="",N74="",C74&lt;=0,D74&lt;=0,E74&lt;=N74),"",ROUNDDOWN((C74*D74)/(E74-N74)/100,0)*100)</f>
        <v/>
      </c>
      <c r="G74" s="8" t="str">
        <f ca="1"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COUNTIFS(持仓跟踪!$A$2:$A$497,"止损计划",持仓跟踪!$B$2:$B$497,A74,持仓跟踪!$AC$2:$AC$497,"计划有效")=0,"禁止开仓：请先填写止损计划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4" s="2"/>
      <c r="I74" s="15"/>
      <c r="J74" s="10"/>
      <c r="K74" s="10"/>
      <c r="L74" s="8" t="str">
        <f>IF(K74="","",H74)</f>
        <v/>
      </c>
      <c r="M74" s="15"/>
      <c r="N74" s="10"/>
      <c r="O74" s="10"/>
      <c r="P74" s="10"/>
      <c r="Q74" s="2"/>
      <c r="R74" s="2"/>
      <c r="S74" s="2"/>
      <c r="T74" s="2"/>
      <c r="U74" s="7" t="str">
        <f>IF(OR(AO74="",J74="",AO74&lt;=0),"",(J74-AO74)/AO74)</f>
        <v/>
      </c>
      <c r="V74" s="7" t="str">
        <f>IF(OR(AO74="",N74="",AO74&lt;=0),"",(AO74-N74)/AO74)</f>
        <v/>
      </c>
      <c r="W74" s="24" t="str">
        <f>IF(OR(U74="",V74="",V74&lt;=0),"",U74/V74)</f>
        <v/>
      </c>
      <c r="X74" s="5" t="str">
        <f>IF(OR(K74="",L74="",AP74=""),"",K74*L74-(E74*H74+IF(AND(AK74&lt;&gt;"",AL74&lt;&gt;""),AK74*AL74,0)+IF(AND(AM74&lt;&gt;"",AN74&lt;&gt;""),AM74*AN74,0))-IF(O74="",0,O74)-IF(P74="",0,P74))</f>
        <v/>
      </c>
      <c r="Y74" s="7" t="str">
        <f>IF(OR(X74="",AP74=""),"",IF((E74*H74+IF(AND(AK74&lt;&gt;"",AL74&lt;&gt;""),AK74*AL74,0)+IF(AND(AM74&lt;&gt;"",AN74&lt;&gt;""),AM74*AN74,0))+IF(O74="",0,O74)&lt;=0,"",X74/((E74*H74+IF(AND(AK74&lt;&gt;"",AL74&lt;&gt;""),AK74*AL74,0)+IF(AND(AM74&lt;&gt;"",AN74&lt;&gt;""),AM74*AN74,0))+IF(O74="",0,O74))))</f>
        <v/>
      </c>
      <c r="Z74" s="7" t="str">
        <f>IF(OR(AE74="",多次统计数据!$B$8=""),"",AE74-多次统计数据!$B$8)</f>
        <v/>
      </c>
      <c r="AA74" s="11" t="str">
        <f>IF(OR(I74="",M74="",M74&lt;I74),"",M74-I74)</f>
        <v/>
      </c>
      <c r="AB74" s="7" t="str">
        <f>IF(OR(A74="",多次统计数据!$B$8="",多次统计数据!$B$6&lt;=0,多次统计数据!$B$6&gt;=1),"",1-POWER(1+多次统计数据!$B$8,-多次统计数据!$B$6/(1-多次统计数据!$B$6)))</f>
        <v/>
      </c>
      <c r="AC74" s="8" t="str">
        <f>IF(OR(AB74="",多次统计数据!$B$9=""),"",IF(多次统计数据!$B$9&lt;AB74,"低于上限","达到或超过上限"))</f>
        <v/>
      </c>
      <c r="AD74" s="2"/>
      <c r="AE74" s="7" t="str">
        <f>IF(OR(X74="",C74="",C74&lt;=0),"",X74/C74)</f>
        <v/>
      </c>
      <c r="AF74" s="16"/>
      <c r="AG74" s="2"/>
      <c r="AH74" s="2"/>
      <c r="AI74" s="2"/>
      <c r="AJ74" s="8" t="str">
        <f>IF(OR(AG74="",AH74=""),"",IF(OR(AND(AG74="短期博反弹",OR(AH74="1～3个交易日",AH74="4～10个交易日")),AND(AG74="突破冲新高",OR(AH74="4～10个交易日",AH74="11～20个交易日")),AND(AG74="趋势波段",OR(AH74="11～20个交易日",AH74="21～60个交易日",AH74="60个交易日以上"))),"匹配","周期与交易预期不匹配，请重新确认"))</f>
        <v/>
      </c>
      <c r="AK74" s="10"/>
      <c r="AL74" s="12"/>
      <c r="AM74" s="10"/>
      <c r="AN74" s="12"/>
      <c r="AO74" s="5" t="str">
        <f>IF(OR(A74="",H74="",H74&lt;=0),"",(E74*H74+IF(AND(AK74&lt;&gt;"",AL74&lt;&gt;""),AK74*AL74,0)+IF(AND(AM74&lt;&gt;"",AN74&lt;&gt;""),AM74*AN74,0))/AP74)</f>
        <v/>
      </c>
      <c r="AP74" s="11" t="str">
        <f>IF(OR(A74="",H74="",H74&lt;=0),"",H74+IF(AL74="",0,AL74)+IF(AN74="",0,AN74))</f>
        <v/>
      </c>
      <c r="AQ74" s="5" t="str">
        <f>IF(A74="","",IF(M74&lt;&gt;"",0,IF(OR(H74="",N74=""),"",MAX(E74-MAX(N74,IFERROR(SUMPRODUCT(MAX(((持仓跟踪!$A$2:$A$497="每日跟踪")*(持仓跟踪!$B$2:$B$497=A74))*持仓跟踪!$S$2:$S$497)),0)),0)*H74+IF(OR(AK74="",AL74=""),0,MAX(AK74-MAX(N74,IFERROR(SUMPRODUCT(MAX(((持仓跟踪!$A$2:$A$497="每日跟踪")*(持仓跟踪!$B$2:$B$497=A74))*持仓跟踪!$S$2:$S$497)),0)),0)*AL74)+IF(OR(AM74="",AN74=""),0,MAX(AM74-MAX(N74,IFERROR(SUMPRODUCT(MAX(((持仓跟踪!$A$2:$A$497="每日跟踪")*(持仓跟踪!$B$2:$B$497=A74))*持仓跟踪!$S$2:$S$497)),0)),0)*AN74))))</f>
        <v/>
      </c>
      <c r="AR74" s="8" t="str">
        <f ca="1">IF(A74="","",IF(OR(E74="",H74=""),"违规：第一批价格或股数缺失",IF(OR(AND(AK74="",AL74&lt;&gt;""),AND(AK74&lt;&gt;"",AL74="")),"违规：第二批价格与股数须成对填写",IF(OR(AND(AM74="",AN74&lt;&gt;""),AND(AM74&lt;&gt;"",AN74="")),"违规：第三批价格与股数须成对填写",IF(AND(OR(AM74&lt;&gt;"",AN74&lt;&gt;""),OR(AK74="",AL74="")),"违规：必须先完成第二批",IF(OR(H74&lt;=0,H74&lt;&gt;INT(H74),MOD(H74,100)&lt;&gt;0,AND(AL74&lt;&gt;"",OR(AL74&lt;=0,AL74&lt;&gt;INT(AL74),MOD(AL74,100)&lt;&gt;0)),AND(AN74&lt;&gt;"",OR(AN74&lt;=0,AN74&lt;&gt;INT(AN74),MOD(AN74,100)&lt;&gt;0))),"违规：股数须为100股整数倍",IF(AND(OR(AL74&lt;&gt;"",AN74&lt;&gt;""),OR(_LockStatus="已锁仓",_LockStatus="解锁信息不完整")),"违规：锁仓期间禁止加仓",IF(AQ74&gt;C74*D74,"违规：超过单笔风险上限",IF(SUM($AQ$2:$AQ$163)&gt;账户数据!$B$7,"违规：超过账户风险上限","通过")))))))))</f>
        <v/>
      </c>
    </row>
    <row r="75" ht="17" spans="1:44">
      <c r="A75" s="2"/>
      <c r="B75" s="13"/>
      <c r="C75" s="10"/>
      <c r="D75" s="6"/>
      <c r="E75" s="10"/>
      <c r="F75" s="8" t="str">
        <f>IF(OR(C75="",D75="",E75="",N75="",C75&lt;=0,D75&lt;=0,E75&lt;=N75),"",ROUNDDOWN((C75*D75)/(E75-N75)/100,0)*100)</f>
        <v/>
      </c>
      <c r="G75" s="8" t="str">
        <f ca="1"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COUNTIFS(持仓跟踪!$A$2:$A$497,"止损计划",持仓跟踪!$B$2:$B$497,A75,持仓跟踪!$AC$2:$AC$497,"计划有效")=0,"禁止开仓：请先填写止损计划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5" s="2"/>
      <c r="I75" s="15"/>
      <c r="J75" s="10"/>
      <c r="K75" s="10"/>
      <c r="L75" s="8" t="str">
        <f>IF(K75="","",H75)</f>
        <v/>
      </c>
      <c r="M75" s="15"/>
      <c r="N75" s="10"/>
      <c r="O75" s="10"/>
      <c r="P75" s="10"/>
      <c r="Q75" s="2"/>
      <c r="R75" s="2"/>
      <c r="S75" s="2"/>
      <c r="T75" s="2"/>
      <c r="U75" s="7" t="str">
        <f>IF(OR(AO75="",J75="",AO75&lt;=0),"",(J75-AO75)/AO75)</f>
        <v/>
      </c>
      <c r="V75" s="7" t="str">
        <f>IF(OR(AO75="",N75="",AO75&lt;=0),"",(AO75-N75)/AO75)</f>
        <v/>
      </c>
      <c r="W75" s="24" t="str">
        <f>IF(OR(U75="",V75="",V75&lt;=0),"",U75/V75)</f>
        <v/>
      </c>
      <c r="X75" s="5" t="str">
        <f>IF(OR(K75="",L75="",AP75=""),"",K75*L75-(E75*H75+IF(AND(AK75&lt;&gt;"",AL75&lt;&gt;""),AK75*AL75,0)+IF(AND(AM75&lt;&gt;"",AN75&lt;&gt;""),AM75*AN75,0))-IF(O75="",0,O75)-IF(P75="",0,P75))</f>
        <v/>
      </c>
      <c r="Y75" s="7" t="str">
        <f>IF(OR(X75="",AP75=""),"",IF((E75*H75+IF(AND(AK75&lt;&gt;"",AL75&lt;&gt;""),AK75*AL75,0)+IF(AND(AM75&lt;&gt;"",AN75&lt;&gt;""),AM75*AN75,0))+IF(O75="",0,O75)&lt;=0,"",X75/((E75*H75+IF(AND(AK75&lt;&gt;"",AL75&lt;&gt;""),AK75*AL75,0)+IF(AND(AM75&lt;&gt;"",AN75&lt;&gt;""),AM75*AN75,0))+IF(O75="",0,O75))))</f>
        <v/>
      </c>
      <c r="Z75" s="7" t="str">
        <f>IF(OR(AE75="",多次统计数据!$B$8=""),"",AE75-多次统计数据!$B$8)</f>
        <v/>
      </c>
      <c r="AA75" s="11" t="str">
        <f>IF(OR(I75="",M75="",M75&lt;I75),"",M75-I75)</f>
        <v/>
      </c>
      <c r="AB75" s="7" t="str">
        <f>IF(OR(A75="",多次统计数据!$B$8="",多次统计数据!$B$6&lt;=0,多次统计数据!$B$6&gt;=1),"",1-POWER(1+多次统计数据!$B$8,-多次统计数据!$B$6/(1-多次统计数据!$B$6)))</f>
        <v/>
      </c>
      <c r="AC75" s="8" t="str">
        <f>IF(OR(AB75="",多次统计数据!$B$9=""),"",IF(多次统计数据!$B$9&lt;AB75,"低于上限","达到或超过上限"))</f>
        <v/>
      </c>
      <c r="AD75" s="2"/>
      <c r="AE75" s="7" t="str">
        <f>IF(OR(X75="",C75="",C75&lt;=0),"",X75/C75)</f>
        <v/>
      </c>
      <c r="AF75" s="16"/>
      <c r="AG75" s="2"/>
      <c r="AH75" s="2"/>
      <c r="AI75" s="2"/>
      <c r="AJ75" s="8" t="str">
        <f>IF(OR(AG75="",AH75=""),"",IF(OR(AND(AG75="短期博反弹",OR(AH75="1～3个交易日",AH75="4～10个交易日")),AND(AG75="突破冲新高",OR(AH75="4～10个交易日",AH75="11～20个交易日")),AND(AG75="趋势波段",OR(AH75="11～20个交易日",AH75="21～60个交易日",AH75="60个交易日以上"))),"匹配","周期与交易预期不匹配，请重新确认"))</f>
        <v/>
      </c>
      <c r="AK75" s="10"/>
      <c r="AL75" s="12"/>
      <c r="AM75" s="10"/>
      <c r="AN75" s="12"/>
      <c r="AO75" s="5" t="str">
        <f>IF(OR(A75="",H75="",H75&lt;=0),"",(E75*H75+IF(AND(AK75&lt;&gt;"",AL75&lt;&gt;""),AK75*AL75,0)+IF(AND(AM75&lt;&gt;"",AN75&lt;&gt;""),AM75*AN75,0))/AP75)</f>
        <v/>
      </c>
      <c r="AP75" s="11" t="str">
        <f>IF(OR(A75="",H75="",H75&lt;=0),"",H75+IF(AL75="",0,AL75)+IF(AN75="",0,AN75))</f>
        <v/>
      </c>
      <c r="AQ75" s="5" t="str">
        <f>IF(A75="","",IF(M75&lt;&gt;"",0,IF(OR(H75="",N75=""),"",MAX(E75-MAX(N75,IFERROR(SUMPRODUCT(MAX(((持仓跟踪!$A$2:$A$497="每日跟踪")*(持仓跟踪!$B$2:$B$497=A75))*持仓跟踪!$S$2:$S$497)),0)),0)*H75+IF(OR(AK75="",AL75=""),0,MAX(AK75-MAX(N75,IFERROR(SUMPRODUCT(MAX(((持仓跟踪!$A$2:$A$497="每日跟踪")*(持仓跟踪!$B$2:$B$497=A75))*持仓跟踪!$S$2:$S$497)),0)),0)*AL75)+IF(OR(AM75="",AN75=""),0,MAX(AM75-MAX(N75,IFERROR(SUMPRODUCT(MAX(((持仓跟踪!$A$2:$A$497="每日跟踪")*(持仓跟踪!$B$2:$B$497=A75))*持仓跟踪!$S$2:$S$497)),0)),0)*AN75))))</f>
        <v/>
      </c>
      <c r="AR75" s="8" t="str">
        <f ca="1">IF(A75="","",IF(OR(E75="",H75=""),"违规：第一批价格或股数缺失",IF(OR(AND(AK75="",AL75&lt;&gt;""),AND(AK75&lt;&gt;"",AL75="")),"违规：第二批价格与股数须成对填写",IF(OR(AND(AM75="",AN75&lt;&gt;""),AND(AM75&lt;&gt;"",AN75="")),"违规：第三批价格与股数须成对填写",IF(AND(OR(AM75&lt;&gt;"",AN75&lt;&gt;""),OR(AK75="",AL75="")),"违规：必须先完成第二批",IF(OR(H75&lt;=0,H75&lt;&gt;INT(H75),MOD(H75,100)&lt;&gt;0,AND(AL75&lt;&gt;"",OR(AL75&lt;=0,AL75&lt;&gt;INT(AL75),MOD(AL75,100)&lt;&gt;0)),AND(AN75&lt;&gt;"",OR(AN75&lt;=0,AN75&lt;&gt;INT(AN75),MOD(AN75,100)&lt;&gt;0))),"违规：股数须为100股整数倍",IF(AND(OR(AL75&lt;&gt;"",AN75&lt;&gt;""),OR(_LockStatus="已锁仓",_LockStatus="解锁信息不完整")),"违规：锁仓期间禁止加仓",IF(AQ75&gt;C75*D75,"违规：超过单笔风险上限",IF(SUM($AQ$2:$AQ$163)&gt;账户数据!$B$7,"违规：超过账户风险上限","通过")))))))))</f>
        <v/>
      </c>
    </row>
    <row r="76" ht="17" spans="1:44">
      <c r="A76" s="2"/>
      <c r="B76" s="2"/>
      <c r="C76" s="10"/>
      <c r="D76" s="6"/>
      <c r="E76" s="10"/>
      <c r="F76" s="8" t="str">
        <f>IF(OR(C76="",D76="",E76="",N76="",C76&lt;=0,D76&lt;=0,E76&lt;=N76),"",ROUNDDOWN((C76*D76)/(E76-N76)/100,0)*100)</f>
        <v/>
      </c>
      <c r="G76" s="8" t="str">
        <f ca="1"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COUNTIFS(持仓跟踪!$A$2:$A$497,"止损计划",持仓跟踪!$B$2:$B$497,A76,持仓跟踪!$AC$2:$AC$497,"计划有效")=0,"禁止开仓：请先填写止损计划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6" s="2"/>
      <c r="I76" s="15"/>
      <c r="J76" s="10"/>
      <c r="K76" s="10"/>
      <c r="L76" s="8" t="str">
        <f>IF(K76="","",H76)</f>
        <v/>
      </c>
      <c r="M76" s="15"/>
      <c r="N76" s="10"/>
      <c r="O76" s="10"/>
      <c r="P76" s="10"/>
      <c r="Q76" s="2"/>
      <c r="R76" s="2"/>
      <c r="S76" s="2"/>
      <c r="T76" s="2"/>
      <c r="U76" s="7" t="str">
        <f>IF(OR(AO76="",J76="",AO76&lt;=0),"",(J76-AO76)/AO76)</f>
        <v/>
      </c>
      <c r="V76" s="7" t="str">
        <f>IF(OR(AO76="",N76="",AO76&lt;=0),"",(AO76-N76)/AO76)</f>
        <v/>
      </c>
      <c r="W76" s="24" t="str">
        <f>IF(OR(U76="",V76="",V76&lt;=0),"",U76/V76)</f>
        <v/>
      </c>
      <c r="X76" s="5" t="str">
        <f>IF(OR(K76="",L76="",AP76=""),"",K76*L76-(E76*H76+IF(AND(AK76&lt;&gt;"",AL76&lt;&gt;""),AK76*AL76,0)+IF(AND(AM76&lt;&gt;"",AN76&lt;&gt;""),AM76*AN76,0))-IF(O76="",0,O76)-IF(P76="",0,P76))</f>
        <v/>
      </c>
      <c r="Y76" s="7" t="str">
        <f>IF(OR(X76="",AP76=""),"",IF((E76*H76+IF(AND(AK76&lt;&gt;"",AL76&lt;&gt;""),AK76*AL76,0)+IF(AND(AM76&lt;&gt;"",AN76&lt;&gt;""),AM76*AN76,0))+IF(O76="",0,O76)&lt;=0,"",X76/((E76*H76+IF(AND(AK76&lt;&gt;"",AL76&lt;&gt;""),AK76*AL76,0)+IF(AND(AM76&lt;&gt;"",AN76&lt;&gt;""),AM76*AN76,0))+IF(O76="",0,O76))))</f>
        <v/>
      </c>
      <c r="Z76" s="7" t="str">
        <f>IF(OR(AE76="",多次统计数据!$B$8=""),"",AE76-多次统计数据!$B$8)</f>
        <v/>
      </c>
      <c r="AA76" s="11" t="str">
        <f>IF(OR(I76="",M76="",M76&lt;I76),"",M76-I76)</f>
        <v/>
      </c>
      <c r="AB76" s="7" t="str">
        <f>IF(OR(A76="",多次统计数据!$B$8="",多次统计数据!$B$6&lt;=0,多次统计数据!$B$6&gt;=1),"",1-POWER(1+多次统计数据!$B$8,-多次统计数据!$B$6/(1-多次统计数据!$B$6)))</f>
        <v/>
      </c>
      <c r="AC76" s="8" t="str">
        <f>IF(OR(AB76="",多次统计数据!$B$9=""),"",IF(多次统计数据!$B$9&lt;AB76,"低于上限","达到或超过上限"))</f>
        <v/>
      </c>
      <c r="AD76" s="2"/>
      <c r="AE76" s="7" t="str">
        <f>IF(OR(X76="",C76="",C76&lt;=0),"",X76/C76)</f>
        <v/>
      </c>
      <c r="AG76" s="2"/>
      <c r="AH76" s="2"/>
      <c r="AI76" s="2"/>
      <c r="AJ76" s="8" t="str">
        <f>IF(OR(AG76="",AH76=""),"",IF(OR(AND(AG76="短期博反弹",OR(AH76="1～3个交易日",AH76="4～10个交易日")),AND(AG76="突破冲新高",OR(AH76="4～10个交易日",AH76="11～20个交易日")),AND(AG76="趋势波段",OR(AH76="11～20个交易日",AH76="21～60个交易日",AH76="60个交易日以上"))),"匹配","周期与交易预期不匹配，请重新确认"))</f>
        <v/>
      </c>
      <c r="AK76" s="10"/>
      <c r="AL76" s="12"/>
      <c r="AM76" s="10"/>
      <c r="AN76" s="12"/>
      <c r="AO76" s="5" t="str">
        <f>IF(OR(A76="",H76="",H76&lt;=0),"",(E76*H76+IF(AND(AK76&lt;&gt;"",AL76&lt;&gt;""),AK76*AL76,0)+IF(AND(AM76&lt;&gt;"",AN76&lt;&gt;""),AM76*AN76,0))/AP76)</f>
        <v/>
      </c>
      <c r="AP76" s="11" t="str">
        <f>IF(OR(A76="",H76="",H76&lt;=0),"",H76+IF(AL76="",0,AL76)+IF(AN76="",0,AN76))</f>
        <v/>
      </c>
      <c r="AQ76" s="5" t="str">
        <f>IF(A76="","",IF(M76&lt;&gt;"",0,IF(OR(H76="",N76=""),"",MAX(E76-MAX(N76,IFERROR(SUMPRODUCT(MAX(((持仓跟踪!$A$2:$A$497="每日跟踪")*(持仓跟踪!$B$2:$B$497=A76))*持仓跟踪!$S$2:$S$497)),0)),0)*H76+IF(OR(AK76="",AL76=""),0,MAX(AK76-MAX(N76,IFERROR(SUMPRODUCT(MAX(((持仓跟踪!$A$2:$A$497="每日跟踪")*(持仓跟踪!$B$2:$B$497=A76))*持仓跟踪!$S$2:$S$497)),0)),0)*AL76)+IF(OR(AM76="",AN76=""),0,MAX(AM76-MAX(N76,IFERROR(SUMPRODUCT(MAX(((持仓跟踪!$A$2:$A$497="每日跟踪")*(持仓跟踪!$B$2:$B$497=A76))*持仓跟踪!$S$2:$S$497)),0)),0)*AN76))))</f>
        <v/>
      </c>
      <c r="AR76" s="8" t="str">
        <f ca="1">IF(A76="","",IF(OR(E76="",H76=""),"违规：第一批价格或股数缺失",IF(OR(AND(AK76="",AL76&lt;&gt;""),AND(AK76&lt;&gt;"",AL76="")),"违规：第二批价格与股数须成对填写",IF(OR(AND(AM76="",AN76&lt;&gt;""),AND(AM76&lt;&gt;"",AN76="")),"违规：第三批价格与股数须成对填写",IF(AND(OR(AM76&lt;&gt;"",AN76&lt;&gt;""),OR(AK76="",AL76="")),"违规：必须先完成第二批",IF(OR(H76&lt;=0,H76&lt;&gt;INT(H76),MOD(H76,100)&lt;&gt;0,AND(AL76&lt;&gt;"",OR(AL76&lt;=0,AL76&lt;&gt;INT(AL76),MOD(AL76,100)&lt;&gt;0)),AND(AN76&lt;&gt;"",OR(AN76&lt;=0,AN76&lt;&gt;INT(AN76),MOD(AN76,100)&lt;&gt;0))),"违规：股数须为100股整数倍",IF(AND(OR(AL76&lt;&gt;"",AN76&lt;&gt;""),OR(_LockStatus="已锁仓",_LockStatus="解锁信息不完整")),"违规：锁仓期间禁止加仓",IF(AQ76&gt;C76*D76,"违规：超过单笔风险上限",IF(SUM($AQ$2:$AQ$163)&gt;账户数据!$B$7,"违规：超过账户风险上限","通过")))))))))</f>
        <v/>
      </c>
    </row>
    <row r="77" ht="17" spans="1:44">
      <c r="A77" s="2"/>
      <c r="B77" s="2"/>
      <c r="C77" s="10"/>
      <c r="D77" s="6"/>
      <c r="E77" s="10"/>
      <c r="F77" s="8" t="str">
        <f>IF(OR(C77="",D77="",E77="",N77="",C77&lt;=0,D77&lt;=0,E77&lt;=N77),"",ROUNDDOWN((C77*D77)/(E77-N77)/100,0)*100)</f>
        <v/>
      </c>
      <c r="G77" s="8" t="str">
        <f ca="1"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COUNTIFS(持仓跟踪!$A$2:$A$497,"止损计划",持仓跟踪!$B$2:$B$497,A77,持仓跟踪!$AC$2:$AC$497,"计划有效")=0,"禁止开仓：请先填写止损计划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7" s="2"/>
      <c r="I77" s="15"/>
      <c r="J77" s="10"/>
      <c r="K77" s="10"/>
      <c r="L77" s="8" t="str">
        <f>IF(K77="","",H77)</f>
        <v/>
      </c>
      <c r="M77" s="15"/>
      <c r="N77" s="10"/>
      <c r="O77" s="10"/>
      <c r="P77" s="10"/>
      <c r="Q77" s="2"/>
      <c r="R77" s="2"/>
      <c r="S77" s="2"/>
      <c r="T77" s="2"/>
      <c r="U77" s="7" t="str">
        <f>IF(OR(AO77="",J77="",AO77&lt;=0),"",(J77-AO77)/AO77)</f>
        <v/>
      </c>
      <c r="V77" s="7" t="str">
        <f>IF(OR(AO77="",N77="",AO77&lt;=0),"",(AO77-N77)/AO77)</f>
        <v/>
      </c>
      <c r="W77" s="24" t="str">
        <f>IF(OR(U77="",V77="",V77&lt;=0),"",U77/V77)</f>
        <v/>
      </c>
      <c r="X77" s="5" t="str">
        <f>IF(OR(K77="",L77="",AP77=""),"",K77*L77-(E77*H77+IF(AND(AK77&lt;&gt;"",AL77&lt;&gt;""),AK77*AL77,0)+IF(AND(AM77&lt;&gt;"",AN77&lt;&gt;""),AM77*AN77,0))-IF(O77="",0,O77)-IF(P77="",0,P77))</f>
        <v/>
      </c>
      <c r="Y77" s="7" t="str">
        <f>IF(OR(X77="",AP77=""),"",IF((E77*H77+IF(AND(AK77&lt;&gt;"",AL77&lt;&gt;""),AK77*AL77,0)+IF(AND(AM77&lt;&gt;"",AN77&lt;&gt;""),AM77*AN77,0))+IF(O77="",0,O77)&lt;=0,"",X77/((E77*H77+IF(AND(AK77&lt;&gt;"",AL77&lt;&gt;""),AK77*AL77,0)+IF(AND(AM77&lt;&gt;"",AN77&lt;&gt;""),AM77*AN77,0))+IF(O77="",0,O77))))</f>
        <v/>
      </c>
      <c r="Z77" s="7" t="str">
        <f>IF(OR(AE77="",多次统计数据!$B$8=""),"",AE77-多次统计数据!$B$8)</f>
        <v/>
      </c>
      <c r="AA77" s="11" t="str">
        <f>IF(OR(I77="",M77="",M77&lt;I77),"",M77-I77)</f>
        <v/>
      </c>
      <c r="AB77" s="7" t="str">
        <f>IF(OR(A77="",多次统计数据!$B$8="",多次统计数据!$B$6&lt;=0,多次统计数据!$B$6&gt;=1),"",1-POWER(1+多次统计数据!$B$8,-多次统计数据!$B$6/(1-多次统计数据!$B$6)))</f>
        <v/>
      </c>
      <c r="AC77" s="8" t="str">
        <f>IF(OR(AB77="",多次统计数据!$B$9=""),"",IF(多次统计数据!$B$9&lt;AB77,"低于上限","达到或超过上限"))</f>
        <v/>
      </c>
      <c r="AD77" s="2"/>
      <c r="AE77" s="7" t="str">
        <f>IF(OR(X77="",C77="",C77&lt;=0),"",X77/C77)</f>
        <v/>
      </c>
      <c r="AG77" s="2"/>
      <c r="AH77" s="2"/>
      <c r="AI77" s="2"/>
      <c r="AJ77" s="8" t="str">
        <f>IF(OR(AG77="",AH77=""),"",IF(OR(AND(AG77="短期博反弹",OR(AH77="1～3个交易日",AH77="4～10个交易日")),AND(AG77="突破冲新高",OR(AH77="4～10个交易日",AH77="11～20个交易日")),AND(AG77="趋势波段",OR(AH77="11～20个交易日",AH77="21～60个交易日",AH77="60个交易日以上"))),"匹配","周期与交易预期不匹配，请重新确认"))</f>
        <v/>
      </c>
      <c r="AK77" s="10"/>
      <c r="AL77" s="12"/>
      <c r="AM77" s="10"/>
      <c r="AN77" s="12"/>
      <c r="AO77" s="5" t="str">
        <f>IF(OR(A77="",H77="",H77&lt;=0),"",(E77*H77+IF(AND(AK77&lt;&gt;"",AL77&lt;&gt;""),AK77*AL77,0)+IF(AND(AM77&lt;&gt;"",AN77&lt;&gt;""),AM77*AN77,0))/AP77)</f>
        <v/>
      </c>
      <c r="AP77" s="11" t="str">
        <f>IF(OR(A77="",H77="",H77&lt;=0),"",H77+IF(AL77="",0,AL77)+IF(AN77="",0,AN77))</f>
        <v/>
      </c>
      <c r="AQ77" s="5" t="str">
        <f>IF(A77="","",IF(M77&lt;&gt;"",0,IF(OR(H77="",N77=""),"",MAX(E77-MAX(N77,IFERROR(SUMPRODUCT(MAX(((持仓跟踪!$A$2:$A$497="每日跟踪")*(持仓跟踪!$B$2:$B$497=A77))*持仓跟踪!$S$2:$S$497)),0)),0)*H77+IF(OR(AK77="",AL77=""),0,MAX(AK77-MAX(N77,IFERROR(SUMPRODUCT(MAX(((持仓跟踪!$A$2:$A$497="每日跟踪")*(持仓跟踪!$B$2:$B$497=A77))*持仓跟踪!$S$2:$S$497)),0)),0)*AL77)+IF(OR(AM77="",AN77=""),0,MAX(AM77-MAX(N77,IFERROR(SUMPRODUCT(MAX(((持仓跟踪!$A$2:$A$497="每日跟踪")*(持仓跟踪!$B$2:$B$497=A77))*持仓跟踪!$S$2:$S$497)),0)),0)*AN77))))</f>
        <v/>
      </c>
      <c r="AR77" s="8" t="str">
        <f ca="1">IF(A77="","",IF(OR(E77="",H77=""),"违规：第一批价格或股数缺失",IF(OR(AND(AK77="",AL77&lt;&gt;""),AND(AK77&lt;&gt;"",AL77="")),"违规：第二批价格与股数须成对填写",IF(OR(AND(AM77="",AN77&lt;&gt;""),AND(AM77&lt;&gt;"",AN77="")),"违规：第三批价格与股数须成对填写",IF(AND(OR(AM77&lt;&gt;"",AN77&lt;&gt;""),OR(AK77="",AL77="")),"违规：必须先完成第二批",IF(OR(H77&lt;=0,H77&lt;&gt;INT(H77),MOD(H77,100)&lt;&gt;0,AND(AL77&lt;&gt;"",OR(AL77&lt;=0,AL77&lt;&gt;INT(AL77),MOD(AL77,100)&lt;&gt;0)),AND(AN77&lt;&gt;"",OR(AN77&lt;=0,AN77&lt;&gt;INT(AN77),MOD(AN77,100)&lt;&gt;0))),"违规：股数须为100股整数倍",IF(AND(OR(AL77&lt;&gt;"",AN77&lt;&gt;""),OR(_LockStatus="已锁仓",_LockStatus="解锁信息不完整")),"违规：锁仓期间禁止加仓",IF(AQ77&gt;C77*D77,"违规：超过单笔风险上限",IF(SUM($AQ$2:$AQ$163)&gt;账户数据!$B$7,"违规：超过账户风险上限","通过")))))))))</f>
        <v/>
      </c>
    </row>
    <row r="78" ht="17" spans="1:44">
      <c r="A78" s="2"/>
      <c r="B78" s="2"/>
      <c r="C78" s="10"/>
      <c r="D78" s="6"/>
      <c r="E78" s="10"/>
      <c r="F78" s="8" t="str">
        <f>IF(OR(C78="",D78="",E78="",N78="",C78&lt;=0,D78&lt;=0,E78&lt;=N78),"",ROUNDDOWN((C78*D78)/(E78-N78)/100,0)*100)</f>
        <v/>
      </c>
      <c r="G78" s="8" t="str">
        <f ca="1"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COUNTIFS(持仓跟踪!$A$2:$A$497,"止损计划",持仓跟踪!$B$2:$B$497,A78,持仓跟踪!$AC$2:$AC$497,"计划有效")=0,"禁止开仓：请先填写止损计划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8" s="2"/>
      <c r="I78" s="15"/>
      <c r="J78" s="10"/>
      <c r="K78" s="10"/>
      <c r="L78" s="8" t="str">
        <f>IF(K78="","",H78)</f>
        <v/>
      </c>
      <c r="M78" s="15"/>
      <c r="N78" s="10"/>
      <c r="O78" s="10"/>
      <c r="P78" s="10"/>
      <c r="Q78" s="2"/>
      <c r="R78" s="2"/>
      <c r="S78" s="2"/>
      <c r="T78" s="2"/>
      <c r="U78" s="7" t="str">
        <f>IF(OR(AO78="",J78="",AO78&lt;=0),"",(J78-AO78)/AO78)</f>
        <v/>
      </c>
      <c r="V78" s="7" t="str">
        <f>IF(OR(AO78="",N78="",AO78&lt;=0),"",(AO78-N78)/AO78)</f>
        <v/>
      </c>
      <c r="W78" s="24" t="str">
        <f>IF(OR(U78="",V78="",V78&lt;=0),"",U78/V78)</f>
        <v/>
      </c>
      <c r="X78" s="5" t="str">
        <f>IF(OR(K78="",L78="",AP78=""),"",K78*L78-(E78*H78+IF(AND(AK78&lt;&gt;"",AL78&lt;&gt;""),AK78*AL78,0)+IF(AND(AM78&lt;&gt;"",AN78&lt;&gt;""),AM78*AN78,0))-IF(O78="",0,O78)-IF(P78="",0,P78))</f>
        <v/>
      </c>
      <c r="Y78" s="7" t="str">
        <f>IF(OR(X78="",AP78=""),"",IF((E78*H78+IF(AND(AK78&lt;&gt;"",AL78&lt;&gt;""),AK78*AL78,0)+IF(AND(AM78&lt;&gt;"",AN78&lt;&gt;""),AM78*AN78,0))+IF(O78="",0,O78)&lt;=0,"",X78/((E78*H78+IF(AND(AK78&lt;&gt;"",AL78&lt;&gt;""),AK78*AL78,0)+IF(AND(AM78&lt;&gt;"",AN78&lt;&gt;""),AM78*AN78,0))+IF(O78="",0,O78))))</f>
        <v/>
      </c>
      <c r="Z78" s="7" t="str">
        <f>IF(OR(AE78="",多次统计数据!$B$8=""),"",AE78-多次统计数据!$B$8)</f>
        <v/>
      </c>
      <c r="AA78" s="11" t="str">
        <f>IF(OR(I78="",M78="",M78&lt;I78),"",M78-I78)</f>
        <v/>
      </c>
      <c r="AB78" s="7" t="str">
        <f>IF(OR(A78="",多次统计数据!$B$8="",多次统计数据!$B$6&lt;=0,多次统计数据!$B$6&gt;=1),"",1-POWER(1+多次统计数据!$B$8,-多次统计数据!$B$6/(1-多次统计数据!$B$6)))</f>
        <v/>
      </c>
      <c r="AC78" s="8" t="str">
        <f>IF(OR(AB78="",多次统计数据!$B$9=""),"",IF(多次统计数据!$B$9&lt;AB78,"低于上限","达到或超过上限"))</f>
        <v/>
      </c>
      <c r="AD78" s="2"/>
      <c r="AE78" s="7" t="str">
        <f>IF(OR(X78="",C78="",C78&lt;=0),"",X78/C78)</f>
        <v/>
      </c>
      <c r="AG78" s="2"/>
      <c r="AH78" s="2"/>
      <c r="AI78" s="2"/>
      <c r="AJ78" s="8" t="str">
        <f>IF(OR(AG78="",AH78=""),"",IF(OR(AND(AG78="短期博反弹",OR(AH78="1～3个交易日",AH78="4～10个交易日")),AND(AG78="突破冲新高",OR(AH78="4～10个交易日",AH78="11～20个交易日")),AND(AG78="趋势波段",OR(AH78="11～20个交易日",AH78="21～60个交易日",AH78="60个交易日以上"))),"匹配","周期与交易预期不匹配，请重新确认"))</f>
        <v/>
      </c>
      <c r="AK78" s="10"/>
      <c r="AL78" s="12"/>
      <c r="AM78" s="10"/>
      <c r="AN78" s="12"/>
      <c r="AO78" s="5" t="str">
        <f>IF(OR(A78="",H78="",H78&lt;=0),"",(E78*H78+IF(AND(AK78&lt;&gt;"",AL78&lt;&gt;""),AK78*AL78,0)+IF(AND(AM78&lt;&gt;"",AN78&lt;&gt;""),AM78*AN78,0))/AP78)</f>
        <v/>
      </c>
      <c r="AP78" s="11" t="str">
        <f>IF(OR(A78="",H78="",H78&lt;=0),"",H78+IF(AL78="",0,AL78)+IF(AN78="",0,AN78))</f>
        <v/>
      </c>
      <c r="AQ78" s="5" t="str">
        <f>IF(A78="","",IF(M78&lt;&gt;"",0,IF(OR(H78="",N78=""),"",MAX(E78-MAX(N78,IFERROR(SUMPRODUCT(MAX(((持仓跟踪!$A$2:$A$497="每日跟踪")*(持仓跟踪!$B$2:$B$497=A78))*持仓跟踪!$S$2:$S$497)),0)),0)*H78+IF(OR(AK78="",AL78=""),0,MAX(AK78-MAX(N78,IFERROR(SUMPRODUCT(MAX(((持仓跟踪!$A$2:$A$497="每日跟踪")*(持仓跟踪!$B$2:$B$497=A78))*持仓跟踪!$S$2:$S$497)),0)),0)*AL78)+IF(OR(AM78="",AN78=""),0,MAX(AM78-MAX(N78,IFERROR(SUMPRODUCT(MAX(((持仓跟踪!$A$2:$A$497="每日跟踪")*(持仓跟踪!$B$2:$B$497=A78))*持仓跟踪!$S$2:$S$497)),0)),0)*AN78))))</f>
        <v/>
      </c>
      <c r="AR78" s="8" t="str">
        <f ca="1">IF(A78="","",IF(OR(E78="",H78=""),"违规：第一批价格或股数缺失",IF(OR(AND(AK78="",AL78&lt;&gt;""),AND(AK78&lt;&gt;"",AL78="")),"违规：第二批价格与股数须成对填写",IF(OR(AND(AM78="",AN78&lt;&gt;""),AND(AM78&lt;&gt;"",AN78="")),"违规：第三批价格与股数须成对填写",IF(AND(OR(AM78&lt;&gt;"",AN78&lt;&gt;""),OR(AK78="",AL78="")),"违规：必须先完成第二批",IF(OR(H78&lt;=0,H78&lt;&gt;INT(H78),MOD(H78,100)&lt;&gt;0,AND(AL78&lt;&gt;"",OR(AL78&lt;=0,AL78&lt;&gt;INT(AL78),MOD(AL78,100)&lt;&gt;0)),AND(AN78&lt;&gt;"",OR(AN78&lt;=0,AN78&lt;&gt;INT(AN78),MOD(AN78,100)&lt;&gt;0))),"违规：股数须为100股整数倍",IF(AND(OR(AL78&lt;&gt;"",AN78&lt;&gt;""),OR(_LockStatus="已锁仓",_LockStatus="解锁信息不完整")),"违规：锁仓期间禁止加仓",IF(AQ78&gt;C78*D78,"违规：超过单笔风险上限",IF(SUM($AQ$2:$AQ$163)&gt;账户数据!$B$7,"违规：超过账户风险上限","通过")))))))))</f>
        <v/>
      </c>
    </row>
    <row r="79" ht="17" spans="1:44">
      <c r="A79" s="2"/>
      <c r="B79" s="2"/>
      <c r="C79" s="10"/>
      <c r="D79" s="6"/>
      <c r="E79" s="10"/>
      <c r="F79" s="8" t="str">
        <f>IF(OR(C79="",D79="",E79="",N79="",C79&lt;=0,D79&lt;=0,E79&lt;=N79),"",ROUNDDOWN((C79*D79)/(E79-N79)/100,0)*100)</f>
        <v/>
      </c>
      <c r="G79" s="8" t="str">
        <f ca="1"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COUNTIFS(持仓跟踪!$A$2:$A$497,"止损计划",持仓跟踪!$B$2:$B$497,A79,持仓跟踪!$AC$2:$AC$497,"计划有效")=0,"禁止开仓：请先填写止损计划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9" s="2"/>
      <c r="I79" s="15"/>
      <c r="J79" s="10"/>
      <c r="K79" s="10"/>
      <c r="L79" s="8" t="str">
        <f>IF(K79="","",H79)</f>
        <v/>
      </c>
      <c r="M79" s="15"/>
      <c r="N79" s="10"/>
      <c r="O79" s="10"/>
      <c r="P79" s="10"/>
      <c r="Q79" s="2"/>
      <c r="R79" s="2"/>
      <c r="S79" s="2"/>
      <c r="T79" s="2"/>
      <c r="U79" s="7" t="str">
        <f>IF(OR(AO79="",J79="",AO79&lt;=0),"",(J79-AO79)/AO79)</f>
        <v/>
      </c>
      <c r="V79" s="7" t="str">
        <f>IF(OR(AO79="",N79="",AO79&lt;=0),"",(AO79-N79)/AO79)</f>
        <v/>
      </c>
      <c r="W79" s="24" t="str">
        <f>IF(OR(U79="",V79="",V79&lt;=0),"",U79/V79)</f>
        <v/>
      </c>
      <c r="X79" s="5" t="str">
        <f>IF(OR(K79="",L79="",AP79=""),"",K79*L79-(E79*H79+IF(AND(AK79&lt;&gt;"",AL79&lt;&gt;""),AK79*AL79,0)+IF(AND(AM79&lt;&gt;"",AN79&lt;&gt;""),AM79*AN79,0))-IF(O79="",0,O79)-IF(P79="",0,P79))</f>
        <v/>
      </c>
      <c r="Y79" s="7" t="str">
        <f>IF(OR(X79="",AP79=""),"",IF((E79*H79+IF(AND(AK79&lt;&gt;"",AL79&lt;&gt;""),AK79*AL79,0)+IF(AND(AM79&lt;&gt;"",AN79&lt;&gt;""),AM79*AN79,0))+IF(O79="",0,O79)&lt;=0,"",X79/((E79*H79+IF(AND(AK79&lt;&gt;"",AL79&lt;&gt;""),AK79*AL79,0)+IF(AND(AM79&lt;&gt;"",AN79&lt;&gt;""),AM79*AN79,0))+IF(O79="",0,O79))))</f>
        <v/>
      </c>
      <c r="Z79" s="7" t="str">
        <f>IF(OR(AE79="",多次统计数据!$B$8=""),"",AE79-多次统计数据!$B$8)</f>
        <v/>
      </c>
      <c r="AA79" s="11" t="str">
        <f>IF(OR(I79="",M79="",M79&lt;I79),"",M79-I79)</f>
        <v/>
      </c>
      <c r="AB79" s="7" t="str">
        <f>IF(OR(A79="",多次统计数据!$B$8="",多次统计数据!$B$6&lt;=0,多次统计数据!$B$6&gt;=1),"",1-POWER(1+多次统计数据!$B$8,-多次统计数据!$B$6/(1-多次统计数据!$B$6)))</f>
        <v/>
      </c>
      <c r="AC79" s="8" t="str">
        <f>IF(OR(AB79="",多次统计数据!$B$9=""),"",IF(多次统计数据!$B$9&lt;AB79,"低于上限","达到或超过上限"))</f>
        <v/>
      </c>
      <c r="AD79" s="2"/>
      <c r="AE79" s="7" t="str">
        <f>IF(OR(X79="",C79="",C79&lt;=0),"",X79/C79)</f>
        <v/>
      </c>
      <c r="AG79" s="2"/>
      <c r="AH79" s="2"/>
      <c r="AI79" s="2"/>
      <c r="AJ79" s="8" t="str">
        <f>IF(OR(AG79="",AH79=""),"",IF(OR(AND(AG79="短期博反弹",OR(AH79="1～3个交易日",AH79="4～10个交易日")),AND(AG79="突破冲新高",OR(AH79="4～10个交易日",AH79="11～20个交易日")),AND(AG79="趋势波段",OR(AH79="11～20个交易日",AH79="21～60个交易日",AH79="60个交易日以上"))),"匹配","周期与交易预期不匹配，请重新确认"))</f>
        <v/>
      </c>
      <c r="AK79" s="10"/>
      <c r="AL79" s="12"/>
      <c r="AM79" s="10"/>
      <c r="AN79" s="12"/>
      <c r="AO79" s="5" t="str">
        <f>IF(OR(A79="",H79="",H79&lt;=0),"",(E79*H79+IF(AND(AK79&lt;&gt;"",AL79&lt;&gt;""),AK79*AL79,0)+IF(AND(AM79&lt;&gt;"",AN79&lt;&gt;""),AM79*AN79,0))/AP79)</f>
        <v/>
      </c>
      <c r="AP79" s="11" t="str">
        <f>IF(OR(A79="",H79="",H79&lt;=0),"",H79+IF(AL79="",0,AL79)+IF(AN79="",0,AN79))</f>
        <v/>
      </c>
      <c r="AQ79" s="5" t="str">
        <f>IF(A79="","",IF(M79&lt;&gt;"",0,IF(OR(H79="",N79=""),"",MAX(E79-MAX(N79,IFERROR(SUMPRODUCT(MAX(((持仓跟踪!$A$2:$A$497="每日跟踪")*(持仓跟踪!$B$2:$B$497=A79))*持仓跟踪!$S$2:$S$497)),0)),0)*H79+IF(OR(AK79="",AL79=""),0,MAX(AK79-MAX(N79,IFERROR(SUMPRODUCT(MAX(((持仓跟踪!$A$2:$A$497="每日跟踪")*(持仓跟踪!$B$2:$B$497=A79))*持仓跟踪!$S$2:$S$497)),0)),0)*AL79)+IF(OR(AM79="",AN79=""),0,MAX(AM79-MAX(N79,IFERROR(SUMPRODUCT(MAX(((持仓跟踪!$A$2:$A$497="每日跟踪")*(持仓跟踪!$B$2:$B$497=A79))*持仓跟踪!$S$2:$S$497)),0)),0)*AN79))))</f>
        <v/>
      </c>
      <c r="AR79" s="8" t="str">
        <f ca="1">IF(A79="","",IF(OR(E79="",H79=""),"违规：第一批价格或股数缺失",IF(OR(AND(AK79="",AL79&lt;&gt;""),AND(AK79&lt;&gt;"",AL79="")),"违规：第二批价格与股数须成对填写",IF(OR(AND(AM79="",AN79&lt;&gt;""),AND(AM79&lt;&gt;"",AN79="")),"违规：第三批价格与股数须成对填写",IF(AND(OR(AM79&lt;&gt;"",AN79&lt;&gt;""),OR(AK79="",AL79="")),"违规：必须先完成第二批",IF(OR(H79&lt;=0,H79&lt;&gt;INT(H79),MOD(H79,100)&lt;&gt;0,AND(AL79&lt;&gt;"",OR(AL79&lt;=0,AL79&lt;&gt;INT(AL79),MOD(AL79,100)&lt;&gt;0)),AND(AN79&lt;&gt;"",OR(AN79&lt;=0,AN79&lt;&gt;INT(AN79),MOD(AN79,100)&lt;&gt;0))),"违规：股数须为100股整数倍",IF(AND(OR(AL79&lt;&gt;"",AN79&lt;&gt;""),OR(_LockStatus="已锁仓",_LockStatus="解锁信息不完整")),"违规：锁仓期间禁止加仓",IF(AQ79&gt;C79*D79,"违规：超过单笔风险上限",IF(SUM($AQ$2:$AQ$163)&gt;账户数据!$B$7,"违规：超过账户风险上限","通过")))))))))</f>
        <v/>
      </c>
    </row>
    <row r="80" ht="17" spans="1:44">
      <c r="A80" s="2"/>
      <c r="B80" s="2"/>
      <c r="C80" s="10"/>
      <c r="D80" s="6"/>
      <c r="E80" s="10"/>
      <c r="F80" s="8" t="str">
        <f>IF(OR(C80="",D80="",E80="",N80="",C80&lt;=0,D80&lt;=0,E80&lt;=N80),"",ROUNDDOWN((C80*D80)/(E80-N80)/100,0)*100)</f>
        <v/>
      </c>
      <c r="G80" s="8" t="str">
        <f ca="1"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COUNTIFS(持仓跟踪!$A$2:$A$497,"止损计划",持仓跟踪!$B$2:$B$497,A80,持仓跟踪!$AC$2:$AC$497,"计划有效")=0,"禁止开仓：请先填写止损计划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0" s="2"/>
      <c r="I80" s="15"/>
      <c r="J80" s="10"/>
      <c r="K80" s="10"/>
      <c r="L80" s="8" t="str">
        <f>IF(K80="","",H80)</f>
        <v/>
      </c>
      <c r="M80" s="15"/>
      <c r="N80" s="10"/>
      <c r="O80" s="10"/>
      <c r="P80" s="10"/>
      <c r="Q80" s="2"/>
      <c r="R80" s="2"/>
      <c r="S80" s="2"/>
      <c r="T80" s="2"/>
      <c r="U80" s="7" t="str">
        <f>IF(OR(AO80="",J80="",AO80&lt;=0),"",(J80-AO80)/AO80)</f>
        <v/>
      </c>
      <c r="V80" s="7" t="str">
        <f>IF(OR(AO80="",N80="",AO80&lt;=0),"",(AO80-N80)/AO80)</f>
        <v/>
      </c>
      <c r="W80" s="24" t="str">
        <f>IF(OR(U80="",V80="",V80&lt;=0),"",U80/V80)</f>
        <v/>
      </c>
      <c r="X80" s="5" t="str">
        <f>IF(OR(K80="",L80="",AP80=""),"",K80*L80-(E80*H80+IF(AND(AK80&lt;&gt;"",AL80&lt;&gt;""),AK80*AL80,0)+IF(AND(AM80&lt;&gt;"",AN80&lt;&gt;""),AM80*AN80,0))-IF(O80="",0,O80)-IF(P80="",0,P80))</f>
        <v/>
      </c>
      <c r="Y80" s="7" t="str">
        <f>IF(OR(X80="",AP80=""),"",IF((E80*H80+IF(AND(AK80&lt;&gt;"",AL80&lt;&gt;""),AK80*AL80,0)+IF(AND(AM80&lt;&gt;"",AN80&lt;&gt;""),AM80*AN80,0))+IF(O80="",0,O80)&lt;=0,"",X80/((E80*H80+IF(AND(AK80&lt;&gt;"",AL80&lt;&gt;""),AK80*AL80,0)+IF(AND(AM80&lt;&gt;"",AN80&lt;&gt;""),AM80*AN80,0))+IF(O80="",0,O80))))</f>
        <v/>
      </c>
      <c r="Z80" s="7" t="str">
        <f>IF(OR(AE80="",多次统计数据!$B$8=""),"",AE80-多次统计数据!$B$8)</f>
        <v/>
      </c>
      <c r="AA80" s="11" t="str">
        <f>IF(OR(I80="",M80="",M80&lt;I80),"",M80-I80)</f>
        <v/>
      </c>
      <c r="AB80" s="7" t="str">
        <f>IF(OR(A80="",多次统计数据!$B$8="",多次统计数据!$B$6&lt;=0,多次统计数据!$B$6&gt;=1),"",1-POWER(1+多次统计数据!$B$8,-多次统计数据!$B$6/(1-多次统计数据!$B$6)))</f>
        <v/>
      </c>
      <c r="AC80" s="8" t="str">
        <f>IF(OR(AB80="",多次统计数据!$B$9=""),"",IF(多次统计数据!$B$9&lt;AB80,"低于上限","达到或超过上限"))</f>
        <v/>
      </c>
      <c r="AD80" s="2"/>
      <c r="AE80" s="7" t="str">
        <f>IF(OR(X80="",C80="",C80&lt;=0),"",X80/C80)</f>
        <v/>
      </c>
      <c r="AG80" s="2"/>
      <c r="AH80" s="2"/>
      <c r="AI80" s="2"/>
      <c r="AJ80" s="8" t="str">
        <f>IF(OR(AG80="",AH80=""),"",IF(OR(AND(AG80="短期博反弹",OR(AH80="1～3个交易日",AH80="4～10个交易日")),AND(AG80="突破冲新高",OR(AH80="4～10个交易日",AH80="11～20个交易日")),AND(AG80="趋势波段",OR(AH80="11～20个交易日",AH80="21～60个交易日",AH80="60个交易日以上"))),"匹配","周期与交易预期不匹配，请重新确认"))</f>
        <v/>
      </c>
      <c r="AK80" s="10"/>
      <c r="AL80" s="12"/>
      <c r="AM80" s="10"/>
      <c r="AN80" s="12"/>
      <c r="AO80" s="5" t="str">
        <f>IF(OR(A80="",H80="",H80&lt;=0),"",(E80*H80+IF(AND(AK80&lt;&gt;"",AL80&lt;&gt;""),AK80*AL80,0)+IF(AND(AM80&lt;&gt;"",AN80&lt;&gt;""),AM80*AN80,0))/AP80)</f>
        <v/>
      </c>
      <c r="AP80" s="11" t="str">
        <f>IF(OR(A80="",H80="",H80&lt;=0),"",H80+IF(AL80="",0,AL80)+IF(AN80="",0,AN80))</f>
        <v/>
      </c>
      <c r="AQ80" s="5" t="str">
        <f>IF(A80="","",IF(M80&lt;&gt;"",0,IF(OR(H80="",N80=""),"",MAX(E80-MAX(N80,IFERROR(SUMPRODUCT(MAX(((持仓跟踪!$A$2:$A$497="每日跟踪")*(持仓跟踪!$B$2:$B$497=A80))*持仓跟踪!$S$2:$S$497)),0)),0)*H80+IF(OR(AK80="",AL80=""),0,MAX(AK80-MAX(N80,IFERROR(SUMPRODUCT(MAX(((持仓跟踪!$A$2:$A$497="每日跟踪")*(持仓跟踪!$B$2:$B$497=A80))*持仓跟踪!$S$2:$S$497)),0)),0)*AL80)+IF(OR(AM80="",AN80=""),0,MAX(AM80-MAX(N80,IFERROR(SUMPRODUCT(MAX(((持仓跟踪!$A$2:$A$497="每日跟踪")*(持仓跟踪!$B$2:$B$497=A80))*持仓跟踪!$S$2:$S$497)),0)),0)*AN80))))</f>
        <v/>
      </c>
      <c r="AR80" s="8" t="str">
        <f ca="1">IF(A80="","",IF(OR(E80="",H80=""),"违规：第一批价格或股数缺失",IF(OR(AND(AK80="",AL80&lt;&gt;""),AND(AK80&lt;&gt;"",AL80="")),"违规：第二批价格与股数须成对填写",IF(OR(AND(AM80="",AN80&lt;&gt;""),AND(AM80&lt;&gt;"",AN80="")),"违规：第三批价格与股数须成对填写",IF(AND(OR(AM80&lt;&gt;"",AN80&lt;&gt;""),OR(AK80="",AL80="")),"违规：必须先完成第二批",IF(OR(H80&lt;=0,H80&lt;&gt;INT(H80),MOD(H80,100)&lt;&gt;0,AND(AL80&lt;&gt;"",OR(AL80&lt;=0,AL80&lt;&gt;INT(AL80),MOD(AL80,100)&lt;&gt;0)),AND(AN80&lt;&gt;"",OR(AN80&lt;=0,AN80&lt;&gt;INT(AN80),MOD(AN80,100)&lt;&gt;0))),"违规：股数须为100股整数倍",IF(AND(OR(AL80&lt;&gt;"",AN80&lt;&gt;""),OR(_LockStatus="已锁仓",_LockStatus="解锁信息不完整")),"违规：锁仓期间禁止加仓",IF(AQ80&gt;C80*D80,"违规：超过单笔风险上限",IF(SUM($AQ$2:$AQ$163)&gt;账户数据!$B$7,"违规：超过账户风险上限","通过")))))))))</f>
        <v/>
      </c>
    </row>
    <row r="81" ht="17" spans="1:44">
      <c r="A81" s="2"/>
      <c r="B81" s="2"/>
      <c r="C81" s="10"/>
      <c r="D81" s="6"/>
      <c r="E81" s="10"/>
      <c r="F81" s="8" t="str">
        <f>IF(OR(C81="",D81="",E81="",N81="",C81&lt;=0,D81&lt;=0,E81&lt;=N81),"",ROUNDDOWN((C81*D81)/(E81-N81)/100,0)*100)</f>
        <v/>
      </c>
      <c r="G81" s="8" t="str">
        <f ca="1"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COUNTIFS(持仓跟踪!$A$2:$A$497,"止损计划",持仓跟踪!$B$2:$B$497,A81,持仓跟踪!$AC$2:$AC$497,"计划有效")=0,"禁止开仓：请先填写止损计划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1" s="2"/>
      <c r="I81" s="15"/>
      <c r="J81" s="10"/>
      <c r="K81" s="10"/>
      <c r="L81" s="8" t="str">
        <f>IF(K81="","",H81)</f>
        <v/>
      </c>
      <c r="M81" s="15"/>
      <c r="N81" s="10"/>
      <c r="O81" s="10"/>
      <c r="P81" s="10"/>
      <c r="Q81" s="2"/>
      <c r="R81" s="2"/>
      <c r="S81" s="2"/>
      <c r="T81" s="2"/>
      <c r="U81" s="7" t="str">
        <f>IF(OR(AO81="",J81="",AO81&lt;=0),"",(J81-AO81)/AO81)</f>
        <v/>
      </c>
      <c r="V81" s="7" t="str">
        <f>IF(OR(AO81="",N81="",AO81&lt;=0),"",(AO81-N81)/AO81)</f>
        <v/>
      </c>
      <c r="W81" s="24" t="str">
        <f>IF(OR(U81="",V81="",V81&lt;=0),"",U81/V81)</f>
        <v/>
      </c>
      <c r="X81" s="5" t="str">
        <f>IF(OR(K81="",L81="",AP81=""),"",K81*L81-(E81*H81+IF(AND(AK81&lt;&gt;"",AL81&lt;&gt;""),AK81*AL81,0)+IF(AND(AM81&lt;&gt;"",AN81&lt;&gt;""),AM81*AN81,0))-IF(O81="",0,O81)-IF(P81="",0,P81))</f>
        <v/>
      </c>
      <c r="Y81" s="7" t="str">
        <f>IF(OR(X81="",AP81=""),"",IF((E81*H81+IF(AND(AK81&lt;&gt;"",AL81&lt;&gt;""),AK81*AL81,0)+IF(AND(AM81&lt;&gt;"",AN81&lt;&gt;""),AM81*AN81,0))+IF(O81="",0,O81)&lt;=0,"",X81/((E81*H81+IF(AND(AK81&lt;&gt;"",AL81&lt;&gt;""),AK81*AL81,0)+IF(AND(AM81&lt;&gt;"",AN81&lt;&gt;""),AM81*AN81,0))+IF(O81="",0,O81))))</f>
        <v/>
      </c>
      <c r="Z81" s="7" t="str">
        <f>IF(OR(AE81="",多次统计数据!$B$8=""),"",AE81-多次统计数据!$B$8)</f>
        <v/>
      </c>
      <c r="AA81" s="11" t="str">
        <f>IF(OR(I81="",M81="",M81&lt;I81),"",M81-I81)</f>
        <v/>
      </c>
      <c r="AB81" s="7" t="str">
        <f>IF(OR(A81="",多次统计数据!$B$8="",多次统计数据!$B$6&lt;=0,多次统计数据!$B$6&gt;=1),"",1-POWER(1+多次统计数据!$B$8,-多次统计数据!$B$6/(1-多次统计数据!$B$6)))</f>
        <v/>
      </c>
      <c r="AC81" s="8" t="str">
        <f>IF(OR(AB81="",多次统计数据!$B$9=""),"",IF(多次统计数据!$B$9&lt;AB81,"低于上限","达到或超过上限"))</f>
        <v/>
      </c>
      <c r="AD81" s="2"/>
      <c r="AE81" s="7" t="str">
        <f>IF(OR(X81="",C81="",C81&lt;=0),"",X81/C81)</f>
        <v/>
      </c>
      <c r="AG81" s="2"/>
      <c r="AH81" s="2"/>
      <c r="AI81" s="2"/>
      <c r="AJ81" s="8" t="str">
        <f>IF(OR(AG81="",AH81=""),"",IF(OR(AND(AG81="短期博反弹",OR(AH81="1～3个交易日",AH81="4～10个交易日")),AND(AG81="突破冲新高",OR(AH81="4～10个交易日",AH81="11～20个交易日")),AND(AG81="趋势波段",OR(AH81="11～20个交易日",AH81="21～60个交易日",AH81="60个交易日以上"))),"匹配","周期与交易预期不匹配，请重新确认"))</f>
        <v/>
      </c>
      <c r="AK81" s="10"/>
      <c r="AL81" s="12"/>
      <c r="AM81" s="10"/>
      <c r="AN81" s="12"/>
      <c r="AO81" s="5" t="str">
        <f>IF(OR(A81="",H81="",H81&lt;=0),"",(E81*H81+IF(AND(AK81&lt;&gt;"",AL81&lt;&gt;""),AK81*AL81,0)+IF(AND(AM81&lt;&gt;"",AN81&lt;&gt;""),AM81*AN81,0))/AP81)</f>
        <v/>
      </c>
      <c r="AP81" s="11" t="str">
        <f>IF(OR(A81="",H81="",H81&lt;=0),"",H81+IF(AL81="",0,AL81)+IF(AN81="",0,AN81))</f>
        <v/>
      </c>
      <c r="AQ81" s="5" t="str">
        <f>IF(A81="","",IF(M81&lt;&gt;"",0,IF(OR(H81="",N81=""),"",MAX(E81-MAX(N81,IFERROR(SUMPRODUCT(MAX(((持仓跟踪!$A$2:$A$497="每日跟踪")*(持仓跟踪!$B$2:$B$497=A81))*持仓跟踪!$S$2:$S$497)),0)),0)*H81+IF(OR(AK81="",AL81=""),0,MAX(AK81-MAX(N81,IFERROR(SUMPRODUCT(MAX(((持仓跟踪!$A$2:$A$497="每日跟踪")*(持仓跟踪!$B$2:$B$497=A81))*持仓跟踪!$S$2:$S$497)),0)),0)*AL81)+IF(OR(AM81="",AN81=""),0,MAX(AM81-MAX(N81,IFERROR(SUMPRODUCT(MAX(((持仓跟踪!$A$2:$A$497="每日跟踪")*(持仓跟踪!$B$2:$B$497=A81))*持仓跟踪!$S$2:$S$497)),0)),0)*AN81))))</f>
        <v/>
      </c>
      <c r="AR81" s="8" t="str">
        <f ca="1">IF(A81="","",IF(OR(E81="",H81=""),"违规：第一批价格或股数缺失",IF(OR(AND(AK81="",AL81&lt;&gt;""),AND(AK81&lt;&gt;"",AL81="")),"违规：第二批价格与股数须成对填写",IF(OR(AND(AM81="",AN81&lt;&gt;""),AND(AM81&lt;&gt;"",AN81="")),"违规：第三批价格与股数须成对填写",IF(AND(OR(AM81&lt;&gt;"",AN81&lt;&gt;""),OR(AK81="",AL81="")),"违规：必须先完成第二批",IF(OR(H81&lt;=0,H81&lt;&gt;INT(H81),MOD(H81,100)&lt;&gt;0,AND(AL81&lt;&gt;"",OR(AL81&lt;=0,AL81&lt;&gt;INT(AL81),MOD(AL81,100)&lt;&gt;0)),AND(AN81&lt;&gt;"",OR(AN81&lt;=0,AN81&lt;&gt;INT(AN81),MOD(AN81,100)&lt;&gt;0))),"违规：股数须为100股整数倍",IF(AND(OR(AL81&lt;&gt;"",AN81&lt;&gt;""),OR(_LockStatus="已锁仓",_LockStatus="解锁信息不完整")),"违规：锁仓期间禁止加仓",IF(AQ81&gt;C81*D81,"违规：超过单笔风险上限",IF(SUM($AQ$2:$AQ$163)&gt;账户数据!$B$7,"违规：超过账户风险上限","通过")))))))))</f>
        <v/>
      </c>
    </row>
    <row r="82" ht="17" spans="1:44">
      <c r="A82" s="2"/>
      <c r="B82" s="2"/>
      <c r="C82" s="10"/>
      <c r="D82" s="6"/>
      <c r="E82" s="10"/>
      <c r="F82" s="8" t="str">
        <f>IF(OR(C82="",D82="",E82="",N82="",C82&lt;=0,D82&lt;=0,E82&lt;=N82),"",ROUNDDOWN((C82*D82)/(E82-N82)/100,0)*100)</f>
        <v/>
      </c>
      <c r="G82" s="8" t="str">
        <f ca="1"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COUNTIFS(持仓跟踪!$A$2:$A$497,"止损计划",持仓跟踪!$B$2:$B$497,A82,持仓跟踪!$AC$2:$AC$497,"计划有效")=0,"禁止开仓：请先填写止损计划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2" s="2"/>
      <c r="I82" s="15"/>
      <c r="J82" s="10"/>
      <c r="K82" s="10"/>
      <c r="L82" s="8" t="str">
        <f>IF(K82="","",H82)</f>
        <v/>
      </c>
      <c r="M82" s="15"/>
      <c r="N82" s="10"/>
      <c r="O82" s="10"/>
      <c r="P82" s="10"/>
      <c r="Q82" s="2"/>
      <c r="R82" s="2"/>
      <c r="S82" s="2"/>
      <c r="T82" s="2"/>
      <c r="U82" s="7" t="str">
        <f>IF(OR(AO82="",J82="",AO82&lt;=0),"",(J82-AO82)/AO82)</f>
        <v/>
      </c>
      <c r="V82" s="7" t="str">
        <f>IF(OR(AO82="",N82="",AO82&lt;=0),"",(AO82-N82)/AO82)</f>
        <v/>
      </c>
      <c r="W82" s="24" t="str">
        <f>IF(OR(U82="",V82="",V82&lt;=0),"",U82/V82)</f>
        <v/>
      </c>
      <c r="X82" s="5" t="str">
        <f>IF(OR(K82="",L82="",AP82=""),"",K82*L82-(E82*H82+IF(AND(AK82&lt;&gt;"",AL82&lt;&gt;""),AK82*AL82,0)+IF(AND(AM82&lt;&gt;"",AN82&lt;&gt;""),AM82*AN82,0))-IF(O82="",0,O82)-IF(P82="",0,P82))</f>
        <v/>
      </c>
      <c r="Y82" s="7" t="str">
        <f>IF(OR(X82="",AP82=""),"",IF((E82*H82+IF(AND(AK82&lt;&gt;"",AL82&lt;&gt;""),AK82*AL82,0)+IF(AND(AM82&lt;&gt;"",AN82&lt;&gt;""),AM82*AN82,0))+IF(O82="",0,O82)&lt;=0,"",X82/((E82*H82+IF(AND(AK82&lt;&gt;"",AL82&lt;&gt;""),AK82*AL82,0)+IF(AND(AM82&lt;&gt;"",AN82&lt;&gt;""),AM82*AN82,0))+IF(O82="",0,O82))))</f>
        <v/>
      </c>
      <c r="Z82" s="7" t="str">
        <f>IF(OR(AE82="",多次统计数据!$B$8=""),"",AE82-多次统计数据!$B$8)</f>
        <v/>
      </c>
      <c r="AA82" s="11" t="str">
        <f>IF(OR(I82="",M82="",M82&lt;I82),"",M82-I82)</f>
        <v/>
      </c>
      <c r="AB82" s="7" t="str">
        <f>IF(OR(A82="",多次统计数据!$B$8="",多次统计数据!$B$6&lt;=0,多次统计数据!$B$6&gt;=1),"",1-POWER(1+多次统计数据!$B$8,-多次统计数据!$B$6/(1-多次统计数据!$B$6)))</f>
        <v/>
      </c>
      <c r="AC82" s="8" t="str">
        <f>IF(OR(AB82="",多次统计数据!$B$9=""),"",IF(多次统计数据!$B$9&lt;AB82,"低于上限","达到或超过上限"))</f>
        <v/>
      </c>
      <c r="AD82" s="2"/>
      <c r="AE82" s="7" t="str">
        <f>IF(OR(X82="",C82="",C82&lt;=0),"",X82/C82)</f>
        <v/>
      </c>
      <c r="AG82" s="2"/>
      <c r="AH82" s="2"/>
      <c r="AI82" s="2"/>
      <c r="AJ82" s="8" t="str">
        <f>IF(OR(AG82="",AH82=""),"",IF(OR(AND(AG82="短期博反弹",OR(AH82="1～3个交易日",AH82="4～10个交易日")),AND(AG82="突破冲新高",OR(AH82="4～10个交易日",AH82="11～20个交易日")),AND(AG82="趋势波段",OR(AH82="11～20个交易日",AH82="21～60个交易日",AH82="60个交易日以上"))),"匹配","周期与交易预期不匹配，请重新确认"))</f>
        <v/>
      </c>
      <c r="AK82" s="10"/>
      <c r="AL82" s="12"/>
      <c r="AM82" s="10"/>
      <c r="AN82" s="12"/>
      <c r="AO82" s="5" t="str">
        <f>IF(OR(A82="",H82="",H82&lt;=0),"",(E82*H82+IF(AND(AK82&lt;&gt;"",AL82&lt;&gt;""),AK82*AL82,0)+IF(AND(AM82&lt;&gt;"",AN82&lt;&gt;""),AM82*AN82,0))/AP82)</f>
        <v/>
      </c>
      <c r="AP82" s="11" t="str">
        <f>IF(OR(A82="",H82="",H82&lt;=0),"",H82+IF(AL82="",0,AL82)+IF(AN82="",0,AN82))</f>
        <v/>
      </c>
      <c r="AQ82" s="5" t="str">
        <f>IF(A82="","",IF(M82&lt;&gt;"",0,IF(OR(H82="",N82=""),"",MAX(E82-MAX(N82,IFERROR(SUMPRODUCT(MAX(((持仓跟踪!$A$2:$A$497="每日跟踪")*(持仓跟踪!$B$2:$B$497=A82))*持仓跟踪!$S$2:$S$497)),0)),0)*H82+IF(OR(AK82="",AL82=""),0,MAX(AK82-MAX(N82,IFERROR(SUMPRODUCT(MAX(((持仓跟踪!$A$2:$A$497="每日跟踪")*(持仓跟踪!$B$2:$B$497=A82))*持仓跟踪!$S$2:$S$497)),0)),0)*AL82)+IF(OR(AM82="",AN82=""),0,MAX(AM82-MAX(N82,IFERROR(SUMPRODUCT(MAX(((持仓跟踪!$A$2:$A$497="每日跟踪")*(持仓跟踪!$B$2:$B$497=A82))*持仓跟踪!$S$2:$S$497)),0)),0)*AN82))))</f>
        <v/>
      </c>
      <c r="AR82" s="8" t="str">
        <f ca="1">IF(A82="","",IF(OR(E82="",H82=""),"违规：第一批价格或股数缺失",IF(OR(AND(AK82="",AL82&lt;&gt;""),AND(AK82&lt;&gt;"",AL82="")),"违规：第二批价格与股数须成对填写",IF(OR(AND(AM82="",AN82&lt;&gt;""),AND(AM82&lt;&gt;"",AN82="")),"违规：第三批价格与股数须成对填写",IF(AND(OR(AM82&lt;&gt;"",AN82&lt;&gt;""),OR(AK82="",AL82="")),"违规：必须先完成第二批",IF(OR(H82&lt;=0,H82&lt;&gt;INT(H82),MOD(H82,100)&lt;&gt;0,AND(AL82&lt;&gt;"",OR(AL82&lt;=0,AL82&lt;&gt;INT(AL82),MOD(AL82,100)&lt;&gt;0)),AND(AN82&lt;&gt;"",OR(AN82&lt;=0,AN82&lt;&gt;INT(AN82),MOD(AN82,100)&lt;&gt;0))),"违规：股数须为100股整数倍",IF(AND(OR(AL82&lt;&gt;"",AN82&lt;&gt;""),OR(_LockStatus="已锁仓",_LockStatus="解锁信息不完整")),"违规：锁仓期间禁止加仓",IF(AQ82&gt;C82*D82,"违规：超过单笔风险上限",IF(SUM($AQ$2:$AQ$163)&gt;账户数据!$B$7,"违规：超过账户风险上限","通过")))))))))</f>
        <v/>
      </c>
    </row>
    <row r="83" ht="17" spans="1:44">
      <c r="A83" s="2"/>
      <c r="B83" s="2"/>
      <c r="C83" s="10"/>
      <c r="D83" s="6"/>
      <c r="E83" s="10"/>
      <c r="F83" s="8" t="str">
        <f>IF(OR(C83="",D83="",E83="",N83="",C83&lt;=0,D83&lt;=0,E83&lt;=N83),"",ROUNDDOWN((C83*D83)/(E83-N83)/100,0)*100)</f>
        <v/>
      </c>
      <c r="G83" s="8" t="str">
        <f ca="1"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COUNTIFS(持仓跟踪!$A$2:$A$497,"止损计划",持仓跟踪!$B$2:$B$497,A83,持仓跟踪!$AC$2:$AC$497,"计划有效")=0,"禁止开仓：请先填写止损计划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3" s="2"/>
      <c r="I83" s="15"/>
      <c r="J83" s="10"/>
      <c r="K83" s="10"/>
      <c r="L83" s="8" t="str">
        <f>IF(K83="","",H83)</f>
        <v/>
      </c>
      <c r="M83" s="15"/>
      <c r="N83" s="10"/>
      <c r="O83" s="10"/>
      <c r="P83" s="10"/>
      <c r="Q83" s="2"/>
      <c r="R83" s="2"/>
      <c r="S83" s="2"/>
      <c r="T83" s="2"/>
      <c r="U83" s="7" t="str">
        <f>IF(OR(AO83="",J83="",AO83&lt;=0),"",(J83-AO83)/AO83)</f>
        <v/>
      </c>
      <c r="V83" s="7" t="str">
        <f>IF(OR(AO83="",N83="",AO83&lt;=0),"",(AO83-N83)/AO83)</f>
        <v/>
      </c>
      <c r="W83" s="24" t="str">
        <f>IF(OR(U83="",V83="",V83&lt;=0),"",U83/V83)</f>
        <v/>
      </c>
      <c r="X83" s="5" t="str">
        <f>IF(OR(K83="",L83="",AP83=""),"",K83*L83-(E83*H83+IF(AND(AK83&lt;&gt;"",AL83&lt;&gt;""),AK83*AL83,0)+IF(AND(AM83&lt;&gt;"",AN83&lt;&gt;""),AM83*AN83,0))-IF(O83="",0,O83)-IF(P83="",0,P83))</f>
        <v/>
      </c>
      <c r="Y83" s="7" t="str">
        <f>IF(OR(X83="",AP83=""),"",IF((E83*H83+IF(AND(AK83&lt;&gt;"",AL83&lt;&gt;""),AK83*AL83,0)+IF(AND(AM83&lt;&gt;"",AN83&lt;&gt;""),AM83*AN83,0))+IF(O83="",0,O83)&lt;=0,"",X83/((E83*H83+IF(AND(AK83&lt;&gt;"",AL83&lt;&gt;""),AK83*AL83,0)+IF(AND(AM83&lt;&gt;"",AN83&lt;&gt;""),AM83*AN83,0))+IF(O83="",0,O83))))</f>
        <v/>
      </c>
      <c r="Z83" s="7" t="str">
        <f>IF(OR(AE83="",多次统计数据!$B$8=""),"",AE83-多次统计数据!$B$8)</f>
        <v/>
      </c>
      <c r="AA83" s="11" t="str">
        <f>IF(OR(I83="",M83="",M83&lt;I83),"",M83-I83)</f>
        <v/>
      </c>
      <c r="AB83" s="7" t="str">
        <f>IF(OR(A83="",多次统计数据!$B$8="",多次统计数据!$B$6&lt;=0,多次统计数据!$B$6&gt;=1),"",1-POWER(1+多次统计数据!$B$8,-多次统计数据!$B$6/(1-多次统计数据!$B$6)))</f>
        <v/>
      </c>
      <c r="AC83" s="8" t="str">
        <f>IF(OR(AB83="",多次统计数据!$B$9=""),"",IF(多次统计数据!$B$9&lt;AB83,"低于上限","达到或超过上限"))</f>
        <v/>
      </c>
      <c r="AD83" s="2"/>
      <c r="AE83" s="7" t="str">
        <f>IF(OR(X83="",C83="",C83&lt;=0),"",X83/C83)</f>
        <v/>
      </c>
      <c r="AG83" s="2"/>
      <c r="AH83" s="2"/>
      <c r="AI83" s="2"/>
      <c r="AJ83" s="8" t="str">
        <f>IF(OR(AG83="",AH83=""),"",IF(OR(AND(AG83="短期博反弹",OR(AH83="1～3个交易日",AH83="4～10个交易日")),AND(AG83="突破冲新高",OR(AH83="4～10个交易日",AH83="11～20个交易日")),AND(AG83="趋势波段",OR(AH83="11～20个交易日",AH83="21～60个交易日",AH83="60个交易日以上"))),"匹配","周期与交易预期不匹配，请重新确认"))</f>
        <v/>
      </c>
      <c r="AK83" s="10"/>
      <c r="AL83" s="12"/>
      <c r="AM83" s="10"/>
      <c r="AN83" s="12"/>
      <c r="AO83" s="5" t="str">
        <f>IF(OR(A83="",H83="",H83&lt;=0),"",(E83*H83+IF(AND(AK83&lt;&gt;"",AL83&lt;&gt;""),AK83*AL83,0)+IF(AND(AM83&lt;&gt;"",AN83&lt;&gt;""),AM83*AN83,0))/AP83)</f>
        <v/>
      </c>
      <c r="AP83" s="11" t="str">
        <f>IF(OR(A83="",H83="",H83&lt;=0),"",H83+IF(AL83="",0,AL83)+IF(AN83="",0,AN83))</f>
        <v/>
      </c>
      <c r="AQ83" s="5" t="str">
        <f>IF(A83="","",IF(M83&lt;&gt;"",0,IF(OR(H83="",N83=""),"",MAX(E83-MAX(N83,IFERROR(SUMPRODUCT(MAX(((持仓跟踪!$A$2:$A$497="每日跟踪")*(持仓跟踪!$B$2:$B$497=A83))*持仓跟踪!$S$2:$S$497)),0)),0)*H83+IF(OR(AK83="",AL83=""),0,MAX(AK83-MAX(N83,IFERROR(SUMPRODUCT(MAX(((持仓跟踪!$A$2:$A$497="每日跟踪")*(持仓跟踪!$B$2:$B$497=A83))*持仓跟踪!$S$2:$S$497)),0)),0)*AL83)+IF(OR(AM83="",AN83=""),0,MAX(AM83-MAX(N83,IFERROR(SUMPRODUCT(MAX(((持仓跟踪!$A$2:$A$497="每日跟踪")*(持仓跟踪!$B$2:$B$497=A83))*持仓跟踪!$S$2:$S$497)),0)),0)*AN83))))</f>
        <v/>
      </c>
      <c r="AR83" s="8" t="str">
        <f ca="1">IF(A83="","",IF(OR(E83="",H83=""),"违规：第一批价格或股数缺失",IF(OR(AND(AK83="",AL83&lt;&gt;""),AND(AK83&lt;&gt;"",AL83="")),"违规：第二批价格与股数须成对填写",IF(OR(AND(AM83="",AN83&lt;&gt;""),AND(AM83&lt;&gt;"",AN83="")),"违规：第三批价格与股数须成对填写",IF(AND(OR(AM83&lt;&gt;"",AN83&lt;&gt;""),OR(AK83="",AL83="")),"违规：必须先完成第二批",IF(OR(H83&lt;=0,H83&lt;&gt;INT(H83),MOD(H83,100)&lt;&gt;0,AND(AL83&lt;&gt;"",OR(AL83&lt;=0,AL83&lt;&gt;INT(AL83),MOD(AL83,100)&lt;&gt;0)),AND(AN83&lt;&gt;"",OR(AN83&lt;=0,AN83&lt;&gt;INT(AN83),MOD(AN83,100)&lt;&gt;0))),"违规：股数须为100股整数倍",IF(AND(OR(AL83&lt;&gt;"",AN83&lt;&gt;""),OR(_LockStatus="已锁仓",_LockStatus="解锁信息不完整")),"违规：锁仓期间禁止加仓",IF(AQ83&gt;C83*D83,"违规：超过单笔风险上限",IF(SUM($AQ$2:$AQ$163)&gt;账户数据!$B$7,"违规：超过账户风险上限","通过")))))))))</f>
        <v/>
      </c>
    </row>
    <row r="84" ht="17" spans="1:44">
      <c r="A84" s="2"/>
      <c r="B84" s="2"/>
      <c r="C84" s="10"/>
      <c r="D84" s="6"/>
      <c r="E84" s="10"/>
      <c r="F84" s="8" t="str">
        <f>IF(OR(C84="",D84="",E84="",N84="",C84&lt;=0,D84&lt;=0,E84&lt;=N84),"",ROUNDDOWN((C84*D84)/(E84-N84)/100,0)*100)</f>
        <v/>
      </c>
      <c r="G84" s="8" t="str">
        <f ca="1"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COUNTIFS(持仓跟踪!$A$2:$A$497,"止损计划",持仓跟踪!$B$2:$B$497,A84,持仓跟踪!$AC$2:$AC$497,"计划有效")=0,"禁止开仓：请先填写止损计划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4" s="2"/>
      <c r="I84" s="15"/>
      <c r="J84" s="10"/>
      <c r="K84" s="10"/>
      <c r="L84" s="8" t="str">
        <f>IF(K84="","",H84)</f>
        <v/>
      </c>
      <c r="M84" s="15"/>
      <c r="N84" s="10"/>
      <c r="O84" s="10"/>
      <c r="P84" s="10"/>
      <c r="Q84" s="2"/>
      <c r="R84" s="2"/>
      <c r="S84" s="2"/>
      <c r="T84" s="2"/>
      <c r="U84" s="7" t="str">
        <f>IF(OR(AO84="",J84="",AO84&lt;=0),"",(J84-AO84)/AO84)</f>
        <v/>
      </c>
      <c r="V84" s="7" t="str">
        <f>IF(OR(AO84="",N84="",AO84&lt;=0),"",(AO84-N84)/AO84)</f>
        <v/>
      </c>
      <c r="W84" s="24" t="str">
        <f>IF(OR(U84="",V84="",V84&lt;=0),"",U84/V84)</f>
        <v/>
      </c>
      <c r="X84" s="5" t="str">
        <f>IF(OR(K84="",L84="",AP84=""),"",K84*L84-(E84*H84+IF(AND(AK84&lt;&gt;"",AL84&lt;&gt;""),AK84*AL84,0)+IF(AND(AM84&lt;&gt;"",AN84&lt;&gt;""),AM84*AN84,0))-IF(O84="",0,O84)-IF(P84="",0,P84))</f>
        <v/>
      </c>
      <c r="Y84" s="7" t="str">
        <f>IF(OR(X84="",AP84=""),"",IF((E84*H84+IF(AND(AK84&lt;&gt;"",AL84&lt;&gt;""),AK84*AL84,0)+IF(AND(AM84&lt;&gt;"",AN84&lt;&gt;""),AM84*AN84,0))+IF(O84="",0,O84)&lt;=0,"",X84/((E84*H84+IF(AND(AK84&lt;&gt;"",AL84&lt;&gt;""),AK84*AL84,0)+IF(AND(AM84&lt;&gt;"",AN84&lt;&gt;""),AM84*AN84,0))+IF(O84="",0,O84))))</f>
        <v/>
      </c>
      <c r="Z84" s="7" t="str">
        <f>IF(OR(AE84="",多次统计数据!$B$8=""),"",AE84-多次统计数据!$B$8)</f>
        <v/>
      </c>
      <c r="AA84" s="11" t="str">
        <f>IF(OR(I84="",M84="",M84&lt;I84),"",M84-I84)</f>
        <v/>
      </c>
      <c r="AB84" s="7" t="str">
        <f>IF(OR(A84="",多次统计数据!$B$8="",多次统计数据!$B$6&lt;=0,多次统计数据!$B$6&gt;=1),"",1-POWER(1+多次统计数据!$B$8,-多次统计数据!$B$6/(1-多次统计数据!$B$6)))</f>
        <v/>
      </c>
      <c r="AC84" s="8" t="str">
        <f>IF(OR(AB84="",多次统计数据!$B$9=""),"",IF(多次统计数据!$B$9&lt;AB84,"低于上限","达到或超过上限"))</f>
        <v/>
      </c>
      <c r="AD84" s="2"/>
      <c r="AE84" s="7" t="str">
        <f>IF(OR(X84="",C84="",C84&lt;=0),"",X84/C84)</f>
        <v/>
      </c>
      <c r="AG84" s="2"/>
      <c r="AH84" s="2"/>
      <c r="AI84" s="2"/>
      <c r="AJ84" s="8" t="str">
        <f>IF(OR(AG84="",AH84=""),"",IF(OR(AND(AG84="短期博反弹",OR(AH84="1～3个交易日",AH84="4～10个交易日")),AND(AG84="突破冲新高",OR(AH84="4～10个交易日",AH84="11～20个交易日")),AND(AG84="趋势波段",OR(AH84="11～20个交易日",AH84="21～60个交易日",AH84="60个交易日以上"))),"匹配","周期与交易预期不匹配，请重新确认"))</f>
        <v/>
      </c>
      <c r="AK84" s="10"/>
      <c r="AL84" s="12"/>
      <c r="AM84" s="10"/>
      <c r="AN84" s="12"/>
      <c r="AO84" s="5" t="str">
        <f>IF(OR(A84="",H84="",H84&lt;=0),"",(E84*H84+IF(AND(AK84&lt;&gt;"",AL84&lt;&gt;""),AK84*AL84,0)+IF(AND(AM84&lt;&gt;"",AN84&lt;&gt;""),AM84*AN84,0))/AP84)</f>
        <v/>
      </c>
      <c r="AP84" s="11" t="str">
        <f>IF(OR(A84="",H84="",H84&lt;=0),"",H84+IF(AL84="",0,AL84)+IF(AN84="",0,AN84))</f>
        <v/>
      </c>
      <c r="AQ84" s="5" t="str">
        <f>IF(A84="","",IF(M84&lt;&gt;"",0,IF(OR(H84="",N84=""),"",MAX(E84-MAX(N84,IFERROR(SUMPRODUCT(MAX(((持仓跟踪!$A$2:$A$497="每日跟踪")*(持仓跟踪!$B$2:$B$497=A84))*持仓跟踪!$S$2:$S$497)),0)),0)*H84+IF(OR(AK84="",AL84=""),0,MAX(AK84-MAX(N84,IFERROR(SUMPRODUCT(MAX(((持仓跟踪!$A$2:$A$497="每日跟踪")*(持仓跟踪!$B$2:$B$497=A84))*持仓跟踪!$S$2:$S$497)),0)),0)*AL84)+IF(OR(AM84="",AN84=""),0,MAX(AM84-MAX(N84,IFERROR(SUMPRODUCT(MAX(((持仓跟踪!$A$2:$A$497="每日跟踪")*(持仓跟踪!$B$2:$B$497=A84))*持仓跟踪!$S$2:$S$497)),0)),0)*AN84))))</f>
        <v/>
      </c>
      <c r="AR84" s="8" t="str">
        <f ca="1">IF(A84="","",IF(OR(E84="",H84=""),"违规：第一批价格或股数缺失",IF(OR(AND(AK84="",AL84&lt;&gt;""),AND(AK84&lt;&gt;"",AL84="")),"违规：第二批价格与股数须成对填写",IF(OR(AND(AM84="",AN84&lt;&gt;""),AND(AM84&lt;&gt;"",AN84="")),"违规：第三批价格与股数须成对填写",IF(AND(OR(AM84&lt;&gt;"",AN84&lt;&gt;""),OR(AK84="",AL84="")),"违规：必须先完成第二批",IF(OR(H84&lt;=0,H84&lt;&gt;INT(H84),MOD(H84,100)&lt;&gt;0,AND(AL84&lt;&gt;"",OR(AL84&lt;=0,AL84&lt;&gt;INT(AL84),MOD(AL84,100)&lt;&gt;0)),AND(AN84&lt;&gt;"",OR(AN84&lt;=0,AN84&lt;&gt;INT(AN84),MOD(AN84,100)&lt;&gt;0))),"违规：股数须为100股整数倍",IF(AND(OR(AL84&lt;&gt;"",AN84&lt;&gt;""),OR(_LockStatus="已锁仓",_LockStatus="解锁信息不完整")),"违规：锁仓期间禁止加仓",IF(AQ84&gt;C84*D84,"违规：超过单笔风险上限",IF(SUM($AQ$2:$AQ$163)&gt;账户数据!$B$7,"违规：超过账户风险上限","通过")))))))))</f>
        <v/>
      </c>
    </row>
    <row r="85" ht="17" spans="1:44">
      <c r="A85" s="2"/>
      <c r="B85" s="2"/>
      <c r="C85" s="10"/>
      <c r="D85" s="6"/>
      <c r="E85" s="10"/>
      <c r="F85" s="8" t="str">
        <f>IF(OR(C85="",D85="",E85="",N85="",C85&lt;=0,D85&lt;=0,E85&lt;=N85),"",ROUNDDOWN((C85*D85)/(E85-N85)/100,0)*100)</f>
        <v/>
      </c>
      <c r="G85" s="8" t="str">
        <f ca="1"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COUNTIFS(持仓跟踪!$A$2:$A$497,"止损计划",持仓跟踪!$B$2:$B$497,A85,持仓跟踪!$AC$2:$AC$497,"计划有效")=0,"禁止开仓：请先填写止损计划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5" s="2"/>
      <c r="I85" s="15"/>
      <c r="J85" s="10"/>
      <c r="K85" s="10"/>
      <c r="L85" s="8" t="str">
        <f>IF(K85="","",H85)</f>
        <v/>
      </c>
      <c r="M85" s="15"/>
      <c r="N85" s="10"/>
      <c r="O85" s="10"/>
      <c r="P85" s="10"/>
      <c r="Q85" s="2"/>
      <c r="R85" s="2"/>
      <c r="S85" s="2"/>
      <c r="T85" s="2"/>
      <c r="U85" s="7" t="str">
        <f>IF(OR(AO85="",J85="",AO85&lt;=0),"",(J85-AO85)/AO85)</f>
        <v/>
      </c>
      <c r="V85" s="7" t="str">
        <f>IF(OR(AO85="",N85="",AO85&lt;=0),"",(AO85-N85)/AO85)</f>
        <v/>
      </c>
      <c r="W85" s="24" t="str">
        <f>IF(OR(U85="",V85="",V85&lt;=0),"",U85/V85)</f>
        <v/>
      </c>
      <c r="X85" s="5" t="str">
        <f>IF(OR(K85="",L85="",AP85=""),"",K85*L85-(E85*H85+IF(AND(AK85&lt;&gt;"",AL85&lt;&gt;""),AK85*AL85,0)+IF(AND(AM85&lt;&gt;"",AN85&lt;&gt;""),AM85*AN85,0))-IF(O85="",0,O85)-IF(P85="",0,P85))</f>
        <v/>
      </c>
      <c r="Y85" s="7" t="str">
        <f>IF(OR(X85="",AP85=""),"",IF((E85*H85+IF(AND(AK85&lt;&gt;"",AL85&lt;&gt;""),AK85*AL85,0)+IF(AND(AM85&lt;&gt;"",AN85&lt;&gt;""),AM85*AN85,0))+IF(O85="",0,O85)&lt;=0,"",X85/((E85*H85+IF(AND(AK85&lt;&gt;"",AL85&lt;&gt;""),AK85*AL85,0)+IF(AND(AM85&lt;&gt;"",AN85&lt;&gt;""),AM85*AN85,0))+IF(O85="",0,O85))))</f>
        <v/>
      </c>
      <c r="Z85" s="7" t="str">
        <f>IF(OR(AE85="",多次统计数据!$B$8=""),"",AE85-多次统计数据!$B$8)</f>
        <v/>
      </c>
      <c r="AA85" s="11" t="str">
        <f>IF(OR(I85="",M85="",M85&lt;I85),"",M85-I85)</f>
        <v/>
      </c>
      <c r="AB85" s="7" t="str">
        <f>IF(OR(A85="",多次统计数据!$B$8="",多次统计数据!$B$6&lt;=0,多次统计数据!$B$6&gt;=1),"",1-POWER(1+多次统计数据!$B$8,-多次统计数据!$B$6/(1-多次统计数据!$B$6)))</f>
        <v/>
      </c>
      <c r="AC85" s="8" t="str">
        <f>IF(OR(AB85="",多次统计数据!$B$9=""),"",IF(多次统计数据!$B$9&lt;AB85,"低于上限","达到或超过上限"))</f>
        <v/>
      </c>
      <c r="AD85" s="2"/>
      <c r="AE85" s="7" t="str">
        <f>IF(OR(X85="",C85="",C85&lt;=0),"",X85/C85)</f>
        <v/>
      </c>
      <c r="AG85" s="2"/>
      <c r="AH85" s="2"/>
      <c r="AI85" s="2"/>
      <c r="AJ85" s="8" t="str">
        <f>IF(OR(AG85="",AH85=""),"",IF(OR(AND(AG85="短期博反弹",OR(AH85="1～3个交易日",AH85="4～10个交易日")),AND(AG85="突破冲新高",OR(AH85="4～10个交易日",AH85="11～20个交易日")),AND(AG85="趋势波段",OR(AH85="11～20个交易日",AH85="21～60个交易日",AH85="60个交易日以上"))),"匹配","周期与交易预期不匹配，请重新确认"))</f>
        <v/>
      </c>
      <c r="AK85" s="10"/>
      <c r="AL85" s="12"/>
      <c r="AM85" s="10"/>
      <c r="AN85" s="12"/>
      <c r="AO85" s="5" t="str">
        <f>IF(OR(A85="",H85="",H85&lt;=0),"",(E85*H85+IF(AND(AK85&lt;&gt;"",AL85&lt;&gt;""),AK85*AL85,0)+IF(AND(AM85&lt;&gt;"",AN85&lt;&gt;""),AM85*AN85,0))/AP85)</f>
        <v/>
      </c>
      <c r="AP85" s="11" t="str">
        <f>IF(OR(A85="",H85="",H85&lt;=0),"",H85+IF(AL85="",0,AL85)+IF(AN85="",0,AN85))</f>
        <v/>
      </c>
      <c r="AQ85" s="5" t="str">
        <f>IF(A85="","",IF(M85&lt;&gt;"",0,IF(OR(H85="",N85=""),"",MAX(E85-MAX(N85,IFERROR(SUMPRODUCT(MAX(((持仓跟踪!$A$2:$A$497="每日跟踪")*(持仓跟踪!$B$2:$B$497=A85))*持仓跟踪!$S$2:$S$497)),0)),0)*H85+IF(OR(AK85="",AL85=""),0,MAX(AK85-MAX(N85,IFERROR(SUMPRODUCT(MAX(((持仓跟踪!$A$2:$A$497="每日跟踪")*(持仓跟踪!$B$2:$B$497=A85))*持仓跟踪!$S$2:$S$497)),0)),0)*AL85)+IF(OR(AM85="",AN85=""),0,MAX(AM85-MAX(N85,IFERROR(SUMPRODUCT(MAX(((持仓跟踪!$A$2:$A$497="每日跟踪")*(持仓跟踪!$B$2:$B$497=A85))*持仓跟踪!$S$2:$S$497)),0)),0)*AN85))))</f>
        <v/>
      </c>
      <c r="AR85" s="8" t="str">
        <f ca="1">IF(A85="","",IF(OR(E85="",H85=""),"违规：第一批价格或股数缺失",IF(OR(AND(AK85="",AL85&lt;&gt;""),AND(AK85&lt;&gt;"",AL85="")),"违规：第二批价格与股数须成对填写",IF(OR(AND(AM85="",AN85&lt;&gt;""),AND(AM85&lt;&gt;"",AN85="")),"违规：第三批价格与股数须成对填写",IF(AND(OR(AM85&lt;&gt;"",AN85&lt;&gt;""),OR(AK85="",AL85="")),"违规：必须先完成第二批",IF(OR(H85&lt;=0,H85&lt;&gt;INT(H85),MOD(H85,100)&lt;&gt;0,AND(AL85&lt;&gt;"",OR(AL85&lt;=0,AL85&lt;&gt;INT(AL85),MOD(AL85,100)&lt;&gt;0)),AND(AN85&lt;&gt;"",OR(AN85&lt;=0,AN85&lt;&gt;INT(AN85),MOD(AN85,100)&lt;&gt;0))),"违规：股数须为100股整数倍",IF(AND(OR(AL85&lt;&gt;"",AN85&lt;&gt;""),OR(_LockStatus="已锁仓",_LockStatus="解锁信息不完整")),"违规：锁仓期间禁止加仓",IF(AQ85&gt;C85*D85,"违规：超过单笔风险上限",IF(SUM($AQ$2:$AQ$163)&gt;账户数据!$B$7,"违规：超过账户风险上限","通过")))))))))</f>
        <v/>
      </c>
    </row>
    <row r="86" ht="17" spans="1:44">
      <c r="A86" s="2"/>
      <c r="B86" s="2"/>
      <c r="C86" s="10"/>
      <c r="D86" s="6"/>
      <c r="E86" s="10"/>
      <c r="F86" s="8" t="str">
        <f>IF(OR(C86="",D86="",E86="",N86="",C86&lt;=0,D86&lt;=0,E86&lt;=N86),"",ROUNDDOWN((C86*D86)/(E86-N86)/100,0)*100)</f>
        <v/>
      </c>
      <c r="G86" s="8" t="str">
        <f ca="1"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COUNTIFS(持仓跟踪!$A$2:$A$497,"止损计划",持仓跟踪!$B$2:$B$497,A86,持仓跟踪!$AC$2:$AC$497,"计划有效")=0,"禁止开仓：请先填写止损计划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6" s="2"/>
      <c r="I86" s="15"/>
      <c r="J86" s="10"/>
      <c r="K86" s="10"/>
      <c r="L86" s="8" t="str">
        <f>IF(K86="","",H86)</f>
        <v/>
      </c>
      <c r="M86" s="15"/>
      <c r="N86" s="10"/>
      <c r="O86" s="10"/>
      <c r="P86" s="10"/>
      <c r="Q86" s="2"/>
      <c r="R86" s="2"/>
      <c r="S86" s="2"/>
      <c r="T86" s="2"/>
      <c r="U86" s="7" t="str">
        <f>IF(OR(AO86="",J86="",AO86&lt;=0),"",(J86-AO86)/AO86)</f>
        <v/>
      </c>
      <c r="V86" s="7" t="str">
        <f>IF(OR(AO86="",N86="",AO86&lt;=0),"",(AO86-N86)/AO86)</f>
        <v/>
      </c>
      <c r="W86" s="24" t="str">
        <f>IF(OR(U86="",V86="",V86&lt;=0),"",U86/V86)</f>
        <v/>
      </c>
      <c r="X86" s="5" t="str">
        <f>IF(OR(K86="",L86="",AP86=""),"",K86*L86-(E86*H86+IF(AND(AK86&lt;&gt;"",AL86&lt;&gt;""),AK86*AL86,0)+IF(AND(AM86&lt;&gt;"",AN86&lt;&gt;""),AM86*AN86,0))-IF(O86="",0,O86)-IF(P86="",0,P86))</f>
        <v/>
      </c>
      <c r="Y86" s="7" t="str">
        <f>IF(OR(X86="",AP86=""),"",IF((E86*H86+IF(AND(AK86&lt;&gt;"",AL86&lt;&gt;""),AK86*AL86,0)+IF(AND(AM86&lt;&gt;"",AN86&lt;&gt;""),AM86*AN86,0))+IF(O86="",0,O86)&lt;=0,"",X86/((E86*H86+IF(AND(AK86&lt;&gt;"",AL86&lt;&gt;""),AK86*AL86,0)+IF(AND(AM86&lt;&gt;"",AN86&lt;&gt;""),AM86*AN86,0))+IF(O86="",0,O86))))</f>
        <v/>
      </c>
      <c r="Z86" s="7" t="str">
        <f>IF(OR(AE86="",多次统计数据!$B$8=""),"",AE86-多次统计数据!$B$8)</f>
        <v/>
      </c>
      <c r="AA86" s="11" t="str">
        <f>IF(OR(I86="",M86="",M86&lt;I86),"",M86-I86)</f>
        <v/>
      </c>
      <c r="AB86" s="7" t="str">
        <f>IF(OR(A86="",多次统计数据!$B$8="",多次统计数据!$B$6&lt;=0,多次统计数据!$B$6&gt;=1),"",1-POWER(1+多次统计数据!$B$8,-多次统计数据!$B$6/(1-多次统计数据!$B$6)))</f>
        <v/>
      </c>
      <c r="AC86" s="8" t="str">
        <f>IF(OR(AB86="",多次统计数据!$B$9=""),"",IF(多次统计数据!$B$9&lt;AB86,"低于上限","达到或超过上限"))</f>
        <v/>
      </c>
      <c r="AD86" s="2"/>
      <c r="AE86" s="7" t="str">
        <f>IF(OR(X86="",C86="",C86&lt;=0),"",X86/C86)</f>
        <v/>
      </c>
      <c r="AG86" s="2"/>
      <c r="AH86" s="2"/>
      <c r="AI86" s="2"/>
      <c r="AJ86" s="8" t="str">
        <f>IF(OR(AG86="",AH86=""),"",IF(OR(AND(AG86="短期博反弹",OR(AH86="1～3个交易日",AH86="4～10个交易日")),AND(AG86="突破冲新高",OR(AH86="4～10个交易日",AH86="11～20个交易日")),AND(AG86="趋势波段",OR(AH86="11～20个交易日",AH86="21～60个交易日",AH86="60个交易日以上"))),"匹配","周期与交易预期不匹配，请重新确认"))</f>
        <v/>
      </c>
      <c r="AK86" s="10"/>
      <c r="AL86" s="12"/>
      <c r="AM86" s="10"/>
      <c r="AN86" s="12"/>
      <c r="AO86" s="5" t="str">
        <f>IF(OR(A86="",H86="",H86&lt;=0),"",(E86*H86+IF(AND(AK86&lt;&gt;"",AL86&lt;&gt;""),AK86*AL86,0)+IF(AND(AM86&lt;&gt;"",AN86&lt;&gt;""),AM86*AN86,0))/AP86)</f>
        <v/>
      </c>
      <c r="AP86" s="11" t="str">
        <f>IF(OR(A86="",H86="",H86&lt;=0),"",H86+IF(AL86="",0,AL86)+IF(AN86="",0,AN86))</f>
        <v/>
      </c>
      <c r="AQ86" s="5" t="str">
        <f>IF(A86="","",IF(M86&lt;&gt;"",0,IF(OR(H86="",N86=""),"",MAX(E86-MAX(N86,IFERROR(SUMPRODUCT(MAX(((持仓跟踪!$A$2:$A$497="每日跟踪")*(持仓跟踪!$B$2:$B$497=A86))*持仓跟踪!$S$2:$S$497)),0)),0)*H86+IF(OR(AK86="",AL86=""),0,MAX(AK86-MAX(N86,IFERROR(SUMPRODUCT(MAX(((持仓跟踪!$A$2:$A$497="每日跟踪")*(持仓跟踪!$B$2:$B$497=A86))*持仓跟踪!$S$2:$S$497)),0)),0)*AL86)+IF(OR(AM86="",AN86=""),0,MAX(AM86-MAX(N86,IFERROR(SUMPRODUCT(MAX(((持仓跟踪!$A$2:$A$497="每日跟踪")*(持仓跟踪!$B$2:$B$497=A86))*持仓跟踪!$S$2:$S$497)),0)),0)*AN86))))</f>
        <v/>
      </c>
      <c r="AR86" s="8" t="str">
        <f ca="1">IF(A86="","",IF(OR(E86="",H86=""),"违规：第一批价格或股数缺失",IF(OR(AND(AK86="",AL86&lt;&gt;""),AND(AK86&lt;&gt;"",AL86="")),"违规：第二批价格与股数须成对填写",IF(OR(AND(AM86="",AN86&lt;&gt;""),AND(AM86&lt;&gt;"",AN86="")),"违规：第三批价格与股数须成对填写",IF(AND(OR(AM86&lt;&gt;"",AN86&lt;&gt;""),OR(AK86="",AL86="")),"违规：必须先完成第二批",IF(OR(H86&lt;=0,H86&lt;&gt;INT(H86),MOD(H86,100)&lt;&gt;0,AND(AL86&lt;&gt;"",OR(AL86&lt;=0,AL86&lt;&gt;INT(AL86),MOD(AL86,100)&lt;&gt;0)),AND(AN86&lt;&gt;"",OR(AN86&lt;=0,AN86&lt;&gt;INT(AN86),MOD(AN86,100)&lt;&gt;0))),"违规：股数须为100股整数倍",IF(AND(OR(AL86&lt;&gt;"",AN86&lt;&gt;""),OR(_LockStatus="已锁仓",_LockStatus="解锁信息不完整")),"违规：锁仓期间禁止加仓",IF(AQ86&gt;C86*D86,"违规：超过单笔风险上限",IF(SUM($AQ$2:$AQ$163)&gt;账户数据!$B$7,"违规：超过账户风险上限","通过")))))))))</f>
        <v/>
      </c>
    </row>
    <row r="87" ht="17" spans="1:44">
      <c r="A87" s="2"/>
      <c r="B87" s="2"/>
      <c r="C87" s="10"/>
      <c r="D87" s="6"/>
      <c r="E87" s="10"/>
      <c r="F87" s="8" t="str">
        <f>IF(OR(C87="",D87="",E87="",N87="",C87&lt;=0,D87&lt;=0,E87&lt;=N87),"",ROUNDDOWN((C87*D87)/(E87-N87)/100,0)*100)</f>
        <v/>
      </c>
      <c r="G87" s="8" t="str">
        <f ca="1"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COUNTIFS(持仓跟踪!$A$2:$A$497,"止损计划",持仓跟踪!$B$2:$B$497,A87,持仓跟踪!$AC$2:$AC$497,"计划有效")=0,"禁止开仓：请先填写止损计划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7" s="2"/>
      <c r="I87" s="15"/>
      <c r="J87" s="10"/>
      <c r="K87" s="10"/>
      <c r="L87" s="8" t="str">
        <f>IF(K87="","",H87)</f>
        <v/>
      </c>
      <c r="M87" s="15"/>
      <c r="N87" s="10"/>
      <c r="O87" s="10"/>
      <c r="P87" s="10"/>
      <c r="Q87" s="2"/>
      <c r="R87" s="2"/>
      <c r="S87" s="2"/>
      <c r="T87" s="2"/>
      <c r="U87" s="7" t="str">
        <f>IF(OR(AO87="",J87="",AO87&lt;=0),"",(J87-AO87)/AO87)</f>
        <v/>
      </c>
      <c r="V87" s="7" t="str">
        <f>IF(OR(AO87="",N87="",AO87&lt;=0),"",(AO87-N87)/AO87)</f>
        <v/>
      </c>
      <c r="W87" s="24" t="str">
        <f>IF(OR(U87="",V87="",V87&lt;=0),"",U87/V87)</f>
        <v/>
      </c>
      <c r="X87" s="5" t="str">
        <f>IF(OR(K87="",L87="",AP87=""),"",K87*L87-(E87*H87+IF(AND(AK87&lt;&gt;"",AL87&lt;&gt;""),AK87*AL87,0)+IF(AND(AM87&lt;&gt;"",AN87&lt;&gt;""),AM87*AN87,0))-IF(O87="",0,O87)-IF(P87="",0,P87))</f>
        <v/>
      </c>
      <c r="Y87" s="7" t="str">
        <f>IF(OR(X87="",AP87=""),"",IF((E87*H87+IF(AND(AK87&lt;&gt;"",AL87&lt;&gt;""),AK87*AL87,0)+IF(AND(AM87&lt;&gt;"",AN87&lt;&gt;""),AM87*AN87,0))+IF(O87="",0,O87)&lt;=0,"",X87/((E87*H87+IF(AND(AK87&lt;&gt;"",AL87&lt;&gt;""),AK87*AL87,0)+IF(AND(AM87&lt;&gt;"",AN87&lt;&gt;""),AM87*AN87,0))+IF(O87="",0,O87))))</f>
        <v/>
      </c>
      <c r="Z87" s="7" t="str">
        <f>IF(OR(AE87="",多次统计数据!$B$8=""),"",AE87-多次统计数据!$B$8)</f>
        <v/>
      </c>
      <c r="AA87" s="11" t="str">
        <f>IF(OR(I87="",M87="",M87&lt;I87),"",M87-I87)</f>
        <v/>
      </c>
      <c r="AB87" s="7" t="str">
        <f>IF(OR(A87="",多次统计数据!$B$8="",多次统计数据!$B$6&lt;=0,多次统计数据!$B$6&gt;=1),"",1-POWER(1+多次统计数据!$B$8,-多次统计数据!$B$6/(1-多次统计数据!$B$6)))</f>
        <v/>
      </c>
      <c r="AC87" s="8" t="str">
        <f>IF(OR(AB87="",多次统计数据!$B$9=""),"",IF(多次统计数据!$B$9&lt;AB87,"低于上限","达到或超过上限"))</f>
        <v/>
      </c>
      <c r="AD87" s="2"/>
      <c r="AE87" s="7" t="str">
        <f>IF(OR(X87="",C87="",C87&lt;=0),"",X87/C87)</f>
        <v/>
      </c>
      <c r="AG87" s="2"/>
      <c r="AH87" s="2"/>
      <c r="AI87" s="2"/>
      <c r="AJ87" s="8" t="str">
        <f>IF(OR(AG87="",AH87=""),"",IF(OR(AND(AG87="短期博反弹",OR(AH87="1～3个交易日",AH87="4～10个交易日")),AND(AG87="突破冲新高",OR(AH87="4～10个交易日",AH87="11～20个交易日")),AND(AG87="趋势波段",OR(AH87="11～20个交易日",AH87="21～60个交易日",AH87="60个交易日以上"))),"匹配","周期与交易预期不匹配，请重新确认"))</f>
        <v/>
      </c>
      <c r="AK87" s="10"/>
      <c r="AL87" s="12"/>
      <c r="AM87" s="10"/>
      <c r="AN87" s="12"/>
      <c r="AO87" s="5" t="str">
        <f>IF(OR(A87="",H87="",H87&lt;=0),"",(E87*H87+IF(AND(AK87&lt;&gt;"",AL87&lt;&gt;""),AK87*AL87,0)+IF(AND(AM87&lt;&gt;"",AN87&lt;&gt;""),AM87*AN87,0))/AP87)</f>
        <v/>
      </c>
      <c r="AP87" s="11" t="str">
        <f>IF(OR(A87="",H87="",H87&lt;=0),"",H87+IF(AL87="",0,AL87)+IF(AN87="",0,AN87))</f>
        <v/>
      </c>
      <c r="AQ87" s="5" t="str">
        <f>IF(A87="","",IF(M87&lt;&gt;"",0,IF(OR(H87="",N87=""),"",MAX(E87-MAX(N87,IFERROR(SUMPRODUCT(MAX(((持仓跟踪!$A$2:$A$497="每日跟踪")*(持仓跟踪!$B$2:$B$497=A87))*持仓跟踪!$S$2:$S$497)),0)),0)*H87+IF(OR(AK87="",AL87=""),0,MAX(AK87-MAX(N87,IFERROR(SUMPRODUCT(MAX(((持仓跟踪!$A$2:$A$497="每日跟踪")*(持仓跟踪!$B$2:$B$497=A87))*持仓跟踪!$S$2:$S$497)),0)),0)*AL87)+IF(OR(AM87="",AN87=""),0,MAX(AM87-MAX(N87,IFERROR(SUMPRODUCT(MAX(((持仓跟踪!$A$2:$A$497="每日跟踪")*(持仓跟踪!$B$2:$B$497=A87))*持仓跟踪!$S$2:$S$497)),0)),0)*AN87))))</f>
        <v/>
      </c>
      <c r="AR87" s="8" t="str">
        <f ca="1">IF(A87="","",IF(OR(E87="",H87=""),"违规：第一批价格或股数缺失",IF(OR(AND(AK87="",AL87&lt;&gt;""),AND(AK87&lt;&gt;"",AL87="")),"违规：第二批价格与股数须成对填写",IF(OR(AND(AM87="",AN87&lt;&gt;""),AND(AM87&lt;&gt;"",AN87="")),"违规：第三批价格与股数须成对填写",IF(AND(OR(AM87&lt;&gt;"",AN87&lt;&gt;""),OR(AK87="",AL87="")),"违规：必须先完成第二批",IF(OR(H87&lt;=0,H87&lt;&gt;INT(H87),MOD(H87,100)&lt;&gt;0,AND(AL87&lt;&gt;"",OR(AL87&lt;=0,AL87&lt;&gt;INT(AL87),MOD(AL87,100)&lt;&gt;0)),AND(AN87&lt;&gt;"",OR(AN87&lt;=0,AN87&lt;&gt;INT(AN87),MOD(AN87,100)&lt;&gt;0))),"违规：股数须为100股整数倍",IF(AND(OR(AL87&lt;&gt;"",AN87&lt;&gt;""),OR(_LockStatus="已锁仓",_LockStatus="解锁信息不完整")),"违规：锁仓期间禁止加仓",IF(AQ87&gt;C87*D87,"违规：超过单笔风险上限",IF(SUM($AQ$2:$AQ$163)&gt;账户数据!$B$7,"违规：超过账户风险上限","通过")))))))))</f>
        <v/>
      </c>
    </row>
    <row r="88" ht="17" spans="1:44">
      <c r="A88" s="2"/>
      <c r="B88" s="2"/>
      <c r="C88" s="10"/>
      <c r="D88" s="6"/>
      <c r="E88" s="10"/>
      <c r="F88" s="8" t="str">
        <f>IF(OR(C88="",D88="",E88="",N88="",C88&lt;=0,D88&lt;=0,E88&lt;=N88),"",ROUNDDOWN((C88*D88)/(E88-N88)/100,0)*100)</f>
        <v/>
      </c>
      <c r="G88" s="8" t="str">
        <f ca="1"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COUNTIFS(持仓跟踪!$A$2:$A$497,"止损计划",持仓跟踪!$B$2:$B$497,A88,持仓跟踪!$AC$2:$AC$497,"计划有效")=0,"禁止开仓：请先填写止损计划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8" s="2"/>
      <c r="I88" s="15"/>
      <c r="J88" s="10"/>
      <c r="K88" s="10"/>
      <c r="L88" s="8" t="str">
        <f>IF(K88="","",H88)</f>
        <v/>
      </c>
      <c r="M88" s="15"/>
      <c r="N88" s="10"/>
      <c r="O88" s="10"/>
      <c r="P88" s="10"/>
      <c r="Q88" s="2"/>
      <c r="R88" s="2"/>
      <c r="S88" s="2"/>
      <c r="T88" s="2"/>
      <c r="U88" s="7" t="str">
        <f>IF(OR(AO88="",J88="",AO88&lt;=0),"",(J88-AO88)/AO88)</f>
        <v/>
      </c>
      <c r="V88" s="7" t="str">
        <f>IF(OR(AO88="",N88="",AO88&lt;=0),"",(AO88-N88)/AO88)</f>
        <v/>
      </c>
      <c r="W88" s="24" t="str">
        <f>IF(OR(U88="",V88="",V88&lt;=0),"",U88/V88)</f>
        <v/>
      </c>
      <c r="X88" s="5" t="str">
        <f>IF(OR(K88="",L88="",AP88=""),"",K88*L88-(E88*H88+IF(AND(AK88&lt;&gt;"",AL88&lt;&gt;""),AK88*AL88,0)+IF(AND(AM88&lt;&gt;"",AN88&lt;&gt;""),AM88*AN88,0))-IF(O88="",0,O88)-IF(P88="",0,P88))</f>
        <v/>
      </c>
      <c r="Y88" s="7" t="str">
        <f>IF(OR(X88="",AP88=""),"",IF((E88*H88+IF(AND(AK88&lt;&gt;"",AL88&lt;&gt;""),AK88*AL88,0)+IF(AND(AM88&lt;&gt;"",AN88&lt;&gt;""),AM88*AN88,0))+IF(O88="",0,O88)&lt;=0,"",X88/((E88*H88+IF(AND(AK88&lt;&gt;"",AL88&lt;&gt;""),AK88*AL88,0)+IF(AND(AM88&lt;&gt;"",AN88&lt;&gt;""),AM88*AN88,0))+IF(O88="",0,O88))))</f>
        <v/>
      </c>
      <c r="Z88" s="7" t="str">
        <f>IF(OR(AE88="",多次统计数据!$B$8=""),"",AE88-多次统计数据!$B$8)</f>
        <v/>
      </c>
      <c r="AA88" s="11" t="str">
        <f>IF(OR(I88="",M88="",M88&lt;I88),"",M88-I88)</f>
        <v/>
      </c>
      <c r="AB88" s="7" t="str">
        <f>IF(OR(A88="",多次统计数据!$B$8="",多次统计数据!$B$6&lt;=0,多次统计数据!$B$6&gt;=1),"",1-POWER(1+多次统计数据!$B$8,-多次统计数据!$B$6/(1-多次统计数据!$B$6)))</f>
        <v/>
      </c>
      <c r="AC88" s="8" t="str">
        <f>IF(OR(AB88="",多次统计数据!$B$9=""),"",IF(多次统计数据!$B$9&lt;AB88,"低于上限","达到或超过上限"))</f>
        <v/>
      </c>
      <c r="AD88" s="2"/>
      <c r="AE88" s="7" t="str">
        <f>IF(OR(X88="",C88="",C88&lt;=0),"",X88/C88)</f>
        <v/>
      </c>
      <c r="AG88" s="2"/>
      <c r="AH88" s="2"/>
      <c r="AI88" s="2"/>
      <c r="AJ88" s="8" t="str">
        <f>IF(OR(AG88="",AH88=""),"",IF(OR(AND(AG88="短期博反弹",OR(AH88="1～3个交易日",AH88="4～10个交易日")),AND(AG88="突破冲新高",OR(AH88="4～10个交易日",AH88="11～20个交易日")),AND(AG88="趋势波段",OR(AH88="11～20个交易日",AH88="21～60个交易日",AH88="60个交易日以上"))),"匹配","周期与交易预期不匹配，请重新确认"))</f>
        <v/>
      </c>
      <c r="AK88" s="10"/>
      <c r="AL88" s="12"/>
      <c r="AM88" s="10"/>
      <c r="AN88" s="12"/>
      <c r="AO88" s="5" t="str">
        <f>IF(OR(A88="",H88="",H88&lt;=0),"",(E88*H88+IF(AND(AK88&lt;&gt;"",AL88&lt;&gt;""),AK88*AL88,0)+IF(AND(AM88&lt;&gt;"",AN88&lt;&gt;""),AM88*AN88,0))/AP88)</f>
        <v/>
      </c>
      <c r="AP88" s="11" t="str">
        <f>IF(OR(A88="",H88="",H88&lt;=0),"",H88+IF(AL88="",0,AL88)+IF(AN88="",0,AN88))</f>
        <v/>
      </c>
      <c r="AQ88" s="5" t="str">
        <f>IF(A88="","",IF(M88&lt;&gt;"",0,IF(OR(H88="",N88=""),"",MAX(E88-MAX(N88,IFERROR(SUMPRODUCT(MAX(((持仓跟踪!$A$2:$A$497="每日跟踪")*(持仓跟踪!$B$2:$B$497=A88))*持仓跟踪!$S$2:$S$497)),0)),0)*H88+IF(OR(AK88="",AL88=""),0,MAX(AK88-MAX(N88,IFERROR(SUMPRODUCT(MAX(((持仓跟踪!$A$2:$A$497="每日跟踪")*(持仓跟踪!$B$2:$B$497=A88))*持仓跟踪!$S$2:$S$497)),0)),0)*AL88)+IF(OR(AM88="",AN88=""),0,MAX(AM88-MAX(N88,IFERROR(SUMPRODUCT(MAX(((持仓跟踪!$A$2:$A$497="每日跟踪")*(持仓跟踪!$B$2:$B$497=A88))*持仓跟踪!$S$2:$S$497)),0)),0)*AN88))))</f>
        <v/>
      </c>
      <c r="AR88" s="8" t="str">
        <f ca="1">IF(A88="","",IF(OR(E88="",H88=""),"违规：第一批价格或股数缺失",IF(OR(AND(AK88="",AL88&lt;&gt;""),AND(AK88&lt;&gt;"",AL88="")),"违规：第二批价格与股数须成对填写",IF(OR(AND(AM88="",AN88&lt;&gt;""),AND(AM88&lt;&gt;"",AN88="")),"违规：第三批价格与股数须成对填写",IF(AND(OR(AM88&lt;&gt;"",AN88&lt;&gt;""),OR(AK88="",AL88="")),"违规：必须先完成第二批",IF(OR(H88&lt;=0,H88&lt;&gt;INT(H88),MOD(H88,100)&lt;&gt;0,AND(AL88&lt;&gt;"",OR(AL88&lt;=0,AL88&lt;&gt;INT(AL88),MOD(AL88,100)&lt;&gt;0)),AND(AN88&lt;&gt;"",OR(AN88&lt;=0,AN88&lt;&gt;INT(AN88),MOD(AN88,100)&lt;&gt;0))),"违规：股数须为100股整数倍",IF(AND(OR(AL88&lt;&gt;"",AN88&lt;&gt;""),OR(_LockStatus="已锁仓",_LockStatus="解锁信息不完整")),"违规：锁仓期间禁止加仓",IF(AQ88&gt;C88*D88,"违规：超过单笔风险上限",IF(SUM($AQ$2:$AQ$163)&gt;账户数据!$B$7,"违规：超过账户风险上限","通过")))))))))</f>
        <v/>
      </c>
    </row>
    <row r="89" ht="17" spans="1:44">
      <c r="A89" s="2"/>
      <c r="B89" s="2"/>
      <c r="C89" s="10"/>
      <c r="D89" s="6"/>
      <c r="E89" s="10"/>
      <c r="F89" s="8" t="str">
        <f>IF(OR(C89="",D89="",E89="",N89="",C89&lt;=0,D89&lt;=0,E89&lt;=N89),"",ROUNDDOWN((C89*D89)/(E89-N89)/100,0)*100)</f>
        <v/>
      </c>
      <c r="G89" s="8" t="str">
        <f ca="1"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COUNTIFS(持仓跟踪!$A$2:$A$497,"止损计划",持仓跟踪!$B$2:$B$497,A89,持仓跟踪!$AC$2:$AC$497,"计划有效")=0,"禁止开仓：请先填写止损计划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9" s="2"/>
      <c r="I89" s="15"/>
      <c r="J89" s="10"/>
      <c r="K89" s="10"/>
      <c r="L89" s="8" t="str">
        <f>IF(K89="","",H89)</f>
        <v/>
      </c>
      <c r="M89" s="15"/>
      <c r="N89" s="10"/>
      <c r="O89" s="10"/>
      <c r="P89" s="10"/>
      <c r="Q89" s="2"/>
      <c r="R89" s="2"/>
      <c r="S89" s="2"/>
      <c r="T89" s="2"/>
      <c r="U89" s="7" t="str">
        <f>IF(OR(AO89="",J89="",AO89&lt;=0),"",(J89-AO89)/AO89)</f>
        <v/>
      </c>
      <c r="V89" s="7" t="str">
        <f>IF(OR(AO89="",N89="",AO89&lt;=0),"",(AO89-N89)/AO89)</f>
        <v/>
      </c>
      <c r="W89" s="24" t="str">
        <f>IF(OR(U89="",V89="",V89&lt;=0),"",U89/V89)</f>
        <v/>
      </c>
      <c r="X89" s="5" t="str">
        <f>IF(OR(K89="",L89="",AP89=""),"",K89*L89-(E89*H89+IF(AND(AK89&lt;&gt;"",AL89&lt;&gt;""),AK89*AL89,0)+IF(AND(AM89&lt;&gt;"",AN89&lt;&gt;""),AM89*AN89,0))-IF(O89="",0,O89)-IF(P89="",0,P89))</f>
        <v/>
      </c>
      <c r="Y89" s="7" t="str">
        <f>IF(OR(X89="",AP89=""),"",IF((E89*H89+IF(AND(AK89&lt;&gt;"",AL89&lt;&gt;""),AK89*AL89,0)+IF(AND(AM89&lt;&gt;"",AN89&lt;&gt;""),AM89*AN89,0))+IF(O89="",0,O89)&lt;=0,"",X89/((E89*H89+IF(AND(AK89&lt;&gt;"",AL89&lt;&gt;""),AK89*AL89,0)+IF(AND(AM89&lt;&gt;"",AN89&lt;&gt;""),AM89*AN89,0))+IF(O89="",0,O89))))</f>
        <v/>
      </c>
      <c r="Z89" s="7" t="str">
        <f>IF(OR(AE89="",多次统计数据!$B$8=""),"",AE89-多次统计数据!$B$8)</f>
        <v/>
      </c>
      <c r="AA89" s="11" t="str">
        <f>IF(OR(I89="",M89="",M89&lt;I89),"",M89-I89)</f>
        <v/>
      </c>
      <c r="AB89" s="7" t="str">
        <f>IF(OR(A89="",多次统计数据!$B$8="",多次统计数据!$B$6&lt;=0,多次统计数据!$B$6&gt;=1),"",1-POWER(1+多次统计数据!$B$8,-多次统计数据!$B$6/(1-多次统计数据!$B$6)))</f>
        <v/>
      </c>
      <c r="AC89" s="8" t="str">
        <f>IF(OR(AB89="",多次统计数据!$B$9=""),"",IF(多次统计数据!$B$9&lt;AB89,"低于上限","达到或超过上限"))</f>
        <v/>
      </c>
      <c r="AD89" s="2"/>
      <c r="AE89" s="7" t="str">
        <f>IF(OR(X89="",C89="",C89&lt;=0),"",X89/C89)</f>
        <v/>
      </c>
      <c r="AG89" s="2"/>
      <c r="AH89" s="2"/>
      <c r="AI89" s="2"/>
      <c r="AJ89" s="8" t="str">
        <f>IF(OR(AG89="",AH89=""),"",IF(OR(AND(AG89="短期博反弹",OR(AH89="1～3个交易日",AH89="4～10个交易日")),AND(AG89="突破冲新高",OR(AH89="4～10个交易日",AH89="11～20个交易日")),AND(AG89="趋势波段",OR(AH89="11～20个交易日",AH89="21～60个交易日",AH89="60个交易日以上"))),"匹配","周期与交易预期不匹配，请重新确认"))</f>
        <v/>
      </c>
      <c r="AK89" s="10"/>
      <c r="AL89" s="12"/>
      <c r="AM89" s="10"/>
      <c r="AN89" s="12"/>
      <c r="AO89" s="5" t="str">
        <f>IF(OR(A89="",H89="",H89&lt;=0),"",(E89*H89+IF(AND(AK89&lt;&gt;"",AL89&lt;&gt;""),AK89*AL89,0)+IF(AND(AM89&lt;&gt;"",AN89&lt;&gt;""),AM89*AN89,0))/AP89)</f>
        <v/>
      </c>
      <c r="AP89" s="11" t="str">
        <f>IF(OR(A89="",H89="",H89&lt;=0),"",H89+IF(AL89="",0,AL89)+IF(AN89="",0,AN89))</f>
        <v/>
      </c>
      <c r="AQ89" s="5" t="str">
        <f>IF(A89="","",IF(M89&lt;&gt;"",0,IF(OR(H89="",N89=""),"",MAX(E89-MAX(N89,IFERROR(SUMPRODUCT(MAX(((持仓跟踪!$A$2:$A$497="每日跟踪")*(持仓跟踪!$B$2:$B$497=A89))*持仓跟踪!$S$2:$S$497)),0)),0)*H89+IF(OR(AK89="",AL89=""),0,MAX(AK89-MAX(N89,IFERROR(SUMPRODUCT(MAX(((持仓跟踪!$A$2:$A$497="每日跟踪")*(持仓跟踪!$B$2:$B$497=A89))*持仓跟踪!$S$2:$S$497)),0)),0)*AL89)+IF(OR(AM89="",AN89=""),0,MAX(AM89-MAX(N89,IFERROR(SUMPRODUCT(MAX(((持仓跟踪!$A$2:$A$497="每日跟踪")*(持仓跟踪!$B$2:$B$497=A89))*持仓跟踪!$S$2:$S$497)),0)),0)*AN89))))</f>
        <v/>
      </c>
      <c r="AR89" s="8" t="str">
        <f ca="1">IF(A89="","",IF(OR(E89="",H89=""),"违规：第一批价格或股数缺失",IF(OR(AND(AK89="",AL89&lt;&gt;""),AND(AK89&lt;&gt;"",AL89="")),"违规：第二批价格与股数须成对填写",IF(OR(AND(AM89="",AN89&lt;&gt;""),AND(AM89&lt;&gt;"",AN89="")),"违规：第三批价格与股数须成对填写",IF(AND(OR(AM89&lt;&gt;"",AN89&lt;&gt;""),OR(AK89="",AL89="")),"违规：必须先完成第二批",IF(OR(H89&lt;=0,H89&lt;&gt;INT(H89),MOD(H89,100)&lt;&gt;0,AND(AL89&lt;&gt;"",OR(AL89&lt;=0,AL89&lt;&gt;INT(AL89),MOD(AL89,100)&lt;&gt;0)),AND(AN89&lt;&gt;"",OR(AN89&lt;=0,AN89&lt;&gt;INT(AN89),MOD(AN89,100)&lt;&gt;0))),"违规：股数须为100股整数倍",IF(AND(OR(AL89&lt;&gt;"",AN89&lt;&gt;""),OR(_LockStatus="已锁仓",_LockStatus="解锁信息不完整")),"违规：锁仓期间禁止加仓",IF(AQ89&gt;C89*D89,"违规：超过单笔风险上限",IF(SUM($AQ$2:$AQ$163)&gt;账户数据!$B$7,"违规：超过账户风险上限","通过")))))))))</f>
        <v/>
      </c>
    </row>
    <row r="90" ht="17" spans="1:44">
      <c r="A90" s="2"/>
      <c r="B90" s="2"/>
      <c r="C90" s="10"/>
      <c r="D90" s="6"/>
      <c r="E90" s="10"/>
      <c r="F90" s="8" t="str">
        <f>IF(OR(C90="",D90="",E90="",N90="",C90&lt;=0,D90&lt;=0,E90&lt;=N90),"",ROUNDDOWN((C90*D90)/(E90-N90)/100,0)*100)</f>
        <v/>
      </c>
      <c r="G90" s="8" t="str">
        <f ca="1"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COUNTIFS(持仓跟踪!$A$2:$A$497,"止损计划",持仓跟踪!$B$2:$B$497,A90,持仓跟踪!$AC$2:$AC$497,"计划有效")=0,"禁止开仓：请先填写止损计划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0" s="2"/>
      <c r="I90" s="15"/>
      <c r="J90" s="10"/>
      <c r="K90" s="10"/>
      <c r="L90" s="8" t="str">
        <f>IF(K90="","",H90)</f>
        <v/>
      </c>
      <c r="M90" s="15"/>
      <c r="N90" s="10"/>
      <c r="O90" s="10"/>
      <c r="P90" s="10"/>
      <c r="Q90" s="2"/>
      <c r="R90" s="2"/>
      <c r="S90" s="2"/>
      <c r="T90" s="2"/>
      <c r="U90" s="7" t="str">
        <f>IF(OR(AO90="",J90="",AO90&lt;=0),"",(J90-AO90)/AO90)</f>
        <v/>
      </c>
      <c r="V90" s="7" t="str">
        <f>IF(OR(AO90="",N90="",AO90&lt;=0),"",(AO90-N90)/AO90)</f>
        <v/>
      </c>
      <c r="W90" s="24" t="str">
        <f>IF(OR(U90="",V90="",V90&lt;=0),"",U90/V90)</f>
        <v/>
      </c>
      <c r="X90" s="5" t="str">
        <f>IF(OR(K90="",L90="",AP90=""),"",K90*L90-(E90*H90+IF(AND(AK90&lt;&gt;"",AL90&lt;&gt;""),AK90*AL90,0)+IF(AND(AM90&lt;&gt;"",AN90&lt;&gt;""),AM90*AN90,0))-IF(O90="",0,O90)-IF(P90="",0,P90))</f>
        <v/>
      </c>
      <c r="Y90" s="7" t="str">
        <f>IF(OR(X90="",AP90=""),"",IF((E90*H90+IF(AND(AK90&lt;&gt;"",AL90&lt;&gt;""),AK90*AL90,0)+IF(AND(AM90&lt;&gt;"",AN90&lt;&gt;""),AM90*AN90,0))+IF(O90="",0,O90)&lt;=0,"",X90/((E90*H90+IF(AND(AK90&lt;&gt;"",AL90&lt;&gt;""),AK90*AL90,0)+IF(AND(AM90&lt;&gt;"",AN90&lt;&gt;""),AM90*AN90,0))+IF(O90="",0,O90))))</f>
        <v/>
      </c>
      <c r="Z90" s="7" t="str">
        <f>IF(OR(AE90="",多次统计数据!$B$8=""),"",AE90-多次统计数据!$B$8)</f>
        <v/>
      </c>
      <c r="AA90" s="11" t="str">
        <f>IF(OR(I90="",M90="",M90&lt;I90),"",M90-I90)</f>
        <v/>
      </c>
      <c r="AB90" s="7" t="str">
        <f>IF(OR(A90="",多次统计数据!$B$8="",多次统计数据!$B$6&lt;=0,多次统计数据!$B$6&gt;=1),"",1-POWER(1+多次统计数据!$B$8,-多次统计数据!$B$6/(1-多次统计数据!$B$6)))</f>
        <v/>
      </c>
      <c r="AC90" s="8" t="str">
        <f>IF(OR(AB90="",多次统计数据!$B$9=""),"",IF(多次统计数据!$B$9&lt;AB90,"低于上限","达到或超过上限"))</f>
        <v/>
      </c>
      <c r="AD90" s="2"/>
      <c r="AE90" s="7" t="str">
        <f>IF(OR(X90="",C90="",C90&lt;=0),"",X90/C90)</f>
        <v/>
      </c>
      <c r="AG90" s="2"/>
      <c r="AH90" s="2"/>
      <c r="AI90" s="2"/>
      <c r="AJ90" s="8" t="str">
        <f>IF(OR(AG90="",AH90=""),"",IF(OR(AND(AG90="短期博反弹",OR(AH90="1～3个交易日",AH90="4～10个交易日")),AND(AG90="突破冲新高",OR(AH90="4～10个交易日",AH90="11～20个交易日")),AND(AG90="趋势波段",OR(AH90="11～20个交易日",AH90="21～60个交易日",AH90="60个交易日以上"))),"匹配","周期与交易预期不匹配，请重新确认"))</f>
        <v/>
      </c>
      <c r="AK90" s="10"/>
      <c r="AL90" s="12"/>
      <c r="AM90" s="10"/>
      <c r="AN90" s="12"/>
      <c r="AO90" s="5" t="str">
        <f>IF(OR(A90="",H90="",H90&lt;=0),"",(E90*H90+IF(AND(AK90&lt;&gt;"",AL90&lt;&gt;""),AK90*AL90,0)+IF(AND(AM90&lt;&gt;"",AN90&lt;&gt;""),AM90*AN90,0))/AP90)</f>
        <v/>
      </c>
      <c r="AP90" s="11" t="str">
        <f>IF(OR(A90="",H90="",H90&lt;=0),"",H90+IF(AL90="",0,AL90)+IF(AN90="",0,AN90))</f>
        <v/>
      </c>
      <c r="AQ90" s="5" t="str">
        <f>IF(A90="","",IF(M90&lt;&gt;"",0,IF(OR(H90="",N90=""),"",MAX(E90-MAX(N90,IFERROR(SUMPRODUCT(MAX(((持仓跟踪!$A$2:$A$497="每日跟踪")*(持仓跟踪!$B$2:$B$497=A90))*持仓跟踪!$S$2:$S$497)),0)),0)*H90+IF(OR(AK90="",AL90=""),0,MAX(AK90-MAX(N90,IFERROR(SUMPRODUCT(MAX(((持仓跟踪!$A$2:$A$497="每日跟踪")*(持仓跟踪!$B$2:$B$497=A90))*持仓跟踪!$S$2:$S$497)),0)),0)*AL90)+IF(OR(AM90="",AN90=""),0,MAX(AM90-MAX(N90,IFERROR(SUMPRODUCT(MAX(((持仓跟踪!$A$2:$A$497="每日跟踪")*(持仓跟踪!$B$2:$B$497=A90))*持仓跟踪!$S$2:$S$497)),0)),0)*AN90))))</f>
        <v/>
      </c>
      <c r="AR90" s="8" t="str">
        <f ca="1">IF(A90="","",IF(OR(E90="",H90=""),"违规：第一批价格或股数缺失",IF(OR(AND(AK90="",AL90&lt;&gt;""),AND(AK90&lt;&gt;"",AL90="")),"违规：第二批价格与股数须成对填写",IF(OR(AND(AM90="",AN90&lt;&gt;""),AND(AM90&lt;&gt;"",AN90="")),"违规：第三批价格与股数须成对填写",IF(AND(OR(AM90&lt;&gt;"",AN90&lt;&gt;""),OR(AK90="",AL90="")),"违规：必须先完成第二批",IF(OR(H90&lt;=0,H90&lt;&gt;INT(H90),MOD(H90,100)&lt;&gt;0,AND(AL90&lt;&gt;"",OR(AL90&lt;=0,AL90&lt;&gt;INT(AL90),MOD(AL90,100)&lt;&gt;0)),AND(AN90&lt;&gt;"",OR(AN90&lt;=0,AN90&lt;&gt;INT(AN90),MOD(AN90,100)&lt;&gt;0))),"违规：股数须为100股整数倍",IF(AND(OR(AL90&lt;&gt;"",AN90&lt;&gt;""),OR(_LockStatus="已锁仓",_LockStatus="解锁信息不完整")),"违规：锁仓期间禁止加仓",IF(AQ90&gt;C90*D90,"违规：超过单笔风险上限",IF(SUM($AQ$2:$AQ$163)&gt;账户数据!$B$7,"违规：超过账户风险上限","通过")))))))))</f>
        <v/>
      </c>
    </row>
    <row r="91" ht="17" spans="1:44">
      <c r="A91" s="2"/>
      <c r="B91" s="2"/>
      <c r="C91" s="10"/>
      <c r="D91" s="6"/>
      <c r="E91" s="10"/>
      <c r="F91" s="8" t="str">
        <f>IF(OR(C91="",D91="",E91="",N91="",C91&lt;=0,D91&lt;=0,E91&lt;=N91),"",ROUNDDOWN((C91*D91)/(E91-N91)/100,0)*100)</f>
        <v/>
      </c>
      <c r="G91" s="8" t="str">
        <f ca="1"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COUNTIFS(持仓跟踪!$A$2:$A$497,"止损计划",持仓跟踪!$B$2:$B$497,A91,持仓跟踪!$AC$2:$AC$497,"计划有效")=0,"禁止开仓：请先填写止损计划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1" s="2"/>
      <c r="I91" s="15"/>
      <c r="J91" s="10"/>
      <c r="K91" s="10"/>
      <c r="L91" s="8" t="str">
        <f>IF(K91="","",H91)</f>
        <v/>
      </c>
      <c r="M91" s="15"/>
      <c r="N91" s="10"/>
      <c r="O91" s="10"/>
      <c r="P91" s="10"/>
      <c r="Q91" s="2"/>
      <c r="R91" s="2"/>
      <c r="S91" s="2"/>
      <c r="T91" s="2"/>
      <c r="U91" s="7" t="str">
        <f>IF(OR(AO91="",J91="",AO91&lt;=0),"",(J91-AO91)/AO91)</f>
        <v/>
      </c>
      <c r="V91" s="7" t="str">
        <f>IF(OR(AO91="",N91="",AO91&lt;=0),"",(AO91-N91)/AO91)</f>
        <v/>
      </c>
      <c r="W91" s="24" t="str">
        <f>IF(OR(U91="",V91="",V91&lt;=0),"",U91/V91)</f>
        <v/>
      </c>
      <c r="X91" s="5" t="str">
        <f>IF(OR(K91="",L91="",AP91=""),"",K91*L91-(E91*H91+IF(AND(AK91&lt;&gt;"",AL91&lt;&gt;""),AK91*AL91,0)+IF(AND(AM91&lt;&gt;"",AN91&lt;&gt;""),AM91*AN91,0))-IF(O91="",0,O91)-IF(P91="",0,P91))</f>
        <v/>
      </c>
      <c r="Y91" s="7" t="str">
        <f>IF(OR(X91="",AP91=""),"",IF((E91*H91+IF(AND(AK91&lt;&gt;"",AL91&lt;&gt;""),AK91*AL91,0)+IF(AND(AM91&lt;&gt;"",AN91&lt;&gt;""),AM91*AN91,0))+IF(O91="",0,O91)&lt;=0,"",X91/((E91*H91+IF(AND(AK91&lt;&gt;"",AL91&lt;&gt;""),AK91*AL91,0)+IF(AND(AM91&lt;&gt;"",AN91&lt;&gt;""),AM91*AN91,0))+IF(O91="",0,O91))))</f>
        <v/>
      </c>
      <c r="Z91" s="7" t="str">
        <f>IF(OR(AE91="",多次统计数据!$B$8=""),"",AE91-多次统计数据!$B$8)</f>
        <v/>
      </c>
      <c r="AA91" s="11" t="str">
        <f>IF(OR(I91="",M91="",M91&lt;I91),"",M91-I91)</f>
        <v/>
      </c>
      <c r="AB91" s="7" t="str">
        <f>IF(OR(A91="",多次统计数据!$B$8="",多次统计数据!$B$6&lt;=0,多次统计数据!$B$6&gt;=1),"",1-POWER(1+多次统计数据!$B$8,-多次统计数据!$B$6/(1-多次统计数据!$B$6)))</f>
        <v/>
      </c>
      <c r="AC91" s="8" t="str">
        <f>IF(OR(AB91="",多次统计数据!$B$9=""),"",IF(多次统计数据!$B$9&lt;AB91,"低于上限","达到或超过上限"))</f>
        <v/>
      </c>
      <c r="AD91" s="2"/>
      <c r="AE91" s="7" t="str">
        <f>IF(OR(X91="",C91="",C91&lt;=0),"",X91/C91)</f>
        <v/>
      </c>
      <c r="AG91" s="2"/>
      <c r="AH91" s="2"/>
      <c r="AI91" s="2"/>
      <c r="AJ91" s="8" t="str">
        <f>IF(OR(AG91="",AH91=""),"",IF(OR(AND(AG91="短期博反弹",OR(AH91="1～3个交易日",AH91="4～10个交易日")),AND(AG91="突破冲新高",OR(AH91="4～10个交易日",AH91="11～20个交易日")),AND(AG91="趋势波段",OR(AH91="11～20个交易日",AH91="21～60个交易日",AH91="60个交易日以上"))),"匹配","周期与交易预期不匹配，请重新确认"))</f>
        <v/>
      </c>
      <c r="AK91" s="10"/>
      <c r="AL91" s="12"/>
      <c r="AM91" s="10"/>
      <c r="AN91" s="12"/>
      <c r="AO91" s="5" t="str">
        <f>IF(OR(A91="",H91="",H91&lt;=0),"",(E91*H91+IF(AND(AK91&lt;&gt;"",AL91&lt;&gt;""),AK91*AL91,0)+IF(AND(AM91&lt;&gt;"",AN91&lt;&gt;""),AM91*AN91,0))/AP91)</f>
        <v/>
      </c>
      <c r="AP91" s="11" t="str">
        <f>IF(OR(A91="",H91="",H91&lt;=0),"",H91+IF(AL91="",0,AL91)+IF(AN91="",0,AN91))</f>
        <v/>
      </c>
      <c r="AQ91" s="5" t="str">
        <f>IF(A91="","",IF(M91&lt;&gt;"",0,IF(OR(H91="",N91=""),"",MAX(E91-MAX(N91,IFERROR(SUMPRODUCT(MAX(((持仓跟踪!$A$2:$A$497="每日跟踪")*(持仓跟踪!$B$2:$B$497=A91))*持仓跟踪!$S$2:$S$497)),0)),0)*H91+IF(OR(AK91="",AL91=""),0,MAX(AK91-MAX(N91,IFERROR(SUMPRODUCT(MAX(((持仓跟踪!$A$2:$A$497="每日跟踪")*(持仓跟踪!$B$2:$B$497=A91))*持仓跟踪!$S$2:$S$497)),0)),0)*AL91)+IF(OR(AM91="",AN91=""),0,MAX(AM91-MAX(N91,IFERROR(SUMPRODUCT(MAX(((持仓跟踪!$A$2:$A$497="每日跟踪")*(持仓跟踪!$B$2:$B$497=A91))*持仓跟踪!$S$2:$S$497)),0)),0)*AN91))))</f>
        <v/>
      </c>
      <c r="AR91" s="8" t="str">
        <f ca="1">IF(A91="","",IF(OR(E91="",H91=""),"违规：第一批价格或股数缺失",IF(OR(AND(AK91="",AL91&lt;&gt;""),AND(AK91&lt;&gt;"",AL91="")),"违规：第二批价格与股数须成对填写",IF(OR(AND(AM91="",AN91&lt;&gt;""),AND(AM91&lt;&gt;"",AN91="")),"违规：第三批价格与股数须成对填写",IF(AND(OR(AM91&lt;&gt;"",AN91&lt;&gt;""),OR(AK91="",AL91="")),"违规：必须先完成第二批",IF(OR(H91&lt;=0,H91&lt;&gt;INT(H91),MOD(H91,100)&lt;&gt;0,AND(AL91&lt;&gt;"",OR(AL91&lt;=0,AL91&lt;&gt;INT(AL91),MOD(AL91,100)&lt;&gt;0)),AND(AN91&lt;&gt;"",OR(AN91&lt;=0,AN91&lt;&gt;INT(AN91),MOD(AN91,100)&lt;&gt;0))),"违规：股数须为100股整数倍",IF(AND(OR(AL91&lt;&gt;"",AN91&lt;&gt;""),OR(_LockStatus="已锁仓",_LockStatus="解锁信息不完整")),"违规：锁仓期间禁止加仓",IF(AQ91&gt;C91*D91,"违规：超过单笔风险上限",IF(SUM($AQ$2:$AQ$163)&gt;账户数据!$B$7,"违规：超过账户风险上限","通过")))))))))</f>
        <v/>
      </c>
    </row>
    <row r="92" ht="17" spans="1:44">
      <c r="A92" s="2"/>
      <c r="B92" s="2"/>
      <c r="C92" s="10"/>
      <c r="D92" s="6"/>
      <c r="E92" s="10"/>
      <c r="F92" s="8" t="str">
        <f>IF(OR(C92="",D92="",E92="",N92="",C92&lt;=0,D92&lt;=0,E92&lt;=N92),"",ROUNDDOWN((C92*D92)/(E92-N92)/100,0)*100)</f>
        <v/>
      </c>
      <c r="G92" s="8" t="str">
        <f ca="1"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COUNTIFS(持仓跟踪!$A$2:$A$497,"止损计划",持仓跟踪!$B$2:$B$497,A92,持仓跟踪!$AC$2:$AC$497,"计划有效")=0,"禁止开仓：请先填写止损计划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2" s="2"/>
      <c r="I92" s="15"/>
      <c r="J92" s="10"/>
      <c r="K92" s="10"/>
      <c r="L92" s="8" t="str">
        <f>IF(K92="","",H92)</f>
        <v/>
      </c>
      <c r="M92" s="15"/>
      <c r="N92" s="10"/>
      <c r="O92" s="10"/>
      <c r="P92" s="10"/>
      <c r="Q92" s="2"/>
      <c r="R92" s="2"/>
      <c r="S92" s="2"/>
      <c r="T92" s="2"/>
      <c r="U92" s="7" t="str">
        <f>IF(OR(AO92="",J92="",AO92&lt;=0),"",(J92-AO92)/AO92)</f>
        <v/>
      </c>
      <c r="V92" s="7" t="str">
        <f>IF(OR(AO92="",N92="",AO92&lt;=0),"",(AO92-N92)/AO92)</f>
        <v/>
      </c>
      <c r="W92" s="24" t="str">
        <f>IF(OR(U92="",V92="",V92&lt;=0),"",U92/V92)</f>
        <v/>
      </c>
      <c r="X92" s="5" t="str">
        <f>IF(OR(K92="",L92="",AP92=""),"",K92*L92-(E92*H92+IF(AND(AK92&lt;&gt;"",AL92&lt;&gt;""),AK92*AL92,0)+IF(AND(AM92&lt;&gt;"",AN92&lt;&gt;""),AM92*AN92,0))-IF(O92="",0,O92)-IF(P92="",0,P92))</f>
        <v/>
      </c>
      <c r="Y92" s="7" t="str">
        <f>IF(OR(X92="",AP92=""),"",IF((E92*H92+IF(AND(AK92&lt;&gt;"",AL92&lt;&gt;""),AK92*AL92,0)+IF(AND(AM92&lt;&gt;"",AN92&lt;&gt;""),AM92*AN92,0))+IF(O92="",0,O92)&lt;=0,"",X92/((E92*H92+IF(AND(AK92&lt;&gt;"",AL92&lt;&gt;""),AK92*AL92,0)+IF(AND(AM92&lt;&gt;"",AN92&lt;&gt;""),AM92*AN92,0))+IF(O92="",0,O92))))</f>
        <v/>
      </c>
      <c r="Z92" s="7" t="str">
        <f>IF(OR(AE92="",多次统计数据!$B$8=""),"",AE92-多次统计数据!$B$8)</f>
        <v/>
      </c>
      <c r="AA92" s="11" t="str">
        <f>IF(OR(I92="",M92="",M92&lt;I92),"",M92-I92)</f>
        <v/>
      </c>
      <c r="AB92" s="7" t="str">
        <f>IF(OR(A92="",多次统计数据!$B$8="",多次统计数据!$B$6&lt;=0,多次统计数据!$B$6&gt;=1),"",1-POWER(1+多次统计数据!$B$8,-多次统计数据!$B$6/(1-多次统计数据!$B$6)))</f>
        <v/>
      </c>
      <c r="AC92" s="8" t="str">
        <f>IF(OR(AB92="",多次统计数据!$B$9=""),"",IF(多次统计数据!$B$9&lt;AB92,"低于上限","达到或超过上限"))</f>
        <v/>
      </c>
      <c r="AD92" s="2"/>
      <c r="AE92" s="7" t="str">
        <f>IF(OR(X92="",C92="",C92&lt;=0),"",X92/C92)</f>
        <v/>
      </c>
      <c r="AG92" s="2"/>
      <c r="AH92" s="2"/>
      <c r="AI92" s="2"/>
      <c r="AJ92" s="8" t="str">
        <f>IF(OR(AG92="",AH92=""),"",IF(OR(AND(AG92="短期博反弹",OR(AH92="1～3个交易日",AH92="4～10个交易日")),AND(AG92="突破冲新高",OR(AH92="4～10个交易日",AH92="11～20个交易日")),AND(AG92="趋势波段",OR(AH92="11～20个交易日",AH92="21～60个交易日",AH92="60个交易日以上"))),"匹配","周期与交易预期不匹配，请重新确认"))</f>
        <v/>
      </c>
      <c r="AK92" s="10"/>
      <c r="AL92" s="12"/>
      <c r="AM92" s="10"/>
      <c r="AN92" s="12"/>
      <c r="AO92" s="5" t="str">
        <f>IF(OR(A92="",H92="",H92&lt;=0),"",(E92*H92+IF(AND(AK92&lt;&gt;"",AL92&lt;&gt;""),AK92*AL92,0)+IF(AND(AM92&lt;&gt;"",AN92&lt;&gt;""),AM92*AN92,0))/AP92)</f>
        <v/>
      </c>
      <c r="AP92" s="11" t="str">
        <f>IF(OR(A92="",H92="",H92&lt;=0),"",H92+IF(AL92="",0,AL92)+IF(AN92="",0,AN92))</f>
        <v/>
      </c>
      <c r="AQ92" s="5" t="str">
        <f>IF(A92="","",IF(M92&lt;&gt;"",0,IF(OR(H92="",N92=""),"",MAX(E92-MAX(N92,IFERROR(SUMPRODUCT(MAX(((持仓跟踪!$A$2:$A$497="每日跟踪")*(持仓跟踪!$B$2:$B$497=A92))*持仓跟踪!$S$2:$S$497)),0)),0)*H92+IF(OR(AK92="",AL92=""),0,MAX(AK92-MAX(N92,IFERROR(SUMPRODUCT(MAX(((持仓跟踪!$A$2:$A$497="每日跟踪")*(持仓跟踪!$B$2:$B$497=A92))*持仓跟踪!$S$2:$S$497)),0)),0)*AL92)+IF(OR(AM92="",AN92=""),0,MAX(AM92-MAX(N92,IFERROR(SUMPRODUCT(MAX(((持仓跟踪!$A$2:$A$497="每日跟踪")*(持仓跟踪!$B$2:$B$497=A92))*持仓跟踪!$S$2:$S$497)),0)),0)*AN92))))</f>
        <v/>
      </c>
      <c r="AR92" s="8" t="str">
        <f ca="1">IF(A92="","",IF(OR(E92="",H92=""),"违规：第一批价格或股数缺失",IF(OR(AND(AK92="",AL92&lt;&gt;""),AND(AK92&lt;&gt;"",AL92="")),"违规：第二批价格与股数须成对填写",IF(OR(AND(AM92="",AN92&lt;&gt;""),AND(AM92&lt;&gt;"",AN92="")),"违规：第三批价格与股数须成对填写",IF(AND(OR(AM92&lt;&gt;"",AN92&lt;&gt;""),OR(AK92="",AL92="")),"违规：必须先完成第二批",IF(OR(H92&lt;=0,H92&lt;&gt;INT(H92),MOD(H92,100)&lt;&gt;0,AND(AL92&lt;&gt;"",OR(AL92&lt;=0,AL92&lt;&gt;INT(AL92),MOD(AL92,100)&lt;&gt;0)),AND(AN92&lt;&gt;"",OR(AN92&lt;=0,AN92&lt;&gt;INT(AN92),MOD(AN92,100)&lt;&gt;0))),"违规：股数须为100股整数倍",IF(AND(OR(AL92&lt;&gt;"",AN92&lt;&gt;""),OR(_LockStatus="已锁仓",_LockStatus="解锁信息不完整")),"违规：锁仓期间禁止加仓",IF(AQ92&gt;C92*D92,"违规：超过单笔风险上限",IF(SUM($AQ$2:$AQ$163)&gt;账户数据!$B$7,"违规：超过账户风险上限","通过")))))))))</f>
        <v/>
      </c>
    </row>
    <row r="93" ht="17" spans="1:44">
      <c r="A93" s="2"/>
      <c r="B93" s="2"/>
      <c r="C93" s="10"/>
      <c r="D93" s="6"/>
      <c r="E93" s="10"/>
      <c r="F93" s="8" t="str">
        <f>IF(OR(C93="",D93="",E93="",N93="",C93&lt;=0,D93&lt;=0,E93&lt;=N93),"",ROUNDDOWN((C93*D93)/(E93-N93)/100,0)*100)</f>
        <v/>
      </c>
      <c r="G93" s="8" t="str">
        <f ca="1"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COUNTIFS(持仓跟踪!$A$2:$A$497,"止损计划",持仓跟踪!$B$2:$B$497,A93,持仓跟踪!$AC$2:$AC$497,"计划有效")=0,"禁止开仓：请先填写止损计划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3" s="2"/>
      <c r="I93" s="15"/>
      <c r="J93" s="10"/>
      <c r="K93" s="10"/>
      <c r="L93" s="8" t="str">
        <f>IF(K93="","",H93)</f>
        <v/>
      </c>
      <c r="M93" s="15"/>
      <c r="N93" s="10"/>
      <c r="O93" s="10"/>
      <c r="P93" s="10"/>
      <c r="Q93" s="2"/>
      <c r="R93" s="2"/>
      <c r="S93" s="2"/>
      <c r="T93" s="2"/>
      <c r="U93" s="7" t="str">
        <f>IF(OR(AO93="",J93="",AO93&lt;=0),"",(J93-AO93)/AO93)</f>
        <v/>
      </c>
      <c r="V93" s="7" t="str">
        <f>IF(OR(AO93="",N93="",AO93&lt;=0),"",(AO93-N93)/AO93)</f>
        <v/>
      </c>
      <c r="W93" s="24" t="str">
        <f>IF(OR(U93="",V93="",V93&lt;=0),"",U93/V93)</f>
        <v/>
      </c>
      <c r="X93" s="5" t="str">
        <f>IF(OR(K93="",L93="",AP93=""),"",K93*L93-(E93*H93+IF(AND(AK93&lt;&gt;"",AL93&lt;&gt;""),AK93*AL93,0)+IF(AND(AM93&lt;&gt;"",AN93&lt;&gt;""),AM93*AN93,0))-IF(O93="",0,O93)-IF(P93="",0,P93))</f>
        <v/>
      </c>
      <c r="Y93" s="7" t="str">
        <f>IF(OR(X93="",AP93=""),"",IF((E93*H93+IF(AND(AK93&lt;&gt;"",AL93&lt;&gt;""),AK93*AL93,0)+IF(AND(AM93&lt;&gt;"",AN93&lt;&gt;""),AM93*AN93,0))+IF(O93="",0,O93)&lt;=0,"",X93/((E93*H93+IF(AND(AK93&lt;&gt;"",AL93&lt;&gt;""),AK93*AL93,0)+IF(AND(AM93&lt;&gt;"",AN93&lt;&gt;""),AM93*AN93,0))+IF(O93="",0,O93))))</f>
        <v/>
      </c>
      <c r="Z93" s="7" t="str">
        <f>IF(OR(AE93="",多次统计数据!$B$8=""),"",AE93-多次统计数据!$B$8)</f>
        <v/>
      </c>
      <c r="AA93" s="11" t="str">
        <f>IF(OR(I93="",M93="",M93&lt;I93),"",M93-I93)</f>
        <v/>
      </c>
      <c r="AB93" s="7" t="str">
        <f>IF(OR(A93="",多次统计数据!$B$8="",多次统计数据!$B$6&lt;=0,多次统计数据!$B$6&gt;=1),"",1-POWER(1+多次统计数据!$B$8,-多次统计数据!$B$6/(1-多次统计数据!$B$6)))</f>
        <v/>
      </c>
      <c r="AC93" s="8" t="str">
        <f>IF(OR(AB93="",多次统计数据!$B$9=""),"",IF(多次统计数据!$B$9&lt;AB93,"低于上限","达到或超过上限"))</f>
        <v/>
      </c>
      <c r="AD93" s="2"/>
      <c r="AE93" s="7" t="str">
        <f>IF(OR(X93="",C93="",C93&lt;=0),"",X93/C93)</f>
        <v/>
      </c>
      <c r="AG93" s="2"/>
      <c r="AH93" s="2"/>
      <c r="AI93" s="2"/>
      <c r="AJ93" s="8" t="str">
        <f>IF(OR(AG93="",AH93=""),"",IF(OR(AND(AG93="短期博反弹",OR(AH93="1～3个交易日",AH93="4～10个交易日")),AND(AG93="突破冲新高",OR(AH93="4～10个交易日",AH93="11～20个交易日")),AND(AG93="趋势波段",OR(AH93="11～20个交易日",AH93="21～60个交易日",AH93="60个交易日以上"))),"匹配","周期与交易预期不匹配，请重新确认"))</f>
        <v/>
      </c>
      <c r="AK93" s="10"/>
      <c r="AL93" s="12"/>
      <c r="AM93" s="10"/>
      <c r="AN93" s="12"/>
      <c r="AO93" s="5" t="str">
        <f>IF(OR(A93="",H93="",H93&lt;=0),"",(E93*H93+IF(AND(AK93&lt;&gt;"",AL93&lt;&gt;""),AK93*AL93,0)+IF(AND(AM93&lt;&gt;"",AN93&lt;&gt;""),AM93*AN93,0))/AP93)</f>
        <v/>
      </c>
      <c r="AP93" s="11" t="str">
        <f>IF(OR(A93="",H93="",H93&lt;=0),"",H93+IF(AL93="",0,AL93)+IF(AN93="",0,AN93))</f>
        <v/>
      </c>
      <c r="AQ93" s="5" t="str">
        <f>IF(A93="","",IF(M93&lt;&gt;"",0,IF(OR(H93="",N93=""),"",MAX(E93-MAX(N93,IFERROR(SUMPRODUCT(MAX(((持仓跟踪!$A$2:$A$497="每日跟踪")*(持仓跟踪!$B$2:$B$497=A93))*持仓跟踪!$S$2:$S$497)),0)),0)*H93+IF(OR(AK93="",AL93=""),0,MAX(AK93-MAX(N93,IFERROR(SUMPRODUCT(MAX(((持仓跟踪!$A$2:$A$497="每日跟踪")*(持仓跟踪!$B$2:$B$497=A93))*持仓跟踪!$S$2:$S$497)),0)),0)*AL93)+IF(OR(AM93="",AN93=""),0,MAX(AM93-MAX(N93,IFERROR(SUMPRODUCT(MAX(((持仓跟踪!$A$2:$A$497="每日跟踪")*(持仓跟踪!$B$2:$B$497=A93))*持仓跟踪!$S$2:$S$497)),0)),0)*AN93))))</f>
        <v/>
      </c>
      <c r="AR93" s="8" t="str">
        <f ca="1">IF(A93="","",IF(OR(E93="",H93=""),"违规：第一批价格或股数缺失",IF(OR(AND(AK93="",AL93&lt;&gt;""),AND(AK93&lt;&gt;"",AL93="")),"违规：第二批价格与股数须成对填写",IF(OR(AND(AM93="",AN93&lt;&gt;""),AND(AM93&lt;&gt;"",AN93="")),"违规：第三批价格与股数须成对填写",IF(AND(OR(AM93&lt;&gt;"",AN93&lt;&gt;""),OR(AK93="",AL93="")),"违规：必须先完成第二批",IF(OR(H93&lt;=0,H93&lt;&gt;INT(H93),MOD(H93,100)&lt;&gt;0,AND(AL93&lt;&gt;"",OR(AL93&lt;=0,AL93&lt;&gt;INT(AL93),MOD(AL93,100)&lt;&gt;0)),AND(AN93&lt;&gt;"",OR(AN93&lt;=0,AN93&lt;&gt;INT(AN93),MOD(AN93,100)&lt;&gt;0))),"违规：股数须为100股整数倍",IF(AND(OR(AL93&lt;&gt;"",AN93&lt;&gt;""),OR(_LockStatus="已锁仓",_LockStatus="解锁信息不完整")),"违规：锁仓期间禁止加仓",IF(AQ93&gt;C93*D93,"违规：超过单笔风险上限",IF(SUM($AQ$2:$AQ$163)&gt;账户数据!$B$7,"违规：超过账户风险上限","通过")))))))))</f>
        <v/>
      </c>
    </row>
    <row r="94" ht="17" spans="1:44">
      <c r="A94" s="2"/>
      <c r="B94" s="2"/>
      <c r="C94" s="10"/>
      <c r="D94" s="6"/>
      <c r="E94" s="10"/>
      <c r="F94" s="8" t="str">
        <f>IF(OR(C94="",D94="",E94="",N94="",C94&lt;=0,D94&lt;=0,E94&lt;=N94),"",ROUNDDOWN((C94*D94)/(E94-N94)/100,0)*100)</f>
        <v/>
      </c>
      <c r="G94" s="8" t="str">
        <f ca="1"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COUNTIFS(持仓跟踪!$A$2:$A$497,"止损计划",持仓跟踪!$B$2:$B$497,A94,持仓跟踪!$AC$2:$AC$497,"计划有效")=0,"禁止开仓：请先填写止损计划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4" s="2"/>
      <c r="I94" s="15"/>
      <c r="J94" s="10"/>
      <c r="K94" s="10"/>
      <c r="L94" s="8" t="str">
        <f>IF(K94="","",H94)</f>
        <v/>
      </c>
      <c r="M94" s="15"/>
      <c r="N94" s="10"/>
      <c r="O94" s="10"/>
      <c r="P94" s="10"/>
      <c r="Q94" s="2"/>
      <c r="R94" s="2"/>
      <c r="S94" s="2"/>
      <c r="T94" s="2"/>
      <c r="U94" s="7" t="str">
        <f>IF(OR(AO94="",J94="",AO94&lt;=0),"",(J94-AO94)/AO94)</f>
        <v/>
      </c>
      <c r="V94" s="7" t="str">
        <f>IF(OR(AO94="",N94="",AO94&lt;=0),"",(AO94-N94)/AO94)</f>
        <v/>
      </c>
      <c r="W94" s="24" t="str">
        <f>IF(OR(U94="",V94="",V94&lt;=0),"",U94/V94)</f>
        <v/>
      </c>
      <c r="X94" s="5" t="str">
        <f>IF(OR(K94="",L94="",AP94=""),"",K94*L94-(E94*H94+IF(AND(AK94&lt;&gt;"",AL94&lt;&gt;""),AK94*AL94,0)+IF(AND(AM94&lt;&gt;"",AN94&lt;&gt;""),AM94*AN94,0))-IF(O94="",0,O94)-IF(P94="",0,P94))</f>
        <v/>
      </c>
      <c r="Y94" s="7" t="str">
        <f>IF(OR(X94="",AP94=""),"",IF((E94*H94+IF(AND(AK94&lt;&gt;"",AL94&lt;&gt;""),AK94*AL94,0)+IF(AND(AM94&lt;&gt;"",AN94&lt;&gt;""),AM94*AN94,0))+IF(O94="",0,O94)&lt;=0,"",X94/((E94*H94+IF(AND(AK94&lt;&gt;"",AL94&lt;&gt;""),AK94*AL94,0)+IF(AND(AM94&lt;&gt;"",AN94&lt;&gt;""),AM94*AN94,0))+IF(O94="",0,O94))))</f>
        <v/>
      </c>
      <c r="Z94" s="7" t="str">
        <f>IF(OR(AE94="",多次统计数据!$B$8=""),"",AE94-多次统计数据!$B$8)</f>
        <v/>
      </c>
      <c r="AA94" s="11" t="str">
        <f>IF(OR(I94="",M94="",M94&lt;I94),"",M94-I94)</f>
        <v/>
      </c>
      <c r="AB94" s="7" t="str">
        <f>IF(OR(A94="",多次统计数据!$B$8="",多次统计数据!$B$6&lt;=0,多次统计数据!$B$6&gt;=1),"",1-POWER(1+多次统计数据!$B$8,-多次统计数据!$B$6/(1-多次统计数据!$B$6)))</f>
        <v/>
      </c>
      <c r="AC94" s="8" t="str">
        <f>IF(OR(AB94="",多次统计数据!$B$9=""),"",IF(多次统计数据!$B$9&lt;AB94,"低于上限","达到或超过上限"))</f>
        <v/>
      </c>
      <c r="AD94" s="2"/>
      <c r="AE94" s="7" t="str">
        <f>IF(OR(X94="",C94="",C94&lt;=0),"",X94/C94)</f>
        <v/>
      </c>
      <c r="AG94" s="2"/>
      <c r="AH94" s="2"/>
      <c r="AI94" s="2"/>
      <c r="AJ94" s="8" t="str">
        <f>IF(OR(AG94="",AH94=""),"",IF(OR(AND(AG94="短期博反弹",OR(AH94="1～3个交易日",AH94="4～10个交易日")),AND(AG94="突破冲新高",OR(AH94="4～10个交易日",AH94="11～20个交易日")),AND(AG94="趋势波段",OR(AH94="11～20个交易日",AH94="21～60个交易日",AH94="60个交易日以上"))),"匹配","周期与交易预期不匹配，请重新确认"))</f>
        <v/>
      </c>
      <c r="AK94" s="10"/>
      <c r="AL94" s="12"/>
      <c r="AM94" s="10"/>
      <c r="AN94" s="12"/>
      <c r="AO94" s="5" t="str">
        <f>IF(OR(A94="",H94="",H94&lt;=0),"",(E94*H94+IF(AND(AK94&lt;&gt;"",AL94&lt;&gt;""),AK94*AL94,0)+IF(AND(AM94&lt;&gt;"",AN94&lt;&gt;""),AM94*AN94,0))/AP94)</f>
        <v/>
      </c>
      <c r="AP94" s="11" t="str">
        <f>IF(OR(A94="",H94="",H94&lt;=0),"",H94+IF(AL94="",0,AL94)+IF(AN94="",0,AN94))</f>
        <v/>
      </c>
      <c r="AQ94" s="5" t="str">
        <f>IF(A94="","",IF(M94&lt;&gt;"",0,IF(OR(H94="",N94=""),"",MAX(E94-MAX(N94,IFERROR(SUMPRODUCT(MAX(((持仓跟踪!$A$2:$A$497="每日跟踪")*(持仓跟踪!$B$2:$B$497=A94))*持仓跟踪!$S$2:$S$497)),0)),0)*H94+IF(OR(AK94="",AL94=""),0,MAX(AK94-MAX(N94,IFERROR(SUMPRODUCT(MAX(((持仓跟踪!$A$2:$A$497="每日跟踪")*(持仓跟踪!$B$2:$B$497=A94))*持仓跟踪!$S$2:$S$497)),0)),0)*AL94)+IF(OR(AM94="",AN94=""),0,MAX(AM94-MAX(N94,IFERROR(SUMPRODUCT(MAX(((持仓跟踪!$A$2:$A$497="每日跟踪")*(持仓跟踪!$B$2:$B$497=A94))*持仓跟踪!$S$2:$S$497)),0)),0)*AN94))))</f>
        <v/>
      </c>
      <c r="AR94" s="8" t="str">
        <f ca="1">IF(A94="","",IF(OR(E94="",H94=""),"违规：第一批价格或股数缺失",IF(OR(AND(AK94="",AL94&lt;&gt;""),AND(AK94&lt;&gt;"",AL94="")),"违规：第二批价格与股数须成对填写",IF(OR(AND(AM94="",AN94&lt;&gt;""),AND(AM94&lt;&gt;"",AN94="")),"违规：第三批价格与股数须成对填写",IF(AND(OR(AM94&lt;&gt;"",AN94&lt;&gt;""),OR(AK94="",AL94="")),"违规：必须先完成第二批",IF(OR(H94&lt;=0,H94&lt;&gt;INT(H94),MOD(H94,100)&lt;&gt;0,AND(AL94&lt;&gt;"",OR(AL94&lt;=0,AL94&lt;&gt;INT(AL94),MOD(AL94,100)&lt;&gt;0)),AND(AN94&lt;&gt;"",OR(AN94&lt;=0,AN94&lt;&gt;INT(AN94),MOD(AN94,100)&lt;&gt;0))),"违规：股数须为100股整数倍",IF(AND(OR(AL94&lt;&gt;"",AN94&lt;&gt;""),OR(_LockStatus="已锁仓",_LockStatus="解锁信息不完整")),"违规：锁仓期间禁止加仓",IF(AQ94&gt;C94*D94,"违规：超过单笔风险上限",IF(SUM($AQ$2:$AQ$163)&gt;账户数据!$B$7,"违规：超过账户风险上限","通过")))))))))</f>
        <v/>
      </c>
    </row>
    <row r="95" ht="17" spans="1:44">
      <c r="A95" s="2"/>
      <c r="B95" s="13"/>
      <c r="C95" s="10"/>
      <c r="D95" s="6"/>
      <c r="E95" s="10"/>
      <c r="F95" s="8" t="str">
        <f>IF(OR(C95="",D95="",E95="",N95="",C95&lt;=0,D95&lt;=0,E95&lt;=N95),"",ROUNDDOWN((C95*D95)/(E95-N95)/100,0)*100)</f>
        <v/>
      </c>
      <c r="G95" s="8" t="str">
        <f ca="1"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COUNTIFS(持仓跟踪!$A$2:$A$497,"止损计划",持仓跟踪!$B$2:$B$497,A95,持仓跟踪!$AC$2:$AC$497,"计划有效")=0,"禁止开仓：请先填写止损计划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5" s="2"/>
      <c r="I95" s="15"/>
      <c r="J95" s="10"/>
      <c r="K95" s="10"/>
      <c r="L95" s="8" t="str">
        <f>IF(K95="","",H95)</f>
        <v/>
      </c>
      <c r="M95" s="15"/>
      <c r="N95" s="10"/>
      <c r="O95" s="10"/>
      <c r="P95" s="10"/>
      <c r="Q95" s="2"/>
      <c r="R95" s="2"/>
      <c r="S95" s="2"/>
      <c r="T95" s="2"/>
      <c r="U95" s="7" t="str">
        <f>IF(OR(AO95="",J95="",AO95&lt;=0),"",(J95-AO95)/AO95)</f>
        <v/>
      </c>
      <c r="V95" s="7" t="str">
        <f>IF(OR(AO95="",N95="",AO95&lt;=0),"",(AO95-N95)/AO95)</f>
        <v/>
      </c>
      <c r="W95" s="24" t="str">
        <f>IF(OR(U95="",V95="",V95&lt;=0),"",U95/V95)</f>
        <v/>
      </c>
      <c r="X95" s="5" t="str">
        <f>IF(OR(K95="",L95="",AP95=""),"",K95*L95-(E95*H95+IF(AND(AK95&lt;&gt;"",AL95&lt;&gt;""),AK95*AL95,0)+IF(AND(AM95&lt;&gt;"",AN95&lt;&gt;""),AM95*AN95,0))-IF(O95="",0,O95)-IF(P95="",0,P95))</f>
        <v/>
      </c>
      <c r="Y95" s="7" t="str">
        <f>IF(OR(X95="",AP95=""),"",IF((E95*H95+IF(AND(AK95&lt;&gt;"",AL95&lt;&gt;""),AK95*AL95,0)+IF(AND(AM95&lt;&gt;"",AN95&lt;&gt;""),AM95*AN95,0))+IF(O95="",0,O95)&lt;=0,"",X95/((E95*H95+IF(AND(AK95&lt;&gt;"",AL95&lt;&gt;""),AK95*AL95,0)+IF(AND(AM95&lt;&gt;"",AN95&lt;&gt;""),AM95*AN95,0))+IF(O95="",0,O95))))</f>
        <v/>
      </c>
      <c r="Z95" s="7" t="str">
        <f>IF(OR(AE95="",多次统计数据!$B$8=""),"",AE95-多次统计数据!$B$8)</f>
        <v/>
      </c>
      <c r="AA95" s="11" t="str">
        <f>IF(OR(I95="",M95="",M95&lt;I95),"",M95-I95)</f>
        <v/>
      </c>
      <c r="AB95" s="7" t="str">
        <f>IF(OR(A95="",多次统计数据!$B$8="",多次统计数据!$B$6&lt;=0,多次统计数据!$B$6&gt;=1),"",1-POWER(1+多次统计数据!$B$8,-多次统计数据!$B$6/(1-多次统计数据!$B$6)))</f>
        <v/>
      </c>
      <c r="AC95" s="8" t="str">
        <f>IF(OR(AB95="",多次统计数据!$B$9=""),"",IF(多次统计数据!$B$9&lt;AB95,"低于上限","达到或超过上限"))</f>
        <v/>
      </c>
      <c r="AD95" s="2"/>
      <c r="AE95" s="7" t="str">
        <f>IF(OR(X95="",C95="",C95&lt;=0),"",X95/C95)</f>
        <v/>
      </c>
      <c r="AF95" s="16"/>
      <c r="AG95" s="2"/>
      <c r="AH95" s="2"/>
      <c r="AI95" s="2"/>
      <c r="AJ95" s="8" t="str">
        <f>IF(OR(AG95="",AH95=""),"",IF(OR(AND(AG95="短期博反弹",OR(AH95="1～3个交易日",AH95="4～10个交易日")),AND(AG95="突破冲新高",OR(AH95="4～10个交易日",AH95="11～20个交易日")),AND(AG95="趋势波段",OR(AH95="11～20个交易日",AH95="21～60个交易日",AH95="60个交易日以上"))),"匹配","周期与交易预期不匹配，请重新确认"))</f>
        <v/>
      </c>
      <c r="AK95" s="10"/>
      <c r="AL95" s="12"/>
      <c r="AM95" s="10"/>
      <c r="AN95" s="12"/>
      <c r="AO95" s="5" t="str">
        <f>IF(OR(A95="",H95="",H95&lt;=0),"",(E95*H95+IF(AND(AK95&lt;&gt;"",AL95&lt;&gt;""),AK95*AL95,0)+IF(AND(AM95&lt;&gt;"",AN95&lt;&gt;""),AM95*AN95,0))/AP95)</f>
        <v/>
      </c>
      <c r="AP95" s="11" t="str">
        <f>IF(OR(A95="",H95="",H95&lt;=0),"",H95+IF(AL95="",0,AL95)+IF(AN95="",0,AN95))</f>
        <v/>
      </c>
      <c r="AQ95" s="5" t="str">
        <f>IF(A95="","",IF(M95&lt;&gt;"",0,IF(OR(H95="",N95=""),"",MAX(E95-MAX(N95,IFERROR(SUMPRODUCT(MAX(((持仓跟踪!$A$2:$A$497="每日跟踪")*(持仓跟踪!$B$2:$B$497=A95))*持仓跟踪!$S$2:$S$497)),0)),0)*H95+IF(OR(AK95="",AL95=""),0,MAX(AK95-MAX(N95,IFERROR(SUMPRODUCT(MAX(((持仓跟踪!$A$2:$A$497="每日跟踪")*(持仓跟踪!$B$2:$B$497=A95))*持仓跟踪!$S$2:$S$497)),0)),0)*AL95)+IF(OR(AM95="",AN95=""),0,MAX(AM95-MAX(N95,IFERROR(SUMPRODUCT(MAX(((持仓跟踪!$A$2:$A$497="每日跟踪")*(持仓跟踪!$B$2:$B$497=A95))*持仓跟踪!$S$2:$S$497)),0)),0)*AN95))))</f>
        <v/>
      </c>
      <c r="AR95" s="8" t="str">
        <f ca="1">IF(A95="","",IF(OR(E95="",H95=""),"违规：第一批价格或股数缺失",IF(OR(AND(AK95="",AL95&lt;&gt;""),AND(AK95&lt;&gt;"",AL95="")),"违规：第二批价格与股数须成对填写",IF(OR(AND(AM95="",AN95&lt;&gt;""),AND(AM95&lt;&gt;"",AN95="")),"违规：第三批价格与股数须成对填写",IF(AND(OR(AM95&lt;&gt;"",AN95&lt;&gt;""),OR(AK95="",AL95="")),"违规：必须先完成第二批",IF(OR(H95&lt;=0,H95&lt;&gt;INT(H95),MOD(H95,100)&lt;&gt;0,AND(AL95&lt;&gt;"",OR(AL95&lt;=0,AL95&lt;&gt;INT(AL95),MOD(AL95,100)&lt;&gt;0)),AND(AN95&lt;&gt;"",OR(AN95&lt;=0,AN95&lt;&gt;INT(AN95),MOD(AN95,100)&lt;&gt;0))),"违规：股数须为100股整数倍",IF(AND(OR(AL95&lt;&gt;"",AN95&lt;&gt;""),OR(_LockStatus="已锁仓",_LockStatus="解锁信息不完整")),"违规：锁仓期间禁止加仓",IF(AQ95&gt;C95*D95,"违规：超过单笔风险上限",IF(SUM($AQ$2:$AQ$163)&gt;账户数据!$B$7,"违规：超过账户风险上限","通过")))))))))</f>
        <v/>
      </c>
    </row>
    <row r="96" ht="17" spans="1:44">
      <c r="A96" s="2"/>
      <c r="B96" s="13"/>
      <c r="C96" s="10"/>
      <c r="D96" s="6"/>
      <c r="E96" s="10"/>
      <c r="F96" s="8" t="str">
        <f>IF(OR(C96="",D96="",E96="",N96="",C96&lt;=0,D96&lt;=0,E96&lt;=N96),"",ROUNDDOWN((C96*D96)/(E96-N96)/100,0)*100)</f>
        <v/>
      </c>
      <c r="G96" s="8" t="str">
        <f ca="1"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COUNTIFS(持仓跟踪!$A$2:$A$497,"止损计划",持仓跟踪!$B$2:$B$497,A96,持仓跟踪!$AC$2:$AC$497,"计划有效")=0,"禁止开仓：请先填写止损计划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6" s="2"/>
      <c r="I96" s="15"/>
      <c r="J96" s="10"/>
      <c r="K96" s="10"/>
      <c r="L96" s="8" t="str">
        <f>IF(K96="","",H96)</f>
        <v/>
      </c>
      <c r="M96" s="15"/>
      <c r="N96" s="10"/>
      <c r="O96" s="10"/>
      <c r="P96" s="10"/>
      <c r="Q96" s="2"/>
      <c r="R96" s="2"/>
      <c r="S96" s="2"/>
      <c r="T96" s="2"/>
      <c r="U96" s="7" t="str">
        <f>IF(OR(AO96="",J96="",AO96&lt;=0),"",(J96-AO96)/AO96)</f>
        <v/>
      </c>
      <c r="V96" s="7" t="str">
        <f>IF(OR(AO96="",N96="",AO96&lt;=0),"",(AO96-N96)/AO96)</f>
        <v/>
      </c>
      <c r="W96" s="24" t="str">
        <f>IF(OR(U96="",V96="",V96&lt;=0),"",U96/V96)</f>
        <v/>
      </c>
      <c r="X96" s="5" t="str">
        <f>IF(OR(K96="",L96="",AP96=""),"",K96*L96-(E96*H96+IF(AND(AK96&lt;&gt;"",AL96&lt;&gt;""),AK96*AL96,0)+IF(AND(AM96&lt;&gt;"",AN96&lt;&gt;""),AM96*AN96,0))-IF(O96="",0,O96)-IF(P96="",0,P96))</f>
        <v/>
      </c>
      <c r="Y96" s="7" t="str">
        <f>IF(OR(X96="",AP96=""),"",IF((E96*H96+IF(AND(AK96&lt;&gt;"",AL96&lt;&gt;""),AK96*AL96,0)+IF(AND(AM96&lt;&gt;"",AN96&lt;&gt;""),AM96*AN96,0))+IF(O96="",0,O96)&lt;=0,"",X96/((E96*H96+IF(AND(AK96&lt;&gt;"",AL96&lt;&gt;""),AK96*AL96,0)+IF(AND(AM96&lt;&gt;"",AN96&lt;&gt;""),AM96*AN96,0))+IF(O96="",0,O96))))</f>
        <v/>
      </c>
      <c r="Z96" s="7" t="str">
        <f>IF(OR(AE96="",多次统计数据!$B$8=""),"",AE96-多次统计数据!$B$8)</f>
        <v/>
      </c>
      <c r="AA96" s="11" t="str">
        <f>IF(OR(I96="",M96="",M96&lt;I96),"",M96-I96)</f>
        <v/>
      </c>
      <c r="AB96" s="7" t="str">
        <f>IF(OR(A96="",多次统计数据!$B$8="",多次统计数据!$B$6&lt;=0,多次统计数据!$B$6&gt;=1),"",1-POWER(1+多次统计数据!$B$8,-多次统计数据!$B$6/(1-多次统计数据!$B$6)))</f>
        <v/>
      </c>
      <c r="AC96" s="8" t="str">
        <f>IF(OR(AB96="",多次统计数据!$B$9=""),"",IF(多次统计数据!$B$9&lt;AB96,"低于上限","达到或超过上限"))</f>
        <v/>
      </c>
      <c r="AD96" s="2"/>
      <c r="AE96" s="7" t="str">
        <f>IF(OR(X96="",C96="",C96&lt;=0),"",X96/C96)</f>
        <v/>
      </c>
      <c r="AF96" s="16"/>
      <c r="AG96" s="2"/>
      <c r="AH96" s="2"/>
      <c r="AI96" s="2"/>
      <c r="AJ96" s="8" t="str">
        <f>IF(OR(AG96="",AH96=""),"",IF(OR(AND(AG96="短期博反弹",OR(AH96="1～3个交易日",AH96="4～10个交易日")),AND(AG96="突破冲新高",OR(AH96="4～10个交易日",AH96="11～20个交易日")),AND(AG96="趋势波段",OR(AH96="11～20个交易日",AH96="21～60个交易日",AH96="60个交易日以上"))),"匹配","周期与交易预期不匹配，请重新确认"))</f>
        <v/>
      </c>
      <c r="AK96" s="10"/>
      <c r="AL96" s="12"/>
      <c r="AM96" s="10"/>
      <c r="AN96" s="12"/>
      <c r="AO96" s="5" t="str">
        <f>IF(OR(A96="",H96="",H96&lt;=0),"",(E96*H96+IF(AND(AK96&lt;&gt;"",AL96&lt;&gt;""),AK96*AL96,0)+IF(AND(AM96&lt;&gt;"",AN96&lt;&gt;""),AM96*AN96,0))/AP96)</f>
        <v/>
      </c>
      <c r="AP96" s="11" t="str">
        <f>IF(OR(A96="",H96="",H96&lt;=0),"",H96+IF(AL96="",0,AL96)+IF(AN96="",0,AN96))</f>
        <v/>
      </c>
      <c r="AQ96" s="5" t="str">
        <f>IF(A96="","",IF(M96&lt;&gt;"",0,IF(OR(H96="",N96=""),"",MAX(E96-MAX(N96,IFERROR(SUMPRODUCT(MAX(((持仓跟踪!$A$2:$A$497="每日跟踪")*(持仓跟踪!$B$2:$B$497=A96))*持仓跟踪!$S$2:$S$497)),0)),0)*H96+IF(OR(AK96="",AL96=""),0,MAX(AK96-MAX(N96,IFERROR(SUMPRODUCT(MAX(((持仓跟踪!$A$2:$A$497="每日跟踪")*(持仓跟踪!$B$2:$B$497=A96))*持仓跟踪!$S$2:$S$497)),0)),0)*AL96)+IF(OR(AM96="",AN96=""),0,MAX(AM96-MAX(N96,IFERROR(SUMPRODUCT(MAX(((持仓跟踪!$A$2:$A$497="每日跟踪")*(持仓跟踪!$B$2:$B$497=A96))*持仓跟踪!$S$2:$S$497)),0)),0)*AN96))))</f>
        <v/>
      </c>
      <c r="AR96" s="8" t="str">
        <f ca="1">IF(A96="","",IF(OR(E96="",H96=""),"违规：第一批价格或股数缺失",IF(OR(AND(AK96="",AL96&lt;&gt;""),AND(AK96&lt;&gt;"",AL96="")),"违规：第二批价格与股数须成对填写",IF(OR(AND(AM96="",AN96&lt;&gt;""),AND(AM96&lt;&gt;"",AN96="")),"违规：第三批价格与股数须成对填写",IF(AND(OR(AM96&lt;&gt;"",AN96&lt;&gt;""),OR(AK96="",AL96="")),"违规：必须先完成第二批",IF(OR(H96&lt;=0,H96&lt;&gt;INT(H96),MOD(H96,100)&lt;&gt;0,AND(AL96&lt;&gt;"",OR(AL96&lt;=0,AL96&lt;&gt;INT(AL96),MOD(AL96,100)&lt;&gt;0)),AND(AN96&lt;&gt;"",OR(AN96&lt;=0,AN96&lt;&gt;INT(AN96),MOD(AN96,100)&lt;&gt;0))),"违规：股数须为100股整数倍",IF(AND(OR(AL96&lt;&gt;"",AN96&lt;&gt;""),OR(_LockStatus="已锁仓",_LockStatus="解锁信息不完整")),"违规：锁仓期间禁止加仓",IF(AQ96&gt;C96*D96,"违规：超过单笔风险上限",IF(SUM($AQ$2:$AQ$163)&gt;账户数据!$B$7,"违规：超过账户风险上限","通过")))))))))</f>
        <v/>
      </c>
    </row>
    <row r="97" ht="17" spans="1:44">
      <c r="A97" s="2"/>
      <c r="B97" s="13"/>
      <c r="C97" s="10"/>
      <c r="D97" s="6"/>
      <c r="E97" s="10"/>
      <c r="F97" s="8" t="str">
        <f>IF(OR(C97="",D97="",E97="",N97="",C97&lt;=0,D97&lt;=0,E97&lt;=N97),"",ROUNDDOWN((C97*D97)/(E97-N97)/100,0)*100)</f>
        <v/>
      </c>
      <c r="G97" s="8" t="str">
        <f ca="1"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COUNTIFS(持仓跟踪!$A$2:$A$497,"止损计划",持仓跟踪!$B$2:$B$497,A97,持仓跟踪!$AC$2:$AC$497,"计划有效")=0,"禁止开仓：请先填写止损计划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7" s="2"/>
      <c r="I97" s="15"/>
      <c r="J97" s="10"/>
      <c r="K97" s="10"/>
      <c r="L97" s="8" t="str">
        <f>IF(K97="","",H97)</f>
        <v/>
      </c>
      <c r="M97" s="15"/>
      <c r="N97" s="10"/>
      <c r="O97" s="10"/>
      <c r="P97" s="10"/>
      <c r="Q97" s="2"/>
      <c r="R97" s="2"/>
      <c r="S97" s="2"/>
      <c r="T97" s="2"/>
      <c r="U97" s="7" t="str">
        <f>IF(OR(AO97="",J97="",AO97&lt;=0),"",(J97-AO97)/AO97)</f>
        <v/>
      </c>
      <c r="V97" s="7" t="str">
        <f>IF(OR(AO97="",N97="",AO97&lt;=0),"",(AO97-N97)/AO97)</f>
        <v/>
      </c>
      <c r="W97" s="24" t="str">
        <f>IF(OR(U97="",V97="",V97&lt;=0),"",U97/V97)</f>
        <v/>
      </c>
      <c r="X97" s="5" t="str">
        <f>IF(OR(K97="",L97="",AP97=""),"",K97*L97-(E97*H97+IF(AND(AK97&lt;&gt;"",AL97&lt;&gt;""),AK97*AL97,0)+IF(AND(AM97&lt;&gt;"",AN97&lt;&gt;""),AM97*AN97,0))-IF(O97="",0,O97)-IF(P97="",0,P97))</f>
        <v/>
      </c>
      <c r="Y97" s="7" t="str">
        <f>IF(OR(X97="",AP97=""),"",IF((E97*H97+IF(AND(AK97&lt;&gt;"",AL97&lt;&gt;""),AK97*AL97,0)+IF(AND(AM97&lt;&gt;"",AN97&lt;&gt;""),AM97*AN97,0))+IF(O97="",0,O97)&lt;=0,"",X97/((E97*H97+IF(AND(AK97&lt;&gt;"",AL97&lt;&gt;""),AK97*AL97,0)+IF(AND(AM97&lt;&gt;"",AN97&lt;&gt;""),AM97*AN97,0))+IF(O97="",0,O97))))</f>
        <v/>
      </c>
      <c r="Z97" s="7" t="str">
        <f>IF(OR(AE97="",多次统计数据!$B$8=""),"",AE97-多次统计数据!$B$8)</f>
        <v/>
      </c>
      <c r="AA97" s="11" t="str">
        <f>IF(OR(I97="",M97="",M97&lt;I97),"",M97-I97)</f>
        <v/>
      </c>
      <c r="AB97" s="7" t="str">
        <f>IF(OR(A97="",多次统计数据!$B$8="",多次统计数据!$B$6&lt;=0,多次统计数据!$B$6&gt;=1),"",1-POWER(1+多次统计数据!$B$8,-多次统计数据!$B$6/(1-多次统计数据!$B$6)))</f>
        <v/>
      </c>
      <c r="AC97" s="8" t="str">
        <f>IF(OR(AB97="",多次统计数据!$B$9=""),"",IF(多次统计数据!$B$9&lt;AB97,"低于上限","达到或超过上限"))</f>
        <v/>
      </c>
      <c r="AD97" s="2"/>
      <c r="AE97" s="7" t="str">
        <f>IF(OR(X97="",C97="",C97&lt;=0),"",X97/C97)</f>
        <v/>
      </c>
      <c r="AF97" s="16"/>
      <c r="AG97" s="2"/>
      <c r="AH97" s="2"/>
      <c r="AI97" s="2"/>
      <c r="AJ97" s="8" t="str">
        <f>IF(OR(AG97="",AH97=""),"",IF(OR(AND(AG97="短期博反弹",OR(AH97="1～3个交易日",AH97="4～10个交易日")),AND(AG97="突破冲新高",OR(AH97="4～10个交易日",AH97="11～20个交易日")),AND(AG97="趋势波段",OR(AH97="11～20个交易日",AH97="21～60个交易日",AH97="60个交易日以上"))),"匹配","周期与交易预期不匹配，请重新确认"))</f>
        <v/>
      </c>
      <c r="AK97" s="10"/>
      <c r="AL97" s="12"/>
      <c r="AM97" s="10"/>
      <c r="AN97" s="12"/>
      <c r="AO97" s="5" t="str">
        <f>IF(OR(A97="",H97="",H97&lt;=0),"",(E97*H97+IF(AND(AK97&lt;&gt;"",AL97&lt;&gt;""),AK97*AL97,0)+IF(AND(AM97&lt;&gt;"",AN97&lt;&gt;""),AM97*AN97,0))/AP97)</f>
        <v/>
      </c>
      <c r="AP97" s="11" t="str">
        <f>IF(OR(A97="",H97="",H97&lt;=0),"",H97+IF(AL97="",0,AL97)+IF(AN97="",0,AN97))</f>
        <v/>
      </c>
      <c r="AQ97" s="5" t="str">
        <f>IF(A97="","",IF(M97&lt;&gt;"",0,IF(OR(H97="",N97=""),"",MAX(E97-MAX(N97,IFERROR(SUMPRODUCT(MAX(((持仓跟踪!$A$2:$A$497="每日跟踪")*(持仓跟踪!$B$2:$B$497=A97))*持仓跟踪!$S$2:$S$497)),0)),0)*H97+IF(OR(AK97="",AL97=""),0,MAX(AK97-MAX(N97,IFERROR(SUMPRODUCT(MAX(((持仓跟踪!$A$2:$A$497="每日跟踪")*(持仓跟踪!$B$2:$B$497=A97))*持仓跟踪!$S$2:$S$497)),0)),0)*AL97)+IF(OR(AM97="",AN97=""),0,MAX(AM97-MAX(N97,IFERROR(SUMPRODUCT(MAX(((持仓跟踪!$A$2:$A$497="每日跟踪")*(持仓跟踪!$B$2:$B$497=A97))*持仓跟踪!$S$2:$S$497)),0)),0)*AN97))))</f>
        <v/>
      </c>
      <c r="AR97" s="8" t="str">
        <f ca="1">IF(A97="","",IF(OR(E97="",H97=""),"违规：第一批价格或股数缺失",IF(OR(AND(AK97="",AL97&lt;&gt;""),AND(AK97&lt;&gt;"",AL97="")),"违规：第二批价格与股数须成对填写",IF(OR(AND(AM97="",AN97&lt;&gt;""),AND(AM97&lt;&gt;"",AN97="")),"违规：第三批价格与股数须成对填写",IF(AND(OR(AM97&lt;&gt;"",AN97&lt;&gt;""),OR(AK97="",AL97="")),"违规：必须先完成第二批",IF(OR(H97&lt;=0,H97&lt;&gt;INT(H97),MOD(H97,100)&lt;&gt;0,AND(AL97&lt;&gt;"",OR(AL97&lt;=0,AL97&lt;&gt;INT(AL97),MOD(AL97,100)&lt;&gt;0)),AND(AN97&lt;&gt;"",OR(AN97&lt;=0,AN97&lt;&gt;INT(AN97),MOD(AN97,100)&lt;&gt;0))),"违规：股数须为100股整数倍",IF(AND(OR(AL97&lt;&gt;"",AN97&lt;&gt;""),OR(_LockStatus="已锁仓",_LockStatus="解锁信息不完整")),"违规：锁仓期间禁止加仓",IF(AQ97&gt;C97*D97,"违规：超过单笔风险上限",IF(SUM($AQ$2:$AQ$163)&gt;账户数据!$B$7,"违规：超过账户风险上限","通过")))))))))</f>
        <v/>
      </c>
    </row>
    <row r="98" ht="17" spans="1:44">
      <c r="A98" s="2"/>
      <c r="B98" s="13"/>
      <c r="C98" s="10"/>
      <c r="D98" s="6"/>
      <c r="E98" s="10"/>
      <c r="F98" s="8" t="str">
        <f>IF(OR(C98="",D98="",E98="",N98="",C98&lt;=0,D98&lt;=0,E98&lt;=N98),"",ROUNDDOWN((C98*D98)/(E98-N98)/100,0)*100)</f>
        <v/>
      </c>
      <c r="G98" s="8" t="str">
        <f ca="1"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COUNTIFS(持仓跟踪!$A$2:$A$497,"止损计划",持仓跟踪!$B$2:$B$497,A98,持仓跟踪!$AC$2:$AC$497,"计划有效")=0,"禁止开仓：请先填写止损计划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8" s="2"/>
      <c r="I98" s="15"/>
      <c r="J98" s="10"/>
      <c r="K98" s="10"/>
      <c r="L98" s="8" t="str">
        <f>IF(K98="","",H98)</f>
        <v/>
      </c>
      <c r="M98" s="15"/>
      <c r="N98" s="10"/>
      <c r="O98" s="10"/>
      <c r="P98" s="10"/>
      <c r="Q98" s="2"/>
      <c r="R98" s="2"/>
      <c r="S98" s="2"/>
      <c r="T98" s="2"/>
      <c r="U98" s="7" t="str">
        <f>IF(OR(AO98="",J98="",AO98&lt;=0),"",(J98-AO98)/AO98)</f>
        <v/>
      </c>
      <c r="V98" s="7" t="str">
        <f>IF(OR(AO98="",N98="",AO98&lt;=0),"",(AO98-N98)/AO98)</f>
        <v/>
      </c>
      <c r="W98" s="24" t="str">
        <f>IF(OR(U98="",V98="",V98&lt;=0),"",U98/V98)</f>
        <v/>
      </c>
      <c r="X98" s="5" t="str">
        <f>IF(OR(K98="",L98="",AP98=""),"",K98*L98-(E98*H98+IF(AND(AK98&lt;&gt;"",AL98&lt;&gt;""),AK98*AL98,0)+IF(AND(AM98&lt;&gt;"",AN98&lt;&gt;""),AM98*AN98,0))-IF(O98="",0,O98)-IF(P98="",0,P98))</f>
        <v/>
      </c>
      <c r="Y98" s="7" t="str">
        <f>IF(OR(X98="",AP98=""),"",IF((E98*H98+IF(AND(AK98&lt;&gt;"",AL98&lt;&gt;""),AK98*AL98,0)+IF(AND(AM98&lt;&gt;"",AN98&lt;&gt;""),AM98*AN98,0))+IF(O98="",0,O98)&lt;=0,"",X98/((E98*H98+IF(AND(AK98&lt;&gt;"",AL98&lt;&gt;""),AK98*AL98,0)+IF(AND(AM98&lt;&gt;"",AN98&lt;&gt;""),AM98*AN98,0))+IF(O98="",0,O98))))</f>
        <v/>
      </c>
      <c r="Z98" s="7" t="str">
        <f>IF(OR(AE98="",多次统计数据!$B$8=""),"",AE98-多次统计数据!$B$8)</f>
        <v/>
      </c>
      <c r="AA98" s="11" t="str">
        <f>IF(OR(I98="",M98="",M98&lt;I98),"",M98-I98)</f>
        <v/>
      </c>
      <c r="AB98" s="7" t="str">
        <f>IF(OR(A98="",多次统计数据!$B$8="",多次统计数据!$B$6&lt;=0,多次统计数据!$B$6&gt;=1),"",1-POWER(1+多次统计数据!$B$8,-多次统计数据!$B$6/(1-多次统计数据!$B$6)))</f>
        <v/>
      </c>
      <c r="AC98" s="8" t="str">
        <f>IF(OR(AB98="",多次统计数据!$B$9=""),"",IF(多次统计数据!$B$9&lt;AB98,"低于上限","达到或超过上限"))</f>
        <v/>
      </c>
      <c r="AD98" s="2"/>
      <c r="AE98" s="7" t="str">
        <f>IF(OR(X98="",C98="",C98&lt;=0),"",X98/C98)</f>
        <v/>
      </c>
      <c r="AG98" s="2"/>
      <c r="AH98" s="2"/>
      <c r="AI98" s="2"/>
      <c r="AJ98" s="8" t="str">
        <f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10"/>
      <c r="AL98" s="12"/>
      <c r="AM98" s="10"/>
      <c r="AN98" s="12"/>
      <c r="AO98" s="5" t="str">
        <f>IF(OR(A98="",H98="",H98&lt;=0),"",(E98*H98+IF(AND(AK98&lt;&gt;"",AL98&lt;&gt;""),AK98*AL98,0)+IF(AND(AM98&lt;&gt;"",AN98&lt;&gt;""),AM98*AN98,0))/AP98)</f>
        <v/>
      </c>
      <c r="AP98" s="11" t="str">
        <f>IF(OR(A98="",H98="",H98&lt;=0),"",H98+IF(AL98="",0,AL98)+IF(AN98="",0,AN98))</f>
        <v/>
      </c>
      <c r="AQ98" s="5" t="str">
        <f>IF(A98="","",IF(M98&lt;&gt;"",0,IF(OR(H98="",N98=""),"",MAX(E98-MAX(N98,IFERROR(SUMPRODUCT(MAX(((持仓跟踪!$A$2:$A$497="每日跟踪")*(持仓跟踪!$B$2:$B$497=A98))*持仓跟踪!$S$2:$S$497)),0)),0)*H98+IF(OR(AK98="",AL98=""),0,MAX(AK98-MAX(N98,IFERROR(SUMPRODUCT(MAX(((持仓跟踪!$A$2:$A$497="每日跟踪")*(持仓跟踪!$B$2:$B$497=A98))*持仓跟踪!$S$2:$S$497)),0)),0)*AL98)+IF(OR(AM98="",AN98=""),0,MAX(AM98-MAX(N98,IFERROR(SUMPRODUCT(MAX(((持仓跟踪!$A$2:$A$497="每日跟踪")*(持仓跟踪!$B$2:$B$497=A98))*持仓跟踪!$S$2:$S$497)),0)),0)*AN98))))</f>
        <v/>
      </c>
      <c r="AR98" s="8" t="str">
        <f ca="1">IF(A98="","",IF(OR(E98="",H98=""),"违规：第一批价格或股数缺失",IF(OR(AND(AK98="",AL98&lt;&gt;""),AND(AK98&lt;&gt;"",AL98="")),"违规：第二批价格与股数须成对填写",IF(OR(AND(AM98="",AN98&lt;&gt;""),AND(AM98&lt;&gt;"",AN98="")),"违规：第三批价格与股数须成对填写",IF(AND(OR(AM98&lt;&gt;"",AN98&lt;&gt;""),OR(AK98="",AL98="")),"违规：必须先完成第二批",IF(OR(H98&lt;=0,H98&lt;&gt;INT(H98),MOD(H98,100)&lt;&gt;0,AND(AL98&lt;&gt;"",OR(AL98&lt;=0,AL98&lt;&gt;INT(AL98),MOD(AL98,100)&lt;&gt;0)),AND(AN98&lt;&gt;"",OR(AN98&lt;=0,AN98&lt;&gt;INT(AN98),MOD(AN98,100)&lt;&gt;0))),"违规：股数须为100股整数倍",IF(AND(OR(AL98&lt;&gt;"",AN98&lt;&gt;""),OR(_LockStatus="已锁仓",_LockStatus="解锁信息不完整")),"违规：锁仓期间禁止加仓",IF(AQ98&gt;C98*D98,"违规：超过单笔风险上限",IF(SUM($AQ$2:$AQ$163)&gt;账户数据!$B$7,"违规：超过账户风险上限","通过")))))))))</f>
        <v/>
      </c>
    </row>
    <row r="99" ht="17" spans="1:44">
      <c r="A99" s="2"/>
      <c r="B99" s="13"/>
      <c r="C99" s="10"/>
      <c r="D99" s="6"/>
      <c r="E99" s="10"/>
      <c r="F99" s="8" t="str">
        <f>IF(OR(C99="",D99="",E99="",N99="",C99&lt;=0,D99&lt;=0,E99&lt;=N99),"",ROUNDDOWN((C99*D99)/(E99-N99)/100,0)*100)</f>
        <v/>
      </c>
      <c r="G99" s="8" t="str">
        <f ca="1"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COUNTIFS(持仓跟踪!$A$2:$A$497,"止损计划",持仓跟踪!$B$2:$B$497,A99,持仓跟踪!$AC$2:$AC$497,"计划有效")=0,"禁止开仓：请先填写止损计划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9" s="2"/>
      <c r="I99" s="15"/>
      <c r="J99" s="10"/>
      <c r="K99" s="10"/>
      <c r="L99" s="8" t="str">
        <f>IF(K99="","",H99)</f>
        <v/>
      </c>
      <c r="M99" s="15"/>
      <c r="N99" s="10"/>
      <c r="O99" s="10"/>
      <c r="P99" s="10"/>
      <c r="Q99" s="2"/>
      <c r="R99" s="2"/>
      <c r="S99" s="2"/>
      <c r="T99" s="2"/>
      <c r="U99" s="7" t="str">
        <f>IF(OR(AO99="",J99="",AO99&lt;=0),"",(J99-AO99)/AO99)</f>
        <v/>
      </c>
      <c r="V99" s="7" t="str">
        <f>IF(OR(AO99="",N99="",AO99&lt;=0),"",(AO99-N99)/AO99)</f>
        <v/>
      </c>
      <c r="W99" s="24" t="str">
        <f>IF(OR(U99="",V99="",V99&lt;=0),"",U99/V99)</f>
        <v/>
      </c>
      <c r="X99" s="5" t="str">
        <f>IF(OR(K99="",L99="",AP99=""),"",K99*L99-(E99*H99+IF(AND(AK99&lt;&gt;"",AL99&lt;&gt;""),AK99*AL99,0)+IF(AND(AM99&lt;&gt;"",AN99&lt;&gt;""),AM99*AN99,0))-IF(O99="",0,O99)-IF(P99="",0,P99))</f>
        <v/>
      </c>
      <c r="Y99" s="7" t="str">
        <f>IF(OR(X99="",AP99=""),"",IF((E99*H99+IF(AND(AK99&lt;&gt;"",AL99&lt;&gt;""),AK99*AL99,0)+IF(AND(AM99&lt;&gt;"",AN99&lt;&gt;""),AM99*AN99,0))+IF(O99="",0,O99)&lt;=0,"",X99/((E99*H99+IF(AND(AK99&lt;&gt;"",AL99&lt;&gt;""),AK99*AL99,0)+IF(AND(AM99&lt;&gt;"",AN99&lt;&gt;""),AM99*AN99,0))+IF(O99="",0,O99))))</f>
        <v/>
      </c>
      <c r="Z99" s="7" t="str">
        <f>IF(OR(AE99="",多次统计数据!$B$8=""),"",AE99-多次统计数据!$B$8)</f>
        <v/>
      </c>
      <c r="AA99" s="11" t="str">
        <f>IF(OR(I99="",M99="",M99&lt;I99),"",M99-I99)</f>
        <v/>
      </c>
      <c r="AB99" s="7" t="str">
        <f>IF(OR(A99="",多次统计数据!$B$8="",多次统计数据!$B$6&lt;=0,多次统计数据!$B$6&gt;=1),"",1-POWER(1+多次统计数据!$B$8,-多次统计数据!$B$6/(1-多次统计数据!$B$6)))</f>
        <v/>
      </c>
      <c r="AC99" s="8" t="str">
        <f>IF(OR(AB99="",多次统计数据!$B$9=""),"",IF(多次统计数据!$B$9&lt;AB99,"低于上限","达到或超过上限"))</f>
        <v/>
      </c>
      <c r="AD99" s="2"/>
      <c r="AE99" s="7" t="str">
        <f>IF(OR(X99="",C99="",C99&lt;=0),"",X99/C99)</f>
        <v/>
      </c>
      <c r="AG99" s="2"/>
      <c r="AH99" s="2"/>
      <c r="AI99" s="2"/>
      <c r="AJ99" s="8" t="str">
        <f>IF(OR(AG99="",AH99=""),"",IF(OR(AND(AG99="短期博反弹",OR(AH99="1～3个交易日",AH99="4～10个交易日")),AND(AG99="突破冲新高",OR(AH99="4～10个交易日",AH99="11～20个交易日")),AND(AG99="趋势波段",OR(AH99="11～20个交易日",AH99="21～60个交易日",AH99="60个交易日以上"))),"匹配","周期与交易预期不匹配，请重新确认"))</f>
        <v/>
      </c>
      <c r="AK99" s="10"/>
      <c r="AL99" s="12"/>
      <c r="AM99" s="10"/>
      <c r="AN99" s="12"/>
      <c r="AO99" s="5" t="str">
        <f>IF(OR(A99="",H99="",H99&lt;=0),"",(E99*H99+IF(AND(AK99&lt;&gt;"",AL99&lt;&gt;""),AK99*AL99,0)+IF(AND(AM99&lt;&gt;"",AN99&lt;&gt;""),AM99*AN99,0))/AP99)</f>
        <v/>
      </c>
      <c r="AP99" s="11" t="str">
        <f>IF(OR(A99="",H99="",H99&lt;=0),"",H99+IF(AL99="",0,AL99)+IF(AN99="",0,AN99))</f>
        <v/>
      </c>
      <c r="AQ99" s="5" t="str">
        <f>IF(A99="","",IF(M99&lt;&gt;"",0,IF(OR(H99="",N99=""),"",MAX(E99-MAX(N99,IFERROR(SUMPRODUCT(MAX(((持仓跟踪!$A$2:$A$497="每日跟踪")*(持仓跟踪!$B$2:$B$497=A99))*持仓跟踪!$S$2:$S$497)),0)),0)*H99+IF(OR(AK99="",AL99=""),0,MAX(AK99-MAX(N99,IFERROR(SUMPRODUCT(MAX(((持仓跟踪!$A$2:$A$497="每日跟踪")*(持仓跟踪!$B$2:$B$497=A99))*持仓跟踪!$S$2:$S$497)),0)),0)*AL99)+IF(OR(AM99="",AN99=""),0,MAX(AM99-MAX(N99,IFERROR(SUMPRODUCT(MAX(((持仓跟踪!$A$2:$A$497="每日跟踪")*(持仓跟踪!$B$2:$B$497=A99))*持仓跟踪!$S$2:$S$497)),0)),0)*AN99))))</f>
        <v/>
      </c>
      <c r="AR99" s="8" t="str">
        <f ca="1">IF(A99="","",IF(OR(E99="",H99=""),"违规：第一批价格或股数缺失",IF(OR(AND(AK99="",AL99&lt;&gt;""),AND(AK99&lt;&gt;"",AL99="")),"违规：第二批价格与股数须成对填写",IF(OR(AND(AM99="",AN99&lt;&gt;""),AND(AM99&lt;&gt;"",AN99="")),"违规：第三批价格与股数须成对填写",IF(AND(OR(AM99&lt;&gt;"",AN99&lt;&gt;""),OR(AK99="",AL99="")),"违规：必须先完成第二批",IF(OR(H99&lt;=0,H99&lt;&gt;INT(H99),MOD(H99,100)&lt;&gt;0,AND(AL99&lt;&gt;"",OR(AL99&lt;=0,AL99&lt;&gt;INT(AL99),MOD(AL99,100)&lt;&gt;0)),AND(AN99&lt;&gt;"",OR(AN99&lt;=0,AN99&lt;&gt;INT(AN99),MOD(AN99,100)&lt;&gt;0))),"违规：股数须为100股整数倍",IF(AND(OR(AL99&lt;&gt;"",AN99&lt;&gt;""),OR(_LockStatus="已锁仓",_LockStatus="解锁信息不完整")),"违规：锁仓期间禁止加仓",IF(AQ99&gt;C99*D99,"违规：超过单笔风险上限",IF(SUM($AQ$2:$AQ$163)&gt;账户数据!$B$7,"违规：超过账户风险上限","通过")))))))))</f>
        <v/>
      </c>
    </row>
    <row r="100" ht="17" spans="1:44">
      <c r="A100" s="2"/>
      <c r="B100" s="13"/>
      <c r="C100" s="10"/>
      <c r="D100" s="6"/>
      <c r="E100" s="10"/>
      <c r="F100" s="8" t="str">
        <f>IF(OR(C100="",D100="",E100="",N100="",C100&lt;=0,D100&lt;=0,E100&lt;=N100),"",ROUNDDOWN((C100*D100)/(E100-N100)/100,0)*100)</f>
        <v/>
      </c>
      <c r="G100" s="8" t="str">
        <f ca="1"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COUNTIFS(持仓跟踪!$A$2:$A$497,"止损计划",持仓跟踪!$B$2:$B$497,A100,持仓跟踪!$AC$2:$AC$497,"计划有效")=0,"禁止开仓：请先填写止损计划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0" s="2"/>
      <c r="I100" s="15"/>
      <c r="J100" s="10"/>
      <c r="K100" s="20"/>
      <c r="L100" s="8" t="str">
        <f>IF(K100="","",H100)</f>
        <v/>
      </c>
      <c r="M100" s="15"/>
      <c r="N100" s="10"/>
      <c r="O100" s="10"/>
      <c r="P100" s="10"/>
      <c r="Q100" s="2"/>
      <c r="R100" s="2"/>
      <c r="S100" s="2"/>
      <c r="T100" s="2"/>
      <c r="U100" s="7" t="str">
        <f>IF(OR(AO100="",J100="",AO100&lt;=0),"",(J100-AO100)/AO100)</f>
        <v/>
      </c>
      <c r="V100" s="7" t="str">
        <f>IF(OR(AO100="",N100="",AO100&lt;=0),"",(AO100-N100)/AO100)</f>
        <v/>
      </c>
      <c r="W100" s="24" t="str">
        <f>IF(OR(U100="",V100="",V100&lt;=0),"",U100/V100)</f>
        <v/>
      </c>
      <c r="X100" s="5" t="str">
        <f>IF(OR(K100="",L100="",AP100=""),"",K100*L100-(E100*H100+IF(AND(AK100&lt;&gt;"",AL100&lt;&gt;""),AK100*AL100,0)+IF(AND(AM100&lt;&gt;"",AN100&lt;&gt;""),AM100*AN100,0))-IF(O100="",0,O100)-IF(P100="",0,P100))</f>
        <v/>
      </c>
      <c r="Y100" s="7" t="str">
        <f>IF(OR(X100="",AP100=""),"",IF((E100*H100+IF(AND(AK100&lt;&gt;"",AL100&lt;&gt;""),AK100*AL100,0)+IF(AND(AM100&lt;&gt;"",AN100&lt;&gt;""),AM100*AN100,0))+IF(O100="",0,O100)&lt;=0,"",X100/((E100*H100+IF(AND(AK100&lt;&gt;"",AL100&lt;&gt;""),AK100*AL100,0)+IF(AND(AM100&lt;&gt;"",AN100&lt;&gt;""),AM100*AN100,0))+IF(O100="",0,O100))))</f>
        <v/>
      </c>
      <c r="Z100" s="7" t="str">
        <f>IF(OR(AE100="",多次统计数据!$B$8=""),"",AE100-多次统计数据!$B$8)</f>
        <v/>
      </c>
      <c r="AA100" s="11" t="str">
        <f>IF(OR(I100="",M100="",M100&lt;I100),"",M100-I100)</f>
        <v/>
      </c>
      <c r="AB100" s="7" t="str">
        <f>IF(OR(A100="",多次统计数据!$B$8="",多次统计数据!$B$6&lt;=0,多次统计数据!$B$6&gt;=1),"",1-POWER(1+多次统计数据!$B$8,-多次统计数据!$B$6/(1-多次统计数据!$B$6)))</f>
        <v/>
      </c>
      <c r="AC100" s="8" t="str">
        <f>IF(OR(AB100="",多次统计数据!$B$9=""),"",IF(多次统计数据!$B$9&lt;AB100,"低于上限","达到或超过上限"))</f>
        <v/>
      </c>
      <c r="AD100" s="2"/>
      <c r="AE100" s="7" t="str">
        <f>IF(OR(X100="",C100="",C100&lt;=0),"",X100/C100)</f>
        <v/>
      </c>
      <c r="AG100" s="2"/>
      <c r="AH100" s="2"/>
      <c r="AI100" s="2"/>
      <c r="AJ100" s="8" t="str">
        <f>IF(OR(AG100="",AH100=""),"",IF(OR(AND(AG100="短期博反弹",OR(AH100="1～3个交易日",AH100="4～10个交易日")),AND(AG100="突破冲新高",OR(AH100="4～10个交易日",AH100="11～20个交易日")),AND(AG100="趋势波段",OR(AH100="11～20个交易日",AH100="21～60个交易日",AH100="60个交易日以上"))),"匹配","周期与交易预期不匹配，请重新确认"))</f>
        <v/>
      </c>
      <c r="AK100" s="10"/>
      <c r="AL100" s="12"/>
      <c r="AM100" s="10"/>
      <c r="AN100" s="12"/>
      <c r="AO100" s="5" t="str">
        <f>IF(OR(A100="",H100="",H100&lt;=0),"",(E100*H100+IF(AND(AK100&lt;&gt;"",AL100&lt;&gt;""),AK100*AL100,0)+IF(AND(AM100&lt;&gt;"",AN100&lt;&gt;""),AM100*AN100,0))/AP100)</f>
        <v/>
      </c>
      <c r="AP100" s="11" t="str">
        <f>IF(OR(A100="",H100="",H100&lt;=0),"",H100+IF(AL100="",0,AL100)+IF(AN100="",0,AN100))</f>
        <v/>
      </c>
      <c r="AQ100" s="5" t="str">
        <f>IF(A100="","",IF(M100&lt;&gt;"",0,IF(OR(H100="",N100=""),"",MAX(E100-MAX(N100,IFERROR(SUMPRODUCT(MAX(((持仓跟踪!$A$2:$A$497="每日跟踪")*(持仓跟踪!$B$2:$B$497=A100))*持仓跟踪!$S$2:$S$497)),0)),0)*H100+IF(OR(AK100="",AL100=""),0,MAX(AK100-MAX(N100,IFERROR(SUMPRODUCT(MAX(((持仓跟踪!$A$2:$A$497="每日跟踪")*(持仓跟踪!$B$2:$B$497=A100))*持仓跟踪!$S$2:$S$497)),0)),0)*AL100)+IF(OR(AM100="",AN100=""),0,MAX(AM100-MAX(N100,IFERROR(SUMPRODUCT(MAX(((持仓跟踪!$A$2:$A$497="每日跟踪")*(持仓跟踪!$B$2:$B$497=A100))*持仓跟踪!$S$2:$S$497)),0)),0)*AN100))))</f>
        <v/>
      </c>
      <c r="AR100" s="8" t="str">
        <f ca="1">IF(A100="","",IF(OR(E100="",H100=""),"违规：第一批价格或股数缺失",IF(OR(AND(AK100="",AL100&lt;&gt;""),AND(AK100&lt;&gt;"",AL100="")),"违规：第二批价格与股数须成对填写",IF(OR(AND(AM100="",AN100&lt;&gt;""),AND(AM100&lt;&gt;"",AN100="")),"违规：第三批价格与股数须成对填写",IF(AND(OR(AM100&lt;&gt;"",AN100&lt;&gt;""),OR(AK100="",AL100="")),"违规：必须先完成第二批",IF(OR(H100&lt;=0,H100&lt;&gt;INT(H100),MOD(H100,100)&lt;&gt;0,AND(AL100&lt;&gt;"",OR(AL100&lt;=0,AL100&lt;&gt;INT(AL100),MOD(AL100,100)&lt;&gt;0)),AND(AN100&lt;&gt;"",OR(AN100&lt;=0,AN100&lt;&gt;INT(AN100),MOD(AN100,100)&lt;&gt;0))),"违规：股数须为100股整数倍",IF(AND(OR(AL100&lt;&gt;"",AN100&lt;&gt;""),OR(_LockStatus="已锁仓",_LockStatus="解锁信息不完整")),"违规：锁仓期间禁止加仓",IF(AQ100&gt;C100*D100,"违规：超过单笔风险上限",IF(SUM($AQ$2:$AQ$163)&gt;账户数据!$B$7,"违规：超过账户风险上限","通过")))))))))</f>
        <v/>
      </c>
    </row>
    <row r="101" ht="17" spans="1:44">
      <c r="A101" s="2"/>
      <c r="B101" s="13"/>
      <c r="C101" s="10"/>
      <c r="D101" s="6"/>
      <c r="E101" s="10"/>
      <c r="F101" s="8" t="str">
        <f>IF(OR(C101="",D101="",E101="",N101="",C101&lt;=0,D101&lt;=0,E101&lt;=N101),"",ROUNDDOWN((C101*D101)/(E101-N101)/100,0)*100)</f>
        <v/>
      </c>
      <c r="G101" s="8" t="str">
        <f ca="1"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COUNTIFS(持仓跟踪!$A$2:$A$497,"止损计划",持仓跟踪!$B$2:$B$497,A101,持仓跟踪!$AC$2:$AC$497,"计划有效")=0,"禁止开仓：请先填写止损计划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1" s="2"/>
      <c r="I101" s="15"/>
      <c r="J101" s="10"/>
      <c r="K101" s="10"/>
      <c r="L101" s="8" t="str">
        <f>IF(K101="","",H101)</f>
        <v/>
      </c>
      <c r="M101" s="15"/>
      <c r="N101" s="10"/>
      <c r="O101" s="10"/>
      <c r="P101" s="10"/>
      <c r="Q101" s="2"/>
      <c r="R101" s="2"/>
      <c r="S101" s="2"/>
      <c r="T101" s="2"/>
      <c r="U101" s="7" t="str">
        <f>IF(OR(AO101="",J101="",AO101&lt;=0),"",(J101-AO101)/AO101)</f>
        <v/>
      </c>
      <c r="V101" s="7" t="str">
        <f>IF(OR(AO101="",N101="",AO101&lt;=0),"",(AO101-N101)/AO101)</f>
        <v/>
      </c>
      <c r="W101" s="24" t="str">
        <f>IF(OR(U101="",V101="",V101&lt;=0),"",U101/V101)</f>
        <v/>
      </c>
      <c r="X101" s="5" t="str">
        <f>IF(OR(K101="",L101="",AP101=""),"",K101*L101-(E101*H101+IF(AND(AK101&lt;&gt;"",AL101&lt;&gt;""),AK101*AL101,0)+IF(AND(AM101&lt;&gt;"",AN101&lt;&gt;""),AM101*AN101,0))-IF(O101="",0,O101)-IF(P101="",0,P101))</f>
        <v/>
      </c>
      <c r="Y101" s="7" t="str">
        <f>IF(OR(X101="",AP101=""),"",IF((E101*H101+IF(AND(AK101&lt;&gt;"",AL101&lt;&gt;""),AK101*AL101,0)+IF(AND(AM101&lt;&gt;"",AN101&lt;&gt;""),AM101*AN101,0))+IF(O101="",0,O101)&lt;=0,"",X101/((E101*H101+IF(AND(AK101&lt;&gt;"",AL101&lt;&gt;""),AK101*AL101,0)+IF(AND(AM101&lt;&gt;"",AN101&lt;&gt;""),AM101*AN101,0))+IF(O101="",0,O101))))</f>
        <v/>
      </c>
      <c r="Z101" s="7" t="str">
        <f>IF(OR(AE101="",多次统计数据!$B$8=""),"",AE101-多次统计数据!$B$8)</f>
        <v/>
      </c>
      <c r="AA101" s="11" t="str">
        <f>IF(OR(I101="",M101="",M101&lt;I101),"",M101-I101)</f>
        <v/>
      </c>
      <c r="AB101" s="7" t="str">
        <f>IF(OR(A101="",多次统计数据!$B$8="",多次统计数据!$B$6&lt;=0,多次统计数据!$B$6&gt;=1),"",1-POWER(1+多次统计数据!$B$8,-多次统计数据!$B$6/(1-多次统计数据!$B$6)))</f>
        <v/>
      </c>
      <c r="AC101" s="8" t="str">
        <f>IF(OR(AB101="",多次统计数据!$B$9=""),"",IF(多次统计数据!$B$9&lt;AB101,"低于上限","达到或超过上限"))</f>
        <v/>
      </c>
      <c r="AD101" s="2"/>
      <c r="AE101" s="7" t="str">
        <f>IF(OR(X101="",C101="",C101&lt;=0),"",X101/C101)</f>
        <v/>
      </c>
      <c r="AG101" s="2"/>
      <c r="AH101" s="2"/>
      <c r="AI101" s="2"/>
      <c r="AJ101" s="8" t="str">
        <f>IF(OR(AG101="",AH101=""),"",IF(OR(AND(AG101="短期博反弹",OR(AH101="1～3个交易日",AH101="4～10个交易日")),AND(AG101="突破冲新高",OR(AH101="4～10个交易日",AH101="11～20个交易日")),AND(AG101="趋势波段",OR(AH101="11～20个交易日",AH101="21～60个交易日",AH101="60个交易日以上"))),"匹配","周期与交易预期不匹配，请重新确认"))</f>
        <v/>
      </c>
      <c r="AK101" s="10"/>
      <c r="AL101" s="12"/>
      <c r="AM101" s="10"/>
      <c r="AN101" s="12"/>
      <c r="AO101" s="5" t="str">
        <f>IF(OR(A101="",H101="",H101&lt;=0),"",(E101*H101+IF(AND(AK101&lt;&gt;"",AL101&lt;&gt;""),AK101*AL101,0)+IF(AND(AM101&lt;&gt;"",AN101&lt;&gt;""),AM101*AN101,0))/AP101)</f>
        <v/>
      </c>
      <c r="AP101" s="11" t="str">
        <f>IF(OR(A101="",H101="",H101&lt;=0),"",H101+IF(AL101="",0,AL101)+IF(AN101="",0,AN101))</f>
        <v/>
      </c>
      <c r="AQ101" s="5" t="str">
        <f>IF(A101="","",IF(M101&lt;&gt;"",0,IF(OR(H101="",N101=""),"",MAX(E101-MAX(N101,IFERROR(SUMPRODUCT(MAX(((持仓跟踪!$A$2:$A$497="每日跟踪")*(持仓跟踪!$B$2:$B$497=A101))*持仓跟踪!$S$2:$S$497)),0)),0)*H101+IF(OR(AK101="",AL101=""),0,MAX(AK101-MAX(N101,IFERROR(SUMPRODUCT(MAX(((持仓跟踪!$A$2:$A$497="每日跟踪")*(持仓跟踪!$B$2:$B$497=A101))*持仓跟踪!$S$2:$S$497)),0)),0)*AL101)+IF(OR(AM101="",AN101=""),0,MAX(AM101-MAX(N101,IFERROR(SUMPRODUCT(MAX(((持仓跟踪!$A$2:$A$497="每日跟踪")*(持仓跟踪!$B$2:$B$497=A101))*持仓跟踪!$S$2:$S$497)),0)),0)*AN101))))</f>
        <v/>
      </c>
      <c r="AR101" s="8" t="str">
        <f ca="1">IF(A101="","",IF(OR(E101="",H101=""),"违规：第一批价格或股数缺失",IF(OR(AND(AK101="",AL101&lt;&gt;""),AND(AK101&lt;&gt;"",AL101="")),"违规：第二批价格与股数须成对填写",IF(OR(AND(AM101="",AN101&lt;&gt;""),AND(AM101&lt;&gt;"",AN101="")),"违规：第三批价格与股数须成对填写",IF(AND(OR(AM101&lt;&gt;"",AN101&lt;&gt;""),OR(AK101="",AL101="")),"违规：必须先完成第二批",IF(OR(H101&lt;=0,H101&lt;&gt;INT(H101),MOD(H101,100)&lt;&gt;0,AND(AL101&lt;&gt;"",OR(AL101&lt;=0,AL101&lt;&gt;INT(AL101),MOD(AL101,100)&lt;&gt;0)),AND(AN101&lt;&gt;"",OR(AN101&lt;=0,AN101&lt;&gt;INT(AN101),MOD(AN101,100)&lt;&gt;0))),"违规：股数须为100股整数倍",IF(AND(OR(AL101&lt;&gt;"",AN101&lt;&gt;""),OR(_LockStatus="已锁仓",_LockStatus="解锁信息不完整")),"违规：锁仓期间禁止加仓",IF(AQ101&gt;C101*D101,"违规：超过单笔风险上限",IF(SUM($AQ$2:$AQ$163)&gt;账户数据!$B$7,"违规：超过账户风险上限","通过")))))))))</f>
        <v/>
      </c>
    </row>
    <row r="102" ht="27" customHeight="1" spans="1:44">
      <c r="A102" s="2"/>
      <c r="B102" s="13"/>
      <c r="C102" s="10"/>
      <c r="D102" s="6"/>
      <c r="E102" s="10"/>
      <c r="F102" s="8" t="str">
        <f>IF(OR(C102="",D102="",E102="",N102="",C102&lt;=0,D102&lt;=0,E102&lt;=N102),"",ROUNDDOWN((C102*D102)/(E102-N102)/100,0)*100)</f>
        <v/>
      </c>
      <c r="G102" s="8" t="str">
        <f ca="1"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COUNTIFS(持仓跟踪!$A$2:$A$497,"止损计划",持仓跟踪!$B$2:$B$497,A102,持仓跟踪!$AC$2:$AC$497,"计划有效")=0,"禁止开仓：请先填写止损计划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2" s="2"/>
      <c r="I102" s="15"/>
      <c r="J102" s="10"/>
      <c r="K102" s="5"/>
      <c r="L102" s="8"/>
      <c r="M102" s="23" t="str">
        <f>IF(A102="","",IFERROR(LOOKUP(2,1/((持仓跟踪!$B$2:$B$497=A102)*(持仓跟踪!$X$2:$X$497="执行卖出")*(持仓跟踪!$H$2:$H$497&lt;&gt;"")),持仓跟踪!$H$2:$H$497),""))</f>
        <v/>
      </c>
      <c r="N102" s="10"/>
      <c r="O102" s="10"/>
      <c r="P102" s="5" t="str">
        <f>IF(A102="","",IFERROR(LOOKUP(2,1/((持仓跟踪!$B$2:$B$497=A102)*(持仓跟踪!$X$2:$X$497="执行卖出")*(持仓跟踪!$AA$2:$AA$497&lt;&gt;"")),持仓跟踪!$AA$2:$AA$497),""))</f>
        <v/>
      </c>
      <c r="Q102" s="2"/>
      <c r="R102" s="2"/>
      <c r="S102" s="2"/>
      <c r="T102" s="2"/>
      <c r="U102" s="7" t="str">
        <f>IF(OR(AO102="",J102="",AO102&lt;=0),"",(J102-AO102)/AO102)</f>
        <v/>
      </c>
      <c r="V102" s="7" t="str">
        <f>IF(OR(AO102="",N102="",AO102&lt;=0),"",(AO102-N102)/AO102)</f>
        <v/>
      </c>
      <c r="W102" s="24" t="str">
        <f>IF(OR(U102="",V102="",V102&lt;=0),"",U102/V102)</f>
        <v/>
      </c>
      <c r="X102" s="5" t="str">
        <f>IF(OR(K102="",L102="",AP102=""),"",K102*L102-(E102*H102+IF(AND(AK102&lt;&gt;"",AL102&lt;&gt;""),AK102*AL102,0)+IF(AND(AM102&lt;&gt;"",AN102&lt;&gt;""),AM102*AN102,0))-IF(O102="",0,O102)-IF(P102="",0,P102))</f>
        <v/>
      </c>
      <c r="Y102" s="7" t="str">
        <f>IF(OR(X102="",AP102=""),"",IF((E102*H102+IF(AND(AK102&lt;&gt;"",AL102&lt;&gt;""),AK102*AL102,0)+IF(AND(AM102&lt;&gt;"",AN102&lt;&gt;""),AM102*AN102,0))+IF(O102="",0,O102)&lt;=0,"",X102/((E102*H102+IF(AND(AK102&lt;&gt;"",AL102&lt;&gt;""),AK102*AL102,0)+IF(AND(AM102&lt;&gt;"",AN102&lt;&gt;""),AM102*AN102,0))+IF(O102="",0,O102))))</f>
        <v/>
      </c>
      <c r="Z102" s="7" t="str">
        <f>IF(OR(AE102="",多次统计数据!$B$8=""),"",AE102-多次统计数据!$B$8)</f>
        <v/>
      </c>
      <c r="AA102" s="11" t="str">
        <f>IF(OR(I102="",M102="",M102&lt;I102),"",M102-I102)</f>
        <v/>
      </c>
      <c r="AB102" s="7" t="str">
        <f>IF(OR(A102="",多次统计数据!$B$8="",多次统计数据!$B$6&lt;=0,多次统计数据!$B$6&gt;=1),"",1-POWER(1+多次统计数据!$B$8,-多次统计数据!$B$6/(1-多次统计数据!$B$6)))</f>
        <v/>
      </c>
      <c r="AC102" s="8" t="str">
        <f>IF(OR(AB102="",多次统计数据!$B$9=""),"",IF(多次统计数据!$B$9&lt;AB102,"低于上限","达到或超过上限"))</f>
        <v/>
      </c>
      <c r="AD102" s="2"/>
      <c r="AE102" s="7" t="str">
        <f>IF(OR(X102="",C102="",C102&lt;=0),"",X102/C102)</f>
        <v/>
      </c>
      <c r="AF102" s="16"/>
      <c r="AG102" s="2"/>
      <c r="AH102" s="2"/>
      <c r="AI102" s="13"/>
      <c r="AJ102" s="8" t="str">
        <f>IF(OR(AG102="",AH102=""),"",IF(OR(AND(AG102="短期博反弹",OR(AH102="1～3个交易日",AH102="4～10个交易日")),AND(AG102="突破冲新高",OR(AH102="4～10个交易日",AH102="11～20个交易日")),AND(AG102="趋势波段",OR(AH102="11～20个交易日",AH102="21～60个交易日",AH102="60个交易日以上"))),"匹配","周期与交易预期不匹配，请重新确认"))</f>
        <v/>
      </c>
      <c r="AK102" s="10"/>
      <c r="AL102" s="12"/>
      <c r="AM102" s="10"/>
      <c r="AN102" s="12"/>
      <c r="AO102" s="5" t="str">
        <f>IF(OR(A102="",H102="",H102&lt;=0),"",(E102*H102+IF(AND(AK102&lt;&gt;"",AL102&lt;&gt;""),AK102*AL102,0)+IF(AND(AM102&lt;&gt;"",AN102&lt;&gt;""),AM102*AN102,0))/AP102)</f>
        <v/>
      </c>
      <c r="AP102" s="11" t="str">
        <f>IF(OR(A102="",H102="",H102&lt;=0),"",H102+IF(AL102="",0,AL102)+IF(AN102="",0,AN102))</f>
        <v/>
      </c>
      <c r="AQ102" s="5" t="str">
        <f>IF(A102="","",IF(M102&lt;&gt;"",0,IF(OR(H102="",N102=""),"",MAX(E102-MAX(N102,IFERROR(SUMPRODUCT(MAX(((持仓跟踪!$A$2:$A$497="每日跟踪")*(持仓跟踪!$B$2:$B$497=A102))*持仓跟踪!$S$2:$S$497)),0)),0)*H102+IF(OR(AK102="",AL102=""),0,MAX(AK102-MAX(N102,IFERROR(SUMPRODUCT(MAX(((持仓跟踪!$A$2:$A$497="每日跟踪")*(持仓跟踪!$B$2:$B$497=A102))*持仓跟踪!$S$2:$S$497)),0)),0)*AL102)+IF(OR(AM102="",AN102=""),0,MAX(AM102-MAX(N102,IFERROR(SUMPRODUCT(MAX(((持仓跟踪!$A$2:$A$497="每日跟踪")*(持仓跟踪!$B$2:$B$497=A102))*持仓跟踪!$S$2:$S$497)),0)),0)*AN102))))</f>
        <v/>
      </c>
      <c r="AR102" s="8" t="str">
        <f ca="1">IF(A102="","",IF(OR(E102="",H102=""),"违规：第一批价格或股数缺失",IF(OR(AND(AK102="",AL102&lt;&gt;""),AND(AK102&lt;&gt;"",AL102="")),"违规：第二批价格与股数须成对填写",IF(OR(AND(AM102="",AN102&lt;&gt;""),AND(AM102&lt;&gt;"",AN102="")),"违规：第三批价格与股数须成对填写",IF(AND(OR(AM102&lt;&gt;"",AN102&lt;&gt;""),OR(AK102="",AL102="")),"违规：必须先完成第二批",IF(OR(H102&lt;=0,H102&lt;&gt;INT(H102),MOD(H102,100)&lt;&gt;0,AND(AL102&lt;&gt;"",OR(AL102&lt;=0,AL102&lt;&gt;INT(AL102),MOD(AL102,100)&lt;&gt;0)),AND(AN102&lt;&gt;"",OR(AN102&lt;=0,AN102&lt;&gt;INT(AN102),MOD(AN102,100)&lt;&gt;0))),"违规：股数须为100股整数倍",IF(AND(OR(AL102&lt;&gt;"",AN102&lt;&gt;""),OR(_LockStatus="已锁仓",_LockStatus="解锁信息不完整")),"违规：锁仓期间禁止加仓",IF(AQ102&gt;C102*D102,"违规：超过单笔风险上限",IF(SUM($AQ$2:$AQ$163)&gt;账户数据!$B$7,"违规：超过账户风险上限","通过")))))))))</f>
        <v/>
      </c>
    </row>
    <row r="103" ht="17" spans="1:44">
      <c r="A103" s="2"/>
      <c r="B103" s="13"/>
      <c r="C103" s="10"/>
      <c r="D103" s="6"/>
      <c r="E103" s="10"/>
      <c r="F103" s="8" t="str">
        <f>IF(OR(C103="",D103="",E103="",N103="",C103&lt;=0,D103&lt;=0,E103&lt;=N103),"",ROUNDDOWN((C103*D103)/(E103-N103)/100,0)*100)</f>
        <v/>
      </c>
      <c r="G103" s="8" t="str">
        <f ca="1"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COUNTIFS(持仓跟踪!$A$2:$A$497,"止损计划",持仓跟踪!$B$2:$B$497,A103,持仓跟踪!$AC$2:$AC$497,"计划有效")=0,"禁止开仓：请先填写止损计划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3" s="2"/>
      <c r="I103" s="15"/>
      <c r="J103" s="10"/>
      <c r="K103" s="5" t="str">
        <f>IF(A103="","",IFERROR(LOOKUP(2,1/((持仓跟踪!$B$2:$B$497=A103)*(持仓跟踪!$X$2:$X$497="执行卖出")*(持仓跟踪!$Y$2:$Y$497&lt;&gt;"")),持仓跟踪!$Y$2:$Y$497),""))</f>
        <v/>
      </c>
      <c r="L103" s="8" t="str">
        <f>IF(A103="","",IFERROR(LOOKUP(2,1/((持仓跟踪!$B$2:$B$497=A103)*(持仓跟踪!$X$2:$X$497="执行卖出")*(持仓跟踪!$Z$2:$Z$497&lt;&gt;"")),持仓跟踪!$Z$2:$Z$497),""))</f>
        <v/>
      </c>
      <c r="M103" s="23" t="str">
        <f>IF(A103="","",IFERROR(LOOKUP(2,1/((持仓跟踪!$B$2:$B$497=A103)*(持仓跟踪!$X$2:$X$497="执行卖出")*(持仓跟踪!$H$2:$H$497&lt;&gt;"")),持仓跟踪!$H$2:$H$497),""))</f>
        <v/>
      </c>
      <c r="N103" s="10"/>
      <c r="O103" s="10"/>
      <c r="P103" s="5" t="str">
        <f>IF(A103="","",IFERROR(LOOKUP(2,1/((持仓跟踪!$B$2:$B$497=A103)*(持仓跟踪!$X$2:$X$497="执行卖出")*(持仓跟踪!$AA$2:$AA$497&lt;&gt;"")),持仓跟踪!$AA$2:$AA$497),""))</f>
        <v/>
      </c>
      <c r="Q103" s="2"/>
      <c r="R103" s="2"/>
      <c r="S103" s="2"/>
      <c r="T103" s="2"/>
      <c r="U103" s="7" t="str">
        <f>IF(OR(AO103="",J103="",AO103&lt;=0),"",(J103-AO103)/AO103)</f>
        <v/>
      </c>
      <c r="V103" s="7" t="str">
        <f>IF(OR(AO103="",N103="",AO103&lt;=0),"",(AO103-N103)/AO103)</f>
        <v/>
      </c>
      <c r="W103" s="24" t="str">
        <f>IF(OR(U103="",V103="",V103&lt;=0),"",U103/V103)</f>
        <v/>
      </c>
      <c r="X103" s="5" t="str">
        <f>IF(OR(K103="",L103="",AP103=""),"",K103*L103-(E103*H103+IF(AND(AK103&lt;&gt;"",AL103&lt;&gt;""),AK103*AL103,0)+IF(AND(AM103&lt;&gt;"",AN103&lt;&gt;""),AM103*AN103,0))-IF(O103="",0,O103)-IF(P103="",0,P103))</f>
        <v/>
      </c>
      <c r="Y103" s="7" t="str">
        <f>IF(OR(X103="",AP103=""),"",IF((E103*H103+IF(AND(AK103&lt;&gt;"",AL103&lt;&gt;""),AK103*AL103,0)+IF(AND(AM103&lt;&gt;"",AN103&lt;&gt;""),AM103*AN103,0))+IF(O103="",0,O103)&lt;=0,"",X103/((E103*H103+IF(AND(AK103&lt;&gt;"",AL103&lt;&gt;""),AK103*AL103,0)+IF(AND(AM103&lt;&gt;"",AN103&lt;&gt;""),AM103*AN103,0))+IF(O103="",0,O103))))</f>
        <v/>
      </c>
      <c r="Z103" s="7" t="str">
        <f>IF(OR(AE103="",多次统计数据!$B$8=""),"",AE103-多次统计数据!$B$8)</f>
        <v/>
      </c>
      <c r="AA103" s="11" t="str">
        <f>IF(OR(I103="",M103="",M103&lt;I103),"",M103-I103)</f>
        <v/>
      </c>
      <c r="AB103" s="7" t="str">
        <f>IF(OR(A103="",多次统计数据!$B$8="",多次统计数据!$B$6&lt;=0,多次统计数据!$B$6&gt;=1),"",1-POWER(1+多次统计数据!$B$8,-多次统计数据!$B$6/(1-多次统计数据!$B$6)))</f>
        <v/>
      </c>
      <c r="AC103" s="8" t="str">
        <f>IF(OR(AB103="",多次统计数据!$B$9=""),"",IF(多次统计数据!$B$9&lt;AB103,"低于上限","达到或超过上限"))</f>
        <v/>
      </c>
      <c r="AD103" s="2"/>
      <c r="AE103" s="7" t="str">
        <f>IF(OR(X103="",C103="",C103&lt;=0),"",X103/C103)</f>
        <v/>
      </c>
      <c r="AG103" s="2"/>
      <c r="AH103" s="2"/>
      <c r="AI103" s="13"/>
      <c r="AJ103" s="8" t="str">
        <f>IF(OR(AG103="",AH103=""),"",IF(OR(AND(AG103="短期博反弹",OR(AH103="1～3个交易日",AH103="4～10个交易日")),AND(AG103="突破冲新高",OR(AH103="4～10个交易日",AH103="11～20个交易日")),AND(AG103="趋势波段",OR(AH103="11～20个交易日",AH103="21～60个交易日",AH103="60个交易日以上"))),"匹配","周期与交易预期不匹配，请重新确认"))</f>
        <v/>
      </c>
      <c r="AK103" s="10"/>
      <c r="AL103" s="12"/>
      <c r="AM103" s="10"/>
      <c r="AN103" s="12"/>
      <c r="AO103" s="5" t="str">
        <f>IF(OR(A103="",H103="",H103&lt;=0),"",(E103*H103+IF(AND(AK103&lt;&gt;"",AL103&lt;&gt;""),AK103*AL103,0)+IF(AND(AM103&lt;&gt;"",AN103&lt;&gt;""),AM103*AN103,0))/AP103)</f>
        <v/>
      </c>
      <c r="AP103" s="11" t="str">
        <f>IF(OR(A103="",H103="",H103&lt;=0),"",H103+IF(AL103="",0,AL103)+IF(AN103="",0,AN103))</f>
        <v/>
      </c>
      <c r="AQ103" s="5" t="str">
        <f>IF(A103="","",IF(M103&lt;&gt;"",0,IF(OR(H103="",N103=""),"",MAX(E103-MAX(N103,IFERROR(SUMPRODUCT(MAX(((持仓跟踪!$A$2:$A$497="每日跟踪")*(持仓跟踪!$B$2:$B$497=A103))*持仓跟踪!$S$2:$S$497)),0)),0)*H103+IF(OR(AK103="",AL103=""),0,MAX(AK103-MAX(N103,IFERROR(SUMPRODUCT(MAX(((持仓跟踪!$A$2:$A$497="每日跟踪")*(持仓跟踪!$B$2:$B$497=A103))*持仓跟踪!$S$2:$S$497)),0)),0)*AL103)+IF(OR(AM103="",AN103=""),0,MAX(AM103-MAX(N103,IFERROR(SUMPRODUCT(MAX(((持仓跟踪!$A$2:$A$497="每日跟踪")*(持仓跟踪!$B$2:$B$497=A103))*持仓跟踪!$S$2:$S$497)),0)),0)*AN103))))</f>
        <v/>
      </c>
      <c r="AR103" s="8" t="str">
        <f ca="1">IF(A103="","",IF(OR(E103="",H103=""),"违规：第一批价格或股数缺失",IF(OR(AND(AK103="",AL103&lt;&gt;""),AND(AK103&lt;&gt;"",AL103="")),"违规：第二批价格与股数须成对填写",IF(OR(AND(AM103="",AN103&lt;&gt;""),AND(AM103&lt;&gt;"",AN103="")),"违规：第三批价格与股数须成对填写",IF(AND(OR(AM103&lt;&gt;"",AN103&lt;&gt;""),OR(AK103="",AL103="")),"违规：必须先完成第二批",IF(OR(H103&lt;=0,H103&lt;&gt;INT(H103),MOD(H103,100)&lt;&gt;0,AND(AL103&lt;&gt;"",OR(AL103&lt;=0,AL103&lt;&gt;INT(AL103),MOD(AL103,100)&lt;&gt;0)),AND(AN103&lt;&gt;"",OR(AN103&lt;=0,AN103&lt;&gt;INT(AN103),MOD(AN103,100)&lt;&gt;0))),"违规：股数须为100股整数倍",IF(AND(OR(AL103&lt;&gt;"",AN103&lt;&gt;""),OR(_LockStatus="已锁仓",_LockStatus="解锁信息不完整")),"违规：锁仓期间禁止加仓",IF(AQ103&gt;C103*D103,"违规：超过单笔风险上限",IF(SUM($AQ$2:$AQ$163)&gt;账户数据!$B$7,"违规：超过账户风险上限","通过")))))))))</f>
        <v/>
      </c>
    </row>
    <row r="104" ht="17" spans="1:44">
      <c r="A104" s="2"/>
      <c r="B104" s="13"/>
      <c r="C104" s="10"/>
      <c r="D104" s="6"/>
      <c r="E104" s="10"/>
      <c r="F104" s="8" t="str">
        <f>IF(OR(C104="",D104="",E104="",N104="",C104&lt;=0,D104&lt;=0,E104&lt;=N104),"",ROUNDDOWN((C104*D104)/(E104-N104)/100,0)*100)</f>
        <v/>
      </c>
      <c r="G104" s="8" t="str">
        <f ca="1"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COUNTIFS(持仓跟踪!$A$2:$A$497,"止损计划",持仓跟踪!$B$2:$B$497,A104,持仓跟踪!$AC$2:$AC$497,"计划有效")=0,"禁止开仓：请先填写止损计划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4" s="2"/>
      <c r="I104" s="15"/>
      <c r="J104" s="10"/>
      <c r="K104" s="5" t="str">
        <f>IF(A104="","",IFERROR(LOOKUP(2,1/((持仓跟踪!$B$2:$B$497=A104)*(持仓跟踪!$X$2:$X$497="执行卖出")*(持仓跟踪!$Y$2:$Y$497&lt;&gt;"")),持仓跟踪!$Y$2:$Y$497),""))</f>
        <v/>
      </c>
      <c r="L104" s="8" t="str">
        <f>IF(A104="","",IFERROR(LOOKUP(2,1/((持仓跟踪!$B$2:$B$497=A104)*(持仓跟踪!$X$2:$X$497="执行卖出")*(持仓跟踪!$Z$2:$Z$497&lt;&gt;"")),持仓跟踪!$Z$2:$Z$497),""))</f>
        <v/>
      </c>
      <c r="M104" s="23" t="str">
        <f>IF(A104="","",IFERROR(LOOKUP(2,1/((持仓跟踪!$B$2:$B$497=A104)*(持仓跟踪!$X$2:$X$497="执行卖出")*(持仓跟踪!$H$2:$H$497&lt;&gt;"")),持仓跟踪!$H$2:$H$497),""))</f>
        <v/>
      </c>
      <c r="N104" s="10"/>
      <c r="O104" s="10"/>
      <c r="P104" s="5" t="str">
        <f>IF(A104="","",IFERROR(LOOKUP(2,1/((持仓跟踪!$B$2:$B$497=A104)*(持仓跟踪!$X$2:$X$497="执行卖出")*(持仓跟踪!$AA$2:$AA$497&lt;&gt;"")),持仓跟踪!$AA$2:$AA$497),""))</f>
        <v/>
      </c>
      <c r="Q104" s="2"/>
      <c r="R104" s="2"/>
      <c r="S104" s="2"/>
      <c r="T104" s="2"/>
      <c r="U104" s="7" t="str">
        <f>IF(OR(AO104="",J104="",AO104&lt;=0),"",(J104-AO104)/AO104)</f>
        <v/>
      </c>
      <c r="V104" s="7" t="str">
        <f>IF(OR(AO104="",N104="",AO104&lt;=0),"",(AO104-N104)/AO104)</f>
        <v/>
      </c>
      <c r="W104" s="24" t="str">
        <f>IF(OR(U104="",V104="",V104&lt;=0),"",U104/V104)</f>
        <v/>
      </c>
      <c r="X104" s="5" t="str">
        <f>IF(OR(K104="",L104="",AP104=""),"",K104*L104-(E104*H104+IF(AND(AK104&lt;&gt;"",AL104&lt;&gt;""),AK104*AL104,0)+IF(AND(AM104&lt;&gt;"",AN104&lt;&gt;""),AM104*AN104,0))-IF(O104="",0,O104)-IF(P104="",0,P104))</f>
        <v/>
      </c>
      <c r="Y104" s="7" t="str">
        <f>IF(OR(X104="",AP104=""),"",IF((E104*H104+IF(AND(AK104&lt;&gt;"",AL104&lt;&gt;""),AK104*AL104,0)+IF(AND(AM104&lt;&gt;"",AN104&lt;&gt;""),AM104*AN104,0))+IF(O104="",0,O104)&lt;=0,"",X104/((E104*H104+IF(AND(AK104&lt;&gt;"",AL104&lt;&gt;""),AK104*AL104,0)+IF(AND(AM104&lt;&gt;"",AN104&lt;&gt;""),AM104*AN104,0))+IF(O104="",0,O104))))</f>
        <v/>
      </c>
      <c r="Z104" s="7" t="str">
        <f>IF(OR(AE104="",多次统计数据!$B$8=""),"",AE104-多次统计数据!$B$8)</f>
        <v/>
      </c>
      <c r="AA104" s="11" t="str">
        <f>IF(OR(I104="",M104="",M104&lt;I104),"",M104-I104)</f>
        <v/>
      </c>
      <c r="AB104" s="7" t="str">
        <f>IF(OR(A104="",多次统计数据!$B$8="",多次统计数据!$B$6&lt;=0,多次统计数据!$B$6&gt;=1),"",1-POWER(1+多次统计数据!$B$8,-多次统计数据!$B$6/(1-多次统计数据!$B$6)))</f>
        <v/>
      </c>
      <c r="AC104" s="8" t="str">
        <f>IF(OR(AB104="",多次统计数据!$B$9=""),"",IF(多次统计数据!$B$9&lt;AB104,"低于上限","达到或超过上限"))</f>
        <v/>
      </c>
      <c r="AD104" s="2"/>
      <c r="AE104" s="7" t="str">
        <f>IF(OR(X104="",C104="",C104&lt;=0),"",X104/C104)</f>
        <v/>
      </c>
      <c r="AG104" s="2"/>
      <c r="AH104" s="2"/>
      <c r="AI104" s="2"/>
      <c r="AJ104" s="8" t="str">
        <f>IF(OR(AG104="",AH104=""),"",IF(OR(AND(AG104="短期博反弹",OR(AH104="1～3个交易日",AH104="4～10个交易日")),AND(AG104="突破冲新高",OR(AH104="4～10个交易日",AH104="11～20个交易日")),AND(AG104="趋势波段",OR(AH104="11～20个交易日",AH104="21～60个交易日",AH104="60个交易日以上"))),"匹配","周期与交易预期不匹配，请重新确认"))</f>
        <v/>
      </c>
      <c r="AK104" s="10"/>
      <c r="AL104" s="12"/>
      <c r="AM104" s="10"/>
      <c r="AN104" s="12"/>
      <c r="AO104" s="5" t="str">
        <f>IF(OR(A104="",H104="",H104&lt;=0),"",(E104*H104+IF(AND(AK104&lt;&gt;"",AL104&lt;&gt;""),AK104*AL104,0)+IF(AND(AM104&lt;&gt;"",AN104&lt;&gt;""),AM104*AN104,0))/AP104)</f>
        <v/>
      </c>
      <c r="AP104" s="11" t="str">
        <f>IF(OR(A104="",H104="",H104&lt;=0),"",H104+IF(AL104="",0,AL104)+IF(AN104="",0,AN104))</f>
        <v/>
      </c>
      <c r="AQ104" s="5" t="str">
        <f>IF(A104="","",IF(M104&lt;&gt;"",0,IF(OR(H104="",N104=""),"",MAX(E104-MAX(N104,IFERROR(SUMPRODUCT(MAX(((持仓跟踪!$A$2:$A$497="每日跟踪")*(持仓跟踪!$B$2:$B$497=A104))*持仓跟踪!$S$2:$S$497)),0)),0)*H104+IF(OR(AK104="",AL104=""),0,MAX(AK104-MAX(N104,IFERROR(SUMPRODUCT(MAX(((持仓跟踪!$A$2:$A$497="每日跟踪")*(持仓跟踪!$B$2:$B$497=A104))*持仓跟踪!$S$2:$S$497)),0)),0)*AL104)+IF(OR(AM104="",AN104=""),0,MAX(AM104-MAX(N104,IFERROR(SUMPRODUCT(MAX(((持仓跟踪!$A$2:$A$497="每日跟踪")*(持仓跟踪!$B$2:$B$497=A104))*持仓跟踪!$S$2:$S$497)),0)),0)*AN104))))</f>
        <v/>
      </c>
      <c r="AR104" s="8" t="str">
        <f ca="1">IF(A104="","",IF(OR(E104="",H104=""),"违规：第一批价格或股数缺失",IF(OR(AND(AK104="",AL104&lt;&gt;""),AND(AK104&lt;&gt;"",AL104="")),"违规：第二批价格与股数须成对填写",IF(OR(AND(AM104="",AN104&lt;&gt;""),AND(AM104&lt;&gt;"",AN104="")),"违规：第三批价格与股数须成对填写",IF(AND(OR(AM104&lt;&gt;"",AN104&lt;&gt;""),OR(AK104="",AL104="")),"违规：必须先完成第二批",IF(OR(H104&lt;=0,H104&lt;&gt;INT(H104),MOD(H104,100)&lt;&gt;0,AND(AL104&lt;&gt;"",OR(AL104&lt;=0,AL104&lt;&gt;INT(AL104),MOD(AL104,100)&lt;&gt;0)),AND(AN104&lt;&gt;"",OR(AN104&lt;=0,AN104&lt;&gt;INT(AN104),MOD(AN104,100)&lt;&gt;0))),"违规：股数须为100股整数倍",IF(AND(OR(AL104&lt;&gt;"",AN104&lt;&gt;""),OR(_LockStatus="已锁仓",_LockStatus="解锁信息不完整")),"违规：锁仓期间禁止加仓",IF(AQ104&gt;C104*D104,"违规：超过单笔风险上限",IF(SUM($AQ$2:$AQ$163)&gt;账户数据!$B$7,"违规：超过账户风险上限","通过")))))))))</f>
        <v/>
      </c>
    </row>
    <row r="105" ht="17" spans="1:44">
      <c r="A105" s="2"/>
      <c r="B105" s="13"/>
      <c r="C105" s="10"/>
      <c r="D105" s="6"/>
      <c r="E105" s="10"/>
      <c r="F105" s="8" t="str">
        <f>IF(OR(C105="",D105="",E105="",N105="",C105&lt;=0,D105&lt;=0,E105&lt;=N105),"",ROUNDDOWN((C105*D105)/(E105-N105)/100,0)*100)</f>
        <v/>
      </c>
      <c r="G105" s="8" t="str">
        <f ca="1"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COUNTIFS(持仓跟踪!$A$2:$A$497,"止损计划",持仓跟踪!$B$2:$B$497,A105,持仓跟踪!$AC$2:$AC$497,"计划有效")=0,"禁止开仓：请先填写止损计划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5" s="2"/>
      <c r="I105" s="15"/>
      <c r="J105" s="10"/>
      <c r="K105" s="5" t="str">
        <f>IF(A105="","",IFERROR(LOOKUP(2,1/((持仓跟踪!$B$2:$B$497=A105)*(持仓跟踪!$X$2:$X$497="执行卖出")*(持仓跟踪!$Y$2:$Y$497&lt;&gt;"")),持仓跟踪!$Y$2:$Y$497),""))</f>
        <v/>
      </c>
      <c r="L105" s="8" t="str">
        <f>IF(A105="","",IFERROR(LOOKUP(2,1/((持仓跟踪!$B$2:$B$497=A105)*(持仓跟踪!$X$2:$X$497="执行卖出")*(持仓跟踪!$Z$2:$Z$497&lt;&gt;"")),持仓跟踪!$Z$2:$Z$497),""))</f>
        <v/>
      </c>
      <c r="M105" s="23" t="str">
        <f>IF(A105="","",IFERROR(LOOKUP(2,1/((持仓跟踪!$B$2:$B$497=A105)*(持仓跟踪!$X$2:$X$497="执行卖出")*(持仓跟踪!$H$2:$H$497&lt;&gt;"")),持仓跟踪!$H$2:$H$497),""))</f>
        <v/>
      </c>
      <c r="N105" s="10"/>
      <c r="O105" s="10"/>
      <c r="P105" s="5" t="str">
        <f>IF(A105="","",IFERROR(LOOKUP(2,1/((持仓跟踪!$B$2:$B$497=A105)*(持仓跟踪!$X$2:$X$497="执行卖出")*(持仓跟踪!$AA$2:$AA$497&lt;&gt;"")),持仓跟踪!$AA$2:$AA$497),""))</f>
        <v/>
      </c>
      <c r="Q105" s="2"/>
      <c r="R105" s="2"/>
      <c r="S105" s="2"/>
      <c r="T105" s="2"/>
      <c r="U105" s="7" t="str">
        <f>IF(OR(AO105="",J105="",AO105&lt;=0),"",(J105-AO105)/AO105)</f>
        <v/>
      </c>
      <c r="V105" s="7" t="str">
        <f>IF(OR(AO105="",N105="",AO105&lt;=0),"",(AO105-N105)/AO105)</f>
        <v/>
      </c>
      <c r="W105" s="24" t="str">
        <f>IF(OR(U105="",V105="",V105&lt;=0),"",U105/V105)</f>
        <v/>
      </c>
      <c r="X105" s="5" t="str">
        <f>IF(OR(K105="",L105="",AP105=""),"",K105*L105-(E105*H105+IF(AND(AK105&lt;&gt;"",AL105&lt;&gt;""),AK105*AL105,0)+IF(AND(AM105&lt;&gt;"",AN105&lt;&gt;""),AM105*AN105,0))-IF(O105="",0,O105)-IF(P105="",0,P105))</f>
        <v/>
      </c>
      <c r="Y105" s="7" t="str">
        <f>IF(OR(X105="",AP105=""),"",IF((E105*H105+IF(AND(AK105&lt;&gt;"",AL105&lt;&gt;""),AK105*AL105,0)+IF(AND(AM105&lt;&gt;"",AN105&lt;&gt;""),AM105*AN105,0))+IF(O105="",0,O105)&lt;=0,"",X105/((E105*H105+IF(AND(AK105&lt;&gt;"",AL105&lt;&gt;""),AK105*AL105,0)+IF(AND(AM105&lt;&gt;"",AN105&lt;&gt;""),AM105*AN105,0))+IF(O105="",0,O105))))</f>
        <v/>
      </c>
      <c r="Z105" s="7" t="str">
        <f>IF(OR(AE105="",多次统计数据!$B$8=""),"",AE105-多次统计数据!$B$8)</f>
        <v/>
      </c>
      <c r="AA105" s="11" t="str">
        <f>IF(OR(I105="",M105="",M105&lt;I105),"",M105-I105)</f>
        <v/>
      </c>
      <c r="AB105" s="7" t="str">
        <f>IF(OR(A105="",多次统计数据!$B$8="",多次统计数据!$B$6&lt;=0,多次统计数据!$B$6&gt;=1),"",1-POWER(1+多次统计数据!$B$8,-多次统计数据!$B$6/(1-多次统计数据!$B$6)))</f>
        <v/>
      </c>
      <c r="AC105" s="8" t="str">
        <f>IF(OR(AB105="",多次统计数据!$B$9=""),"",IF(多次统计数据!$B$9&lt;AB105,"低于上限","达到或超过上限"))</f>
        <v/>
      </c>
      <c r="AD105" s="2"/>
      <c r="AE105" s="7" t="str">
        <f>IF(OR(X105="",C105="",C105&lt;=0),"",X105/C105)</f>
        <v/>
      </c>
      <c r="AG105" s="2"/>
      <c r="AH105" s="2"/>
      <c r="AI105" s="2"/>
      <c r="AJ105" s="8" t="str">
        <f>IF(OR(AG105="",AH105=""),"",IF(OR(AND(AG105="短期博反弹",OR(AH105="1～3个交易日",AH105="4～10个交易日")),AND(AG105="突破冲新高",OR(AH105="4～10个交易日",AH105="11～20个交易日")),AND(AG105="趋势波段",OR(AH105="11～20个交易日",AH105="21～60个交易日",AH105="60个交易日以上"))),"匹配","周期与交易预期不匹配，请重新确认"))</f>
        <v/>
      </c>
      <c r="AK105" s="10"/>
      <c r="AL105" s="12"/>
      <c r="AM105" s="10"/>
      <c r="AN105" s="12"/>
      <c r="AO105" s="5" t="str">
        <f>IF(OR(A105="",H105="",H105&lt;=0),"",(E105*H105+IF(AND(AK105&lt;&gt;"",AL105&lt;&gt;""),AK105*AL105,0)+IF(AND(AM105&lt;&gt;"",AN105&lt;&gt;""),AM105*AN105,0))/AP105)</f>
        <v/>
      </c>
      <c r="AP105" s="11" t="str">
        <f>IF(OR(A105="",H105="",H105&lt;=0),"",H105+IF(AL105="",0,AL105)+IF(AN105="",0,AN105))</f>
        <v/>
      </c>
      <c r="AQ105" s="5" t="str">
        <f>IF(A105="","",IF(M105&lt;&gt;"",0,IF(OR(H105="",N105=""),"",MAX(E105-MAX(N105,IFERROR(SUMPRODUCT(MAX(((持仓跟踪!$A$2:$A$497="每日跟踪")*(持仓跟踪!$B$2:$B$497=A105))*持仓跟踪!$S$2:$S$497)),0)),0)*H105+IF(OR(AK105="",AL105=""),0,MAX(AK105-MAX(N105,IFERROR(SUMPRODUCT(MAX(((持仓跟踪!$A$2:$A$497="每日跟踪")*(持仓跟踪!$B$2:$B$497=A105))*持仓跟踪!$S$2:$S$497)),0)),0)*AL105)+IF(OR(AM105="",AN105=""),0,MAX(AM105-MAX(N105,IFERROR(SUMPRODUCT(MAX(((持仓跟踪!$A$2:$A$497="每日跟踪")*(持仓跟踪!$B$2:$B$497=A105))*持仓跟踪!$S$2:$S$497)),0)),0)*AN105))))</f>
        <v/>
      </c>
      <c r="AR105" s="8" t="str">
        <f ca="1">IF(A105="","",IF(OR(E105="",H105=""),"违规：第一批价格或股数缺失",IF(OR(AND(AK105="",AL105&lt;&gt;""),AND(AK105&lt;&gt;"",AL105="")),"违规：第二批价格与股数须成对填写",IF(OR(AND(AM105="",AN105&lt;&gt;""),AND(AM105&lt;&gt;"",AN105="")),"违规：第三批价格与股数须成对填写",IF(AND(OR(AM105&lt;&gt;"",AN105&lt;&gt;""),OR(AK105="",AL105="")),"违规：必须先完成第二批",IF(OR(H105&lt;=0,H105&lt;&gt;INT(H105),MOD(H105,100)&lt;&gt;0,AND(AL105&lt;&gt;"",OR(AL105&lt;=0,AL105&lt;&gt;INT(AL105),MOD(AL105,100)&lt;&gt;0)),AND(AN105&lt;&gt;"",OR(AN105&lt;=0,AN105&lt;&gt;INT(AN105),MOD(AN105,100)&lt;&gt;0))),"违规：股数须为100股整数倍",IF(AND(OR(AL105&lt;&gt;"",AN105&lt;&gt;""),OR(_LockStatus="已锁仓",_LockStatus="解锁信息不完整")),"违规：锁仓期间禁止加仓",IF(AQ105&gt;C105*D105,"违规：超过单笔风险上限",IF(SUM($AQ$2:$AQ$163)&gt;账户数据!$B$7,"违规：超过账户风险上限","通过")))))))))</f>
        <v/>
      </c>
    </row>
    <row r="106" ht="17" spans="1:44">
      <c r="A106" s="2"/>
      <c r="B106" s="2"/>
      <c r="C106" s="10"/>
      <c r="D106" s="6"/>
      <c r="E106" s="10"/>
      <c r="F106" s="8" t="str">
        <f>IF(OR(C106="",D106="",E106="",N106="",C106&lt;=0,D106&lt;=0,E106&lt;=N106),"",ROUNDDOWN((C106*D106)/(E106-N106)/100,0)*100)</f>
        <v/>
      </c>
      <c r="G106" s="8" t="str">
        <f ca="1"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COUNTIFS(持仓跟踪!$A$2:$A$497,"止损计划",持仓跟踪!$B$2:$B$497,A106,持仓跟踪!$AC$2:$AC$497,"计划有效")=0,"禁止开仓：请先填写止损计划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6" s="2"/>
      <c r="I106" s="15"/>
      <c r="J106" s="10"/>
      <c r="K106" s="5" t="str">
        <f>IF(A106="","",IFERROR(LOOKUP(2,1/((持仓跟踪!$B$2:$B$497=A106)*(持仓跟踪!$X$2:$X$497="执行卖出")*(持仓跟踪!$Y$2:$Y$497&lt;&gt;"")),持仓跟踪!$Y$2:$Y$497),""))</f>
        <v/>
      </c>
      <c r="L106" s="8" t="str">
        <f>IF(A106="","",IFERROR(LOOKUP(2,1/((持仓跟踪!$B$2:$B$497=A106)*(持仓跟踪!$X$2:$X$497="执行卖出")*(持仓跟踪!$Z$2:$Z$497&lt;&gt;"")),持仓跟踪!$Z$2:$Z$497),""))</f>
        <v/>
      </c>
      <c r="M106" s="23" t="str">
        <f>IF(A106="","",IFERROR(LOOKUP(2,1/((持仓跟踪!$B$2:$B$497=A106)*(持仓跟踪!$X$2:$X$497="执行卖出")*(持仓跟踪!$H$2:$H$497&lt;&gt;"")),持仓跟踪!$H$2:$H$497),""))</f>
        <v/>
      </c>
      <c r="N106" s="10"/>
      <c r="O106" s="10"/>
      <c r="P106" s="5" t="str">
        <f>IF(A106="","",IFERROR(LOOKUP(2,1/((持仓跟踪!$B$2:$B$497=A106)*(持仓跟踪!$X$2:$X$497="执行卖出")*(持仓跟踪!$AA$2:$AA$497&lt;&gt;"")),持仓跟踪!$AA$2:$AA$497),""))</f>
        <v/>
      </c>
      <c r="Q106" s="2"/>
      <c r="R106" s="2"/>
      <c r="S106" s="2"/>
      <c r="T106" s="2"/>
      <c r="U106" s="7" t="str">
        <f>IF(OR(AO106="",J106="",AO106&lt;=0),"",(J106-AO106)/AO106)</f>
        <v/>
      </c>
      <c r="V106" s="7" t="str">
        <f>IF(OR(AO106="",N106="",AO106&lt;=0),"",(AO106-N106)/AO106)</f>
        <v/>
      </c>
      <c r="W106" s="24" t="str">
        <f>IF(OR(U106="",V106="",V106&lt;=0),"",U106/V106)</f>
        <v/>
      </c>
      <c r="X106" s="5" t="str">
        <f>IF(OR(K106="",L106="",AP106=""),"",K106*L106-(E106*H106+IF(AND(AK106&lt;&gt;"",AL106&lt;&gt;""),AK106*AL106,0)+IF(AND(AM106&lt;&gt;"",AN106&lt;&gt;""),AM106*AN106,0))-IF(O106="",0,O106)-IF(P106="",0,P106))</f>
        <v/>
      </c>
      <c r="Y106" s="7" t="str">
        <f>IF(OR(X106="",AP106=""),"",IF((E106*H106+IF(AND(AK106&lt;&gt;"",AL106&lt;&gt;""),AK106*AL106,0)+IF(AND(AM106&lt;&gt;"",AN106&lt;&gt;""),AM106*AN106,0))+IF(O106="",0,O106)&lt;=0,"",X106/((E106*H106+IF(AND(AK106&lt;&gt;"",AL106&lt;&gt;""),AK106*AL106,0)+IF(AND(AM106&lt;&gt;"",AN106&lt;&gt;""),AM106*AN106,0))+IF(O106="",0,O106))))</f>
        <v/>
      </c>
      <c r="Z106" s="7" t="str">
        <f>IF(OR(AE106="",多次统计数据!$B$8=""),"",AE106-多次统计数据!$B$8)</f>
        <v/>
      </c>
      <c r="AA106" s="11" t="str">
        <f>IF(OR(I106="",M106="",M106&lt;I106),"",M106-I106)</f>
        <v/>
      </c>
      <c r="AB106" s="7" t="str">
        <f>IF(OR(A106="",多次统计数据!$B$8="",多次统计数据!$B$6&lt;=0,多次统计数据!$B$6&gt;=1),"",1-POWER(1+多次统计数据!$B$8,-多次统计数据!$B$6/(1-多次统计数据!$B$6)))</f>
        <v/>
      </c>
      <c r="AC106" s="8" t="str">
        <f>IF(OR(AB106="",多次统计数据!$B$9=""),"",IF(多次统计数据!$B$9&lt;AB106,"低于上限","达到或超过上限"))</f>
        <v/>
      </c>
      <c r="AD106" s="2"/>
      <c r="AE106" s="7" t="str">
        <f>IF(OR(X106="",C106="",C106&lt;=0),"",X106/C106)</f>
        <v/>
      </c>
      <c r="AG106" s="2"/>
      <c r="AH106" s="2"/>
      <c r="AI106" s="2"/>
      <c r="AJ106" s="8" t="str">
        <f>IF(OR(AG106="",AH106=""),"",IF(OR(AND(AG106="短期博反弹",OR(AH106="1～3个交易日",AH106="4～10个交易日")),AND(AG106="突破冲新高",OR(AH106="4～10个交易日",AH106="11～20个交易日")),AND(AG106="趋势波段",OR(AH106="11～20个交易日",AH106="21～60个交易日",AH106="60个交易日以上"))),"匹配","周期与交易预期不匹配，请重新确认"))</f>
        <v/>
      </c>
      <c r="AK106" s="10"/>
      <c r="AL106" s="12"/>
      <c r="AM106" s="10"/>
      <c r="AN106" s="12"/>
      <c r="AO106" s="5" t="str">
        <f>IF(OR(A106="",H106="",H106&lt;=0),"",(E106*H106+IF(AND(AK106&lt;&gt;"",AL106&lt;&gt;""),AK106*AL106,0)+IF(AND(AM106&lt;&gt;"",AN106&lt;&gt;""),AM106*AN106,0))/AP106)</f>
        <v/>
      </c>
      <c r="AP106" s="11" t="str">
        <f>IF(OR(A106="",H106="",H106&lt;=0),"",H106+IF(AL106="",0,AL106)+IF(AN106="",0,AN106))</f>
        <v/>
      </c>
      <c r="AQ106" s="5" t="str">
        <f>IF(A106="","",IF(M106&lt;&gt;"",0,IF(OR(H106="",N106=""),"",MAX(E106-MAX(N106,IFERROR(SUMPRODUCT(MAX(((持仓跟踪!$A$2:$A$497="每日跟踪")*(持仓跟踪!$B$2:$B$497=A106))*持仓跟踪!$S$2:$S$497)),0)),0)*H106+IF(OR(AK106="",AL106=""),0,MAX(AK106-MAX(N106,IFERROR(SUMPRODUCT(MAX(((持仓跟踪!$A$2:$A$497="每日跟踪")*(持仓跟踪!$B$2:$B$497=A106))*持仓跟踪!$S$2:$S$497)),0)),0)*AL106)+IF(OR(AM106="",AN106=""),0,MAX(AM106-MAX(N106,IFERROR(SUMPRODUCT(MAX(((持仓跟踪!$A$2:$A$497="每日跟踪")*(持仓跟踪!$B$2:$B$497=A106))*持仓跟踪!$S$2:$S$497)),0)),0)*AN106))))</f>
        <v/>
      </c>
      <c r="AR106" s="8" t="str">
        <f ca="1">IF(A106="","",IF(OR(E106="",H106=""),"违规：第一批价格或股数缺失",IF(OR(AND(AK106="",AL106&lt;&gt;""),AND(AK106&lt;&gt;"",AL106="")),"违规：第二批价格与股数须成对填写",IF(OR(AND(AM106="",AN106&lt;&gt;""),AND(AM106&lt;&gt;"",AN106="")),"违规：第三批价格与股数须成对填写",IF(AND(OR(AM106&lt;&gt;"",AN106&lt;&gt;""),OR(AK106="",AL106="")),"违规：必须先完成第二批",IF(OR(H106&lt;=0,H106&lt;&gt;INT(H106),MOD(H106,100)&lt;&gt;0,AND(AL106&lt;&gt;"",OR(AL106&lt;=0,AL106&lt;&gt;INT(AL106),MOD(AL106,100)&lt;&gt;0)),AND(AN106&lt;&gt;"",OR(AN106&lt;=0,AN106&lt;&gt;INT(AN106),MOD(AN106,100)&lt;&gt;0))),"违规：股数须为100股整数倍",IF(AND(OR(AL106&lt;&gt;"",AN106&lt;&gt;""),OR(_LockStatus="已锁仓",_LockStatus="解锁信息不完整")),"违规：锁仓期间禁止加仓",IF(AQ106&gt;C106*D106,"违规：超过单笔风险上限",IF(SUM($AQ$2:$AQ$163)&gt;账户数据!$B$7,"违规：超过账户风险上限","通过")))))))))</f>
        <v/>
      </c>
    </row>
    <row r="107" ht="17" spans="1:44">
      <c r="A107" s="2"/>
      <c r="B107" s="2"/>
      <c r="C107" s="10"/>
      <c r="D107" s="6"/>
      <c r="E107" s="10"/>
      <c r="F107" s="8" t="str">
        <f>IF(OR(C107="",D107="",E107="",N107="",C107&lt;=0,D107&lt;=0,E107&lt;=N107),"",ROUNDDOWN((C107*D107)/(E107-N107)/100,0)*100)</f>
        <v/>
      </c>
      <c r="G107" s="8" t="str">
        <f ca="1"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COUNTIFS(持仓跟踪!$A$2:$A$497,"止损计划",持仓跟踪!$B$2:$B$497,A107,持仓跟踪!$AC$2:$AC$497,"计划有效")=0,"禁止开仓：请先填写止损计划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7" s="2"/>
      <c r="I107" s="15"/>
      <c r="J107" s="10"/>
      <c r="K107" s="5"/>
      <c r="L107" s="8" t="str">
        <f>IF(A107="","",IFERROR(LOOKUP(2,1/((持仓跟踪!$B$2:$B$497=A107)*(持仓跟踪!$X$2:$X$497="执行卖出")*(持仓跟踪!$Z$2:$Z$497&lt;&gt;"")),持仓跟踪!$Z$2:$Z$497),""))</f>
        <v/>
      </c>
      <c r="M107" s="23" t="str">
        <f>IF(A107="","",IFERROR(LOOKUP(2,1/((持仓跟踪!$B$2:$B$497=A107)*(持仓跟踪!$X$2:$X$497="执行卖出")*(持仓跟踪!$H$2:$H$497&lt;&gt;"")),持仓跟踪!$H$2:$H$497),""))</f>
        <v/>
      </c>
      <c r="N107" s="10"/>
      <c r="O107" s="10"/>
      <c r="P107" s="5" t="str">
        <f>IF(A107="","",IFERROR(LOOKUP(2,1/((持仓跟踪!$B$2:$B$497=A107)*(持仓跟踪!$X$2:$X$497="执行卖出")*(持仓跟踪!$AA$2:$AA$497&lt;&gt;"")),持仓跟踪!$AA$2:$AA$497),""))</f>
        <v/>
      </c>
      <c r="Q107" s="2"/>
      <c r="R107" s="2"/>
      <c r="S107" s="2"/>
      <c r="T107" s="2"/>
      <c r="U107" s="7" t="str">
        <f>IF(OR(AO107="",J107="",AO107&lt;=0),"",(J107-AO107)/AO107)</f>
        <v/>
      </c>
      <c r="V107" s="7" t="str">
        <f>IF(OR(AO107="",N107="",AO107&lt;=0),"",(AO107-N107)/AO107)</f>
        <v/>
      </c>
      <c r="W107" s="24" t="str">
        <f>IF(OR(U107="",V107="",V107&lt;=0),"",U107/V107)</f>
        <v/>
      </c>
      <c r="X107" s="5" t="str">
        <f>IF(OR(K107="",L107="",AP107=""),"",K107*L107-(E107*H107+IF(AND(AK107&lt;&gt;"",AL107&lt;&gt;""),AK107*AL107,0)+IF(AND(AM107&lt;&gt;"",AN107&lt;&gt;""),AM107*AN107,0))-IF(O107="",0,O107)-IF(P107="",0,P107))</f>
        <v/>
      </c>
      <c r="Y107" s="7" t="str">
        <f>IF(OR(X107="",AP107=""),"",IF((E107*H107+IF(AND(AK107&lt;&gt;"",AL107&lt;&gt;""),AK107*AL107,0)+IF(AND(AM107&lt;&gt;"",AN107&lt;&gt;""),AM107*AN107,0))+IF(O107="",0,O107)&lt;=0,"",X107/((E107*H107+IF(AND(AK107&lt;&gt;"",AL107&lt;&gt;""),AK107*AL107,0)+IF(AND(AM107&lt;&gt;"",AN107&lt;&gt;""),AM107*AN107,0))+IF(O107="",0,O107))))</f>
        <v/>
      </c>
      <c r="Z107" s="7" t="str">
        <f>IF(OR(AE107="",多次统计数据!$B$8=""),"",AE107-多次统计数据!$B$8)</f>
        <v/>
      </c>
      <c r="AA107" s="11" t="str">
        <f>IF(OR(I107="",M107="",M107&lt;I107),"",M107-I107)</f>
        <v/>
      </c>
      <c r="AB107" s="7" t="str">
        <f>IF(OR(A107="",多次统计数据!$B$8="",多次统计数据!$B$6&lt;=0,多次统计数据!$B$6&gt;=1),"",1-POWER(1+多次统计数据!$B$8,-多次统计数据!$B$6/(1-多次统计数据!$B$6)))</f>
        <v/>
      </c>
      <c r="AC107" s="8" t="str">
        <f>IF(OR(AB107="",多次统计数据!$B$9=""),"",IF(多次统计数据!$B$9&lt;AB107,"低于上限","达到或超过上限"))</f>
        <v/>
      </c>
      <c r="AD107" s="2"/>
      <c r="AE107" s="7" t="str">
        <f>IF(OR(X107="",C107="",C107&lt;=0),"",X107/C107)</f>
        <v/>
      </c>
      <c r="AG107" s="2"/>
      <c r="AH107" s="2"/>
      <c r="AI107" s="2"/>
      <c r="AJ107" s="8" t="str">
        <f>IF(OR(AG107="",AH107=""),"",IF(OR(AND(AG107="短期博反弹",OR(AH107="1～3个交易日",AH107="4～10个交易日")),AND(AG107="突破冲新高",OR(AH107="4～10个交易日",AH107="11～20个交易日")),AND(AG107="趋势波段",OR(AH107="11～20个交易日",AH107="21～60个交易日",AH107="60个交易日以上"))),"匹配","周期与交易预期不匹配，请重新确认"))</f>
        <v/>
      </c>
      <c r="AK107" s="10"/>
      <c r="AL107" s="12"/>
      <c r="AM107" s="10"/>
      <c r="AN107" s="12"/>
      <c r="AO107" s="5" t="str">
        <f>IF(OR(A107="",H107="",H107&lt;=0),"",(E107*H107+IF(AND(AK107&lt;&gt;"",AL107&lt;&gt;""),AK107*AL107,0)+IF(AND(AM107&lt;&gt;"",AN107&lt;&gt;""),AM107*AN107,0))/AP107)</f>
        <v/>
      </c>
      <c r="AP107" s="11" t="str">
        <f>IF(OR(A107="",H107="",H107&lt;=0),"",H107+IF(AL107="",0,AL107)+IF(AN107="",0,AN107))</f>
        <v/>
      </c>
      <c r="AQ107" s="5" t="str">
        <f>IF(A107="","",IF(M107&lt;&gt;"",0,IF(OR(H107="",N107=""),"",MAX(E107-MAX(N107,IFERROR(SUMPRODUCT(MAX(((持仓跟踪!$A$2:$A$497="每日跟踪")*(持仓跟踪!$B$2:$B$497=A107))*持仓跟踪!$S$2:$S$497)),0)),0)*H107+IF(OR(AK107="",AL107=""),0,MAX(AK107-MAX(N107,IFERROR(SUMPRODUCT(MAX(((持仓跟踪!$A$2:$A$497="每日跟踪")*(持仓跟踪!$B$2:$B$497=A107))*持仓跟踪!$S$2:$S$497)),0)),0)*AL107)+IF(OR(AM107="",AN107=""),0,MAX(AM107-MAX(N107,IFERROR(SUMPRODUCT(MAX(((持仓跟踪!$A$2:$A$497="每日跟踪")*(持仓跟踪!$B$2:$B$497=A107))*持仓跟踪!$S$2:$S$497)),0)),0)*AN107))))</f>
        <v/>
      </c>
      <c r="AR107" s="8" t="str">
        <f ca="1">IF(A107="","",IF(OR(E107="",H107=""),"违规：第一批价格或股数缺失",IF(OR(AND(AK107="",AL107&lt;&gt;""),AND(AK107&lt;&gt;"",AL107="")),"违规：第二批价格与股数须成对填写",IF(OR(AND(AM107="",AN107&lt;&gt;""),AND(AM107&lt;&gt;"",AN107="")),"违规：第三批价格与股数须成对填写",IF(AND(OR(AM107&lt;&gt;"",AN107&lt;&gt;""),OR(AK107="",AL107="")),"违规：必须先完成第二批",IF(OR(H107&lt;=0,H107&lt;&gt;INT(H107),MOD(H107,100)&lt;&gt;0,AND(AL107&lt;&gt;"",OR(AL107&lt;=0,AL107&lt;&gt;INT(AL107),MOD(AL107,100)&lt;&gt;0)),AND(AN107&lt;&gt;"",OR(AN107&lt;=0,AN107&lt;&gt;INT(AN107),MOD(AN107,100)&lt;&gt;0))),"违规：股数须为100股整数倍",IF(AND(OR(AL107&lt;&gt;"",AN107&lt;&gt;""),OR(_LockStatus="已锁仓",_LockStatus="解锁信息不完整")),"违规：锁仓期间禁止加仓",IF(AQ107&gt;C107*D107,"违规：超过单笔风险上限",IF(SUM($AQ$2:$AQ$163)&gt;账户数据!$B$7,"违规：超过账户风险上限","通过")))))))))</f>
        <v/>
      </c>
    </row>
    <row r="108" ht="17" spans="1:44">
      <c r="A108" s="2"/>
      <c r="B108" s="2"/>
      <c r="C108" s="10"/>
      <c r="D108" s="6"/>
      <c r="E108" s="10"/>
      <c r="F108" s="8" t="str">
        <f>IF(OR(C108="",D108="",E108="",N108="",C108&lt;=0,D108&lt;=0,E108&lt;=N108),"",ROUNDDOWN((C108*D108)/(E108-N108)/100,0)*100)</f>
        <v/>
      </c>
      <c r="G108" s="8" t="str">
        <f ca="1"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COUNTIFS(持仓跟踪!$A$2:$A$497,"止损计划",持仓跟踪!$B$2:$B$497,A108,持仓跟踪!$AC$2:$AC$497,"计划有效")=0,"禁止开仓：请先填写止损计划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8" s="2"/>
      <c r="I108" s="15"/>
      <c r="J108" s="10"/>
      <c r="K108" s="5" t="str">
        <f>IF(A108="","",IFERROR(LOOKUP(2,1/((持仓跟踪!$B$2:$B$497=A108)*(持仓跟踪!$X$2:$X$497="执行卖出")*(持仓跟踪!$Y$2:$Y$497&lt;&gt;"")),持仓跟踪!$Y$2:$Y$497),""))</f>
        <v/>
      </c>
      <c r="L108" s="8" t="str">
        <f>IF(A108="","",IFERROR(LOOKUP(2,1/((持仓跟踪!$B$2:$B$497=A108)*(持仓跟踪!$X$2:$X$497="执行卖出")*(持仓跟踪!$Z$2:$Z$497&lt;&gt;"")),持仓跟踪!$Z$2:$Z$497),""))</f>
        <v/>
      </c>
      <c r="M108" s="23" t="str">
        <f>IF(A108="","",IFERROR(LOOKUP(2,1/((持仓跟踪!$B$2:$B$497=A108)*(持仓跟踪!$X$2:$X$497="执行卖出")*(持仓跟踪!$H$2:$H$497&lt;&gt;"")),持仓跟踪!$H$2:$H$497),""))</f>
        <v/>
      </c>
      <c r="N108" s="10"/>
      <c r="O108" s="10"/>
      <c r="P108" s="5" t="str">
        <f>IF(A108="","",IFERROR(LOOKUP(2,1/((持仓跟踪!$B$2:$B$497=A108)*(持仓跟踪!$X$2:$X$497="执行卖出")*(持仓跟踪!$AA$2:$AA$497&lt;&gt;"")),持仓跟踪!$AA$2:$AA$497),""))</f>
        <v/>
      </c>
      <c r="Q108" s="2"/>
      <c r="R108" s="2"/>
      <c r="S108" s="2"/>
      <c r="T108" s="2"/>
      <c r="U108" s="7" t="str">
        <f>IF(OR(AO108="",J108="",AO108&lt;=0),"",(J108-AO108)/AO108)</f>
        <v/>
      </c>
      <c r="V108" s="7" t="str">
        <f>IF(OR(AO108="",N108="",AO108&lt;=0),"",(AO108-N108)/AO108)</f>
        <v/>
      </c>
      <c r="W108" s="24" t="str">
        <f>IF(OR(U108="",V108="",V108&lt;=0),"",U108/V108)</f>
        <v/>
      </c>
      <c r="X108" s="5" t="str">
        <f>IF(OR(K108="",L108="",AP108=""),"",K108*L108-(E108*H108+IF(AND(AK108&lt;&gt;"",AL108&lt;&gt;""),AK108*AL108,0)+IF(AND(AM108&lt;&gt;"",AN108&lt;&gt;""),AM108*AN108,0))-IF(O108="",0,O108)-IF(P108="",0,P108))</f>
        <v/>
      </c>
      <c r="Y108" s="7" t="str">
        <f>IF(OR(X108="",AP108=""),"",IF((E108*H108+IF(AND(AK108&lt;&gt;"",AL108&lt;&gt;""),AK108*AL108,0)+IF(AND(AM108&lt;&gt;"",AN108&lt;&gt;""),AM108*AN108,0))+IF(O108="",0,O108)&lt;=0,"",X108/((E108*H108+IF(AND(AK108&lt;&gt;"",AL108&lt;&gt;""),AK108*AL108,0)+IF(AND(AM108&lt;&gt;"",AN108&lt;&gt;""),AM108*AN108,0))+IF(O108="",0,O108))))</f>
        <v/>
      </c>
      <c r="Z108" s="7" t="str">
        <f>IF(OR(AE108="",多次统计数据!$B$8=""),"",AE108-多次统计数据!$B$8)</f>
        <v/>
      </c>
      <c r="AA108" s="11" t="str">
        <f>IF(OR(I108="",M108="",M108&lt;I108),"",M108-I108)</f>
        <v/>
      </c>
      <c r="AB108" s="7" t="str">
        <f>IF(OR(A108="",多次统计数据!$B$8="",多次统计数据!$B$6&lt;=0,多次统计数据!$B$6&gt;=1),"",1-POWER(1+多次统计数据!$B$8,-多次统计数据!$B$6/(1-多次统计数据!$B$6)))</f>
        <v/>
      </c>
      <c r="AC108" s="8" t="str">
        <f>IF(OR(AB108="",多次统计数据!$B$9=""),"",IF(多次统计数据!$B$9&lt;AB108,"低于上限","达到或超过上限"))</f>
        <v/>
      </c>
      <c r="AD108" s="2"/>
      <c r="AE108" s="7" t="str">
        <f>IF(OR(X108="",C108="",C108&lt;=0),"",X108/C108)</f>
        <v/>
      </c>
      <c r="AG108" s="2"/>
      <c r="AH108" s="2"/>
      <c r="AI108" s="2"/>
      <c r="AJ108" s="8" t="str">
        <f>IF(OR(AG108="",AH108=""),"",IF(OR(AND(AG108="短期博反弹",OR(AH108="1～3个交易日",AH108="4～10个交易日")),AND(AG108="突破冲新高",OR(AH108="4～10个交易日",AH108="11～20个交易日")),AND(AG108="趋势波段",OR(AH108="11～20个交易日",AH108="21～60个交易日",AH108="60个交易日以上"))),"匹配","周期与交易预期不匹配，请重新确认"))</f>
        <v/>
      </c>
      <c r="AK108" s="10"/>
      <c r="AL108" s="12"/>
      <c r="AM108" s="10"/>
      <c r="AN108" s="12"/>
      <c r="AO108" s="5" t="str">
        <f>IF(OR(A108="",H108="",H108&lt;=0),"",(E108*H108+IF(AND(AK108&lt;&gt;"",AL108&lt;&gt;""),AK108*AL108,0)+IF(AND(AM108&lt;&gt;"",AN108&lt;&gt;""),AM108*AN108,0))/AP108)</f>
        <v/>
      </c>
      <c r="AP108" s="11" t="str">
        <f>IF(OR(A108="",H108="",H108&lt;=0),"",H108+IF(AL108="",0,AL108)+IF(AN108="",0,AN108))</f>
        <v/>
      </c>
      <c r="AQ108" s="5" t="str">
        <f>IF(A108="","",IF(M108&lt;&gt;"",0,IF(OR(H108="",N108=""),"",MAX(E108-MAX(N108,IFERROR(SUMPRODUCT(MAX(((持仓跟踪!$A$2:$A$497="每日跟踪")*(持仓跟踪!$B$2:$B$497=A108))*持仓跟踪!$S$2:$S$497)),0)),0)*H108+IF(OR(AK108="",AL108=""),0,MAX(AK108-MAX(N108,IFERROR(SUMPRODUCT(MAX(((持仓跟踪!$A$2:$A$497="每日跟踪")*(持仓跟踪!$B$2:$B$497=A108))*持仓跟踪!$S$2:$S$497)),0)),0)*AL108)+IF(OR(AM108="",AN108=""),0,MAX(AM108-MAX(N108,IFERROR(SUMPRODUCT(MAX(((持仓跟踪!$A$2:$A$497="每日跟踪")*(持仓跟踪!$B$2:$B$497=A108))*持仓跟踪!$S$2:$S$497)),0)),0)*AN108))))</f>
        <v/>
      </c>
      <c r="AR108" s="8" t="str">
        <f ca="1">IF(A108="","",IF(OR(E108="",H108=""),"违规：第一批价格或股数缺失",IF(OR(AND(AK108="",AL108&lt;&gt;""),AND(AK108&lt;&gt;"",AL108="")),"违规：第二批价格与股数须成对填写",IF(OR(AND(AM108="",AN108&lt;&gt;""),AND(AM108&lt;&gt;"",AN108="")),"违规：第三批价格与股数须成对填写",IF(AND(OR(AM108&lt;&gt;"",AN108&lt;&gt;""),OR(AK108="",AL108="")),"违规：必须先完成第二批",IF(OR(H108&lt;=0,H108&lt;&gt;INT(H108),MOD(H108,100)&lt;&gt;0,AND(AL108&lt;&gt;"",OR(AL108&lt;=0,AL108&lt;&gt;INT(AL108),MOD(AL108,100)&lt;&gt;0)),AND(AN108&lt;&gt;"",OR(AN108&lt;=0,AN108&lt;&gt;INT(AN108),MOD(AN108,100)&lt;&gt;0))),"违规：股数须为100股整数倍",IF(AND(OR(AL108&lt;&gt;"",AN108&lt;&gt;""),OR(_LockStatus="已锁仓",_LockStatus="解锁信息不完整")),"违规：锁仓期间禁止加仓",IF(AQ108&gt;C108*D108,"违规：超过单笔风险上限",IF(SUM($AQ$2:$AQ$163)&gt;账户数据!$B$7,"违规：超过账户风险上限","通过")))))))))</f>
        <v/>
      </c>
    </row>
    <row r="109" ht="17" spans="1:44">
      <c r="A109" s="2"/>
      <c r="B109" s="2"/>
      <c r="C109" s="10"/>
      <c r="D109" s="6"/>
      <c r="E109" s="10"/>
      <c r="F109" s="8" t="str">
        <f>IF(OR(C109="",D109="",E109="",N109="",C109&lt;=0,D109&lt;=0,E109&lt;=N109),"",ROUNDDOWN((C109*D109)/(E109-N109)/100,0)*100)</f>
        <v/>
      </c>
      <c r="G109" s="8" t="str">
        <f ca="1"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COUNTIFS(持仓跟踪!$A$2:$A$497,"止损计划",持仓跟踪!$B$2:$B$497,A109,持仓跟踪!$AC$2:$AC$497,"计划有效")=0,"禁止开仓：请先填写止损计划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9" s="2"/>
      <c r="I109" s="15"/>
      <c r="J109" s="10"/>
      <c r="K109" s="5"/>
      <c r="L109" s="8" t="str">
        <f>IF(A109="","",IFERROR(LOOKUP(2,1/((持仓跟踪!$B$2:$B$497=A109)*(持仓跟踪!$X$2:$X$497="执行卖出")*(持仓跟踪!$Z$2:$Z$497&lt;&gt;"")),持仓跟踪!$Z$2:$Z$497),""))</f>
        <v/>
      </c>
      <c r="M109" s="23" t="str">
        <f>IF(A109="","",IFERROR(LOOKUP(2,1/((持仓跟踪!$B$2:$B$497=A109)*(持仓跟踪!$X$2:$X$497="执行卖出")*(持仓跟踪!$H$2:$H$497&lt;&gt;"")),持仓跟踪!$H$2:$H$497),""))</f>
        <v/>
      </c>
      <c r="N109" s="10"/>
      <c r="O109" s="10"/>
      <c r="P109" s="5" t="str">
        <f>IF(A109="","",IFERROR(LOOKUP(2,1/((持仓跟踪!$B$2:$B$497=A109)*(持仓跟踪!$X$2:$X$497="执行卖出")*(持仓跟踪!$AA$2:$AA$497&lt;&gt;"")),持仓跟踪!$AA$2:$AA$497),""))</f>
        <v/>
      </c>
      <c r="Q109" s="2"/>
      <c r="R109" s="2"/>
      <c r="S109" s="2"/>
      <c r="T109" s="2"/>
      <c r="U109" s="7" t="str">
        <f>IF(OR(AO109="",J109="",AO109&lt;=0),"",(J109-AO109)/AO109)</f>
        <v/>
      </c>
      <c r="V109" s="7" t="str">
        <f>IF(OR(AO109="",N109="",AO109&lt;=0),"",(AO109-N109)/AO109)</f>
        <v/>
      </c>
      <c r="W109" s="24" t="str">
        <f>IF(OR(U109="",V109="",V109&lt;=0),"",U109/V109)</f>
        <v/>
      </c>
      <c r="X109" s="5" t="str">
        <f>IF(OR(K109="",L109="",AP109=""),"",K109*L109-(E109*H109+IF(AND(AK109&lt;&gt;"",AL109&lt;&gt;""),AK109*AL109,0)+IF(AND(AM109&lt;&gt;"",AN109&lt;&gt;""),AM109*AN109,0))-IF(O109="",0,O109)-IF(P109="",0,P109))</f>
        <v/>
      </c>
      <c r="Y109" s="7" t="str">
        <f>IF(OR(X109="",AP109=""),"",IF((E109*H109+IF(AND(AK109&lt;&gt;"",AL109&lt;&gt;""),AK109*AL109,0)+IF(AND(AM109&lt;&gt;"",AN109&lt;&gt;""),AM109*AN109,0))+IF(O109="",0,O109)&lt;=0,"",X109/((E109*H109+IF(AND(AK109&lt;&gt;"",AL109&lt;&gt;""),AK109*AL109,0)+IF(AND(AM109&lt;&gt;"",AN109&lt;&gt;""),AM109*AN109,0))+IF(O109="",0,O109))))</f>
        <v/>
      </c>
      <c r="Z109" s="7" t="str">
        <f>IF(OR(AE109="",多次统计数据!$B$8=""),"",AE109-多次统计数据!$B$8)</f>
        <v/>
      </c>
      <c r="AA109" s="11" t="str">
        <f>IF(OR(I109="",M109="",M109&lt;I109),"",M109-I109)</f>
        <v/>
      </c>
      <c r="AB109" s="7" t="str">
        <f>IF(OR(A109="",多次统计数据!$B$8="",多次统计数据!$B$6&lt;=0,多次统计数据!$B$6&gt;=1),"",1-POWER(1+多次统计数据!$B$8,-多次统计数据!$B$6/(1-多次统计数据!$B$6)))</f>
        <v/>
      </c>
      <c r="AC109" s="8" t="str">
        <f>IF(OR(AB109="",多次统计数据!$B$9=""),"",IF(多次统计数据!$B$9&lt;AB109,"低于上限","达到或超过上限"))</f>
        <v/>
      </c>
      <c r="AD109" s="2"/>
      <c r="AE109" s="7" t="str">
        <f>IF(OR(X109="",C109="",C109&lt;=0),"",X109/C109)</f>
        <v/>
      </c>
      <c r="AG109" s="2"/>
      <c r="AH109" s="2"/>
      <c r="AI109" s="2"/>
      <c r="AJ109" s="8" t="str">
        <f>IF(OR(AG109="",AH109=""),"",IF(OR(AND(AG109="短期博反弹",OR(AH109="1～3个交易日",AH109="4～10个交易日")),AND(AG109="突破冲新高",OR(AH109="4～10个交易日",AH109="11～20个交易日")),AND(AG109="趋势波段",OR(AH109="11～20个交易日",AH109="21～60个交易日",AH109="60个交易日以上"))),"匹配","周期与交易预期不匹配，请重新确认"))</f>
        <v/>
      </c>
      <c r="AK109" s="10"/>
      <c r="AL109" s="12"/>
      <c r="AM109" s="10"/>
      <c r="AN109" s="12"/>
      <c r="AO109" s="5" t="str">
        <f>IF(OR(A109="",H109="",H109&lt;=0),"",(E109*H109+IF(AND(AK109&lt;&gt;"",AL109&lt;&gt;""),AK109*AL109,0)+IF(AND(AM109&lt;&gt;"",AN109&lt;&gt;""),AM109*AN109,0))/AP109)</f>
        <v/>
      </c>
      <c r="AP109" s="11" t="str">
        <f>IF(OR(A109="",H109="",H109&lt;=0),"",H109+IF(AL109="",0,AL109)+IF(AN109="",0,AN109))</f>
        <v/>
      </c>
      <c r="AQ109" s="5" t="str">
        <f>IF(A109="","",IF(M109&lt;&gt;"",0,IF(OR(H109="",N109=""),"",MAX(E109-MAX(N109,IFERROR(SUMPRODUCT(MAX(((持仓跟踪!$A$2:$A$497="每日跟踪")*(持仓跟踪!$B$2:$B$497=A109))*持仓跟踪!$S$2:$S$497)),0)),0)*H109+IF(OR(AK109="",AL109=""),0,MAX(AK109-MAX(N109,IFERROR(SUMPRODUCT(MAX(((持仓跟踪!$A$2:$A$497="每日跟踪")*(持仓跟踪!$B$2:$B$497=A109))*持仓跟踪!$S$2:$S$497)),0)),0)*AL109)+IF(OR(AM109="",AN109=""),0,MAX(AM109-MAX(N109,IFERROR(SUMPRODUCT(MAX(((持仓跟踪!$A$2:$A$497="每日跟踪")*(持仓跟踪!$B$2:$B$497=A109))*持仓跟踪!$S$2:$S$497)),0)),0)*AN109))))</f>
        <v/>
      </c>
      <c r="AR109" s="8" t="str">
        <f ca="1">IF(A109="","",IF(OR(E109="",H109=""),"违规：第一批价格或股数缺失",IF(OR(AND(AK109="",AL109&lt;&gt;""),AND(AK109&lt;&gt;"",AL109="")),"违规：第二批价格与股数须成对填写",IF(OR(AND(AM109="",AN109&lt;&gt;""),AND(AM109&lt;&gt;"",AN109="")),"违规：第三批价格与股数须成对填写",IF(AND(OR(AM109&lt;&gt;"",AN109&lt;&gt;""),OR(AK109="",AL109="")),"违规：必须先完成第二批",IF(OR(H109&lt;=0,H109&lt;&gt;INT(H109),MOD(H109,100)&lt;&gt;0,AND(AL109&lt;&gt;"",OR(AL109&lt;=0,AL109&lt;&gt;INT(AL109),MOD(AL109,100)&lt;&gt;0)),AND(AN109&lt;&gt;"",OR(AN109&lt;=0,AN109&lt;&gt;INT(AN109),MOD(AN109,100)&lt;&gt;0))),"违规：股数须为100股整数倍",IF(AND(OR(AL109&lt;&gt;"",AN109&lt;&gt;""),OR(_LockStatus="已锁仓",_LockStatus="解锁信息不完整")),"违规：锁仓期间禁止加仓",IF(AQ109&gt;C109*D109,"违规：超过单笔风险上限",IF(SUM($AQ$2:$AQ$163)&gt;账户数据!$B$7,"违规：超过账户风险上限","通过")))))))))</f>
        <v/>
      </c>
    </row>
    <row r="110" ht="17" spans="1:44">
      <c r="A110" s="2"/>
      <c r="B110" s="2"/>
      <c r="C110" s="10"/>
      <c r="D110" s="6"/>
      <c r="E110" s="10"/>
      <c r="F110" s="8" t="str">
        <f>IF(OR(C110="",D110="",E110="",N110="",C110&lt;=0,D110&lt;=0,E110&lt;=N110),"",ROUNDDOWN((C110*D110)/(E110-N110)/100,0)*100)</f>
        <v/>
      </c>
      <c r="G110" s="8" t="str">
        <f ca="1"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COUNTIFS(持仓跟踪!$A$2:$A$497,"止损计划",持仓跟踪!$B$2:$B$497,A110,持仓跟踪!$AC$2:$AC$497,"计划有效")=0,"禁止开仓：请先填写止损计划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0" s="2"/>
      <c r="I110" s="15"/>
      <c r="J110" s="10"/>
      <c r="K110" s="5"/>
      <c r="L110" s="8" t="str">
        <f>IF(A110="","",IFERROR(LOOKUP(2,1/((持仓跟踪!$B$2:$B$497=A110)*(持仓跟踪!$X$2:$X$497="执行卖出")*(持仓跟踪!$Z$2:$Z$497&lt;&gt;"")),持仓跟踪!$Z$2:$Z$497),""))</f>
        <v/>
      </c>
      <c r="M110" s="23" t="str">
        <f>IF(A110="","",IFERROR(LOOKUP(2,1/((持仓跟踪!$B$2:$B$497=A110)*(持仓跟踪!$X$2:$X$497="执行卖出")*(持仓跟踪!$H$2:$H$497&lt;&gt;"")),持仓跟踪!$H$2:$H$497),""))</f>
        <v/>
      </c>
      <c r="N110" s="10"/>
      <c r="O110" s="10"/>
      <c r="P110" s="5" t="str">
        <f>IF(A110="","",IFERROR(LOOKUP(2,1/((持仓跟踪!$B$2:$B$497=A110)*(持仓跟踪!$X$2:$X$497="执行卖出")*(持仓跟踪!$AA$2:$AA$497&lt;&gt;"")),持仓跟踪!$AA$2:$AA$497),""))</f>
        <v/>
      </c>
      <c r="Q110" s="2"/>
      <c r="R110" s="2"/>
      <c r="S110" s="2"/>
      <c r="T110" s="2"/>
      <c r="U110" s="7" t="str">
        <f>IF(OR(AO110="",J110="",AO110&lt;=0),"",(J110-AO110)/AO110)</f>
        <v/>
      </c>
      <c r="V110" s="7" t="str">
        <f>IF(OR(AO110="",N110="",AO110&lt;=0),"",(AO110-N110)/AO110)</f>
        <v/>
      </c>
      <c r="W110" s="24" t="str">
        <f>IF(OR(U110="",V110="",V110&lt;=0),"",U110/V110)</f>
        <v/>
      </c>
      <c r="X110" s="5" t="str">
        <f>IF(OR(K110="",L110="",AP110=""),"",K110*L110-(E110*H110+IF(AND(AK110&lt;&gt;"",AL110&lt;&gt;""),AK110*AL110,0)+IF(AND(AM110&lt;&gt;"",AN110&lt;&gt;""),AM110*AN110,0))-IF(O110="",0,O110)-IF(P110="",0,P110))</f>
        <v/>
      </c>
      <c r="Y110" s="7" t="str">
        <f>IF(OR(X110="",AP110=""),"",IF((E110*H110+IF(AND(AK110&lt;&gt;"",AL110&lt;&gt;""),AK110*AL110,0)+IF(AND(AM110&lt;&gt;"",AN110&lt;&gt;""),AM110*AN110,0))+IF(O110="",0,O110)&lt;=0,"",X110/((E110*H110+IF(AND(AK110&lt;&gt;"",AL110&lt;&gt;""),AK110*AL110,0)+IF(AND(AM110&lt;&gt;"",AN110&lt;&gt;""),AM110*AN110,0))+IF(O110="",0,O110))))</f>
        <v/>
      </c>
      <c r="Z110" s="7" t="str">
        <f>IF(OR(AE110="",多次统计数据!$B$8=""),"",AE110-多次统计数据!$B$8)</f>
        <v/>
      </c>
      <c r="AA110" s="11" t="str">
        <f>IF(OR(I110="",M110="",M110&lt;I110),"",M110-I110)</f>
        <v/>
      </c>
      <c r="AB110" s="7" t="str">
        <f>IF(OR(A110="",多次统计数据!$B$8="",多次统计数据!$B$6&lt;=0,多次统计数据!$B$6&gt;=1),"",1-POWER(1+多次统计数据!$B$8,-多次统计数据!$B$6/(1-多次统计数据!$B$6)))</f>
        <v/>
      </c>
      <c r="AC110" s="8" t="str">
        <f>IF(OR(AB110="",多次统计数据!$B$9=""),"",IF(多次统计数据!$B$9&lt;AB110,"低于上限","达到或超过上限"))</f>
        <v/>
      </c>
      <c r="AD110" s="2"/>
      <c r="AE110" s="7" t="str">
        <f>IF(OR(X110="",C110="",C110&lt;=0),"",X110/C110)</f>
        <v/>
      </c>
      <c r="AG110" s="2"/>
      <c r="AH110" s="2"/>
      <c r="AI110" s="2"/>
      <c r="AJ110" s="8" t="str">
        <f>IF(OR(AG110="",AH110=""),"",IF(OR(AND(AG110="短期博反弹",OR(AH110="1～3个交易日",AH110="4～10个交易日")),AND(AG110="突破冲新高",OR(AH110="4～10个交易日",AH110="11～20个交易日")),AND(AG110="趋势波段",OR(AH110="11～20个交易日",AH110="21～60个交易日",AH110="60个交易日以上"))),"匹配","周期与交易预期不匹配，请重新确认"))</f>
        <v/>
      </c>
      <c r="AK110" s="10"/>
      <c r="AL110" s="12"/>
      <c r="AM110" s="10"/>
      <c r="AN110" s="12"/>
      <c r="AO110" s="5" t="str">
        <f>IF(OR(A110="",H110="",H110&lt;=0),"",(E110*H110+IF(AND(AK110&lt;&gt;"",AL110&lt;&gt;""),AK110*AL110,0)+IF(AND(AM110&lt;&gt;"",AN110&lt;&gt;""),AM110*AN110,0))/AP110)</f>
        <v/>
      </c>
      <c r="AP110" s="11" t="str">
        <f>IF(OR(A110="",H110="",H110&lt;=0),"",H110+IF(AL110="",0,AL110)+IF(AN110="",0,AN110))</f>
        <v/>
      </c>
      <c r="AQ110" s="5" t="str">
        <f>IF(A110="","",IF(M110&lt;&gt;"",0,IF(OR(H110="",N110=""),"",MAX(E110-MAX(N110,IFERROR(SUMPRODUCT(MAX(((持仓跟踪!$A$2:$A$497="每日跟踪")*(持仓跟踪!$B$2:$B$497=A110))*持仓跟踪!$S$2:$S$497)),0)),0)*H110+IF(OR(AK110="",AL110=""),0,MAX(AK110-MAX(N110,IFERROR(SUMPRODUCT(MAX(((持仓跟踪!$A$2:$A$497="每日跟踪")*(持仓跟踪!$B$2:$B$497=A110))*持仓跟踪!$S$2:$S$497)),0)),0)*AL110)+IF(OR(AM110="",AN110=""),0,MAX(AM110-MAX(N110,IFERROR(SUMPRODUCT(MAX(((持仓跟踪!$A$2:$A$497="每日跟踪")*(持仓跟踪!$B$2:$B$497=A110))*持仓跟踪!$S$2:$S$497)),0)),0)*AN110))))</f>
        <v/>
      </c>
      <c r="AR110" s="8" t="str">
        <f ca="1">IF(A110="","",IF(OR(E110="",H110=""),"违规：第一批价格或股数缺失",IF(OR(AND(AK110="",AL110&lt;&gt;""),AND(AK110&lt;&gt;"",AL110="")),"违规：第二批价格与股数须成对填写",IF(OR(AND(AM110="",AN110&lt;&gt;""),AND(AM110&lt;&gt;"",AN110="")),"违规：第三批价格与股数须成对填写",IF(AND(OR(AM110&lt;&gt;"",AN110&lt;&gt;""),OR(AK110="",AL110="")),"违规：必须先完成第二批",IF(OR(H110&lt;=0,H110&lt;&gt;INT(H110),MOD(H110,100)&lt;&gt;0,AND(AL110&lt;&gt;"",OR(AL110&lt;=0,AL110&lt;&gt;INT(AL110),MOD(AL110,100)&lt;&gt;0)),AND(AN110&lt;&gt;"",OR(AN110&lt;=0,AN110&lt;&gt;INT(AN110),MOD(AN110,100)&lt;&gt;0))),"违规：股数须为100股整数倍",IF(AND(OR(AL110&lt;&gt;"",AN110&lt;&gt;""),OR(_LockStatus="已锁仓",_LockStatus="解锁信息不完整")),"违规：锁仓期间禁止加仓",IF(AQ110&gt;C110*D110,"违规：超过单笔风险上限",IF(SUM($AQ$2:$AQ$163)&gt;账户数据!$B$7,"违规：超过账户风险上限","通过")))))))))</f>
        <v/>
      </c>
    </row>
    <row r="111" ht="17" spans="1:44">
      <c r="A111" s="2"/>
      <c r="B111" s="2"/>
      <c r="C111" s="10"/>
      <c r="D111" s="6"/>
      <c r="E111" s="10"/>
      <c r="F111" s="8" t="str">
        <f>IF(OR(C111="",D111="",E111="",N111="",C111&lt;=0,D111&lt;=0,E111&lt;=N111),"",ROUNDDOWN((C111*D111)/(E111-N111)/100,0)*100)</f>
        <v/>
      </c>
      <c r="G111" s="8" t="str">
        <f ca="1"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COUNTIFS(持仓跟踪!$A$2:$A$497,"止损计划",持仓跟踪!$B$2:$B$497,A111,持仓跟踪!$AC$2:$AC$497,"计划有效")=0,"禁止开仓：请先填写止损计划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1" s="2"/>
      <c r="I111" s="15"/>
      <c r="J111" s="10"/>
      <c r="K111" s="5" t="str">
        <f>IF(A111="","",IFERROR(LOOKUP(2,1/((持仓跟踪!$B$2:$B$497=A111)*(持仓跟踪!$X$2:$X$497="执行卖出")*(持仓跟踪!$Y$2:$Y$497&lt;&gt;"")),持仓跟踪!$Y$2:$Y$497),""))</f>
        <v/>
      </c>
      <c r="L111" s="8" t="str">
        <f>IF(A111="","",IFERROR(LOOKUP(2,1/((持仓跟踪!$B$2:$B$497=A111)*(持仓跟踪!$X$2:$X$497="执行卖出")*(持仓跟踪!$Z$2:$Z$497&lt;&gt;"")),持仓跟踪!$Z$2:$Z$497),""))</f>
        <v/>
      </c>
      <c r="M111" s="23" t="str">
        <f>IF(A111="","",IFERROR(LOOKUP(2,1/((持仓跟踪!$B$2:$B$497=A111)*(持仓跟踪!$X$2:$X$497="执行卖出")*(持仓跟踪!$H$2:$H$497&lt;&gt;"")),持仓跟踪!$H$2:$H$497),""))</f>
        <v/>
      </c>
      <c r="N111" s="10"/>
      <c r="O111" s="10"/>
      <c r="P111" s="5" t="str">
        <f>IF(A111="","",IFERROR(LOOKUP(2,1/((持仓跟踪!$B$2:$B$497=A111)*(持仓跟踪!$X$2:$X$497="执行卖出")*(持仓跟踪!$AA$2:$AA$497&lt;&gt;"")),持仓跟踪!$AA$2:$AA$497),""))</f>
        <v/>
      </c>
      <c r="Q111" s="2"/>
      <c r="R111" s="2"/>
      <c r="S111" s="2"/>
      <c r="T111" s="2"/>
      <c r="U111" s="7" t="str">
        <f>IF(OR(AO111="",J111="",AO111&lt;=0),"",(J111-AO111)/AO111)</f>
        <v/>
      </c>
      <c r="V111" s="7" t="str">
        <f>IF(OR(AO111="",N111="",AO111&lt;=0),"",(AO111-N111)/AO111)</f>
        <v/>
      </c>
      <c r="W111" s="24" t="str">
        <f>IF(OR(U111="",V111="",V111&lt;=0),"",U111/V111)</f>
        <v/>
      </c>
      <c r="X111" s="5" t="str">
        <f>IF(OR(K111="",L111="",AP111=""),"",K111*L111-(E111*H111+IF(AND(AK111&lt;&gt;"",AL111&lt;&gt;""),AK111*AL111,0)+IF(AND(AM111&lt;&gt;"",AN111&lt;&gt;""),AM111*AN111,0))-IF(O111="",0,O111)-IF(P111="",0,P111))</f>
        <v/>
      </c>
      <c r="Y111" s="7" t="str">
        <f>IF(OR(X111="",AP111=""),"",IF((E111*H111+IF(AND(AK111&lt;&gt;"",AL111&lt;&gt;""),AK111*AL111,0)+IF(AND(AM111&lt;&gt;"",AN111&lt;&gt;""),AM111*AN111,0))+IF(O111="",0,O111)&lt;=0,"",X111/((E111*H111+IF(AND(AK111&lt;&gt;"",AL111&lt;&gt;""),AK111*AL111,0)+IF(AND(AM111&lt;&gt;"",AN111&lt;&gt;""),AM111*AN111,0))+IF(O111="",0,O111))))</f>
        <v/>
      </c>
      <c r="Z111" s="7" t="str">
        <f>IF(OR(AE111="",多次统计数据!$B$8=""),"",AE111-多次统计数据!$B$8)</f>
        <v/>
      </c>
      <c r="AA111" s="11" t="str">
        <f>IF(OR(I111="",M111="",M111&lt;I111),"",M111-I111)</f>
        <v/>
      </c>
      <c r="AB111" s="7" t="str">
        <f>IF(OR(A111="",多次统计数据!$B$8="",多次统计数据!$B$6&lt;=0,多次统计数据!$B$6&gt;=1),"",1-POWER(1+多次统计数据!$B$8,-多次统计数据!$B$6/(1-多次统计数据!$B$6)))</f>
        <v/>
      </c>
      <c r="AC111" s="8" t="str">
        <f>IF(OR(AB111="",多次统计数据!$B$9=""),"",IF(多次统计数据!$B$9&lt;AB111,"低于上限","达到或超过上限"))</f>
        <v/>
      </c>
      <c r="AD111" s="2"/>
      <c r="AE111" s="7" t="str">
        <f>IF(OR(X111="",C111="",C111&lt;=0),"",X111/C111)</f>
        <v/>
      </c>
      <c r="AG111" s="2"/>
      <c r="AH111" s="2"/>
      <c r="AI111" s="2"/>
      <c r="AJ111" s="8" t="str">
        <f>IF(OR(AG111="",AH111=""),"",IF(OR(AND(AG111="短期博反弹",OR(AH111="1～3个交易日",AH111="4～10个交易日")),AND(AG111="突破冲新高",OR(AH111="4～10个交易日",AH111="11～20个交易日")),AND(AG111="趋势波段",OR(AH111="11～20个交易日",AH111="21～60个交易日",AH111="60个交易日以上"))),"匹配","周期与交易预期不匹配，请重新确认"))</f>
        <v/>
      </c>
      <c r="AK111" s="10"/>
      <c r="AL111" s="12"/>
      <c r="AM111" s="10"/>
      <c r="AN111" s="12"/>
      <c r="AO111" s="5" t="str">
        <f>IF(OR(A111="",H111="",H111&lt;=0),"",(E111*H111+IF(AND(AK111&lt;&gt;"",AL111&lt;&gt;""),AK111*AL111,0)+IF(AND(AM111&lt;&gt;"",AN111&lt;&gt;""),AM111*AN111,0))/AP111)</f>
        <v/>
      </c>
      <c r="AP111" s="11" t="str">
        <f>IF(OR(A111="",H111="",H111&lt;=0),"",H111+IF(AL111="",0,AL111)+IF(AN111="",0,AN111))</f>
        <v/>
      </c>
      <c r="AQ111" s="5" t="str">
        <f>IF(A111="","",IF(M111&lt;&gt;"",0,IF(OR(H111="",N111=""),"",MAX(E111-MAX(N111,IFERROR(SUMPRODUCT(MAX(((持仓跟踪!$A$2:$A$497="每日跟踪")*(持仓跟踪!$B$2:$B$497=A111))*持仓跟踪!$S$2:$S$497)),0)),0)*H111+IF(OR(AK111="",AL111=""),0,MAX(AK111-MAX(N111,IFERROR(SUMPRODUCT(MAX(((持仓跟踪!$A$2:$A$497="每日跟踪")*(持仓跟踪!$B$2:$B$497=A111))*持仓跟踪!$S$2:$S$497)),0)),0)*AL111)+IF(OR(AM111="",AN111=""),0,MAX(AM111-MAX(N111,IFERROR(SUMPRODUCT(MAX(((持仓跟踪!$A$2:$A$497="每日跟踪")*(持仓跟踪!$B$2:$B$497=A111))*持仓跟踪!$S$2:$S$497)),0)),0)*AN111))))</f>
        <v/>
      </c>
      <c r="AR111" s="8" t="str">
        <f ca="1">IF(A111="","",IF(OR(E111="",H111=""),"违规：第一批价格或股数缺失",IF(OR(AND(AK111="",AL111&lt;&gt;""),AND(AK111&lt;&gt;"",AL111="")),"违规：第二批价格与股数须成对填写",IF(OR(AND(AM111="",AN111&lt;&gt;""),AND(AM111&lt;&gt;"",AN111="")),"违规：第三批价格与股数须成对填写",IF(AND(OR(AM111&lt;&gt;"",AN111&lt;&gt;""),OR(AK111="",AL111="")),"违规：必须先完成第二批",IF(OR(H111&lt;=0,H111&lt;&gt;INT(H111),MOD(H111,100)&lt;&gt;0,AND(AL111&lt;&gt;"",OR(AL111&lt;=0,AL111&lt;&gt;INT(AL111),MOD(AL111,100)&lt;&gt;0)),AND(AN111&lt;&gt;"",OR(AN111&lt;=0,AN111&lt;&gt;INT(AN111),MOD(AN111,100)&lt;&gt;0))),"违规：股数须为100股整数倍",IF(AND(OR(AL111&lt;&gt;"",AN111&lt;&gt;""),OR(_LockStatus="已锁仓",_LockStatus="解锁信息不完整")),"违规：锁仓期间禁止加仓",IF(AQ111&gt;C111*D111,"违规：超过单笔风险上限",IF(SUM($AQ$2:$AQ$163)&gt;账户数据!$B$7,"违规：超过账户风险上限","通过")))))))))</f>
        <v/>
      </c>
    </row>
    <row r="112" ht="17" spans="1:44">
      <c r="A112" s="2"/>
      <c r="B112" s="2"/>
      <c r="C112" s="10"/>
      <c r="D112" s="6"/>
      <c r="E112" s="10"/>
      <c r="F112" s="8" t="str">
        <f>IF(OR(C112="",D112="",E112="",N112="",C112&lt;=0,D112&lt;=0,E112&lt;=N112),"",ROUNDDOWN((C112*D112)/(E112-N112)/100,0)*100)</f>
        <v/>
      </c>
      <c r="G112" s="8" t="str">
        <f ca="1"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COUNTIFS(持仓跟踪!$A$2:$A$497,"止损计划",持仓跟踪!$B$2:$B$497,A112,持仓跟踪!$AC$2:$AC$497,"计划有效")=0,"禁止开仓：请先填写止损计划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2" s="2"/>
      <c r="I112" s="15"/>
      <c r="J112" s="10"/>
      <c r="K112" s="5"/>
      <c r="L112" s="8"/>
      <c r="M112" s="23"/>
      <c r="N112" s="10"/>
      <c r="O112" s="10"/>
      <c r="P112" s="5" t="str">
        <f>IF(A112="","",IFERROR(LOOKUP(2,1/((持仓跟踪!$B$2:$B$497=A112)*(持仓跟踪!$X$2:$X$497="执行卖出")*(持仓跟踪!$AA$2:$AA$497&lt;&gt;"")),持仓跟踪!$AA$2:$AA$497),""))</f>
        <v/>
      </c>
      <c r="Q112" s="2"/>
      <c r="R112" s="2"/>
      <c r="S112" s="2"/>
      <c r="T112" s="2"/>
      <c r="U112" s="7" t="str">
        <f>IF(OR(AO112="",J112="",AO112&lt;=0),"",(J112-AO112)/AO112)</f>
        <v/>
      </c>
      <c r="V112" s="7" t="str">
        <f>IF(OR(AO112="",N112="",AO112&lt;=0),"",(AO112-N112)/AO112)</f>
        <v/>
      </c>
      <c r="W112" s="24" t="str">
        <f>IF(OR(U112="",V112="",V112&lt;=0),"",U112/V112)</f>
        <v/>
      </c>
      <c r="X112" s="5" t="str">
        <f>IF(OR(K112="",L112="",AP112=""),"",K112*L112-(E112*H112+IF(AND(AK112&lt;&gt;"",AL112&lt;&gt;""),AK112*AL112,0)+IF(AND(AM112&lt;&gt;"",AN112&lt;&gt;""),AM112*AN112,0))-IF(O112="",0,O112)-IF(P112="",0,P112))</f>
        <v/>
      </c>
      <c r="Y112" s="7" t="str">
        <f>IF(OR(X112="",AP112=""),"",IF((E112*H112+IF(AND(AK112&lt;&gt;"",AL112&lt;&gt;""),AK112*AL112,0)+IF(AND(AM112&lt;&gt;"",AN112&lt;&gt;""),AM112*AN112,0))+IF(O112="",0,O112)&lt;=0,"",X112/((E112*H112+IF(AND(AK112&lt;&gt;"",AL112&lt;&gt;""),AK112*AL112,0)+IF(AND(AM112&lt;&gt;"",AN112&lt;&gt;""),AM112*AN112,0))+IF(O112="",0,O112))))</f>
        <v/>
      </c>
      <c r="Z112" s="7" t="str">
        <f>IF(OR(AE112="",多次统计数据!$B$8=""),"",AE112-多次统计数据!$B$8)</f>
        <v/>
      </c>
      <c r="AA112" s="11" t="str">
        <f>IF(OR(I112="",M112="",M112&lt;I112),"",M112-I112)</f>
        <v/>
      </c>
      <c r="AB112" s="7" t="str">
        <f>IF(OR(A112="",多次统计数据!$B$8="",多次统计数据!$B$6&lt;=0,多次统计数据!$B$6&gt;=1),"",1-POWER(1+多次统计数据!$B$8,-多次统计数据!$B$6/(1-多次统计数据!$B$6)))</f>
        <v/>
      </c>
      <c r="AC112" s="8" t="str">
        <f>IF(OR(AB112="",多次统计数据!$B$9=""),"",IF(多次统计数据!$B$9&lt;AB112,"低于上限","达到或超过上限"))</f>
        <v/>
      </c>
      <c r="AD112" s="2"/>
      <c r="AE112" s="7" t="str">
        <f>IF(OR(X112="",C112="",C112&lt;=0),"",X112/C112)</f>
        <v/>
      </c>
      <c r="AG112" s="2"/>
      <c r="AH112" s="2"/>
      <c r="AI112" s="2"/>
      <c r="AJ112" s="8" t="str">
        <f>IF(OR(AG112="",AH112=""),"",IF(OR(AND(AG112="短期博反弹",OR(AH112="1～3个交易日",AH112="4～10个交易日")),AND(AG112="突破冲新高",OR(AH112="4～10个交易日",AH112="11～20个交易日")),AND(AG112="趋势波段",OR(AH112="11～20个交易日",AH112="21～60个交易日",AH112="60个交易日以上"))),"匹配","周期与交易预期不匹配，请重新确认"))</f>
        <v/>
      </c>
      <c r="AK112" s="10"/>
      <c r="AL112" s="12"/>
      <c r="AM112" s="10"/>
      <c r="AN112" s="12"/>
      <c r="AO112" s="5" t="str">
        <f>IF(OR(A112="",H112="",H112&lt;=0),"",(E112*H112+IF(AND(AK112&lt;&gt;"",AL112&lt;&gt;""),AK112*AL112,0)+IF(AND(AM112&lt;&gt;"",AN112&lt;&gt;""),AM112*AN112,0))/AP112)</f>
        <v/>
      </c>
      <c r="AP112" s="11" t="str">
        <f>IF(OR(A112="",H112="",H112&lt;=0),"",H112+IF(AL112="",0,AL112)+IF(AN112="",0,AN112))</f>
        <v/>
      </c>
      <c r="AQ112" s="5" t="str">
        <f>IF(A112="","",IF(M112&lt;&gt;"",0,IF(OR(H112="",N112=""),"",MAX(E112-MAX(N112,IFERROR(SUMPRODUCT(MAX(((持仓跟踪!$A$2:$A$497="每日跟踪")*(持仓跟踪!$B$2:$B$497=A112))*持仓跟踪!$S$2:$S$497)),0)),0)*H112+IF(OR(AK112="",AL112=""),0,MAX(AK112-MAX(N112,IFERROR(SUMPRODUCT(MAX(((持仓跟踪!$A$2:$A$497="每日跟踪")*(持仓跟踪!$B$2:$B$497=A112))*持仓跟踪!$S$2:$S$497)),0)),0)*AL112)+IF(OR(AM112="",AN112=""),0,MAX(AM112-MAX(N112,IFERROR(SUMPRODUCT(MAX(((持仓跟踪!$A$2:$A$497="每日跟踪")*(持仓跟踪!$B$2:$B$497=A112))*持仓跟踪!$S$2:$S$497)),0)),0)*AN112))))</f>
        <v/>
      </c>
      <c r="AR112" s="8" t="str">
        <f ca="1">IF(A112="","",IF(OR(E112="",H112=""),"违规：第一批价格或股数缺失",IF(OR(AND(AK112="",AL112&lt;&gt;""),AND(AK112&lt;&gt;"",AL112="")),"违规：第二批价格与股数须成对填写",IF(OR(AND(AM112="",AN112&lt;&gt;""),AND(AM112&lt;&gt;"",AN112="")),"违规：第三批价格与股数须成对填写",IF(AND(OR(AM112&lt;&gt;"",AN112&lt;&gt;""),OR(AK112="",AL112="")),"违规：必须先完成第二批",IF(OR(H112&lt;=0,H112&lt;&gt;INT(H112),MOD(H112,100)&lt;&gt;0,AND(AL112&lt;&gt;"",OR(AL112&lt;=0,AL112&lt;&gt;INT(AL112),MOD(AL112,100)&lt;&gt;0)),AND(AN112&lt;&gt;"",OR(AN112&lt;=0,AN112&lt;&gt;INT(AN112),MOD(AN112,100)&lt;&gt;0))),"违规：股数须为100股整数倍",IF(AND(OR(AL112&lt;&gt;"",AN112&lt;&gt;""),OR(_LockStatus="已锁仓",_LockStatus="解锁信息不完整")),"违规：锁仓期间禁止加仓",IF(AQ112&gt;C112*D112,"违规：超过单笔风险上限",IF(SUM($AQ$2:$AQ$163)&gt;账户数据!$B$7,"违规：超过账户风险上限","通过")))))))))</f>
        <v/>
      </c>
    </row>
    <row r="113" ht="17" spans="1:44">
      <c r="A113" s="2"/>
      <c r="B113" s="2"/>
      <c r="C113" s="10"/>
      <c r="D113" s="6"/>
      <c r="E113" s="10"/>
      <c r="F113" s="8" t="str">
        <f>IF(OR(C113="",D113="",E113="",N113="",C113&lt;=0,D113&lt;=0,E113&lt;=N113),"",ROUNDDOWN((C113*D113)/(E113-N113)/100,0)*100)</f>
        <v/>
      </c>
      <c r="G113" s="8" t="str">
        <f ca="1"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COUNTIFS(持仓跟踪!$A$2:$A$497,"止损计划",持仓跟踪!$B$2:$B$497,A113,持仓跟踪!$AC$2:$AC$497,"计划有效")=0,"禁止开仓：请先填写止损计划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3" s="2"/>
      <c r="I113" s="15"/>
      <c r="J113" s="10"/>
      <c r="K113" s="5" t="str">
        <f>IF(A113="","",IFERROR(LOOKUP(2,1/((持仓跟踪!$B$2:$B$497=A113)*(持仓跟踪!$X$2:$X$497="执行卖出")*(持仓跟踪!$Y$2:$Y$497&lt;&gt;"")),持仓跟踪!$Y$2:$Y$497),""))</f>
        <v/>
      </c>
      <c r="L113" s="8" t="str">
        <f>IF(A113="","",IFERROR(LOOKUP(2,1/((持仓跟踪!$B$2:$B$497=A113)*(持仓跟踪!$X$2:$X$497="执行卖出")*(持仓跟踪!$Z$2:$Z$497&lt;&gt;"")),持仓跟踪!$Z$2:$Z$497),""))</f>
        <v/>
      </c>
      <c r="M113" s="23" t="str">
        <f>IF(A113="","",IFERROR(LOOKUP(2,1/((持仓跟踪!$B$2:$B$497=A113)*(持仓跟踪!$X$2:$X$497="执行卖出")*(持仓跟踪!$H$2:$H$497&lt;&gt;"")),持仓跟踪!$H$2:$H$497),""))</f>
        <v/>
      </c>
      <c r="N113" s="10"/>
      <c r="O113" s="10"/>
      <c r="P113" s="5" t="str">
        <f>IF(A113="","",IFERROR(LOOKUP(2,1/((持仓跟踪!$B$2:$B$497=A113)*(持仓跟踪!$X$2:$X$497="执行卖出")*(持仓跟踪!$AA$2:$AA$497&lt;&gt;"")),持仓跟踪!$AA$2:$AA$497),""))</f>
        <v/>
      </c>
      <c r="Q113" s="2"/>
      <c r="R113" s="2"/>
      <c r="S113" s="2"/>
      <c r="T113" s="2"/>
      <c r="U113" s="7" t="str">
        <f>IF(OR(AO113="",J113="",AO113&lt;=0),"",(J113-AO113)/AO113)</f>
        <v/>
      </c>
      <c r="V113" s="7" t="str">
        <f>IF(OR(AO113="",N113="",AO113&lt;=0),"",(AO113-N113)/AO113)</f>
        <v/>
      </c>
      <c r="W113" s="24" t="str">
        <f>IF(OR(U113="",V113="",V113&lt;=0),"",U113/V113)</f>
        <v/>
      </c>
      <c r="X113" s="5" t="str">
        <f>IF(OR(K113="",L113="",AP113=""),"",K113*L113-(E113*H113+IF(AND(AK113&lt;&gt;"",AL113&lt;&gt;""),AK113*AL113,0)+IF(AND(AM113&lt;&gt;"",AN113&lt;&gt;""),AM113*AN113,0))-IF(O113="",0,O113)-IF(P113="",0,P113))</f>
        <v/>
      </c>
      <c r="Y113" s="7" t="str">
        <f>IF(OR(X113="",AP113=""),"",IF((E113*H113+IF(AND(AK113&lt;&gt;"",AL113&lt;&gt;""),AK113*AL113,0)+IF(AND(AM113&lt;&gt;"",AN113&lt;&gt;""),AM113*AN113,0))+IF(O113="",0,O113)&lt;=0,"",X113/((E113*H113+IF(AND(AK113&lt;&gt;"",AL113&lt;&gt;""),AK113*AL113,0)+IF(AND(AM113&lt;&gt;"",AN113&lt;&gt;""),AM113*AN113,0))+IF(O113="",0,O113))))</f>
        <v/>
      </c>
      <c r="Z113" s="7" t="str">
        <f>IF(OR(AE113="",多次统计数据!$B$8=""),"",AE113-多次统计数据!$B$8)</f>
        <v/>
      </c>
      <c r="AA113" s="11" t="str">
        <f>IF(OR(I113="",M113="",M113&lt;I113),"",M113-I113)</f>
        <v/>
      </c>
      <c r="AB113" s="7" t="str">
        <f>IF(OR(A113="",多次统计数据!$B$8="",多次统计数据!$B$6&lt;=0,多次统计数据!$B$6&gt;=1),"",1-POWER(1+多次统计数据!$B$8,-多次统计数据!$B$6/(1-多次统计数据!$B$6)))</f>
        <v/>
      </c>
      <c r="AC113" s="8" t="str">
        <f>IF(OR(AB113="",多次统计数据!$B$9=""),"",IF(多次统计数据!$B$9&lt;AB113,"低于上限","达到或超过上限"))</f>
        <v/>
      </c>
      <c r="AD113" s="2"/>
      <c r="AE113" s="7" t="str">
        <f>IF(OR(X113="",C113="",C113&lt;=0),"",X113/C113)</f>
        <v/>
      </c>
      <c r="AG113" s="2"/>
      <c r="AH113" s="2"/>
      <c r="AI113" s="2"/>
      <c r="AJ113" s="8" t="str">
        <f>IF(OR(AG113="",AH113=""),"",IF(OR(AND(AG113="短期博反弹",OR(AH113="1～3个交易日",AH113="4～10个交易日")),AND(AG113="突破冲新高",OR(AH113="4～10个交易日",AH113="11～20个交易日")),AND(AG113="趋势波段",OR(AH113="11～20个交易日",AH113="21～60个交易日",AH113="60个交易日以上"))),"匹配","周期与交易预期不匹配，请重新确认"))</f>
        <v/>
      </c>
      <c r="AK113" s="10"/>
      <c r="AL113" s="12"/>
      <c r="AM113" s="10"/>
      <c r="AN113" s="12"/>
      <c r="AO113" s="5" t="str">
        <f>IF(OR(A113="",H113="",H113&lt;=0),"",(E113*H113+IF(AND(AK113&lt;&gt;"",AL113&lt;&gt;""),AK113*AL113,0)+IF(AND(AM113&lt;&gt;"",AN113&lt;&gt;""),AM113*AN113,0))/AP113)</f>
        <v/>
      </c>
      <c r="AP113" s="11" t="str">
        <f>IF(OR(A113="",H113="",H113&lt;=0),"",H113+IF(AL113="",0,AL113)+IF(AN113="",0,AN113))</f>
        <v/>
      </c>
      <c r="AQ113" s="5" t="str">
        <f>IF(A113="","",IF(M113&lt;&gt;"",0,IF(OR(H113="",N113=""),"",MAX(E113-MAX(N113,IFERROR(SUMPRODUCT(MAX(((持仓跟踪!$A$2:$A$497="每日跟踪")*(持仓跟踪!$B$2:$B$497=A113))*持仓跟踪!$S$2:$S$497)),0)),0)*H113+IF(OR(AK113="",AL113=""),0,MAX(AK113-MAX(N113,IFERROR(SUMPRODUCT(MAX(((持仓跟踪!$A$2:$A$497="每日跟踪")*(持仓跟踪!$B$2:$B$497=A113))*持仓跟踪!$S$2:$S$497)),0)),0)*AL113)+IF(OR(AM113="",AN113=""),0,MAX(AM113-MAX(N113,IFERROR(SUMPRODUCT(MAX(((持仓跟踪!$A$2:$A$497="每日跟踪")*(持仓跟踪!$B$2:$B$497=A113))*持仓跟踪!$S$2:$S$497)),0)),0)*AN113))))</f>
        <v/>
      </c>
      <c r="AR113" s="8" t="str">
        <f ca="1">IF(A113="","",IF(OR(E113="",H113=""),"违规：第一批价格或股数缺失",IF(OR(AND(AK113="",AL113&lt;&gt;""),AND(AK113&lt;&gt;"",AL113="")),"违规：第二批价格与股数须成对填写",IF(OR(AND(AM113="",AN113&lt;&gt;""),AND(AM113&lt;&gt;"",AN113="")),"违规：第三批价格与股数须成对填写",IF(AND(OR(AM113&lt;&gt;"",AN113&lt;&gt;""),OR(AK113="",AL113="")),"违规：必须先完成第二批",IF(OR(H113&lt;=0,H113&lt;&gt;INT(H113),MOD(H113,100)&lt;&gt;0,AND(AL113&lt;&gt;"",OR(AL113&lt;=0,AL113&lt;&gt;INT(AL113),MOD(AL113,100)&lt;&gt;0)),AND(AN113&lt;&gt;"",OR(AN113&lt;=0,AN113&lt;&gt;INT(AN113),MOD(AN113,100)&lt;&gt;0))),"违规：股数须为100股整数倍",IF(AND(OR(AL113&lt;&gt;"",AN113&lt;&gt;""),OR(_LockStatus="已锁仓",_LockStatus="解锁信息不完整")),"违规：锁仓期间禁止加仓",IF(AQ113&gt;C113*D113,"违规：超过单笔风险上限",IF(SUM($AQ$2:$AQ$163)&gt;账户数据!$B$7,"违规：超过账户风险上限","通过")))))))))</f>
        <v/>
      </c>
    </row>
    <row r="114" ht="17" spans="1:44">
      <c r="A114" s="2"/>
      <c r="B114" s="2"/>
      <c r="C114" s="10"/>
      <c r="D114" s="6"/>
      <c r="E114" s="10"/>
      <c r="F114" s="8" t="str">
        <f>IF(OR(C114="",D114="",E114="",N114="",C114&lt;=0,D114&lt;=0,E114&lt;=N114),"",ROUNDDOWN((C114*D114)/(E114-N114)/100,0)*100)</f>
        <v/>
      </c>
      <c r="G114" s="8" t="str">
        <f ca="1"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COUNTIFS(持仓跟踪!$A$2:$A$497,"止损计划",持仓跟踪!$B$2:$B$497,A114,持仓跟踪!$AC$2:$AC$497,"计划有效")=0,"禁止开仓：请先填写止损计划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4" s="2"/>
      <c r="I114" s="15"/>
      <c r="J114" s="10"/>
      <c r="K114" s="5" t="str">
        <f>IF(A114="","",IFERROR(LOOKUP(2,1/((持仓跟踪!$B$2:$B$497=A114)*(持仓跟踪!$X$2:$X$497="执行卖出")*(持仓跟踪!$Y$2:$Y$497&lt;&gt;"")),持仓跟踪!$Y$2:$Y$497),""))</f>
        <v/>
      </c>
      <c r="L114" s="8" t="str">
        <f>IF(A114="","",IFERROR(LOOKUP(2,1/((持仓跟踪!$B$2:$B$497=A114)*(持仓跟踪!$X$2:$X$497="执行卖出")*(持仓跟踪!$Z$2:$Z$497&lt;&gt;"")),持仓跟踪!$Z$2:$Z$497),""))</f>
        <v/>
      </c>
      <c r="M114" s="23" t="str">
        <f>IF(A114="","",IFERROR(LOOKUP(2,1/((持仓跟踪!$B$2:$B$497=A114)*(持仓跟踪!$X$2:$X$497="执行卖出")*(持仓跟踪!$H$2:$H$497&lt;&gt;"")),持仓跟踪!$H$2:$H$497),""))</f>
        <v/>
      </c>
      <c r="N114" s="10"/>
      <c r="O114" s="10"/>
      <c r="P114" s="5" t="str">
        <f>IF(A114="","",IFERROR(LOOKUP(2,1/((持仓跟踪!$B$2:$B$497=A114)*(持仓跟踪!$X$2:$X$497="执行卖出")*(持仓跟踪!$AA$2:$AA$497&lt;&gt;"")),持仓跟踪!$AA$2:$AA$497),""))</f>
        <v/>
      </c>
      <c r="Q114" s="2"/>
      <c r="R114" s="2"/>
      <c r="S114" s="2"/>
      <c r="T114" s="2"/>
      <c r="U114" s="7" t="str">
        <f>IF(OR(AO114="",J114="",AO114&lt;=0),"",(J114-AO114)/AO114)</f>
        <v/>
      </c>
      <c r="V114" s="7" t="str">
        <f>IF(OR(AO114="",N114="",AO114&lt;=0),"",(AO114-N114)/AO114)</f>
        <v/>
      </c>
      <c r="W114" s="24" t="str">
        <f>IF(OR(U114="",V114="",V114&lt;=0),"",U114/V114)</f>
        <v/>
      </c>
      <c r="X114" s="5" t="str">
        <f>IF(OR(K114="",L114="",AP114=""),"",K114*L114-(E114*H114+IF(AND(AK114&lt;&gt;"",AL114&lt;&gt;""),AK114*AL114,0)+IF(AND(AM114&lt;&gt;"",AN114&lt;&gt;""),AM114*AN114,0))-IF(O114="",0,O114)-IF(P114="",0,P114))</f>
        <v/>
      </c>
      <c r="Y114" s="7" t="str">
        <f>IF(OR(X114="",AP114=""),"",IF((E114*H114+IF(AND(AK114&lt;&gt;"",AL114&lt;&gt;""),AK114*AL114,0)+IF(AND(AM114&lt;&gt;"",AN114&lt;&gt;""),AM114*AN114,0))+IF(O114="",0,O114)&lt;=0,"",X114/((E114*H114+IF(AND(AK114&lt;&gt;"",AL114&lt;&gt;""),AK114*AL114,0)+IF(AND(AM114&lt;&gt;"",AN114&lt;&gt;""),AM114*AN114,0))+IF(O114="",0,O114))))</f>
        <v/>
      </c>
      <c r="Z114" s="7" t="str">
        <f>IF(OR(AE114="",多次统计数据!$B$8=""),"",AE114-多次统计数据!$B$8)</f>
        <v/>
      </c>
      <c r="AA114" s="11" t="str">
        <f>IF(OR(I114="",M114="",M114&lt;I114),"",M114-I114)</f>
        <v/>
      </c>
      <c r="AB114" s="7" t="str">
        <f>IF(OR(A114="",多次统计数据!$B$8="",多次统计数据!$B$6&lt;=0,多次统计数据!$B$6&gt;=1),"",1-POWER(1+多次统计数据!$B$8,-多次统计数据!$B$6/(1-多次统计数据!$B$6)))</f>
        <v/>
      </c>
      <c r="AC114" s="8" t="str">
        <f>IF(OR(AB114="",多次统计数据!$B$9=""),"",IF(多次统计数据!$B$9&lt;AB114,"低于上限","达到或超过上限"))</f>
        <v/>
      </c>
      <c r="AD114" s="2"/>
      <c r="AE114" s="7" t="str">
        <f>IF(OR(X114="",C114="",C114&lt;=0),"",X114/C114)</f>
        <v/>
      </c>
      <c r="AG114" s="2"/>
      <c r="AH114" s="2"/>
      <c r="AI114" s="2"/>
      <c r="AJ114" s="8" t="str">
        <f>IF(OR(AG114="",AH114=""),"",IF(OR(AND(AG114="短期博反弹",OR(AH114="1～3个交易日",AH114="4～10个交易日")),AND(AG114="突破冲新高",OR(AH114="4～10个交易日",AH114="11～20个交易日")),AND(AG114="趋势波段",OR(AH114="11～20个交易日",AH114="21～60个交易日",AH114="60个交易日以上"))),"匹配","周期与交易预期不匹配，请重新确认"))</f>
        <v/>
      </c>
      <c r="AK114" s="10"/>
      <c r="AL114" s="12"/>
      <c r="AM114" s="10"/>
      <c r="AN114" s="12"/>
      <c r="AO114" s="5" t="str">
        <f>IF(OR(A114="",H114="",H114&lt;=0),"",(E114*H114+IF(AND(AK114&lt;&gt;"",AL114&lt;&gt;""),AK114*AL114,0)+IF(AND(AM114&lt;&gt;"",AN114&lt;&gt;""),AM114*AN114,0))/AP114)</f>
        <v/>
      </c>
      <c r="AP114" s="11" t="str">
        <f>IF(OR(A114="",H114="",H114&lt;=0),"",H114+IF(AL114="",0,AL114)+IF(AN114="",0,AN114))</f>
        <v/>
      </c>
      <c r="AQ114" s="5" t="str">
        <f>IF(A114="","",IF(M114&lt;&gt;"",0,IF(OR(H114="",N114=""),"",MAX(E114-MAX(N114,IFERROR(SUMPRODUCT(MAX(((持仓跟踪!$A$2:$A$497="每日跟踪")*(持仓跟踪!$B$2:$B$497=A114))*持仓跟踪!$S$2:$S$497)),0)),0)*H114+IF(OR(AK114="",AL114=""),0,MAX(AK114-MAX(N114,IFERROR(SUMPRODUCT(MAX(((持仓跟踪!$A$2:$A$497="每日跟踪")*(持仓跟踪!$B$2:$B$497=A114))*持仓跟踪!$S$2:$S$497)),0)),0)*AL114)+IF(OR(AM114="",AN114=""),0,MAX(AM114-MAX(N114,IFERROR(SUMPRODUCT(MAX(((持仓跟踪!$A$2:$A$497="每日跟踪")*(持仓跟踪!$B$2:$B$497=A114))*持仓跟踪!$S$2:$S$497)),0)),0)*AN114))))</f>
        <v/>
      </c>
      <c r="AR114" s="8" t="str">
        <f ca="1">IF(A114="","",IF(OR(E114="",H114=""),"违规：第一批价格或股数缺失",IF(OR(AND(AK114="",AL114&lt;&gt;""),AND(AK114&lt;&gt;"",AL114="")),"违规：第二批价格与股数须成对填写",IF(OR(AND(AM114="",AN114&lt;&gt;""),AND(AM114&lt;&gt;"",AN114="")),"违规：第三批价格与股数须成对填写",IF(AND(OR(AM114&lt;&gt;"",AN114&lt;&gt;""),OR(AK114="",AL114="")),"违规：必须先完成第二批",IF(OR(H114&lt;=0,H114&lt;&gt;INT(H114),MOD(H114,100)&lt;&gt;0,AND(AL114&lt;&gt;"",OR(AL114&lt;=0,AL114&lt;&gt;INT(AL114),MOD(AL114,100)&lt;&gt;0)),AND(AN114&lt;&gt;"",OR(AN114&lt;=0,AN114&lt;&gt;INT(AN114),MOD(AN114,100)&lt;&gt;0))),"违规：股数须为100股整数倍",IF(AND(OR(AL114&lt;&gt;"",AN114&lt;&gt;""),OR(_LockStatus="已锁仓",_LockStatus="解锁信息不完整")),"违规：锁仓期间禁止加仓",IF(AQ114&gt;C114*D114,"违规：超过单笔风险上限",IF(SUM($AQ$2:$AQ$163)&gt;账户数据!$B$7,"违规：超过账户风险上限","通过")))))))))</f>
        <v/>
      </c>
    </row>
    <row r="115" ht="17" spans="1:44">
      <c r="A115" s="2"/>
      <c r="B115" s="2"/>
      <c r="C115" s="10"/>
      <c r="D115" s="6"/>
      <c r="E115" s="10"/>
      <c r="F115" s="8" t="str">
        <f>IF(OR(C115="",D115="",E115="",N115="",C115&lt;=0,D115&lt;=0,E115&lt;=N115),"",ROUNDDOWN((C115*D115)/(E115-N115)/100,0)*100)</f>
        <v/>
      </c>
      <c r="G115" s="8" t="str">
        <f ca="1"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COUNTIFS(持仓跟踪!$A$2:$A$497,"止损计划",持仓跟踪!$B$2:$B$497,A115,持仓跟踪!$AC$2:$AC$497,"计划有效")=0,"禁止开仓：请先填写止损计划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5" s="2"/>
      <c r="I115" s="15"/>
      <c r="J115" s="10"/>
      <c r="K115" s="5" t="str">
        <f>IF(A115="","",IFERROR(LOOKUP(2,1/((持仓跟踪!$B$2:$B$497=A115)*(持仓跟踪!$X$2:$X$497="执行卖出")*(持仓跟踪!$Y$2:$Y$497&lt;&gt;"")),持仓跟踪!$Y$2:$Y$497),""))</f>
        <v/>
      </c>
      <c r="L115" s="8" t="str">
        <f>IF(A115="","",IFERROR(LOOKUP(2,1/((持仓跟踪!$B$2:$B$497=A115)*(持仓跟踪!$X$2:$X$497="执行卖出")*(持仓跟踪!$Z$2:$Z$497&lt;&gt;"")),持仓跟踪!$Z$2:$Z$497),""))</f>
        <v/>
      </c>
      <c r="M115" s="23" t="str">
        <f>IF(A115="","",IFERROR(LOOKUP(2,1/((持仓跟踪!$B$2:$B$497=A115)*(持仓跟踪!$X$2:$X$497="执行卖出")*(持仓跟踪!$H$2:$H$497&lt;&gt;"")),持仓跟踪!$H$2:$H$497),""))</f>
        <v/>
      </c>
      <c r="N115" s="10"/>
      <c r="O115" s="10"/>
      <c r="P115" s="5" t="str">
        <f>IF(A115="","",IFERROR(LOOKUP(2,1/((持仓跟踪!$B$2:$B$497=A115)*(持仓跟踪!$X$2:$X$497="执行卖出")*(持仓跟踪!$AA$2:$AA$497&lt;&gt;"")),持仓跟踪!$AA$2:$AA$497),""))</f>
        <v/>
      </c>
      <c r="Q115" s="2"/>
      <c r="R115" s="2"/>
      <c r="S115" s="2"/>
      <c r="T115" s="2"/>
      <c r="U115" s="7" t="str">
        <f>IF(OR(AO115="",J115="",AO115&lt;=0),"",(J115-AO115)/AO115)</f>
        <v/>
      </c>
      <c r="V115" s="7" t="str">
        <f>IF(OR(AO115="",N115="",AO115&lt;=0),"",(AO115-N115)/AO115)</f>
        <v/>
      </c>
      <c r="W115" s="24" t="str">
        <f>IF(OR(U115="",V115="",V115&lt;=0),"",U115/V115)</f>
        <v/>
      </c>
      <c r="X115" s="5" t="str">
        <f>IF(OR(K115="",L115="",AP115=""),"",K115*L115-(E115*H115+IF(AND(AK115&lt;&gt;"",AL115&lt;&gt;""),AK115*AL115,0)+IF(AND(AM115&lt;&gt;"",AN115&lt;&gt;""),AM115*AN115,0))-IF(O115="",0,O115)-IF(P115="",0,P115))</f>
        <v/>
      </c>
      <c r="Y115" s="7" t="str">
        <f>IF(OR(X115="",AP115=""),"",IF((E115*H115+IF(AND(AK115&lt;&gt;"",AL115&lt;&gt;""),AK115*AL115,0)+IF(AND(AM115&lt;&gt;"",AN115&lt;&gt;""),AM115*AN115,0))+IF(O115="",0,O115)&lt;=0,"",X115/((E115*H115+IF(AND(AK115&lt;&gt;"",AL115&lt;&gt;""),AK115*AL115,0)+IF(AND(AM115&lt;&gt;"",AN115&lt;&gt;""),AM115*AN115,0))+IF(O115="",0,O115))))</f>
        <v/>
      </c>
      <c r="Z115" s="7" t="str">
        <f>IF(OR(AE115="",多次统计数据!$B$8=""),"",AE115-多次统计数据!$B$8)</f>
        <v/>
      </c>
      <c r="AA115" s="11" t="str">
        <f>IF(OR(I115="",M115="",M115&lt;I115),"",M115-I115)</f>
        <v/>
      </c>
      <c r="AB115" s="7" t="str">
        <f>IF(OR(A115="",多次统计数据!$B$8="",多次统计数据!$B$6&lt;=0,多次统计数据!$B$6&gt;=1),"",1-POWER(1+多次统计数据!$B$8,-多次统计数据!$B$6/(1-多次统计数据!$B$6)))</f>
        <v/>
      </c>
      <c r="AC115" s="8" t="str">
        <f>IF(OR(AB115="",多次统计数据!$B$9=""),"",IF(多次统计数据!$B$9&lt;AB115,"低于上限","达到或超过上限"))</f>
        <v/>
      </c>
      <c r="AD115" s="2"/>
      <c r="AE115" s="7" t="str">
        <f>IF(OR(X115="",C115="",C115&lt;=0),"",X115/C115)</f>
        <v/>
      </c>
      <c r="AG115" s="2"/>
      <c r="AH115" s="2"/>
      <c r="AI115" s="2"/>
      <c r="AJ115" s="8" t="str">
        <f>IF(OR(AG115="",AH115=""),"",IF(OR(AND(AG115="短期博反弹",OR(AH115="1～3个交易日",AH115="4～10个交易日")),AND(AG115="突破冲新高",OR(AH115="4～10个交易日",AH115="11～20个交易日")),AND(AG115="趋势波段",OR(AH115="11～20个交易日",AH115="21～60个交易日",AH115="60个交易日以上"))),"匹配","周期与交易预期不匹配，请重新确认"))</f>
        <v/>
      </c>
      <c r="AK115" s="10"/>
      <c r="AL115" s="12"/>
      <c r="AM115" s="10"/>
      <c r="AN115" s="12"/>
      <c r="AO115" s="5" t="str">
        <f>IF(OR(A115="",H115="",H115&lt;=0),"",(E115*H115+IF(AND(AK115&lt;&gt;"",AL115&lt;&gt;""),AK115*AL115,0)+IF(AND(AM115&lt;&gt;"",AN115&lt;&gt;""),AM115*AN115,0))/AP115)</f>
        <v/>
      </c>
      <c r="AP115" s="11" t="str">
        <f>IF(OR(A115="",H115="",H115&lt;=0),"",H115+IF(AL115="",0,AL115)+IF(AN115="",0,AN115))</f>
        <v/>
      </c>
      <c r="AQ115" s="5" t="str">
        <f>IF(A115="","",IF(M115&lt;&gt;"",0,IF(OR(H115="",N115=""),"",MAX(E115-MAX(N115,IFERROR(SUMPRODUCT(MAX(((持仓跟踪!$A$2:$A$497="每日跟踪")*(持仓跟踪!$B$2:$B$497=A115))*持仓跟踪!$S$2:$S$497)),0)),0)*H115+IF(OR(AK115="",AL115=""),0,MAX(AK115-MAX(N115,IFERROR(SUMPRODUCT(MAX(((持仓跟踪!$A$2:$A$497="每日跟踪")*(持仓跟踪!$B$2:$B$497=A115))*持仓跟踪!$S$2:$S$497)),0)),0)*AL115)+IF(OR(AM115="",AN115=""),0,MAX(AM115-MAX(N115,IFERROR(SUMPRODUCT(MAX(((持仓跟踪!$A$2:$A$497="每日跟踪")*(持仓跟踪!$B$2:$B$497=A115))*持仓跟踪!$S$2:$S$497)),0)),0)*AN115))))</f>
        <v/>
      </c>
      <c r="AR115" s="8" t="str">
        <f ca="1">IF(A115="","",IF(OR(E115="",H115=""),"违规：第一批价格或股数缺失",IF(OR(AND(AK115="",AL115&lt;&gt;""),AND(AK115&lt;&gt;"",AL115="")),"违规：第二批价格与股数须成对填写",IF(OR(AND(AM115="",AN115&lt;&gt;""),AND(AM115&lt;&gt;"",AN115="")),"违规：第三批价格与股数须成对填写",IF(AND(OR(AM115&lt;&gt;"",AN115&lt;&gt;""),OR(AK115="",AL115="")),"违规：必须先完成第二批",IF(OR(H115&lt;=0,H115&lt;&gt;INT(H115),MOD(H115,100)&lt;&gt;0,AND(AL115&lt;&gt;"",OR(AL115&lt;=0,AL115&lt;&gt;INT(AL115),MOD(AL115,100)&lt;&gt;0)),AND(AN115&lt;&gt;"",OR(AN115&lt;=0,AN115&lt;&gt;INT(AN115),MOD(AN115,100)&lt;&gt;0))),"违规：股数须为100股整数倍",IF(AND(OR(AL115&lt;&gt;"",AN115&lt;&gt;""),OR(_LockStatus="已锁仓",_LockStatus="解锁信息不完整")),"违规：锁仓期间禁止加仓",IF(AQ115&gt;C115*D115,"违规：超过单笔风险上限",IF(SUM($AQ$2:$AQ$163)&gt;账户数据!$B$7,"违规：超过账户风险上限","通过")))))))))</f>
        <v/>
      </c>
    </row>
    <row r="116" ht="17" spans="1:44">
      <c r="A116" s="2"/>
      <c r="B116" s="2"/>
      <c r="C116" s="10"/>
      <c r="D116" s="6"/>
      <c r="E116" s="10"/>
      <c r="F116" s="8" t="str">
        <f>IF(OR(C116="",D116="",E116="",N116="",C116&lt;=0,D116&lt;=0,E116&lt;=N116),"",ROUNDDOWN((C116*D116)/(E116-N116)/100,0)*100)</f>
        <v/>
      </c>
      <c r="G116" s="8" t="str">
        <f ca="1"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COUNTIFS(持仓跟踪!$A$2:$A$497,"止损计划",持仓跟踪!$B$2:$B$497,A116,持仓跟踪!$AC$2:$AC$497,"计划有效")=0,"禁止开仓：请先填写止损计划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6" s="2"/>
      <c r="I116" s="15"/>
      <c r="J116" s="10"/>
      <c r="K116" s="5" t="str">
        <f>IF(A116="","",IFERROR(LOOKUP(2,1/((持仓跟踪!$B$2:$B$497=A116)*(持仓跟踪!$X$2:$X$497="执行卖出")*(持仓跟踪!$Y$2:$Y$497&lt;&gt;"")),持仓跟踪!$Y$2:$Y$497),""))</f>
        <v/>
      </c>
      <c r="L116" s="8" t="str">
        <f>IF(A116="","",IFERROR(LOOKUP(2,1/((持仓跟踪!$B$2:$B$497=A116)*(持仓跟踪!$X$2:$X$497="执行卖出")*(持仓跟踪!$Z$2:$Z$497&lt;&gt;"")),持仓跟踪!$Z$2:$Z$497),""))</f>
        <v/>
      </c>
      <c r="M116" s="23" t="str">
        <f>IF(A116="","",IFERROR(LOOKUP(2,1/((持仓跟踪!$B$2:$B$497=A116)*(持仓跟踪!$X$2:$X$497="执行卖出")*(持仓跟踪!$H$2:$H$497&lt;&gt;"")),持仓跟踪!$H$2:$H$497),""))</f>
        <v/>
      </c>
      <c r="N116" s="10"/>
      <c r="O116" s="10"/>
      <c r="P116" s="5" t="str">
        <f>IF(A116="","",IFERROR(LOOKUP(2,1/((持仓跟踪!$B$2:$B$497=A116)*(持仓跟踪!$X$2:$X$497="执行卖出")*(持仓跟踪!$AA$2:$AA$497&lt;&gt;"")),持仓跟踪!$AA$2:$AA$497),""))</f>
        <v/>
      </c>
      <c r="Q116" s="2"/>
      <c r="R116" s="2"/>
      <c r="S116" s="2"/>
      <c r="T116" s="2"/>
      <c r="U116" s="7" t="str">
        <f>IF(OR(AO116="",J116="",AO116&lt;=0),"",(J116-AO116)/AO116)</f>
        <v/>
      </c>
      <c r="V116" s="7" t="str">
        <f>IF(OR(AO116="",N116="",AO116&lt;=0),"",(AO116-N116)/AO116)</f>
        <v/>
      </c>
      <c r="W116" s="24" t="str">
        <f>IF(OR(U116="",V116="",V116&lt;=0),"",U116/V116)</f>
        <v/>
      </c>
      <c r="X116" s="5" t="str">
        <f>IF(OR(K116="",L116="",AP116=""),"",K116*L116-(E116*H116+IF(AND(AK116&lt;&gt;"",AL116&lt;&gt;""),AK116*AL116,0)+IF(AND(AM116&lt;&gt;"",AN116&lt;&gt;""),AM116*AN116,0))-IF(O116="",0,O116)-IF(P116="",0,P116))</f>
        <v/>
      </c>
      <c r="Y116" s="7" t="str">
        <f>IF(OR(X116="",AP116=""),"",IF((E116*H116+IF(AND(AK116&lt;&gt;"",AL116&lt;&gt;""),AK116*AL116,0)+IF(AND(AM116&lt;&gt;"",AN116&lt;&gt;""),AM116*AN116,0))+IF(O116="",0,O116)&lt;=0,"",X116/((E116*H116+IF(AND(AK116&lt;&gt;"",AL116&lt;&gt;""),AK116*AL116,0)+IF(AND(AM116&lt;&gt;"",AN116&lt;&gt;""),AM116*AN116,0))+IF(O116="",0,O116))))</f>
        <v/>
      </c>
      <c r="Z116" s="7" t="str">
        <f>IF(OR(AE116="",多次统计数据!$B$8=""),"",AE116-多次统计数据!$B$8)</f>
        <v/>
      </c>
      <c r="AA116" s="11" t="str">
        <f>IF(OR(I116="",M116="",M116&lt;I116),"",M116-I116)</f>
        <v/>
      </c>
      <c r="AB116" s="7" t="str">
        <f>IF(OR(A116="",多次统计数据!$B$8="",多次统计数据!$B$6&lt;=0,多次统计数据!$B$6&gt;=1),"",1-POWER(1+多次统计数据!$B$8,-多次统计数据!$B$6/(1-多次统计数据!$B$6)))</f>
        <v/>
      </c>
      <c r="AC116" s="8" t="str">
        <f>IF(OR(AB116="",多次统计数据!$B$9=""),"",IF(多次统计数据!$B$9&lt;AB116,"低于上限","达到或超过上限"))</f>
        <v/>
      </c>
      <c r="AD116" s="2"/>
      <c r="AE116" s="7" t="str">
        <f>IF(OR(X116="",C116="",C116&lt;=0),"",X116/C116)</f>
        <v/>
      </c>
      <c r="AG116" s="2"/>
      <c r="AH116" s="2"/>
      <c r="AI116" s="2"/>
      <c r="AJ116" s="8" t="str">
        <f>IF(OR(AG116="",AH116=""),"",IF(OR(AND(AG116="短期博反弹",OR(AH116="1～3个交易日",AH116="4～10个交易日")),AND(AG116="突破冲新高",OR(AH116="4～10个交易日",AH116="11～20个交易日")),AND(AG116="趋势波段",OR(AH116="11～20个交易日",AH116="21～60个交易日",AH116="60个交易日以上"))),"匹配","周期与交易预期不匹配，请重新确认"))</f>
        <v/>
      </c>
      <c r="AK116" s="10"/>
      <c r="AL116" s="12"/>
      <c r="AM116" s="10"/>
      <c r="AN116" s="12"/>
      <c r="AO116" s="5" t="str">
        <f>IF(OR(A116="",H116="",H116&lt;=0),"",(E116*H116+IF(AND(AK116&lt;&gt;"",AL116&lt;&gt;""),AK116*AL116,0)+IF(AND(AM116&lt;&gt;"",AN116&lt;&gt;""),AM116*AN116,0))/AP116)</f>
        <v/>
      </c>
      <c r="AP116" s="11" t="str">
        <f>IF(OR(A116="",H116="",H116&lt;=0),"",H116+IF(AL116="",0,AL116)+IF(AN116="",0,AN116))</f>
        <v/>
      </c>
      <c r="AQ116" s="5" t="str">
        <f>IF(A116="","",IF(M116&lt;&gt;"",0,IF(OR(H116="",N116=""),"",MAX(E116-MAX(N116,IFERROR(SUMPRODUCT(MAX(((持仓跟踪!$A$2:$A$497="每日跟踪")*(持仓跟踪!$B$2:$B$497=A116))*持仓跟踪!$S$2:$S$497)),0)),0)*H116+IF(OR(AK116="",AL116=""),0,MAX(AK116-MAX(N116,IFERROR(SUMPRODUCT(MAX(((持仓跟踪!$A$2:$A$497="每日跟踪")*(持仓跟踪!$B$2:$B$497=A116))*持仓跟踪!$S$2:$S$497)),0)),0)*AL116)+IF(OR(AM116="",AN116=""),0,MAX(AM116-MAX(N116,IFERROR(SUMPRODUCT(MAX(((持仓跟踪!$A$2:$A$497="每日跟踪")*(持仓跟踪!$B$2:$B$497=A116))*持仓跟踪!$S$2:$S$497)),0)),0)*AN116))))</f>
        <v/>
      </c>
      <c r="AR116" s="8" t="str">
        <f ca="1">IF(A116="","",IF(OR(E116="",H116=""),"违规：第一批价格或股数缺失",IF(OR(AND(AK116="",AL116&lt;&gt;""),AND(AK116&lt;&gt;"",AL116="")),"违规：第二批价格与股数须成对填写",IF(OR(AND(AM116="",AN116&lt;&gt;""),AND(AM116&lt;&gt;"",AN116="")),"违规：第三批价格与股数须成对填写",IF(AND(OR(AM116&lt;&gt;"",AN116&lt;&gt;""),OR(AK116="",AL116="")),"违规：必须先完成第二批",IF(OR(H116&lt;=0,H116&lt;&gt;INT(H116),MOD(H116,100)&lt;&gt;0,AND(AL116&lt;&gt;"",OR(AL116&lt;=0,AL116&lt;&gt;INT(AL116),MOD(AL116,100)&lt;&gt;0)),AND(AN116&lt;&gt;"",OR(AN116&lt;=0,AN116&lt;&gt;INT(AN116),MOD(AN116,100)&lt;&gt;0))),"违规：股数须为100股整数倍",IF(AND(OR(AL116&lt;&gt;"",AN116&lt;&gt;""),OR(_LockStatus="已锁仓",_LockStatus="解锁信息不完整")),"违规：锁仓期间禁止加仓",IF(AQ116&gt;C116*D116,"违规：超过单笔风险上限",IF(SUM($AQ$2:$AQ$163)&gt;账户数据!$B$7,"违规：超过账户风险上限","通过")))))))))</f>
        <v/>
      </c>
    </row>
    <row r="117" ht="17" spans="1:44">
      <c r="A117" s="2"/>
      <c r="B117" s="2"/>
      <c r="C117" s="10"/>
      <c r="D117" s="6"/>
      <c r="E117" s="10"/>
      <c r="F117" s="8" t="str">
        <f>IF(OR(C117="",D117="",E117="",N117="",C117&lt;=0,D117&lt;=0,E117&lt;=N117),"",ROUNDDOWN((C117*D117)/(E117-N117)/100,0)*100)</f>
        <v/>
      </c>
      <c r="G117" s="8" t="str">
        <f ca="1"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COUNTIFS(持仓跟踪!$A$2:$A$497,"止损计划",持仓跟踪!$B$2:$B$497,A117,持仓跟踪!$AC$2:$AC$497,"计划有效")=0,"禁止开仓：请先填写止损计划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7" s="2"/>
      <c r="I117" s="15"/>
      <c r="J117" s="10"/>
      <c r="K117" s="5" t="str">
        <f>IF(A117="","",IFERROR(LOOKUP(2,1/((持仓跟踪!$B$2:$B$497=A117)*(持仓跟踪!$X$2:$X$497="执行卖出")*(持仓跟踪!$Y$2:$Y$497&lt;&gt;"")),持仓跟踪!$Y$2:$Y$497),""))</f>
        <v/>
      </c>
      <c r="L117" s="8" t="str">
        <f>IF(A117="","",IFERROR(LOOKUP(2,1/((持仓跟踪!$B$2:$B$497=A117)*(持仓跟踪!$X$2:$X$497="执行卖出")*(持仓跟踪!$Z$2:$Z$497&lt;&gt;"")),持仓跟踪!$Z$2:$Z$497),""))</f>
        <v/>
      </c>
      <c r="M117" s="23" t="str">
        <f>IF(A117="","",IFERROR(LOOKUP(2,1/((持仓跟踪!$B$2:$B$497=A117)*(持仓跟踪!$X$2:$X$497="执行卖出")*(持仓跟踪!$H$2:$H$497&lt;&gt;"")),持仓跟踪!$H$2:$H$497),""))</f>
        <v/>
      </c>
      <c r="N117" s="10"/>
      <c r="O117" s="10"/>
      <c r="P117" s="5" t="str">
        <f>IF(A117="","",IFERROR(LOOKUP(2,1/((持仓跟踪!$B$2:$B$497=A117)*(持仓跟踪!$X$2:$X$497="执行卖出")*(持仓跟踪!$AA$2:$AA$497&lt;&gt;"")),持仓跟踪!$AA$2:$AA$497),""))</f>
        <v/>
      </c>
      <c r="Q117" s="2"/>
      <c r="R117" s="2"/>
      <c r="S117" s="2"/>
      <c r="T117" s="2"/>
      <c r="U117" s="7" t="str">
        <f>IF(OR(AO117="",J117="",AO117&lt;=0),"",(J117-AO117)/AO117)</f>
        <v/>
      </c>
      <c r="V117" s="7" t="str">
        <f>IF(OR(AO117="",N117="",AO117&lt;=0),"",(AO117-N117)/AO117)</f>
        <v/>
      </c>
      <c r="W117" s="24" t="str">
        <f>IF(OR(U117="",V117="",V117&lt;=0),"",U117/V117)</f>
        <v/>
      </c>
      <c r="X117" s="5" t="str">
        <f>IF(OR(K117="",L117="",AP117=""),"",K117*L117-(E117*H117+IF(AND(AK117&lt;&gt;"",AL117&lt;&gt;""),AK117*AL117,0)+IF(AND(AM117&lt;&gt;"",AN117&lt;&gt;""),AM117*AN117,0))-IF(O117="",0,O117)-IF(P117="",0,P117))</f>
        <v/>
      </c>
      <c r="Y117" s="7" t="str">
        <f>IF(OR(X117="",AP117=""),"",IF((E117*H117+IF(AND(AK117&lt;&gt;"",AL117&lt;&gt;""),AK117*AL117,0)+IF(AND(AM117&lt;&gt;"",AN117&lt;&gt;""),AM117*AN117,0))+IF(O117="",0,O117)&lt;=0,"",X117/((E117*H117+IF(AND(AK117&lt;&gt;"",AL117&lt;&gt;""),AK117*AL117,0)+IF(AND(AM117&lt;&gt;"",AN117&lt;&gt;""),AM117*AN117,0))+IF(O117="",0,O117))))</f>
        <v/>
      </c>
      <c r="Z117" s="7" t="str">
        <f>IF(OR(AE117="",多次统计数据!$B$8=""),"",AE117-多次统计数据!$B$8)</f>
        <v/>
      </c>
      <c r="AA117" s="11" t="str">
        <f>IF(OR(I117="",M117="",M117&lt;I117),"",M117-I117)</f>
        <v/>
      </c>
      <c r="AB117" s="7" t="str">
        <f>IF(OR(A117="",多次统计数据!$B$8="",多次统计数据!$B$6&lt;=0,多次统计数据!$B$6&gt;=1),"",1-POWER(1+多次统计数据!$B$8,-多次统计数据!$B$6/(1-多次统计数据!$B$6)))</f>
        <v/>
      </c>
      <c r="AC117" s="8" t="str">
        <f>IF(OR(AB117="",多次统计数据!$B$9=""),"",IF(多次统计数据!$B$9&lt;AB117,"低于上限","达到或超过上限"))</f>
        <v/>
      </c>
      <c r="AD117" s="2"/>
      <c r="AE117" s="7" t="str">
        <f>IF(OR(X117="",C117="",C117&lt;=0),"",X117/C117)</f>
        <v/>
      </c>
      <c r="AG117" s="2"/>
      <c r="AH117" s="2"/>
      <c r="AI117" s="2"/>
      <c r="AJ117" s="8" t="str">
        <f>IF(OR(AG117="",AH117=""),"",IF(OR(AND(AG117="短期博反弹",OR(AH117="1～3个交易日",AH117="4～10个交易日")),AND(AG117="突破冲新高",OR(AH117="4～10个交易日",AH117="11～20个交易日")),AND(AG117="趋势波段",OR(AH117="11～20个交易日",AH117="21～60个交易日",AH117="60个交易日以上"))),"匹配","周期与交易预期不匹配，请重新确认"))</f>
        <v/>
      </c>
      <c r="AK117" s="10"/>
      <c r="AL117" s="12"/>
      <c r="AM117" s="10"/>
      <c r="AN117" s="12"/>
      <c r="AO117" s="5" t="str">
        <f>IF(OR(A117="",H117="",H117&lt;=0),"",(E117*H117+IF(AND(AK117&lt;&gt;"",AL117&lt;&gt;""),AK117*AL117,0)+IF(AND(AM117&lt;&gt;"",AN117&lt;&gt;""),AM117*AN117,0))/AP117)</f>
        <v/>
      </c>
      <c r="AP117" s="11" t="str">
        <f>IF(OR(A117="",H117="",H117&lt;=0),"",H117+IF(AL117="",0,AL117)+IF(AN117="",0,AN117))</f>
        <v/>
      </c>
      <c r="AQ117" s="5" t="str">
        <f>IF(A117="","",IF(M117&lt;&gt;"",0,IF(OR(H117="",N117=""),"",MAX(E117-MAX(N117,IFERROR(SUMPRODUCT(MAX(((持仓跟踪!$A$2:$A$497="每日跟踪")*(持仓跟踪!$B$2:$B$497=A117))*持仓跟踪!$S$2:$S$497)),0)),0)*H117+IF(OR(AK117="",AL117=""),0,MAX(AK117-MAX(N117,IFERROR(SUMPRODUCT(MAX(((持仓跟踪!$A$2:$A$497="每日跟踪")*(持仓跟踪!$B$2:$B$497=A117))*持仓跟踪!$S$2:$S$497)),0)),0)*AL117)+IF(OR(AM117="",AN117=""),0,MAX(AM117-MAX(N117,IFERROR(SUMPRODUCT(MAX(((持仓跟踪!$A$2:$A$497="每日跟踪")*(持仓跟踪!$B$2:$B$497=A117))*持仓跟踪!$S$2:$S$497)),0)),0)*AN117))))</f>
        <v/>
      </c>
      <c r="AR117" s="8" t="str">
        <f ca="1">IF(A117="","",IF(OR(E117="",H117=""),"违规：第一批价格或股数缺失",IF(OR(AND(AK117="",AL117&lt;&gt;""),AND(AK117&lt;&gt;"",AL117="")),"违规：第二批价格与股数须成对填写",IF(OR(AND(AM117="",AN117&lt;&gt;""),AND(AM117&lt;&gt;"",AN117="")),"违规：第三批价格与股数须成对填写",IF(AND(OR(AM117&lt;&gt;"",AN117&lt;&gt;""),OR(AK117="",AL117="")),"违规：必须先完成第二批",IF(OR(H117&lt;=0,H117&lt;&gt;INT(H117),MOD(H117,100)&lt;&gt;0,AND(AL117&lt;&gt;"",OR(AL117&lt;=0,AL117&lt;&gt;INT(AL117),MOD(AL117,100)&lt;&gt;0)),AND(AN117&lt;&gt;"",OR(AN117&lt;=0,AN117&lt;&gt;INT(AN117),MOD(AN117,100)&lt;&gt;0))),"违规：股数须为100股整数倍",IF(AND(OR(AL117&lt;&gt;"",AN117&lt;&gt;""),OR(_LockStatus="已锁仓",_LockStatus="解锁信息不完整")),"违规：锁仓期间禁止加仓",IF(AQ117&gt;C117*D117,"违规：超过单笔风险上限",IF(SUM($AQ$2:$AQ$163)&gt;账户数据!$B$7,"违规：超过账户风险上限","通过")))))))))</f>
        <v/>
      </c>
    </row>
    <row r="118" ht="17" spans="1:44">
      <c r="A118" s="2"/>
      <c r="B118" s="2"/>
      <c r="C118" s="10"/>
      <c r="D118" s="6"/>
      <c r="E118" s="10"/>
      <c r="F118" s="8" t="str">
        <f>IF(OR(C118="",D118="",E118="",N118="",C118&lt;=0,D118&lt;=0,E118&lt;=N118),"",ROUNDDOWN((C118*D118)/(E118-N118)/100,0)*100)</f>
        <v/>
      </c>
      <c r="G118" s="8" t="str">
        <f ca="1"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COUNTIFS(持仓跟踪!$A$2:$A$497,"止损计划",持仓跟踪!$B$2:$B$497,A118,持仓跟踪!$AC$2:$AC$497,"计划有效")=0,"禁止开仓：请先填写止损计划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8" s="2"/>
      <c r="I118" s="15"/>
      <c r="J118" s="10"/>
      <c r="K118" s="5" t="str">
        <f>IF(A118="","",IFERROR(LOOKUP(2,1/((持仓跟踪!$B$2:$B$497=A118)*(持仓跟踪!$X$2:$X$497="执行卖出")*(持仓跟踪!$Y$2:$Y$497&lt;&gt;"")),持仓跟踪!$Y$2:$Y$497),""))</f>
        <v/>
      </c>
      <c r="L118" s="8" t="str">
        <f>IF(A118="","",IFERROR(LOOKUP(2,1/((持仓跟踪!$B$2:$B$497=A118)*(持仓跟踪!$X$2:$X$497="执行卖出")*(持仓跟踪!$Z$2:$Z$497&lt;&gt;"")),持仓跟踪!$Z$2:$Z$497),""))</f>
        <v/>
      </c>
      <c r="M118" s="23" t="str">
        <f>IF(A118="","",IFERROR(LOOKUP(2,1/((持仓跟踪!$B$2:$B$497=A118)*(持仓跟踪!$X$2:$X$497="执行卖出")*(持仓跟踪!$H$2:$H$497&lt;&gt;"")),持仓跟踪!$H$2:$H$497),""))</f>
        <v/>
      </c>
      <c r="N118" s="10"/>
      <c r="O118" s="10"/>
      <c r="P118" s="5" t="str">
        <f>IF(A118="","",IFERROR(LOOKUP(2,1/((持仓跟踪!$B$2:$B$497=A118)*(持仓跟踪!$X$2:$X$497="执行卖出")*(持仓跟踪!$AA$2:$AA$497&lt;&gt;"")),持仓跟踪!$AA$2:$AA$497),""))</f>
        <v/>
      </c>
      <c r="Q118" s="2"/>
      <c r="R118" s="2"/>
      <c r="S118" s="2"/>
      <c r="T118" s="2"/>
      <c r="U118" s="7" t="str">
        <f>IF(OR(AO118="",J118="",AO118&lt;=0),"",(J118-AO118)/AO118)</f>
        <v/>
      </c>
      <c r="V118" s="7" t="str">
        <f>IF(OR(AO118="",N118="",AO118&lt;=0),"",(AO118-N118)/AO118)</f>
        <v/>
      </c>
      <c r="W118" s="24" t="str">
        <f>IF(OR(U118="",V118="",V118&lt;=0),"",U118/V118)</f>
        <v/>
      </c>
      <c r="X118" s="5" t="str">
        <f>IF(OR(K118="",L118="",AP118=""),"",K118*L118-(E118*H118+IF(AND(AK118&lt;&gt;"",AL118&lt;&gt;""),AK118*AL118,0)+IF(AND(AM118&lt;&gt;"",AN118&lt;&gt;""),AM118*AN118,0))-IF(O118="",0,O118)-IF(P118="",0,P118))</f>
        <v/>
      </c>
      <c r="Y118" s="7" t="str">
        <f>IF(OR(X118="",AP118=""),"",IF((E118*H118+IF(AND(AK118&lt;&gt;"",AL118&lt;&gt;""),AK118*AL118,0)+IF(AND(AM118&lt;&gt;"",AN118&lt;&gt;""),AM118*AN118,0))+IF(O118="",0,O118)&lt;=0,"",X118/((E118*H118+IF(AND(AK118&lt;&gt;"",AL118&lt;&gt;""),AK118*AL118,0)+IF(AND(AM118&lt;&gt;"",AN118&lt;&gt;""),AM118*AN118,0))+IF(O118="",0,O118))))</f>
        <v/>
      </c>
      <c r="Z118" s="7" t="str">
        <f>IF(OR(AE118="",多次统计数据!$B$8=""),"",AE118-多次统计数据!$B$8)</f>
        <v/>
      </c>
      <c r="AA118" s="11" t="str">
        <f>IF(OR(I118="",M118="",M118&lt;I118),"",M118-I118)</f>
        <v/>
      </c>
      <c r="AB118" s="7" t="str">
        <f>IF(OR(A118="",多次统计数据!$B$8="",多次统计数据!$B$6&lt;=0,多次统计数据!$B$6&gt;=1),"",1-POWER(1+多次统计数据!$B$8,-多次统计数据!$B$6/(1-多次统计数据!$B$6)))</f>
        <v/>
      </c>
      <c r="AC118" s="8" t="str">
        <f>IF(OR(AB118="",多次统计数据!$B$9=""),"",IF(多次统计数据!$B$9&lt;AB118,"低于上限","达到或超过上限"))</f>
        <v/>
      </c>
      <c r="AD118" s="2"/>
      <c r="AE118" s="7" t="str">
        <f>IF(OR(X118="",C118="",C118&lt;=0),"",X118/C118)</f>
        <v/>
      </c>
      <c r="AG118" s="2"/>
      <c r="AH118" s="2"/>
      <c r="AI118" s="2"/>
      <c r="AJ118" s="8" t="str">
        <f>IF(OR(AG118="",AH118=""),"",IF(OR(AND(AG118="短期博反弹",OR(AH118="1～3个交易日",AH118="4～10个交易日")),AND(AG118="突破冲新高",OR(AH118="4～10个交易日",AH118="11～20个交易日")),AND(AG118="趋势波段",OR(AH118="11～20个交易日",AH118="21～60个交易日",AH118="60个交易日以上"))),"匹配","周期与交易预期不匹配，请重新确认"))</f>
        <v/>
      </c>
      <c r="AK118" s="10"/>
      <c r="AL118" s="12"/>
      <c r="AM118" s="10"/>
      <c r="AN118" s="12"/>
      <c r="AO118" s="5" t="str">
        <f>IF(OR(A118="",H118="",H118&lt;=0),"",(E118*H118+IF(AND(AK118&lt;&gt;"",AL118&lt;&gt;""),AK118*AL118,0)+IF(AND(AM118&lt;&gt;"",AN118&lt;&gt;""),AM118*AN118,0))/AP118)</f>
        <v/>
      </c>
      <c r="AP118" s="11" t="str">
        <f>IF(OR(A118="",H118="",H118&lt;=0),"",H118+IF(AL118="",0,AL118)+IF(AN118="",0,AN118))</f>
        <v/>
      </c>
      <c r="AQ118" s="5" t="str">
        <f>IF(A118="","",IF(M118&lt;&gt;"",0,IF(OR(H118="",N118=""),"",MAX(E118-MAX(N118,IFERROR(SUMPRODUCT(MAX(((持仓跟踪!$A$2:$A$497="每日跟踪")*(持仓跟踪!$B$2:$B$497=A118))*持仓跟踪!$S$2:$S$497)),0)),0)*H118+IF(OR(AK118="",AL118=""),0,MAX(AK118-MAX(N118,IFERROR(SUMPRODUCT(MAX(((持仓跟踪!$A$2:$A$497="每日跟踪")*(持仓跟踪!$B$2:$B$497=A118))*持仓跟踪!$S$2:$S$497)),0)),0)*AL118)+IF(OR(AM118="",AN118=""),0,MAX(AM118-MAX(N118,IFERROR(SUMPRODUCT(MAX(((持仓跟踪!$A$2:$A$497="每日跟踪")*(持仓跟踪!$B$2:$B$497=A118))*持仓跟踪!$S$2:$S$497)),0)),0)*AN118))))</f>
        <v/>
      </c>
      <c r="AR118" s="8" t="str">
        <f ca="1">IF(A118="","",IF(OR(E118="",H118=""),"违规：第一批价格或股数缺失",IF(OR(AND(AK118="",AL118&lt;&gt;""),AND(AK118&lt;&gt;"",AL118="")),"违规：第二批价格与股数须成对填写",IF(OR(AND(AM118="",AN118&lt;&gt;""),AND(AM118&lt;&gt;"",AN118="")),"违规：第三批价格与股数须成对填写",IF(AND(OR(AM118&lt;&gt;"",AN118&lt;&gt;""),OR(AK118="",AL118="")),"违规：必须先完成第二批",IF(OR(H118&lt;=0,H118&lt;&gt;INT(H118),MOD(H118,100)&lt;&gt;0,AND(AL118&lt;&gt;"",OR(AL118&lt;=0,AL118&lt;&gt;INT(AL118),MOD(AL118,100)&lt;&gt;0)),AND(AN118&lt;&gt;"",OR(AN118&lt;=0,AN118&lt;&gt;INT(AN118),MOD(AN118,100)&lt;&gt;0))),"违规：股数须为100股整数倍",IF(AND(OR(AL118&lt;&gt;"",AN118&lt;&gt;""),OR(_LockStatus="已锁仓",_LockStatus="解锁信息不完整")),"违规：锁仓期间禁止加仓",IF(AQ118&gt;C118*D118,"违规：超过单笔风险上限",IF(SUM($AQ$2:$AQ$163)&gt;账户数据!$B$7,"违规：超过账户风险上限","通过")))))))))</f>
        <v/>
      </c>
    </row>
    <row r="119" ht="17" spans="1:44">
      <c r="A119" s="2"/>
      <c r="B119" s="2"/>
      <c r="C119" s="10"/>
      <c r="D119" s="6"/>
      <c r="E119" s="10"/>
      <c r="F119" s="8" t="str">
        <f>IF(OR(C119="",D119="",E119="",N119="",C119&lt;=0,D119&lt;=0,E119&lt;=N119),"",ROUNDDOWN((C119*D119)/(E119-N119)/100,0)*100)</f>
        <v/>
      </c>
      <c r="G119" s="8" t="str">
        <f ca="1"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COUNTIFS(持仓跟踪!$A$2:$A$497,"止损计划",持仓跟踪!$B$2:$B$497,A119,持仓跟踪!$AC$2:$AC$497,"计划有效")=0,"禁止开仓：请先填写止损计划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9" s="2"/>
      <c r="I119" s="15"/>
      <c r="J119" s="10"/>
      <c r="K119" s="5" t="str">
        <f>IF(A119="","",IFERROR(LOOKUP(2,1/((持仓跟踪!$B$2:$B$497=A119)*(持仓跟踪!$X$2:$X$497="执行卖出")*(持仓跟踪!$Y$2:$Y$497&lt;&gt;"")),持仓跟踪!$Y$2:$Y$497),""))</f>
        <v/>
      </c>
      <c r="L119" s="8" t="str">
        <f>IF(A119="","",IFERROR(LOOKUP(2,1/((持仓跟踪!$B$2:$B$497=A119)*(持仓跟踪!$X$2:$X$497="执行卖出")*(持仓跟踪!$Z$2:$Z$497&lt;&gt;"")),持仓跟踪!$Z$2:$Z$497),""))</f>
        <v/>
      </c>
      <c r="M119" s="23" t="str">
        <f>IF(A119="","",IFERROR(LOOKUP(2,1/((持仓跟踪!$B$2:$B$497=A119)*(持仓跟踪!$X$2:$X$497="执行卖出")*(持仓跟踪!$H$2:$H$497&lt;&gt;"")),持仓跟踪!$H$2:$H$497),""))</f>
        <v/>
      </c>
      <c r="N119" s="10"/>
      <c r="O119" s="10"/>
      <c r="P119" s="5" t="str">
        <f>IF(A119="","",IFERROR(LOOKUP(2,1/((持仓跟踪!$B$2:$B$497=A119)*(持仓跟踪!$X$2:$X$497="执行卖出")*(持仓跟踪!$AA$2:$AA$497&lt;&gt;"")),持仓跟踪!$AA$2:$AA$497),""))</f>
        <v/>
      </c>
      <c r="Q119" s="2"/>
      <c r="R119" s="2"/>
      <c r="S119" s="2"/>
      <c r="T119" s="2"/>
      <c r="U119" s="7" t="str">
        <f>IF(OR(AO119="",J119="",AO119&lt;=0),"",(J119-AO119)/AO119)</f>
        <v/>
      </c>
      <c r="V119" s="7" t="str">
        <f>IF(OR(AO119="",N119="",AO119&lt;=0),"",(AO119-N119)/AO119)</f>
        <v/>
      </c>
      <c r="W119" s="24" t="str">
        <f>IF(OR(U119="",V119="",V119&lt;=0),"",U119/V119)</f>
        <v/>
      </c>
      <c r="X119" s="5" t="str">
        <f>IF(OR(K119="",L119="",AP119=""),"",K119*L119-(E119*H119+IF(AND(AK119&lt;&gt;"",AL119&lt;&gt;""),AK119*AL119,0)+IF(AND(AM119&lt;&gt;"",AN119&lt;&gt;""),AM119*AN119,0))-IF(O119="",0,O119)-IF(P119="",0,P119))</f>
        <v/>
      </c>
      <c r="Y119" s="7" t="str">
        <f>IF(OR(X119="",AP119=""),"",IF((E119*H119+IF(AND(AK119&lt;&gt;"",AL119&lt;&gt;""),AK119*AL119,0)+IF(AND(AM119&lt;&gt;"",AN119&lt;&gt;""),AM119*AN119,0))+IF(O119="",0,O119)&lt;=0,"",X119/((E119*H119+IF(AND(AK119&lt;&gt;"",AL119&lt;&gt;""),AK119*AL119,0)+IF(AND(AM119&lt;&gt;"",AN119&lt;&gt;""),AM119*AN119,0))+IF(O119="",0,O119))))</f>
        <v/>
      </c>
      <c r="Z119" s="7" t="str">
        <f>IF(OR(AE119="",多次统计数据!$B$8=""),"",AE119-多次统计数据!$B$8)</f>
        <v/>
      </c>
      <c r="AA119" s="11" t="str">
        <f>IF(OR(I119="",M119="",M119&lt;I119),"",M119-I119)</f>
        <v/>
      </c>
      <c r="AB119" s="7" t="str">
        <f>IF(OR(A119="",多次统计数据!$B$8="",多次统计数据!$B$6&lt;=0,多次统计数据!$B$6&gt;=1),"",1-POWER(1+多次统计数据!$B$8,-多次统计数据!$B$6/(1-多次统计数据!$B$6)))</f>
        <v/>
      </c>
      <c r="AC119" s="8" t="str">
        <f>IF(OR(AB119="",多次统计数据!$B$9=""),"",IF(多次统计数据!$B$9&lt;AB119,"低于上限","达到或超过上限"))</f>
        <v/>
      </c>
      <c r="AD119" s="2"/>
      <c r="AE119" s="7" t="str">
        <f>IF(OR(X119="",C119="",C119&lt;=0),"",X119/C119)</f>
        <v/>
      </c>
      <c r="AG119" s="2"/>
      <c r="AH119" s="2"/>
      <c r="AI119" s="2"/>
      <c r="AJ119" s="8" t="str">
        <f>IF(OR(AG119="",AH119=""),"",IF(OR(AND(AG119="短期博反弹",OR(AH119="1～3个交易日",AH119="4～10个交易日")),AND(AG119="突破冲新高",OR(AH119="4～10个交易日",AH119="11～20个交易日")),AND(AG119="趋势波段",OR(AH119="11～20个交易日",AH119="21～60个交易日",AH119="60个交易日以上"))),"匹配","周期与交易预期不匹配，请重新确认"))</f>
        <v/>
      </c>
      <c r="AK119" s="10"/>
      <c r="AL119" s="12"/>
      <c r="AM119" s="10"/>
      <c r="AN119" s="12"/>
      <c r="AO119" s="5" t="str">
        <f>IF(OR(A119="",H119="",H119&lt;=0),"",(E119*H119+IF(AND(AK119&lt;&gt;"",AL119&lt;&gt;""),AK119*AL119,0)+IF(AND(AM119&lt;&gt;"",AN119&lt;&gt;""),AM119*AN119,0))/AP119)</f>
        <v/>
      </c>
      <c r="AP119" s="11" t="str">
        <f>IF(OR(A119="",H119="",H119&lt;=0),"",H119+IF(AL119="",0,AL119)+IF(AN119="",0,AN119))</f>
        <v/>
      </c>
      <c r="AQ119" s="5" t="str">
        <f>IF(A119="","",IF(M119&lt;&gt;"",0,IF(OR(H119="",N119=""),"",MAX(E119-MAX(N119,IFERROR(SUMPRODUCT(MAX(((持仓跟踪!$A$2:$A$497="每日跟踪")*(持仓跟踪!$B$2:$B$497=A119))*持仓跟踪!$S$2:$S$497)),0)),0)*H119+IF(OR(AK119="",AL119=""),0,MAX(AK119-MAX(N119,IFERROR(SUMPRODUCT(MAX(((持仓跟踪!$A$2:$A$497="每日跟踪")*(持仓跟踪!$B$2:$B$497=A119))*持仓跟踪!$S$2:$S$497)),0)),0)*AL119)+IF(OR(AM119="",AN119=""),0,MAX(AM119-MAX(N119,IFERROR(SUMPRODUCT(MAX(((持仓跟踪!$A$2:$A$497="每日跟踪")*(持仓跟踪!$B$2:$B$497=A119))*持仓跟踪!$S$2:$S$497)),0)),0)*AN119))))</f>
        <v/>
      </c>
      <c r="AR119" s="8" t="str">
        <f ca="1">IF(A119="","",IF(OR(E119="",H119=""),"违规：第一批价格或股数缺失",IF(OR(AND(AK119="",AL119&lt;&gt;""),AND(AK119&lt;&gt;"",AL119="")),"违规：第二批价格与股数须成对填写",IF(OR(AND(AM119="",AN119&lt;&gt;""),AND(AM119&lt;&gt;"",AN119="")),"违规：第三批价格与股数须成对填写",IF(AND(OR(AM119&lt;&gt;"",AN119&lt;&gt;""),OR(AK119="",AL119="")),"违规：必须先完成第二批",IF(OR(H119&lt;=0,H119&lt;&gt;INT(H119),MOD(H119,100)&lt;&gt;0,AND(AL119&lt;&gt;"",OR(AL119&lt;=0,AL119&lt;&gt;INT(AL119),MOD(AL119,100)&lt;&gt;0)),AND(AN119&lt;&gt;"",OR(AN119&lt;=0,AN119&lt;&gt;INT(AN119),MOD(AN119,100)&lt;&gt;0))),"违规：股数须为100股整数倍",IF(AND(OR(AL119&lt;&gt;"",AN119&lt;&gt;""),OR(_LockStatus="已锁仓",_LockStatus="解锁信息不完整")),"违规：锁仓期间禁止加仓",IF(AQ119&gt;C119*D119,"违规：超过单笔风险上限",IF(SUM($AQ$2:$AQ$163)&gt;账户数据!$B$7,"违规：超过账户风险上限","通过")))))))))</f>
        <v/>
      </c>
    </row>
    <row r="120" ht="17" spans="1:44">
      <c r="A120" s="2"/>
      <c r="B120" s="2"/>
      <c r="C120" s="10"/>
      <c r="D120" s="6"/>
      <c r="E120" s="10"/>
      <c r="F120" s="8" t="str">
        <f>IF(OR(C120="",D120="",E120="",N120="",C120&lt;=0,D120&lt;=0,E120&lt;=N120),"",ROUNDDOWN((C120*D120)/(E120-N120)/100,0)*100)</f>
        <v/>
      </c>
      <c r="G120" s="8" t="str">
        <f ca="1"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COUNTIFS(持仓跟踪!$A$2:$A$497,"止损计划",持仓跟踪!$B$2:$B$497,A120,持仓跟踪!$AC$2:$AC$497,"计划有效")=0,"禁止开仓：请先填写止损计划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0" s="2"/>
      <c r="I120" s="15"/>
      <c r="J120" s="10"/>
      <c r="K120" s="5" t="str">
        <f>IF(A120="","",IFERROR(LOOKUP(2,1/((持仓跟踪!$B$2:$B$497=A120)*(持仓跟踪!$X$2:$X$497="执行卖出")*(持仓跟踪!$Y$2:$Y$497&lt;&gt;"")),持仓跟踪!$Y$2:$Y$497),""))</f>
        <v/>
      </c>
      <c r="L120" s="8" t="str">
        <f>IF(A120="","",IFERROR(LOOKUP(2,1/((持仓跟踪!$B$2:$B$497=A120)*(持仓跟踪!$X$2:$X$497="执行卖出")*(持仓跟踪!$Z$2:$Z$497&lt;&gt;"")),持仓跟踪!$Z$2:$Z$497),""))</f>
        <v/>
      </c>
      <c r="M120" s="23" t="str">
        <f>IF(A120="","",IFERROR(LOOKUP(2,1/((持仓跟踪!$B$2:$B$497=A120)*(持仓跟踪!$X$2:$X$497="执行卖出")*(持仓跟踪!$H$2:$H$497&lt;&gt;"")),持仓跟踪!$H$2:$H$497),""))</f>
        <v/>
      </c>
      <c r="N120" s="10"/>
      <c r="O120" s="10"/>
      <c r="P120" s="5" t="str">
        <f>IF(A120="","",IFERROR(LOOKUP(2,1/((持仓跟踪!$B$2:$B$497=A120)*(持仓跟踪!$X$2:$X$497="执行卖出")*(持仓跟踪!$AA$2:$AA$497&lt;&gt;"")),持仓跟踪!$AA$2:$AA$497),""))</f>
        <v/>
      </c>
      <c r="Q120" s="2"/>
      <c r="R120" s="2"/>
      <c r="S120" s="2"/>
      <c r="T120" s="2"/>
      <c r="U120" s="7" t="str">
        <f>IF(OR(AO120="",J120="",AO120&lt;=0),"",(J120-AO120)/AO120)</f>
        <v/>
      </c>
      <c r="V120" s="7" t="str">
        <f>IF(OR(AO120="",N120="",AO120&lt;=0),"",(AO120-N120)/AO120)</f>
        <v/>
      </c>
      <c r="W120" s="24" t="str">
        <f>IF(OR(U120="",V120="",V120&lt;=0),"",U120/V120)</f>
        <v/>
      </c>
      <c r="X120" s="5" t="str">
        <f>IF(OR(K120="",L120="",AP120=""),"",K120*L120-(E120*H120+IF(AND(AK120&lt;&gt;"",AL120&lt;&gt;""),AK120*AL120,0)+IF(AND(AM120&lt;&gt;"",AN120&lt;&gt;""),AM120*AN120,0))-IF(O120="",0,O120)-IF(P120="",0,P120))</f>
        <v/>
      </c>
      <c r="Y120" s="7" t="str">
        <f>IF(OR(X120="",AP120=""),"",IF((E120*H120+IF(AND(AK120&lt;&gt;"",AL120&lt;&gt;""),AK120*AL120,0)+IF(AND(AM120&lt;&gt;"",AN120&lt;&gt;""),AM120*AN120,0))+IF(O120="",0,O120)&lt;=0,"",X120/((E120*H120+IF(AND(AK120&lt;&gt;"",AL120&lt;&gt;""),AK120*AL120,0)+IF(AND(AM120&lt;&gt;"",AN120&lt;&gt;""),AM120*AN120,0))+IF(O120="",0,O120))))</f>
        <v/>
      </c>
      <c r="Z120" s="7" t="str">
        <f>IF(OR(AE120="",多次统计数据!$B$8=""),"",AE120-多次统计数据!$B$8)</f>
        <v/>
      </c>
      <c r="AA120" s="11" t="str">
        <f>IF(OR(I120="",M120="",M120&lt;I120),"",M120-I120)</f>
        <v/>
      </c>
      <c r="AB120" s="7" t="str">
        <f>IF(OR(A120="",多次统计数据!$B$8="",多次统计数据!$B$6&lt;=0,多次统计数据!$B$6&gt;=1),"",1-POWER(1+多次统计数据!$B$8,-多次统计数据!$B$6/(1-多次统计数据!$B$6)))</f>
        <v/>
      </c>
      <c r="AC120" s="8" t="str">
        <f>IF(OR(AB120="",多次统计数据!$B$9=""),"",IF(多次统计数据!$B$9&lt;AB120,"低于上限","达到或超过上限"))</f>
        <v/>
      </c>
      <c r="AD120" s="2"/>
      <c r="AE120" s="7" t="str">
        <f>IF(OR(X120="",C120="",C120&lt;=0),"",X120/C120)</f>
        <v/>
      </c>
      <c r="AG120" s="2"/>
      <c r="AH120" s="2"/>
      <c r="AI120" s="2"/>
      <c r="AJ120" s="8" t="str">
        <f>IF(OR(AG120="",AH120=""),"",IF(OR(AND(AG120="短期博反弹",OR(AH120="1～3个交易日",AH120="4～10个交易日")),AND(AG120="突破冲新高",OR(AH120="4～10个交易日",AH120="11～20个交易日")),AND(AG120="趋势波段",OR(AH120="11～20个交易日",AH120="21～60个交易日",AH120="60个交易日以上"))),"匹配","周期与交易预期不匹配，请重新确认"))</f>
        <v/>
      </c>
      <c r="AK120" s="10"/>
      <c r="AL120" s="12"/>
      <c r="AM120" s="10"/>
      <c r="AN120" s="12"/>
      <c r="AO120" s="5" t="str">
        <f>IF(OR(A120="",H120="",H120&lt;=0),"",(E120*H120+IF(AND(AK120&lt;&gt;"",AL120&lt;&gt;""),AK120*AL120,0)+IF(AND(AM120&lt;&gt;"",AN120&lt;&gt;""),AM120*AN120,0))/AP120)</f>
        <v/>
      </c>
      <c r="AP120" s="11" t="str">
        <f>IF(OR(A120="",H120="",H120&lt;=0),"",H120+IF(AL120="",0,AL120)+IF(AN120="",0,AN120))</f>
        <v/>
      </c>
      <c r="AQ120" s="5" t="str">
        <f>IF(A120="","",IF(M120&lt;&gt;"",0,IF(OR(H120="",N120=""),"",MAX(E120-MAX(N120,IFERROR(SUMPRODUCT(MAX(((持仓跟踪!$A$2:$A$497="每日跟踪")*(持仓跟踪!$B$2:$B$497=A120))*持仓跟踪!$S$2:$S$497)),0)),0)*H120+IF(OR(AK120="",AL120=""),0,MAX(AK120-MAX(N120,IFERROR(SUMPRODUCT(MAX(((持仓跟踪!$A$2:$A$497="每日跟踪")*(持仓跟踪!$B$2:$B$497=A120))*持仓跟踪!$S$2:$S$497)),0)),0)*AL120)+IF(OR(AM120="",AN120=""),0,MAX(AM120-MAX(N120,IFERROR(SUMPRODUCT(MAX(((持仓跟踪!$A$2:$A$497="每日跟踪")*(持仓跟踪!$B$2:$B$497=A120))*持仓跟踪!$S$2:$S$497)),0)),0)*AN120))))</f>
        <v/>
      </c>
      <c r="AR120" s="8" t="str">
        <f ca="1">IF(A120="","",IF(OR(E120="",H120=""),"违规：第一批价格或股数缺失",IF(OR(AND(AK120="",AL120&lt;&gt;""),AND(AK120&lt;&gt;"",AL120="")),"违规：第二批价格与股数须成对填写",IF(OR(AND(AM120="",AN120&lt;&gt;""),AND(AM120&lt;&gt;"",AN120="")),"违规：第三批价格与股数须成对填写",IF(AND(OR(AM120&lt;&gt;"",AN120&lt;&gt;""),OR(AK120="",AL120="")),"违规：必须先完成第二批",IF(OR(H120&lt;=0,H120&lt;&gt;INT(H120),MOD(H120,100)&lt;&gt;0,AND(AL120&lt;&gt;"",OR(AL120&lt;=0,AL120&lt;&gt;INT(AL120),MOD(AL120,100)&lt;&gt;0)),AND(AN120&lt;&gt;"",OR(AN120&lt;=0,AN120&lt;&gt;INT(AN120),MOD(AN120,100)&lt;&gt;0))),"违规：股数须为100股整数倍",IF(AND(OR(AL120&lt;&gt;"",AN120&lt;&gt;""),OR(_LockStatus="已锁仓",_LockStatus="解锁信息不完整")),"违规：锁仓期间禁止加仓",IF(AQ120&gt;C120*D120,"违规：超过单笔风险上限",IF(SUM($AQ$2:$AQ$163)&gt;账户数据!$B$7,"违规：超过账户风险上限","通过")))))))))</f>
        <v/>
      </c>
    </row>
    <row r="121" ht="17" spans="1:44">
      <c r="A121" s="2"/>
      <c r="B121" s="2"/>
      <c r="C121" s="10"/>
      <c r="D121" s="6"/>
      <c r="E121" s="10"/>
      <c r="F121" s="8" t="str">
        <f>IF(OR(C121="",D121="",E121="",N121="",C121&lt;=0,D121&lt;=0,E121&lt;=N121),"",ROUNDDOWN((C121*D121)/(E121-N121)/100,0)*100)</f>
        <v/>
      </c>
      <c r="G121" s="8" t="str">
        <f ca="1"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COUNTIFS(持仓跟踪!$A$2:$A$497,"止损计划",持仓跟踪!$B$2:$B$497,A121,持仓跟踪!$AC$2:$AC$497,"计划有效")=0,"禁止开仓：请先填写止损计划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1" s="2"/>
      <c r="I121" s="15"/>
      <c r="J121" s="10"/>
      <c r="K121" s="5" t="str">
        <f>IF(A121="","",IFERROR(LOOKUP(2,1/((持仓跟踪!$B$2:$B$497=A121)*(持仓跟踪!$X$2:$X$497="执行卖出")*(持仓跟踪!$Y$2:$Y$497&lt;&gt;"")),持仓跟踪!$Y$2:$Y$497),""))</f>
        <v/>
      </c>
      <c r="L121" s="8" t="str">
        <f>IF(A121="","",IFERROR(LOOKUP(2,1/((持仓跟踪!$B$2:$B$497=A121)*(持仓跟踪!$X$2:$X$497="执行卖出")*(持仓跟踪!$Z$2:$Z$497&lt;&gt;"")),持仓跟踪!$Z$2:$Z$497),""))</f>
        <v/>
      </c>
      <c r="M121" s="23" t="str">
        <f>IF(A121="","",IFERROR(LOOKUP(2,1/((持仓跟踪!$B$2:$B$497=A121)*(持仓跟踪!$X$2:$X$497="执行卖出")*(持仓跟踪!$H$2:$H$497&lt;&gt;"")),持仓跟踪!$H$2:$H$497),""))</f>
        <v/>
      </c>
      <c r="N121" s="10"/>
      <c r="O121" s="10"/>
      <c r="P121" s="5" t="str">
        <f>IF(A121="","",IFERROR(LOOKUP(2,1/((持仓跟踪!$B$2:$B$497=A121)*(持仓跟踪!$X$2:$X$497="执行卖出")*(持仓跟踪!$AA$2:$AA$497&lt;&gt;"")),持仓跟踪!$AA$2:$AA$497),""))</f>
        <v/>
      </c>
      <c r="Q121" s="2"/>
      <c r="R121" s="2"/>
      <c r="S121" s="2"/>
      <c r="T121" s="2"/>
      <c r="U121" s="7" t="str">
        <f>IF(OR(AO121="",J121="",AO121&lt;=0),"",(J121-AO121)/AO121)</f>
        <v/>
      </c>
      <c r="V121" s="7" t="str">
        <f>IF(OR(AO121="",N121="",AO121&lt;=0),"",(AO121-N121)/AO121)</f>
        <v/>
      </c>
      <c r="W121" s="24" t="str">
        <f>IF(OR(U121="",V121="",V121&lt;=0),"",U121/V121)</f>
        <v/>
      </c>
      <c r="X121" s="5" t="str">
        <f>IF(OR(K121="",L121="",AP121=""),"",K121*L121-(E121*H121+IF(AND(AK121&lt;&gt;"",AL121&lt;&gt;""),AK121*AL121,0)+IF(AND(AM121&lt;&gt;"",AN121&lt;&gt;""),AM121*AN121,0))-IF(O121="",0,O121)-IF(P121="",0,P121))</f>
        <v/>
      </c>
      <c r="Y121" s="7" t="str">
        <f>IF(OR(X121="",AP121=""),"",IF((E121*H121+IF(AND(AK121&lt;&gt;"",AL121&lt;&gt;""),AK121*AL121,0)+IF(AND(AM121&lt;&gt;"",AN121&lt;&gt;""),AM121*AN121,0))+IF(O121="",0,O121)&lt;=0,"",X121/((E121*H121+IF(AND(AK121&lt;&gt;"",AL121&lt;&gt;""),AK121*AL121,0)+IF(AND(AM121&lt;&gt;"",AN121&lt;&gt;""),AM121*AN121,0))+IF(O121="",0,O121))))</f>
        <v/>
      </c>
      <c r="Z121" s="7" t="str">
        <f>IF(OR(AE121="",多次统计数据!$B$8=""),"",AE121-多次统计数据!$B$8)</f>
        <v/>
      </c>
      <c r="AA121" s="11" t="str">
        <f>IF(OR(I121="",M121="",M121&lt;I121),"",M121-I121)</f>
        <v/>
      </c>
      <c r="AB121" s="7" t="str">
        <f>IF(OR(A121="",多次统计数据!$B$8="",多次统计数据!$B$6&lt;=0,多次统计数据!$B$6&gt;=1),"",1-POWER(1+多次统计数据!$B$8,-多次统计数据!$B$6/(1-多次统计数据!$B$6)))</f>
        <v/>
      </c>
      <c r="AC121" s="8" t="str">
        <f>IF(OR(AB121="",多次统计数据!$B$9=""),"",IF(多次统计数据!$B$9&lt;AB121,"低于上限","达到或超过上限"))</f>
        <v/>
      </c>
      <c r="AD121" s="2"/>
      <c r="AE121" s="7" t="str">
        <f>IF(OR(X121="",C121="",C121&lt;=0),"",X121/C121)</f>
        <v/>
      </c>
      <c r="AG121" s="2"/>
      <c r="AH121" s="2"/>
      <c r="AI121" s="2"/>
      <c r="AJ121" s="8" t="str">
        <f>IF(OR(AG121="",AH121=""),"",IF(OR(AND(AG121="短期博反弹",OR(AH121="1～3个交易日",AH121="4～10个交易日")),AND(AG121="突破冲新高",OR(AH121="4～10个交易日",AH121="11～20个交易日")),AND(AG121="趋势波段",OR(AH121="11～20个交易日",AH121="21～60个交易日",AH121="60个交易日以上"))),"匹配","周期与交易预期不匹配，请重新确认"))</f>
        <v/>
      </c>
      <c r="AK121" s="10"/>
      <c r="AL121" s="12"/>
      <c r="AM121" s="10"/>
      <c r="AN121" s="12"/>
      <c r="AO121" s="5" t="str">
        <f>IF(OR(A121="",H121="",H121&lt;=0),"",(E121*H121+IF(AND(AK121&lt;&gt;"",AL121&lt;&gt;""),AK121*AL121,0)+IF(AND(AM121&lt;&gt;"",AN121&lt;&gt;""),AM121*AN121,0))/AP121)</f>
        <v/>
      </c>
      <c r="AP121" s="11" t="str">
        <f>IF(OR(A121="",H121="",H121&lt;=0),"",H121+IF(AL121="",0,AL121)+IF(AN121="",0,AN121))</f>
        <v/>
      </c>
      <c r="AQ121" s="5" t="str">
        <f>IF(A121="","",IF(M121&lt;&gt;"",0,IF(OR(H121="",N121=""),"",MAX(E121-MAX(N121,IFERROR(SUMPRODUCT(MAX(((持仓跟踪!$A$2:$A$497="每日跟踪")*(持仓跟踪!$B$2:$B$497=A121))*持仓跟踪!$S$2:$S$497)),0)),0)*H121+IF(OR(AK121="",AL121=""),0,MAX(AK121-MAX(N121,IFERROR(SUMPRODUCT(MAX(((持仓跟踪!$A$2:$A$497="每日跟踪")*(持仓跟踪!$B$2:$B$497=A121))*持仓跟踪!$S$2:$S$497)),0)),0)*AL121)+IF(OR(AM121="",AN121=""),0,MAX(AM121-MAX(N121,IFERROR(SUMPRODUCT(MAX(((持仓跟踪!$A$2:$A$497="每日跟踪")*(持仓跟踪!$B$2:$B$497=A121))*持仓跟踪!$S$2:$S$497)),0)),0)*AN121))))</f>
        <v/>
      </c>
      <c r="AR121" s="8" t="str">
        <f ca="1">IF(A121="","",IF(OR(E121="",H121=""),"违规：第一批价格或股数缺失",IF(OR(AND(AK121="",AL121&lt;&gt;""),AND(AK121&lt;&gt;"",AL121="")),"违规：第二批价格与股数须成对填写",IF(OR(AND(AM121="",AN121&lt;&gt;""),AND(AM121&lt;&gt;"",AN121="")),"违规：第三批价格与股数须成对填写",IF(AND(OR(AM121&lt;&gt;"",AN121&lt;&gt;""),OR(AK121="",AL121="")),"违规：必须先完成第二批",IF(OR(H121&lt;=0,H121&lt;&gt;INT(H121),MOD(H121,100)&lt;&gt;0,AND(AL121&lt;&gt;"",OR(AL121&lt;=0,AL121&lt;&gt;INT(AL121),MOD(AL121,100)&lt;&gt;0)),AND(AN121&lt;&gt;"",OR(AN121&lt;=0,AN121&lt;&gt;INT(AN121),MOD(AN121,100)&lt;&gt;0))),"违规：股数须为100股整数倍",IF(AND(OR(AL121&lt;&gt;"",AN121&lt;&gt;""),OR(_LockStatus="已锁仓",_LockStatus="解锁信息不完整")),"违规：锁仓期间禁止加仓",IF(AQ121&gt;C121*D121,"违规：超过单笔风险上限",IF(SUM($AQ$2:$AQ$163)&gt;账户数据!$B$7,"违规：超过账户风险上限","通过")))))))))</f>
        <v/>
      </c>
    </row>
    <row r="122" ht="17" spans="1:44">
      <c r="A122" s="2"/>
      <c r="B122" s="2"/>
      <c r="C122" s="10"/>
      <c r="D122" s="6"/>
      <c r="E122" s="10"/>
      <c r="F122" s="8" t="str">
        <f>IF(OR(C122="",D122="",E122="",N122="",C122&lt;=0,D122&lt;=0,E122&lt;=N122),"",ROUNDDOWN((C122*D122)/(E122-N122)/100,0)*100)</f>
        <v/>
      </c>
      <c r="G122" s="8" t="str">
        <f ca="1"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COUNTIFS(持仓跟踪!$A$2:$A$497,"止损计划",持仓跟踪!$B$2:$B$497,A122,持仓跟踪!$AC$2:$AC$497,"计划有效")=0,"禁止开仓：请先填写止损计划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2" s="2"/>
      <c r="I122" s="15"/>
      <c r="J122" s="10"/>
      <c r="K122" s="5" t="str">
        <f>IF(A122="","",IFERROR(LOOKUP(2,1/((持仓跟踪!$B$2:$B$497=A122)*(持仓跟踪!$X$2:$X$497="执行卖出")*(持仓跟踪!$Y$2:$Y$497&lt;&gt;"")),持仓跟踪!$Y$2:$Y$497),""))</f>
        <v/>
      </c>
      <c r="L122" s="8" t="str">
        <f>IF(A122="","",IFERROR(LOOKUP(2,1/((持仓跟踪!$B$2:$B$497=A122)*(持仓跟踪!$X$2:$X$497="执行卖出")*(持仓跟踪!$Z$2:$Z$497&lt;&gt;"")),持仓跟踪!$Z$2:$Z$497),""))</f>
        <v/>
      </c>
      <c r="M122" s="23" t="str">
        <f>IF(A122="","",IFERROR(LOOKUP(2,1/((持仓跟踪!$B$2:$B$497=A122)*(持仓跟踪!$X$2:$X$497="执行卖出")*(持仓跟踪!$H$2:$H$497&lt;&gt;"")),持仓跟踪!$H$2:$H$497),""))</f>
        <v/>
      </c>
      <c r="N122" s="10"/>
      <c r="O122" s="10"/>
      <c r="P122" s="5" t="str">
        <f>IF(A122="","",IFERROR(LOOKUP(2,1/((持仓跟踪!$B$2:$B$497=A122)*(持仓跟踪!$X$2:$X$497="执行卖出")*(持仓跟踪!$AA$2:$AA$497&lt;&gt;"")),持仓跟踪!$AA$2:$AA$497),""))</f>
        <v/>
      </c>
      <c r="Q122" s="2"/>
      <c r="R122" s="2"/>
      <c r="S122" s="2"/>
      <c r="T122" s="2"/>
      <c r="U122" s="7" t="str">
        <f>IF(OR(AO122="",J122="",AO122&lt;=0),"",(J122-AO122)/AO122)</f>
        <v/>
      </c>
      <c r="V122" s="7" t="str">
        <f>IF(OR(AO122="",N122="",AO122&lt;=0),"",(AO122-N122)/AO122)</f>
        <v/>
      </c>
      <c r="W122" s="24" t="str">
        <f>IF(OR(U122="",V122="",V122&lt;=0),"",U122/V122)</f>
        <v/>
      </c>
      <c r="X122" s="5" t="str">
        <f>IF(OR(K122="",L122="",AP122=""),"",K122*L122-(E122*H122+IF(AND(AK122&lt;&gt;"",AL122&lt;&gt;""),AK122*AL122,0)+IF(AND(AM122&lt;&gt;"",AN122&lt;&gt;""),AM122*AN122,0))-IF(O122="",0,O122)-IF(P122="",0,P122))</f>
        <v/>
      </c>
      <c r="Y122" s="7" t="str">
        <f>IF(OR(X122="",AP122=""),"",IF((E122*H122+IF(AND(AK122&lt;&gt;"",AL122&lt;&gt;""),AK122*AL122,0)+IF(AND(AM122&lt;&gt;"",AN122&lt;&gt;""),AM122*AN122,0))+IF(O122="",0,O122)&lt;=0,"",X122/((E122*H122+IF(AND(AK122&lt;&gt;"",AL122&lt;&gt;""),AK122*AL122,0)+IF(AND(AM122&lt;&gt;"",AN122&lt;&gt;""),AM122*AN122,0))+IF(O122="",0,O122))))</f>
        <v/>
      </c>
      <c r="Z122" s="7" t="str">
        <f>IF(OR(AE122="",多次统计数据!$B$8=""),"",AE122-多次统计数据!$B$8)</f>
        <v/>
      </c>
      <c r="AA122" s="11" t="str">
        <f>IF(OR(I122="",M122="",M122&lt;I122),"",M122-I122)</f>
        <v/>
      </c>
      <c r="AB122" s="7" t="str">
        <f>IF(OR(A122="",多次统计数据!$B$8="",多次统计数据!$B$6&lt;=0,多次统计数据!$B$6&gt;=1),"",1-POWER(1+多次统计数据!$B$8,-多次统计数据!$B$6/(1-多次统计数据!$B$6)))</f>
        <v/>
      </c>
      <c r="AC122" s="8" t="str">
        <f>IF(OR(AB122="",多次统计数据!$B$9=""),"",IF(多次统计数据!$B$9&lt;AB122,"低于上限","达到或超过上限"))</f>
        <v/>
      </c>
      <c r="AD122" s="2"/>
      <c r="AE122" s="7" t="str">
        <f>IF(OR(X122="",C122="",C122&lt;=0),"",X122/C122)</f>
        <v/>
      </c>
      <c r="AG122" s="2"/>
      <c r="AH122" s="2"/>
      <c r="AI122" s="2"/>
      <c r="AJ122" s="8" t="str">
        <f>IF(OR(AG122="",AH122=""),"",IF(OR(AND(AG122="短期博反弹",OR(AH122="1～3个交易日",AH122="4～10个交易日")),AND(AG122="突破冲新高",OR(AH122="4～10个交易日",AH122="11～20个交易日")),AND(AG122="趋势波段",OR(AH122="11～20个交易日",AH122="21～60个交易日",AH122="60个交易日以上"))),"匹配","周期与交易预期不匹配，请重新确认"))</f>
        <v/>
      </c>
      <c r="AK122" s="10"/>
      <c r="AL122" s="12"/>
      <c r="AM122" s="10"/>
      <c r="AN122" s="12"/>
      <c r="AO122" s="5" t="str">
        <f>IF(OR(A122="",H122="",H122&lt;=0),"",(E122*H122+IF(AND(AK122&lt;&gt;"",AL122&lt;&gt;""),AK122*AL122,0)+IF(AND(AM122&lt;&gt;"",AN122&lt;&gt;""),AM122*AN122,0))/AP122)</f>
        <v/>
      </c>
      <c r="AP122" s="11" t="str">
        <f>IF(OR(A122="",H122="",H122&lt;=0),"",H122+IF(AL122="",0,AL122)+IF(AN122="",0,AN122))</f>
        <v/>
      </c>
      <c r="AQ122" s="5" t="str">
        <f>IF(A122="","",IF(M122&lt;&gt;"",0,IF(OR(H122="",N122=""),"",MAX(E122-MAX(N122,IFERROR(SUMPRODUCT(MAX(((持仓跟踪!$A$2:$A$497="每日跟踪")*(持仓跟踪!$B$2:$B$497=A122))*持仓跟踪!$S$2:$S$497)),0)),0)*H122+IF(OR(AK122="",AL122=""),0,MAX(AK122-MAX(N122,IFERROR(SUMPRODUCT(MAX(((持仓跟踪!$A$2:$A$497="每日跟踪")*(持仓跟踪!$B$2:$B$497=A122))*持仓跟踪!$S$2:$S$497)),0)),0)*AL122)+IF(OR(AM122="",AN122=""),0,MAX(AM122-MAX(N122,IFERROR(SUMPRODUCT(MAX(((持仓跟踪!$A$2:$A$497="每日跟踪")*(持仓跟踪!$B$2:$B$497=A122))*持仓跟踪!$S$2:$S$497)),0)),0)*AN122))))</f>
        <v/>
      </c>
      <c r="AR122" s="8" t="str">
        <f ca="1">IF(A122="","",IF(OR(E122="",H122=""),"违规：第一批价格或股数缺失",IF(OR(AND(AK122="",AL122&lt;&gt;""),AND(AK122&lt;&gt;"",AL122="")),"违规：第二批价格与股数须成对填写",IF(OR(AND(AM122="",AN122&lt;&gt;""),AND(AM122&lt;&gt;"",AN122="")),"违规：第三批价格与股数须成对填写",IF(AND(OR(AM122&lt;&gt;"",AN122&lt;&gt;""),OR(AK122="",AL122="")),"违规：必须先完成第二批",IF(OR(H122&lt;=0,H122&lt;&gt;INT(H122),MOD(H122,100)&lt;&gt;0,AND(AL122&lt;&gt;"",OR(AL122&lt;=0,AL122&lt;&gt;INT(AL122),MOD(AL122,100)&lt;&gt;0)),AND(AN122&lt;&gt;"",OR(AN122&lt;=0,AN122&lt;&gt;INT(AN122),MOD(AN122,100)&lt;&gt;0))),"违规：股数须为100股整数倍",IF(AND(OR(AL122&lt;&gt;"",AN122&lt;&gt;""),OR(_LockStatus="已锁仓",_LockStatus="解锁信息不完整")),"违规：锁仓期间禁止加仓",IF(AQ122&gt;C122*D122,"违规：超过单笔风险上限",IF(SUM($AQ$2:$AQ$163)&gt;账户数据!$B$7,"违规：超过账户风险上限","通过")))))))))</f>
        <v/>
      </c>
    </row>
    <row r="123" ht="17" spans="1:44">
      <c r="A123" s="2"/>
      <c r="B123" s="2"/>
      <c r="C123" s="10"/>
      <c r="D123" s="6"/>
      <c r="E123" s="10"/>
      <c r="F123" s="8" t="str">
        <f>IF(OR(C123="",D123="",E123="",N123="",C123&lt;=0,D123&lt;=0,E123&lt;=N123),"",ROUNDDOWN((C123*D123)/(E123-N123)/100,0)*100)</f>
        <v/>
      </c>
      <c r="G123" s="8" t="str">
        <f ca="1"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COUNTIFS(持仓跟踪!$A$2:$A$497,"止损计划",持仓跟踪!$B$2:$B$497,A123,持仓跟踪!$AC$2:$AC$497,"计划有效")=0,"禁止开仓：请先填写止损计划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3" s="2"/>
      <c r="I123" s="15"/>
      <c r="J123" s="10"/>
      <c r="K123" s="5" t="str">
        <f>IF(A123="","",IFERROR(LOOKUP(2,1/((持仓跟踪!$B$2:$B$497=A123)*(持仓跟踪!$X$2:$X$497="执行卖出")*(持仓跟踪!$Y$2:$Y$497&lt;&gt;"")),持仓跟踪!$Y$2:$Y$497),""))</f>
        <v/>
      </c>
      <c r="L123" s="8" t="str">
        <f>IF(A123="","",IFERROR(LOOKUP(2,1/((持仓跟踪!$B$2:$B$497=A123)*(持仓跟踪!$X$2:$X$497="执行卖出")*(持仓跟踪!$Z$2:$Z$497&lt;&gt;"")),持仓跟踪!$Z$2:$Z$497),""))</f>
        <v/>
      </c>
      <c r="M123" s="23" t="str">
        <f>IF(A123="","",IFERROR(LOOKUP(2,1/((持仓跟踪!$B$2:$B$497=A123)*(持仓跟踪!$X$2:$X$497="执行卖出")*(持仓跟踪!$H$2:$H$497&lt;&gt;"")),持仓跟踪!$H$2:$H$497),""))</f>
        <v/>
      </c>
      <c r="N123" s="10"/>
      <c r="O123" s="10"/>
      <c r="P123" s="5" t="str">
        <f>IF(A123="","",IFERROR(LOOKUP(2,1/((持仓跟踪!$B$2:$B$497=A123)*(持仓跟踪!$X$2:$X$497="执行卖出")*(持仓跟踪!$AA$2:$AA$497&lt;&gt;"")),持仓跟踪!$AA$2:$AA$497),""))</f>
        <v/>
      </c>
      <c r="Q123" s="2"/>
      <c r="R123" s="2"/>
      <c r="S123" s="2"/>
      <c r="T123" s="2"/>
      <c r="U123" s="7" t="str">
        <f>IF(OR(AO123="",J123="",AO123&lt;=0),"",(J123-AO123)/AO123)</f>
        <v/>
      </c>
      <c r="V123" s="7" t="str">
        <f>IF(OR(AO123="",N123="",AO123&lt;=0),"",(AO123-N123)/AO123)</f>
        <v/>
      </c>
      <c r="W123" s="24" t="str">
        <f>IF(OR(U123="",V123="",V123&lt;=0),"",U123/V123)</f>
        <v/>
      </c>
      <c r="X123" s="5" t="str">
        <f>IF(OR(K123="",L123="",AP123=""),"",K123*L123-(E123*H123+IF(AND(AK123&lt;&gt;"",AL123&lt;&gt;""),AK123*AL123,0)+IF(AND(AM123&lt;&gt;"",AN123&lt;&gt;""),AM123*AN123,0))-IF(O123="",0,O123)-IF(P123="",0,P123))</f>
        <v/>
      </c>
      <c r="Y123" s="7" t="str">
        <f>IF(OR(X123="",AP123=""),"",IF((E123*H123+IF(AND(AK123&lt;&gt;"",AL123&lt;&gt;""),AK123*AL123,0)+IF(AND(AM123&lt;&gt;"",AN123&lt;&gt;""),AM123*AN123,0))+IF(O123="",0,O123)&lt;=0,"",X123/((E123*H123+IF(AND(AK123&lt;&gt;"",AL123&lt;&gt;""),AK123*AL123,0)+IF(AND(AM123&lt;&gt;"",AN123&lt;&gt;""),AM123*AN123,0))+IF(O123="",0,O123))))</f>
        <v/>
      </c>
      <c r="Z123" s="7" t="str">
        <f>IF(OR(AE123="",多次统计数据!$B$8=""),"",AE123-多次统计数据!$B$8)</f>
        <v/>
      </c>
      <c r="AA123" s="11" t="str">
        <f>IF(OR(I123="",M123="",M123&lt;I123),"",M123-I123)</f>
        <v/>
      </c>
      <c r="AB123" s="7" t="str">
        <f>IF(OR(A123="",多次统计数据!$B$8="",多次统计数据!$B$6&lt;=0,多次统计数据!$B$6&gt;=1),"",1-POWER(1+多次统计数据!$B$8,-多次统计数据!$B$6/(1-多次统计数据!$B$6)))</f>
        <v/>
      </c>
      <c r="AC123" s="8" t="str">
        <f>IF(OR(AB123="",多次统计数据!$B$9=""),"",IF(多次统计数据!$B$9&lt;AB123,"低于上限","达到或超过上限"))</f>
        <v/>
      </c>
      <c r="AD123" s="2"/>
      <c r="AE123" s="7" t="str">
        <f>IF(OR(X123="",C123="",C123&lt;=0),"",X123/C123)</f>
        <v/>
      </c>
      <c r="AG123" s="2"/>
      <c r="AH123" s="2"/>
      <c r="AI123" s="2"/>
      <c r="AJ123" s="8" t="str">
        <f>IF(OR(AG123="",AH123=""),"",IF(OR(AND(AG123="短期博反弹",OR(AH123="1～3个交易日",AH123="4～10个交易日")),AND(AG123="突破冲新高",OR(AH123="4～10个交易日",AH123="11～20个交易日")),AND(AG123="趋势波段",OR(AH123="11～20个交易日",AH123="21～60个交易日",AH123="60个交易日以上"))),"匹配","周期与交易预期不匹配，请重新确认"))</f>
        <v/>
      </c>
      <c r="AK123" s="10"/>
      <c r="AL123" s="12"/>
      <c r="AM123" s="10"/>
      <c r="AN123" s="12"/>
      <c r="AO123" s="5" t="str">
        <f>IF(OR(A123="",H123="",H123&lt;=0),"",(E123*H123+IF(AND(AK123&lt;&gt;"",AL123&lt;&gt;""),AK123*AL123,0)+IF(AND(AM123&lt;&gt;"",AN123&lt;&gt;""),AM123*AN123,0))/AP123)</f>
        <v/>
      </c>
      <c r="AP123" s="11" t="str">
        <f>IF(OR(A123="",H123="",H123&lt;=0),"",H123+IF(AL123="",0,AL123)+IF(AN123="",0,AN123))</f>
        <v/>
      </c>
      <c r="AQ123" s="5" t="str">
        <f>IF(A123="","",IF(M123&lt;&gt;"",0,IF(OR(H123="",N123=""),"",MAX(E123-MAX(N123,IFERROR(SUMPRODUCT(MAX(((持仓跟踪!$A$2:$A$497="每日跟踪")*(持仓跟踪!$B$2:$B$497=A123))*持仓跟踪!$S$2:$S$497)),0)),0)*H123+IF(OR(AK123="",AL123=""),0,MAX(AK123-MAX(N123,IFERROR(SUMPRODUCT(MAX(((持仓跟踪!$A$2:$A$497="每日跟踪")*(持仓跟踪!$B$2:$B$497=A123))*持仓跟踪!$S$2:$S$497)),0)),0)*AL123)+IF(OR(AM123="",AN123=""),0,MAX(AM123-MAX(N123,IFERROR(SUMPRODUCT(MAX(((持仓跟踪!$A$2:$A$497="每日跟踪")*(持仓跟踪!$B$2:$B$497=A123))*持仓跟踪!$S$2:$S$497)),0)),0)*AN123))))</f>
        <v/>
      </c>
      <c r="AR123" s="8" t="str">
        <f ca="1">IF(A123="","",IF(OR(E123="",H123=""),"违规：第一批价格或股数缺失",IF(OR(AND(AK123="",AL123&lt;&gt;""),AND(AK123&lt;&gt;"",AL123="")),"违规：第二批价格与股数须成对填写",IF(OR(AND(AM123="",AN123&lt;&gt;""),AND(AM123&lt;&gt;"",AN123="")),"违规：第三批价格与股数须成对填写",IF(AND(OR(AM123&lt;&gt;"",AN123&lt;&gt;""),OR(AK123="",AL123="")),"违规：必须先完成第二批",IF(OR(H123&lt;=0,H123&lt;&gt;INT(H123),MOD(H123,100)&lt;&gt;0,AND(AL123&lt;&gt;"",OR(AL123&lt;=0,AL123&lt;&gt;INT(AL123),MOD(AL123,100)&lt;&gt;0)),AND(AN123&lt;&gt;"",OR(AN123&lt;=0,AN123&lt;&gt;INT(AN123),MOD(AN123,100)&lt;&gt;0))),"违规：股数须为100股整数倍",IF(AND(OR(AL123&lt;&gt;"",AN123&lt;&gt;""),OR(_LockStatus="已锁仓",_LockStatus="解锁信息不完整")),"违规：锁仓期间禁止加仓",IF(AQ123&gt;C123*D123,"违规：超过单笔风险上限",IF(SUM($AQ$2:$AQ$163)&gt;账户数据!$B$7,"违规：超过账户风险上限","通过")))))))))</f>
        <v/>
      </c>
    </row>
    <row r="124" ht="17" spans="1:44">
      <c r="A124" s="2"/>
      <c r="B124" s="2"/>
      <c r="C124" s="10"/>
      <c r="D124" s="6"/>
      <c r="E124" s="10"/>
      <c r="F124" s="8" t="str">
        <f>IF(OR(C124="",D124="",E124="",N124="",C124&lt;=0,D124&lt;=0,E124&lt;=N124),"",ROUNDDOWN((C124*D124)/(E124-N124)/100,0)*100)</f>
        <v/>
      </c>
      <c r="G124" s="8" t="str">
        <f ca="1"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COUNTIFS(持仓跟踪!$A$2:$A$497,"止损计划",持仓跟踪!$B$2:$B$497,A124,持仓跟踪!$AC$2:$AC$497,"计划有效")=0,"禁止开仓：请先填写止损计划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4" s="2"/>
      <c r="I124" s="15"/>
      <c r="J124" s="10"/>
      <c r="K124" s="5" t="str">
        <f>IF(A124="","",IFERROR(LOOKUP(2,1/((持仓跟踪!$B$2:$B$497=A124)*(持仓跟踪!$X$2:$X$497="执行卖出")*(持仓跟踪!$Y$2:$Y$497&lt;&gt;"")),持仓跟踪!$Y$2:$Y$497),""))</f>
        <v/>
      </c>
      <c r="L124" s="8" t="str">
        <f>IF(A124="","",IFERROR(LOOKUP(2,1/((持仓跟踪!$B$2:$B$497=A124)*(持仓跟踪!$X$2:$X$497="执行卖出")*(持仓跟踪!$Z$2:$Z$497&lt;&gt;"")),持仓跟踪!$Z$2:$Z$497),""))</f>
        <v/>
      </c>
      <c r="M124" s="23" t="str">
        <f>IF(A124="","",IFERROR(LOOKUP(2,1/((持仓跟踪!$B$2:$B$497=A124)*(持仓跟踪!$X$2:$X$497="执行卖出")*(持仓跟踪!$H$2:$H$497&lt;&gt;"")),持仓跟踪!$H$2:$H$497),""))</f>
        <v/>
      </c>
      <c r="N124" s="10"/>
      <c r="O124" s="10"/>
      <c r="P124" s="5" t="str">
        <f>IF(A124="","",IFERROR(LOOKUP(2,1/((持仓跟踪!$B$2:$B$497=A124)*(持仓跟踪!$X$2:$X$497="执行卖出")*(持仓跟踪!$AA$2:$AA$497&lt;&gt;"")),持仓跟踪!$AA$2:$AA$497),""))</f>
        <v/>
      </c>
      <c r="Q124" s="2"/>
      <c r="R124" s="2"/>
      <c r="S124" s="2"/>
      <c r="T124" s="2"/>
      <c r="U124" s="7" t="str">
        <f>IF(OR(AO124="",J124="",AO124&lt;=0),"",(J124-AO124)/AO124)</f>
        <v/>
      </c>
      <c r="V124" s="7" t="str">
        <f>IF(OR(AO124="",N124="",AO124&lt;=0),"",(AO124-N124)/AO124)</f>
        <v/>
      </c>
      <c r="W124" s="24" t="str">
        <f>IF(OR(U124="",V124="",V124&lt;=0),"",U124/V124)</f>
        <v/>
      </c>
      <c r="X124" s="5" t="str">
        <f>IF(OR(K124="",L124="",AP124=""),"",K124*L124-(E124*H124+IF(AND(AK124&lt;&gt;"",AL124&lt;&gt;""),AK124*AL124,0)+IF(AND(AM124&lt;&gt;"",AN124&lt;&gt;""),AM124*AN124,0))-IF(O124="",0,O124)-IF(P124="",0,P124))</f>
        <v/>
      </c>
      <c r="Y124" s="7" t="str">
        <f>IF(OR(X124="",AP124=""),"",IF((E124*H124+IF(AND(AK124&lt;&gt;"",AL124&lt;&gt;""),AK124*AL124,0)+IF(AND(AM124&lt;&gt;"",AN124&lt;&gt;""),AM124*AN124,0))+IF(O124="",0,O124)&lt;=0,"",X124/((E124*H124+IF(AND(AK124&lt;&gt;"",AL124&lt;&gt;""),AK124*AL124,0)+IF(AND(AM124&lt;&gt;"",AN124&lt;&gt;""),AM124*AN124,0))+IF(O124="",0,O124))))</f>
        <v/>
      </c>
      <c r="Z124" s="7" t="str">
        <f>IF(OR(AE124="",多次统计数据!$B$8=""),"",AE124-多次统计数据!$B$8)</f>
        <v/>
      </c>
      <c r="AA124" s="11" t="str">
        <f>IF(OR(I124="",M124="",M124&lt;I124),"",M124-I124)</f>
        <v/>
      </c>
      <c r="AB124" s="7" t="str">
        <f>IF(OR(A124="",多次统计数据!$B$8="",多次统计数据!$B$6&lt;=0,多次统计数据!$B$6&gt;=1),"",1-POWER(1+多次统计数据!$B$8,-多次统计数据!$B$6/(1-多次统计数据!$B$6)))</f>
        <v/>
      </c>
      <c r="AC124" s="8" t="str">
        <f>IF(OR(AB124="",多次统计数据!$B$9=""),"",IF(多次统计数据!$B$9&lt;AB124,"低于上限","达到或超过上限"))</f>
        <v/>
      </c>
      <c r="AD124" s="2"/>
      <c r="AE124" s="7" t="str">
        <f>IF(OR(X124="",C124="",C124&lt;=0),"",X124/C124)</f>
        <v/>
      </c>
      <c r="AG124" s="2"/>
      <c r="AH124" s="2"/>
      <c r="AI124" s="2"/>
      <c r="AJ124" s="8" t="str">
        <f>IF(OR(AG124="",AH124=""),"",IF(OR(AND(AG124="短期博反弹",OR(AH124="1～3个交易日",AH124="4～10个交易日")),AND(AG124="突破冲新高",OR(AH124="4～10个交易日",AH124="11～20个交易日")),AND(AG124="趋势波段",OR(AH124="11～20个交易日",AH124="21～60个交易日",AH124="60个交易日以上"))),"匹配","周期与交易预期不匹配，请重新确认"))</f>
        <v/>
      </c>
      <c r="AK124" s="10"/>
      <c r="AL124" s="12"/>
      <c r="AM124" s="10"/>
      <c r="AN124" s="12"/>
      <c r="AO124" s="5" t="str">
        <f>IF(OR(A124="",H124="",H124&lt;=0),"",(E124*H124+IF(AND(AK124&lt;&gt;"",AL124&lt;&gt;""),AK124*AL124,0)+IF(AND(AM124&lt;&gt;"",AN124&lt;&gt;""),AM124*AN124,0))/AP124)</f>
        <v/>
      </c>
      <c r="AP124" s="11" t="str">
        <f>IF(OR(A124="",H124="",H124&lt;=0),"",H124+IF(AL124="",0,AL124)+IF(AN124="",0,AN124))</f>
        <v/>
      </c>
      <c r="AQ124" s="5" t="str">
        <f>IF(A124="","",IF(M124&lt;&gt;"",0,IF(OR(H124="",N124=""),"",MAX(E124-MAX(N124,IFERROR(SUMPRODUCT(MAX(((持仓跟踪!$A$2:$A$497="每日跟踪")*(持仓跟踪!$B$2:$B$497=A124))*持仓跟踪!$S$2:$S$497)),0)),0)*H124+IF(OR(AK124="",AL124=""),0,MAX(AK124-MAX(N124,IFERROR(SUMPRODUCT(MAX(((持仓跟踪!$A$2:$A$497="每日跟踪")*(持仓跟踪!$B$2:$B$497=A124))*持仓跟踪!$S$2:$S$497)),0)),0)*AL124)+IF(OR(AM124="",AN124=""),0,MAX(AM124-MAX(N124,IFERROR(SUMPRODUCT(MAX(((持仓跟踪!$A$2:$A$497="每日跟踪")*(持仓跟踪!$B$2:$B$497=A124))*持仓跟踪!$S$2:$S$497)),0)),0)*AN124))))</f>
        <v/>
      </c>
      <c r="AR124" s="8" t="str">
        <f ca="1">IF(A124="","",IF(OR(E124="",H124=""),"违规：第一批价格或股数缺失",IF(OR(AND(AK124="",AL124&lt;&gt;""),AND(AK124&lt;&gt;"",AL124="")),"违规：第二批价格与股数须成对填写",IF(OR(AND(AM124="",AN124&lt;&gt;""),AND(AM124&lt;&gt;"",AN124="")),"违规：第三批价格与股数须成对填写",IF(AND(OR(AM124&lt;&gt;"",AN124&lt;&gt;""),OR(AK124="",AL124="")),"违规：必须先完成第二批",IF(OR(H124&lt;=0,H124&lt;&gt;INT(H124),MOD(H124,100)&lt;&gt;0,AND(AL124&lt;&gt;"",OR(AL124&lt;=0,AL124&lt;&gt;INT(AL124),MOD(AL124,100)&lt;&gt;0)),AND(AN124&lt;&gt;"",OR(AN124&lt;=0,AN124&lt;&gt;INT(AN124),MOD(AN124,100)&lt;&gt;0))),"违规：股数须为100股整数倍",IF(AND(OR(AL124&lt;&gt;"",AN124&lt;&gt;""),OR(_LockStatus="已锁仓",_LockStatus="解锁信息不完整")),"违规：锁仓期间禁止加仓",IF(AQ124&gt;C124*D124,"违规：超过单笔风险上限",IF(SUM($AQ$2:$AQ$163)&gt;账户数据!$B$7,"违规：超过账户风险上限","通过")))))))))</f>
        <v/>
      </c>
    </row>
    <row r="125" ht="17" spans="1:44">
      <c r="A125" s="2"/>
      <c r="B125" s="2"/>
      <c r="C125" s="10"/>
      <c r="D125" s="6"/>
      <c r="E125" s="10"/>
      <c r="F125" s="8" t="str">
        <f>IF(OR(C125="",D125="",E125="",N125="",C125&lt;=0,D125&lt;=0,E125&lt;=N125),"",ROUNDDOWN((C125*D125)/(E125-N125)/100,0)*100)</f>
        <v/>
      </c>
      <c r="G125" s="8" t="str">
        <f ca="1"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COUNTIFS(持仓跟踪!$A$2:$A$497,"止损计划",持仓跟踪!$B$2:$B$497,A125,持仓跟踪!$AC$2:$AC$497,"计划有效")=0,"禁止开仓：请先填写止损计划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5" s="2"/>
      <c r="I125" s="15"/>
      <c r="J125" s="10"/>
      <c r="K125" s="5" t="str">
        <f>IF(A125="","",IFERROR(LOOKUP(2,1/((持仓跟踪!$B$2:$B$497=A125)*(持仓跟踪!$X$2:$X$497="执行卖出")*(持仓跟踪!$Y$2:$Y$497&lt;&gt;"")),持仓跟踪!$Y$2:$Y$497),""))</f>
        <v/>
      </c>
      <c r="L125" s="8" t="str">
        <f>IF(A125="","",IFERROR(LOOKUP(2,1/((持仓跟踪!$B$2:$B$497=A125)*(持仓跟踪!$X$2:$X$497="执行卖出")*(持仓跟踪!$Z$2:$Z$497&lt;&gt;"")),持仓跟踪!$Z$2:$Z$497),""))</f>
        <v/>
      </c>
      <c r="M125" s="23" t="str">
        <f>IF(A125="","",IFERROR(LOOKUP(2,1/((持仓跟踪!$B$2:$B$497=A125)*(持仓跟踪!$X$2:$X$497="执行卖出")*(持仓跟踪!$H$2:$H$497&lt;&gt;"")),持仓跟踪!$H$2:$H$497),""))</f>
        <v/>
      </c>
      <c r="N125" s="10"/>
      <c r="O125" s="10"/>
      <c r="P125" s="5" t="str">
        <f>IF(A125="","",IFERROR(LOOKUP(2,1/((持仓跟踪!$B$2:$B$497=A125)*(持仓跟踪!$X$2:$X$497="执行卖出")*(持仓跟踪!$AA$2:$AA$497&lt;&gt;"")),持仓跟踪!$AA$2:$AA$497),""))</f>
        <v/>
      </c>
      <c r="Q125" s="2"/>
      <c r="R125" s="2"/>
      <c r="S125" s="2"/>
      <c r="T125" s="2"/>
      <c r="U125" s="7" t="str">
        <f>IF(OR(AO125="",J125="",AO125&lt;=0),"",(J125-AO125)/AO125)</f>
        <v/>
      </c>
      <c r="V125" s="7" t="str">
        <f>IF(OR(AO125="",N125="",AO125&lt;=0),"",(AO125-N125)/AO125)</f>
        <v/>
      </c>
      <c r="W125" s="24" t="str">
        <f>IF(OR(U125="",V125="",V125&lt;=0),"",U125/V125)</f>
        <v/>
      </c>
      <c r="X125" s="5" t="str">
        <f>IF(OR(K125="",L125="",AP125=""),"",K125*L125-(E125*H125+IF(AND(AK125&lt;&gt;"",AL125&lt;&gt;""),AK125*AL125,0)+IF(AND(AM125&lt;&gt;"",AN125&lt;&gt;""),AM125*AN125,0))-IF(O125="",0,O125)-IF(P125="",0,P125))</f>
        <v/>
      </c>
      <c r="Y125" s="7" t="str">
        <f>IF(OR(X125="",AP125=""),"",IF((E125*H125+IF(AND(AK125&lt;&gt;"",AL125&lt;&gt;""),AK125*AL125,0)+IF(AND(AM125&lt;&gt;"",AN125&lt;&gt;""),AM125*AN125,0))+IF(O125="",0,O125)&lt;=0,"",X125/((E125*H125+IF(AND(AK125&lt;&gt;"",AL125&lt;&gt;""),AK125*AL125,0)+IF(AND(AM125&lt;&gt;"",AN125&lt;&gt;""),AM125*AN125,0))+IF(O125="",0,O125))))</f>
        <v/>
      </c>
      <c r="Z125" s="7" t="str">
        <f>IF(OR(AE125="",多次统计数据!$B$8=""),"",AE125-多次统计数据!$B$8)</f>
        <v/>
      </c>
      <c r="AA125" s="11" t="str">
        <f>IF(OR(I125="",M125="",M125&lt;I125),"",M125-I125)</f>
        <v/>
      </c>
      <c r="AB125" s="7" t="str">
        <f>IF(OR(A125="",多次统计数据!$B$8="",多次统计数据!$B$6&lt;=0,多次统计数据!$B$6&gt;=1),"",1-POWER(1+多次统计数据!$B$8,-多次统计数据!$B$6/(1-多次统计数据!$B$6)))</f>
        <v/>
      </c>
      <c r="AC125" s="8" t="str">
        <f>IF(OR(AB125="",多次统计数据!$B$9=""),"",IF(多次统计数据!$B$9&lt;AB125,"低于上限","达到或超过上限"))</f>
        <v/>
      </c>
      <c r="AD125" s="2"/>
      <c r="AE125" s="7" t="str">
        <f>IF(OR(X125="",C125="",C125&lt;=0),"",X125/C125)</f>
        <v/>
      </c>
      <c r="AG125" s="2"/>
      <c r="AH125" s="2"/>
      <c r="AI125" s="2"/>
      <c r="AJ125" s="8" t="str">
        <f>IF(OR(AG125="",AH125=""),"",IF(OR(AND(AG125="短期博反弹",OR(AH125="1～3个交易日",AH125="4～10个交易日")),AND(AG125="突破冲新高",OR(AH125="4～10个交易日",AH125="11～20个交易日")),AND(AG125="趋势波段",OR(AH125="11～20个交易日",AH125="21～60个交易日",AH125="60个交易日以上"))),"匹配","周期与交易预期不匹配，请重新确认"))</f>
        <v/>
      </c>
      <c r="AK125" s="10"/>
      <c r="AL125" s="12"/>
      <c r="AM125" s="10"/>
      <c r="AN125" s="12"/>
      <c r="AO125" s="5" t="str">
        <f>IF(OR(A125="",H125="",H125&lt;=0),"",(E125*H125+IF(AND(AK125&lt;&gt;"",AL125&lt;&gt;""),AK125*AL125,0)+IF(AND(AM125&lt;&gt;"",AN125&lt;&gt;""),AM125*AN125,0))/AP125)</f>
        <v/>
      </c>
      <c r="AP125" s="11" t="str">
        <f>IF(OR(A125="",H125="",H125&lt;=0),"",H125+IF(AL125="",0,AL125)+IF(AN125="",0,AN125))</f>
        <v/>
      </c>
      <c r="AQ125" s="5" t="str">
        <f>IF(A125="","",IF(M125&lt;&gt;"",0,IF(OR(H125="",N125=""),"",MAX(E125-MAX(N125,IFERROR(SUMPRODUCT(MAX(((持仓跟踪!$A$2:$A$497="每日跟踪")*(持仓跟踪!$B$2:$B$497=A125))*持仓跟踪!$S$2:$S$497)),0)),0)*H125+IF(OR(AK125="",AL125=""),0,MAX(AK125-MAX(N125,IFERROR(SUMPRODUCT(MAX(((持仓跟踪!$A$2:$A$497="每日跟踪")*(持仓跟踪!$B$2:$B$497=A125))*持仓跟踪!$S$2:$S$497)),0)),0)*AL125)+IF(OR(AM125="",AN125=""),0,MAX(AM125-MAX(N125,IFERROR(SUMPRODUCT(MAX(((持仓跟踪!$A$2:$A$497="每日跟踪")*(持仓跟踪!$B$2:$B$497=A125))*持仓跟踪!$S$2:$S$497)),0)),0)*AN125))))</f>
        <v/>
      </c>
      <c r="AR125" s="8" t="str">
        <f ca="1">IF(A125="","",IF(OR(E125="",H125=""),"违规：第一批价格或股数缺失",IF(OR(AND(AK125="",AL125&lt;&gt;""),AND(AK125&lt;&gt;"",AL125="")),"违规：第二批价格与股数须成对填写",IF(OR(AND(AM125="",AN125&lt;&gt;""),AND(AM125&lt;&gt;"",AN125="")),"违规：第三批价格与股数须成对填写",IF(AND(OR(AM125&lt;&gt;"",AN125&lt;&gt;""),OR(AK125="",AL125="")),"违规：必须先完成第二批",IF(OR(H125&lt;=0,H125&lt;&gt;INT(H125),MOD(H125,100)&lt;&gt;0,AND(AL125&lt;&gt;"",OR(AL125&lt;=0,AL125&lt;&gt;INT(AL125),MOD(AL125,100)&lt;&gt;0)),AND(AN125&lt;&gt;"",OR(AN125&lt;=0,AN125&lt;&gt;INT(AN125),MOD(AN125,100)&lt;&gt;0))),"违规：股数须为100股整数倍",IF(AND(OR(AL125&lt;&gt;"",AN125&lt;&gt;""),OR(_LockStatus="已锁仓",_LockStatus="解锁信息不完整")),"违规：锁仓期间禁止加仓",IF(AQ125&gt;C125*D125,"违规：超过单笔风险上限",IF(SUM($AQ$2:$AQ$163)&gt;账户数据!$B$7,"违规：超过账户风险上限","通过")))))))))</f>
        <v/>
      </c>
    </row>
    <row r="126" ht="17" spans="1:44">
      <c r="A126" s="2"/>
      <c r="B126" s="2"/>
      <c r="C126" s="10"/>
      <c r="D126" s="6"/>
      <c r="E126" s="10"/>
      <c r="F126" s="8" t="str">
        <f>IF(OR(C126="",D126="",E126="",N126="",C126&lt;=0,D126&lt;=0,E126&lt;=N126),"",ROUNDDOWN((C126*D126)/(E126-N126)/100,0)*100)</f>
        <v/>
      </c>
      <c r="G126" s="8" t="str">
        <f ca="1"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COUNTIFS(持仓跟踪!$A$2:$A$497,"止损计划",持仓跟踪!$B$2:$B$497,A126,持仓跟踪!$AC$2:$AC$497,"计划有效")=0,"禁止开仓：请先填写止损计划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6" s="2"/>
      <c r="I126" s="15"/>
      <c r="J126" s="10"/>
      <c r="K126" s="5" t="str">
        <f>IF(A126="","",IFERROR(LOOKUP(2,1/((持仓跟踪!$B$2:$B$497=A126)*(持仓跟踪!$X$2:$X$497="执行卖出")*(持仓跟踪!$Y$2:$Y$497&lt;&gt;"")),持仓跟踪!$Y$2:$Y$497),""))</f>
        <v/>
      </c>
      <c r="L126" s="8" t="str">
        <f>IF(A126="","",IFERROR(LOOKUP(2,1/((持仓跟踪!$B$2:$B$497=A126)*(持仓跟踪!$X$2:$X$497="执行卖出")*(持仓跟踪!$Z$2:$Z$497&lt;&gt;"")),持仓跟踪!$Z$2:$Z$497),""))</f>
        <v/>
      </c>
      <c r="M126" s="23" t="str">
        <f>IF(A126="","",IFERROR(LOOKUP(2,1/((持仓跟踪!$B$2:$B$497=A126)*(持仓跟踪!$X$2:$X$497="执行卖出")*(持仓跟踪!$H$2:$H$497&lt;&gt;"")),持仓跟踪!$H$2:$H$497),""))</f>
        <v/>
      </c>
      <c r="N126" s="10"/>
      <c r="O126" s="10"/>
      <c r="P126" s="5" t="str">
        <f>IF(A126="","",IFERROR(LOOKUP(2,1/((持仓跟踪!$B$2:$B$497=A126)*(持仓跟踪!$X$2:$X$497="执行卖出")*(持仓跟踪!$AA$2:$AA$497&lt;&gt;"")),持仓跟踪!$AA$2:$AA$497),""))</f>
        <v/>
      </c>
      <c r="Q126" s="2"/>
      <c r="R126" s="2"/>
      <c r="S126" s="2"/>
      <c r="T126" s="2"/>
      <c r="U126" s="7" t="str">
        <f>IF(OR(AO126="",J126="",AO126&lt;=0),"",(J126-AO126)/AO126)</f>
        <v/>
      </c>
      <c r="V126" s="7" t="str">
        <f>IF(OR(AO126="",N126="",AO126&lt;=0),"",(AO126-N126)/AO126)</f>
        <v/>
      </c>
      <c r="W126" s="24" t="str">
        <f>IF(OR(U126="",V126="",V126&lt;=0),"",U126/V126)</f>
        <v/>
      </c>
      <c r="X126" s="5" t="str">
        <f>IF(OR(K126="",L126="",AP126=""),"",K126*L126-(E126*H126+IF(AND(AK126&lt;&gt;"",AL126&lt;&gt;""),AK126*AL126,0)+IF(AND(AM126&lt;&gt;"",AN126&lt;&gt;""),AM126*AN126,0))-IF(O126="",0,O126)-IF(P126="",0,P126))</f>
        <v/>
      </c>
      <c r="Y126" s="7" t="str">
        <f>IF(OR(X126="",AP126=""),"",IF((E126*H126+IF(AND(AK126&lt;&gt;"",AL126&lt;&gt;""),AK126*AL126,0)+IF(AND(AM126&lt;&gt;"",AN126&lt;&gt;""),AM126*AN126,0))+IF(O126="",0,O126)&lt;=0,"",X126/((E126*H126+IF(AND(AK126&lt;&gt;"",AL126&lt;&gt;""),AK126*AL126,0)+IF(AND(AM126&lt;&gt;"",AN126&lt;&gt;""),AM126*AN126,0))+IF(O126="",0,O126))))</f>
        <v/>
      </c>
      <c r="Z126" s="7" t="str">
        <f>IF(OR(AE126="",多次统计数据!$B$8=""),"",AE126-多次统计数据!$B$8)</f>
        <v/>
      </c>
      <c r="AA126" s="11" t="str">
        <f>IF(OR(I126="",M126="",M126&lt;I126),"",M126-I126)</f>
        <v/>
      </c>
      <c r="AB126" s="7" t="str">
        <f>IF(OR(A126="",多次统计数据!$B$8="",多次统计数据!$B$6&lt;=0,多次统计数据!$B$6&gt;=1),"",1-POWER(1+多次统计数据!$B$8,-多次统计数据!$B$6/(1-多次统计数据!$B$6)))</f>
        <v/>
      </c>
      <c r="AC126" s="8" t="str">
        <f>IF(OR(AB126="",多次统计数据!$B$9=""),"",IF(多次统计数据!$B$9&lt;AB126,"低于上限","达到或超过上限"))</f>
        <v/>
      </c>
      <c r="AD126" s="2"/>
      <c r="AE126" s="7" t="str">
        <f>IF(OR(X126="",C126="",C126&lt;=0),"",X126/C126)</f>
        <v/>
      </c>
      <c r="AG126" s="2"/>
      <c r="AH126" s="2"/>
      <c r="AI126" s="2"/>
      <c r="AJ126" s="8" t="str">
        <f>IF(OR(AG126="",AH126=""),"",IF(OR(AND(AG126="短期博反弹",OR(AH126="1～3个交易日",AH126="4～10个交易日")),AND(AG126="突破冲新高",OR(AH126="4～10个交易日",AH126="11～20个交易日")),AND(AG126="趋势波段",OR(AH126="11～20个交易日",AH126="21～60个交易日",AH126="60个交易日以上"))),"匹配","周期与交易预期不匹配，请重新确认"))</f>
        <v/>
      </c>
      <c r="AK126" s="10"/>
      <c r="AL126" s="12"/>
      <c r="AM126" s="10"/>
      <c r="AN126" s="12"/>
      <c r="AO126" s="5" t="str">
        <f>IF(OR(A126="",H126="",H126&lt;=0),"",(E126*H126+IF(AND(AK126&lt;&gt;"",AL126&lt;&gt;""),AK126*AL126,0)+IF(AND(AM126&lt;&gt;"",AN126&lt;&gt;""),AM126*AN126,0))/AP126)</f>
        <v/>
      </c>
      <c r="AP126" s="11" t="str">
        <f>IF(OR(A126="",H126="",H126&lt;=0),"",H126+IF(AL126="",0,AL126)+IF(AN126="",0,AN126))</f>
        <v/>
      </c>
      <c r="AQ126" s="5" t="str">
        <f>IF(A126="","",IF(M126&lt;&gt;"",0,IF(OR(H126="",N126=""),"",MAX(E126-MAX(N126,IFERROR(SUMPRODUCT(MAX(((持仓跟踪!$A$2:$A$497="每日跟踪")*(持仓跟踪!$B$2:$B$497=A126))*持仓跟踪!$S$2:$S$497)),0)),0)*H126+IF(OR(AK126="",AL126=""),0,MAX(AK126-MAX(N126,IFERROR(SUMPRODUCT(MAX(((持仓跟踪!$A$2:$A$497="每日跟踪")*(持仓跟踪!$B$2:$B$497=A126))*持仓跟踪!$S$2:$S$497)),0)),0)*AL126)+IF(OR(AM126="",AN126=""),0,MAX(AM126-MAX(N126,IFERROR(SUMPRODUCT(MAX(((持仓跟踪!$A$2:$A$497="每日跟踪")*(持仓跟踪!$B$2:$B$497=A126))*持仓跟踪!$S$2:$S$497)),0)),0)*AN126))))</f>
        <v/>
      </c>
      <c r="AR126" s="8" t="str">
        <f ca="1">IF(A126="","",IF(OR(E126="",H126=""),"违规：第一批价格或股数缺失",IF(OR(AND(AK126="",AL126&lt;&gt;""),AND(AK126&lt;&gt;"",AL126="")),"违规：第二批价格与股数须成对填写",IF(OR(AND(AM126="",AN126&lt;&gt;""),AND(AM126&lt;&gt;"",AN126="")),"违规：第三批价格与股数须成对填写",IF(AND(OR(AM126&lt;&gt;"",AN126&lt;&gt;""),OR(AK126="",AL126="")),"违规：必须先完成第二批",IF(OR(H126&lt;=0,H126&lt;&gt;INT(H126),MOD(H126,100)&lt;&gt;0,AND(AL126&lt;&gt;"",OR(AL126&lt;=0,AL126&lt;&gt;INT(AL126),MOD(AL126,100)&lt;&gt;0)),AND(AN126&lt;&gt;"",OR(AN126&lt;=0,AN126&lt;&gt;INT(AN126),MOD(AN126,100)&lt;&gt;0))),"违规：股数须为100股整数倍",IF(AND(OR(AL126&lt;&gt;"",AN126&lt;&gt;""),OR(_LockStatus="已锁仓",_LockStatus="解锁信息不完整")),"违规：锁仓期间禁止加仓",IF(AQ126&gt;C126*D126,"违规：超过单笔风险上限",IF(SUM($AQ$2:$AQ$163)&gt;账户数据!$B$7,"违规：超过账户风险上限","通过")))))))))</f>
        <v/>
      </c>
    </row>
    <row r="127" ht="17" spans="1:44">
      <c r="A127" s="2"/>
      <c r="B127" s="2"/>
      <c r="C127" s="10"/>
      <c r="D127" s="6"/>
      <c r="E127" s="10"/>
      <c r="F127" s="8" t="str">
        <f>IF(OR(C127="",D127="",E127="",N127="",C127&lt;=0,D127&lt;=0,E127&lt;=N127),"",ROUNDDOWN((C127*D127)/(E127-N127)/100,0)*100)</f>
        <v/>
      </c>
      <c r="G127" s="8" t="str">
        <f ca="1"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COUNTIFS(持仓跟踪!$A$2:$A$497,"止损计划",持仓跟踪!$B$2:$B$497,A127,持仓跟踪!$AC$2:$AC$497,"计划有效")=0,"禁止开仓：请先填写止损计划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7" s="2"/>
      <c r="I127" s="15"/>
      <c r="J127" s="10"/>
      <c r="K127" s="5" t="str">
        <f>IF(A127="","",IFERROR(LOOKUP(2,1/((持仓跟踪!$B$2:$B$497=A127)*(持仓跟踪!$X$2:$X$497="执行卖出")*(持仓跟踪!$Y$2:$Y$497&lt;&gt;"")),持仓跟踪!$Y$2:$Y$497),""))</f>
        <v/>
      </c>
      <c r="L127" s="8" t="str">
        <f>IF(A127="","",IFERROR(LOOKUP(2,1/((持仓跟踪!$B$2:$B$497=A127)*(持仓跟踪!$X$2:$X$497="执行卖出")*(持仓跟踪!$Z$2:$Z$497&lt;&gt;"")),持仓跟踪!$Z$2:$Z$497),""))</f>
        <v/>
      </c>
      <c r="M127" s="23" t="str">
        <f>IF(A127="","",IFERROR(LOOKUP(2,1/((持仓跟踪!$B$2:$B$497=A127)*(持仓跟踪!$X$2:$X$497="执行卖出")*(持仓跟踪!$H$2:$H$497&lt;&gt;"")),持仓跟踪!$H$2:$H$497),""))</f>
        <v/>
      </c>
      <c r="N127" s="10"/>
      <c r="O127" s="10"/>
      <c r="P127" s="5" t="str">
        <f>IF(A127="","",IFERROR(LOOKUP(2,1/((持仓跟踪!$B$2:$B$497=A127)*(持仓跟踪!$X$2:$X$497="执行卖出")*(持仓跟踪!$AA$2:$AA$497&lt;&gt;"")),持仓跟踪!$AA$2:$AA$497),""))</f>
        <v/>
      </c>
      <c r="Q127" s="2"/>
      <c r="R127" s="2"/>
      <c r="S127" s="2"/>
      <c r="T127" s="2"/>
      <c r="U127" s="7" t="str">
        <f>IF(OR(AO127="",J127="",AO127&lt;=0),"",(J127-AO127)/AO127)</f>
        <v/>
      </c>
      <c r="V127" s="7" t="str">
        <f>IF(OR(AO127="",N127="",AO127&lt;=0),"",(AO127-N127)/AO127)</f>
        <v/>
      </c>
      <c r="W127" s="24" t="str">
        <f>IF(OR(U127="",V127="",V127&lt;=0),"",U127/V127)</f>
        <v/>
      </c>
      <c r="X127" s="5" t="str">
        <f>IF(OR(K127="",L127="",AP127=""),"",K127*L127-(E127*H127+IF(AND(AK127&lt;&gt;"",AL127&lt;&gt;""),AK127*AL127,0)+IF(AND(AM127&lt;&gt;"",AN127&lt;&gt;""),AM127*AN127,0))-IF(O127="",0,O127)-IF(P127="",0,P127))</f>
        <v/>
      </c>
      <c r="Y127" s="7" t="str">
        <f>IF(OR(X127="",AP127=""),"",IF((E127*H127+IF(AND(AK127&lt;&gt;"",AL127&lt;&gt;""),AK127*AL127,0)+IF(AND(AM127&lt;&gt;"",AN127&lt;&gt;""),AM127*AN127,0))+IF(O127="",0,O127)&lt;=0,"",X127/((E127*H127+IF(AND(AK127&lt;&gt;"",AL127&lt;&gt;""),AK127*AL127,0)+IF(AND(AM127&lt;&gt;"",AN127&lt;&gt;""),AM127*AN127,0))+IF(O127="",0,O127))))</f>
        <v/>
      </c>
      <c r="Z127" s="7" t="str">
        <f>IF(OR(AE127="",多次统计数据!$B$8=""),"",AE127-多次统计数据!$B$8)</f>
        <v/>
      </c>
      <c r="AA127" s="11" t="str">
        <f>IF(OR(I127="",M127="",M127&lt;I127),"",M127-I127)</f>
        <v/>
      </c>
      <c r="AB127" s="7" t="str">
        <f>IF(OR(A127="",多次统计数据!$B$8="",多次统计数据!$B$6&lt;=0,多次统计数据!$B$6&gt;=1),"",1-POWER(1+多次统计数据!$B$8,-多次统计数据!$B$6/(1-多次统计数据!$B$6)))</f>
        <v/>
      </c>
      <c r="AC127" s="8" t="str">
        <f>IF(OR(AB127="",多次统计数据!$B$9=""),"",IF(多次统计数据!$B$9&lt;AB127,"低于上限","达到或超过上限"))</f>
        <v/>
      </c>
      <c r="AD127" s="2"/>
      <c r="AE127" s="7" t="str">
        <f>IF(OR(X127="",C127="",C127&lt;=0),"",X127/C127)</f>
        <v/>
      </c>
      <c r="AG127" s="2"/>
      <c r="AH127" s="2"/>
      <c r="AI127" s="2"/>
      <c r="AJ127" s="8" t="str">
        <f>IF(OR(AG127="",AH127=""),"",IF(OR(AND(AG127="短期博反弹",OR(AH127="1～3个交易日",AH127="4～10个交易日")),AND(AG127="突破冲新高",OR(AH127="4～10个交易日",AH127="11～20个交易日")),AND(AG127="趋势波段",OR(AH127="11～20个交易日",AH127="21～60个交易日",AH127="60个交易日以上"))),"匹配","周期与交易预期不匹配，请重新确认"))</f>
        <v/>
      </c>
      <c r="AK127" s="10"/>
      <c r="AL127" s="12"/>
      <c r="AM127" s="10"/>
      <c r="AN127" s="12"/>
      <c r="AO127" s="5" t="str">
        <f>IF(OR(A127="",H127="",H127&lt;=0),"",(E127*H127+IF(AND(AK127&lt;&gt;"",AL127&lt;&gt;""),AK127*AL127,0)+IF(AND(AM127&lt;&gt;"",AN127&lt;&gt;""),AM127*AN127,0))/AP127)</f>
        <v/>
      </c>
      <c r="AP127" s="11" t="str">
        <f>IF(OR(A127="",H127="",H127&lt;=0),"",H127+IF(AL127="",0,AL127)+IF(AN127="",0,AN127))</f>
        <v/>
      </c>
      <c r="AQ127" s="5" t="str">
        <f>IF(A127="","",IF(M127&lt;&gt;"",0,IF(OR(H127="",N127=""),"",MAX(E127-MAX(N127,IFERROR(SUMPRODUCT(MAX(((持仓跟踪!$A$2:$A$497="每日跟踪")*(持仓跟踪!$B$2:$B$497=A127))*持仓跟踪!$S$2:$S$497)),0)),0)*H127+IF(OR(AK127="",AL127=""),0,MAX(AK127-MAX(N127,IFERROR(SUMPRODUCT(MAX(((持仓跟踪!$A$2:$A$497="每日跟踪")*(持仓跟踪!$B$2:$B$497=A127))*持仓跟踪!$S$2:$S$497)),0)),0)*AL127)+IF(OR(AM127="",AN127=""),0,MAX(AM127-MAX(N127,IFERROR(SUMPRODUCT(MAX(((持仓跟踪!$A$2:$A$497="每日跟踪")*(持仓跟踪!$B$2:$B$497=A127))*持仓跟踪!$S$2:$S$497)),0)),0)*AN127))))</f>
        <v/>
      </c>
      <c r="AR127" s="8" t="str">
        <f ca="1">IF(A127="","",IF(OR(E127="",H127=""),"违规：第一批价格或股数缺失",IF(OR(AND(AK127="",AL127&lt;&gt;""),AND(AK127&lt;&gt;"",AL127="")),"违规：第二批价格与股数须成对填写",IF(OR(AND(AM127="",AN127&lt;&gt;""),AND(AM127&lt;&gt;"",AN127="")),"违规：第三批价格与股数须成对填写",IF(AND(OR(AM127&lt;&gt;"",AN127&lt;&gt;""),OR(AK127="",AL127="")),"违规：必须先完成第二批",IF(OR(H127&lt;=0,H127&lt;&gt;INT(H127),MOD(H127,100)&lt;&gt;0,AND(AL127&lt;&gt;"",OR(AL127&lt;=0,AL127&lt;&gt;INT(AL127),MOD(AL127,100)&lt;&gt;0)),AND(AN127&lt;&gt;"",OR(AN127&lt;=0,AN127&lt;&gt;INT(AN127),MOD(AN127,100)&lt;&gt;0))),"违规：股数须为100股整数倍",IF(AND(OR(AL127&lt;&gt;"",AN127&lt;&gt;""),OR(_LockStatus="已锁仓",_LockStatus="解锁信息不完整")),"违规：锁仓期间禁止加仓",IF(AQ127&gt;C127*D127,"违规：超过单笔风险上限",IF(SUM($AQ$2:$AQ$163)&gt;账户数据!$B$7,"违规：超过账户风险上限","通过")))))))))</f>
        <v/>
      </c>
    </row>
    <row r="128" ht="17" spans="1:44">
      <c r="A128" s="2"/>
      <c r="B128" s="2"/>
      <c r="C128" s="10"/>
      <c r="D128" s="6"/>
      <c r="E128" s="10"/>
      <c r="F128" s="8" t="str">
        <f>IF(OR(C128="",D128="",E128="",N128="",C128&lt;=0,D128&lt;=0,E128&lt;=N128),"",ROUNDDOWN((C128*D128)/(E128-N128)/100,0)*100)</f>
        <v/>
      </c>
      <c r="G128" s="8" t="str">
        <f ca="1"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COUNTIFS(持仓跟踪!$A$2:$A$497,"止损计划",持仓跟踪!$B$2:$B$497,A128,持仓跟踪!$AC$2:$AC$497,"计划有效")=0,"禁止开仓：请先填写止损计划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8" s="2"/>
      <c r="I128" s="15"/>
      <c r="J128" s="10"/>
      <c r="K128" s="5" t="str">
        <f>IF(A128="","",IFERROR(LOOKUP(2,1/((持仓跟踪!$B$2:$B$497=A128)*(持仓跟踪!$X$2:$X$497="执行卖出")*(持仓跟踪!$Y$2:$Y$497&lt;&gt;"")),持仓跟踪!$Y$2:$Y$497),""))</f>
        <v/>
      </c>
      <c r="L128" s="8" t="str">
        <f>IF(A128="","",IFERROR(LOOKUP(2,1/((持仓跟踪!$B$2:$B$497=A128)*(持仓跟踪!$X$2:$X$497="执行卖出")*(持仓跟踪!$Z$2:$Z$497&lt;&gt;"")),持仓跟踪!$Z$2:$Z$497),""))</f>
        <v/>
      </c>
      <c r="M128" s="23" t="str">
        <f>IF(A128="","",IFERROR(LOOKUP(2,1/((持仓跟踪!$B$2:$B$497=A128)*(持仓跟踪!$X$2:$X$497="执行卖出")*(持仓跟踪!$H$2:$H$497&lt;&gt;"")),持仓跟踪!$H$2:$H$497),""))</f>
        <v/>
      </c>
      <c r="N128" s="10"/>
      <c r="O128" s="10"/>
      <c r="P128" s="5" t="str">
        <f>IF(A128="","",IFERROR(LOOKUP(2,1/((持仓跟踪!$B$2:$B$497=A128)*(持仓跟踪!$X$2:$X$497="执行卖出")*(持仓跟踪!$AA$2:$AA$497&lt;&gt;"")),持仓跟踪!$AA$2:$AA$497),""))</f>
        <v/>
      </c>
      <c r="Q128" s="2"/>
      <c r="R128" s="2"/>
      <c r="S128" s="2"/>
      <c r="T128" s="2"/>
      <c r="U128" s="7" t="str">
        <f>IF(OR(AO128="",J128="",AO128&lt;=0),"",(J128-AO128)/AO128)</f>
        <v/>
      </c>
      <c r="V128" s="7" t="str">
        <f>IF(OR(AO128="",N128="",AO128&lt;=0),"",(AO128-N128)/AO128)</f>
        <v/>
      </c>
      <c r="W128" s="24" t="str">
        <f>IF(OR(U128="",V128="",V128&lt;=0),"",U128/V128)</f>
        <v/>
      </c>
      <c r="X128" s="5" t="str">
        <f>IF(OR(K128="",L128="",AP128=""),"",K128*L128-(E128*H128+IF(AND(AK128&lt;&gt;"",AL128&lt;&gt;""),AK128*AL128,0)+IF(AND(AM128&lt;&gt;"",AN128&lt;&gt;""),AM128*AN128,0))-IF(O128="",0,O128)-IF(P128="",0,P128))</f>
        <v/>
      </c>
      <c r="Y128" s="7" t="str">
        <f>IF(OR(X128="",AP128=""),"",IF((E128*H128+IF(AND(AK128&lt;&gt;"",AL128&lt;&gt;""),AK128*AL128,0)+IF(AND(AM128&lt;&gt;"",AN128&lt;&gt;""),AM128*AN128,0))+IF(O128="",0,O128)&lt;=0,"",X128/((E128*H128+IF(AND(AK128&lt;&gt;"",AL128&lt;&gt;""),AK128*AL128,0)+IF(AND(AM128&lt;&gt;"",AN128&lt;&gt;""),AM128*AN128,0))+IF(O128="",0,O128))))</f>
        <v/>
      </c>
      <c r="Z128" s="7" t="str">
        <f>IF(OR(AE128="",多次统计数据!$B$8=""),"",AE128-多次统计数据!$B$8)</f>
        <v/>
      </c>
      <c r="AA128" s="11" t="str">
        <f>IF(OR(I128="",M128="",M128&lt;I128),"",M128-I128)</f>
        <v/>
      </c>
      <c r="AB128" s="7" t="str">
        <f>IF(OR(A128="",多次统计数据!$B$8="",多次统计数据!$B$6&lt;=0,多次统计数据!$B$6&gt;=1),"",1-POWER(1+多次统计数据!$B$8,-多次统计数据!$B$6/(1-多次统计数据!$B$6)))</f>
        <v/>
      </c>
      <c r="AC128" s="8" t="str">
        <f>IF(OR(AB128="",多次统计数据!$B$9=""),"",IF(多次统计数据!$B$9&lt;AB128,"低于上限","达到或超过上限"))</f>
        <v/>
      </c>
      <c r="AD128" s="2"/>
      <c r="AE128" s="7" t="str">
        <f>IF(OR(X128="",C128="",C128&lt;=0),"",X128/C128)</f>
        <v/>
      </c>
      <c r="AG128" s="2"/>
      <c r="AH128" s="2"/>
      <c r="AI128" s="2"/>
      <c r="AJ128" s="8" t="str">
        <f>IF(OR(AG128="",AH128=""),"",IF(OR(AND(AG128="短期博反弹",OR(AH128="1～3个交易日",AH128="4～10个交易日")),AND(AG128="突破冲新高",OR(AH128="4～10个交易日",AH128="11～20个交易日")),AND(AG128="趋势波段",OR(AH128="11～20个交易日",AH128="21～60个交易日",AH128="60个交易日以上"))),"匹配","周期与交易预期不匹配，请重新确认"))</f>
        <v/>
      </c>
      <c r="AK128" s="10"/>
      <c r="AL128" s="12"/>
      <c r="AM128" s="10"/>
      <c r="AN128" s="12"/>
      <c r="AO128" s="5" t="str">
        <f>IF(OR(A128="",H128="",H128&lt;=0),"",(E128*H128+IF(AND(AK128&lt;&gt;"",AL128&lt;&gt;""),AK128*AL128,0)+IF(AND(AM128&lt;&gt;"",AN128&lt;&gt;""),AM128*AN128,0))/AP128)</f>
        <v/>
      </c>
      <c r="AP128" s="11" t="str">
        <f>IF(OR(A128="",H128="",H128&lt;=0),"",H128+IF(AL128="",0,AL128)+IF(AN128="",0,AN128))</f>
        <v/>
      </c>
      <c r="AQ128" s="5" t="str">
        <f>IF(A128="","",IF(M128&lt;&gt;"",0,IF(OR(H128="",N128=""),"",MAX(E128-MAX(N128,IFERROR(SUMPRODUCT(MAX(((持仓跟踪!$A$2:$A$497="每日跟踪")*(持仓跟踪!$B$2:$B$497=A128))*持仓跟踪!$S$2:$S$497)),0)),0)*H128+IF(OR(AK128="",AL128=""),0,MAX(AK128-MAX(N128,IFERROR(SUMPRODUCT(MAX(((持仓跟踪!$A$2:$A$497="每日跟踪")*(持仓跟踪!$B$2:$B$497=A128))*持仓跟踪!$S$2:$S$497)),0)),0)*AL128)+IF(OR(AM128="",AN128=""),0,MAX(AM128-MAX(N128,IFERROR(SUMPRODUCT(MAX(((持仓跟踪!$A$2:$A$497="每日跟踪")*(持仓跟踪!$B$2:$B$497=A128))*持仓跟踪!$S$2:$S$497)),0)),0)*AN128))))</f>
        <v/>
      </c>
      <c r="AR128" s="8" t="str">
        <f ca="1">IF(A128="","",IF(OR(E128="",H128=""),"违规：第一批价格或股数缺失",IF(OR(AND(AK128="",AL128&lt;&gt;""),AND(AK128&lt;&gt;"",AL128="")),"违规：第二批价格与股数须成对填写",IF(OR(AND(AM128="",AN128&lt;&gt;""),AND(AM128&lt;&gt;"",AN128="")),"违规：第三批价格与股数须成对填写",IF(AND(OR(AM128&lt;&gt;"",AN128&lt;&gt;""),OR(AK128="",AL128="")),"违规：必须先完成第二批",IF(OR(H128&lt;=0,H128&lt;&gt;INT(H128),MOD(H128,100)&lt;&gt;0,AND(AL128&lt;&gt;"",OR(AL128&lt;=0,AL128&lt;&gt;INT(AL128),MOD(AL128,100)&lt;&gt;0)),AND(AN128&lt;&gt;"",OR(AN128&lt;=0,AN128&lt;&gt;INT(AN128),MOD(AN128,100)&lt;&gt;0))),"违规：股数须为100股整数倍",IF(AND(OR(AL128&lt;&gt;"",AN128&lt;&gt;""),OR(_LockStatus="已锁仓",_LockStatus="解锁信息不完整")),"违规：锁仓期间禁止加仓",IF(AQ128&gt;C128*D128,"违规：超过单笔风险上限",IF(SUM($AQ$2:$AQ$163)&gt;账户数据!$B$7,"违规：超过账户风险上限","通过")))))))))</f>
        <v/>
      </c>
    </row>
    <row r="129" ht="17" spans="1:44">
      <c r="A129" s="2"/>
      <c r="B129" s="2"/>
      <c r="C129" s="10"/>
      <c r="D129" s="6"/>
      <c r="E129" s="10"/>
      <c r="F129" s="8" t="str">
        <f>IF(OR(C129="",D129="",E129="",N129="",C129&lt;=0,D129&lt;=0,E129&lt;=N129),"",ROUNDDOWN((C129*D129)/(E129-N129)/100,0)*100)</f>
        <v/>
      </c>
      <c r="G129" s="8" t="str">
        <f ca="1"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COUNTIFS(持仓跟踪!$A$2:$A$497,"止损计划",持仓跟踪!$B$2:$B$497,A129,持仓跟踪!$AC$2:$AC$497,"计划有效")=0,"禁止开仓：请先填写止损计划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9" s="2"/>
      <c r="I129" s="15"/>
      <c r="J129" s="10"/>
      <c r="K129" s="5" t="str">
        <f>IF(A129="","",IFERROR(LOOKUP(2,1/((持仓跟踪!$B$2:$B$497=A129)*(持仓跟踪!$X$2:$X$497="执行卖出")*(持仓跟踪!$Y$2:$Y$497&lt;&gt;"")),持仓跟踪!$Y$2:$Y$497),""))</f>
        <v/>
      </c>
      <c r="L129" s="8" t="str">
        <f>IF(A129="","",IFERROR(LOOKUP(2,1/((持仓跟踪!$B$2:$B$497=A129)*(持仓跟踪!$X$2:$X$497="执行卖出")*(持仓跟踪!$Z$2:$Z$497&lt;&gt;"")),持仓跟踪!$Z$2:$Z$497),""))</f>
        <v/>
      </c>
      <c r="M129" s="23" t="str">
        <f>IF(A129="","",IFERROR(LOOKUP(2,1/((持仓跟踪!$B$2:$B$497=A129)*(持仓跟踪!$X$2:$X$497="执行卖出")*(持仓跟踪!$H$2:$H$497&lt;&gt;"")),持仓跟踪!$H$2:$H$497),""))</f>
        <v/>
      </c>
      <c r="N129" s="10"/>
      <c r="O129" s="10"/>
      <c r="P129" s="5" t="str">
        <f>IF(A129="","",IFERROR(LOOKUP(2,1/((持仓跟踪!$B$2:$B$497=A129)*(持仓跟踪!$X$2:$X$497="执行卖出")*(持仓跟踪!$AA$2:$AA$497&lt;&gt;"")),持仓跟踪!$AA$2:$AA$497),""))</f>
        <v/>
      </c>
      <c r="Q129" s="2"/>
      <c r="R129" s="2"/>
      <c r="S129" s="2"/>
      <c r="T129" s="2"/>
      <c r="U129" s="7" t="str">
        <f>IF(OR(AO129="",J129="",AO129&lt;=0),"",(J129-AO129)/AO129)</f>
        <v/>
      </c>
      <c r="V129" s="7" t="str">
        <f>IF(OR(AO129="",N129="",AO129&lt;=0),"",(AO129-N129)/AO129)</f>
        <v/>
      </c>
      <c r="W129" s="24" t="str">
        <f>IF(OR(U129="",V129="",V129&lt;=0),"",U129/V129)</f>
        <v/>
      </c>
      <c r="X129" s="5" t="str">
        <f>IF(OR(K129="",L129="",AP129=""),"",K129*L129-(E129*H129+IF(AND(AK129&lt;&gt;"",AL129&lt;&gt;""),AK129*AL129,0)+IF(AND(AM129&lt;&gt;"",AN129&lt;&gt;""),AM129*AN129,0))-IF(O129="",0,O129)-IF(P129="",0,P129))</f>
        <v/>
      </c>
      <c r="Y129" s="7" t="str">
        <f>IF(OR(X129="",AP129=""),"",IF((E129*H129+IF(AND(AK129&lt;&gt;"",AL129&lt;&gt;""),AK129*AL129,0)+IF(AND(AM129&lt;&gt;"",AN129&lt;&gt;""),AM129*AN129,0))+IF(O129="",0,O129)&lt;=0,"",X129/((E129*H129+IF(AND(AK129&lt;&gt;"",AL129&lt;&gt;""),AK129*AL129,0)+IF(AND(AM129&lt;&gt;"",AN129&lt;&gt;""),AM129*AN129,0))+IF(O129="",0,O129))))</f>
        <v/>
      </c>
      <c r="Z129" s="7" t="str">
        <f>IF(OR(AE129="",多次统计数据!$B$8=""),"",AE129-多次统计数据!$B$8)</f>
        <v/>
      </c>
      <c r="AA129" s="11" t="str">
        <f>IF(OR(I129="",M129="",M129&lt;I129),"",M129-I129)</f>
        <v/>
      </c>
      <c r="AB129" s="7" t="str">
        <f>IF(OR(A129="",多次统计数据!$B$8="",多次统计数据!$B$6&lt;=0,多次统计数据!$B$6&gt;=1),"",1-POWER(1+多次统计数据!$B$8,-多次统计数据!$B$6/(1-多次统计数据!$B$6)))</f>
        <v/>
      </c>
      <c r="AC129" s="8" t="str">
        <f>IF(OR(AB129="",多次统计数据!$B$9=""),"",IF(多次统计数据!$B$9&lt;AB129,"低于上限","达到或超过上限"))</f>
        <v/>
      </c>
      <c r="AD129" s="2"/>
      <c r="AE129" s="7" t="str">
        <f>IF(OR(X129="",C129="",C129&lt;=0),"",X129/C129)</f>
        <v/>
      </c>
      <c r="AG129" s="2"/>
      <c r="AH129" s="2"/>
      <c r="AI129" s="2"/>
      <c r="AJ129" s="8" t="str">
        <f>IF(OR(AG129="",AH129=""),"",IF(OR(AND(AG129="短期博反弹",OR(AH129="1～3个交易日",AH129="4～10个交易日")),AND(AG129="突破冲新高",OR(AH129="4～10个交易日",AH129="11～20个交易日")),AND(AG129="趋势波段",OR(AH129="11～20个交易日",AH129="21～60个交易日",AH129="60个交易日以上"))),"匹配","周期与交易预期不匹配，请重新确认"))</f>
        <v/>
      </c>
      <c r="AK129" s="10"/>
      <c r="AL129" s="12"/>
      <c r="AM129" s="10"/>
      <c r="AN129" s="12"/>
      <c r="AO129" s="5" t="str">
        <f>IF(OR(A129="",H129="",H129&lt;=0),"",(E129*H129+IF(AND(AK129&lt;&gt;"",AL129&lt;&gt;""),AK129*AL129,0)+IF(AND(AM129&lt;&gt;"",AN129&lt;&gt;""),AM129*AN129,0))/AP129)</f>
        <v/>
      </c>
      <c r="AP129" s="11" t="str">
        <f>IF(OR(A129="",H129="",H129&lt;=0),"",H129+IF(AL129="",0,AL129)+IF(AN129="",0,AN129))</f>
        <v/>
      </c>
      <c r="AQ129" s="5" t="str">
        <f>IF(A129="","",IF(M129&lt;&gt;"",0,IF(OR(H129="",N129=""),"",MAX(E129-MAX(N129,IFERROR(SUMPRODUCT(MAX(((持仓跟踪!$A$2:$A$497="每日跟踪")*(持仓跟踪!$B$2:$B$497=A129))*持仓跟踪!$S$2:$S$497)),0)),0)*H129+IF(OR(AK129="",AL129=""),0,MAX(AK129-MAX(N129,IFERROR(SUMPRODUCT(MAX(((持仓跟踪!$A$2:$A$497="每日跟踪")*(持仓跟踪!$B$2:$B$497=A129))*持仓跟踪!$S$2:$S$497)),0)),0)*AL129)+IF(OR(AM129="",AN129=""),0,MAX(AM129-MAX(N129,IFERROR(SUMPRODUCT(MAX(((持仓跟踪!$A$2:$A$497="每日跟踪")*(持仓跟踪!$B$2:$B$497=A129))*持仓跟踪!$S$2:$S$497)),0)),0)*AN129))))</f>
        <v/>
      </c>
      <c r="AR129" s="8" t="str">
        <f ca="1">IF(A129="","",IF(OR(E129="",H129=""),"违规：第一批价格或股数缺失",IF(OR(AND(AK129="",AL129&lt;&gt;""),AND(AK129&lt;&gt;"",AL129="")),"违规：第二批价格与股数须成对填写",IF(OR(AND(AM129="",AN129&lt;&gt;""),AND(AM129&lt;&gt;"",AN129="")),"违规：第三批价格与股数须成对填写",IF(AND(OR(AM129&lt;&gt;"",AN129&lt;&gt;""),OR(AK129="",AL129="")),"违规：必须先完成第二批",IF(OR(H129&lt;=0,H129&lt;&gt;INT(H129),MOD(H129,100)&lt;&gt;0,AND(AL129&lt;&gt;"",OR(AL129&lt;=0,AL129&lt;&gt;INT(AL129),MOD(AL129,100)&lt;&gt;0)),AND(AN129&lt;&gt;"",OR(AN129&lt;=0,AN129&lt;&gt;INT(AN129),MOD(AN129,100)&lt;&gt;0))),"违规：股数须为100股整数倍",IF(AND(OR(AL129&lt;&gt;"",AN129&lt;&gt;""),OR(_LockStatus="已锁仓",_LockStatus="解锁信息不完整")),"违规：锁仓期间禁止加仓",IF(AQ129&gt;C129*D129,"违规：超过单笔风险上限",IF(SUM($AQ$2:$AQ$163)&gt;账户数据!$B$7,"违规：超过账户风险上限","通过")))))))))</f>
        <v/>
      </c>
    </row>
    <row r="130" ht="17" spans="1:44">
      <c r="A130" s="2"/>
      <c r="B130" s="2"/>
      <c r="C130" s="10"/>
      <c r="D130" s="6"/>
      <c r="E130" s="10"/>
      <c r="F130" s="8" t="str">
        <f>IF(OR(C130="",D130="",E130="",N130="",C130&lt;=0,D130&lt;=0,E130&lt;=N130),"",ROUNDDOWN((C130*D130)/(E130-N130)/100,0)*100)</f>
        <v/>
      </c>
      <c r="G130" s="8" t="str">
        <f ca="1"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COUNTIFS(持仓跟踪!$A$2:$A$497,"止损计划",持仓跟踪!$B$2:$B$497,A130,持仓跟踪!$AC$2:$AC$497,"计划有效")=0,"禁止开仓：请先填写止损计划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0" s="2"/>
      <c r="I130" s="15"/>
      <c r="J130" s="10"/>
      <c r="K130" s="5" t="str">
        <f>IF(A130="","",IFERROR(LOOKUP(2,1/((持仓跟踪!$B$2:$B$497=A130)*(持仓跟踪!$X$2:$X$497="执行卖出")*(持仓跟踪!$Y$2:$Y$497&lt;&gt;"")),持仓跟踪!$Y$2:$Y$497),""))</f>
        <v/>
      </c>
      <c r="L130" s="8" t="str">
        <f>IF(A130="","",IFERROR(LOOKUP(2,1/((持仓跟踪!$B$2:$B$497=A130)*(持仓跟踪!$X$2:$X$497="执行卖出")*(持仓跟踪!$Z$2:$Z$497&lt;&gt;"")),持仓跟踪!$Z$2:$Z$497),""))</f>
        <v/>
      </c>
      <c r="M130" s="23" t="str">
        <f>IF(A130="","",IFERROR(LOOKUP(2,1/((持仓跟踪!$B$2:$B$497=A130)*(持仓跟踪!$X$2:$X$497="执行卖出")*(持仓跟踪!$H$2:$H$497&lt;&gt;"")),持仓跟踪!$H$2:$H$497),""))</f>
        <v/>
      </c>
      <c r="N130" s="10"/>
      <c r="O130" s="10"/>
      <c r="P130" s="5" t="str">
        <f>IF(A130="","",IFERROR(LOOKUP(2,1/((持仓跟踪!$B$2:$B$497=A130)*(持仓跟踪!$X$2:$X$497="执行卖出")*(持仓跟踪!$AA$2:$AA$497&lt;&gt;"")),持仓跟踪!$AA$2:$AA$497),""))</f>
        <v/>
      </c>
      <c r="Q130" s="2"/>
      <c r="R130" s="2"/>
      <c r="S130" s="2"/>
      <c r="T130" s="2"/>
      <c r="U130" s="7" t="str">
        <f>IF(OR(AO130="",J130="",AO130&lt;=0),"",(J130-AO130)/AO130)</f>
        <v/>
      </c>
      <c r="V130" s="7" t="str">
        <f>IF(OR(AO130="",N130="",AO130&lt;=0),"",(AO130-N130)/AO130)</f>
        <v/>
      </c>
      <c r="W130" s="24" t="str">
        <f>IF(OR(U130="",V130="",V130&lt;=0),"",U130/V130)</f>
        <v/>
      </c>
      <c r="X130" s="5" t="str">
        <f>IF(OR(K130="",L130="",AP130=""),"",K130*L130-(E130*H130+IF(AND(AK130&lt;&gt;"",AL130&lt;&gt;""),AK130*AL130,0)+IF(AND(AM130&lt;&gt;"",AN130&lt;&gt;""),AM130*AN130,0))-IF(O130="",0,O130)-IF(P130="",0,P130))</f>
        <v/>
      </c>
      <c r="Y130" s="7" t="str">
        <f>IF(OR(X130="",AP130=""),"",IF((E130*H130+IF(AND(AK130&lt;&gt;"",AL130&lt;&gt;""),AK130*AL130,0)+IF(AND(AM130&lt;&gt;"",AN130&lt;&gt;""),AM130*AN130,0))+IF(O130="",0,O130)&lt;=0,"",X130/((E130*H130+IF(AND(AK130&lt;&gt;"",AL130&lt;&gt;""),AK130*AL130,0)+IF(AND(AM130&lt;&gt;"",AN130&lt;&gt;""),AM130*AN130,0))+IF(O130="",0,O130))))</f>
        <v/>
      </c>
      <c r="Z130" s="7" t="str">
        <f>IF(OR(AE130="",多次统计数据!$B$8=""),"",AE130-多次统计数据!$B$8)</f>
        <v/>
      </c>
      <c r="AA130" s="11" t="str">
        <f>IF(OR(I130="",M130="",M130&lt;I130),"",M130-I130)</f>
        <v/>
      </c>
      <c r="AB130" s="7" t="str">
        <f>IF(OR(A130="",多次统计数据!$B$8="",多次统计数据!$B$6&lt;=0,多次统计数据!$B$6&gt;=1),"",1-POWER(1+多次统计数据!$B$8,-多次统计数据!$B$6/(1-多次统计数据!$B$6)))</f>
        <v/>
      </c>
      <c r="AC130" s="8" t="str">
        <f>IF(OR(AB130="",多次统计数据!$B$9=""),"",IF(多次统计数据!$B$9&lt;AB130,"低于上限","达到或超过上限"))</f>
        <v/>
      </c>
      <c r="AD130" s="2"/>
      <c r="AE130" s="7" t="str">
        <f>IF(OR(X130="",C130="",C130&lt;=0),"",X130/C130)</f>
        <v/>
      </c>
      <c r="AG130" s="2"/>
      <c r="AH130" s="2"/>
      <c r="AI130" s="2"/>
      <c r="AJ130" s="8" t="str">
        <f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10"/>
      <c r="AL130" s="12"/>
      <c r="AM130" s="10"/>
      <c r="AN130" s="12"/>
      <c r="AO130" s="5" t="str">
        <f>IF(OR(A130="",H130="",H130&lt;=0),"",(E130*H130+IF(AND(AK130&lt;&gt;"",AL130&lt;&gt;""),AK130*AL130,0)+IF(AND(AM130&lt;&gt;"",AN130&lt;&gt;""),AM130*AN130,0))/AP130)</f>
        <v/>
      </c>
      <c r="AP130" s="11" t="str">
        <f>IF(OR(A130="",H130="",H130&lt;=0),"",H130+IF(AL130="",0,AL130)+IF(AN130="",0,AN130))</f>
        <v/>
      </c>
      <c r="AQ130" s="5" t="str">
        <f>IF(A130="","",IF(M130&lt;&gt;"",0,IF(OR(H130="",N130=""),"",MAX(E130-MAX(N130,IFERROR(SUMPRODUCT(MAX(((持仓跟踪!$A$2:$A$497="每日跟踪")*(持仓跟踪!$B$2:$B$497=A130))*持仓跟踪!$S$2:$S$497)),0)),0)*H130+IF(OR(AK130="",AL130=""),0,MAX(AK130-MAX(N130,IFERROR(SUMPRODUCT(MAX(((持仓跟踪!$A$2:$A$497="每日跟踪")*(持仓跟踪!$B$2:$B$497=A130))*持仓跟踪!$S$2:$S$497)),0)),0)*AL130)+IF(OR(AM130="",AN130=""),0,MAX(AM130-MAX(N130,IFERROR(SUMPRODUCT(MAX(((持仓跟踪!$A$2:$A$497="每日跟踪")*(持仓跟踪!$B$2:$B$497=A130))*持仓跟踪!$S$2:$S$497)),0)),0)*AN130))))</f>
        <v/>
      </c>
      <c r="AR130" s="8" t="str">
        <f ca="1">IF(A130="","",IF(OR(E130="",H130=""),"违规：第一批价格或股数缺失",IF(OR(AND(AK130="",AL130&lt;&gt;""),AND(AK130&lt;&gt;"",AL130="")),"违规：第二批价格与股数须成对填写",IF(OR(AND(AM130="",AN130&lt;&gt;""),AND(AM130&lt;&gt;"",AN130="")),"违规：第三批价格与股数须成对填写",IF(AND(OR(AM130&lt;&gt;"",AN130&lt;&gt;""),OR(AK130="",AL130="")),"违规：必须先完成第二批",IF(OR(H130&lt;=0,H130&lt;&gt;INT(H130),MOD(H130,100)&lt;&gt;0,AND(AL130&lt;&gt;"",OR(AL130&lt;=0,AL130&lt;&gt;INT(AL130),MOD(AL130,100)&lt;&gt;0)),AND(AN130&lt;&gt;"",OR(AN130&lt;=0,AN130&lt;&gt;INT(AN130),MOD(AN130,100)&lt;&gt;0))),"违规：股数须为100股整数倍",IF(AND(OR(AL130&lt;&gt;"",AN130&lt;&gt;""),OR(_LockStatus="已锁仓",_LockStatus="解锁信息不完整")),"违规：锁仓期间禁止加仓",IF(AQ130&gt;C130*D130,"违规：超过单笔风险上限",IF(SUM($AQ$2:$AQ$163)&gt;账户数据!$B$7,"违规：超过账户风险上限","通过")))))))))</f>
        <v/>
      </c>
    </row>
    <row r="131" ht="17" spans="1:44">
      <c r="A131" s="2"/>
      <c r="B131" s="2"/>
      <c r="C131" s="10"/>
      <c r="D131" s="6"/>
      <c r="E131" s="10"/>
      <c r="F131" s="8" t="str">
        <f>IF(OR(C131="",D131="",E131="",N131="",C131&lt;=0,D131&lt;=0,E131&lt;=N131),"",ROUNDDOWN((C131*D131)/(E131-N131)/100,0)*100)</f>
        <v/>
      </c>
      <c r="G131" s="8" t="str">
        <f ca="1"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COUNTIFS(持仓跟踪!$A$2:$A$497,"止损计划",持仓跟踪!$B$2:$B$497,A131,持仓跟踪!$AC$2:$AC$497,"计划有效")=0,"禁止开仓：请先填写止损计划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1" s="2"/>
      <c r="I131" s="15"/>
      <c r="J131" s="10"/>
      <c r="K131" s="5" t="str">
        <f>IF(A131="","",IFERROR(LOOKUP(2,1/((持仓跟踪!$B$2:$B$497=A131)*(持仓跟踪!$X$2:$X$497="执行卖出")*(持仓跟踪!$Y$2:$Y$497&lt;&gt;"")),持仓跟踪!$Y$2:$Y$497),""))</f>
        <v/>
      </c>
      <c r="L131" s="8" t="str">
        <f>IF(A131="","",IFERROR(LOOKUP(2,1/((持仓跟踪!$B$2:$B$497=A131)*(持仓跟踪!$X$2:$X$497="执行卖出")*(持仓跟踪!$Z$2:$Z$497&lt;&gt;"")),持仓跟踪!$Z$2:$Z$497),""))</f>
        <v/>
      </c>
      <c r="M131" s="23" t="str">
        <f>IF(A131="","",IFERROR(LOOKUP(2,1/((持仓跟踪!$B$2:$B$497=A131)*(持仓跟踪!$X$2:$X$497="执行卖出")*(持仓跟踪!$H$2:$H$497&lt;&gt;"")),持仓跟踪!$H$2:$H$497),""))</f>
        <v/>
      </c>
      <c r="N131" s="10"/>
      <c r="O131" s="10"/>
      <c r="P131" s="5" t="str">
        <f>IF(A131="","",IFERROR(LOOKUP(2,1/((持仓跟踪!$B$2:$B$497=A131)*(持仓跟踪!$X$2:$X$497="执行卖出")*(持仓跟踪!$AA$2:$AA$497&lt;&gt;"")),持仓跟踪!$AA$2:$AA$497),""))</f>
        <v/>
      </c>
      <c r="Q131" s="2"/>
      <c r="R131" s="2"/>
      <c r="S131" s="2"/>
      <c r="T131" s="2"/>
      <c r="U131" s="7" t="str">
        <f>IF(OR(AO131="",J131="",AO131&lt;=0),"",(J131-AO131)/AO131)</f>
        <v/>
      </c>
      <c r="V131" s="7" t="str">
        <f>IF(OR(AO131="",N131="",AO131&lt;=0),"",(AO131-N131)/AO131)</f>
        <v/>
      </c>
      <c r="W131" s="24" t="str">
        <f>IF(OR(U131="",V131="",V131&lt;=0),"",U131/V131)</f>
        <v/>
      </c>
      <c r="X131" s="5" t="str">
        <f>IF(OR(K131="",L131="",AP131=""),"",K131*L131-(E131*H131+IF(AND(AK131&lt;&gt;"",AL131&lt;&gt;""),AK131*AL131,0)+IF(AND(AM131&lt;&gt;"",AN131&lt;&gt;""),AM131*AN131,0))-IF(O131="",0,O131)-IF(P131="",0,P131))</f>
        <v/>
      </c>
      <c r="Y131" s="7" t="str">
        <f>IF(OR(X131="",AP131=""),"",IF((E131*H131+IF(AND(AK131&lt;&gt;"",AL131&lt;&gt;""),AK131*AL131,0)+IF(AND(AM131&lt;&gt;"",AN131&lt;&gt;""),AM131*AN131,0))+IF(O131="",0,O131)&lt;=0,"",X131/((E131*H131+IF(AND(AK131&lt;&gt;"",AL131&lt;&gt;""),AK131*AL131,0)+IF(AND(AM131&lt;&gt;"",AN131&lt;&gt;""),AM131*AN131,0))+IF(O131="",0,O131))))</f>
        <v/>
      </c>
      <c r="Z131" s="7" t="str">
        <f>IF(OR(AE131="",多次统计数据!$B$8=""),"",AE131-多次统计数据!$B$8)</f>
        <v/>
      </c>
      <c r="AA131" s="11" t="str">
        <f>IF(OR(I131="",M131="",M131&lt;I131),"",M131-I131)</f>
        <v/>
      </c>
      <c r="AB131" s="7" t="str">
        <f>IF(OR(A131="",多次统计数据!$B$8="",多次统计数据!$B$6&lt;=0,多次统计数据!$B$6&gt;=1),"",1-POWER(1+多次统计数据!$B$8,-多次统计数据!$B$6/(1-多次统计数据!$B$6)))</f>
        <v/>
      </c>
      <c r="AC131" s="8" t="str">
        <f>IF(OR(AB131="",多次统计数据!$B$9=""),"",IF(多次统计数据!$B$9&lt;AB131,"低于上限","达到或超过上限"))</f>
        <v/>
      </c>
      <c r="AD131" s="2"/>
      <c r="AE131" s="7" t="str">
        <f>IF(OR(X131="",C131="",C131&lt;=0),"",X131/C131)</f>
        <v/>
      </c>
      <c r="AG131" s="2"/>
      <c r="AH131" s="2"/>
      <c r="AI131" s="2"/>
      <c r="AJ131" s="8" t="str">
        <f>IF(OR(AG131="",AH131=""),"",IF(OR(AND(AG131="短期博反弹",OR(AH131="1～3个交易日",AH131="4～10个交易日")),AND(AG131="突破冲新高",OR(AH131="4～10个交易日",AH131="11～20个交易日")),AND(AG131="趋势波段",OR(AH131="11～20个交易日",AH131="21～60个交易日",AH131="60个交易日以上"))),"匹配","周期与交易预期不匹配，请重新确认"))</f>
        <v/>
      </c>
      <c r="AK131" s="10"/>
      <c r="AL131" s="12"/>
      <c r="AM131" s="10"/>
      <c r="AN131" s="12"/>
      <c r="AO131" s="5" t="str">
        <f>IF(OR(A131="",H131="",H131&lt;=0),"",(E131*H131+IF(AND(AK131&lt;&gt;"",AL131&lt;&gt;""),AK131*AL131,0)+IF(AND(AM131&lt;&gt;"",AN131&lt;&gt;""),AM131*AN131,0))/AP131)</f>
        <v/>
      </c>
      <c r="AP131" s="11" t="str">
        <f>IF(OR(A131="",H131="",H131&lt;=0),"",H131+IF(AL131="",0,AL131)+IF(AN131="",0,AN131))</f>
        <v/>
      </c>
      <c r="AQ131" s="5" t="str">
        <f>IF(A131="","",IF(M131&lt;&gt;"",0,IF(OR(H131="",N131=""),"",MAX(E131-MAX(N131,IFERROR(SUMPRODUCT(MAX(((持仓跟踪!$A$2:$A$497="每日跟踪")*(持仓跟踪!$B$2:$B$497=A131))*持仓跟踪!$S$2:$S$497)),0)),0)*H131+IF(OR(AK131="",AL131=""),0,MAX(AK131-MAX(N131,IFERROR(SUMPRODUCT(MAX(((持仓跟踪!$A$2:$A$497="每日跟踪")*(持仓跟踪!$B$2:$B$497=A131))*持仓跟踪!$S$2:$S$497)),0)),0)*AL131)+IF(OR(AM131="",AN131=""),0,MAX(AM131-MAX(N131,IFERROR(SUMPRODUCT(MAX(((持仓跟踪!$A$2:$A$497="每日跟踪")*(持仓跟踪!$B$2:$B$497=A131))*持仓跟踪!$S$2:$S$497)),0)),0)*AN131))))</f>
        <v/>
      </c>
      <c r="AR131" s="8" t="str">
        <f ca="1">IF(A131="","",IF(OR(E131="",H131=""),"违规：第一批价格或股数缺失",IF(OR(AND(AK131="",AL131&lt;&gt;""),AND(AK131&lt;&gt;"",AL131="")),"违规：第二批价格与股数须成对填写",IF(OR(AND(AM131="",AN131&lt;&gt;""),AND(AM131&lt;&gt;"",AN131="")),"违规：第三批价格与股数须成对填写",IF(AND(OR(AM131&lt;&gt;"",AN131&lt;&gt;""),OR(AK131="",AL131="")),"违规：必须先完成第二批",IF(OR(H131&lt;=0,H131&lt;&gt;INT(H131),MOD(H131,100)&lt;&gt;0,AND(AL131&lt;&gt;"",OR(AL131&lt;=0,AL131&lt;&gt;INT(AL131),MOD(AL131,100)&lt;&gt;0)),AND(AN131&lt;&gt;"",OR(AN131&lt;=0,AN131&lt;&gt;INT(AN131),MOD(AN131,100)&lt;&gt;0))),"违规：股数须为100股整数倍",IF(AND(OR(AL131&lt;&gt;"",AN131&lt;&gt;""),OR(_LockStatus="已锁仓",_LockStatus="解锁信息不完整")),"违规：锁仓期间禁止加仓",IF(AQ131&gt;C131*D131,"违规：超过单笔风险上限",IF(SUM($AQ$2:$AQ$163)&gt;账户数据!$B$7,"违规：超过账户风险上限","通过")))))))))</f>
        <v/>
      </c>
    </row>
    <row r="132" ht="17" spans="1:44">
      <c r="A132" s="2"/>
      <c r="B132" s="2"/>
      <c r="C132" s="10"/>
      <c r="D132" s="6"/>
      <c r="E132" s="10"/>
      <c r="F132" s="8" t="str">
        <f>IF(OR(C132="",D132="",E132="",N132="",C132&lt;=0,D132&lt;=0,E132&lt;=N132),"",ROUNDDOWN((C132*D132)/(E132-N132)/100,0)*100)</f>
        <v/>
      </c>
      <c r="G132" s="8" t="str">
        <f ca="1"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COUNTIFS(持仓跟踪!$A$2:$A$497,"止损计划",持仓跟踪!$B$2:$B$497,A132,持仓跟踪!$AC$2:$AC$497,"计划有效")=0,"禁止开仓：请先填写止损计划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2" s="2"/>
      <c r="I132" s="15"/>
      <c r="J132" s="10"/>
      <c r="K132" s="5" t="str">
        <f>IF(A132="","",IFERROR(LOOKUP(2,1/((持仓跟踪!$B$2:$B$497=A132)*(持仓跟踪!$X$2:$X$497="执行卖出")*(持仓跟踪!$Y$2:$Y$497&lt;&gt;"")),持仓跟踪!$Y$2:$Y$497),""))</f>
        <v/>
      </c>
      <c r="L132" s="8" t="str">
        <f>IF(A132="","",IFERROR(LOOKUP(2,1/((持仓跟踪!$B$2:$B$497=A132)*(持仓跟踪!$X$2:$X$497="执行卖出")*(持仓跟踪!$Z$2:$Z$497&lt;&gt;"")),持仓跟踪!$Z$2:$Z$497),""))</f>
        <v/>
      </c>
      <c r="M132" s="23" t="str">
        <f>IF(A132="","",IFERROR(LOOKUP(2,1/((持仓跟踪!$B$2:$B$497=A132)*(持仓跟踪!$X$2:$X$497="执行卖出")*(持仓跟踪!$H$2:$H$497&lt;&gt;"")),持仓跟踪!$H$2:$H$497),""))</f>
        <v/>
      </c>
      <c r="N132" s="10"/>
      <c r="O132" s="10"/>
      <c r="P132" s="5" t="str">
        <f>IF(A132="","",IFERROR(LOOKUP(2,1/((持仓跟踪!$B$2:$B$497=A132)*(持仓跟踪!$X$2:$X$497="执行卖出")*(持仓跟踪!$AA$2:$AA$497&lt;&gt;"")),持仓跟踪!$AA$2:$AA$497),""))</f>
        <v/>
      </c>
      <c r="Q132" s="2"/>
      <c r="R132" s="2"/>
      <c r="S132" s="2"/>
      <c r="T132" s="2"/>
      <c r="U132" s="7" t="str">
        <f>IF(OR(AO132="",J132="",AO132&lt;=0),"",(J132-AO132)/AO132)</f>
        <v/>
      </c>
      <c r="V132" s="7" t="str">
        <f>IF(OR(AO132="",N132="",AO132&lt;=0),"",(AO132-N132)/AO132)</f>
        <v/>
      </c>
      <c r="W132" s="24" t="str">
        <f>IF(OR(U132="",V132="",V132&lt;=0),"",U132/V132)</f>
        <v/>
      </c>
      <c r="X132" s="5" t="str">
        <f>IF(OR(K132="",L132="",AP132=""),"",K132*L132-(E132*H132+IF(AND(AK132&lt;&gt;"",AL132&lt;&gt;""),AK132*AL132,0)+IF(AND(AM132&lt;&gt;"",AN132&lt;&gt;""),AM132*AN132,0))-IF(O132="",0,O132)-IF(P132="",0,P132))</f>
        <v/>
      </c>
      <c r="Y132" s="7" t="str">
        <f>IF(OR(X132="",AP132=""),"",IF((E132*H132+IF(AND(AK132&lt;&gt;"",AL132&lt;&gt;""),AK132*AL132,0)+IF(AND(AM132&lt;&gt;"",AN132&lt;&gt;""),AM132*AN132,0))+IF(O132="",0,O132)&lt;=0,"",X132/((E132*H132+IF(AND(AK132&lt;&gt;"",AL132&lt;&gt;""),AK132*AL132,0)+IF(AND(AM132&lt;&gt;"",AN132&lt;&gt;""),AM132*AN132,0))+IF(O132="",0,O132))))</f>
        <v/>
      </c>
      <c r="Z132" s="7" t="str">
        <f>IF(OR(AE132="",多次统计数据!$B$8=""),"",AE132-多次统计数据!$B$8)</f>
        <v/>
      </c>
      <c r="AA132" s="11" t="str">
        <f>IF(OR(I132="",M132="",M132&lt;I132),"",M132-I132)</f>
        <v/>
      </c>
      <c r="AB132" s="7" t="str">
        <f>IF(OR(A132="",多次统计数据!$B$8="",多次统计数据!$B$6&lt;=0,多次统计数据!$B$6&gt;=1),"",1-POWER(1+多次统计数据!$B$8,-多次统计数据!$B$6/(1-多次统计数据!$B$6)))</f>
        <v/>
      </c>
      <c r="AC132" s="8" t="str">
        <f>IF(OR(AB132="",多次统计数据!$B$9=""),"",IF(多次统计数据!$B$9&lt;AB132,"低于上限","达到或超过上限"))</f>
        <v/>
      </c>
      <c r="AD132" s="2"/>
      <c r="AE132" s="7" t="str">
        <f>IF(OR(X132="",C132="",C132&lt;=0),"",X132/C132)</f>
        <v/>
      </c>
      <c r="AG132" s="2"/>
      <c r="AH132" s="2"/>
      <c r="AI132" s="2"/>
      <c r="AJ132" s="8" t="str">
        <f>IF(OR(AG132="",AH132=""),"",IF(OR(AND(AG132="短期博反弹",OR(AH132="1～3个交易日",AH132="4～10个交易日")),AND(AG132="突破冲新高",OR(AH132="4～10个交易日",AH132="11～20个交易日")),AND(AG132="趋势波段",OR(AH132="11～20个交易日",AH132="21～60个交易日",AH132="60个交易日以上"))),"匹配","周期与交易预期不匹配，请重新确认"))</f>
        <v/>
      </c>
      <c r="AK132" s="10"/>
      <c r="AL132" s="12"/>
      <c r="AM132" s="10"/>
      <c r="AN132" s="12"/>
      <c r="AO132" s="5" t="str">
        <f>IF(OR(A132="",H132="",H132&lt;=0),"",(E132*H132+IF(AND(AK132&lt;&gt;"",AL132&lt;&gt;""),AK132*AL132,0)+IF(AND(AM132&lt;&gt;"",AN132&lt;&gt;""),AM132*AN132,0))/AP132)</f>
        <v/>
      </c>
      <c r="AP132" s="11" t="str">
        <f>IF(OR(A132="",H132="",H132&lt;=0),"",H132+IF(AL132="",0,AL132)+IF(AN132="",0,AN132))</f>
        <v/>
      </c>
      <c r="AQ132" s="5" t="str">
        <f>IF(A132="","",IF(M132&lt;&gt;"",0,IF(OR(H132="",N132=""),"",MAX(E132-MAX(N132,IFERROR(SUMPRODUCT(MAX(((持仓跟踪!$A$2:$A$497="每日跟踪")*(持仓跟踪!$B$2:$B$497=A132))*持仓跟踪!$S$2:$S$497)),0)),0)*H132+IF(OR(AK132="",AL132=""),0,MAX(AK132-MAX(N132,IFERROR(SUMPRODUCT(MAX(((持仓跟踪!$A$2:$A$497="每日跟踪")*(持仓跟踪!$B$2:$B$497=A132))*持仓跟踪!$S$2:$S$497)),0)),0)*AL132)+IF(OR(AM132="",AN132=""),0,MAX(AM132-MAX(N132,IFERROR(SUMPRODUCT(MAX(((持仓跟踪!$A$2:$A$497="每日跟踪")*(持仓跟踪!$B$2:$B$497=A132))*持仓跟踪!$S$2:$S$497)),0)),0)*AN132))))</f>
        <v/>
      </c>
      <c r="AR132" s="8" t="str">
        <f ca="1">IF(A132="","",IF(OR(E132="",H132=""),"违规：第一批价格或股数缺失",IF(OR(AND(AK132="",AL132&lt;&gt;""),AND(AK132&lt;&gt;"",AL132="")),"违规：第二批价格与股数须成对填写",IF(OR(AND(AM132="",AN132&lt;&gt;""),AND(AM132&lt;&gt;"",AN132="")),"违规：第三批价格与股数须成对填写",IF(AND(OR(AM132&lt;&gt;"",AN132&lt;&gt;""),OR(AK132="",AL132="")),"违规：必须先完成第二批",IF(OR(H132&lt;=0,H132&lt;&gt;INT(H132),MOD(H132,100)&lt;&gt;0,AND(AL132&lt;&gt;"",OR(AL132&lt;=0,AL132&lt;&gt;INT(AL132),MOD(AL132,100)&lt;&gt;0)),AND(AN132&lt;&gt;"",OR(AN132&lt;=0,AN132&lt;&gt;INT(AN132),MOD(AN132,100)&lt;&gt;0))),"违规：股数须为100股整数倍",IF(AND(OR(AL132&lt;&gt;"",AN132&lt;&gt;""),OR(_LockStatus="已锁仓",_LockStatus="解锁信息不完整")),"违规：锁仓期间禁止加仓",IF(AQ132&gt;C132*D132,"违规：超过单笔风险上限",IF(SUM($AQ$2:$AQ$163)&gt;账户数据!$B$7,"违规：超过账户风险上限","通过")))))))))</f>
        <v/>
      </c>
    </row>
    <row r="133" ht="17" spans="1:44">
      <c r="A133" s="2"/>
      <c r="B133" s="2"/>
      <c r="C133" s="10"/>
      <c r="D133" s="6"/>
      <c r="E133" s="10"/>
      <c r="F133" s="8" t="str">
        <f>IF(OR(C133="",D133="",E133="",N133="",C133&lt;=0,D133&lt;=0,E133&lt;=N133),"",ROUNDDOWN((C133*D133)/(E133-N133)/100,0)*100)</f>
        <v/>
      </c>
      <c r="G133" s="8" t="str">
        <f ca="1"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COUNTIFS(持仓跟踪!$A$2:$A$497,"止损计划",持仓跟踪!$B$2:$B$497,A133,持仓跟踪!$AC$2:$AC$497,"计划有效")=0,"禁止开仓：请先填写止损计划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3" s="2"/>
      <c r="I133" s="15"/>
      <c r="J133" s="10"/>
      <c r="K133" s="5" t="str">
        <f>IF(A133="","",IFERROR(LOOKUP(2,1/((持仓跟踪!$B$2:$B$497=A133)*(持仓跟踪!$X$2:$X$497="执行卖出")*(持仓跟踪!$Y$2:$Y$497&lt;&gt;"")),持仓跟踪!$Y$2:$Y$497),""))</f>
        <v/>
      </c>
      <c r="L133" s="8" t="str">
        <f>IF(A133="","",IFERROR(LOOKUP(2,1/((持仓跟踪!$B$2:$B$497=A133)*(持仓跟踪!$X$2:$X$497="执行卖出")*(持仓跟踪!$Z$2:$Z$497&lt;&gt;"")),持仓跟踪!$Z$2:$Z$497),""))</f>
        <v/>
      </c>
      <c r="M133" s="23" t="str">
        <f>IF(A133="","",IFERROR(LOOKUP(2,1/((持仓跟踪!$B$2:$B$497=A133)*(持仓跟踪!$X$2:$X$497="执行卖出")*(持仓跟踪!$H$2:$H$497&lt;&gt;"")),持仓跟踪!$H$2:$H$497),""))</f>
        <v/>
      </c>
      <c r="N133" s="10"/>
      <c r="O133" s="10"/>
      <c r="P133" s="5" t="str">
        <f>IF(A133="","",IFERROR(LOOKUP(2,1/((持仓跟踪!$B$2:$B$497=A133)*(持仓跟踪!$X$2:$X$497="执行卖出")*(持仓跟踪!$AA$2:$AA$497&lt;&gt;"")),持仓跟踪!$AA$2:$AA$497),""))</f>
        <v/>
      </c>
      <c r="Q133" s="2"/>
      <c r="R133" s="2"/>
      <c r="S133" s="2"/>
      <c r="T133" s="2"/>
      <c r="U133" s="7" t="str">
        <f>IF(OR(AO133="",J133="",AO133&lt;=0),"",(J133-AO133)/AO133)</f>
        <v/>
      </c>
      <c r="V133" s="7" t="str">
        <f>IF(OR(AO133="",N133="",AO133&lt;=0),"",(AO133-N133)/AO133)</f>
        <v/>
      </c>
      <c r="W133" s="24" t="str">
        <f>IF(OR(U133="",V133="",V133&lt;=0),"",U133/V133)</f>
        <v/>
      </c>
      <c r="X133" s="5" t="str">
        <f>IF(OR(K133="",L133="",AP133=""),"",K133*L133-(E133*H133+IF(AND(AK133&lt;&gt;"",AL133&lt;&gt;""),AK133*AL133,0)+IF(AND(AM133&lt;&gt;"",AN133&lt;&gt;""),AM133*AN133,0))-IF(O133="",0,O133)-IF(P133="",0,P133))</f>
        <v/>
      </c>
      <c r="Y133" s="7" t="str">
        <f>IF(OR(X133="",AP133=""),"",IF((E133*H133+IF(AND(AK133&lt;&gt;"",AL133&lt;&gt;""),AK133*AL133,0)+IF(AND(AM133&lt;&gt;"",AN133&lt;&gt;""),AM133*AN133,0))+IF(O133="",0,O133)&lt;=0,"",X133/((E133*H133+IF(AND(AK133&lt;&gt;"",AL133&lt;&gt;""),AK133*AL133,0)+IF(AND(AM133&lt;&gt;"",AN133&lt;&gt;""),AM133*AN133,0))+IF(O133="",0,O133))))</f>
        <v/>
      </c>
      <c r="Z133" s="7" t="str">
        <f>IF(OR(AE133="",多次统计数据!$B$8=""),"",AE133-多次统计数据!$B$8)</f>
        <v/>
      </c>
      <c r="AA133" s="11" t="str">
        <f>IF(OR(I133="",M133="",M133&lt;I133),"",M133-I133)</f>
        <v/>
      </c>
      <c r="AB133" s="7" t="str">
        <f>IF(OR(A133="",多次统计数据!$B$8="",多次统计数据!$B$6&lt;=0,多次统计数据!$B$6&gt;=1),"",1-POWER(1+多次统计数据!$B$8,-多次统计数据!$B$6/(1-多次统计数据!$B$6)))</f>
        <v/>
      </c>
      <c r="AC133" s="8" t="str">
        <f>IF(OR(AB133="",多次统计数据!$B$9=""),"",IF(多次统计数据!$B$9&lt;AB133,"低于上限","达到或超过上限"))</f>
        <v/>
      </c>
      <c r="AD133" s="2"/>
      <c r="AE133" s="7" t="str">
        <f>IF(OR(X133="",C133="",C133&lt;=0),"",X133/C133)</f>
        <v/>
      </c>
      <c r="AG133" s="2"/>
      <c r="AH133" s="2"/>
      <c r="AI133" s="2"/>
      <c r="AJ133" s="8" t="str">
        <f>IF(OR(AG133="",AH133=""),"",IF(OR(AND(AG133="短期博反弹",OR(AH133="1～3个交易日",AH133="4～10个交易日")),AND(AG133="突破冲新高",OR(AH133="4～10个交易日",AH133="11～20个交易日")),AND(AG133="趋势波段",OR(AH133="11～20个交易日",AH133="21～60个交易日",AH133="60个交易日以上"))),"匹配","周期与交易预期不匹配，请重新确认"))</f>
        <v/>
      </c>
      <c r="AK133" s="10"/>
      <c r="AL133" s="12"/>
      <c r="AM133" s="10"/>
      <c r="AN133" s="12"/>
      <c r="AO133" s="5" t="str">
        <f>IF(OR(A133="",H133="",H133&lt;=0),"",(E133*H133+IF(AND(AK133&lt;&gt;"",AL133&lt;&gt;""),AK133*AL133,0)+IF(AND(AM133&lt;&gt;"",AN133&lt;&gt;""),AM133*AN133,0))/AP133)</f>
        <v/>
      </c>
      <c r="AP133" s="11" t="str">
        <f>IF(OR(A133="",H133="",H133&lt;=0),"",H133+IF(AL133="",0,AL133)+IF(AN133="",0,AN133))</f>
        <v/>
      </c>
      <c r="AQ133" s="5" t="str">
        <f>IF(A133="","",IF(M133&lt;&gt;"",0,IF(OR(H133="",N133=""),"",MAX(E133-MAX(N133,IFERROR(SUMPRODUCT(MAX(((持仓跟踪!$A$2:$A$497="每日跟踪")*(持仓跟踪!$B$2:$B$497=A133))*持仓跟踪!$S$2:$S$497)),0)),0)*H133+IF(OR(AK133="",AL133=""),0,MAX(AK133-MAX(N133,IFERROR(SUMPRODUCT(MAX(((持仓跟踪!$A$2:$A$497="每日跟踪")*(持仓跟踪!$B$2:$B$497=A133))*持仓跟踪!$S$2:$S$497)),0)),0)*AL133)+IF(OR(AM133="",AN133=""),0,MAX(AM133-MAX(N133,IFERROR(SUMPRODUCT(MAX(((持仓跟踪!$A$2:$A$497="每日跟踪")*(持仓跟踪!$B$2:$B$497=A133))*持仓跟踪!$S$2:$S$497)),0)),0)*AN133))))</f>
        <v/>
      </c>
      <c r="AR133" s="8" t="str">
        <f ca="1">IF(A133="","",IF(OR(E133="",H133=""),"违规：第一批价格或股数缺失",IF(OR(AND(AK133="",AL133&lt;&gt;""),AND(AK133&lt;&gt;"",AL133="")),"违规：第二批价格与股数须成对填写",IF(OR(AND(AM133="",AN133&lt;&gt;""),AND(AM133&lt;&gt;"",AN133="")),"违规：第三批价格与股数须成对填写",IF(AND(OR(AM133&lt;&gt;"",AN133&lt;&gt;""),OR(AK133="",AL133="")),"违规：必须先完成第二批",IF(OR(H133&lt;=0,H133&lt;&gt;INT(H133),MOD(H133,100)&lt;&gt;0,AND(AL133&lt;&gt;"",OR(AL133&lt;=0,AL133&lt;&gt;INT(AL133),MOD(AL133,100)&lt;&gt;0)),AND(AN133&lt;&gt;"",OR(AN133&lt;=0,AN133&lt;&gt;INT(AN133),MOD(AN133,100)&lt;&gt;0))),"违规：股数须为100股整数倍",IF(AND(OR(AL133&lt;&gt;"",AN133&lt;&gt;""),OR(_LockStatus="已锁仓",_LockStatus="解锁信息不完整")),"违规：锁仓期间禁止加仓",IF(AQ133&gt;C133*D133,"违规：超过单笔风险上限",IF(SUM($AQ$2:$AQ$163)&gt;账户数据!$B$7,"违规：超过账户风险上限","通过")))))))))</f>
        <v/>
      </c>
    </row>
    <row r="134" ht="17" spans="1:44">
      <c r="A134" s="2"/>
      <c r="B134" s="2"/>
      <c r="C134" s="10"/>
      <c r="D134" s="6"/>
      <c r="E134" s="10"/>
      <c r="F134" s="8" t="str">
        <f>IF(OR(C134="",D134="",E134="",N134="",C134&lt;=0,D134&lt;=0,E134&lt;=N134),"",ROUNDDOWN((C134*D134)/(E134-N134)/100,0)*100)</f>
        <v/>
      </c>
      <c r="G134" s="8" t="str">
        <f ca="1"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COUNTIFS(持仓跟踪!$A$2:$A$497,"止损计划",持仓跟踪!$B$2:$B$497,A134,持仓跟踪!$AC$2:$AC$497,"计划有效")=0,"禁止开仓：请先填写止损计划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4" s="2"/>
      <c r="I134" s="15"/>
      <c r="J134" s="10"/>
      <c r="K134" s="5" t="str">
        <f>IF(A134="","",IFERROR(LOOKUP(2,1/((持仓跟踪!$B$2:$B$497=A134)*(持仓跟踪!$X$2:$X$497="执行卖出")*(持仓跟踪!$Y$2:$Y$497&lt;&gt;"")),持仓跟踪!$Y$2:$Y$497),""))</f>
        <v/>
      </c>
      <c r="L134" s="8" t="str">
        <f>IF(A134="","",IFERROR(LOOKUP(2,1/((持仓跟踪!$B$2:$B$497=A134)*(持仓跟踪!$X$2:$X$497="执行卖出")*(持仓跟踪!$Z$2:$Z$497&lt;&gt;"")),持仓跟踪!$Z$2:$Z$497),""))</f>
        <v/>
      </c>
      <c r="M134" s="23" t="str">
        <f>IF(A134="","",IFERROR(LOOKUP(2,1/((持仓跟踪!$B$2:$B$497=A134)*(持仓跟踪!$X$2:$X$497="执行卖出")*(持仓跟踪!$H$2:$H$497&lt;&gt;"")),持仓跟踪!$H$2:$H$497),""))</f>
        <v/>
      </c>
      <c r="N134" s="10"/>
      <c r="O134" s="10"/>
      <c r="P134" s="5" t="str">
        <f>IF(A134="","",IFERROR(LOOKUP(2,1/((持仓跟踪!$B$2:$B$497=A134)*(持仓跟踪!$X$2:$X$497="执行卖出")*(持仓跟踪!$AA$2:$AA$497&lt;&gt;"")),持仓跟踪!$AA$2:$AA$497),""))</f>
        <v/>
      </c>
      <c r="Q134" s="2"/>
      <c r="R134" s="2"/>
      <c r="S134" s="2"/>
      <c r="T134" s="2"/>
      <c r="U134" s="7" t="str">
        <f>IF(OR(AO134="",J134="",AO134&lt;=0),"",(J134-AO134)/AO134)</f>
        <v/>
      </c>
      <c r="V134" s="7" t="str">
        <f>IF(OR(AO134="",N134="",AO134&lt;=0),"",(AO134-N134)/AO134)</f>
        <v/>
      </c>
      <c r="W134" s="24" t="str">
        <f>IF(OR(U134="",V134="",V134&lt;=0),"",U134/V134)</f>
        <v/>
      </c>
      <c r="X134" s="5" t="str">
        <f>IF(OR(K134="",L134="",AP134=""),"",K134*L134-(E134*H134+IF(AND(AK134&lt;&gt;"",AL134&lt;&gt;""),AK134*AL134,0)+IF(AND(AM134&lt;&gt;"",AN134&lt;&gt;""),AM134*AN134,0))-IF(O134="",0,O134)-IF(P134="",0,P134))</f>
        <v/>
      </c>
      <c r="Y134" s="7" t="str">
        <f>IF(OR(X134="",AP134=""),"",IF((E134*H134+IF(AND(AK134&lt;&gt;"",AL134&lt;&gt;""),AK134*AL134,0)+IF(AND(AM134&lt;&gt;"",AN134&lt;&gt;""),AM134*AN134,0))+IF(O134="",0,O134)&lt;=0,"",X134/((E134*H134+IF(AND(AK134&lt;&gt;"",AL134&lt;&gt;""),AK134*AL134,0)+IF(AND(AM134&lt;&gt;"",AN134&lt;&gt;""),AM134*AN134,0))+IF(O134="",0,O134))))</f>
        <v/>
      </c>
      <c r="Z134" s="7" t="str">
        <f>IF(OR(AE134="",多次统计数据!$B$8=""),"",AE134-多次统计数据!$B$8)</f>
        <v/>
      </c>
      <c r="AA134" s="11" t="str">
        <f>IF(OR(I134="",M134="",M134&lt;I134),"",M134-I134)</f>
        <v/>
      </c>
      <c r="AB134" s="7" t="str">
        <f>IF(OR(A134="",多次统计数据!$B$8="",多次统计数据!$B$6&lt;=0,多次统计数据!$B$6&gt;=1),"",1-POWER(1+多次统计数据!$B$8,-多次统计数据!$B$6/(1-多次统计数据!$B$6)))</f>
        <v/>
      </c>
      <c r="AC134" s="8" t="str">
        <f>IF(OR(AB134="",多次统计数据!$B$9=""),"",IF(多次统计数据!$B$9&lt;AB134,"低于上限","达到或超过上限"))</f>
        <v/>
      </c>
      <c r="AD134" s="2"/>
      <c r="AE134" s="7" t="str">
        <f>IF(OR(X134="",C134="",C134&lt;=0),"",X134/C134)</f>
        <v/>
      </c>
      <c r="AG134" s="2"/>
      <c r="AH134" s="2"/>
      <c r="AI134" s="2"/>
      <c r="AJ134" s="8" t="str">
        <f>IF(OR(AG134="",AH134=""),"",IF(OR(AND(AG134="短期博反弹",OR(AH134="1～3个交易日",AH134="4～10个交易日")),AND(AG134="突破冲新高",OR(AH134="4～10个交易日",AH134="11～20个交易日")),AND(AG134="趋势波段",OR(AH134="11～20个交易日",AH134="21～60个交易日",AH134="60个交易日以上"))),"匹配","周期与交易预期不匹配，请重新确认"))</f>
        <v/>
      </c>
      <c r="AK134" s="10"/>
      <c r="AL134" s="12"/>
      <c r="AM134" s="10"/>
      <c r="AN134" s="12"/>
      <c r="AO134" s="5" t="str">
        <f>IF(OR(A134="",H134="",H134&lt;=0),"",(E134*H134+IF(AND(AK134&lt;&gt;"",AL134&lt;&gt;""),AK134*AL134,0)+IF(AND(AM134&lt;&gt;"",AN134&lt;&gt;""),AM134*AN134,0))/AP134)</f>
        <v/>
      </c>
      <c r="AP134" s="11" t="str">
        <f>IF(OR(A134="",H134="",H134&lt;=0),"",H134+IF(AL134="",0,AL134)+IF(AN134="",0,AN134))</f>
        <v/>
      </c>
      <c r="AQ134" s="5" t="str">
        <f>IF(A134="","",IF(M134&lt;&gt;"",0,IF(OR(H134="",N134=""),"",MAX(E134-MAX(N134,IFERROR(SUMPRODUCT(MAX(((持仓跟踪!$A$2:$A$497="每日跟踪")*(持仓跟踪!$B$2:$B$497=A134))*持仓跟踪!$S$2:$S$497)),0)),0)*H134+IF(OR(AK134="",AL134=""),0,MAX(AK134-MAX(N134,IFERROR(SUMPRODUCT(MAX(((持仓跟踪!$A$2:$A$497="每日跟踪")*(持仓跟踪!$B$2:$B$497=A134))*持仓跟踪!$S$2:$S$497)),0)),0)*AL134)+IF(OR(AM134="",AN134=""),0,MAX(AM134-MAX(N134,IFERROR(SUMPRODUCT(MAX(((持仓跟踪!$A$2:$A$497="每日跟踪")*(持仓跟踪!$B$2:$B$497=A134))*持仓跟踪!$S$2:$S$497)),0)),0)*AN134))))</f>
        <v/>
      </c>
      <c r="AR134" s="8" t="str">
        <f ca="1">IF(A134="","",IF(OR(E134="",H134=""),"违规：第一批价格或股数缺失",IF(OR(AND(AK134="",AL134&lt;&gt;""),AND(AK134&lt;&gt;"",AL134="")),"违规：第二批价格与股数须成对填写",IF(OR(AND(AM134="",AN134&lt;&gt;""),AND(AM134&lt;&gt;"",AN134="")),"违规：第三批价格与股数须成对填写",IF(AND(OR(AM134&lt;&gt;"",AN134&lt;&gt;""),OR(AK134="",AL134="")),"违规：必须先完成第二批",IF(OR(H134&lt;=0,H134&lt;&gt;INT(H134),MOD(H134,100)&lt;&gt;0,AND(AL134&lt;&gt;"",OR(AL134&lt;=0,AL134&lt;&gt;INT(AL134),MOD(AL134,100)&lt;&gt;0)),AND(AN134&lt;&gt;"",OR(AN134&lt;=0,AN134&lt;&gt;INT(AN134),MOD(AN134,100)&lt;&gt;0))),"违规：股数须为100股整数倍",IF(AND(OR(AL134&lt;&gt;"",AN134&lt;&gt;""),OR(_LockStatus="已锁仓",_LockStatus="解锁信息不完整")),"违规：锁仓期间禁止加仓",IF(AQ134&gt;C134*D134,"违规：超过单笔风险上限",IF(SUM($AQ$2:$AQ$163)&gt;账户数据!$B$7,"违规：超过账户风险上限","通过")))))))))</f>
        <v/>
      </c>
    </row>
    <row r="135" ht="17" spans="1:44">
      <c r="A135" s="2"/>
      <c r="B135" s="2"/>
      <c r="C135" s="10"/>
      <c r="D135" s="6"/>
      <c r="E135" s="10"/>
      <c r="F135" s="8" t="str">
        <f>IF(OR(C135="",D135="",E135="",N135="",C135&lt;=0,D135&lt;=0,E135&lt;=N135),"",ROUNDDOWN((C135*D135)/(E135-N135)/100,0)*100)</f>
        <v/>
      </c>
      <c r="G135" s="8" t="str">
        <f ca="1"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COUNTIFS(持仓跟踪!$A$2:$A$497,"止损计划",持仓跟踪!$B$2:$B$497,A135,持仓跟踪!$AC$2:$AC$497,"计划有效")=0,"禁止开仓：请先填写止损计划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5" s="2"/>
      <c r="I135" s="15"/>
      <c r="J135" s="10"/>
      <c r="K135" s="5" t="str">
        <f>IF(A135="","",IFERROR(LOOKUP(2,1/((持仓跟踪!$B$2:$B$497=A135)*(持仓跟踪!$X$2:$X$497="执行卖出")*(持仓跟踪!$Y$2:$Y$497&lt;&gt;"")),持仓跟踪!$Y$2:$Y$497),""))</f>
        <v/>
      </c>
      <c r="L135" s="8" t="str">
        <f>IF(A135="","",IFERROR(LOOKUP(2,1/((持仓跟踪!$B$2:$B$497=A135)*(持仓跟踪!$X$2:$X$497="执行卖出")*(持仓跟踪!$Z$2:$Z$497&lt;&gt;"")),持仓跟踪!$Z$2:$Z$497),""))</f>
        <v/>
      </c>
      <c r="M135" s="23" t="str">
        <f>IF(A135="","",IFERROR(LOOKUP(2,1/((持仓跟踪!$B$2:$B$497=A135)*(持仓跟踪!$X$2:$X$497="执行卖出")*(持仓跟踪!$H$2:$H$497&lt;&gt;"")),持仓跟踪!$H$2:$H$497),""))</f>
        <v/>
      </c>
      <c r="N135" s="10"/>
      <c r="O135" s="10"/>
      <c r="P135" s="5" t="str">
        <f>IF(A135="","",IFERROR(LOOKUP(2,1/((持仓跟踪!$B$2:$B$497=A135)*(持仓跟踪!$X$2:$X$497="执行卖出")*(持仓跟踪!$AA$2:$AA$497&lt;&gt;"")),持仓跟踪!$AA$2:$AA$497),""))</f>
        <v/>
      </c>
      <c r="Q135" s="2"/>
      <c r="R135" s="2"/>
      <c r="S135" s="2"/>
      <c r="T135" s="2"/>
      <c r="U135" s="7" t="str">
        <f>IF(OR(AO135="",J135="",AO135&lt;=0),"",(J135-AO135)/AO135)</f>
        <v/>
      </c>
      <c r="V135" s="7" t="str">
        <f>IF(OR(AO135="",N135="",AO135&lt;=0),"",(AO135-N135)/AO135)</f>
        <v/>
      </c>
      <c r="W135" s="24" t="str">
        <f>IF(OR(U135="",V135="",V135&lt;=0),"",U135/V135)</f>
        <v/>
      </c>
      <c r="X135" s="5" t="str">
        <f>IF(OR(K135="",L135="",AP135=""),"",K135*L135-(E135*H135+IF(AND(AK135&lt;&gt;"",AL135&lt;&gt;""),AK135*AL135,0)+IF(AND(AM135&lt;&gt;"",AN135&lt;&gt;""),AM135*AN135,0))-IF(O135="",0,O135)-IF(P135="",0,P135))</f>
        <v/>
      </c>
      <c r="Y135" s="7" t="str">
        <f>IF(OR(X135="",AP135=""),"",IF((E135*H135+IF(AND(AK135&lt;&gt;"",AL135&lt;&gt;""),AK135*AL135,0)+IF(AND(AM135&lt;&gt;"",AN135&lt;&gt;""),AM135*AN135,0))+IF(O135="",0,O135)&lt;=0,"",X135/((E135*H135+IF(AND(AK135&lt;&gt;"",AL135&lt;&gt;""),AK135*AL135,0)+IF(AND(AM135&lt;&gt;"",AN135&lt;&gt;""),AM135*AN135,0))+IF(O135="",0,O135))))</f>
        <v/>
      </c>
      <c r="Z135" s="7" t="str">
        <f>IF(OR(AE135="",多次统计数据!$B$8=""),"",AE135-多次统计数据!$B$8)</f>
        <v/>
      </c>
      <c r="AA135" s="11" t="str">
        <f>IF(OR(I135="",M135="",M135&lt;I135),"",M135-I135)</f>
        <v/>
      </c>
      <c r="AB135" s="7" t="str">
        <f>IF(OR(A135="",多次统计数据!$B$8="",多次统计数据!$B$6&lt;=0,多次统计数据!$B$6&gt;=1),"",1-POWER(1+多次统计数据!$B$8,-多次统计数据!$B$6/(1-多次统计数据!$B$6)))</f>
        <v/>
      </c>
      <c r="AC135" s="8" t="str">
        <f>IF(OR(AB135="",多次统计数据!$B$9=""),"",IF(多次统计数据!$B$9&lt;AB135,"低于上限","达到或超过上限"))</f>
        <v/>
      </c>
      <c r="AD135" s="2"/>
      <c r="AE135" s="7" t="str">
        <f>IF(OR(X135="",C135="",C135&lt;=0),"",X135/C135)</f>
        <v/>
      </c>
      <c r="AG135" s="2"/>
      <c r="AH135" s="2"/>
      <c r="AI135" s="2"/>
      <c r="AJ135" s="8" t="str">
        <f>IF(OR(AG135="",AH135=""),"",IF(OR(AND(AG135="短期博反弹",OR(AH135="1～3个交易日",AH135="4～10个交易日")),AND(AG135="突破冲新高",OR(AH135="4～10个交易日",AH135="11～20个交易日")),AND(AG135="趋势波段",OR(AH135="11～20个交易日",AH135="21～60个交易日",AH135="60个交易日以上"))),"匹配","周期与交易预期不匹配，请重新确认"))</f>
        <v/>
      </c>
      <c r="AK135" s="10"/>
      <c r="AL135" s="12"/>
      <c r="AM135" s="10"/>
      <c r="AN135" s="12"/>
      <c r="AO135" s="5" t="str">
        <f>IF(OR(A135="",H135="",H135&lt;=0),"",(E135*H135+IF(AND(AK135&lt;&gt;"",AL135&lt;&gt;""),AK135*AL135,0)+IF(AND(AM135&lt;&gt;"",AN135&lt;&gt;""),AM135*AN135,0))/AP135)</f>
        <v/>
      </c>
      <c r="AP135" s="11" t="str">
        <f>IF(OR(A135="",H135="",H135&lt;=0),"",H135+IF(AL135="",0,AL135)+IF(AN135="",0,AN135))</f>
        <v/>
      </c>
      <c r="AQ135" s="5" t="str">
        <f>IF(A135="","",IF(M135&lt;&gt;"",0,IF(OR(H135="",N135=""),"",MAX(E135-MAX(N135,IFERROR(SUMPRODUCT(MAX(((持仓跟踪!$A$2:$A$497="每日跟踪")*(持仓跟踪!$B$2:$B$497=A135))*持仓跟踪!$S$2:$S$497)),0)),0)*H135+IF(OR(AK135="",AL135=""),0,MAX(AK135-MAX(N135,IFERROR(SUMPRODUCT(MAX(((持仓跟踪!$A$2:$A$497="每日跟踪")*(持仓跟踪!$B$2:$B$497=A135))*持仓跟踪!$S$2:$S$497)),0)),0)*AL135)+IF(OR(AM135="",AN135=""),0,MAX(AM135-MAX(N135,IFERROR(SUMPRODUCT(MAX(((持仓跟踪!$A$2:$A$497="每日跟踪")*(持仓跟踪!$B$2:$B$497=A135))*持仓跟踪!$S$2:$S$497)),0)),0)*AN135))))</f>
        <v/>
      </c>
      <c r="AR135" s="8" t="str">
        <f ca="1">IF(A135="","",IF(OR(E135="",H135=""),"违规：第一批价格或股数缺失",IF(OR(AND(AK135="",AL135&lt;&gt;""),AND(AK135&lt;&gt;"",AL135="")),"违规：第二批价格与股数须成对填写",IF(OR(AND(AM135="",AN135&lt;&gt;""),AND(AM135&lt;&gt;"",AN135="")),"违规：第三批价格与股数须成对填写",IF(AND(OR(AM135&lt;&gt;"",AN135&lt;&gt;""),OR(AK135="",AL135="")),"违规：必须先完成第二批",IF(OR(H135&lt;=0,H135&lt;&gt;INT(H135),MOD(H135,100)&lt;&gt;0,AND(AL135&lt;&gt;"",OR(AL135&lt;=0,AL135&lt;&gt;INT(AL135),MOD(AL135,100)&lt;&gt;0)),AND(AN135&lt;&gt;"",OR(AN135&lt;=0,AN135&lt;&gt;INT(AN135),MOD(AN135,100)&lt;&gt;0))),"违规：股数须为100股整数倍",IF(AND(OR(AL135&lt;&gt;"",AN135&lt;&gt;""),OR(_LockStatus="已锁仓",_LockStatus="解锁信息不完整")),"违规：锁仓期间禁止加仓",IF(AQ135&gt;C135*D135,"违规：超过单笔风险上限",IF(SUM($AQ$2:$AQ$163)&gt;账户数据!$B$7,"违规：超过账户风险上限","通过")))))))))</f>
        <v/>
      </c>
    </row>
    <row r="136" ht="17" spans="1:44">
      <c r="A136" s="2"/>
      <c r="B136" s="2"/>
      <c r="C136" s="10"/>
      <c r="D136" s="6"/>
      <c r="E136" s="10"/>
      <c r="F136" s="8" t="str">
        <f>IF(OR(C136="",D136="",E136="",N136="",C136&lt;=0,D136&lt;=0,E136&lt;=N136),"",ROUNDDOWN((C136*D136)/(E136-N136)/100,0)*100)</f>
        <v/>
      </c>
      <c r="G136" s="8" t="str">
        <f ca="1"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COUNTIFS(持仓跟踪!$A$2:$A$497,"止损计划",持仓跟踪!$B$2:$B$497,A136,持仓跟踪!$AC$2:$AC$497,"计划有效")=0,"禁止开仓：请先填写止损计划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6" s="2"/>
      <c r="I136" s="15"/>
      <c r="J136" s="10"/>
      <c r="K136" s="5" t="str">
        <f>IF(A136="","",IFERROR(LOOKUP(2,1/((持仓跟踪!$B$2:$B$497=A136)*(持仓跟踪!$X$2:$X$497="执行卖出")*(持仓跟踪!$Y$2:$Y$497&lt;&gt;"")),持仓跟踪!$Y$2:$Y$497),""))</f>
        <v/>
      </c>
      <c r="L136" s="8" t="str">
        <f>IF(A136="","",IFERROR(LOOKUP(2,1/((持仓跟踪!$B$2:$B$497=A136)*(持仓跟踪!$X$2:$X$497="执行卖出")*(持仓跟踪!$Z$2:$Z$497&lt;&gt;"")),持仓跟踪!$Z$2:$Z$497),""))</f>
        <v/>
      </c>
      <c r="M136" s="23" t="str">
        <f>IF(A136="","",IFERROR(LOOKUP(2,1/((持仓跟踪!$B$2:$B$497=A136)*(持仓跟踪!$X$2:$X$497="执行卖出")*(持仓跟踪!$H$2:$H$497&lt;&gt;"")),持仓跟踪!$H$2:$H$497),""))</f>
        <v/>
      </c>
      <c r="N136" s="10"/>
      <c r="O136" s="10"/>
      <c r="P136" s="5" t="str">
        <f>IF(A136="","",IFERROR(LOOKUP(2,1/((持仓跟踪!$B$2:$B$497=A136)*(持仓跟踪!$X$2:$X$497="执行卖出")*(持仓跟踪!$AA$2:$AA$497&lt;&gt;"")),持仓跟踪!$AA$2:$AA$497),""))</f>
        <v/>
      </c>
      <c r="Q136" s="2"/>
      <c r="R136" s="2"/>
      <c r="S136" s="2"/>
      <c r="T136" s="2"/>
      <c r="U136" s="7" t="str">
        <f>IF(OR(AO136="",J136="",AO136&lt;=0),"",(J136-AO136)/AO136)</f>
        <v/>
      </c>
      <c r="V136" s="7" t="str">
        <f>IF(OR(AO136="",N136="",AO136&lt;=0),"",(AO136-N136)/AO136)</f>
        <v/>
      </c>
      <c r="W136" s="24" t="str">
        <f>IF(OR(U136="",V136="",V136&lt;=0),"",U136/V136)</f>
        <v/>
      </c>
      <c r="X136" s="5" t="str">
        <f>IF(OR(K136="",L136="",AP136=""),"",K136*L136-(E136*H136+IF(AND(AK136&lt;&gt;"",AL136&lt;&gt;""),AK136*AL136,0)+IF(AND(AM136&lt;&gt;"",AN136&lt;&gt;""),AM136*AN136,0))-IF(O136="",0,O136)-IF(P136="",0,P136))</f>
        <v/>
      </c>
      <c r="Y136" s="7" t="str">
        <f>IF(OR(X136="",AP136=""),"",IF((E136*H136+IF(AND(AK136&lt;&gt;"",AL136&lt;&gt;""),AK136*AL136,0)+IF(AND(AM136&lt;&gt;"",AN136&lt;&gt;""),AM136*AN136,0))+IF(O136="",0,O136)&lt;=0,"",X136/((E136*H136+IF(AND(AK136&lt;&gt;"",AL136&lt;&gt;""),AK136*AL136,0)+IF(AND(AM136&lt;&gt;"",AN136&lt;&gt;""),AM136*AN136,0))+IF(O136="",0,O136))))</f>
        <v/>
      </c>
      <c r="Z136" s="7" t="str">
        <f>IF(OR(AE136="",多次统计数据!$B$8=""),"",AE136-多次统计数据!$B$8)</f>
        <v/>
      </c>
      <c r="AA136" s="11" t="str">
        <f>IF(OR(I136="",M136="",M136&lt;I136),"",M136-I136)</f>
        <v/>
      </c>
      <c r="AB136" s="7" t="str">
        <f>IF(OR(A136="",多次统计数据!$B$8="",多次统计数据!$B$6&lt;=0,多次统计数据!$B$6&gt;=1),"",1-POWER(1+多次统计数据!$B$8,-多次统计数据!$B$6/(1-多次统计数据!$B$6)))</f>
        <v/>
      </c>
      <c r="AC136" s="8" t="str">
        <f>IF(OR(AB136="",多次统计数据!$B$9=""),"",IF(多次统计数据!$B$9&lt;AB136,"低于上限","达到或超过上限"))</f>
        <v/>
      </c>
      <c r="AD136" s="2"/>
      <c r="AE136" s="7" t="str">
        <f>IF(OR(X136="",C136="",C136&lt;=0),"",X136/C136)</f>
        <v/>
      </c>
      <c r="AG136" s="2"/>
      <c r="AH136" s="2"/>
      <c r="AI136" s="2"/>
      <c r="AJ136" s="8" t="str">
        <f>IF(OR(AG136="",AH136=""),"",IF(OR(AND(AG136="短期博反弹",OR(AH136="1～3个交易日",AH136="4～10个交易日")),AND(AG136="突破冲新高",OR(AH136="4～10个交易日",AH136="11～20个交易日")),AND(AG136="趋势波段",OR(AH136="11～20个交易日",AH136="21～60个交易日",AH136="60个交易日以上"))),"匹配","周期与交易预期不匹配，请重新确认"))</f>
        <v/>
      </c>
      <c r="AK136" s="10"/>
      <c r="AL136" s="12"/>
      <c r="AM136" s="10"/>
      <c r="AN136" s="12"/>
      <c r="AO136" s="5" t="str">
        <f>IF(OR(A136="",H136="",H136&lt;=0),"",(E136*H136+IF(AND(AK136&lt;&gt;"",AL136&lt;&gt;""),AK136*AL136,0)+IF(AND(AM136&lt;&gt;"",AN136&lt;&gt;""),AM136*AN136,0))/AP136)</f>
        <v/>
      </c>
      <c r="AP136" s="11" t="str">
        <f>IF(OR(A136="",H136="",H136&lt;=0),"",H136+IF(AL136="",0,AL136)+IF(AN136="",0,AN136))</f>
        <v/>
      </c>
      <c r="AQ136" s="5" t="str">
        <f>IF(A136="","",IF(M136&lt;&gt;"",0,IF(OR(H136="",N136=""),"",MAX(E136-MAX(N136,IFERROR(SUMPRODUCT(MAX(((持仓跟踪!$A$2:$A$497="每日跟踪")*(持仓跟踪!$B$2:$B$497=A136))*持仓跟踪!$S$2:$S$497)),0)),0)*H136+IF(OR(AK136="",AL136=""),0,MAX(AK136-MAX(N136,IFERROR(SUMPRODUCT(MAX(((持仓跟踪!$A$2:$A$497="每日跟踪")*(持仓跟踪!$B$2:$B$497=A136))*持仓跟踪!$S$2:$S$497)),0)),0)*AL136)+IF(OR(AM136="",AN136=""),0,MAX(AM136-MAX(N136,IFERROR(SUMPRODUCT(MAX(((持仓跟踪!$A$2:$A$497="每日跟踪")*(持仓跟踪!$B$2:$B$497=A136))*持仓跟踪!$S$2:$S$497)),0)),0)*AN136))))</f>
        <v/>
      </c>
      <c r="AR136" s="8" t="str">
        <f ca="1">IF(A136="","",IF(OR(E136="",H136=""),"违规：第一批价格或股数缺失",IF(OR(AND(AK136="",AL136&lt;&gt;""),AND(AK136&lt;&gt;"",AL136="")),"违规：第二批价格与股数须成对填写",IF(OR(AND(AM136="",AN136&lt;&gt;""),AND(AM136&lt;&gt;"",AN136="")),"违规：第三批价格与股数须成对填写",IF(AND(OR(AM136&lt;&gt;"",AN136&lt;&gt;""),OR(AK136="",AL136="")),"违规：必须先完成第二批",IF(OR(H136&lt;=0,H136&lt;&gt;INT(H136),MOD(H136,100)&lt;&gt;0,AND(AL136&lt;&gt;"",OR(AL136&lt;=0,AL136&lt;&gt;INT(AL136),MOD(AL136,100)&lt;&gt;0)),AND(AN136&lt;&gt;"",OR(AN136&lt;=0,AN136&lt;&gt;INT(AN136),MOD(AN136,100)&lt;&gt;0))),"违规：股数须为100股整数倍",IF(AND(OR(AL136&lt;&gt;"",AN136&lt;&gt;""),OR(_LockStatus="已锁仓",_LockStatus="解锁信息不完整")),"违规：锁仓期间禁止加仓",IF(AQ136&gt;C136*D136,"违规：超过单笔风险上限",IF(SUM($AQ$2:$AQ$163)&gt;账户数据!$B$7,"违规：超过账户风险上限","通过")))))))))</f>
        <v/>
      </c>
    </row>
    <row r="137" ht="17" spans="1:44">
      <c r="A137" s="2"/>
      <c r="B137" s="2"/>
      <c r="C137" s="10"/>
      <c r="D137" s="6"/>
      <c r="E137" s="10"/>
      <c r="F137" s="8" t="str">
        <f>IF(OR(C137="",D137="",E137="",N137="",C137&lt;=0,D137&lt;=0,E137&lt;=N137),"",ROUNDDOWN((C137*D137)/(E137-N137)/100,0)*100)</f>
        <v/>
      </c>
      <c r="G137" s="8" t="str">
        <f ca="1"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COUNTIFS(持仓跟踪!$A$2:$A$497,"止损计划",持仓跟踪!$B$2:$B$497,A137,持仓跟踪!$AC$2:$AC$497,"计划有效")=0,"禁止开仓：请先填写止损计划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7" s="2"/>
      <c r="I137" s="15"/>
      <c r="J137" s="10"/>
      <c r="K137" s="5" t="str">
        <f>IF(A137="","",IFERROR(LOOKUP(2,1/((持仓跟踪!$B$2:$B$497=A137)*(持仓跟踪!$X$2:$X$497="执行卖出")*(持仓跟踪!$Y$2:$Y$497&lt;&gt;"")),持仓跟踪!$Y$2:$Y$497),""))</f>
        <v/>
      </c>
      <c r="L137" s="8" t="str">
        <f>IF(A137="","",IFERROR(LOOKUP(2,1/((持仓跟踪!$B$2:$B$497=A137)*(持仓跟踪!$X$2:$X$497="执行卖出")*(持仓跟踪!$Z$2:$Z$497&lt;&gt;"")),持仓跟踪!$Z$2:$Z$497),""))</f>
        <v/>
      </c>
      <c r="M137" s="23" t="str">
        <f>IF(A137="","",IFERROR(LOOKUP(2,1/((持仓跟踪!$B$2:$B$497=A137)*(持仓跟踪!$X$2:$X$497="执行卖出")*(持仓跟踪!$H$2:$H$497&lt;&gt;"")),持仓跟踪!$H$2:$H$497),""))</f>
        <v/>
      </c>
      <c r="N137" s="10"/>
      <c r="O137" s="10"/>
      <c r="P137" s="5" t="str">
        <f>IF(A137="","",IFERROR(LOOKUP(2,1/((持仓跟踪!$B$2:$B$497=A137)*(持仓跟踪!$X$2:$X$497="执行卖出")*(持仓跟踪!$AA$2:$AA$497&lt;&gt;"")),持仓跟踪!$AA$2:$AA$497),""))</f>
        <v/>
      </c>
      <c r="Q137" s="2"/>
      <c r="R137" s="2"/>
      <c r="S137" s="2"/>
      <c r="T137" s="2"/>
      <c r="U137" s="7" t="str">
        <f>IF(OR(AO137="",J137="",AO137&lt;=0),"",(J137-AO137)/AO137)</f>
        <v/>
      </c>
      <c r="V137" s="7" t="str">
        <f>IF(OR(AO137="",N137="",AO137&lt;=0),"",(AO137-N137)/AO137)</f>
        <v/>
      </c>
      <c r="W137" s="24" t="str">
        <f>IF(OR(U137="",V137="",V137&lt;=0),"",U137/V137)</f>
        <v/>
      </c>
      <c r="X137" s="5" t="str">
        <f>IF(OR(K137="",L137="",AP137=""),"",K137*L137-(E137*H137+IF(AND(AK137&lt;&gt;"",AL137&lt;&gt;""),AK137*AL137,0)+IF(AND(AM137&lt;&gt;"",AN137&lt;&gt;""),AM137*AN137,0))-IF(O137="",0,O137)-IF(P137="",0,P137))</f>
        <v/>
      </c>
      <c r="Y137" s="7" t="str">
        <f>IF(OR(X137="",AP137=""),"",IF((E137*H137+IF(AND(AK137&lt;&gt;"",AL137&lt;&gt;""),AK137*AL137,0)+IF(AND(AM137&lt;&gt;"",AN137&lt;&gt;""),AM137*AN137,0))+IF(O137="",0,O137)&lt;=0,"",X137/((E137*H137+IF(AND(AK137&lt;&gt;"",AL137&lt;&gt;""),AK137*AL137,0)+IF(AND(AM137&lt;&gt;"",AN137&lt;&gt;""),AM137*AN137,0))+IF(O137="",0,O137))))</f>
        <v/>
      </c>
      <c r="Z137" s="7" t="str">
        <f>IF(OR(AE137="",多次统计数据!$B$8=""),"",AE137-多次统计数据!$B$8)</f>
        <v/>
      </c>
      <c r="AA137" s="11" t="str">
        <f>IF(OR(I137="",M137="",M137&lt;I137),"",M137-I137)</f>
        <v/>
      </c>
      <c r="AB137" s="7" t="str">
        <f>IF(OR(A137="",多次统计数据!$B$8="",多次统计数据!$B$6&lt;=0,多次统计数据!$B$6&gt;=1),"",1-POWER(1+多次统计数据!$B$8,-多次统计数据!$B$6/(1-多次统计数据!$B$6)))</f>
        <v/>
      </c>
      <c r="AC137" s="8" t="str">
        <f>IF(OR(AB137="",多次统计数据!$B$9=""),"",IF(多次统计数据!$B$9&lt;AB137,"低于上限","达到或超过上限"))</f>
        <v/>
      </c>
      <c r="AD137" s="2"/>
      <c r="AE137" s="7" t="str">
        <f>IF(OR(X137="",C137="",C137&lt;=0),"",X137/C137)</f>
        <v/>
      </c>
      <c r="AG137" s="2"/>
      <c r="AH137" s="2"/>
      <c r="AI137" s="2"/>
      <c r="AJ137" s="8" t="str">
        <f>IF(OR(AG137="",AH137=""),"",IF(OR(AND(AG137="短期博反弹",OR(AH137="1～3个交易日",AH137="4～10个交易日")),AND(AG137="突破冲新高",OR(AH137="4～10个交易日",AH137="11～20个交易日")),AND(AG137="趋势波段",OR(AH137="11～20个交易日",AH137="21～60个交易日",AH137="60个交易日以上"))),"匹配","周期与交易预期不匹配，请重新确认"))</f>
        <v/>
      </c>
      <c r="AK137" s="10"/>
      <c r="AL137" s="12"/>
      <c r="AM137" s="10"/>
      <c r="AN137" s="12"/>
      <c r="AO137" s="5" t="str">
        <f>IF(OR(A137="",H137="",H137&lt;=0),"",(E137*H137+IF(AND(AK137&lt;&gt;"",AL137&lt;&gt;""),AK137*AL137,0)+IF(AND(AM137&lt;&gt;"",AN137&lt;&gt;""),AM137*AN137,0))/AP137)</f>
        <v/>
      </c>
      <c r="AP137" s="11" t="str">
        <f>IF(OR(A137="",H137="",H137&lt;=0),"",H137+IF(AL137="",0,AL137)+IF(AN137="",0,AN137))</f>
        <v/>
      </c>
      <c r="AQ137" s="5" t="str">
        <f>IF(A137="","",IF(M137&lt;&gt;"",0,IF(OR(H137="",N137=""),"",MAX(E137-MAX(N137,IFERROR(SUMPRODUCT(MAX(((持仓跟踪!$A$2:$A$497="每日跟踪")*(持仓跟踪!$B$2:$B$497=A137))*持仓跟踪!$S$2:$S$497)),0)),0)*H137+IF(OR(AK137="",AL137=""),0,MAX(AK137-MAX(N137,IFERROR(SUMPRODUCT(MAX(((持仓跟踪!$A$2:$A$497="每日跟踪")*(持仓跟踪!$B$2:$B$497=A137))*持仓跟踪!$S$2:$S$497)),0)),0)*AL137)+IF(OR(AM137="",AN137=""),0,MAX(AM137-MAX(N137,IFERROR(SUMPRODUCT(MAX(((持仓跟踪!$A$2:$A$497="每日跟踪")*(持仓跟踪!$B$2:$B$497=A137))*持仓跟踪!$S$2:$S$497)),0)),0)*AN137))))</f>
        <v/>
      </c>
      <c r="AR137" s="8" t="str">
        <f ca="1">IF(A137="","",IF(OR(E137="",H137=""),"违规：第一批价格或股数缺失",IF(OR(AND(AK137="",AL137&lt;&gt;""),AND(AK137&lt;&gt;"",AL137="")),"违规：第二批价格与股数须成对填写",IF(OR(AND(AM137="",AN137&lt;&gt;""),AND(AM137&lt;&gt;"",AN137="")),"违规：第三批价格与股数须成对填写",IF(AND(OR(AM137&lt;&gt;"",AN137&lt;&gt;""),OR(AK137="",AL137="")),"违规：必须先完成第二批",IF(OR(H137&lt;=0,H137&lt;&gt;INT(H137),MOD(H137,100)&lt;&gt;0,AND(AL137&lt;&gt;"",OR(AL137&lt;=0,AL137&lt;&gt;INT(AL137),MOD(AL137,100)&lt;&gt;0)),AND(AN137&lt;&gt;"",OR(AN137&lt;=0,AN137&lt;&gt;INT(AN137),MOD(AN137,100)&lt;&gt;0))),"违规：股数须为100股整数倍",IF(AND(OR(AL137&lt;&gt;"",AN137&lt;&gt;""),OR(_LockStatus="已锁仓",_LockStatus="解锁信息不完整")),"违规：锁仓期间禁止加仓",IF(AQ137&gt;C137*D137,"违规：超过单笔风险上限",IF(SUM($AQ$2:$AQ$163)&gt;账户数据!$B$7,"违规：超过账户风险上限","通过")))))))))</f>
        <v/>
      </c>
    </row>
    <row r="138" ht="17" spans="1:44">
      <c r="A138" s="2"/>
      <c r="B138" s="2"/>
      <c r="C138" s="10"/>
      <c r="D138" s="6"/>
      <c r="E138" s="10"/>
      <c r="F138" s="8" t="str">
        <f>IF(OR(C138="",D138="",E138="",N138="",C138&lt;=0,D138&lt;=0,E138&lt;=N138),"",ROUNDDOWN((C138*D138)/(E138-N138)/100,0)*100)</f>
        <v/>
      </c>
      <c r="G138" s="8" t="str">
        <f ca="1"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COUNTIFS(持仓跟踪!$A$2:$A$497,"止损计划",持仓跟踪!$B$2:$B$497,A138,持仓跟踪!$AC$2:$AC$497,"计划有效")=0,"禁止开仓：请先填写止损计划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8" s="2"/>
      <c r="I138" s="15"/>
      <c r="J138" s="10"/>
      <c r="K138" s="5" t="str">
        <f>IF(A138="","",IFERROR(LOOKUP(2,1/((持仓跟踪!$B$2:$B$497=A138)*(持仓跟踪!$X$2:$X$497="执行卖出")*(持仓跟踪!$Y$2:$Y$497&lt;&gt;"")),持仓跟踪!$Y$2:$Y$497),""))</f>
        <v/>
      </c>
      <c r="L138" s="8" t="str">
        <f>IF(A138="","",IFERROR(LOOKUP(2,1/((持仓跟踪!$B$2:$B$497=A138)*(持仓跟踪!$X$2:$X$497="执行卖出")*(持仓跟踪!$Z$2:$Z$497&lt;&gt;"")),持仓跟踪!$Z$2:$Z$497),""))</f>
        <v/>
      </c>
      <c r="M138" s="23" t="str">
        <f>IF(A138="","",IFERROR(LOOKUP(2,1/((持仓跟踪!$B$2:$B$497=A138)*(持仓跟踪!$X$2:$X$497="执行卖出")*(持仓跟踪!$H$2:$H$497&lt;&gt;"")),持仓跟踪!$H$2:$H$497),""))</f>
        <v/>
      </c>
      <c r="N138" s="10"/>
      <c r="O138" s="10"/>
      <c r="P138" s="5" t="str">
        <f>IF(A138="","",IFERROR(LOOKUP(2,1/((持仓跟踪!$B$2:$B$497=A138)*(持仓跟踪!$X$2:$X$497="执行卖出")*(持仓跟踪!$AA$2:$AA$497&lt;&gt;"")),持仓跟踪!$AA$2:$AA$497),""))</f>
        <v/>
      </c>
      <c r="Q138" s="2"/>
      <c r="R138" s="2"/>
      <c r="S138" s="2"/>
      <c r="T138" s="2"/>
      <c r="U138" s="7" t="str">
        <f>IF(OR(AO138="",J138="",AO138&lt;=0),"",(J138-AO138)/AO138)</f>
        <v/>
      </c>
      <c r="V138" s="7" t="str">
        <f>IF(OR(AO138="",N138="",AO138&lt;=0),"",(AO138-N138)/AO138)</f>
        <v/>
      </c>
      <c r="W138" s="24" t="str">
        <f>IF(OR(U138="",V138="",V138&lt;=0),"",U138/V138)</f>
        <v/>
      </c>
      <c r="X138" s="5" t="str">
        <f>IF(OR(K138="",L138="",AP138=""),"",K138*L138-(E138*H138+IF(AND(AK138&lt;&gt;"",AL138&lt;&gt;""),AK138*AL138,0)+IF(AND(AM138&lt;&gt;"",AN138&lt;&gt;""),AM138*AN138,0))-IF(O138="",0,O138)-IF(P138="",0,P138))</f>
        <v/>
      </c>
      <c r="Y138" s="7" t="str">
        <f>IF(OR(X138="",AP138=""),"",IF((E138*H138+IF(AND(AK138&lt;&gt;"",AL138&lt;&gt;""),AK138*AL138,0)+IF(AND(AM138&lt;&gt;"",AN138&lt;&gt;""),AM138*AN138,0))+IF(O138="",0,O138)&lt;=0,"",X138/((E138*H138+IF(AND(AK138&lt;&gt;"",AL138&lt;&gt;""),AK138*AL138,0)+IF(AND(AM138&lt;&gt;"",AN138&lt;&gt;""),AM138*AN138,0))+IF(O138="",0,O138))))</f>
        <v/>
      </c>
      <c r="Z138" s="7" t="str">
        <f>IF(OR(AE138="",多次统计数据!$B$8=""),"",AE138-多次统计数据!$B$8)</f>
        <v/>
      </c>
      <c r="AA138" s="11" t="str">
        <f>IF(OR(I138="",M138="",M138&lt;I138),"",M138-I138)</f>
        <v/>
      </c>
      <c r="AB138" s="7" t="str">
        <f>IF(OR(A138="",多次统计数据!$B$8="",多次统计数据!$B$6&lt;=0,多次统计数据!$B$6&gt;=1),"",1-POWER(1+多次统计数据!$B$8,-多次统计数据!$B$6/(1-多次统计数据!$B$6)))</f>
        <v/>
      </c>
      <c r="AC138" s="8" t="str">
        <f>IF(OR(AB138="",多次统计数据!$B$9=""),"",IF(多次统计数据!$B$9&lt;AB138,"低于上限","达到或超过上限"))</f>
        <v/>
      </c>
      <c r="AD138" s="2"/>
      <c r="AE138" s="7" t="str">
        <f>IF(OR(X138="",C138="",C138&lt;=0),"",X138/C138)</f>
        <v/>
      </c>
      <c r="AG138" s="2"/>
      <c r="AH138" s="2"/>
      <c r="AI138" s="2"/>
      <c r="AJ138" s="8" t="str">
        <f>IF(OR(AG138="",AH138=""),"",IF(OR(AND(AG138="短期博反弹",OR(AH138="1～3个交易日",AH138="4～10个交易日")),AND(AG138="突破冲新高",OR(AH138="4～10个交易日",AH138="11～20个交易日")),AND(AG138="趋势波段",OR(AH138="11～20个交易日",AH138="21～60个交易日",AH138="60个交易日以上"))),"匹配","周期与交易预期不匹配，请重新确认"))</f>
        <v/>
      </c>
      <c r="AK138" s="10"/>
      <c r="AL138" s="12"/>
      <c r="AM138" s="10"/>
      <c r="AN138" s="12"/>
      <c r="AO138" s="5" t="str">
        <f>IF(OR(A138="",H138="",H138&lt;=0),"",(E138*H138+IF(AND(AK138&lt;&gt;"",AL138&lt;&gt;""),AK138*AL138,0)+IF(AND(AM138&lt;&gt;"",AN138&lt;&gt;""),AM138*AN138,0))/AP138)</f>
        <v/>
      </c>
      <c r="AP138" s="11" t="str">
        <f>IF(OR(A138="",H138="",H138&lt;=0),"",H138+IF(AL138="",0,AL138)+IF(AN138="",0,AN138))</f>
        <v/>
      </c>
      <c r="AQ138" s="5" t="str">
        <f>IF(A138="","",IF(M138&lt;&gt;"",0,IF(OR(H138="",N138=""),"",MAX(E138-MAX(N138,IFERROR(SUMPRODUCT(MAX(((持仓跟踪!$A$2:$A$497="每日跟踪")*(持仓跟踪!$B$2:$B$497=A138))*持仓跟踪!$S$2:$S$497)),0)),0)*H138+IF(OR(AK138="",AL138=""),0,MAX(AK138-MAX(N138,IFERROR(SUMPRODUCT(MAX(((持仓跟踪!$A$2:$A$497="每日跟踪")*(持仓跟踪!$B$2:$B$497=A138))*持仓跟踪!$S$2:$S$497)),0)),0)*AL138)+IF(OR(AM138="",AN138=""),0,MAX(AM138-MAX(N138,IFERROR(SUMPRODUCT(MAX(((持仓跟踪!$A$2:$A$497="每日跟踪")*(持仓跟踪!$B$2:$B$497=A138))*持仓跟踪!$S$2:$S$497)),0)),0)*AN138))))</f>
        <v/>
      </c>
      <c r="AR138" s="8" t="str">
        <f ca="1">IF(A138="","",IF(OR(E138="",H138=""),"违规：第一批价格或股数缺失",IF(OR(AND(AK138="",AL138&lt;&gt;""),AND(AK138&lt;&gt;"",AL138="")),"违规：第二批价格与股数须成对填写",IF(OR(AND(AM138="",AN138&lt;&gt;""),AND(AM138&lt;&gt;"",AN138="")),"违规：第三批价格与股数须成对填写",IF(AND(OR(AM138&lt;&gt;"",AN138&lt;&gt;""),OR(AK138="",AL138="")),"违规：必须先完成第二批",IF(OR(H138&lt;=0,H138&lt;&gt;INT(H138),MOD(H138,100)&lt;&gt;0,AND(AL138&lt;&gt;"",OR(AL138&lt;=0,AL138&lt;&gt;INT(AL138),MOD(AL138,100)&lt;&gt;0)),AND(AN138&lt;&gt;"",OR(AN138&lt;=0,AN138&lt;&gt;INT(AN138),MOD(AN138,100)&lt;&gt;0))),"违规：股数须为100股整数倍",IF(AND(OR(AL138&lt;&gt;"",AN138&lt;&gt;""),OR(_LockStatus="已锁仓",_LockStatus="解锁信息不完整")),"违规：锁仓期间禁止加仓",IF(AQ138&gt;C138*D138,"违规：超过单笔风险上限",IF(SUM($AQ$2:$AQ$163)&gt;账户数据!$B$7,"违规：超过账户风险上限","通过")))))))))</f>
        <v/>
      </c>
    </row>
    <row r="139" ht="17" spans="1:44">
      <c r="A139" s="2"/>
      <c r="B139" s="2"/>
      <c r="C139" s="10"/>
      <c r="D139" s="6"/>
      <c r="E139" s="10"/>
      <c r="F139" s="8" t="str">
        <f>IF(OR(C139="",D139="",E139="",N139="",C139&lt;=0,D139&lt;=0,E139&lt;=N139),"",ROUNDDOWN((C139*D139)/(E139-N139)/100,0)*100)</f>
        <v/>
      </c>
      <c r="G139" s="8" t="str">
        <f ca="1"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COUNTIFS(持仓跟踪!$A$2:$A$497,"止损计划",持仓跟踪!$B$2:$B$497,A139,持仓跟踪!$AC$2:$AC$497,"计划有效")=0,"禁止开仓：请先填写止损计划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9" s="2"/>
      <c r="I139" s="15"/>
      <c r="J139" s="10"/>
      <c r="K139" s="5" t="str">
        <f>IF(A139="","",IFERROR(LOOKUP(2,1/((持仓跟踪!$B$2:$B$497=A139)*(持仓跟踪!$X$2:$X$497="执行卖出")*(持仓跟踪!$Y$2:$Y$497&lt;&gt;"")),持仓跟踪!$Y$2:$Y$497),""))</f>
        <v/>
      </c>
      <c r="L139" s="8" t="str">
        <f>IF(A139="","",IFERROR(LOOKUP(2,1/((持仓跟踪!$B$2:$B$497=A139)*(持仓跟踪!$X$2:$X$497="执行卖出")*(持仓跟踪!$Z$2:$Z$497&lt;&gt;"")),持仓跟踪!$Z$2:$Z$497),""))</f>
        <v/>
      </c>
      <c r="M139" s="23" t="str">
        <f>IF(A139="","",IFERROR(LOOKUP(2,1/((持仓跟踪!$B$2:$B$497=A139)*(持仓跟踪!$X$2:$X$497="执行卖出")*(持仓跟踪!$H$2:$H$497&lt;&gt;"")),持仓跟踪!$H$2:$H$497),""))</f>
        <v/>
      </c>
      <c r="N139" s="10"/>
      <c r="O139" s="10"/>
      <c r="P139" s="5" t="str">
        <f>IF(A139="","",IFERROR(LOOKUP(2,1/((持仓跟踪!$B$2:$B$497=A139)*(持仓跟踪!$X$2:$X$497="执行卖出")*(持仓跟踪!$AA$2:$AA$497&lt;&gt;"")),持仓跟踪!$AA$2:$AA$497),""))</f>
        <v/>
      </c>
      <c r="Q139" s="2"/>
      <c r="R139" s="2"/>
      <c r="S139" s="2"/>
      <c r="T139" s="2"/>
      <c r="U139" s="7" t="str">
        <f>IF(OR(AO139="",J139="",AO139&lt;=0),"",(J139-AO139)/AO139)</f>
        <v/>
      </c>
      <c r="V139" s="7" t="str">
        <f>IF(OR(AO139="",N139="",AO139&lt;=0),"",(AO139-N139)/AO139)</f>
        <v/>
      </c>
      <c r="W139" s="24" t="str">
        <f>IF(OR(U139="",V139="",V139&lt;=0),"",U139/V139)</f>
        <v/>
      </c>
      <c r="X139" s="5" t="str">
        <f>IF(OR(K139="",L139="",AP139=""),"",K139*L139-(E139*H139+IF(AND(AK139&lt;&gt;"",AL139&lt;&gt;""),AK139*AL139,0)+IF(AND(AM139&lt;&gt;"",AN139&lt;&gt;""),AM139*AN139,0))-IF(O139="",0,O139)-IF(P139="",0,P139))</f>
        <v/>
      </c>
      <c r="Y139" s="7" t="str">
        <f>IF(OR(X139="",AP139=""),"",IF((E139*H139+IF(AND(AK139&lt;&gt;"",AL139&lt;&gt;""),AK139*AL139,0)+IF(AND(AM139&lt;&gt;"",AN139&lt;&gt;""),AM139*AN139,0))+IF(O139="",0,O139)&lt;=0,"",X139/((E139*H139+IF(AND(AK139&lt;&gt;"",AL139&lt;&gt;""),AK139*AL139,0)+IF(AND(AM139&lt;&gt;"",AN139&lt;&gt;""),AM139*AN139,0))+IF(O139="",0,O139))))</f>
        <v/>
      </c>
      <c r="Z139" s="7" t="str">
        <f>IF(OR(AE139="",多次统计数据!$B$8=""),"",AE139-多次统计数据!$B$8)</f>
        <v/>
      </c>
      <c r="AA139" s="11" t="str">
        <f>IF(OR(I139="",M139="",M139&lt;I139),"",M139-I139)</f>
        <v/>
      </c>
      <c r="AB139" s="7" t="str">
        <f>IF(OR(A139="",多次统计数据!$B$8="",多次统计数据!$B$6&lt;=0,多次统计数据!$B$6&gt;=1),"",1-POWER(1+多次统计数据!$B$8,-多次统计数据!$B$6/(1-多次统计数据!$B$6)))</f>
        <v/>
      </c>
      <c r="AC139" s="8" t="str">
        <f>IF(OR(AB139="",多次统计数据!$B$9=""),"",IF(多次统计数据!$B$9&lt;AB139,"低于上限","达到或超过上限"))</f>
        <v/>
      </c>
      <c r="AD139" s="2"/>
      <c r="AE139" s="7" t="str">
        <f>IF(OR(X139="",C139="",C139&lt;=0),"",X139/C139)</f>
        <v/>
      </c>
      <c r="AG139" s="2"/>
      <c r="AH139" s="2"/>
      <c r="AI139" s="2"/>
      <c r="AJ139" s="8" t="str">
        <f>IF(OR(AG139="",AH139=""),"",IF(OR(AND(AG139="短期博反弹",OR(AH139="1～3个交易日",AH139="4～10个交易日")),AND(AG139="突破冲新高",OR(AH139="4～10个交易日",AH139="11～20个交易日")),AND(AG139="趋势波段",OR(AH139="11～20个交易日",AH139="21～60个交易日",AH139="60个交易日以上"))),"匹配","周期与交易预期不匹配，请重新确认"))</f>
        <v/>
      </c>
      <c r="AK139" s="10"/>
      <c r="AL139" s="12"/>
      <c r="AM139" s="10"/>
      <c r="AN139" s="12"/>
      <c r="AO139" s="5" t="str">
        <f>IF(OR(A139="",H139="",H139&lt;=0),"",(E139*H139+IF(AND(AK139&lt;&gt;"",AL139&lt;&gt;""),AK139*AL139,0)+IF(AND(AM139&lt;&gt;"",AN139&lt;&gt;""),AM139*AN139,0))/AP139)</f>
        <v/>
      </c>
      <c r="AP139" s="11" t="str">
        <f>IF(OR(A139="",H139="",H139&lt;=0),"",H139+IF(AL139="",0,AL139)+IF(AN139="",0,AN139))</f>
        <v/>
      </c>
      <c r="AQ139" s="5" t="str">
        <f>IF(A139="","",IF(M139&lt;&gt;"",0,IF(OR(H139="",N139=""),"",MAX(E139-MAX(N139,IFERROR(SUMPRODUCT(MAX(((持仓跟踪!$A$2:$A$497="每日跟踪")*(持仓跟踪!$B$2:$B$497=A139))*持仓跟踪!$S$2:$S$497)),0)),0)*H139+IF(OR(AK139="",AL139=""),0,MAX(AK139-MAX(N139,IFERROR(SUMPRODUCT(MAX(((持仓跟踪!$A$2:$A$497="每日跟踪")*(持仓跟踪!$B$2:$B$497=A139))*持仓跟踪!$S$2:$S$497)),0)),0)*AL139)+IF(OR(AM139="",AN139=""),0,MAX(AM139-MAX(N139,IFERROR(SUMPRODUCT(MAX(((持仓跟踪!$A$2:$A$497="每日跟踪")*(持仓跟踪!$B$2:$B$497=A139))*持仓跟踪!$S$2:$S$497)),0)),0)*AN139))))</f>
        <v/>
      </c>
      <c r="AR139" s="8" t="str">
        <f ca="1">IF(A139="","",IF(OR(E139="",H139=""),"违规：第一批价格或股数缺失",IF(OR(AND(AK139="",AL139&lt;&gt;""),AND(AK139&lt;&gt;"",AL139="")),"违规：第二批价格与股数须成对填写",IF(OR(AND(AM139="",AN139&lt;&gt;""),AND(AM139&lt;&gt;"",AN139="")),"违规：第三批价格与股数须成对填写",IF(AND(OR(AM139&lt;&gt;"",AN139&lt;&gt;""),OR(AK139="",AL139="")),"违规：必须先完成第二批",IF(OR(H139&lt;=0,H139&lt;&gt;INT(H139),MOD(H139,100)&lt;&gt;0,AND(AL139&lt;&gt;"",OR(AL139&lt;=0,AL139&lt;&gt;INT(AL139),MOD(AL139,100)&lt;&gt;0)),AND(AN139&lt;&gt;"",OR(AN139&lt;=0,AN139&lt;&gt;INT(AN139),MOD(AN139,100)&lt;&gt;0))),"违规：股数须为100股整数倍",IF(AND(OR(AL139&lt;&gt;"",AN139&lt;&gt;""),OR(_LockStatus="已锁仓",_LockStatus="解锁信息不完整")),"违规：锁仓期间禁止加仓",IF(AQ139&gt;C139*D139,"违规：超过单笔风险上限",IF(SUM($AQ$2:$AQ$163)&gt;账户数据!$B$7,"违规：超过账户风险上限","通过")))))))))</f>
        <v/>
      </c>
    </row>
    <row r="140" ht="17" spans="1:44">
      <c r="A140" s="2"/>
      <c r="B140" s="2"/>
      <c r="C140" s="10"/>
      <c r="D140" s="6"/>
      <c r="E140" s="10"/>
      <c r="F140" s="8" t="str">
        <f>IF(OR(C140="",D140="",E140="",N140="",C140&lt;=0,D140&lt;=0,E140&lt;=N140),"",ROUNDDOWN((C140*D140)/(E140-N140)/100,0)*100)</f>
        <v/>
      </c>
      <c r="G140" s="8" t="str">
        <f ca="1"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COUNTIFS(持仓跟踪!$A$2:$A$497,"止损计划",持仓跟踪!$B$2:$B$497,A140,持仓跟踪!$AC$2:$AC$497,"计划有效")=0,"禁止开仓：请先填写止损计划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0" s="2"/>
      <c r="I140" s="15"/>
      <c r="J140" s="10"/>
      <c r="K140" s="5" t="str">
        <f>IF(A140="","",IFERROR(LOOKUP(2,1/((持仓跟踪!$B$2:$B$497=A140)*(持仓跟踪!$X$2:$X$497="执行卖出")*(持仓跟踪!$Y$2:$Y$497&lt;&gt;"")),持仓跟踪!$Y$2:$Y$497),""))</f>
        <v/>
      </c>
      <c r="L140" s="8" t="str">
        <f>IF(A140="","",IFERROR(LOOKUP(2,1/((持仓跟踪!$B$2:$B$497=A140)*(持仓跟踪!$X$2:$X$497="执行卖出")*(持仓跟踪!$Z$2:$Z$497&lt;&gt;"")),持仓跟踪!$Z$2:$Z$497),""))</f>
        <v/>
      </c>
      <c r="M140" s="23" t="str">
        <f>IF(A140="","",IFERROR(LOOKUP(2,1/((持仓跟踪!$B$2:$B$497=A140)*(持仓跟踪!$X$2:$X$497="执行卖出")*(持仓跟踪!$H$2:$H$497&lt;&gt;"")),持仓跟踪!$H$2:$H$497),""))</f>
        <v/>
      </c>
      <c r="N140" s="10"/>
      <c r="O140" s="10"/>
      <c r="P140" s="5" t="str">
        <f>IF(A140="","",IFERROR(LOOKUP(2,1/((持仓跟踪!$B$2:$B$497=A140)*(持仓跟踪!$X$2:$X$497="执行卖出")*(持仓跟踪!$AA$2:$AA$497&lt;&gt;"")),持仓跟踪!$AA$2:$AA$497),""))</f>
        <v/>
      </c>
      <c r="Q140" s="2"/>
      <c r="R140" s="2"/>
      <c r="S140" s="2"/>
      <c r="T140" s="2"/>
      <c r="U140" s="7" t="str">
        <f>IF(OR(AO140="",J140="",AO140&lt;=0),"",(J140-AO140)/AO140)</f>
        <v/>
      </c>
      <c r="V140" s="7" t="str">
        <f>IF(OR(AO140="",N140="",AO140&lt;=0),"",(AO140-N140)/AO140)</f>
        <v/>
      </c>
      <c r="W140" s="24" t="str">
        <f>IF(OR(U140="",V140="",V140&lt;=0),"",U140/V140)</f>
        <v/>
      </c>
      <c r="X140" s="5" t="str">
        <f>IF(OR(K140="",L140="",AP140=""),"",K140*L140-(E140*H140+IF(AND(AK140&lt;&gt;"",AL140&lt;&gt;""),AK140*AL140,0)+IF(AND(AM140&lt;&gt;"",AN140&lt;&gt;""),AM140*AN140,0))-IF(O140="",0,O140)-IF(P140="",0,P140))</f>
        <v/>
      </c>
      <c r="Y140" s="7" t="str">
        <f>IF(OR(X140="",AP140=""),"",IF((E140*H140+IF(AND(AK140&lt;&gt;"",AL140&lt;&gt;""),AK140*AL140,0)+IF(AND(AM140&lt;&gt;"",AN140&lt;&gt;""),AM140*AN140,0))+IF(O140="",0,O140)&lt;=0,"",X140/((E140*H140+IF(AND(AK140&lt;&gt;"",AL140&lt;&gt;""),AK140*AL140,0)+IF(AND(AM140&lt;&gt;"",AN140&lt;&gt;""),AM140*AN140,0))+IF(O140="",0,O140))))</f>
        <v/>
      </c>
      <c r="Z140" s="7" t="str">
        <f>IF(OR(AE140="",多次统计数据!$B$8=""),"",AE140-多次统计数据!$B$8)</f>
        <v/>
      </c>
      <c r="AA140" s="11" t="str">
        <f>IF(OR(I140="",M140="",M140&lt;I140),"",M140-I140)</f>
        <v/>
      </c>
      <c r="AB140" s="7" t="str">
        <f>IF(OR(A140="",多次统计数据!$B$8="",多次统计数据!$B$6&lt;=0,多次统计数据!$B$6&gt;=1),"",1-POWER(1+多次统计数据!$B$8,-多次统计数据!$B$6/(1-多次统计数据!$B$6)))</f>
        <v/>
      </c>
      <c r="AC140" s="8" t="str">
        <f>IF(OR(AB140="",多次统计数据!$B$9=""),"",IF(多次统计数据!$B$9&lt;AB140,"低于上限","达到或超过上限"))</f>
        <v/>
      </c>
      <c r="AD140" s="2"/>
      <c r="AE140" s="7" t="str">
        <f>IF(OR(X140="",C140="",C140&lt;=0),"",X140/C140)</f>
        <v/>
      </c>
      <c r="AG140" s="2"/>
      <c r="AH140" s="2"/>
      <c r="AI140" s="2"/>
      <c r="AJ140" s="8" t="str">
        <f>IF(OR(AG140="",AH140=""),"",IF(OR(AND(AG140="短期博反弹",OR(AH140="1～3个交易日",AH140="4～10个交易日")),AND(AG140="突破冲新高",OR(AH140="4～10个交易日",AH140="11～20个交易日")),AND(AG140="趋势波段",OR(AH140="11～20个交易日",AH140="21～60个交易日",AH140="60个交易日以上"))),"匹配","周期与交易预期不匹配，请重新确认"))</f>
        <v/>
      </c>
      <c r="AK140" s="10"/>
      <c r="AL140" s="12"/>
      <c r="AM140" s="10"/>
      <c r="AN140" s="12"/>
      <c r="AO140" s="5" t="str">
        <f>IF(OR(A140="",H140="",H140&lt;=0),"",(E140*H140+IF(AND(AK140&lt;&gt;"",AL140&lt;&gt;""),AK140*AL140,0)+IF(AND(AM140&lt;&gt;"",AN140&lt;&gt;""),AM140*AN140,0))/AP140)</f>
        <v/>
      </c>
      <c r="AP140" s="11" t="str">
        <f>IF(OR(A140="",H140="",H140&lt;=0),"",H140+IF(AL140="",0,AL140)+IF(AN140="",0,AN140))</f>
        <v/>
      </c>
      <c r="AQ140" s="5" t="str">
        <f>IF(A140="","",IF(M140&lt;&gt;"",0,IF(OR(H140="",N140=""),"",MAX(E140-MAX(N140,IFERROR(SUMPRODUCT(MAX(((持仓跟踪!$A$2:$A$497="每日跟踪")*(持仓跟踪!$B$2:$B$497=A140))*持仓跟踪!$S$2:$S$497)),0)),0)*H140+IF(OR(AK140="",AL140=""),0,MAX(AK140-MAX(N140,IFERROR(SUMPRODUCT(MAX(((持仓跟踪!$A$2:$A$497="每日跟踪")*(持仓跟踪!$B$2:$B$497=A140))*持仓跟踪!$S$2:$S$497)),0)),0)*AL140)+IF(OR(AM140="",AN140=""),0,MAX(AM140-MAX(N140,IFERROR(SUMPRODUCT(MAX(((持仓跟踪!$A$2:$A$497="每日跟踪")*(持仓跟踪!$B$2:$B$497=A140))*持仓跟踪!$S$2:$S$497)),0)),0)*AN140))))</f>
        <v/>
      </c>
      <c r="AR140" s="8" t="str">
        <f ca="1">IF(A140="","",IF(OR(E140="",H140=""),"违规：第一批价格或股数缺失",IF(OR(AND(AK140="",AL140&lt;&gt;""),AND(AK140&lt;&gt;"",AL140="")),"违规：第二批价格与股数须成对填写",IF(OR(AND(AM140="",AN140&lt;&gt;""),AND(AM140&lt;&gt;"",AN140="")),"违规：第三批价格与股数须成对填写",IF(AND(OR(AM140&lt;&gt;"",AN140&lt;&gt;""),OR(AK140="",AL140="")),"违规：必须先完成第二批",IF(OR(H140&lt;=0,H140&lt;&gt;INT(H140),MOD(H140,100)&lt;&gt;0,AND(AL140&lt;&gt;"",OR(AL140&lt;=0,AL140&lt;&gt;INT(AL140),MOD(AL140,100)&lt;&gt;0)),AND(AN140&lt;&gt;"",OR(AN140&lt;=0,AN140&lt;&gt;INT(AN140),MOD(AN140,100)&lt;&gt;0))),"违规：股数须为100股整数倍",IF(AND(OR(AL140&lt;&gt;"",AN140&lt;&gt;""),OR(_LockStatus="已锁仓",_LockStatus="解锁信息不完整")),"违规：锁仓期间禁止加仓",IF(AQ140&gt;C140*D140,"违规：超过单笔风险上限",IF(SUM($AQ$2:$AQ$163)&gt;账户数据!$B$7,"违规：超过账户风险上限","通过")))))))))</f>
        <v/>
      </c>
    </row>
    <row r="141" ht="17" spans="1:44">
      <c r="A141" s="2"/>
      <c r="B141" s="2"/>
      <c r="C141" s="10"/>
      <c r="D141" s="6"/>
      <c r="E141" s="10"/>
      <c r="F141" s="8" t="str">
        <f>IF(OR(C141="",D141="",E141="",N141="",C141&lt;=0,D141&lt;=0,E141&lt;=N141),"",ROUNDDOWN((C141*D141)/(E141-N141)/100,0)*100)</f>
        <v/>
      </c>
      <c r="G141" s="8" t="str">
        <f ca="1"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COUNTIFS(持仓跟踪!$A$2:$A$497,"止损计划",持仓跟踪!$B$2:$B$497,A141,持仓跟踪!$AC$2:$AC$497,"计划有效")=0,"禁止开仓：请先填写止损计划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1" s="2"/>
      <c r="I141" s="15"/>
      <c r="J141" s="10"/>
      <c r="K141" s="5" t="str">
        <f>IF(A141="","",IFERROR(LOOKUP(2,1/((持仓跟踪!$B$2:$B$497=A141)*(持仓跟踪!$X$2:$X$497="执行卖出")*(持仓跟踪!$Y$2:$Y$497&lt;&gt;"")),持仓跟踪!$Y$2:$Y$497),""))</f>
        <v/>
      </c>
      <c r="L141" s="8" t="str">
        <f>IF(A141="","",IFERROR(LOOKUP(2,1/((持仓跟踪!$B$2:$B$497=A141)*(持仓跟踪!$X$2:$X$497="执行卖出")*(持仓跟踪!$Z$2:$Z$497&lt;&gt;"")),持仓跟踪!$Z$2:$Z$497),""))</f>
        <v/>
      </c>
      <c r="M141" s="23" t="str">
        <f>IF(A141="","",IFERROR(LOOKUP(2,1/((持仓跟踪!$B$2:$B$497=A141)*(持仓跟踪!$X$2:$X$497="执行卖出")*(持仓跟踪!$H$2:$H$497&lt;&gt;"")),持仓跟踪!$H$2:$H$497),""))</f>
        <v/>
      </c>
      <c r="N141" s="10"/>
      <c r="O141" s="10"/>
      <c r="P141" s="5" t="str">
        <f>IF(A141="","",IFERROR(LOOKUP(2,1/((持仓跟踪!$B$2:$B$497=A141)*(持仓跟踪!$X$2:$X$497="执行卖出")*(持仓跟踪!$AA$2:$AA$497&lt;&gt;"")),持仓跟踪!$AA$2:$AA$497),""))</f>
        <v/>
      </c>
      <c r="Q141" s="2"/>
      <c r="R141" s="2"/>
      <c r="S141" s="2"/>
      <c r="T141" s="2"/>
      <c r="U141" s="7" t="str">
        <f>IF(OR(AO141="",J141="",AO141&lt;=0),"",(J141-AO141)/AO141)</f>
        <v/>
      </c>
      <c r="V141" s="7" t="str">
        <f>IF(OR(AO141="",N141="",AO141&lt;=0),"",(AO141-N141)/AO141)</f>
        <v/>
      </c>
      <c r="W141" s="24" t="str">
        <f>IF(OR(U141="",V141="",V141&lt;=0),"",U141/V141)</f>
        <v/>
      </c>
      <c r="X141" s="5" t="str">
        <f>IF(OR(K141="",L141="",AP141=""),"",K141*L141-(E141*H141+IF(AND(AK141&lt;&gt;"",AL141&lt;&gt;""),AK141*AL141,0)+IF(AND(AM141&lt;&gt;"",AN141&lt;&gt;""),AM141*AN141,0))-IF(O141="",0,O141)-IF(P141="",0,P141))</f>
        <v/>
      </c>
      <c r="Y141" s="7" t="str">
        <f>IF(OR(X141="",AP141=""),"",IF((E141*H141+IF(AND(AK141&lt;&gt;"",AL141&lt;&gt;""),AK141*AL141,0)+IF(AND(AM141&lt;&gt;"",AN141&lt;&gt;""),AM141*AN141,0))+IF(O141="",0,O141)&lt;=0,"",X141/((E141*H141+IF(AND(AK141&lt;&gt;"",AL141&lt;&gt;""),AK141*AL141,0)+IF(AND(AM141&lt;&gt;"",AN141&lt;&gt;""),AM141*AN141,0))+IF(O141="",0,O141))))</f>
        <v/>
      </c>
      <c r="Z141" s="7" t="str">
        <f>IF(OR(AE141="",多次统计数据!$B$8=""),"",AE141-多次统计数据!$B$8)</f>
        <v/>
      </c>
      <c r="AA141" s="11" t="str">
        <f>IF(OR(I141="",M141="",M141&lt;I141),"",M141-I141)</f>
        <v/>
      </c>
      <c r="AB141" s="7" t="str">
        <f>IF(OR(A141="",多次统计数据!$B$8="",多次统计数据!$B$6&lt;=0,多次统计数据!$B$6&gt;=1),"",1-POWER(1+多次统计数据!$B$8,-多次统计数据!$B$6/(1-多次统计数据!$B$6)))</f>
        <v/>
      </c>
      <c r="AC141" s="8" t="str">
        <f>IF(OR(AB141="",多次统计数据!$B$9=""),"",IF(多次统计数据!$B$9&lt;AB141,"低于上限","达到或超过上限"))</f>
        <v/>
      </c>
      <c r="AD141" s="2"/>
      <c r="AE141" s="7" t="str">
        <f>IF(OR(X141="",C141="",C141&lt;=0),"",X141/C141)</f>
        <v/>
      </c>
      <c r="AG141" s="2"/>
      <c r="AH141" s="2"/>
      <c r="AI141" s="2"/>
      <c r="AJ141" s="8" t="str">
        <f>IF(OR(AG141="",AH141=""),"",IF(OR(AND(AG141="短期博反弹",OR(AH141="1～3个交易日",AH141="4～10个交易日")),AND(AG141="突破冲新高",OR(AH141="4～10个交易日",AH141="11～20个交易日")),AND(AG141="趋势波段",OR(AH141="11～20个交易日",AH141="21～60个交易日",AH141="60个交易日以上"))),"匹配","周期与交易预期不匹配，请重新确认"))</f>
        <v/>
      </c>
      <c r="AK141" s="10"/>
      <c r="AL141" s="12"/>
      <c r="AM141" s="10"/>
      <c r="AN141" s="12"/>
      <c r="AO141" s="5" t="str">
        <f>IF(OR(A141="",H141="",H141&lt;=0),"",(E141*H141+IF(AND(AK141&lt;&gt;"",AL141&lt;&gt;""),AK141*AL141,0)+IF(AND(AM141&lt;&gt;"",AN141&lt;&gt;""),AM141*AN141,0))/AP141)</f>
        <v/>
      </c>
      <c r="AP141" s="11" t="str">
        <f>IF(OR(A141="",H141="",H141&lt;=0),"",H141+IF(AL141="",0,AL141)+IF(AN141="",0,AN141))</f>
        <v/>
      </c>
      <c r="AQ141" s="5" t="str">
        <f>IF(A141="","",IF(M141&lt;&gt;"",0,IF(OR(H141="",N141=""),"",MAX(E141-MAX(N141,IFERROR(SUMPRODUCT(MAX(((持仓跟踪!$A$2:$A$497="每日跟踪")*(持仓跟踪!$B$2:$B$497=A141))*持仓跟踪!$S$2:$S$497)),0)),0)*H141+IF(OR(AK141="",AL141=""),0,MAX(AK141-MAX(N141,IFERROR(SUMPRODUCT(MAX(((持仓跟踪!$A$2:$A$497="每日跟踪")*(持仓跟踪!$B$2:$B$497=A141))*持仓跟踪!$S$2:$S$497)),0)),0)*AL141)+IF(OR(AM141="",AN141=""),0,MAX(AM141-MAX(N141,IFERROR(SUMPRODUCT(MAX(((持仓跟踪!$A$2:$A$497="每日跟踪")*(持仓跟踪!$B$2:$B$497=A141))*持仓跟踪!$S$2:$S$497)),0)),0)*AN141))))</f>
        <v/>
      </c>
      <c r="AR141" s="8" t="str">
        <f ca="1">IF(A141="","",IF(OR(E141="",H141=""),"违规：第一批价格或股数缺失",IF(OR(AND(AK141="",AL141&lt;&gt;""),AND(AK141&lt;&gt;"",AL141="")),"违规：第二批价格与股数须成对填写",IF(OR(AND(AM141="",AN141&lt;&gt;""),AND(AM141&lt;&gt;"",AN141="")),"违规：第三批价格与股数须成对填写",IF(AND(OR(AM141&lt;&gt;"",AN141&lt;&gt;""),OR(AK141="",AL141="")),"违规：必须先完成第二批",IF(OR(H141&lt;=0,H141&lt;&gt;INT(H141),MOD(H141,100)&lt;&gt;0,AND(AL141&lt;&gt;"",OR(AL141&lt;=0,AL141&lt;&gt;INT(AL141),MOD(AL141,100)&lt;&gt;0)),AND(AN141&lt;&gt;"",OR(AN141&lt;=0,AN141&lt;&gt;INT(AN141),MOD(AN141,100)&lt;&gt;0))),"违规：股数须为100股整数倍",IF(AND(OR(AL141&lt;&gt;"",AN141&lt;&gt;""),OR(_LockStatus="已锁仓",_LockStatus="解锁信息不完整")),"违规：锁仓期间禁止加仓",IF(AQ141&gt;C141*D141,"违规：超过单笔风险上限",IF(SUM($AQ$2:$AQ$163)&gt;账户数据!$B$7,"违规：超过账户风险上限","通过")))))))))</f>
        <v/>
      </c>
    </row>
    <row r="142" ht="17" spans="1:44">
      <c r="A142" s="2"/>
      <c r="B142" s="2"/>
      <c r="C142" s="10"/>
      <c r="D142" s="6"/>
      <c r="E142" s="10"/>
      <c r="F142" s="8" t="str">
        <f>IF(OR(C142="",D142="",E142="",N142="",C142&lt;=0,D142&lt;=0,E142&lt;=N142),"",ROUNDDOWN((C142*D142)/(E142-N142)/100,0)*100)</f>
        <v/>
      </c>
      <c r="G142" s="8" t="str">
        <f ca="1"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COUNTIFS(持仓跟踪!$A$2:$A$497,"止损计划",持仓跟踪!$B$2:$B$497,A142,持仓跟踪!$AC$2:$AC$497,"计划有效")=0,"禁止开仓：请先填写止损计划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2" s="2"/>
      <c r="I142" s="15"/>
      <c r="J142" s="10"/>
      <c r="K142" s="5" t="str">
        <f>IF(A142="","",IFERROR(LOOKUP(2,1/((持仓跟踪!$B$2:$B$497=A142)*(持仓跟踪!$X$2:$X$497="执行卖出")*(持仓跟踪!$Y$2:$Y$497&lt;&gt;"")),持仓跟踪!$Y$2:$Y$497),""))</f>
        <v/>
      </c>
      <c r="L142" s="8" t="str">
        <f>IF(A142="","",IFERROR(LOOKUP(2,1/((持仓跟踪!$B$2:$B$497=A142)*(持仓跟踪!$X$2:$X$497="执行卖出")*(持仓跟踪!$Z$2:$Z$497&lt;&gt;"")),持仓跟踪!$Z$2:$Z$497),""))</f>
        <v/>
      </c>
      <c r="M142" s="23" t="str">
        <f>IF(A142="","",IFERROR(LOOKUP(2,1/((持仓跟踪!$B$2:$B$497=A142)*(持仓跟踪!$X$2:$X$497="执行卖出")*(持仓跟踪!$H$2:$H$497&lt;&gt;"")),持仓跟踪!$H$2:$H$497),""))</f>
        <v/>
      </c>
      <c r="N142" s="10"/>
      <c r="O142" s="10"/>
      <c r="P142" s="5" t="str">
        <f>IF(A142="","",IFERROR(LOOKUP(2,1/((持仓跟踪!$B$2:$B$497=A142)*(持仓跟踪!$X$2:$X$497="执行卖出")*(持仓跟踪!$AA$2:$AA$497&lt;&gt;"")),持仓跟踪!$AA$2:$AA$497),""))</f>
        <v/>
      </c>
      <c r="Q142" s="2"/>
      <c r="R142" s="2"/>
      <c r="S142" s="2"/>
      <c r="T142" s="2"/>
      <c r="U142" s="7" t="str">
        <f>IF(OR(AO142="",J142="",AO142&lt;=0),"",(J142-AO142)/AO142)</f>
        <v/>
      </c>
      <c r="V142" s="7" t="str">
        <f>IF(OR(AO142="",N142="",AO142&lt;=0),"",(AO142-N142)/AO142)</f>
        <v/>
      </c>
      <c r="W142" s="24" t="str">
        <f>IF(OR(U142="",V142="",V142&lt;=0),"",U142/V142)</f>
        <v/>
      </c>
      <c r="X142" s="5" t="str">
        <f>IF(OR(K142="",L142="",AP142=""),"",K142*L142-(E142*H142+IF(AND(AK142&lt;&gt;"",AL142&lt;&gt;""),AK142*AL142,0)+IF(AND(AM142&lt;&gt;"",AN142&lt;&gt;""),AM142*AN142,0))-IF(O142="",0,O142)-IF(P142="",0,P142))</f>
        <v/>
      </c>
      <c r="Y142" s="7" t="str">
        <f>IF(OR(X142="",AP142=""),"",IF((E142*H142+IF(AND(AK142&lt;&gt;"",AL142&lt;&gt;""),AK142*AL142,0)+IF(AND(AM142&lt;&gt;"",AN142&lt;&gt;""),AM142*AN142,0))+IF(O142="",0,O142)&lt;=0,"",X142/((E142*H142+IF(AND(AK142&lt;&gt;"",AL142&lt;&gt;""),AK142*AL142,0)+IF(AND(AM142&lt;&gt;"",AN142&lt;&gt;""),AM142*AN142,0))+IF(O142="",0,O142))))</f>
        <v/>
      </c>
      <c r="Z142" s="7" t="str">
        <f>IF(OR(AE142="",多次统计数据!$B$8=""),"",AE142-多次统计数据!$B$8)</f>
        <v/>
      </c>
      <c r="AA142" s="11" t="str">
        <f>IF(OR(I142="",M142="",M142&lt;I142),"",M142-I142)</f>
        <v/>
      </c>
      <c r="AB142" s="7" t="str">
        <f>IF(OR(A142="",多次统计数据!$B$8="",多次统计数据!$B$6&lt;=0,多次统计数据!$B$6&gt;=1),"",1-POWER(1+多次统计数据!$B$8,-多次统计数据!$B$6/(1-多次统计数据!$B$6)))</f>
        <v/>
      </c>
      <c r="AC142" s="8" t="str">
        <f>IF(OR(AB142="",多次统计数据!$B$9=""),"",IF(多次统计数据!$B$9&lt;AB142,"低于上限","达到或超过上限"))</f>
        <v/>
      </c>
      <c r="AD142" s="2"/>
      <c r="AE142" s="7" t="str">
        <f>IF(OR(X142="",C142="",C142&lt;=0),"",X142/C142)</f>
        <v/>
      </c>
      <c r="AG142" s="2"/>
      <c r="AH142" s="2"/>
      <c r="AI142" s="2"/>
      <c r="AJ142" s="8" t="str">
        <f>IF(OR(AG142="",AH142=""),"",IF(OR(AND(AG142="短期博反弹",OR(AH142="1～3个交易日",AH142="4～10个交易日")),AND(AG142="突破冲新高",OR(AH142="4～10个交易日",AH142="11～20个交易日")),AND(AG142="趋势波段",OR(AH142="11～20个交易日",AH142="21～60个交易日",AH142="60个交易日以上"))),"匹配","周期与交易预期不匹配，请重新确认"))</f>
        <v/>
      </c>
      <c r="AK142" s="10"/>
      <c r="AL142" s="12"/>
      <c r="AM142" s="10"/>
      <c r="AN142" s="12"/>
      <c r="AO142" s="5" t="str">
        <f>IF(OR(A142="",H142="",H142&lt;=0),"",(E142*H142+IF(AND(AK142&lt;&gt;"",AL142&lt;&gt;""),AK142*AL142,0)+IF(AND(AM142&lt;&gt;"",AN142&lt;&gt;""),AM142*AN142,0))/AP142)</f>
        <v/>
      </c>
      <c r="AP142" s="11" t="str">
        <f>IF(OR(A142="",H142="",H142&lt;=0),"",H142+IF(AL142="",0,AL142)+IF(AN142="",0,AN142))</f>
        <v/>
      </c>
      <c r="AQ142" s="5" t="str">
        <f>IF(A142="","",IF(M142&lt;&gt;"",0,IF(OR(H142="",N142=""),"",MAX(E142-MAX(N142,IFERROR(SUMPRODUCT(MAX(((持仓跟踪!$A$2:$A$497="每日跟踪")*(持仓跟踪!$B$2:$B$497=A142))*持仓跟踪!$S$2:$S$497)),0)),0)*H142+IF(OR(AK142="",AL142=""),0,MAX(AK142-MAX(N142,IFERROR(SUMPRODUCT(MAX(((持仓跟踪!$A$2:$A$497="每日跟踪")*(持仓跟踪!$B$2:$B$497=A142))*持仓跟踪!$S$2:$S$497)),0)),0)*AL142)+IF(OR(AM142="",AN142=""),0,MAX(AM142-MAX(N142,IFERROR(SUMPRODUCT(MAX(((持仓跟踪!$A$2:$A$497="每日跟踪")*(持仓跟踪!$B$2:$B$497=A142))*持仓跟踪!$S$2:$S$497)),0)),0)*AN142))))</f>
        <v/>
      </c>
      <c r="AR142" s="8" t="str">
        <f ca="1">IF(A142="","",IF(OR(E142="",H142=""),"违规：第一批价格或股数缺失",IF(OR(AND(AK142="",AL142&lt;&gt;""),AND(AK142&lt;&gt;"",AL142="")),"违规：第二批价格与股数须成对填写",IF(OR(AND(AM142="",AN142&lt;&gt;""),AND(AM142&lt;&gt;"",AN142="")),"违规：第三批价格与股数须成对填写",IF(AND(OR(AM142&lt;&gt;"",AN142&lt;&gt;""),OR(AK142="",AL142="")),"违规：必须先完成第二批",IF(OR(H142&lt;=0,H142&lt;&gt;INT(H142),MOD(H142,100)&lt;&gt;0,AND(AL142&lt;&gt;"",OR(AL142&lt;=0,AL142&lt;&gt;INT(AL142),MOD(AL142,100)&lt;&gt;0)),AND(AN142&lt;&gt;"",OR(AN142&lt;=0,AN142&lt;&gt;INT(AN142),MOD(AN142,100)&lt;&gt;0))),"违规：股数须为100股整数倍",IF(AND(OR(AL142&lt;&gt;"",AN142&lt;&gt;""),OR(_LockStatus="已锁仓",_LockStatus="解锁信息不完整")),"违规：锁仓期间禁止加仓",IF(AQ142&gt;C142*D142,"违规：超过单笔风险上限",IF(SUM($AQ$2:$AQ$163)&gt;账户数据!$B$7,"违规：超过账户风险上限","通过")))))))))</f>
        <v/>
      </c>
    </row>
    <row r="143" ht="17" spans="1:44">
      <c r="A143" s="2"/>
      <c r="B143" s="2"/>
      <c r="C143" s="10"/>
      <c r="D143" s="6"/>
      <c r="E143" s="10"/>
      <c r="F143" s="8" t="str">
        <f>IF(OR(C143="",D143="",E143="",N143="",C143&lt;=0,D143&lt;=0,E143&lt;=N143),"",ROUNDDOWN((C143*D143)/(E143-N143)/100,0)*100)</f>
        <v/>
      </c>
      <c r="G143" s="8" t="str">
        <f ca="1"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COUNTIFS(持仓跟踪!$A$2:$A$497,"止损计划",持仓跟踪!$B$2:$B$497,A143,持仓跟踪!$AC$2:$AC$497,"计划有效")=0,"禁止开仓：请先填写止损计划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3" s="2"/>
      <c r="I143" s="15"/>
      <c r="J143" s="10"/>
      <c r="K143" s="5" t="str">
        <f>IF(A143="","",IFERROR(LOOKUP(2,1/((持仓跟踪!$B$2:$B$497=A143)*(持仓跟踪!$X$2:$X$497="执行卖出")*(持仓跟踪!$Y$2:$Y$497&lt;&gt;"")),持仓跟踪!$Y$2:$Y$497),""))</f>
        <v/>
      </c>
      <c r="L143" s="8" t="str">
        <f>IF(A143="","",IFERROR(LOOKUP(2,1/((持仓跟踪!$B$2:$B$497=A143)*(持仓跟踪!$X$2:$X$497="执行卖出")*(持仓跟踪!$Z$2:$Z$497&lt;&gt;"")),持仓跟踪!$Z$2:$Z$497),""))</f>
        <v/>
      </c>
      <c r="M143" s="23" t="str">
        <f>IF(A143="","",IFERROR(LOOKUP(2,1/((持仓跟踪!$B$2:$B$497=A143)*(持仓跟踪!$X$2:$X$497="执行卖出")*(持仓跟踪!$H$2:$H$497&lt;&gt;"")),持仓跟踪!$H$2:$H$497),""))</f>
        <v/>
      </c>
      <c r="N143" s="10"/>
      <c r="O143" s="10"/>
      <c r="P143" s="5" t="str">
        <f>IF(A143="","",IFERROR(LOOKUP(2,1/((持仓跟踪!$B$2:$B$497=A143)*(持仓跟踪!$X$2:$X$497="执行卖出")*(持仓跟踪!$AA$2:$AA$497&lt;&gt;"")),持仓跟踪!$AA$2:$AA$497),""))</f>
        <v/>
      </c>
      <c r="Q143" s="2"/>
      <c r="R143" s="2"/>
      <c r="S143" s="2"/>
      <c r="T143" s="2"/>
      <c r="U143" s="7" t="str">
        <f>IF(OR(AO143="",J143="",AO143&lt;=0),"",(J143-AO143)/AO143)</f>
        <v/>
      </c>
      <c r="V143" s="7" t="str">
        <f>IF(OR(AO143="",N143="",AO143&lt;=0),"",(AO143-N143)/AO143)</f>
        <v/>
      </c>
      <c r="W143" s="24" t="str">
        <f>IF(OR(U143="",V143="",V143&lt;=0),"",U143/V143)</f>
        <v/>
      </c>
      <c r="X143" s="5" t="str">
        <f>IF(OR(K143="",L143="",AP143=""),"",K143*L143-(E143*H143+IF(AND(AK143&lt;&gt;"",AL143&lt;&gt;""),AK143*AL143,0)+IF(AND(AM143&lt;&gt;"",AN143&lt;&gt;""),AM143*AN143,0))-IF(O143="",0,O143)-IF(P143="",0,P143))</f>
        <v/>
      </c>
      <c r="Y143" s="7" t="str">
        <f>IF(OR(X143="",AP143=""),"",IF((E143*H143+IF(AND(AK143&lt;&gt;"",AL143&lt;&gt;""),AK143*AL143,0)+IF(AND(AM143&lt;&gt;"",AN143&lt;&gt;""),AM143*AN143,0))+IF(O143="",0,O143)&lt;=0,"",X143/((E143*H143+IF(AND(AK143&lt;&gt;"",AL143&lt;&gt;""),AK143*AL143,0)+IF(AND(AM143&lt;&gt;"",AN143&lt;&gt;""),AM143*AN143,0))+IF(O143="",0,O143))))</f>
        <v/>
      </c>
      <c r="Z143" s="7" t="str">
        <f>IF(OR(AE143="",多次统计数据!$B$8=""),"",AE143-多次统计数据!$B$8)</f>
        <v/>
      </c>
      <c r="AA143" s="11" t="str">
        <f>IF(OR(I143="",M143="",M143&lt;I143),"",M143-I143)</f>
        <v/>
      </c>
      <c r="AB143" s="7" t="str">
        <f>IF(OR(A143="",多次统计数据!$B$8="",多次统计数据!$B$6&lt;=0,多次统计数据!$B$6&gt;=1),"",1-POWER(1+多次统计数据!$B$8,-多次统计数据!$B$6/(1-多次统计数据!$B$6)))</f>
        <v/>
      </c>
      <c r="AC143" s="8" t="str">
        <f>IF(OR(AB143="",多次统计数据!$B$9=""),"",IF(多次统计数据!$B$9&lt;AB143,"低于上限","达到或超过上限"))</f>
        <v/>
      </c>
      <c r="AD143" s="2"/>
      <c r="AE143" s="7" t="str">
        <f>IF(OR(X143="",C143="",C143&lt;=0),"",X143/C143)</f>
        <v/>
      </c>
      <c r="AG143" s="2"/>
      <c r="AH143" s="2"/>
      <c r="AI143" s="2"/>
      <c r="AJ143" s="8" t="str">
        <f>IF(OR(AG143="",AH143=""),"",IF(OR(AND(AG143="短期博反弹",OR(AH143="1～3个交易日",AH143="4～10个交易日")),AND(AG143="突破冲新高",OR(AH143="4～10个交易日",AH143="11～20个交易日")),AND(AG143="趋势波段",OR(AH143="11～20个交易日",AH143="21～60个交易日",AH143="60个交易日以上"))),"匹配","周期与交易预期不匹配，请重新确认"))</f>
        <v/>
      </c>
      <c r="AK143" s="10"/>
      <c r="AL143" s="12"/>
      <c r="AM143" s="10"/>
      <c r="AN143" s="12"/>
      <c r="AO143" s="5" t="str">
        <f>IF(OR(A143="",H143="",H143&lt;=0),"",(E143*H143+IF(AND(AK143&lt;&gt;"",AL143&lt;&gt;""),AK143*AL143,0)+IF(AND(AM143&lt;&gt;"",AN143&lt;&gt;""),AM143*AN143,0))/AP143)</f>
        <v/>
      </c>
      <c r="AP143" s="11" t="str">
        <f>IF(OR(A143="",H143="",H143&lt;=0),"",H143+IF(AL143="",0,AL143)+IF(AN143="",0,AN143))</f>
        <v/>
      </c>
      <c r="AQ143" s="5" t="str">
        <f>IF(A143="","",IF(M143&lt;&gt;"",0,IF(OR(H143="",N143=""),"",MAX(E143-MAX(N143,IFERROR(SUMPRODUCT(MAX(((持仓跟踪!$A$2:$A$497="每日跟踪")*(持仓跟踪!$B$2:$B$497=A143))*持仓跟踪!$S$2:$S$497)),0)),0)*H143+IF(OR(AK143="",AL143=""),0,MAX(AK143-MAX(N143,IFERROR(SUMPRODUCT(MAX(((持仓跟踪!$A$2:$A$497="每日跟踪")*(持仓跟踪!$B$2:$B$497=A143))*持仓跟踪!$S$2:$S$497)),0)),0)*AL143)+IF(OR(AM143="",AN143=""),0,MAX(AM143-MAX(N143,IFERROR(SUMPRODUCT(MAX(((持仓跟踪!$A$2:$A$497="每日跟踪")*(持仓跟踪!$B$2:$B$497=A143))*持仓跟踪!$S$2:$S$497)),0)),0)*AN143))))</f>
        <v/>
      </c>
      <c r="AR143" s="8" t="str">
        <f ca="1">IF(A143="","",IF(OR(E143="",H143=""),"违规：第一批价格或股数缺失",IF(OR(AND(AK143="",AL143&lt;&gt;""),AND(AK143&lt;&gt;"",AL143="")),"违规：第二批价格与股数须成对填写",IF(OR(AND(AM143="",AN143&lt;&gt;""),AND(AM143&lt;&gt;"",AN143="")),"违规：第三批价格与股数须成对填写",IF(AND(OR(AM143&lt;&gt;"",AN143&lt;&gt;""),OR(AK143="",AL143="")),"违规：必须先完成第二批",IF(OR(H143&lt;=0,H143&lt;&gt;INT(H143),MOD(H143,100)&lt;&gt;0,AND(AL143&lt;&gt;"",OR(AL143&lt;=0,AL143&lt;&gt;INT(AL143),MOD(AL143,100)&lt;&gt;0)),AND(AN143&lt;&gt;"",OR(AN143&lt;=0,AN143&lt;&gt;INT(AN143),MOD(AN143,100)&lt;&gt;0))),"违规：股数须为100股整数倍",IF(AND(OR(AL143&lt;&gt;"",AN143&lt;&gt;""),OR(_LockStatus="已锁仓",_LockStatus="解锁信息不完整")),"违规：锁仓期间禁止加仓",IF(AQ143&gt;C143*D143,"违规：超过单笔风险上限",IF(SUM($AQ$2:$AQ$163)&gt;账户数据!$B$7,"违规：超过账户风险上限","通过")))))))))</f>
        <v/>
      </c>
    </row>
    <row r="144" ht="17" spans="1:44">
      <c r="A144" s="2"/>
      <c r="B144" s="2"/>
      <c r="C144" s="10"/>
      <c r="D144" s="6"/>
      <c r="E144" s="10"/>
      <c r="F144" s="8" t="str">
        <f>IF(OR(C144="",D144="",E144="",N144="",C144&lt;=0,D144&lt;=0,E144&lt;=N144),"",ROUNDDOWN((C144*D144)/(E144-N144)/100,0)*100)</f>
        <v/>
      </c>
      <c r="G144" s="8" t="str">
        <f ca="1"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COUNTIFS(持仓跟踪!$A$2:$A$497,"止损计划",持仓跟踪!$B$2:$B$497,A144,持仓跟踪!$AC$2:$AC$497,"计划有效")=0,"禁止开仓：请先填写止损计划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4" s="2"/>
      <c r="I144" s="15"/>
      <c r="J144" s="10"/>
      <c r="K144" s="5" t="str">
        <f>IF(A144="","",IFERROR(LOOKUP(2,1/((持仓跟踪!$B$2:$B$497=A144)*(持仓跟踪!$X$2:$X$497="执行卖出")*(持仓跟踪!$Y$2:$Y$497&lt;&gt;"")),持仓跟踪!$Y$2:$Y$497),""))</f>
        <v/>
      </c>
      <c r="L144" s="8" t="str">
        <f>IF(A144="","",IFERROR(LOOKUP(2,1/((持仓跟踪!$B$2:$B$497=A144)*(持仓跟踪!$X$2:$X$497="执行卖出")*(持仓跟踪!$Z$2:$Z$497&lt;&gt;"")),持仓跟踪!$Z$2:$Z$497),""))</f>
        <v/>
      </c>
      <c r="M144" s="23" t="str">
        <f>IF(A144="","",IFERROR(LOOKUP(2,1/((持仓跟踪!$B$2:$B$497=A144)*(持仓跟踪!$X$2:$X$497="执行卖出")*(持仓跟踪!$H$2:$H$497&lt;&gt;"")),持仓跟踪!$H$2:$H$497),""))</f>
        <v/>
      </c>
      <c r="N144" s="10"/>
      <c r="O144" s="10"/>
      <c r="P144" s="5" t="str">
        <f>IF(A144="","",IFERROR(LOOKUP(2,1/((持仓跟踪!$B$2:$B$497=A144)*(持仓跟踪!$X$2:$X$497="执行卖出")*(持仓跟踪!$AA$2:$AA$497&lt;&gt;"")),持仓跟踪!$AA$2:$AA$497),""))</f>
        <v/>
      </c>
      <c r="Q144" s="2"/>
      <c r="R144" s="2"/>
      <c r="S144" s="2"/>
      <c r="T144" s="2"/>
      <c r="U144" s="7" t="str">
        <f>IF(OR(AO144="",J144="",AO144&lt;=0),"",(J144-AO144)/AO144)</f>
        <v/>
      </c>
      <c r="V144" s="7" t="str">
        <f>IF(OR(AO144="",N144="",AO144&lt;=0),"",(AO144-N144)/AO144)</f>
        <v/>
      </c>
      <c r="W144" s="24" t="str">
        <f>IF(OR(U144="",V144="",V144&lt;=0),"",U144/V144)</f>
        <v/>
      </c>
      <c r="X144" s="5" t="str">
        <f>IF(OR(K144="",L144="",AP144=""),"",K144*L144-(E144*H144+IF(AND(AK144&lt;&gt;"",AL144&lt;&gt;""),AK144*AL144,0)+IF(AND(AM144&lt;&gt;"",AN144&lt;&gt;""),AM144*AN144,0))-IF(O144="",0,O144)-IF(P144="",0,P144))</f>
        <v/>
      </c>
      <c r="Y144" s="7" t="str">
        <f>IF(OR(X144="",AP144=""),"",IF((E144*H144+IF(AND(AK144&lt;&gt;"",AL144&lt;&gt;""),AK144*AL144,0)+IF(AND(AM144&lt;&gt;"",AN144&lt;&gt;""),AM144*AN144,0))+IF(O144="",0,O144)&lt;=0,"",X144/((E144*H144+IF(AND(AK144&lt;&gt;"",AL144&lt;&gt;""),AK144*AL144,0)+IF(AND(AM144&lt;&gt;"",AN144&lt;&gt;""),AM144*AN144,0))+IF(O144="",0,O144))))</f>
        <v/>
      </c>
      <c r="Z144" s="7" t="str">
        <f>IF(OR(AE144="",多次统计数据!$B$8=""),"",AE144-多次统计数据!$B$8)</f>
        <v/>
      </c>
      <c r="AA144" s="11" t="str">
        <f>IF(OR(I144="",M144="",M144&lt;I144),"",M144-I144)</f>
        <v/>
      </c>
      <c r="AB144" s="7" t="str">
        <f>IF(OR(A144="",多次统计数据!$B$8="",多次统计数据!$B$6&lt;=0,多次统计数据!$B$6&gt;=1),"",1-POWER(1+多次统计数据!$B$8,-多次统计数据!$B$6/(1-多次统计数据!$B$6)))</f>
        <v/>
      </c>
      <c r="AC144" s="8" t="str">
        <f>IF(OR(AB144="",多次统计数据!$B$9=""),"",IF(多次统计数据!$B$9&lt;AB144,"低于上限","达到或超过上限"))</f>
        <v/>
      </c>
      <c r="AD144" s="2"/>
      <c r="AE144" s="7" t="str">
        <f>IF(OR(X144="",C144="",C144&lt;=0),"",X144/C144)</f>
        <v/>
      </c>
      <c r="AG144" s="2"/>
      <c r="AH144" s="2"/>
      <c r="AI144" s="2"/>
      <c r="AJ144" s="8" t="str">
        <f>IF(OR(AG144="",AH144=""),"",IF(OR(AND(AG144="短期博反弹",OR(AH144="1～3个交易日",AH144="4～10个交易日")),AND(AG144="突破冲新高",OR(AH144="4～10个交易日",AH144="11～20个交易日")),AND(AG144="趋势波段",OR(AH144="11～20个交易日",AH144="21～60个交易日",AH144="60个交易日以上"))),"匹配","周期与交易预期不匹配，请重新确认"))</f>
        <v/>
      </c>
      <c r="AK144" s="10"/>
      <c r="AL144" s="12"/>
      <c r="AM144" s="10"/>
      <c r="AN144" s="12"/>
      <c r="AO144" s="5" t="str">
        <f>IF(OR(A144="",H144="",H144&lt;=0),"",(E144*H144+IF(AND(AK144&lt;&gt;"",AL144&lt;&gt;""),AK144*AL144,0)+IF(AND(AM144&lt;&gt;"",AN144&lt;&gt;""),AM144*AN144,0))/AP144)</f>
        <v/>
      </c>
      <c r="AP144" s="11" t="str">
        <f>IF(OR(A144="",H144="",H144&lt;=0),"",H144+IF(AL144="",0,AL144)+IF(AN144="",0,AN144))</f>
        <v/>
      </c>
      <c r="AQ144" s="5" t="str">
        <f>IF(A144="","",IF(M144&lt;&gt;"",0,IF(OR(H144="",N144=""),"",MAX(E144-MAX(N144,IFERROR(SUMPRODUCT(MAX(((持仓跟踪!$A$2:$A$497="每日跟踪")*(持仓跟踪!$B$2:$B$497=A144))*持仓跟踪!$S$2:$S$497)),0)),0)*H144+IF(OR(AK144="",AL144=""),0,MAX(AK144-MAX(N144,IFERROR(SUMPRODUCT(MAX(((持仓跟踪!$A$2:$A$497="每日跟踪")*(持仓跟踪!$B$2:$B$497=A144))*持仓跟踪!$S$2:$S$497)),0)),0)*AL144)+IF(OR(AM144="",AN144=""),0,MAX(AM144-MAX(N144,IFERROR(SUMPRODUCT(MAX(((持仓跟踪!$A$2:$A$497="每日跟踪")*(持仓跟踪!$B$2:$B$497=A144))*持仓跟踪!$S$2:$S$497)),0)),0)*AN144))))</f>
        <v/>
      </c>
      <c r="AR144" s="8" t="str">
        <f ca="1">IF(A144="","",IF(OR(E144="",H144=""),"违规：第一批价格或股数缺失",IF(OR(AND(AK144="",AL144&lt;&gt;""),AND(AK144&lt;&gt;"",AL144="")),"违规：第二批价格与股数须成对填写",IF(OR(AND(AM144="",AN144&lt;&gt;""),AND(AM144&lt;&gt;"",AN144="")),"违规：第三批价格与股数须成对填写",IF(AND(OR(AM144&lt;&gt;"",AN144&lt;&gt;""),OR(AK144="",AL144="")),"违规：必须先完成第二批",IF(OR(H144&lt;=0,H144&lt;&gt;INT(H144),MOD(H144,100)&lt;&gt;0,AND(AL144&lt;&gt;"",OR(AL144&lt;=0,AL144&lt;&gt;INT(AL144),MOD(AL144,100)&lt;&gt;0)),AND(AN144&lt;&gt;"",OR(AN144&lt;=0,AN144&lt;&gt;INT(AN144),MOD(AN144,100)&lt;&gt;0))),"违规：股数须为100股整数倍",IF(AND(OR(AL144&lt;&gt;"",AN144&lt;&gt;""),OR(_LockStatus="已锁仓",_LockStatus="解锁信息不完整")),"违规：锁仓期间禁止加仓",IF(AQ144&gt;C144*D144,"违规：超过单笔风险上限",IF(SUM($AQ$2:$AQ$163)&gt;账户数据!$B$7,"违规：超过账户风险上限","通过")))))))))</f>
        <v/>
      </c>
    </row>
    <row r="145" ht="17" spans="1:44">
      <c r="A145" s="2"/>
      <c r="B145" s="2"/>
      <c r="C145" s="10"/>
      <c r="D145" s="6"/>
      <c r="E145" s="10"/>
      <c r="F145" s="8" t="str">
        <f>IF(OR(C145="",D145="",E145="",N145="",C145&lt;=0,D145&lt;=0,E145&lt;=N145),"",ROUNDDOWN((C145*D145)/(E145-N145)/100,0)*100)</f>
        <v/>
      </c>
      <c r="G145" s="8" t="str">
        <f ca="1"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COUNTIFS(持仓跟踪!$A$2:$A$497,"止损计划",持仓跟踪!$B$2:$B$497,A145,持仓跟踪!$AC$2:$AC$497,"计划有效")=0,"禁止开仓：请先填写止损计划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5" s="2"/>
      <c r="I145" s="15"/>
      <c r="J145" s="10"/>
      <c r="K145" s="5" t="str">
        <f>IF(A145="","",IFERROR(LOOKUP(2,1/((持仓跟踪!$B$2:$B$497=A145)*(持仓跟踪!$X$2:$X$497="执行卖出")*(持仓跟踪!$Y$2:$Y$497&lt;&gt;"")),持仓跟踪!$Y$2:$Y$497),""))</f>
        <v/>
      </c>
      <c r="L145" s="8" t="str">
        <f>IF(A145="","",IFERROR(LOOKUP(2,1/((持仓跟踪!$B$2:$B$497=A145)*(持仓跟踪!$X$2:$X$497="执行卖出")*(持仓跟踪!$Z$2:$Z$497&lt;&gt;"")),持仓跟踪!$Z$2:$Z$497),""))</f>
        <v/>
      </c>
      <c r="M145" s="23" t="str">
        <f>IF(A145="","",IFERROR(LOOKUP(2,1/((持仓跟踪!$B$2:$B$497=A145)*(持仓跟踪!$X$2:$X$497="执行卖出")*(持仓跟踪!$H$2:$H$497&lt;&gt;"")),持仓跟踪!$H$2:$H$497),""))</f>
        <v/>
      </c>
      <c r="N145" s="10"/>
      <c r="O145" s="10"/>
      <c r="P145" s="5" t="str">
        <f>IF(A145="","",IFERROR(LOOKUP(2,1/((持仓跟踪!$B$2:$B$497=A145)*(持仓跟踪!$X$2:$X$497="执行卖出")*(持仓跟踪!$AA$2:$AA$497&lt;&gt;"")),持仓跟踪!$AA$2:$AA$497),""))</f>
        <v/>
      </c>
      <c r="Q145" s="2"/>
      <c r="R145" s="2"/>
      <c r="S145" s="2"/>
      <c r="T145" s="2"/>
      <c r="U145" s="7" t="str">
        <f>IF(OR(AO145="",J145="",AO145&lt;=0),"",(J145-AO145)/AO145)</f>
        <v/>
      </c>
      <c r="V145" s="7" t="str">
        <f>IF(OR(AO145="",N145="",AO145&lt;=0),"",(AO145-N145)/AO145)</f>
        <v/>
      </c>
      <c r="W145" s="24" t="str">
        <f>IF(OR(U145="",V145="",V145&lt;=0),"",U145/V145)</f>
        <v/>
      </c>
      <c r="X145" s="5" t="str">
        <f>IF(OR(K145="",L145="",AP145=""),"",K145*L145-(E145*H145+IF(AND(AK145&lt;&gt;"",AL145&lt;&gt;""),AK145*AL145,0)+IF(AND(AM145&lt;&gt;"",AN145&lt;&gt;""),AM145*AN145,0))-IF(O145="",0,O145)-IF(P145="",0,P145))</f>
        <v/>
      </c>
      <c r="Y145" s="7" t="str">
        <f>IF(OR(X145="",AP145=""),"",IF((E145*H145+IF(AND(AK145&lt;&gt;"",AL145&lt;&gt;""),AK145*AL145,0)+IF(AND(AM145&lt;&gt;"",AN145&lt;&gt;""),AM145*AN145,0))+IF(O145="",0,O145)&lt;=0,"",X145/((E145*H145+IF(AND(AK145&lt;&gt;"",AL145&lt;&gt;""),AK145*AL145,0)+IF(AND(AM145&lt;&gt;"",AN145&lt;&gt;""),AM145*AN145,0))+IF(O145="",0,O145))))</f>
        <v/>
      </c>
      <c r="Z145" s="7" t="str">
        <f>IF(OR(AE145="",多次统计数据!$B$8=""),"",AE145-多次统计数据!$B$8)</f>
        <v/>
      </c>
      <c r="AA145" s="11" t="str">
        <f>IF(OR(I145="",M145="",M145&lt;I145),"",M145-I145)</f>
        <v/>
      </c>
      <c r="AB145" s="7" t="str">
        <f>IF(OR(A145="",多次统计数据!$B$8="",多次统计数据!$B$6&lt;=0,多次统计数据!$B$6&gt;=1),"",1-POWER(1+多次统计数据!$B$8,-多次统计数据!$B$6/(1-多次统计数据!$B$6)))</f>
        <v/>
      </c>
      <c r="AC145" s="8" t="str">
        <f>IF(OR(AB145="",多次统计数据!$B$9=""),"",IF(多次统计数据!$B$9&lt;AB145,"低于上限","达到或超过上限"))</f>
        <v/>
      </c>
      <c r="AD145" s="2"/>
      <c r="AE145" s="7" t="str">
        <f>IF(OR(X145="",C145="",C145&lt;=0),"",X145/C145)</f>
        <v/>
      </c>
      <c r="AG145" s="2"/>
      <c r="AH145" s="2"/>
      <c r="AI145" s="2"/>
      <c r="AJ145" s="8" t="str">
        <f>IF(OR(AG145="",AH145=""),"",IF(OR(AND(AG145="短期博反弹",OR(AH145="1～3个交易日",AH145="4～10个交易日")),AND(AG145="突破冲新高",OR(AH145="4～10个交易日",AH145="11～20个交易日")),AND(AG145="趋势波段",OR(AH145="11～20个交易日",AH145="21～60个交易日",AH145="60个交易日以上"))),"匹配","周期与交易预期不匹配，请重新确认"))</f>
        <v/>
      </c>
      <c r="AK145" s="10"/>
      <c r="AL145" s="12"/>
      <c r="AM145" s="10"/>
      <c r="AN145" s="12"/>
      <c r="AO145" s="5" t="str">
        <f>IF(OR(A145="",H145="",H145&lt;=0),"",(E145*H145+IF(AND(AK145&lt;&gt;"",AL145&lt;&gt;""),AK145*AL145,0)+IF(AND(AM145&lt;&gt;"",AN145&lt;&gt;""),AM145*AN145,0))/AP145)</f>
        <v/>
      </c>
      <c r="AP145" s="11" t="str">
        <f>IF(OR(A145="",H145="",H145&lt;=0),"",H145+IF(AL145="",0,AL145)+IF(AN145="",0,AN145))</f>
        <v/>
      </c>
      <c r="AQ145" s="5" t="str">
        <f>IF(A145="","",IF(M145&lt;&gt;"",0,IF(OR(H145="",N145=""),"",MAX(E145-MAX(N145,IFERROR(SUMPRODUCT(MAX(((持仓跟踪!$A$2:$A$497="每日跟踪")*(持仓跟踪!$B$2:$B$497=A145))*持仓跟踪!$S$2:$S$497)),0)),0)*H145+IF(OR(AK145="",AL145=""),0,MAX(AK145-MAX(N145,IFERROR(SUMPRODUCT(MAX(((持仓跟踪!$A$2:$A$497="每日跟踪")*(持仓跟踪!$B$2:$B$497=A145))*持仓跟踪!$S$2:$S$497)),0)),0)*AL145)+IF(OR(AM145="",AN145=""),0,MAX(AM145-MAX(N145,IFERROR(SUMPRODUCT(MAX(((持仓跟踪!$A$2:$A$497="每日跟踪")*(持仓跟踪!$B$2:$B$497=A145))*持仓跟踪!$S$2:$S$497)),0)),0)*AN145))))</f>
        <v/>
      </c>
      <c r="AR145" s="8" t="str">
        <f ca="1">IF(A145="","",IF(OR(E145="",H145=""),"违规：第一批价格或股数缺失",IF(OR(AND(AK145="",AL145&lt;&gt;""),AND(AK145&lt;&gt;"",AL145="")),"违规：第二批价格与股数须成对填写",IF(OR(AND(AM145="",AN145&lt;&gt;""),AND(AM145&lt;&gt;"",AN145="")),"违规：第三批价格与股数须成对填写",IF(AND(OR(AM145&lt;&gt;"",AN145&lt;&gt;""),OR(AK145="",AL145="")),"违规：必须先完成第二批",IF(OR(H145&lt;=0,H145&lt;&gt;INT(H145),MOD(H145,100)&lt;&gt;0,AND(AL145&lt;&gt;"",OR(AL145&lt;=0,AL145&lt;&gt;INT(AL145),MOD(AL145,100)&lt;&gt;0)),AND(AN145&lt;&gt;"",OR(AN145&lt;=0,AN145&lt;&gt;INT(AN145),MOD(AN145,100)&lt;&gt;0))),"违规：股数须为100股整数倍",IF(AND(OR(AL145&lt;&gt;"",AN145&lt;&gt;""),OR(_LockStatus="已锁仓",_LockStatus="解锁信息不完整")),"违规：锁仓期间禁止加仓",IF(AQ145&gt;C145*D145,"违规：超过单笔风险上限",IF(SUM($AQ$2:$AQ$163)&gt;账户数据!$B$7,"违规：超过账户风险上限","通过")))))))))</f>
        <v/>
      </c>
    </row>
    <row r="146" ht="17" spans="1:44">
      <c r="A146" s="2"/>
      <c r="B146" s="2"/>
      <c r="C146" s="10"/>
      <c r="D146" s="6"/>
      <c r="E146" s="10"/>
      <c r="F146" s="8" t="str">
        <f>IF(OR(C146="",D146="",E146="",N146="",C146&lt;=0,D146&lt;=0,E146&lt;=N146),"",ROUNDDOWN((C146*D146)/(E146-N146)/100,0)*100)</f>
        <v/>
      </c>
      <c r="G146" s="8" t="str">
        <f ca="1"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COUNTIFS(持仓跟踪!$A$2:$A$497,"止损计划",持仓跟踪!$B$2:$B$497,A146,持仓跟踪!$AC$2:$AC$497,"计划有效")=0,"禁止开仓：请先填写止损计划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6" s="2"/>
      <c r="I146" s="15"/>
      <c r="J146" s="10"/>
      <c r="K146" s="5" t="str">
        <f>IF(A146="","",IFERROR(LOOKUP(2,1/((持仓跟踪!$B$2:$B$497=A146)*(持仓跟踪!$X$2:$X$497="执行卖出")*(持仓跟踪!$Y$2:$Y$497&lt;&gt;"")),持仓跟踪!$Y$2:$Y$497),""))</f>
        <v/>
      </c>
      <c r="L146" s="8" t="str">
        <f>IF(A146="","",IFERROR(LOOKUP(2,1/((持仓跟踪!$B$2:$B$497=A146)*(持仓跟踪!$X$2:$X$497="执行卖出")*(持仓跟踪!$Z$2:$Z$497&lt;&gt;"")),持仓跟踪!$Z$2:$Z$497),""))</f>
        <v/>
      </c>
      <c r="M146" s="23" t="str">
        <f>IF(A146="","",IFERROR(LOOKUP(2,1/((持仓跟踪!$B$2:$B$497=A146)*(持仓跟踪!$X$2:$X$497="执行卖出")*(持仓跟踪!$H$2:$H$497&lt;&gt;"")),持仓跟踪!$H$2:$H$497),""))</f>
        <v/>
      </c>
      <c r="N146" s="10"/>
      <c r="O146" s="10"/>
      <c r="P146" s="5" t="str">
        <f>IF(A146="","",IFERROR(LOOKUP(2,1/((持仓跟踪!$B$2:$B$497=A146)*(持仓跟踪!$X$2:$X$497="执行卖出")*(持仓跟踪!$AA$2:$AA$497&lt;&gt;"")),持仓跟踪!$AA$2:$AA$497),""))</f>
        <v/>
      </c>
      <c r="Q146" s="2"/>
      <c r="R146" s="2"/>
      <c r="S146" s="2"/>
      <c r="T146" s="2"/>
      <c r="U146" s="7" t="str">
        <f>IF(OR(AO146="",J146="",AO146&lt;=0),"",(J146-AO146)/AO146)</f>
        <v/>
      </c>
      <c r="V146" s="7" t="str">
        <f>IF(OR(AO146="",N146="",AO146&lt;=0),"",(AO146-N146)/AO146)</f>
        <v/>
      </c>
      <c r="W146" s="24" t="str">
        <f>IF(OR(U146="",V146="",V146&lt;=0),"",U146/V146)</f>
        <v/>
      </c>
      <c r="X146" s="5" t="str">
        <f>IF(OR(K146="",L146="",AP146=""),"",K146*L146-(E146*H146+IF(AND(AK146&lt;&gt;"",AL146&lt;&gt;""),AK146*AL146,0)+IF(AND(AM146&lt;&gt;"",AN146&lt;&gt;""),AM146*AN146,0))-IF(O146="",0,O146)-IF(P146="",0,P146))</f>
        <v/>
      </c>
      <c r="Y146" s="7" t="str">
        <f>IF(OR(X146="",AP146=""),"",IF((E146*H146+IF(AND(AK146&lt;&gt;"",AL146&lt;&gt;""),AK146*AL146,0)+IF(AND(AM146&lt;&gt;"",AN146&lt;&gt;""),AM146*AN146,0))+IF(O146="",0,O146)&lt;=0,"",X146/((E146*H146+IF(AND(AK146&lt;&gt;"",AL146&lt;&gt;""),AK146*AL146,0)+IF(AND(AM146&lt;&gt;"",AN146&lt;&gt;""),AM146*AN146,0))+IF(O146="",0,O146))))</f>
        <v/>
      </c>
      <c r="Z146" s="7" t="str">
        <f>IF(OR(AE146="",多次统计数据!$B$8=""),"",AE146-多次统计数据!$B$8)</f>
        <v/>
      </c>
      <c r="AA146" s="11" t="str">
        <f>IF(OR(I146="",M146="",M146&lt;I146),"",M146-I146)</f>
        <v/>
      </c>
      <c r="AB146" s="7" t="str">
        <f>IF(OR(A146="",多次统计数据!$B$8="",多次统计数据!$B$6&lt;=0,多次统计数据!$B$6&gt;=1),"",1-POWER(1+多次统计数据!$B$8,-多次统计数据!$B$6/(1-多次统计数据!$B$6)))</f>
        <v/>
      </c>
      <c r="AC146" s="8" t="str">
        <f>IF(OR(AB146="",多次统计数据!$B$9=""),"",IF(多次统计数据!$B$9&lt;AB146,"低于上限","达到或超过上限"))</f>
        <v/>
      </c>
      <c r="AD146" s="2"/>
      <c r="AE146" s="7" t="str">
        <f>IF(OR(X146="",C146="",C146&lt;=0),"",X146/C146)</f>
        <v/>
      </c>
      <c r="AG146" s="2"/>
      <c r="AH146" s="2"/>
      <c r="AI146" s="2"/>
      <c r="AJ146" s="8" t="str">
        <f>IF(OR(AG146="",AH146=""),"",IF(OR(AND(AG146="短期博反弹",OR(AH146="1～3个交易日",AH146="4～10个交易日")),AND(AG146="突破冲新高",OR(AH146="4～10个交易日",AH146="11～20个交易日")),AND(AG146="趋势波段",OR(AH146="11～20个交易日",AH146="21～60个交易日",AH146="60个交易日以上"))),"匹配","周期与交易预期不匹配，请重新确认"))</f>
        <v/>
      </c>
      <c r="AK146" s="10"/>
      <c r="AL146" s="12"/>
      <c r="AM146" s="10"/>
      <c r="AN146" s="12"/>
      <c r="AO146" s="5" t="str">
        <f>IF(OR(A146="",H146="",H146&lt;=0),"",(E146*H146+IF(AND(AK146&lt;&gt;"",AL146&lt;&gt;""),AK146*AL146,0)+IF(AND(AM146&lt;&gt;"",AN146&lt;&gt;""),AM146*AN146,0))/AP146)</f>
        <v/>
      </c>
      <c r="AP146" s="11" t="str">
        <f>IF(OR(A146="",H146="",H146&lt;=0),"",H146+IF(AL146="",0,AL146)+IF(AN146="",0,AN146))</f>
        <v/>
      </c>
      <c r="AQ146" s="5" t="str">
        <f>IF(A146="","",IF(M146&lt;&gt;"",0,IF(OR(H146="",N146=""),"",MAX(E146-MAX(N146,IFERROR(SUMPRODUCT(MAX(((持仓跟踪!$A$2:$A$497="每日跟踪")*(持仓跟踪!$B$2:$B$497=A146))*持仓跟踪!$S$2:$S$497)),0)),0)*H146+IF(OR(AK146="",AL146=""),0,MAX(AK146-MAX(N146,IFERROR(SUMPRODUCT(MAX(((持仓跟踪!$A$2:$A$497="每日跟踪")*(持仓跟踪!$B$2:$B$497=A146))*持仓跟踪!$S$2:$S$497)),0)),0)*AL146)+IF(OR(AM146="",AN146=""),0,MAX(AM146-MAX(N146,IFERROR(SUMPRODUCT(MAX(((持仓跟踪!$A$2:$A$497="每日跟踪")*(持仓跟踪!$B$2:$B$497=A146))*持仓跟踪!$S$2:$S$497)),0)),0)*AN146))))</f>
        <v/>
      </c>
      <c r="AR146" s="8" t="str">
        <f ca="1">IF(A146="","",IF(OR(E146="",H146=""),"违规：第一批价格或股数缺失",IF(OR(AND(AK146="",AL146&lt;&gt;""),AND(AK146&lt;&gt;"",AL146="")),"违规：第二批价格与股数须成对填写",IF(OR(AND(AM146="",AN146&lt;&gt;""),AND(AM146&lt;&gt;"",AN146="")),"违规：第三批价格与股数须成对填写",IF(AND(OR(AM146&lt;&gt;"",AN146&lt;&gt;""),OR(AK146="",AL146="")),"违规：必须先完成第二批",IF(OR(H146&lt;=0,H146&lt;&gt;INT(H146),MOD(H146,100)&lt;&gt;0,AND(AL146&lt;&gt;"",OR(AL146&lt;=0,AL146&lt;&gt;INT(AL146),MOD(AL146,100)&lt;&gt;0)),AND(AN146&lt;&gt;"",OR(AN146&lt;=0,AN146&lt;&gt;INT(AN146),MOD(AN146,100)&lt;&gt;0))),"违规：股数须为100股整数倍",IF(AND(OR(AL146&lt;&gt;"",AN146&lt;&gt;""),OR(_LockStatus="已锁仓",_LockStatus="解锁信息不完整")),"违规：锁仓期间禁止加仓",IF(AQ146&gt;C146*D146,"违规：超过单笔风险上限",IF(SUM($AQ$2:$AQ$163)&gt;账户数据!$B$7,"违规：超过账户风险上限","通过")))))))))</f>
        <v/>
      </c>
    </row>
    <row r="147" ht="17" spans="1:44">
      <c r="A147" s="2"/>
      <c r="B147" s="2"/>
      <c r="C147" s="10"/>
      <c r="D147" s="6"/>
      <c r="E147" s="10"/>
      <c r="F147" s="8" t="str">
        <f>IF(OR(C147="",D147="",E147="",N147="",C147&lt;=0,D147&lt;=0,E147&lt;=N147),"",ROUNDDOWN((C147*D147)/(E147-N147)/100,0)*100)</f>
        <v/>
      </c>
      <c r="G147" s="8" t="str">
        <f ca="1"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COUNTIFS(持仓跟踪!$A$2:$A$497,"止损计划",持仓跟踪!$B$2:$B$497,A147,持仓跟踪!$AC$2:$AC$497,"计划有效")=0,"禁止开仓：请先填写止损计划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7" s="2"/>
      <c r="I147" s="15"/>
      <c r="J147" s="10"/>
      <c r="K147" s="5" t="str">
        <f>IF(A147="","",IFERROR(LOOKUP(2,1/((持仓跟踪!$B$2:$B$497=A147)*(持仓跟踪!$X$2:$X$497="执行卖出")*(持仓跟踪!$Y$2:$Y$497&lt;&gt;"")),持仓跟踪!$Y$2:$Y$497),""))</f>
        <v/>
      </c>
      <c r="L147" s="8" t="str">
        <f>IF(A147="","",IFERROR(LOOKUP(2,1/((持仓跟踪!$B$2:$B$497=A147)*(持仓跟踪!$X$2:$X$497="执行卖出")*(持仓跟踪!$Z$2:$Z$497&lt;&gt;"")),持仓跟踪!$Z$2:$Z$497),""))</f>
        <v/>
      </c>
      <c r="M147" s="23" t="str">
        <f>IF(A147="","",IFERROR(LOOKUP(2,1/((持仓跟踪!$B$2:$B$497=A147)*(持仓跟踪!$X$2:$X$497="执行卖出")*(持仓跟踪!$H$2:$H$497&lt;&gt;"")),持仓跟踪!$H$2:$H$497),""))</f>
        <v/>
      </c>
      <c r="N147" s="10"/>
      <c r="O147" s="10"/>
      <c r="P147" s="5" t="str">
        <f>IF(A147="","",IFERROR(LOOKUP(2,1/((持仓跟踪!$B$2:$B$497=A147)*(持仓跟踪!$X$2:$X$497="执行卖出")*(持仓跟踪!$AA$2:$AA$497&lt;&gt;"")),持仓跟踪!$AA$2:$AA$497),""))</f>
        <v/>
      </c>
      <c r="Q147" s="2"/>
      <c r="R147" s="2"/>
      <c r="S147" s="2"/>
      <c r="T147" s="2"/>
      <c r="U147" s="7" t="str">
        <f>IF(OR(AO147="",J147="",AO147&lt;=0),"",(J147-AO147)/AO147)</f>
        <v/>
      </c>
      <c r="V147" s="7" t="str">
        <f>IF(OR(AO147="",N147="",AO147&lt;=0),"",(AO147-N147)/AO147)</f>
        <v/>
      </c>
      <c r="W147" s="24" t="str">
        <f>IF(OR(U147="",V147="",V147&lt;=0),"",U147/V147)</f>
        <v/>
      </c>
      <c r="X147" s="5" t="str">
        <f>IF(OR(K147="",L147="",AP147=""),"",K147*L147-(E147*H147+IF(AND(AK147&lt;&gt;"",AL147&lt;&gt;""),AK147*AL147,0)+IF(AND(AM147&lt;&gt;"",AN147&lt;&gt;""),AM147*AN147,0))-IF(O147="",0,O147)-IF(P147="",0,P147))</f>
        <v/>
      </c>
      <c r="Y147" s="7" t="str">
        <f>IF(OR(X147="",AP147=""),"",IF((E147*H147+IF(AND(AK147&lt;&gt;"",AL147&lt;&gt;""),AK147*AL147,0)+IF(AND(AM147&lt;&gt;"",AN147&lt;&gt;""),AM147*AN147,0))+IF(O147="",0,O147)&lt;=0,"",X147/((E147*H147+IF(AND(AK147&lt;&gt;"",AL147&lt;&gt;""),AK147*AL147,0)+IF(AND(AM147&lt;&gt;"",AN147&lt;&gt;""),AM147*AN147,0))+IF(O147="",0,O147))))</f>
        <v/>
      </c>
      <c r="Z147" s="7" t="str">
        <f>IF(OR(AE147="",多次统计数据!$B$8=""),"",AE147-多次统计数据!$B$8)</f>
        <v/>
      </c>
      <c r="AA147" s="11" t="str">
        <f>IF(OR(I147="",M147="",M147&lt;I147),"",M147-I147)</f>
        <v/>
      </c>
      <c r="AB147" s="7" t="str">
        <f>IF(OR(A147="",多次统计数据!$B$8="",多次统计数据!$B$6&lt;=0,多次统计数据!$B$6&gt;=1),"",1-POWER(1+多次统计数据!$B$8,-多次统计数据!$B$6/(1-多次统计数据!$B$6)))</f>
        <v/>
      </c>
      <c r="AC147" s="8" t="str">
        <f>IF(OR(AB147="",多次统计数据!$B$9=""),"",IF(多次统计数据!$B$9&lt;AB147,"低于上限","达到或超过上限"))</f>
        <v/>
      </c>
      <c r="AD147" s="2"/>
      <c r="AE147" s="7" t="str">
        <f>IF(OR(X147="",C147="",C147&lt;=0),"",X147/C147)</f>
        <v/>
      </c>
      <c r="AG147" s="2"/>
      <c r="AH147" s="2"/>
      <c r="AI147" s="2"/>
      <c r="AJ147" s="8" t="str">
        <f>IF(OR(AG147="",AH147=""),"",IF(OR(AND(AG147="短期博反弹",OR(AH147="1～3个交易日",AH147="4～10个交易日")),AND(AG147="突破冲新高",OR(AH147="4～10个交易日",AH147="11～20个交易日")),AND(AG147="趋势波段",OR(AH147="11～20个交易日",AH147="21～60个交易日",AH147="60个交易日以上"))),"匹配","周期与交易预期不匹配，请重新确认"))</f>
        <v/>
      </c>
      <c r="AK147" s="10"/>
      <c r="AL147" s="12"/>
      <c r="AM147" s="10"/>
      <c r="AN147" s="12"/>
      <c r="AO147" s="5" t="str">
        <f>IF(OR(A147="",H147="",H147&lt;=0),"",(E147*H147+IF(AND(AK147&lt;&gt;"",AL147&lt;&gt;""),AK147*AL147,0)+IF(AND(AM147&lt;&gt;"",AN147&lt;&gt;""),AM147*AN147,0))/AP147)</f>
        <v/>
      </c>
      <c r="AP147" s="11" t="str">
        <f>IF(OR(A147="",H147="",H147&lt;=0),"",H147+IF(AL147="",0,AL147)+IF(AN147="",0,AN147))</f>
        <v/>
      </c>
      <c r="AQ147" s="5" t="str">
        <f>IF(A147="","",IF(M147&lt;&gt;"",0,IF(OR(H147="",N147=""),"",MAX(E147-MAX(N147,IFERROR(SUMPRODUCT(MAX(((持仓跟踪!$A$2:$A$497="每日跟踪")*(持仓跟踪!$B$2:$B$497=A147))*持仓跟踪!$S$2:$S$497)),0)),0)*H147+IF(OR(AK147="",AL147=""),0,MAX(AK147-MAX(N147,IFERROR(SUMPRODUCT(MAX(((持仓跟踪!$A$2:$A$497="每日跟踪")*(持仓跟踪!$B$2:$B$497=A147))*持仓跟踪!$S$2:$S$497)),0)),0)*AL147)+IF(OR(AM147="",AN147=""),0,MAX(AM147-MAX(N147,IFERROR(SUMPRODUCT(MAX(((持仓跟踪!$A$2:$A$497="每日跟踪")*(持仓跟踪!$B$2:$B$497=A147))*持仓跟踪!$S$2:$S$497)),0)),0)*AN147))))</f>
        <v/>
      </c>
      <c r="AR147" s="8" t="str">
        <f ca="1">IF(A147="","",IF(OR(E147="",H147=""),"违规：第一批价格或股数缺失",IF(OR(AND(AK147="",AL147&lt;&gt;""),AND(AK147&lt;&gt;"",AL147="")),"违规：第二批价格与股数须成对填写",IF(OR(AND(AM147="",AN147&lt;&gt;""),AND(AM147&lt;&gt;"",AN147="")),"违规：第三批价格与股数须成对填写",IF(AND(OR(AM147&lt;&gt;"",AN147&lt;&gt;""),OR(AK147="",AL147="")),"违规：必须先完成第二批",IF(OR(H147&lt;=0,H147&lt;&gt;INT(H147),MOD(H147,100)&lt;&gt;0,AND(AL147&lt;&gt;"",OR(AL147&lt;=0,AL147&lt;&gt;INT(AL147),MOD(AL147,100)&lt;&gt;0)),AND(AN147&lt;&gt;"",OR(AN147&lt;=0,AN147&lt;&gt;INT(AN147),MOD(AN147,100)&lt;&gt;0))),"违规：股数须为100股整数倍",IF(AND(OR(AL147&lt;&gt;"",AN147&lt;&gt;""),OR(_LockStatus="已锁仓",_LockStatus="解锁信息不完整")),"违规：锁仓期间禁止加仓",IF(AQ147&gt;C147*D147,"违规：超过单笔风险上限",IF(SUM($AQ$2:$AQ$163)&gt;账户数据!$B$7,"违规：超过账户风险上限","通过")))))))))</f>
        <v/>
      </c>
    </row>
    <row r="148" ht="17" spans="1:44">
      <c r="A148" s="2"/>
      <c r="B148" s="2"/>
      <c r="C148" s="10"/>
      <c r="D148" s="6"/>
      <c r="E148" s="10"/>
      <c r="F148" s="8" t="str">
        <f>IF(OR(C148="",D148="",E148="",N148="",C148&lt;=0,D148&lt;=0,E148&lt;=N148),"",ROUNDDOWN((C148*D148)/(E148-N148)/100,0)*100)</f>
        <v/>
      </c>
      <c r="G148" s="8" t="str">
        <f ca="1"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COUNTIFS(持仓跟踪!$A$2:$A$497,"止损计划",持仓跟踪!$B$2:$B$497,A148,持仓跟踪!$AC$2:$AC$497,"计划有效")=0,"禁止开仓：请先填写止损计划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8" s="2"/>
      <c r="I148" s="15"/>
      <c r="J148" s="10"/>
      <c r="K148" s="5" t="str">
        <f>IF(A148="","",IFERROR(LOOKUP(2,1/((持仓跟踪!$B$2:$B$497=A148)*(持仓跟踪!$X$2:$X$497="执行卖出")*(持仓跟踪!$Y$2:$Y$497&lt;&gt;"")),持仓跟踪!$Y$2:$Y$497),""))</f>
        <v/>
      </c>
      <c r="L148" s="8" t="str">
        <f>IF(A148="","",IFERROR(LOOKUP(2,1/((持仓跟踪!$B$2:$B$497=A148)*(持仓跟踪!$X$2:$X$497="执行卖出")*(持仓跟踪!$Z$2:$Z$497&lt;&gt;"")),持仓跟踪!$Z$2:$Z$497),""))</f>
        <v/>
      </c>
      <c r="M148" s="23" t="str">
        <f>IF(A148="","",IFERROR(LOOKUP(2,1/((持仓跟踪!$B$2:$B$497=A148)*(持仓跟踪!$X$2:$X$497="执行卖出")*(持仓跟踪!$H$2:$H$497&lt;&gt;"")),持仓跟踪!$H$2:$H$497),""))</f>
        <v/>
      </c>
      <c r="N148" s="10"/>
      <c r="O148" s="10"/>
      <c r="P148" s="5" t="str">
        <f>IF(A148="","",IFERROR(LOOKUP(2,1/((持仓跟踪!$B$2:$B$497=A148)*(持仓跟踪!$X$2:$X$497="执行卖出")*(持仓跟踪!$AA$2:$AA$497&lt;&gt;"")),持仓跟踪!$AA$2:$AA$497),""))</f>
        <v/>
      </c>
      <c r="Q148" s="2"/>
      <c r="R148" s="2"/>
      <c r="S148" s="2"/>
      <c r="T148" s="2"/>
      <c r="U148" s="7" t="str">
        <f>IF(OR(AO148="",J148="",AO148&lt;=0),"",(J148-AO148)/AO148)</f>
        <v/>
      </c>
      <c r="V148" s="7" t="str">
        <f>IF(OR(AO148="",N148="",AO148&lt;=0),"",(AO148-N148)/AO148)</f>
        <v/>
      </c>
      <c r="W148" s="24" t="str">
        <f>IF(OR(U148="",V148="",V148&lt;=0),"",U148/V148)</f>
        <v/>
      </c>
      <c r="X148" s="5" t="str">
        <f>IF(OR(K148="",L148="",AP148=""),"",K148*L148-(E148*H148+IF(AND(AK148&lt;&gt;"",AL148&lt;&gt;""),AK148*AL148,0)+IF(AND(AM148&lt;&gt;"",AN148&lt;&gt;""),AM148*AN148,0))-IF(O148="",0,O148)-IF(P148="",0,P148))</f>
        <v/>
      </c>
      <c r="Y148" s="7" t="str">
        <f>IF(OR(X148="",AP148=""),"",IF((E148*H148+IF(AND(AK148&lt;&gt;"",AL148&lt;&gt;""),AK148*AL148,0)+IF(AND(AM148&lt;&gt;"",AN148&lt;&gt;""),AM148*AN148,0))+IF(O148="",0,O148)&lt;=0,"",X148/((E148*H148+IF(AND(AK148&lt;&gt;"",AL148&lt;&gt;""),AK148*AL148,0)+IF(AND(AM148&lt;&gt;"",AN148&lt;&gt;""),AM148*AN148,0))+IF(O148="",0,O148))))</f>
        <v/>
      </c>
      <c r="Z148" s="7" t="str">
        <f>IF(OR(AE148="",多次统计数据!$B$8=""),"",AE148-多次统计数据!$B$8)</f>
        <v/>
      </c>
      <c r="AA148" s="11" t="str">
        <f>IF(OR(I148="",M148="",M148&lt;I148),"",M148-I148)</f>
        <v/>
      </c>
      <c r="AB148" s="7" t="str">
        <f>IF(OR(A148="",多次统计数据!$B$8="",多次统计数据!$B$6&lt;=0,多次统计数据!$B$6&gt;=1),"",1-POWER(1+多次统计数据!$B$8,-多次统计数据!$B$6/(1-多次统计数据!$B$6)))</f>
        <v/>
      </c>
      <c r="AC148" s="8" t="str">
        <f>IF(OR(AB148="",多次统计数据!$B$9=""),"",IF(多次统计数据!$B$9&lt;AB148,"低于上限","达到或超过上限"))</f>
        <v/>
      </c>
      <c r="AD148" s="2"/>
      <c r="AE148" s="7" t="str">
        <f>IF(OR(X148="",C148="",C148&lt;=0),"",X148/C148)</f>
        <v/>
      </c>
      <c r="AG148" s="2"/>
      <c r="AH148" s="2"/>
      <c r="AI148" s="2"/>
      <c r="AJ148" s="8" t="str">
        <f>IF(OR(AG148="",AH148=""),"",IF(OR(AND(AG148="短期博反弹",OR(AH148="1～3个交易日",AH148="4～10个交易日")),AND(AG148="突破冲新高",OR(AH148="4～10个交易日",AH148="11～20个交易日")),AND(AG148="趋势波段",OR(AH148="11～20个交易日",AH148="21～60个交易日",AH148="60个交易日以上"))),"匹配","周期与交易预期不匹配，请重新确认"))</f>
        <v/>
      </c>
      <c r="AK148" s="10"/>
      <c r="AL148" s="12"/>
      <c r="AM148" s="10"/>
      <c r="AN148" s="12"/>
      <c r="AO148" s="5" t="str">
        <f>IF(OR(A148="",H148="",H148&lt;=0),"",(E148*H148+IF(AND(AK148&lt;&gt;"",AL148&lt;&gt;""),AK148*AL148,0)+IF(AND(AM148&lt;&gt;"",AN148&lt;&gt;""),AM148*AN148,0))/AP148)</f>
        <v/>
      </c>
      <c r="AP148" s="11" t="str">
        <f>IF(OR(A148="",H148="",H148&lt;=0),"",H148+IF(AL148="",0,AL148)+IF(AN148="",0,AN148))</f>
        <v/>
      </c>
      <c r="AQ148" s="5" t="str">
        <f>IF(A148="","",IF(M148&lt;&gt;"",0,IF(OR(H148="",N148=""),"",MAX(E148-MAX(N148,IFERROR(SUMPRODUCT(MAX(((持仓跟踪!$A$2:$A$497="每日跟踪")*(持仓跟踪!$B$2:$B$497=A148))*持仓跟踪!$S$2:$S$497)),0)),0)*H148+IF(OR(AK148="",AL148=""),0,MAX(AK148-MAX(N148,IFERROR(SUMPRODUCT(MAX(((持仓跟踪!$A$2:$A$497="每日跟踪")*(持仓跟踪!$B$2:$B$497=A148))*持仓跟踪!$S$2:$S$497)),0)),0)*AL148)+IF(OR(AM148="",AN148=""),0,MAX(AM148-MAX(N148,IFERROR(SUMPRODUCT(MAX(((持仓跟踪!$A$2:$A$497="每日跟踪")*(持仓跟踪!$B$2:$B$497=A148))*持仓跟踪!$S$2:$S$497)),0)),0)*AN148))))</f>
        <v/>
      </c>
      <c r="AR148" s="8" t="str">
        <f ca="1">IF(A148="","",IF(OR(E148="",H148=""),"违规：第一批价格或股数缺失",IF(OR(AND(AK148="",AL148&lt;&gt;""),AND(AK148&lt;&gt;"",AL148="")),"违规：第二批价格与股数须成对填写",IF(OR(AND(AM148="",AN148&lt;&gt;""),AND(AM148&lt;&gt;"",AN148="")),"违规：第三批价格与股数须成对填写",IF(AND(OR(AM148&lt;&gt;"",AN148&lt;&gt;""),OR(AK148="",AL148="")),"违规：必须先完成第二批",IF(OR(H148&lt;=0,H148&lt;&gt;INT(H148),MOD(H148,100)&lt;&gt;0,AND(AL148&lt;&gt;"",OR(AL148&lt;=0,AL148&lt;&gt;INT(AL148),MOD(AL148,100)&lt;&gt;0)),AND(AN148&lt;&gt;"",OR(AN148&lt;=0,AN148&lt;&gt;INT(AN148),MOD(AN148,100)&lt;&gt;0))),"违规：股数须为100股整数倍",IF(AND(OR(AL148&lt;&gt;"",AN148&lt;&gt;""),OR(_LockStatus="已锁仓",_LockStatus="解锁信息不完整")),"违规：锁仓期间禁止加仓",IF(AQ148&gt;C148*D148,"违规：超过单笔风险上限",IF(SUM($AQ$2:$AQ$163)&gt;账户数据!$B$7,"违规：超过账户风险上限","通过")))))))))</f>
        <v/>
      </c>
    </row>
    <row r="149" ht="17" spans="1:44">
      <c r="A149" s="2"/>
      <c r="B149" s="2"/>
      <c r="C149" s="10"/>
      <c r="D149" s="6"/>
      <c r="E149" s="10"/>
      <c r="F149" s="8" t="str">
        <f>IF(OR(C149="",D149="",E149="",N149="",C149&lt;=0,D149&lt;=0,E149&lt;=N149),"",ROUNDDOWN((C149*D149)/(E149-N149)/100,0)*100)</f>
        <v/>
      </c>
      <c r="G149" s="8" t="str">
        <f ca="1"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COUNTIFS(持仓跟踪!$A$2:$A$497,"止损计划",持仓跟踪!$B$2:$B$497,A149,持仓跟踪!$AC$2:$AC$497,"计划有效")=0,"禁止开仓：请先填写止损计划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9" s="2"/>
      <c r="I149" s="15"/>
      <c r="J149" s="10"/>
      <c r="K149" s="5" t="str">
        <f>IF(A149="","",IFERROR(LOOKUP(2,1/((持仓跟踪!$B$2:$B$497=A149)*(持仓跟踪!$X$2:$X$497="执行卖出")*(持仓跟踪!$Y$2:$Y$497&lt;&gt;"")),持仓跟踪!$Y$2:$Y$497),""))</f>
        <v/>
      </c>
      <c r="L149" s="8" t="str">
        <f>IF(A149="","",IFERROR(LOOKUP(2,1/((持仓跟踪!$B$2:$B$497=A149)*(持仓跟踪!$X$2:$X$497="执行卖出")*(持仓跟踪!$Z$2:$Z$497&lt;&gt;"")),持仓跟踪!$Z$2:$Z$497),""))</f>
        <v/>
      </c>
      <c r="M149" s="23" t="str">
        <f>IF(A149="","",IFERROR(LOOKUP(2,1/((持仓跟踪!$B$2:$B$497=A149)*(持仓跟踪!$X$2:$X$497="执行卖出")*(持仓跟踪!$H$2:$H$497&lt;&gt;"")),持仓跟踪!$H$2:$H$497),""))</f>
        <v/>
      </c>
      <c r="N149" s="10"/>
      <c r="O149" s="10"/>
      <c r="P149" s="5" t="str">
        <f>IF(A149="","",IFERROR(LOOKUP(2,1/((持仓跟踪!$B$2:$B$497=A149)*(持仓跟踪!$X$2:$X$497="执行卖出")*(持仓跟踪!$AA$2:$AA$497&lt;&gt;"")),持仓跟踪!$AA$2:$AA$497),""))</f>
        <v/>
      </c>
      <c r="Q149" s="2"/>
      <c r="R149" s="2"/>
      <c r="S149" s="2"/>
      <c r="T149" s="2"/>
      <c r="U149" s="7" t="str">
        <f>IF(OR(AO149="",J149="",AO149&lt;=0),"",(J149-AO149)/AO149)</f>
        <v/>
      </c>
      <c r="V149" s="7" t="str">
        <f>IF(OR(AO149="",N149="",AO149&lt;=0),"",(AO149-N149)/AO149)</f>
        <v/>
      </c>
      <c r="W149" s="24" t="str">
        <f>IF(OR(U149="",V149="",V149&lt;=0),"",U149/V149)</f>
        <v/>
      </c>
      <c r="X149" s="5" t="str">
        <f>IF(OR(K149="",L149="",AP149=""),"",K149*L149-(E149*H149+IF(AND(AK149&lt;&gt;"",AL149&lt;&gt;""),AK149*AL149,0)+IF(AND(AM149&lt;&gt;"",AN149&lt;&gt;""),AM149*AN149,0))-IF(O149="",0,O149)-IF(P149="",0,P149))</f>
        <v/>
      </c>
      <c r="Y149" s="7" t="str">
        <f>IF(OR(X149="",AP149=""),"",IF((E149*H149+IF(AND(AK149&lt;&gt;"",AL149&lt;&gt;""),AK149*AL149,0)+IF(AND(AM149&lt;&gt;"",AN149&lt;&gt;""),AM149*AN149,0))+IF(O149="",0,O149)&lt;=0,"",X149/((E149*H149+IF(AND(AK149&lt;&gt;"",AL149&lt;&gt;""),AK149*AL149,0)+IF(AND(AM149&lt;&gt;"",AN149&lt;&gt;""),AM149*AN149,0))+IF(O149="",0,O149))))</f>
        <v/>
      </c>
      <c r="Z149" s="7" t="str">
        <f>IF(OR(AE149="",多次统计数据!$B$8=""),"",AE149-多次统计数据!$B$8)</f>
        <v/>
      </c>
      <c r="AA149" s="11" t="str">
        <f>IF(OR(I149="",M149="",M149&lt;I149),"",M149-I149)</f>
        <v/>
      </c>
      <c r="AB149" s="7" t="str">
        <f>IF(OR(A149="",多次统计数据!$B$8="",多次统计数据!$B$6&lt;=0,多次统计数据!$B$6&gt;=1),"",1-POWER(1+多次统计数据!$B$8,-多次统计数据!$B$6/(1-多次统计数据!$B$6)))</f>
        <v/>
      </c>
      <c r="AC149" s="8" t="str">
        <f>IF(OR(AB149="",多次统计数据!$B$9=""),"",IF(多次统计数据!$B$9&lt;AB149,"低于上限","达到或超过上限"))</f>
        <v/>
      </c>
      <c r="AD149" s="2"/>
      <c r="AE149" s="7" t="str">
        <f>IF(OR(X149="",C149="",C149&lt;=0),"",X149/C149)</f>
        <v/>
      </c>
      <c r="AG149" s="2"/>
      <c r="AH149" s="2"/>
      <c r="AI149" s="2"/>
      <c r="AJ149" s="8" t="str">
        <f>IF(OR(AG149="",AH149=""),"",IF(OR(AND(AG149="短期博反弹",OR(AH149="1～3个交易日",AH149="4～10个交易日")),AND(AG149="突破冲新高",OR(AH149="4～10个交易日",AH149="11～20个交易日")),AND(AG149="趋势波段",OR(AH149="11～20个交易日",AH149="21～60个交易日",AH149="60个交易日以上"))),"匹配","周期与交易预期不匹配，请重新确认"))</f>
        <v/>
      </c>
      <c r="AK149" s="10"/>
      <c r="AL149" s="12"/>
      <c r="AM149" s="10"/>
      <c r="AN149" s="12"/>
      <c r="AO149" s="5" t="str">
        <f>IF(OR(A149="",H149="",H149&lt;=0),"",(E149*H149+IF(AND(AK149&lt;&gt;"",AL149&lt;&gt;""),AK149*AL149,0)+IF(AND(AM149&lt;&gt;"",AN149&lt;&gt;""),AM149*AN149,0))/AP149)</f>
        <v/>
      </c>
      <c r="AP149" s="11" t="str">
        <f>IF(OR(A149="",H149="",H149&lt;=0),"",H149+IF(AL149="",0,AL149)+IF(AN149="",0,AN149))</f>
        <v/>
      </c>
      <c r="AQ149" s="5" t="str">
        <f>IF(A149="","",IF(M149&lt;&gt;"",0,IF(OR(H149="",N149=""),"",MAX(E149-MAX(N149,IFERROR(SUMPRODUCT(MAX(((持仓跟踪!$A$2:$A$497="每日跟踪")*(持仓跟踪!$B$2:$B$497=A149))*持仓跟踪!$S$2:$S$497)),0)),0)*H149+IF(OR(AK149="",AL149=""),0,MAX(AK149-MAX(N149,IFERROR(SUMPRODUCT(MAX(((持仓跟踪!$A$2:$A$497="每日跟踪")*(持仓跟踪!$B$2:$B$497=A149))*持仓跟踪!$S$2:$S$497)),0)),0)*AL149)+IF(OR(AM149="",AN149=""),0,MAX(AM149-MAX(N149,IFERROR(SUMPRODUCT(MAX(((持仓跟踪!$A$2:$A$497="每日跟踪")*(持仓跟踪!$B$2:$B$497=A149))*持仓跟踪!$S$2:$S$497)),0)),0)*AN149))))</f>
        <v/>
      </c>
      <c r="AR149" s="8" t="str">
        <f ca="1">IF(A149="","",IF(OR(E149="",H149=""),"违规：第一批价格或股数缺失",IF(OR(AND(AK149="",AL149&lt;&gt;""),AND(AK149&lt;&gt;"",AL149="")),"违规：第二批价格与股数须成对填写",IF(OR(AND(AM149="",AN149&lt;&gt;""),AND(AM149&lt;&gt;"",AN149="")),"违规：第三批价格与股数须成对填写",IF(AND(OR(AM149&lt;&gt;"",AN149&lt;&gt;""),OR(AK149="",AL149="")),"违规：必须先完成第二批",IF(OR(H149&lt;=0,H149&lt;&gt;INT(H149),MOD(H149,100)&lt;&gt;0,AND(AL149&lt;&gt;"",OR(AL149&lt;=0,AL149&lt;&gt;INT(AL149),MOD(AL149,100)&lt;&gt;0)),AND(AN149&lt;&gt;"",OR(AN149&lt;=0,AN149&lt;&gt;INT(AN149),MOD(AN149,100)&lt;&gt;0))),"违规：股数须为100股整数倍",IF(AND(OR(AL149&lt;&gt;"",AN149&lt;&gt;""),OR(_LockStatus="已锁仓",_LockStatus="解锁信息不完整")),"违规：锁仓期间禁止加仓",IF(AQ149&gt;C149*D149,"违规：超过单笔风险上限",IF(SUM($AQ$2:$AQ$163)&gt;账户数据!$B$7,"违规：超过账户风险上限","通过")))))))))</f>
        <v/>
      </c>
    </row>
    <row r="150" ht="17" spans="1:44">
      <c r="A150" s="2"/>
      <c r="B150" s="2"/>
      <c r="C150" s="10"/>
      <c r="D150" s="6"/>
      <c r="E150" s="10"/>
      <c r="F150" s="8" t="str">
        <f>IF(OR(C150="",D150="",E150="",N150="",C150&lt;=0,D150&lt;=0,E150&lt;=N150),"",ROUNDDOWN((C150*D150)/(E150-N150)/100,0)*100)</f>
        <v/>
      </c>
      <c r="G150" s="8" t="str">
        <f ca="1"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COUNTIFS(持仓跟踪!$A$2:$A$497,"止损计划",持仓跟踪!$B$2:$B$497,A150,持仓跟踪!$AC$2:$AC$497,"计划有效")=0,"禁止开仓：请先填写止损计划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0" s="2"/>
      <c r="I150" s="15"/>
      <c r="J150" s="10"/>
      <c r="K150" s="5" t="str">
        <f>IF(A150="","",IFERROR(LOOKUP(2,1/((持仓跟踪!$B$2:$B$497=A150)*(持仓跟踪!$X$2:$X$497="执行卖出")*(持仓跟踪!$Y$2:$Y$497&lt;&gt;"")),持仓跟踪!$Y$2:$Y$497),""))</f>
        <v/>
      </c>
      <c r="L150" s="8" t="str">
        <f>IF(A150="","",IFERROR(LOOKUP(2,1/((持仓跟踪!$B$2:$B$497=A150)*(持仓跟踪!$X$2:$X$497="执行卖出")*(持仓跟踪!$Z$2:$Z$497&lt;&gt;"")),持仓跟踪!$Z$2:$Z$497),""))</f>
        <v/>
      </c>
      <c r="M150" s="23" t="str">
        <f>IF(A150="","",IFERROR(LOOKUP(2,1/((持仓跟踪!$B$2:$B$497=A150)*(持仓跟踪!$X$2:$X$497="执行卖出")*(持仓跟踪!$H$2:$H$497&lt;&gt;"")),持仓跟踪!$H$2:$H$497),""))</f>
        <v/>
      </c>
      <c r="N150" s="10"/>
      <c r="O150" s="10"/>
      <c r="P150" s="5" t="str">
        <f>IF(A150="","",IFERROR(LOOKUP(2,1/((持仓跟踪!$B$2:$B$497=A150)*(持仓跟踪!$X$2:$X$497="执行卖出")*(持仓跟踪!$AA$2:$AA$497&lt;&gt;"")),持仓跟踪!$AA$2:$AA$497),""))</f>
        <v/>
      </c>
      <c r="Q150" s="2"/>
      <c r="R150" s="2"/>
      <c r="S150" s="2"/>
      <c r="T150" s="2"/>
      <c r="U150" s="7" t="str">
        <f>IF(OR(AO150="",J150="",AO150&lt;=0),"",(J150-AO150)/AO150)</f>
        <v/>
      </c>
      <c r="V150" s="7" t="str">
        <f>IF(OR(AO150="",N150="",AO150&lt;=0),"",(AO150-N150)/AO150)</f>
        <v/>
      </c>
      <c r="W150" s="24" t="str">
        <f>IF(OR(U150="",V150="",V150&lt;=0),"",U150/V150)</f>
        <v/>
      </c>
      <c r="X150" s="5" t="str">
        <f>IF(OR(K150="",L150="",AP150=""),"",K150*L150-(E150*H150+IF(AND(AK150&lt;&gt;"",AL150&lt;&gt;""),AK150*AL150,0)+IF(AND(AM150&lt;&gt;"",AN150&lt;&gt;""),AM150*AN150,0))-IF(O150="",0,O150)-IF(P150="",0,P150))</f>
        <v/>
      </c>
      <c r="Y150" s="7" t="str">
        <f>IF(OR(X150="",AP150=""),"",IF((E150*H150+IF(AND(AK150&lt;&gt;"",AL150&lt;&gt;""),AK150*AL150,0)+IF(AND(AM150&lt;&gt;"",AN150&lt;&gt;""),AM150*AN150,0))+IF(O150="",0,O150)&lt;=0,"",X150/((E150*H150+IF(AND(AK150&lt;&gt;"",AL150&lt;&gt;""),AK150*AL150,0)+IF(AND(AM150&lt;&gt;"",AN150&lt;&gt;""),AM150*AN150,0))+IF(O150="",0,O150))))</f>
        <v/>
      </c>
      <c r="Z150" s="7" t="str">
        <f>IF(OR(AE150="",多次统计数据!$B$8=""),"",AE150-多次统计数据!$B$8)</f>
        <v/>
      </c>
      <c r="AA150" s="11" t="str">
        <f>IF(OR(I150="",M150="",M150&lt;I150),"",M150-I150)</f>
        <v/>
      </c>
      <c r="AB150" s="7" t="str">
        <f>IF(OR(A150="",多次统计数据!$B$8="",多次统计数据!$B$6&lt;=0,多次统计数据!$B$6&gt;=1),"",1-POWER(1+多次统计数据!$B$8,-多次统计数据!$B$6/(1-多次统计数据!$B$6)))</f>
        <v/>
      </c>
      <c r="AC150" s="8" t="str">
        <f>IF(OR(AB150="",多次统计数据!$B$9=""),"",IF(多次统计数据!$B$9&lt;AB150,"低于上限","达到或超过上限"))</f>
        <v/>
      </c>
      <c r="AD150" s="2"/>
      <c r="AE150" s="7" t="str">
        <f>IF(OR(X150="",C150="",C150&lt;=0),"",X150/C150)</f>
        <v/>
      </c>
      <c r="AG150" s="2"/>
      <c r="AH150" s="2"/>
      <c r="AI150" s="2"/>
      <c r="AJ150" s="8" t="str">
        <f>IF(OR(AG150="",AH150=""),"",IF(OR(AND(AG150="短期博反弹",OR(AH150="1～3个交易日",AH150="4～10个交易日")),AND(AG150="突破冲新高",OR(AH150="4～10个交易日",AH150="11～20个交易日")),AND(AG150="趋势波段",OR(AH150="11～20个交易日",AH150="21～60个交易日",AH150="60个交易日以上"))),"匹配","周期与交易预期不匹配，请重新确认"))</f>
        <v/>
      </c>
      <c r="AK150" s="10"/>
      <c r="AL150" s="12"/>
      <c r="AM150" s="10"/>
      <c r="AN150" s="12"/>
      <c r="AO150" s="5" t="str">
        <f>IF(OR(A150="",H150="",H150&lt;=0),"",(E150*H150+IF(AND(AK150&lt;&gt;"",AL150&lt;&gt;""),AK150*AL150,0)+IF(AND(AM150&lt;&gt;"",AN150&lt;&gt;""),AM150*AN150,0))/AP150)</f>
        <v/>
      </c>
      <c r="AP150" s="11" t="str">
        <f>IF(OR(A150="",H150="",H150&lt;=0),"",H150+IF(AL150="",0,AL150)+IF(AN150="",0,AN150))</f>
        <v/>
      </c>
      <c r="AQ150" s="5" t="str">
        <f>IF(A150="","",IF(M150&lt;&gt;"",0,IF(OR(H150="",N150=""),"",MAX(E150-MAX(N150,IFERROR(SUMPRODUCT(MAX(((持仓跟踪!$A$2:$A$497="每日跟踪")*(持仓跟踪!$B$2:$B$497=A150))*持仓跟踪!$S$2:$S$497)),0)),0)*H150+IF(OR(AK150="",AL150=""),0,MAX(AK150-MAX(N150,IFERROR(SUMPRODUCT(MAX(((持仓跟踪!$A$2:$A$497="每日跟踪")*(持仓跟踪!$B$2:$B$497=A150))*持仓跟踪!$S$2:$S$497)),0)),0)*AL150)+IF(OR(AM150="",AN150=""),0,MAX(AM150-MAX(N150,IFERROR(SUMPRODUCT(MAX(((持仓跟踪!$A$2:$A$497="每日跟踪")*(持仓跟踪!$B$2:$B$497=A150))*持仓跟踪!$S$2:$S$497)),0)),0)*AN150))))</f>
        <v/>
      </c>
      <c r="AR150" s="8" t="str">
        <f ca="1">IF(A150="","",IF(OR(E150="",H150=""),"违规：第一批价格或股数缺失",IF(OR(AND(AK150="",AL150&lt;&gt;""),AND(AK150&lt;&gt;"",AL150="")),"违规：第二批价格与股数须成对填写",IF(OR(AND(AM150="",AN150&lt;&gt;""),AND(AM150&lt;&gt;"",AN150="")),"违规：第三批价格与股数须成对填写",IF(AND(OR(AM150&lt;&gt;"",AN150&lt;&gt;""),OR(AK150="",AL150="")),"违规：必须先完成第二批",IF(OR(H150&lt;=0,H150&lt;&gt;INT(H150),MOD(H150,100)&lt;&gt;0,AND(AL150&lt;&gt;"",OR(AL150&lt;=0,AL150&lt;&gt;INT(AL150),MOD(AL150,100)&lt;&gt;0)),AND(AN150&lt;&gt;"",OR(AN150&lt;=0,AN150&lt;&gt;INT(AN150),MOD(AN150,100)&lt;&gt;0))),"违规：股数须为100股整数倍",IF(AND(OR(AL150&lt;&gt;"",AN150&lt;&gt;""),OR(_LockStatus="已锁仓",_LockStatus="解锁信息不完整")),"违规：锁仓期间禁止加仓",IF(AQ150&gt;C150*D150,"违规：超过单笔风险上限",IF(SUM($AQ$2:$AQ$163)&gt;账户数据!$B$7,"违规：超过账户风险上限","通过")))))))))</f>
        <v/>
      </c>
    </row>
    <row r="151" ht="17" spans="1:44">
      <c r="A151" s="2"/>
      <c r="B151" s="2"/>
      <c r="C151" s="10"/>
      <c r="D151" s="6"/>
      <c r="E151" s="10"/>
      <c r="F151" s="8" t="str">
        <f>IF(OR(C151="",D151="",E151="",N151="",C151&lt;=0,D151&lt;=0,E151&lt;=N151),"",ROUNDDOWN((C151*D151)/(E151-N151)/100,0)*100)</f>
        <v/>
      </c>
      <c r="G151" s="8" t="str">
        <f ca="1"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COUNTIFS(持仓跟踪!$A$2:$A$497,"止损计划",持仓跟踪!$B$2:$B$497,A151,持仓跟踪!$AC$2:$AC$497,"计划有效")=0,"禁止开仓：请先填写止损计划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1" s="2"/>
      <c r="I151" s="15"/>
      <c r="J151" s="10"/>
      <c r="K151" s="5" t="str">
        <f>IF(A151="","",IFERROR(LOOKUP(2,1/((持仓跟踪!$B$2:$B$497=A151)*(持仓跟踪!$X$2:$X$497="执行卖出")*(持仓跟踪!$Y$2:$Y$497&lt;&gt;"")),持仓跟踪!$Y$2:$Y$497),""))</f>
        <v/>
      </c>
      <c r="L151" s="8" t="str">
        <f>IF(A151="","",IFERROR(LOOKUP(2,1/((持仓跟踪!$B$2:$B$497=A151)*(持仓跟踪!$X$2:$X$497="执行卖出")*(持仓跟踪!$Z$2:$Z$497&lt;&gt;"")),持仓跟踪!$Z$2:$Z$497),""))</f>
        <v/>
      </c>
      <c r="M151" s="23" t="str">
        <f>IF(A151="","",IFERROR(LOOKUP(2,1/((持仓跟踪!$B$2:$B$497=A151)*(持仓跟踪!$X$2:$X$497="执行卖出")*(持仓跟踪!$H$2:$H$497&lt;&gt;"")),持仓跟踪!$H$2:$H$497),""))</f>
        <v/>
      </c>
      <c r="N151" s="10"/>
      <c r="O151" s="10"/>
      <c r="P151" s="5" t="str">
        <f>IF(A151="","",IFERROR(LOOKUP(2,1/((持仓跟踪!$B$2:$B$497=A151)*(持仓跟踪!$X$2:$X$497="执行卖出")*(持仓跟踪!$AA$2:$AA$497&lt;&gt;"")),持仓跟踪!$AA$2:$AA$497),""))</f>
        <v/>
      </c>
      <c r="Q151" s="2"/>
      <c r="R151" s="2"/>
      <c r="S151" s="2"/>
      <c r="T151" s="2"/>
      <c r="U151" s="7" t="str">
        <f>IF(OR(AO151="",J151="",AO151&lt;=0),"",(J151-AO151)/AO151)</f>
        <v/>
      </c>
      <c r="V151" s="7" t="str">
        <f>IF(OR(AO151="",N151="",AO151&lt;=0),"",(AO151-N151)/AO151)</f>
        <v/>
      </c>
      <c r="W151" s="24" t="str">
        <f>IF(OR(U151="",V151="",V151&lt;=0),"",U151/V151)</f>
        <v/>
      </c>
      <c r="X151" s="5" t="str">
        <f>IF(OR(K151="",L151="",AP151=""),"",K151*L151-(E151*H151+IF(AND(AK151&lt;&gt;"",AL151&lt;&gt;""),AK151*AL151,0)+IF(AND(AM151&lt;&gt;"",AN151&lt;&gt;""),AM151*AN151,0))-IF(O151="",0,O151)-IF(P151="",0,P151))</f>
        <v/>
      </c>
      <c r="Y151" s="7" t="str">
        <f>IF(OR(X151="",AP151=""),"",IF((E151*H151+IF(AND(AK151&lt;&gt;"",AL151&lt;&gt;""),AK151*AL151,0)+IF(AND(AM151&lt;&gt;"",AN151&lt;&gt;""),AM151*AN151,0))+IF(O151="",0,O151)&lt;=0,"",X151/((E151*H151+IF(AND(AK151&lt;&gt;"",AL151&lt;&gt;""),AK151*AL151,0)+IF(AND(AM151&lt;&gt;"",AN151&lt;&gt;""),AM151*AN151,0))+IF(O151="",0,O151))))</f>
        <v/>
      </c>
      <c r="Z151" s="7" t="str">
        <f>IF(OR(AE151="",多次统计数据!$B$8=""),"",AE151-多次统计数据!$B$8)</f>
        <v/>
      </c>
      <c r="AA151" s="11" t="str">
        <f>IF(OR(I151="",M151="",M151&lt;I151),"",M151-I151)</f>
        <v/>
      </c>
      <c r="AB151" s="7" t="str">
        <f>IF(OR(A151="",多次统计数据!$B$8="",多次统计数据!$B$6&lt;=0,多次统计数据!$B$6&gt;=1),"",1-POWER(1+多次统计数据!$B$8,-多次统计数据!$B$6/(1-多次统计数据!$B$6)))</f>
        <v/>
      </c>
      <c r="AC151" s="8" t="str">
        <f>IF(OR(AB151="",多次统计数据!$B$9=""),"",IF(多次统计数据!$B$9&lt;AB151,"低于上限","达到或超过上限"))</f>
        <v/>
      </c>
      <c r="AD151" s="2"/>
      <c r="AE151" s="7" t="str">
        <f>IF(OR(X151="",C151="",C151&lt;=0),"",X151/C151)</f>
        <v/>
      </c>
      <c r="AG151" s="2"/>
      <c r="AH151" s="2"/>
      <c r="AI151" s="2"/>
      <c r="AJ151" s="8" t="str">
        <f>IF(OR(AG151="",AH151=""),"",IF(OR(AND(AG151="短期博反弹",OR(AH151="1～3个交易日",AH151="4～10个交易日")),AND(AG151="突破冲新高",OR(AH151="4～10个交易日",AH151="11～20个交易日")),AND(AG151="趋势波段",OR(AH151="11～20个交易日",AH151="21～60个交易日",AH151="60个交易日以上"))),"匹配","周期与交易预期不匹配，请重新确认"))</f>
        <v/>
      </c>
      <c r="AK151" s="10"/>
      <c r="AL151" s="12"/>
      <c r="AM151" s="10"/>
      <c r="AN151" s="12"/>
      <c r="AO151" s="5" t="str">
        <f>IF(OR(A151="",H151="",H151&lt;=0),"",(E151*H151+IF(AND(AK151&lt;&gt;"",AL151&lt;&gt;""),AK151*AL151,0)+IF(AND(AM151&lt;&gt;"",AN151&lt;&gt;""),AM151*AN151,0))/AP151)</f>
        <v/>
      </c>
      <c r="AP151" s="11" t="str">
        <f>IF(OR(A151="",H151="",H151&lt;=0),"",H151+IF(AL151="",0,AL151)+IF(AN151="",0,AN151))</f>
        <v/>
      </c>
      <c r="AQ151" s="5" t="str">
        <f>IF(A151="","",IF(M151&lt;&gt;"",0,IF(OR(H151="",N151=""),"",MAX(E151-MAX(N151,IFERROR(SUMPRODUCT(MAX(((持仓跟踪!$A$2:$A$497="每日跟踪")*(持仓跟踪!$B$2:$B$497=A151))*持仓跟踪!$S$2:$S$497)),0)),0)*H151+IF(OR(AK151="",AL151=""),0,MAX(AK151-MAX(N151,IFERROR(SUMPRODUCT(MAX(((持仓跟踪!$A$2:$A$497="每日跟踪")*(持仓跟踪!$B$2:$B$497=A151))*持仓跟踪!$S$2:$S$497)),0)),0)*AL151)+IF(OR(AM151="",AN151=""),0,MAX(AM151-MAX(N151,IFERROR(SUMPRODUCT(MAX(((持仓跟踪!$A$2:$A$497="每日跟踪")*(持仓跟踪!$B$2:$B$497=A151))*持仓跟踪!$S$2:$S$497)),0)),0)*AN151))))</f>
        <v/>
      </c>
      <c r="AR151" s="8" t="str">
        <f ca="1">IF(A151="","",IF(OR(E151="",H151=""),"违规：第一批价格或股数缺失",IF(OR(AND(AK151="",AL151&lt;&gt;""),AND(AK151&lt;&gt;"",AL151="")),"违规：第二批价格与股数须成对填写",IF(OR(AND(AM151="",AN151&lt;&gt;""),AND(AM151&lt;&gt;"",AN151="")),"违规：第三批价格与股数须成对填写",IF(AND(OR(AM151&lt;&gt;"",AN151&lt;&gt;""),OR(AK151="",AL151="")),"违规：必须先完成第二批",IF(OR(H151&lt;=0,H151&lt;&gt;INT(H151),MOD(H151,100)&lt;&gt;0,AND(AL151&lt;&gt;"",OR(AL151&lt;=0,AL151&lt;&gt;INT(AL151),MOD(AL151,100)&lt;&gt;0)),AND(AN151&lt;&gt;"",OR(AN151&lt;=0,AN151&lt;&gt;INT(AN151),MOD(AN151,100)&lt;&gt;0))),"违规：股数须为100股整数倍",IF(AND(OR(AL151&lt;&gt;"",AN151&lt;&gt;""),OR(_LockStatus="已锁仓",_LockStatus="解锁信息不完整")),"违规：锁仓期间禁止加仓",IF(AQ151&gt;C151*D151,"违规：超过单笔风险上限",IF(SUM($AQ$2:$AQ$163)&gt;账户数据!$B$7,"违规：超过账户风险上限","通过")))))))))</f>
        <v/>
      </c>
    </row>
    <row r="152" ht="17" spans="1:44">
      <c r="A152" s="2"/>
      <c r="B152" s="2"/>
      <c r="C152" s="10"/>
      <c r="D152" s="6"/>
      <c r="E152" s="10"/>
      <c r="F152" s="8" t="str">
        <f>IF(OR(C152="",D152="",E152="",N152="",C152&lt;=0,D152&lt;=0,E152&lt;=N152),"",ROUNDDOWN((C152*D152)/(E152-N152)/100,0)*100)</f>
        <v/>
      </c>
      <c r="G152" s="8" t="str">
        <f ca="1"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COUNTIFS(持仓跟踪!$A$2:$A$497,"止损计划",持仓跟踪!$B$2:$B$497,A152,持仓跟踪!$AC$2:$AC$497,"计划有效")=0,"禁止开仓：请先填写止损计划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2" s="2"/>
      <c r="I152" s="15"/>
      <c r="J152" s="10"/>
      <c r="K152" s="5" t="str">
        <f>IF(A152="","",IFERROR(LOOKUP(2,1/((持仓跟踪!$B$2:$B$497=A152)*(持仓跟踪!$X$2:$X$497="执行卖出")*(持仓跟踪!$Y$2:$Y$497&lt;&gt;"")),持仓跟踪!$Y$2:$Y$497),""))</f>
        <v/>
      </c>
      <c r="L152" s="8" t="str">
        <f>IF(A152="","",IFERROR(LOOKUP(2,1/((持仓跟踪!$B$2:$B$497=A152)*(持仓跟踪!$X$2:$X$497="执行卖出")*(持仓跟踪!$Z$2:$Z$497&lt;&gt;"")),持仓跟踪!$Z$2:$Z$497),""))</f>
        <v/>
      </c>
      <c r="M152" s="23" t="str">
        <f>IF(A152="","",IFERROR(LOOKUP(2,1/((持仓跟踪!$B$2:$B$497=A152)*(持仓跟踪!$X$2:$X$497="执行卖出")*(持仓跟踪!$H$2:$H$497&lt;&gt;"")),持仓跟踪!$H$2:$H$497),""))</f>
        <v/>
      </c>
      <c r="N152" s="10"/>
      <c r="O152" s="10"/>
      <c r="P152" s="5" t="str">
        <f>IF(A152="","",IFERROR(LOOKUP(2,1/((持仓跟踪!$B$2:$B$497=A152)*(持仓跟踪!$X$2:$X$497="执行卖出")*(持仓跟踪!$AA$2:$AA$497&lt;&gt;"")),持仓跟踪!$AA$2:$AA$497),""))</f>
        <v/>
      </c>
      <c r="Q152" s="2"/>
      <c r="R152" s="2"/>
      <c r="S152" s="2"/>
      <c r="T152" s="2"/>
      <c r="U152" s="7" t="str">
        <f>IF(OR(AO152="",J152="",AO152&lt;=0),"",(J152-AO152)/AO152)</f>
        <v/>
      </c>
      <c r="V152" s="7" t="str">
        <f>IF(OR(AO152="",N152="",AO152&lt;=0),"",(AO152-N152)/AO152)</f>
        <v/>
      </c>
      <c r="W152" s="24" t="str">
        <f>IF(OR(U152="",V152="",V152&lt;=0),"",U152/V152)</f>
        <v/>
      </c>
      <c r="X152" s="5" t="str">
        <f>IF(OR(K152="",L152="",AP152=""),"",K152*L152-(E152*H152+IF(AND(AK152&lt;&gt;"",AL152&lt;&gt;""),AK152*AL152,0)+IF(AND(AM152&lt;&gt;"",AN152&lt;&gt;""),AM152*AN152,0))-IF(O152="",0,O152)-IF(P152="",0,P152))</f>
        <v/>
      </c>
      <c r="Y152" s="7" t="str">
        <f>IF(OR(X152="",AP152=""),"",IF((E152*H152+IF(AND(AK152&lt;&gt;"",AL152&lt;&gt;""),AK152*AL152,0)+IF(AND(AM152&lt;&gt;"",AN152&lt;&gt;""),AM152*AN152,0))+IF(O152="",0,O152)&lt;=0,"",X152/((E152*H152+IF(AND(AK152&lt;&gt;"",AL152&lt;&gt;""),AK152*AL152,0)+IF(AND(AM152&lt;&gt;"",AN152&lt;&gt;""),AM152*AN152,0))+IF(O152="",0,O152))))</f>
        <v/>
      </c>
      <c r="Z152" s="7" t="str">
        <f>IF(OR(AE152="",多次统计数据!$B$8=""),"",AE152-多次统计数据!$B$8)</f>
        <v/>
      </c>
      <c r="AA152" s="11" t="str">
        <f>IF(OR(I152="",M152="",M152&lt;I152),"",M152-I152)</f>
        <v/>
      </c>
      <c r="AB152" s="7" t="str">
        <f>IF(OR(A152="",多次统计数据!$B$8="",多次统计数据!$B$6&lt;=0,多次统计数据!$B$6&gt;=1),"",1-POWER(1+多次统计数据!$B$8,-多次统计数据!$B$6/(1-多次统计数据!$B$6)))</f>
        <v/>
      </c>
      <c r="AC152" s="8" t="str">
        <f>IF(OR(AB152="",多次统计数据!$B$9=""),"",IF(多次统计数据!$B$9&lt;AB152,"低于上限","达到或超过上限"))</f>
        <v/>
      </c>
      <c r="AD152" s="2"/>
      <c r="AE152" s="7" t="str">
        <f>IF(OR(X152="",C152="",C152&lt;=0),"",X152/C152)</f>
        <v/>
      </c>
      <c r="AG152" s="2"/>
      <c r="AH152" s="2"/>
      <c r="AI152" s="2"/>
      <c r="AJ152" s="8" t="str">
        <f>IF(OR(AG152="",AH152=""),"",IF(OR(AND(AG152="短期博反弹",OR(AH152="1～3个交易日",AH152="4～10个交易日")),AND(AG152="突破冲新高",OR(AH152="4～10个交易日",AH152="11～20个交易日")),AND(AG152="趋势波段",OR(AH152="11～20个交易日",AH152="21～60个交易日",AH152="60个交易日以上"))),"匹配","周期与交易预期不匹配，请重新确认"))</f>
        <v/>
      </c>
      <c r="AK152" s="10"/>
      <c r="AL152" s="12"/>
      <c r="AM152" s="10"/>
      <c r="AN152" s="12"/>
      <c r="AO152" s="5" t="str">
        <f>IF(OR(A152="",H152="",H152&lt;=0),"",(E152*H152+IF(AND(AK152&lt;&gt;"",AL152&lt;&gt;""),AK152*AL152,0)+IF(AND(AM152&lt;&gt;"",AN152&lt;&gt;""),AM152*AN152,0))/AP152)</f>
        <v/>
      </c>
      <c r="AP152" s="11" t="str">
        <f>IF(OR(A152="",H152="",H152&lt;=0),"",H152+IF(AL152="",0,AL152)+IF(AN152="",0,AN152))</f>
        <v/>
      </c>
      <c r="AQ152" s="5" t="str">
        <f>IF(A152="","",IF(M152&lt;&gt;"",0,IF(OR(H152="",N152=""),"",MAX(E152-MAX(N152,IFERROR(SUMPRODUCT(MAX(((持仓跟踪!$A$2:$A$497="每日跟踪")*(持仓跟踪!$B$2:$B$497=A152))*持仓跟踪!$S$2:$S$497)),0)),0)*H152+IF(OR(AK152="",AL152=""),0,MAX(AK152-MAX(N152,IFERROR(SUMPRODUCT(MAX(((持仓跟踪!$A$2:$A$497="每日跟踪")*(持仓跟踪!$B$2:$B$497=A152))*持仓跟踪!$S$2:$S$497)),0)),0)*AL152)+IF(OR(AM152="",AN152=""),0,MAX(AM152-MAX(N152,IFERROR(SUMPRODUCT(MAX(((持仓跟踪!$A$2:$A$497="每日跟踪")*(持仓跟踪!$B$2:$B$497=A152))*持仓跟踪!$S$2:$S$497)),0)),0)*AN152))))</f>
        <v/>
      </c>
      <c r="AR152" s="8" t="str">
        <f ca="1">IF(A152="","",IF(OR(E152="",H152=""),"违规：第一批价格或股数缺失",IF(OR(AND(AK152="",AL152&lt;&gt;""),AND(AK152&lt;&gt;"",AL152="")),"违规：第二批价格与股数须成对填写",IF(OR(AND(AM152="",AN152&lt;&gt;""),AND(AM152&lt;&gt;"",AN152="")),"违规：第三批价格与股数须成对填写",IF(AND(OR(AM152&lt;&gt;"",AN152&lt;&gt;""),OR(AK152="",AL152="")),"违规：必须先完成第二批",IF(OR(H152&lt;=0,H152&lt;&gt;INT(H152),MOD(H152,100)&lt;&gt;0,AND(AL152&lt;&gt;"",OR(AL152&lt;=0,AL152&lt;&gt;INT(AL152),MOD(AL152,100)&lt;&gt;0)),AND(AN152&lt;&gt;"",OR(AN152&lt;=0,AN152&lt;&gt;INT(AN152),MOD(AN152,100)&lt;&gt;0))),"违规：股数须为100股整数倍",IF(AND(OR(AL152&lt;&gt;"",AN152&lt;&gt;""),OR(_LockStatus="已锁仓",_LockStatus="解锁信息不完整")),"违规：锁仓期间禁止加仓",IF(AQ152&gt;C152*D152,"违规：超过单笔风险上限",IF(SUM($AQ$2:$AQ$163)&gt;账户数据!$B$7,"违规：超过账户风险上限","通过")))))))))</f>
        <v/>
      </c>
    </row>
    <row r="153" ht="17" spans="1:44">
      <c r="A153" s="2"/>
      <c r="B153" s="2"/>
      <c r="C153" s="10"/>
      <c r="D153" s="6"/>
      <c r="E153" s="10"/>
      <c r="F153" s="8" t="str">
        <f>IF(OR(C153="",D153="",E153="",N153="",C153&lt;=0,D153&lt;=0,E153&lt;=N153),"",ROUNDDOWN((C153*D153)/(E153-N153)/100,0)*100)</f>
        <v/>
      </c>
      <c r="G153" s="8" t="str">
        <f ca="1"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COUNTIFS(持仓跟踪!$A$2:$A$497,"止损计划",持仓跟踪!$B$2:$B$497,A153,持仓跟踪!$AC$2:$AC$497,"计划有效")=0,"禁止开仓：请先填写止损计划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3" s="2"/>
      <c r="I153" s="15"/>
      <c r="J153" s="10"/>
      <c r="K153" s="5" t="str">
        <f>IF(A153="","",IFERROR(LOOKUP(2,1/((持仓跟踪!$B$2:$B$497=A153)*(持仓跟踪!$X$2:$X$497="执行卖出")*(持仓跟踪!$Y$2:$Y$497&lt;&gt;"")),持仓跟踪!$Y$2:$Y$497),""))</f>
        <v/>
      </c>
      <c r="L153" s="8" t="str">
        <f>IF(A153="","",IFERROR(LOOKUP(2,1/((持仓跟踪!$B$2:$B$497=A153)*(持仓跟踪!$X$2:$X$497="执行卖出")*(持仓跟踪!$Z$2:$Z$497&lt;&gt;"")),持仓跟踪!$Z$2:$Z$497),""))</f>
        <v/>
      </c>
      <c r="M153" s="23" t="str">
        <f>IF(A153="","",IFERROR(LOOKUP(2,1/((持仓跟踪!$B$2:$B$497=A153)*(持仓跟踪!$X$2:$X$497="执行卖出")*(持仓跟踪!$H$2:$H$497&lt;&gt;"")),持仓跟踪!$H$2:$H$497),""))</f>
        <v/>
      </c>
      <c r="N153" s="10"/>
      <c r="O153" s="10"/>
      <c r="P153" s="5" t="str">
        <f>IF(A153="","",IFERROR(LOOKUP(2,1/((持仓跟踪!$B$2:$B$497=A153)*(持仓跟踪!$X$2:$X$497="执行卖出")*(持仓跟踪!$AA$2:$AA$497&lt;&gt;"")),持仓跟踪!$AA$2:$AA$497),""))</f>
        <v/>
      </c>
      <c r="Q153" s="2"/>
      <c r="R153" s="2"/>
      <c r="S153" s="2"/>
      <c r="T153" s="2"/>
      <c r="U153" s="7" t="str">
        <f>IF(OR(AO153="",J153="",AO153&lt;=0),"",(J153-AO153)/AO153)</f>
        <v/>
      </c>
      <c r="V153" s="7" t="str">
        <f>IF(OR(AO153="",N153="",AO153&lt;=0),"",(AO153-N153)/AO153)</f>
        <v/>
      </c>
      <c r="W153" s="24" t="str">
        <f>IF(OR(U153="",V153="",V153&lt;=0),"",U153/V153)</f>
        <v/>
      </c>
      <c r="X153" s="5" t="str">
        <f>IF(OR(K153="",L153="",AP153=""),"",K153*L153-(E153*H153+IF(AND(AK153&lt;&gt;"",AL153&lt;&gt;""),AK153*AL153,0)+IF(AND(AM153&lt;&gt;"",AN153&lt;&gt;""),AM153*AN153,0))-IF(O153="",0,O153)-IF(P153="",0,P153))</f>
        <v/>
      </c>
      <c r="Y153" s="7" t="str">
        <f>IF(OR(X153="",AP153=""),"",IF((E153*H153+IF(AND(AK153&lt;&gt;"",AL153&lt;&gt;""),AK153*AL153,0)+IF(AND(AM153&lt;&gt;"",AN153&lt;&gt;""),AM153*AN153,0))+IF(O153="",0,O153)&lt;=0,"",X153/((E153*H153+IF(AND(AK153&lt;&gt;"",AL153&lt;&gt;""),AK153*AL153,0)+IF(AND(AM153&lt;&gt;"",AN153&lt;&gt;""),AM153*AN153,0))+IF(O153="",0,O153))))</f>
        <v/>
      </c>
      <c r="Z153" s="7" t="str">
        <f>IF(OR(AE153="",多次统计数据!$B$8=""),"",AE153-多次统计数据!$B$8)</f>
        <v/>
      </c>
      <c r="AA153" s="11" t="str">
        <f>IF(OR(I153="",M153="",M153&lt;I153),"",M153-I153)</f>
        <v/>
      </c>
      <c r="AB153" s="7" t="str">
        <f>IF(OR(A153="",多次统计数据!$B$8="",多次统计数据!$B$6&lt;=0,多次统计数据!$B$6&gt;=1),"",1-POWER(1+多次统计数据!$B$8,-多次统计数据!$B$6/(1-多次统计数据!$B$6)))</f>
        <v/>
      </c>
      <c r="AC153" s="8" t="str">
        <f>IF(OR(AB153="",多次统计数据!$B$9=""),"",IF(多次统计数据!$B$9&lt;AB153,"低于上限","达到或超过上限"))</f>
        <v/>
      </c>
      <c r="AD153" s="2"/>
      <c r="AE153" s="7" t="str">
        <f>IF(OR(X153="",C153="",C153&lt;=0),"",X153/C153)</f>
        <v/>
      </c>
      <c r="AG153" s="2"/>
      <c r="AH153" s="2"/>
      <c r="AI153" s="2"/>
      <c r="AJ153" s="8" t="str">
        <f>IF(OR(AG153="",AH153=""),"",IF(OR(AND(AG153="短期博反弹",OR(AH153="1～3个交易日",AH153="4～10个交易日")),AND(AG153="突破冲新高",OR(AH153="4～10个交易日",AH153="11～20个交易日")),AND(AG153="趋势波段",OR(AH153="11～20个交易日",AH153="21～60个交易日",AH153="60个交易日以上"))),"匹配","周期与交易预期不匹配，请重新确认"))</f>
        <v/>
      </c>
      <c r="AK153" s="10"/>
      <c r="AL153" s="12"/>
      <c r="AM153" s="10"/>
      <c r="AN153" s="12"/>
      <c r="AO153" s="5" t="str">
        <f>IF(OR(A153="",H153="",H153&lt;=0),"",(E153*H153+IF(AND(AK153&lt;&gt;"",AL153&lt;&gt;""),AK153*AL153,0)+IF(AND(AM153&lt;&gt;"",AN153&lt;&gt;""),AM153*AN153,0))/AP153)</f>
        <v/>
      </c>
      <c r="AP153" s="11" t="str">
        <f>IF(OR(A153="",H153="",H153&lt;=0),"",H153+IF(AL153="",0,AL153)+IF(AN153="",0,AN153))</f>
        <v/>
      </c>
      <c r="AQ153" s="5" t="str">
        <f>IF(A153="","",IF(M153&lt;&gt;"",0,IF(OR(H153="",N153=""),"",MAX(E153-MAX(N153,IFERROR(SUMPRODUCT(MAX(((持仓跟踪!$A$2:$A$497="每日跟踪")*(持仓跟踪!$B$2:$B$497=A153))*持仓跟踪!$S$2:$S$497)),0)),0)*H153+IF(OR(AK153="",AL153=""),0,MAX(AK153-MAX(N153,IFERROR(SUMPRODUCT(MAX(((持仓跟踪!$A$2:$A$497="每日跟踪")*(持仓跟踪!$B$2:$B$497=A153))*持仓跟踪!$S$2:$S$497)),0)),0)*AL153)+IF(OR(AM153="",AN153=""),0,MAX(AM153-MAX(N153,IFERROR(SUMPRODUCT(MAX(((持仓跟踪!$A$2:$A$497="每日跟踪")*(持仓跟踪!$B$2:$B$497=A153))*持仓跟踪!$S$2:$S$497)),0)),0)*AN153))))</f>
        <v/>
      </c>
      <c r="AR153" s="8" t="str">
        <f ca="1">IF(A153="","",IF(OR(E153="",H153=""),"违规：第一批价格或股数缺失",IF(OR(AND(AK153="",AL153&lt;&gt;""),AND(AK153&lt;&gt;"",AL153="")),"违规：第二批价格与股数须成对填写",IF(OR(AND(AM153="",AN153&lt;&gt;""),AND(AM153&lt;&gt;"",AN153="")),"违规：第三批价格与股数须成对填写",IF(AND(OR(AM153&lt;&gt;"",AN153&lt;&gt;""),OR(AK153="",AL153="")),"违规：必须先完成第二批",IF(OR(H153&lt;=0,H153&lt;&gt;INT(H153),MOD(H153,100)&lt;&gt;0,AND(AL153&lt;&gt;"",OR(AL153&lt;=0,AL153&lt;&gt;INT(AL153),MOD(AL153,100)&lt;&gt;0)),AND(AN153&lt;&gt;"",OR(AN153&lt;=0,AN153&lt;&gt;INT(AN153),MOD(AN153,100)&lt;&gt;0))),"违规：股数须为100股整数倍",IF(AND(OR(AL153&lt;&gt;"",AN153&lt;&gt;""),OR(_LockStatus="已锁仓",_LockStatus="解锁信息不完整")),"违规：锁仓期间禁止加仓",IF(AQ153&gt;C153*D153,"违规：超过单笔风险上限",IF(SUM($AQ$2:$AQ$163)&gt;账户数据!$B$7,"违规：超过账户风险上限","通过")))))))))</f>
        <v/>
      </c>
    </row>
    <row r="154" ht="17" spans="1:44">
      <c r="A154" s="2"/>
      <c r="B154" s="2"/>
      <c r="C154" s="10"/>
      <c r="D154" s="6"/>
      <c r="E154" s="10"/>
      <c r="F154" s="8" t="str">
        <f>IF(OR(C154="",D154="",E154="",N154="",C154&lt;=0,D154&lt;=0,E154&lt;=N154),"",ROUNDDOWN((C154*D154)/(E154-N154)/100,0)*100)</f>
        <v/>
      </c>
      <c r="G154" s="8" t="str">
        <f ca="1"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COUNTIFS(持仓跟踪!$A$2:$A$497,"止损计划",持仓跟踪!$B$2:$B$497,A154,持仓跟踪!$AC$2:$AC$497,"计划有效")=0,"禁止开仓：请先填写止损计划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4" s="2"/>
      <c r="I154" s="15"/>
      <c r="J154" s="10"/>
      <c r="K154" s="5" t="str">
        <f>IF(A154="","",IFERROR(LOOKUP(2,1/((持仓跟踪!$B$2:$B$497=A154)*(持仓跟踪!$X$2:$X$497="执行卖出")*(持仓跟踪!$Y$2:$Y$497&lt;&gt;"")),持仓跟踪!$Y$2:$Y$497),""))</f>
        <v/>
      </c>
      <c r="L154" s="8" t="str">
        <f>IF(A154="","",IFERROR(LOOKUP(2,1/((持仓跟踪!$B$2:$B$497=A154)*(持仓跟踪!$X$2:$X$497="执行卖出")*(持仓跟踪!$Z$2:$Z$497&lt;&gt;"")),持仓跟踪!$Z$2:$Z$497),""))</f>
        <v/>
      </c>
      <c r="M154" s="23" t="str">
        <f>IF(A154="","",IFERROR(LOOKUP(2,1/((持仓跟踪!$B$2:$B$497=A154)*(持仓跟踪!$X$2:$X$497="执行卖出")*(持仓跟踪!$H$2:$H$497&lt;&gt;"")),持仓跟踪!$H$2:$H$497),""))</f>
        <v/>
      </c>
      <c r="N154" s="10"/>
      <c r="O154" s="10"/>
      <c r="P154" s="5" t="str">
        <f>IF(A154="","",IFERROR(LOOKUP(2,1/((持仓跟踪!$B$2:$B$497=A154)*(持仓跟踪!$X$2:$X$497="执行卖出")*(持仓跟踪!$AA$2:$AA$497&lt;&gt;"")),持仓跟踪!$AA$2:$AA$497),""))</f>
        <v/>
      </c>
      <c r="Q154" s="2"/>
      <c r="R154" s="2"/>
      <c r="S154" s="2"/>
      <c r="T154" s="2"/>
      <c r="U154" s="7" t="str">
        <f>IF(OR(AO154="",J154="",AO154&lt;=0),"",(J154-AO154)/AO154)</f>
        <v/>
      </c>
      <c r="V154" s="7" t="str">
        <f>IF(OR(AO154="",N154="",AO154&lt;=0),"",(AO154-N154)/AO154)</f>
        <v/>
      </c>
      <c r="W154" s="24" t="str">
        <f>IF(OR(U154="",V154="",V154&lt;=0),"",U154/V154)</f>
        <v/>
      </c>
      <c r="X154" s="5" t="str">
        <f>IF(OR(K154="",L154="",AP154=""),"",K154*L154-(E154*H154+IF(AND(AK154&lt;&gt;"",AL154&lt;&gt;""),AK154*AL154,0)+IF(AND(AM154&lt;&gt;"",AN154&lt;&gt;""),AM154*AN154,0))-IF(O154="",0,O154)-IF(P154="",0,P154))</f>
        <v/>
      </c>
      <c r="Y154" s="7" t="str">
        <f>IF(OR(X154="",AP154=""),"",IF((E154*H154+IF(AND(AK154&lt;&gt;"",AL154&lt;&gt;""),AK154*AL154,0)+IF(AND(AM154&lt;&gt;"",AN154&lt;&gt;""),AM154*AN154,0))+IF(O154="",0,O154)&lt;=0,"",X154/((E154*H154+IF(AND(AK154&lt;&gt;"",AL154&lt;&gt;""),AK154*AL154,0)+IF(AND(AM154&lt;&gt;"",AN154&lt;&gt;""),AM154*AN154,0))+IF(O154="",0,O154))))</f>
        <v/>
      </c>
      <c r="Z154" s="7" t="str">
        <f>IF(OR(AE154="",多次统计数据!$B$8=""),"",AE154-多次统计数据!$B$8)</f>
        <v/>
      </c>
      <c r="AA154" s="11" t="str">
        <f>IF(OR(I154="",M154="",M154&lt;I154),"",M154-I154)</f>
        <v/>
      </c>
      <c r="AB154" s="7" t="str">
        <f>IF(OR(A154="",多次统计数据!$B$8="",多次统计数据!$B$6&lt;=0,多次统计数据!$B$6&gt;=1),"",1-POWER(1+多次统计数据!$B$8,-多次统计数据!$B$6/(1-多次统计数据!$B$6)))</f>
        <v/>
      </c>
      <c r="AC154" s="8" t="str">
        <f>IF(OR(AB154="",多次统计数据!$B$9=""),"",IF(多次统计数据!$B$9&lt;AB154,"低于上限","达到或超过上限"))</f>
        <v/>
      </c>
      <c r="AD154" s="2"/>
      <c r="AE154" s="7" t="str">
        <f>IF(OR(X154="",C154="",C154&lt;=0),"",X154/C154)</f>
        <v/>
      </c>
      <c r="AG154" s="2"/>
      <c r="AH154" s="2"/>
      <c r="AI154" s="2"/>
      <c r="AJ154" s="8" t="str">
        <f>IF(OR(AG154="",AH154=""),"",IF(OR(AND(AG154="短期博反弹",OR(AH154="1～3个交易日",AH154="4～10个交易日")),AND(AG154="突破冲新高",OR(AH154="4～10个交易日",AH154="11～20个交易日")),AND(AG154="趋势波段",OR(AH154="11～20个交易日",AH154="21～60个交易日",AH154="60个交易日以上"))),"匹配","周期与交易预期不匹配，请重新确认"))</f>
        <v/>
      </c>
      <c r="AK154" s="10"/>
      <c r="AL154" s="12"/>
      <c r="AM154" s="10"/>
      <c r="AN154" s="12"/>
      <c r="AO154" s="5" t="str">
        <f>IF(OR(A154="",H154="",H154&lt;=0),"",(E154*H154+IF(AND(AK154&lt;&gt;"",AL154&lt;&gt;""),AK154*AL154,0)+IF(AND(AM154&lt;&gt;"",AN154&lt;&gt;""),AM154*AN154,0))/AP154)</f>
        <v/>
      </c>
      <c r="AP154" s="11" t="str">
        <f>IF(OR(A154="",H154="",H154&lt;=0),"",H154+IF(AL154="",0,AL154)+IF(AN154="",0,AN154))</f>
        <v/>
      </c>
      <c r="AQ154" s="5" t="str">
        <f>IF(A154="","",IF(M154&lt;&gt;"",0,IF(OR(H154="",N154=""),"",MAX(E154-MAX(N154,IFERROR(SUMPRODUCT(MAX(((持仓跟踪!$A$2:$A$497="每日跟踪")*(持仓跟踪!$B$2:$B$497=A154))*持仓跟踪!$S$2:$S$497)),0)),0)*H154+IF(OR(AK154="",AL154=""),0,MAX(AK154-MAX(N154,IFERROR(SUMPRODUCT(MAX(((持仓跟踪!$A$2:$A$497="每日跟踪")*(持仓跟踪!$B$2:$B$497=A154))*持仓跟踪!$S$2:$S$497)),0)),0)*AL154)+IF(OR(AM154="",AN154=""),0,MAX(AM154-MAX(N154,IFERROR(SUMPRODUCT(MAX(((持仓跟踪!$A$2:$A$497="每日跟踪")*(持仓跟踪!$B$2:$B$497=A154))*持仓跟踪!$S$2:$S$497)),0)),0)*AN154))))</f>
        <v/>
      </c>
      <c r="AR154" s="8" t="str">
        <f ca="1">IF(A154="","",IF(OR(E154="",H154=""),"违规：第一批价格或股数缺失",IF(OR(AND(AK154="",AL154&lt;&gt;""),AND(AK154&lt;&gt;"",AL154="")),"违规：第二批价格与股数须成对填写",IF(OR(AND(AM154="",AN154&lt;&gt;""),AND(AM154&lt;&gt;"",AN154="")),"违规：第三批价格与股数须成对填写",IF(AND(OR(AM154&lt;&gt;"",AN154&lt;&gt;""),OR(AK154="",AL154="")),"违规：必须先完成第二批",IF(OR(H154&lt;=0,H154&lt;&gt;INT(H154),MOD(H154,100)&lt;&gt;0,AND(AL154&lt;&gt;"",OR(AL154&lt;=0,AL154&lt;&gt;INT(AL154),MOD(AL154,100)&lt;&gt;0)),AND(AN154&lt;&gt;"",OR(AN154&lt;=0,AN154&lt;&gt;INT(AN154),MOD(AN154,100)&lt;&gt;0))),"违规：股数须为100股整数倍",IF(AND(OR(AL154&lt;&gt;"",AN154&lt;&gt;""),OR(_LockStatus="已锁仓",_LockStatus="解锁信息不完整")),"违规：锁仓期间禁止加仓",IF(AQ154&gt;C154*D154,"违规：超过单笔风险上限",IF(SUM($AQ$2:$AQ$163)&gt;账户数据!$B$7,"违规：超过账户风险上限","通过")))))))))</f>
        <v/>
      </c>
    </row>
    <row r="155" ht="17" spans="1:44">
      <c r="A155" s="2"/>
      <c r="B155" s="2"/>
      <c r="C155" s="10"/>
      <c r="D155" s="6"/>
      <c r="E155" s="10"/>
      <c r="F155" s="8" t="str">
        <f>IF(OR(C155="",D155="",E155="",N155="",C155&lt;=0,D155&lt;=0,E155&lt;=N155),"",ROUNDDOWN((C155*D155)/(E155-N155)/100,0)*100)</f>
        <v/>
      </c>
      <c r="G155" s="8" t="str">
        <f ca="1"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COUNTIFS(持仓跟踪!$A$2:$A$497,"止损计划",持仓跟踪!$B$2:$B$497,A155,持仓跟踪!$AC$2:$AC$497,"计划有效")=0,"禁止开仓：请先填写止损计划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5" s="2"/>
      <c r="I155" s="15"/>
      <c r="J155" s="10"/>
      <c r="K155" s="5" t="str">
        <f>IF(A155="","",IFERROR(LOOKUP(2,1/((持仓跟踪!$B$2:$B$497=A155)*(持仓跟踪!$X$2:$X$497="执行卖出")*(持仓跟踪!$Y$2:$Y$497&lt;&gt;"")),持仓跟踪!$Y$2:$Y$497),""))</f>
        <v/>
      </c>
      <c r="L155" s="8" t="str">
        <f>IF(A155="","",IFERROR(LOOKUP(2,1/((持仓跟踪!$B$2:$B$497=A155)*(持仓跟踪!$X$2:$X$497="执行卖出")*(持仓跟踪!$Z$2:$Z$497&lt;&gt;"")),持仓跟踪!$Z$2:$Z$497),""))</f>
        <v/>
      </c>
      <c r="M155" s="23" t="str">
        <f>IF(A155="","",IFERROR(LOOKUP(2,1/((持仓跟踪!$B$2:$B$497=A155)*(持仓跟踪!$X$2:$X$497="执行卖出")*(持仓跟踪!$H$2:$H$497&lt;&gt;"")),持仓跟踪!$H$2:$H$497),""))</f>
        <v/>
      </c>
      <c r="N155" s="10"/>
      <c r="O155" s="10"/>
      <c r="P155" s="5" t="str">
        <f>IF(A155="","",IFERROR(LOOKUP(2,1/((持仓跟踪!$B$2:$B$497=A155)*(持仓跟踪!$X$2:$X$497="执行卖出")*(持仓跟踪!$AA$2:$AA$497&lt;&gt;"")),持仓跟踪!$AA$2:$AA$497),""))</f>
        <v/>
      </c>
      <c r="Q155" s="2"/>
      <c r="R155" s="2"/>
      <c r="S155" s="2"/>
      <c r="T155" s="2"/>
      <c r="U155" s="7" t="str">
        <f>IF(OR(AO155="",J155="",AO155&lt;=0),"",(J155-AO155)/AO155)</f>
        <v/>
      </c>
      <c r="V155" s="7" t="str">
        <f>IF(OR(AO155="",N155="",AO155&lt;=0),"",(AO155-N155)/AO155)</f>
        <v/>
      </c>
      <c r="W155" s="24" t="str">
        <f>IF(OR(U155="",V155="",V155&lt;=0),"",U155/V155)</f>
        <v/>
      </c>
      <c r="X155" s="5" t="str">
        <f>IF(OR(K155="",L155="",AP155=""),"",K155*L155-(E155*H155+IF(AND(AK155&lt;&gt;"",AL155&lt;&gt;""),AK155*AL155,0)+IF(AND(AM155&lt;&gt;"",AN155&lt;&gt;""),AM155*AN155,0))-IF(O155="",0,O155)-IF(P155="",0,P155))</f>
        <v/>
      </c>
      <c r="Y155" s="7" t="str">
        <f>IF(OR(X155="",AP155=""),"",IF((E155*H155+IF(AND(AK155&lt;&gt;"",AL155&lt;&gt;""),AK155*AL155,0)+IF(AND(AM155&lt;&gt;"",AN155&lt;&gt;""),AM155*AN155,0))+IF(O155="",0,O155)&lt;=0,"",X155/((E155*H155+IF(AND(AK155&lt;&gt;"",AL155&lt;&gt;""),AK155*AL155,0)+IF(AND(AM155&lt;&gt;"",AN155&lt;&gt;""),AM155*AN155,0))+IF(O155="",0,O155))))</f>
        <v/>
      </c>
      <c r="Z155" s="7" t="str">
        <f>IF(OR(AE155="",多次统计数据!$B$8=""),"",AE155-多次统计数据!$B$8)</f>
        <v/>
      </c>
      <c r="AA155" s="11" t="str">
        <f>IF(OR(I155="",M155="",M155&lt;I155),"",M155-I155)</f>
        <v/>
      </c>
      <c r="AB155" s="7" t="str">
        <f>IF(OR(A155="",多次统计数据!$B$8="",多次统计数据!$B$6&lt;=0,多次统计数据!$B$6&gt;=1),"",1-POWER(1+多次统计数据!$B$8,-多次统计数据!$B$6/(1-多次统计数据!$B$6)))</f>
        <v/>
      </c>
      <c r="AC155" s="8" t="str">
        <f>IF(OR(AB155="",多次统计数据!$B$9=""),"",IF(多次统计数据!$B$9&lt;AB155,"低于上限","达到或超过上限"))</f>
        <v/>
      </c>
      <c r="AD155" s="2"/>
      <c r="AE155" s="7" t="str">
        <f>IF(OR(X155="",C155="",C155&lt;=0),"",X155/C155)</f>
        <v/>
      </c>
      <c r="AG155" s="2"/>
      <c r="AH155" s="2"/>
      <c r="AI155" s="2"/>
      <c r="AJ155" s="8" t="str">
        <f>IF(OR(AG155="",AH155=""),"",IF(OR(AND(AG155="短期博反弹",OR(AH155="1～3个交易日",AH155="4～10个交易日")),AND(AG155="突破冲新高",OR(AH155="4～10个交易日",AH155="11～20个交易日")),AND(AG155="趋势波段",OR(AH155="11～20个交易日",AH155="21～60个交易日",AH155="60个交易日以上"))),"匹配","周期与交易预期不匹配，请重新确认"))</f>
        <v/>
      </c>
      <c r="AK155" s="10"/>
      <c r="AL155" s="12"/>
      <c r="AM155" s="10"/>
      <c r="AN155" s="12"/>
      <c r="AO155" s="5" t="str">
        <f>IF(OR(A155="",H155="",H155&lt;=0),"",(E155*H155+IF(AND(AK155&lt;&gt;"",AL155&lt;&gt;""),AK155*AL155,0)+IF(AND(AM155&lt;&gt;"",AN155&lt;&gt;""),AM155*AN155,0))/AP155)</f>
        <v/>
      </c>
      <c r="AP155" s="11" t="str">
        <f>IF(OR(A155="",H155="",H155&lt;=0),"",H155+IF(AL155="",0,AL155)+IF(AN155="",0,AN155))</f>
        <v/>
      </c>
      <c r="AQ155" s="5" t="str">
        <f>IF(A155="","",IF(M155&lt;&gt;"",0,IF(OR(H155="",N155=""),"",MAX(E155-MAX(N155,IFERROR(SUMPRODUCT(MAX(((持仓跟踪!$A$2:$A$497="每日跟踪")*(持仓跟踪!$B$2:$B$497=A155))*持仓跟踪!$S$2:$S$497)),0)),0)*H155+IF(OR(AK155="",AL155=""),0,MAX(AK155-MAX(N155,IFERROR(SUMPRODUCT(MAX(((持仓跟踪!$A$2:$A$497="每日跟踪")*(持仓跟踪!$B$2:$B$497=A155))*持仓跟踪!$S$2:$S$497)),0)),0)*AL155)+IF(OR(AM155="",AN155=""),0,MAX(AM155-MAX(N155,IFERROR(SUMPRODUCT(MAX(((持仓跟踪!$A$2:$A$497="每日跟踪")*(持仓跟踪!$B$2:$B$497=A155))*持仓跟踪!$S$2:$S$497)),0)),0)*AN155))))</f>
        <v/>
      </c>
      <c r="AR155" s="8" t="str">
        <f ca="1">IF(A155="","",IF(OR(E155="",H155=""),"违规：第一批价格或股数缺失",IF(OR(AND(AK155="",AL155&lt;&gt;""),AND(AK155&lt;&gt;"",AL155="")),"违规：第二批价格与股数须成对填写",IF(OR(AND(AM155="",AN155&lt;&gt;""),AND(AM155&lt;&gt;"",AN155="")),"违规：第三批价格与股数须成对填写",IF(AND(OR(AM155&lt;&gt;"",AN155&lt;&gt;""),OR(AK155="",AL155="")),"违规：必须先完成第二批",IF(OR(H155&lt;=0,H155&lt;&gt;INT(H155),MOD(H155,100)&lt;&gt;0,AND(AL155&lt;&gt;"",OR(AL155&lt;=0,AL155&lt;&gt;INT(AL155),MOD(AL155,100)&lt;&gt;0)),AND(AN155&lt;&gt;"",OR(AN155&lt;=0,AN155&lt;&gt;INT(AN155),MOD(AN155,100)&lt;&gt;0))),"违规：股数须为100股整数倍",IF(AND(OR(AL155&lt;&gt;"",AN155&lt;&gt;""),OR(_LockStatus="已锁仓",_LockStatus="解锁信息不完整")),"违规：锁仓期间禁止加仓",IF(AQ155&gt;C155*D155,"违规：超过单笔风险上限",IF(SUM($AQ$2:$AQ$163)&gt;账户数据!$B$7,"违规：超过账户风险上限","通过")))))))))</f>
        <v/>
      </c>
    </row>
    <row r="156" ht="17" spans="1:44">
      <c r="A156" s="2"/>
      <c r="B156" s="2"/>
      <c r="C156" s="10"/>
      <c r="D156" s="6"/>
      <c r="E156" s="10"/>
      <c r="F156" s="8" t="str">
        <f>IF(OR(C156="",D156="",E156="",N156="",C156&lt;=0,D156&lt;=0,E156&lt;=N156),"",ROUNDDOWN((C156*D156)/(E156-N156)/100,0)*100)</f>
        <v/>
      </c>
      <c r="G156" s="8" t="str">
        <f ca="1"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COUNTIFS(持仓跟踪!$A$2:$A$497,"止损计划",持仓跟踪!$B$2:$B$497,A156,持仓跟踪!$AC$2:$AC$497,"计划有效")=0,"禁止开仓：请先填写止损计划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6" s="2"/>
      <c r="I156" s="15"/>
      <c r="J156" s="10"/>
      <c r="K156" s="5" t="str">
        <f>IF(A156="","",IFERROR(LOOKUP(2,1/((持仓跟踪!$B$2:$B$497=A156)*(持仓跟踪!$X$2:$X$497="执行卖出")*(持仓跟踪!$Y$2:$Y$497&lt;&gt;"")),持仓跟踪!$Y$2:$Y$497),""))</f>
        <v/>
      </c>
      <c r="L156" s="8" t="str">
        <f>IF(A156="","",IFERROR(LOOKUP(2,1/((持仓跟踪!$B$2:$B$497=A156)*(持仓跟踪!$X$2:$X$497="执行卖出")*(持仓跟踪!$Z$2:$Z$497&lt;&gt;"")),持仓跟踪!$Z$2:$Z$497),""))</f>
        <v/>
      </c>
      <c r="M156" s="23" t="str">
        <f>IF(A156="","",IFERROR(LOOKUP(2,1/((持仓跟踪!$B$2:$B$497=A156)*(持仓跟踪!$X$2:$X$497="执行卖出")*(持仓跟踪!$H$2:$H$497&lt;&gt;"")),持仓跟踪!$H$2:$H$497),""))</f>
        <v/>
      </c>
      <c r="N156" s="10"/>
      <c r="O156" s="10"/>
      <c r="P156" s="5" t="str">
        <f>IF(A156="","",IFERROR(LOOKUP(2,1/((持仓跟踪!$B$2:$B$497=A156)*(持仓跟踪!$X$2:$X$497="执行卖出")*(持仓跟踪!$AA$2:$AA$497&lt;&gt;"")),持仓跟踪!$AA$2:$AA$497),""))</f>
        <v/>
      </c>
      <c r="Q156" s="2"/>
      <c r="R156" s="2"/>
      <c r="S156" s="2"/>
      <c r="T156" s="2"/>
      <c r="U156" s="7" t="str">
        <f>IF(OR(AO156="",J156="",AO156&lt;=0),"",(J156-AO156)/AO156)</f>
        <v/>
      </c>
      <c r="V156" s="7" t="str">
        <f>IF(OR(AO156="",N156="",AO156&lt;=0),"",(AO156-N156)/AO156)</f>
        <v/>
      </c>
      <c r="W156" s="24" t="str">
        <f>IF(OR(U156="",V156="",V156&lt;=0),"",U156/V156)</f>
        <v/>
      </c>
      <c r="X156" s="5" t="str">
        <f>IF(OR(K156="",L156="",AP156=""),"",K156*L156-(E156*H156+IF(AND(AK156&lt;&gt;"",AL156&lt;&gt;""),AK156*AL156,0)+IF(AND(AM156&lt;&gt;"",AN156&lt;&gt;""),AM156*AN156,0))-IF(O156="",0,O156)-IF(P156="",0,P156))</f>
        <v/>
      </c>
      <c r="Y156" s="7" t="str">
        <f>IF(OR(X156="",AP156=""),"",IF((E156*H156+IF(AND(AK156&lt;&gt;"",AL156&lt;&gt;""),AK156*AL156,0)+IF(AND(AM156&lt;&gt;"",AN156&lt;&gt;""),AM156*AN156,0))+IF(O156="",0,O156)&lt;=0,"",X156/((E156*H156+IF(AND(AK156&lt;&gt;"",AL156&lt;&gt;""),AK156*AL156,0)+IF(AND(AM156&lt;&gt;"",AN156&lt;&gt;""),AM156*AN156,0))+IF(O156="",0,O156))))</f>
        <v/>
      </c>
      <c r="Z156" s="7" t="str">
        <f>IF(OR(AE156="",多次统计数据!$B$8=""),"",AE156-多次统计数据!$B$8)</f>
        <v/>
      </c>
      <c r="AA156" s="11" t="str">
        <f>IF(OR(I156="",M156="",M156&lt;I156),"",M156-I156)</f>
        <v/>
      </c>
      <c r="AB156" s="7" t="str">
        <f>IF(OR(A156="",多次统计数据!$B$8="",多次统计数据!$B$6&lt;=0,多次统计数据!$B$6&gt;=1),"",1-POWER(1+多次统计数据!$B$8,-多次统计数据!$B$6/(1-多次统计数据!$B$6)))</f>
        <v/>
      </c>
      <c r="AC156" s="8" t="str">
        <f>IF(OR(AB156="",多次统计数据!$B$9=""),"",IF(多次统计数据!$B$9&lt;AB156,"低于上限","达到或超过上限"))</f>
        <v/>
      </c>
      <c r="AD156" s="2"/>
      <c r="AE156" s="7" t="str">
        <f>IF(OR(X156="",C156="",C156&lt;=0),"",X156/C156)</f>
        <v/>
      </c>
      <c r="AG156" s="2"/>
      <c r="AH156" s="2"/>
      <c r="AI156" s="2"/>
      <c r="AJ156" s="8" t="str">
        <f>IF(OR(AG156="",AH156=""),"",IF(OR(AND(AG156="短期博反弹",OR(AH156="1～3个交易日",AH156="4～10个交易日")),AND(AG156="突破冲新高",OR(AH156="4～10个交易日",AH156="11～20个交易日")),AND(AG156="趋势波段",OR(AH156="11～20个交易日",AH156="21～60个交易日",AH156="60个交易日以上"))),"匹配","周期与交易预期不匹配，请重新确认"))</f>
        <v/>
      </c>
      <c r="AK156" s="10"/>
      <c r="AL156" s="12"/>
      <c r="AM156" s="10"/>
      <c r="AN156" s="12"/>
      <c r="AO156" s="5" t="str">
        <f>IF(OR(A156="",H156="",H156&lt;=0),"",(E156*H156+IF(AND(AK156&lt;&gt;"",AL156&lt;&gt;""),AK156*AL156,0)+IF(AND(AM156&lt;&gt;"",AN156&lt;&gt;""),AM156*AN156,0))/AP156)</f>
        <v/>
      </c>
      <c r="AP156" s="11" t="str">
        <f>IF(OR(A156="",H156="",H156&lt;=0),"",H156+IF(AL156="",0,AL156)+IF(AN156="",0,AN156))</f>
        <v/>
      </c>
      <c r="AQ156" s="5" t="str">
        <f>IF(A156="","",IF(M156&lt;&gt;"",0,IF(OR(H156="",N156=""),"",MAX(E156-MAX(N156,IFERROR(SUMPRODUCT(MAX(((持仓跟踪!$A$2:$A$497="每日跟踪")*(持仓跟踪!$B$2:$B$497=A156))*持仓跟踪!$S$2:$S$497)),0)),0)*H156+IF(OR(AK156="",AL156=""),0,MAX(AK156-MAX(N156,IFERROR(SUMPRODUCT(MAX(((持仓跟踪!$A$2:$A$497="每日跟踪")*(持仓跟踪!$B$2:$B$497=A156))*持仓跟踪!$S$2:$S$497)),0)),0)*AL156)+IF(OR(AM156="",AN156=""),0,MAX(AM156-MAX(N156,IFERROR(SUMPRODUCT(MAX(((持仓跟踪!$A$2:$A$497="每日跟踪")*(持仓跟踪!$B$2:$B$497=A156))*持仓跟踪!$S$2:$S$497)),0)),0)*AN156))))</f>
        <v/>
      </c>
      <c r="AR156" s="8" t="str">
        <f ca="1">IF(A156="","",IF(OR(E156="",H156=""),"违规：第一批价格或股数缺失",IF(OR(AND(AK156="",AL156&lt;&gt;""),AND(AK156&lt;&gt;"",AL156="")),"违规：第二批价格与股数须成对填写",IF(OR(AND(AM156="",AN156&lt;&gt;""),AND(AM156&lt;&gt;"",AN156="")),"违规：第三批价格与股数须成对填写",IF(AND(OR(AM156&lt;&gt;"",AN156&lt;&gt;""),OR(AK156="",AL156="")),"违规：必须先完成第二批",IF(OR(H156&lt;=0,H156&lt;&gt;INT(H156),MOD(H156,100)&lt;&gt;0,AND(AL156&lt;&gt;"",OR(AL156&lt;=0,AL156&lt;&gt;INT(AL156),MOD(AL156,100)&lt;&gt;0)),AND(AN156&lt;&gt;"",OR(AN156&lt;=0,AN156&lt;&gt;INT(AN156),MOD(AN156,100)&lt;&gt;0))),"违规：股数须为100股整数倍",IF(AND(OR(AL156&lt;&gt;"",AN156&lt;&gt;""),OR(_LockStatus="已锁仓",_LockStatus="解锁信息不完整")),"违规：锁仓期间禁止加仓",IF(AQ156&gt;C156*D156,"违规：超过单笔风险上限",IF(SUM($AQ$2:$AQ$163)&gt;账户数据!$B$7,"违规：超过账户风险上限","通过")))))))))</f>
        <v/>
      </c>
    </row>
    <row r="157" ht="17" spans="1:44">
      <c r="A157" s="2"/>
      <c r="B157" s="2"/>
      <c r="C157" s="10"/>
      <c r="D157" s="6"/>
      <c r="E157" s="10"/>
      <c r="F157" s="8" t="str">
        <f>IF(OR(C157="",D157="",E157="",N157="",C157&lt;=0,D157&lt;=0,E157&lt;=N157),"",ROUNDDOWN((C157*D157)/(E157-N157)/100,0)*100)</f>
        <v/>
      </c>
      <c r="G157" s="8" t="str">
        <f ca="1"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COUNTIFS(持仓跟踪!$A$2:$A$497,"止损计划",持仓跟踪!$B$2:$B$497,A157,持仓跟踪!$AC$2:$AC$497,"计划有效")=0,"禁止开仓：请先填写止损计划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7" s="2"/>
      <c r="I157" s="15"/>
      <c r="J157" s="10"/>
      <c r="K157" s="5" t="str">
        <f>IF(A157="","",IFERROR(LOOKUP(2,1/((持仓跟踪!$B$2:$B$497=A157)*(持仓跟踪!$X$2:$X$497="执行卖出")*(持仓跟踪!$Y$2:$Y$497&lt;&gt;"")),持仓跟踪!$Y$2:$Y$497),""))</f>
        <v/>
      </c>
      <c r="L157" s="8" t="str">
        <f>IF(A157="","",IFERROR(LOOKUP(2,1/((持仓跟踪!$B$2:$B$497=A157)*(持仓跟踪!$X$2:$X$497="执行卖出")*(持仓跟踪!$Z$2:$Z$497&lt;&gt;"")),持仓跟踪!$Z$2:$Z$497),""))</f>
        <v/>
      </c>
      <c r="M157" s="23" t="str">
        <f>IF(A157="","",IFERROR(LOOKUP(2,1/((持仓跟踪!$B$2:$B$497=A157)*(持仓跟踪!$X$2:$X$497="执行卖出")*(持仓跟踪!$H$2:$H$497&lt;&gt;"")),持仓跟踪!$H$2:$H$497),""))</f>
        <v/>
      </c>
      <c r="N157" s="10"/>
      <c r="O157" s="10"/>
      <c r="P157" s="5" t="str">
        <f>IF(A157="","",IFERROR(LOOKUP(2,1/((持仓跟踪!$B$2:$B$497=A157)*(持仓跟踪!$X$2:$X$497="执行卖出")*(持仓跟踪!$AA$2:$AA$497&lt;&gt;"")),持仓跟踪!$AA$2:$AA$497),""))</f>
        <v/>
      </c>
      <c r="Q157" s="2"/>
      <c r="R157" s="2"/>
      <c r="S157" s="2"/>
      <c r="T157" s="2"/>
      <c r="U157" s="7" t="str">
        <f>IF(OR(AO157="",J157="",AO157&lt;=0),"",(J157-AO157)/AO157)</f>
        <v/>
      </c>
      <c r="V157" s="7" t="str">
        <f>IF(OR(AO157="",N157="",AO157&lt;=0),"",(AO157-N157)/AO157)</f>
        <v/>
      </c>
      <c r="W157" s="24" t="str">
        <f>IF(OR(U157="",V157="",V157&lt;=0),"",U157/V157)</f>
        <v/>
      </c>
      <c r="X157" s="5" t="str">
        <f>IF(OR(K157="",L157="",AP157=""),"",K157*L157-(E157*H157+IF(AND(AK157&lt;&gt;"",AL157&lt;&gt;""),AK157*AL157,0)+IF(AND(AM157&lt;&gt;"",AN157&lt;&gt;""),AM157*AN157,0))-IF(O157="",0,O157)-IF(P157="",0,P157))</f>
        <v/>
      </c>
      <c r="Y157" s="7" t="str">
        <f>IF(OR(X157="",AP157=""),"",IF((E157*H157+IF(AND(AK157&lt;&gt;"",AL157&lt;&gt;""),AK157*AL157,0)+IF(AND(AM157&lt;&gt;"",AN157&lt;&gt;""),AM157*AN157,0))+IF(O157="",0,O157)&lt;=0,"",X157/((E157*H157+IF(AND(AK157&lt;&gt;"",AL157&lt;&gt;""),AK157*AL157,0)+IF(AND(AM157&lt;&gt;"",AN157&lt;&gt;""),AM157*AN157,0))+IF(O157="",0,O157))))</f>
        <v/>
      </c>
      <c r="Z157" s="7" t="str">
        <f>IF(OR(AE157="",多次统计数据!$B$8=""),"",AE157-多次统计数据!$B$8)</f>
        <v/>
      </c>
      <c r="AA157" s="11" t="str">
        <f>IF(OR(I157="",M157="",M157&lt;I157),"",M157-I157)</f>
        <v/>
      </c>
      <c r="AB157" s="7" t="str">
        <f>IF(OR(A157="",多次统计数据!$B$8="",多次统计数据!$B$6&lt;=0,多次统计数据!$B$6&gt;=1),"",1-POWER(1+多次统计数据!$B$8,-多次统计数据!$B$6/(1-多次统计数据!$B$6)))</f>
        <v/>
      </c>
      <c r="AC157" s="8" t="str">
        <f>IF(OR(AB157="",多次统计数据!$B$9=""),"",IF(多次统计数据!$B$9&lt;AB157,"低于上限","达到或超过上限"))</f>
        <v/>
      </c>
      <c r="AD157" s="2"/>
      <c r="AE157" s="7" t="str">
        <f>IF(OR(X157="",C157="",C157&lt;=0),"",X157/C157)</f>
        <v/>
      </c>
      <c r="AG157" s="2"/>
      <c r="AH157" s="2"/>
      <c r="AI157" s="2"/>
      <c r="AJ157" s="8" t="str">
        <f>IF(OR(AG157="",AH157=""),"",IF(OR(AND(AG157="短期博反弹",OR(AH157="1～3个交易日",AH157="4～10个交易日")),AND(AG157="突破冲新高",OR(AH157="4～10个交易日",AH157="11～20个交易日")),AND(AG157="趋势波段",OR(AH157="11～20个交易日",AH157="21～60个交易日",AH157="60个交易日以上"))),"匹配","周期与交易预期不匹配，请重新确认"))</f>
        <v/>
      </c>
      <c r="AK157" s="10"/>
      <c r="AL157" s="12"/>
      <c r="AM157" s="10"/>
      <c r="AN157" s="12"/>
      <c r="AO157" s="5" t="str">
        <f>IF(OR(A157="",H157="",H157&lt;=0),"",(E157*H157+IF(AND(AK157&lt;&gt;"",AL157&lt;&gt;""),AK157*AL157,0)+IF(AND(AM157&lt;&gt;"",AN157&lt;&gt;""),AM157*AN157,0))/AP157)</f>
        <v/>
      </c>
      <c r="AP157" s="11" t="str">
        <f>IF(OR(A157="",H157="",H157&lt;=0),"",H157+IF(AL157="",0,AL157)+IF(AN157="",0,AN157))</f>
        <v/>
      </c>
      <c r="AQ157" s="5" t="str">
        <f>IF(A157="","",IF(M157&lt;&gt;"",0,IF(OR(H157="",N157=""),"",MAX(E157-MAX(N157,IFERROR(SUMPRODUCT(MAX(((持仓跟踪!$A$2:$A$497="每日跟踪")*(持仓跟踪!$B$2:$B$497=A157))*持仓跟踪!$S$2:$S$497)),0)),0)*H157+IF(OR(AK157="",AL157=""),0,MAX(AK157-MAX(N157,IFERROR(SUMPRODUCT(MAX(((持仓跟踪!$A$2:$A$497="每日跟踪")*(持仓跟踪!$B$2:$B$497=A157))*持仓跟踪!$S$2:$S$497)),0)),0)*AL157)+IF(OR(AM157="",AN157=""),0,MAX(AM157-MAX(N157,IFERROR(SUMPRODUCT(MAX(((持仓跟踪!$A$2:$A$497="每日跟踪")*(持仓跟踪!$B$2:$B$497=A157))*持仓跟踪!$S$2:$S$497)),0)),0)*AN157))))</f>
        <v/>
      </c>
      <c r="AR157" s="8" t="str">
        <f ca="1">IF(A157="","",IF(OR(E157="",H157=""),"违规：第一批价格或股数缺失",IF(OR(AND(AK157="",AL157&lt;&gt;""),AND(AK157&lt;&gt;"",AL157="")),"违规：第二批价格与股数须成对填写",IF(OR(AND(AM157="",AN157&lt;&gt;""),AND(AM157&lt;&gt;"",AN157="")),"违规：第三批价格与股数须成对填写",IF(AND(OR(AM157&lt;&gt;"",AN157&lt;&gt;""),OR(AK157="",AL157="")),"违规：必须先完成第二批",IF(OR(H157&lt;=0,H157&lt;&gt;INT(H157),MOD(H157,100)&lt;&gt;0,AND(AL157&lt;&gt;"",OR(AL157&lt;=0,AL157&lt;&gt;INT(AL157),MOD(AL157,100)&lt;&gt;0)),AND(AN157&lt;&gt;"",OR(AN157&lt;=0,AN157&lt;&gt;INT(AN157),MOD(AN157,100)&lt;&gt;0))),"违规：股数须为100股整数倍",IF(AND(OR(AL157&lt;&gt;"",AN157&lt;&gt;""),OR(_LockStatus="已锁仓",_LockStatus="解锁信息不完整")),"违规：锁仓期间禁止加仓",IF(AQ157&gt;C157*D157,"违规：超过单笔风险上限",IF(SUM($AQ$2:$AQ$163)&gt;账户数据!$B$7,"违规：超过账户风险上限","通过")))))))))</f>
        <v/>
      </c>
    </row>
    <row r="158" ht="17" spans="1:44">
      <c r="A158" s="2"/>
      <c r="B158" s="2"/>
      <c r="C158" s="10"/>
      <c r="D158" s="6"/>
      <c r="E158" s="10"/>
      <c r="F158" s="8" t="str">
        <f>IF(OR(C158="",D158="",E158="",N158="",C158&lt;=0,D158&lt;=0,E158&lt;=N158),"",ROUNDDOWN((C158*D158)/(E158-N158)/100,0)*100)</f>
        <v/>
      </c>
      <c r="G158" s="8" t="str">
        <f ca="1"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COUNTIFS(持仓跟踪!$A$2:$A$497,"止损计划",持仓跟踪!$B$2:$B$497,A158,持仓跟踪!$AC$2:$AC$497,"计划有效")=0,"禁止开仓：请先填写止损计划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8" s="2"/>
      <c r="I158" s="15"/>
      <c r="J158" s="10"/>
      <c r="K158" s="5" t="str">
        <f>IF(A158="","",IFERROR(LOOKUP(2,1/((持仓跟踪!$B$2:$B$497=A158)*(持仓跟踪!$X$2:$X$497="执行卖出")*(持仓跟踪!$Y$2:$Y$497&lt;&gt;"")),持仓跟踪!$Y$2:$Y$497),""))</f>
        <v/>
      </c>
      <c r="L158" s="8" t="str">
        <f>IF(A158="","",IFERROR(LOOKUP(2,1/((持仓跟踪!$B$2:$B$497=A158)*(持仓跟踪!$X$2:$X$497="执行卖出")*(持仓跟踪!$Z$2:$Z$497&lt;&gt;"")),持仓跟踪!$Z$2:$Z$497),""))</f>
        <v/>
      </c>
      <c r="M158" s="23" t="str">
        <f>IF(A158="","",IFERROR(LOOKUP(2,1/((持仓跟踪!$B$2:$B$497=A158)*(持仓跟踪!$X$2:$X$497="执行卖出")*(持仓跟踪!$H$2:$H$497&lt;&gt;"")),持仓跟踪!$H$2:$H$497),""))</f>
        <v/>
      </c>
      <c r="N158" s="10"/>
      <c r="O158" s="10"/>
      <c r="P158" s="5" t="str">
        <f>IF(A158="","",IFERROR(LOOKUP(2,1/((持仓跟踪!$B$2:$B$497=A158)*(持仓跟踪!$X$2:$X$497="执行卖出")*(持仓跟踪!$AA$2:$AA$497&lt;&gt;"")),持仓跟踪!$AA$2:$AA$497),""))</f>
        <v/>
      </c>
      <c r="Q158" s="2"/>
      <c r="R158" s="2"/>
      <c r="S158" s="2"/>
      <c r="T158" s="2"/>
      <c r="U158" s="7" t="str">
        <f>IF(OR(AO158="",J158="",AO158&lt;=0),"",(J158-AO158)/AO158)</f>
        <v/>
      </c>
      <c r="V158" s="7" t="str">
        <f>IF(OR(AO158="",N158="",AO158&lt;=0),"",(AO158-N158)/AO158)</f>
        <v/>
      </c>
      <c r="W158" s="24" t="str">
        <f>IF(OR(U158="",V158="",V158&lt;=0),"",U158/V158)</f>
        <v/>
      </c>
      <c r="X158" s="5" t="str">
        <f>IF(OR(K158="",L158="",AP158=""),"",K158*L158-(E158*H158+IF(AND(AK158&lt;&gt;"",AL158&lt;&gt;""),AK158*AL158,0)+IF(AND(AM158&lt;&gt;"",AN158&lt;&gt;""),AM158*AN158,0))-IF(O158="",0,O158)-IF(P158="",0,P158))</f>
        <v/>
      </c>
      <c r="Y158" s="7" t="str">
        <f>IF(OR(X158="",AP158=""),"",IF((E158*H158+IF(AND(AK158&lt;&gt;"",AL158&lt;&gt;""),AK158*AL158,0)+IF(AND(AM158&lt;&gt;"",AN158&lt;&gt;""),AM158*AN158,0))+IF(O158="",0,O158)&lt;=0,"",X158/((E158*H158+IF(AND(AK158&lt;&gt;"",AL158&lt;&gt;""),AK158*AL158,0)+IF(AND(AM158&lt;&gt;"",AN158&lt;&gt;""),AM158*AN158,0))+IF(O158="",0,O158))))</f>
        <v/>
      </c>
      <c r="Z158" s="7" t="str">
        <f>IF(OR(AE158="",多次统计数据!$B$8=""),"",AE158-多次统计数据!$B$8)</f>
        <v/>
      </c>
      <c r="AA158" s="11" t="str">
        <f>IF(OR(I158="",M158="",M158&lt;I158),"",M158-I158)</f>
        <v/>
      </c>
      <c r="AB158" s="7" t="str">
        <f>IF(OR(A158="",多次统计数据!$B$8="",多次统计数据!$B$6&lt;=0,多次统计数据!$B$6&gt;=1),"",1-POWER(1+多次统计数据!$B$8,-多次统计数据!$B$6/(1-多次统计数据!$B$6)))</f>
        <v/>
      </c>
      <c r="AC158" s="8" t="str">
        <f>IF(OR(AB158="",多次统计数据!$B$9=""),"",IF(多次统计数据!$B$9&lt;AB158,"低于上限","达到或超过上限"))</f>
        <v/>
      </c>
      <c r="AD158" s="2"/>
      <c r="AE158" s="7" t="str">
        <f>IF(OR(X158="",C158="",C158&lt;=0),"",X158/C158)</f>
        <v/>
      </c>
      <c r="AG158" s="2"/>
      <c r="AH158" s="2"/>
      <c r="AI158" s="2"/>
      <c r="AJ158" s="8" t="str">
        <f>IF(OR(AG158="",AH158=""),"",IF(OR(AND(AG158="短期博反弹",OR(AH158="1～3个交易日",AH158="4～10个交易日")),AND(AG158="突破冲新高",OR(AH158="4～10个交易日",AH158="11～20个交易日")),AND(AG158="趋势波段",OR(AH158="11～20个交易日",AH158="21～60个交易日",AH158="60个交易日以上"))),"匹配","周期与交易预期不匹配，请重新确认"))</f>
        <v/>
      </c>
      <c r="AK158" s="10"/>
      <c r="AL158" s="12"/>
      <c r="AM158" s="10"/>
      <c r="AN158" s="12"/>
      <c r="AO158" s="5" t="str">
        <f>IF(OR(A158="",H158="",H158&lt;=0),"",(E158*H158+IF(AND(AK158&lt;&gt;"",AL158&lt;&gt;""),AK158*AL158,0)+IF(AND(AM158&lt;&gt;"",AN158&lt;&gt;""),AM158*AN158,0))/AP158)</f>
        <v/>
      </c>
      <c r="AP158" s="11" t="str">
        <f>IF(OR(A158="",H158="",H158&lt;=0),"",H158+IF(AL158="",0,AL158)+IF(AN158="",0,AN158))</f>
        <v/>
      </c>
      <c r="AQ158" s="5" t="str">
        <f>IF(A158="","",IF(M158&lt;&gt;"",0,IF(OR(H158="",N158=""),"",MAX(E158-MAX(N158,IFERROR(SUMPRODUCT(MAX(((持仓跟踪!$A$2:$A$497="每日跟踪")*(持仓跟踪!$B$2:$B$497=A158))*持仓跟踪!$S$2:$S$497)),0)),0)*H158+IF(OR(AK158="",AL158=""),0,MAX(AK158-MAX(N158,IFERROR(SUMPRODUCT(MAX(((持仓跟踪!$A$2:$A$497="每日跟踪")*(持仓跟踪!$B$2:$B$497=A158))*持仓跟踪!$S$2:$S$497)),0)),0)*AL158)+IF(OR(AM158="",AN158=""),0,MAX(AM158-MAX(N158,IFERROR(SUMPRODUCT(MAX(((持仓跟踪!$A$2:$A$497="每日跟踪")*(持仓跟踪!$B$2:$B$497=A158))*持仓跟踪!$S$2:$S$497)),0)),0)*AN158))))</f>
        <v/>
      </c>
      <c r="AR158" s="8" t="str">
        <f ca="1">IF(A158="","",IF(OR(E158="",H158=""),"违规：第一批价格或股数缺失",IF(OR(AND(AK158="",AL158&lt;&gt;""),AND(AK158&lt;&gt;"",AL158="")),"违规：第二批价格与股数须成对填写",IF(OR(AND(AM158="",AN158&lt;&gt;""),AND(AM158&lt;&gt;"",AN158="")),"违规：第三批价格与股数须成对填写",IF(AND(OR(AM158&lt;&gt;"",AN158&lt;&gt;""),OR(AK158="",AL158="")),"违规：必须先完成第二批",IF(OR(H158&lt;=0,H158&lt;&gt;INT(H158),MOD(H158,100)&lt;&gt;0,AND(AL158&lt;&gt;"",OR(AL158&lt;=0,AL158&lt;&gt;INT(AL158),MOD(AL158,100)&lt;&gt;0)),AND(AN158&lt;&gt;"",OR(AN158&lt;=0,AN158&lt;&gt;INT(AN158),MOD(AN158,100)&lt;&gt;0))),"违规：股数须为100股整数倍",IF(AND(OR(AL158&lt;&gt;"",AN158&lt;&gt;""),OR(_LockStatus="已锁仓",_LockStatus="解锁信息不完整")),"违规：锁仓期间禁止加仓",IF(AQ158&gt;C158*D158,"违规：超过单笔风险上限",IF(SUM($AQ$2:$AQ$163)&gt;账户数据!$B$7,"违规：超过账户风险上限","通过")))))))))</f>
        <v/>
      </c>
    </row>
    <row r="159" ht="17" spans="1:44">
      <c r="A159" s="2"/>
      <c r="B159" s="2"/>
      <c r="C159" s="10"/>
      <c r="D159" s="6"/>
      <c r="E159" s="10"/>
      <c r="F159" s="8" t="str">
        <f>IF(OR(C159="",D159="",E159="",N159="",C159&lt;=0,D159&lt;=0,E159&lt;=N159),"",ROUNDDOWN((C159*D159)/(E159-N159)/100,0)*100)</f>
        <v/>
      </c>
      <c r="G159" s="8" t="str">
        <f ca="1"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COUNTIFS(持仓跟踪!$A$2:$A$497,"止损计划",持仓跟踪!$B$2:$B$497,A159,持仓跟踪!$AC$2:$AC$497,"计划有效")=0,"禁止开仓：请先填写止损计划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9" s="2"/>
      <c r="I159" s="15"/>
      <c r="J159" s="10"/>
      <c r="K159" s="5" t="str">
        <f>IF(A159="","",IFERROR(LOOKUP(2,1/((持仓跟踪!$B$2:$B$497=A159)*(持仓跟踪!$X$2:$X$497="执行卖出")*(持仓跟踪!$Y$2:$Y$497&lt;&gt;"")),持仓跟踪!$Y$2:$Y$497),""))</f>
        <v/>
      </c>
      <c r="L159" s="8" t="str">
        <f>IF(A159="","",IFERROR(LOOKUP(2,1/((持仓跟踪!$B$2:$B$497=A159)*(持仓跟踪!$X$2:$X$497="执行卖出")*(持仓跟踪!$Z$2:$Z$497&lt;&gt;"")),持仓跟踪!$Z$2:$Z$497),""))</f>
        <v/>
      </c>
      <c r="M159" s="23" t="str">
        <f>IF(A159="","",IFERROR(LOOKUP(2,1/((持仓跟踪!$B$2:$B$497=A159)*(持仓跟踪!$X$2:$X$497="执行卖出")*(持仓跟踪!$H$2:$H$497&lt;&gt;"")),持仓跟踪!$H$2:$H$497),""))</f>
        <v/>
      </c>
      <c r="N159" s="10"/>
      <c r="O159" s="10"/>
      <c r="P159" s="5" t="str">
        <f>IF(A159="","",IFERROR(LOOKUP(2,1/((持仓跟踪!$B$2:$B$497=A159)*(持仓跟踪!$X$2:$X$497="执行卖出")*(持仓跟踪!$AA$2:$AA$497&lt;&gt;"")),持仓跟踪!$AA$2:$AA$497),""))</f>
        <v/>
      </c>
      <c r="Q159" s="2"/>
      <c r="R159" s="2"/>
      <c r="S159" s="2"/>
      <c r="T159" s="2"/>
      <c r="U159" s="7" t="str">
        <f>IF(OR(AO159="",J159="",AO159&lt;=0),"",(J159-AO159)/AO159)</f>
        <v/>
      </c>
      <c r="V159" s="7" t="str">
        <f>IF(OR(AO159="",N159="",AO159&lt;=0),"",(AO159-N159)/AO159)</f>
        <v/>
      </c>
      <c r="W159" s="24" t="str">
        <f>IF(OR(U159="",V159="",V159&lt;=0),"",U159/V159)</f>
        <v/>
      </c>
      <c r="X159" s="5" t="str">
        <f>IF(OR(K159="",L159="",AP159=""),"",K159*L159-(E159*H159+IF(AND(AK159&lt;&gt;"",AL159&lt;&gt;""),AK159*AL159,0)+IF(AND(AM159&lt;&gt;"",AN159&lt;&gt;""),AM159*AN159,0))-IF(O159="",0,O159)-IF(P159="",0,P159))</f>
        <v/>
      </c>
      <c r="Y159" s="7" t="str">
        <f>IF(OR(X159="",AP159=""),"",IF((E159*H159+IF(AND(AK159&lt;&gt;"",AL159&lt;&gt;""),AK159*AL159,0)+IF(AND(AM159&lt;&gt;"",AN159&lt;&gt;""),AM159*AN159,0))+IF(O159="",0,O159)&lt;=0,"",X159/((E159*H159+IF(AND(AK159&lt;&gt;"",AL159&lt;&gt;""),AK159*AL159,0)+IF(AND(AM159&lt;&gt;"",AN159&lt;&gt;""),AM159*AN159,0))+IF(O159="",0,O159))))</f>
        <v/>
      </c>
      <c r="Z159" s="7" t="str">
        <f>IF(OR(AE159="",多次统计数据!$B$8=""),"",AE159-多次统计数据!$B$8)</f>
        <v/>
      </c>
      <c r="AA159" s="11" t="str">
        <f>IF(OR(I159="",M159="",M159&lt;I159),"",M159-I159)</f>
        <v/>
      </c>
      <c r="AB159" s="7" t="str">
        <f>IF(OR(A159="",多次统计数据!$B$8="",多次统计数据!$B$6&lt;=0,多次统计数据!$B$6&gt;=1),"",1-POWER(1+多次统计数据!$B$8,-多次统计数据!$B$6/(1-多次统计数据!$B$6)))</f>
        <v/>
      </c>
      <c r="AC159" s="8" t="str">
        <f>IF(OR(AB159="",多次统计数据!$B$9=""),"",IF(多次统计数据!$B$9&lt;AB159,"低于上限","达到或超过上限"))</f>
        <v/>
      </c>
      <c r="AD159" s="2"/>
      <c r="AE159" s="7" t="str">
        <f>IF(OR(X159="",C159="",C159&lt;=0),"",X159/C159)</f>
        <v/>
      </c>
      <c r="AG159" s="2"/>
      <c r="AH159" s="2"/>
      <c r="AI159" s="2"/>
      <c r="AJ159" s="8" t="str">
        <f>IF(OR(AG159="",AH159=""),"",IF(OR(AND(AG159="短期博反弹",OR(AH159="1～3个交易日",AH159="4～10个交易日")),AND(AG159="突破冲新高",OR(AH159="4～10个交易日",AH159="11～20个交易日")),AND(AG159="趋势波段",OR(AH159="11～20个交易日",AH159="21～60个交易日",AH159="60个交易日以上"))),"匹配","周期与交易预期不匹配，请重新确认"))</f>
        <v/>
      </c>
      <c r="AK159" s="10"/>
      <c r="AL159" s="12"/>
      <c r="AM159" s="10"/>
      <c r="AN159" s="12"/>
      <c r="AO159" s="5" t="str">
        <f>IF(OR(A159="",H159="",H159&lt;=0),"",(E159*H159+IF(AND(AK159&lt;&gt;"",AL159&lt;&gt;""),AK159*AL159,0)+IF(AND(AM159&lt;&gt;"",AN159&lt;&gt;""),AM159*AN159,0))/AP159)</f>
        <v/>
      </c>
      <c r="AP159" s="11" t="str">
        <f>IF(OR(A159="",H159="",H159&lt;=0),"",H159+IF(AL159="",0,AL159)+IF(AN159="",0,AN159))</f>
        <v/>
      </c>
      <c r="AQ159" s="5" t="str">
        <f>IF(A159="","",IF(M159&lt;&gt;"",0,IF(OR(H159="",N159=""),"",MAX(E159-MAX(N159,IFERROR(SUMPRODUCT(MAX(((持仓跟踪!$A$2:$A$497="每日跟踪")*(持仓跟踪!$B$2:$B$497=A159))*持仓跟踪!$S$2:$S$497)),0)),0)*H159+IF(OR(AK159="",AL159=""),0,MAX(AK159-MAX(N159,IFERROR(SUMPRODUCT(MAX(((持仓跟踪!$A$2:$A$497="每日跟踪")*(持仓跟踪!$B$2:$B$497=A159))*持仓跟踪!$S$2:$S$497)),0)),0)*AL159)+IF(OR(AM159="",AN159=""),0,MAX(AM159-MAX(N159,IFERROR(SUMPRODUCT(MAX(((持仓跟踪!$A$2:$A$497="每日跟踪")*(持仓跟踪!$B$2:$B$497=A159))*持仓跟踪!$S$2:$S$497)),0)),0)*AN159))))</f>
        <v/>
      </c>
      <c r="AR159" s="8" t="str">
        <f ca="1">IF(A159="","",IF(OR(E159="",H159=""),"违规：第一批价格或股数缺失",IF(OR(AND(AK159="",AL159&lt;&gt;""),AND(AK159&lt;&gt;"",AL159="")),"违规：第二批价格与股数须成对填写",IF(OR(AND(AM159="",AN159&lt;&gt;""),AND(AM159&lt;&gt;"",AN159="")),"违规：第三批价格与股数须成对填写",IF(AND(OR(AM159&lt;&gt;"",AN159&lt;&gt;""),OR(AK159="",AL159="")),"违规：必须先完成第二批",IF(OR(H159&lt;=0,H159&lt;&gt;INT(H159),MOD(H159,100)&lt;&gt;0,AND(AL159&lt;&gt;"",OR(AL159&lt;=0,AL159&lt;&gt;INT(AL159),MOD(AL159,100)&lt;&gt;0)),AND(AN159&lt;&gt;"",OR(AN159&lt;=0,AN159&lt;&gt;INT(AN159),MOD(AN159,100)&lt;&gt;0))),"违规：股数须为100股整数倍",IF(AND(OR(AL159&lt;&gt;"",AN159&lt;&gt;""),OR(_LockStatus="已锁仓",_LockStatus="解锁信息不完整")),"违规：锁仓期间禁止加仓",IF(AQ159&gt;C159*D159,"违规：超过单笔风险上限",IF(SUM($AQ$2:$AQ$163)&gt;账户数据!$B$7,"违规：超过账户风险上限","通过")))))))))</f>
        <v/>
      </c>
    </row>
    <row r="160" ht="17" spans="1:44">
      <c r="A160" s="2"/>
      <c r="B160" s="2"/>
      <c r="C160" s="10"/>
      <c r="D160" s="6"/>
      <c r="E160" s="10"/>
      <c r="F160" s="8" t="str">
        <f>IF(OR(C160="",D160="",E160="",N160="",C160&lt;=0,D160&lt;=0,E160&lt;=N160),"",ROUNDDOWN((C160*D160)/(E160-N160)/100,0)*100)</f>
        <v/>
      </c>
      <c r="G160" s="8" t="str">
        <f ca="1"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COUNTIFS(持仓跟踪!$A$2:$A$497,"止损计划",持仓跟踪!$B$2:$B$497,A160,持仓跟踪!$AC$2:$AC$497,"计划有效")=0,"禁止开仓：请先填写止损计划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0" s="2"/>
      <c r="I160" s="15"/>
      <c r="J160" s="10"/>
      <c r="K160" s="5" t="str">
        <f>IF(A160="","",IFERROR(LOOKUP(2,1/((持仓跟踪!$B$2:$B$497=A160)*(持仓跟踪!$X$2:$X$497="执行卖出")*(持仓跟踪!$Y$2:$Y$497&lt;&gt;"")),持仓跟踪!$Y$2:$Y$497),""))</f>
        <v/>
      </c>
      <c r="L160" s="8" t="str">
        <f>IF(A160="","",IFERROR(LOOKUP(2,1/((持仓跟踪!$B$2:$B$497=A160)*(持仓跟踪!$X$2:$X$497="执行卖出")*(持仓跟踪!$Z$2:$Z$497&lt;&gt;"")),持仓跟踪!$Z$2:$Z$497),""))</f>
        <v/>
      </c>
      <c r="M160" s="23" t="str">
        <f>IF(A160="","",IFERROR(LOOKUP(2,1/((持仓跟踪!$B$2:$B$497=A160)*(持仓跟踪!$X$2:$X$497="执行卖出")*(持仓跟踪!$H$2:$H$497&lt;&gt;"")),持仓跟踪!$H$2:$H$497),""))</f>
        <v/>
      </c>
      <c r="N160" s="10"/>
      <c r="O160" s="10"/>
      <c r="P160" s="5" t="str">
        <f>IF(A160="","",IFERROR(LOOKUP(2,1/((持仓跟踪!$B$2:$B$497=A160)*(持仓跟踪!$X$2:$X$497="执行卖出")*(持仓跟踪!$AA$2:$AA$497&lt;&gt;"")),持仓跟踪!$AA$2:$AA$497),""))</f>
        <v/>
      </c>
      <c r="Q160" s="2"/>
      <c r="R160" s="2"/>
      <c r="S160" s="2"/>
      <c r="T160" s="2"/>
      <c r="U160" s="7" t="str">
        <f>IF(OR(AO160="",J160="",AO160&lt;=0),"",(J160-AO160)/AO160)</f>
        <v/>
      </c>
      <c r="V160" s="7" t="str">
        <f>IF(OR(AO160="",N160="",AO160&lt;=0),"",(AO160-N160)/AO160)</f>
        <v/>
      </c>
      <c r="W160" s="24" t="str">
        <f>IF(OR(U160="",V160="",V160&lt;=0),"",U160/V160)</f>
        <v/>
      </c>
      <c r="X160" s="5" t="str">
        <f>IF(OR(K160="",L160="",AP160=""),"",K160*L160-(E160*H160+IF(AND(AK160&lt;&gt;"",AL160&lt;&gt;""),AK160*AL160,0)+IF(AND(AM160&lt;&gt;"",AN160&lt;&gt;""),AM160*AN160,0))-IF(O160="",0,O160)-IF(P160="",0,P160))</f>
        <v/>
      </c>
      <c r="Y160" s="7" t="str">
        <f>IF(OR(X160="",AP160=""),"",IF((E160*H160+IF(AND(AK160&lt;&gt;"",AL160&lt;&gt;""),AK160*AL160,0)+IF(AND(AM160&lt;&gt;"",AN160&lt;&gt;""),AM160*AN160,0))+IF(O160="",0,O160)&lt;=0,"",X160/((E160*H160+IF(AND(AK160&lt;&gt;"",AL160&lt;&gt;""),AK160*AL160,0)+IF(AND(AM160&lt;&gt;"",AN160&lt;&gt;""),AM160*AN160,0))+IF(O160="",0,O160))))</f>
        <v/>
      </c>
      <c r="Z160" s="7" t="str">
        <f>IF(OR(AE160="",多次统计数据!$B$8=""),"",AE160-多次统计数据!$B$8)</f>
        <v/>
      </c>
      <c r="AA160" s="11" t="str">
        <f>IF(OR(I160="",M160="",M160&lt;I160),"",M160-I160)</f>
        <v/>
      </c>
      <c r="AB160" s="7" t="str">
        <f>IF(OR(A160="",多次统计数据!$B$8="",多次统计数据!$B$6&lt;=0,多次统计数据!$B$6&gt;=1),"",1-POWER(1+多次统计数据!$B$8,-多次统计数据!$B$6/(1-多次统计数据!$B$6)))</f>
        <v/>
      </c>
      <c r="AC160" s="8" t="str">
        <f>IF(OR(AB160="",多次统计数据!$B$9=""),"",IF(多次统计数据!$B$9&lt;AB160,"低于上限","达到或超过上限"))</f>
        <v/>
      </c>
      <c r="AD160" s="2"/>
      <c r="AE160" s="7" t="str">
        <f>IF(OR(X160="",C160="",C160&lt;=0),"",X160/C160)</f>
        <v/>
      </c>
      <c r="AG160" s="2"/>
      <c r="AH160" s="2"/>
      <c r="AI160" s="2"/>
      <c r="AJ160" s="8" t="str">
        <f>IF(OR(AG160="",AH160=""),"",IF(OR(AND(AG160="短期博反弹",OR(AH160="1～3个交易日",AH160="4～10个交易日")),AND(AG160="突破冲新高",OR(AH160="4～10个交易日",AH160="11～20个交易日")),AND(AG160="趋势波段",OR(AH160="11～20个交易日",AH160="21～60个交易日",AH160="60个交易日以上"))),"匹配","周期与交易预期不匹配，请重新确认"))</f>
        <v/>
      </c>
      <c r="AK160" s="10"/>
      <c r="AL160" s="12"/>
      <c r="AM160" s="10"/>
      <c r="AN160" s="12"/>
      <c r="AO160" s="5" t="str">
        <f>IF(OR(A160="",H160="",H160&lt;=0),"",(E160*H160+IF(AND(AK160&lt;&gt;"",AL160&lt;&gt;""),AK160*AL160,0)+IF(AND(AM160&lt;&gt;"",AN160&lt;&gt;""),AM160*AN160,0))/AP160)</f>
        <v/>
      </c>
      <c r="AP160" s="11" t="str">
        <f>IF(OR(A160="",H160="",H160&lt;=0),"",H160+IF(AL160="",0,AL160)+IF(AN160="",0,AN160))</f>
        <v/>
      </c>
      <c r="AQ160" s="5" t="str">
        <f>IF(A160="","",IF(M160&lt;&gt;"",0,IF(OR(H160="",N160=""),"",MAX(E160-MAX(N160,IFERROR(SUMPRODUCT(MAX(((持仓跟踪!$A$2:$A$497="每日跟踪")*(持仓跟踪!$B$2:$B$497=A160))*持仓跟踪!$S$2:$S$497)),0)),0)*H160+IF(OR(AK160="",AL160=""),0,MAX(AK160-MAX(N160,IFERROR(SUMPRODUCT(MAX(((持仓跟踪!$A$2:$A$497="每日跟踪")*(持仓跟踪!$B$2:$B$497=A160))*持仓跟踪!$S$2:$S$497)),0)),0)*AL160)+IF(OR(AM160="",AN160=""),0,MAX(AM160-MAX(N160,IFERROR(SUMPRODUCT(MAX(((持仓跟踪!$A$2:$A$497="每日跟踪")*(持仓跟踪!$B$2:$B$497=A160))*持仓跟踪!$S$2:$S$497)),0)),0)*AN160))))</f>
        <v/>
      </c>
      <c r="AR160" s="8" t="str">
        <f ca="1">IF(A160="","",IF(OR(E160="",H160=""),"违规：第一批价格或股数缺失",IF(OR(AND(AK160="",AL160&lt;&gt;""),AND(AK160&lt;&gt;"",AL160="")),"违规：第二批价格与股数须成对填写",IF(OR(AND(AM160="",AN160&lt;&gt;""),AND(AM160&lt;&gt;"",AN160="")),"违规：第三批价格与股数须成对填写",IF(AND(OR(AM160&lt;&gt;"",AN160&lt;&gt;""),OR(AK160="",AL160="")),"违规：必须先完成第二批",IF(OR(H160&lt;=0,H160&lt;&gt;INT(H160),MOD(H160,100)&lt;&gt;0,AND(AL160&lt;&gt;"",OR(AL160&lt;=0,AL160&lt;&gt;INT(AL160),MOD(AL160,100)&lt;&gt;0)),AND(AN160&lt;&gt;"",OR(AN160&lt;=0,AN160&lt;&gt;INT(AN160),MOD(AN160,100)&lt;&gt;0))),"违规：股数须为100股整数倍",IF(AND(OR(AL160&lt;&gt;"",AN160&lt;&gt;""),OR(_LockStatus="已锁仓",_LockStatus="解锁信息不完整")),"违规：锁仓期间禁止加仓",IF(AQ160&gt;C160*D160,"违规：超过单笔风险上限",IF(SUM($AQ$2:$AQ$163)&gt;账户数据!$B$7,"违规：超过账户风险上限","通过")))))))))</f>
        <v/>
      </c>
    </row>
    <row r="161" ht="17" spans="1:44">
      <c r="A161" s="2"/>
      <c r="B161" s="2"/>
      <c r="C161" s="10"/>
      <c r="D161" s="6"/>
      <c r="E161" s="10"/>
      <c r="F161" s="8" t="str">
        <f>IF(OR(C161="",D161="",E161="",N161="",C161&lt;=0,D161&lt;=0,E161&lt;=N161),"",ROUNDDOWN((C161*D161)/(E161-N161)/100,0)*100)</f>
        <v/>
      </c>
      <c r="G161" s="8" t="str">
        <f ca="1"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COUNTIFS(持仓跟踪!$A$2:$A$497,"止损计划",持仓跟踪!$B$2:$B$497,A161,持仓跟踪!$AC$2:$AC$497,"计划有效")=0,"禁止开仓：请先填写止损计划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1" s="2"/>
      <c r="I161" s="15"/>
      <c r="J161" s="10"/>
      <c r="K161" s="5" t="str">
        <f>IF(A161="","",IFERROR(LOOKUP(2,1/((持仓跟踪!$B$2:$B$497=A161)*(持仓跟踪!$X$2:$X$497="执行卖出")*(持仓跟踪!$Y$2:$Y$497&lt;&gt;"")),持仓跟踪!$Y$2:$Y$497),""))</f>
        <v/>
      </c>
      <c r="L161" s="8" t="str">
        <f>IF(A161="","",IFERROR(LOOKUP(2,1/((持仓跟踪!$B$2:$B$497=A161)*(持仓跟踪!$X$2:$X$497="执行卖出")*(持仓跟踪!$Z$2:$Z$497&lt;&gt;"")),持仓跟踪!$Z$2:$Z$497),""))</f>
        <v/>
      </c>
      <c r="M161" s="23" t="str">
        <f>IF(A161="","",IFERROR(LOOKUP(2,1/((持仓跟踪!$B$2:$B$497=A161)*(持仓跟踪!$X$2:$X$497="执行卖出")*(持仓跟踪!$H$2:$H$497&lt;&gt;"")),持仓跟踪!$H$2:$H$497),""))</f>
        <v/>
      </c>
      <c r="N161" s="10"/>
      <c r="O161" s="10"/>
      <c r="P161" s="5" t="str">
        <f>IF(A161="","",IFERROR(LOOKUP(2,1/((持仓跟踪!$B$2:$B$497=A161)*(持仓跟踪!$X$2:$X$497="执行卖出")*(持仓跟踪!$AA$2:$AA$497&lt;&gt;"")),持仓跟踪!$AA$2:$AA$497),""))</f>
        <v/>
      </c>
      <c r="Q161" s="2"/>
      <c r="R161" s="2"/>
      <c r="S161" s="2"/>
      <c r="T161" s="2"/>
      <c r="U161" s="7" t="str">
        <f>IF(OR(AO161="",J161="",AO161&lt;=0),"",(J161-AO161)/AO161)</f>
        <v/>
      </c>
      <c r="V161" s="7" t="str">
        <f>IF(OR(AO161="",N161="",AO161&lt;=0),"",(AO161-N161)/AO161)</f>
        <v/>
      </c>
      <c r="W161" s="24" t="str">
        <f>IF(OR(U161="",V161="",V161&lt;=0),"",U161/V161)</f>
        <v/>
      </c>
      <c r="X161" s="5" t="str">
        <f>IF(OR(K161="",L161="",AP161=""),"",K161*L161-(E161*H161+IF(AND(AK161&lt;&gt;"",AL161&lt;&gt;""),AK161*AL161,0)+IF(AND(AM161&lt;&gt;"",AN161&lt;&gt;""),AM161*AN161,0))-IF(O161="",0,O161)-IF(P161="",0,P161))</f>
        <v/>
      </c>
      <c r="Y161" s="7" t="str">
        <f>IF(OR(X161="",AP161=""),"",IF((E161*H161+IF(AND(AK161&lt;&gt;"",AL161&lt;&gt;""),AK161*AL161,0)+IF(AND(AM161&lt;&gt;"",AN161&lt;&gt;""),AM161*AN161,0))+IF(O161="",0,O161)&lt;=0,"",X161/((E161*H161+IF(AND(AK161&lt;&gt;"",AL161&lt;&gt;""),AK161*AL161,0)+IF(AND(AM161&lt;&gt;"",AN161&lt;&gt;""),AM161*AN161,0))+IF(O161="",0,O161))))</f>
        <v/>
      </c>
      <c r="Z161" s="7" t="str">
        <f>IF(OR(AE161="",多次统计数据!$B$8=""),"",AE161-多次统计数据!$B$8)</f>
        <v/>
      </c>
      <c r="AA161" s="11" t="str">
        <f>IF(OR(I161="",M161="",M161&lt;I161),"",M161-I161)</f>
        <v/>
      </c>
      <c r="AB161" s="7" t="str">
        <f>IF(OR(A161="",多次统计数据!$B$8="",多次统计数据!$B$6&lt;=0,多次统计数据!$B$6&gt;=1),"",1-POWER(1+多次统计数据!$B$8,-多次统计数据!$B$6/(1-多次统计数据!$B$6)))</f>
        <v/>
      </c>
      <c r="AC161" s="8" t="str">
        <f>IF(OR(AB161="",多次统计数据!$B$9=""),"",IF(多次统计数据!$B$9&lt;AB161,"低于上限","达到或超过上限"))</f>
        <v/>
      </c>
      <c r="AD161" s="2"/>
      <c r="AE161" s="7" t="str">
        <f>IF(OR(X161="",C161="",C161&lt;=0),"",X161/C161)</f>
        <v/>
      </c>
      <c r="AG161" s="2"/>
      <c r="AH161" s="2"/>
      <c r="AI161" s="2"/>
      <c r="AJ161" s="8" t="str">
        <f>IF(OR(AG161="",AH161=""),"",IF(OR(AND(AG161="短期博反弹",OR(AH161="1～3个交易日",AH161="4～10个交易日")),AND(AG161="突破冲新高",OR(AH161="4～10个交易日",AH161="11～20个交易日")),AND(AG161="趋势波段",OR(AH161="11～20个交易日",AH161="21～60个交易日",AH161="60个交易日以上"))),"匹配","周期与交易预期不匹配，请重新确认"))</f>
        <v/>
      </c>
      <c r="AK161" s="10"/>
      <c r="AL161" s="12"/>
      <c r="AM161" s="10"/>
      <c r="AN161" s="12"/>
      <c r="AO161" s="5" t="str">
        <f>IF(OR(A161="",H161="",H161&lt;=0),"",(E161*H161+IF(AND(AK161&lt;&gt;"",AL161&lt;&gt;""),AK161*AL161,0)+IF(AND(AM161&lt;&gt;"",AN161&lt;&gt;""),AM161*AN161,0))/AP161)</f>
        <v/>
      </c>
      <c r="AP161" s="11" t="str">
        <f>IF(OR(A161="",H161="",H161&lt;=0),"",H161+IF(AL161="",0,AL161)+IF(AN161="",0,AN161))</f>
        <v/>
      </c>
      <c r="AQ161" s="5" t="str">
        <f>IF(A161="","",IF(M161&lt;&gt;"",0,IF(OR(H161="",N161=""),"",MAX(E161-MAX(N161,IFERROR(SUMPRODUCT(MAX(((持仓跟踪!$A$2:$A$497="每日跟踪")*(持仓跟踪!$B$2:$B$497=A161))*持仓跟踪!$S$2:$S$497)),0)),0)*H161+IF(OR(AK161="",AL161=""),0,MAX(AK161-MAX(N161,IFERROR(SUMPRODUCT(MAX(((持仓跟踪!$A$2:$A$497="每日跟踪")*(持仓跟踪!$B$2:$B$497=A161))*持仓跟踪!$S$2:$S$497)),0)),0)*AL161)+IF(OR(AM161="",AN161=""),0,MAX(AM161-MAX(N161,IFERROR(SUMPRODUCT(MAX(((持仓跟踪!$A$2:$A$497="每日跟踪")*(持仓跟踪!$B$2:$B$497=A161))*持仓跟踪!$S$2:$S$497)),0)),0)*AN161))))</f>
        <v/>
      </c>
      <c r="AR161" s="8" t="str">
        <f ca="1">IF(A161="","",IF(OR(E161="",H161=""),"违规：第一批价格或股数缺失",IF(OR(AND(AK161="",AL161&lt;&gt;""),AND(AK161&lt;&gt;"",AL161="")),"违规：第二批价格与股数须成对填写",IF(OR(AND(AM161="",AN161&lt;&gt;""),AND(AM161&lt;&gt;"",AN161="")),"违规：第三批价格与股数须成对填写",IF(AND(OR(AM161&lt;&gt;"",AN161&lt;&gt;""),OR(AK161="",AL161="")),"违规：必须先完成第二批",IF(OR(H161&lt;=0,H161&lt;&gt;INT(H161),MOD(H161,100)&lt;&gt;0,AND(AL161&lt;&gt;"",OR(AL161&lt;=0,AL161&lt;&gt;INT(AL161),MOD(AL161,100)&lt;&gt;0)),AND(AN161&lt;&gt;"",OR(AN161&lt;=0,AN161&lt;&gt;INT(AN161),MOD(AN161,100)&lt;&gt;0))),"违规：股数须为100股整数倍",IF(AND(OR(AL161&lt;&gt;"",AN161&lt;&gt;""),OR(_LockStatus="已锁仓",_LockStatus="解锁信息不完整")),"违规：锁仓期间禁止加仓",IF(AQ161&gt;C161*D161,"违规：超过单笔风险上限",IF(SUM($AQ$2:$AQ$163)&gt;账户数据!$B$7,"违规：超过账户风险上限","通过")))))))))</f>
        <v/>
      </c>
    </row>
    <row r="162" ht="17" spans="1:44">
      <c r="A162" s="2"/>
      <c r="B162" s="2"/>
      <c r="C162" s="10"/>
      <c r="D162" s="6"/>
      <c r="E162" s="10"/>
      <c r="F162" s="8" t="str">
        <f>IF(OR(C162="",D162="",E162="",N162="",C162&lt;=0,D162&lt;=0,E162&lt;=N162),"",ROUNDDOWN((C162*D162)/(E162-N162)/100,0)*100)</f>
        <v/>
      </c>
      <c r="G162" s="8" t="str">
        <f ca="1"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COUNTIFS(持仓跟踪!$A$2:$A$497,"止损计划",持仓跟踪!$B$2:$B$497,A162,持仓跟踪!$AC$2:$AC$497,"计划有效")=0,"禁止开仓：请先填写止损计划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2" s="2"/>
      <c r="I162" s="15"/>
      <c r="J162" s="10"/>
      <c r="K162" s="5" t="str">
        <f>IF(A162="","",IFERROR(LOOKUP(2,1/((持仓跟踪!$B$2:$B$497=A162)*(持仓跟踪!$X$2:$X$497="执行卖出")*(持仓跟踪!$Y$2:$Y$497&lt;&gt;"")),持仓跟踪!$Y$2:$Y$497),""))</f>
        <v/>
      </c>
      <c r="L162" s="8" t="str">
        <f>IF(A162="","",IFERROR(LOOKUP(2,1/((持仓跟踪!$B$2:$B$497=A162)*(持仓跟踪!$X$2:$X$497="执行卖出")*(持仓跟踪!$Z$2:$Z$497&lt;&gt;"")),持仓跟踪!$Z$2:$Z$497),""))</f>
        <v/>
      </c>
      <c r="M162" s="23" t="str">
        <f>IF(A162="","",IFERROR(LOOKUP(2,1/((持仓跟踪!$B$2:$B$497=A162)*(持仓跟踪!$X$2:$X$497="执行卖出")*(持仓跟踪!$H$2:$H$497&lt;&gt;"")),持仓跟踪!$H$2:$H$497),""))</f>
        <v/>
      </c>
      <c r="N162" s="10"/>
      <c r="O162" s="10"/>
      <c r="P162" s="5" t="str">
        <f>IF(A162="","",IFERROR(LOOKUP(2,1/((持仓跟踪!$B$2:$B$497=A162)*(持仓跟踪!$X$2:$X$497="执行卖出")*(持仓跟踪!$AA$2:$AA$497&lt;&gt;"")),持仓跟踪!$AA$2:$AA$497),""))</f>
        <v/>
      </c>
      <c r="Q162" s="2"/>
      <c r="R162" s="2"/>
      <c r="S162" s="2"/>
      <c r="T162" s="2"/>
      <c r="U162" s="7" t="str">
        <f>IF(OR(AO162="",J162="",AO162&lt;=0),"",(J162-AO162)/AO162)</f>
        <v/>
      </c>
      <c r="V162" s="7" t="str">
        <f>IF(OR(AO162="",N162="",AO162&lt;=0),"",(AO162-N162)/AO162)</f>
        <v/>
      </c>
      <c r="W162" s="24" t="str">
        <f>IF(OR(U162="",V162="",V162&lt;=0),"",U162/V162)</f>
        <v/>
      </c>
      <c r="X162" s="5" t="str">
        <f>IF(OR(K162="",L162="",AP162=""),"",K162*L162-(E162*H162+IF(AND(AK162&lt;&gt;"",AL162&lt;&gt;""),AK162*AL162,0)+IF(AND(AM162&lt;&gt;"",AN162&lt;&gt;""),AM162*AN162,0))-IF(O162="",0,O162)-IF(P162="",0,P162))</f>
        <v/>
      </c>
      <c r="Y162" s="7" t="str">
        <f>IF(OR(X162="",AP162=""),"",IF((E162*H162+IF(AND(AK162&lt;&gt;"",AL162&lt;&gt;""),AK162*AL162,0)+IF(AND(AM162&lt;&gt;"",AN162&lt;&gt;""),AM162*AN162,0))+IF(O162="",0,O162)&lt;=0,"",X162/((E162*H162+IF(AND(AK162&lt;&gt;"",AL162&lt;&gt;""),AK162*AL162,0)+IF(AND(AM162&lt;&gt;"",AN162&lt;&gt;""),AM162*AN162,0))+IF(O162="",0,O162))))</f>
        <v/>
      </c>
      <c r="Z162" s="7" t="str">
        <f>IF(OR(AE162="",多次统计数据!$B$8=""),"",AE162-多次统计数据!$B$8)</f>
        <v/>
      </c>
      <c r="AA162" s="11" t="str">
        <f>IF(OR(I162="",M162="",M162&lt;I162),"",M162-I162)</f>
        <v/>
      </c>
      <c r="AB162" s="7" t="str">
        <f>IF(OR(A162="",多次统计数据!$B$8="",多次统计数据!$B$6&lt;=0,多次统计数据!$B$6&gt;=1),"",1-POWER(1+多次统计数据!$B$8,-多次统计数据!$B$6/(1-多次统计数据!$B$6)))</f>
        <v/>
      </c>
      <c r="AC162" s="8" t="str">
        <f>IF(OR(AB162="",多次统计数据!$B$9=""),"",IF(多次统计数据!$B$9&lt;AB162,"低于上限","达到或超过上限"))</f>
        <v/>
      </c>
      <c r="AD162" s="2"/>
      <c r="AE162" s="7" t="str">
        <f>IF(OR(X162="",C162="",C162&lt;=0),"",X162/C162)</f>
        <v/>
      </c>
      <c r="AG162" s="2"/>
      <c r="AH162" s="2"/>
      <c r="AI162" s="2"/>
      <c r="AJ162" s="8" t="str">
        <f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10"/>
      <c r="AL162" s="12"/>
      <c r="AM162" s="10"/>
      <c r="AN162" s="12"/>
      <c r="AO162" s="5" t="str">
        <f>IF(OR(A162="",H162="",H162&lt;=0),"",(E162*H162+IF(AND(AK162&lt;&gt;"",AL162&lt;&gt;""),AK162*AL162,0)+IF(AND(AM162&lt;&gt;"",AN162&lt;&gt;""),AM162*AN162,0))/AP162)</f>
        <v/>
      </c>
      <c r="AP162" s="11" t="str">
        <f>IF(OR(A162="",H162="",H162&lt;=0),"",H162+IF(AL162="",0,AL162)+IF(AN162="",0,AN162))</f>
        <v/>
      </c>
      <c r="AQ162" s="5" t="str">
        <f>IF(A162="","",IF(M162&lt;&gt;"",0,IF(OR(H162="",N162=""),"",MAX(E162-MAX(N162,IFERROR(SUMPRODUCT(MAX(((持仓跟踪!$A$2:$A$497="每日跟踪")*(持仓跟踪!$B$2:$B$497=A162))*持仓跟踪!$S$2:$S$497)),0)),0)*H162+IF(OR(AK162="",AL162=""),0,MAX(AK162-MAX(N162,IFERROR(SUMPRODUCT(MAX(((持仓跟踪!$A$2:$A$497="每日跟踪")*(持仓跟踪!$B$2:$B$497=A162))*持仓跟踪!$S$2:$S$497)),0)),0)*AL162)+IF(OR(AM162="",AN162=""),0,MAX(AM162-MAX(N162,IFERROR(SUMPRODUCT(MAX(((持仓跟踪!$A$2:$A$497="每日跟踪")*(持仓跟踪!$B$2:$B$497=A162))*持仓跟踪!$S$2:$S$497)),0)),0)*AN162))))</f>
        <v/>
      </c>
      <c r="AR162" s="8" t="str">
        <f ca="1">IF(A162="","",IF(OR(E162="",H162=""),"违规：第一批价格或股数缺失",IF(OR(AND(AK162="",AL162&lt;&gt;""),AND(AK162&lt;&gt;"",AL162="")),"违规：第二批价格与股数须成对填写",IF(OR(AND(AM162="",AN162&lt;&gt;""),AND(AM162&lt;&gt;"",AN162="")),"违规：第三批价格与股数须成对填写",IF(AND(OR(AM162&lt;&gt;"",AN162&lt;&gt;""),OR(AK162="",AL162="")),"违规：必须先完成第二批",IF(OR(H162&lt;=0,H162&lt;&gt;INT(H162),MOD(H162,100)&lt;&gt;0,AND(AL162&lt;&gt;"",OR(AL162&lt;=0,AL162&lt;&gt;INT(AL162),MOD(AL162,100)&lt;&gt;0)),AND(AN162&lt;&gt;"",OR(AN162&lt;=0,AN162&lt;&gt;INT(AN162),MOD(AN162,100)&lt;&gt;0))),"违规：股数须为100股整数倍",IF(AND(OR(AL162&lt;&gt;"",AN162&lt;&gt;""),OR(_LockStatus="已锁仓",_LockStatus="解锁信息不完整")),"违规：锁仓期间禁止加仓",IF(AQ162&gt;C162*D162,"违规：超过单笔风险上限",IF(SUM($AQ$2:$AQ$163)&gt;账户数据!$B$7,"违规：超过账户风险上限","通过")))))))))</f>
        <v/>
      </c>
    </row>
    <row r="163" ht="17" spans="1:44">
      <c r="A163" s="2"/>
      <c r="B163" s="2"/>
      <c r="C163" s="10"/>
      <c r="D163" s="6"/>
      <c r="E163" s="10"/>
      <c r="F163" s="8" t="str">
        <f>IF(OR(C163="",D163="",E163="",N163="",C163&lt;=0,D163&lt;=0,E163&lt;=N163),"",ROUNDDOWN((C163*D163)/(E163-N163)/100,0)*100)</f>
        <v/>
      </c>
      <c r="G163" s="8" t="str">
        <f ca="1"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COUNTIFS(持仓跟踪!$A$2:$A$497,"止损计划",持仓跟踪!$B$2:$B$497,A163,持仓跟踪!$AC$2:$AC$497,"计划有效")=0,"禁止开仓：请先填写止损计划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3" s="2"/>
      <c r="I163" s="15"/>
      <c r="J163" s="10"/>
      <c r="K163" s="5" t="str">
        <f>IF(A163="","",IFERROR(LOOKUP(2,1/((持仓跟踪!$B$2:$B$497=A163)*(持仓跟踪!$X$2:$X$497="执行卖出")*(持仓跟踪!$Y$2:$Y$497&lt;&gt;"")),持仓跟踪!$Y$2:$Y$497),""))</f>
        <v/>
      </c>
      <c r="L163" s="8" t="str">
        <f>IF(A163="","",IFERROR(LOOKUP(2,1/((持仓跟踪!$B$2:$B$497=A163)*(持仓跟踪!$X$2:$X$497="执行卖出")*(持仓跟踪!$Z$2:$Z$497&lt;&gt;"")),持仓跟踪!$Z$2:$Z$497),""))</f>
        <v/>
      </c>
      <c r="M163" s="23" t="str">
        <f>IF(A163="","",IFERROR(LOOKUP(2,1/((持仓跟踪!$B$2:$B$497=A163)*(持仓跟踪!$X$2:$X$497="执行卖出")*(持仓跟踪!$H$2:$H$497&lt;&gt;"")),持仓跟踪!$H$2:$H$497),""))</f>
        <v/>
      </c>
      <c r="N163" s="10"/>
      <c r="O163" s="10"/>
      <c r="P163" s="5" t="str">
        <f>IF(A163="","",IFERROR(LOOKUP(2,1/((持仓跟踪!$B$2:$B$497=A163)*(持仓跟踪!$X$2:$X$497="执行卖出")*(持仓跟踪!$AA$2:$AA$497&lt;&gt;"")),持仓跟踪!$AA$2:$AA$497),""))</f>
        <v/>
      </c>
      <c r="Q163" s="2"/>
      <c r="R163" s="2"/>
      <c r="S163" s="2"/>
      <c r="T163" s="2"/>
      <c r="U163" s="7" t="str">
        <f>IF(OR(AO163="",J163="",AO163&lt;=0),"",(J163-AO163)/AO163)</f>
        <v/>
      </c>
      <c r="V163" s="7" t="str">
        <f>IF(OR(AO163="",N163="",AO163&lt;=0),"",(AO163-N163)/AO163)</f>
        <v/>
      </c>
      <c r="W163" s="24" t="str">
        <f>IF(OR(U163="",V163="",V163&lt;=0),"",U163/V163)</f>
        <v/>
      </c>
      <c r="X163" s="5" t="str">
        <f>IF(OR(K163="",L163="",AP163=""),"",K163*L163-(E163*H163+IF(AND(AK163&lt;&gt;"",AL163&lt;&gt;""),AK163*AL163,0)+IF(AND(AM163&lt;&gt;"",AN163&lt;&gt;""),AM163*AN163,0))-IF(O163="",0,O163)-IF(P163="",0,P163))</f>
        <v/>
      </c>
      <c r="Y163" s="7" t="str">
        <f>IF(OR(X163="",AP163=""),"",IF((E163*H163+IF(AND(AK163&lt;&gt;"",AL163&lt;&gt;""),AK163*AL163,0)+IF(AND(AM163&lt;&gt;"",AN163&lt;&gt;""),AM163*AN163,0))+IF(O163="",0,O163)&lt;=0,"",X163/((E163*H163+IF(AND(AK163&lt;&gt;"",AL163&lt;&gt;""),AK163*AL163,0)+IF(AND(AM163&lt;&gt;"",AN163&lt;&gt;""),AM163*AN163,0))+IF(O163="",0,O163))))</f>
        <v/>
      </c>
      <c r="Z163" s="7" t="str">
        <f>IF(OR(AE163="",多次统计数据!$B$8=""),"",AE163-多次统计数据!$B$8)</f>
        <v/>
      </c>
      <c r="AA163" s="11" t="str">
        <f>IF(OR(I163="",M163="",M163&lt;I163),"",M163-I163)</f>
        <v/>
      </c>
      <c r="AB163" s="7" t="str">
        <f>IF(OR(A163="",多次统计数据!$B$8="",多次统计数据!$B$6&lt;=0,多次统计数据!$B$6&gt;=1),"",1-POWER(1+多次统计数据!$B$8,-多次统计数据!$B$6/(1-多次统计数据!$B$6)))</f>
        <v/>
      </c>
      <c r="AC163" s="8" t="str">
        <f>IF(OR(AB163="",多次统计数据!$B$9=""),"",IF(多次统计数据!$B$9&lt;AB163,"低于上限","达到或超过上限"))</f>
        <v/>
      </c>
      <c r="AD163" s="2"/>
      <c r="AE163" s="7" t="str">
        <f>IF(OR(X163="",C163="",C163&lt;=0),"",X163/C163)</f>
        <v/>
      </c>
      <c r="AG163" s="2"/>
      <c r="AH163" s="2"/>
      <c r="AI163" s="2"/>
      <c r="AJ163" s="8" t="str">
        <f>IF(OR(AG163="",AH163=""),"",IF(OR(AND(AG163="短期博反弹",OR(AH163="1～3个交易日",AH163="4～10个交易日")),AND(AG163="突破冲新高",OR(AH163="4～10个交易日",AH163="11～20个交易日")),AND(AG163="趋势波段",OR(AH163="11～20个交易日",AH163="21～60个交易日",AH163="60个交易日以上"))),"匹配","周期与交易预期不匹配，请重新确认"))</f>
        <v/>
      </c>
      <c r="AK163" s="10"/>
      <c r="AL163" s="12"/>
      <c r="AM163" s="10"/>
      <c r="AN163" s="12"/>
      <c r="AO163" s="5" t="str">
        <f>IF(OR(A163="",H163="",H163&lt;=0),"",(E163*H163+IF(AND(AK163&lt;&gt;"",AL163&lt;&gt;""),AK163*AL163,0)+IF(AND(AM163&lt;&gt;"",AN163&lt;&gt;""),AM163*AN163,0))/AP163)</f>
        <v/>
      </c>
      <c r="AP163" s="11" t="str">
        <f>IF(OR(A163="",H163="",H163&lt;=0),"",H163+IF(AL163="",0,AL163)+IF(AN163="",0,AN163))</f>
        <v/>
      </c>
      <c r="AQ163" s="5" t="str">
        <f>IF(A163="","",IF(M163&lt;&gt;"",0,IF(OR(H163="",N163=""),"",MAX(E163-MAX(N163,IFERROR(SUMPRODUCT(MAX(((持仓跟踪!$A$2:$A$497="每日跟踪")*(持仓跟踪!$B$2:$B$497=A163))*持仓跟踪!$S$2:$S$497)),0)),0)*H163+IF(OR(AK163="",AL163=""),0,MAX(AK163-MAX(N163,IFERROR(SUMPRODUCT(MAX(((持仓跟踪!$A$2:$A$497="每日跟踪")*(持仓跟踪!$B$2:$B$497=A163))*持仓跟踪!$S$2:$S$497)),0)),0)*AL163)+IF(OR(AM163="",AN163=""),0,MAX(AM163-MAX(N163,IFERROR(SUMPRODUCT(MAX(((持仓跟踪!$A$2:$A$497="每日跟踪")*(持仓跟踪!$B$2:$B$497=A163))*持仓跟踪!$S$2:$S$497)),0)),0)*AN163))))</f>
        <v/>
      </c>
      <c r="AR163" s="8" t="str">
        <f ca="1">IF(A163="","",IF(OR(E163="",H163=""),"违规：第一批价格或股数缺失",IF(OR(AND(AK163="",AL163&lt;&gt;""),AND(AK163&lt;&gt;"",AL163="")),"违规：第二批价格与股数须成对填写",IF(OR(AND(AM163="",AN163&lt;&gt;""),AND(AM163&lt;&gt;"",AN163="")),"违规：第三批价格与股数须成对填写",IF(AND(OR(AM163&lt;&gt;"",AN163&lt;&gt;""),OR(AK163="",AL163="")),"违规：必须先完成第二批",IF(OR(H163&lt;=0,H163&lt;&gt;INT(H163),MOD(H163,100)&lt;&gt;0,AND(AL163&lt;&gt;"",OR(AL163&lt;=0,AL163&lt;&gt;INT(AL163),MOD(AL163,100)&lt;&gt;0)),AND(AN163&lt;&gt;"",OR(AN163&lt;=0,AN163&lt;&gt;INT(AN163),MOD(AN163,100)&lt;&gt;0))),"违规：股数须为100股整数倍",IF(AND(OR(AL163&lt;&gt;"",AN163&lt;&gt;""),OR(_LockStatus="已锁仓",_LockStatus="解锁信息不完整")),"违规：锁仓期间禁止加仓",IF(AQ163&gt;C163*D163,"违规：超过单笔风险上限",IF(SUM($AQ$2:$AQ$163)&gt;账户数据!$B$7,"违规：超过账户风险上限","通过")))))))))</f>
        <v/>
      </c>
    </row>
    <row r="201" ht="15" customHeight="1" spans="1:44">
      <c r="A201" s="2"/>
      <c r="B201" s="36"/>
      <c r="C201" s="10"/>
      <c r="D201" s="6"/>
      <c r="E201" s="10"/>
      <c r="F201" s="8"/>
      <c r="G201" s="8"/>
      <c r="H201" s="2"/>
      <c r="I201" s="15"/>
      <c r="J201" s="10"/>
      <c r="K201" s="5"/>
      <c r="L201" s="8"/>
      <c r="M201" s="23"/>
      <c r="N201" s="10"/>
      <c r="O201" s="10"/>
      <c r="P201" s="5"/>
      <c r="Q201" s="2"/>
      <c r="R201" s="2"/>
      <c r="S201" s="2"/>
      <c r="T201" s="2"/>
      <c r="U201" s="7"/>
      <c r="V201" s="7"/>
      <c r="W201" s="24"/>
      <c r="X201" s="5"/>
      <c r="Y201" s="7"/>
      <c r="Z201" s="7"/>
      <c r="AA201" s="11"/>
      <c r="AB201" s="7"/>
      <c r="AC201" s="8"/>
      <c r="AD201" s="2"/>
      <c r="AE201" s="7"/>
      <c r="AG201" s="2"/>
      <c r="AH201" s="2"/>
      <c r="AI201" s="2"/>
      <c r="AJ201" s="8"/>
      <c r="AK201" s="10"/>
      <c r="AL201" s="12"/>
      <c r="AM201" s="10"/>
      <c r="AN201" s="12"/>
      <c r="AO201" s="5"/>
      <c r="AP201" s="11"/>
      <c r="AQ201" s="5"/>
      <c r="AR201" s="8"/>
    </row>
    <row r="202" ht="15" customHeight="1" spans="1:44">
      <c r="A202" s="2"/>
      <c r="B202" s="36"/>
      <c r="C202" s="10"/>
      <c r="D202" s="6"/>
      <c r="E202" s="10"/>
      <c r="F202" s="8"/>
      <c r="G202" s="8"/>
      <c r="H202" s="2"/>
      <c r="I202" s="15"/>
      <c r="J202" s="10"/>
      <c r="K202" s="5"/>
      <c r="L202" s="8"/>
      <c r="M202" s="23"/>
      <c r="N202" s="10"/>
      <c r="O202" s="10"/>
      <c r="P202" s="5"/>
      <c r="Q202" s="2"/>
      <c r="R202" s="2"/>
      <c r="S202" s="2"/>
      <c r="T202" s="2"/>
      <c r="U202" s="7"/>
      <c r="V202" s="7"/>
      <c r="W202" s="24"/>
      <c r="X202" s="5"/>
      <c r="Y202" s="7"/>
      <c r="Z202" s="7"/>
      <c r="AA202" s="11"/>
      <c r="AB202" s="7"/>
      <c r="AC202" s="8"/>
      <c r="AD202" s="2"/>
      <c r="AE202" s="7"/>
      <c r="AG202" s="2"/>
      <c r="AH202" s="2"/>
      <c r="AI202" s="2"/>
      <c r="AJ202" s="8"/>
      <c r="AK202" s="10"/>
      <c r="AL202" s="12"/>
      <c r="AM202" s="10"/>
      <c r="AN202" s="12"/>
      <c r="AO202" s="5"/>
      <c r="AP202" s="11"/>
      <c r="AQ202" s="5"/>
      <c r="AR202" s="8"/>
    </row>
    <row r="203" ht="15" customHeight="1" spans="1:44">
      <c r="A203" s="2"/>
      <c r="B203" s="36"/>
      <c r="C203" s="10"/>
      <c r="D203" s="6"/>
      <c r="E203" s="10"/>
      <c r="F203" s="8"/>
      <c r="G203" s="8"/>
      <c r="H203" s="2"/>
      <c r="I203" s="15"/>
      <c r="J203" s="10"/>
      <c r="K203" s="5"/>
      <c r="L203" s="8"/>
      <c r="M203" s="23"/>
      <c r="N203" s="10"/>
      <c r="O203" s="10"/>
      <c r="P203" s="5"/>
      <c r="Q203" s="2"/>
      <c r="R203" s="2"/>
      <c r="S203" s="2"/>
      <c r="T203" s="2"/>
      <c r="U203" s="7"/>
      <c r="V203" s="7"/>
      <c r="W203" s="24"/>
      <c r="X203" s="5"/>
      <c r="Y203" s="7"/>
      <c r="Z203" s="7"/>
      <c r="AA203" s="11"/>
      <c r="AB203" s="7"/>
      <c r="AC203" s="8"/>
      <c r="AD203" s="2"/>
      <c r="AE203" s="7"/>
      <c r="AG203" s="2"/>
      <c r="AH203" s="2"/>
      <c r="AI203" s="2"/>
      <c r="AJ203" s="8"/>
      <c r="AK203" s="10"/>
      <c r="AL203" s="12"/>
      <c r="AM203" s="10"/>
      <c r="AN203" s="12"/>
      <c r="AO203" s="5"/>
      <c r="AP203" s="11"/>
      <c r="AQ203" s="5"/>
      <c r="AR203" s="8"/>
    </row>
    <row r="204" ht="15" customHeight="1" spans="1:44">
      <c r="A204" s="2"/>
      <c r="B204" s="36"/>
      <c r="C204" s="10"/>
      <c r="D204" s="6"/>
      <c r="E204" s="10"/>
      <c r="F204" s="8"/>
      <c r="G204" s="8"/>
      <c r="H204" s="2"/>
      <c r="I204" s="15"/>
      <c r="J204" s="10"/>
      <c r="K204" s="5"/>
      <c r="L204" s="8"/>
      <c r="M204" s="23"/>
      <c r="N204" s="10"/>
      <c r="O204" s="10"/>
      <c r="P204" s="5"/>
      <c r="Q204" s="2"/>
      <c r="R204" s="2"/>
      <c r="S204" s="2"/>
      <c r="T204" s="2"/>
      <c r="U204" s="7"/>
      <c r="V204" s="7"/>
      <c r="W204" s="24"/>
      <c r="X204" s="5"/>
      <c r="Y204" s="7"/>
      <c r="Z204" s="7"/>
      <c r="AA204" s="11"/>
      <c r="AB204" s="7"/>
      <c r="AC204" s="8"/>
      <c r="AD204" s="2"/>
      <c r="AE204" s="7"/>
      <c r="AG204" s="2"/>
      <c r="AH204" s="2"/>
      <c r="AI204" s="2"/>
      <c r="AJ204" s="8"/>
      <c r="AK204" s="10"/>
      <c r="AL204" s="12"/>
      <c r="AM204" s="10"/>
      <c r="AN204" s="12"/>
      <c r="AO204" s="5"/>
      <c r="AP204" s="11"/>
      <c r="AQ204" s="5"/>
      <c r="AR204" s="8"/>
    </row>
    <row r="205" ht="15" customHeight="1" spans="1:44">
      <c r="A205" s="2"/>
      <c r="B205" s="36"/>
      <c r="C205" s="10"/>
      <c r="D205" s="6"/>
      <c r="E205" s="10"/>
      <c r="F205" s="8"/>
      <c r="G205" s="8"/>
      <c r="H205" s="2"/>
      <c r="I205" s="15"/>
      <c r="J205" s="10"/>
      <c r="K205" s="5"/>
      <c r="L205" s="8"/>
      <c r="M205" s="23"/>
      <c r="N205" s="10"/>
      <c r="O205" s="10"/>
      <c r="P205" s="5"/>
      <c r="Q205" s="2"/>
      <c r="R205" s="2"/>
      <c r="S205" s="2"/>
      <c r="T205" s="2"/>
      <c r="U205" s="7"/>
      <c r="V205" s="7"/>
      <c r="W205" s="24"/>
      <c r="X205" s="5"/>
      <c r="Y205" s="7"/>
      <c r="Z205" s="7"/>
      <c r="AA205" s="11"/>
      <c r="AB205" s="7"/>
      <c r="AC205" s="8"/>
      <c r="AD205" s="2"/>
      <c r="AE205" s="7"/>
      <c r="AG205" s="2"/>
      <c r="AH205" s="2"/>
      <c r="AI205" s="2"/>
      <c r="AJ205" s="8"/>
      <c r="AK205" s="10"/>
      <c r="AL205" s="12"/>
      <c r="AM205" s="10"/>
      <c r="AN205" s="12"/>
      <c r="AO205" s="5"/>
      <c r="AP205" s="11"/>
      <c r="AQ205" s="5"/>
      <c r="AR205" s="8"/>
    </row>
    <row r="206" ht="15" customHeight="1" spans="1:44">
      <c r="A206" s="2"/>
      <c r="B206" s="36"/>
      <c r="C206" s="10"/>
      <c r="D206" s="6"/>
      <c r="E206" s="10"/>
      <c r="F206" s="8"/>
      <c r="G206" s="8"/>
      <c r="H206" s="2"/>
      <c r="I206" s="15"/>
      <c r="J206" s="10"/>
      <c r="K206" s="5"/>
      <c r="L206" s="8"/>
      <c r="M206" s="23"/>
      <c r="N206" s="10"/>
      <c r="O206" s="10"/>
      <c r="P206" s="5"/>
      <c r="Q206" s="2"/>
      <c r="R206" s="2"/>
      <c r="S206" s="2"/>
      <c r="T206" s="2"/>
      <c r="U206" s="7"/>
      <c r="V206" s="7"/>
      <c r="W206" s="24"/>
      <c r="X206" s="5"/>
      <c r="Y206" s="7"/>
      <c r="Z206" s="7"/>
      <c r="AA206" s="11"/>
      <c r="AB206" s="7"/>
      <c r="AC206" s="8"/>
      <c r="AD206" s="2"/>
      <c r="AE206" s="7"/>
      <c r="AG206" s="2"/>
      <c r="AH206" s="2"/>
      <c r="AI206" s="2"/>
      <c r="AJ206" s="8"/>
      <c r="AK206" s="10"/>
      <c r="AL206" s="12"/>
      <c r="AM206" s="10"/>
      <c r="AN206" s="12"/>
      <c r="AO206" s="5"/>
      <c r="AP206" s="11"/>
      <c r="AQ206" s="5"/>
      <c r="AR206" s="8"/>
    </row>
    <row r="207" ht="15" customHeight="1" spans="1:44">
      <c r="A207" s="2"/>
      <c r="B207" s="36"/>
      <c r="C207" s="10"/>
      <c r="D207" s="6"/>
      <c r="E207" s="10"/>
      <c r="F207" s="8"/>
      <c r="G207" s="8"/>
      <c r="H207" s="2"/>
      <c r="I207" s="15"/>
      <c r="J207" s="10"/>
      <c r="K207" s="5"/>
      <c r="L207" s="8"/>
      <c r="M207" s="23"/>
      <c r="N207" s="10"/>
      <c r="O207" s="10"/>
      <c r="P207" s="5"/>
      <c r="Q207" s="2"/>
      <c r="R207" s="2"/>
      <c r="S207" s="2"/>
      <c r="T207" s="2"/>
      <c r="U207" s="7"/>
      <c r="V207" s="7"/>
      <c r="W207" s="24"/>
      <c r="X207" s="5"/>
      <c r="Y207" s="7"/>
      <c r="Z207" s="7"/>
      <c r="AA207" s="11"/>
      <c r="AB207" s="7"/>
      <c r="AC207" s="8"/>
      <c r="AD207" s="2"/>
      <c r="AE207" s="7"/>
      <c r="AG207" s="2"/>
      <c r="AH207" s="2"/>
      <c r="AI207" s="2"/>
      <c r="AJ207" s="8"/>
      <c r="AK207" s="10"/>
      <c r="AL207" s="12"/>
      <c r="AM207" s="10"/>
      <c r="AN207" s="12"/>
      <c r="AO207" s="5"/>
      <c r="AP207" s="11"/>
      <c r="AQ207" s="5"/>
      <c r="AR207" s="8"/>
    </row>
    <row r="208" ht="15" customHeight="1" spans="1:44">
      <c r="A208" s="2"/>
      <c r="B208" s="36"/>
      <c r="C208" s="10"/>
      <c r="D208" s="6"/>
      <c r="E208" s="10"/>
      <c r="F208" s="8"/>
      <c r="G208" s="8"/>
      <c r="H208" s="2"/>
      <c r="I208" s="15"/>
      <c r="J208" s="10"/>
      <c r="K208" s="5"/>
      <c r="L208" s="8"/>
      <c r="M208" s="23"/>
      <c r="N208" s="10"/>
      <c r="O208" s="10"/>
      <c r="P208" s="5"/>
      <c r="Q208" s="2"/>
      <c r="R208" s="2"/>
      <c r="S208" s="2"/>
      <c r="T208" s="2"/>
      <c r="U208" s="7"/>
      <c r="V208" s="7"/>
      <c r="W208" s="24"/>
      <c r="X208" s="5"/>
      <c r="Y208" s="7"/>
      <c r="Z208" s="7"/>
      <c r="AA208" s="11"/>
      <c r="AB208" s="7"/>
      <c r="AC208" s="8"/>
      <c r="AD208" s="2"/>
      <c r="AE208" s="7"/>
      <c r="AG208" s="2"/>
      <c r="AH208" s="2"/>
      <c r="AI208" s="2"/>
      <c r="AJ208" s="8"/>
      <c r="AK208" s="10"/>
      <c r="AL208" s="12"/>
      <c r="AM208" s="10"/>
      <c r="AN208" s="12"/>
      <c r="AO208" s="5"/>
      <c r="AP208" s="11"/>
      <c r="AQ208" s="5"/>
      <c r="AR208" s="8"/>
    </row>
    <row r="209" ht="15" customHeight="1" spans="1:44">
      <c r="A209" s="2"/>
      <c r="B209" s="36"/>
      <c r="C209" s="10"/>
      <c r="D209" s="6"/>
      <c r="E209" s="10"/>
      <c r="F209" s="8"/>
      <c r="G209" s="8"/>
      <c r="H209" s="2"/>
      <c r="I209" s="15"/>
      <c r="J209" s="10"/>
      <c r="K209" s="5"/>
      <c r="L209" s="8"/>
      <c r="M209" s="23"/>
      <c r="N209" s="10"/>
      <c r="O209" s="10"/>
      <c r="P209" s="5"/>
      <c r="Q209" s="2"/>
      <c r="R209" s="2"/>
      <c r="S209" s="2"/>
      <c r="T209" s="2"/>
      <c r="U209" s="7"/>
      <c r="V209" s="7"/>
      <c r="W209" s="24"/>
      <c r="X209" s="5"/>
      <c r="Y209" s="7"/>
      <c r="Z209" s="7"/>
      <c r="AA209" s="11"/>
      <c r="AB209" s="7"/>
      <c r="AC209" s="8"/>
      <c r="AD209" s="2"/>
      <c r="AE209" s="7"/>
      <c r="AG209" s="2"/>
      <c r="AH209" s="2"/>
      <c r="AI209" s="2"/>
      <c r="AJ209" s="8"/>
      <c r="AK209" s="10"/>
      <c r="AL209" s="12"/>
      <c r="AM209" s="10"/>
      <c r="AN209" s="12"/>
      <c r="AO209" s="5"/>
      <c r="AP209" s="11"/>
      <c r="AQ209" s="5"/>
      <c r="AR209" s="8"/>
    </row>
    <row r="210" ht="15" customHeight="1" spans="1:44">
      <c r="A210" s="2"/>
      <c r="B210" s="36"/>
      <c r="C210" s="10"/>
      <c r="D210" s="6"/>
      <c r="E210" s="10"/>
      <c r="F210" s="8"/>
      <c r="G210" s="8"/>
      <c r="H210" s="2"/>
      <c r="I210" s="15"/>
      <c r="J210" s="10"/>
      <c r="K210" s="5"/>
      <c r="L210" s="8"/>
      <c r="M210" s="23"/>
      <c r="N210" s="10"/>
      <c r="O210" s="10"/>
      <c r="P210" s="5"/>
      <c r="Q210" s="2"/>
      <c r="R210" s="2"/>
      <c r="S210" s="2"/>
      <c r="T210" s="2"/>
      <c r="U210" s="7"/>
      <c r="V210" s="7"/>
      <c r="W210" s="24"/>
      <c r="X210" s="5"/>
      <c r="Y210" s="7"/>
      <c r="Z210" s="7"/>
      <c r="AA210" s="11"/>
      <c r="AB210" s="7"/>
      <c r="AC210" s="8"/>
      <c r="AD210" s="2"/>
      <c r="AE210" s="7"/>
      <c r="AG210" s="2"/>
      <c r="AH210" s="2"/>
      <c r="AI210" s="2"/>
      <c r="AJ210" s="8"/>
      <c r="AK210" s="10"/>
      <c r="AL210" s="12"/>
      <c r="AM210" s="10"/>
      <c r="AN210" s="12"/>
      <c r="AO210" s="5"/>
      <c r="AP210" s="11"/>
      <c r="AQ210" s="5"/>
      <c r="AR210" s="8"/>
    </row>
    <row r="211" ht="15" customHeight="1" spans="1:44">
      <c r="A211" s="2"/>
      <c r="B211" s="36"/>
      <c r="C211" s="10"/>
      <c r="D211" s="6"/>
      <c r="E211" s="10"/>
      <c r="F211" s="8"/>
      <c r="G211" s="8"/>
      <c r="H211" s="2"/>
      <c r="I211" s="15"/>
      <c r="J211" s="10"/>
      <c r="K211" s="5"/>
      <c r="L211" s="8"/>
      <c r="M211" s="23"/>
      <c r="N211" s="10"/>
      <c r="O211" s="10"/>
      <c r="P211" s="5"/>
      <c r="Q211" s="2"/>
      <c r="R211" s="2"/>
      <c r="S211" s="2"/>
      <c r="T211" s="2"/>
      <c r="U211" s="7"/>
      <c r="V211" s="7"/>
      <c r="W211" s="24"/>
      <c r="X211" s="5"/>
      <c r="Y211" s="7"/>
      <c r="Z211" s="7"/>
      <c r="AA211" s="11"/>
      <c r="AB211" s="7"/>
      <c r="AC211" s="8"/>
      <c r="AD211" s="2"/>
      <c r="AE211" s="7"/>
      <c r="AG211" s="2"/>
      <c r="AH211" s="2"/>
      <c r="AI211" s="2"/>
      <c r="AJ211" s="8"/>
      <c r="AK211" s="10"/>
      <c r="AL211" s="12"/>
      <c r="AM211" s="10"/>
      <c r="AN211" s="12"/>
      <c r="AO211" s="5"/>
      <c r="AP211" s="11"/>
      <c r="AQ211" s="5"/>
      <c r="AR211" s="8"/>
    </row>
    <row r="212" ht="15" customHeight="1" spans="1:44">
      <c r="A212" s="2"/>
      <c r="B212" s="36"/>
      <c r="C212" s="10"/>
      <c r="D212" s="6"/>
      <c r="E212" s="10"/>
      <c r="F212" s="8"/>
      <c r="G212" s="8"/>
      <c r="H212" s="2"/>
      <c r="I212" s="15"/>
      <c r="J212" s="10"/>
      <c r="K212" s="5"/>
      <c r="L212" s="8"/>
      <c r="M212" s="23"/>
      <c r="N212" s="10"/>
      <c r="O212" s="10"/>
      <c r="P212" s="5"/>
      <c r="Q212" s="2"/>
      <c r="R212" s="2"/>
      <c r="S212" s="2"/>
      <c r="T212" s="2"/>
      <c r="U212" s="7"/>
      <c r="V212" s="7"/>
      <c r="W212" s="24"/>
      <c r="X212" s="5"/>
      <c r="Y212" s="7"/>
      <c r="Z212" s="7"/>
      <c r="AA212" s="11"/>
      <c r="AB212" s="7"/>
      <c r="AC212" s="8"/>
      <c r="AD212" s="2"/>
      <c r="AE212" s="7"/>
      <c r="AG212" s="2"/>
      <c r="AH212" s="2"/>
      <c r="AI212" s="2"/>
      <c r="AJ212" s="8"/>
      <c r="AK212" s="10"/>
      <c r="AL212" s="12"/>
      <c r="AM212" s="10"/>
      <c r="AN212" s="12"/>
      <c r="AO212" s="5"/>
      <c r="AP212" s="11"/>
      <c r="AQ212" s="5"/>
      <c r="AR212" s="8"/>
    </row>
    <row r="213" ht="15" customHeight="1" spans="1:44">
      <c r="A213" s="2"/>
      <c r="B213" s="36"/>
      <c r="C213" s="10"/>
      <c r="D213" s="6"/>
      <c r="E213" s="10"/>
      <c r="F213" s="8"/>
      <c r="G213" s="8"/>
      <c r="H213" s="2"/>
      <c r="I213" s="15"/>
      <c r="J213" s="10"/>
      <c r="K213" s="5"/>
      <c r="L213" s="8"/>
      <c r="M213" s="23"/>
      <c r="N213" s="10"/>
      <c r="O213" s="10"/>
      <c r="P213" s="5"/>
      <c r="Q213" s="2"/>
      <c r="R213" s="2"/>
      <c r="S213" s="2"/>
      <c r="T213" s="2"/>
      <c r="U213" s="7"/>
      <c r="V213" s="7"/>
      <c r="W213" s="24"/>
      <c r="X213" s="5"/>
      <c r="Y213" s="7"/>
      <c r="Z213" s="7"/>
      <c r="AA213" s="11"/>
      <c r="AB213" s="7"/>
      <c r="AC213" s="8"/>
      <c r="AD213" s="2"/>
      <c r="AE213" s="7"/>
      <c r="AG213" s="2"/>
      <c r="AH213" s="2"/>
      <c r="AI213" s="2"/>
      <c r="AJ213" s="8"/>
      <c r="AK213" s="10"/>
      <c r="AL213" s="12"/>
      <c r="AM213" s="10"/>
      <c r="AN213" s="12"/>
      <c r="AO213" s="5"/>
      <c r="AP213" s="11"/>
      <c r="AQ213" s="5"/>
      <c r="AR213" s="8"/>
    </row>
    <row r="214" ht="15" customHeight="1" spans="1:44">
      <c r="A214" s="2"/>
      <c r="B214" s="36"/>
      <c r="C214" s="10"/>
      <c r="D214" s="6"/>
      <c r="E214" s="10"/>
      <c r="F214" s="8"/>
      <c r="G214" s="8"/>
      <c r="H214" s="2"/>
      <c r="I214" s="15"/>
      <c r="J214" s="10"/>
      <c r="K214" s="5"/>
      <c r="L214" s="8"/>
      <c r="M214" s="23"/>
      <c r="N214" s="10"/>
      <c r="O214" s="10"/>
      <c r="P214" s="5"/>
      <c r="Q214" s="2"/>
      <c r="R214" s="2"/>
      <c r="S214" s="2"/>
      <c r="T214" s="2"/>
      <c r="U214" s="7"/>
      <c r="V214" s="7"/>
      <c r="W214" s="24"/>
      <c r="X214" s="5"/>
      <c r="Y214" s="7"/>
      <c r="Z214" s="7"/>
      <c r="AA214" s="11"/>
      <c r="AB214" s="7"/>
      <c r="AC214" s="8"/>
      <c r="AD214" s="2"/>
      <c r="AE214" s="7"/>
      <c r="AG214" s="2"/>
      <c r="AH214" s="2"/>
      <c r="AI214" s="2"/>
      <c r="AJ214" s="8"/>
      <c r="AK214" s="10"/>
      <c r="AL214" s="12"/>
      <c r="AM214" s="10"/>
      <c r="AN214" s="12"/>
      <c r="AO214" s="5"/>
      <c r="AP214" s="11"/>
      <c r="AQ214" s="5"/>
      <c r="AR214" s="8"/>
    </row>
    <row r="215" ht="15" customHeight="1" spans="1:44">
      <c r="A215" s="2"/>
      <c r="B215" s="36"/>
      <c r="C215" s="10"/>
      <c r="D215" s="6"/>
      <c r="E215" s="10"/>
      <c r="F215" s="8"/>
      <c r="G215" s="8"/>
      <c r="H215" s="2"/>
      <c r="I215" s="15"/>
      <c r="J215" s="10"/>
      <c r="K215" s="5"/>
      <c r="L215" s="8"/>
      <c r="M215" s="23"/>
      <c r="N215" s="10"/>
      <c r="O215" s="10"/>
      <c r="P215" s="5"/>
      <c r="Q215" s="2"/>
      <c r="R215" s="2"/>
      <c r="S215" s="2"/>
      <c r="T215" s="2"/>
      <c r="U215" s="7"/>
      <c r="V215" s="7"/>
      <c r="W215" s="24"/>
      <c r="X215" s="5"/>
      <c r="Y215" s="7"/>
      <c r="Z215" s="7"/>
      <c r="AA215" s="11"/>
      <c r="AB215" s="7"/>
      <c r="AC215" s="8"/>
      <c r="AD215" s="2"/>
      <c r="AE215" s="7"/>
      <c r="AG215" s="2"/>
      <c r="AH215" s="2"/>
      <c r="AI215" s="2"/>
      <c r="AJ215" s="8"/>
      <c r="AK215" s="10"/>
      <c r="AL215" s="12"/>
      <c r="AM215" s="10"/>
      <c r="AN215" s="12"/>
      <c r="AO215" s="5"/>
      <c r="AP215" s="11"/>
      <c r="AQ215" s="5"/>
      <c r="AR215" s="8"/>
    </row>
    <row r="216" ht="15" customHeight="1" spans="1:44">
      <c r="A216" s="2"/>
      <c r="B216" s="36"/>
      <c r="C216" s="10"/>
      <c r="D216" s="6"/>
      <c r="E216" s="10"/>
      <c r="F216" s="8"/>
      <c r="G216" s="8"/>
      <c r="H216" s="2"/>
      <c r="I216" s="15"/>
      <c r="J216" s="10"/>
      <c r="K216" s="5"/>
      <c r="L216" s="8"/>
      <c r="M216" s="23"/>
      <c r="N216" s="10"/>
      <c r="O216" s="10"/>
      <c r="P216" s="5"/>
      <c r="Q216" s="2"/>
      <c r="R216" s="2"/>
      <c r="S216" s="2"/>
      <c r="T216" s="2"/>
      <c r="U216" s="7"/>
      <c r="V216" s="7"/>
      <c r="W216" s="24"/>
      <c r="X216" s="5"/>
      <c r="Y216" s="7"/>
      <c r="Z216" s="7"/>
      <c r="AA216" s="11"/>
      <c r="AB216" s="7"/>
      <c r="AC216" s="8"/>
      <c r="AD216" s="2"/>
      <c r="AE216" s="7"/>
      <c r="AG216" s="2"/>
      <c r="AH216" s="2"/>
      <c r="AI216" s="2"/>
      <c r="AJ216" s="8"/>
      <c r="AK216" s="10"/>
      <c r="AL216" s="12"/>
      <c r="AM216" s="10"/>
      <c r="AN216" s="12"/>
      <c r="AO216" s="5"/>
      <c r="AP216" s="11"/>
      <c r="AQ216" s="5"/>
      <c r="AR216" s="8"/>
    </row>
    <row r="217" ht="15" customHeight="1" spans="1:44">
      <c r="A217" s="2"/>
      <c r="B217" s="36"/>
      <c r="C217" s="10"/>
      <c r="D217" s="6"/>
      <c r="E217" s="10"/>
      <c r="F217" s="8"/>
      <c r="G217" s="8"/>
      <c r="H217" s="2"/>
      <c r="I217" s="15"/>
      <c r="J217" s="10"/>
      <c r="K217" s="5"/>
      <c r="L217" s="8"/>
      <c r="M217" s="23"/>
      <c r="N217" s="10"/>
      <c r="O217" s="10"/>
      <c r="P217" s="5"/>
      <c r="Q217" s="2"/>
      <c r="R217" s="2"/>
      <c r="S217" s="2"/>
      <c r="T217" s="2"/>
      <c r="U217" s="7"/>
      <c r="V217" s="7"/>
      <c r="W217" s="24"/>
      <c r="X217" s="5"/>
      <c r="Y217" s="7"/>
      <c r="Z217" s="7"/>
      <c r="AA217" s="11"/>
      <c r="AB217" s="7"/>
      <c r="AC217" s="8"/>
      <c r="AD217" s="2"/>
      <c r="AE217" s="7"/>
      <c r="AG217" s="2"/>
      <c r="AH217" s="2"/>
      <c r="AI217" s="2"/>
      <c r="AJ217" s="8"/>
      <c r="AK217" s="10"/>
      <c r="AL217" s="12"/>
      <c r="AM217" s="10"/>
      <c r="AN217" s="12"/>
      <c r="AO217" s="5"/>
      <c r="AP217" s="11"/>
      <c r="AQ217" s="5"/>
      <c r="AR217" s="8"/>
    </row>
    <row r="218" ht="15" customHeight="1" spans="1:44">
      <c r="A218" s="2"/>
      <c r="B218" s="36"/>
      <c r="C218" s="10"/>
      <c r="D218" s="6"/>
      <c r="E218" s="10"/>
      <c r="F218" s="8"/>
      <c r="G218" s="8"/>
      <c r="H218" s="2"/>
      <c r="I218" s="15"/>
      <c r="J218" s="10"/>
      <c r="K218" s="5"/>
      <c r="L218" s="8"/>
      <c r="M218" s="23"/>
      <c r="N218" s="10"/>
      <c r="O218" s="10"/>
      <c r="P218" s="5"/>
      <c r="Q218" s="2"/>
      <c r="R218" s="2"/>
      <c r="S218" s="2"/>
      <c r="T218" s="2"/>
      <c r="U218" s="7"/>
      <c r="V218" s="7"/>
      <c r="W218" s="24"/>
      <c r="X218" s="5"/>
      <c r="Y218" s="7"/>
      <c r="Z218" s="7"/>
      <c r="AA218" s="11"/>
      <c r="AB218" s="7"/>
      <c r="AC218" s="8"/>
      <c r="AD218" s="2"/>
      <c r="AE218" s="7"/>
      <c r="AG218" s="2"/>
      <c r="AH218" s="2"/>
      <c r="AI218" s="2"/>
      <c r="AJ218" s="8"/>
      <c r="AK218" s="10"/>
      <c r="AL218" s="12"/>
      <c r="AM218" s="10"/>
      <c r="AN218" s="12"/>
      <c r="AO218" s="5"/>
      <c r="AP218" s="11"/>
      <c r="AQ218" s="5"/>
      <c r="AR218" s="8"/>
    </row>
    <row r="219" ht="15" customHeight="1" spans="1:44">
      <c r="A219" s="2"/>
      <c r="B219" s="36"/>
      <c r="C219" s="10"/>
      <c r="D219" s="6"/>
      <c r="E219" s="10"/>
      <c r="F219" s="8"/>
      <c r="G219" s="8"/>
      <c r="H219" s="2"/>
      <c r="I219" s="15"/>
      <c r="J219" s="10"/>
      <c r="K219" s="5"/>
      <c r="L219" s="8"/>
      <c r="M219" s="23"/>
      <c r="N219" s="10"/>
      <c r="O219" s="10"/>
      <c r="P219" s="5"/>
      <c r="Q219" s="2"/>
      <c r="R219" s="2"/>
      <c r="S219" s="2"/>
      <c r="T219" s="2"/>
      <c r="U219" s="7"/>
      <c r="V219" s="7"/>
      <c r="W219" s="24"/>
      <c r="X219" s="5"/>
      <c r="Y219" s="7"/>
      <c r="Z219" s="7"/>
      <c r="AA219" s="11"/>
      <c r="AB219" s="7"/>
      <c r="AC219" s="8"/>
      <c r="AD219" s="2"/>
      <c r="AE219" s="7"/>
      <c r="AG219" s="2"/>
      <c r="AH219" s="2"/>
      <c r="AI219" s="2"/>
      <c r="AJ219" s="8"/>
      <c r="AK219" s="10"/>
      <c r="AL219" s="12"/>
      <c r="AM219" s="10"/>
      <c r="AN219" s="12"/>
      <c r="AO219" s="5"/>
      <c r="AP219" s="11"/>
      <c r="AQ219" s="5"/>
      <c r="AR219" s="8"/>
    </row>
    <row r="220" ht="15" customHeight="1" spans="1:44">
      <c r="A220" s="2"/>
      <c r="B220" s="36"/>
      <c r="C220" s="10"/>
      <c r="D220" s="6"/>
      <c r="E220" s="10"/>
      <c r="F220" s="8"/>
      <c r="G220" s="8"/>
      <c r="H220" s="2"/>
      <c r="I220" s="15"/>
      <c r="J220" s="10"/>
      <c r="K220" s="5"/>
      <c r="L220" s="8"/>
      <c r="M220" s="23"/>
      <c r="N220" s="10"/>
      <c r="O220" s="10"/>
      <c r="P220" s="5"/>
      <c r="Q220" s="2"/>
      <c r="R220" s="2"/>
      <c r="S220" s="2"/>
      <c r="T220" s="2"/>
      <c r="U220" s="7"/>
      <c r="V220" s="7"/>
      <c r="W220" s="24"/>
      <c r="X220" s="5"/>
      <c r="Y220" s="7"/>
      <c r="Z220" s="7"/>
      <c r="AA220" s="11"/>
      <c r="AB220" s="7"/>
      <c r="AC220" s="8"/>
      <c r="AD220" s="2"/>
      <c r="AE220" s="7"/>
      <c r="AG220" s="2"/>
      <c r="AH220" s="2"/>
      <c r="AI220" s="2"/>
      <c r="AJ220" s="8"/>
      <c r="AK220" s="10"/>
      <c r="AL220" s="12"/>
      <c r="AM220" s="10"/>
      <c r="AN220" s="12"/>
      <c r="AO220" s="5"/>
      <c r="AP220" s="11"/>
      <c r="AQ220" s="5"/>
      <c r="AR220" s="8"/>
    </row>
    <row r="221" ht="15" customHeight="1" spans="1:44">
      <c r="A221" s="2"/>
      <c r="B221" s="36"/>
      <c r="C221" s="10"/>
      <c r="D221" s="6"/>
      <c r="E221" s="10"/>
      <c r="F221" s="8"/>
      <c r="G221" s="8"/>
      <c r="H221" s="2"/>
      <c r="I221" s="15"/>
      <c r="J221" s="10"/>
      <c r="K221" s="5"/>
      <c r="L221" s="8"/>
      <c r="M221" s="23"/>
      <c r="N221" s="10"/>
      <c r="O221" s="10"/>
      <c r="P221" s="5"/>
      <c r="Q221" s="2"/>
      <c r="R221" s="2"/>
      <c r="S221" s="2"/>
      <c r="T221" s="2"/>
      <c r="U221" s="7"/>
      <c r="V221" s="7"/>
      <c r="W221" s="24"/>
      <c r="X221" s="5"/>
      <c r="Y221" s="7"/>
      <c r="Z221" s="7"/>
      <c r="AA221" s="11"/>
      <c r="AB221" s="7"/>
      <c r="AC221" s="8"/>
      <c r="AD221" s="2"/>
      <c r="AE221" s="7"/>
      <c r="AG221" s="2"/>
      <c r="AH221" s="2"/>
      <c r="AI221" s="2"/>
      <c r="AJ221" s="8"/>
      <c r="AK221" s="10"/>
      <c r="AL221" s="12"/>
      <c r="AM221" s="10"/>
      <c r="AN221" s="12"/>
      <c r="AO221" s="5"/>
      <c r="AP221" s="11"/>
      <c r="AQ221" s="5"/>
      <c r="AR221" s="8"/>
    </row>
    <row r="222" ht="15" customHeight="1" spans="1:44">
      <c r="A222" s="2"/>
      <c r="B222" s="36"/>
      <c r="C222" s="10"/>
      <c r="D222" s="6"/>
      <c r="E222" s="10"/>
      <c r="F222" s="8"/>
      <c r="G222" s="8"/>
      <c r="H222" s="2"/>
      <c r="I222" s="15"/>
      <c r="J222" s="10"/>
      <c r="K222" s="5"/>
      <c r="L222" s="8"/>
      <c r="M222" s="23"/>
      <c r="N222" s="10"/>
      <c r="O222" s="10"/>
      <c r="P222" s="5"/>
      <c r="Q222" s="2"/>
      <c r="R222" s="2"/>
      <c r="S222" s="2"/>
      <c r="T222" s="2"/>
      <c r="U222" s="7"/>
      <c r="V222" s="7"/>
      <c r="W222" s="24"/>
      <c r="X222" s="5"/>
      <c r="Y222" s="7"/>
      <c r="Z222" s="7"/>
      <c r="AA222" s="11"/>
      <c r="AB222" s="7"/>
      <c r="AC222" s="8"/>
      <c r="AD222" s="2"/>
      <c r="AE222" s="7"/>
      <c r="AG222" s="2"/>
      <c r="AH222" s="2"/>
      <c r="AI222" s="2"/>
      <c r="AJ222" s="8"/>
      <c r="AK222" s="10"/>
      <c r="AL222" s="12"/>
      <c r="AM222" s="10"/>
      <c r="AN222" s="12"/>
      <c r="AO222" s="5"/>
      <c r="AP222" s="11"/>
      <c r="AQ222" s="5"/>
      <c r="AR222" s="8"/>
    </row>
    <row r="223" ht="15" customHeight="1" spans="1:44">
      <c r="A223" s="2"/>
      <c r="B223" s="36"/>
      <c r="C223" s="10"/>
      <c r="D223" s="6"/>
      <c r="E223" s="10"/>
      <c r="F223" s="8"/>
      <c r="G223" s="8"/>
      <c r="H223" s="2"/>
      <c r="I223" s="15"/>
      <c r="J223" s="10"/>
      <c r="K223" s="5"/>
      <c r="L223" s="8"/>
      <c r="M223" s="23"/>
      <c r="N223" s="10"/>
      <c r="O223" s="10"/>
      <c r="P223" s="5"/>
      <c r="Q223" s="2"/>
      <c r="R223" s="2"/>
      <c r="S223" s="2"/>
      <c r="T223" s="2"/>
      <c r="U223" s="7"/>
      <c r="V223" s="7"/>
      <c r="W223" s="24"/>
      <c r="X223" s="5"/>
      <c r="Y223" s="7"/>
      <c r="Z223" s="7"/>
      <c r="AA223" s="11"/>
      <c r="AB223" s="7"/>
      <c r="AC223" s="8"/>
      <c r="AD223" s="2"/>
      <c r="AE223" s="7"/>
      <c r="AG223" s="2"/>
      <c r="AH223" s="2"/>
      <c r="AI223" s="2"/>
      <c r="AJ223" s="8"/>
      <c r="AK223" s="10"/>
      <c r="AL223" s="12"/>
      <c r="AM223" s="10"/>
      <c r="AN223" s="12"/>
      <c r="AO223" s="5"/>
      <c r="AP223" s="11"/>
      <c r="AQ223" s="5"/>
      <c r="AR223" s="8"/>
    </row>
    <row r="224" ht="15" customHeight="1" spans="1:44">
      <c r="A224" s="2"/>
      <c r="B224" s="36"/>
      <c r="C224" s="10"/>
      <c r="D224" s="6"/>
      <c r="E224" s="10"/>
      <c r="F224" s="8"/>
      <c r="G224" s="8"/>
      <c r="H224" s="2"/>
      <c r="I224" s="15"/>
      <c r="J224" s="10"/>
      <c r="K224" s="5"/>
      <c r="L224" s="8"/>
      <c r="M224" s="23"/>
      <c r="N224" s="10"/>
      <c r="O224" s="10"/>
      <c r="P224" s="5"/>
      <c r="Q224" s="2"/>
      <c r="R224" s="2"/>
      <c r="S224" s="2"/>
      <c r="T224" s="2"/>
      <c r="U224" s="7"/>
      <c r="V224" s="7"/>
      <c r="W224" s="24"/>
      <c r="X224" s="5"/>
      <c r="Y224" s="7"/>
      <c r="Z224" s="7"/>
      <c r="AA224" s="11"/>
      <c r="AB224" s="7"/>
      <c r="AC224" s="8"/>
      <c r="AD224" s="2"/>
      <c r="AE224" s="7"/>
      <c r="AG224" s="2"/>
      <c r="AH224" s="2"/>
      <c r="AI224" s="2"/>
      <c r="AJ224" s="8"/>
      <c r="AK224" s="10"/>
      <c r="AL224" s="12"/>
      <c r="AM224" s="10"/>
      <c r="AN224" s="12"/>
      <c r="AO224" s="5"/>
      <c r="AP224" s="11"/>
      <c r="AQ224" s="5"/>
      <c r="AR224" s="8"/>
    </row>
    <row r="225" ht="15" customHeight="1" spans="1:44">
      <c r="A225" s="2"/>
      <c r="B225" s="36"/>
      <c r="C225" s="10"/>
      <c r="D225" s="6"/>
      <c r="E225" s="10"/>
      <c r="F225" s="8"/>
      <c r="G225" s="8"/>
      <c r="H225" s="2"/>
      <c r="I225" s="15"/>
      <c r="J225" s="10"/>
      <c r="K225" s="5"/>
      <c r="L225" s="8"/>
      <c r="M225" s="23"/>
      <c r="N225" s="10"/>
      <c r="O225" s="10"/>
      <c r="P225" s="5"/>
      <c r="Q225" s="2"/>
      <c r="R225" s="2"/>
      <c r="S225" s="2"/>
      <c r="T225" s="2"/>
      <c r="U225" s="7"/>
      <c r="V225" s="7"/>
      <c r="W225" s="24"/>
      <c r="X225" s="5"/>
      <c r="Y225" s="7"/>
      <c r="Z225" s="7"/>
      <c r="AA225" s="11"/>
      <c r="AB225" s="7"/>
      <c r="AC225" s="8"/>
      <c r="AD225" s="2"/>
      <c r="AE225" s="7"/>
      <c r="AG225" s="2"/>
      <c r="AH225" s="2"/>
      <c r="AI225" s="2"/>
      <c r="AJ225" s="8"/>
      <c r="AK225" s="10"/>
      <c r="AL225" s="12"/>
      <c r="AM225" s="10"/>
      <c r="AN225" s="12"/>
      <c r="AO225" s="5"/>
      <c r="AP225" s="11"/>
      <c r="AQ225" s="5"/>
      <c r="AR225" s="8"/>
    </row>
    <row r="226" ht="15" customHeight="1" spans="1:44">
      <c r="A226" s="2"/>
      <c r="B226" s="36"/>
      <c r="C226" s="10"/>
      <c r="D226" s="6"/>
      <c r="E226" s="10"/>
      <c r="F226" s="8"/>
      <c r="G226" s="8"/>
      <c r="H226" s="2"/>
      <c r="I226" s="15"/>
      <c r="J226" s="10"/>
      <c r="K226" s="5"/>
      <c r="L226" s="8"/>
      <c r="M226" s="23"/>
      <c r="N226" s="10"/>
      <c r="O226" s="10"/>
      <c r="P226" s="5"/>
      <c r="Q226" s="2"/>
      <c r="R226" s="2"/>
      <c r="S226" s="2"/>
      <c r="T226" s="2"/>
      <c r="U226" s="7"/>
      <c r="V226" s="7"/>
      <c r="W226" s="24"/>
      <c r="X226" s="5"/>
      <c r="Y226" s="7"/>
      <c r="Z226" s="7"/>
      <c r="AA226" s="11"/>
      <c r="AB226" s="7"/>
      <c r="AC226" s="8"/>
      <c r="AD226" s="2"/>
      <c r="AE226" s="7"/>
      <c r="AG226" s="2"/>
      <c r="AH226" s="2"/>
      <c r="AI226" s="2"/>
      <c r="AJ226" s="8"/>
      <c r="AK226" s="10"/>
      <c r="AL226" s="12"/>
      <c r="AM226" s="10"/>
      <c r="AN226" s="12"/>
      <c r="AO226" s="5"/>
      <c r="AP226" s="11"/>
      <c r="AQ226" s="5"/>
      <c r="AR226" s="8"/>
    </row>
    <row r="227" ht="15" customHeight="1" spans="1:44">
      <c r="A227" s="2"/>
      <c r="B227" s="36"/>
      <c r="C227" s="10"/>
      <c r="D227" s="6"/>
      <c r="E227" s="10"/>
      <c r="F227" s="8"/>
      <c r="G227" s="8"/>
      <c r="H227" s="2"/>
      <c r="I227" s="15"/>
      <c r="J227" s="10"/>
      <c r="K227" s="5"/>
      <c r="L227" s="8"/>
      <c r="M227" s="23"/>
      <c r="N227" s="10"/>
      <c r="O227" s="10"/>
      <c r="P227" s="5"/>
      <c r="Q227" s="2"/>
      <c r="R227" s="2"/>
      <c r="S227" s="2"/>
      <c r="T227" s="2"/>
      <c r="U227" s="7"/>
      <c r="V227" s="7"/>
      <c r="W227" s="24"/>
      <c r="X227" s="5"/>
      <c r="Y227" s="7"/>
      <c r="Z227" s="7"/>
      <c r="AA227" s="11"/>
      <c r="AB227" s="7"/>
      <c r="AC227" s="8"/>
      <c r="AD227" s="2"/>
      <c r="AE227" s="7"/>
      <c r="AG227" s="2"/>
      <c r="AH227" s="2"/>
      <c r="AI227" s="2"/>
      <c r="AJ227" s="8"/>
      <c r="AK227" s="10"/>
      <c r="AL227" s="12"/>
      <c r="AM227" s="10"/>
      <c r="AN227" s="12"/>
      <c r="AO227" s="5"/>
      <c r="AP227" s="11"/>
      <c r="AQ227" s="5"/>
      <c r="AR227" s="8"/>
    </row>
    <row r="228" ht="15" customHeight="1" spans="1:44">
      <c r="A228" s="2"/>
      <c r="B228" s="36"/>
      <c r="C228" s="10"/>
      <c r="D228" s="6"/>
      <c r="E228" s="10"/>
      <c r="F228" s="8"/>
      <c r="G228" s="8"/>
      <c r="H228" s="2"/>
      <c r="I228" s="15"/>
      <c r="J228" s="10"/>
      <c r="K228" s="5"/>
      <c r="L228" s="8"/>
      <c r="M228" s="23"/>
      <c r="N228" s="10"/>
      <c r="O228" s="10"/>
      <c r="P228" s="5"/>
      <c r="Q228" s="2"/>
      <c r="R228" s="2"/>
      <c r="S228" s="2"/>
      <c r="T228" s="2"/>
      <c r="U228" s="7"/>
      <c r="V228" s="7"/>
      <c r="W228" s="24"/>
      <c r="X228" s="5"/>
      <c r="Y228" s="7"/>
      <c r="Z228" s="7"/>
      <c r="AA228" s="11"/>
      <c r="AB228" s="7"/>
      <c r="AC228" s="8"/>
      <c r="AD228" s="2"/>
      <c r="AE228" s="7"/>
      <c r="AG228" s="2"/>
      <c r="AH228" s="2"/>
      <c r="AI228" s="2"/>
      <c r="AJ228" s="8"/>
      <c r="AK228" s="10"/>
      <c r="AL228" s="12"/>
      <c r="AM228" s="10"/>
      <c r="AN228" s="12"/>
      <c r="AO228" s="5"/>
      <c r="AP228" s="11"/>
      <c r="AQ228" s="5"/>
      <c r="AR228" s="8"/>
    </row>
    <row r="229" ht="15" customHeight="1" spans="1:44">
      <c r="A229" s="2"/>
      <c r="B229" s="36"/>
      <c r="C229" s="10"/>
      <c r="D229" s="6"/>
      <c r="E229" s="10"/>
      <c r="F229" s="8"/>
      <c r="G229" s="8"/>
      <c r="H229" s="2"/>
      <c r="I229" s="15"/>
      <c r="J229" s="10"/>
      <c r="K229" s="5"/>
      <c r="L229" s="8"/>
      <c r="M229" s="23"/>
      <c r="N229" s="10"/>
      <c r="O229" s="10"/>
      <c r="P229" s="5"/>
      <c r="Q229" s="2"/>
      <c r="R229" s="2"/>
      <c r="S229" s="2"/>
      <c r="T229" s="2"/>
      <c r="U229" s="7"/>
      <c r="V229" s="7"/>
      <c r="W229" s="24"/>
      <c r="X229" s="5"/>
      <c r="Y229" s="7"/>
      <c r="Z229" s="7"/>
      <c r="AA229" s="11"/>
      <c r="AB229" s="7"/>
      <c r="AC229" s="8"/>
      <c r="AD229" s="2"/>
      <c r="AE229" s="7"/>
      <c r="AG229" s="2"/>
      <c r="AH229" s="2"/>
      <c r="AI229" s="2"/>
      <c r="AJ229" s="8"/>
      <c r="AK229" s="10"/>
      <c r="AL229" s="12"/>
      <c r="AM229" s="10"/>
      <c r="AN229" s="12"/>
      <c r="AO229" s="5"/>
      <c r="AP229" s="11"/>
      <c r="AQ229" s="5"/>
      <c r="AR229" s="8"/>
    </row>
    <row r="230" ht="15" customHeight="1" spans="1:44">
      <c r="A230" s="2"/>
      <c r="B230" s="36"/>
      <c r="C230" s="10"/>
      <c r="D230" s="6"/>
      <c r="E230" s="10"/>
      <c r="F230" s="8"/>
      <c r="G230" s="8"/>
      <c r="H230" s="2"/>
      <c r="I230" s="15"/>
      <c r="J230" s="10"/>
      <c r="K230" s="5"/>
      <c r="L230" s="8"/>
      <c r="M230" s="23"/>
      <c r="N230" s="10"/>
      <c r="O230" s="10"/>
      <c r="P230" s="5"/>
      <c r="Q230" s="2"/>
      <c r="R230" s="2"/>
      <c r="S230" s="2"/>
      <c r="T230" s="2"/>
      <c r="U230" s="7"/>
      <c r="V230" s="7"/>
      <c r="W230" s="24"/>
      <c r="X230" s="5"/>
      <c r="Y230" s="7"/>
      <c r="Z230" s="7"/>
      <c r="AA230" s="11"/>
      <c r="AB230" s="7"/>
      <c r="AC230" s="8"/>
      <c r="AD230" s="2"/>
      <c r="AE230" s="7"/>
      <c r="AG230" s="2"/>
      <c r="AH230" s="2"/>
      <c r="AI230" s="2"/>
      <c r="AJ230" s="8"/>
      <c r="AK230" s="10"/>
      <c r="AL230" s="12"/>
      <c r="AM230" s="10"/>
      <c r="AN230" s="12"/>
      <c r="AO230" s="5"/>
      <c r="AP230" s="11"/>
      <c r="AQ230" s="5"/>
      <c r="AR230" s="8"/>
    </row>
    <row r="231" ht="15" customHeight="1" spans="1:44">
      <c r="A231" s="2"/>
      <c r="B231" s="36"/>
      <c r="C231" s="10"/>
      <c r="D231" s="6"/>
      <c r="E231" s="10"/>
      <c r="F231" s="8"/>
      <c r="G231" s="8"/>
      <c r="H231" s="2"/>
      <c r="I231" s="15"/>
      <c r="J231" s="10"/>
      <c r="K231" s="5"/>
      <c r="L231" s="8"/>
      <c r="M231" s="23"/>
      <c r="N231" s="10"/>
      <c r="O231" s="10"/>
      <c r="P231" s="5"/>
      <c r="Q231" s="2"/>
      <c r="R231" s="2"/>
      <c r="S231" s="2"/>
      <c r="T231" s="2"/>
      <c r="U231" s="7"/>
      <c r="V231" s="7"/>
      <c r="W231" s="24"/>
      <c r="X231" s="5"/>
      <c r="Y231" s="7"/>
      <c r="Z231" s="7"/>
      <c r="AA231" s="11"/>
      <c r="AB231" s="7"/>
      <c r="AC231" s="8"/>
      <c r="AD231" s="2"/>
      <c r="AE231" s="7"/>
      <c r="AG231" s="2"/>
      <c r="AH231" s="2"/>
      <c r="AI231" s="2"/>
      <c r="AJ231" s="8"/>
      <c r="AK231" s="10"/>
      <c r="AL231" s="12"/>
      <c r="AM231" s="10"/>
      <c r="AN231" s="12"/>
      <c r="AO231" s="5"/>
      <c r="AP231" s="11"/>
      <c r="AQ231" s="5"/>
      <c r="AR231" s="8"/>
    </row>
  </sheetData>
  <conditionalFormatting sqref="G38">
    <cfRule type="expression" dxfId="0" priority="586">
      <formula>$G38="禁止开仓"</formula>
    </cfRule>
    <cfRule type="expression" dxfId="1" priority="587">
      <formula>$G38="允许开仓"</formula>
    </cfRule>
    <cfRule type="expression" dxfId="0" priority="588">
      <formula>LEFT($G38,4)="禁止开仓"</formula>
    </cfRule>
    <cfRule type="expression" dxfId="2" priority="589">
      <formula>$G38="允许开仓（接近锁仓）"</formula>
    </cfRule>
    <cfRule type="expression" dxfId="1" priority="590">
      <formula>$G38="允许开仓"</formula>
    </cfRule>
  </conditionalFormatting>
  <conditionalFormatting sqref="W38">
    <cfRule type="cellIs" dxfId="2" priority="579" operator="lessThan">
      <formula>2</formula>
    </cfRule>
  </conditionalFormatting>
  <conditionalFormatting sqref="X38">
    <cfRule type="cellIs" dxfId="1" priority="577" operator="greaterThan">
      <formula>0</formula>
    </cfRule>
    <cfRule type="cellIs" dxfId="0" priority="578" operator="lessThan">
      <formula>0</formula>
    </cfRule>
  </conditionalFormatting>
  <conditionalFormatting sqref="Y38">
    <cfRule type="cellIs" dxfId="1" priority="582" operator="greaterThan">
      <formula>0</formula>
    </cfRule>
    <cfRule type="cellIs" dxfId="0" priority="583" operator="lessThan">
      <formula>0</formula>
    </cfRule>
  </conditionalFormatting>
  <conditionalFormatting sqref="AC38">
    <cfRule type="expression" dxfId="0" priority="580">
      <formula>$AC38="达到或超过上限"</formula>
    </cfRule>
    <cfRule type="expression" dxfId="1" priority="581">
      <formula>$AC38="低于上限"</formula>
    </cfRule>
  </conditionalFormatting>
  <conditionalFormatting sqref="AE38">
    <cfRule type="cellIs" dxfId="1" priority="584" operator="greaterThan">
      <formula>0</formula>
    </cfRule>
    <cfRule type="cellIs" dxfId="0" priority="585" operator="lessThan">
      <formula>0</formula>
    </cfRule>
  </conditionalFormatting>
  <conditionalFormatting sqref="AJ38">
    <cfRule type="expression" dxfId="2" priority="591">
      <formula>$AJ38="周期与交易预期不匹配，请重新确认"</formula>
    </cfRule>
    <cfRule type="expression" dxfId="1" priority="592">
      <formula>$AJ38="匹配"</formula>
    </cfRule>
  </conditionalFormatting>
  <conditionalFormatting sqref="AR38">
    <cfRule type="expression" dxfId="0" priority="593">
      <formula>LEFT($AR38,2)="违规"</formula>
    </cfRule>
    <cfRule type="expression" dxfId="1" priority="594">
      <formula>$AR38="通过"</formula>
    </cfRule>
  </conditionalFormatting>
  <conditionalFormatting sqref="G201">
    <cfRule type="expression" dxfId="0" priority="328">
      <formula>$G201="禁止开仓"</formula>
    </cfRule>
    <cfRule type="expression" dxfId="1" priority="359">
      <formula>$G201="允许开仓"</formula>
    </cfRule>
    <cfRule type="expression" dxfId="0" priority="390">
      <formula>LEFT($G201,4)="禁止开仓"</formula>
    </cfRule>
    <cfRule type="expression" dxfId="2" priority="421">
      <formula>$G201="允许开仓（接近锁仓）"</formula>
    </cfRule>
    <cfRule type="expression" dxfId="1" priority="452">
      <formula>$G201="允许开仓"</formula>
    </cfRule>
  </conditionalFormatting>
  <conditionalFormatting sqref="W201">
    <cfRule type="cellIs" dxfId="2" priority="111" operator="lessThan">
      <formula>2</formula>
    </cfRule>
  </conditionalFormatting>
  <conditionalFormatting sqref="X201">
    <cfRule type="cellIs" dxfId="1" priority="49" operator="greaterThan">
      <formula>0</formula>
    </cfRule>
    <cfRule type="cellIs" dxfId="0" priority="80" operator="lessThan">
      <formula>0</formula>
    </cfRule>
  </conditionalFormatting>
  <conditionalFormatting sqref="Y201">
    <cfRule type="cellIs" dxfId="1" priority="204" operator="greaterThan">
      <formula>0</formula>
    </cfRule>
    <cfRule type="cellIs" dxfId="0" priority="235" operator="lessThan">
      <formula>0</formula>
    </cfRule>
  </conditionalFormatting>
  <conditionalFormatting sqref="AC201">
    <cfRule type="expression" dxfId="0" priority="142">
      <formula>$AC201="达到或超过上限"</formula>
    </cfRule>
    <cfRule type="expression" dxfId="1" priority="173">
      <formula>$AC201="低于上限"</formula>
    </cfRule>
  </conditionalFormatting>
  <conditionalFormatting sqref="AE201">
    <cfRule type="cellIs" dxfId="1" priority="266" operator="greaterThan">
      <formula>0</formula>
    </cfRule>
    <cfRule type="cellIs" dxfId="0" priority="297" operator="lessThan">
      <formula>0</formula>
    </cfRule>
  </conditionalFormatting>
  <conditionalFormatting sqref="AJ201">
    <cfRule type="expression" dxfId="2" priority="483">
      <formula>$AJ201="周期与交易预期不匹配，请重新确认"</formula>
    </cfRule>
    <cfRule type="expression" dxfId="1" priority="514">
      <formula>$AJ201="匹配"</formula>
    </cfRule>
  </conditionalFormatting>
  <conditionalFormatting sqref="AR201">
    <cfRule type="expression" dxfId="0" priority="545">
      <formula>LEFT($AR201,2)="违规"</formula>
    </cfRule>
    <cfRule type="expression" dxfId="1" priority="576">
      <formula>$AR201="通过"</formula>
    </cfRule>
  </conditionalFormatting>
  <conditionalFormatting sqref="G202">
    <cfRule type="expression" dxfId="0" priority="327">
      <formula>$G202="禁止开仓"</formula>
    </cfRule>
    <cfRule type="expression" dxfId="1" priority="358">
      <formula>$G202="允许开仓"</formula>
    </cfRule>
    <cfRule type="expression" dxfId="0" priority="389">
      <formula>LEFT($G202,4)="禁止开仓"</formula>
    </cfRule>
    <cfRule type="expression" dxfId="2" priority="420">
      <formula>$G202="允许开仓（接近锁仓）"</formula>
    </cfRule>
    <cfRule type="expression" dxfId="1" priority="451">
      <formula>$G202="允许开仓"</formula>
    </cfRule>
  </conditionalFormatting>
  <conditionalFormatting sqref="W202">
    <cfRule type="cellIs" dxfId="2" priority="110" operator="lessThan">
      <formula>2</formula>
    </cfRule>
  </conditionalFormatting>
  <conditionalFormatting sqref="X202">
    <cfRule type="cellIs" dxfId="1" priority="48" operator="greaterThan">
      <formula>0</formula>
    </cfRule>
    <cfRule type="cellIs" dxfId="0" priority="79" operator="lessThan">
      <formula>0</formula>
    </cfRule>
  </conditionalFormatting>
  <conditionalFormatting sqref="Y202">
    <cfRule type="cellIs" dxfId="1" priority="203" operator="greaterThan">
      <formula>0</formula>
    </cfRule>
    <cfRule type="cellIs" dxfId="0" priority="234" operator="lessThan">
      <formula>0</formula>
    </cfRule>
  </conditionalFormatting>
  <conditionalFormatting sqref="AC202">
    <cfRule type="expression" dxfId="0" priority="141">
      <formula>$AC202="达到或超过上限"</formula>
    </cfRule>
    <cfRule type="expression" dxfId="1" priority="172">
      <formula>$AC202="低于上限"</formula>
    </cfRule>
  </conditionalFormatting>
  <conditionalFormatting sqref="AE202">
    <cfRule type="cellIs" dxfId="1" priority="265" operator="greaterThan">
      <formula>0</formula>
    </cfRule>
    <cfRule type="cellIs" dxfId="0" priority="296" operator="lessThan">
      <formula>0</formula>
    </cfRule>
  </conditionalFormatting>
  <conditionalFormatting sqref="AJ202">
    <cfRule type="expression" dxfId="2" priority="482">
      <formula>$AJ202="周期与交易预期不匹配，请重新确认"</formula>
    </cfRule>
    <cfRule type="expression" dxfId="1" priority="513">
      <formula>$AJ202="匹配"</formula>
    </cfRule>
  </conditionalFormatting>
  <conditionalFormatting sqref="AR202">
    <cfRule type="expression" dxfId="0" priority="544">
      <formula>LEFT($AR202,2)="违规"</formula>
    </cfRule>
    <cfRule type="expression" dxfId="1" priority="575">
      <formula>$AR202="通过"</formula>
    </cfRule>
  </conditionalFormatting>
  <conditionalFormatting sqref="G203">
    <cfRule type="expression" dxfId="0" priority="326">
      <formula>$G203="禁止开仓"</formula>
    </cfRule>
    <cfRule type="expression" dxfId="1" priority="357">
      <formula>$G203="允许开仓"</formula>
    </cfRule>
    <cfRule type="expression" dxfId="0" priority="388">
      <formula>LEFT($G203,4)="禁止开仓"</formula>
    </cfRule>
    <cfRule type="expression" dxfId="2" priority="419">
      <formula>$G203="允许开仓（接近锁仓）"</formula>
    </cfRule>
    <cfRule type="expression" dxfId="1" priority="450">
      <formula>$G203="允许开仓"</formula>
    </cfRule>
  </conditionalFormatting>
  <conditionalFormatting sqref="W203">
    <cfRule type="cellIs" dxfId="2" priority="109" operator="lessThan">
      <formula>2</formula>
    </cfRule>
  </conditionalFormatting>
  <conditionalFormatting sqref="X203">
    <cfRule type="cellIs" dxfId="1" priority="47" operator="greaterThan">
      <formula>0</formula>
    </cfRule>
    <cfRule type="cellIs" dxfId="0" priority="78" operator="lessThan">
      <formula>0</formula>
    </cfRule>
  </conditionalFormatting>
  <conditionalFormatting sqref="Y203">
    <cfRule type="cellIs" dxfId="1" priority="202" operator="greaterThan">
      <formula>0</formula>
    </cfRule>
    <cfRule type="cellIs" dxfId="0" priority="233" operator="lessThan">
      <formula>0</formula>
    </cfRule>
  </conditionalFormatting>
  <conditionalFormatting sqref="AC203">
    <cfRule type="expression" dxfId="0" priority="140">
      <formula>$AC203="达到或超过上限"</formula>
    </cfRule>
    <cfRule type="expression" dxfId="1" priority="171">
      <formula>$AC203="低于上限"</formula>
    </cfRule>
  </conditionalFormatting>
  <conditionalFormatting sqref="AE203">
    <cfRule type="cellIs" dxfId="1" priority="264" operator="greaterThan">
      <formula>0</formula>
    </cfRule>
    <cfRule type="cellIs" dxfId="0" priority="295" operator="lessThan">
      <formula>0</formula>
    </cfRule>
  </conditionalFormatting>
  <conditionalFormatting sqref="AJ203">
    <cfRule type="expression" dxfId="2" priority="481">
      <formula>$AJ203="周期与交易预期不匹配，请重新确认"</formula>
    </cfRule>
    <cfRule type="expression" dxfId="1" priority="512">
      <formula>$AJ203="匹配"</formula>
    </cfRule>
  </conditionalFormatting>
  <conditionalFormatting sqref="AR203">
    <cfRule type="expression" dxfId="0" priority="543">
      <formula>LEFT($AR203,2)="违规"</formula>
    </cfRule>
    <cfRule type="expression" dxfId="1" priority="574">
      <formula>$AR203="通过"</formula>
    </cfRule>
  </conditionalFormatting>
  <conditionalFormatting sqref="G204">
    <cfRule type="expression" dxfId="0" priority="325">
      <formula>$G204="禁止开仓"</formula>
    </cfRule>
    <cfRule type="expression" dxfId="1" priority="356">
      <formula>$G204="允许开仓"</formula>
    </cfRule>
    <cfRule type="expression" dxfId="0" priority="387">
      <formula>LEFT($G204,4)="禁止开仓"</formula>
    </cfRule>
    <cfRule type="expression" dxfId="2" priority="418">
      <formula>$G204="允许开仓（接近锁仓）"</formula>
    </cfRule>
    <cfRule type="expression" dxfId="1" priority="449">
      <formula>$G204="允许开仓"</formula>
    </cfRule>
  </conditionalFormatting>
  <conditionalFormatting sqref="W204">
    <cfRule type="cellIs" dxfId="2" priority="108" operator="lessThan">
      <formula>2</formula>
    </cfRule>
  </conditionalFormatting>
  <conditionalFormatting sqref="X204">
    <cfRule type="cellIs" dxfId="1" priority="46" operator="greaterThan">
      <formula>0</formula>
    </cfRule>
    <cfRule type="cellIs" dxfId="0" priority="77" operator="lessThan">
      <formula>0</formula>
    </cfRule>
  </conditionalFormatting>
  <conditionalFormatting sqref="Y204">
    <cfRule type="cellIs" dxfId="1" priority="201" operator="greaterThan">
      <formula>0</formula>
    </cfRule>
    <cfRule type="cellIs" dxfId="0" priority="232" operator="lessThan">
      <formula>0</formula>
    </cfRule>
  </conditionalFormatting>
  <conditionalFormatting sqref="AC204">
    <cfRule type="expression" dxfId="0" priority="139">
      <formula>$AC204="达到或超过上限"</formula>
    </cfRule>
    <cfRule type="expression" dxfId="1" priority="170">
      <formula>$AC204="低于上限"</formula>
    </cfRule>
  </conditionalFormatting>
  <conditionalFormatting sqref="AE204">
    <cfRule type="cellIs" dxfId="1" priority="263" operator="greaterThan">
      <formula>0</formula>
    </cfRule>
    <cfRule type="cellIs" dxfId="0" priority="294" operator="lessThan">
      <formula>0</formula>
    </cfRule>
  </conditionalFormatting>
  <conditionalFormatting sqref="AJ204">
    <cfRule type="expression" dxfId="2" priority="480">
      <formula>$AJ204="周期与交易预期不匹配，请重新确认"</formula>
    </cfRule>
    <cfRule type="expression" dxfId="1" priority="511">
      <formula>$AJ204="匹配"</formula>
    </cfRule>
  </conditionalFormatting>
  <conditionalFormatting sqref="AR204">
    <cfRule type="expression" dxfId="0" priority="542">
      <formula>LEFT($AR204,2)="违规"</formula>
    </cfRule>
    <cfRule type="expression" dxfId="1" priority="573">
      <formula>$AR204="通过"</formula>
    </cfRule>
  </conditionalFormatting>
  <conditionalFormatting sqref="G205">
    <cfRule type="expression" dxfId="0" priority="324">
      <formula>$G205="禁止开仓"</formula>
    </cfRule>
    <cfRule type="expression" dxfId="1" priority="355">
      <formula>$G205="允许开仓"</formula>
    </cfRule>
    <cfRule type="expression" dxfId="0" priority="386">
      <formula>LEFT($G205,4)="禁止开仓"</formula>
    </cfRule>
    <cfRule type="expression" dxfId="2" priority="417">
      <formula>$G205="允许开仓（接近锁仓）"</formula>
    </cfRule>
    <cfRule type="expression" dxfId="1" priority="448">
      <formula>$G205="允许开仓"</formula>
    </cfRule>
  </conditionalFormatting>
  <conditionalFormatting sqref="W205">
    <cfRule type="cellIs" dxfId="2" priority="107" operator="lessThan">
      <formula>2</formula>
    </cfRule>
  </conditionalFormatting>
  <conditionalFormatting sqref="X205">
    <cfRule type="cellIs" dxfId="1" priority="45" operator="greaterThan">
      <formula>0</formula>
    </cfRule>
    <cfRule type="cellIs" dxfId="0" priority="76" operator="lessThan">
      <formula>0</formula>
    </cfRule>
  </conditionalFormatting>
  <conditionalFormatting sqref="Y205">
    <cfRule type="cellIs" dxfId="1" priority="200" operator="greaterThan">
      <formula>0</formula>
    </cfRule>
    <cfRule type="cellIs" dxfId="0" priority="231" operator="lessThan">
      <formula>0</formula>
    </cfRule>
  </conditionalFormatting>
  <conditionalFormatting sqref="AC205">
    <cfRule type="expression" dxfId="0" priority="138">
      <formula>$AC205="达到或超过上限"</formula>
    </cfRule>
    <cfRule type="expression" dxfId="1" priority="169">
      <formula>$AC205="低于上限"</formula>
    </cfRule>
  </conditionalFormatting>
  <conditionalFormatting sqref="AE205">
    <cfRule type="cellIs" dxfId="1" priority="262" operator="greaterThan">
      <formula>0</formula>
    </cfRule>
    <cfRule type="cellIs" dxfId="0" priority="293" operator="lessThan">
      <formula>0</formula>
    </cfRule>
  </conditionalFormatting>
  <conditionalFormatting sqref="AJ205">
    <cfRule type="expression" dxfId="2" priority="479">
      <formula>$AJ205="周期与交易预期不匹配，请重新确认"</formula>
    </cfRule>
    <cfRule type="expression" dxfId="1" priority="510">
      <formula>$AJ205="匹配"</formula>
    </cfRule>
  </conditionalFormatting>
  <conditionalFormatting sqref="AR205">
    <cfRule type="expression" dxfId="0" priority="541">
      <formula>LEFT($AR205,2)="违规"</formula>
    </cfRule>
    <cfRule type="expression" dxfId="1" priority="572">
      <formula>$AR205="通过"</formula>
    </cfRule>
  </conditionalFormatting>
  <conditionalFormatting sqref="G206">
    <cfRule type="expression" dxfId="0" priority="323">
      <formula>$G206="禁止开仓"</formula>
    </cfRule>
    <cfRule type="expression" dxfId="1" priority="354">
      <formula>$G206="允许开仓"</formula>
    </cfRule>
    <cfRule type="expression" dxfId="0" priority="385">
      <formula>LEFT($G206,4)="禁止开仓"</formula>
    </cfRule>
    <cfRule type="expression" dxfId="2" priority="416">
      <formula>$G206="允许开仓（接近锁仓）"</formula>
    </cfRule>
    <cfRule type="expression" dxfId="1" priority="447">
      <formula>$G206="允许开仓"</formula>
    </cfRule>
  </conditionalFormatting>
  <conditionalFormatting sqref="W206">
    <cfRule type="cellIs" dxfId="2" priority="106" operator="lessThan">
      <formula>2</formula>
    </cfRule>
  </conditionalFormatting>
  <conditionalFormatting sqref="X206">
    <cfRule type="cellIs" dxfId="1" priority="44" operator="greaterThan">
      <formula>0</formula>
    </cfRule>
    <cfRule type="cellIs" dxfId="0" priority="75" operator="lessThan">
      <formula>0</formula>
    </cfRule>
  </conditionalFormatting>
  <conditionalFormatting sqref="Y206">
    <cfRule type="cellIs" dxfId="1" priority="199" operator="greaterThan">
      <formula>0</formula>
    </cfRule>
    <cfRule type="cellIs" dxfId="0" priority="230" operator="lessThan">
      <formula>0</formula>
    </cfRule>
  </conditionalFormatting>
  <conditionalFormatting sqref="AC206">
    <cfRule type="expression" dxfId="0" priority="137">
      <formula>$AC206="达到或超过上限"</formula>
    </cfRule>
    <cfRule type="expression" dxfId="1" priority="168">
      <formula>$AC206="低于上限"</formula>
    </cfRule>
  </conditionalFormatting>
  <conditionalFormatting sqref="AE206">
    <cfRule type="cellIs" dxfId="1" priority="261" operator="greaterThan">
      <formula>0</formula>
    </cfRule>
    <cfRule type="cellIs" dxfId="0" priority="292" operator="lessThan">
      <formula>0</formula>
    </cfRule>
  </conditionalFormatting>
  <conditionalFormatting sqref="AJ206">
    <cfRule type="expression" dxfId="2" priority="478">
      <formula>$AJ206="周期与交易预期不匹配，请重新确认"</formula>
    </cfRule>
    <cfRule type="expression" dxfId="1" priority="509">
      <formula>$AJ206="匹配"</formula>
    </cfRule>
  </conditionalFormatting>
  <conditionalFormatting sqref="AR206">
    <cfRule type="expression" dxfId="0" priority="540">
      <formula>LEFT($AR206,2)="违规"</formula>
    </cfRule>
    <cfRule type="expression" dxfId="1" priority="571">
      <formula>$AR206="通过"</formula>
    </cfRule>
  </conditionalFormatting>
  <conditionalFormatting sqref="G207">
    <cfRule type="expression" dxfId="0" priority="322">
      <formula>$G207="禁止开仓"</formula>
    </cfRule>
    <cfRule type="expression" dxfId="1" priority="353">
      <formula>$G207="允许开仓"</formula>
    </cfRule>
    <cfRule type="expression" dxfId="0" priority="384">
      <formula>LEFT($G207,4)="禁止开仓"</formula>
    </cfRule>
    <cfRule type="expression" dxfId="2" priority="415">
      <formula>$G207="允许开仓（接近锁仓）"</formula>
    </cfRule>
    <cfRule type="expression" dxfId="1" priority="446">
      <formula>$G207="允许开仓"</formula>
    </cfRule>
  </conditionalFormatting>
  <conditionalFormatting sqref="W207">
    <cfRule type="cellIs" dxfId="2" priority="105" operator="lessThan">
      <formula>2</formula>
    </cfRule>
  </conditionalFormatting>
  <conditionalFormatting sqref="X207">
    <cfRule type="cellIs" dxfId="1" priority="43" operator="greaterThan">
      <formula>0</formula>
    </cfRule>
    <cfRule type="cellIs" dxfId="0" priority="74" operator="lessThan">
      <formula>0</formula>
    </cfRule>
  </conditionalFormatting>
  <conditionalFormatting sqref="Y207">
    <cfRule type="cellIs" dxfId="1" priority="198" operator="greaterThan">
      <formula>0</formula>
    </cfRule>
    <cfRule type="cellIs" dxfId="0" priority="229" operator="lessThan">
      <formula>0</formula>
    </cfRule>
  </conditionalFormatting>
  <conditionalFormatting sqref="AC207">
    <cfRule type="expression" dxfId="0" priority="136">
      <formula>$AC207="达到或超过上限"</formula>
    </cfRule>
    <cfRule type="expression" dxfId="1" priority="167">
      <formula>$AC207="低于上限"</formula>
    </cfRule>
  </conditionalFormatting>
  <conditionalFormatting sqref="AE207">
    <cfRule type="cellIs" dxfId="1" priority="260" operator="greaterThan">
      <formula>0</formula>
    </cfRule>
    <cfRule type="cellIs" dxfId="0" priority="291" operator="lessThan">
      <formula>0</formula>
    </cfRule>
  </conditionalFormatting>
  <conditionalFormatting sqref="AJ207">
    <cfRule type="expression" dxfId="2" priority="477">
      <formula>$AJ207="周期与交易预期不匹配，请重新确认"</formula>
    </cfRule>
    <cfRule type="expression" dxfId="1" priority="508">
      <formula>$AJ207="匹配"</formula>
    </cfRule>
  </conditionalFormatting>
  <conditionalFormatting sqref="AR207">
    <cfRule type="expression" dxfId="0" priority="539">
      <formula>LEFT($AR207,2)="违规"</formula>
    </cfRule>
    <cfRule type="expression" dxfId="1" priority="570">
      <formula>$AR207="通过"</formula>
    </cfRule>
  </conditionalFormatting>
  <conditionalFormatting sqref="G208">
    <cfRule type="expression" dxfId="0" priority="321">
      <formula>$G208="禁止开仓"</formula>
    </cfRule>
    <cfRule type="expression" dxfId="1" priority="352">
      <formula>$G208="允许开仓"</formula>
    </cfRule>
    <cfRule type="expression" dxfId="0" priority="383">
      <formula>LEFT($G208,4)="禁止开仓"</formula>
    </cfRule>
    <cfRule type="expression" dxfId="2" priority="414">
      <formula>$G208="允许开仓（接近锁仓）"</formula>
    </cfRule>
    <cfRule type="expression" dxfId="1" priority="445">
      <formula>$G208="允许开仓"</formula>
    </cfRule>
  </conditionalFormatting>
  <conditionalFormatting sqref="W208">
    <cfRule type="cellIs" dxfId="2" priority="104" operator="lessThan">
      <formula>2</formula>
    </cfRule>
  </conditionalFormatting>
  <conditionalFormatting sqref="X208">
    <cfRule type="cellIs" dxfId="1" priority="42" operator="greaterThan">
      <formula>0</formula>
    </cfRule>
    <cfRule type="cellIs" dxfId="0" priority="73" operator="lessThan">
      <formula>0</formula>
    </cfRule>
  </conditionalFormatting>
  <conditionalFormatting sqref="Y208">
    <cfRule type="cellIs" dxfId="1" priority="197" operator="greaterThan">
      <formula>0</formula>
    </cfRule>
    <cfRule type="cellIs" dxfId="0" priority="228" operator="lessThan">
      <formula>0</formula>
    </cfRule>
  </conditionalFormatting>
  <conditionalFormatting sqref="AC208">
    <cfRule type="expression" dxfId="0" priority="135">
      <formula>$AC208="达到或超过上限"</formula>
    </cfRule>
    <cfRule type="expression" dxfId="1" priority="166">
      <formula>$AC208="低于上限"</formula>
    </cfRule>
  </conditionalFormatting>
  <conditionalFormatting sqref="AE208">
    <cfRule type="cellIs" dxfId="1" priority="259" operator="greaterThan">
      <formula>0</formula>
    </cfRule>
    <cfRule type="cellIs" dxfId="0" priority="290" operator="lessThan">
      <formula>0</formula>
    </cfRule>
  </conditionalFormatting>
  <conditionalFormatting sqref="AJ208">
    <cfRule type="expression" dxfId="2" priority="476">
      <formula>$AJ208="周期与交易预期不匹配，请重新确认"</formula>
    </cfRule>
    <cfRule type="expression" dxfId="1" priority="507">
      <formula>$AJ208="匹配"</formula>
    </cfRule>
  </conditionalFormatting>
  <conditionalFormatting sqref="AR208">
    <cfRule type="expression" dxfId="0" priority="538">
      <formula>LEFT($AR208,2)="违规"</formula>
    </cfRule>
    <cfRule type="expression" dxfId="1" priority="569">
      <formula>$AR208="通过"</formula>
    </cfRule>
  </conditionalFormatting>
  <conditionalFormatting sqref="G209">
    <cfRule type="expression" dxfId="0" priority="320">
      <formula>$G209="禁止开仓"</formula>
    </cfRule>
    <cfRule type="expression" dxfId="1" priority="351">
      <formula>$G209="允许开仓"</formula>
    </cfRule>
    <cfRule type="expression" dxfId="0" priority="382">
      <formula>LEFT($G209,4)="禁止开仓"</formula>
    </cfRule>
    <cfRule type="expression" dxfId="2" priority="413">
      <formula>$G209="允许开仓（接近锁仓）"</formula>
    </cfRule>
    <cfRule type="expression" dxfId="1" priority="444">
      <formula>$G209="允许开仓"</formula>
    </cfRule>
  </conditionalFormatting>
  <conditionalFormatting sqref="W209">
    <cfRule type="cellIs" dxfId="2" priority="103" operator="lessThan">
      <formula>2</formula>
    </cfRule>
  </conditionalFormatting>
  <conditionalFormatting sqref="X209">
    <cfRule type="cellIs" dxfId="1" priority="41" operator="greaterThan">
      <formula>0</formula>
    </cfRule>
    <cfRule type="cellIs" dxfId="0" priority="72" operator="lessThan">
      <formula>0</formula>
    </cfRule>
  </conditionalFormatting>
  <conditionalFormatting sqref="Y209">
    <cfRule type="cellIs" dxfId="1" priority="196" operator="greaterThan">
      <formula>0</formula>
    </cfRule>
    <cfRule type="cellIs" dxfId="0" priority="227" operator="lessThan">
      <formula>0</formula>
    </cfRule>
  </conditionalFormatting>
  <conditionalFormatting sqref="AC209">
    <cfRule type="expression" dxfId="0" priority="134">
      <formula>$AC209="达到或超过上限"</formula>
    </cfRule>
    <cfRule type="expression" dxfId="1" priority="165">
      <formula>$AC209="低于上限"</formula>
    </cfRule>
  </conditionalFormatting>
  <conditionalFormatting sqref="AE209">
    <cfRule type="cellIs" dxfId="1" priority="258" operator="greaterThan">
      <formula>0</formula>
    </cfRule>
    <cfRule type="cellIs" dxfId="0" priority="289" operator="lessThan">
      <formula>0</formula>
    </cfRule>
  </conditionalFormatting>
  <conditionalFormatting sqref="AJ209">
    <cfRule type="expression" dxfId="2" priority="475">
      <formula>$AJ209="周期与交易预期不匹配，请重新确认"</formula>
    </cfRule>
    <cfRule type="expression" dxfId="1" priority="506">
      <formula>$AJ209="匹配"</formula>
    </cfRule>
  </conditionalFormatting>
  <conditionalFormatting sqref="AR209">
    <cfRule type="expression" dxfId="0" priority="537">
      <formula>LEFT($AR209,2)="违规"</formula>
    </cfRule>
    <cfRule type="expression" dxfId="1" priority="568">
      <formula>$AR209="通过"</formula>
    </cfRule>
  </conditionalFormatting>
  <conditionalFormatting sqref="G210">
    <cfRule type="expression" dxfId="0" priority="319">
      <formula>$G210="禁止开仓"</formula>
    </cfRule>
    <cfRule type="expression" dxfId="1" priority="350">
      <formula>$G210="允许开仓"</formula>
    </cfRule>
    <cfRule type="expression" dxfId="0" priority="381">
      <formula>LEFT($G210,4)="禁止开仓"</formula>
    </cfRule>
    <cfRule type="expression" dxfId="2" priority="412">
      <formula>$G210="允许开仓（接近锁仓）"</formula>
    </cfRule>
    <cfRule type="expression" dxfId="1" priority="443">
      <formula>$G210="允许开仓"</formula>
    </cfRule>
  </conditionalFormatting>
  <conditionalFormatting sqref="W210">
    <cfRule type="cellIs" dxfId="2" priority="102" operator="lessThan">
      <formula>2</formula>
    </cfRule>
  </conditionalFormatting>
  <conditionalFormatting sqref="X210">
    <cfRule type="cellIs" dxfId="1" priority="40" operator="greaterThan">
      <formula>0</formula>
    </cfRule>
    <cfRule type="cellIs" dxfId="0" priority="71" operator="lessThan">
      <formula>0</formula>
    </cfRule>
  </conditionalFormatting>
  <conditionalFormatting sqref="Y210">
    <cfRule type="cellIs" dxfId="1" priority="195" operator="greaterThan">
      <formula>0</formula>
    </cfRule>
    <cfRule type="cellIs" dxfId="0" priority="226" operator="lessThan">
      <formula>0</formula>
    </cfRule>
  </conditionalFormatting>
  <conditionalFormatting sqref="AC210">
    <cfRule type="expression" dxfId="0" priority="133">
      <formula>$AC210="达到或超过上限"</formula>
    </cfRule>
    <cfRule type="expression" dxfId="1" priority="164">
      <formula>$AC210="低于上限"</formula>
    </cfRule>
  </conditionalFormatting>
  <conditionalFormatting sqref="AE210">
    <cfRule type="cellIs" dxfId="1" priority="257" operator="greaterThan">
      <formula>0</formula>
    </cfRule>
    <cfRule type="cellIs" dxfId="0" priority="288" operator="lessThan">
      <formula>0</formula>
    </cfRule>
  </conditionalFormatting>
  <conditionalFormatting sqref="AJ210">
    <cfRule type="expression" dxfId="2" priority="474">
      <formula>$AJ210="周期与交易预期不匹配，请重新确认"</formula>
    </cfRule>
    <cfRule type="expression" dxfId="1" priority="505">
      <formula>$AJ210="匹配"</formula>
    </cfRule>
  </conditionalFormatting>
  <conditionalFormatting sqref="AR210">
    <cfRule type="expression" dxfId="0" priority="536">
      <formula>LEFT($AR210,2)="违规"</formula>
    </cfRule>
    <cfRule type="expression" dxfId="1" priority="567">
      <formula>$AR210="通过"</formula>
    </cfRule>
  </conditionalFormatting>
  <conditionalFormatting sqref="G211">
    <cfRule type="expression" dxfId="0" priority="318">
      <formula>$G211="禁止开仓"</formula>
    </cfRule>
    <cfRule type="expression" dxfId="1" priority="349">
      <formula>$G211="允许开仓"</formula>
    </cfRule>
    <cfRule type="expression" dxfId="0" priority="380">
      <formula>LEFT($G211,4)="禁止开仓"</formula>
    </cfRule>
    <cfRule type="expression" dxfId="2" priority="411">
      <formula>$G211="允许开仓（接近锁仓）"</formula>
    </cfRule>
    <cfRule type="expression" dxfId="1" priority="442">
      <formula>$G211="允许开仓"</formula>
    </cfRule>
  </conditionalFormatting>
  <conditionalFormatting sqref="W211">
    <cfRule type="cellIs" dxfId="2" priority="101" operator="lessThan">
      <formula>2</formula>
    </cfRule>
  </conditionalFormatting>
  <conditionalFormatting sqref="X211">
    <cfRule type="cellIs" dxfId="1" priority="39" operator="greaterThan">
      <formula>0</formula>
    </cfRule>
    <cfRule type="cellIs" dxfId="0" priority="70" operator="lessThan">
      <formula>0</formula>
    </cfRule>
  </conditionalFormatting>
  <conditionalFormatting sqref="Y211">
    <cfRule type="cellIs" dxfId="1" priority="194" operator="greaterThan">
      <formula>0</formula>
    </cfRule>
    <cfRule type="cellIs" dxfId="0" priority="225" operator="lessThan">
      <formula>0</formula>
    </cfRule>
  </conditionalFormatting>
  <conditionalFormatting sqref="AC211">
    <cfRule type="expression" dxfId="0" priority="132">
      <formula>$AC211="达到或超过上限"</formula>
    </cfRule>
    <cfRule type="expression" dxfId="1" priority="163">
      <formula>$AC211="低于上限"</formula>
    </cfRule>
  </conditionalFormatting>
  <conditionalFormatting sqref="AE211">
    <cfRule type="cellIs" dxfId="1" priority="256" operator="greaterThan">
      <formula>0</formula>
    </cfRule>
    <cfRule type="cellIs" dxfId="0" priority="287" operator="lessThan">
      <formula>0</formula>
    </cfRule>
  </conditionalFormatting>
  <conditionalFormatting sqref="AJ211">
    <cfRule type="expression" dxfId="2" priority="473">
      <formula>$AJ211="周期与交易预期不匹配，请重新确认"</formula>
    </cfRule>
    <cfRule type="expression" dxfId="1" priority="504">
      <formula>$AJ211="匹配"</formula>
    </cfRule>
  </conditionalFormatting>
  <conditionalFormatting sqref="AR211">
    <cfRule type="expression" dxfId="0" priority="535">
      <formula>LEFT($AR211,2)="违规"</formula>
    </cfRule>
    <cfRule type="expression" dxfId="1" priority="566">
      <formula>$AR211="通过"</formula>
    </cfRule>
  </conditionalFormatting>
  <conditionalFormatting sqref="G212">
    <cfRule type="expression" dxfId="0" priority="317">
      <formula>$G212="禁止开仓"</formula>
    </cfRule>
    <cfRule type="expression" dxfId="1" priority="348">
      <formula>$G212="允许开仓"</formula>
    </cfRule>
    <cfRule type="expression" dxfId="0" priority="379">
      <formula>LEFT($G212,4)="禁止开仓"</formula>
    </cfRule>
    <cfRule type="expression" dxfId="2" priority="410">
      <formula>$G212="允许开仓（接近锁仓）"</formula>
    </cfRule>
    <cfRule type="expression" dxfId="1" priority="441">
      <formula>$G212="允许开仓"</formula>
    </cfRule>
  </conditionalFormatting>
  <conditionalFormatting sqref="W212">
    <cfRule type="cellIs" dxfId="2" priority="100" operator="lessThan">
      <formula>2</formula>
    </cfRule>
  </conditionalFormatting>
  <conditionalFormatting sqref="X212">
    <cfRule type="cellIs" dxfId="1" priority="38" operator="greaterThan">
      <formula>0</formula>
    </cfRule>
    <cfRule type="cellIs" dxfId="0" priority="69" operator="lessThan">
      <formula>0</formula>
    </cfRule>
  </conditionalFormatting>
  <conditionalFormatting sqref="Y212">
    <cfRule type="cellIs" dxfId="1" priority="193" operator="greaterThan">
      <formula>0</formula>
    </cfRule>
    <cfRule type="cellIs" dxfId="0" priority="224" operator="lessThan">
      <formula>0</formula>
    </cfRule>
  </conditionalFormatting>
  <conditionalFormatting sqref="AC212">
    <cfRule type="expression" dxfId="0" priority="131">
      <formula>$AC212="达到或超过上限"</formula>
    </cfRule>
    <cfRule type="expression" dxfId="1" priority="162">
      <formula>$AC212="低于上限"</formula>
    </cfRule>
  </conditionalFormatting>
  <conditionalFormatting sqref="AE212">
    <cfRule type="cellIs" dxfId="1" priority="255" operator="greaterThan">
      <formula>0</formula>
    </cfRule>
    <cfRule type="cellIs" dxfId="0" priority="286" operator="lessThan">
      <formula>0</formula>
    </cfRule>
  </conditionalFormatting>
  <conditionalFormatting sqref="AJ212">
    <cfRule type="expression" dxfId="2" priority="472">
      <formula>$AJ212="周期与交易预期不匹配，请重新确认"</formula>
    </cfRule>
    <cfRule type="expression" dxfId="1" priority="503">
      <formula>$AJ212="匹配"</formula>
    </cfRule>
  </conditionalFormatting>
  <conditionalFormatting sqref="AR212">
    <cfRule type="expression" dxfId="0" priority="534">
      <formula>LEFT($AR212,2)="违规"</formula>
    </cfRule>
    <cfRule type="expression" dxfId="1" priority="565">
      <formula>$AR212="通过"</formula>
    </cfRule>
  </conditionalFormatting>
  <conditionalFormatting sqref="G213">
    <cfRule type="expression" dxfId="0" priority="316">
      <formula>$G213="禁止开仓"</formula>
    </cfRule>
    <cfRule type="expression" dxfId="1" priority="347">
      <formula>$G213="允许开仓"</formula>
    </cfRule>
    <cfRule type="expression" dxfId="0" priority="378">
      <formula>LEFT($G213,4)="禁止开仓"</formula>
    </cfRule>
    <cfRule type="expression" dxfId="2" priority="409">
      <formula>$G213="允许开仓（接近锁仓）"</formula>
    </cfRule>
    <cfRule type="expression" dxfId="1" priority="440">
      <formula>$G213="允许开仓"</formula>
    </cfRule>
  </conditionalFormatting>
  <conditionalFormatting sqref="W213">
    <cfRule type="cellIs" dxfId="2" priority="99" operator="lessThan">
      <formula>2</formula>
    </cfRule>
  </conditionalFormatting>
  <conditionalFormatting sqref="X213">
    <cfRule type="cellIs" dxfId="1" priority="37" operator="greaterThan">
      <formula>0</formula>
    </cfRule>
    <cfRule type="cellIs" dxfId="0" priority="68" operator="lessThan">
      <formula>0</formula>
    </cfRule>
  </conditionalFormatting>
  <conditionalFormatting sqref="Y213">
    <cfRule type="cellIs" dxfId="1" priority="192" operator="greaterThan">
      <formula>0</formula>
    </cfRule>
    <cfRule type="cellIs" dxfId="0" priority="223" operator="lessThan">
      <formula>0</formula>
    </cfRule>
  </conditionalFormatting>
  <conditionalFormatting sqref="AC213">
    <cfRule type="expression" dxfId="0" priority="130">
      <formula>$AC213="达到或超过上限"</formula>
    </cfRule>
    <cfRule type="expression" dxfId="1" priority="161">
      <formula>$AC213="低于上限"</formula>
    </cfRule>
  </conditionalFormatting>
  <conditionalFormatting sqref="AE213">
    <cfRule type="cellIs" dxfId="1" priority="254" operator="greaterThan">
      <formula>0</formula>
    </cfRule>
    <cfRule type="cellIs" dxfId="0" priority="285" operator="lessThan">
      <formula>0</formula>
    </cfRule>
  </conditionalFormatting>
  <conditionalFormatting sqref="AJ213">
    <cfRule type="expression" dxfId="2" priority="471">
      <formula>$AJ213="周期与交易预期不匹配，请重新确认"</formula>
    </cfRule>
    <cfRule type="expression" dxfId="1" priority="502">
      <formula>$AJ213="匹配"</formula>
    </cfRule>
  </conditionalFormatting>
  <conditionalFormatting sqref="AR213">
    <cfRule type="expression" dxfId="0" priority="533">
      <formula>LEFT($AR213,2)="违规"</formula>
    </cfRule>
    <cfRule type="expression" dxfId="1" priority="564">
      <formula>$AR213="通过"</formula>
    </cfRule>
  </conditionalFormatting>
  <conditionalFormatting sqref="G214">
    <cfRule type="expression" dxfId="0" priority="315">
      <formula>$G214="禁止开仓"</formula>
    </cfRule>
    <cfRule type="expression" dxfId="1" priority="346">
      <formula>$G214="允许开仓"</formula>
    </cfRule>
    <cfRule type="expression" dxfId="0" priority="377">
      <formula>LEFT($G214,4)="禁止开仓"</formula>
    </cfRule>
    <cfRule type="expression" dxfId="2" priority="408">
      <formula>$G214="允许开仓（接近锁仓）"</formula>
    </cfRule>
    <cfRule type="expression" dxfId="1" priority="439">
      <formula>$G214="允许开仓"</formula>
    </cfRule>
  </conditionalFormatting>
  <conditionalFormatting sqref="W214">
    <cfRule type="cellIs" dxfId="2" priority="98" operator="lessThan">
      <formula>2</formula>
    </cfRule>
  </conditionalFormatting>
  <conditionalFormatting sqref="X214">
    <cfRule type="cellIs" dxfId="1" priority="36" operator="greaterThan">
      <formula>0</formula>
    </cfRule>
    <cfRule type="cellIs" dxfId="0" priority="67" operator="lessThan">
      <formula>0</formula>
    </cfRule>
  </conditionalFormatting>
  <conditionalFormatting sqref="Y214">
    <cfRule type="cellIs" dxfId="1" priority="191" operator="greaterThan">
      <formula>0</formula>
    </cfRule>
    <cfRule type="cellIs" dxfId="0" priority="222" operator="lessThan">
      <formula>0</formula>
    </cfRule>
  </conditionalFormatting>
  <conditionalFormatting sqref="AC214">
    <cfRule type="expression" dxfId="0" priority="129">
      <formula>$AC214="达到或超过上限"</formula>
    </cfRule>
    <cfRule type="expression" dxfId="1" priority="160">
      <formula>$AC214="低于上限"</formula>
    </cfRule>
  </conditionalFormatting>
  <conditionalFormatting sqref="AE214">
    <cfRule type="cellIs" dxfId="1" priority="253" operator="greaterThan">
      <formula>0</formula>
    </cfRule>
    <cfRule type="cellIs" dxfId="0" priority="284" operator="lessThan">
      <formula>0</formula>
    </cfRule>
  </conditionalFormatting>
  <conditionalFormatting sqref="AJ214">
    <cfRule type="expression" dxfId="2" priority="470">
      <formula>$AJ214="周期与交易预期不匹配，请重新确认"</formula>
    </cfRule>
    <cfRule type="expression" dxfId="1" priority="501">
      <formula>$AJ214="匹配"</formula>
    </cfRule>
  </conditionalFormatting>
  <conditionalFormatting sqref="AR214">
    <cfRule type="expression" dxfId="0" priority="532">
      <formula>LEFT($AR214,2)="违规"</formula>
    </cfRule>
    <cfRule type="expression" dxfId="1" priority="563">
      <formula>$AR214="通过"</formula>
    </cfRule>
  </conditionalFormatting>
  <conditionalFormatting sqref="G215">
    <cfRule type="expression" dxfId="0" priority="314">
      <formula>$G215="禁止开仓"</formula>
    </cfRule>
    <cfRule type="expression" dxfId="1" priority="345">
      <formula>$G215="允许开仓"</formula>
    </cfRule>
    <cfRule type="expression" dxfId="0" priority="376">
      <formula>LEFT($G215,4)="禁止开仓"</formula>
    </cfRule>
    <cfRule type="expression" dxfId="2" priority="407">
      <formula>$G215="允许开仓（接近锁仓）"</formula>
    </cfRule>
    <cfRule type="expression" dxfId="1" priority="438">
      <formula>$G215="允许开仓"</formula>
    </cfRule>
  </conditionalFormatting>
  <conditionalFormatting sqref="W215">
    <cfRule type="cellIs" dxfId="2" priority="97" operator="lessThan">
      <formula>2</formula>
    </cfRule>
  </conditionalFormatting>
  <conditionalFormatting sqref="X215">
    <cfRule type="cellIs" dxfId="1" priority="35" operator="greaterThan">
      <formula>0</formula>
    </cfRule>
    <cfRule type="cellIs" dxfId="0" priority="66" operator="lessThan">
      <formula>0</formula>
    </cfRule>
  </conditionalFormatting>
  <conditionalFormatting sqref="Y215">
    <cfRule type="cellIs" dxfId="1" priority="190" operator="greaterThan">
      <formula>0</formula>
    </cfRule>
    <cfRule type="cellIs" dxfId="0" priority="221" operator="lessThan">
      <formula>0</formula>
    </cfRule>
  </conditionalFormatting>
  <conditionalFormatting sqref="AC215">
    <cfRule type="expression" dxfId="0" priority="128">
      <formula>$AC215="达到或超过上限"</formula>
    </cfRule>
    <cfRule type="expression" dxfId="1" priority="159">
      <formula>$AC215="低于上限"</formula>
    </cfRule>
  </conditionalFormatting>
  <conditionalFormatting sqref="AE215">
    <cfRule type="cellIs" dxfId="1" priority="252" operator="greaterThan">
      <formula>0</formula>
    </cfRule>
    <cfRule type="cellIs" dxfId="0" priority="283" operator="lessThan">
      <formula>0</formula>
    </cfRule>
  </conditionalFormatting>
  <conditionalFormatting sqref="AJ215">
    <cfRule type="expression" dxfId="2" priority="469">
      <formula>$AJ215="周期与交易预期不匹配，请重新确认"</formula>
    </cfRule>
    <cfRule type="expression" dxfId="1" priority="500">
      <formula>$AJ215="匹配"</formula>
    </cfRule>
  </conditionalFormatting>
  <conditionalFormatting sqref="AR215">
    <cfRule type="expression" dxfId="0" priority="531">
      <formula>LEFT($AR215,2)="违规"</formula>
    </cfRule>
    <cfRule type="expression" dxfId="1" priority="562">
      <formula>$AR215="通过"</formula>
    </cfRule>
  </conditionalFormatting>
  <conditionalFormatting sqref="G216">
    <cfRule type="expression" dxfId="0" priority="313">
      <formula>$G216="禁止开仓"</formula>
    </cfRule>
    <cfRule type="expression" dxfId="1" priority="344">
      <formula>$G216="允许开仓"</formula>
    </cfRule>
    <cfRule type="expression" dxfId="0" priority="375">
      <formula>LEFT($G216,4)="禁止开仓"</formula>
    </cfRule>
    <cfRule type="expression" dxfId="2" priority="406">
      <formula>$G216="允许开仓（接近锁仓）"</formula>
    </cfRule>
    <cfRule type="expression" dxfId="1" priority="437">
      <formula>$G216="允许开仓"</formula>
    </cfRule>
  </conditionalFormatting>
  <conditionalFormatting sqref="W216">
    <cfRule type="cellIs" dxfId="2" priority="96" operator="lessThan">
      <formula>2</formula>
    </cfRule>
  </conditionalFormatting>
  <conditionalFormatting sqref="X216">
    <cfRule type="cellIs" dxfId="1" priority="34" operator="greaterThan">
      <formula>0</formula>
    </cfRule>
    <cfRule type="cellIs" dxfId="0" priority="65" operator="lessThan">
      <formula>0</formula>
    </cfRule>
  </conditionalFormatting>
  <conditionalFormatting sqref="Y216">
    <cfRule type="cellIs" dxfId="1" priority="189" operator="greaterThan">
      <formula>0</formula>
    </cfRule>
    <cfRule type="cellIs" dxfId="0" priority="220" operator="lessThan">
      <formula>0</formula>
    </cfRule>
  </conditionalFormatting>
  <conditionalFormatting sqref="AC216">
    <cfRule type="expression" dxfId="0" priority="127">
      <formula>$AC216="达到或超过上限"</formula>
    </cfRule>
    <cfRule type="expression" dxfId="1" priority="158">
      <formula>$AC216="低于上限"</formula>
    </cfRule>
  </conditionalFormatting>
  <conditionalFormatting sqref="AE216">
    <cfRule type="cellIs" dxfId="1" priority="251" operator="greaterThan">
      <formula>0</formula>
    </cfRule>
    <cfRule type="cellIs" dxfId="0" priority="282" operator="lessThan">
      <formula>0</formula>
    </cfRule>
  </conditionalFormatting>
  <conditionalFormatting sqref="AJ216">
    <cfRule type="expression" dxfId="2" priority="468">
      <formula>$AJ216="周期与交易预期不匹配，请重新确认"</formula>
    </cfRule>
    <cfRule type="expression" dxfId="1" priority="499">
      <formula>$AJ216="匹配"</formula>
    </cfRule>
  </conditionalFormatting>
  <conditionalFormatting sqref="AR216">
    <cfRule type="expression" dxfId="0" priority="530">
      <formula>LEFT($AR216,2)="违规"</formula>
    </cfRule>
    <cfRule type="expression" dxfId="1" priority="561">
      <formula>$AR216="通过"</formula>
    </cfRule>
  </conditionalFormatting>
  <conditionalFormatting sqref="G217">
    <cfRule type="expression" dxfId="0" priority="312">
      <formula>$G217="禁止开仓"</formula>
    </cfRule>
    <cfRule type="expression" dxfId="1" priority="343">
      <formula>$G217="允许开仓"</formula>
    </cfRule>
    <cfRule type="expression" dxfId="0" priority="374">
      <formula>LEFT($G217,4)="禁止开仓"</formula>
    </cfRule>
    <cfRule type="expression" dxfId="2" priority="405">
      <formula>$G217="允许开仓（接近锁仓）"</formula>
    </cfRule>
    <cfRule type="expression" dxfId="1" priority="436">
      <formula>$G217="允许开仓"</formula>
    </cfRule>
  </conditionalFormatting>
  <conditionalFormatting sqref="W217">
    <cfRule type="cellIs" dxfId="2" priority="95" operator="lessThan">
      <formula>2</formula>
    </cfRule>
  </conditionalFormatting>
  <conditionalFormatting sqref="X217">
    <cfRule type="cellIs" dxfId="1" priority="33" operator="greaterThan">
      <formula>0</formula>
    </cfRule>
    <cfRule type="cellIs" dxfId="0" priority="64" operator="lessThan">
      <formula>0</formula>
    </cfRule>
  </conditionalFormatting>
  <conditionalFormatting sqref="Y217">
    <cfRule type="cellIs" dxfId="1" priority="188" operator="greaterThan">
      <formula>0</formula>
    </cfRule>
    <cfRule type="cellIs" dxfId="0" priority="219" operator="lessThan">
      <formula>0</formula>
    </cfRule>
  </conditionalFormatting>
  <conditionalFormatting sqref="AC217">
    <cfRule type="expression" dxfId="0" priority="126">
      <formula>$AC217="达到或超过上限"</formula>
    </cfRule>
    <cfRule type="expression" dxfId="1" priority="157">
      <formula>$AC217="低于上限"</formula>
    </cfRule>
  </conditionalFormatting>
  <conditionalFormatting sqref="AE217">
    <cfRule type="cellIs" dxfId="1" priority="250" operator="greaterThan">
      <formula>0</formula>
    </cfRule>
    <cfRule type="cellIs" dxfId="0" priority="281" operator="lessThan">
      <formula>0</formula>
    </cfRule>
  </conditionalFormatting>
  <conditionalFormatting sqref="AJ217">
    <cfRule type="expression" dxfId="2" priority="467">
      <formula>$AJ217="周期与交易预期不匹配，请重新确认"</formula>
    </cfRule>
    <cfRule type="expression" dxfId="1" priority="498">
      <formula>$AJ217="匹配"</formula>
    </cfRule>
  </conditionalFormatting>
  <conditionalFormatting sqref="AR217">
    <cfRule type="expression" dxfId="0" priority="529">
      <formula>LEFT($AR217,2)="违规"</formula>
    </cfRule>
    <cfRule type="expression" dxfId="1" priority="560">
      <formula>$AR217="通过"</formula>
    </cfRule>
  </conditionalFormatting>
  <conditionalFormatting sqref="G218">
    <cfRule type="expression" dxfId="0" priority="311">
      <formula>$G218="禁止开仓"</formula>
    </cfRule>
    <cfRule type="expression" dxfId="1" priority="342">
      <formula>$G218="允许开仓"</formula>
    </cfRule>
    <cfRule type="expression" dxfId="0" priority="373">
      <formula>LEFT($G218,4)="禁止开仓"</formula>
    </cfRule>
    <cfRule type="expression" dxfId="2" priority="404">
      <formula>$G218="允许开仓（接近锁仓）"</formula>
    </cfRule>
    <cfRule type="expression" dxfId="1" priority="435">
      <formula>$G218="允许开仓"</formula>
    </cfRule>
  </conditionalFormatting>
  <conditionalFormatting sqref="W218">
    <cfRule type="cellIs" dxfId="2" priority="94" operator="lessThan">
      <formula>2</formula>
    </cfRule>
  </conditionalFormatting>
  <conditionalFormatting sqref="X218">
    <cfRule type="cellIs" dxfId="1" priority="32" operator="greaterThan">
      <formula>0</formula>
    </cfRule>
    <cfRule type="cellIs" dxfId="0" priority="63" operator="lessThan">
      <formula>0</formula>
    </cfRule>
  </conditionalFormatting>
  <conditionalFormatting sqref="Y218">
    <cfRule type="cellIs" dxfId="1" priority="187" operator="greaterThan">
      <formula>0</formula>
    </cfRule>
    <cfRule type="cellIs" dxfId="0" priority="218" operator="lessThan">
      <formula>0</formula>
    </cfRule>
  </conditionalFormatting>
  <conditionalFormatting sqref="AC218">
    <cfRule type="expression" dxfId="0" priority="125">
      <formula>$AC218="达到或超过上限"</formula>
    </cfRule>
    <cfRule type="expression" dxfId="1" priority="156">
      <formula>$AC218="低于上限"</formula>
    </cfRule>
  </conditionalFormatting>
  <conditionalFormatting sqref="AE218">
    <cfRule type="cellIs" dxfId="1" priority="249" operator="greaterThan">
      <formula>0</formula>
    </cfRule>
    <cfRule type="cellIs" dxfId="0" priority="280" operator="lessThan">
      <formula>0</formula>
    </cfRule>
  </conditionalFormatting>
  <conditionalFormatting sqref="AJ218">
    <cfRule type="expression" dxfId="2" priority="466">
      <formula>$AJ218="周期与交易预期不匹配，请重新确认"</formula>
    </cfRule>
    <cfRule type="expression" dxfId="1" priority="497">
      <formula>$AJ218="匹配"</formula>
    </cfRule>
  </conditionalFormatting>
  <conditionalFormatting sqref="AR218">
    <cfRule type="expression" dxfId="0" priority="528">
      <formula>LEFT($AR218,2)="违规"</formula>
    </cfRule>
    <cfRule type="expression" dxfId="1" priority="559">
      <formula>$AR218="通过"</formula>
    </cfRule>
  </conditionalFormatting>
  <conditionalFormatting sqref="G219">
    <cfRule type="expression" dxfId="0" priority="310">
      <formula>$G219="禁止开仓"</formula>
    </cfRule>
    <cfRule type="expression" dxfId="1" priority="341">
      <formula>$G219="允许开仓"</formula>
    </cfRule>
    <cfRule type="expression" dxfId="0" priority="372">
      <formula>LEFT($G219,4)="禁止开仓"</formula>
    </cfRule>
    <cfRule type="expression" dxfId="2" priority="403">
      <formula>$G219="允许开仓（接近锁仓）"</formula>
    </cfRule>
    <cfRule type="expression" dxfId="1" priority="434">
      <formula>$G219="允许开仓"</formula>
    </cfRule>
  </conditionalFormatting>
  <conditionalFormatting sqref="W219">
    <cfRule type="cellIs" dxfId="2" priority="93" operator="lessThan">
      <formula>2</formula>
    </cfRule>
  </conditionalFormatting>
  <conditionalFormatting sqref="X219">
    <cfRule type="cellIs" dxfId="1" priority="31" operator="greaterThan">
      <formula>0</formula>
    </cfRule>
    <cfRule type="cellIs" dxfId="0" priority="62" operator="lessThan">
      <formula>0</formula>
    </cfRule>
  </conditionalFormatting>
  <conditionalFormatting sqref="Y219">
    <cfRule type="cellIs" dxfId="1" priority="186" operator="greaterThan">
      <formula>0</formula>
    </cfRule>
    <cfRule type="cellIs" dxfId="0" priority="217" operator="lessThan">
      <formula>0</formula>
    </cfRule>
  </conditionalFormatting>
  <conditionalFormatting sqref="AC219">
    <cfRule type="expression" dxfId="0" priority="124">
      <formula>$AC219="达到或超过上限"</formula>
    </cfRule>
    <cfRule type="expression" dxfId="1" priority="155">
      <formula>$AC219="低于上限"</formula>
    </cfRule>
  </conditionalFormatting>
  <conditionalFormatting sqref="AE219">
    <cfRule type="cellIs" dxfId="1" priority="248" operator="greaterThan">
      <formula>0</formula>
    </cfRule>
    <cfRule type="cellIs" dxfId="0" priority="279" operator="lessThan">
      <formula>0</formula>
    </cfRule>
  </conditionalFormatting>
  <conditionalFormatting sqref="AJ219">
    <cfRule type="expression" dxfId="2" priority="465">
      <formula>$AJ219="周期与交易预期不匹配，请重新确认"</formula>
    </cfRule>
    <cfRule type="expression" dxfId="1" priority="496">
      <formula>$AJ219="匹配"</formula>
    </cfRule>
  </conditionalFormatting>
  <conditionalFormatting sqref="AR219">
    <cfRule type="expression" dxfId="0" priority="527">
      <formula>LEFT($AR219,2)="违规"</formula>
    </cfRule>
    <cfRule type="expression" dxfId="1" priority="558">
      <formula>$AR219="通过"</formula>
    </cfRule>
  </conditionalFormatting>
  <conditionalFormatting sqref="G220">
    <cfRule type="expression" dxfId="0" priority="309">
      <formula>$G220="禁止开仓"</formula>
    </cfRule>
    <cfRule type="expression" dxfId="1" priority="340">
      <formula>$G220="允许开仓"</formula>
    </cfRule>
    <cfRule type="expression" dxfId="0" priority="371">
      <formula>LEFT($G220,4)="禁止开仓"</formula>
    </cfRule>
    <cfRule type="expression" dxfId="2" priority="402">
      <formula>$G220="允许开仓（接近锁仓）"</formula>
    </cfRule>
    <cfRule type="expression" dxfId="1" priority="433">
      <formula>$G220="允许开仓"</formula>
    </cfRule>
  </conditionalFormatting>
  <conditionalFormatting sqref="W220">
    <cfRule type="cellIs" dxfId="2" priority="92" operator="lessThan">
      <formula>2</formula>
    </cfRule>
  </conditionalFormatting>
  <conditionalFormatting sqref="X220">
    <cfRule type="cellIs" dxfId="1" priority="30" operator="greaterThan">
      <formula>0</formula>
    </cfRule>
    <cfRule type="cellIs" dxfId="0" priority="61" operator="lessThan">
      <formula>0</formula>
    </cfRule>
  </conditionalFormatting>
  <conditionalFormatting sqref="Y220">
    <cfRule type="cellIs" dxfId="1" priority="185" operator="greaterThan">
      <formula>0</formula>
    </cfRule>
    <cfRule type="cellIs" dxfId="0" priority="216" operator="lessThan">
      <formula>0</formula>
    </cfRule>
  </conditionalFormatting>
  <conditionalFormatting sqref="AC220">
    <cfRule type="expression" dxfId="0" priority="123">
      <formula>$AC220="达到或超过上限"</formula>
    </cfRule>
    <cfRule type="expression" dxfId="1" priority="154">
      <formula>$AC220="低于上限"</formula>
    </cfRule>
  </conditionalFormatting>
  <conditionalFormatting sqref="AE220">
    <cfRule type="cellIs" dxfId="1" priority="247" operator="greaterThan">
      <formula>0</formula>
    </cfRule>
    <cfRule type="cellIs" dxfId="0" priority="278" operator="lessThan">
      <formula>0</formula>
    </cfRule>
  </conditionalFormatting>
  <conditionalFormatting sqref="AJ220">
    <cfRule type="expression" dxfId="2" priority="464">
      <formula>$AJ220="周期与交易预期不匹配，请重新确认"</formula>
    </cfRule>
    <cfRule type="expression" dxfId="1" priority="495">
      <formula>$AJ220="匹配"</formula>
    </cfRule>
  </conditionalFormatting>
  <conditionalFormatting sqref="AR220">
    <cfRule type="expression" dxfId="0" priority="526">
      <formula>LEFT($AR220,2)="违规"</formula>
    </cfRule>
    <cfRule type="expression" dxfId="1" priority="557">
      <formula>$AR220="通过"</formula>
    </cfRule>
  </conditionalFormatting>
  <conditionalFormatting sqref="G221">
    <cfRule type="expression" dxfId="0" priority="308">
      <formula>$G221="禁止开仓"</formula>
    </cfRule>
    <cfRule type="expression" dxfId="1" priority="339">
      <formula>$G221="允许开仓"</formula>
    </cfRule>
    <cfRule type="expression" dxfId="0" priority="370">
      <formula>LEFT($G221,4)="禁止开仓"</formula>
    </cfRule>
    <cfRule type="expression" dxfId="2" priority="401">
      <formula>$G221="允许开仓（接近锁仓）"</formula>
    </cfRule>
    <cfRule type="expression" dxfId="1" priority="432">
      <formula>$G221="允许开仓"</formula>
    </cfRule>
  </conditionalFormatting>
  <conditionalFormatting sqref="W221">
    <cfRule type="cellIs" dxfId="2" priority="91" operator="lessThan">
      <formula>2</formula>
    </cfRule>
  </conditionalFormatting>
  <conditionalFormatting sqref="X221">
    <cfRule type="cellIs" dxfId="1" priority="29" operator="greaterThan">
      <formula>0</formula>
    </cfRule>
    <cfRule type="cellIs" dxfId="0" priority="60" operator="lessThan">
      <formula>0</formula>
    </cfRule>
  </conditionalFormatting>
  <conditionalFormatting sqref="Y221">
    <cfRule type="cellIs" dxfId="1" priority="184" operator="greaterThan">
      <formula>0</formula>
    </cfRule>
    <cfRule type="cellIs" dxfId="0" priority="215" operator="lessThan">
      <formula>0</formula>
    </cfRule>
  </conditionalFormatting>
  <conditionalFormatting sqref="AC221">
    <cfRule type="expression" dxfId="0" priority="122">
      <formula>$AC221="达到或超过上限"</formula>
    </cfRule>
    <cfRule type="expression" dxfId="1" priority="153">
      <formula>$AC221="低于上限"</formula>
    </cfRule>
  </conditionalFormatting>
  <conditionalFormatting sqref="AE221">
    <cfRule type="cellIs" dxfId="1" priority="246" operator="greaterThan">
      <formula>0</formula>
    </cfRule>
    <cfRule type="cellIs" dxfId="0" priority="277" operator="lessThan">
      <formula>0</formula>
    </cfRule>
  </conditionalFormatting>
  <conditionalFormatting sqref="AJ221">
    <cfRule type="expression" dxfId="2" priority="463">
      <formula>$AJ221="周期与交易预期不匹配，请重新确认"</formula>
    </cfRule>
    <cfRule type="expression" dxfId="1" priority="494">
      <formula>$AJ221="匹配"</formula>
    </cfRule>
  </conditionalFormatting>
  <conditionalFormatting sqref="AR221">
    <cfRule type="expression" dxfId="0" priority="525">
      <formula>LEFT($AR221,2)="违规"</formula>
    </cfRule>
    <cfRule type="expression" dxfId="1" priority="556">
      <formula>$AR221="通过"</formula>
    </cfRule>
  </conditionalFormatting>
  <conditionalFormatting sqref="G222">
    <cfRule type="expression" dxfId="0" priority="307">
      <formula>$G222="禁止开仓"</formula>
    </cfRule>
    <cfRule type="expression" dxfId="1" priority="338">
      <formula>$G222="允许开仓"</formula>
    </cfRule>
    <cfRule type="expression" dxfId="0" priority="369">
      <formula>LEFT($G222,4)="禁止开仓"</formula>
    </cfRule>
    <cfRule type="expression" dxfId="2" priority="400">
      <formula>$G222="允许开仓（接近锁仓）"</formula>
    </cfRule>
    <cfRule type="expression" dxfId="1" priority="431">
      <formula>$G222="允许开仓"</formula>
    </cfRule>
  </conditionalFormatting>
  <conditionalFormatting sqref="W222">
    <cfRule type="cellIs" dxfId="2" priority="90" operator="lessThan">
      <formula>2</formula>
    </cfRule>
  </conditionalFormatting>
  <conditionalFormatting sqref="X222">
    <cfRule type="cellIs" dxfId="1" priority="28" operator="greaterThan">
      <formula>0</formula>
    </cfRule>
    <cfRule type="cellIs" dxfId="0" priority="59" operator="lessThan">
      <formula>0</formula>
    </cfRule>
  </conditionalFormatting>
  <conditionalFormatting sqref="Y222">
    <cfRule type="cellIs" dxfId="1" priority="183" operator="greaterThan">
      <formula>0</formula>
    </cfRule>
    <cfRule type="cellIs" dxfId="0" priority="214" operator="lessThan">
      <formula>0</formula>
    </cfRule>
  </conditionalFormatting>
  <conditionalFormatting sqref="AC222">
    <cfRule type="expression" dxfId="0" priority="121">
      <formula>$AC222="达到或超过上限"</formula>
    </cfRule>
    <cfRule type="expression" dxfId="1" priority="152">
      <formula>$AC222="低于上限"</formula>
    </cfRule>
  </conditionalFormatting>
  <conditionalFormatting sqref="AE222">
    <cfRule type="cellIs" dxfId="1" priority="245" operator="greaterThan">
      <formula>0</formula>
    </cfRule>
    <cfRule type="cellIs" dxfId="0" priority="276" operator="lessThan">
      <formula>0</formula>
    </cfRule>
  </conditionalFormatting>
  <conditionalFormatting sqref="AJ222">
    <cfRule type="expression" dxfId="2" priority="462">
      <formula>$AJ222="周期与交易预期不匹配，请重新确认"</formula>
    </cfRule>
    <cfRule type="expression" dxfId="1" priority="493">
      <formula>$AJ222="匹配"</formula>
    </cfRule>
  </conditionalFormatting>
  <conditionalFormatting sqref="AR222">
    <cfRule type="expression" dxfId="0" priority="524">
      <formula>LEFT($AR222,2)="违规"</formula>
    </cfRule>
    <cfRule type="expression" dxfId="1" priority="555">
      <formula>$AR222="通过"</formula>
    </cfRule>
  </conditionalFormatting>
  <conditionalFormatting sqref="G223">
    <cfRule type="expression" dxfId="0" priority="306">
      <formula>$G223="禁止开仓"</formula>
    </cfRule>
    <cfRule type="expression" dxfId="1" priority="337">
      <formula>$G223="允许开仓"</formula>
    </cfRule>
    <cfRule type="expression" dxfId="0" priority="368">
      <formula>LEFT($G223,4)="禁止开仓"</formula>
    </cfRule>
    <cfRule type="expression" dxfId="2" priority="399">
      <formula>$G223="允许开仓（接近锁仓）"</formula>
    </cfRule>
    <cfRule type="expression" dxfId="1" priority="430">
      <formula>$G223="允许开仓"</formula>
    </cfRule>
  </conditionalFormatting>
  <conditionalFormatting sqref="W223">
    <cfRule type="cellIs" dxfId="2" priority="89" operator="lessThan">
      <formula>2</formula>
    </cfRule>
  </conditionalFormatting>
  <conditionalFormatting sqref="X223">
    <cfRule type="cellIs" dxfId="1" priority="27" operator="greaterThan">
      <formula>0</formula>
    </cfRule>
    <cfRule type="cellIs" dxfId="0" priority="58" operator="lessThan">
      <formula>0</formula>
    </cfRule>
  </conditionalFormatting>
  <conditionalFormatting sqref="Y223">
    <cfRule type="cellIs" dxfId="1" priority="182" operator="greaterThan">
      <formula>0</formula>
    </cfRule>
    <cfRule type="cellIs" dxfId="0" priority="213" operator="lessThan">
      <formula>0</formula>
    </cfRule>
  </conditionalFormatting>
  <conditionalFormatting sqref="AC223">
    <cfRule type="expression" dxfId="0" priority="120">
      <formula>$AC223="达到或超过上限"</formula>
    </cfRule>
    <cfRule type="expression" dxfId="1" priority="151">
      <formula>$AC223="低于上限"</formula>
    </cfRule>
  </conditionalFormatting>
  <conditionalFormatting sqref="AE223">
    <cfRule type="cellIs" dxfId="1" priority="244" operator="greaterThan">
      <formula>0</formula>
    </cfRule>
    <cfRule type="cellIs" dxfId="0" priority="275" operator="lessThan">
      <formula>0</formula>
    </cfRule>
  </conditionalFormatting>
  <conditionalFormatting sqref="AJ223">
    <cfRule type="expression" dxfId="2" priority="461">
      <formula>$AJ223="周期与交易预期不匹配，请重新确认"</formula>
    </cfRule>
    <cfRule type="expression" dxfId="1" priority="492">
      <formula>$AJ223="匹配"</formula>
    </cfRule>
  </conditionalFormatting>
  <conditionalFormatting sqref="AR223">
    <cfRule type="expression" dxfId="0" priority="523">
      <formula>LEFT($AR223,2)="违规"</formula>
    </cfRule>
    <cfRule type="expression" dxfId="1" priority="554">
      <formula>$AR223="通过"</formula>
    </cfRule>
  </conditionalFormatting>
  <conditionalFormatting sqref="G224">
    <cfRule type="expression" dxfId="0" priority="305">
      <formula>$G224="禁止开仓"</formula>
    </cfRule>
    <cfRule type="expression" dxfId="1" priority="336">
      <formula>$G224="允许开仓"</formula>
    </cfRule>
    <cfRule type="expression" dxfId="0" priority="367">
      <formula>LEFT($G224,4)="禁止开仓"</formula>
    </cfRule>
    <cfRule type="expression" dxfId="2" priority="398">
      <formula>$G224="允许开仓（接近锁仓）"</formula>
    </cfRule>
    <cfRule type="expression" dxfId="1" priority="429">
      <formula>$G224="允许开仓"</formula>
    </cfRule>
  </conditionalFormatting>
  <conditionalFormatting sqref="W224">
    <cfRule type="cellIs" dxfId="2" priority="88" operator="lessThan">
      <formula>2</formula>
    </cfRule>
  </conditionalFormatting>
  <conditionalFormatting sqref="X224">
    <cfRule type="cellIs" dxfId="1" priority="26" operator="greaterThan">
      <formula>0</formula>
    </cfRule>
    <cfRule type="cellIs" dxfId="0" priority="57" operator="lessThan">
      <formula>0</formula>
    </cfRule>
  </conditionalFormatting>
  <conditionalFormatting sqref="Y224">
    <cfRule type="cellIs" dxfId="1" priority="181" operator="greaterThan">
      <formula>0</formula>
    </cfRule>
    <cfRule type="cellIs" dxfId="0" priority="212" operator="lessThan">
      <formula>0</formula>
    </cfRule>
  </conditionalFormatting>
  <conditionalFormatting sqref="AC224">
    <cfRule type="expression" dxfId="0" priority="119">
      <formula>$AC224="达到或超过上限"</formula>
    </cfRule>
    <cfRule type="expression" dxfId="1" priority="150">
      <formula>$AC224="低于上限"</formula>
    </cfRule>
  </conditionalFormatting>
  <conditionalFormatting sqref="AE224">
    <cfRule type="cellIs" dxfId="1" priority="243" operator="greaterThan">
      <formula>0</formula>
    </cfRule>
    <cfRule type="cellIs" dxfId="0" priority="274" operator="lessThan">
      <formula>0</formula>
    </cfRule>
  </conditionalFormatting>
  <conditionalFormatting sqref="AJ224">
    <cfRule type="expression" dxfId="2" priority="460">
      <formula>$AJ224="周期与交易预期不匹配，请重新确认"</formula>
    </cfRule>
    <cfRule type="expression" dxfId="1" priority="491">
      <formula>$AJ224="匹配"</formula>
    </cfRule>
  </conditionalFormatting>
  <conditionalFormatting sqref="AR224">
    <cfRule type="expression" dxfId="0" priority="522">
      <formula>LEFT($AR224,2)="违规"</formula>
    </cfRule>
    <cfRule type="expression" dxfId="1" priority="553">
      <formula>$AR224="通过"</formula>
    </cfRule>
  </conditionalFormatting>
  <conditionalFormatting sqref="G225">
    <cfRule type="expression" dxfId="0" priority="304">
      <formula>$G225="禁止开仓"</formula>
    </cfRule>
    <cfRule type="expression" dxfId="1" priority="335">
      <formula>$G225="允许开仓"</formula>
    </cfRule>
    <cfRule type="expression" dxfId="0" priority="366">
      <formula>LEFT($G225,4)="禁止开仓"</formula>
    </cfRule>
    <cfRule type="expression" dxfId="2" priority="397">
      <formula>$G225="允许开仓（接近锁仓）"</formula>
    </cfRule>
    <cfRule type="expression" dxfId="1" priority="428">
      <formula>$G225="允许开仓"</formula>
    </cfRule>
  </conditionalFormatting>
  <conditionalFormatting sqref="W225">
    <cfRule type="cellIs" dxfId="2" priority="87" operator="lessThan">
      <formula>2</formula>
    </cfRule>
  </conditionalFormatting>
  <conditionalFormatting sqref="X225">
    <cfRule type="cellIs" dxfId="1" priority="25" operator="greaterThan">
      <formula>0</formula>
    </cfRule>
    <cfRule type="cellIs" dxfId="0" priority="56" operator="lessThan">
      <formula>0</formula>
    </cfRule>
  </conditionalFormatting>
  <conditionalFormatting sqref="Y225">
    <cfRule type="cellIs" dxfId="1" priority="180" operator="greaterThan">
      <formula>0</formula>
    </cfRule>
    <cfRule type="cellIs" dxfId="0" priority="211" operator="lessThan">
      <formula>0</formula>
    </cfRule>
  </conditionalFormatting>
  <conditionalFormatting sqref="AC225">
    <cfRule type="expression" dxfId="0" priority="118">
      <formula>$AC225="达到或超过上限"</formula>
    </cfRule>
    <cfRule type="expression" dxfId="1" priority="149">
      <formula>$AC225="低于上限"</formula>
    </cfRule>
  </conditionalFormatting>
  <conditionalFormatting sqref="AE225">
    <cfRule type="cellIs" dxfId="1" priority="242" operator="greaterThan">
      <formula>0</formula>
    </cfRule>
    <cfRule type="cellIs" dxfId="0" priority="273" operator="lessThan">
      <formula>0</formula>
    </cfRule>
  </conditionalFormatting>
  <conditionalFormatting sqref="AJ225">
    <cfRule type="expression" dxfId="2" priority="459">
      <formula>$AJ225="周期与交易预期不匹配，请重新确认"</formula>
    </cfRule>
    <cfRule type="expression" dxfId="1" priority="490">
      <formula>$AJ225="匹配"</formula>
    </cfRule>
  </conditionalFormatting>
  <conditionalFormatting sqref="AR225">
    <cfRule type="expression" dxfId="0" priority="521">
      <formula>LEFT($AR225,2)="违规"</formula>
    </cfRule>
    <cfRule type="expression" dxfId="1" priority="552">
      <formula>$AR225="通过"</formula>
    </cfRule>
  </conditionalFormatting>
  <conditionalFormatting sqref="G226">
    <cfRule type="expression" dxfId="0" priority="303">
      <formula>$G226="禁止开仓"</formula>
    </cfRule>
    <cfRule type="expression" dxfId="1" priority="334">
      <formula>$G226="允许开仓"</formula>
    </cfRule>
    <cfRule type="expression" dxfId="0" priority="365">
      <formula>LEFT($G226,4)="禁止开仓"</formula>
    </cfRule>
    <cfRule type="expression" dxfId="2" priority="396">
      <formula>$G226="允许开仓（接近锁仓）"</formula>
    </cfRule>
    <cfRule type="expression" dxfId="1" priority="427">
      <formula>$G226="允许开仓"</formula>
    </cfRule>
  </conditionalFormatting>
  <conditionalFormatting sqref="W226">
    <cfRule type="cellIs" dxfId="2" priority="86" operator="lessThan">
      <formula>2</formula>
    </cfRule>
  </conditionalFormatting>
  <conditionalFormatting sqref="X226">
    <cfRule type="cellIs" dxfId="1" priority="24" operator="greaterThan">
      <formula>0</formula>
    </cfRule>
    <cfRule type="cellIs" dxfId="0" priority="55" operator="lessThan">
      <formula>0</formula>
    </cfRule>
  </conditionalFormatting>
  <conditionalFormatting sqref="Y226">
    <cfRule type="cellIs" dxfId="1" priority="179" operator="greaterThan">
      <formula>0</formula>
    </cfRule>
    <cfRule type="cellIs" dxfId="0" priority="210" operator="lessThan">
      <formula>0</formula>
    </cfRule>
  </conditionalFormatting>
  <conditionalFormatting sqref="AC226">
    <cfRule type="expression" dxfId="0" priority="117">
      <formula>$AC226="达到或超过上限"</formula>
    </cfRule>
    <cfRule type="expression" dxfId="1" priority="148">
      <formula>$AC226="低于上限"</formula>
    </cfRule>
  </conditionalFormatting>
  <conditionalFormatting sqref="AE226">
    <cfRule type="cellIs" dxfId="1" priority="241" operator="greaterThan">
      <formula>0</formula>
    </cfRule>
    <cfRule type="cellIs" dxfId="0" priority="272" operator="lessThan">
      <formula>0</formula>
    </cfRule>
  </conditionalFormatting>
  <conditionalFormatting sqref="AJ226">
    <cfRule type="expression" dxfId="2" priority="458">
      <formula>$AJ226="周期与交易预期不匹配，请重新确认"</formula>
    </cfRule>
    <cfRule type="expression" dxfId="1" priority="489">
      <formula>$AJ226="匹配"</formula>
    </cfRule>
  </conditionalFormatting>
  <conditionalFormatting sqref="AR226">
    <cfRule type="expression" dxfId="0" priority="520">
      <formula>LEFT($AR226,2)="违规"</formula>
    </cfRule>
    <cfRule type="expression" dxfId="1" priority="551">
      <formula>$AR226="通过"</formula>
    </cfRule>
  </conditionalFormatting>
  <conditionalFormatting sqref="G227">
    <cfRule type="expression" dxfId="0" priority="302">
      <formula>$G227="禁止开仓"</formula>
    </cfRule>
    <cfRule type="expression" dxfId="1" priority="333">
      <formula>$G227="允许开仓"</formula>
    </cfRule>
    <cfRule type="expression" dxfId="0" priority="364">
      <formula>LEFT($G227,4)="禁止开仓"</formula>
    </cfRule>
    <cfRule type="expression" dxfId="2" priority="395">
      <formula>$G227="允许开仓（接近锁仓）"</formula>
    </cfRule>
    <cfRule type="expression" dxfId="1" priority="426">
      <formula>$G227="允许开仓"</formula>
    </cfRule>
  </conditionalFormatting>
  <conditionalFormatting sqref="W227">
    <cfRule type="cellIs" dxfId="2" priority="85" operator="lessThan">
      <formula>2</formula>
    </cfRule>
  </conditionalFormatting>
  <conditionalFormatting sqref="X227">
    <cfRule type="cellIs" dxfId="1" priority="23" operator="greaterThan">
      <formula>0</formula>
    </cfRule>
    <cfRule type="cellIs" dxfId="0" priority="54" operator="lessThan">
      <formula>0</formula>
    </cfRule>
  </conditionalFormatting>
  <conditionalFormatting sqref="Y227">
    <cfRule type="cellIs" dxfId="1" priority="178" operator="greaterThan">
      <formula>0</formula>
    </cfRule>
    <cfRule type="cellIs" dxfId="0" priority="209" operator="lessThan">
      <formula>0</formula>
    </cfRule>
  </conditionalFormatting>
  <conditionalFormatting sqref="AC227">
    <cfRule type="expression" dxfId="0" priority="116">
      <formula>$AC227="达到或超过上限"</formula>
    </cfRule>
    <cfRule type="expression" dxfId="1" priority="147">
      <formula>$AC227="低于上限"</formula>
    </cfRule>
  </conditionalFormatting>
  <conditionalFormatting sqref="AE227">
    <cfRule type="cellIs" dxfId="1" priority="240" operator="greaterThan">
      <formula>0</formula>
    </cfRule>
    <cfRule type="cellIs" dxfId="0" priority="271" operator="lessThan">
      <formula>0</formula>
    </cfRule>
  </conditionalFormatting>
  <conditionalFormatting sqref="AJ227">
    <cfRule type="expression" dxfId="2" priority="457">
      <formula>$AJ227="周期与交易预期不匹配，请重新确认"</formula>
    </cfRule>
    <cfRule type="expression" dxfId="1" priority="488">
      <formula>$AJ227="匹配"</formula>
    </cfRule>
  </conditionalFormatting>
  <conditionalFormatting sqref="AR227">
    <cfRule type="expression" dxfId="0" priority="519">
      <formula>LEFT($AR227,2)="违规"</formula>
    </cfRule>
    <cfRule type="expression" dxfId="1" priority="550">
      <formula>$AR227="通过"</formula>
    </cfRule>
  </conditionalFormatting>
  <conditionalFormatting sqref="G228">
    <cfRule type="expression" dxfId="0" priority="301">
      <formula>$G228="禁止开仓"</formula>
    </cfRule>
    <cfRule type="expression" dxfId="1" priority="332">
      <formula>$G228="允许开仓"</formula>
    </cfRule>
    <cfRule type="expression" dxfId="0" priority="363">
      <formula>LEFT($G228,4)="禁止开仓"</formula>
    </cfRule>
    <cfRule type="expression" dxfId="2" priority="394">
      <formula>$G228="允许开仓（接近锁仓）"</formula>
    </cfRule>
    <cfRule type="expression" dxfId="1" priority="425">
      <formula>$G228="允许开仓"</formula>
    </cfRule>
  </conditionalFormatting>
  <conditionalFormatting sqref="W228">
    <cfRule type="cellIs" dxfId="2" priority="84" operator="lessThan">
      <formula>2</formula>
    </cfRule>
  </conditionalFormatting>
  <conditionalFormatting sqref="X228">
    <cfRule type="cellIs" dxfId="1" priority="22" operator="greaterThan">
      <formula>0</formula>
    </cfRule>
    <cfRule type="cellIs" dxfId="0" priority="53" operator="lessThan">
      <formula>0</formula>
    </cfRule>
  </conditionalFormatting>
  <conditionalFormatting sqref="Y228">
    <cfRule type="cellIs" dxfId="1" priority="177" operator="greaterThan">
      <formula>0</formula>
    </cfRule>
    <cfRule type="cellIs" dxfId="0" priority="208" operator="lessThan">
      <formula>0</formula>
    </cfRule>
  </conditionalFormatting>
  <conditionalFormatting sqref="AC228">
    <cfRule type="expression" dxfId="0" priority="115">
      <formula>$AC228="达到或超过上限"</formula>
    </cfRule>
    <cfRule type="expression" dxfId="1" priority="146">
      <formula>$AC228="低于上限"</formula>
    </cfRule>
  </conditionalFormatting>
  <conditionalFormatting sqref="AE228">
    <cfRule type="cellIs" dxfId="1" priority="239" operator="greaterThan">
      <formula>0</formula>
    </cfRule>
    <cfRule type="cellIs" dxfId="0" priority="270" operator="lessThan">
      <formula>0</formula>
    </cfRule>
  </conditionalFormatting>
  <conditionalFormatting sqref="AJ228">
    <cfRule type="expression" dxfId="2" priority="456">
      <formula>$AJ228="周期与交易预期不匹配，请重新确认"</formula>
    </cfRule>
    <cfRule type="expression" dxfId="1" priority="487">
      <formula>$AJ228="匹配"</formula>
    </cfRule>
  </conditionalFormatting>
  <conditionalFormatting sqref="AR228">
    <cfRule type="expression" dxfId="0" priority="518">
      <formula>LEFT($AR228,2)="违规"</formula>
    </cfRule>
    <cfRule type="expression" dxfId="1" priority="549">
      <formula>$AR228="通过"</formula>
    </cfRule>
  </conditionalFormatting>
  <conditionalFormatting sqref="G229">
    <cfRule type="expression" dxfId="0" priority="300">
      <formula>$G229="禁止开仓"</formula>
    </cfRule>
    <cfRule type="expression" dxfId="1" priority="331">
      <formula>$G229="允许开仓"</formula>
    </cfRule>
    <cfRule type="expression" dxfId="0" priority="362">
      <formula>LEFT($G229,4)="禁止开仓"</formula>
    </cfRule>
    <cfRule type="expression" dxfId="2" priority="393">
      <formula>$G229="允许开仓（接近锁仓）"</formula>
    </cfRule>
    <cfRule type="expression" dxfId="1" priority="424">
      <formula>$G229="允许开仓"</formula>
    </cfRule>
  </conditionalFormatting>
  <conditionalFormatting sqref="W229">
    <cfRule type="cellIs" dxfId="2" priority="83" operator="lessThan">
      <formula>2</formula>
    </cfRule>
  </conditionalFormatting>
  <conditionalFormatting sqref="X229">
    <cfRule type="cellIs" dxfId="1" priority="21" operator="greaterThan">
      <formula>0</formula>
    </cfRule>
    <cfRule type="cellIs" dxfId="0" priority="52" operator="lessThan">
      <formula>0</formula>
    </cfRule>
  </conditionalFormatting>
  <conditionalFormatting sqref="Y229">
    <cfRule type="cellIs" dxfId="1" priority="176" operator="greaterThan">
      <formula>0</formula>
    </cfRule>
    <cfRule type="cellIs" dxfId="0" priority="207" operator="lessThan">
      <formula>0</formula>
    </cfRule>
  </conditionalFormatting>
  <conditionalFormatting sqref="AC229">
    <cfRule type="expression" dxfId="0" priority="114">
      <formula>$AC229="达到或超过上限"</formula>
    </cfRule>
    <cfRule type="expression" dxfId="1" priority="145">
      <formula>$AC229="低于上限"</formula>
    </cfRule>
  </conditionalFormatting>
  <conditionalFormatting sqref="AE229">
    <cfRule type="cellIs" dxfId="1" priority="238" operator="greaterThan">
      <formula>0</formula>
    </cfRule>
    <cfRule type="cellIs" dxfId="0" priority="269" operator="lessThan">
      <formula>0</formula>
    </cfRule>
  </conditionalFormatting>
  <conditionalFormatting sqref="AJ229">
    <cfRule type="expression" dxfId="2" priority="455">
      <formula>$AJ229="周期与交易预期不匹配，请重新确认"</formula>
    </cfRule>
    <cfRule type="expression" dxfId="1" priority="486">
      <formula>$AJ229="匹配"</formula>
    </cfRule>
  </conditionalFormatting>
  <conditionalFormatting sqref="AR229">
    <cfRule type="expression" dxfId="0" priority="517">
      <formula>LEFT($AR229,2)="违规"</formula>
    </cfRule>
    <cfRule type="expression" dxfId="1" priority="548">
      <formula>$AR229="通过"</formula>
    </cfRule>
  </conditionalFormatting>
  <conditionalFormatting sqref="G230">
    <cfRule type="expression" dxfId="0" priority="299">
      <formula>$G230="禁止开仓"</formula>
    </cfRule>
    <cfRule type="expression" dxfId="1" priority="330">
      <formula>$G230="允许开仓"</formula>
    </cfRule>
    <cfRule type="expression" dxfId="0" priority="361">
      <formula>LEFT($G230,4)="禁止开仓"</formula>
    </cfRule>
    <cfRule type="expression" dxfId="2" priority="392">
      <formula>$G230="允许开仓（接近锁仓）"</formula>
    </cfRule>
    <cfRule type="expression" dxfId="1" priority="423">
      <formula>$G230="允许开仓"</formula>
    </cfRule>
  </conditionalFormatting>
  <conditionalFormatting sqref="W230">
    <cfRule type="cellIs" dxfId="2" priority="82" operator="lessThan">
      <formula>2</formula>
    </cfRule>
  </conditionalFormatting>
  <conditionalFormatting sqref="X230">
    <cfRule type="cellIs" dxfId="1" priority="20" operator="greaterThan">
      <formula>0</formula>
    </cfRule>
    <cfRule type="cellIs" dxfId="0" priority="51" operator="lessThan">
      <formula>0</formula>
    </cfRule>
  </conditionalFormatting>
  <conditionalFormatting sqref="Y230">
    <cfRule type="cellIs" dxfId="1" priority="175" operator="greaterThan">
      <formula>0</formula>
    </cfRule>
    <cfRule type="cellIs" dxfId="0" priority="206" operator="lessThan">
      <formula>0</formula>
    </cfRule>
  </conditionalFormatting>
  <conditionalFormatting sqref="AC230">
    <cfRule type="expression" dxfId="0" priority="113">
      <formula>$AC230="达到或超过上限"</formula>
    </cfRule>
    <cfRule type="expression" dxfId="1" priority="144">
      <formula>$AC230="低于上限"</formula>
    </cfRule>
  </conditionalFormatting>
  <conditionalFormatting sqref="AE230">
    <cfRule type="cellIs" dxfId="1" priority="237" operator="greaterThan">
      <formula>0</formula>
    </cfRule>
    <cfRule type="cellIs" dxfId="0" priority="268" operator="lessThan">
      <formula>0</formula>
    </cfRule>
  </conditionalFormatting>
  <conditionalFormatting sqref="AJ230">
    <cfRule type="expression" dxfId="2" priority="454">
      <formula>$AJ230="周期与交易预期不匹配，请重新确认"</formula>
    </cfRule>
    <cfRule type="expression" dxfId="1" priority="485">
      <formula>$AJ230="匹配"</formula>
    </cfRule>
  </conditionalFormatting>
  <conditionalFormatting sqref="AR230">
    <cfRule type="expression" dxfId="0" priority="516">
      <formula>LEFT($AR230,2)="违规"</formula>
    </cfRule>
    <cfRule type="expression" dxfId="1" priority="547">
      <formula>$AR230="通过"</formula>
    </cfRule>
  </conditionalFormatting>
  <conditionalFormatting sqref="G231">
    <cfRule type="expression" dxfId="0" priority="298">
      <formula>$G231="禁止开仓"</formula>
    </cfRule>
    <cfRule type="expression" dxfId="1" priority="329">
      <formula>$G231="允许开仓"</formula>
    </cfRule>
    <cfRule type="expression" dxfId="0" priority="360">
      <formula>LEFT($G231,4)="禁止开仓"</formula>
    </cfRule>
    <cfRule type="expression" dxfId="2" priority="391">
      <formula>$G231="允许开仓（接近锁仓）"</formula>
    </cfRule>
    <cfRule type="expression" dxfId="1" priority="422">
      <formula>$G231="允许开仓"</formula>
    </cfRule>
  </conditionalFormatting>
  <conditionalFormatting sqref="W231">
    <cfRule type="cellIs" dxfId="2" priority="81" operator="lessThan">
      <formula>2</formula>
    </cfRule>
  </conditionalFormatting>
  <conditionalFormatting sqref="X231">
    <cfRule type="cellIs" dxfId="1" priority="19" operator="greaterThan">
      <formula>0</formula>
    </cfRule>
    <cfRule type="cellIs" dxfId="0" priority="50" operator="lessThan">
      <formula>0</formula>
    </cfRule>
  </conditionalFormatting>
  <conditionalFormatting sqref="Y231">
    <cfRule type="cellIs" dxfId="1" priority="174" operator="greaterThan">
      <formula>0</formula>
    </cfRule>
    <cfRule type="cellIs" dxfId="0" priority="205" operator="lessThan">
      <formula>0</formula>
    </cfRule>
  </conditionalFormatting>
  <conditionalFormatting sqref="AC231">
    <cfRule type="expression" dxfId="0" priority="112">
      <formula>$AC231="达到或超过上限"</formula>
    </cfRule>
    <cfRule type="expression" dxfId="1" priority="143">
      <formula>$AC231="低于上限"</formula>
    </cfRule>
  </conditionalFormatting>
  <conditionalFormatting sqref="AE231">
    <cfRule type="cellIs" dxfId="1" priority="236" operator="greaterThan">
      <formula>0</formula>
    </cfRule>
    <cfRule type="cellIs" dxfId="0" priority="267" operator="lessThan">
      <formula>0</formula>
    </cfRule>
  </conditionalFormatting>
  <conditionalFormatting sqref="AJ231">
    <cfRule type="expression" dxfId="2" priority="453">
      <formula>$AJ231="周期与交易预期不匹配，请重新确认"</formula>
    </cfRule>
    <cfRule type="expression" dxfId="1" priority="484">
      <formula>$AJ231="匹配"</formula>
    </cfRule>
  </conditionalFormatting>
  <conditionalFormatting sqref="AR231">
    <cfRule type="expression" dxfId="0" priority="515">
      <formula>LEFT($AR231,2)="违规"</formula>
    </cfRule>
    <cfRule type="expression" dxfId="1" priority="546">
      <formula>$AR231="通过"</formula>
    </cfRule>
  </conditionalFormatting>
  <conditionalFormatting sqref="G39:G163 G2:G37">
    <cfRule type="expression" dxfId="0" priority="604">
      <formula>$G2="禁止开仓"</formula>
    </cfRule>
    <cfRule type="expression" dxfId="1" priority="605">
      <formula>$G2="允许开仓"</formula>
    </cfRule>
    <cfRule type="expression" dxfId="0" priority="606">
      <formula>LEFT($G2,4)="禁止开仓"</formula>
    </cfRule>
    <cfRule type="expression" dxfId="2" priority="607">
      <formula>$G2="允许开仓（接近锁仓）"</formula>
    </cfRule>
    <cfRule type="expression" dxfId="1" priority="608">
      <formula>$G2="允许开仓"</formula>
    </cfRule>
  </conditionalFormatting>
  <conditionalFormatting sqref="W39:W163 W2:W37">
    <cfRule type="cellIs" dxfId="2" priority="597" operator="lessThan">
      <formula>2</formula>
    </cfRule>
  </conditionalFormatting>
  <conditionalFormatting sqref="X39:X163 X2:X37">
    <cfRule type="cellIs" dxfId="1" priority="595" operator="greaterThan">
      <formula>0</formula>
    </cfRule>
    <cfRule type="cellIs" dxfId="0" priority="596" operator="lessThan">
      <formula>0</formula>
    </cfRule>
  </conditionalFormatting>
  <conditionalFormatting sqref="Y39:Y163 Y2:Y37">
    <cfRule type="cellIs" dxfId="1" priority="600" operator="greaterThan">
      <formula>0</formula>
    </cfRule>
    <cfRule type="cellIs" dxfId="0" priority="601" operator="lessThan">
      <formula>0</formula>
    </cfRule>
  </conditionalFormatting>
  <conditionalFormatting sqref="AC39:AC163 AC2:AC37">
    <cfRule type="expression" dxfId="0" priority="598">
      <formula>$AC2="达到或超过上限"</formula>
    </cfRule>
    <cfRule type="expression" dxfId="1" priority="599">
      <formula>$AC2="低于上限"</formula>
    </cfRule>
  </conditionalFormatting>
  <conditionalFormatting sqref="AE39:AE163 AE2:AE37">
    <cfRule type="cellIs" dxfId="1" priority="602" operator="greaterThan">
      <formula>0</formula>
    </cfRule>
    <cfRule type="cellIs" dxfId="0" priority="603" operator="lessThan">
      <formula>0</formula>
    </cfRule>
  </conditionalFormatting>
  <conditionalFormatting sqref="AJ39:AJ163 AJ2:AJ37">
    <cfRule type="expression" dxfId="2" priority="609">
      <formula>$AJ2="周期与交易预期不匹配，请重新确认"</formula>
    </cfRule>
    <cfRule type="expression" dxfId="1" priority="610">
      <formula>$AJ2="匹配"</formula>
    </cfRule>
  </conditionalFormatting>
  <conditionalFormatting sqref="AR39:AR163 AR2:AR37">
    <cfRule type="expression" dxfId="0" priority="611">
      <formula>LEFT($AR2,2)="违规"</formula>
    </cfRule>
    <cfRule type="expression" dxfId="1" priority="612">
      <formula>$AR2="通过"</formula>
    </cfRule>
  </conditionalFormatting>
  <dataValidations count="14">
    <dataValidation type="decimal" operator="between" allowBlank="1" sqref="D38 D39 D2:D37 D40:D65 D66:D163">
      <formula1>0</formula1>
      <formula2>1</formula2>
    </dataValidation>
    <dataValidation type="decimal" operator="greaterThan" allowBlank="1" sqref="E38 J38 K38 N38 C39 E39 J39:K39 N39 C2:C37 C40:C65 C66:C163 E2:E37 E40:E65 E66:E163 N2:N37 N40:N65 N66:N163 J40:K65 J2:K37 J66:K163">
      <formula1>0</formula1>
    </dataValidation>
    <dataValidation type="custom" allowBlank="1" showErrorMessage="1" errorTitle="当前禁止开仓、计划不完整或风险超限" error="请完成解锁、止损计划和交易预期，确保股数为100股整数倍，且单笔及账户风险均未超过上限" sqref="H38 H39 H2:H37 H40:H65 H66:H163">
      <formula1>OR(H2="",AND(_LockStatus&lt;&gt;"已锁仓",_LockStatus&lt;&gt;"解锁信息不完整",AG2&lt;&gt;"",AH2&lt;&gt;"",AI2&lt;&gt;"",COUNTIFS(_TrackType,"止损计划",_TrackTradeId,A2,_TrackRule,"计划有效")&gt;0,ISNUMBER(H2),H2&gt;0,H2=INT(H2),MOD(H2,100)=0,AQ2&lt;=C2*D2,SUM($AQ$2:$AQ$163)&lt;=_AccountRiskLimit))</formula1>
    </dataValidation>
    <dataValidation type="date" operator="between" allowBlank="1" sqref="I38 I39 I2:I37 I40:I65 I66:I163">
      <formula1>DATE(2000,1,1)</formula1>
      <formula2>DATE(2100,12,31)</formula2>
    </dataValidation>
    <dataValidation type="custom" allowBlank="1" sqref="L38 L39 L2:L37 L40:L65 L66:L163">
      <formula1>OR(L2="",L2=H2)</formula1>
    </dataValidation>
    <dataValidation type="custom" allowBlank="1" sqref="M38 M39 M2:M37 M40:M65 M66:M163">
      <formula1>OR(M2="",AND(ISNUMBER(M2),M2&gt;=I2))</formula1>
    </dataValidation>
    <dataValidation type="decimal" operator="greaterThanOrEqual" allowBlank="1" sqref="O38 P38 O39:P39 O2:P37 O40:P65 O66:P163">
      <formula1>0</formula1>
    </dataValidation>
    <dataValidation type="list" allowBlank="1" sqref="AD38 AD39 AD2:AD37 AD40:AD65 AD66:AD163">
      <formula1>"1-差,2-较差,3-一般,4-良好,5-优秀"</formula1>
    </dataValidation>
    <dataValidation type="list" allowBlank="1" showErrorMessage="1" errorTitle="交易预期无效" error="请从短期博反弹、突破冲新高、趋势波段中选择" sqref="AG38 AG39 AG2:AG37 AG40:AG65 AG66:AG163">
      <formula1>"短期博反弹,突破冲新高,趋势波段"</formula1>
    </dataValidation>
    <dataValidation type="list" allowBlank="1" showErrorMessage="1" errorTitle="预期持有周期无效" error="请从预设的交易日范围中选择" sqref="AH38 AH39 AH2:AH37 AH40:AH65 AH66:AH163">
      <formula1>"1～3个交易日,4～10个交易日,11～20个交易日,21～60个交易日,60个交易日以上"</formula1>
    </dataValidation>
    <dataValidation type="custom" allowBlank="1" showErrorMessage="1" errorTitle="第二批买入价无效" error="请填写大于0的价格；删除分仓时先删除股数" sqref="AK38 AK39 AK2:AK37 AK40:AK65 AK66:AK163">
      <formula1>OR(AK2="",AND(ISNUMBER(AK2),AK2&gt;0))</formula1>
    </dataValidation>
    <dataValidation type="custom" allowBlank="1" showErrorMessage="1" errorTitle="第二批加仓被阻止" error="请先填写第二批价格并确认已解锁；股数必须为100股整数倍，且加仓后不能超过单笔或账户风险上限" sqref="AL38 AL39 AL2:AL37 AL40:AL65 AL66:AL163">
      <formula1>OR(AL2="",AND(AK2&lt;&gt;"",ISNUMBER(AL2),AL2&gt;0,AL2=INT(AL2),MOD(AL2,100)=0,_LockStatus&lt;&gt;"已锁仓",_LockStatus&lt;&gt;"解锁信息不完整",AQ2&lt;=C2*D2,SUM($AQ$2:$AQ$163)&lt;=_AccountRiskLimit))</formula1>
    </dataValidation>
    <dataValidation type="custom" allowBlank="1" showErrorMessage="1" errorTitle="第三批买入价无效" error="请先完整填写第二批，再填写大于0的第三批价格" sqref="AM38 AM39 AM2:AM37 AM40:AM65 AM66:AM163">
      <formula1>OR(AM2="",AND(ISNUMBER(AM2),AM2&gt;0,AND(AK2&lt;&gt;"",AL2&lt;&gt;"")))</formula1>
    </dataValidation>
    <dataValidation type="custom" allowBlank="1" showErrorMessage="1" errorTitle="第三批加仓被阻止" error="请先完整填写前两批并确认已解锁；股数必须为100股整数倍，且加仓后不能超过单笔或账户风险上限" sqref="AN38 AN39 AN2:AN37 AN40:AN65 AN66:AN163">
      <formula1>OR(AN2="",AND(AK2&lt;&gt;"",AL2&lt;&gt;"",AM2&lt;&gt;"",ISNUMBER(AN2),AN2&gt;0,AN2=INT(AN2),MOD(AN2,100)=0,_LockStatus&lt;&gt;"已锁仓",_LockStatus&lt;&gt;"解锁信息不完整",AQ2&lt;=C2*D2,SUM($AQ$2:$AQ$163)&lt;=_AccountRiskLimit))</formula1>
    </dataValidation>
  </dataValidations>
  <pageMargins left="0.75" right="0.75" top="1" bottom="1" header="0.5" footer="0.5"/>
  <headerFooter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497"/>
  <sheetViews>
    <sheetView showGridLines="0" workbookViewId="0">
      <pane xSplit="3" ySplit="1" topLeftCell="D2" activePane="bottomRight" state="frozen"/>
      <selection/>
      <selection pane="topRight"/>
      <selection pane="bottomLeft"/>
      <selection pane="bottomRight" activeCell="A2" sqref="A2:B86 D2:G2 H3:M8 X8:Y8 D9:G9 H10:M14 H15:L33 H34:J34 M16:M34 H35:K36 M36 H37:J38 L37:M38 H39:L41 H42:J42 H43:L45 H46:J46 M40:M46 H47:L48 H49:M55 H56:L56 H57:M67 H68:L68 H69:J75 K69:M78 H76:I78 D77:F77 H79:M84 X84:Y84 D85:G85 H86:K86 H87:J87 A88:B341 H88:K88 H89:J90 L86:L89 H91:K91 H92:J92 H93:K95 M86:M93 D96 H96:J96 H97:K98 M95:M98 H99:J111 L99:M111 D112:F112 H113:J123 M113:M119 M121 L113:L122 H124:I124 H125:J128 L124:L126 L127:M130 H129:I129 H130:J143 M132:M133 L132:L134 L135:M136 L139:M139 M141 L141:L142 H144:I144 K113:K144 H145:K145 H146:I146 H147:M147 H148:L148 H149:K151 H152:J152 H153:M157 H158:L158 H159:K160 H161:L161 H162:M165 D166:F166 H166:L166 H167:M167 H168:K169 H170:J171 H172:M172 H173:K173 H174:J174 H175:K175 H176:J176 H177:L177 H178:M178 H179:K180 H181:M181 H182:K184 H185:L185 H186:M186 H187:L188 H189:K189 H190:L195 H196:K203 H204:J204 H205:K207 X207:Y207 D208:G208 H209:K209 H210:L210 H211:K212 H213:M214 H215:L215 H216:M216 H217:J217 H218:M218 H219:L221 H222:K222 H223:L225 H226:J226 H227:K228 H229:M229 H230:J231 H232:M232 H233:K233 H234:J234 H235:M235 H236:L236 H237:J237 H238:I246 K238:L239 K240:M241 K245:M245 H247:J247 H248:I253 H254:K256 H257:I263 K262 H264:K269 H270:I271 K271 H272:K272 H273:I273 H274:J275 H276:I299 K276 K278:K279 K284:K285 L287 K289:L289 K292 H300:M300 H301:L301 H302:I302 K302:M302 H303:L303 H304:K304 H305:M307 H308:L308 H309:K309 H310:J310 H311:L311 H312:K313 H314:L314 H315:J315 H316:L316 H317:K319 H320:L320 H321:K321 H322:L322 H323:J323 H324:K324 H325:J329 X329:Y329 D330:G330 H331:I331 X331:Y331 D332:G332 H333:I333 X333:Y333 D334:G334 H335:I335 X335:Y335 D336:G336 H337:I337 X337:Y337 D338:G338 H339:I339 X339:Y339 D340:G340 H341:I341 X341:Y341"/>
    </sheetView>
  </sheetViews>
  <sheetFormatPr defaultColWidth="9" defaultRowHeight="16.8"/>
  <cols>
    <col min="1" max="3" width="14" customWidth="1"/>
    <col min="4" max="4" width="15" customWidth="1"/>
    <col min="5" max="5" width="12" customWidth="1"/>
    <col min="6" max="6" width="16" customWidth="1"/>
    <col min="7" max="7" width="28" customWidth="1"/>
    <col min="8" max="8" width="13" customWidth="1"/>
    <col min="9" max="9" width="12" customWidth="1"/>
    <col min="10" max="10" width="14" customWidth="1"/>
    <col min="11" max="11" width="28" customWidth="1"/>
    <col min="12" max="12" width="16" customWidth="1"/>
    <col min="13" max="13" width="30" customWidth="1"/>
    <col min="14" max="14" width="13" customWidth="1"/>
    <col min="15" max="15" width="16" customWidth="1"/>
    <col min="16" max="16" width="18" customWidth="1"/>
    <col min="17" max="17" width="15" customWidth="1"/>
    <col min="18" max="19" width="16" customWidth="1"/>
    <col min="20" max="22" width="18" customWidth="1"/>
    <col min="23" max="23" width="24" customWidth="1"/>
    <col min="24" max="25" width="14" customWidth="1"/>
    <col min="26" max="26" width="16" customWidth="1"/>
    <col min="27" max="27" width="14" customWidth="1"/>
    <col min="28" max="28" width="26" customWidth="1"/>
    <col min="29" max="29" width="28" customWidth="1"/>
  </cols>
  <sheetData>
    <row r="1" ht="42" customHeight="1" spans="1:29">
      <c r="A1" s="19" t="s">
        <v>16386</v>
      </c>
      <c r="B1" s="19" t="s">
        <v>0</v>
      </c>
      <c r="C1" s="19" t="s">
        <v>1</v>
      </c>
      <c r="D1" s="19" t="s">
        <v>16387</v>
      </c>
      <c r="E1" s="19" t="s">
        <v>16388</v>
      </c>
      <c r="F1" s="19" t="s">
        <v>16389</v>
      </c>
      <c r="G1" s="19" t="s">
        <v>16390</v>
      </c>
      <c r="H1" s="19" t="s">
        <v>16391</v>
      </c>
      <c r="I1" s="19" t="s">
        <v>16392</v>
      </c>
      <c r="J1" s="19" t="s">
        <v>16393</v>
      </c>
      <c r="K1" s="19" t="s">
        <v>16394</v>
      </c>
      <c r="L1" s="19" t="s">
        <v>16395</v>
      </c>
      <c r="M1" s="19" t="s">
        <v>16396</v>
      </c>
      <c r="N1" s="19" t="s">
        <v>16397</v>
      </c>
      <c r="O1" s="19" t="s">
        <v>16398</v>
      </c>
      <c r="P1" s="19" t="s">
        <v>16399</v>
      </c>
      <c r="Q1" s="19" t="s">
        <v>16400</v>
      </c>
      <c r="R1" s="19" t="s">
        <v>16401</v>
      </c>
      <c r="S1" s="19" t="s">
        <v>16402</v>
      </c>
      <c r="T1" s="19" t="s">
        <v>16403</v>
      </c>
      <c r="U1" s="19" t="s">
        <v>16404</v>
      </c>
      <c r="V1" s="19" t="s">
        <v>16405</v>
      </c>
      <c r="W1" s="19" t="s">
        <v>16406</v>
      </c>
      <c r="X1" s="19" t="s">
        <v>16407</v>
      </c>
      <c r="Y1" s="19" t="s">
        <v>10</v>
      </c>
      <c r="Z1" s="19" t="s">
        <v>16408</v>
      </c>
      <c r="AA1" s="19" t="s">
        <v>15</v>
      </c>
      <c r="AB1" s="19" t="s">
        <v>16409</v>
      </c>
      <c r="AC1" s="19" t="s">
        <v>16410</v>
      </c>
    </row>
    <row r="2" ht="17" spans="1:29">
      <c r="A2" s="2"/>
      <c r="B2" s="2"/>
      <c r="C2" s="8" t="str">
        <f>IF(B2="","",IFERROR(LOOKUP(2,1/(单次交易!$A$2:$A$163=B2),单次交易!$B$2:$B$163),""))</f>
        <v/>
      </c>
      <c r="D2" s="12"/>
      <c r="E2" s="20"/>
      <c r="F2" s="10"/>
      <c r="G2" s="13"/>
      <c r="H2" s="15"/>
      <c r="I2" s="10"/>
      <c r="J2" s="12"/>
      <c r="K2" s="2"/>
      <c r="L2" s="2"/>
      <c r="M2" s="2"/>
      <c r="N2" s="5" t="str">
        <f>IF(B2="","",IFERROR(LOOKUP(2,1/(单次交易!$A$2:$A$163=B2),单次交易!$N$2:$N$163),""))</f>
        <v/>
      </c>
      <c r="O2" s="5" t="str">
        <f t="shared" ref="O2:O65" si="0">IF(A2&lt;&gt;"每日跟踪","",IF(OR(B2="",H2="",I2=""),"",IFERROR(SUMPRODUCT(MAX((($A$2:$A$497="每日跟踪")*($B$2:$B$497=B2)*($H$2:$H$497&lt;=H2))*$I$2:$I$497)),"")))</f>
        <v/>
      </c>
      <c r="P2" s="11" t="str">
        <f t="shared" ref="P2:P65" si="1">IF(A2&lt;&gt;"每日跟踪","",IF(O2="","",IFERROR(SUMPRODUCT(MAX((($A$2:$A$497="止损计划")*($B$2:$B$497=B2)*($E$2:$E$497&lt;=O2))*$D$2:$D$497)),0)))</f>
        <v/>
      </c>
      <c r="Q2" s="5" t="str">
        <f t="shared" ref="Q2:Q65" si="2">IF(A2&lt;&gt;"每日跟踪","",IF(N2="","",MAX(N2,IFERROR(SUMPRODUCT(MAX((($A$2:$A$497="止损计划")*($B$2:$B$497=B2)*($E$2:$E$497&lt;=O2))*$F$2:$F$497)),0))))</f>
        <v/>
      </c>
      <c r="R2" s="10"/>
      <c r="S2" s="5" t="str">
        <f t="shared" ref="S2:S65" si="3">IF(A2&lt;&gt;"每日跟踪","",IF(Q2="","",MAX(Q2,IFERROR(SUMPRODUCT(MAX((($A$2:$A$497="每日跟踪")*($B$2:$B$497=B2)*($H$2:$H$497&lt;=H2))*$R$2:$R$497)),0))))</f>
        <v/>
      </c>
      <c r="T2" s="5" t="str">
        <f t="shared" ref="T2:T65" si="4">IF(A2&lt;&gt;"每日跟踪","",IF(O2="","",IF(COUNTIFS($A$2:$A$497,"止损计划",$B$2:$B$497,B2,$E$2:$E$497,"&gt;"&amp;O2)=0,"",INDEX($E$2:$E$497,MATCH(1,INDEX(($A$2:$A$497="止损计划")*($B$2:$B$497=B2)*($E$2:$E$497&gt;O2),0),0)))))</f>
        <v/>
      </c>
      <c r="U2" s="5" t="str">
        <f t="shared" ref="U2:U65" si="5">IF(OR(A2&lt;&gt;"每日跟踪",T2=""),"",IFERROR(SUMIFS($F$2:$F$497,$A$2:$A$497,"止损计划",$B$2:$B$497,B2,$E$2:$E$497,T2),""))</f>
        <v/>
      </c>
      <c r="V2" s="7" t="str">
        <f t="shared" ref="V2:V65" si="6">IF(OR(A2&lt;&gt;"每日跟踪",T2="",I2="",I2&lt;=0),"",T2/I2-1)</f>
        <v/>
      </c>
      <c r="W2" s="8" t="str">
        <f t="shared" ref="W2:W65" si="7">IF(A2&lt;&gt;"每日跟踪","",IF(OR(I2="",S2=""),"",IF(I2&lt;=S2,"触发止损：应全部卖出","继续观察")))</f>
        <v/>
      </c>
      <c r="X2" s="2"/>
      <c r="Y2" s="10"/>
      <c r="Z2" s="11" t="str">
        <f>IF(X2&lt;&gt;"执行卖出","",IFERROR(LOOKUP(2,1/(单次交易!$A$2:$A$163=B2),单次交易!$AP$2:$AP$163),""))</f>
        <v/>
      </c>
      <c r="AA2" s="10"/>
      <c r="AB2" s="8" t="str">
        <f t="shared" ref="AB2:AB65" si="8"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f>
        <v/>
      </c>
      <c r="AC2" s="8" t="str">
        <f>IF(A2="","",IF(A2="止损计划",IF(OR(B2="",D2="",E2="",F2="",G2=""),"计划不完整",IF(OR(D2&lt;1,D2&lt;&gt;INT(D2)),"阶段序号无效",IF(COUNTIFS($A$2:$A$497,"止损计划",$B$2:$B$497,B2,$D$2:$D$497,D2)&gt;1,"阶段序号重复",IF(E2&lt;=IFERROR(LOOKUP(2,1/(单次交易!$A$2:$A$163=B2),单次交易!$E$2:$E$163),0),"激活价须高于买入价",IF(F2&lt;N2,"止损价不得低于初始止损",IF(F2&gt;E2,"止损价不得高于激活价",IF(AND(COUNTIFS($A$2:$A$497,"止损计划",$B$2:$B$497,B2,$D$2:$D$497,"&lt;"&amp;D2)&gt;0,OR(E2&lt;=SUMPRODUCT(MAX((($A$2:$A$497="止损计划")*($B$2:$B$497=B2)*($D$2:$D$497&lt;D2))*$E$2:$E$497)),F2&lt;SUMPRODUCT(MAX((($A$2:$A$497="止损计划")*($B$2:$B$497=B2)*($D$2:$D$497&lt;D2))*$F$2:$F$497)))),"阶段价格必须逐级提高","计划有效"))))))),IF(A2="每日跟踪",IF(OR(B2="",H2="",I2="",J2=""),"每日数据不完整",IF(COUNTIFS($A$2:$A$497,"每日跟踪",$B$2:$B$497,B2,$H$2:$H$497,H2)&gt;1,"同一交易日期重复",IF(AND(R2&lt;&gt;"",R2&lt;S2),"人工止损无效：不能下调","跟踪有效"))),"记录类型无效")))</f>
        <v/>
      </c>
    </row>
    <row r="3" ht="17" spans="1:29">
      <c r="A3" s="2"/>
      <c r="B3" s="2"/>
      <c r="C3" s="8" t="str">
        <f>IF(B3="","",IFERROR(LOOKUP(2,1/(单次交易!$A$2:$A$163=B3),单次交易!$B$2:$B$163),""))</f>
        <v/>
      </c>
      <c r="D3" s="12"/>
      <c r="E3" s="10"/>
      <c r="F3" s="10"/>
      <c r="G3" s="2"/>
      <c r="H3" s="15"/>
      <c r="I3" s="10"/>
      <c r="J3" s="21"/>
      <c r="K3" s="13"/>
      <c r="L3" s="2"/>
      <c r="M3" s="13"/>
      <c r="N3" s="5" t="str">
        <f>IF(B3="","",IFERROR(LOOKUP(2,1/(单次交易!$A$2:$A$163=B3),单次交易!$N$2:$N$163),""))</f>
        <v/>
      </c>
      <c r="O3" s="5" t="str">
        <f t="shared" si="0"/>
        <v/>
      </c>
      <c r="P3" s="11" t="str">
        <f t="shared" si="1"/>
        <v/>
      </c>
      <c r="Q3" s="5" t="str">
        <f t="shared" si="2"/>
        <v/>
      </c>
      <c r="R3" s="10"/>
      <c r="S3" s="5" t="str">
        <f t="shared" si="3"/>
        <v/>
      </c>
      <c r="T3" s="5" t="str">
        <f t="shared" si="4"/>
        <v/>
      </c>
      <c r="U3" s="5" t="str">
        <f t="shared" si="5"/>
        <v/>
      </c>
      <c r="V3" s="7" t="str">
        <f t="shared" si="6"/>
        <v/>
      </c>
      <c r="W3" s="8" t="str">
        <f t="shared" si="7"/>
        <v/>
      </c>
      <c r="X3" s="2"/>
      <c r="Y3" s="10"/>
      <c r="Z3" s="11" t="str">
        <f>IF(X3&lt;&gt;"执行卖出","",IFERROR(LOOKUP(2,1/(单次交易!$A$2:$A$163=B3),单次交易!$AP$2:$AP$163),""))</f>
        <v/>
      </c>
      <c r="AA3" s="10"/>
      <c r="AB3" s="8" t="str">
        <f t="shared" si="8"/>
        <v/>
      </c>
      <c r="AC3" s="8" t="str">
        <f>IF(A3="","",IF(A3="止损计划",IF(OR(B3="",D3="",E3="",F3="",G3=""),"计划不完整",IF(OR(D3&lt;1,D3&lt;&gt;INT(D3)),"阶段序号无效",IF(COUNTIFS($A$2:$A$497,"止损计划",$B$2:$B$497,B3,$D$2:$D$497,D3)&gt;1,"阶段序号重复",IF(E3&lt;=IFERROR(LOOKUP(2,1/(单次交易!$A$2:$A$163=B3),单次交易!$E$2:$E$163),0),"激活价须高于买入价",IF(F3&lt;N3,"止损价不得低于初始止损",IF(F3&gt;E3,"止损价不得高于激活价",IF(AND(COUNTIFS($A$2:$A$497,"止损计划",$B$2:$B$497,B3,$D$2:$D$497,"&lt;"&amp;D3)&gt;0,OR(E3&lt;=SUMPRODUCT(MAX((($A$2:$A$497="止损计划")*($B$2:$B$497=B3)*($D$2:$D$497&lt;D3))*$E$2:$E$497)),F3&lt;SUMPRODUCT(MAX((($A$2:$A$497="止损计划")*($B$2:$B$497=B3)*($D$2:$D$497&lt;D3))*$F$2:$F$497)))),"阶段价格必须逐级提高","计划有效"))))))),IF(A3="每日跟踪",IF(OR(B3="",H3="",I3="",J3=""),"每日数据不完整",IF(COUNTIFS($A$2:$A$497,"每日跟踪",$B$2:$B$497,B3,$H$2:$H$497,H3)&gt;1,"同一交易日期重复",IF(AND(R3&lt;&gt;"",R3&lt;S3),"人工止损无效：不能下调","跟踪有效"))),"记录类型无效")))</f>
        <v/>
      </c>
    </row>
    <row r="4" ht="17" spans="1:29">
      <c r="A4" s="2"/>
      <c r="B4" s="2"/>
      <c r="C4" s="8" t="str">
        <f>IF(B4="","",IFERROR(LOOKUP(2,1/(单次交易!$A$2:$A$163=B4),单次交易!$B$2:$B$163),""))</f>
        <v/>
      </c>
      <c r="D4" s="12"/>
      <c r="E4" s="10"/>
      <c r="F4" s="10"/>
      <c r="G4" s="2"/>
      <c r="H4" s="15"/>
      <c r="I4" s="10"/>
      <c r="J4" s="21"/>
      <c r="K4" s="13"/>
      <c r="L4" s="2"/>
      <c r="M4" s="13"/>
      <c r="N4" s="5" t="str">
        <f>IF(B4="","",IFERROR(LOOKUP(2,1/(单次交易!$A$2:$A$163=B4),单次交易!$N$2:$N$163),""))</f>
        <v/>
      </c>
      <c r="O4" s="5" t="str">
        <f t="shared" si="0"/>
        <v/>
      </c>
      <c r="P4" s="11" t="str">
        <f t="shared" si="1"/>
        <v/>
      </c>
      <c r="Q4" s="5" t="str">
        <f t="shared" si="2"/>
        <v/>
      </c>
      <c r="R4" s="10"/>
      <c r="S4" s="5" t="str">
        <f t="shared" si="3"/>
        <v/>
      </c>
      <c r="T4" s="5" t="str">
        <f t="shared" si="4"/>
        <v/>
      </c>
      <c r="U4" s="5" t="str">
        <f t="shared" si="5"/>
        <v/>
      </c>
      <c r="V4" s="7" t="str">
        <f t="shared" si="6"/>
        <v/>
      </c>
      <c r="W4" s="8" t="str">
        <f t="shared" si="7"/>
        <v/>
      </c>
      <c r="X4" s="2"/>
      <c r="Y4" s="10"/>
      <c r="Z4" s="11" t="str">
        <f>IF(X4&lt;&gt;"执行卖出","",IFERROR(LOOKUP(2,1/(单次交易!$A$2:$A$163=B4),单次交易!$AP$2:$AP$163),""))</f>
        <v/>
      </c>
      <c r="AA4" s="10"/>
      <c r="AB4" s="8" t="str">
        <f t="shared" si="8"/>
        <v/>
      </c>
      <c r="AC4" s="8" t="str">
        <f>IF(A4="","",IF(A4="止损计划",IF(OR(B4="",D4="",E4="",F4="",G4=""),"计划不完整",IF(OR(D4&lt;1,D4&lt;&gt;INT(D4)),"阶段序号无效",IF(COUNTIFS($A$2:$A$497,"止损计划",$B$2:$B$497,B4,$D$2:$D$497,D4)&gt;1,"阶段序号重复",IF(E4&lt;=IFERROR(LOOKUP(2,1/(单次交易!$A$2:$A$163=B4),单次交易!$E$2:$E$163),0),"激活价须高于买入价",IF(F4&lt;N4,"止损价不得低于初始止损",IF(F4&gt;E4,"止损价不得高于激活价",IF(AND(COUNTIFS($A$2:$A$497,"止损计划",$B$2:$B$497,B4,$D$2:$D$497,"&lt;"&amp;D4)&gt;0,OR(E4&lt;=SUMPRODUCT(MAX((($A$2:$A$497="止损计划")*($B$2:$B$497=B4)*($D$2:$D$497&lt;D4))*$E$2:$E$497)),F4&lt;SUMPRODUCT(MAX((($A$2:$A$497="止损计划")*($B$2:$B$497=B4)*($D$2:$D$497&lt;D4))*$F$2:$F$497)))),"阶段价格必须逐级提高","计划有效"))))))),IF(A4="每日跟踪",IF(OR(B4="",H4="",I4="",J4=""),"每日数据不完整",IF(COUNTIFS($A$2:$A$497,"每日跟踪",$B$2:$B$497,B4,$H$2:$H$497,H4)&gt;1,"同一交易日期重复",IF(AND(R4&lt;&gt;"",R4&lt;S4),"人工止损无效：不能下调","跟踪有效"))),"记录类型无效")))</f>
        <v/>
      </c>
    </row>
    <row r="5" ht="17" spans="1:29">
      <c r="A5" s="2"/>
      <c r="B5" s="2"/>
      <c r="C5" s="8" t="str">
        <f>IF(B5="","",IFERROR(LOOKUP(2,1/(单次交易!$A$2:$A$163=B5),单次交易!$B$2:$B$163),""))</f>
        <v/>
      </c>
      <c r="D5" s="12"/>
      <c r="E5" s="10"/>
      <c r="F5" s="10"/>
      <c r="G5" s="2"/>
      <c r="H5" s="15"/>
      <c r="I5" s="10"/>
      <c r="J5" s="21"/>
      <c r="K5" s="13"/>
      <c r="L5" s="2"/>
      <c r="M5" s="13"/>
      <c r="N5" s="5" t="str">
        <f>IF(B5="","",IFERROR(LOOKUP(2,1/(单次交易!$A$2:$A$163=B5),单次交易!$N$2:$N$163),""))</f>
        <v/>
      </c>
      <c r="O5" s="5" t="str">
        <f t="shared" si="0"/>
        <v/>
      </c>
      <c r="P5" s="11" t="str">
        <f t="shared" si="1"/>
        <v/>
      </c>
      <c r="Q5" s="5" t="str">
        <f t="shared" si="2"/>
        <v/>
      </c>
      <c r="R5" s="10"/>
      <c r="S5" s="5" t="str">
        <f t="shared" si="3"/>
        <v/>
      </c>
      <c r="T5" s="5" t="str">
        <f t="shared" si="4"/>
        <v/>
      </c>
      <c r="U5" s="5" t="str">
        <f t="shared" si="5"/>
        <v/>
      </c>
      <c r="V5" s="7" t="str">
        <f t="shared" si="6"/>
        <v/>
      </c>
      <c r="W5" s="8" t="str">
        <f t="shared" si="7"/>
        <v/>
      </c>
      <c r="X5" s="2"/>
      <c r="Y5" s="10"/>
      <c r="Z5" s="11" t="str">
        <f>IF(X5&lt;&gt;"执行卖出","",IFERROR(LOOKUP(2,1/(单次交易!$A$2:$A$163=B5),单次交易!$AP$2:$AP$163),""))</f>
        <v/>
      </c>
      <c r="AA5" s="10"/>
      <c r="AB5" s="8" t="str">
        <f t="shared" si="8"/>
        <v/>
      </c>
      <c r="AC5" s="8" t="str">
        <f>IF(A5="","",IF(A5="止损计划",IF(OR(B5="",D5="",E5="",F5="",G5=""),"计划不完整",IF(OR(D5&lt;1,D5&lt;&gt;INT(D5)),"阶段序号无效",IF(COUNTIFS($A$2:$A$497,"止损计划",$B$2:$B$497,B5,$D$2:$D$497,D5)&gt;1,"阶段序号重复",IF(E5&lt;=IFERROR(LOOKUP(2,1/(单次交易!$A$2:$A$163=B5),单次交易!$E$2:$E$163),0),"激活价须高于买入价",IF(F5&lt;N5,"止损价不得低于初始止损",IF(F5&gt;E5,"止损价不得高于激活价",IF(AND(COUNTIFS($A$2:$A$497,"止损计划",$B$2:$B$497,B5,$D$2:$D$497,"&lt;"&amp;D5)&gt;0,OR(E5&lt;=SUMPRODUCT(MAX((($A$2:$A$497="止损计划")*($B$2:$B$497=B5)*($D$2:$D$497&lt;D5))*$E$2:$E$497)),F5&lt;SUMPRODUCT(MAX((($A$2:$A$497="止损计划")*($B$2:$B$497=B5)*($D$2:$D$497&lt;D5))*$F$2:$F$497)))),"阶段价格必须逐级提高","计划有效"))))))),IF(A5="每日跟踪",IF(OR(B5="",H5="",I5="",J5=""),"每日数据不完整",IF(COUNTIFS($A$2:$A$497,"每日跟踪",$B$2:$B$497,B5,$H$2:$H$497,H5)&gt;1,"同一交易日期重复",IF(AND(R5&lt;&gt;"",R5&lt;S5),"人工止损无效：不能下调","跟踪有效"))),"记录类型无效")))</f>
        <v/>
      </c>
    </row>
    <row r="6" ht="17" spans="1:29">
      <c r="A6" s="2"/>
      <c r="B6" s="2"/>
      <c r="C6" s="8" t="str">
        <f>IF(B6="","",IFERROR(LOOKUP(2,1/(单次交易!$A$2:$A$163=B6),单次交易!$B$2:$B$163),""))</f>
        <v/>
      </c>
      <c r="D6" s="12"/>
      <c r="E6" s="10"/>
      <c r="F6" s="10"/>
      <c r="G6" s="2"/>
      <c r="H6" s="15"/>
      <c r="I6" s="10"/>
      <c r="J6" s="21"/>
      <c r="K6" s="13"/>
      <c r="L6" s="2"/>
      <c r="M6" s="13"/>
      <c r="N6" s="5" t="str">
        <f>IF(B6="","",IFERROR(LOOKUP(2,1/(单次交易!$A$2:$A$163=B6),单次交易!$N$2:$N$163),""))</f>
        <v/>
      </c>
      <c r="O6" s="5" t="str">
        <f t="shared" si="0"/>
        <v/>
      </c>
      <c r="P6" s="11" t="str">
        <f t="shared" si="1"/>
        <v/>
      </c>
      <c r="Q6" s="5" t="str">
        <f t="shared" si="2"/>
        <v/>
      </c>
      <c r="R6" s="10"/>
      <c r="S6" s="5" t="str">
        <f t="shared" si="3"/>
        <v/>
      </c>
      <c r="T6" s="5" t="str">
        <f t="shared" si="4"/>
        <v/>
      </c>
      <c r="U6" s="5" t="str">
        <f t="shared" si="5"/>
        <v/>
      </c>
      <c r="V6" s="7" t="str">
        <f t="shared" si="6"/>
        <v/>
      </c>
      <c r="W6" s="8" t="str">
        <f t="shared" si="7"/>
        <v/>
      </c>
      <c r="X6" s="2"/>
      <c r="Y6" s="10"/>
      <c r="Z6" s="11" t="str">
        <f>IF(X6&lt;&gt;"执行卖出","",IFERROR(LOOKUP(2,1/(单次交易!$A$2:$A$163=B6),单次交易!$AP$2:$AP$163),""))</f>
        <v/>
      </c>
      <c r="AA6" s="10"/>
      <c r="AB6" s="8" t="str">
        <f t="shared" si="8"/>
        <v/>
      </c>
      <c r="AC6" s="8" t="str">
        <f>IF(A6="","",IF(A6="止损计划",IF(OR(B6="",D6="",E6="",F6="",G6=""),"计划不完整",IF(OR(D6&lt;1,D6&lt;&gt;INT(D6)),"阶段序号无效",IF(COUNTIFS($A$2:$A$497,"止损计划",$B$2:$B$497,B6,$D$2:$D$497,D6)&gt;1,"阶段序号重复",IF(E6&lt;=IFERROR(LOOKUP(2,1/(单次交易!$A$2:$A$163=B6),单次交易!$E$2:$E$163),0),"激活价须高于买入价",IF(F6&lt;N6,"止损价不得低于初始止损",IF(F6&gt;E6,"止损价不得高于激活价",IF(AND(COUNTIFS($A$2:$A$497,"止损计划",$B$2:$B$497,B6,$D$2:$D$497,"&lt;"&amp;D6)&gt;0,OR(E6&lt;=SUMPRODUCT(MAX((($A$2:$A$497="止损计划")*($B$2:$B$497=B6)*($D$2:$D$497&lt;D6))*$E$2:$E$497)),F6&lt;SUMPRODUCT(MAX((($A$2:$A$497="止损计划")*($B$2:$B$497=B6)*($D$2:$D$497&lt;D6))*$F$2:$F$497)))),"阶段价格必须逐级提高","计划有效"))))))),IF(A6="每日跟踪",IF(OR(B6="",H6="",I6="",J6=""),"每日数据不完整",IF(COUNTIFS($A$2:$A$497,"每日跟踪",$B$2:$B$497,B6,$H$2:$H$497,H6)&gt;1,"同一交易日期重复",IF(AND(R6&lt;&gt;"",R6&lt;S6),"人工止损无效：不能下调","跟踪有效"))),"记录类型无效")))</f>
        <v/>
      </c>
    </row>
    <row r="7" ht="17" spans="1:29">
      <c r="A7" s="2"/>
      <c r="B7" s="2"/>
      <c r="C7" s="8" t="str">
        <f>IF(B7="","",IFERROR(LOOKUP(2,1/(单次交易!$A$2:$A$163=B7),单次交易!$B$2:$B$163),""))</f>
        <v/>
      </c>
      <c r="D7" s="12"/>
      <c r="E7" s="10"/>
      <c r="F7" s="10"/>
      <c r="G7" s="2"/>
      <c r="H7" s="15"/>
      <c r="I7" s="10"/>
      <c r="J7" s="21"/>
      <c r="K7" s="13"/>
      <c r="L7" s="2"/>
      <c r="M7" s="13"/>
      <c r="N7" s="5" t="str">
        <f>IF(B7="","",IFERROR(LOOKUP(2,1/(单次交易!$A$2:$A$163=B7),单次交易!$N$2:$N$163),""))</f>
        <v/>
      </c>
      <c r="O7" s="5" t="str">
        <f t="shared" si="0"/>
        <v/>
      </c>
      <c r="P7" s="11" t="str">
        <f t="shared" si="1"/>
        <v/>
      </c>
      <c r="Q7" s="5" t="str">
        <f t="shared" si="2"/>
        <v/>
      </c>
      <c r="R7" s="10"/>
      <c r="S7" s="5" t="str">
        <f t="shared" si="3"/>
        <v/>
      </c>
      <c r="T7" s="5" t="str">
        <f t="shared" si="4"/>
        <v/>
      </c>
      <c r="U7" s="5" t="str">
        <f t="shared" si="5"/>
        <v/>
      </c>
      <c r="V7" s="7" t="str">
        <f t="shared" si="6"/>
        <v/>
      </c>
      <c r="W7" s="8" t="str">
        <f t="shared" si="7"/>
        <v/>
      </c>
      <c r="X7" s="2"/>
      <c r="Y7" s="10"/>
      <c r="Z7" s="11" t="str">
        <f>IF(X7&lt;&gt;"执行卖出","",IFERROR(LOOKUP(2,1/(单次交易!$A$2:$A$163=B7),单次交易!$AP$2:$AP$163),""))</f>
        <v/>
      </c>
      <c r="AA7" s="10"/>
      <c r="AB7" s="8" t="str">
        <f t="shared" si="8"/>
        <v/>
      </c>
      <c r="AC7" s="8" t="str">
        <f>IF(A7="","",IF(A7="止损计划",IF(OR(B7="",D7="",E7="",F7="",G7=""),"计划不完整",IF(OR(D7&lt;1,D7&lt;&gt;INT(D7)),"阶段序号无效",IF(COUNTIFS($A$2:$A$497,"止损计划",$B$2:$B$497,B7,$D$2:$D$497,D7)&gt;1,"阶段序号重复",IF(E7&lt;=IFERROR(LOOKUP(2,1/(单次交易!$A$2:$A$163=B7),单次交易!$E$2:$E$163),0),"激活价须高于买入价",IF(F7&lt;N7,"止损价不得低于初始止损",IF(F7&gt;E7,"止损价不得高于激活价",IF(AND(COUNTIFS($A$2:$A$497,"止损计划",$B$2:$B$497,B7,$D$2:$D$497,"&lt;"&amp;D7)&gt;0,OR(E7&lt;=SUMPRODUCT(MAX((($A$2:$A$497="止损计划")*($B$2:$B$497=B7)*($D$2:$D$497&lt;D7))*$E$2:$E$497)),F7&lt;SUMPRODUCT(MAX((($A$2:$A$497="止损计划")*($B$2:$B$497=B7)*($D$2:$D$497&lt;D7))*$F$2:$F$497)))),"阶段价格必须逐级提高","计划有效"))))))),IF(A7="每日跟踪",IF(OR(B7="",H7="",I7="",J7=""),"每日数据不完整",IF(COUNTIFS($A$2:$A$497,"每日跟踪",$B$2:$B$497,B7,$H$2:$H$497,H7)&gt;1,"同一交易日期重复",IF(AND(R7&lt;&gt;"",R7&lt;S7),"人工止损无效：不能下调","跟踪有效"))),"记录类型无效")))</f>
        <v/>
      </c>
    </row>
    <row r="8" ht="17" spans="1:29">
      <c r="A8" s="2"/>
      <c r="B8" s="2"/>
      <c r="C8" s="8" t="str">
        <f>IF(B8="","",IFERROR(LOOKUP(2,1/(单次交易!$A$2:$A$163=B8),单次交易!$B$2:$B$163),""))</f>
        <v/>
      </c>
      <c r="D8" s="12"/>
      <c r="E8" s="10"/>
      <c r="F8" s="10"/>
      <c r="G8" s="2"/>
      <c r="H8" s="15"/>
      <c r="I8" s="10"/>
      <c r="J8" s="21"/>
      <c r="K8" s="13"/>
      <c r="L8" s="2"/>
      <c r="M8" s="13"/>
      <c r="N8" s="5" t="str">
        <f>IF(B8="","",IFERROR(LOOKUP(2,1/(单次交易!$A$2:$A$163=B8),单次交易!$N$2:$N$163),""))</f>
        <v/>
      </c>
      <c r="O8" s="5" t="str">
        <f t="shared" si="0"/>
        <v/>
      </c>
      <c r="P8" s="11" t="str">
        <f t="shared" si="1"/>
        <v/>
      </c>
      <c r="Q8" s="5" t="str">
        <f t="shared" si="2"/>
        <v/>
      </c>
      <c r="R8" s="10"/>
      <c r="S8" s="5" t="str">
        <f t="shared" si="3"/>
        <v/>
      </c>
      <c r="T8" s="5" t="str">
        <f t="shared" si="4"/>
        <v/>
      </c>
      <c r="U8" s="5" t="str">
        <f t="shared" si="5"/>
        <v/>
      </c>
      <c r="V8" s="7" t="str">
        <f t="shared" si="6"/>
        <v/>
      </c>
      <c r="W8" s="8" t="str">
        <f t="shared" si="7"/>
        <v/>
      </c>
      <c r="X8" s="2"/>
      <c r="Y8" s="10"/>
      <c r="Z8" s="11" t="str">
        <f>IF(X8&lt;&gt;"执行卖出","",IFERROR(LOOKUP(2,1/(单次交易!$A$2:$A$163=B8),单次交易!$AP$2:$AP$163),""))</f>
        <v/>
      </c>
      <c r="AA8" s="10"/>
      <c r="AB8" s="8" t="str">
        <f t="shared" si="8"/>
        <v/>
      </c>
      <c r="AC8" s="8" t="str">
        <f>IF(A8="","",IF(A8="止损计划",IF(OR(B8="",D8="",E8="",F8="",G8=""),"计划不完整",IF(OR(D8&lt;1,D8&lt;&gt;INT(D8)),"阶段序号无效",IF(COUNTIFS($A$2:$A$497,"止损计划",$B$2:$B$497,B8,$D$2:$D$497,D8)&gt;1,"阶段序号重复",IF(E8&lt;=IFERROR(LOOKUP(2,1/(单次交易!$A$2:$A$163=B8),单次交易!$E$2:$E$163),0),"激活价须高于买入价",IF(F8&lt;N8,"止损价不得低于初始止损",IF(F8&gt;E8,"止损价不得高于激活价",IF(AND(COUNTIFS($A$2:$A$497,"止损计划",$B$2:$B$497,B8,$D$2:$D$497,"&lt;"&amp;D8)&gt;0,OR(E8&lt;=SUMPRODUCT(MAX((($A$2:$A$497="止损计划")*($B$2:$B$497=B8)*($D$2:$D$497&lt;D8))*$E$2:$E$497)),F8&lt;SUMPRODUCT(MAX((($A$2:$A$497="止损计划")*($B$2:$B$497=B8)*($D$2:$D$497&lt;D8))*$F$2:$F$497)))),"阶段价格必须逐级提高","计划有效"))))))),IF(A8="每日跟踪",IF(OR(B8="",H8="",I8="",J8=""),"每日数据不完整",IF(COUNTIFS($A$2:$A$497,"每日跟踪",$B$2:$B$497,B8,$H$2:$H$497,H8)&gt;1,"同一交易日期重复",IF(AND(R8&lt;&gt;"",R8&lt;S8),"人工止损无效：不能下调","跟踪有效"))),"记录类型无效")))</f>
        <v/>
      </c>
    </row>
    <row r="9" ht="17" spans="1:29">
      <c r="A9" s="2"/>
      <c r="B9" s="2"/>
      <c r="C9" s="8" t="str">
        <f>IF(B9="","",IFERROR(LOOKUP(2,1/(单次交易!$A$2:$A$163=B9),单次交易!$B$2:$B$163),""))</f>
        <v/>
      </c>
      <c r="D9" s="12"/>
      <c r="E9" s="10"/>
      <c r="F9" s="10"/>
      <c r="G9" s="13"/>
      <c r="H9" s="15"/>
      <c r="I9" s="10"/>
      <c r="J9" s="12"/>
      <c r="K9" s="2"/>
      <c r="L9" s="2"/>
      <c r="M9" s="2"/>
      <c r="N9" s="5" t="str">
        <f>IF(B9="","",IFERROR(LOOKUP(2,1/(单次交易!$A$2:$A$163=B9),单次交易!$N$2:$N$163),""))</f>
        <v/>
      </c>
      <c r="O9" s="5" t="str">
        <f t="shared" si="0"/>
        <v/>
      </c>
      <c r="P9" s="11" t="str">
        <f t="shared" si="1"/>
        <v/>
      </c>
      <c r="Q9" s="5" t="str">
        <f t="shared" si="2"/>
        <v/>
      </c>
      <c r="R9" s="10"/>
      <c r="S9" s="5" t="str">
        <f t="shared" si="3"/>
        <v/>
      </c>
      <c r="T9" s="5" t="str">
        <f t="shared" si="4"/>
        <v/>
      </c>
      <c r="U9" s="5" t="str">
        <f t="shared" si="5"/>
        <v/>
      </c>
      <c r="V9" s="7" t="str">
        <f t="shared" si="6"/>
        <v/>
      </c>
      <c r="W9" s="8" t="str">
        <f t="shared" si="7"/>
        <v/>
      </c>
      <c r="X9" s="2"/>
      <c r="Y9" s="10"/>
      <c r="Z9" s="11" t="str">
        <f>IF(X9&lt;&gt;"执行卖出","",IFERROR(LOOKUP(2,1/(单次交易!$A$2:$A$163=B9),单次交易!$AP$2:$AP$163),""))</f>
        <v/>
      </c>
      <c r="AA9" s="10"/>
      <c r="AB9" s="8" t="str">
        <f t="shared" si="8"/>
        <v/>
      </c>
      <c r="AC9" s="8" t="str">
        <f>IF(A9="","",IF(A9="止损计划",IF(OR(B9="",D9="",E9="",F9="",G9=""),"计划不完整",IF(OR(D9&lt;1,D9&lt;&gt;INT(D9)),"阶段序号无效",IF(COUNTIFS($A$2:$A$497,"止损计划",$B$2:$B$497,B9,$D$2:$D$497,D9)&gt;1,"阶段序号重复",IF(E9&lt;=IFERROR(LOOKUP(2,1/(单次交易!$A$2:$A$163=B9),单次交易!$E$2:$E$163),0),"激活价须高于买入价",IF(F9&lt;N9,"止损价不得低于初始止损",IF(F9&gt;E9,"止损价不得高于激活价",IF(AND(COUNTIFS($A$2:$A$497,"止损计划",$B$2:$B$497,B9,$D$2:$D$497,"&lt;"&amp;D9)&gt;0,OR(E9&lt;=SUMPRODUCT(MAX((($A$2:$A$497="止损计划")*($B$2:$B$497=B9)*($D$2:$D$497&lt;D9))*$E$2:$E$497)),F9&lt;SUMPRODUCT(MAX((($A$2:$A$497="止损计划")*($B$2:$B$497=B9)*($D$2:$D$497&lt;D9))*$F$2:$F$497)))),"阶段价格必须逐级提高","计划有效"))))))),IF(A9="每日跟踪",IF(OR(B9="",H9="",I9="",J9=""),"每日数据不完整",IF(COUNTIFS($A$2:$A$497,"每日跟踪",$B$2:$B$497,B9,$H$2:$H$497,H9)&gt;1,"同一交易日期重复",IF(AND(R9&lt;&gt;"",R9&lt;S9),"人工止损无效：不能下调","跟踪有效"))),"记录类型无效")))</f>
        <v/>
      </c>
    </row>
    <row r="10" ht="17" spans="1:29">
      <c r="A10" s="2"/>
      <c r="B10" s="2"/>
      <c r="C10" s="8" t="str">
        <f>IF(B10="","",IFERROR(LOOKUP(2,1/(单次交易!$A$2:$A$163=B10),单次交易!$B$2:$B$163),""))</f>
        <v/>
      </c>
      <c r="D10" s="12"/>
      <c r="E10" s="10"/>
      <c r="F10" s="10"/>
      <c r="G10" s="2"/>
      <c r="H10" s="15"/>
      <c r="I10" s="10"/>
      <c r="J10" s="21"/>
      <c r="K10" s="13"/>
      <c r="L10" s="2"/>
      <c r="M10" s="13"/>
      <c r="N10" s="5" t="str">
        <f>IF(B10="","",IFERROR(LOOKUP(2,1/(单次交易!$A$2:$A$163=B10),单次交易!$N$2:$N$163),""))</f>
        <v/>
      </c>
      <c r="O10" s="5" t="str">
        <f t="shared" si="0"/>
        <v/>
      </c>
      <c r="P10" s="11" t="str">
        <f t="shared" si="1"/>
        <v/>
      </c>
      <c r="Q10" s="5" t="str">
        <f t="shared" si="2"/>
        <v/>
      </c>
      <c r="R10" s="10"/>
      <c r="S10" s="5" t="str">
        <f t="shared" si="3"/>
        <v/>
      </c>
      <c r="T10" s="5" t="str">
        <f t="shared" si="4"/>
        <v/>
      </c>
      <c r="U10" s="5" t="str">
        <f t="shared" si="5"/>
        <v/>
      </c>
      <c r="V10" s="7" t="str">
        <f t="shared" si="6"/>
        <v/>
      </c>
      <c r="W10" s="8" t="str">
        <f t="shared" si="7"/>
        <v/>
      </c>
      <c r="X10" s="2"/>
      <c r="Y10" s="10"/>
      <c r="Z10" s="11" t="str">
        <f>IF(X10&lt;&gt;"执行卖出","",IFERROR(LOOKUP(2,1/(单次交易!$A$2:$A$163=B10),单次交易!$AP$2:$AP$163),""))</f>
        <v/>
      </c>
      <c r="AA10" s="10"/>
      <c r="AB10" s="8" t="str">
        <f t="shared" si="8"/>
        <v/>
      </c>
      <c r="AC10" s="8" t="str">
        <f>IF(A10="","",IF(A10="止损计划",IF(OR(B10="",D10="",E10="",F10="",G10=""),"计划不完整",IF(OR(D10&lt;1,D10&lt;&gt;INT(D10)),"阶段序号无效",IF(COUNTIFS($A$2:$A$497,"止损计划",$B$2:$B$497,B10,$D$2:$D$497,D10)&gt;1,"阶段序号重复",IF(E10&lt;=IFERROR(LOOKUP(2,1/(单次交易!$A$2:$A$163=B10),单次交易!$E$2:$E$163),0),"激活价须高于买入价",IF(F10&lt;N10,"止损价不得低于初始止损",IF(F10&gt;E10,"止损价不得高于激活价",IF(AND(COUNTIFS($A$2:$A$497,"止损计划",$B$2:$B$497,B10,$D$2:$D$497,"&lt;"&amp;D10)&gt;0,OR(E10&lt;=SUMPRODUCT(MAX((($A$2:$A$497="止损计划")*($B$2:$B$497=B10)*($D$2:$D$497&lt;D10))*$E$2:$E$497)),F10&lt;SUMPRODUCT(MAX((($A$2:$A$497="止损计划")*($B$2:$B$497=B10)*($D$2:$D$497&lt;D10))*$F$2:$F$497)))),"阶段价格必须逐级提高","计划有效"))))))),IF(A10="每日跟踪",IF(OR(B10="",H10="",I10="",J10=""),"每日数据不完整",IF(COUNTIFS($A$2:$A$497,"每日跟踪",$B$2:$B$497,B10,$H$2:$H$497,H10)&gt;1,"同一交易日期重复",IF(AND(R10&lt;&gt;"",R10&lt;S10),"人工止损无效：不能下调","跟踪有效"))),"记录类型无效")))</f>
        <v/>
      </c>
    </row>
    <row r="11" ht="17" spans="1:29">
      <c r="A11" s="2"/>
      <c r="B11" s="2"/>
      <c r="C11" s="8" t="str">
        <f>IF(B11="","",IFERROR(LOOKUP(2,1/(单次交易!$A$2:$A$163=B11),单次交易!$B$2:$B$163),""))</f>
        <v/>
      </c>
      <c r="D11" s="12"/>
      <c r="E11" s="10"/>
      <c r="F11" s="10"/>
      <c r="G11" s="2"/>
      <c r="H11" s="15"/>
      <c r="I11" s="10"/>
      <c r="J11" s="21"/>
      <c r="K11" s="13"/>
      <c r="L11" s="2"/>
      <c r="M11" s="13"/>
      <c r="N11" s="5" t="str">
        <f>IF(B11="","",IFERROR(LOOKUP(2,1/(单次交易!$A$2:$A$163=B11),单次交易!$N$2:$N$163),""))</f>
        <v/>
      </c>
      <c r="O11" s="5" t="str">
        <f t="shared" si="0"/>
        <v/>
      </c>
      <c r="P11" s="11" t="str">
        <f t="shared" si="1"/>
        <v/>
      </c>
      <c r="Q11" s="5" t="str">
        <f t="shared" si="2"/>
        <v/>
      </c>
      <c r="R11" s="10"/>
      <c r="S11" s="5" t="str">
        <f t="shared" si="3"/>
        <v/>
      </c>
      <c r="T11" s="5" t="str">
        <f t="shared" si="4"/>
        <v/>
      </c>
      <c r="U11" s="5" t="str">
        <f t="shared" si="5"/>
        <v/>
      </c>
      <c r="V11" s="7" t="str">
        <f t="shared" si="6"/>
        <v/>
      </c>
      <c r="W11" s="8" t="str">
        <f t="shared" si="7"/>
        <v/>
      </c>
      <c r="X11" s="2"/>
      <c r="Y11" s="10"/>
      <c r="Z11" s="11" t="str">
        <f>IF(X11&lt;&gt;"执行卖出","",IFERROR(LOOKUP(2,1/(单次交易!$A$2:$A$163=B11),单次交易!$AP$2:$AP$163),""))</f>
        <v/>
      </c>
      <c r="AA11" s="10"/>
      <c r="AB11" s="8" t="str">
        <f t="shared" si="8"/>
        <v/>
      </c>
      <c r="AC11" s="8" t="str">
        <f>IF(A11="","",IF(A11="止损计划",IF(OR(B11="",D11="",E11="",F11="",G11=""),"计划不完整",IF(OR(D11&lt;1,D11&lt;&gt;INT(D11)),"阶段序号无效",IF(COUNTIFS($A$2:$A$497,"止损计划",$B$2:$B$497,B11,$D$2:$D$497,D11)&gt;1,"阶段序号重复",IF(E11&lt;=IFERROR(LOOKUP(2,1/(单次交易!$A$2:$A$163=B11),单次交易!$E$2:$E$163),0),"激活价须高于买入价",IF(F11&lt;N11,"止损价不得低于初始止损",IF(F11&gt;E11,"止损价不得高于激活价",IF(AND(COUNTIFS($A$2:$A$497,"止损计划",$B$2:$B$497,B11,$D$2:$D$497,"&lt;"&amp;D11)&gt;0,OR(E11&lt;=SUMPRODUCT(MAX((($A$2:$A$497="止损计划")*($B$2:$B$497=B11)*($D$2:$D$497&lt;D11))*$E$2:$E$497)),F11&lt;SUMPRODUCT(MAX((($A$2:$A$497="止损计划")*($B$2:$B$497=B11)*($D$2:$D$497&lt;D11))*$F$2:$F$497)))),"阶段价格必须逐级提高","计划有效"))))))),IF(A11="每日跟踪",IF(OR(B11="",H11="",I11="",J11=""),"每日数据不完整",IF(COUNTIFS($A$2:$A$497,"每日跟踪",$B$2:$B$497,B11,$H$2:$H$497,H11)&gt;1,"同一交易日期重复",IF(AND(R11&lt;&gt;"",R11&lt;S11),"人工止损无效：不能下调","跟踪有效"))),"记录类型无效")))</f>
        <v/>
      </c>
    </row>
    <row r="12" ht="17" spans="1:29">
      <c r="A12" s="2"/>
      <c r="B12" s="2"/>
      <c r="C12" s="8" t="str">
        <f>IF(B12="","",IFERROR(LOOKUP(2,1/(单次交易!$A$2:$A$163=B12),单次交易!$B$2:$B$163),""))</f>
        <v/>
      </c>
      <c r="D12" s="12"/>
      <c r="E12" s="10"/>
      <c r="F12" s="10"/>
      <c r="G12" s="2"/>
      <c r="H12" s="15"/>
      <c r="I12" s="10"/>
      <c r="J12" s="21"/>
      <c r="K12" s="13"/>
      <c r="L12" s="2"/>
      <c r="M12" s="13"/>
      <c r="N12" s="5" t="str">
        <f>IF(B12="","",IFERROR(LOOKUP(2,1/(单次交易!$A$2:$A$163=B12),单次交易!$N$2:$N$163),""))</f>
        <v/>
      </c>
      <c r="O12" s="5" t="str">
        <f t="shared" si="0"/>
        <v/>
      </c>
      <c r="P12" s="11" t="str">
        <f t="shared" si="1"/>
        <v/>
      </c>
      <c r="Q12" s="5" t="str">
        <f t="shared" si="2"/>
        <v/>
      </c>
      <c r="R12" s="10"/>
      <c r="S12" s="5" t="str">
        <f t="shared" si="3"/>
        <v/>
      </c>
      <c r="T12" s="5" t="str">
        <f t="shared" si="4"/>
        <v/>
      </c>
      <c r="U12" s="5" t="str">
        <f t="shared" si="5"/>
        <v/>
      </c>
      <c r="V12" s="7" t="str">
        <f t="shared" si="6"/>
        <v/>
      </c>
      <c r="W12" s="8" t="str">
        <f t="shared" si="7"/>
        <v/>
      </c>
      <c r="X12" s="2"/>
      <c r="Y12" s="10"/>
      <c r="Z12" s="11" t="str">
        <f>IF(X12&lt;&gt;"执行卖出","",IFERROR(LOOKUP(2,1/(单次交易!$A$2:$A$163=B12),单次交易!$AP$2:$AP$163),""))</f>
        <v/>
      </c>
      <c r="AA12" s="10"/>
      <c r="AB12" s="8" t="str">
        <f t="shared" si="8"/>
        <v/>
      </c>
      <c r="AC12" s="8" t="str">
        <f>IF(A12="","",IF(A12="止损计划",IF(OR(B12="",D12="",E12="",F12="",G12=""),"计划不完整",IF(OR(D12&lt;1,D12&lt;&gt;INT(D12)),"阶段序号无效",IF(COUNTIFS($A$2:$A$497,"止损计划",$B$2:$B$497,B12,$D$2:$D$497,D12)&gt;1,"阶段序号重复",IF(E12&lt;=IFERROR(LOOKUP(2,1/(单次交易!$A$2:$A$163=B12),单次交易!$E$2:$E$163),0),"激活价须高于买入价",IF(F12&lt;N12,"止损价不得低于初始止损",IF(F12&gt;E12,"止损价不得高于激活价",IF(AND(COUNTIFS($A$2:$A$497,"止损计划",$B$2:$B$497,B12,$D$2:$D$497,"&lt;"&amp;D12)&gt;0,OR(E12&lt;=SUMPRODUCT(MAX((($A$2:$A$497="止损计划")*($B$2:$B$497=B12)*($D$2:$D$497&lt;D12))*$E$2:$E$497)),F12&lt;SUMPRODUCT(MAX((($A$2:$A$497="止损计划")*($B$2:$B$497=B12)*($D$2:$D$497&lt;D12))*$F$2:$F$497)))),"阶段价格必须逐级提高","计划有效"))))))),IF(A12="每日跟踪",IF(OR(B12="",H12="",I12="",J12=""),"每日数据不完整",IF(COUNTIFS($A$2:$A$497,"每日跟踪",$B$2:$B$497,B12,$H$2:$H$497,H12)&gt;1,"同一交易日期重复",IF(AND(R12&lt;&gt;"",R12&lt;S12),"人工止损无效：不能下调","跟踪有效"))),"记录类型无效")))</f>
        <v/>
      </c>
    </row>
    <row r="13" ht="17" spans="1:29">
      <c r="A13" s="2"/>
      <c r="B13" s="2"/>
      <c r="C13" s="8" t="str">
        <f>IF(B13="","",IFERROR(LOOKUP(2,1/(单次交易!$A$2:$A$163=B13),单次交易!$B$2:$B$163),""))</f>
        <v/>
      </c>
      <c r="D13" s="12"/>
      <c r="E13" s="10"/>
      <c r="F13" s="10"/>
      <c r="G13" s="2"/>
      <c r="H13" s="15"/>
      <c r="I13" s="10"/>
      <c r="J13" s="21"/>
      <c r="K13" s="13"/>
      <c r="L13" s="2"/>
      <c r="M13" s="13"/>
      <c r="N13" s="5" t="str">
        <f>IF(B13="","",IFERROR(LOOKUP(2,1/(单次交易!$A$2:$A$163=B13),单次交易!$N$2:$N$163),""))</f>
        <v/>
      </c>
      <c r="O13" s="5" t="str">
        <f t="shared" si="0"/>
        <v/>
      </c>
      <c r="P13" s="11" t="str">
        <f t="shared" si="1"/>
        <v/>
      </c>
      <c r="Q13" s="5" t="str">
        <f t="shared" si="2"/>
        <v/>
      </c>
      <c r="R13" s="10"/>
      <c r="S13" s="5" t="str">
        <f t="shared" si="3"/>
        <v/>
      </c>
      <c r="T13" s="5" t="str">
        <f t="shared" si="4"/>
        <v/>
      </c>
      <c r="U13" s="5" t="str">
        <f t="shared" si="5"/>
        <v/>
      </c>
      <c r="V13" s="7" t="str">
        <f t="shared" si="6"/>
        <v/>
      </c>
      <c r="W13" s="8" t="str">
        <f t="shared" si="7"/>
        <v/>
      </c>
      <c r="X13" s="2"/>
      <c r="Y13" s="10"/>
      <c r="Z13" s="11" t="str">
        <f>IF(X13&lt;&gt;"执行卖出","",IFERROR(LOOKUP(2,1/(单次交易!$A$2:$A$163=B13),单次交易!$AP$2:$AP$163),""))</f>
        <v/>
      </c>
      <c r="AA13" s="10"/>
      <c r="AB13" s="8" t="str">
        <f t="shared" si="8"/>
        <v/>
      </c>
      <c r="AC13" s="8" t="str">
        <f>IF(A13="","",IF(A13="止损计划",IF(OR(B13="",D13="",E13="",F13="",G13=""),"计划不完整",IF(OR(D13&lt;1,D13&lt;&gt;INT(D13)),"阶段序号无效",IF(COUNTIFS($A$2:$A$497,"止损计划",$B$2:$B$497,B13,$D$2:$D$497,D13)&gt;1,"阶段序号重复",IF(E13&lt;=IFERROR(LOOKUP(2,1/(单次交易!$A$2:$A$163=B13),单次交易!$E$2:$E$163),0),"激活价须高于买入价",IF(F13&lt;N13,"止损价不得低于初始止损",IF(F13&gt;E13,"止损价不得高于激活价",IF(AND(COUNTIFS($A$2:$A$497,"止损计划",$B$2:$B$497,B13,$D$2:$D$497,"&lt;"&amp;D13)&gt;0,OR(E13&lt;=SUMPRODUCT(MAX((($A$2:$A$497="止损计划")*($B$2:$B$497=B13)*($D$2:$D$497&lt;D13))*$E$2:$E$497)),F13&lt;SUMPRODUCT(MAX((($A$2:$A$497="止损计划")*($B$2:$B$497=B13)*($D$2:$D$497&lt;D13))*$F$2:$F$497)))),"阶段价格必须逐级提高","计划有效"))))))),IF(A13="每日跟踪",IF(OR(B13="",H13="",I13="",J13=""),"每日数据不完整",IF(COUNTIFS($A$2:$A$497,"每日跟踪",$B$2:$B$497,B13,$H$2:$H$497,H13)&gt;1,"同一交易日期重复",IF(AND(R13&lt;&gt;"",R13&lt;S13),"人工止损无效：不能下调","跟踪有效"))),"记录类型无效")))</f>
        <v/>
      </c>
    </row>
    <row r="14" ht="17" spans="1:29">
      <c r="A14" s="2"/>
      <c r="B14" s="2"/>
      <c r="C14" s="8" t="str">
        <f>IF(B14="","",IFERROR(LOOKUP(2,1/(单次交易!$A$2:$A$163=B14),单次交易!$B$2:$B$163),""))</f>
        <v/>
      </c>
      <c r="D14" s="12"/>
      <c r="E14" s="10"/>
      <c r="F14" s="10"/>
      <c r="G14" s="2"/>
      <c r="H14" s="15"/>
      <c r="I14" s="10"/>
      <c r="J14" s="21"/>
      <c r="K14" s="13"/>
      <c r="L14" s="2"/>
      <c r="M14" s="13"/>
      <c r="N14" s="5" t="str">
        <f>IF(B14="","",IFERROR(LOOKUP(2,1/(单次交易!$A$2:$A$163=B14),单次交易!$N$2:$N$163),""))</f>
        <v/>
      </c>
      <c r="O14" s="5" t="str">
        <f t="shared" si="0"/>
        <v/>
      </c>
      <c r="P14" s="11" t="str">
        <f t="shared" si="1"/>
        <v/>
      </c>
      <c r="Q14" s="5" t="str">
        <f t="shared" si="2"/>
        <v/>
      </c>
      <c r="R14" s="10"/>
      <c r="S14" s="5" t="str">
        <f t="shared" si="3"/>
        <v/>
      </c>
      <c r="T14" s="5" t="str">
        <f t="shared" si="4"/>
        <v/>
      </c>
      <c r="U14" s="5" t="str">
        <f t="shared" si="5"/>
        <v/>
      </c>
      <c r="V14" s="7" t="str">
        <f t="shared" si="6"/>
        <v/>
      </c>
      <c r="W14" s="8" t="str">
        <f t="shared" si="7"/>
        <v/>
      </c>
      <c r="X14" s="2"/>
      <c r="Y14" s="10"/>
      <c r="Z14" s="11" t="str">
        <f>IF(X14&lt;&gt;"执行卖出","",IFERROR(LOOKUP(2,1/(单次交易!$A$2:$A$163=B14),单次交易!$AP$2:$AP$163),""))</f>
        <v/>
      </c>
      <c r="AA14" s="10"/>
      <c r="AB14" s="8" t="str">
        <f t="shared" si="8"/>
        <v/>
      </c>
      <c r="AC14" s="8" t="str">
        <f>IF(A14="","",IF(A14="止损计划",IF(OR(B14="",D14="",E14="",F14="",G14=""),"计划不完整",IF(OR(D14&lt;1,D14&lt;&gt;INT(D14)),"阶段序号无效",IF(COUNTIFS($A$2:$A$497,"止损计划",$B$2:$B$497,B14,$D$2:$D$497,D14)&gt;1,"阶段序号重复",IF(E14&lt;=IFERROR(LOOKUP(2,1/(单次交易!$A$2:$A$163=B14),单次交易!$E$2:$E$163),0),"激活价须高于买入价",IF(F14&lt;N14,"止损价不得低于初始止损",IF(F14&gt;E14,"止损价不得高于激活价",IF(AND(COUNTIFS($A$2:$A$497,"止损计划",$B$2:$B$497,B14,$D$2:$D$497,"&lt;"&amp;D14)&gt;0,OR(E14&lt;=SUMPRODUCT(MAX((($A$2:$A$497="止损计划")*($B$2:$B$497=B14)*($D$2:$D$497&lt;D14))*$E$2:$E$497)),F14&lt;SUMPRODUCT(MAX((($A$2:$A$497="止损计划")*($B$2:$B$497=B14)*($D$2:$D$497&lt;D14))*$F$2:$F$497)))),"阶段价格必须逐级提高","计划有效"))))))),IF(A14="每日跟踪",IF(OR(B14="",H14="",I14="",J14=""),"每日数据不完整",IF(COUNTIFS($A$2:$A$497,"每日跟踪",$B$2:$B$497,B14,$H$2:$H$497,H14)&gt;1,"同一交易日期重复",IF(AND(R14&lt;&gt;"",R14&lt;S14),"人工止损无效：不能下调","跟踪有效"))),"记录类型无效")))</f>
        <v/>
      </c>
    </row>
    <row r="15" ht="17" spans="1:29">
      <c r="A15" s="2"/>
      <c r="B15" s="2"/>
      <c r="C15" s="8" t="str">
        <f>IF(B15="","",IFERROR(LOOKUP(2,1/(单次交易!$A$2:$A$163=B15),单次交易!$B$2:$B$163),""))</f>
        <v/>
      </c>
      <c r="D15" s="12"/>
      <c r="E15" s="10"/>
      <c r="F15" s="10"/>
      <c r="G15" s="2"/>
      <c r="H15" s="15"/>
      <c r="I15" s="10"/>
      <c r="J15" s="21"/>
      <c r="K15" s="13"/>
      <c r="L15" s="2"/>
      <c r="M15" s="2"/>
      <c r="N15" s="5" t="str">
        <f>IF(B15="","",IFERROR(LOOKUP(2,1/(单次交易!$A$2:$A$163=B15),单次交易!$N$2:$N$163),""))</f>
        <v/>
      </c>
      <c r="O15" s="5" t="str">
        <f t="shared" si="0"/>
        <v/>
      </c>
      <c r="P15" s="11" t="str">
        <f t="shared" si="1"/>
        <v/>
      </c>
      <c r="Q15" s="5" t="str">
        <f t="shared" si="2"/>
        <v/>
      </c>
      <c r="R15" s="10"/>
      <c r="S15" s="5" t="str">
        <f t="shared" si="3"/>
        <v/>
      </c>
      <c r="T15" s="5" t="str">
        <f t="shared" si="4"/>
        <v/>
      </c>
      <c r="U15" s="5" t="str">
        <f t="shared" si="5"/>
        <v/>
      </c>
      <c r="V15" s="7" t="str">
        <f t="shared" si="6"/>
        <v/>
      </c>
      <c r="W15" s="8" t="str">
        <f t="shared" si="7"/>
        <v/>
      </c>
      <c r="X15" s="2"/>
      <c r="Y15" s="10"/>
      <c r="Z15" s="11" t="str">
        <f>IF(X15&lt;&gt;"执行卖出","",IFERROR(LOOKUP(2,1/(单次交易!$A$2:$A$163=B15),单次交易!$AP$2:$AP$163),""))</f>
        <v/>
      </c>
      <c r="AA15" s="10"/>
      <c r="AB15" s="8" t="str">
        <f t="shared" si="8"/>
        <v/>
      </c>
      <c r="AC15" s="8" t="str">
        <f>IF(A15="","",IF(A15="止损计划",IF(OR(B15="",D15="",E15="",F15="",G15=""),"计划不完整",IF(OR(D15&lt;1,D15&lt;&gt;INT(D15)),"阶段序号无效",IF(COUNTIFS($A$2:$A$497,"止损计划",$B$2:$B$497,B15,$D$2:$D$497,D15)&gt;1,"阶段序号重复",IF(E15&lt;=IFERROR(LOOKUP(2,1/(单次交易!$A$2:$A$163=B15),单次交易!$E$2:$E$163),0),"激活价须高于买入价",IF(F15&lt;N15,"止损价不得低于初始止损",IF(F15&gt;E15,"止损价不得高于激活价",IF(AND(COUNTIFS($A$2:$A$497,"止损计划",$B$2:$B$497,B15,$D$2:$D$497,"&lt;"&amp;D15)&gt;0,OR(E15&lt;=SUMPRODUCT(MAX((($A$2:$A$497="止损计划")*($B$2:$B$497=B15)*($D$2:$D$497&lt;D15))*$E$2:$E$497)),F15&lt;SUMPRODUCT(MAX((($A$2:$A$497="止损计划")*($B$2:$B$497=B15)*($D$2:$D$497&lt;D15))*$F$2:$F$497)))),"阶段价格必须逐级提高","计划有效"))))))),IF(A15="每日跟踪",IF(OR(B15="",H15="",I15="",J15=""),"每日数据不完整",IF(COUNTIFS($A$2:$A$497,"每日跟踪",$B$2:$B$497,B15,$H$2:$H$497,H15)&gt;1,"同一交易日期重复",IF(AND(R15&lt;&gt;"",R15&lt;S15),"人工止损无效：不能下调","跟踪有效"))),"记录类型无效")))</f>
        <v/>
      </c>
    </row>
    <row r="16" ht="17" spans="1:29">
      <c r="A16" s="2"/>
      <c r="B16" s="2"/>
      <c r="C16" s="8" t="str">
        <f>IF(B16="","",IFERROR(LOOKUP(2,1/(单次交易!$A$2:$A$163=B16),单次交易!$B$2:$B$163),""))</f>
        <v/>
      </c>
      <c r="D16" s="12"/>
      <c r="E16" s="10"/>
      <c r="F16" s="10"/>
      <c r="G16" s="2"/>
      <c r="H16" s="15"/>
      <c r="I16" s="10"/>
      <c r="J16" s="21"/>
      <c r="K16" s="13"/>
      <c r="L16" s="2"/>
      <c r="M16" s="13"/>
      <c r="N16" s="5" t="str">
        <f>IF(B16="","",IFERROR(LOOKUP(2,1/(单次交易!$A$2:$A$163=B16),单次交易!$N$2:$N$163),""))</f>
        <v/>
      </c>
      <c r="O16" s="5" t="str">
        <f t="shared" si="0"/>
        <v/>
      </c>
      <c r="P16" s="11" t="str">
        <f t="shared" si="1"/>
        <v/>
      </c>
      <c r="Q16" s="5" t="str">
        <f t="shared" si="2"/>
        <v/>
      </c>
      <c r="R16" s="10"/>
      <c r="S16" s="5" t="str">
        <f t="shared" si="3"/>
        <v/>
      </c>
      <c r="T16" s="5" t="str">
        <f t="shared" si="4"/>
        <v/>
      </c>
      <c r="U16" s="5" t="str">
        <f t="shared" si="5"/>
        <v/>
      </c>
      <c r="V16" s="7" t="str">
        <f t="shared" si="6"/>
        <v/>
      </c>
      <c r="W16" s="8" t="str">
        <f t="shared" si="7"/>
        <v/>
      </c>
      <c r="X16" s="2"/>
      <c r="Y16" s="10"/>
      <c r="Z16" s="11" t="str">
        <f>IF(X16&lt;&gt;"执行卖出","",IFERROR(LOOKUP(2,1/(单次交易!$A$2:$A$163=B16),单次交易!$AP$2:$AP$163),""))</f>
        <v/>
      </c>
      <c r="AA16" s="10"/>
      <c r="AB16" s="8" t="str">
        <f t="shared" si="8"/>
        <v/>
      </c>
      <c r="AC16" s="8" t="str">
        <f>IF(A16="","",IF(A16="止损计划",IF(OR(B16="",D16="",E16="",F16="",G16=""),"计划不完整",IF(OR(D16&lt;1,D16&lt;&gt;INT(D16)),"阶段序号无效",IF(COUNTIFS($A$2:$A$497,"止损计划",$B$2:$B$497,B16,$D$2:$D$497,D16)&gt;1,"阶段序号重复",IF(E16&lt;=IFERROR(LOOKUP(2,1/(单次交易!$A$2:$A$163=B16),单次交易!$E$2:$E$163),0),"激活价须高于买入价",IF(F16&lt;N16,"止损价不得低于初始止损",IF(F16&gt;E16,"止损价不得高于激活价",IF(AND(COUNTIFS($A$2:$A$497,"止损计划",$B$2:$B$497,B16,$D$2:$D$497,"&lt;"&amp;D16)&gt;0,OR(E16&lt;=SUMPRODUCT(MAX((($A$2:$A$497="止损计划")*($B$2:$B$497=B16)*($D$2:$D$497&lt;D16))*$E$2:$E$497)),F16&lt;SUMPRODUCT(MAX((($A$2:$A$497="止损计划")*($B$2:$B$497=B16)*($D$2:$D$497&lt;D16))*$F$2:$F$497)))),"阶段价格必须逐级提高","计划有效"))))))),IF(A16="每日跟踪",IF(OR(B16="",H16="",I16="",J16=""),"每日数据不完整",IF(COUNTIFS($A$2:$A$497,"每日跟踪",$B$2:$B$497,B16,$H$2:$H$497,H16)&gt;1,"同一交易日期重复",IF(AND(R16&lt;&gt;"",R16&lt;S16),"人工止损无效：不能下调","跟踪有效"))),"记录类型无效")))</f>
        <v/>
      </c>
    </row>
    <row r="17" ht="17" spans="1:29">
      <c r="A17" s="2"/>
      <c r="B17" s="2"/>
      <c r="C17" s="8" t="str">
        <f>IF(B17="","",IFERROR(LOOKUP(2,1/(单次交易!$A$2:$A$163=B17),单次交易!$B$2:$B$163),""))</f>
        <v/>
      </c>
      <c r="D17" s="12"/>
      <c r="E17" s="10"/>
      <c r="F17" s="10"/>
      <c r="G17" s="2"/>
      <c r="H17" s="15"/>
      <c r="I17" s="10"/>
      <c r="J17" s="21"/>
      <c r="K17" s="13"/>
      <c r="L17" s="2"/>
      <c r="M17" s="13"/>
      <c r="N17" s="5" t="str">
        <f>IF(B17="","",IFERROR(LOOKUP(2,1/(单次交易!$A$2:$A$163=B17),单次交易!$N$2:$N$163),""))</f>
        <v/>
      </c>
      <c r="O17" s="5" t="str">
        <f t="shared" si="0"/>
        <v/>
      </c>
      <c r="P17" s="11" t="str">
        <f t="shared" si="1"/>
        <v/>
      </c>
      <c r="Q17" s="5" t="str">
        <f t="shared" si="2"/>
        <v/>
      </c>
      <c r="R17" s="10"/>
      <c r="S17" s="5" t="str">
        <f t="shared" si="3"/>
        <v/>
      </c>
      <c r="T17" s="5" t="str">
        <f t="shared" si="4"/>
        <v/>
      </c>
      <c r="U17" s="5" t="str">
        <f t="shared" si="5"/>
        <v/>
      </c>
      <c r="V17" s="7" t="str">
        <f t="shared" si="6"/>
        <v/>
      </c>
      <c r="W17" s="8" t="str">
        <f t="shared" si="7"/>
        <v/>
      </c>
      <c r="X17" s="2"/>
      <c r="Y17" s="10"/>
      <c r="Z17" s="11" t="str">
        <f>IF(X17&lt;&gt;"执行卖出","",IFERROR(LOOKUP(2,1/(单次交易!$A$2:$A$163=B17),单次交易!$AP$2:$AP$163),""))</f>
        <v/>
      </c>
      <c r="AA17" s="10"/>
      <c r="AB17" s="8" t="str">
        <f t="shared" si="8"/>
        <v/>
      </c>
      <c r="AC17" s="8" t="str">
        <f>IF(A17="","",IF(A17="止损计划",IF(OR(B17="",D17="",E17="",F17="",G17=""),"计划不完整",IF(OR(D17&lt;1,D17&lt;&gt;INT(D17)),"阶段序号无效",IF(COUNTIFS($A$2:$A$497,"止损计划",$B$2:$B$497,B17,$D$2:$D$497,D17)&gt;1,"阶段序号重复",IF(E17&lt;=IFERROR(LOOKUP(2,1/(单次交易!$A$2:$A$163=B17),单次交易!$E$2:$E$163),0),"激活价须高于买入价",IF(F17&lt;N17,"止损价不得低于初始止损",IF(F17&gt;E17,"止损价不得高于激活价",IF(AND(COUNTIFS($A$2:$A$497,"止损计划",$B$2:$B$497,B17,$D$2:$D$497,"&lt;"&amp;D17)&gt;0,OR(E17&lt;=SUMPRODUCT(MAX((($A$2:$A$497="止损计划")*($B$2:$B$497=B17)*($D$2:$D$497&lt;D17))*$E$2:$E$497)),F17&lt;SUMPRODUCT(MAX((($A$2:$A$497="止损计划")*($B$2:$B$497=B17)*($D$2:$D$497&lt;D17))*$F$2:$F$497)))),"阶段价格必须逐级提高","计划有效"))))))),IF(A17="每日跟踪",IF(OR(B17="",H17="",I17="",J17=""),"每日数据不完整",IF(COUNTIFS($A$2:$A$497,"每日跟踪",$B$2:$B$497,B17,$H$2:$H$497,H17)&gt;1,"同一交易日期重复",IF(AND(R17&lt;&gt;"",R17&lt;S17),"人工止损无效：不能下调","跟踪有效"))),"记录类型无效")))</f>
        <v/>
      </c>
    </row>
    <row r="18" ht="17" spans="1:29">
      <c r="A18" s="2"/>
      <c r="B18" s="2"/>
      <c r="C18" s="8" t="str">
        <f>IF(B18="","",IFERROR(LOOKUP(2,1/(单次交易!$A$2:$A$163=B18),单次交易!$B$2:$B$163),""))</f>
        <v/>
      </c>
      <c r="D18" s="12"/>
      <c r="E18" s="10"/>
      <c r="F18" s="10"/>
      <c r="G18" s="2"/>
      <c r="H18" s="15"/>
      <c r="I18" s="10"/>
      <c r="J18" s="21"/>
      <c r="K18" s="13"/>
      <c r="L18" s="2"/>
      <c r="M18" s="13"/>
      <c r="N18" s="5" t="str">
        <f>IF(B18="","",IFERROR(LOOKUP(2,1/(单次交易!$A$2:$A$163=B18),单次交易!$N$2:$N$163),""))</f>
        <v/>
      </c>
      <c r="O18" s="5" t="str">
        <f t="shared" si="0"/>
        <v/>
      </c>
      <c r="P18" s="11" t="str">
        <f t="shared" si="1"/>
        <v/>
      </c>
      <c r="Q18" s="5" t="str">
        <f t="shared" si="2"/>
        <v/>
      </c>
      <c r="R18" s="10"/>
      <c r="S18" s="5" t="str">
        <f t="shared" si="3"/>
        <v/>
      </c>
      <c r="T18" s="5" t="str">
        <f t="shared" si="4"/>
        <v/>
      </c>
      <c r="U18" s="5" t="str">
        <f t="shared" si="5"/>
        <v/>
      </c>
      <c r="V18" s="7" t="str">
        <f t="shared" si="6"/>
        <v/>
      </c>
      <c r="W18" s="8" t="str">
        <f t="shared" si="7"/>
        <v/>
      </c>
      <c r="X18" s="2"/>
      <c r="Y18" s="10"/>
      <c r="Z18" s="11" t="str">
        <f>IF(X18&lt;&gt;"执行卖出","",IFERROR(LOOKUP(2,1/(单次交易!$A$2:$A$163=B18),单次交易!$AP$2:$AP$163),""))</f>
        <v/>
      </c>
      <c r="AA18" s="10"/>
      <c r="AB18" s="8" t="str">
        <f t="shared" si="8"/>
        <v/>
      </c>
      <c r="AC18" s="8" t="str">
        <f>IF(A18="","",IF(A18="止损计划",IF(OR(B18="",D18="",E18="",F18="",G18=""),"计划不完整",IF(OR(D18&lt;1,D18&lt;&gt;INT(D18)),"阶段序号无效",IF(COUNTIFS($A$2:$A$497,"止损计划",$B$2:$B$497,B18,$D$2:$D$497,D18)&gt;1,"阶段序号重复",IF(E18&lt;=IFERROR(LOOKUP(2,1/(单次交易!$A$2:$A$163=B18),单次交易!$E$2:$E$163),0),"激活价须高于买入价",IF(F18&lt;N18,"止损价不得低于初始止损",IF(F18&gt;E18,"止损价不得高于激活价",IF(AND(COUNTIFS($A$2:$A$497,"止损计划",$B$2:$B$497,B18,$D$2:$D$497,"&lt;"&amp;D18)&gt;0,OR(E18&lt;=SUMPRODUCT(MAX((($A$2:$A$497="止损计划")*($B$2:$B$497=B18)*($D$2:$D$497&lt;D18))*$E$2:$E$497)),F18&lt;SUMPRODUCT(MAX((($A$2:$A$497="止损计划")*($B$2:$B$497=B18)*($D$2:$D$497&lt;D18))*$F$2:$F$497)))),"阶段价格必须逐级提高","计划有效"))))))),IF(A18="每日跟踪",IF(OR(B18="",H18="",I18="",J18=""),"每日数据不完整",IF(COUNTIFS($A$2:$A$497,"每日跟踪",$B$2:$B$497,B18,$H$2:$H$497,H18)&gt;1,"同一交易日期重复",IF(AND(R18&lt;&gt;"",R18&lt;S18),"人工止损无效：不能下调","跟踪有效"))),"记录类型无效")))</f>
        <v/>
      </c>
    </row>
    <row r="19" ht="17" spans="1:29">
      <c r="A19" s="2"/>
      <c r="B19" s="2"/>
      <c r="C19" s="8" t="str">
        <f>IF(B19="","",IFERROR(LOOKUP(2,1/(单次交易!$A$2:$A$163=B19),单次交易!$B$2:$B$163),""))</f>
        <v/>
      </c>
      <c r="D19" s="12"/>
      <c r="E19" s="10"/>
      <c r="F19" s="10"/>
      <c r="G19" s="2"/>
      <c r="H19" s="15"/>
      <c r="I19" s="10"/>
      <c r="J19" s="21"/>
      <c r="K19" s="13"/>
      <c r="L19" s="2"/>
      <c r="M19" s="13"/>
      <c r="N19" s="5" t="str">
        <f>IF(B19="","",IFERROR(LOOKUP(2,1/(单次交易!$A$2:$A$163=B19),单次交易!$N$2:$N$163),""))</f>
        <v/>
      </c>
      <c r="O19" s="5" t="str">
        <f t="shared" si="0"/>
        <v/>
      </c>
      <c r="P19" s="11" t="str">
        <f t="shared" si="1"/>
        <v/>
      </c>
      <c r="Q19" s="5" t="str">
        <f t="shared" si="2"/>
        <v/>
      </c>
      <c r="R19" s="10"/>
      <c r="S19" s="5" t="str">
        <f t="shared" si="3"/>
        <v/>
      </c>
      <c r="T19" s="5" t="str">
        <f t="shared" si="4"/>
        <v/>
      </c>
      <c r="U19" s="5" t="str">
        <f t="shared" si="5"/>
        <v/>
      </c>
      <c r="V19" s="7" t="str">
        <f t="shared" si="6"/>
        <v/>
      </c>
      <c r="W19" s="8" t="str">
        <f t="shared" si="7"/>
        <v/>
      </c>
      <c r="X19" s="2"/>
      <c r="Y19" s="10"/>
      <c r="Z19" s="11" t="str">
        <f>IF(X19&lt;&gt;"执行卖出","",IFERROR(LOOKUP(2,1/(单次交易!$A$2:$A$163=B19),单次交易!$AP$2:$AP$163),""))</f>
        <v/>
      </c>
      <c r="AA19" s="10"/>
      <c r="AB19" s="8" t="str">
        <f t="shared" si="8"/>
        <v/>
      </c>
      <c r="AC19" s="8" t="str">
        <f>IF(A19="","",IF(A19="止损计划",IF(OR(B19="",D19="",E19="",F19="",G19=""),"计划不完整",IF(OR(D19&lt;1,D19&lt;&gt;INT(D19)),"阶段序号无效",IF(COUNTIFS($A$2:$A$497,"止损计划",$B$2:$B$497,B19,$D$2:$D$497,D19)&gt;1,"阶段序号重复",IF(E19&lt;=IFERROR(LOOKUP(2,1/(单次交易!$A$2:$A$163=B19),单次交易!$E$2:$E$163),0),"激活价须高于买入价",IF(F19&lt;N19,"止损价不得低于初始止损",IF(F19&gt;E19,"止损价不得高于激活价",IF(AND(COUNTIFS($A$2:$A$497,"止损计划",$B$2:$B$497,B19,$D$2:$D$497,"&lt;"&amp;D19)&gt;0,OR(E19&lt;=SUMPRODUCT(MAX((($A$2:$A$497="止损计划")*($B$2:$B$497=B19)*($D$2:$D$497&lt;D19))*$E$2:$E$497)),F19&lt;SUMPRODUCT(MAX((($A$2:$A$497="止损计划")*($B$2:$B$497=B19)*($D$2:$D$497&lt;D19))*$F$2:$F$497)))),"阶段价格必须逐级提高","计划有效"))))))),IF(A19="每日跟踪",IF(OR(B19="",H19="",I19="",J19=""),"每日数据不完整",IF(COUNTIFS($A$2:$A$497,"每日跟踪",$B$2:$B$497,B19,$H$2:$H$497,H19)&gt;1,"同一交易日期重复",IF(AND(R19&lt;&gt;"",R19&lt;S19),"人工止损无效：不能下调","跟踪有效"))),"记录类型无效")))</f>
        <v/>
      </c>
    </row>
    <row r="20" ht="17" spans="1:29">
      <c r="A20" s="2"/>
      <c r="B20" s="2"/>
      <c r="C20" s="8" t="str">
        <f>IF(B20="","",IFERROR(LOOKUP(2,1/(单次交易!$A$2:$A$163=B20),单次交易!$B$2:$B$163),""))</f>
        <v/>
      </c>
      <c r="D20" s="12"/>
      <c r="E20" s="10"/>
      <c r="F20" s="10"/>
      <c r="G20" s="2"/>
      <c r="H20" s="15"/>
      <c r="I20" s="10"/>
      <c r="J20" s="21"/>
      <c r="K20" s="13"/>
      <c r="L20" s="2"/>
      <c r="M20" s="13"/>
      <c r="N20" s="5" t="str">
        <f>IF(B20="","",IFERROR(LOOKUP(2,1/(单次交易!$A$2:$A$163=B20),单次交易!$N$2:$N$163),""))</f>
        <v/>
      </c>
      <c r="O20" s="5" t="str">
        <f t="shared" si="0"/>
        <v/>
      </c>
      <c r="P20" s="11" t="str">
        <f t="shared" si="1"/>
        <v/>
      </c>
      <c r="Q20" s="5" t="str">
        <f t="shared" si="2"/>
        <v/>
      </c>
      <c r="R20" s="10"/>
      <c r="S20" s="5" t="str">
        <f t="shared" si="3"/>
        <v/>
      </c>
      <c r="T20" s="5" t="str">
        <f t="shared" si="4"/>
        <v/>
      </c>
      <c r="U20" s="5" t="str">
        <f t="shared" si="5"/>
        <v/>
      </c>
      <c r="V20" s="7" t="str">
        <f t="shared" si="6"/>
        <v/>
      </c>
      <c r="W20" s="8" t="str">
        <f t="shared" si="7"/>
        <v/>
      </c>
      <c r="X20" s="2"/>
      <c r="Y20" s="10"/>
      <c r="Z20" s="11" t="str">
        <f>IF(X20&lt;&gt;"执行卖出","",IFERROR(LOOKUP(2,1/(单次交易!$A$2:$A$163=B20),单次交易!$AP$2:$AP$163),""))</f>
        <v/>
      </c>
      <c r="AA20" s="10"/>
      <c r="AB20" s="8" t="str">
        <f t="shared" si="8"/>
        <v/>
      </c>
      <c r="AC20" s="8" t="str">
        <f>IF(A20="","",IF(A20="止损计划",IF(OR(B20="",D20="",E20="",F20="",G20=""),"计划不完整",IF(OR(D20&lt;1,D20&lt;&gt;INT(D20)),"阶段序号无效",IF(COUNTIFS($A$2:$A$497,"止损计划",$B$2:$B$497,B20,$D$2:$D$497,D20)&gt;1,"阶段序号重复",IF(E20&lt;=IFERROR(LOOKUP(2,1/(单次交易!$A$2:$A$163=B20),单次交易!$E$2:$E$163),0),"激活价须高于买入价",IF(F20&lt;N20,"止损价不得低于初始止损",IF(F20&gt;E20,"止损价不得高于激活价",IF(AND(COUNTIFS($A$2:$A$497,"止损计划",$B$2:$B$497,B20,$D$2:$D$497,"&lt;"&amp;D20)&gt;0,OR(E20&lt;=SUMPRODUCT(MAX((($A$2:$A$497="止损计划")*($B$2:$B$497=B20)*($D$2:$D$497&lt;D20))*$E$2:$E$497)),F20&lt;SUMPRODUCT(MAX((($A$2:$A$497="止损计划")*($B$2:$B$497=B20)*($D$2:$D$497&lt;D20))*$F$2:$F$497)))),"阶段价格必须逐级提高","计划有效"))))))),IF(A20="每日跟踪",IF(OR(B20="",H20="",I20="",J20=""),"每日数据不完整",IF(COUNTIFS($A$2:$A$497,"每日跟踪",$B$2:$B$497,B20,$H$2:$H$497,H20)&gt;1,"同一交易日期重复",IF(AND(R20&lt;&gt;"",R20&lt;S20),"人工止损无效：不能下调","跟踪有效"))),"记录类型无效")))</f>
        <v/>
      </c>
    </row>
    <row r="21" ht="17" spans="1:29">
      <c r="A21" s="2"/>
      <c r="B21" s="2"/>
      <c r="C21" s="8" t="str">
        <f>IF(B21="","",IFERROR(LOOKUP(2,1/(单次交易!$A$2:$A$163=B21),单次交易!$B$2:$B$163),""))</f>
        <v/>
      </c>
      <c r="D21" s="12"/>
      <c r="E21" s="10"/>
      <c r="F21" s="10"/>
      <c r="G21" s="2"/>
      <c r="H21" s="15"/>
      <c r="I21" s="10"/>
      <c r="J21" s="21"/>
      <c r="K21" s="13"/>
      <c r="L21" s="2"/>
      <c r="M21" s="13"/>
      <c r="N21" s="5" t="str">
        <f>IF(B21="","",IFERROR(LOOKUP(2,1/(单次交易!$A$2:$A$163=B21),单次交易!$N$2:$N$163),""))</f>
        <v/>
      </c>
      <c r="O21" s="5" t="str">
        <f t="shared" si="0"/>
        <v/>
      </c>
      <c r="P21" s="11" t="str">
        <f t="shared" si="1"/>
        <v/>
      </c>
      <c r="Q21" s="5" t="str">
        <f t="shared" si="2"/>
        <v/>
      </c>
      <c r="R21" s="10"/>
      <c r="S21" s="5" t="str">
        <f t="shared" si="3"/>
        <v/>
      </c>
      <c r="T21" s="5" t="str">
        <f t="shared" si="4"/>
        <v/>
      </c>
      <c r="U21" s="5" t="str">
        <f t="shared" si="5"/>
        <v/>
      </c>
      <c r="V21" s="7" t="str">
        <f t="shared" si="6"/>
        <v/>
      </c>
      <c r="W21" s="8" t="str">
        <f t="shared" si="7"/>
        <v/>
      </c>
      <c r="X21" s="2"/>
      <c r="Y21" s="10"/>
      <c r="Z21" s="11" t="str">
        <f>IF(X21&lt;&gt;"执行卖出","",IFERROR(LOOKUP(2,1/(单次交易!$A$2:$A$163=B21),单次交易!$AP$2:$AP$163),""))</f>
        <v/>
      </c>
      <c r="AA21" s="10"/>
      <c r="AB21" s="8" t="str">
        <f t="shared" si="8"/>
        <v/>
      </c>
      <c r="AC21" s="8" t="str">
        <f>IF(A21="","",IF(A21="止损计划",IF(OR(B21="",D21="",E21="",F21="",G21=""),"计划不完整",IF(OR(D21&lt;1,D21&lt;&gt;INT(D21)),"阶段序号无效",IF(COUNTIFS($A$2:$A$497,"止损计划",$B$2:$B$497,B21,$D$2:$D$497,D21)&gt;1,"阶段序号重复",IF(E21&lt;=IFERROR(LOOKUP(2,1/(单次交易!$A$2:$A$163=B21),单次交易!$E$2:$E$163),0),"激活价须高于买入价",IF(F21&lt;N21,"止损价不得低于初始止损",IF(F21&gt;E21,"止损价不得高于激活价",IF(AND(COUNTIFS($A$2:$A$497,"止损计划",$B$2:$B$497,B21,$D$2:$D$497,"&lt;"&amp;D21)&gt;0,OR(E21&lt;=SUMPRODUCT(MAX((($A$2:$A$497="止损计划")*($B$2:$B$497=B21)*($D$2:$D$497&lt;D21))*$E$2:$E$497)),F21&lt;SUMPRODUCT(MAX((($A$2:$A$497="止损计划")*($B$2:$B$497=B21)*($D$2:$D$497&lt;D21))*$F$2:$F$497)))),"阶段价格必须逐级提高","计划有效"))))))),IF(A21="每日跟踪",IF(OR(B21="",H21="",I21="",J21=""),"每日数据不完整",IF(COUNTIFS($A$2:$A$497,"每日跟踪",$B$2:$B$497,B21,$H$2:$H$497,H21)&gt;1,"同一交易日期重复",IF(AND(R21&lt;&gt;"",R21&lt;S21),"人工止损无效：不能下调","跟踪有效"))),"记录类型无效")))</f>
        <v/>
      </c>
    </row>
    <row r="22" ht="17" spans="1:29">
      <c r="A22" s="2"/>
      <c r="B22" s="2"/>
      <c r="C22" s="8" t="str">
        <f>IF(B22="","",IFERROR(LOOKUP(2,1/(单次交易!$A$2:$A$163=B22),单次交易!$B$2:$B$163),""))</f>
        <v/>
      </c>
      <c r="D22" s="12"/>
      <c r="E22" s="10"/>
      <c r="F22" s="10"/>
      <c r="G22" s="2"/>
      <c r="H22" s="15"/>
      <c r="I22" s="10"/>
      <c r="J22" s="21"/>
      <c r="K22" s="13"/>
      <c r="L22" s="2"/>
      <c r="M22" s="13"/>
      <c r="N22" s="5" t="str">
        <f>IF(B22="","",IFERROR(LOOKUP(2,1/(单次交易!$A$2:$A$163=B22),单次交易!$N$2:$N$163),""))</f>
        <v/>
      </c>
      <c r="O22" s="5" t="str">
        <f t="shared" si="0"/>
        <v/>
      </c>
      <c r="P22" s="11" t="str">
        <f t="shared" si="1"/>
        <v/>
      </c>
      <c r="Q22" s="5" t="str">
        <f t="shared" si="2"/>
        <v/>
      </c>
      <c r="R22" s="10"/>
      <c r="S22" s="5" t="str">
        <f t="shared" si="3"/>
        <v/>
      </c>
      <c r="T22" s="5" t="str">
        <f t="shared" si="4"/>
        <v/>
      </c>
      <c r="U22" s="5" t="str">
        <f t="shared" si="5"/>
        <v/>
      </c>
      <c r="V22" s="7" t="str">
        <f t="shared" si="6"/>
        <v/>
      </c>
      <c r="W22" s="8" t="str">
        <f t="shared" si="7"/>
        <v/>
      </c>
      <c r="X22" s="2"/>
      <c r="Y22" s="10"/>
      <c r="Z22" s="11" t="str">
        <f>IF(X22&lt;&gt;"执行卖出","",IFERROR(LOOKUP(2,1/(单次交易!$A$2:$A$163=B22),单次交易!$AP$2:$AP$163),""))</f>
        <v/>
      </c>
      <c r="AA22" s="10"/>
      <c r="AB22" s="8" t="str">
        <f t="shared" si="8"/>
        <v/>
      </c>
      <c r="AC22" s="8" t="str">
        <f>IF(A22="","",IF(A22="止损计划",IF(OR(B22="",D22="",E22="",F22="",G22=""),"计划不完整",IF(OR(D22&lt;1,D22&lt;&gt;INT(D22)),"阶段序号无效",IF(COUNTIFS($A$2:$A$497,"止损计划",$B$2:$B$497,B22,$D$2:$D$497,D22)&gt;1,"阶段序号重复",IF(E22&lt;=IFERROR(LOOKUP(2,1/(单次交易!$A$2:$A$163=B22),单次交易!$E$2:$E$163),0),"激活价须高于买入价",IF(F22&lt;N22,"止损价不得低于初始止损",IF(F22&gt;E22,"止损价不得高于激活价",IF(AND(COUNTIFS($A$2:$A$497,"止损计划",$B$2:$B$497,B22,$D$2:$D$497,"&lt;"&amp;D22)&gt;0,OR(E22&lt;=SUMPRODUCT(MAX((($A$2:$A$497="止损计划")*($B$2:$B$497=B22)*($D$2:$D$497&lt;D22))*$E$2:$E$497)),F22&lt;SUMPRODUCT(MAX((($A$2:$A$497="止损计划")*($B$2:$B$497=B22)*($D$2:$D$497&lt;D22))*$F$2:$F$497)))),"阶段价格必须逐级提高","计划有效"))))))),IF(A22="每日跟踪",IF(OR(B22="",H22="",I22="",J22=""),"每日数据不完整",IF(COUNTIFS($A$2:$A$497,"每日跟踪",$B$2:$B$497,B22,$H$2:$H$497,H22)&gt;1,"同一交易日期重复",IF(AND(R22&lt;&gt;"",R22&lt;S22),"人工止损无效：不能下调","跟踪有效"))),"记录类型无效")))</f>
        <v/>
      </c>
    </row>
    <row r="23" ht="17" spans="1:29">
      <c r="A23" s="2"/>
      <c r="B23" s="2"/>
      <c r="C23" s="8" t="str">
        <f>IF(B23="","",IFERROR(LOOKUP(2,1/(单次交易!$A$2:$A$163=B23),单次交易!$B$2:$B$163),""))</f>
        <v/>
      </c>
      <c r="D23" s="12"/>
      <c r="E23" s="10"/>
      <c r="F23" s="10"/>
      <c r="G23" s="2"/>
      <c r="H23" s="15"/>
      <c r="I23" s="10"/>
      <c r="J23" s="21"/>
      <c r="K23" s="13"/>
      <c r="L23" s="2"/>
      <c r="M23" s="13"/>
      <c r="N23" s="5" t="str">
        <f>IF(B23="","",IFERROR(LOOKUP(2,1/(单次交易!$A$2:$A$163=B23),单次交易!$N$2:$N$163),""))</f>
        <v/>
      </c>
      <c r="O23" s="5" t="str">
        <f t="shared" si="0"/>
        <v/>
      </c>
      <c r="P23" s="11" t="str">
        <f t="shared" si="1"/>
        <v/>
      </c>
      <c r="Q23" s="5" t="str">
        <f t="shared" si="2"/>
        <v/>
      </c>
      <c r="R23" s="10"/>
      <c r="S23" s="5" t="str">
        <f t="shared" si="3"/>
        <v/>
      </c>
      <c r="T23" s="5" t="str">
        <f t="shared" si="4"/>
        <v/>
      </c>
      <c r="U23" s="5" t="str">
        <f t="shared" si="5"/>
        <v/>
      </c>
      <c r="V23" s="7" t="str">
        <f t="shared" si="6"/>
        <v/>
      </c>
      <c r="W23" s="8" t="str">
        <f t="shared" si="7"/>
        <v/>
      </c>
      <c r="X23" s="2"/>
      <c r="Y23" s="10"/>
      <c r="Z23" s="11" t="str">
        <f>IF(X23&lt;&gt;"执行卖出","",IFERROR(LOOKUP(2,1/(单次交易!$A$2:$A$163=B23),单次交易!$AP$2:$AP$163),""))</f>
        <v/>
      </c>
      <c r="AA23" s="10"/>
      <c r="AB23" s="8" t="str">
        <f t="shared" si="8"/>
        <v/>
      </c>
      <c r="AC23" s="8" t="str">
        <f>IF(A23="","",IF(A23="止损计划",IF(OR(B23="",D23="",E23="",F23="",G23=""),"计划不完整",IF(OR(D23&lt;1,D23&lt;&gt;INT(D23)),"阶段序号无效",IF(COUNTIFS($A$2:$A$497,"止损计划",$B$2:$B$497,B23,$D$2:$D$497,D23)&gt;1,"阶段序号重复",IF(E23&lt;=IFERROR(LOOKUP(2,1/(单次交易!$A$2:$A$163=B23),单次交易!$E$2:$E$163),0),"激活价须高于买入价",IF(F23&lt;N23,"止损价不得低于初始止损",IF(F23&gt;E23,"止损价不得高于激活价",IF(AND(COUNTIFS($A$2:$A$497,"止损计划",$B$2:$B$497,B23,$D$2:$D$497,"&lt;"&amp;D23)&gt;0,OR(E23&lt;=SUMPRODUCT(MAX((($A$2:$A$497="止损计划")*($B$2:$B$497=B23)*($D$2:$D$497&lt;D23))*$E$2:$E$497)),F23&lt;SUMPRODUCT(MAX((($A$2:$A$497="止损计划")*($B$2:$B$497=B23)*($D$2:$D$497&lt;D23))*$F$2:$F$497)))),"阶段价格必须逐级提高","计划有效"))))))),IF(A23="每日跟踪",IF(OR(B23="",H23="",I23="",J23=""),"每日数据不完整",IF(COUNTIFS($A$2:$A$497,"每日跟踪",$B$2:$B$497,B23,$H$2:$H$497,H23)&gt;1,"同一交易日期重复",IF(AND(R23&lt;&gt;"",R23&lt;S23),"人工止损无效：不能下调","跟踪有效"))),"记录类型无效")))</f>
        <v/>
      </c>
    </row>
    <row r="24" ht="17" spans="1:29">
      <c r="A24" s="2"/>
      <c r="B24" s="2"/>
      <c r="C24" s="8" t="str">
        <f>IF(B24="","",IFERROR(LOOKUP(2,1/(单次交易!$A$2:$A$163=B24),单次交易!$B$2:$B$163),""))</f>
        <v/>
      </c>
      <c r="D24" s="12"/>
      <c r="E24" s="10"/>
      <c r="F24" s="10"/>
      <c r="G24" s="2"/>
      <c r="H24" s="15"/>
      <c r="I24" s="10"/>
      <c r="J24" s="21"/>
      <c r="K24" s="13"/>
      <c r="L24" s="2"/>
      <c r="M24" s="13"/>
      <c r="N24" s="5" t="str">
        <f>IF(B24="","",IFERROR(LOOKUP(2,1/(单次交易!$A$2:$A$163=B24),单次交易!$N$2:$N$163),""))</f>
        <v/>
      </c>
      <c r="O24" s="5" t="str">
        <f t="shared" si="0"/>
        <v/>
      </c>
      <c r="P24" s="11" t="str">
        <f t="shared" si="1"/>
        <v/>
      </c>
      <c r="Q24" s="5" t="str">
        <f t="shared" si="2"/>
        <v/>
      </c>
      <c r="R24" s="10"/>
      <c r="S24" s="5" t="str">
        <f t="shared" si="3"/>
        <v/>
      </c>
      <c r="T24" s="5" t="str">
        <f t="shared" si="4"/>
        <v/>
      </c>
      <c r="U24" s="5" t="str">
        <f t="shared" si="5"/>
        <v/>
      </c>
      <c r="V24" s="7" t="str">
        <f t="shared" si="6"/>
        <v/>
      </c>
      <c r="W24" s="8" t="str">
        <f t="shared" si="7"/>
        <v/>
      </c>
      <c r="X24" s="2"/>
      <c r="Y24" s="10"/>
      <c r="Z24" s="11" t="str">
        <f>IF(X24&lt;&gt;"执行卖出","",IFERROR(LOOKUP(2,1/(单次交易!$A$2:$A$163=B24),单次交易!$AP$2:$AP$163),""))</f>
        <v/>
      </c>
      <c r="AA24" s="10"/>
      <c r="AB24" s="8" t="str">
        <f t="shared" si="8"/>
        <v/>
      </c>
      <c r="AC24" s="8" t="str">
        <f>IF(A24="","",IF(A24="止损计划",IF(OR(B24="",D24="",E24="",F24="",G24=""),"计划不完整",IF(OR(D24&lt;1,D24&lt;&gt;INT(D24)),"阶段序号无效",IF(COUNTIFS($A$2:$A$497,"止损计划",$B$2:$B$497,B24,$D$2:$D$497,D24)&gt;1,"阶段序号重复",IF(E24&lt;=IFERROR(LOOKUP(2,1/(单次交易!$A$2:$A$163=B24),单次交易!$E$2:$E$163),0),"激活价须高于买入价",IF(F24&lt;N24,"止损价不得低于初始止损",IF(F24&gt;E24,"止损价不得高于激活价",IF(AND(COUNTIFS($A$2:$A$497,"止损计划",$B$2:$B$497,B24,$D$2:$D$497,"&lt;"&amp;D24)&gt;0,OR(E24&lt;=SUMPRODUCT(MAX((($A$2:$A$497="止损计划")*($B$2:$B$497=B24)*($D$2:$D$497&lt;D24))*$E$2:$E$497)),F24&lt;SUMPRODUCT(MAX((($A$2:$A$497="止损计划")*($B$2:$B$497=B24)*($D$2:$D$497&lt;D24))*$F$2:$F$497)))),"阶段价格必须逐级提高","计划有效"))))))),IF(A24="每日跟踪",IF(OR(B24="",H24="",I24="",J24=""),"每日数据不完整",IF(COUNTIFS($A$2:$A$497,"每日跟踪",$B$2:$B$497,B24,$H$2:$H$497,H24)&gt;1,"同一交易日期重复",IF(AND(R24&lt;&gt;"",R24&lt;S24),"人工止损无效：不能下调","跟踪有效"))),"记录类型无效")))</f>
        <v/>
      </c>
    </row>
    <row r="25" ht="17" spans="1:29">
      <c r="A25" s="2"/>
      <c r="B25" s="2"/>
      <c r="C25" s="8" t="str">
        <f>IF(B25="","",IFERROR(LOOKUP(2,1/(单次交易!$A$2:$A$163=B25),单次交易!$B$2:$B$163),""))</f>
        <v/>
      </c>
      <c r="D25" s="12"/>
      <c r="E25" s="10"/>
      <c r="F25" s="10"/>
      <c r="G25" s="2"/>
      <c r="H25" s="15"/>
      <c r="I25" s="10"/>
      <c r="J25" s="21"/>
      <c r="K25" s="13"/>
      <c r="L25" s="2"/>
      <c r="M25" s="13"/>
      <c r="N25" s="5" t="str">
        <f>IF(B25="","",IFERROR(LOOKUP(2,1/(单次交易!$A$2:$A$163=B25),单次交易!$N$2:$N$163),""))</f>
        <v/>
      </c>
      <c r="O25" s="5" t="str">
        <f t="shared" si="0"/>
        <v/>
      </c>
      <c r="P25" s="11" t="str">
        <f t="shared" si="1"/>
        <v/>
      </c>
      <c r="Q25" s="5" t="str">
        <f t="shared" si="2"/>
        <v/>
      </c>
      <c r="R25" s="10"/>
      <c r="S25" s="5" t="str">
        <f t="shared" si="3"/>
        <v/>
      </c>
      <c r="T25" s="5" t="str">
        <f t="shared" si="4"/>
        <v/>
      </c>
      <c r="U25" s="5" t="str">
        <f t="shared" si="5"/>
        <v/>
      </c>
      <c r="V25" s="7" t="str">
        <f t="shared" si="6"/>
        <v/>
      </c>
      <c r="W25" s="8" t="str">
        <f t="shared" si="7"/>
        <v/>
      </c>
      <c r="X25" s="2"/>
      <c r="Y25" s="10"/>
      <c r="Z25" s="11" t="str">
        <f>IF(X25&lt;&gt;"执行卖出","",IFERROR(LOOKUP(2,1/(单次交易!$A$2:$A$163=B25),单次交易!$AP$2:$AP$163),""))</f>
        <v/>
      </c>
      <c r="AA25" s="10"/>
      <c r="AB25" s="8" t="str">
        <f t="shared" si="8"/>
        <v/>
      </c>
      <c r="AC25" s="8" t="str">
        <f>IF(A25="","",IF(A25="止损计划",IF(OR(B25="",D25="",E25="",F25="",G25=""),"计划不完整",IF(OR(D25&lt;1,D25&lt;&gt;INT(D25)),"阶段序号无效",IF(COUNTIFS($A$2:$A$497,"止损计划",$B$2:$B$497,B25,$D$2:$D$497,D25)&gt;1,"阶段序号重复",IF(E25&lt;=IFERROR(LOOKUP(2,1/(单次交易!$A$2:$A$163=B25),单次交易!$E$2:$E$163),0),"激活价须高于买入价",IF(F25&lt;N25,"止损价不得低于初始止损",IF(F25&gt;E25,"止损价不得高于激活价",IF(AND(COUNTIFS($A$2:$A$497,"止损计划",$B$2:$B$497,B25,$D$2:$D$497,"&lt;"&amp;D25)&gt;0,OR(E25&lt;=SUMPRODUCT(MAX((($A$2:$A$497="止损计划")*($B$2:$B$497=B25)*($D$2:$D$497&lt;D25))*$E$2:$E$497)),F25&lt;SUMPRODUCT(MAX((($A$2:$A$497="止损计划")*($B$2:$B$497=B25)*($D$2:$D$497&lt;D25))*$F$2:$F$497)))),"阶段价格必须逐级提高","计划有效"))))))),IF(A25="每日跟踪",IF(OR(B25="",H25="",I25="",J25=""),"每日数据不完整",IF(COUNTIFS($A$2:$A$497,"每日跟踪",$B$2:$B$497,B25,$H$2:$H$497,H25)&gt;1,"同一交易日期重复",IF(AND(R25&lt;&gt;"",R25&lt;S25),"人工止损无效：不能下调","跟踪有效"))),"记录类型无效")))</f>
        <v/>
      </c>
    </row>
    <row r="26" ht="17" spans="1:29">
      <c r="A26" s="2"/>
      <c r="B26" s="2"/>
      <c r="C26" s="8" t="str">
        <f>IF(B26="","",IFERROR(LOOKUP(2,1/(单次交易!$A$2:$A$163=B26),单次交易!$B$2:$B$163),""))</f>
        <v/>
      </c>
      <c r="D26" s="12"/>
      <c r="E26" s="10"/>
      <c r="F26" s="10"/>
      <c r="G26" s="2"/>
      <c r="H26" s="15"/>
      <c r="I26" s="10"/>
      <c r="J26" s="21"/>
      <c r="K26" s="13"/>
      <c r="L26" s="2"/>
      <c r="M26" s="13"/>
      <c r="N26" s="5" t="str">
        <f>IF(B26="","",IFERROR(LOOKUP(2,1/(单次交易!$A$2:$A$163=B26),单次交易!$N$2:$N$163),""))</f>
        <v/>
      </c>
      <c r="O26" s="5" t="str">
        <f t="shared" si="0"/>
        <v/>
      </c>
      <c r="P26" s="11" t="str">
        <f t="shared" si="1"/>
        <v/>
      </c>
      <c r="Q26" s="5" t="str">
        <f t="shared" si="2"/>
        <v/>
      </c>
      <c r="R26" s="10"/>
      <c r="S26" s="5" t="str">
        <f t="shared" si="3"/>
        <v/>
      </c>
      <c r="T26" s="5" t="str">
        <f t="shared" si="4"/>
        <v/>
      </c>
      <c r="U26" s="5" t="str">
        <f t="shared" si="5"/>
        <v/>
      </c>
      <c r="V26" s="7" t="str">
        <f t="shared" si="6"/>
        <v/>
      </c>
      <c r="W26" s="8" t="str">
        <f t="shared" si="7"/>
        <v/>
      </c>
      <c r="X26" s="2"/>
      <c r="Y26" s="10"/>
      <c r="Z26" s="11" t="str">
        <f>IF(X26&lt;&gt;"执行卖出","",IFERROR(LOOKUP(2,1/(单次交易!$A$2:$A$163=B26),单次交易!$AP$2:$AP$163),""))</f>
        <v/>
      </c>
      <c r="AA26" s="10"/>
      <c r="AB26" s="8" t="str">
        <f t="shared" si="8"/>
        <v/>
      </c>
      <c r="AC26" s="8" t="str">
        <f>IF(A26="","",IF(A26="止损计划",IF(OR(B26="",D26="",E26="",F26="",G26=""),"计划不完整",IF(OR(D26&lt;1,D26&lt;&gt;INT(D26)),"阶段序号无效",IF(COUNTIFS($A$2:$A$497,"止损计划",$B$2:$B$497,B26,$D$2:$D$497,D26)&gt;1,"阶段序号重复",IF(E26&lt;=IFERROR(LOOKUP(2,1/(单次交易!$A$2:$A$163=B26),单次交易!$E$2:$E$163),0),"激活价须高于买入价",IF(F26&lt;N26,"止损价不得低于初始止损",IF(F26&gt;E26,"止损价不得高于激活价",IF(AND(COUNTIFS($A$2:$A$497,"止损计划",$B$2:$B$497,B26,$D$2:$D$497,"&lt;"&amp;D26)&gt;0,OR(E26&lt;=SUMPRODUCT(MAX((($A$2:$A$497="止损计划")*($B$2:$B$497=B26)*($D$2:$D$497&lt;D26))*$E$2:$E$497)),F26&lt;SUMPRODUCT(MAX((($A$2:$A$497="止损计划")*($B$2:$B$497=B26)*($D$2:$D$497&lt;D26))*$F$2:$F$497)))),"阶段价格必须逐级提高","计划有效"))))))),IF(A26="每日跟踪",IF(OR(B26="",H26="",I26="",J26=""),"每日数据不完整",IF(COUNTIFS($A$2:$A$497,"每日跟踪",$B$2:$B$497,B26,$H$2:$H$497,H26)&gt;1,"同一交易日期重复",IF(AND(R26&lt;&gt;"",R26&lt;S26),"人工止损无效：不能下调","跟踪有效"))),"记录类型无效")))</f>
        <v/>
      </c>
    </row>
    <row r="27" ht="17" spans="1:29">
      <c r="A27" s="2"/>
      <c r="B27" s="2"/>
      <c r="C27" s="8" t="str">
        <f>IF(B27="","",IFERROR(LOOKUP(2,1/(单次交易!$A$2:$A$163=B27),单次交易!$B$2:$B$163),""))</f>
        <v/>
      </c>
      <c r="D27" s="12"/>
      <c r="E27" s="10"/>
      <c r="F27" s="10"/>
      <c r="G27" s="2"/>
      <c r="H27" s="15"/>
      <c r="I27" s="10"/>
      <c r="J27" s="21"/>
      <c r="K27" s="13"/>
      <c r="L27" s="2"/>
      <c r="M27" s="13"/>
      <c r="N27" s="5" t="str">
        <f>IF(B27="","",IFERROR(LOOKUP(2,1/(单次交易!$A$2:$A$163=B27),单次交易!$N$2:$N$163),""))</f>
        <v/>
      </c>
      <c r="O27" s="5" t="str">
        <f t="shared" si="0"/>
        <v/>
      </c>
      <c r="P27" s="11" t="str">
        <f t="shared" si="1"/>
        <v/>
      </c>
      <c r="Q27" s="5" t="str">
        <f t="shared" si="2"/>
        <v/>
      </c>
      <c r="R27" s="10"/>
      <c r="S27" s="5" t="str">
        <f t="shared" si="3"/>
        <v/>
      </c>
      <c r="T27" s="5" t="str">
        <f t="shared" si="4"/>
        <v/>
      </c>
      <c r="U27" s="5" t="str">
        <f t="shared" si="5"/>
        <v/>
      </c>
      <c r="V27" s="7" t="str">
        <f t="shared" si="6"/>
        <v/>
      </c>
      <c r="W27" s="8" t="str">
        <f t="shared" si="7"/>
        <v/>
      </c>
      <c r="X27" s="2"/>
      <c r="Y27" s="10"/>
      <c r="Z27" s="11" t="str">
        <f>IF(X27&lt;&gt;"执行卖出","",IFERROR(LOOKUP(2,1/(单次交易!$A$2:$A$163=B27),单次交易!$AP$2:$AP$163),""))</f>
        <v/>
      </c>
      <c r="AA27" s="10"/>
      <c r="AB27" s="8" t="str">
        <f t="shared" si="8"/>
        <v/>
      </c>
      <c r="AC27" s="8" t="str">
        <f>IF(A27="","",IF(A27="止损计划",IF(OR(B27="",D27="",E27="",F27="",G27=""),"计划不完整",IF(OR(D27&lt;1,D27&lt;&gt;INT(D27)),"阶段序号无效",IF(COUNTIFS($A$2:$A$497,"止损计划",$B$2:$B$497,B27,$D$2:$D$497,D27)&gt;1,"阶段序号重复",IF(E27&lt;=IFERROR(LOOKUP(2,1/(单次交易!$A$2:$A$163=B27),单次交易!$E$2:$E$163),0),"激活价须高于买入价",IF(F27&lt;N27,"止损价不得低于初始止损",IF(F27&gt;E27,"止损价不得高于激活价",IF(AND(COUNTIFS($A$2:$A$497,"止损计划",$B$2:$B$497,B27,$D$2:$D$497,"&lt;"&amp;D27)&gt;0,OR(E27&lt;=SUMPRODUCT(MAX((($A$2:$A$497="止损计划")*($B$2:$B$497=B27)*($D$2:$D$497&lt;D27))*$E$2:$E$497)),F27&lt;SUMPRODUCT(MAX((($A$2:$A$497="止损计划")*($B$2:$B$497=B27)*($D$2:$D$497&lt;D27))*$F$2:$F$497)))),"阶段价格必须逐级提高","计划有效"))))))),IF(A27="每日跟踪",IF(OR(B27="",H27="",I27="",J27=""),"每日数据不完整",IF(COUNTIFS($A$2:$A$497,"每日跟踪",$B$2:$B$497,B27,$H$2:$H$497,H27)&gt;1,"同一交易日期重复",IF(AND(R27&lt;&gt;"",R27&lt;S27),"人工止损无效：不能下调","跟踪有效"))),"记录类型无效")))</f>
        <v/>
      </c>
    </row>
    <row r="28" ht="17" spans="1:29">
      <c r="A28" s="2"/>
      <c r="B28" s="2"/>
      <c r="C28" s="8" t="str">
        <f>IF(B28="","",IFERROR(LOOKUP(2,1/(单次交易!$A$2:$A$163=B28),单次交易!$B$2:$B$163),""))</f>
        <v/>
      </c>
      <c r="D28" s="12"/>
      <c r="E28" s="10"/>
      <c r="F28" s="10"/>
      <c r="G28" s="2"/>
      <c r="H28" s="15"/>
      <c r="I28" s="10"/>
      <c r="J28" s="21"/>
      <c r="K28" s="13"/>
      <c r="L28" s="2"/>
      <c r="M28" s="13"/>
      <c r="N28" s="5" t="str">
        <f>IF(B28="","",IFERROR(LOOKUP(2,1/(单次交易!$A$2:$A$163=B28),单次交易!$N$2:$N$163),""))</f>
        <v/>
      </c>
      <c r="O28" s="5" t="str">
        <f t="shared" si="0"/>
        <v/>
      </c>
      <c r="P28" s="11" t="str">
        <f t="shared" si="1"/>
        <v/>
      </c>
      <c r="Q28" s="5" t="str">
        <f t="shared" si="2"/>
        <v/>
      </c>
      <c r="R28" s="10"/>
      <c r="S28" s="5" t="str">
        <f t="shared" si="3"/>
        <v/>
      </c>
      <c r="T28" s="5" t="str">
        <f t="shared" si="4"/>
        <v/>
      </c>
      <c r="U28" s="5" t="str">
        <f t="shared" si="5"/>
        <v/>
      </c>
      <c r="V28" s="7" t="str">
        <f t="shared" si="6"/>
        <v/>
      </c>
      <c r="W28" s="8" t="str">
        <f t="shared" si="7"/>
        <v/>
      </c>
      <c r="X28" s="2"/>
      <c r="Y28" s="10"/>
      <c r="Z28" s="11" t="str">
        <f>IF(X28&lt;&gt;"执行卖出","",IFERROR(LOOKUP(2,1/(单次交易!$A$2:$A$163=B28),单次交易!$AP$2:$AP$163),""))</f>
        <v/>
      </c>
      <c r="AA28" s="10"/>
      <c r="AB28" s="8" t="str">
        <f t="shared" si="8"/>
        <v/>
      </c>
      <c r="AC28" s="8" t="str">
        <f>IF(A28="","",IF(A28="止损计划",IF(OR(B28="",D28="",E28="",F28="",G28=""),"计划不完整",IF(OR(D28&lt;1,D28&lt;&gt;INT(D28)),"阶段序号无效",IF(COUNTIFS($A$2:$A$497,"止损计划",$B$2:$B$497,B28,$D$2:$D$497,D28)&gt;1,"阶段序号重复",IF(E28&lt;=IFERROR(LOOKUP(2,1/(单次交易!$A$2:$A$163=B28),单次交易!$E$2:$E$163),0),"激活价须高于买入价",IF(F28&lt;N28,"止损价不得低于初始止损",IF(F28&gt;E28,"止损价不得高于激活价",IF(AND(COUNTIFS($A$2:$A$497,"止损计划",$B$2:$B$497,B28,$D$2:$D$497,"&lt;"&amp;D28)&gt;0,OR(E28&lt;=SUMPRODUCT(MAX((($A$2:$A$497="止损计划")*($B$2:$B$497=B28)*($D$2:$D$497&lt;D28))*$E$2:$E$497)),F28&lt;SUMPRODUCT(MAX((($A$2:$A$497="止损计划")*($B$2:$B$497=B28)*($D$2:$D$497&lt;D28))*$F$2:$F$497)))),"阶段价格必须逐级提高","计划有效"))))))),IF(A28="每日跟踪",IF(OR(B28="",H28="",I28="",J28=""),"每日数据不完整",IF(COUNTIFS($A$2:$A$497,"每日跟踪",$B$2:$B$497,B28,$H$2:$H$497,H28)&gt;1,"同一交易日期重复",IF(AND(R28&lt;&gt;"",R28&lt;S28),"人工止损无效：不能下调","跟踪有效"))),"记录类型无效")))</f>
        <v/>
      </c>
    </row>
    <row r="29" ht="17" spans="1:29">
      <c r="A29" s="2"/>
      <c r="B29" s="2"/>
      <c r="C29" s="8" t="str">
        <f>IF(B29="","",IFERROR(LOOKUP(2,1/(单次交易!$A$2:$A$163=B29),单次交易!$B$2:$B$163),""))</f>
        <v/>
      </c>
      <c r="D29" s="12"/>
      <c r="E29" s="10"/>
      <c r="F29" s="10"/>
      <c r="G29" s="2"/>
      <c r="H29" s="15"/>
      <c r="I29" s="10"/>
      <c r="J29" s="21"/>
      <c r="K29" s="13"/>
      <c r="L29" s="2"/>
      <c r="M29" s="13"/>
      <c r="N29" s="5" t="str">
        <f>IF(B29="","",IFERROR(LOOKUP(2,1/(单次交易!$A$2:$A$163=B29),单次交易!$N$2:$N$163),""))</f>
        <v/>
      </c>
      <c r="O29" s="5" t="str">
        <f t="shared" si="0"/>
        <v/>
      </c>
      <c r="P29" s="11" t="str">
        <f t="shared" si="1"/>
        <v/>
      </c>
      <c r="Q29" s="5" t="str">
        <f t="shared" si="2"/>
        <v/>
      </c>
      <c r="R29" s="10"/>
      <c r="S29" s="5" t="str">
        <f t="shared" si="3"/>
        <v/>
      </c>
      <c r="T29" s="5" t="str">
        <f t="shared" si="4"/>
        <v/>
      </c>
      <c r="U29" s="5" t="str">
        <f t="shared" si="5"/>
        <v/>
      </c>
      <c r="V29" s="7" t="str">
        <f t="shared" si="6"/>
        <v/>
      </c>
      <c r="W29" s="8" t="str">
        <f t="shared" si="7"/>
        <v/>
      </c>
      <c r="X29" s="2"/>
      <c r="Y29" s="10"/>
      <c r="Z29" s="11" t="str">
        <f>IF(X29&lt;&gt;"执行卖出","",IFERROR(LOOKUP(2,1/(单次交易!$A$2:$A$163=B29),单次交易!$AP$2:$AP$163),""))</f>
        <v/>
      </c>
      <c r="AA29" s="10"/>
      <c r="AB29" s="8" t="str">
        <f t="shared" si="8"/>
        <v/>
      </c>
      <c r="AC29" s="8" t="str">
        <f>IF(A29="","",IF(A29="止损计划",IF(OR(B29="",D29="",E29="",F29="",G29=""),"计划不完整",IF(OR(D29&lt;1,D29&lt;&gt;INT(D29)),"阶段序号无效",IF(COUNTIFS($A$2:$A$497,"止损计划",$B$2:$B$497,B29,$D$2:$D$497,D29)&gt;1,"阶段序号重复",IF(E29&lt;=IFERROR(LOOKUP(2,1/(单次交易!$A$2:$A$163=B29),单次交易!$E$2:$E$163),0),"激活价须高于买入价",IF(F29&lt;N29,"止损价不得低于初始止损",IF(F29&gt;E29,"止损价不得高于激活价",IF(AND(COUNTIFS($A$2:$A$497,"止损计划",$B$2:$B$497,B29,$D$2:$D$497,"&lt;"&amp;D29)&gt;0,OR(E29&lt;=SUMPRODUCT(MAX((($A$2:$A$497="止损计划")*($B$2:$B$497=B29)*($D$2:$D$497&lt;D29))*$E$2:$E$497)),F29&lt;SUMPRODUCT(MAX((($A$2:$A$497="止损计划")*($B$2:$B$497=B29)*($D$2:$D$497&lt;D29))*$F$2:$F$497)))),"阶段价格必须逐级提高","计划有效"))))))),IF(A29="每日跟踪",IF(OR(B29="",H29="",I29="",J29=""),"每日数据不完整",IF(COUNTIFS($A$2:$A$497,"每日跟踪",$B$2:$B$497,B29,$H$2:$H$497,H29)&gt;1,"同一交易日期重复",IF(AND(R29&lt;&gt;"",R29&lt;S29),"人工止损无效：不能下调","跟踪有效"))),"记录类型无效")))</f>
        <v/>
      </c>
    </row>
    <row r="30" ht="17" spans="1:29">
      <c r="A30" s="2"/>
      <c r="B30" s="2"/>
      <c r="C30" s="8" t="str">
        <f>IF(B30="","",IFERROR(LOOKUP(2,1/(单次交易!$A$2:$A$163=B30),单次交易!$B$2:$B$163),""))</f>
        <v/>
      </c>
      <c r="D30" s="12"/>
      <c r="E30" s="10"/>
      <c r="F30" s="10"/>
      <c r="G30" s="2"/>
      <c r="H30" s="15"/>
      <c r="I30" s="10"/>
      <c r="J30" s="21"/>
      <c r="K30" s="13"/>
      <c r="L30" s="2"/>
      <c r="M30" s="13"/>
      <c r="N30" s="5" t="str">
        <f>IF(B30="","",IFERROR(LOOKUP(2,1/(单次交易!$A$2:$A$163=B30),单次交易!$N$2:$N$163),""))</f>
        <v/>
      </c>
      <c r="O30" s="5" t="str">
        <f t="shared" si="0"/>
        <v/>
      </c>
      <c r="P30" s="11" t="str">
        <f t="shared" si="1"/>
        <v/>
      </c>
      <c r="Q30" s="5" t="str">
        <f t="shared" si="2"/>
        <v/>
      </c>
      <c r="R30" s="10"/>
      <c r="S30" s="5" t="str">
        <f t="shared" si="3"/>
        <v/>
      </c>
      <c r="T30" s="5" t="str">
        <f t="shared" si="4"/>
        <v/>
      </c>
      <c r="U30" s="5" t="str">
        <f t="shared" si="5"/>
        <v/>
      </c>
      <c r="V30" s="7" t="str">
        <f t="shared" si="6"/>
        <v/>
      </c>
      <c r="W30" s="8" t="str">
        <f t="shared" si="7"/>
        <v/>
      </c>
      <c r="X30" s="2"/>
      <c r="Y30" s="10"/>
      <c r="Z30" s="11" t="str">
        <f>IF(X30&lt;&gt;"执行卖出","",IFERROR(LOOKUP(2,1/(单次交易!$A$2:$A$163=B30),单次交易!$AP$2:$AP$163),""))</f>
        <v/>
      </c>
      <c r="AA30" s="10"/>
      <c r="AB30" s="8" t="str">
        <f t="shared" si="8"/>
        <v/>
      </c>
      <c r="AC30" s="8" t="str">
        <f>IF(A30="","",IF(A30="止损计划",IF(OR(B30="",D30="",E30="",F30="",G30=""),"计划不完整",IF(OR(D30&lt;1,D30&lt;&gt;INT(D30)),"阶段序号无效",IF(COUNTIFS($A$2:$A$497,"止损计划",$B$2:$B$497,B30,$D$2:$D$497,D30)&gt;1,"阶段序号重复",IF(E30&lt;=IFERROR(LOOKUP(2,1/(单次交易!$A$2:$A$163=B30),单次交易!$E$2:$E$163),0),"激活价须高于买入价",IF(F30&lt;N30,"止损价不得低于初始止损",IF(F30&gt;E30,"止损价不得高于激活价",IF(AND(COUNTIFS($A$2:$A$497,"止损计划",$B$2:$B$497,B30,$D$2:$D$497,"&lt;"&amp;D30)&gt;0,OR(E30&lt;=SUMPRODUCT(MAX((($A$2:$A$497="止损计划")*($B$2:$B$497=B30)*($D$2:$D$497&lt;D30))*$E$2:$E$497)),F30&lt;SUMPRODUCT(MAX((($A$2:$A$497="止损计划")*($B$2:$B$497=B30)*($D$2:$D$497&lt;D30))*$F$2:$F$497)))),"阶段价格必须逐级提高","计划有效"))))))),IF(A30="每日跟踪",IF(OR(B30="",H30="",I30="",J30=""),"每日数据不完整",IF(COUNTIFS($A$2:$A$497,"每日跟踪",$B$2:$B$497,B30,$H$2:$H$497,H30)&gt;1,"同一交易日期重复",IF(AND(R30&lt;&gt;"",R30&lt;S30),"人工止损无效：不能下调","跟踪有效"))),"记录类型无效")))</f>
        <v/>
      </c>
    </row>
    <row r="31" ht="17" spans="1:29">
      <c r="A31" s="2"/>
      <c r="B31" s="2"/>
      <c r="C31" s="8" t="str">
        <f>IF(B31="","",IFERROR(LOOKUP(2,1/(单次交易!$A$2:$A$163=B31),单次交易!$B$2:$B$163),""))</f>
        <v/>
      </c>
      <c r="D31" s="12"/>
      <c r="E31" s="10"/>
      <c r="F31" s="10"/>
      <c r="G31" s="2"/>
      <c r="H31" s="15"/>
      <c r="I31" s="10"/>
      <c r="J31" s="21"/>
      <c r="K31" s="13"/>
      <c r="L31" s="2"/>
      <c r="M31" s="13"/>
      <c r="N31" s="5" t="str">
        <f>IF(B31="","",IFERROR(LOOKUP(2,1/(单次交易!$A$2:$A$163=B31),单次交易!$N$2:$N$163),""))</f>
        <v/>
      </c>
      <c r="O31" s="5" t="str">
        <f t="shared" si="0"/>
        <v/>
      </c>
      <c r="P31" s="11" t="str">
        <f t="shared" si="1"/>
        <v/>
      </c>
      <c r="Q31" s="5" t="str">
        <f t="shared" si="2"/>
        <v/>
      </c>
      <c r="R31" s="10"/>
      <c r="S31" s="5" t="str">
        <f t="shared" si="3"/>
        <v/>
      </c>
      <c r="T31" s="5" t="str">
        <f t="shared" si="4"/>
        <v/>
      </c>
      <c r="U31" s="5" t="str">
        <f t="shared" si="5"/>
        <v/>
      </c>
      <c r="V31" s="7" t="str">
        <f t="shared" si="6"/>
        <v/>
      </c>
      <c r="W31" s="8" t="str">
        <f t="shared" si="7"/>
        <v/>
      </c>
      <c r="X31" s="2"/>
      <c r="Y31" s="10"/>
      <c r="Z31" s="11" t="str">
        <f>IF(X31&lt;&gt;"执行卖出","",IFERROR(LOOKUP(2,1/(单次交易!$A$2:$A$163=B31),单次交易!$AP$2:$AP$163),""))</f>
        <v/>
      </c>
      <c r="AA31" s="10"/>
      <c r="AB31" s="8" t="str">
        <f t="shared" si="8"/>
        <v/>
      </c>
      <c r="AC31" s="8" t="str">
        <f>IF(A31="","",IF(A31="止损计划",IF(OR(B31="",D31="",E31="",F31="",G31=""),"计划不完整",IF(OR(D31&lt;1,D31&lt;&gt;INT(D31)),"阶段序号无效",IF(COUNTIFS($A$2:$A$497,"止损计划",$B$2:$B$497,B31,$D$2:$D$497,D31)&gt;1,"阶段序号重复",IF(E31&lt;=IFERROR(LOOKUP(2,1/(单次交易!$A$2:$A$163=B31),单次交易!$E$2:$E$163),0),"激活价须高于买入价",IF(F31&lt;N31,"止损价不得低于初始止损",IF(F31&gt;E31,"止损价不得高于激活价",IF(AND(COUNTIFS($A$2:$A$497,"止损计划",$B$2:$B$497,B31,$D$2:$D$497,"&lt;"&amp;D31)&gt;0,OR(E31&lt;=SUMPRODUCT(MAX((($A$2:$A$497="止损计划")*($B$2:$B$497=B31)*($D$2:$D$497&lt;D31))*$E$2:$E$497)),F31&lt;SUMPRODUCT(MAX((($A$2:$A$497="止损计划")*($B$2:$B$497=B31)*($D$2:$D$497&lt;D31))*$F$2:$F$497)))),"阶段价格必须逐级提高","计划有效"))))))),IF(A31="每日跟踪",IF(OR(B31="",H31="",I31="",J31=""),"每日数据不完整",IF(COUNTIFS($A$2:$A$497,"每日跟踪",$B$2:$B$497,B31,$H$2:$H$497,H31)&gt;1,"同一交易日期重复",IF(AND(R31&lt;&gt;"",R31&lt;S31),"人工止损无效：不能下调","跟踪有效"))),"记录类型无效")))</f>
        <v/>
      </c>
    </row>
    <row r="32" ht="17" spans="1:29">
      <c r="A32" s="2"/>
      <c r="B32" s="2"/>
      <c r="C32" s="8" t="str">
        <f>IF(B32="","",IFERROR(LOOKUP(2,1/(单次交易!$A$2:$A$163=B32),单次交易!$B$2:$B$163),""))</f>
        <v/>
      </c>
      <c r="D32" s="12"/>
      <c r="E32" s="10"/>
      <c r="F32" s="10"/>
      <c r="G32" s="2"/>
      <c r="H32" s="15"/>
      <c r="I32" s="10"/>
      <c r="J32" s="21"/>
      <c r="K32" s="13"/>
      <c r="L32" s="2"/>
      <c r="M32" s="13"/>
      <c r="N32" s="5" t="str">
        <f>IF(B32="","",IFERROR(LOOKUP(2,1/(单次交易!$A$2:$A$163=B32),单次交易!$N$2:$N$163),""))</f>
        <v/>
      </c>
      <c r="O32" s="5" t="str">
        <f t="shared" si="0"/>
        <v/>
      </c>
      <c r="P32" s="11" t="str">
        <f t="shared" si="1"/>
        <v/>
      </c>
      <c r="Q32" s="5" t="str">
        <f t="shared" si="2"/>
        <v/>
      </c>
      <c r="R32" s="10"/>
      <c r="S32" s="5" t="str">
        <f t="shared" si="3"/>
        <v/>
      </c>
      <c r="T32" s="5" t="str">
        <f t="shared" si="4"/>
        <v/>
      </c>
      <c r="U32" s="5" t="str">
        <f t="shared" si="5"/>
        <v/>
      </c>
      <c r="V32" s="7" t="str">
        <f t="shared" si="6"/>
        <v/>
      </c>
      <c r="W32" s="8" t="str">
        <f t="shared" si="7"/>
        <v/>
      </c>
      <c r="X32" s="2"/>
      <c r="Y32" s="10"/>
      <c r="Z32" s="11" t="str">
        <f>IF(X32&lt;&gt;"执行卖出","",IFERROR(LOOKUP(2,1/(单次交易!$A$2:$A$163=B32),单次交易!$AP$2:$AP$163),""))</f>
        <v/>
      </c>
      <c r="AA32" s="10"/>
      <c r="AB32" s="8" t="str">
        <f t="shared" si="8"/>
        <v/>
      </c>
      <c r="AC32" s="8" t="str">
        <f>IF(A32="","",IF(A32="止损计划",IF(OR(B32="",D32="",E32="",F32="",G32=""),"计划不完整",IF(OR(D32&lt;1,D32&lt;&gt;INT(D32)),"阶段序号无效",IF(COUNTIFS($A$2:$A$497,"止损计划",$B$2:$B$497,B32,$D$2:$D$497,D32)&gt;1,"阶段序号重复",IF(E32&lt;=IFERROR(LOOKUP(2,1/(单次交易!$A$2:$A$163=B32),单次交易!$E$2:$E$163),0),"激活价须高于买入价",IF(F32&lt;N32,"止损价不得低于初始止损",IF(F32&gt;E32,"止损价不得高于激活价",IF(AND(COUNTIFS($A$2:$A$497,"止损计划",$B$2:$B$497,B32,$D$2:$D$497,"&lt;"&amp;D32)&gt;0,OR(E32&lt;=SUMPRODUCT(MAX((($A$2:$A$497="止损计划")*($B$2:$B$497=B32)*($D$2:$D$497&lt;D32))*$E$2:$E$497)),F32&lt;SUMPRODUCT(MAX((($A$2:$A$497="止损计划")*($B$2:$B$497=B32)*($D$2:$D$497&lt;D32))*$F$2:$F$497)))),"阶段价格必须逐级提高","计划有效"))))))),IF(A32="每日跟踪",IF(OR(B32="",H32="",I32="",J32=""),"每日数据不完整",IF(COUNTIFS($A$2:$A$497,"每日跟踪",$B$2:$B$497,B32,$H$2:$H$497,H32)&gt;1,"同一交易日期重复",IF(AND(R32&lt;&gt;"",R32&lt;S32),"人工止损无效：不能下调","跟踪有效"))),"记录类型无效")))</f>
        <v/>
      </c>
    </row>
    <row r="33" ht="17" spans="1:29">
      <c r="A33" s="2"/>
      <c r="B33" s="2"/>
      <c r="C33" s="8" t="str">
        <f>IF(B33="","",IFERROR(LOOKUP(2,1/(单次交易!$A$2:$A$163=B33),单次交易!$B$2:$B$163),""))</f>
        <v/>
      </c>
      <c r="D33" s="12"/>
      <c r="E33" s="10"/>
      <c r="F33" s="10"/>
      <c r="G33" s="2"/>
      <c r="H33" s="15"/>
      <c r="I33" s="10"/>
      <c r="J33" s="21"/>
      <c r="K33" s="13"/>
      <c r="L33" s="2"/>
      <c r="M33" s="13"/>
      <c r="N33" s="5" t="str">
        <f>IF(B33="","",IFERROR(LOOKUP(2,1/(单次交易!$A$2:$A$163=B33),单次交易!$N$2:$N$163),""))</f>
        <v/>
      </c>
      <c r="O33" s="5" t="str">
        <f t="shared" si="0"/>
        <v/>
      </c>
      <c r="P33" s="11" t="str">
        <f t="shared" si="1"/>
        <v/>
      </c>
      <c r="Q33" s="5" t="str">
        <f t="shared" si="2"/>
        <v/>
      </c>
      <c r="R33" s="10"/>
      <c r="S33" s="5" t="str">
        <f t="shared" si="3"/>
        <v/>
      </c>
      <c r="T33" s="5" t="str">
        <f t="shared" si="4"/>
        <v/>
      </c>
      <c r="U33" s="5" t="str">
        <f t="shared" si="5"/>
        <v/>
      </c>
      <c r="V33" s="7" t="str">
        <f t="shared" si="6"/>
        <v/>
      </c>
      <c r="W33" s="8" t="str">
        <f t="shared" si="7"/>
        <v/>
      </c>
      <c r="X33" s="2"/>
      <c r="Y33" s="10"/>
      <c r="Z33" s="11" t="str">
        <f>IF(X33&lt;&gt;"执行卖出","",IFERROR(LOOKUP(2,1/(单次交易!$A$2:$A$163=B33),单次交易!$AP$2:$AP$163),""))</f>
        <v/>
      </c>
      <c r="AA33" s="10"/>
      <c r="AB33" s="8" t="str">
        <f t="shared" si="8"/>
        <v/>
      </c>
      <c r="AC33" s="8" t="str">
        <f>IF(A33="","",IF(A33="止损计划",IF(OR(B33="",D33="",E33="",F33="",G33=""),"计划不完整",IF(OR(D33&lt;1,D33&lt;&gt;INT(D33)),"阶段序号无效",IF(COUNTIFS($A$2:$A$497,"止损计划",$B$2:$B$497,B33,$D$2:$D$497,D33)&gt;1,"阶段序号重复",IF(E33&lt;=IFERROR(LOOKUP(2,1/(单次交易!$A$2:$A$163=B33),单次交易!$E$2:$E$163),0),"激活价须高于买入价",IF(F33&lt;N33,"止损价不得低于初始止损",IF(F33&gt;E33,"止损价不得高于激活价",IF(AND(COUNTIFS($A$2:$A$497,"止损计划",$B$2:$B$497,B33,$D$2:$D$497,"&lt;"&amp;D33)&gt;0,OR(E33&lt;=SUMPRODUCT(MAX((($A$2:$A$497="止损计划")*($B$2:$B$497=B33)*($D$2:$D$497&lt;D33))*$E$2:$E$497)),F33&lt;SUMPRODUCT(MAX((($A$2:$A$497="止损计划")*($B$2:$B$497=B33)*($D$2:$D$497&lt;D33))*$F$2:$F$497)))),"阶段价格必须逐级提高","计划有效"))))))),IF(A33="每日跟踪",IF(OR(B33="",H33="",I33="",J33=""),"每日数据不完整",IF(COUNTIFS($A$2:$A$497,"每日跟踪",$B$2:$B$497,B33,$H$2:$H$497,H33)&gt;1,"同一交易日期重复",IF(AND(R33&lt;&gt;"",R33&lt;S33),"人工止损无效：不能下调","跟踪有效"))),"记录类型无效")))</f>
        <v/>
      </c>
    </row>
    <row r="34" ht="17" spans="1:29">
      <c r="A34" s="2"/>
      <c r="B34" s="2"/>
      <c r="C34" s="8" t="str">
        <f>IF(B34="","",IFERROR(LOOKUP(2,1/(单次交易!$A$2:$A$163=B34),单次交易!$B$2:$B$163),""))</f>
        <v/>
      </c>
      <c r="D34" s="12"/>
      <c r="E34" s="10"/>
      <c r="F34" s="10"/>
      <c r="G34" s="2"/>
      <c r="H34" s="15"/>
      <c r="I34" s="10"/>
      <c r="J34" s="21"/>
      <c r="K34" s="2"/>
      <c r="L34" s="2"/>
      <c r="M34" s="13"/>
      <c r="N34" s="5" t="str">
        <f>IF(B34="","",IFERROR(LOOKUP(2,1/(单次交易!$A$2:$A$163=B34),单次交易!$N$2:$N$163),""))</f>
        <v/>
      </c>
      <c r="O34" s="5" t="str">
        <f t="shared" si="0"/>
        <v/>
      </c>
      <c r="P34" s="11" t="str">
        <f t="shared" si="1"/>
        <v/>
      </c>
      <c r="Q34" s="5" t="str">
        <f t="shared" si="2"/>
        <v/>
      </c>
      <c r="R34" s="10"/>
      <c r="S34" s="5" t="str">
        <f t="shared" si="3"/>
        <v/>
      </c>
      <c r="T34" s="5" t="str">
        <f t="shared" si="4"/>
        <v/>
      </c>
      <c r="U34" s="5" t="str">
        <f t="shared" si="5"/>
        <v/>
      </c>
      <c r="V34" s="7" t="str">
        <f t="shared" si="6"/>
        <v/>
      </c>
      <c r="W34" s="8" t="str">
        <f t="shared" si="7"/>
        <v/>
      </c>
      <c r="X34" s="2"/>
      <c r="Y34" s="10"/>
      <c r="Z34" s="11" t="str">
        <f>IF(X34&lt;&gt;"执行卖出","",IFERROR(LOOKUP(2,1/(单次交易!$A$2:$A$163=B34),单次交易!$AP$2:$AP$163),""))</f>
        <v/>
      </c>
      <c r="AA34" s="10"/>
      <c r="AB34" s="8" t="str">
        <f t="shared" si="8"/>
        <v/>
      </c>
      <c r="AC34" s="8" t="str">
        <f>IF(A34="","",IF(A34="止损计划",IF(OR(B34="",D34="",E34="",F34="",G34=""),"计划不完整",IF(OR(D34&lt;1,D34&lt;&gt;INT(D34)),"阶段序号无效",IF(COUNTIFS($A$2:$A$497,"止损计划",$B$2:$B$497,B34,$D$2:$D$497,D34)&gt;1,"阶段序号重复",IF(E34&lt;=IFERROR(LOOKUP(2,1/(单次交易!$A$2:$A$163=B34),单次交易!$E$2:$E$163),0),"激活价须高于买入价",IF(F34&lt;N34,"止损价不得低于初始止损",IF(F34&gt;E34,"止损价不得高于激活价",IF(AND(COUNTIFS($A$2:$A$497,"止损计划",$B$2:$B$497,B34,$D$2:$D$497,"&lt;"&amp;D34)&gt;0,OR(E34&lt;=SUMPRODUCT(MAX((($A$2:$A$497="止损计划")*($B$2:$B$497=B34)*($D$2:$D$497&lt;D34))*$E$2:$E$497)),F34&lt;SUMPRODUCT(MAX((($A$2:$A$497="止损计划")*($B$2:$B$497=B34)*($D$2:$D$497&lt;D34))*$F$2:$F$497)))),"阶段价格必须逐级提高","计划有效"))))))),IF(A34="每日跟踪",IF(OR(B34="",H34="",I34="",J34=""),"每日数据不完整",IF(COUNTIFS($A$2:$A$497,"每日跟踪",$B$2:$B$497,B34,$H$2:$H$497,H34)&gt;1,"同一交易日期重复",IF(AND(R34&lt;&gt;"",R34&lt;S34),"人工止损无效：不能下调","跟踪有效"))),"记录类型无效")))</f>
        <v/>
      </c>
    </row>
    <row r="35" ht="17" spans="1:29">
      <c r="A35" s="2"/>
      <c r="B35" s="2"/>
      <c r="C35" s="8" t="str">
        <f>IF(B35="","",IFERROR(LOOKUP(2,1/(单次交易!$A$2:$A$163=B35),单次交易!$B$2:$B$163),""))</f>
        <v/>
      </c>
      <c r="D35" s="12"/>
      <c r="E35" s="10"/>
      <c r="F35" s="10"/>
      <c r="G35" s="2"/>
      <c r="H35" s="15"/>
      <c r="I35" s="10"/>
      <c r="J35" s="21"/>
      <c r="K35" s="13"/>
      <c r="L35" s="2"/>
      <c r="M35" s="2"/>
      <c r="N35" s="5" t="str">
        <f>IF(B35="","",IFERROR(LOOKUP(2,1/(单次交易!$A$2:$A$163=B35),单次交易!$N$2:$N$163),""))</f>
        <v/>
      </c>
      <c r="O35" s="5" t="str">
        <f t="shared" si="0"/>
        <v/>
      </c>
      <c r="P35" s="11" t="str">
        <f t="shared" si="1"/>
        <v/>
      </c>
      <c r="Q35" s="5" t="str">
        <f t="shared" si="2"/>
        <v/>
      </c>
      <c r="R35" s="10"/>
      <c r="S35" s="5" t="str">
        <f t="shared" si="3"/>
        <v/>
      </c>
      <c r="T35" s="5" t="str">
        <f t="shared" si="4"/>
        <v/>
      </c>
      <c r="U35" s="5" t="str">
        <f t="shared" si="5"/>
        <v/>
      </c>
      <c r="V35" s="7" t="str">
        <f t="shared" si="6"/>
        <v/>
      </c>
      <c r="W35" s="8" t="str">
        <f t="shared" si="7"/>
        <v/>
      </c>
      <c r="X35" s="2"/>
      <c r="Y35" s="10"/>
      <c r="Z35" s="11" t="str">
        <f>IF(X35&lt;&gt;"执行卖出","",IFERROR(LOOKUP(2,1/(单次交易!$A$2:$A$163=B35),单次交易!$AP$2:$AP$163),""))</f>
        <v/>
      </c>
      <c r="AA35" s="10"/>
      <c r="AB35" s="8" t="str">
        <f t="shared" si="8"/>
        <v/>
      </c>
      <c r="AC35" s="8" t="str">
        <f>IF(A35="","",IF(A35="止损计划",IF(OR(B35="",D35="",E35="",F35="",G35=""),"计划不完整",IF(OR(D35&lt;1,D35&lt;&gt;INT(D35)),"阶段序号无效",IF(COUNTIFS($A$2:$A$497,"止损计划",$B$2:$B$497,B35,$D$2:$D$497,D35)&gt;1,"阶段序号重复",IF(E35&lt;=IFERROR(LOOKUP(2,1/(单次交易!$A$2:$A$163=B35),单次交易!$E$2:$E$163),0),"激活价须高于买入价",IF(F35&lt;N35,"止损价不得低于初始止损",IF(F35&gt;E35,"止损价不得高于激活价",IF(AND(COUNTIFS($A$2:$A$497,"止损计划",$B$2:$B$497,B35,$D$2:$D$497,"&lt;"&amp;D35)&gt;0,OR(E35&lt;=SUMPRODUCT(MAX((($A$2:$A$497="止损计划")*($B$2:$B$497=B35)*($D$2:$D$497&lt;D35))*$E$2:$E$497)),F35&lt;SUMPRODUCT(MAX((($A$2:$A$497="止损计划")*($B$2:$B$497=B35)*($D$2:$D$497&lt;D35))*$F$2:$F$497)))),"阶段价格必须逐级提高","计划有效"))))))),IF(A35="每日跟踪",IF(OR(B35="",H35="",I35="",J35=""),"每日数据不完整",IF(COUNTIFS($A$2:$A$497,"每日跟踪",$B$2:$B$497,B35,$H$2:$H$497,H35)&gt;1,"同一交易日期重复",IF(AND(R35&lt;&gt;"",R35&lt;S35),"人工止损无效：不能下调","跟踪有效"))),"记录类型无效")))</f>
        <v/>
      </c>
    </row>
    <row r="36" ht="17" spans="1:29">
      <c r="A36" s="2"/>
      <c r="B36" s="2"/>
      <c r="C36" s="8" t="str">
        <f>IF(B36="","",IFERROR(LOOKUP(2,1/(单次交易!$A$2:$A$163=B36),单次交易!$B$2:$B$163),""))</f>
        <v/>
      </c>
      <c r="D36" s="12"/>
      <c r="E36" s="10"/>
      <c r="F36" s="10"/>
      <c r="G36" s="2"/>
      <c r="H36" s="15"/>
      <c r="I36" s="10"/>
      <c r="J36" s="21"/>
      <c r="K36" s="13"/>
      <c r="L36" s="2"/>
      <c r="M36" s="13"/>
      <c r="N36" s="5" t="str">
        <f>IF(B36="","",IFERROR(LOOKUP(2,1/(单次交易!$A$2:$A$163=B36),单次交易!$N$2:$N$163),""))</f>
        <v/>
      </c>
      <c r="O36" s="5" t="str">
        <f t="shared" si="0"/>
        <v/>
      </c>
      <c r="P36" s="11" t="str">
        <f t="shared" si="1"/>
        <v/>
      </c>
      <c r="Q36" s="5" t="str">
        <f t="shared" si="2"/>
        <v/>
      </c>
      <c r="R36" s="10"/>
      <c r="S36" s="5" t="str">
        <f t="shared" si="3"/>
        <v/>
      </c>
      <c r="T36" s="5" t="str">
        <f t="shared" si="4"/>
        <v/>
      </c>
      <c r="U36" s="5" t="str">
        <f t="shared" si="5"/>
        <v/>
      </c>
      <c r="V36" s="7" t="str">
        <f t="shared" si="6"/>
        <v/>
      </c>
      <c r="W36" s="8" t="str">
        <f t="shared" si="7"/>
        <v/>
      </c>
      <c r="X36" s="2"/>
      <c r="Y36" s="10"/>
      <c r="Z36" s="11" t="str">
        <f>IF(X36&lt;&gt;"执行卖出","",IFERROR(LOOKUP(2,1/(单次交易!$A$2:$A$163=B36),单次交易!$AP$2:$AP$163),""))</f>
        <v/>
      </c>
      <c r="AA36" s="10"/>
      <c r="AB36" s="8" t="str">
        <f t="shared" si="8"/>
        <v/>
      </c>
      <c r="AC36" s="8" t="str">
        <f>IF(A36="","",IF(A36="止损计划",IF(OR(B36="",D36="",E36="",F36="",G36=""),"计划不完整",IF(OR(D36&lt;1,D36&lt;&gt;INT(D36)),"阶段序号无效",IF(COUNTIFS($A$2:$A$497,"止损计划",$B$2:$B$497,B36,$D$2:$D$497,D36)&gt;1,"阶段序号重复",IF(E36&lt;=IFERROR(LOOKUP(2,1/(单次交易!$A$2:$A$163=B36),单次交易!$E$2:$E$163),0),"激活价须高于买入价",IF(F36&lt;N36,"止损价不得低于初始止损",IF(F36&gt;E36,"止损价不得高于激活价",IF(AND(COUNTIFS($A$2:$A$497,"止损计划",$B$2:$B$497,B36,$D$2:$D$497,"&lt;"&amp;D36)&gt;0,OR(E36&lt;=SUMPRODUCT(MAX((($A$2:$A$497="止损计划")*($B$2:$B$497=B36)*($D$2:$D$497&lt;D36))*$E$2:$E$497)),F36&lt;SUMPRODUCT(MAX((($A$2:$A$497="止损计划")*($B$2:$B$497=B36)*($D$2:$D$497&lt;D36))*$F$2:$F$497)))),"阶段价格必须逐级提高","计划有效"))))))),IF(A36="每日跟踪",IF(OR(B36="",H36="",I36="",J36=""),"每日数据不完整",IF(COUNTIFS($A$2:$A$497,"每日跟踪",$B$2:$B$497,B36,$H$2:$H$497,H36)&gt;1,"同一交易日期重复",IF(AND(R36&lt;&gt;"",R36&lt;S36),"人工止损无效：不能下调","跟踪有效"))),"记录类型无效")))</f>
        <v/>
      </c>
    </row>
    <row r="37" ht="17" spans="1:29">
      <c r="A37" s="2"/>
      <c r="B37" s="2"/>
      <c r="C37" s="8" t="str">
        <f>IF(B37="","",IFERROR(LOOKUP(2,1/(单次交易!$A$2:$A$163=B37),单次交易!$B$2:$B$163),""))</f>
        <v/>
      </c>
      <c r="D37" s="12"/>
      <c r="E37" s="10"/>
      <c r="F37" s="10"/>
      <c r="G37" s="2"/>
      <c r="H37" s="15"/>
      <c r="I37" s="10"/>
      <c r="J37" s="21"/>
      <c r="K37" s="2"/>
      <c r="L37" s="2"/>
      <c r="M37" s="13"/>
      <c r="N37" s="5" t="str">
        <f>IF(B37="","",IFERROR(LOOKUP(2,1/(单次交易!$A$2:$A$163=B37),单次交易!$N$2:$N$163),""))</f>
        <v/>
      </c>
      <c r="O37" s="5" t="str">
        <f t="shared" si="0"/>
        <v/>
      </c>
      <c r="P37" s="11" t="str">
        <f t="shared" si="1"/>
        <v/>
      </c>
      <c r="Q37" s="5" t="str">
        <f t="shared" si="2"/>
        <v/>
      </c>
      <c r="R37" s="10"/>
      <c r="S37" s="5" t="str">
        <f t="shared" si="3"/>
        <v/>
      </c>
      <c r="T37" s="5" t="str">
        <f t="shared" si="4"/>
        <v/>
      </c>
      <c r="U37" s="5" t="str">
        <f t="shared" si="5"/>
        <v/>
      </c>
      <c r="V37" s="7" t="str">
        <f t="shared" si="6"/>
        <v/>
      </c>
      <c r="W37" s="8" t="str">
        <f t="shared" si="7"/>
        <v/>
      </c>
      <c r="X37" s="2"/>
      <c r="Y37" s="10"/>
      <c r="Z37" s="11" t="str">
        <f>IF(X37&lt;&gt;"执行卖出","",IFERROR(LOOKUP(2,1/(单次交易!$A$2:$A$163=B37),单次交易!$AP$2:$AP$163),""))</f>
        <v/>
      </c>
      <c r="AA37" s="10"/>
      <c r="AB37" s="8" t="str">
        <f t="shared" si="8"/>
        <v/>
      </c>
      <c r="AC37" s="8" t="str">
        <f>IF(A37="","",IF(A37="止损计划",IF(OR(B37="",D37="",E37="",F37="",G37=""),"计划不完整",IF(OR(D37&lt;1,D37&lt;&gt;INT(D37)),"阶段序号无效",IF(COUNTIFS($A$2:$A$497,"止损计划",$B$2:$B$497,B37,$D$2:$D$497,D37)&gt;1,"阶段序号重复",IF(E37&lt;=IFERROR(LOOKUP(2,1/(单次交易!$A$2:$A$163=B37),单次交易!$E$2:$E$163),0),"激活价须高于买入价",IF(F37&lt;N37,"止损价不得低于初始止损",IF(F37&gt;E37,"止损价不得高于激活价",IF(AND(COUNTIFS($A$2:$A$497,"止损计划",$B$2:$B$497,B37,$D$2:$D$497,"&lt;"&amp;D37)&gt;0,OR(E37&lt;=SUMPRODUCT(MAX((($A$2:$A$497="止损计划")*($B$2:$B$497=B37)*($D$2:$D$497&lt;D37))*$E$2:$E$497)),F37&lt;SUMPRODUCT(MAX((($A$2:$A$497="止损计划")*($B$2:$B$497=B37)*($D$2:$D$497&lt;D37))*$F$2:$F$497)))),"阶段价格必须逐级提高","计划有效"))))))),IF(A37="每日跟踪",IF(OR(B37="",H37="",I37="",J37=""),"每日数据不完整",IF(COUNTIFS($A$2:$A$497,"每日跟踪",$B$2:$B$497,B37,$H$2:$H$497,H37)&gt;1,"同一交易日期重复",IF(AND(R37&lt;&gt;"",R37&lt;S37),"人工止损无效：不能下调","跟踪有效"))),"记录类型无效")))</f>
        <v/>
      </c>
    </row>
    <row r="38" ht="17" spans="1:29">
      <c r="A38" s="2"/>
      <c r="B38" s="2"/>
      <c r="C38" s="8" t="str">
        <f>IF(B38="","",IFERROR(LOOKUP(2,1/(单次交易!$A$2:$A$163=B38),单次交易!$B$2:$B$163),""))</f>
        <v/>
      </c>
      <c r="D38" s="12"/>
      <c r="E38" s="10"/>
      <c r="F38" s="10"/>
      <c r="G38" s="2"/>
      <c r="H38" s="15"/>
      <c r="I38" s="10"/>
      <c r="J38" s="21"/>
      <c r="K38" s="2"/>
      <c r="L38" s="2"/>
      <c r="M38" s="13"/>
      <c r="N38" s="5" t="str">
        <f>IF(B38="","",IFERROR(LOOKUP(2,1/(单次交易!$A$2:$A$163=B38),单次交易!$N$2:$N$163),""))</f>
        <v/>
      </c>
      <c r="O38" s="5" t="str">
        <f t="shared" si="0"/>
        <v/>
      </c>
      <c r="P38" s="11" t="str">
        <f t="shared" si="1"/>
        <v/>
      </c>
      <c r="Q38" s="5" t="str">
        <f t="shared" si="2"/>
        <v/>
      </c>
      <c r="R38" s="10"/>
      <c r="S38" s="5" t="str">
        <f t="shared" si="3"/>
        <v/>
      </c>
      <c r="T38" s="5" t="str">
        <f t="shared" si="4"/>
        <v/>
      </c>
      <c r="U38" s="5" t="str">
        <f t="shared" si="5"/>
        <v/>
      </c>
      <c r="V38" s="7" t="str">
        <f t="shared" si="6"/>
        <v/>
      </c>
      <c r="W38" s="8" t="str">
        <f t="shared" si="7"/>
        <v/>
      </c>
      <c r="X38" s="2"/>
      <c r="Y38" s="10"/>
      <c r="Z38" s="11" t="str">
        <f>IF(X38&lt;&gt;"执行卖出","",IFERROR(LOOKUP(2,1/(单次交易!$A$2:$A$163=B38),单次交易!$AP$2:$AP$163),""))</f>
        <v/>
      </c>
      <c r="AA38" s="10"/>
      <c r="AB38" s="8" t="str">
        <f t="shared" si="8"/>
        <v/>
      </c>
      <c r="AC38" s="8" t="str">
        <f>IF(A38="","",IF(A38="止损计划",IF(OR(B38="",D38="",E38="",F38="",G38=""),"计划不完整",IF(OR(D38&lt;1,D38&lt;&gt;INT(D38)),"阶段序号无效",IF(COUNTIFS($A$2:$A$497,"止损计划",$B$2:$B$497,B38,$D$2:$D$497,D38)&gt;1,"阶段序号重复",IF(E38&lt;=IFERROR(LOOKUP(2,1/(单次交易!$A$2:$A$163=B38),单次交易!$E$2:$E$163),0),"激活价须高于买入价",IF(F38&lt;N38,"止损价不得低于初始止损",IF(F38&gt;E38,"止损价不得高于激活价",IF(AND(COUNTIFS($A$2:$A$497,"止损计划",$B$2:$B$497,B38,$D$2:$D$497,"&lt;"&amp;D38)&gt;0,OR(E38&lt;=SUMPRODUCT(MAX((($A$2:$A$497="止损计划")*($B$2:$B$497=B38)*($D$2:$D$497&lt;D38))*$E$2:$E$497)),F38&lt;SUMPRODUCT(MAX((($A$2:$A$497="止损计划")*($B$2:$B$497=B38)*($D$2:$D$497&lt;D38))*$F$2:$F$497)))),"阶段价格必须逐级提高","计划有效"))))))),IF(A38="每日跟踪",IF(OR(B38="",H38="",I38="",J38=""),"每日数据不完整",IF(COUNTIFS($A$2:$A$497,"每日跟踪",$B$2:$B$497,B38,$H$2:$H$497,H38)&gt;1,"同一交易日期重复",IF(AND(R38&lt;&gt;"",R38&lt;S38),"人工止损无效：不能下调","跟踪有效"))),"记录类型无效")))</f>
        <v/>
      </c>
    </row>
    <row r="39" ht="17" spans="1:29">
      <c r="A39" s="2"/>
      <c r="B39" s="2"/>
      <c r="C39" s="8" t="str">
        <f>IF(B39="","",IFERROR(LOOKUP(2,1/(单次交易!$A$2:$A$163=B39),单次交易!$B$2:$B$163),""))</f>
        <v/>
      </c>
      <c r="D39" s="12"/>
      <c r="E39" s="10"/>
      <c r="F39" s="10"/>
      <c r="G39" s="2"/>
      <c r="H39" s="15"/>
      <c r="I39" s="10"/>
      <c r="J39" s="21"/>
      <c r="K39" s="13"/>
      <c r="L39" s="2"/>
      <c r="M39" s="2"/>
      <c r="N39" s="5" t="str">
        <f>IF(B39="","",IFERROR(LOOKUP(2,1/(单次交易!$A$2:$A$163=B39),单次交易!$N$2:$N$163),""))</f>
        <v/>
      </c>
      <c r="O39" s="5" t="str">
        <f t="shared" si="0"/>
        <v/>
      </c>
      <c r="P39" s="11" t="str">
        <f t="shared" si="1"/>
        <v/>
      </c>
      <c r="Q39" s="5" t="str">
        <f t="shared" si="2"/>
        <v/>
      </c>
      <c r="R39" s="10"/>
      <c r="S39" s="5" t="str">
        <f t="shared" si="3"/>
        <v/>
      </c>
      <c r="T39" s="5" t="str">
        <f t="shared" si="4"/>
        <v/>
      </c>
      <c r="U39" s="5" t="str">
        <f t="shared" si="5"/>
        <v/>
      </c>
      <c r="V39" s="7" t="str">
        <f t="shared" si="6"/>
        <v/>
      </c>
      <c r="W39" s="8" t="str">
        <f t="shared" si="7"/>
        <v/>
      </c>
      <c r="X39" s="2"/>
      <c r="Y39" s="10"/>
      <c r="Z39" s="11" t="str">
        <f>IF(X39&lt;&gt;"执行卖出","",IFERROR(LOOKUP(2,1/(单次交易!$A$2:$A$163=B39),单次交易!$AP$2:$AP$163),""))</f>
        <v/>
      </c>
      <c r="AA39" s="10"/>
      <c r="AB39" s="8" t="str">
        <f t="shared" si="8"/>
        <v/>
      </c>
      <c r="AC39" s="8" t="str">
        <f>IF(A39="","",IF(A39="止损计划",IF(OR(B39="",D39="",E39="",F39="",G39=""),"计划不完整",IF(OR(D39&lt;1,D39&lt;&gt;INT(D39)),"阶段序号无效",IF(COUNTIFS($A$2:$A$497,"止损计划",$B$2:$B$497,B39,$D$2:$D$497,D39)&gt;1,"阶段序号重复",IF(E39&lt;=IFERROR(LOOKUP(2,1/(单次交易!$A$2:$A$163=B39),单次交易!$E$2:$E$163),0),"激活价须高于买入价",IF(F39&lt;N39,"止损价不得低于初始止损",IF(F39&gt;E39,"止损价不得高于激活价",IF(AND(COUNTIFS($A$2:$A$497,"止损计划",$B$2:$B$497,B39,$D$2:$D$497,"&lt;"&amp;D39)&gt;0,OR(E39&lt;=SUMPRODUCT(MAX((($A$2:$A$497="止损计划")*($B$2:$B$497=B39)*($D$2:$D$497&lt;D39))*$E$2:$E$497)),F39&lt;SUMPRODUCT(MAX((($A$2:$A$497="止损计划")*($B$2:$B$497=B39)*($D$2:$D$497&lt;D39))*$F$2:$F$497)))),"阶段价格必须逐级提高","计划有效"))))))),IF(A39="每日跟踪",IF(OR(B39="",H39="",I39="",J39=""),"每日数据不完整",IF(COUNTIFS($A$2:$A$497,"每日跟踪",$B$2:$B$497,B39,$H$2:$H$497,H39)&gt;1,"同一交易日期重复",IF(AND(R39&lt;&gt;"",R39&lt;S39),"人工止损无效：不能下调","跟踪有效"))),"记录类型无效")))</f>
        <v/>
      </c>
    </row>
    <row r="40" ht="17" spans="1:29">
      <c r="A40" s="2"/>
      <c r="B40" s="2"/>
      <c r="C40" s="8" t="str">
        <f>IF(B40="","",IFERROR(LOOKUP(2,1/(单次交易!$A$2:$A$163=B40),单次交易!$B$2:$B$163),""))</f>
        <v/>
      </c>
      <c r="D40" s="12"/>
      <c r="E40" s="10"/>
      <c r="F40" s="10"/>
      <c r="G40" s="2"/>
      <c r="H40" s="15"/>
      <c r="I40" s="10"/>
      <c r="J40" s="21"/>
      <c r="K40" s="13"/>
      <c r="L40" s="2"/>
      <c r="M40" s="13"/>
      <c r="N40" s="5" t="str">
        <f>IF(B40="","",IFERROR(LOOKUP(2,1/(单次交易!$A$2:$A$163=B40),单次交易!$N$2:$N$163),""))</f>
        <v/>
      </c>
      <c r="O40" s="5" t="str">
        <f t="shared" si="0"/>
        <v/>
      </c>
      <c r="P40" s="11" t="str">
        <f t="shared" si="1"/>
        <v/>
      </c>
      <c r="Q40" s="5" t="str">
        <f t="shared" si="2"/>
        <v/>
      </c>
      <c r="R40" s="10"/>
      <c r="S40" s="5" t="str">
        <f t="shared" si="3"/>
        <v/>
      </c>
      <c r="T40" s="5" t="str">
        <f t="shared" si="4"/>
        <v/>
      </c>
      <c r="U40" s="5" t="str">
        <f t="shared" si="5"/>
        <v/>
      </c>
      <c r="V40" s="7" t="str">
        <f t="shared" si="6"/>
        <v/>
      </c>
      <c r="W40" s="8" t="str">
        <f t="shared" si="7"/>
        <v/>
      </c>
      <c r="X40" s="2"/>
      <c r="Y40" s="10"/>
      <c r="Z40" s="11" t="str">
        <f>IF(X40&lt;&gt;"执行卖出","",IFERROR(LOOKUP(2,1/(单次交易!$A$2:$A$163=B40),单次交易!$AP$2:$AP$163),""))</f>
        <v/>
      </c>
      <c r="AA40" s="10"/>
      <c r="AB40" s="8" t="str">
        <f t="shared" si="8"/>
        <v/>
      </c>
      <c r="AC40" s="8" t="str">
        <f>IF(A40="","",IF(A40="止损计划",IF(OR(B40="",D40="",E40="",F40="",G40=""),"计划不完整",IF(OR(D40&lt;1,D40&lt;&gt;INT(D40)),"阶段序号无效",IF(COUNTIFS($A$2:$A$497,"止损计划",$B$2:$B$497,B40,$D$2:$D$497,D40)&gt;1,"阶段序号重复",IF(E40&lt;=IFERROR(LOOKUP(2,1/(单次交易!$A$2:$A$163=B40),单次交易!$E$2:$E$163),0),"激活价须高于买入价",IF(F40&lt;N40,"止损价不得低于初始止损",IF(F40&gt;E40,"止损价不得高于激活价",IF(AND(COUNTIFS($A$2:$A$497,"止损计划",$B$2:$B$497,B40,$D$2:$D$497,"&lt;"&amp;D40)&gt;0,OR(E40&lt;=SUMPRODUCT(MAX((($A$2:$A$497="止损计划")*($B$2:$B$497=B40)*($D$2:$D$497&lt;D40))*$E$2:$E$497)),F40&lt;SUMPRODUCT(MAX((($A$2:$A$497="止损计划")*($B$2:$B$497=B40)*($D$2:$D$497&lt;D40))*$F$2:$F$497)))),"阶段价格必须逐级提高","计划有效"))))))),IF(A40="每日跟踪",IF(OR(B40="",H40="",I40="",J40=""),"每日数据不完整",IF(COUNTIFS($A$2:$A$497,"每日跟踪",$B$2:$B$497,B40,$H$2:$H$497,H40)&gt;1,"同一交易日期重复",IF(AND(R40&lt;&gt;"",R40&lt;S40),"人工止损无效：不能下调","跟踪有效"))),"记录类型无效")))</f>
        <v/>
      </c>
    </row>
    <row r="41" ht="17" spans="1:29">
      <c r="A41" s="2"/>
      <c r="B41" s="2"/>
      <c r="C41" s="8" t="str">
        <f>IF(B41="","",IFERROR(LOOKUP(2,1/(单次交易!$A$2:$A$163=B41),单次交易!$B$2:$B$163),""))</f>
        <v/>
      </c>
      <c r="D41" s="12"/>
      <c r="E41" s="10"/>
      <c r="F41" s="10"/>
      <c r="G41" s="2"/>
      <c r="H41" s="15"/>
      <c r="I41" s="10"/>
      <c r="J41" s="21"/>
      <c r="K41" s="13"/>
      <c r="L41" s="2"/>
      <c r="M41" s="13"/>
      <c r="N41" s="5" t="str">
        <f>IF(B41="","",IFERROR(LOOKUP(2,1/(单次交易!$A$2:$A$163=B41),单次交易!$N$2:$N$163),""))</f>
        <v/>
      </c>
      <c r="O41" s="5" t="str">
        <f t="shared" si="0"/>
        <v/>
      </c>
      <c r="P41" s="11" t="str">
        <f t="shared" si="1"/>
        <v/>
      </c>
      <c r="Q41" s="5" t="str">
        <f t="shared" si="2"/>
        <v/>
      </c>
      <c r="R41" s="10"/>
      <c r="S41" s="5" t="str">
        <f t="shared" si="3"/>
        <v/>
      </c>
      <c r="T41" s="5" t="str">
        <f t="shared" si="4"/>
        <v/>
      </c>
      <c r="U41" s="5" t="str">
        <f t="shared" si="5"/>
        <v/>
      </c>
      <c r="V41" s="7" t="str">
        <f t="shared" si="6"/>
        <v/>
      </c>
      <c r="W41" s="8" t="str">
        <f t="shared" si="7"/>
        <v/>
      </c>
      <c r="X41" s="2"/>
      <c r="Y41" s="10"/>
      <c r="Z41" s="11" t="str">
        <f>IF(X41&lt;&gt;"执行卖出","",IFERROR(LOOKUP(2,1/(单次交易!$A$2:$A$163=B41),单次交易!$AP$2:$AP$163),""))</f>
        <v/>
      </c>
      <c r="AA41" s="10"/>
      <c r="AB41" s="8" t="str">
        <f t="shared" si="8"/>
        <v/>
      </c>
      <c r="AC41" s="8" t="str">
        <f>IF(A41="","",IF(A41="止损计划",IF(OR(B41="",D41="",E41="",F41="",G41=""),"计划不完整",IF(OR(D41&lt;1,D41&lt;&gt;INT(D41)),"阶段序号无效",IF(COUNTIFS($A$2:$A$497,"止损计划",$B$2:$B$497,B41,$D$2:$D$497,D41)&gt;1,"阶段序号重复",IF(E41&lt;=IFERROR(LOOKUP(2,1/(单次交易!$A$2:$A$163=B41),单次交易!$E$2:$E$163),0),"激活价须高于买入价",IF(F41&lt;N41,"止损价不得低于初始止损",IF(F41&gt;E41,"止损价不得高于激活价",IF(AND(COUNTIFS($A$2:$A$497,"止损计划",$B$2:$B$497,B41,$D$2:$D$497,"&lt;"&amp;D41)&gt;0,OR(E41&lt;=SUMPRODUCT(MAX((($A$2:$A$497="止损计划")*($B$2:$B$497=B41)*($D$2:$D$497&lt;D41))*$E$2:$E$497)),F41&lt;SUMPRODUCT(MAX((($A$2:$A$497="止损计划")*($B$2:$B$497=B41)*($D$2:$D$497&lt;D41))*$F$2:$F$497)))),"阶段价格必须逐级提高","计划有效"))))))),IF(A41="每日跟踪",IF(OR(B41="",H41="",I41="",J41=""),"每日数据不完整",IF(COUNTIFS($A$2:$A$497,"每日跟踪",$B$2:$B$497,B41,$H$2:$H$497,H41)&gt;1,"同一交易日期重复",IF(AND(R41&lt;&gt;"",R41&lt;S41),"人工止损无效：不能下调","跟踪有效"))),"记录类型无效")))</f>
        <v/>
      </c>
    </row>
    <row r="42" ht="17" spans="1:29">
      <c r="A42" s="2"/>
      <c r="B42" s="2"/>
      <c r="C42" s="8" t="str">
        <f>IF(B42="","",IFERROR(LOOKUP(2,1/(单次交易!$A$2:$A$163=B42),单次交易!$B$2:$B$163),""))</f>
        <v/>
      </c>
      <c r="D42" s="12"/>
      <c r="E42" s="10"/>
      <c r="F42" s="10"/>
      <c r="G42" s="2"/>
      <c r="H42" s="15"/>
      <c r="I42" s="10"/>
      <c r="J42" s="21"/>
      <c r="K42" s="2"/>
      <c r="L42" s="2"/>
      <c r="M42" s="13"/>
      <c r="N42" s="5" t="str">
        <f>IF(B42="","",IFERROR(LOOKUP(2,1/(单次交易!$A$2:$A$163=B42),单次交易!$N$2:$N$163),""))</f>
        <v/>
      </c>
      <c r="O42" s="5" t="str">
        <f t="shared" si="0"/>
        <v/>
      </c>
      <c r="P42" s="11" t="str">
        <f t="shared" si="1"/>
        <v/>
      </c>
      <c r="Q42" s="5" t="str">
        <f t="shared" si="2"/>
        <v/>
      </c>
      <c r="R42" s="10"/>
      <c r="S42" s="5" t="str">
        <f t="shared" si="3"/>
        <v/>
      </c>
      <c r="T42" s="5" t="str">
        <f t="shared" si="4"/>
        <v/>
      </c>
      <c r="U42" s="5" t="str">
        <f t="shared" si="5"/>
        <v/>
      </c>
      <c r="V42" s="7" t="str">
        <f t="shared" si="6"/>
        <v/>
      </c>
      <c r="W42" s="8" t="str">
        <f t="shared" si="7"/>
        <v/>
      </c>
      <c r="X42" s="2"/>
      <c r="Y42" s="10"/>
      <c r="Z42" s="11" t="str">
        <f>IF(X42&lt;&gt;"执行卖出","",IFERROR(LOOKUP(2,1/(单次交易!$A$2:$A$163=B42),单次交易!$AP$2:$AP$163),""))</f>
        <v/>
      </c>
      <c r="AA42" s="10"/>
      <c r="AB42" s="8" t="str">
        <f t="shared" si="8"/>
        <v/>
      </c>
      <c r="AC42" s="8" t="str">
        <f>IF(A42="","",IF(A42="止损计划",IF(OR(B42="",D42="",E42="",F42="",G42=""),"计划不完整",IF(OR(D42&lt;1,D42&lt;&gt;INT(D42)),"阶段序号无效",IF(COUNTIFS($A$2:$A$497,"止损计划",$B$2:$B$497,B42,$D$2:$D$497,D42)&gt;1,"阶段序号重复",IF(E42&lt;=IFERROR(LOOKUP(2,1/(单次交易!$A$2:$A$163=B42),单次交易!$E$2:$E$163),0),"激活价须高于买入价",IF(F42&lt;N42,"止损价不得低于初始止损",IF(F42&gt;E42,"止损价不得高于激活价",IF(AND(COUNTIFS($A$2:$A$497,"止损计划",$B$2:$B$497,B42,$D$2:$D$497,"&lt;"&amp;D42)&gt;0,OR(E42&lt;=SUMPRODUCT(MAX((($A$2:$A$497="止损计划")*($B$2:$B$497=B42)*($D$2:$D$497&lt;D42))*$E$2:$E$497)),F42&lt;SUMPRODUCT(MAX((($A$2:$A$497="止损计划")*($B$2:$B$497=B42)*($D$2:$D$497&lt;D42))*$F$2:$F$497)))),"阶段价格必须逐级提高","计划有效"))))))),IF(A42="每日跟踪",IF(OR(B42="",H42="",I42="",J42=""),"每日数据不完整",IF(COUNTIFS($A$2:$A$497,"每日跟踪",$B$2:$B$497,B42,$H$2:$H$497,H42)&gt;1,"同一交易日期重复",IF(AND(R42&lt;&gt;"",R42&lt;S42),"人工止损无效：不能下调","跟踪有效"))),"记录类型无效")))</f>
        <v/>
      </c>
    </row>
    <row r="43" ht="17" spans="1:29">
      <c r="A43" s="2"/>
      <c r="B43" s="2"/>
      <c r="C43" s="8" t="str">
        <f>IF(B43="","",IFERROR(LOOKUP(2,1/(单次交易!$A$2:$A$163=B43),单次交易!$B$2:$B$163),""))</f>
        <v/>
      </c>
      <c r="D43" s="12"/>
      <c r="E43" s="10"/>
      <c r="F43" s="10"/>
      <c r="G43" s="2"/>
      <c r="H43" s="15"/>
      <c r="I43" s="10"/>
      <c r="J43" s="21"/>
      <c r="K43" s="13"/>
      <c r="L43" s="2"/>
      <c r="M43" s="13"/>
      <c r="N43" s="5" t="str">
        <f>IF(B43="","",IFERROR(LOOKUP(2,1/(单次交易!$A$2:$A$163=B43),单次交易!$N$2:$N$163),""))</f>
        <v/>
      </c>
      <c r="O43" s="5" t="str">
        <f t="shared" si="0"/>
        <v/>
      </c>
      <c r="P43" s="11" t="str">
        <f t="shared" si="1"/>
        <v/>
      </c>
      <c r="Q43" s="5" t="str">
        <f t="shared" si="2"/>
        <v/>
      </c>
      <c r="R43" s="10"/>
      <c r="S43" s="5" t="str">
        <f t="shared" si="3"/>
        <v/>
      </c>
      <c r="T43" s="5" t="str">
        <f t="shared" si="4"/>
        <v/>
      </c>
      <c r="U43" s="5" t="str">
        <f t="shared" si="5"/>
        <v/>
      </c>
      <c r="V43" s="7" t="str">
        <f t="shared" si="6"/>
        <v/>
      </c>
      <c r="W43" s="8" t="str">
        <f t="shared" si="7"/>
        <v/>
      </c>
      <c r="X43" s="2"/>
      <c r="Y43" s="10"/>
      <c r="Z43" s="11" t="str">
        <f>IF(X43&lt;&gt;"执行卖出","",IFERROR(LOOKUP(2,1/(单次交易!$A$2:$A$163=B43),单次交易!$AP$2:$AP$163),""))</f>
        <v/>
      </c>
      <c r="AA43" s="10"/>
      <c r="AB43" s="8" t="str">
        <f t="shared" si="8"/>
        <v/>
      </c>
      <c r="AC43" s="8" t="str">
        <f>IF(A43="","",IF(A43="止损计划",IF(OR(B43="",D43="",E43="",F43="",G43=""),"计划不完整",IF(OR(D43&lt;1,D43&lt;&gt;INT(D43)),"阶段序号无效",IF(COUNTIFS($A$2:$A$497,"止损计划",$B$2:$B$497,B43,$D$2:$D$497,D43)&gt;1,"阶段序号重复",IF(E43&lt;=IFERROR(LOOKUP(2,1/(单次交易!$A$2:$A$163=B43),单次交易!$E$2:$E$163),0),"激活价须高于买入价",IF(F43&lt;N43,"止损价不得低于初始止损",IF(F43&gt;E43,"止损价不得高于激活价",IF(AND(COUNTIFS($A$2:$A$497,"止损计划",$B$2:$B$497,B43,$D$2:$D$497,"&lt;"&amp;D43)&gt;0,OR(E43&lt;=SUMPRODUCT(MAX((($A$2:$A$497="止损计划")*($B$2:$B$497=B43)*($D$2:$D$497&lt;D43))*$E$2:$E$497)),F43&lt;SUMPRODUCT(MAX((($A$2:$A$497="止损计划")*($B$2:$B$497=B43)*($D$2:$D$497&lt;D43))*$F$2:$F$497)))),"阶段价格必须逐级提高","计划有效"))))))),IF(A43="每日跟踪",IF(OR(B43="",H43="",I43="",J43=""),"每日数据不完整",IF(COUNTIFS($A$2:$A$497,"每日跟踪",$B$2:$B$497,B43,$H$2:$H$497,H43)&gt;1,"同一交易日期重复",IF(AND(R43&lt;&gt;"",R43&lt;S43),"人工止损无效：不能下调","跟踪有效"))),"记录类型无效")))</f>
        <v/>
      </c>
    </row>
    <row r="44" ht="17" spans="1:29">
      <c r="A44" s="2"/>
      <c r="B44" s="2"/>
      <c r="C44" s="8" t="str">
        <f>IF(B44="","",IFERROR(LOOKUP(2,1/(单次交易!$A$2:$A$163=B44),单次交易!$B$2:$B$163),""))</f>
        <v/>
      </c>
      <c r="D44" s="12"/>
      <c r="E44" s="10"/>
      <c r="F44" s="10"/>
      <c r="G44" s="2"/>
      <c r="H44" s="15"/>
      <c r="I44" s="10"/>
      <c r="J44" s="21"/>
      <c r="K44" s="13"/>
      <c r="L44" s="2"/>
      <c r="M44" s="13"/>
      <c r="N44" s="5" t="str">
        <f>IF(B44="","",IFERROR(LOOKUP(2,1/(单次交易!$A$2:$A$163=B44),单次交易!$N$2:$N$163),""))</f>
        <v/>
      </c>
      <c r="O44" s="5" t="str">
        <f t="shared" si="0"/>
        <v/>
      </c>
      <c r="P44" s="11" t="str">
        <f t="shared" si="1"/>
        <v/>
      </c>
      <c r="Q44" s="5" t="str">
        <f t="shared" si="2"/>
        <v/>
      </c>
      <c r="R44" s="10"/>
      <c r="S44" s="5" t="str">
        <f t="shared" si="3"/>
        <v/>
      </c>
      <c r="T44" s="5" t="str">
        <f t="shared" si="4"/>
        <v/>
      </c>
      <c r="U44" s="5" t="str">
        <f t="shared" si="5"/>
        <v/>
      </c>
      <c r="V44" s="7" t="str">
        <f t="shared" si="6"/>
        <v/>
      </c>
      <c r="W44" s="8" t="str">
        <f t="shared" si="7"/>
        <v/>
      </c>
      <c r="X44" s="2"/>
      <c r="Y44" s="10"/>
      <c r="Z44" s="11" t="str">
        <f>IF(X44&lt;&gt;"执行卖出","",IFERROR(LOOKUP(2,1/(单次交易!$A$2:$A$163=B44),单次交易!$AP$2:$AP$163),""))</f>
        <v/>
      </c>
      <c r="AA44" s="10"/>
      <c r="AB44" s="8" t="str">
        <f t="shared" si="8"/>
        <v/>
      </c>
      <c r="AC44" s="8" t="str">
        <f>IF(A44="","",IF(A44="止损计划",IF(OR(B44="",D44="",E44="",F44="",G44=""),"计划不完整",IF(OR(D44&lt;1,D44&lt;&gt;INT(D44)),"阶段序号无效",IF(COUNTIFS($A$2:$A$497,"止损计划",$B$2:$B$497,B44,$D$2:$D$497,D44)&gt;1,"阶段序号重复",IF(E44&lt;=IFERROR(LOOKUP(2,1/(单次交易!$A$2:$A$163=B44),单次交易!$E$2:$E$163),0),"激活价须高于买入价",IF(F44&lt;N44,"止损价不得低于初始止损",IF(F44&gt;E44,"止损价不得高于激活价",IF(AND(COUNTIFS($A$2:$A$497,"止损计划",$B$2:$B$497,B44,$D$2:$D$497,"&lt;"&amp;D44)&gt;0,OR(E44&lt;=SUMPRODUCT(MAX((($A$2:$A$497="止损计划")*($B$2:$B$497=B44)*($D$2:$D$497&lt;D44))*$E$2:$E$497)),F44&lt;SUMPRODUCT(MAX((($A$2:$A$497="止损计划")*($B$2:$B$497=B44)*($D$2:$D$497&lt;D44))*$F$2:$F$497)))),"阶段价格必须逐级提高","计划有效"))))))),IF(A44="每日跟踪",IF(OR(B44="",H44="",I44="",J44=""),"每日数据不完整",IF(COUNTIFS($A$2:$A$497,"每日跟踪",$B$2:$B$497,B44,$H$2:$H$497,H44)&gt;1,"同一交易日期重复",IF(AND(R44&lt;&gt;"",R44&lt;S44),"人工止损无效：不能下调","跟踪有效"))),"记录类型无效")))</f>
        <v/>
      </c>
    </row>
    <row r="45" ht="17" spans="1:29">
      <c r="A45" s="2"/>
      <c r="B45" s="2"/>
      <c r="C45" s="8" t="str">
        <f>IF(B45="","",IFERROR(LOOKUP(2,1/(单次交易!$A$2:$A$163=B45),单次交易!$B$2:$B$163),""))</f>
        <v/>
      </c>
      <c r="D45" s="12"/>
      <c r="E45" s="10"/>
      <c r="F45" s="10"/>
      <c r="G45" s="2"/>
      <c r="H45" s="15"/>
      <c r="I45" s="10"/>
      <c r="J45" s="21"/>
      <c r="K45" s="13"/>
      <c r="L45" s="2"/>
      <c r="M45" s="13"/>
      <c r="N45" s="5" t="str">
        <f>IF(B45="","",IFERROR(LOOKUP(2,1/(单次交易!$A$2:$A$163=B45),单次交易!$N$2:$N$163),""))</f>
        <v/>
      </c>
      <c r="O45" s="5" t="str">
        <f t="shared" si="0"/>
        <v/>
      </c>
      <c r="P45" s="11" t="str">
        <f t="shared" si="1"/>
        <v/>
      </c>
      <c r="Q45" s="5" t="str">
        <f t="shared" si="2"/>
        <v/>
      </c>
      <c r="R45" s="10"/>
      <c r="S45" s="5" t="str">
        <f t="shared" si="3"/>
        <v/>
      </c>
      <c r="T45" s="5" t="str">
        <f t="shared" si="4"/>
        <v/>
      </c>
      <c r="U45" s="5" t="str">
        <f t="shared" si="5"/>
        <v/>
      </c>
      <c r="V45" s="7" t="str">
        <f t="shared" si="6"/>
        <v/>
      </c>
      <c r="W45" s="8" t="str">
        <f t="shared" si="7"/>
        <v/>
      </c>
      <c r="X45" s="2"/>
      <c r="Y45" s="10"/>
      <c r="Z45" s="11" t="str">
        <f>IF(X45&lt;&gt;"执行卖出","",IFERROR(LOOKUP(2,1/(单次交易!$A$2:$A$163=B45),单次交易!$AP$2:$AP$163),""))</f>
        <v/>
      </c>
      <c r="AA45" s="10"/>
      <c r="AB45" s="8" t="str">
        <f t="shared" si="8"/>
        <v/>
      </c>
      <c r="AC45" s="8" t="str">
        <f>IF(A45="","",IF(A45="止损计划",IF(OR(B45="",D45="",E45="",F45="",G45=""),"计划不完整",IF(OR(D45&lt;1,D45&lt;&gt;INT(D45)),"阶段序号无效",IF(COUNTIFS($A$2:$A$497,"止损计划",$B$2:$B$497,B45,$D$2:$D$497,D45)&gt;1,"阶段序号重复",IF(E45&lt;=IFERROR(LOOKUP(2,1/(单次交易!$A$2:$A$163=B45),单次交易!$E$2:$E$163),0),"激活价须高于买入价",IF(F45&lt;N45,"止损价不得低于初始止损",IF(F45&gt;E45,"止损价不得高于激活价",IF(AND(COUNTIFS($A$2:$A$497,"止损计划",$B$2:$B$497,B45,$D$2:$D$497,"&lt;"&amp;D45)&gt;0,OR(E45&lt;=SUMPRODUCT(MAX((($A$2:$A$497="止损计划")*($B$2:$B$497=B45)*($D$2:$D$497&lt;D45))*$E$2:$E$497)),F45&lt;SUMPRODUCT(MAX((($A$2:$A$497="止损计划")*($B$2:$B$497=B45)*($D$2:$D$497&lt;D45))*$F$2:$F$497)))),"阶段价格必须逐级提高","计划有效"))))))),IF(A45="每日跟踪",IF(OR(B45="",H45="",I45="",J45=""),"每日数据不完整",IF(COUNTIFS($A$2:$A$497,"每日跟踪",$B$2:$B$497,B45,$H$2:$H$497,H45)&gt;1,"同一交易日期重复",IF(AND(R45&lt;&gt;"",R45&lt;S45),"人工止损无效：不能下调","跟踪有效"))),"记录类型无效")))</f>
        <v/>
      </c>
    </row>
    <row r="46" ht="17" spans="1:29">
      <c r="A46" s="2"/>
      <c r="B46" s="2"/>
      <c r="C46" s="8" t="str">
        <f>IF(B46="","",IFERROR(LOOKUP(2,1/(单次交易!$A$2:$A$163=B46),单次交易!$B$2:$B$163),""))</f>
        <v/>
      </c>
      <c r="D46" s="12"/>
      <c r="E46" s="10"/>
      <c r="F46" s="10"/>
      <c r="G46" s="2"/>
      <c r="H46" s="15"/>
      <c r="I46" s="10"/>
      <c r="J46" s="21"/>
      <c r="K46" s="2"/>
      <c r="L46" s="2"/>
      <c r="M46" s="13"/>
      <c r="N46" s="5" t="str">
        <f>IF(B46="","",IFERROR(LOOKUP(2,1/(单次交易!$A$2:$A$163=B46),单次交易!$N$2:$N$163),""))</f>
        <v/>
      </c>
      <c r="O46" s="5" t="str">
        <f t="shared" si="0"/>
        <v/>
      </c>
      <c r="P46" s="11" t="str">
        <f t="shared" si="1"/>
        <v/>
      </c>
      <c r="Q46" s="5" t="str">
        <f t="shared" si="2"/>
        <v/>
      </c>
      <c r="R46" s="10"/>
      <c r="S46" s="5" t="str">
        <f t="shared" si="3"/>
        <v/>
      </c>
      <c r="T46" s="5" t="str">
        <f t="shared" si="4"/>
        <v/>
      </c>
      <c r="U46" s="5" t="str">
        <f t="shared" si="5"/>
        <v/>
      </c>
      <c r="V46" s="7" t="str">
        <f t="shared" si="6"/>
        <v/>
      </c>
      <c r="W46" s="8" t="str">
        <f t="shared" si="7"/>
        <v/>
      </c>
      <c r="X46" s="2"/>
      <c r="Y46" s="10"/>
      <c r="Z46" s="11" t="str">
        <f>IF(X46&lt;&gt;"执行卖出","",IFERROR(LOOKUP(2,1/(单次交易!$A$2:$A$163=B46),单次交易!$AP$2:$AP$163),""))</f>
        <v/>
      </c>
      <c r="AA46" s="10"/>
      <c r="AB46" s="8" t="str">
        <f t="shared" si="8"/>
        <v/>
      </c>
      <c r="AC46" s="8" t="str">
        <f>IF(A46="","",IF(A46="止损计划",IF(OR(B46="",D46="",E46="",F46="",G46=""),"计划不完整",IF(OR(D46&lt;1,D46&lt;&gt;INT(D46)),"阶段序号无效",IF(COUNTIFS($A$2:$A$497,"止损计划",$B$2:$B$497,B46,$D$2:$D$497,D46)&gt;1,"阶段序号重复",IF(E46&lt;=IFERROR(LOOKUP(2,1/(单次交易!$A$2:$A$163=B46),单次交易!$E$2:$E$163),0),"激活价须高于买入价",IF(F46&lt;N46,"止损价不得低于初始止损",IF(F46&gt;E46,"止损价不得高于激活价",IF(AND(COUNTIFS($A$2:$A$497,"止损计划",$B$2:$B$497,B46,$D$2:$D$497,"&lt;"&amp;D46)&gt;0,OR(E46&lt;=SUMPRODUCT(MAX((($A$2:$A$497="止损计划")*($B$2:$B$497=B46)*($D$2:$D$497&lt;D46))*$E$2:$E$497)),F46&lt;SUMPRODUCT(MAX((($A$2:$A$497="止损计划")*($B$2:$B$497=B46)*($D$2:$D$497&lt;D46))*$F$2:$F$497)))),"阶段价格必须逐级提高","计划有效"))))))),IF(A46="每日跟踪",IF(OR(B46="",H46="",I46="",J46=""),"每日数据不完整",IF(COUNTIFS($A$2:$A$497,"每日跟踪",$B$2:$B$497,B46,$H$2:$H$497,H46)&gt;1,"同一交易日期重复",IF(AND(R46&lt;&gt;"",R46&lt;S46),"人工止损无效：不能下调","跟踪有效"))),"记录类型无效")))</f>
        <v/>
      </c>
    </row>
    <row r="47" ht="17" spans="1:29">
      <c r="A47" s="2"/>
      <c r="B47" s="2"/>
      <c r="C47" s="8" t="str">
        <f>IF(B47="","",IFERROR(LOOKUP(2,1/(单次交易!$A$2:$A$163=B47),单次交易!$B$2:$B$163),""))</f>
        <v/>
      </c>
      <c r="D47" s="12"/>
      <c r="E47" s="10"/>
      <c r="F47" s="10"/>
      <c r="G47" s="2"/>
      <c r="H47" s="15"/>
      <c r="I47" s="10"/>
      <c r="J47" s="21"/>
      <c r="K47" s="13"/>
      <c r="L47" s="2"/>
      <c r="M47" s="2"/>
      <c r="N47" s="5" t="str">
        <f>IF(B47="","",IFERROR(LOOKUP(2,1/(单次交易!$A$2:$A$163=B47),单次交易!$N$2:$N$163),""))</f>
        <v/>
      </c>
      <c r="O47" s="5" t="str">
        <f t="shared" si="0"/>
        <v/>
      </c>
      <c r="P47" s="11" t="str">
        <f t="shared" si="1"/>
        <v/>
      </c>
      <c r="Q47" s="5" t="str">
        <f t="shared" si="2"/>
        <v/>
      </c>
      <c r="R47" s="10"/>
      <c r="S47" s="5" t="str">
        <f t="shared" si="3"/>
        <v/>
      </c>
      <c r="T47" s="5" t="str">
        <f t="shared" si="4"/>
        <v/>
      </c>
      <c r="U47" s="5" t="str">
        <f t="shared" si="5"/>
        <v/>
      </c>
      <c r="V47" s="7" t="str">
        <f t="shared" si="6"/>
        <v/>
      </c>
      <c r="W47" s="8" t="str">
        <f t="shared" si="7"/>
        <v/>
      </c>
      <c r="X47" s="2"/>
      <c r="Y47" s="10"/>
      <c r="Z47" s="11" t="str">
        <f>IF(X47&lt;&gt;"执行卖出","",IFERROR(LOOKUP(2,1/(单次交易!$A$2:$A$163=B47),单次交易!$AP$2:$AP$163),""))</f>
        <v/>
      </c>
      <c r="AA47" s="10"/>
      <c r="AB47" s="8" t="str">
        <f t="shared" si="8"/>
        <v/>
      </c>
      <c r="AC47" s="8" t="str">
        <f>IF(A47="","",IF(A47="止损计划",IF(OR(B47="",D47="",E47="",F47="",G47=""),"计划不完整",IF(OR(D47&lt;1,D47&lt;&gt;INT(D47)),"阶段序号无效",IF(COUNTIFS($A$2:$A$497,"止损计划",$B$2:$B$497,B47,$D$2:$D$497,D47)&gt;1,"阶段序号重复",IF(E47&lt;=IFERROR(LOOKUP(2,1/(单次交易!$A$2:$A$163=B47),单次交易!$E$2:$E$163),0),"激活价须高于买入价",IF(F47&lt;N47,"止损价不得低于初始止损",IF(F47&gt;E47,"止损价不得高于激活价",IF(AND(COUNTIFS($A$2:$A$497,"止损计划",$B$2:$B$497,B47,$D$2:$D$497,"&lt;"&amp;D47)&gt;0,OR(E47&lt;=SUMPRODUCT(MAX((($A$2:$A$497="止损计划")*($B$2:$B$497=B47)*($D$2:$D$497&lt;D47))*$E$2:$E$497)),F47&lt;SUMPRODUCT(MAX((($A$2:$A$497="止损计划")*($B$2:$B$497=B47)*($D$2:$D$497&lt;D47))*$F$2:$F$497)))),"阶段价格必须逐级提高","计划有效"))))))),IF(A47="每日跟踪",IF(OR(B47="",H47="",I47="",J47=""),"每日数据不完整",IF(COUNTIFS($A$2:$A$497,"每日跟踪",$B$2:$B$497,B47,$H$2:$H$497,H47)&gt;1,"同一交易日期重复",IF(AND(R47&lt;&gt;"",R47&lt;S47),"人工止损无效：不能下调","跟踪有效"))),"记录类型无效")))</f>
        <v/>
      </c>
    </row>
    <row r="48" ht="17" spans="1:29">
      <c r="A48" s="2"/>
      <c r="B48" s="2"/>
      <c r="C48" s="8" t="str">
        <f>IF(B48="","",IFERROR(LOOKUP(2,1/(单次交易!$A$2:$A$163=B48),单次交易!$B$2:$B$163),""))</f>
        <v/>
      </c>
      <c r="D48" s="12"/>
      <c r="E48" s="10"/>
      <c r="F48" s="10"/>
      <c r="G48" s="2"/>
      <c r="H48" s="15"/>
      <c r="I48" s="10"/>
      <c r="J48" s="21"/>
      <c r="K48" s="13"/>
      <c r="L48" s="2"/>
      <c r="M48" s="2"/>
      <c r="N48" s="5" t="str">
        <f>IF(B48="","",IFERROR(LOOKUP(2,1/(单次交易!$A$2:$A$163=B48),单次交易!$N$2:$N$163),""))</f>
        <v/>
      </c>
      <c r="O48" s="5" t="str">
        <f t="shared" si="0"/>
        <v/>
      </c>
      <c r="P48" s="11" t="str">
        <f t="shared" si="1"/>
        <v/>
      </c>
      <c r="Q48" s="5" t="str">
        <f t="shared" si="2"/>
        <v/>
      </c>
      <c r="R48" s="10"/>
      <c r="S48" s="5" t="str">
        <f t="shared" si="3"/>
        <v/>
      </c>
      <c r="T48" s="5" t="str">
        <f t="shared" si="4"/>
        <v/>
      </c>
      <c r="U48" s="5" t="str">
        <f t="shared" si="5"/>
        <v/>
      </c>
      <c r="V48" s="7" t="str">
        <f t="shared" si="6"/>
        <v/>
      </c>
      <c r="W48" s="8" t="str">
        <f t="shared" si="7"/>
        <v/>
      </c>
      <c r="X48" s="2"/>
      <c r="Y48" s="10"/>
      <c r="Z48" s="11" t="str">
        <f>IF(X48&lt;&gt;"执行卖出","",IFERROR(LOOKUP(2,1/(单次交易!$A$2:$A$163=B48),单次交易!$AP$2:$AP$163),""))</f>
        <v/>
      </c>
      <c r="AA48" s="10"/>
      <c r="AB48" s="8" t="str">
        <f t="shared" si="8"/>
        <v/>
      </c>
      <c r="AC48" s="8" t="str">
        <f>IF(A48="","",IF(A48="止损计划",IF(OR(B48="",D48="",E48="",F48="",G48=""),"计划不完整",IF(OR(D48&lt;1,D48&lt;&gt;INT(D48)),"阶段序号无效",IF(COUNTIFS($A$2:$A$497,"止损计划",$B$2:$B$497,B48,$D$2:$D$497,D48)&gt;1,"阶段序号重复",IF(E48&lt;=IFERROR(LOOKUP(2,1/(单次交易!$A$2:$A$163=B48),单次交易!$E$2:$E$163),0),"激活价须高于买入价",IF(F48&lt;N48,"止损价不得低于初始止损",IF(F48&gt;E48,"止损价不得高于激活价",IF(AND(COUNTIFS($A$2:$A$497,"止损计划",$B$2:$B$497,B48,$D$2:$D$497,"&lt;"&amp;D48)&gt;0,OR(E48&lt;=SUMPRODUCT(MAX((($A$2:$A$497="止损计划")*($B$2:$B$497=B48)*($D$2:$D$497&lt;D48))*$E$2:$E$497)),F48&lt;SUMPRODUCT(MAX((($A$2:$A$497="止损计划")*($B$2:$B$497=B48)*($D$2:$D$497&lt;D48))*$F$2:$F$497)))),"阶段价格必须逐级提高","计划有效"))))))),IF(A48="每日跟踪",IF(OR(B48="",H48="",I48="",J48=""),"每日数据不完整",IF(COUNTIFS($A$2:$A$497,"每日跟踪",$B$2:$B$497,B48,$H$2:$H$497,H48)&gt;1,"同一交易日期重复",IF(AND(R48&lt;&gt;"",R48&lt;S48),"人工止损无效：不能下调","跟踪有效"))),"记录类型无效")))</f>
        <v/>
      </c>
    </row>
    <row r="49" ht="17" spans="1:29">
      <c r="A49" s="2"/>
      <c r="B49" s="2"/>
      <c r="C49" s="8" t="str">
        <f>IF(B49="","",IFERROR(LOOKUP(2,1/(单次交易!$A$2:$A$163=B49),单次交易!$B$2:$B$163),""))</f>
        <v/>
      </c>
      <c r="D49" s="12"/>
      <c r="E49" s="10"/>
      <c r="F49" s="10"/>
      <c r="G49" s="2"/>
      <c r="H49" s="15"/>
      <c r="I49" s="10"/>
      <c r="J49" s="21"/>
      <c r="K49" s="13"/>
      <c r="L49" s="2"/>
      <c r="M49" s="13"/>
      <c r="N49" s="5" t="str">
        <f>IF(B49="","",IFERROR(LOOKUP(2,1/(单次交易!$A$2:$A$163=B49),单次交易!$N$2:$N$163),""))</f>
        <v/>
      </c>
      <c r="O49" s="5" t="str">
        <f t="shared" si="0"/>
        <v/>
      </c>
      <c r="P49" s="11" t="str">
        <f t="shared" si="1"/>
        <v/>
      </c>
      <c r="Q49" s="5" t="str">
        <f t="shared" si="2"/>
        <v/>
      </c>
      <c r="R49" s="10"/>
      <c r="S49" s="5" t="str">
        <f t="shared" si="3"/>
        <v/>
      </c>
      <c r="T49" s="5" t="str">
        <f t="shared" si="4"/>
        <v/>
      </c>
      <c r="U49" s="5" t="str">
        <f t="shared" si="5"/>
        <v/>
      </c>
      <c r="V49" s="7" t="str">
        <f t="shared" si="6"/>
        <v/>
      </c>
      <c r="W49" s="8" t="str">
        <f t="shared" si="7"/>
        <v/>
      </c>
      <c r="X49" s="2"/>
      <c r="Y49" s="10"/>
      <c r="Z49" s="11" t="str">
        <f>IF(X49&lt;&gt;"执行卖出","",IFERROR(LOOKUP(2,1/(单次交易!$A$2:$A$163=B49),单次交易!$AP$2:$AP$163),""))</f>
        <v/>
      </c>
      <c r="AA49" s="10"/>
      <c r="AB49" s="8" t="str">
        <f t="shared" si="8"/>
        <v/>
      </c>
      <c r="AC49" s="8" t="str">
        <f>IF(A49="","",IF(A49="止损计划",IF(OR(B49="",D49="",E49="",F49="",G49=""),"计划不完整",IF(OR(D49&lt;1,D49&lt;&gt;INT(D49)),"阶段序号无效",IF(COUNTIFS($A$2:$A$497,"止损计划",$B$2:$B$497,B49,$D$2:$D$497,D49)&gt;1,"阶段序号重复",IF(E49&lt;=IFERROR(LOOKUP(2,1/(单次交易!$A$2:$A$163=B49),单次交易!$E$2:$E$163),0),"激活价须高于买入价",IF(F49&lt;N49,"止损价不得低于初始止损",IF(F49&gt;E49,"止损价不得高于激活价",IF(AND(COUNTIFS($A$2:$A$497,"止损计划",$B$2:$B$497,B49,$D$2:$D$497,"&lt;"&amp;D49)&gt;0,OR(E49&lt;=SUMPRODUCT(MAX((($A$2:$A$497="止损计划")*($B$2:$B$497=B49)*($D$2:$D$497&lt;D49))*$E$2:$E$497)),F49&lt;SUMPRODUCT(MAX((($A$2:$A$497="止损计划")*($B$2:$B$497=B49)*($D$2:$D$497&lt;D49))*$F$2:$F$497)))),"阶段价格必须逐级提高","计划有效"))))))),IF(A49="每日跟踪",IF(OR(B49="",H49="",I49="",J49=""),"每日数据不完整",IF(COUNTIFS($A$2:$A$497,"每日跟踪",$B$2:$B$497,B49,$H$2:$H$497,H49)&gt;1,"同一交易日期重复",IF(AND(R49&lt;&gt;"",R49&lt;S49),"人工止损无效：不能下调","跟踪有效"))),"记录类型无效")))</f>
        <v/>
      </c>
    </row>
    <row r="50" ht="17" spans="1:29">
      <c r="A50" s="2"/>
      <c r="B50" s="2"/>
      <c r="C50" s="8" t="str">
        <f>IF(B50="","",IFERROR(LOOKUP(2,1/(单次交易!$A$2:$A$163=B50),单次交易!$B$2:$B$163),""))</f>
        <v/>
      </c>
      <c r="D50" s="12"/>
      <c r="E50" s="10"/>
      <c r="F50" s="10"/>
      <c r="G50" s="2"/>
      <c r="H50" s="15"/>
      <c r="I50" s="10"/>
      <c r="J50" s="21"/>
      <c r="K50" s="13"/>
      <c r="L50" s="2"/>
      <c r="M50" s="13"/>
      <c r="N50" s="5" t="str">
        <f>IF(B50="","",IFERROR(LOOKUP(2,1/(单次交易!$A$2:$A$163=B50),单次交易!$N$2:$N$163),""))</f>
        <v/>
      </c>
      <c r="O50" s="5" t="str">
        <f t="shared" si="0"/>
        <v/>
      </c>
      <c r="P50" s="11" t="str">
        <f t="shared" si="1"/>
        <v/>
      </c>
      <c r="Q50" s="5" t="str">
        <f t="shared" si="2"/>
        <v/>
      </c>
      <c r="R50" s="10"/>
      <c r="S50" s="5" t="str">
        <f t="shared" si="3"/>
        <v/>
      </c>
      <c r="T50" s="5" t="str">
        <f t="shared" si="4"/>
        <v/>
      </c>
      <c r="U50" s="5" t="str">
        <f t="shared" si="5"/>
        <v/>
      </c>
      <c r="V50" s="7" t="str">
        <f t="shared" si="6"/>
        <v/>
      </c>
      <c r="W50" s="8" t="str">
        <f t="shared" si="7"/>
        <v/>
      </c>
      <c r="X50" s="2"/>
      <c r="Y50" s="10"/>
      <c r="Z50" s="11" t="str">
        <f>IF(X50&lt;&gt;"执行卖出","",IFERROR(LOOKUP(2,1/(单次交易!$A$2:$A$163=B50),单次交易!$AP$2:$AP$163),""))</f>
        <v/>
      </c>
      <c r="AA50" s="10"/>
      <c r="AB50" s="8" t="str">
        <f t="shared" si="8"/>
        <v/>
      </c>
      <c r="AC50" s="8" t="str">
        <f>IF(A50="","",IF(A50="止损计划",IF(OR(B50="",D50="",E50="",F50="",G50=""),"计划不完整",IF(OR(D50&lt;1,D50&lt;&gt;INT(D50)),"阶段序号无效",IF(COUNTIFS($A$2:$A$497,"止损计划",$B$2:$B$497,B50,$D$2:$D$497,D50)&gt;1,"阶段序号重复",IF(E50&lt;=IFERROR(LOOKUP(2,1/(单次交易!$A$2:$A$163=B50),单次交易!$E$2:$E$163),0),"激活价须高于买入价",IF(F50&lt;N50,"止损价不得低于初始止损",IF(F50&gt;E50,"止损价不得高于激活价",IF(AND(COUNTIFS($A$2:$A$497,"止损计划",$B$2:$B$497,B50,$D$2:$D$497,"&lt;"&amp;D50)&gt;0,OR(E50&lt;=SUMPRODUCT(MAX((($A$2:$A$497="止损计划")*($B$2:$B$497=B50)*($D$2:$D$497&lt;D50))*$E$2:$E$497)),F50&lt;SUMPRODUCT(MAX((($A$2:$A$497="止损计划")*($B$2:$B$497=B50)*($D$2:$D$497&lt;D50))*$F$2:$F$497)))),"阶段价格必须逐级提高","计划有效"))))))),IF(A50="每日跟踪",IF(OR(B50="",H50="",I50="",J50=""),"每日数据不完整",IF(COUNTIFS($A$2:$A$497,"每日跟踪",$B$2:$B$497,B50,$H$2:$H$497,H50)&gt;1,"同一交易日期重复",IF(AND(R50&lt;&gt;"",R50&lt;S50),"人工止损无效：不能下调","跟踪有效"))),"记录类型无效")))</f>
        <v/>
      </c>
    </row>
    <row r="51" ht="17" spans="1:29">
      <c r="A51" s="2"/>
      <c r="B51" s="2"/>
      <c r="C51" s="8" t="str">
        <f>IF(B51="","",IFERROR(LOOKUP(2,1/(单次交易!$A$2:$A$163=B51),单次交易!$B$2:$B$163),""))</f>
        <v/>
      </c>
      <c r="D51" s="12"/>
      <c r="E51" s="10"/>
      <c r="F51" s="10"/>
      <c r="G51" s="2"/>
      <c r="H51" s="15"/>
      <c r="I51" s="10"/>
      <c r="J51" s="21"/>
      <c r="K51" s="13"/>
      <c r="L51" s="2"/>
      <c r="M51" s="13"/>
      <c r="N51" s="5" t="str">
        <f>IF(B51="","",IFERROR(LOOKUP(2,1/(单次交易!$A$2:$A$163=B51),单次交易!$N$2:$N$163),""))</f>
        <v/>
      </c>
      <c r="O51" s="5" t="str">
        <f t="shared" si="0"/>
        <v/>
      </c>
      <c r="P51" s="11" t="str">
        <f t="shared" si="1"/>
        <v/>
      </c>
      <c r="Q51" s="5" t="str">
        <f t="shared" si="2"/>
        <v/>
      </c>
      <c r="R51" s="10"/>
      <c r="S51" s="5" t="str">
        <f t="shared" si="3"/>
        <v/>
      </c>
      <c r="T51" s="5" t="str">
        <f t="shared" si="4"/>
        <v/>
      </c>
      <c r="U51" s="5" t="str">
        <f t="shared" si="5"/>
        <v/>
      </c>
      <c r="V51" s="7" t="str">
        <f t="shared" si="6"/>
        <v/>
      </c>
      <c r="W51" s="8" t="str">
        <f t="shared" si="7"/>
        <v/>
      </c>
      <c r="X51" s="2"/>
      <c r="Y51" s="10"/>
      <c r="Z51" s="11" t="str">
        <f>IF(X51&lt;&gt;"执行卖出","",IFERROR(LOOKUP(2,1/(单次交易!$A$2:$A$163=B51),单次交易!$AP$2:$AP$163),""))</f>
        <v/>
      </c>
      <c r="AA51" s="10"/>
      <c r="AB51" s="8" t="str">
        <f t="shared" si="8"/>
        <v/>
      </c>
      <c r="AC51" s="8" t="str">
        <f>IF(A51="","",IF(A51="止损计划",IF(OR(B51="",D51="",E51="",F51="",G51=""),"计划不完整",IF(OR(D51&lt;1,D51&lt;&gt;INT(D51)),"阶段序号无效",IF(COUNTIFS($A$2:$A$497,"止损计划",$B$2:$B$497,B51,$D$2:$D$497,D51)&gt;1,"阶段序号重复",IF(E51&lt;=IFERROR(LOOKUP(2,1/(单次交易!$A$2:$A$163=B51),单次交易!$E$2:$E$163),0),"激活价须高于买入价",IF(F51&lt;N51,"止损价不得低于初始止损",IF(F51&gt;E51,"止损价不得高于激活价",IF(AND(COUNTIFS($A$2:$A$497,"止损计划",$B$2:$B$497,B51,$D$2:$D$497,"&lt;"&amp;D51)&gt;0,OR(E51&lt;=SUMPRODUCT(MAX((($A$2:$A$497="止损计划")*($B$2:$B$497=B51)*($D$2:$D$497&lt;D51))*$E$2:$E$497)),F51&lt;SUMPRODUCT(MAX((($A$2:$A$497="止损计划")*($B$2:$B$497=B51)*($D$2:$D$497&lt;D51))*$F$2:$F$497)))),"阶段价格必须逐级提高","计划有效"))))))),IF(A51="每日跟踪",IF(OR(B51="",H51="",I51="",J51=""),"每日数据不完整",IF(COUNTIFS($A$2:$A$497,"每日跟踪",$B$2:$B$497,B51,$H$2:$H$497,H51)&gt;1,"同一交易日期重复",IF(AND(R51&lt;&gt;"",R51&lt;S51),"人工止损无效：不能下调","跟踪有效"))),"记录类型无效")))</f>
        <v/>
      </c>
    </row>
    <row r="52" ht="17" spans="1:29">
      <c r="A52" s="2"/>
      <c r="B52" s="2"/>
      <c r="C52" s="8" t="str">
        <f>IF(B52="","",IFERROR(LOOKUP(2,1/(单次交易!$A$2:$A$163=B52),单次交易!$B$2:$B$163),""))</f>
        <v/>
      </c>
      <c r="D52" s="12"/>
      <c r="E52" s="10"/>
      <c r="F52" s="10"/>
      <c r="G52" s="2"/>
      <c r="H52" s="15"/>
      <c r="I52" s="10"/>
      <c r="J52" s="21"/>
      <c r="K52" s="13"/>
      <c r="L52" s="2"/>
      <c r="M52" s="13"/>
      <c r="N52" s="5" t="str">
        <f>IF(B52="","",IFERROR(LOOKUP(2,1/(单次交易!$A$2:$A$163=B52),单次交易!$N$2:$N$163),""))</f>
        <v/>
      </c>
      <c r="O52" s="5" t="str">
        <f t="shared" si="0"/>
        <v/>
      </c>
      <c r="P52" s="11" t="str">
        <f t="shared" si="1"/>
        <v/>
      </c>
      <c r="Q52" s="5" t="str">
        <f t="shared" si="2"/>
        <v/>
      </c>
      <c r="R52" s="10"/>
      <c r="S52" s="5" t="str">
        <f t="shared" si="3"/>
        <v/>
      </c>
      <c r="T52" s="5" t="str">
        <f t="shared" si="4"/>
        <v/>
      </c>
      <c r="U52" s="5" t="str">
        <f t="shared" si="5"/>
        <v/>
      </c>
      <c r="V52" s="7" t="str">
        <f t="shared" si="6"/>
        <v/>
      </c>
      <c r="W52" s="8" t="str">
        <f t="shared" si="7"/>
        <v/>
      </c>
      <c r="X52" s="2"/>
      <c r="Y52" s="10"/>
      <c r="Z52" s="11" t="str">
        <f>IF(X52&lt;&gt;"执行卖出","",IFERROR(LOOKUP(2,1/(单次交易!$A$2:$A$163=B52),单次交易!$AP$2:$AP$163),""))</f>
        <v/>
      </c>
      <c r="AA52" s="10"/>
      <c r="AB52" s="8" t="str">
        <f t="shared" si="8"/>
        <v/>
      </c>
      <c r="AC52" s="8" t="str">
        <f>IF(A52="","",IF(A52="止损计划",IF(OR(B52="",D52="",E52="",F52="",G52=""),"计划不完整",IF(OR(D52&lt;1,D52&lt;&gt;INT(D52)),"阶段序号无效",IF(COUNTIFS($A$2:$A$497,"止损计划",$B$2:$B$497,B52,$D$2:$D$497,D52)&gt;1,"阶段序号重复",IF(E52&lt;=IFERROR(LOOKUP(2,1/(单次交易!$A$2:$A$163=B52),单次交易!$E$2:$E$163),0),"激活价须高于买入价",IF(F52&lt;N52,"止损价不得低于初始止损",IF(F52&gt;E52,"止损价不得高于激活价",IF(AND(COUNTIFS($A$2:$A$497,"止损计划",$B$2:$B$497,B52,$D$2:$D$497,"&lt;"&amp;D52)&gt;0,OR(E52&lt;=SUMPRODUCT(MAX((($A$2:$A$497="止损计划")*($B$2:$B$497=B52)*($D$2:$D$497&lt;D52))*$E$2:$E$497)),F52&lt;SUMPRODUCT(MAX((($A$2:$A$497="止损计划")*($B$2:$B$497=B52)*($D$2:$D$497&lt;D52))*$F$2:$F$497)))),"阶段价格必须逐级提高","计划有效"))))))),IF(A52="每日跟踪",IF(OR(B52="",H52="",I52="",J52=""),"每日数据不完整",IF(COUNTIFS($A$2:$A$497,"每日跟踪",$B$2:$B$497,B52,$H$2:$H$497,H52)&gt;1,"同一交易日期重复",IF(AND(R52&lt;&gt;"",R52&lt;S52),"人工止损无效：不能下调","跟踪有效"))),"记录类型无效")))</f>
        <v/>
      </c>
    </row>
    <row r="53" ht="17" spans="1:29">
      <c r="A53" s="2"/>
      <c r="B53" s="2"/>
      <c r="C53" s="8" t="str">
        <f>IF(B53="","",IFERROR(LOOKUP(2,1/(单次交易!$A$2:$A$163=B53),单次交易!$B$2:$B$163),""))</f>
        <v/>
      </c>
      <c r="D53" s="12"/>
      <c r="E53" s="10"/>
      <c r="F53" s="10"/>
      <c r="G53" s="2"/>
      <c r="H53" s="15"/>
      <c r="I53" s="10"/>
      <c r="J53" s="21"/>
      <c r="K53" s="13"/>
      <c r="L53" s="2"/>
      <c r="M53" s="13"/>
      <c r="N53" s="5" t="str">
        <f>IF(B53="","",IFERROR(LOOKUP(2,1/(单次交易!$A$2:$A$163=B53),单次交易!$N$2:$N$163),""))</f>
        <v/>
      </c>
      <c r="O53" s="5" t="str">
        <f t="shared" si="0"/>
        <v/>
      </c>
      <c r="P53" s="11" t="str">
        <f t="shared" si="1"/>
        <v/>
      </c>
      <c r="Q53" s="5" t="str">
        <f t="shared" si="2"/>
        <v/>
      </c>
      <c r="R53" s="10"/>
      <c r="S53" s="5" t="str">
        <f t="shared" si="3"/>
        <v/>
      </c>
      <c r="T53" s="5" t="str">
        <f t="shared" si="4"/>
        <v/>
      </c>
      <c r="U53" s="5" t="str">
        <f t="shared" si="5"/>
        <v/>
      </c>
      <c r="V53" s="7" t="str">
        <f t="shared" si="6"/>
        <v/>
      </c>
      <c r="W53" s="8" t="str">
        <f t="shared" si="7"/>
        <v/>
      </c>
      <c r="X53" s="2"/>
      <c r="Y53" s="10"/>
      <c r="Z53" s="11" t="str">
        <f>IF(X53&lt;&gt;"执行卖出","",IFERROR(LOOKUP(2,1/(单次交易!$A$2:$A$163=B53),单次交易!$AP$2:$AP$163),""))</f>
        <v/>
      </c>
      <c r="AA53" s="10"/>
      <c r="AB53" s="8" t="str">
        <f t="shared" si="8"/>
        <v/>
      </c>
      <c r="AC53" s="8" t="str">
        <f>IF(A53="","",IF(A53="止损计划",IF(OR(B53="",D53="",E53="",F53="",G53=""),"计划不完整",IF(OR(D53&lt;1,D53&lt;&gt;INT(D53)),"阶段序号无效",IF(COUNTIFS($A$2:$A$497,"止损计划",$B$2:$B$497,B53,$D$2:$D$497,D53)&gt;1,"阶段序号重复",IF(E53&lt;=IFERROR(LOOKUP(2,1/(单次交易!$A$2:$A$163=B53),单次交易!$E$2:$E$163),0),"激活价须高于买入价",IF(F53&lt;N53,"止损价不得低于初始止损",IF(F53&gt;E53,"止损价不得高于激活价",IF(AND(COUNTIFS($A$2:$A$497,"止损计划",$B$2:$B$497,B53,$D$2:$D$497,"&lt;"&amp;D53)&gt;0,OR(E53&lt;=SUMPRODUCT(MAX((($A$2:$A$497="止损计划")*($B$2:$B$497=B53)*($D$2:$D$497&lt;D53))*$E$2:$E$497)),F53&lt;SUMPRODUCT(MAX((($A$2:$A$497="止损计划")*($B$2:$B$497=B53)*($D$2:$D$497&lt;D53))*$F$2:$F$497)))),"阶段价格必须逐级提高","计划有效"))))))),IF(A53="每日跟踪",IF(OR(B53="",H53="",I53="",J53=""),"每日数据不完整",IF(COUNTIFS($A$2:$A$497,"每日跟踪",$B$2:$B$497,B53,$H$2:$H$497,H53)&gt;1,"同一交易日期重复",IF(AND(R53&lt;&gt;"",R53&lt;S53),"人工止损无效：不能下调","跟踪有效"))),"记录类型无效")))</f>
        <v/>
      </c>
    </row>
    <row r="54" ht="17" spans="1:29">
      <c r="A54" s="2"/>
      <c r="B54" s="2"/>
      <c r="C54" s="8" t="str">
        <f>IF(B54="","",IFERROR(LOOKUP(2,1/(单次交易!$A$2:$A$163=B54),单次交易!$B$2:$B$163),""))</f>
        <v/>
      </c>
      <c r="D54" s="12"/>
      <c r="E54" s="10"/>
      <c r="F54" s="10"/>
      <c r="G54" s="2"/>
      <c r="H54" s="15"/>
      <c r="I54" s="10"/>
      <c r="J54" s="21"/>
      <c r="K54" s="13"/>
      <c r="L54" s="2"/>
      <c r="M54" s="13"/>
      <c r="N54" s="5" t="str">
        <f>IF(B54="","",IFERROR(LOOKUP(2,1/(单次交易!$A$2:$A$163=B54),单次交易!$N$2:$N$163),""))</f>
        <v/>
      </c>
      <c r="O54" s="5" t="str">
        <f t="shared" si="0"/>
        <v/>
      </c>
      <c r="P54" s="11" t="str">
        <f t="shared" si="1"/>
        <v/>
      </c>
      <c r="Q54" s="5" t="str">
        <f t="shared" si="2"/>
        <v/>
      </c>
      <c r="R54" s="10"/>
      <c r="S54" s="5" t="str">
        <f t="shared" si="3"/>
        <v/>
      </c>
      <c r="T54" s="5" t="str">
        <f t="shared" si="4"/>
        <v/>
      </c>
      <c r="U54" s="5" t="str">
        <f t="shared" si="5"/>
        <v/>
      </c>
      <c r="V54" s="7" t="str">
        <f t="shared" si="6"/>
        <v/>
      </c>
      <c r="W54" s="8" t="str">
        <f t="shared" si="7"/>
        <v/>
      </c>
      <c r="X54" s="2"/>
      <c r="Y54" s="10"/>
      <c r="Z54" s="11" t="str">
        <f>IF(X54&lt;&gt;"执行卖出","",IFERROR(LOOKUP(2,1/(单次交易!$A$2:$A$163=B54),单次交易!$AP$2:$AP$163),""))</f>
        <v/>
      </c>
      <c r="AA54" s="10"/>
      <c r="AB54" s="8" t="str">
        <f t="shared" si="8"/>
        <v/>
      </c>
      <c r="AC54" s="8" t="str">
        <f>IF(A54="","",IF(A54="止损计划",IF(OR(B54="",D54="",E54="",F54="",G54=""),"计划不完整",IF(OR(D54&lt;1,D54&lt;&gt;INT(D54)),"阶段序号无效",IF(COUNTIFS($A$2:$A$497,"止损计划",$B$2:$B$497,B54,$D$2:$D$497,D54)&gt;1,"阶段序号重复",IF(E54&lt;=IFERROR(LOOKUP(2,1/(单次交易!$A$2:$A$163=B54),单次交易!$E$2:$E$163),0),"激活价须高于买入价",IF(F54&lt;N54,"止损价不得低于初始止损",IF(F54&gt;E54,"止损价不得高于激活价",IF(AND(COUNTIFS($A$2:$A$497,"止损计划",$B$2:$B$497,B54,$D$2:$D$497,"&lt;"&amp;D54)&gt;0,OR(E54&lt;=SUMPRODUCT(MAX((($A$2:$A$497="止损计划")*($B$2:$B$497=B54)*($D$2:$D$497&lt;D54))*$E$2:$E$497)),F54&lt;SUMPRODUCT(MAX((($A$2:$A$497="止损计划")*($B$2:$B$497=B54)*($D$2:$D$497&lt;D54))*$F$2:$F$497)))),"阶段价格必须逐级提高","计划有效"))))))),IF(A54="每日跟踪",IF(OR(B54="",H54="",I54="",J54=""),"每日数据不完整",IF(COUNTIFS($A$2:$A$497,"每日跟踪",$B$2:$B$497,B54,$H$2:$H$497,H54)&gt;1,"同一交易日期重复",IF(AND(R54&lt;&gt;"",R54&lt;S54),"人工止损无效：不能下调","跟踪有效"))),"记录类型无效")))</f>
        <v/>
      </c>
    </row>
    <row r="55" ht="17" spans="1:29">
      <c r="A55" s="2"/>
      <c r="B55" s="2"/>
      <c r="C55" s="8" t="str">
        <f>IF(B55="","",IFERROR(LOOKUP(2,1/(单次交易!$A$2:$A$163=B55),单次交易!$B$2:$B$163),""))</f>
        <v/>
      </c>
      <c r="D55" s="12"/>
      <c r="E55" s="10"/>
      <c r="F55" s="10"/>
      <c r="G55" s="2"/>
      <c r="H55" s="15"/>
      <c r="I55" s="10"/>
      <c r="J55" s="21"/>
      <c r="K55" s="13"/>
      <c r="L55" s="2"/>
      <c r="M55" s="13"/>
      <c r="N55" s="5" t="str">
        <f>IF(B55="","",IFERROR(LOOKUP(2,1/(单次交易!$A$2:$A$163=B55),单次交易!$N$2:$N$163),""))</f>
        <v/>
      </c>
      <c r="O55" s="5" t="str">
        <f t="shared" si="0"/>
        <v/>
      </c>
      <c r="P55" s="11" t="str">
        <f t="shared" si="1"/>
        <v/>
      </c>
      <c r="Q55" s="5" t="str">
        <f t="shared" si="2"/>
        <v/>
      </c>
      <c r="R55" s="10"/>
      <c r="S55" s="5" t="str">
        <f t="shared" si="3"/>
        <v/>
      </c>
      <c r="T55" s="5" t="str">
        <f t="shared" si="4"/>
        <v/>
      </c>
      <c r="U55" s="5" t="str">
        <f t="shared" si="5"/>
        <v/>
      </c>
      <c r="V55" s="7" t="str">
        <f t="shared" si="6"/>
        <v/>
      </c>
      <c r="W55" s="8" t="str">
        <f t="shared" si="7"/>
        <v/>
      </c>
      <c r="X55" s="2"/>
      <c r="Y55" s="10"/>
      <c r="Z55" s="11" t="str">
        <f>IF(X55&lt;&gt;"执行卖出","",IFERROR(LOOKUP(2,1/(单次交易!$A$2:$A$163=B55),单次交易!$AP$2:$AP$163),""))</f>
        <v/>
      </c>
      <c r="AA55" s="10"/>
      <c r="AB55" s="8" t="str">
        <f t="shared" si="8"/>
        <v/>
      </c>
      <c r="AC55" s="8" t="str">
        <f>IF(A55="","",IF(A55="止损计划",IF(OR(B55="",D55="",E55="",F55="",G55=""),"计划不完整",IF(OR(D55&lt;1,D55&lt;&gt;INT(D55)),"阶段序号无效",IF(COUNTIFS($A$2:$A$497,"止损计划",$B$2:$B$497,B55,$D$2:$D$497,D55)&gt;1,"阶段序号重复",IF(E55&lt;=IFERROR(LOOKUP(2,1/(单次交易!$A$2:$A$163=B55),单次交易!$E$2:$E$163),0),"激活价须高于买入价",IF(F55&lt;N55,"止损价不得低于初始止损",IF(F55&gt;E55,"止损价不得高于激活价",IF(AND(COUNTIFS($A$2:$A$497,"止损计划",$B$2:$B$497,B55,$D$2:$D$497,"&lt;"&amp;D55)&gt;0,OR(E55&lt;=SUMPRODUCT(MAX((($A$2:$A$497="止损计划")*($B$2:$B$497=B55)*($D$2:$D$497&lt;D55))*$E$2:$E$497)),F55&lt;SUMPRODUCT(MAX((($A$2:$A$497="止损计划")*($B$2:$B$497=B55)*($D$2:$D$497&lt;D55))*$F$2:$F$497)))),"阶段价格必须逐级提高","计划有效"))))))),IF(A55="每日跟踪",IF(OR(B55="",H55="",I55="",J55=""),"每日数据不完整",IF(COUNTIFS($A$2:$A$497,"每日跟踪",$B$2:$B$497,B55,$H$2:$H$497,H55)&gt;1,"同一交易日期重复",IF(AND(R55&lt;&gt;"",R55&lt;S55),"人工止损无效：不能下调","跟踪有效"))),"记录类型无效")))</f>
        <v/>
      </c>
    </row>
    <row r="56" ht="17" spans="1:29">
      <c r="A56" s="2"/>
      <c r="B56" s="2"/>
      <c r="C56" s="8" t="str">
        <f>IF(B56="","",IFERROR(LOOKUP(2,1/(单次交易!$A$2:$A$163=B56),单次交易!$B$2:$B$163),""))</f>
        <v/>
      </c>
      <c r="D56" s="12"/>
      <c r="E56" s="10"/>
      <c r="F56" s="10"/>
      <c r="G56" s="2"/>
      <c r="H56" s="15"/>
      <c r="I56" s="10"/>
      <c r="J56" s="21"/>
      <c r="K56" s="13"/>
      <c r="L56" s="2"/>
      <c r="M56" s="2"/>
      <c r="N56" s="5" t="str">
        <f>IF(B56="","",IFERROR(LOOKUP(2,1/(单次交易!$A$2:$A$163=B56),单次交易!$N$2:$N$163),""))</f>
        <v/>
      </c>
      <c r="O56" s="5" t="str">
        <f t="shared" si="0"/>
        <v/>
      </c>
      <c r="P56" s="11" t="str">
        <f t="shared" si="1"/>
        <v/>
      </c>
      <c r="Q56" s="5" t="str">
        <f t="shared" si="2"/>
        <v/>
      </c>
      <c r="R56" s="10"/>
      <c r="S56" s="5" t="str">
        <f t="shared" si="3"/>
        <v/>
      </c>
      <c r="T56" s="5" t="str">
        <f t="shared" si="4"/>
        <v/>
      </c>
      <c r="U56" s="5" t="str">
        <f t="shared" si="5"/>
        <v/>
      </c>
      <c r="V56" s="7" t="str">
        <f t="shared" si="6"/>
        <v/>
      </c>
      <c r="W56" s="8" t="str">
        <f t="shared" si="7"/>
        <v/>
      </c>
      <c r="X56" s="2"/>
      <c r="Y56" s="10"/>
      <c r="Z56" s="11" t="str">
        <f>IF(X56&lt;&gt;"执行卖出","",IFERROR(LOOKUP(2,1/(单次交易!$A$2:$A$163=B56),单次交易!$AP$2:$AP$163),""))</f>
        <v/>
      </c>
      <c r="AA56" s="10"/>
      <c r="AB56" s="8" t="str">
        <f t="shared" si="8"/>
        <v/>
      </c>
      <c r="AC56" s="8" t="str">
        <f>IF(A56="","",IF(A56="止损计划",IF(OR(B56="",D56="",E56="",F56="",G56=""),"计划不完整",IF(OR(D56&lt;1,D56&lt;&gt;INT(D56)),"阶段序号无效",IF(COUNTIFS($A$2:$A$497,"止损计划",$B$2:$B$497,B56,$D$2:$D$497,D56)&gt;1,"阶段序号重复",IF(E56&lt;=IFERROR(LOOKUP(2,1/(单次交易!$A$2:$A$163=B56),单次交易!$E$2:$E$163),0),"激活价须高于买入价",IF(F56&lt;N56,"止损价不得低于初始止损",IF(F56&gt;E56,"止损价不得高于激活价",IF(AND(COUNTIFS($A$2:$A$497,"止损计划",$B$2:$B$497,B56,$D$2:$D$497,"&lt;"&amp;D56)&gt;0,OR(E56&lt;=SUMPRODUCT(MAX((($A$2:$A$497="止损计划")*($B$2:$B$497=B56)*($D$2:$D$497&lt;D56))*$E$2:$E$497)),F56&lt;SUMPRODUCT(MAX((($A$2:$A$497="止损计划")*($B$2:$B$497=B56)*($D$2:$D$497&lt;D56))*$F$2:$F$497)))),"阶段价格必须逐级提高","计划有效"))))))),IF(A56="每日跟踪",IF(OR(B56="",H56="",I56="",J56=""),"每日数据不完整",IF(COUNTIFS($A$2:$A$497,"每日跟踪",$B$2:$B$497,B56,$H$2:$H$497,H56)&gt;1,"同一交易日期重复",IF(AND(R56&lt;&gt;"",R56&lt;S56),"人工止损无效：不能下调","跟踪有效"))),"记录类型无效")))</f>
        <v/>
      </c>
    </row>
    <row r="57" ht="17" spans="1:29">
      <c r="A57" s="2"/>
      <c r="B57" s="2"/>
      <c r="C57" s="8" t="str">
        <f>IF(B57="","",IFERROR(LOOKUP(2,1/(单次交易!$A$2:$A$163=B57),单次交易!$B$2:$B$163),""))</f>
        <v/>
      </c>
      <c r="D57" s="12"/>
      <c r="E57" s="10"/>
      <c r="F57" s="10"/>
      <c r="G57" s="2"/>
      <c r="H57" s="15"/>
      <c r="I57" s="10"/>
      <c r="J57" s="21"/>
      <c r="K57" s="13"/>
      <c r="L57" s="13"/>
      <c r="M57" s="13"/>
      <c r="N57" s="5" t="str">
        <f>IF(B57="","",IFERROR(LOOKUP(2,1/(单次交易!$A$2:$A$163=B57),单次交易!$N$2:$N$163),""))</f>
        <v/>
      </c>
      <c r="O57" s="5" t="str">
        <f t="shared" si="0"/>
        <v/>
      </c>
      <c r="P57" s="11" t="str">
        <f t="shared" si="1"/>
        <v/>
      </c>
      <c r="Q57" s="5" t="str">
        <f t="shared" si="2"/>
        <v/>
      </c>
      <c r="R57" s="10"/>
      <c r="S57" s="5" t="str">
        <f t="shared" si="3"/>
        <v/>
      </c>
      <c r="T57" s="5" t="str">
        <f t="shared" si="4"/>
        <v/>
      </c>
      <c r="U57" s="5" t="str">
        <f t="shared" si="5"/>
        <v/>
      </c>
      <c r="V57" s="7" t="str">
        <f t="shared" si="6"/>
        <v/>
      </c>
      <c r="W57" s="8" t="str">
        <f t="shared" si="7"/>
        <v/>
      </c>
      <c r="X57" s="2"/>
      <c r="Y57" s="10"/>
      <c r="Z57" s="11" t="str">
        <f>IF(X57&lt;&gt;"执行卖出","",IFERROR(LOOKUP(2,1/(单次交易!$A$2:$A$163=B57),单次交易!$AP$2:$AP$163),""))</f>
        <v/>
      </c>
      <c r="AA57" s="10"/>
      <c r="AB57" s="8" t="str">
        <f t="shared" si="8"/>
        <v/>
      </c>
      <c r="AC57" s="8" t="str">
        <f>IF(A57="","",IF(A57="止损计划",IF(OR(B57="",D57="",E57="",F57="",G57=""),"计划不完整",IF(OR(D57&lt;1,D57&lt;&gt;INT(D57)),"阶段序号无效",IF(COUNTIFS($A$2:$A$497,"止损计划",$B$2:$B$497,B57,$D$2:$D$497,D57)&gt;1,"阶段序号重复",IF(E57&lt;=IFERROR(LOOKUP(2,1/(单次交易!$A$2:$A$163=B57),单次交易!$E$2:$E$163),0),"激活价须高于买入价",IF(F57&lt;N57,"止损价不得低于初始止损",IF(F57&gt;E57,"止损价不得高于激活价",IF(AND(COUNTIFS($A$2:$A$497,"止损计划",$B$2:$B$497,B57,$D$2:$D$497,"&lt;"&amp;D57)&gt;0,OR(E57&lt;=SUMPRODUCT(MAX((($A$2:$A$497="止损计划")*($B$2:$B$497=B57)*($D$2:$D$497&lt;D57))*$E$2:$E$497)),F57&lt;SUMPRODUCT(MAX((($A$2:$A$497="止损计划")*($B$2:$B$497=B57)*($D$2:$D$497&lt;D57))*$F$2:$F$497)))),"阶段价格必须逐级提高","计划有效"))))))),IF(A57="每日跟踪",IF(OR(B57="",H57="",I57="",J57=""),"每日数据不完整",IF(COUNTIFS($A$2:$A$497,"每日跟踪",$B$2:$B$497,B57,$H$2:$H$497,H57)&gt;1,"同一交易日期重复",IF(AND(R57&lt;&gt;"",R57&lt;S57),"人工止损无效：不能下调","跟踪有效"))),"记录类型无效")))</f>
        <v/>
      </c>
    </row>
    <row r="58" ht="17" spans="1:29">
      <c r="A58" s="2"/>
      <c r="B58" s="2"/>
      <c r="C58" s="8" t="str">
        <f>IF(B58="","",IFERROR(LOOKUP(2,1/(单次交易!$A$2:$A$163=B58),单次交易!$B$2:$B$163),""))</f>
        <v/>
      </c>
      <c r="D58" s="12"/>
      <c r="E58" s="10"/>
      <c r="F58" s="10"/>
      <c r="G58" s="2"/>
      <c r="H58" s="15"/>
      <c r="I58" s="10"/>
      <c r="J58" s="21"/>
      <c r="K58" s="13"/>
      <c r="L58" s="2"/>
      <c r="M58" s="13"/>
      <c r="N58" s="5" t="str">
        <f>IF(B58="","",IFERROR(LOOKUP(2,1/(单次交易!$A$2:$A$163=B58),单次交易!$N$2:$N$163),""))</f>
        <v/>
      </c>
      <c r="O58" s="5" t="str">
        <f t="shared" si="0"/>
        <v/>
      </c>
      <c r="P58" s="11" t="str">
        <f t="shared" si="1"/>
        <v/>
      </c>
      <c r="Q58" s="5" t="str">
        <f t="shared" si="2"/>
        <v/>
      </c>
      <c r="R58" s="10"/>
      <c r="S58" s="5" t="str">
        <f t="shared" si="3"/>
        <v/>
      </c>
      <c r="T58" s="5" t="str">
        <f t="shared" si="4"/>
        <v/>
      </c>
      <c r="U58" s="5" t="str">
        <f t="shared" si="5"/>
        <v/>
      </c>
      <c r="V58" s="7" t="str">
        <f t="shared" si="6"/>
        <v/>
      </c>
      <c r="W58" s="8" t="str">
        <f t="shared" si="7"/>
        <v/>
      </c>
      <c r="X58" s="2"/>
      <c r="Y58" s="10"/>
      <c r="Z58" s="11" t="str">
        <f>IF(X58&lt;&gt;"执行卖出","",IFERROR(LOOKUP(2,1/(单次交易!$A$2:$A$163=B58),单次交易!$AP$2:$AP$163),""))</f>
        <v/>
      </c>
      <c r="AA58" s="10"/>
      <c r="AB58" s="8" t="str">
        <f t="shared" si="8"/>
        <v/>
      </c>
      <c r="AC58" s="8" t="str">
        <f>IF(A58="","",IF(A58="止损计划",IF(OR(B58="",D58="",E58="",F58="",G58=""),"计划不完整",IF(OR(D58&lt;1,D58&lt;&gt;INT(D58)),"阶段序号无效",IF(COUNTIFS($A$2:$A$497,"止损计划",$B$2:$B$497,B58,$D$2:$D$497,D58)&gt;1,"阶段序号重复",IF(E58&lt;=IFERROR(LOOKUP(2,1/(单次交易!$A$2:$A$163=B58),单次交易!$E$2:$E$163),0),"激活价须高于买入价",IF(F58&lt;N58,"止损价不得低于初始止损",IF(F58&gt;E58,"止损价不得高于激活价",IF(AND(COUNTIFS($A$2:$A$497,"止损计划",$B$2:$B$497,B58,$D$2:$D$497,"&lt;"&amp;D58)&gt;0,OR(E58&lt;=SUMPRODUCT(MAX((($A$2:$A$497="止损计划")*($B$2:$B$497=B58)*($D$2:$D$497&lt;D58))*$E$2:$E$497)),F58&lt;SUMPRODUCT(MAX((($A$2:$A$497="止损计划")*($B$2:$B$497=B58)*($D$2:$D$497&lt;D58))*$F$2:$F$497)))),"阶段价格必须逐级提高","计划有效"))))))),IF(A58="每日跟踪",IF(OR(B58="",H58="",I58="",J58=""),"每日数据不完整",IF(COUNTIFS($A$2:$A$497,"每日跟踪",$B$2:$B$497,B58,$H$2:$H$497,H58)&gt;1,"同一交易日期重复",IF(AND(R58&lt;&gt;"",R58&lt;S58),"人工止损无效：不能下调","跟踪有效"))),"记录类型无效")))</f>
        <v/>
      </c>
    </row>
    <row r="59" ht="17" spans="1:29">
      <c r="A59" s="2"/>
      <c r="B59" s="2"/>
      <c r="C59" s="8" t="str">
        <f>IF(B59="","",IFERROR(LOOKUP(2,1/(单次交易!$A$2:$A$163=B59),单次交易!$B$2:$B$163),""))</f>
        <v/>
      </c>
      <c r="D59" s="12"/>
      <c r="E59" s="10"/>
      <c r="F59" s="10"/>
      <c r="G59" s="2"/>
      <c r="H59" s="15"/>
      <c r="I59" s="10"/>
      <c r="J59" s="21"/>
      <c r="K59" s="13"/>
      <c r="L59" s="2"/>
      <c r="M59" s="13"/>
      <c r="N59" s="5" t="str">
        <f>IF(B59="","",IFERROR(LOOKUP(2,1/(单次交易!$A$2:$A$163=B59),单次交易!$N$2:$N$163),""))</f>
        <v/>
      </c>
      <c r="O59" s="5" t="str">
        <f t="shared" si="0"/>
        <v/>
      </c>
      <c r="P59" s="11" t="str">
        <f t="shared" si="1"/>
        <v/>
      </c>
      <c r="Q59" s="5" t="str">
        <f t="shared" si="2"/>
        <v/>
      </c>
      <c r="R59" s="10"/>
      <c r="S59" s="5" t="str">
        <f t="shared" si="3"/>
        <v/>
      </c>
      <c r="T59" s="5" t="str">
        <f t="shared" si="4"/>
        <v/>
      </c>
      <c r="U59" s="5" t="str">
        <f t="shared" si="5"/>
        <v/>
      </c>
      <c r="V59" s="7" t="str">
        <f t="shared" si="6"/>
        <v/>
      </c>
      <c r="W59" s="8" t="str">
        <f t="shared" si="7"/>
        <v/>
      </c>
      <c r="X59" s="2"/>
      <c r="Y59" s="10"/>
      <c r="Z59" s="11" t="str">
        <f>IF(X59&lt;&gt;"执行卖出","",IFERROR(LOOKUP(2,1/(单次交易!$A$2:$A$163=B59),单次交易!$AP$2:$AP$163),""))</f>
        <v/>
      </c>
      <c r="AA59" s="10"/>
      <c r="AB59" s="8" t="str">
        <f t="shared" si="8"/>
        <v/>
      </c>
      <c r="AC59" s="8" t="str">
        <f>IF(A59="","",IF(A59="止损计划",IF(OR(B59="",D59="",E59="",F59="",G59=""),"计划不完整",IF(OR(D59&lt;1,D59&lt;&gt;INT(D59)),"阶段序号无效",IF(COUNTIFS($A$2:$A$497,"止损计划",$B$2:$B$497,B59,$D$2:$D$497,D59)&gt;1,"阶段序号重复",IF(E59&lt;=IFERROR(LOOKUP(2,1/(单次交易!$A$2:$A$163=B59),单次交易!$E$2:$E$163),0),"激活价须高于买入价",IF(F59&lt;N59,"止损价不得低于初始止损",IF(F59&gt;E59,"止损价不得高于激活价",IF(AND(COUNTIFS($A$2:$A$497,"止损计划",$B$2:$B$497,B59,$D$2:$D$497,"&lt;"&amp;D59)&gt;0,OR(E59&lt;=SUMPRODUCT(MAX((($A$2:$A$497="止损计划")*($B$2:$B$497=B59)*($D$2:$D$497&lt;D59))*$E$2:$E$497)),F59&lt;SUMPRODUCT(MAX((($A$2:$A$497="止损计划")*($B$2:$B$497=B59)*($D$2:$D$497&lt;D59))*$F$2:$F$497)))),"阶段价格必须逐级提高","计划有效"))))))),IF(A59="每日跟踪",IF(OR(B59="",H59="",I59="",J59=""),"每日数据不完整",IF(COUNTIFS($A$2:$A$497,"每日跟踪",$B$2:$B$497,B59,$H$2:$H$497,H59)&gt;1,"同一交易日期重复",IF(AND(R59&lt;&gt;"",R59&lt;S59),"人工止损无效：不能下调","跟踪有效"))),"记录类型无效")))</f>
        <v/>
      </c>
    </row>
    <row r="60" ht="17" spans="1:29">
      <c r="A60" s="2"/>
      <c r="B60" s="2"/>
      <c r="C60" s="8" t="str">
        <f>IF(B60="","",IFERROR(LOOKUP(2,1/(单次交易!$A$2:$A$163=B60),单次交易!$B$2:$B$163),""))</f>
        <v/>
      </c>
      <c r="D60" s="12"/>
      <c r="E60" s="10"/>
      <c r="F60" s="10"/>
      <c r="G60" s="2"/>
      <c r="H60" s="15"/>
      <c r="I60" s="10"/>
      <c r="J60" s="21"/>
      <c r="K60" s="13"/>
      <c r="L60" s="2"/>
      <c r="M60" s="13"/>
      <c r="N60" s="5" t="str">
        <f>IF(B60="","",IFERROR(LOOKUP(2,1/(单次交易!$A$2:$A$163=B60),单次交易!$N$2:$N$163),""))</f>
        <v/>
      </c>
      <c r="O60" s="5" t="str">
        <f t="shared" si="0"/>
        <v/>
      </c>
      <c r="P60" s="11" t="str">
        <f t="shared" si="1"/>
        <v/>
      </c>
      <c r="Q60" s="5" t="str">
        <f t="shared" si="2"/>
        <v/>
      </c>
      <c r="R60" s="10"/>
      <c r="S60" s="5" t="str">
        <f t="shared" si="3"/>
        <v/>
      </c>
      <c r="T60" s="5" t="str">
        <f t="shared" si="4"/>
        <v/>
      </c>
      <c r="U60" s="5" t="str">
        <f t="shared" si="5"/>
        <v/>
      </c>
      <c r="V60" s="7" t="str">
        <f t="shared" si="6"/>
        <v/>
      </c>
      <c r="W60" s="8" t="str">
        <f t="shared" si="7"/>
        <v/>
      </c>
      <c r="X60" s="2"/>
      <c r="Y60" s="10"/>
      <c r="Z60" s="11" t="str">
        <f>IF(X60&lt;&gt;"执行卖出","",IFERROR(LOOKUP(2,1/(单次交易!$A$2:$A$163=B60),单次交易!$AP$2:$AP$163),""))</f>
        <v/>
      </c>
      <c r="AA60" s="10"/>
      <c r="AB60" s="8" t="str">
        <f t="shared" si="8"/>
        <v/>
      </c>
      <c r="AC60" s="8" t="str">
        <f>IF(A60="","",IF(A60="止损计划",IF(OR(B60="",D60="",E60="",F60="",G60=""),"计划不完整",IF(OR(D60&lt;1,D60&lt;&gt;INT(D60)),"阶段序号无效",IF(COUNTIFS($A$2:$A$497,"止损计划",$B$2:$B$497,B60,$D$2:$D$497,D60)&gt;1,"阶段序号重复",IF(E60&lt;=IFERROR(LOOKUP(2,1/(单次交易!$A$2:$A$163=B60),单次交易!$E$2:$E$163),0),"激活价须高于买入价",IF(F60&lt;N60,"止损价不得低于初始止损",IF(F60&gt;E60,"止损价不得高于激活价",IF(AND(COUNTIFS($A$2:$A$497,"止损计划",$B$2:$B$497,B60,$D$2:$D$497,"&lt;"&amp;D60)&gt;0,OR(E60&lt;=SUMPRODUCT(MAX((($A$2:$A$497="止损计划")*($B$2:$B$497=B60)*($D$2:$D$497&lt;D60))*$E$2:$E$497)),F60&lt;SUMPRODUCT(MAX((($A$2:$A$497="止损计划")*($B$2:$B$497=B60)*($D$2:$D$497&lt;D60))*$F$2:$F$497)))),"阶段价格必须逐级提高","计划有效"))))))),IF(A60="每日跟踪",IF(OR(B60="",H60="",I60="",J60=""),"每日数据不完整",IF(COUNTIFS($A$2:$A$497,"每日跟踪",$B$2:$B$497,B60,$H$2:$H$497,H60)&gt;1,"同一交易日期重复",IF(AND(R60&lt;&gt;"",R60&lt;S60),"人工止损无效：不能下调","跟踪有效"))),"记录类型无效")))</f>
        <v/>
      </c>
    </row>
    <row r="61" ht="17" spans="1:29">
      <c r="A61" s="2"/>
      <c r="B61" s="2"/>
      <c r="C61" s="8" t="str">
        <f>IF(B61="","",IFERROR(LOOKUP(2,1/(单次交易!$A$2:$A$163=B61),单次交易!$B$2:$B$163),""))</f>
        <v/>
      </c>
      <c r="D61" s="12"/>
      <c r="E61" s="10"/>
      <c r="F61" s="10"/>
      <c r="G61" s="2"/>
      <c r="H61" s="15"/>
      <c r="I61" s="10"/>
      <c r="J61" s="21"/>
      <c r="K61" s="13"/>
      <c r="L61" s="2"/>
      <c r="M61" s="13"/>
      <c r="N61" s="5" t="str">
        <f>IF(B61="","",IFERROR(LOOKUP(2,1/(单次交易!$A$2:$A$163=B61),单次交易!$N$2:$N$163),""))</f>
        <v/>
      </c>
      <c r="O61" s="5" t="str">
        <f t="shared" si="0"/>
        <v/>
      </c>
      <c r="P61" s="11" t="str">
        <f t="shared" si="1"/>
        <v/>
      </c>
      <c r="Q61" s="5" t="str">
        <f t="shared" si="2"/>
        <v/>
      </c>
      <c r="R61" s="10"/>
      <c r="S61" s="5" t="str">
        <f t="shared" si="3"/>
        <v/>
      </c>
      <c r="T61" s="5" t="str">
        <f t="shared" si="4"/>
        <v/>
      </c>
      <c r="U61" s="5" t="str">
        <f t="shared" si="5"/>
        <v/>
      </c>
      <c r="V61" s="7" t="str">
        <f t="shared" si="6"/>
        <v/>
      </c>
      <c r="W61" s="8" t="str">
        <f t="shared" si="7"/>
        <v/>
      </c>
      <c r="X61" s="2"/>
      <c r="Y61" s="10"/>
      <c r="Z61" s="11" t="str">
        <f>IF(X61&lt;&gt;"执行卖出","",IFERROR(LOOKUP(2,1/(单次交易!$A$2:$A$163=B61),单次交易!$AP$2:$AP$163),""))</f>
        <v/>
      </c>
      <c r="AA61" s="10"/>
      <c r="AB61" s="8" t="str">
        <f t="shared" si="8"/>
        <v/>
      </c>
      <c r="AC61" s="8" t="str">
        <f>IF(A61="","",IF(A61="止损计划",IF(OR(B61="",D61="",E61="",F61="",G61=""),"计划不完整",IF(OR(D61&lt;1,D61&lt;&gt;INT(D61)),"阶段序号无效",IF(COUNTIFS($A$2:$A$497,"止损计划",$B$2:$B$497,B61,$D$2:$D$497,D61)&gt;1,"阶段序号重复",IF(E61&lt;=IFERROR(LOOKUP(2,1/(单次交易!$A$2:$A$163=B61),单次交易!$E$2:$E$163),0),"激活价须高于买入价",IF(F61&lt;N61,"止损价不得低于初始止损",IF(F61&gt;E61,"止损价不得高于激活价",IF(AND(COUNTIFS($A$2:$A$497,"止损计划",$B$2:$B$497,B61,$D$2:$D$497,"&lt;"&amp;D61)&gt;0,OR(E61&lt;=SUMPRODUCT(MAX((($A$2:$A$497="止损计划")*($B$2:$B$497=B61)*($D$2:$D$497&lt;D61))*$E$2:$E$497)),F61&lt;SUMPRODUCT(MAX((($A$2:$A$497="止损计划")*($B$2:$B$497=B61)*($D$2:$D$497&lt;D61))*$F$2:$F$497)))),"阶段价格必须逐级提高","计划有效"))))))),IF(A61="每日跟踪",IF(OR(B61="",H61="",I61="",J61=""),"每日数据不完整",IF(COUNTIFS($A$2:$A$497,"每日跟踪",$B$2:$B$497,B61,$H$2:$H$497,H61)&gt;1,"同一交易日期重复",IF(AND(R61&lt;&gt;"",R61&lt;S61),"人工止损无效：不能下调","跟踪有效"))),"记录类型无效")))</f>
        <v/>
      </c>
    </row>
    <row r="62" ht="17" spans="1:29">
      <c r="A62" s="2"/>
      <c r="B62" s="2"/>
      <c r="C62" s="8" t="str">
        <f>IF(B62="","",IFERROR(LOOKUP(2,1/(单次交易!$A$2:$A$163=B62),单次交易!$B$2:$B$163),""))</f>
        <v/>
      </c>
      <c r="D62" s="12"/>
      <c r="E62" s="10"/>
      <c r="F62" s="10"/>
      <c r="G62" s="2"/>
      <c r="H62" s="15"/>
      <c r="I62" s="10"/>
      <c r="J62" s="21"/>
      <c r="K62" s="13"/>
      <c r="L62" s="2"/>
      <c r="M62" s="13"/>
      <c r="N62" s="5" t="str">
        <f>IF(B62="","",IFERROR(LOOKUP(2,1/(单次交易!$A$2:$A$163=B62),单次交易!$N$2:$N$163),""))</f>
        <v/>
      </c>
      <c r="O62" s="5" t="str">
        <f t="shared" si="0"/>
        <v/>
      </c>
      <c r="P62" s="11" t="str">
        <f t="shared" si="1"/>
        <v/>
      </c>
      <c r="Q62" s="5" t="str">
        <f t="shared" si="2"/>
        <v/>
      </c>
      <c r="R62" s="10"/>
      <c r="S62" s="5" t="str">
        <f t="shared" si="3"/>
        <v/>
      </c>
      <c r="T62" s="5" t="str">
        <f t="shared" si="4"/>
        <v/>
      </c>
      <c r="U62" s="5" t="str">
        <f t="shared" si="5"/>
        <v/>
      </c>
      <c r="V62" s="7" t="str">
        <f t="shared" si="6"/>
        <v/>
      </c>
      <c r="W62" s="8" t="str">
        <f t="shared" si="7"/>
        <v/>
      </c>
      <c r="X62" s="2"/>
      <c r="Y62" s="10"/>
      <c r="Z62" s="11" t="str">
        <f>IF(X62&lt;&gt;"执行卖出","",IFERROR(LOOKUP(2,1/(单次交易!$A$2:$A$163=B62),单次交易!$AP$2:$AP$163),""))</f>
        <v/>
      </c>
      <c r="AA62" s="10"/>
      <c r="AB62" s="8" t="str">
        <f t="shared" si="8"/>
        <v/>
      </c>
      <c r="AC62" s="8" t="str">
        <f>IF(A62="","",IF(A62="止损计划",IF(OR(B62="",D62="",E62="",F62="",G62=""),"计划不完整",IF(OR(D62&lt;1,D62&lt;&gt;INT(D62)),"阶段序号无效",IF(COUNTIFS($A$2:$A$497,"止损计划",$B$2:$B$497,B62,$D$2:$D$497,D62)&gt;1,"阶段序号重复",IF(E62&lt;=IFERROR(LOOKUP(2,1/(单次交易!$A$2:$A$163=B62),单次交易!$E$2:$E$163),0),"激活价须高于买入价",IF(F62&lt;N62,"止损价不得低于初始止损",IF(F62&gt;E62,"止损价不得高于激活价",IF(AND(COUNTIFS($A$2:$A$497,"止损计划",$B$2:$B$497,B62,$D$2:$D$497,"&lt;"&amp;D62)&gt;0,OR(E62&lt;=SUMPRODUCT(MAX((($A$2:$A$497="止损计划")*($B$2:$B$497=B62)*($D$2:$D$497&lt;D62))*$E$2:$E$497)),F62&lt;SUMPRODUCT(MAX((($A$2:$A$497="止损计划")*($B$2:$B$497=B62)*($D$2:$D$497&lt;D62))*$F$2:$F$497)))),"阶段价格必须逐级提高","计划有效"))))))),IF(A62="每日跟踪",IF(OR(B62="",H62="",I62="",J62=""),"每日数据不完整",IF(COUNTIFS($A$2:$A$497,"每日跟踪",$B$2:$B$497,B62,$H$2:$H$497,H62)&gt;1,"同一交易日期重复",IF(AND(R62&lt;&gt;"",R62&lt;S62),"人工止损无效：不能下调","跟踪有效"))),"记录类型无效")))</f>
        <v/>
      </c>
    </row>
    <row r="63" ht="17" spans="1:29">
      <c r="A63" s="2"/>
      <c r="B63" s="2"/>
      <c r="C63" s="8" t="str">
        <f>IF(B63="","",IFERROR(LOOKUP(2,1/(单次交易!$A$2:$A$163=B63),单次交易!$B$2:$B$163),""))</f>
        <v/>
      </c>
      <c r="D63" s="12"/>
      <c r="E63" s="10"/>
      <c r="F63" s="10"/>
      <c r="G63" s="2"/>
      <c r="H63" s="15"/>
      <c r="I63" s="10"/>
      <c r="J63" s="21"/>
      <c r="K63" s="13"/>
      <c r="L63" s="2"/>
      <c r="M63" s="13"/>
      <c r="N63" s="5" t="str">
        <f>IF(B63="","",IFERROR(LOOKUP(2,1/(单次交易!$A$2:$A$163=B63),单次交易!$N$2:$N$163),""))</f>
        <v/>
      </c>
      <c r="O63" s="5" t="str">
        <f t="shared" si="0"/>
        <v/>
      </c>
      <c r="P63" s="11" t="str">
        <f t="shared" si="1"/>
        <v/>
      </c>
      <c r="Q63" s="5" t="str">
        <f t="shared" si="2"/>
        <v/>
      </c>
      <c r="R63" s="10"/>
      <c r="S63" s="5" t="str">
        <f t="shared" si="3"/>
        <v/>
      </c>
      <c r="T63" s="5" t="str">
        <f t="shared" si="4"/>
        <v/>
      </c>
      <c r="U63" s="5" t="str">
        <f t="shared" si="5"/>
        <v/>
      </c>
      <c r="V63" s="7" t="str">
        <f t="shared" si="6"/>
        <v/>
      </c>
      <c r="W63" s="8" t="str">
        <f t="shared" si="7"/>
        <v/>
      </c>
      <c r="X63" s="2"/>
      <c r="Y63" s="10"/>
      <c r="Z63" s="11" t="str">
        <f>IF(X63&lt;&gt;"执行卖出","",IFERROR(LOOKUP(2,1/(单次交易!$A$2:$A$163=B63),单次交易!$AP$2:$AP$163),""))</f>
        <v/>
      </c>
      <c r="AA63" s="10"/>
      <c r="AB63" s="8" t="str">
        <f t="shared" si="8"/>
        <v/>
      </c>
      <c r="AC63" s="8" t="str">
        <f>IF(A63="","",IF(A63="止损计划",IF(OR(B63="",D63="",E63="",F63="",G63=""),"计划不完整",IF(OR(D63&lt;1,D63&lt;&gt;INT(D63)),"阶段序号无效",IF(COUNTIFS($A$2:$A$497,"止损计划",$B$2:$B$497,B63,$D$2:$D$497,D63)&gt;1,"阶段序号重复",IF(E63&lt;=IFERROR(LOOKUP(2,1/(单次交易!$A$2:$A$163=B63),单次交易!$E$2:$E$163),0),"激活价须高于买入价",IF(F63&lt;N63,"止损价不得低于初始止损",IF(F63&gt;E63,"止损价不得高于激活价",IF(AND(COUNTIFS($A$2:$A$497,"止损计划",$B$2:$B$497,B63,$D$2:$D$497,"&lt;"&amp;D63)&gt;0,OR(E63&lt;=SUMPRODUCT(MAX((($A$2:$A$497="止损计划")*($B$2:$B$497=B63)*($D$2:$D$497&lt;D63))*$E$2:$E$497)),F63&lt;SUMPRODUCT(MAX((($A$2:$A$497="止损计划")*($B$2:$B$497=B63)*($D$2:$D$497&lt;D63))*$F$2:$F$497)))),"阶段价格必须逐级提高","计划有效"))))))),IF(A63="每日跟踪",IF(OR(B63="",H63="",I63="",J63=""),"每日数据不完整",IF(COUNTIFS($A$2:$A$497,"每日跟踪",$B$2:$B$497,B63,$H$2:$H$497,H63)&gt;1,"同一交易日期重复",IF(AND(R63&lt;&gt;"",R63&lt;S63),"人工止损无效：不能下调","跟踪有效"))),"记录类型无效")))</f>
        <v/>
      </c>
    </row>
    <row r="64" ht="17" spans="1:29">
      <c r="A64" s="2"/>
      <c r="B64" s="2"/>
      <c r="C64" s="8" t="str">
        <f>IF(B64="","",IFERROR(LOOKUP(2,1/(单次交易!$A$2:$A$163=B64),单次交易!$B$2:$B$163),""))</f>
        <v/>
      </c>
      <c r="D64" s="12"/>
      <c r="E64" s="10"/>
      <c r="F64" s="10"/>
      <c r="G64" s="2"/>
      <c r="H64" s="15"/>
      <c r="I64" s="10"/>
      <c r="J64" s="21"/>
      <c r="K64" s="13"/>
      <c r="L64" s="2"/>
      <c r="M64" s="13"/>
      <c r="N64" s="5" t="str">
        <f>IF(B64="","",IFERROR(LOOKUP(2,1/(单次交易!$A$2:$A$163=B64),单次交易!$N$2:$N$163),""))</f>
        <v/>
      </c>
      <c r="O64" s="5" t="str">
        <f t="shared" si="0"/>
        <v/>
      </c>
      <c r="P64" s="11" t="str">
        <f t="shared" si="1"/>
        <v/>
      </c>
      <c r="Q64" s="5" t="str">
        <f t="shared" si="2"/>
        <v/>
      </c>
      <c r="R64" s="10"/>
      <c r="S64" s="5" t="str">
        <f t="shared" si="3"/>
        <v/>
      </c>
      <c r="T64" s="5" t="str">
        <f t="shared" si="4"/>
        <v/>
      </c>
      <c r="U64" s="5" t="str">
        <f t="shared" si="5"/>
        <v/>
      </c>
      <c r="V64" s="7" t="str">
        <f t="shared" si="6"/>
        <v/>
      </c>
      <c r="W64" s="8" t="str">
        <f t="shared" si="7"/>
        <v/>
      </c>
      <c r="X64" s="2"/>
      <c r="Y64" s="10"/>
      <c r="Z64" s="11" t="str">
        <f>IF(X64&lt;&gt;"执行卖出","",IFERROR(LOOKUP(2,1/(单次交易!$A$2:$A$163=B64),单次交易!$AP$2:$AP$163),""))</f>
        <v/>
      </c>
      <c r="AA64" s="10"/>
      <c r="AB64" s="8" t="str">
        <f t="shared" si="8"/>
        <v/>
      </c>
      <c r="AC64" s="8" t="str">
        <f>IF(A64="","",IF(A64="止损计划",IF(OR(B64="",D64="",E64="",F64="",G64=""),"计划不完整",IF(OR(D64&lt;1,D64&lt;&gt;INT(D64)),"阶段序号无效",IF(COUNTIFS($A$2:$A$497,"止损计划",$B$2:$B$497,B64,$D$2:$D$497,D64)&gt;1,"阶段序号重复",IF(E64&lt;=IFERROR(LOOKUP(2,1/(单次交易!$A$2:$A$163=B64),单次交易!$E$2:$E$163),0),"激活价须高于买入价",IF(F64&lt;N64,"止损价不得低于初始止损",IF(F64&gt;E64,"止损价不得高于激活价",IF(AND(COUNTIFS($A$2:$A$497,"止损计划",$B$2:$B$497,B64,$D$2:$D$497,"&lt;"&amp;D64)&gt;0,OR(E64&lt;=SUMPRODUCT(MAX((($A$2:$A$497="止损计划")*($B$2:$B$497=B64)*($D$2:$D$497&lt;D64))*$E$2:$E$497)),F64&lt;SUMPRODUCT(MAX((($A$2:$A$497="止损计划")*($B$2:$B$497=B64)*($D$2:$D$497&lt;D64))*$F$2:$F$497)))),"阶段价格必须逐级提高","计划有效"))))))),IF(A64="每日跟踪",IF(OR(B64="",H64="",I64="",J64=""),"每日数据不完整",IF(COUNTIFS($A$2:$A$497,"每日跟踪",$B$2:$B$497,B64,$H$2:$H$497,H64)&gt;1,"同一交易日期重复",IF(AND(R64&lt;&gt;"",R64&lt;S64),"人工止损无效：不能下调","跟踪有效"))),"记录类型无效")))</f>
        <v/>
      </c>
    </row>
    <row r="65" ht="17" spans="1:29">
      <c r="A65" s="2"/>
      <c r="B65" s="2"/>
      <c r="C65" s="8" t="str">
        <f>IF(B65="","",IFERROR(LOOKUP(2,1/(单次交易!$A$2:$A$163=B65),单次交易!$B$2:$B$163),""))</f>
        <v/>
      </c>
      <c r="D65" s="12"/>
      <c r="E65" s="10"/>
      <c r="F65" s="10"/>
      <c r="G65" s="2"/>
      <c r="H65" s="15"/>
      <c r="I65" s="10"/>
      <c r="J65" s="21"/>
      <c r="K65" s="13"/>
      <c r="L65" s="2"/>
      <c r="M65" s="13"/>
      <c r="N65" s="5" t="str">
        <f>IF(B65="","",IFERROR(LOOKUP(2,1/(单次交易!$A$2:$A$163=B65),单次交易!$N$2:$N$163),""))</f>
        <v/>
      </c>
      <c r="O65" s="5" t="str">
        <f t="shared" si="0"/>
        <v/>
      </c>
      <c r="P65" s="11" t="str">
        <f t="shared" si="1"/>
        <v/>
      </c>
      <c r="Q65" s="5" t="str">
        <f t="shared" si="2"/>
        <v/>
      </c>
      <c r="R65" s="10"/>
      <c r="S65" s="5" t="str">
        <f t="shared" si="3"/>
        <v/>
      </c>
      <c r="T65" s="5" t="str">
        <f t="shared" si="4"/>
        <v/>
      </c>
      <c r="U65" s="5" t="str">
        <f t="shared" si="5"/>
        <v/>
      </c>
      <c r="V65" s="7" t="str">
        <f t="shared" si="6"/>
        <v/>
      </c>
      <c r="W65" s="8" t="str">
        <f t="shared" si="7"/>
        <v/>
      </c>
      <c r="X65" s="2"/>
      <c r="Y65" s="10"/>
      <c r="Z65" s="11" t="str">
        <f>IF(X65&lt;&gt;"执行卖出","",IFERROR(LOOKUP(2,1/(单次交易!$A$2:$A$163=B65),单次交易!$AP$2:$AP$163),""))</f>
        <v/>
      </c>
      <c r="AA65" s="10"/>
      <c r="AB65" s="8" t="str">
        <f t="shared" si="8"/>
        <v/>
      </c>
      <c r="AC65" s="8" t="str">
        <f>IF(A65="","",IF(A65="止损计划",IF(OR(B65="",D65="",E65="",F65="",G65=""),"计划不完整",IF(OR(D65&lt;1,D65&lt;&gt;INT(D65)),"阶段序号无效",IF(COUNTIFS($A$2:$A$497,"止损计划",$B$2:$B$497,B65,$D$2:$D$497,D65)&gt;1,"阶段序号重复",IF(E65&lt;=IFERROR(LOOKUP(2,1/(单次交易!$A$2:$A$163=B65),单次交易!$E$2:$E$163),0),"激活价须高于买入价",IF(F65&lt;N65,"止损价不得低于初始止损",IF(F65&gt;E65,"止损价不得高于激活价",IF(AND(COUNTIFS($A$2:$A$497,"止损计划",$B$2:$B$497,B65,$D$2:$D$497,"&lt;"&amp;D65)&gt;0,OR(E65&lt;=SUMPRODUCT(MAX((($A$2:$A$497="止损计划")*($B$2:$B$497=B65)*($D$2:$D$497&lt;D65))*$E$2:$E$497)),F65&lt;SUMPRODUCT(MAX((($A$2:$A$497="止损计划")*($B$2:$B$497=B65)*($D$2:$D$497&lt;D65))*$F$2:$F$497)))),"阶段价格必须逐级提高","计划有效"))))))),IF(A65="每日跟踪",IF(OR(B65="",H65="",I65="",J65=""),"每日数据不完整",IF(COUNTIFS($A$2:$A$497,"每日跟踪",$B$2:$B$497,B65,$H$2:$H$497,H65)&gt;1,"同一交易日期重复",IF(AND(R65&lt;&gt;"",R65&lt;S65),"人工止损无效：不能下调","跟踪有效"))),"记录类型无效")))</f>
        <v/>
      </c>
    </row>
    <row r="66" ht="17" spans="1:29">
      <c r="A66" s="2"/>
      <c r="B66" s="2"/>
      <c r="C66" s="8" t="str">
        <f>IF(B66="","",IFERROR(LOOKUP(2,1/(单次交易!$A$2:$A$163=B66),单次交易!$B$2:$B$163),""))</f>
        <v/>
      </c>
      <c r="D66" s="12"/>
      <c r="E66" s="10"/>
      <c r="F66" s="10"/>
      <c r="G66" s="2"/>
      <c r="H66" s="15"/>
      <c r="I66" s="10"/>
      <c r="J66" s="21"/>
      <c r="K66" s="13"/>
      <c r="L66" s="2"/>
      <c r="M66" s="13"/>
      <c r="N66" s="5" t="str">
        <f>IF(B66="","",IFERROR(LOOKUP(2,1/(单次交易!$A$2:$A$163=B66),单次交易!$N$2:$N$163),""))</f>
        <v/>
      </c>
      <c r="O66" s="5" t="str">
        <f t="shared" ref="O66:O129" si="9">IF(A66&lt;&gt;"每日跟踪","",IF(OR(B66="",H66="",I66=""),"",IFERROR(SUMPRODUCT(MAX((($A$2:$A$497="每日跟踪")*($B$2:$B$497=B66)*($H$2:$H$497&lt;=H66))*$I$2:$I$497)),"")))</f>
        <v/>
      </c>
      <c r="P66" s="11" t="str">
        <f t="shared" ref="P66:P129" si="10">IF(A66&lt;&gt;"每日跟踪","",IF(O66="","",IFERROR(SUMPRODUCT(MAX((($A$2:$A$497="止损计划")*($B$2:$B$497=B66)*($E$2:$E$497&lt;=O66))*$D$2:$D$497)),0)))</f>
        <v/>
      </c>
      <c r="Q66" s="5" t="str">
        <f t="shared" ref="Q66:Q129" si="11">IF(A66&lt;&gt;"每日跟踪","",IF(N66="","",MAX(N66,IFERROR(SUMPRODUCT(MAX((($A$2:$A$497="止损计划")*($B$2:$B$497=B66)*($E$2:$E$497&lt;=O66))*$F$2:$F$497)),0))))</f>
        <v/>
      </c>
      <c r="R66" s="10"/>
      <c r="S66" s="5" t="str">
        <f t="shared" ref="S66:S129" si="12">IF(A66&lt;&gt;"每日跟踪","",IF(Q66="","",MAX(Q66,IFERROR(SUMPRODUCT(MAX((($A$2:$A$497="每日跟踪")*($B$2:$B$497=B66)*($H$2:$H$497&lt;=H66))*$R$2:$R$497)),0))))</f>
        <v/>
      </c>
      <c r="T66" s="5" t="str">
        <f t="shared" ref="T66:T129" si="13">IF(A66&lt;&gt;"每日跟踪","",IF(O66="","",IF(COUNTIFS($A$2:$A$497,"止损计划",$B$2:$B$497,B66,$E$2:$E$497,"&gt;"&amp;O66)=0,"",INDEX($E$2:$E$497,MATCH(1,INDEX(($A$2:$A$497="止损计划")*($B$2:$B$497=B66)*($E$2:$E$497&gt;O66),0),0)))))</f>
        <v/>
      </c>
      <c r="U66" s="5" t="str">
        <f t="shared" ref="U66:U129" si="14">IF(OR(A66&lt;&gt;"每日跟踪",T66=""),"",IFERROR(SUMIFS($F$2:$F$497,$A$2:$A$497,"止损计划",$B$2:$B$497,B66,$E$2:$E$497,T66),""))</f>
        <v/>
      </c>
      <c r="V66" s="7" t="str">
        <f t="shared" ref="V66:V129" si="15">IF(OR(A66&lt;&gt;"每日跟踪",T66="",I66="",I66&lt;=0),"",T66/I66-1)</f>
        <v/>
      </c>
      <c r="W66" s="8" t="str">
        <f t="shared" ref="W66:W129" si="16">IF(A66&lt;&gt;"每日跟踪","",IF(OR(I66="",S66=""),"",IF(I66&lt;=S66,"触发止损：应全部卖出","继续观察")))</f>
        <v/>
      </c>
      <c r="X66" s="2"/>
      <c r="Y66" s="10"/>
      <c r="Z66" s="11" t="str">
        <f>IF(X66&lt;&gt;"执行卖出","",IFERROR(LOOKUP(2,1/(单次交易!$A$2:$A$163=B66),单次交易!$AP$2:$AP$163),""))</f>
        <v/>
      </c>
      <c r="AA66" s="10"/>
      <c r="AB66" s="8" t="str">
        <f t="shared" ref="AB66:AB129" si="17">IF(A66&lt;&gt;"每日跟踪","",IF(OR(B66="",H66="",I66="",J66="",K66="",L66="",M66=""),"待补充每日记录",IF(W66="触发止损：应全部卖出",IF(X66&lt;&gt;"执行卖出","违规：触发止损但未执行",IF(Y66="","待补充实际卖出价","卖出记录完整")),IF(X66="","待选择卖出动作",IF(X66="执行卖出",IF(Y66="","待补充实际卖出价","卖出记录完整"),"正常")))))</f>
        <v/>
      </c>
      <c r="AC66" s="8" t="str">
        <f>IF(A66="","",IF(A66="止损计划",IF(OR(B66="",D66="",E66="",F66="",G66=""),"计划不完整",IF(OR(D66&lt;1,D66&lt;&gt;INT(D66)),"阶段序号无效",IF(COUNTIFS($A$2:$A$497,"止损计划",$B$2:$B$497,B66,$D$2:$D$497,D66)&gt;1,"阶段序号重复",IF(E66&lt;=IFERROR(LOOKUP(2,1/(单次交易!$A$2:$A$163=B66),单次交易!$E$2:$E$163),0),"激活价须高于买入价",IF(F66&lt;N66,"止损价不得低于初始止损",IF(F66&gt;E66,"止损价不得高于激活价",IF(AND(COUNTIFS($A$2:$A$497,"止损计划",$B$2:$B$497,B66,$D$2:$D$497,"&lt;"&amp;D66)&gt;0,OR(E66&lt;=SUMPRODUCT(MAX((($A$2:$A$497="止损计划")*($B$2:$B$497=B66)*($D$2:$D$497&lt;D66))*$E$2:$E$497)),F66&lt;SUMPRODUCT(MAX((($A$2:$A$497="止损计划")*($B$2:$B$497=B66)*($D$2:$D$497&lt;D66))*$F$2:$F$497)))),"阶段价格必须逐级提高","计划有效"))))))),IF(A66="每日跟踪",IF(OR(B66="",H66="",I66="",J66=""),"每日数据不完整",IF(COUNTIFS($A$2:$A$497,"每日跟踪",$B$2:$B$497,B66,$H$2:$H$497,H66)&gt;1,"同一交易日期重复",IF(AND(R66&lt;&gt;"",R66&lt;S66),"人工止损无效：不能下调","跟踪有效"))),"记录类型无效")))</f>
        <v/>
      </c>
    </row>
    <row r="67" ht="17" spans="1:29">
      <c r="A67" s="2"/>
      <c r="B67" s="2"/>
      <c r="C67" s="8" t="str">
        <f>IF(B67="","",IFERROR(LOOKUP(2,1/(单次交易!$A$2:$A$163=B67),单次交易!$B$2:$B$163),""))</f>
        <v/>
      </c>
      <c r="D67" s="12"/>
      <c r="E67" s="10"/>
      <c r="F67" s="10"/>
      <c r="G67" s="2"/>
      <c r="H67" s="15"/>
      <c r="I67" s="10"/>
      <c r="J67" s="21"/>
      <c r="K67" s="13"/>
      <c r="L67" s="2"/>
      <c r="M67" s="13"/>
      <c r="N67" s="5" t="str">
        <f>IF(B67="","",IFERROR(LOOKUP(2,1/(单次交易!$A$2:$A$163=B67),单次交易!$N$2:$N$163),""))</f>
        <v/>
      </c>
      <c r="O67" s="5" t="str">
        <f t="shared" si="9"/>
        <v/>
      </c>
      <c r="P67" s="11" t="str">
        <f t="shared" si="10"/>
        <v/>
      </c>
      <c r="Q67" s="5" t="str">
        <f t="shared" si="11"/>
        <v/>
      </c>
      <c r="R67" s="10"/>
      <c r="S67" s="5" t="str">
        <f t="shared" si="12"/>
        <v/>
      </c>
      <c r="T67" s="5" t="str">
        <f t="shared" si="13"/>
        <v/>
      </c>
      <c r="U67" s="5" t="str">
        <f t="shared" si="14"/>
        <v/>
      </c>
      <c r="V67" s="7" t="str">
        <f t="shared" si="15"/>
        <v/>
      </c>
      <c r="W67" s="8" t="str">
        <f t="shared" si="16"/>
        <v/>
      </c>
      <c r="X67" s="2"/>
      <c r="Y67" s="10"/>
      <c r="Z67" s="11" t="str">
        <f>IF(X67&lt;&gt;"执行卖出","",IFERROR(LOOKUP(2,1/(单次交易!$A$2:$A$163=B67),单次交易!$AP$2:$AP$163),""))</f>
        <v/>
      </c>
      <c r="AA67" s="10"/>
      <c r="AB67" s="8" t="str">
        <f t="shared" si="17"/>
        <v/>
      </c>
      <c r="AC67" s="8" t="str">
        <f>IF(A67="","",IF(A67="止损计划",IF(OR(B67="",D67="",E67="",F67="",G67=""),"计划不完整",IF(OR(D67&lt;1,D67&lt;&gt;INT(D67)),"阶段序号无效",IF(COUNTIFS($A$2:$A$497,"止损计划",$B$2:$B$497,B67,$D$2:$D$497,D67)&gt;1,"阶段序号重复",IF(E67&lt;=IFERROR(LOOKUP(2,1/(单次交易!$A$2:$A$163=B67),单次交易!$E$2:$E$163),0),"激活价须高于买入价",IF(F67&lt;N67,"止损价不得低于初始止损",IF(F67&gt;E67,"止损价不得高于激活价",IF(AND(COUNTIFS($A$2:$A$497,"止损计划",$B$2:$B$497,B67,$D$2:$D$497,"&lt;"&amp;D67)&gt;0,OR(E67&lt;=SUMPRODUCT(MAX((($A$2:$A$497="止损计划")*($B$2:$B$497=B67)*($D$2:$D$497&lt;D67))*$E$2:$E$497)),F67&lt;SUMPRODUCT(MAX((($A$2:$A$497="止损计划")*($B$2:$B$497=B67)*($D$2:$D$497&lt;D67))*$F$2:$F$497)))),"阶段价格必须逐级提高","计划有效"))))))),IF(A67="每日跟踪",IF(OR(B67="",H67="",I67="",J67=""),"每日数据不完整",IF(COUNTIFS($A$2:$A$497,"每日跟踪",$B$2:$B$497,B67,$H$2:$H$497,H67)&gt;1,"同一交易日期重复",IF(AND(R67&lt;&gt;"",R67&lt;S67),"人工止损无效：不能下调","跟踪有效"))),"记录类型无效")))</f>
        <v/>
      </c>
    </row>
    <row r="68" ht="17" spans="1:29">
      <c r="A68" s="2"/>
      <c r="B68" s="2"/>
      <c r="C68" s="8" t="str">
        <f>IF(B68="","",IFERROR(LOOKUP(2,1/(单次交易!$A$2:$A$163=B68),单次交易!$B$2:$B$163),""))</f>
        <v/>
      </c>
      <c r="D68" s="12"/>
      <c r="E68" s="10"/>
      <c r="F68" s="10"/>
      <c r="G68" s="2"/>
      <c r="H68" s="15"/>
      <c r="I68" s="10"/>
      <c r="J68" s="21"/>
      <c r="K68" s="13"/>
      <c r="L68" s="2"/>
      <c r="M68" s="2"/>
      <c r="N68" s="5" t="str">
        <f>IF(B68="","",IFERROR(LOOKUP(2,1/(单次交易!$A$2:$A$163=B68),单次交易!$N$2:$N$163),""))</f>
        <v/>
      </c>
      <c r="O68" s="5" t="str">
        <f t="shared" si="9"/>
        <v/>
      </c>
      <c r="P68" s="11" t="str">
        <f t="shared" si="10"/>
        <v/>
      </c>
      <c r="Q68" s="5" t="str">
        <f t="shared" si="11"/>
        <v/>
      </c>
      <c r="R68" s="10"/>
      <c r="S68" s="5" t="str">
        <f t="shared" si="12"/>
        <v/>
      </c>
      <c r="T68" s="5" t="str">
        <f t="shared" si="13"/>
        <v/>
      </c>
      <c r="U68" s="5" t="str">
        <f t="shared" si="14"/>
        <v/>
      </c>
      <c r="V68" s="7" t="str">
        <f t="shared" si="15"/>
        <v/>
      </c>
      <c r="W68" s="8" t="str">
        <f t="shared" si="16"/>
        <v/>
      </c>
      <c r="X68" s="2"/>
      <c r="Y68" s="10"/>
      <c r="Z68" s="11" t="str">
        <f>IF(X68&lt;&gt;"执行卖出","",IFERROR(LOOKUP(2,1/(单次交易!$A$2:$A$163=B68),单次交易!$AP$2:$AP$163),""))</f>
        <v/>
      </c>
      <c r="AA68" s="10"/>
      <c r="AB68" s="8" t="str">
        <f t="shared" si="17"/>
        <v/>
      </c>
      <c r="AC68" s="8" t="str">
        <f>IF(A68="","",IF(A68="止损计划",IF(OR(B68="",D68="",E68="",F68="",G68=""),"计划不完整",IF(OR(D68&lt;1,D68&lt;&gt;INT(D68)),"阶段序号无效",IF(COUNTIFS($A$2:$A$497,"止损计划",$B$2:$B$497,B68,$D$2:$D$497,D68)&gt;1,"阶段序号重复",IF(E68&lt;=IFERROR(LOOKUP(2,1/(单次交易!$A$2:$A$163=B68),单次交易!$E$2:$E$163),0),"激活价须高于买入价",IF(F68&lt;N68,"止损价不得低于初始止损",IF(F68&gt;E68,"止损价不得高于激活价",IF(AND(COUNTIFS($A$2:$A$497,"止损计划",$B$2:$B$497,B68,$D$2:$D$497,"&lt;"&amp;D68)&gt;0,OR(E68&lt;=SUMPRODUCT(MAX((($A$2:$A$497="止损计划")*($B$2:$B$497=B68)*($D$2:$D$497&lt;D68))*$E$2:$E$497)),F68&lt;SUMPRODUCT(MAX((($A$2:$A$497="止损计划")*($B$2:$B$497=B68)*($D$2:$D$497&lt;D68))*$F$2:$F$497)))),"阶段价格必须逐级提高","计划有效"))))))),IF(A68="每日跟踪",IF(OR(B68="",H68="",I68="",J68=""),"每日数据不完整",IF(COUNTIFS($A$2:$A$497,"每日跟踪",$B$2:$B$497,B68,$H$2:$H$497,H68)&gt;1,"同一交易日期重复",IF(AND(R68&lt;&gt;"",R68&lt;S68),"人工止损无效：不能下调","跟踪有效"))),"记录类型无效")))</f>
        <v/>
      </c>
    </row>
    <row r="69" ht="17" spans="1:29">
      <c r="A69" s="2"/>
      <c r="B69" s="2"/>
      <c r="C69" s="8" t="str">
        <f>IF(B69="","",IFERROR(LOOKUP(2,1/(单次交易!$A$2:$A$163=B69),单次交易!$B$2:$B$163),""))</f>
        <v/>
      </c>
      <c r="D69" s="12"/>
      <c r="E69" s="10"/>
      <c r="F69" s="10"/>
      <c r="G69" s="2"/>
      <c r="H69" s="15"/>
      <c r="I69" s="10"/>
      <c r="J69" s="21"/>
      <c r="K69" s="13"/>
      <c r="L69" s="2"/>
      <c r="M69" s="13"/>
      <c r="N69" s="5" t="str">
        <f>IF(B69="","",IFERROR(LOOKUP(2,1/(单次交易!$A$2:$A$163=B69),单次交易!$N$2:$N$163),""))</f>
        <v/>
      </c>
      <c r="O69" s="5" t="str">
        <f t="shared" si="9"/>
        <v/>
      </c>
      <c r="P69" s="11" t="str">
        <f t="shared" si="10"/>
        <v/>
      </c>
      <c r="Q69" s="5" t="str">
        <f t="shared" si="11"/>
        <v/>
      </c>
      <c r="R69" s="10"/>
      <c r="S69" s="5" t="str">
        <f t="shared" si="12"/>
        <v/>
      </c>
      <c r="T69" s="5" t="str">
        <f t="shared" si="13"/>
        <v/>
      </c>
      <c r="U69" s="5" t="str">
        <f t="shared" si="14"/>
        <v/>
      </c>
      <c r="V69" s="7" t="str">
        <f t="shared" si="15"/>
        <v/>
      </c>
      <c r="W69" s="8" t="str">
        <f t="shared" si="16"/>
        <v/>
      </c>
      <c r="X69" s="2"/>
      <c r="Y69" s="10"/>
      <c r="Z69" s="11" t="str">
        <f>IF(X69&lt;&gt;"执行卖出","",IFERROR(LOOKUP(2,1/(单次交易!$A$2:$A$163=B69),单次交易!$AP$2:$AP$163),""))</f>
        <v/>
      </c>
      <c r="AA69" s="10"/>
      <c r="AB69" s="8" t="str">
        <f t="shared" si="17"/>
        <v/>
      </c>
      <c r="AC69" s="8" t="str">
        <f>IF(A69="","",IF(A69="止损计划",IF(OR(B69="",D69="",E69="",F69="",G69=""),"计划不完整",IF(OR(D69&lt;1,D69&lt;&gt;INT(D69)),"阶段序号无效",IF(COUNTIFS($A$2:$A$497,"止损计划",$B$2:$B$497,B69,$D$2:$D$497,D69)&gt;1,"阶段序号重复",IF(E69&lt;=IFERROR(LOOKUP(2,1/(单次交易!$A$2:$A$163=B69),单次交易!$E$2:$E$163),0),"激活价须高于买入价",IF(F69&lt;N69,"止损价不得低于初始止损",IF(F69&gt;E69,"止损价不得高于激活价",IF(AND(COUNTIFS($A$2:$A$497,"止损计划",$B$2:$B$497,B69,$D$2:$D$497,"&lt;"&amp;D69)&gt;0,OR(E69&lt;=SUMPRODUCT(MAX((($A$2:$A$497="止损计划")*($B$2:$B$497=B69)*($D$2:$D$497&lt;D69))*$E$2:$E$497)),F69&lt;SUMPRODUCT(MAX((($A$2:$A$497="止损计划")*($B$2:$B$497=B69)*($D$2:$D$497&lt;D69))*$F$2:$F$497)))),"阶段价格必须逐级提高","计划有效"))))))),IF(A69="每日跟踪",IF(OR(B69="",H69="",I69="",J69=""),"每日数据不完整",IF(COUNTIFS($A$2:$A$497,"每日跟踪",$B$2:$B$497,B69,$H$2:$H$497,H69)&gt;1,"同一交易日期重复",IF(AND(R69&lt;&gt;"",R69&lt;S69),"人工止损无效：不能下调","跟踪有效"))),"记录类型无效")))</f>
        <v/>
      </c>
    </row>
    <row r="70" ht="17" spans="1:29">
      <c r="A70" s="2"/>
      <c r="B70" s="2"/>
      <c r="C70" s="8" t="str">
        <f>IF(B70="","",IFERROR(LOOKUP(2,1/(单次交易!$A$2:$A$163=B70),单次交易!$B$2:$B$163),""))</f>
        <v/>
      </c>
      <c r="D70" s="12"/>
      <c r="E70" s="10"/>
      <c r="F70" s="10"/>
      <c r="G70" s="2"/>
      <c r="H70" s="15"/>
      <c r="I70" s="10"/>
      <c r="J70" s="21"/>
      <c r="K70" s="13"/>
      <c r="L70" s="2"/>
      <c r="M70" s="13"/>
      <c r="N70" s="5" t="str">
        <f>IF(B70="","",IFERROR(LOOKUP(2,1/(单次交易!$A$2:$A$163=B70),单次交易!$N$2:$N$163),""))</f>
        <v/>
      </c>
      <c r="O70" s="5" t="str">
        <f t="shared" si="9"/>
        <v/>
      </c>
      <c r="P70" s="11" t="str">
        <f t="shared" si="10"/>
        <v/>
      </c>
      <c r="Q70" s="5" t="str">
        <f t="shared" si="11"/>
        <v/>
      </c>
      <c r="R70" s="10"/>
      <c r="S70" s="5" t="str">
        <f t="shared" si="12"/>
        <v/>
      </c>
      <c r="T70" s="5" t="str">
        <f t="shared" si="13"/>
        <v/>
      </c>
      <c r="U70" s="5" t="str">
        <f t="shared" si="14"/>
        <v/>
      </c>
      <c r="V70" s="7" t="str">
        <f t="shared" si="15"/>
        <v/>
      </c>
      <c r="W70" s="8" t="str">
        <f t="shared" si="16"/>
        <v/>
      </c>
      <c r="X70" s="2"/>
      <c r="Y70" s="10"/>
      <c r="Z70" s="11" t="str">
        <f>IF(X70&lt;&gt;"执行卖出","",IFERROR(LOOKUP(2,1/(单次交易!$A$2:$A$163=B70),单次交易!$AP$2:$AP$163),""))</f>
        <v/>
      </c>
      <c r="AA70" s="10"/>
      <c r="AB70" s="8" t="str">
        <f t="shared" si="17"/>
        <v/>
      </c>
      <c r="AC70" s="8" t="str">
        <f>IF(A70="","",IF(A70="止损计划",IF(OR(B70="",D70="",E70="",F70="",G70=""),"计划不完整",IF(OR(D70&lt;1,D70&lt;&gt;INT(D70)),"阶段序号无效",IF(COUNTIFS($A$2:$A$497,"止损计划",$B$2:$B$497,B70,$D$2:$D$497,D70)&gt;1,"阶段序号重复",IF(E70&lt;=IFERROR(LOOKUP(2,1/(单次交易!$A$2:$A$163=B70),单次交易!$E$2:$E$163),0),"激活价须高于买入价",IF(F70&lt;N70,"止损价不得低于初始止损",IF(F70&gt;E70,"止损价不得高于激活价",IF(AND(COUNTIFS($A$2:$A$497,"止损计划",$B$2:$B$497,B70,$D$2:$D$497,"&lt;"&amp;D70)&gt;0,OR(E70&lt;=SUMPRODUCT(MAX((($A$2:$A$497="止损计划")*($B$2:$B$497=B70)*($D$2:$D$497&lt;D70))*$E$2:$E$497)),F70&lt;SUMPRODUCT(MAX((($A$2:$A$497="止损计划")*($B$2:$B$497=B70)*($D$2:$D$497&lt;D70))*$F$2:$F$497)))),"阶段价格必须逐级提高","计划有效"))))))),IF(A70="每日跟踪",IF(OR(B70="",H70="",I70="",J70=""),"每日数据不完整",IF(COUNTIFS($A$2:$A$497,"每日跟踪",$B$2:$B$497,B70,$H$2:$H$497,H70)&gt;1,"同一交易日期重复",IF(AND(R70&lt;&gt;"",R70&lt;S70),"人工止损无效：不能下调","跟踪有效"))),"记录类型无效")))</f>
        <v/>
      </c>
    </row>
    <row r="71" ht="17" spans="1:29">
      <c r="A71" s="2"/>
      <c r="B71" s="2"/>
      <c r="C71" s="8" t="str">
        <f>IF(B71="","",IFERROR(LOOKUP(2,1/(单次交易!$A$2:$A$163=B71),单次交易!$B$2:$B$163),""))</f>
        <v/>
      </c>
      <c r="D71" s="12"/>
      <c r="E71" s="10"/>
      <c r="F71" s="10"/>
      <c r="G71" s="2"/>
      <c r="H71" s="15"/>
      <c r="I71" s="10"/>
      <c r="J71" s="21"/>
      <c r="K71" s="13"/>
      <c r="L71" s="2"/>
      <c r="M71" s="13"/>
      <c r="N71" s="5" t="str">
        <f>IF(B71="","",IFERROR(LOOKUP(2,1/(单次交易!$A$2:$A$163=B71),单次交易!$N$2:$N$163),""))</f>
        <v/>
      </c>
      <c r="O71" s="5" t="str">
        <f t="shared" si="9"/>
        <v/>
      </c>
      <c r="P71" s="11" t="str">
        <f t="shared" si="10"/>
        <v/>
      </c>
      <c r="Q71" s="5" t="str">
        <f t="shared" si="11"/>
        <v/>
      </c>
      <c r="R71" s="10"/>
      <c r="S71" s="5" t="str">
        <f t="shared" si="12"/>
        <v/>
      </c>
      <c r="T71" s="5" t="str">
        <f t="shared" si="13"/>
        <v/>
      </c>
      <c r="U71" s="5" t="str">
        <f t="shared" si="14"/>
        <v/>
      </c>
      <c r="V71" s="7" t="str">
        <f t="shared" si="15"/>
        <v/>
      </c>
      <c r="W71" s="8" t="str">
        <f t="shared" si="16"/>
        <v/>
      </c>
      <c r="X71" s="2"/>
      <c r="Y71" s="10"/>
      <c r="Z71" s="11" t="str">
        <f>IF(X71&lt;&gt;"执行卖出","",IFERROR(LOOKUP(2,1/(单次交易!$A$2:$A$163=B71),单次交易!$AP$2:$AP$163),""))</f>
        <v/>
      </c>
      <c r="AA71" s="10"/>
      <c r="AB71" s="8" t="str">
        <f t="shared" si="17"/>
        <v/>
      </c>
      <c r="AC71" s="8" t="str">
        <f>IF(A71="","",IF(A71="止损计划",IF(OR(B71="",D71="",E71="",F71="",G71=""),"计划不完整",IF(OR(D71&lt;1,D71&lt;&gt;INT(D71)),"阶段序号无效",IF(COUNTIFS($A$2:$A$497,"止损计划",$B$2:$B$497,B71,$D$2:$D$497,D71)&gt;1,"阶段序号重复",IF(E71&lt;=IFERROR(LOOKUP(2,1/(单次交易!$A$2:$A$163=B71),单次交易!$E$2:$E$163),0),"激活价须高于买入价",IF(F71&lt;N71,"止损价不得低于初始止损",IF(F71&gt;E71,"止损价不得高于激活价",IF(AND(COUNTIFS($A$2:$A$497,"止损计划",$B$2:$B$497,B71,$D$2:$D$497,"&lt;"&amp;D71)&gt;0,OR(E71&lt;=SUMPRODUCT(MAX((($A$2:$A$497="止损计划")*($B$2:$B$497=B71)*($D$2:$D$497&lt;D71))*$E$2:$E$497)),F71&lt;SUMPRODUCT(MAX((($A$2:$A$497="止损计划")*($B$2:$B$497=B71)*($D$2:$D$497&lt;D71))*$F$2:$F$497)))),"阶段价格必须逐级提高","计划有效"))))))),IF(A71="每日跟踪",IF(OR(B71="",H71="",I71="",J71=""),"每日数据不完整",IF(COUNTIFS($A$2:$A$497,"每日跟踪",$B$2:$B$497,B71,$H$2:$H$497,H71)&gt;1,"同一交易日期重复",IF(AND(R71&lt;&gt;"",R71&lt;S71),"人工止损无效：不能下调","跟踪有效"))),"记录类型无效")))</f>
        <v/>
      </c>
    </row>
    <row r="72" ht="17" spans="1:29">
      <c r="A72" s="2"/>
      <c r="B72" s="2"/>
      <c r="C72" s="8" t="str">
        <f>IF(B72="","",IFERROR(LOOKUP(2,1/(单次交易!$A$2:$A$163=B72),单次交易!$B$2:$B$163),""))</f>
        <v/>
      </c>
      <c r="D72" s="12"/>
      <c r="E72" s="10"/>
      <c r="F72" s="10"/>
      <c r="G72" s="2"/>
      <c r="H72" s="15"/>
      <c r="I72" s="10"/>
      <c r="J72" s="21"/>
      <c r="K72" s="13"/>
      <c r="L72" s="2"/>
      <c r="M72" s="13"/>
      <c r="N72" s="5" t="str">
        <f>IF(B72="","",IFERROR(LOOKUP(2,1/(单次交易!$A$2:$A$163=B72),单次交易!$N$2:$N$163),""))</f>
        <v/>
      </c>
      <c r="O72" s="5" t="str">
        <f t="shared" si="9"/>
        <v/>
      </c>
      <c r="P72" s="11" t="str">
        <f t="shared" si="10"/>
        <v/>
      </c>
      <c r="Q72" s="5" t="str">
        <f t="shared" si="11"/>
        <v/>
      </c>
      <c r="R72" s="10"/>
      <c r="S72" s="5" t="str">
        <f t="shared" si="12"/>
        <v/>
      </c>
      <c r="T72" s="5" t="str">
        <f t="shared" si="13"/>
        <v/>
      </c>
      <c r="U72" s="5" t="str">
        <f t="shared" si="14"/>
        <v/>
      </c>
      <c r="V72" s="7" t="str">
        <f t="shared" si="15"/>
        <v/>
      </c>
      <c r="W72" s="8" t="str">
        <f t="shared" si="16"/>
        <v/>
      </c>
      <c r="X72" s="2"/>
      <c r="Y72" s="10"/>
      <c r="Z72" s="11" t="str">
        <f>IF(X72&lt;&gt;"执行卖出","",IFERROR(LOOKUP(2,1/(单次交易!$A$2:$A$163=B72),单次交易!$AP$2:$AP$163),""))</f>
        <v/>
      </c>
      <c r="AA72" s="10"/>
      <c r="AB72" s="8" t="str">
        <f t="shared" si="17"/>
        <v/>
      </c>
      <c r="AC72" s="8" t="str">
        <f>IF(A72="","",IF(A72="止损计划",IF(OR(B72="",D72="",E72="",F72="",G72=""),"计划不完整",IF(OR(D72&lt;1,D72&lt;&gt;INT(D72)),"阶段序号无效",IF(COUNTIFS($A$2:$A$497,"止损计划",$B$2:$B$497,B72,$D$2:$D$497,D72)&gt;1,"阶段序号重复",IF(E72&lt;=IFERROR(LOOKUP(2,1/(单次交易!$A$2:$A$163=B72),单次交易!$E$2:$E$163),0),"激活价须高于买入价",IF(F72&lt;N72,"止损价不得低于初始止损",IF(F72&gt;E72,"止损价不得高于激活价",IF(AND(COUNTIFS($A$2:$A$497,"止损计划",$B$2:$B$497,B72,$D$2:$D$497,"&lt;"&amp;D72)&gt;0,OR(E72&lt;=SUMPRODUCT(MAX((($A$2:$A$497="止损计划")*($B$2:$B$497=B72)*($D$2:$D$497&lt;D72))*$E$2:$E$497)),F72&lt;SUMPRODUCT(MAX((($A$2:$A$497="止损计划")*($B$2:$B$497=B72)*($D$2:$D$497&lt;D72))*$F$2:$F$497)))),"阶段价格必须逐级提高","计划有效"))))))),IF(A72="每日跟踪",IF(OR(B72="",H72="",I72="",J72=""),"每日数据不完整",IF(COUNTIFS($A$2:$A$497,"每日跟踪",$B$2:$B$497,B72,$H$2:$H$497,H72)&gt;1,"同一交易日期重复",IF(AND(R72&lt;&gt;"",R72&lt;S72),"人工止损无效：不能下调","跟踪有效"))),"记录类型无效")))</f>
        <v/>
      </c>
    </row>
    <row r="73" ht="17" spans="1:29">
      <c r="A73" s="2"/>
      <c r="B73" s="2"/>
      <c r="C73" s="8" t="str">
        <f>IF(B73="","",IFERROR(LOOKUP(2,1/(单次交易!$A$2:$A$163=B73),单次交易!$B$2:$B$163),""))</f>
        <v/>
      </c>
      <c r="D73" s="12"/>
      <c r="E73" s="10"/>
      <c r="F73" s="10"/>
      <c r="G73" s="2"/>
      <c r="H73" s="15"/>
      <c r="I73" s="10"/>
      <c r="J73" s="21"/>
      <c r="K73" s="13"/>
      <c r="L73" s="2"/>
      <c r="M73" s="13"/>
      <c r="N73" s="5" t="str">
        <f>IF(B73="","",IFERROR(LOOKUP(2,1/(单次交易!$A$2:$A$163=B73),单次交易!$N$2:$N$163),""))</f>
        <v/>
      </c>
      <c r="O73" s="5" t="str">
        <f t="shared" si="9"/>
        <v/>
      </c>
      <c r="P73" s="11" t="str">
        <f t="shared" si="10"/>
        <v/>
      </c>
      <c r="Q73" s="5" t="str">
        <f t="shared" si="11"/>
        <v/>
      </c>
      <c r="R73" s="10"/>
      <c r="S73" s="5" t="str">
        <f t="shared" si="12"/>
        <v/>
      </c>
      <c r="T73" s="5" t="str">
        <f t="shared" si="13"/>
        <v/>
      </c>
      <c r="U73" s="5" t="str">
        <f t="shared" si="14"/>
        <v/>
      </c>
      <c r="V73" s="7" t="str">
        <f t="shared" si="15"/>
        <v/>
      </c>
      <c r="W73" s="8" t="str">
        <f t="shared" si="16"/>
        <v/>
      </c>
      <c r="X73" s="2"/>
      <c r="Y73" s="10"/>
      <c r="Z73" s="11" t="str">
        <f>IF(X73&lt;&gt;"执行卖出","",IFERROR(LOOKUP(2,1/(单次交易!$A$2:$A$163=B73),单次交易!$AP$2:$AP$163),""))</f>
        <v/>
      </c>
      <c r="AA73" s="10"/>
      <c r="AB73" s="8" t="str">
        <f t="shared" si="17"/>
        <v/>
      </c>
      <c r="AC73" s="8" t="str">
        <f>IF(A73="","",IF(A73="止损计划",IF(OR(B73="",D73="",E73="",F73="",G73=""),"计划不完整",IF(OR(D73&lt;1,D73&lt;&gt;INT(D73)),"阶段序号无效",IF(COUNTIFS($A$2:$A$497,"止损计划",$B$2:$B$497,B73,$D$2:$D$497,D73)&gt;1,"阶段序号重复",IF(E73&lt;=IFERROR(LOOKUP(2,1/(单次交易!$A$2:$A$163=B73),单次交易!$E$2:$E$163),0),"激活价须高于买入价",IF(F73&lt;N73,"止损价不得低于初始止损",IF(F73&gt;E73,"止损价不得高于激活价",IF(AND(COUNTIFS($A$2:$A$497,"止损计划",$B$2:$B$497,B73,$D$2:$D$497,"&lt;"&amp;D73)&gt;0,OR(E73&lt;=SUMPRODUCT(MAX((($A$2:$A$497="止损计划")*($B$2:$B$497=B73)*($D$2:$D$497&lt;D73))*$E$2:$E$497)),F73&lt;SUMPRODUCT(MAX((($A$2:$A$497="止损计划")*($B$2:$B$497=B73)*($D$2:$D$497&lt;D73))*$F$2:$F$497)))),"阶段价格必须逐级提高","计划有效"))))))),IF(A73="每日跟踪",IF(OR(B73="",H73="",I73="",J73=""),"每日数据不完整",IF(COUNTIFS($A$2:$A$497,"每日跟踪",$B$2:$B$497,B73,$H$2:$H$497,H73)&gt;1,"同一交易日期重复",IF(AND(R73&lt;&gt;"",R73&lt;S73),"人工止损无效：不能下调","跟踪有效"))),"记录类型无效")))</f>
        <v/>
      </c>
    </row>
    <row r="74" ht="17" spans="1:29">
      <c r="A74" s="2"/>
      <c r="B74" s="2"/>
      <c r="C74" s="8" t="str">
        <f>IF(B74="","",IFERROR(LOOKUP(2,1/(单次交易!$A$2:$A$163=B74),单次交易!$B$2:$B$163),""))</f>
        <v/>
      </c>
      <c r="D74" s="12"/>
      <c r="E74" s="10"/>
      <c r="F74" s="10"/>
      <c r="G74" s="2"/>
      <c r="H74" s="15"/>
      <c r="I74" s="10"/>
      <c r="J74" s="21"/>
      <c r="K74" s="13"/>
      <c r="L74" s="2"/>
      <c r="M74" s="13"/>
      <c r="N74" s="5" t="str">
        <f>IF(B74="","",IFERROR(LOOKUP(2,1/(单次交易!$A$2:$A$163=B74),单次交易!$N$2:$N$163),""))</f>
        <v/>
      </c>
      <c r="O74" s="5" t="str">
        <f t="shared" si="9"/>
        <v/>
      </c>
      <c r="P74" s="11" t="str">
        <f t="shared" si="10"/>
        <v/>
      </c>
      <c r="Q74" s="5" t="str">
        <f t="shared" si="11"/>
        <v/>
      </c>
      <c r="R74" s="10"/>
      <c r="S74" s="5" t="str">
        <f t="shared" si="12"/>
        <v/>
      </c>
      <c r="T74" s="5" t="str">
        <f t="shared" si="13"/>
        <v/>
      </c>
      <c r="U74" s="5" t="str">
        <f t="shared" si="14"/>
        <v/>
      </c>
      <c r="V74" s="7" t="str">
        <f t="shared" si="15"/>
        <v/>
      </c>
      <c r="W74" s="8" t="str">
        <f t="shared" si="16"/>
        <v/>
      </c>
      <c r="X74" s="2"/>
      <c r="Y74" s="10"/>
      <c r="Z74" s="11" t="str">
        <f>IF(X74&lt;&gt;"执行卖出","",IFERROR(LOOKUP(2,1/(单次交易!$A$2:$A$163=B74),单次交易!$AP$2:$AP$163),""))</f>
        <v/>
      </c>
      <c r="AA74" s="10"/>
      <c r="AB74" s="8" t="str">
        <f t="shared" si="17"/>
        <v/>
      </c>
      <c r="AC74" s="8" t="str">
        <f>IF(A74="","",IF(A74="止损计划",IF(OR(B74="",D74="",E74="",F74="",G74=""),"计划不完整",IF(OR(D74&lt;1,D74&lt;&gt;INT(D74)),"阶段序号无效",IF(COUNTIFS($A$2:$A$497,"止损计划",$B$2:$B$497,B74,$D$2:$D$497,D74)&gt;1,"阶段序号重复",IF(E74&lt;=IFERROR(LOOKUP(2,1/(单次交易!$A$2:$A$163=B74),单次交易!$E$2:$E$163),0),"激活价须高于买入价",IF(F74&lt;N74,"止损价不得低于初始止损",IF(F74&gt;E74,"止损价不得高于激活价",IF(AND(COUNTIFS($A$2:$A$497,"止损计划",$B$2:$B$497,B74,$D$2:$D$497,"&lt;"&amp;D74)&gt;0,OR(E74&lt;=SUMPRODUCT(MAX((($A$2:$A$497="止损计划")*($B$2:$B$497=B74)*($D$2:$D$497&lt;D74))*$E$2:$E$497)),F74&lt;SUMPRODUCT(MAX((($A$2:$A$497="止损计划")*($B$2:$B$497=B74)*($D$2:$D$497&lt;D74))*$F$2:$F$497)))),"阶段价格必须逐级提高","计划有效"))))))),IF(A74="每日跟踪",IF(OR(B74="",H74="",I74="",J74=""),"每日数据不完整",IF(COUNTIFS($A$2:$A$497,"每日跟踪",$B$2:$B$497,B74,$H$2:$H$497,H74)&gt;1,"同一交易日期重复",IF(AND(R74&lt;&gt;"",R74&lt;S74),"人工止损无效：不能下调","跟踪有效"))),"记录类型无效")))</f>
        <v/>
      </c>
    </row>
    <row r="75" ht="17" spans="1:29">
      <c r="A75" s="2"/>
      <c r="B75" s="2"/>
      <c r="C75" s="8" t="str">
        <f>IF(B75="","",IFERROR(LOOKUP(2,1/(单次交易!$A$2:$A$163=B75),单次交易!$B$2:$B$163),""))</f>
        <v/>
      </c>
      <c r="D75" s="12"/>
      <c r="E75" s="10"/>
      <c r="F75" s="10"/>
      <c r="G75" s="2"/>
      <c r="H75" s="15"/>
      <c r="I75" s="10"/>
      <c r="J75" s="12"/>
      <c r="K75" s="2"/>
      <c r="L75" s="2"/>
      <c r="M75" s="2"/>
      <c r="N75" s="5" t="str">
        <f>IF(B75="","",IFERROR(LOOKUP(2,1/(单次交易!$A$2:$A$163=B75),单次交易!$N$2:$N$163),""))</f>
        <v/>
      </c>
      <c r="O75" s="5" t="str">
        <f t="shared" si="9"/>
        <v/>
      </c>
      <c r="P75" s="11" t="str">
        <f t="shared" si="10"/>
        <v/>
      </c>
      <c r="Q75" s="5" t="str">
        <f t="shared" si="11"/>
        <v/>
      </c>
      <c r="R75" s="10"/>
      <c r="S75" s="5" t="str">
        <f t="shared" si="12"/>
        <v/>
      </c>
      <c r="T75" s="5" t="str">
        <f t="shared" si="13"/>
        <v/>
      </c>
      <c r="U75" s="5" t="str">
        <f t="shared" si="14"/>
        <v/>
      </c>
      <c r="V75" s="7" t="str">
        <f t="shared" si="15"/>
        <v/>
      </c>
      <c r="W75" s="8" t="str">
        <f t="shared" si="16"/>
        <v/>
      </c>
      <c r="X75" s="2"/>
      <c r="Y75" s="10"/>
      <c r="Z75" s="11" t="str">
        <f>IF(X75&lt;&gt;"执行卖出","",IFERROR(LOOKUP(2,1/(单次交易!$A$2:$A$163=B75),单次交易!$AP$2:$AP$163),""))</f>
        <v/>
      </c>
      <c r="AA75" s="10"/>
      <c r="AB75" s="8" t="str">
        <f t="shared" si="17"/>
        <v/>
      </c>
      <c r="AC75" s="8" t="str">
        <f>IF(A75="","",IF(A75="止损计划",IF(OR(B75="",D75="",E75="",F75="",G75=""),"计划不完整",IF(OR(D75&lt;1,D75&lt;&gt;INT(D75)),"阶段序号无效",IF(COUNTIFS($A$2:$A$497,"止损计划",$B$2:$B$497,B75,$D$2:$D$497,D75)&gt;1,"阶段序号重复",IF(E75&lt;=IFERROR(LOOKUP(2,1/(单次交易!$A$2:$A$163=B75),单次交易!$E$2:$E$163),0),"激活价须高于买入价",IF(F75&lt;N75,"止损价不得低于初始止损",IF(F75&gt;E75,"止损价不得高于激活价",IF(AND(COUNTIFS($A$2:$A$497,"止损计划",$B$2:$B$497,B75,$D$2:$D$497,"&lt;"&amp;D75)&gt;0,OR(E75&lt;=SUMPRODUCT(MAX((($A$2:$A$497="止损计划")*($B$2:$B$497=B75)*($D$2:$D$497&lt;D75))*$E$2:$E$497)),F75&lt;SUMPRODUCT(MAX((($A$2:$A$497="止损计划")*($B$2:$B$497=B75)*($D$2:$D$497&lt;D75))*$F$2:$F$497)))),"阶段价格必须逐级提高","计划有效"))))))),IF(A75="每日跟踪",IF(OR(B75="",H75="",I75="",J75=""),"每日数据不完整",IF(COUNTIFS($A$2:$A$497,"每日跟踪",$B$2:$B$497,B75,$H$2:$H$497,H75)&gt;1,"同一交易日期重复",IF(AND(R75&lt;&gt;"",R75&lt;S75),"人工止损无效：不能下调","跟踪有效"))),"记录类型无效")))</f>
        <v/>
      </c>
    </row>
    <row r="76" ht="17" spans="1:29">
      <c r="A76" s="2"/>
      <c r="B76" s="2"/>
      <c r="C76" s="8" t="str">
        <f>IF(B76="","",IFERROR(LOOKUP(2,1/(单次交易!$A$2:$A$163=B76),单次交易!$B$2:$B$163),""))</f>
        <v/>
      </c>
      <c r="D76" s="12"/>
      <c r="E76" s="10"/>
      <c r="F76" s="10"/>
      <c r="G76" s="2"/>
      <c r="H76" s="15"/>
      <c r="I76" s="10"/>
      <c r="J76" s="12"/>
      <c r="K76" s="2"/>
      <c r="L76" s="2"/>
      <c r="M76" s="2"/>
      <c r="N76" s="5" t="str">
        <f>IF(B76="","",IFERROR(LOOKUP(2,1/(单次交易!$A$2:$A$163=B76),单次交易!$N$2:$N$163),""))</f>
        <v/>
      </c>
      <c r="O76" s="5" t="str">
        <f t="shared" si="9"/>
        <v/>
      </c>
      <c r="P76" s="11" t="str">
        <f t="shared" si="10"/>
        <v/>
      </c>
      <c r="Q76" s="5" t="str">
        <f t="shared" si="11"/>
        <v/>
      </c>
      <c r="R76" s="10"/>
      <c r="S76" s="5" t="str">
        <f t="shared" si="12"/>
        <v/>
      </c>
      <c r="T76" s="5" t="str">
        <f t="shared" si="13"/>
        <v/>
      </c>
      <c r="U76" s="5" t="str">
        <f t="shared" si="14"/>
        <v/>
      </c>
      <c r="V76" s="7" t="str">
        <f t="shared" si="15"/>
        <v/>
      </c>
      <c r="W76" s="8" t="str">
        <f t="shared" si="16"/>
        <v/>
      </c>
      <c r="X76" s="2"/>
      <c r="Y76" s="10"/>
      <c r="Z76" s="11" t="str">
        <f>IF(X76&lt;&gt;"执行卖出","",IFERROR(LOOKUP(2,1/(单次交易!$A$2:$A$163=B76),单次交易!$AP$2:$AP$163),""))</f>
        <v/>
      </c>
      <c r="AA76" s="10"/>
      <c r="AB76" s="8" t="str">
        <f t="shared" si="17"/>
        <v/>
      </c>
      <c r="AC76" s="8" t="str">
        <f>IF(A76="","",IF(A76="止损计划",IF(OR(B76="",D76="",E76="",F76="",G76=""),"计划不完整",IF(OR(D76&lt;1,D76&lt;&gt;INT(D76)),"阶段序号无效",IF(COUNTIFS($A$2:$A$497,"止损计划",$B$2:$B$497,B76,$D$2:$D$497,D76)&gt;1,"阶段序号重复",IF(E76&lt;=IFERROR(LOOKUP(2,1/(单次交易!$A$2:$A$163=B76),单次交易!$E$2:$E$163),0),"激活价须高于买入价",IF(F76&lt;N76,"止损价不得低于初始止损",IF(F76&gt;E76,"止损价不得高于激活价",IF(AND(COUNTIFS($A$2:$A$497,"止损计划",$B$2:$B$497,B76,$D$2:$D$497,"&lt;"&amp;D76)&gt;0,OR(E76&lt;=SUMPRODUCT(MAX((($A$2:$A$497="止损计划")*($B$2:$B$497=B76)*($D$2:$D$497&lt;D76))*$E$2:$E$497)),F76&lt;SUMPRODUCT(MAX((($A$2:$A$497="止损计划")*($B$2:$B$497=B76)*($D$2:$D$497&lt;D76))*$F$2:$F$497)))),"阶段价格必须逐级提高","计划有效"))))))),IF(A76="每日跟踪",IF(OR(B76="",H76="",I76="",J76=""),"每日数据不完整",IF(COUNTIFS($A$2:$A$497,"每日跟踪",$B$2:$B$497,B76,$H$2:$H$497,H76)&gt;1,"同一交易日期重复",IF(AND(R76&lt;&gt;"",R76&lt;S76),"人工止损无效：不能下调","跟踪有效"))),"记录类型无效")))</f>
        <v/>
      </c>
    </row>
    <row r="77" ht="17" spans="1:29">
      <c r="A77" s="2"/>
      <c r="B77" s="2"/>
      <c r="C77" s="8" t="str">
        <f>IF(B77="","",IFERROR(LOOKUP(2,1/(单次交易!$A$2:$A$163=B77),单次交易!$B$2:$B$163),""))</f>
        <v/>
      </c>
      <c r="D77" s="12"/>
      <c r="E77" s="10"/>
      <c r="F77" s="10"/>
      <c r="G77" s="2"/>
      <c r="H77" s="15"/>
      <c r="I77" s="10"/>
      <c r="J77" s="12"/>
      <c r="K77" s="2"/>
      <c r="L77" s="2"/>
      <c r="M77" s="2"/>
      <c r="N77" s="5" t="str">
        <f>IF(B77="","",IFERROR(LOOKUP(2,1/(单次交易!$A$2:$A$163=B77),单次交易!$N$2:$N$163),""))</f>
        <v/>
      </c>
      <c r="O77" s="5" t="str">
        <f t="shared" si="9"/>
        <v/>
      </c>
      <c r="P77" s="11" t="str">
        <f t="shared" si="10"/>
        <v/>
      </c>
      <c r="Q77" s="5" t="str">
        <f t="shared" si="11"/>
        <v/>
      </c>
      <c r="R77" s="10"/>
      <c r="S77" s="5" t="str">
        <f t="shared" si="12"/>
        <v/>
      </c>
      <c r="T77" s="5" t="str">
        <f t="shared" si="13"/>
        <v/>
      </c>
      <c r="U77" s="5" t="str">
        <f t="shared" si="14"/>
        <v/>
      </c>
      <c r="V77" s="7" t="str">
        <f t="shared" si="15"/>
        <v/>
      </c>
      <c r="W77" s="8" t="str">
        <f t="shared" si="16"/>
        <v/>
      </c>
      <c r="X77" s="2"/>
      <c r="Y77" s="10"/>
      <c r="Z77" s="11" t="str">
        <f>IF(X77&lt;&gt;"执行卖出","",IFERROR(LOOKUP(2,1/(单次交易!$A$2:$A$163=B77),单次交易!$AP$2:$AP$163),""))</f>
        <v/>
      </c>
      <c r="AA77" s="10"/>
      <c r="AB77" s="8" t="str">
        <f t="shared" si="17"/>
        <v/>
      </c>
      <c r="AC77" s="8" t="str">
        <f>IF(A77="","",IF(A77="止损计划",IF(OR(B77="",D77="",E77="",F77="",G77=""),"计划不完整",IF(OR(D77&lt;1,D77&lt;&gt;INT(D77)),"阶段序号无效",IF(COUNTIFS($A$2:$A$497,"止损计划",$B$2:$B$497,B77,$D$2:$D$497,D77)&gt;1,"阶段序号重复",IF(E77&lt;=IFERROR(LOOKUP(2,1/(单次交易!$A$2:$A$163=B77),单次交易!$E$2:$E$163),0),"激活价须高于买入价",IF(F77&lt;N77,"止损价不得低于初始止损",IF(F77&gt;E77,"止损价不得高于激活价",IF(AND(COUNTIFS($A$2:$A$497,"止损计划",$B$2:$B$497,B77,$D$2:$D$497,"&lt;"&amp;D77)&gt;0,OR(E77&lt;=SUMPRODUCT(MAX((($A$2:$A$497="止损计划")*($B$2:$B$497=B77)*($D$2:$D$497&lt;D77))*$E$2:$E$497)),F77&lt;SUMPRODUCT(MAX((($A$2:$A$497="止损计划")*($B$2:$B$497=B77)*($D$2:$D$497&lt;D77))*$F$2:$F$497)))),"阶段价格必须逐级提高","计划有效"))))))),IF(A77="每日跟踪",IF(OR(B77="",H77="",I77="",J77=""),"每日数据不完整",IF(COUNTIFS($A$2:$A$497,"每日跟踪",$B$2:$B$497,B77,$H$2:$H$497,H77)&gt;1,"同一交易日期重复",IF(AND(R77&lt;&gt;"",R77&lt;S77),"人工止损无效：不能下调","跟踪有效"))),"记录类型无效")))</f>
        <v/>
      </c>
    </row>
    <row r="78" ht="17" spans="1:29">
      <c r="A78" s="2"/>
      <c r="B78" s="2"/>
      <c r="C78" s="8" t="str">
        <f>IF(B78="","",IFERROR(LOOKUP(2,1/(单次交易!$A$2:$A$163=B78),单次交易!$B$2:$B$163),""))</f>
        <v/>
      </c>
      <c r="D78" s="12"/>
      <c r="E78" s="10"/>
      <c r="F78" s="10"/>
      <c r="G78" s="2"/>
      <c r="H78" s="15"/>
      <c r="I78" s="10"/>
      <c r="J78" s="12"/>
      <c r="K78" s="2"/>
      <c r="L78" s="2"/>
      <c r="M78" s="2"/>
      <c r="N78" s="5" t="str">
        <f>IF(B78="","",IFERROR(LOOKUP(2,1/(单次交易!$A$2:$A$163=B78),单次交易!$N$2:$N$163),""))</f>
        <v/>
      </c>
      <c r="O78" s="5" t="str">
        <f t="shared" si="9"/>
        <v/>
      </c>
      <c r="P78" s="11" t="str">
        <f t="shared" si="10"/>
        <v/>
      </c>
      <c r="Q78" s="5" t="str">
        <f t="shared" si="11"/>
        <v/>
      </c>
      <c r="R78" s="10"/>
      <c r="S78" s="5" t="str">
        <f t="shared" si="12"/>
        <v/>
      </c>
      <c r="T78" s="5" t="str">
        <f t="shared" si="13"/>
        <v/>
      </c>
      <c r="U78" s="5" t="str">
        <f t="shared" si="14"/>
        <v/>
      </c>
      <c r="V78" s="7" t="str">
        <f t="shared" si="15"/>
        <v/>
      </c>
      <c r="W78" s="8" t="str">
        <f t="shared" si="16"/>
        <v/>
      </c>
      <c r="X78" s="2"/>
      <c r="Y78" s="10"/>
      <c r="Z78" s="11" t="str">
        <f>IF(X78&lt;&gt;"执行卖出","",IFERROR(LOOKUP(2,1/(单次交易!$A$2:$A$163=B78),单次交易!$AP$2:$AP$163),""))</f>
        <v/>
      </c>
      <c r="AA78" s="10"/>
      <c r="AB78" s="8" t="str">
        <f t="shared" si="17"/>
        <v/>
      </c>
      <c r="AC78" s="8" t="str">
        <f>IF(A78="","",IF(A78="止损计划",IF(OR(B78="",D78="",E78="",F78="",G78=""),"计划不完整",IF(OR(D78&lt;1,D78&lt;&gt;INT(D78)),"阶段序号无效",IF(COUNTIFS($A$2:$A$497,"止损计划",$B$2:$B$497,B78,$D$2:$D$497,D78)&gt;1,"阶段序号重复",IF(E78&lt;=IFERROR(LOOKUP(2,1/(单次交易!$A$2:$A$163=B78),单次交易!$E$2:$E$163),0),"激活价须高于买入价",IF(F78&lt;N78,"止损价不得低于初始止损",IF(F78&gt;E78,"止损价不得高于激活价",IF(AND(COUNTIFS($A$2:$A$497,"止损计划",$B$2:$B$497,B78,$D$2:$D$497,"&lt;"&amp;D78)&gt;0,OR(E78&lt;=SUMPRODUCT(MAX((($A$2:$A$497="止损计划")*($B$2:$B$497=B78)*($D$2:$D$497&lt;D78))*$E$2:$E$497)),F78&lt;SUMPRODUCT(MAX((($A$2:$A$497="止损计划")*($B$2:$B$497=B78)*($D$2:$D$497&lt;D78))*$F$2:$F$497)))),"阶段价格必须逐级提高","计划有效"))))))),IF(A78="每日跟踪",IF(OR(B78="",H78="",I78="",J78=""),"每日数据不完整",IF(COUNTIFS($A$2:$A$497,"每日跟踪",$B$2:$B$497,B78,$H$2:$H$497,H78)&gt;1,"同一交易日期重复",IF(AND(R78&lt;&gt;"",R78&lt;S78),"人工止损无效：不能下调","跟踪有效"))),"记录类型无效")))</f>
        <v/>
      </c>
    </row>
    <row r="79" ht="17" spans="1:29">
      <c r="A79" s="2"/>
      <c r="B79" s="2"/>
      <c r="C79" s="8" t="str">
        <f>IF(B79="","",IFERROR(LOOKUP(2,1/(单次交易!$A$2:$A$163=B79),单次交易!$B$2:$B$163),""))</f>
        <v/>
      </c>
      <c r="D79" s="12"/>
      <c r="E79" s="10"/>
      <c r="F79" s="10"/>
      <c r="G79" s="2"/>
      <c r="H79" s="15"/>
      <c r="I79" s="10"/>
      <c r="J79" s="12"/>
      <c r="K79" s="2"/>
      <c r="L79" s="2"/>
      <c r="M79" s="2"/>
      <c r="N79" s="5" t="str">
        <f>IF(B79="","",IFERROR(LOOKUP(2,1/(单次交易!$A$2:$A$163=B79),单次交易!$N$2:$N$163),""))</f>
        <v/>
      </c>
      <c r="O79" s="5" t="str">
        <f t="shared" si="9"/>
        <v/>
      </c>
      <c r="P79" s="11" t="str">
        <f t="shared" si="10"/>
        <v/>
      </c>
      <c r="Q79" s="5" t="str">
        <f t="shared" si="11"/>
        <v/>
      </c>
      <c r="R79" s="10"/>
      <c r="S79" s="5" t="str">
        <f t="shared" si="12"/>
        <v/>
      </c>
      <c r="T79" s="5" t="str">
        <f t="shared" si="13"/>
        <v/>
      </c>
      <c r="U79" s="5" t="str">
        <f t="shared" si="14"/>
        <v/>
      </c>
      <c r="V79" s="7" t="str">
        <f t="shared" si="15"/>
        <v/>
      </c>
      <c r="W79" s="8" t="str">
        <f t="shared" si="16"/>
        <v/>
      </c>
      <c r="X79" s="2"/>
      <c r="Y79" s="10"/>
      <c r="Z79" s="11" t="str">
        <f>IF(X79&lt;&gt;"执行卖出","",IFERROR(LOOKUP(2,1/(单次交易!$A$2:$A$163=B79),单次交易!$AP$2:$AP$163),""))</f>
        <v/>
      </c>
      <c r="AA79" s="10"/>
      <c r="AB79" s="8" t="str">
        <f t="shared" si="17"/>
        <v/>
      </c>
      <c r="AC79" s="8" t="str">
        <f>IF(A79="","",IF(A79="止损计划",IF(OR(B79="",D79="",E79="",F79="",G79=""),"计划不完整",IF(OR(D79&lt;1,D79&lt;&gt;INT(D79)),"阶段序号无效",IF(COUNTIFS($A$2:$A$497,"止损计划",$B$2:$B$497,B79,$D$2:$D$497,D79)&gt;1,"阶段序号重复",IF(E79&lt;=IFERROR(LOOKUP(2,1/(单次交易!$A$2:$A$163=B79),单次交易!$E$2:$E$163),0),"激活价须高于买入价",IF(F79&lt;N79,"止损价不得低于初始止损",IF(F79&gt;E79,"止损价不得高于激活价",IF(AND(COUNTIFS($A$2:$A$497,"止损计划",$B$2:$B$497,B79,$D$2:$D$497,"&lt;"&amp;D79)&gt;0,OR(E79&lt;=SUMPRODUCT(MAX((($A$2:$A$497="止损计划")*($B$2:$B$497=B79)*($D$2:$D$497&lt;D79))*$E$2:$E$497)),F79&lt;SUMPRODUCT(MAX((($A$2:$A$497="止损计划")*($B$2:$B$497=B79)*($D$2:$D$497&lt;D79))*$F$2:$F$497)))),"阶段价格必须逐级提高","计划有效"))))))),IF(A79="每日跟踪",IF(OR(B79="",H79="",I79="",J79=""),"每日数据不完整",IF(COUNTIFS($A$2:$A$497,"每日跟踪",$B$2:$B$497,B79,$H$2:$H$497,H79)&gt;1,"同一交易日期重复",IF(AND(R79&lt;&gt;"",R79&lt;S79),"人工止损无效：不能下调","跟踪有效"))),"记录类型无效")))</f>
        <v/>
      </c>
    </row>
    <row r="80" ht="17" spans="1:29">
      <c r="A80" s="2"/>
      <c r="B80" s="2"/>
      <c r="C80" s="8" t="str">
        <f>IF(B80="","",IFERROR(LOOKUP(2,1/(单次交易!$A$2:$A$163=B80),单次交易!$B$2:$B$163),""))</f>
        <v/>
      </c>
      <c r="D80" s="12"/>
      <c r="E80" s="10"/>
      <c r="F80" s="10"/>
      <c r="G80" s="2"/>
      <c r="H80" s="15"/>
      <c r="I80" s="10"/>
      <c r="J80" s="12"/>
      <c r="K80" s="2"/>
      <c r="L80" s="2"/>
      <c r="M80" s="2"/>
      <c r="N80" s="5" t="str">
        <f>IF(B80="","",IFERROR(LOOKUP(2,1/(单次交易!$A$2:$A$163=B80),单次交易!$N$2:$N$163),""))</f>
        <v/>
      </c>
      <c r="O80" s="5" t="str">
        <f t="shared" si="9"/>
        <v/>
      </c>
      <c r="P80" s="11" t="str">
        <f t="shared" si="10"/>
        <v/>
      </c>
      <c r="Q80" s="5" t="str">
        <f t="shared" si="11"/>
        <v/>
      </c>
      <c r="R80" s="10"/>
      <c r="S80" s="5" t="str">
        <f t="shared" si="12"/>
        <v/>
      </c>
      <c r="T80" s="5" t="str">
        <f t="shared" si="13"/>
        <v/>
      </c>
      <c r="U80" s="5" t="str">
        <f t="shared" si="14"/>
        <v/>
      </c>
      <c r="V80" s="7" t="str">
        <f t="shared" si="15"/>
        <v/>
      </c>
      <c r="W80" s="8" t="str">
        <f t="shared" si="16"/>
        <v/>
      </c>
      <c r="X80" s="2"/>
      <c r="Y80" s="10"/>
      <c r="Z80" s="11" t="str">
        <f>IF(X80&lt;&gt;"执行卖出","",IFERROR(LOOKUP(2,1/(单次交易!$A$2:$A$163=B80),单次交易!$AP$2:$AP$163),""))</f>
        <v/>
      </c>
      <c r="AA80" s="10"/>
      <c r="AB80" s="8" t="str">
        <f t="shared" si="17"/>
        <v/>
      </c>
      <c r="AC80" s="8" t="str">
        <f>IF(A80="","",IF(A80="止损计划",IF(OR(B80="",D80="",E80="",F80="",G80=""),"计划不完整",IF(OR(D80&lt;1,D80&lt;&gt;INT(D80)),"阶段序号无效",IF(COUNTIFS($A$2:$A$497,"止损计划",$B$2:$B$497,B80,$D$2:$D$497,D80)&gt;1,"阶段序号重复",IF(E80&lt;=IFERROR(LOOKUP(2,1/(单次交易!$A$2:$A$163=B80),单次交易!$E$2:$E$163),0),"激活价须高于买入价",IF(F80&lt;N80,"止损价不得低于初始止损",IF(F80&gt;E80,"止损价不得高于激活价",IF(AND(COUNTIFS($A$2:$A$497,"止损计划",$B$2:$B$497,B80,$D$2:$D$497,"&lt;"&amp;D80)&gt;0,OR(E80&lt;=SUMPRODUCT(MAX((($A$2:$A$497="止损计划")*($B$2:$B$497=B80)*($D$2:$D$497&lt;D80))*$E$2:$E$497)),F80&lt;SUMPRODUCT(MAX((($A$2:$A$497="止损计划")*($B$2:$B$497=B80)*($D$2:$D$497&lt;D80))*$F$2:$F$497)))),"阶段价格必须逐级提高","计划有效"))))))),IF(A80="每日跟踪",IF(OR(B80="",H80="",I80="",J80=""),"每日数据不完整",IF(COUNTIFS($A$2:$A$497,"每日跟踪",$B$2:$B$497,B80,$H$2:$H$497,H80)&gt;1,"同一交易日期重复",IF(AND(R80&lt;&gt;"",R80&lt;S80),"人工止损无效：不能下调","跟踪有效"))),"记录类型无效")))</f>
        <v/>
      </c>
    </row>
    <row r="81" ht="17" spans="1:29">
      <c r="A81" s="2"/>
      <c r="B81" s="2"/>
      <c r="C81" s="8" t="str">
        <f>IF(B81="","",IFERROR(LOOKUP(2,1/(单次交易!$A$2:$A$163=B81),单次交易!$B$2:$B$163),""))</f>
        <v/>
      </c>
      <c r="D81" s="12"/>
      <c r="E81" s="10"/>
      <c r="F81" s="10"/>
      <c r="G81" s="2"/>
      <c r="H81" s="15"/>
      <c r="I81" s="10"/>
      <c r="J81" s="12"/>
      <c r="K81" s="2"/>
      <c r="L81" s="2"/>
      <c r="M81" s="2"/>
      <c r="N81" s="5" t="str">
        <f>IF(B81="","",IFERROR(LOOKUP(2,1/(单次交易!$A$2:$A$163=B81),单次交易!$N$2:$N$163),""))</f>
        <v/>
      </c>
      <c r="O81" s="5" t="str">
        <f t="shared" si="9"/>
        <v/>
      </c>
      <c r="P81" s="11" t="str">
        <f t="shared" si="10"/>
        <v/>
      </c>
      <c r="Q81" s="5" t="str">
        <f t="shared" si="11"/>
        <v/>
      </c>
      <c r="R81" s="10"/>
      <c r="S81" s="5" t="str">
        <f t="shared" si="12"/>
        <v/>
      </c>
      <c r="T81" s="5" t="str">
        <f t="shared" si="13"/>
        <v/>
      </c>
      <c r="U81" s="5" t="str">
        <f t="shared" si="14"/>
        <v/>
      </c>
      <c r="V81" s="7" t="str">
        <f t="shared" si="15"/>
        <v/>
      </c>
      <c r="W81" s="8" t="str">
        <f t="shared" si="16"/>
        <v/>
      </c>
      <c r="X81" s="2"/>
      <c r="Y81" s="10"/>
      <c r="Z81" s="11" t="str">
        <f>IF(X81&lt;&gt;"执行卖出","",IFERROR(LOOKUP(2,1/(单次交易!$A$2:$A$163=B81),单次交易!$AP$2:$AP$163),""))</f>
        <v/>
      </c>
      <c r="AA81" s="10"/>
      <c r="AB81" s="8" t="str">
        <f t="shared" si="17"/>
        <v/>
      </c>
      <c r="AC81" s="8" t="str">
        <f>IF(A81="","",IF(A81="止损计划",IF(OR(B81="",D81="",E81="",F81="",G81=""),"计划不完整",IF(OR(D81&lt;1,D81&lt;&gt;INT(D81)),"阶段序号无效",IF(COUNTIFS($A$2:$A$497,"止损计划",$B$2:$B$497,B81,$D$2:$D$497,D81)&gt;1,"阶段序号重复",IF(E81&lt;=IFERROR(LOOKUP(2,1/(单次交易!$A$2:$A$163=B81),单次交易!$E$2:$E$163),0),"激活价须高于买入价",IF(F81&lt;N81,"止损价不得低于初始止损",IF(F81&gt;E81,"止损价不得高于激活价",IF(AND(COUNTIFS($A$2:$A$497,"止损计划",$B$2:$B$497,B81,$D$2:$D$497,"&lt;"&amp;D81)&gt;0,OR(E81&lt;=SUMPRODUCT(MAX((($A$2:$A$497="止损计划")*($B$2:$B$497=B81)*($D$2:$D$497&lt;D81))*$E$2:$E$497)),F81&lt;SUMPRODUCT(MAX((($A$2:$A$497="止损计划")*($B$2:$B$497=B81)*($D$2:$D$497&lt;D81))*$F$2:$F$497)))),"阶段价格必须逐级提高","计划有效"))))))),IF(A81="每日跟踪",IF(OR(B81="",H81="",I81="",J81=""),"每日数据不完整",IF(COUNTIFS($A$2:$A$497,"每日跟踪",$B$2:$B$497,B81,$H$2:$H$497,H81)&gt;1,"同一交易日期重复",IF(AND(R81&lt;&gt;"",R81&lt;S81),"人工止损无效：不能下调","跟踪有效"))),"记录类型无效")))</f>
        <v/>
      </c>
    </row>
    <row r="82" ht="17" spans="1:29">
      <c r="A82" s="2"/>
      <c r="B82" s="2"/>
      <c r="C82" s="8" t="str">
        <f>IF(B82="","",IFERROR(LOOKUP(2,1/(单次交易!$A$2:$A$163=B82),单次交易!$B$2:$B$163),""))</f>
        <v/>
      </c>
      <c r="D82" s="12"/>
      <c r="E82" s="10"/>
      <c r="F82" s="10"/>
      <c r="G82" s="2"/>
      <c r="H82" s="15"/>
      <c r="I82" s="10"/>
      <c r="J82" s="12"/>
      <c r="K82" s="2"/>
      <c r="L82" s="2"/>
      <c r="M82" s="2"/>
      <c r="N82" s="5" t="str">
        <f>IF(B82="","",IFERROR(LOOKUP(2,1/(单次交易!$A$2:$A$163=B82),单次交易!$N$2:$N$163),""))</f>
        <v/>
      </c>
      <c r="O82" s="5" t="str">
        <f t="shared" si="9"/>
        <v/>
      </c>
      <c r="P82" s="11" t="str">
        <f t="shared" si="10"/>
        <v/>
      </c>
      <c r="Q82" s="5" t="str">
        <f t="shared" si="11"/>
        <v/>
      </c>
      <c r="R82" s="10"/>
      <c r="S82" s="5" t="str">
        <f t="shared" si="12"/>
        <v/>
      </c>
      <c r="T82" s="5" t="str">
        <f t="shared" si="13"/>
        <v/>
      </c>
      <c r="U82" s="5" t="str">
        <f t="shared" si="14"/>
        <v/>
      </c>
      <c r="V82" s="7" t="str">
        <f t="shared" si="15"/>
        <v/>
      </c>
      <c r="W82" s="8" t="str">
        <f t="shared" si="16"/>
        <v/>
      </c>
      <c r="X82" s="2"/>
      <c r="Y82" s="10"/>
      <c r="Z82" s="11" t="str">
        <f>IF(X82&lt;&gt;"执行卖出","",IFERROR(LOOKUP(2,1/(单次交易!$A$2:$A$163=B82),单次交易!$AP$2:$AP$163),""))</f>
        <v/>
      </c>
      <c r="AA82" s="10"/>
      <c r="AB82" s="8" t="str">
        <f t="shared" si="17"/>
        <v/>
      </c>
      <c r="AC82" s="8" t="str">
        <f>IF(A82="","",IF(A82="止损计划",IF(OR(B82="",D82="",E82="",F82="",G82=""),"计划不完整",IF(OR(D82&lt;1,D82&lt;&gt;INT(D82)),"阶段序号无效",IF(COUNTIFS($A$2:$A$497,"止损计划",$B$2:$B$497,B82,$D$2:$D$497,D82)&gt;1,"阶段序号重复",IF(E82&lt;=IFERROR(LOOKUP(2,1/(单次交易!$A$2:$A$163=B82),单次交易!$E$2:$E$163),0),"激活价须高于买入价",IF(F82&lt;N82,"止损价不得低于初始止损",IF(F82&gt;E82,"止损价不得高于激活价",IF(AND(COUNTIFS($A$2:$A$497,"止损计划",$B$2:$B$497,B82,$D$2:$D$497,"&lt;"&amp;D82)&gt;0,OR(E82&lt;=SUMPRODUCT(MAX((($A$2:$A$497="止损计划")*($B$2:$B$497=B82)*($D$2:$D$497&lt;D82))*$E$2:$E$497)),F82&lt;SUMPRODUCT(MAX((($A$2:$A$497="止损计划")*($B$2:$B$497=B82)*($D$2:$D$497&lt;D82))*$F$2:$F$497)))),"阶段价格必须逐级提高","计划有效"))))))),IF(A82="每日跟踪",IF(OR(B82="",H82="",I82="",J82=""),"每日数据不完整",IF(COUNTIFS($A$2:$A$497,"每日跟踪",$B$2:$B$497,B82,$H$2:$H$497,H82)&gt;1,"同一交易日期重复",IF(AND(R82&lt;&gt;"",R82&lt;S82),"人工止损无效：不能下调","跟踪有效"))),"记录类型无效")))</f>
        <v/>
      </c>
    </row>
    <row r="83" ht="17" spans="1:29">
      <c r="A83" s="2"/>
      <c r="B83" s="2"/>
      <c r="C83" s="8" t="str">
        <f>IF(B83="","",IFERROR(LOOKUP(2,1/(单次交易!$A$2:$A$163=B83),单次交易!$B$2:$B$163),""))</f>
        <v/>
      </c>
      <c r="D83" s="12"/>
      <c r="E83" s="10"/>
      <c r="F83" s="10"/>
      <c r="G83" s="2"/>
      <c r="H83" s="15"/>
      <c r="I83" s="10"/>
      <c r="J83" s="12"/>
      <c r="K83" s="2"/>
      <c r="L83" s="2"/>
      <c r="M83" s="2"/>
      <c r="N83" s="5" t="str">
        <f>IF(B83="","",IFERROR(LOOKUP(2,1/(单次交易!$A$2:$A$163=B83),单次交易!$N$2:$N$163),""))</f>
        <v/>
      </c>
      <c r="O83" s="5" t="str">
        <f t="shared" si="9"/>
        <v/>
      </c>
      <c r="P83" s="11" t="str">
        <f t="shared" si="10"/>
        <v/>
      </c>
      <c r="Q83" s="5" t="str">
        <f t="shared" si="11"/>
        <v/>
      </c>
      <c r="R83" s="10"/>
      <c r="S83" s="5" t="str">
        <f t="shared" si="12"/>
        <v/>
      </c>
      <c r="T83" s="5" t="str">
        <f t="shared" si="13"/>
        <v/>
      </c>
      <c r="U83" s="5" t="str">
        <f t="shared" si="14"/>
        <v/>
      </c>
      <c r="V83" s="7" t="str">
        <f t="shared" si="15"/>
        <v/>
      </c>
      <c r="W83" s="8" t="str">
        <f t="shared" si="16"/>
        <v/>
      </c>
      <c r="X83" s="2"/>
      <c r="Y83" s="10"/>
      <c r="Z83" s="11" t="str">
        <f>IF(X83&lt;&gt;"执行卖出","",IFERROR(LOOKUP(2,1/(单次交易!$A$2:$A$163=B83),单次交易!$AP$2:$AP$163),""))</f>
        <v/>
      </c>
      <c r="AA83" s="10"/>
      <c r="AB83" s="8" t="str">
        <f t="shared" si="17"/>
        <v/>
      </c>
      <c r="AC83" s="8" t="str">
        <f>IF(A83="","",IF(A83="止损计划",IF(OR(B83="",D83="",E83="",F83="",G83=""),"计划不完整",IF(OR(D83&lt;1,D83&lt;&gt;INT(D83)),"阶段序号无效",IF(COUNTIFS($A$2:$A$497,"止损计划",$B$2:$B$497,B83,$D$2:$D$497,D83)&gt;1,"阶段序号重复",IF(E83&lt;=IFERROR(LOOKUP(2,1/(单次交易!$A$2:$A$163=B83),单次交易!$E$2:$E$163),0),"激活价须高于买入价",IF(F83&lt;N83,"止损价不得低于初始止损",IF(F83&gt;E83,"止损价不得高于激活价",IF(AND(COUNTIFS($A$2:$A$497,"止损计划",$B$2:$B$497,B83,$D$2:$D$497,"&lt;"&amp;D83)&gt;0,OR(E83&lt;=SUMPRODUCT(MAX((($A$2:$A$497="止损计划")*($B$2:$B$497=B83)*($D$2:$D$497&lt;D83))*$E$2:$E$497)),F83&lt;SUMPRODUCT(MAX((($A$2:$A$497="止损计划")*($B$2:$B$497=B83)*($D$2:$D$497&lt;D83))*$F$2:$F$497)))),"阶段价格必须逐级提高","计划有效"))))))),IF(A83="每日跟踪",IF(OR(B83="",H83="",I83="",J83=""),"每日数据不完整",IF(COUNTIFS($A$2:$A$497,"每日跟踪",$B$2:$B$497,B83,$H$2:$H$497,H83)&gt;1,"同一交易日期重复",IF(AND(R83&lt;&gt;"",R83&lt;S83),"人工止损无效：不能下调","跟踪有效"))),"记录类型无效")))</f>
        <v/>
      </c>
    </row>
    <row r="84" ht="17" spans="1:29">
      <c r="A84" s="2"/>
      <c r="B84" s="2"/>
      <c r="C84" s="8" t="str">
        <f>IF(B84="","",IFERROR(LOOKUP(2,1/(单次交易!$A$2:$A$163=B84),单次交易!$B$2:$B$163),""))</f>
        <v/>
      </c>
      <c r="D84" s="12"/>
      <c r="E84" s="10"/>
      <c r="F84" s="10"/>
      <c r="G84" s="2"/>
      <c r="H84" s="15"/>
      <c r="I84" s="10"/>
      <c r="J84" s="12"/>
      <c r="K84" s="2"/>
      <c r="L84" s="2"/>
      <c r="M84" s="2"/>
      <c r="N84" s="5" t="str">
        <f>IF(B84="","",IFERROR(LOOKUP(2,1/(单次交易!$A$2:$A$163=B84),单次交易!$N$2:$N$163),""))</f>
        <v/>
      </c>
      <c r="O84" s="5" t="str">
        <f t="shared" si="9"/>
        <v/>
      </c>
      <c r="P84" s="11" t="str">
        <f t="shared" si="10"/>
        <v/>
      </c>
      <c r="Q84" s="5" t="str">
        <f t="shared" si="11"/>
        <v/>
      </c>
      <c r="R84" s="10"/>
      <c r="S84" s="5" t="str">
        <f t="shared" si="12"/>
        <v/>
      </c>
      <c r="T84" s="5" t="str">
        <f t="shared" si="13"/>
        <v/>
      </c>
      <c r="U84" s="5" t="str">
        <f t="shared" si="14"/>
        <v/>
      </c>
      <c r="V84" s="7" t="str">
        <f t="shared" si="15"/>
        <v/>
      </c>
      <c r="W84" s="8" t="str">
        <f t="shared" si="16"/>
        <v/>
      </c>
      <c r="X84" s="2"/>
      <c r="Y84" s="10"/>
      <c r="Z84" s="11" t="str">
        <f>IF(X84&lt;&gt;"执行卖出","",IFERROR(LOOKUP(2,1/(单次交易!$A$2:$A$163=B84),单次交易!$AP$2:$AP$163),""))</f>
        <v/>
      </c>
      <c r="AA84" s="10"/>
      <c r="AB84" s="8" t="str">
        <f t="shared" si="17"/>
        <v/>
      </c>
      <c r="AC84" s="8" t="str">
        <f>IF(A84="","",IF(A84="止损计划",IF(OR(B84="",D84="",E84="",F84="",G84=""),"计划不完整",IF(OR(D84&lt;1,D84&lt;&gt;INT(D84)),"阶段序号无效",IF(COUNTIFS($A$2:$A$497,"止损计划",$B$2:$B$497,B84,$D$2:$D$497,D84)&gt;1,"阶段序号重复",IF(E84&lt;=IFERROR(LOOKUP(2,1/(单次交易!$A$2:$A$163=B84),单次交易!$E$2:$E$163),0),"激活价须高于买入价",IF(F84&lt;N84,"止损价不得低于初始止损",IF(F84&gt;E84,"止损价不得高于激活价",IF(AND(COUNTIFS($A$2:$A$497,"止损计划",$B$2:$B$497,B84,$D$2:$D$497,"&lt;"&amp;D84)&gt;0,OR(E84&lt;=SUMPRODUCT(MAX((($A$2:$A$497="止损计划")*($B$2:$B$497=B84)*($D$2:$D$497&lt;D84))*$E$2:$E$497)),F84&lt;SUMPRODUCT(MAX((($A$2:$A$497="止损计划")*($B$2:$B$497=B84)*($D$2:$D$497&lt;D84))*$F$2:$F$497)))),"阶段价格必须逐级提高","计划有效"))))))),IF(A84="每日跟踪",IF(OR(B84="",H84="",I84="",J84=""),"每日数据不完整",IF(COUNTIFS($A$2:$A$497,"每日跟踪",$B$2:$B$497,B84,$H$2:$H$497,H84)&gt;1,"同一交易日期重复",IF(AND(R84&lt;&gt;"",R84&lt;S84),"人工止损无效：不能下调","跟踪有效"))),"记录类型无效")))</f>
        <v/>
      </c>
    </row>
    <row r="85" ht="17" spans="1:29">
      <c r="A85" s="2"/>
      <c r="B85" s="2"/>
      <c r="C85" s="8" t="str">
        <f>IF(B85="","",IFERROR(LOOKUP(2,1/(单次交易!$A$2:$A$163=B85),单次交易!$B$2:$B$163),""))</f>
        <v/>
      </c>
      <c r="D85" s="12"/>
      <c r="E85" s="10"/>
      <c r="F85" s="10"/>
      <c r="G85" s="2"/>
      <c r="H85" s="15"/>
      <c r="I85" s="10"/>
      <c r="J85" s="12"/>
      <c r="K85" s="2"/>
      <c r="L85" s="2"/>
      <c r="M85" s="2"/>
      <c r="N85" s="5" t="str">
        <f>IF(B85="","",IFERROR(LOOKUP(2,1/(单次交易!$A$2:$A$163=B85),单次交易!$N$2:$N$163),""))</f>
        <v/>
      </c>
      <c r="O85" s="5" t="str">
        <f t="shared" si="9"/>
        <v/>
      </c>
      <c r="P85" s="11" t="str">
        <f t="shared" si="10"/>
        <v/>
      </c>
      <c r="Q85" s="5" t="str">
        <f t="shared" si="11"/>
        <v/>
      </c>
      <c r="R85" s="10"/>
      <c r="S85" s="5" t="str">
        <f t="shared" si="12"/>
        <v/>
      </c>
      <c r="T85" s="5" t="str">
        <f t="shared" si="13"/>
        <v/>
      </c>
      <c r="U85" s="5" t="str">
        <f t="shared" si="14"/>
        <v/>
      </c>
      <c r="V85" s="7" t="str">
        <f t="shared" si="15"/>
        <v/>
      </c>
      <c r="W85" s="8" t="str">
        <f t="shared" si="16"/>
        <v/>
      </c>
      <c r="X85" s="2"/>
      <c r="Y85" s="10"/>
      <c r="Z85" s="11" t="str">
        <f>IF(X85&lt;&gt;"执行卖出","",IFERROR(LOOKUP(2,1/(单次交易!$A$2:$A$163=B85),单次交易!$AP$2:$AP$163),""))</f>
        <v/>
      </c>
      <c r="AA85" s="10"/>
      <c r="AB85" s="8" t="str">
        <f t="shared" si="17"/>
        <v/>
      </c>
      <c r="AC85" s="8" t="str">
        <f>IF(A85="","",IF(A85="止损计划",IF(OR(B85="",D85="",E85="",F85="",G85=""),"计划不完整",IF(OR(D85&lt;1,D85&lt;&gt;INT(D85)),"阶段序号无效",IF(COUNTIFS($A$2:$A$497,"止损计划",$B$2:$B$497,B85,$D$2:$D$497,D85)&gt;1,"阶段序号重复",IF(E85&lt;=IFERROR(LOOKUP(2,1/(单次交易!$A$2:$A$163=B85),单次交易!$E$2:$E$163),0),"激活价须高于买入价",IF(F85&lt;N85,"止损价不得低于初始止损",IF(F85&gt;E85,"止损价不得高于激活价",IF(AND(COUNTIFS($A$2:$A$497,"止损计划",$B$2:$B$497,B85,$D$2:$D$497,"&lt;"&amp;D85)&gt;0,OR(E85&lt;=SUMPRODUCT(MAX((($A$2:$A$497="止损计划")*($B$2:$B$497=B85)*($D$2:$D$497&lt;D85))*$E$2:$E$497)),F85&lt;SUMPRODUCT(MAX((($A$2:$A$497="止损计划")*($B$2:$B$497=B85)*($D$2:$D$497&lt;D85))*$F$2:$F$497)))),"阶段价格必须逐级提高","计划有效"))))))),IF(A85="每日跟踪",IF(OR(B85="",H85="",I85="",J85=""),"每日数据不完整",IF(COUNTIFS($A$2:$A$497,"每日跟踪",$B$2:$B$497,B85,$H$2:$H$497,H85)&gt;1,"同一交易日期重复",IF(AND(R85&lt;&gt;"",R85&lt;S85),"人工止损无效：不能下调","跟踪有效"))),"记录类型无效")))</f>
        <v/>
      </c>
    </row>
    <row r="86" ht="17" spans="1:29">
      <c r="A86" s="2"/>
      <c r="B86" s="2"/>
      <c r="C86" s="8" t="str">
        <f>IF(B86="","",IFERROR(LOOKUP(2,1/(单次交易!$A$2:$A$163=B86),单次交易!$B$2:$B$163),""))</f>
        <v/>
      </c>
      <c r="D86" s="12"/>
      <c r="E86" s="10"/>
      <c r="F86" s="10"/>
      <c r="G86" s="2"/>
      <c r="H86" s="15"/>
      <c r="I86" s="10"/>
      <c r="J86" s="12"/>
      <c r="K86" s="2"/>
      <c r="L86" s="2"/>
      <c r="M86" s="2"/>
      <c r="N86" s="5" t="str">
        <f>IF(B86="","",IFERROR(LOOKUP(2,1/(单次交易!$A$2:$A$163=B86),单次交易!$N$2:$N$163),""))</f>
        <v/>
      </c>
      <c r="O86" s="5" t="str">
        <f t="shared" si="9"/>
        <v/>
      </c>
      <c r="P86" s="11" t="str">
        <f t="shared" si="10"/>
        <v/>
      </c>
      <c r="Q86" s="5" t="str">
        <f t="shared" si="11"/>
        <v/>
      </c>
      <c r="R86" s="10"/>
      <c r="S86" s="5" t="str">
        <f t="shared" si="12"/>
        <v/>
      </c>
      <c r="T86" s="5" t="str">
        <f t="shared" si="13"/>
        <v/>
      </c>
      <c r="U86" s="5" t="str">
        <f t="shared" si="14"/>
        <v/>
      </c>
      <c r="V86" s="7" t="str">
        <f t="shared" si="15"/>
        <v/>
      </c>
      <c r="W86" s="8" t="str">
        <f t="shared" si="16"/>
        <v/>
      </c>
      <c r="X86" s="2"/>
      <c r="Y86" s="10"/>
      <c r="Z86" s="11" t="str">
        <f>IF(X86&lt;&gt;"执行卖出","",IFERROR(LOOKUP(2,1/(单次交易!$A$2:$A$163=B86),单次交易!$AP$2:$AP$163),""))</f>
        <v/>
      </c>
      <c r="AA86" s="10"/>
      <c r="AB86" s="8" t="str">
        <f t="shared" si="17"/>
        <v/>
      </c>
      <c r="AC86" s="8" t="str">
        <f>IF(A86="","",IF(A86="止损计划",IF(OR(B86="",D86="",E86="",F86="",G86=""),"计划不完整",IF(OR(D86&lt;1,D86&lt;&gt;INT(D86)),"阶段序号无效",IF(COUNTIFS($A$2:$A$497,"止损计划",$B$2:$B$497,B86,$D$2:$D$497,D86)&gt;1,"阶段序号重复",IF(E86&lt;=IFERROR(LOOKUP(2,1/(单次交易!$A$2:$A$163=B86),单次交易!$E$2:$E$163),0),"激活价须高于买入价",IF(F86&lt;N86,"止损价不得低于初始止损",IF(F86&gt;E86,"止损价不得高于激活价",IF(AND(COUNTIFS($A$2:$A$497,"止损计划",$B$2:$B$497,B86,$D$2:$D$497,"&lt;"&amp;D86)&gt;0,OR(E86&lt;=SUMPRODUCT(MAX((($A$2:$A$497="止损计划")*($B$2:$B$497=B86)*($D$2:$D$497&lt;D86))*$E$2:$E$497)),F86&lt;SUMPRODUCT(MAX((($A$2:$A$497="止损计划")*($B$2:$B$497=B86)*($D$2:$D$497&lt;D86))*$F$2:$F$497)))),"阶段价格必须逐级提高","计划有效"))))))),IF(A86="每日跟踪",IF(OR(B86="",H86="",I86="",J86=""),"每日数据不完整",IF(COUNTIFS($A$2:$A$497,"每日跟踪",$B$2:$B$497,B86,$H$2:$H$497,H86)&gt;1,"同一交易日期重复",IF(AND(R86&lt;&gt;"",R86&lt;S86),"人工止损无效：不能下调","跟踪有效"))),"记录类型无效")))</f>
        <v/>
      </c>
    </row>
    <row r="87" ht="17" spans="1:29">
      <c r="A87" s="2"/>
      <c r="B87" s="2"/>
      <c r="C87" s="8" t="str">
        <f>IF(B87="","",IFERROR(LOOKUP(2,1/(单次交易!$A$2:$A$163=B87),单次交易!$B$2:$B$163),""))</f>
        <v/>
      </c>
      <c r="D87" s="12"/>
      <c r="E87" s="10"/>
      <c r="F87" s="10"/>
      <c r="G87" s="2"/>
      <c r="H87" s="15"/>
      <c r="I87" s="10"/>
      <c r="J87" s="12"/>
      <c r="K87" s="2"/>
      <c r="L87" s="2"/>
      <c r="M87" s="2"/>
      <c r="N87" s="5" t="str">
        <f>IF(B87="","",IFERROR(LOOKUP(2,1/(单次交易!$A$2:$A$163=B87),单次交易!$N$2:$N$163),""))</f>
        <v/>
      </c>
      <c r="O87" s="5" t="str">
        <f t="shared" si="9"/>
        <v/>
      </c>
      <c r="P87" s="11" t="str">
        <f t="shared" si="10"/>
        <v/>
      </c>
      <c r="Q87" s="5" t="str">
        <f t="shared" si="11"/>
        <v/>
      </c>
      <c r="R87" s="10"/>
      <c r="S87" s="5" t="str">
        <f t="shared" si="12"/>
        <v/>
      </c>
      <c r="T87" s="5" t="str">
        <f t="shared" si="13"/>
        <v/>
      </c>
      <c r="U87" s="5" t="str">
        <f t="shared" si="14"/>
        <v/>
      </c>
      <c r="V87" s="7" t="str">
        <f t="shared" si="15"/>
        <v/>
      </c>
      <c r="W87" s="8" t="str">
        <f t="shared" si="16"/>
        <v/>
      </c>
      <c r="X87" s="2"/>
      <c r="Y87" s="10"/>
      <c r="Z87" s="11" t="str">
        <f>IF(X87&lt;&gt;"执行卖出","",IFERROR(LOOKUP(2,1/(单次交易!$A$2:$A$163=B87),单次交易!$AP$2:$AP$163),""))</f>
        <v/>
      </c>
      <c r="AA87" s="10"/>
      <c r="AB87" s="8" t="str">
        <f t="shared" si="17"/>
        <v/>
      </c>
      <c r="AC87" s="8" t="str">
        <f>IF(A87="","",IF(A87="止损计划",IF(OR(B87="",D87="",E87="",F87="",G87=""),"计划不完整",IF(OR(D87&lt;1,D87&lt;&gt;INT(D87)),"阶段序号无效",IF(COUNTIFS($A$2:$A$497,"止损计划",$B$2:$B$497,B87,$D$2:$D$497,D87)&gt;1,"阶段序号重复",IF(E87&lt;=IFERROR(LOOKUP(2,1/(单次交易!$A$2:$A$163=B87),单次交易!$E$2:$E$163),0),"激活价须高于买入价",IF(F87&lt;N87,"止损价不得低于初始止损",IF(F87&gt;E87,"止损价不得高于激活价",IF(AND(COUNTIFS($A$2:$A$497,"止损计划",$B$2:$B$497,B87,$D$2:$D$497,"&lt;"&amp;D87)&gt;0,OR(E87&lt;=SUMPRODUCT(MAX((($A$2:$A$497="止损计划")*($B$2:$B$497=B87)*($D$2:$D$497&lt;D87))*$E$2:$E$497)),F87&lt;SUMPRODUCT(MAX((($A$2:$A$497="止损计划")*($B$2:$B$497=B87)*($D$2:$D$497&lt;D87))*$F$2:$F$497)))),"阶段价格必须逐级提高","计划有效"))))))),IF(A87="每日跟踪",IF(OR(B87="",H87="",I87="",J87=""),"每日数据不完整",IF(COUNTIFS($A$2:$A$497,"每日跟踪",$B$2:$B$497,B87,$H$2:$H$497,H87)&gt;1,"同一交易日期重复",IF(AND(R87&lt;&gt;"",R87&lt;S87),"人工止损无效：不能下调","跟踪有效"))),"记录类型无效")))</f>
        <v/>
      </c>
    </row>
    <row r="88" ht="17" spans="1:29">
      <c r="A88" s="2"/>
      <c r="B88" s="2"/>
      <c r="C88" s="8" t="str">
        <f>IF(B88="","",IFERROR(LOOKUP(2,1/(单次交易!$A$2:$A$163=B88),单次交易!$B$2:$B$163),""))</f>
        <v/>
      </c>
      <c r="D88" s="12"/>
      <c r="E88" s="10"/>
      <c r="F88" s="10"/>
      <c r="G88" s="2"/>
      <c r="H88" s="15"/>
      <c r="I88" s="10"/>
      <c r="J88" s="12"/>
      <c r="K88" s="2"/>
      <c r="L88" s="2"/>
      <c r="M88" s="2"/>
      <c r="N88" s="5" t="str">
        <f>IF(B88="","",IFERROR(LOOKUP(2,1/(单次交易!$A$2:$A$163=B88),单次交易!$N$2:$N$163),""))</f>
        <v/>
      </c>
      <c r="O88" s="5" t="str">
        <f t="shared" si="9"/>
        <v/>
      </c>
      <c r="P88" s="11" t="str">
        <f t="shared" si="10"/>
        <v/>
      </c>
      <c r="Q88" s="5" t="str">
        <f t="shared" si="11"/>
        <v/>
      </c>
      <c r="R88" s="10"/>
      <c r="S88" s="5" t="str">
        <f t="shared" si="12"/>
        <v/>
      </c>
      <c r="T88" s="5" t="str">
        <f t="shared" si="13"/>
        <v/>
      </c>
      <c r="U88" s="5" t="str">
        <f t="shared" si="14"/>
        <v/>
      </c>
      <c r="V88" s="7" t="str">
        <f t="shared" si="15"/>
        <v/>
      </c>
      <c r="W88" s="8" t="str">
        <f t="shared" si="16"/>
        <v/>
      </c>
      <c r="X88" s="2"/>
      <c r="Y88" s="10"/>
      <c r="Z88" s="11" t="str">
        <f>IF(X88&lt;&gt;"执行卖出","",IFERROR(LOOKUP(2,1/(单次交易!$A$2:$A$163=B88),单次交易!$AP$2:$AP$163),""))</f>
        <v/>
      </c>
      <c r="AA88" s="10"/>
      <c r="AB88" s="8" t="str">
        <f t="shared" si="17"/>
        <v/>
      </c>
      <c r="AC88" s="8" t="str">
        <f>IF(A88="","",IF(A88="止损计划",IF(OR(B88="",D88="",E88="",F88="",G88=""),"计划不完整",IF(OR(D88&lt;1,D88&lt;&gt;INT(D88)),"阶段序号无效",IF(COUNTIFS($A$2:$A$497,"止损计划",$B$2:$B$497,B88,$D$2:$D$497,D88)&gt;1,"阶段序号重复",IF(E88&lt;=IFERROR(LOOKUP(2,1/(单次交易!$A$2:$A$163=B88),单次交易!$E$2:$E$163),0),"激活价须高于买入价",IF(F88&lt;N88,"止损价不得低于初始止损",IF(F88&gt;E88,"止损价不得高于激活价",IF(AND(COUNTIFS($A$2:$A$497,"止损计划",$B$2:$B$497,B88,$D$2:$D$497,"&lt;"&amp;D88)&gt;0,OR(E88&lt;=SUMPRODUCT(MAX((($A$2:$A$497="止损计划")*($B$2:$B$497=B88)*($D$2:$D$497&lt;D88))*$E$2:$E$497)),F88&lt;SUMPRODUCT(MAX((($A$2:$A$497="止损计划")*($B$2:$B$497=B88)*($D$2:$D$497&lt;D88))*$F$2:$F$497)))),"阶段价格必须逐级提高","计划有效"))))))),IF(A88="每日跟踪",IF(OR(B88="",H88="",I88="",J88=""),"每日数据不完整",IF(COUNTIFS($A$2:$A$497,"每日跟踪",$B$2:$B$497,B88,$H$2:$H$497,H88)&gt;1,"同一交易日期重复",IF(AND(R88&lt;&gt;"",R88&lt;S88),"人工止损无效：不能下调","跟踪有效"))),"记录类型无效")))</f>
        <v/>
      </c>
    </row>
    <row r="89" ht="17" spans="1:29">
      <c r="A89" s="2"/>
      <c r="B89" s="2"/>
      <c r="C89" s="8" t="str">
        <f>IF(B89="","",IFERROR(LOOKUP(2,1/(单次交易!$A$2:$A$163=B89),单次交易!$B$2:$B$163),""))</f>
        <v/>
      </c>
      <c r="D89" s="12"/>
      <c r="E89" s="10"/>
      <c r="F89" s="10"/>
      <c r="G89" s="2"/>
      <c r="H89" s="15"/>
      <c r="I89" s="10"/>
      <c r="J89" s="12"/>
      <c r="K89" s="2"/>
      <c r="L89" s="2"/>
      <c r="M89" s="2"/>
      <c r="N89" s="5" t="str">
        <f>IF(B89="","",IFERROR(LOOKUP(2,1/(单次交易!$A$2:$A$163=B89),单次交易!$N$2:$N$163),""))</f>
        <v/>
      </c>
      <c r="O89" s="5" t="str">
        <f t="shared" si="9"/>
        <v/>
      </c>
      <c r="P89" s="11" t="str">
        <f t="shared" si="10"/>
        <v/>
      </c>
      <c r="Q89" s="5" t="str">
        <f t="shared" si="11"/>
        <v/>
      </c>
      <c r="R89" s="10"/>
      <c r="S89" s="5" t="str">
        <f t="shared" si="12"/>
        <v/>
      </c>
      <c r="T89" s="5" t="str">
        <f t="shared" si="13"/>
        <v/>
      </c>
      <c r="U89" s="5" t="str">
        <f t="shared" si="14"/>
        <v/>
      </c>
      <c r="V89" s="7" t="str">
        <f t="shared" si="15"/>
        <v/>
      </c>
      <c r="W89" s="8" t="str">
        <f t="shared" si="16"/>
        <v/>
      </c>
      <c r="X89" s="2"/>
      <c r="Y89" s="10"/>
      <c r="Z89" s="11" t="str">
        <f>IF(X89&lt;&gt;"执行卖出","",IFERROR(LOOKUP(2,1/(单次交易!$A$2:$A$163=B89),单次交易!$AP$2:$AP$163),""))</f>
        <v/>
      </c>
      <c r="AA89" s="10"/>
      <c r="AB89" s="8" t="str">
        <f t="shared" si="17"/>
        <v/>
      </c>
      <c r="AC89" s="8" t="str">
        <f>IF(A89="","",IF(A89="止损计划",IF(OR(B89="",D89="",E89="",F89="",G89=""),"计划不完整",IF(OR(D89&lt;1,D89&lt;&gt;INT(D89)),"阶段序号无效",IF(COUNTIFS($A$2:$A$497,"止损计划",$B$2:$B$497,B89,$D$2:$D$497,D89)&gt;1,"阶段序号重复",IF(E89&lt;=IFERROR(LOOKUP(2,1/(单次交易!$A$2:$A$163=B89),单次交易!$E$2:$E$163),0),"激活价须高于买入价",IF(F89&lt;N89,"止损价不得低于初始止损",IF(F89&gt;E89,"止损价不得高于激活价",IF(AND(COUNTIFS($A$2:$A$497,"止损计划",$B$2:$B$497,B89,$D$2:$D$497,"&lt;"&amp;D89)&gt;0,OR(E89&lt;=SUMPRODUCT(MAX((($A$2:$A$497="止损计划")*($B$2:$B$497=B89)*($D$2:$D$497&lt;D89))*$E$2:$E$497)),F89&lt;SUMPRODUCT(MAX((($A$2:$A$497="止损计划")*($B$2:$B$497=B89)*($D$2:$D$497&lt;D89))*$F$2:$F$497)))),"阶段价格必须逐级提高","计划有效"))))))),IF(A89="每日跟踪",IF(OR(B89="",H89="",I89="",J89=""),"每日数据不完整",IF(COUNTIFS($A$2:$A$497,"每日跟踪",$B$2:$B$497,B89,$H$2:$H$497,H89)&gt;1,"同一交易日期重复",IF(AND(R89&lt;&gt;"",R89&lt;S89),"人工止损无效：不能下调","跟踪有效"))),"记录类型无效")))</f>
        <v/>
      </c>
    </row>
    <row r="90" ht="17" spans="1:29">
      <c r="A90" s="2"/>
      <c r="B90" s="2"/>
      <c r="C90" s="8" t="str">
        <f>IF(B90="","",IFERROR(LOOKUP(2,1/(单次交易!$A$2:$A$163=B90),单次交易!$B$2:$B$163),""))</f>
        <v/>
      </c>
      <c r="D90" s="12"/>
      <c r="E90" s="10"/>
      <c r="F90" s="10"/>
      <c r="G90" s="2"/>
      <c r="H90" s="15"/>
      <c r="I90" s="10"/>
      <c r="J90" s="12"/>
      <c r="K90" s="2"/>
      <c r="L90" s="2"/>
      <c r="M90" s="2"/>
      <c r="N90" s="5" t="str">
        <f>IF(B90="","",IFERROR(LOOKUP(2,1/(单次交易!$A$2:$A$163=B90),单次交易!$N$2:$N$163),""))</f>
        <v/>
      </c>
      <c r="O90" s="5" t="str">
        <f t="shared" si="9"/>
        <v/>
      </c>
      <c r="P90" s="11" t="str">
        <f t="shared" si="10"/>
        <v/>
      </c>
      <c r="Q90" s="5" t="str">
        <f t="shared" si="11"/>
        <v/>
      </c>
      <c r="R90" s="10"/>
      <c r="S90" s="5" t="str">
        <f t="shared" si="12"/>
        <v/>
      </c>
      <c r="T90" s="5" t="str">
        <f t="shared" si="13"/>
        <v/>
      </c>
      <c r="U90" s="5" t="str">
        <f t="shared" si="14"/>
        <v/>
      </c>
      <c r="V90" s="7" t="str">
        <f t="shared" si="15"/>
        <v/>
      </c>
      <c r="W90" s="8" t="str">
        <f t="shared" si="16"/>
        <v/>
      </c>
      <c r="X90" s="2"/>
      <c r="Y90" s="10"/>
      <c r="Z90" s="11" t="str">
        <f>IF(X90&lt;&gt;"执行卖出","",IFERROR(LOOKUP(2,1/(单次交易!$A$2:$A$163=B90),单次交易!$AP$2:$AP$163),""))</f>
        <v/>
      </c>
      <c r="AA90" s="10"/>
      <c r="AB90" s="8" t="str">
        <f t="shared" si="17"/>
        <v/>
      </c>
      <c r="AC90" s="8" t="str">
        <f>IF(A90="","",IF(A90="止损计划",IF(OR(B90="",D90="",E90="",F90="",G90=""),"计划不完整",IF(OR(D90&lt;1,D90&lt;&gt;INT(D90)),"阶段序号无效",IF(COUNTIFS($A$2:$A$497,"止损计划",$B$2:$B$497,B90,$D$2:$D$497,D90)&gt;1,"阶段序号重复",IF(E90&lt;=IFERROR(LOOKUP(2,1/(单次交易!$A$2:$A$163=B90),单次交易!$E$2:$E$163),0),"激活价须高于买入价",IF(F90&lt;N90,"止损价不得低于初始止损",IF(F90&gt;E90,"止损价不得高于激活价",IF(AND(COUNTIFS($A$2:$A$497,"止损计划",$B$2:$B$497,B90,$D$2:$D$497,"&lt;"&amp;D90)&gt;0,OR(E90&lt;=SUMPRODUCT(MAX((($A$2:$A$497="止损计划")*($B$2:$B$497=B90)*($D$2:$D$497&lt;D90))*$E$2:$E$497)),F90&lt;SUMPRODUCT(MAX((($A$2:$A$497="止损计划")*($B$2:$B$497=B90)*($D$2:$D$497&lt;D90))*$F$2:$F$497)))),"阶段价格必须逐级提高","计划有效"))))))),IF(A90="每日跟踪",IF(OR(B90="",H90="",I90="",J90=""),"每日数据不完整",IF(COUNTIFS($A$2:$A$497,"每日跟踪",$B$2:$B$497,B90,$H$2:$H$497,H90)&gt;1,"同一交易日期重复",IF(AND(R90&lt;&gt;"",R90&lt;S90),"人工止损无效：不能下调","跟踪有效"))),"记录类型无效")))</f>
        <v/>
      </c>
    </row>
    <row r="91" ht="17" spans="1:29">
      <c r="A91" s="2"/>
      <c r="B91" s="2"/>
      <c r="C91" s="8" t="str">
        <f>IF(B91="","",IFERROR(LOOKUP(2,1/(单次交易!$A$2:$A$163=B91),单次交易!$B$2:$B$163),""))</f>
        <v/>
      </c>
      <c r="D91" s="12"/>
      <c r="E91" s="10"/>
      <c r="F91" s="10"/>
      <c r="G91" s="2"/>
      <c r="H91" s="15"/>
      <c r="I91" s="10"/>
      <c r="J91" s="12"/>
      <c r="K91" s="2"/>
      <c r="L91" s="2"/>
      <c r="M91" s="2"/>
      <c r="N91" s="5" t="str">
        <f>IF(B91="","",IFERROR(LOOKUP(2,1/(单次交易!$A$2:$A$163=B91),单次交易!$N$2:$N$163),""))</f>
        <v/>
      </c>
      <c r="O91" s="5" t="str">
        <f t="shared" si="9"/>
        <v/>
      </c>
      <c r="P91" s="11" t="str">
        <f t="shared" si="10"/>
        <v/>
      </c>
      <c r="Q91" s="5" t="str">
        <f t="shared" si="11"/>
        <v/>
      </c>
      <c r="R91" s="10"/>
      <c r="S91" s="5" t="str">
        <f t="shared" si="12"/>
        <v/>
      </c>
      <c r="T91" s="5" t="str">
        <f t="shared" si="13"/>
        <v/>
      </c>
      <c r="U91" s="5" t="str">
        <f t="shared" si="14"/>
        <v/>
      </c>
      <c r="V91" s="7" t="str">
        <f t="shared" si="15"/>
        <v/>
      </c>
      <c r="W91" s="8" t="str">
        <f t="shared" si="16"/>
        <v/>
      </c>
      <c r="X91" s="2"/>
      <c r="Y91" s="10"/>
      <c r="Z91" s="11" t="str">
        <f>IF(X91&lt;&gt;"执行卖出","",IFERROR(LOOKUP(2,1/(单次交易!$A$2:$A$163=B91),单次交易!$AP$2:$AP$163),""))</f>
        <v/>
      </c>
      <c r="AA91" s="10"/>
      <c r="AB91" s="8" t="str">
        <f t="shared" si="17"/>
        <v/>
      </c>
      <c r="AC91" s="8" t="str">
        <f>IF(A91="","",IF(A91="止损计划",IF(OR(B91="",D91="",E91="",F91="",G91=""),"计划不完整",IF(OR(D91&lt;1,D91&lt;&gt;INT(D91)),"阶段序号无效",IF(COUNTIFS($A$2:$A$497,"止损计划",$B$2:$B$497,B91,$D$2:$D$497,D91)&gt;1,"阶段序号重复",IF(E91&lt;=IFERROR(LOOKUP(2,1/(单次交易!$A$2:$A$163=B91),单次交易!$E$2:$E$163),0),"激活价须高于买入价",IF(F91&lt;N91,"止损价不得低于初始止损",IF(F91&gt;E91,"止损价不得高于激活价",IF(AND(COUNTIFS($A$2:$A$497,"止损计划",$B$2:$B$497,B91,$D$2:$D$497,"&lt;"&amp;D91)&gt;0,OR(E91&lt;=SUMPRODUCT(MAX((($A$2:$A$497="止损计划")*($B$2:$B$497=B91)*($D$2:$D$497&lt;D91))*$E$2:$E$497)),F91&lt;SUMPRODUCT(MAX((($A$2:$A$497="止损计划")*($B$2:$B$497=B91)*($D$2:$D$497&lt;D91))*$F$2:$F$497)))),"阶段价格必须逐级提高","计划有效"))))))),IF(A91="每日跟踪",IF(OR(B91="",H91="",I91="",J91=""),"每日数据不完整",IF(COUNTIFS($A$2:$A$497,"每日跟踪",$B$2:$B$497,B91,$H$2:$H$497,H91)&gt;1,"同一交易日期重复",IF(AND(R91&lt;&gt;"",R91&lt;S91),"人工止损无效：不能下调","跟踪有效"))),"记录类型无效")))</f>
        <v/>
      </c>
    </row>
    <row r="92" ht="17" spans="1:29">
      <c r="A92" s="2"/>
      <c r="B92" s="2"/>
      <c r="C92" s="8" t="str">
        <f>IF(B92="","",IFERROR(LOOKUP(2,1/(单次交易!$A$2:$A$163=B92),单次交易!$B$2:$B$163),""))</f>
        <v/>
      </c>
      <c r="D92" s="12"/>
      <c r="E92" s="10"/>
      <c r="F92" s="10"/>
      <c r="G92" s="2"/>
      <c r="H92" s="15"/>
      <c r="I92" s="10"/>
      <c r="J92" s="12"/>
      <c r="K92" s="2"/>
      <c r="L92" s="2"/>
      <c r="M92" s="2"/>
      <c r="N92" s="5" t="str">
        <f>IF(B92="","",IFERROR(LOOKUP(2,1/(单次交易!$A$2:$A$163=B92),单次交易!$N$2:$N$163),""))</f>
        <v/>
      </c>
      <c r="O92" s="5" t="str">
        <f t="shared" si="9"/>
        <v/>
      </c>
      <c r="P92" s="11" t="str">
        <f t="shared" si="10"/>
        <v/>
      </c>
      <c r="Q92" s="5" t="str">
        <f t="shared" si="11"/>
        <v/>
      </c>
      <c r="R92" s="10"/>
      <c r="S92" s="5" t="str">
        <f t="shared" si="12"/>
        <v/>
      </c>
      <c r="T92" s="5" t="str">
        <f t="shared" si="13"/>
        <v/>
      </c>
      <c r="U92" s="5" t="str">
        <f t="shared" si="14"/>
        <v/>
      </c>
      <c r="V92" s="7" t="str">
        <f t="shared" si="15"/>
        <v/>
      </c>
      <c r="W92" s="8" t="str">
        <f t="shared" si="16"/>
        <v/>
      </c>
      <c r="X92" s="2"/>
      <c r="Y92" s="10"/>
      <c r="Z92" s="11" t="str">
        <f>IF(X92&lt;&gt;"执行卖出","",IFERROR(LOOKUP(2,1/(单次交易!$A$2:$A$163=B92),单次交易!$AP$2:$AP$163),""))</f>
        <v/>
      </c>
      <c r="AA92" s="10"/>
      <c r="AB92" s="8" t="str">
        <f t="shared" si="17"/>
        <v/>
      </c>
      <c r="AC92" s="8" t="str">
        <f>IF(A92="","",IF(A92="止损计划",IF(OR(B92="",D92="",E92="",F92="",G92=""),"计划不完整",IF(OR(D92&lt;1,D92&lt;&gt;INT(D92)),"阶段序号无效",IF(COUNTIFS($A$2:$A$497,"止损计划",$B$2:$B$497,B92,$D$2:$D$497,D92)&gt;1,"阶段序号重复",IF(E92&lt;=IFERROR(LOOKUP(2,1/(单次交易!$A$2:$A$163=B92),单次交易!$E$2:$E$163),0),"激活价须高于买入价",IF(F92&lt;N92,"止损价不得低于初始止损",IF(F92&gt;E92,"止损价不得高于激活价",IF(AND(COUNTIFS($A$2:$A$497,"止损计划",$B$2:$B$497,B92,$D$2:$D$497,"&lt;"&amp;D92)&gt;0,OR(E92&lt;=SUMPRODUCT(MAX((($A$2:$A$497="止损计划")*($B$2:$B$497=B92)*($D$2:$D$497&lt;D92))*$E$2:$E$497)),F92&lt;SUMPRODUCT(MAX((($A$2:$A$497="止损计划")*($B$2:$B$497=B92)*($D$2:$D$497&lt;D92))*$F$2:$F$497)))),"阶段价格必须逐级提高","计划有效"))))))),IF(A92="每日跟踪",IF(OR(B92="",H92="",I92="",J92=""),"每日数据不完整",IF(COUNTIFS($A$2:$A$497,"每日跟踪",$B$2:$B$497,B92,$H$2:$H$497,H92)&gt;1,"同一交易日期重复",IF(AND(R92&lt;&gt;"",R92&lt;S92),"人工止损无效：不能下调","跟踪有效"))),"记录类型无效")))</f>
        <v/>
      </c>
    </row>
    <row r="93" ht="17" spans="1:29">
      <c r="A93" s="2"/>
      <c r="B93" s="2"/>
      <c r="C93" s="8" t="str">
        <f>IF(B93="","",IFERROR(LOOKUP(2,1/(单次交易!$A$2:$A$163=B93),单次交易!$B$2:$B$163),""))</f>
        <v/>
      </c>
      <c r="D93" s="12"/>
      <c r="E93" s="10"/>
      <c r="F93" s="10"/>
      <c r="G93" s="2"/>
      <c r="H93" s="15"/>
      <c r="I93" s="10"/>
      <c r="J93" s="12"/>
      <c r="K93" s="2"/>
      <c r="L93" s="2"/>
      <c r="M93" s="2"/>
      <c r="N93" s="5" t="str">
        <f>IF(B93="","",IFERROR(LOOKUP(2,1/(单次交易!$A$2:$A$163=B93),单次交易!$N$2:$N$163),""))</f>
        <v/>
      </c>
      <c r="O93" s="5" t="str">
        <f t="shared" si="9"/>
        <v/>
      </c>
      <c r="P93" s="11" t="str">
        <f t="shared" si="10"/>
        <v/>
      </c>
      <c r="Q93" s="5" t="str">
        <f t="shared" si="11"/>
        <v/>
      </c>
      <c r="R93" s="10"/>
      <c r="S93" s="5" t="str">
        <f t="shared" si="12"/>
        <v/>
      </c>
      <c r="T93" s="5" t="str">
        <f t="shared" si="13"/>
        <v/>
      </c>
      <c r="U93" s="5" t="str">
        <f t="shared" si="14"/>
        <v/>
      </c>
      <c r="V93" s="7" t="str">
        <f t="shared" si="15"/>
        <v/>
      </c>
      <c r="W93" s="8" t="str">
        <f t="shared" si="16"/>
        <v/>
      </c>
      <c r="X93" s="2"/>
      <c r="Y93" s="10"/>
      <c r="Z93" s="11" t="str">
        <f>IF(X93&lt;&gt;"执行卖出","",IFERROR(LOOKUP(2,1/(单次交易!$A$2:$A$163=B93),单次交易!$AP$2:$AP$163),""))</f>
        <v/>
      </c>
      <c r="AA93" s="10"/>
      <c r="AB93" s="8" t="str">
        <f t="shared" si="17"/>
        <v/>
      </c>
      <c r="AC93" s="8" t="str">
        <f>IF(A93="","",IF(A93="止损计划",IF(OR(B93="",D93="",E93="",F93="",G93=""),"计划不完整",IF(OR(D93&lt;1,D93&lt;&gt;INT(D93)),"阶段序号无效",IF(COUNTIFS($A$2:$A$497,"止损计划",$B$2:$B$497,B93,$D$2:$D$497,D93)&gt;1,"阶段序号重复",IF(E93&lt;=IFERROR(LOOKUP(2,1/(单次交易!$A$2:$A$163=B93),单次交易!$E$2:$E$163),0),"激活价须高于买入价",IF(F93&lt;N93,"止损价不得低于初始止损",IF(F93&gt;E93,"止损价不得高于激活价",IF(AND(COUNTIFS($A$2:$A$497,"止损计划",$B$2:$B$497,B93,$D$2:$D$497,"&lt;"&amp;D93)&gt;0,OR(E93&lt;=SUMPRODUCT(MAX((($A$2:$A$497="止损计划")*($B$2:$B$497=B93)*($D$2:$D$497&lt;D93))*$E$2:$E$497)),F93&lt;SUMPRODUCT(MAX((($A$2:$A$497="止损计划")*($B$2:$B$497=B93)*($D$2:$D$497&lt;D93))*$F$2:$F$497)))),"阶段价格必须逐级提高","计划有效"))))))),IF(A93="每日跟踪",IF(OR(B93="",H93="",I93="",J93=""),"每日数据不完整",IF(COUNTIFS($A$2:$A$497,"每日跟踪",$B$2:$B$497,B93,$H$2:$H$497,H93)&gt;1,"同一交易日期重复",IF(AND(R93&lt;&gt;"",R93&lt;S93),"人工止损无效：不能下调","跟踪有效"))),"记录类型无效")))</f>
        <v/>
      </c>
    </row>
    <row r="94" ht="17" spans="1:29">
      <c r="A94" s="2"/>
      <c r="B94" s="2"/>
      <c r="C94" s="8" t="str">
        <f>IF(B94="","",IFERROR(LOOKUP(2,1/(单次交易!$A$2:$A$163=B94),单次交易!$B$2:$B$163),""))</f>
        <v/>
      </c>
      <c r="D94" s="12"/>
      <c r="E94" s="10"/>
      <c r="F94" s="10"/>
      <c r="G94" s="2"/>
      <c r="H94" s="15"/>
      <c r="I94" s="10"/>
      <c r="J94" s="12"/>
      <c r="K94" s="2"/>
      <c r="L94" s="2"/>
      <c r="M94" s="2"/>
      <c r="N94" s="5" t="str">
        <f>IF(B94="","",IFERROR(LOOKUP(2,1/(单次交易!$A$2:$A$163=B94),单次交易!$N$2:$N$163),""))</f>
        <v/>
      </c>
      <c r="O94" s="5" t="str">
        <f t="shared" si="9"/>
        <v/>
      </c>
      <c r="P94" s="11" t="str">
        <f t="shared" si="10"/>
        <v/>
      </c>
      <c r="Q94" s="5" t="str">
        <f t="shared" si="11"/>
        <v/>
      </c>
      <c r="R94" s="10"/>
      <c r="S94" s="5" t="str">
        <f t="shared" si="12"/>
        <v/>
      </c>
      <c r="T94" s="5" t="str">
        <f t="shared" si="13"/>
        <v/>
      </c>
      <c r="U94" s="5" t="str">
        <f t="shared" si="14"/>
        <v/>
      </c>
      <c r="V94" s="7" t="str">
        <f t="shared" si="15"/>
        <v/>
      </c>
      <c r="W94" s="8" t="str">
        <f t="shared" si="16"/>
        <v/>
      </c>
      <c r="X94" s="2"/>
      <c r="Y94" s="10"/>
      <c r="Z94" s="11" t="str">
        <f>IF(X94&lt;&gt;"执行卖出","",IFERROR(LOOKUP(2,1/(单次交易!$A$2:$A$163=B94),单次交易!$AP$2:$AP$163),""))</f>
        <v/>
      </c>
      <c r="AA94" s="10"/>
      <c r="AB94" s="8" t="str">
        <f t="shared" si="17"/>
        <v/>
      </c>
      <c r="AC94" s="8" t="str">
        <f>IF(A94="","",IF(A94="止损计划",IF(OR(B94="",D94="",E94="",F94="",G94=""),"计划不完整",IF(OR(D94&lt;1,D94&lt;&gt;INT(D94)),"阶段序号无效",IF(COUNTIFS($A$2:$A$497,"止损计划",$B$2:$B$497,B94,$D$2:$D$497,D94)&gt;1,"阶段序号重复",IF(E94&lt;=IFERROR(LOOKUP(2,1/(单次交易!$A$2:$A$163=B94),单次交易!$E$2:$E$163),0),"激活价须高于买入价",IF(F94&lt;N94,"止损价不得低于初始止损",IF(F94&gt;E94,"止损价不得高于激活价",IF(AND(COUNTIFS($A$2:$A$497,"止损计划",$B$2:$B$497,B94,$D$2:$D$497,"&lt;"&amp;D94)&gt;0,OR(E94&lt;=SUMPRODUCT(MAX((($A$2:$A$497="止损计划")*($B$2:$B$497=B94)*($D$2:$D$497&lt;D94))*$E$2:$E$497)),F94&lt;SUMPRODUCT(MAX((($A$2:$A$497="止损计划")*($B$2:$B$497=B94)*($D$2:$D$497&lt;D94))*$F$2:$F$497)))),"阶段价格必须逐级提高","计划有效"))))))),IF(A94="每日跟踪",IF(OR(B94="",H94="",I94="",J94=""),"每日数据不完整",IF(COUNTIFS($A$2:$A$497,"每日跟踪",$B$2:$B$497,B94,$H$2:$H$497,H94)&gt;1,"同一交易日期重复",IF(AND(R94&lt;&gt;"",R94&lt;S94),"人工止损无效：不能下调","跟踪有效"))),"记录类型无效")))</f>
        <v/>
      </c>
    </row>
    <row r="95" ht="17" spans="1:29">
      <c r="A95" s="2"/>
      <c r="B95" s="2"/>
      <c r="C95" s="8" t="str">
        <f>IF(B95="","",IFERROR(LOOKUP(2,1/(单次交易!$A$2:$A$163=B95),单次交易!$B$2:$B$163),""))</f>
        <v/>
      </c>
      <c r="D95" s="12"/>
      <c r="E95" s="10"/>
      <c r="F95" s="10"/>
      <c r="G95" s="2"/>
      <c r="H95" s="15"/>
      <c r="I95" s="10"/>
      <c r="J95" s="12"/>
      <c r="K95" s="2"/>
      <c r="L95" s="2"/>
      <c r="M95" s="2"/>
      <c r="N95" s="5" t="str">
        <f>IF(B95="","",IFERROR(LOOKUP(2,1/(单次交易!$A$2:$A$163=B95),单次交易!$N$2:$N$163),""))</f>
        <v/>
      </c>
      <c r="O95" s="5" t="str">
        <f t="shared" si="9"/>
        <v/>
      </c>
      <c r="P95" s="11" t="str">
        <f t="shared" si="10"/>
        <v/>
      </c>
      <c r="Q95" s="5" t="str">
        <f t="shared" si="11"/>
        <v/>
      </c>
      <c r="R95" s="10"/>
      <c r="S95" s="5" t="str">
        <f t="shared" si="12"/>
        <v/>
      </c>
      <c r="T95" s="5" t="str">
        <f t="shared" si="13"/>
        <v/>
      </c>
      <c r="U95" s="5" t="str">
        <f t="shared" si="14"/>
        <v/>
      </c>
      <c r="V95" s="7" t="str">
        <f t="shared" si="15"/>
        <v/>
      </c>
      <c r="W95" s="8" t="str">
        <f t="shared" si="16"/>
        <v/>
      </c>
      <c r="X95" s="2"/>
      <c r="Y95" s="10"/>
      <c r="Z95" s="11" t="str">
        <f>IF(X95&lt;&gt;"执行卖出","",IFERROR(LOOKUP(2,1/(单次交易!$A$2:$A$163=B95),单次交易!$AP$2:$AP$163),""))</f>
        <v/>
      </c>
      <c r="AA95" s="10"/>
      <c r="AB95" s="8" t="str">
        <f t="shared" si="17"/>
        <v/>
      </c>
      <c r="AC95" s="8" t="str">
        <f>IF(A95="","",IF(A95="止损计划",IF(OR(B95="",D95="",E95="",F95="",G95=""),"计划不完整",IF(OR(D95&lt;1,D95&lt;&gt;INT(D95)),"阶段序号无效",IF(COUNTIFS($A$2:$A$497,"止损计划",$B$2:$B$497,B95,$D$2:$D$497,D95)&gt;1,"阶段序号重复",IF(E95&lt;=IFERROR(LOOKUP(2,1/(单次交易!$A$2:$A$163=B95),单次交易!$E$2:$E$163),0),"激活价须高于买入价",IF(F95&lt;N95,"止损价不得低于初始止损",IF(F95&gt;E95,"止损价不得高于激活价",IF(AND(COUNTIFS($A$2:$A$497,"止损计划",$B$2:$B$497,B95,$D$2:$D$497,"&lt;"&amp;D95)&gt;0,OR(E95&lt;=SUMPRODUCT(MAX((($A$2:$A$497="止损计划")*($B$2:$B$497=B95)*($D$2:$D$497&lt;D95))*$E$2:$E$497)),F95&lt;SUMPRODUCT(MAX((($A$2:$A$497="止损计划")*($B$2:$B$497=B95)*($D$2:$D$497&lt;D95))*$F$2:$F$497)))),"阶段价格必须逐级提高","计划有效"))))))),IF(A95="每日跟踪",IF(OR(B95="",H95="",I95="",J95=""),"每日数据不完整",IF(COUNTIFS($A$2:$A$497,"每日跟踪",$B$2:$B$497,B95,$H$2:$H$497,H95)&gt;1,"同一交易日期重复",IF(AND(R95&lt;&gt;"",R95&lt;S95),"人工止损无效：不能下调","跟踪有效"))),"记录类型无效")))</f>
        <v/>
      </c>
    </row>
    <row r="96" ht="17" spans="1:29">
      <c r="A96" s="2"/>
      <c r="B96" s="2"/>
      <c r="C96" s="8" t="str">
        <f>IF(B96="","",IFERROR(LOOKUP(2,1/(单次交易!$A$2:$A$163=B96),单次交易!$B$2:$B$163),""))</f>
        <v/>
      </c>
      <c r="D96" s="12"/>
      <c r="E96" s="10"/>
      <c r="F96" s="10"/>
      <c r="G96" s="2"/>
      <c r="H96" s="15"/>
      <c r="I96" s="10"/>
      <c r="J96" s="12"/>
      <c r="K96" s="2"/>
      <c r="L96" s="2"/>
      <c r="M96" s="2"/>
      <c r="N96" s="5" t="str">
        <f>IF(B96="","",IFERROR(LOOKUP(2,1/(单次交易!$A$2:$A$163=B96),单次交易!$N$2:$N$163),""))</f>
        <v/>
      </c>
      <c r="O96" s="5" t="str">
        <f t="shared" si="9"/>
        <v/>
      </c>
      <c r="P96" s="11" t="str">
        <f t="shared" si="10"/>
        <v/>
      </c>
      <c r="Q96" s="5" t="str">
        <f t="shared" si="11"/>
        <v/>
      </c>
      <c r="R96" s="10"/>
      <c r="S96" s="5" t="str">
        <f t="shared" si="12"/>
        <v/>
      </c>
      <c r="T96" s="5" t="str">
        <f t="shared" si="13"/>
        <v/>
      </c>
      <c r="U96" s="5" t="str">
        <f t="shared" si="14"/>
        <v/>
      </c>
      <c r="V96" s="7" t="str">
        <f t="shared" si="15"/>
        <v/>
      </c>
      <c r="W96" s="8" t="str">
        <f t="shared" si="16"/>
        <v/>
      </c>
      <c r="X96" s="2"/>
      <c r="Y96" s="10"/>
      <c r="Z96" s="11" t="str">
        <f>IF(X96&lt;&gt;"执行卖出","",IFERROR(LOOKUP(2,1/(单次交易!$A$2:$A$163=B96),单次交易!$AP$2:$AP$163),""))</f>
        <v/>
      </c>
      <c r="AA96" s="10"/>
      <c r="AB96" s="8" t="str">
        <f t="shared" si="17"/>
        <v/>
      </c>
      <c r="AC96" s="8" t="str">
        <f>IF(A96="","",IF(A96="止损计划",IF(OR(B96="",D96="",E96="",F96="",G96=""),"计划不完整",IF(OR(D96&lt;1,D96&lt;&gt;INT(D96)),"阶段序号无效",IF(COUNTIFS($A$2:$A$497,"止损计划",$B$2:$B$497,B96,$D$2:$D$497,D96)&gt;1,"阶段序号重复",IF(E96&lt;=IFERROR(LOOKUP(2,1/(单次交易!$A$2:$A$163=B96),单次交易!$E$2:$E$163),0),"激活价须高于买入价",IF(F96&lt;N96,"止损价不得低于初始止损",IF(F96&gt;E96,"止损价不得高于激活价",IF(AND(COUNTIFS($A$2:$A$497,"止损计划",$B$2:$B$497,B96,$D$2:$D$497,"&lt;"&amp;D96)&gt;0,OR(E96&lt;=SUMPRODUCT(MAX((($A$2:$A$497="止损计划")*($B$2:$B$497=B96)*($D$2:$D$497&lt;D96))*$E$2:$E$497)),F96&lt;SUMPRODUCT(MAX((($A$2:$A$497="止损计划")*($B$2:$B$497=B96)*($D$2:$D$497&lt;D96))*$F$2:$F$497)))),"阶段价格必须逐级提高","计划有效"))))))),IF(A96="每日跟踪",IF(OR(B96="",H96="",I96="",J96=""),"每日数据不完整",IF(COUNTIFS($A$2:$A$497,"每日跟踪",$B$2:$B$497,B96,$H$2:$H$497,H96)&gt;1,"同一交易日期重复",IF(AND(R96&lt;&gt;"",R96&lt;S96),"人工止损无效：不能下调","跟踪有效"))),"记录类型无效")))</f>
        <v/>
      </c>
    </row>
    <row r="97" ht="17" spans="1:29">
      <c r="A97" s="2"/>
      <c r="B97" s="2"/>
      <c r="C97" s="8" t="str">
        <f>IF(B97="","",IFERROR(LOOKUP(2,1/(单次交易!$A$2:$A$163=B97),单次交易!$B$2:$B$163),""))</f>
        <v/>
      </c>
      <c r="D97" s="12"/>
      <c r="E97" s="10"/>
      <c r="F97" s="10"/>
      <c r="G97" s="2"/>
      <c r="H97" s="15"/>
      <c r="I97" s="10"/>
      <c r="J97" s="12"/>
      <c r="K97" s="2"/>
      <c r="L97" s="2"/>
      <c r="M97" s="2"/>
      <c r="N97" s="5" t="str">
        <f>IF(B97="","",IFERROR(LOOKUP(2,1/(单次交易!$A$2:$A$163=B97),单次交易!$N$2:$N$163),""))</f>
        <v/>
      </c>
      <c r="O97" s="5" t="str">
        <f t="shared" si="9"/>
        <v/>
      </c>
      <c r="P97" s="11" t="str">
        <f t="shared" si="10"/>
        <v/>
      </c>
      <c r="Q97" s="5" t="str">
        <f t="shared" si="11"/>
        <v/>
      </c>
      <c r="R97" s="10"/>
      <c r="S97" s="5" t="str">
        <f t="shared" si="12"/>
        <v/>
      </c>
      <c r="T97" s="5" t="str">
        <f t="shared" si="13"/>
        <v/>
      </c>
      <c r="U97" s="5" t="str">
        <f t="shared" si="14"/>
        <v/>
      </c>
      <c r="V97" s="7" t="str">
        <f t="shared" si="15"/>
        <v/>
      </c>
      <c r="W97" s="8" t="str">
        <f t="shared" si="16"/>
        <v/>
      </c>
      <c r="X97" s="2"/>
      <c r="Y97" s="10"/>
      <c r="Z97" s="11" t="str">
        <f>IF(X97&lt;&gt;"执行卖出","",IFERROR(LOOKUP(2,1/(单次交易!$A$2:$A$163=B97),单次交易!$AP$2:$AP$163),""))</f>
        <v/>
      </c>
      <c r="AA97" s="10"/>
      <c r="AB97" s="8" t="str">
        <f t="shared" si="17"/>
        <v/>
      </c>
      <c r="AC97" s="8" t="str">
        <f>IF(A97="","",IF(A97="止损计划",IF(OR(B97="",D97="",E97="",F97="",G97=""),"计划不完整",IF(OR(D97&lt;1,D97&lt;&gt;INT(D97)),"阶段序号无效",IF(COUNTIFS($A$2:$A$497,"止损计划",$B$2:$B$497,B97,$D$2:$D$497,D97)&gt;1,"阶段序号重复",IF(E97&lt;=IFERROR(LOOKUP(2,1/(单次交易!$A$2:$A$163=B97),单次交易!$E$2:$E$163),0),"激活价须高于买入价",IF(F97&lt;N97,"止损价不得低于初始止损",IF(F97&gt;E97,"止损价不得高于激活价",IF(AND(COUNTIFS($A$2:$A$497,"止损计划",$B$2:$B$497,B97,$D$2:$D$497,"&lt;"&amp;D97)&gt;0,OR(E97&lt;=SUMPRODUCT(MAX((($A$2:$A$497="止损计划")*($B$2:$B$497=B97)*($D$2:$D$497&lt;D97))*$E$2:$E$497)),F97&lt;SUMPRODUCT(MAX((($A$2:$A$497="止损计划")*($B$2:$B$497=B97)*($D$2:$D$497&lt;D97))*$F$2:$F$497)))),"阶段价格必须逐级提高","计划有效"))))))),IF(A97="每日跟踪",IF(OR(B97="",H97="",I97="",J97=""),"每日数据不完整",IF(COUNTIFS($A$2:$A$497,"每日跟踪",$B$2:$B$497,B97,$H$2:$H$497,H97)&gt;1,"同一交易日期重复",IF(AND(R97&lt;&gt;"",R97&lt;S97),"人工止损无效：不能下调","跟踪有效"))),"记录类型无效")))</f>
        <v/>
      </c>
    </row>
    <row r="98" ht="17" spans="1:29">
      <c r="A98" s="2"/>
      <c r="B98" s="2"/>
      <c r="C98" s="8" t="str">
        <f>IF(B98="","",IFERROR(LOOKUP(2,1/(单次交易!$A$2:$A$163=B98),单次交易!$B$2:$B$163),""))</f>
        <v/>
      </c>
      <c r="D98" s="12"/>
      <c r="E98" s="10"/>
      <c r="F98" s="10"/>
      <c r="G98" s="2"/>
      <c r="H98" s="15"/>
      <c r="I98" s="10"/>
      <c r="J98" s="12"/>
      <c r="K98" s="2"/>
      <c r="L98" s="2"/>
      <c r="M98" s="2"/>
      <c r="N98" s="5" t="str">
        <f>IF(B98="","",IFERROR(LOOKUP(2,1/(单次交易!$A$2:$A$163=B98),单次交易!$N$2:$N$163),""))</f>
        <v/>
      </c>
      <c r="O98" s="5" t="str">
        <f t="shared" si="9"/>
        <v/>
      </c>
      <c r="P98" s="11" t="str">
        <f t="shared" si="10"/>
        <v/>
      </c>
      <c r="Q98" s="5" t="str">
        <f t="shared" si="11"/>
        <v/>
      </c>
      <c r="R98" s="10"/>
      <c r="S98" s="5" t="str">
        <f t="shared" si="12"/>
        <v/>
      </c>
      <c r="T98" s="5" t="str">
        <f t="shared" si="13"/>
        <v/>
      </c>
      <c r="U98" s="5" t="str">
        <f t="shared" si="14"/>
        <v/>
      </c>
      <c r="V98" s="7" t="str">
        <f t="shared" si="15"/>
        <v/>
      </c>
      <c r="W98" s="8" t="str">
        <f t="shared" si="16"/>
        <v/>
      </c>
      <c r="X98" s="2"/>
      <c r="Y98" s="10"/>
      <c r="Z98" s="11" t="str">
        <f>IF(X98&lt;&gt;"执行卖出","",IFERROR(LOOKUP(2,1/(单次交易!$A$2:$A$163=B98),单次交易!$AP$2:$AP$163),""))</f>
        <v/>
      </c>
      <c r="AA98" s="10"/>
      <c r="AB98" s="8" t="str">
        <f t="shared" si="17"/>
        <v/>
      </c>
      <c r="AC98" s="8" t="str">
        <f>IF(A98="","",IF(A98="止损计划",IF(OR(B98="",D98="",E98="",F98="",G98=""),"计划不完整",IF(OR(D98&lt;1,D98&lt;&gt;INT(D98)),"阶段序号无效",IF(COUNTIFS($A$2:$A$497,"止损计划",$B$2:$B$497,B98,$D$2:$D$497,D98)&gt;1,"阶段序号重复",IF(E98&lt;=IFERROR(LOOKUP(2,1/(单次交易!$A$2:$A$163=B98),单次交易!$E$2:$E$163),0),"激活价须高于买入价",IF(F98&lt;N98,"止损价不得低于初始止损",IF(F98&gt;E98,"止损价不得高于激活价",IF(AND(COUNTIFS($A$2:$A$497,"止损计划",$B$2:$B$497,B98,$D$2:$D$497,"&lt;"&amp;D98)&gt;0,OR(E98&lt;=SUMPRODUCT(MAX((($A$2:$A$497="止损计划")*($B$2:$B$497=B98)*($D$2:$D$497&lt;D98))*$E$2:$E$497)),F98&lt;SUMPRODUCT(MAX((($A$2:$A$497="止损计划")*($B$2:$B$497=B98)*($D$2:$D$497&lt;D98))*$F$2:$F$497)))),"阶段价格必须逐级提高","计划有效"))))))),IF(A98="每日跟踪",IF(OR(B98="",H98="",I98="",J98=""),"每日数据不完整",IF(COUNTIFS($A$2:$A$497,"每日跟踪",$B$2:$B$497,B98,$H$2:$H$497,H98)&gt;1,"同一交易日期重复",IF(AND(R98&lt;&gt;"",R98&lt;S98),"人工止损无效：不能下调","跟踪有效"))),"记录类型无效")))</f>
        <v/>
      </c>
    </row>
    <row r="99" ht="17" spans="1:29">
      <c r="A99" s="2"/>
      <c r="B99" s="2"/>
      <c r="C99" s="8" t="str">
        <f>IF(B99="","",IFERROR(LOOKUP(2,1/(单次交易!$A$2:$A$163=B99),单次交易!$B$2:$B$163),""))</f>
        <v/>
      </c>
      <c r="D99" s="12"/>
      <c r="E99" s="10"/>
      <c r="F99" s="10"/>
      <c r="G99" s="2"/>
      <c r="H99" s="15"/>
      <c r="I99" s="10"/>
      <c r="J99" s="12"/>
      <c r="K99" s="2"/>
      <c r="L99" s="2"/>
      <c r="M99" s="2"/>
      <c r="N99" s="5" t="str">
        <f>IF(B99="","",IFERROR(LOOKUP(2,1/(单次交易!$A$2:$A$163=B99),单次交易!$N$2:$N$163),""))</f>
        <v/>
      </c>
      <c r="O99" s="5" t="str">
        <f t="shared" si="9"/>
        <v/>
      </c>
      <c r="P99" s="11" t="str">
        <f t="shared" si="10"/>
        <v/>
      </c>
      <c r="Q99" s="5" t="str">
        <f t="shared" si="11"/>
        <v/>
      </c>
      <c r="R99" s="10"/>
      <c r="S99" s="5" t="str">
        <f t="shared" si="12"/>
        <v/>
      </c>
      <c r="T99" s="5" t="str">
        <f t="shared" si="13"/>
        <v/>
      </c>
      <c r="U99" s="5" t="str">
        <f t="shared" si="14"/>
        <v/>
      </c>
      <c r="V99" s="7" t="str">
        <f t="shared" si="15"/>
        <v/>
      </c>
      <c r="W99" s="8" t="str">
        <f t="shared" si="16"/>
        <v/>
      </c>
      <c r="X99" s="2"/>
      <c r="Y99" s="10"/>
      <c r="Z99" s="11" t="str">
        <f>IF(X99&lt;&gt;"执行卖出","",IFERROR(LOOKUP(2,1/(单次交易!$A$2:$A$163=B99),单次交易!$AP$2:$AP$163),""))</f>
        <v/>
      </c>
      <c r="AA99" s="10"/>
      <c r="AB99" s="8" t="str">
        <f t="shared" si="17"/>
        <v/>
      </c>
      <c r="AC99" s="8" t="str">
        <f>IF(A99="","",IF(A99="止损计划",IF(OR(B99="",D99="",E99="",F99="",G99=""),"计划不完整",IF(OR(D99&lt;1,D99&lt;&gt;INT(D99)),"阶段序号无效",IF(COUNTIFS($A$2:$A$497,"止损计划",$B$2:$B$497,B99,$D$2:$D$497,D99)&gt;1,"阶段序号重复",IF(E99&lt;=IFERROR(LOOKUP(2,1/(单次交易!$A$2:$A$163=B99),单次交易!$E$2:$E$163),0),"激活价须高于买入价",IF(F99&lt;N99,"止损价不得低于初始止损",IF(F99&gt;E99,"止损价不得高于激活价",IF(AND(COUNTIFS($A$2:$A$497,"止损计划",$B$2:$B$497,B99,$D$2:$D$497,"&lt;"&amp;D99)&gt;0,OR(E99&lt;=SUMPRODUCT(MAX((($A$2:$A$497="止损计划")*($B$2:$B$497=B99)*($D$2:$D$497&lt;D99))*$E$2:$E$497)),F99&lt;SUMPRODUCT(MAX((($A$2:$A$497="止损计划")*($B$2:$B$497=B99)*($D$2:$D$497&lt;D99))*$F$2:$F$497)))),"阶段价格必须逐级提高","计划有效"))))))),IF(A99="每日跟踪",IF(OR(B99="",H99="",I99="",J99=""),"每日数据不完整",IF(COUNTIFS($A$2:$A$497,"每日跟踪",$B$2:$B$497,B99,$H$2:$H$497,H99)&gt;1,"同一交易日期重复",IF(AND(R99&lt;&gt;"",R99&lt;S99),"人工止损无效：不能下调","跟踪有效"))),"记录类型无效")))</f>
        <v/>
      </c>
    </row>
    <row r="100" ht="17" spans="1:29">
      <c r="A100" s="2"/>
      <c r="B100" s="2"/>
      <c r="C100" s="8" t="str">
        <f>IF(B100="","",IFERROR(LOOKUP(2,1/(单次交易!$A$2:$A$163=B100),单次交易!$B$2:$B$163),""))</f>
        <v/>
      </c>
      <c r="D100" s="12"/>
      <c r="E100" s="10"/>
      <c r="F100" s="10"/>
      <c r="G100" s="2"/>
      <c r="H100" s="15"/>
      <c r="I100" s="10"/>
      <c r="J100" s="12"/>
      <c r="K100" s="2"/>
      <c r="L100" s="2"/>
      <c r="M100" s="2"/>
      <c r="N100" s="5" t="str">
        <f>IF(B100="","",IFERROR(LOOKUP(2,1/(单次交易!$A$2:$A$163=B100),单次交易!$N$2:$N$163),""))</f>
        <v/>
      </c>
      <c r="O100" s="5" t="str">
        <f t="shared" si="9"/>
        <v/>
      </c>
      <c r="P100" s="11" t="str">
        <f t="shared" si="10"/>
        <v/>
      </c>
      <c r="Q100" s="5" t="str">
        <f t="shared" si="11"/>
        <v/>
      </c>
      <c r="R100" s="10"/>
      <c r="S100" s="5" t="str">
        <f t="shared" si="12"/>
        <v/>
      </c>
      <c r="T100" s="5" t="str">
        <f t="shared" si="13"/>
        <v/>
      </c>
      <c r="U100" s="5" t="str">
        <f t="shared" si="14"/>
        <v/>
      </c>
      <c r="V100" s="7" t="str">
        <f t="shared" si="15"/>
        <v/>
      </c>
      <c r="W100" s="8" t="str">
        <f t="shared" si="16"/>
        <v/>
      </c>
      <c r="X100" s="2"/>
      <c r="Y100" s="10"/>
      <c r="Z100" s="11" t="str">
        <f>IF(X100&lt;&gt;"执行卖出","",IFERROR(LOOKUP(2,1/(单次交易!$A$2:$A$163=B100),单次交易!$AP$2:$AP$163),""))</f>
        <v/>
      </c>
      <c r="AA100" s="10"/>
      <c r="AB100" s="8" t="str">
        <f t="shared" si="17"/>
        <v/>
      </c>
      <c r="AC100" s="8" t="str">
        <f>IF(A100="","",IF(A100="止损计划",IF(OR(B100="",D100="",E100="",F100="",G100=""),"计划不完整",IF(OR(D100&lt;1,D100&lt;&gt;INT(D100)),"阶段序号无效",IF(COUNTIFS($A$2:$A$497,"止损计划",$B$2:$B$497,B100,$D$2:$D$497,D100)&gt;1,"阶段序号重复",IF(E100&lt;=IFERROR(LOOKUP(2,1/(单次交易!$A$2:$A$163=B100),单次交易!$E$2:$E$163),0),"激活价须高于买入价",IF(F100&lt;N100,"止损价不得低于初始止损",IF(F100&gt;E100,"止损价不得高于激活价",IF(AND(COUNTIFS($A$2:$A$497,"止损计划",$B$2:$B$497,B100,$D$2:$D$497,"&lt;"&amp;D100)&gt;0,OR(E100&lt;=SUMPRODUCT(MAX((($A$2:$A$497="止损计划")*($B$2:$B$497=B100)*($D$2:$D$497&lt;D100))*$E$2:$E$497)),F100&lt;SUMPRODUCT(MAX((($A$2:$A$497="止损计划")*($B$2:$B$497=B100)*($D$2:$D$497&lt;D100))*$F$2:$F$497)))),"阶段价格必须逐级提高","计划有效"))))))),IF(A100="每日跟踪",IF(OR(B100="",H100="",I100="",J100=""),"每日数据不完整",IF(COUNTIFS($A$2:$A$497,"每日跟踪",$B$2:$B$497,B100,$H$2:$H$497,H100)&gt;1,"同一交易日期重复",IF(AND(R100&lt;&gt;"",R100&lt;S100),"人工止损无效：不能下调","跟踪有效"))),"记录类型无效")))</f>
        <v/>
      </c>
    </row>
    <row r="101" ht="17" spans="1:29">
      <c r="A101" s="2"/>
      <c r="B101" s="2"/>
      <c r="C101" s="8" t="str">
        <f>IF(B101="","",IFERROR(LOOKUP(2,1/(单次交易!$A$2:$A$163=B101),单次交易!$B$2:$B$163),""))</f>
        <v/>
      </c>
      <c r="D101" s="12"/>
      <c r="E101" s="10"/>
      <c r="F101" s="10"/>
      <c r="G101" s="2"/>
      <c r="H101" s="15"/>
      <c r="I101" s="10"/>
      <c r="J101" s="12"/>
      <c r="K101" s="2"/>
      <c r="L101" s="2"/>
      <c r="M101" s="2"/>
      <c r="N101" s="5" t="str">
        <f>IF(B101="","",IFERROR(LOOKUP(2,1/(单次交易!$A$2:$A$163=B101),单次交易!$N$2:$N$163),""))</f>
        <v/>
      </c>
      <c r="O101" s="5" t="str">
        <f t="shared" si="9"/>
        <v/>
      </c>
      <c r="P101" s="11" t="str">
        <f t="shared" si="10"/>
        <v/>
      </c>
      <c r="Q101" s="5" t="str">
        <f t="shared" si="11"/>
        <v/>
      </c>
      <c r="R101" s="10"/>
      <c r="S101" s="5" t="str">
        <f t="shared" si="12"/>
        <v/>
      </c>
      <c r="T101" s="5" t="str">
        <f t="shared" si="13"/>
        <v/>
      </c>
      <c r="U101" s="5" t="str">
        <f t="shared" si="14"/>
        <v/>
      </c>
      <c r="V101" s="7" t="str">
        <f t="shared" si="15"/>
        <v/>
      </c>
      <c r="W101" s="8" t="str">
        <f t="shared" si="16"/>
        <v/>
      </c>
      <c r="X101" s="2"/>
      <c r="Y101" s="10"/>
      <c r="Z101" s="11" t="str">
        <f>IF(X101&lt;&gt;"执行卖出","",IFERROR(LOOKUP(2,1/(单次交易!$A$2:$A$163=B101),单次交易!$AP$2:$AP$163),""))</f>
        <v/>
      </c>
      <c r="AA101" s="10"/>
      <c r="AB101" s="8" t="str">
        <f t="shared" si="17"/>
        <v/>
      </c>
      <c r="AC101" s="8" t="str">
        <f>IF(A101="","",IF(A101="止损计划",IF(OR(B101="",D101="",E101="",F101="",G101=""),"计划不完整",IF(OR(D101&lt;1,D101&lt;&gt;INT(D101)),"阶段序号无效",IF(COUNTIFS($A$2:$A$497,"止损计划",$B$2:$B$497,B101,$D$2:$D$497,D101)&gt;1,"阶段序号重复",IF(E101&lt;=IFERROR(LOOKUP(2,1/(单次交易!$A$2:$A$163=B101),单次交易!$E$2:$E$163),0),"激活价须高于买入价",IF(F101&lt;N101,"止损价不得低于初始止损",IF(F101&gt;E101,"止损价不得高于激活价",IF(AND(COUNTIFS($A$2:$A$497,"止损计划",$B$2:$B$497,B101,$D$2:$D$497,"&lt;"&amp;D101)&gt;0,OR(E101&lt;=SUMPRODUCT(MAX((($A$2:$A$497="止损计划")*($B$2:$B$497=B101)*($D$2:$D$497&lt;D101))*$E$2:$E$497)),F101&lt;SUMPRODUCT(MAX((($A$2:$A$497="止损计划")*($B$2:$B$497=B101)*($D$2:$D$497&lt;D101))*$F$2:$F$497)))),"阶段价格必须逐级提高","计划有效"))))))),IF(A101="每日跟踪",IF(OR(B101="",H101="",I101="",J101=""),"每日数据不完整",IF(COUNTIFS($A$2:$A$497,"每日跟踪",$B$2:$B$497,B101,$H$2:$H$497,H101)&gt;1,"同一交易日期重复",IF(AND(R101&lt;&gt;"",R101&lt;S101),"人工止损无效：不能下调","跟踪有效"))),"记录类型无效")))</f>
        <v/>
      </c>
    </row>
    <row r="102" ht="17" spans="1:29">
      <c r="A102" s="2"/>
      <c r="B102" s="2"/>
      <c r="C102" s="8" t="str">
        <f>IF(B102="","",IFERROR(LOOKUP(2,1/(单次交易!$A$2:$A$163=B102),单次交易!$B$2:$B$163),""))</f>
        <v/>
      </c>
      <c r="D102" s="12"/>
      <c r="E102" s="10"/>
      <c r="F102" s="10"/>
      <c r="G102" s="2"/>
      <c r="H102" s="15"/>
      <c r="I102" s="10"/>
      <c r="J102" s="12"/>
      <c r="K102" s="2"/>
      <c r="L102" s="2"/>
      <c r="M102" s="2"/>
      <c r="N102" s="5" t="str">
        <f>IF(B102="","",IFERROR(LOOKUP(2,1/(单次交易!$A$2:$A$163=B102),单次交易!$N$2:$N$163),""))</f>
        <v/>
      </c>
      <c r="O102" s="5" t="str">
        <f t="shared" si="9"/>
        <v/>
      </c>
      <c r="P102" s="11" t="str">
        <f t="shared" si="10"/>
        <v/>
      </c>
      <c r="Q102" s="5" t="str">
        <f t="shared" si="11"/>
        <v/>
      </c>
      <c r="R102" s="10"/>
      <c r="S102" s="5" t="str">
        <f t="shared" si="12"/>
        <v/>
      </c>
      <c r="T102" s="5" t="str">
        <f t="shared" si="13"/>
        <v/>
      </c>
      <c r="U102" s="5" t="str">
        <f t="shared" si="14"/>
        <v/>
      </c>
      <c r="V102" s="7" t="str">
        <f t="shared" si="15"/>
        <v/>
      </c>
      <c r="W102" s="8" t="str">
        <f t="shared" si="16"/>
        <v/>
      </c>
      <c r="X102" s="2"/>
      <c r="Y102" s="10"/>
      <c r="Z102" s="11" t="str">
        <f>IF(X102&lt;&gt;"执行卖出","",IFERROR(LOOKUP(2,1/(单次交易!$A$2:$A$163=B102),单次交易!$AP$2:$AP$163),""))</f>
        <v/>
      </c>
      <c r="AA102" s="10"/>
      <c r="AB102" s="8" t="str">
        <f t="shared" si="17"/>
        <v/>
      </c>
      <c r="AC102" s="8" t="str">
        <f>IF(A102="","",IF(A102="止损计划",IF(OR(B102="",D102="",E102="",F102="",G102=""),"计划不完整",IF(OR(D102&lt;1,D102&lt;&gt;INT(D102)),"阶段序号无效",IF(COUNTIFS($A$2:$A$497,"止损计划",$B$2:$B$497,B102,$D$2:$D$497,D102)&gt;1,"阶段序号重复",IF(E102&lt;=IFERROR(LOOKUP(2,1/(单次交易!$A$2:$A$163=B102),单次交易!$E$2:$E$163),0),"激活价须高于买入价",IF(F102&lt;N102,"止损价不得低于初始止损",IF(F102&gt;E102,"止损价不得高于激活价",IF(AND(COUNTIFS($A$2:$A$497,"止损计划",$B$2:$B$497,B102,$D$2:$D$497,"&lt;"&amp;D102)&gt;0,OR(E102&lt;=SUMPRODUCT(MAX((($A$2:$A$497="止损计划")*($B$2:$B$497=B102)*($D$2:$D$497&lt;D102))*$E$2:$E$497)),F102&lt;SUMPRODUCT(MAX((($A$2:$A$497="止损计划")*($B$2:$B$497=B102)*($D$2:$D$497&lt;D102))*$F$2:$F$497)))),"阶段价格必须逐级提高","计划有效"))))))),IF(A102="每日跟踪",IF(OR(B102="",H102="",I102="",J102=""),"每日数据不完整",IF(COUNTIFS($A$2:$A$497,"每日跟踪",$B$2:$B$497,B102,$H$2:$H$497,H102)&gt;1,"同一交易日期重复",IF(AND(R102&lt;&gt;"",R102&lt;S102),"人工止损无效：不能下调","跟踪有效"))),"记录类型无效")))</f>
        <v/>
      </c>
    </row>
    <row r="103" ht="17" spans="1:29">
      <c r="A103" s="2"/>
      <c r="B103" s="2"/>
      <c r="C103" s="8" t="str">
        <f>IF(B103="","",IFERROR(LOOKUP(2,1/(单次交易!$A$2:$A$163=B103),单次交易!$B$2:$B$163),""))</f>
        <v/>
      </c>
      <c r="D103" s="12"/>
      <c r="E103" s="10"/>
      <c r="F103" s="10"/>
      <c r="G103" s="2"/>
      <c r="H103" s="15"/>
      <c r="I103" s="10"/>
      <c r="J103" s="12"/>
      <c r="K103" s="2"/>
      <c r="L103" s="2"/>
      <c r="M103" s="2"/>
      <c r="N103" s="5" t="str">
        <f>IF(B103="","",IFERROR(LOOKUP(2,1/(单次交易!$A$2:$A$163=B103),单次交易!$N$2:$N$163),""))</f>
        <v/>
      </c>
      <c r="O103" s="5" t="str">
        <f t="shared" si="9"/>
        <v/>
      </c>
      <c r="P103" s="11" t="str">
        <f t="shared" si="10"/>
        <v/>
      </c>
      <c r="Q103" s="5" t="str">
        <f t="shared" si="11"/>
        <v/>
      </c>
      <c r="R103" s="10"/>
      <c r="S103" s="5" t="str">
        <f t="shared" si="12"/>
        <v/>
      </c>
      <c r="T103" s="5" t="str">
        <f t="shared" si="13"/>
        <v/>
      </c>
      <c r="U103" s="5" t="str">
        <f t="shared" si="14"/>
        <v/>
      </c>
      <c r="V103" s="7" t="str">
        <f t="shared" si="15"/>
        <v/>
      </c>
      <c r="W103" s="8" t="str">
        <f t="shared" si="16"/>
        <v/>
      </c>
      <c r="X103" s="2"/>
      <c r="Y103" s="10"/>
      <c r="Z103" s="11" t="str">
        <f>IF(X103&lt;&gt;"执行卖出","",IFERROR(LOOKUP(2,1/(单次交易!$A$2:$A$163=B103),单次交易!$AP$2:$AP$163),""))</f>
        <v/>
      </c>
      <c r="AA103" s="10"/>
      <c r="AB103" s="8" t="str">
        <f t="shared" si="17"/>
        <v/>
      </c>
      <c r="AC103" s="8" t="str">
        <f>IF(A103="","",IF(A103="止损计划",IF(OR(B103="",D103="",E103="",F103="",G103=""),"计划不完整",IF(OR(D103&lt;1,D103&lt;&gt;INT(D103)),"阶段序号无效",IF(COUNTIFS($A$2:$A$497,"止损计划",$B$2:$B$497,B103,$D$2:$D$497,D103)&gt;1,"阶段序号重复",IF(E103&lt;=IFERROR(LOOKUP(2,1/(单次交易!$A$2:$A$163=B103),单次交易!$E$2:$E$163),0),"激活价须高于买入价",IF(F103&lt;N103,"止损价不得低于初始止损",IF(F103&gt;E103,"止损价不得高于激活价",IF(AND(COUNTIFS($A$2:$A$497,"止损计划",$B$2:$B$497,B103,$D$2:$D$497,"&lt;"&amp;D103)&gt;0,OR(E103&lt;=SUMPRODUCT(MAX((($A$2:$A$497="止损计划")*($B$2:$B$497=B103)*($D$2:$D$497&lt;D103))*$E$2:$E$497)),F103&lt;SUMPRODUCT(MAX((($A$2:$A$497="止损计划")*($B$2:$B$497=B103)*($D$2:$D$497&lt;D103))*$F$2:$F$497)))),"阶段价格必须逐级提高","计划有效"))))))),IF(A103="每日跟踪",IF(OR(B103="",H103="",I103="",J103=""),"每日数据不完整",IF(COUNTIFS($A$2:$A$497,"每日跟踪",$B$2:$B$497,B103,$H$2:$H$497,H103)&gt;1,"同一交易日期重复",IF(AND(R103&lt;&gt;"",R103&lt;S103),"人工止损无效：不能下调","跟踪有效"))),"记录类型无效")))</f>
        <v/>
      </c>
    </row>
    <row r="104" ht="17" spans="1:29">
      <c r="A104" s="2"/>
      <c r="B104" s="2"/>
      <c r="C104" s="8" t="str">
        <f>IF(B104="","",IFERROR(LOOKUP(2,1/(单次交易!$A$2:$A$163=B104),单次交易!$B$2:$B$163),""))</f>
        <v/>
      </c>
      <c r="D104" s="12"/>
      <c r="E104" s="10"/>
      <c r="F104" s="10"/>
      <c r="G104" s="2"/>
      <c r="H104" s="15"/>
      <c r="I104" s="10"/>
      <c r="J104" s="12"/>
      <c r="K104" s="2"/>
      <c r="L104" s="2"/>
      <c r="M104" s="2"/>
      <c r="N104" s="5" t="str">
        <f>IF(B104="","",IFERROR(LOOKUP(2,1/(单次交易!$A$2:$A$163=B104),单次交易!$N$2:$N$163),""))</f>
        <v/>
      </c>
      <c r="O104" s="5" t="str">
        <f t="shared" si="9"/>
        <v/>
      </c>
      <c r="P104" s="11" t="str">
        <f t="shared" si="10"/>
        <v/>
      </c>
      <c r="Q104" s="5" t="str">
        <f t="shared" si="11"/>
        <v/>
      </c>
      <c r="R104" s="10"/>
      <c r="S104" s="5" t="str">
        <f t="shared" si="12"/>
        <v/>
      </c>
      <c r="T104" s="5" t="str">
        <f t="shared" si="13"/>
        <v/>
      </c>
      <c r="U104" s="5" t="str">
        <f t="shared" si="14"/>
        <v/>
      </c>
      <c r="V104" s="7" t="str">
        <f t="shared" si="15"/>
        <v/>
      </c>
      <c r="W104" s="8" t="str">
        <f t="shared" si="16"/>
        <v/>
      </c>
      <c r="X104" s="2"/>
      <c r="Y104" s="10"/>
      <c r="Z104" s="11" t="str">
        <f>IF(X104&lt;&gt;"执行卖出","",IFERROR(LOOKUP(2,1/(单次交易!$A$2:$A$163=B104),单次交易!$AP$2:$AP$163),""))</f>
        <v/>
      </c>
      <c r="AA104" s="10"/>
      <c r="AB104" s="8" t="str">
        <f t="shared" si="17"/>
        <v/>
      </c>
      <c r="AC104" s="8" t="str">
        <f>IF(A104="","",IF(A104="止损计划",IF(OR(B104="",D104="",E104="",F104="",G104=""),"计划不完整",IF(OR(D104&lt;1,D104&lt;&gt;INT(D104)),"阶段序号无效",IF(COUNTIFS($A$2:$A$497,"止损计划",$B$2:$B$497,B104,$D$2:$D$497,D104)&gt;1,"阶段序号重复",IF(E104&lt;=IFERROR(LOOKUP(2,1/(单次交易!$A$2:$A$163=B104),单次交易!$E$2:$E$163),0),"激活价须高于买入价",IF(F104&lt;N104,"止损价不得低于初始止损",IF(F104&gt;E104,"止损价不得高于激活价",IF(AND(COUNTIFS($A$2:$A$497,"止损计划",$B$2:$B$497,B104,$D$2:$D$497,"&lt;"&amp;D104)&gt;0,OR(E104&lt;=SUMPRODUCT(MAX((($A$2:$A$497="止损计划")*($B$2:$B$497=B104)*($D$2:$D$497&lt;D104))*$E$2:$E$497)),F104&lt;SUMPRODUCT(MAX((($A$2:$A$497="止损计划")*($B$2:$B$497=B104)*($D$2:$D$497&lt;D104))*$F$2:$F$497)))),"阶段价格必须逐级提高","计划有效"))))))),IF(A104="每日跟踪",IF(OR(B104="",H104="",I104="",J104=""),"每日数据不完整",IF(COUNTIFS($A$2:$A$497,"每日跟踪",$B$2:$B$497,B104,$H$2:$H$497,H104)&gt;1,"同一交易日期重复",IF(AND(R104&lt;&gt;"",R104&lt;S104),"人工止损无效：不能下调","跟踪有效"))),"记录类型无效")))</f>
        <v/>
      </c>
    </row>
    <row r="105" ht="17" spans="1:29">
      <c r="A105" s="2"/>
      <c r="B105" s="2"/>
      <c r="C105" s="8" t="str">
        <f>IF(B105="","",IFERROR(LOOKUP(2,1/(单次交易!$A$2:$A$163=B105),单次交易!$B$2:$B$163),""))</f>
        <v/>
      </c>
      <c r="D105" s="12"/>
      <c r="E105" s="10"/>
      <c r="F105" s="10"/>
      <c r="G105" s="2"/>
      <c r="H105" s="15"/>
      <c r="I105" s="10"/>
      <c r="J105" s="12"/>
      <c r="K105" s="2"/>
      <c r="L105" s="2"/>
      <c r="M105" s="2"/>
      <c r="N105" s="5" t="str">
        <f>IF(B105="","",IFERROR(LOOKUP(2,1/(单次交易!$A$2:$A$163=B105),单次交易!$N$2:$N$163),""))</f>
        <v/>
      </c>
      <c r="O105" s="5" t="str">
        <f t="shared" si="9"/>
        <v/>
      </c>
      <c r="P105" s="11" t="str">
        <f t="shared" si="10"/>
        <v/>
      </c>
      <c r="Q105" s="5" t="str">
        <f t="shared" si="11"/>
        <v/>
      </c>
      <c r="R105" s="10"/>
      <c r="S105" s="5" t="str">
        <f t="shared" si="12"/>
        <v/>
      </c>
      <c r="T105" s="5" t="str">
        <f t="shared" si="13"/>
        <v/>
      </c>
      <c r="U105" s="5" t="str">
        <f t="shared" si="14"/>
        <v/>
      </c>
      <c r="V105" s="7" t="str">
        <f t="shared" si="15"/>
        <v/>
      </c>
      <c r="W105" s="8" t="str">
        <f t="shared" si="16"/>
        <v/>
      </c>
      <c r="X105" s="2"/>
      <c r="Y105" s="10"/>
      <c r="Z105" s="11" t="str">
        <f>IF(X105&lt;&gt;"执行卖出","",IFERROR(LOOKUP(2,1/(单次交易!$A$2:$A$163=B105),单次交易!$AP$2:$AP$163),""))</f>
        <v/>
      </c>
      <c r="AA105" s="10"/>
      <c r="AB105" s="8" t="str">
        <f t="shared" si="17"/>
        <v/>
      </c>
      <c r="AC105" s="8" t="str">
        <f>IF(A105="","",IF(A105="止损计划",IF(OR(B105="",D105="",E105="",F105="",G105=""),"计划不完整",IF(OR(D105&lt;1,D105&lt;&gt;INT(D105)),"阶段序号无效",IF(COUNTIFS($A$2:$A$497,"止损计划",$B$2:$B$497,B105,$D$2:$D$497,D105)&gt;1,"阶段序号重复",IF(E105&lt;=IFERROR(LOOKUP(2,1/(单次交易!$A$2:$A$163=B105),单次交易!$E$2:$E$163),0),"激活价须高于买入价",IF(F105&lt;N105,"止损价不得低于初始止损",IF(F105&gt;E105,"止损价不得高于激活价",IF(AND(COUNTIFS($A$2:$A$497,"止损计划",$B$2:$B$497,B105,$D$2:$D$497,"&lt;"&amp;D105)&gt;0,OR(E105&lt;=SUMPRODUCT(MAX((($A$2:$A$497="止损计划")*($B$2:$B$497=B105)*($D$2:$D$497&lt;D105))*$E$2:$E$497)),F105&lt;SUMPRODUCT(MAX((($A$2:$A$497="止损计划")*($B$2:$B$497=B105)*($D$2:$D$497&lt;D105))*$F$2:$F$497)))),"阶段价格必须逐级提高","计划有效"))))))),IF(A105="每日跟踪",IF(OR(B105="",H105="",I105="",J105=""),"每日数据不完整",IF(COUNTIFS($A$2:$A$497,"每日跟踪",$B$2:$B$497,B105,$H$2:$H$497,H105)&gt;1,"同一交易日期重复",IF(AND(R105&lt;&gt;"",R105&lt;S105),"人工止损无效：不能下调","跟踪有效"))),"记录类型无效")))</f>
        <v/>
      </c>
    </row>
    <row r="106" ht="17" spans="1:29">
      <c r="A106" s="2"/>
      <c r="B106" s="2"/>
      <c r="C106" s="8" t="str">
        <f>IF(B106="","",IFERROR(LOOKUP(2,1/(单次交易!$A$2:$A$163=B106),单次交易!$B$2:$B$163),""))</f>
        <v/>
      </c>
      <c r="D106" s="12"/>
      <c r="E106" s="10"/>
      <c r="F106" s="10"/>
      <c r="G106" s="2"/>
      <c r="H106" s="15"/>
      <c r="I106" s="10"/>
      <c r="J106" s="12"/>
      <c r="K106" s="2"/>
      <c r="L106" s="2"/>
      <c r="M106" s="2"/>
      <c r="N106" s="5" t="str">
        <f>IF(B106="","",IFERROR(LOOKUP(2,1/(单次交易!$A$2:$A$163=B106),单次交易!$N$2:$N$163),""))</f>
        <v/>
      </c>
      <c r="O106" s="5" t="str">
        <f t="shared" si="9"/>
        <v/>
      </c>
      <c r="P106" s="11" t="str">
        <f t="shared" si="10"/>
        <v/>
      </c>
      <c r="Q106" s="5" t="str">
        <f t="shared" si="11"/>
        <v/>
      </c>
      <c r="R106" s="10"/>
      <c r="S106" s="5" t="str">
        <f t="shared" si="12"/>
        <v/>
      </c>
      <c r="T106" s="5" t="str">
        <f t="shared" si="13"/>
        <v/>
      </c>
      <c r="U106" s="5" t="str">
        <f t="shared" si="14"/>
        <v/>
      </c>
      <c r="V106" s="7" t="str">
        <f t="shared" si="15"/>
        <v/>
      </c>
      <c r="W106" s="8" t="str">
        <f t="shared" si="16"/>
        <v/>
      </c>
      <c r="X106" s="2"/>
      <c r="Y106" s="10"/>
      <c r="Z106" s="11" t="str">
        <f>IF(X106&lt;&gt;"执行卖出","",IFERROR(LOOKUP(2,1/(单次交易!$A$2:$A$163=B106),单次交易!$AP$2:$AP$163),""))</f>
        <v/>
      </c>
      <c r="AA106" s="10"/>
      <c r="AB106" s="8" t="str">
        <f t="shared" si="17"/>
        <v/>
      </c>
      <c r="AC106" s="8" t="str">
        <f>IF(A106="","",IF(A106="止损计划",IF(OR(B106="",D106="",E106="",F106="",G106=""),"计划不完整",IF(OR(D106&lt;1,D106&lt;&gt;INT(D106)),"阶段序号无效",IF(COUNTIFS($A$2:$A$497,"止损计划",$B$2:$B$497,B106,$D$2:$D$497,D106)&gt;1,"阶段序号重复",IF(E106&lt;=IFERROR(LOOKUP(2,1/(单次交易!$A$2:$A$163=B106),单次交易!$E$2:$E$163),0),"激活价须高于买入价",IF(F106&lt;N106,"止损价不得低于初始止损",IF(F106&gt;E106,"止损价不得高于激活价",IF(AND(COUNTIFS($A$2:$A$497,"止损计划",$B$2:$B$497,B106,$D$2:$D$497,"&lt;"&amp;D106)&gt;0,OR(E106&lt;=SUMPRODUCT(MAX((($A$2:$A$497="止损计划")*($B$2:$B$497=B106)*($D$2:$D$497&lt;D106))*$E$2:$E$497)),F106&lt;SUMPRODUCT(MAX((($A$2:$A$497="止损计划")*($B$2:$B$497=B106)*($D$2:$D$497&lt;D106))*$F$2:$F$497)))),"阶段价格必须逐级提高","计划有效"))))))),IF(A106="每日跟踪",IF(OR(B106="",H106="",I106="",J106=""),"每日数据不完整",IF(COUNTIFS($A$2:$A$497,"每日跟踪",$B$2:$B$497,B106,$H$2:$H$497,H106)&gt;1,"同一交易日期重复",IF(AND(R106&lt;&gt;"",R106&lt;S106),"人工止损无效：不能下调","跟踪有效"))),"记录类型无效")))</f>
        <v/>
      </c>
    </row>
    <row r="107" ht="17" spans="1:29">
      <c r="A107" s="2"/>
      <c r="B107" s="2"/>
      <c r="C107" s="8" t="str">
        <f>IF(B107="","",IFERROR(LOOKUP(2,1/(单次交易!$A$2:$A$163=B107),单次交易!$B$2:$B$163),""))</f>
        <v/>
      </c>
      <c r="D107" s="12"/>
      <c r="E107" s="10"/>
      <c r="F107" s="10"/>
      <c r="G107" s="2"/>
      <c r="H107" s="15"/>
      <c r="I107" s="10"/>
      <c r="J107" s="12"/>
      <c r="K107" s="2"/>
      <c r="L107" s="2"/>
      <c r="M107" s="2"/>
      <c r="N107" s="5" t="str">
        <f>IF(B107="","",IFERROR(LOOKUP(2,1/(单次交易!$A$2:$A$163=B107),单次交易!$N$2:$N$163),""))</f>
        <v/>
      </c>
      <c r="O107" s="5" t="str">
        <f t="shared" si="9"/>
        <v/>
      </c>
      <c r="P107" s="11" t="str">
        <f t="shared" si="10"/>
        <v/>
      </c>
      <c r="Q107" s="5" t="str">
        <f t="shared" si="11"/>
        <v/>
      </c>
      <c r="R107" s="10"/>
      <c r="S107" s="5" t="str">
        <f t="shared" si="12"/>
        <v/>
      </c>
      <c r="T107" s="5" t="str">
        <f t="shared" si="13"/>
        <v/>
      </c>
      <c r="U107" s="5" t="str">
        <f t="shared" si="14"/>
        <v/>
      </c>
      <c r="V107" s="7" t="str">
        <f t="shared" si="15"/>
        <v/>
      </c>
      <c r="W107" s="8" t="str">
        <f t="shared" si="16"/>
        <v/>
      </c>
      <c r="X107" s="2"/>
      <c r="Y107" s="10"/>
      <c r="Z107" s="11" t="str">
        <f>IF(X107&lt;&gt;"执行卖出","",IFERROR(LOOKUP(2,1/(单次交易!$A$2:$A$163=B107),单次交易!$AP$2:$AP$163),""))</f>
        <v/>
      </c>
      <c r="AA107" s="10"/>
      <c r="AB107" s="8" t="str">
        <f t="shared" si="17"/>
        <v/>
      </c>
      <c r="AC107" s="8" t="str">
        <f>IF(A107="","",IF(A107="止损计划",IF(OR(B107="",D107="",E107="",F107="",G107=""),"计划不完整",IF(OR(D107&lt;1,D107&lt;&gt;INT(D107)),"阶段序号无效",IF(COUNTIFS($A$2:$A$497,"止损计划",$B$2:$B$497,B107,$D$2:$D$497,D107)&gt;1,"阶段序号重复",IF(E107&lt;=IFERROR(LOOKUP(2,1/(单次交易!$A$2:$A$163=B107),单次交易!$E$2:$E$163),0),"激活价须高于买入价",IF(F107&lt;N107,"止损价不得低于初始止损",IF(F107&gt;E107,"止损价不得高于激活价",IF(AND(COUNTIFS($A$2:$A$497,"止损计划",$B$2:$B$497,B107,$D$2:$D$497,"&lt;"&amp;D107)&gt;0,OR(E107&lt;=SUMPRODUCT(MAX((($A$2:$A$497="止损计划")*($B$2:$B$497=B107)*($D$2:$D$497&lt;D107))*$E$2:$E$497)),F107&lt;SUMPRODUCT(MAX((($A$2:$A$497="止损计划")*($B$2:$B$497=B107)*($D$2:$D$497&lt;D107))*$F$2:$F$497)))),"阶段价格必须逐级提高","计划有效"))))))),IF(A107="每日跟踪",IF(OR(B107="",H107="",I107="",J107=""),"每日数据不完整",IF(COUNTIFS($A$2:$A$497,"每日跟踪",$B$2:$B$497,B107,$H$2:$H$497,H107)&gt;1,"同一交易日期重复",IF(AND(R107&lt;&gt;"",R107&lt;S107),"人工止损无效：不能下调","跟踪有效"))),"记录类型无效")))</f>
        <v/>
      </c>
    </row>
    <row r="108" ht="17" spans="1:29">
      <c r="A108" s="2"/>
      <c r="B108" s="2"/>
      <c r="C108" s="8" t="str">
        <f>IF(B108="","",IFERROR(LOOKUP(2,1/(单次交易!$A$2:$A$163=B108),单次交易!$B$2:$B$163),""))</f>
        <v/>
      </c>
      <c r="D108" s="12"/>
      <c r="E108" s="10"/>
      <c r="F108" s="10"/>
      <c r="G108" s="2"/>
      <c r="H108" s="15"/>
      <c r="I108" s="10"/>
      <c r="J108" s="12"/>
      <c r="K108" s="2"/>
      <c r="L108" s="2"/>
      <c r="M108" s="2"/>
      <c r="N108" s="5" t="str">
        <f>IF(B108="","",IFERROR(LOOKUP(2,1/(单次交易!$A$2:$A$163=B108),单次交易!$N$2:$N$163),""))</f>
        <v/>
      </c>
      <c r="O108" s="5" t="str">
        <f t="shared" si="9"/>
        <v/>
      </c>
      <c r="P108" s="11" t="str">
        <f t="shared" si="10"/>
        <v/>
      </c>
      <c r="Q108" s="5" t="str">
        <f t="shared" si="11"/>
        <v/>
      </c>
      <c r="R108" s="10"/>
      <c r="S108" s="5" t="str">
        <f t="shared" si="12"/>
        <v/>
      </c>
      <c r="T108" s="5" t="str">
        <f t="shared" si="13"/>
        <v/>
      </c>
      <c r="U108" s="5" t="str">
        <f t="shared" si="14"/>
        <v/>
      </c>
      <c r="V108" s="7" t="str">
        <f t="shared" si="15"/>
        <v/>
      </c>
      <c r="W108" s="8" t="str">
        <f t="shared" si="16"/>
        <v/>
      </c>
      <c r="X108" s="2"/>
      <c r="Y108" s="10"/>
      <c r="Z108" s="11" t="str">
        <f>IF(X108&lt;&gt;"执行卖出","",IFERROR(LOOKUP(2,1/(单次交易!$A$2:$A$163=B108),单次交易!$AP$2:$AP$163),""))</f>
        <v/>
      </c>
      <c r="AA108" s="10"/>
      <c r="AB108" s="8" t="str">
        <f t="shared" si="17"/>
        <v/>
      </c>
      <c r="AC108" s="8" t="str">
        <f>IF(A108="","",IF(A108="止损计划",IF(OR(B108="",D108="",E108="",F108="",G108=""),"计划不完整",IF(OR(D108&lt;1,D108&lt;&gt;INT(D108)),"阶段序号无效",IF(COUNTIFS($A$2:$A$497,"止损计划",$B$2:$B$497,B108,$D$2:$D$497,D108)&gt;1,"阶段序号重复",IF(E108&lt;=IFERROR(LOOKUP(2,1/(单次交易!$A$2:$A$163=B108),单次交易!$E$2:$E$163),0),"激活价须高于买入价",IF(F108&lt;N108,"止损价不得低于初始止损",IF(F108&gt;E108,"止损价不得高于激活价",IF(AND(COUNTIFS($A$2:$A$497,"止损计划",$B$2:$B$497,B108,$D$2:$D$497,"&lt;"&amp;D108)&gt;0,OR(E108&lt;=SUMPRODUCT(MAX((($A$2:$A$497="止损计划")*($B$2:$B$497=B108)*($D$2:$D$497&lt;D108))*$E$2:$E$497)),F108&lt;SUMPRODUCT(MAX((($A$2:$A$497="止损计划")*($B$2:$B$497=B108)*($D$2:$D$497&lt;D108))*$F$2:$F$497)))),"阶段价格必须逐级提高","计划有效"))))))),IF(A108="每日跟踪",IF(OR(B108="",H108="",I108="",J108=""),"每日数据不完整",IF(COUNTIFS($A$2:$A$497,"每日跟踪",$B$2:$B$497,B108,$H$2:$H$497,H108)&gt;1,"同一交易日期重复",IF(AND(R108&lt;&gt;"",R108&lt;S108),"人工止损无效：不能下调","跟踪有效"))),"记录类型无效")))</f>
        <v/>
      </c>
    </row>
    <row r="109" ht="17" spans="1:29">
      <c r="A109" s="2"/>
      <c r="B109" s="2"/>
      <c r="C109" s="8" t="str">
        <f>IF(B109="","",IFERROR(LOOKUP(2,1/(单次交易!$A$2:$A$163=B109),单次交易!$B$2:$B$163),""))</f>
        <v/>
      </c>
      <c r="D109" s="12"/>
      <c r="E109" s="10"/>
      <c r="F109" s="10"/>
      <c r="G109" s="2"/>
      <c r="H109" s="15"/>
      <c r="I109" s="10"/>
      <c r="J109" s="12"/>
      <c r="K109" s="2"/>
      <c r="L109" s="2"/>
      <c r="M109" s="2"/>
      <c r="N109" s="5" t="str">
        <f>IF(B109="","",IFERROR(LOOKUP(2,1/(单次交易!$A$2:$A$163=B109),单次交易!$N$2:$N$163),""))</f>
        <v/>
      </c>
      <c r="O109" s="5" t="str">
        <f t="shared" si="9"/>
        <v/>
      </c>
      <c r="P109" s="11" t="str">
        <f t="shared" si="10"/>
        <v/>
      </c>
      <c r="Q109" s="5" t="str">
        <f t="shared" si="11"/>
        <v/>
      </c>
      <c r="R109" s="10"/>
      <c r="S109" s="5" t="str">
        <f t="shared" si="12"/>
        <v/>
      </c>
      <c r="T109" s="5" t="str">
        <f t="shared" si="13"/>
        <v/>
      </c>
      <c r="U109" s="5" t="str">
        <f t="shared" si="14"/>
        <v/>
      </c>
      <c r="V109" s="7" t="str">
        <f t="shared" si="15"/>
        <v/>
      </c>
      <c r="W109" s="8" t="str">
        <f t="shared" si="16"/>
        <v/>
      </c>
      <c r="X109" s="2"/>
      <c r="Y109" s="10"/>
      <c r="Z109" s="11" t="str">
        <f>IF(X109&lt;&gt;"执行卖出","",IFERROR(LOOKUP(2,1/(单次交易!$A$2:$A$163=B109),单次交易!$AP$2:$AP$163),""))</f>
        <v/>
      </c>
      <c r="AA109" s="10"/>
      <c r="AB109" s="8" t="str">
        <f t="shared" si="17"/>
        <v/>
      </c>
      <c r="AC109" s="8" t="str">
        <f>IF(A109="","",IF(A109="止损计划",IF(OR(B109="",D109="",E109="",F109="",G109=""),"计划不完整",IF(OR(D109&lt;1,D109&lt;&gt;INT(D109)),"阶段序号无效",IF(COUNTIFS($A$2:$A$497,"止损计划",$B$2:$B$497,B109,$D$2:$D$497,D109)&gt;1,"阶段序号重复",IF(E109&lt;=IFERROR(LOOKUP(2,1/(单次交易!$A$2:$A$163=B109),单次交易!$E$2:$E$163),0),"激活价须高于买入价",IF(F109&lt;N109,"止损价不得低于初始止损",IF(F109&gt;E109,"止损价不得高于激活价",IF(AND(COUNTIFS($A$2:$A$497,"止损计划",$B$2:$B$497,B109,$D$2:$D$497,"&lt;"&amp;D109)&gt;0,OR(E109&lt;=SUMPRODUCT(MAX((($A$2:$A$497="止损计划")*($B$2:$B$497=B109)*($D$2:$D$497&lt;D109))*$E$2:$E$497)),F109&lt;SUMPRODUCT(MAX((($A$2:$A$497="止损计划")*($B$2:$B$497=B109)*($D$2:$D$497&lt;D109))*$F$2:$F$497)))),"阶段价格必须逐级提高","计划有效"))))))),IF(A109="每日跟踪",IF(OR(B109="",H109="",I109="",J109=""),"每日数据不完整",IF(COUNTIFS($A$2:$A$497,"每日跟踪",$B$2:$B$497,B109,$H$2:$H$497,H109)&gt;1,"同一交易日期重复",IF(AND(R109&lt;&gt;"",R109&lt;S109),"人工止损无效：不能下调","跟踪有效"))),"记录类型无效")))</f>
        <v/>
      </c>
    </row>
    <row r="110" ht="17" spans="1:29">
      <c r="A110" s="2"/>
      <c r="B110" s="2"/>
      <c r="C110" s="8" t="str">
        <f>IF(B110="","",IFERROR(LOOKUP(2,1/(单次交易!$A$2:$A$163=B110),单次交易!$B$2:$B$163),""))</f>
        <v/>
      </c>
      <c r="D110" s="12"/>
      <c r="E110" s="10"/>
      <c r="F110" s="10"/>
      <c r="G110" s="2"/>
      <c r="H110" s="15"/>
      <c r="I110" s="10"/>
      <c r="J110" s="12"/>
      <c r="K110" s="2"/>
      <c r="L110" s="2"/>
      <c r="M110" s="2"/>
      <c r="N110" s="5" t="str">
        <f>IF(B110="","",IFERROR(LOOKUP(2,1/(单次交易!$A$2:$A$163=B110),单次交易!$N$2:$N$163),""))</f>
        <v/>
      </c>
      <c r="O110" s="5" t="str">
        <f t="shared" si="9"/>
        <v/>
      </c>
      <c r="P110" s="11" t="str">
        <f t="shared" si="10"/>
        <v/>
      </c>
      <c r="Q110" s="5" t="str">
        <f t="shared" si="11"/>
        <v/>
      </c>
      <c r="R110" s="10"/>
      <c r="S110" s="5" t="str">
        <f t="shared" si="12"/>
        <v/>
      </c>
      <c r="T110" s="5" t="str">
        <f t="shared" si="13"/>
        <v/>
      </c>
      <c r="U110" s="5" t="str">
        <f t="shared" si="14"/>
        <v/>
      </c>
      <c r="V110" s="7" t="str">
        <f t="shared" si="15"/>
        <v/>
      </c>
      <c r="W110" s="8" t="str">
        <f t="shared" si="16"/>
        <v/>
      </c>
      <c r="X110" s="2"/>
      <c r="Y110" s="10"/>
      <c r="Z110" s="11" t="str">
        <f>IF(X110&lt;&gt;"执行卖出","",IFERROR(LOOKUP(2,1/(单次交易!$A$2:$A$163=B110),单次交易!$AP$2:$AP$163),""))</f>
        <v/>
      </c>
      <c r="AA110" s="10"/>
      <c r="AB110" s="8" t="str">
        <f t="shared" si="17"/>
        <v/>
      </c>
      <c r="AC110" s="8" t="str">
        <f>IF(A110="","",IF(A110="止损计划",IF(OR(B110="",D110="",E110="",F110="",G110=""),"计划不完整",IF(OR(D110&lt;1,D110&lt;&gt;INT(D110)),"阶段序号无效",IF(COUNTIFS($A$2:$A$497,"止损计划",$B$2:$B$497,B110,$D$2:$D$497,D110)&gt;1,"阶段序号重复",IF(E110&lt;=IFERROR(LOOKUP(2,1/(单次交易!$A$2:$A$163=B110),单次交易!$E$2:$E$163),0),"激活价须高于买入价",IF(F110&lt;N110,"止损价不得低于初始止损",IF(F110&gt;E110,"止损价不得高于激活价",IF(AND(COUNTIFS($A$2:$A$497,"止损计划",$B$2:$B$497,B110,$D$2:$D$497,"&lt;"&amp;D110)&gt;0,OR(E110&lt;=SUMPRODUCT(MAX((($A$2:$A$497="止损计划")*($B$2:$B$497=B110)*($D$2:$D$497&lt;D110))*$E$2:$E$497)),F110&lt;SUMPRODUCT(MAX((($A$2:$A$497="止损计划")*($B$2:$B$497=B110)*($D$2:$D$497&lt;D110))*$F$2:$F$497)))),"阶段价格必须逐级提高","计划有效"))))))),IF(A110="每日跟踪",IF(OR(B110="",H110="",I110="",J110=""),"每日数据不完整",IF(COUNTIFS($A$2:$A$497,"每日跟踪",$B$2:$B$497,B110,$H$2:$H$497,H110)&gt;1,"同一交易日期重复",IF(AND(R110&lt;&gt;"",R110&lt;S110),"人工止损无效：不能下调","跟踪有效"))),"记录类型无效")))</f>
        <v/>
      </c>
    </row>
    <row r="111" ht="17" spans="1:29">
      <c r="A111" s="2"/>
      <c r="B111" s="2"/>
      <c r="C111" s="8" t="str">
        <f>IF(B111="","",IFERROR(LOOKUP(2,1/(单次交易!$A$2:$A$163=B111),单次交易!$B$2:$B$163),""))</f>
        <v/>
      </c>
      <c r="D111" s="12"/>
      <c r="E111" s="10"/>
      <c r="F111" s="10"/>
      <c r="G111" s="2"/>
      <c r="H111" s="15"/>
      <c r="I111" s="10"/>
      <c r="J111" s="12"/>
      <c r="K111" s="2"/>
      <c r="L111" s="2"/>
      <c r="M111" s="2"/>
      <c r="N111" s="5" t="str">
        <f>IF(B111="","",IFERROR(LOOKUP(2,1/(单次交易!$A$2:$A$163=B111),单次交易!$N$2:$N$163),""))</f>
        <v/>
      </c>
      <c r="O111" s="5" t="str">
        <f t="shared" si="9"/>
        <v/>
      </c>
      <c r="P111" s="11" t="str">
        <f t="shared" si="10"/>
        <v/>
      </c>
      <c r="Q111" s="5" t="str">
        <f t="shared" si="11"/>
        <v/>
      </c>
      <c r="R111" s="10"/>
      <c r="S111" s="5" t="str">
        <f t="shared" si="12"/>
        <v/>
      </c>
      <c r="T111" s="5" t="str">
        <f t="shared" si="13"/>
        <v/>
      </c>
      <c r="U111" s="5" t="str">
        <f t="shared" si="14"/>
        <v/>
      </c>
      <c r="V111" s="7" t="str">
        <f t="shared" si="15"/>
        <v/>
      </c>
      <c r="W111" s="8" t="str">
        <f t="shared" si="16"/>
        <v/>
      </c>
      <c r="X111" s="2"/>
      <c r="Y111" s="10"/>
      <c r="Z111" s="11" t="str">
        <f>IF(X111&lt;&gt;"执行卖出","",IFERROR(LOOKUP(2,1/(单次交易!$A$2:$A$163=B111),单次交易!$AP$2:$AP$163),""))</f>
        <v/>
      </c>
      <c r="AA111" s="10"/>
      <c r="AB111" s="8" t="str">
        <f t="shared" si="17"/>
        <v/>
      </c>
      <c r="AC111" s="8" t="str">
        <f>IF(A111="","",IF(A111="止损计划",IF(OR(B111="",D111="",E111="",F111="",G111=""),"计划不完整",IF(OR(D111&lt;1,D111&lt;&gt;INT(D111)),"阶段序号无效",IF(COUNTIFS($A$2:$A$497,"止损计划",$B$2:$B$497,B111,$D$2:$D$497,D111)&gt;1,"阶段序号重复",IF(E111&lt;=IFERROR(LOOKUP(2,1/(单次交易!$A$2:$A$163=B111),单次交易!$E$2:$E$163),0),"激活价须高于买入价",IF(F111&lt;N111,"止损价不得低于初始止损",IF(F111&gt;E111,"止损价不得高于激活价",IF(AND(COUNTIFS($A$2:$A$497,"止损计划",$B$2:$B$497,B111,$D$2:$D$497,"&lt;"&amp;D111)&gt;0,OR(E111&lt;=SUMPRODUCT(MAX((($A$2:$A$497="止损计划")*($B$2:$B$497=B111)*($D$2:$D$497&lt;D111))*$E$2:$E$497)),F111&lt;SUMPRODUCT(MAX((($A$2:$A$497="止损计划")*($B$2:$B$497=B111)*($D$2:$D$497&lt;D111))*$F$2:$F$497)))),"阶段价格必须逐级提高","计划有效"))))))),IF(A111="每日跟踪",IF(OR(B111="",H111="",I111="",J111=""),"每日数据不完整",IF(COUNTIFS($A$2:$A$497,"每日跟踪",$B$2:$B$497,B111,$H$2:$H$497,H111)&gt;1,"同一交易日期重复",IF(AND(R111&lt;&gt;"",R111&lt;S111),"人工止损无效：不能下调","跟踪有效"))),"记录类型无效")))</f>
        <v/>
      </c>
    </row>
    <row r="112" ht="17" spans="1:29">
      <c r="A112" s="2"/>
      <c r="B112" s="2"/>
      <c r="C112" s="8" t="str">
        <f>IF(B112="","",IFERROR(LOOKUP(2,1/(单次交易!$A$2:$A$163=B112),单次交易!$B$2:$B$163),""))</f>
        <v/>
      </c>
      <c r="D112" s="12"/>
      <c r="E112" s="10"/>
      <c r="F112" s="10"/>
      <c r="G112" s="2"/>
      <c r="H112" s="15"/>
      <c r="I112" s="10"/>
      <c r="J112" s="12"/>
      <c r="K112" s="2"/>
      <c r="L112" s="2"/>
      <c r="M112" s="2"/>
      <c r="N112" s="5" t="str">
        <f>IF(B112="","",IFERROR(LOOKUP(2,1/(单次交易!$A$2:$A$163=B112),单次交易!$N$2:$N$163),""))</f>
        <v/>
      </c>
      <c r="O112" s="5" t="str">
        <f t="shared" si="9"/>
        <v/>
      </c>
      <c r="P112" s="11" t="str">
        <f t="shared" si="10"/>
        <v/>
      </c>
      <c r="Q112" s="5" t="str">
        <f t="shared" si="11"/>
        <v/>
      </c>
      <c r="R112" s="10"/>
      <c r="S112" s="5" t="str">
        <f t="shared" si="12"/>
        <v/>
      </c>
      <c r="T112" s="5" t="str">
        <f t="shared" si="13"/>
        <v/>
      </c>
      <c r="U112" s="5" t="str">
        <f t="shared" si="14"/>
        <v/>
      </c>
      <c r="V112" s="7" t="str">
        <f t="shared" si="15"/>
        <v/>
      </c>
      <c r="W112" s="8" t="str">
        <f t="shared" si="16"/>
        <v/>
      </c>
      <c r="X112" s="2"/>
      <c r="Y112" s="10"/>
      <c r="Z112" s="11" t="str">
        <f>IF(X112&lt;&gt;"执行卖出","",IFERROR(LOOKUP(2,1/(单次交易!$A$2:$A$163=B112),单次交易!$AP$2:$AP$163),""))</f>
        <v/>
      </c>
      <c r="AA112" s="10"/>
      <c r="AB112" s="8" t="str">
        <f t="shared" si="17"/>
        <v/>
      </c>
      <c r="AC112" s="8" t="str">
        <f>IF(A112="","",IF(A112="止损计划",IF(OR(B112="",D112="",E112="",F112="",G112=""),"计划不完整",IF(OR(D112&lt;1,D112&lt;&gt;INT(D112)),"阶段序号无效",IF(COUNTIFS($A$2:$A$497,"止损计划",$B$2:$B$497,B112,$D$2:$D$497,D112)&gt;1,"阶段序号重复",IF(E112&lt;=IFERROR(LOOKUP(2,1/(单次交易!$A$2:$A$163=B112),单次交易!$E$2:$E$163),0),"激活价须高于买入价",IF(F112&lt;N112,"止损价不得低于初始止损",IF(F112&gt;E112,"止损价不得高于激活价",IF(AND(COUNTIFS($A$2:$A$497,"止损计划",$B$2:$B$497,B112,$D$2:$D$497,"&lt;"&amp;D112)&gt;0,OR(E112&lt;=SUMPRODUCT(MAX((($A$2:$A$497="止损计划")*($B$2:$B$497=B112)*($D$2:$D$497&lt;D112))*$E$2:$E$497)),F112&lt;SUMPRODUCT(MAX((($A$2:$A$497="止损计划")*($B$2:$B$497=B112)*($D$2:$D$497&lt;D112))*$F$2:$F$497)))),"阶段价格必须逐级提高","计划有效"))))))),IF(A112="每日跟踪",IF(OR(B112="",H112="",I112="",J112=""),"每日数据不完整",IF(COUNTIFS($A$2:$A$497,"每日跟踪",$B$2:$B$497,B112,$H$2:$H$497,H112)&gt;1,"同一交易日期重复",IF(AND(R112&lt;&gt;"",R112&lt;S112),"人工止损无效：不能下调","跟踪有效"))),"记录类型无效")))</f>
        <v/>
      </c>
    </row>
    <row r="113" ht="17" spans="1:29">
      <c r="A113" s="2"/>
      <c r="B113" s="2"/>
      <c r="C113" s="8" t="str">
        <f>IF(B113="","",IFERROR(LOOKUP(2,1/(单次交易!$A$2:$A$163=B113),单次交易!$B$2:$B$163),""))</f>
        <v/>
      </c>
      <c r="D113" s="12"/>
      <c r="E113" s="10"/>
      <c r="F113" s="10"/>
      <c r="G113" s="2"/>
      <c r="H113" s="15"/>
      <c r="I113" s="10"/>
      <c r="J113" s="12"/>
      <c r="K113" s="2"/>
      <c r="L113" s="2"/>
      <c r="M113" s="2"/>
      <c r="N113" s="5" t="str">
        <f>IF(B113="","",IFERROR(LOOKUP(2,1/(单次交易!$A$2:$A$163=B113),单次交易!$N$2:$N$163),""))</f>
        <v/>
      </c>
      <c r="O113" s="5" t="str">
        <f t="shared" si="9"/>
        <v/>
      </c>
      <c r="P113" s="11" t="str">
        <f t="shared" si="10"/>
        <v/>
      </c>
      <c r="Q113" s="5" t="str">
        <f t="shared" si="11"/>
        <v/>
      </c>
      <c r="R113" s="10"/>
      <c r="S113" s="5" t="str">
        <f t="shared" si="12"/>
        <v/>
      </c>
      <c r="T113" s="5" t="str">
        <f t="shared" si="13"/>
        <v/>
      </c>
      <c r="U113" s="5" t="str">
        <f t="shared" si="14"/>
        <v/>
      </c>
      <c r="V113" s="7" t="str">
        <f t="shared" si="15"/>
        <v/>
      </c>
      <c r="W113" s="8" t="str">
        <f t="shared" si="16"/>
        <v/>
      </c>
      <c r="X113" s="2"/>
      <c r="Y113" s="10"/>
      <c r="Z113" s="11" t="str">
        <f>IF(X113&lt;&gt;"执行卖出","",IFERROR(LOOKUP(2,1/(单次交易!$A$2:$A$163=B113),单次交易!$AP$2:$AP$163),""))</f>
        <v/>
      </c>
      <c r="AA113" s="10"/>
      <c r="AB113" s="8" t="str">
        <f t="shared" si="17"/>
        <v/>
      </c>
      <c r="AC113" s="8" t="str">
        <f>IF(A113="","",IF(A113="止损计划",IF(OR(B113="",D113="",E113="",F113="",G113=""),"计划不完整",IF(OR(D113&lt;1,D113&lt;&gt;INT(D113)),"阶段序号无效",IF(COUNTIFS($A$2:$A$497,"止损计划",$B$2:$B$497,B113,$D$2:$D$497,D113)&gt;1,"阶段序号重复",IF(E113&lt;=IFERROR(LOOKUP(2,1/(单次交易!$A$2:$A$163=B113),单次交易!$E$2:$E$163),0),"激活价须高于买入价",IF(F113&lt;N113,"止损价不得低于初始止损",IF(F113&gt;E113,"止损价不得高于激活价",IF(AND(COUNTIFS($A$2:$A$497,"止损计划",$B$2:$B$497,B113,$D$2:$D$497,"&lt;"&amp;D113)&gt;0,OR(E113&lt;=SUMPRODUCT(MAX((($A$2:$A$497="止损计划")*($B$2:$B$497=B113)*($D$2:$D$497&lt;D113))*$E$2:$E$497)),F113&lt;SUMPRODUCT(MAX((($A$2:$A$497="止损计划")*($B$2:$B$497=B113)*($D$2:$D$497&lt;D113))*$F$2:$F$497)))),"阶段价格必须逐级提高","计划有效"))))))),IF(A113="每日跟踪",IF(OR(B113="",H113="",I113="",J113=""),"每日数据不完整",IF(COUNTIFS($A$2:$A$497,"每日跟踪",$B$2:$B$497,B113,$H$2:$H$497,H113)&gt;1,"同一交易日期重复",IF(AND(R113&lt;&gt;"",R113&lt;S113),"人工止损无效：不能下调","跟踪有效"))),"记录类型无效")))</f>
        <v/>
      </c>
    </row>
    <row r="114" ht="17" spans="1:29">
      <c r="A114" s="2"/>
      <c r="B114" s="2"/>
      <c r="C114" s="8" t="str">
        <f>IF(B114="","",IFERROR(LOOKUP(2,1/(单次交易!$A$2:$A$163=B114),单次交易!$B$2:$B$163),""))</f>
        <v/>
      </c>
      <c r="D114" s="12"/>
      <c r="E114" s="10"/>
      <c r="F114" s="10"/>
      <c r="G114" s="2"/>
      <c r="H114" s="15"/>
      <c r="I114" s="10"/>
      <c r="J114" s="12"/>
      <c r="K114" s="2"/>
      <c r="L114" s="2"/>
      <c r="M114" s="2"/>
      <c r="N114" s="5" t="str">
        <f>IF(B114="","",IFERROR(LOOKUP(2,1/(单次交易!$A$2:$A$163=B114),单次交易!$N$2:$N$163),""))</f>
        <v/>
      </c>
      <c r="O114" s="5" t="str">
        <f t="shared" si="9"/>
        <v/>
      </c>
      <c r="P114" s="11" t="str">
        <f t="shared" si="10"/>
        <v/>
      </c>
      <c r="Q114" s="5" t="str">
        <f t="shared" si="11"/>
        <v/>
      </c>
      <c r="R114" s="10"/>
      <c r="S114" s="5" t="str">
        <f t="shared" si="12"/>
        <v/>
      </c>
      <c r="T114" s="5" t="str">
        <f t="shared" si="13"/>
        <v/>
      </c>
      <c r="U114" s="5" t="str">
        <f t="shared" si="14"/>
        <v/>
      </c>
      <c r="V114" s="7" t="str">
        <f t="shared" si="15"/>
        <v/>
      </c>
      <c r="W114" s="8" t="str">
        <f t="shared" si="16"/>
        <v/>
      </c>
      <c r="X114" s="2"/>
      <c r="Y114" s="10"/>
      <c r="Z114" s="11" t="str">
        <f>IF(X114&lt;&gt;"执行卖出","",IFERROR(LOOKUP(2,1/(单次交易!$A$2:$A$163=B114),单次交易!$AP$2:$AP$163),""))</f>
        <v/>
      </c>
      <c r="AA114" s="10"/>
      <c r="AB114" s="8" t="str">
        <f t="shared" si="17"/>
        <v/>
      </c>
      <c r="AC114" s="8" t="str">
        <f>IF(A114="","",IF(A114="止损计划",IF(OR(B114="",D114="",E114="",F114="",G114=""),"计划不完整",IF(OR(D114&lt;1,D114&lt;&gt;INT(D114)),"阶段序号无效",IF(COUNTIFS($A$2:$A$497,"止损计划",$B$2:$B$497,B114,$D$2:$D$497,D114)&gt;1,"阶段序号重复",IF(E114&lt;=IFERROR(LOOKUP(2,1/(单次交易!$A$2:$A$163=B114),单次交易!$E$2:$E$163),0),"激活价须高于买入价",IF(F114&lt;N114,"止损价不得低于初始止损",IF(F114&gt;E114,"止损价不得高于激活价",IF(AND(COUNTIFS($A$2:$A$497,"止损计划",$B$2:$B$497,B114,$D$2:$D$497,"&lt;"&amp;D114)&gt;0,OR(E114&lt;=SUMPRODUCT(MAX((($A$2:$A$497="止损计划")*($B$2:$B$497=B114)*($D$2:$D$497&lt;D114))*$E$2:$E$497)),F114&lt;SUMPRODUCT(MAX((($A$2:$A$497="止损计划")*($B$2:$B$497=B114)*($D$2:$D$497&lt;D114))*$F$2:$F$497)))),"阶段价格必须逐级提高","计划有效"))))))),IF(A114="每日跟踪",IF(OR(B114="",H114="",I114="",J114=""),"每日数据不完整",IF(COUNTIFS($A$2:$A$497,"每日跟踪",$B$2:$B$497,B114,$H$2:$H$497,H114)&gt;1,"同一交易日期重复",IF(AND(R114&lt;&gt;"",R114&lt;S114),"人工止损无效：不能下调","跟踪有效"))),"记录类型无效")))</f>
        <v/>
      </c>
    </row>
    <row r="115" ht="17" spans="1:29">
      <c r="A115" s="2"/>
      <c r="B115" s="2"/>
      <c r="C115" s="8" t="str">
        <f>IF(B115="","",IFERROR(LOOKUP(2,1/(单次交易!$A$2:$A$163=B115),单次交易!$B$2:$B$163),""))</f>
        <v/>
      </c>
      <c r="D115" s="12"/>
      <c r="E115" s="10"/>
      <c r="F115" s="10"/>
      <c r="G115" s="2"/>
      <c r="H115" s="15"/>
      <c r="I115" s="10"/>
      <c r="J115" s="12"/>
      <c r="K115" s="2"/>
      <c r="L115" s="2"/>
      <c r="M115" s="2"/>
      <c r="N115" s="5" t="str">
        <f>IF(B115="","",IFERROR(LOOKUP(2,1/(单次交易!$A$2:$A$163=B115),单次交易!$N$2:$N$163),""))</f>
        <v/>
      </c>
      <c r="O115" s="5" t="str">
        <f t="shared" si="9"/>
        <v/>
      </c>
      <c r="P115" s="11" t="str">
        <f t="shared" si="10"/>
        <v/>
      </c>
      <c r="Q115" s="5" t="str">
        <f t="shared" si="11"/>
        <v/>
      </c>
      <c r="R115" s="10"/>
      <c r="S115" s="5" t="str">
        <f t="shared" si="12"/>
        <v/>
      </c>
      <c r="T115" s="5" t="str">
        <f t="shared" si="13"/>
        <v/>
      </c>
      <c r="U115" s="5" t="str">
        <f t="shared" si="14"/>
        <v/>
      </c>
      <c r="V115" s="7" t="str">
        <f t="shared" si="15"/>
        <v/>
      </c>
      <c r="W115" s="8" t="str">
        <f t="shared" si="16"/>
        <v/>
      </c>
      <c r="X115" s="2"/>
      <c r="Y115" s="10"/>
      <c r="Z115" s="11" t="str">
        <f>IF(X115&lt;&gt;"执行卖出","",IFERROR(LOOKUP(2,1/(单次交易!$A$2:$A$163=B115),单次交易!$AP$2:$AP$163),""))</f>
        <v/>
      </c>
      <c r="AA115" s="10"/>
      <c r="AB115" s="8" t="str">
        <f t="shared" si="17"/>
        <v/>
      </c>
      <c r="AC115" s="8" t="str">
        <f>IF(A115="","",IF(A115="止损计划",IF(OR(B115="",D115="",E115="",F115="",G115=""),"计划不完整",IF(OR(D115&lt;1,D115&lt;&gt;INT(D115)),"阶段序号无效",IF(COUNTIFS($A$2:$A$497,"止损计划",$B$2:$B$497,B115,$D$2:$D$497,D115)&gt;1,"阶段序号重复",IF(E115&lt;=IFERROR(LOOKUP(2,1/(单次交易!$A$2:$A$163=B115),单次交易!$E$2:$E$163),0),"激活价须高于买入价",IF(F115&lt;N115,"止损价不得低于初始止损",IF(F115&gt;E115,"止损价不得高于激活价",IF(AND(COUNTIFS($A$2:$A$497,"止损计划",$B$2:$B$497,B115,$D$2:$D$497,"&lt;"&amp;D115)&gt;0,OR(E115&lt;=SUMPRODUCT(MAX((($A$2:$A$497="止损计划")*($B$2:$B$497=B115)*($D$2:$D$497&lt;D115))*$E$2:$E$497)),F115&lt;SUMPRODUCT(MAX((($A$2:$A$497="止损计划")*($B$2:$B$497=B115)*($D$2:$D$497&lt;D115))*$F$2:$F$497)))),"阶段价格必须逐级提高","计划有效"))))))),IF(A115="每日跟踪",IF(OR(B115="",H115="",I115="",J115=""),"每日数据不完整",IF(COUNTIFS($A$2:$A$497,"每日跟踪",$B$2:$B$497,B115,$H$2:$H$497,H115)&gt;1,"同一交易日期重复",IF(AND(R115&lt;&gt;"",R115&lt;S115),"人工止损无效：不能下调","跟踪有效"))),"记录类型无效")))</f>
        <v/>
      </c>
    </row>
    <row r="116" ht="17" spans="1:29">
      <c r="A116" s="2"/>
      <c r="B116" s="2"/>
      <c r="C116" s="8" t="str">
        <f>IF(B116="","",IFERROR(LOOKUP(2,1/(单次交易!$A$2:$A$163=B116),单次交易!$B$2:$B$163),""))</f>
        <v/>
      </c>
      <c r="D116" s="12"/>
      <c r="E116" s="10"/>
      <c r="F116" s="10"/>
      <c r="G116" s="2"/>
      <c r="H116" s="15"/>
      <c r="I116" s="10"/>
      <c r="J116" s="12"/>
      <c r="K116" s="2"/>
      <c r="L116" s="2"/>
      <c r="M116" s="2"/>
      <c r="N116" s="5" t="str">
        <f>IF(B116="","",IFERROR(LOOKUP(2,1/(单次交易!$A$2:$A$163=B116),单次交易!$N$2:$N$163),""))</f>
        <v/>
      </c>
      <c r="O116" s="5" t="str">
        <f t="shared" si="9"/>
        <v/>
      </c>
      <c r="P116" s="11" t="str">
        <f t="shared" si="10"/>
        <v/>
      </c>
      <c r="Q116" s="5" t="str">
        <f t="shared" si="11"/>
        <v/>
      </c>
      <c r="R116" s="10"/>
      <c r="S116" s="5" t="str">
        <f t="shared" si="12"/>
        <v/>
      </c>
      <c r="T116" s="5" t="str">
        <f t="shared" si="13"/>
        <v/>
      </c>
      <c r="U116" s="5" t="str">
        <f t="shared" si="14"/>
        <v/>
      </c>
      <c r="V116" s="7" t="str">
        <f t="shared" si="15"/>
        <v/>
      </c>
      <c r="W116" s="8" t="str">
        <f t="shared" si="16"/>
        <v/>
      </c>
      <c r="X116" s="2"/>
      <c r="Y116" s="10"/>
      <c r="Z116" s="11" t="str">
        <f>IF(X116&lt;&gt;"执行卖出","",IFERROR(LOOKUP(2,1/(单次交易!$A$2:$A$163=B116),单次交易!$AP$2:$AP$163),""))</f>
        <v/>
      </c>
      <c r="AA116" s="10"/>
      <c r="AB116" s="8" t="str">
        <f t="shared" si="17"/>
        <v/>
      </c>
      <c r="AC116" s="8" t="str">
        <f>IF(A116="","",IF(A116="止损计划",IF(OR(B116="",D116="",E116="",F116="",G116=""),"计划不完整",IF(OR(D116&lt;1,D116&lt;&gt;INT(D116)),"阶段序号无效",IF(COUNTIFS($A$2:$A$497,"止损计划",$B$2:$B$497,B116,$D$2:$D$497,D116)&gt;1,"阶段序号重复",IF(E116&lt;=IFERROR(LOOKUP(2,1/(单次交易!$A$2:$A$163=B116),单次交易!$E$2:$E$163),0),"激活价须高于买入价",IF(F116&lt;N116,"止损价不得低于初始止损",IF(F116&gt;E116,"止损价不得高于激活价",IF(AND(COUNTIFS($A$2:$A$497,"止损计划",$B$2:$B$497,B116,$D$2:$D$497,"&lt;"&amp;D116)&gt;0,OR(E116&lt;=SUMPRODUCT(MAX((($A$2:$A$497="止损计划")*($B$2:$B$497=B116)*($D$2:$D$497&lt;D116))*$E$2:$E$497)),F116&lt;SUMPRODUCT(MAX((($A$2:$A$497="止损计划")*($B$2:$B$497=B116)*($D$2:$D$497&lt;D116))*$F$2:$F$497)))),"阶段价格必须逐级提高","计划有效"))))))),IF(A116="每日跟踪",IF(OR(B116="",H116="",I116="",J116=""),"每日数据不完整",IF(COUNTIFS($A$2:$A$497,"每日跟踪",$B$2:$B$497,B116,$H$2:$H$497,H116)&gt;1,"同一交易日期重复",IF(AND(R116&lt;&gt;"",R116&lt;S116),"人工止损无效：不能下调","跟踪有效"))),"记录类型无效")))</f>
        <v/>
      </c>
    </row>
    <row r="117" ht="17" spans="1:29">
      <c r="A117" s="2"/>
      <c r="B117" s="2"/>
      <c r="C117" s="8" t="str">
        <f>IF(B117="","",IFERROR(LOOKUP(2,1/(单次交易!$A$2:$A$163=B117),单次交易!$B$2:$B$163),""))</f>
        <v/>
      </c>
      <c r="D117" s="12"/>
      <c r="E117" s="10"/>
      <c r="F117" s="10"/>
      <c r="G117" s="2"/>
      <c r="H117" s="15"/>
      <c r="I117" s="10"/>
      <c r="J117" s="12"/>
      <c r="K117" s="2"/>
      <c r="L117" s="2"/>
      <c r="M117" s="2"/>
      <c r="N117" s="5" t="str">
        <f>IF(B117="","",IFERROR(LOOKUP(2,1/(单次交易!$A$2:$A$163=B117),单次交易!$N$2:$N$163),""))</f>
        <v/>
      </c>
      <c r="O117" s="5" t="str">
        <f t="shared" si="9"/>
        <v/>
      </c>
      <c r="P117" s="11" t="str">
        <f t="shared" si="10"/>
        <v/>
      </c>
      <c r="Q117" s="5" t="str">
        <f t="shared" si="11"/>
        <v/>
      </c>
      <c r="R117" s="10"/>
      <c r="S117" s="5" t="str">
        <f t="shared" si="12"/>
        <v/>
      </c>
      <c r="T117" s="5" t="str">
        <f t="shared" si="13"/>
        <v/>
      </c>
      <c r="U117" s="5" t="str">
        <f t="shared" si="14"/>
        <v/>
      </c>
      <c r="V117" s="7" t="str">
        <f t="shared" si="15"/>
        <v/>
      </c>
      <c r="W117" s="8" t="str">
        <f t="shared" si="16"/>
        <v/>
      </c>
      <c r="X117" s="2"/>
      <c r="Y117" s="10"/>
      <c r="Z117" s="11" t="str">
        <f>IF(X117&lt;&gt;"执行卖出","",IFERROR(LOOKUP(2,1/(单次交易!$A$2:$A$163=B117),单次交易!$AP$2:$AP$163),""))</f>
        <v/>
      </c>
      <c r="AA117" s="10"/>
      <c r="AB117" s="8" t="str">
        <f t="shared" si="17"/>
        <v/>
      </c>
      <c r="AC117" s="8" t="str">
        <f>IF(A117="","",IF(A117="止损计划",IF(OR(B117="",D117="",E117="",F117="",G117=""),"计划不完整",IF(OR(D117&lt;1,D117&lt;&gt;INT(D117)),"阶段序号无效",IF(COUNTIFS($A$2:$A$497,"止损计划",$B$2:$B$497,B117,$D$2:$D$497,D117)&gt;1,"阶段序号重复",IF(E117&lt;=IFERROR(LOOKUP(2,1/(单次交易!$A$2:$A$163=B117),单次交易!$E$2:$E$163),0),"激活价须高于买入价",IF(F117&lt;N117,"止损价不得低于初始止损",IF(F117&gt;E117,"止损价不得高于激活价",IF(AND(COUNTIFS($A$2:$A$497,"止损计划",$B$2:$B$497,B117,$D$2:$D$497,"&lt;"&amp;D117)&gt;0,OR(E117&lt;=SUMPRODUCT(MAX((($A$2:$A$497="止损计划")*($B$2:$B$497=B117)*($D$2:$D$497&lt;D117))*$E$2:$E$497)),F117&lt;SUMPRODUCT(MAX((($A$2:$A$497="止损计划")*($B$2:$B$497=B117)*($D$2:$D$497&lt;D117))*$F$2:$F$497)))),"阶段价格必须逐级提高","计划有效"))))))),IF(A117="每日跟踪",IF(OR(B117="",H117="",I117="",J117=""),"每日数据不完整",IF(COUNTIFS($A$2:$A$497,"每日跟踪",$B$2:$B$497,B117,$H$2:$H$497,H117)&gt;1,"同一交易日期重复",IF(AND(R117&lt;&gt;"",R117&lt;S117),"人工止损无效：不能下调","跟踪有效"))),"记录类型无效")))</f>
        <v/>
      </c>
    </row>
    <row r="118" ht="17" spans="1:29">
      <c r="A118" s="2"/>
      <c r="B118" s="2"/>
      <c r="C118" s="8" t="str">
        <f>IF(B118="","",IFERROR(LOOKUP(2,1/(单次交易!$A$2:$A$163=B118),单次交易!$B$2:$B$163),""))</f>
        <v/>
      </c>
      <c r="D118" s="12"/>
      <c r="E118" s="10"/>
      <c r="F118" s="10"/>
      <c r="G118" s="2"/>
      <c r="H118" s="15"/>
      <c r="I118" s="10"/>
      <c r="J118" s="12"/>
      <c r="K118" s="2"/>
      <c r="L118" s="2"/>
      <c r="M118" s="2"/>
      <c r="N118" s="5" t="str">
        <f>IF(B118="","",IFERROR(LOOKUP(2,1/(单次交易!$A$2:$A$163=B118),单次交易!$N$2:$N$163),""))</f>
        <v/>
      </c>
      <c r="O118" s="5" t="str">
        <f t="shared" si="9"/>
        <v/>
      </c>
      <c r="P118" s="11" t="str">
        <f t="shared" si="10"/>
        <v/>
      </c>
      <c r="Q118" s="5" t="str">
        <f t="shared" si="11"/>
        <v/>
      </c>
      <c r="R118" s="10"/>
      <c r="S118" s="5" t="str">
        <f t="shared" si="12"/>
        <v/>
      </c>
      <c r="T118" s="5" t="str">
        <f t="shared" si="13"/>
        <v/>
      </c>
      <c r="U118" s="5" t="str">
        <f t="shared" si="14"/>
        <v/>
      </c>
      <c r="V118" s="7" t="str">
        <f t="shared" si="15"/>
        <v/>
      </c>
      <c r="W118" s="8" t="str">
        <f t="shared" si="16"/>
        <v/>
      </c>
      <c r="X118" s="2"/>
      <c r="Y118" s="10"/>
      <c r="Z118" s="11" t="str">
        <f>IF(X118&lt;&gt;"执行卖出","",IFERROR(LOOKUP(2,1/(单次交易!$A$2:$A$163=B118),单次交易!$AP$2:$AP$163),""))</f>
        <v/>
      </c>
      <c r="AA118" s="10"/>
      <c r="AB118" s="8" t="str">
        <f t="shared" si="17"/>
        <v/>
      </c>
      <c r="AC118" s="8" t="str">
        <f>IF(A118="","",IF(A118="止损计划",IF(OR(B118="",D118="",E118="",F118="",G118=""),"计划不完整",IF(OR(D118&lt;1,D118&lt;&gt;INT(D118)),"阶段序号无效",IF(COUNTIFS($A$2:$A$497,"止损计划",$B$2:$B$497,B118,$D$2:$D$497,D118)&gt;1,"阶段序号重复",IF(E118&lt;=IFERROR(LOOKUP(2,1/(单次交易!$A$2:$A$163=B118),单次交易!$E$2:$E$163),0),"激活价须高于买入价",IF(F118&lt;N118,"止损价不得低于初始止损",IF(F118&gt;E118,"止损价不得高于激活价",IF(AND(COUNTIFS($A$2:$A$497,"止损计划",$B$2:$B$497,B118,$D$2:$D$497,"&lt;"&amp;D118)&gt;0,OR(E118&lt;=SUMPRODUCT(MAX((($A$2:$A$497="止损计划")*($B$2:$B$497=B118)*($D$2:$D$497&lt;D118))*$E$2:$E$497)),F118&lt;SUMPRODUCT(MAX((($A$2:$A$497="止损计划")*($B$2:$B$497=B118)*($D$2:$D$497&lt;D118))*$F$2:$F$497)))),"阶段价格必须逐级提高","计划有效"))))))),IF(A118="每日跟踪",IF(OR(B118="",H118="",I118="",J118=""),"每日数据不完整",IF(COUNTIFS($A$2:$A$497,"每日跟踪",$B$2:$B$497,B118,$H$2:$H$497,H118)&gt;1,"同一交易日期重复",IF(AND(R118&lt;&gt;"",R118&lt;S118),"人工止损无效：不能下调","跟踪有效"))),"记录类型无效")))</f>
        <v/>
      </c>
    </row>
    <row r="119" ht="17" spans="1:29">
      <c r="A119" s="2"/>
      <c r="B119" s="2"/>
      <c r="C119" s="8" t="str">
        <f>IF(B119="","",IFERROR(LOOKUP(2,1/(单次交易!$A$2:$A$163=B119),单次交易!$B$2:$B$163),""))</f>
        <v/>
      </c>
      <c r="D119" s="12"/>
      <c r="E119" s="10"/>
      <c r="F119" s="10"/>
      <c r="G119" s="2"/>
      <c r="H119" s="15"/>
      <c r="I119" s="10"/>
      <c r="J119" s="12"/>
      <c r="K119" s="2"/>
      <c r="L119" s="2"/>
      <c r="M119" s="2"/>
      <c r="N119" s="5" t="str">
        <f>IF(B119="","",IFERROR(LOOKUP(2,1/(单次交易!$A$2:$A$163=B119),单次交易!$N$2:$N$163),""))</f>
        <v/>
      </c>
      <c r="O119" s="5" t="str">
        <f t="shared" si="9"/>
        <v/>
      </c>
      <c r="P119" s="11" t="str">
        <f t="shared" si="10"/>
        <v/>
      </c>
      <c r="Q119" s="5" t="str">
        <f t="shared" si="11"/>
        <v/>
      </c>
      <c r="R119" s="10"/>
      <c r="S119" s="5" t="str">
        <f t="shared" si="12"/>
        <v/>
      </c>
      <c r="T119" s="5" t="str">
        <f t="shared" si="13"/>
        <v/>
      </c>
      <c r="U119" s="5" t="str">
        <f t="shared" si="14"/>
        <v/>
      </c>
      <c r="V119" s="7" t="str">
        <f t="shared" si="15"/>
        <v/>
      </c>
      <c r="W119" s="8" t="str">
        <f t="shared" si="16"/>
        <v/>
      </c>
      <c r="X119" s="2"/>
      <c r="Y119" s="10"/>
      <c r="Z119" s="11" t="str">
        <f>IF(X119&lt;&gt;"执行卖出","",IFERROR(LOOKUP(2,1/(单次交易!$A$2:$A$163=B119),单次交易!$AP$2:$AP$163),""))</f>
        <v/>
      </c>
      <c r="AA119" s="10"/>
      <c r="AB119" s="8" t="str">
        <f t="shared" si="17"/>
        <v/>
      </c>
      <c r="AC119" s="8" t="str">
        <f>IF(A119="","",IF(A119="止损计划",IF(OR(B119="",D119="",E119="",F119="",G119=""),"计划不完整",IF(OR(D119&lt;1,D119&lt;&gt;INT(D119)),"阶段序号无效",IF(COUNTIFS($A$2:$A$497,"止损计划",$B$2:$B$497,B119,$D$2:$D$497,D119)&gt;1,"阶段序号重复",IF(E119&lt;=IFERROR(LOOKUP(2,1/(单次交易!$A$2:$A$163=B119),单次交易!$E$2:$E$163),0),"激活价须高于买入价",IF(F119&lt;N119,"止损价不得低于初始止损",IF(F119&gt;E119,"止损价不得高于激活价",IF(AND(COUNTIFS($A$2:$A$497,"止损计划",$B$2:$B$497,B119,$D$2:$D$497,"&lt;"&amp;D119)&gt;0,OR(E119&lt;=SUMPRODUCT(MAX((($A$2:$A$497="止损计划")*($B$2:$B$497=B119)*($D$2:$D$497&lt;D119))*$E$2:$E$497)),F119&lt;SUMPRODUCT(MAX((($A$2:$A$497="止损计划")*($B$2:$B$497=B119)*($D$2:$D$497&lt;D119))*$F$2:$F$497)))),"阶段价格必须逐级提高","计划有效"))))))),IF(A119="每日跟踪",IF(OR(B119="",H119="",I119="",J119=""),"每日数据不完整",IF(COUNTIFS($A$2:$A$497,"每日跟踪",$B$2:$B$497,B119,$H$2:$H$497,H119)&gt;1,"同一交易日期重复",IF(AND(R119&lt;&gt;"",R119&lt;S119),"人工止损无效：不能下调","跟踪有效"))),"记录类型无效")))</f>
        <v/>
      </c>
    </row>
    <row r="120" ht="17" spans="1:29">
      <c r="A120" s="2"/>
      <c r="B120" s="2"/>
      <c r="C120" s="8" t="str">
        <f>IF(B120="","",IFERROR(LOOKUP(2,1/(单次交易!$A$2:$A$163=B120),单次交易!$B$2:$B$163),""))</f>
        <v/>
      </c>
      <c r="D120" s="12"/>
      <c r="E120" s="10"/>
      <c r="F120" s="10"/>
      <c r="G120" s="2"/>
      <c r="H120" s="15"/>
      <c r="I120" s="10"/>
      <c r="J120" s="12"/>
      <c r="K120" s="2"/>
      <c r="L120" s="2"/>
      <c r="M120" s="2"/>
      <c r="N120" s="5" t="str">
        <f>IF(B120="","",IFERROR(LOOKUP(2,1/(单次交易!$A$2:$A$163=B120),单次交易!$N$2:$N$163),""))</f>
        <v/>
      </c>
      <c r="O120" s="5" t="str">
        <f t="shared" si="9"/>
        <v/>
      </c>
      <c r="P120" s="11" t="str">
        <f t="shared" si="10"/>
        <v/>
      </c>
      <c r="Q120" s="5" t="str">
        <f t="shared" si="11"/>
        <v/>
      </c>
      <c r="R120" s="10"/>
      <c r="S120" s="5" t="str">
        <f t="shared" si="12"/>
        <v/>
      </c>
      <c r="T120" s="5" t="str">
        <f t="shared" si="13"/>
        <v/>
      </c>
      <c r="U120" s="5" t="str">
        <f t="shared" si="14"/>
        <v/>
      </c>
      <c r="V120" s="7" t="str">
        <f t="shared" si="15"/>
        <v/>
      </c>
      <c r="W120" s="8" t="str">
        <f t="shared" si="16"/>
        <v/>
      </c>
      <c r="X120" s="2"/>
      <c r="Y120" s="10"/>
      <c r="Z120" s="11" t="str">
        <f>IF(X120&lt;&gt;"执行卖出","",IFERROR(LOOKUP(2,1/(单次交易!$A$2:$A$163=B120),单次交易!$AP$2:$AP$163),""))</f>
        <v/>
      </c>
      <c r="AA120" s="10"/>
      <c r="AB120" s="8" t="str">
        <f t="shared" si="17"/>
        <v/>
      </c>
      <c r="AC120" s="8" t="str">
        <f>IF(A120="","",IF(A120="止损计划",IF(OR(B120="",D120="",E120="",F120="",G120=""),"计划不完整",IF(OR(D120&lt;1,D120&lt;&gt;INT(D120)),"阶段序号无效",IF(COUNTIFS($A$2:$A$497,"止损计划",$B$2:$B$497,B120,$D$2:$D$497,D120)&gt;1,"阶段序号重复",IF(E120&lt;=IFERROR(LOOKUP(2,1/(单次交易!$A$2:$A$163=B120),单次交易!$E$2:$E$163),0),"激活价须高于买入价",IF(F120&lt;N120,"止损价不得低于初始止损",IF(F120&gt;E120,"止损价不得高于激活价",IF(AND(COUNTIFS($A$2:$A$497,"止损计划",$B$2:$B$497,B120,$D$2:$D$497,"&lt;"&amp;D120)&gt;0,OR(E120&lt;=SUMPRODUCT(MAX((($A$2:$A$497="止损计划")*($B$2:$B$497=B120)*($D$2:$D$497&lt;D120))*$E$2:$E$497)),F120&lt;SUMPRODUCT(MAX((($A$2:$A$497="止损计划")*($B$2:$B$497=B120)*($D$2:$D$497&lt;D120))*$F$2:$F$497)))),"阶段价格必须逐级提高","计划有效"))))))),IF(A120="每日跟踪",IF(OR(B120="",H120="",I120="",J120=""),"每日数据不完整",IF(COUNTIFS($A$2:$A$497,"每日跟踪",$B$2:$B$497,B120,$H$2:$H$497,H120)&gt;1,"同一交易日期重复",IF(AND(R120&lt;&gt;"",R120&lt;S120),"人工止损无效：不能下调","跟踪有效"))),"记录类型无效")))</f>
        <v/>
      </c>
    </row>
    <row r="121" ht="17" spans="1:29">
      <c r="A121" s="2"/>
      <c r="B121" s="2"/>
      <c r="C121" s="8" t="str">
        <f>IF(B121="","",IFERROR(LOOKUP(2,1/(单次交易!$A$2:$A$163=B121),单次交易!$B$2:$B$163),""))</f>
        <v/>
      </c>
      <c r="D121" s="12"/>
      <c r="E121" s="10"/>
      <c r="F121" s="10"/>
      <c r="G121" s="2"/>
      <c r="H121" s="15"/>
      <c r="I121" s="10"/>
      <c r="J121" s="12"/>
      <c r="K121" s="2"/>
      <c r="L121" s="2"/>
      <c r="M121" s="2"/>
      <c r="N121" s="5" t="str">
        <f>IF(B121="","",IFERROR(LOOKUP(2,1/(单次交易!$A$2:$A$163=B121),单次交易!$N$2:$N$163),""))</f>
        <v/>
      </c>
      <c r="O121" s="5" t="str">
        <f t="shared" si="9"/>
        <v/>
      </c>
      <c r="P121" s="11" t="str">
        <f t="shared" si="10"/>
        <v/>
      </c>
      <c r="Q121" s="5" t="str">
        <f t="shared" si="11"/>
        <v/>
      </c>
      <c r="R121" s="10"/>
      <c r="S121" s="5" t="str">
        <f t="shared" si="12"/>
        <v/>
      </c>
      <c r="T121" s="5" t="str">
        <f t="shared" si="13"/>
        <v/>
      </c>
      <c r="U121" s="5" t="str">
        <f t="shared" si="14"/>
        <v/>
      </c>
      <c r="V121" s="7" t="str">
        <f t="shared" si="15"/>
        <v/>
      </c>
      <c r="W121" s="8" t="str">
        <f t="shared" si="16"/>
        <v/>
      </c>
      <c r="X121" s="2"/>
      <c r="Y121" s="10"/>
      <c r="Z121" s="11" t="str">
        <f>IF(X121&lt;&gt;"执行卖出","",IFERROR(LOOKUP(2,1/(单次交易!$A$2:$A$163=B121),单次交易!$AP$2:$AP$163),""))</f>
        <v/>
      </c>
      <c r="AA121" s="10"/>
      <c r="AB121" s="8" t="str">
        <f t="shared" si="17"/>
        <v/>
      </c>
      <c r="AC121" s="8" t="str">
        <f>IF(A121="","",IF(A121="止损计划",IF(OR(B121="",D121="",E121="",F121="",G121=""),"计划不完整",IF(OR(D121&lt;1,D121&lt;&gt;INT(D121)),"阶段序号无效",IF(COUNTIFS($A$2:$A$497,"止损计划",$B$2:$B$497,B121,$D$2:$D$497,D121)&gt;1,"阶段序号重复",IF(E121&lt;=IFERROR(LOOKUP(2,1/(单次交易!$A$2:$A$163=B121),单次交易!$E$2:$E$163),0),"激活价须高于买入价",IF(F121&lt;N121,"止损价不得低于初始止损",IF(F121&gt;E121,"止损价不得高于激活价",IF(AND(COUNTIFS($A$2:$A$497,"止损计划",$B$2:$B$497,B121,$D$2:$D$497,"&lt;"&amp;D121)&gt;0,OR(E121&lt;=SUMPRODUCT(MAX((($A$2:$A$497="止损计划")*($B$2:$B$497=B121)*($D$2:$D$497&lt;D121))*$E$2:$E$497)),F121&lt;SUMPRODUCT(MAX((($A$2:$A$497="止损计划")*($B$2:$B$497=B121)*($D$2:$D$497&lt;D121))*$F$2:$F$497)))),"阶段价格必须逐级提高","计划有效"))))))),IF(A121="每日跟踪",IF(OR(B121="",H121="",I121="",J121=""),"每日数据不完整",IF(COUNTIFS($A$2:$A$497,"每日跟踪",$B$2:$B$497,B121,$H$2:$H$497,H121)&gt;1,"同一交易日期重复",IF(AND(R121&lt;&gt;"",R121&lt;S121),"人工止损无效：不能下调","跟踪有效"))),"记录类型无效")))</f>
        <v/>
      </c>
    </row>
    <row r="122" ht="17" spans="1:29">
      <c r="A122" s="2"/>
      <c r="B122" s="2"/>
      <c r="C122" s="8" t="str">
        <f>IF(B122="","",IFERROR(LOOKUP(2,1/(单次交易!$A$2:$A$163=B122),单次交易!$B$2:$B$163),""))</f>
        <v/>
      </c>
      <c r="D122" s="12"/>
      <c r="E122" s="10"/>
      <c r="F122" s="10"/>
      <c r="G122" s="2"/>
      <c r="H122" s="15"/>
      <c r="I122" s="10"/>
      <c r="J122" s="12"/>
      <c r="K122" s="2"/>
      <c r="L122" s="2"/>
      <c r="M122" s="2"/>
      <c r="N122" s="5" t="str">
        <f>IF(B122="","",IFERROR(LOOKUP(2,1/(单次交易!$A$2:$A$163=B122),单次交易!$N$2:$N$163),""))</f>
        <v/>
      </c>
      <c r="O122" s="5" t="str">
        <f t="shared" si="9"/>
        <v/>
      </c>
      <c r="P122" s="11" t="str">
        <f t="shared" si="10"/>
        <v/>
      </c>
      <c r="Q122" s="5" t="str">
        <f t="shared" si="11"/>
        <v/>
      </c>
      <c r="R122" s="10"/>
      <c r="S122" s="5" t="str">
        <f t="shared" si="12"/>
        <v/>
      </c>
      <c r="T122" s="5" t="str">
        <f t="shared" si="13"/>
        <v/>
      </c>
      <c r="U122" s="5" t="str">
        <f t="shared" si="14"/>
        <v/>
      </c>
      <c r="V122" s="7" t="str">
        <f t="shared" si="15"/>
        <v/>
      </c>
      <c r="W122" s="8" t="str">
        <f t="shared" si="16"/>
        <v/>
      </c>
      <c r="X122" s="2"/>
      <c r="Y122" s="10"/>
      <c r="Z122" s="11" t="str">
        <f>IF(X122&lt;&gt;"执行卖出","",IFERROR(LOOKUP(2,1/(单次交易!$A$2:$A$163=B122),单次交易!$AP$2:$AP$163),""))</f>
        <v/>
      </c>
      <c r="AA122" s="10"/>
      <c r="AB122" s="8" t="str">
        <f t="shared" si="17"/>
        <v/>
      </c>
      <c r="AC122" s="8" t="str">
        <f>IF(A122="","",IF(A122="止损计划",IF(OR(B122="",D122="",E122="",F122="",G122=""),"计划不完整",IF(OR(D122&lt;1,D122&lt;&gt;INT(D122)),"阶段序号无效",IF(COUNTIFS($A$2:$A$497,"止损计划",$B$2:$B$497,B122,$D$2:$D$497,D122)&gt;1,"阶段序号重复",IF(E122&lt;=IFERROR(LOOKUP(2,1/(单次交易!$A$2:$A$163=B122),单次交易!$E$2:$E$163),0),"激活价须高于买入价",IF(F122&lt;N122,"止损价不得低于初始止损",IF(F122&gt;E122,"止损价不得高于激活价",IF(AND(COUNTIFS($A$2:$A$497,"止损计划",$B$2:$B$497,B122,$D$2:$D$497,"&lt;"&amp;D122)&gt;0,OR(E122&lt;=SUMPRODUCT(MAX((($A$2:$A$497="止损计划")*($B$2:$B$497=B122)*($D$2:$D$497&lt;D122))*$E$2:$E$497)),F122&lt;SUMPRODUCT(MAX((($A$2:$A$497="止损计划")*($B$2:$B$497=B122)*($D$2:$D$497&lt;D122))*$F$2:$F$497)))),"阶段价格必须逐级提高","计划有效"))))))),IF(A122="每日跟踪",IF(OR(B122="",H122="",I122="",J122=""),"每日数据不完整",IF(COUNTIFS($A$2:$A$497,"每日跟踪",$B$2:$B$497,B122,$H$2:$H$497,H122)&gt;1,"同一交易日期重复",IF(AND(R122&lt;&gt;"",R122&lt;S122),"人工止损无效：不能下调","跟踪有效"))),"记录类型无效")))</f>
        <v/>
      </c>
    </row>
    <row r="123" ht="17" spans="1:29">
      <c r="A123" s="2"/>
      <c r="B123" s="2"/>
      <c r="C123" s="8" t="str">
        <f>IF(B123="","",IFERROR(LOOKUP(2,1/(单次交易!$A$2:$A$163=B123),单次交易!$B$2:$B$163),""))</f>
        <v/>
      </c>
      <c r="D123" s="12"/>
      <c r="E123" s="10"/>
      <c r="F123" s="10"/>
      <c r="G123" s="2"/>
      <c r="H123" s="15"/>
      <c r="I123" s="10"/>
      <c r="J123" s="12"/>
      <c r="K123" s="2"/>
      <c r="L123" s="2"/>
      <c r="M123" s="2"/>
      <c r="N123" s="5" t="str">
        <f>IF(B123="","",IFERROR(LOOKUP(2,1/(单次交易!$A$2:$A$163=B123),单次交易!$N$2:$N$163),""))</f>
        <v/>
      </c>
      <c r="O123" s="5" t="str">
        <f t="shared" si="9"/>
        <v/>
      </c>
      <c r="P123" s="11" t="str">
        <f t="shared" si="10"/>
        <v/>
      </c>
      <c r="Q123" s="5" t="str">
        <f t="shared" si="11"/>
        <v/>
      </c>
      <c r="R123" s="10"/>
      <c r="S123" s="5" t="str">
        <f t="shared" si="12"/>
        <v/>
      </c>
      <c r="T123" s="5" t="str">
        <f t="shared" si="13"/>
        <v/>
      </c>
      <c r="U123" s="5" t="str">
        <f t="shared" si="14"/>
        <v/>
      </c>
      <c r="V123" s="7" t="str">
        <f t="shared" si="15"/>
        <v/>
      </c>
      <c r="W123" s="8" t="str">
        <f t="shared" si="16"/>
        <v/>
      </c>
      <c r="X123" s="2"/>
      <c r="Y123" s="10"/>
      <c r="Z123" s="11" t="str">
        <f>IF(X123&lt;&gt;"执行卖出","",IFERROR(LOOKUP(2,1/(单次交易!$A$2:$A$163=B123),单次交易!$AP$2:$AP$163),""))</f>
        <v/>
      </c>
      <c r="AA123" s="10"/>
      <c r="AB123" s="8" t="str">
        <f t="shared" si="17"/>
        <v/>
      </c>
      <c r="AC123" s="8" t="str">
        <f>IF(A123="","",IF(A123="止损计划",IF(OR(B123="",D123="",E123="",F123="",G123=""),"计划不完整",IF(OR(D123&lt;1,D123&lt;&gt;INT(D123)),"阶段序号无效",IF(COUNTIFS($A$2:$A$497,"止损计划",$B$2:$B$497,B123,$D$2:$D$497,D123)&gt;1,"阶段序号重复",IF(E123&lt;=IFERROR(LOOKUP(2,1/(单次交易!$A$2:$A$163=B123),单次交易!$E$2:$E$163),0),"激活价须高于买入价",IF(F123&lt;N123,"止损价不得低于初始止损",IF(F123&gt;E123,"止损价不得高于激活价",IF(AND(COUNTIFS($A$2:$A$497,"止损计划",$B$2:$B$497,B123,$D$2:$D$497,"&lt;"&amp;D123)&gt;0,OR(E123&lt;=SUMPRODUCT(MAX((($A$2:$A$497="止损计划")*($B$2:$B$497=B123)*($D$2:$D$497&lt;D123))*$E$2:$E$497)),F123&lt;SUMPRODUCT(MAX((($A$2:$A$497="止损计划")*($B$2:$B$497=B123)*($D$2:$D$497&lt;D123))*$F$2:$F$497)))),"阶段价格必须逐级提高","计划有效"))))))),IF(A123="每日跟踪",IF(OR(B123="",H123="",I123="",J123=""),"每日数据不完整",IF(COUNTIFS($A$2:$A$497,"每日跟踪",$B$2:$B$497,B123,$H$2:$H$497,H123)&gt;1,"同一交易日期重复",IF(AND(R123&lt;&gt;"",R123&lt;S123),"人工止损无效：不能下调","跟踪有效"))),"记录类型无效")))</f>
        <v/>
      </c>
    </row>
    <row r="124" ht="17" spans="1:29">
      <c r="A124" s="2"/>
      <c r="B124" s="2"/>
      <c r="C124" s="8" t="str">
        <f>IF(B124="","",IFERROR(LOOKUP(2,1/(单次交易!$A$2:$A$163=B124),单次交易!$B$2:$B$163),""))</f>
        <v/>
      </c>
      <c r="D124" s="12"/>
      <c r="E124" s="10"/>
      <c r="F124" s="10"/>
      <c r="G124" s="2"/>
      <c r="H124" s="15"/>
      <c r="I124" s="10"/>
      <c r="J124" s="12"/>
      <c r="K124" s="2"/>
      <c r="L124" s="2"/>
      <c r="M124" s="2"/>
      <c r="N124" s="5" t="str">
        <f>IF(B124="","",IFERROR(LOOKUP(2,1/(单次交易!$A$2:$A$163=B124),单次交易!$N$2:$N$163),""))</f>
        <v/>
      </c>
      <c r="O124" s="5" t="str">
        <f t="shared" si="9"/>
        <v/>
      </c>
      <c r="P124" s="11" t="str">
        <f t="shared" si="10"/>
        <v/>
      </c>
      <c r="Q124" s="5" t="str">
        <f t="shared" si="11"/>
        <v/>
      </c>
      <c r="R124" s="10"/>
      <c r="S124" s="5" t="str">
        <f t="shared" si="12"/>
        <v/>
      </c>
      <c r="T124" s="5" t="str">
        <f t="shared" si="13"/>
        <v/>
      </c>
      <c r="U124" s="5" t="str">
        <f t="shared" si="14"/>
        <v/>
      </c>
      <c r="V124" s="7" t="str">
        <f t="shared" si="15"/>
        <v/>
      </c>
      <c r="W124" s="8" t="str">
        <f t="shared" si="16"/>
        <v/>
      </c>
      <c r="X124" s="2"/>
      <c r="Y124" s="10"/>
      <c r="Z124" s="11" t="str">
        <f>IF(X124&lt;&gt;"执行卖出","",IFERROR(LOOKUP(2,1/(单次交易!$A$2:$A$163=B124),单次交易!$AP$2:$AP$163),""))</f>
        <v/>
      </c>
      <c r="AA124" s="10"/>
      <c r="AB124" s="8" t="str">
        <f t="shared" si="17"/>
        <v/>
      </c>
      <c r="AC124" s="8" t="str">
        <f>IF(A124="","",IF(A124="止损计划",IF(OR(B124="",D124="",E124="",F124="",G124=""),"计划不完整",IF(OR(D124&lt;1,D124&lt;&gt;INT(D124)),"阶段序号无效",IF(COUNTIFS($A$2:$A$497,"止损计划",$B$2:$B$497,B124,$D$2:$D$497,D124)&gt;1,"阶段序号重复",IF(E124&lt;=IFERROR(LOOKUP(2,1/(单次交易!$A$2:$A$163=B124),单次交易!$E$2:$E$163),0),"激活价须高于买入价",IF(F124&lt;N124,"止损价不得低于初始止损",IF(F124&gt;E124,"止损价不得高于激活价",IF(AND(COUNTIFS($A$2:$A$497,"止损计划",$B$2:$B$497,B124,$D$2:$D$497,"&lt;"&amp;D124)&gt;0,OR(E124&lt;=SUMPRODUCT(MAX((($A$2:$A$497="止损计划")*($B$2:$B$497=B124)*($D$2:$D$497&lt;D124))*$E$2:$E$497)),F124&lt;SUMPRODUCT(MAX((($A$2:$A$497="止损计划")*($B$2:$B$497=B124)*($D$2:$D$497&lt;D124))*$F$2:$F$497)))),"阶段价格必须逐级提高","计划有效"))))))),IF(A124="每日跟踪",IF(OR(B124="",H124="",I124="",J124=""),"每日数据不完整",IF(COUNTIFS($A$2:$A$497,"每日跟踪",$B$2:$B$497,B124,$H$2:$H$497,H124)&gt;1,"同一交易日期重复",IF(AND(R124&lt;&gt;"",R124&lt;S124),"人工止损无效：不能下调","跟踪有效"))),"记录类型无效")))</f>
        <v/>
      </c>
    </row>
    <row r="125" ht="17" spans="1:29">
      <c r="A125" s="2"/>
      <c r="B125" s="2"/>
      <c r="C125" s="8" t="str">
        <f>IF(B125="","",IFERROR(LOOKUP(2,1/(单次交易!$A$2:$A$163=B125),单次交易!$B$2:$B$163),""))</f>
        <v/>
      </c>
      <c r="D125" s="12"/>
      <c r="E125" s="10"/>
      <c r="F125" s="10"/>
      <c r="G125" s="2"/>
      <c r="H125" s="15"/>
      <c r="I125" s="10"/>
      <c r="J125" s="12"/>
      <c r="K125" s="2"/>
      <c r="L125" s="2"/>
      <c r="M125" s="2"/>
      <c r="N125" s="5" t="str">
        <f>IF(B125="","",IFERROR(LOOKUP(2,1/(单次交易!$A$2:$A$163=B125),单次交易!$N$2:$N$163),""))</f>
        <v/>
      </c>
      <c r="O125" s="5" t="str">
        <f t="shared" si="9"/>
        <v/>
      </c>
      <c r="P125" s="11" t="str">
        <f t="shared" si="10"/>
        <v/>
      </c>
      <c r="Q125" s="5" t="str">
        <f t="shared" si="11"/>
        <v/>
      </c>
      <c r="R125" s="10"/>
      <c r="S125" s="5" t="str">
        <f t="shared" si="12"/>
        <v/>
      </c>
      <c r="T125" s="5" t="str">
        <f t="shared" si="13"/>
        <v/>
      </c>
      <c r="U125" s="5" t="str">
        <f t="shared" si="14"/>
        <v/>
      </c>
      <c r="V125" s="7" t="str">
        <f t="shared" si="15"/>
        <v/>
      </c>
      <c r="W125" s="8" t="str">
        <f t="shared" si="16"/>
        <v/>
      </c>
      <c r="X125" s="2"/>
      <c r="Y125" s="10"/>
      <c r="Z125" s="11" t="str">
        <f>IF(X125&lt;&gt;"执行卖出","",IFERROR(LOOKUP(2,1/(单次交易!$A$2:$A$163=B125),单次交易!$AP$2:$AP$163),""))</f>
        <v/>
      </c>
      <c r="AA125" s="10"/>
      <c r="AB125" s="8" t="str">
        <f t="shared" si="17"/>
        <v/>
      </c>
      <c r="AC125" s="8" t="str">
        <f>IF(A125="","",IF(A125="止损计划",IF(OR(B125="",D125="",E125="",F125="",G125=""),"计划不完整",IF(OR(D125&lt;1,D125&lt;&gt;INT(D125)),"阶段序号无效",IF(COUNTIFS($A$2:$A$497,"止损计划",$B$2:$B$497,B125,$D$2:$D$497,D125)&gt;1,"阶段序号重复",IF(E125&lt;=IFERROR(LOOKUP(2,1/(单次交易!$A$2:$A$163=B125),单次交易!$E$2:$E$163),0),"激活价须高于买入价",IF(F125&lt;N125,"止损价不得低于初始止损",IF(F125&gt;E125,"止损价不得高于激活价",IF(AND(COUNTIFS($A$2:$A$497,"止损计划",$B$2:$B$497,B125,$D$2:$D$497,"&lt;"&amp;D125)&gt;0,OR(E125&lt;=SUMPRODUCT(MAX((($A$2:$A$497="止损计划")*($B$2:$B$497=B125)*($D$2:$D$497&lt;D125))*$E$2:$E$497)),F125&lt;SUMPRODUCT(MAX((($A$2:$A$497="止损计划")*($B$2:$B$497=B125)*($D$2:$D$497&lt;D125))*$F$2:$F$497)))),"阶段价格必须逐级提高","计划有效"))))))),IF(A125="每日跟踪",IF(OR(B125="",H125="",I125="",J125=""),"每日数据不完整",IF(COUNTIFS($A$2:$A$497,"每日跟踪",$B$2:$B$497,B125,$H$2:$H$497,H125)&gt;1,"同一交易日期重复",IF(AND(R125&lt;&gt;"",R125&lt;S125),"人工止损无效：不能下调","跟踪有效"))),"记录类型无效")))</f>
        <v/>
      </c>
    </row>
    <row r="126" ht="17" spans="1:29">
      <c r="A126" s="2"/>
      <c r="B126" s="2"/>
      <c r="C126" s="8" t="str">
        <f>IF(B126="","",IFERROR(LOOKUP(2,1/(单次交易!$A$2:$A$163=B126),单次交易!$B$2:$B$163),""))</f>
        <v/>
      </c>
      <c r="D126" s="12"/>
      <c r="E126" s="10"/>
      <c r="F126" s="10"/>
      <c r="G126" s="2"/>
      <c r="H126" s="15"/>
      <c r="I126" s="10"/>
      <c r="J126" s="12"/>
      <c r="K126" s="2"/>
      <c r="L126" s="2"/>
      <c r="M126" s="2"/>
      <c r="N126" s="5" t="str">
        <f>IF(B126="","",IFERROR(LOOKUP(2,1/(单次交易!$A$2:$A$163=B126),单次交易!$N$2:$N$163),""))</f>
        <v/>
      </c>
      <c r="O126" s="5" t="str">
        <f t="shared" si="9"/>
        <v/>
      </c>
      <c r="P126" s="11" t="str">
        <f t="shared" si="10"/>
        <v/>
      </c>
      <c r="Q126" s="5" t="str">
        <f t="shared" si="11"/>
        <v/>
      </c>
      <c r="R126" s="10"/>
      <c r="S126" s="5" t="str">
        <f t="shared" si="12"/>
        <v/>
      </c>
      <c r="T126" s="5" t="str">
        <f t="shared" si="13"/>
        <v/>
      </c>
      <c r="U126" s="5" t="str">
        <f t="shared" si="14"/>
        <v/>
      </c>
      <c r="V126" s="7" t="str">
        <f t="shared" si="15"/>
        <v/>
      </c>
      <c r="W126" s="8" t="str">
        <f t="shared" si="16"/>
        <v/>
      </c>
      <c r="X126" s="2"/>
      <c r="Y126" s="10"/>
      <c r="Z126" s="11" t="str">
        <f>IF(X126&lt;&gt;"执行卖出","",IFERROR(LOOKUP(2,1/(单次交易!$A$2:$A$163=B126),单次交易!$AP$2:$AP$163),""))</f>
        <v/>
      </c>
      <c r="AA126" s="10"/>
      <c r="AB126" s="8" t="str">
        <f t="shared" si="17"/>
        <v/>
      </c>
      <c r="AC126" s="8" t="str">
        <f>IF(A126="","",IF(A126="止损计划",IF(OR(B126="",D126="",E126="",F126="",G126=""),"计划不完整",IF(OR(D126&lt;1,D126&lt;&gt;INT(D126)),"阶段序号无效",IF(COUNTIFS($A$2:$A$497,"止损计划",$B$2:$B$497,B126,$D$2:$D$497,D126)&gt;1,"阶段序号重复",IF(E126&lt;=IFERROR(LOOKUP(2,1/(单次交易!$A$2:$A$163=B126),单次交易!$E$2:$E$163),0),"激活价须高于买入价",IF(F126&lt;N126,"止损价不得低于初始止损",IF(F126&gt;E126,"止损价不得高于激活价",IF(AND(COUNTIFS($A$2:$A$497,"止损计划",$B$2:$B$497,B126,$D$2:$D$497,"&lt;"&amp;D126)&gt;0,OR(E126&lt;=SUMPRODUCT(MAX((($A$2:$A$497="止损计划")*($B$2:$B$497=B126)*($D$2:$D$497&lt;D126))*$E$2:$E$497)),F126&lt;SUMPRODUCT(MAX((($A$2:$A$497="止损计划")*($B$2:$B$497=B126)*($D$2:$D$497&lt;D126))*$F$2:$F$497)))),"阶段价格必须逐级提高","计划有效"))))))),IF(A126="每日跟踪",IF(OR(B126="",H126="",I126="",J126=""),"每日数据不完整",IF(COUNTIFS($A$2:$A$497,"每日跟踪",$B$2:$B$497,B126,$H$2:$H$497,H126)&gt;1,"同一交易日期重复",IF(AND(R126&lt;&gt;"",R126&lt;S126),"人工止损无效：不能下调","跟踪有效"))),"记录类型无效")))</f>
        <v/>
      </c>
    </row>
    <row r="127" ht="17" spans="1:29">
      <c r="A127" s="2"/>
      <c r="B127" s="2"/>
      <c r="C127" s="8" t="str">
        <f>IF(B127="","",IFERROR(LOOKUP(2,1/(单次交易!$A$2:$A$163=B127),单次交易!$B$2:$B$163),""))</f>
        <v/>
      </c>
      <c r="D127" s="12"/>
      <c r="E127" s="10"/>
      <c r="F127" s="10"/>
      <c r="G127" s="2"/>
      <c r="H127" s="15"/>
      <c r="I127" s="10"/>
      <c r="J127" s="12"/>
      <c r="K127" s="2"/>
      <c r="L127" s="2"/>
      <c r="M127" s="2"/>
      <c r="N127" s="5" t="str">
        <f>IF(B127="","",IFERROR(LOOKUP(2,1/(单次交易!$A$2:$A$163=B127),单次交易!$N$2:$N$163),""))</f>
        <v/>
      </c>
      <c r="O127" s="5" t="str">
        <f t="shared" si="9"/>
        <v/>
      </c>
      <c r="P127" s="11" t="str">
        <f t="shared" si="10"/>
        <v/>
      </c>
      <c r="Q127" s="5" t="str">
        <f t="shared" si="11"/>
        <v/>
      </c>
      <c r="R127" s="10"/>
      <c r="S127" s="5" t="str">
        <f t="shared" si="12"/>
        <v/>
      </c>
      <c r="T127" s="5" t="str">
        <f t="shared" si="13"/>
        <v/>
      </c>
      <c r="U127" s="5" t="str">
        <f t="shared" si="14"/>
        <v/>
      </c>
      <c r="V127" s="7" t="str">
        <f t="shared" si="15"/>
        <v/>
      </c>
      <c r="W127" s="8" t="str">
        <f t="shared" si="16"/>
        <v/>
      </c>
      <c r="X127" s="2"/>
      <c r="Y127" s="10"/>
      <c r="Z127" s="11" t="str">
        <f>IF(X127&lt;&gt;"执行卖出","",IFERROR(LOOKUP(2,1/(单次交易!$A$2:$A$163=B127),单次交易!$AP$2:$AP$163),""))</f>
        <v/>
      </c>
      <c r="AA127" s="10"/>
      <c r="AB127" s="8" t="str">
        <f t="shared" si="17"/>
        <v/>
      </c>
      <c r="AC127" s="8" t="str">
        <f>IF(A127="","",IF(A127="止损计划",IF(OR(B127="",D127="",E127="",F127="",G127=""),"计划不完整",IF(OR(D127&lt;1,D127&lt;&gt;INT(D127)),"阶段序号无效",IF(COUNTIFS($A$2:$A$497,"止损计划",$B$2:$B$497,B127,$D$2:$D$497,D127)&gt;1,"阶段序号重复",IF(E127&lt;=IFERROR(LOOKUP(2,1/(单次交易!$A$2:$A$163=B127),单次交易!$E$2:$E$163),0),"激活价须高于买入价",IF(F127&lt;N127,"止损价不得低于初始止损",IF(F127&gt;E127,"止损价不得高于激活价",IF(AND(COUNTIFS($A$2:$A$497,"止损计划",$B$2:$B$497,B127,$D$2:$D$497,"&lt;"&amp;D127)&gt;0,OR(E127&lt;=SUMPRODUCT(MAX((($A$2:$A$497="止损计划")*($B$2:$B$497=B127)*($D$2:$D$497&lt;D127))*$E$2:$E$497)),F127&lt;SUMPRODUCT(MAX((($A$2:$A$497="止损计划")*($B$2:$B$497=B127)*($D$2:$D$497&lt;D127))*$F$2:$F$497)))),"阶段价格必须逐级提高","计划有效"))))))),IF(A127="每日跟踪",IF(OR(B127="",H127="",I127="",J127=""),"每日数据不完整",IF(COUNTIFS($A$2:$A$497,"每日跟踪",$B$2:$B$497,B127,$H$2:$H$497,H127)&gt;1,"同一交易日期重复",IF(AND(R127&lt;&gt;"",R127&lt;S127),"人工止损无效：不能下调","跟踪有效"))),"记录类型无效")))</f>
        <v/>
      </c>
    </row>
    <row r="128" ht="17" spans="1:29">
      <c r="A128" s="2"/>
      <c r="B128" s="2"/>
      <c r="C128" s="8" t="str">
        <f>IF(B128="","",IFERROR(LOOKUP(2,1/(单次交易!$A$2:$A$163=B128),单次交易!$B$2:$B$163),""))</f>
        <v/>
      </c>
      <c r="D128" s="12"/>
      <c r="E128" s="10"/>
      <c r="F128" s="10"/>
      <c r="G128" s="2"/>
      <c r="H128" s="15"/>
      <c r="I128" s="10"/>
      <c r="J128" s="12"/>
      <c r="K128" s="2"/>
      <c r="L128" s="2"/>
      <c r="M128" s="2"/>
      <c r="N128" s="5" t="str">
        <f>IF(B128="","",IFERROR(LOOKUP(2,1/(单次交易!$A$2:$A$163=B128),单次交易!$N$2:$N$163),""))</f>
        <v/>
      </c>
      <c r="O128" s="5" t="str">
        <f t="shared" si="9"/>
        <v/>
      </c>
      <c r="P128" s="11" t="str">
        <f t="shared" si="10"/>
        <v/>
      </c>
      <c r="Q128" s="5" t="str">
        <f t="shared" si="11"/>
        <v/>
      </c>
      <c r="R128" s="10"/>
      <c r="S128" s="5" t="str">
        <f t="shared" si="12"/>
        <v/>
      </c>
      <c r="T128" s="5" t="str">
        <f t="shared" si="13"/>
        <v/>
      </c>
      <c r="U128" s="5" t="str">
        <f t="shared" si="14"/>
        <v/>
      </c>
      <c r="V128" s="7" t="str">
        <f t="shared" si="15"/>
        <v/>
      </c>
      <c r="W128" s="8" t="str">
        <f t="shared" si="16"/>
        <v/>
      </c>
      <c r="X128" s="2"/>
      <c r="Y128" s="10"/>
      <c r="Z128" s="11" t="str">
        <f>IF(X128&lt;&gt;"执行卖出","",IFERROR(LOOKUP(2,1/(单次交易!$A$2:$A$163=B128),单次交易!$AP$2:$AP$163),""))</f>
        <v/>
      </c>
      <c r="AA128" s="10"/>
      <c r="AB128" s="8" t="str">
        <f t="shared" si="17"/>
        <v/>
      </c>
      <c r="AC128" s="8" t="str">
        <f>IF(A128="","",IF(A128="止损计划",IF(OR(B128="",D128="",E128="",F128="",G128=""),"计划不完整",IF(OR(D128&lt;1,D128&lt;&gt;INT(D128)),"阶段序号无效",IF(COUNTIFS($A$2:$A$497,"止损计划",$B$2:$B$497,B128,$D$2:$D$497,D128)&gt;1,"阶段序号重复",IF(E128&lt;=IFERROR(LOOKUP(2,1/(单次交易!$A$2:$A$163=B128),单次交易!$E$2:$E$163),0),"激活价须高于买入价",IF(F128&lt;N128,"止损价不得低于初始止损",IF(F128&gt;E128,"止损价不得高于激活价",IF(AND(COUNTIFS($A$2:$A$497,"止损计划",$B$2:$B$497,B128,$D$2:$D$497,"&lt;"&amp;D128)&gt;0,OR(E128&lt;=SUMPRODUCT(MAX((($A$2:$A$497="止损计划")*($B$2:$B$497=B128)*($D$2:$D$497&lt;D128))*$E$2:$E$497)),F128&lt;SUMPRODUCT(MAX((($A$2:$A$497="止损计划")*($B$2:$B$497=B128)*($D$2:$D$497&lt;D128))*$F$2:$F$497)))),"阶段价格必须逐级提高","计划有效"))))))),IF(A128="每日跟踪",IF(OR(B128="",H128="",I128="",J128=""),"每日数据不完整",IF(COUNTIFS($A$2:$A$497,"每日跟踪",$B$2:$B$497,B128,$H$2:$H$497,H128)&gt;1,"同一交易日期重复",IF(AND(R128&lt;&gt;"",R128&lt;S128),"人工止损无效：不能下调","跟踪有效"))),"记录类型无效")))</f>
        <v/>
      </c>
    </row>
    <row r="129" ht="17" spans="1:29">
      <c r="A129" s="2"/>
      <c r="B129" s="2"/>
      <c r="C129" s="8" t="str">
        <f>IF(B129="","",IFERROR(LOOKUP(2,1/(单次交易!$A$2:$A$163=B129),单次交易!$B$2:$B$163),""))</f>
        <v/>
      </c>
      <c r="D129" s="12"/>
      <c r="E129" s="10"/>
      <c r="F129" s="10"/>
      <c r="G129" s="2"/>
      <c r="H129" s="15"/>
      <c r="I129" s="10"/>
      <c r="J129" s="12"/>
      <c r="K129" s="2"/>
      <c r="L129" s="2"/>
      <c r="M129" s="2"/>
      <c r="N129" s="5" t="str">
        <f>IF(B129="","",IFERROR(LOOKUP(2,1/(单次交易!$A$2:$A$163=B129),单次交易!$N$2:$N$163),""))</f>
        <v/>
      </c>
      <c r="O129" s="5" t="str">
        <f t="shared" si="9"/>
        <v/>
      </c>
      <c r="P129" s="11" t="str">
        <f t="shared" si="10"/>
        <v/>
      </c>
      <c r="Q129" s="5" t="str">
        <f t="shared" si="11"/>
        <v/>
      </c>
      <c r="R129" s="10"/>
      <c r="S129" s="5" t="str">
        <f t="shared" si="12"/>
        <v/>
      </c>
      <c r="T129" s="5" t="str">
        <f t="shared" si="13"/>
        <v/>
      </c>
      <c r="U129" s="5" t="str">
        <f t="shared" si="14"/>
        <v/>
      </c>
      <c r="V129" s="7" t="str">
        <f t="shared" si="15"/>
        <v/>
      </c>
      <c r="W129" s="8" t="str">
        <f t="shared" si="16"/>
        <v/>
      </c>
      <c r="X129" s="2"/>
      <c r="Y129" s="10"/>
      <c r="Z129" s="11" t="str">
        <f>IF(X129&lt;&gt;"执行卖出","",IFERROR(LOOKUP(2,1/(单次交易!$A$2:$A$163=B129),单次交易!$AP$2:$AP$163),""))</f>
        <v/>
      </c>
      <c r="AA129" s="10"/>
      <c r="AB129" s="8" t="str">
        <f t="shared" si="17"/>
        <v/>
      </c>
      <c r="AC129" s="8" t="str">
        <f>IF(A129="","",IF(A129="止损计划",IF(OR(B129="",D129="",E129="",F129="",G129=""),"计划不完整",IF(OR(D129&lt;1,D129&lt;&gt;INT(D129)),"阶段序号无效",IF(COUNTIFS($A$2:$A$497,"止损计划",$B$2:$B$497,B129,$D$2:$D$497,D129)&gt;1,"阶段序号重复",IF(E129&lt;=IFERROR(LOOKUP(2,1/(单次交易!$A$2:$A$163=B129),单次交易!$E$2:$E$163),0),"激活价须高于买入价",IF(F129&lt;N129,"止损价不得低于初始止损",IF(F129&gt;E129,"止损价不得高于激活价",IF(AND(COUNTIFS($A$2:$A$497,"止损计划",$B$2:$B$497,B129,$D$2:$D$497,"&lt;"&amp;D129)&gt;0,OR(E129&lt;=SUMPRODUCT(MAX((($A$2:$A$497="止损计划")*($B$2:$B$497=B129)*($D$2:$D$497&lt;D129))*$E$2:$E$497)),F129&lt;SUMPRODUCT(MAX((($A$2:$A$497="止损计划")*($B$2:$B$497=B129)*($D$2:$D$497&lt;D129))*$F$2:$F$497)))),"阶段价格必须逐级提高","计划有效"))))))),IF(A129="每日跟踪",IF(OR(B129="",H129="",I129="",J129=""),"每日数据不完整",IF(COUNTIFS($A$2:$A$497,"每日跟踪",$B$2:$B$497,B129,$H$2:$H$497,H129)&gt;1,"同一交易日期重复",IF(AND(R129&lt;&gt;"",R129&lt;S129),"人工止损无效：不能下调","跟踪有效"))),"记录类型无效")))</f>
        <v/>
      </c>
    </row>
    <row r="130" ht="17" spans="1:29">
      <c r="A130" s="2"/>
      <c r="B130" s="2"/>
      <c r="C130" s="8" t="str">
        <f>IF(B130="","",IFERROR(LOOKUP(2,1/(单次交易!$A$2:$A$163=B130),单次交易!$B$2:$B$163),""))</f>
        <v/>
      </c>
      <c r="D130" s="12"/>
      <c r="E130" s="10"/>
      <c r="F130" s="10"/>
      <c r="G130" s="2"/>
      <c r="H130" s="15"/>
      <c r="I130" s="10"/>
      <c r="J130" s="12"/>
      <c r="K130" s="2"/>
      <c r="L130" s="2"/>
      <c r="M130" s="2"/>
      <c r="N130" s="5" t="str">
        <f>IF(B130="","",IFERROR(LOOKUP(2,1/(单次交易!$A$2:$A$163=B130),单次交易!$N$2:$N$163),""))</f>
        <v/>
      </c>
      <c r="O130" s="5" t="str">
        <f t="shared" ref="O130:O193" si="18">IF(A130&lt;&gt;"每日跟踪","",IF(OR(B130="",H130="",I130=""),"",IFERROR(SUMPRODUCT(MAX((($A$2:$A$497="每日跟踪")*($B$2:$B$497=B130)*($H$2:$H$497&lt;=H130))*$I$2:$I$497)),"")))</f>
        <v/>
      </c>
      <c r="P130" s="11" t="str">
        <f t="shared" ref="P130:P193" si="19">IF(A130&lt;&gt;"每日跟踪","",IF(O130="","",IFERROR(SUMPRODUCT(MAX((($A$2:$A$497="止损计划")*($B$2:$B$497=B130)*($E$2:$E$497&lt;=O130))*$D$2:$D$497)),0)))</f>
        <v/>
      </c>
      <c r="Q130" s="5" t="str">
        <f t="shared" ref="Q130:Q193" si="20">IF(A130&lt;&gt;"每日跟踪","",IF(N130="","",MAX(N130,IFERROR(SUMPRODUCT(MAX((($A$2:$A$497="止损计划")*($B$2:$B$497=B130)*($E$2:$E$497&lt;=O130))*$F$2:$F$497)),0))))</f>
        <v/>
      </c>
      <c r="R130" s="10"/>
      <c r="S130" s="5" t="str">
        <f t="shared" ref="S130:S193" si="21">IF(A130&lt;&gt;"每日跟踪","",IF(Q130="","",MAX(Q130,IFERROR(SUMPRODUCT(MAX((($A$2:$A$497="每日跟踪")*($B$2:$B$497=B130)*($H$2:$H$497&lt;=H130))*$R$2:$R$497)),0))))</f>
        <v/>
      </c>
      <c r="T130" s="5" t="str">
        <f t="shared" ref="T130:T193" si="22">IF(A130&lt;&gt;"每日跟踪","",IF(O130="","",IF(COUNTIFS($A$2:$A$497,"止损计划",$B$2:$B$497,B130,$E$2:$E$497,"&gt;"&amp;O130)=0,"",INDEX($E$2:$E$497,MATCH(1,INDEX(($A$2:$A$497="止损计划")*($B$2:$B$497=B130)*($E$2:$E$497&gt;O130),0),0)))))</f>
        <v/>
      </c>
      <c r="U130" s="5" t="str">
        <f t="shared" ref="U130:U193" si="23">IF(OR(A130&lt;&gt;"每日跟踪",T130=""),"",IFERROR(SUMIFS($F$2:$F$497,$A$2:$A$497,"止损计划",$B$2:$B$497,B130,$E$2:$E$497,T130),""))</f>
        <v/>
      </c>
      <c r="V130" s="7" t="str">
        <f t="shared" ref="V130:V193" si="24">IF(OR(A130&lt;&gt;"每日跟踪",T130="",I130="",I130&lt;=0),"",T130/I130-1)</f>
        <v/>
      </c>
      <c r="W130" s="8" t="str">
        <f t="shared" ref="W130:W193" si="25">IF(A130&lt;&gt;"每日跟踪","",IF(OR(I130="",S130=""),"",IF(I130&lt;=S130,"触发止损：应全部卖出","继续观察")))</f>
        <v/>
      </c>
      <c r="X130" s="2"/>
      <c r="Y130" s="10"/>
      <c r="Z130" s="11" t="str">
        <f>IF(X130&lt;&gt;"执行卖出","",IFERROR(LOOKUP(2,1/(单次交易!$A$2:$A$163=B130),单次交易!$AP$2:$AP$163),""))</f>
        <v/>
      </c>
      <c r="AA130" s="10"/>
      <c r="AB130" s="8" t="str">
        <f t="shared" ref="AB130:AB193" si="26">IF(A130&lt;&gt;"每日跟踪","",IF(OR(B130="",H130="",I130="",J130="",K130="",L130="",M130=""),"待补充每日记录",IF(W130="触发止损：应全部卖出",IF(X130&lt;&gt;"执行卖出","违规：触发止损但未执行",IF(Y130="","待补充实际卖出价","卖出记录完整")),IF(X130="","待选择卖出动作",IF(X130="执行卖出",IF(Y130="","待补充实际卖出价","卖出记录完整"),"正常")))))</f>
        <v/>
      </c>
      <c r="AC130" s="8" t="str">
        <f>IF(A130="","",IF(A130="止损计划",IF(OR(B130="",D130="",E130="",F130="",G130=""),"计划不完整",IF(OR(D130&lt;1,D130&lt;&gt;INT(D130)),"阶段序号无效",IF(COUNTIFS($A$2:$A$497,"止损计划",$B$2:$B$497,B130,$D$2:$D$497,D130)&gt;1,"阶段序号重复",IF(E130&lt;=IFERROR(LOOKUP(2,1/(单次交易!$A$2:$A$163=B130),单次交易!$E$2:$E$163),0),"激活价须高于买入价",IF(F130&lt;N130,"止损价不得低于初始止损",IF(F130&gt;E130,"止损价不得高于激活价",IF(AND(COUNTIFS($A$2:$A$497,"止损计划",$B$2:$B$497,B130,$D$2:$D$497,"&lt;"&amp;D130)&gt;0,OR(E130&lt;=SUMPRODUCT(MAX((($A$2:$A$497="止损计划")*($B$2:$B$497=B130)*($D$2:$D$497&lt;D130))*$E$2:$E$497)),F130&lt;SUMPRODUCT(MAX((($A$2:$A$497="止损计划")*($B$2:$B$497=B130)*($D$2:$D$497&lt;D130))*$F$2:$F$497)))),"阶段价格必须逐级提高","计划有效"))))))),IF(A130="每日跟踪",IF(OR(B130="",H130="",I130="",J130=""),"每日数据不完整",IF(COUNTIFS($A$2:$A$497,"每日跟踪",$B$2:$B$497,B130,$H$2:$H$497,H130)&gt;1,"同一交易日期重复",IF(AND(R130&lt;&gt;"",R130&lt;S130),"人工止损无效：不能下调","跟踪有效"))),"记录类型无效")))</f>
        <v/>
      </c>
    </row>
    <row r="131" ht="17" spans="1:29">
      <c r="A131" s="2"/>
      <c r="B131" s="2"/>
      <c r="C131" s="8" t="str">
        <f>IF(B131="","",IFERROR(LOOKUP(2,1/(单次交易!$A$2:$A$163=B131),单次交易!$B$2:$B$163),""))</f>
        <v/>
      </c>
      <c r="D131" s="12"/>
      <c r="E131" s="10"/>
      <c r="F131" s="10"/>
      <c r="G131" s="2"/>
      <c r="H131" s="15"/>
      <c r="I131" s="10"/>
      <c r="J131" s="12"/>
      <c r="K131" s="2"/>
      <c r="L131" s="2"/>
      <c r="M131" s="2"/>
      <c r="N131" s="5" t="str">
        <f>IF(B131="","",IFERROR(LOOKUP(2,1/(单次交易!$A$2:$A$163=B131),单次交易!$N$2:$N$163),""))</f>
        <v/>
      </c>
      <c r="O131" s="5" t="str">
        <f t="shared" si="18"/>
        <v/>
      </c>
      <c r="P131" s="11" t="str">
        <f t="shared" si="19"/>
        <v/>
      </c>
      <c r="Q131" s="5" t="str">
        <f t="shared" si="20"/>
        <v/>
      </c>
      <c r="R131" s="10"/>
      <c r="S131" s="5" t="str">
        <f t="shared" si="21"/>
        <v/>
      </c>
      <c r="T131" s="5" t="str">
        <f t="shared" si="22"/>
        <v/>
      </c>
      <c r="U131" s="5" t="str">
        <f t="shared" si="23"/>
        <v/>
      </c>
      <c r="V131" s="7" t="str">
        <f t="shared" si="24"/>
        <v/>
      </c>
      <c r="W131" s="8" t="str">
        <f t="shared" si="25"/>
        <v/>
      </c>
      <c r="X131" s="2"/>
      <c r="Y131" s="10"/>
      <c r="Z131" s="11" t="str">
        <f>IF(X131&lt;&gt;"执行卖出","",IFERROR(LOOKUP(2,1/(单次交易!$A$2:$A$163=B131),单次交易!$AP$2:$AP$163),""))</f>
        <v/>
      </c>
      <c r="AA131" s="10"/>
      <c r="AB131" s="8" t="str">
        <f t="shared" si="26"/>
        <v/>
      </c>
      <c r="AC131" s="8" t="str">
        <f>IF(A131="","",IF(A131="止损计划",IF(OR(B131="",D131="",E131="",F131="",G131=""),"计划不完整",IF(OR(D131&lt;1,D131&lt;&gt;INT(D131)),"阶段序号无效",IF(COUNTIFS($A$2:$A$497,"止损计划",$B$2:$B$497,B131,$D$2:$D$497,D131)&gt;1,"阶段序号重复",IF(E131&lt;=IFERROR(LOOKUP(2,1/(单次交易!$A$2:$A$163=B131),单次交易!$E$2:$E$163),0),"激活价须高于买入价",IF(F131&lt;N131,"止损价不得低于初始止损",IF(F131&gt;E131,"止损价不得高于激活价",IF(AND(COUNTIFS($A$2:$A$497,"止损计划",$B$2:$B$497,B131,$D$2:$D$497,"&lt;"&amp;D131)&gt;0,OR(E131&lt;=SUMPRODUCT(MAX((($A$2:$A$497="止损计划")*($B$2:$B$497=B131)*($D$2:$D$497&lt;D131))*$E$2:$E$497)),F131&lt;SUMPRODUCT(MAX((($A$2:$A$497="止损计划")*($B$2:$B$497=B131)*($D$2:$D$497&lt;D131))*$F$2:$F$497)))),"阶段价格必须逐级提高","计划有效"))))))),IF(A131="每日跟踪",IF(OR(B131="",H131="",I131="",J131=""),"每日数据不完整",IF(COUNTIFS($A$2:$A$497,"每日跟踪",$B$2:$B$497,B131,$H$2:$H$497,H131)&gt;1,"同一交易日期重复",IF(AND(R131&lt;&gt;"",R131&lt;S131),"人工止损无效：不能下调","跟踪有效"))),"记录类型无效")))</f>
        <v/>
      </c>
    </row>
    <row r="132" ht="17" spans="1:29">
      <c r="A132" s="2"/>
      <c r="B132" s="2"/>
      <c r="C132" s="8" t="str">
        <f>IF(B132="","",IFERROR(LOOKUP(2,1/(单次交易!$A$2:$A$163=B132),单次交易!$B$2:$B$163),""))</f>
        <v/>
      </c>
      <c r="D132" s="12"/>
      <c r="E132" s="10"/>
      <c r="F132" s="10"/>
      <c r="G132" s="2"/>
      <c r="H132" s="15"/>
      <c r="I132" s="10"/>
      <c r="J132" s="12"/>
      <c r="K132" s="2"/>
      <c r="L132" s="2"/>
      <c r="M132" s="2"/>
      <c r="N132" s="5" t="str">
        <f>IF(B132="","",IFERROR(LOOKUP(2,1/(单次交易!$A$2:$A$163=B132),单次交易!$N$2:$N$163),""))</f>
        <v/>
      </c>
      <c r="O132" s="5" t="str">
        <f t="shared" si="18"/>
        <v/>
      </c>
      <c r="P132" s="11" t="str">
        <f t="shared" si="19"/>
        <v/>
      </c>
      <c r="Q132" s="5" t="str">
        <f t="shared" si="20"/>
        <v/>
      </c>
      <c r="R132" s="10"/>
      <c r="S132" s="5" t="str">
        <f t="shared" si="21"/>
        <v/>
      </c>
      <c r="T132" s="5" t="str">
        <f t="shared" si="22"/>
        <v/>
      </c>
      <c r="U132" s="5" t="str">
        <f t="shared" si="23"/>
        <v/>
      </c>
      <c r="V132" s="7" t="str">
        <f t="shared" si="24"/>
        <v/>
      </c>
      <c r="W132" s="8" t="str">
        <f t="shared" si="25"/>
        <v/>
      </c>
      <c r="X132" s="2"/>
      <c r="Y132" s="10"/>
      <c r="Z132" s="11" t="str">
        <f>IF(X132&lt;&gt;"执行卖出","",IFERROR(LOOKUP(2,1/(单次交易!$A$2:$A$163=B132),单次交易!$AP$2:$AP$163),""))</f>
        <v/>
      </c>
      <c r="AA132" s="10"/>
      <c r="AB132" s="8" t="str">
        <f t="shared" si="26"/>
        <v/>
      </c>
      <c r="AC132" s="8" t="str">
        <f>IF(A132="","",IF(A132="止损计划",IF(OR(B132="",D132="",E132="",F132="",G132=""),"计划不完整",IF(OR(D132&lt;1,D132&lt;&gt;INT(D132)),"阶段序号无效",IF(COUNTIFS($A$2:$A$497,"止损计划",$B$2:$B$497,B132,$D$2:$D$497,D132)&gt;1,"阶段序号重复",IF(E132&lt;=IFERROR(LOOKUP(2,1/(单次交易!$A$2:$A$163=B132),单次交易!$E$2:$E$163),0),"激活价须高于买入价",IF(F132&lt;N132,"止损价不得低于初始止损",IF(F132&gt;E132,"止损价不得高于激活价",IF(AND(COUNTIFS($A$2:$A$497,"止损计划",$B$2:$B$497,B132,$D$2:$D$497,"&lt;"&amp;D132)&gt;0,OR(E132&lt;=SUMPRODUCT(MAX((($A$2:$A$497="止损计划")*($B$2:$B$497=B132)*($D$2:$D$497&lt;D132))*$E$2:$E$497)),F132&lt;SUMPRODUCT(MAX((($A$2:$A$497="止损计划")*($B$2:$B$497=B132)*($D$2:$D$497&lt;D132))*$F$2:$F$497)))),"阶段价格必须逐级提高","计划有效"))))))),IF(A132="每日跟踪",IF(OR(B132="",H132="",I132="",J132=""),"每日数据不完整",IF(COUNTIFS($A$2:$A$497,"每日跟踪",$B$2:$B$497,B132,$H$2:$H$497,H132)&gt;1,"同一交易日期重复",IF(AND(R132&lt;&gt;"",R132&lt;S132),"人工止损无效：不能下调","跟踪有效"))),"记录类型无效")))</f>
        <v/>
      </c>
    </row>
    <row r="133" ht="17" spans="1:29">
      <c r="A133" s="2"/>
      <c r="B133" s="2"/>
      <c r="C133" s="8" t="str">
        <f>IF(B133="","",IFERROR(LOOKUP(2,1/(单次交易!$A$2:$A$163=B133),单次交易!$B$2:$B$163),""))</f>
        <v/>
      </c>
      <c r="D133" s="12"/>
      <c r="E133" s="10"/>
      <c r="F133" s="10"/>
      <c r="G133" s="2"/>
      <c r="H133" s="15"/>
      <c r="I133" s="10"/>
      <c r="J133" s="12"/>
      <c r="K133" s="2"/>
      <c r="L133" s="2"/>
      <c r="M133" s="2"/>
      <c r="N133" s="5" t="str">
        <f>IF(B133="","",IFERROR(LOOKUP(2,1/(单次交易!$A$2:$A$163=B133),单次交易!$N$2:$N$163),""))</f>
        <v/>
      </c>
      <c r="O133" s="5" t="str">
        <f t="shared" si="18"/>
        <v/>
      </c>
      <c r="P133" s="11" t="str">
        <f t="shared" si="19"/>
        <v/>
      </c>
      <c r="Q133" s="5" t="str">
        <f t="shared" si="20"/>
        <v/>
      </c>
      <c r="R133" s="10"/>
      <c r="S133" s="5" t="str">
        <f t="shared" si="21"/>
        <v/>
      </c>
      <c r="T133" s="5" t="str">
        <f t="shared" si="22"/>
        <v/>
      </c>
      <c r="U133" s="5" t="str">
        <f t="shared" si="23"/>
        <v/>
      </c>
      <c r="V133" s="7" t="str">
        <f t="shared" si="24"/>
        <v/>
      </c>
      <c r="W133" s="8" t="str">
        <f t="shared" si="25"/>
        <v/>
      </c>
      <c r="X133" s="2"/>
      <c r="Y133" s="10"/>
      <c r="Z133" s="11" t="str">
        <f>IF(X133&lt;&gt;"执行卖出","",IFERROR(LOOKUP(2,1/(单次交易!$A$2:$A$163=B133),单次交易!$AP$2:$AP$163),""))</f>
        <v/>
      </c>
      <c r="AA133" s="10"/>
      <c r="AB133" s="8" t="str">
        <f t="shared" si="26"/>
        <v/>
      </c>
      <c r="AC133" s="8" t="str">
        <f>IF(A133="","",IF(A133="止损计划",IF(OR(B133="",D133="",E133="",F133="",G133=""),"计划不完整",IF(OR(D133&lt;1,D133&lt;&gt;INT(D133)),"阶段序号无效",IF(COUNTIFS($A$2:$A$497,"止损计划",$B$2:$B$497,B133,$D$2:$D$497,D133)&gt;1,"阶段序号重复",IF(E133&lt;=IFERROR(LOOKUP(2,1/(单次交易!$A$2:$A$163=B133),单次交易!$E$2:$E$163),0),"激活价须高于买入价",IF(F133&lt;N133,"止损价不得低于初始止损",IF(F133&gt;E133,"止损价不得高于激活价",IF(AND(COUNTIFS($A$2:$A$497,"止损计划",$B$2:$B$497,B133,$D$2:$D$497,"&lt;"&amp;D133)&gt;0,OR(E133&lt;=SUMPRODUCT(MAX((($A$2:$A$497="止损计划")*($B$2:$B$497=B133)*($D$2:$D$497&lt;D133))*$E$2:$E$497)),F133&lt;SUMPRODUCT(MAX((($A$2:$A$497="止损计划")*($B$2:$B$497=B133)*($D$2:$D$497&lt;D133))*$F$2:$F$497)))),"阶段价格必须逐级提高","计划有效"))))))),IF(A133="每日跟踪",IF(OR(B133="",H133="",I133="",J133=""),"每日数据不完整",IF(COUNTIFS($A$2:$A$497,"每日跟踪",$B$2:$B$497,B133,$H$2:$H$497,H133)&gt;1,"同一交易日期重复",IF(AND(R133&lt;&gt;"",R133&lt;S133),"人工止损无效：不能下调","跟踪有效"))),"记录类型无效")))</f>
        <v/>
      </c>
    </row>
    <row r="134" ht="17" spans="1:29">
      <c r="A134" s="2"/>
      <c r="B134" s="2"/>
      <c r="C134" s="8" t="str">
        <f>IF(B134="","",IFERROR(LOOKUP(2,1/(单次交易!$A$2:$A$163=B134),单次交易!$B$2:$B$163),""))</f>
        <v/>
      </c>
      <c r="D134" s="12"/>
      <c r="E134" s="10"/>
      <c r="F134" s="10"/>
      <c r="G134" s="2"/>
      <c r="H134" s="15"/>
      <c r="I134" s="10"/>
      <c r="J134" s="12"/>
      <c r="K134" s="2"/>
      <c r="L134" s="2"/>
      <c r="M134" s="2"/>
      <c r="N134" s="5" t="str">
        <f>IF(B134="","",IFERROR(LOOKUP(2,1/(单次交易!$A$2:$A$163=B134),单次交易!$N$2:$N$163),""))</f>
        <v/>
      </c>
      <c r="O134" s="5" t="str">
        <f t="shared" si="18"/>
        <v/>
      </c>
      <c r="P134" s="11" t="str">
        <f t="shared" si="19"/>
        <v/>
      </c>
      <c r="Q134" s="5" t="str">
        <f t="shared" si="20"/>
        <v/>
      </c>
      <c r="R134" s="10"/>
      <c r="S134" s="5" t="str">
        <f t="shared" si="21"/>
        <v/>
      </c>
      <c r="T134" s="5" t="str">
        <f t="shared" si="22"/>
        <v/>
      </c>
      <c r="U134" s="5" t="str">
        <f t="shared" si="23"/>
        <v/>
      </c>
      <c r="V134" s="7" t="str">
        <f t="shared" si="24"/>
        <v/>
      </c>
      <c r="W134" s="8" t="str">
        <f t="shared" si="25"/>
        <v/>
      </c>
      <c r="X134" s="2"/>
      <c r="Y134" s="10"/>
      <c r="Z134" s="11" t="str">
        <f>IF(X134&lt;&gt;"执行卖出","",IFERROR(LOOKUP(2,1/(单次交易!$A$2:$A$163=B134),单次交易!$AP$2:$AP$163),""))</f>
        <v/>
      </c>
      <c r="AA134" s="10"/>
      <c r="AB134" s="8" t="str">
        <f t="shared" si="26"/>
        <v/>
      </c>
      <c r="AC134" s="8" t="str">
        <f>IF(A134="","",IF(A134="止损计划",IF(OR(B134="",D134="",E134="",F134="",G134=""),"计划不完整",IF(OR(D134&lt;1,D134&lt;&gt;INT(D134)),"阶段序号无效",IF(COUNTIFS($A$2:$A$497,"止损计划",$B$2:$B$497,B134,$D$2:$D$497,D134)&gt;1,"阶段序号重复",IF(E134&lt;=IFERROR(LOOKUP(2,1/(单次交易!$A$2:$A$163=B134),单次交易!$E$2:$E$163),0),"激活价须高于买入价",IF(F134&lt;N134,"止损价不得低于初始止损",IF(F134&gt;E134,"止损价不得高于激活价",IF(AND(COUNTIFS($A$2:$A$497,"止损计划",$B$2:$B$497,B134,$D$2:$D$497,"&lt;"&amp;D134)&gt;0,OR(E134&lt;=SUMPRODUCT(MAX((($A$2:$A$497="止损计划")*($B$2:$B$497=B134)*($D$2:$D$497&lt;D134))*$E$2:$E$497)),F134&lt;SUMPRODUCT(MAX((($A$2:$A$497="止损计划")*($B$2:$B$497=B134)*($D$2:$D$497&lt;D134))*$F$2:$F$497)))),"阶段价格必须逐级提高","计划有效"))))))),IF(A134="每日跟踪",IF(OR(B134="",H134="",I134="",J134=""),"每日数据不完整",IF(COUNTIFS($A$2:$A$497,"每日跟踪",$B$2:$B$497,B134,$H$2:$H$497,H134)&gt;1,"同一交易日期重复",IF(AND(R134&lt;&gt;"",R134&lt;S134),"人工止损无效：不能下调","跟踪有效"))),"记录类型无效")))</f>
        <v/>
      </c>
    </row>
    <row r="135" ht="17" spans="1:29">
      <c r="A135" s="2"/>
      <c r="B135" s="2"/>
      <c r="C135" s="8" t="str">
        <f>IF(B135="","",IFERROR(LOOKUP(2,1/(单次交易!$A$2:$A$163=B135),单次交易!$B$2:$B$163),""))</f>
        <v/>
      </c>
      <c r="D135" s="12"/>
      <c r="E135" s="10"/>
      <c r="F135" s="10"/>
      <c r="G135" s="2"/>
      <c r="H135" s="15"/>
      <c r="I135" s="10"/>
      <c r="J135" s="12"/>
      <c r="K135" s="2"/>
      <c r="L135" s="2"/>
      <c r="M135" s="2"/>
      <c r="N135" s="5" t="str">
        <f>IF(B135="","",IFERROR(LOOKUP(2,1/(单次交易!$A$2:$A$163=B135),单次交易!$N$2:$N$163),""))</f>
        <v/>
      </c>
      <c r="O135" s="5" t="str">
        <f t="shared" si="18"/>
        <v/>
      </c>
      <c r="P135" s="11" t="str">
        <f t="shared" si="19"/>
        <v/>
      </c>
      <c r="Q135" s="5" t="str">
        <f t="shared" si="20"/>
        <v/>
      </c>
      <c r="R135" s="10"/>
      <c r="S135" s="5" t="str">
        <f t="shared" si="21"/>
        <v/>
      </c>
      <c r="T135" s="5" t="str">
        <f t="shared" si="22"/>
        <v/>
      </c>
      <c r="U135" s="5" t="str">
        <f t="shared" si="23"/>
        <v/>
      </c>
      <c r="V135" s="7" t="str">
        <f t="shared" si="24"/>
        <v/>
      </c>
      <c r="W135" s="8" t="str">
        <f t="shared" si="25"/>
        <v/>
      </c>
      <c r="X135" s="2"/>
      <c r="Y135" s="10"/>
      <c r="Z135" s="11" t="str">
        <f>IF(X135&lt;&gt;"执行卖出","",IFERROR(LOOKUP(2,1/(单次交易!$A$2:$A$163=B135),单次交易!$AP$2:$AP$163),""))</f>
        <v/>
      </c>
      <c r="AA135" s="10"/>
      <c r="AB135" s="8" t="str">
        <f t="shared" si="26"/>
        <v/>
      </c>
      <c r="AC135" s="8" t="str">
        <f>IF(A135="","",IF(A135="止损计划",IF(OR(B135="",D135="",E135="",F135="",G135=""),"计划不完整",IF(OR(D135&lt;1,D135&lt;&gt;INT(D135)),"阶段序号无效",IF(COUNTIFS($A$2:$A$497,"止损计划",$B$2:$B$497,B135,$D$2:$D$497,D135)&gt;1,"阶段序号重复",IF(E135&lt;=IFERROR(LOOKUP(2,1/(单次交易!$A$2:$A$163=B135),单次交易!$E$2:$E$163),0),"激活价须高于买入价",IF(F135&lt;N135,"止损价不得低于初始止损",IF(F135&gt;E135,"止损价不得高于激活价",IF(AND(COUNTIFS($A$2:$A$497,"止损计划",$B$2:$B$497,B135,$D$2:$D$497,"&lt;"&amp;D135)&gt;0,OR(E135&lt;=SUMPRODUCT(MAX((($A$2:$A$497="止损计划")*($B$2:$B$497=B135)*($D$2:$D$497&lt;D135))*$E$2:$E$497)),F135&lt;SUMPRODUCT(MAX((($A$2:$A$497="止损计划")*($B$2:$B$497=B135)*($D$2:$D$497&lt;D135))*$F$2:$F$497)))),"阶段价格必须逐级提高","计划有效"))))))),IF(A135="每日跟踪",IF(OR(B135="",H135="",I135="",J135=""),"每日数据不完整",IF(COUNTIFS($A$2:$A$497,"每日跟踪",$B$2:$B$497,B135,$H$2:$H$497,H135)&gt;1,"同一交易日期重复",IF(AND(R135&lt;&gt;"",R135&lt;S135),"人工止损无效：不能下调","跟踪有效"))),"记录类型无效")))</f>
        <v/>
      </c>
    </row>
    <row r="136" ht="17" spans="1:29">
      <c r="A136" s="2"/>
      <c r="B136" s="2"/>
      <c r="C136" s="8" t="str">
        <f>IF(B136="","",IFERROR(LOOKUP(2,1/(单次交易!$A$2:$A$163=B136),单次交易!$B$2:$B$163),""))</f>
        <v/>
      </c>
      <c r="D136" s="12"/>
      <c r="E136" s="10"/>
      <c r="F136" s="10"/>
      <c r="G136" s="2"/>
      <c r="H136" s="15"/>
      <c r="I136" s="10"/>
      <c r="J136" s="12"/>
      <c r="K136" s="2"/>
      <c r="L136" s="2"/>
      <c r="M136" s="2"/>
      <c r="N136" s="5" t="str">
        <f>IF(B136="","",IFERROR(LOOKUP(2,1/(单次交易!$A$2:$A$163=B136),单次交易!$N$2:$N$163),""))</f>
        <v/>
      </c>
      <c r="O136" s="5" t="str">
        <f t="shared" si="18"/>
        <v/>
      </c>
      <c r="P136" s="11" t="str">
        <f t="shared" si="19"/>
        <v/>
      </c>
      <c r="Q136" s="5" t="str">
        <f t="shared" si="20"/>
        <v/>
      </c>
      <c r="R136" s="10"/>
      <c r="S136" s="5" t="str">
        <f t="shared" si="21"/>
        <v/>
      </c>
      <c r="T136" s="5" t="str">
        <f t="shared" si="22"/>
        <v/>
      </c>
      <c r="U136" s="5" t="str">
        <f t="shared" si="23"/>
        <v/>
      </c>
      <c r="V136" s="7" t="str">
        <f t="shared" si="24"/>
        <v/>
      </c>
      <c r="W136" s="8" t="str">
        <f t="shared" si="25"/>
        <v/>
      </c>
      <c r="X136" s="2"/>
      <c r="Y136" s="10"/>
      <c r="Z136" s="11" t="str">
        <f>IF(X136&lt;&gt;"执行卖出","",IFERROR(LOOKUP(2,1/(单次交易!$A$2:$A$163=B136),单次交易!$AP$2:$AP$163),""))</f>
        <v/>
      </c>
      <c r="AA136" s="10"/>
      <c r="AB136" s="8" t="str">
        <f t="shared" si="26"/>
        <v/>
      </c>
      <c r="AC136" s="8" t="str">
        <f>IF(A136="","",IF(A136="止损计划",IF(OR(B136="",D136="",E136="",F136="",G136=""),"计划不完整",IF(OR(D136&lt;1,D136&lt;&gt;INT(D136)),"阶段序号无效",IF(COUNTIFS($A$2:$A$497,"止损计划",$B$2:$B$497,B136,$D$2:$D$497,D136)&gt;1,"阶段序号重复",IF(E136&lt;=IFERROR(LOOKUP(2,1/(单次交易!$A$2:$A$163=B136),单次交易!$E$2:$E$163),0),"激活价须高于买入价",IF(F136&lt;N136,"止损价不得低于初始止损",IF(F136&gt;E136,"止损价不得高于激活价",IF(AND(COUNTIFS($A$2:$A$497,"止损计划",$B$2:$B$497,B136,$D$2:$D$497,"&lt;"&amp;D136)&gt;0,OR(E136&lt;=SUMPRODUCT(MAX((($A$2:$A$497="止损计划")*($B$2:$B$497=B136)*($D$2:$D$497&lt;D136))*$E$2:$E$497)),F136&lt;SUMPRODUCT(MAX((($A$2:$A$497="止损计划")*($B$2:$B$497=B136)*($D$2:$D$497&lt;D136))*$F$2:$F$497)))),"阶段价格必须逐级提高","计划有效"))))))),IF(A136="每日跟踪",IF(OR(B136="",H136="",I136="",J136=""),"每日数据不完整",IF(COUNTIFS($A$2:$A$497,"每日跟踪",$B$2:$B$497,B136,$H$2:$H$497,H136)&gt;1,"同一交易日期重复",IF(AND(R136&lt;&gt;"",R136&lt;S136),"人工止损无效：不能下调","跟踪有效"))),"记录类型无效")))</f>
        <v/>
      </c>
    </row>
    <row r="137" ht="17" spans="1:29">
      <c r="A137" s="2"/>
      <c r="B137" s="2"/>
      <c r="C137" s="8" t="str">
        <f>IF(B137="","",IFERROR(LOOKUP(2,1/(单次交易!$A$2:$A$163=B137),单次交易!$B$2:$B$163),""))</f>
        <v/>
      </c>
      <c r="D137" s="12"/>
      <c r="E137" s="10"/>
      <c r="F137" s="10"/>
      <c r="G137" s="2"/>
      <c r="H137" s="15"/>
      <c r="I137" s="10"/>
      <c r="J137" s="12"/>
      <c r="K137" s="2"/>
      <c r="L137" s="2"/>
      <c r="M137" s="2"/>
      <c r="N137" s="5" t="str">
        <f>IF(B137="","",IFERROR(LOOKUP(2,1/(单次交易!$A$2:$A$163=B137),单次交易!$N$2:$N$163),""))</f>
        <v/>
      </c>
      <c r="O137" s="5" t="str">
        <f t="shared" si="18"/>
        <v/>
      </c>
      <c r="P137" s="11" t="str">
        <f t="shared" si="19"/>
        <v/>
      </c>
      <c r="Q137" s="5" t="str">
        <f t="shared" si="20"/>
        <v/>
      </c>
      <c r="R137" s="10"/>
      <c r="S137" s="5" t="str">
        <f t="shared" si="21"/>
        <v/>
      </c>
      <c r="T137" s="5" t="str">
        <f t="shared" si="22"/>
        <v/>
      </c>
      <c r="U137" s="5" t="str">
        <f t="shared" si="23"/>
        <v/>
      </c>
      <c r="V137" s="7" t="str">
        <f t="shared" si="24"/>
        <v/>
      </c>
      <c r="W137" s="8" t="str">
        <f t="shared" si="25"/>
        <v/>
      </c>
      <c r="X137" s="2"/>
      <c r="Y137" s="10"/>
      <c r="Z137" s="11" t="str">
        <f>IF(X137&lt;&gt;"执行卖出","",IFERROR(LOOKUP(2,1/(单次交易!$A$2:$A$163=B137),单次交易!$AP$2:$AP$163),""))</f>
        <v/>
      </c>
      <c r="AA137" s="10"/>
      <c r="AB137" s="8" t="str">
        <f t="shared" si="26"/>
        <v/>
      </c>
      <c r="AC137" s="8" t="str">
        <f>IF(A137="","",IF(A137="止损计划",IF(OR(B137="",D137="",E137="",F137="",G137=""),"计划不完整",IF(OR(D137&lt;1,D137&lt;&gt;INT(D137)),"阶段序号无效",IF(COUNTIFS($A$2:$A$497,"止损计划",$B$2:$B$497,B137,$D$2:$D$497,D137)&gt;1,"阶段序号重复",IF(E137&lt;=IFERROR(LOOKUP(2,1/(单次交易!$A$2:$A$163=B137),单次交易!$E$2:$E$163),0),"激活价须高于买入价",IF(F137&lt;N137,"止损价不得低于初始止损",IF(F137&gt;E137,"止损价不得高于激活价",IF(AND(COUNTIFS($A$2:$A$497,"止损计划",$B$2:$B$497,B137,$D$2:$D$497,"&lt;"&amp;D137)&gt;0,OR(E137&lt;=SUMPRODUCT(MAX((($A$2:$A$497="止损计划")*($B$2:$B$497=B137)*($D$2:$D$497&lt;D137))*$E$2:$E$497)),F137&lt;SUMPRODUCT(MAX((($A$2:$A$497="止损计划")*($B$2:$B$497=B137)*($D$2:$D$497&lt;D137))*$F$2:$F$497)))),"阶段价格必须逐级提高","计划有效"))))))),IF(A137="每日跟踪",IF(OR(B137="",H137="",I137="",J137=""),"每日数据不完整",IF(COUNTIFS($A$2:$A$497,"每日跟踪",$B$2:$B$497,B137,$H$2:$H$497,H137)&gt;1,"同一交易日期重复",IF(AND(R137&lt;&gt;"",R137&lt;S137),"人工止损无效：不能下调","跟踪有效"))),"记录类型无效")))</f>
        <v/>
      </c>
    </row>
    <row r="138" ht="17" spans="1:29">
      <c r="A138" s="2"/>
      <c r="B138" s="2"/>
      <c r="C138" s="8" t="str">
        <f>IF(B138="","",IFERROR(LOOKUP(2,1/(单次交易!$A$2:$A$163=B138),单次交易!$B$2:$B$163),""))</f>
        <v/>
      </c>
      <c r="D138" s="12"/>
      <c r="E138" s="10"/>
      <c r="F138" s="10"/>
      <c r="G138" s="2"/>
      <c r="H138" s="15"/>
      <c r="I138" s="10"/>
      <c r="J138" s="12"/>
      <c r="K138" s="2"/>
      <c r="L138" s="2"/>
      <c r="M138" s="2"/>
      <c r="N138" s="5" t="str">
        <f>IF(B138="","",IFERROR(LOOKUP(2,1/(单次交易!$A$2:$A$163=B138),单次交易!$N$2:$N$163),""))</f>
        <v/>
      </c>
      <c r="O138" s="5" t="str">
        <f t="shared" si="18"/>
        <v/>
      </c>
      <c r="P138" s="11" t="str">
        <f t="shared" si="19"/>
        <v/>
      </c>
      <c r="Q138" s="5" t="str">
        <f t="shared" si="20"/>
        <v/>
      </c>
      <c r="R138" s="10"/>
      <c r="S138" s="5" t="str">
        <f t="shared" si="21"/>
        <v/>
      </c>
      <c r="T138" s="5" t="str">
        <f t="shared" si="22"/>
        <v/>
      </c>
      <c r="U138" s="5" t="str">
        <f t="shared" si="23"/>
        <v/>
      </c>
      <c r="V138" s="7" t="str">
        <f t="shared" si="24"/>
        <v/>
      </c>
      <c r="W138" s="8" t="str">
        <f t="shared" si="25"/>
        <v/>
      </c>
      <c r="X138" s="2"/>
      <c r="Y138" s="10"/>
      <c r="Z138" s="11" t="str">
        <f>IF(X138&lt;&gt;"执行卖出","",IFERROR(LOOKUP(2,1/(单次交易!$A$2:$A$163=B138),单次交易!$AP$2:$AP$163),""))</f>
        <v/>
      </c>
      <c r="AA138" s="10"/>
      <c r="AB138" s="8" t="str">
        <f t="shared" si="26"/>
        <v/>
      </c>
      <c r="AC138" s="8" t="str">
        <f>IF(A138="","",IF(A138="止损计划",IF(OR(B138="",D138="",E138="",F138="",G138=""),"计划不完整",IF(OR(D138&lt;1,D138&lt;&gt;INT(D138)),"阶段序号无效",IF(COUNTIFS($A$2:$A$497,"止损计划",$B$2:$B$497,B138,$D$2:$D$497,D138)&gt;1,"阶段序号重复",IF(E138&lt;=IFERROR(LOOKUP(2,1/(单次交易!$A$2:$A$163=B138),单次交易!$E$2:$E$163),0),"激活价须高于买入价",IF(F138&lt;N138,"止损价不得低于初始止损",IF(F138&gt;E138,"止损价不得高于激活价",IF(AND(COUNTIFS($A$2:$A$497,"止损计划",$B$2:$B$497,B138,$D$2:$D$497,"&lt;"&amp;D138)&gt;0,OR(E138&lt;=SUMPRODUCT(MAX((($A$2:$A$497="止损计划")*($B$2:$B$497=B138)*($D$2:$D$497&lt;D138))*$E$2:$E$497)),F138&lt;SUMPRODUCT(MAX((($A$2:$A$497="止损计划")*($B$2:$B$497=B138)*($D$2:$D$497&lt;D138))*$F$2:$F$497)))),"阶段价格必须逐级提高","计划有效"))))))),IF(A138="每日跟踪",IF(OR(B138="",H138="",I138="",J138=""),"每日数据不完整",IF(COUNTIFS($A$2:$A$497,"每日跟踪",$B$2:$B$497,B138,$H$2:$H$497,H138)&gt;1,"同一交易日期重复",IF(AND(R138&lt;&gt;"",R138&lt;S138),"人工止损无效：不能下调","跟踪有效"))),"记录类型无效")))</f>
        <v/>
      </c>
    </row>
    <row r="139" ht="17" spans="1:29">
      <c r="A139" s="2"/>
      <c r="B139" s="2"/>
      <c r="C139" s="8" t="str">
        <f>IF(B139="","",IFERROR(LOOKUP(2,1/(单次交易!$A$2:$A$163=B139),单次交易!$B$2:$B$163),""))</f>
        <v/>
      </c>
      <c r="D139" s="12"/>
      <c r="E139" s="10"/>
      <c r="F139" s="10"/>
      <c r="G139" s="2"/>
      <c r="H139" s="15"/>
      <c r="I139" s="10"/>
      <c r="J139" s="12"/>
      <c r="K139" s="2"/>
      <c r="L139" s="2"/>
      <c r="M139" s="2"/>
      <c r="N139" s="5" t="str">
        <f>IF(B139="","",IFERROR(LOOKUP(2,1/(单次交易!$A$2:$A$163=B139),单次交易!$N$2:$N$163),""))</f>
        <v/>
      </c>
      <c r="O139" s="5" t="str">
        <f t="shared" si="18"/>
        <v/>
      </c>
      <c r="P139" s="11" t="str">
        <f t="shared" si="19"/>
        <v/>
      </c>
      <c r="Q139" s="5" t="str">
        <f t="shared" si="20"/>
        <v/>
      </c>
      <c r="R139" s="10"/>
      <c r="S139" s="5" t="str">
        <f t="shared" si="21"/>
        <v/>
      </c>
      <c r="T139" s="5" t="str">
        <f t="shared" si="22"/>
        <v/>
      </c>
      <c r="U139" s="5" t="str">
        <f t="shared" si="23"/>
        <v/>
      </c>
      <c r="V139" s="7" t="str">
        <f t="shared" si="24"/>
        <v/>
      </c>
      <c r="W139" s="8" t="str">
        <f t="shared" si="25"/>
        <v/>
      </c>
      <c r="X139" s="2"/>
      <c r="Y139" s="10"/>
      <c r="Z139" s="11" t="str">
        <f>IF(X139&lt;&gt;"执行卖出","",IFERROR(LOOKUP(2,1/(单次交易!$A$2:$A$163=B139),单次交易!$AP$2:$AP$163),""))</f>
        <v/>
      </c>
      <c r="AA139" s="10"/>
      <c r="AB139" s="8" t="str">
        <f t="shared" si="26"/>
        <v/>
      </c>
      <c r="AC139" s="8" t="str">
        <f>IF(A139="","",IF(A139="止损计划",IF(OR(B139="",D139="",E139="",F139="",G139=""),"计划不完整",IF(OR(D139&lt;1,D139&lt;&gt;INT(D139)),"阶段序号无效",IF(COUNTIFS($A$2:$A$497,"止损计划",$B$2:$B$497,B139,$D$2:$D$497,D139)&gt;1,"阶段序号重复",IF(E139&lt;=IFERROR(LOOKUP(2,1/(单次交易!$A$2:$A$163=B139),单次交易!$E$2:$E$163),0),"激活价须高于买入价",IF(F139&lt;N139,"止损价不得低于初始止损",IF(F139&gt;E139,"止损价不得高于激活价",IF(AND(COUNTIFS($A$2:$A$497,"止损计划",$B$2:$B$497,B139,$D$2:$D$497,"&lt;"&amp;D139)&gt;0,OR(E139&lt;=SUMPRODUCT(MAX((($A$2:$A$497="止损计划")*($B$2:$B$497=B139)*($D$2:$D$497&lt;D139))*$E$2:$E$497)),F139&lt;SUMPRODUCT(MAX((($A$2:$A$497="止损计划")*($B$2:$B$497=B139)*($D$2:$D$497&lt;D139))*$F$2:$F$497)))),"阶段价格必须逐级提高","计划有效"))))))),IF(A139="每日跟踪",IF(OR(B139="",H139="",I139="",J139=""),"每日数据不完整",IF(COUNTIFS($A$2:$A$497,"每日跟踪",$B$2:$B$497,B139,$H$2:$H$497,H139)&gt;1,"同一交易日期重复",IF(AND(R139&lt;&gt;"",R139&lt;S139),"人工止损无效：不能下调","跟踪有效"))),"记录类型无效")))</f>
        <v/>
      </c>
    </row>
    <row r="140" ht="17" spans="1:29">
      <c r="A140" s="2"/>
      <c r="B140" s="2"/>
      <c r="C140" s="8" t="str">
        <f>IF(B140="","",IFERROR(LOOKUP(2,1/(单次交易!$A$2:$A$163=B140),单次交易!$B$2:$B$163),""))</f>
        <v/>
      </c>
      <c r="D140" s="12"/>
      <c r="E140" s="10"/>
      <c r="F140" s="10"/>
      <c r="G140" s="2"/>
      <c r="H140" s="15"/>
      <c r="I140" s="10"/>
      <c r="J140" s="12"/>
      <c r="K140" s="2"/>
      <c r="L140" s="2"/>
      <c r="M140" s="2"/>
      <c r="N140" s="5" t="str">
        <f>IF(B140="","",IFERROR(LOOKUP(2,1/(单次交易!$A$2:$A$163=B140),单次交易!$N$2:$N$163),""))</f>
        <v/>
      </c>
      <c r="O140" s="5" t="str">
        <f t="shared" si="18"/>
        <v/>
      </c>
      <c r="P140" s="11" t="str">
        <f t="shared" si="19"/>
        <v/>
      </c>
      <c r="Q140" s="5" t="str">
        <f t="shared" si="20"/>
        <v/>
      </c>
      <c r="R140" s="10"/>
      <c r="S140" s="5" t="str">
        <f t="shared" si="21"/>
        <v/>
      </c>
      <c r="T140" s="5" t="str">
        <f t="shared" si="22"/>
        <v/>
      </c>
      <c r="U140" s="5" t="str">
        <f t="shared" si="23"/>
        <v/>
      </c>
      <c r="V140" s="7" t="str">
        <f t="shared" si="24"/>
        <v/>
      </c>
      <c r="W140" s="8" t="str">
        <f t="shared" si="25"/>
        <v/>
      </c>
      <c r="X140" s="2"/>
      <c r="Y140" s="10"/>
      <c r="Z140" s="11" t="str">
        <f>IF(X140&lt;&gt;"执行卖出","",IFERROR(LOOKUP(2,1/(单次交易!$A$2:$A$163=B140),单次交易!$AP$2:$AP$163),""))</f>
        <v/>
      </c>
      <c r="AA140" s="10"/>
      <c r="AB140" s="8" t="str">
        <f t="shared" si="26"/>
        <v/>
      </c>
      <c r="AC140" s="8" t="str">
        <f>IF(A140="","",IF(A140="止损计划",IF(OR(B140="",D140="",E140="",F140="",G140=""),"计划不完整",IF(OR(D140&lt;1,D140&lt;&gt;INT(D140)),"阶段序号无效",IF(COUNTIFS($A$2:$A$497,"止损计划",$B$2:$B$497,B140,$D$2:$D$497,D140)&gt;1,"阶段序号重复",IF(E140&lt;=IFERROR(LOOKUP(2,1/(单次交易!$A$2:$A$163=B140),单次交易!$E$2:$E$163),0),"激活价须高于买入价",IF(F140&lt;N140,"止损价不得低于初始止损",IF(F140&gt;E140,"止损价不得高于激活价",IF(AND(COUNTIFS($A$2:$A$497,"止损计划",$B$2:$B$497,B140,$D$2:$D$497,"&lt;"&amp;D140)&gt;0,OR(E140&lt;=SUMPRODUCT(MAX((($A$2:$A$497="止损计划")*($B$2:$B$497=B140)*($D$2:$D$497&lt;D140))*$E$2:$E$497)),F140&lt;SUMPRODUCT(MAX((($A$2:$A$497="止损计划")*($B$2:$B$497=B140)*($D$2:$D$497&lt;D140))*$F$2:$F$497)))),"阶段价格必须逐级提高","计划有效"))))))),IF(A140="每日跟踪",IF(OR(B140="",H140="",I140="",J140=""),"每日数据不完整",IF(COUNTIFS($A$2:$A$497,"每日跟踪",$B$2:$B$497,B140,$H$2:$H$497,H140)&gt;1,"同一交易日期重复",IF(AND(R140&lt;&gt;"",R140&lt;S140),"人工止损无效：不能下调","跟踪有效"))),"记录类型无效")))</f>
        <v/>
      </c>
    </row>
    <row r="141" ht="17" spans="1:29">
      <c r="A141" s="2"/>
      <c r="B141" s="2"/>
      <c r="C141" s="8" t="str">
        <f>IF(B141="","",IFERROR(LOOKUP(2,1/(单次交易!$A$2:$A$163=B141),单次交易!$B$2:$B$163),""))</f>
        <v/>
      </c>
      <c r="D141" s="12"/>
      <c r="E141" s="10"/>
      <c r="F141" s="10"/>
      <c r="G141" s="2"/>
      <c r="H141" s="15"/>
      <c r="I141" s="10"/>
      <c r="J141" s="12"/>
      <c r="K141" s="2"/>
      <c r="L141" s="2"/>
      <c r="M141" s="2"/>
      <c r="N141" s="5" t="str">
        <f>IF(B141="","",IFERROR(LOOKUP(2,1/(单次交易!$A$2:$A$163=B141),单次交易!$N$2:$N$163),""))</f>
        <v/>
      </c>
      <c r="O141" s="5" t="str">
        <f t="shared" si="18"/>
        <v/>
      </c>
      <c r="P141" s="11" t="str">
        <f t="shared" si="19"/>
        <v/>
      </c>
      <c r="Q141" s="5" t="str">
        <f t="shared" si="20"/>
        <v/>
      </c>
      <c r="R141" s="10"/>
      <c r="S141" s="5" t="str">
        <f t="shared" si="21"/>
        <v/>
      </c>
      <c r="T141" s="5" t="str">
        <f t="shared" si="22"/>
        <v/>
      </c>
      <c r="U141" s="5" t="str">
        <f t="shared" si="23"/>
        <v/>
      </c>
      <c r="V141" s="7" t="str">
        <f t="shared" si="24"/>
        <v/>
      </c>
      <c r="W141" s="8" t="str">
        <f t="shared" si="25"/>
        <v/>
      </c>
      <c r="X141" s="2"/>
      <c r="Y141" s="10"/>
      <c r="Z141" s="11" t="str">
        <f>IF(X141&lt;&gt;"执行卖出","",IFERROR(LOOKUP(2,1/(单次交易!$A$2:$A$163=B141),单次交易!$AP$2:$AP$163),""))</f>
        <v/>
      </c>
      <c r="AA141" s="10"/>
      <c r="AB141" s="8" t="str">
        <f t="shared" si="26"/>
        <v/>
      </c>
      <c r="AC141" s="8" t="str">
        <f>IF(A141="","",IF(A141="止损计划",IF(OR(B141="",D141="",E141="",F141="",G141=""),"计划不完整",IF(OR(D141&lt;1,D141&lt;&gt;INT(D141)),"阶段序号无效",IF(COUNTIFS($A$2:$A$497,"止损计划",$B$2:$B$497,B141,$D$2:$D$497,D141)&gt;1,"阶段序号重复",IF(E141&lt;=IFERROR(LOOKUP(2,1/(单次交易!$A$2:$A$163=B141),单次交易!$E$2:$E$163),0),"激活价须高于买入价",IF(F141&lt;N141,"止损价不得低于初始止损",IF(F141&gt;E141,"止损价不得高于激活价",IF(AND(COUNTIFS($A$2:$A$497,"止损计划",$B$2:$B$497,B141,$D$2:$D$497,"&lt;"&amp;D141)&gt;0,OR(E141&lt;=SUMPRODUCT(MAX((($A$2:$A$497="止损计划")*($B$2:$B$497=B141)*($D$2:$D$497&lt;D141))*$E$2:$E$497)),F141&lt;SUMPRODUCT(MAX((($A$2:$A$497="止损计划")*($B$2:$B$497=B141)*($D$2:$D$497&lt;D141))*$F$2:$F$497)))),"阶段价格必须逐级提高","计划有效"))))))),IF(A141="每日跟踪",IF(OR(B141="",H141="",I141="",J141=""),"每日数据不完整",IF(COUNTIFS($A$2:$A$497,"每日跟踪",$B$2:$B$497,B141,$H$2:$H$497,H141)&gt;1,"同一交易日期重复",IF(AND(R141&lt;&gt;"",R141&lt;S141),"人工止损无效：不能下调","跟踪有效"))),"记录类型无效")))</f>
        <v/>
      </c>
    </row>
    <row r="142" ht="17" spans="1:29">
      <c r="A142" s="2"/>
      <c r="B142" s="2"/>
      <c r="C142" s="8" t="str">
        <f>IF(B142="","",IFERROR(LOOKUP(2,1/(单次交易!$A$2:$A$163=B142),单次交易!$B$2:$B$163),""))</f>
        <v/>
      </c>
      <c r="D142" s="12"/>
      <c r="E142" s="10"/>
      <c r="F142" s="10"/>
      <c r="G142" s="2"/>
      <c r="H142" s="15"/>
      <c r="I142" s="10"/>
      <c r="J142" s="12"/>
      <c r="K142" s="2"/>
      <c r="L142" s="2"/>
      <c r="M142" s="2"/>
      <c r="N142" s="5" t="str">
        <f>IF(B142="","",IFERROR(LOOKUP(2,1/(单次交易!$A$2:$A$163=B142),单次交易!$N$2:$N$163),""))</f>
        <v/>
      </c>
      <c r="O142" s="5" t="str">
        <f t="shared" si="18"/>
        <v/>
      </c>
      <c r="P142" s="11" t="str">
        <f t="shared" si="19"/>
        <v/>
      </c>
      <c r="Q142" s="5" t="str">
        <f t="shared" si="20"/>
        <v/>
      </c>
      <c r="R142" s="10"/>
      <c r="S142" s="5" t="str">
        <f t="shared" si="21"/>
        <v/>
      </c>
      <c r="T142" s="5" t="str">
        <f t="shared" si="22"/>
        <v/>
      </c>
      <c r="U142" s="5" t="str">
        <f t="shared" si="23"/>
        <v/>
      </c>
      <c r="V142" s="7" t="str">
        <f t="shared" si="24"/>
        <v/>
      </c>
      <c r="W142" s="8" t="str">
        <f t="shared" si="25"/>
        <v/>
      </c>
      <c r="X142" s="2"/>
      <c r="Y142" s="10"/>
      <c r="Z142" s="11" t="str">
        <f>IF(X142&lt;&gt;"执行卖出","",IFERROR(LOOKUP(2,1/(单次交易!$A$2:$A$163=B142),单次交易!$AP$2:$AP$163),""))</f>
        <v/>
      </c>
      <c r="AA142" s="10"/>
      <c r="AB142" s="8" t="str">
        <f t="shared" si="26"/>
        <v/>
      </c>
      <c r="AC142" s="8" t="str">
        <f>IF(A142="","",IF(A142="止损计划",IF(OR(B142="",D142="",E142="",F142="",G142=""),"计划不完整",IF(OR(D142&lt;1,D142&lt;&gt;INT(D142)),"阶段序号无效",IF(COUNTIFS($A$2:$A$497,"止损计划",$B$2:$B$497,B142,$D$2:$D$497,D142)&gt;1,"阶段序号重复",IF(E142&lt;=IFERROR(LOOKUP(2,1/(单次交易!$A$2:$A$163=B142),单次交易!$E$2:$E$163),0),"激活价须高于买入价",IF(F142&lt;N142,"止损价不得低于初始止损",IF(F142&gt;E142,"止损价不得高于激活价",IF(AND(COUNTIFS($A$2:$A$497,"止损计划",$B$2:$B$497,B142,$D$2:$D$497,"&lt;"&amp;D142)&gt;0,OR(E142&lt;=SUMPRODUCT(MAX((($A$2:$A$497="止损计划")*($B$2:$B$497=B142)*($D$2:$D$497&lt;D142))*$E$2:$E$497)),F142&lt;SUMPRODUCT(MAX((($A$2:$A$497="止损计划")*($B$2:$B$497=B142)*($D$2:$D$497&lt;D142))*$F$2:$F$497)))),"阶段价格必须逐级提高","计划有效"))))))),IF(A142="每日跟踪",IF(OR(B142="",H142="",I142="",J142=""),"每日数据不完整",IF(COUNTIFS($A$2:$A$497,"每日跟踪",$B$2:$B$497,B142,$H$2:$H$497,H142)&gt;1,"同一交易日期重复",IF(AND(R142&lt;&gt;"",R142&lt;S142),"人工止损无效：不能下调","跟踪有效"))),"记录类型无效")))</f>
        <v/>
      </c>
    </row>
    <row r="143" ht="17" spans="1:29">
      <c r="A143" s="2"/>
      <c r="B143" s="2"/>
      <c r="C143" s="8" t="str">
        <f>IF(B143="","",IFERROR(LOOKUP(2,1/(单次交易!$A$2:$A$163=B143),单次交易!$B$2:$B$163),""))</f>
        <v/>
      </c>
      <c r="D143" s="12"/>
      <c r="E143" s="10"/>
      <c r="F143" s="10"/>
      <c r="G143" s="2"/>
      <c r="H143" s="15"/>
      <c r="I143" s="10"/>
      <c r="J143" s="12"/>
      <c r="K143" s="2"/>
      <c r="L143" s="2"/>
      <c r="M143" s="2"/>
      <c r="N143" s="5" t="str">
        <f>IF(B143="","",IFERROR(LOOKUP(2,1/(单次交易!$A$2:$A$163=B143),单次交易!$N$2:$N$163),""))</f>
        <v/>
      </c>
      <c r="O143" s="5" t="str">
        <f t="shared" si="18"/>
        <v/>
      </c>
      <c r="P143" s="11" t="str">
        <f t="shared" si="19"/>
        <v/>
      </c>
      <c r="Q143" s="5" t="str">
        <f t="shared" si="20"/>
        <v/>
      </c>
      <c r="R143" s="10"/>
      <c r="S143" s="5" t="str">
        <f t="shared" si="21"/>
        <v/>
      </c>
      <c r="T143" s="5" t="str">
        <f t="shared" si="22"/>
        <v/>
      </c>
      <c r="U143" s="5" t="str">
        <f t="shared" si="23"/>
        <v/>
      </c>
      <c r="V143" s="7" t="str">
        <f t="shared" si="24"/>
        <v/>
      </c>
      <c r="W143" s="8" t="str">
        <f t="shared" si="25"/>
        <v/>
      </c>
      <c r="X143" s="2"/>
      <c r="Y143" s="10"/>
      <c r="Z143" s="11" t="str">
        <f>IF(X143&lt;&gt;"执行卖出","",IFERROR(LOOKUP(2,1/(单次交易!$A$2:$A$163=B143),单次交易!$AP$2:$AP$163),""))</f>
        <v/>
      </c>
      <c r="AA143" s="10"/>
      <c r="AB143" s="8" t="str">
        <f t="shared" si="26"/>
        <v/>
      </c>
      <c r="AC143" s="8" t="str">
        <f>IF(A143="","",IF(A143="止损计划",IF(OR(B143="",D143="",E143="",F143="",G143=""),"计划不完整",IF(OR(D143&lt;1,D143&lt;&gt;INT(D143)),"阶段序号无效",IF(COUNTIFS($A$2:$A$497,"止损计划",$B$2:$B$497,B143,$D$2:$D$497,D143)&gt;1,"阶段序号重复",IF(E143&lt;=IFERROR(LOOKUP(2,1/(单次交易!$A$2:$A$163=B143),单次交易!$E$2:$E$163),0),"激活价须高于买入价",IF(F143&lt;N143,"止损价不得低于初始止损",IF(F143&gt;E143,"止损价不得高于激活价",IF(AND(COUNTIFS($A$2:$A$497,"止损计划",$B$2:$B$497,B143,$D$2:$D$497,"&lt;"&amp;D143)&gt;0,OR(E143&lt;=SUMPRODUCT(MAX((($A$2:$A$497="止损计划")*($B$2:$B$497=B143)*($D$2:$D$497&lt;D143))*$E$2:$E$497)),F143&lt;SUMPRODUCT(MAX((($A$2:$A$497="止损计划")*($B$2:$B$497=B143)*($D$2:$D$497&lt;D143))*$F$2:$F$497)))),"阶段价格必须逐级提高","计划有效"))))))),IF(A143="每日跟踪",IF(OR(B143="",H143="",I143="",J143=""),"每日数据不完整",IF(COUNTIFS($A$2:$A$497,"每日跟踪",$B$2:$B$497,B143,$H$2:$H$497,H143)&gt;1,"同一交易日期重复",IF(AND(R143&lt;&gt;"",R143&lt;S143),"人工止损无效：不能下调","跟踪有效"))),"记录类型无效")))</f>
        <v/>
      </c>
    </row>
    <row r="144" ht="17" spans="1:29">
      <c r="A144" s="2"/>
      <c r="B144" s="2"/>
      <c r="C144" s="8" t="str">
        <f>IF(B144="","",IFERROR(LOOKUP(2,1/(单次交易!$A$2:$A$163=B144),单次交易!$B$2:$B$163),""))</f>
        <v/>
      </c>
      <c r="D144" s="12"/>
      <c r="E144" s="10"/>
      <c r="F144" s="10"/>
      <c r="G144" s="2"/>
      <c r="H144" s="15"/>
      <c r="I144" s="10"/>
      <c r="J144" s="12"/>
      <c r="K144" s="2"/>
      <c r="L144" s="2"/>
      <c r="M144" s="2"/>
      <c r="N144" s="5" t="str">
        <f>IF(B144="","",IFERROR(LOOKUP(2,1/(单次交易!$A$2:$A$163=B144),单次交易!$N$2:$N$163),""))</f>
        <v/>
      </c>
      <c r="O144" s="5" t="str">
        <f t="shared" si="18"/>
        <v/>
      </c>
      <c r="P144" s="11" t="str">
        <f t="shared" si="19"/>
        <v/>
      </c>
      <c r="Q144" s="5" t="str">
        <f t="shared" si="20"/>
        <v/>
      </c>
      <c r="R144" s="10"/>
      <c r="S144" s="5" t="str">
        <f t="shared" si="21"/>
        <v/>
      </c>
      <c r="T144" s="5" t="str">
        <f t="shared" si="22"/>
        <v/>
      </c>
      <c r="U144" s="5" t="str">
        <f t="shared" si="23"/>
        <v/>
      </c>
      <c r="V144" s="7" t="str">
        <f t="shared" si="24"/>
        <v/>
      </c>
      <c r="W144" s="8" t="str">
        <f t="shared" si="25"/>
        <v/>
      </c>
      <c r="X144" s="2"/>
      <c r="Y144" s="10"/>
      <c r="Z144" s="11" t="str">
        <f>IF(X144&lt;&gt;"执行卖出","",IFERROR(LOOKUP(2,1/(单次交易!$A$2:$A$163=B144),单次交易!$AP$2:$AP$163),""))</f>
        <v/>
      </c>
      <c r="AA144" s="10"/>
      <c r="AB144" s="8" t="str">
        <f t="shared" si="26"/>
        <v/>
      </c>
      <c r="AC144" s="8" t="str">
        <f>IF(A144="","",IF(A144="止损计划",IF(OR(B144="",D144="",E144="",F144="",G144=""),"计划不完整",IF(OR(D144&lt;1,D144&lt;&gt;INT(D144)),"阶段序号无效",IF(COUNTIFS($A$2:$A$497,"止损计划",$B$2:$B$497,B144,$D$2:$D$497,D144)&gt;1,"阶段序号重复",IF(E144&lt;=IFERROR(LOOKUP(2,1/(单次交易!$A$2:$A$163=B144),单次交易!$E$2:$E$163),0),"激活价须高于买入价",IF(F144&lt;N144,"止损价不得低于初始止损",IF(F144&gt;E144,"止损价不得高于激活价",IF(AND(COUNTIFS($A$2:$A$497,"止损计划",$B$2:$B$497,B144,$D$2:$D$497,"&lt;"&amp;D144)&gt;0,OR(E144&lt;=SUMPRODUCT(MAX((($A$2:$A$497="止损计划")*($B$2:$B$497=B144)*($D$2:$D$497&lt;D144))*$E$2:$E$497)),F144&lt;SUMPRODUCT(MAX((($A$2:$A$497="止损计划")*($B$2:$B$497=B144)*($D$2:$D$497&lt;D144))*$F$2:$F$497)))),"阶段价格必须逐级提高","计划有效"))))))),IF(A144="每日跟踪",IF(OR(B144="",H144="",I144="",J144=""),"每日数据不完整",IF(COUNTIFS($A$2:$A$497,"每日跟踪",$B$2:$B$497,B144,$H$2:$H$497,H144)&gt;1,"同一交易日期重复",IF(AND(R144&lt;&gt;"",R144&lt;S144),"人工止损无效：不能下调","跟踪有效"))),"记录类型无效")))</f>
        <v/>
      </c>
    </row>
    <row r="145" ht="17" spans="1:29">
      <c r="A145" s="2"/>
      <c r="B145" s="2"/>
      <c r="C145" s="8" t="str">
        <f>IF(B145="","",IFERROR(LOOKUP(2,1/(单次交易!$A$2:$A$163=B145),单次交易!$B$2:$B$163),""))</f>
        <v/>
      </c>
      <c r="D145" s="12"/>
      <c r="E145" s="10"/>
      <c r="F145" s="10"/>
      <c r="G145" s="2"/>
      <c r="H145" s="15"/>
      <c r="I145" s="10"/>
      <c r="J145" s="12"/>
      <c r="K145" s="2"/>
      <c r="L145" s="2"/>
      <c r="M145" s="2"/>
      <c r="N145" s="5" t="str">
        <f>IF(B145="","",IFERROR(LOOKUP(2,1/(单次交易!$A$2:$A$163=B145),单次交易!$N$2:$N$163),""))</f>
        <v/>
      </c>
      <c r="O145" s="5" t="str">
        <f t="shared" si="18"/>
        <v/>
      </c>
      <c r="P145" s="11" t="str">
        <f t="shared" si="19"/>
        <v/>
      </c>
      <c r="Q145" s="5" t="str">
        <f t="shared" si="20"/>
        <v/>
      </c>
      <c r="R145" s="10"/>
      <c r="S145" s="5" t="str">
        <f t="shared" si="21"/>
        <v/>
      </c>
      <c r="T145" s="5" t="str">
        <f t="shared" si="22"/>
        <v/>
      </c>
      <c r="U145" s="5" t="str">
        <f t="shared" si="23"/>
        <v/>
      </c>
      <c r="V145" s="7" t="str">
        <f t="shared" si="24"/>
        <v/>
      </c>
      <c r="W145" s="8" t="str">
        <f t="shared" si="25"/>
        <v/>
      </c>
      <c r="X145" s="2"/>
      <c r="Y145" s="10"/>
      <c r="Z145" s="11" t="str">
        <f>IF(X145&lt;&gt;"执行卖出","",IFERROR(LOOKUP(2,1/(单次交易!$A$2:$A$163=B145),单次交易!$AP$2:$AP$163),""))</f>
        <v/>
      </c>
      <c r="AA145" s="10"/>
      <c r="AB145" s="8" t="str">
        <f t="shared" si="26"/>
        <v/>
      </c>
      <c r="AC145" s="8" t="str">
        <f>IF(A145="","",IF(A145="止损计划",IF(OR(B145="",D145="",E145="",F145="",G145=""),"计划不完整",IF(OR(D145&lt;1,D145&lt;&gt;INT(D145)),"阶段序号无效",IF(COUNTIFS($A$2:$A$497,"止损计划",$B$2:$B$497,B145,$D$2:$D$497,D145)&gt;1,"阶段序号重复",IF(E145&lt;=IFERROR(LOOKUP(2,1/(单次交易!$A$2:$A$163=B145),单次交易!$E$2:$E$163),0),"激活价须高于买入价",IF(F145&lt;N145,"止损价不得低于初始止损",IF(F145&gt;E145,"止损价不得高于激活价",IF(AND(COUNTIFS($A$2:$A$497,"止损计划",$B$2:$B$497,B145,$D$2:$D$497,"&lt;"&amp;D145)&gt;0,OR(E145&lt;=SUMPRODUCT(MAX((($A$2:$A$497="止损计划")*($B$2:$B$497=B145)*($D$2:$D$497&lt;D145))*$E$2:$E$497)),F145&lt;SUMPRODUCT(MAX((($A$2:$A$497="止损计划")*($B$2:$B$497=B145)*($D$2:$D$497&lt;D145))*$F$2:$F$497)))),"阶段价格必须逐级提高","计划有效"))))))),IF(A145="每日跟踪",IF(OR(B145="",H145="",I145="",J145=""),"每日数据不完整",IF(COUNTIFS($A$2:$A$497,"每日跟踪",$B$2:$B$497,B145,$H$2:$H$497,H145)&gt;1,"同一交易日期重复",IF(AND(R145&lt;&gt;"",R145&lt;S145),"人工止损无效：不能下调","跟踪有效"))),"记录类型无效")))</f>
        <v/>
      </c>
    </row>
    <row r="146" ht="17" spans="1:29">
      <c r="A146" s="2"/>
      <c r="B146" s="2"/>
      <c r="C146" s="8" t="str">
        <f>IF(B146="","",IFERROR(LOOKUP(2,1/(单次交易!$A$2:$A$163=B146),单次交易!$B$2:$B$163),""))</f>
        <v/>
      </c>
      <c r="D146" s="12"/>
      <c r="E146" s="10"/>
      <c r="F146" s="10"/>
      <c r="G146" s="2"/>
      <c r="H146" s="15"/>
      <c r="I146" s="10"/>
      <c r="J146" s="12"/>
      <c r="K146" s="2"/>
      <c r="L146" s="2"/>
      <c r="M146" s="2"/>
      <c r="N146" s="5" t="str">
        <f>IF(B146="","",IFERROR(LOOKUP(2,1/(单次交易!$A$2:$A$163=B146),单次交易!$N$2:$N$163),""))</f>
        <v/>
      </c>
      <c r="O146" s="5" t="str">
        <f t="shared" si="18"/>
        <v/>
      </c>
      <c r="P146" s="11" t="str">
        <f t="shared" si="19"/>
        <v/>
      </c>
      <c r="Q146" s="5" t="str">
        <f t="shared" si="20"/>
        <v/>
      </c>
      <c r="R146" s="10"/>
      <c r="S146" s="5" t="str">
        <f t="shared" si="21"/>
        <v/>
      </c>
      <c r="T146" s="5" t="str">
        <f t="shared" si="22"/>
        <v/>
      </c>
      <c r="U146" s="5" t="str">
        <f t="shared" si="23"/>
        <v/>
      </c>
      <c r="V146" s="7" t="str">
        <f t="shared" si="24"/>
        <v/>
      </c>
      <c r="W146" s="8" t="str">
        <f t="shared" si="25"/>
        <v/>
      </c>
      <c r="X146" s="2"/>
      <c r="Y146" s="10"/>
      <c r="Z146" s="11" t="str">
        <f>IF(X146&lt;&gt;"执行卖出","",IFERROR(LOOKUP(2,1/(单次交易!$A$2:$A$163=B146),单次交易!$AP$2:$AP$163),""))</f>
        <v/>
      </c>
      <c r="AA146" s="10"/>
      <c r="AB146" s="8" t="str">
        <f t="shared" si="26"/>
        <v/>
      </c>
      <c r="AC146" s="8" t="str">
        <f>IF(A146="","",IF(A146="止损计划",IF(OR(B146="",D146="",E146="",F146="",G146=""),"计划不完整",IF(OR(D146&lt;1,D146&lt;&gt;INT(D146)),"阶段序号无效",IF(COUNTIFS($A$2:$A$497,"止损计划",$B$2:$B$497,B146,$D$2:$D$497,D146)&gt;1,"阶段序号重复",IF(E146&lt;=IFERROR(LOOKUP(2,1/(单次交易!$A$2:$A$163=B146),单次交易!$E$2:$E$163),0),"激活价须高于买入价",IF(F146&lt;N146,"止损价不得低于初始止损",IF(F146&gt;E146,"止损价不得高于激活价",IF(AND(COUNTIFS($A$2:$A$497,"止损计划",$B$2:$B$497,B146,$D$2:$D$497,"&lt;"&amp;D146)&gt;0,OR(E146&lt;=SUMPRODUCT(MAX((($A$2:$A$497="止损计划")*($B$2:$B$497=B146)*($D$2:$D$497&lt;D146))*$E$2:$E$497)),F146&lt;SUMPRODUCT(MAX((($A$2:$A$497="止损计划")*($B$2:$B$497=B146)*($D$2:$D$497&lt;D146))*$F$2:$F$497)))),"阶段价格必须逐级提高","计划有效"))))))),IF(A146="每日跟踪",IF(OR(B146="",H146="",I146="",J146=""),"每日数据不完整",IF(COUNTIFS($A$2:$A$497,"每日跟踪",$B$2:$B$497,B146,$H$2:$H$497,H146)&gt;1,"同一交易日期重复",IF(AND(R146&lt;&gt;"",R146&lt;S146),"人工止损无效：不能下调","跟踪有效"))),"记录类型无效")))</f>
        <v/>
      </c>
    </row>
    <row r="147" ht="17" spans="1:29">
      <c r="A147" s="2"/>
      <c r="B147" s="2"/>
      <c r="C147" s="8" t="str">
        <f>IF(B147="","",IFERROR(LOOKUP(2,1/(单次交易!$A$2:$A$163=B147),单次交易!$B$2:$B$163),""))</f>
        <v/>
      </c>
      <c r="D147" s="12"/>
      <c r="E147" s="10"/>
      <c r="F147" s="10"/>
      <c r="G147" s="2"/>
      <c r="H147" s="15"/>
      <c r="I147" s="10"/>
      <c r="J147" s="12"/>
      <c r="K147" s="2"/>
      <c r="L147" s="2"/>
      <c r="M147" s="2"/>
      <c r="N147" s="5" t="str">
        <f>IF(B147="","",IFERROR(LOOKUP(2,1/(单次交易!$A$2:$A$163=B147),单次交易!$N$2:$N$163),""))</f>
        <v/>
      </c>
      <c r="O147" s="5" t="str">
        <f t="shared" si="18"/>
        <v/>
      </c>
      <c r="P147" s="11" t="str">
        <f t="shared" si="19"/>
        <v/>
      </c>
      <c r="Q147" s="5" t="str">
        <f t="shared" si="20"/>
        <v/>
      </c>
      <c r="R147" s="10"/>
      <c r="S147" s="5" t="str">
        <f t="shared" si="21"/>
        <v/>
      </c>
      <c r="T147" s="5" t="str">
        <f t="shared" si="22"/>
        <v/>
      </c>
      <c r="U147" s="5" t="str">
        <f t="shared" si="23"/>
        <v/>
      </c>
      <c r="V147" s="7" t="str">
        <f t="shared" si="24"/>
        <v/>
      </c>
      <c r="W147" s="8" t="str">
        <f t="shared" si="25"/>
        <v/>
      </c>
      <c r="X147" s="2"/>
      <c r="Y147" s="10"/>
      <c r="Z147" s="11" t="str">
        <f>IF(X147&lt;&gt;"执行卖出","",IFERROR(LOOKUP(2,1/(单次交易!$A$2:$A$163=B147),单次交易!$AP$2:$AP$163),""))</f>
        <v/>
      </c>
      <c r="AA147" s="10"/>
      <c r="AB147" s="8" t="str">
        <f t="shared" si="26"/>
        <v/>
      </c>
      <c r="AC147" s="8" t="str">
        <f>IF(A147="","",IF(A147="止损计划",IF(OR(B147="",D147="",E147="",F147="",G147=""),"计划不完整",IF(OR(D147&lt;1,D147&lt;&gt;INT(D147)),"阶段序号无效",IF(COUNTIFS($A$2:$A$497,"止损计划",$B$2:$B$497,B147,$D$2:$D$497,D147)&gt;1,"阶段序号重复",IF(E147&lt;=IFERROR(LOOKUP(2,1/(单次交易!$A$2:$A$163=B147),单次交易!$E$2:$E$163),0),"激活价须高于买入价",IF(F147&lt;N147,"止损价不得低于初始止损",IF(F147&gt;E147,"止损价不得高于激活价",IF(AND(COUNTIFS($A$2:$A$497,"止损计划",$B$2:$B$497,B147,$D$2:$D$497,"&lt;"&amp;D147)&gt;0,OR(E147&lt;=SUMPRODUCT(MAX((($A$2:$A$497="止损计划")*($B$2:$B$497=B147)*($D$2:$D$497&lt;D147))*$E$2:$E$497)),F147&lt;SUMPRODUCT(MAX((($A$2:$A$497="止损计划")*($B$2:$B$497=B147)*($D$2:$D$497&lt;D147))*$F$2:$F$497)))),"阶段价格必须逐级提高","计划有效"))))))),IF(A147="每日跟踪",IF(OR(B147="",H147="",I147="",J147=""),"每日数据不完整",IF(COUNTIFS($A$2:$A$497,"每日跟踪",$B$2:$B$497,B147,$H$2:$H$497,H147)&gt;1,"同一交易日期重复",IF(AND(R147&lt;&gt;"",R147&lt;S147),"人工止损无效：不能下调","跟踪有效"))),"记录类型无效")))</f>
        <v/>
      </c>
    </row>
    <row r="148" ht="17" spans="1:29">
      <c r="A148" s="2"/>
      <c r="B148" s="2"/>
      <c r="C148" s="8" t="str">
        <f>IF(B148="","",IFERROR(LOOKUP(2,1/(单次交易!$A$2:$A$163=B148),单次交易!$B$2:$B$163),""))</f>
        <v/>
      </c>
      <c r="D148" s="12"/>
      <c r="E148" s="10"/>
      <c r="F148" s="10"/>
      <c r="G148" s="2"/>
      <c r="H148" s="15"/>
      <c r="I148" s="10"/>
      <c r="J148" s="12"/>
      <c r="K148" s="2"/>
      <c r="L148" s="2"/>
      <c r="M148" s="2"/>
      <c r="N148" s="5" t="str">
        <f>IF(B148="","",IFERROR(LOOKUP(2,1/(单次交易!$A$2:$A$163=B148),单次交易!$N$2:$N$163),""))</f>
        <v/>
      </c>
      <c r="O148" s="5" t="str">
        <f t="shared" si="18"/>
        <v/>
      </c>
      <c r="P148" s="11" t="str">
        <f t="shared" si="19"/>
        <v/>
      </c>
      <c r="Q148" s="5" t="str">
        <f t="shared" si="20"/>
        <v/>
      </c>
      <c r="R148" s="10"/>
      <c r="S148" s="5" t="str">
        <f t="shared" si="21"/>
        <v/>
      </c>
      <c r="T148" s="5" t="str">
        <f t="shared" si="22"/>
        <v/>
      </c>
      <c r="U148" s="5" t="str">
        <f t="shared" si="23"/>
        <v/>
      </c>
      <c r="V148" s="7" t="str">
        <f t="shared" si="24"/>
        <v/>
      </c>
      <c r="W148" s="8" t="str">
        <f t="shared" si="25"/>
        <v/>
      </c>
      <c r="X148" s="2"/>
      <c r="Y148" s="10"/>
      <c r="Z148" s="11" t="str">
        <f>IF(X148&lt;&gt;"执行卖出","",IFERROR(LOOKUP(2,1/(单次交易!$A$2:$A$163=B148),单次交易!$AP$2:$AP$163),""))</f>
        <v/>
      </c>
      <c r="AA148" s="10"/>
      <c r="AB148" s="8" t="str">
        <f t="shared" si="26"/>
        <v/>
      </c>
      <c r="AC148" s="8" t="str">
        <f>IF(A148="","",IF(A148="止损计划",IF(OR(B148="",D148="",E148="",F148="",G148=""),"计划不完整",IF(OR(D148&lt;1,D148&lt;&gt;INT(D148)),"阶段序号无效",IF(COUNTIFS($A$2:$A$497,"止损计划",$B$2:$B$497,B148,$D$2:$D$497,D148)&gt;1,"阶段序号重复",IF(E148&lt;=IFERROR(LOOKUP(2,1/(单次交易!$A$2:$A$163=B148),单次交易!$E$2:$E$163),0),"激活价须高于买入价",IF(F148&lt;N148,"止损价不得低于初始止损",IF(F148&gt;E148,"止损价不得高于激活价",IF(AND(COUNTIFS($A$2:$A$497,"止损计划",$B$2:$B$497,B148,$D$2:$D$497,"&lt;"&amp;D148)&gt;0,OR(E148&lt;=SUMPRODUCT(MAX((($A$2:$A$497="止损计划")*($B$2:$B$497=B148)*($D$2:$D$497&lt;D148))*$E$2:$E$497)),F148&lt;SUMPRODUCT(MAX((($A$2:$A$497="止损计划")*($B$2:$B$497=B148)*($D$2:$D$497&lt;D148))*$F$2:$F$497)))),"阶段价格必须逐级提高","计划有效"))))))),IF(A148="每日跟踪",IF(OR(B148="",H148="",I148="",J148=""),"每日数据不完整",IF(COUNTIFS($A$2:$A$497,"每日跟踪",$B$2:$B$497,B148,$H$2:$H$497,H148)&gt;1,"同一交易日期重复",IF(AND(R148&lt;&gt;"",R148&lt;S148),"人工止损无效：不能下调","跟踪有效"))),"记录类型无效")))</f>
        <v/>
      </c>
    </row>
    <row r="149" ht="17" spans="1:29">
      <c r="A149" s="2"/>
      <c r="B149" s="2"/>
      <c r="C149" s="8" t="str">
        <f>IF(B149="","",IFERROR(LOOKUP(2,1/(单次交易!$A$2:$A$163=B149),单次交易!$B$2:$B$163),""))</f>
        <v/>
      </c>
      <c r="D149" s="12"/>
      <c r="E149" s="10"/>
      <c r="F149" s="10"/>
      <c r="G149" s="2"/>
      <c r="H149" s="15"/>
      <c r="I149" s="10"/>
      <c r="J149" s="12"/>
      <c r="K149" s="2"/>
      <c r="L149" s="2"/>
      <c r="M149" s="2"/>
      <c r="N149" s="5" t="str">
        <f>IF(B149="","",IFERROR(LOOKUP(2,1/(单次交易!$A$2:$A$163=B149),单次交易!$N$2:$N$163),""))</f>
        <v/>
      </c>
      <c r="O149" s="5" t="str">
        <f t="shared" si="18"/>
        <v/>
      </c>
      <c r="P149" s="11" t="str">
        <f t="shared" si="19"/>
        <v/>
      </c>
      <c r="Q149" s="5" t="str">
        <f t="shared" si="20"/>
        <v/>
      </c>
      <c r="R149" s="10"/>
      <c r="S149" s="5" t="str">
        <f t="shared" si="21"/>
        <v/>
      </c>
      <c r="T149" s="5" t="str">
        <f t="shared" si="22"/>
        <v/>
      </c>
      <c r="U149" s="5" t="str">
        <f t="shared" si="23"/>
        <v/>
      </c>
      <c r="V149" s="7" t="str">
        <f t="shared" si="24"/>
        <v/>
      </c>
      <c r="W149" s="8" t="str">
        <f t="shared" si="25"/>
        <v/>
      </c>
      <c r="X149" s="2"/>
      <c r="Y149" s="10"/>
      <c r="Z149" s="11" t="str">
        <f>IF(X149&lt;&gt;"执行卖出","",IFERROR(LOOKUP(2,1/(单次交易!$A$2:$A$163=B149),单次交易!$AP$2:$AP$163),""))</f>
        <v/>
      </c>
      <c r="AA149" s="10"/>
      <c r="AB149" s="8" t="str">
        <f t="shared" si="26"/>
        <v/>
      </c>
      <c r="AC149" s="8" t="str">
        <f>IF(A149="","",IF(A149="止损计划",IF(OR(B149="",D149="",E149="",F149="",G149=""),"计划不完整",IF(OR(D149&lt;1,D149&lt;&gt;INT(D149)),"阶段序号无效",IF(COUNTIFS($A$2:$A$497,"止损计划",$B$2:$B$497,B149,$D$2:$D$497,D149)&gt;1,"阶段序号重复",IF(E149&lt;=IFERROR(LOOKUP(2,1/(单次交易!$A$2:$A$163=B149),单次交易!$E$2:$E$163),0),"激活价须高于买入价",IF(F149&lt;N149,"止损价不得低于初始止损",IF(F149&gt;E149,"止损价不得高于激活价",IF(AND(COUNTIFS($A$2:$A$497,"止损计划",$B$2:$B$497,B149,$D$2:$D$497,"&lt;"&amp;D149)&gt;0,OR(E149&lt;=SUMPRODUCT(MAX((($A$2:$A$497="止损计划")*($B$2:$B$497=B149)*($D$2:$D$497&lt;D149))*$E$2:$E$497)),F149&lt;SUMPRODUCT(MAX((($A$2:$A$497="止损计划")*($B$2:$B$497=B149)*($D$2:$D$497&lt;D149))*$F$2:$F$497)))),"阶段价格必须逐级提高","计划有效"))))))),IF(A149="每日跟踪",IF(OR(B149="",H149="",I149="",J149=""),"每日数据不完整",IF(COUNTIFS($A$2:$A$497,"每日跟踪",$B$2:$B$497,B149,$H$2:$H$497,H149)&gt;1,"同一交易日期重复",IF(AND(R149&lt;&gt;"",R149&lt;S149),"人工止损无效：不能下调","跟踪有效"))),"记录类型无效")))</f>
        <v/>
      </c>
    </row>
    <row r="150" ht="17" spans="1:29">
      <c r="A150" s="2"/>
      <c r="B150" s="2"/>
      <c r="C150" s="8" t="str">
        <f>IF(B150="","",IFERROR(LOOKUP(2,1/(单次交易!$A$2:$A$163=B150),单次交易!$B$2:$B$163),""))</f>
        <v/>
      </c>
      <c r="D150" s="12"/>
      <c r="E150" s="10"/>
      <c r="F150" s="10"/>
      <c r="G150" s="2"/>
      <c r="H150" s="15"/>
      <c r="I150" s="10"/>
      <c r="J150" s="12"/>
      <c r="K150" s="2"/>
      <c r="L150" s="2"/>
      <c r="M150" s="2"/>
      <c r="N150" s="5" t="str">
        <f>IF(B150="","",IFERROR(LOOKUP(2,1/(单次交易!$A$2:$A$163=B150),单次交易!$N$2:$N$163),""))</f>
        <v/>
      </c>
      <c r="O150" s="5" t="str">
        <f t="shared" si="18"/>
        <v/>
      </c>
      <c r="P150" s="11" t="str">
        <f t="shared" si="19"/>
        <v/>
      </c>
      <c r="Q150" s="5" t="str">
        <f t="shared" si="20"/>
        <v/>
      </c>
      <c r="R150" s="10"/>
      <c r="S150" s="5" t="str">
        <f t="shared" si="21"/>
        <v/>
      </c>
      <c r="T150" s="5" t="str">
        <f t="shared" si="22"/>
        <v/>
      </c>
      <c r="U150" s="5" t="str">
        <f t="shared" si="23"/>
        <v/>
      </c>
      <c r="V150" s="7" t="str">
        <f t="shared" si="24"/>
        <v/>
      </c>
      <c r="W150" s="8" t="str">
        <f t="shared" si="25"/>
        <v/>
      </c>
      <c r="X150" s="2"/>
      <c r="Y150" s="10"/>
      <c r="Z150" s="11" t="str">
        <f>IF(X150&lt;&gt;"执行卖出","",IFERROR(LOOKUP(2,1/(单次交易!$A$2:$A$163=B150),单次交易!$AP$2:$AP$163),""))</f>
        <v/>
      </c>
      <c r="AA150" s="10"/>
      <c r="AB150" s="8" t="str">
        <f t="shared" si="26"/>
        <v/>
      </c>
      <c r="AC150" s="8" t="str">
        <f>IF(A150="","",IF(A150="止损计划",IF(OR(B150="",D150="",E150="",F150="",G150=""),"计划不完整",IF(OR(D150&lt;1,D150&lt;&gt;INT(D150)),"阶段序号无效",IF(COUNTIFS($A$2:$A$497,"止损计划",$B$2:$B$497,B150,$D$2:$D$497,D150)&gt;1,"阶段序号重复",IF(E150&lt;=IFERROR(LOOKUP(2,1/(单次交易!$A$2:$A$163=B150),单次交易!$E$2:$E$163),0),"激活价须高于买入价",IF(F150&lt;N150,"止损价不得低于初始止损",IF(F150&gt;E150,"止损价不得高于激活价",IF(AND(COUNTIFS($A$2:$A$497,"止损计划",$B$2:$B$497,B150,$D$2:$D$497,"&lt;"&amp;D150)&gt;0,OR(E150&lt;=SUMPRODUCT(MAX((($A$2:$A$497="止损计划")*($B$2:$B$497=B150)*($D$2:$D$497&lt;D150))*$E$2:$E$497)),F150&lt;SUMPRODUCT(MAX((($A$2:$A$497="止损计划")*($B$2:$B$497=B150)*($D$2:$D$497&lt;D150))*$F$2:$F$497)))),"阶段价格必须逐级提高","计划有效"))))))),IF(A150="每日跟踪",IF(OR(B150="",H150="",I150="",J150=""),"每日数据不完整",IF(COUNTIFS($A$2:$A$497,"每日跟踪",$B$2:$B$497,B150,$H$2:$H$497,H150)&gt;1,"同一交易日期重复",IF(AND(R150&lt;&gt;"",R150&lt;S150),"人工止损无效：不能下调","跟踪有效"))),"记录类型无效")))</f>
        <v/>
      </c>
    </row>
    <row r="151" ht="17" spans="1:29">
      <c r="A151" s="2"/>
      <c r="B151" s="2"/>
      <c r="C151" s="8" t="str">
        <f>IF(B151="","",IFERROR(LOOKUP(2,1/(单次交易!$A$2:$A$163=B151),单次交易!$B$2:$B$163),""))</f>
        <v/>
      </c>
      <c r="D151" s="12"/>
      <c r="E151" s="10"/>
      <c r="F151" s="10"/>
      <c r="G151" s="2"/>
      <c r="H151" s="15"/>
      <c r="I151" s="10"/>
      <c r="J151" s="12"/>
      <c r="K151" s="2"/>
      <c r="L151" s="2"/>
      <c r="M151" s="2"/>
      <c r="N151" s="5" t="str">
        <f>IF(B151="","",IFERROR(LOOKUP(2,1/(单次交易!$A$2:$A$163=B151),单次交易!$N$2:$N$163),""))</f>
        <v/>
      </c>
      <c r="O151" s="5" t="str">
        <f t="shared" si="18"/>
        <v/>
      </c>
      <c r="P151" s="11" t="str">
        <f t="shared" si="19"/>
        <v/>
      </c>
      <c r="Q151" s="5" t="str">
        <f t="shared" si="20"/>
        <v/>
      </c>
      <c r="R151" s="10"/>
      <c r="S151" s="5" t="str">
        <f t="shared" si="21"/>
        <v/>
      </c>
      <c r="T151" s="5" t="str">
        <f t="shared" si="22"/>
        <v/>
      </c>
      <c r="U151" s="5" t="str">
        <f t="shared" si="23"/>
        <v/>
      </c>
      <c r="V151" s="7" t="str">
        <f t="shared" si="24"/>
        <v/>
      </c>
      <c r="W151" s="8" t="str">
        <f t="shared" si="25"/>
        <v/>
      </c>
      <c r="X151" s="2"/>
      <c r="Y151" s="10"/>
      <c r="Z151" s="11" t="str">
        <f>IF(X151&lt;&gt;"执行卖出","",IFERROR(LOOKUP(2,1/(单次交易!$A$2:$A$163=B151),单次交易!$AP$2:$AP$163),""))</f>
        <v/>
      </c>
      <c r="AA151" s="10"/>
      <c r="AB151" s="8" t="str">
        <f t="shared" si="26"/>
        <v/>
      </c>
      <c r="AC151" s="8" t="str">
        <f>IF(A151="","",IF(A151="止损计划",IF(OR(B151="",D151="",E151="",F151="",G151=""),"计划不完整",IF(OR(D151&lt;1,D151&lt;&gt;INT(D151)),"阶段序号无效",IF(COUNTIFS($A$2:$A$497,"止损计划",$B$2:$B$497,B151,$D$2:$D$497,D151)&gt;1,"阶段序号重复",IF(E151&lt;=IFERROR(LOOKUP(2,1/(单次交易!$A$2:$A$163=B151),单次交易!$E$2:$E$163),0),"激活价须高于买入价",IF(F151&lt;N151,"止损价不得低于初始止损",IF(F151&gt;E151,"止损价不得高于激活价",IF(AND(COUNTIFS($A$2:$A$497,"止损计划",$B$2:$B$497,B151,$D$2:$D$497,"&lt;"&amp;D151)&gt;0,OR(E151&lt;=SUMPRODUCT(MAX((($A$2:$A$497="止损计划")*($B$2:$B$497=B151)*($D$2:$D$497&lt;D151))*$E$2:$E$497)),F151&lt;SUMPRODUCT(MAX((($A$2:$A$497="止损计划")*($B$2:$B$497=B151)*($D$2:$D$497&lt;D151))*$F$2:$F$497)))),"阶段价格必须逐级提高","计划有效"))))))),IF(A151="每日跟踪",IF(OR(B151="",H151="",I151="",J151=""),"每日数据不完整",IF(COUNTIFS($A$2:$A$497,"每日跟踪",$B$2:$B$497,B151,$H$2:$H$497,H151)&gt;1,"同一交易日期重复",IF(AND(R151&lt;&gt;"",R151&lt;S151),"人工止损无效：不能下调","跟踪有效"))),"记录类型无效")))</f>
        <v/>
      </c>
    </row>
    <row r="152" ht="17" spans="1:29">
      <c r="A152" s="2"/>
      <c r="B152" s="2"/>
      <c r="C152" s="8" t="str">
        <f>IF(B152="","",IFERROR(LOOKUP(2,1/(单次交易!$A$2:$A$163=B152),单次交易!$B$2:$B$163),""))</f>
        <v/>
      </c>
      <c r="D152" s="12"/>
      <c r="E152" s="10"/>
      <c r="F152" s="10"/>
      <c r="G152" s="2"/>
      <c r="H152" s="15"/>
      <c r="I152" s="10"/>
      <c r="J152" s="12"/>
      <c r="K152" s="2"/>
      <c r="L152" s="2"/>
      <c r="M152" s="2"/>
      <c r="N152" s="5" t="str">
        <f>IF(B152="","",IFERROR(LOOKUP(2,1/(单次交易!$A$2:$A$163=B152),单次交易!$N$2:$N$163),""))</f>
        <v/>
      </c>
      <c r="O152" s="5" t="str">
        <f t="shared" si="18"/>
        <v/>
      </c>
      <c r="P152" s="11" t="str">
        <f t="shared" si="19"/>
        <v/>
      </c>
      <c r="Q152" s="5" t="str">
        <f t="shared" si="20"/>
        <v/>
      </c>
      <c r="R152" s="10"/>
      <c r="S152" s="5" t="str">
        <f t="shared" si="21"/>
        <v/>
      </c>
      <c r="T152" s="5" t="str">
        <f t="shared" si="22"/>
        <v/>
      </c>
      <c r="U152" s="5" t="str">
        <f t="shared" si="23"/>
        <v/>
      </c>
      <c r="V152" s="7" t="str">
        <f t="shared" si="24"/>
        <v/>
      </c>
      <c r="W152" s="8" t="str">
        <f t="shared" si="25"/>
        <v/>
      </c>
      <c r="X152" s="2"/>
      <c r="Y152" s="10"/>
      <c r="Z152" s="11" t="str">
        <f>IF(X152&lt;&gt;"执行卖出","",IFERROR(LOOKUP(2,1/(单次交易!$A$2:$A$163=B152),单次交易!$AP$2:$AP$163),""))</f>
        <v/>
      </c>
      <c r="AA152" s="10"/>
      <c r="AB152" s="8" t="str">
        <f t="shared" si="26"/>
        <v/>
      </c>
      <c r="AC152" s="8" t="str">
        <f>IF(A152="","",IF(A152="止损计划",IF(OR(B152="",D152="",E152="",F152="",G152=""),"计划不完整",IF(OR(D152&lt;1,D152&lt;&gt;INT(D152)),"阶段序号无效",IF(COUNTIFS($A$2:$A$497,"止损计划",$B$2:$B$497,B152,$D$2:$D$497,D152)&gt;1,"阶段序号重复",IF(E152&lt;=IFERROR(LOOKUP(2,1/(单次交易!$A$2:$A$163=B152),单次交易!$E$2:$E$163),0),"激活价须高于买入价",IF(F152&lt;N152,"止损价不得低于初始止损",IF(F152&gt;E152,"止损价不得高于激活价",IF(AND(COUNTIFS($A$2:$A$497,"止损计划",$B$2:$B$497,B152,$D$2:$D$497,"&lt;"&amp;D152)&gt;0,OR(E152&lt;=SUMPRODUCT(MAX((($A$2:$A$497="止损计划")*($B$2:$B$497=B152)*($D$2:$D$497&lt;D152))*$E$2:$E$497)),F152&lt;SUMPRODUCT(MAX((($A$2:$A$497="止损计划")*($B$2:$B$497=B152)*($D$2:$D$497&lt;D152))*$F$2:$F$497)))),"阶段价格必须逐级提高","计划有效"))))))),IF(A152="每日跟踪",IF(OR(B152="",H152="",I152="",J152=""),"每日数据不完整",IF(COUNTIFS($A$2:$A$497,"每日跟踪",$B$2:$B$497,B152,$H$2:$H$497,H152)&gt;1,"同一交易日期重复",IF(AND(R152&lt;&gt;"",R152&lt;S152),"人工止损无效：不能下调","跟踪有效"))),"记录类型无效")))</f>
        <v/>
      </c>
    </row>
    <row r="153" ht="17" spans="1:29">
      <c r="A153" s="2"/>
      <c r="B153" s="2"/>
      <c r="C153" s="8" t="str">
        <f>IF(B153="","",IFERROR(LOOKUP(2,1/(单次交易!$A$2:$A$163=B153),单次交易!$B$2:$B$163),""))</f>
        <v/>
      </c>
      <c r="D153" s="12"/>
      <c r="E153" s="10"/>
      <c r="F153" s="10"/>
      <c r="G153" s="2"/>
      <c r="H153" s="15"/>
      <c r="I153" s="10"/>
      <c r="J153" s="12"/>
      <c r="K153" s="2"/>
      <c r="L153" s="2"/>
      <c r="M153" s="2"/>
      <c r="N153" s="5" t="str">
        <f>IF(B153="","",IFERROR(LOOKUP(2,1/(单次交易!$A$2:$A$163=B153),单次交易!$N$2:$N$163),""))</f>
        <v/>
      </c>
      <c r="O153" s="5" t="str">
        <f t="shared" si="18"/>
        <v/>
      </c>
      <c r="P153" s="11" t="str">
        <f t="shared" si="19"/>
        <v/>
      </c>
      <c r="Q153" s="5" t="str">
        <f t="shared" si="20"/>
        <v/>
      </c>
      <c r="R153" s="10"/>
      <c r="S153" s="5" t="str">
        <f t="shared" si="21"/>
        <v/>
      </c>
      <c r="T153" s="5" t="str">
        <f t="shared" si="22"/>
        <v/>
      </c>
      <c r="U153" s="5" t="str">
        <f t="shared" si="23"/>
        <v/>
      </c>
      <c r="V153" s="7" t="str">
        <f t="shared" si="24"/>
        <v/>
      </c>
      <c r="W153" s="8" t="str">
        <f t="shared" si="25"/>
        <v/>
      </c>
      <c r="X153" s="2"/>
      <c r="Y153" s="10"/>
      <c r="Z153" s="11" t="str">
        <f>IF(X153&lt;&gt;"执行卖出","",IFERROR(LOOKUP(2,1/(单次交易!$A$2:$A$163=B153),单次交易!$AP$2:$AP$163),""))</f>
        <v/>
      </c>
      <c r="AA153" s="10"/>
      <c r="AB153" s="8" t="str">
        <f t="shared" si="26"/>
        <v/>
      </c>
      <c r="AC153" s="8" t="str">
        <f>IF(A153="","",IF(A153="止损计划",IF(OR(B153="",D153="",E153="",F153="",G153=""),"计划不完整",IF(OR(D153&lt;1,D153&lt;&gt;INT(D153)),"阶段序号无效",IF(COUNTIFS($A$2:$A$497,"止损计划",$B$2:$B$497,B153,$D$2:$D$497,D153)&gt;1,"阶段序号重复",IF(E153&lt;=IFERROR(LOOKUP(2,1/(单次交易!$A$2:$A$163=B153),单次交易!$E$2:$E$163),0),"激活价须高于买入价",IF(F153&lt;N153,"止损价不得低于初始止损",IF(F153&gt;E153,"止损价不得高于激活价",IF(AND(COUNTIFS($A$2:$A$497,"止损计划",$B$2:$B$497,B153,$D$2:$D$497,"&lt;"&amp;D153)&gt;0,OR(E153&lt;=SUMPRODUCT(MAX((($A$2:$A$497="止损计划")*($B$2:$B$497=B153)*($D$2:$D$497&lt;D153))*$E$2:$E$497)),F153&lt;SUMPRODUCT(MAX((($A$2:$A$497="止损计划")*($B$2:$B$497=B153)*($D$2:$D$497&lt;D153))*$F$2:$F$497)))),"阶段价格必须逐级提高","计划有效"))))))),IF(A153="每日跟踪",IF(OR(B153="",H153="",I153="",J153=""),"每日数据不完整",IF(COUNTIFS($A$2:$A$497,"每日跟踪",$B$2:$B$497,B153,$H$2:$H$497,H153)&gt;1,"同一交易日期重复",IF(AND(R153&lt;&gt;"",R153&lt;S153),"人工止损无效：不能下调","跟踪有效"))),"记录类型无效")))</f>
        <v/>
      </c>
    </row>
    <row r="154" ht="17" spans="1:29">
      <c r="A154" s="2"/>
      <c r="B154" s="2"/>
      <c r="C154" s="8" t="str">
        <f>IF(B154="","",IFERROR(LOOKUP(2,1/(单次交易!$A$2:$A$163=B154),单次交易!$B$2:$B$163),""))</f>
        <v/>
      </c>
      <c r="D154" s="12"/>
      <c r="E154" s="10"/>
      <c r="F154" s="10"/>
      <c r="G154" s="2"/>
      <c r="H154" s="15"/>
      <c r="I154" s="10"/>
      <c r="J154" s="12"/>
      <c r="K154" s="2"/>
      <c r="L154" s="2"/>
      <c r="M154" s="2"/>
      <c r="N154" s="5" t="str">
        <f>IF(B154="","",IFERROR(LOOKUP(2,1/(单次交易!$A$2:$A$163=B154),单次交易!$N$2:$N$163),""))</f>
        <v/>
      </c>
      <c r="O154" s="5" t="str">
        <f t="shared" si="18"/>
        <v/>
      </c>
      <c r="P154" s="11" t="str">
        <f t="shared" si="19"/>
        <v/>
      </c>
      <c r="Q154" s="5" t="str">
        <f t="shared" si="20"/>
        <v/>
      </c>
      <c r="R154" s="10"/>
      <c r="S154" s="5" t="str">
        <f t="shared" si="21"/>
        <v/>
      </c>
      <c r="T154" s="5" t="str">
        <f t="shared" si="22"/>
        <v/>
      </c>
      <c r="U154" s="5" t="str">
        <f t="shared" si="23"/>
        <v/>
      </c>
      <c r="V154" s="7" t="str">
        <f t="shared" si="24"/>
        <v/>
      </c>
      <c r="W154" s="8" t="str">
        <f t="shared" si="25"/>
        <v/>
      </c>
      <c r="X154" s="2"/>
      <c r="Y154" s="10"/>
      <c r="Z154" s="11" t="str">
        <f>IF(X154&lt;&gt;"执行卖出","",IFERROR(LOOKUP(2,1/(单次交易!$A$2:$A$163=B154),单次交易!$AP$2:$AP$163),""))</f>
        <v/>
      </c>
      <c r="AA154" s="10"/>
      <c r="AB154" s="8" t="str">
        <f t="shared" si="26"/>
        <v/>
      </c>
      <c r="AC154" s="8" t="str">
        <f>IF(A154="","",IF(A154="止损计划",IF(OR(B154="",D154="",E154="",F154="",G154=""),"计划不完整",IF(OR(D154&lt;1,D154&lt;&gt;INT(D154)),"阶段序号无效",IF(COUNTIFS($A$2:$A$497,"止损计划",$B$2:$B$497,B154,$D$2:$D$497,D154)&gt;1,"阶段序号重复",IF(E154&lt;=IFERROR(LOOKUP(2,1/(单次交易!$A$2:$A$163=B154),单次交易!$E$2:$E$163),0),"激活价须高于买入价",IF(F154&lt;N154,"止损价不得低于初始止损",IF(F154&gt;E154,"止损价不得高于激活价",IF(AND(COUNTIFS($A$2:$A$497,"止损计划",$B$2:$B$497,B154,$D$2:$D$497,"&lt;"&amp;D154)&gt;0,OR(E154&lt;=SUMPRODUCT(MAX((($A$2:$A$497="止损计划")*($B$2:$B$497=B154)*($D$2:$D$497&lt;D154))*$E$2:$E$497)),F154&lt;SUMPRODUCT(MAX((($A$2:$A$497="止损计划")*($B$2:$B$497=B154)*($D$2:$D$497&lt;D154))*$F$2:$F$497)))),"阶段价格必须逐级提高","计划有效"))))))),IF(A154="每日跟踪",IF(OR(B154="",H154="",I154="",J154=""),"每日数据不完整",IF(COUNTIFS($A$2:$A$497,"每日跟踪",$B$2:$B$497,B154,$H$2:$H$497,H154)&gt;1,"同一交易日期重复",IF(AND(R154&lt;&gt;"",R154&lt;S154),"人工止损无效：不能下调","跟踪有效"))),"记录类型无效")))</f>
        <v/>
      </c>
    </row>
    <row r="155" ht="17" spans="1:29">
      <c r="A155" s="2"/>
      <c r="B155" s="2"/>
      <c r="C155" s="8" t="str">
        <f>IF(B155="","",IFERROR(LOOKUP(2,1/(单次交易!$A$2:$A$163=B155),单次交易!$B$2:$B$163),""))</f>
        <v/>
      </c>
      <c r="D155" s="12"/>
      <c r="E155" s="10"/>
      <c r="F155" s="10"/>
      <c r="G155" s="2"/>
      <c r="H155" s="15"/>
      <c r="I155" s="10"/>
      <c r="J155" s="12"/>
      <c r="K155" s="2"/>
      <c r="L155" s="2"/>
      <c r="M155" s="2"/>
      <c r="N155" s="5" t="str">
        <f>IF(B155="","",IFERROR(LOOKUP(2,1/(单次交易!$A$2:$A$163=B155),单次交易!$N$2:$N$163),""))</f>
        <v/>
      </c>
      <c r="O155" s="5" t="str">
        <f t="shared" si="18"/>
        <v/>
      </c>
      <c r="P155" s="11" t="str">
        <f t="shared" si="19"/>
        <v/>
      </c>
      <c r="Q155" s="5" t="str">
        <f t="shared" si="20"/>
        <v/>
      </c>
      <c r="R155" s="10"/>
      <c r="S155" s="5" t="str">
        <f t="shared" si="21"/>
        <v/>
      </c>
      <c r="T155" s="5" t="str">
        <f t="shared" si="22"/>
        <v/>
      </c>
      <c r="U155" s="5" t="str">
        <f t="shared" si="23"/>
        <v/>
      </c>
      <c r="V155" s="7" t="str">
        <f t="shared" si="24"/>
        <v/>
      </c>
      <c r="W155" s="8" t="str">
        <f t="shared" si="25"/>
        <v/>
      </c>
      <c r="X155" s="2"/>
      <c r="Y155" s="10"/>
      <c r="Z155" s="11" t="str">
        <f>IF(X155&lt;&gt;"执行卖出","",IFERROR(LOOKUP(2,1/(单次交易!$A$2:$A$163=B155),单次交易!$AP$2:$AP$163),""))</f>
        <v/>
      </c>
      <c r="AA155" s="10"/>
      <c r="AB155" s="8" t="str">
        <f t="shared" si="26"/>
        <v/>
      </c>
      <c r="AC155" s="8" t="str">
        <f>IF(A155="","",IF(A155="止损计划",IF(OR(B155="",D155="",E155="",F155="",G155=""),"计划不完整",IF(OR(D155&lt;1,D155&lt;&gt;INT(D155)),"阶段序号无效",IF(COUNTIFS($A$2:$A$497,"止损计划",$B$2:$B$497,B155,$D$2:$D$497,D155)&gt;1,"阶段序号重复",IF(E155&lt;=IFERROR(LOOKUP(2,1/(单次交易!$A$2:$A$163=B155),单次交易!$E$2:$E$163),0),"激活价须高于买入价",IF(F155&lt;N155,"止损价不得低于初始止损",IF(F155&gt;E155,"止损价不得高于激活价",IF(AND(COUNTIFS($A$2:$A$497,"止损计划",$B$2:$B$497,B155,$D$2:$D$497,"&lt;"&amp;D155)&gt;0,OR(E155&lt;=SUMPRODUCT(MAX((($A$2:$A$497="止损计划")*($B$2:$B$497=B155)*($D$2:$D$497&lt;D155))*$E$2:$E$497)),F155&lt;SUMPRODUCT(MAX((($A$2:$A$497="止损计划")*($B$2:$B$497=B155)*($D$2:$D$497&lt;D155))*$F$2:$F$497)))),"阶段价格必须逐级提高","计划有效"))))))),IF(A155="每日跟踪",IF(OR(B155="",H155="",I155="",J155=""),"每日数据不完整",IF(COUNTIFS($A$2:$A$497,"每日跟踪",$B$2:$B$497,B155,$H$2:$H$497,H155)&gt;1,"同一交易日期重复",IF(AND(R155&lt;&gt;"",R155&lt;S155),"人工止损无效：不能下调","跟踪有效"))),"记录类型无效")))</f>
        <v/>
      </c>
    </row>
    <row r="156" ht="17" spans="1:29">
      <c r="A156" s="2"/>
      <c r="B156" s="2"/>
      <c r="C156" s="8" t="str">
        <f>IF(B156="","",IFERROR(LOOKUP(2,1/(单次交易!$A$2:$A$163=B156),单次交易!$B$2:$B$163),""))</f>
        <v/>
      </c>
      <c r="D156" s="12"/>
      <c r="E156" s="10"/>
      <c r="F156" s="10"/>
      <c r="G156" s="2"/>
      <c r="H156" s="15"/>
      <c r="I156" s="10"/>
      <c r="J156" s="12"/>
      <c r="K156" s="2"/>
      <c r="L156" s="2"/>
      <c r="M156" s="2"/>
      <c r="N156" s="5" t="str">
        <f>IF(B156="","",IFERROR(LOOKUP(2,1/(单次交易!$A$2:$A$163=B156),单次交易!$N$2:$N$163),""))</f>
        <v/>
      </c>
      <c r="O156" s="5" t="str">
        <f t="shared" si="18"/>
        <v/>
      </c>
      <c r="P156" s="11" t="str">
        <f t="shared" si="19"/>
        <v/>
      </c>
      <c r="Q156" s="5" t="str">
        <f t="shared" si="20"/>
        <v/>
      </c>
      <c r="R156" s="10"/>
      <c r="S156" s="5" t="str">
        <f t="shared" si="21"/>
        <v/>
      </c>
      <c r="T156" s="5" t="str">
        <f t="shared" si="22"/>
        <v/>
      </c>
      <c r="U156" s="5" t="str">
        <f t="shared" si="23"/>
        <v/>
      </c>
      <c r="V156" s="7" t="str">
        <f t="shared" si="24"/>
        <v/>
      </c>
      <c r="W156" s="8" t="str">
        <f t="shared" si="25"/>
        <v/>
      </c>
      <c r="X156" s="2"/>
      <c r="Y156" s="10"/>
      <c r="Z156" s="11" t="str">
        <f>IF(X156&lt;&gt;"执行卖出","",IFERROR(LOOKUP(2,1/(单次交易!$A$2:$A$163=B156),单次交易!$AP$2:$AP$163),""))</f>
        <v/>
      </c>
      <c r="AA156" s="10"/>
      <c r="AB156" s="8" t="str">
        <f t="shared" si="26"/>
        <v/>
      </c>
      <c r="AC156" s="8" t="str">
        <f>IF(A156="","",IF(A156="止损计划",IF(OR(B156="",D156="",E156="",F156="",G156=""),"计划不完整",IF(OR(D156&lt;1,D156&lt;&gt;INT(D156)),"阶段序号无效",IF(COUNTIFS($A$2:$A$497,"止损计划",$B$2:$B$497,B156,$D$2:$D$497,D156)&gt;1,"阶段序号重复",IF(E156&lt;=IFERROR(LOOKUP(2,1/(单次交易!$A$2:$A$163=B156),单次交易!$E$2:$E$163),0),"激活价须高于买入价",IF(F156&lt;N156,"止损价不得低于初始止损",IF(F156&gt;E156,"止损价不得高于激活价",IF(AND(COUNTIFS($A$2:$A$497,"止损计划",$B$2:$B$497,B156,$D$2:$D$497,"&lt;"&amp;D156)&gt;0,OR(E156&lt;=SUMPRODUCT(MAX((($A$2:$A$497="止损计划")*($B$2:$B$497=B156)*($D$2:$D$497&lt;D156))*$E$2:$E$497)),F156&lt;SUMPRODUCT(MAX((($A$2:$A$497="止损计划")*($B$2:$B$497=B156)*($D$2:$D$497&lt;D156))*$F$2:$F$497)))),"阶段价格必须逐级提高","计划有效"))))))),IF(A156="每日跟踪",IF(OR(B156="",H156="",I156="",J156=""),"每日数据不完整",IF(COUNTIFS($A$2:$A$497,"每日跟踪",$B$2:$B$497,B156,$H$2:$H$497,H156)&gt;1,"同一交易日期重复",IF(AND(R156&lt;&gt;"",R156&lt;S156),"人工止损无效：不能下调","跟踪有效"))),"记录类型无效")))</f>
        <v/>
      </c>
    </row>
    <row r="157" ht="17" spans="1:29">
      <c r="A157" s="2"/>
      <c r="B157" s="2"/>
      <c r="C157" s="8" t="str">
        <f>IF(B157="","",IFERROR(LOOKUP(2,1/(单次交易!$A$2:$A$163=B157),单次交易!$B$2:$B$163),""))</f>
        <v/>
      </c>
      <c r="D157" s="12"/>
      <c r="E157" s="10"/>
      <c r="F157" s="10"/>
      <c r="G157" s="2"/>
      <c r="H157" s="15"/>
      <c r="I157" s="10"/>
      <c r="J157" s="12"/>
      <c r="K157" s="2"/>
      <c r="L157" s="2"/>
      <c r="M157" s="2"/>
      <c r="N157" s="5" t="str">
        <f>IF(B157="","",IFERROR(LOOKUP(2,1/(单次交易!$A$2:$A$163=B157),单次交易!$N$2:$N$163),""))</f>
        <v/>
      </c>
      <c r="O157" s="5" t="str">
        <f t="shared" si="18"/>
        <v/>
      </c>
      <c r="P157" s="11" t="str">
        <f t="shared" si="19"/>
        <v/>
      </c>
      <c r="Q157" s="5" t="str">
        <f t="shared" si="20"/>
        <v/>
      </c>
      <c r="R157" s="10"/>
      <c r="S157" s="5" t="str">
        <f t="shared" si="21"/>
        <v/>
      </c>
      <c r="T157" s="5" t="str">
        <f t="shared" si="22"/>
        <v/>
      </c>
      <c r="U157" s="5" t="str">
        <f t="shared" si="23"/>
        <v/>
      </c>
      <c r="V157" s="7" t="str">
        <f t="shared" si="24"/>
        <v/>
      </c>
      <c r="W157" s="8" t="str">
        <f t="shared" si="25"/>
        <v/>
      </c>
      <c r="X157" s="2"/>
      <c r="Y157" s="10"/>
      <c r="Z157" s="11" t="str">
        <f>IF(X157&lt;&gt;"执行卖出","",IFERROR(LOOKUP(2,1/(单次交易!$A$2:$A$163=B157),单次交易!$AP$2:$AP$163),""))</f>
        <v/>
      </c>
      <c r="AA157" s="10"/>
      <c r="AB157" s="8" t="str">
        <f t="shared" si="26"/>
        <v/>
      </c>
      <c r="AC157" s="8" t="str">
        <f>IF(A157="","",IF(A157="止损计划",IF(OR(B157="",D157="",E157="",F157="",G157=""),"计划不完整",IF(OR(D157&lt;1,D157&lt;&gt;INT(D157)),"阶段序号无效",IF(COUNTIFS($A$2:$A$497,"止损计划",$B$2:$B$497,B157,$D$2:$D$497,D157)&gt;1,"阶段序号重复",IF(E157&lt;=IFERROR(LOOKUP(2,1/(单次交易!$A$2:$A$163=B157),单次交易!$E$2:$E$163),0),"激活价须高于买入价",IF(F157&lt;N157,"止损价不得低于初始止损",IF(F157&gt;E157,"止损价不得高于激活价",IF(AND(COUNTIFS($A$2:$A$497,"止损计划",$B$2:$B$497,B157,$D$2:$D$497,"&lt;"&amp;D157)&gt;0,OR(E157&lt;=SUMPRODUCT(MAX((($A$2:$A$497="止损计划")*($B$2:$B$497=B157)*($D$2:$D$497&lt;D157))*$E$2:$E$497)),F157&lt;SUMPRODUCT(MAX((($A$2:$A$497="止损计划")*($B$2:$B$497=B157)*($D$2:$D$497&lt;D157))*$F$2:$F$497)))),"阶段价格必须逐级提高","计划有效"))))))),IF(A157="每日跟踪",IF(OR(B157="",H157="",I157="",J157=""),"每日数据不完整",IF(COUNTIFS($A$2:$A$497,"每日跟踪",$B$2:$B$497,B157,$H$2:$H$497,H157)&gt;1,"同一交易日期重复",IF(AND(R157&lt;&gt;"",R157&lt;S157),"人工止损无效：不能下调","跟踪有效"))),"记录类型无效")))</f>
        <v/>
      </c>
    </row>
    <row r="158" ht="17" spans="1:29">
      <c r="A158" s="2"/>
      <c r="B158" s="2"/>
      <c r="C158" s="8" t="str">
        <f>IF(B158="","",IFERROR(LOOKUP(2,1/(单次交易!$A$2:$A$163=B158),单次交易!$B$2:$B$163),""))</f>
        <v/>
      </c>
      <c r="D158" s="12"/>
      <c r="E158" s="10"/>
      <c r="F158" s="10"/>
      <c r="G158" s="2"/>
      <c r="H158" s="15"/>
      <c r="I158" s="10"/>
      <c r="J158" s="12"/>
      <c r="K158" s="2"/>
      <c r="L158" s="2"/>
      <c r="M158" s="2"/>
      <c r="N158" s="5" t="str">
        <f>IF(B158="","",IFERROR(LOOKUP(2,1/(单次交易!$A$2:$A$163=B158),单次交易!$N$2:$N$163),""))</f>
        <v/>
      </c>
      <c r="O158" s="5" t="str">
        <f t="shared" si="18"/>
        <v/>
      </c>
      <c r="P158" s="11" t="str">
        <f t="shared" si="19"/>
        <v/>
      </c>
      <c r="Q158" s="5" t="str">
        <f t="shared" si="20"/>
        <v/>
      </c>
      <c r="R158" s="10"/>
      <c r="S158" s="5" t="str">
        <f t="shared" si="21"/>
        <v/>
      </c>
      <c r="T158" s="5" t="str">
        <f t="shared" si="22"/>
        <v/>
      </c>
      <c r="U158" s="5" t="str">
        <f t="shared" si="23"/>
        <v/>
      </c>
      <c r="V158" s="7" t="str">
        <f t="shared" si="24"/>
        <v/>
      </c>
      <c r="W158" s="8" t="str">
        <f t="shared" si="25"/>
        <v/>
      </c>
      <c r="X158" s="2"/>
      <c r="Y158" s="10"/>
      <c r="Z158" s="11" t="str">
        <f>IF(X158&lt;&gt;"执行卖出","",IFERROR(LOOKUP(2,1/(单次交易!$A$2:$A$163=B158),单次交易!$AP$2:$AP$163),""))</f>
        <v/>
      </c>
      <c r="AA158" s="10"/>
      <c r="AB158" s="8" t="str">
        <f t="shared" si="26"/>
        <v/>
      </c>
      <c r="AC158" s="8" t="str">
        <f>IF(A158="","",IF(A158="止损计划",IF(OR(B158="",D158="",E158="",F158="",G158=""),"计划不完整",IF(OR(D158&lt;1,D158&lt;&gt;INT(D158)),"阶段序号无效",IF(COUNTIFS($A$2:$A$497,"止损计划",$B$2:$B$497,B158,$D$2:$D$497,D158)&gt;1,"阶段序号重复",IF(E158&lt;=IFERROR(LOOKUP(2,1/(单次交易!$A$2:$A$163=B158),单次交易!$E$2:$E$163),0),"激活价须高于买入价",IF(F158&lt;N158,"止损价不得低于初始止损",IF(F158&gt;E158,"止损价不得高于激活价",IF(AND(COUNTIFS($A$2:$A$497,"止损计划",$B$2:$B$497,B158,$D$2:$D$497,"&lt;"&amp;D158)&gt;0,OR(E158&lt;=SUMPRODUCT(MAX((($A$2:$A$497="止损计划")*($B$2:$B$497=B158)*($D$2:$D$497&lt;D158))*$E$2:$E$497)),F158&lt;SUMPRODUCT(MAX((($A$2:$A$497="止损计划")*($B$2:$B$497=B158)*($D$2:$D$497&lt;D158))*$F$2:$F$497)))),"阶段价格必须逐级提高","计划有效"))))))),IF(A158="每日跟踪",IF(OR(B158="",H158="",I158="",J158=""),"每日数据不完整",IF(COUNTIFS($A$2:$A$497,"每日跟踪",$B$2:$B$497,B158,$H$2:$H$497,H158)&gt;1,"同一交易日期重复",IF(AND(R158&lt;&gt;"",R158&lt;S158),"人工止损无效：不能下调","跟踪有效"))),"记录类型无效")))</f>
        <v/>
      </c>
    </row>
    <row r="159" ht="17" spans="1:29">
      <c r="A159" s="2"/>
      <c r="B159" s="2"/>
      <c r="C159" s="8" t="str">
        <f>IF(B159="","",IFERROR(LOOKUP(2,1/(单次交易!$A$2:$A$163=B159),单次交易!$B$2:$B$163),""))</f>
        <v/>
      </c>
      <c r="D159" s="12"/>
      <c r="E159" s="10"/>
      <c r="F159" s="10"/>
      <c r="G159" s="2"/>
      <c r="H159" s="15"/>
      <c r="I159" s="10"/>
      <c r="J159" s="12"/>
      <c r="K159" s="2"/>
      <c r="L159" s="2"/>
      <c r="M159" s="2"/>
      <c r="N159" s="5" t="str">
        <f>IF(B159="","",IFERROR(LOOKUP(2,1/(单次交易!$A$2:$A$163=B159),单次交易!$N$2:$N$163),""))</f>
        <v/>
      </c>
      <c r="O159" s="5" t="str">
        <f t="shared" si="18"/>
        <v/>
      </c>
      <c r="P159" s="11" t="str">
        <f t="shared" si="19"/>
        <v/>
      </c>
      <c r="Q159" s="5" t="str">
        <f t="shared" si="20"/>
        <v/>
      </c>
      <c r="R159" s="10"/>
      <c r="S159" s="5" t="str">
        <f t="shared" si="21"/>
        <v/>
      </c>
      <c r="T159" s="5" t="str">
        <f t="shared" si="22"/>
        <v/>
      </c>
      <c r="U159" s="5" t="str">
        <f t="shared" si="23"/>
        <v/>
      </c>
      <c r="V159" s="7" t="str">
        <f t="shared" si="24"/>
        <v/>
      </c>
      <c r="W159" s="8" t="str">
        <f t="shared" si="25"/>
        <v/>
      </c>
      <c r="X159" s="2"/>
      <c r="Y159" s="10"/>
      <c r="Z159" s="11" t="str">
        <f>IF(X159&lt;&gt;"执行卖出","",IFERROR(LOOKUP(2,1/(单次交易!$A$2:$A$163=B159),单次交易!$AP$2:$AP$163),""))</f>
        <v/>
      </c>
      <c r="AA159" s="10"/>
      <c r="AB159" s="8" t="str">
        <f t="shared" si="26"/>
        <v/>
      </c>
      <c r="AC159" s="8" t="str">
        <f>IF(A159="","",IF(A159="止损计划",IF(OR(B159="",D159="",E159="",F159="",G159=""),"计划不完整",IF(OR(D159&lt;1,D159&lt;&gt;INT(D159)),"阶段序号无效",IF(COUNTIFS($A$2:$A$497,"止损计划",$B$2:$B$497,B159,$D$2:$D$497,D159)&gt;1,"阶段序号重复",IF(E159&lt;=IFERROR(LOOKUP(2,1/(单次交易!$A$2:$A$163=B159),单次交易!$E$2:$E$163),0),"激活价须高于买入价",IF(F159&lt;N159,"止损价不得低于初始止损",IF(F159&gt;E159,"止损价不得高于激活价",IF(AND(COUNTIFS($A$2:$A$497,"止损计划",$B$2:$B$497,B159,$D$2:$D$497,"&lt;"&amp;D159)&gt;0,OR(E159&lt;=SUMPRODUCT(MAX((($A$2:$A$497="止损计划")*($B$2:$B$497=B159)*($D$2:$D$497&lt;D159))*$E$2:$E$497)),F159&lt;SUMPRODUCT(MAX((($A$2:$A$497="止损计划")*($B$2:$B$497=B159)*($D$2:$D$497&lt;D159))*$F$2:$F$497)))),"阶段价格必须逐级提高","计划有效"))))))),IF(A159="每日跟踪",IF(OR(B159="",H159="",I159="",J159=""),"每日数据不完整",IF(COUNTIFS($A$2:$A$497,"每日跟踪",$B$2:$B$497,B159,$H$2:$H$497,H159)&gt;1,"同一交易日期重复",IF(AND(R159&lt;&gt;"",R159&lt;S159),"人工止损无效：不能下调","跟踪有效"))),"记录类型无效")))</f>
        <v/>
      </c>
    </row>
    <row r="160" ht="17" spans="1:29">
      <c r="A160" s="2"/>
      <c r="B160" s="2"/>
      <c r="C160" s="8" t="str">
        <f>IF(B160="","",IFERROR(LOOKUP(2,1/(单次交易!$A$2:$A$163=B160),单次交易!$B$2:$B$163),""))</f>
        <v/>
      </c>
      <c r="D160" s="12"/>
      <c r="E160" s="10"/>
      <c r="F160" s="10"/>
      <c r="G160" s="2"/>
      <c r="H160" s="15"/>
      <c r="I160" s="10"/>
      <c r="J160" s="12"/>
      <c r="K160" s="2"/>
      <c r="L160" s="2"/>
      <c r="M160" s="2"/>
      <c r="N160" s="5" t="str">
        <f>IF(B160="","",IFERROR(LOOKUP(2,1/(单次交易!$A$2:$A$163=B160),单次交易!$N$2:$N$163),""))</f>
        <v/>
      </c>
      <c r="O160" s="5" t="str">
        <f t="shared" si="18"/>
        <v/>
      </c>
      <c r="P160" s="11" t="str">
        <f t="shared" si="19"/>
        <v/>
      </c>
      <c r="Q160" s="5" t="str">
        <f t="shared" si="20"/>
        <v/>
      </c>
      <c r="R160" s="10"/>
      <c r="S160" s="5" t="str">
        <f t="shared" si="21"/>
        <v/>
      </c>
      <c r="T160" s="5" t="str">
        <f t="shared" si="22"/>
        <v/>
      </c>
      <c r="U160" s="5" t="str">
        <f t="shared" si="23"/>
        <v/>
      </c>
      <c r="V160" s="7" t="str">
        <f t="shared" si="24"/>
        <v/>
      </c>
      <c r="W160" s="8" t="str">
        <f t="shared" si="25"/>
        <v/>
      </c>
      <c r="X160" s="2"/>
      <c r="Y160" s="10"/>
      <c r="Z160" s="11" t="str">
        <f>IF(X160&lt;&gt;"执行卖出","",IFERROR(LOOKUP(2,1/(单次交易!$A$2:$A$163=B160),单次交易!$AP$2:$AP$163),""))</f>
        <v/>
      </c>
      <c r="AA160" s="10"/>
      <c r="AB160" s="8" t="str">
        <f t="shared" si="26"/>
        <v/>
      </c>
      <c r="AC160" s="8" t="str">
        <f>IF(A160="","",IF(A160="止损计划",IF(OR(B160="",D160="",E160="",F160="",G160=""),"计划不完整",IF(OR(D160&lt;1,D160&lt;&gt;INT(D160)),"阶段序号无效",IF(COUNTIFS($A$2:$A$497,"止损计划",$B$2:$B$497,B160,$D$2:$D$497,D160)&gt;1,"阶段序号重复",IF(E160&lt;=IFERROR(LOOKUP(2,1/(单次交易!$A$2:$A$163=B160),单次交易!$E$2:$E$163),0),"激活价须高于买入价",IF(F160&lt;N160,"止损价不得低于初始止损",IF(F160&gt;E160,"止损价不得高于激活价",IF(AND(COUNTIFS($A$2:$A$497,"止损计划",$B$2:$B$497,B160,$D$2:$D$497,"&lt;"&amp;D160)&gt;0,OR(E160&lt;=SUMPRODUCT(MAX((($A$2:$A$497="止损计划")*($B$2:$B$497=B160)*($D$2:$D$497&lt;D160))*$E$2:$E$497)),F160&lt;SUMPRODUCT(MAX((($A$2:$A$497="止损计划")*($B$2:$B$497=B160)*($D$2:$D$497&lt;D160))*$F$2:$F$497)))),"阶段价格必须逐级提高","计划有效"))))))),IF(A160="每日跟踪",IF(OR(B160="",H160="",I160="",J160=""),"每日数据不完整",IF(COUNTIFS($A$2:$A$497,"每日跟踪",$B$2:$B$497,B160,$H$2:$H$497,H160)&gt;1,"同一交易日期重复",IF(AND(R160&lt;&gt;"",R160&lt;S160),"人工止损无效：不能下调","跟踪有效"))),"记录类型无效")))</f>
        <v/>
      </c>
    </row>
    <row r="161" ht="17" spans="1:29">
      <c r="A161" s="2"/>
      <c r="B161" s="2"/>
      <c r="C161" s="8" t="str">
        <f>IF(B161="","",IFERROR(LOOKUP(2,1/(单次交易!$A$2:$A$163=B161),单次交易!$B$2:$B$163),""))</f>
        <v/>
      </c>
      <c r="D161" s="12"/>
      <c r="E161" s="10"/>
      <c r="F161" s="10"/>
      <c r="G161" s="2"/>
      <c r="H161" s="15"/>
      <c r="I161" s="10"/>
      <c r="J161" s="12"/>
      <c r="K161" s="2"/>
      <c r="L161" s="2"/>
      <c r="M161" s="2"/>
      <c r="N161" s="5" t="str">
        <f>IF(B161="","",IFERROR(LOOKUP(2,1/(单次交易!$A$2:$A$163=B161),单次交易!$N$2:$N$163),""))</f>
        <v/>
      </c>
      <c r="O161" s="5" t="str">
        <f t="shared" si="18"/>
        <v/>
      </c>
      <c r="P161" s="11" t="str">
        <f t="shared" si="19"/>
        <v/>
      </c>
      <c r="Q161" s="5" t="str">
        <f t="shared" si="20"/>
        <v/>
      </c>
      <c r="R161" s="10"/>
      <c r="S161" s="5" t="str">
        <f t="shared" si="21"/>
        <v/>
      </c>
      <c r="T161" s="5" t="str">
        <f t="shared" si="22"/>
        <v/>
      </c>
      <c r="U161" s="5" t="str">
        <f t="shared" si="23"/>
        <v/>
      </c>
      <c r="V161" s="7" t="str">
        <f t="shared" si="24"/>
        <v/>
      </c>
      <c r="W161" s="8" t="str">
        <f t="shared" si="25"/>
        <v/>
      </c>
      <c r="X161" s="2"/>
      <c r="Y161" s="10"/>
      <c r="Z161" s="11" t="str">
        <f>IF(X161&lt;&gt;"执行卖出","",IFERROR(LOOKUP(2,1/(单次交易!$A$2:$A$163=B161),单次交易!$AP$2:$AP$163),""))</f>
        <v/>
      </c>
      <c r="AA161" s="10"/>
      <c r="AB161" s="8" t="str">
        <f t="shared" si="26"/>
        <v/>
      </c>
      <c r="AC161" s="8" t="str">
        <f>IF(A161="","",IF(A161="止损计划",IF(OR(B161="",D161="",E161="",F161="",G161=""),"计划不完整",IF(OR(D161&lt;1,D161&lt;&gt;INT(D161)),"阶段序号无效",IF(COUNTIFS($A$2:$A$497,"止损计划",$B$2:$B$497,B161,$D$2:$D$497,D161)&gt;1,"阶段序号重复",IF(E161&lt;=IFERROR(LOOKUP(2,1/(单次交易!$A$2:$A$163=B161),单次交易!$E$2:$E$163),0),"激活价须高于买入价",IF(F161&lt;N161,"止损价不得低于初始止损",IF(F161&gt;E161,"止损价不得高于激活价",IF(AND(COUNTIFS($A$2:$A$497,"止损计划",$B$2:$B$497,B161,$D$2:$D$497,"&lt;"&amp;D161)&gt;0,OR(E161&lt;=SUMPRODUCT(MAX((($A$2:$A$497="止损计划")*($B$2:$B$497=B161)*($D$2:$D$497&lt;D161))*$E$2:$E$497)),F161&lt;SUMPRODUCT(MAX((($A$2:$A$497="止损计划")*($B$2:$B$497=B161)*($D$2:$D$497&lt;D161))*$F$2:$F$497)))),"阶段价格必须逐级提高","计划有效"))))))),IF(A161="每日跟踪",IF(OR(B161="",H161="",I161="",J161=""),"每日数据不完整",IF(COUNTIFS($A$2:$A$497,"每日跟踪",$B$2:$B$497,B161,$H$2:$H$497,H161)&gt;1,"同一交易日期重复",IF(AND(R161&lt;&gt;"",R161&lt;S161),"人工止损无效：不能下调","跟踪有效"))),"记录类型无效")))</f>
        <v/>
      </c>
    </row>
    <row r="162" ht="17" spans="1:29">
      <c r="A162" s="2"/>
      <c r="B162" s="2"/>
      <c r="C162" s="8" t="str">
        <f>IF(B162="","",IFERROR(LOOKUP(2,1/(单次交易!$A$2:$A$163=B162),单次交易!$B$2:$B$163),""))</f>
        <v/>
      </c>
      <c r="D162" s="12"/>
      <c r="E162" s="10"/>
      <c r="F162" s="10"/>
      <c r="G162" s="2"/>
      <c r="H162" s="15"/>
      <c r="I162" s="10"/>
      <c r="J162" s="12"/>
      <c r="K162" s="2"/>
      <c r="L162" s="2"/>
      <c r="M162" s="2"/>
      <c r="N162" s="5" t="str">
        <f>IF(B162="","",IFERROR(LOOKUP(2,1/(单次交易!$A$2:$A$163=B162),单次交易!$N$2:$N$163),""))</f>
        <v/>
      </c>
      <c r="O162" s="5" t="str">
        <f t="shared" si="18"/>
        <v/>
      </c>
      <c r="P162" s="11" t="str">
        <f t="shared" si="19"/>
        <v/>
      </c>
      <c r="Q162" s="5" t="str">
        <f t="shared" si="20"/>
        <v/>
      </c>
      <c r="R162" s="10"/>
      <c r="S162" s="5" t="str">
        <f t="shared" si="21"/>
        <v/>
      </c>
      <c r="T162" s="5" t="str">
        <f t="shared" si="22"/>
        <v/>
      </c>
      <c r="U162" s="5" t="str">
        <f t="shared" si="23"/>
        <v/>
      </c>
      <c r="V162" s="7" t="str">
        <f t="shared" si="24"/>
        <v/>
      </c>
      <c r="W162" s="8" t="str">
        <f t="shared" si="25"/>
        <v/>
      </c>
      <c r="X162" s="2"/>
      <c r="Y162" s="10"/>
      <c r="Z162" s="11" t="str">
        <f>IF(X162&lt;&gt;"执行卖出","",IFERROR(LOOKUP(2,1/(单次交易!$A$2:$A$163=B162),单次交易!$AP$2:$AP$163),""))</f>
        <v/>
      </c>
      <c r="AA162" s="10"/>
      <c r="AB162" s="8" t="str">
        <f t="shared" si="26"/>
        <v/>
      </c>
      <c r="AC162" s="8" t="str">
        <f>IF(A162="","",IF(A162="止损计划",IF(OR(B162="",D162="",E162="",F162="",G162=""),"计划不完整",IF(OR(D162&lt;1,D162&lt;&gt;INT(D162)),"阶段序号无效",IF(COUNTIFS($A$2:$A$497,"止损计划",$B$2:$B$497,B162,$D$2:$D$497,D162)&gt;1,"阶段序号重复",IF(E162&lt;=IFERROR(LOOKUP(2,1/(单次交易!$A$2:$A$163=B162),单次交易!$E$2:$E$163),0),"激活价须高于买入价",IF(F162&lt;N162,"止损价不得低于初始止损",IF(F162&gt;E162,"止损价不得高于激活价",IF(AND(COUNTIFS($A$2:$A$497,"止损计划",$B$2:$B$497,B162,$D$2:$D$497,"&lt;"&amp;D162)&gt;0,OR(E162&lt;=SUMPRODUCT(MAX((($A$2:$A$497="止损计划")*($B$2:$B$497=B162)*($D$2:$D$497&lt;D162))*$E$2:$E$497)),F162&lt;SUMPRODUCT(MAX((($A$2:$A$497="止损计划")*($B$2:$B$497=B162)*($D$2:$D$497&lt;D162))*$F$2:$F$497)))),"阶段价格必须逐级提高","计划有效"))))))),IF(A162="每日跟踪",IF(OR(B162="",H162="",I162="",J162=""),"每日数据不完整",IF(COUNTIFS($A$2:$A$497,"每日跟踪",$B$2:$B$497,B162,$H$2:$H$497,H162)&gt;1,"同一交易日期重复",IF(AND(R162&lt;&gt;"",R162&lt;S162),"人工止损无效：不能下调","跟踪有效"))),"记录类型无效")))</f>
        <v/>
      </c>
    </row>
    <row r="163" ht="17" spans="1:29">
      <c r="A163" s="2"/>
      <c r="B163" s="2"/>
      <c r="C163" s="8" t="str">
        <f>IF(B163="","",IFERROR(LOOKUP(2,1/(单次交易!$A$2:$A$163=B163),单次交易!$B$2:$B$163),""))</f>
        <v/>
      </c>
      <c r="D163" s="12"/>
      <c r="E163" s="10"/>
      <c r="F163" s="10"/>
      <c r="G163" s="2"/>
      <c r="H163" s="15"/>
      <c r="I163" s="10"/>
      <c r="J163" s="12"/>
      <c r="K163" s="2"/>
      <c r="L163" s="2"/>
      <c r="M163" s="2"/>
      <c r="N163" s="5" t="str">
        <f>IF(B163="","",IFERROR(LOOKUP(2,1/(单次交易!$A$2:$A$163=B163),单次交易!$N$2:$N$163),""))</f>
        <v/>
      </c>
      <c r="O163" s="5" t="str">
        <f t="shared" si="18"/>
        <v/>
      </c>
      <c r="P163" s="11" t="str">
        <f t="shared" si="19"/>
        <v/>
      </c>
      <c r="Q163" s="5" t="str">
        <f t="shared" si="20"/>
        <v/>
      </c>
      <c r="R163" s="10"/>
      <c r="S163" s="5" t="str">
        <f t="shared" si="21"/>
        <v/>
      </c>
      <c r="T163" s="5" t="str">
        <f t="shared" si="22"/>
        <v/>
      </c>
      <c r="U163" s="5" t="str">
        <f t="shared" si="23"/>
        <v/>
      </c>
      <c r="V163" s="7" t="str">
        <f t="shared" si="24"/>
        <v/>
      </c>
      <c r="W163" s="8" t="str">
        <f t="shared" si="25"/>
        <v/>
      </c>
      <c r="X163" s="2"/>
      <c r="Y163" s="10"/>
      <c r="Z163" s="11" t="str">
        <f>IF(X163&lt;&gt;"执行卖出","",IFERROR(LOOKUP(2,1/(单次交易!$A$2:$A$163=B163),单次交易!$AP$2:$AP$163),""))</f>
        <v/>
      </c>
      <c r="AA163" s="10"/>
      <c r="AB163" s="8" t="str">
        <f t="shared" si="26"/>
        <v/>
      </c>
      <c r="AC163" s="8" t="str">
        <f>IF(A163="","",IF(A163="止损计划",IF(OR(B163="",D163="",E163="",F163="",G163=""),"计划不完整",IF(OR(D163&lt;1,D163&lt;&gt;INT(D163)),"阶段序号无效",IF(COUNTIFS($A$2:$A$497,"止损计划",$B$2:$B$497,B163,$D$2:$D$497,D163)&gt;1,"阶段序号重复",IF(E163&lt;=IFERROR(LOOKUP(2,1/(单次交易!$A$2:$A$163=B163),单次交易!$E$2:$E$163),0),"激活价须高于买入价",IF(F163&lt;N163,"止损价不得低于初始止损",IF(F163&gt;E163,"止损价不得高于激活价",IF(AND(COUNTIFS($A$2:$A$497,"止损计划",$B$2:$B$497,B163,$D$2:$D$497,"&lt;"&amp;D163)&gt;0,OR(E163&lt;=SUMPRODUCT(MAX((($A$2:$A$497="止损计划")*($B$2:$B$497=B163)*($D$2:$D$497&lt;D163))*$E$2:$E$497)),F163&lt;SUMPRODUCT(MAX((($A$2:$A$497="止损计划")*($B$2:$B$497=B163)*($D$2:$D$497&lt;D163))*$F$2:$F$497)))),"阶段价格必须逐级提高","计划有效"))))))),IF(A163="每日跟踪",IF(OR(B163="",H163="",I163="",J163=""),"每日数据不完整",IF(COUNTIFS($A$2:$A$497,"每日跟踪",$B$2:$B$497,B163,$H$2:$H$497,H163)&gt;1,"同一交易日期重复",IF(AND(R163&lt;&gt;"",R163&lt;S163),"人工止损无效：不能下调","跟踪有效"))),"记录类型无效")))</f>
        <v/>
      </c>
    </row>
    <row r="164" ht="17" spans="1:29">
      <c r="A164" s="2"/>
      <c r="B164" s="2"/>
      <c r="C164" s="8" t="str">
        <f>IF(B164="","",IFERROR(LOOKUP(2,1/(单次交易!$A$2:$A$163=B164),单次交易!$B$2:$B$163),""))</f>
        <v/>
      </c>
      <c r="D164" s="12"/>
      <c r="E164" s="10"/>
      <c r="F164" s="10"/>
      <c r="G164" s="2"/>
      <c r="H164" s="15"/>
      <c r="I164" s="10"/>
      <c r="J164" s="12"/>
      <c r="K164" s="2"/>
      <c r="L164" s="2"/>
      <c r="M164" s="2"/>
      <c r="N164" s="5" t="str">
        <f>IF(B164="","",IFERROR(LOOKUP(2,1/(单次交易!$A$2:$A$163=B164),单次交易!$N$2:$N$163),""))</f>
        <v/>
      </c>
      <c r="O164" s="5" t="str">
        <f t="shared" si="18"/>
        <v/>
      </c>
      <c r="P164" s="11" t="str">
        <f t="shared" si="19"/>
        <v/>
      </c>
      <c r="Q164" s="5" t="str">
        <f t="shared" si="20"/>
        <v/>
      </c>
      <c r="R164" s="10"/>
      <c r="S164" s="5" t="str">
        <f t="shared" si="21"/>
        <v/>
      </c>
      <c r="T164" s="5" t="str">
        <f t="shared" si="22"/>
        <v/>
      </c>
      <c r="U164" s="5" t="str">
        <f t="shared" si="23"/>
        <v/>
      </c>
      <c r="V164" s="7" t="str">
        <f t="shared" si="24"/>
        <v/>
      </c>
      <c r="W164" s="8" t="str">
        <f t="shared" si="25"/>
        <v/>
      </c>
      <c r="X164" s="2"/>
      <c r="Y164" s="10"/>
      <c r="Z164" s="11" t="str">
        <f>IF(X164&lt;&gt;"执行卖出","",IFERROR(LOOKUP(2,1/(单次交易!$A$2:$A$163=B164),单次交易!$AP$2:$AP$163),""))</f>
        <v/>
      </c>
      <c r="AA164" s="10"/>
      <c r="AB164" s="8" t="str">
        <f t="shared" si="26"/>
        <v/>
      </c>
      <c r="AC164" s="8" t="str">
        <f>IF(A164="","",IF(A164="止损计划",IF(OR(B164="",D164="",E164="",F164="",G164=""),"计划不完整",IF(OR(D164&lt;1,D164&lt;&gt;INT(D164)),"阶段序号无效",IF(COUNTIFS($A$2:$A$497,"止损计划",$B$2:$B$497,B164,$D$2:$D$497,D164)&gt;1,"阶段序号重复",IF(E164&lt;=IFERROR(LOOKUP(2,1/(单次交易!$A$2:$A$163=B164),单次交易!$E$2:$E$163),0),"激活价须高于买入价",IF(F164&lt;N164,"止损价不得低于初始止损",IF(F164&gt;E164,"止损价不得高于激活价",IF(AND(COUNTIFS($A$2:$A$497,"止损计划",$B$2:$B$497,B164,$D$2:$D$497,"&lt;"&amp;D164)&gt;0,OR(E164&lt;=SUMPRODUCT(MAX((($A$2:$A$497="止损计划")*($B$2:$B$497=B164)*($D$2:$D$497&lt;D164))*$E$2:$E$497)),F164&lt;SUMPRODUCT(MAX((($A$2:$A$497="止损计划")*($B$2:$B$497=B164)*($D$2:$D$497&lt;D164))*$F$2:$F$497)))),"阶段价格必须逐级提高","计划有效"))))))),IF(A164="每日跟踪",IF(OR(B164="",H164="",I164="",J164=""),"每日数据不完整",IF(COUNTIFS($A$2:$A$497,"每日跟踪",$B$2:$B$497,B164,$H$2:$H$497,H164)&gt;1,"同一交易日期重复",IF(AND(R164&lt;&gt;"",R164&lt;S164),"人工止损无效：不能下调","跟踪有效"))),"记录类型无效")))</f>
        <v/>
      </c>
    </row>
    <row r="165" ht="17" spans="1:29">
      <c r="A165" s="2"/>
      <c r="B165" s="2"/>
      <c r="C165" s="8" t="str">
        <f>IF(B165="","",IFERROR(LOOKUP(2,1/(单次交易!$A$2:$A$163=B165),单次交易!$B$2:$B$163),""))</f>
        <v/>
      </c>
      <c r="D165" s="12"/>
      <c r="E165" s="10"/>
      <c r="F165" s="10"/>
      <c r="G165" s="2"/>
      <c r="H165" s="15"/>
      <c r="I165" s="10"/>
      <c r="J165" s="12"/>
      <c r="K165" s="2"/>
      <c r="L165" s="2"/>
      <c r="M165" s="2"/>
      <c r="N165" s="5" t="str">
        <f>IF(B165="","",IFERROR(LOOKUP(2,1/(单次交易!$A$2:$A$163=B165),单次交易!$N$2:$N$163),""))</f>
        <v/>
      </c>
      <c r="O165" s="5" t="str">
        <f t="shared" si="18"/>
        <v/>
      </c>
      <c r="P165" s="11" t="str">
        <f t="shared" si="19"/>
        <v/>
      </c>
      <c r="Q165" s="5" t="str">
        <f t="shared" si="20"/>
        <v/>
      </c>
      <c r="R165" s="10"/>
      <c r="S165" s="5" t="str">
        <f t="shared" si="21"/>
        <v/>
      </c>
      <c r="T165" s="5" t="str">
        <f t="shared" si="22"/>
        <v/>
      </c>
      <c r="U165" s="5" t="str">
        <f t="shared" si="23"/>
        <v/>
      </c>
      <c r="V165" s="7" t="str">
        <f t="shared" si="24"/>
        <v/>
      </c>
      <c r="W165" s="8" t="str">
        <f t="shared" si="25"/>
        <v/>
      </c>
      <c r="X165" s="2"/>
      <c r="Y165" s="10"/>
      <c r="Z165" s="11" t="str">
        <f>IF(X165&lt;&gt;"执行卖出","",IFERROR(LOOKUP(2,1/(单次交易!$A$2:$A$163=B165),单次交易!$AP$2:$AP$163),""))</f>
        <v/>
      </c>
      <c r="AA165" s="10"/>
      <c r="AB165" s="8" t="str">
        <f t="shared" si="26"/>
        <v/>
      </c>
      <c r="AC165" s="8" t="str">
        <f>IF(A165="","",IF(A165="止损计划",IF(OR(B165="",D165="",E165="",F165="",G165=""),"计划不完整",IF(OR(D165&lt;1,D165&lt;&gt;INT(D165)),"阶段序号无效",IF(COUNTIFS($A$2:$A$497,"止损计划",$B$2:$B$497,B165,$D$2:$D$497,D165)&gt;1,"阶段序号重复",IF(E165&lt;=IFERROR(LOOKUP(2,1/(单次交易!$A$2:$A$163=B165),单次交易!$E$2:$E$163),0),"激活价须高于买入价",IF(F165&lt;N165,"止损价不得低于初始止损",IF(F165&gt;E165,"止损价不得高于激活价",IF(AND(COUNTIFS($A$2:$A$497,"止损计划",$B$2:$B$497,B165,$D$2:$D$497,"&lt;"&amp;D165)&gt;0,OR(E165&lt;=SUMPRODUCT(MAX((($A$2:$A$497="止损计划")*($B$2:$B$497=B165)*($D$2:$D$497&lt;D165))*$E$2:$E$497)),F165&lt;SUMPRODUCT(MAX((($A$2:$A$497="止损计划")*($B$2:$B$497=B165)*($D$2:$D$497&lt;D165))*$F$2:$F$497)))),"阶段价格必须逐级提高","计划有效"))))))),IF(A165="每日跟踪",IF(OR(B165="",H165="",I165="",J165=""),"每日数据不完整",IF(COUNTIFS($A$2:$A$497,"每日跟踪",$B$2:$B$497,B165,$H$2:$H$497,H165)&gt;1,"同一交易日期重复",IF(AND(R165&lt;&gt;"",R165&lt;S165),"人工止损无效：不能下调","跟踪有效"))),"记录类型无效")))</f>
        <v/>
      </c>
    </row>
    <row r="166" ht="17" spans="1:29">
      <c r="A166" s="2"/>
      <c r="B166" s="2"/>
      <c r="C166" s="8" t="str">
        <f>IF(B166="","",IFERROR(LOOKUP(2,1/(单次交易!$A$2:$A$163=B166),单次交易!$B$2:$B$163),""))</f>
        <v/>
      </c>
      <c r="D166" s="12"/>
      <c r="E166" s="10"/>
      <c r="F166" s="10"/>
      <c r="G166" s="2"/>
      <c r="H166" s="15"/>
      <c r="I166" s="10"/>
      <c r="J166" s="12"/>
      <c r="K166" s="2"/>
      <c r="L166" s="2"/>
      <c r="M166" s="2"/>
      <c r="N166" s="5" t="str">
        <f>IF(B166="","",IFERROR(LOOKUP(2,1/(单次交易!$A$2:$A$163=B166),单次交易!$N$2:$N$163),""))</f>
        <v/>
      </c>
      <c r="O166" s="5" t="str">
        <f t="shared" si="18"/>
        <v/>
      </c>
      <c r="P166" s="11" t="str">
        <f t="shared" si="19"/>
        <v/>
      </c>
      <c r="Q166" s="5" t="str">
        <f t="shared" si="20"/>
        <v/>
      </c>
      <c r="R166" s="10"/>
      <c r="S166" s="5" t="str">
        <f t="shared" si="21"/>
        <v/>
      </c>
      <c r="T166" s="5" t="str">
        <f t="shared" si="22"/>
        <v/>
      </c>
      <c r="U166" s="5" t="str">
        <f t="shared" si="23"/>
        <v/>
      </c>
      <c r="V166" s="7" t="str">
        <f t="shared" si="24"/>
        <v/>
      </c>
      <c r="W166" s="8" t="str">
        <f t="shared" si="25"/>
        <v/>
      </c>
      <c r="X166" s="2"/>
      <c r="Y166" s="10"/>
      <c r="Z166" s="11" t="str">
        <f>IF(X166&lt;&gt;"执行卖出","",IFERROR(LOOKUP(2,1/(单次交易!$A$2:$A$163=B166),单次交易!$AP$2:$AP$163),""))</f>
        <v/>
      </c>
      <c r="AA166" s="10"/>
      <c r="AB166" s="8" t="str">
        <f t="shared" si="26"/>
        <v/>
      </c>
      <c r="AC166" s="8" t="str">
        <f>IF(A166="","",IF(A166="止损计划",IF(OR(B166="",D166="",E166="",F166="",G166=""),"计划不完整",IF(OR(D166&lt;1,D166&lt;&gt;INT(D166)),"阶段序号无效",IF(COUNTIFS($A$2:$A$497,"止损计划",$B$2:$B$497,B166,$D$2:$D$497,D166)&gt;1,"阶段序号重复",IF(E166&lt;=IFERROR(LOOKUP(2,1/(单次交易!$A$2:$A$163=B166),单次交易!$E$2:$E$163),0),"激活价须高于买入价",IF(F166&lt;N166,"止损价不得低于初始止损",IF(F166&gt;E166,"止损价不得高于激活价",IF(AND(COUNTIFS($A$2:$A$497,"止损计划",$B$2:$B$497,B166,$D$2:$D$497,"&lt;"&amp;D166)&gt;0,OR(E166&lt;=SUMPRODUCT(MAX((($A$2:$A$497="止损计划")*($B$2:$B$497=B166)*($D$2:$D$497&lt;D166))*$E$2:$E$497)),F166&lt;SUMPRODUCT(MAX((($A$2:$A$497="止损计划")*($B$2:$B$497=B166)*($D$2:$D$497&lt;D166))*$F$2:$F$497)))),"阶段价格必须逐级提高","计划有效"))))))),IF(A166="每日跟踪",IF(OR(B166="",H166="",I166="",J166=""),"每日数据不完整",IF(COUNTIFS($A$2:$A$497,"每日跟踪",$B$2:$B$497,B166,$H$2:$H$497,H166)&gt;1,"同一交易日期重复",IF(AND(R166&lt;&gt;"",R166&lt;S166),"人工止损无效：不能下调","跟踪有效"))),"记录类型无效")))</f>
        <v/>
      </c>
    </row>
    <row r="167" ht="17" spans="1:29">
      <c r="A167" s="2"/>
      <c r="B167" s="2"/>
      <c r="C167" s="8" t="str">
        <f>IF(B167="","",IFERROR(LOOKUP(2,1/(单次交易!$A$2:$A$163=B167),单次交易!$B$2:$B$163),""))</f>
        <v/>
      </c>
      <c r="D167" s="12"/>
      <c r="E167" s="10"/>
      <c r="F167" s="10"/>
      <c r="G167" s="2"/>
      <c r="H167" s="15"/>
      <c r="I167" s="10"/>
      <c r="J167" s="12"/>
      <c r="K167" s="2"/>
      <c r="L167" s="2"/>
      <c r="M167" s="2"/>
      <c r="N167" s="5" t="str">
        <f>IF(B167="","",IFERROR(LOOKUP(2,1/(单次交易!$A$2:$A$163=B167),单次交易!$N$2:$N$163),""))</f>
        <v/>
      </c>
      <c r="O167" s="5" t="str">
        <f t="shared" si="18"/>
        <v/>
      </c>
      <c r="P167" s="11" t="str">
        <f t="shared" si="19"/>
        <v/>
      </c>
      <c r="Q167" s="5" t="str">
        <f t="shared" si="20"/>
        <v/>
      </c>
      <c r="R167" s="10"/>
      <c r="S167" s="5" t="str">
        <f t="shared" si="21"/>
        <v/>
      </c>
      <c r="T167" s="5" t="str">
        <f t="shared" si="22"/>
        <v/>
      </c>
      <c r="U167" s="5" t="str">
        <f t="shared" si="23"/>
        <v/>
      </c>
      <c r="V167" s="7" t="str">
        <f t="shared" si="24"/>
        <v/>
      </c>
      <c r="W167" s="8" t="str">
        <f t="shared" si="25"/>
        <v/>
      </c>
      <c r="X167" s="2"/>
      <c r="Y167" s="10"/>
      <c r="Z167" s="11" t="str">
        <f>IF(X167&lt;&gt;"执行卖出","",IFERROR(LOOKUP(2,1/(单次交易!$A$2:$A$163=B167),单次交易!$AP$2:$AP$163),""))</f>
        <v/>
      </c>
      <c r="AA167" s="10"/>
      <c r="AB167" s="8" t="str">
        <f t="shared" si="26"/>
        <v/>
      </c>
      <c r="AC167" s="8" t="str">
        <f>IF(A167="","",IF(A167="止损计划",IF(OR(B167="",D167="",E167="",F167="",G167=""),"计划不完整",IF(OR(D167&lt;1,D167&lt;&gt;INT(D167)),"阶段序号无效",IF(COUNTIFS($A$2:$A$497,"止损计划",$B$2:$B$497,B167,$D$2:$D$497,D167)&gt;1,"阶段序号重复",IF(E167&lt;=IFERROR(LOOKUP(2,1/(单次交易!$A$2:$A$163=B167),单次交易!$E$2:$E$163),0),"激活价须高于买入价",IF(F167&lt;N167,"止损价不得低于初始止损",IF(F167&gt;E167,"止损价不得高于激活价",IF(AND(COUNTIFS($A$2:$A$497,"止损计划",$B$2:$B$497,B167,$D$2:$D$497,"&lt;"&amp;D167)&gt;0,OR(E167&lt;=SUMPRODUCT(MAX((($A$2:$A$497="止损计划")*($B$2:$B$497=B167)*($D$2:$D$497&lt;D167))*$E$2:$E$497)),F167&lt;SUMPRODUCT(MAX((($A$2:$A$497="止损计划")*($B$2:$B$497=B167)*($D$2:$D$497&lt;D167))*$F$2:$F$497)))),"阶段价格必须逐级提高","计划有效"))))))),IF(A167="每日跟踪",IF(OR(B167="",H167="",I167="",J167=""),"每日数据不完整",IF(COUNTIFS($A$2:$A$497,"每日跟踪",$B$2:$B$497,B167,$H$2:$H$497,H167)&gt;1,"同一交易日期重复",IF(AND(R167&lt;&gt;"",R167&lt;S167),"人工止损无效：不能下调","跟踪有效"))),"记录类型无效")))</f>
        <v/>
      </c>
    </row>
    <row r="168" ht="17" spans="1:29">
      <c r="A168" s="2"/>
      <c r="B168" s="2"/>
      <c r="C168" s="8" t="str">
        <f>IF(B168="","",IFERROR(LOOKUP(2,1/(单次交易!$A$2:$A$163=B168),单次交易!$B$2:$B$163),""))</f>
        <v/>
      </c>
      <c r="D168" s="12"/>
      <c r="E168" s="10"/>
      <c r="F168" s="10"/>
      <c r="G168" s="2"/>
      <c r="H168" s="15"/>
      <c r="I168" s="10"/>
      <c r="J168" s="12"/>
      <c r="K168" s="2"/>
      <c r="L168" s="2"/>
      <c r="M168" s="2"/>
      <c r="N168" s="5" t="str">
        <f>IF(B168="","",IFERROR(LOOKUP(2,1/(单次交易!$A$2:$A$163=B168),单次交易!$N$2:$N$163),""))</f>
        <v/>
      </c>
      <c r="O168" s="5" t="str">
        <f t="shared" si="18"/>
        <v/>
      </c>
      <c r="P168" s="11" t="str">
        <f t="shared" si="19"/>
        <v/>
      </c>
      <c r="Q168" s="5" t="str">
        <f t="shared" si="20"/>
        <v/>
      </c>
      <c r="R168" s="10"/>
      <c r="S168" s="5" t="str">
        <f t="shared" si="21"/>
        <v/>
      </c>
      <c r="T168" s="5" t="str">
        <f t="shared" si="22"/>
        <v/>
      </c>
      <c r="U168" s="5" t="str">
        <f t="shared" si="23"/>
        <v/>
      </c>
      <c r="V168" s="7" t="str">
        <f t="shared" si="24"/>
        <v/>
      </c>
      <c r="W168" s="8" t="str">
        <f t="shared" si="25"/>
        <v/>
      </c>
      <c r="X168" s="2"/>
      <c r="Y168" s="10"/>
      <c r="Z168" s="11" t="str">
        <f>IF(X168&lt;&gt;"执行卖出","",IFERROR(LOOKUP(2,1/(单次交易!$A$2:$A$163=B168),单次交易!$AP$2:$AP$163),""))</f>
        <v/>
      </c>
      <c r="AA168" s="10"/>
      <c r="AB168" s="8" t="str">
        <f t="shared" si="26"/>
        <v/>
      </c>
      <c r="AC168" s="8" t="str">
        <f>IF(A168="","",IF(A168="止损计划",IF(OR(B168="",D168="",E168="",F168="",G168=""),"计划不完整",IF(OR(D168&lt;1,D168&lt;&gt;INT(D168)),"阶段序号无效",IF(COUNTIFS($A$2:$A$497,"止损计划",$B$2:$B$497,B168,$D$2:$D$497,D168)&gt;1,"阶段序号重复",IF(E168&lt;=IFERROR(LOOKUP(2,1/(单次交易!$A$2:$A$163=B168),单次交易!$E$2:$E$163),0),"激活价须高于买入价",IF(F168&lt;N168,"止损价不得低于初始止损",IF(F168&gt;E168,"止损价不得高于激活价",IF(AND(COUNTIFS($A$2:$A$497,"止损计划",$B$2:$B$497,B168,$D$2:$D$497,"&lt;"&amp;D168)&gt;0,OR(E168&lt;=SUMPRODUCT(MAX((($A$2:$A$497="止损计划")*($B$2:$B$497=B168)*($D$2:$D$497&lt;D168))*$E$2:$E$497)),F168&lt;SUMPRODUCT(MAX((($A$2:$A$497="止损计划")*($B$2:$B$497=B168)*($D$2:$D$497&lt;D168))*$F$2:$F$497)))),"阶段价格必须逐级提高","计划有效"))))))),IF(A168="每日跟踪",IF(OR(B168="",H168="",I168="",J168=""),"每日数据不完整",IF(COUNTIFS($A$2:$A$497,"每日跟踪",$B$2:$B$497,B168,$H$2:$H$497,H168)&gt;1,"同一交易日期重复",IF(AND(R168&lt;&gt;"",R168&lt;S168),"人工止损无效：不能下调","跟踪有效"))),"记录类型无效")))</f>
        <v/>
      </c>
    </row>
    <row r="169" ht="17" spans="1:29">
      <c r="A169" s="2"/>
      <c r="B169" s="2"/>
      <c r="C169" s="8" t="str">
        <f>IF(B169="","",IFERROR(LOOKUP(2,1/(单次交易!$A$2:$A$163=B169),单次交易!$B$2:$B$163),""))</f>
        <v/>
      </c>
      <c r="D169" s="12"/>
      <c r="E169" s="10"/>
      <c r="F169" s="10"/>
      <c r="G169" s="2"/>
      <c r="H169" s="15"/>
      <c r="I169" s="10"/>
      <c r="J169" s="12"/>
      <c r="K169" s="2"/>
      <c r="L169" s="2"/>
      <c r="M169" s="2"/>
      <c r="N169" s="5" t="str">
        <f>IF(B169="","",IFERROR(LOOKUP(2,1/(单次交易!$A$2:$A$163=B169),单次交易!$N$2:$N$163),""))</f>
        <v/>
      </c>
      <c r="O169" s="5" t="str">
        <f t="shared" si="18"/>
        <v/>
      </c>
      <c r="P169" s="11" t="str">
        <f t="shared" si="19"/>
        <v/>
      </c>
      <c r="Q169" s="5" t="str">
        <f t="shared" si="20"/>
        <v/>
      </c>
      <c r="R169" s="10"/>
      <c r="S169" s="5" t="str">
        <f t="shared" si="21"/>
        <v/>
      </c>
      <c r="T169" s="5" t="str">
        <f t="shared" si="22"/>
        <v/>
      </c>
      <c r="U169" s="5" t="str">
        <f t="shared" si="23"/>
        <v/>
      </c>
      <c r="V169" s="7" t="str">
        <f t="shared" si="24"/>
        <v/>
      </c>
      <c r="W169" s="8" t="str">
        <f t="shared" si="25"/>
        <v/>
      </c>
      <c r="X169" s="2"/>
      <c r="Y169" s="10"/>
      <c r="Z169" s="11" t="str">
        <f>IF(X169&lt;&gt;"执行卖出","",IFERROR(LOOKUP(2,1/(单次交易!$A$2:$A$163=B169),单次交易!$AP$2:$AP$163),""))</f>
        <v/>
      </c>
      <c r="AA169" s="10"/>
      <c r="AB169" s="8" t="str">
        <f t="shared" si="26"/>
        <v/>
      </c>
      <c r="AC169" s="8" t="str">
        <f>IF(A169="","",IF(A169="止损计划",IF(OR(B169="",D169="",E169="",F169="",G169=""),"计划不完整",IF(OR(D169&lt;1,D169&lt;&gt;INT(D169)),"阶段序号无效",IF(COUNTIFS($A$2:$A$497,"止损计划",$B$2:$B$497,B169,$D$2:$D$497,D169)&gt;1,"阶段序号重复",IF(E169&lt;=IFERROR(LOOKUP(2,1/(单次交易!$A$2:$A$163=B169),单次交易!$E$2:$E$163),0),"激活价须高于买入价",IF(F169&lt;N169,"止损价不得低于初始止损",IF(F169&gt;E169,"止损价不得高于激活价",IF(AND(COUNTIFS($A$2:$A$497,"止损计划",$B$2:$B$497,B169,$D$2:$D$497,"&lt;"&amp;D169)&gt;0,OR(E169&lt;=SUMPRODUCT(MAX((($A$2:$A$497="止损计划")*($B$2:$B$497=B169)*($D$2:$D$497&lt;D169))*$E$2:$E$497)),F169&lt;SUMPRODUCT(MAX((($A$2:$A$497="止损计划")*($B$2:$B$497=B169)*($D$2:$D$497&lt;D169))*$F$2:$F$497)))),"阶段价格必须逐级提高","计划有效"))))))),IF(A169="每日跟踪",IF(OR(B169="",H169="",I169="",J169=""),"每日数据不完整",IF(COUNTIFS($A$2:$A$497,"每日跟踪",$B$2:$B$497,B169,$H$2:$H$497,H169)&gt;1,"同一交易日期重复",IF(AND(R169&lt;&gt;"",R169&lt;S169),"人工止损无效：不能下调","跟踪有效"))),"记录类型无效")))</f>
        <v/>
      </c>
    </row>
    <row r="170" ht="17" spans="1:29">
      <c r="A170" s="2"/>
      <c r="B170" s="2"/>
      <c r="C170" s="8" t="str">
        <f>IF(B170="","",IFERROR(LOOKUP(2,1/(单次交易!$A$2:$A$163=B170),单次交易!$B$2:$B$163),""))</f>
        <v/>
      </c>
      <c r="D170" s="12"/>
      <c r="E170" s="10"/>
      <c r="F170" s="10"/>
      <c r="G170" s="2"/>
      <c r="H170" s="15"/>
      <c r="I170" s="10"/>
      <c r="J170" s="12"/>
      <c r="K170" s="2"/>
      <c r="L170" s="2"/>
      <c r="M170" s="2"/>
      <c r="N170" s="5" t="str">
        <f>IF(B170="","",IFERROR(LOOKUP(2,1/(单次交易!$A$2:$A$163=B170),单次交易!$N$2:$N$163),""))</f>
        <v/>
      </c>
      <c r="O170" s="5" t="str">
        <f t="shared" si="18"/>
        <v/>
      </c>
      <c r="P170" s="11" t="str">
        <f t="shared" si="19"/>
        <v/>
      </c>
      <c r="Q170" s="5" t="str">
        <f t="shared" si="20"/>
        <v/>
      </c>
      <c r="R170" s="10"/>
      <c r="S170" s="5" t="str">
        <f t="shared" si="21"/>
        <v/>
      </c>
      <c r="T170" s="5" t="str">
        <f t="shared" si="22"/>
        <v/>
      </c>
      <c r="U170" s="5" t="str">
        <f t="shared" si="23"/>
        <v/>
      </c>
      <c r="V170" s="7" t="str">
        <f t="shared" si="24"/>
        <v/>
      </c>
      <c r="W170" s="8" t="str">
        <f t="shared" si="25"/>
        <v/>
      </c>
      <c r="X170" s="2"/>
      <c r="Y170" s="10"/>
      <c r="Z170" s="11" t="str">
        <f>IF(X170&lt;&gt;"执行卖出","",IFERROR(LOOKUP(2,1/(单次交易!$A$2:$A$163=B170),单次交易!$AP$2:$AP$163),""))</f>
        <v/>
      </c>
      <c r="AA170" s="10"/>
      <c r="AB170" s="8" t="str">
        <f t="shared" si="26"/>
        <v/>
      </c>
      <c r="AC170" s="8" t="str">
        <f>IF(A170="","",IF(A170="止损计划",IF(OR(B170="",D170="",E170="",F170="",G170=""),"计划不完整",IF(OR(D170&lt;1,D170&lt;&gt;INT(D170)),"阶段序号无效",IF(COUNTIFS($A$2:$A$497,"止损计划",$B$2:$B$497,B170,$D$2:$D$497,D170)&gt;1,"阶段序号重复",IF(E170&lt;=IFERROR(LOOKUP(2,1/(单次交易!$A$2:$A$163=B170),单次交易!$E$2:$E$163),0),"激活价须高于买入价",IF(F170&lt;N170,"止损价不得低于初始止损",IF(F170&gt;E170,"止损价不得高于激活价",IF(AND(COUNTIFS($A$2:$A$497,"止损计划",$B$2:$B$497,B170,$D$2:$D$497,"&lt;"&amp;D170)&gt;0,OR(E170&lt;=SUMPRODUCT(MAX((($A$2:$A$497="止损计划")*($B$2:$B$497=B170)*($D$2:$D$497&lt;D170))*$E$2:$E$497)),F170&lt;SUMPRODUCT(MAX((($A$2:$A$497="止损计划")*($B$2:$B$497=B170)*($D$2:$D$497&lt;D170))*$F$2:$F$497)))),"阶段价格必须逐级提高","计划有效"))))))),IF(A170="每日跟踪",IF(OR(B170="",H170="",I170="",J170=""),"每日数据不完整",IF(COUNTIFS($A$2:$A$497,"每日跟踪",$B$2:$B$497,B170,$H$2:$H$497,H170)&gt;1,"同一交易日期重复",IF(AND(R170&lt;&gt;"",R170&lt;S170),"人工止损无效：不能下调","跟踪有效"))),"记录类型无效")))</f>
        <v/>
      </c>
    </row>
    <row r="171" ht="17" spans="1:29">
      <c r="A171" s="2"/>
      <c r="B171" s="2"/>
      <c r="C171" s="8" t="str">
        <f>IF(B171="","",IFERROR(LOOKUP(2,1/(单次交易!$A$2:$A$163=B171),单次交易!$B$2:$B$163),""))</f>
        <v/>
      </c>
      <c r="D171" s="12"/>
      <c r="E171" s="10"/>
      <c r="F171" s="10"/>
      <c r="G171" s="2"/>
      <c r="H171" s="15"/>
      <c r="I171" s="10"/>
      <c r="J171" s="12"/>
      <c r="K171" s="2"/>
      <c r="L171" s="2"/>
      <c r="M171" s="2"/>
      <c r="N171" s="5" t="str">
        <f>IF(B171="","",IFERROR(LOOKUP(2,1/(单次交易!$A$2:$A$163=B171),单次交易!$N$2:$N$163),""))</f>
        <v/>
      </c>
      <c r="O171" s="5" t="str">
        <f t="shared" si="18"/>
        <v/>
      </c>
      <c r="P171" s="11" t="str">
        <f t="shared" si="19"/>
        <v/>
      </c>
      <c r="Q171" s="5" t="str">
        <f t="shared" si="20"/>
        <v/>
      </c>
      <c r="R171" s="10"/>
      <c r="S171" s="5" t="str">
        <f t="shared" si="21"/>
        <v/>
      </c>
      <c r="T171" s="5" t="str">
        <f t="shared" si="22"/>
        <v/>
      </c>
      <c r="U171" s="5" t="str">
        <f t="shared" si="23"/>
        <v/>
      </c>
      <c r="V171" s="7" t="str">
        <f t="shared" si="24"/>
        <v/>
      </c>
      <c r="W171" s="8" t="str">
        <f t="shared" si="25"/>
        <v/>
      </c>
      <c r="X171" s="2"/>
      <c r="Y171" s="10"/>
      <c r="Z171" s="11" t="str">
        <f>IF(X171&lt;&gt;"执行卖出","",IFERROR(LOOKUP(2,1/(单次交易!$A$2:$A$163=B171),单次交易!$AP$2:$AP$163),""))</f>
        <v/>
      </c>
      <c r="AA171" s="10"/>
      <c r="AB171" s="8" t="str">
        <f t="shared" si="26"/>
        <v/>
      </c>
      <c r="AC171" s="8" t="str">
        <f>IF(A171="","",IF(A171="止损计划",IF(OR(B171="",D171="",E171="",F171="",G171=""),"计划不完整",IF(OR(D171&lt;1,D171&lt;&gt;INT(D171)),"阶段序号无效",IF(COUNTIFS($A$2:$A$497,"止损计划",$B$2:$B$497,B171,$D$2:$D$497,D171)&gt;1,"阶段序号重复",IF(E171&lt;=IFERROR(LOOKUP(2,1/(单次交易!$A$2:$A$163=B171),单次交易!$E$2:$E$163),0),"激活价须高于买入价",IF(F171&lt;N171,"止损价不得低于初始止损",IF(F171&gt;E171,"止损价不得高于激活价",IF(AND(COUNTIFS($A$2:$A$497,"止损计划",$B$2:$B$497,B171,$D$2:$D$497,"&lt;"&amp;D171)&gt;0,OR(E171&lt;=SUMPRODUCT(MAX((($A$2:$A$497="止损计划")*($B$2:$B$497=B171)*($D$2:$D$497&lt;D171))*$E$2:$E$497)),F171&lt;SUMPRODUCT(MAX((($A$2:$A$497="止损计划")*($B$2:$B$497=B171)*($D$2:$D$497&lt;D171))*$F$2:$F$497)))),"阶段价格必须逐级提高","计划有效"))))))),IF(A171="每日跟踪",IF(OR(B171="",H171="",I171="",J171=""),"每日数据不完整",IF(COUNTIFS($A$2:$A$497,"每日跟踪",$B$2:$B$497,B171,$H$2:$H$497,H171)&gt;1,"同一交易日期重复",IF(AND(R171&lt;&gt;"",R171&lt;S171),"人工止损无效：不能下调","跟踪有效"))),"记录类型无效")))</f>
        <v/>
      </c>
    </row>
    <row r="172" ht="17" spans="1:29">
      <c r="A172" s="2"/>
      <c r="B172" s="2"/>
      <c r="C172" s="8" t="str">
        <f>IF(B172="","",IFERROR(LOOKUP(2,1/(单次交易!$A$2:$A$163=B172),单次交易!$B$2:$B$163),""))</f>
        <v/>
      </c>
      <c r="D172" s="12"/>
      <c r="E172" s="10"/>
      <c r="F172" s="10"/>
      <c r="G172" s="2"/>
      <c r="H172" s="15"/>
      <c r="I172" s="10"/>
      <c r="J172" s="12"/>
      <c r="K172" s="2"/>
      <c r="L172" s="2"/>
      <c r="M172" s="2"/>
      <c r="N172" s="5" t="str">
        <f>IF(B172="","",IFERROR(LOOKUP(2,1/(单次交易!$A$2:$A$163=B172),单次交易!$N$2:$N$163),""))</f>
        <v/>
      </c>
      <c r="O172" s="5" t="str">
        <f t="shared" si="18"/>
        <v/>
      </c>
      <c r="P172" s="11" t="str">
        <f t="shared" si="19"/>
        <v/>
      </c>
      <c r="Q172" s="5" t="str">
        <f t="shared" si="20"/>
        <v/>
      </c>
      <c r="R172" s="10"/>
      <c r="S172" s="5" t="str">
        <f t="shared" si="21"/>
        <v/>
      </c>
      <c r="T172" s="5" t="str">
        <f t="shared" si="22"/>
        <v/>
      </c>
      <c r="U172" s="5" t="str">
        <f t="shared" si="23"/>
        <v/>
      </c>
      <c r="V172" s="7" t="str">
        <f t="shared" si="24"/>
        <v/>
      </c>
      <c r="W172" s="8" t="str">
        <f t="shared" si="25"/>
        <v/>
      </c>
      <c r="X172" s="2"/>
      <c r="Y172" s="10"/>
      <c r="Z172" s="11" t="str">
        <f>IF(X172&lt;&gt;"执行卖出","",IFERROR(LOOKUP(2,1/(单次交易!$A$2:$A$163=B172),单次交易!$AP$2:$AP$163),""))</f>
        <v/>
      </c>
      <c r="AA172" s="10"/>
      <c r="AB172" s="8" t="str">
        <f t="shared" si="26"/>
        <v/>
      </c>
      <c r="AC172" s="8" t="str">
        <f>IF(A172="","",IF(A172="止损计划",IF(OR(B172="",D172="",E172="",F172="",G172=""),"计划不完整",IF(OR(D172&lt;1,D172&lt;&gt;INT(D172)),"阶段序号无效",IF(COUNTIFS($A$2:$A$497,"止损计划",$B$2:$B$497,B172,$D$2:$D$497,D172)&gt;1,"阶段序号重复",IF(E172&lt;=IFERROR(LOOKUP(2,1/(单次交易!$A$2:$A$163=B172),单次交易!$E$2:$E$163),0),"激活价须高于买入价",IF(F172&lt;N172,"止损价不得低于初始止损",IF(F172&gt;E172,"止损价不得高于激活价",IF(AND(COUNTIFS($A$2:$A$497,"止损计划",$B$2:$B$497,B172,$D$2:$D$497,"&lt;"&amp;D172)&gt;0,OR(E172&lt;=SUMPRODUCT(MAX((($A$2:$A$497="止损计划")*($B$2:$B$497=B172)*($D$2:$D$497&lt;D172))*$E$2:$E$497)),F172&lt;SUMPRODUCT(MAX((($A$2:$A$497="止损计划")*($B$2:$B$497=B172)*($D$2:$D$497&lt;D172))*$F$2:$F$497)))),"阶段价格必须逐级提高","计划有效"))))))),IF(A172="每日跟踪",IF(OR(B172="",H172="",I172="",J172=""),"每日数据不完整",IF(COUNTIFS($A$2:$A$497,"每日跟踪",$B$2:$B$497,B172,$H$2:$H$497,H172)&gt;1,"同一交易日期重复",IF(AND(R172&lt;&gt;"",R172&lt;S172),"人工止损无效：不能下调","跟踪有效"))),"记录类型无效")))</f>
        <v/>
      </c>
    </row>
    <row r="173" ht="17" spans="1:29">
      <c r="A173" s="2"/>
      <c r="B173" s="2"/>
      <c r="C173" s="8" t="str">
        <f>IF(B173="","",IFERROR(LOOKUP(2,1/(单次交易!$A$2:$A$163=B173),单次交易!$B$2:$B$163),""))</f>
        <v/>
      </c>
      <c r="D173" s="12"/>
      <c r="E173" s="10"/>
      <c r="F173" s="10"/>
      <c r="G173" s="2"/>
      <c r="H173" s="15"/>
      <c r="I173" s="10"/>
      <c r="J173" s="12"/>
      <c r="K173" s="2"/>
      <c r="L173" s="2"/>
      <c r="M173" s="2"/>
      <c r="N173" s="5" t="str">
        <f>IF(B173="","",IFERROR(LOOKUP(2,1/(单次交易!$A$2:$A$163=B173),单次交易!$N$2:$N$163),""))</f>
        <v/>
      </c>
      <c r="O173" s="5" t="str">
        <f t="shared" si="18"/>
        <v/>
      </c>
      <c r="P173" s="11" t="str">
        <f t="shared" si="19"/>
        <v/>
      </c>
      <c r="Q173" s="5" t="str">
        <f t="shared" si="20"/>
        <v/>
      </c>
      <c r="R173" s="10"/>
      <c r="S173" s="5" t="str">
        <f t="shared" si="21"/>
        <v/>
      </c>
      <c r="T173" s="5" t="str">
        <f t="shared" si="22"/>
        <v/>
      </c>
      <c r="U173" s="5" t="str">
        <f t="shared" si="23"/>
        <v/>
      </c>
      <c r="V173" s="7" t="str">
        <f t="shared" si="24"/>
        <v/>
      </c>
      <c r="W173" s="8" t="str">
        <f t="shared" si="25"/>
        <v/>
      </c>
      <c r="X173" s="2"/>
      <c r="Y173" s="10"/>
      <c r="Z173" s="11" t="str">
        <f>IF(X173&lt;&gt;"执行卖出","",IFERROR(LOOKUP(2,1/(单次交易!$A$2:$A$163=B173),单次交易!$AP$2:$AP$163),""))</f>
        <v/>
      </c>
      <c r="AA173" s="10"/>
      <c r="AB173" s="8" t="str">
        <f t="shared" si="26"/>
        <v/>
      </c>
      <c r="AC173" s="8" t="str">
        <f>IF(A173="","",IF(A173="止损计划",IF(OR(B173="",D173="",E173="",F173="",G173=""),"计划不完整",IF(OR(D173&lt;1,D173&lt;&gt;INT(D173)),"阶段序号无效",IF(COUNTIFS($A$2:$A$497,"止损计划",$B$2:$B$497,B173,$D$2:$D$497,D173)&gt;1,"阶段序号重复",IF(E173&lt;=IFERROR(LOOKUP(2,1/(单次交易!$A$2:$A$163=B173),单次交易!$E$2:$E$163),0),"激活价须高于买入价",IF(F173&lt;N173,"止损价不得低于初始止损",IF(F173&gt;E173,"止损价不得高于激活价",IF(AND(COUNTIFS($A$2:$A$497,"止损计划",$B$2:$B$497,B173,$D$2:$D$497,"&lt;"&amp;D173)&gt;0,OR(E173&lt;=SUMPRODUCT(MAX((($A$2:$A$497="止损计划")*($B$2:$B$497=B173)*($D$2:$D$497&lt;D173))*$E$2:$E$497)),F173&lt;SUMPRODUCT(MAX((($A$2:$A$497="止损计划")*($B$2:$B$497=B173)*($D$2:$D$497&lt;D173))*$F$2:$F$497)))),"阶段价格必须逐级提高","计划有效"))))))),IF(A173="每日跟踪",IF(OR(B173="",H173="",I173="",J173=""),"每日数据不完整",IF(COUNTIFS($A$2:$A$497,"每日跟踪",$B$2:$B$497,B173,$H$2:$H$497,H173)&gt;1,"同一交易日期重复",IF(AND(R173&lt;&gt;"",R173&lt;S173),"人工止损无效：不能下调","跟踪有效"))),"记录类型无效")))</f>
        <v/>
      </c>
    </row>
    <row r="174" ht="17" spans="1:29">
      <c r="A174" s="2"/>
      <c r="B174" s="2"/>
      <c r="C174" s="8" t="str">
        <f>IF(B174="","",IFERROR(LOOKUP(2,1/(单次交易!$A$2:$A$163=B174),单次交易!$B$2:$B$163),""))</f>
        <v/>
      </c>
      <c r="D174" s="12"/>
      <c r="E174" s="10"/>
      <c r="F174" s="10"/>
      <c r="G174" s="2"/>
      <c r="H174" s="15"/>
      <c r="I174" s="10"/>
      <c r="J174" s="12"/>
      <c r="K174" s="2"/>
      <c r="L174" s="2"/>
      <c r="M174" s="2"/>
      <c r="N174" s="5" t="str">
        <f>IF(B174="","",IFERROR(LOOKUP(2,1/(单次交易!$A$2:$A$163=B174),单次交易!$N$2:$N$163),""))</f>
        <v/>
      </c>
      <c r="O174" s="5" t="str">
        <f t="shared" si="18"/>
        <v/>
      </c>
      <c r="P174" s="11" t="str">
        <f t="shared" si="19"/>
        <v/>
      </c>
      <c r="Q174" s="5" t="str">
        <f t="shared" si="20"/>
        <v/>
      </c>
      <c r="R174" s="10"/>
      <c r="S174" s="5" t="str">
        <f t="shared" si="21"/>
        <v/>
      </c>
      <c r="T174" s="5" t="str">
        <f t="shared" si="22"/>
        <v/>
      </c>
      <c r="U174" s="5" t="str">
        <f t="shared" si="23"/>
        <v/>
      </c>
      <c r="V174" s="7" t="str">
        <f t="shared" si="24"/>
        <v/>
      </c>
      <c r="W174" s="8" t="str">
        <f t="shared" si="25"/>
        <v/>
      </c>
      <c r="X174" s="2"/>
      <c r="Y174" s="10"/>
      <c r="Z174" s="11" t="str">
        <f>IF(X174&lt;&gt;"执行卖出","",IFERROR(LOOKUP(2,1/(单次交易!$A$2:$A$163=B174),单次交易!$AP$2:$AP$163),""))</f>
        <v/>
      </c>
      <c r="AA174" s="10"/>
      <c r="AB174" s="8" t="str">
        <f t="shared" si="26"/>
        <v/>
      </c>
      <c r="AC174" s="8" t="str">
        <f>IF(A174="","",IF(A174="止损计划",IF(OR(B174="",D174="",E174="",F174="",G174=""),"计划不完整",IF(OR(D174&lt;1,D174&lt;&gt;INT(D174)),"阶段序号无效",IF(COUNTIFS($A$2:$A$497,"止损计划",$B$2:$B$497,B174,$D$2:$D$497,D174)&gt;1,"阶段序号重复",IF(E174&lt;=IFERROR(LOOKUP(2,1/(单次交易!$A$2:$A$163=B174),单次交易!$E$2:$E$163),0),"激活价须高于买入价",IF(F174&lt;N174,"止损价不得低于初始止损",IF(F174&gt;E174,"止损价不得高于激活价",IF(AND(COUNTIFS($A$2:$A$497,"止损计划",$B$2:$B$497,B174,$D$2:$D$497,"&lt;"&amp;D174)&gt;0,OR(E174&lt;=SUMPRODUCT(MAX((($A$2:$A$497="止损计划")*($B$2:$B$497=B174)*($D$2:$D$497&lt;D174))*$E$2:$E$497)),F174&lt;SUMPRODUCT(MAX((($A$2:$A$497="止损计划")*($B$2:$B$497=B174)*($D$2:$D$497&lt;D174))*$F$2:$F$497)))),"阶段价格必须逐级提高","计划有效"))))))),IF(A174="每日跟踪",IF(OR(B174="",H174="",I174="",J174=""),"每日数据不完整",IF(COUNTIFS($A$2:$A$497,"每日跟踪",$B$2:$B$497,B174,$H$2:$H$497,H174)&gt;1,"同一交易日期重复",IF(AND(R174&lt;&gt;"",R174&lt;S174),"人工止损无效：不能下调","跟踪有效"))),"记录类型无效")))</f>
        <v/>
      </c>
    </row>
    <row r="175" ht="17" spans="1:29">
      <c r="A175" s="2"/>
      <c r="B175" s="2"/>
      <c r="C175" s="8" t="str">
        <f>IF(B175="","",IFERROR(LOOKUP(2,1/(单次交易!$A$2:$A$163=B175),单次交易!$B$2:$B$163),""))</f>
        <v/>
      </c>
      <c r="D175" s="12"/>
      <c r="E175" s="10"/>
      <c r="F175" s="10"/>
      <c r="G175" s="2"/>
      <c r="H175" s="15"/>
      <c r="I175" s="10"/>
      <c r="J175" s="12"/>
      <c r="K175" s="2"/>
      <c r="L175" s="2"/>
      <c r="M175" s="2"/>
      <c r="N175" s="5" t="str">
        <f>IF(B175="","",IFERROR(LOOKUP(2,1/(单次交易!$A$2:$A$163=B175),单次交易!$N$2:$N$163),""))</f>
        <v/>
      </c>
      <c r="O175" s="5" t="str">
        <f t="shared" si="18"/>
        <v/>
      </c>
      <c r="P175" s="11" t="str">
        <f t="shared" si="19"/>
        <v/>
      </c>
      <c r="Q175" s="5" t="str">
        <f t="shared" si="20"/>
        <v/>
      </c>
      <c r="R175" s="10"/>
      <c r="S175" s="5" t="str">
        <f t="shared" si="21"/>
        <v/>
      </c>
      <c r="T175" s="5" t="str">
        <f t="shared" si="22"/>
        <v/>
      </c>
      <c r="U175" s="5" t="str">
        <f t="shared" si="23"/>
        <v/>
      </c>
      <c r="V175" s="7" t="str">
        <f t="shared" si="24"/>
        <v/>
      </c>
      <c r="W175" s="8" t="str">
        <f t="shared" si="25"/>
        <v/>
      </c>
      <c r="X175" s="2"/>
      <c r="Y175" s="10"/>
      <c r="Z175" s="11" t="str">
        <f>IF(X175&lt;&gt;"执行卖出","",IFERROR(LOOKUP(2,1/(单次交易!$A$2:$A$163=B175),单次交易!$AP$2:$AP$163),""))</f>
        <v/>
      </c>
      <c r="AA175" s="10"/>
      <c r="AB175" s="8" t="str">
        <f t="shared" si="26"/>
        <v/>
      </c>
      <c r="AC175" s="8" t="str">
        <f>IF(A175="","",IF(A175="止损计划",IF(OR(B175="",D175="",E175="",F175="",G175=""),"计划不完整",IF(OR(D175&lt;1,D175&lt;&gt;INT(D175)),"阶段序号无效",IF(COUNTIFS($A$2:$A$497,"止损计划",$B$2:$B$497,B175,$D$2:$D$497,D175)&gt;1,"阶段序号重复",IF(E175&lt;=IFERROR(LOOKUP(2,1/(单次交易!$A$2:$A$163=B175),单次交易!$E$2:$E$163),0),"激活价须高于买入价",IF(F175&lt;N175,"止损价不得低于初始止损",IF(F175&gt;E175,"止损价不得高于激活价",IF(AND(COUNTIFS($A$2:$A$497,"止损计划",$B$2:$B$497,B175,$D$2:$D$497,"&lt;"&amp;D175)&gt;0,OR(E175&lt;=SUMPRODUCT(MAX((($A$2:$A$497="止损计划")*($B$2:$B$497=B175)*($D$2:$D$497&lt;D175))*$E$2:$E$497)),F175&lt;SUMPRODUCT(MAX((($A$2:$A$497="止损计划")*($B$2:$B$497=B175)*($D$2:$D$497&lt;D175))*$F$2:$F$497)))),"阶段价格必须逐级提高","计划有效"))))))),IF(A175="每日跟踪",IF(OR(B175="",H175="",I175="",J175=""),"每日数据不完整",IF(COUNTIFS($A$2:$A$497,"每日跟踪",$B$2:$B$497,B175,$H$2:$H$497,H175)&gt;1,"同一交易日期重复",IF(AND(R175&lt;&gt;"",R175&lt;S175),"人工止损无效：不能下调","跟踪有效"))),"记录类型无效")))</f>
        <v/>
      </c>
    </row>
    <row r="176" ht="17" spans="1:29">
      <c r="A176" s="2"/>
      <c r="B176" s="2"/>
      <c r="C176" s="8" t="str">
        <f>IF(B176="","",IFERROR(LOOKUP(2,1/(单次交易!$A$2:$A$163=B176),单次交易!$B$2:$B$163),""))</f>
        <v/>
      </c>
      <c r="D176" s="12"/>
      <c r="E176" s="10"/>
      <c r="F176" s="10"/>
      <c r="G176" s="2"/>
      <c r="H176" s="15"/>
      <c r="I176" s="10"/>
      <c r="J176" s="12"/>
      <c r="K176" s="2"/>
      <c r="L176" s="2"/>
      <c r="M176" s="2"/>
      <c r="N176" s="5" t="str">
        <f>IF(B176="","",IFERROR(LOOKUP(2,1/(单次交易!$A$2:$A$163=B176),单次交易!$N$2:$N$163),""))</f>
        <v/>
      </c>
      <c r="O176" s="5" t="str">
        <f t="shared" si="18"/>
        <v/>
      </c>
      <c r="P176" s="11" t="str">
        <f t="shared" si="19"/>
        <v/>
      </c>
      <c r="Q176" s="5" t="str">
        <f t="shared" si="20"/>
        <v/>
      </c>
      <c r="R176" s="10"/>
      <c r="S176" s="5" t="str">
        <f t="shared" si="21"/>
        <v/>
      </c>
      <c r="T176" s="5" t="str">
        <f t="shared" si="22"/>
        <v/>
      </c>
      <c r="U176" s="5" t="str">
        <f t="shared" si="23"/>
        <v/>
      </c>
      <c r="V176" s="7" t="str">
        <f t="shared" si="24"/>
        <v/>
      </c>
      <c r="W176" s="8" t="str">
        <f t="shared" si="25"/>
        <v/>
      </c>
      <c r="X176" s="2"/>
      <c r="Y176" s="10"/>
      <c r="Z176" s="11" t="str">
        <f>IF(X176&lt;&gt;"执行卖出","",IFERROR(LOOKUP(2,1/(单次交易!$A$2:$A$163=B176),单次交易!$AP$2:$AP$163),""))</f>
        <v/>
      </c>
      <c r="AA176" s="10"/>
      <c r="AB176" s="8" t="str">
        <f t="shared" si="26"/>
        <v/>
      </c>
      <c r="AC176" s="8" t="str">
        <f>IF(A176="","",IF(A176="止损计划",IF(OR(B176="",D176="",E176="",F176="",G176=""),"计划不完整",IF(OR(D176&lt;1,D176&lt;&gt;INT(D176)),"阶段序号无效",IF(COUNTIFS($A$2:$A$497,"止损计划",$B$2:$B$497,B176,$D$2:$D$497,D176)&gt;1,"阶段序号重复",IF(E176&lt;=IFERROR(LOOKUP(2,1/(单次交易!$A$2:$A$163=B176),单次交易!$E$2:$E$163),0),"激活价须高于买入价",IF(F176&lt;N176,"止损价不得低于初始止损",IF(F176&gt;E176,"止损价不得高于激活价",IF(AND(COUNTIFS($A$2:$A$497,"止损计划",$B$2:$B$497,B176,$D$2:$D$497,"&lt;"&amp;D176)&gt;0,OR(E176&lt;=SUMPRODUCT(MAX((($A$2:$A$497="止损计划")*($B$2:$B$497=B176)*($D$2:$D$497&lt;D176))*$E$2:$E$497)),F176&lt;SUMPRODUCT(MAX((($A$2:$A$497="止损计划")*($B$2:$B$497=B176)*($D$2:$D$497&lt;D176))*$F$2:$F$497)))),"阶段价格必须逐级提高","计划有效"))))))),IF(A176="每日跟踪",IF(OR(B176="",H176="",I176="",J176=""),"每日数据不完整",IF(COUNTIFS($A$2:$A$497,"每日跟踪",$B$2:$B$497,B176,$H$2:$H$497,H176)&gt;1,"同一交易日期重复",IF(AND(R176&lt;&gt;"",R176&lt;S176),"人工止损无效：不能下调","跟踪有效"))),"记录类型无效")))</f>
        <v/>
      </c>
    </row>
    <row r="177" ht="17" spans="1:29">
      <c r="A177" s="2"/>
      <c r="B177" s="2"/>
      <c r="C177" s="8" t="str">
        <f>IF(B177="","",IFERROR(LOOKUP(2,1/(单次交易!$A$2:$A$163=B177),单次交易!$B$2:$B$163),""))</f>
        <v/>
      </c>
      <c r="D177" s="12"/>
      <c r="E177" s="10"/>
      <c r="F177" s="10"/>
      <c r="G177" s="2"/>
      <c r="H177" s="15"/>
      <c r="I177" s="10"/>
      <c r="J177" s="12"/>
      <c r="K177" s="2"/>
      <c r="L177" s="2"/>
      <c r="M177" s="2"/>
      <c r="N177" s="5" t="str">
        <f>IF(B177="","",IFERROR(LOOKUP(2,1/(单次交易!$A$2:$A$163=B177),单次交易!$N$2:$N$163),""))</f>
        <v/>
      </c>
      <c r="O177" s="5" t="str">
        <f t="shared" si="18"/>
        <v/>
      </c>
      <c r="P177" s="11" t="str">
        <f t="shared" si="19"/>
        <v/>
      </c>
      <c r="Q177" s="5" t="str">
        <f t="shared" si="20"/>
        <v/>
      </c>
      <c r="R177" s="10"/>
      <c r="S177" s="5" t="str">
        <f t="shared" si="21"/>
        <v/>
      </c>
      <c r="T177" s="5" t="str">
        <f t="shared" si="22"/>
        <v/>
      </c>
      <c r="U177" s="5" t="str">
        <f t="shared" si="23"/>
        <v/>
      </c>
      <c r="V177" s="7" t="str">
        <f t="shared" si="24"/>
        <v/>
      </c>
      <c r="W177" s="8" t="str">
        <f t="shared" si="25"/>
        <v/>
      </c>
      <c r="X177" s="2"/>
      <c r="Y177" s="10"/>
      <c r="Z177" s="11" t="str">
        <f>IF(X177&lt;&gt;"执行卖出","",IFERROR(LOOKUP(2,1/(单次交易!$A$2:$A$163=B177),单次交易!$AP$2:$AP$163),""))</f>
        <v/>
      </c>
      <c r="AA177" s="10"/>
      <c r="AB177" s="8" t="str">
        <f t="shared" si="26"/>
        <v/>
      </c>
      <c r="AC177" s="8" t="str">
        <f>IF(A177="","",IF(A177="止损计划",IF(OR(B177="",D177="",E177="",F177="",G177=""),"计划不完整",IF(OR(D177&lt;1,D177&lt;&gt;INT(D177)),"阶段序号无效",IF(COUNTIFS($A$2:$A$497,"止损计划",$B$2:$B$497,B177,$D$2:$D$497,D177)&gt;1,"阶段序号重复",IF(E177&lt;=IFERROR(LOOKUP(2,1/(单次交易!$A$2:$A$163=B177),单次交易!$E$2:$E$163),0),"激活价须高于买入价",IF(F177&lt;N177,"止损价不得低于初始止损",IF(F177&gt;E177,"止损价不得高于激活价",IF(AND(COUNTIFS($A$2:$A$497,"止损计划",$B$2:$B$497,B177,$D$2:$D$497,"&lt;"&amp;D177)&gt;0,OR(E177&lt;=SUMPRODUCT(MAX((($A$2:$A$497="止损计划")*($B$2:$B$497=B177)*($D$2:$D$497&lt;D177))*$E$2:$E$497)),F177&lt;SUMPRODUCT(MAX((($A$2:$A$497="止损计划")*($B$2:$B$497=B177)*($D$2:$D$497&lt;D177))*$F$2:$F$497)))),"阶段价格必须逐级提高","计划有效"))))))),IF(A177="每日跟踪",IF(OR(B177="",H177="",I177="",J177=""),"每日数据不完整",IF(COUNTIFS($A$2:$A$497,"每日跟踪",$B$2:$B$497,B177,$H$2:$H$497,H177)&gt;1,"同一交易日期重复",IF(AND(R177&lt;&gt;"",R177&lt;S177),"人工止损无效：不能下调","跟踪有效"))),"记录类型无效")))</f>
        <v/>
      </c>
    </row>
    <row r="178" ht="17" spans="1:29">
      <c r="A178" s="2"/>
      <c r="B178" s="2"/>
      <c r="C178" s="8" t="str">
        <f>IF(B178="","",IFERROR(LOOKUP(2,1/(单次交易!$A$2:$A$163=B178),单次交易!$B$2:$B$163),""))</f>
        <v/>
      </c>
      <c r="D178" s="12"/>
      <c r="E178" s="10"/>
      <c r="F178" s="10"/>
      <c r="G178" s="2"/>
      <c r="H178" s="15"/>
      <c r="I178" s="10"/>
      <c r="J178" s="12"/>
      <c r="K178" s="2"/>
      <c r="L178" s="2"/>
      <c r="M178" s="2"/>
      <c r="N178" s="5" t="str">
        <f>IF(B178="","",IFERROR(LOOKUP(2,1/(单次交易!$A$2:$A$163=B178),单次交易!$N$2:$N$163),""))</f>
        <v/>
      </c>
      <c r="O178" s="5" t="str">
        <f t="shared" si="18"/>
        <v/>
      </c>
      <c r="P178" s="11" t="str">
        <f t="shared" si="19"/>
        <v/>
      </c>
      <c r="Q178" s="5" t="str">
        <f t="shared" si="20"/>
        <v/>
      </c>
      <c r="R178" s="10"/>
      <c r="S178" s="5" t="str">
        <f t="shared" si="21"/>
        <v/>
      </c>
      <c r="T178" s="5" t="str">
        <f t="shared" si="22"/>
        <v/>
      </c>
      <c r="U178" s="5" t="str">
        <f t="shared" si="23"/>
        <v/>
      </c>
      <c r="V178" s="7" t="str">
        <f t="shared" si="24"/>
        <v/>
      </c>
      <c r="W178" s="8" t="str">
        <f t="shared" si="25"/>
        <v/>
      </c>
      <c r="X178" s="2"/>
      <c r="Y178" s="10"/>
      <c r="Z178" s="11" t="str">
        <f>IF(X178&lt;&gt;"执行卖出","",IFERROR(LOOKUP(2,1/(单次交易!$A$2:$A$163=B178),单次交易!$AP$2:$AP$163),""))</f>
        <v/>
      </c>
      <c r="AA178" s="10"/>
      <c r="AB178" s="8" t="str">
        <f t="shared" si="26"/>
        <v/>
      </c>
      <c r="AC178" s="8" t="str">
        <f>IF(A178="","",IF(A178="止损计划",IF(OR(B178="",D178="",E178="",F178="",G178=""),"计划不完整",IF(OR(D178&lt;1,D178&lt;&gt;INT(D178)),"阶段序号无效",IF(COUNTIFS($A$2:$A$497,"止损计划",$B$2:$B$497,B178,$D$2:$D$497,D178)&gt;1,"阶段序号重复",IF(E178&lt;=IFERROR(LOOKUP(2,1/(单次交易!$A$2:$A$163=B178),单次交易!$E$2:$E$163),0),"激活价须高于买入价",IF(F178&lt;N178,"止损价不得低于初始止损",IF(F178&gt;E178,"止损价不得高于激活价",IF(AND(COUNTIFS($A$2:$A$497,"止损计划",$B$2:$B$497,B178,$D$2:$D$497,"&lt;"&amp;D178)&gt;0,OR(E178&lt;=SUMPRODUCT(MAX((($A$2:$A$497="止损计划")*($B$2:$B$497=B178)*($D$2:$D$497&lt;D178))*$E$2:$E$497)),F178&lt;SUMPRODUCT(MAX((($A$2:$A$497="止损计划")*($B$2:$B$497=B178)*($D$2:$D$497&lt;D178))*$F$2:$F$497)))),"阶段价格必须逐级提高","计划有效"))))))),IF(A178="每日跟踪",IF(OR(B178="",H178="",I178="",J178=""),"每日数据不完整",IF(COUNTIFS($A$2:$A$497,"每日跟踪",$B$2:$B$497,B178,$H$2:$H$497,H178)&gt;1,"同一交易日期重复",IF(AND(R178&lt;&gt;"",R178&lt;S178),"人工止损无效：不能下调","跟踪有效"))),"记录类型无效")))</f>
        <v/>
      </c>
    </row>
    <row r="179" ht="17" spans="1:29">
      <c r="A179" s="2"/>
      <c r="B179" s="2"/>
      <c r="C179" s="8" t="str">
        <f>IF(B179="","",IFERROR(LOOKUP(2,1/(单次交易!$A$2:$A$163=B179),单次交易!$B$2:$B$163),""))</f>
        <v/>
      </c>
      <c r="D179" s="12"/>
      <c r="E179" s="10"/>
      <c r="F179" s="10"/>
      <c r="G179" s="2"/>
      <c r="H179" s="15"/>
      <c r="I179" s="10"/>
      <c r="J179" s="12"/>
      <c r="K179" s="2"/>
      <c r="L179" s="2"/>
      <c r="M179" s="2"/>
      <c r="N179" s="5" t="str">
        <f>IF(B179="","",IFERROR(LOOKUP(2,1/(单次交易!$A$2:$A$163=B179),单次交易!$N$2:$N$163),""))</f>
        <v/>
      </c>
      <c r="O179" s="5" t="str">
        <f t="shared" si="18"/>
        <v/>
      </c>
      <c r="P179" s="11" t="str">
        <f t="shared" si="19"/>
        <v/>
      </c>
      <c r="Q179" s="5" t="str">
        <f t="shared" si="20"/>
        <v/>
      </c>
      <c r="R179" s="10"/>
      <c r="S179" s="5" t="str">
        <f t="shared" si="21"/>
        <v/>
      </c>
      <c r="T179" s="5" t="str">
        <f t="shared" si="22"/>
        <v/>
      </c>
      <c r="U179" s="5" t="str">
        <f t="shared" si="23"/>
        <v/>
      </c>
      <c r="V179" s="7" t="str">
        <f t="shared" si="24"/>
        <v/>
      </c>
      <c r="W179" s="8" t="str">
        <f t="shared" si="25"/>
        <v/>
      </c>
      <c r="X179" s="2"/>
      <c r="Y179" s="10"/>
      <c r="Z179" s="11" t="str">
        <f>IF(X179&lt;&gt;"执行卖出","",IFERROR(LOOKUP(2,1/(单次交易!$A$2:$A$163=B179),单次交易!$AP$2:$AP$163),""))</f>
        <v/>
      </c>
      <c r="AA179" s="10"/>
      <c r="AB179" s="8" t="str">
        <f t="shared" si="26"/>
        <v/>
      </c>
      <c r="AC179" s="8" t="str">
        <f>IF(A179="","",IF(A179="止损计划",IF(OR(B179="",D179="",E179="",F179="",G179=""),"计划不完整",IF(OR(D179&lt;1,D179&lt;&gt;INT(D179)),"阶段序号无效",IF(COUNTIFS($A$2:$A$497,"止损计划",$B$2:$B$497,B179,$D$2:$D$497,D179)&gt;1,"阶段序号重复",IF(E179&lt;=IFERROR(LOOKUP(2,1/(单次交易!$A$2:$A$163=B179),单次交易!$E$2:$E$163),0),"激活价须高于买入价",IF(F179&lt;N179,"止损价不得低于初始止损",IF(F179&gt;E179,"止损价不得高于激活价",IF(AND(COUNTIFS($A$2:$A$497,"止损计划",$B$2:$B$497,B179,$D$2:$D$497,"&lt;"&amp;D179)&gt;0,OR(E179&lt;=SUMPRODUCT(MAX((($A$2:$A$497="止损计划")*($B$2:$B$497=B179)*($D$2:$D$497&lt;D179))*$E$2:$E$497)),F179&lt;SUMPRODUCT(MAX((($A$2:$A$497="止损计划")*($B$2:$B$497=B179)*($D$2:$D$497&lt;D179))*$F$2:$F$497)))),"阶段价格必须逐级提高","计划有效"))))))),IF(A179="每日跟踪",IF(OR(B179="",H179="",I179="",J179=""),"每日数据不完整",IF(COUNTIFS($A$2:$A$497,"每日跟踪",$B$2:$B$497,B179,$H$2:$H$497,H179)&gt;1,"同一交易日期重复",IF(AND(R179&lt;&gt;"",R179&lt;S179),"人工止损无效：不能下调","跟踪有效"))),"记录类型无效")))</f>
        <v/>
      </c>
    </row>
    <row r="180" ht="17" spans="1:29">
      <c r="A180" s="2"/>
      <c r="B180" s="2"/>
      <c r="C180" s="8" t="str">
        <f>IF(B180="","",IFERROR(LOOKUP(2,1/(单次交易!$A$2:$A$163=B180),单次交易!$B$2:$B$163),""))</f>
        <v/>
      </c>
      <c r="D180" s="12"/>
      <c r="E180" s="10"/>
      <c r="F180" s="10"/>
      <c r="G180" s="2"/>
      <c r="H180" s="15"/>
      <c r="I180" s="10"/>
      <c r="J180" s="12"/>
      <c r="K180" s="2"/>
      <c r="L180" s="2"/>
      <c r="M180" s="2"/>
      <c r="N180" s="5" t="str">
        <f>IF(B180="","",IFERROR(LOOKUP(2,1/(单次交易!$A$2:$A$163=B180),单次交易!$N$2:$N$163),""))</f>
        <v/>
      </c>
      <c r="O180" s="5" t="str">
        <f t="shared" si="18"/>
        <v/>
      </c>
      <c r="P180" s="11" t="str">
        <f t="shared" si="19"/>
        <v/>
      </c>
      <c r="Q180" s="5" t="str">
        <f t="shared" si="20"/>
        <v/>
      </c>
      <c r="R180" s="10"/>
      <c r="S180" s="5" t="str">
        <f t="shared" si="21"/>
        <v/>
      </c>
      <c r="T180" s="5" t="str">
        <f t="shared" si="22"/>
        <v/>
      </c>
      <c r="U180" s="5" t="str">
        <f t="shared" si="23"/>
        <v/>
      </c>
      <c r="V180" s="7" t="str">
        <f t="shared" si="24"/>
        <v/>
      </c>
      <c r="W180" s="8" t="str">
        <f t="shared" si="25"/>
        <v/>
      </c>
      <c r="X180" s="2"/>
      <c r="Y180" s="10"/>
      <c r="Z180" s="11" t="str">
        <f>IF(X180&lt;&gt;"执行卖出","",IFERROR(LOOKUP(2,1/(单次交易!$A$2:$A$163=B180),单次交易!$AP$2:$AP$163),""))</f>
        <v/>
      </c>
      <c r="AA180" s="10"/>
      <c r="AB180" s="8" t="str">
        <f t="shared" si="26"/>
        <v/>
      </c>
      <c r="AC180" s="8" t="str">
        <f>IF(A180="","",IF(A180="止损计划",IF(OR(B180="",D180="",E180="",F180="",G180=""),"计划不完整",IF(OR(D180&lt;1,D180&lt;&gt;INT(D180)),"阶段序号无效",IF(COUNTIFS($A$2:$A$497,"止损计划",$B$2:$B$497,B180,$D$2:$D$497,D180)&gt;1,"阶段序号重复",IF(E180&lt;=IFERROR(LOOKUP(2,1/(单次交易!$A$2:$A$163=B180),单次交易!$E$2:$E$163),0),"激活价须高于买入价",IF(F180&lt;N180,"止损价不得低于初始止损",IF(F180&gt;E180,"止损价不得高于激活价",IF(AND(COUNTIFS($A$2:$A$497,"止损计划",$B$2:$B$497,B180,$D$2:$D$497,"&lt;"&amp;D180)&gt;0,OR(E180&lt;=SUMPRODUCT(MAX((($A$2:$A$497="止损计划")*($B$2:$B$497=B180)*($D$2:$D$497&lt;D180))*$E$2:$E$497)),F180&lt;SUMPRODUCT(MAX((($A$2:$A$497="止损计划")*($B$2:$B$497=B180)*($D$2:$D$497&lt;D180))*$F$2:$F$497)))),"阶段价格必须逐级提高","计划有效"))))))),IF(A180="每日跟踪",IF(OR(B180="",H180="",I180="",J180=""),"每日数据不完整",IF(COUNTIFS($A$2:$A$497,"每日跟踪",$B$2:$B$497,B180,$H$2:$H$497,H180)&gt;1,"同一交易日期重复",IF(AND(R180&lt;&gt;"",R180&lt;S180),"人工止损无效：不能下调","跟踪有效"))),"记录类型无效")))</f>
        <v/>
      </c>
    </row>
    <row r="181" ht="17" spans="1:29">
      <c r="A181" s="2"/>
      <c r="B181" s="2"/>
      <c r="C181" s="8" t="str">
        <f>IF(B181="","",IFERROR(LOOKUP(2,1/(单次交易!$A$2:$A$163=B181),单次交易!$B$2:$B$163),""))</f>
        <v/>
      </c>
      <c r="D181" s="12"/>
      <c r="E181" s="10"/>
      <c r="F181" s="10"/>
      <c r="G181" s="2"/>
      <c r="H181" s="15"/>
      <c r="I181" s="10"/>
      <c r="J181" s="12"/>
      <c r="K181" s="2"/>
      <c r="L181" s="2"/>
      <c r="M181" s="2"/>
      <c r="N181" s="5" t="str">
        <f>IF(B181="","",IFERROR(LOOKUP(2,1/(单次交易!$A$2:$A$163=B181),单次交易!$N$2:$N$163),""))</f>
        <v/>
      </c>
      <c r="O181" s="5" t="str">
        <f t="shared" si="18"/>
        <v/>
      </c>
      <c r="P181" s="11" t="str">
        <f t="shared" si="19"/>
        <v/>
      </c>
      <c r="Q181" s="5" t="str">
        <f t="shared" si="20"/>
        <v/>
      </c>
      <c r="R181" s="10"/>
      <c r="S181" s="5" t="str">
        <f t="shared" si="21"/>
        <v/>
      </c>
      <c r="T181" s="5" t="str">
        <f t="shared" si="22"/>
        <v/>
      </c>
      <c r="U181" s="5" t="str">
        <f t="shared" si="23"/>
        <v/>
      </c>
      <c r="V181" s="7" t="str">
        <f t="shared" si="24"/>
        <v/>
      </c>
      <c r="W181" s="8" t="str">
        <f t="shared" si="25"/>
        <v/>
      </c>
      <c r="X181" s="2"/>
      <c r="Y181" s="10"/>
      <c r="Z181" s="11" t="str">
        <f>IF(X181&lt;&gt;"执行卖出","",IFERROR(LOOKUP(2,1/(单次交易!$A$2:$A$163=B181),单次交易!$AP$2:$AP$163),""))</f>
        <v/>
      </c>
      <c r="AA181" s="10"/>
      <c r="AB181" s="8" t="str">
        <f t="shared" si="26"/>
        <v/>
      </c>
      <c r="AC181" s="8" t="str">
        <f>IF(A181="","",IF(A181="止损计划",IF(OR(B181="",D181="",E181="",F181="",G181=""),"计划不完整",IF(OR(D181&lt;1,D181&lt;&gt;INT(D181)),"阶段序号无效",IF(COUNTIFS($A$2:$A$497,"止损计划",$B$2:$B$497,B181,$D$2:$D$497,D181)&gt;1,"阶段序号重复",IF(E181&lt;=IFERROR(LOOKUP(2,1/(单次交易!$A$2:$A$163=B181),单次交易!$E$2:$E$163),0),"激活价须高于买入价",IF(F181&lt;N181,"止损价不得低于初始止损",IF(F181&gt;E181,"止损价不得高于激活价",IF(AND(COUNTIFS($A$2:$A$497,"止损计划",$B$2:$B$497,B181,$D$2:$D$497,"&lt;"&amp;D181)&gt;0,OR(E181&lt;=SUMPRODUCT(MAX((($A$2:$A$497="止损计划")*($B$2:$B$497=B181)*($D$2:$D$497&lt;D181))*$E$2:$E$497)),F181&lt;SUMPRODUCT(MAX((($A$2:$A$497="止损计划")*($B$2:$B$497=B181)*($D$2:$D$497&lt;D181))*$F$2:$F$497)))),"阶段价格必须逐级提高","计划有效"))))))),IF(A181="每日跟踪",IF(OR(B181="",H181="",I181="",J181=""),"每日数据不完整",IF(COUNTIFS($A$2:$A$497,"每日跟踪",$B$2:$B$497,B181,$H$2:$H$497,H181)&gt;1,"同一交易日期重复",IF(AND(R181&lt;&gt;"",R181&lt;S181),"人工止损无效：不能下调","跟踪有效"))),"记录类型无效")))</f>
        <v/>
      </c>
    </row>
    <row r="182" ht="17" spans="1:29">
      <c r="A182" s="2"/>
      <c r="B182" s="2"/>
      <c r="C182" s="8" t="str">
        <f>IF(B182="","",IFERROR(LOOKUP(2,1/(单次交易!$A$2:$A$163=B182),单次交易!$B$2:$B$163),""))</f>
        <v/>
      </c>
      <c r="D182" s="12"/>
      <c r="E182" s="10"/>
      <c r="F182" s="10"/>
      <c r="G182" s="2"/>
      <c r="H182" s="15"/>
      <c r="I182" s="10"/>
      <c r="J182" s="12"/>
      <c r="K182" s="2"/>
      <c r="L182" s="2"/>
      <c r="M182" s="2"/>
      <c r="N182" s="5" t="str">
        <f>IF(B182="","",IFERROR(LOOKUP(2,1/(单次交易!$A$2:$A$163=B182),单次交易!$N$2:$N$163),""))</f>
        <v/>
      </c>
      <c r="O182" s="5" t="str">
        <f t="shared" si="18"/>
        <v/>
      </c>
      <c r="P182" s="11" t="str">
        <f t="shared" si="19"/>
        <v/>
      </c>
      <c r="Q182" s="5" t="str">
        <f t="shared" si="20"/>
        <v/>
      </c>
      <c r="R182" s="10"/>
      <c r="S182" s="5" t="str">
        <f t="shared" si="21"/>
        <v/>
      </c>
      <c r="T182" s="5" t="str">
        <f t="shared" si="22"/>
        <v/>
      </c>
      <c r="U182" s="5" t="str">
        <f t="shared" si="23"/>
        <v/>
      </c>
      <c r="V182" s="7" t="str">
        <f t="shared" si="24"/>
        <v/>
      </c>
      <c r="W182" s="8" t="str">
        <f t="shared" si="25"/>
        <v/>
      </c>
      <c r="X182" s="2"/>
      <c r="Y182" s="10"/>
      <c r="Z182" s="11" t="str">
        <f>IF(X182&lt;&gt;"执行卖出","",IFERROR(LOOKUP(2,1/(单次交易!$A$2:$A$163=B182),单次交易!$AP$2:$AP$163),""))</f>
        <v/>
      </c>
      <c r="AA182" s="10"/>
      <c r="AB182" s="8" t="str">
        <f t="shared" si="26"/>
        <v/>
      </c>
      <c r="AC182" s="8" t="str">
        <f>IF(A182="","",IF(A182="止损计划",IF(OR(B182="",D182="",E182="",F182="",G182=""),"计划不完整",IF(OR(D182&lt;1,D182&lt;&gt;INT(D182)),"阶段序号无效",IF(COUNTIFS($A$2:$A$497,"止损计划",$B$2:$B$497,B182,$D$2:$D$497,D182)&gt;1,"阶段序号重复",IF(E182&lt;=IFERROR(LOOKUP(2,1/(单次交易!$A$2:$A$163=B182),单次交易!$E$2:$E$163),0),"激活价须高于买入价",IF(F182&lt;N182,"止损价不得低于初始止损",IF(F182&gt;E182,"止损价不得高于激活价",IF(AND(COUNTIFS($A$2:$A$497,"止损计划",$B$2:$B$497,B182,$D$2:$D$497,"&lt;"&amp;D182)&gt;0,OR(E182&lt;=SUMPRODUCT(MAX((($A$2:$A$497="止损计划")*($B$2:$B$497=B182)*($D$2:$D$497&lt;D182))*$E$2:$E$497)),F182&lt;SUMPRODUCT(MAX((($A$2:$A$497="止损计划")*($B$2:$B$497=B182)*($D$2:$D$497&lt;D182))*$F$2:$F$497)))),"阶段价格必须逐级提高","计划有效"))))))),IF(A182="每日跟踪",IF(OR(B182="",H182="",I182="",J182=""),"每日数据不完整",IF(COUNTIFS($A$2:$A$497,"每日跟踪",$B$2:$B$497,B182,$H$2:$H$497,H182)&gt;1,"同一交易日期重复",IF(AND(R182&lt;&gt;"",R182&lt;S182),"人工止损无效：不能下调","跟踪有效"))),"记录类型无效")))</f>
        <v/>
      </c>
    </row>
    <row r="183" ht="17" spans="1:29">
      <c r="A183" s="2"/>
      <c r="B183" s="2"/>
      <c r="C183" s="8" t="str">
        <f>IF(B183="","",IFERROR(LOOKUP(2,1/(单次交易!$A$2:$A$163=B183),单次交易!$B$2:$B$163),""))</f>
        <v/>
      </c>
      <c r="D183" s="12"/>
      <c r="E183" s="10"/>
      <c r="F183" s="10"/>
      <c r="G183" s="2"/>
      <c r="H183" s="15"/>
      <c r="I183" s="10"/>
      <c r="J183" s="12"/>
      <c r="K183" s="2"/>
      <c r="L183" s="2"/>
      <c r="M183" s="2"/>
      <c r="N183" s="5" t="str">
        <f>IF(B183="","",IFERROR(LOOKUP(2,1/(单次交易!$A$2:$A$163=B183),单次交易!$N$2:$N$163),""))</f>
        <v/>
      </c>
      <c r="O183" s="5" t="str">
        <f t="shared" si="18"/>
        <v/>
      </c>
      <c r="P183" s="11" t="str">
        <f t="shared" si="19"/>
        <v/>
      </c>
      <c r="Q183" s="5" t="str">
        <f t="shared" si="20"/>
        <v/>
      </c>
      <c r="R183" s="10"/>
      <c r="S183" s="5" t="str">
        <f t="shared" si="21"/>
        <v/>
      </c>
      <c r="T183" s="5" t="str">
        <f t="shared" si="22"/>
        <v/>
      </c>
      <c r="U183" s="5" t="str">
        <f t="shared" si="23"/>
        <v/>
      </c>
      <c r="V183" s="7" t="str">
        <f t="shared" si="24"/>
        <v/>
      </c>
      <c r="W183" s="8" t="str">
        <f t="shared" si="25"/>
        <v/>
      </c>
      <c r="X183" s="2"/>
      <c r="Y183" s="10"/>
      <c r="Z183" s="11" t="str">
        <f>IF(X183&lt;&gt;"执行卖出","",IFERROR(LOOKUP(2,1/(单次交易!$A$2:$A$163=B183),单次交易!$AP$2:$AP$163),""))</f>
        <v/>
      </c>
      <c r="AA183" s="10"/>
      <c r="AB183" s="8" t="str">
        <f t="shared" si="26"/>
        <v/>
      </c>
      <c r="AC183" s="8" t="str">
        <f>IF(A183="","",IF(A183="止损计划",IF(OR(B183="",D183="",E183="",F183="",G183=""),"计划不完整",IF(OR(D183&lt;1,D183&lt;&gt;INT(D183)),"阶段序号无效",IF(COUNTIFS($A$2:$A$497,"止损计划",$B$2:$B$497,B183,$D$2:$D$497,D183)&gt;1,"阶段序号重复",IF(E183&lt;=IFERROR(LOOKUP(2,1/(单次交易!$A$2:$A$163=B183),单次交易!$E$2:$E$163),0),"激活价须高于买入价",IF(F183&lt;N183,"止损价不得低于初始止损",IF(F183&gt;E183,"止损价不得高于激活价",IF(AND(COUNTIFS($A$2:$A$497,"止损计划",$B$2:$B$497,B183,$D$2:$D$497,"&lt;"&amp;D183)&gt;0,OR(E183&lt;=SUMPRODUCT(MAX((($A$2:$A$497="止损计划")*($B$2:$B$497=B183)*($D$2:$D$497&lt;D183))*$E$2:$E$497)),F183&lt;SUMPRODUCT(MAX((($A$2:$A$497="止损计划")*($B$2:$B$497=B183)*($D$2:$D$497&lt;D183))*$F$2:$F$497)))),"阶段价格必须逐级提高","计划有效"))))))),IF(A183="每日跟踪",IF(OR(B183="",H183="",I183="",J183=""),"每日数据不完整",IF(COUNTIFS($A$2:$A$497,"每日跟踪",$B$2:$B$497,B183,$H$2:$H$497,H183)&gt;1,"同一交易日期重复",IF(AND(R183&lt;&gt;"",R183&lt;S183),"人工止损无效：不能下调","跟踪有效"))),"记录类型无效")))</f>
        <v/>
      </c>
    </row>
    <row r="184" ht="17" spans="1:29">
      <c r="A184" s="2"/>
      <c r="B184" s="2"/>
      <c r="C184" s="8" t="str">
        <f>IF(B184="","",IFERROR(LOOKUP(2,1/(单次交易!$A$2:$A$163=B184),单次交易!$B$2:$B$163),""))</f>
        <v/>
      </c>
      <c r="D184" s="12"/>
      <c r="E184" s="10"/>
      <c r="F184" s="10"/>
      <c r="G184" s="2"/>
      <c r="H184" s="15"/>
      <c r="I184" s="10"/>
      <c r="J184" s="12"/>
      <c r="K184" s="2"/>
      <c r="L184" s="2"/>
      <c r="M184" s="2"/>
      <c r="N184" s="5" t="str">
        <f>IF(B184="","",IFERROR(LOOKUP(2,1/(单次交易!$A$2:$A$163=B184),单次交易!$N$2:$N$163),""))</f>
        <v/>
      </c>
      <c r="O184" s="5" t="str">
        <f t="shared" si="18"/>
        <v/>
      </c>
      <c r="P184" s="11" t="str">
        <f t="shared" si="19"/>
        <v/>
      </c>
      <c r="Q184" s="5" t="str">
        <f t="shared" si="20"/>
        <v/>
      </c>
      <c r="R184" s="10"/>
      <c r="S184" s="5" t="str">
        <f t="shared" si="21"/>
        <v/>
      </c>
      <c r="T184" s="5" t="str">
        <f t="shared" si="22"/>
        <v/>
      </c>
      <c r="U184" s="5" t="str">
        <f t="shared" si="23"/>
        <v/>
      </c>
      <c r="V184" s="7" t="str">
        <f t="shared" si="24"/>
        <v/>
      </c>
      <c r="W184" s="8" t="str">
        <f t="shared" si="25"/>
        <v/>
      </c>
      <c r="X184" s="2"/>
      <c r="Y184" s="10"/>
      <c r="Z184" s="11" t="str">
        <f>IF(X184&lt;&gt;"执行卖出","",IFERROR(LOOKUP(2,1/(单次交易!$A$2:$A$163=B184),单次交易!$AP$2:$AP$163),""))</f>
        <v/>
      </c>
      <c r="AA184" s="10"/>
      <c r="AB184" s="8" t="str">
        <f t="shared" si="26"/>
        <v/>
      </c>
      <c r="AC184" s="8" t="str">
        <f>IF(A184="","",IF(A184="止损计划",IF(OR(B184="",D184="",E184="",F184="",G184=""),"计划不完整",IF(OR(D184&lt;1,D184&lt;&gt;INT(D184)),"阶段序号无效",IF(COUNTIFS($A$2:$A$497,"止损计划",$B$2:$B$497,B184,$D$2:$D$497,D184)&gt;1,"阶段序号重复",IF(E184&lt;=IFERROR(LOOKUP(2,1/(单次交易!$A$2:$A$163=B184),单次交易!$E$2:$E$163),0),"激活价须高于买入价",IF(F184&lt;N184,"止损价不得低于初始止损",IF(F184&gt;E184,"止损价不得高于激活价",IF(AND(COUNTIFS($A$2:$A$497,"止损计划",$B$2:$B$497,B184,$D$2:$D$497,"&lt;"&amp;D184)&gt;0,OR(E184&lt;=SUMPRODUCT(MAX((($A$2:$A$497="止损计划")*($B$2:$B$497=B184)*($D$2:$D$497&lt;D184))*$E$2:$E$497)),F184&lt;SUMPRODUCT(MAX((($A$2:$A$497="止损计划")*($B$2:$B$497=B184)*($D$2:$D$497&lt;D184))*$F$2:$F$497)))),"阶段价格必须逐级提高","计划有效"))))))),IF(A184="每日跟踪",IF(OR(B184="",H184="",I184="",J184=""),"每日数据不完整",IF(COUNTIFS($A$2:$A$497,"每日跟踪",$B$2:$B$497,B184,$H$2:$H$497,H184)&gt;1,"同一交易日期重复",IF(AND(R184&lt;&gt;"",R184&lt;S184),"人工止损无效：不能下调","跟踪有效"))),"记录类型无效")))</f>
        <v/>
      </c>
    </row>
    <row r="185" ht="17" spans="1:29">
      <c r="A185" s="2"/>
      <c r="B185" s="2"/>
      <c r="C185" s="8" t="str">
        <f>IF(B185="","",IFERROR(LOOKUP(2,1/(单次交易!$A$2:$A$163=B185),单次交易!$B$2:$B$163),""))</f>
        <v/>
      </c>
      <c r="D185" s="12"/>
      <c r="E185" s="10"/>
      <c r="F185" s="10"/>
      <c r="G185" s="2"/>
      <c r="H185" s="15"/>
      <c r="I185" s="10"/>
      <c r="J185" s="12"/>
      <c r="K185" s="2"/>
      <c r="L185" s="2"/>
      <c r="M185" s="2"/>
      <c r="N185" s="5" t="str">
        <f>IF(B185="","",IFERROR(LOOKUP(2,1/(单次交易!$A$2:$A$163=B185),单次交易!$N$2:$N$163),""))</f>
        <v/>
      </c>
      <c r="O185" s="5" t="str">
        <f t="shared" si="18"/>
        <v/>
      </c>
      <c r="P185" s="11" t="str">
        <f t="shared" si="19"/>
        <v/>
      </c>
      <c r="Q185" s="5" t="str">
        <f t="shared" si="20"/>
        <v/>
      </c>
      <c r="R185" s="10"/>
      <c r="S185" s="5" t="str">
        <f t="shared" si="21"/>
        <v/>
      </c>
      <c r="T185" s="5" t="str">
        <f t="shared" si="22"/>
        <v/>
      </c>
      <c r="U185" s="5" t="str">
        <f t="shared" si="23"/>
        <v/>
      </c>
      <c r="V185" s="7" t="str">
        <f t="shared" si="24"/>
        <v/>
      </c>
      <c r="W185" s="8" t="str">
        <f t="shared" si="25"/>
        <v/>
      </c>
      <c r="X185" s="2"/>
      <c r="Y185" s="10"/>
      <c r="Z185" s="11" t="str">
        <f>IF(X185&lt;&gt;"执行卖出","",IFERROR(LOOKUP(2,1/(单次交易!$A$2:$A$163=B185),单次交易!$AP$2:$AP$163),""))</f>
        <v/>
      </c>
      <c r="AA185" s="10"/>
      <c r="AB185" s="8" t="str">
        <f t="shared" si="26"/>
        <v/>
      </c>
      <c r="AC185" s="8" t="str">
        <f>IF(A185="","",IF(A185="止损计划",IF(OR(B185="",D185="",E185="",F185="",G185=""),"计划不完整",IF(OR(D185&lt;1,D185&lt;&gt;INT(D185)),"阶段序号无效",IF(COUNTIFS($A$2:$A$497,"止损计划",$B$2:$B$497,B185,$D$2:$D$497,D185)&gt;1,"阶段序号重复",IF(E185&lt;=IFERROR(LOOKUP(2,1/(单次交易!$A$2:$A$163=B185),单次交易!$E$2:$E$163),0),"激活价须高于买入价",IF(F185&lt;N185,"止损价不得低于初始止损",IF(F185&gt;E185,"止损价不得高于激活价",IF(AND(COUNTIFS($A$2:$A$497,"止损计划",$B$2:$B$497,B185,$D$2:$D$497,"&lt;"&amp;D185)&gt;0,OR(E185&lt;=SUMPRODUCT(MAX((($A$2:$A$497="止损计划")*($B$2:$B$497=B185)*($D$2:$D$497&lt;D185))*$E$2:$E$497)),F185&lt;SUMPRODUCT(MAX((($A$2:$A$497="止损计划")*($B$2:$B$497=B185)*($D$2:$D$497&lt;D185))*$F$2:$F$497)))),"阶段价格必须逐级提高","计划有效"))))))),IF(A185="每日跟踪",IF(OR(B185="",H185="",I185="",J185=""),"每日数据不完整",IF(COUNTIFS($A$2:$A$497,"每日跟踪",$B$2:$B$497,B185,$H$2:$H$497,H185)&gt;1,"同一交易日期重复",IF(AND(R185&lt;&gt;"",R185&lt;S185),"人工止损无效：不能下调","跟踪有效"))),"记录类型无效")))</f>
        <v/>
      </c>
    </row>
    <row r="186" ht="17" spans="1:29">
      <c r="A186" s="2"/>
      <c r="B186" s="2"/>
      <c r="C186" s="8" t="str">
        <f>IF(B186="","",IFERROR(LOOKUP(2,1/(单次交易!$A$2:$A$163=B186),单次交易!$B$2:$B$163),""))</f>
        <v/>
      </c>
      <c r="D186" s="12"/>
      <c r="E186" s="10"/>
      <c r="F186" s="10"/>
      <c r="G186" s="2"/>
      <c r="H186" s="15"/>
      <c r="I186" s="10"/>
      <c r="J186" s="12"/>
      <c r="K186" s="2"/>
      <c r="L186" s="2"/>
      <c r="M186" s="2"/>
      <c r="N186" s="5" t="str">
        <f>IF(B186="","",IFERROR(LOOKUP(2,1/(单次交易!$A$2:$A$163=B186),单次交易!$N$2:$N$163),""))</f>
        <v/>
      </c>
      <c r="O186" s="5" t="str">
        <f t="shared" si="18"/>
        <v/>
      </c>
      <c r="P186" s="11" t="str">
        <f t="shared" si="19"/>
        <v/>
      </c>
      <c r="Q186" s="5" t="str">
        <f t="shared" si="20"/>
        <v/>
      </c>
      <c r="R186" s="10"/>
      <c r="S186" s="5" t="str">
        <f t="shared" si="21"/>
        <v/>
      </c>
      <c r="T186" s="5" t="str">
        <f t="shared" si="22"/>
        <v/>
      </c>
      <c r="U186" s="5" t="str">
        <f t="shared" si="23"/>
        <v/>
      </c>
      <c r="V186" s="7" t="str">
        <f t="shared" si="24"/>
        <v/>
      </c>
      <c r="W186" s="8" t="str">
        <f t="shared" si="25"/>
        <v/>
      </c>
      <c r="X186" s="2"/>
      <c r="Y186" s="10"/>
      <c r="Z186" s="11" t="str">
        <f>IF(X186&lt;&gt;"执行卖出","",IFERROR(LOOKUP(2,1/(单次交易!$A$2:$A$163=B186),单次交易!$AP$2:$AP$163),""))</f>
        <v/>
      </c>
      <c r="AA186" s="10"/>
      <c r="AB186" s="8" t="str">
        <f t="shared" si="26"/>
        <v/>
      </c>
      <c r="AC186" s="8" t="str">
        <f>IF(A186="","",IF(A186="止损计划",IF(OR(B186="",D186="",E186="",F186="",G186=""),"计划不完整",IF(OR(D186&lt;1,D186&lt;&gt;INT(D186)),"阶段序号无效",IF(COUNTIFS($A$2:$A$497,"止损计划",$B$2:$B$497,B186,$D$2:$D$497,D186)&gt;1,"阶段序号重复",IF(E186&lt;=IFERROR(LOOKUP(2,1/(单次交易!$A$2:$A$163=B186),单次交易!$E$2:$E$163),0),"激活价须高于买入价",IF(F186&lt;N186,"止损价不得低于初始止损",IF(F186&gt;E186,"止损价不得高于激活价",IF(AND(COUNTIFS($A$2:$A$497,"止损计划",$B$2:$B$497,B186,$D$2:$D$497,"&lt;"&amp;D186)&gt;0,OR(E186&lt;=SUMPRODUCT(MAX((($A$2:$A$497="止损计划")*($B$2:$B$497=B186)*($D$2:$D$497&lt;D186))*$E$2:$E$497)),F186&lt;SUMPRODUCT(MAX((($A$2:$A$497="止损计划")*($B$2:$B$497=B186)*($D$2:$D$497&lt;D186))*$F$2:$F$497)))),"阶段价格必须逐级提高","计划有效"))))))),IF(A186="每日跟踪",IF(OR(B186="",H186="",I186="",J186=""),"每日数据不完整",IF(COUNTIFS($A$2:$A$497,"每日跟踪",$B$2:$B$497,B186,$H$2:$H$497,H186)&gt;1,"同一交易日期重复",IF(AND(R186&lt;&gt;"",R186&lt;S186),"人工止损无效：不能下调","跟踪有效"))),"记录类型无效")))</f>
        <v/>
      </c>
    </row>
    <row r="187" ht="17" spans="1:29">
      <c r="A187" s="2"/>
      <c r="B187" s="2"/>
      <c r="C187" s="8" t="str">
        <f>IF(B187="","",IFERROR(LOOKUP(2,1/(单次交易!$A$2:$A$163=B187),单次交易!$B$2:$B$163),""))</f>
        <v/>
      </c>
      <c r="D187" s="12"/>
      <c r="E187" s="10"/>
      <c r="F187" s="10"/>
      <c r="G187" s="2"/>
      <c r="H187" s="15"/>
      <c r="I187" s="10"/>
      <c r="J187" s="12"/>
      <c r="K187" s="2"/>
      <c r="L187" s="2"/>
      <c r="M187" s="2"/>
      <c r="N187" s="5" t="str">
        <f>IF(B187="","",IFERROR(LOOKUP(2,1/(单次交易!$A$2:$A$163=B187),单次交易!$N$2:$N$163),""))</f>
        <v/>
      </c>
      <c r="O187" s="5" t="str">
        <f t="shared" si="18"/>
        <v/>
      </c>
      <c r="P187" s="11" t="str">
        <f t="shared" si="19"/>
        <v/>
      </c>
      <c r="Q187" s="5" t="str">
        <f t="shared" si="20"/>
        <v/>
      </c>
      <c r="R187" s="10"/>
      <c r="S187" s="5" t="str">
        <f t="shared" si="21"/>
        <v/>
      </c>
      <c r="T187" s="5" t="str">
        <f t="shared" si="22"/>
        <v/>
      </c>
      <c r="U187" s="5" t="str">
        <f t="shared" si="23"/>
        <v/>
      </c>
      <c r="V187" s="7" t="str">
        <f t="shared" si="24"/>
        <v/>
      </c>
      <c r="W187" s="8" t="str">
        <f t="shared" si="25"/>
        <v/>
      </c>
      <c r="X187" s="2"/>
      <c r="Y187" s="10"/>
      <c r="Z187" s="11" t="str">
        <f>IF(X187&lt;&gt;"执行卖出","",IFERROR(LOOKUP(2,1/(单次交易!$A$2:$A$163=B187),单次交易!$AP$2:$AP$163),""))</f>
        <v/>
      </c>
      <c r="AA187" s="10"/>
      <c r="AB187" s="8" t="str">
        <f t="shared" si="26"/>
        <v/>
      </c>
      <c r="AC187" s="8" t="str">
        <f>IF(A187="","",IF(A187="止损计划",IF(OR(B187="",D187="",E187="",F187="",G187=""),"计划不完整",IF(OR(D187&lt;1,D187&lt;&gt;INT(D187)),"阶段序号无效",IF(COUNTIFS($A$2:$A$497,"止损计划",$B$2:$B$497,B187,$D$2:$D$497,D187)&gt;1,"阶段序号重复",IF(E187&lt;=IFERROR(LOOKUP(2,1/(单次交易!$A$2:$A$163=B187),单次交易!$E$2:$E$163),0),"激活价须高于买入价",IF(F187&lt;N187,"止损价不得低于初始止损",IF(F187&gt;E187,"止损价不得高于激活价",IF(AND(COUNTIFS($A$2:$A$497,"止损计划",$B$2:$B$497,B187,$D$2:$D$497,"&lt;"&amp;D187)&gt;0,OR(E187&lt;=SUMPRODUCT(MAX((($A$2:$A$497="止损计划")*($B$2:$B$497=B187)*($D$2:$D$497&lt;D187))*$E$2:$E$497)),F187&lt;SUMPRODUCT(MAX((($A$2:$A$497="止损计划")*($B$2:$B$497=B187)*($D$2:$D$497&lt;D187))*$F$2:$F$497)))),"阶段价格必须逐级提高","计划有效"))))))),IF(A187="每日跟踪",IF(OR(B187="",H187="",I187="",J187=""),"每日数据不完整",IF(COUNTIFS($A$2:$A$497,"每日跟踪",$B$2:$B$497,B187,$H$2:$H$497,H187)&gt;1,"同一交易日期重复",IF(AND(R187&lt;&gt;"",R187&lt;S187),"人工止损无效：不能下调","跟踪有效"))),"记录类型无效")))</f>
        <v/>
      </c>
    </row>
    <row r="188" ht="17" spans="1:29">
      <c r="A188" s="2"/>
      <c r="B188" s="2"/>
      <c r="C188" s="8" t="str">
        <f>IF(B188="","",IFERROR(LOOKUP(2,1/(单次交易!$A$2:$A$163=B188),单次交易!$B$2:$B$163),""))</f>
        <v/>
      </c>
      <c r="D188" s="12"/>
      <c r="E188" s="10"/>
      <c r="F188" s="10"/>
      <c r="G188" s="2"/>
      <c r="H188" s="15"/>
      <c r="I188" s="10"/>
      <c r="J188" s="12"/>
      <c r="K188" s="2"/>
      <c r="L188" s="2"/>
      <c r="M188" s="2"/>
      <c r="N188" s="5" t="str">
        <f>IF(B188="","",IFERROR(LOOKUP(2,1/(单次交易!$A$2:$A$163=B188),单次交易!$N$2:$N$163),""))</f>
        <v/>
      </c>
      <c r="O188" s="5" t="str">
        <f t="shared" si="18"/>
        <v/>
      </c>
      <c r="P188" s="11" t="str">
        <f t="shared" si="19"/>
        <v/>
      </c>
      <c r="Q188" s="5" t="str">
        <f t="shared" si="20"/>
        <v/>
      </c>
      <c r="R188" s="10"/>
      <c r="S188" s="5" t="str">
        <f t="shared" si="21"/>
        <v/>
      </c>
      <c r="T188" s="5" t="str">
        <f t="shared" si="22"/>
        <v/>
      </c>
      <c r="U188" s="5" t="str">
        <f t="shared" si="23"/>
        <v/>
      </c>
      <c r="V188" s="7" t="str">
        <f t="shared" si="24"/>
        <v/>
      </c>
      <c r="W188" s="8" t="str">
        <f t="shared" si="25"/>
        <v/>
      </c>
      <c r="X188" s="2"/>
      <c r="Y188" s="10"/>
      <c r="Z188" s="11" t="str">
        <f>IF(X188&lt;&gt;"执行卖出","",IFERROR(LOOKUP(2,1/(单次交易!$A$2:$A$163=B188),单次交易!$AP$2:$AP$163),""))</f>
        <v/>
      </c>
      <c r="AA188" s="10"/>
      <c r="AB188" s="8" t="str">
        <f t="shared" si="26"/>
        <v/>
      </c>
      <c r="AC188" s="8" t="str">
        <f>IF(A188="","",IF(A188="止损计划",IF(OR(B188="",D188="",E188="",F188="",G188=""),"计划不完整",IF(OR(D188&lt;1,D188&lt;&gt;INT(D188)),"阶段序号无效",IF(COUNTIFS($A$2:$A$497,"止损计划",$B$2:$B$497,B188,$D$2:$D$497,D188)&gt;1,"阶段序号重复",IF(E188&lt;=IFERROR(LOOKUP(2,1/(单次交易!$A$2:$A$163=B188),单次交易!$E$2:$E$163),0),"激活价须高于买入价",IF(F188&lt;N188,"止损价不得低于初始止损",IF(F188&gt;E188,"止损价不得高于激活价",IF(AND(COUNTIFS($A$2:$A$497,"止损计划",$B$2:$B$497,B188,$D$2:$D$497,"&lt;"&amp;D188)&gt;0,OR(E188&lt;=SUMPRODUCT(MAX((($A$2:$A$497="止损计划")*($B$2:$B$497=B188)*($D$2:$D$497&lt;D188))*$E$2:$E$497)),F188&lt;SUMPRODUCT(MAX((($A$2:$A$497="止损计划")*($B$2:$B$497=B188)*($D$2:$D$497&lt;D188))*$F$2:$F$497)))),"阶段价格必须逐级提高","计划有效"))))))),IF(A188="每日跟踪",IF(OR(B188="",H188="",I188="",J188=""),"每日数据不完整",IF(COUNTIFS($A$2:$A$497,"每日跟踪",$B$2:$B$497,B188,$H$2:$H$497,H188)&gt;1,"同一交易日期重复",IF(AND(R188&lt;&gt;"",R188&lt;S188),"人工止损无效：不能下调","跟踪有效"))),"记录类型无效")))</f>
        <v/>
      </c>
    </row>
    <row r="189" ht="17" spans="1:29">
      <c r="A189" s="2"/>
      <c r="B189" s="2"/>
      <c r="C189" s="8" t="str">
        <f>IF(B189="","",IFERROR(LOOKUP(2,1/(单次交易!$A$2:$A$163=B189),单次交易!$B$2:$B$163),""))</f>
        <v/>
      </c>
      <c r="D189" s="12"/>
      <c r="E189" s="10"/>
      <c r="F189" s="10"/>
      <c r="G189" s="2"/>
      <c r="H189" s="15"/>
      <c r="I189" s="10"/>
      <c r="J189" s="12"/>
      <c r="K189" s="2"/>
      <c r="L189" s="2"/>
      <c r="M189" s="2"/>
      <c r="N189" s="5" t="str">
        <f>IF(B189="","",IFERROR(LOOKUP(2,1/(单次交易!$A$2:$A$163=B189),单次交易!$N$2:$N$163),""))</f>
        <v/>
      </c>
      <c r="O189" s="5" t="str">
        <f t="shared" si="18"/>
        <v/>
      </c>
      <c r="P189" s="11" t="str">
        <f t="shared" si="19"/>
        <v/>
      </c>
      <c r="Q189" s="5" t="str">
        <f t="shared" si="20"/>
        <v/>
      </c>
      <c r="R189" s="10"/>
      <c r="S189" s="5" t="str">
        <f t="shared" si="21"/>
        <v/>
      </c>
      <c r="T189" s="5" t="str">
        <f t="shared" si="22"/>
        <v/>
      </c>
      <c r="U189" s="5" t="str">
        <f t="shared" si="23"/>
        <v/>
      </c>
      <c r="V189" s="7" t="str">
        <f t="shared" si="24"/>
        <v/>
      </c>
      <c r="W189" s="8" t="str">
        <f t="shared" si="25"/>
        <v/>
      </c>
      <c r="X189" s="2"/>
      <c r="Y189" s="10"/>
      <c r="Z189" s="11" t="str">
        <f>IF(X189&lt;&gt;"执行卖出","",IFERROR(LOOKUP(2,1/(单次交易!$A$2:$A$163=B189),单次交易!$AP$2:$AP$163),""))</f>
        <v/>
      </c>
      <c r="AA189" s="10"/>
      <c r="AB189" s="8" t="str">
        <f t="shared" si="26"/>
        <v/>
      </c>
      <c r="AC189" s="8" t="str">
        <f>IF(A189="","",IF(A189="止损计划",IF(OR(B189="",D189="",E189="",F189="",G189=""),"计划不完整",IF(OR(D189&lt;1,D189&lt;&gt;INT(D189)),"阶段序号无效",IF(COUNTIFS($A$2:$A$497,"止损计划",$B$2:$B$497,B189,$D$2:$D$497,D189)&gt;1,"阶段序号重复",IF(E189&lt;=IFERROR(LOOKUP(2,1/(单次交易!$A$2:$A$163=B189),单次交易!$E$2:$E$163),0),"激活价须高于买入价",IF(F189&lt;N189,"止损价不得低于初始止损",IF(F189&gt;E189,"止损价不得高于激活价",IF(AND(COUNTIFS($A$2:$A$497,"止损计划",$B$2:$B$497,B189,$D$2:$D$497,"&lt;"&amp;D189)&gt;0,OR(E189&lt;=SUMPRODUCT(MAX((($A$2:$A$497="止损计划")*($B$2:$B$497=B189)*($D$2:$D$497&lt;D189))*$E$2:$E$497)),F189&lt;SUMPRODUCT(MAX((($A$2:$A$497="止损计划")*($B$2:$B$497=B189)*($D$2:$D$497&lt;D189))*$F$2:$F$497)))),"阶段价格必须逐级提高","计划有效"))))))),IF(A189="每日跟踪",IF(OR(B189="",H189="",I189="",J189=""),"每日数据不完整",IF(COUNTIFS($A$2:$A$497,"每日跟踪",$B$2:$B$497,B189,$H$2:$H$497,H189)&gt;1,"同一交易日期重复",IF(AND(R189&lt;&gt;"",R189&lt;S189),"人工止损无效：不能下调","跟踪有效"))),"记录类型无效")))</f>
        <v/>
      </c>
    </row>
    <row r="190" ht="17" spans="1:29">
      <c r="A190" s="2"/>
      <c r="B190" s="2"/>
      <c r="C190" s="8" t="str">
        <f>IF(B190="","",IFERROR(LOOKUP(2,1/(单次交易!$A$2:$A$163=B190),单次交易!$B$2:$B$163),""))</f>
        <v/>
      </c>
      <c r="D190" s="12"/>
      <c r="E190" s="10"/>
      <c r="F190" s="10"/>
      <c r="G190" s="2"/>
      <c r="H190" s="15"/>
      <c r="I190" s="10"/>
      <c r="J190" s="12"/>
      <c r="K190" s="2"/>
      <c r="L190" s="2"/>
      <c r="M190" s="2"/>
      <c r="N190" s="5" t="str">
        <f>IF(B190="","",IFERROR(LOOKUP(2,1/(单次交易!$A$2:$A$163=B190),单次交易!$N$2:$N$163),""))</f>
        <v/>
      </c>
      <c r="O190" s="5" t="str">
        <f t="shared" si="18"/>
        <v/>
      </c>
      <c r="P190" s="11" t="str">
        <f t="shared" si="19"/>
        <v/>
      </c>
      <c r="Q190" s="5" t="str">
        <f t="shared" si="20"/>
        <v/>
      </c>
      <c r="R190" s="10"/>
      <c r="S190" s="5" t="str">
        <f t="shared" si="21"/>
        <v/>
      </c>
      <c r="T190" s="5" t="str">
        <f t="shared" si="22"/>
        <v/>
      </c>
      <c r="U190" s="5" t="str">
        <f t="shared" si="23"/>
        <v/>
      </c>
      <c r="V190" s="7" t="str">
        <f t="shared" si="24"/>
        <v/>
      </c>
      <c r="W190" s="8" t="str">
        <f t="shared" si="25"/>
        <v/>
      </c>
      <c r="X190" s="2"/>
      <c r="Y190" s="10"/>
      <c r="Z190" s="11" t="str">
        <f>IF(X190&lt;&gt;"执行卖出","",IFERROR(LOOKUP(2,1/(单次交易!$A$2:$A$163=B190),单次交易!$AP$2:$AP$163),""))</f>
        <v/>
      </c>
      <c r="AA190" s="10"/>
      <c r="AB190" s="8" t="str">
        <f t="shared" si="26"/>
        <v/>
      </c>
      <c r="AC190" s="8" t="str">
        <f>IF(A190="","",IF(A190="止损计划",IF(OR(B190="",D190="",E190="",F190="",G190=""),"计划不完整",IF(OR(D190&lt;1,D190&lt;&gt;INT(D190)),"阶段序号无效",IF(COUNTIFS($A$2:$A$497,"止损计划",$B$2:$B$497,B190,$D$2:$D$497,D190)&gt;1,"阶段序号重复",IF(E190&lt;=IFERROR(LOOKUP(2,1/(单次交易!$A$2:$A$163=B190),单次交易!$E$2:$E$163),0),"激活价须高于买入价",IF(F190&lt;N190,"止损价不得低于初始止损",IF(F190&gt;E190,"止损价不得高于激活价",IF(AND(COUNTIFS($A$2:$A$497,"止损计划",$B$2:$B$497,B190,$D$2:$D$497,"&lt;"&amp;D190)&gt;0,OR(E190&lt;=SUMPRODUCT(MAX((($A$2:$A$497="止损计划")*($B$2:$B$497=B190)*($D$2:$D$497&lt;D190))*$E$2:$E$497)),F190&lt;SUMPRODUCT(MAX((($A$2:$A$497="止损计划")*($B$2:$B$497=B190)*($D$2:$D$497&lt;D190))*$F$2:$F$497)))),"阶段价格必须逐级提高","计划有效"))))))),IF(A190="每日跟踪",IF(OR(B190="",H190="",I190="",J190=""),"每日数据不完整",IF(COUNTIFS($A$2:$A$497,"每日跟踪",$B$2:$B$497,B190,$H$2:$H$497,H190)&gt;1,"同一交易日期重复",IF(AND(R190&lt;&gt;"",R190&lt;S190),"人工止损无效：不能下调","跟踪有效"))),"记录类型无效")))</f>
        <v/>
      </c>
    </row>
    <row r="191" ht="17" spans="1:29">
      <c r="A191" s="2"/>
      <c r="B191" s="2"/>
      <c r="C191" s="8" t="str">
        <f>IF(B191="","",IFERROR(LOOKUP(2,1/(单次交易!$A$2:$A$163=B191),单次交易!$B$2:$B$163),""))</f>
        <v/>
      </c>
      <c r="D191" s="12"/>
      <c r="E191" s="10"/>
      <c r="F191" s="10"/>
      <c r="G191" s="2"/>
      <c r="H191" s="15"/>
      <c r="I191" s="10"/>
      <c r="J191" s="12"/>
      <c r="K191" s="2"/>
      <c r="L191" s="2"/>
      <c r="M191" s="2"/>
      <c r="N191" s="5" t="str">
        <f>IF(B191="","",IFERROR(LOOKUP(2,1/(单次交易!$A$2:$A$163=B191),单次交易!$N$2:$N$163),""))</f>
        <v/>
      </c>
      <c r="O191" s="5" t="str">
        <f t="shared" si="18"/>
        <v/>
      </c>
      <c r="P191" s="11" t="str">
        <f t="shared" si="19"/>
        <v/>
      </c>
      <c r="Q191" s="5" t="str">
        <f t="shared" si="20"/>
        <v/>
      </c>
      <c r="R191" s="10"/>
      <c r="S191" s="5" t="str">
        <f t="shared" si="21"/>
        <v/>
      </c>
      <c r="T191" s="5" t="str">
        <f t="shared" si="22"/>
        <v/>
      </c>
      <c r="U191" s="5" t="str">
        <f t="shared" si="23"/>
        <v/>
      </c>
      <c r="V191" s="7" t="str">
        <f t="shared" si="24"/>
        <v/>
      </c>
      <c r="W191" s="8" t="str">
        <f t="shared" si="25"/>
        <v/>
      </c>
      <c r="X191" s="2"/>
      <c r="Y191" s="10"/>
      <c r="Z191" s="11" t="str">
        <f>IF(X191&lt;&gt;"执行卖出","",IFERROR(LOOKUP(2,1/(单次交易!$A$2:$A$163=B191),单次交易!$AP$2:$AP$163),""))</f>
        <v/>
      </c>
      <c r="AA191" s="10"/>
      <c r="AB191" s="8" t="str">
        <f t="shared" si="26"/>
        <v/>
      </c>
      <c r="AC191" s="8" t="str">
        <f>IF(A191="","",IF(A191="止损计划",IF(OR(B191="",D191="",E191="",F191="",G191=""),"计划不完整",IF(OR(D191&lt;1,D191&lt;&gt;INT(D191)),"阶段序号无效",IF(COUNTIFS($A$2:$A$497,"止损计划",$B$2:$B$497,B191,$D$2:$D$497,D191)&gt;1,"阶段序号重复",IF(E191&lt;=IFERROR(LOOKUP(2,1/(单次交易!$A$2:$A$163=B191),单次交易!$E$2:$E$163),0),"激活价须高于买入价",IF(F191&lt;N191,"止损价不得低于初始止损",IF(F191&gt;E191,"止损价不得高于激活价",IF(AND(COUNTIFS($A$2:$A$497,"止损计划",$B$2:$B$497,B191,$D$2:$D$497,"&lt;"&amp;D191)&gt;0,OR(E191&lt;=SUMPRODUCT(MAX((($A$2:$A$497="止损计划")*($B$2:$B$497=B191)*($D$2:$D$497&lt;D191))*$E$2:$E$497)),F191&lt;SUMPRODUCT(MAX((($A$2:$A$497="止损计划")*($B$2:$B$497=B191)*($D$2:$D$497&lt;D191))*$F$2:$F$497)))),"阶段价格必须逐级提高","计划有效"))))))),IF(A191="每日跟踪",IF(OR(B191="",H191="",I191="",J191=""),"每日数据不完整",IF(COUNTIFS($A$2:$A$497,"每日跟踪",$B$2:$B$497,B191,$H$2:$H$497,H191)&gt;1,"同一交易日期重复",IF(AND(R191&lt;&gt;"",R191&lt;S191),"人工止损无效：不能下调","跟踪有效"))),"记录类型无效")))</f>
        <v/>
      </c>
    </row>
    <row r="192" ht="17" spans="1:29">
      <c r="A192" s="2"/>
      <c r="B192" s="2"/>
      <c r="C192" s="8" t="str">
        <f>IF(B192="","",IFERROR(LOOKUP(2,1/(单次交易!$A$2:$A$163=B192),单次交易!$B$2:$B$163),""))</f>
        <v/>
      </c>
      <c r="D192" s="12"/>
      <c r="E192" s="10"/>
      <c r="F192" s="10"/>
      <c r="G192" s="2"/>
      <c r="H192" s="15"/>
      <c r="I192" s="10"/>
      <c r="J192" s="12"/>
      <c r="K192" s="2"/>
      <c r="L192" s="2"/>
      <c r="M192" s="2"/>
      <c r="N192" s="5" t="str">
        <f>IF(B192="","",IFERROR(LOOKUP(2,1/(单次交易!$A$2:$A$163=B192),单次交易!$N$2:$N$163),""))</f>
        <v/>
      </c>
      <c r="O192" s="5" t="str">
        <f t="shared" si="18"/>
        <v/>
      </c>
      <c r="P192" s="11" t="str">
        <f t="shared" si="19"/>
        <v/>
      </c>
      <c r="Q192" s="5" t="str">
        <f t="shared" si="20"/>
        <v/>
      </c>
      <c r="R192" s="10"/>
      <c r="S192" s="5" t="str">
        <f t="shared" si="21"/>
        <v/>
      </c>
      <c r="T192" s="5" t="str">
        <f t="shared" si="22"/>
        <v/>
      </c>
      <c r="U192" s="5" t="str">
        <f t="shared" si="23"/>
        <v/>
      </c>
      <c r="V192" s="7" t="str">
        <f t="shared" si="24"/>
        <v/>
      </c>
      <c r="W192" s="8" t="str">
        <f t="shared" si="25"/>
        <v/>
      </c>
      <c r="X192" s="2"/>
      <c r="Y192" s="10"/>
      <c r="Z192" s="11" t="str">
        <f>IF(X192&lt;&gt;"执行卖出","",IFERROR(LOOKUP(2,1/(单次交易!$A$2:$A$163=B192),单次交易!$AP$2:$AP$163),""))</f>
        <v/>
      </c>
      <c r="AA192" s="10"/>
      <c r="AB192" s="8" t="str">
        <f t="shared" si="26"/>
        <v/>
      </c>
      <c r="AC192" s="8" t="str">
        <f>IF(A192="","",IF(A192="止损计划",IF(OR(B192="",D192="",E192="",F192="",G192=""),"计划不完整",IF(OR(D192&lt;1,D192&lt;&gt;INT(D192)),"阶段序号无效",IF(COUNTIFS($A$2:$A$497,"止损计划",$B$2:$B$497,B192,$D$2:$D$497,D192)&gt;1,"阶段序号重复",IF(E192&lt;=IFERROR(LOOKUP(2,1/(单次交易!$A$2:$A$163=B192),单次交易!$E$2:$E$163),0),"激活价须高于买入价",IF(F192&lt;N192,"止损价不得低于初始止损",IF(F192&gt;E192,"止损价不得高于激活价",IF(AND(COUNTIFS($A$2:$A$497,"止损计划",$B$2:$B$497,B192,$D$2:$D$497,"&lt;"&amp;D192)&gt;0,OR(E192&lt;=SUMPRODUCT(MAX((($A$2:$A$497="止损计划")*($B$2:$B$497=B192)*($D$2:$D$497&lt;D192))*$E$2:$E$497)),F192&lt;SUMPRODUCT(MAX((($A$2:$A$497="止损计划")*($B$2:$B$497=B192)*($D$2:$D$497&lt;D192))*$F$2:$F$497)))),"阶段价格必须逐级提高","计划有效"))))))),IF(A192="每日跟踪",IF(OR(B192="",H192="",I192="",J192=""),"每日数据不完整",IF(COUNTIFS($A$2:$A$497,"每日跟踪",$B$2:$B$497,B192,$H$2:$H$497,H192)&gt;1,"同一交易日期重复",IF(AND(R192&lt;&gt;"",R192&lt;S192),"人工止损无效：不能下调","跟踪有效"))),"记录类型无效")))</f>
        <v/>
      </c>
    </row>
    <row r="193" ht="17" spans="1:29">
      <c r="A193" s="2"/>
      <c r="B193" s="2"/>
      <c r="C193" s="8" t="str">
        <f>IF(B193="","",IFERROR(LOOKUP(2,1/(单次交易!$A$2:$A$163=B193),单次交易!$B$2:$B$163),""))</f>
        <v/>
      </c>
      <c r="D193" s="12"/>
      <c r="E193" s="10"/>
      <c r="F193" s="10"/>
      <c r="G193" s="2"/>
      <c r="H193" s="15"/>
      <c r="I193" s="10"/>
      <c r="J193" s="12"/>
      <c r="K193" s="2"/>
      <c r="L193" s="2"/>
      <c r="M193" s="2"/>
      <c r="N193" s="5" t="str">
        <f>IF(B193="","",IFERROR(LOOKUP(2,1/(单次交易!$A$2:$A$163=B193),单次交易!$N$2:$N$163),""))</f>
        <v/>
      </c>
      <c r="O193" s="5" t="str">
        <f t="shared" si="18"/>
        <v/>
      </c>
      <c r="P193" s="11" t="str">
        <f t="shared" si="19"/>
        <v/>
      </c>
      <c r="Q193" s="5" t="str">
        <f t="shared" si="20"/>
        <v/>
      </c>
      <c r="R193" s="10"/>
      <c r="S193" s="5" t="str">
        <f t="shared" si="21"/>
        <v/>
      </c>
      <c r="T193" s="5" t="str">
        <f t="shared" si="22"/>
        <v/>
      </c>
      <c r="U193" s="5" t="str">
        <f t="shared" si="23"/>
        <v/>
      </c>
      <c r="V193" s="7" t="str">
        <f t="shared" si="24"/>
        <v/>
      </c>
      <c r="W193" s="8" t="str">
        <f t="shared" si="25"/>
        <v/>
      </c>
      <c r="X193" s="2"/>
      <c r="Y193" s="10"/>
      <c r="Z193" s="11" t="str">
        <f>IF(X193&lt;&gt;"执行卖出","",IFERROR(LOOKUP(2,1/(单次交易!$A$2:$A$163=B193),单次交易!$AP$2:$AP$163),""))</f>
        <v/>
      </c>
      <c r="AA193" s="10"/>
      <c r="AB193" s="8" t="str">
        <f t="shared" si="26"/>
        <v/>
      </c>
      <c r="AC193" s="8" t="str">
        <f>IF(A193="","",IF(A193="止损计划",IF(OR(B193="",D193="",E193="",F193="",G193=""),"计划不完整",IF(OR(D193&lt;1,D193&lt;&gt;INT(D193)),"阶段序号无效",IF(COUNTIFS($A$2:$A$497,"止损计划",$B$2:$B$497,B193,$D$2:$D$497,D193)&gt;1,"阶段序号重复",IF(E193&lt;=IFERROR(LOOKUP(2,1/(单次交易!$A$2:$A$163=B193),单次交易!$E$2:$E$163),0),"激活价须高于买入价",IF(F193&lt;N193,"止损价不得低于初始止损",IF(F193&gt;E193,"止损价不得高于激活价",IF(AND(COUNTIFS($A$2:$A$497,"止损计划",$B$2:$B$497,B193,$D$2:$D$497,"&lt;"&amp;D193)&gt;0,OR(E193&lt;=SUMPRODUCT(MAX((($A$2:$A$497="止损计划")*($B$2:$B$497=B193)*($D$2:$D$497&lt;D193))*$E$2:$E$497)),F193&lt;SUMPRODUCT(MAX((($A$2:$A$497="止损计划")*($B$2:$B$497=B193)*($D$2:$D$497&lt;D193))*$F$2:$F$497)))),"阶段价格必须逐级提高","计划有效"))))))),IF(A193="每日跟踪",IF(OR(B193="",H193="",I193="",J193=""),"每日数据不完整",IF(COUNTIFS($A$2:$A$497,"每日跟踪",$B$2:$B$497,B193,$H$2:$H$497,H193)&gt;1,"同一交易日期重复",IF(AND(R193&lt;&gt;"",R193&lt;S193),"人工止损无效：不能下调","跟踪有效"))),"记录类型无效")))</f>
        <v/>
      </c>
    </row>
    <row r="194" ht="17" spans="1:29">
      <c r="A194" s="2"/>
      <c r="B194" s="2"/>
      <c r="C194" s="8" t="str">
        <f>IF(B194="","",IFERROR(LOOKUP(2,1/(单次交易!$A$2:$A$163=B194),单次交易!$B$2:$B$163),""))</f>
        <v/>
      </c>
      <c r="D194" s="12"/>
      <c r="E194" s="10"/>
      <c r="F194" s="10"/>
      <c r="G194" s="2"/>
      <c r="H194" s="15"/>
      <c r="I194" s="10"/>
      <c r="J194" s="12"/>
      <c r="K194" s="2"/>
      <c r="L194" s="2"/>
      <c r="M194" s="2"/>
      <c r="N194" s="5" t="str">
        <f>IF(B194="","",IFERROR(LOOKUP(2,1/(单次交易!$A$2:$A$163=B194),单次交易!$N$2:$N$163),""))</f>
        <v/>
      </c>
      <c r="O194" s="5" t="str">
        <f t="shared" ref="O194:O257" si="27">IF(A194&lt;&gt;"每日跟踪","",IF(OR(B194="",H194="",I194=""),"",IFERROR(SUMPRODUCT(MAX((($A$2:$A$497="每日跟踪")*($B$2:$B$497=B194)*($H$2:$H$497&lt;=H194))*$I$2:$I$497)),"")))</f>
        <v/>
      </c>
      <c r="P194" s="11" t="str">
        <f t="shared" ref="P194:P257" si="28">IF(A194&lt;&gt;"每日跟踪","",IF(O194="","",IFERROR(SUMPRODUCT(MAX((($A$2:$A$497="止损计划")*($B$2:$B$497=B194)*($E$2:$E$497&lt;=O194))*$D$2:$D$497)),0)))</f>
        <v/>
      </c>
      <c r="Q194" s="5" t="str">
        <f t="shared" ref="Q194:Q257" si="29">IF(A194&lt;&gt;"每日跟踪","",IF(N194="","",MAX(N194,IFERROR(SUMPRODUCT(MAX((($A$2:$A$497="止损计划")*($B$2:$B$497=B194)*($E$2:$E$497&lt;=O194))*$F$2:$F$497)),0))))</f>
        <v/>
      </c>
      <c r="R194" s="10"/>
      <c r="S194" s="5" t="str">
        <f t="shared" ref="S194:S257" si="30">IF(A194&lt;&gt;"每日跟踪","",IF(Q194="","",MAX(Q194,IFERROR(SUMPRODUCT(MAX((($A$2:$A$497="每日跟踪")*($B$2:$B$497=B194)*($H$2:$H$497&lt;=H194))*$R$2:$R$497)),0))))</f>
        <v/>
      </c>
      <c r="T194" s="5" t="str">
        <f t="shared" ref="T194:T257" si="31">IF(A194&lt;&gt;"每日跟踪","",IF(O194="","",IF(COUNTIFS($A$2:$A$497,"止损计划",$B$2:$B$497,B194,$E$2:$E$497,"&gt;"&amp;O194)=0,"",INDEX($E$2:$E$497,MATCH(1,INDEX(($A$2:$A$497="止损计划")*($B$2:$B$497=B194)*($E$2:$E$497&gt;O194),0),0)))))</f>
        <v/>
      </c>
      <c r="U194" s="5" t="str">
        <f t="shared" ref="U194:U257" si="32">IF(OR(A194&lt;&gt;"每日跟踪",T194=""),"",IFERROR(SUMIFS($F$2:$F$497,$A$2:$A$497,"止损计划",$B$2:$B$497,B194,$E$2:$E$497,T194),""))</f>
        <v/>
      </c>
      <c r="V194" s="7" t="str">
        <f t="shared" ref="V194:V257" si="33">IF(OR(A194&lt;&gt;"每日跟踪",T194="",I194="",I194&lt;=0),"",T194/I194-1)</f>
        <v/>
      </c>
      <c r="W194" s="8" t="str">
        <f t="shared" ref="W194:W257" si="34">IF(A194&lt;&gt;"每日跟踪","",IF(OR(I194="",S194=""),"",IF(I194&lt;=S194,"触发止损：应全部卖出","继续观察")))</f>
        <v/>
      </c>
      <c r="X194" s="2"/>
      <c r="Y194" s="10"/>
      <c r="Z194" s="11" t="str">
        <f>IF(X194&lt;&gt;"执行卖出","",IFERROR(LOOKUP(2,1/(单次交易!$A$2:$A$163=B194),单次交易!$AP$2:$AP$163),""))</f>
        <v/>
      </c>
      <c r="AA194" s="10"/>
      <c r="AB194" s="8" t="str">
        <f t="shared" ref="AB194:AB257" si="35">IF(A194&lt;&gt;"每日跟踪","",IF(OR(B194="",H194="",I194="",J194="",K194="",L194="",M194=""),"待补充每日记录",IF(W194="触发止损：应全部卖出",IF(X194&lt;&gt;"执行卖出","违规：触发止损但未执行",IF(Y194="","待补充实际卖出价","卖出记录完整")),IF(X194="","待选择卖出动作",IF(X194="执行卖出",IF(Y194="","待补充实际卖出价","卖出记录完整"),"正常")))))</f>
        <v/>
      </c>
      <c r="AC194" s="8" t="str">
        <f>IF(A194="","",IF(A194="止损计划",IF(OR(B194="",D194="",E194="",F194="",G194=""),"计划不完整",IF(OR(D194&lt;1,D194&lt;&gt;INT(D194)),"阶段序号无效",IF(COUNTIFS($A$2:$A$497,"止损计划",$B$2:$B$497,B194,$D$2:$D$497,D194)&gt;1,"阶段序号重复",IF(E194&lt;=IFERROR(LOOKUP(2,1/(单次交易!$A$2:$A$163=B194),单次交易!$E$2:$E$163),0),"激活价须高于买入价",IF(F194&lt;N194,"止损价不得低于初始止损",IF(F194&gt;E194,"止损价不得高于激活价",IF(AND(COUNTIFS($A$2:$A$497,"止损计划",$B$2:$B$497,B194,$D$2:$D$497,"&lt;"&amp;D194)&gt;0,OR(E194&lt;=SUMPRODUCT(MAX((($A$2:$A$497="止损计划")*($B$2:$B$497=B194)*($D$2:$D$497&lt;D194))*$E$2:$E$497)),F194&lt;SUMPRODUCT(MAX((($A$2:$A$497="止损计划")*($B$2:$B$497=B194)*($D$2:$D$497&lt;D194))*$F$2:$F$497)))),"阶段价格必须逐级提高","计划有效"))))))),IF(A194="每日跟踪",IF(OR(B194="",H194="",I194="",J194=""),"每日数据不完整",IF(COUNTIFS($A$2:$A$497,"每日跟踪",$B$2:$B$497,B194,$H$2:$H$497,H194)&gt;1,"同一交易日期重复",IF(AND(R194&lt;&gt;"",R194&lt;S194),"人工止损无效：不能下调","跟踪有效"))),"记录类型无效")))</f>
        <v/>
      </c>
    </row>
    <row r="195" ht="17" spans="1:29">
      <c r="A195" s="2"/>
      <c r="B195" s="2"/>
      <c r="C195" s="8" t="str">
        <f>IF(B195="","",IFERROR(LOOKUP(2,1/(单次交易!$A$2:$A$163=B195),单次交易!$B$2:$B$163),""))</f>
        <v/>
      </c>
      <c r="D195" s="12"/>
      <c r="E195" s="10"/>
      <c r="F195" s="10"/>
      <c r="G195" s="2"/>
      <c r="H195" s="15"/>
      <c r="I195" s="10"/>
      <c r="J195" s="12"/>
      <c r="K195" s="2"/>
      <c r="L195" s="2"/>
      <c r="M195" s="2"/>
      <c r="N195" s="5" t="str">
        <f>IF(B195="","",IFERROR(LOOKUP(2,1/(单次交易!$A$2:$A$163=B195),单次交易!$N$2:$N$163),""))</f>
        <v/>
      </c>
      <c r="O195" s="5" t="str">
        <f t="shared" si="27"/>
        <v/>
      </c>
      <c r="P195" s="11" t="str">
        <f t="shared" si="28"/>
        <v/>
      </c>
      <c r="Q195" s="5" t="str">
        <f t="shared" si="29"/>
        <v/>
      </c>
      <c r="R195" s="10"/>
      <c r="S195" s="5" t="str">
        <f t="shared" si="30"/>
        <v/>
      </c>
      <c r="T195" s="5" t="str">
        <f t="shared" si="31"/>
        <v/>
      </c>
      <c r="U195" s="5" t="str">
        <f t="shared" si="32"/>
        <v/>
      </c>
      <c r="V195" s="7" t="str">
        <f t="shared" si="33"/>
        <v/>
      </c>
      <c r="W195" s="8" t="str">
        <f t="shared" si="34"/>
        <v/>
      </c>
      <c r="X195" s="2"/>
      <c r="Y195" s="10"/>
      <c r="Z195" s="11" t="str">
        <f>IF(X195&lt;&gt;"执行卖出","",IFERROR(LOOKUP(2,1/(单次交易!$A$2:$A$163=B195),单次交易!$AP$2:$AP$163),""))</f>
        <v/>
      </c>
      <c r="AA195" s="10"/>
      <c r="AB195" s="8" t="str">
        <f t="shared" si="35"/>
        <v/>
      </c>
      <c r="AC195" s="8" t="str">
        <f>IF(A195="","",IF(A195="止损计划",IF(OR(B195="",D195="",E195="",F195="",G195=""),"计划不完整",IF(OR(D195&lt;1,D195&lt;&gt;INT(D195)),"阶段序号无效",IF(COUNTIFS($A$2:$A$497,"止损计划",$B$2:$B$497,B195,$D$2:$D$497,D195)&gt;1,"阶段序号重复",IF(E195&lt;=IFERROR(LOOKUP(2,1/(单次交易!$A$2:$A$163=B195),单次交易!$E$2:$E$163),0),"激活价须高于买入价",IF(F195&lt;N195,"止损价不得低于初始止损",IF(F195&gt;E195,"止损价不得高于激活价",IF(AND(COUNTIFS($A$2:$A$497,"止损计划",$B$2:$B$497,B195,$D$2:$D$497,"&lt;"&amp;D195)&gt;0,OR(E195&lt;=SUMPRODUCT(MAX((($A$2:$A$497="止损计划")*($B$2:$B$497=B195)*($D$2:$D$497&lt;D195))*$E$2:$E$497)),F195&lt;SUMPRODUCT(MAX((($A$2:$A$497="止损计划")*($B$2:$B$497=B195)*($D$2:$D$497&lt;D195))*$F$2:$F$497)))),"阶段价格必须逐级提高","计划有效"))))))),IF(A195="每日跟踪",IF(OR(B195="",H195="",I195="",J195=""),"每日数据不完整",IF(COUNTIFS($A$2:$A$497,"每日跟踪",$B$2:$B$497,B195,$H$2:$H$497,H195)&gt;1,"同一交易日期重复",IF(AND(R195&lt;&gt;"",R195&lt;S195),"人工止损无效：不能下调","跟踪有效"))),"记录类型无效")))</f>
        <v/>
      </c>
    </row>
    <row r="196" ht="17" spans="1:29">
      <c r="A196" s="2"/>
      <c r="B196" s="2"/>
      <c r="C196" s="8" t="str">
        <f>IF(B196="","",IFERROR(LOOKUP(2,1/(单次交易!$A$2:$A$163=B196),单次交易!$B$2:$B$163),""))</f>
        <v/>
      </c>
      <c r="D196" s="12"/>
      <c r="E196" s="10"/>
      <c r="F196" s="10"/>
      <c r="G196" s="2"/>
      <c r="H196" s="15"/>
      <c r="I196" s="10"/>
      <c r="J196" s="12"/>
      <c r="K196" s="2"/>
      <c r="L196" s="2"/>
      <c r="M196" s="2"/>
      <c r="N196" s="5" t="str">
        <f>IF(B196="","",IFERROR(LOOKUP(2,1/(单次交易!$A$2:$A$163=B196),单次交易!$N$2:$N$163),""))</f>
        <v/>
      </c>
      <c r="O196" s="5" t="str">
        <f t="shared" si="27"/>
        <v/>
      </c>
      <c r="P196" s="11" t="str">
        <f t="shared" si="28"/>
        <v/>
      </c>
      <c r="Q196" s="5" t="str">
        <f t="shared" si="29"/>
        <v/>
      </c>
      <c r="R196" s="10"/>
      <c r="S196" s="5" t="str">
        <f t="shared" si="30"/>
        <v/>
      </c>
      <c r="T196" s="5" t="str">
        <f t="shared" si="31"/>
        <v/>
      </c>
      <c r="U196" s="5" t="str">
        <f t="shared" si="32"/>
        <v/>
      </c>
      <c r="V196" s="7" t="str">
        <f t="shared" si="33"/>
        <v/>
      </c>
      <c r="W196" s="8" t="str">
        <f t="shared" si="34"/>
        <v/>
      </c>
      <c r="X196" s="2"/>
      <c r="Y196" s="10"/>
      <c r="Z196" s="11" t="str">
        <f>IF(X196&lt;&gt;"执行卖出","",IFERROR(LOOKUP(2,1/(单次交易!$A$2:$A$163=B196),单次交易!$AP$2:$AP$163),""))</f>
        <v/>
      </c>
      <c r="AA196" s="10"/>
      <c r="AB196" s="8" t="str">
        <f t="shared" si="35"/>
        <v/>
      </c>
      <c r="AC196" s="8" t="str">
        <f>IF(A196="","",IF(A196="止损计划",IF(OR(B196="",D196="",E196="",F196="",G196=""),"计划不完整",IF(OR(D196&lt;1,D196&lt;&gt;INT(D196)),"阶段序号无效",IF(COUNTIFS($A$2:$A$497,"止损计划",$B$2:$B$497,B196,$D$2:$D$497,D196)&gt;1,"阶段序号重复",IF(E196&lt;=IFERROR(LOOKUP(2,1/(单次交易!$A$2:$A$163=B196),单次交易!$E$2:$E$163),0),"激活价须高于买入价",IF(F196&lt;N196,"止损价不得低于初始止损",IF(F196&gt;E196,"止损价不得高于激活价",IF(AND(COUNTIFS($A$2:$A$497,"止损计划",$B$2:$B$497,B196,$D$2:$D$497,"&lt;"&amp;D196)&gt;0,OR(E196&lt;=SUMPRODUCT(MAX((($A$2:$A$497="止损计划")*($B$2:$B$497=B196)*($D$2:$D$497&lt;D196))*$E$2:$E$497)),F196&lt;SUMPRODUCT(MAX((($A$2:$A$497="止损计划")*($B$2:$B$497=B196)*($D$2:$D$497&lt;D196))*$F$2:$F$497)))),"阶段价格必须逐级提高","计划有效"))))))),IF(A196="每日跟踪",IF(OR(B196="",H196="",I196="",J196=""),"每日数据不完整",IF(COUNTIFS($A$2:$A$497,"每日跟踪",$B$2:$B$497,B196,$H$2:$H$497,H196)&gt;1,"同一交易日期重复",IF(AND(R196&lt;&gt;"",R196&lt;S196),"人工止损无效：不能下调","跟踪有效"))),"记录类型无效")))</f>
        <v/>
      </c>
    </row>
    <row r="197" ht="17" spans="1:29">
      <c r="A197" s="2"/>
      <c r="B197" s="2"/>
      <c r="C197" s="8" t="str">
        <f>IF(B197="","",IFERROR(LOOKUP(2,1/(单次交易!$A$2:$A$163=B197),单次交易!$B$2:$B$163),""))</f>
        <v/>
      </c>
      <c r="D197" s="12"/>
      <c r="E197" s="10"/>
      <c r="F197" s="10"/>
      <c r="G197" s="2"/>
      <c r="H197" s="15"/>
      <c r="I197" s="10"/>
      <c r="J197" s="12"/>
      <c r="K197" s="2"/>
      <c r="L197" s="2"/>
      <c r="M197" s="2"/>
      <c r="N197" s="5" t="str">
        <f>IF(B197="","",IFERROR(LOOKUP(2,1/(单次交易!$A$2:$A$163=B197),单次交易!$N$2:$N$163),""))</f>
        <v/>
      </c>
      <c r="O197" s="5" t="str">
        <f t="shared" si="27"/>
        <v/>
      </c>
      <c r="P197" s="11" t="str">
        <f t="shared" si="28"/>
        <v/>
      </c>
      <c r="Q197" s="5" t="str">
        <f t="shared" si="29"/>
        <v/>
      </c>
      <c r="R197" s="10"/>
      <c r="S197" s="5" t="str">
        <f t="shared" si="30"/>
        <v/>
      </c>
      <c r="T197" s="5" t="str">
        <f t="shared" si="31"/>
        <v/>
      </c>
      <c r="U197" s="5" t="str">
        <f t="shared" si="32"/>
        <v/>
      </c>
      <c r="V197" s="7" t="str">
        <f t="shared" si="33"/>
        <v/>
      </c>
      <c r="W197" s="8" t="str">
        <f t="shared" si="34"/>
        <v/>
      </c>
      <c r="X197" s="2"/>
      <c r="Y197" s="10"/>
      <c r="Z197" s="11" t="str">
        <f>IF(X197&lt;&gt;"执行卖出","",IFERROR(LOOKUP(2,1/(单次交易!$A$2:$A$163=B197),单次交易!$AP$2:$AP$163),""))</f>
        <v/>
      </c>
      <c r="AA197" s="10"/>
      <c r="AB197" s="8" t="str">
        <f t="shared" si="35"/>
        <v/>
      </c>
      <c r="AC197" s="8" t="str">
        <f>IF(A197="","",IF(A197="止损计划",IF(OR(B197="",D197="",E197="",F197="",G197=""),"计划不完整",IF(OR(D197&lt;1,D197&lt;&gt;INT(D197)),"阶段序号无效",IF(COUNTIFS($A$2:$A$497,"止损计划",$B$2:$B$497,B197,$D$2:$D$497,D197)&gt;1,"阶段序号重复",IF(E197&lt;=IFERROR(LOOKUP(2,1/(单次交易!$A$2:$A$163=B197),单次交易!$E$2:$E$163),0),"激活价须高于买入价",IF(F197&lt;N197,"止损价不得低于初始止损",IF(F197&gt;E197,"止损价不得高于激活价",IF(AND(COUNTIFS($A$2:$A$497,"止损计划",$B$2:$B$497,B197,$D$2:$D$497,"&lt;"&amp;D197)&gt;0,OR(E197&lt;=SUMPRODUCT(MAX((($A$2:$A$497="止损计划")*($B$2:$B$497=B197)*($D$2:$D$497&lt;D197))*$E$2:$E$497)),F197&lt;SUMPRODUCT(MAX((($A$2:$A$497="止损计划")*($B$2:$B$497=B197)*($D$2:$D$497&lt;D197))*$F$2:$F$497)))),"阶段价格必须逐级提高","计划有效"))))))),IF(A197="每日跟踪",IF(OR(B197="",H197="",I197="",J197=""),"每日数据不完整",IF(COUNTIFS($A$2:$A$497,"每日跟踪",$B$2:$B$497,B197,$H$2:$H$497,H197)&gt;1,"同一交易日期重复",IF(AND(R197&lt;&gt;"",R197&lt;S197),"人工止损无效：不能下调","跟踪有效"))),"记录类型无效")))</f>
        <v/>
      </c>
    </row>
    <row r="198" ht="17" spans="1:29">
      <c r="A198" s="2"/>
      <c r="B198" s="2"/>
      <c r="C198" s="8" t="str">
        <f>IF(B198="","",IFERROR(LOOKUP(2,1/(单次交易!$A$2:$A$163=B198),单次交易!$B$2:$B$163),""))</f>
        <v/>
      </c>
      <c r="D198" s="12"/>
      <c r="E198" s="10"/>
      <c r="F198" s="10"/>
      <c r="G198" s="2"/>
      <c r="H198" s="15"/>
      <c r="I198" s="10"/>
      <c r="J198" s="12"/>
      <c r="K198" s="2"/>
      <c r="L198" s="2"/>
      <c r="M198" s="2"/>
      <c r="N198" s="5" t="str">
        <f>IF(B198="","",IFERROR(LOOKUP(2,1/(单次交易!$A$2:$A$163=B198),单次交易!$N$2:$N$163),""))</f>
        <v/>
      </c>
      <c r="O198" s="5" t="str">
        <f t="shared" si="27"/>
        <v/>
      </c>
      <c r="P198" s="11" t="str">
        <f t="shared" si="28"/>
        <v/>
      </c>
      <c r="Q198" s="5" t="str">
        <f t="shared" si="29"/>
        <v/>
      </c>
      <c r="R198" s="10"/>
      <c r="S198" s="5" t="str">
        <f t="shared" si="30"/>
        <v/>
      </c>
      <c r="T198" s="5" t="str">
        <f t="shared" si="31"/>
        <v/>
      </c>
      <c r="U198" s="5" t="str">
        <f t="shared" si="32"/>
        <v/>
      </c>
      <c r="V198" s="7" t="str">
        <f t="shared" si="33"/>
        <v/>
      </c>
      <c r="W198" s="8" t="str">
        <f t="shared" si="34"/>
        <v/>
      </c>
      <c r="X198" s="2"/>
      <c r="Y198" s="10"/>
      <c r="Z198" s="11" t="str">
        <f>IF(X198&lt;&gt;"执行卖出","",IFERROR(LOOKUP(2,1/(单次交易!$A$2:$A$163=B198),单次交易!$AP$2:$AP$163),""))</f>
        <v/>
      </c>
      <c r="AA198" s="10"/>
      <c r="AB198" s="8" t="str">
        <f t="shared" si="35"/>
        <v/>
      </c>
      <c r="AC198" s="8" t="str">
        <f>IF(A198="","",IF(A198="止损计划",IF(OR(B198="",D198="",E198="",F198="",G198=""),"计划不完整",IF(OR(D198&lt;1,D198&lt;&gt;INT(D198)),"阶段序号无效",IF(COUNTIFS($A$2:$A$497,"止损计划",$B$2:$B$497,B198,$D$2:$D$497,D198)&gt;1,"阶段序号重复",IF(E198&lt;=IFERROR(LOOKUP(2,1/(单次交易!$A$2:$A$163=B198),单次交易!$E$2:$E$163),0),"激活价须高于买入价",IF(F198&lt;N198,"止损价不得低于初始止损",IF(F198&gt;E198,"止损价不得高于激活价",IF(AND(COUNTIFS($A$2:$A$497,"止损计划",$B$2:$B$497,B198,$D$2:$D$497,"&lt;"&amp;D198)&gt;0,OR(E198&lt;=SUMPRODUCT(MAX((($A$2:$A$497="止损计划")*($B$2:$B$497=B198)*($D$2:$D$497&lt;D198))*$E$2:$E$497)),F198&lt;SUMPRODUCT(MAX((($A$2:$A$497="止损计划")*($B$2:$B$497=B198)*($D$2:$D$497&lt;D198))*$F$2:$F$497)))),"阶段价格必须逐级提高","计划有效"))))))),IF(A198="每日跟踪",IF(OR(B198="",H198="",I198="",J198=""),"每日数据不完整",IF(COUNTIFS($A$2:$A$497,"每日跟踪",$B$2:$B$497,B198,$H$2:$H$497,H198)&gt;1,"同一交易日期重复",IF(AND(R198&lt;&gt;"",R198&lt;S198),"人工止损无效：不能下调","跟踪有效"))),"记录类型无效")))</f>
        <v/>
      </c>
    </row>
    <row r="199" ht="17" spans="1:29">
      <c r="A199" s="2"/>
      <c r="B199" s="2"/>
      <c r="C199" s="8" t="str">
        <f>IF(B199="","",IFERROR(LOOKUP(2,1/(单次交易!$A$2:$A$163=B199),单次交易!$B$2:$B$163),""))</f>
        <v/>
      </c>
      <c r="D199" s="12"/>
      <c r="E199" s="10"/>
      <c r="F199" s="10"/>
      <c r="G199" s="2"/>
      <c r="H199" s="15"/>
      <c r="I199" s="10"/>
      <c r="J199" s="12"/>
      <c r="K199" s="2"/>
      <c r="L199" s="2"/>
      <c r="M199" s="2"/>
      <c r="N199" s="5" t="str">
        <f>IF(B199="","",IFERROR(LOOKUP(2,1/(单次交易!$A$2:$A$163=B199),单次交易!$N$2:$N$163),""))</f>
        <v/>
      </c>
      <c r="O199" s="5" t="str">
        <f t="shared" si="27"/>
        <v/>
      </c>
      <c r="P199" s="11" t="str">
        <f t="shared" si="28"/>
        <v/>
      </c>
      <c r="Q199" s="5" t="str">
        <f t="shared" si="29"/>
        <v/>
      </c>
      <c r="R199" s="10"/>
      <c r="S199" s="5" t="str">
        <f t="shared" si="30"/>
        <v/>
      </c>
      <c r="T199" s="5" t="str">
        <f t="shared" si="31"/>
        <v/>
      </c>
      <c r="U199" s="5" t="str">
        <f t="shared" si="32"/>
        <v/>
      </c>
      <c r="V199" s="7" t="str">
        <f t="shared" si="33"/>
        <v/>
      </c>
      <c r="W199" s="8" t="str">
        <f t="shared" si="34"/>
        <v/>
      </c>
      <c r="X199" s="2"/>
      <c r="Y199" s="10"/>
      <c r="Z199" s="11" t="str">
        <f>IF(X199&lt;&gt;"执行卖出","",IFERROR(LOOKUP(2,1/(单次交易!$A$2:$A$163=B199),单次交易!$AP$2:$AP$163),""))</f>
        <v/>
      </c>
      <c r="AA199" s="10"/>
      <c r="AB199" s="8" t="str">
        <f t="shared" si="35"/>
        <v/>
      </c>
      <c r="AC199" s="8" t="str">
        <f>IF(A199="","",IF(A199="止损计划",IF(OR(B199="",D199="",E199="",F199="",G199=""),"计划不完整",IF(OR(D199&lt;1,D199&lt;&gt;INT(D199)),"阶段序号无效",IF(COUNTIFS($A$2:$A$497,"止损计划",$B$2:$B$497,B199,$D$2:$D$497,D199)&gt;1,"阶段序号重复",IF(E199&lt;=IFERROR(LOOKUP(2,1/(单次交易!$A$2:$A$163=B199),单次交易!$E$2:$E$163),0),"激活价须高于买入价",IF(F199&lt;N199,"止损价不得低于初始止损",IF(F199&gt;E199,"止损价不得高于激活价",IF(AND(COUNTIFS($A$2:$A$497,"止损计划",$B$2:$B$497,B199,$D$2:$D$497,"&lt;"&amp;D199)&gt;0,OR(E199&lt;=SUMPRODUCT(MAX((($A$2:$A$497="止损计划")*($B$2:$B$497=B199)*($D$2:$D$497&lt;D199))*$E$2:$E$497)),F199&lt;SUMPRODUCT(MAX((($A$2:$A$497="止损计划")*($B$2:$B$497=B199)*($D$2:$D$497&lt;D199))*$F$2:$F$497)))),"阶段价格必须逐级提高","计划有效"))))))),IF(A199="每日跟踪",IF(OR(B199="",H199="",I199="",J199=""),"每日数据不完整",IF(COUNTIFS($A$2:$A$497,"每日跟踪",$B$2:$B$497,B199,$H$2:$H$497,H199)&gt;1,"同一交易日期重复",IF(AND(R199&lt;&gt;"",R199&lt;S199),"人工止损无效：不能下调","跟踪有效"))),"记录类型无效")))</f>
        <v/>
      </c>
    </row>
    <row r="200" ht="17" spans="1:29">
      <c r="A200" s="2"/>
      <c r="B200" s="2"/>
      <c r="C200" s="8" t="str">
        <f>IF(B200="","",IFERROR(LOOKUP(2,1/(单次交易!$A$2:$A$163=B200),单次交易!$B$2:$B$163),""))</f>
        <v/>
      </c>
      <c r="D200" s="12"/>
      <c r="E200" s="10"/>
      <c r="F200" s="10"/>
      <c r="G200" s="2"/>
      <c r="H200" s="15"/>
      <c r="I200" s="10"/>
      <c r="J200" s="12"/>
      <c r="K200" s="2"/>
      <c r="L200" s="2"/>
      <c r="M200" s="2"/>
      <c r="N200" s="5" t="str">
        <f>IF(B200="","",IFERROR(LOOKUP(2,1/(单次交易!$A$2:$A$163=B200),单次交易!$N$2:$N$163),""))</f>
        <v/>
      </c>
      <c r="O200" s="5" t="str">
        <f t="shared" si="27"/>
        <v/>
      </c>
      <c r="P200" s="11" t="str">
        <f t="shared" si="28"/>
        <v/>
      </c>
      <c r="Q200" s="5" t="str">
        <f t="shared" si="29"/>
        <v/>
      </c>
      <c r="R200" s="10"/>
      <c r="S200" s="5" t="str">
        <f t="shared" si="30"/>
        <v/>
      </c>
      <c r="T200" s="5" t="str">
        <f t="shared" si="31"/>
        <v/>
      </c>
      <c r="U200" s="5" t="str">
        <f t="shared" si="32"/>
        <v/>
      </c>
      <c r="V200" s="7" t="str">
        <f t="shared" si="33"/>
        <v/>
      </c>
      <c r="W200" s="8" t="str">
        <f t="shared" si="34"/>
        <v/>
      </c>
      <c r="X200" s="2"/>
      <c r="Y200" s="10"/>
      <c r="Z200" s="11" t="str">
        <f>IF(X200&lt;&gt;"执行卖出","",IFERROR(LOOKUP(2,1/(单次交易!$A$2:$A$163=B200),单次交易!$AP$2:$AP$163),""))</f>
        <v/>
      </c>
      <c r="AA200" s="10"/>
      <c r="AB200" s="8" t="str">
        <f t="shared" si="35"/>
        <v/>
      </c>
      <c r="AC200" s="8" t="str">
        <f>IF(A200="","",IF(A200="止损计划",IF(OR(B200="",D200="",E200="",F200="",G200=""),"计划不完整",IF(OR(D200&lt;1,D200&lt;&gt;INT(D200)),"阶段序号无效",IF(COUNTIFS($A$2:$A$497,"止损计划",$B$2:$B$497,B200,$D$2:$D$497,D200)&gt;1,"阶段序号重复",IF(E200&lt;=IFERROR(LOOKUP(2,1/(单次交易!$A$2:$A$163=B200),单次交易!$E$2:$E$163),0),"激活价须高于买入价",IF(F200&lt;N200,"止损价不得低于初始止损",IF(F200&gt;E200,"止损价不得高于激活价",IF(AND(COUNTIFS($A$2:$A$497,"止损计划",$B$2:$B$497,B200,$D$2:$D$497,"&lt;"&amp;D200)&gt;0,OR(E200&lt;=SUMPRODUCT(MAX((($A$2:$A$497="止损计划")*($B$2:$B$497=B200)*($D$2:$D$497&lt;D200))*$E$2:$E$497)),F200&lt;SUMPRODUCT(MAX((($A$2:$A$497="止损计划")*($B$2:$B$497=B200)*($D$2:$D$497&lt;D200))*$F$2:$F$497)))),"阶段价格必须逐级提高","计划有效"))))))),IF(A200="每日跟踪",IF(OR(B200="",H200="",I200="",J200=""),"每日数据不完整",IF(COUNTIFS($A$2:$A$497,"每日跟踪",$B$2:$B$497,B200,$H$2:$H$497,H200)&gt;1,"同一交易日期重复",IF(AND(R200&lt;&gt;"",R200&lt;S200),"人工止损无效：不能下调","跟踪有效"))),"记录类型无效")))</f>
        <v/>
      </c>
    </row>
    <row r="201" ht="17" spans="1:29">
      <c r="A201" s="2"/>
      <c r="B201" s="2"/>
      <c r="C201" s="8" t="str">
        <f>IF(B201="","",IFERROR(LOOKUP(2,1/(单次交易!$A$2:$A$163=B201),单次交易!$B$2:$B$163),""))</f>
        <v/>
      </c>
      <c r="D201" s="12"/>
      <c r="E201" s="10"/>
      <c r="F201" s="10"/>
      <c r="G201" s="2"/>
      <c r="H201" s="15"/>
      <c r="I201" s="10"/>
      <c r="J201" s="12"/>
      <c r="K201" s="2"/>
      <c r="L201" s="2"/>
      <c r="M201" s="2"/>
      <c r="N201" s="5" t="str">
        <f>IF(B201="","",IFERROR(LOOKUP(2,1/(单次交易!$A$2:$A$163=B201),单次交易!$N$2:$N$163),""))</f>
        <v/>
      </c>
      <c r="O201" s="5" t="str">
        <f t="shared" si="27"/>
        <v/>
      </c>
      <c r="P201" s="11" t="str">
        <f t="shared" si="28"/>
        <v/>
      </c>
      <c r="Q201" s="5" t="str">
        <f t="shared" si="29"/>
        <v/>
      </c>
      <c r="R201" s="10"/>
      <c r="S201" s="5" t="str">
        <f t="shared" si="30"/>
        <v/>
      </c>
      <c r="T201" s="5" t="str">
        <f t="shared" si="31"/>
        <v/>
      </c>
      <c r="U201" s="5" t="str">
        <f t="shared" si="32"/>
        <v/>
      </c>
      <c r="V201" s="7" t="str">
        <f t="shared" si="33"/>
        <v/>
      </c>
      <c r="W201" s="8" t="str">
        <f t="shared" si="34"/>
        <v/>
      </c>
      <c r="X201" s="2"/>
      <c r="Y201" s="10"/>
      <c r="Z201" s="11" t="str">
        <f>IF(X201&lt;&gt;"执行卖出","",IFERROR(LOOKUP(2,1/(单次交易!$A$2:$A$163=B201),单次交易!$AP$2:$AP$163),""))</f>
        <v/>
      </c>
      <c r="AA201" s="10"/>
      <c r="AB201" s="8" t="str">
        <f t="shared" si="35"/>
        <v/>
      </c>
      <c r="AC201" s="8" t="str">
        <f>IF(A201="","",IF(A201="止损计划",IF(OR(B201="",D201="",E201="",F201="",G201=""),"计划不完整",IF(OR(D201&lt;1,D201&lt;&gt;INT(D201)),"阶段序号无效",IF(COUNTIFS($A$2:$A$497,"止损计划",$B$2:$B$497,B201,$D$2:$D$497,D201)&gt;1,"阶段序号重复",IF(E201&lt;=IFERROR(LOOKUP(2,1/(单次交易!$A$2:$A$163=B201),单次交易!$E$2:$E$163),0),"激活价须高于买入价",IF(F201&lt;N201,"止损价不得低于初始止损",IF(F201&gt;E201,"止损价不得高于激活价",IF(AND(COUNTIFS($A$2:$A$497,"止损计划",$B$2:$B$497,B201,$D$2:$D$497,"&lt;"&amp;D201)&gt;0,OR(E201&lt;=SUMPRODUCT(MAX((($A$2:$A$497="止损计划")*($B$2:$B$497=B201)*($D$2:$D$497&lt;D201))*$E$2:$E$497)),F201&lt;SUMPRODUCT(MAX((($A$2:$A$497="止损计划")*($B$2:$B$497=B201)*($D$2:$D$497&lt;D201))*$F$2:$F$497)))),"阶段价格必须逐级提高","计划有效"))))))),IF(A201="每日跟踪",IF(OR(B201="",H201="",I201="",J201=""),"每日数据不完整",IF(COUNTIFS($A$2:$A$497,"每日跟踪",$B$2:$B$497,B201,$H$2:$H$497,H201)&gt;1,"同一交易日期重复",IF(AND(R201&lt;&gt;"",R201&lt;S201),"人工止损无效：不能下调","跟踪有效"))),"记录类型无效")))</f>
        <v/>
      </c>
    </row>
    <row r="202" ht="17" spans="1:29">
      <c r="A202" s="2"/>
      <c r="B202" s="2"/>
      <c r="C202" s="8" t="str">
        <f>IF(B202="","",IFERROR(LOOKUP(2,1/(单次交易!$A$2:$A$163=B202),单次交易!$B$2:$B$163),""))</f>
        <v/>
      </c>
      <c r="D202" s="12"/>
      <c r="E202" s="10"/>
      <c r="F202" s="10"/>
      <c r="G202" s="2"/>
      <c r="H202" s="15"/>
      <c r="I202" s="10"/>
      <c r="J202" s="12"/>
      <c r="K202" s="2"/>
      <c r="L202" s="2"/>
      <c r="M202" s="2"/>
      <c r="N202" s="5" t="str">
        <f>IF(B202="","",IFERROR(LOOKUP(2,1/(单次交易!$A$2:$A$163=B202),单次交易!$N$2:$N$163),""))</f>
        <v/>
      </c>
      <c r="O202" s="5" t="str">
        <f t="shared" si="27"/>
        <v/>
      </c>
      <c r="P202" s="11" t="str">
        <f t="shared" si="28"/>
        <v/>
      </c>
      <c r="Q202" s="5" t="str">
        <f t="shared" si="29"/>
        <v/>
      </c>
      <c r="R202" s="10"/>
      <c r="S202" s="5" t="str">
        <f t="shared" si="30"/>
        <v/>
      </c>
      <c r="T202" s="5" t="str">
        <f t="shared" si="31"/>
        <v/>
      </c>
      <c r="U202" s="5" t="str">
        <f t="shared" si="32"/>
        <v/>
      </c>
      <c r="V202" s="7" t="str">
        <f t="shared" si="33"/>
        <v/>
      </c>
      <c r="W202" s="8" t="str">
        <f t="shared" si="34"/>
        <v/>
      </c>
      <c r="X202" s="2"/>
      <c r="Y202" s="10"/>
      <c r="Z202" s="11" t="str">
        <f>IF(X202&lt;&gt;"执行卖出","",IFERROR(LOOKUP(2,1/(单次交易!$A$2:$A$163=B202),单次交易!$AP$2:$AP$163),""))</f>
        <v/>
      </c>
      <c r="AA202" s="10"/>
      <c r="AB202" s="8" t="str">
        <f t="shared" si="35"/>
        <v/>
      </c>
      <c r="AC202" s="8" t="str">
        <f>IF(A202="","",IF(A202="止损计划",IF(OR(B202="",D202="",E202="",F202="",G202=""),"计划不完整",IF(OR(D202&lt;1,D202&lt;&gt;INT(D202)),"阶段序号无效",IF(COUNTIFS($A$2:$A$497,"止损计划",$B$2:$B$497,B202,$D$2:$D$497,D202)&gt;1,"阶段序号重复",IF(E202&lt;=IFERROR(LOOKUP(2,1/(单次交易!$A$2:$A$163=B202),单次交易!$E$2:$E$163),0),"激活价须高于买入价",IF(F202&lt;N202,"止损价不得低于初始止损",IF(F202&gt;E202,"止损价不得高于激活价",IF(AND(COUNTIFS($A$2:$A$497,"止损计划",$B$2:$B$497,B202,$D$2:$D$497,"&lt;"&amp;D202)&gt;0,OR(E202&lt;=SUMPRODUCT(MAX((($A$2:$A$497="止损计划")*($B$2:$B$497=B202)*($D$2:$D$497&lt;D202))*$E$2:$E$497)),F202&lt;SUMPRODUCT(MAX((($A$2:$A$497="止损计划")*($B$2:$B$497=B202)*($D$2:$D$497&lt;D202))*$F$2:$F$497)))),"阶段价格必须逐级提高","计划有效"))))))),IF(A202="每日跟踪",IF(OR(B202="",H202="",I202="",J202=""),"每日数据不完整",IF(COUNTIFS($A$2:$A$497,"每日跟踪",$B$2:$B$497,B202,$H$2:$H$497,H202)&gt;1,"同一交易日期重复",IF(AND(R202&lt;&gt;"",R202&lt;S202),"人工止损无效：不能下调","跟踪有效"))),"记录类型无效")))</f>
        <v/>
      </c>
    </row>
    <row r="203" ht="17" spans="1:29">
      <c r="A203" s="2"/>
      <c r="B203" s="2"/>
      <c r="C203" s="8" t="str">
        <f>IF(B203="","",IFERROR(LOOKUP(2,1/(单次交易!$A$2:$A$163=B203),单次交易!$B$2:$B$163),""))</f>
        <v/>
      </c>
      <c r="D203" s="12"/>
      <c r="E203" s="10"/>
      <c r="F203" s="10"/>
      <c r="G203" s="2"/>
      <c r="H203" s="15"/>
      <c r="I203" s="10"/>
      <c r="J203" s="12"/>
      <c r="K203" s="2"/>
      <c r="L203" s="2"/>
      <c r="M203" s="2"/>
      <c r="N203" s="5" t="str">
        <f>IF(B203="","",IFERROR(LOOKUP(2,1/(单次交易!$A$2:$A$163=B203),单次交易!$N$2:$N$163),""))</f>
        <v/>
      </c>
      <c r="O203" s="5" t="str">
        <f t="shared" si="27"/>
        <v/>
      </c>
      <c r="P203" s="11" t="str">
        <f t="shared" si="28"/>
        <v/>
      </c>
      <c r="Q203" s="5" t="str">
        <f t="shared" si="29"/>
        <v/>
      </c>
      <c r="R203" s="10"/>
      <c r="S203" s="5" t="str">
        <f t="shared" si="30"/>
        <v/>
      </c>
      <c r="T203" s="5" t="str">
        <f t="shared" si="31"/>
        <v/>
      </c>
      <c r="U203" s="5" t="str">
        <f t="shared" si="32"/>
        <v/>
      </c>
      <c r="V203" s="7" t="str">
        <f t="shared" si="33"/>
        <v/>
      </c>
      <c r="W203" s="8" t="str">
        <f t="shared" si="34"/>
        <v/>
      </c>
      <c r="X203" s="2"/>
      <c r="Y203" s="10"/>
      <c r="Z203" s="11" t="str">
        <f>IF(X203&lt;&gt;"执行卖出","",IFERROR(LOOKUP(2,1/(单次交易!$A$2:$A$163=B203),单次交易!$AP$2:$AP$163),""))</f>
        <v/>
      </c>
      <c r="AA203" s="10"/>
      <c r="AB203" s="8" t="str">
        <f t="shared" si="35"/>
        <v/>
      </c>
      <c r="AC203" s="8" t="str">
        <f>IF(A203="","",IF(A203="止损计划",IF(OR(B203="",D203="",E203="",F203="",G203=""),"计划不完整",IF(OR(D203&lt;1,D203&lt;&gt;INT(D203)),"阶段序号无效",IF(COUNTIFS($A$2:$A$497,"止损计划",$B$2:$B$497,B203,$D$2:$D$497,D203)&gt;1,"阶段序号重复",IF(E203&lt;=IFERROR(LOOKUP(2,1/(单次交易!$A$2:$A$163=B203),单次交易!$E$2:$E$163),0),"激活价须高于买入价",IF(F203&lt;N203,"止损价不得低于初始止损",IF(F203&gt;E203,"止损价不得高于激活价",IF(AND(COUNTIFS($A$2:$A$497,"止损计划",$B$2:$B$497,B203,$D$2:$D$497,"&lt;"&amp;D203)&gt;0,OR(E203&lt;=SUMPRODUCT(MAX((($A$2:$A$497="止损计划")*($B$2:$B$497=B203)*($D$2:$D$497&lt;D203))*$E$2:$E$497)),F203&lt;SUMPRODUCT(MAX((($A$2:$A$497="止损计划")*($B$2:$B$497=B203)*($D$2:$D$497&lt;D203))*$F$2:$F$497)))),"阶段价格必须逐级提高","计划有效"))))))),IF(A203="每日跟踪",IF(OR(B203="",H203="",I203="",J203=""),"每日数据不完整",IF(COUNTIFS($A$2:$A$497,"每日跟踪",$B$2:$B$497,B203,$H$2:$H$497,H203)&gt;1,"同一交易日期重复",IF(AND(R203&lt;&gt;"",R203&lt;S203),"人工止损无效：不能下调","跟踪有效"))),"记录类型无效")))</f>
        <v/>
      </c>
    </row>
    <row r="204" ht="17" spans="1:29">
      <c r="A204" s="2"/>
      <c r="B204" s="2"/>
      <c r="C204" s="8" t="str">
        <f>IF(B204="","",IFERROR(LOOKUP(2,1/(单次交易!$A$2:$A$163=B204),单次交易!$B$2:$B$163),""))</f>
        <v/>
      </c>
      <c r="D204" s="12"/>
      <c r="E204" s="10"/>
      <c r="F204" s="10"/>
      <c r="G204" s="2"/>
      <c r="H204" s="15"/>
      <c r="I204" s="10"/>
      <c r="J204" s="12"/>
      <c r="K204" s="2"/>
      <c r="L204" s="2"/>
      <c r="M204" s="2"/>
      <c r="N204" s="5" t="str">
        <f>IF(B204="","",IFERROR(LOOKUP(2,1/(单次交易!$A$2:$A$163=B204),单次交易!$N$2:$N$163),""))</f>
        <v/>
      </c>
      <c r="O204" s="5" t="str">
        <f t="shared" si="27"/>
        <v/>
      </c>
      <c r="P204" s="11" t="str">
        <f t="shared" si="28"/>
        <v/>
      </c>
      <c r="Q204" s="5" t="str">
        <f t="shared" si="29"/>
        <v/>
      </c>
      <c r="R204" s="10"/>
      <c r="S204" s="5" t="str">
        <f t="shared" si="30"/>
        <v/>
      </c>
      <c r="T204" s="5" t="str">
        <f t="shared" si="31"/>
        <v/>
      </c>
      <c r="U204" s="5" t="str">
        <f t="shared" si="32"/>
        <v/>
      </c>
      <c r="V204" s="7" t="str">
        <f t="shared" si="33"/>
        <v/>
      </c>
      <c r="W204" s="8" t="str">
        <f t="shared" si="34"/>
        <v/>
      </c>
      <c r="X204" s="2"/>
      <c r="Y204" s="10"/>
      <c r="Z204" s="11" t="str">
        <f>IF(X204&lt;&gt;"执行卖出","",IFERROR(LOOKUP(2,1/(单次交易!$A$2:$A$163=B204),单次交易!$AP$2:$AP$163),""))</f>
        <v/>
      </c>
      <c r="AA204" s="10"/>
      <c r="AB204" s="8" t="str">
        <f t="shared" si="35"/>
        <v/>
      </c>
      <c r="AC204" s="8" t="str">
        <f>IF(A204="","",IF(A204="止损计划",IF(OR(B204="",D204="",E204="",F204="",G204=""),"计划不完整",IF(OR(D204&lt;1,D204&lt;&gt;INT(D204)),"阶段序号无效",IF(COUNTIFS($A$2:$A$497,"止损计划",$B$2:$B$497,B204,$D$2:$D$497,D204)&gt;1,"阶段序号重复",IF(E204&lt;=IFERROR(LOOKUP(2,1/(单次交易!$A$2:$A$163=B204),单次交易!$E$2:$E$163),0),"激活价须高于买入价",IF(F204&lt;N204,"止损价不得低于初始止损",IF(F204&gt;E204,"止损价不得高于激活价",IF(AND(COUNTIFS($A$2:$A$497,"止损计划",$B$2:$B$497,B204,$D$2:$D$497,"&lt;"&amp;D204)&gt;0,OR(E204&lt;=SUMPRODUCT(MAX((($A$2:$A$497="止损计划")*($B$2:$B$497=B204)*($D$2:$D$497&lt;D204))*$E$2:$E$497)),F204&lt;SUMPRODUCT(MAX((($A$2:$A$497="止损计划")*($B$2:$B$497=B204)*($D$2:$D$497&lt;D204))*$F$2:$F$497)))),"阶段价格必须逐级提高","计划有效"))))))),IF(A204="每日跟踪",IF(OR(B204="",H204="",I204="",J204=""),"每日数据不完整",IF(COUNTIFS($A$2:$A$497,"每日跟踪",$B$2:$B$497,B204,$H$2:$H$497,H204)&gt;1,"同一交易日期重复",IF(AND(R204&lt;&gt;"",R204&lt;S204),"人工止损无效：不能下调","跟踪有效"))),"记录类型无效")))</f>
        <v/>
      </c>
    </row>
    <row r="205" ht="17" spans="1:29">
      <c r="A205" s="2"/>
      <c r="B205" s="2"/>
      <c r="C205" s="8" t="str">
        <f>IF(B205="","",IFERROR(LOOKUP(2,1/(单次交易!$A$2:$A$163=B205),单次交易!$B$2:$B$163),""))</f>
        <v/>
      </c>
      <c r="D205" s="12"/>
      <c r="E205" s="10"/>
      <c r="F205" s="10"/>
      <c r="G205" s="2"/>
      <c r="H205" s="15"/>
      <c r="I205" s="10"/>
      <c r="J205" s="12"/>
      <c r="K205" s="2"/>
      <c r="L205" s="2"/>
      <c r="M205" s="2"/>
      <c r="N205" s="5" t="str">
        <f>IF(B205="","",IFERROR(LOOKUP(2,1/(单次交易!$A$2:$A$163=B205),单次交易!$N$2:$N$163),""))</f>
        <v/>
      </c>
      <c r="O205" s="5" t="str">
        <f t="shared" si="27"/>
        <v/>
      </c>
      <c r="P205" s="11" t="str">
        <f t="shared" si="28"/>
        <v/>
      </c>
      <c r="Q205" s="5" t="str">
        <f t="shared" si="29"/>
        <v/>
      </c>
      <c r="R205" s="10"/>
      <c r="S205" s="5" t="str">
        <f t="shared" si="30"/>
        <v/>
      </c>
      <c r="T205" s="5" t="str">
        <f t="shared" si="31"/>
        <v/>
      </c>
      <c r="U205" s="5" t="str">
        <f t="shared" si="32"/>
        <v/>
      </c>
      <c r="V205" s="7" t="str">
        <f t="shared" si="33"/>
        <v/>
      </c>
      <c r="W205" s="8" t="str">
        <f t="shared" si="34"/>
        <v/>
      </c>
      <c r="X205" s="2"/>
      <c r="Y205" s="10"/>
      <c r="Z205" s="11" t="str">
        <f>IF(X205&lt;&gt;"执行卖出","",IFERROR(LOOKUP(2,1/(单次交易!$A$2:$A$163=B205),单次交易!$AP$2:$AP$163),""))</f>
        <v/>
      </c>
      <c r="AA205" s="10"/>
      <c r="AB205" s="8" t="str">
        <f t="shared" si="35"/>
        <v/>
      </c>
      <c r="AC205" s="8" t="str">
        <f>IF(A205="","",IF(A205="止损计划",IF(OR(B205="",D205="",E205="",F205="",G205=""),"计划不完整",IF(OR(D205&lt;1,D205&lt;&gt;INT(D205)),"阶段序号无效",IF(COUNTIFS($A$2:$A$497,"止损计划",$B$2:$B$497,B205,$D$2:$D$497,D205)&gt;1,"阶段序号重复",IF(E205&lt;=IFERROR(LOOKUP(2,1/(单次交易!$A$2:$A$163=B205),单次交易!$E$2:$E$163),0),"激活价须高于买入价",IF(F205&lt;N205,"止损价不得低于初始止损",IF(F205&gt;E205,"止损价不得高于激活价",IF(AND(COUNTIFS($A$2:$A$497,"止损计划",$B$2:$B$497,B205,$D$2:$D$497,"&lt;"&amp;D205)&gt;0,OR(E205&lt;=SUMPRODUCT(MAX((($A$2:$A$497="止损计划")*($B$2:$B$497=B205)*($D$2:$D$497&lt;D205))*$E$2:$E$497)),F205&lt;SUMPRODUCT(MAX((($A$2:$A$497="止损计划")*($B$2:$B$497=B205)*($D$2:$D$497&lt;D205))*$F$2:$F$497)))),"阶段价格必须逐级提高","计划有效"))))))),IF(A205="每日跟踪",IF(OR(B205="",H205="",I205="",J205=""),"每日数据不完整",IF(COUNTIFS($A$2:$A$497,"每日跟踪",$B$2:$B$497,B205,$H$2:$H$497,H205)&gt;1,"同一交易日期重复",IF(AND(R205&lt;&gt;"",R205&lt;S205),"人工止损无效：不能下调","跟踪有效"))),"记录类型无效")))</f>
        <v/>
      </c>
    </row>
    <row r="206" ht="17" spans="1:29">
      <c r="A206" s="2"/>
      <c r="B206" s="2"/>
      <c r="C206" s="8" t="str">
        <f>IF(B206="","",IFERROR(LOOKUP(2,1/(单次交易!$A$2:$A$163=B206),单次交易!$B$2:$B$163),""))</f>
        <v/>
      </c>
      <c r="D206" s="12"/>
      <c r="E206" s="10"/>
      <c r="F206" s="10"/>
      <c r="G206" s="2"/>
      <c r="H206" s="15"/>
      <c r="I206" s="10"/>
      <c r="J206" s="12"/>
      <c r="K206" s="2"/>
      <c r="L206" s="2"/>
      <c r="M206" s="2"/>
      <c r="N206" s="5" t="str">
        <f>IF(B206="","",IFERROR(LOOKUP(2,1/(单次交易!$A$2:$A$163=B206),单次交易!$N$2:$N$163),""))</f>
        <v/>
      </c>
      <c r="O206" s="5" t="str">
        <f t="shared" si="27"/>
        <v/>
      </c>
      <c r="P206" s="11" t="str">
        <f t="shared" si="28"/>
        <v/>
      </c>
      <c r="Q206" s="5" t="str">
        <f t="shared" si="29"/>
        <v/>
      </c>
      <c r="R206" s="10"/>
      <c r="S206" s="5" t="str">
        <f t="shared" si="30"/>
        <v/>
      </c>
      <c r="T206" s="5" t="str">
        <f t="shared" si="31"/>
        <v/>
      </c>
      <c r="U206" s="5" t="str">
        <f t="shared" si="32"/>
        <v/>
      </c>
      <c r="V206" s="7" t="str">
        <f t="shared" si="33"/>
        <v/>
      </c>
      <c r="W206" s="8" t="str">
        <f t="shared" si="34"/>
        <v/>
      </c>
      <c r="X206" s="2"/>
      <c r="Y206" s="10"/>
      <c r="Z206" s="11" t="str">
        <f>IF(X206&lt;&gt;"执行卖出","",IFERROR(LOOKUP(2,1/(单次交易!$A$2:$A$163=B206),单次交易!$AP$2:$AP$163),""))</f>
        <v/>
      </c>
      <c r="AA206" s="10"/>
      <c r="AB206" s="8" t="str">
        <f t="shared" si="35"/>
        <v/>
      </c>
      <c r="AC206" s="8" t="str">
        <f>IF(A206="","",IF(A206="止损计划",IF(OR(B206="",D206="",E206="",F206="",G206=""),"计划不完整",IF(OR(D206&lt;1,D206&lt;&gt;INT(D206)),"阶段序号无效",IF(COUNTIFS($A$2:$A$497,"止损计划",$B$2:$B$497,B206,$D$2:$D$497,D206)&gt;1,"阶段序号重复",IF(E206&lt;=IFERROR(LOOKUP(2,1/(单次交易!$A$2:$A$163=B206),单次交易!$E$2:$E$163),0),"激活价须高于买入价",IF(F206&lt;N206,"止损价不得低于初始止损",IF(F206&gt;E206,"止损价不得高于激活价",IF(AND(COUNTIFS($A$2:$A$497,"止损计划",$B$2:$B$497,B206,$D$2:$D$497,"&lt;"&amp;D206)&gt;0,OR(E206&lt;=SUMPRODUCT(MAX((($A$2:$A$497="止损计划")*($B$2:$B$497=B206)*($D$2:$D$497&lt;D206))*$E$2:$E$497)),F206&lt;SUMPRODUCT(MAX((($A$2:$A$497="止损计划")*($B$2:$B$497=B206)*($D$2:$D$497&lt;D206))*$F$2:$F$497)))),"阶段价格必须逐级提高","计划有效"))))))),IF(A206="每日跟踪",IF(OR(B206="",H206="",I206="",J206=""),"每日数据不完整",IF(COUNTIFS($A$2:$A$497,"每日跟踪",$B$2:$B$497,B206,$H$2:$H$497,H206)&gt;1,"同一交易日期重复",IF(AND(R206&lt;&gt;"",R206&lt;S206),"人工止损无效：不能下调","跟踪有效"))),"记录类型无效")))</f>
        <v/>
      </c>
    </row>
    <row r="207" ht="17" spans="1:29">
      <c r="A207" s="2"/>
      <c r="B207" s="2"/>
      <c r="C207" s="8" t="str">
        <f>IF(B207="","",IFERROR(LOOKUP(2,1/(单次交易!$A$2:$A$163=B207),单次交易!$B$2:$B$163),""))</f>
        <v/>
      </c>
      <c r="D207" s="12"/>
      <c r="E207" s="10"/>
      <c r="F207" s="10"/>
      <c r="G207" s="2"/>
      <c r="H207" s="15"/>
      <c r="I207" s="10"/>
      <c r="J207" s="12"/>
      <c r="K207" s="2"/>
      <c r="L207" s="2"/>
      <c r="M207" s="2"/>
      <c r="N207" s="5" t="str">
        <f>IF(B207="","",IFERROR(LOOKUP(2,1/(单次交易!$A$2:$A$163=B207),单次交易!$N$2:$N$163),""))</f>
        <v/>
      </c>
      <c r="O207" s="5" t="str">
        <f t="shared" si="27"/>
        <v/>
      </c>
      <c r="P207" s="11" t="str">
        <f t="shared" si="28"/>
        <v/>
      </c>
      <c r="Q207" s="5" t="str">
        <f t="shared" si="29"/>
        <v/>
      </c>
      <c r="R207" s="10"/>
      <c r="S207" s="5" t="str">
        <f t="shared" si="30"/>
        <v/>
      </c>
      <c r="T207" s="5" t="str">
        <f t="shared" si="31"/>
        <v/>
      </c>
      <c r="U207" s="5" t="str">
        <f t="shared" si="32"/>
        <v/>
      </c>
      <c r="V207" s="7" t="str">
        <f t="shared" si="33"/>
        <v/>
      </c>
      <c r="W207" s="8" t="str">
        <f t="shared" si="34"/>
        <v/>
      </c>
      <c r="X207" s="2"/>
      <c r="Y207" s="10"/>
      <c r="Z207" s="11" t="str">
        <f>IF(X207&lt;&gt;"执行卖出","",IFERROR(LOOKUP(2,1/(单次交易!$A$2:$A$163=B207),单次交易!$AP$2:$AP$163),""))</f>
        <v/>
      </c>
      <c r="AA207" s="10"/>
      <c r="AB207" s="8" t="str">
        <f t="shared" si="35"/>
        <v/>
      </c>
      <c r="AC207" s="8" t="str">
        <f>IF(A207="","",IF(A207="止损计划",IF(OR(B207="",D207="",E207="",F207="",G207=""),"计划不完整",IF(OR(D207&lt;1,D207&lt;&gt;INT(D207)),"阶段序号无效",IF(COUNTIFS($A$2:$A$497,"止损计划",$B$2:$B$497,B207,$D$2:$D$497,D207)&gt;1,"阶段序号重复",IF(E207&lt;=IFERROR(LOOKUP(2,1/(单次交易!$A$2:$A$163=B207),单次交易!$E$2:$E$163),0),"激活价须高于买入价",IF(F207&lt;N207,"止损价不得低于初始止损",IF(F207&gt;E207,"止损价不得高于激活价",IF(AND(COUNTIFS($A$2:$A$497,"止损计划",$B$2:$B$497,B207,$D$2:$D$497,"&lt;"&amp;D207)&gt;0,OR(E207&lt;=SUMPRODUCT(MAX((($A$2:$A$497="止损计划")*($B$2:$B$497=B207)*($D$2:$D$497&lt;D207))*$E$2:$E$497)),F207&lt;SUMPRODUCT(MAX((($A$2:$A$497="止损计划")*($B$2:$B$497=B207)*($D$2:$D$497&lt;D207))*$F$2:$F$497)))),"阶段价格必须逐级提高","计划有效"))))))),IF(A207="每日跟踪",IF(OR(B207="",H207="",I207="",J207=""),"每日数据不完整",IF(COUNTIFS($A$2:$A$497,"每日跟踪",$B$2:$B$497,B207,$H$2:$H$497,H207)&gt;1,"同一交易日期重复",IF(AND(R207&lt;&gt;"",R207&lt;S207),"人工止损无效：不能下调","跟踪有效"))),"记录类型无效")))</f>
        <v/>
      </c>
    </row>
    <row r="208" ht="17" spans="1:29">
      <c r="A208" s="2"/>
      <c r="B208" s="2"/>
      <c r="C208" s="8" t="str">
        <f>IF(B208="","",IFERROR(LOOKUP(2,1/(单次交易!$A$2:$A$163=B208),单次交易!$B$2:$B$163),""))</f>
        <v/>
      </c>
      <c r="D208" s="12"/>
      <c r="E208" s="10"/>
      <c r="F208" s="10"/>
      <c r="G208" s="2"/>
      <c r="H208" s="15"/>
      <c r="I208" s="10"/>
      <c r="J208" s="12"/>
      <c r="K208" s="2"/>
      <c r="L208" s="2"/>
      <c r="M208" s="2"/>
      <c r="N208" s="5" t="str">
        <f>IF(B208="","",IFERROR(LOOKUP(2,1/(单次交易!$A$2:$A$163=B208),单次交易!$N$2:$N$163),""))</f>
        <v/>
      </c>
      <c r="O208" s="5" t="str">
        <f t="shared" si="27"/>
        <v/>
      </c>
      <c r="P208" s="11" t="str">
        <f t="shared" si="28"/>
        <v/>
      </c>
      <c r="Q208" s="5" t="str">
        <f t="shared" si="29"/>
        <v/>
      </c>
      <c r="R208" s="10"/>
      <c r="S208" s="5" t="str">
        <f t="shared" si="30"/>
        <v/>
      </c>
      <c r="T208" s="5" t="str">
        <f t="shared" si="31"/>
        <v/>
      </c>
      <c r="U208" s="5" t="str">
        <f t="shared" si="32"/>
        <v/>
      </c>
      <c r="V208" s="7" t="str">
        <f t="shared" si="33"/>
        <v/>
      </c>
      <c r="W208" s="8" t="str">
        <f t="shared" si="34"/>
        <v/>
      </c>
      <c r="X208" s="2"/>
      <c r="Y208" s="10"/>
      <c r="Z208" s="11" t="str">
        <f>IF(X208&lt;&gt;"执行卖出","",IFERROR(LOOKUP(2,1/(单次交易!$A$2:$A$163=B208),单次交易!$AP$2:$AP$163),""))</f>
        <v/>
      </c>
      <c r="AA208" s="10"/>
      <c r="AB208" s="8" t="str">
        <f t="shared" si="35"/>
        <v/>
      </c>
      <c r="AC208" s="8" t="str">
        <f>IF(A208="","",IF(A208="止损计划",IF(OR(B208="",D208="",E208="",F208="",G208=""),"计划不完整",IF(OR(D208&lt;1,D208&lt;&gt;INT(D208)),"阶段序号无效",IF(COUNTIFS($A$2:$A$497,"止损计划",$B$2:$B$497,B208,$D$2:$D$497,D208)&gt;1,"阶段序号重复",IF(E208&lt;=IFERROR(LOOKUP(2,1/(单次交易!$A$2:$A$163=B208),单次交易!$E$2:$E$163),0),"激活价须高于买入价",IF(F208&lt;N208,"止损价不得低于初始止损",IF(F208&gt;E208,"止损价不得高于激活价",IF(AND(COUNTIFS($A$2:$A$497,"止损计划",$B$2:$B$497,B208,$D$2:$D$497,"&lt;"&amp;D208)&gt;0,OR(E208&lt;=SUMPRODUCT(MAX((($A$2:$A$497="止损计划")*($B$2:$B$497=B208)*($D$2:$D$497&lt;D208))*$E$2:$E$497)),F208&lt;SUMPRODUCT(MAX((($A$2:$A$497="止损计划")*($B$2:$B$497=B208)*($D$2:$D$497&lt;D208))*$F$2:$F$497)))),"阶段价格必须逐级提高","计划有效"))))))),IF(A208="每日跟踪",IF(OR(B208="",H208="",I208="",J208=""),"每日数据不完整",IF(COUNTIFS($A$2:$A$497,"每日跟踪",$B$2:$B$497,B208,$H$2:$H$497,H208)&gt;1,"同一交易日期重复",IF(AND(R208&lt;&gt;"",R208&lt;S208),"人工止损无效：不能下调","跟踪有效"))),"记录类型无效")))</f>
        <v/>
      </c>
    </row>
    <row r="209" ht="17" spans="1:29">
      <c r="A209" s="2"/>
      <c r="B209" s="2"/>
      <c r="C209" s="8" t="str">
        <f>IF(B209="","",IFERROR(LOOKUP(2,1/(单次交易!$A$2:$A$163=B209),单次交易!$B$2:$B$163),""))</f>
        <v/>
      </c>
      <c r="D209" s="12"/>
      <c r="E209" s="10"/>
      <c r="F209" s="10"/>
      <c r="G209" s="2"/>
      <c r="H209" s="15"/>
      <c r="I209" s="10"/>
      <c r="J209" s="12"/>
      <c r="K209" s="2"/>
      <c r="L209" s="2"/>
      <c r="M209" s="2"/>
      <c r="N209" s="5" t="str">
        <f>IF(B209="","",IFERROR(LOOKUP(2,1/(单次交易!$A$2:$A$163=B209),单次交易!$N$2:$N$163),""))</f>
        <v/>
      </c>
      <c r="O209" s="5" t="str">
        <f t="shared" si="27"/>
        <v/>
      </c>
      <c r="P209" s="11" t="str">
        <f t="shared" si="28"/>
        <v/>
      </c>
      <c r="Q209" s="5" t="str">
        <f t="shared" si="29"/>
        <v/>
      </c>
      <c r="R209" s="10"/>
      <c r="S209" s="5" t="str">
        <f t="shared" si="30"/>
        <v/>
      </c>
      <c r="T209" s="5" t="str">
        <f t="shared" si="31"/>
        <v/>
      </c>
      <c r="U209" s="5" t="str">
        <f t="shared" si="32"/>
        <v/>
      </c>
      <c r="V209" s="7" t="str">
        <f t="shared" si="33"/>
        <v/>
      </c>
      <c r="W209" s="8" t="str">
        <f t="shared" si="34"/>
        <v/>
      </c>
      <c r="X209" s="2"/>
      <c r="Y209" s="10"/>
      <c r="Z209" s="11" t="str">
        <f>IF(X209&lt;&gt;"执行卖出","",IFERROR(LOOKUP(2,1/(单次交易!$A$2:$A$163=B209),单次交易!$AP$2:$AP$163),""))</f>
        <v/>
      </c>
      <c r="AA209" s="10"/>
      <c r="AB209" s="8" t="str">
        <f t="shared" si="35"/>
        <v/>
      </c>
      <c r="AC209" s="8" t="str">
        <f>IF(A209="","",IF(A209="止损计划",IF(OR(B209="",D209="",E209="",F209="",G209=""),"计划不完整",IF(OR(D209&lt;1,D209&lt;&gt;INT(D209)),"阶段序号无效",IF(COUNTIFS($A$2:$A$497,"止损计划",$B$2:$B$497,B209,$D$2:$D$497,D209)&gt;1,"阶段序号重复",IF(E209&lt;=IFERROR(LOOKUP(2,1/(单次交易!$A$2:$A$163=B209),单次交易!$E$2:$E$163),0),"激活价须高于买入价",IF(F209&lt;N209,"止损价不得低于初始止损",IF(F209&gt;E209,"止损价不得高于激活价",IF(AND(COUNTIFS($A$2:$A$497,"止损计划",$B$2:$B$497,B209,$D$2:$D$497,"&lt;"&amp;D209)&gt;0,OR(E209&lt;=SUMPRODUCT(MAX((($A$2:$A$497="止损计划")*($B$2:$B$497=B209)*($D$2:$D$497&lt;D209))*$E$2:$E$497)),F209&lt;SUMPRODUCT(MAX((($A$2:$A$497="止损计划")*($B$2:$B$497=B209)*($D$2:$D$497&lt;D209))*$F$2:$F$497)))),"阶段价格必须逐级提高","计划有效"))))))),IF(A209="每日跟踪",IF(OR(B209="",H209="",I209="",J209=""),"每日数据不完整",IF(COUNTIFS($A$2:$A$497,"每日跟踪",$B$2:$B$497,B209,$H$2:$H$497,H209)&gt;1,"同一交易日期重复",IF(AND(R209&lt;&gt;"",R209&lt;S209),"人工止损无效：不能下调","跟踪有效"))),"记录类型无效")))</f>
        <v/>
      </c>
    </row>
    <row r="210" ht="17" spans="1:29">
      <c r="A210" s="2"/>
      <c r="B210" s="2"/>
      <c r="C210" s="8" t="str">
        <f>IF(B210="","",IFERROR(LOOKUP(2,1/(单次交易!$A$2:$A$163=B210),单次交易!$B$2:$B$163),""))</f>
        <v/>
      </c>
      <c r="D210" s="12"/>
      <c r="E210" s="10"/>
      <c r="F210" s="10"/>
      <c r="G210" s="2"/>
      <c r="H210" s="15"/>
      <c r="I210" s="10"/>
      <c r="J210" s="12"/>
      <c r="K210" s="2"/>
      <c r="L210" s="2"/>
      <c r="M210" s="2"/>
      <c r="N210" s="5" t="str">
        <f>IF(B210="","",IFERROR(LOOKUP(2,1/(单次交易!$A$2:$A$163=B210),单次交易!$N$2:$N$163),""))</f>
        <v/>
      </c>
      <c r="O210" s="5" t="str">
        <f t="shared" si="27"/>
        <v/>
      </c>
      <c r="P210" s="11" t="str">
        <f t="shared" si="28"/>
        <v/>
      </c>
      <c r="Q210" s="5" t="str">
        <f t="shared" si="29"/>
        <v/>
      </c>
      <c r="R210" s="10"/>
      <c r="S210" s="5" t="str">
        <f t="shared" si="30"/>
        <v/>
      </c>
      <c r="T210" s="5" t="str">
        <f t="shared" si="31"/>
        <v/>
      </c>
      <c r="U210" s="5" t="str">
        <f t="shared" si="32"/>
        <v/>
      </c>
      <c r="V210" s="7" t="str">
        <f t="shared" si="33"/>
        <v/>
      </c>
      <c r="W210" s="8" t="str">
        <f t="shared" si="34"/>
        <v/>
      </c>
      <c r="X210" s="2"/>
      <c r="Y210" s="10"/>
      <c r="Z210" s="11" t="str">
        <f>IF(X210&lt;&gt;"执行卖出","",IFERROR(LOOKUP(2,1/(单次交易!$A$2:$A$163=B210),单次交易!$AP$2:$AP$163),""))</f>
        <v/>
      </c>
      <c r="AA210" s="10"/>
      <c r="AB210" s="8" t="str">
        <f t="shared" si="35"/>
        <v/>
      </c>
      <c r="AC210" s="8" t="str">
        <f>IF(A210="","",IF(A210="止损计划",IF(OR(B210="",D210="",E210="",F210="",G210=""),"计划不完整",IF(OR(D210&lt;1,D210&lt;&gt;INT(D210)),"阶段序号无效",IF(COUNTIFS($A$2:$A$497,"止损计划",$B$2:$B$497,B210,$D$2:$D$497,D210)&gt;1,"阶段序号重复",IF(E210&lt;=IFERROR(LOOKUP(2,1/(单次交易!$A$2:$A$163=B210),单次交易!$E$2:$E$163),0),"激活价须高于买入价",IF(F210&lt;N210,"止损价不得低于初始止损",IF(F210&gt;E210,"止损价不得高于激活价",IF(AND(COUNTIFS($A$2:$A$497,"止损计划",$B$2:$B$497,B210,$D$2:$D$497,"&lt;"&amp;D210)&gt;0,OR(E210&lt;=SUMPRODUCT(MAX((($A$2:$A$497="止损计划")*($B$2:$B$497=B210)*($D$2:$D$497&lt;D210))*$E$2:$E$497)),F210&lt;SUMPRODUCT(MAX((($A$2:$A$497="止损计划")*($B$2:$B$497=B210)*($D$2:$D$497&lt;D210))*$F$2:$F$497)))),"阶段价格必须逐级提高","计划有效"))))))),IF(A210="每日跟踪",IF(OR(B210="",H210="",I210="",J210=""),"每日数据不完整",IF(COUNTIFS($A$2:$A$497,"每日跟踪",$B$2:$B$497,B210,$H$2:$H$497,H210)&gt;1,"同一交易日期重复",IF(AND(R210&lt;&gt;"",R210&lt;S210),"人工止损无效：不能下调","跟踪有效"))),"记录类型无效")))</f>
        <v/>
      </c>
    </row>
    <row r="211" ht="17" spans="1:29">
      <c r="A211" s="2"/>
      <c r="B211" s="2"/>
      <c r="C211" s="8" t="str">
        <f>IF(B211="","",IFERROR(LOOKUP(2,1/(单次交易!$A$2:$A$163=B211),单次交易!$B$2:$B$163),""))</f>
        <v/>
      </c>
      <c r="D211" s="12"/>
      <c r="E211" s="10"/>
      <c r="F211" s="10"/>
      <c r="G211" s="2"/>
      <c r="H211" s="15"/>
      <c r="I211" s="10"/>
      <c r="J211" s="12"/>
      <c r="K211" s="2"/>
      <c r="L211" s="2"/>
      <c r="M211" s="2"/>
      <c r="N211" s="5" t="str">
        <f>IF(B211="","",IFERROR(LOOKUP(2,1/(单次交易!$A$2:$A$163=B211),单次交易!$N$2:$N$163),""))</f>
        <v/>
      </c>
      <c r="O211" s="5" t="str">
        <f t="shared" si="27"/>
        <v/>
      </c>
      <c r="P211" s="11" t="str">
        <f t="shared" si="28"/>
        <v/>
      </c>
      <c r="Q211" s="5" t="str">
        <f t="shared" si="29"/>
        <v/>
      </c>
      <c r="R211" s="10"/>
      <c r="S211" s="5" t="str">
        <f t="shared" si="30"/>
        <v/>
      </c>
      <c r="T211" s="5" t="str">
        <f t="shared" si="31"/>
        <v/>
      </c>
      <c r="U211" s="5" t="str">
        <f t="shared" si="32"/>
        <v/>
      </c>
      <c r="V211" s="7" t="str">
        <f t="shared" si="33"/>
        <v/>
      </c>
      <c r="W211" s="8" t="str">
        <f t="shared" si="34"/>
        <v/>
      </c>
      <c r="X211" s="2"/>
      <c r="Y211" s="10"/>
      <c r="Z211" s="11" t="str">
        <f>IF(X211&lt;&gt;"执行卖出","",IFERROR(LOOKUP(2,1/(单次交易!$A$2:$A$163=B211),单次交易!$AP$2:$AP$163),""))</f>
        <v/>
      </c>
      <c r="AA211" s="10"/>
      <c r="AB211" s="8" t="str">
        <f t="shared" si="35"/>
        <v/>
      </c>
      <c r="AC211" s="8" t="str">
        <f>IF(A211="","",IF(A211="止损计划",IF(OR(B211="",D211="",E211="",F211="",G211=""),"计划不完整",IF(OR(D211&lt;1,D211&lt;&gt;INT(D211)),"阶段序号无效",IF(COUNTIFS($A$2:$A$497,"止损计划",$B$2:$B$497,B211,$D$2:$D$497,D211)&gt;1,"阶段序号重复",IF(E211&lt;=IFERROR(LOOKUP(2,1/(单次交易!$A$2:$A$163=B211),单次交易!$E$2:$E$163),0),"激活价须高于买入价",IF(F211&lt;N211,"止损价不得低于初始止损",IF(F211&gt;E211,"止损价不得高于激活价",IF(AND(COUNTIFS($A$2:$A$497,"止损计划",$B$2:$B$497,B211,$D$2:$D$497,"&lt;"&amp;D211)&gt;0,OR(E211&lt;=SUMPRODUCT(MAX((($A$2:$A$497="止损计划")*($B$2:$B$497=B211)*($D$2:$D$497&lt;D211))*$E$2:$E$497)),F211&lt;SUMPRODUCT(MAX((($A$2:$A$497="止损计划")*($B$2:$B$497=B211)*($D$2:$D$497&lt;D211))*$F$2:$F$497)))),"阶段价格必须逐级提高","计划有效"))))))),IF(A211="每日跟踪",IF(OR(B211="",H211="",I211="",J211=""),"每日数据不完整",IF(COUNTIFS($A$2:$A$497,"每日跟踪",$B$2:$B$497,B211,$H$2:$H$497,H211)&gt;1,"同一交易日期重复",IF(AND(R211&lt;&gt;"",R211&lt;S211),"人工止损无效：不能下调","跟踪有效"))),"记录类型无效")))</f>
        <v/>
      </c>
    </row>
    <row r="212" ht="17" spans="1:29">
      <c r="A212" s="2"/>
      <c r="B212" s="2"/>
      <c r="C212" s="8" t="str">
        <f>IF(B212="","",IFERROR(LOOKUP(2,1/(单次交易!$A$2:$A$163=B212),单次交易!$B$2:$B$163),""))</f>
        <v/>
      </c>
      <c r="D212" s="12"/>
      <c r="E212" s="10"/>
      <c r="F212" s="10"/>
      <c r="G212" s="2"/>
      <c r="H212" s="15"/>
      <c r="I212" s="10"/>
      <c r="J212" s="12"/>
      <c r="K212" s="2"/>
      <c r="L212" s="2"/>
      <c r="M212" s="2"/>
      <c r="N212" s="5" t="str">
        <f>IF(B212="","",IFERROR(LOOKUP(2,1/(单次交易!$A$2:$A$163=B212),单次交易!$N$2:$N$163),""))</f>
        <v/>
      </c>
      <c r="O212" s="5" t="str">
        <f t="shared" si="27"/>
        <v/>
      </c>
      <c r="P212" s="11" t="str">
        <f t="shared" si="28"/>
        <v/>
      </c>
      <c r="Q212" s="5" t="str">
        <f t="shared" si="29"/>
        <v/>
      </c>
      <c r="R212" s="10"/>
      <c r="S212" s="5" t="str">
        <f t="shared" si="30"/>
        <v/>
      </c>
      <c r="T212" s="5" t="str">
        <f t="shared" si="31"/>
        <v/>
      </c>
      <c r="U212" s="5" t="str">
        <f t="shared" si="32"/>
        <v/>
      </c>
      <c r="V212" s="7" t="str">
        <f t="shared" si="33"/>
        <v/>
      </c>
      <c r="W212" s="8" t="str">
        <f t="shared" si="34"/>
        <v/>
      </c>
      <c r="X212" s="2"/>
      <c r="Y212" s="10"/>
      <c r="Z212" s="11" t="str">
        <f>IF(X212&lt;&gt;"执行卖出","",IFERROR(LOOKUP(2,1/(单次交易!$A$2:$A$163=B212),单次交易!$AP$2:$AP$163),""))</f>
        <v/>
      </c>
      <c r="AA212" s="10"/>
      <c r="AB212" s="8" t="str">
        <f t="shared" si="35"/>
        <v/>
      </c>
      <c r="AC212" s="8" t="str">
        <f>IF(A212="","",IF(A212="止损计划",IF(OR(B212="",D212="",E212="",F212="",G212=""),"计划不完整",IF(OR(D212&lt;1,D212&lt;&gt;INT(D212)),"阶段序号无效",IF(COUNTIFS($A$2:$A$497,"止损计划",$B$2:$B$497,B212,$D$2:$D$497,D212)&gt;1,"阶段序号重复",IF(E212&lt;=IFERROR(LOOKUP(2,1/(单次交易!$A$2:$A$163=B212),单次交易!$E$2:$E$163),0),"激活价须高于买入价",IF(F212&lt;N212,"止损价不得低于初始止损",IF(F212&gt;E212,"止损价不得高于激活价",IF(AND(COUNTIFS($A$2:$A$497,"止损计划",$B$2:$B$497,B212,$D$2:$D$497,"&lt;"&amp;D212)&gt;0,OR(E212&lt;=SUMPRODUCT(MAX((($A$2:$A$497="止损计划")*($B$2:$B$497=B212)*($D$2:$D$497&lt;D212))*$E$2:$E$497)),F212&lt;SUMPRODUCT(MAX((($A$2:$A$497="止损计划")*($B$2:$B$497=B212)*($D$2:$D$497&lt;D212))*$F$2:$F$497)))),"阶段价格必须逐级提高","计划有效"))))))),IF(A212="每日跟踪",IF(OR(B212="",H212="",I212="",J212=""),"每日数据不完整",IF(COUNTIFS($A$2:$A$497,"每日跟踪",$B$2:$B$497,B212,$H$2:$H$497,H212)&gt;1,"同一交易日期重复",IF(AND(R212&lt;&gt;"",R212&lt;S212),"人工止损无效：不能下调","跟踪有效"))),"记录类型无效")))</f>
        <v/>
      </c>
    </row>
    <row r="213" ht="17" spans="1:29">
      <c r="A213" s="2"/>
      <c r="B213" s="2"/>
      <c r="C213" s="8" t="str">
        <f>IF(B213="","",IFERROR(LOOKUP(2,1/(单次交易!$A$2:$A$163=B213),单次交易!$B$2:$B$163),""))</f>
        <v/>
      </c>
      <c r="D213" s="12"/>
      <c r="E213" s="10"/>
      <c r="F213" s="10"/>
      <c r="G213" s="2"/>
      <c r="H213" s="15"/>
      <c r="I213" s="10"/>
      <c r="J213" s="12"/>
      <c r="K213" s="2"/>
      <c r="L213" s="2"/>
      <c r="M213" s="2"/>
      <c r="N213" s="5" t="str">
        <f>IF(B213="","",IFERROR(LOOKUP(2,1/(单次交易!$A$2:$A$163=B213),单次交易!$N$2:$N$163),""))</f>
        <v/>
      </c>
      <c r="O213" s="5" t="str">
        <f t="shared" si="27"/>
        <v/>
      </c>
      <c r="P213" s="11" t="str">
        <f t="shared" si="28"/>
        <v/>
      </c>
      <c r="Q213" s="5" t="str">
        <f t="shared" si="29"/>
        <v/>
      </c>
      <c r="R213" s="10"/>
      <c r="S213" s="5" t="str">
        <f t="shared" si="30"/>
        <v/>
      </c>
      <c r="T213" s="5" t="str">
        <f t="shared" si="31"/>
        <v/>
      </c>
      <c r="U213" s="5" t="str">
        <f t="shared" si="32"/>
        <v/>
      </c>
      <c r="V213" s="7" t="str">
        <f t="shared" si="33"/>
        <v/>
      </c>
      <c r="W213" s="8" t="str">
        <f t="shared" si="34"/>
        <v/>
      </c>
      <c r="X213" s="2"/>
      <c r="Y213" s="10"/>
      <c r="Z213" s="11" t="str">
        <f>IF(X213&lt;&gt;"执行卖出","",IFERROR(LOOKUP(2,1/(单次交易!$A$2:$A$163=B213),单次交易!$AP$2:$AP$163),""))</f>
        <v/>
      </c>
      <c r="AA213" s="10"/>
      <c r="AB213" s="8" t="str">
        <f t="shared" si="35"/>
        <v/>
      </c>
      <c r="AC213" s="8" t="str">
        <f>IF(A213="","",IF(A213="止损计划",IF(OR(B213="",D213="",E213="",F213="",G213=""),"计划不完整",IF(OR(D213&lt;1,D213&lt;&gt;INT(D213)),"阶段序号无效",IF(COUNTIFS($A$2:$A$497,"止损计划",$B$2:$B$497,B213,$D$2:$D$497,D213)&gt;1,"阶段序号重复",IF(E213&lt;=IFERROR(LOOKUP(2,1/(单次交易!$A$2:$A$163=B213),单次交易!$E$2:$E$163),0),"激活价须高于买入价",IF(F213&lt;N213,"止损价不得低于初始止损",IF(F213&gt;E213,"止损价不得高于激活价",IF(AND(COUNTIFS($A$2:$A$497,"止损计划",$B$2:$B$497,B213,$D$2:$D$497,"&lt;"&amp;D213)&gt;0,OR(E213&lt;=SUMPRODUCT(MAX((($A$2:$A$497="止损计划")*($B$2:$B$497=B213)*($D$2:$D$497&lt;D213))*$E$2:$E$497)),F213&lt;SUMPRODUCT(MAX((($A$2:$A$497="止损计划")*($B$2:$B$497=B213)*($D$2:$D$497&lt;D213))*$F$2:$F$497)))),"阶段价格必须逐级提高","计划有效"))))))),IF(A213="每日跟踪",IF(OR(B213="",H213="",I213="",J213=""),"每日数据不完整",IF(COUNTIFS($A$2:$A$497,"每日跟踪",$B$2:$B$497,B213,$H$2:$H$497,H213)&gt;1,"同一交易日期重复",IF(AND(R213&lt;&gt;"",R213&lt;S213),"人工止损无效：不能下调","跟踪有效"))),"记录类型无效")))</f>
        <v/>
      </c>
    </row>
    <row r="214" ht="17" spans="1:29">
      <c r="A214" s="2"/>
      <c r="B214" s="2"/>
      <c r="C214" s="8" t="str">
        <f>IF(B214="","",IFERROR(LOOKUP(2,1/(单次交易!$A$2:$A$163=B214),单次交易!$B$2:$B$163),""))</f>
        <v/>
      </c>
      <c r="D214" s="12"/>
      <c r="E214" s="10"/>
      <c r="F214" s="10"/>
      <c r="G214" s="2"/>
      <c r="H214" s="15"/>
      <c r="I214" s="10"/>
      <c r="J214" s="12"/>
      <c r="K214" s="2"/>
      <c r="L214" s="2"/>
      <c r="M214" s="2"/>
      <c r="N214" s="5" t="str">
        <f>IF(B214="","",IFERROR(LOOKUP(2,1/(单次交易!$A$2:$A$163=B214),单次交易!$N$2:$N$163),""))</f>
        <v/>
      </c>
      <c r="O214" s="5" t="str">
        <f t="shared" si="27"/>
        <v/>
      </c>
      <c r="P214" s="11" t="str">
        <f t="shared" si="28"/>
        <v/>
      </c>
      <c r="Q214" s="5" t="str">
        <f t="shared" si="29"/>
        <v/>
      </c>
      <c r="R214" s="10"/>
      <c r="S214" s="5" t="str">
        <f t="shared" si="30"/>
        <v/>
      </c>
      <c r="T214" s="5" t="str">
        <f t="shared" si="31"/>
        <v/>
      </c>
      <c r="U214" s="5" t="str">
        <f t="shared" si="32"/>
        <v/>
      </c>
      <c r="V214" s="7" t="str">
        <f t="shared" si="33"/>
        <v/>
      </c>
      <c r="W214" s="8" t="str">
        <f t="shared" si="34"/>
        <v/>
      </c>
      <c r="X214" s="2"/>
      <c r="Y214" s="10"/>
      <c r="Z214" s="11" t="str">
        <f>IF(X214&lt;&gt;"执行卖出","",IFERROR(LOOKUP(2,1/(单次交易!$A$2:$A$163=B214),单次交易!$AP$2:$AP$163),""))</f>
        <v/>
      </c>
      <c r="AA214" s="10"/>
      <c r="AB214" s="8" t="str">
        <f t="shared" si="35"/>
        <v/>
      </c>
      <c r="AC214" s="8" t="str">
        <f>IF(A214="","",IF(A214="止损计划",IF(OR(B214="",D214="",E214="",F214="",G214=""),"计划不完整",IF(OR(D214&lt;1,D214&lt;&gt;INT(D214)),"阶段序号无效",IF(COUNTIFS($A$2:$A$497,"止损计划",$B$2:$B$497,B214,$D$2:$D$497,D214)&gt;1,"阶段序号重复",IF(E214&lt;=IFERROR(LOOKUP(2,1/(单次交易!$A$2:$A$163=B214),单次交易!$E$2:$E$163),0),"激活价须高于买入价",IF(F214&lt;N214,"止损价不得低于初始止损",IF(F214&gt;E214,"止损价不得高于激活价",IF(AND(COUNTIFS($A$2:$A$497,"止损计划",$B$2:$B$497,B214,$D$2:$D$497,"&lt;"&amp;D214)&gt;0,OR(E214&lt;=SUMPRODUCT(MAX((($A$2:$A$497="止损计划")*($B$2:$B$497=B214)*($D$2:$D$497&lt;D214))*$E$2:$E$497)),F214&lt;SUMPRODUCT(MAX((($A$2:$A$497="止损计划")*($B$2:$B$497=B214)*($D$2:$D$497&lt;D214))*$F$2:$F$497)))),"阶段价格必须逐级提高","计划有效"))))))),IF(A214="每日跟踪",IF(OR(B214="",H214="",I214="",J214=""),"每日数据不完整",IF(COUNTIFS($A$2:$A$497,"每日跟踪",$B$2:$B$497,B214,$H$2:$H$497,H214)&gt;1,"同一交易日期重复",IF(AND(R214&lt;&gt;"",R214&lt;S214),"人工止损无效：不能下调","跟踪有效"))),"记录类型无效")))</f>
        <v/>
      </c>
    </row>
    <row r="215" ht="17" spans="1:29">
      <c r="A215" s="2"/>
      <c r="B215" s="2"/>
      <c r="C215" s="8" t="str">
        <f>IF(B215="","",IFERROR(LOOKUP(2,1/(单次交易!$A$2:$A$163=B215),单次交易!$B$2:$B$163),""))</f>
        <v/>
      </c>
      <c r="D215" s="12"/>
      <c r="E215" s="10"/>
      <c r="F215" s="10"/>
      <c r="G215" s="2"/>
      <c r="H215" s="15"/>
      <c r="I215" s="10"/>
      <c r="J215" s="12"/>
      <c r="K215" s="2"/>
      <c r="L215" s="2"/>
      <c r="M215" s="2"/>
      <c r="N215" s="5" t="str">
        <f>IF(B215="","",IFERROR(LOOKUP(2,1/(单次交易!$A$2:$A$163=B215),单次交易!$N$2:$N$163),""))</f>
        <v/>
      </c>
      <c r="O215" s="5" t="str">
        <f t="shared" si="27"/>
        <v/>
      </c>
      <c r="P215" s="11" t="str">
        <f t="shared" si="28"/>
        <v/>
      </c>
      <c r="Q215" s="5" t="str">
        <f t="shared" si="29"/>
        <v/>
      </c>
      <c r="R215" s="10"/>
      <c r="S215" s="5" t="str">
        <f t="shared" si="30"/>
        <v/>
      </c>
      <c r="T215" s="5" t="str">
        <f t="shared" si="31"/>
        <v/>
      </c>
      <c r="U215" s="5" t="str">
        <f t="shared" si="32"/>
        <v/>
      </c>
      <c r="V215" s="7" t="str">
        <f t="shared" si="33"/>
        <v/>
      </c>
      <c r="W215" s="8" t="str">
        <f t="shared" si="34"/>
        <v/>
      </c>
      <c r="X215" s="2"/>
      <c r="Y215" s="10"/>
      <c r="Z215" s="11" t="str">
        <f>IF(X215&lt;&gt;"执行卖出","",IFERROR(LOOKUP(2,1/(单次交易!$A$2:$A$163=B215),单次交易!$AP$2:$AP$163),""))</f>
        <v/>
      </c>
      <c r="AA215" s="10"/>
      <c r="AB215" s="8" t="str">
        <f t="shared" si="35"/>
        <v/>
      </c>
      <c r="AC215" s="8" t="str">
        <f>IF(A215="","",IF(A215="止损计划",IF(OR(B215="",D215="",E215="",F215="",G215=""),"计划不完整",IF(OR(D215&lt;1,D215&lt;&gt;INT(D215)),"阶段序号无效",IF(COUNTIFS($A$2:$A$497,"止损计划",$B$2:$B$497,B215,$D$2:$D$497,D215)&gt;1,"阶段序号重复",IF(E215&lt;=IFERROR(LOOKUP(2,1/(单次交易!$A$2:$A$163=B215),单次交易!$E$2:$E$163),0),"激活价须高于买入价",IF(F215&lt;N215,"止损价不得低于初始止损",IF(F215&gt;E215,"止损价不得高于激活价",IF(AND(COUNTIFS($A$2:$A$497,"止损计划",$B$2:$B$497,B215,$D$2:$D$497,"&lt;"&amp;D215)&gt;0,OR(E215&lt;=SUMPRODUCT(MAX((($A$2:$A$497="止损计划")*($B$2:$B$497=B215)*($D$2:$D$497&lt;D215))*$E$2:$E$497)),F215&lt;SUMPRODUCT(MAX((($A$2:$A$497="止损计划")*($B$2:$B$497=B215)*($D$2:$D$497&lt;D215))*$F$2:$F$497)))),"阶段价格必须逐级提高","计划有效"))))))),IF(A215="每日跟踪",IF(OR(B215="",H215="",I215="",J215=""),"每日数据不完整",IF(COUNTIFS($A$2:$A$497,"每日跟踪",$B$2:$B$497,B215,$H$2:$H$497,H215)&gt;1,"同一交易日期重复",IF(AND(R215&lt;&gt;"",R215&lt;S215),"人工止损无效：不能下调","跟踪有效"))),"记录类型无效")))</f>
        <v/>
      </c>
    </row>
    <row r="216" ht="17" spans="1:29">
      <c r="A216" s="2"/>
      <c r="B216" s="2"/>
      <c r="C216" s="8" t="str">
        <f>IF(B216="","",IFERROR(LOOKUP(2,1/(单次交易!$A$2:$A$163=B216),单次交易!$B$2:$B$163),""))</f>
        <v/>
      </c>
      <c r="D216" s="12"/>
      <c r="E216" s="10"/>
      <c r="F216" s="10"/>
      <c r="G216" s="2"/>
      <c r="H216" s="15"/>
      <c r="I216" s="10"/>
      <c r="J216" s="12"/>
      <c r="K216" s="2"/>
      <c r="L216" s="2"/>
      <c r="M216" s="2"/>
      <c r="N216" s="5" t="str">
        <f>IF(B216="","",IFERROR(LOOKUP(2,1/(单次交易!$A$2:$A$163=B216),单次交易!$N$2:$N$163),""))</f>
        <v/>
      </c>
      <c r="O216" s="5" t="str">
        <f t="shared" si="27"/>
        <v/>
      </c>
      <c r="P216" s="11" t="str">
        <f t="shared" si="28"/>
        <v/>
      </c>
      <c r="Q216" s="5" t="str">
        <f t="shared" si="29"/>
        <v/>
      </c>
      <c r="R216" s="10"/>
      <c r="S216" s="5" t="str">
        <f t="shared" si="30"/>
        <v/>
      </c>
      <c r="T216" s="5" t="str">
        <f t="shared" si="31"/>
        <v/>
      </c>
      <c r="U216" s="5" t="str">
        <f t="shared" si="32"/>
        <v/>
      </c>
      <c r="V216" s="7" t="str">
        <f t="shared" si="33"/>
        <v/>
      </c>
      <c r="W216" s="8" t="str">
        <f t="shared" si="34"/>
        <v/>
      </c>
      <c r="X216" s="2"/>
      <c r="Y216" s="10"/>
      <c r="Z216" s="11" t="str">
        <f>IF(X216&lt;&gt;"执行卖出","",IFERROR(LOOKUP(2,1/(单次交易!$A$2:$A$163=B216),单次交易!$AP$2:$AP$163),""))</f>
        <v/>
      </c>
      <c r="AA216" s="10"/>
      <c r="AB216" s="8" t="str">
        <f t="shared" si="35"/>
        <v/>
      </c>
      <c r="AC216" s="8" t="str">
        <f>IF(A216="","",IF(A216="止损计划",IF(OR(B216="",D216="",E216="",F216="",G216=""),"计划不完整",IF(OR(D216&lt;1,D216&lt;&gt;INT(D216)),"阶段序号无效",IF(COUNTIFS($A$2:$A$497,"止损计划",$B$2:$B$497,B216,$D$2:$D$497,D216)&gt;1,"阶段序号重复",IF(E216&lt;=IFERROR(LOOKUP(2,1/(单次交易!$A$2:$A$163=B216),单次交易!$E$2:$E$163),0),"激活价须高于买入价",IF(F216&lt;N216,"止损价不得低于初始止损",IF(F216&gt;E216,"止损价不得高于激活价",IF(AND(COUNTIFS($A$2:$A$497,"止损计划",$B$2:$B$497,B216,$D$2:$D$497,"&lt;"&amp;D216)&gt;0,OR(E216&lt;=SUMPRODUCT(MAX((($A$2:$A$497="止损计划")*($B$2:$B$497=B216)*($D$2:$D$497&lt;D216))*$E$2:$E$497)),F216&lt;SUMPRODUCT(MAX((($A$2:$A$497="止损计划")*($B$2:$B$497=B216)*($D$2:$D$497&lt;D216))*$F$2:$F$497)))),"阶段价格必须逐级提高","计划有效"))))))),IF(A216="每日跟踪",IF(OR(B216="",H216="",I216="",J216=""),"每日数据不完整",IF(COUNTIFS($A$2:$A$497,"每日跟踪",$B$2:$B$497,B216,$H$2:$H$497,H216)&gt;1,"同一交易日期重复",IF(AND(R216&lt;&gt;"",R216&lt;S216),"人工止损无效：不能下调","跟踪有效"))),"记录类型无效")))</f>
        <v/>
      </c>
    </row>
    <row r="217" ht="17" spans="1:29">
      <c r="A217" s="2"/>
      <c r="B217" s="2"/>
      <c r="C217" s="8" t="str">
        <f>IF(B217="","",IFERROR(LOOKUP(2,1/(单次交易!$A$2:$A$163=B217),单次交易!$B$2:$B$163),""))</f>
        <v/>
      </c>
      <c r="D217" s="12"/>
      <c r="E217" s="10"/>
      <c r="F217" s="10"/>
      <c r="G217" s="2"/>
      <c r="H217" s="15"/>
      <c r="I217" s="10"/>
      <c r="J217" s="12"/>
      <c r="K217" s="2"/>
      <c r="L217" s="2"/>
      <c r="M217" s="2"/>
      <c r="N217" s="5" t="str">
        <f>IF(B217="","",IFERROR(LOOKUP(2,1/(单次交易!$A$2:$A$163=B217),单次交易!$N$2:$N$163),""))</f>
        <v/>
      </c>
      <c r="O217" s="5" t="str">
        <f t="shared" si="27"/>
        <v/>
      </c>
      <c r="P217" s="11" t="str">
        <f t="shared" si="28"/>
        <v/>
      </c>
      <c r="Q217" s="5" t="str">
        <f t="shared" si="29"/>
        <v/>
      </c>
      <c r="R217" s="10"/>
      <c r="S217" s="5" t="str">
        <f t="shared" si="30"/>
        <v/>
      </c>
      <c r="T217" s="5" t="str">
        <f t="shared" si="31"/>
        <v/>
      </c>
      <c r="U217" s="5" t="str">
        <f t="shared" si="32"/>
        <v/>
      </c>
      <c r="V217" s="7" t="str">
        <f t="shared" si="33"/>
        <v/>
      </c>
      <c r="W217" s="8" t="str">
        <f t="shared" si="34"/>
        <v/>
      </c>
      <c r="X217" s="2"/>
      <c r="Y217" s="10"/>
      <c r="Z217" s="11" t="str">
        <f>IF(X217&lt;&gt;"执行卖出","",IFERROR(LOOKUP(2,1/(单次交易!$A$2:$A$163=B217),单次交易!$AP$2:$AP$163),""))</f>
        <v/>
      </c>
      <c r="AA217" s="10"/>
      <c r="AB217" s="8" t="str">
        <f t="shared" si="35"/>
        <v/>
      </c>
      <c r="AC217" s="8" t="str">
        <f>IF(A217="","",IF(A217="止损计划",IF(OR(B217="",D217="",E217="",F217="",G217=""),"计划不完整",IF(OR(D217&lt;1,D217&lt;&gt;INT(D217)),"阶段序号无效",IF(COUNTIFS($A$2:$A$497,"止损计划",$B$2:$B$497,B217,$D$2:$D$497,D217)&gt;1,"阶段序号重复",IF(E217&lt;=IFERROR(LOOKUP(2,1/(单次交易!$A$2:$A$163=B217),单次交易!$E$2:$E$163),0),"激活价须高于买入价",IF(F217&lt;N217,"止损价不得低于初始止损",IF(F217&gt;E217,"止损价不得高于激活价",IF(AND(COUNTIFS($A$2:$A$497,"止损计划",$B$2:$B$497,B217,$D$2:$D$497,"&lt;"&amp;D217)&gt;0,OR(E217&lt;=SUMPRODUCT(MAX((($A$2:$A$497="止损计划")*($B$2:$B$497=B217)*($D$2:$D$497&lt;D217))*$E$2:$E$497)),F217&lt;SUMPRODUCT(MAX((($A$2:$A$497="止损计划")*($B$2:$B$497=B217)*($D$2:$D$497&lt;D217))*$F$2:$F$497)))),"阶段价格必须逐级提高","计划有效"))))))),IF(A217="每日跟踪",IF(OR(B217="",H217="",I217="",J217=""),"每日数据不完整",IF(COUNTIFS($A$2:$A$497,"每日跟踪",$B$2:$B$497,B217,$H$2:$H$497,H217)&gt;1,"同一交易日期重复",IF(AND(R217&lt;&gt;"",R217&lt;S217),"人工止损无效：不能下调","跟踪有效"))),"记录类型无效")))</f>
        <v/>
      </c>
    </row>
    <row r="218" ht="17" spans="1:29">
      <c r="A218" s="2"/>
      <c r="B218" s="2"/>
      <c r="C218" s="8" t="str">
        <f>IF(B218="","",IFERROR(LOOKUP(2,1/(单次交易!$A$2:$A$163=B218),单次交易!$B$2:$B$163),""))</f>
        <v/>
      </c>
      <c r="D218" s="12"/>
      <c r="E218" s="10"/>
      <c r="F218" s="10"/>
      <c r="G218" s="2"/>
      <c r="H218" s="15"/>
      <c r="I218" s="10"/>
      <c r="J218" s="12"/>
      <c r="K218" s="2"/>
      <c r="L218" s="2"/>
      <c r="M218" s="2"/>
      <c r="N218" s="5" t="str">
        <f>IF(B218="","",IFERROR(LOOKUP(2,1/(单次交易!$A$2:$A$163=B218),单次交易!$N$2:$N$163),""))</f>
        <v/>
      </c>
      <c r="O218" s="5" t="str">
        <f t="shared" si="27"/>
        <v/>
      </c>
      <c r="P218" s="11" t="str">
        <f t="shared" si="28"/>
        <v/>
      </c>
      <c r="Q218" s="5" t="str">
        <f t="shared" si="29"/>
        <v/>
      </c>
      <c r="R218" s="10"/>
      <c r="S218" s="5" t="str">
        <f t="shared" si="30"/>
        <v/>
      </c>
      <c r="T218" s="5" t="str">
        <f t="shared" si="31"/>
        <v/>
      </c>
      <c r="U218" s="5" t="str">
        <f t="shared" si="32"/>
        <v/>
      </c>
      <c r="V218" s="7" t="str">
        <f t="shared" si="33"/>
        <v/>
      </c>
      <c r="W218" s="8" t="str">
        <f t="shared" si="34"/>
        <v/>
      </c>
      <c r="X218" s="2"/>
      <c r="Y218" s="10"/>
      <c r="Z218" s="11" t="str">
        <f>IF(X218&lt;&gt;"执行卖出","",IFERROR(LOOKUP(2,1/(单次交易!$A$2:$A$163=B218),单次交易!$AP$2:$AP$163),""))</f>
        <v/>
      </c>
      <c r="AA218" s="10"/>
      <c r="AB218" s="8" t="str">
        <f t="shared" si="35"/>
        <v/>
      </c>
      <c r="AC218" s="8" t="str">
        <f>IF(A218="","",IF(A218="止损计划",IF(OR(B218="",D218="",E218="",F218="",G218=""),"计划不完整",IF(OR(D218&lt;1,D218&lt;&gt;INT(D218)),"阶段序号无效",IF(COUNTIFS($A$2:$A$497,"止损计划",$B$2:$B$497,B218,$D$2:$D$497,D218)&gt;1,"阶段序号重复",IF(E218&lt;=IFERROR(LOOKUP(2,1/(单次交易!$A$2:$A$163=B218),单次交易!$E$2:$E$163),0),"激活价须高于买入价",IF(F218&lt;N218,"止损价不得低于初始止损",IF(F218&gt;E218,"止损价不得高于激活价",IF(AND(COUNTIFS($A$2:$A$497,"止损计划",$B$2:$B$497,B218,$D$2:$D$497,"&lt;"&amp;D218)&gt;0,OR(E218&lt;=SUMPRODUCT(MAX((($A$2:$A$497="止损计划")*($B$2:$B$497=B218)*($D$2:$D$497&lt;D218))*$E$2:$E$497)),F218&lt;SUMPRODUCT(MAX((($A$2:$A$497="止损计划")*($B$2:$B$497=B218)*($D$2:$D$497&lt;D218))*$F$2:$F$497)))),"阶段价格必须逐级提高","计划有效"))))))),IF(A218="每日跟踪",IF(OR(B218="",H218="",I218="",J218=""),"每日数据不完整",IF(COUNTIFS($A$2:$A$497,"每日跟踪",$B$2:$B$497,B218,$H$2:$H$497,H218)&gt;1,"同一交易日期重复",IF(AND(R218&lt;&gt;"",R218&lt;S218),"人工止损无效：不能下调","跟踪有效"))),"记录类型无效")))</f>
        <v/>
      </c>
    </row>
    <row r="219" ht="17" spans="1:29">
      <c r="A219" s="2"/>
      <c r="B219" s="2"/>
      <c r="C219" s="8" t="str">
        <f>IF(B219="","",IFERROR(LOOKUP(2,1/(单次交易!$A$2:$A$163=B219),单次交易!$B$2:$B$163),""))</f>
        <v/>
      </c>
      <c r="D219" s="12"/>
      <c r="E219" s="10"/>
      <c r="F219" s="10"/>
      <c r="G219" s="2"/>
      <c r="H219" s="15"/>
      <c r="I219" s="10"/>
      <c r="J219" s="12"/>
      <c r="K219" s="2"/>
      <c r="L219" s="2"/>
      <c r="M219" s="2"/>
      <c r="N219" s="5" t="str">
        <f>IF(B219="","",IFERROR(LOOKUP(2,1/(单次交易!$A$2:$A$163=B219),单次交易!$N$2:$N$163),""))</f>
        <v/>
      </c>
      <c r="O219" s="5" t="str">
        <f t="shared" si="27"/>
        <v/>
      </c>
      <c r="P219" s="11" t="str">
        <f t="shared" si="28"/>
        <v/>
      </c>
      <c r="Q219" s="5" t="str">
        <f t="shared" si="29"/>
        <v/>
      </c>
      <c r="R219" s="10"/>
      <c r="S219" s="5" t="str">
        <f t="shared" si="30"/>
        <v/>
      </c>
      <c r="T219" s="5" t="str">
        <f t="shared" si="31"/>
        <v/>
      </c>
      <c r="U219" s="5" t="str">
        <f t="shared" si="32"/>
        <v/>
      </c>
      <c r="V219" s="7" t="str">
        <f t="shared" si="33"/>
        <v/>
      </c>
      <c r="W219" s="8" t="str">
        <f t="shared" si="34"/>
        <v/>
      </c>
      <c r="X219" s="2"/>
      <c r="Y219" s="10"/>
      <c r="Z219" s="11" t="str">
        <f>IF(X219&lt;&gt;"执行卖出","",IFERROR(LOOKUP(2,1/(单次交易!$A$2:$A$163=B219),单次交易!$AP$2:$AP$163),""))</f>
        <v/>
      </c>
      <c r="AA219" s="10"/>
      <c r="AB219" s="8" t="str">
        <f t="shared" si="35"/>
        <v/>
      </c>
      <c r="AC219" s="8" t="str">
        <f>IF(A219="","",IF(A219="止损计划",IF(OR(B219="",D219="",E219="",F219="",G219=""),"计划不完整",IF(OR(D219&lt;1,D219&lt;&gt;INT(D219)),"阶段序号无效",IF(COUNTIFS($A$2:$A$497,"止损计划",$B$2:$B$497,B219,$D$2:$D$497,D219)&gt;1,"阶段序号重复",IF(E219&lt;=IFERROR(LOOKUP(2,1/(单次交易!$A$2:$A$163=B219),单次交易!$E$2:$E$163),0),"激活价须高于买入价",IF(F219&lt;N219,"止损价不得低于初始止损",IF(F219&gt;E219,"止损价不得高于激活价",IF(AND(COUNTIFS($A$2:$A$497,"止损计划",$B$2:$B$497,B219,$D$2:$D$497,"&lt;"&amp;D219)&gt;0,OR(E219&lt;=SUMPRODUCT(MAX((($A$2:$A$497="止损计划")*($B$2:$B$497=B219)*($D$2:$D$497&lt;D219))*$E$2:$E$497)),F219&lt;SUMPRODUCT(MAX((($A$2:$A$497="止损计划")*($B$2:$B$497=B219)*($D$2:$D$497&lt;D219))*$F$2:$F$497)))),"阶段价格必须逐级提高","计划有效"))))))),IF(A219="每日跟踪",IF(OR(B219="",H219="",I219="",J219=""),"每日数据不完整",IF(COUNTIFS($A$2:$A$497,"每日跟踪",$B$2:$B$497,B219,$H$2:$H$497,H219)&gt;1,"同一交易日期重复",IF(AND(R219&lt;&gt;"",R219&lt;S219),"人工止损无效：不能下调","跟踪有效"))),"记录类型无效")))</f>
        <v/>
      </c>
    </row>
    <row r="220" ht="17" spans="1:29">
      <c r="A220" s="2"/>
      <c r="B220" s="2"/>
      <c r="C220" s="8" t="str">
        <f>IF(B220="","",IFERROR(LOOKUP(2,1/(单次交易!$A$2:$A$163=B220),单次交易!$B$2:$B$163),""))</f>
        <v/>
      </c>
      <c r="D220" s="12"/>
      <c r="E220" s="10"/>
      <c r="F220" s="10"/>
      <c r="G220" s="2"/>
      <c r="H220" s="15"/>
      <c r="I220" s="10"/>
      <c r="J220" s="12"/>
      <c r="K220" s="2"/>
      <c r="L220" s="2"/>
      <c r="M220" s="2"/>
      <c r="N220" s="5" t="str">
        <f>IF(B220="","",IFERROR(LOOKUP(2,1/(单次交易!$A$2:$A$163=B220),单次交易!$N$2:$N$163),""))</f>
        <v/>
      </c>
      <c r="O220" s="5" t="str">
        <f t="shared" si="27"/>
        <v/>
      </c>
      <c r="P220" s="11" t="str">
        <f t="shared" si="28"/>
        <v/>
      </c>
      <c r="Q220" s="5" t="str">
        <f t="shared" si="29"/>
        <v/>
      </c>
      <c r="R220" s="10"/>
      <c r="S220" s="5" t="str">
        <f t="shared" si="30"/>
        <v/>
      </c>
      <c r="T220" s="5" t="str">
        <f t="shared" si="31"/>
        <v/>
      </c>
      <c r="U220" s="5" t="str">
        <f t="shared" si="32"/>
        <v/>
      </c>
      <c r="V220" s="7" t="str">
        <f t="shared" si="33"/>
        <v/>
      </c>
      <c r="W220" s="8" t="str">
        <f t="shared" si="34"/>
        <v/>
      </c>
      <c r="X220" s="2"/>
      <c r="Y220" s="10"/>
      <c r="Z220" s="11" t="str">
        <f>IF(X220&lt;&gt;"执行卖出","",IFERROR(LOOKUP(2,1/(单次交易!$A$2:$A$163=B220),单次交易!$AP$2:$AP$163),""))</f>
        <v/>
      </c>
      <c r="AA220" s="10"/>
      <c r="AB220" s="8" t="str">
        <f t="shared" si="35"/>
        <v/>
      </c>
      <c r="AC220" s="8" t="str">
        <f>IF(A220="","",IF(A220="止损计划",IF(OR(B220="",D220="",E220="",F220="",G220=""),"计划不完整",IF(OR(D220&lt;1,D220&lt;&gt;INT(D220)),"阶段序号无效",IF(COUNTIFS($A$2:$A$497,"止损计划",$B$2:$B$497,B220,$D$2:$D$497,D220)&gt;1,"阶段序号重复",IF(E220&lt;=IFERROR(LOOKUP(2,1/(单次交易!$A$2:$A$163=B220),单次交易!$E$2:$E$163),0),"激活价须高于买入价",IF(F220&lt;N220,"止损价不得低于初始止损",IF(F220&gt;E220,"止损价不得高于激活价",IF(AND(COUNTIFS($A$2:$A$497,"止损计划",$B$2:$B$497,B220,$D$2:$D$497,"&lt;"&amp;D220)&gt;0,OR(E220&lt;=SUMPRODUCT(MAX((($A$2:$A$497="止损计划")*($B$2:$B$497=B220)*($D$2:$D$497&lt;D220))*$E$2:$E$497)),F220&lt;SUMPRODUCT(MAX((($A$2:$A$497="止损计划")*($B$2:$B$497=B220)*($D$2:$D$497&lt;D220))*$F$2:$F$497)))),"阶段价格必须逐级提高","计划有效"))))))),IF(A220="每日跟踪",IF(OR(B220="",H220="",I220="",J220=""),"每日数据不完整",IF(COUNTIFS($A$2:$A$497,"每日跟踪",$B$2:$B$497,B220,$H$2:$H$497,H220)&gt;1,"同一交易日期重复",IF(AND(R220&lt;&gt;"",R220&lt;S220),"人工止损无效：不能下调","跟踪有效"))),"记录类型无效")))</f>
        <v/>
      </c>
    </row>
    <row r="221" ht="17" spans="1:29">
      <c r="A221" s="2"/>
      <c r="B221" s="2"/>
      <c r="C221" s="8" t="str">
        <f>IF(B221="","",IFERROR(LOOKUP(2,1/(单次交易!$A$2:$A$163=B221),单次交易!$B$2:$B$163),""))</f>
        <v/>
      </c>
      <c r="D221" s="12"/>
      <c r="E221" s="10"/>
      <c r="F221" s="10"/>
      <c r="G221" s="2"/>
      <c r="H221" s="15"/>
      <c r="I221" s="10"/>
      <c r="J221" s="12"/>
      <c r="K221" s="2"/>
      <c r="L221" s="2"/>
      <c r="M221" s="2"/>
      <c r="N221" s="5" t="str">
        <f>IF(B221="","",IFERROR(LOOKUP(2,1/(单次交易!$A$2:$A$163=B221),单次交易!$N$2:$N$163),""))</f>
        <v/>
      </c>
      <c r="O221" s="5" t="str">
        <f t="shared" si="27"/>
        <v/>
      </c>
      <c r="P221" s="11" t="str">
        <f t="shared" si="28"/>
        <v/>
      </c>
      <c r="Q221" s="5" t="str">
        <f t="shared" si="29"/>
        <v/>
      </c>
      <c r="R221" s="10"/>
      <c r="S221" s="5" t="str">
        <f t="shared" si="30"/>
        <v/>
      </c>
      <c r="T221" s="5" t="str">
        <f t="shared" si="31"/>
        <v/>
      </c>
      <c r="U221" s="5" t="str">
        <f t="shared" si="32"/>
        <v/>
      </c>
      <c r="V221" s="7" t="str">
        <f t="shared" si="33"/>
        <v/>
      </c>
      <c r="W221" s="8" t="str">
        <f t="shared" si="34"/>
        <v/>
      </c>
      <c r="X221" s="2"/>
      <c r="Y221" s="10"/>
      <c r="Z221" s="11" t="str">
        <f>IF(X221&lt;&gt;"执行卖出","",IFERROR(LOOKUP(2,1/(单次交易!$A$2:$A$163=B221),单次交易!$AP$2:$AP$163),""))</f>
        <v/>
      </c>
      <c r="AA221" s="10"/>
      <c r="AB221" s="8" t="str">
        <f t="shared" si="35"/>
        <v/>
      </c>
      <c r="AC221" s="8" t="str">
        <f>IF(A221="","",IF(A221="止损计划",IF(OR(B221="",D221="",E221="",F221="",G221=""),"计划不完整",IF(OR(D221&lt;1,D221&lt;&gt;INT(D221)),"阶段序号无效",IF(COUNTIFS($A$2:$A$497,"止损计划",$B$2:$B$497,B221,$D$2:$D$497,D221)&gt;1,"阶段序号重复",IF(E221&lt;=IFERROR(LOOKUP(2,1/(单次交易!$A$2:$A$163=B221),单次交易!$E$2:$E$163),0),"激活价须高于买入价",IF(F221&lt;N221,"止损价不得低于初始止损",IF(F221&gt;E221,"止损价不得高于激活价",IF(AND(COUNTIFS($A$2:$A$497,"止损计划",$B$2:$B$497,B221,$D$2:$D$497,"&lt;"&amp;D221)&gt;0,OR(E221&lt;=SUMPRODUCT(MAX((($A$2:$A$497="止损计划")*($B$2:$B$497=B221)*($D$2:$D$497&lt;D221))*$E$2:$E$497)),F221&lt;SUMPRODUCT(MAX((($A$2:$A$497="止损计划")*($B$2:$B$497=B221)*($D$2:$D$497&lt;D221))*$F$2:$F$497)))),"阶段价格必须逐级提高","计划有效"))))))),IF(A221="每日跟踪",IF(OR(B221="",H221="",I221="",J221=""),"每日数据不完整",IF(COUNTIFS($A$2:$A$497,"每日跟踪",$B$2:$B$497,B221,$H$2:$H$497,H221)&gt;1,"同一交易日期重复",IF(AND(R221&lt;&gt;"",R221&lt;S221),"人工止损无效：不能下调","跟踪有效"))),"记录类型无效")))</f>
        <v/>
      </c>
    </row>
    <row r="222" ht="17" spans="1:29">
      <c r="A222" s="2"/>
      <c r="B222" s="2"/>
      <c r="C222" s="8" t="str">
        <f>IF(B222="","",IFERROR(LOOKUP(2,1/(单次交易!$A$2:$A$163=B222),单次交易!$B$2:$B$163),""))</f>
        <v/>
      </c>
      <c r="D222" s="12"/>
      <c r="E222" s="10"/>
      <c r="F222" s="10"/>
      <c r="G222" s="2"/>
      <c r="H222" s="15"/>
      <c r="I222" s="10"/>
      <c r="J222" s="12"/>
      <c r="K222" s="2"/>
      <c r="L222" s="2"/>
      <c r="M222" s="2"/>
      <c r="N222" s="5" t="str">
        <f>IF(B222="","",IFERROR(LOOKUP(2,1/(单次交易!$A$2:$A$163=B222),单次交易!$N$2:$N$163),""))</f>
        <v/>
      </c>
      <c r="O222" s="5" t="str">
        <f t="shared" si="27"/>
        <v/>
      </c>
      <c r="P222" s="11" t="str">
        <f t="shared" si="28"/>
        <v/>
      </c>
      <c r="Q222" s="5" t="str">
        <f t="shared" si="29"/>
        <v/>
      </c>
      <c r="R222" s="10"/>
      <c r="S222" s="5" t="str">
        <f t="shared" si="30"/>
        <v/>
      </c>
      <c r="T222" s="5" t="str">
        <f t="shared" si="31"/>
        <v/>
      </c>
      <c r="U222" s="5" t="str">
        <f t="shared" si="32"/>
        <v/>
      </c>
      <c r="V222" s="7" t="str">
        <f t="shared" si="33"/>
        <v/>
      </c>
      <c r="W222" s="8" t="str">
        <f t="shared" si="34"/>
        <v/>
      </c>
      <c r="X222" s="2"/>
      <c r="Y222" s="10"/>
      <c r="Z222" s="11" t="str">
        <f>IF(X222&lt;&gt;"执行卖出","",IFERROR(LOOKUP(2,1/(单次交易!$A$2:$A$163=B222),单次交易!$AP$2:$AP$163),""))</f>
        <v/>
      </c>
      <c r="AA222" s="10"/>
      <c r="AB222" s="8" t="str">
        <f t="shared" si="35"/>
        <v/>
      </c>
      <c r="AC222" s="8" t="str">
        <f>IF(A222="","",IF(A222="止损计划",IF(OR(B222="",D222="",E222="",F222="",G222=""),"计划不完整",IF(OR(D222&lt;1,D222&lt;&gt;INT(D222)),"阶段序号无效",IF(COUNTIFS($A$2:$A$497,"止损计划",$B$2:$B$497,B222,$D$2:$D$497,D222)&gt;1,"阶段序号重复",IF(E222&lt;=IFERROR(LOOKUP(2,1/(单次交易!$A$2:$A$163=B222),单次交易!$E$2:$E$163),0),"激活价须高于买入价",IF(F222&lt;N222,"止损价不得低于初始止损",IF(F222&gt;E222,"止损价不得高于激活价",IF(AND(COUNTIFS($A$2:$A$497,"止损计划",$B$2:$B$497,B222,$D$2:$D$497,"&lt;"&amp;D222)&gt;0,OR(E222&lt;=SUMPRODUCT(MAX((($A$2:$A$497="止损计划")*($B$2:$B$497=B222)*($D$2:$D$497&lt;D222))*$E$2:$E$497)),F222&lt;SUMPRODUCT(MAX((($A$2:$A$497="止损计划")*($B$2:$B$497=B222)*($D$2:$D$497&lt;D222))*$F$2:$F$497)))),"阶段价格必须逐级提高","计划有效"))))))),IF(A222="每日跟踪",IF(OR(B222="",H222="",I222="",J222=""),"每日数据不完整",IF(COUNTIFS($A$2:$A$497,"每日跟踪",$B$2:$B$497,B222,$H$2:$H$497,H222)&gt;1,"同一交易日期重复",IF(AND(R222&lt;&gt;"",R222&lt;S222),"人工止损无效：不能下调","跟踪有效"))),"记录类型无效")))</f>
        <v/>
      </c>
    </row>
    <row r="223" ht="17" spans="1:29">
      <c r="A223" s="2"/>
      <c r="B223" s="2"/>
      <c r="C223" s="8" t="str">
        <f>IF(B223="","",IFERROR(LOOKUP(2,1/(单次交易!$A$2:$A$163=B223),单次交易!$B$2:$B$163),""))</f>
        <v/>
      </c>
      <c r="D223" s="12"/>
      <c r="E223" s="10"/>
      <c r="F223" s="10"/>
      <c r="G223" s="2"/>
      <c r="H223" s="15"/>
      <c r="I223" s="10"/>
      <c r="J223" s="12"/>
      <c r="K223" s="2"/>
      <c r="L223" s="2"/>
      <c r="M223" s="2"/>
      <c r="N223" s="5" t="str">
        <f>IF(B223="","",IFERROR(LOOKUP(2,1/(单次交易!$A$2:$A$163=B223),单次交易!$N$2:$N$163),""))</f>
        <v/>
      </c>
      <c r="O223" s="5" t="str">
        <f t="shared" si="27"/>
        <v/>
      </c>
      <c r="P223" s="11" t="str">
        <f t="shared" si="28"/>
        <v/>
      </c>
      <c r="Q223" s="5" t="str">
        <f t="shared" si="29"/>
        <v/>
      </c>
      <c r="R223" s="10"/>
      <c r="S223" s="5" t="str">
        <f t="shared" si="30"/>
        <v/>
      </c>
      <c r="T223" s="5" t="str">
        <f t="shared" si="31"/>
        <v/>
      </c>
      <c r="U223" s="5" t="str">
        <f t="shared" si="32"/>
        <v/>
      </c>
      <c r="V223" s="7" t="str">
        <f t="shared" si="33"/>
        <v/>
      </c>
      <c r="W223" s="8" t="str">
        <f t="shared" si="34"/>
        <v/>
      </c>
      <c r="X223" s="2"/>
      <c r="Y223" s="10"/>
      <c r="Z223" s="11" t="str">
        <f>IF(X223&lt;&gt;"执行卖出","",IFERROR(LOOKUP(2,1/(单次交易!$A$2:$A$163=B223),单次交易!$AP$2:$AP$163),""))</f>
        <v/>
      </c>
      <c r="AA223" s="10"/>
      <c r="AB223" s="8" t="str">
        <f t="shared" si="35"/>
        <v/>
      </c>
      <c r="AC223" s="8" t="str">
        <f>IF(A223="","",IF(A223="止损计划",IF(OR(B223="",D223="",E223="",F223="",G223=""),"计划不完整",IF(OR(D223&lt;1,D223&lt;&gt;INT(D223)),"阶段序号无效",IF(COUNTIFS($A$2:$A$497,"止损计划",$B$2:$B$497,B223,$D$2:$D$497,D223)&gt;1,"阶段序号重复",IF(E223&lt;=IFERROR(LOOKUP(2,1/(单次交易!$A$2:$A$163=B223),单次交易!$E$2:$E$163),0),"激活价须高于买入价",IF(F223&lt;N223,"止损价不得低于初始止损",IF(F223&gt;E223,"止损价不得高于激活价",IF(AND(COUNTIFS($A$2:$A$497,"止损计划",$B$2:$B$497,B223,$D$2:$D$497,"&lt;"&amp;D223)&gt;0,OR(E223&lt;=SUMPRODUCT(MAX((($A$2:$A$497="止损计划")*($B$2:$B$497=B223)*($D$2:$D$497&lt;D223))*$E$2:$E$497)),F223&lt;SUMPRODUCT(MAX((($A$2:$A$497="止损计划")*($B$2:$B$497=B223)*($D$2:$D$497&lt;D223))*$F$2:$F$497)))),"阶段价格必须逐级提高","计划有效"))))))),IF(A223="每日跟踪",IF(OR(B223="",H223="",I223="",J223=""),"每日数据不完整",IF(COUNTIFS($A$2:$A$497,"每日跟踪",$B$2:$B$497,B223,$H$2:$H$497,H223)&gt;1,"同一交易日期重复",IF(AND(R223&lt;&gt;"",R223&lt;S223),"人工止损无效：不能下调","跟踪有效"))),"记录类型无效")))</f>
        <v/>
      </c>
    </row>
    <row r="224" ht="17" spans="1:29">
      <c r="A224" s="2"/>
      <c r="B224" s="2"/>
      <c r="C224" s="8" t="str">
        <f>IF(B224="","",IFERROR(LOOKUP(2,1/(单次交易!$A$2:$A$163=B224),单次交易!$B$2:$B$163),""))</f>
        <v/>
      </c>
      <c r="D224" s="12"/>
      <c r="E224" s="10"/>
      <c r="F224" s="10"/>
      <c r="G224" s="2"/>
      <c r="H224" s="15"/>
      <c r="I224" s="10"/>
      <c r="J224" s="12"/>
      <c r="K224" s="2"/>
      <c r="L224" s="2"/>
      <c r="M224" s="2"/>
      <c r="N224" s="5" t="str">
        <f>IF(B224="","",IFERROR(LOOKUP(2,1/(单次交易!$A$2:$A$163=B224),单次交易!$N$2:$N$163),""))</f>
        <v/>
      </c>
      <c r="O224" s="5" t="str">
        <f t="shared" si="27"/>
        <v/>
      </c>
      <c r="P224" s="11" t="str">
        <f t="shared" si="28"/>
        <v/>
      </c>
      <c r="Q224" s="5" t="str">
        <f t="shared" si="29"/>
        <v/>
      </c>
      <c r="R224" s="10"/>
      <c r="S224" s="5" t="str">
        <f t="shared" si="30"/>
        <v/>
      </c>
      <c r="T224" s="5" t="str">
        <f t="shared" si="31"/>
        <v/>
      </c>
      <c r="U224" s="5" t="str">
        <f t="shared" si="32"/>
        <v/>
      </c>
      <c r="V224" s="7" t="str">
        <f t="shared" si="33"/>
        <v/>
      </c>
      <c r="W224" s="8" t="str">
        <f t="shared" si="34"/>
        <v/>
      </c>
      <c r="X224" s="2"/>
      <c r="Y224" s="10"/>
      <c r="Z224" s="11" t="str">
        <f>IF(X224&lt;&gt;"执行卖出","",IFERROR(LOOKUP(2,1/(单次交易!$A$2:$A$163=B224),单次交易!$AP$2:$AP$163),""))</f>
        <v/>
      </c>
      <c r="AA224" s="10"/>
      <c r="AB224" s="8" t="str">
        <f t="shared" si="35"/>
        <v/>
      </c>
      <c r="AC224" s="8" t="str">
        <f>IF(A224="","",IF(A224="止损计划",IF(OR(B224="",D224="",E224="",F224="",G224=""),"计划不完整",IF(OR(D224&lt;1,D224&lt;&gt;INT(D224)),"阶段序号无效",IF(COUNTIFS($A$2:$A$497,"止损计划",$B$2:$B$497,B224,$D$2:$D$497,D224)&gt;1,"阶段序号重复",IF(E224&lt;=IFERROR(LOOKUP(2,1/(单次交易!$A$2:$A$163=B224),单次交易!$E$2:$E$163),0),"激活价须高于买入价",IF(F224&lt;N224,"止损价不得低于初始止损",IF(F224&gt;E224,"止损价不得高于激活价",IF(AND(COUNTIFS($A$2:$A$497,"止损计划",$B$2:$B$497,B224,$D$2:$D$497,"&lt;"&amp;D224)&gt;0,OR(E224&lt;=SUMPRODUCT(MAX((($A$2:$A$497="止损计划")*($B$2:$B$497=B224)*($D$2:$D$497&lt;D224))*$E$2:$E$497)),F224&lt;SUMPRODUCT(MAX((($A$2:$A$497="止损计划")*($B$2:$B$497=B224)*($D$2:$D$497&lt;D224))*$F$2:$F$497)))),"阶段价格必须逐级提高","计划有效"))))))),IF(A224="每日跟踪",IF(OR(B224="",H224="",I224="",J224=""),"每日数据不完整",IF(COUNTIFS($A$2:$A$497,"每日跟踪",$B$2:$B$497,B224,$H$2:$H$497,H224)&gt;1,"同一交易日期重复",IF(AND(R224&lt;&gt;"",R224&lt;S224),"人工止损无效：不能下调","跟踪有效"))),"记录类型无效")))</f>
        <v/>
      </c>
    </row>
    <row r="225" ht="17" spans="1:29">
      <c r="A225" s="2"/>
      <c r="B225" s="2"/>
      <c r="C225" s="8" t="str">
        <f>IF(B225="","",IFERROR(LOOKUP(2,1/(单次交易!$A$2:$A$163=B225),单次交易!$B$2:$B$163),""))</f>
        <v/>
      </c>
      <c r="D225" s="12"/>
      <c r="E225" s="10"/>
      <c r="F225" s="10"/>
      <c r="G225" s="2"/>
      <c r="H225" s="15"/>
      <c r="I225" s="10"/>
      <c r="J225" s="12"/>
      <c r="K225" s="2"/>
      <c r="L225" s="2"/>
      <c r="M225" s="2"/>
      <c r="N225" s="5" t="str">
        <f>IF(B225="","",IFERROR(LOOKUP(2,1/(单次交易!$A$2:$A$163=B225),单次交易!$N$2:$N$163),""))</f>
        <v/>
      </c>
      <c r="O225" s="5" t="str">
        <f t="shared" si="27"/>
        <v/>
      </c>
      <c r="P225" s="11" t="str">
        <f t="shared" si="28"/>
        <v/>
      </c>
      <c r="Q225" s="5" t="str">
        <f t="shared" si="29"/>
        <v/>
      </c>
      <c r="R225" s="10"/>
      <c r="S225" s="5" t="str">
        <f t="shared" si="30"/>
        <v/>
      </c>
      <c r="T225" s="5" t="str">
        <f t="shared" si="31"/>
        <v/>
      </c>
      <c r="U225" s="5" t="str">
        <f t="shared" si="32"/>
        <v/>
      </c>
      <c r="V225" s="7" t="str">
        <f t="shared" si="33"/>
        <v/>
      </c>
      <c r="W225" s="8" t="str">
        <f t="shared" si="34"/>
        <v/>
      </c>
      <c r="X225" s="2"/>
      <c r="Y225" s="10"/>
      <c r="Z225" s="11" t="str">
        <f>IF(X225&lt;&gt;"执行卖出","",IFERROR(LOOKUP(2,1/(单次交易!$A$2:$A$163=B225),单次交易!$AP$2:$AP$163),""))</f>
        <v/>
      </c>
      <c r="AA225" s="10"/>
      <c r="AB225" s="8" t="str">
        <f t="shared" si="35"/>
        <v/>
      </c>
      <c r="AC225" s="8" t="str">
        <f>IF(A225="","",IF(A225="止损计划",IF(OR(B225="",D225="",E225="",F225="",G225=""),"计划不完整",IF(OR(D225&lt;1,D225&lt;&gt;INT(D225)),"阶段序号无效",IF(COUNTIFS($A$2:$A$497,"止损计划",$B$2:$B$497,B225,$D$2:$D$497,D225)&gt;1,"阶段序号重复",IF(E225&lt;=IFERROR(LOOKUP(2,1/(单次交易!$A$2:$A$163=B225),单次交易!$E$2:$E$163),0),"激活价须高于买入价",IF(F225&lt;N225,"止损价不得低于初始止损",IF(F225&gt;E225,"止损价不得高于激活价",IF(AND(COUNTIFS($A$2:$A$497,"止损计划",$B$2:$B$497,B225,$D$2:$D$497,"&lt;"&amp;D225)&gt;0,OR(E225&lt;=SUMPRODUCT(MAX((($A$2:$A$497="止损计划")*($B$2:$B$497=B225)*($D$2:$D$497&lt;D225))*$E$2:$E$497)),F225&lt;SUMPRODUCT(MAX((($A$2:$A$497="止损计划")*($B$2:$B$497=B225)*($D$2:$D$497&lt;D225))*$F$2:$F$497)))),"阶段价格必须逐级提高","计划有效"))))))),IF(A225="每日跟踪",IF(OR(B225="",H225="",I225="",J225=""),"每日数据不完整",IF(COUNTIFS($A$2:$A$497,"每日跟踪",$B$2:$B$497,B225,$H$2:$H$497,H225)&gt;1,"同一交易日期重复",IF(AND(R225&lt;&gt;"",R225&lt;S225),"人工止损无效：不能下调","跟踪有效"))),"记录类型无效")))</f>
        <v/>
      </c>
    </row>
    <row r="226" ht="17" spans="1:29">
      <c r="A226" s="2"/>
      <c r="B226" s="2"/>
      <c r="C226" s="8" t="str">
        <f>IF(B226="","",IFERROR(LOOKUP(2,1/(单次交易!$A$2:$A$163=B226),单次交易!$B$2:$B$163),""))</f>
        <v/>
      </c>
      <c r="D226" s="12"/>
      <c r="E226" s="10"/>
      <c r="F226" s="10"/>
      <c r="G226" s="2"/>
      <c r="H226" s="15"/>
      <c r="I226" s="10"/>
      <c r="J226" s="12"/>
      <c r="K226" s="2"/>
      <c r="L226" s="2"/>
      <c r="M226" s="2"/>
      <c r="N226" s="5" t="str">
        <f>IF(B226="","",IFERROR(LOOKUP(2,1/(单次交易!$A$2:$A$163=B226),单次交易!$N$2:$N$163),""))</f>
        <v/>
      </c>
      <c r="O226" s="5" t="str">
        <f t="shared" si="27"/>
        <v/>
      </c>
      <c r="P226" s="11" t="str">
        <f t="shared" si="28"/>
        <v/>
      </c>
      <c r="Q226" s="5" t="str">
        <f t="shared" si="29"/>
        <v/>
      </c>
      <c r="R226" s="10"/>
      <c r="S226" s="5" t="str">
        <f t="shared" si="30"/>
        <v/>
      </c>
      <c r="T226" s="5" t="str">
        <f t="shared" si="31"/>
        <v/>
      </c>
      <c r="U226" s="5" t="str">
        <f t="shared" si="32"/>
        <v/>
      </c>
      <c r="V226" s="7" t="str">
        <f t="shared" si="33"/>
        <v/>
      </c>
      <c r="W226" s="8" t="str">
        <f t="shared" si="34"/>
        <v/>
      </c>
      <c r="X226" s="2"/>
      <c r="Y226" s="10"/>
      <c r="Z226" s="11" t="str">
        <f>IF(X226&lt;&gt;"执行卖出","",IFERROR(LOOKUP(2,1/(单次交易!$A$2:$A$163=B226),单次交易!$AP$2:$AP$163),""))</f>
        <v/>
      </c>
      <c r="AA226" s="10"/>
      <c r="AB226" s="8" t="str">
        <f t="shared" si="35"/>
        <v/>
      </c>
      <c r="AC226" s="8" t="str">
        <f>IF(A226="","",IF(A226="止损计划",IF(OR(B226="",D226="",E226="",F226="",G226=""),"计划不完整",IF(OR(D226&lt;1,D226&lt;&gt;INT(D226)),"阶段序号无效",IF(COUNTIFS($A$2:$A$497,"止损计划",$B$2:$B$497,B226,$D$2:$D$497,D226)&gt;1,"阶段序号重复",IF(E226&lt;=IFERROR(LOOKUP(2,1/(单次交易!$A$2:$A$163=B226),单次交易!$E$2:$E$163),0),"激活价须高于买入价",IF(F226&lt;N226,"止损价不得低于初始止损",IF(F226&gt;E226,"止损价不得高于激活价",IF(AND(COUNTIFS($A$2:$A$497,"止损计划",$B$2:$B$497,B226,$D$2:$D$497,"&lt;"&amp;D226)&gt;0,OR(E226&lt;=SUMPRODUCT(MAX((($A$2:$A$497="止损计划")*($B$2:$B$497=B226)*($D$2:$D$497&lt;D226))*$E$2:$E$497)),F226&lt;SUMPRODUCT(MAX((($A$2:$A$497="止损计划")*($B$2:$B$497=B226)*($D$2:$D$497&lt;D226))*$F$2:$F$497)))),"阶段价格必须逐级提高","计划有效"))))))),IF(A226="每日跟踪",IF(OR(B226="",H226="",I226="",J226=""),"每日数据不完整",IF(COUNTIFS($A$2:$A$497,"每日跟踪",$B$2:$B$497,B226,$H$2:$H$497,H226)&gt;1,"同一交易日期重复",IF(AND(R226&lt;&gt;"",R226&lt;S226),"人工止损无效：不能下调","跟踪有效"))),"记录类型无效")))</f>
        <v/>
      </c>
    </row>
    <row r="227" ht="17" spans="1:29">
      <c r="A227" s="2"/>
      <c r="B227" s="2"/>
      <c r="C227" s="8" t="str">
        <f>IF(B227="","",IFERROR(LOOKUP(2,1/(单次交易!$A$2:$A$163=B227),单次交易!$B$2:$B$163),""))</f>
        <v/>
      </c>
      <c r="D227" s="12"/>
      <c r="E227" s="10"/>
      <c r="F227" s="10"/>
      <c r="G227" s="2"/>
      <c r="H227" s="15"/>
      <c r="I227" s="10"/>
      <c r="J227" s="12"/>
      <c r="K227" s="2"/>
      <c r="L227" s="2"/>
      <c r="M227" s="2"/>
      <c r="N227" s="5" t="str">
        <f>IF(B227="","",IFERROR(LOOKUP(2,1/(单次交易!$A$2:$A$163=B227),单次交易!$N$2:$N$163),""))</f>
        <v/>
      </c>
      <c r="O227" s="5" t="str">
        <f t="shared" si="27"/>
        <v/>
      </c>
      <c r="P227" s="11" t="str">
        <f t="shared" si="28"/>
        <v/>
      </c>
      <c r="Q227" s="5" t="str">
        <f t="shared" si="29"/>
        <v/>
      </c>
      <c r="R227" s="10"/>
      <c r="S227" s="5" t="str">
        <f t="shared" si="30"/>
        <v/>
      </c>
      <c r="T227" s="5" t="str">
        <f t="shared" si="31"/>
        <v/>
      </c>
      <c r="U227" s="5" t="str">
        <f t="shared" si="32"/>
        <v/>
      </c>
      <c r="V227" s="7" t="str">
        <f t="shared" si="33"/>
        <v/>
      </c>
      <c r="W227" s="8" t="str">
        <f t="shared" si="34"/>
        <v/>
      </c>
      <c r="X227" s="2"/>
      <c r="Y227" s="10"/>
      <c r="Z227" s="11" t="str">
        <f>IF(X227&lt;&gt;"执行卖出","",IFERROR(LOOKUP(2,1/(单次交易!$A$2:$A$163=B227),单次交易!$AP$2:$AP$163),""))</f>
        <v/>
      </c>
      <c r="AA227" s="10"/>
      <c r="AB227" s="8" t="str">
        <f t="shared" si="35"/>
        <v/>
      </c>
      <c r="AC227" s="8" t="str">
        <f>IF(A227="","",IF(A227="止损计划",IF(OR(B227="",D227="",E227="",F227="",G227=""),"计划不完整",IF(OR(D227&lt;1,D227&lt;&gt;INT(D227)),"阶段序号无效",IF(COUNTIFS($A$2:$A$497,"止损计划",$B$2:$B$497,B227,$D$2:$D$497,D227)&gt;1,"阶段序号重复",IF(E227&lt;=IFERROR(LOOKUP(2,1/(单次交易!$A$2:$A$163=B227),单次交易!$E$2:$E$163),0),"激活价须高于买入价",IF(F227&lt;N227,"止损价不得低于初始止损",IF(F227&gt;E227,"止损价不得高于激活价",IF(AND(COUNTIFS($A$2:$A$497,"止损计划",$B$2:$B$497,B227,$D$2:$D$497,"&lt;"&amp;D227)&gt;0,OR(E227&lt;=SUMPRODUCT(MAX((($A$2:$A$497="止损计划")*($B$2:$B$497=B227)*($D$2:$D$497&lt;D227))*$E$2:$E$497)),F227&lt;SUMPRODUCT(MAX((($A$2:$A$497="止损计划")*($B$2:$B$497=B227)*($D$2:$D$497&lt;D227))*$F$2:$F$497)))),"阶段价格必须逐级提高","计划有效"))))))),IF(A227="每日跟踪",IF(OR(B227="",H227="",I227="",J227=""),"每日数据不完整",IF(COUNTIFS($A$2:$A$497,"每日跟踪",$B$2:$B$497,B227,$H$2:$H$497,H227)&gt;1,"同一交易日期重复",IF(AND(R227&lt;&gt;"",R227&lt;S227),"人工止损无效：不能下调","跟踪有效"))),"记录类型无效")))</f>
        <v/>
      </c>
    </row>
    <row r="228" ht="17" spans="1:29">
      <c r="A228" s="2"/>
      <c r="B228" s="2"/>
      <c r="C228" s="8" t="str">
        <f>IF(B228="","",IFERROR(LOOKUP(2,1/(单次交易!$A$2:$A$163=B228),单次交易!$B$2:$B$163),""))</f>
        <v/>
      </c>
      <c r="D228" s="12"/>
      <c r="E228" s="10"/>
      <c r="F228" s="10"/>
      <c r="G228" s="2"/>
      <c r="H228" s="15"/>
      <c r="I228" s="10"/>
      <c r="J228" s="12"/>
      <c r="K228" s="2"/>
      <c r="L228" s="2"/>
      <c r="M228" s="2"/>
      <c r="N228" s="5" t="str">
        <f>IF(B228="","",IFERROR(LOOKUP(2,1/(单次交易!$A$2:$A$163=B228),单次交易!$N$2:$N$163),""))</f>
        <v/>
      </c>
      <c r="O228" s="5" t="str">
        <f t="shared" si="27"/>
        <v/>
      </c>
      <c r="P228" s="11" t="str">
        <f t="shared" si="28"/>
        <v/>
      </c>
      <c r="Q228" s="5" t="str">
        <f t="shared" si="29"/>
        <v/>
      </c>
      <c r="R228" s="10"/>
      <c r="S228" s="5" t="str">
        <f t="shared" si="30"/>
        <v/>
      </c>
      <c r="T228" s="5" t="str">
        <f t="shared" si="31"/>
        <v/>
      </c>
      <c r="U228" s="5" t="str">
        <f t="shared" si="32"/>
        <v/>
      </c>
      <c r="V228" s="7" t="str">
        <f t="shared" si="33"/>
        <v/>
      </c>
      <c r="W228" s="8" t="str">
        <f t="shared" si="34"/>
        <v/>
      </c>
      <c r="X228" s="2"/>
      <c r="Y228" s="10"/>
      <c r="Z228" s="11" t="str">
        <f>IF(X228&lt;&gt;"执行卖出","",IFERROR(LOOKUP(2,1/(单次交易!$A$2:$A$163=B228),单次交易!$AP$2:$AP$163),""))</f>
        <v/>
      </c>
      <c r="AA228" s="10"/>
      <c r="AB228" s="8" t="str">
        <f t="shared" si="35"/>
        <v/>
      </c>
      <c r="AC228" s="8" t="str">
        <f>IF(A228="","",IF(A228="止损计划",IF(OR(B228="",D228="",E228="",F228="",G228=""),"计划不完整",IF(OR(D228&lt;1,D228&lt;&gt;INT(D228)),"阶段序号无效",IF(COUNTIFS($A$2:$A$497,"止损计划",$B$2:$B$497,B228,$D$2:$D$497,D228)&gt;1,"阶段序号重复",IF(E228&lt;=IFERROR(LOOKUP(2,1/(单次交易!$A$2:$A$163=B228),单次交易!$E$2:$E$163),0),"激活价须高于买入价",IF(F228&lt;N228,"止损价不得低于初始止损",IF(F228&gt;E228,"止损价不得高于激活价",IF(AND(COUNTIFS($A$2:$A$497,"止损计划",$B$2:$B$497,B228,$D$2:$D$497,"&lt;"&amp;D228)&gt;0,OR(E228&lt;=SUMPRODUCT(MAX((($A$2:$A$497="止损计划")*($B$2:$B$497=B228)*($D$2:$D$497&lt;D228))*$E$2:$E$497)),F228&lt;SUMPRODUCT(MAX((($A$2:$A$497="止损计划")*($B$2:$B$497=B228)*($D$2:$D$497&lt;D228))*$F$2:$F$497)))),"阶段价格必须逐级提高","计划有效"))))))),IF(A228="每日跟踪",IF(OR(B228="",H228="",I228="",J228=""),"每日数据不完整",IF(COUNTIFS($A$2:$A$497,"每日跟踪",$B$2:$B$497,B228,$H$2:$H$497,H228)&gt;1,"同一交易日期重复",IF(AND(R228&lt;&gt;"",R228&lt;S228),"人工止损无效：不能下调","跟踪有效"))),"记录类型无效")))</f>
        <v/>
      </c>
    </row>
    <row r="229" ht="17" spans="1:29">
      <c r="A229" s="2"/>
      <c r="B229" s="2"/>
      <c r="C229" s="8" t="str">
        <f>IF(B229="","",IFERROR(LOOKUP(2,1/(单次交易!$A$2:$A$163=B229),单次交易!$B$2:$B$163),""))</f>
        <v/>
      </c>
      <c r="D229" s="12"/>
      <c r="E229" s="10"/>
      <c r="F229" s="10"/>
      <c r="G229" s="2"/>
      <c r="H229" s="15"/>
      <c r="I229" s="10"/>
      <c r="J229" s="12"/>
      <c r="K229" s="2"/>
      <c r="L229" s="2"/>
      <c r="M229" s="2"/>
      <c r="N229" s="5" t="str">
        <f>IF(B229="","",IFERROR(LOOKUP(2,1/(单次交易!$A$2:$A$163=B229),单次交易!$N$2:$N$163),""))</f>
        <v/>
      </c>
      <c r="O229" s="5" t="str">
        <f t="shared" si="27"/>
        <v/>
      </c>
      <c r="P229" s="11" t="str">
        <f t="shared" si="28"/>
        <v/>
      </c>
      <c r="Q229" s="5" t="str">
        <f t="shared" si="29"/>
        <v/>
      </c>
      <c r="R229" s="10"/>
      <c r="S229" s="5" t="str">
        <f t="shared" si="30"/>
        <v/>
      </c>
      <c r="T229" s="5" t="str">
        <f t="shared" si="31"/>
        <v/>
      </c>
      <c r="U229" s="5" t="str">
        <f t="shared" si="32"/>
        <v/>
      </c>
      <c r="V229" s="7" t="str">
        <f t="shared" si="33"/>
        <v/>
      </c>
      <c r="W229" s="8" t="str">
        <f t="shared" si="34"/>
        <v/>
      </c>
      <c r="X229" s="2"/>
      <c r="Y229" s="10"/>
      <c r="Z229" s="11" t="str">
        <f>IF(X229&lt;&gt;"执行卖出","",IFERROR(LOOKUP(2,1/(单次交易!$A$2:$A$163=B229),单次交易!$AP$2:$AP$163),""))</f>
        <v/>
      </c>
      <c r="AA229" s="10"/>
      <c r="AB229" s="8" t="str">
        <f t="shared" si="35"/>
        <v/>
      </c>
      <c r="AC229" s="8" t="str">
        <f>IF(A229="","",IF(A229="止损计划",IF(OR(B229="",D229="",E229="",F229="",G229=""),"计划不完整",IF(OR(D229&lt;1,D229&lt;&gt;INT(D229)),"阶段序号无效",IF(COUNTIFS($A$2:$A$497,"止损计划",$B$2:$B$497,B229,$D$2:$D$497,D229)&gt;1,"阶段序号重复",IF(E229&lt;=IFERROR(LOOKUP(2,1/(单次交易!$A$2:$A$163=B229),单次交易!$E$2:$E$163),0),"激活价须高于买入价",IF(F229&lt;N229,"止损价不得低于初始止损",IF(F229&gt;E229,"止损价不得高于激活价",IF(AND(COUNTIFS($A$2:$A$497,"止损计划",$B$2:$B$497,B229,$D$2:$D$497,"&lt;"&amp;D229)&gt;0,OR(E229&lt;=SUMPRODUCT(MAX((($A$2:$A$497="止损计划")*($B$2:$B$497=B229)*($D$2:$D$497&lt;D229))*$E$2:$E$497)),F229&lt;SUMPRODUCT(MAX((($A$2:$A$497="止损计划")*($B$2:$B$497=B229)*($D$2:$D$497&lt;D229))*$F$2:$F$497)))),"阶段价格必须逐级提高","计划有效"))))))),IF(A229="每日跟踪",IF(OR(B229="",H229="",I229="",J229=""),"每日数据不完整",IF(COUNTIFS($A$2:$A$497,"每日跟踪",$B$2:$B$497,B229,$H$2:$H$497,H229)&gt;1,"同一交易日期重复",IF(AND(R229&lt;&gt;"",R229&lt;S229),"人工止损无效：不能下调","跟踪有效"))),"记录类型无效")))</f>
        <v/>
      </c>
    </row>
    <row r="230" ht="17" spans="1:29">
      <c r="A230" s="2"/>
      <c r="B230" s="2"/>
      <c r="C230" s="8" t="str">
        <f>IF(B230="","",IFERROR(LOOKUP(2,1/(单次交易!$A$2:$A$163=B230),单次交易!$B$2:$B$163),""))</f>
        <v/>
      </c>
      <c r="D230" s="12"/>
      <c r="E230" s="10"/>
      <c r="F230" s="10"/>
      <c r="G230" s="2"/>
      <c r="H230" s="15"/>
      <c r="I230" s="10"/>
      <c r="J230" s="12"/>
      <c r="K230" s="2"/>
      <c r="L230" s="2"/>
      <c r="M230" s="2"/>
      <c r="N230" s="5" t="str">
        <f>IF(B230="","",IFERROR(LOOKUP(2,1/(单次交易!$A$2:$A$163=B230),单次交易!$N$2:$N$163),""))</f>
        <v/>
      </c>
      <c r="O230" s="5" t="str">
        <f t="shared" si="27"/>
        <v/>
      </c>
      <c r="P230" s="11" t="str">
        <f t="shared" si="28"/>
        <v/>
      </c>
      <c r="Q230" s="5" t="str">
        <f t="shared" si="29"/>
        <v/>
      </c>
      <c r="R230" s="10"/>
      <c r="S230" s="5" t="str">
        <f t="shared" si="30"/>
        <v/>
      </c>
      <c r="T230" s="5" t="str">
        <f t="shared" si="31"/>
        <v/>
      </c>
      <c r="U230" s="5" t="str">
        <f t="shared" si="32"/>
        <v/>
      </c>
      <c r="V230" s="7" t="str">
        <f t="shared" si="33"/>
        <v/>
      </c>
      <c r="W230" s="8" t="str">
        <f t="shared" si="34"/>
        <v/>
      </c>
      <c r="X230" s="2"/>
      <c r="Y230" s="10"/>
      <c r="Z230" s="11" t="str">
        <f>IF(X230&lt;&gt;"执行卖出","",IFERROR(LOOKUP(2,1/(单次交易!$A$2:$A$163=B230),单次交易!$AP$2:$AP$163),""))</f>
        <v/>
      </c>
      <c r="AA230" s="10"/>
      <c r="AB230" s="8" t="str">
        <f t="shared" si="35"/>
        <v/>
      </c>
      <c r="AC230" s="8" t="str">
        <f>IF(A230="","",IF(A230="止损计划",IF(OR(B230="",D230="",E230="",F230="",G230=""),"计划不完整",IF(OR(D230&lt;1,D230&lt;&gt;INT(D230)),"阶段序号无效",IF(COUNTIFS($A$2:$A$497,"止损计划",$B$2:$B$497,B230,$D$2:$D$497,D230)&gt;1,"阶段序号重复",IF(E230&lt;=IFERROR(LOOKUP(2,1/(单次交易!$A$2:$A$163=B230),单次交易!$E$2:$E$163),0),"激活价须高于买入价",IF(F230&lt;N230,"止损价不得低于初始止损",IF(F230&gt;E230,"止损价不得高于激活价",IF(AND(COUNTIFS($A$2:$A$497,"止损计划",$B$2:$B$497,B230,$D$2:$D$497,"&lt;"&amp;D230)&gt;0,OR(E230&lt;=SUMPRODUCT(MAX((($A$2:$A$497="止损计划")*($B$2:$B$497=B230)*($D$2:$D$497&lt;D230))*$E$2:$E$497)),F230&lt;SUMPRODUCT(MAX((($A$2:$A$497="止损计划")*($B$2:$B$497=B230)*($D$2:$D$497&lt;D230))*$F$2:$F$497)))),"阶段价格必须逐级提高","计划有效"))))))),IF(A230="每日跟踪",IF(OR(B230="",H230="",I230="",J230=""),"每日数据不完整",IF(COUNTIFS($A$2:$A$497,"每日跟踪",$B$2:$B$497,B230,$H$2:$H$497,H230)&gt;1,"同一交易日期重复",IF(AND(R230&lt;&gt;"",R230&lt;S230),"人工止损无效：不能下调","跟踪有效"))),"记录类型无效")))</f>
        <v/>
      </c>
    </row>
    <row r="231" ht="17" spans="1:29">
      <c r="A231" s="2"/>
      <c r="B231" s="2"/>
      <c r="C231" s="8" t="str">
        <f>IF(B231="","",IFERROR(LOOKUP(2,1/(单次交易!$A$2:$A$163=B231),单次交易!$B$2:$B$163),""))</f>
        <v/>
      </c>
      <c r="D231" s="12"/>
      <c r="E231" s="10"/>
      <c r="F231" s="10"/>
      <c r="G231" s="2"/>
      <c r="H231" s="15"/>
      <c r="I231" s="10"/>
      <c r="J231" s="12"/>
      <c r="K231" s="2"/>
      <c r="L231" s="2"/>
      <c r="M231" s="2"/>
      <c r="N231" s="5" t="str">
        <f>IF(B231="","",IFERROR(LOOKUP(2,1/(单次交易!$A$2:$A$163=B231),单次交易!$N$2:$N$163),""))</f>
        <v/>
      </c>
      <c r="O231" s="5" t="str">
        <f t="shared" si="27"/>
        <v/>
      </c>
      <c r="P231" s="11" t="str">
        <f t="shared" si="28"/>
        <v/>
      </c>
      <c r="Q231" s="5" t="str">
        <f t="shared" si="29"/>
        <v/>
      </c>
      <c r="R231" s="10"/>
      <c r="S231" s="5" t="str">
        <f t="shared" si="30"/>
        <v/>
      </c>
      <c r="T231" s="5" t="str">
        <f t="shared" si="31"/>
        <v/>
      </c>
      <c r="U231" s="5" t="str">
        <f t="shared" si="32"/>
        <v/>
      </c>
      <c r="V231" s="7" t="str">
        <f t="shared" si="33"/>
        <v/>
      </c>
      <c r="W231" s="8" t="str">
        <f t="shared" si="34"/>
        <v/>
      </c>
      <c r="X231" s="2"/>
      <c r="Y231" s="10"/>
      <c r="Z231" s="11" t="str">
        <f>IF(X231&lt;&gt;"执行卖出","",IFERROR(LOOKUP(2,1/(单次交易!$A$2:$A$163=B231),单次交易!$AP$2:$AP$163),""))</f>
        <v/>
      </c>
      <c r="AA231" s="10"/>
      <c r="AB231" s="8" t="str">
        <f t="shared" si="35"/>
        <v/>
      </c>
      <c r="AC231" s="8" t="str">
        <f>IF(A231="","",IF(A231="止损计划",IF(OR(B231="",D231="",E231="",F231="",G231=""),"计划不完整",IF(OR(D231&lt;1,D231&lt;&gt;INT(D231)),"阶段序号无效",IF(COUNTIFS($A$2:$A$497,"止损计划",$B$2:$B$497,B231,$D$2:$D$497,D231)&gt;1,"阶段序号重复",IF(E231&lt;=IFERROR(LOOKUP(2,1/(单次交易!$A$2:$A$163=B231),单次交易!$E$2:$E$163),0),"激活价须高于买入价",IF(F231&lt;N231,"止损价不得低于初始止损",IF(F231&gt;E231,"止损价不得高于激活价",IF(AND(COUNTIFS($A$2:$A$497,"止损计划",$B$2:$B$497,B231,$D$2:$D$497,"&lt;"&amp;D231)&gt;0,OR(E231&lt;=SUMPRODUCT(MAX((($A$2:$A$497="止损计划")*($B$2:$B$497=B231)*($D$2:$D$497&lt;D231))*$E$2:$E$497)),F231&lt;SUMPRODUCT(MAX((($A$2:$A$497="止损计划")*($B$2:$B$497=B231)*($D$2:$D$497&lt;D231))*$F$2:$F$497)))),"阶段价格必须逐级提高","计划有效"))))))),IF(A231="每日跟踪",IF(OR(B231="",H231="",I231="",J231=""),"每日数据不完整",IF(COUNTIFS($A$2:$A$497,"每日跟踪",$B$2:$B$497,B231,$H$2:$H$497,H231)&gt;1,"同一交易日期重复",IF(AND(R231&lt;&gt;"",R231&lt;S231),"人工止损无效：不能下调","跟踪有效"))),"记录类型无效")))</f>
        <v/>
      </c>
    </row>
    <row r="232" ht="17" spans="1:29">
      <c r="A232" s="2"/>
      <c r="B232" s="2"/>
      <c r="C232" s="8" t="str">
        <f>IF(B232="","",IFERROR(LOOKUP(2,1/(单次交易!$A$2:$A$163=B232),单次交易!$B$2:$B$163),""))</f>
        <v/>
      </c>
      <c r="D232" s="12"/>
      <c r="E232" s="10"/>
      <c r="F232" s="10"/>
      <c r="G232" s="2"/>
      <c r="H232" s="15"/>
      <c r="I232" s="10"/>
      <c r="J232" s="12"/>
      <c r="K232" s="2"/>
      <c r="L232" s="2"/>
      <c r="M232" s="2"/>
      <c r="N232" s="5" t="str">
        <f>IF(B232="","",IFERROR(LOOKUP(2,1/(单次交易!$A$2:$A$163=B232),单次交易!$N$2:$N$163),""))</f>
        <v/>
      </c>
      <c r="O232" s="5" t="str">
        <f t="shared" si="27"/>
        <v/>
      </c>
      <c r="P232" s="11" t="str">
        <f t="shared" si="28"/>
        <v/>
      </c>
      <c r="Q232" s="5" t="str">
        <f t="shared" si="29"/>
        <v/>
      </c>
      <c r="R232" s="10"/>
      <c r="S232" s="5" t="str">
        <f t="shared" si="30"/>
        <v/>
      </c>
      <c r="T232" s="5" t="str">
        <f t="shared" si="31"/>
        <v/>
      </c>
      <c r="U232" s="5" t="str">
        <f t="shared" si="32"/>
        <v/>
      </c>
      <c r="V232" s="7" t="str">
        <f t="shared" si="33"/>
        <v/>
      </c>
      <c r="W232" s="8" t="str">
        <f t="shared" si="34"/>
        <v/>
      </c>
      <c r="X232" s="2"/>
      <c r="Y232" s="10"/>
      <c r="Z232" s="11" t="str">
        <f>IF(X232&lt;&gt;"执行卖出","",IFERROR(LOOKUP(2,1/(单次交易!$A$2:$A$163=B232),单次交易!$AP$2:$AP$163),""))</f>
        <v/>
      </c>
      <c r="AA232" s="10"/>
      <c r="AB232" s="8" t="str">
        <f t="shared" si="35"/>
        <v/>
      </c>
      <c r="AC232" s="8" t="str">
        <f>IF(A232="","",IF(A232="止损计划",IF(OR(B232="",D232="",E232="",F232="",G232=""),"计划不完整",IF(OR(D232&lt;1,D232&lt;&gt;INT(D232)),"阶段序号无效",IF(COUNTIFS($A$2:$A$497,"止损计划",$B$2:$B$497,B232,$D$2:$D$497,D232)&gt;1,"阶段序号重复",IF(E232&lt;=IFERROR(LOOKUP(2,1/(单次交易!$A$2:$A$163=B232),单次交易!$E$2:$E$163),0),"激活价须高于买入价",IF(F232&lt;N232,"止损价不得低于初始止损",IF(F232&gt;E232,"止损价不得高于激活价",IF(AND(COUNTIFS($A$2:$A$497,"止损计划",$B$2:$B$497,B232,$D$2:$D$497,"&lt;"&amp;D232)&gt;0,OR(E232&lt;=SUMPRODUCT(MAX((($A$2:$A$497="止损计划")*($B$2:$B$497=B232)*($D$2:$D$497&lt;D232))*$E$2:$E$497)),F232&lt;SUMPRODUCT(MAX((($A$2:$A$497="止损计划")*($B$2:$B$497=B232)*($D$2:$D$497&lt;D232))*$F$2:$F$497)))),"阶段价格必须逐级提高","计划有效"))))))),IF(A232="每日跟踪",IF(OR(B232="",H232="",I232="",J232=""),"每日数据不完整",IF(COUNTIFS($A$2:$A$497,"每日跟踪",$B$2:$B$497,B232,$H$2:$H$497,H232)&gt;1,"同一交易日期重复",IF(AND(R232&lt;&gt;"",R232&lt;S232),"人工止损无效：不能下调","跟踪有效"))),"记录类型无效")))</f>
        <v/>
      </c>
    </row>
    <row r="233" ht="17" spans="1:29">
      <c r="A233" s="2"/>
      <c r="B233" s="2"/>
      <c r="C233" s="8" t="str">
        <f>IF(B233="","",IFERROR(LOOKUP(2,1/(单次交易!$A$2:$A$163=B233),单次交易!$B$2:$B$163),""))</f>
        <v/>
      </c>
      <c r="D233" s="12"/>
      <c r="E233" s="10"/>
      <c r="F233" s="10"/>
      <c r="G233" s="2"/>
      <c r="H233" s="15"/>
      <c r="I233" s="10"/>
      <c r="J233" s="12"/>
      <c r="K233" s="2"/>
      <c r="L233" s="2"/>
      <c r="M233" s="2"/>
      <c r="N233" s="5" t="str">
        <f>IF(B233="","",IFERROR(LOOKUP(2,1/(单次交易!$A$2:$A$163=B233),单次交易!$N$2:$N$163),""))</f>
        <v/>
      </c>
      <c r="O233" s="5" t="str">
        <f t="shared" si="27"/>
        <v/>
      </c>
      <c r="P233" s="11" t="str">
        <f t="shared" si="28"/>
        <v/>
      </c>
      <c r="Q233" s="5" t="str">
        <f t="shared" si="29"/>
        <v/>
      </c>
      <c r="R233" s="10"/>
      <c r="S233" s="5" t="str">
        <f t="shared" si="30"/>
        <v/>
      </c>
      <c r="T233" s="5" t="str">
        <f t="shared" si="31"/>
        <v/>
      </c>
      <c r="U233" s="5" t="str">
        <f t="shared" si="32"/>
        <v/>
      </c>
      <c r="V233" s="7" t="str">
        <f t="shared" si="33"/>
        <v/>
      </c>
      <c r="W233" s="8" t="str">
        <f t="shared" si="34"/>
        <v/>
      </c>
      <c r="X233" s="2"/>
      <c r="Y233" s="10"/>
      <c r="Z233" s="11" t="str">
        <f>IF(X233&lt;&gt;"执行卖出","",IFERROR(LOOKUP(2,1/(单次交易!$A$2:$A$163=B233),单次交易!$AP$2:$AP$163),""))</f>
        <v/>
      </c>
      <c r="AA233" s="10"/>
      <c r="AB233" s="8" t="str">
        <f t="shared" si="35"/>
        <v/>
      </c>
      <c r="AC233" s="8" t="str">
        <f>IF(A233="","",IF(A233="止损计划",IF(OR(B233="",D233="",E233="",F233="",G233=""),"计划不完整",IF(OR(D233&lt;1,D233&lt;&gt;INT(D233)),"阶段序号无效",IF(COUNTIFS($A$2:$A$497,"止损计划",$B$2:$B$497,B233,$D$2:$D$497,D233)&gt;1,"阶段序号重复",IF(E233&lt;=IFERROR(LOOKUP(2,1/(单次交易!$A$2:$A$163=B233),单次交易!$E$2:$E$163),0),"激活价须高于买入价",IF(F233&lt;N233,"止损价不得低于初始止损",IF(F233&gt;E233,"止损价不得高于激活价",IF(AND(COUNTIFS($A$2:$A$497,"止损计划",$B$2:$B$497,B233,$D$2:$D$497,"&lt;"&amp;D233)&gt;0,OR(E233&lt;=SUMPRODUCT(MAX((($A$2:$A$497="止损计划")*($B$2:$B$497=B233)*($D$2:$D$497&lt;D233))*$E$2:$E$497)),F233&lt;SUMPRODUCT(MAX((($A$2:$A$497="止损计划")*($B$2:$B$497=B233)*($D$2:$D$497&lt;D233))*$F$2:$F$497)))),"阶段价格必须逐级提高","计划有效"))))))),IF(A233="每日跟踪",IF(OR(B233="",H233="",I233="",J233=""),"每日数据不完整",IF(COUNTIFS($A$2:$A$497,"每日跟踪",$B$2:$B$497,B233,$H$2:$H$497,H233)&gt;1,"同一交易日期重复",IF(AND(R233&lt;&gt;"",R233&lt;S233),"人工止损无效：不能下调","跟踪有效"))),"记录类型无效")))</f>
        <v/>
      </c>
    </row>
    <row r="234" ht="17" spans="1:29">
      <c r="A234" s="2"/>
      <c r="B234" s="2"/>
      <c r="C234" s="8" t="str">
        <f>IF(B234="","",IFERROR(LOOKUP(2,1/(单次交易!$A$2:$A$163=B234),单次交易!$B$2:$B$163),""))</f>
        <v/>
      </c>
      <c r="D234" s="12"/>
      <c r="E234" s="10"/>
      <c r="F234" s="10"/>
      <c r="G234" s="2"/>
      <c r="H234" s="15"/>
      <c r="I234" s="10"/>
      <c r="J234" s="12"/>
      <c r="K234" s="2"/>
      <c r="L234" s="2"/>
      <c r="M234" s="2"/>
      <c r="N234" s="5" t="str">
        <f>IF(B234="","",IFERROR(LOOKUP(2,1/(单次交易!$A$2:$A$163=B234),单次交易!$N$2:$N$163),""))</f>
        <v/>
      </c>
      <c r="O234" s="5" t="str">
        <f t="shared" si="27"/>
        <v/>
      </c>
      <c r="P234" s="11" t="str">
        <f t="shared" si="28"/>
        <v/>
      </c>
      <c r="Q234" s="5" t="str">
        <f t="shared" si="29"/>
        <v/>
      </c>
      <c r="R234" s="10"/>
      <c r="S234" s="5" t="str">
        <f t="shared" si="30"/>
        <v/>
      </c>
      <c r="T234" s="5" t="str">
        <f t="shared" si="31"/>
        <v/>
      </c>
      <c r="U234" s="5" t="str">
        <f t="shared" si="32"/>
        <v/>
      </c>
      <c r="V234" s="7" t="str">
        <f t="shared" si="33"/>
        <v/>
      </c>
      <c r="W234" s="8" t="str">
        <f t="shared" si="34"/>
        <v/>
      </c>
      <c r="X234" s="2"/>
      <c r="Y234" s="10"/>
      <c r="Z234" s="11" t="str">
        <f>IF(X234&lt;&gt;"执行卖出","",IFERROR(LOOKUP(2,1/(单次交易!$A$2:$A$163=B234),单次交易!$AP$2:$AP$163),""))</f>
        <v/>
      </c>
      <c r="AA234" s="10"/>
      <c r="AB234" s="8" t="str">
        <f t="shared" si="35"/>
        <v/>
      </c>
      <c r="AC234" s="8" t="str">
        <f>IF(A234="","",IF(A234="止损计划",IF(OR(B234="",D234="",E234="",F234="",G234=""),"计划不完整",IF(OR(D234&lt;1,D234&lt;&gt;INT(D234)),"阶段序号无效",IF(COUNTIFS($A$2:$A$497,"止损计划",$B$2:$B$497,B234,$D$2:$D$497,D234)&gt;1,"阶段序号重复",IF(E234&lt;=IFERROR(LOOKUP(2,1/(单次交易!$A$2:$A$163=B234),单次交易!$E$2:$E$163),0),"激活价须高于买入价",IF(F234&lt;N234,"止损价不得低于初始止损",IF(F234&gt;E234,"止损价不得高于激活价",IF(AND(COUNTIFS($A$2:$A$497,"止损计划",$B$2:$B$497,B234,$D$2:$D$497,"&lt;"&amp;D234)&gt;0,OR(E234&lt;=SUMPRODUCT(MAX((($A$2:$A$497="止损计划")*($B$2:$B$497=B234)*($D$2:$D$497&lt;D234))*$E$2:$E$497)),F234&lt;SUMPRODUCT(MAX((($A$2:$A$497="止损计划")*($B$2:$B$497=B234)*($D$2:$D$497&lt;D234))*$F$2:$F$497)))),"阶段价格必须逐级提高","计划有效"))))))),IF(A234="每日跟踪",IF(OR(B234="",H234="",I234="",J234=""),"每日数据不完整",IF(COUNTIFS($A$2:$A$497,"每日跟踪",$B$2:$B$497,B234,$H$2:$H$497,H234)&gt;1,"同一交易日期重复",IF(AND(R234&lt;&gt;"",R234&lt;S234),"人工止损无效：不能下调","跟踪有效"))),"记录类型无效")))</f>
        <v/>
      </c>
    </row>
    <row r="235" ht="17" spans="1:29">
      <c r="A235" s="2"/>
      <c r="B235" s="2"/>
      <c r="C235" s="8" t="str">
        <f>IF(B235="","",IFERROR(LOOKUP(2,1/(单次交易!$A$2:$A$163=B235),单次交易!$B$2:$B$163),""))</f>
        <v/>
      </c>
      <c r="D235" s="12"/>
      <c r="E235" s="10"/>
      <c r="F235" s="10"/>
      <c r="G235" s="2"/>
      <c r="H235" s="15"/>
      <c r="I235" s="10"/>
      <c r="J235" s="12"/>
      <c r="K235" s="2"/>
      <c r="L235" s="2"/>
      <c r="M235" s="2"/>
      <c r="N235" s="5" t="str">
        <f>IF(B235="","",IFERROR(LOOKUP(2,1/(单次交易!$A$2:$A$163=B235),单次交易!$N$2:$N$163),""))</f>
        <v/>
      </c>
      <c r="O235" s="5" t="str">
        <f t="shared" si="27"/>
        <v/>
      </c>
      <c r="P235" s="11" t="str">
        <f t="shared" si="28"/>
        <v/>
      </c>
      <c r="Q235" s="5" t="str">
        <f t="shared" si="29"/>
        <v/>
      </c>
      <c r="R235" s="10"/>
      <c r="S235" s="5" t="str">
        <f t="shared" si="30"/>
        <v/>
      </c>
      <c r="T235" s="5" t="str">
        <f t="shared" si="31"/>
        <v/>
      </c>
      <c r="U235" s="5" t="str">
        <f t="shared" si="32"/>
        <v/>
      </c>
      <c r="V235" s="7" t="str">
        <f t="shared" si="33"/>
        <v/>
      </c>
      <c r="W235" s="8" t="str">
        <f t="shared" si="34"/>
        <v/>
      </c>
      <c r="X235" s="2"/>
      <c r="Y235" s="10"/>
      <c r="Z235" s="11" t="str">
        <f>IF(X235&lt;&gt;"执行卖出","",IFERROR(LOOKUP(2,1/(单次交易!$A$2:$A$163=B235),单次交易!$AP$2:$AP$163),""))</f>
        <v/>
      </c>
      <c r="AA235" s="10"/>
      <c r="AB235" s="8" t="str">
        <f t="shared" si="35"/>
        <v/>
      </c>
      <c r="AC235" s="8" t="str">
        <f>IF(A235="","",IF(A235="止损计划",IF(OR(B235="",D235="",E235="",F235="",G235=""),"计划不完整",IF(OR(D235&lt;1,D235&lt;&gt;INT(D235)),"阶段序号无效",IF(COUNTIFS($A$2:$A$497,"止损计划",$B$2:$B$497,B235,$D$2:$D$497,D235)&gt;1,"阶段序号重复",IF(E235&lt;=IFERROR(LOOKUP(2,1/(单次交易!$A$2:$A$163=B235),单次交易!$E$2:$E$163),0),"激活价须高于买入价",IF(F235&lt;N235,"止损价不得低于初始止损",IF(F235&gt;E235,"止损价不得高于激活价",IF(AND(COUNTIFS($A$2:$A$497,"止损计划",$B$2:$B$497,B235,$D$2:$D$497,"&lt;"&amp;D235)&gt;0,OR(E235&lt;=SUMPRODUCT(MAX((($A$2:$A$497="止损计划")*($B$2:$B$497=B235)*($D$2:$D$497&lt;D235))*$E$2:$E$497)),F235&lt;SUMPRODUCT(MAX((($A$2:$A$497="止损计划")*($B$2:$B$497=B235)*($D$2:$D$497&lt;D235))*$F$2:$F$497)))),"阶段价格必须逐级提高","计划有效"))))))),IF(A235="每日跟踪",IF(OR(B235="",H235="",I235="",J235=""),"每日数据不完整",IF(COUNTIFS($A$2:$A$497,"每日跟踪",$B$2:$B$497,B235,$H$2:$H$497,H235)&gt;1,"同一交易日期重复",IF(AND(R235&lt;&gt;"",R235&lt;S235),"人工止损无效：不能下调","跟踪有效"))),"记录类型无效")))</f>
        <v/>
      </c>
    </row>
    <row r="236" ht="17" spans="1:29">
      <c r="A236" s="2"/>
      <c r="B236" s="2"/>
      <c r="C236" s="8" t="str">
        <f>IF(B236="","",IFERROR(LOOKUP(2,1/(单次交易!$A$2:$A$163=B236),单次交易!$B$2:$B$163),""))</f>
        <v/>
      </c>
      <c r="D236" s="12"/>
      <c r="E236" s="10"/>
      <c r="F236" s="10"/>
      <c r="G236" s="2"/>
      <c r="H236" s="15"/>
      <c r="I236" s="10"/>
      <c r="J236" s="12"/>
      <c r="K236" s="2"/>
      <c r="L236" s="2"/>
      <c r="M236" s="2"/>
      <c r="N236" s="5" t="str">
        <f>IF(B236="","",IFERROR(LOOKUP(2,1/(单次交易!$A$2:$A$163=B236),单次交易!$N$2:$N$163),""))</f>
        <v/>
      </c>
      <c r="O236" s="5" t="str">
        <f t="shared" si="27"/>
        <v/>
      </c>
      <c r="P236" s="11" t="str">
        <f t="shared" si="28"/>
        <v/>
      </c>
      <c r="Q236" s="5" t="str">
        <f t="shared" si="29"/>
        <v/>
      </c>
      <c r="R236" s="10"/>
      <c r="S236" s="5" t="str">
        <f t="shared" si="30"/>
        <v/>
      </c>
      <c r="T236" s="5" t="str">
        <f t="shared" si="31"/>
        <v/>
      </c>
      <c r="U236" s="5" t="str">
        <f t="shared" si="32"/>
        <v/>
      </c>
      <c r="V236" s="7" t="str">
        <f t="shared" si="33"/>
        <v/>
      </c>
      <c r="W236" s="8" t="str">
        <f t="shared" si="34"/>
        <v/>
      </c>
      <c r="X236" s="2"/>
      <c r="Y236" s="10"/>
      <c r="Z236" s="11" t="str">
        <f>IF(X236&lt;&gt;"执行卖出","",IFERROR(LOOKUP(2,1/(单次交易!$A$2:$A$163=B236),单次交易!$AP$2:$AP$163),""))</f>
        <v/>
      </c>
      <c r="AA236" s="10"/>
      <c r="AB236" s="8" t="str">
        <f t="shared" si="35"/>
        <v/>
      </c>
      <c r="AC236" s="8" t="str">
        <f>IF(A236="","",IF(A236="止损计划",IF(OR(B236="",D236="",E236="",F236="",G236=""),"计划不完整",IF(OR(D236&lt;1,D236&lt;&gt;INT(D236)),"阶段序号无效",IF(COUNTIFS($A$2:$A$497,"止损计划",$B$2:$B$497,B236,$D$2:$D$497,D236)&gt;1,"阶段序号重复",IF(E236&lt;=IFERROR(LOOKUP(2,1/(单次交易!$A$2:$A$163=B236),单次交易!$E$2:$E$163),0),"激活价须高于买入价",IF(F236&lt;N236,"止损价不得低于初始止损",IF(F236&gt;E236,"止损价不得高于激活价",IF(AND(COUNTIFS($A$2:$A$497,"止损计划",$B$2:$B$497,B236,$D$2:$D$497,"&lt;"&amp;D236)&gt;0,OR(E236&lt;=SUMPRODUCT(MAX((($A$2:$A$497="止损计划")*($B$2:$B$497=B236)*($D$2:$D$497&lt;D236))*$E$2:$E$497)),F236&lt;SUMPRODUCT(MAX((($A$2:$A$497="止损计划")*($B$2:$B$497=B236)*($D$2:$D$497&lt;D236))*$F$2:$F$497)))),"阶段价格必须逐级提高","计划有效"))))))),IF(A236="每日跟踪",IF(OR(B236="",H236="",I236="",J236=""),"每日数据不完整",IF(COUNTIFS($A$2:$A$497,"每日跟踪",$B$2:$B$497,B236,$H$2:$H$497,H236)&gt;1,"同一交易日期重复",IF(AND(R236&lt;&gt;"",R236&lt;S236),"人工止损无效：不能下调","跟踪有效"))),"记录类型无效")))</f>
        <v/>
      </c>
    </row>
    <row r="237" ht="17" spans="1:29">
      <c r="A237" s="2"/>
      <c r="B237" s="2"/>
      <c r="C237" s="8" t="str">
        <f>IF(B237="","",IFERROR(LOOKUP(2,1/(单次交易!$A$2:$A$163=B237),单次交易!$B$2:$B$163),""))</f>
        <v/>
      </c>
      <c r="D237" s="12"/>
      <c r="E237" s="10"/>
      <c r="F237" s="10"/>
      <c r="G237" s="2"/>
      <c r="H237" s="15"/>
      <c r="I237" s="10"/>
      <c r="J237" s="12"/>
      <c r="K237" s="2"/>
      <c r="L237" s="2"/>
      <c r="M237" s="2"/>
      <c r="N237" s="5" t="str">
        <f>IF(B237="","",IFERROR(LOOKUP(2,1/(单次交易!$A$2:$A$163=B237),单次交易!$N$2:$N$163),""))</f>
        <v/>
      </c>
      <c r="O237" s="5" t="str">
        <f t="shared" si="27"/>
        <v/>
      </c>
      <c r="P237" s="11" t="str">
        <f t="shared" si="28"/>
        <v/>
      </c>
      <c r="Q237" s="5" t="str">
        <f t="shared" si="29"/>
        <v/>
      </c>
      <c r="R237" s="10"/>
      <c r="S237" s="5" t="str">
        <f t="shared" si="30"/>
        <v/>
      </c>
      <c r="T237" s="5" t="str">
        <f t="shared" si="31"/>
        <v/>
      </c>
      <c r="U237" s="5" t="str">
        <f t="shared" si="32"/>
        <v/>
      </c>
      <c r="V237" s="7" t="str">
        <f t="shared" si="33"/>
        <v/>
      </c>
      <c r="W237" s="8" t="str">
        <f t="shared" si="34"/>
        <v/>
      </c>
      <c r="X237" s="2"/>
      <c r="Y237" s="10"/>
      <c r="Z237" s="11" t="str">
        <f>IF(X237&lt;&gt;"执行卖出","",IFERROR(LOOKUP(2,1/(单次交易!$A$2:$A$163=B237),单次交易!$AP$2:$AP$163),""))</f>
        <v/>
      </c>
      <c r="AA237" s="10"/>
      <c r="AB237" s="8" t="str">
        <f t="shared" si="35"/>
        <v/>
      </c>
      <c r="AC237" s="8" t="str">
        <f>IF(A237="","",IF(A237="止损计划",IF(OR(B237="",D237="",E237="",F237="",G237=""),"计划不完整",IF(OR(D237&lt;1,D237&lt;&gt;INT(D237)),"阶段序号无效",IF(COUNTIFS($A$2:$A$497,"止损计划",$B$2:$B$497,B237,$D$2:$D$497,D237)&gt;1,"阶段序号重复",IF(E237&lt;=IFERROR(LOOKUP(2,1/(单次交易!$A$2:$A$163=B237),单次交易!$E$2:$E$163),0),"激活价须高于买入价",IF(F237&lt;N237,"止损价不得低于初始止损",IF(F237&gt;E237,"止损价不得高于激活价",IF(AND(COUNTIFS($A$2:$A$497,"止损计划",$B$2:$B$497,B237,$D$2:$D$497,"&lt;"&amp;D237)&gt;0,OR(E237&lt;=SUMPRODUCT(MAX((($A$2:$A$497="止损计划")*($B$2:$B$497=B237)*($D$2:$D$497&lt;D237))*$E$2:$E$497)),F237&lt;SUMPRODUCT(MAX((($A$2:$A$497="止损计划")*($B$2:$B$497=B237)*($D$2:$D$497&lt;D237))*$F$2:$F$497)))),"阶段价格必须逐级提高","计划有效"))))))),IF(A237="每日跟踪",IF(OR(B237="",H237="",I237="",J237=""),"每日数据不完整",IF(COUNTIFS($A$2:$A$497,"每日跟踪",$B$2:$B$497,B237,$H$2:$H$497,H237)&gt;1,"同一交易日期重复",IF(AND(R237&lt;&gt;"",R237&lt;S237),"人工止损无效：不能下调","跟踪有效"))),"记录类型无效")))</f>
        <v/>
      </c>
    </row>
    <row r="238" ht="17" spans="1:29">
      <c r="A238" s="2"/>
      <c r="B238" s="2"/>
      <c r="C238" s="8" t="str">
        <f>IF(B238="","",IFERROR(LOOKUP(2,1/(单次交易!$A$2:$A$163=B238),单次交易!$B$2:$B$163),""))</f>
        <v/>
      </c>
      <c r="D238" s="12"/>
      <c r="E238" s="10"/>
      <c r="F238" s="10"/>
      <c r="G238" s="2"/>
      <c r="H238" s="15"/>
      <c r="I238" s="10"/>
      <c r="J238" s="12"/>
      <c r="K238" s="2"/>
      <c r="L238" s="2"/>
      <c r="M238" s="2"/>
      <c r="N238" s="5" t="str">
        <f>IF(B238="","",IFERROR(LOOKUP(2,1/(单次交易!$A$2:$A$163=B238),单次交易!$N$2:$N$163),""))</f>
        <v/>
      </c>
      <c r="O238" s="5" t="str">
        <f t="shared" si="27"/>
        <v/>
      </c>
      <c r="P238" s="11" t="str">
        <f t="shared" si="28"/>
        <v/>
      </c>
      <c r="Q238" s="5" t="str">
        <f t="shared" si="29"/>
        <v/>
      </c>
      <c r="R238" s="10"/>
      <c r="S238" s="5" t="str">
        <f t="shared" si="30"/>
        <v/>
      </c>
      <c r="T238" s="5" t="str">
        <f t="shared" si="31"/>
        <v/>
      </c>
      <c r="U238" s="5" t="str">
        <f t="shared" si="32"/>
        <v/>
      </c>
      <c r="V238" s="7" t="str">
        <f t="shared" si="33"/>
        <v/>
      </c>
      <c r="W238" s="8" t="str">
        <f t="shared" si="34"/>
        <v/>
      </c>
      <c r="X238" s="2"/>
      <c r="Y238" s="10"/>
      <c r="Z238" s="11" t="str">
        <f>IF(X238&lt;&gt;"执行卖出","",IFERROR(LOOKUP(2,1/(单次交易!$A$2:$A$163=B238),单次交易!$AP$2:$AP$163),""))</f>
        <v/>
      </c>
      <c r="AA238" s="10"/>
      <c r="AB238" s="8" t="str">
        <f t="shared" si="35"/>
        <v/>
      </c>
      <c r="AC238" s="8" t="str">
        <f>IF(A238="","",IF(A238="止损计划",IF(OR(B238="",D238="",E238="",F238="",G238=""),"计划不完整",IF(OR(D238&lt;1,D238&lt;&gt;INT(D238)),"阶段序号无效",IF(COUNTIFS($A$2:$A$497,"止损计划",$B$2:$B$497,B238,$D$2:$D$497,D238)&gt;1,"阶段序号重复",IF(E238&lt;=IFERROR(LOOKUP(2,1/(单次交易!$A$2:$A$163=B238),单次交易!$E$2:$E$163),0),"激活价须高于买入价",IF(F238&lt;N238,"止损价不得低于初始止损",IF(F238&gt;E238,"止损价不得高于激活价",IF(AND(COUNTIFS($A$2:$A$497,"止损计划",$B$2:$B$497,B238,$D$2:$D$497,"&lt;"&amp;D238)&gt;0,OR(E238&lt;=SUMPRODUCT(MAX((($A$2:$A$497="止损计划")*($B$2:$B$497=B238)*($D$2:$D$497&lt;D238))*$E$2:$E$497)),F238&lt;SUMPRODUCT(MAX((($A$2:$A$497="止损计划")*($B$2:$B$497=B238)*($D$2:$D$497&lt;D238))*$F$2:$F$497)))),"阶段价格必须逐级提高","计划有效"))))))),IF(A238="每日跟踪",IF(OR(B238="",H238="",I238="",J238=""),"每日数据不完整",IF(COUNTIFS($A$2:$A$497,"每日跟踪",$B$2:$B$497,B238,$H$2:$H$497,H238)&gt;1,"同一交易日期重复",IF(AND(R238&lt;&gt;"",R238&lt;S238),"人工止损无效：不能下调","跟踪有效"))),"记录类型无效")))</f>
        <v/>
      </c>
    </row>
    <row r="239" ht="17" spans="1:29">
      <c r="A239" s="2"/>
      <c r="B239" s="2"/>
      <c r="C239" s="8" t="str">
        <f>IF(B239="","",IFERROR(LOOKUP(2,1/(单次交易!$A$2:$A$163=B239),单次交易!$B$2:$B$163),""))</f>
        <v/>
      </c>
      <c r="D239" s="12"/>
      <c r="E239" s="10"/>
      <c r="F239" s="10"/>
      <c r="G239" s="2"/>
      <c r="H239" s="15"/>
      <c r="I239" s="10"/>
      <c r="J239" s="12"/>
      <c r="K239" s="2"/>
      <c r="L239" s="2"/>
      <c r="M239" s="2"/>
      <c r="N239" s="5" t="str">
        <f>IF(B239="","",IFERROR(LOOKUP(2,1/(单次交易!$A$2:$A$163=B239),单次交易!$N$2:$N$163),""))</f>
        <v/>
      </c>
      <c r="O239" s="5" t="str">
        <f t="shared" si="27"/>
        <v/>
      </c>
      <c r="P239" s="11" t="str">
        <f t="shared" si="28"/>
        <v/>
      </c>
      <c r="Q239" s="5" t="str">
        <f t="shared" si="29"/>
        <v/>
      </c>
      <c r="R239" s="10"/>
      <c r="S239" s="5" t="str">
        <f t="shared" si="30"/>
        <v/>
      </c>
      <c r="T239" s="5" t="str">
        <f t="shared" si="31"/>
        <v/>
      </c>
      <c r="U239" s="5" t="str">
        <f t="shared" si="32"/>
        <v/>
      </c>
      <c r="V239" s="7" t="str">
        <f t="shared" si="33"/>
        <v/>
      </c>
      <c r="W239" s="8" t="str">
        <f t="shared" si="34"/>
        <v/>
      </c>
      <c r="X239" s="2"/>
      <c r="Y239" s="10"/>
      <c r="Z239" s="11" t="str">
        <f>IF(X239&lt;&gt;"执行卖出","",IFERROR(LOOKUP(2,1/(单次交易!$A$2:$A$163=B239),单次交易!$AP$2:$AP$163),""))</f>
        <v/>
      </c>
      <c r="AA239" s="10"/>
      <c r="AB239" s="8" t="str">
        <f t="shared" si="35"/>
        <v/>
      </c>
      <c r="AC239" s="8" t="str">
        <f>IF(A239="","",IF(A239="止损计划",IF(OR(B239="",D239="",E239="",F239="",G239=""),"计划不完整",IF(OR(D239&lt;1,D239&lt;&gt;INT(D239)),"阶段序号无效",IF(COUNTIFS($A$2:$A$497,"止损计划",$B$2:$B$497,B239,$D$2:$D$497,D239)&gt;1,"阶段序号重复",IF(E239&lt;=IFERROR(LOOKUP(2,1/(单次交易!$A$2:$A$163=B239),单次交易!$E$2:$E$163),0),"激活价须高于买入价",IF(F239&lt;N239,"止损价不得低于初始止损",IF(F239&gt;E239,"止损价不得高于激活价",IF(AND(COUNTIFS($A$2:$A$497,"止损计划",$B$2:$B$497,B239,$D$2:$D$497,"&lt;"&amp;D239)&gt;0,OR(E239&lt;=SUMPRODUCT(MAX((($A$2:$A$497="止损计划")*($B$2:$B$497=B239)*($D$2:$D$497&lt;D239))*$E$2:$E$497)),F239&lt;SUMPRODUCT(MAX((($A$2:$A$497="止损计划")*($B$2:$B$497=B239)*($D$2:$D$497&lt;D239))*$F$2:$F$497)))),"阶段价格必须逐级提高","计划有效"))))))),IF(A239="每日跟踪",IF(OR(B239="",H239="",I239="",J239=""),"每日数据不完整",IF(COUNTIFS($A$2:$A$497,"每日跟踪",$B$2:$B$497,B239,$H$2:$H$497,H239)&gt;1,"同一交易日期重复",IF(AND(R239&lt;&gt;"",R239&lt;S239),"人工止损无效：不能下调","跟踪有效"))),"记录类型无效")))</f>
        <v/>
      </c>
    </row>
    <row r="240" ht="17" spans="1:29">
      <c r="A240" s="2"/>
      <c r="B240" s="2"/>
      <c r="C240" s="8" t="str">
        <f>IF(B240="","",IFERROR(LOOKUP(2,1/(单次交易!$A$2:$A$163=B240),单次交易!$B$2:$B$163),""))</f>
        <v/>
      </c>
      <c r="D240" s="12"/>
      <c r="E240" s="10"/>
      <c r="F240" s="10"/>
      <c r="G240" s="2"/>
      <c r="H240" s="15"/>
      <c r="I240" s="10"/>
      <c r="J240" s="12"/>
      <c r="K240" s="2"/>
      <c r="L240" s="2"/>
      <c r="M240" s="2"/>
      <c r="N240" s="5" t="str">
        <f>IF(B240="","",IFERROR(LOOKUP(2,1/(单次交易!$A$2:$A$163=B240),单次交易!$N$2:$N$163),""))</f>
        <v/>
      </c>
      <c r="O240" s="5" t="str">
        <f t="shared" si="27"/>
        <v/>
      </c>
      <c r="P240" s="11" t="str">
        <f t="shared" si="28"/>
        <v/>
      </c>
      <c r="Q240" s="5" t="str">
        <f t="shared" si="29"/>
        <v/>
      </c>
      <c r="R240" s="10"/>
      <c r="S240" s="5" t="str">
        <f t="shared" si="30"/>
        <v/>
      </c>
      <c r="T240" s="5" t="str">
        <f t="shared" si="31"/>
        <v/>
      </c>
      <c r="U240" s="5" t="str">
        <f t="shared" si="32"/>
        <v/>
      </c>
      <c r="V240" s="7" t="str">
        <f t="shared" si="33"/>
        <v/>
      </c>
      <c r="W240" s="8" t="str">
        <f t="shared" si="34"/>
        <v/>
      </c>
      <c r="X240" s="2"/>
      <c r="Y240" s="10"/>
      <c r="Z240" s="11" t="str">
        <f>IF(X240&lt;&gt;"执行卖出","",IFERROR(LOOKUP(2,1/(单次交易!$A$2:$A$163=B240),单次交易!$AP$2:$AP$163),""))</f>
        <v/>
      </c>
      <c r="AA240" s="10"/>
      <c r="AB240" s="8" t="str">
        <f t="shared" si="35"/>
        <v/>
      </c>
      <c r="AC240" s="8" t="str">
        <f>IF(A240="","",IF(A240="止损计划",IF(OR(B240="",D240="",E240="",F240="",G240=""),"计划不完整",IF(OR(D240&lt;1,D240&lt;&gt;INT(D240)),"阶段序号无效",IF(COUNTIFS($A$2:$A$497,"止损计划",$B$2:$B$497,B240,$D$2:$D$497,D240)&gt;1,"阶段序号重复",IF(E240&lt;=IFERROR(LOOKUP(2,1/(单次交易!$A$2:$A$163=B240),单次交易!$E$2:$E$163),0),"激活价须高于买入价",IF(F240&lt;N240,"止损价不得低于初始止损",IF(F240&gt;E240,"止损价不得高于激活价",IF(AND(COUNTIFS($A$2:$A$497,"止损计划",$B$2:$B$497,B240,$D$2:$D$497,"&lt;"&amp;D240)&gt;0,OR(E240&lt;=SUMPRODUCT(MAX((($A$2:$A$497="止损计划")*($B$2:$B$497=B240)*($D$2:$D$497&lt;D240))*$E$2:$E$497)),F240&lt;SUMPRODUCT(MAX((($A$2:$A$497="止损计划")*($B$2:$B$497=B240)*($D$2:$D$497&lt;D240))*$F$2:$F$497)))),"阶段价格必须逐级提高","计划有效"))))))),IF(A240="每日跟踪",IF(OR(B240="",H240="",I240="",J240=""),"每日数据不完整",IF(COUNTIFS($A$2:$A$497,"每日跟踪",$B$2:$B$497,B240,$H$2:$H$497,H240)&gt;1,"同一交易日期重复",IF(AND(R240&lt;&gt;"",R240&lt;S240),"人工止损无效：不能下调","跟踪有效"))),"记录类型无效")))</f>
        <v/>
      </c>
    </row>
    <row r="241" ht="17" spans="1:29">
      <c r="A241" s="2"/>
      <c r="B241" s="2"/>
      <c r="C241" s="8" t="str">
        <f>IF(B241="","",IFERROR(LOOKUP(2,1/(单次交易!$A$2:$A$163=B241),单次交易!$B$2:$B$163),""))</f>
        <v/>
      </c>
      <c r="D241" s="12"/>
      <c r="E241" s="10"/>
      <c r="F241" s="10"/>
      <c r="G241" s="2"/>
      <c r="H241" s="15"/>
      <c r="I241" s="10"/>
      <c r="J241" s="12"/>
      <c r="K241" s="2"/>
      <c r="L241" s="2"/>
      <c r="M241" s="2"/>
      <c r="N241" s="5" t="str">
        <f>IF(B241="","",IFERROR(LOOKUP(2,1/(单次交易!$A$2:$A$163=B241),单次交易!$N$2:$N$163),""))</f>
        <v/>
      </c>
      <c r="O241" s="5" t="str">
        <f t="shared" si="27"/>
        <v/>
      </c>
      <c r="P241" s="11" t="str">
        <f t="shared" si="28"/>
        <v/>
      </c>
      <c r="Q241" s="5" t="str">
        <f t="shared" si="29"/>
        <v/>
      </c>
      <c r="R241" s="10"/>
      <c r="S241" s="5" t="str">
        <f t="shared" si="30"/>
        <v/>
      </c>
      <c r="T241" s="5" t="str">
        <f t="shared" si="31"/>
        <v/>
      </c>
      <c r="U241" s="5" t="str">
        <f t="shared" si="32"/>
        <v/>
      </c>
      <c r="V241" s="7" t="str">
        <f t="shared" si="33"/>
        <v/>
      </c>
      <c r="W241" s="8" t="str">
        <f t="shared" si="34"/>
        <v/>
      </c>
      <c r="X241" s="2"/>
      <c r="Y241" s="10"/>
      <c r="Z241" s="11" t="str">
        <f>IF(X241&lt;&gt;"执行卖出","",IFERROR(LOOKUP(2,1/(单次交易!$A$2:$A$163=B241),单次交易!$AP$2:$AP$163),""))</f>
        <v/>
      </c>
      <c r="AA241" s="10"/>
      <c r="AB241" s="8" t="str">
        <f t="shared" si="35"/>
        <v/>
      </c>
      <c r="AC241" s="8" t="str">
        <f>IF(A241="","",IF(A241="止损计划",IF(OR(B241="",D241="",E241="",F241="",G241=""),"计划不完整",IF(OR(D241&lt;1,D241&lt;&gt;INT(D241)),"阶段序号无效",IF(COUNTIFS($A$2:$A$497,"止损计划",$B$2:$B$497,B241,$D$2:$D$497,D241)&gt;1,"阶段序号重复",IF(E241&lt;=IFERROR(LOOKUP(2,1/(单次交易!$A$2:$A$163=B241),单次交易!$E$2:$E$163),0),"激活价须高于买入价",IF(F241&lt;N241,"止损价不得低于初始止损",IF(F241&gt;E241,"止损价不得高于激活价",IF(AND(COUNTIFS($A$2:$A$497,"止损计划",$B$2:$B$497,B241,$D$2:$D$497,"&lt;"&amp;D241)&gt;0,OR(E241&lt;=SUMPRODUCT(MAX((($A$2:$A$497="止损计划")*($B$2:$B$497=B241)*($D$2:$D$497&lt;D241))*$E$2:$E$497)),F241&lt;SUMPRODUCT(MAX((($A$2:$A$497="止损计划")*($B$2:$B$497=B241)*($D$2:$D$497&lt;D241))*$F$2:$F$497)))),"阶段价格必须逐级提高","计划有效"))))))),IF(A241="每日跟踪",IF(OR(B241="",H241="",I241="",J241=""),"每日数据不完整",IF(COUNTIFS($A$2:$A$497,"每日跟踪",$B$2:$B$497,B241,$H$2:$H$497,H241)&gt;1,"同一交易日期重复",IF(AND(R241&lt;&gt;"",R241&lt;S241),"人工止损无效：不能下调","跟踪有效"))),"记录类型无效")))</f>
        <v/>
      </c>
    </row>
    <row r="242" ht="17" spans="1:29">
      <c r="A242" s="2"/>
      <c r="B242" s="2"/>
      <c r="C242" s="8" t="str">
        <f>IF(B242="","",IFERROR(LOOKUP(2,1/(单次交易!$A$2:$A$163=B242),单次交易!$B$2:$B$163),""))</f>
        <v/>
      </c>
      <c r="D242" s="12"/>
      <c r="E242" s="10"/>
      <c r="F242" s="10"/>
      <c r="G242" s="2"/>
      <c r="H242" s="15"/>
      <c r="I242" s="10"/>
      <c r="J242" s="12"/>
      <c r="K242" s="2"/>
      <c r="L242" s="2"/>
      <c r="M242" s="2"/>
      <c r="N242" s="5" t="str">
        <f>IF(B242="","",IFERROR(LOOKUP(2,1/(单次交易!$A$2:$A$163=B242),单次交易!$N$2:$N$163),""))</f>
        <v/>
      </c>
      <c r="O242" s="5" t="str">
        <f t="shared" si="27"/>
        <v/>
      </c>
      <c r="P242" s="11" t="str">
        <f t="shared" si="28"/>
        <v/>
      </c>
      <c r="Q242" s="5" t="str">
        <f t="shared" si="29"/>
        <v/>
      </c>
      <c r="R242" s="10"/>
      <c r="S242" s="5" t="str">
        <f t="shared" si="30"/>
        <v/>
      </c>
      <c r="T242" s="5" t="str">
        <f t="shared" si="31"/>
        <v/>
      </c>
      <c r="U242" s="5" t="str">
        <f t="shared" si="32"/>
        <v/>
      </c>
      <c r="V242" s="7" t="str">
        <f t="shared" si="33"/>
        <v/>
      </c>
      <c r="W242" s="8" t="str">
        <f t="shared" si="34"/>
        <v/>
      </c>
      <c r="X242" s="2"/>
      <c r="Y242" s="10"/>
      <c r="Z242" s="11" t="str">
        <f>IF(X242&lt;&gt;"执行卖出","",IFERROR(LOOKUP(2,1/(单次交易!$A$2:$A$163=B242),单次交易!$AP$2:$AP$163),""))</f>
        <v/>
      </c>
      <c r="AA242" s="10"/>
      <c r="AB242" s="8" t="str">
        <f t="shared" si="35"/>
        <v/>
      </c>
      <c r="AC242" s="8" t="str">
        <f>IF(A242="","",IF(A242="止损计划",IF(OR(B242="",D242="",E242="",F242="",G242=""),"计划不完整",IF(OR(D242&lt;1,D242&lt;&gt;INT(D242)),"阶段序号无效",IF(COUNTIFS($A$2:$A$497,"止损计划",$B$2:$B$497,B242,$D$2:$D$497,D242)&gt;1,"阶段序号重复",IF(E242&lt;=IFERROR(LOOKUP(2,1/(单次交易!$A$2:$A$163=B242),单次交易!$E$2:$E$163),0),"激活价须高于买入价",IF(F242&lt;N242,"止损价不得低于初始止损",IF(F242&gt;E242,"止损价不得高于激活价",IF(AND(COUNTIFS($A$2:$A$497,"止损计划",$B$2:$B$497,B242,$D$2:$D$497,"&lt;"&amp;D242)&gt;0,OR(E242&lt;=SUMPRODUCT(MAX((($A$2:$A$497="止损计划")*($B$2:$B$497=B242)*($D$2:$D$497&lt;D242))*$E$2:$E$497)),F242&lt;SUMPRODUCT(MAX((($A$2:$A$497="止损计划")*($B$2:$B$497=B242)*($D$2:$D$497&lt;D242))*$F$2:$F$497)))),"阶段价格必须逐级提高","计划有效"))))))),IF(A242="每日跟踪",IF(OR(B242="",H242="",I242="",J242=""),"每日数据不完整",IF(COUNTIFS($A$2:$A$497,"每日跟踪",$B$2:$B$497,B242,$H$2:$H$497,H242)&gt;1,"同一交易日期重复",IF(AND(R242&lt;&gt;"",R242&lt;S242),"人工止损无效：不能下调","跟踪有效"))),"记录类型无效")))</f>
        <v/>
      </c>
    </row>
    <row r="243" ht="17" spans="1:29">
      <c r="A243" s="2"/>
      <c r="B243" s="2"/>
      <c r="C243" s="8" t="str">
        <f>IF(B243="","",IFERROR(LOOKUP(2,1/(单次交易!$A$2:$A$163=B243),单次交易!$B$2:$B$163),""))</f>
        <v/>
      </c>
      <c r="D243" s="12"/>
      <c r="E243" s="10"/>
      <c r="F243" s="10"/>
      <c r="G243" s="2"/>
      <c r="H243" s="15"/>
      <c r="I243" s="10"/>
      <c r="J243" s="12"/>
      <c r="K243" s="2"/>
      <c r="L243" s="2"/>
      <c r="M243" s="2"/>
      <c r="N243" s="5" t="str">
        <f>IF(B243="","",IFERROR(LOOKUP(2,1/(单次交易!$A$2:$A$163=B243),单次交易!$N$2:$N$163),""))</f>
        <v/>
      </c>
      <c r="O243" s="5" t="str">
        <f t="shared" si="27"/>
        <v/>
      </c>
      <c r="P243" s="11" t="str">
        <f t="shared" si="28"/>
        <v/>
      </c>
      <c r="Q243" s="5" t="str">
        <f t="shared" si="29"/>
        <v/>
      </c>
      <c r="R243" s="10"/>
      <c r="S243" s="5" t="str">
        <f t="shared" si="30"/>
        <v/>
      </c>
      <c r="T243" s="5" t="str">
        <f t="shared" si="31"/>
        <v/>
      </c>
      <c r="U243" s="5" t="str">
        <f t="shared" si="32"/>
        <v/>
      </c>
      <c r="V243" s="7" t="str">
        <f t="shared" si="33"/>
        <v/>
      </c>
      <c r="W243" s="8" t="str">
        <f t="shared" si="34"/>
        <v/>
      </c>
      <c r="X243" s="2"/>
      <c r="Y243" s="10"/>
      <c r="Z243" s="11" t="str">
        <f>IF(X243&lt;&gt;"执行卖出","",IFERROR(LOOKUP(2,1/(单次交易!$A$2:$A$163=B243),单次交易!$AP$2:$AP$163),""))</f>
        <v/>
      </c>
      <c r="AA243" s="10"/>
      <c r="AB243" s="8" t="str">
        <f t="shared" si="35"/>
        <v/>
      </c>
      <c r="AC243" s="8" t="str">
        <f>IF(A243="","",IF(A243="止损计划",IF(OR(B243="",D243="",E243="",F243="",G243=""),"计划不完整",IF(OR(D243&lt;1,D243&lt;&gt;INT(D243)),"阶段序号无效",IF(COUNTIFS($A$2:$A$497,"止损计划",$B$2:$B$497,B243,$D$2:$D$497,D243)&gt;1,"阶段序号重复",IF(E243&lt;=IFERROR(LOOKUP(2,1/(单次交易!$A$2:$A$163=B243),单次交易!$E$2:$E$163),0),"激活价须高于买入价",IF(F243&lt;N243,"止损价不得低于初始止损",IF(F243&gt;E243,"止损价不得高于激活价",IF(AND(COUNTIFS($A$2:$A$497,"止损计划",$B$2:$B$497,B243,$D$2:$D$497,"&lt;"&amp;D243)&gt;0,OR(E243&lt;=SUMPRODUCT(MAX((($A$2:$A$497="止损计划")*($B$2:$B$497=B243)*($D$2:$D$497&lt;D243))*$E$2:$E$497)),F243&lt;SUMPRODUCT(MAX((($A$2:$A$497="止损计划")*($B$2:$B$497=B243)*($D$2:$D$497&lt;D243))*$F$2:$F$497)))),"阶段价格必须逐级提高","计划有效"))))))),IF(A243="每日跟踪",IF(OR(B243="",H243="",I243="",J243=""),"每日数据不完整",IF(COUNTIFS($A$2:$A$497,"每日跟踪",$B$2:$B$497,B243,$H$2:$H$497,H243)&gt;1,"同一交易日期重复",IF(AND(R243&lt;&gt;"",R243&lt;S243),"人工止损无效：不能下调","跟踪有效"))),"记录类型无效")))</f>
        <v/>
      </c>
    </row>
    <row r="244" ht="17" spans="1:29">
      <c r="A244" s="2"/>
      <c r="B244" s="2"/>
      <c r="C244" s="8" t="str">
        <f>IF(B244="","",IFERROR(LOOKUP(2,1/(单次交易!$A$2:$A$163=B244),单次交易!$B$2:$B$163),""))</f>
        <v/>
      </c>
      <c r="D244" s="12"/>
      <c r="E244" s="10"/>
      <c r="F244" s="10"/>
      <c r="G244" s="2"/>
      <c r="H244" s="15"/>
      <c r="I244" s="10"/>
      <c r="J244" s="12"/>
      <c r="K244" s="2"/>
      <c r="L244" s="2"/>
      <c r="M244" s="2"/>
      <c r="N244" s="5" t="str">
        <f>IF(B244="","",IFERROR(LOOKUP(2,1/(单次交易!$A$2:$A$163=B244),单次交易!$N$2:$N$163),""))</f>
        <v/>
      </c>
      <c r="O244" s="5" t="str">
        <f t="shared" si="27"/>
        <v/>
      </c>
      <c r="P244" s="11" t="str">
        <f t="shared" si="28"/>
        <v/>
      </c>
      <c r="Q244" s="5" t="str">
        <f t="shared" si="29"/>
        <v/>
      </c>
      <c r="R244" s="10"/>
      <c r="S244" s="5" t="str">
        <f t="shared" si="30"/>
        <v/>
      </c>
      <c r="T244" s="5" t="str">
        <f t="shared" si="31"/>
        <v/>
      </c>
      <c r="U244" s="5" t="str">
        <f t="shared" si="32"/>
        <v/>
      </c>
      <c r="V244" s="7" t="str">
        <f t="shared" si="33"/>
        <v/>
      </c>
      <c r="W244" s="8" t="str">
        <f t="shared" si="34"/>
        <v/>
      </c>
      <c r="X244" s="2"/>
      <c r="Y244" s="10"/>
      <c r="Z244" s="11" t="str">
        <f>IF(X244&lt;&gt;"执行卖出","",IFERROR(LOOKUP(2,1/(单次交易!$A$2:$A$163=B244),单次交易!$AP$2:$AP$163),""))</f>
        <v/>
      </c>
      <c r="AA244" s="10"/>
      <c r="AB244" s="8" t="str">
        <f t="shared" si="35"/>
        <v/>
      </c>
      <c r="AC244" s="8" t="str">
        <f>IF(A244="","",IF(A244="止损计划",IF(OR(B244="",D244="",E244="",F244="",G244=""),"计划不完整",IF(OR(D244&lt;1,D244&lt;&gt;INT(D244)),"阶段序号无效",IF(COUNTIFS($A$2:$A$497,"止损计划",$B$2:$B$497,B244,$D$2:$D$497,D244)&gt;1,"阶段序号重复",IF(E244&lt;=IFERROR(LOOKUP(2,1/(单次交易!$A$2:$A$163=B244),单次交易!$E$2:$E$163),0),"激活价须高于买入价",IF(F244&lt;N244,"止损价不得低于初始止损",IF(F244&gt;E244,"止损价不得高于激活价",IF(AND(COUNTIFS($A$2:$A$497,"止损计划",$B$2:$B$497,B244,$D$2:$D$497,"&lt;"&amp;D244)&gt;0,OR(E244&lt;=SUMPRODUCT(MAX((($A$2:$A$497="止损计划")*($B$2:$B$497=B244)*($D$2:$D$497&lt;D244))*$E$2:$E$497)),F244&lt;SUMPRODUCT(MAX((($A$2:$A$497="止损计划")*($B$2:$B$497=B244)*($D$2:$D$497&lt;D244))*$F$2:$F$497)))),"阶段价格必须逐级提高","计划有效"))))))),IF(A244="每日跟踪",IF(OR(B244="",H244="",I244="",J244=""),"每日数据不完整",IF(COUNTIFS($A$2:$A$497,"每日跟踪",$B$2:$B$497,B244,$H$2:$H$497,H244)&gt;1,"同一交易日期重复",IF(AND(R244&lt;&gt;"",R244&lt;S244),"人工止损无效：不能下调","跟踪有效"))),"记录类型无效")))</f>
        <v/>
      </c>
    </row>
    <row r="245" ht="17" spans="1:29">
      <c r="A245" s="2"/>
      <c r="B245" s="2"/>
      <c r="C245" s="8" t="str">
        <f>IF(B245="","",IFERROR(LOOKUP(2,1/(单次交易!$A$2:$A$163=B245),单次交易!$B$2:$B$163),""))</f>
        <v/>
      </c>
      <c r="D245" s="12"/>
      <c r="E245" s="10"/>
      <c r="F245" s="10"/>
      <c r="G245" s="2"/>
      <c r="H245" s="15"/>
      <c r="I245" s="10"/>
      <c r="J245" s="12"/>
      <c r="K245" s="2"/>
      <c r="L245" s="2"/>
      <c r="M245" s="2"/>
      <c r="N245" s="5" t="str">
        <f>IF(B245="","",IFERROR(LOOKUP(2,1/(单次交易!$A$2:$A$163=B245),单次交易!$N$2:$N$163),""))</f>
        <v/>
      </c>
      <c r="O245" s="5" t="str">
        <f t="shared" si="27"/>
        <v/>
      </c>
      <c r="P245" s="11" t="str">
        <f t="shared" si="28"/>
        <v/>
      </c>
      <c r="Q245" s="5" t="str">
        <f t="shared" si="29"/>
        <v/>
      </c>
      <c r="R245" s="10"/>
      <c r="S245" s="5" t="str">
        <f t="shared" si="30"/>
        <v/>
      </c>
      <c r="T245" s="5" t="str">
        <f t="shared" si="31"/>
        <v/>
      </c>
      <c r="U245" s="5" t="str">
        <f t="shared" si="32"/>
        <v/>
      </c>
      <c r="V245" s="7" t="str">
        <f t="shared" si="33"/>
        <v/>
      </c>
      <c r="W245" s="8" t="str">
        <f t="shared" si="34"/>
        <v/>
      </c>
      <c r="X245" s="2"/>
      <c r="Y245" s="10"/>
      <c r="Z245" s="11" t="str">
        <f>IF(X245&lt;&gt;"执行卖出","",IFERROR(LOOKUP(2,1/(单次交易!$A$2:$A$163=B245),单次交易!$AP$2:$AP$163),""))</f>
        <v/>
      </c>
      <c r="AA245" s="10"/>
      <c r="AB245" s="8" t="str">
        <f t="shared" si="35"/>
        <v/>
      </c>
      <c r="AC245" s="8" t="str">
        <f>IF(A245="","",IF(A245="止损计划",IF(OR(B245="",D245="",E245="",F245="",G245=""),"计划不完整",IF(OR(D245&lt;1,D245&lt;&gt;INT(D245)),"阶段序号无效",IF(COUNTIFS($A$2:$A$497,"止损计划",$B$2:$B$497,B245,$D$2:$D$497,D245)&gt;1,"阶段序号重复",IF(E245&lt;=IFERROR(LOOKUP(2,1/(单次交易!$A$2:$A$163=B245),单次交易!$E$2:$E$163),0),"激活价须高于买入价",IF(F245&lt;N245,"止损价不得低于初始止损",IF(F245&gt;E245,"止损价不得高于激活价",IF(AND(COUNTIFS($A$2:$A$497,"止损计划",$B$2:$B$497,B245,$D$2:$D$497,"&lt;"&amp;D245)&gt;0,OR(E245&lt;=SUMPRODUCT(MAX((($A$2:$A$497="止损计划")*($B$2:$B$497=B245)*($D$2:$D$497&lt;D245))*$E$2:$E$497)),F245&lt;SUMPRODUCT(MAX((($A$2:$A$497="止损计划")*($B$2:$B$497=B245)*($D$2:$D$497&lt;D245))*$F$2:$F$497)))),"阶段价格必须逐级提高","计划有效"))))))),IF(A245="每日跟踪",IF(OR(B245="",H245="",I245="",J245=""),"每日数据不完整",IF(COUNTIFS($A$2:$A$497,"每日跟踪",$B$2:$B$497,B245,$H$2:$H$497,H245)&gt;1,"同一交易日期重复",IF(AND(R245&lt;&gt;"",R245&lt;S245),"人工止损无效：不能下调","跟踪有效"))),"记录类型无效")))</f>
        <v/>
      </c>
    </row>
    <row r="246" ht="17" spans="1:29">
      <c r="A246" s="2"/>
      <c r="B246" s="2"/>
      <c r="C246" s="8" t="str">
        <f>IF(B246="","",IFERROR(LOOKUP(2,1/(单次交易!$A$2:$A$163=B246),单次交易!$B$2:$B$163),""))</f>
        <v/>
      </c>
      <c r="D246" s="12"/>
      <c r="E246" s="10"/>
      <c r="F246" s="10"/>
      <c r="G246" s="2"/>
      <c r="H246" s="15"/>
      <c r="I246" s="10"/>
      <c r="J246" s="12"/>
      <c r="K246" s="2"/>
      <c r="L246" s="2"/>
      <c r="M246" s="2"/>
      <c r="N246" s="5" t="str">
        <f>IF(B246="","",IFERROR(LOOKUP(2,1/(单次交易!$A$2:$A$163=B246),单次交易!$N$2:$N$163),""))</f>
        <v/>
      </c>
      <c r="O246" s="5" t="str">
        <f t="shared" si="27"/>
        <v/>
      </c>
      <c r="P246" s="11" t="str">
        <f t="shared" si="28"/>
        <v/>
      </c>
      <c r="Q246" s="5" t="str">
        <f t="shared" si="29"/>
        <v/>
      </c>
      <c r="R246" s="10"/>
      <c r="S246" s="5" t="str">
        <f t="shared" si="30"/>
        <v/>
      </c>
      <c r="T246" s="5" t="str">
        <f t="shared" si="31"/>
        <v/>
      </c>
      <c r="U246" s="5" t="str">
        <f t="shared" si="32"/>
        <v/>
      </c>
      <c r="V246" s="7" t="str">
        <f t="shared" si="33"/>
        <v/>
      </c>
      <c r="W246" s="8" t="str">
        <f t="shared" si="34"/>
        <v/>
      </c>
      <c r="X246" s="2"/>
      <c r="Y246" s="10"/>
      <c r="Z246" s="11" t="str">
        <f>IF(X246&lt;&gt;"执行卖出","",IFERROR(LOOKUP(2,1/(单次交易!$A$2:$A$163=B246),单次交易!$AP$2:$AP$163),""))</f>
        <v/>
      </c>
      <c r="AA246" s="10"/>
      <c r="AB246" s="8" t="str">
        <f t="shared" si="35"/>
        <v/>
      </c>
      <c r="AC246" s="8" t="str">
        <f>IF(A246="","",IF(A246="止损计划",IF(OR(B246="",D246="",E246="",F246="",G246=""),"计划不完整",IF(OR(D246&lt;1,D246&lt;&gt;INT(D246)),"阶段序号无效",IF(COUNTIFS($A$2:$A$497,"止损计划",$B$2:$B$497,B246,$D$2:$D$497,D246)&gt;1,"阶段序号重复",IF(E246&lt;=IFERROR(LOOKUP(2,1/(单次交易!$A$2:$A$163=B246),单次交易!$E$2:$E$163),0),"激活价须高于买入价",IF(F246&lt;N246,"止损价不得低于初始止损",IF(F246&gt;E246,"止损价不得高于激活价",IF(AND(COUNTIFS($A$2:$A$497,"止损计划",$B$2:$B$497,B246,$D$2:$D$497,"&lt;"&amp;D246)&gt;0,OR(E246&lt;=SUMPRODUCT(MAX((($A$2:$A$497="止损计划")*($B$2:$B$497=B246)*($D$2:$D$497&lt;D246))*$E$2:$E$497)),F246&lt;SUMPRODUCT(MAX((($A$2:$A$497="止损计划")*($B$2:$B$497=B246)*($D$2:$D$497&lt;D246))*$F$2:$F$497)))),"阶段价格必须逐级提高","计划有效"))))))),IF(A246="每日跟踪",IF(OR(B246="",H246="",I246="",J246=""),"每日数据不完整",IF(COUNTIFS($A$2:$A$497,"每日跟踪",$B$2:$B$497,B246,$H$2:$H$497,H246)&gt;1,"同一交易日期重复",IF(AND(R246&lt;&gt;"",R246&lt;S246),"人工止损无效：不能下调","跟踪有效"))),"记录类型无效")))</f>
        <v/>
      </c>
    </row>
    <row r="247" ht="17" spans="1:29">
      <c r="A247" s="2"/>
      <c r="B247" s="2"/>
      <c r="C247" s="8" t="str">
        <f>IF(B247="","",IFERROR(LOOKUP(2,1/(单次交易!$A$2:$A$163=B247),单次交易!$B$2:$B$163),""))</f>
        <v/>
      </c>
      <c r="D247" s="12"/>
      <c r="E247" s="10"/>
      <c r="F247" s="10"/>
      <c r="G247" s="2"/>
      <c r="H247" s="15"/>
      <c r="I247" s="10"/>
      <c r="J247" s="12"/>
      <c r="K247" s="2"/>
      <c r="L247" s="2"/>
      <c r="M247" s="2"/>
      <c r="N247" s="5" t="str">
        <f>IF(B247="","",IFERROR(LOOKUP(2,1/(单次交易!$A$2:$A$163=B247),单次交易!$N$2:$N$163),""))</f>
        <v/>
      </c>
      <c r="O247" s="5" t="str">
        <f t="shared" si="27"/>
        <v/>
      </c>
      <c r="P247" s="11" t="str">
        <f t="shared" si="28"/>
        <v/>
      </c>
      <c r="Q247" s="5" t="str">
        <f t="shared" si="29"/>
        <v/>
      </c>
      <c r="R247" s="10"/>
      <c r="S247" s="5" t="str">
        <f t="shared" si="30"/>
        <v/>
      </c>
      <c r="T247" s="5" t="str">
        <f t="shared" si="31"/>
        <v/>
      </c>
      <c r="U247" s="5" t="str">
        <f t="shared" si="32"/>
        <v/>
      </c>
      <c r="V247" s="7" t="str">
        <f t="shared" si="33"/>
        <v/>
      </c>
      <c r="W247" s="8" t="str">
        <f t="shared" si="34"/>
        <v/>
      </c>
      <c r="X247" s="2"/>
      <c r="Y247" s="10"/>
      <c r="Z247" s="11" t="str">
        <f>IF(X247&lt;&gt;"执行卖出","",IFERROR(LOOKUP(2,1/(单次交易!$A$2:$A$163=B247),单次交易!$AP$2:$AP$163),""))</f>
        <v/>
      </c>
      <c r="AA247" s="10"/>
      <c r="AB247" s="8" t="str">
        <f t="shared" si="35"/>
        <v/>
      </c>
      <c r="AC247" s="8" t="str">
        <f>IF(A247="","",IF(A247="止损计划",IF(OR(B247="",D247="",E247="",F247="",G247=""),"计划不完整",IF(OR(D247&lt;1,D247&lt;&gt;INT(D247)),"阶段序号无效",IF(COUNTIFS($A$2:$A$497,"止损计划",$B$2:$B$497,B247,$D$2:$D$497,D247)&gt;1,"阶段序号重复",IF(E247&lt;=IFERROR(LOOKUP(2,1/(单次交易!$A$2:$A$163=B247),单次交易!$E$2:$E$163),0),"激活价须高于买入价",IF(F247&lt;N247,"止损价不得低于初始止损",IF(F247&gt;E247,"止损价不得高于激活价",IF(AND(COUNTIFS($A$2:$A$497,"止损计划",$B$2:$B$497,B247,$D$2:$D$497,"&lt;"&amp;D247)&gt;0,OR(E247&lt;=SUMPRODUCT(MAX((($A$2:$A$497="止损计划")*($B$2:$B$497=B247)*($D$2:$D$497&lt;D247))*$E$2:$E$497)),F247&lt;SUMPRODUCT(MAX((($A$2:$A$497="止损计划")*($B$2:$B$497=B247)*($D$2:$D$497&lt;D247))*$F$2:$F$497)))),"阶段价格必须逐级提高","计划有效"))))))),IF(A247="每日跟踪",IF(OR(B247="",H247="",I247="",J247=""),"每日数据不完整",IF(COUNTIFS($A$2:$A$497,"每日跟踪",$B$2:$B$497,B247,$H$2:$H$497,H247)&gt;1,"同一交易日期重复",IF(AND(R247&lt;&gt;"",R247&lt;S247),"人工止损无效：不能下调","跟踪有效"))),"记录类型无效")))</f>
        <v/>
      </c>
    </row>
    <row r="248" ht="17" spans="1:29">
      <c r="A248" s="2"/>
      <c r="B248" s="2"/>
      <c r="C248" s="8" t="str">
        <f>IF(B248="","",IFERROR(LOOKUP(2,1/(单次交易!$A$2:$A$163=B248),单次交易!$B$2:$B$163),""))</f>
        <v/>
      </c>
      <c r="D248" s="12"/>
      <c r="E248" s="10"/>
      <c r="F248" s="10"/>
      <c r="G248" s="2"/>
      <c r="H248" s="15"/>
      <c r="I248" s="10"/>
      <c r="J248" s="12"/>
      <c r="K248" s="2"/>
      <c r="L248" s="2"/>
      <c r="M248" s="2"/>
      <c r="N248" s="5" t="str">
        <f>IF(B248="","",IFERROR(LOOKUP(2,1/(单次交易!$A$2:$A$163=B248),单次交易!$N$2:$N$163),""))</f>
        <v/>
      </c>
      <c r="O248" s="5" t="str">
        <f t="shared" si="27"/>
        <v/>
      </c>
      <c r="P248" s="11" t="str">
        <f t="shared" si="28"/>
        <v/>
      </c>
      <c r="Q248" s="5" t="str">
        <f t="shared" si="29"/>
        <v/>
      </c>
      <c r="R248" s="10"/>
      <c r="S248" s="5" t="str">
        <f t="shared" si="30"/>
        <v/>
      </c>
      <c r="T248" s="5" t="str">
        <f t="shared" si="31"/>
        <v/>
      </c>
      <c r="U248" s="5" t="str">
        <f t="shared" si="32"/>
        <v/>
      </c>
      <c r="V248" s="7" t="str">
        <f t="shared" si="33"/>
        <v/>
      </c>
      <c r="W248" s="8" t="str">
        <f t="shared" si="34"/>
        <v/>
      </c>
      <c r="X248" s="2"/>
      <c r="Y248" s="10"/>
      <c r="Z248" s="11" t="str">
        <f>IF(X248&lt;&gt;"执行卖出","",IFERROR(LOOKUP(2,1/(单次交易!$A$2:$A$163=B248),单次交易!$AP$2:$AP$163),""))</f>
        <v/>
      </c>
      <c r="AA248" s="10"/>
      <c r="AB248" s="8" t="str">
        <f t="shared" si="35"/>
        <v/>
      </c>
      <c r="AC248" s="8" t="str">
        <f>IF(A248="","",IF(A248="止损计划",IF(OR(B248="",D248="",E248="",F248="",G248=""),"计划不完整",IF(OR(D248&lt;1,D248&lt;&gt;INT(D248)),"阶段序号无效",IF(COUNTIFS($A$2:$A$497,"止损计划",$B$2:$B$497,B248,$D$2:$D$497,D248)&gt;1,"阶段序号重复",IF(E248&lt;=IFERROR(LOOKUP(2,1/(单次交易!$A$2:$A$163=B248),单次交易!$E$2:$E$163),0),"激活价须高于买入价",IF(F248&lt;N248,"止损价不得低于初始止损",IF(F248&gt;E248,"止损价不得高于激活价",IF(AND(COUNTIFS($A$2:$A$497,"止损计划",$B$2:$B$497,B248,$D$2:$D$497,"&lt;"&amp;D248)&gt;0,OR(E248&lt;=SUMPRODUCT(MAX((($A$2:$A$497="止损计划")*($B$2:$B$497=B248)*($D$2:$D$497&lt;D248))*$E$2:$E$497)),F248&lt;SUMPRODUCT(MAX((($A$2:$A$497="止损计划")*($B$2:$B$497=B248)*($D$2:$D$497&lt;D248))*$F$2:$F$497)))),"阶段价格必须逐级提高","计划有效"))))))),IF(A248="每日跟踪",IF(OR(B248="",H248="",I248="",J248=""),"每日数据不完整",IF(COUNTIFS($A$2:$A$497,"每日跟踪",$B$2:$B$497,B248,$H$2:$H$497,H248)&gt;1,"同一交易日期重复",IF(AND(R248&lt;&gt;"",R248&lt;S248),"人工止损无效：不能下调","跟踪有效"))),"记录类型无效")))</f>
        <v/>
      </c>
    </row>
    <row r="249" ht="17" spans="1:29">
      <c r="A249" s="2"/>
      <c r="B249" s="2"/>
      <c r="C249" s="8" t="str">
        <f>IF(B249="","",IFERROR(LOOKUP(2,1/(单次交易!$A$2:$A$163=B249),单次交易!$B$2:$B$163),""))</f>
        <v/>
      </c>
      <c r="D249" s="12"/>
      <c r="E249" s="10"/>
      <c r="F249" s="10"/>
      <c r="G249" s="2"/>
      <c r="H249" s="15"/>
      <c r="I249" s="10"/>
      <c r="J249" s="12"/>
      <c r="K249" s="2"/>
      <c r="L249" s="2"/>
      <c r="M249" s="2"/>
      <c r="N249" s="5" t="str">
        <f>IF(B249="","",IFERROR(LOOKUP(2,1/(单次交易!$A$2:$A$163=B249),单次交易!$N$2:$N$163),""))</f>
        <v/>
      </c>
      <c r="O249" s="5" t="str">
        <f t="shared" si="27"/>
        <v/>
      </c>
      <c r="P249" s="11" t="str">
        <f t="shared" si="28"/>
        <v/>
      </c>
      <c r="Q249" s="5" t="str">
        <f t="shared" si="29"/>
        <v/>
      </c>
      <c r="R249" s="10"/>
      <c r="S249" s="5" t="str">
        <f t="shared" si="30"/>
        <v/>
      </c>
      <c r="T249" s="5" t="str">
        <f t="shared" si="31"/>
        <v/>
      </c>
      <c r="U249" s="5" t="str">
        <f t="shared" si="32"/>
        <v/>
      </c>
      <c r="V249" s="7" t="str">
        <f t="shared" si="33"/>
        <v/>
      </c>
      <c r="W249" s="8" t="str">
        <f t="shared" si="34"/>
        <v/>
      </c>
      <c r="X249" s="2"/>
      <c r="Y249" s="10"/>
      <c r="Z249" s="11" t="str">
        <f>IF(X249&lt;&gt;"执行卖出","",IFERROR(LOOKUP(2,1/(单次交易!$A$2:$A$163=B249),单次交易!$AP$2:$AP$163),""))</f>
        <v/>
      </c>
      <c r="AA249" s="10"/>
      <c r="AB249" s="8" t="str">
        <f t="shared" si="35"/>
        <v/>
      </c>
      <c r="AC249" s="8" t="str">
        <f>IF(A249="","",IF(A249="止损计划",IF(OR(B249="",D249="",E249="",F249="",G249=""),"计划不完整",IF(OR(D249&lt;1,D249&lt;&gt;INT(D249)),"阶段序号无效",IF(COUNTIFS($A$2:$A$497,"止损计划",$B$2:$B$497,B249,$D$2:$D$497,D249)&gt;1,"阶段序号重复",IF(E249&lt;=IFERROR(LOOKUP(2,1/(单次交易!$A$2:$A$163=B249),单次交易!$E$2:$E$163),0),"激活价须高于买入价",IF(F249&lt;N249,"止损价不得低于初始止损",IF(F249&gt;E249,"止损价不得高于激活价",IF(AND(COUNTIFS($A$2:$A$497,"止损计划",$B$2:$B$497,B249,$D$2:$D$497,"&lt;"&amp;D249)&gt;0,OR(E249&lt;=SUMPRODUCT(MAX((($A$2:$A$497="止损计划")*($B$2:$B$497=B249)*($D$2:$D$497&lt;D249))*$E$2:$E$497)),F249&lt;SUMPRODUCT(MAX((($A$2:$A$497="止损计划")*($B$2:$B$497=B249)*($D$2:$D$497&lt;D249))*$F$2:$F$497)))),"阶段价格必须逐级提高","计划有效"))))))),IF(A249="每日跟踪",IF(OR(B249="",H249="",I249="",J249=""),"每日数据不完整",IF(COUNTIFS($A$2:$A$497,"每日跟踪",$B$2:$B$497,B249,$H$2:$H$497,H249)&gt;1,"同一交易日期重复",IF(AND(R249&lt;&gt;"",R249&lt;S249),"人工止损无效：不能下调","跟踪有效"))),"记录类型无效")))</f>
        <v/>
      </c>
    </row>
    <row r="250" ht="17" spans="1:29">
      <c r="A250" s="2"/>
      <c r="B250" s="2"/>
      <c r="C250" s="8" t="str">
        <f>IF(B250="","",IFERROR(LOOKUP(2,1/(单次交易!$A$2:$A$163=B250),单次交易!$B$2:$B$163),""))</f>
        <v/>
      </c>
      <c r="D250" s="12"/>
      <c r="E250" s="10"/>
      <c r="F250" s="10"/>
      <c r="G250" s="2"/>
      <c r="H250" s="15"/>
      <c r="I250" s="10"/>
      <c r="J250" s="12"/>
      <c r="K250" s="2"/>
      <c r="L250" s="2"/>
      <c r="M250" s="2"/>
      <c r="N250" s="5" t="str">
        <f>IF(B250="","",IFERROR(LOOKUP(2,1/(单次交易!$A$2:$A$163=B250),单次交易!$N$2:$N$163),""))</f>
        <v/>
      </c>
      <c r="O250" s="5" t="str">
        <f t="shared" si="27"/>
        <v/>
      </c>
      <c r="P250" s="11" t="str">
        <f t="shared" si="28"/>
        <v/>
      </c>
      <c r="Q250" s="5" t="str">
        <f t="shared" si="29"/>
        <v/>
      </c>
      <c r="R250" s="10"/>
      <c r="S250" s="5" t="str">
        <f t="shared" si="30"/>
        <v/>
      </c>
      <c r="T250" s="5" t="str">
        <f t="shared" si="31"/>
        <v/>
      </c>
      <c r="U250" s="5" t="str">
        <f t="shared" si="32"/>
        <v/>
      </c>
      <c r="V250" s="7" t="str">
        <f t="shared" si="33"/>
        <v/>
      </c>
      <c r="W250" s="8" t="str">
        <f t="shared" si="34"/>
        <v/>
      </c>
      <c r="X250" s="2"/>
      <c r="Y250" s="10"/>
      <c r="Z250" s="11" t="str">
        <f>IF(X250&lt;&gt;"执行卖出","",IFERROR(LOOKUP(2,1/(单次交易!$A$2:$A$163=B250),单次交易!$AP$2:$AP$163),""))</f>
        <v/>
      </c>
      <c r="AA250" s="10"/>
      <c r="AB250" s="8" t="str">
        <f t="shared" si="35"/>
        <v/>
      </c>
      <c r="AC250" s="8" t="str">
        <f>IF(A250="","",IF(A250="止损计划",IF(OR(B250="",D250="",E250="",F250="",G250=""),"计划不完整",IF(OR(D250&lt;1,D250&lt;&gt;INT(D250)),"阶段序号无效",IF(COUNTIFS($A$2:$A$497,"止损计划",$B$2:$B$497,B250,$D$2:$D$497,D250)&gt;1,"阶段序号重复",IF(E250&lt;=IFERROR(LOOKUP(2,1/(单次交易!$A$2:$A$163=B250),单次交易!$E$2:$E$163),0),"激活价须高于买入价",IF(F250&lt;N250,"止损价不得低于初始止损",IF(F250&gt;E250,"止损价不得高于激活价",IF(AND(COUNTIFS($A$2:$A$497,"止损计划",$B$2:$B$497,B250,$D$2:$D$497,"&lt;"&amp;D250)&gt;0,OR(E250&lt;=SUMPRODUCT(MAX((($A$2:$A$497="止损计划")*($B$2:$B$497=B250)*($D$2:$D$497&lt;D250))*$E$2:$E$497)),F250&lt;SUMPRODUCT(MAX((($A$2:$A$497="止损计划")*($B$2:$B$497=B250)*($D$2:$D$497&lt;D250))*$F$2:$F$497)))),"阶段价格必须逐级提高","计划有效"))))))),IF(A250="每日跟踪",IF(OR(B250="",H250="",I250="",J250=""),"每日数据不完整",IF(COUNTIFS($A$2:$A$497,"每日跟踪",$B$2:$B$497,B250,$H$2:$H$497,H250)&gt;1,"同一交易日期重复",IF(AND(R250&lt;&gt;"",R250&lt;S250),"人工止损无效：不能下调","跟踪有效"))),"记录类型无效")))</f>
        <v/>
      </c>
    </row>
    <row r="251" ht="17" spans="1:29">
      <c r="A251" s="2"/>
      <c r="B251" s="2"/>
      <c r="C251" s="8" t="str">
        <f>IF(B251="","",IFERROR(LOOKUP(2,1/(单次交易!$A$2:$A$163=B251),单次交易!$B$2:$B$163),""))</f>
        <v/>
      </c>
      <c r="D251" s="12"/>
      <c r="E251" s="10"/>
      <c r="F251" s="10"/>
      <c r="G251" s="2"/>
      <c r="H251" s="15"/>
      <c r="I251" s="10"/>
      <c r="J251" s="12"/>
      <c r="K251" s="2"/>
      <c r="L251" s="2"/>
      <c r="M251" s="2"/>
      <c r="N251" s="5" t="str">
        <f>IF(B251="","",IFERROR(LOOKUP(2,1/(单次交易!$A$2:$A$163=B251),单次交易!$N$2:$N$163),""))</f>
        <v/>
      </c>
      <c r="O251" s="5" t="str">
        <f t="shared" si="27"/>
        <v/>
      </c>
      <c r="P251" s="11" t="str">
        <f t="shared" si="28"/>
        <v/>
      </c>
      <c r="Q251" s="5" t="str">
        <f t="shared" si="29"/>
        <v/>
      </c>
      <c r="R251" s="10"/>
      <c r="S251" s="5" t="str">
        <f t="shared" si="30"/>
        <v/>
      </c>
      <c r="T251" s="5" t="str">
        <f t="shared" si="31"/>
        <v/>
      </c>
      <c r="U251" s="5" t="str">
        <f t="shared" si="32"/>
        <v/>
      </c>
      <c r="V251" s="7" t="str">
        <f t="shared" si="33"/>
        <v/>
      </c>
      <c r="W251" s="8" t="str">
        <f t="shared" si="34"/>
        <v/>
      </c>
      <c r="X251" s="2"/>
      <c r="Y251" s="10"/>
      <c r="Z251" s="11" t="str">
        <f>IF(X251&lt;&gt;"执行卖出","",IFERROR(LOOKUP(2,1/(单次交易!$A$2:$A$163=B251),单次交易!$AP$2:$AP$163),""))</f>
        <v/>
      </c>
      <c r="AA251" s="10"/>
      <c r="AB251" s="8" t="str">
        <f t="shared" si="35"/>
        <v/>
      </c>
      <c r="AC251" s="8" t="str">
        <f>IF(A251="","",IF(A251="止损计划",IF(OR(B251="",D251="",E251="",F251="",G251=""),"计划不完整",IF(OR(D251&lt;1,D251&lt;&gt;INT(D251)),"阶段序号无效",IF(COUNTIFS($A$2:$A$497,"止损计划",$B$2:$B$497,B251,$D$2:$D$497,D251)&gt;1,"阶段序号重复",IF(E251&lt;=IFERROR(LOOKUP(2,1/(单次交易!$A$2:$A$163=B251),单次交易!$E$2:$E$163),0),"激活价须高于买入价",IF(F251&lt;N251,"止损价不得低于初始止损",IF(F251&gt;E251,"止损价不得高于激活价",IF(AND(COUNTIFS($A$2:$A$497,"止损计划",$B$2:$B$497,B251,$D$2:$D$497,"&lt;"&amp;D251)&gt;0,OR(E251&lt;=SUMPRODUCT(MAX((($A$2:$A$497="止损计划")*($B$2:$B$497=B251)*($D$2:$D$497&lt;D251))*$E$2:$E$497)),F251&lt;SUMPRODUCT(MAX((($A$2:$A$497="止损计划")*($B$2:$B$497=B251)*($D$2:$D$497&lt;D251))*$F$2:$F$497)))),"阶段价格必须逐级提高","计划有效"))))))),IF(A251="每日跟踪",IF(OR(B251="",H251="",I251="",J251=""),"每日数据不完整",IF(COUNTIFS($A$2:$A$497,"每日跟踪",$B$2:$B$497,B251,$H$2:$H$497,H251)&gt;1,"同一交易日期重复",IF(AND(R251&lt;&gt;"",R251&lt;S251),"人工止损无效：不能下调","跟踪有效"))),"记录类型无效")))</f>
        <v/>
      </c>
    </row>
    <row r="252" ht="17" spans="1:29">
      <c r="A252" s="2"/>
      <c r="B252" s="2"/>
      <c r="C252" s="8" t="str">
        <f>IF(B252="","",IFERROR(LOOKUP(2,1/(单次交易!$A$2:$A$163=B252),单次交易!$B$2:$B$163),""))</f>
        <v/>
      </c>
      <c r="D252" s="12"/>
      <c r="E252" s="10"/>
      <c r="F252" s="10"/>
      <c r="G252" s="2"/>
      <c r="H252" s="15"/>
      <c r="I252" s="10"/>
      <c r="J252" s="12"/>
      <c r="K252" s="2"/>
      <c r="L252" s="2"/>
      <c r="M252" s="2"/>
      <c r="N252" s="5" t="str">
        <f>IF(B252="","",IFERROR(LOOKUP(2,1/(单次交易!$A$2:$A$163=B252),单次交易!$N$2:$N$163),""))</f>
        <v/>
      </c>
      <c r="O252" s="5" t="str">
        <f t="shared" si="27"/>
        <v/>
      </c>
      <c r="P252" s="11" t="str">
        <f t="shared" si="28"/>
        <v/>
      </c>
      <c r="Q252" s="5" t="str">
        <f t="shared" si="29"/>
        <v/>
      </c>
      <c r="R252" s="10"/>
      <c r="S252" s="5" t="str">
        <f t="shared" si="30"/>
        <v/>
      </c>
      <c r="T252" s="5" t="str">
        <f t="shared" si="31"/>
        <v/>
      </c>
      <c r="U252" s="5" t="str">
        <f t="shared" si="32"/>
        <v/>
      </c>
      <c r="V252" s="7" t="str">
        <f t="shared" si="33"/>
        <v/>
      </c>
      <c r="W252" s="8" t="str">
        <f t="shared" si="34"/>
        <v/>
      </c>
      <c r="X252" s="2"/>
      <c r="Y252" s="10"/>
      <c r="Z252" s="11" t="str">
        <f>IF(X252&lt;&gt;"执行卖出","",IFERROR(LOOKUP(2,1/(单次交易!$A$2:$A$163=B252),单次交易!$AP$2:$AP$163),""))</f>
        <v/>
      </c>
      <c r="AA252" s="10"/>
      <c r="AB252" s="8" t="str">
        <f t="shared" si="35"/>
        <v/>
      </c>
      <c r="AC252" s="8" t="str">
        <f>IF(A252="","",IF(A252="止损计划",IF(OR(B252="",D252="",E252="",F252="",G252=""),"计划不完整",IF(OR(D252&lt;1,D252&lt;&gt;INT(D252)),"阶段序号无效",IF(COUNTIFS($A$2:$A$497,"止损计划",$B$2:$B$497,B252,$D$2:$D$497,D252)&gt;1,"阶段序号重复",IF(E252&lt;=IFERROR(LOOKUP(2,1/(单次交易!$A$2:$A$163=B252),单次交易!$E$2:$E$163),0),"激活价须高于买入价",IF(F252&lt;N252,"止损价不得低于初始止损",IF(F252&gt;E252,"止损价不得高于激活价",IF(AND(COUNTIFS($A$2:$A$497,"止损计划",$B$2:$B$497,B252,$D$2:$D$497,"&lt;"&amp;D252)&gt;0,OR(E252&lt;=SUMPRODUCT(MAX((($A$2:$A$497="止损计划")*($B$2:$B$497=B252)*($D$2:$D$497&lt;D252))*$E$2:$E$497)),F252&lt;SUMPRODUCT(MAX((($A$2:$A$497="止损计划")*($B$2:$B$497=B252)*($D$2:$D$497&lt;D252))*$F$2:$F$497)))),"阶段价格必须逐级提高","计划有效"))))))),IF(A252="每日跟踪",IF(OR(B252="",H252="",I252="",J252=""),"每日数据不完整",IF(COUNTIFS($A$2:$A$497,"每日跟踪",$B$2:$B$497,B252,$H$2:$H$497,H252)&gt;1,"同一交易日期重复",IF(AND(R252&lt;&gt;"",R252&lt;S252),"人工止损无效：不能下调","跟踪有效"))),"记录类型无效")))</f>
        <v/>
      </c>
    </row>
    <row r="253" ht="17" spans="1:29">
      <c r="A253" s="2"/>
      <c r="B253" s="2"/>
      <c r="C253" s="8" t="str">
        <f>IF(B253="","",IFERROR(LOOKUP(2,1/(单次交易!$A$2:$A$163=B253),单次交易!$B$2:$B$163),""))</f>
        <v/>
      </c>
      <c r="D253" s="12"/>
      <c r="E253" s="10"/>
      <c r="F253" s="10"/>
      <c r="G253" s="2"/>
      <c r="H253" s="15"/>
      <c r="I253" s="10"/>
      <c r="J253" s="12"/>
      <c r="K253" s="2"/>
      <c r="L253" s="2"/>
      <c r="M253" s="2"/>
      <c r="N253" s="5" t="str">
        <f>IF(B253="","",IFERROR(LOOKUP(2,1/(单次交易!$A$2:$A$163=B253),单次交易!$N$2:$N$163),""))</f>
        <v/>
      </c>
      <c r="O253" s="5" t="str">
        <f t="shared" si="27"/>
        <v/>
      </c>
      <c r="P253" s="11" t="str">
        <f t="shared" si="28"/>
        <v/>
      </c>
      <c r="Q253" s="5" t="str">
        <f t="shared" si="29"/>
        <v/>
      </c>
      <c r="R253" s="10"/>
      <c r="S253" s="5" t="str">
        <f t="shared" si="30"/>
        <v/>
      </c>
      <c r="T253" s="5" t="str">
        <f t="shared" si="31"/>
        <v/>
      </c>
      <c r="U253" s="5" t="str">
        <f t="shared" si="32"/>
        <v/>
      </c>
      <c r="V253" s="7" t="str">
        <f t="shared" si="33"/>
        <v/>
      </c>
      <c r="W253" s="8" t="str">
        <f t="shared" si="34"/>
        <v/>
      </c>
      <c r="X253" s="2"/>
      <c r="Y253" s="10"/>
      <c r="Z253" s="11" t="str">
        <f>IF(X253&lt;&gt;"执行卖出","",IFERROR(LOOKUP(2,1/(单次交易!$A$2:$A$163=B253),单次交易!$AP$2:$AP$163),""))</f>
        <v/>
      </c>
      <c r="AA253" s="10"/>
      <c r="AB253" s="8" t="str">
        <f t="shared" si="35"/>
        <v/>
      </c>
      <c r="AC253" s="8" t="str">
        <f>IF(A253="","",IF(A253="止损计划",IF(OR(B253="",D253="",E253="",F253="",G253=""),"计划不完整",IF(OR(D253&lt;1,D253&lt;&gt;INT(D253)),"阶段序号无效",IF(COUNTIFS($A$2:$A$497,"止损计划",$B$2:$B$497,B253,$D$2:$D$497,D253)&gt;1,"阶段序号重复",IF(E253&lt;=IFERROR(LOOKUP(2,1/(单次交易!$A$2:$A$163=B253),单次交易!$E$2:$E$163),0),"激活价须高于买入价",IF(F253&lt;N253,"止损价不得低于初始止损",IF(F253&gt;E253,"止损价不得高于激活价",IF(AND(COUNTIFS($A$2:$A$497,"止损计划",$B$2:$B$497,B253,$D$2:$D$497,"&lt;"&amp;D253)&gt;0,OR(E253&lt;=SUMPRODUCT(MAX((($A$2:$A$497="止损计划")*($B$2:$B$497=B253)*($D$2:$D$497&lt;D253))*$E$2:$E$497)),F253&lt;SUMPRODUCT(MAX((($A$2:$A$497="止损计划")*($B$2:$B$497=B253)*($D$2:$D$497&lt;D253))*$F$2:$F$497)))),"阶段价格必须逐级提高","计划有效"))))))),IF(A253="每日跟踪",IF(OR(B253="",H253="",I253="",J253=""),"每日数据不完整",IF(COUNTIFS($A$2:$A$497,"每日跟踪",$B$2:$B$497,B253,$H$2:$H$497,H253)&gt;1,"同一交易日期重复",IF(AND(R253&lt;&gt;"",R253&lt;S253),"人工止损无效：不能下调","跟踪有效"))),"记录类型无效")))</f>
        <v/>
      </c>
    </row>
    <row r="254" ht="17" spans="1:29">
      <c r="A254" s="2"/>
      <c r="B254" s="2"/>
      <c r="C254" s="8" t="str">
        <f>IF(B254="","",IFERROR(LOOKUP(2,1/(单次交易!$A$2:$A$163=B254),单次交易!$B$2:$B$163),""))</f>
        <v/>
      </c>
      <c r="D254" s="12"/>
      <c r="E254" s="10"/>
      <c r="F254" s="10"/>
      <c r="G254" s="2"/>
      <c r="H254" s="15"/>
      <c r="I254" s="10"/>
      <c r="J254" s="12"/>
      <c r="K254" s="2"/>
      <c r="L254" s="2"/>
      <c r="M254" s="2"/>
      <c r="N254" s="5" t="str">
        <f>IF(B254="","",IFERROR(LOOKUP(2,1/(单次交易!$A$2:$A$163=B254),单次交易!$N$2:$N$163),""))</f>
        <v/>
      </c>
      <c r="O254" s="5" t="str">
        <f t="shared" si="27"/>
        <v/>
      </c>
      <c r="P254" s="11" t="str">
        <f t="shared" si="28"/>
        <v/>
      </c>
      <c r="Q254" s="5" t="str">
        <f t="shared" si="29"/>
        <v/>
      </c>
      <c r="R254" s="10"/>
      <c r="S254" s="5" t="str">
        <f t="shared" si="30"/>
        <v/>
      </c>
      <c r="T254" s="5" t="str">
        <f t="shared" si="31"/>
        <v/>
      </c>
      <c r="U254" s="5" t="str">
        <f t="shared" si="32"/>
        <v/>
      </c>
      <c r="V254" s="7" t="str">
        <f t="shared" si="33"/>
        <v/>
      </c>
      <c r="W254" s="8" t="str">
        <f t="shared" si="34"/>
        <v/>
      </c>
      <c r="X254" s="2"/>
      <c r="Y254" s="10"/>
      <c r="Z254" s="11" t="str">
        <f>IF(X254&lt;&gt;"执行卖出","",IFERROR(LOOKUP(2,1/(单次交易!$A$2:$A$163=B254),单次交易!$AP$2:$AP$163),""))</f>
        <v/>
      </c>
      <c r="AA254" s="10"/>
      <c r="AB254" s="8" t="str">
        <f t="shared" si="35"/>
        <v/>
      </c>
      <c r="AC254" s="8" t="str">
        <f>IF(A254="","",IF(A254="止损计划",IF(OR(B254="",D254="",E254="",F254="",G254=""),"计划不完整",IF(OR(D254&lt;1,D254&lt;&gt;INT(D254)),"阶段序号无效",IF(COUNTIFS($A$2:$A$497,"止损计划",$B$2:$B$497,B254,$D$2:$D$497,D254)&gt;1,"阶段序号重复",IF(E254&lt;=IFERROR(LOOKUP(2,1/(单次交易!$A$2:$A$163=B254),单次交易!$E$2:$E$163),0),"激活价须高于买入价",IF(F254&lt;N254,"止损价不得低于初始止损",IF(F254&gt;E254,"止损价不得高于激活价",IF(AND(COUNTIFS($A$2:$A$497,"止损计划",$B$2:$B$497,B254,$D$2:$D$497,"&lt;"&amp;D254)&gt;0,OR(E254&lt;=SUMPRODUCT(MAX((($A$2:$A$497="止损计划")*($B$2:$B$497=B254)*($D$2:$D$497&lt;D254))*$E$2:$E$497)),F254&lt;SUMPRODUCT(MAX((($A$2:$A$497="止损计划")*($B$2:$B$497=B254)*($D$2:$D$497&lt;D254))*$F$2:$F$497)))),"阶段价格必须逐级提高","计划有效"))))))),IF(A254="每日跟踪",IF(OR(B254="",H254="",I254="",J254=""),"每日数据不完整",IF(COUNTIFS($A$2:$A$497,"每日跟踪",$B$2:$B$497,B254,$H$2:$H$497,H254)&gt;1,"同一交易日期重复",IF(AND(R254&lt;&gt;"",R254&lt;S254),"人工止损无效：不能下调","跟踪有效"))),"记录类型无效")))</f>
        <v/>
      </c>
    </row>
    <row r="255" ht="17" spans="1:29">
      <c r="A255" s="2"/>
      <c r="B255" s="2"/>
      <c r="C255" s="8" t="str">
        <f>IF(B255="","",IFERROR(LOOKUP(2,1/(单次交易!$A$2:$A$163=B255),单次交易!$B$2:$B$163),""))</f>
        <v/>
      </c>
      <c r="D255" s="12"/>
      <c r="E255" s="10"/>
      <c r="F255" s="10"/>
      <c r="G255" s="2"/>
      <c r="H255" s="15"/>
      <c r="I255" s="10"/>
      <c r="J255" s="12"/>
      <c r="K255" s="2"/>
      <c r="L255" s="2"/>
      <c r="M255" s="2"/>
      <c r="N255" s="5" t="str">
        <f>IF(B255="","",IFERROR(LOOKUP(2,1/(单次交易!$A$2:$A$163=B255),单次交易!$N$2:$N$163),""))</f>
        <v/>
      </c>
      <c r="O255" s="5" t="str">
        <f t="shared" si="27"/>
        <v/>
      </c>
      <c r="P255" s="11" t="str">
        <f t="shared" si="28"/>
        <v/>
      </c>
      <c r="Q255" s="5" t="str">
        <f t="shared" si="29"/>
        <v/>
      </c>
      <c r="R255" s="10"/>
      <c r="S255" s="5" t="str">
        <f t="shared" si="30"/>
        <v/>
      </c>
      <c r="T255" s="5" t="str">
        <f t="shared" si="31"/>
        <v/>
      </c>
      <c r="U255" s="5" t="str">
        <f t="shared" si="32"/>
        <v/>
      </c>
      <c r="V255" s="7" t="str">
        <f t="shared" si="33"/>
        <v/>
      </c>
      <c r="W255" s="8" t="str">
        <f t="shared" si="34"/>
        <v/>
      </c>
      <c r="X255" s="2"/>
      <c r="Y255" s="10"/>
      <c r="Z255" s="11" t="str">
        <f>IF(X255&lt;&gt;"执行卖出","",IFERROR(LOOKUP(2,1/(单次交易!$A$2:$A$163=B255),单次交易!$AP$2:$AP$163),""))</f>
        <v/>
      </c>
      <c r="AA255" s="10"/>
      <c r="AB255" s="8" t="str">
        <f t="shared" si="35"/>
        <v/>
      </c>
      <c r="AC255" s="8" t="str">
        <f>IF(A255="","",IF(A255="止损计划",IF(OR(B255="",D255="",E255="",F255="",G255=""),"计划不完整",IF(OR(D255&lt;1,D255&lt;&gt;INT(D255)),"阶段序号无效",IF(COUNTIFS($A$2:$A$497,"止损计划",$B$2:$B$497,B255,$D$2:$D$497,D255)&gt;1,"阶段序号重复",IF(E255&lt;=IFERROR(LOOKUP(2,1/(单次交易!$A$2:$A$163=B255),单次交易!$E$2:$E$163),0),"激活价须高于买入价",IF(F255&lt;N255,"止损价不得低于初始止损",IF(F255&gt;E255,"止损价不得高于激活价",IF(AND(COUNTIFS($A$2:$A$497,"止损计划",$B$2:$B$497,B255,$D$2:$D$497,"&lt;"&amp;D255)&gt;0,OR(E255&lt;=SUMPRODUCT(MAX((($A$2:$A$497="止损计划")*($B$2:$B$497=B255)*($D$2:$D$497&lt;D255))*$E$2:$E$497)),F255&lt;SUMPRODUCT(MAX((($A$2:$A$497="止损计划")*($B$2:$B$497=B255)*($D$2:$D$497&lt;D255))*$F$2:$F$497)))),"阶段价格必须逐级提高","计划有效"))))))),IF(A255="每日跟踪",IF(OR(B255="",H255="",I255="",J255=""),"每日数据不完整",IF(COUNTIFS($A$2:$A$497,"每日跟踪",$B$2:$B$497,B255,$H$2:$H$497,H255)&gt;1,"同一交易日期重复",IF(AND(R255&lt;&gt;"",R255&lt;S255),"人工止损无效：不能下调","跟踪有效"))),"记录类型无效")))</f>
        <v/>
      </c>
    </row>
    <row r="256" ht="17" spans="1:29">
      <c r="A256" s="2"/>
      <c r="B256" s="2"/>
      <c r="C256" s="8" t="str">
        <f>IF(B256="","",IFERROR(LOOKUP(2,1/(单次交易!$A$2:$A$163=B256),单次交易!$B$2:$B$163),""))</f>
        <v/>
      </c>
      <c r="D256" s="12"/>
      <c r="E256" s="10"/>
      <c r="F256" s="10"/>
      <c r="G256" s="2"/>
      <c r="H256" s="15"/>
      <c r="I256" s="10"/>
      <c r="J256" s="12"/>
      <c r="K256" s="2"/>
      <c r="L256" s="2"/>
      <c r="M256" s="2"/>
      <c r="N256" s="5" t="str">
        <f>IF(B256="","",IFERROR(LOOKUP(2,1/(单次交易!$A$2:$A$163=B256),单次交易!$N$2:$N$163),""))</f>
        <v/>
      </c>
      <c r="O256" s="5" t="str">
        <f t="shared" si="27"/>
        <v/>
      </c>
      <c r="P256" s="11" t="str">
        <f t="shared" si="28"/>
        <v/>
      </c>
      <c r="Q256" s="5" t="str">
        <f t="shared" si="29"/>
        <v/>
      </c>
      <c r="R256" s="10"/>
      <c r="S256" s="5" t="str">
        <f t="shared" si="30"/>
        <v/>
      </c>
      <c r="T256" s="5" t="str">
        <f t="shared" si="31"/>
        <v/>
      </c>
      <c r="U256" s="5" t="str">
        <f t="shared" si="32"/>
        <v/>
      </c>
      <c r="V256" s="7" t="str">
        <f t="shared" si="33"/>
        <v/>
      </c>
      <c r="W256" s="8" t="str">
        <f t="shared" si="34"/>
        <v/>
      </c>
      <c r="X256" s="2"/>
      <c r="Y256" s="10"/>
      <c r="Z256" s="11" t="str">
        <f>IF(X256&lt;&gt;"执行卖出","",IFERROR(LOOKUP(2,1/(单次交易!$A$2:$A$163=B256),单次交易!$AP$2:$AP$163),""))</f>
        <v/>
      </c>
      <c r="AA256" s="10"/>
      <c r="AB256" s="8" t="str">
        <f t="shared" si="35"/>
        <v/>
      </c>
      <c r="AC256" s="8" t="str">
        <f>IF(A256="","",IF(A256="止损计划",IF(OR(B256="",D256="",E256="",F256="",G256=""),"计划不完整",IF(OR(D256&lt;1,D256&lt;&gt;INT(D256)),"阶段序号无效",IF(COUNTIFS($A$2:$A$497,"止损计划",$B$2:$B$497,B256,$D$2:$D$497,D256)&gt;1,"阶段序号重复",IF(E256&lt;=IFERROR(LOOKUP(2,1/(单次交易!$A$2:$A$163=B256),单次交易!$E$2:$E$163),0),"激活价须高于买入价",IF(F256&lt;N256,"止损价不得低于初始止损",IF(F256&gt;E256,"止损价不得高于激活价",IF(AND(COUNTIFS($A$2:$A$497,"止损计划",$B$2:$B$497,B256,$D$2:$D$497,"&lt;"&amp;D256)&gt;0,OR(E256&lt;=SUMPRODUCT(MAX((($A$2:$A$497="止损计划")*($B$2:$B$497=B256)*($D$2:$D$497&lt;D256))*$E$2:$E$497)),F256&lt;SUMPRODUCT(MAX((($A$2:$A$497="止损计划")*($B$2:$B$497=B256)*($D$2:$D$497&lt;D256))*$F$2:$F$497)))),"阶段价格必须逐级提高","计划有效"))))))),IF(A256="每日跟踪",IF(OR(B256="",H256="",I256="",J256=""),"每日数据不完整",IF(COUNTIFS($A$2:$A$497,"每日跟踪",$B$2:$B$497,B256,$H$2:$H$497,H256)&gt;1,"同一交易日期重复",IF(AND(R256&lt;&gt;"",R256&lt;S256),"人工止损无效：不能下调","跟踪有效"))),"记录类型无效")))</f>
        <v/>
      </c>
    </row>
    <row r="257" ht="17" spans="1:29">
      <c r="A257" s="2"/>
      <c r="B257" s="2"/>
      <c r="C257" s="8" t="str">
        <f>IF(B257="","",IFERROR(LOOKUP(2,1/(单次交易!$A$2:$A$163=B257),单次交易!$B$2:$B$163),""))</f>
        <v/>
      </c>
      <c r="D257" s="12"/>
      <c r="E257" s="10"/>
      <c r="F257" s="10"/>
      <c r="G257" s="2"/>
      <c r="H257" s="15"/>
      <c r="I257" s="10"/>
      <c r="J257" s="12"/>
      <c r="K257" s="2"/>
      <c r="L257" s="2"/>
      <c r="M257" s="2"/>
      <c r="N257" s="5" t="str">
        <f>IF(B257="","",IFERROR(LOOKUP(2,1/(单次交易!$A$2:$A$163=B257),单次交易!$N$2:$N$163),""))</f>
        <v/>
      </c>
      <c r="O257" s="5" t="str">
        <f t="shared" si="27"/>
        <v/>
      </c>
      <c r="P257" s="11" t="str">
        <f t="shared" si="28"/>
        <v/>
      </c>
      <c r="Q257" s="5" t="str">
        <f t="shared" si="29"/>
        <v/>
      </c>
      <c r="R257" s="10"/>
      <c r="S257" s="5" t="str">
        <f t="shared" si="30"/>
        <v/>
      </c>
      <c r="T257" s="5" t="str">
        <f t="shared" si="31"/>
        <v/>
      </c>
      <c r="U257" s="5" t="str">
        <f t="shared" si="32"/>
        <v/>
      </c>
      <c r="V257" s="7" t="str">
        <f t="shared" si="33"/>
        <v/>
      </c>
      <c r="W257" s="8" t="str">
        <f t="shared" si="34"/>
        <v/>
      </c>
      <c r="X257" s="2"/>
      <c r="Y257" s="10"/>
      <c r="Z257" s="11" t="str">
        <f>IF(X257&lt;&gt;"执行卖出","",IFERROR(LOOKUP(2,1/(单次交易!$A$2:$A$163=B257),单次交易!$AP$2:$AP$163),""))</f>
        <v/>
      </c>
      <c r="AA257" s="10"/>
      <c r="AB257" s="8" t="str">
        <f t="shared" si="35"/>
        <v/>
      </c>
      <c r="AC257" s="8" t="str">
        <f>IF(A257="","",IF(A257="止损计划",IF(OR(B257="",D257="",E257="",F257="",G257=""),"计划不完整",IF(OR(D257&lt;1,D257&lt;&gt;INT(D257)),"阶段序号无效",IF(COUNTIFS($A$2:$A$497,"止损计划",$B$2:$B$497,B257,$D$2:$D$497,D257)&gt;1,"阶段序号重复",IF(E257&lt;=IFERROR(LOOKUP(2,1/(单次交易!$A$2:$A$163=B257),单次交易!$E$2:$E$163),0),"激活价须高于买入价",IF(F257&lt;N257,"止损价不得低于初始止损",IF(F257&gt;E257,"止损价不得高于激活价",IF(AND(COUNTIFS($A$2:$A$497,"止损计划",$B$2:$B$497,B257,$D$2:$D$497,"&lt;"&amp;D257)&gt;0,OR(E257&lt;=SUMPRODUCT(MAX((($A$2:$A$497="止损计划")*($B$2:$B$497=B257)*($D$2:$D$497&lt;D257))*$E$2:$E$497)),F257&lt;SUMPRODUCT(MAX((($A$2:$A$497="止损计划")*($B$2:$B$497=B257)*($D$2:$D$497&lt;D257))*$F$2:$F$497)))),"阶段价格必须逐级提高","计划有效"))))))),IF(A257="每日跟踪",IF(OR(B257="",H257="",I257="",J257=""),"每日数据不完整",IF(COUNTIFS($A$2:$A$497,"每日跟踪",$B$2:$B$497,B257,$H$2:$H$497,H257)&gt;1,"同一交易日期重复",IF(AND(R257&lt;&gt;"",R257&lt;S257),"人工止损无效：不能下调","跟踪有效"))),"记录类型无效")))</f>
        <v/>
      </c>
    </row>
    <row r="258" ht="17" spans="1:29">
      <c r="A258" s="2"/>
      <c r="B258" s="2"/>
      <c r="C258" s="8" t="str">
        <f>IF(B258="","",IFERROR(LOOKUP(2,1/(单次交易!$A$2:$A$163=B258),单次交易!$B$2:$B$163),""))</f>
        <v/>
      </c>
      <c r="D258" s="12"/>
      <c r="E258" s="10"/>
      <c r="F258" s="10"/>
      <c r="G258" s="2"/>
      <c r="H258" s="15"/>
      <c r="I258" s="10"/>
      <c r="J258" s="12"/>
      <c r="K258" s="2"/>
      <c r="L258" s="2"/>
      <c r="M258" s="2"/>
      <c r="N258" s="5" t="str">
        <f>IF(B258="","",IFERROR(LOOKUP(2,1/(单次交易!$A$2:$A$163=B258),单次交易!$N$2:$N$163),""))</f>
        <v/>
      </c>
      <c r="O258" s="5" t="str">
        <f t="shared" ref="O258:O321" si="36">IF(A258&lt;&gt;"每日跟踪","",IF(OR(B258="",H258="",I258=""),"",IFERROR(SUMPRODUCT(MAX((($A$2:$A$497="每日跟踪")*($B$2:$B$497=B258)*($H$2:$H$497&lt;=H258))*$I$2:$I$497)),"")))</f>
        <v/>
      </c>
      <c r="P258" s="11" t="str">
        <f t="shared" ref="P258:P321" si="37">IF(A258&lt;&gt;"每日跟踪","",IF(O258="","",IFERROR(SUMPRODUCT(MAX((($A$2:$A$497="止损计划")*($B$2:$B$497=B258)*($E$2:$E$497&lt;=O258))*$D$2:$D$497)),0)))</f>
        <v/>
      </c>
      <c r="Q258" s="5" t="str">
        <f t="shared" ref="Q258:Q321" si="38">IF(A258&lt;&gt;"每日跟踪","",IF(N258="","",MAX(N258,IFERROR(SUMPRODUCT(MAX((($A$2:$A$497="止损计划")*($B$2:$B$497=B258)*($E$2:$E$497&lt;=O258))*$F$2:$F$497)),0))))</f>
        <v/>
      </c>
      <c r="R258" s="10"/>
      <c r="S258" s="5" t="str">
        <f t="shared" ref="S258:S321" si="39">IF(A258&lt;&gt;"每日跟踪","",IF(Q258="","",MAX(Q258,IFERROR(SUMPRODUCT(MAX((($A$2:$A$497="每日跟踪")*($B$2:$B$497=B258)*($H$2:$H$497&lt;=H258))*$R$2:$R$497)),0))))</f>
        <v/>
      </c>
      <c r="T258" s="5" t="str">
        <f t="shared" ref="T258:T321" si="40">IF(A258&lt;&gt;"每日跟踪","",IF(O258="","",IF(COUNTIFS($A$2:$A$497,"止损计划",$B$2:$B$497,B258,$E$2:$E$497,"&gt;"&amp;O258)=0,"",INDEX($E$2:$E$497,MATCH(1,INDEX(($A$2:$A$497="止损计划")*($B$2:$B$497=B258)*($E$2:$E$497&gt;O258),0),0)))))</f>
        <v/>
      </c>
      <c r="U258" s="5" t="str">
        <f t="shared" ref="U258:U321" si="41">IF(OR(A258&lt;&gt;"每日跟踪",T258=""),"",IFERROR(SUMIFS($F$2:$F$497,$A$2:$A$497,"止损计划",$B$2:$B$497,B258,$E$2:$E$497,T258),""))</f>
        <v/>
      </c>
      <c r="V258" s="7" t="str">
        <f t="shared" ref="V258:V321" si="42">IF(OR(A258&lt;&gt;"每日跟踪",T258="",I258="",I258&lt;=0),"",T258/I258-1)</f>
        <v/>
      </c>
      <c r="W258" s="8" t="str">
        <f t="shared" ref="W258:W321" si="43">IF(A258&lt;&gt;"每日跟踪","",IF(OR(I258="",S258=""),"",IF(I258&lt;=S258,"触发止损：应全部卖出","继续观察")))</f>
        <v/>
      </c>
      <c r="X258" s="2"/>
      <c r="Y258" s="10"/>
      <c r="Z258" s="11" t="str">
        <f>IF(X258&lt;&gt;"执行卖出","",IFERROR(LOOKUP(2,1/(单次交易!$A$2:$A$163=B258),单次交易!$AP$2:$AP$163),""))</f>
        <v/>
      </c>
      <c r="AA258" s="10"/>
      <c r="AB258" s="8" t="str">
        <f t="shared" ref="AB258:AB321" si="44">IF(A258&lt;&gt;"每日跟踪","",IF(OR(B258="",H258="",I258="",J258="",K258="",L258="",M258=""),"待补充每日记录",IF(W258="触发止损：应全部卖出",IF(X258&lt;&gt;"执行卖出","违规：触发止损但未执行",IF(Y258="","待补充实际卖出价","卖出记录完整")),IF(X258="","待选择卖出动作",IF(X258="执行卖出",IF(Y258="","待补充实际卖出价","卖出记录完整"),"正常")))))</f>
        <v/>
      </c>
      <c r="AC258" s="8" t="str">
        <f>IF(A258="","",IF(A258="止损计划",IF(OR(B258="",D258="",E258="",F258="",G258=""),"计划不完整",IF(OR(D258&lt;1,D258&lt;&gt;INT(D258)),"阶段序号无效",IF(COUNTIFS($A$2:$A$497,"止损计划",$B$2:$B$497,B258,$D$2:$D$497,D258)&gt;1,"阶段序号重复",IF(E258&lt;=IFERROR(LOOKUP(2,1/(单次交易!$A$2:$A$163=B258),单次交易!$E$2:$E$163),0),"激活价须高于买入价",IF(F258&lt;N258,"止损价不得低于初始止损",IF(F258&gt;E258,"止损价不得高于激活价",IF(AND(COUNTIFS($A$2:$A$497,"止损计划",$B$2:$B$497,B258,$D$2:$D$497,"&lt;"&amp;D258)&gt;0,OR(E258&lt;=SUMPRODUCT(MAX((($A$2:$A$497="止损计划")*($B$2:$B$497=B258)*($D$2:$D$497&lt;D258))*$E$2:$E$497)),F258&lt;SUMPRODUCT(MAX((($A$2:$A$497="止损计划")*($B$2:$B$497=B258)*($D$2:$D$497&lt;D258))*$F$2:$F$497)))),"阶段价格必须逐级提高","计划有效"))))))),IF(A258="每日跟踪",IF(OR(B258="",H258="",I258="",J258=""),"每日数据不完整",IF(COUNTIFS($A$2:$A$497,"每日跟踪",$B$2:$B$497,B258,$H$2:$H$497,H258)&gt;1,"同一交易日期重复",IF(AND(R258&lt;&gt;"",R258&lt;S258),"人工止损无效：不能下调","跟踪有效"))),"记录类型无效")))</f>
        <v/>
      </c>
    </row>
    <row r="259" ht="17" spans="1:29">
      <c r="A259" s="2"/>
      <c r="B259" s="2"/>
      <c r="C259" s="8" t="str">
        <f>IF(B259="","",IFERROR(LOOKUP(2,1/(单次交易!$A$2:$A$163=B259),单次交易!$B$2:$B$163),""))</f>
        <v/>
      </c>
      <c r="D259" s="12"/>
      <c r="E259" s="10"/>
      <c r="F259" s="10"/>
      <c r="G259" s="2"/>
      <c r="H259" s="15"/>
      <c r="I259" s="10"/>
      <c r="J259" s="12"/>
      <c r="K259" s="2"/>
      <c r="L259" s="2"/>
      <c r="M259" s="2"/>
      <c r="N259" s="5" t="str">
        <f>IF(B259="","",IFERROR(LOOKUP(2,1/(单次交易!$A$2:$A$163=B259),单次交易!$N$2:$N$163),""))</f>
        <v/>
      </c>
      <c r="O259" s="5" t="str">
        <f t="shared" si="36"/>
        <v/>
      </c>
      <c r="P259" s="11" t="str">
        <f t="shared" si="37"/>
        <v/>
      </c>
      <c r="Q259" s="5" t="str">
        <f t="shared" si="38"/>
        <v/>
      </c>
      <c r="R259" s="10"/>
      <c r="S259" s="5" t="str">
        <f t="shared" si="39"/>
        <v/>
      </c>
      <c r="T259" s="5" t="str">
        <f t="shared" si="40"/>
        <v/>
      </c>
      <c r="U259" s="5" t="str">
        <f t="shared" si="41"/>
        <v/>
      </c>
      <c r="V259" s="7" t="str">
        <f t="shared" si="42"/>
        <v/>
      </c>
      <c r="W259" s="8" t="str">
        <f t="shared" si="43"/>
        <v/>
      </c>
      <c r="X259" s="2"/>
      <c r="Y259" s="10"/>
      <c r="Z259" s="11" t="str">
        <f>IF(X259&lt;&gt;"执行卖出","",IFERROR(LOOKUP(2,1/(单次交易!$A$2:$A$163=B259),单次交易!$AP$2:$AP$163),""))</f>
        <v/>
      </c>
      <c r="AA259" s="10"/>
      <c r="AB259" s="8" t="str">
        <f t="shared" si="44"/>
        <v/>
      </c>
      <c r="AC259" s="8" t="str">
        <f>IF(A259="","",IF(A259="止损计划",IF(OR(B259="",D259="",E259="",F259="",G259=""),"计划不完整",IF(OR(D259&lt;1,D259&lt;&gt;INT(D259)),"阶段序号无效",IF(COUNTIFS($A$2:$A$497,"止损计划",$B$2:$B$497,B259,$D$2:$D$497,D259)&gt;1,"阶段序号重复",IF(E259&lt;=IFERROR(LOOKUP(2,1/(单次交易!$A$2:$A$163=B259),单次交易!$E$2:$E$163),0),"激活价须高于买入价",IF(F259&lt;N259,"止损价不得低于初始止损",IF(F259&gt;E259,"止损价不得高于激活价",IF(AND(COUNTIFS($A$2:$A$497,"止损计划",$B$2:$B$497,B259,$D$2:$D$497,"&lt;"&amp;D259)&gt;0,OR(E259&lt;=SUMPRODUCT(MAX((($A$2:$A$497="止损计划")*($B$2:$B$497=B259)*($D$2:$D$497&lt;D259))*$E$2:$E$497)),F259&lt;SUMPRODUCT(MAX((($A$2:$A$497="止损计划")*($B$2:$B$497=B259)*($D$2:$D$497&lt;D259))*$F$2:$F$497)))),"阶段价格必须逐级提高","计划有效"))))))),IF(A259="每日跟踪",IF(OR(B259="",H259="",I259="",J259=""),"每日数据不完整",IF(COUNTIFS($A$2:$A$497,"每日跟踪",$B$2:$B$497,B259,$H$2:$H$497,H259)&gt;1,"同一交易日期重复",IF(AND(R259&lt;&gt;"",R259&lt;S259),"人工止损无效：不能下调","跟踪有效"))),"记录类型无效")))</f>
        <v/>
      </c>
    </row>
    <row r="260" ht="17" spans="1:29">
      <c r="A260" s="2"/>
      <c r="B260" s="2"/>
      <c r="C260" s="8" t="str">
        <f>IF(B260="","",IFERROR(LOOKUP(2,1/(单次交易!$A$2:$A$163=B260),单次交易!$B$2:$B$163),""))</f>
        <v/>
      </c>
      <c r="D260" s="12"/>
      <c r="E260" s="10"/>
      <c r="F260" s="10"/>
      <c r="G260" s="2"/>
      <c r="H260" s="15"/>
      <c r="I260" s="10"/>
      <c r="J260" s="12"/>
      <c r="K260" s="2"/>
      <c r="L260" s="2"/>
      <c r="M260" s="2"/>
      <c r="N260" s="5" t="str">
        <f>IF(B260="","",IFERROR(LOOKUP(2,1/(单次交易!$A$2:$A$163=B260),单次交易!$N$2:$N$163),""))</f>
        <v/>
      </c>
      <c r="O260" s="5" t="str">
        <f t="shared" si="36"/>
        <v/>
      </c>
      <c r="P260" s="11" t="str">
        <f t="shared" si="37"/>
        <v/>
      </c>
      <c r="Q260" s="5" t="str">
        <f t="shared" si="38"/>
        <v/>
      </c>
      <c r="R260" s="10"/>
      <c r="S260" s="5" t="str">
        <f t="shared" si="39"/>
        <v/>
      </c>
      <c r="T260" s="5" t="str">
        <f t="shared" si="40"/>
        <v/>
      </c>
      <c r="U260" s="5" t="str">
        <f t="shared" si="41"/>
        <v/>
      </c>
      <c r="V260" s="7" t="str">
        <f t="shared" si="42"/>
        <v/>
      </c>
      <c r="W260" s="8" t="str">
        <f t="shared" si="43"/>
        <v/>
      </c>
      <c r="X260" s="2"/>
      <c r="Y260" s="10"/>
      <c r="Z260" s="11" t="str">
        <f>IF(X260&lt;&gt;"执行卖出","",IFERROR(LOOKUP(2,1/(单次交易!$A$2:$A$163=B260),单次交易!$AP$2:$AP$163),""))</f>
        <v/>
      </c>
      <c r="AA260" s="10"/>
      <c r="AB260" s="8" t="str">
        <f t="shared" si="44"/>
        <v/>
      </c>
      <c r="AC260" s="8" t="str">
        <f>IF(A260="","",IF(A260="止损计划",IF(OR(B260="",D260="",E260="",F260="",G260=""),"计划不完整",IF(OR(D260&lt;1,D260&lt;&gt;INT(D260)),"阶段序号无效",IF(COUNTIFS($A$2:$A$497,"止损计划",$B$2:$B$497,B260,$D$2:$D$497,D260)&gt;1,"阶段序号重复",IF(E260&lt;=IFERROR(LOOKUP(2,1/(单次交易!$A$2:$A$163=B260),单次交易!$E$2:$E$163),0),"激活价须高于买入价",IF(F260&lt;N260,"止损价不得低于初始止损",IF(F260&gt;E260,"止损价不得高于激活价",IF(AND(COUNTIFS($A$2:$A$497,"止损计划",$B$2:$B$497,B260,$D$2:$D$497,"&lt;"&amp;D260)&gt;0,OR(E260&lt;=SUMPRODUCT(MAX((($A$2:$A$497="止损计划")*($B$2:$B$497=B260)*($D$2:$D$497&lt;D260))*$E$2:$E$497)),F260&lt;SUMPRODUCT(MAX((($A$2:$A$497="止损计划")*($B$2:$B$497=B260)*($D$2:$D$497&lt;D260))*$F$2:$F$497)))),"阶段价格必须逐级提高","计划有效"))))))),IF(A260="每日跟踪",IF(OR(B260="",H260="",I260="",J260=""),"每日数据不完整",IF(COUNTIFS($A$2:$A$497,"每日跟踪",$B$2:$B$497,B260,$H$2:$H$497,H260)&gt;1,"同一交易日期重复",IF(AND(R260&lt;&gt;"",R260&lt;S260),"人工止损无效：不能下调","跟踪有效"))),"记录类型无效")))</f>
        <v/>
      </c>
    </row>
    <row r="261" ht="17" spans="1:29">
      <c r="A261" s="2"/>
      <c r="B261" s="2"/>
      <c r="C261" s="8" t="str">
        <f>IF(B261="","",IFERROR(LOOKUP(2,1/(单次交易!$A$2:$A$163=B261),单次交易!$B$2:$B$163),""))</f>
        <v/>
      </c>
      <c r="D261" s="12"/>
      <c r="E261" s="10"/>
      <c r="F261" s="10"/>
      <c r="G261" s="2"/>
      <c r="H261" s="15"/>
      <c r="I261" s="10"/>
      <c r="J261" s="12"/>
      <c r="K261" s="2"/>
      <c r="L261" s="2"/>
      <c r="M261" s="2"/>
      <c r="N261" s="5" t="str">
        <f>IF(B261="","",IFERROR(LOOKUP(2,1/(单次交易!$A$2:$A$163=B261),单次交易!$N$2:$N$163),""))</f>
        <v/>
      </c>
      <c r="O261" s="5" t="str">
        <f t="shared" si="36"/>
        <v/>
      </c>
      <c r="P261" s="11" t="str">
        <f t="shared" si="37"/>
        <v/>
      </c>
      <c r="Q261" s="5" t="str">
        <f t="shared" si="38"/>
        <v/>
      </c>
      <c r="R261" s="10"/>
      <c r="S261" s="5" t="str">
        <f t="shared" si="39"/>
        <v/>
      </c>
      <c r="T261" s="5" t="str">
        <f t="shared" si="40"/>
        <v/>
      </c>
      <c r="U261" s="5" t="str">
        <f t="shared" si="41"/>
        <v/>
      </c>
      <c r="V261" s="7" t="str">
        <f t="shared" si="42"/>
        <v/>
      </c>
      <c r="W261" s="8" t="str">
        <f t="shared" si="43"/>
        <v/>
      </c>
      <c r="X261" s="2"/>
      <c r="Y261" s="10"/>
      <c r="Z261" s="11" t="str">
        <f>IF(X261&lt;&gt;"执行卖出","",IFERROR(LOOKUP(2,1/(单次交易!$A$2:$A$163=B261),单次交易!$AP$2:$AP$163),""))</f>
        <v/>
      </c>
      <c r="AA261" s="10"/>
      <c r="AB261" s="8" t="str">
        <f t="shared" si="44"/>
        <v/>
      </c>
      <c r="AC261" s="8" t="str">
        <f>IF(A261="","",IF(A261="止损计划",IF(OR(B261="",D261="",E261="",F261="",G261=""),"计划不完整",IF(OR(D261&lt;1,D261&lt;&gt;INT(D261)),"阶段序号无效",IF(COUNTIFS($A$2:$A$497,"止损计划",$B$2:$B$497,B261,$D$2:$D$497,D261)&gt;1,"阶段序号重复",IF(E261&lt;=IFERROR(LOOKUP(2,1/(单次交易!$A$2:$A$163=B261),单次交易!$E$2:$E$163),0),"激活价须高于买入价",IF(F261&lt;N261,"止损价不得低于初始止损",IF(F261&gt;E261,"止损价不得高于激活价",IF(AND(COUNTIFS($A$2:$A$497,"止损计划",$B$2:$B$497,B261,$D$2:$D$497,"&lt;"&amp;D261)&gt;0,OR(E261&lt;=SUMPRODUCT(MAX((($A$2:$A$497="止损计划")*($B$2:$B$497=B261)*($D$2:$D$497&lt;D261))*$E$2:$E$497)),F261&lt;SUMPRODUCT(MAX((($A$2:$A$497="止损计划")*($B$2:$B$497=B261)*($D$2:$D$497&lt;D261))*$F$2:$F$497)))),"阶段价格必须逐级提高","计划有效"))))))),IF(A261="每日跟踪",IF(OR(B261="",H261="",I261="",J261=""),"每日数据不完整",IF(COUNTIFS($A$2:$A$497,"每日跟踪",$B$2:$B$497,B261,$H$2:$H$497,H261)&gt;1,"同一交易日期重复",IF(AND(R261&lt;&gt;"",R261&lt;S261),"人工止损无效：不能下调","跟踪有效"))),"记录类型无效")))</f>
        <v/>
      </c>
    </row>
    <row r="262" ht="17" spans="1:29">
      <c r="A262" s="2"/>
      <c r="B262" s="2"/>
      <c r="C262" s="8" t="str">
        <f>IF(B262="","",IFERROR(LOOKUP(2,1/(单次交易!$A$2:$A$163=B262),单次交易!$B$2:$B$163),""))</f>
        <v/>
      </c>
      <c r="D262" s="12"/>
      <c r="E262" s="10"/>
      <c r="F262" s="10"/>
      <c r="G262" s="2"/>
      <c r="H262" s="15"/>
      <c r="I262" s="10"/>
      <c r="J262" s="12"/>
      <c r="K262" s="2"/>
      <c r="L262" s="2"/>
      <c r="M262" s="2"/>
      <c r="N262" s="5" t="str">
        <f>IF(B262="","",IFERROR(LOOKUP(2,1/(单次交易!$A$2:$A$163=B262),单次交易!$N$2:$N$163),""))</f>
        <v/>
      </c>
      <c r="O262" s="5" t="str">
        <f t="shared" si="36"/>
        <v/>
      </c>
      <c r="P262" s="11" t="str">
        <f t="shared" si="37"/>
        <v/>
      </c>
      <c r="Q262" s="5" t="str">
        <f t="shared" si="38"/>
        <v/>
      </c>
      <c r="R262" s="10"/>
      <c r="S262" s="5" t="str">
        <f t="shared" si="39"/>
        <v/>
      </c>
      <c r="T262" s="5" t="str">
        <f t="shared" si="40"/>
        <v/>
      </c>
      <c r="U262" s="5" t="str">
        <f t="shared" si="41"/>
        <v/>
      </c>
      <c r="V262" s="7" t="str">
        <f t="shared" si="42"/>
        <v/>
      </c>
      <c r="W262" s="8" t="str">
        <f t="shared" si="43"/>
        <v/>
      </c>
      <c r="X262" s="2"/>
      <c r="Y262" s="10"/>
      <c r="Z262" s="11" t="str">
        <f>IF(X262&lt;&gt;"执行卖出","",IFERROR(LOOKUP(2,1/(单次交易!$A$2:$A$163=B262),单次交易!$AP$2:$AP$163),""))</f>
        <v/>
      </c>
      <c r="AA262" s="10"/>
      <c r="AB262" s="8" t="str">
        <f t="shared" si="44"/>
        <v/>
      </c>
      <c r="AC262" s="8" t="str">
        <f>IF(A262="","",IF(A262="止损计划",IF(OR(B262="",D262="",E262="",F262="",G262=""),"计划不完整",IF(OR(D262&lt;1,D262&lt;&gt;INT(D262)),"阶段序号无效",IF(COUNTIFS($A$2:$A$497,"止损计划",$B$2:$B$497,B262,$D$2:$D$497,D262)&gt;1,"阶段序号重复",IF(E262&lt;=IFERROR(LOOKUP(2,1/(单次交易!$A$2:$A$163=B262),单次交易!$E$2:$E$163),0),"激活价须高于买入价",IF(F262&lt;N262,"止损价不得低于初始止损",IF(F262&gt;E262,"止损价不得高于激活价",IF(AND(COUNTIFS($A$2:$A$497,"止损计划",$B$2:$B$497,B262,$D$2:$D$497,"&lt;"&amp;D262)&gt;0,OR(E262&lt;=SUMPRODUCT(MAX((($A$2:$A$497="止损计划")*($B$2:$B$497=B262)*($D$2:$D$497&lt;D262))*$E$2:$E$497)),F262&lt;SUMPRODUCT(MAX((($A$2:$A$497="止损计划")*($B$2:$B$497=B262)*($D$2:$D$497&lt;D262))*$F$2:$F$497)))),"阶段价格必须逐级提高","计划有效"))))))),IF(A262="每日跟踪",IF(OR(B262="",H262="",I262="",J262=""),"每日数据不完整",IF(COUNTIFS($A$2:$A$497,"每日跟踪",$B$2:$B$497,B262,$H$2:$H$497,H262)&gt;1,"同一交易日期重复",IF(AND(R262&lt;&gt;"",R262&lt;S262),"人工止损无效：不能下调","跟踪有效"))),"记录类型无效")))</f>
        <v/>
      </c>
    </row>
    <row r="263" ht="17" spans="1:29">
      <c r="A263" s="2"/>
      <c r="B263" s="2"/>
      <c r="C263" s="8" t="str">
        <f>IF(B263="","",IFERROR(LOOKUP(2,1/(单次交易!$A$2:$A$163=B263),单次交易!$B$2:$B$163),""))</f>
        <v/>
      </c>
      <c r="D263" s="12"/>
      <c r="E263" s="10"/>
      <c r="F263" s="10"/>
      <c r="G263" s="2"/>
      <c r="H263" s="15"/>
      <c r="I263" s="10"/>
      <c r="J263" s="12"/>
      <c r="K263" s="2"/>
      <c r="L263" s="2"/>
      <c r="M263" s="2"/>
      <c r="N263" s="5" t="str">
        <f>IF(B263="","",IFERROR(LOOKUP(2,1/(单次交易!$A$2:$A$163=B263),单次交易!$N$2:$N$163),""))</f>
        <v/>
      </c>
      <c r="O263" s="5" t="str">
        <f t="shared" si="36"/>
        <v/>
      </c>
      <c r="P263" s="11" t="str">
        <f t="shared" si="37"/>
        <v/>
      </c>
      <c r="Q263" s="5" t="str">
        <f t="shared" si="38"/>
        <v/>
      </c>
      <c r="R263" s="10"/>
      <c r="S263" s="5" t="str">
        <f t="shared" si="39"/>
        <v/>
      </c>
      <c r="T263" s="5" t="str">
        <f t="shared" si="40"/>
        <v/>
      </c>
      <c r="U263" s="5" t="str">
        <f t="shared" si="41"/>
        <v/>
      </c>
      <c r="V263" s="7" t="str">
        <f t="shared" si="42"/>
        <v/>
      </c>
      <c r="W263" s="8" t="str">
        <f t="shared" si="43"/>
        <v/>
      </c>
      <c r="X263" s="2"/>
      <c r="Y263" s="10"/>
      <c r="Z263" s="11" t="str">
        <f>IF(X263&lt;&gt;"执行卖出","",IFERROR(LOOKUP(2,1/(单次交易!$A$2:$A$163=B263),单次交易!$AP$2:$AP$163),""))</f>
        <v/>
      </c>
      <c r="AA263" s="10"/>
      <c r="AB263" s="8" t="str">
        <f t="shared" si="44"/>
        <v/>
      </c>
      <c r="AC263" s="8" t="str">
        <f>IF(A263="","",IF(A263="止损计划",IF(OR(B263="",D263="",E263="",F263="",G263=""),"计划不完整",IF(OR(D263&lt;1,D263&lt;&gt;INT(D263)),"阶段序号无效",IF(COUNTIFS($A$2:$A$497,"止损计划",$B$2:$B$497,B263,$D$2:$D$497,D263)&gt;1,"阶段序号重复",IF(E263&lt;=IFERROR(LOOKUP(2,1/(单次交易!$A$2:$A$163=B263),单次交易!$E$2:$E$163),0),"激活价须高于买入价",IF(F263&lt;N263,"止损价不得低于初始止损",IF(F263&gt;E263,"止损价不得高于激活价",IF(AND(COUNTIFS($A$2:$A$497,"止损计划",$B$2:$B$497,B263,$D$2:$D$497,"&lt;"&amp;D263)&gt;0,OR(E263&lt;=SUMPRODUCT(MAX((($A$2:$A$497="止损计划")*($B$2:$B$497=B263)*($D$2:$D$497&lt;D263))*$E$2:$E$497)),F263&lt;SUMPRODUCT(MAX((($A$2:$A$497="止损计划")*($B$2:$B$497=B263)*($D$2:$D$497&lt;D263))*$F$2:$F$497)))),"阶段价格必须逐级提高","计划有效"))))))),IF(A263="每日跟踪",IF(OR(B263="",H263="",I263="",J263=""),"每日数据不完整",IF(COUNTIFS($A$2:$A$497,"每日跟踪",$B$2:$B$497,B263,$H$2:$H$497,H263)&gt;1,"同一交易日期重复",IF(AND(R263&lt;&gt;"",R263&lt;S263),"人工止损无效：不能下调","跟踪有效"))),"记录类型无效")))</f>
        <v/>
      </c>
    </row>
    <row r="264" ht="17" spans="1:29">
      <c r="A264" s="2"/>
      <c r="B264" s="2"/>
      <c r="C264" s="8" t="str">
        <f>IF(B264="","",IFERROR(LOOKUP(2,1/(单次交易!$A$2:$A$163=B264),单次交易!$B$2:$B$163),""))</f>
        <v/>
      </c>
      <c r="D264" s="12"/>
      <c r="E264" s="10"/>
      <c r="F264" s="10"/>
      <c r="G264" s="2"/>
      <c r="H264" s="15"/>
      <c r="I264" s="10"/>
      <c r="J264" s="12"/>
      <c r="K264" s="2"/>
      <c r="L264" s="2"/>
      <c r="M264" s="2"/>
      <c r="N264" s="5" t="str">
        <f>IF(B264="","",IFERROR(LOOKUP(2,1/(单次交易!$A$2:$A$163=B264),单次交易!$N$2:$N$163),""))</f>
        <v/>
      </c>
      <c r="O264" s="5" t="str">
        <f t="shared" si="36"/>
        <v/>
      </c>
      <c r="P264" s="11" t="str">
        <f t="shared" si="37"/>
        <v/>
      </c>
      <c r="Q264" s="5" t="str">
        <f t="shared" si="38"/>
        <v/>
      </c>
      <c r="R264" s="10"/>
      <c r="S264" s="5" t="str">
        <f t="shared" si="39"/>
        <v/>
      </c>
      <c r="T264" s="5" t="str">
        <f t="shared" si="40"/>
        <v/>
      </c>
      <c r="U264" s="5" t="str">
        <f t="shared" si="41"/>
        <v/>
      </c>
      <c r="V264" s="7" t="str">
        <f t="shared" si="42"/>
        <v/>
      </c>
      <c r="W264" s="8" t="str">
        <f t="shared" si="43"/>
        <v/>
      </c>
      <c r="X264" s="2"/>
      <c r="Y264" s="10"/>
      <c r="Z264" s="11" t="str">
        <f>IF(X264&lt;&gt;"执行卖出","",IFERROR(LOOKUP(2,1/(单次交易!$A$2:$A$163=B264),单次交易!$AP$2:$AP$163),""))</f>
        <v/>
      </c>
      <c r="AA264" s="10"/>
      <c r="AB264" s="8" t="str">
        <f t="shared" si="44"/>
        <v/>
      </c>
      <c r="AC264" s="8" t="str">
        <f>IF(A264="","",IF(A264="止损计划",IF(OR(B264="",D264="",E264="",F264="",G264=""),"计划不完整",IF(OR(D264&lt;1,D264&lt;&gt;INT(D264)),"阶段序号无效",IF(COUNTIFS($A$2:$A$497,"止损计划",$B$2:$B$497,B264,$D$2:$D$497,D264)&gt;1,"阶段序号重复",IF(E264&lt;=IFERROR(LOOKUP(2,1/(单次交易!$A$2:$A$163=B264),单次交易!$E$2:$E$163),0),"激活价须高于买入价",IF(F264&lt;N264,"止损价不得低于初始止损",IF(F264&gt;E264,"止损价不得高于激活价",IF(AND(COUNTIFS($A$2:$A$497,"止损计划",$B$2:$B$497,B264,$D$2:$D$497,"&lt;"&amp;D264)&gt;0,OR(E264&lt;=SUMPRODUCT(MAX((($A$2:$A$497="止损计划")*($B$2:$B$497=B264)*($D$2:$D$497&lt;D264))*$E$2:$E$497)),F264&lt;SUMPRODUCT(MAX((($A$2:$A$497="止损计划")*($B$2:$B$497=B264)*($D$2:$D$497&lt;D264))*$F$2:$F$497)))),"阶段价格必须逐级提高","计划有效"))))))),IF(A264="每日跟踪",IF(OR(B264="",H264="",I264="",J264=""),"每日数据不完整",IF(COUNTIFS($A$2:$A$497,"每日跟踪",$B$2:$B$497,B264,$H$2:$H$497,H264)&gt;1,"同一交易日期重复",IF(AND(R264&lt;&gt;"",R264&lt;S264),"人工止损无效：不能下调","跟踪有效"))),"记录类型无效")))</f>
        <v/>
      </c>
    </row>
    <row r="265" ht="17" spans="1:29">
      <c r="A265" s="2"/>
      <c r="B265" s="2"/>
      <c r="C265" s="8" t="str">
        <f>IF(B265="","",IFERROR(LOOKUP(2,1/(单次交易!$A$2:$A$163=B265),单次交易!$B$2:$B$163),""))</f>
        <v/>
      </c>
      <c r="D265" s="12"/>
      <c r="E265" s="10"/>
      <c r="F265" s="10"/>
      <c r="G265" s="2"/>
      <c r="H265" s="15"/>
      <c r="I265" s="10"/>
      <c r="J265" s="12"/>
      <c r="K265" s="2"/>
      <c r="L265" s="2"/>
      <c r="M265" s="2"/>
      <c r="N265" s="5" t="str">
        <f>IF(B265="","",IFERROR(LOOKUP(2,1/(单次交易!$A$2:$A$163=B265),单次交易!$N$2:$N$163),""))</f>
        <v/>
      </c>
      <c r="O265" s="5" t="str">
        <f t="shared" si="36"/>
        <v/>
      </c>
      <c r="P265" s="11" t="str">
        <f t="shared" si="37"/>
        <v/>
      </c>
      <c r="Q265" s="5" t="str">
        <f t="shared" si="38"/>
        <v/>
      </c>
      <c r="R265" s="10"/>
      <c r="S265" s="5" t="str">
        <f t="shared" si="39"/>
        <v/>
      </c>
      <c r="T265" s="5" t="str">
        <f t="shared" si="40"/>
        <v/>
      </c>
      <c r="U265" s="5" t="str">
        <f t="shared" si="41"/>
        <v/>
      </c>
      <c r="V265" s="7" t="str">
        <f t="shared" si="42"/>
        <v/>
      </c>
      <c r="W265" s="8" t="str">
        <f t="shared" si="43"/>
        <v/>
      </c>
      <c r="X265" s="2"/>
      <c r="Y265" s="10"/>
      <c r="Z265" s="11" t="str">
        <f>IF(X265&lt;&gt;"执行卖出","",IFERROR(LOOKUP(2,1/(单次交易!$A$2:$A$163=B265),单次交易!$AP$2:$AP$163),""))</f>
        <v/>
      </c>
      <c r="AA265" s="10"/>
      <c r="AB265" s="8" t="str">
        <f t="shared" si="44"/>
        <v/>
      </c>
      <c r="AC265" s="8" t="str">
        <f>IF(A265="","",IF(A265="止损计划",IF(OR(B265="",D265="",E265="",F265="",G265=""),"计划不完整",IF(OR(D265&lt;1,D265&lt;&gt;INT(D265)),"阶段序号无效",IF(COUNTIFS($A$2:$A$497,"止损计划",$B$2:$B$497,B265,$D$2:$D$497,D265)&gt;1,"阶段序号重复",IF(E265&lt;=IFERROR(LOOKUP(2,1/(单次交易!$A$2:$A$163=B265),单次交易!$E$2:$E$163),0),"激活价须高于买入价",IF(F265&lt;N265,"止损价不得低于初始止损",IF(F265&gt;E265,"止损价不得高于激活价",IF(AND(COUNTIFS($A$2:$A$497,"止损计划",$B$2:$B$497,B265,$D$2:$D$497,"&lt;"&amp;D265)&gt;0,OR(E265&lt;=SUMPRODUCT(MAX((($A$2:$A$497="止损计划")*($B$2:$B$497=B265)*($D$2:$D$497&lt;D265))*$E$2:$E$497)),F265&lt;SUMPRODUCT(MAX((($A$2:$A$497="止损计划")*($B$2:$B$497=B265)*($D$2:$D$497&lt;D265))*$F$2:$F$497)))),"阶段价格必须逐级提高","计划有效"))))))),IF(A265="每日跟踪",IF(OR(B265="",H265="",I265="",J265=""),"每日数据不完整",IF(COUNTIFS($A$2:$A$497,"每日跟踪",$B$2:$B$497,B265,$H$2:$H$497,H265)&gt;1,"同一交易日期重复",IF(AND(R265&lt;&gt;"",R265&lt;S265),"人工止损无效：不能下调","跟踪有效"))),"记录类型无效")))</f>
        <v/>
      </c>
    </row>
    <row r="266" ht="17" spans="1:29">
      <c r="A266" s="2"/>
      <c r="B266" s="2"/>
      <c r="C266" s="8" t="str">
        <f>IF(B266="","",IFERROR(LOOKUP(2,1/(单次交易!$A$2:$A$163=B266),单次交易!$B$2:$B$163),""))</f>
        <v/>
      </c>
      <c r="D266" s="12"/>
      <c r="E266" s="10"/>
      <c r="F266" s="10"/>
      <c r="G266" s="2"/>
      <c r="H266" s="15"/>
      <c r="I266" s="10"/>
      <c r="J266" s="12"/>
      <c r="K266" s="2"/>
      <c r="L266" s="2"/>
      <c r="M266" s="2"/>
      <c r="N266" s="5" t="str">
        <f>IF(B266="","",IFERROR(LOOKUP(2,1/(单次交易!$A$2:$A$163=B266),单次交易!$N$2:$N$163),""))</f>
        <v/>
      </c>
      <c r="O266" s="5" t="str">
        <f t="shared" si="36"/>
        <v/>
      </c>
      <c r="P266" s="11" t="str">
        <f t="shared" si="37"/>
        <v/>
      </c>
      <c r="Q266" s="5" t="str">
        <f t="shared" si="38"/>
        <v/>
      </c>
      <c r="R266" s="10"/>
      <c r="S266" s="5" t="str">
        <f t="shared" si="39"/>
        <v/>
      </c>
      <c r="T266" s="5" t="str">
        <f t="shared" si="40"/>
        <v/>
      </c>
      <c r="U266" s="5" t="str">
        <f t="shared" si="41"/>
        <v/>
      </c>
      <c r="V266" s="7" t="str">
        <f t="shared" si="42"/>
        <v/>
      </c>
      <c r="W266" s="8" t="str">
        <f t="shared" si="43"/>
        <v/>
      </c>
      <c r="X266" s="2"/>
      <c r="Y266" s="10"/>
      <c r="Z266" s="11" t="str">
        <f>IF(X266&lt;&gt;"执行卖出","",IFERROR(LOOKUP(2,1/(单次交易!$A$2:$A$163=B266),单次交易!$AP$2:$AP$163),""))</f>
        <v/>
      </c>
      <c r="AA266" s="10"/>
      <c r="AB266" s="8" t="str">
        <f t="shared" si="44"/>
        <v/>
      </c>
      <c r="AC266" s="8" t="str">
        <f>IF(A266="","",IF(A266="止损计划",IF(OR(B266="",D266="",E266="",F266="",G266=""),"计划不完整",IF(OR(D266&lt;1,D266&lt;&gt;INT(D266)),"阶段序号无效",IF(COUNTIFS($A$2:$A$497,"止损计划",$B$2:$B$497,B266,$D$2:$D$497,D266)&gt;1,"阶段序号重复",IF(E266&lt;=IFERROR(LOOKUP(2,1/(单次交易!$A$2:$A$163=B266),单次交易!$E$2:$E$163),0),"激活价须高于买入价",IF(F266&lt;N266,"止损价不得低于初始止损",IF(F266&gt;E266,"止损价不得高于激活价",IF(AND(COUNTIFS($A$2:$A$497,"止损计划",$B$2:$B$497,B266,$D$2:$D$497,"&lt;"&amp;D266)&gt;0,OR(E266&lt;=SUMPRODUCT(MAX((($A$2:$A$497="止损计划")*($B$2:$B$497=B266)*($D$2:$D$497&lt;D266))*$E$2:$E$497)),F266&lt;SUMPRODUCT(MAX((($A$2:$A$497="止损计划")*($B$2:$B$497=B266)*($D$2:$D$497&lt;D266))*$F$2:$F$497)))),"阶段价格必须逐级提高","计划有效"))))))),IF(A266="每日跟踪",IF(OR(B266="",H266="",I266="",J266=""),"每日数据不完整",IF(COUNTIFS($A$2:$A$497,"每日跟踪",$B$2:$B$497,B266,$H$2:$H$497,H266)&gt;1,"同一交易日期重复",IF(AND(R266&lt;&gt;"",R266&lt;S266),"人工止损无效：不能下调","跟踪有效"))),"记录类型无效")))</f>
        <v/>
      </c>
    </row>
    <row r="267" ht="17" spans="1:29">
      <c r="A267" s="2"/>
      <c r="B267" s="2"/>
      <c r="C267" s="8" t="str">
        <f>IF(B267="","",IFERROR(LOOKUP(2,1/(单次交易!$A$2:$A$163=B267),单次交易!$B$2:$B$163),""))</f>
        <v/>
      </c>
      <c r="D267" s="12"/>
      <c r="E267" s="10"/>
      <c r="F267" s="10"/>
      <c r="G267" s="2"/>
      <c r="H267" s="15"/>
      <c r="I267" s="10"/>
      <c r="J267" s="12"/>
      <c r="K267" s="2"/>
      <c r="L267" s="2"/>
      <c r="M267" s="2"/>
      <c r="N267" s="5" t="str">
        <f>IF(B267="","",IFERROR(LOOKUP(2,1/(单次交易!$A$2:$A$163=B267),单次交易!$N$2:$N$163),""))</f>
        <v/>
      </c>
      <c r="O267" s="5" t="str">
        <f t="shared" si="36"/>
        <v/>
      </c>
      <c r="P267" s="11" t="str">
        <f t="shared" si="37"/>
        <v/>
      </c>
      <c r="Q267" s="5" t="str">
        <f t="shared" si="38"/>
        <v/>
      </c>
      <c r="R267" s="10"/>
      <c r="S267" s="5" t="str">
        <f t="shared" si="39"/>
        <v/>
      </c>
      <c r="T267" s="5" t="str">
        <f t="shared" si="40"/>
        <v/>
      </c>
      <c r="U267" s="5" t="str">
        <f t="shared" si="41"/>
        <v/>
      </c>
      <c r="V267" s="7" t="str">
        <f t="shared" si="42"/>
        <v/>
      </c>
      <c r="W267" s="8" t="str">
        <f t="shared" si="43"/>
        <v/>
      </c>
      <c r="X267" s="2"/>
      <c r="Y267" s="10"/>
      <c r="Z267" s="11" t="str">
        <f>IF(X267&lt;&gt;"执行卖出","",IFERROR(LOOKUP(2,1/(单次交易!$A$2:$A$163=B267),单次交易!$AP$2:$AP$163),""))</f>
        <v/>
      </c>
      <c r="AA267" s="10"/>
      <c r="AB267" s="8" t="str">
        <f t="shared" si="44"/>
        <v/>
      </c>
      <c r="AC267" s="8" t="str">
        <f>IF(A267="","",IF(A267="止损计划",IF(OR(B267="",D267="",E267="",F267="",G267=""),"计划不完整",IF(OR(D267&lt;1,D267&lt;&gt;INT(D267)),"阶段序号无效",IF(COUNTIFS($A$2:$A$497,"止损计划",$B$2:$B$497,B267,$D$2:$D$497,D267)&gt;1,"阶段序号重复",IF(E267&lt;=IFERROR(LOOKUP(2,1/(单次交易!$A$2:$A$163=B267),单次交易!$E$2:$E$163),0),"激活价须高于买入价",IF(F267&lt;N267,"止损价不得低于初始止损",IF(F267&gt;E267,"止损价不得高于激活价",IF(AND(COUNTIFS($A$2:$A$497,"止损计划",$B$2:$B$497,B267,$D$2:$D$497,"&lt;"&amp;D267)&gt;0,OR(E267&lt;=SUMPRODUCT(MAX((($A$2:$A$497="止损计划")*($B$2:$B$497=B267)*($D$2:$D$497&lt;D267))*$E$2:$E$497)),F267&lt;SUMPRODUCT(MAX((($A$2:$A$497="止损计划")*($B$2:$B$497=B267)*($D$2:$D$497&lt;D267))*$F$2:$F$497)))),"阶段价格必须逐级提高","计划有效"))))))),IF(A267="每日跟踪",IF(OR(B267="",H267="",I267="",J267=""),"每日数据不完整",IF(COUNTIFS($A$2:$A$497,"每日跟踪",$B$2:$B$497,B267,$H$2:$H$497,H267)&gt;1,"同一交易日期重复",IF(AND(R267&lt;&gt;"",R267&lt;S267),"人工止损无效：不能下调","跟踪有效"))),"记录类型无效")))</f>
        <v/>
      </c>
    </row>
    <row r="268" ht="17" spans="1:29">
      <c r="A268" s="2"/>
      <c r="B268" s="2"/>
      <c r="C268" s="8" t="str">
        <f>IF(B268="","",IFERROR(LOOKUP(2,1/(单次交易!$A$2:$A$163=B268),单次交易!$B$2:$B$163),""))</f>
        <v/>
      </c>
      <c r="D268" s="12"/>
      <c r="E268" s="10"/>
      <c r="F268" s="10"/>
      <c r="G268" s="2"/>
      <c r="H268" s="15"/>
      <c r="I268" s="10"/>
      <c r="J268" s="12"/>
      <c r="K268" s="2"/>
      <c r="L268" s="2"/>
      <c r="M268" s="2"/>
      <c r="N268" s="5" t="str">
        <f>IF(B268="","",IFERROR(LOOKUP(2,1/(单次交易!$A$2:$A$163=B268),单次交易!$N$2:$N$163),""))</f>
        <v/>
      </c>
      <c r="O268" s="5" t="str">
        <f t="shared" si="36"/>
        <v/>
      </c>
      <c r="P268" s="11" t="str">
        <f t="shared" si="37"/>
        <v/>
      </c>
      <c r="Q268" s="5" t="str">
        <f t="shared" si="38"/>
        <v/>
      </c>
      <c r="R268" s="10"/>
      <c r="S268" s="5" t="str">
        <f t="shared" si="39"/>
        <v/>
      </c>
      <c r="T268" s="5" t="str">
        <f t="shared" si="40"/>
        <v/>
      </c>
      <c r="U268" s="5" t="str">
        <f t="shared" si="41"/>
        <v/>
      </c>
      <c r="V268" s="7" t="str">
        <f t="shared" si="42"/>
        <v/>
      </c>
      <c r="W268" s="8" t="str">
        <f t="shared" si="43"/>
        <v/>
      </c>
      <c r="X268" s="2"/>
      <c r="Y268" s="10"/>
      <c r="Z268" s="11" t="str">
        <f>IF(X268&lt;&gt;"执行卖出","",IFERROR(LOOKUP(2,1/(单次交易!$A$2:$A$163=B268),单次交易!$AP$2:$AP$163),""))</f>
        <v/>
      </c>
      <c r="AA268" s="10"/>
      <c r="AB268" s="8" t="str">
        <f t="shared" si="44"/>
        <v/>
      </c>
      <c r="AC268" s="8" t="str">
        <f>IF(A268="","",IF(A268="止损计划",IF(OR(B268="",D268="",E268="",F268="",G268=""),"计划不完整",IF(OR(D268&lt;1,D268&lt;&gt;INT(D268)),"阶段序号无效",IF(COUNTIFS($A$2:$A$497,"止损计划",$B$2:$B$497,B268,$D$2:$D$497,D268)&gt;1,"阶段序号重复",IF(E268&lt;=IFERROR(LOOKUP(2,1/(单次交易!$A$2:$A$163=B268),单次交易!$E$2:$E$163),0),"激活价须高于买入价",IF(F268&lt;N268,"止损价不得低于初始止损",IF(F268&gt;E268,"止损价不得高于激活价",IF(AND(COUNTIFS($A$2:$A$497,"止损计划",$B$2:$B$497,B268,$D$2:$D$497,"&lt;"&amp;D268)&gt;0,OR(E268&lt;=SUMPRODUCT(MAX((($A$2:$A$497="止损计划")*($B$2:$B$497=B268)*($D$2:$D$497&lt;D268))*$E$2:$E$497)),F268&lt;SUMPRODUCT(MAX((($A$2:$A$497="止损计划")*($B$2:$B$497=B268)*($D$2:$D$497&lt;D268))*$F$2:$F$497)))),"阶段价格必须逐级提高","计划有效"))))))),IF(A268="每日跟踪",IF(OR(B268="",H268="",I268="",J268=""),"每日数据不完整",IF(COUNTIFS($A$2:$A$497,"每日跟踪",$B$2:$B$497,B268,$H$2:$H$497,H268)&gt;1,"同一交易日期重复",IF(AND(R268&lt;&gt;"",R268&lt;S268),"人工止损无效：不能下调","跟踪有效"))),"记录类型无效")))</f>
        <v/>
      </c>
    </row>
    <row r="269" ht="17" spans="1:29">
      <c r="A269" s="2"/>
      <c r="B269" s="2"/>
      <c r="C269" s="8" t="str">
        <f>IF(B269="","",IFERROR(LOOKUP(2,1/(单次交易!$A$2:$A$163=B269),单次交易!$B$2:$B$163),""))</f>
        <v/>
      </c>
      <c r="D269" s="12"/>
      <c r="E269" s="10"/>
      <c r="F269" s="10"/>
      <c r="G269" s="2"/>
      <c r="H269" s="15"/>
      <c r="I269" s="10"/>
      <c r="J269" s="12"/>
      <c r="K269" s="2"/>
      <c r="L269" s="2"/>
      <c r="M269" s="2"/>
      <c r="N269" s="5" t="str">
        <f>IF(B269="","",IFERROR(LOOKUP(2,1/(单次交易!$A$2:$A$163=B269),单次交易!$N$2:$N$163),""))</f>
        <v/>
      </c>
      <c r="O269" s="5" t="str">
        <f t="shared" si="36"/>
        <v/>
      </c>
      <c r="P269" s="11" t="str">
        <f t="shared" si="37"/>
        <v/>
      </c>
      <c r="Q269" s="5" t="str">
        <f t="shared" si="38"/>
        <v/>
      </c>
      <c r="R269" s="10"/>
      <c r="S269" s="5" t="str">
        <f t="shared" si="39"/>
        <v/>
      </c>
      <c r="T269" s="5" t="str">
        <f t="shared" si="40"/>
        <v/>
      </c>
      <c r="U269" s="5" t="str">
        <f t="shared" si="41"/>
        <v/>
      </c>
      <c r="V269" s="7" t="str">
        <f t="shared" si="42"/>
        <v/>
      </c>
      <c r="W269" s="8" t="str">
        <f t="shared" si="43"/>
        <v/>
      </c>
      <c r="X269" s="2"/>
      <c r="Y269" s="10"/>
      <c r="Z269" s="11" t="str">
        <f>IF(X269&lt;&gt;"执行卖出","",IFERROR(LOOKUP(2,1/(单次交易!$A$2:$A$163=B269),单次交易!$AP$2:$AP$163),""))</f>
        <v/>
      </c>
      <c r="AA269" s="10"/>
      <c r="AB269" s="8" t="str">
        <f t="shared" si="44"/>
        <v/>
      </c>
      <c r="AC269" s="8" t="str">
        <f>IF(A269="","",IF(A269="止损计划",IF(OR(B269="",D269="",E269="",F269="",G269=""),"计划不完整",IF(OR(D269&lt;1,D269&lt;&gt;INT(D269)),"阶段序号无效",IF(COUNTIFS($A$2:$A$497,"止损计划",$B$2:$B$497,B269,$D$2:$D$497,D269)&gt;1,"阶段序号重复",IF(E269&lt;=IFERROR(LOOKUP(2,1/(单次交易!$A$2:$A$163=B269),单次交易!$E$2:$E$163),0),"激活价须高于买入价",IF(F269&lt;N269,"止损价不得低于初始止损",IF(F269&gt;E269,"止损价不得高于激活价",IF(AND(COUNTIFS($A$2:$A$497,"止损计划",$B$2:$B$497,B269,$D$2:$D$497,"&lt;"&amp;D269)&gt;0,OR(E269&lt;=SUMPRODUCT(MAX((($A$2:$A$497="止损计划")*($B$2:$B$497=B269)*($D$2:$D$497&lt;D269))*$E$2:$E$497)),F269&lt;SUMPRODUCT(MAX((($A$2:$A$497="止损计划")*($B$2:$B$497=B269)*($D$2:$D$497&lt;D269))*$F$2:$F$497)))),"阶段价格必须逐级提高","计划有效"))))))),IF(A269="每日跟踪",IF(OR(B269="",H269="",I269="",J269=""),"每日数据不完整",IF(COUNTIFS($A$2:$A$497,"每日跟踪",$B$2:$B$497,B269,$H$2:$H$497,H269)&gt;1,"同一交易日期重复",IF(AND(R269&lt;&gt;"",R269&lt;S269),"人工止损无效：不能下调","跟踪有效"))),"记录类型无效")))</f>
        <v/>
      </c>
    </row>
    <row r="270" ht="17" spans="1:29">
      <c r="A270" s="2"/>
      <c r="B270" s="2"/>
      <c r="C270" s="8" t="str">
        <f>IF(B270="","",IFERROR(LOOKUP(2,1/(单次交易!$A$2:$A$163=B270),单次交易!$B$2:$B$163),""))</f>
        <v/>
      </c>
      <c r="D270" s="12"/>
      <c r="E270" s="10"/>
      <c r="F270" s="10"/>
      <c r="G270" s="2"/>
      <c r="H270" s="15"/>
      <c r="I270" s="10"/>
      <c r="J270" s="12"/>
      <c r="K270" s="2"/>
      <c r="L270" s="2"/>
      <c r="M270" s="2"/>
      <c r="N270" s="5" t="str">
        <f>IF(B270="","",IFERROR(LOOKUP(2,1/(单次交易!$A$2:$A$163=B270),单次交易!$N$2:$N$163),""))</f>
        <v/>
      </c>
      <c r="O270" s="5" t="str">
        <f t="shared" si="36"/>
        <v/>
      </c>
      <c r="P270" s="11" t="str">
        <f t="shared" si="37"/>
        <v/>
      </c>
      <c r="Q270" s="5" t="str">
        <f t="shared" si="38"/>
        <v/>
      </c>
      <c r="R270" s="10"/>
      <c r="S270" s="5" t="str">
        <f t="shared" si="39"/>
        <v/>
      </c>
      <c r="T270" s="5" t="str">
        <f t="shared" si="40"/>
        <v/>
      </c>
      <c r="U270" s="5" t="str">
        <f t="shared" si="41"/>
        <v/>
      </c>
      <c r="V270" s="7" t="str">
        <f t="shared" si="42"/>
        <v/>
      </c>
      <c r="W270" s="8" t="str">
        <f t="shared" si="43"/>
        <v/>
      </c>
      <c r="X270" s="2"/>
      <c r="Y270" s="10"/>
      <c r="Z270" s="11" t="str">
        <f>IF(X270&lt;&gt;"执行卖出","",IFERROR(LOOKUP(2,1/(单次交易!$A$2:$A$163=B270),单次交易!$AP$2:$AP$163),""))</f>
        <v/>
      </c>
      <c r="AA270" s="10"/>
      <c r="AB270" s="8" t="str">
        <f t="shared" si="44"/>
        <v/>
      </c>
      <c r="AC270" s="8" t="str">
        <f>IF(A270="","",IF(A270="止损计划",IF(OR(B270="",D270="",E270="",F270="",G270=""),"计划不完整",IF(OR(D270&lt;1,D270&lt;&gt;INT(D270)),"阶段序号无效",IF(COUNTIFS($A$2:$A$497,"止损计划",$B$2:$B$497,B270,$D$2:$D$497,D270)&gt;1,"阶段序号重复",IF(E270&lt;=IFERROR(LOOKUP(2,1/(单次交易!$A$2:$A$163=B270),单次交易!$E$2:$E$163),0),"激活价须高于买入价",IF(F270&lt;N270,"止损价不得低于初始止损",IF(F270&gt;E270,"止损价不得高于激活价",IF(AND(COUNTIFS($A$2:$A$497,"止损计划",$B$2:$B$497,B270,$D$2:$D$497,"&lt;"&amp;D270)&gt;0,OR(E270&lt;=SUMPRODUCT(MAX((($A$2:$A$497="止损计划")*($B$2:$B$497=B270)*($D$2:$D$497&lt;D270))*$E$2:$E$497)),F270&lt;SUMPRODUCT(MAX((($A$2:$A$497="止损计划")*($B$2:$B$497=B270)*($D$2:$D$497&lt;D270))*$F$2:$F$497)))),"阶段价格必须逐级提高","计划有效"))))))),IF(A270="每日跟踪",IF(OR(B270="",H270="",I270="",J270=""),"每日数据不完整",IF(COUNTIFS($A$2:$A$497,"每日跟踪",$B$2:$B$497,B270,$H$2:$H$497,H270)&gt;1,"同一交易日期重复",IF(AND(R270&lt;&gt;"",R270&lt;S270),"人工止损无效：不能下调","跟踪有效"))),"记录类型无效")))</f>
        <v/>
      </c>
    </row>
    <row r="271" ht="17" spans="1:29">
      <c r="A271" s="2"/>
      <c r="B271" s="2"/>
      <c r="C271" s="8" t="str">
        <f>IF(B271="","",IFERROR(LOOKUP(2,1/(单次交易!$A$2:$A$163=B271),单次交易!$B$2:$B$163),""))</f>
        <v/>
      </c>
      <c r="D271" s="12"/>
      <c r="E271" s="10"/>
      <c r="F271" s="10"/>
      <c r="G271" s="2"/>
      <c r="H271" s="15"/>
      <c r="I271" s="10"/>
      <c r="J271" s="12"/>
      <c r="K271" s="2"/>
      <c r="L271" s="2"/>
      <c r="M271" s="2"/>
      <c r="N271" s="5" t="str">
        <f>IF(B271="","",IFERROR(LOOKUP(2,1/(单次交易!$A$2:$A$163=B271),单次交易!$N$2:$N$163),""))</f>
        <v/>
      </c>
      <c r="O271" s="5" t="str">
        <f t="shared" si="36"/>
        <v/>
      </c>
      <c r="P271" s="11" t="str">
        <f t="shared" si="37"/>
        <v/>
      </c>
      <c r="Q271" s="5" t="str">
        <f t="shared" si="38"/>
        <v/>
      </c>
      <c r="R271" s="10"/>
      <c r="S271" s="5" t="str">
        <f t="shared" si="39"/>
        <v/>
      </c>
      <c r="T271" s="5" t="str">
        <f t="shared" si="40"/>
        <v/>
      </c>
      <c r="U271" s="5" t="str">
        <f t="shared" si="41"/>
        <v/>
      </c>
      <c r="V271" s="7" t="str">
        <f t="shared" si="42"/>
        <v/>
      </c>
      <c r="W271" s="8" t="str">
        <f t="shared" si="43"/>
        <v/>
      </c>
      <c r="X271" s="2"/>
      <c r="Y271" s="10"/>
      <c r="Z271" s="11" t="str">
        <f>IF(X271&lt;&gt;"执行卖出","",IFERROR(LOOKUP(2,1/(单次交易!$A$2:$A$163=B271),单次交易!$AP$2:$AP$163),""))</f>
        <v/>
      </c>
      <c r="AA271" s="10"/>
      <c r="AB271" s="8" t="str">
        <f t="shared" si="44"/>
        <v/>
      </c>
      <c r="AC271" s="8" t="str">
        <f>IF(A271="","",IF(A271="止损计划",IF(OR(B271="",D271="",E271="",F271="",G271=""),"计划不完整",IF(OR(D271&lt;1,D271&lt;&gt;INT(D271)),"阶段序号无效",IF(COUNTIFS($A$2:$A$497,"止损计划",$B$2:$B$497,B271,$D$2:$D$497,D271)&gt;1,"阶段序号重复",IF(E271&lt;=IFERROR(LOOKUP(2,1/(单次交易!$A$2:$A$163=B271),单次交易!$E$2:$E$163),0),"激活价须高于买入价",IF(F271&lt;N271,"止损价不得低于初始止损",IF(F271&gt;E271,"止损价不得高于激活价",IF(AND(COUNTIFS($A$2:$A$497,"止损计划",$B$2:$B$497,B271,$D$2:$D$497,"&lt;"&amp;D271)&gt;0,OR(E271&lt;=SUMPRODUCT(MAX((($A$2:$A$497="止损计划")*($B$2:$B$497=B271)*($D$2:$D$497&lt;D271))*$E$2:$E$497)),F271&lt;SUMPRODUCT(MAX((($A$2:$A$497="止损计划")*($B$2:$B$497=B271)*($D$2:$D$497&lt;D271))*$F$2:$F$497)))),"阶段价格必须逐级提高","计划有效"))))))),IF(A271="每日跟踪",IF(OR(B271="",H271="",I271="",J271=""),"每日数据不完整",IF(COUNTIFS($A$2:$A$497,"每日跟踪",$B$2:$B$497,B271,$H$2:$H$497,H271)&gt;1,"同一交易日期重复",IF(AND(R271&lt;&gt;"",R271&lt;S271),"人工止损无效：不能下调","跟踪有效"))),"记录类型无效")))</f>
        <v/>
      </c>
    </row>
    <row r="272" ht="17" spans="1:29">
      <c r="A272" s="2"/>
      <c r="B272" s="2"/>
      <c r="C272" s="8" t="str">
        <f>IF(B272="","",IFERROR(LOOKUP(2,1/(单次交易!$A$2:$A$163=B272),单次交易!$B$2:$B$163),""))</f>
        <v/>
      </c>
      <c r="D272" s="12"/>
      <c r="E272" s="10"/>
      <c r="F272" s="10"/>
      <c r="G272" s="2"/>
      <c r="H272" s="15"/>
      <c r="I272" s="10"/>
      <c r="J272" s="12"/>
      <c r="K272" s="2"/>
      <c r="L272" s="2"/>
      <c r="M272" s="2"/>
      <c r="N272" s="5" t="str">
        <f>IF(B272="","",IFERROR(LOOKUP(2,1/(单次交易!$A$2:$A$163=B272),单次交易!$N$2:$N$163),""))</f>
        <v/>
      </c>
      <c r="O272" s="5" t="str">
        <f t="shared" si="36"/>
        <v/>
      </c>
      <c r="P272" s="11" t="str">
        <f t="shared" si="37"/>
        <v/>
      </c>
      <c r="Q272" s="5" t="str">
        <f t="shared" si="38"/>
        <v/>
      </c>
      <c r="R272" s="10"/>
      <c r="S272" s="5" t="str">
        <f t="shared" si="39"/>
        <v/>
      </c>
      <c r="T272" s="5" t="str">
        <f t="shared" si="40"/>
        <v/>
      </c>
      <c r="U272" s="5" t="str">
        <f t="shared" si="41"/>
        <v/>
      </c>
      <c r="V272" s="7" t="str">
        <f t="shared" si="42"/>
        <v/>
      </c>
      <c r="W272" s="8" t="str">
        <f t="shared" si="43"/>
        <v/>
      </c>
      <c r="X272" s="2"/>
      <c r="Y272" s="10"/>
      <c r="Z272" s="11" t="str">
        <f>IF(X272&lt;&gt;"执行卖出","",IFERROR(LOOKUP(2,1/(单次交易!$A$2:$A$163=B272),单次交易!$AP$2:$AP$163),""))</f>
        <v/>
      </c>
      <c r="AA272" s="10"/>
      <c r="AB272" s="8" t="str">
        <f t="shared" si="44"/>
        <v/>
      </c>
      <c r="AC272" s="8" t="str">
        <f>IF(A272="","",IF(A272="止损计划",IF(OR(B272="",D272="",E272="",F272="",G272=""),"计划不完整",IF(OR(D272&lt;1,D272&lt;&gt;INT(D272)),"阶段序号无效",IF(COUNTIFS($A$2:$A$497,"止损计划",$B$2:$B$497,B272,$D$2:$D$497,D272)&gt;1,"阶段序号重复",IF(E272&lt;=IFERROR(LOOKUP(2,1/(单次交易!$A$2:$A$163=B272),单次交易!$E$2:$E$163),0),"激活价须高于买入价",IF(F272&lt;N272,"止损价不得低于初始止损",IF(F272&gt;E272,"止损价不得高于激活价",IF(AND(COUNTIFS($A$2:$A$497,"止损计划",$B$2:$B$497,B272,$D$2:$D$497,"&lt;"&amp;D272)&gt;0,OR(E272&lt;=SUMPRODUCT(MAX((($A$2:$A$497="止损计划")*($B$2:$B$497=B272)*($D$2:$D$497&lt;D272))*$E$2:$E$497)),F272&lt;SUMPRODUCT(MAX((($A$2:$A$497="止损计划")*($B$2:$B$497=B272)*($D$2:$D$497&lt;D272))*$F$2:$F$497)))),"阶段价格必须逐级提高","计划有效"))))))),IF(A272="每日跟踪",IF(OR(B272="",H272="",I272="",J272=""),"每日数据不完整",IF(COUNTIFS($A$2:$A$497,"每日跟踪",$B$2:$B$497,B272,$H$2:$H$497,H272)&gt;1,"同一交易日期重复",IF(AND(R272&lt;&gt;"",R272&lt;S272),"人工止损无效：不能下调","跟踪有效"))),"记录类型无效")))</f>
        <v/>
      </c>
    </row>
    <row r="273" ht="17" spans="1:29">
      <c r="A273" s="2"/>
      <c r="B273" s="2"/>
      <c r="C273" s="8" t="str">
        <f>IF(B273="","",IFERROR(LOOKUP(2,1/(单次交易!$A$2:$A$163=B273),单次交易!$B$2:$B$163),""))</f>
        <v/>
      </c>
      <c r="D273" s="12"/>
      <c r="E273" s="10"/>
      <c r="F273" s="10"/>
      <c r="G273" s="2"/>
      <c r="H273" s="15"/>
      <c r="I273" s="10"/>
      <c r="J273" s="12"/>
      <c r="K273" s="2"/>
      <c r="L273" s="2"/>
      <c r="M273" s="2"/>
      <c r="N273" s="5" t="str">
        <f>IF(B273="","",IFERROR(LOOKUP(2,1/(单次交易!$A$2:$A$163=B273),单次交易!$N$2:$N$163),""))</f>
        <v/>
      </c>
      <c r="O273" s="5" t="str">
        <f t="shared" si="36"/>
        <v/>
      </c>
      <c r="P273" s="11" t="str">
        <f t="shared" si="37"/>
        <v/>
      </c>
      <c r="Q273" s="5" t="str">
        <f t="shared" si="38"/>
        <v/>
      </c>
      <c r="R273" s="10"/>
      <c r="S273" s="5" t="str">
        <f t="shared" si="39"/>
        <v/>
      </c>
      <c r="T273" s="5" t="str">
        <f t="shared" si="40"/>
        <v/>
      </c>
      <c r="U273" s="5" t="str">
        <f t="shared" si="41"/>
        <v/>
      </c>
      <c r="V273" s="7" t="str">
        <f t="shared" si="42"/>
        <v/>
      </c>
      <c r="W273" s="8" t="str">
        <f t="shared" si="43"/>
        <v/>
      </c>
      <c r="X273" s="2"/>
      <c r="Y273" s="10"/>
      <c r="Z273" s="11" t="str">
        <f>IF(X273&lt;&gt;"执行卖出","",IFERROR(LOOKUP(2,1/(单次交易!$A$2:$A$163=B273),单次交易!$AP$2:$AP$163),""))</f>
        <v/>
      </c>
      <c r="AA273" s="10"/>
      <c r="AB273" s="8" t="str">
        <f t="shared" si="44"/>
        <v/>
      </c>
      <c r="AC273" s="8" t="str">
        <f>IF(A273="","",IF(A273="止损计划",IF(OR(B273="",D273="",E273="",F273="",G273=""),"计划不完整",IF(OR(D273&lt;1,D273&lt;&gt;INT(D273)),"阶段序号无效",IF(COUNTIFS($A$2:$A$497,"止损计划",$B$2:$B$497,B273,$D$2:$D$497,D273)&gt;1,"阶段序号重复",IF(E273&lt;=IFERROR(LOOKUP(2,1/(单次交易!$A$2:$A$163=B273),单次交易!$E$2:$E$163),0),"激活价须高于买入价",IF(F273&lt;N273,"止损价不得低于初始止损",IF(F273&gt;E273,"止损价不得高于激活价",IF(AND(COUNTIFS($A$2:$A$497,"止损计划",$B$2:$B$497,B273,$D$2:$D$497,"&lt;"&amp;D273)&gt;0,OR(E273&lt;=SUMPRODUCT(MAX((($A$2:$A$497="止损计划")*($B$2:$B$497=B273)*($D$2:$D$497&lt;D273))*$E$2:$E$497)),F273&lt;SUMPRODUCT(MAX((($A$2:$A$497="止损计划")*($B$2:$B$497=B273)*($D$2:$D$497&lt;D273))*$F$2:$F$497)))),"阶段价格必须逐级提高","计划有效"))))))),IF(A273="每日跟踪",IF(OR(B273="",H273="",I273="",J273=""),"每日数据不完整",IF(COUNTIFS($A$2:$A$497,"每日跟踪",$B$2:$B$497,B273,$H$2:$H$497,H273)&gt;1,"同一交易日期重复",IF(AND(R273&lt;&gt;"",R273&lt;S273),"人工止损无效：不能下调","跟踪有效"))),"记录类型无效")))</f>
        <v/>
      </c>
    </row>
    <row r="274" ht="17" spans="1:29">
      <c r="A274" s="2"/>
      <c r="B274" s="2"/>
      <c r="C274" s="8" t="str">
        <f>IF(B274="","",IFERROR(LOOKUP(2,1/(单次交易!$A$2:$A$163=B274),单次交易!$B$2:$B$163),""))</f>
        <v/>
      </c>
      <c r="D274" s="12"/>
      <c r="E274" s="10"/>
      <c r="F274" s="10"/>
      <c r="G274" s="2"/>
      <c r="H274" s="15"/>
      <c r="I274" s="10"/>
      <c r="J274" s="12"/>
      <c r="K274" s="2"/>
      <c r="L274" s="2"/>
      <c r="M274" s="2"/>
      <c r="N274" s="5" t="str">
        <f>IF(B274="","",IFERROR(LOOKUP(2,1/(单次交易!$A$2:$A$163=B274),单次交易!$N$2:$N$163),""))</f>
        <v/>
      </c>
      <c r="O274" s="5" t="str">
        <f t="shared" si="36"/>
        <v/>
      </c>
      <c r="P274" s="11" t="str">
        <f t="shared" si="37"/>
        <v/>
      </c>
      <c r="Q274" s="5" t="str">
        <f t="shared" si="38"/>
        <v/>
      </c>
      <c r="R274" s="10"/>
      <c r="S274" s="5" t="str">
        <f t="shared" si="39"/>
        <v/>
      </c>
      <c r="T274" s="5" t="str">
        <f t="shared" si="40"/>
        <v/>
      </c>
      <c r="U274" s="5" t="str">
        <f t="shared" si="41"/>
        <v/>
      </c>
      <c r="V274" s="7" t="str">
        <f t="shared" si="42"/>
        <v/>
      </c>
      <c r="W274" s="8" t="str">
        <f t="shared" si="43"/>
        <v/>
      </c>
      <c r="X274" s="2"/>
      <c r="Y274" s="10"/>
      <c r="Z274" s="11" t="str">
        <f>IF(X274&lt;&gt;"执行卖出","",IFERROR(LOOKUP(2,1/(单次交易!$A$2:$A$163=B274),单次交易!$AP$2:$AP$163),""))</f>
        <v/>
      </c>
      <c r="AA274" s="10"/>
      <c r="AB274" s="8" t="str">
        <f t="shared" si="44"/>
        <v/>
      </c>
      <c r="AC274" s="8" t="str">
        <f>IF(A274="","",IF(A274="止损计划",IF(OR(B274="",D274="",E274="",F274="",G274=""),"计划不完整",IF(OR(D274&lt;1,D274&lt;&gt;INT(D274)),"阶段序号无效",IF(COUNTIFS($A$2:$A$497,"止损计划",$B$2:$B$497,B274,$D$2:$D$497,D274)&gt;1,"阶段序号重复",IF(E274&lt;=IFERROR(LOOKUP(2,1/(单次交易!$A$2:$A$163=B274),单次交易!$E$2:$E$163),0),"激活价须高于买入价",IF(F274&lt;N274,"止损价不得低于初始止损",IF(F274&gt;E274,"止损价不得高于激活价",IF(AND(COUNTIFS($A$2:$A$497,"止损计划",$B$2:$B$497,B274,$D$2:$D$497,"&lt;"&amp;D274)&gt;0,OR(E274&lt;=SUMPRODUCT(MAX((($A$2:$A$497="止损计划")*($B$2:$B$497=B274)*($D$2:$D$497&lt;D274))*$E$2:$E$497)),F274&lt;SUMPRODUCT(MAX((($A$2:$A$497="止损计划")*($B$2:$B$497=B274)*($D$2:$D$497&lt;D274))*$F$2:$F$497)))),"阶段价格必须逐级提高","计划有效"))))))),IF(A274="每日跟踪",IF(OR(B274="",H274="",I274="",J274=""),"每日数据不完整",IF(COUNTIFS($A$2:$A$497,"每日跟踪",$B$2:$B$497,B274,$H$2:$H$497,H274)&gt;1,"同一交易日期重复",IF(AND(R274&lt;&gt;"",R274&lt;S274),"人工止损无效：不能下调","跟踪有效"))),"记录类型无效")))</f>
        <v/>
      </c>
    </row>
    <row r="275" ht="17" spans="1:29">
      <c r="A275" s="2"/>
      <c r="B275" s="2"/>
      <c r="C275" s="8" t="str">
        <f>IF(B275="","",IFERROR(LOOKUP(2,1/(单次交易!$A$2:$A$163=B275),单次交易!$B$2:$B$163),""))</f>
        <v/>
      </c>
      <c r="D275" s="12"/>
      <c r="E275" s="10"/>
      <c r="F275" s="10"/>
      <c r="G275" s="2"/>
      <c r="H275" s="15"/>
      <c r="I275" s="10"/>
      <c r="J275" s="12"/>
      <c r="K275" s="2"/>
      <c r="L275" s="2"/>
      <c r="M275" s="2"/>
      <c r="N275" s="5" t="str">
        <f>IF(B275="","",IFERROR(LOOKUP(2,1/(单次交易!$A$2:$A$163=B275),单次交易!$N$2:$N$163),""))</f>
        <v/>
      </c>
      <c r="O275" s="5" t="str">
        <f t="shared" si="36"/>
        <v/>
      </c>
      <c r="P275" s="11" t="str">
        <f t="shared" si="37"/>
        <v/>
      </c>
      <c r="Q275" s="5" t="str">
        <f t="shared" si="38"/>
        <v/>
      </c>
      <c r="R275" s="10"/>
      <c r="S275" s="5" t="str">
        <f t="shared" si="39"/>
        <v/>
      </c>
      <c r="T275" s="5" t="str">
        <f t="shared" si="40"/>
        <v/>
      </c>
      <c r="U275" s="5" t="str">
        <f t="shared" si="41"/>
        <v/>
      </c>
      <c r="V275" s="7" t="str">
        <f t="shared" si="42"/>
        <v/>
      </c>
      <c r="W275" s="8" t="str">
        <f t="shared" si="43"/>
        <v/>
      </c>
      <c r="X275" s="2"/>
      <c r="Y275" s="10"/>
      <c r="Z275" s="11" t="str">
        <f>IF(X275&lt;&gt;"执行卖出","",IFERROR(LOOKUP(2,1/(单次交易!$A$2:$A$163=B275),单次交易!$AP$2:$AP$163),""))</f>
        <v/>
      </c>
      <c r="AA275" s="10"/>
      <c r="AB275" s="8" t="str">
        <f t="shared" si="44"/>
        <v/>
      </c>
      <c r="AC275" s="8" t="str">
        <f>IF(A275="","",IF(A275="止损计划",IF(OR(B275="",D275="",E275="",F275="",G275=""),"计划不完整",IF(OR(D275&lt;1,D275&lt;&gt;INT(D275)),"阶段序号无效",IF(COUNTIFS($A$2:$A$497,"止损计划",$B$2:$B$497,B275,$D$2:$D$497,D275)&gt;1,"阶段序号重复",IF(E275&lt;=IFERROR(LOOKUP(2,1/(单次交易!$A$2:$A$163=B275),单次交易!$E$2:$E$163),0),"激活价须高于买入价",IF(F275&lt;N275,"止损价不得低于初始止损",IF(F275&gt;E275,"止损价不得高于激活价",IF(AND(COUNTIFS($A$2:$A$497,"止损计划",$B$2:$B$497,B275,$D$2:$D$497,"&lt;"&amp;D275)&gt;0,OR(E275&lt;=SUMPRODUCT(MAX((($A$2:$A$497="止损计划")*($B$2:$B$497=B275)*($D$2:$D$497&lt;D275))*$E$2:$E$497)),F275&lt;SUMPRODUCT(MAX((($A$2:$A$497="止损计划")*($B$2:$B$497=B275)*($D$2:$D$497&lt;D275))*$F$2:$F$497)))),"阶段价格必须逐级提高","计划有效"))))))),IF(A275="每日跟踪",IF(OR(B275="",H275="",I275="",J275=""),"每日数据不完整",IF(COUNTIFS($A$2:$A$497,"每日跟踪",$B$2:$B$497,B275,$H$2:$H$497,H275)&gt;1,"同一交易日期重复",IF(AND(R275&lt;&gt;"",R275&lt;S275),"人工止损无效：不能下调","跟踪有效"))),"记录类型无效")))</f>
        <v/>
      </c>
    </row>
    <row r="276" ht="17" spans="1:29">
      <c r="A276" s="2"/>
      <c r="B276" s="2"/>
      <c r="C276" s="8" t="str">
        <f>IF(B276="","",IFERROR(LOOKUP(2,1/(单次交易!$A$2:$A$163=B276),单次交易!$B$2:$B$163),""))</f>
        <v/>
      </c>
      <c r="D276" s="12"/>
      <c r="E276" s="10"/>
      <c r="F276" s="10"/>
      <c r="G276" s="2"/>
      <c r="H276" s="15"/>
      <c r="I276" s="10"/>
      <c r="J276" s="12"/>
      <c r="K276" s="2"/>
      <c r="L276" s="2"/>
      <c r="M276" s="2"/>
      <c r="N276" s="5" t="str">
        <f>IF(B276="","",IFERROR(LOOKUP(2,1/(单次交易!$A$2:$A$163=B276),单次交易!$N$2:$N$163),""))</f>
        <v/>
      </c>
      <c r="O276" s="5" t="str">
        <f t="shared" si="36"/>
        <v/>
      </c>
      <c r="P276" s="11" t="str">
        <f t="shared" si="37"/>
        <v/>
      </c>
      <c r="Q276" s="5" t="str">
        <f t="shared" si="38"/>
        <v/>
      </c>
      <c r="R276" s="10"/>
      <c r="S276" s="5" t="str">
        <f t="shared" si="39"/>
        <v/>
      </c>
      <c r="T276" s="5" t="str">
        <f t="shared" si="40"/>
        <v/>
      </c>
      <c r="U276" s="5" t="str">
        <f t="shared" si="41"/>
        <v/>
      </c>
      <c r="V276" s="7" t="str">
        <f t="shared" si="42"/>
        <v/>
      </c>
      <c r="W276" s="8" t="str">
        <f t="shared" si="43"/>
        <v/>
      </c>
      <c r="X276" s="2"/>
      <c r="Y276" s="10"/>
      <c r="Z276" s="11" t="str">
        <f>IF(X276&lt;&gt;"执行卖出","",IFERROR(LOOKUP(2,1/(单次交易!$A$2:$A$163=B276),单次交易!$AP$2:$AP$163),""))</f>
        <v/>
      </c>
      <c r="AA276" s="10"/>
      <c r="AB276" s="8" t="str">
        <f t="shared" si="44"/>
        <v/>
      </c>
      <c r="AC276" s="8" t="str">
        <f>IF(A276="","",IF(A276="止损计划",IF(OR(B276="",D276="",E276="",F276="",G276=""),"计划不完整",IF(OR(D276&lt;1,D276&lt;&gt;INT(D276)),"阶段序号无效",IF(COUNTIFS($A$2:$A$497,"止损计划",$B$2:$B$497,B276,$D$2:$D$497,D276)&gt;1,"阶段序号重复",IF(E276&lt;=IFERROR(LOOKUP(2,1/(单次交易!$A$2:$A$163=B276),单次交易!$E$2:$E$163),0),"激活价须高于买入价",IF(F276&lt;N276,"止损价不得低于初始止损",IF(F276&gt;E276,"止损价不得高于激活价",IF(AND(COUNTIFS($A$2:$A$497,"止损计划",$B$2:$B$497,B276,$D$2:$D$497,"&lt;"&amp;D276)&gt;0,OR(E276&lt;=SUMPRODUCT(MAX((($A$2:$A$497="止损计划")*($B$2:$B$497=B276)*($D$2:$D$497&lt;D276))*$E$2:$E$497)),F276&lt;SUMPRODUCT(MAX((($A$2:$A$497="止损计划")*($B$2:$B$497=B276)*($D$2:$D$497&lt;D276))*$F$2:$F$497)))),"阶段价格必须逐级提高","计划有效"))))))),IF(A276="每日跟踪",IF(OR(B276="",H276="",I276="",J276=""),"每日数据不完整",IF(COUNTIFS($A$2:$A$497,"每日跟踪",$B$2:$B$497,B276,$H$2:$H$497,H276)&gt;1,"同一交易日期重复",IF(AND(R276&lt;&gt;"",R276&lt;S276),"人工止损无效：不能下调","跟踪有效"))),"记录类型无效")))</f>
        <v/>
      </c>
    </row>
    <row r="277" ht="17" spans="1:29">
      <c r="A277" s="2"/>
      <c r="B277" s="2"/>
      <c r="C277" s="8" t="str">
        <f>IF(B277="","",IFERROR(LOOKUP(2,1/(单次交易!$A$2:$A$163=B277),单次交易!$B$2:$B$163),""))</f>
        <v/>
      </c>
      <c r="D277" s="12"/>
      <c r="E277" s="10"/>
      <c r="F277" s="10"/>
      <c r="G277" s="2"/>
      <c r="H277" s="15"/>
      <c r="I277" s="10"/>
      <c r="J277" s="12"/>
      <c r="K277" s="2"/>
      <c r="L277" s="2"/>
      <c r="M277" s="2"/>
      <c r="N277" s="5" t="str">
        <f>IF(B277="","",IFERROR(LOOKUP(2,1/(单次交易!$A$2:$A$163=B277),单次交易!$N$2:$N$163),""))</f>
        <v/>
      </c>
      <c r="O277" s="5" t="str">
        <f t="shared" si="36"/>
        <v/>
      </c>
      <c r="P277" s="11" t="str">
        <f t="shared" si="37"/>
        <v/>
      </c>
      <c r="Q277" s="5" t="str">
        <f t="shared" si="38"/>
        <v/>
      </c>
      <c r="R277" s="10"/>
      <c r="S277" s="5" t="str">
        <f t="shared" si="39"/>
        <v/>
      </c>
      <c r="T277" s="5" t="str">
        <f t="shared" si="40"/>
        <v/>
      </c>
      <c r="U277" s="5" t="str">
        <f t="shared" si="41"/>
        <v/>
      </c>
      <c r="V277" s="7" t="str">
        <f t="shared" si="42"/>
        <v/>
      </c>
      <c r="W277" s="8" t="str">
        <f t="shared" si="43"/>
        <v/>
      </c>
      <c r="X277" s="2"/>
      <c r="Y277" s="10"/>
      <c r="Z277" s="11" t="str">
        <f>IF(X277&lt;&gt;"执行卖出","",IFERROR(LOOKUP(2,1/(单次交易!$A$2:$A$163=B277),单次交易!$AP$2:$AP$163),""))</f>
        <v/>
      </c>
      <c r="AA277" s="10"/>
      <c r="AB277" s="8" t="str">
        <f t="shared" si="44"/>
        <v/>
      </c>
      <c r="AC277" s="8" t="str">
        <f>IF(A277="","",IF(A277="止损计划",IF(OR(B277="",D277="",E277="",F277="",G277=""),"计划不完整",IF(OR(D277&lt;1,D277&lt;&gt;INT(D277)),"阶段序号无效",IF(COUNTIFS($A$2:$A$497,"止损计划",$B$2:$B$497,B277,$D$2:$D$497,D277)&gt;1,"阶段序号重复",IF(E277&lt;=IFERROR(LOOKUP(2,1/(单次交易!$A$2:$A$163=B277),单次交易!$E$2:$E$163),0),"激活价须高于买入价",IF(F277&lt;N277,"止损价不得低于初始止损",IF(F277&gt;E277,"止损价不得高于激活价",IF(AND(COUNTIFS($A$2:$A$497,"止损计划",$B$2:$B$497,B277,$D$2:$D$497,"&lt;"&amp;D277)&gt;0,OR(E277&lt;=SUMPRODUCT(MAX((($A$2:$A$497="止损计划")*($B$2:$B$497=B277)*($D$2:$D$497&lt;D277))*$E$2:$E$497)),F277&lt;SUMPRODUCT(MAX((($A$2:$A$497="止损计划")*($B$2:$B$497=B277)*($D$2:$D$497&lt;D277))*$F$2:$F$497)))),"阶段价格必须逐级提高","计划有效"))))))),IF(A277="每日跟踪",IF(OR(B277="",H277="",I277="",J277=""),"每日数据不完整",IF(COUNTIFS($A$2:$A$497,"每日跟踪",$B$2:$B$497,B277,$H$2:$H$497,H277)&gt;1,"同一交易日期重复",IF(AND(R277&lt;&gt;"",R277&lt;S277),"人工止损无效：不能下调","跟踪有效"))),"记录类型无效")))</f>
        <v/>
      </c>
    </row>
    <row r="278" ht="17" spans="1:29">
      <c r="A278" s="2"/>
      <c r="B278" s="2"/>
      <c r="C278" s="8" t="str">
        <f>IF(B278="","",IFERROR(LOOKUP(2,1/(单次交易!$A$2:$A$163=B278),单次交易!$B$2:$B$163),""))</f>
        <v/>
      </c>
      <c r="D278" s="12"/>
      <c r="E278" s="10"/>
      <c r="F278" s="10"/>
      <c r="G278" s="2"/>
      <c r="H278" s="15"/>
      <c r="I278" s="10"/>
      <c r="J278" s="12"/>
      <c r="K278" s="2"/>
      <c r="L278" s="2"/>
      <c r="M278" s="2"/>
      <c r="N278" s="5" t="str">
        <f>IF(B278="","",IFERROR(LOOKUP(2,1/(单次交易!$A$2:$A$163=B278),单次交易!$N$2:$N$163),""))</f>
        <v/>
      </c>
      <c r="O278" s="5" t="str">
        <f t="shared" si="36"/>
        <v/>
      </c>
      <c r="P278" s="11" t="str">
        <f t="shared" si="37"/>
        <v/>
      </c>
      <c r="Q278" s="5" t="str">
        <f t="shared" si="38"/>
        <v/>
      </c>
      <c r="R278" s="10"/>
      <c r="S278" s="5" t="str">
        <f t="shared" si="39"/>
        <v/>
      </c>
      <c r="T278" s="5" t="str">
        <f t="shared" si="40"/>
        <v/>
      </c>
      <c r="U278" s="5" t="str">
        <f t="shared" si="41"/>
        <v/>
      </c>
      <c r="V278" s="7" t="str">
        <f t="shared" si="42"/>
        <v/>
      </c>
      <c r="W278" s="8" t="str">
        <f t="shared" si="43"/>
        <v/>
      </c>
      <c r="X278" s="2"/>
      <c r="Y278" s="10"/>
      <c r="Z278" s="11" t="str">
        <f>IF(X278&lt;&gt;"执行卖出","",IFERROR(LOOKUP(2,1/(单次交易!$A$2:$A$163=B278),单次交易!$AP$2:$AP$163),""))</f>
        <v/>
      </c>
      <c r="AA278" s="10"/>
      <c r="AB278" s="8" t="str">
        <f t="shared" si="44"/>
        <v/>
      </c>
      <c r="AC278" s="8" t="str">
        <f>IF(A278="","",IF(A278="止损计划",IF(OR(B278="",D278="",E278="",F278="",G278=""),"计划不完整",IF(OR(D278&lt;1,D278&lt;&gt;INT(D278)),"阶段序号无效",IF(COUNTIFS($A$2:$A$497,"止损计划",$B$2:$B$497,B278,$D$2:$D$497,D278)&gt;1,"阶段序号重复",IF(E278&lt;=IFERROR(LOOKUP(2,1/(单次交易!$A$2:$A$163=B278),单次交易!$E$2:$E$163),0),"激活价须高于买入价",IF(F278&lt;N278,"止损价不得低于初始止损",IF(F278&gt;E278,"止损价不得高于激活价",IF(AND(COUNTIFS($A$2:$A$497,"止损计划",$B$2:$B$497,B278,$D$2:$D$497,"&lt;"&amp;D278)&gt;0,OR(E278&lt;=SUMPRODUCT(MAX((($A$2:$A$497="止损计划")*($B$2:$B$497=B278)*($D$2:$D$497&lt;D278))*$E$2:$E$497)),F278&lt;SUMPRODUCT(MAX((($A$2:$A$497="止损计划")*($B$2:$B$497=B278)*($D$2:$D$497&lt;D278))*$F$2:$F$497)))),"阶段价格必须逐级提高","计划有效"))))))),IF(A278="每日跟踪",IF(OR(B278="",H278="",I278="",J278=""),"每日数据不完整",IF(COUNTIFS($A$2:$A$497,"每日跟踪",$B$2:$B$497,B278,$H$2:$H$497,H278)&gt;1,"同一交易日期重复",IF(AND(R278&lt;&gt;"",R278&lt;S278),"人工止损无效：不能下调","跟踪有效"))),"记录类型无效")))</f>
        <v/>
      </c>
    </row>
    <row r="279" ht="17" spans="1:29">
      <c r="A279" s="2"/>
      <c r="B279" s="2"/>
      <c r="C279" s="8" t="str">
        <f>IF(B279="","",IFERROR(LOOKUP(2,1/(单次交易!$A$2:$A$163=B279),单次交易!$B$2:$B$163),""))</f>
        <v/>
      </c>
      <c r="D279" s="12"/>
      <c r="E279" s="10"/>
      <c r="F279" s="10"/>
      <c r="G279" s="2"/>
      <c r="H279" s="15"/>
      <c r="I279" s="10"/>
      <c r="J279" s="12"/>
      <c r="K279" s="2"/>
      <c r="L279" s="2"/>
      <c r="M279" s="2"/>
      <c r="N279" s="5" t="str">
        <f>IF(B279="","",IFERROR(LOOKUP(2,1/(单次交易!$A$2:$A$163=B279),单次交易!$N$2:$N$163),""))</f>
        <v/>
      </c>
      <c r="O279" s="5" t="str">
        <f t="shared" si="36"/>
        <v/>
      </c>
      <c r="P279" s="11" t="str">
        <f t="shared" si="37"/>
        <v/>
      </c>
      <c r="Q279" s="5" t="str">
        <f t="shared" si="38"/>
        <v/>
      </c>
      <c r="R279" s="10"/>
      <c r="S279" s="5" t="str">
        <f t="shared" si="39"/>
        <v/>
      </c>
      <c r="T279" s="5" t="str">
        <f t="shared" si="40"/>
        <v/>
      </c>
      <c r="U279" s="5" t="str">
        <f t="shared" si="41"/>
        <v/>
      </c>
      <c r="V279" s="7" t="str">
        <f t="shared" si="42"/>
        <v/>
      </c>
      <c r="W279" s="8" t="str">
        <f t="shared" si="43"/>
        <v/>
      </c>
      <c r="X279" s="2"/>
      <c r="Y279" s="10"/>
      <c r="Z279" s="11" t="str">
        <f>IF(X279&lt;&gt;"执行卖出","",IFERROR(LOOKUP(2,1/(单次交易!$A$2:$A$163=B279),单次交易!$AP$2:$AP$163),""))</f>
        <v/>
      </c>
      <c r="AA279" s="10"/>
      <c r="AB279" s="8" t="str">
        <f t="shared" si="44"/>
        <v/>
      </c>
      <c r="AC279" s="8" t="str">
        <f>IF(A279="","",IF(A279="止损计划",IF(OR(B279="",D279="",E279="",F279="",G279=""),"计划不完整",IF(OR(D279&lt;1,D279&lt;&gt;INT(D279)),"阶段序号无效",IF(COUNTIFS($A$2:$A$497,"止损计划",$B$2:$B$497,B279,$D$2:$D$497,D279)&gt;1,"阶段序号重复",IF(E279&lt;=IFERROR(LOOKUP(2,1/(单次交易!$A$2:$A$163=B279),单次交易!$E$2:$E$163),0),"激活价须高于买入价",IF(F279&lt;N279,"止损价不得低于初始止损",IF(F279&gt;E279,"止损价不得高于激活价",IF(AND(COUNTIFS($A$2:$A$497,"止损计划",$B$2:$B$497,B279,$D$2:$D$497,"&lt;"&amp;D279)&gt;0,OR(E279&lt;=SUMPRODUCT(MAX((($A$2:$A$497="止损计划")*($B$2:$B$497=B279)*($D$2:$D$497&lt;D279))*$E$2:$E$497)),F279&lt;SUMPRODUCT(MAX((($A$2:$A$497="止损计划")*($B$2:$B$497=B279)*($D$2:$D$497&lt;D279))*$F$2:$F$497)))),"阶段价格必须逐级提高","计划有效"))))))),IF(A279="每日跟踪",IF(OR(B279="",H279="",I279="",J279=""),"每日数据不完整",IF(COUNTIFS($A$2:$A$497,"每日跟踪",$B$2:$B$497,B279,$H$2:$H$497,H279)&gt;1,"同一交易日期重复",IF(AND(R279&lt;&gt;"",R279&lt;S279),"人工止损无效：不能下调","跟踪有效"))),"记录类型无效")))</f>
        <v/>
      </c>
    </row>
    <row r="280" ht="17" spans="1:29">
      <c r="A280" s="2"/>
      <c r="B280" s="2"/>
      <c r="C280" s="8" t="str">
        <f>IF(B280="","",IFERROR(LOOKUP(2,1/(单次交易!$A$2:$A$163=B280),单次交易!$B$2:$B$163),""))</f>
        <v/>
      </c>
      <c r="D280" s="12"/>
      <c r="E280" s="10"/>
      <c r="F280" s="10"/>
      <c r="G280" s="2"/>
      <c r="H280" s="15"/>
      <c r="I280" s="10"/>
      <c r="J280" s="12"/>
      <c r="K280" s="2"/>
      <c r="L280" s="2"/>
      <c r="M280" s="2"/>
      <c r="N280" s="5" t="str">
        <f>IF(B280="","",IFERROR(LOOKUP(2,1/(单次交易!$A$2:$A$163=B280),单次交易!$N$2:$N$163),""))</f>
        <v/>
      </c>
      <c r="O280" s="5" t="str">
        <f t="shared" si="36"/>
        <v/>
      </c>
      <c r="P280" s="11" t="str">
        <f t="shared" si="37"/>
        <v/>
      </c>
      <c r="Q280" s="5" t="str">
        <f t="shared" si="38"/>
        <v/>
      </c>
      <c r="R280" s="10"/>
      <c r="S280" s="5" t="str">
        <f t="shared" si="39"/>
        <v/>
      </c>
      <c r="T280" s="5" t="str">
        <f t="shared" si="40"/>
        <v/>
      </c>
      <c r="U280" s="5" t="str">
        <f t="shared" si="41"/>
        <v/>
      </c>
      <c r="V280" s="7" t="str">
        <f t="shared" si="42"/>
        <v/>
      </c>
      <c r="W280" s="8" t="str">
        <f t="shared" si="43"/>
        <v/>
      </c>
      <c r="X280" s="2"/>
      <c r="Y280" s="10"/>
      <c r="Z280" s="11" t="str">
        <f>IF(X280&lt;&gt;"执行卖出","",IFERROR(LOOKUP(2,1/(单次交易!$A$2:$A$163=B280),单次交易!$AP$2:$AP$163),""))</f>
        <v/>
      </c>
      <c r="AA280" s="10"/>
      <c r="AB280" s="8" t="str">
        <f t="shared" si="44"/>
        <v/>
      </c>
      <c r="AC280" s="8" t="str">
        <f>IF(A280="","",IF(A280="止损计划",IF(OR(B280="",D280="",E280="",F280="",G280=""),"计划不完整",IF(OR(D280&lt;1,D280&lt;&gt;INT(D280)),"阶段序号无效",IF(COUNTIFS($A$2:$A$497,"止损计划",$B$2:$B$497,B280,$D$2:$D$497,D280)&gt;1,"阶段序号重复",IF(E280&lt;=IFERROR(LOOKUP(2,1/(单次交易!$A$2:$A$163=B280),单次交易!$E$2:$E$163),0),"激活价须高于买入价",IF(F280&lt;N280,"止损价不得低于初始止损",IF(F280&gt;E280,"止损价不得高于激活价",IF(AND(COUNTIFS($A$2:$A$497,"止损计划",$B$2:$B$497,B280,$D$2:$D$497,"&lt;"&amp;D280)&gt;0,OR(E280&lt;=SUMPRODUCT(MAX((($A$2:$A$497="止损计划")*($B$2:$B$497=B280)*($D$2:$D$497&lt;D280))*$E$2:$E$497)),F280&lt;SUMPRODUCT(MAX((($A$2:$A$497="止损计划")*($B$2:$B$497=B280)*($D$2:$D$497&lt;D280))*$F$2:$F$497)))),"阶段价格必须逐级提高","计划有效"))))))),IF(A280="每日跟踪",IF(OR(B280="",H280="",I280="",J280=""),"每日数据不完整",IF(COUNTIFS($A$2:$A$497,"每日跟踪",$B$2:$B$497,B280,$H$2:$H$497,H280)&gt;1,"同一交易日期重复",IF(AND(R280&lt;&gt;"",R280&lt;S280),"人工止损无效：不能下调","跟踪有效"))),"记录类型无效")))</f>
        <v/>
      </c>
    </row>
    <row r="281" ht="17" spans="1:29">
      <c r="A281" s="2"/>
      <c r="B281" s="2"/>
      <c r="C281" s="8" t="str">
        <f>IF(B281="","",IFERROR(LOOKUP(2,1/(单次交易!$A$2:$A$163=B281),单次交易!$B$2:$B$163),""))</f>
        <v/>
      </c>
      <c r="D281" s="12"/>
      <c r="E281" s="10"/>
      <c r="F281" s="10"/>
      <c r="G281" s="2"/>
      <c r="H281" s="15"/>
      <c r="I281" s="10"/>
      <c r="J281" s="12"/>
      <c r="K281" s="2"/>
      <c r="L281" s="2"/>
      <c r="M281" s="2"/>
      <c r="N281" s="5" t="str">
        <f>IF(B281="","",IFERROR(LOOKUP(2,1/(单次交易!$A$2:$A$163=B281),单次交易!$N$2:$N$163),""))</f>
        <v/>
      </c>
      <c r="O281" s="5" t="str">
        <f t="shared" si="36"/>
        <v/>
      </c>
      <c r="P281" s="11" t="str">
        <f t="shared" si="37"/>
        <v/>
      </c>
      <c r="Q281" s="5" t="str">
        <f t="shared" si="38"/>
        <v/>
      </c>
      <c r="R281" s="10"/>
      <c r="S281" s="5" t="str">
        <f t="shared" si="39"/>
        <v/>
      </c>
      <c r="T281" s="5" t="str">
        <f t="shared" si="40"/>
        <v/>
      </c>
      <c r="U281" s="5" t="str">
        <f t="shared" si="41"/>
        <v/>
      </c>
      <c r="V281" s="7" t="str">
        <f t="shared" si="42"/>
        <v/>
      </c>
      <c r="W281" s="8" t="str">
        <f t="shared" si="43"/>
        <v/>
      </c>
      <c r="X281" s="2"/>
      <c r="Y281" s="10"/>
      <c r="Z281" s="11" t="str">
        <f>IF(X281&lt;&gt;"执行卖出","",IFERROR(LOOKUP(2,1/(单次交易!$A$2:$A$163=B281),单次交易!$AP$2:$AP$163),""))</f>
        <v/>
      </c>
      <c r="AA281" s="10"/>
      <c r="AB281" s="8" t="str">
        <f t="shared" si="44"/>
        <v/>
      </c>
      <c r="AC281" s="8" t="str">
        <f>IF(A281="","",IF(A281="止损计划",IF(OR(B281="",D281="",E281="",F281="",G281=""),"计划不完整",IF(OR(D281&lt;1,D281&lt;&gt;INT(D281)),"阶段序号无效",IF(COUNTIFS($A$2:$A$497,"止损计划",$B$2:$B$497,B281,$D$2:$D$497,D281)&gt;1,"阶段序号重复",IF(E281&lt;=IFERROR(LOOKUP(2,1/(单次交易!$A$2:$A$163=B281),单次交易!$E$2:$E$163),0),"激活价须高于买入价",IF(F281&lt;N281,"止损价不得低于初始止损",IF(F281&gt;E281,"止损价不得高于激活价",IF(AND(COUNTIFS($A$2:$A$497,"止损计划",$B$2:$B$497,B281,$D$2:$D$497,"&lt;"&amp;D281)&gt;0,OR(E281&lt;=SUMPRODUCT(MAX((($A$2:$A$497="止损计划")*($B$2:$B$497=B281)*($D$2:$D$497&lt;D281))*$E$2:$E$497)),F281&lt;SUMPRODUCT(MAX((($A$2:$A$497="止损计划")*($B$2:$B$497=B281)*($D$2:$D$497&lt;D281))*$F$2:$F$497)))),"阶段价格必须逐级提高","计划有效"))))))),IF(A281="每日跟踪",IF(OR(B281="",H281="",I281="",J281=""),"每日数据不完整",IF(COUNTIFS($A$2:$A$497,"每日跟踪",$B$2:$B$497,B281,$H$2:$H$497,H281)&gt;1,"同一交易日期重复",IF(AND(R281&lt;&gt;"",R281&lt;S281),"人工止损无效：不能下调","跟踪有效"))),"记录类型无效")))</f>
        <v/>
      </c>
    </row>
    <row r="282" ht="17" spans="1:29">
      <c r="A282" s="2"/>
      <c r="B282" s="2"/>
      <c r="C282" s="8" t="str">
        <f>IF(B282="","",IFERROR(LOOKUP(2,1/(单次交易!$A$2:$A$163=B282),单次交易!$B$2:$B$163),""))</f>
        <v/>
      </c>
      <c r="D282" s="12"/>
      <c r="E282" s="10"/>
      <c r="F282" s="10"/>
      <c r="G282" s="2"/>
      <c r="H282" s="15"/>
      <c r="I282" s="10"/>
      <c r="J282" s="12"/>
      <c r="K282" s="2"/>
      <c r="L282" s="2"/>
      <c r="M282" s="2"/>
      <c r="N282" s="5" t="str">
        <f>IF(B282="","",IFERROR(LOOKUP(2,1/(单次交易!$A$2:$A$163=B282),单次交易!$N$2:$N$163),""))</f>
        <v/>
      </c>
      <c r="O282" s="5" t="str">
        <f t="shared" si="36"/>
        <v/>
      </c>
      <c r="P282" s="11" t="str">
        <f t="shared" si="37"/>
        <v/>
      </c>
      <c r="Q282" s="5" t="str">
        <f t="shared" si="38"/>
        <v/>
      </c>
      <c r="R282" s="10"/>
      <c r="S282" s="5" t="str">
        <f t="shared" si="39"/>
        <v/>
      </c>
      <c r="T282" s="5" t="str">
        <f t="shared" si="40"/>
        <v/>
      </c>
      <c r="U282" s="5" t="str">
        <f t="shared" si="41"/>
        <v/>
      </c>
      <c r="V282" s="7" t="str">
        <f t="shared" si="42"/>
        <v/>
      </c>
      <c r="W282" s="8" t="str">
        <f t="shared" si="43"/>
        <v/>
      </c>
      <c r="X282" s="2"/>
      <c r="Y282" s="10"/>
      <c r="Z282" s="11" t="str">
        <f>IF(X282&lt;&gt;"执行卖出","",IFERROR(LOOKUP(2,1/(单次交易!$A$2:$A$163=B282),单次交易!$AP$2:$AP$163),""))</f>
        <v/>
      </c>
      <c r="AA282" s="10"/>
      <c r="AB282" s="8" t="str">
        <f t="shared" si="44"/>
        <v/>
      </c>
      <c r="AC282" s="8" t="str">
        <f>IF(A282="","",IF(A282="止损计划",IF(OR(B282="",D282="",E282="",F282="",G282=""),"计划不完整",IF(OR(D282&lt;1,D282&lt;&gt;INT(D282)),"阶段序号无效",IF(COUNTIFS($A$2:$A$497,"止损计划",$B$2:$B$497,B282,$D$2:$D$497,D282)&gt;1,"阶段序号重复",IF(E282&lt;=IFERROR(LOOKUP(2,1/(单次交易!$A$2:$A$163=B282),单次交易!$E$2:$E$163),0),"激活价须高于买入价",IF(F282&lt;N282,"止损价不得低于初始止损",IF(F282&gt;E282,"止损价不得高于激活价",IF(AND(COUNTIFS($A$2:$A$497,"止损计划",$B$2:$B$497,B282,$D$2:$D$497,"&lt;"&amp;D282)&gt;0,OR(E282&lt;=SUMPRODUCT(MAX((($A$2:$A$497="止损计划")*($B$2:$B$497=B282)*($D$2:$D$497&lt;D282))*$E$2:$E$497)),F282&lt;SUMPRODUCT(MAX((($A$2:$A$497="止损计划")*($B$2:$B$497=B282)*($D$2:$D$497&lt;D282))*$F$2:$F$497)))),"阶段价格必须逐级提高","计划有效"))))))),IF(A282="每日跟踪",IF(OR(B282="",H282="",I282="",J282=""),"每日数据不完整",IF(COUNTIFS($A$2:$A$497,"每日跟踪",$B$2:$B$497,B282,$H$2:$H$497,H282)&gt;1,"同一交易日期重复",IF(AND(R282&lt;&gt;"",R282&lt;S282),"人工止损无效：不能下调","跟踪有效"))),"记录类型无效")))</f>
        <v/>
      </c>
    </row>
    <row r="283" ht="17" spans="1:29">
      <c r="A283" s="2"/>
      <c r="B283" s="2"/>
      <c r="C283" s="8" t="str">
        <f>IF(B283="","",IFERROR(LOOKUP(2,1/(单次交易!$A$2:$A$163=B283),单次交易!$B$2:$B$163),""))</f>
        <v/>
      </c>
      <c r="D283" s="12"/>
      <c r="E283" s="10"/>
      <c r="F283" s="10"/>
      <c r="G283" s="2"/>
      <c r="H283" s="15"/>
      <c r="I283" s="10"/>
      <c r="J283" s="12"/>
      <c r="K283" s="2"/>
      <c r="L283" s="2"/>
      <c r="M283" s="2"/>
      <c r="N283" s="5" t="str">
        <f>IF(B283="","",IFERROR(LOOKUP(2,1/(单次交易!$A$2:$A$163=B283),单次交易!$N$2:$N$163),""))</f>
        <v/>
      </c>
      <c r="O283" s="5" t="str">
        <f t="shared" si="36"/>
        <v/>
      </c>
      <c r="P283" s="11" t="str">
        <f t="shared" si="37"/>
        <v/>
      </c>
      <c r="Q283" s="5" t="str">
        <f t="shared" si="38"/>
        <v/>
      </c>
      <c r="R283" s="10"/>
      <c r="S283" s="5" t="str">
        <f t="shared" si="39"/>
        <v/>
      </c>
      <c r="T283" s="5" t="str">
        <f t="shared" si="40"/>
        <v/>
      </c>
      <c r="U283" s="5" t="str">
        <f t="shared" si="41"/>
        <v/>
      </c>
      <c r="V283" s="7" t="str">
        <f t="shared" si="42"/>
        <v/>
      </c>
      <c r="W283" s="8" t="str">
        <f t="shared" si="43"/>
        <v/>
      </c>
      <c r="X283" s="2"/>
      <c r="Y283" s="10"/>
      <c r="Z283" s="11" t="str">
        <f>IF(X283&lt;&gt;"执行卖出","",IFERROR(LOOKUP(2,1/(单次交易!$A$2:$A$163=B283),单次交易!$AP$2:$AP$163),""))</f>
        <v/>
      </c>
      <c r="AA283" s="10"/>
      <c r="AB283" s="8" t="str">
        <f t="shared" si="44"/>
        <v/>
      </c>
      <c r="AC283" s="8" t="str">
        <f>IF(A283="","",IF(A283="止损计划",IF(OR(B283="",D283="",E283="",F283="",G283=""),"计划不完整",IF(OR(D283&lt;1,D283&lt;&gt;INT(D283)),"阶段序号无效",IF(COUNTIFS($A$2:$A$497,"止损计划",$B$2:$B$497,B283,$D$2:$D$497,D283)&gt;1,"阶段序号重复",IF(E283&lt;=IFERROR(LOOKUP(2,1/(单次交易!$A$2:$A$163=B283),单次交易!$E$2:$E$163),0),"激活价须高于买入价",IF(F283&lt;N283,"止损价不得低于初始止损",IF(F283&gt;E283,"止损价不得高于激活价",IF(AND(COUNTIFS($A$2:$A$497,"止损计划",$B$2:$B$497,B283,$D$2:$D$497,"&lt;"&amp;D283)&gt;0,OR(E283&lt;=SUMPRODUCT(MAX((($A$2:$A$497="止损计划")*($B$2:$B$497=B283)*($D$2:$D$497&lt;D283))*$E$2:$E$497)),F283&lt;SUMPRODUCT(MAX((($A$2:$A$497="止损计划")*($B$2:$B$497=B283)*($D$2:$D$497&lt;D283))*$F$2:$F$497)))),"阶段价格必须逐级提高","计划有效"))))))),IF(A283="每日跟踪",IF(OR(B283="",H283="",I283="",J283=""),"每日数据不完整",IF(COUNTIFS($A$2:$A$497,"每日跟踪",$B$2:$B$497,B283,$H$2:$H$497,H283)&gt;1,"同一交易日期重复",IF(AND(R283&lt;&gt;"",R283&lt;S283),"人工止损无效：不能下调","跟踪有效"))),"记录类型无效")))</f>
        <v/>
      </c>
    </row>
    <row r="284" ht="17" spans="1:29">
      <c r="A284" s="2"/>
      <c r="B284" s="2"/>
      <c r="C284" s="8" t="str">
        <f>IF(B284="","",IFERROR(LOOKUP(2,1/(单次交易!$A$2:$A$163=B284),单次交易!$B$2:$B$163),""))</f>
        <v/>
      </c>
      <c r="D284" s="12"/>
      <c r="E284" s="10"/>
      <c r="F284" s="10"/>
      <c r="G284" s="2"/>
      <c r="H284" s="15"/>
      <c r="I284" s="10"/>
      <c r="J284" s="12"/>
      <c r="K284" s="2"/>
      <c r="L284" s="2"/>
      <c r="M284" s="2"/>
      <c r="N284" s="5" t="str">
        <f>IF(B284="","",IFERROR(LOOKUP(2,1/(单次交易!$A$2:$A$163=B284),单次交易!$N$2:$N$163),""))</f>
        <v/>
      </c>
      <c r="O284" s="5" t="str">
        <f t="shared" si="36"/>
        <v/>
      </c>
      <c r="P284" s="11" t="str">
        <f t="shared" si="37"/>
        <v/>
      </c>
      <c r="Q284" s="5" t="str">
        <f t="shared" si="38"/>
        <v/>
      </c>
      <c r="R284" s="10"/>
      <c r="S284" s="5" t="str">
        <f t="shared" si="39"/>
        <v/>
      </c>
      <c r="T284" s="5" t="str">
        <f t="shared" si="40"/>
        <v/>
      </c>
      <c r="U284" s="5" t="str">
        <f t="shared" si="41"/>
        <v/>
      </c>
      <c r="V284" s="7" t="str">
        <f t="shared" si="42"/>
        <v/>
      </c>
      <c r="W284" s="8" t="str">
        <f t="shared" si="43"/>
        <v/>
      </c>
      <c r="X284" s="2"/>
      <c r="Y284" s="10"/>
      <c r="Z284" s="11" t="str">
        <f>IF(X284&lt;&gt;"执行卖出","",IFERROR(LOOKUP(2,1/(单次交易!$A$2:$A$163=B284),单次交易!$AP$2:$AP$163),""))</f>
        <v/>
      </c>
      <c r="AA284" s="10"/>
      <c r="AB284" s="8" t="str">
        <f t="shared" si="44"/>
        <v/>
      </c>
      <c r="AC284" s="8" t="str">
        <f>IF(A284="","",IF(A284="止损计划",IF(OR(B284="",D284="",E284="",F284="",G284=""),"计划不完整",IF(OR(D284&lt;1,D284&lt;&gt;INT(D284)),"阶段序号无效",IF(COUNTIFS($A$2:$A$497,"止损计划",$B$2:$B$497,B284,$D$2:$D$497,D284)&gt;1,"阶段序号重复",IF(E284&lt;=IFERROR(LOOKUP(2,1/(单次交易!$A$2:$A$163=B284),单次交易!$E$2:$E$163),0),"激活价须高于买入价",IF(F284&lt;N284,"止损价不得低于初始止损",IF(F284&gt;E284,"止损价不得高于激活价",IF(AND(COUNTIFS($A$2:$A$497,"止损计划",$B$2:$B$497,B284,$D$2:$D$497,"&lt;"&amp;D284)&gt;0,OR(E284&lt;=SUMPRODUCT(MAX((($A$2:$A$497="止损计划")*($B$2:$B$497=B284)*($D$2:$D$497&lt;D284))*$E$2:$E$497)),F284&lt;SUMPRODUCT(MAX((($A$2:$A$497="止损计划")*($B$2:$B$497=B284)*($D$2:$D$497&lt;D284))*$F$2:$F$497)))),"阶段价格必须逐级提高","计划有效"))))))),IF(A284="每日跟踪",IF(OR(B284="",H284="",I284="",J284=""),"每日数据不完整",IF(COUNTIFS($A$2:$A$497,"每日跟踪",$B$2:$B$497,B284,$H$2:$H$497,H284)&gt;1,"同一交易日期重复",IF(AND(R284&lt;&gt;"",R284&lt;S284),"人工止损无效：不能下调","跟踪有效"))),"记录类型无效")))</f>
        <v/>
      </c>
    </row>
    <row r="285" ht="17" spans="1:29">
      <c r="A285" s="2"/>
      <c r="B285" s="2"/>
      <c r="C285" s="8" t="str">
        <f>IF(B285="","",IFERROR(LOOKUP(2,1/(单次交易!$A$2:$A$163=B285),单次交易!$B$2:$B$163),""))</f>
        <v/>
      </c>
      <c r="D285" s="12"/>
      <c r="E285" s="10"/>
      <c r="F285" s="10"/>
      <c r="G285" s="2"/>
      <c r="H285" s="15"/>
      <c r="I285" s="10"/>
      <c r="J285" s="12"/>
      <c r="K285" s="2"/>
      <c r="L285" s="2"/>
      <c r="M285" s="2"/>
      <c r="N285" s="5" t="str">
        <f>IF(B285="","",IFERROR(LOOKUP(2,1/(单次交易!$A$2:$A$163=B285),单次交易!$N$2:$N$163),""))</f>
        <v/>
      </c>
      <c r="O285" s="5" t="str">
        <f t="shared" si="36"/>
        <v/>
      </c>
      <c r="P285" s="11" t="str">
        <f t="shared" si="37"/>
        <v/>
      </c>
      <c r="Q285" s="5" t="str">
        <f t="shared" si="38"/>
        <v/>
      </c>
      <c r="R285" s="10"/>
      <c r="S285" s="5" t="str">
        <f t="shared" si="39"/>
        <v/>
      </c>
      <c r="T285" s="5" t="str">
        <f t="shared" si="40"/>
        <v/>
      </c>
      <c r="U285" s="5" t="str">
        <f t="shared" si="41"/>
        <v/>
      </c>
      <c r="V285" s="7" t="str">
        <f t="shared" si="42"/>
        <v/>
      </c>
      <c r="W285" s="8" t="str">
        <f t="shared" si="43"/>
        <v/>
      </c>
      <c r="X285" s="2"/>
      <c r="Y285" s="10"/>
      <c r="Z285" s="11" t="str">
        <f>IF(X285&lt;&gt;"执行卖出","",IFERROR(LOOKUP(2,1/(单次交易!$A$2:$A$163=B285),单次交易!$AP$2:$AP$163),""))</f>
        <v/>
      </c>
      <c r="AA285" s="10"/>
      <c r="AB285" s="8" t="str">
        <f t="shared" si="44"/>
        <v/>
      </c>
      <c r="AC285" s="8" t="str">
        <f>IF(A285="","",IF(A285="止损计划",IF(OR(B285="",D285="",E285="",F285="",G285=""),"计划不完整",IF(OR(D285&lt;1,D285&lt;&gt;INT(D285)),"阶段序号无效",IF(COUNTIFS($A$2:$A$497,"止损计划",$B$2:$B$497,B285,$D$2:$D$497,D285)&gt;1,"阶段序号重复",IF(E285&lt;=IFERROR(LOOKUP(2,1/(单次交易!$A$2:$A$163=B285),单次交易!$E$2:$E$163),0),"激活价须高于买入价",IF(F285&lt;N285,"止损价不得低于初始止损",IF(F285&gt;E285,"止损价不得高于激活价",IF(AND(COUNTIFS($A$2:$A$497,"止损计划",$B$2:$B$497,B285,$D$2:$D$497,"&lt;"&amp;D285)&gt;0,OR(E285&lt;=SUMPRODUCT(MAX((($A$2:$A$497="止损计划")*($B$2:$B$497=B285)*($D$2:$D$497&lt;D285))*$E$2:$E$497)),F285&lt;SUMPRODUCT(MAX((($A$2:$A$497="止损计划")*($B$2:$B$497=B285)*($D$2:$D$497&lt;D285))*$F$2:$F$497)))),"阶段价格必须逐级提高","计划有效"))))))),IF(A285="每日跟踪",IF(OR(B285="",H285="",I285="",J285=""),"每日数据不完整",IF(COUNTIFS($A$2:$A$497,"每日跟踪",$B$2:$B$497,B285,$H$2:$H$497,H285)&gt;1,"同一交易日期重复",IF(AND(R285&lt;&gt;"",R285&lt;S285),"人工止损无效：不能下调","跟踪有效"))),"记录类型无效")))</f>
        <v/>
      </c>
    </row>
    <row r="286" ht="17" spans="1:29">
      <c r="A286" s="2"/>
      <c r="B286" s="2"/>
      <c r="C286" s="8" t="str">
        <f>IF(B286="","",IFERROR(LOOKUP(2,1/(单次交易!$A$2:$A$163=B286),单次交易!$B$2:$B$163),""))</f>
        <v/>
      </c>
      <c r="D286" s="12"/>
      <c r="E286" s="10"/>
      <c r="F286" s="10"/>
      <c r="G286" s="2"/>
      <c r="H286" s="15"/>
      <c r="I286" s="10"/>
      <c r="J286" s="12"/>
      <c r="K286" s="2"/>
      <c r="L286" s="2"/>
      <c r="M286" s="2"/>
      <c r="N286" s="5" t="str">
        <f>IF(B286="","",IFERROR(LOOKUP(2,1/(单次交易!$A$2:$A$163=B286),单次交易!$N$2:$N$163),""))</f>
        <v/>
      </c>
      <c r="O286" s="5" t="str">
        <f t="shared" si="36"/>
        <v/>
      </c>
      <c r="P286" s="11" t="str">
        <f t="shared" si="37"/>
        <v/>
      </c>
      <c r="Q286" s="5" t="str">
        <f t="shared" si="38"/>
        <v/>
      </c>
      <c r="R286" s="10"/>
      <c r="S286" s="5" t="str">
        <f t="shared" si="39"/>
        <v/>
      </c>
      <c r="T286" s="5" t="str">
        <f t="shared" si="40"/>
        <v/>
      </c>
      <c r="U286" s="5" t="str">
        <f t="shared" si="41"/>
        <v/>
      </c>
      <c r="V286" s="7" t="str">
        <f t="shared" si="42"/>
        <v/>
      </c>
      <c r="W286" s="8" t="str">
        <f t="shared" si="43"/>
        <v/>
      </c>
      <c r="X286" s="2"/>
      <c r="Y286" s="10"/>
      <c r="Z286" s="11" t="str">
        <f>IF(X286&lt;&gt;"执行卖出","",IFERROR(LOOKUP(2,1/(单次交易!$A$2:$A$163=B286),单次交易!$AP$2:$AP$163),""))</f>
        <v/>
      </c>
      <c r="AA286" s="10"/>
      <c r="AB286" s="8" t="str">
        <f t="shared" si="44"/>
        <v/>
      </c>
      <c r="AC286" s="8" t="str">
        <f>IF(A286="","",IF(A286="止损计划",IF(OR(B286="",D286="",E286="",F286="",G286=""),"计划不完整",IF(OR(D286&lt;1,D286&lt;&gt;INT(D286)),"阶段序号无效",IF(COUNTIFS($A$2:$A$497,"止损计划",$B$2:$B$497,B286,$D$2:$D$497,D286)&gt;1,"阶段序号重复",IF(E286&lt;=IFERROR(LOOKUP(2,1/(单次交易!$A$2:$A$163=B286),单次交易!$E$2:$E$163),0),"激活价须高于买入价",IF(F286&lt;N286,"止损价不得低于初始止损",IF(F286&gt;E286,"止损价不得高于激活价",IF(AND(COUNTIFS($A$2:$A$497,"止损计划",$B$2:$B$497,B286,$D$2:$D$497,"&lt;"&amp;D286)&gt;0,OR(E286&lt;=SUMPRODUCT(MAX((($A$2:$A$497="止损计划")*($B$2:$B$497=B286)*($D$2:$D$497&lt;D286))*$E$2:$E$497)),F286&lt;SUMPRODUCT(MAX((($A$2:$A$497="止损计划")*($B$2:$B$497=B286)*($D$2:$D$497&lt;D286))*$F$2:$F$497)))),"阶段价格必须逐级提高","计划有效"))))))),IF(A286="每日跟踪",IF(OR(B286="",H286="",I286="",J286=""),"每日数据不完整",IF(COUNTIFS($A$2:$A$497,"每日跟踪",$B$2:$B$497,B286,$H$2:$H$497,H286)&gt;1,"同一交易日期重复",IF(AND(R286&lt;&gt;"",R286&lt;S286),"人工止损无效：不能下调","跟踪有效"))),"记录类型无效")))</f>
        <v/>
      </c>
    </row>
    <row r="287" ht="17" spans="1:29">
      <c r="A287" s="2"/>
      <c r="B287" s="2"/>
      <c r="C287" s="8" t="str">
        <f>IF(B287="","",IFERROR(LOOKUP(2,1/(单次交易!$A$2:$A$163=B287),单次交易!$B$2:$B$163),""))</f>
        <v/>
      </c>
      <c r="D287" s="12"/>
      <c r="E287" s="10"/>
      <c r="F287" s="10"/>
      <c r="G287" s="2"/>
      <c r="H287" s="15"/>
      <c r="I287" s="10"/>
      <c r="J287" s="12"/>
      <c r="K287" s="2"/>
      <c r="L287" s="2"/>
      <c r="M287" s="2"/>
      <c r="N287" s="5" t="str">
        <f>IF(B287="","",IFERROR(LOOKUP(2,1/(单次交易!$A$2:$A$163=B287),单次交易!$N$2:$N$163),""))</f>
        <v/>
      </c>
      <c r="O287" s="5" t="str">
        <f t="shared" si="36"/>
        <v/>
      </c>
      <c r="P287" s="11" t="str">
        <f t="shared" si="37"/>
        <v/>
      </c>
      <c r="Q287" s="5" t="str">
        <f t="shared" si="38"/>
        <v/>
      </c>
      <c r="R287" s="10"/>
      <c r="S287" s="5" t="str">
        <f t="shared" si="39"/>
        <v/>
      </c>
      <c r="T287" s="5" t="str">
        <f t="shared" si="40"/>
        <v/>
      </c>
      <c r="U287" s="5" t="str">
        <f t="shared" si="41"/>
        <v/>
      </c>
      <c r="V287" s="7" t="str">
        <f t="shared" si="42"/>
        <v/>
      </c>
      <c r="W287" s="8" t="str">
        <f t="shared" si="43"/>
        <v/>
      </c>
      <c r="X287" s="2"/>
      <c r="Y287" s="10"/>
      <c r="Z287" s="11" t="str">
        <f>IF(X287&lt;&gt;"执行卖出","",IFERROR(LOOKUP(2,1/(单次交易!$A$2:$A$163=B287),单次交易!$AP$2:$AP$163),""))</f>
        <v/>
      </c>
      <c r="AA287" s="10"/>
      <c r="AB287" s="8" t="str">
        <f t="shared" si="44"/>
        <v/>
      </c>
      <c r="AC287" s="8" t="str">
        <f>IF(A287="","",IF(A287="止损计划",IF(OR(B287="",D287="",E287="",F287="",G287=""),"计划不完整",IF(OR(D287&lt;1,D287&lt;&gt;INT(D287)),"阶段序号无效",IF(COUNTIFS($A$2:$A$497,"止损计划",$B$2:$B$497,B287,$D$2:$D$497,D287)&gt;1,"阶段序号重复",IF(E287&lt;=IFERROR(LOOKUP(2,1/(单次交易!$A$2:$A$163=B287),单次交易!$E$2:$E$163),0),"激活价须高于买入价",IF(F287&lt;N287,"止损价不得低于初始止损",IF(F287&gt;E287,"止损价不得高于激活价",IF(AND(COUNTIFS($A$2:$A$497,"止损计划",$B$2:$B$497,B287,$D$2:$D$497,"&lt;"&amp;D287)&gt;0,OR(E287&lt;=SUMPRODUCT(MAX((($A$2:$A$497="止损计划")*($B$2:$B$497=B287)*($D$2:$D$497&lt;D287))*$E$2:$E$497)),F287&lt;SUMPRODUCT(MAX((($A$2:$A$497="止损计划")*($B$2:$B$497=B287)*($D$2:$D$497&lt;D287))*$F$2:$F$497)))),"阶段价格必须逐级提高","计划有效"))))))),IF(A287="每日跟踪",IF(OR(B287="",H287="",I287="",J287=""),"每日数据不完整",IF(COUNTIFS($A$2:$A$497,"每日跟踪",$B$2:$B$497,B287,$H$2:$H$497,H287)&gt;1,"同一交易日期重复",IF(AND(R287&lt;&gt;"",R287&lt;S287),"人工止损无效：不能下调","跟踪有效"))),"记录类型无效")))</f>
        <v/>
      </c>
    </row>
    <row r="288" ht="17" spans="1:29">
      <c r="A288" s="2"/>
      <c r="B288" s="2"/>
      <c r="C288" s="8" t="str">
        <f>IF(B288="","",IFERROR(LOOKUP(2,1/(单次交易!$A$2:$A$163=B288),单次交易!$B$2:$B$163),""))</f>
        <v/>
      </c>
      <c r="D288" s="12"/>
      <c r="E288" s="10"/>
      <c r="F288" s="10"/>
      <c r="G288" s="2"/>
      <c r="H288" s="15"/>
      <c r="I288" s="10"/>
      <c r="J288" s="12"/>
      <c r="K288" s="2"/>
      <c r="L288" s="2"/>
      <c r="M288" s="2"/>
      <c r="N288" s="5" t="str">
        <f>IF(B288="","",IFERROR(LOOKUP(2,1/(单次交易!$A$2:$A$163=B288),单次交易!$N$2:$N$163),""))</f>
        <v/>
      </c>
      <c r="O288" s="5" t="str">
        <f t="shared" si="36"/>
        <v/>
      </c>
      <c r="P288" s="11" t="str">
        <f t="shared" si="37"/>
        <v/>
      </c>
      <c r="Q288" s="5" t="str">
        <f t="shared" si="38"/>
        <v/>
      </c>
      <c r="R288" s="10"/>
      <c r="S288" s="5" t="str">
        <f t="shared" si="39"/>
        <v/>
      </c>
      <c r="T288" s="5" t="str">
        <f t="shared" si="40"/>
        <v/>
      </c>
      <c r="U288" s="5" t="str">
        <f t="shared" si="41"/>
        <v/>
      </c>
      <c r="V288" s="7" t="str">
        <f t="shared" si="42"/>
        <v/>
      </c>
      <c r="W288" s="8" t="str">
        <f t="shared" si="43"/>
        <v/>
      </c>
      <c r="X288" s="2"/>
      <c r="Y288" s="10"/>
      <c r="Z288" s="11" t="str">
        <f>IF(X288&lt;&gt;"执行卖出","",IFERROR(LOOKUP(2,1/(单次交易!$A$2:$A$163=B288),单次交易!$AP$2:$AP$163),""))</f>
        <v/>
      </c>
      <c r="AA288" s="10"/>
      <c r="AB288" s="8" t="str">
        <f t="shared" si="44"/>
        <v/>
      </c>
      <c r="AC288" s="8" t="str">
        <f>IF(A288="","",IF(A288="止损计划",IF(OR(B288="",D288="",E288="",F288="",G288=""),"计划不完整",IF(OR(D288&lt;1,D288&lt;&gt;INT(D288)),"阶段序号无效",IF(COUNTIFS($A$2:$A$497,"止损计划",$B$2:$B$497,B288,$D$2:$D$497,D288)&gt;1,"阶段序号重复",IF(E288&lt;=IFERROR(LOOKUP(2,1/(单次交易!$A$2:$A$163=B288),单次交易!$E$2:$E$163),0),"激活价须高于买入价",IF(F288&lt;N288,"止损价不得低于初始止损",IF(F288&gt;E288,"止损价不得高于激活价",IF(AND(COUNTIFS($A$2:$A$497,"止损计划",$B$2:$B$497,B288,$D$2:$D$497,"&lt;"&amp;D288)&gt;0,OR(E288&lt;=SUMPRODUCT(MAX((($A$2:$A$497="止损计划")*($B$2:$B$497=B288)*($D$2:$D$497&lt;D288))*$E$2:$E$497)),F288&lt;SUMPRODUCT(MAX((($A$2:$A$497="止损计划")*($B$2:$B$497=B288)*($D$2:$D$497&lt;D288))*$F$2:$F$497)))),"阶段价格必须逐级提高","计划有效"))))))),IF(A288="每日跟踪",IF(OR(B288="",H288="",I288="",J288=""),"每日数据不完整",IF(COUNTIFS($A$2:$A$497,"每日跟踪",$B$2:$B$497,B288,$H$2:$H$497,H288)&gt;1,"同一交易日期重复",IF(AND(R288&lt;&gt;"",R288&lt;S288),"人工止损无效：不能下调","跟踪有效"))),"记录类型无效")))</f>
        <v/>
      </c>
    </row>
    <row r="289" ht="17" spans="1:29">
      <c r="A289" s="2"/>
      <c r="B289" s="2"/>
      <c r="C289" s="8" t="str">
        <f>IF(B289="","",IFERROR(LOOKUP(2,1/(单次交易!$A$2:$A$163=B289),单次交易!$B$2:$B$163),""))</f>
        <v/>
      </c>
      <c r="D289" s="12"/>
      <c r="E289" s="10"/>
      <c r="F289" s="10"/>
      <c r="G289" s="2"/>
      <c r="H289" s="15"/>
      <c r="I289" s="10"/>
      <c r="J289" s="12"/>
      <c r="K289" s="2"/>
      <c r="L289" s="2"/>
      <c r="M289" s="2"/>
      <c r="N289" s="5" t="str">
        <f>IF(B289="","",IFERROR(LOOKUP(2,1/(单次交易!$A$2:$A$163=B289),单次交易!$N$2:$N$163),""))</f>
        <v/>
      </c>
      <c r="O289" s="5" t="str">
        <f t="shared" si="36"/>
        <v/>
      </c>
      <c r="P289" s="11" t="str">
        <f t="shared" si="37"/>
        <v/>
      </c>
      <c r="Q289" s="5" t="str">
        <f t="shared" si="38"/>
        <v/>
      </c>
      <c r="R289" s="10"/>
      <c r="S289" s="5" t="str">
        <f t="shared" si="39"/>
        <v/>
      </c>
      <c r="T289" s="5" t="str">
        <f t="shared" si="40"/>
        <v/>
      </c>
      <c r="U289" s="5" t="str">
        <f t="shared" si="41"/>
        <v/>
      </c>
      <c r="V289" s="7" t="str">
        <f t="shared" si="42"/>
        <v/>
      </c>
      <c r="W289" s="8" t="str">
        <f t="shared" si="43"/>
        <v/>
      </c>
      <c r="X289" s="2"/>
      <c r="Y289" s="10"/>
      <c r="Z289" s="11" t="str">
        <f>IF(X289&lt;&gt;"执行卖出","",IFERROR(LOOKUP(2,1/(单次交易!$A$2:$A$163=B289),单次交易!$AP$2:$AP$163),""))</f>
        <v/>
      </c>
      <c r="AA289" s="10"/>
      <c r="AB289" s="8" t="str">
        <f t="shared" si="44"/>
        <v/>
      </c>
      <c r="AC289" s="8" t="str">
        <f>IF(A289="","",IF(A289="止损计划",IF(OR(B289="",D289="",E289="",F289="",G289=""),"计划不完整",IF(OR(D289&lt;1,D289&lt;&gt;INT(D289)),"阶段序号无效",IF(COUNTIFS($A$2:$A$497,"止损计划",$B$2:$B$497,B289,$D$2:$D$497,D289)&gt;1,"阶段序号重复",IF(E289&lt;=IFERROR(LOOKUP(2,1/(单次交易!$A$2:$A$163=B289),单次交易!$E$2:$E$163),0),"激活价须高于买入价",IF(F289&lt;N289,"止损价不得低于初始止损",IF(F289&gt;E289,"止损价不得高于激活价",IF(AND(COUNTIFS($A$2:$A$497,"止损计划",$B$2:$B$497,B289,$D$2:$D$497,"&lt;"&amp;D289)&gt;0,OR(E289&lt;=SUMPRODUCT(MAX((($A$2:$A$497="止损计划")*($B$2:$B$497=B289)*($D$2:$D$497&lt;D289))*$E$2:$E$497)),F289&lt;SUMPRODUCT(MAX((($A$2:$A$497="止损计划")*($B$2:$B$497=B289)*($D$2:$D$497&lt;D289))*$F$2:$F$497)))),"阶段价格必须逐级提高","计划有效"))))))),IF(A289="每日跟踪",IF(OR(B289="",H289="",I289="",J289=""),"每日数据不完整",IF(COUNTIFS($A$2:$A$497,"每日跟踪",$B$2:$B$497,B289,$H$2:$H$497,H289)&gt;1,"同一交易日期重复",IF(AND(R289&lt;&gt;"",R289&lt;S289),"人工止损无效：不能下调","跟踪有效"))),"记录类型无效")))</f>
        <v/>
      </c>
    </row>
    <row r="290" ht="17" spans="1:29">
      <c r="A290" s="2"/>
      <c r="B290" s="2"/>
      <c r="C290" s="8" t="str">
        <f>IF(B290="","",IFERROR(LOOKUP(2,1/(单次交易!$A$2:$A$163=B290),单次交易!$B$2:$B$163),""))</f>
        <v/>
      </c>
      <c r="D290" s="12"/>
      <c r="E290" s="10"/>
      <c r="F290" s="10"/>
      <c r="G290" s="2"/>
      <c r="H290" s="15"/>
      <c r="I290" s="10"/>
      <c r="J290" s="12"/>
      <c r="K290" s="2"/>
      <c r="L290" s="2"/>
      <c r="M290" s="2"/>
      <c r="N290" s="5" t="str">
        <f>IF(B290="","",IFERROR(LOOKUP(2,1/(单次交易!$A$2:$A$163=B290),单次交易!$N$2:$N$163),""))</f>
        <v/>
      </c>
      <c r="O290" s="5" t="str">
        <f t="shared" si="36"/>
        <v/>
      </c>
      <c r="P290" s="11" t="str">
        <f t="shared" si="37"/>
        <v/>
      </c>
      <c r="Q290" s="5" t="str">
        <f t="shared" si="38"/>
        <v/>
      </c>
      <c r="R290" s="10"/>
      <c r="S290" s="5" t="str">
        <f t="shared" si="39"/>
        <v/>
      </c>
      <c r="T290" s="5" t="str">
        <f t="shared" si="40"/>
        <v/>
      </c>
      <c r="U290" s="5" t="str">
        <f t="shared" si="41"/>
        <v/>
      </c>
      <c r="V290" s="7" t="str">
        <f t="shared" si="42"/>
        <v/>
      </c>
      <c r="W290" s="8" t="str">
        <f t="shared" si="43"/>
        <v/>
      </c>
      <c r="X290" s="2"/>
      <c r="Y290" s="10"/>
      <c r="Z290" s="11" t="str">
        <f>IF(X290&lt;&gt;"执行卖出","",IFERROR(LOOKUP(2,1/(单次交易!$A$2:$A$163=B290),单次交易!$AP$2:$AP$163),""))</f>
        <v/>
      </c>
      <c r="AA290" s="10"/>
      <c r="AB290" s="8" t="str">
        <f t="shared" si="44"/>
        <v/>
      </c>
      <c r="AC290" s="8" t="str">
        <f>IF(A290="","",IF(A290="止损计划",IF(OR(B290="",D290="",E290="",F290="",G290=""),"计划不完整",IF(OR(D290&lt;1,D290&lt;&gt;INT(D290)),"阶段序号无效",IF(COUNTIFS($A$2:$A$497,"止损计划",$B$2:$B$497,B290,$D$2:$D$497,D290)&gt;1,"阶段序号重复",IF(E290&lt;=IFERROR(LOOKUP(2,1/(单次交易!$A$2:$A$163=B290),单次交易!$E$2:$E$163),0),"激活价须高于买入价",IF(F290&lt;N290,"止损价不得低于初始止损",IF(F290&gt;E290,"止损价不得高于激活价",IF(AND(COUNTIFS($A$2:$A$497,"止损计划",$B$2:$B$497,B290,$D$2:$D$497,"&lt;"&amp;D290)&gt;0,OR(E290&lt;=SUMPRODUCT(MAX((($A$2:$A$497="止损计划")*($B$2:$B$497=B290)*($D$2:$D$497&lt;D290))*$E$2:$E$497)),F290&lt;SUMPRODUCT(MAX((($A$2:$A$497="止损计划")*($B$2:$B$497=B290)*($D$2:$D$497&lt;D290))*$F$2:$F$497)))),"阶段价格必须逐级提高","计划有效"))))))),IF(A290="每日跟踪",IF(OR(B290="",H290="",I290="",J290=""),"每日数据不完整",IF(COUNTIFS($A$2:$A$497,"每日跟踪",$B$2:$B$497,B290,$H$2:$H$497,H290)&gt;1,"同一交易日期重复",IF(AND(R290&lt;&gt;"",R290&lt;S290),"人工止损无效：不能下调","跟踪有效"))),"记录类型无效")))</f>
        <v/>
      </c>
    </row>
    <row r="291" ht="17" spans="1:29">
      <c r="A291" s="2"/>
      <c r="B291" s="2"/>
      <c r="C291" s="8" t="str">
        <f>IF(B291="","",IFERROR(LOOKUP(2,1/(单次交易!$A$2:$A$163=B291),单次交易!$B$2:$B$163),""))</f>
        <v/>
      </c>
      <c r="D291" s="12"/>
      <c r="E291" s="10"/>
      <c r="F291" s="10"/>
      <c r="G291" s="2"/>
      <c r="H291" s="15"/>
      <c r="I291" s="10"/>
      <c r="J291" s="12"/>
      <c r="K291" s="2"/>
      <c r="L291" s="2"/>
      <c r="M291" s="2"/>
      <c r="N291" s="5" t="str">
        <f>IF(B291="","",IFERROR(LOOKUP(2,1/(单次交易!$A$2:$A$163=B291),单次交易!$N$2:$N$163),""))</f>
        <v/>
      </c>
      <c r="O291" s="5" t="str">
        <f t="shared" si="36"/>
        <v/>
      </c>
      <c r="P291" s="11" t="str">
        <f t="shared" si="37"/>
        <v/>
      </c>
      <c r="Q291" s="5" t="str">
        <f t="shared" si="38"/>
        <v/>
      </c>
      <c r="R291" s="10"/>
      <c r="S291" s="5" t="str">
        <f t="shared" si="39"/>
        <v/>
      </c>
      <c r="T291" s="5" t="str">
        <f t="shared" si="40"/>
        <v/>
      </c>
      <c r="U291" s="5" t="str">
        <f t="shared" si="41"/>
        <v/>
      </c>
      <c r="V291" s="7" t="str">
        <f t="shared" si="42"/>
        <v/>
      </c>
      <c r="W291" s="8" t="str">
        <f t="shared" si="43"/>
        <v/>
      </c>
      <c r="X291" s="2"/>
      <c r="Y291" s="10"/>
      <c r="Z291" s="11" t="str">
        <f>IF(X291&lt;&gt;"执行卖出","",IFERROR(LOOKUP(2,1/(单次交易!$A$2:$A$163=B291),单次交易!$AP$2:$AP$163),""))</f>
        <v/>
      </c>
      <c r="AA291" s="10"/>
      <c r="AB291" s="8" t="str">
        <f t="shared" si="44"/>
        <v/>
      </c>
      <c r="AC291" s="8" t="str">
        <f>IF(A291="","",IF(A291="止损计划",IF(OR(B291="",D291="",E291="",F291="",G291=""),"计划不完整",IF(OR(D291&lt;1,D291&lt;&gt;INT(D291)),"阶段序号无效",IF(COUNTIFS($A$2:$A$497,"止损计划",$B$2:$B$497,B291,$D$2:$D$497,D291)&gt;1,"阶段序号重复",IF(E291&lt;=IFERROR(LOOKUP(2,1/(单次交易!$A$2:$A$163=B291),单次交易!$E$2:$E$163),0),"激活价须高于买入价",IF(F291&lt;N291,"止损价不得低于初始止损",IF(F291&gt;E291,"止损价不得高于激活价",IF(AND(COUNTIFS($A$2:$A$497,"止损计划",$B$2:$B$497,B291,$D$2:$D$497,"&lt;"&amp;D291)&gt;0,OR(E291&lt;=SUMPRODUCT(MAX((($A$2:$A$497="止损计划")*($B$2:$B$497=B291)*($D$2:$D$497&lt;D291))*$E$2:$E$497)),F291&lt;SUMPRODUCT(MAX((($A$2:$A$497="止损计划")*($B$2:$B$497=B291)*($D$2:$D$497&lt;D291))*$F$2:$F$497)))),"阶段价格必须逐级提高","计划有效"))))))),IF(A291="每日跟踪",IF(OR(B291="",H291="",I291="",J291=""),"每日数据不完整",IF(COUNTIFS($A$2:$A$497,"每日跟踪",$B$2:$B$497,B291,$H$2:$H$497,H291)&gt;1,"同一交易日期重复",IF(AND(R291&lt;&gt;"",R291&lt;S291),"人工止损无效：不能下调","跟踪有效"))),"记录类型无效")))</f>
        <v/>
      </c>
    </row>
    <row r="292" ht="17" spans="1:29">
      <c r="A292" s="2"/>
      <c r="B292" s="2"/>
      <c r="C292" s="8" t="str">
        <f>IF(B292="","",IFERROR(LOOKUP(2,1/(单次交易!$A$2:$A$163=B292),单次交易!$B$2:$B$163),""))</f>
        <v/>
      </c>
      <c r="D292" s="12"/>
      <c r="E292" s="10"/>
      <c r="F292" s="10"/>
      <c r="G292" s="2"/>
      <c r="H292" s="15"/>
      <c r="I292" s="10"/>
      <c r="J292" s="12"/>
      <c r="K292" s="2"/>
      <c r="L292" s="2"/>
      <c r="M292" s="2"/>
      <c r="N292" s="5" t="str">
        <f>IF(B292="","",IFERROR(LOOKUP(2,1/(单次交易!$A$2:$A$163=B292),单次交易!$N$2:$N$163),""))</f>
        <v/>
      </c>
      <c r="O292" s="5" t="str">
        <f t="shared" si="36"/>
        <v/>
      </c>
      <c r="P292" s="11" t="str">
        <f t="shared" si="37"/>
        <v/>
      </c>
      <c r="Q292" s="5" t="str">
        <f t="shared" si="38"/>
        <v/>
      </c>
      <c r="R292" s="10"/>
      <c r="S292" s="5" t="str">
        <f t="shared" si="39"/>
        <v/>
      </c>
      <c r="T292" s="5" t="str">
        <f t="shared" si="40"/>
        <v/>
      </c>
      <c r="U292" s="5" t="str">
        <f t="shared" si="41"/>
        <v/>
      </c>
      <c r="V292" s="7" t="str">
        <f t="shared" si="42"/>
        <v/>
      </c>
      <c r="W292" s="8" t="str">
        <f t="shared" si="43"/>
        <v/>
      </c>
      <c r="X292" s="2"/>
      <c r="Y292" s="10"/>
      <c r="Z292" s="11" t="str">
        <f>IF(X292&lt;&gt;"执行卖出","",IFERROR(LOOKUP(2,1/(单次交易!$A$2:$A$163=B292),单次交易!$AP$2:$AP$163),""))</f>
        <v/>
      </c>
      <c r="AA292" s="10"/>
      <c r="AB292" s="8" t="str">
        <f t="shared" si="44"/>
        <v/>
      </c>
      <c r="AC292" s="8" t="str">
        <f>IF(A292="","",IF(A292="止损计划",IF(OR(B292="",D292="",E292="",F292="",G292=""),"计划不完整",IF(OR(D292&lt;1,D292&lt;&gt;INT(D292)),"阶段序号无效",IF(COUNTIFS($A$2:$A$497,"止损计划",$B$2:$B$497,B292,$D$2:$D$497,D292)&gt;1,"阶段序号重复",IF(E292&lt;=IFERROR(LOOKUP(2,1/(单次交易!$A$2:$A$163=B292),单次交易!$E$2:$E$163),0),"激活价须高于买入价",IF(F292&lt;N292,"止损价不得低于初始止损",IF(F292&gt;E292,"止损价不得高于激活价",IF(AND(COUNTIFS($A$2:$A$497,"止损计划",$B$2:$B$497,B292,$D$2:$D$497,"&lt;"&amp;D292)&gt;0,OR(E292&lt;=SUMPRODUCT(MAX((($A$2:$A$497="止损计划")*($B$2:$B$497=B292)*($D$2:$D$497&lt;D292))*$E$2:$E$497)),F292&lt;SUMPRODUCT(MAX((($A$2:$A$497="止损计划")*($B$2:$B$497=B292)*($D$2:$D$497&lt;D292))*$F$2:$F$497)))),"阶段价格必须逐级提高","计划有效"))))))),IF(A292="每日跟踪",IF(OR(B292="",H292="",I292="",J292=""),"每日数据不完整",IF(COUNTIFS($A$2:$A$497,"每日跟踪",$B$2:$B$497,B292,$H$2:$H$497,H292)&gt;1,"同一交易日期重复",IF(AND(R292&lt;&gt;"",R292&lt;S292),"人工止损无效：不能下调","跟踪有效"))),"记录类型无效")))</f>
        <v/>
      </c>
    </row>
    <row r="293" ht="17" spans="1:29">
      <c r="A293" s="2"/>
      <c r="B293" s="2"/>
      <c r="C293" s="8" t="str">
        <f>IF(B293="","",IFERROR(LOOKUP(2,1/(单次交易!$A$2:$A$163=B293),单次交易!$B$2:$B$163),""))</f>
        <v/>
      </c>
      <c r="D293" s="12"/>
      <c r="E293" s="10"/>
      <c r="F293" s="10"/>
      <c r="G293" s="2"/>
      <c r="H293" s="15"/>
      <c r="I293" s="10"/>
      <c r="J293" s="12"/>
      <c r="K293" s="2"/>
      <c r="L293" s="2"/>
      <c r="M293" s="2"/>
      <c r="N293" s="5" t="str">
        <f>IF(B293="","",IFERROR(LOOKUP(2,1/(单次交易!$A$2:$A$163=B293),单次交易!$N$2:$N$163),""))</f>
        <v/>
      </c>
      <c r="O293" s="5" t="str">
        <f t="shared" si="36"/>
        <v/>
      </c>
      <c r="P293" s="11" t="str">
        <f t="shared" si="37"/>
        <v/>
      </c>
      <c r="Q293" s="5" t="str">
        <f t="shared" si="38"/>
        <v/>
      </c>
      <c r="R293" s="10"/>
      <c r="S293" s="5" t="str">
        <f t="shared" si="39"/>
        <v/>
      </c>
      <c r="T293" s="5" t="str">
        <f t="shared" si="40"/>
        <v/>
      </c>
      <c r="U293" s="5" t="str">
        <f t="shared" si="41"/>
        <v/>
      </c>
      <c r="V293" s="7" t="str">
        <f t="shared" si="42"/>
        <v/>
      </c>
      <c r="W293" s="8" t="str">
        <f t="shared" si="43"/>
        <v/>
      </c>
      <c r="X293" s="2"/>
      <c r="Y293" s="10"/>
      <c r="Z293" s="11" t="str">
        <f>IF(X293&lt;&gt;"执行卖出","",IFERROR(LOOKUP(2,1/(单次交易!$A$2:$A$163=B293),单次交易!$AP$2:$AP$163),""))</f>
        <v/>
      </c>
      <c r="AA293" s="10"/>
      <c r="AB293" s="8" t="str">
        <f t="shared" si="44"/>
        <v/>
      </c>
      <c r="AC293" s="8" t="str">
        <f>IF(A293="","",IF(A293="止损计划",IF(OR(B293="",D293="",E293="",F293="",G293=""),"计划不完整",IF(OR(D293&lt;1,D293&lt;&gt;INT(D293)),"阶段序号无效",IF(COUNTIFS($A$2:$A$497,"止损计划",$B$2:$B$497,B293,$D$2:$D$497,D293)&gt;1,"阶段序号重复",IF(E293&lt;=IFERROR(LOOKUP(2,1/(单次交易!$A$2:$A$163=B293),单次交易!$E$2:$E$163),0),"激活价须高于买入价",IF(F293&lt;N293,"止损价不得低于初始止损",IF(F293&gt;E293,"止损价不得高于激活价",IF(AND(COUNTIFS($A$2:$A$497,"止损计划",$B$2:$B$497,B293,$D$2:$D$497,"&lt;"&amp;D293)&gt;0,OR(E293&lt;=SUMPRODUCT(MAX((($A$2:$A$497="止损计划")*($B$2:$B$497=B293)*($D$2:$D$497&lt;D293))*$E$2:$E$497)),F293&lt;SUMPRODUCT(MAX((($A$2:$A$497="止损计划")*($B$2:$B$497=B293)*($D$2:$D$497&lt;D293))*$F$2:$F$497)))),"阶段价格必须逐级提高","计划有效"))))))),IF(A293="每日跟踪",IF(OR(B293="",H293="",I293="",J293=""),"每日数据不完整",IF(COUNTIFS($A$2:$A$497,"每日跟踪",$B$2:$B$497,B293,$H$2:$H$497,H293)&gt;1,"同一交易日期重复",IF(AND(R293&lt;&gt;"",R293&lt;S293),"人工止损无效：不能下调","跟踪有效"))),"记录类型无效")))</f>
        <v/>
      </c>
    </row>
    <row r="294" ht="17" spans="1:29">
      <c r="A294" s="2"/>
      <c r="B294" s="2"/>
      <c r="C294" s="8" t="str">
        <f>IF(B294="","",IFERROR(LOOKUP(2,1/(单次交易!$A$2:$A$163=B294),单次交易!$B$2:$B$163),""))</f>
        <v/>
      </c>
      <c r="D294" s="12"/>
      <c r="E294" s="10"/>
      <c r="F294" s="10"/>
      <c r="G294" s="2"/>
      <c r="H294" s="15"/>
      <c r="I294" s="10"/>
      <c r="J294" s="12"/>
      <c r="K294" s="2"/>
      <c r="L294" s="2"/>
      <c r="M294" s="2"/>
      <c r="N294" s="5" t="str">
        <f>IF(B294="","",IFERROR(LOOKUP(2,1/(单次交易!$A$2:$A$163=B294),单次交易!$N$2:$N$163),""))</f>
        <v/>
      </c>
      <c r="O294" s="5" t="str">
        <f t="shared" si="36"/>
        <v/>
      </c>
      <c r="P294" s="11" t="str">
        <f t="shared" si="37"/>
        <v/>
      </c>
      <c r="Q294" s="5" t="str">
        <f t="shared" si="38"/>
        <v/>
      </c>
      <c r="R294" s="10"/>
      <c r="S294" s="5" t="str">
        <f t="shared" si="39"/>
        <v/>
      </c>
      <c r="T294" s="5" t="str">
        <f t="shared" si="40"/>
        <v/>
      </c>
      <c r="U294" s="5" t="str">
        <f t="shared" si="41"/>
        <v/>
      </c>
      <c r="V294" s="7" t="str">
        <f t="shared" si="42"/>
        <v/>
      </c>
      <c r="W294" s="8" t="str">
        <f t="shared" si="43"/>
        <v/>
      </c>
      <c r="X294" s="2"/>
      <c r="Y294" s="10"/>
      <c r="Z294" s="11" t="str">
        <f>IF(X294&lt;&gt;"执行卖出","",IFERROR(LOOKUP(2,1/(单次交易!$A$2:$A$163=B294),单次交易!$AP$2:$AP$163),""))</f>
        <v/>
      </c>
      <c r="AA294" s="10"/>
      <c r="AB294" s="8" t="str">
        <f t="shared" si="44"/>
        <v/>
      </c>
      <c r="AC294" s="8" t="str">
        <f>IF(A294="","",IF(A294="止损计划",IF(OR(B294="",D294="",E294="",F294="",G294=""),"计划不完整",IF(OR(D294&lt;1,D294&lt;&gt;INT(D294)),"阶段序号无效",IF(COUNTIFS($A$2:$A$497,"止损计划",$B$2:$B$497,B294,$D$2:$D$497,D294)&gt;1,"阶段序号重复",IF(E294&lt;=IFERROR(LOOKUP(2,1/(单次交易!$A$2:$A$163=B294),单次交易!$E$2:$E$163),0),"激活价须高于买入价",IF(F294&lt;N294,"止损价不得低于初始止损",IF(F294&gt;E294,"止损价不得高于激活价",IF(AND(COUNTIFS($A$2:$A$497,"止损计划",$B$2:$B$497,B294,$D$2:$D$497,"&lt;"&amp;D294)&gt;0,OR(E294&lt;=SUMPRODUCT(MAX((($A$2:$A$497="止损计划")*($B$2:$B$497=B294)*($D$2:$D$497&lt;D294))*$E$2:$E$497)),F294&lt;SUMPRODUCT(MAX((($A$2:$A$497="止损计划")*($B$2:$B$497=B294)*($D$2:$D$497&lt;D294))*$F$2:$F$497)))),"阶段价格必须逐级提高","计划有效"))))))),IF(A294="每日跟踪",IF(OR(B294="",H294="",I294="",J294=""),"每日数据不完整",IF(COUNTIFS($A$2:$A$497,"每日跟踪",$B$2:$B$497,B294,$H$2:$H$497,H294)&gt;1,"同一交易日期重复",IF(AND(R294&lt;&gt;"",R294&lt;S294),"人工止损无效：不能下调","跟踪有效"))),"记录类型无效")))</f>
        <v/>
      </c>
    </row>
    <row r="295" ht="17" spans="1:29">
      <c r="A295" s="2"/>
      <c r="B295" s="2"/>
      <c r="C295" s="8" t="str">
        <f>IF(B295="","",IFERROR(LOOKUP(2,1/(单次交易!$A$2:$A$163=B295),单次交易!$B$2:$B$163),""))</f>
        <v/>
      </c>
      <c r="D295" s="12"/>
      <c r="E295" s="10"/>
      <c r="F295" s="10"/>
      <c r="G295" s="2"/>
      <c r="H295" s="15"/>
      <c r="I295" s="10"/>
      <c r="J295" s="12"/>
      <c r="K295" s="2"/>
      <c r="L295" s="2"/>
      <c r="M295" s="2"/>
      <c r="N295" s="5" t="str">
        <f>IF(B295="","",IFERROR(LOOKUP(2,1/(单次交易!$A$2:$A$163=B295),单次交易!$N$2:$N$163),""))</f>
        <v/>
      </c>
      <c r="O295" s="5" t="str">
        <f t="shared" si="36"/>
        <v/>
      </c>
      <c r="P295" s="11" t="str">
        <f t="shared" si="37"/>
        <v/>
      </c>
      <c r="Q295" s="5" t="str">
        <f t="shared" si="38"/>
        <v/>
      </c>
      <c r="R295" s="10"/>
      <c r="S295" s="5" t="str">
        <f t="shared" si="39"/>
        <v/>
      </c>
      <c r="T295" s="5" t="str">
        <f t="shared" si="40"/>
        <v/>
      </c>
      <c r="U295" s="5" t="str">
        <f t="shared" si="41"/>
        <v/>
      </c>
      <c r="V295" s="7" t="str">
        <f t="shared" si="42"/>
        <v/>
      </c>
      <c r="W295" s="8" t="str">
        <f t="shared" si="43"/>
        <v/>
      </c>
      <c r="X295" s="2"/>
      <c r="Y295" s="10"/>
      <c r="Z295" s="11" t="str">
        <f>IF(X295&lt;&gt;"执行卖出","",IFERROR(LOOKUP(2,1/(单次交易!$A$2:$A$163=B295),单次交易!$AP$2:$AP$163),""))</f>
        <v/>
      </c>
      <c r="AA295" s="10"/>
      <c r="AB295" s="8" t="str">
        <f t="shared" si="44"/>
        <v/>
      </c>
      <c r="AC295" s="8" t="str">
        <f>IF(A295="","",IF(A295="止损计划",IF(OR(B295="",D295="",E295="",F295="",G295=""),"计划不完整",IF(OR(D295&lt;1,D295&lt;&gt;INT(D295)),"阶段序号无效",IF(COUNTIFS($A$2:$A$497,"止损计划",$B$2:$B$497,B295,$D$2:$D$497,D295)&gt;1,"阶段序号重复",IF(E295&lt;=IFERROR(LOOKUP(2,1/(单次交易!$A$2:$A$163=B295),单次交易!$E$2:$E$163),0),"激活价须高于买入价",IF(F295&lt;N295,"止损价不得低于初始止损",IF(F295&gt;E295,"止损价不得高于激活价",IF(AND(COUNTIFS($A$2:$A$497,"止损计划",$B$2:$B$497,B295,$D$2:$D$497,"&lt;"&amp;D295)&gt;0,OR(E295&lt;=SUMPRODUCT(MAX((($A$2:$A$497="止损计划")*($B$2:$B$497=B295)*($D$2:$D$497&lt;D295))*$E$2:$E$497)),F295&lt;SUMPRODUCT(MAX((($A$2:$A$497="止损计划")*($B$2:$B$497=B295)*($D$2:$D$497&lt;D295))*$F$2:$F$497)))),"阶段价格必须逐级提高","计划有效"))))))),IF(A295="每日跟踪",IF(OR(B295="",H295="",I295="",J295=""),"每日数据不完整",IF(COUNTIFS($A$2:$A$497,"每日跟踪",$B$2:$B$497,B295,$H$2:$H$497,H295)&gt;1,"同一交易日期重复",IF(AND(R295&lt;&gt;"",R295&lt;S295),"人工止损无效：不能下调","跟踪有效"))),"记录类型无效")))</f>
        <v/>
      </c>
    </row>
    <row r="296" ht="17" spans="1:29">
      <c r="A296" s="2"/>
      <c r="B296" s="2"/>
      <c r="C296" s="8" t="str">
        <f>IF(B296="","",IFERROR(LOOKUP(2,1/(单次交易!$A$2:$A$163=B296),单次交易!$B$2:$B$163),""))</f>
        <v/>
      </c>
      <c r="D296" s="12"/>
      <c r="E296" s="10"/>
      <c r="F296" s="10"/>
      <c r="G296" s="2"/>
      <c r="H296" s="15"/>
      <c r="I296" s="10"/>
      <c r="J296" s="12"/>
      <c r="K296" s="2"/>
      <c r="L296" s="2"/>
      <c r="M296" s="2"/>
      <c r="N296" s="5" t="str">
        <f>IF(B296="","",IFERROR(LOOKUP(2,1/(单次交易!$A$2:$A$163=B296),单次交易!$N$2:$N$163),""))</f>
        <v/>
      </c>
      <c r="O296" s="5" t="str">
        <f t="shared" si="36"/>
        <v/>
      </c>
      <c r="P296" s="11" t="str">
        <f t="shared" si="37"/>
        <v/>
      </c>
      <c r="Q296" s="5" t="str">
        <f t="shared" si="38"/>
        <v/>
      </c>
      <c r="R296" s="10"/>
      <c r="S296" s="5" t="str">
        <f t="shared" si="39"/>
        <v/>
      </c>
      <c r="T296" s="5" t="str">
        <f t="shared" si="40"/>
        <v/>
      </c>
      <c r="U296" s="5" t="str">
        <f t="shared" si="41"/>
        <v/>
      </c>
      <c r="V296" s="7" t="str">
        <f t="shared" si="42"/>
        <v/>
      </c>
      <c r="W296" s="8" t="str">
        <f t="shared" si="43"/>
        <v/>
      </c>
      <c r="X296" s="2"/>
      <c r="Y296" s="10"/>
      <c r="Z296" s="11" t="str">
        <f>IF(X296&lt;&gt;"执行卖出","",IFERROR(LOOKUP(2,1/(单次交易!$A$2:$A$163=B296),单次交易!$AP$2:$AP$163),""))</f>
        <v/>
      </c>
      <c r="AA296" s="10"/>
      <c r="AB296" s="8" t="str">
        <f t="shared" si="44"/>
        <v/>
      </c>
      <c r="AC296" s="8" t="str">
        <f>IF(A296="","",IF(A296="止损计划",IF(OR(B296="",D296="",E296="",F296="",G296=""),"计划不完整",IF(OR(D296&lt;1,D296&lt;&gt;INT(D296)),"阶段序号无效",IF(COUNTIFS($A$2:$A$497,"止损计划",$B$2:$B$497,B296,$D$2:$D$497,D296)&gt;1,"阶段序号重复",IF(E296&lt;=IFERROR(LOOKUP(2,1/(单次交易!$A$2:$A$163=B296),单次交易!$E$2:$E$163),0),"激活价须高于买入价",IF(F296&lt;N296,"止损价不得低于初始止损",IF(F296&gt;E296,"止损价不得高于激活价",IF(AND(COUNTIFS($A$2:$A$497,"止损计划",$B$2:$B$497,B296,$D$2:$D$497,"&lt;"&amp;D296)&gt;0,OR(E296&lt;=SUMPRODUCT(MAX((($A$2:$A$497="止损计划")*($B$2:$B$497=B296)*($D$2:$D$497&lt;D296))*$E$2:$E$497)),F296&lt;SUMPRODUCT(MAX((($A$2:$A$497="止损计划")*($B$2:$B$497=B296)*($D$2:$D$497&lt;D296))*$F$2:$F$497)))),"阶段价格必须逐级提高","计划有效"))))))),IF(A296="每日跟踪",IF(OR(B296="",H296="",I296="",J296=""),"每日数据不完整",IF(COUNTIFS($A$2:$A$497,"每日跟踪",$B$2:$B$497,B296,$H$2:$H$497,H296)&gt;1,"同一交易日期重复",IF(AND(R296&lt;&gt;"",R296&lt;S296),"人工止损无效：不能下调","跟踪有效"))),"记录类型无效")))</f>
        <v/>
      </c>
    </row>
    <row r="297" ht="17" spans="1:29">
      <c r="A297" s="2"/>
      <c r="B297" s="2"/>
      <c r="C297" s="8" t="str">
        <f>IF(B297="","",IFERROR(LOOKUP(2,1/(单次交易!$A$2:$A$163=B297),单次交易!$B$2:$B$163),""))</f>
        <v/>
      </c>
      <c r="D297" s="12"/>
      <c r="E297" s="10"/>
      <c r="F297" s="10"/>
      <c r="G297" s="2"/>
      <c r="H297" s="15"/>
      <c r="I297" s="10"/>
      <c r="J297" s="12"/>
      <c r="K297" s="2"/>
      <c r="L297" s="2"/>
      <c r="M297" s="2"/>
      <c r="N297" s="5" t="str">
        <f>IF(B297="","",IFERROR(LOOKUP(2,1/(单次交易!$A$2:$A$163=B297),单次交易!$N$2:$N$163),""))</f>
        <v/>
      </c>
      <c r="O297" s="5" t="str">
        <f t="shared" si="36"/>
        <v/>
      </c>
      <c r="P297" s="11" t="str">
        <f t="shared" si="37"/>
        <v/>
      </c>
      <c r="Q297" s="5" t="str">
        <f t="shared" si="38"/>
        <v/>
      </c>
      <c r="R297" s="10"/>
      <c r="S297" s="5" t="str">
        <f t="shared" si="39"/>
        <v/>
      </c>
      <c r="T297" s="5" t="str">
        <f t="shared" si="40"/>
        <v/>
      </c>
      <c r="U297" s="5" t="str">
        <f t="shared" si="41"/>
        <v/>
      </c>
      <c r="V297" s="7" t="str">
        <f t="shared" si="42"/>
        <v/>
      </c>
      <c r="W297" s="8" t="str">
        <f t="shared" si="43"/>
        <v/>
      </c>
      <c r="X297" s="2"/>
      <c r="Y297" s="10"/>
      <c r="Z297" s="11" t="str">
        <f>IF(X297&lt;&gt;"执行卖出","",IFERROR(LOOKUP(2,1/(单次交易!$A$2:$A$163=B297),单次交易!$AP$2:$AP$163),""))</f>
        <v/>
      </c>
      <c r="AA297" s="10"/>
      <c r="AB297" s="8" t="str">
        <f t="shared" si="44"/>
        <v/>
      </c>
      <c r="AC297" s="8" t="str">
        <f>IF(A297="","",IF(A297="止损计划",IF(OR(B297="",D297="",E297="",F297="",G297=""),"计划不完整",IF(OR(D297&lt;1,D297&lt;&gt;INT(D297)),"阶段序号无效",IF(COUNTIFS($A$2:$A$497,"止损计划",$B$2:$B$497,B297,$D$2:$D$497,D297)&gt;1,"阶段序号重复",IF(E297&lt;=IFERROR(LOOKUP(2,1/(单次交易!$A$2:$A$163=B297),单次交易!$E$2:$E$163),0),"激活价须高于买入价",IF(F297&lt;N297,"止损价不得低于初始止损",IF(F297&gt;E297,"止损价不得高于激活价",IF(AND(COUNTIFS($A$2:$A$497,"止损计划",$B$2:$B$497,B297,$D$2:$D$497,"&lt;"&amp;D297)&gt;0,OR(E297&lt;=SUMPRODUCT(MAX((($A$2:$A$497="止损计划")*($B$2:$B$497=B297)*($D$2:$D$497&lt;D297))*$E$2:$E$497)),F297&lt;SUMPRODUCT(MAX((($A$2:$A$497="止损计划")*($B$2:$B$497=B297)*($D$2:$D$497&lt;D297))*$F$2:$F$497)))),"阶段价格必须逐级提高","计划有效"))))))),IF(A297="每日跟踪",IF(OR(B297="",H297="",I297="",J297=""),"每日数据不完整",IF(COUNTIFS($A$2:$A$497,"每日跟踪",$B$2:$B$497,B297,$H$2:$H$497,H297)&gt;1,"同一交易日期重复",IF(AND(R297&lt;&gt;"",R297&lt;S297),"人工止损无效：不能下调","跟踪有效"))),"记录类型无效")))</f>
        <v/>
      </c>
    </row>
    <row r="298" ht="17" spans="1:29">
      <c r="A298" s="2"/>
      <c r="B298" s="2"/>
      <c r="C298" s="8" t="str">
        <f>IF(B298="","",IFERROR(LOOKUP(2,1/(单次交易!$A$2:$A$163=B298),单次交易!$B$2:$B$163),""))</f>
        <v/>
      </c>
      <c r="D298" s="12"/>
      <c r="E298" s="10"/>
      <c r="F298" s="10"/>
      <c r="G298" s="2"/>
      <c r="H298" s="15"/>
      <c r="I298" s="10"/>
      <c r="J298" s="12"/>
      <c r="K298" s="2"/>
      <c r="L298" s="2"/>
      <c r="M298" s="2"/>
      <c r="N298" s="5" t="str">
        <f>IF(B298="","",IFERROR(LOOKUP(2,1/(单次交易!$A$2:$A$163=B298),单次交易!$N$2:$N$163),""))</f>
        <v/>
      </c>
      <c r="O298" s="5" t="str">
        <f t="shared" si="36"/>
        <v/>
      </c>
      <c r="P298" s="11" t="str">
        <f t="shared" si="37"/>
        <v/>
      </c>
      <c r="Q298" s="5" t="str">
        <f t="shared" si="38"/>
        <v/>
      </c>
      <c r="R298" s="10"/>
      <c r="S298" s="5" t="str">
        <f t="shared" si="39"/>
        <v/>
      </c>
      <c r="T298" s="5" t="str">
        <f t="shared" si="40"/>
        <v/>
      </c>
      <c r="U298" s="5" t="str">
        <f t="shared" si="41"/>
        <v/>
      </c>
      <c r="V298" s="7" t="str">
        <f t="shared" si="42"/>
        <v/>
      </c>
      <c r="W298" s="8" t="str">
        <f t="shared" si="43"/>
        <v/>
      </c>
      <c r="X298" s="2"/>
      <c r="Y298" s="10"/>
      <c r="Z298" s="11" t="str">
        <f>IF(X298&lt;&gt;"执行卖出","",IFERROR(LOOKUP(2,1/(单次交易!$A$2:$A$163=B298),单次交易!$AP$2:$AP$163),""))</f>
        <v/>
      </c>
      <c r="AA298" s="10"/>
      <c r="AB298" s="8" t="str">
        <f t="shared" si="44"/>
        <v/>
      </c>
      <c r="AC298" s="8" t="str">
        <f>IF(A298="","",IF(A298="止损计划",IF(OR(B298="",D298="",E298="",F298="",G298=""),"计划不完整",IF(OR(D298&lt;1,D298&lt;&gt;INT(D298)),"阶段序号无效",IF(COUNTIFS($A$2:$A$497,"止损计划",$B$2:$B$497,B298,$D$2:$D$497,D298)&gt;1,"阶段序号重复",IF(E298&lt;=IFERROR(LOOKUP(2,1/(单次交易!$A$2:$A$163=B298),单次交易!$E$2:$E$163),0),"激活价须高于买入价",IF(F298&lt;N298,"止损价不得低于初始止损",IF(F298&gt;E298,"止损价不得高于激活价",IF(AND(COUNTIFS($A$2:$A$497,"止损计划",$B$2:$B$497,B298,$D$2:$D$497,"&lt;"&amp;D298)&gt;0,OR(E298&lt;=SUMPRODUCT(MAX((($A$2:$A$497="止损计划")*($B$2:$B$497=B298)*($D$2:$D$497&lt;D298))*$E$2:$E$497)),F298&lt;SUMPRODUCT(MAX((($A$2:$A$497="止损计划")*($B$2:$B$497=B298)*($D$2:$D$497&lt;D298))*$F$2:$F$497)))),"阶段价格必须逐级提高","计划有效"))))))),IF(A298="每日跟踪",IF(OR(B298="",H298="",I298="",J298=""),"每日数据不完整",IF(COUNTIFS($A$2:$A$497,"每日跟踪",$B$2:$B$497,B298,$H$2:$H$497,H298)&gt;1,"同一交易日期重复",IF(AND(R298&lt;&gt;"",R298&lt;S298),"人工止损无效：不能下调","跟踪有效"))),"记录类型无效")))</f>
        <v/>
      </c>
    </row>
    <row r="299" ht="17" spans="1:29">
      <c r="A299" s="2"/>
      <c r="B299" s="2"/>
      <c r="C299" s="8" t="str">
        <f>IF(B299="","",IFERROR(LOOKUP(2,1/(单次交易!$A$2:$A$163=B299),单次交易!$B$2:$B$163),""))</f>
        <v/>
      </c>
      <c r="D299" s="12"/>
      <c r="E299" s="10"/>
      <c r="F299" s="10"/>
      <c r="G299" s="2"/>
      <c r="H299" s="15"/>
      <c r="I299" s="10"/>
      <c r="J299" s="12"/>
      <c r="K299" s="2"/>
      <c r="L299" s="2"/>
      <c r="M299" s="2"/>
      <c r="N299" s="5" t="str">
        <f>IF(B299="","",IFERROR(LOOKUP(2,1/(单次交易!$A$2:$A$163=B299),单次交易!$N$2:$N$163),""))</f>
        <v/>
      </c>
      <c r="O299" s="5" t="str">
        <f t="shared" si="36"/>
        <v/>
      </c>
      <c r="P299" s="11" t="str">
        <f t="shared" si="37"/>
        <v/>
      </c>
      <c r="Q299" s="5" t="str">
        <f t="shared" si="38"/>
        <v/>
      </c>
      <c r="R299" s="10"/>
      <c r="S299" s="5" t="str">
        <f t="shared" si="39"/>
        <v/>
      </c>
      <c r="T299" s="5" t="str">
        <f t="shared" si="40"/>
        <v/>
      </c>
      <c r="U299" s="5" t="str">
        <f t="shared" si="41"/>
        <v/>
      </c>
      <c r="V299" s="7" t="str">
        <f t="shared" si="42"/>
        <v/>
      </c>
      <c r="W299" s="8" t="str">
        <f t="shared" si="43"/>
        <v/>
      </c>
      <c r="X299" s="2"/>
      <c r="Y299" s="10"/>
      <c r="Z299" s="11" t="str">
        <f>IF(X299&lt;&gt;"执行卖出","",IFERROR(LOOKUP(2,1/(单次交易!$A$2:$A$163=B299),单次交易!$AP$2:$AP$163),""))</f>
        <v/>
      </c>
      <c r="AA299" s="10"/>
      <c r="AB299" s="8" t="str">
        <f t="shared" si="44"/>
        <v/>
      </c>
      <c r="AC299" s="8" t="str">
        <f>IF(A299="","",IF(A299="止损计划",IF(OR(B299="",D299="",E299="",F299="",G299=""),"计划不完整",IF(OR(D299&lt;1,D299&lt;&gt;INT(D299)),"阶段序号无效",IF(COUNTIFS($A$2:$A$497,"止损计划",$B$2:$B$497,B299,$D$2:$D$497,D299)&gt;1,"阶段序号重复",IF(E299&lt;=IFERROR(LOOKUP(2,1/(单次交易!$A$2:$A$163=B299),单次交易!$E$2:$E$163),0),"激活价须高于买入价",IF(F299&lt;N299,"止损价不得低于初始止损",IF(F299&gt;E299,"止损价不得高于激活价",IF(AND(COUNTIFS($A$2:$A$497,"止损计划",$B$2:$B$497,B299,$D$2:$D$497,"&lt;"&amp;D299)&gt;0,OR(E299&lt;=SUMPRODUCT(MAX((($A$2:$A$497="止损计划")*($B$2:$B$497=B299)*($D$2:$D$497&lt;D299))*$E$2:$E$497)),F299&lt;SUMPRODUCT(MAX((($A$2:$A$497="止损计划")*($B$2:$B$497=B299)*($D$2:$D$497&lt;D299))*$F$2:$F$497)))),"阶段价格必须逐级提高","计划有效"))))))),IF(A299="每日跟踪",IF(OR(B299="",H299="",I299="",J299=""),"每日数据不完整",IF(COUNTIFS($A$2:$A$497,"每日跟踪",$B$2:$B$497,B299,$H$2:$H$497,H299)&gt;1,"同一交易日期重复",IF(AND(R299&lt;&gt;"",R299&lt;S299),"人工止损无效：不能下调","跟踪有效"))),"记录类型无效")))</f>
        <v/>
      </c>
    </row>
    <row r="300" ht="17" spans="1:29">
      <c r="A300" s="2"/>
      <c r="B300" s="2"/>
      <c r="C300" s="8" t="str">
        <f>IF(B300="","",IFERROR(LOOKUP(2,1/(单次交易!$A$2:$A$163=B300),单次交易!$B$2:$B$163),""))</f>
        <v/>
      </c>
      <c r="D300" s="12"/>
      <c r="E300" s="10"/>
      <c r="F300" s="10"/>
      <c r="G300" s="2"/>
      <c r="H300" s="15"/>
      <c r="I300" s="10"/>
      <c r="J300" s="12"/>
      <c r="K300" s="2"/>
      <c r="L300" s="2"/>
      <c r="M300" s="2"/>
      <c r="N300" s="5" t="str">
        <f>IF(B300="","",IFERROR(LOOKUP(2,1/(单次交易!$A$2:$A$163=B300),单次交易!$N$2:$N$163),""))</f>
        <v/>
      </c>
      <c r="O300" s="5" t="str">
        <f t="shared" si="36"/>
        <v/>
      </c>
      <c r="P300" s="11" t="str">
        <f t="shared" si="37"/>
        <v/>
      </c>
      <c r="Q300" s="5" t="str">
        <f t="shared" si="38"/>
        <v/>
      </c>
      <c r="R300" s="10"/>
      <c r="S300" s="5" t="str">
        <f t="shared" si="39"/>
        <v/>
      </c>
      <c r="T300" s="5" t="str">
        <f t="shared" si="40"/>
        <v/>
      </c>
      <c r="U300" s="5" t="str">
        <f t="shared" si="41"/>
        <v/>
      </c>
      <c r="V300" s="7" t="str">
        <f t="shared" si="42"/>
        <v/>
      </c>
      <c r="W300" s="8" t="str">
        <f t="shared" si="43"/>
        <v/>
      </c>
      <c r="X300" s="2"/>
      <c r="Y300" s="10"/>
      <c r="Z300" s="11" t="str">
        <f>IF(X300&lt;&gt;"执行卖出","",IFERROR(LOOKUP(2,1/(单次交易!$A$2:$A$163=B300),单次交易!$AP$2:$AP$163),""))</f>
        <v/>
      </c>
      <c r="AA300" s="10"/>
      <c r="AB300" s="8" t="str">
        <f t="shared" si="44"/>
        <v/>
      </c>
      <c r="AC300" s="8" t="str">
        <f>IF(A300="","",IF(A300="止损计划",IF(OR(B300="",D300="",E300="",F300="",G300=""),"计划不完整",IF(OR(D300&lt;1,D300&lt;&gt;INT(D300)),"阶段序号无效",IF(COUNTIFS($A$2:$A$497,"止损计划",$B$2:$B$497,B300,$D$2:$D$497,D300)&gt;1,"阶段序号重复",IF(E300&lt;=IFERROR(LOOKUP(2,1/(单次交易!$A$2:$A$163=B300),单次交易!$E$2:$E$163),0),"激活价须高于买入价",IF(F300&lt;N300,"止损价不得低于初始止损",IF(F300&gt;E300,"止损价不得高于激活价",IF(AND(COUNTIFS($A$2:$A$497,"止损计划",$B$2:$B$497,B300,$D$2:$D$497,"&lt;"&amp;D300)&gt;0,OR(E300&lt;=SUMPRODUCT(MAX((($A$2:$A$497="止损计划")*($B$2:$B$497=B300)*($D$2:$D$497&lt;D300))*$E$2:$E$497)),F300&lt;SUMPRODUCT(MAX((($A$2:$A$497="止损计划")*($B$2:$B$497=B300)*($D$2:$D$497&lt;D300))*$F$2:$F$497)))),"阶段价格必须逐级提高","计划有效"))))))),IF(A300="每日跟踪",IF(OR(B300="",H300="",I300="",J300=""),"每日数据不完整",IF(COUNTIFS($A$2:$A$497,"每日跟踪",$B$2:$B$497,B300,$H$2:$H$497,H300)&gt;1,"同一交易日期重复",IF(AND(R300&lt;&gt;"",R300&lt;S300),"人工止损无效：不能下调","跟踪有效"))),"记录类型无效")))</f>
        <v/>
      </c>
    </row>
    <row r="301" ht="17" spans="1:29">
      <c r="A301" s="2"/>
      <c r="B301" s="2"/>
      <c r="C301" s="8" t="str">
        <f>IF(B301="","",IFERROR(LOOKUP(2,1/(单次交易!$A$2:$A$163=B301),单次交易!$B$2:$B$163),""))</f>
        <v/>
      </c>
      <c r="D301" s="12"/>
      <c r="E301" s="10"/>
      <c r="F301" s="10"/>
      <c r="G301" s="2"/>
      <c r="H301" s="15"/>
      <c r="I301" s="10"/>
      <c r="J301" s="12"/>
      <c r="K301" s="2"/>
      <c r="L301" s="2"/>
      <c r="M301" s="2"/>
      <c r="N301" s="5" t="str">
        <f>IF(B301="","",IFERROR(LOOKUP(2,1/(单次交易!$A$2:$A$163=B301),单次交易!$N$2:$N$163),""))</f>
        <v/>
      </c>
      <c r="O301" s="5" t="str">
        <f t="shared" si="36"/>
        <v/>
      </c>
      <c r="P301" s="11" t="str">
        <f t="shared" si="37"/>
        <v/>
      </c>
      <c r="Q301" s="5" t="str">
        <f t="shared" si="38"/>
        <v/>
      </c>
      <c r="R301" s="10"/>
      <c r="S301" s="5" t="str">
        <f t="shared" si="39"/>
        <v/>
      </c>
      <c r="T301" s="5" t="str">
        <f t="shared" si="40"/>
        <v/>
      </c>
      <c r="U301" s="5" t="str">
        <f t="shared" si="41"/>
        <v/>
      </c>
      <c r="V301" s="7" t="str">
        <f t="shared" si="42"/>
        <v/>
      </c>
      <c r="W301" s="8" t="str">
        <f t="shared" si="43"/>
        <v/>
      </c>
      <c r="X301" s="2"/>
      <c r="Y301" s="10"/>
      <c r="Z301" s="11" t="str">
        <f>IF(X301&lt;&gt;"执行卖出","",IFERROR(LOOKUP(2,1/(单次交易!$A$2:$A$163=B301),单次交易!$AP$2:$AP$163),""))</f>
        <v/>
      </c>
      <c r="AA301" s="10"/>
      <c r="AB301" s="8" t="str">
        <f t="shared" si="44"/>
        <v/>
      </c>
      <c r="AC301" s="8" t="str">
        <f>IF(A301="","",IF(A301="止损计划",IF(OR(B301="",D301="",E301="",F301="",G301=""),"计划不完整",IF(OR(D301&lt;1,D301&lt;&gt;INT(D301)),"阶段序号无效",IF(COUNTIFS($A$2:$A$497,"止损计划",$B$2:$B$497,B301,$D$2:$D$497,D301)&gt;1,"阶段序号重复",IF(E301&lt;=IFERROR(LOOKUP(2,1/(单次交易!$A$2:$A$163=B301),单次交易!$E$2:$E$163),0),"激活价须高于买入价",IF(F301&lt;N301,"止损价不得低于初始止损",IF(F301&gt;E301,"止损价不得高于激活价",IF(AND(COUNTIFS($A$2:$A$497,"止损计划",$B$2:$B$497,B301,$D$2:$D$497,"&lt;"&amp;D301)&gt;0,OR(E301&lt;=SUMPRODUCT(MAX((($A$2:$A$497="止损计划")*($B$2:$B$497=B301)*($D$2:$D$497&lt;D301))*$E$2:$E$497)),F301&lt;SUMPRODUCT(MAX((($A$2:$A$497="止损计划")*($B$2:$B$497=B301)*($D$2:$D$497&lt;D301))*$F$2:$F$497)))),"阶段价格必须逐级提高","计划有效"))))))),IF(A301="每日跟踪",IF(OR(B301="",H301="",I301="",J301=""),"每日数据不完整",IF(COUNTIFS($A$2:$A$497,"每日跟踪",$B$2:$B$497,B301,$H$2:$H$497,H301)&gt;1,"同一交易日期重复",IF(AND(R301&lt;&gt;"",R301&lt;S301),"人工止损无效：不能下调","跟踪有效"))),"记录类型无效")))</f>
        <v/>
      </c>
    </row>
    <row r="302" ht="17" spans="1:29">
      <c r="A302" s="2"/>
      <c r="B302" s="2"/>
      <c r="C302" s="8" t="str">
        <f>IF(B302="","",IFERROR(LOOKUP(2,1/(单次交易!$A$2:$A$163=B302),单次交易!$B$2:$B$163),""))</f>
        <v/>
      </c>
      <c r="D302" s="12"/>
      <c r="E302" s="10"/>
      <c r="F302" s="10"/>
      <c r="G302" s="2"/>
      <c r="H302" s="15"/>
      <c r="I302" s="10"/>
      <c r="J302" s="12"/>
      <c r="K302" s="2"/>
      <c r="L302" s="2"/>
      <c r="M302" s="2"/>
      <c r="N302" s="5" t="str">
        <f>IF(B302="","",IFERROR(LOOKUP(2,1/(单次交易!$A$2:$A$163=B302),单次交易!$N$2:$N$163),""))</f>
        <v/>
      </c>
      <c r="O302" s="5" t="str">
        <f t="shared" si="36"/>
        <v/>
      </c>
      <c r="P302" s="11" t="str">
        <f t="shared" si="37"/>
        <v/>
      </c>
      <c r="Q302" s="5" t="str">
        <f t="shared" si="38"/>
        <v/>
      </c>
      <c r="R302" s="10"/>
      <c r="S302" s="5" t="str">
        <f t="shared" si="39"/>
        <v/>
      </c>
      <c r="T302" s="5" t="str">
        <f t="shared" si="40"/>
        <v/>
      </c>
      <c r="U302" s="5" t="str">
        <f t="shared" si="41"/>
        <v/>
      </c>
      <c r="V302" s="7" t="str">
        <f t="shared" si="42"/>
        <v/>
      </c>
      <c r="W302" s="8" t="str">
        <f t="shared" si="43"/>
        <v/>
      </c>
      <c r="X302" s="2"/>
      <c r="Y302" s="10"/>
      <c r="Z302" s="11" t="str">
        <f>IF(X302&lt;&gt;"执行卖出","",IFERROR(LOOKUP(2,1/(单次交易!$A$2:$A$163=B302),单次交易!$AP$2:$AP$163),""))</f>
        <v/>
      </c>
      <c r="AA302" s="10"/>
      <c r="AB302" s="8" t="str">
        <f t="shared" si="44"/>
        <v/>
      </c>
      <c r="AC302" s="8" t="str">
        <f>IF(A302="","",IF(A302="止损计划",IF(OR(B302="",D302="",E302="",F302="",G302=""),"计划不完整",IF(OR(D302&lt;1,D302&lt;&gt;INT(D302)),"阶段序号无效",IF(COUNTIFS($A$2:$A$497,"止损计划",$B$2:$B$497,B302,$D$2:$D$497,D302)&gt;1,"阶段序号重复",IF(E302&lt;=IFERROR(LOOKUP(2,1/(单次交易!$A$2:$A$163=B302),单次交易!$E$2:$E$163),0),"激活价须高于买入价",IF(F302&lt;N302,"止损价不得低于初始止损",IF(F302&gt;E302,"止损价不得高于激活价",IF(AND(COUNTIFS($A$2:$A$497,"止损计划",$B$2:$B$497,B302,$D$2:$D$497,"&lt;"&amp;D302)&gt;0,OR(E302&lt;=SUMPRODUCT(MAX((($A$2:$A$497="止损计划")*($B$2:$B$497=B302)*($D$2:$D$497&lt;D302))*$E$2:$E$497)),F302&lt;SUMPRODUCT(MAX((($A$2:$A$497="止损计划")*($B$2:$B$497=B302)*($D$2:$D$497&lt;D302))*$F$2:$F$497)))),"阶段价格必须逐级提高","计划有效"))))))),IF(A302="每日跟踪",IF(OR(B302="",H302="",I302="",J302=""),"每日数据不完整",IF(COUNTIFS($A$2:$A$497,"每日跟踪",$B$2:$B$497,B302,$H$2:$H$497,H302)&gt;1,"同一交易日期重复",IF(AND(R302&lt;&gt;"",R302&lt;S302),"人工止损无效：不能下调","跟踪有效"))),"记录类型无效")))</f>
        <v/>
      </c>
    </row>
    <row r="303" ht="17" spans="1:29">
      <c r="A303" s="2"/>
      <c r="B303" s="2"/>
      <c r="C303" s="8" t="str">
        <f>IF(B303="","",IFERROR(LOOKUP(2,1/(单次交易!$A$2:$A$163=B303),单次交易!$B$2:$B$163),""))</f>
        <v/>
      </c>
      <c r="D303" s="12"/>
      <c r="E303" s="10"/>
      <c r="F303" s="10"/>
      <c r="G303" s="2"/>
      <c r="H303" s="15"/>
      <c r="I303" s="10"/>
      <c r="J303" s="12"/>
      <c r="K303" s="2"/>
      <c r="L303" s="2"/>
      <c r="M303" s="2"/>
      <c r="N303" s="5" t="str">
        <f>IF(B303="","",IFERROR(LOOKUP(2,1/(单次交易!$A$2:$A$163=B303),单次交易!$N$2:$N$163),""))</f>
        <v/>
      </c>
      <c r="O303" s="5" t="str">
        <f t="shared" si="36"/>
        <v/>
      </c>
      <c r="P303" s="11" t="str">
        <f t="shared" si="37"/>
        <v/>
      </c>
      <c r="Q303" s="5" t="str">
        <f t="shared" si="38"/>
        <v/>
      </c>
      <c r="R303" s="10"/>
      <c r="S303" s="5" t="str">
        <f t="shared" si="39"/>
        <v/>
      </c>
      <c r="T303" s="5" t="str">
        <f t="shared" si="40"/>
        <v/>
      </c>
      <c r="U303" s="5" t="str">
        <f t="shared" si="41"/>
        <v/>
      </c>
      <c r="V303" s="7" t="str">
        <f t="shared" si="42"/>
        <v/>
      </c>
      <c r="W303" s="8" t="str">
        <f t="shared" si="43"/>
        <v/>
      </c>
      <c r="X303" s="2"/>
      <c r="Y303" s="10"/>
      <c r="Z303" s="11" t="str">
        <f>IF(X303&lt;&gt;"执行卖出","",IFERROR(LOOKUP(2,1/(单次交易!$A$2:$A$163=B303),单次交易!$AP$2:$AP$163),""))</f>
        <v/>
      </c>
      <c r="AA303" s="10"/>
      <c r="AB303" s="8" t="str">
        <f t="shared" si="44"/>
        <v/>
      </c>
      <c r="AC303" s="8" t="str">
        <f>IF(A303="","",IF(A303="止损计划",IF(OR(B303="",D303="",E303="",F303="",G303=""),"计划不完整",IF(OR(D303&lt;1,D303&lt;&gt;INT(D303)),"阶段序号无效",IF(COUNTIFS($A$2:$A$497,"止损计划",$B$2:$B$497,B303,$D$2:$D$497,D303)&gt;1,"阶段序号重复",IF(E303&lt;=IFERROR(LOOKUP(2,1/(单次交易!$A$2:$A$163=B303),单次交易!$E$2:$E$163),0),"激活价须高于买入价",IF(F303&lt;N303,"止损价不得低于初始止损",IF(F303&gt;E303,"止损价不得高于激活价",IF(AND(COUNTIFS($A$2:$A$497,"止损计划",$B$2:$B$497,B303,$D$2:$D$497,"&lt;"&amp;D303)&gt;0,OR(E303&lt;=SUMPRODUCT(MAX((($A$2:$A$497="止损计划")*($B$2:$B$497=B303)*($D$2:$D$497&lt;D303))*$E$2:$E$497)),F303&lt;SUMPRODUCT(MAX((($A$2:$A$497="止损计划")*($B$2:$B$497=B303)*($D$2:$D$497&lt;D303))*$F$2:$F$497)))),"阶段价格必须逐级提高","计划有效"))))))),IF(A303="每日跟踪",IF(OR(B303="",H303="",I303="",J303=""),"每日数据不完整",IF(COUNTIFS($A$2:$A$497,"每日跟踪",$B$2:$B$497,B303,$H$2:$H$497,H303)&gt;1,"同一交易日期重复",IF(AND(R303&lt;&gt;"",R303&lt;S303),"人工止损无效：不能下调","跟踪有效"))),"记录类型无效")))</f>
        <v/>
      </c>
    </row>
    <row r="304" ht="17" spans="1:29">
      <c r="A304" s="2"/>
      <c r="B304" s="2"/>
      <c r="C304" s="8" t="str">
        <f>IF(B304="","",IFERROR(LOOKUP(2,1/(单次交易!$A$2:$A$163=B304),单次交易!$B$2:$B$163),""))</f>
        <v/>
      </c>
      <c r="D304" s="12"/>
      <c r="E304" s="10"/>
      <c r="F304" s="10"/>
      <c r="G304" s="2"/>
      <c r="H304" s="15"/>
      <c r="I304" s="10"/>
      <c r="J304" s="12"/>
      <c r="K304" s="2"/>
      <c r="L304" s="2"/>
      <c r="M304" s="2"/>
      <c r="N304" s="5" t="str">
        <f>IF(B304="","",IFERROR(LOOKUP(2,1/(单次交易!$A$2:$A$163=B304),单次交易!$N$2:$N$163),""))</f>
        <v/>
      </c>
      <c r="O304" s="5" t="str">
        <f t="shared" si="36"/>
        <v/>
      </c>
      <c r="P304" s="11" t="str">
        <f t="shared" si="37"/>
        <v/>
      </c>
      <c r="Q304" s="5" t="str">
        <f t="shared" si="38"/>
        <v/>
      </c>
      <c r="R304" s="10"/>
      <c r="S304" s="5" t="str">
        <f t="shared" si="39"/>
        <v/>
      </c>
      <c r="T304" s="5" t="str">
        <f t="shared" si="40"/>
        <v/>
      </c>
      <c r="U304" s="5" t="str">
        <f t="shared" si="41"/>
        <v/>
      </c>
      <c r="V304" s="7" t="str">
        <f t="shared" si="42"/>
        <v/>
      </c>
      <c r="W304" s="8" t="str">
        <f t="shared" si="43"/>
        <v/>
      </c>
      <c r="X304" s="2"/>
      <c r="Y304" s="10"/>
      <c r="Z304" s="11" t="str">
        <f>IF(X304&lt;&gt;"执行卖出","",IFERROR(LOOKUP(2,1/(单次交易!$A$2:$A$163=B304),单次交易!$AP$2:$AP$163),""))</f>
        <v/>
      </c>
      <c r="AA304" s="10"/>
      <c r="AB304" s="8" t="str">
        <f t="shared" si="44"/>
        <v/>
      </c>
      <c r="AC304" s="8" t="str">
        <f>IF(A304="","",IF(A304="止损计划",IF(OR(B304="",D304="",E304="",F304="",G304=""),"计划不完整",IF(OR(D304&lt;1,D304&lt;&gt;INT(D304)),"阶段序号无效",IF(COUNTIFS($A$2:$A$497,"止损计划",$B$2:$B$497,B304,$D$2:$D$497,D304)&gt;1,"阶段序号重复",IF(E304&lt;=IFERROR(LOOKUP(2,1/(单次交易!$A$2:$A$163=B304),单次交易!$E$2:$E$163),0),"激活价须高于买入价",IF(F304&lt;N304,"止损价不得低于初始止损",IF(F304&gt;E304,"止损价不得高于激活价",IF(AND(COUNTIFS($A$2:$A$497,"止损计划",$B$2:$B$497,B304,$D$2:$D$497,"&lt;"&amp;D304)&gt;0,OR(E304&lt;=SUMPRODUCT(MAX((($A$2:$A$497="止损计划")*($B$2:$B$497=B304)*($D$2:$D$497&lt;D304))*$E$2:$E$497)),F304&lt;SUMPRODUCT(MAX((($A$2:$A$497="止损计划")*($B$2:$B$497=B304)*($D$2:$D$497&lt;D304))*$F$2:$F$497)))),"阶段价格必须逐级提高","计划有效"))))))),IF(A304="每日跟踪",IF(OR(B304="",H304="",I304="",J304=""),"每日数据不完整",IF(COUNTIFS($A$2:$A$497,"每日跟踪",$B$2:$B$497,B304,$H$2:$H$497,H304)&gt;1,"同一交易日期重复",IF(AND(R304&lt;&gt;"",R304&lt;S304),"人工止损无效：不能下调","跟踪有效"))),"记录类型无效")))</f>
        <v/>
      </c>
    </row>
    <row r="305" ht="17" spans="1:29">
      <c r="A305" s="2"/>
      <c r="B305" s="2"/>
      <c r="C305" s="8" t="str">
        <f>IF(B305="","",IFERROR(LOOKUP(2,1/(单次交易!$A$2:$A$163=B305),单次交易!$B$2:$B$163),""))</f>
        <v/>
      </c>
      <c r="D305" s="12"/>
      <c r="E305" s="10"/>
      <c r="F305" s="10"/>
      <c r="G305" s="2"/>
      <c r="H305" s="15"/>
      <c r="I305" s="10"/>
      <c r="J305" s="12"/>
      <c r="K305" s="2"/>
      <c r="L305" s="2"/>
      <c r="M305" s="2"/>
      <c r="N305" s="5" t="str">
        <f>IF(B305="","",IFERROR(LOOKUP(2,1/(单次交易!$A$2:$A$163=B305),单次交易!$N$2:$N$163),""))</f>
        <v/>
      </c>
      <c r="O305" s="5" t="str">
        <f t="shared" si="36"/>
        <v/>
      </c>
      <c r="P305" s="11" t="str">
        <f t="shared" si="37"/>
        <v/>
      </c>
      <c r="Q305" s="5" t="str">
        <f t="shared" si="38"/>
        <v/>
      </c>
      <c r="R305" s="10"/>
      <c r="S305" s="5" t="str">
        <f t="shared" si="39"/>
        <v/>
      </c>
      <c r="T305" s="5" t="str">
        <f t="shared" si="40"/>
        <v/>
      </c>
      <c r="U305" s="5" t="str">
        <f t="shared" si="41"/>
        <v/>
      </c>
      <c r="V305" s="7" t="str">
        <f t="shared" si="42"/>
        <v/>
      </c>
      <c r="W305" s="8" t="str">
        <f t="shared" si="43"/>
        <v/>
      </c>
      <c r="X305" s="2"/>
      <c r="Y305" s="10"/>
      <c r="Z305" s="11" t="str">
        <f>IF(X305&lt;&gt;"执行卖出","",IFERROR(LOOKUP(2,1/(单次交易!$A$2:$A$163=B305),单次交易!$AP$2:$AP$163),""))</f>
        <v/>
      </c>
      <c r="AA305" s="10"/>
      <c r="AB305" s="8" t="str">
        <f t="shared" si="44"/>
        <v/>
      </c>
      <c r="AC305" s="8" t="str">
        <f>IF(A305="","",IF(A305="止损计划",IF(OR(B305="",D305="",E305="",F305="",G305=""),"计划不完整",IF(OR(D305&lt;1,D305&lt;&gt;INT(D305)),"阶段序号无效",IF(COUNTIFS($A$2:$A$497,"止损计划",$B$2:$B$497,B305,$D$2:$D$497,D305)&gt;1,"阶段序号重复",IF(E305&lt;=IFERROR(LOOKUP(2,1/(单次交易!$A$2:$A$163=B305),单次交易!$E$2:$E$163),0),"激活价须高于买入价",IF(F305&lt;N305,"止损价不得低于初始止损",IF(F305&gt;E305,"止损价不得高于激活价",IF(AND(COUNTIFS($A$2:$A$497,"止损计划",$B$2:$B$497,B305,$D$2:$D$497,"&lt;"&amp;D305)&gt;0,OR(E305&lt;=SUMPRODUCT(MAX((($A$2:$A$497="止损计划")*($B$2:$B$497=B305)*($D$2:$D$497&lt;D305))*$E$2:$E$497)),F305&lt;SUMPRODUCT(MAX((($A$2:$A$497="止损计划")*($B$2:$B$497=B305)*($D$2:$D$497&lt;D305))*$F$2:$F$497)))),"阶段价格必须逐级提高","计划有效"))))))),IF(A305="每日跟踪",IF(OR(B305="",H305="",I305="",J305=""),"每日数据不完整",IF(COUNTIFS($A$2:$A$497,"每日跟踪",$B$2:$B$497,B305,$H$2:$H$497,H305)&gt;1,"同一交易日期重复",IF(AND(R305&lt;&gt;"",R305&lt;S305),"人工止损无效：不能下调","跟踪有效"))),"记录类型无效")))</f>
        <v/>
      </c>
    </row>
    <row r="306" ht="17" spans="1:29">
      <c r="A306" s="2"/>
      <c r="B306" s="2"/>
      <c r="C306" s="8" t="str">
        <f>IF(B306="","",IFERROR(LOOKUP(2,1/(单次交易!$A$2:$A$163=B306),单次交易!$B$2:$B$163),""))</f>
        <v/>
      </c>
      <c r="D306" s="12"/>
      <c r="E306" s="10"/>
      <c r="F306" s="10"/>
      <c r="G306" s="2"/>
      <c r="H306" s="15"/>
      <c r="I306" s="10"/>
      <c r="J306" s="12"/>
      <c r="K306" s="2"/>
      <c r="L306" s="2"/>
      <c r="M306" s="2"/>
      <c r="N306" s="5" t="str">
        <f>IF(B306="","",IFERROR(LOOKUP(2,1/(单次交易!$A$2:$A$163=B306),单次交易!$N$2:$N$163),""))</f>
        <v/>
      </c>
      <c r="O306" s="5" t="str">
        <f t="shared" si="36"/>
        <v/>
      </c>
      <c r="P306" s="11" t="str">
        <f t="shared" si="37"/>
        <v/>
      </c>
      <c r="Q306" s="5" t="str">
        <f t="shared" si="38"/>
        <v/>
      </c>
      <c r="R306" s="10"/>
      <c r="S306" s="5" t="str">
        <f t="shared" si="39"/>
        <v/>
      </c>
      <c r="T306" s="5" t="str">
        <f t="shared" si="40"/>
        <v/>
      </c>
      <c r="U306" s="5" t="str">
        <f t="shared" si="41"/>
        <v/>
      </c>
      <c r="V306" s="7" t="str">
        <f t="shared" si="42"/>
        <v/>
      </c>
      <c r="W306" s="8" t="str">
        <f t="shared" si="43"/>
        <v/>
      </c>
      <c r="X306" s="2"/>
      <c r="Y306" s="10"/>
      <c r="Z306" s="11" t="str">
        <f>IF(X306&lt;&gt;"执行卖出","",IFERROR(LOOKUP(2,1/(单次交易!$A$2:$A$163=B306),单次交易!$AP$2:$AP$163),""))</f>
        <v/>
      </c>
      <c r="AA306" s="10"/>
      <c r="AB306" s="8" t="str">
        <f t="shared" si="44"/>
        <v/>
      </c>
      <c r="AC306" s="8" t="str">
        <f>IF(A306="","",IF(A306="止损计划",IF(OR(B306="",D306="",E306="",F306="",G306=""),"计划不完整",IF(OR(D306&lt;1,D306&lt;&gt;INT(D306)),"阶段序号无效",IF(COUNTIFS($A$2:$A$497,"止损计划",$B$2:$B$497,B306,$D$2:$D$497,D306)&gt;1,"阶段序号重复",IF(E306&lt;=IFERROR(LOOKUP(2,1/(单次交易!$A$2:$A$163=B306),单次交易!$E$2:$E$163),0),"激活价须高于买入价",IF(F306&lt;N306,"止损价不得低于初始止损",IF(F306&gt;E306,"止损价不得高于激活价",IF(AND(COUNTIFS($A$2:$A$497,"止损计划",$B$2:$B$497,B306,$D$2:$D$497,"&lt;"&amp;D306)&gt;0,OR(E306&lt;=SUMPRODUCT(MAX((($A$2:$A$497="止损计划")*($B$2:$B$497=B306)*($D$2:$D$497&lt;D306))*$E$2:$E$497)),F306&lt;SUMPRODUCT(MAX((($A$2:$A$497="止损计划")*($B$2:$B$497=B306)*($D$2:$D$497&lt;D306))*$F$2:$F$497)))),"阶段价格必须逐级提高","计划有效"))))))),IF(A306="每日跟踪",IF(OR(B306="",H306="",I306="",J306=""),"每日数据不完整",IF(COUNTIFS($A$2:$A$497,"每日跟踪",$B$2:$B$497,B306,$H$2:$H$497,H306)&gt;1,"同一交易日期重复",IF(AND(R306&lt;&gt;"",R306&lt;S306),"人工止损无效：不能下调","跟踪有效"))),"记录类型无效")))</f>
        <v/>
      </c>
    </row>
    <row r="307" ht="17" spans="1:29">
      <c r="A307" s="2"/>
      <c r="B307" s="2"/>
      <c r="C307" s="8" t="str">
        <f>IF(B307="","",IFERROR(LOOKUP(2,1/(单次交易!$A$2:$A$163=B307),单次交易!$B$2:$B$163),""))</f>
        <v/>
      </c>
      <c r="D307" s="12"/>
      <c r="E307" s="10"/>
      <c r="F307" s="10"/>
      <c r="G307" s="2"/>
      <c r="H307" s="15"/>
      <c r="I307" s="10"/>
      <c r="J307" s="12"/>
      <c r="K307" s="2"/>
      <c r="L307" s="2"/>
      <c r="M307" s="2"/>
      <c r="N307" s="5" t="str">
        <f>IF(B307="","",IFERROR(LOOKUP(2,1/(单次交易!$A$2:$A$163=B307),单次交易!$N$2:$N$163),""))</f>
        <v/>
      </c>
      <c r="O307" s="5" t="str">
        <f t="shared" si="36"/>
        <v/>
      </c>
      <c r="P307" s="11" t="str">
        <f t="shared" si="37"/>
        <v/>
      </c>
      <c r="Q307" s="5" t="str">
        <f t="shared" si="38"/>
        <v/>
      </c>
      <c r="R307" s="10"/>
      <c r="S307" s="5" t="str">
        <f t="shared" si="39"/>
        <v/>
      </c>
      <c r="T307" s="5" t="str">
        <f t="shared" si="40"/>
        <v/>
      </c>
      <c r="U307" s="5" t="str">
        <f t="shared" si="41"/>
        <v/>
      </c>
      <c r="V307" s="7" t="str">
        <f t="shared" si="42"/>
        <v/>
      </c>
      <c r="W307" s="8" t="str">
        <f t="shared" si="43"/>
        <v/>
      </c>
      <c r="X307" s="2"/>
      <c r="Y307" s="10"/>
      <c r="Z307" s="11" t="str">
        <f>IF(X307&lt;&gt;"执行卖出","",IFERROR(LOOKUP(2,1/(单次交易!$A$2:$A$163=B307),单次交易!$AP$2:$AP$163),""))</f>
        <v/>
      </c>
      <c r="AA307" s="10"/>
      <c r="AB307" s="8" t="str">
        <f t="shared" si="44"/>
        <v/>
      </c>
      <c r="AC307" s="8" t="str">
        <f>IF(A307="","",IF(A307="止损计划",IF(OR(B307="",D307="",E307="",F307="",G307=""),"计划不完整",IF(OR(D307&lt;1,D307&lt;&gt;INT(D307)),"阶段序号无效",IF(COUNTIFS($A$2:$A$497,"止损计划",$B$2:$B$497,B307,$D$2:$D$497,D307)&gt;1,"阶段序号重复",IF(E307&lt;=IFERROR(LOOKUP(2,1/(单次交易!$A$2:$A$163=B307),单次交易!$E$2:$E$163),0),"激活价须高于买入价",IF(F307&lt;N307,"止损价不得低于初始止损",IF(F307&gt;E307,"止损价不得高于激活价",IF(AND(COUNTIFS($A$2:$A$497,"止损计划",$B$2:$B$497,B307,$D$2:$D$497,"&lt;"&amp;D307)&gt;0,OR(E307&lt;=SUMPRODUCT(MAX((($A$2:$A$497="止损计划")*($B$2:$B$497=B307)*($D$2:$D$497&lt;D307))*$E$2:$E$497)),F307&lt;SUMPRODUCT(MAX((($A$2:$A$497="止损计划")*($B$2:$B$497=B307)*($D$2:$D$497&lt;D307))*$F$2:$F$497)))),"阶段价格必须逐级提高","计划有效"))))))),IF(A307="每日跟踪",IF(OR(B307="",H307="",I307="",J307=""),"每日数据不完整",IF(COUNTIFS($A$2:$A$497,"每日跟踪",$B$2:$B$497,B307,$H$2:$H$497,H307)&gt;1,"同一交易日期重复",IF(AND(R307&lt;&gt;"",R307&lt;S307),"人工止损无效：不能下调","跟踪有效"))),"记录类型无效")))</f>
        <v/>
      </c>
    </row>
    <row r="308" ht="17" spans="1:29">
      <c r="A308" s="2"/>
      <c r="B308" s="2"/>
      <c r="C308" s="8" t="str">
        <f>IF(B308="","",IFERROR(LOOKUP(2,1/(单次交易!$A$2:$A$163=B308),单次交易!$B$2:$B$163),""))</f>
        <v/>
      </c>
      <c r="D308" s="12"/>
      <c r="E308" s="10"/>
      <c r="F308" s="10"/>
      <c r="G308" s="2"/>
      <c r="H308" s="15"/>
      <c r="I308" s="10"/>
      <c r="J308" s="12"/>
      <c r="K308" s="2"/>
      <c r="L308" s="2"/>
      <c r="M308" s="2"/>
      <c r="N308" s="5" t="str">
        <f>IF(B308="","",IFERROR(LOOKUP(2,1/(单次交易!$A$2:$A$163=B308),单次交易!$N$2:$N$163),""))</f>
        <v/>
      </c>
      <c r="O308" s="5" t="str">
        <f t="shared" si="36"/>
        <v/>
      </c>
      <c r="P308" s="11" t="str">
        <f t="shared" si="37"/>
        <v/>
      </c>
      <c r="Q308" s="5" t="str">
        <f t="shared" si="38"/>
        <v/>
      </c>
      <c r="R308" s="10"/>
      <c r="S308" s="5" t="str">
        <f t="shared" si="39"/>
        <v/>
      </c>
      <c r="T308" s="5" t="str">
        <f t="shared" si="40"/>
        <v/>
      </c>
      <c r="U308" s="5" t="str">
        <f t="shared" si="41"/>
        <v/>
      </c>
      <c r="V308" s="7" t="str">
        <f t="shared" si="42"/>
        <v/>
      </c>
      <c r="W308" s="8" t="str">
        <f t="shared" si="43"/>
        <v/>
      </c>
      <c r="X308" s="2"/>
      <c r="Y308" s="10"/>
      <c r="Z308" s="11" t="str">
        <f>IF(X308&lt;&gt;"执行卖出","",IFERROR(LOOKUP(2,1/(单次交易!$A$2:$A$163=B308),单次交易!$AP$2:$AP$163),""))</f>
        <v/>
      </c>
      <c r="AA308" s="10"/>
      <c r="AB308" s="8" t="str">
        <f t="shared" si="44"/>
        <v/>
      </c>
      <c r="AC308" s="8" t="str">
        <f>IF(A308="","",IF(A308="止损计划",IF(OR(B308="",D308="",E308="",F308="",G308=""),"计划不完整",IF(OR(D308&lt;1,D308&lt;&gt;INT(D308)),"阶段序号无效",IF(COUNTIFS($A$2:$A$497,"止损计划",$B$2:$B$497,B308,$D$2:$D$497,D308)&gt;1,"阶段序号重复",IF(E308&lt;=IFERROR(LOOKUP(2,1/(单次交易!$A$2:$A$163=B308),单次交易!$E$2:$E$163),0),"激活价须高于买入价",IF(F308&lt;N308,"止损价不得低于初始止损",IF(F308&gt;E308,"止损价不得高于激活价",IF(AND(COUNTIFS($A$2:$A$497,"止损计划",$B$2:$B$497,B308,$D$2:$D$497,"&lt;"&amp;D308)&gt;0,OR(E308&lt;=SUMPRODUCT(MAX((($A$2:$A$497="止损计划")*($B$2:$B$497=B308)*($D$2:$D$497&lt;D308))*$E$2:$E$497)),F308&lt;SUMPRODUCT(MAX((($A$2:$A$497="止损计划")*($B$2:$B$497=B308)*($D$2:$D$497&lt;D308))*$F$2:$F$497)))),"阶段价格必须逐级提高","计划有效"))))))),IF(A308="每日跟踪",IF(OR(B308="",H308="",I308="",J308=""),"每日数据不完整",IF(COUNTIFS($A$2:$A$497,"每日跟踪",$B$2:$B$497,B308,$H$2:$H$497,H308)&gt;1,"同一交易日期重复",IF(AND(R308&lt;&gt;"",R308&lt;S308),"人工止损无效：不能下调","跟踪有效"))),"记录类型无效")))</f>
        <v/>
      </c>
    </row>
    <row r="309" ht="17" spans="1:29">
      <c r="A309" s="2"/>
      <c r="B309" s="2"/>
      <c r="C309" s="8" t="str">
        <f>IF(B309="","",IFERROR(LOOKUP(2,1/(单次交易!$A$2:$A$163=B309),单次交易!$B$2:$B$163),""))</f>
        <v/>
      </c>
      <c r="D309" s="12"/>
      <c r="E309" s="10"/>
      <c r="F309" s="10"/>
      <c r="G309" s="2"/>
      <c r="H309" s="15"/>
      <c r="I309" s="10"/>
      <c r="J309" s="12"/>
      <c r="K309" s="2"/>
      <c r="L309" s="2"/>
      <c r="M309" s="2"/>
      <c r="N309" s="5" t="str">
        <f>IF(B309="","",IFERROR(LOOKUP(2,1/(单次交易!$A$2:$A$163=B309),单次交易!$N$2:$N$163),""))</f>
        <v/>
      </c>
      <c r="O309" s="5" t="str">
        <f t="shared" si="36"/>
        <v/>
      </c>
      <c r="P309" s="11" t="str">
        <f t="shared" si="37"/>
        <v/>
      </c>
      <c r="Q309" s="5" t="str">
        <f t="shared" si="38"/>
        <v/>
      </c>
      <c r="R309" s="10"/>
      <c r="S309" s="5" t="str">
        <f t="shared" si="39"/>
        <v/>
      </c>
      <c r="T309" s="5" t="str">
        <f t="shared" si="40"/>
        <v/>
      </c>
      <c r="U309" s="5" t="str">
        <f t="shared" si="41"/>
        <v/>
      </c>
      <c r="V309" s="7" t="str">
        <f t="shared" si="42"/>
        <v/>
      </c>
      <c r="W309" s="8" t="str">
        <f t="shared" si="43"/>
        <v/>
      </c>
      <c r="X309" s="2"/>
      <c r="Y309" s="10"/>
      <c r="Z309" s="11" t="str">
        <f>IF(X309&lt;&gt;"执行卖出","",IFERROR(LOOKUP(2,1/(单次交易!$A$2:$A$163=B309),单次交易!$AP$2:$AP$163),""))</f>
        <v/>
      </c>
      <c r="AA309" s="10"/>
      <c r="AB309" s="8" t="str">
        <f t="shared" si="44"/>
        <v/>
      </c>
      <c r="AC309" s="8" t="str">
        <f>IF(A309="","",IF(A309="止损计划",IF(OR(B309="",D309="",E309="",F309="",G309=""),"计划不完整",IF(OR(D309&lt;1,D309&lt;&gt;INT(D309)),"阶段序号无效",IF(COUNTIFS($A$2:$A$497,"止损计划",$B$2:$B$497,B309,$D$2:$D$497,D309)&gt;1,"阶段序号重复",IF(E309&lt;=IFERROR(LOOKUP(2,1/(单次交易!$A$2:$A$163=B309),单次交易!$E$2:$E$163),0),"激活价须高于买入价",IF(F309&lt;N309,"止损价不得低于初始止损",IF(F309&gt;E309,"止损价不得高于激活价",IF(AND(COUNTIFS($A$2:$A$497,"止损计划",$B$2:$B$497,B309,$D$2:$D$497,"&lt;"&amp;D309)&gt;0,OR(E309&lt;=SUMPRODUCT(MAX((($A$2:$A$497="止损计划")*($B$2:$B$497=B309)*($D$2:$D$497&lt;D309))*$E$2:$E$497)),F309&lt;SUMPRODUCT(MAX((($A$2:$A$497="止损计划")*($B$2:$B$497=B309)*($D$2:$D$497&lt;D309))*$F$2:$F$497)))),"阶段价格必须逐级提高","计划有效"))))))),IF(A309="每日跟踪",IF(OR(B309="",H309="",I309="",J309=""),"每日数据不完整",IF(COUNTIFS($A$2:$A$497,"每日跟踪",$B$2:$B$497,B309,$H$2:$H$497,H309)&gt;1,"同一交易日期重复",IF(AND(R309&lt;&gt;"",R309&lt;S309),"人工止损无效：不能下调","跟踪有效"))),"记录类型无效")))</f>
        <v/>
      </c>
    </row>
    <row r="310" ht="17" spans="1:29">
      <c r="A310" s="2"/>
      <c r="B310" s="2"/>
      <c r="C310" s="8" t="str">
        <f>IF(B310="","",IFERROR(LOOKUP(2,1/(单次交易!$A$2:$A$163=B310),单次交易!$B$2:$B$163),""))</f>
        <v/>
      </c>
      <c r="D310" s="12"/>
      <c r="E310" s="10"/>
      <c r="F310" s="10"/>
      <c r="G310" s="2"/>
      <c r="H310" s="15"/>
      <c r="I310" s="10"/>
      <c r="J310" s="12"/>
      <c r="K310" s="2"/>
      <c r="L310" s="2"/>
      <c r="M310" s="2"/>
      <c r="N310" s="5" t="str">
        <f>IF(B310="","",IFERROR(LOOKUP(2,1/(单次交易!$A$2:$A$163=B310),单次交易!$N$2:$N$163),""))</f>
        <v/>
      </c>
      <c r="O310" s="5" t="str">
        <f t="shared" si="36"/>
        <v/>
      </c>
      <c r="P310" s="11" t="str">
        <f t="shared" si="37"/>
        <v/>
      </c>
      <c r="Q310" s="5" t="str">
        <f t="shared" si="38"/>
        <v/>
      </c>
      <c r="R310" s="10"/>
      <c r="S310" s="5" t="str">
        <f t="shared" si="39"/>
        <v/>
      </c>
      <c r="T310" s="5" t="str">
        <f t="shared" si="40"/>
        <v/>
      </c>
      <c r="U310" s="5" t="str">
        <f t="shared" si="41"/>
        <v/>
      </c>
      <c r="V310" s="7" t="str">
        <f t="shared" si="42"/>
        <v/>
      </c>
      <c r="W310" s="8" t="str">
        <f t="shared" si="43"/>
        <v/>
      </c>
      <c r="X310" s="2"/>
      <c r="Y310" s="10"/>
      <c r="Z310" s="11" t="str">
        <f>IF(X310&lt;&gt;"执行卖出","",IFERROR(LOOKUP(2,1/(单次交易!$A$2:$A$163=B310),单次交易!$AP$2:$AP$163),""))</f>
        <v/>
      </c>
      <c r="AA310" s="10"/>
      <c r="AB310" s="8" t="str">
        <f t="shared" si="44"/>
        <v/>
      </c>
      <c r="AC310" s="8" t="str">
        <f>IF(A310="","",IF(A310="止损计划",IF(OR(B310="",D310="",E310="",F310="",G310=""),"计划不完整",IF(OR(D310&lt;1,D310&lt;&gt;INT(D310)),"阶段序号无效",IF(COUNTIFS($A$2:$A$497,"止损计划",$B$2:$B$497,B310,$D$2:$D$497,D310)&gt;1,"阶段序号重复",IF(E310&lt;=IFERROR(LOOKUP(2,1/(单次交易!$A$2:$A$163=B310),单次交易!$E$2:$E$163),0),"激活价须高于买入价",IF(F310&lt;N310,"止损价不得低于初始止损",IF(F310&gt;E310,"止损价不得高于激活价",IF(AND(COUNTIFS($A$2:$A$497,"止损计划",$B$2:$B$497,B310,$D$2:$D$497,"&lt;"&amp;D310)&gt;0,OR(E310&lt;=SUMPRODUCT(MAX((($A$2:$A$497="止损计划")*($B$2:$B$497=B310)*($D$2:$D$497&lt;D310))*$E$2:$E$497)),F310&lt;SUMPRODUCT(MAX((($A$2:$A$497="止损计划")*($B$2:$B$497=B310)*($D$2:$D$497&lt;D310))*$F$2:$F$497)))),"阶段价格必须逐级提高","计划有效"))))))),IF(A310="每日跟踪",IF(OR(B310="",H310="",I310="",J310=""),"每日数据不完整",IF(COUNTIFS($A$2:$A$497,"每日跟踪",$B$2:$B$497,B310,$H$2:$H$497,H310)&gt;1,"同一交易日期重复",IF(AND(R310&lt;&gt;"",R310&lt;S310),"人工止损无效：不能下调","跟踪有效"))),"记录类型无效")))</f>
        <v/>
      </c>
    </row>
    <row r="311" ht="17" spans="1:29">
      <c r="A311" s="2"/>
      <c r="B311" s="2"/>
      <c r="C311" s="8" t="str">
        <f>IF(B311="","",IFERROR(LOOKUP(2,1/(单次交易!$A$2:$A$163=B311),单次交易!$B$2:$B$163),""))</f>
        <v/>
      </c>
      <c r="D311" s="12"/>
      <c r="E311" s="10"/>
      <c r="F311" s="10"/>
      <c r="G311" s="2"/>
      <c r="H311" s="15"/>
      <c r="I311" s="10"/>
      <c r="J311" s="12"/>
      <c r="K311" s="2"/>
      <c r="L311" s="2"/>
      <c r="M311" s="2"/>
      <c r="N311" s="5" t="str">
        <f>IF(B311="","",IFERROR(LOOKUP(2,1/(单次交易!$A$2:$A$163=B311),单次交易!$N$2:$N$163),""))</f>
        <v/>
      </c>
      <c r="O311" s="5" t="str">
        <f t="shared" si="36"/>
        <v/>
      </c>
      <c r="P311" s="11" t="str">
        <f t="shared" si="37"/>
        <v/>
      </c>
      <c r="Q311" s="5" t="str">
        <f t="shared" si="38"/>
        <v/>
      </c>
      <c r="R311" s="10"/>
      <c r="S311" s="5" t="str">
        <f t="shared" si="39"/>
        <v/>
      </c>
      <c r="T311" s="5" t="str">
        <f t="shared" si="40"/>
        <v/>
      </c>
      <c r="U311" s="5" t="str">
        <f t="shared" si="41"/>
        <v/>
      </c>
      <c r="V311" s="7" t="str">
        <f t="shared" si="42"/>
        <v/>
      </c>
      <c r="W311" s="8" t="str">
        <f t="shared" si="43"/>
        <v/>
      </c>
      <c r="X311" s="2"/>
      <c r="Y311" s="10"/>
      <c r="Z311" s="11" t="str">
        <f>IF(X311&lt;&gt;"执行卖出","",IFERROR(LOOKUP(2,1/(单次交易!$A$2:$A$163=B311),单次交易!$AP$2:$AP$163),""))</f>
        <v/>
      </c>
      <c r="AA311" s="10"/>
      <c r="AB311" s="8" t="str">
        <f t="shared" si="44"/>
        <v/>
      </c>
      <c r="AC311" s="8" t="str">
        <f>IF(A311="","",IF(A311="止损计划",IF(OR(B311="",D311="",E311="",F311="",G311=""),"计划不完整",IF(OR(D311&lt;1,D311&lt;&gt;INT(D311)),"阶段序号无效",IF(COUNTIFS($A$2:$A$497,"止损计划",$B$2:$B$497,B311,$D$2:$D$497,D311)&gt;1,"阶段序号重复",IF(E311&lt;=IFERROR(LOOKUP(2,1/(单次交易!$A$2:$A$163=B311),单次交易!$E$2:$E$163),0),"激活价须高于买入价",IF(F311&lt;N311,"止损价不得低于初始止损",IF(F311&gt;E311,"止损价不得高于激活价",IF(AND(COUNTIFS($A$2:$A$497,"止损计划",$B$2:$B$497,B311,$D$2:$D$497,"&lt;"&amp;D311)&gt;0,OR(E311&lt;=SUMPRODUCT(MAX((($A$2:$A$497="止损计划")*($B$2:$B$497=B311)*($D$2:$D$497&lt;D311))*$E$2:$E$497)),F311&lt;SUMPRODUCT(MAX((($A$2:$A$497="止损计划")*($B$2:$B$497=B311)*($D$2:$D$497&lt;D311))*$F$2:$F$497)))),"阶段价格必须逐级提高","计划有效"))))))),IF(A311="每日跟踪",IF(OR(B311="",H311="",I311="",J311=""),"每日数据不完整",IF(COUNTIFS($A$2:$A$497,"每日跟踪",$B$2:$B$497,B311,$H$2:$H$497,H311)&gt;1,"同一交易日期重复",IF(AND(R311&lt;&gt;"",R311&lt;S311),"人工止损无效：不能下调","跟踪有效"))),"记录类型无效")))</f>
        <v/>
      </c>
    </row>
    <row r="312" ht="17" spans="1:29">
      <c r="A312" s="2"/>
      <c r="B312" s="2"/>
      <c r="C312" s="8" t="str">
        <f>IF(B312="","",IFERROR(LOOKUP(2,1/(单次交易!$A$2:$A$163=B312),单次交易!$B$2:$B$163),""))</f>
        <v/>
      </c>
      <c r="D312" s="12"/>
      <c r="E312" s="10"/>
      <c r="F312" s="10"/>
      <c r="G312" s="2"/>
      <c r="H312" s="15"/>
      <c r="I312" s="10"/>
      <c r="J312" s="12"/>
      <c r="K312" s="2"/>
      <c r="L312" s="2"/>
      <c r="M312" s="2"/>
      <c r="N312" s="5" t="str">
        <f>IF(B312="","",IFERROR(LOOKUP(2,1/(单次交易!$A$2:$A$163=B312),单次交易!$N$2:$N$163),""))</f>
        <v/>
      </c>
      <c r="O312" s="5" t="str">
        <f t="shared" si="36"/>
        <v/>
      </c>
      <c r="P312" s="11" t="str">
        <f t="shared" si="37"/>
        <v/>
      </c>
      <c r="Q312" s="5" t="str">
        <f t="shared" si="38"/>
        <v/>
      </c>
      <c r="R312" s="10"/>
      <c r="S312" s="5" t="str">
        <f t="shared" si="39"/>
        <v/>
      </c>
      <c r="T312" s="5" t="str">
        <f t="shared" si="40"/>
        <v/>
      </c>
      <c r="U312" s="5" t="str">
        <f t="shared" si="41"/>
        <v/>
      </c>
      <c r="V312" s="7" t="str">
        <f t="shared" si="42"/>
        <v/>
      </c>
      <c r="W312" s="8" t="str">
        <f t="shared" si="43"/>
        <v/>
      </c>
      <c r="X312" s="2"/>
      <c r="Y312" s="10"/>
      <c r="Z312" s="11" t="str">
        <f>IF(X312&lt;&gt;"执行卖出","",IFERROR(LOOKUP(2,1/(单次交易!$A$2:$A$163=B312),单次交易!$AP$2:$AP$163),""))</f>
        <v/>
      </c>
      <c r="AA312" s="10"/>
      <c r="AB312" s="8" t="str">
        <f t="shared" si="44"/>
        <v/>
      </c>
      <c r="AC312" s="8" t="str">
        <f>IF(A312="","",IF(A312="止损计划",IF(OR(B312="",D312="",E312="",F312="",G312=""),"计划不完整",IF(OR(D312&lt;1,D312&lt;&gt;INT(D312)),"阶段序号无效",IF(COUNTIFS($A$2:$A$497,"止损计划",$B$2:$B$497,B312,$D$2:$D$497,D312)&gt;1,"阶段序号重复",IF(E312&lt;=IFERROR(LOOKUP(2,1/(单次交易!$A$2:$A$163=B312),单次交易!$E$2:$E$163),0),"激活价须高于买入价",IF(F312&lt;N312,"止损价不得低于初始止损",IF(F312&gt;E312,"止损价不得高于激活价",IF(AND(COUNTIFS($A$2:$A$497,"止损计划",$B$2:$B$497,B312,$D$2:$D$497,"&lt;"&amp;D312)&gt;0,OR(E312&lt;=SUMPRODUCT(MAX((($A$2:$A$497="止损计划")*($B$2:$B$497=B312)*($D$2:$D$497&lt;D312))*$E$2:$E$497)),F312&lt;SUMPRODUCT(MAX((($A$2:$A$497="止损计划")*($B$2:$B$497=B312)*($D$2:$D$497&lt;D312))*$F$2:$F$497)))),"阶段价格必须逐级提高","计划有效"))))))),IF(A312="每日跟踪",IF(OR(B312="",H312="",I312="",J312=""),"每日数据不完整",IF(COUNTIFS($A$2:$A$497,"每日跟踪",$B$2:$B$497,B312,$H$2:$H$497,H312)&gt;1,"同一交易日期重复",IF(AND(R312&lt;&gt;"",R312&lt;S312),"人工止损无效：不能下调","跟踪有效"))),"记录类型无效")))</f>
        <v/>
      </c>
    </row>
    <row r="313" ht="17" spans="1:29">
      <c r="A313" s="2"/>
      <c r="B313" s="2"/>
      <c r="C313" s="8" t="str">
        <f>IF(B313="","",IFERROR(LOOKUP(2,1/(单次交易!$A$2:$A$163=B313),单次交易!$B$2:$B$163),""))</f>
        <v/>
      </c>
      <c r="D313" s="12"/>
      <c r="E313" s="10"/>
      <c r="F313" s="10"/>
      <c r="G313" s="2"/>
      <c r="H313" s="15"/>
      <c r="I313" s="10"/>
      <c r="J313" s="12"/>
      <c r="K313" s="2"/>
      <c r="L313" s="2"/>
      <c r="M313" s="2"/>
      <c r="N313" s="5" t="str">
        <f>IF(B313="","",IFERROR(LOOKUP(2,1/(单次交易!$A$2:$A$163=B313),单次交易!$N$2:$N$163),""))</f>
        <v/>
      </c>
      <c r="O313" s="5" t="str">
        <f t="shared" si="36"/>
        <v/>
      </c>
      <c r="P313" s="11" t="str">
        <f t="shared" si="37"/>
        <v/>
      </c>
      <c r="Q313" s="5" t="str">
        <f t="shared" si="38"/>
        <v/>
      </c>
      <c r="R313" s="10"/>
      <c r="S313" s="5" t="str">
        <f t="shared" si="39"/>
        <v/>
      </c>
      <c r="T313" s="5" t="str">
        <f t="shared" si="40"/>
        <v/>
      </c>
      <c r="U313" s="5" t="str">
        <f t="shared" si="41"/>
        <v/>
      </c>
      <c r="V313" s="7" t="str">
        <f t="shared" si="42"/>
        <v/>
      </c>
      <c r="W313" s="8" t="str">
        <f t="shared" si="43"/>
        <v/>
      </c>
      <c r="X313" s="2"/>
      <c r="Y313" s="10"/>
      <c r="Z313" s="11" t="str">
        <f>IF(X313&lt;&gt;"执行卖出","",IFERROR(LOOKUP(2,1/(单次交易!$A$2:$A$163=B313),单次交易!$AP$2:$AP$163),""))</f>
        <v/>
      </c>
      <c r="AA313" s="10"/>
      <c r="AB313" s="8" t="str">
        <f t="shared" si="44"/>
        <v/>
      </c>
      <c r="AC313" s="8" t="str">
        <f>IF(A313="","",IF(A313="止损计划",IF(OR(B313="",D313="",E313="",F313="",G313=""),"计划不完整",IF(OR(D313&lt;1,D313&lt;&gt;INT(D313)),"阶段序号无效",IF(COUNTIFS($A$2:$A$497,"止损计划",$B$2:$B$497,B313,$D$2:$D$497,D313)&gt;1,"阶段序号重复",IF(E313&lt;=IFERROR(LOOKUP(2,1/(单次交易!$A$2:$A$163=B313),单次交易!$E$2:$E$163),0),"激活价须高于买入价",IF(F313&lt;N313,"止损价不得低于初始止损",IF(F313&gt;E313,"止损价不得高于激活价",IF(AND(COUNTIFS($A$2:$A$497,"止损计划",$B$2:$B$497,B313,$D$2:$D$497,"&lt;"&amp;D313)&gt;0,OR(E313&lt;=SUMPRODUCT(MAX((($A$2:$A$497="止损计划")*($B$2:$B$497=B313)*($D$2:$D$497&lt;D313))*$E$2:$E$497)),F313&lt;SUMPRODUCT(MAX((($A$2:$A$497="止损计划")*($B$2:$B$497=B313)*($D$2:$D$497&lt;D313))*$F$2:$F$497)))),"阶段价格必须逐级提高","计划有效"))))))),IF(A313="每日跟踪",IF(OR(B313="",H313="",I313="",J313=""),"每日数据不完整",IF(COUNTIFS($A$2:$A$497,"每日跟踪",$B$2:$B$497,B313,$H$2:$H$497,H313)&gt;1,"同一交易日期重复",IF(AND(R313&lt;&gt;"",R313&lt;S313),"人工止损无效：不能下调","跟踪有效"))),"记录类型无效")))</f>
        <v/>
      </c>
    </row>
    <row r="314" ht="17" spans="1:29">
      <c r="A314" s="2"/>
      <c r="B314" s="2"/>
      <c r="C314" s="8" t="str">
        <f>IF(B314="","",IFERROR(LOOKUP(2,1/(单次交易!$A$2:$A$163=B314),单次交易!$B$2:$B$163),""))</f>
        <v/>
      </c>
      <c r="D314" s="12"/>
      <c r="E314" s="10"/>
      <c r="F314" s="10"/>
      <c r="G314" s="2"/>
      <c r="H314" s="15"/>
      <c r="I314" s="10"/>
      <c r="J314" s="12"/>
      <c r="K314" s="2"/>
      <c r="L314" s="2"/>
      <c r="M314" s="2"/>
      <c r="N314" s="5" t="str">
        <f>IF(B314="","",IFERROR(LOOKUP(2,1/(单次交易!$A$2:$A$163=B314),单次交易!$N$2:$N$163),""))</f>
        <v/>
      </c>
      <c r="O314" s="5" t="str">
        <f t="shared" si="36"/>
        <v/>
      </c>
      <c r="P314" s="11" t="str">
        <f t="shared" si="37"/>
        <v/>
      </c>
      <c r="Q314" s="5" t="str">
        <f t="shared" si="38"/>
        <v/>
      </c>
      <c r="R314" s="10"/>
      <c r="S314" s="5" t="str">
        <f t="shared" si="39"/>
        <v/>
      </c>
      <c r="T314" s="5" t="str">
        <f t="shared" si="40"/>
        <v/>
      </c>
      <c r="U314" s="5" t="str">
        <f t="shared" si="41"/>
        <v/>
      </c>
      <c r="V314" s="7" t="str">
        <f t="shared" si="42"/>
        <v/>
      </c>
      <c r="W314" s="8" t="str">
        <f t="shared" si="43"/>
        <v/>
      </c>
      <c r="X314" s="2"/>
      <c r="Y314" s="10"/>
      <c r="Z314" s="11" t="str">
        <f>IF(X314&lt;&gt;"执行卖出","",IFERROR(LOOKUP(2,1/(单次交易!$A$2:$A$163=B314),单次交易!$AP$2:$AP$163),""))</f>
        <v/>
      </c>
      <c r="AA314" s="10"/>
      <c r="AB314" s="8" t="str">
        <f t="shared" si="44"/>
        <v/>
      </c>
      <c r="AC314" s="8" t="str">
        <f>IF(A314="","",IF(A314="止损计划",IF(OR(B314="",D314="",E314="",F314="",G314=""),"计划不完整",IF(OR(D314&lt;1,D314&lt;&gt;INT(D314)),"阶段序号无效",IF(COUNTIFS($A$2:$A$497,"止损计划",$B$2:$B$497,B314,$D$2:$D$497,D314)&gt;1,"阶段序号重复",IF(E314&lt;=IFERROR(LOOKUP(2,1/(单次交易!$A$2:$A$163=B314),单次交易!$E$2:$E$163),0),"激活价须高于买入价",IF(F314&lt;N314,"止损价不得低于初始止损",IF(F314&gt;E314,"止损价不得高于激活价",IF(AND(COUNTIFS($A$2:$A$497,"止损计划",$B$2:$B$497,B314,$D$2:$D$497,"&lt;"&amp;D314)&gt;0,OR(E314&lt;=SUMPRODUCT(MAX((($A$2:$A$497="止损计划")*($B$2:$B$497=B314)*($D$2:$D$497&lt;D314))*$E$2:$E$497)),F314&lt;SUMPRODUCT(MAX((($A$2:$A$497="止损计划")*($B$2:$B$497=B314)*($D$2:$D$497&lt;D314))*$F$2:$F$497)))),"阶段价格必须逐级提高","计划有效"))))))),IF(A314="每日跟踪",IF(OR(B314="",H314="",I314="",J314=""),"每日数据不完整",IF(COUNTIFS($A$2:$A$497,"每日跟踪",$B$2:$B$497,B314,$H$2:$H$497,H314)&gt;1,"同一交易日期重复",IF(AND(R314&lt;&gt;"",R314&lt;S314),"人工止损无效：不能下调","跟踪有效"))),"记录类型无效")))</f>
        <v/>
      </c>
    </row>
    <row r="315" ht="17" spans="1:29">
      <c r="A315" s="2"/>
      <c r="B315" s="2"/>
      <c r="C315" s="8" t="str">
        <f>IF(B315="","",IFERROR(LOOKUP(2,1/(单次交易!$A$2:$A$163=B315),单次交易!$B$2:$B$163),""))</f>
        <v/>
      </c>
      <c r="D315" s="12"/>
      <c r="E315" s="10"/>
      <c r="F315" s="10"/>
      <c r="G315" s="2"/>
      <c r="H315" s="15"/>
      <c r="I315" s="10"/>
      <c r="J315" s="12"/>
      <c r="K315" s="2"/>
      <c r="L315" s="2"/>
      <c r="M315" s="2"/>
      <c r="N315" s="5" t="str">
        <f>IF(B315="","",IFERROR(LOOKUP(2,1/(单次交易!$A$2:$A$163=B315),单次交易!$N$2:$N$163),""))</f>
        <v/>
      </c>
      <c r="O315" s="5" t="str">
        <f t="shared" si="36"/>
        <v/>
      </c>
      <c r="P315" s="11" t="str">
        <f t="shared" si="37"/>
        <v/>
      </c>
      <c r="Q315" s="5" t="str">
        <f t="shared" si="38"/>
        <v/>
      </c>
      <c r="R315" s="10"/>
      <c r="S315" s="5" t="str">
        <f t="shared" si="39"/>
        <v/>
      </c>
      <c r="T315" s="5" t="str">
        <f t="shared" si="40"/>
        <v/>
      </c>
      <c r="U315" s="5" t="str">
        <f t="shared" si="41"/>
        <v/>
      </c>
      <c r="V315" s="7" t="str">
        <f t="shared" si="42"/>
        <v/>
      </c>
      <c r="W315" s="8" t="str">
        <f t="shared" si="43"/>
        <v/>
      </c>
      <c r="X315" s="2"/>
      <c r="Y315" s="10"/>
      <c r="Z315" s="11" t="str">
        <f>IF(X315&lt;&gt;"执行卖出","",IFERROR(LOOKUP(2,1/(单次交易!$A$2:$A$163=B315),单次交易!$AP$2:$AP$163),""))</f>
        <v/>
      </c>
      <c r="AA315" s="10"/>
      <c r="AB315" s="8" t="str">
        <f t="shared" si="44"/>
        <v/>
      </c>
      <c r="AC315" s="8" t="str">
        <f>IF(A315="","",IF(A315="止损计划",IF(OR(B315="",D315="",E315="",F315="",G315=""),"计划不完整",IF(OR(D315&lt;1,D315&lt;&gt;INT(D315)),"阶段序号无效",IF(COUNTIFS($A$2:$A$497,"止损计划",$B$2:$B$497,B315,$D$2:$D$497,D315)&gt;1,"阶段序号重复",IF(E315&lt;=IFERROR(LOOKUP(2,1/(单次交易!$A$2:$A$163=B315),单次交易!$E$2:$E$163),0),"激活价须高于买入价",IF(F315&lt;N315,"止损价不得低于初始止损",IF(F315&gt;E315,"止损价不得高于激活价",IF(AND(COUNTIFS($A$2:$A$497,"止损计划",$B$2:$B$497,B315,$D$2:$D$497,"&lt;"&amp;D315)&gt;0,OR(E315&lt;=SUMPRODUCT(MAX((($A$2:$A$497="止损计划")*($B$2:$B$497=B315)*($D$2:$D$497&lt;D315))*$E$2:$E$497)),F315&lt;SUMPRODUCT(MAX((($A$2:$A$497="止损计划")*($B$2:$B$497=B315)*($D$2:$D$497&lt;D315))*$F$2:$F$497)))),"阶段价格必须逐级提高","计划有效"))))))),IF(A315="每日跟踪",IF(OR(B315="",H315="",I315="",J315=""),"每日数据不完整",IF(COUNTIFS($A$2:$A$497,"每日跟踪",$B$2:$B$497,B315,$H$2:$H$497,H315)&gt;1,"同一交易日期重复",IF(AND(R315&lt;&gt;"",R315&lt;S315),"人工止损无效：不能下调","跟踪有效"))),"记录类型无效")))</f>
        <v/>
      </c>
    </row>
    <row r="316" ht="17" spans="1:29">
      <c r="A316" s="2"/>
      <c r="B316" s="2"/>
      <c r="C316" s="8" t="str">
        <f>IF(B316="","",IFERROR(LOOKUP(2,1/(单次交易!$A$2:$A$163=B316),单次交易!$B$2:$B$163),""))</f>
        <v/>
      </c>
      <c r="D316" s="12"/>
      <c r="E316" s="10"/>
      <c r="F316" s="10"/>
      <c r="G316" s="2"/>
      <c r="H316" s="15"/>
      <c r="I316" s="10"/>
      <c r="J316" s="12"/>
      <c r="K316" s="2"/>
      <c r="L316" s="2"/>
      <c r="M316" s="2"/>
      <c r="N316" s="5" t="str">
        <f>IF(B316="","",IFERROR(LOOKUP(2,1/(单次交易!$A$2:$A$163=B316),单次交易!$N$2:$N$163),""))</f>
        <v/>
      </c>
      <c r="O316" s="5" t="str">
        <f t="shared" si="36"/>
        <v/>
      </c>
      <c r="P316" s="11" t="str">
        <f t="shared" si="37"/>
        <v/>
      </c>
      <c r="Q316" s="5" t="str">
        <f t="shared" si="38"/>
        <v/>
      </c>
      <c r="R316" s="10"/>
      <c r="S316" s="5" t="str">
        <f t="shared" si="39"/>
        <v/>
      </c>
      <c r="T316" s="5" t="str">
        <f t="shared" si="40"/>
        <v/>
      </c>
      <c r="U316" s="5" t="str">
        <f t="shared" si="41"/>
        <v/>
      </c>
      <c r="V316" s="7" t="str">
        <f t="shared" si="42"/>
        <v/>
      </c>
      <c r="W316" s="8" t="str">
        <f t="shared" si="43"/>
        <v/>
      </c>
      <c r="X316" s="2"/>
      <c r="Y316" s="10"/>
      <c r="Z316" s="11" t="str">
        <f>IF(X316&lt;&gt;"执行卖出","",IFERROR(LOOKUP(2,1/(单次交易!$A$2:$A$163=B316),单次交易!$AP$2:$AP$163),""))</f>
        <v/>
      </c>
      <c r="AA316" s="10"/>
      <c r="AB316" s="8" t="str">
        <f t="shared" si="44"/>
        <v/>
      </c>
      <c r="AC316" s="8" t="str">
        <f>IF(A316="","",IF(A316="止损计划",IF(OR(B316="",D316="",E316="",F316="",G316=""),"计划不完整",IF(OR(D316&lt;1,D316&lt;&gt;INT(D316)),"阶段序号无效",IF(COUNTIFS($A$2:$A$497,"止损计划",$B$2:$B$497,B316,$D$2:$D$497,D316)&gt;1,"阶段序号重复",IF(E316&lt;=IFERROR(LOOKUP(2,1/(单次交易!$A$2:$A$163=B316),单次交易!$E$2:$E$163),0),"激活价须高于买入价",IF(F316&lt;N316,"止损价不得低于初始止损",IF(F316&gt;E316,"止损价不得高于激活价",IF(AND(COUNTIFS($A$2:$A$497,"止损计划",$B$2:$B$497,B316,$D$2:$D$497,"&lt;"&amp;D316)&gt;0,OR(E316&lt;=SUMPRODUCT(MAX((($A$2:$A$497="止损计划")*($B$2:$B$497=B316)*($D$2:$D$497&lt;D316))*$E$2:$E$497)),F316&lt;SUMPRODUCT(MAX((($A$2:$A$497="止损计划")*($B$2:$B$497=B316)*($D$2:$D$497&lt;D316))*$F$2:$F$497)))),"阶段价格必须逐级提高","计划有效"))))))),IF(A316="每日跟踪",IF(OR(B316="",H316="",I316="",J316=""),"每日数据不完整",IF(COUNTIFS($A$2:$A$497,"每日跟踪",$B$2:$B$497,B316,$H$2:$H$497,H316)&gt;1,"同一交易日期重复",IF(AND(R316&lt;&gt;"",R316&lt;S316),"人工止损无效：不能下调","跟踪有效"))),"记录类型无效")))</f>
        <v/>
      </c>
    </row>
    <row r="317" ht="17" spans="1:29">
      <c r="A317" s="2"/>
      <c r="B317" s="2"/>
      <c r="C317" s="8" t="str">
        <f>IF(B317="","",IFERROR(LOOKUP(2,1/(单次交易!$A$2:$A$163=B317),单次交易!$B$2:$B$163),""))</f>
        <v/>
      </c>
      <c r="D317" s="12"/>
      <c r="E317" s="10"/>
      <c r="F317" s="10"/>
      <c r="G317" s="2"/>
      <c r="H317" s="15"/>
      <c r="I317" s="10"/>
      <c r="J317" s="12"/>
      <c r="K317" s="2"/>
      <c r="L317" s="2"/>
      <c r="M317" s="2"/>
      <c r="N317" s="5" t="str">
        <f>IF(B317="","",IFERROR(LOOKUP(2,1/(单次交易!$A$2:$A$163=B317),单次交易!$N$2:$N$163),""))</f>
        <v/>
      </c>
      <c r="O317" s="5" t="str">
        <f t="shared" si="36"/>
        <v/>
      </c>
      <c r="P317" s="11" t="str">
        <f t="shared" si="37"/>
        <v/>
      </c>
      <c r="Q317" s="5" t="str">
        <f t="shared" si="38"/>
        <v/>
      </c>
      <c r="R317" s="10"/>
      <c r="S317" s="5" t="str">
        <f t="shared" si="39"/>
        <v/>
      </c>
      <c r="T317" s="5" t="str">
        <f t="shared" si="40"/>
        <v/>
      </c>
      <c r="U317" s="5" t="str">
        <f t="shared" si="41"/>
        <v/>
      </c>
      <c r="V317" s="7" t="str">
        <f t="shared" si="42"/>
        <v/>
      </c>
      <c r="W317" s="8" t="str">
        <f t="shared" si="43"/>
        <v/>
      </c>
      <c r="X317" s="2"/>
      <c r="Y317" s="10"/>
      <c r="Z317" s="11" t="str">
        <f>IF(X317&lt;&gt;"执行卖出","",IFERROR(LOOKUP(2,1/(单次交易!$A$2:$A$163=B317),单次交易!$AP$2:$AP$163),""))</f>
        <v/>
      </c>
      <c r="AA317" s="10"/>
      <c r="AB317" s="8" t="str">
        <f t="shared" si="44"/>
        <v/>
      </c>
      <c r="AC317" s="8" t="str">
        <f>IF(A317="","",IF(A317="止损计划",IF(OR(B317="",D317="",E317="",F317="",G317=""),"计划不完整",IF(OR(D317&lt;1,D317&lt;&gt;INT(D317)),"阶段序号无效",IF(COUNTIFS($A$2:$A$497,"止损计划",$B$2:$B$497,B317,$D$2:$D$497,D317)&gt;1,"阶段序号重复",IF(E317&lt;=IFERROR(LOOKUP(2,1/(单次交易!$A$2:$A$163=B317),单次交易!$E$2:$E$163),0),"激活价须高于买入价",IF(F317&lt;N317,"止损价不得低于初始止损",IF(F317&gt;E317,"止损价不得高于激活价",IF(AND(COUNTIFS($A$2:$A$497,"止损计划",$B$2:$B$497,B317,$D$2:$D$497,"&lt;"&amp;D317)&gt;0,OR(E317&lt;=SUMPRODUCT(MAX((($A$2:$A$497="止损计划")*($B$2:$B$497=B317)*($D$2:$D$497&lt;D317))*$E$2:$E$497)),F317&lt;SUMPRODUCT(MAX((($A$2:$A$497="止损计划")*($B$2:$B$497=B317)*($D$2:$D$497&lt;D317))*$F$2:$F$497)))),"阶段价格必须逐级提高","计划有效"))))))),IF(A317="每日跟踪",IF(OR(B317="",H317="",I317="",J317=""),"每日数据不完整",IF(COUNTIFS($A$2:$A$497,"每日跟踪",$B$2:$B$497,B317,$H$2:$H$497,H317)&gt;1,"同一交易日期重复",IF(AND(R317&lt;&gt;"",R317&lt;S317),"人工止损无效：不能下调","跟踪有效"))),"记录类型无效")))</f>
        <v/>
      </c>
    </row>
    <row r="318" ht="17" spans="1:29">
      <c r="A318" s="2"/>
      <c r="B318" s="2"/>
      <c r="C318" s="8" t="str">
        <f>IF(B318="","",IFERROR(LOOKUP(2,1/(单次交易!$A$2:$A$163=B318),单次交易!$B$2:$B$163),""))</f>
        <v/>
      </c>
      <c r="D318" s="12"/>
      <c r="E318" s="10"/>
      <c r="F318" s="10"/>
      <c r="G318" s="2"/>
      <c r="H318" s="15"/>
      <c r="I318" s="10"/>
      <c r="J318" s="12"/>
      <c r="K318" s="2"/>
      <c r="L318" s="2"/>
      <c r="M318" s="2"/>
      <c r="N318" s="5" t="str">
        <f>IF(B318="","",IFERROR(LOOKUP(2,1/(单次交易!$A$2:$A$163=B318),单次交易!$N$2:$N$163),""))</f>
        <v/>
      </c>
      <c r="O318" s="5" t="str">
        <f t="shared" si="36"/>
        <v/>
      </c>
      <c r="P318" s="11" t="str">
        <f t="shared" si="37"/>
        <v/>
      </c>
      <c r="Q318" s="5" t="str">
        <f t="shared" si="38"/>
        <v/>
      </c>
      <c r="R318" s="10"/>
      <c r="S318" s="5" t="str">
        <f t="shared" si="39"/>
        <v/>
      </c>
      <c r="T318" s="5" t="str">
        <f t="shared" si="40"/>
        <v/>
      </c>
      <c r="U318" s="5" t="str">
        <f t="shared" si="41"/>
        <v/>
      </c>
      <c r="V318" s="7" t="str">
        <f t="shared" si="42"/>
        <v/>
      </c>
      <c r="W318" s="8" t="str">
        <f t="shared" si="43"/>
        <v/>
      </c>
      <c r="X318" s="2"/>
      <c r="Y318" s="10"/>
      <c r="Z318" s="11" t="str">
        <f>IF(X318&lt;&gt;"执行卖出","",IFERROR(LOOKUP(2,1/(单次交易!$A$2:$A$163=B318),单次交易!$AP$2:$AP$163),""))</f>
        <v/>
      </c>
      <c r="AA318" s="10"/>
      <c r="AB318" s="8" t="str">
        <f t="shared" si="44"/>
        <v/>
      </c>
      <c r="AC318" s="8" t="str">
        <f>IF(A318="","",IF(A318="止损计划",IF(OR(B318="",D318="",E318="",F318="",G318=""),"计划不完整",IF(OR(D318&lt;1,D318&lt;&gt;INT(D318)),"阶段序号无效",IF(COUNTIFS($A$2:$A$497,"止损计划",$B$2:$B$497,B318,$D$2:$D$497,D318)&gt;1,"阶段序号重复",IF(E318&lt;=IFERROR(LOOKUP(2,1/(单次交易!$A$2:$A$163=B318),单次交易!$E$2:$E$163),0),"激活价须高于买入价",IF(F318&lt;N318,"止损价不得低于初始止损",IF(F318&gt;E318,"止损价不得高于激活价",IF(AND(COUNTIFS($A$2:$A$497,"止损计划",$B$2:$B$497,B318,$D$2:$D$497,"&lt;"&amp;D318)&gt;0,OR(E318&lt;=SUMPRODUCT(MAX((($A$2:$A$497="止损计划")*($B$2:$B$497=B318)*($D$2:$D$497&lt;D318))*$E$2:$E$497)),F318&lt;SUMPRODUCT(MAX((($A$2:$A$497="止损计划")*($B$2:$B$497=B318)*($D$2:$D$497&lt;D318))*$F$2:$F$497)))),"阶段价格必须逐级提高","计划有效"))))))),IF(A318="每日跟踪",IF(OR(B318="",H318="",I318="",J318=""),"每日数据不完整",IF(COUNTIFS($A$2:$A$497,"每日跟踪",$B$2:$B$497,B318,$H$2:$H$497,H318)&gt;1,"同一交易日期重复",IF(AND(R318&lt;&gt;"",R318&lt;S318),"人工止损无效：不能下调","跟踪有效"))),"记录类型无效")))</f>
        <v/>
      </c>
    </row>
    <row r="319" ht="17" spans="1:29">
      <c r="A319" s="2"/>
      <c r="B319" s="2"/>
      <c r="C319" s="8" t="str">
        <f>IF(B319="","",IFERROR(LOOKUP(2,1/(单次交易!$A$2:$A$163=B319),单次交易!$B$2:$B$163),""))</f>
        <v/>
      </c>
      <c r="D319" s="12"/>
      <c r="E319" s="10"/>
      <c r="F319" s="10"/>
      <c r="G319" s="2"/>
      <c r="H319" s="15"/>
      <c r="I319" s="10"/>
      <c r="J319" s="12"/>
      <c r="K319" s="2"/>
      <c r="L319" s="2"/>
      <c r="M319" s="2"/>
      <c r="N319" s="5" t="str">
        <f>IF(B319="","",IFERROR(LOOKUP(2,1/(单次交易!$A$2:$A$163=B319),单次交易!$N$2:$N$163),""))</f>
        <v/>
      </c>
      <c r="O319" s="5" t="str">
        <f t="shared" si="36"/>
        <v/>
      </c>
      <c r="P319" s="11" t="str">
        <f t="shared" si="37"/>
        <v/>
      </c>
      <c r="Q319" s="5" t="str">
        <f t="shared" si="38"/>
        <v/>
      </c>
      <c r="R319" s="10"/>
      <c r="S319" s="5" t="str">
        <f t="shared" si="39"/>
        <v/>
      </c>
      <c r="T319" s="5" t="str">
        <f t="shared" si="40"/>
        <v/>
      </c>
      <c r="U319" s="5" t="str">
        <f t="shared" si="41"/>
        <v/>
      </c>
      <c r="V319" s="7" t="str">
        <f t="shared" si="42"/>
        <v/>
      </c>
      <c r="W319" s="8" t="str">
        <f t="shared" si="43"/>
        <v/>
      </c>
      <c r="X319" s="2"/>
      <c r="Y319" s="10"/>
      <c r="Z319" s="11" t="str">
        <f>IF(X319&lt;&gt;"执行卖出","",IFERROR(LOOKUP(2,1/(单次交易!$A$2:$A$163=B319),单次交易!$AP$2:$AP$163),""))</f>
        <v/>
      </c>
      <c r="AA319" s="10"/>
      <c r="AB319" s="8" t="str">
        <f t="shared" si="44"/>
        <v/>
      </c>
      <c r="AC319" s="8" t="str">
        <f>IF(A319="","",IF(A319="止损计划",IF(OR(B319="",D319="",E319="",F319="",G319=""),"计划不完整",IF(OR(D319&lt;1,D319&lt;&gt;INT(D319)),"阶段序号无效",IF(COUNTIFS($A$2:$A$497,"止损计划",$B$2:$B$497,B319,$D$2:$D$497,D319)&gt;1,"阶段序号重复",IF(E319&lt;=IFERROR(LOOKUP(2,1/(单次交易!$A$2:$A$163=B319),单次交易!$E$2:$E$163),0),"激活价须高于买入价",IF(F319&lt;N319,"止损价不得低于初始止损",IF(F319&gt;E319,"止损价不得高于激活价",IF(AND(COUNTIFS($A$2:$A$497,"止损计划",$B$2:$B$497,B319,$D$2:$D$497,"&lt;"&amp;D319)&gt;0,OR(E319&lt;=SUMPRODUCT(MAX((($A$2:$A$497="止损计划")*($B$2:$B$497=B319)*($D$2:$D$497&lt;D319))*$E$2:$E$497)),F319&lt;SUMPRODUCT(MAX((($A$2:$A$497="止损计划")*($B$2:$B$497=B319)*($D$2:$D$497&lt;D319))*$F$2:$F$497)))),"阶段价格必须逐级提高","计划有效"))))))),IF(A319="每日跟踪",IF(OR(B319="",H319="",I319="",J319=""),"每日数据不完整",IF(COUNTIFS($A$2:$A$497,"每日跟踪",$B$2:$B$497,B319,$H$2:$H$497,H319)&gt;1,"同一交易日期重复",IF(AND(R319&lt;&gt;"",R319&lt;S319),"人工止损无效：不能下调","跟踪有效"))),"记录类型无效")))</f>
        <v/>
      </c>
    </row>
    <row r="320" ht="17" spans="1:29">
      <c r="A320" s="2"/>
      <c r="B320" s="2"/>
      <c r="C320" s="8" t="str">
        <f>IF(B320="","",IFERROR(LOOKUP(2,1/(单次交易!$A$2:$A$163=B320),单次交易!$B$2:$B$163),""))</f>
        <v/>
      </c>
      <c r="D320" s="12"/>
      <c r="E320" s="10"/>
      <c r="F320" s="10"/>
      <c r="G320" s="2"/>
      <c r="H320" s="15"/>
      <c r="I320" s="10"/>
      <c r="J320" s="12"/>
      <c r="K320" s="2"/>
      <c r="L320" s="2"/>
      <c r="M320" s="2"/>
      <c r="N320" s="5" t="str">
        <f>IF(B320="","",IFERROR(LOOKUP(2,1/(单次交易!$A$2:$A$163=B320),单次交易!$N$2:$N$163),""))</f>
        <v/>
      </c>
      <c r="O320" s="5" t="str">
        <f t="shared" si="36"/>
        <v/>
      </c>
      <c r="P320" s="11" t="str">
        <f t="shared" si="37"/>
        <v/>
      </c>
      <c r="Q320" s="5" t="str">
        <f t="shared" si="38"/>
        <v/>
      </c>
      <c r="R320" s="10"/>
      <c r="S320" s="5" t="str">
        <f t="shared" si="39"/>
        <v/>
      </c>
      <c r="T320" s="5" t="str">
        <f t="shared" si="40"/>
        <v/>
      </c>
      <c r="U320" s="5" t="str">
        <f t="shared" si="41"/>
        <v/>
      </c>
      <c r="V320" s="7" t="str">
        <f t="shared" si="42"/>
        <v/>
      </c>
      <c r="W320" s="8" t="str">
        <f t="shared" si="43"/>
        <v/>
      </c>
      <c r="X320" s="2"/>
      <c r="Y320" s="10"/>
      <c r="Z320" s="11" t="str">
        <f>IF(X320&lt;&gt;"执行卖出","",IFERROR(LOOKUP(2,1/(单次交易!$A$2:$A$163=B320),单次交易!$AP$2:$AP$163),""))</f>
        <v/>
      </c>
      <c r="AA320" s="10"/>
      <c r="AB320" s="8" t="str">
        <f t="shared" si="44"/>
        <v/>
      </c>
      <c r="AC320" s="8" t="str">
        <f>IF(A320="","",IF(A320="止损计划",IF(OR(B320="",D320="",E320="",F320="",G320=""),"计划不完整",IF(OR(D320&lt;1,D320&lt;&gt;INT(D320)),"阶段序号无效",IF(COUNTIFS($A$2:$A$497,"止损计划",$B$2:$B$497,B320,$D$2:$D$497,D320)&gt;1,"阶段序号重复",IF(E320&lt;=IFERROR(LOOKUP(2,1/(单次交易!$A$2:$A$163=B320),单次交易!$E$2:$E$163),0),"激活价须高于买入价",IF(F320&lt;N320,"止损价不得低于初始止损",IF(F320&gt;E320,"止损价不得高于激活价",IF(AND(COUNTIFS($A$2:$A$497,"止损计划",$B$2:$B$497,B320,$D$2:$D$497,"&lt;"&amp;D320)&gt;0,OR(E320&lt;=SUMPRODUCT(MAX((($A$2:$A$497="止损计划")*($B$2:$B$497=B320)*($D$2:$D$497&lt;D320))*$E$2:$E$497)),F320&lt;SUMPRODUCT(MAX((($A$2:$A$497="止损计划")*($B$2:$B$497=B320)*($D$2:$D$497&lt;D320))*$F$2:$F$497)))),"阶段价格必须逐级提高","计划有效"))))))),IF(A320="每日跟踪",IF(OR(B320="",H320="",I320="",J320=""),"每日数据不完整",IF(COUNTIFS($A$2:$A$497,"每日跟踪",$B$2:$B$497,B320,$H$2:$H$497,H320)&gt;1,"同一交易日期重复",IF(AND(R320&lt;&gt;"",R320&lt;S320),"人工止损无效：不能下调","跟踪有效"))),"记录类型无效")))</f>
        <v/>
      </c>
    </row>
    <row r="321" ht="17" spans="1:29">
      <c r="A321" s="2"/>
      <c r="B321" s="2"/>
      <c r="C321" s="8" t="str">
        <f>IF(B321="","",IFERROR(LOOKUP(2,1/(单次交易!$A$2:$A$163=B321),单次交易!$B$2:$B$163),""))</f>
        <v/>
      </c>
      <c r="D321" s="12"/>
      <c r="E321" s="10"/>
      <c r="F321" s="10"/>
      <c r="G321" s="2"/>
      <c r="H321" s="15"/>
      <c r="I321" s="10"/>
      <c r="J321" s="12"/>
      <c r="K321" s="2"/>
      <c r="L321" s="2"/>
      <c r="M321" s="2"/>
      <c r="N321" s="5" t="str">
        <f>IF(B321="","",IFERROR(LOOKUP(2,1/(单次交易!$A$2:$A$163=B321),单次交易!$N$2:$N$163),""))</f>
        <v/>
      </c>
      <c r="O321" s="5" t="str">
        <f t="shared" si="36"/>
        <v/>
      </c>
      <c r="P321" s="11" t="str">
        <f t="shared" si="37"/>
        <v/>
      </c>
      <c r="Q321" s="5" t="str">
        <f t="shared" si="38"/>
        <v/>
      </c>
      <c r="R321" s="10"/>
      <c r="S321" s="5" t="str">
        <f t="shared" si="39"/>
        <v/>
      </c>
      <c r="T321" s="5" t="str">
        <f t="shared" si="40"/>
        <v/>
      </c>
      <c r="U321" s="5" t="str">
        <f t="shared" si="41"/>
        <v/>
      </c>
      <c r="V321" s="7" t="str">
        <f t="shared" si="42"/>
        <v/>
      </c>
      <c r="W321" s="8" t="str">
        <f t="shared" si="43"/>
        <v/>
      </c>
      <c r="X321" s="2"/>
      <c r="Y321" s="10"/>
      <c r="Z321" s="11" t="str">
        <f>IF(X321&lt;&gt;"执行卖出","",IFERROR(LOOKUP(2,1/(单次交易!$A$2:$A$163=B321),单次交易!$AP$2:$AP$163),""))</f>
        <v/>
      </c>
      <c r="AA321" s="10"/>
      <c r="AB321" s="8" t="str">
        <f t="shared" si="44"/>
        <v/>
      </c>
      <c r="AC321" s="8" t="str">
        <f>IF(A321="","",IF(A321="止损计划",IF(OR(B321="",D321="",E321="",F321="",G321=""),"计划不完整",IF(OR(D321&lt;1,D321&lt;&gt;INT(D321)),"阶段序号无效",IF(COUNTIFS($A$2:$A$497,"止损计划",$B$2:$B$497,B321,$D$2:$D$497,D321)&gt;1,"阶段序号重复",IF(E321&lt;=IFERROR(LOOKUP(2,1/(单次交易!$A$2:$A$163=B321),单次交易!$E$2:$E$163),0),"激活价须高于买入价",IF(F321&lt;N321,"止损价不得低于初始止损",IF(F321&gt;E321,"止损价不得高于激活价",IF(AND(COUNTIFS($A$2:$A$497,"止损计划",$B$2:$B$497,B321,$D$2:$D$497,"&lt;"&amp;D321)&gt;0,OR(E321&lt;=SUMPRODUCT(MAX((($A$2:$A$497="止损计划")*($B$2:$B$497=B321)*($D$2:$D$497&lt;D321))*$E$2:$E$497)),F321&lt;SUMPRODUCT(MAX((($A$2:$A$497="止损计划")*($B$2:$B$497=B321)*($D$2:$D$497&lt;D321))*$F$2:$F$497)))),"阶段价格必须逐级提高","计划有效"))))))),IF(A321="每日跟踪",IF(OR(B321="",H321="",I321="",J321=""),"每日数据不完整",IF(COUNTIFS($A$2:$A$497,"每日跟踪",$B$2:$B$497,B321,$H$2:$H$497,H321)&gt;1,"同一交易日期重复",IF(AND(R321&lt;&gt;"",R321&lt;S321),"人工止损无效：不能下调","跟踪有效"))),"记录类型无效")))</f>
        <v/>
      </c>
    </row>
    <row r="322" ht="17" spans="1:29">
      <c r="A322" s="2"/>
      <c r="B322" s="2"/>
      <c r="C322" s="8" t="str">
        <f>IF(B322="","",IFERROR(LOOKUP(2,1/(单次交易!$A$2:$A$163=B322),单次交易!$B$2:$B$163),""))</f>
        <v/>
      </c>
      <c r="D322" s="12"/>
      <c r="E322" s="10"/>
      <c r="F322" s="10"/>
      <c r="G322" s="2"/>
      <c r="H322" s="15"/>
      <c r="I322" s="10"/>
      <c r="J322" s="12"/>
      <c r="K322" s="2"/>
      <c r="L322" s="2"/>
      <c r="M322" s="2"/>
      <c r="N322" s="5" t="str">
        <f>IF(B322="","",IFERROR(LOOKUP(2,1/(单次交易!$A$2:$A$163=B322),单次交易!$N$2:$N$163),""))</f>
        <v/>
      </c>
      <c r="O322" s="5" t="str">
        <f t="shared" ref="O322:O329" si="45">IF(A322&lt;&gt;"每日跟踪","",IF(OR(B322="",H322="",I322=""),"",IFERROR(SUMPRODUCT(MAX((($A$2:$A$497="每日跟踪")*($B$2:$B$497=B322)*($H$2:$H$497&lt;=H322))*$I$2:$I$497)),"")))</f>
        <v/>
      </c>
      <c r="P322" s="11" t="str">
        <f t="shared" ref="P322:P329" si="46">IF(A322&lt;&gt;"每日跟踪","",IF(O322="","",IFERROR(SUMPRODUCT(MAX((($A$2:$A$497="止损计划")*($B$2:$B$497=B322)*($E$2:$E$497&lt;=O322))*$D$2:$D$497)),0)))</f>
        <v/>
      </c>
      <c r="Q322" s="5" t="str">
        <f t="shared" ref="Q322:Q329" si="47">IF(A322&lt;&gt;"每日跟踪","",IF(N322="","",MAX(N322,IFERROR(SUMPRODUCT(MAX((($A$2:$A$497="止损计划")*($B$2:$B$497=B322)*($E$2:$E$497&lt;=O322))*$F$2:$F$497)),0))))</f>
        <v/>
      </c>
      <c r="R322" s="10"/>
      <c r="S322" s="5" t="str">
        <f t="shared" ref="S322:S329" si="48">IF(A322&lt;&gt;"每日跟踪","",IF(Q322="","",MAX(Q322,IFERROR(SUMPRODUCT(MAX((($A$2:$A$497="每日跟踪")*($B$2:$B$497=B322)*($H$2:$H$497&lt;=H322))*$R$2:$R$497)),0))))</f>
        <v/>
      </c>
      <c r="T322" s="5" t="str">
        <f t="shared" ref="T322:T329" si="49">IF(A322&lt;&gt;"每日跟踪","",IF(O322="","",IF(COUNTIFS($A$2:$A$497,"止损计划",$B$2:$B$497,B322,$E$2:$E$497,"&gt;"&amp;O322)=0,"",INDEX($E$2:$E$497,MATCH(1,INDEX(($A$2:$A$497="止损计划")*($B$2:$B$497=B322)*($E$2:$E$497&gt;O322),0),0)))))</f>
        <v/>
      </c>
      <c r="U322" s="5" t="str">
        <f t="shared" ref="U322:U329" si="50">IF(OR(A322&lt;&gt;"每日跟踪",T322=""),"",IFERROR(SUMIFS($F$2:$F$497,$A$2:$A$497,"止损计划",$B$2:$B$497,B322,$E$2:$E$497,T322),""))</f>
        <v/>
      </c>
      <c r="V322" s="7" t="str">
        <f t="shared" ref="V322:V329" si="51">IF(OR(A322&lt;&gt;"每日跟踪",T322="",I322="",I322&lt;=0),"",T322/I322-1)</f>
        <v/>
      </c>
      <c r="W322" s="8" t="str">
        <f t="shared" ref="W322:W329" si="52">IF(A322&lt;&gt;"每日跟踪","",IF(OR(I322="",S322=""),"",IF(I322&lt;=S322,"触发止损：应全部卖出","继续观察")))</f>
        <v/>
      </c>
      <c r="X322" s="2"/>
      <c r="Y322" s="10"/>
      <c r="Z322" s="11" t="str">
        <f>IF(X322&lt;&gt;"执行卖出","",IFERROR(LOOKUP(2,1/(单次交易!$A$2:$A$163=B322),单次交易!$AP$2:$AP$163),""))</f>
        <v/>
      </c>
      <c r="AA322" s="10"/>
      <c r="AB322" s="8" t="str">
        <f t="shared" ref="AB322:AB329" si="53">IF(A322&lt;&gt;"每日跟踪","",IF(OR(B322="",H322="",I322="",J322="",K322="",L322="",M322=""),"待补充每日记录",IF(W322="触发止损：应全部卖出",IF(X322&lt;&gt;"执行卖出","违规：触发止损但未执行",IF(Y322="","待补充实际卖出价","卖出记录完整")),IF(X322="","待选择卖出动作",IF(X322="执行卖出",IF(Y322="","待补充实际卖出价","卖出记录完整"),"正常")))))</f>
        <v/>
      </c>
      <c r="AC322" s="8" t="str">
        <f>IF(A322="","",IF(A322="止损计划",IF(OR(B322="",D322="",E322="",F322="",G322=""),"计划不完整",IF(OR(D322&lt;1,D322&lt;&gt;INT(D322)),"阶段序号无效",IF(COUNTIFS($A$2:$A$497,"止损计划",$B$2:$B$497,B322,$D$2:$D$497,D322)&gt;1,"阶段序号重复",IF(E322&lt;=IFERROR(LOOKUP(2,1/(单次交易!$A$2:$A$163=B322),单次交易!$E$2:$E$163),0),"激活价须高于买入价",IF(F322&lt;N322,"止损价不得低于初始止损",IF(F322&gt;E322,"止损价不得高于激活价",IF(AND(COUNTIFS($A$2:$A$497,"止损计划",$B$2:$B$497,B322,$D$2:$D$497,"&lt;"&amp;D322)&gt;0,OR(E322&lt;=SUMPRODUCT(MAX((($A$2:$A$497="止损计划")*($B$2:$B$497=B322)*($D$2:$D$497&lt;D322))*$E$2:$E$497)),F322&lt;SUMPRODUCT(MAX((($A$2:$A$497="止损计划")*($B$2:$B$497=B322)*($D$2:$D$497&lt;D322))*$F$2:$F$497)))),"阶段价格必须逐级提高","计划有效"))))))),IF(A322="每日跟踪",IF(OR(B322="",H322="",I322="",J322=""),"每日数据不完整",IF(COUNTIFS($A$2:$A$497,"每日跟踪",$B$2:$B$497,B322,$H$2:$H$497,H322)&gt;1,"同一交易日期重复",IF(AND(R322&lt;&gt;"",R322&lt;S322),"人工止损无效：不能下调","跟踪有效"))),"记录类型无效")))</f>
        <v/>
      </c>
    </row>
    <row r="323" ht="17" spans="1:29">
      <c r="A323" s="2"/>
      <c r="B323" s="2"/>
      <c r="C323" s="8" t="str">
        <f>IF(B323="","",IFERROR(LOOKUP(2,1/(单次交易!$A$2:$A$163=B323),单次交易!$B$2:$B$163),""))</f>
        <v/>
      </c>
      <c r="D323" s="12"/>
      <c r="E323" s="10"/>
      <c r="F323" s="10"/>
      <c r="G323" s="2"/>
      <c r="H323" s="15"/>
      <c r="I323" s="10"/>
      <c r="J323" s="12"/>
      <c r="K323" s="2"/>
      <c r="L323" s="2"/>
      <c r="M323" s="2"/>
      <c r="N323" s="5" t="str">
        <f>IF(B323="","",IFERROR(LOOKUP(2,1/(单次交易!$A$2:$A$163=B323),单次交易!$N$2:$N$163),""))</f>
        <v/>
      </c>
      <c r="O323" s="5" t="str">
        <f t="shared" si="45"/>
        <v/>
      </c>
      <c r="P323" s="11" t="str">
        <f t="shared" si="46"/>
        <v/>
      </c>
      <c r="Q323" s="5" t="str">
        <f t="shared" si="47"/>
        <v/>
      </c>
      <c r="R323" s="10"/>
      <c r="S323" s="5" t="str">
        <f t="shared" si="48"/>
        <v/>
      </c>
      <c r="T323" s="5" t="str">
        <f t="shared" si="49"/>
        <v/>
      </c>
      <c r="U323" s="5" t="str">
        <f t="shared" si="50"/>
        <v/>
      </c>
      <c r="V323" s="7" t="str">
        <f t="shared" si="51"/>
        <v/>
      </c>
      <c r="W323" s="8" t="str">
        <f t="shared" si="52"/>
        <v/>
      </c>
      <c r="X323" s="2"/>
      <c r="Y323" s="10"/>
      <c r="Z323" s="11" t="str">
        <f>IF(X323&lt;&gt;"执行卖出","",IFERROR(LOOKUP(2,1/(单次交易!$A$2:$A$163=B323),单次交易!$AP$2:$AP$163),""))</f>
        <v/>
      </c>
      <c r="AA323" s="10"/>
      <c r="AB323" s="8" t="str">
        <f t="shared" si="53"/>
        <v/>
      </c>
      <c r="AC323" s="8" t="str">
        <f>IF(A323="","",IF(A323="止损计划",IF(OR(B323="",D323="",E323="",F323="",G323=""),"计划不完整",IF(OR(D323&lt;1,D323&lt;&gt;INT(D323)),"阶段序号无效",IF(COUNTIFS($A$2:$A$497,"止损计划",$B$2:$B$497,B323,$D$2:$D$497,D323)&gt;1,"阶段序号重复",IF(E323&lt;=IFERROR(LOOKUP(2,1/(单次交易!$A$2:$A$163=B323),单次交易!$E$2:$E$163),0),"激活价须高于买入价",IF(F323&lt;N323,"止损价不得低于初始止损",IF(F323&gt;E323,"止损价不得高于激活价",IF(AND(COUNTIFS($A$2:$A$497,"止损计划",$B$2:$B$497,B323,$D$2:$D$497,"&lt;"&amp;D323)&gt;0,OR(E323&lt;=SUMPRODUCT(MAX((($A$2:$A$497="止损计划")*($B$2:$B$497=B323)*($D$2:$D$497&lt;D323))*$E$2:$E$497)),F323&lt;SUMPRODUCT(MAX((($A$2:$A$497="止损计划")*($B$2:$B$497=B323)*($D$2:$D$497&lt;D323))*$F$2:$F$497)))),"阶段价格必须逐级提高","计划有效"))))))),IF(A323="每日跟踪",IF(OR(B323="",H323="",I323="",J323=""),"每日数据不完整",IF(COUNTIFS($A$2:$A$497,"每日跟踪",$B$2:$B$497,B323,$H$2:$H$497,H323)&gt;1,"同一交易日期重复",IF(AND(R323&lt;&gt;"",R323&lt;S323),"人工止损无效：不能下调","跟踪有效"))),"记录类型无效")))</f>
        <v/>
      </c>
    </row>
    <row r="324" ht="17" spans="1:29">
      <c r="A324" s="2"/>
      <c r="B324" s="2"/>
      <c r="C324" s="8" t="str">
        <f>IF(B324="","",IFERROR(LOOKUP(2,1/(单次交易!$A$2:$A$163=B324),单次交易!$B$2:$B$163),""))</f>
        <v/>
      </c>
      <c r="D324" s="12"/>
      <c r="E324" s="10"/>
      <c r="F324" s="10"/>
      <c r="G324" s="2"/>
      <c r="H324" s="15"/>
      <c r="I324" s="10"/>
      <c r="J324" s="12"/>
      <c r="K324" s="2"/>
      <c r="L324" s="2"/>
      <c r="M324" s="2"/>
      <c r="N324" s="5" t="str">
        <f>IF(B324="","",IFERROR(LOOKUP(2,1/(单次交易!$A$2:$A$163=B324),单次交易!$N$2:$N$163),""))</f>
        <v/>
      </c>
      <c r="O324" s="5" t="str">
        <f t="shared" si="45"/>
        <v/>
      </c>
      <c r="P324" s="11" t="str">
        <f t="shared" si="46"/>
        <v/>
      </c>
      <c r="Q324" s="5" t="str">
        <f t="shared" si="47"/>
        <v/>
      </c>
      <c r="R324" s="10"/>
      <c r="S324" s="5" t="str">
        <f t="shared" si="48"/>
        <v/>
      </c>
      <c r="T324" s="5" t="str">
        <f t="shared" si="49"/>
        <v/>
      </c>
      <c r="U324" s="5" t="str">
        <f t="shared" si="50"/>
        <v/>
      </c>
      <c r="V324" s="7" t="str">
        <f t="shared" si="51"/>
        <v/>
      </c>
      <c r="W324" s="8" t="str">
        <f t="shared" si="52"/>
        <v/>
      </c>
      <c r="X324" s="2"/>
      <c r="Y324" s="10"/>
      <c r="Z324" s="11" t="str">
        <f>IF(X324&lt;&gt;"执行卖出","",IFERROR(LOOKUP(2,1/(单次交易!$A$2:$A$163=B324),单次交易!$AP$2:$AP$163),""))</f>
        <v/>
      </c>
      <c r="AA324" s="10"/>
      <c r="AB324" s="8" t="str">
        <f t="shared" si="53"/>
        <v/>
      </c>
      <c r="AC324" s="8" t="str">
        <f>IF(A324="","",IF(A324="止损计划",IF(OR(B324="",D324="",E324="",F324="",G324=""),"计划不完整",IF(OR(D324&lt;1,D324&lt;&gt;INT(D324)),"阶段序号无效",IF(COUNTIFS($A$2:$A$497,"止损计划",$B$2:$B$497,B324,$D$2:$D$497,D324)&gt;1,"阶段序号重复",IF(E324&lt;=IFERROR(LOOKUP(2,1/(单次交易!$A$2:$A$163=B324),单次交易!$E$2:$E$163),0),"激活价须高于买入价",IF(F324&lt;N324,"止损价不得低于初始止损",IF(F324&gt;E324,"止损价不得高于激活价",IF(AND(COUNTIFS($A$2:$A$497,"止损计划",$B$2:$B$497,B324,$D$2:$D$497,"&lt;"&amp;D324)&gt;0,OR(E324&lt;=SUMPRODUCT(MAX((($A$2:$A$497="止损计划")*($B$2:$B$497=B324)*($D$2:$D$497&lt;D324))*$E$2:$E$497)),F324&lt;SUMPRODUCT(MAX((($A$2:$A$497="止损计划")*($B$2:$B$497=B324)*($D$2:$D$497&lt;D324))*$F$2:$F$497)))),"阶段价格必须逐级提高","计划有效"))))))),IF(A324="每日跟踪",IF(OR(B324="",H324="",I324="",J324=""),"每日数据不完整",IF(COUNTIFS($A$2:$A$497,"每日跟踪",$B$2:$B$497,B324,$H$2:$H$497,H324)&gt;1,"同一交易日期重复",IF(AND(R324&lt;&gt;"",R324&lt;S324),"人工止损无效：不能下调","跟踪有效"))),"记录类型无效")))</f>
        <v/>
      </c>
    </row>
    <row r="325" ht="17" spans="1:29">
      <c r="A325" s="2"/>
      <c r="B325" s="2"/>
      <c r="C325" s="8" t="str">
        <f>IF(B325="","",IFERROR(LOOKUP(2,1/(单次交易!$A$2:$A$163=B325),单次交易!$B$2:$B$163),""))</f>
        <v/>
      </c>
      <c r="D325" s="12"/>
      <c r="E325" s="10"/>
      <c r="F325" s="10"/>
      <c r="G325" s="2"/>
      <c r="H325" s="15"/>
      <c r="I325" s="10"/>
      <c r="J325" s="12"/>
      <c r="K325" s="2"/>
      <c r="L325" s="2"/>
      <c r="M325" s="2"/>
      <c r="N325" s="5" t="str">
        <f>IF(B325="","",IFERROR(LOOKUP(2,1/(单次交易!$A$2:$A$163=B325),单次交易!$N$2:$N$163),""))</f>
        <v/>
      </c>
      <c r="O325" s="5" t="str">
        <f t="shared" si="45"/>
        <v/>
      </c>
      <c r="P325" s="11" t="str">
        <f t="shared" si="46"/>
        <v/>
      </c>
      <c r="Q325" s="5" t="str">
        <f t="shared" si="47"/>
        <v/>
      </c>
      <c r="R325" s="10"/>
      <c r="S325" s="5" t="str">
        <f t="shared" si="48"/>
        <v/>
      </c>
      <c r="T325" s="5" t="str">
        <f t="shared" si="49"/>
        <v/>
      </c>
      <c r="U325" s="5" t="str">
        <f t="shared" si="50"/>
        <v/>
      </c>
      <c r="V325" s="7" t="str">
        <f t="shared" si="51"/>
        <v/>
      </c>
      <c r="W325" s="8" t="str">
        <f t="shared" si="52"/>
        <v/>
      </c>
      <c r="X325" s="2"/>
      <c r="Y325" s="10"/>
      <c r="Z325" s="11" t="str">
        <f>IF(X325&lt;&gt;"执行卖出","",IFERROR(LOOKUP(2,1/(单次交易!$A$2:$A$163=B325),单次交易!$AP$2:$AP$163),""))</f>
        <v/>
      </c>
      <c r="AA325" s="10"/>
      <c r="AB325" s="8" t="str">
        <f t="shared" si="53"/>
        <v/>
      </c>
      <c r="AC325" s="8" t="str">
        <f>IF(A325="","",IF(A325="止损计划",IF(OR(B325="",D325="",E325="",F325="",G325=""),"计划不完整",IF(OR(D325&lt;1,D325&lt;&gt;INT(D325)),"阶段序号无效",IF(COUNTIFS($A$2:$A$497,"止损计划",$B$2:$B$497,B325,$D$2:$D$497,D325)&gt;1,"阶段序号重复",IF(E325&lt;=IFERROR(LOOKUP(2,1/(单次交易!$A$2:$A$163=B325),单次交易!$E$2:$E$163),0),"激活价须高于买入价",IF(F325&lt;N325,"止损价不得低于初始止损",IF(F325&gt;E325,"止损价不得高于激活价",IF(AND(COUNTIFS($A$2:$A$497,"止损计划",$B$2:$B$497,B325,$D$2:$D$497,"&lt;"&amp;D325)&gt;0,OR(E325&lt;=SUMPRODUCT(MAX((($A$2:$A$497="止损计划")*($B$2:$B$497=B325)*($D$2:$D$497&lt;D325))*$E$2:$E$497)),F325&lt;SUMPRODUCT(MAX((($A$2:$A$497="止损计划")*($B$2:$B$497=B325)*($D$2:$D$497&lt;D325))*$F$2:$F$497)))),"阶段价格必须逐级提高","计划有效"))))))),IF(A325="每日跟踪",IF(OR(B325="",H325="",I325="",J325=""),"每日数据不完整",IF(COUNTIFS($A$2:$A$497,"每日跟踪",$B$2:$B$497,B325,$H$2:$H$497,H325)&gt;1,"同一交易日期重复",IF(AND(R325&lt;&gt;"",R325&lt;S325),"人工止损无效：不能下调","跟踪有效"))),"记录类型无效")))</f>
        <v/>
      </c>
    </row>
    <row r="326" ht="17" spans="1:29">
      <c r="A326" s="2"/>
      <c r="B326" s="2"/>
      <c r="C326" s="8" t="str">
        <f>IF(B326="","",IFERROR(LOOKUP(2,1/(单次交易!$A$2:$A$163=B326),单次交易!$B$2:$B$163),""))</f>
        <v/>
      </c>
      <c r="D326" s="12"/>
      <c r="E326" s="10"/>
      <c r="F326" s="10"/>
      <c r="G326" s="2"/>
      <c r="H326" s="15"/>
      <c r="I326" s="10"/>
      <c r="J326" s="12"/>
      <c r="K326" s="2"/>
      <c r="L326" s="2"/>
      <c r="M326" s="2"/>
      <c r="N326" s="5" t="str">
        <f>IF(B326="","",IFERROR(LOOKUP(2,1/(单次交易!$A$2:$A$163=B326),单次交易!$N$2:$N$163),""))</f>
        <v/>
      </c>
      <c r="O326" s="5" t="str">
        <f t="shared" si="45"/>
        <v/>
      </c>
      <c r="P326" s="11" t="str">
        <f t="shared" si="46"/>
        <v/>
      </c>
      <c r="Q326" s="5" t="str">
        <f t="shared" si="47"/>
        <v/>
      </c>
      <c r="R326" s="10"/>
      <c r="S326" s="5" t="str">
        <f t="shared" si="48"/>
        <v/>
      </c>
      <c r="T326" s="5" t="str">
        <f t="shared" si="49"/>
        <v/>
      </c>
      <c r="U326" s="5" t="str">
        <f t="shared" si="50"/>
        <v/>
      </c>
      <c r="V326" s="7" t="str">
        <f t="shared" si="51"/>
        <v/>
      </c>
      <c r="W326" s="8" t="str">
        <f t="shared" si="52"/>
        <v/>
      </c>
      <c r="X326" s="2"/>
      <c r="Y326" s="10"/>
      <c r="Z326" s="11" t="str">
        <f>IF(X326&lt;&gt;"执行卖出","",IFERROR(LOOKUP(2,1/(单次交易!$A$2:$A$163=B326),单次交易!$AP$2:$AP$163),""))</f>
        <v/>
      </c>
      <c r="AA326" s="10"/>
      <c r="AB326" s="8" t="str">
        <f t="shared" si="53"/>
        <v/>
      </c>
      <c r="AC326" s="8" t="str">
        <f>IF(A326="","",IF(A326="止损计划",IF(OR(B326="",D326="",E326="",F326="",G326=""),"计划不完整",IF(OR(D326&lt;1,D326&lt;&gt;INT(D326)),"阶段序号无效",IF(COUNTIFS($A$2:$A$497,"止损计划",$B$2:$B$497,B326,$D$2:$D$497,D326)&gt;1,"阶段序号重复",IF(E326&lt;=IFERROR(LOOKUP(2,1/(单次交易!$A$2:$A$163=B326),单次交易!$E$2:$E$163),0),"激活价须高于买入价",IF(F326&lt;N326,"止损价不得低于初始止损",IF(F326&gt;E326,"止损价不得高于激活价",IF(AND(COUNTIFS($A$2:$A$497,"止损计划",$B$2:$B$497,B326,$D$2:$D$497,"&lt;"&amp;D326)&gt;0,OR(E326&lt;=SUMPRODUCT(MAX((($A$2:$A$497="止损计划")*($B$2:$B$497=B326)*($D$2:$D$497&lt;D326))*$E$2:$E$497)),F326&lt;SUMPRODUCT(MAX((($A$2:$A$497="止损计划")*($B$2:$B$497=B326)*($D$2:$D$497&lt;D326))*$F$2:$F$497)))),"阶段价格必须逐级提高","计划有效"))))))),IF(A326="每日跟踪",IF(OR(B326="",H326="",I326="",J326=""),"每日数据不完整",IF(COUNTIFS($A$2:$A$497,"每日跟踪",$B$2:$B$497,B326,$H$2:$H$497,H326)&gt;1,"同一交易日期重复",IF(AND(R326&lt;&gt;"",R326&lt;S326),"人工止损无效：不能下调","跟踪有效"))),"记录类型无效")))</f>
        <v/>
      </c>
    </row>
    <row r="327" ht="17" spans="1:29">
      <c r="A327" s="2"/>
      <c r="B327" s="2"/>
      <c r="C327" s="8" t="str">
        <f>IF(B327="","",IFERROR(LOOKUP(2,1/(单次交易!$A$2:$A$163=B327),单次交易!$B$2:$B$163),""))</f>
        <v/>
      </c>
      <c r="D327" s="12"/>
      <c r="E327" s="10"/>
      <c r="F327" s="10"/>
      <c r="G327" s="2"/>
      <c r="H327" s="15"/>
      <c r="I327" s="10"/>
      <c r="J327" s="12"/>
      <c r="K327" s="2"/>
      <c r="L327" s="2"/>
      <c r="M327" s="2"/>
      <c r="N327" s="5" t="str">
        <f>IF(B327="","",IFERROR(LOOKUP(2,1/(单次交易!$A$2:$A$163=B327),单次交易!$N$2:$N$163),""))</f>
        <v/>
      </c>
      <c r="O327" s="5" t="str">
        <f t="shared" si="45"/>
        <v/>
      </c>
      <c r="P327" s="11" t="str">
        <f t="shared" si="46"/>
        <v/>
      </c>
      <c r="Q327" s="5" t="str">
        <f t="shared" si="47"/>
        <v/>
      </c>
      <c r="R327" s="10"/>
      <c r="S327" s="5" t="str">
        <f t="shared" si="48"/>
        <v/>
      </c>
      <c r="T327" s="5" t="str">
        <f t="shared" si="49"/>
        <v/>
      </c>
      <c r="U327" s="5" t="str">
        <f t="shared" si="50"/>
        <v/>
      </c>
      <c r="V327" s="7" t="str">
        <f t="shared" si="51"/>
        <v/>
      </c>
      <c r="W327" s="8" t="str">
        <f t="shared" si="52"/>
        <v/>
      </c>
      <c r="X327" s="2"/>
      <c r="Y327" s="10"/>
      <c r="Z327" s="11" t="str">
        <f>IF(X327&lt;&gt;"执行卖出","",IFERROR(LOOKUP(2,1/(单次交易!$A$2:$A$163=B327),单次交易!$AP$2:$AP$163),""))</f>
        <v/>
      </c>
      <c r="AA327" s="10"/>
      <c r="AB327" s="8" t="str">
        <f t="shared" si="53"/>
        <v/>
      </c>
      <c r="AC327" s="8" t="str">
        <f>IF(A327="","",IF(A327="止损计划",IF(OR(B327="",D327="",E327="",F327="",G327=""),"计划不完整",IF(OR(D327&lt;1,D327&lt;&gt;INT(D327)),"阶段序号无效",IF(COUNTIFS($A$2:$A$497,"止损计划",$B$2:$B$497,B327,$D$2:$D$497,D327)&gt;1,"阶段序号重复",IF(E327&lt;=IFERROR(LOOKUP(2,1/(单次交易!$A$2:$A$163=B327),单次交易!$E$2:$E$163),0),"激活价须高于买入价",IF(F327&lt;N327,"止损价不得低于初始止损",IF(F327&gt;E327,"止损价不得高于激活价",IF(AND(COUNTIFS($A$2:$A$497,"止损计划",$B$2:$B$497,B327,$D$2:$D$497,"&lt;"&amp;D327)&gt;0,OR(E327&lt;=SUMPRODUCT(MAX((($A$2:$A$497="止损计划")*($B$2:$B$497=B327)*($D$2:$D$497&lt;D327))*$E$2:$E$497)),F327&lt;SUMPRODUCT(MAX((($A$2:$A$497="止损计划")*($B$2:$B$497=B327)*($D$2:$D$497&lt;D327))*$F$2:$F$497)))),"阶段价格必须逐级提高","计划有效"))))))),IF(A327="每日跟踪",IF(OR(B327="",H327="",I327="",J327=""),"每日数据不完整",IF(COUNTIFS($A$2:$A$497,"每日跟踪",$B$2:$B$497,B327,$H$2:$H$497,H327)&gt;1,"同一交易日期重复",IF(AND(R327&lt;&gt;"",R327&lt;S327),"人工止损无效：不能下调","跟踪有效"))),"记录类型无效")))</f>
        <v/>
      </c>
    </row>
    <row r="328" ht="17" spans="1:29">
      <c r="A328" s="2"/>
      <c r="B328" s="2"/>
      <c r="C328" s="8" t="str">
        <f>IF(B328="","",IFERROR(LOOKUP(2,1/(单次交易!$A$2:$A$163=B328),单次交易!$B$2:$B$163),""))</f>
        <v/>
      </c>
      <c r="D328" s="12"/>
      <c r="E328" s="10"/>
      <c r="F328" s="10"/>
      <c r="G328" s="2"/>
      <c r="H328" s="15"/>
      <c r="I328" s="10"/>
      <c r="J328" s="12"/>
      <c r="K328" s="2"/>
      <c r="L328" s="2"/>
      <c r="M328" s="2"/>
      <c r="N328" s="5" t="str">
        <f>IF(B328="","",IFERROR(LOOKUP(2,1/(单次交易!$A$2:$A$163=B328),单次交易!$N$2:$N$163),""))</f>
        <v/>
      </c>
      <c r="O328" s="5" t="str">
        <f t="shared" si="45"/>
        <v/>
      </c>
      <c r="P328" s="11" t="str">
        <f t="shared" si="46"/>
        <v/>
      </c>
      <c r="Q328" s="5" t="str">
        <f t="shared" si="47"/>
        <v/>
      </c>
      <c r="R328" s="10"/>
      <c r="S328" s="5" t="str">
        <f t="shared" si="48"/>
        <v/>
      </c>
      <c r="T328" s="5" t="str">
        <f t="shared" si="49"/>
        <v/>
      </c>
      <c r="U328" s="5" t="str">
        <f t="shared" si="50"/>
        <v/>
      </c>
      <c r="V328" s="7" t="str">
        <f t="shared" si="51"/>
        <v/>
      </c>
      <c r="W328" s="8" t="str">
        <f t="shared" si="52"/>
        <v/>
      </c>
      <c r="X328" s="2"/>
      <c r="Y328" s="10"/>
      <c r="Z328" s="11" t="str">
        <f>IF(X328&lt;&gt;"执行卖出","",IFERROR(LOOKUP(2,1/(单次交易!$A$2:$A$163=B328),单次交易!$AP$2:$AP$163),""))</f>
        <v/>
      </c>
      <c r="AA328" s="10"/>
      <c r="AB328" s="8" t="str">
        <f t="shared" si="53"/>
        <v/>
      </c>
      <c r="AC328" s="8" t="str">
        <f>IF(A328="","",IF(A328="止损计划",IF(OR(B328="",D328="",E328="",F328="",G328=""),"计划不完整",IF(OR(D328&lt;1,D328&lt;&gt;INT(D328)),"阶段序号无效",IF(COUNTIFS($A$2:$A$497,"止损计划",$B$2:$B$497,B328,$D$2:$D$497,D328)&gt;1,"阶段序号重复",IF(E328&lt;=IFERROR(LOOKUP(2,1/(单次交易!$A$2:$A$163=B328),单次交易!$E$2:$E$163),0),"激活价须高于买入价",IF(F328&lt;N328,"止损价不得低于初始止损",IF(F328&gt;E328,"止损价不得高于激活价",IF(AND(COUNTIFS($A$2:$A$497,"止损计划",$B$2:$B$497,B328,$D$2:$D$497,"&lt;"&amp;D328)&gt;0,OR(E328&lt;=SUMPRODUCT(MAX((($A$2:$A$497="止损计划")*($B$2:$B$497=B328)*($D$2:$D$497&lt;D328))*$E$2:$E$497)),F328&lt;SUMPRODUCT(MAX((($A$2:$A$497="止损计划")*($B$2:$B$497=B328)*($D$2:$D$497&lt;D328))*$F$2:$F$497)))),"阶段价格必须逐级提高","计划有效"))))))),IF(A328="每日跟踪",IF(OR(B328="",H328="",I328="",J328=""),"每日数据不完整",IF(COUNTIFS($A$2:$A$497,"每日跟踪",$B$2:$B$497,B328,$H$2:$H$497,H328)&gt;1,"同一交易日期重复",IF(AND(R328&lt;&gt;"",R328&lt;S328),"人工止损无效：不能下调","跟踪有效"))),"记录类型无效")))</f>
        <v/>
      </c>
    </row>
    <row r="329" ht="17" spans="1:29">
      <c r="A329" s="2"/>
      <c r="B329" s="2"/>
      <c r="C329" s="8" t="str">
        <f>IF(B329="","",IFERROR(LOOKUP(2,1/(单次交易!$A$2:$A$163=B329),单次交易!$B$2:$B$163),""))</f>
        <v/>
      </c>
      <c r="D329" s="12"/>
      <c r="E329" s="10"/>
      <c r="F329" s="10"/>
      <c r="G329" s="2"/>
      <c r="H329" s="15"/>
      <c r="I329" s="10"/>
      <c r="J329" s="12"/>
      <c r="K329" s="2"/>
      <c r="L329" s="2"/>
      <c r="M329" s="2"/>
      <c r="N329" s="5" t="str">
        <f>IF(B329="","",IFERROR(LOOKUP(2,1/(单次交易!$A$2:$A$163=B329),单次交易!$N$2:$N$163),""))</f>
        <v/>
      </c>
      <c r="O329" s="5" t="str">
        <f t="shared" si="45"/>
        <v/>
      </c>
      <c r="P329" s="11" t="str">
        <f t="shared" si="46"/>
        <v/>
      </c>
      <c r="Q329" s="5" t="str">
        <f t="shared" si="47"/>
        <v/>
      </c>
      <c r="R329" s="10"/>
      <c r="S329" s="5" t="str">
        <f t="shared" si="48"/>
        <v/>
      </c>
      <c r="T329" s="5" t="str">
        <f t="shared" si="49"/>
        <v/>
      </c>
      <c r="U329" s="5" t="str">
        <f t="shared" si="50"/>
        <v/>
      </c>
      <c r="V329" s="7" t="str">
        <f t="shared" si="51"/>
        <v/>
      </c>
      <c r="W329" s="8" t="str">
        <f t="shared" si="52"/>
        <v/>
      </c>
      <c r="X329" s="2"/>
      <c r="Y329" s="10"/>
      <c r="Z329" s="11" t="str">
        <f>IF(X329&lt;&gt;"执行卖出","",IFERROR(LOOKUP(2,1/(单次交易!$A$2:$A$163=B329),单次交易!$AP$2:$AP$163),""))</f>
        <v/>
      </c>
      <c r="AA329" s="10"/>
      <c r="AB329" s="8" t="str">
        <f t="shared" si="53"/>
        <v/>
      </c>
      <c r="AC329" s="8" t="str">
        <f>IF(A329="","",IF(A329="止损计划",IF(OR(B329="",D329="",E329="",F329="",G329=""),"计划不完整",IF(OR(D329&lt;1,D329&lt;&gt;INT(D329)),"阶段序号无效",IF(COUNTIFS($A$2:$A$497,"止损计划",$B$2:$B$497,B329,$D$2:$D$497,D329)&gt;1,"阶段序号重复",IF(E329&lt;=IFERROR(LOOKUP(2,1/(单次交易!$A$2:$A$163=B329),单次交易!$E$2:$E$163),0),"激活价须高于买入价",IF(F329&lt;N329,"止损价不得低于初始止损",IF(F329&gt;E329,"止损价不得高于激活价",IF(AND(COUNTIFS($A$2:$A$497,"止损计划",$B$2:$B$497,B329,$D$2:$D$497,"&lt;"&amp;D329)&gt;0,OR(E329&lt;=SUMPRODUCT(MAX((($A$2:$A$497="止损计划")*($B$2:$B$497=B329)*($D$2:$D$497&lt;D329))*$E$2:$E$497)),F329&lt;SUMPRODUCT(MAX((($A$2:$A$497="止损计划")*($B$2:$B$497=B329)*($D$2:$D$497&lt;D329))*$F$2:$F$497)))),"阶段价格必须逐级提高","计划有效"))))))),IF(A329="每日跟踪",IF(OR(B329="",H329="",I329="",J329=""),"每日数据不完整",IF(COUNTIFS($A$2:$A$497,"每日跟踪",$B$2:$B$497,B329,$H$2:$H$497,H329)&gt;1,"同一交易日期重复",IF(AND(R329&lt;&gt;"",R329&lt;S329),"人工止损无效：不能下调","跟踪有效"))),"记录类型无效")))</f>
        <v/>
      </c>
    </row>
    <row r="330" ht="17" spans="1:29">
      <c r="A330" s="2"/>
      <c r="B330" s="2"/>
      <c r="C330" s="8" t="str">
        <f>IF(B330="","",IFERROR(LOOKUP(2,1/(单次交易!$A$2:$A$163=B330),单次交易!$B$2:$B$163),""))</f>
        <v/>
      </c>
      <c r="D330" s="12"/>
      <c r="E330" s="10"/>
      <c r="F330" s="10"/>
      <c r="G330" s="2"/>
      <c r="H330" s="15"/>
      <c r="I330" s="10"/>
      <c r="J330" s="12"/>
      <c r="K330" s="2"/>
      <c r="L330" s="2"/>
      <c r="M330" s="2"/>
      <c r="N330" s="5" t="str">
        <f>IF(B330="","",IFERROR(LOOKUP(2,1/(单次交易!$A$2:$A$163=B330),单次交易!$N$2:$N$163),""))</f>
        <v/>
      </c>
      <c r="O330" s="5" t="str">
        <f t="shared" ref="O330:O381" si="54">IF(A330&lt;&gt;"每日跟踪","",IF(OR(B330="",H330="",I330=""),"",IFERROR(SUMPRODUCT(MAX((($A$2:$A$497="每日跟踪")*($B$2:$B$497=B330)*($H$2:$H$497&lt;=H330))*$I$2:$I$497)),"")))</f>
        <v/>
      </c>
      <c r="P330" s="11" t="str">
        <f t="shared" ref="P330:P381" si="55">IF(A330&lt;&gt;"每日跟踪","",IF(O330="","",IFERROR(SUMPRODUCT(MAX((($A$2:$A$497="止损计划")*($B$2:$B$497=B330)*($E$2:$E$497&lt;=O330))*$D$2:$D$497)),0)))</f>
        <v/>
      </c>
      <c r="Q330" s="5" t="str">
        <f t="shared" ref="Q330:Q381" si="56">IF(A330&lt;&gt;"每日跟踪","",IF(N330="","",MAX(N330,IFERROR(SUMPRODUCT(MAX((($A$2:$A$497="止损计划")*($B$2:$B$497=B330)*($E$2:$E$497&lt;=O330))*$F$2:$F$497)),0))))</f>
        <v/>
      </c>
      <c r="R330" s="10"/>
      <c r="S330" s="5" t="str">
        <f t="shared" ref="S330:S381" si="57">IF(A330&lt;&gt;"每日跟踪","",IF(Q330="","",MAX(Q330,IFERROR(SUMPRODUCT(MAX((($A$2:$A$497="每日跟踪")*($B$2:$B$497=B330)*($H$2:$H$497&lt;=H330))*$R$2:$R$497)),0))))</f>
        <v/>
      </c>
      <c r="T330" s="5" t="str">
        <f t="shared" ref="T330:T381" si="58">IF(A330&lt;&gt;"每日跟踪","",IF(O330="","",IF(COUNTIFS($A$2:$A$497,"止损计划",$B$2:$B$497,B330,$E$2:$E$497,"&gt;"&amp;O330)=0,"",INDEX($E$2:$E$497,MATCH(1,INDEX(($A$2:$A$497="止损计划")*($B$2:$B$497=B330)*($E$2:$E$497&gt;O330),0),0)))))</f>
        <v/>
      </c>
      <c r="U330" s="5" t="str">
        <f t="shared" ref="U330:U381" si="59">IF(OR(A330&lt;&gt;"每日跟踪",T330=""),"",IFERROR(SUMIFS($F$2:$F$497,$A$2:$A$497,"止损计划",$B$2:$B$497,B330,$E$2:$E$497,T330),""))</f>
        <v/>
      </c>
      <c r="V330" s="7" t="str">
        <f t="shared" ref="V330:V381" si="60">IF(OR(A330&lt;&gt;"每日跟踪",T330="",I330="",I330&lt;=0),"",T330/I330-1)</f>
        <v/>
      </c>
      <c r="W330" s="8" t="str">
        <f t="shared" ref="W330:W381" si="61">IF(A330&lt;&gt;"每日跟踪","",IF(OR(I330="",S330=""),"",IF(I330&lt;=S330,"触发止损：应全部卖出","继续观察")))</f>
        <v/>
      </c>
      <c r="X330" s="2"/>
      <c r="Y330" s="10"/>
      <c r="Z330" s="11" t="str">
        <f>IF(X330&lt;&gt;"执行卖出","",IFERROR(LOOKUP(2,1/(单次交易!$A$2:$A$163=B330),单次交易!$AP$2:$AP$163),""))</f>
        <v/>
      </c>
      <c r="AA330" s="10"/>
      <c r="AB330" s="8" t="str">
        <f t="shared" ref="AB330:AB381" si="62">IF(A330&lt;&gt;"每日跟踪","",IF(OR(B330="",H330="",I330="",J330="",K330="",L330="",M330=""),"待补充每日记录",IF(W330="触发止损：应全部卖出",IF(X330&lt;&gt;"执行卖出","违规：触发止损但未执行",IF(Y330="","待补充实际卖出价","卖出记录完整")),IF(X330="","待选择卖出动作",IF(X330="执行卖出",IF(Y330="","待补充实际卖出价","卖出记录完整"),"正常")))))</f>
        <v/>
      </c>
      <c r="AC330" s="8" t="str">
        <f>IF(A330="","",IF(A330="止损计划",IF(OR(B330="",D330="",E330="",F330="",G330=""),"计划不完整",IF(OR(D330&lt;1,D330&lt;&gt;INT(D330)),"阶段序号无效",IF(COUNTIFS($A$2:$A$497,"止损计划",$B$2:$B$497,B330,$D$2:$D$497,D330)&gt;1,"阶段序号重复",IF(E330&lt;=IFERROR(LOOKUP(2,1/(单次交易!$A$2:$A$163=B330),单次交易!$E$2:$E$163),0),"激活价须高于买入价",IF(F330&lt;N330,"止损价不得低于初始止损",IF(F330&gt;E330,"止损价不得高于激活价",IF(AND(COUNTIFS($A$2:$A$497,"止损计划",$B$2:$B$497,B330,$D$2:$D$497,"&lt;"&amp;D330)&gt;0,OR(E330&lt;=SUMPRODUCT(MAX((($A$2:$A$497="止损计划")*($B$2:$B$497=B330)*($D$2:$D$497&lt;D330))*$E$2:$E$497)),F330&lt;SUMPRODUCT(MAX((($A$2:$A$497="止损计划")*($B$2:$B$497=B330)*($D$2:$D$497&lt;D330))*$F$2:$F$497)))),"阶段价格必须逐级提高","计划有效"))))))),IF(A330="每日跟踪",IF(OR(B330="",H330="",I330="",J330=""),"每日数据不完整",IF(COUNTIFS($A$2:$A$497,"每日跟踪",$B$2:$B$497,B330,$H$2:$H$497,H330)&gt;1,"同一交易日期重复",IF(AND(R330&lt;&gt;"",R330&lt;S330),"人工止损无效：不能下调","跟踪有效"))),"记录类型无效")))</f>
        <v/>
      </c>
    </row>
    <row r="331" ht="17" spans="1:29">
      <c r="A331" s="2"/>
      <c r="B331" s="2"/>
      <c r="C331" s="8" t="str">
        <f>IF(B331="","",IFERROR(LOOKUP(2,1/(单次交易!$A$2:$A$163=B331),单次交易!$B$2:$B$163),""))</f>
        <v/>
      </c>
      <c r="D331" s="12"/>
      <c r="E331" s="10"/>
      <c r="F331" s="10"/>
      <c r="G331" s="2"/>
      <c r="H331" s="15"/>
      <c r="I331" s="10"/>
      <c r="J331" s="12"/>
      <c r="K331" s="2"/>
      <c r="L331" s="2"/>
      <c r="M331" s="2"/>
      <c r="N331" s="5" t="str">
        <f>IF(B331="","",IFERROR(LOOKUP(2,1/(单次交易!$A$2:$A$163=B331),单次交易!$N$2:$N$163),""))</f>
        <v/>
      </c>
      <c r="O331" s="5" t="str">
        <f t="shared" si="54"/>
        <v/>
      </c>
      <c r="P331" s="11" t="str">
        <f t="shared" si="55"/>
        <v/>
      </c>
      <c r="Q331" s="5" t="str">
        <f t="shared" si="56"/>
        <v/>
      </c>
      <c r="R331" s="10"/>
      <c r="S331" s="5" t="str">
        <f t="shared" si="57"/>
        <v/>
      </c>
      <c r="T331" s="5" t="str">
        <f t="shared" si="58"/>
        <v/>
      </c>
      <c r="U331" s="5" t="str">
        <f t="shared" si="59"/>
        <v/>
      </c>
      <c r="V331" s="7" t="str">
        <f t="shared" si="60"/>
        <v/>
      </c>
      <c r="W331" s="8" t="str">
        <f t="shared" si="61"/>
        <v/>
      </c>
      <c r="X331" s="2"/>
      <c r="Y331" s="10"/>
      <c r="Z331" s="11" t="str">
        <f>IF(X331&lt;&gt;"执行卖出","",IFERROR(LOOKUP(2,1/(单次交易!$A$2:$A$163=B331),单次交易!$AP$2:$AP$163),""))</f>
        <v/>
      </c>
      <c r="AA331" s="10"/>
      <c r="AB331" s="8" t="str">
        <f t="shared" si="62"/>
        <v/>
      </c>
      <c r="AC331" s="8" t="str">
        <f>IF(A331="","",IF(A331="止损计划",IF(OR(B331="",D331="",E331="",F331="",G331=""),"计划不完整",IF(OR(D331&lt;1,D331&lt;&gt;INT(D331)),"阶段序号无效",IF(COUNTIFS($A$2:$A$497,"止损计划",$B$2:$B$497,B331,$D$2:$D$497,D331)&gt;1,"阶段序号重复",IF(E331&lt;=IFERROR(LOOKUP(2,1/(单次交易!$A$2:$A$163=B331),单次交易!$E$2:$E$163),0),"激活价须高于买入价",IF(F331&lt;N331,"止损价不得低于初始止损",IF(F331&gt;E331,"止损价不得高于激活价",IF(AND(COUNTIFS($A$2:$A$497,"止损计划",$B$2:$B$497,B331,$D$2:$D$497,"&lt;"&amp;D331)&gt;0,OR(E331&lt;=SUMPRODUCT(MAX((($A$2:$A$497="止损计划")*($B$2:$B$497=B331)*($D$2:$D$497&lt;D331))*$E$2:$E$497)),F331&lt;SUMPRODUCT(MAX((($A$2:$A$497="止损计划")*($B$2:$B$497=B331)*($D$2:$D$497&lt;D331))*$F$2:$F$497)))),"阶段价格必须逐级提高","计划有效"))))))),IF(A331="每日跟踪",IF(OR(B331="",H331="",I331="",J331=""),"每日数据不完整",IF(COUNTIFS($A$2:$A$497,"每日跟踪",$B$2:$B$497,B331,$H$2:$H$497,H331)&gt;1,"同一交易日期重复",IF(AND(R331&lt;&gt;"",R331&lt;S331),"人工止损无效：不能下调","跟踪有效"))),"记录类型无效")))</f>
        <v/>
      </c>
    </row>
    <row r="332" ht="17" spans="1:29">
      <c r="A332" s="2"/>
      <c r="B332" s="2"/>
      <c r="C332" s="8" t="str">
        <f>IF(B332="","",IFERROR(LOOKUP(2,1/(单次交易!$A$2:$A$163=B332),单次交易!$B$2:$B$163),""))</f>
        <v/>
      </c>
      <c r="D332" s="12"/>
      <c r="E332" s="10"/>
      <c r="F332" s="10"/>
      <c r="G332" s="2"/>
      <c r="H332" s="15"/>
      <c r="I332" s="10"/>
      <c r="J332" s="12"/>
      <c r="K332" s="2"/>
      <c r="L332" s="2"/>
      <c r="M332" s="2"/>
      <c r="N332" s="5" t="str">
        <f>IF(B332="","",IFERROR(LOOKUP(2,1/(单次交易!$A$2:$A$163=B332),单次交易!$N$2:$N$163),""))</f>
        <v/>
      </c>
      <c r="O332" s="5" t="str">
        <f t="shared" si="54"/>
        <v/>
      </c>
      <c r="P332" s="11" t="str">
        <f t="shared" si="55"/>
        <v/>
      </c>
      <c r="Q332" s="5" t="str">
        <f t="shared" si="56"/>
        <v/>
      </c>
      <c r="R332" s="10"/>
      <c r="S332" s="5" t="str">
        <f t="shared" si="57"/>
        <v/>
      </c>
      <c r="T332" s="5" t="str">
        <f t="shared" si="58"/>
        <v/>
      </c>
      <c r="U332" s="5" t="str">
        <f t="shared" si="59"/>
        <v/>
      </c>
      <c r="V332" s="7" t="str">
        <f t="shared" si="60"/>
        <v/>
      </c>
      <c r="W332" s="8" t="str">
        <f t="shared" si="61"/>
        <v/>
      </c>
      <c r="X332" s="2"/>
      <c r="Y332" s="10"/>
      <c r="Z332" s="11" t="str">
        <f>IF(X332&lt;&gt;"执行卖出","",IFERROR(LOOKUP(2,1/(单次交易!$A$2:$A$163=B332),单次交易!$AP$2:$AP$163),""))</f>
        <v/>
      </c>
      <c r="AA332" s="10"/>
      <c r="AB332" s="8" t="str">
        <f t="shared" si="62"/>
        <v/>
      </c>
      <c r="AC332" s="8" t="str">
        <f>IF(A332="","",IF(A332="止损计划",IF(OR(B332="",D332="",E332="",F332="",G332=""),"计划不完整",IF(OR(D332&lt;1,D332&lt;&gt;INT(D332)),"阶段序号无效",IF(COUNTIFS($A$2:$A$497,"止损计划",$B$2:$B$497,B332,$D$2:$D$497,D332)&gt;1,"阶段序号重复",IF(E332&lt;=IFERROR(LOOKUP(2,1/(单次交易!$A$2:$A$163=B332),单次交易!$E$2:$E$163),0),"激活价须高于买入价",IF(F332&lt;N332,"止损价不得低于初始止损",IF(F332&gt;E332,"止损价不得高于激活价",IF(AND(COUNTIFS($A$2:$A$497,"止损计划",$B$2:$B$497,B332,$D$2:$D$497,"&lt;"&amp;D332)&gt;0,OR(E332&lt;=SUMPRODUCT(MAX((($A$2:$A$497="止损计划")*($B$2:$B$497=B332)*($D$2:$D$497&lt;D332))*$E$2:$E$497)),F332&lt;SUMPRODUCT(MAX((($A$2:$A$497="止损计划")*($B$2:$B$497=B332)*($D$2:$D$497&lt;D332))*$F$2:$F$497)))),"阶段价格必须逐级提高","计划有效"))))))),IF(A332="每日跟踪",IF(OR(B332="",H332="",I332="",J332=""),"每日数据不完整",IF(COUNTIFS($A$2:$A$497,"每日跟踪",$B$2:$B$497,B332,$H$2:$H$497,H332)&gt;1,"同一交易日期重复",IF(AND(R332&lt;&gt;"",R332&lt;S332),"人工止损无效：不能下调","跟踪有效"))),"记录类型无效")))</f>
        <v/>
      </c>
    </row>
    <row r="333" ht="17" spans="1:29">
      <c r="A333" s="2"/>
      <c r="B333" s="2"/>
      <c r="C333" s="8" t="str">
        <f>IF(B333="","",IFERROR(LOOKUP(2,1/(单次交易!$A$2:$A$163=B333),单次交易!$B$2:$B$163),""))</f>
        <v/>
      </c>
      <c r="D333" s="12"/>
      <c r="E333" s="10"/>
      <c r="F333" s="10"/>
      <c r="G333" s="2"/>
      <c r="H333" s="15"/>
      <c r="I333" s="10"/>
      <c r="J333" s="12"/>
      <c r="K333" s="2"/>
      <c r="L333" s="2"/>
      <c r="M333" s="2"/>
      <c r="N333" s="5" t="str">
        <f>IF(B333="","",IFERROR(LOOKUP(2,1/(单次交易!$A$2:$A$163=B333),单次交易!$N$2:$N$163),""))</f>
        <v/>
      </c>
      <c r="O333" s="5" t="str">
        <f t="shared" si="54"/>
        <v/>
      </c>
      <c r="P333" s="11" t="str">
        <f t="shared" si="55"/>
        <v/>
      </c>
      <c r="Q333" s="5" t="str">
        <f t="shared" si="56"/>
        <v/>
      </c>
      <c r="R333" s="10"/>
      <c r="S333" s="5" t="str">
        <f t="shared" si="57"/>
        <v/>
      </c>
      <c r="T333" s="5" t="str">
        <f t="shared" si="58"/>
        <v/>
      </c>
      <c r="U333" s="5" t="str">
        <f t="shared" si="59"/>
        <v/>
      </c>
      <c r="V333" s="7" t="str">
        <f t="shared" si="60"/>
        <v/>
      </c>
      <c r="W333" s="8" t="str">
        <f t="shared" si="61"/>
        <v/>
      </c>
      <c r="X333" s="2"/>
      <c r="Y333" s="10"/>
      <c r="Z333" s="11" t="str">
        <f>IF(X333&lt;&gt;"执行卖出","",IFERROR(LOOKUP(2,1/(单次交易!$A$2:$A$163=B333),单次交易!$AP$2:$AP$163),""))</f>
        <v/>
      </c>
      <c r="AA333" s="10"/>
      <c r="AB333" s="8" t="str">
        <f t="shared" si="62"/>
        <v/>
      </c>
      <c r="AC333" s="8" t="str">
        <f>IF(A333="","",IF(A333="止损计划",IF(OR(B333="",D333="",E333="",F333="",G333=""),"计划不完整",IF(OR(D333&lt;1,D333&lt;&gt;INT(D333)),"阶段序号无效",IF(COUNTIFS($A$2:$A$497,"止损计划",$B$2:$B$497,B333,$D$2:$D$497,D333)&gt;1,"阶段序号重复",IF(E333&lt;=IFERROR(LOOKUP(2,1/(单次交易!$A$2:$A$163=B333),单次交易!$E$2:$E$163),0),"激活价须高于买入价",IF(F333&lt;N333,"止损价不得低于初始止损",IF(F333&gt;E333,"止损价不得高于激活价",IF(AND(COUNTIFS($A$2:$A$497,"止损计划",$B$2:$B$497,B333,$D$2:$D$497,"&lt;"&amp;D333)&gt;0,OR(E333&lt;=SUMPRODUCT(MAX((($A$2:$A$497="止损计划")*($B$2:$B$497=B333)*($D$2:$D$497&lt;D333))*$E$2:$E$497)),F333&lt;SUMPRODUCT(MAX((($A$2:$A$497="止损计划")*($B$2:$B$497=B333)*($D$2:$D$497&lt;D333))*$F$2:$F$497)))),"阶段价格必须逐级提高","计划有效"))))))),IF(A333="每日跟踪",IF(OR(B333="",H333="",I333="",J333=""),"每日数据不完整",IF(COUNTIFS($A$2:$A$497,"每日跟踪",$B$2:$B$497,B333,$H$2:$H$497,H333)&gt;1,"同一交易日期重复",IF(AND(R333&lt;&gt;"",R333&lt;S333),"人工止损无效：不能下调","跟踪有效"))),"记录类型无效")))</f>
        <v/>
      </c>
    </row>
    <row r="334" ht="17" spans="1:29">
      <c r="A334" s="2"/>
      <c r="B334" s="2"/>
      <c r="C334" s="8" t="str">
        <f>IF(B334="","",IFERROR(LOOKUP(2,1/(单次交易!$A$2:$A$163=B334),单次交易!$B$2:$B$163),""))</f>
        <v/>
      </c>
      <c r="D334" s="12"/>
      <c r="E334" s="10"/>
      <c r="F334" s="10"/>
      <c r="G334" s="2"/>
      <c r="H334" s="15"/>
      <c r="I334" s="10"/>
      <c r="J334" s="12"/>
      <c r="K334" s="2"/>
      <c r="L334" s="2"/>
      <c r="M334" s="2"/>
      <c r="N334" s="5" t="str">
        <f>IF(B334="","",IFERROR(LOOKUP(2,1/(单次交易!$A$2:$A$163=B334),单次交易!$N$2:$N$163),""))</f>
        <v/>
      </c>
      <c r="O334" s="5" t="str">
        <f t="shared" si="54"/>
        <v/>
      </c>
      <c r="P334" s="11" t="str">
        <f t="shared" si="55"/>
        <v/>
      </c>
      <c r="Q334" s="5" t="str">
        <f t="shared" si="56"/>
        <v/>
      </c>
      <c r="R334" s="10"/>
      <c r="S334" s="5" t="str">
        <f t="shared" si="57"/>
        <v/>
      </c>
      <c r="T334" s="5" t="str">
        <f t="shared" si="58"/>
        <v/>
      </c>
      <c r="U334" s="5" t="str">
        <f t="shared" si="59"/>
        <v/>
      </c>
      <c r="V334" s="7" t="str">
        <f t="shared" si="60"/>
        <v/>
      </c>
      <c r="W334" s="8" t="str">
        <f t="shared" si="61"/>
        <v/>
      </c>
      <c r="X334" s="2"/>
      <c r="Y334" s="10"/>
      <c r="Z334" s="11" t="str">
        <f>IF(X334&lt;&gt;"执行卖出","",IFERROR(LOOKUP(2,1/(单次交易!$A$2:$A$163=B334),单次交易!$AP$2:$AP$163),""))</f>
        <v/>
      </c>
      <c r="AA334" s="10"/>
      <c r="AB334" s="8" t="str">
        <f t="shared" si="62"/>
        <v/>
      </c>
      <c r="AC334" s="8" t="str">
        <f>IF(A334="","",IF(A334="止损计划",IF(OR(B334="",D334="",E334="",F334="",G334=""),"计划不完整",IF(OR(D334&lt;1,D334&lt;&gt;INT(D334)),"阶段序号无效",IF(COUNTIFS($A$2:$A$497,"止损计划",$B$2:$B$497,B334,$D$2:$D$497,D334)&gt;1,"阶段序号重复",IF(E334&lt;=IFERROR(LOOKUP(2,1/(单次交易!$A$2:$A$163=B334),单次交易!$E$2:$E$163),0),"激活价须高于买入价",IF(F334&lt;N334,"止损价不得低于初始止损",IF(F334&gt;E334,"止损价不得高于激活价",IF(AND(COUNTIFS($A$2:$A$497,"止损计划",$B$2:$B$497,B334,$D$2:$D$497,"&lt;"&amp;D334)&gt;0,OR(E334&lt;=SUMPRODUCT(MAX((($A$2:$A$497="止损计划")*($B$2:$B$497=B334)*($D$2:$D$497&lt;D334))*$E$2:$E$497)),F334&lt;SUMPRODUCT(MAX((($A$2:$A$497="止损计划")*($B$2:$B$497=B334)*($D$2:$D$497&lt;D334))*$F$2:$F$497)))),"阶段价格必须逐级提高","计划有效"))))))),IF(A334="每日跟踪",IF(OR(B334="",H334="",I334="",J334=""),"每日数据不完整",IF(COUNTIFS($A$2:$A$497,"每日跟踪",$B$2:$B$497,B334,$H$2:$H$497,H334)&gt;1,"同一交易日期重复",IF(AND(R334&lt;&gt;"",R334&lt;S334),"人工止损无效：不能下调","跟踪有效"))),"记录类型无效")))</f>
        <v/>
      </c>
    </row>
    <row r="335" ht="17" spans="1:29">
      <c r="A335" s="2"/>
      <c r="B335" s="2"/>
      <c r="C335" s="8" t="str">
        <f>IF(B335="","",IFERROR(LOOKUP(2,1/(单次交易!$A$2:$A$163=B335),单次交易!$B$2:$B$163),""))</f>
        <v/>
      </c>
      <c r="D335" s="12"/>
      <c r="E335" s="10"/>
      <c r="F335" s="10"/>
      <c r="G335" s="2"/>
      <c r="H335" s="15"/>
      <c r="I335" s="10"/>
      <c r="J335" s="12"/>
      <c r="K335" s="2"/>
      <c r="L335" s="2"/>
      <c r="M335" s="2"/>
      <c r="N335" s="5" t="str">
        <f>IF(B335="","",IFERROR(LOOKUP(2,1/(单次交易!$A$2:$A$163=B335),单次交易!$N$2:$N$163),""))</f>
        <v/>
      </c>
      <c r="O335" s="5" t="str">
        <f t="shared" si="54"/>
        <v/>
      </c>
      <c r="P335" s="11" t="str">
        <f t="shared" si="55"/>
        <v/>
      </c>
      <c r="Q335" s="5" t="str">
        <f t="shared" si="56"/>
        <v/>
      </c>
      <c r="R335" s="10"/>
      <c r="S335" s="5" t="str">
        <f t="shared" si="57"/>
        <v/>
      </c>
      <c r="T335" s="5" t="str">
        <f t="shared" si="58"/>
        <v/>
      </c>
      <c r="U335" s="5" t="str">
        <f t="shared" si="59"/>
        <v/>
      </c>
      <c r="V335" s="7" t="str">
        <f t="shared" si="60"/>
        <v/>
      </c>
      <c r="W335" s="8" t="str">
        <f t="shared" si="61"/>
        <v/>
      </c>
      <c r="X335" s="2"/>
      <c r="Y335" s="10"/>
      <c r="Z335" s="11" t="str">
        <f>IF(X335&lt;&gt;"执行卖出","",IFERROR(LOOKUP(2,1/(单次交易!$A$2:$A$163=B335),单次交易!$AP$2:$AP$163),""))</f>
        <v/>
      </c>
      <c r="AA335" s="10"/>
      <c r="AB335" s="8" t="str">
        <f t="shared" si="62"/>
        <v/>
      </c>
      <c r="AC335" s="8" t="str">
        <f>IF(A335="","",IF(A335="止损计划",IF(OR(B335="",D335="",E335="",F335="",G335=""),"计划不完整",IF(OR(D335&lt;1,D335&lt;&gt;INT(D335)),"阶段序号无效",IF(COUNTIFS($A$2:$A$497,"止损计划",$B$2:$B$497,B335,$D$2:$D$497,D335)&gt;1,"阶段序号重复",IF(E335&lt;=IFERROR(LOOKUP(2,1/(单次交易!$A$2:$A$163=B335),单次交易!$E$2:$E$163),0),"激活价须高于买入价",IF(F335&lt;N335,"止损价不得低于初始止损",IF(F335&gt;E335,"止损价不得高于激活价",IF(AND(COUNTIFS($A$2:$A$497,"止损计划",$B$2:$B$497,B335,$D$2:$D$497,"&lt;"&amp;D335)&gt;0,OR(E335&lt;=SUMPRODUCT(MAX((($A$2:$A$497="止损计划")*($B$2:$B$497=B335)*($D$2:$D$497&lt;D335))*$E$2:$E$497)),F335&lt;SUMPRODUCT(MAX((($A$2:$A$497="止损计划")*($B$2:$B$497=B335)*($D$2:$D$497&lt;D335))*$F$2:$F$497)))),"阶段价格必须逐级提高","计划有效"))))))),IF(A335="每日跟踪",IF(OR(B335="",H335="",I335="",J335=""),"每日数据不完整",IF(COUNTIFS($A$2:$A$497,"每日跟踪",$B$2:$B$497,B335,$H$2:$H$497,H335)&gt;1,"同一交易日期重复",IF(AND(R335&lt;&gt;"",R335&lt;S335),"人工止损无效：不能下调","跟踪有效"))),"记录类型无效")))</f>
        <v/>
      </c>
    </row>
    <row r="336" ht="17" spans="1:29">
      <c r="A336" s="2"/>
      <c r="B336" s="2"/>
      <c r="C336" s="8" t="str">
        <f>IF(B336="","",IFERROR(LOOKUP(2,1/(单次交易!$A$2:$A$163=B336),单次交易!$B$2:$B$163),""))</f>
        <v/>
      </c>
      <c r="D336" s="12"/>
      <c r="E336" s="10"/>
      <c r="F336" s="10"/>
      <c r="G336" s="2"/>
      <c r="H336" s="15"/>
      <c r="I336" s="10"/>
      <c r="J336" s="12"/>
      <c r="K336" s="2"/>
      <c r="L336" s="2"/>
      <c r="M336" s="2"/>
      <c r="N336" s="5" t="str">
        <f>IF(B336="","",IFERROR(LOOKUP(2,1/(单次交易!$A$2:$A$163=B336),单次交易!$N$2:$N$163),""))</f>
        <v/>
      </c>
      <c r="O336" s="5" t="str">
        <f t="shared" si="54"/>
        <v/>
      </c>
      <c r="P336" s="11" t="str">
        <f t="shared" si="55"/>
        <v/>
      </c>
      <c r="Q336" s="5" t="str">
        <f t="shared" si="56"/>
        <v/>
      </c>
      <c r="R336" s="10"/>
      <c r="S336" s="5" t="str">
        <f t="shared" si="57"/>
        <v/>
      </c>
      <c r="T336" s="5" t="str">
        <f t="shared" si="58"/>
        <v/>
      </c>
      <c r="U336" s="5" t="str">
        <f t="shared" si="59"/>
        <v/>
      </c>
      <c r="V336" s="7" t="str">
        <f t="shared" si="60"/>
        <v/>
      </c>
      <c r="W336" s="8" t="str">
        <f t="shared" si="61"/>
        <v/>
      </c>
      <c r="X336" s="2"/>
      <c r="Y336" s="10"/>
      <c r="Z336" s="11" t="str">
        <f>IF(X336&lt;&gt;"执行卖出","",IFERROR(LOOKUP(2,1/(单次交易!$A$2:$A$163=B336),单次交易!$AP$2:$AP$163),""))</f>
        <v/>
      </c>
      <c r="AA336" s="10"/>
      <c r="AB336" s="8" t="str">
        <f t="shared" si="62"/>
        <v/>
      </c>
      <c r="AC336" s="8" t="str">
        <f>IF(A336="","",IF(A336="止损计划",IF(OR(B336="",D336="",E336="",F336="",G336=""),"计划不完整",IF(OR(D336&lt;1,D336&lt;&gt;INT(D336)),"阶段序号无效",IF(COUNTIFS($A$2:$A$497,"止损计划",$B$2:$B$497,B336,$D$2:$D$497,D336)&gt;1,"阶段序号重复",IF(E336&lt;=IFERROR(LOOKUP(2,1/(单次交易!$A$2:$A$163=B336),单次交易!$E$2:$E$163),0),"激活价须高于买入价",IF(F336&lt;N336,"止损价不得低于初始止损",IF(F336&gt;E336,"止损价不得高于激活价",IF(AND(COUNTIFS($A$2:$A$497,"止损计划",$B$2:$B$497,B336,$D$2:$D$497,"&lt;"&amp;D336)&gt;0,OR(E336&lt;=SUMPRODUCT(MAX((($A$2:$A$497="止损计划")*($B$2:$B$497=B336)*($D$2:$D$497&lt;D336))*$E$2:$E$497)),F336&lt;SUMPRODUCT(MAX((($A$2:$A$497="止损计划")*($B$2:$B$497=B336)*($D$2:$D$497&lt;D336))*$F$2:$F$497)))),"阶段价格必须逐级提高","计划有效"))))))),IF(A336="每日跟踪",IF(OR(B336="",H336="",I336="",J336=""),"每日数据不完整",IF(COUNTIFS($A$2:$A$497,"每日跟踪",$B$2:$B$497,B336,$H$2:$H$497,H336)&gt;1,"同一交易日期重复",IF(AND(R336&lt;&gt;"",R336&lt;S336),"人工止损无效：不能下调","跟踪有效"))),"记录类型无效")))</f>
        <v/>
      </c>
    </row>
    <row r="337" ht="17" spans="1:29">
      <c r="A337" s="2"/>
      <c r="B337" s="2"/>
      <c r="C337" s="8" t="str">
        <f>IF(B337="","",IFERROR(LOOKUP(2,1/(单次交易!$A$2:$A$163=B337),单次交易!$B$2:$B$163),""))</f>
        <v/>
      </c>
      <c r="D337" s="12"/>
      <c r="E337" s="10"/>
      <c r="F337" s="10"/>
      <c r="G337" s="2"/>
      <c r="H337" s="15"/>
      <c r="I337" s="10"/>
      <c r="J337" s="12"/>
      <c r="K337" s="2"/>
      <c r="L337" s="2"/>
      <c r="M337" s="2"/>
      <c r="N337" s="5" t="str">
        <f>IF(B337="","",IFERROR(LOOKUP(2,1/(单次交易!$A$2:$A$163=B337),单次交易!$N$2:$N$163),""))</f>
        <v/>
      </c>
      <c r="O337" s="5" t="str">
        <f t="shared" si="54"/>
        <v/>
      </c>
      <c r="P337" s="11" t="str">
        <f t="shared" si="55"/>
        <v/>
      </c>
      <c r="Q337" s="5" t="str">
        <f t="shared" si="56"/>
        <v/>
      </c>
      <c r="R337" s="10"/>
      <c r="S337" s="5" t="str">
        <f t="shared" si="57"/>
        <v/>
      </c>
      <c r="T337" s="5" t="str">
        <f t="shared" si="58"/>
        <v/>
      </c>
      <c r="U337" s="5" t="str">
        <f t="shared" si="59"/>
        <v/>
      </c>
      <c r="V337" s="7" t="str">
        <f t="shared" si="60"/>
        <v/>
      </c>
      <c r="W337" s="8" t="str">
        <f t="shared" si="61"/>
        <v/>
      </c>
      <c r="X337" s="2"/>
      <c r="Y337" s="10"/>
      <c r="Z337" s="11" t="str">
        <f>IF(X337&lt;&gt;"执行卖出","",IFERROR(LOOKUP(2,1/(单次交易!$A$2:$A$163=B337),单次交易!$AP$2:$AP$163),""))</f>
        <v/>
      </c>
      <c r="AA337" s="10"/>
      <c r="AB337" s="8" t="str">
        <f t="shared" si="62"/>
        <v/>
      </c>
      <c r="AC337" s="8" t="str">
        <f>IF(A337="","",IF(A337="止损计划",IF(OR(B337="",D337="",E337="",F337="",G337=""),"计划不完整",IF(OR(D337&lt;1,D337&lt;&gt;INT(D337)),"阶段序号无效",IF(COUNTIFS($A$2:$A$497,"止损计划",$B$2:$B$497,B337,$D$2:$D$497,D337)&gt;1,"阶段序号重复",IF(E337&lt;=IFERROR(LOOKUP(2,1/(单次交易!$A$2:$A$163=B337),单次交易!$E$2:$E$163),0),"激活价须高于买入价",IF(F337&lt;N337,"止损价不得低于初始止损",IF(F337&gt;E337,"止损价不得高于激活价",IF(AND(COUNTIFS($A$2:$A$497,"止损计划",$B$2:$B$497,B337,$D$2:$D$497,"&lt;"&amp;D337)&gt;0,OR(E337&lt;=SUMPRODUCT(MAX((($A$2:$A$497="止损计划")*($B$2:$B$497=B337)*($D$2:$D$497&lt;D337))*$E$2:$E$497)),F337&lt;SUMPRODUCT(MAX((($A$2:$A$497="止损计划")*($B$2:$B$497=B337)*($D$2:$D$497&lt;D337))*$F$2:$F$497)))),"阶段价格必须逐级提高","计划有效"))))))),IF(A337="每日跟踪",IF(OR(B337="",H337="",I337="",J337=""),"每日数据不完整",IF(COUNTIFS($A$2:$A$497,"每日跟踪",$B$2:$B$497,B337,$H$2:$H$497,H337)&gt;1,"同一交易日期重复",IF(AND(R337&lt;&gt;"",R337&lt;S337),"人工止损无效：不能下调","跟踪有效"))),"记录类型无效")))</f>
        <v/>
      </c>
    </row>
    <row r="338" ht="17" spans="1:29">
      <c r="A338" s="2"/>
      <c r="B338" s="2"/>
      <c r="C338" s="8" t="str">
        <f>IF(B338="","",IFERROR(LOOKUP(2,1/(单次交易!$A$2:$A$163=B338),单次交易!$B$2:$B$163),""))</f>
        <v/>
      </c>
      <c r="D338" s="12"/>
      <c r="E338" s="10"/>
      <c r="F338" s="10"/>
      <c r="G338" s="2"/>
      <c r="H338" s="15"/>
      <c r="I338" s="10"/>
      <c r="J338" s="12"/>
      <c r="K338" s="2"/>
      <c r="L338" s="2"/>
      <c r="M338" s="2"/>
      <c r="N338" s="5" t="str">
        <f>IF(B338="","",IFERROR(LOOKUP(2,1/(单次交易!$A$2:$A$163=B338),单次交易!$N$2:$N$163),""))</f>
        <v/>
      </c>
      <c r="O338" s="5" t="str">
        <f t="shared" si="54"/>
        <v/>
      </c>
      <c r="P338" s="11" t="str">
        <f t="shared" si="55"/>
        <v/>
      </c>
      <c r="Q338" s="5" t="str">
        <f t="shared" si="56"/>
        <v/>
      </c>
      <c r="R338" s="10"/>
      <c r="S338" s="5" t="str">
        <f t="shared" si="57"/>
        <v/>
      </c>
      <c r="T338" s="5" t="str">
        <f t="shared" si="58"/>
        <v/>
      </c>
      <c r="U338" s="5" t="str">
        <f t="shared" si="59"/>
        <v/>
      </c>
      <c r="V338" s="7" t="str">
        <f t="shared" si="60"/>
        <v/>
      </c>
      <c r="W338" s="8" t="str">
        <f t="shared" si="61"/>
        <v/>
      </c>
      <c r="X338" s="2"/>
      <c r="Y338" s="10"/>
      <c r="Z338" s="11" t="str">
        <f>IF(X338&lt;&gt;"执行卖出","",IFERROR(LOOKUP(2,1/(单次交易!$A$2:$A$163=B338),单次交易!$AP$2:$AP$163),""))</f>
        <v/>
      </c>
      <c r="AA338" s="10"/>
      <c r="AB338" s="8" t="str">
        <f t="shared" si="62"/>
        <v/>
      </c>
      <c r="AC338" s="8" t="str">
        <f>IF(A338="","",IF(A338="止损计划",IF(OR(B338="",D338="",E338="",F338="",G338=""),"计划不完整",IF(OR(D338&lt;1,D338&lt;&gt;INT(D338)),"阶段序号无效",IF(COUNTIFS($A$2:$A$497,"止损计划",$B$2:$B$497,B338,$D$2:$D$497,D338)&gt;1,"阶段序号重复",IF(E338&lt;=IFERROR(LOOKUP(2,1/(单次交易!$A$2:$A$163=B338),单次交易!$E$2:$E$163),0),"激活价须高于买入价",IF(F338&lt;N338,"止损价不得低于初始止损",IF(F338&gt;E338,"止损价不得高于激活价",IF(AND(COUNTIFS($A$2:$A$497,"止损计划",$B$2:$B$497,B338,$D$2:$D$497,"&lt;"&amp;D338)&gt;0,OR(E338&lt;=SUMPRODUCT(MAX((($A$2:$A$497="止损计划")*($B$2:$B$497=B338)*($D$2:$D$497&lt;D338))*$E$2:$E$497)),F338&lt;SUMPRODUCT(MAX((($A$2:$A$497="止损计划")*($B$2:$B$497=B338)*($D$2:$D$497&lt;D338))*$F$2:$F$497)))),"阶段价格必须逐级提高","计划有效"))))))),IF(A338="每日跟踪",IF(OR(B338="",H338="",I338="",J338=""),"每日数据不完整",IF(COUNTIFS($A$2:$A$497,"每日跟踪",$B$2:$B$497,B338,$H$2:$H$497,H338)&gt;1,"同一交易日期重复",IF(AND(R338&lt;&gt;"",R338&lt;S338),"人工止损无效：不能下调","跟踪有效"))),"记录类型无效")))</f>
        <v/>
      </c>
    </row>
    <row r="339" ht="17" spans="1:29">
      <c r="A339" s="2"/>
      <c r="B339" s="2"/>
      <c r="C339" s="8" t="str">
        <f>IF(B339="","",IFERROR(LOOKUP(2,1/(单次交易!$A$2:$A$163=B339),单次交易!$B$2:$B$163),""))</f>
        <v/>
      </c>
      <c r="D339" s="12"/>
      <c r="E339" s="10"/>
      <c r="F339" s="10"/>
      <c r="G339" s="2"/>
      <c r="H339" s="15"/>
      <c r="I339" s="10"/>
      <c r="J339" s="12"/>
      <c r="K339" s="2"/>
      <c r="L339" s="2"/>
      <c r="M339" s="2"/>
      <c r="N339" s="5" t="str">
        <f>IF(B339="","",IFERROR(LOOKUP(2,1/(单次交易!$A$2:$A$163=B339),单次交易!$N$2:$N$163),""))</f>
        <v/>
      </c>
      <c r="O339" s="5" t="str">
        <f t="shared" si="54"/>
        <v/>
      </c>
      <c r="P339" s="11" t="str">
        <f t="shared" si="55"/>
        <v/>
      </c>
      <c r="Q339" s="5" t="str">
        <f t="shared" si="56"/>
        <v/>
      </c>
      <c r="R339" s="10"/>
      <c r="S339" s="5" t="str">
        <f t="shared" si="57"/>
        <v/>
      </c>
      <c r="T339" s="5" t="str">
        <f t="shared" si="58"/>
        <v/>
      </c>
      <c r="U339" s="5" t="str">
        <f t="shared" si="59"/>
        <v/>
      </c>
      <c r="V339" s="7" t="str">
        <f t="shared" si="60"/>
        <v/>
      </c>
      <c r="W339" s="8" t="str">
        <f t="shared" si="61"/>
        <v/>
      </c>
      <c r="X339" s="2"/>
      <c r="Y339" s="10"/>
      <c r="Z339" s="11" t="str">
        <f>IF(X339&lt;&gt;"执行卖出","",IFERROR(LOOKUP(2,1/(单次交易!$A$2:$A$163=B339),单次交易!$AP$2:$AP$163),""))</f>
        <v/>
      </c>
      <c r="AA339" s="10"/>
      <c r="AB339" s="8" t="str">
        <f t="shared" si="62"/>
        <v/>
      </c>
      <c r="AC339" s="8" t="str">
        <f>IF(A339="","",IF(A339="止损计划",IF(OR(B339="",D339="",E339="",F339="",G339=""),"计划不完整",IF(OR(D339&lt;1,D339&lt;&gt;INT(D339)),"阶段序号无效",IF(COUNTIFS($A$2:$A$497,"止损计划",$B$2:$B$497,B339,$D$2:$D$497,D339)&gt;1,"阶段序号重复",IF(E339&lt;=IFERROR(LOOKUP(2,1/(单次交易!$A$2:$A$163=B339),单次交易!$E$2:$E$163),0),"激活价须高于买入价",IF(F339&lt;N339,"止损价不得低于初始止损",IF(F339&gt;E339,"止损价不得高于激活价",IF(AND(COUNTIFS($A$2:$A$497,"止损计划",$B$2:$B$497,B339,$D$2:$D$497,"&lt;"&amp;D339)&gt;0,OR(E339&lt;=SUMPRODUCT(MAX((($A$2:$A$497="止损计划")*($B$2:$B$497=B339)*($D$2:$D$497&lt;D339))*$E$2:$E$497)),F339&lt;SUMPRODUCT(MAX((($A$2:$A$497="止损计划")*($B$2:$B$497=B339)*($D$2:$D$497&lt;D339))*$F$2:$F$497)))),"阶段价格必须逐级提高","计划有效"))))))),IF(A339="每日跟踪",IF(OR(B339="",H339="",I339="",J339=""),"每日数据不完整",IF(COUNTIFS($A$2:$A$497,"每日跟踪",$B$2:$B$497,B339,$H$2:$H$497,H339)&gt;1,"同一交易日期重复",IF(AND(R339&lt;&gt;"",R339&lt;S339),"人工止损无效：不能下调","跟踪有效"))),"记录类型无效")))</f>
        <v/>
      </c>
    </row>
    <row r="340" ht="17" spans="1:29">
      <c r="A340" s="2"/>
      <c r="B340" s="2"/>
      <c r="C340" s="8" t="str">
        <f>IF(B340="","",IFERROR(LOOKUP(2,1/(单次交易!$A$2:$A$163=B340),单次交易!$B$2:$B$163),""))</f>
        <v/>
      </c>
      <c r="D340" s="12"/>
      <c r="E340" s="10"/>
      <c r="F340" s="10"/>
      <c r="G340" s="2"/>
      <c r="H340" s="15"/>
      <c r="I340" s="10"/>
      <c r="J340" s="12"/>
      <c r="K340" s="2"/>
      <c r="L340" s="2"/>
      <c r="M340" s="2"/>
      <c r="N340" s="5" t="str">
        <f>IF(B340="","",IFERROR(LOOKUP(2,1/(单次交易!$A$2:$A$163=B340),单次交易!$N$2:$N$163),""))</f>
        <v/>
      </c>
      <c r="O340" s="5" t="str">
        <f t="shared" si="54"/>
        <v/>
      </c>
      <c r="P340" s="11" t="str">
        <f t="shared" si="55"/>
        <v/>
      </c>
      <c r="Q340" s="5" t="str">
        <f t="shared" si="56"/>
        <v/>
      </c>
      <c r="R340" s="10"/>
      <c r="S340" s="5" t="str">
        <f t="shared" si="57"/>
        <v/>
      </c>
      <c r="T340" s="5" t="str">
        <f t="shared" si="58"/>
        <v/>
      </c>
      <c r="U340" s="5" t="str">
        <f t="shared" si="59"/>
        <v/>
      </c>
      <c r="V340" s="7" t="str">
        <f t="shared" si="60"/>
        <v/>
      </c>
      <c r="W340" s="8" t="str">
        <f t="shared" si="61"/>
        <v/>
      </c>
      <c r="X340" s="2"/>
      <c r="Y340" s="10"/>
      <c r="Z340" s="11" t="str">
        <f>IF(X340&lt;&gt;"执行卖出","",IFERROR(LOOKUP(2,1/(单次交易!$A$2:$A$163=B340),单次交易!$AP$2:$AP$163),""))</f>
        <v/>
      </c>
      <c r="AA340" s="10"/>
      <c r="AB340" s="8" t="str">
        <f t="shared" si="62"/>
        <v/>
      </c>
      <c r="AC340" s="8" t="str">
        <f>IF(A340="","",IF(A340="止损计划",IF(OR(B340="",D340="",E340="",F340="",G340=""),"计划不完整",IF(OR(D340&lt;1,D340&lt;&gt;INT(D340)),"阶段序号无效",IF(COUNTIFS($A$2:$A$497,"止损计划",$B$2:$B$497,B340,$D$2:$D$497,D340)&gt;1,"阶段序号重复",IF(E340&lt;=IFERROR(LOOKUP(2,1/(单次交易!$A$2:$A$163=B340),单次交易!$E$2:$E$163),0),"激活价须高于买入价",IF(F340&lt;N340,"止损价不得低于初始止损",IF(F340&gt;E340,"止损价不得高于激活价",IF(AND(COUNTIFS($A$2:$A$497,"止损计划",$B$2:$B$497,B340,$D$2:$D$497,"&lt;"&amp;D340)&gt;0,OR(E340&lt;=SUMPRODUCT(MAX((($A$2:$A$497="止损计划")*($B$2:$B$497=B340)*($D$2:$D$497&lt;D340))*$E$2:$E$497)),F340&lt;SUMPRODUCT(MAX((($A$2:$A$497="止损计划")*($B$2:$B$497=B340)*($D$2:$D$497&lt;D340))*$F$2:$F$497)))),"阶段价格必须逐级提高","计划有效"))))))),IF(A340="每日跟踪",IF(OR(B340="",H340="",I340="",J340=""),"每日数据不完整",IF(COUNTIFS($A$2:$A$497,"每日跟踪",$B$2:$B$497,B340,$H$2:$H$497,H340)&gt;1,"同一交易日期重复",IF(AND(R340&lt;&gt;"",R340&lt;S340),"人工止损无效：不能下调","跟踪有效"))),"记录类型无效")))</f>
        <v/>
      </c>
    </row>
    <row r="341" ht="17" spans="1:29">
      <c r="A341" s="2"/>
      <c r="B341" s="2"/>
      <c r="C341" s="8" t="str">
        <f>IF(B341="","",IFERROR(LOOKUP(2,1/(单次交易!$A$2:$A$163=B341),单次交易!$B$2:$B$163),""))</f>
        <v/>
      </c>
      <c r="D341" s="12"/>
      <c r="E341" s="10"/>
      <c r="F341" s="10"/>
      <c r="G341" s="2"/>
      <c r="H341" s="15"/>
      <c r="I341" s="10"/>
      <c r="J341" s="12"/>
      <c r="K341" s="2"/>
      <c r="L341" s="2"/>
      <c r="M341" s="2"/>
      <c r="N341" s="5" t="str">
        <f>IF(B341="","",IFERROR(LOOKUP(2,1/(单次交易!$A$2:$A$163=B341),单次交易!$N$2:$N$163),""))</f>
        <v/>
      </c>
      <c r="O341" s="5" t="str">
        <f t="shared" si="54"/>
        <v/>
      </c>
      <c r="P341" s="11" t="str">
        <f t="shared" si="55"/>
        <v/>
      </c>
      <c r="Q341" s="5" t="str">
        <f t="shared" si="56"/>
        <v/>
      </c>
      <c r="R341" s="10"/>
      <c r="S341" s="5" t="str">
        <f t="shared" si="57"/>
        <v/>
      </c>
      <c r="T341" s="5" t="str">
        <f t="shared" si="58"/>
        <v/>
      </c>
      <c r="U341" s="5" t="str">
        <f t="shared" si="59"/>
        <v/>
      </c>
      <c r="V341" s="7" t="str">
        <f t="shared" si="60"/>
        <v/>
      </c>
      <c r="W341" s="8" t="str">
        <f t="shared" si="61"/>
        <v/>
      </c>
      <c r="X341" s="2"/>
      <c r="Y341" s="10"/>
      <c r="Z341" s="11" t="str">
        <f>IF(X341&lt;&gt;"执行卖出","",IFERROR(LOOKUP(2,1/(单次交易!$A$2:$A$163=B341),单次交易!$AP$2:$AP$163),""))</f>
        <v/>
      </c>
      <c r="AA341" s="10"/>
      <c r="AB341" s="8" t="str">
        <f t="shared" si="62"/>
        <v/>
      </c>
      <c r="AC341" s="8" t="str">
        <f>IF(A341="","",IF(A341="止损计划",IF(OR(B341="",D341="",E341="",F341="",G341=""),"计划不完整",IF(OR(D341&lt;1,D341&lt;&gt;INT(D341)),"阶段序号无效",IF(COUNTIFS($A$2:$A$497,"止损计划",$B$2:$B$497,B341,$D$2:$D$497,D341)&gt;1,"阶段序号重复",IF(E341&lt;=IFERROR(LOOKUP(2,1/(单次交易!$A$2:$A$163=B341),单次交易!$E$2:$E$163),0),"激活价须高于买入价",IF(F341&lt;N341,"止损价不得低于初始止损",IF(F341&gt;E341,"止损价不得高于激活价",IF(AND(COUNTIFS($A$2:$A$497,"止损计划",$B$2:$B$497,B341,$D$2:$D$497,"&lt;"&amp;D341)&gt;0,OR(E341&lt;=SUMPRODUCT(MAX((($A$2:$A$497="止损计划")*($B$2:$B$497=B341)*($D$2:$D$497&lt;D341))*$E$2:$E$497)),F341&lt;SUMPRODUCT(MAX((($A$2:$A$497="止损计划")*($B$2:$B$497=B341)*($D$2:$D$497&lt;D341))*$F$2:$F$497)))),"阶段价格必须逐级提高","计划有效"))))))),IF(A341="每日跟踪",IF(OR(B341="",H341="",I341="",J341=""),"每日数据不完整",IF(COUNTIFS($A$2:$A$497,"每日跟踪",$B$2:$B$497,B341,$H$2:$H$497,H341)&gt;1,"同一交易日期重复",IF(AND(R341&lt;&gt;"",R341&lt;S341),"人工止损无效：不能下调","跟踪有效"))),"记录类型无效")))</f>
        <v/>
      </c>
    </row>
    <row r="342" ht="17" spans="1:29">
      <c r="A342" s="2"/>
      <c r="B342" s="2"/>
      <c r="C342" s="8" t="str">
        <f>IF(B342="","",IFERROR(LOOKUP(2,1/(单次交易!$A$2:$A$163=B342),单次交易!$B$2:$B$163),""))</f>
        <v/>
      </c>
      <c r="D342" s="12"/>
      <c r="E342" s="10"/>
      <c r="F342" s="10"/>
      <c r="G342" s="2"/>
      <c r="H342" s="15"/>
      <c r="I342" s="10"/>
      <c r="J342" s="12"/>
      <c r="K342" s="2"/>
      <c r="L342" s="2"/>
      <c r="M342" s="2"/>
      <c r="N342" s="5" t="str">
        <f>IF(B342="","",IFERROR(LOOKUP(2,1/(单次交易!$A$2:$A$163=B342),单次交易!$N$2:$N$163),""))</f>
        <v/>
      </c>
      <c r="O342" s="5" t="str">
        <f t="shared" si="54"/>
        <v/>
      </c>
      <c r="P342" s="11" t="str">
        <f t="shared" si="55"/>
        <v/>
      </c>
      <c r="Q342" s="5" t="str">
        <f t="shared" si="56"/>
        <v/>
      </c>
      <c r="R342" s="10"/>
      <c r="S342" s="5" t="str">
        <f t="shared" si="57"/>
        <v/>
      </c>
      <c r="T342" s="5" t="str">
        <f t="shared" si="58"/>
        <v/>
      </c>
      <c r="U342" s="5" t="str">
        <f t="shared" si="59"/>
        <v/>
      </c>
      <c r="V342" s="7" t="str">
        <f t="shared" si="60"/>
        <v/>
      </c>
      <c r="W342" s="8" t="str">
        <f t="shared" si="61"/>
        <v/>
      </c>
      <c r="X342" s="2"/>
      <c r="Y342" s="10"/>
      <c r="Z342" s="11" t="str">
        <f>IF(X342&lt;&gt;"执行卖出","",IFERROR(LOOKUP(2,1/(单次交易!$A$2:$A$163=B342),单次交易!$AP$2:$AP$163),""))</f>
        <v/>
      </c>
      <c r="AA342" s="10"/>
      <c r="AB342" s="8" t="str">
        <f t="shared" si="62"/>
        <v/>
      </c>
      <c r="AC342" s="8" t="str">
        <f>IF(A342="","",IF(A342="止损计划",IF(OR(B342="",D342="",E342="",F342="",G342=""),"计划不完整",IF(OR(D342&lt;1,D342&lt;&gt;INT(D342)),"阶段序号无效",IF(COUNTIFS($A$2:$A$497,"止损计划",$B$2:$B$497,B342,$D$2:$D$497,D342)&gt;1,"阶段序号重复",IF(E342&lt;=IFERROR(LOOKUP(2,1/(单次交易!$A$2:$A$163=B342),单次交易!$E$2:$E$163),0),"激活价须高于买入价",IF(F342&lt;N342,"止损价不得低于初始止损",IF(F342&gt;E342,"止损价不得高于激活价",IF(AND(COUNTIFS($A$2:$A$497,"止损计划",$B$2:$B$497,B342,$D$2:$D$497,"&lt;"&amp;D342)&gt;0,OR(E342&lt;=SUMPRODUCT(MAX((($A$2:$A$497="止损计划")*($B$2:$B$497=B342)*($D$2:$D$497&lt;D342))*$E$2:$E$497)),F342&lt;SUMPRODUCT(MAX((($A$2:$A$497="止损计划")*($B$2:$B$497=B342)*($D$2:$D$497&lt;D342))*$F$2:$F$497)))),"阶段价格必须逐级提高","计划有效"))))))),IF(A342="每日跟踪",IF(OR(B342="",H342="",I342="",J342=""),"每日数据不完整",IF(COUNTIFS($A$2:$A$497,"每日跟踪",$B$2:$B$497,B342,$H$2:$H$497,H342)&gt;1,"同一交易日期重复",IF(AND(R342&lt;&gt;"",R342&lt;S342),"人工止损无效：不能下调","跟踪有效"))),"记录类型无效")))</f>
        <v/>
      </c>
    </row>
    <row r="343" ht="17" spans="1:29">
      <c r="A343" s="2"/>
      <c r="B343" s="2"/>
      <c r="C343" s="8" t="str">
        <f>IF(B343="","",IFERROR(LOOKUP(2,1/(单次交易!$A$2:$A$163=B343),单次交易!$B$2:$B$163),""))</f>
        <v/>
      </c>
      <c r="D343" s="12"/>
      <c r="E343" s="10"/>
      <c r="F343" s="10"/>
      <c r="G343" s="2"/>
      <c r="H343" s="15"/>
      <c r="I343" s="10"/>
      <c r="J343" s="12"/>
      <c r="K343" s="2"/>
      <c r="L343" s="2"/>
      <c r="M343" s="2"/>
      <c r="N343" s="5" t="str">
        <f>IF(B343="","",IFERROR(LOOKUP(2,1/(单次交易!$A$2:$A$163=B343),单次交易!$N$2:$N$163),""))</f>
        <v/>
      </c>
      <c r="O343" s="5" t="str">
        <f t="shared" si="54"/>
        <v/>
      </c>
      <c r="P343" s="11" t="str">
        <f t="shared" si="55"/>
        <v/>
      </c>
      <c r="Q343" s="5" t="str">
        <f t="shared" si="56"/>
        <v/>
      </c>
      <c r="R343" s="10"/>
      <c r="S343" s="5" t="str">
        <f t="shared" si="57"/>
        <v/>
      </c>
      <c r="T343" s="5" t="str">
        <f t="shared" si="58"/>
        <v/>
      </c>
      <c r="U343" s="5" t="str">
        <f t="shared" si="59"/>
        <v/>
      </c>
      <c r="V343" s="7" t="str">
        <f t="shared" si="60"/>
        <v/>
      </c>
      <c r="W343" s="8" t="str">
        <f t="shared" si="61"/>
        <v/>
      </c>
      <c r="X343" s="2"/>
      <c r="Y343" s="10"/>
      <c r="Z343" s="11" t="str">
        <f>IF(X343&lt;&gt;"执行卖出","",IFERROR(LOOKUP(2,1/(单次交易!$A$2:$A$163=B343),单次交易!$AP$2:$AP$163),""))</f>
        <v/>
      </c>
      <c r="AA343" s="10"/>
      <c r="AB343" s="8" t="str">
        <f t="shared" si="62"/>
        <v/>
      </c>
      <c r="AC343" s="8" t="str">
        <f>IF(A343="","",IF(A343="止损计划",IF(OR(B343="",D343="",E343="",F343="",G343=""),"计划不完整",IF(OR(D343&lt;1,D343&lt;&gt;INT(D343)),"阶段序号无效",IF(COUNTIFS($A$2:$A$497,"止损计划",$B$2:$B$497,B343,$D$2:$D$497,D343)&gt;1,"阶段序号重复",IF(E343&lt;=IFERROR(LOOKUP(2,1/(单次交易!$A$2:$A$163=B343),单次交易!$E$2:$E$163),0),"激活价须高于买入价",IF(F343&lt;N343,"止损价不得低于初始止损",IF(F343&gt;E343,"止损价不得高于激活价",IF(AND(COUNTIFS($A$2:$A$497,"止损计划",$B$2:$B$497,B343,$D$2:$D$497,"&lt;"&amp;D343)&gt;0,OR(E343&lt;=SUMPRODUCT(MAX((($A$2:$A$497="止损计划")*($B$2:$B$497=B343)*($D$2:$D$497&lt;D343))*$E$2:$E$497)),F343&lt;SUMPRODUCT(MAX((($A$2:$A$497="止损计划")*($B$2:$B$497=B343)*($D$2:$D$497&lt;D343))*$F$2:$F$497)))),"阶段价格必须逐级提高","计划有效"))))))),IF(A343="每日跟踪",IF(OR(B343="",H343="",I343="",J343=""),"每日数据不完整",IF(COUNTIFS($A$2:$A$497,"每日跟踪",$B$2:$B$497,B343,$H$2:$H$497,H343)&gt;1,"同一交易日期重复",IF(AND(R343&lt;&gt;"",R343&lt;S343),"人工止损无效：不能下调","跟踪有效"))),"记录类型无效")))</f>
        <v/>
      </c>
    </row>
    <row r="344" ht="17" spans="1:29">
      <c r="A344" s="2"/>
      <c r="B344" s="2"/>
      <c r="C344" s="8" t="str">
        <f>IF(B344="","",IFERROR(LOOKUP(2,1/(单次交易!$A$2:$A$163=B344),单次交易!$B$2:$B$163),""))</f>
        <v/>
      </c>
      <c r="D344" s="12"/>
      <c r="E344" s="10"/>
      <c r="F344" s="10"/>
      <c r="G344" s="2"/>
      <c r="H344" s="15"/>
      <c r="I344" s="10"/>
      <c r="J344" s="12"/>
      <c r="K344" s="2"/>
      <c r="L344" s="2"/>
      <c r="M344" s="2"/>
      <c r="N344" s="5" t="str">
        <f>IF(B344="","",IFERROR(LOOKUP(2,1/(单次交易!$A$2:$A$163=B344),单次交易!$N$2:$N$163),""))</f>
        <v/>
      </c>
      <c r="O344" s="5" t="str">
        <f t="shared" si="54"/>
        <v/>
      </c>
      <c r="P344" s="11" t="str">
        <f t="shared" si="55"/>
        <v/>
      </c>
      <c r="Q344" s="5" t="str">
        <f t="shared" si="56"/>
        <v/>
      </c>
      <c r="R344" s="10"/>
      <c r="S344" s="5" t="str">
        <f t="shared" si="57"/>
        <v/>
      </c>
      <c r="T344" s="5" t="str">
        <f t="shared" si="58"/>
        <v/>
      </c>
      <c r="U344" s="5" t="str">
        <f t="shared" si="59"/>
        <v/>
      </c>
      <c r="V344" s="7" t="str">
        <f t="shared" si="60"/>
        <v/>
      </c>
      <c r="W344" s="8" t="str">
        <f t="shared" si="61"/>
        <v/>
      </c>
      <c r="X344" s="2"/>
      <c r="Y344" s="10"/>
      <c r="Z344" s="11" t="str">
        <f>IF(X344&lt;&gt;"执行卖出","",IFERROR(LOOKUP(2,1/(单次交易!$A$2:$A$163=B344),单次交易!$AP$2:$AP$163),""))</f>
        <v/>
      </c>
      <c r="AA344" s="10"/>
      <c r="AB344" s="8" t="str">
        <f t="shared" si="62"/>
        <v/>
      </c>
      <c r="AC344" s="8" t="str">
        <f>IF(A344="","",IF(A344="止损计划",IF(OR(B344="",D344="",E344="",F344="",G344=""),"计划不完整",IF(OR(D344&lt;1,D344&lt;&gt;INT(D344)),"阶段序号无效",IF(COUNTIFS($A$2:$A$497,"止损计划",$B$2:$B$497,B344,$D$2:$D$497,D344)&gt;1,"阶段序号重复",IF(E344&lt;=IFERROR(LOOKUP(2,1/(单次交易!$A$2:$A$163=B344),单次交易!$E$2:$E$163),0),"激活价须高于买入价",IF(F344&lt;N344,"止损价不得低于初始止损",IF(F344&gt;E344,"止损价不得高于激活价",IF(AND(COUNTIFS($A$2:$A$497,"止损计划",$B$2:$B$497,B344,$D$2:$D$497,"&lt;"&amp;D344)&gt;0,OR(E344&lt;=SUMPRODUCT(MAX((($A$2:$A$497="止损计划")*($B$2:$B$497=B344)*($D$2:$D$497&lt;D344))*$E$2:$E$497)),F344&lt;SUMPRODUCT(MAX((($A$2:$A$497="止损计划")*($B$2:$B$497=B344)*($D$2:$D$497&lt;D344))*$F$2:$F$497)))),"阶段价格必须逐级提高","计划有效"))))))),IF(A344="每日跟踪",IF(OR(B344="",H344="",I344="",J344=""),"每日数据不完整",IF(COUNTIFS($A$2:$A$497,"每日跟踪",$B$2:$B$497,B344,$H$2:$H$497,H344)&gt;1,"同一交易日期重复",IF(AND(R344&lt;&gt;"",R344&lt;S344),"人工止损无效：不能下调","跟踪有效"))),"记录类型无效")))</f>
        <v/>
      </c>
    </row>
    <row r="345" ht="17" spans="1:29">
      <c r="A345" s="2"/>
      <c r="B345" s="2"/>
      <c r="C345" s="8" t="str">
        <f>IF(B345="","",IFERROR(LOOKUP(2,1/(单次交易!$A$2:$A$163=B345),单次交易!$B$2:$B$163),""))</f>
        <v/>
      </c>
      <c r="D345" s="12"/>
      <c r="E345" s="10"/>
      <c r="F345" s="10"/>
      <c r="G345" s="2"/>
      <c r="H345" s="15"/>
      <c r="I345" s="10"/>
      <c r="J345" s="12"/>
      <c r="K345" s="2"/>
      <c r="L345" s="2"/>
      <c r="M345" s="2"/>
      <c r="N345" s="5" t="str">
        <f>IF(B345="","",IFERROR(LOOKUP(2,1/(单次交易!$A$2:$A$163=B345),单次交易!$N$2:$N$163),""))</f>
        <v/>
      </c>
      <c r="O345" s="5" t="str">
        <f t="shared" si="54"/>
        <v/>
      </c>
      <c r="P345" s="11" t="str">
        <f t="shared" si="55"/>
        <v/>
      </c>
      <c r="Q345" s="5" t="str">
        <f t="shared" si="56"/>
        <v/>
      </c>
      <c r="R345" s="10"/>
      <c r="S345" s="5" t="str">
        <f t="shared" si="57"/>
        <v/>
      </c>
      <c r="T345" s="5" t="str">
        <f t="shared" si="58"/>
        <v/>
      </c>
      <c r="U345" s="5" t="str">
        <f t="shared" si="59"/>
        <v/>
      </c>
      <c r="V345" s="7" t="str">
        <f t="shared" si="60"/>
        <v/>
      </c>
      <c r="W345" s="8" t="str">
        <f t="shared" si="61"/>
        <v/>
      </c>
      <c r="X345" s="2"/>
      <c r="Y345" s="10"/>
      <c r="Z345" s="11" t="str">
        <f>IF(X345&lt;&gt;"执行卖出","",IFERROR(LOOKUP(2,1/(单次交易!$A$2:$A$163=B345),单次交易!$AP$2:$AP$163),""))</f>
        <v/>
      </c>
      <c r="AA345" s="10"/>
      <c r="AB345" s="8" t="str">
        <f t="shared" si="62"/>
        <v/>
      </c>
      <c r="AC345" s="8" t="str">
        <f>IF(A345="","",IF(A345="止损计划",IF(OR(B345="",D345="",E345="",F345="",G345=""),"计划不完整",IF(OR(D345&lt;1,D345&lt;&gt;INT(D345)),"阶段序号无效",IF(COUNTIFS($A$2:$A$497,"止损计划",$B$2:$B$497,B345,$D$2:$D$497,D345)&gt;1,"阶段序号重复",IF(E345&lt;=IFERROR(LOOKUP(2,1/(单次交易!$A$2:$A$163=B345),单次交易!$E$2:$E$163),0),"激活价须高于买入价",IF(F345&lt;N345,"止损价不得低于初始止损",IF(F345&gt;E345,"止损价不得高于激活价",IF(AND(COUNTIFS($A$2:$A$497,"止损计划",$B$2:$B$497,B345,$D$2:$D$497,"&lt;"&amp;D345)&gt;0,OR(E345&lt;=SUMPRODUCT(MAX((($A$2:$A$497="止损计划")*($B$2:$B$497=B345)*($D$2:$D$497&lt;D345))*$E$2:$E$497)),F345&lt;SUMPRODUCT(MAX((($A$2:$A$497="止损计划")*($B$2:$B$497=B345)*($D$2:$D$497&lt;D345))*$F$2:$F$497)))),"阶段价格必须逐级提高","计划有效"))))))),IF(A345="每日跟踪",IF(OR(B345="",H345="",I345="",J345=""),"每日数据不完整",IF(COUNTIFS($A$2:$A$497,"每日跟踪",$B$2:$B$497,B345,$H$2:$H$497,H345)&gt;1,"同一交易日期重复",IF(AND(R345&lt;&gt;"",R345&lt;S345),"人工止损无效：不能下调","跟踪有效"))),"记录类型无效")))</f>
        <v/>
      </c>
    </row>
    <row r="346" ht="17" spans="1:29">
      <c r="A346" s="2"/>
      <c r="B346" s="2"/>
      <c r="C346" s="8" t="str">
        <f>IF(B346="","",IFERROR(LOOKUP(2,1/(单次交易!$A$2:$A$163=B346),单次交易!$B$2:$B$163),""))</f>
        <v/>
      </c>
      <c r="D346" s="12"/>
      <c r="E346" s="10"/>
      <c r="F346" s="10"/>
      <c r="G346" s="2"/>
      <c r="H346" s="15"/>
      <c r="I346" s="10"/>
      <c r="J346" s="12"/>
      <c r="K346" s="2"/>
      <c r="L346" s="2"/>
      <c r="M346" s="2"/>
      <c r="N346" s="5" t="str">
        <f>IF(B346="","",IFERROR(LOOKUP(2,1/(单次交易!$A$2:$A$163=B346),单次交易!$N$2:$N$163),""))</f>
        <v/>
      </c>
      <c r="O346" s="5" t="str">
        <f t="shared" si="54"/>
        <v/>
      </c>
      <c r="P346" s="11" t="str">
        <f t="shared" si="55"/>
        <v/>
      </c>
      <c r="Q346" s="5" t="str">
        <f t="shared" si="56"/>
        <v/>
      </c>
      <c r="R346" s="10"/>
      <c r="S346" s="5" t="str">
        <f t="shared" si="57"/>
        <v/>
      </c>
      <c r="T346" s="5" t="str">
        <f t="shared" si="58"/>
        <v/>
      </c>
      <c r="U346" s="5" t="str">
        <f t="shared" si="59"/>
        <v/>
      </c>
      <c r="V346" s="7" t="str">
        <f t="shared" si="60"/>
        <v/>
      </c>
      <c r="W346" s="8" t="str">
        <f t="shared" si="61"/>
        <v/>
      </c>
      <c r="X346" s="2"/>
      <c r="Y346" s="10"/>
      <c r="Z346" s="11" t="str">
        <f>IF(X346&lt;&gt;"执行卖出","",IFERROR(LOOKUP(2,1/(单次交易!$A$2:$A$163=B346),单次交易!$AP$2:$AP$163),""))</f>
        <v/>
      </c>
      <c r="AA346" s="10"/>
      <c r="AB346" s="8" t="str">
        <f t="shared" si="62"/>
        <v/>
      </c>
      <c r="AC346" s="8" t="str">
        <f>IF(A346="","",IF(A346="止损计划",IF(OR(B346="",D346="",E346="",F346="",G346=""),"计划不完整",IF(OR(D346&lt;1,D346&lt;&gt;INT(D346)),"阶段序号无效",IF(COUNTIFS($A$2:$A$497,"止损计划",$B$2:$B$497,B346,$D$2:$D$497,D346)&gt;1,"阶段序号重复",IF(E346&lt;=IFERROR(LOOKUP(2,1/(单次交易!$A$2:$A$163=B346),单次交易!$E$2:$E$163),0),"激活价须高于买入价",IF(F346&lt;N346,"止损价不得低于初始止损",IF(F346&gt;E346,"止损价不得高于激活价",IF(AND(COUNTIFS($A$2:$A$497,"止损计划",$B$2:$B$497,B346,$D$2:$D$497,"&lt;"&amp;D346)&gt;0,OR(E346&lt;=SUMPRODUCT(MAX((($A$2:$A$497="止损计划")*($B$2:$B$497=B346)*($D$2:$D$497&lt;D346))*$E$2:$E$497)),F346&lt;SUMPRODUCT(MAX((($A$2:$A$497="止损计划")*($B$2:$B$497=B346)*($D$2:$D$497&lt;D346))*$F$2:$F$497)))),"阶段价格必须逐级提高","计划有效"))))))),IF(A346="每日跟踪",IF(OR(B346="",H346="",I346="",J346=""),"每日数据不完整",IF(COUNTIFS($A$2:$A$497,"每日跟踪",$B$2:$B$497,B346,$H$2:$H$497,H346)&gt;1,"同一交易日期重复",IF(AND(R346&lt;&gt;"",R346&lt;S346),"人工止损无效：不能下调","跟踪有效"))),"记录类型无效")))</f>
        <v/>
      </c>
    </row>
    <row r="347" ht="17" spans="1:29">
      <c r="A347" s="2"/>
      <c r="B347" s="2"/>
      <c r="C347" s="8" t="str">
        <f>IF(B347="","",IFERROR(LOOKUP(2,1/(单次交易!$A$2:$A$163=B347),单次交易!$B$2:$B$163),""))</f>
        <v/>
      </c>
      <c r="D347" s="12"/>
      <c r="E347" s="10"/>
      <c r="F347" s="10"/>
      <c r="G347" s="2"/>
      <c r="H347" s="15"/>
      <c r="I347" s="10"/>
      <c r="J347" s="12"/>
      <c r="K347" s="2"/>
      <c r="L347" s="2"/>
      <c r="M347" s="2"/>
      <c r="N347" s="5" t="str">
        <f>IF(B347="","",IFERROR(LOOKUP(2,1/(单次交易!$A$2:$A$163=B347),单次交易!$N$2:$N$163),""))</f>
        <v/>
      </c>
      <c r="O347" s="5" t="str">
        <f t="shared" si="54"/>
        <v/>
      </c>
      <c r="P347" s="11" t="str">
        <f t="shared" si="55"/>
        <v/>
      </c>
      <c r="Q347" s="5" t="str">
        <f t="shared" si="56"/>
        <v/>
      </c>
      <c r="R347" s="10"/>
      <c r="S347" s="5" t="str">
        <f t="shared" si="57"/>
        <v/>
      </c>
      <c r="T347" s="5" t="str">
        <f t="shared" si="58"/>
        <v/>
      </c>
      <c r="U347" s="5" t="str">
        <f t="shared" si="59"/>
        <v/>
      </c>
      <c r="V347" s="7" t="str">
        <f t="shared" si="60"/>
        <v/>
      </c>
      <c r="W347" s="8" t="str">
        <f t="shared" si="61"/>
        <v/>
      </c>
      <c r="X347" s="2"/>
      <c r="Y347" s="10"/>
      <c r="Z347" s="11" t="str">
        <f>IF(X347&lt;&gt;"执行卖出","",IFERROR(LOOKUP(2,1/(单次交易!$A$2:$A$163=B347),单次交易!$AP$2:$AP$163),""))</f>
        <v/>
      </c>
      <c r="AA347" s="10"/>
      <c r="AB347" s="8" t="str">
        <f t="shared" si="62"/>
        <v/>
      </c>
      <c r="AC347" s="8" t="str">
        <f>IF(A347="","",IF(A347="止损计划",IF(OR(B347="",D347="",E347="",F347="",G347=""),"计划不完整",IF(OR(D347&lt;1,D347&lt;&gt;INT(D347)),"阶段序号无效",IF(COUNTIFS($A$2:$A$497,"止损计划",$B$2:$B$497,B347,$D$2:$D$497,D347)&gt;1,"阶段序号重复",IF(E347&lt;=IFERROR(LOOKUP(2,1/(单次交易!$A$2:$A$163=B347),单次交易!$E$2:$E$163),0),"激活价须高于买入价",IF(F347&lt;N347,"止损价不得低于初始止损",IF(F347&gt;E347,"止损价不得高于激活价",IF(AND(COUNTIFS($A$2:$A$497,"止损计划",$B$2:$B$497,B347,$D$2:$D$497,"&lt;"&amp;D347)&gt;0,OR(E347&lt;=SUMPRODUCT(MAX((($A$2:$A$497="止损计划")*($B$2:$B$497=B347)*($D$2:$D$497&lt;D347))*$E$2:$E$497)),F347&lt;SUMPRODUCT(MAX((($A$2:$A$497="止损计划")*($B$2:$B$497=B347)*($D$2:$D$497&lt;D347))*$F$2:$F$497)))),"阶段价格必须逐级提高","计划有效"))))))),IF(A347="每日跟踪",IF(OR(B347="",H347="",I347="",J347=""),"每日数据不完整",IF(COUNTIFS($A$2:$A$497,"每日跟踪",$B$2:$B$497,B347,$H$2:$H$497,H347)&gt;1,"同一交易日期重复",IF(AND(R347&lt;&gt;"",R347&lt;S347),"人工止损无效：不能下调","跟踪有效"))),"记录类型无效")))</f>
        <v/>
      </c>
    </row>
    <row r="348" ht="17" spans="1:29">
      <c r="A348" s="2"/>
      <c r="B348" s="2"/>
      <c r="C348" s="8" t="str">
        <f>IF(B348="","",IFERROR(LOOKUP(2,1/(单次交易!$A$2:$A$163=B348),单次交易!$B$2:$B$163),""))</f>
        <v/>
      </c>
      <c r="D348" s="12"/>
      <c r="E348" s="10"/>
      <c r="F348" s="10"/>
      <c r="G348" s="2"/>
      <c r="H348" s="15"/>
      <c r="I348" s="10"/>
      <c r="J348" s="12"/>
      <c r="K348" s="2"/>
      <c r="L348" s="2"/>
      <c r="M348" s="2"/>
      <c r="N348" s="5" t="str">
        <f>IF(B348="","",IFERROR(LOOKUP(2,1/(单次交易!$A$2:$A$163=B348),单次交易!$N$2:$N$163),""))</f>
        <v/>
      </c>
      <c r="O348" s="5" t="str">
        <f t="shared" si="54"/>
        <v/>
      </c>
      <c r="P348" s="11" t="str">
        <f t="shared" si="55"/>
        <v/>
      </c>
      <c r="Q348" s="5" t="str">
        <f t="shared" si="56"/>
        <v/>
      </c>
      <c r="R348" s="10"/>
      <c r="S348" s="5" t="str">
        <f t="shared" si="57"/>
        <v/>
      </c>
      <c r="T348" s="5" t="str">
        <f t="shared" si="58"/>
        <v/>
      </c>
      <c r="U348" s="5" t="str">
        <f t="shared" si="59"/>
        <v/>
      </c>
      <c r="V348" s="7" t="str">
        <f t="shared" si="60"/>
        <v/>
      </c>
      <c r="W348" s="8" t="str">
        <f t="shared" si="61"/>
        <v/>
      </c>
      <c r="X348" s="2"/>
      <c r="Y348" s="10"/>
      <c r="Z348" s="11" t="str">
        <f>IF(X348&lt;&gt;"执行卖出","",IFERROR(LOOKUP(2,1/(单次交易!$A$2:$A$163=B348),单次交易!$AP$2:$AP$163),""))</f>
        <v/>
      </c>
      <c r="AA348" s="10"/>
      <c r="AB348" s="8" t="str">
        <f t="shared" si="62"/>
        <v/>
      </c>
      <c r="AC348" s="8" t="str">
        <f>IF(A348="","",IF(A348="止损计划",IF(OR(B348="",D348="",E348="",F348="",G348=""),"计划不完整",IF(OR(D348&lt;1,D348&lt;&gt;INT(D348)),"阶段序号无效",IF(COUNTIFS($A$2:$A$497,"止损计划",$B$2:$B$497,B348,$D$2:$D$497,D348)&gt;1,"阶段序号重复",IF(E348&lt;=IFERROR(LOOKUP(2,1/(单次交易!$A$2:$A$163=B348),单次交易!$E$2:$E$163),0),"激活价须高于买入价",IF(F348&lt;N348,"止损价不得低于初始止损",IF(F348&gt;E348,"止损价不得高于激活价",IF(AND(COUNTIFS($A$2:$A$497,"止损计划",$B$2:$B$497,B348,$D$2:$D$497,"&lt;"&amp;D348)&gt;0,OR(E348&lt;=SUMPRODUCT(MAX((($A$2:$A$497="止损计划")*($B$2:$B$497=B348)*($D$2:$D$497&lt;D348))*$E$2:$E$497)),F348&lt;SUMPRODUCT(MAX((($A$2:$A$497="止损计划")*($B$2:$B$497=B348)*($D$2:$D$497&lt;D348))*$F$2:$F$497)))),"阶段价格必须逐级提高","计划有效"))))))),IF(A348="每日跟踪",IF(OR(B348="",H348="",I348="",J348=""),"每日数据不完整",IF(COUNTIFS($A$2:$A$497,"每日跟踪",$B$2:$B$497,B348,$H$2:$H$497,H348)&gt;1,"同一交易日期重复",IF(AND(R348&lt;&gt;"",R348&lt;S348),"人工止损无效：不能下调","跟踪有效"))),"记录类型无效")))</f>
        <v/>
      </c>
    </row>
    <row r="349" ht="17" spans="1:29">
      <c r="A349" s="2"/>
      <c r="B349" s="2"/>
      <c r="C349" s="8" t="str">
        <f>IF(B349="","",IFERROR(LOOKUP(2,1/(单次交易!$A$2:$A$163=B349),单次交易!$B$2:$B$163),""))</f>
        <v/>
      </c>
      <c r="D349" s="12"/>
      <c r="E349" s="10"/>
      <c r="F349" s="10"/>
      <c r="G349" s="2"/>
      <c r="H349" s="15"/>
      <c r="I349" s="10"/>
      <c r="J349" s="12"/>
      <c r="K349" s="2"/>
      <c r="L349" s="2"/>
      <c r="M349" s="2"/>
      <c r="N349" s="5" t="str">
        <f>IF(B349="","",IFERROR(LOOKUP(2,1/(单次交易!$A$2:$A$163=B349),单次交易!$N$2:$N$163),""))</f>
        <v/>
      </c>
      <c r="O349" s="5" t="str">
        <f t="shared" si="54"/>
        <v/>
      </c>
      <c r="P349" s="11" t="str">
        <f t="shared" si="55"/>
        <v/>
      </c>
      <c r="Q349" s="5" t="str">
        <f t="shared" si="56"/>
        <v/>
      </c>
      <c r="R349" s="10"/>
      <c r="S349" s="5" t="str">
        <f t="shared" si="57"/>
        <v/>
      </c>
      <c r="T349" s="5" t="str">
        <f t="shared" si="58"/>
        <v/>
      </c>
      <c r="U349" s="5" t="str">
        <f t="shared" si="59"/>
        <v/>
      </c>
      <c r="V349" s="7" t="str">
        <f t="shared" si="60"/>
        <v/>
      </c>
      <c r="W349" s="8" t="str">
        <f t="shared" si="61"/>
        <v/>
      </c>
      <c r="X349" s="2"/>
      <c r="Y349" s="10"/>
      <c r="Z349" s="11" t="str">
        <f>IF(X349&lt;&gt;"执行卖出","",IFERROR(LOOKUP(2,1/(单次交易!$A$2:$A$163=B349),单次交易!$AP$2:$AP$163),""))</f>
        <v/>
      </c>
      <c r="AA349" s="10"/>
      <c r="AB349" s="8" t="str">
        <f t="shared" si="62"/>
        <v/>
      </c>
      <c r="AC349" s="8" t="str">
        <f>IF(A349="","",IF(A349="止损计划",IF(OR(B349="",D349="",E349="",F349="",G349=""),"计划不完整",IF(OR(D349&lt;1,D349&lt;&gt;INT(D349)),"阶段序号无效",IF(COUNTIFS($A$2:$A$497,"止损计划",$B$2:$B$497,B349,$D$2:$D$497,D349)&gt;1,"阶段序号重复",IF(E349&lt;=IFERROR(LOOKUP(2,1/(单次交易!$A$2:$A$163=B349),单次交易!$E$2:$E$163),0),"激活价须高于买入价",IF(F349&lt;N349,"止损价不得低于初始止损",IF(F349&gt;E349,"止损价不得高于激活价",IF(AND(COUNTIFS($A$2:$A$497,"止损计划",$B$2:$B$497,B349,$D$2:$D$497,"&lt;"&amp;D349)&gt;0,OR(E349&lt;=SUMPRODUCT(MAX((($A$2:$A$497="止损计划")*($B$2:$B$497=B349)*($D$2:$D$497&lt;D349))*$E$2:$E$497)),F349&lt;SUMPRODUCT(MAX((($A$2:$A$497="止损计划")*($B$2:$B$497=B349)*($D$2:$D$497&lt;D349))*$F$2:$F$497)))),"阶段价格必须逐级提高","计划有效"))))))),IF(A349="每日跟踪",IF(OR(B349="",H349="",I349="",J349=""),"每日数据不完整",IF(COUNTIFS($A$2:$A$497,"每日跟踪",$B$2:$B$497,B349,$H$2:$H$497,H349)&gt;1,"同一交易日期重复",IF(AND(R349&lt;&gt;"",R349&lt;S349),"人工止损无效：不能下调","跟踪有效"))),"记录类型无效")))</f>
        <v/>
      </c>
    </row>
    <row r="350" ht="17" spans="1:29">
      <c r="A350" s="2"/>
      <c r="B350" s="2"/>
      <c r="C350" s="8" t="str">
        <f>IF(B350="","",IFERROR(LOOKUP(2,1/(单次交易!$A$2:$A$163=B350),单次交易!$B$2:$B$163),""))</f>
        <v/>
      </c>
      <c r="D350" s="12"/>
      <c r="E350" s="10"/>
      <c r="F350" s="10"/>
      <c r="G350" s="2"/>
      <c r="H350" s="15"/>
      <c r="I350" s="10"/>
      <c r="J350" s="12"/>
      <c r="K350" s="2"/>
      <c r="L350" s="2"/>
      <c r="M350" s="2"/>
      <c r="N350" s="5" t="str">
        <f>IF(B350="","",IFERROR(LOOKUP(2,1/(单次交易!$A$2:$A$163=B350),单次交易!$N$2:$N$163),""))</f>
        <v/>
      </c>
      <c r="O350" s="5" t="str">
        <f t="shared" si="54"/>
        <v/>
      </c>
      <c r="P350" s="11" t="str">
        <f t="shared" si="55"/>
        <v/>
      </c>
      <c r="Q350" s="5" t="str">
        <f t="shared" si="56"/>
        <v/>
      </c>
      <c r="R350" s="10"/>
      <c r="S350" s="5" t="str">
        <f t="shared" si="57"/>
        <v/>
      </c>
      <c r="T350" s="5" t="str">
        <f t="shared" si="58"/>
        <v/>
      </c>
      <c r="U350" s="5" t="str">
        <f t="shared" si="59"/>
        <v/>
      </c>
      <c r="V350" s="7" t="str">
        <f t="shared" si="60"/>
        <v/>
      </c>
      <c r="W350" s="8" t="str">
        <f t="shared" si="61"/>
        <v/>
      </c>
      <c r="X350" s="2"/>
      <c r="Y350" s="10"/>
      <c r="Z350" s="11" t="str">
        <f>IF(X350&lt;&gt;"执行卖出","",IFERROR(LOOKUP(2,1/(单次交易!$A$2:$A$163=B350),单次交易!$AP$2:$AP$163),""))</f>
        <v/>
      </c>
      <c r="AA350" s="10"/>
      <c r="AB350" s="8" t="str">
        <f t="shared" si="62"/>
        <v/>
      </c>
      <c r="AC350" s="8" t="str">
        <f>IF(A350="","",IF(A350="止损计划",IF(OR(B350="",D350="",E350="",F350="",G350=""),"计划不完整",IF(OR(D350&lt;1,D350&lt;&gt;INT(D350)),"阶段序号无效",IF(COUNTIFS($A$2:$A$497,"止损计划",$B$2:$B$497,B350,$D$2:$D$497,D350)&gt;1,"阶段序号重复",IF(E350&lt;=IFERROR(LOOKUP(2,1/(单次交易!$A$2:$A$163=B350),单次交易!$E$2:$E$163),0),"激活价须高于买入价",IF(F350&lt;N350,"止损价不得低于初始止损",IF(F350&gt;E350,"止损价不得高于激活价",IF(AND(COUNTIFS($A$2:$A$497,"止损计划",$B$2:$B$497,B350,$D$2:$D$497,"&lt;"&amp;D350)&gt;0,OR(E350&lt;=SUMPRODUCT(MAX((($A$2:$A$497="止损计划")*($B$2:$B$497=B350)*($D$2:$D$497&lt;D350))*$E$2:$E$497)),F350&lt;SUMPRODUCT(MAX((($A$2:$A$497="止损计划")*($B$2:$B$497=B350)*($D$2:$D$497&lt;D350))*$F$2:$F$497)))),"阶段价格必须逐级提高","计划有效"))))))),IF(A350="每日跟踪",IF(OR(B350="",H350="",I350="",J350=""),"每日数据不完整",IF(COUNTIFS($A$2:$A$497,"每日跟踪",$B$2:$B$497,B350,$H$2:$H$497,H350)&gt;1,"同一交易日期重复",IF(AND(R350&lt;&gt;"",R350&lt;S350),"人工止损无效：不能下调","跟踪有效"))),"记录类型无效")))</f>
        <v/>
      </c>
    </row>
    <row r="351" ht="17" spans="1:29">
      <c r="A351" s="2"/>
      <c r="B351" s="2"/>
      <c r="C351" s="8" t="str">
        <f>IF(B351="","",IFERROR(LOOKUP(2,1/(单次交易!$A$2:$A$163=B351),单次交易!$B$2:$B$163),""))</f>
        <v/>
      </c>
      <c r="D351" s="12"/>
      <c r="E351" s="10"/>
      <c r="F351" s="10"/>
      <c r="G351" s="2"/>
      <c r="H351" s="15"/>
      <c r="I351" s="10"/>
      <c r="J351" s="12"/>
      <c r="K351" s="2"/>
      <c r="L351" s="2"/>
      <c r="M351" s="2"/>
      <c r="N351" s="5" t="str">
        <f>IF(B351="","",IFERROR(LOOKUP(2,1/(单次交易!$A$2:$A$163=B351),单次交易!$N$2:$N$163),""))</f>
        <v/>
      </c>
      <c r="O351" s="5" t="str">
        <f t="shared" si="54"/>
        <v/>
      </c>
      <c r="P351" s="11" t="str">
        <f t="shared" si="55"/>
        <v/>
      </c>
      <c r="Q351" s="5" t="str">
        <f t="shared" si="56"/>
        <v/>
      </c>
      <c r="R351" s="10"/>
      <c r="S351" s="5" t="str">
        <f t="shared" si="57"/>
        <v/>
      </c>
      <c r="T351" s="5" t="str">
        <f t="shared" si="58"/>
        <v/>
      </c>
      <c r="U351" s="5" t="str">
        <f t="shared" si="59"/>
        <v/>
      </c>
      <c r="V351" s="7" t="str">
        <f t="shared" si="60"/>
        <v/>
      </c>
      <c r="W351" s="8" t="str">
        <f t="shared" si="61"/>
        <v/>
      </c>
      <c r="X351" s="2"/>
      <c r="Y351" s="10"/>
      <c r="Z351" s="11" t="str">
        <f>IF(X351&lt;&gt;"执行卖出","",IFERROR(LOOKUP(2,1/(单次交易!$A$2:$A$163=B351),单次交易!$AP$2:$AP$163),""))</f>
        <v/>
      </c>
      <c r="AA351" s="10"/>
      <c r="AB351" s="8" t="str">
        <f t="shared" si="62"/>
        <v/>
      </c>
      <c r="AC351" s="8" t="str">
        <f>IF(A351="","",IF(A351="止损计划",IF(OR(B351="",D351="",E351="",F351="",G351=""),"计划不完整",IF(OR(D351&lt;1,D351&lt;&gt;INT(D351)),"阶段序号无效",IF(COUNTIFS($A$2:$A$497,"止损计划",$B$2:$B$497,B351,$D$2:$D$497,D351)&gt;1,"阶段序号重复",IF(E351&lt;=IFERROR(LOOKUP(2,1/(单次交易!$A$2:$A$163=B351),单次交易!$E$2:$E$163),0),"激活价须高于买入价",IF(F351&lt;N351,"止损价不得低于初始止损",IF(F351&gt;E351,"止损价不得高于激活价",IF(AND(COUNTIFS($A$2:$A$497,"止损计划",$B$2:$B$497,B351,$D$2:$D$497,"&lt;"&amp;D351)&gt;0,OR(E351&lt;=SUMPRODUCT(MAX((($A$2:$A$497="止损计划")*($B$2:$B$497=B351)*($D$2:$D$497&lt;D351))*$E$2:$E$497)),F351&lt;SUMPRODUCT(MAX((($A$2:$A$497="止损计划")*($B$2:$B$497=B351)*($D$2:$D$497&lt;D351))*$F$2:$F$497)))),"阶段价格必须逐级提高","计划有效"))))))),IF(A351="每日跟踪",IF(OR(B351="",H351="",I351="",J351=""),"每日数据不完整",IF(COUNTIFS($A$2:$A$497,"每日跟踪",$B$2:$B$497,B351,$H$2:$H$497,H351)&gt;1,"同一交易日期重复",IF(AND(R351&lt;&gt;"",R351&lt;S351),"人工止损无效：不能下调","跟踪有效"))),"记录类型无效")))</f>
        <v/>
      </c>
    </row>
    <row r="352" ht="17" spans="1:29">
      <c r="A352" s="2"/>
      <c r="B352" s="2"/>
      <c r="C352" s="8" t="str">
        <f>IF(B352="","",IFERROR(LOOKUP(2,1/(单次交易!$A$2:$A$163=B352),单次交易!$B$2:$B$163),""))</f>
        <v/>
      </c>
      <c r="D352" s="12"/>
      <c r="E352" s="10"/>
      <c r="F352" s="10"/>
      <c r="G352" s="2"/>
      <c r="H352" s="15"/>
      <c r="I352" s="10"/>
      <c r="J352" s="12"/>
      <c r="K352" s="2"/>
      <c r="L352" s="2"/>
      <c r="M352" s="2"/>
      <c r="N352" s="5" t="str">
        <f>IF(B352="","",IFERROR(LOOKUP(2,1/(单次交易!$A$2:$A$163=B352),单次交易!$N$2:$N$163),""))</f>
        <v/>
      </c>
      <c r="O352" s="5" t="str">
        <f t="shared" si="54"/>
        <v/>
      </c>
      <c r="P352" s="11" t="str">
        <f t="shared" si="55"/>
        <v/>
      </c>
      <c r="Q352" s="5" t="str">
        <f t="shared" si="56"/>
        <v/>
      </c>
      <c r="R352" s="10"/>
      <c r="S352" s="5" t="str">
        <f t="shared" si="57"/>
        <v/>
      </c>
      <c r="T352" s="5" t="str">
        <f t="shared" si="58"/>
        <v/>
      </c>
      <c r="U352" s="5" t="str">
        <f t="shared" si="59"/>
        <v/>
      </c>
      <c r="V352" s="7" t="str">
        <f t="shared" si="60"/>
        <v/>
      </c>
      <c r="W352" s="8" t="str">
        <f t="shared" si="61"/>
        <v/>
      </c>
      <c r="X352" s="2"/>
      <c r="Y352" s="10"/>
      <c r="Z352" s="11" t="str">
        <f>IF(X352&lt;&gt;"执行卖出","",IFERROR(LOOKUP(2,1/(单次交易!$A$2:$A$163=B352),单次交易!$AP$2:$AP$163),""))</f>
        <v/>
      </c>
      <c r="AA352" s="10"/>
      <c r="AB352" s="8" t="str">
        <f t="shared" si="62"/>
        <v/>
      </c>
      <c r="AC352" s="8" t="str">
        <f>IF(A352="","",IF(A352="止损计划",IF(OR(B352="",D352="",E352="",F352="",G352=""),"计划不完整",IF(OR(D352&lt;1,D352&lt;&gt;INT(D352)),"阶段序号无效",IF(COUNTIFS($A$2:$A$497,"止损计划",$B$2:$B$497,B352,$D$2:$D$497,D352)&gt;1,"阶段序号重复",IF(E352&lt;=IFERROR(LOOKUP(2,1/(单次交易!$A$2:$A$163=B352),单次交易!$E$2:$E$163),0),"激活价须高于买入价",IF(F352&lt;N352,"止损价不得低于初始止损",IF(F352&gt;E352,"止损价不得高于激活价",IF(AND(COUNTIFS($A$2:$A$497,"止损计划",$B$2:$B$497,B352,$D$2:$D$497,"&lt;"&amp;D352)&gt;0,OR(E352&lt;=SUMPRODUCT(MAX((($A$2:$A$497="止损计划")*($B$2:$B$497=B352)*($D$2:$D$497&lt;D352))*$E$2:$E$497)),F352&lt;SUMPRODUCT(MAX((($A$2:$A$497="止损计划")*($B$2:$B$497=B352)*($D$2:$D$497&lt;D352))*$F$2:$F$497)))),"阶段价格必须逐级提高","计划有效"))))))),IF(A352="每日跟踪",IF(OR(B352="",H352="",I352="",J352=""),"每日数据不完整",IF(COUNTIFS($A$2:$A$497,"每日跟踪",$B$2:$B$497,B352,$H$2:$H$497,H352)&gt;1,"同一交易日期重复",IF(AND(R352&lt;&gt;"",R352&lt;S352),"人工止损无效：不能下调","跟踪有效"))),"记录类型无效")))</f>
        <v/>
      </c>
    </row>
    <row r="353" ht="17" spans="1:29">
      <c r="A353" s="2"/>
      <c r="B353" s="2"/>
      <c r="C353" s="8" t="str">
        <f>IF(B353="","",IFERROR(LOOKUP(2,1/(单次交易!$A$2:$A$163=B353),单次交易!$B$2:$B$163),""))</f>
        <v/>
      </c>
      <c r="D353" s="12"/>
      <c r="E353" s="10"/>
      <c r="F353" s="10"/>
      <c r="G353" s="2"/>
      <c r="H353" s="15"/>
      <c r="I353" s="10"/>
      <c r="J353" s="12"/>
      <c r="K353" s="2"/>
      <c r="L353" s="2"/>
      <c r="M353" s="2"/>
      <c r="N353" s="5" t="str">
        <f>IF(B353="","",IFERROR(LOOKUP(2,1/(单次交易!$A$2:$A$163=B353),单次交易!$N$2:$N$163),""))</f>
        <v/>
      </c>
      <c r="O353" s="5" t="str">
        <f t="shared" si="54"/>
        <v/>
      </c>
      <c r="P353" s="11" t="str">
        <f t="shared" si="55"/>
        <v/>
      </c>
      <c r="Q353" s="5" t="str">
        <f t="shared" si="56"/>
        <v/>
      </c>
      <c r="R353" s="10"/>
      <c r="S353" s="5" t="str">
        <f t="shared" si="57"/>
        <v/>
      </c>
      <c r="T353" s="5" t="str">
        <f t="shared" si="58"/>
        <v/>
      </c>
      <c r="U353" s="5" t="str">
        <f t="shared" si="59"/>
        <v/>
      </c>
      <c r="V353" s="7" t="str">
        <f t="shared" si="60"/>
        <v/>
      </c>
      <c r="W353" s="8" t="str">
        <f t="shared" si="61"/>
        <v/>
      </c>
      <c r="X353" s="2"/>
      <c r="Y353" s="10"/>
      <c r="Z353" s="11" t="str">
        <f>IF(X353&lt;&gt;"执行卖出","",IFERROR(LOOKUP(2,1/(单次交易!$A$2:$A$163=B353),单次交易!$AP$2:$AP$163),""))</f>
        <v/>
      </c>
      <c r="AA353" s="10"/>
      <c r="AB353" s="8" t="str">
        <f t="shared" si="62"/>
        <v/>
      </c>
      <c r="AC353" s="8" t="str">
        <f>IF(A353="","",IF(A353="止损计划",IF(OR(B353="",D353="",E353="",F353="",G353=""),"计划不完整",IF(OR(D353&lt;1,D353&lt;&gt;INT(D353)),"阶段序号无效",IF(COUNTIFS($A$2:$A$497,"止损计划",$B$2:$B$497,B353,$D$2:$D$497,D353)&gt;1,"阶段序号重复",IF(E353&lt;=IFERROR(LOOKUP(2,1/(单次交易!$A$2:$A$163=B353),单次交易!$E$2:$E$163),0),"激活价须高于买入价",IF(F353&lt;N353,"止损价不得低于初始止损",IF(F353&gt;E353,"止损价不得高于激活价",IF(AND(COUNTIFS($A$2:$A$497,"止损计划",$B$2:$B$497,B353,$D$2:$D$497,"&lt;"&amp;D353)&gt;0,OR(E353&lt;=SUMPRODUCT(MAX((($A$2:$A$497="止损计划")*($B$2:$B$497=B353)*($D$2:$D$497&lt;D353))*$E$2:$E$497)),F353&lt;SUMPRODUCT(MAX((($A$2:$A$497="止损计划")*($B$2:$B$497=B353)*($D$2:$D$497&lt;D353))*$F$2:$F$497)))),"阶段价格必须逐级提高","计划有效"))))))),IF(A353="每日跟踪",IF(OR(B353="",H353="",I353="",J353=""),"每日数据不完整",IF(COUNTIFS($A$2:$A$497,"每日跟踪",$B$2:$B$497,B353,$H$2:$H$497,H353)&gt;1,"同一交易日期重复",IF(AND(R353&lt;&gt;"",R353&lt;S353),"人工止损无效：不能下调","跟踪有效"))),"记录类型无效")))</f>
        <v/>
      </c>
    </row>
    <row r="354" ht="17" spans="1:29">
      <c r="A354" s="2"/>
      <c r="B354" s="2"/>
      <c r="C354" s="8" t="str">
        <f>IF(B354="","",IFERROR(LOOKUP(2,1/(单次交易!$A$2:$A$163=B354),单次交易!$B$2:$B$163),""))</f>
        <v/>
      </c>
      <c r="D354" s="12"/>
      <c r="E354" s="10"/>
      <c r="F354" s="10"/>
      <c r="G354" s="2"/>
      <c r="H354" s="15"/>
      <c r="I354" s="10"/>
      <c r="J354" s="12"/>
      <c r="K354" s="2"/>
      <c r="L354" s="2"/>
      <c r="M354" s="2"/>
      <c r="N354" s="5" t="str">
        <f>IF(B354="","",IFERROR(LOOKUP(2,1/(单次交易!$A$2:$A$163=B354),单次交易!$N$2:$N$163),""))</f>
        <v/>
      </c>
      <c r="O354" s="5" t="str">
        <f t="shared" si="54"/>
        <v/>
      </c>
      <c r="P354" s="11" t="str">
        <f t="shared" si="55"/>
        <v/>
      </c>
      <c r="Q354" s="5" t="str">
        <f t="shared" si="56"/>
        <v/>
      </c>
      <c r="R354" s="10"/>
      <c r="S354" s="5" t="str">
        <f t="shared" si="57"/>
        <v/>
      </c>
      <c r="T354" s="5" t="str">
        <f t="shared" si="58"/>
        <v/>
      </c>
      <c r="U354" s="5" t="str">
        <f t="shared" si="59"/>
        <v/>
      </c>
      <c r="V354" s="7" t="str">
        <f t="shared" si="60"/>
        <v/>
      </c>
      <c r="W354" s="8" t="str">
        <f t="shared" si="61"/>
        <v/>
      </c>
      <c r="X354" s="2"/>
      <c r="Y354" s="10"/>
      <c r="Z354" s="11" t="str">
        <f>IF(X354&lt;&gt;"执行卖出","",IFERROR(LOOKUP(2,1/(单次交易!$A$2:$A$163=B354),单次交易!$AP$2:$AP$163),""))</f>
        <v/>
      </c>
      <c r="AA354" s="10"/>
      <c r="AB354" s="8" t="str">
        <f t="shared" si="62"/>
        <v/>
      </c>
      <c r="AC354" s="8" t="str">
        <f>IF(A354="","",IF(A354="止损计划",IF(OR(B354="",D354="",E354="",F354="",G354=""),"计划不完整",IF(OR(D354&lt;1,D354&lt;&gt;INT(D354)),"阶段序号无效",IF(COUNTIFS($A$2:$A$497,"止损计划",$B$2:$B$497,B354,$D$2:$D$497,D354)&gt;1,"阶段序号重复",IF(E354&lt;=IFERROR(LOOKUP(2,1/(单次交易!$A$2:$A$163=B354),单次交易!$E$2:$E$163),0),"激活价须高于买入价",IF(F354&lt;N354,"止损价不得低于初始止损",IF(F354&gt;E354,"止损价不得高于激活价",IF(AND(COUNTIFS($A$2:$A$497,"止损计划",$B$2:$B$497,B354,$D$2:$D$497,"&lt;"&amp;D354)&gt;0,OR(E354&lt;=SUMPRODUCT(MAX((($A$2:$A$497="止损计划")*($B$2:$B$497=B354)*($D$2:$D$497&lt;D354))*$E$2:$E$497)),F354&lt;SUMPRODUCT(MAX((($A$2:$A$497="止损计划")*($B$2:$B$497=B354)*($D$2:$D$497&lt;D354))*$F$2:$F$497)))),"阶段价格必须逐级提高","计划有效"))))))),IF(A354="每日跟踪",IF(OR(B354="",H354="",I354="",J354=""),"每日数据不完整",IF(COUNTIFS($A$2:$A$497,"每日跟踪",$B$2:$B$497,B354,$H$2:$H$497,H354)&gt;1,"同一交易日期重复",IF(AND(R354&lt;&gt;"",R354&lt;S354),"人工止损无效：不能下调","跟踪有效"))),"记录类型无效")))</f>
        <v/>
      </c>
    </row>
    <row r="355" ht="17" spans="1:29">
      <c r="A355" s="2"/>
      <c r="B355" s="2"/>
      <c r="C355" s="8" t="str">
        <f>IF(B355="","",IFERROR(LOOKUP(2,1/(单次交易!$A$2:$A$163=B355),单次交易!$B$2:$B$163),""))</f>
        <v/>
      </c>
      <c r="D355" s="12"/>
      <c r="E355" s="10"/>
      <c r="F355" s="10"/>
      <c r="G355" s="2"/>
      <c r="H355" s="15"/>
      <c r="I355" s="10"/>
      <c r="J355" s="12"/>
      <c r="K355" s="2"/>
      <c r="L355" s="2"/>
      <c r="M355" s="2"/>
      <c r="N355" s="5" t="str">
        <f>IF(B355="","",IFERROR(LOOKUP(2,1/(单次交易!$A$2:$A$163=B355),单次交易!$N$2:$N$163),""))</f>
        <v/>
      </c>
      <c r="O355" s="5" t="str">
        <f t="shared" si="54"/>
        <v/>
      </c>
      <c r="P355" s="11" t="str">
        <f t="shared" si="55"/>
        <v/>
      </c>
      <c r="Q355" s="5" t="str">
        <f t="shared" si="56"/>
        <v/>
      </c>
      <c r="R355" s="10"/>
      <c r="S355" s="5" t="str">
        <f t="shared" si="57"/>
        <v/>
      </c>
      <c r="T355" s="5" t="str">
        <f t="shared" si="58"/>
        <v/>
      </c>
      <c r="U355" s="5" t="str">
        <f t="shared" si="59"/>
        <v/>
      </c>
      <c r="V355" s="7" t="str">
        <f t="shared" si="60"/>
        <v/>
      </c>
      <c r="W355" s="8" t="str">
        <f t="shared" si="61"/>
        <v/>
      </c>
      <c r="X355" s="2"/>
      <c r="Y355" s="10"/>
      <c r="Z355" s="11" t="str">
        <f>IF(X355&lt;&gt;"执行卖出","",IFERROR(LOOKUP(2,1/(单次交易!$A$2:$A$163=B355),单次交易!$AP$2:$AP$163),""))</f>
        <v/>
      </c>
      <c r="AA355" s="10"/>
      <c r="AB355" s="8" t="str">
        <f t="shared" si="62"/>
        <v/>
      </c>
      <c r="AC355" s="8" t="str">
        <f>IF(A355="","",IF(A355="止损计划",IF(OR(B355="",D355="",E355="",F355="",G355=""),"计划不完整",IF(OR(D355&lt;1,D355&lt;&gt;INT(D355)),"阶段序号无效",IF(COUNTIFS($A$2:$A$497,"止损计划",$B$2:$B$497,B355,$D$2:$D$497,D355)&gt;1,"阶段序号重复",IF(E355&lt;=IFERROR(LOOKUP(2,1/(单次交易!$A$2:$A$163=B355),单次交易!$E$2:$E$163),0),"激活价须高于买入价",IF(F355&lt;N355,"止损价不得低于初始止损",IF(F355&gt;E355,"止损价不得高于激活价",IF(AND(COUNTIFS($A$2:$A$497,"止损计划",$B$2:$B$497,B355,$D$2:$D$497,"&lt;"&amp;D355)&gt;0,OR(E355&lt;=SUMPRODUCT(MAX((($A$2:$A$497="止损计划")*($B$2:$B$497=B355)*($D$2:$D$497&lt;D355))*$E$2:$E$497)),F355&lt;SUMPRODUCT(MAX((($A$2:$A$497="止损计划")*($B$2:$B$497=B355)*($D$2:$D$497&lt;D355))*$F$2:$F$497)))),"阶段价格必须逐级提高","计划有效"))))))),IF(A355="每日跟踪",IF(OR(B355="",H355="",I355="",J355=""),"每日数据不完整",IF(COUNTIFS($A$2:$A$497,"每日跟踪",$B$2:$B$497,B355,$H$2:$H$497,H355)&gt;1,"同一交易日期重复",IF(AND(R355&lt;&gt;"",R355&lt;S355),"人工止损无效：不能下调","跟踪有效"))),"记录类型无效")))</f>
        <v/>
      </c>
    </row>
    <row r="356" ht="17" spans="1:29">
      <c r="A356" s="2"/>
      <c r="B356" s="2"/>
      <c r="C356" s="8" t="str">
        <f>IF(B356="","",IFERROR(LOOKUP(2,1/(单次交易!$A$2:$A$163=B356),单次交易!$B$2:$B$163),""))</f>
        <v/>
      </c>
      <c r="D356" s="12"/>
      <c r="E356" s="10"/>
      <c r="F356" s="10"/>
      <c r="G356" s="2"/>
      <c r="H356" s="15"/>
      <c r="I356" s="10"/>
      <c r="J356" s="12"/>
      <c r="K356" s="2"/>
      <c r="L356" s="2"/>
      <c r="M356" s="2"/>
      <c r="N356" s="5" t="str">
        <f>IF(B356="","",IFERROR(LOOKUP(2,1/(单次交易!$A$2:$A$163=B356),单次交易!$N$2:$N$163),""))</f>
        <v/>
      </c>
      <c r="O356" s="5" t="str">
        <f t="shared" si="54"/>
        <v/>
      </c>
      <c r="P356" s="11" t="str">
        <f t="shared" si="55"/>
        <v/>
      </c>
      <c r="Q356" s="5" t="str">
        <f t="shared" si="56"/>
        <v/>
      </c>
      <c r="R356" s="10"/>
      <c r="S356" s="5" t="str">
        <f t="shared" si="57"/>
        <v/>
      </c>
      <c r="T356" s="5" t="str">
        <f t="shared" si="58"/>
        <v/>
      </c>
      <c r="U356" s="5" t="str">
        <f t="shared" si="59"/>
        <v/>
      </c>
      <c r="V356" s="7" t="str">
        <f t="shared" si="60"/>
        <v/>
      </c>
      <c r="W356" s="8" t="str">
        <f t="shared" si="61"/>
        <v/>
      </c>
      <c r="X356" s="2"/>
      <c r="Y356" s="10"/>
      <c r="Z356" s="11" t="str">
        <f>IF(X356&lt;&gt;"执行卖出","",IFERROR(LOOKUP(2,1/(单次交易!$A$2:$A$163=B356),单次交易!$AP$2:$AP$163),""))</f>
        <v/>
      </c>
      <c r="AA356" s="10"/>
      <c r="AB356" s="8" t="str">
        <f t="shared" si="62"/>
        <v/>
      </c>
      <c r="AC356" s="8" t="str">
        <f>IF(A356="","",IF(A356="止损计划",IF(OR(B356="",D356="",E356="",F356="",G356=""),"计划不完整",IF(OR(D356&lt;1,D356&lt;&gt;INT(D356)),"阶段序号无效",IF(COUNTIFS($A$2:$A$497,"止损计划",$B$2:$B$497,B356,$D$2:$D$497,D356)&gt;1,"阶段序号重复",IF(E356&lt;=IFERROR(LOOKUP(2,1/(单次交易!$A$2:$A$163=B356),单次交易!$E$2:$E$163),0),"激活价须高于买入价",IF(F356&lt;N356,"止损价不得低于初始止损",IF(F356&gt;E356,"止损价不得高于激活价",IF(AND(COUNTIFS($A$2:$A$497,"止损计划",$B$2:$B$497,B356,$D$2:$D$497,"&lt;"&amp;D356)&gt;0,OR(E356&lt;=SUMPRODUCT(MAX((($A$2:$A$497="止损计划")*($B$2:$B$497=B356)*($D$2:$D$497&lt;D356))*$E$2:$E$497)),F356&lt;SUMPRODUCT(MAX((($A$2:$A$497="止损计划")*($B$2:$B$497=B356)*($D$2:$D$497&lt;D356))*$F$2:$F$497)))),"阶段价格必须逐级提高","计划有效"))))))),IF(A356="每日跟踪",IF(OR(B356="",H356="",I356="",J356=""),"每日数据不完整",IF(COUNTIFS($A$2:$A$497,"每日跟踪",$B$2:$B$497,B356,$H$2:$H$497,H356)&gt;1,"同一交易日期重复",IF(AND(R356&lt;&gt;"",R356&lt;S356),"人工止损无效：不能下调","跟踪有效"))),"记录类型无效")))</f>
        <v/>
      </c>
    </row>
    <row r="357" ht="17" spans="1:29">
      <c r="A357" s="2"/>
      <c r="B357" s="2"/>
      <c r="C357" s="8" t="str">
        <f>IF(B357="","",IFERROR(LOOKUP(2,1/(单次交易!$A$2:$A$163=B357),单次交易!$B$2:$B$163),""))</f>
        <v/>
      </c>
      <c r="D357" s="12"/>
      <c r="E357" s="10"/>
      <c r="F357" s="10"/>
      <c r="G357" s="2"/>
      <c r="H357" s="15"/>
      <c r="I357" s="10"/>
      <c r="J357" s="12"/>
      <c r="K357" s="2"/>
      <c r="L357" s="2"/>
      <c r="M357" s="2"/>
      <c r="N357" s="5" t="str">
        <f>IF(B357="","",IFERROR(LOOKUP(2,1/(单次交易!$A$2:$A$163=B357),单次交易!$N$2:$N$163),""))</f>
        <v/>
      </c>
      <c r="O357" s="5" t="str">
        <f t="shared" si="54"/>
        <v/>
      </c>
      <c r="P357" s="11" t="str">
        <f t="shared" si="55"/>
        <v/>
      </c>
      <c r="Q357" s="5" t="str">
        <f t="shared" si="56"/>
        <v/>
      </c>
      <c r="R357" s="10"/>
      <c r="S357" s="5" t="str">
        <f t="shared" si="57"/>
        <v/>
      </c>
      <c r="T357" s="5" t="str">
        <f t="shared" si="58"/>
        <v/>
      </c>
      <c r="U357" s="5" t="str">
        <f t="shared" si="59"/>
        <v/>
      </c>
      <c r="V357" s="7" t="str">
        <f t="shared" si="60"/>
        <v/>
      </c>
      <c r="W357" s="8" t="str">
        <f t="shared" si="61"/>
        <v/>
      </c>
      <c r="X357" s="2"/>
      <c r="Y357" s="10"/>
      <c r="Z357" s="11" t="str">
        <f>IF(X357&lt;&gt;"执行卖出","",IFERROR(LOOKUP(2,1/(单次交易!$A$2:$A$163=B357),单次交易!$AP$2:$AP$163),""))</f>
        <v/>
      </c>
      <c r="AA357" s="10"/>
      <c r="AB357" s="8" t="str">
        <f t="shared" si="62"/>
        <v/>
      </c>
      <c r="AC357" s="8" t="str">
        <f>IF(A357="","",IF(A357="止损计划",IF(OR(B357="",D357="",E357="",F357="",G357=""),"计划不完整",IF(OR(D357&lt;1,D357&lt;&gt;INT(D357)),"阶段序号无效",IF(COUNTIFS($A$2:$A$497,"止损计划",$B$2:$B$497,B357,$D$2:$D$497,D357)&gt;1,"阶段序号重复",IF(E357&lt;=IFERROR(LOOKUP(2,1/(单次交易!$A$2:$A$163=B357),单次交易!$E$2:$E$163),0),"激活价须高于买入价",IF(F357&lt;N357,"止损价不得低于初始止损",IF(F357&gt;E357,"止损价不得高于激活价",IF(AND(COUNTIFS($A$2:$A$497,"止损计划",$B$2:$B$497,B357,$D$2:$D$497,"&lt;"&amp;D357)&gt;0,OR(E357&lt;=SUMPRODUCT(MAX((($A$2:$A$497="止损计划")*($B$2:$B$497=B357)*($D$2:$D$497&lt;D357))*$E$2:$E$497)),F357&lt;SUMPRODUCT(MAX((($A$2:$A$497="止损计划")*($B$2:$B$497=B357)*($D$2:$D$497&lt;D357))*$F$2:$F$497)))),"阶段价格必须逐级提高","计划有效"))))))),IF(A357="每日跟踪",IF(OR(B357="",H357="",I357="",J357=""),"每日数据不完整",IF(COUNTIFS($A$2:$A$497,"每日跟踪",$B$2:$B$497,B357,$H$2:$H$497,H357)&gt;1,"同一交易日期重复",IF(AND(R357&lt;&gt;"",R357&lt;S357),"人工止损无效：不能下调","跟踪有效"))),"记录类型无效")))</f>
        <v/>
      </c>
    </row>
    <row r="358" ht="17" spans="1:29">
      <c r="A358" s="2"/>
      <c r="B358" s="2"/>
      <c r="C358" s="8" t="str">
        <f>IF(B358="","",IFERROR(LOOKUP(2,1/(单次交易!$A$2:$A$163=B358),单次交易!$B$2:$B$163),""))</f>
        <v/>
      </c>
      <c r="D358" s="12"/>
      <c r="E358" s="10"/>
      <c r="F358" s="10"/>
      <c r="G358" s="2"/>
      <c r="H358" s="15"/>
      <c r="I358" s="10"/>
      <c r="J358" s="12"/>
      <c r="K358" s="2"/>
      <c r="L358" s="2"/>
      <c r="M358" s="2"/>
      <c r="N358" s="5" t="str">
        <f>IF(B358="","",IFERROR(LOOKUP(2,1/(单次交易!$A$2:$A$163=B358),单次交易!$N$2:$N$163),""))</f>
        <v/>
      </c>
      <c r="O358" s="5" t="str">
        <f t="shared" si="54"/>
        <v/>
      </c>
      <c r="P358" s="11" t="str">
        <f t="shared" si="55"/>
        <v/>
      </c>
      <c r="Q358" s="5" t="str">
        <f t="shared" si="56"/>
        <v/>
      </c>
      <c r="R358" s="10"/>
      <c r="S358" s="5" t="str">
        <f t="shared" si="57"/>
        <v/>
      </c>
      <c r="T358" s="5" t="str">
        <f t="shared" si="58"/>
        <v/>
      </c>
      <c r="U358" s="5" t="str">
        <f t="shared" si="59"/>
        <v/>
      </c>
      <c r="V358" s="7" t="str">
        <f t="shared" si="60"/>
        <v/>
      </c>
      <c r="W358" s="8" t="str">
        <f t="shared" si="61"/>
        <v/>
      </c>
      <c r="X358" s="2"/>
      <c r="Y358" s="10"/>
      <c r="Z358" s="11" t="str">
        <f>IF(X358&lt;&gt;"执行卖出","",IFERROR(LOOKUP(2,1/(单次交易!$A$2:$A$163=B358),单次交易!$AP$2:$AP$163),""))</f>
        <v/>
      </c>
      <c r="AA358" s="10"/>
      <c r="AB358" s="8" t="str">
        <f t="shared" si="62"/>
        <v/>
      </c>
      <c r="AC358" s="8" t="str">
        <f>IF(A358="","",IF(A358="止损计划",IF(OR(B358="",D358="",E358="",F358="",G358=""),"计划不完整",IF(OR(D358&lt;1,D358&lt;&gt;INT(D358)),"阶段序号无效",IF(COUNTIFS($A$2:$A$497,"止损计划",$B$2:$B$497,B358,$D$2:$D$497,D358)&gt;1,"阶段序号重复",IF(E358&lt;=IFERROR(LOOKUP(2,1/(单次交易!$A$2:$A$163=B358),单次交易!$E$2:$E$163),0),"激活价须高于买入价",IF(F358&lt;N358,"止损价不得低于初始止损",IF(F358&gt;E358,"止损价不得高于激活价",IF(AND(COUNTIFS($A$2:$A$497,"止损计划",$B$2:$B$497,B358,$D$2:$D$497,"&lt;"&amp;D358)&gt;0,OR(E358&lt;=SUMPRODUCT(MAX((($A$2:$A$497="止损计划")*($B$2:$B$497=B358)*($D$2:$D$497&lt;D358))*$E$2:$E$497)),F358&lt;SUMPRODUCT(MAX((($A$2:$A$497="止损计划")*($B$2:$B$497=B358)*($D$2:$D$497&lt;D358))*$F$2:$F$497)))),"阶段价格必须逐级提高","计划有效"))))))),IF(A358="每日跟踪",IF(OR(B358="",H358="",I358="",J358=""),"每日数据不完整",IF(COUNTIFS($A$2:$A$497,"每日跟踪",$B$2:$B$497,B358,$H$2:$H$497,H358)&gt;1,"同一交易日期重复",IF(AND(R358&lt;&gt;"",R358&lt;S358),"人工止损无效：不能下调","跟踪有效"))),"记录类型无效")))</f>
        <v/>
      </c>
    </row>
    <row r="359" ht="17" spans="1:29">
      <c r="A359" s="2"/>
      <c r="B359" s="2"/>
      <c r="C359" s="8" t="str">
        <f>IF(B359="","",IFERROR(LOOKUP(2,1/(单次交易!$A$2:$A$163=B359),单次交易!$B$2:$B$163),""))</f>
        <v/>
      </c>
      <c r="D359" s="12"/>
      <c r="E359" s="10"/>
      <c r="F359" s="10"/>
      <c r="G359" s="2"/>
      <c r="H359" s="15"/>
      <c r="I359" s="10"/>
      <c r="J359" s="12"/>
      <c r="K359" s="2"/>
      <c r="L359" s="2"/>
      <c r="M359" s="2"/>
      <c r="N359" s="5" t="str">
        <f>IF(B359="","",IFERROR(LOOKUP(2,1/(单次交易!$A$2:$A$163=B359),单次交易!$N$2:$N$163),""))</f>
        <v/>
      </c>
      <c r="O359" s="5" t="str">
        <f t="shared" si="54"/>
        <v/>
      </c>
      <c r="P359" s="11" t="str">
        <f t="shared" si="55"/>
        <v/>
      </c>
      <c r="Q359" s="5" t="str">
        <f t="shared" si="56"/>
        <v/>
      </c>
      <c r="R359" s="10"/>
      <c r="S359" s="5" t="str">
        <f t="shared" si="57"/>
        <v/>
      </c>
      <c r="T359" s="5" t="str">
        <f t="shared" si="58"/>
        <v/>
      </c>
      <c r="U359" s="5" t="str">
        <f t="shared" si="59"/>
        <v/>
      </c>
      <c r="V359" s="7" t="str">
        <f t="shared" si="60"/>
        <v/>
      </c>
      <c r="W359" s="8" t="str">
        <f t="shared" si="61"/>
        <v/>
      </c>
      <c r="X359" s="2"/>
      <c r="Y359" s="10"/>
      <c r="Z359" s="11" t="str">
        <f>IF(X359&lt;&gt;"执行卖出","",IFERROR(LOOKUP(2,1/(单次交易!$A$2:$A$163=B359),单次交易!$AP$2:$AP$163),""))</f>
        <v/>
      </c>
      <c r="AA359" s="10"/>
      <c r="AB359" s="8" t="str">
        <f t="shared" si="62"/>
        <v/>
      </c>
      <c r="AC359" s="8" t="str">
        <f>IF(A359="","",IF(A359="止损计划",IF(OR(B359="",D359="",E359="",F359="",G359=""),"计划不完整",IF(OR(D359&lt;1,D359&lt;&gt;INT(D359)),"阶段序号无效",IF(COUNTIFS($A$2:$A$497,"止损计划",$B$2:$B$497,B359,$D$2:$D$497,D359)&gt;1,"阶段序号重复",IF(E359&lt;=IFERROR(LOOKUP(2,1/(单次交易!$A$2:$A$163=B359),单次交易!$E$2:$E$163),0),"激活价须高于买入价",IF(F359&lt;N359,"止损价不得低于初始止损",IF(F359&gt;E359,"止损价不得高于激活价",IF(AND(COUNTIFS($A$2:$A$497,"止损计划",$B$2:$B$497,B359,$D$2:$D$497,"&lt;"&amp;D359)&gt;0,OR(E359&lt;=SUMPRODUCT(MAX((($A$2:$A$497="止损计划")*($B$2:$B$497=B359)*($D$2:$D$497&lt;D359))*$E$2:$E$497)),F359&lt;SUMPRODUCT(MAX((($A$2:$A$497="止损计划")*($B$2:$B$497=B359)*($D$2:$D$497&lt;D359))*$F$2:$F$497)))),"阶段价格必须逐级提高","计划有效"))))))),IF(A359="每日跟踪",IF(OR(B359="",H359="",I359="",J359=""),"每日数据不完整",IF(COUNTIFS($A$2:$A$497,"每日跟踪",$B$2:$B$497,B359,$H$2:$H$497,H359)&gt;1,"同一交易日期重复",IF(AND(R359&lt;&gt;"",R359&lt;S359),"人工止损无效：不能下调","跟踪有效"))),"记录类型无效")))</f>
        <v/>
      </c>
    </row>
    <row r="360" ht="17" spans="1:29">
      <c r="A360" s="2"/>
      <c r="B360" s="2"/>
      <c r="C360" s="8" t="str">
        <f>IF(B360="","",IFERROR(LOOKUP(2,1/(单次交易!$A$2:$A$163=B360),单次交易!$B$2:$B$163),""))</f>
        <v/>
      </c>
      <c r="D360" s="12"/>
      <c r="E360" s="10"/>
      <c r="F360" s="10"/>
      <c r="G360" s="2"/>
      <c r="H360" s="15"/>
      <c r="I360" s="10"/>
      <c r="J360" s="12"/>
      <c r="K360" s="2"/>
      <c r="L360" s="2"/>
      <c r="M360" s="2"/>
      <c r="N360" s="5" t="str">
        <f>IF(B360="","",IFERROR(LOOKUP(2,1/(单次交易!$A$2:$A$163=B360),单次交易!$N$2:$N$163),""))</f>
        <v/>
      </c>
      <c r="O360" s="5" t="str">
        <f t="shared" si="54"/>
        <v/>
      </c>
      <c r="P360" s="11" t="str">
        <f t="shared" si="55"/>
        <v/>
      </c>
      <c r="Q360" s="5" t="str">
        <f t="shared" si="56"/>
        <v/>
      </c>
      <c r="R360" s="10"/>
      <c r="S360" s="5" t="str">
        <f t="shared" si="57"/>
        <v/>
      </c>
      <c r="T360" s="5" t="str">
        <f t="shared" si="58"/>
        <v/>
      </c>
      <c r="U360" s="5" t="str">
        <f t="shared" si="59"/>
        <v/>
      </c>
      <c r="V360" s="7" t="str">
        <f t="shared" si="60"/>
        <v/>
      </c>
      <c r="W360" s="8" t="str">
        <f t="shared" si="61"/>
        <v/>
      </c>
      <c r="X360" s="2"/>
      <c r="Y360" s="10"/>
      <c r="Z360" s="11" t="str">
        <f>IF(X360&lt;&gt;"执行卖出","",IFERROR(LOOKUP(2,1/(单次交易!$A$2:$A$163=B360),单次交易!$AP$2:$AP$163),""))</f>
        <v/>
      </c>
      <c r="AA360" s="10"/>
      <c r="AB360" s="8" t="str">
        <f t="shared" si="62"/>
        <v/>
      </c>
      <c r="AC360" s="8" t="str">
        <f>IF(A360="","",IF(A360="止损计划",IF(OR(B360="",D360="",E360="",F360="",G360=""),"计划不完整",IF(OR(D360&lt;1,D360&lt;&gt;INT(D360)),"阶段序号无效",IF(COUNTIFS($A$2:$A$497,"止损计划",$B$2:$B$497,B360,$D$2:$D$497,D360)&gt;1,"阶段序号重复",IF(E360&lt;=IFERROR(LOOKUP(2,1/(单次交易!$A$2:$A$163=B360),单次交易!$E$2:$E$163),0),"激活价须高于买入价",IF(F360&lt;N360,"止损价不得低于初始止损",IF(F360&gt;E360,"止损价不得高于激活价",IF(AND(COUNTIFS($A$2:$A$497,"止损计划",$B$2:$B$497,B360,$D$2:$D$497,"&lt;"&amp;D360)&gt;0,OR(E360&lt;=SUMPRODUCT(MAX((($A$2:$A$497="止损计划")*($B$2:$B$497=B360)*($D$2:$D$497&lt;D360))*$E$2:$E$497)),F360&lt;SUMPRODUCT(MAX((($A$2:$A$497="止损计划")*($B$2:$B$497=B360)*($D$2:$D$497&lt;D360))*$F$2:$F$497)))),"阶段价格必须逐级提高","计划有效"))))))),IF(A360="每日跟踪",IF(OR(B360="",H360="",I360="",J360=""),"每日数据不完整",IF(COUNTIFS($A$2:$A$497,"每日跟踪",$B$2:$B$497,B360,$H$2:$H$497,H360)&gt;1,"同一交易日期重复",IF(AND(R360&lt;&gt;"",R360&lt;S360),"人工止损无效：不能下调","跟踪有效"))),"记录类型无效")))</f>
        <v/>
      </c>
    </row>
    <row r="361" ht="17" spans="1:29">
      <c r="A361" s="2"/>
      <c r="B361" s="2"/>
      <c r="C361" s="8" t="str">
        <f>IF(B361="","",IFERROR(LOOKUP(2,1/(单次交易!$A$2:$A$163=B361),单次交易!$B$2:$B$163),""))</f>
        <v/>
      </c>
      <c r="D361" s="12"/>
      <c r="E361" s="10"/>
      <c r="F361" s="10"/>
      <c r="G361" s="2"/>
      <c r="H361" s="15"/>
      <c r="I361" s="10"/>
      <c r="J361" s="12"/>
      <c r="K361" s="2"/>
      <c r="L361" s="2"/>
      <c r="M361" s="2"/>
      <c r="N361" s="5" t="str">
        <f>IF(B361="","",IFERROR(LOOKUP(2,1/(单次交易!$A$2:$A$163=B361),单次交易!$N$2:$N$163),""))</f>
        <v/>
      </c>
      <c r="O361" s="5" t="str">
        <f t="shared" si="54"/>
        <v/>
      </c>
      <c r="P361" s="11" t="str">
        <f t="shared" si="55"/>
        <v/>
      </c>
      <c r="Q361" s="5" t="str">
        <f t="shared" si="56"/>
        <v/>
      </c>
      <c r="R361" s="10"/>
      <c r="S361" s="5" t="str">
        <f t="shared" si="57"/>
        <v/>
      </c>
      <c r="T361" s="5" t="str">
        <f t="shared" si="58"/>
        <v/>
      </c>
      <c r="U361" s="5" t="str">
        <f t="shared" si="59"/>
        <v/>
      </c>
      <c r="V361" s="7" t="str">
        <f t="shared" si="60"/>
        <v/>
      </c>
      <c r="W361" s="8" t="str">
        <f t="shared" si="61"/>
        <v/>
      </c>
      <c r="X361" s="2"/>
      <c r="Y361" s="10"/>
      <c r="Z361" s="11" t="str">
        <f>IF(X361&lt;&gt;"执行卖出","",IFERROR(LOOKUP(2,1/(单次交易!$A$2:$A$163=B361),单次交易!$AP$2:$AP$163),""))</f>
        <v/>
      </c>
      <c r="AA361" s="10"/>
      <c r="AB361" s="8" t="str">
        <f t="shared" si="62"/>
        <v/>
      </c>
      <c r="AC361" s="8" t="str">
        <f>IF(A361="","",IF(A361="止损计划",IF(OR(B361="",D361="",E361="",F361="",G361=""),"计划不完整",IF(OR(D361&lt;1,D361&lt;&gt;INT(D361)),"阶段序号无效",IF(COUNTIFS($A$2:$A$497,"止损计划",$B$2:$B$497,B361,$D$2:$D$497,D361)&gt;1,"阶段序号重复",IF(E361&lt;=IFERROR(LOOKUP(2,1/(单次交易!$A$2:$A$163=B361),单次交易!$E$2:$E$163),0),"激活价须高于买入价",IF(F361&lt;N361,"止损价不得低于初始止损",IF(F361&gt;E361,"止损价不得高于激活价",IF(AND(COUNTIFS($A$2:$A$497,"止损计划",$B$2:$B$497,B361,$D$2:$D$497,"&lt;"&amp;D361)&gt;0,OR(E361&lt;=SUMPRODUCT(MAX((($A$2:$A$497="止损计划")*($B$2:$B$497=B361)*($D$2:$D$497&lt;D361))*$E$2:$E$497)),F361&lt;SUMPRODUCT(MAX((($A$2:$A$497="止损计划")*($B$2:$B$497=B361)*($D$2:$D$497&lt;D361))*$F$2:$F$497)))),"阶段价格必须逐级提高","计划有效"))))))),IF(A361="每日跟踪",IF(OR(B361="",H361="",I361="",J361=""),"每日数据不完整",IF(COUNTIFS($A$2:$A$497,"每日跟踪",$B$2:$B$497,B361,$H$2:$H$497,H361)&gt;1,"同一交易日期重复",IF(AND(R361&lt;&gt;"",R361&lt;S361),"人工止损无效：不能下调","跟踪有效"))),"记录类型无效")))</f>
        <v/>
      </c>
    </row>
    <row r="362" ht="17" spans="1:29">
      <c r="A362" s="2"/>
      <c r="B362" s="2"/>
      <c r="C362" s="8" t="str">
        <f>IF(B362="","",IFERROR(LOOKUP(2,1/(单次交易!$A$2:$A$163=B362),单次交易!$B$2:$B$163),""))</f>
        <v/>
      </c>
      <c r="D362" s="12"/>
      <c r="E362" s="10"/>
      <c r="F362" s="10"/>
      <c r="G362" s="2"/>
      <c r="H362" s="15"/>
      <c r="I362" s="10"/>
      <c r="J362" s="12"/>
      <c r="K362" s="2"/>
      <c r="L362" s="2"/>
      <c r="M362" s="2"/>
      <c r="N362" s="5" t="str">
        <f>IF(B362="","",IFERROR(LOOKUP(2,1/(单次交易!$A$2:$A$163=B362),单次交易!$N$2:$N$163),""))</f>
        <v/>
      </c>
      <c r="O362" s="5" t="str">
        <f t="shared" si="54"/>
        <v/>
      </c>
      <c r="P362" s="11" t="str">
        <f t="shared" si="55"/>
        <v/>
      </c>
      <c r="Q362" s="5" t="str">
        <f t="shared" si="56"/>
        <v/>
      </c>
      <c r="R362" s="10"/>
      <c r="S362" s="5" t="str">
        <f t="shared" si="57"/>
        <v/>
      </c>
      <c r="T362" s="5" t="str">
        <f t="shared" si="58"/>
        <v/>
      </c>
      <c r="U362" s="5" t="str">
        <f t="shared" si="59"/>
        <v/>
      </c>
      <c r="V362" s="7" t="str">
        <f t="shared" si="60"/>
        <v/>
      </c>
      <c r="W362" s="8" t="str">
        <f t="shared" si="61"/>
        <v/>
      </c>
      <c r="X362" s="2"/>
      <c r="Y362" s="10"/>
      <c r="Z362" s="11" t="str">
        <f>IF(X362&lt;&gt;"执行卖出","",IFERROR(LOOKUP(2,1/(单次交易!$A$2:$A$163=B362),单次交易!$AP$2:$AP$163),""))</f>
        <v/>
      </c>
      <c r="AA362" s="10"/>
      <c r="AB362" s="8" t="str">
        <f t="shared" si="62"/>
        <v/>
      </c>
      <c r="AC362" s="8" t="str">
        <f>IF(A362="","",IF(A362="止损计划",IF(OR(B362="",D362="",E362="",F362="",G362=""),"计划不完整",IF(OR(D362&lt;1,D362&lt;&gt;INT(D362)),"阶段序号无效",IF(COUNTIFS($A$2:$A$497,"止损计划",$B$2:$B$497,B362,$D$2:$D$497,D362)&gt;1,"阶段序号重复",IF(E362&lt;=IFERROR(LOOKUP(2,1/(单次交易!$A$2:$A$163=B362),单次交易!$E$2:$E$163),0),"激活价须高于买入价",IF(F362&lt;N362,"止损价不得低于初始止损",IF(F362&gt;E362,"止损价不得高于激活价",IF(AND(COUNTIFS($A$2:$A$497,"止损计划",$B$2:$B$497,B362,$D$2:$D$497,"&lt;"&amp;D362)&gt;0,OR(E362&lt;=SUMPRODUCT(MAX((($A$2:$A$497="止损计划")*($B$2:$B$497=B362)*($D$2:$D$497&lt;D362))*$E$2:$E$497)),F362&lt;SUMPRODUCT(MAX((($A$2:$A$497="止损计划")*($B$2:$B$497=B362)*($D$2:$D$497&lt;D362))*$F$2:$F$497)))),"阶段价格必须逐级提高","计划有效"))))))),IF(A362="每日跟踪",IF(OR(B362="",H362="",I362="",J362=""),"每日数据不完整",IF(COUNTIFS($A$2:$A$497,"每日跟踪",$B$2:$B$497,B362,$H$2:$H$497,H362)&gt;1,"同一交易日期重复",IF(AND(R362&lt;&gt;"",R362&lt;S362),"人工止损无效：不能下调","跟踪有效"))),"记录类型无效")))</f>
        <v/>
      </c>
    </row>
    <row r="363" ht="17" spans="1:29">
      <c r="A363" s="2"/>
      <c r="B363" s="2"/>
      <c r="C363" s="8" t="str">
        <f>IF(B363="","",IFERROR(LOOKUP(2,1/(单次交易!$A$2:$A$163=B363),单次交易!$B$2:$B$163),""))</f>
        <v/>
      </c>
      <c r="D363" s="12"/>
      <c r="E363" s="10"/>
      <c r="F363" s="10"/>
      <c r="G363" s="2"/>
      <c r="H363" s="15"/>
      <c r="I363" s="10"/>
      <c r="J363" s="12"/>
      <c r="K363" s="2"/>
      <c r="L363" s="2"/>
      <c r="M363" s="2"/>
      <c r="N363" s="5" t="str">
        <f>IF(B363="","",IFERROR(LOOKUP(2,1/(单次交易!$A$2:$A$163=B363),单次交易!$N$2:$N$163),""))</f>
        <v/>
      </c>
      <c r="O363" s="5" t="str">
        <f t="shared" si="54"/>
        <v/>
      </c>
      <c r="P363" s="11" t="str">
        <f t="shared" si="55"/>
        <v/>
      </c>
      <c r="Q363" s="5" t="str">
        <f t="shared" si="56"/>
        <v/>
      </c>
      <c r="R363" s="10"/>
      <c r="S363" s="5" t="str">
        <f t="shared" si="57"/>
        <v/>
      </c>
      <c r="T363" s="5" t="str">
        <f t="shared" si="58"/>
        <v/>
      </c>
      <c r="U363" s="5" t="str">
        <f t="shared" si="59"/>
        <v/>
      </c>
      <c r="V363" s="7" t="str">
        <f t="shared" si="60"/>
        <v/>
      </c>
      <c r="W363" s="8" t="str">
        <f t="shared" si="61"/>
        <v/>
      </c>
      <c r="X363" s="2"/>
      <c r="Y363" s="10"/>
      <c r="Z363" s="11" t="str">
        <f>IF(X363&lt;&gt;"执行卖出","",IFERROR(LOOKUP(2,1/(单次交易!$A$2:$A$163=B363),单次交易!$AP$2:$AP$163),""))</f>
        <v/>
      </c>
      <c r="AA363" s="10"/>
      <c r="AB363" s="8" t="str">
        <f t="shared" si="62"/>
        <v/>
      </c>
      <c r="AC363" s="8" t="str">
        <f>IF(A363="","",IF(A363="止损计划",IF(OR(B363="",D363="",E363="",F363="",G363=""),"计划不完整",IF(OR(D363&lt;1,D363&lt;&gt;INT(D363)),"阶段序号无效",IF(COUNTIFS($A$2:$A$497,"止损计划",$B$2:$B$497,B363,$D$2:$D$497,D363)&gt;1,"阶段序号重复",IF(E363&lt;=IFERROR(LOOKUP(2,1/(单次交易!$A$2:$A$163=B363),单次交易!$E$2:$E$163),0),"激活价须高于买入价",IF(F363&lt;N363,"止损价不得低于初始止损",IF(F363&gt;E363,"止损价不得高于激活价",IF(AND(COUNTIFS($A$2:$A$497,"止损计划",$B$2:$B$497,B363,$D$2:$D$497,"&lt;"&amp;D363)&gt;0,OR(E363&lt;=SUMPRODUCT(MAX((($A$2:$A$497="止损计划")*($B$2:$B$497=B363)*($D$2:$D$497&lt;D363))*$E$2:$E$497)),F363&lt;SUMPRODUCT(MAX((($A$2:$A$497="止损计划")*($B$2:$B$497=B363)*($D$2:$D$497&lt;D363))*$F$2:$F$497)))),"阶段价格必须逐级提高","计划有效"))))))),IF(A363="每日跟踪",IF(OR(B363="",H363="",I363="",J363=""),"每日数据不完整",IF(COUNTIFS($A$2:$A$497,"每日跟踪",$B$2:$B$497,B363,$H$2:$H$497,H363)&gt;1,"同一交易日期重复",IF(AND(R363&lt;&gt;"",R363&lt;S363),"人工止损无效：不能下调","跟踪有效"))),"记录类型无效")))</f>
        <v/>
      </c>
    </row>
    <row r="364" ht="17" spans="1:29">
      <c r="A364" s="2"/>
      <c r="B364" s="2"/>
      <c r="C364" s="8" t="str">
        <f>IF(B364="","",IFERROR(LOOKUP(2,1/(单次交易!$A$2:$A$163=B364),单次交易!$B$2:$B$163),""))</f>
        <v/>
      </c>
      <c r="D364" s="12"/>
      <c r="E364" s="10"/>
      <c r="F364" s="10"/>
      <c r="G364" s="2"/>
      <c r="H364" s="15"/>
      <c r="I364" s="10"/>
      <c r="J364" s="12"/>
      <c r="K364" s="2"/>
      <c r="L364" s="2"/>
      <c r="M364" s="2"/>
      <c r="N364" s="5" t="str">
        <f>IF(B364="","",IFERROR(LOOKUP(2,1/(单次交易!$A$2:$A$163=B364),单次交易!$N$2:$N$163),""))</f>
        <v/>
      </c>
      <c r="O364" s="5" t="str">
        <f t="shared" si="54"/>
        <v/>
      </c>
      <c r="P364" s="11" t="str">
        <f t="shared" si="55"/>
        <v/>
      </c>
      <c r="Q364" s="5" t="str">
        <f t="shared" si="56"/>
        <v/>
      </c>
      <c r="R364" s="10"/>
      <c r="S364" s="5" t="str">
        <f t="shared" si="57"/>
        <v/>
      </c>
      <c r="T364" s="5" t="str">
        <f t="shared" si="58"/>
        <v/>
      </c>
      <c r="U364" s="5" t="str">
        <f t="shared" si="59"/>
        <v/>
      </c>
      <c r="V364" s="7" t="str">
        <f t="shared" si="60"/>
        <v/>
      </c>
      <c r="W364" s="8" t="str">
        <f t="shared" si="61"/>
        <v/>
      </c>
      <c r="X364" s="2"/>
      <c r="Y364" s="10"/>
      <c r="Z364" s="11" t="str">
        <f>IF(X364&lt;&gt;"执行卖出","",IFERROR(LOOKUP(2,1/(单次交易!$A$2:$A$163=B364),单次交易!$AP$2:$AP$163),""))</f>
        <v/>
      </c>
      <c r="AA364" s="10"/>
      <c r="AB364" s="8" t="str">
        <f t="shared" si="62"/>
        <v/>
      </c>
      <c r="AC364" s="8" t="str">
        <f>IF(A364="","",IF(A364="止损计划",IF(OR(B364="",D364="",E364="",F364="",G364=""),"计划不完整",IF(OR(D364&lt;1,D364&lt;&gt;INT(D364)),"阶段序号无效",IF(COUNTIFS($A$2:$A$497,"止损计划",$B$2:$B$497,B364,$D$2:$D$497,D364)&gt;1,"阶段序号重复",IF(E364&lt;=IFERROR(LOOKUP(2,1/(单次交易!$A$2:$A$163=B364),单次交易!$E$2:$E$163),0),"激活价须高于买入价",IF(F364&lt;N364,"止损价不得低于初始止损",IF(F364&gt;E364,"止损价不得高于激活价",IF(AND(COUNTIFS($A$2:$A$497,"止损计划",$B$2:$B$497,B364,$D$2:$D$497,"&lt;"&amp;D364)&gt;0,OR(E364&lt;=SUMPRODUCT(MAX((($A$2:$A$497="止损计划")*($B$2:$B$497=B364)*($D$2:$D$497&lt;D364))*$E$2:$E$497)),F364&lt;SUMPRODUCT(MAX((($A$2:$A$497="止损计划")*($B$2:$B$497=B364)*($D$2:$D$497&lt;D364))*$F$2:$F$497)))),"阶段价格必须逐级提高","计划有效"))))))),IF(A364="每日跟踪",IF(OR(B364="",H364="",I364="",J364=""),"每日数据不完整",IF(COUNTIFS($A$2:$A$497,"每日跟踪",$B$2:$B$497,B364,$H$2:$H$497,H364)&gt;1,"同一交易日期重复",IF(AND(R364&lt;&gt;"",R364&lt;S364),"人工止损无效：不能下调","跟踪有效"))),"记录类型无效")))</f>
        <v/>
      </c>
    </row>
    <row r="365" ht="17" spans="1:29">
      <c r="A365" s="2"/>
      <c r="B365" s="2"/>
      <c r="C365" s="8" t="str">
        <f>IF(B365="","",IFERROR(LOOKUP(2,1/(单次交易!$A$2:$A$163=B365),单次交易!$B$2:$B$163),""))</f>
        <v/>
      </c>
      <c r="D365" s="12"/>
      <c r="E365" s="10"/>
      <c r="F365" s="10"/>
      <c r="G365" s="2"/>
      <c r="H365" s="15"/>
      <c r="I365" s="10"/>
      <c r="J365" s="12"/>
      <c r="K365" s="2"/>
      <c r="L365" s="2"/>
      <c r="M365" s="2"/>
      <c r="N365" s="5" t="str">
        <f>IF(B365="","",IFERROR(LOOKUP(2,1/(单次交易!$A$2:$A$163=B365),单次交易!$N$2:$N$163),""))</f>
        <v/>
      </c>
      <c r="O365" s="5" t="str">
        <f t="shared" si="54"/>
        <v/>
      </c>
      <c r="P365" s="11" t="str">
        <f t="shared" si="55"/>
        <v/>
      </c>
      <c r="Q365" s="5" t="str">
        <f t="shared" si="56"/>
        <v/>
      </c>
      <c r="R365" s="10"/>
      <c r="S365" s="5" t="str">
        <f t="shared" si="57"/>
        <v/>
      </c>
      <c r="T365" s="5" t="str">
        <f t="shared" si="58"/>
        <v/>
      </c>
      <c r="U365" s="5" t="str">
        <f t="shared" si="59"/>
        <v/>
      </c>
      <c r="V365" s="7" t="str">
        <f t="shared" si="60"/>
        <v/>
      </c>
      <c r="W365" s="8" t="str">
        <f t="shared" si="61"/>
        <v/>
      </c>
      <c r="X365" s="2"/>
      <c r="Y365" s="10"/>
      <c r="Z365" s="11" t="str">
        <f>IF(X365&lt;&gt;"执行卖出","",IFERROR(LOOKUP(2,1/(单次交易!$A$2:$A$163=B365),单次交易!$AP$2:$AP$163),""))</f>
        <v/>
      </c>
      <c r="AA365" s="10"/>
      <c r="AB365" s="8" t="str">
        <f t="shared" si="62"/>
        <v/>
      </c>
      <c r="AC365" s="8" t="str">
        <f>IF(A365="","",IF(A365="止损计划",IF(OR(B365="",D365="",E365="",F365="",G365=""),"计划不完整",IF(OR(D365&lt;1,D365&lt;&gt;INT(D365)),"阶段序号无效",IF(COUNTIFS($A$2:$A$497,"止损计划",$B$2:$B$497,B365,$D$2:$D$497,D365)&gt;1,"阶段序号重复",IF(E365&lt;=IFERROR(LOOKUP(2,1/(单次交易!$A$2:$A$163=B365),单次交易!$E$2:$E$163),0),"激活价须高于买入价",IF(F365&lt;N365,"止损价不得低于初始止损",IF(F365&gt;E365,"止损价不得高于激活价",IF(AND(COUNTIFS($A$2:$A$497,"止损计划",$B$2:$B$497,B365,$D$2:$D$497,"&lt;"&amp;D365)&gt;0,OR(E365&lt;=SUMPRODUCT(MAX((($A$2:$A$497="止损计划")*($B$2:$B$497=B365)*($D$2:$D$497&lt;D365))*$E$2:$E$497)),F365&lt;SUMPRODUCT(MAX((($A$2:$A$497="止损计划")*($B$2:$B$497=B365)*($D$2:$D$497&lt;D365))*$F$2:$F$497)))),"阶段价格必须逐级提高","计划有效"))))))),IF(A365="每日跟踪",IF(OR(B365="",H365="",I365="",J365=""),"每日数据不完整",IF(COUNTIFS($A$2:$A$497,"每日跟踪",$B$2:$B$497,B365,$H$2:$H$497,H365)&gt;1,"同一交易日期重复",IF(AND(R365&lt;&gt;"",R365&lt;S365),"人工止损无效：不能下调","跟踪有效"))),"记录类型无效")))</f>
        <v/>
      </c>
    </row>
    <row r="366" ht="17" spans="1:29">
      <c r="A366" s="2"/>
      <c r="B366" s="2"/>
      <c r="C366" s="8" t="str">
        <f>IF(B366="","",IFERROR(LOOKUP(2,1/(单次交易!$A$2:$A$163=B366),单次交易!$B$2:$B$163),""))</f>
        <v/>
      </c>
      <c r="D366" s="12"/>
      <c r="E366" s="10"/>
      <c r="F366" s="10"/>
      <c r="G366" s="2"/>
      <c r="H366" s="15"/>
      <c r="I366" s="10"/>
      <c r="J366" s="12"/>
      <c r="K366" s="2"/>
      <c r="L366" s="2"/>
      <c r="M366" s="2"/>
      <c r="N366" s="5" t="str">
        <f>IF(B366="","",IFERROR(LOOKUP(2,1/(单次交易!$A$2:$A$163=B366),单次交易!$N$2:$N$163),""))</f>
        <v/>
      </c>
      <c r="O366" s="5" t="str">
        <f t="shared" si="54"/>
        <v/>
      </c>
      <c r="P366" s="11" t="str">
        <f t="shared" si="55"/>
        <v/>
      </c>
      <c r="Q366" s="5" t="str">
        <f t="shared" si="56"/>
        <v/>
      </c>
      <c r="R366" s="10"/>
      <c r="S366" s="5" t="str">
        <f t="shared" si="57"/>
        <v/>
      </c>
      <c r="T366" s="5" t="str">
        <f t="shared" si="58"/>
        <v/>
      </c>
      <c r="U366" s="5" t="str">
        <f t="shared" si="59"/>
        <v/>
      </c>
      <c r="V366" s="7" t="str">
        <f t="shared" si="60"/>
        <v/>
      </c>
      <c r="W366" s="8" t="str">
        <f t="shared" si="61"/>
        <v/>
      </c>
      <c r="X366" s="2"/>
      <c r="Y366" s="10"/>
      <c r="Z366" s="11" t="str">
        <f>IF(X366&lt;&gt;"执行卖出","",IFERROR(LOOKUP(2,1/(单次交易!$A$2:$A$163=B366),单次交易!$AP$2:$AP$163),""))</f>
        <v/>
      </c>
      <c r="AA366" s="10"/>
      <c r="AB366" s="8" t="str">
        <f t="shared" si="62"/>
        <v/>
      </c>
      <c r="AC366" s="8" t="str">
        <f>IF(A366="","",IF(A366="止损计划",IF(OR(B366="",D366="",E366="",F366="",G366=""),"计划不完整",IF(OR(D366&lt;1,D366&lt;&gt;INT(D366)),"阶段序号无效",IF(COUNTIFS($A$2:$A$497,"止损计划",$B$2:$B$497,B366,$D$2:$D$497,D366)&gt;1,"阶段序号重复",IF(E366&lt;=IFERROR(LOOKUP(2,1/(单次交易!$A$2:$A$163=B366),单次交易!$E$2:$E$163),0),"激活价须高于买入价",IF(F366&lt;N366,"止损价不得低于初始止损",IF(F366&gt;E366,"止损价不得高于激活价",IF(AND(COUNTIFS($A$2:$A$497,"止损计划",$B$2:$B$497,B366,$D$2:$D$497,"&lt;"&amp;D366)&gt;0,OR(E366&lt;=SUMPRODUCT(MAX((($A$2:$A$497="止损计划")*($B$2:$B$497=B366)*($D$2:$D$497&lt;D366))*$E$2:$E$497)),F366&lt;SUMPRODUCT(MAX((($A$2:$A$497="止损计划")*($B$2:$B$497=B366)*($D$2:$D$497&lt;D366))*$F$2:$F$497)))),"阶段价格必须逐级提高","计划有效"))))))),IF(A366="每日跟踪",IF(OR(B366="",H366="",I366="",J366=""),"每日数据不完整",IF(COUNTIFS($A$2:$A$497,"每日跟踪",$B$2:$B$497,B366,$H$2:$H$497,H366)&gt;1,"同一交易日期重复",IF(AND(R366&lt;&gt;"",R366&lt;S366),"人工止损无效：不能下调","跟踪有效"))),"记录类型无效")))</f>
        <v/>
      </c>
    </row>
    <row r="367" ht="17" spans="1:29">
      <c r="A367" s="2"/>
      <c r="B367" s="2"/>
      <c r="C367" s="8" t="str">
        <f>IF(B367="","",IFERROR(LOOKUP(2,1/(单次交易!$A$2:$A$163=B367),单次交易!$B$2:$B$163),""))</f>
        <v/>
      </c>
      <c r="D367" s="12"/>
      <c r="E367" s="10"/>
      <c r="F367" s="10"/>
      <c r="G367" s="2"/>
      <c r="H367" s="15"/>
      <c r="I367" s="10"/>
      <c r="J367" s="12"/>
      <c r="K367" s="2"/>
      <c r="L367" s="2"/>
      <c r="M367" s="2"/>
      <c r="N367" s="5" t="str">
        <f>IF(B367="","",IFERROR(LOOKUP(2,1/(单次交易!$A$2:$A$163=B367),单次交易!$N$2:$N$163),""))</f>
        <v/>
      </c>
      <c r="O367" s="5" t="str">
        <f t="shared" si="54"/>
        <v/>
      </c>
      <c r="P367" s="11" t="str">
        <f t="shared" si="55"/>
        <v/>
      </c>
      <c r="Q367" s="5" t="str">
        <f t="shared" si="56"/>
        <v/>
      </c>
      <c r="R367" s="10"/>
      <c r="S367" s="5" t="str">
        <f t="shared" si="57"/>
        <v/>
      </c>
      <c r="T367" s="5" t="str">
        <f t="shared" si="58"/>
        <v/>
      </c>
      <c r="U367" s="5" t="str">
        <f t="shared" si="59"/>
        <v/>
      </c>
      <c r="V367" s="7" t="str">
        <f t="shared" si="60"/>
        <v/>
      </c>
      <c r="W367" s="8" t="str">
        <f t="shared" si="61"/>
        <v/>
      </c>
      <c r="X367" s="2"/>
      <c r="Y367" s="10"/>
      <c r="Z367" s="11" t="str">
        <f>IF(X367&lt;&gt;"执行卖出","",IFERROR(LOOKUP(2,1/(单次交易!$A$2:$A$163=B367),单次交易!$AP$2:$AP$163),""))</f>
        <v/>
      </c>
      <c r="AA367" s="10"/>
      <c r="AB367" s="8" t="str">
        <f t="shared" si="62"/>
        <v/>
      </c>
      <c r="AC367" s="8" t="str">
        <f>IF(A367="","",IF(A367="止损计划",IF(OR(B367="",D367="",E367="",F367="",G367=""),"计划不完整",IF(OR(D367&lt;1,D367&lt;&gt;INT(D367)),"阶段序号无效",IF(COUNTIFS($A$2:$A$497,"止损计划",$B$2:$B$497,B367,$D$2:$D$497,D367)&gt;1,"阶段序号重复",IF(E367&lt;=IFERROR(LOOKUP(2,1/(单次交易!$A$2:$A$163=B367),单次交易!$E$2:$E$163),0),"激活价须高于买入价",IF(F367&lt;N367,"止损价不得低于初始止损",IF(F367&gt;E367,"止损价不得高于激活价",IF(AND(COUNTIFS($A$2:$A$497,"止损计划",$B$2:$B$497,B367,$D$2:$D$497,"&lt;"&amp;D367)&gt;0,OR(E367&lt;=SUMPRODUCT(MAX((($A$2:$A$497="止损计划")*($B$2:$B$497=B367)*($D$2:$D$497&lt;D367))*$E$2:$E$497)),F367&lt;SUMPRODUCT(MAX((($A$2:$A$497="止损计划")*($B$2:$B$497=B367)*($D$2:$D$497&lt;D367))*$F$2:$F$497)))),"阶段价格必须逐级提高","计划有效"))))))),IF(A367="每日跟踪",IF(OR(B367="",H367="",I367="",J367=""),"每日数据不完整",IF(COUNTIFS($A$2:$A$497,"每日跟踪",$B$2:$B$497,B367,$H$2:$H$497,H367)&gt;1,"同一交易日期重复",IF(AND(R367&lt;&gt;"",R367&lt;S367),"人工止损无效：不能下调","跟踪有效"))),"记录类型无效")))</f>
        <v/>
      </c>
    </row>
    <row r="368" ht="17" spans="1:29">
      <c r="A368" s="2"/>
      <c r="B368" s="2"/>
      <c r="C368" s="8" t="str">
        <f>IF(B368="","",IFERROR(LOOKUP(2,1/(单次交易!$A$2:$A$163=B368),单次交易!$B$2:$B$163),""))</f>
        <v/>
      </c>
      <c r="D368" s="12"/>
      <c r="E368" s="10"/>
      <c r="F368" s="10"/>
      <c r="G368" s="2"/>
      <c r="H368" s="15"/>
      <c r="I368" s="10"/>
      <c r="J368" s="12"/>
      <c r="K368" s="2"/>
      <c r="L368" s="2"/>
      <c r="M368" s="2"/>
      <c r="N368" s="5" t="str">
        <f>IF(B368="","",IFERROR(LOOKUP(2,1/(单次交易!$A$2:$A$163=B368),单次交易!$N$2:$N$163),""))</f>
        <v/>
      </c>
      <c r="O368" s="5" t="str">
        <f t="shared" si="54"/>
        <v/>
      </c>
      <c r="P368" s="11" t="str">
        <f t="shared" si="55"/>
        <v/>
      </c>
      <c r="Q368" s="5" t="str">
        <f t="shared" si="56"/>
        <v/>
      </c>
      <c r="R368" s="10"/>
      <c r="S368" s="5" t="str">
        <f t="shared" si="57"/>
        <v/>
      </c>
      <c r="T368" s="5" t="str">
        <f t="shared" si="58"/>
        <v/>
      </c>
      <c r="U368" s="5" t="str">
        <f t="shared" si="59"/>
        <v/>
      </c>
      <c r="V368" s="7" t="str">
        <f t="shared" si="60"/>
        <v/>
      </c>
      <c r="W368" s="8" t="str">
        <f t="shared" si="61"/>
        <v/>
      </c>
      <c r="X368" s="2"/>
      <c r="Y368" s="10"/>
      <c r="Z368" s="11" t="str">
        <f>IF(X368&lt;&gt;"执行卖出","",IFERROR(LOOKUP(2,1/(单次交易!$A$2:$A$163=B368),单次交易!$AP$2:$AP$163),""))</f>
        <v/>
      </c>
      <c r="AA368" s="10"/>
      <c r="AB368" s="8" t="str">
        <f t="shared" si="62"/>
        <v/>
      </c>
      <c r="AC368" s="8" t="str">
        <f>IF(A368="","",IF(A368="止损计划",IF(OR(B368="",D368="",E368="",F368="",G368=""),"计划不完整",IF(OR(D368&lt;1,D368&lt;&gt;INT(D368)),"阶段序号无效",IF(COUNTIFS($A$2:$A$497,"止损计划",$B$2:$B$497,B368,$D$2:$D$497,D368)&gt;1,"阶段序号重复",IF(E368&lt;=IFERROR(LOOKUP(2,1/(单次交易!$A$2:$A$163=B368),单次交易!$E$2:$E$163),0),"激活价须高于买入价",IF(F368&lt;N368,"止损价不得低于初始止损",IF(F368&gt;E368,"止损价不得高于激活价",IF(AND(COUNTIFS($A$2:$A$497,"止损计划",$B$2:$B$497,B368,$D$2:$D$497,"&lt;"&amp;D368)&gt;0,OR(E368&lt;=SUMPRODUCT(MAX((($A$2:$A$497="止损计划")*($B$2:$B$497=B368)*($D$2:$D$497&lt;D368))*$E$2:$E$497)),F368&lt;SUMPRODUCT(MAX((($A$2:$A$497="止损计划")*($B$2:$B$497=B368)*($D$2:$D$497&lt;D368))*$F$2:$F$497)))),"阶段价格必须逐级提高","计划有效"))))))),IF(A368="每日跟踪",IF(OR(B368="",H368="",I368="",J368=""),"每日数据不完整",IF(COUNTIFS($A$2:$A$497,"每日跟踪",$B$2:$B$497,B368,$H$2:$H$497,H368)&gt;1,"同一交易日期重复",IF(AND(R368&lt;&gt;"",R368&lt;S368),"人工止损无效：不能下调","跟踪有效"))),"记录类型无效")))</f>
        <v/>
      </c>
    </row>
    <row r="369" ht="17" spans="1:29">
      <c r="A369" s="2"/>
      <c r="B369" s="2"/>
      <c r="C369" s="8" t="str">
        <f>IF(B369="","",IFERROR(LOOKUP(2,1/(单次交易!$A$2:$A$163=B369),单次交易!$B$2:$B$163),""))</f>
        <v/>
      </c>
      <c r="D369" s="12"/>
      <c r="E369" s="10"/>
      <c r="F369" s="10"/>
      <c r="G369" s="2"/>
      <c r="H369" s="15"/>
      <c r="I369" s="10"/>
      <c r="J369" s="12"/>
      <c r="K369" s="2"/>
      <c r="L369" s="2"/>
      <c r="M369" s="2"/>
      <c r="N369" s="5" t="str">
        <f>IF(B369="","",IFERROR(LOOKUP(2,1/(单次交易!$A$2:$A$163=B369),单次交易!$N$2:$N$163),""))</f>
        <v/>
      </c>
      <c r="O369" s="5" t="str">
        <f t="shared" si="54"/>
        <v/>
      </c>
      <c r="P369" s="11" t="str">
        <f t="shared" si="55"/>
        <v/>
      </c>
      <c r="Q369" s="5" t="str">
        <f t="shared" si="56"/>
        <v/>
      </c>
      <c r="R369" s="10"/>
      <c r="S369" s="5" t="str">
        <f t="shared" si="57"/>
        <v/>
      </c>
      <c r="T369" s="5" t="str">
        <f t="shared" si="58"/>
        <v/>
      </c>
      <c r="U369" s="5" t="str">
        <f t="shared" si="59"/>
        <v/>
      </c>
      <c r="V369" s="7" t="str">
        <f t="shared" si="60"/>
        <v/>
      </c>
      <c r="W369" s="8" t="str">
        <f t="shared" si="61"/>
        <v/>
      </c>
      <c r="X369" s="2"/>
      <c r="Y369" s="10"/>
      <c r="Z369" s="11" t="str">
        <f>IF(X369&lt;&gt;"执行卖出","",IFERROR(LOOKUP(2,1/(单次交易!$A$2:$A$163=B369),单次交易!$AP$2:$AP$163),""))</f>
        <v/>
      </c>
      <c r="AA369" s="10"/>
      <c r="AB369" s="8" t="str">
        <f t="shared" si="62"/>
        <v/>
      </c>
      <c r="AC369" s="8" t="str">
        <f>IF(A369="","",IF(A369="止损计划",IF(OR(B369="",D369="",E369="",F369="",G369=""),"计划不完整",IF(OR(D369&lt;1,D369&lt;&gt;INT(D369)),"阶段序号无效",IF(COUNTIFS($A$2:$A$497,"止损计划",$B$2:$B$497,B369,$D$2:$D$497,D369)&gt;1,"阶段序号重复",IF(E369&lt;=IFERROR(LOOKUP(2,1/(单次交易!$A$2:$A$163=B369),单次交易!$E$2:$E$163),0),"激活价须高于买入价",IF(F369&lt;N369,"止损价不得低于初始止损",IF(F369&gt;E369,"止损价不得高于激活价",IF(AND(COUNTIFS($A$2:$A$497,"止损计划",$B$2:$B$497,B369,$D$2:$D$497,"&lt;"&amp;D369)&gt;0,OR(E369&lt;=SUMPRODUCT(MAX((($A$2:$A$497="止损计划")*($B$2:$B$497=B369)*($D$2:$D$497&lt;D369))*$E$2:$E$497)),F369&lt;SUMPRODUCT(MAX((($A$2:$A$497="止损计划")*($B$2:$B$497=B369)*($D$2:$D$497&lt;D369))*$F$2:$F$497)))),"阶段价格必须逐级提高","计划有效"))))))),IF(A369="每日跟踪",IF(OR(B369="",H369="",I369="",J369=""),"每日数据不完整",IF(COUNTIFS($A$2:$A$497,"每日跟踪",$B$2:$B$497,B369,$H$2:$H$497,H369)&gt;1,"同一交易日期重复",IF(AND(R369&lt;&gt;"",R369&lt;S369),"人工止损无效：不能下调","跟踪有效"))),"记录类型无效")))</f>
        <v/>
      </c>
    </row>
    <row r="370" ht="17" spans="1:29">
      <c r="A370" s="2"/>
      <c r="B370" s="2"/>
      <c r="C370" s="8" t="str">
        <f>IF(B370="","",IFERROR(LOOKUP(2,1/(单次交易!$A$2:$A$163=B370),单次交易!$B$2:$B$163),""))</f>
        <v/>
      </c>
      <c r="D370" s="12"/>
      <c r="E370" s="10"/>
      <c r="F370" s="10"/>
      <c r="G370" s="2"/>
      <c r="H370" s="15"/>
      <c r="I370" s="10"/>
      <c r="J370" s="12"/>
      <c r="K370" s="2"/>
      <c r="L370" s="2"/>
      <c r="M370" s="2"/>
      <c r="N370" s="5" t="str">
        <f>IF(B370="","",IFERROR(LOOKUP(2,1/(单次交易!$A$2:$A$163=B370),单次交易!$N$2:$N$163),""))</f>
        <v/>
      </c>
      <c r="O370" s="5" t="str">
        <f t="shared" si="54"/>
        <v/>
      </c>
      <c r="P370" s="11" t="str">
        <f t="shared" si="55"/>
        <v/>
      </c>
      <c r="Q370" s="5" t="str">
        <f t="shared" si="56"/>
        <v/>
      </c>
      <c r="R370" s="10"/>
      <c r="S370" s="5" t="str">
        <f t="shared" si="57"/>
        <v/>
      </c>
      <c r="T370" s="5" t="str">
        <f t="shared" si="58"/>
        <v/>
      </c>
      <c r="U370" s="5" t="str">
        <f t="shared" si="59"/>
        <v/>
      </c>
      <c r="V370" s="7" t="str">
        <f t="shared" si="60"/>
        <v/>
      </c>
      <c r="W370" s="8" t="str">
        <f t="shared" si="61"/>
        <v/>
      </c>
      <c r="X370" s="2"/>
      <c r="Y370" s="10"/>
      <c r="Z370" s="11" t="str">
        <f>IF(X370&lt;&gt;"执行卖出","",IFERROR(LOOKUP(2,1/(单次交易!$A$2:$A$163=B370),单次交易!$AP$2:$AP$163),""))</f>
        <v/>
      </c>
      <c r="AA370" s="10"/>
      <c r="AB370" s="8" t="str">
        <f t="shared" si="62"/>
        <v/>
      </c>
      <c r="AC370" s="8" t="str">
        <f>IF(A370="","",IF(A370="止损计划",IF(OR(B370="",D370="",E370="",F370="",G370=""),"计划不完整",IF(OR(D370&lt;1,D370&lt;&gt;INT(D370)),"阶段序号无效",IF(COUNTIFS($A$2:$A$497,"止损计划",$B$2:$B$497,B370,$D$2:$D$497,D370)&gt;1,"阶段序号重复",IF(E370&lt;=IFERROR(LOOKUP(2,1/(单次交易!$A$2:$A$163=B370),单次交易!$E$2:$E$163),0),"激活价须高于买入价",IF(F370&lt;N370,"止损价不得低于初始止损",IF(F370&gt;E370,"止损价不得高于激活价",IF(AND(COUNTIFS($A$2:$A$497,"止损计划",$B$2:$B$497,B370,$D$2:$D$497,"&lt;"&amp;D370)&gt;0,OR(E370&lt;=SUMPRODUCT(MAX((($A$2:$A$497="止损计划")*($B$2:$B$497=B370)*($D$2:$D$497&lt;D370))*$E$2:$E$497)),F370&lt;SUMPRODUCT(MAX((($A$2:$A$497="止损计划")*($B$2:$B$497=B370)*($D$2:$D$497&lt;D370))*$F$2:$F$497)))),"阶段价格必须逐级提高","计划有效"))))))),IF(A370="每日跟踪",IF(OR(B370="",H370="",I370="",J370=""),"每日数据不完整",IF(COUNTIFS($A$2:$A$497,"每日跟踪",$B$2:$B$497,B370,$H$2:$H$497,H370)&gt;1,"同一交易日期重复",IF(AND(R370&lt;&gt;"",R370&lt;S370),"人工止损无效：不能下调","跟踪有效"))),"记录类型无效")))</f>
        <v/>
      </c>
    </row>
    <row r="371" ht="17" spans="1:29">
      <c r="A371" s="2"/>
      <c r="B371" s="2"/>
      <c r="C371" s="8" t="str">
        <f>IF(B371="","",IFERROR(LOOKUP(2,1/(单次交易!$A$2:$A$163=B371),单次交易!$B$2:$B$163),""))</f>
        <v/>
      </c>
      <c r="D371" s="12"/>
      <c r="E371" s="10"/>
      <c r="F371" s="10"/>
      <c r="G371" s="2"/>
      <c r="H371" s="15"/>
      <c r="I371" s="10"/>
      <c r="J371" s="12"/>
      <c r="K371" s="2"/>
      <c r="L371" s="2"/>
      <c r="M371" s="2"/>
      <c r="N371" s="5" t="str">
        <f>IF(B371="","",IFERROR(LOOKUP(2,1/(单次交易!$A$2:$A$163=B371),单次交易!$N$2:$N$163),""))</f>
        <v/>
      </c>
      <c r="O371" s="5" t="str">
        <f t="shared" si="54"/>
        <v/>
      </c>
      <c r="P371" s="11" t="str">
        <f t="shared" si="55"/>
        <v/>
      </c>
      <c r="Q371" s="5" t="str">
        <f t="shared" si="56"/>
        <v/>
      </c>
      <c r="R371" s="10"/>
      <c r="S371" s="5" t="str">
        <f t="shared" si="57"/>
        <v/>
      </c>
      <c r="T371" s="5" t="str">
        <f t="shared" si="58"/>
        <v/>
      </c>
      <c r="U371" s="5" t="str">
        <f t="shared" si="59"/>
        <v/>
      </c>
      <c r="V371" s="7" t="str">
        <f t="shared" si="60"/>
        <v/>
      </c>
      <c r="W371" s="8" t="str">
        <f t="shared" si="61"/>
        <v/>
      </c>
      <c r="X371" s="2"/>
      <c r="Y371" s="10"/>
      <c r="Z371" s="11" t="str">
        <f>IF(X371&lt;&gt;"执行卖出","",IFERROR(LOOKUP(2,1/(单次交易!$A$2:$A$163=B371),单次交易!$AP$2:$AP$163),""))</f>
        <v/>
      </c>
      <c r="AA371" s="10"/>
      <c r="AB371" s="8" t="str">
        <f t="shared" si="62"/>
        <v/>
      </c>
      <c r="AC371" s="8" t="str">
        <f>IF(A371="","",IF(A371="止损计划",IF(OR(B371="",D371="",E371="",F371="",G371=""),"计划不完整",IF(OR(D371&lt;1,D371&lt;&gt;INT(D371)),"阶段序号无效",IF(COUNTIFS($A$2:$A$497,"止损计划",$B$2:$B$497,B371,$D$2:$D$497,D371)&gt;1,"阶段序号重复",IF(E371&lt;=IFERROR(LOOKUP(2,1/(单次交易!$A$2:$A$163=B371),单次交易!$E$2:$E$163),0),"激活价须高于买入价",IF(F371&lt;N371,"止损价不得低于初始止损",IF(F371&gt;E371,"止损价不得高于激活价",IF(AND(COUNTIFS($A$2:$A$497,"止损计划",$B$2:$B$497,B371,$D$2:$D$497,"&lt;"&amp;D371)&gt;0,OR(E371&lt;=SUMPRODUCT(MAX((($A$2:$A$497="止损计划")*($B$2:$B$497=B371)*($D$2:$D$497&lt;D371))*$E$2:$E$497)),F371&lt;SUMPRODUCT(MAX((($A$2:$A$497="止损计划")*($B$2:$B$497=B371)*($D$2:$D$497&lt;D371))*$F$2:$F$497)))),"阶段价格必须逐级提高","计划有效"))))))),IF(A371="每日跟踪",IF(OR(B371="",H371="",I371="",J371=""),"每日数据不完整",IF(COUNTIFS($A$2:$A$497,"每日跟踪",$B$2:$B$497,B371,$H$2:$H$497,H371)&gt;1,"同一交易日期重复",IF(AND(R371&lt;&gt;"",R371&lt;S371),"人工止损无效：不能下调","跟踪有效"))),"记录类型无效")))</f>
        <v/>
      </c>
    </row>
    <row r="372" ht="17" spans="1:29">
      <c r="A372" s="2"/>
      <c r="B372" s="2"/>
      <c r="C372" s="8" t="str">
        <f>IF(B372="","",IFERROR(LOOKUP(2,1/(单次交易!$A$2:$A$163=B372),单次交易!$B$2:$B$163),""))</f>
        <v/>
      </c>
      <c r="D372" s="12"/>
      <c r="E372" s="10"/>
      <c r="F372" s="10"/>
      <c r="G372" s="2"/>
      <c r="H372" s="15"/>
      <c r="I372" s="10"/>
      <c r="J372" s="12"/>
      <c r="K372" s="2"/>
      <c r="L372" s="2"/>
      <c r="M372" s="2"/>
      <c r="N372" s="5" t="str">
        <f>IF(B372="","",IFERROR(LOOKUP(2,1/(单次交易!$A$2:$A$163=B372),单次交易!$N$2:$N$163),""))</f>
        <v/>
      </c>
      <c r="O372" s="5" t="str">
        <f t="shared" si="54"/>
        <v/>
      </c>
      <c r="P372" s="11" t="str">
        <f t="shared" si="55"/>
        <v/>
      </c>
      <c r="Q372" s="5" t="str">
        <f t="shared" si="56"/>
        <v/>
      </c>
      <c r="R372" s="10"/>
      <c r="S372" s="5" t="str">
        <f t="shared" si="57"/>
        <v/>
      </c>
      <c r="T372" s="5" t="str">
        <f t="shared" si="58"/>
        <v/>
      </c>
      <c r="U372" s="5" t="str">
        <f t="shared" si="59"/>
        <v/>
      </c>
      <c r="V372" s="7" t="str">
        <f t="shared" si="60"/>
        <v/>
      </c>
      <c r="W372" s="8" t="str">
        <f t="shared" si="61"/>
        <v/>
      </c>
      <c r="X372" s="2"/>
      <c r="Y372" s="10"/>
      <c r="Z372" s="11" t="str">
        <f>IF(X372&lt;&gt;"执行卖出","",IFERROR(LOOKUP(2,1/(单次交易!$A$2:$A$163=B372),单次交易!$AP$2:$AP$163),""))</f>
        <v/>
      </c>
      <c r="AA372" s="10"/>
      <c r="AB372" s="8" t="str">
        <f t="shared" si="62"/>
        <v/>
      </c>
      <c r="AC372" s="8" t="str">
        <f>IF(A372="","",IF(A372="止损计划",IF(OR(B372="",D372="",E372="",F372="",G372=""),"计划不完整",IF(OR(D372&lt;1,D372&lt;&gt;INT(D372)),"阶段序号无效",IF(COUNTIFS($A$2:$A$497,"止损计划",$B$2:$B$497,B372,$D$2:$D$497,D372)&gt;1,"阶段序号重复",IF(E372&lt;=IFERROR(LOOKUP(2,1/(单次交易!$A$2:$A$163=B372),单次交易!$E$2:$E$163),0),"激活价须高于买入价",IF(F372&lt;N372,"止损价不得低于初始止损",IF(F372&gt;E372,"止损价不得高于激活价",IF(AND(COUNTIFS($A$2:$A$497,"止损计划",$B$2:$B$497,B372,$D$2:$D$497,"&lt;"&amp;D372)&gt;0,OR(E372&lt;=SUMPRODUCT(MAX((($A$2:$A$497="止损计划")*($B$2:$B$497=B372)*($D$2:$D$497&lt;D372))*$E$2:$E$497)),F372&lt;SUMPRODUCT(MAX((($A$2:$A$497="止损计划")*($B$2:$B$497=B372)*($D$2:$D$497&lt;D372))*$F$2:$F$497)))),"阶段价格必须逐级提高","计划有效"))))))),IF(A372="每日跟踪",IF(OR(B372="",H372="",I372="",J372=""),"每日数据不完整",IF(COUNTIFS($A$2:$A$497,"每日跟踪",$B$2:$B$497,B372,$H$2:$H$497,H372)&gt;1,"同一交易日期重复",IF(AND(R372&lt;&gt;"",R372&lt;S372),"人工止损无效：不能下调","跟踪有效"))),"记录类型无效")))</f>
        <v/>
      </c>
    </row>
    <row r="373" ht="17" spans="1:29">
      <c r="A373" s="2"/>
      <c r="B373" s="2"/>
      <c r="C373" s="8" t="str">
        <f>IF(B373="","",IFERROR(LOOKUP(2,1/(单次交易!$A$2:$A$163=B373),单次交易!$B$2:$B$163),""))</f>
        <v/>
      </c>
      <c r="D373" s="12"/>
      <c r="E373" s="10"/>
      <c r="F373" s="10"/>
      <c r="G373" s="2"/>
      <c r="H373" s="15"/>
      <c r="I373" s="10"/>
      <c r="J373" s="12"/>
      <c r="K373" s="2"/>
      <c r="L373" s="2"/>
      <c r="M373" s="2"/>
      <c r="N373" s="5" t="str">
        <f>IF(B373="","",IFERROR(LOOKUP(2,1/(单次交易!$A$2:$A$163=B373),单次交易!$N$2:$N$163),""))</f>
        <v/>
      </c>
      <c r="O373" s="5" t="str">
        <f t="shared" si="54"/>
        <v/>
      </c>
      <c r="P373" s="11" t="str">
        <f t="shared" si="55"/>
        <v/>
      </c>
      <c r="Q373" s="5" t="str">
        <f t="shared" si="56"/>
        <v/>
      </c>
      <c r="R373" s="10"/>
      <c r="S373" s="5" t="str">
        <f t="shared" si="57"/>
        <v/>
      </c>
      <c r="T373" s="5" t="str">
        <f t="shared" si="58"/>
        <v/>
      </c>
      <c r="U373" s="5" t="str">
        <f t="shared" si="59"/>
        <v/>
      </c>
      <c r="V373" s="7" t="str">
        <f t="shared" si="60"/>
        <v/>
      </c>
      <c r="W373" s="8" t="str">
        <f t="shared" si="61"/>
        <v/>
      </c>
      <c r="X373" s="2"/>
      <c r="Y373" s="10"/>
      <c r="Z373" s="11" t="str">
        <f>IF(X373&lt;&gt;"执行卖出","",IFERROR(LOOKUP(2,1/(单次交易!$A$2:$A$163=B373),单次交易!$AP$2:$AP$163),""))</f>
        <v/>
      </c>
      <c r="AA373" s="10"/>
      <c r="AB373" s="8" t="str">
        <f t="shared" si="62"/>
        <v/>
      </c>
      <c r="AC373" s="8" t="str">
        <f>IF(A373="","",IF(A373="止损计划",IF(OR(B373="",D373="",E373="",F373="",G373=""),"计划不完整",IF(OR(D373&lt;1,D373&lt;&gt;INT(D373)),"阶段序号无效",IF(COUNTIFS($A$2:$A$497,"止损计划",$B$2:$B$497,B373,$D$2:$D$497,D373)&gt;1,"阶段序号重复",IF(E373&lt;=IFERROR(LOOKUP(2,1/(单次交易!$A$2:$A$163=B373),单次交易!$E$2:$E$163),0),"激活价须高于买入价",IF(F373&lt;N373,"止损价不得低于初始止损",IF(F373&gt;E373,"止损价不得高于激活价",IF(AND(COUNTIFS($A$2:$A$497,"止损计划",$B$2:$B$497,B373,$D$2:$D$497,"&lt;"&amp;D373)&gt;0,OR(E373&lt;=SUMPRODUCT(MAX((($A$2:$A$497="止损计划")*($B$2:$B$497=B373)*($D$2:$D$497&lt;D373))*$E$2:$E$497)),F373&lt;SUMPRODUCT(MAX((($A$2:$A$497="止损计划")*($B$2:$B$497=B373)*($D$2:$D$497&lt;D373))*$F$2:$F$497)))),"阶段价格必须逐级提高","计划有效"))))))),IF(A373="每日跟踪",IF(OR(B373="",H373="",I373="",J373=""),"每日数据不完整",IF(COUNTIFS($A$2:$A$497,"每日跟踪",$B$2:$B$497,B373,$H$2:$H$497,H373)&gt;1,"同一交易日期重复",IF(AND(R373&lt;&gt;"",R373&lt;S373),"人工止损无效：不能下调","跟踪有效"))),"记录类型无效")))</f>
        <v/>
      </c>
    </row>
    <row r="374" ht="17" spans="1:29">
      <c r="A374" s="2"/>
      <c r="B374" s="2"/>
      <c r="C374" s="8" t="str">
        <f>IF(B374="","",IFERROR(LOOKUP(2,1/(单次交易!$A$2:$A$163=B374),单次交易!$B$2:$B$163),""))</f>
        <v/>
      </c>
      <c r="D374" s="12"/>
      <c r="E374" s="10"/>
      <c r="F374" s="10"/>
      <c r="G374" s="2"/>
      <c r="H374" s="15"/>
      <c r="I374" s="10"/>
      <c r="J374" s="12"/>
      <c r="K374" s="2"/>
      <c r="L374" s="2"/>
      <c r="M374" s="2"/>
      <c r="N374" s="5" t="str">
        <f>IF(B374="","",IFERROR(LOOKUP(2,1/(单次交易!$A$2:$A$163=B374),单次交易!$N$2:$N$163),""))</f>
        <v/>
      </c>
      <c r="O374" s="5" t="str">
        <f t="shared" si="54"/>
        <v/>
      </c>
      <c r="P374" s="11" t="str">
        <f t="shared" si="55"/>
        <v/>
      </c>
      <c r="Q374" s="5" t="str">
        <f t="shared" si="56"/>
        <v/>
      </c>
      <c r="R374" s="10"/>
      <c r="S374" s="5" t="str">
        <f t="shared" si="57"/>
        <v/>
      </c>
      <c r="T374" s="5" t="str">
        <f t="shared" si="58"/>
        <v/>
      </c>
      <c r="U374" s="5" t="str">
        <f t="shared" si="59"/>
        <v/>
      </c>
      <c r="V374" s="7" t="str">
        <f t="shared" si="60"/>
        <v/>
      </c>
      <c r="W374" s="8" t="str">
        <f t="shared" si="61"/>
        <v/>
      </c>
      <c r="X374" s="2"/>
      <c r="Y374" s="10"/>
      <c r="Z374" s="11" t="str">
        <f>IF(X374&lt;&gt;"执行卖出","",IFERROR(LOOKUP(2,1/(单次交易!$A$2:$A$163=B374),单次交易!$AP$2:$AP$163),""))</f>
        <v/>
      </c>
      <c r="AA374" s="10"/>
      <c r="AB374" s="8" t="str">
        <f t="shared" si="62"/>
        <v/>
      </c>
      <c r="AC374" s="8" t="str">
        <f>IF(A374="","",IF(A374="止损计划",IF(OR(B374="",D374="",E374="",F374="",G374=""),"计划不完整",IF(OR(D374&lt;1,D374&lt;&gt;INT(D374)),"阶段序号无效",IF(COUNTIFS($A$2:$A$497,"止损计划",$B$2:$B$497,B374,$D$2:$D$497,D374)&gt;1,"阶段序号重复",IF(E374&lt;=IFERROR(LOOKUP(2,1/(单次交易!$A$2:$A$163=B374),单次交易!$E$2:$E$163),0),"激活价须高于买入价",IF(F374&lt;N374,"止损价不得低于初始止损",IF(F374&gt;E374,"止损价不得高于激活价",IF(AND(COUNTIFS($A$2:$A$497,"止损计划",$B$2:$B$497,B374,$D$2:$D$497,"&lt;"&amp;D374)&gt;0,OR(E374&lt;=SUMPRODUCT(MAX((($A$2:$A$497="止损计划")*($B$2:$B$497=B374)*($D$2:$D$497&lt;D374))*$E$2:$E$497)),F374&lt;SUMPRODUCT(MAX((($A$2:$A$497="止损计划")*($B$2:$B$497=B374)*($D$2:$D$497&lt;D374))*$F$2:$F$497)))),"阶段价格必须逐级提高","计划有效"))))))),IF(A374="每日跟踪",IF(OR(B374="",H374="",I374="",J374=""),"每日数据不完整",IF(COUNTIFS($A$2:$A$497,"每日跟踪",$B$2:$B$497,B374,$H$2:$H$497,H374)&gt;1,"同一交易日期重复",IF(AND(R374&lt;&gt;"",R374&lt;S374),"人工止损无效：不能下调","跟踪有效"))),"记录类型无效")))</f>
        <v/>
      </c>
    </row>
    <row r="375" ht="17" spans="1:29">
      <c r="A375" s="2"/>
      <c r="B375" s="2"/>
      <c r="C375" s="8" t="str">
        <f>IF(B375="","",IFERROR(LOOKUP(2,1/(单次交易!$A$2:$A$163=B375),单次交易!$B$2:$B$163),""))</f>
        <v/>
      </c>
      <c r="D375" s="12"/>
      <c r="E375" s="10"/>
      <c r="F375" s="10"/>
      <c r="G375" s="2"/>
      <c r="H375" s="15"/>
      <c r="I375" s="10"/>
      <c r="J375" s="12"/>
      <c r="K375" s="2"/>
      <c r="L375" s="2"/>
      <c r="M375" s="2"/>
      <c r="N375" s="5" t="str">
        <f>IF(B375="","",IFERROR(LOOKUP(2,1/(单次交易!$A$2:$A$163=B375),单次交易!$N$2:$N$163),""))</f>
        <v/>
      </c>
      <c r="O375" s="5" t="str">
        <f t="shared" si="54"/>
        <v/>
      </c>
      <c r="P375" s="11" t="str">
        <f t="shared" si="55"/>
        <v/>
      </c>
      <c r="Q375" s="5" t="str">
        <f t="shared" si="56"/>
        <v/>
      </c>
      <c r="R375" s="10"/>
      <c r="S375" s="5" t="str">
        <f t="shared" si="57"/>
        <v/>
      </c>
      <c r="T375" s="5" t="str">
        <f t="shared" si="58"/>
        <v/>
      </c>
      <c r="U375" s="5" t="str">
        <f t="shared" si="59"/>
        <v/>
      </c>
      <c r="V375" s="7" t="str">
        <f t="shared" si="60"/>
        <v/>
      </c>
      <c r="W375" s="8" t="str">
        <f t="shared" si="61"/>
        <v/>
      </c>
      <c r="X375" s="2"/>
      <c r="Y375" s="10"/>
      <c r="Z375" s="11" t="str">
        <f>IF(X375&lt;&gt;"执行卖出","",IFERROR(LOOKUP(2,1/(单次交易!$A$2:$A$163=B375),单次交易!$AP$2:$AP$163),""))</f>
        <v/>
      </c>
      <c r="AA375" s="10"/>
      <c r="AB375" s="8" t="str">
        <f t="shared" si="62"/>
        <v/>
      </c>
      <c r="AC375" s="8" t="str">
        <f>IF(A375="","",IF(A375="止损计划",IF(OR(B375="",D375="",E375="",F375="",G375=""),"计划不完整",IF(OR(D375&lt;1,D375&lt;&gt;INT(D375)),"阶段序号无效",IF(COUNTIFS($A$2:$A$497,"止损计划",$B$2:$B$497,B375,$D$2:$D$497,D375)&gt;1,"阶段序号重复",IF(E375&lt;=IFERROR(LOOKUP(2,1/(单次交易!$A$2:$A$163=B375),单次交易!$E$2:$E$163),0),"激活价须高于买入价",IF(F375&lt;N375,"止损价不得低于初始止损",IF(F375&gt;E375,"止损价不得高于激活价",IF(AND(COUNTIFS($A$2:$A$497,"止损计划",$B$2:$B$497,B375,$D$2:$D$497,"&lt;"&amp;D375)&gt;0,OR(E375&lt;=SUMPRODUCT(MAX((($A$2:$A$497="止损计划")*($B$2:$B$497=B375)*($D$2:$D$497&lt;D375))*$E$2:$E$497)),F375&lt;SUMPRODUCT(MAX((($A$2:$A$497="止损计划")*($B$2:$B$497=B375)*($D$2:$D$497&lt;D375))*$F$2:$F$497)))),"阶段价格必须逐级提高","计划有效"))))))),IF(A375="每日跟踪",IF(OR(B375="",H375="",I375="",J375=""),"每日数据不完整",IF(COUNTIFS($A$2:$A$497,"每日跟踪",$B$2:$B$497,B375,$H$2:$H$497,H375)&gt;1,"同一交易日期重复",IF(AND(R375&lt;&gt;"",R375&lt;S375),"人工止损无效：不能下调","跟踪有效"))),"记录类型无效")))</f>
        <v/>
      </c>
    </row>
    <row r="376" ht="17" spans="1:29">
      <c r="A376" s="2"/>
      <c r="B376" s="2"/>
      <c r="C376" s="8" t="str">
        <f>IF(B376="","",IFERROR(LOOKUP(2,1/(单次交易!$A$2:$A$163=B376),单次交易!$B$2:$B$163),""))</f>
        <v/>
      </c>
      <c r="D376" s="12"/>
      <c r="E376" s="10"/>
      <c r="F376" s="10"/>
      <c r="G376" s="2"/>
      <c r="H376" s="15"/>
      <c r="I376" s="10"/>
      <c r="J376" s="12"/>
      <c r="K376" s="2"/>
      <c r="L376" s="2"/>
      <c r="M376" s="2"/>
      <c r="N376" s="5" t="str">
        <f>IF(B376="","",IFERROR(LOOKUP(2,1/(单次交易!$A$2:$A$163=B376),单次交易!$N$2:$N$163),""))</f>
        <v/>
      </c>
      <c r="O376" s="5" t="str">
        <f t="shared" si="54"/>
        <v/>
      </c>
      <c r="P376" s="11" t="str">
        <f t="shared" si="55"/>
        <v/>
      </c>
      <c r="Q376" s="5" t="str">
        <f t="shared" si="56"/>
        <v/>
      </c>
      <c r="R376" s="10"/>
      <c r="S376" s="5" t="str">
        <f t="shared" si="57"/>
        <v/>
      </c>
      <c r="T376" s="5" t="str">
        <f t="shared" si="58"/>
        <v/>
      </c>
      <c r="U376" s="5" t="str">
        <f t="shared" si="59"/>
        <v/>
      </c>
      <c r="V376" s="7" t="str">
        <f t="shared" si="60"/>
        <v/>
      </c>
      <c r="W376" s="8" t="str">
        <f t="shared" si="61"/>
        <v/>
      </c>
      <c r="X376" s="2"/>
      <c r="Y376" s="10"/>
      <c r="Z376" s="11" t="str">
        <f>IF(X376&lt;&gt;"执行卖出","",IFERROR(LOOKUP(2,1/(单次交易!$A$2:$A$163=B376),单次交易!$AP$2:$AP$163),""))</f>
        <v/>
      </c>
      <c r="AA376" s="10"/>
      <c r="AB376" s="8" t="str">
        <f t="shared" si="62"/>
        <v/>
      </c>
      <c r="AC376" s="8" t="str">
        <f>IF(A376="","",IF(A376="止损计划",IF(OR(B376="",D376="",E376="",F376="",G376=""),"计划不完整",IF(OR(D376&lt;1,D376&lt;&gt;INT(D376)),"阶段序号无效",IF(COUNTIFS($A$2:$A$497,"止损计划",$B$2:$B$497,B376,$D$2:$D$497,D376)&gt;1,"阶段序号重复",IF(E376&lt;=IFERROR(LOOKUP(2,1/(单次交易!$A$2:$A$163=B376),单次交易!$E$2:$E$163),0),"激活价须高于买入价",IF(F376&lt;N376,"止损价不得低于初始止损",IF(F376&gt;E376,"止损价不得高于激活价",IF(AND(COUNTIFS($A$2:$A$497,"止损计划",$B$2:$B$497,B376,$D$2:$D$497,"&lt;"&amp;D376)&gt;0,OR(E376&lt;=SUMPRODUCT(MAX((($A$2:$A$497="止损计划")*($B$2:$B$497=B376)*($D$2:$D$497&lt;D376))*$E$2:$E$497)),F376&lt;SUMPRODUCT(MAX((($A$2:$A$497="止损计划")*($B$2:$B$497=B376)*($D$2:$D$497&lt;D376))*$F$2:$F$497)))),"阶段价格必须逐级提高","计划有效"))))))),IF(A376="每日跟踪",IF(OR(B376="",H376="",I376="",J376=""),"每日数据不完整",IF(COUNTIFS($A$2:$A$497,"每日跟踪",$B$2:$B$497,B376,$H$2:$H$497,H376)&gt;1,"同一交易日期重复",IF(AND(R376&lt;&gt;"",R376&lt;S376),"人工止损无效：不能下调","跟踪有效"))),"记录类型无效")))</f>
        <v/>
      </c>
    </row>
    <row r="377" ht="17" spans="1:29">
      <c r="A377" s="2"/>
      <c r="B377" s="2"/>
      <c r="C377" s="8" t="str">
        <f>IF(B377="","",IFERROR(LOOKUP(2,1/(单次交易!$A$2:$A$163=B377),单次交易!$B$2:$B$163),""))</f>
        <v/>
      </c>
      <c r="D377" s="12"/>
      <c r="E377" s="10"/>
      <c r="F377" s="10"/>
      <c r="G377" s="2"/>
      <c r="H377" s="15"/>
      <c r="I377" s="10"/>
      <c r="J377" s="12"/>
      <c r="K377" s="2"/>
      <c r="L377" s="2"/>
      <c r="M377" s="2"/>
      <c r="N377" s="5" t="str">
        <f>IF(B377="","",IFERROR(LOOKUP(2,1/(单次交易!$A$2:$A$163=B377),单次交易!$N$2:$N$163),""))</f>
        <v/>
      </c>
      <c r="O377" s="5" t="str">
        <f t="shared" si="54"/>
        <v/>
      </c>
      <c r="P377" s="11" t="str">
        <f t="shared" si="55"/>
        <v/>
      </c>
      <c r="Q377" s="5" t="str">
        <f t="shared" si="56"/>
        <v/>
      </c>
      <c r="R377" s="10"/>
      <c r="S377" s="5" t="str">
        <f t="shared" si="57"/>
        <v/>
      </c>
      <c r="T377" s="5" t="str">
        <f t="shared" si="58"/>
        <v/>
      </c>
      <c r="U377" s="5" t="str">
        <f t="shared" si="59"/>
        <v/>
      </c>
      <c r="V377" s="7" t="str">
        <f t="shared" si="60"/>
        <v/>
      </c>
      <c r="W377" s="8" t="str">
        <f t="shared" si="61"/>
        <v/>
      </c>
      <c r="X377" s="2"/>
      <c r="Y377" s="10"/>
      <c r="Z377" s="11" t="str">
        <f>IF(X377&lt;&gt;"执行卖出","",IFERROR(LOOKUP(2,1/(单次交易!$A$2:$A$163=B377),单次交易!$AP$2:$AP$163),""))</f>
        <v/>
      </c>
      <c r="AA377" s="10"/>
      <c r="AB377" s="8" t="str">
        <f t="shared" si="62"/>
        <v/>
      </c>
      <c r="AC377" s="8" t="str">
        <f>IF(A377="","",IF(A377="止损计划",IF(OR(B377="",D377="",E377="",F377="",G377=""),"计划不完整",IF(OR(D377&lt;1,D377&lt;&gt;INT(D377)),"阶段序号无效",IF(COUNTIFS($A$2:$A$497,"止损计划",$B$2:$B$497,B377,$D$2:$D$497,D377)&gt;1,"阶段序号重复",IF(E377&lt;=IFERROR(LOOKUP(2,1/(单次交易!$A$2:$A$163=B377),单次交易!$E$2:$E$163),0),"激活价须高于买入价",IF(F377&lt;N377,"止损价不得低于初始止损",IF(F377&gt;E377,"止损价不得高于激活价",IF(AND(COUNTIFS($A$2:$A$497,"止损计划",$B$2:$B$497,B377,$D$2:$D$497,"&lt;"&amp;D377)&gt;0,OR(E377&lt;=SUMPRODUCT(MAX((($A$2:$A$497="止损计划")*($B$2:$B$497=B377)*($D$2:$D$497&lt;D377))*$E$2:$E$497)),F377&lt;SUMPRODUCT(MAX((($A$2:$A$497="止损计划")*($B$2:$B$497=B377)*($D$2:$D$497&lt;D377))*$F$2:$F$497)))),"阶段价格必须逐级提高","计划有效"))))))),IF(A377="每日跟踪",IF(OR(B377="",H377="",I377="",J377=""),"每日数据不完整",IF(COUNTIFS($A$2:$A$497,"每日跟踪",$B$2:$B$497,B377,$H$2:$H$497,H377)&gt;1,"同一交易日期重复",IF(AND(R377&lt;&gt;"",R377&lt;S377),"人工止损无效：不能下调","跟踪有效"))),"记录类型无效")))</f>
        <v/>
      </c>
    </row>
    <row r="378" ht="17" spans="1:29">
      <c r="A378" s="2"/>
      <c r="B378" s="2"/>
      <c r="C378" s="8" t="str">
        <f>IF(B378="","",IFERROR(LOOKUP(2,1/(单次交易!$A$2:$A$163=B378),单次交易!$B$2:$B$163),""))</f>
        <v/>
      </c>
      <c r="D378" s="12"/>
      <c r="E378" s="10"/>
      <c r="F378" s="10"/>
      <c r="G378" s="2"/>
      <c r="H378" s="15"/>
      <c r="I378" s="10"/>
      <c r="J378" s="12"/>
      <c r="K378" s="2"/>
      <c r="L378" s="2"/>
      <c r="M378" s="2"/>
      <c r="N378" s="5" t="str">
        <f>IF(B378="","",IFERROR(LOOKUP(2,1/(单次交易!$A$2:$A$163=B378),单次交易!$N$2:$N$163),""))</f>
        <v/>
      </c>
      <c r="O378" s="5" t="str">
        <f t="shared" si="54"/>
        <v/>
      </c>
      <c r="P378" s="11" t="str">
        <f t="shared" si="55"/>
        <v/>
      </c>
      <c r="Q378" s="5" t="str">
        <f t="shared" si="56"/>
        <v/>
      </c>
      <c r="R378" s="10"/>
      <c r="S378" s="5" t="str">
        <f t="shared" si="57"/>
        <v/>
      </c>
      <c r="T378" s="5" t="str">
        <f t="shared" si="58"/>
        <v/>
      </c>
      <c r="U378" s="5" t="str">
        <f t="shared" si="59"/>
        <v/>
      </c>
      <c r="V378" s="7" t="str">
        <f t="shared" si="60"/>
        <v/>
      </c>
      <c r="W378" s="8" t="str">
        <f t="shared" si="61"/>
        <v/>
      </c>
      <c r="X378" s="2"/>
      <c r="Y378" s="10"/>
      <c r="Z378" s="11" t="str">
        <f>IF(X378&lt;&gt;"执行卖出","",IFERROR(LOOKUP(2,1/(单次交易!$A$2:$A$163=B378),单次交易!$AP$2:$AP$163),""))</f>
        <v/>
      </c>
      <c r="AA378" s="10"/>
      <c r="AB378" s="8" t="str">
        <f t="shared" si="62"/>
        <v/>
      </c>
      <c r="AC378" s="8" t="str">
        <f>IF(A378="","",IF(A378="止损计划",IF(OR(B378="",D378="",E378="",F378="",G378=""),"计划不完整",IF(OR(D378&lt;1,D378&lt;&gt;INT(D378)),"阶段序号无效",IF(COUNTIFS($A$2:$A$497,"止损计划",$B$2:$B$497,B378,$D$2:$D$497,D378)&gt;1,"阶段序号重复",IF(E378&lt;=IFERROR(LOOKUP(2,1/(单次交易!$A$2:$A$163=B378),单次交易!$E$2:$E$163),0),"激活价须高于买入价",IF(F378&lt;N378,"止损价不得低于初始止损",IF(F378&gt;E378,"止损价不得高于激活价",IF(AND(COUNTIFS($A$2:$A$497,"止损计划",$B$2:$B$497,B378,$D$2:$D$497,"&lt;"&amp;D378)&gt;0,OR(E378&lt;=SUMPRODUCT(MAX((($A$2:$A$497="止损计划")*($B$2:$B$497=B378)*($D$2:$D$497&lt;D378))*$E$2:$E$497)),F378&lt;SUMPRODUCT(MAX((($A$2:$A$497="止损计划")*($B$2:$B$497=B378)*($D$2:$D$497&lt;D378))*$F$2:$F$497)))),"阶段价格必须逐级提高","计划有效"))))))),IF(A378="每日跟踪",IF(OR(B378="",H378="",I378="",J378=""),"每日数据不完整",IF(COUNTIFS($A$2:$A$497,"每日跟踪",$B$2:$B$497,B378,$H$2:$H$497,H378)&gt;1,"同一交易日期重复",IF(AND(R378&lt;&gt;"",R378&lt;S378),"人工止损无效：不能下调","跟踪有效"))),"记录类型无效")))</f>
        <v/>
      </c>
    </row>
    <row r="379" ht="17" spans="1:29">
      <c r="A379" s="2"/>
      <c r="B379" s="2"/>
      <c r="C379" s="8" t="str">
        <f>IF(B379="","",IFERROR(LOOKUP(2,1/(单次交易!$A$2:$A$163=B379),单次交易!$B$2:$B$163),""))</f>
        <v/>
      </c>
      <c r="D379" s="12"/>
      <c r="E379" s="10"/>
      <c r="F379" s="10"/>
      <c r="G379" s="2"/>
      <c r="H379" s="15"/>
      <c r="I379" s="10"/>
      <c r="J379" s="12"/>
      <c r="K379" s="2"/>
      <c r="L379" s="2"/>
      <c r="M379" s="2"/>
      <c r="N379" s="5" t="str">
        <f>IF(B379="","",IFERROR(LOOKUP(2,1/(单次交易!$A$2:$A$163=B379),单次交易!$N$2:$N$163),""))</f>
        <v/>
      </c>
      <c r="O379" s="5" t="str">
        <f t="shared" si="54"/>
        <v/>
      </c>
      <c r="P379" s="11" t="str">
        <f t="shared" si="55"/>
        <v/>
      </c>
      <c r="Q379" s="5" t="str">
        <f t="shared" si="56"/>
        <v/>
      </c>
      <c r="R379" s="10"/>
      <c r="S379" s="5" t="str">
        <f t="shared" si="57"/>
        <v/>
      </c>
      <c r="T379" s="5" t="str">
        <f t="shared" si="58"/>
        <v/>
      </c>
      <c r="U379" s="5" t="str">
        <f t="shared" si="59"/>
        <v/>
      </c>
      <c r="V379" s="7" t="str">
        <f t="shared" si="60"/>
        <v/>
      </c>
      <c r="W379" s="8" t="str">
        <f t="shared" si="61"/>
        <v/>
      </c>
      <c r="X379" s="2"/>
      <c r="Y379" s="10"/>
      <c r="Z379" s="11" t="str">
        <f>IF(X379&lt;&gt;"执行卖出","",IFERROR(LOOKUP(2,1/(单次交易!$A$2:$A$163=B379),单次交易!$AP$2:$AP$163),""))</f>
        <v/>
      </c>
      <c r="AA379" s="10"/>
      <c r="AB379" s="8" t="str">
        <f t="shared" si="62"/>
        <v/>
      </c>
      <c r="AC379" s="8" t="str">
        <f>IF(A379="","",IF(A379="止损计划",IF(OR(B379="",D379="",E379="",F379="",G379=""),"计划不完整",IF(OR(D379&lt;1,D379&lt;&gt;INT(D379)),"阶段序号无效",IF(COUNTIFS($A$2:$A$497,"止损计划",$B$2:$B$497,B379,$D$2:$D$497,D379)&gt;1,"阶段序号重复",IF(E379&lt;=IFERROR(LOOKUP(2,1/(单次交易!$A$2:$A$163=B379),单次交易!$E$2:$E$163),0),"激活价须高于买入价",IF(F379&lt;N379,"止损价不得低于初始止损",IF(F379&gt;E379,"止损价不得高于激活价",IF(AND(COUNTIFS($A$2:$A$497,"止损计划",$B$2:$B$497,B379,$D$2:$D$497,"&lt;"&amp;D379)&gt;0,OR(E379&lt;=SUMPRODUCT(MAX((($A$2:$A$497="止损计划")*($B$2:$B$497=B379)*($D$2:$D$497&lt;D379))*$E$2:$E$497)),F379&lt;SUMPRODUCT(MAX((($A$2:$A$497="止损计划")*($B$2:$B$497=B379)*($D$2:$D$497&lt;D379))*$F$2:$F$497)))),"阶段价格必须逐级提高","计划有效"))))))),IF(A379="每日跟踪",IF(OR(B379="",H379="",I379="",J379=""),"每日数据不完整",IF(COUNTIFS($A$2:$A$497,"每日跟踪",$B$2:$B$497,B379,$H$2:$H$497,H379)&gt;1,"同一交易日期重复",IF(AND(R379&lt;&gt;"",R379&lt;S379),"人工止损无效：不能下调","跟踪有效"))),"记录类型无效")))</f>
        <v/>
      </c>
    </row>
    <row r="380" ht="17" spans="1:29">
      <c r="A380" s="2"/>
      <c r="B380" s="2"/>
      <c r="C380" s="8" t="str">
        <f>IF(B380="","",IFERROR(LOOKUP(2,1/(单次交易!$A$2:$A$163=B380),单次交易!$B$2:$B$163),""))</f>
        <v/>
      </c>
      <c r="D380" s="12"/>
      <c r="E380" s="10"/>
      <c r="F380" s="10"/>
      <c r="G380" s="2"/>
      <c r="H380" s="15"/>
      <c r="I380" s="10"/>
      <c r="J380" s="12"/>
      <c r="K380" s="2"/>
      <c r="L380" s="2"/>
      <c r="M380" s="2"/>
      <c r="N380" s="5" t="str">
        <f>IF(B380="","",IFERROR(LOOKUP(2,1/(单次交易!$A$2:$A$163=B380),单次交易!$N$2:$N$163),""))</f>
        <v/>
      </c>
      <c r="O380" s="5" t="str">
        <f t="shared" si="54"/>
        <v/>
      </c>
      <c r="P380" s="11" t="str">
        <f t="shared" si="55"/>
        <v/>
      </c>
      <c r="Q380" s="5" t="str">
        <f t="shared" si="56"/>
        <v/>
      </c>
      <c r="R380" s="10"/>
      <c r="S380" s="5" t="str">
        <f t="shared" si="57"/>
        <v/>
      </c>
      <c r="T380" s="5" t="str">
        <f t="shared" si="58"/>
        <v/>
      </c>
      <c r="U380" s="5" t="str">
        <f t="shared" si="59"/>
        <v/>
      </c>
      <c r="V380" s="7" t="str">
        <f t="shared" si="60"/>
        <v/>
      </c>
      <c r="W380" s="8" t="str">
        <f t="shared" si="61"/>
        <v/>
      </c>
      <c r="X380" s="2"/>
      <c r="Y380" s="10"/>
      <c r="Z380" s="11" t="str">
        <f>IF(X380&lt;&gt;"执行卖出","",IFERROR(LOOKUP(2,1/(单次交易!$A$2:$A$163=B380),单次交易!$AP$2:$AP$163),""))</f>
        <v/>
      </c>
      <c r="AA380" s="10"/>
      <c r="AB380" s="8" t="str">
        <f t="shared" si="62"/>
        <v/>
      </c>
      <c r="AC380" s="8" t="str">
        <f>IF(A380="","",IF(A380="止损计划",IF(OR(B380="",D380="",E380="",F380="",G380=""),"计划不完整",IF(OR(D380&lt;1,D380&lt;&gt;INT(D380)),"阶段序号无效",IF(COUNTIFS($A$2:$A$497,"止损计划",$B$2:$B$497,B380,$D$2:$D$497,D380)&gt;1,"阶段序号重复",IF(E380&lt;=IFERROR(LOOKUP(2,1/(单次交易!$A$2:$A$163=B380),单次交易!$E$2:$E$163),0),"激活价须高于买入价",IF(F380&lt;N380,"止损价不得低于初始止损",IF(F380&gt;E380,"止损价不得高于激活价",IF(AND(COUNTIFS($A$2:$A$497,"止损计划",$B$2:$B$497,B380,$D$2:$D$497,"&lt;"&amp;D380)&gt;0,OR(E380&lt;=SUMPRODUCT(MAX((($A$2:$A$497="止损计划")*($B$2:$B$497=B380)*($D$2:$D$497&lt;D380))*$E$2:$E$497)),F380&lt;SUMPRODUCT(MAX((($A$2:$A$497="止损计划")*($B$2:$B$497=B380)*($D$2:$D$497&lt;D380))*$F$2:$F$497)))),"阶段价格必须逐级提高","计划有效"))))))),IF(A380="每日跟踪",IF(OR(B380="",H380="",I380="",J380=""),"每日数据不完整",IF(COUNTIFS($A$2:$A$497,"每日跟踪",$B$2:$B$497,B380,$H$2:$H$497,H380)&gt;1,"同一交易日期重复",IF(AND(R380&lt;&gt;"",R380&lt;S380),"人工止损无效：不能下调","跟踪有效"))),"记录类型无效")))</f>
        <v/>
      </c>
    </row>
    <row r="381" ht="17" spans="1:29">
      <c r="A381" s="2"/>
      <c r="B381" s="2"/>
      <c r="C381" s="8" t="str">
        <f>IF(B381="","",IFERROR(LOOKUP(2,1/(单次交易!$A$2:$A$163=B381),单次交易!$B$2:$B$163),""))</f>
        <v/>
      </c>
      <c r="D381" s="12"/>
      <c r="E381" s="10"/>
      <c r="F381" s="10"/>
      <c r="G381" s="2"/>
      <c r="H381" s="15"/>
      <c r="I381" s="10"/>
      <c r="J381" s="12"/>
      <c r="K381" s="2"/>
      <c r="L381" s="2"/>
      <c r="M381" s="2"/>
      <c r="N381" s="5" t="str">
        <f>IF(B381="","",IFERROR(LOOKUP(2,1/(单次交易!$A$2:$A$163=B381),单次交易!$N$2:$N$163),""))</f>
        <v/>
      </c>
      <c r="O381" s="5" t="str">
        <f t="shared" si="54"/>
        <v/>
      </c>
      <c r="P381" s="11" t="str">
        <f t="shared" si="55"/>
        <v/>
      </c>
      <c r="Q381" s="5" t="str">
        <f t="shared" si="56"/>
        <v/>
      </c>
      <c r="R381" s="10"/>
      <c r="S381" s="5" t="str">
        <f t="shared" si="57"/>
        <v/>
      </c>
      <c r="T381" s="5" t="str">
        <f t="shared" si="58"/>
        <v/>
      </c>
      <c r="U381" s="5" t="str">
        <f t="shared" si="59"/>
        <v/>
      </c>
      <c r="V381" s="7" t="str">
        <f t="shared" si="60"/>
        <v/>
      </c>
      <c r="W381" s="8" t="str">
        <f t="shared" si="61"/>
        <v/>
      </c>
      <c r="X381" s="2"/>
      <c r="Y381" s="10"/>
      <c r="Z381" s="11" t="str">
        <f>IF(X381&lt;&gt;"执行卖出","",IFERROR(LOOKUP(2,1/(单次交易!$A$2:$A$163=B381),单次交易!$AP$2:$AP$163),""))</f>
        <v/>
      </c>
      <c r="AA381" s="10"/>
      <c r="AB381" s="8" t="str">
        <f t="shared" si="62"/>
        <v/>
      </c>
      <c r="AC381" s="8" t="str">
        <f>IF(A381="","",IF(A381="止损计划",IF(OR(B381="",D381="",E381="",F381="",G381=""),"计划不完整",IF(OR(D381&lt;1,D381&lt;&gt;INT(D381)),"阶段序号无效",IF(COUNTIFS($A$2:$A$497,"止损计划",$B$2:$B$497,B381,$D$2:$D$497,D381)&gt;1,"阶段序号重复",IF(E381&lt;=IFERROR(LOOKUP(2,1/(单次交易!$A$2:$A$163=B381),单次交易!$E$2:$E$163),0),"激活价须高于买入价",IF(F381&lt;N381,"止损价不得低于初始止损",IF(F381&gt;E381,"止损价不得高于激活价",IF(AND(COUNTIFS($A$2:$A$497,"止损计划",$B$2:$B$497,B381,$D$2:$D$497,"&lt;"&amp;D381)&gt;0,OR(E381&lt;=SUMPRODUCT(MAX((($A$2:$A$497="止损计划")*($B$2:$B$497=B381)*($D$2:$D$497&lt;D381))*$E$2:$E$497)),F381&lt;SUMPRODUCT(MAX((($A$2:$A$497="止损计划")*($B$2:$B$497=B381)*($D$2:$D$497&lt;D381))*$F$2:$F$497)))),"阶段价格必须逐级提高","计划有效"))))))),IF(A381="每日跟踪",IF(OR(B381="",H381="",I381="",J381=""),"每日数据不完整",IF(COUNTIFS($A$2:$A$497,"每日跟踪",$B$2:$B$497,B381,$H$2:$H$497,H381)&gt;1,"同一交易日期重复",IF(AND(R381&lt;&gt;"",R381&lt;S381),"人工止损无效：不能下调","跟踪有效"))),"记录类型无效")))</f>
        <v/>
      </c>
    </row>
    <row r="382" ht="17" spans="1:29">
      <c r="A382" s="2"/>
      <c r="B382" s="2"/>
      <c r="C382" s="8" t="str">
        <f>IF(B382="","",IFERROR(LOOKUP(2,1/(单次交易!$A$2:$A$163=B382),单次交易!$B$2:$B$163),""))</f>
        <v/>
      </c>
      <c r="D382" s="12"/>
      <c r="E382" s="10"/>
      <c r="F382" s="10"/>
      <c r="G382" s="2"/>
      <c r="H382" s="15"/>
      <c r="I382" s="10"/>
      <c r="J382" s="12"/>
      <c r="K382" s="2"/>
      <c r="L382" s="2"/>
      <c r="M382" s="2"/>
      <c r="N382" s="5" t="str">
        <f>IF(B382="","",IFERROR(LOOKUP(2,1/(单次交易!$A$2:$A$163=B382),单次交易!$N$2:$N$163),""))</f>
        <v/>
      </c>
      <c r="O382" s="5" t="str">
        <f t="shared" ref="O382:O445" si="63">IF(A382&lt;&gt;"每日跟踪","",IF(OR(B382="",H382="",I382=""),"",IFERROR(SUMPRODUCT(MAX((($A$2:$A$497="每日跟踪")*($B$2:$B$497=B382)*($H$2:$H$497&lt;=H382))*$I$2:$I$497)),"")))</f>
        <v/>
      </c>
      <c r="P382" s="11" t="str">
        <f t="shared" ref="P382:P445" si="64">IF(A382&lt;&gt;"每日跟踪","",IF(O382="","",IFERROR(SUMPRODUCT(MAX((($A$2:$A$497="止损计划")*($B$2:$B$497=B382)*($E$2:$E$497&lt;=O382))*$D$2:$D$497)),0)))</f>
        <v/>
      </c>
      <c r="Q382" s="5" t="str">
        <f t="shared" ref="Q382:Q445" si="65">IF(A382&lt;&gt;"每日跟踪","",IF(N382="","",MAX(N382,IFERROR(SUMPRODUCT(MAX((($A$2:$A$497="止损计划")*($B$2:$B$497=B382)*($E$2:$E$497&lt;=O382))*$F$2:$F$497)),0))))</f>
        <v/>
      </c>
      <c r="R382" s="10"/>
      <c r="S382" s="5" t="str">
        <f t="shared" ref="S382:S445" si="66">IF(A382&lt;&gt;"每日跟踪","",IF(Q382="","",MAX(Q382,IFERROR(SUMPRODUCT(MAX((($A$2:$A$497="每日跟踪")*($B$2:$B$497=B382)*($H$2:$H$497&lt;=H382))*$R$2:$R$497)),0))))</f>
        <v/>
      </c>
      <c r="T382" s="5" t="str">
        <f t="shared" ref="T382:T445" si="67">IF(A382&lt;&gt;"每日跟踪","",IF(O382="","",IF(COUNTIFS($A$2:$A$497,"止损计划",$B$2:$B$497,B382,$E$2:$E$497,"&gt;"&amp;O382)=0,"",INDEX($E$2:$E$497,MATCH(1,INDEX(($A$2:$A$497="止损计划")*($B$2:$B$497=B382)*($E$2:$E$497&gt;O382),0),0)))))</f>
        <v/>
      </c>
      <c r="U382" s="5" t="str">
        <f t="shared" ref="U382:U445" si="68">IF(OR(A382&lt;&gt;"每日跟踪",T382=""),"",IFERROR(SUMIFS($F$2:$F$497,$A$2:$A$497,"止损计划",$B$2:$B$497,B382,$E$2:$E$497,T382),""))</f>
        <v/>
      </c>
      <c r="V382" s="7" t="str">
        <f t="shared" ref="V382:V445" si="69">IF(OR(A382&lt;&gt;"每日跟踪",T382="",I382="",I382&lt;=0),"",T382/I382-1)</f>
        <v/>
      </c>
      <c r="W382" s="8" t="str">
        <f t="shared" ref="W382:W445" si="70">IF(A382&lt;&gt;"每日跟踪","",IF(OR(I382="",S382=""),"",IF(I382&lt;=S382,"触发止损：应全部卖出","继续观察")))</f>
        <v/>
      </c>
      <c r="X382" s="2"/>
      <c r="Y382" s="10"/>
      <c r="Z382" s="11" t="str">
        <f>IF(X382&lt;&gt;"执行卖出","",IFERROR(LOOKUP(2,1/(单次交易!$A$2:$A$163=B382),单次交易!$AP$2:$AP$163),""))</f>
        <v/>
      </c>
      <c r="AA382" s="10"/>
      <c r="AB382" s="8" t="str">
        <f t="shared" ref="AB382:AB445" si="71">IF(A382&lt;&gt;"每日跟踪","",IF(OR(B382="",H382="",I382="",J382="",K382="",L382="",M382=""),"待补充每日记录",IF(W382="触发止损：应全部卖出",IF(X382&lt;&gt;"执行卖出","违规：触发止损但未执行",IF(Y382="","待补充实际卖出价","卖出记录完整")),IF(X382="","待选择卖出动作",IF(X382="执行卖出",IF(Y382="","待补充实际卖出价","卖出记录完整"),"正常")))))</f>
        <v/>
      </c>
      <c r="AC382" s="8" t="str">
        <f>IF(A382="","",IF(A382="止损计划",IF(OR(B382="",D382="",E382="",F382="",G382=""),"计划不完整",IF(OR(D382&lt;1,D382&lt;&gt;INT(D382)),"阶段序号无效",IF(COUNTIFS($A$2:$A$497,"止损计划",$B$2:$B$497,B382,$D$2:$D$497,D382)&gt;1,"阶段序号重复",IF(E382&lt;=IFERROR(LOOKUP(2,1/(单次交易!$A$2:$A$163=B382),单次交易!$E$2:$E$163),0),"激活价须高于买入价",IF(F382&lt;N382,"止损价不得低于初始止损",IF(F382&gt;E382,"止损价不得高于激活价",IF(AND(COUNTIFS($A$2:$A$497,"止损计划",$B$2:$B$497,B382,$D$2:$D$497,"&lt;"&amp;D382)&gt;0,OR(E382&lt;=SUMPRODUCT(MAX((($A$2:$A$497="止损计划")*($B$2:$B$497=B382)*($D$2:$D$497&lt;D382))*$E$2:$E$497)),F382&lt;SUMPRODUCT(MAX((($A$2:$A$497="止损计划")*($B$2:$B$497=B382)*($D$2:$D$497&lt;D382))*$F$2:$F$497)))),"阶段价格必须逐级提高","计划有效"))))))),IF(A382="每日跟踪",IF(OR(B382="",H382="",I382="",J382=""),"每日数据不完整",IF(COUNTIFS($A$2:$A$497,"每日跟踪",$B$2:$B$497,B382,$H$2:$H$497,H382)&gt;1,"同一交易日期重复",IF(AND(R382&lt;&gt;"",R382&lt;S382),"人工止损无效：不能下调","跟踪有效"))),"记录类型无效")))</f>
        <v/>
      </c>
    </row>
    <row r="383" ht="17" spans="1:29">
      <c r="A383" s="2"/>
      <c r="B383" s="2"/>
      <c r="C383" s="8" t="str">
        <f>IF(B383="","",IFERROR(LOOKUP(2,1/(单次交易!$A$2:$A$163=B383),单次交易!$B$2:$B$163),""))</f>
        <v/>
      </c>
      <c r="D383" s="12"/>
      <c r="E383" s="10"/>
      <c r="F383" s="10"/>
      <c r="G383" s="2"/>
      <c r="H383" s="15"/>
      <c r="I383" s="10"/>
      <c r="J383" s="12"/>
      <c r="K383" s="2"/>
      <c r="L383" s="2"/>
      <c r="M383" s="2"/>
      <c r="N383" s="5" t="str">
        <f>IF(B383="","",IFERROR(LOOKUP(2,1/(单次交易!$A$2:$A$163=B383),单次交易!$N$2:$N$163),""))</f>
        <v/>
      </c>
      <c r="O383" s="5" t="str">
        <f t="shared" si="63"/>
        <v/>
      </c>
      <c r="P383" s="11" t="str">
        <f t="shared" si="64"/>
        <v/>
      </c>
      <c r="Q383" s="5" t="str">
        <f t="shared" si="65"/>
        <v/>
      </c>
      <c r="R383" s="10"/>
      <c r="S383" s="5" t="str">
        <f t="shared" si="66"/>
        <v/>
      </c>
      <c r="T383" s="5" t="str">
        <f t="shared" si="67"/>
        <v/>
      </c>
      <c r="U383" s="5" t="str">
        <f t="shared" si="68"/>
        <v/>
      </c>
      <c r="V383" s="7" t="str">
        <f t="shared" si="69"/>
        <v/>
      </c>
      <c r="W383" s="8" t="str">
        <f t="shared" si="70"/>
        <v/>
      </c>
      <c r="X383" s="2"/>
      <c r="Y383" s="10"/>
      <c r="Z383" s="11" t="str">
        <f>IF(X383&lt;&gt;"执行卖出","",IFERROR(LOOKUP(2,1/(单次交易!$A$2:$A$163=B383),单次交易!$AP$2:$AP$163),""))</f>
        <v/>
      </c>
      <c r="AA383" s="10"/>
      <c r="AB383" s="8" t="str">
        <f t="shared" si="71"/>
        <v/>
      </c>
      <c r="AC383" s="8" t="str">
        <f>IF(A383="","",IF(A383="止损计划",IF(OR(B383="",D383="",E383="",F383="",G383=""),"计划不完整",IF(OR(D383&lt;1,D383&lt;&gt;INT(D383)),"阶段序号无效",IF(COUNTIFS($A$2:$A$497,"止损计划",$B$2:$B$497,B383,$D$2:$D$497,D383)&gt;1,"阶段序号重复",IF(E383&lt;=IFERROR(LOOKUP(2,1/(单次交易!$A$2:$A$163=B383),单次交易!$E$2:$E$163),0),"激活价须高于买入价",IF(F383&lt;N383,"止损价不得低于初始止损",IF(F383&gt;E383,"止损价不得高于激活价",IF(AND(COUNTIFS($A$2:$A$497,"止损计划",$B$2:$B$497,B383,$D$2:$D$497,"&lt;"&amp;D383)&gt;0,OR(E383&lt;=SUMPRODUCT(MAX((($A$2:$A$497="止损计划")*($B$2:$B$497=B383)*($D$2:$D$497&lt;D383))*$E$2:$E$497)),F383&lt;SUMPRODUCT(MAX((($A$2:$A$497="止损计划")*($B$2:$B$497=B383)*($D$2:$D$497&lt;D383))*$F$2:$F$497)))),"阶段价格必须逐级提高","计划有效"))))))),IF(A383="每日跟踪",IF(OR(B383="",H383="",I383="",J383=""),"每日数据不完整",IF(COUNTIFS($A$2:$A$497,"每日跟踪",$B$2:$B$497,B383,$H$2:$H$497,H383)&gt;1,"同一交易日期重复",IF(AND(R383&lt;&gt;"",R383&lt;S383),"人工止损无效：不能下调","跟踪有效"))),"记录类型无效")))</f>
        <v/>
      </c>
    </row>
    <row r="384" ht="17" spans="1:29">
      <c r="A384" s="2"/>
      <c r="B384" s="2"/>
      <c r="C384" s="8" t="str">
        <f>IF(B384="","",IFERROR(LOOKUP(2,1/(单次交易!$A$2:$A$163=B384),单次交易!$B$2:$B$163),""))</f>
        <v/>
      </c>
      <c r="D384" s="12"/>
      <c r="E384" s="10"/>
      <c r="F384" s="10"/>
      <c r="G384" s="2"/>
      <c r="H384" s="15"/>
      <c r="I384" s="10"/>
      <c r="J384" s="12"/>
      <c r="K384" s="2"/>
      <c r="L384" s="2"/>
      <c r="M384" s="2"/>
      <c r="N384" s="5" t="str">
        <f>IF(B384="","",IFERROR(LOOKUP(2,1/(单次交易!$A$2:$A$163=B384),单次交易!$N$2:$N$163),""))</f>
        <v/>
      </c>
      <c r="O384" s="5" t="str">
        <f t="shared" si="63"/>
        <v/>
      </c>
      <c r="P384" s="11" t="str">
        <f t="shared" si="64"/>
        <v/>
      </c>
      <c r="Q384" s="5" t="str">
        <f t="shared" si="65"/>
        <v/>
      </c>
      <c r="R384" s="10"/>
      <c r="S384" s="5" t="str">
        <f t="shared" si="66"/>
        <v/>
      </c>
      <c r="T384" s="5" t="str">
        <f t="shared" si="67"/>
        <v/>
      </c>
      <c r="U384" s="5" t="str">
        <f t="shared" si="68"/>
        <v/>
      </c>
      <c r="V384" s="7" t="str">
        <f t="shared" si="69"/>
        <v/>
      </c>
      <c r="W384" s="8" t="str">
        <f t="shared" si="70"/>
        <v/>
      </c>
      <c r="X384" s="2"/>
      <c r="Y384" s="10"/>
      <c r="Z384" s="11" t="str">
        <f>IF(X384&lt;&gt;"执行卖出","",IFERROR(LOOKUP(2,1/(单次交易!$A$2:$A$163=B384),单次交易!$AP$2:$AP$163),""))</f>
        <v/>
      </c>
      <c r="AA384" s="10"/>
      <c r="AB384" s="8" t="str">
        <f t="shared" si="71"/>
        <v/>
      </c>
      <c r="AC384" s="8" t="str">
        <f>IF(A384="","",IF(A384="止损计划",IF(OR(B384="",D384="",E384="",F384="",G384=""),"计划不完整",IF(OR(D384&lt;1,D384&lt;&gt;INT(D384)),"阶段序号无效",IF(COUNTIFS($A$2:$A$497,"止损计划",$B$2:$B$497,B384,$D$2:$D$497,D384)&gt;1,"阶段序号重复",IF(E384&lt;=IFERROR(LOOKUP(2,1/(单次交易!$A$2:$A$163=B384),单次交易!$E$2:$E$163),0),"激活价须高于买入价",IF(F384&lt;N384,"止损价不得低于初始止损",IF(F384&gt;E384,"止损价不得高于激活价",IF(AND(COUNTIFS($A$2:$A$497,"止损计划",$B$2:$B$497,B384,$D$2:$D$497,"&lt;"&amp;D384)&gt;0,OR(E384&lt;=SUMPRODUCT(MAX((($A$2:$A$497="止损计划")*($B$2:$B$497=B384)*($D$2:$D$497&lt;D384))*$E$2:$E$497)),F384&lt;SUMPRODUCT(MAX((($A$2:$A$497="止损计划")*($B$2:$B$497=B384)*($D$2:$D$497&lt;D384))*$F$2:$F$497)))),"阶段价格必须逐级提高","计划有效"))))))),IF(A384="每日跟踪",IF(OR(B384="",H384="",I384="",J384=""),"每日数据不完整",IF(COUNTIFS($A$2:$A$497,"每日跟踪",$B$2:$B$497,B384,$H$2:$H$497,H384)&gt;1,"同一交易日期重复",IF(AND(R384&lt;&gt;"",R384&lt;S384),"人工止损无效：不能下调","跟踪有效"))),"记录类型无效")))</f>
        <v/>
      </c>
    </row>
    <row r="385" ht="17" spans="1:29">
      <c r="A385" s="2"/>
      <c r="B385" s="2"/>
      <c r="C385" s="8" t="str">
        <f>IF(B385="","",IFERROR(LOOKUP(2,1/(单次交易!$A$2:$A$163=B385),单次交易!$B$2:$B$163),""))</f>
        <v/>
      </c>
      <c r="D385" s="12"/>
      <c r="E385" s="10"/>
      <c r="F385" s="10"/>
      <c r="G385" s="2"/>
      <c r="H385" s="15"/>
      <c r="I385" s="10"/>
      <c r="J385" s="12"/>
      <c r="K385" s="2"/>
      <c r="L385" s="2"/>
      <c r="M385" s="2"/>
      <c r="N385" s="5" t="str">
        <f>IF(B385="","",IFERROR(LOOKUP(2,1/(单次交易!$A$2:$A$163=B385),单次交易!$N$2:$N$163),""))</f>
        <v/>
      </c>
      <c r="O385" s="5" t="str">
        <f t="shared" si="63"/>
        <v/>
      </c>
      <c r="P385" s="11" t="str">
        <f t="shared" si="64"/>
        <v/>
      </c>
      <c r="Q385" s="5" t="str">
        <f t="shared" si="65"/>
        <v/>
      </c>
      <c r="R385" s="10"/>
      <c r="S385" s="5" t="str">
        <f t="shared" si="66"/>
        <v/>
      </c>
      <c r="T385" s="5" t="str">
        <f t="shared" si="67"/>
        <v/>
      </c>
      <c r="U385" s="5" t="str">
        <f t="shared" si="68"/>
        <v/>
      </c>
      <c r="V385" s="7" t="str">
        <f t="shared" si="69"/>
        <v/>
      </c>
      <c r="W385" s="8" t="str">
        <f t="shared" si="70"/>
        <v/>
      </c>
      <c r="X385" s="2"/>
      <c r="Y385" s="10"/>
      <c r="Z385" s="11" t="str">
        <f>IF(X385&lt;&gt;"执行卖出","",IFERROR(LOOKUP(2,1/(单次交易!$A$2:$A$163=B385),单次交易!$AP$2:$AP$163),""))</f>
        <v/>
      </c>
      <c r="AA385" s="10"/>
      <c r="AB385" s="8" t="str">
        <f t="shared" si="71"/>
        <v/>
      </c>
      <c r="AC385" s="8" t="str">
        <f>IF(A385="","",IF(A385="止损计划",IF(OR(B385="",D385="",E385="",F385="",G385=""),"计划不完整",IF(OR(D385&lt;1,D385&lt;&gt;INT(D385)),"阶段序号无效",IF(COUNTIFS($A$2:$A$497,"止损计划",$B$2:$B$497,B385,$D$2:$D$497,D385)&gt;1,"阶段序号重复",IF(E385&lt;=IFERROR(LOOKUP(2,1/(单次交易!$A$2:$A$163=B385),单次交易!$E$2:$E$163),0),"激活价须高于买入价",IF(F385&lt;N385,"止损价不得低于初始止损",IF(F385&gt;E385,"止损价不得高于激活价",IF(AND(COUNTIFS($A$2:$A$497,"止损计划",$B$2:$B$497,B385,$D$2:$D$497,"&lt;"&amp;D385)&gt;0,OR(E385&lt;=SUMPRODUCT(MAX((($A$2:$A$497="止损计划")*($B$2:$B$497=B385)*($D$2:$D$497&lt;D385))*$E$2:$E$497)),F385&lt;SUMPRODUCT(MAX((($A$2:$A$497="止损计划")*($B$2:$B$497=B385)*($D$2:$D$497&lt;D385))*$F$2:$F$497)))),"阶段价格必须逐级提高","计划有效"))))))),IF(A385="每日跟踪",IF(OR(B385="",H385="",I385="",J385=""),"每日数据不完整",IF(COUNTIFS($A$2:$A$497,"每日跟踪",$B$2:$B$497,B385,$H$2:$H$497,H385)&gt;1,"同一交易日期重复",IF(AND(R385&lt;&gt;"",R385&lt;S385),"人工止损无效：不能下调","跟踪有效"))),"记录类型无效")))</f>
        <v/>
      </c>
    </row>
    <row r="386" ht="17" spans="1:29">
      <c r="A386" s="2"/>
      <c r="B386" s="2"/>
      <c r="C386" s="8" t="str">
        <f>IF(B386="","",IFERROR(LOOKUP(2,1/(单次交易!$A$2:$A$163=B386),单次交易!$B$2:$B$163),""))</f>
        <v/>
      </c>
      <c r="D386" s="12"/>
      <c r="E386" s="10"/>
      <c r="F386" s="10"/>
      <c r="G386" s="2"/>
      <c r="H386" s="15"/>
      <c r="I386" s="10"/>
      <c r="J386" s="12"/>
      <c r="K386" s="2"/>
      <c r="L386" s="2"/>
      <c r="M386" s="2"/>
      <c r="N386" s="5" t="str">
        <f>IF(B386="","",IFERROR(LOOKUP(2,1/(单次交易!$A$2:$A$163=B386),单次交易!$N$2:$N$163),""))</f>
        <v/>
      </c>
      <c r="O386" s="5" t="str">
        <f t="shared" si="63"/>
        <v/>
      </c>
      <c r="P386" s="11" t="str">
        <f t="shared" si="64"/>
        <v/>
      </c>
      <c r="Q386" s="5" t="str">
        <f t="shared" si="65"/>
        <v/>
      </c>
      <c r="R386" s="10"/>
      <c r="S386" s="5" t="str">
        <f t="shared" si="66"/>
        <v/>
      </c>
      <c r="T386" s="5" t="str">
        <f t="shared" si="67"/>
        <v/>
      </c>
      <c r="U386" s="5" t="str">
        <f t="shared" si="68"/>
        <v/>
      </c>
      <c r="V386" s="7" t="str">
        <f t="shared" si="69"/>
        <v/>
      </c>
      <c r="W386" s="8" t="str">
        <f t="shared" si="70"/>
        <v/>
      </c>
      <c r="X386" s="2"/>
      <c r="Y386" s="10"/>
      <c r="Z386" s="11" t="str">
        <f>IF(X386&lt;&gt;"执行卖出","",IFERROR(LOOKUP(2,1/(单次交易!$A$2:$A$163=B386),单次交易!$AP$2:$AP$163),""))</f>
        <v/>
      </c>
      <c r="AA386" s="10"/>
      <c r="AB386" s="8" t="str">
        <f t="shared" si="71"/>
        <v/>
      </c>
      <c r="AC386" s="8" t="str">
        <f>IF(A386="","",IF(A386="止损计划",IF(OR(B386="",D386="",E386="",F386="",G386=""),"计划不完整",IF(OR(D386&lt;1,D386&lt;&gt;INT(D386)),"阶段序号无效",IF(COUNTIFS($A$2:$A$497,"止损计划",$B$2:$B$497,B386,$D$2:$D$497,D386)&gt;1,"阶段序号重复",IF(E386&lt;=IFERROR(LOOKUP(2,1/(单次交易!$A$2:$A$163=B386),单次交易!$E$2:$E$163),0),"激活价须高于买入价",IF(F386&lt;N386,"止损价不得低于初始止损",IF(F386&gt;E386,"止损价不得高于激活价",IF(AND(COUNTIFS($A$2:$A$497,"止损计划",$B$2:$B$497,B386,$D$2:$D$497,"&lt;"&amp;D386)&gt;0,OR(E386&lt;=SUMPRODUCT(MAX((($A$2:$A$497="止损计划")*($B$2:$B$497=B386)*($D$2:$D$497&lt;D386))*$E$2:$E$497)),F386&lt;SUMPRODUCT(MAX((($A$2:$A$497="止损计划")*($B$2:$B$497=B386)*($D$2:$D$497&lt;D386))*$F$2:$F$497)))),"阶段价格必须逐级提高","计划有效"))))))),IF(A386="每日跟踪",IF(OR(B386="",H386="",I386="",J386=""),"每日数据不完整",IF(COUNTIFS($A$2:$A$497,"每日跟踪",$B$2:$B$497,B386,$H$2:$H$497,H386)&gt;1,"同一交易日期重复",IF(AND(R386&lt;&gt;"",R386&lt;S386),"人工止损无效：不能下调","跟踪有效"))),"记录类型无效")))</f>
        <v/>
      </c>
    </row>
    <row r="387" ht="17" spans="1:29">
      <c r="A387" s="2"/>
      <c r="B387" s="2"/>
      <c r="C387" s="8" t="str">
        <f>IF(B387="","",IFERROR(LOOKUP(2,1/(单次交易!$A$2:$A$163=B387),单次交易!$B$2:$B$163),""))</f>
        <v/>
      </c>
      <c r="D387" s="12"/>
      <c r="E387" s="10"/>
      <c r="F387" s="10"/>
      <c r="G387" s="2"/>
      <c r="H387" s="15"/>
      <c r="I387" s="10"/>
      <c r="J387" s="12"/>
      <c r="K387" s="2"/>
      <c r="L387" s="2"/>
      <c r="M387" s="2"/>
      <c r="N387" s="5" t="str">
        <f>IF(B387="","",IFERROR(LOOKUP(2,1/(单次交易!$A$2:$A$163=B387),单次交易!$N$2:$N$163),""))</f>
        <v/>
      </c>
      <c r="O387" s="5" t="str">
        <f t="shared" si="63"/>
        <v/>
      </c>
      <c r="P387" s="11" t="str">
        <f t="shared" si="64"/>
        <v/>
      </c>
      <c r="Q387" s="5" t="str">
        <f t="shared" si="65"/>
        <v/>
      </c>
      <c r="R387" s="10"/>
      <c r="S387" s="5" t="str">
        <f t="shared" si="66"/>
        <v/>
      </c>
      <c r="T387" s="5" t="str">
        <f t="shared" si="67"/>
        <v/>
      </c>
      <c r="U387" s="5" t="str">
        <f t="shared" si="68"/>
        <v/>
      </c>
      <c r="V387" s="7" t="str">
        <f t="shared" si="69"/>
        <v/>
      </c>
      <c r="W387" s="8" t="str">
        <f t="shared" si="70"/>
        <v/>
      </c>
      <c r="X387" s="2"/>
      <c r="Y387" s="10"/>
      <c r="Z387" s="11" t="str">
        <f>IF(X387&lt;&gt;"执行卖出","",IFERROR(LOOKUP(2,1/(单次交易!$A$2:$A$163=B387),单次交易!$AP$2:$AP$163),""))</f>
        <v/>
      </c>
      <c r="AA387" s="10"/>
      <c r="AB387" s="8" t="str">
        <f t="shared" si="71"/>
        <v/>
      </c>
      <c r="AC387" s="8" t="str">
        <f>IF(A387="","",IF(A387="止损计划",IF(OR(B387="",D387="",E387="",F387="",G387=""),"计划不完整",IF(OR(D387&lt;1,D387&lt;&gt;INT(D387)),"阶段序号无效",IF(COUNTIFS($A$2:$A$497,"止损计划",$B$2:$B$497,B387,$D$2:$D$497,D387)&gt;1,"阶段序号重复",IF(E387&lt;=IFERROR(LOOKUP(2,1/(单次交易!$A$2:$A$163=B387),单次交易!$E$2:$E$163),0),"激活价须高于买入价",IF(F387&lt;N387,"止损价不得低于初始止损",IF(F387&gt;E387,"止损价不得高于激活价",IF(AND(COUNTIFS($A$2:$A$497,"止损计划",$B$2:$B$497,B387,$D$2:$D$497,"&lt;"&amp;D387)&gt;0,OR(E387&lt;=SUMPRODUCT(MAX((($A$2:$A$497="止损计划")*($B$2:$B$497=B387)*($D$2:$D$497&lt;D387))*$E$2:$E$497)),F387&lt;SUMPRODUCT(MAX((($A$2:$A$497="止损计划")*($B$2:$B$497=B387)*($D$2:$D$497&lt;D387))*$F$2:$F$497)))),"阶段价格必须逐级提高","计划有效"))))))),IF(A387="每日跟踪",IF(OR(B387="",H387="",I387="",J387=""),"每日数据不完整",IF(COUNTIFS($A$2:$A$497,"每日跟踪",$B$2:$B$497,B387,$H$2:$H$497,H387)&gt;1,"同一交易日期重复",IF(AND(R387&lt;&gt;"",R387&lt;S387),"人工止损无效：不能下调","跟踪有效"))),"记录类型无效")))</f>
        <v/>
      </c>
    </row>
    <row r="388" ht="17" spans="1:29">
      <c r="A388" s="2"/>
      <c r="B388" s="2"/>
      <c r="C388" s="8" t="str">
        <f>IF(B388="","",IFERROR(LOOKUP(2,1/(单次交易!$A$2:$A$163=B388),单次交易!$B$2:$B$163),""))</f>
        <v/>
      </c>
      <c r="D388" s="12"/>
      <c r="E388" s="10"/>
      <c r="F388" s="10"/>
      <c r="G388" s="2"/>
      <c r="H388" s="15"/>
      <c r="I388" s="10"/>
      <c r="J388" s="12"/>
      <c r="K388" s="2"/>
      <c r="L388" s="2"/>
      <c r="M388" s="2"/>
      <c r="N388" s="5" t="str">
        <f>IF(B388="","",IFERROR(LOOKUP(2,1/(单次交易!$A$2:$A$163=B388),单次交易!$N$2:$N$163),""))</f>
        <v/>
      </c>
      <c r="O388" s="5" t="str">
        <f t="shared" si="63"/>
        <v/>
      </c>
      <c r="P388" s="11" t="str">
        <f t="shared" si="64"/>
        <v/>
      </c>
      <c r="Q388" s="5" t="str">
        <f t="shared" si="65"/>
        <v/>
      </c>
      <c r="R388" s="10"/>
      <c r="S388" s="5" t="str">
        <f t="shared" si="66"/>
        <v/>
      </c>
      <c r="T388" s="5" t="str">
        <f t="shared" si="67"/>
        <v/>
      </c>
      <c r="U388" s="5" t="str">
        <f t="shared" si="68"/>
        <v/>
      </c>
      <c r="V388" s="7" t="str">
        <f t="shared" si="69"/>
        <v/>
      </c>
      <c r="W388" s="8" t="str">
        <f t="shared" si="70"/>
        <v/>
      </c>
      <c r="X388" s="2"/>
      <c r="Y388" s="10"/>
      <c r="Z388" s="11" t="str">
        <f>IF(X388&lt;&gt;"执行卖出","",IFERROR(LOOKUP(2,1/(单次交易!$A$2:$A$163=B388),单次交易!$AP$2:$AP$163),""))</f>
        <v/>
      </c>
      <c r="AA388" s="10"/>
      <c r="AB388" s="8" t="str">
        <f t="shared" si="71"/>
        <v/>
      </c>
      <c r="AC388" s="8" t="str">
        <f>IF(A388="","",IF(A388="止损计划",IF(OR(B388="",D388="",E388="",F388="",G388=""),"计划不完整",IF(OR(D388&lt;1,D388&lt;&gt;INT(D388)),"阶段序号无效",IF(COUNTIFS($A$2:$A$497,"止损计划",$B$2:$B$497,B388,$D$2:$D$497,D388)&gt;1,"阶段序号重复",IF(E388&lt;=IFERROR(LOOKUP(2,1/(单次交易!$A$2:$A$163=B388),单次交易!$E$2:$E$163),0),"激活价须高于买入价",IF(F388&lt;N388,"止损价不得低于初始止损",IF(F388&gt;E388,"止损价不得高于激活价",IF(AND(COUNTIFS($A$2:$A$497,"止损计划",$B$2:$B$497,B388,$D$2:$D$497,"&lt;"&amp;D388)&gt;0,OR(E388&lt;=SUMPRODUCT(MAX((($A$2:$A$497="止损计划")*($B$2:$B$497=B388)*($D$2:$D$497&lt;D388))*$E$2:$E$497)),F388&lt;SUMPRODUCT(MAX((($A$2:$A$497="止损计划")*($B$2:$B$497=B388)*($D$2:$D$497&lt;D388))*$F$2:$F$497)))),"阶段价格必须逐级提高","计划有效"))))))),IF(A388="每日跟踪",IF(OR(B388="",H388="",I388="",J388=""),"每日数据不完整",IF(COUNTIFS($A$2:$A$497,"每日跟踪",$B$2:$B$497,B388,$H$2:$H$497,H388)&gt;1,"同一交易日期重复",IF(AND(R388&lt;&gt;"",R388&lt;S388),"人工止损无效：不能下调","跟踪有效"))),"记录类型无效")))</f>
        <v/>
      </c>
    </row>
    <row r="389" ht="17" spans="1:29">
      <c r="A389" s="2"/>
      <c r="B389" s="2"/>
      <c r="C389" s="8" t="str">
        <f>IF(B389="","",IFERROR(LOOKUP(2,1/(单次交易!$A$2:$A$163=B389),单次交易!$B$2:$B$163),""))</f>
        <v/>
      </c>
      <c r="D389" s="12"/>
      <c r="E389" s="10"/>
      <c r="F389" s="10"/>
      <c r="G389" s="2"/>
      <c r="H389" s="15"/>
      <c r="I389" s="10"/>
      <c r="J389" s="12"/>
      <c r="K389" s="2"/>
      <c r="L389" s="2"/>
      <c r="M389" s="2"/>
      <c r="N389" s="5" t="str">
        <f>IF(B389="","",IFERROR(LOOKUP(2,1/(单次交易!$A$2:$A$163=B389),单次交易!$N$2:$N$163),""))</f>
        <v/>
      </c>
      <c r="O389" s="5" t="str">
        <f t="shared" si="63"/>
        <v/>
      </c>
      <c r="P389" s="11" t="str">
        <f t="shared" si="64"/>
        <v/>
      </c>
      <c r="Q389" s="5" t="str">
        <f t="shared" si="65"/>
        <v/>
      </c>
      <c r="R389" s="10"/>
      <c r="S389" s="5" t="str">
        <f t="shared" si="66"/>
        <v/>
      </c>
      <c r="T389" s="5" t="str">
        <f t="shared" si="67"/>
        <v/>
      </c>
      <c r="U389" s="5" t="str">
        <f t="shared" si="68"/>
        <v/>
      </c>
      <c r="V389" s="7" t="str">
        <f t="shared" si="69"/>
        <v/>
      </c>
      <c r="W389" s="8" t="str">
        <f t="shared" si="70"/>
        <v/>
      </c>
      <c r="X389" s="2"/>
      <c r="Y389" s="10"/>
      <c r="Z389" s="11" t="str">
        <f>IF(X389&lt;&gt;"执行卖出","",IFERROR(LOOKUP(2,1/(单次交易!$A$2:$A$163=B389),单次交易!$AP$2:$AP$163),""))</f>
        <v/>
      </c>
      <c r="AA389" s="10"/>
      <c r="AB389" s="8" t="str">
        <f t="shared" si="71"/>
        <v/>
      </c>
      <c r="AC389" s="8" t="str">
        <f>IF(A389="","",IF(A389="止损计划",IF(OR(B389="",D389="",E389="",F389="",G389=""),"计划不完整",IF(OR(D389&lt;1,D389&lt;&gt;INT(D389)),"阶段序号无效",IF(COUNTIFS($A$2:$A$497,"止损计划",$B$2:$B$497,B389,$D$2:$D$497,D389)&gt;1,"阶段序号重复",IF(E389&lt;=IFERROR(LOOKUP(2,1/(单次交易!$A$2:$A$163=B389),单次交易!$E$2:$E$163),0),"激活价须高于买入价",IF(F389&lt;N389,"止损价不得低于初始止损",IF(F389&gt;E389,"止损价不得高于激活价",IF(AND(COUNTIFS($A$2:$A$497,"止损计划",$B$2:$B$497,B389,$D$2:$D$497,"&lt;"&amp;D389)&gt;0,OR(E389&lt;=SUMPRODUCT(MAX((($A$2:$A$497="止损计划")*($B$2:$B$497=B389)*($D$2:$D$497&lt;D389))*$E$2:$E$497)),F389&lt;SUMPRODUCT(MAX((($A$2:$A$497="止损计划")*($B$2:$B$497=B389)*($D$2:$D$497&lt;D389))*$F$2:$F$497)))),"阶段价格必须逐级提高","计划有效"))))))),IF(A389="每日跟踪",IF(OR(B389="",H389="",I389="",J389=""),"每日数据不完整",IF(COUNTIFS($A$2:$A$497,"每日跟踪",$B$2:$B$497,B389,$H$2:$H$497,H389)&gt;1,"同一交易日期重复",IF(AND(R389&lt;&gt;"",R389&lt;S389),"人工止损无效：不能下调","跟踪有效"))),"记录类型无效")))</f>
        <v/>
      </c>
    </row>
    <row r="390" ht="17" spans="1:29">
      <c r="A390" s="2"/>
      <c r="B390" s="2"/>
      <c r="C390" s="8" t="str">
        <f>IF(B390="","",IFERROR(LOOKUP(2,1/(单次交易!$A$2:$A$163=B390),单次交易!$B$2:$B$163),""))</f>
        <v/>
      </c>
      <c r="D390" s="12"/>
      <c r="E390" s="10"/>
      <c r="F390" s="10"/>
      <c r="G390" s="2"/>
      <c r="H390" s="15"/>
      <c r="I390" s="10"/>
      <c r="J390" s="12"/>
      <c r="K390" s="2"/>
      <c r="L390" s="2"/>
      <c r="M390" s="2"/>
      <c r="N390" s="5" t="str">
        <f>IF(B390="","",IFERROR(LOOKUP(2,1/(单次交易!$A$2:$A$163=B390),单次交易!$N$2:$N$163),""))</f>
        <v/>
      </c>
      <c r="O390" s="5" t="str">
        <f t="shared" si="63"/>
        <v/>
      </c>
      <c r="P390" s="11" t="str">
        <f t="shared" si="64"/>
        <v/>
      </c>
      <c r="Q390" s="5" t="str">
        <f t="shared" si="65"/>
        <v/>
      </c>
      <c r="R390" s="10"/>
      <c r="S390" s="5" t="str">
        <f t="shared" si="66"/>
        <v/>
      </c>
      <c r="T390" s="5" t="str">
        <f t="shared" si="67"/>
        <v/>
      </c>
      <c r="U390" s="5" t="str">
        <f t="shared" si="68"/>
        <v/>
      </c>
      <c r="V390" s="7" t="str">
        <f t="shared" si="69"/>
        <v/>
      </c>
      <c r="W390" s="8" t="str">
        <f t="shared" si="70"/>
        <v/>
      </c>
      <c r="X390" s="2"/>
      <c r="Y390" s="10"/>
      <c r="Z390" s="11" t="str">
        <f>IF(X390&lt;&gt;"执行卖出","",IFERROR(LOOKUP(2,1/(单次交易!$A$2:$A$163=B390),单次交易!$AP$2:$AP$163),""))</f>
        <v/>
      </c>
      <c r="AA390" s="10"/>
      <c r="AB390" s="8" t="str">
        <f t="shared" si="71"/>
        <v/>
      </c>
      <c r="AC390" s="8" t="str">
        <f>IF(A390="","",IF(A390="止损计划",IF(OR(B390="",D390="",E390="",F390="",G390=""),"计划不完整",IF(OR(D390&lt;1,D390&lt;&gt;INT(D390)),"阶段序号无效",IF(COUNTIFS($A$2:$A$497,"止损计划",$B$2:$B$497,B390,$D$2:$D$497,D390)&gt;1,"阶段序号重复",IF(E390&lt;=IFERROR(LOOKUP(2,1/(单次交易!$A$2:$A$163=B390),单次交易!$E$2:$E$163),0),"激活价须高于买入价",IF(F390&lt;N390,"止损价不得低于初始止损",IF(F390&gt;E390,"止损价不得高于激活价",IF(AND(COUNTIFS($A$2:$A$497,"止损计划",$B$2:$B$497,B390,$D$2:$D$497,"&lt;"&amp;D390)&gt;0,OR(E390&lt;=SUMPRODUCT(MAX((($A$2:$A$497="止损计划")*($B$2:$B$497=B390)*($D$2:$D$497&lt;D390))*$E$2:$E$497)),F390&lt;SUMPRODUCT(MAX((($A$2:$A$497="止损计划")*($B$2:$B$497=B390)*($D$2:$D$497&lt;D390))*$F$2:$F$497)))),"阶段价格必须逐级提高","计划有效"))))))),IF(A390="每日跟踪",IF(OR(B390="",H390="",I390="",J390=""),"每日数据不完整",IF(COUNTIFS($A$2:$A$497,"每日跟踪",$B$2:$B$497,B390,$H$2:$H$497,H390)&gt;1,"同一交易日期重复",IF(AND(R390&lt;&gt;"",R390&lt;S390),"人工止损无效：不能下调","跟踪有效"))),"记录类型无效")))</f>
        <v/>
      </c>
    </row>
    <row r="391" ht="17" spans="1:29">
      <c r="A391" s="2"/>
      <c r="B391" s="2"/>
      <c r="C391" s="8" t="str">
        <f>IF(B391="","",IFERROR(LOOKUP(2,1/(单次交易!$A$2:$A$163=B391),单次交易!$B$2:$B$163),""))</f>
        <v/>
      </c>
      <c r="D391" s="12"/>
      <c r="E391" s="10"/>
      <c r="F391" s="10"/>
      <c r="G391" s="2"/>
      <c r="H391" s="15"/>
      <c r="I391" s="10"/>
      <c r="J391" s="12"/>
      <c r="K391" s="2"/>
      <c r="L391" s="2"/>
      <c r="M391" s="2"/>
      <c r="N391" s="5" t="str">
        <f>IF(B391="","",IFERROR(LOOKUP(2,1/(单次交易!$A$2:$A$163=B391),单次交易!$N$2:$N$163),""))</f>
        <v/>
      </c>
      <c r="O391" s="5" t="str">
        <f t="shared" si="63"/>
        <v/>
      </c>
      <c r="P391" s="11" t="str">
        <f t="shared" si="64"/>
        <v/>
      </c>
      <c r="Q391" s="5" t="str">
        <f t="shared" si="65"/>
        <v/>
      </c>
      <c r="R391" s="10"/>
      <c r="S391" s="5" t="str">
        <f t="shared" si="66"/>
        <v/>
      </c>
      <c r="T391" s="5" t="str">
        <f t="shared" si="67"/>
        <v/>
      </c>
      <c r="U391" s="5" t="str">
        <f t="shared" si="68"/>
        <v/>
      </c>
      <c r="V391" s="7" t="str">
        <f t="shared" si="69"/>
        <v/>
      </c>
      <c r="W391" s="8" t="str">
        <f t="shared" si="70"/>
        <v/>
      </c>
      <c r="X391" s="2"/>
      <c r="Y391" s="10"/>
      <c r="Z391" s="11" t="str">
        <f>IF(X391&lt;&gt;"执行卖出","",IFERROR(LOOKUP(2,1/(单次交易!$A$2:$A$163=B391),单次交易!$AP$2:$AP$163),""))</f>
        <v/>
      </c>
      <c r="AA391" s="10"/>
      <c r="AB391" s="8" t="str">
        <f t="shared" si="71"/>
        <v/>
      </c>
      <c r="AC391" s="8" t="str">
        <f>IF(A391="","",IF(A391="止损计划",IF(OR(B391="",D391="",E391="",F391="",G391=""),"计划不完整",IF(OR(D391&lt;1,D391&lt;&gt;INT(D391)),"阶段序号无效",IF(COUNTIFS($A$2:$A$497,"止损计划",$B$2:$B$497,B391,$D$2:$D$497,D391)&gt;1,"阶段序号重复",IF(E391&lt;=IFERROR(LOOKUP(2,1/(单次交易!$A$2:$A$163=B391),单次交易!$E$2:$E$163),0),"激活价须高于买入价",IF(F391&lt;N391,"止损价不得低于初始止损",IF(F391&gt;E391,"止损价不得高于激活价",IF(AND(COUNTIFS($A$2:$A$497,"止损计划",$B$2:$B$497,B391,$D$2:$D$497,"&lt;"&amp;D391)&gt;0,OR(E391&lt;=SUMPRODUCT(MAX((($A$2:$A$497="止损计划")*($B$2:$B$497=B391)*($D$2:$D$497&lt;D391))*$E$2:$E$497)),F391&lt;SUMPRODUCT(MAX((($A$2:$A$497="止损计划")*($B$2:$B$497=B391)*($D$2:$D$497&lt;D391))*$F$2:$F$497)))),"阶段价格必须逐级提高","计划有效"))))))),IF(A391="每日跟踪",IF(OR(B391="",H391="",I391="",J391=""),"每日数据不完整",IF(COUNTIFS($A$2:$A$497,"每日跟踪",$B$2:$B$497,B391,$H$2:$H$497,H391)&gt;1,"同一交易日期重复",IF(AND(R391&lt;&gt;"",R391&lt;S391),"人工止损无效：不能下调","跟踪有效"))),"记录类型无效")))</f>
        <v/>
      </c>
    </row>
    <row r="392" ht="17" spans="1:29">
      <c r="A392" s="2"/>
      <c r="B392" s="2"/>
      <c r="C392" s="8" t="str">
        <f>IF(B392="","",IFERROR(LOOKUP(2,1/(单次交易!$A$2:$A$163=B392),单次交易!$B$2:$B$163),""))</f>
        <v/>
      </c>
      <c r="D392" s="12"/>
      <c r="E392" s="10"/>
      <c r="F392" s="10"/>
      <c r="G392" s="2"/>
      <c r="H392" s="15"/>
      <c r="I392" s="10"/>
      <c r="J392" s="12"/>
      <c r="K392" s="2"/>
      <c r="L392" s="2"/>
      <c r="M392" s="2"/>
      <c r="N392" s="5" t="str">
        <f>IF(B392="","",IFERROR(LOOKUP(2,1/(单次交易!$A$2:$A$163=B392),单次交易!$N$2:$N$163),""))</f>
        <v/>
      </c>
      <c r="O392" s="5" t="str">
        <f t="shared" si="63"/>
        <v/>
      </c>
      <c r="P392" s="11" t="str">
        <f t="shared" si="64"/>
        <v/>
      </c>
      <c r="Q392" s="5" t="str">
        <f t="shared" si="65"/>
        <v/>
      </c>
      <c r="R392" s="10"/>
      <c r="S392" s="5" t="str">
        <f t="shared" si="66"/>
        <v/>
      </c>
      <c r="T392" s="5" t="str">
        <f t="shared" si="67"/>
        <v/>
      </c>
      <c r="U392" s="5" t="str">
        <f t="shared" si="68"/>
        <v/>
      </c>
      <c r="V392" s="7" t="str">
        <f t="shared" si="69"/>
        <v/>
      </c>
      <c r="W392" s="8" t="str">
        <f t="shared" si="70"/>
        <v/>
      </c>
      <c r="X392" s="2"/>
      <c r="Y392" s="10"/>
      <c r="Z392" s="11" t="str">
        <f>IF(X392&lt;&gt;"执行卖出","",IFERROR(LOOKUP(2,1/(单次交易!$A$2:$A$163=B392),单次交易!$AP$2:$AP$163),""))</f>
        <v/>
      </c>
      <c r="AA392" s="10"/>
      <c r="AB392" s="8" t="str">
        <f t="shared" si="71"/>
        <v/>
      </c>
      <c r="AC392" s="8" t="str">
        <f>IF(A392="","",IF(A392="止损计划",IF(OR(B392="",D392="",E392="",F392="",G392=""),"计划不完整",IF(OR(D392&lt;1,D392&lt;&gt;INT(D392)),"阶段序号无效",IF(COUNTIFS($A$2:$A$497,"止损计划",$B$2:$B$497,B392,$D$2:$D$497,D392)&gt;1,"阶段序号重复",IF(E392&lt;=IFERROR(LOOKUP(2,1/(单次交易!$A$2:$A$163=B392),单次交易!$E$2:$E$163),0),"激活价须高于买入价",IF(F392&lt;N392,"止损价不得低于初始止损",IF(F392&gt;E392,"止损价不得高于激活价",IF(AND(COUNTIFS($A$2:$A$497,"止损计划",$B$2:$B$497,B392,$D$2:$D$497,"&lt;"&amp;D392)&gt;0,OR(E392&lt;=SUMPRODUCT(MAX((($A$2:$A$497="止损计划")*($B$2:$B$497=B392)*($D$2:$D$497&lt;D392))*$E$2:$E$497)),F392&lt;SUMPRODUCT(MAX((($A$2:$A$497="止损计划")*($B$2:$B$497=B392)*($D$2:$D$497&lt;D392))*$F$2:$F$497)))),"阶段价格必须逐级提高","计划有效"))))))),IF(A392="每日跟踪",IF(OR(B392="",H392="",I392="",J392=""),"每日数据不完整",IF(COUNTIFS($A$2:$A$497,"每日跟踪",$B$2:$B$497,B392,$H$2:$H$497,H392)&gt;1,"同一交易日期重复",IF(AND(R392&lt;&gt;"",R392&lt;S392),"人工止损无效：不能下调","跟踪有效"))),"记录类型无效")))</f>
        <v/>
      </c>
    </row>
    <row r="393" ht="17" spans="1:29">
      <c r="A393" s="2"/>
      <c r="B393" s="2"/>
      <c r="C393" s="8" t="str">
        <f>IF(B393="","",IFERROR(LOOKUP(2,1/(单次交易!$A$2:$A$163=B393),单次交易!$B$2:$B$163),""))</f>
        <v/>
      </c>
      <c r="D393" s="12"/>
      <c r="E393" s="10"/>
      <c r="F393" s="10"/>
      <c r="G393" s="2"/>
      <c r="H393" s="15"/>
      <c r="I393" s="10"/>
      <c r="J393" s="12"/>
      <c r="K393" s="2"/>
      <c r="L393" s="2"/>
      <c r="M393" s="2"/>
      <c r="N393" s="5" t="str">
        <f>IF(B393="","",IFERROR(LOOKUP(2,1/(单次交易!$A$2:$A$163=B393),单次交易!$N$2:$N$163),""))</f>
        <v/>
      </c>
      <c r="O393" s="5" t="str">
        <f t="shared" si="63"/>
        <v/>
      </c>
      <c r="P393" s="11" t="str">
        <f t="shared" si="64"/>
        <v/>
      </c>
      <c r="Q393" s="5" t="str">
        <f t="shared" si="65"/>
        <v/>
      </c>
      <c r="R393" s="10"/>
      <c r="S393" s="5" t="str">
        <f t="shared" si="66"/>
        <v/>
      </c>
      <c r="T393" s="5" t="str">
        <f t="shared" si="67"/>
        <v/>
      </c>
      <c r="U393" s="5" t="str">
        <f t="shared" si="68"/>
        <v/>
      </c>
      <c r="V393" s="7" t="str">
        <f t="shared" si="69"/>
        <v/>
      </c>
      <c r="W393" s="8" t="str">
        <f t="shared" si="70"/>
        <v/>
      </c>
      <c r="X393" s="2"/>
      <c r="Y393" s="10"/>
      <c r="Z393" s="11" t="str">
        <f>IF(X393&lt;&gt;"执行卖出","",IFERROR(LOOKUP(2,1/(单次交易!$A$2:$A$163=B393),单次交易!$AP$2:$AP$163),""))</f>
        <v/>
      </c>
      <c r="AA393" s="10"/>
      <c r="AB393" s="8" t="str">
        <f t="shared" si="71"/>
        <v/>
      </c>
      <c r="AC393" s="8" t="str">
        <f>IF(A393="","",IF(A393="止损计划",IF(OR(B393="",D393="",E393="",F393="",G393=""),"计划不完整",IF(OR(D393&lt;1,D393&lt;&gt;INT(D393)),"阶段序号无效",IF(COUNTIFS($A$2:$A$497,"止损计划",$B$2:$B$497,B393,$D$2:$D$497,D393)&gt;1,"阶段序号重复",IF(E393&lt;=IFERROR(LOOKUP(2,1/(单次交易!$A$2:$A$163=B393),单次交易!$E$2:$E$163),0),"激活价须高于买入价",IF(F393&lt;N393,"止损价不得低于初始止损",IF(F393&gt;E393,"止损价不得高于激活价",IF(AND(COUNTIFS($A$2:$A$497,"止损计划",$B$2:$B$497,B393,$D$2:$D$497,"&lt;"&amp;D393)&gt;0,OR(E393&lt;=SUMPRODUCT(MAX((($A$2:$A$497="止损计划")*($B$2:$B$497=B393)*($D$2:$D$497&lt;D393))*$E$2:$E$497)),F393&lt;SUMPRODUCT(MAX((($A$2:$A$497="止损计划")*($B$2:$B$497=B393)*($D$2:$D$497&lt;D393))*$F$2:$F$497)))),"阶段价格必须逐级提高","计划有效"))))))),IF(A393="每日跟踪",IF(OR(B393="",H393="",I393="",J393=""),"每日数据不完整",IF(COUNTIFS($A$2:$A$497,"每日跟踪",$B$2:$B$497,B393,$H$2:$H$497,H393)&gt;1,"同一交易日期重复",IF(AND(R393&lt;&gt;"",R393&lt;S393),"人工止损无效：不能下调","跟踪有效"))),"记录类型无效")))</f>
        <v/>
      </c>
    </row>
    <row r="394" ht="17" spans="1:29">
      <c r="A394" s="2"/>
      <c r="B394" s="2"/>
      <c r="C394" s="8" t="str">
        <f>IF(B394="","",IFERROR(LOOKUP(2,1/(单次交易!$A$2:$A$163=B394),单次交易!$B$2:$B$163),""))</f>
        <v/>
      </c>
      <c r="D394" s="12"/>
      <c r="E394" s="10"/>
      <c r="F394" s="10"/>
      <c r="G394" s="2"/>
      <c r="H394" s="15"/>
      <c r="I394" s="10"/>
      <c r="J394" s="12"/>
      <c r="K394" s="2"/>
      <c r="L394" s="2"/>
      <c r="M394" s="2"/>
      <c r="N394" s="5" t="str">
        <f>IF(B394="","",IFERROR(LOOKUP(2,1/(单次交易!$A$2:$A$163=B394),单次交易!$N$2:$N$163),""))</f>
        <v/>
      </c>
      <c r="O394" s="5" t="str">
        <f t="shared" si="63"/>
        <v/>
      </c>
      <c r="P394" s="11" t="str">
        <f t="shared" si="64"/>
        <v/>
      </c>
      <c r="Q394" s="5" t="str">
        <f t="shared" si="65"/>
        <v/>
      </c>
      <c r="R394" s="10"/>
      <c r="S394" s="5" t="str">
        <f t="shared" si="66"/>
        <v/>
      </c>
      <c r="T394" s="5" t="str">
        <f t="shared" si="67"/>
        <v/>
      </c>
      <c r="U394" s="5" t="str">
        <f t="shared" si="68"/>
        <v/>
      </c>
      <c r="V394" s="7" t="str">
        <f t="shared" si="69"/>
        <v/>
      </c>
      <c r="W394" s="8" t="str">
        <f t="shared" si="70"/>
        <v/>
      </c>
      <c r="X394" s="2"/>
      <c r="Y394" s="10"/>
      <c r="Z394" s="11" t="str">
        <f>IF(X394&lt;&gt;"执行卖出","",IFERROR(LOOKUP(2,1/(单次交易!$A$2:$A$163=B394),单次交易!$AP$2:$AP$163),""))</f>
        <v/>
      </c>
      <c r="AA394" s="10"/>
      <c r="AB394" s="8" t="str">
        <f t="shared" si="71"/>
        <v/>
      </c>
      <c r="AC394" s="8" t="str">
        <f>IF(A394="","",IF(A394="止损计划",IF(OR(B394="",D394="",E394="",F394="",G394=""),"计划不完整",IF(OR(D394&lt;1,D394&lt;&gt;INT(D394)),"阶段序号无效",IF(COUNTIFS($A$2:$A$497,"止损计划",$B$2:$B$497,B394,$D$2:$D$497,D394)&gt;1,"阶段序号重复",IF(E394&lt;=IFERROR(LOOKUP(2,1/(单次交易!$A$2:$A$163=B394),单次交易!$E$2:$E$163),0),"激活价须高于买入价",IF(F394&lt;N394,"止损价不得低于初始止损",IF(F394&gt;E394,"止损价不得高于激活价",IF(AND(COUNTIFS($A$2:$A$497,"止损计划",$B$2:$B$497,B394,$D$2:$D$497,"&lt;"&amp;D394)&gt;0,OR(E394&lt;=SUMPRODUCT(MAX((($A$2:$A$497="止损计划")*($B$2:$B$497=B394)*($D$2:$D$497&lt;D394))*$E$2:$E$497)),F394&lt;SUMPRODUCT(MAX((($A$2:$A$497="止损计划")*($B$2:$B$497=B394)*($D$2:$D$497&lt;D394))*$F$2:$F$497)))),"阶段价格必须逐级提高","计划有效"))))))),IF(A394="每日跟踪",IF(OR(B394="",H394="",I394="",J394=""),"每日数据不完整",IF(COUNTIFS($A$2:$A$497,"每日跟踪",$B$2:$B$497,B394,$H$2:$H$497,H394)&gt;1,"同一交易日期重复",IF(AND(R394&lt;&gt;"",R394&lt;S394),"人工止损无效：不能下调","跟踪有效"))),"记录类型无效")))</f>
        <v/>
      </c>
    </row>
    <row r="395" ht="17" spans="1:29">
      <c r="A395" s="2"/>
      <c r="B395" s="2"/>
      <c r="C395" s="8" t="str">
        <f>IF(B395="","",IFERROR(LOOKUP(2,1/(单次交易!$A$2:$A$163=B395),单次交易!$B$2:$B$163),""))</f>
        <v/>
      </c>
      <c r="D395" s="12"/>
      <c r="E395" s="10"/>
      <c r="F395" s="10"/>
      <c r="G395" s="2"/>
      <c r="H395" s="15"/>
      <c r="I395" s="10"/>
      <c r="J395" s="12"/>
      <c r="K395" s="2"/>
      <c r="L395" s="2"/>
      <c r="M395" s="2"/>
      <c r="N395" s="5" t="str">
        <f>IF(B395="","",IFERROR(LOOKUP(2,1/(单次交易!$A$2:$A$163=B395),单次交易!$N$2:$N$163),""))</f>
        <v/>
      </c>
      <c r="O395" s="5" t="str">
        <f t="shared" si="63"/>
        <v/>
      </c>
      <c r="P395" s="11" t="str">
        <f t="shared" si="64"/>
        <v/>
      </c>
      <c r="Q395" s="5" t="str">
        <f t="shared" si="65"/>
        <v/>
      </c>
      <c r="R395" s="10"/>
      <c r="S395" s="5" t="str">
        <f t="shared" si="66"/>
        <v/>
      </c>
      <c r="T395" s="5" t="str">
        <f t="shared" si="67"/>
        <v/>
      </c>
      <c r="U395" s="5" t="str">
        <f t="shared" si="68"/>
        <v/>
      </c>
      <c r="V395" s="7" t="str">
        <f t="shared" si="69"/>
        <v/>
      </c>
      <c r="W395" s="8" t="str">
        <f t="shared" si="70"/>
        <v/>
      </c>
      <c r="X395" s="2"/>
      <c r="Y395" s="10"/>
      <c r="Z395" s="11" t="str">
        <f>IF(X395&lt;&gt;"执行卖出","",IFERROR(LOOKUP(2,1/(单次交易!$A$2:$A$163=B395),单次交易!$AP$2:$AP$163),""))</f>
        <v/>
      </c>
      <c r="AA395" s="10"/>
      <c r="AB395" s="8" t="str">
        <f t="shared" si="71"/>
        <v/>
      </c>
      <c r="AC395" s="8" t="str">
        <f>IF(A395="","",IF(A395="止损计划",IF(OR(B395="",D395="",E395="",F395="",G395=""),"计划不完整",IF(OR(D395&lt;1,D395&lt;&gt;INT(D395)),"阶段序号无效",IF(COUNTIFS($A$2:$A$497,"止损计划",$B$2:$B$497,B395,$D$2:$D$497,D395)&gt;1,"阶段序号重复",IF(E395&lt;=IFERROR(LOOKUP(2,1/(单次交易!$A$2:$A$163=B395),单次交易!$E$2:$E$163),0),"激活价须高于买入价",IF(F395&lt;N395,"止损价不得低于初始止损",IF(F395&gt;E395,"止损价不得高于激活价",IF(AND(COUNTIFS($A$2:$A$497,"止损计划",$B$2:$B$497,B395,$D$2:$D$497,"&lt;"&amp;D395)&gt;0,OR(E395&lt;=SUMPRODUCT(MAX((($A$2:$A$497="止损计划")*($B$2:$B$497=B395)*($D$2:$D$497&lt;D395))*$E$2:$E$497)),F395&lt;SUMPRODUCT(MAX((($A$2:$A$497="止损计划")*($B$2:$B$497=B395)*($D$2:$D$497&lt;D395))*$F$2:$F$497)))),"阶段价格必须逐级提高","计划有效"))))))),IF(A395="每日跟踪",IF(OR(B395="",H395="",I395="",J395=""),"每日数据不完整",IF(COUNTIFS($A$2:$A$497,"每日跟踪",$B$2:$B$497,B395,$H$2:$H$497,H395)&gt;1,"同一交易日期重复",IF(AND(R395&lt;&gt;"",R395&lt;S395),"人工止损无效：不能下调","跟踪有效"))),"记录类型无效")))</f>
        <v/>
      </c>
    </row>
    <row r="396" ht="17" spans="1:29">
      <c r="A396" s="2"/>
      <c r="B396" s="2"/>
      <c r="C396" s="8" t="str">
        <f>IF(B396="","",IFERROR(LOOKUP(2,1/(单次交易!$A$2:$A$163=B396),单次交易!$B$2:$B$163),""))</f>
        <v/>
      </c>
      <c r="D396" s="12"/>
      <c r="E396" s="10"/>
      <c r="F396" s="10"/>
      <c r="G396" s="2"/>
      <c r="H396" s="15"/>
      <c r="I396" s="10"/>
      <c r="J396" s="12"/>
      <c r="K396" s="2"/>
      <c r="L396" s="2"/>
      <c r="M396" s="2"/>
      <c r="N396" s="5" t="str">
        <f>IF(B396="","",IFERROR(LOOKUP(2,1/(单次交易!$A$2:$A$163=B396),单次交易!$N$2:$N$163),""))</f>
        <v/>
      </c>
      <c r="O396" s="5" t="str">
        <f t="shared" si="63"/>
        <v/>
      </c>
      <c r="P396" s="11" t="str">
        <f t="shared" si="64"/>
        <v/>
      </c>
      <c r="Q396" s="5" t="str">
        <f t="shared" si="65"/>
        <v/>
      </c>
      <c r="R396" s="10"/>
      <c r="S396" s="5" t="str">
        <f t="shared" si="66"/>
        <v/>
      </c>
      <c r="T396" s="5" t="str">
        <f t="shared" si="67"/>
        <v/>
      </c>
      <c r="U396" s="5" t="str">
        <f t="shared" si="68"/>
        <v/>
      </c>
      <c r="V396" s="7" t="str">
        <f t="shared" si="69"/>
        <v/>
      </c>
      <c r="W396" s="8" t="str">
        <f t="shared" si="70"/>
        <v/>
      </c>
      <c r="X396" s="2"/>
      <c r="Y396" s="10"/>
      <c r="Z396" s="11" t="str">
        <f>IF(X396&lt;&gt;"执行卖出","",IFERROR(LOOKUP(2,1/(单次交易!$A$2:$A$163=B396),单次交易!$AP$2:$AP$163),""))</f>
        <v/>
      </c>
      <c r="AA396" s="10"/>
      <c r="AB396" s="8" t="str">
        <f t="shared" si="71"/>
        <v/>
      </c>
      <c r="AC396" s="8" t="str">
        <f>IF(A396="","",IF(A396="止损计划",IF(OR(B396="",D396="",E396="",F396="",G396=""),"计划不完整",IF(OR(D396&lt;1,D396&lt;&gt;INT(D396)),"阶段序号无效",IF(COUNTIFS($A$2:$A$497,"止损计划",$B$2:$B$497,B396,$D$2:$D$497,D396)&gt;1,"阶段序号重复",IF(E396&lt;=IFERROR(LOOKUP(2,1/(单次交易!$A$2:$A$163=B396),单次交易!$E$2:$E$163),0),"激活价须高于买入价",IF(F396&lt;N396,"止损价不得低于初始止损",IF(F396&gt;E396,"止损价不得高于激活价",IF(AND(COUNTIFS($A$2:$A$497,"止损计划",$B$2:$B$497,B396,$D$2:$D$497,"&lt;"&amp;D396)&gt;0,OR(E396&lt;=SUMPRODUCT(MAX((($A$2:$A$497="止损计划")*($B$2:$B$497=B396)*($D$2:$D$497&lt;D396))*$E$2:$E$497)),F396&lt;SUMPRODUCT(MAX((($A$2:$A$497="止损计划")*($B$2:$B$497=B396)*($D$2:$D$497&lt;D396))*$F$2:$F$497)))),"阶段价格必须逐级提高","计划有效"))))))),IF(A396="每日跟踪",IF(OR(B396="",H396="",I396="",J396=""),"每日数据不完整",IF(COUNTIFS($A$2:$A$497,"每日跟踪",$B$2:$B$497,B396,$H$2:$H$497,H396)&gt;1,"同一交易日期重复",IF(AND(R396&lt;&gt;"",R396&lt;S396),"人工止损无效：不能下调","跟踪有效"))),"记录类型无效")))</f>
        <v/>
      </c>
    </row>
    <row r="397" ht="17" spans="1:29">
      <c r="A397" s="2"/>
      <c r="B397" s="2"/>
      <c r="C397" s="8" t="str">
        <f>IF(B397="","",IFERROR(LOOKUP(2,1/(单次交易!$A$2:$A$163=B397),单次交易!$B$2:$B$163),""))</f>
        <v/>
      </c>
      <c r="D397" s="12"/>
      <c r="E397" s="10"/>
      <c r="F397" s="10"/>
      <c r="G397" s="2"/>
      <c r="H397" s="15"/>
      <c r="I397" s="10"/>
      <c r="J397" s="12"/>
      <c r="K397" s="2"/>
      <c r="L397" s="2"/>
      <c r="M397" s="2"/>
      <c r="N397" s="5" t="str">
        <f>IF(B397="","",IFERROR(LOOKUP(2,1/(单次交易!$A$2:$A$163=B397),单次交易!$N$2:$N$163),""))</f>
        <v/>
      </c>
      <c r="O397" s="5" t="str">
        <f t="shared" si="63"/>
        <v/>
      </c>
      <c r="P397" s="11" t="str">
        <f t="shared" si="64"/>
        <v/>
      </c>
      <c r="Q397" s="5" t="str">
        <f t="shared" si="65"/>
        <v/>
      </c>
      <c r="R397" s="10"/>
      <c r="S397" s="5" t="str">
        <f t="shared" si="66"/>
        <v/>
      </c>
      <c r="T397" s="5" t="str">
        <f t="shared" si="67"/>
        <v/>
      </c>
      <c r="U397" s="5" t="str">
        <f t="shared" si="68"/>
        <v/>
      </c>
      <c r="V397" s="7" t="str">
        <f t="shared" si="69"/>
        <v/>
      </c>
      <c r="W397" s="8" t="str">
        <f t="shared" si="70"/>
        <v/>
      </c>
      <c r="X397" s="2"/>
      <c r="Y397" s="10"/>
      <c r="Z397" s="11" t="str">
        <f>IF(X397&lt;&gt;"执行卖出","",IFERROR(LOOKUP(2,1/(单次交易!$A$2:$A$163=B397),单次交易!$AP$2:$AP$163),""))</f>
        <v/>
      </c>
      <c r="AA397" s="10"/>
      <c r="AB397" s="8" t="str">
        <f t="shared" si="71"/>
        <v/>
      </c>
      <c r="AC397" s="8" t="str">
        <f>IF(A397="","",IF(A397="止损计划",IF(OR(B397="",D397="",E397="",F397="",G397=""),"计划不完整",IF(OR(D397&lt;1,D397&lt;&gt;INT(D397)),"阶段序号无效",IF(COUNTIFS($A$2:$A$497,"止损计划",$B$2:$B$497,B397,$D$2:$D$497,D397)&gt;1,"阶段序号重复",IF(E397&lt;=IFERROR(LOOKUP(2,1/(单次交易!$A$2:$A$163=B397),单次交易!$E$2:$E$163),0),"激活价须高于买入价",IF(F397&lt;N397,"止损价不得低于初始止损",IF(F397&gt;E397,"止损价不得高于激活价",IF(AND(COUNTIFS($A$2:$A$497,"止损计划",$B$2:$B$497,B397,$D$2:$D$497,"&lt;"&amp;D397)&gt;0,OR(E397&lt;=SUMPRODUCT(MAX((($A$2:$A$497="止损计划")*($B$2:$B$497=B397)*($D$2:$D$497&lt;D397))*$E$2:$E$497)),F397&lt;SUMPRODUCT(MAX((($A$2:$A$497="止损计划")*($B$2:$B$497=B397)*($D$2:$D$497&lt;D397))*$F$2:$F$497)))),"阶段价格必须逐级提高","计划有效"))))))),IF(A397="每日跟踪",IF(OR(B397="",H397="",I397="",J397=""),"每日数据不完整",IF(COUNTIFS($A$2:$A$497,"每日跟踪",$B$2:$B$497,B397,$H$2:$H$497,H397)&gt;1,"同一交易日期重复",IF(AND(R397&lt;&gt;"",R397&lt;S397),"人工止损无效：不能下调","跟踪有效"))),"记录类型无效")))</f>
        <v/>
      </c>
    </row>
    <row r="398" ht="17" spans="1:29">
      <c r="A398" s="2"/>
      <c r="B398" s="2"/>
      <c r="C398" s="8" t="str">
        <f>IF(B398="","",IFERROR(LOOKUP(2,1/(单次交易!$A$2:$A$163=B398),单次交易!$B$2:$B$163),""))</f>
        <v/>
      </c>
      <c r="D398" s="12"/>
      <c r="E398" s="10"/>
      <c r="F398" s="10"/>
      <c r="G398" s="2"/>
      <c r="H398" s="15"/>
      <c r="I398" s="10"/>
      <c r="J398" s="12"/>
      <c r="K398" s="2"/>
      <c r="L398" s="2"/>
      <c r="M398" s="2"/>
      <c r="N398" s="5" t="str">
        <f>IF(B398="","",IFERROR(LOOKUP(2,1/(单次交易!$A$2:$A$163=B398),单次交易!$N$2:$N$163),""))</f>
        <v/>
      </c>
      <c r="O398" s="5" t="str">
        <f t="shared" si="63"/>
        <v/>
      </c>
      <c r="P398" s="11" t="str">
        <f t="shared" si="64"/>
        <v/>
      </c>
      <c r="Q398" s="5" t="str">
        <f t="shared" si="65"/>
        <v/>
      </c>
      <c r="R398" s="10"/>
      <c r="S398" s="5" t="str">
        <f t="shared" si="66"/>
        <v/>
      </c>
      <c r="T398" s="5" t="str">
        <f t="shared" si="67"/>
        <v/>
      </c>
      <c r="U398" s="5" t="str">
        <f t="shared" si="68"/>
        <v/>
      </c>
      <c r="V398" s="7" t="str">
        <f t="shared" si="69"/>
        <v/>
      </c>
      <c r="W398" s="8" t="str">
        <f t="shared" si="70"/>
        <v/>
      </c>
      <c r="X398" s="2"/>
      <c r="Y398" s="10"/>
      <c r="Z398" s="11" t="str">
        <f>IF(X398&lt;&gt;"执行卖出","",IFERROR(LOOKUP(2,1/(单次交易!$A$2:$A$163=B398),单次交易!$AP$2:$AP$163),""))</f>
        <v/>
      </c>
      <c r="AA398" s="10"/>
      <c r="AB398" s="8" t="str">
        <f t="shared" si="71"/>
        <v/>
      </c>
      <c r="AC398" s="8" t="str">
        <f>IF(A398="","",IF(A398="止损计划",IF(OR(B398="",D398="",E398="",F398="",G398=""),"计划不完整",IF(OR(D398&lt;1,D398&lt;&gt;INT(D398)),"阶段序号无效",IF(COUNTIFS($A$2:$A$497,"止损计划",$B$2:$B$497,B398,$D$2:$D$497,D398)&gt;1,"阶段序号重复",IF(E398&lt;=IFERROR(LOOKUP(2,1/(单次交易!$A$2:$A$163=B398),单次交易!$E$2:$E$163),0),"激活价须高于买入价",IF(F398&lt;N398,"止损价不得低于初始止损",IF(F398&gt;E398,"止损价不得高于激活价",IF(AND(COUNTIFS($A$2:$A$497,"止损计划",$B$2:$B$497,B398,$D$2:$D$497,"&lt;"&amp;D398)&gt;0,OR(E398&lt;=SUMPRODUCT(MAX((($A$2:$A$497="止损计划")*($B$2:$B$497=B398)*($D$2:$D$497&lt;D398))*$E$2:$E$497)),F398&lt;SUMPRODUCT(MAX((($A$2:$A$497="止损计划")*($B$2:$B$497=B398)*($D$2:$D$497&lt;D398))*$F$2:$F$497)))),"阶段价格必须逐级提高","计划有效"))))))),IF(A398="每日跟踪",IF(OR(B398="",H398="",I398="",J398=""),"每日数据不完整",IF(COUNTIFS($A$2:$A$497,"每日跟踪",$B$2:$B$497,B398,$H$2:$H$497,H398)&gt;1,"同一交易日期重复",IF(AND(R398&lt;&gt;"",R398&lt;S398),"人工止损无效：不能下调","跟踪有效"))),"记录类型无效")))</f>
        <v/>
      </c>
    </row>
    <row r="399" ht="17" spans="1:29">
      <c r="A399" s="2"/>
      <c r="B399" s="2"/>
      <c r="C399" s="8" t="str">
        <f>IF(B399="","",IFERROR(LOOKUP(2,1/(单次交易!$A$2:$A$163=B399),单次交易!$B$2:$B$163),""))</f>
        <v/>
      </c>
      <c r="D399" s="12"/>
      <c r="E399" s="10"/>
      <c r="F399" s="10"/>
      <c r="G399" s="2"/>
      <c r="H399" s="15"/>
      <c r="I399" s="10"/>
      <c r="J399" s="12"/>
      <c r="K399" s="2"/>
      <c r="L399" s="2"/>
      <c r="M399" s="2"/>
      <c r="N399" s="5" t="str">
        <f>IF(B399="","",IFERROR(LOOKUP(2,1/(单次交易!$A$2:$A$163=B399),单次交易!$N$2:$N$163),""))</f>
        <v/>
      </c>
      <c r="O399" s="5" t="str">
        <f t="shared" si="63"/>
        <v/>
      </c>
      <c r="P399" s="11" t="str">
        <f t="shared" si="64"/>
        <v/>
      </c>
      <c r="Q399" s="5" t="str">
        <f t="shared" si="65"/>
        <v/>
      </c>
      <c r="R399" s="10"/>
      <c r="S399" s="5" t="str">
        <f t="shared" si="66"/>
        <v/>
      </c>
      <c r="T399" s="5" t="str">
        <f t="shared" si="67"/>
        <v/>
      </c>
      <c r="U399" s="5" t="str">
        <f t="shared" si="68"/>
        <v/>
      </c>
      <c r="V399" s="7" t="str">
        <f t="shared" si="69"/>
        <v/>
      </c>
      <c r="W399" s="8" t="str">
        <f t="shared" si="70"/>
        <v/>
      </c>
      <c r="X399" s="2"/>
      <c r="Y399" s="10"/>
      <c r="Z399" s="11" t="str">
        <f>IF(X399&lt;&gt;"执行卖出","",IFERROR(LOOKUP(2,1/(单次交易!$A$2:$A$163=B399),单次交易!$AP$2:$AP$163),""))</f>
        <v/>
      </c>
      <c r="AA399" s="10"/>
      <c r="AB399" s="8" t="str">
        <f t="shared" si="71"/>
        <v/>
      </c>
      <c r="AC399" s="8" t="str">
        <f>IF(A399="","",IF(A399="止损计划",IF(OR(B399="",D399="",E399="",F399="",G399=""),"计划不完整",IF(OR(D399&lt;1,D399&lt;&gt;INT(D399)),"阶段序号无效",IF(COUNTIFS($A$2:$A$497,"止损计划",$B$2:$B$497,B399,$D$2:$D$497,D399)&gt;1,"阶段序号重复",IF(E399&lt;=IFERROR(LOOKUP(2,1/(单次交易!$A$2:$A$163=B399),单次交易!$E$2:$E$163),0),"激活价须高于买入价",IF(F399&lt;N399,"止损价不得低于初始止损",IF(F399&gt;E399,"止损价不得高于激活价",IF(AND(COUNTIFS($A$2:$A$497,"止损计划",$B$2:$B$497,B399,$D$2:$D$497,"&lt;"&amp;D399)&gt;0,OR(E399&lt;=SUMPRODUCT(MAX((($A$2:$A$497="止损计划")*($B$2:$B$497=B399)*($D$2:$D$497&lt;D399))*$E$2:$E$497)),F399&lt;SUMPRODUCT(MAX((($A$2:$A$497="止损计划")*($B$2:$B$497=B399)*($D$2:$D$497&lt;D399))*$F$2:$F$497)))),"阶段价格必须逐级提高","计划有效"))))))),IF(A399="每日跟踪",IF(OR(B399="",H399="",I399="",J399=""),"每日数据不完整",IF(COUNTIFS($A$2:$A$497,"每日跟踪",$B$2:$B$497,B399,$H$2:$H$497,H399)&gt;1,"同一交易日期重复",IF(AND(R399&lt;&gt;"",R399&lt;S399),"人工止损无效：不能下调","跟踪有效"))),"记录类型无效")))</f>
        <v/>
      </c>
    </row>
    <row r="400" ht="17" spans="1:29">
      <c r="A400" s="2"/>
      <c r="B400" s="2"/>
      <c r="C400" s="8" t="str">
        <f>IF(B400="","",IFERROR(LOOKUP(2,1/(单次交易!$A$2:$A$163=B400),单次交易!$B$2:$B$163),""))</f>
        <v/>
      </c>
      <c r="D400" s="12"/>
      <c r="E400" s="10"/>
      <c r="F400" s="10"/>
      <c r="G400" s="2"/>
      <c r="H400" s="15"/>
      <c r="I400" s="10"/>
      <c r="J400" s="12"/>
      <c r="K400" s="2"/>
      <c r="L400" s="2"/>
      <c r="M400" s="2"/>
      <c r="N400" s="5" t="str">
        <f>IF(B400="","",IFERROR(LOOKUP(2,1/(单次交易!$A$2:$A$163=B400),单次交易!$N$2:$N$163),""))</f>
        <v/>
      </c>
      <c r="O400" s="5" t="str">
        <f t="shared" si="63"/>
        <v/>
      </c>
      <c r="P400" s="11" t="str">
        <f t="shared" si="64"/>
        <v/>
      </c>
      <c r="Q400" s="5" t="str">
        <f t="shared" si="65"/>
        <v/>
      </c>
      <c r="R400" s="10"/>
      <c r="S400" s="5" t="str">
        <f t="shared" si="66"/>
        <v/>
      </c>
      <c r="T400" s="5" t="str">
        <f t="shared" si="67"/>
        <v/>
      </c>
      <c r="U400" s="5" t="str">
        <f t="shared" si="68"/>
        <v/>
      </c>
      <c r="V400" s="7" t="str">
        <f t="shared" si="69"/>
        <v/>
      </c>
      <c r="W400" s="8" t="str">
        <f t="shared" si="70"/>
        <v/>
      </c>
      <c r="X400" s="2"/>
      <c r="Y400" s="10"/>
      <c r="Z400" s="11" t="str">
        <f>IF(X400&lt;&gt;"执行卖出","",IFERROR(LOOKUP(2,1/(单次交易!$A$2:$A$163=B400),单次交易!$AP$2:$AP$163),""))</f>
        <v/>
      </c>
      <c r="AA400" s="10"/>
      <c r="AB400" s="8" t="str">
        <f t="shared" si="71"/>
        <v/>
      </c>
      <c r="AC400" s="8" t="str">
        <f>IF(A400="","",IF(A400="止损计划",IF(OR(B400="",D400="",E400="",F400="",G400=""),"计划不完整",IF(OR(D400&lt;1,D400&lt;&gt;INT(D400)),"阶段序号无效",IF(COUNTIFS($A$2:$A$497,"止损计划",$B$2:$B$497,B400,$D$2:$D$497,D400)&gt;1,"阶段序号重复",IF(E400&lt;=IFERROR(LOOKUP(2,1/(单次交易!$A$2:$A$163=B400),单次交易!$E$2:$E$163),0),"激活价须高于买入价",IF(F400&lt;N400,"止损价不得低于初始止损",IF(F400&gt;E400,"止损价不得高于激活价",IF(AND(COUNTIFS($A$2:$A$497,"止损计划",$B$2:$B$497,B400,$D$2:$D$497,"&lt;"&amp;D400)&gt;0,OR(E400&lt;=SUMPRODUCT(MAX((($A$2:$A$497="止损计划")*($B$2:$B$497=B400)*($D$2:$D$497&lt;D400))*$E$2:$E$497)),F400&lt;SUMPRODUCT(MAX((($A$2:$A$497="止损计划")*($B$2:$B$497=B400)*($D$2:$D$497&lt;D400))*$F$2:$F$497)))),"阶段价格必须逐级提高","计划有效"))))))),IF(A400="每日跟踪",IF(OR(B400="",H400="",I400="",J400=""),"每日数据不完整",IF(COUNTIFS($A$2:$A$497,"每日跟踪",$B$2:$B$497,B400,$H$2:$H$497,H400)&gt;1,"同一交易日期重复",IF(AND(R400&lt;&gt;"",R400&lt;S400),"人工止损无效：不能下调","跟踪有效"))),"记录类型无效")))</f>
        <v/>
      </c>
    </row>
    <row r="401" ht="17" spans="1:29">
      <c r="A401" s="2"/>
      <c r="B401" s="2"/>
      <c r="C401" s="8" t="str">
        <f>IF(B401="","",IFERROR(LOOKUP(2,1/(单次交易!$A$2:$A$163=B401),单次交易!$B$2:$B$163),""))</f>
        <v/>
      </c>
      <c r="D401" s="12"/>
      <c r="E401" s="10"/>
      <c r="F401" s="10"/>
      <c r="G401" s="2"/>
      <c r="H401" s="15"/>
      <c r="I401" s="10"/>
      <c r="J401" s="12"/>
      <c r="K401" s="2"/>
      <c r="L401" s="2"/>
      <c r="M401" s="2"/>
      <c r="N401" s="5" t="str">
        <f>IF(B401="","",IFERROR(LOOKUP(2,1/(单次交易!$A$2:$A$163=B401),单次交易!$N$2:$N$163),""))</f>
        <v/>
      </c>
      <c r="O401" s="5" t="str">
        <f t="shared" si="63"/>
        <v/>
      </c>
      <c r="P401" s="11" t="str">
        <f t="shared" si="64"/>
        <v/>
      </c>
      <c r="Q401" s="5" t="str">
        <f t="shared" si="65"/>
        <v/>
      </c>
      <c r="R401" s="10"/>
      <c r="S401" s="5" t="str">
        <f t="shared" si="66"/>
        <v/>
      </c>
      <c r="T401" s="5" t="str">
        <f t="shared" si="67"/>
        <v/>
      </c>
      <c r="U401" s="5" t="str">
        <f t="shared" si="68"/>
        <v/>
      </c>
      <c r="V401" s="7" t="str">
        <f t="shared" si="69"/>
        <v/>
      </c>
      <c r="W401" s="8" t="str">
        <f t="shared" si="70"/>
        <v/>
      </c>
      <c r="X401" s="2"/>
      <c r="Y401" s="10"/>
      <c r="Z401" s="11" t="str">
        <f>IF(X401&lt;&gt;"执行卖出","",IFERROR(LOOKUP(2,1/(单次交易!$A$2:$A$163=B401),单次交易!$AP$2:$AP$163),""))</f>
        <v/>
      </c>
      <c r="AA401" s="10"/>
      <c r="AB401" s="8" t="str">
        <f t="shared" si="71"/>
        <v/>
      </c>
      <c r="AC401" s="8" t="str">
        <f>IF(A401="","",IF(A401="止损计划",IF(OR(B401="",D401="",E401="",F401="",G401=""),"计划不完整",IF(OR(D401&lt;1,D401&lt;&gt;INT(D401)),"阶段序号无效",IF(COUNTIFS($A$2:$A$497,"止损计划",$B$2:$B$497,B401,$D$2:$D$497,D401)&gt;1,"阶段序号重复",IF(E401&lt;=IFERROR(LOOKUP(2,1/(单次交易!$A$2:$A$163=B401),单次交易!$E$2:$E$163),0),"激活价须高于买入价",IF(F401&lt;N401,"止损价不得低于初始止损",IF(F401&gt;E401,"止损价不得高于激活价",IF(AND(COUNTIFS($A$2:$A$497,"止损计划",$B$2:$B$497,B401,$D$2:$D$497,"&lt;"&amp;D401)&gt;0,OR(E401&lt;=SUMPRODUCT(MAX((($A$2:$A$497="止损计划")*($B$2:$B$497=B401)*($D$2:$D$497&lt;D401))*$E$2:$E$497)),F401&lt;SUMPRODUCT(MAX((($A$2:$A$497="止损计划")*($B$2:$B$497=B401)*($D$2:$D$497&lt;D401))*$F$2:$F$497)))),"阶段价格必须逐级提高","计划有效"))))))),IF(A401="每日跟踪",IF(OR(B401="",H401="",I401="",J401=""),"每日数据不完整",IF(COUNTIFS($A$2:$A$497,"每日跟踪",$B$2:$B$497,B401,$H$2:$H$497,H401)&gt;1,"同一交易日期重复",IF(AND(R401&lt;&gt;"",R401&lt;S401),"人工止损无效：不能下调","跟踪有效"))),"记录类型无效")))</f>
        <v/>
      </c>
    </row>
    <row r="402" ht="17" spans="1:29">
      <c r="A402" s="2"/>
      <c r="B402" s="2"/>
      <c r="C402" s="8" t="str">
        <f>IF(B402="","",IFERROR(LOOKUP(2,1/(单次交易!$A$2:$A$163=B402),单次交易!$B$2:$B$163),""))</f>
        <v/>
      </c>
      <c r="D402" s="12"/>
      <c r="E402" s="10"/>
      <c r="F402" s="10"/>
      <c r="G402" s="2"/>
      <c r="H402" s="15"/>
      <c r="I402" s="10"/>
      <c r="J402" s="12"/>
      <c r="K402" s="2"/>
      <c r="L402" s="2"/>
      <c r="M402" s="2"/>
      <c r="N402" s="5" t="str">
        <f>IF(B402="","",IFERROR(LOOKUP(2,1/(单次交易!$A$2:$A$163=B402),单次交易!$N$2:$N$163),""))</f>
        <v/>
      </c>
      <c r="O402" s="5" t="str">
        <f t="shared" si="63"/>
        <v/>
      </c>
      <c r="P402" s="11" t="str">
        <f t="shared" si="64"/>
        <v/>
      </c>
      <c r="Q402" s="5" t="str">
        <f t="shared" si="65"/>
        <v/>
      </c>
      <c r="R402" s="10"/>
      <c r="S402" s="5" t="str">
        <f t="shared" si="66"/>
        <v/>
      </c>
      <c r="T402" s="5" t="str">
        <f t="shared" si="67"/>
        <v/>
      </c>
      <c r="U402" s="5" t="str">
        <f t="shared" si="68"/>
        <v/>
      </c>
      <c r="V402" s="7" t="str">
        <f t="shared" si="69"/>
        <v/>
      </c>
      <c r="W402" s="8" t="str">
        <f t="shared" si="70"/>
        <v/>
      </c>
      <c r="X402" s="2"/>
      <c r="Y402" s="10"/>
      <c r="Z402" s="11" t="str">
        <f>IF(X402&lt;&gt;"执行卖出","",IFERROR(LOOKUP(2,1/(单次交易!$A$2:$A$163=B402),单次交易!$AP$2:$AP$163),""))</f>
        <v/>
      </c>
      <c r="AA402" s="10"/>
      <c r="AB402" s="8" t="str">
        <f t="shared" si="71"/>
        <v/>
      </c>
      <c r="AC402" s="8" t="str">
        <f>IF(A402="","",IF(A402="止损计划",IF(OR(B402="",D402="",E402="",F402="",G402=""),"计划不完整",IF(OR(D402&lt;1,D402&lt;&gt;INT(D402)),"阶段序号无效",IF(COUNTIFS($A$2:$A$497,"止损计划",$B$2:$B$497,B402,$D$2:$D$497,D402)&gt;1,"阶段序号重复",IF(E402&lt;=IFERROR(LOOKUP(2,1/(单次交易!$A$2:$A$163=B402),单次交易!$E$2:$E$163),0),"激活价须高于买入价",IF(F402&lt;N402,"止损价不得低于初始止损",IF(F402&gt;E402,"止损价不得高于激活价",IF(AND(COUNTIFS($A$2:$A$497,"止损计划",$B$2:$B$497,B402,$D$2:$D$497,"&lt;"&amp;D402)&gt;0,OR(E402&lt;=SUMPRODUCT(MAX((($A$2:$A$497="止损计划")*($B$2:$B$497=B402)*($D$2:$D$497&lt;D402))*$E$2:$E$497)),F402&lt;SUMPRODUCT(MAX((($A$2:$A$497="止损计划")*($B$2:$B$497=B402)*($D$2:$D$497&lt;D402))*$F$2:$F$497)))),"阶段价格必须逐级提高","计划有效"))))))),IF(A402="每日跟踪",IF(OR(B402="",H402="",I402="",J402=""),"每日数据不完整",IF(COUNTIFS($A$2:$A$497,"每日跟踪",$B$2:$B$497,B402,$H$2:$H$497,H402)&gt;1,"同一交易日期重复",IF(AND(R402&lt;&gt;"",R402&lt;S402),"人工止损无效：不能下调","跟踪有效"))),"记录类型无效")))</f>
        <v/>
      </c>
    </row>
    <row r="403" ht="17" spans="1:29">
      <c r="A403" s="2"/>
      <c r="B403" s="2"/>
      <c r="C403" s="8" t="str">
        <f>IF(B403="","",IFERROR(LOOKUP(2,1/(单次交易!$A$2:$A$163=B403),单次交易!$B$2:$B$163),""))</f>
        <v/>
      </c>
      <c r="D403" s="12"/>
      <c r="E403" s="10"/>
      <c r="F403" s="10"/>
      <c r="G403" s="2"/>
      <c r="H403" s="15"/>
      <c r="I403" s="10"/>
      <c r="J403" s="12"/>
      <c r="K403" s="2"/>
      <c r="L403" s="2"/>
      <c r="M403" s="2"/>
      <c r="N403" s="5" t="str">
        <f>IF(B403="","",IFERROR(LOOKUP(2,1/(单次交易!$A$2:$A$163=B403),单次交易!$N$2:$N$163),""))</f>
        <v/>
      </c>
      <c r="O403" s="5" t="str">
        <f t="shared" si="63"/>
        <v/>
      </c>
      <c r="P403" s="11" t="str">
        <f t="shared" si="64"/>
        <v/>
      </c>
      <c r="Q403" s="5" t="str">
        <f t="shared" si="65"/>
        <v/>
      </c>
      <c r="R403" s="10"/>
      <c r="S403" s="5" t="str">
        <f t="shared" si="66"/>
        <v/>
      </c>
      <c r="T403" s="5" t="str">
        <f t="shared" si="67"/>
        <v/>
      </c>
      <c r="U403" s="5" t="str">
        <f t="shared" si="68"/>
        <v/>
      </c>
      <c r="V403" s="7" t="str">
        <f t="shared" si="69"/>
        <v/>
      </c>
      <c r="W403" s="8" t="str">
        <f t="shared" si="70"/>
        <v/>
      </c>
      <c r="X403" s="2"/>
      <c r="Y403" s="10"/>
      <c r="Z403" s="11" t="str">
        <f>IF(X403&lt;&gt;"执行卖出","",IFERROR(LOOKUP(2,1/(单次交易!$A$2:$A$163=B403),单次交易!$AP$2:$AP$163),""))</f>
        <v/>
      </c>
      <c r="AA403" s="10"/>
      <c r="AB403" s="8" t="str">
        <f t="shared" si="71"/>
        <v/>
      </c>
      <c r="AC403" s="8" t="str">
        <f>IF(A403="","",IF(A403="止损计划",IF(OR(B403="",D403="",E403="",F403="",G403=""),"计划不完整",IF(OR(D403&lt;1,D403&lt;&gt;INT(D403)),"阶段序号无效",IF(COUNTIFS($A$2:$A$497,"止损计划",$B$2:$B$497,B403,$D$2:$D$497,D403)&gt;1,"阶段序号重复",IF(E403&lt;=IFERROR(LOOKUP(2,1/(单次交易!$A$2:$A$163=B403),单次交易!$E$2:$E$163),0),"激活价须高于买入价",IF(F403&lt;N403,"止损价不得低于初始止损",IF(F403&gt;E403,"止损价不得高于激活价",IF(AND(COUNTIFS($A$2:$A$497,"止损计划",$B$2:$B$497,B403,$D$2:$D$497,"&lt;"&amp;D403)&gt;0,OR(E403&lt;=SUMPRODUCT(MAX((($A$2:$A$497="止损计划")*($B$2:$B$497=B403)*($D$2:$D$497&lt;D403))*$E$2:$E$497)),F403&lt;SUMPRODUCT(MAX((($A$2:$A$497="止损计划")*($B$2:$B$497=B403)*($D$2:$D$497&lt;D403))*$F$2:$F$497)))),"阶段价格必须逐级提高","计划有效"))))))),IF(A403="每日跟踪",IF(OR(B403="",H403="",I403="",J403=""),"每日数据不完整",IF(COUNTIFS($A$2:$A$497,"每日跟踪",$B$2:$B$497,B403,$H$2:$H$497,H403)&gt;1,"同一交易日期重复",IF(AND(R403&lt;&gt;"",R403&lt;S403),"人工止损无效：不能下调","跟踪有效"))),"记录类型无效")))</f>
        <v/>
      </c>
    </row>
    <row r="404" ht="17" spans="1:29">
      <c r="A404" s="2"/>
      <c r="B404" s="2"/>
      <c r="C404" s="8" t="str">
        <f>IF(B404="","",IFERROR(LOOKUP(2,1/(单次交易!$A$2:$A$163=B404),单次交易!$B$2:$B$163),""))</f>
        <v/>
      </c>
      <c r="D404" s="12"/>
      <c r="E404" s="10"/>
      <c r="F404" s="10"/>
      <c r="G404" s="2"/>
      <c r="H404" s="15"/>
      <c r="I404" s="10"/>
      <c r="J404" s="12"/>
      <c r="K404" s="2"/>
      <c r="L404" s="2"/>
      <c r="M404" s="2"/>
      <c r="N404" s="5" t="str">
        <f>IF(B404="","",IFERROR(LOOKUP(2,1/(单次交易!$A$2:$A$163=B404),单次交易!$N$2:$N$163),""))</f>
        <v/>
      </c>
      <c r="O404" s="5" t="str">
        <f t="shared" si="63"/>
        <v/>
      </c>
      <c r="P404" s="11" t="str">
        <f t="shared" si="64"/>
        <v/>
      </c>
      <c r="Q404" s="5" t="str">
        <f t="shared" si="65"/>
        <v/>
      </c>
      <c r="R404" s="10"/>
      <c r="S404" s="5" t="str">
        <f t="shared" si="66"/>
        <v/>
      </c>
      <c r="T404" s="5" t="str">
        <f t="shared" si="67"/>
        <v/>
      </c>
      <c r="U404" s="5" t="str">
        <f t="shared" si="68"/>
        <v/>
      </c>
      <c r="V404" s="7" t="str">
        <f t="shared" si="69"/>
        <v/>
      </c>
      <c r="W404" s="8" t="str">
        <f t="shared" si="70"/>
        <v/>
      </c>
      <c r="X404" s="2"/>
      <c r="Y404" s="10"/>
      <c r="Z404" s="11" t="str">
        <f>IF(X404&lt;&gt;"执行卖出","",IFERROR(LOOKUP(2,1/(单次交易!$A$2:$A$163=B404),单次交易!$AP$2:$AP$163),""))</f>
        <v/>
      </c>
      <c r="AA404" s="10"/>
      <c r="AB404" s="8" t="str">
        <f t="shared" si="71"/>
        <v/>
      </c>
      <c r="AC404" s="8" t="str">
        <f>IF(A404="","",IF(A404="止损计划",IF(OR(B404="",D404="",E404="",F404="",G404=""),"计划不完整",IF(OR(D404&lt;1,D404&lt;&gt;INT(D404)),"阶段序号无效",IF(COUNTIFS($A$2:$A$497,"止损计划",$B$2:$B$497,B404,$D$2:$D$497,D404)&gt;1,"阶段序号重复",IF(E404&lt;=IFERROR(LOOKUP(2,1/(单次交易!$A$2:$A$163=B404),单次交易!$E$2:$E$163),0),"激活价须高于买入价",IF(F404&lt;N404,"止损价不得低于初始止损",IF(F404&gt;E404,"止损价不得高于激活价",IF(AND(COUNTIFS($A$2:$A$497,"止损计划",$B$2:$B$497,B404,$D$2:$D$497,"&lt;"&amp;D404)&gt;0,OR(E404&lt;=SUMPRODUCT(MAX((($A$2:$A$497="止损计划")*($B$2:$B$497=B404)*($D$2:$D$497&lt;D404))*$E$2:$E$497)),F404&lt;SUMPRODUCT(MAX((($A$2:$A$497="止损计划")*($B$2:$B$497=B404)*($D$2:$D$497&lt;D404))*$F$2:$F$497)))),"阶段价格必须逐级提高","计划有效"))))))),IF(A404="每日跟踪",IF(OR(B404="",H404="",I404="",J404=""),"每日数据不完整",IF(COUNTIFS($A$2:$A$497,"每日跟踪",$B$2:$B$497,B404,$H$2:$H$497,H404)&gt;1,"同一交易日期重复",IF(AND(R404&lt;&gt;"",R404&lt;S404),"人工止损无效：不能下调","跟踪有效"))),"记录类型无效")))</f>
        <v/>
      </c>
    </row>
    <row r="405" ht="17" spans="1:29">
      <c r="A405" s="2"/>
      <c r="B405" s="2"/>
      <c r="C405" s="8" t="str">
        <f>IF(B405="","",IFERROR(LOOKUP(2,1/(单次交易!$A$2:$A$163=B405),单次交易!$B$2:$B$163),""))</f>
        <v/>
      </c>
      <c r="D405" s="12"/>
      <c r="E405" s="10"/>
      <c r="F405" s="10"/>
      <c r="G405" s="2"/>
      <c r="H405" s="15"/>
      <c r="I405" s="10"/>
      <c r="J405" s="12"/>
      <c r="K405" s="2"/>
      <c r="L405" s="2"/>
      <c r="M405" s="2"/>
      <c r="N405" s="5" t="str">
        <f>IF(B405="","",IFERROR(LOOKUP(2,1/(单次交易!$A$2:$A$163=B405),单次交易!$N$2:$N$163),""))</f>
        <v/>
      </c>
      <c r="O405" s="5" t="str">
        <f t="shared" si="63"/>
        <v/>
      </c>
      <c r="P405" s="11" t="str">
        <f t="shared" si="64"/>
        <v/>
      </c>
      <c r="Q405" s="5" t="str">
        <f t="shared" si="65"/>
        <v/>
      </c>
      <c r="R405" s="10"/>
      <c r="S405" s="5" t="str">
        <f t="shared" si="66"/>
        <v/>
      </c>
      <c r="T405" s="5" t="str">
        <f t="shared" si="67"/>
        <v/>
      </c>
      <c r="U405" s="5" t="str">
        <f t="shared" si="68"/>
        <v/>
      </c>
      <c r="V405" s="7" t="str">
        <f t="shared" si="69"/>
        <v/>
      </c>
      <c r="W405" s="8" t="str">
        <f t="shared" si="70"/>
        <v/>
      </c>
      <c r="X405" s="2"/>
      <c r="Y405" s="10"/>
      <c r="Z405" s="11" t="str">
        <f>IF(X405&lt;&gt;"执行卖出","",IFERROR(LOOKUP(2,1/(单次交易!$A$2:$A$163=B405),单次交易!$AP$2:$AP$163),""))</f>
        <v/>
      </c>
      <c r="AA405" s="10"/>
      <c r="AB405" s="8" t="str">
        <f t="shared" si="71"/>
        <v/>
      </c>
      <c r="AC405" s="8" t="str">
        <f>IF(A405="","",IF(A405="止损计划",IF(OR(B405="",D405="",E405="",F405="",G405=""),"计划不完整",IF(OR(D405&lt;1,D405&lt;&gt;INT(D405)),"阶段序号无效",IF(COUNTIFS($A$2:$A$497,"止损计划",$B$2:$B$497,B405,$D$2:$D$497,D405)&gt;1,"阶段序号重复",IF(E405&lt;=IFERROR(LOOKUP(2,1/(单次交易!$A$2:$A$163=B405),单次交易!$E$2:$E$163),0),"激活价须高于买入价",IF(F405&lt;N405,"止损价不得低于初始止损",IF(F405&gt;E405,"止损价不得高于激活价",IF(AND(COUNTIFS($A$2:$A$497,"止损计划",$B$2:$B$497,B405,$D$2:$D$497,"&lt;"&amp;D405)&gt;0,OR(E405&lt;=SUMPRODUCT(MAX((($A$2:$A$497="止损计划")*($B$2:$B$497=B405)*($D$2:$D$497&lt;D405))*$E$2:$E$497)),F405&lt;SUMPRODUCT(MAX((($A$2:$A$497="止损计划")*($B$2:$B$497=B405)*($D$2:$D$497&lt;D405))*$F$2:$F$497)))),"阶段价格必须逐级提高","计划有效"))))))),IF(A405="每日跟踪",IF(OR(B405="",H405="",I405="",J405=""),"每日数据不完整",IF(COUNTIFS($A$2:$A$497,"每日跟踪",$B$2:$B$497,B405,$H$2:$H$497,H405)&gt;1,"同一交易日期重复",IF(AND(R405&lt;&gt;"",R405&lt;S405),"人工止损无效：不能下调","跟踪有效"))),"记录类型无效")))</f>
        <v/>
      </c>
    </row>
    <row r="406" ht="17" spans="1:29">
      <c r="A406" s="2"/>
      <c r="B406" s="2"/>
      <c r="C406" s="8" t="str">
        <f>IF(B406="","",IFERROR(LOOKUP(2,1/(单次交易!$A$2:$A$163=B406),单次交易!$B$2:$B$163),""))</f>
        <v/>
      </c>
      <c r="D406" s="12"/>
      <c r="E406" s="10"/>
      <c r="F406" s="10"/>
      <c r="G406" s="2"/>
      <c r="H406" s="15"/>
      <c r="I406" s="10"/>
      <c r="J406" s="12"/>
      <c r="K406" s="2"/>
      <c r="L406" s="2"/>
      <c r="M406" s="2"/>
      <c r="N406" s="5" t="str">
        <f>IF(B406="","",IFERROR(LOOKUP(2,1/(单次交易!$A$2:$A$163=B406),单次交易!$N$2:$N$163),""))</f>
        <v/>
      </c>
      <c r="O406" s="5" t="str">
        <f t="shared" si="63"/>
        <v/>
      </c>
      <c r="P406" s="11" t="str">
        <f t="shared" si="64"/>
        <v/>
      </c>
      <c r="Q406" s="5" t="str">
        <f t="shared" si="65"/>
        <v/>
      </c>
      <c r="R406" s="10"/>
      <c r="S406" s="5" t="str">
        <f t="shared" si="66"/>
        <v/>
      </c>
      <c r="T406" s="5" t="str">
        <f t="shared" si="67"/>
        <v/>
      </c>
      <c r="U406" s="5" t="str">
        <f t="shared" si="68"/>
        <v/>
      </c>
      <c r="V406" s="7" t="str">
        <f t="shared" si="69"/>
        <v/>
      </c>
      <c r="W406" s="8" t="str">
        <f t="shared" si="70"/>
        <v/>
      </c>
      <c r="X406" s="2"/>
      <c r="Y406" s="10"/>
      <c r="Z406" s="11" t="str">
        <f>IF(X406&lt;&gt;"执行卖出","",IFERROR(LOOKUP(2,1/(单次交易!$A$2:$A$163=B406),单次交易!$AP$2:$AP$163),""))</f>
        <v/>
      </c>
      <c r="AA406" s="10"/>
      <c r="AB406" s="8" t="str">
        <f t="shared" si="71"/>
        <v/>
      </c>
      <c r="AC406" s="8" t="str">
        <f>IF(A406="","",IF(A406="止损计划",IF(OR(B406="",D406="",E406="",F406="",G406=""),"计划不完整",IF(OR(D406&lt;1,D406&lt;&gt;INT(D406)),"阶段序号无效",IF(COUNTIFS($A$2:$A$497,"止损计划",$B$2:$B$497,B406,$D$2:$D$497,D406)&gt;1,"阶段序号重复",IF(E406&lt;=IFERROR(LOOKUP(2,1/(单次交易!$A$2:$A$163=B406),单次交易!$E$2:$E$163),0),"激活价须高于买入价",IF(F406&lt;N406,"止损价不得低于初始止损",IF(F406&gt;E406,"止损价不得高于激活价",IF(AND(COUNTIFS($A$2:$A$497,"止损计划",$B$2:$B$497,B406,$D$2:$D$497,"&lt;"&amp;D406)&gt;0,OR(E406&lt;=SUMPRODUCT(MAX((($A$2:$A$497="止损计划")*($B$2:$B$497=B406)*($D$2:$D$497&lt;D406))*$E$2:$E$497)),F406&lt;SUMPRODUCT(MAX((($A$2:$A$497="止损计划")*($B$2:$B$497=B406)*($D$2:$D$497&lt;D406))*$F$2:$F$497)))),"阶段价格必须逐级提高","计划有效"))))))),IF(A406="每日跟踪",IF(OR(B406="",H406="",I406="",J406=""),"每日数据不完整",IF(COUNTIFS($A$2:$A$497,"每日跟踪",$B$2:$B$497,B406,$H$2:$H$497,H406)&gt;1,"同一交易日期重复",IF(AND(R406&lt;&gt;"",R406&lt;S406),"人工止损无效：不能下调","跟踪有效"))),"记录类型无效")))</f>
        <v/>
      </c>
    </row>
    <row r="407" ht="17" spans="1:29">
      <c r="A407" s="2"/>
      <c r="B407" s="2"/>
      <c r="C407" s="8" t="str">
        <f>IF(B407="","",IFERROR(LOOKUP(2,1/(单次交易!$A$2:$A$163=B407),单次交易!$B$2:$B$163),""))</f>
        <v/>
      </c>
      <c r="D407" s="12"/>
      <c r="E407" s="10"/>
      <c r="F407" s="10"/>
      <c r="G407" s="2"/>
      <c r="H407" s="15"/>
      <c r="I407" s="10"/>
      <c r="J407" s="12"/>
      <c r="K407" s="2"/>
      <c r="L407" s="2"/>
      <c r="M407" s="2"/>
      <c r="N407" s="5" t="str">
        <f>IF(B407="","",IFERROR(LOOKUP(2,1/(单次交易!$A$2:$A$163=B407),单次交易!$N$2:$N$163),""))</f>
        <v/>
      </c>
      <c r="O407" s="5" t="str">
        <f t="shared" si="63"/>
        <v/>
      </c>
      <c r="P407" s="11" t="str">
        <f t="shared" si="64"/>
        <v/>
      </c>
      <c r="Q407" s="5" t="str">
        <f t="shared" si="65"/>
        <v/>
      </c>
      <c r="R407" s="10"/>
      <c r="S407" s="5" t="str">
        <f t="shared" si="66"/>
        <v/>
      </c>
      <c r="T407" s="5" t="str">
        <f t="shared" si="67"/>
        <v/>
      </c>
      <c r="U407" s="5" t="str">
        <f t="shared" si="68"/>
        <v/>
      </c>
      <c r="V407" s="7" t="str">
        <f t="shared" si="69"/>
        <v/>
      </c>
      <c r="W407" s="8" t="str">
        <f t="shared" si="70"/>
        <v/>
      </c>
      <c r="X407" s="2"/>
      <c r="Y407" s="10"/>
      <c r="Z407" s="11" t="str">
        <f>IF(X407&lt;&gt;"执行卖出","",IFERROR(LOOKUP(2,1/(单次交易!$A$2:$A$163=B407),单次交易!$AP$2:$AP$163),""))</f>
        <v/>
      </c>
      <c r="AA407" s="10"/>
      <c r="AB407" s="8" t="str">
        <f t="shared" si="71"/>
        <v/>
      </c>
      <c r="AC407" s="8" t="str">
        <f>IF(A407="","",IF(A407="止损计划",IF(OR(B407="",D407="",E407="",F407="",G407=""),"计划不完整",IF(OR(D407&lt;1,D407&lt;&gt;INT(D407)),"阶段序号无效",IF(COUNTIFS($A$2:$A$497,"止损计划",$B$2:$B$497,B407,$D$2:$D$497,D407)&gt;1,"阶段序号重复",IF(E407&lt;=IFERROR(LOOKUP(2,1/(单次交易!$A$2:$A$163=B407),单次交易!$E$2:$E$163),0),"激活价须高于买入价",IF(F407&lt;N407,"止损价不得低于初始止损",IF(F407&gt;E407,"止损价不得高于激活价",IF(AND(COUNTIFS($A$2:$A$497,"止损计划",$B$2:$B$497,B407,$D$2:$D$497,"&lt;"&amp;D407)&gt;0,OR(E407&lt;=SUMPRODUCT(MAX((($A$2:$A$497="止损计划")*($B$2:$B$497=B407)*($D$2:$D$497&lt;D407))*$E$2:$E$497)),F407&lt;SUMPRODUCT(MAX((($A$2:$A$497="止损计划")*($B$2:$B$497=B407)*($D$2:$D$497&lt;D407))*$F$2:$F$497)))),"阶段价格必须逐级提高","计划有效"))))))),IF(A407="每日跟踪",IF(OR(B407="",H407="",I407="",J407=""),"每日数据不完整",IF(COUNTIFS($A$2:$A$497,"每日跟踪",$B$2:$B$497,B407,$H$2:$H$497,H407)&gt;1,"同一交易日期重复",IF(AND(R407&lt;&gt;"",R407&lt;S407),"人工止损无效：不能下调","跟踪有效"))),"记录类型无效")))</f>
        <v/>
      </c>
    </row>
    <row r="408" ht="17" spans="1:29">
      <c r="A408" s="2"/>
      <c r="B408" s="2"/>
      <c r="C408" s="8" t="str">
        <f>IF(B408="","",IFERROR(LOOKUP(2,1/(单次交易!$A$2:$A$163=B408),单次交易!$B$2:$B$163),""))</f>
        <v/>
      </c>
      <c r="D408" s="12"/>
      <c r="E408" s="10"/>
      <c r="F408" s="10"/>
      <c r="G408" s="2"/>
      <c r="H408" s="15"/>
      <c r="I408" s="10"/>
      <c r="J408" s="12"/>
      <c r="K408" s="2"/>
      <c r="L408" s="2"/>
      <c r="M408" s="2"/>
      <c r="N408" s="5" t="str">
        <f>IF(B408="","",IFERROR(LOOKUP(2,1/(单次交易!$A$2:$A$163=B408),单次交易!$N$2:$N$163),""))</f>
        <v/>
      </c>
      <c r="O408" s="5" t="str">
        <f t="shared" si="63"/>
        <v/>
      </c>
      <c r="P408" s="11" t="str">
        <f t="shared" si="64"/>
        <v/>
      </c>
      <c r="Q408" s="5" t="str">
        <f t="shared" si="65"/>
        <v/>
      </c>
      <c r="R408" s="10"/>
      <c r="S408" s="5" t="str">
        <f t="shared" si="66"/>
        <v/>
      </c>
      <c r="T408" s="5" t="str">
        <f t="shared" si="67"/>
        <v/>
      </c>
      <c r="U408" s="5" t="str">
        <f t="shared" si="68"/>
        <v/>
      </c>
      <c r="V408" s="7" t="str">
        <f t="shared" si="69"/>
        <v/>
      </c>
      <c r="W408" s="8" t="str">
        <f t="shared" si="70"/>
        <v/>
      </c>
      <c r="X408" s="2"/>
      <c r="Y408" s="10"/>
      <c r="Z408" s="11" t="str">
        <f>IF(X408&lt;&gt;"执行卖出","",IFERROR(LOOKUP(2,1/(单次交易!$A$2:$A$163=B408),单次交易!$AP$2:$AP$163),""))</f>
        <v/>
      </c>
      <c r="AA408" s="10"/>
      <c r="AB408" s="8" t="str">
        <f t="shared" si="71"/>
        <v/>
      </c>
      <c r="AC408" s="8" t="str">
        <f>IF(A408="","",IF(A408="止损计划",IF(OR(B408="",D408="",E408="",F408="",G408=""),"计划不完整",IF(OR(D408&lt;1,D408&lt;&gt;INT(D408)),"阶段序号无效",IF(COUNTIFS($A$2:$A$497,"止损计划",$B$2:$B$497,B408,$D$2:$D$497,D408)&gt;1,"阶段序号重复",IF(E408&lt;=IFERROR(LOOKUP(2,1/(单次交易!$A$2:$A$163=B408),单次交易!$E$2:$E$163),0),"激活价须高于买入价",IF(F408&lt;N408,"止损价不得低于初始止损",IF(F408&gt;E408,"止损价不得高于激活价",IF(AND(COUNTIFS($A$2:$A$497,"止损计划",$B$2:$B$497,B408,$D$2:$D$497,"&lt;"&amp;D408)&gt;0,OR(E408&lt;=SUMPRODUCT(MAX((($A$2:$A$497="止损计划")*($B$2:$B$497=B408)*($D$2:$D$497&lt;D408))*$E$2:$E$497)),F408&lt;SUMPRODUCT(MAX((($A$2:$A$497="止损计划")*($B$2:$B$497=B408)*($D$2:$D$497&lt;D408))*$F$2:$F$497)))),"阶段价格必须逐级提高","计划有效"))))))),IF(A408="每日跟踪",IF(OR(B408="",H408="",I408="",J408=""),"每日数据不完整",IF(COUNTIFS($A$2:$A$497,"每日跟踪",$B$2:$B$497,B408,$H$2:$H$497,H408)&gt;1,"同一交易日期重复",IF(AND(R408&lt;&gt;"",R408&lt;S408),"人工止损无效：不能下调","跟踪有效"))),"记录类型无效")))</f>
        <v/>
      </c>
    </row>
    <row r="409" ht="17" spans="1:29">
      <c r="A409" s="2"/>
      <c r="B409" s="2"/>
      <c r="C409" s="8" t="str">
        <f>IF(B409="","",IFERROR(LOOKUP(2,1/(单次交易!$A$2:$A$163=B409),单次交易!$B$2:$B$163),""))</f>
        <v/>
      </c>
      <c r="D409" s="12"/>
      <c r="E409" s="10"/>
      <c r="F409" s="10"/>
      <c r="G409" s="2"/>
      <c r="H409" s="15"/>
      <c r="I409" s="10"/>
      <c r="J409" s="12"/>
      <c r="K409" s="2"/>
      <c r="L409" s="2"/>
      <c r="M409" s="2"/>
      <c r="N409" s="5" t="str">
        <f>IF(B409="","",IFERROR(LOOKUP(2,1/(单次交易!$A$2:$A$163=B409),单次交易!$N$2:$N$163),""))</f>
        <v/>
      </c>
      <c r="O409" s="5" t="str">
        <f t="shared" si="63"/>
        <v/>
      </c>
      <c r="P409" s="11" t="str">
        <f t="shared" si="64"/>
        <v/>
      </c>
      <c r="Q409" s="5" t="str">
        <f t="shared" si="65"/>
        <v/>
      </c>
      <c r="R409" s="10"/>
      <c r="S409" s="5" t="str">
        <f t="shared" si="66"/>
        <v/>
      </c>
      <c r="T409" s="5" t="str">
        <f t="shared" si="67"/>
        <v/>
      </c>
      <c r="U409" s="5" t="str">
        <f t="shared" si="68"/>
        <v/>
      </c>
      <c r="V409" s="7" t="str">
        <f t="shared" si="69"/>
        <v/>
      </c>
      <c r="W409" s="8" t="str">
        <f t="shared" si="70"/>
        <v/>
      </c>
      <c r="X409" s="2"/>
      <c r="Y409" s="10"/>
      <c r="Z409" s="11" t="str">
        <f>IF(X409&lt;&gt;"执行卖出","",IFERROR(LOOKUP(2,1/(单次交易!$A$2:$A$163=B409),单次交易!$AP$2:$AP$163),""))</f>
        <v/>
      </c>
      <c r="AA409" s="10"/>
      <c r="AB409" s="8" t="str">
        <f t="shared" si="71"/>
        <v/>
      </c>
      <c r="AC409" s="8" t="str">
        <f>IF(A409="","",IF(A409="止损计划",IF(OR(B409="",D409="",E409="",F409="",G409=""),"计划不完整",IF(OR(D409&lt;1,D409&lt;&gt;INT(D409)),"阶段序号无效",IF(COUNTIFS($A$2:$A$497,"止损计划",$B$2:$B$497,B409,$D$2:$D$497,D409)&gt;1,"阶段序号重复",IF(E409&lt;=IFERROR(LOOKUP(2,1/(单次交易!$A$2:$A$163=B409),单次交易!$E$2:$E$163),0),"激活价须高于买入价",IF(F409&lt;N409,"止损价不得低于初始止损",IF(F409&gt;E409,"止损价不得高于激活价",IF(AND(COUNTIFS($A$2:$A$497,"止损计划",$B$2:$B$497,B409,$D$2:$D$497,"&lt;"&amp;D409)&gt;0,OR(E409&lt;=SUMPRODUCT(MAX((($A$2:$A$497="止损计划")*($B$2:$B$497=B409)*($D$2:$D$497&lt;D409))*$E$2:$E$497)),F409&lt;SUMPRODUCT(MAX((($A$2:$A$497="止损计划")*($B$2:$B$497=B409)*($D$2:$D$497&lt;D409))*$F$2:$F$497)))),"阶段价格必须逐级提高","计划有效"))))))),IF(A409="每日跟踪",IF(OR(B409="",H409="",I409="",J409=""),"每日数据不完整",IF(COUNTIFS($A$2:$A$497,"每日跟踪",$B$2:$B$497,B409,$H$2:$H$497,H409)&gt;1,"同一交易日期重复",IF(AND(R409&lt;&gt;"",R409&lt;S409),"人工止损无效：不能下调","跟踪有效"))),"记录类型无效")))</f>
        <v/>
      </c>
    </row>
    <row r="410" ht="17" spans="1:29">
      <c r="A410" s="2"/>
      <c r="B410" s="2"/>
      <c r="C410" s="8" t="str">
        <f>IF(B410="","",IFERROR(LOOKUP(2,1/(单次交易!$A$2:$A$163=B410),单次交易!$B$2:$B$163),""))</f>
        <v/>
      </c>
      <c r="D410" s="12"/>
      <c r="E410" s="10"/>
      <c r="F410" s="10"/>
      <c r="G410" s="2"/>
      <c r="H410" s="15"/>
      <c r="I410" s="10"/>
      <c r="J410" s="12"/>
      <c r="K410" s="2"/>
      <c r="L410" s="2"/>
      <c r="M410" s="2"/>
      <c r="N410" s="5" t="str">
        <f>IF(B410="","",IFERROR(LOOKUP(2,1/(单次交易!$A$2:$A$163=B410),单次交易!$N$2:$N$163),""))</f>
        <v/>
      </c>
      <c r="O410" s="5" t="str">
        <f t="shared" si="63"/>
        <v/>
      </c>
      <c r="P410" s="11" t="str">
        <f t="shared" si="64"/>
        <v/>
      </c>
      <c r="Q410" s="5" t="str">
        <f t="shared" si="65"/>
        <v/>
      </c>
      <c r="R410" s="10"/>
      <c r="S410" s="5" t="str">
        <f t="shared" si="66"/>
        <v/>
      </c>
      <c r="T410" s="5" t="str">
        <f t="shared" si="67"/>
        <v/>
      </c>
      <c r="U410" s="5" t="str">
        <f t="shared" si="68"/>
        <v/>
      </c>
      <c r="V410" s="7" t="str">
        <f t="shared" si="69"/>
        <v/>
      </c>
      <c r="W410" s="8" t="str">
        <f t="shared" si="70"/>
        <v/>
      </c>
      <c r="X410" s="2"/>
      <c r="Y410" s="10"/>
      <c r="Z410" s="11" t="str">
        <f>IF(X410&lt;&gt;"执行卖出","",IFERROR(LOOKUP(2,1/(单次交易!$A$2:$A$163=B410),单次交易!$AP$2:$AP$163),""))</f>
        <v/>
      </c>
      <c r="AA410" s="10"/>
      <c r="AB410" s="8" t="str">
        <f t="shared" si="71"/>
        <v/>
      </c>
      <c r="AC410" s="8" t="str">
        <f>IF(A410="","",IF(A410="止损计划",IF(OR(B410="",D410="",E410="",F410="",G410=""),"计划不完整",IF(OR(D410&lt;1,D410&lt;&gt;INT(D410)),"阶段序号无效",IF(COUNTIFS($A$2:$A$497,"止损计划",$B$2:$B$497,B410,$D$2:$D$497,D410)&gt;1,"阶段序号重复",IF(E410&lt;=IFERROR(LOOKUP(2,1/(单次交易!$A$2:$A$163=B410),单次交易!$E$2:$E$163),0),"激活价须高于买入价",IF(F410&lt;N410,"止损价不得低于初始止损",IF(F410&gt;E410,"止损价不得高于激活价",IF(AND(COUNTIFS($A$2:$A$497,"止损计划",$B$2:$B$497,B410,$D$2:$D$497,"&lt;"&amp;D410)&gt;0,OR(E410&lt;=SUMPRODUCT(MAX((($A$2:$A$497="止损计划")*($B$2:$B$497=B410)*($D$2:$D$497&lt;D410))*$E$2:$E$497)),F410&lt;SUMPRODUCT(MAX((($A$2:$A$497="止损计划")*($B$2:$B$497=B410)*($D$2:$D$497&lt;D410))*$F$2:$F$497)))),"阶段价格必须逐级提高","计划有效"))))))),IF(A410="每日跟踪",IF(OR(B410="",H410="",I410="",J410=""),"每日数据不完整",IF(COUNTIFS($A$2:$A$497,"每日跟踪",$B$2:$B$497,B410,$H$2:$H$497,H410)&gt;1,"同一交易日期重复",IF(AND(R410&lt;&gt;"",R410&lt;S410),"人工止损无效：不能下调","跟踪有效"))),"记录类型无效")))</f>
        <v/>
      </c>
    </row>
    <row r="411" ht="17" spans="1:29">
      <c r="A411" s="2"/>
      <c r="B411" s="2"/>
      <c r="C411" s="8" t="str">
        <f>IF(B411="","",IFERROR(LOOKUP(2,1/(单次交易!$A$2:$A$163=B411),单次交易!$B$2:$B$163),""))</f>
        <v/>
      </c>
      <c r="D411" s="12"/>
      <c r="E411" s="10"/>
      <c r="F411" s="10"/>
      <c r="G411" s="2"/>
      <c r="H411" s="15"/>
      <c r="I411" s="10"/>
      <c r="J411" s="12"/>
      <c r="K411" s="2"/>
      <c r="L411" s="2"/>
      <c r="M411" s="2"/>
      <c r="N411" s="5" t="str">
        <f>IF(B411="","",IFERROR(LOOKUP(2,1/(单次交易!$A$2:$A$163=B411),单次交易!$N$2:$N$163),""))</f>
        <v/>
      </c>
      <c r="O411" s="5" t="str">
        <f t="shared" si="63"/>
        <v/>
      </c>
      <c r="P411" s="11" t="str">
        <f t="shared" si="64"/>
        <v/>
      </c>
      <c r="Q411" s="5" t="str">
        <f t="shared" si="65"/>
        <v/>
      </c>
      <c r="R411" s="10"/>
      <c r="S411" s="5" t="str">
        <f t="shared" si="66"/>
        <v/>
      </c>
      <c r="T411" s="5" t="str">
        <f t="shared" si="67"/>
        <v/>
      </c>
      <c r="U411" s="5" t="str">
        <f t="shared" si="68"/>
        <v/>
      </c>
      <c r="V411" s="7" t="str">
        <f t="shared" si="69"/>
        <v/>
      </c>
      <c r="W411" s="8" t="str">
        <f t="shared" si="70"/>
        <v/>
      </c>
      <c r="X411" s="2"/>
      <c r="Y411" s="10"/>
      <c r="Z411" s="11" t="str">
        <f>IF(X411&lt;&gt;"执行卖出","",IFERROR(LOOKUP(2,1/(单次交易!$A$2:$A$163=B411),单次交易!$AP$2:$AP$163),""))</f>
        <v/>
      </c>
      <c r="AA411" s="10"/>
      <c r="AB411" s="8" t="str">
        <f t="shared" si="71"/>
        <v/>
      </c>
      <c r="AC411" s="8" t="str">
        <f>IF(A411="","",IF(A411="止损计划",IF(OR(B411="",D411="",E411="",F411="",G411=""),"计划不完整",IF(OR(D411&lt;1,D411&lt;&gt;INT(D411)),"阶段序号无效",IF(COUNTIFS($A$2:$A$497,"止损计划",$B$2:$B$497,B411,$D$2:$D$497,D411)&gt;1,"阶段序号重复",IF(E411&lt;=IFERROR(LOOKUP(2,1/(单次交易!$A$2:$A$163=B411),单次交易!$E$2:$E$163),0),"激活价须高于买入价",IF(F411&lt;N411,"止损价不得低于初始止损",IF(F411&gt;E411,"止损价不得高于激活价",IF(AND(COUNTIFS($A$2:$A$497,"止损计划",$B$2:$B$497,B411,$D$2:$D$497,"&lt;"&amp;D411)&gt;0,OR(E411&lt;=SUMPRODUCT(MAX((($A$2:$A$497="止损计划")*($B$2:$B$497=B411)*($D$2:$D$497&lt;D411))*$E$2:$E$497)),F411&lt;SUMPRODUCT(MAX((($A$2:$A$497="止损计划")*($B$2:$B$497=B411)*($D$2:$D$497&lt;D411))*$F$2:$F$497)))),"阶段价格必须逐级提高","计划有效"))))))),IF(A411="每日跟踪",IF(OR(B411="",H411="",I411="",J411=""),"每日数据不完整",IF(COUNTIFS($A$2:$A$497,"每日跟踪",$B$2:$B$497,B411,$H$2:$H$497,H411)&gt;1,"同一交易日期重复",IF(AND(R411&lt;&gt;"",R411&lt;S411),"人工止损无效：不能下调","跟踪有效"))),"记录类型无效")))</f>
        <v/>
      </c>
    </row>
    <row r="412" ht="17" spans="1:29">
      <c r="A412" s="2"/>
      <c r="B412" s="2"/>
      <c r="C412" s="8" t="str">
        <f>IF(B412="","",IFERROR(LOOKUP(2,1/(单次交易!$A$2:$A$163=B412),单次交易!$B$2:$B$163),""))</f>
        <v/>
      </c>
      <c r="D412" s="12"/>
      <c r="E412" s="10"/>
      <c r="F412" s="10"/>
      <c r="G412" s="2"/>
      <c r="H412" s="15"/>
      <c r="I412" s="10"/>
      <c r="J412" s="12"/>
      <c r="K412" s="2"/>
      <c r="L412" s="2"/>
      <c r="M412" s="2"/>
      <c r="N412" s="5" t="str">
        <f>IF(B412="","",IFERROR(LOOKUP(2,1/(单次交易!$A$2:$A$163=B412),单次交易!$N$2:$N$163),""))</f>
        <v/>
      </c>
      <c r="O412" s="5" t="str">
        <f t="shared" si="63"/>
        <v/>
      </c>
      <c r="P412" s="11" t="str">
        <f t="shared" si="64"/>
        <v/>
      </c>
      <c r="Q412" s="5" t="str">
        <f t="shared" si="65"/>
        <v/>
      </c>
      <c r="R412" s="10"/>
      <c r="S412" s="5" t="str">
        <f t="shared" si="66"/>
        <v/>
      </c>
      <c r="T412" s="5" t="str">
        <f t="shared" si="67"/>
        <v/>
      </c>
      <c r="U412" s="5" t="str">
        <f t="shared" si="68"/>
        <v/>
      </c>
      <c r="V412" s="7" t="str">
        <f t="shared" si="69"/>
        <v/>
      </c>
      <c r="W412" s="8" t="str">
        <f t="shared" si="70"/>
        <v/>
      </c>
      <c r="X412" s="2"/>
      <c r="Y412" s="10"/>
      <c r="Z412" s="11" t="str">
        <f>IF(X412&lt;&gt;"执行卖出","",IFERROR(LOOKUP(2,1/(单次交易!$A$2:$A$163=B412),单次交易!$AP$2:$AP$163),""))</f>
        <v/>
      </c>
      <c r="AA412" s="10"/>
      <c r="AB412" s="8" t="str">
        <f t="shared" si="71"/>
        <v/>
      </c>
      <c r="AC412" s="8" t="str">
        <f>IF(A412="","",IF(A412="止损计划",IF(OR(B412="",D412="",E412="",F412="",G412=""),"计划不完整",IF(OR(D412&lt;1,D412&lt;&gt;INT(D412)),"阶段序号无效",IF(COUNTIFS($A$2:$A$497,"止损计划",$B$2:$B$497,B412,$D$2:$D$497,D412)&gt;1,"阶段序号重复",IF(E412&lt;=IFERROR(LOOKUP(2,1/(单次交易!$A$2:$A$163=B412),单次交易!$E$2:$E$163),0),"激活价须高于买入价",IF(F412&lt;N412,"止损价不得低于初始止损",IF(F412&gt;E412,"止损价不得高于激活价",IF(AND(COUNTIFS($A$2:$A$497,"止损计划",$B$2:$B$497,B412,$D$2:$D$497,"&lt;"&amp;D412)&gt;0,OR(E412&lt;=SUMPRODUCT(MAX((($A$2:$A$497="止损计划")*($B$2:$B$497=B412)*($D$2:$D$497&lt;D412))*$E$2:$E$497)),F412&lt;SUMPRODUCT(MAX((($A$2:$A$497="止损计划")*($B$2:$B$497=B412)*($D$2:$D$497&lt;D412))*$F$2:$F$497)))),"阶段价格必须逐级提高","计划有效"))))))),IF(A412="每日跟踪",IF(OR(B412="",H412="",I412="",J412=""),"每日数据不完整",IF(COUNTIFS($A$2:$A$497,"每日跟踪",$B$2:$B$497,B412,$H$2:$H$497,H412)&gt;1,"同一交易日期重复",IF(AND(R412&lt;&gt;"",R412&lt;S412),"人工止损无效：不能下调","跟踪有效"))),"记录类型无效")))</f>
        <v/>
      </c>
    </row>
    <row r="413" ht="17" spans="1:29">
      <c r="A413" s="2"/>
      <c r="B413" s="2"/>
      <c r="C413" s="8" t="str">
        <f>IF(B413="","",IFERROR(LOOKUP(2,1/(单次交易!$A$2:$A$163=B413),单次交易!$B$2:$B$163),""))</f>
        <v/>
      </c>
      <c r="D413" s="12"/>
      <c r="E413" s="10"/>
      <c r="F413" s="10"/>
      <c r="G413" s="2"/>
      <c r="H413" s="15"/>
      <c r="I413" s="10"/>
      <c r="J413" s="12"/>
      <c r="K413" s="2"/>
      <c r="L413" s="2"/>
      <c r="M413" s="2"/>
      <c r="N413" s="5" t="str">
        <f>IF(B413="","",IFERROR(LOOKUP(2,1/(单次交易!$A$2:$A$163=B413),单次交易!$N$2:$N$163),""))</f>
        <v/>
      </c>
      <c r="O413" s="5" t="str">
        <f t="shared" si="63"/>
        <v/>
      </c>
      <c r="P413" s="11" t="str">
        <f t="shared" si="64"/>
        <v/>
      </c>
      <c r="Q413" s="5" t="str">
        <f t="shared" si="65"/>
        <v/>
      </c>
      <c r="R413" s="10"/>
      <c r="S413" s="5" t="str">
        <f t="shared" si="66"/>
        <v/>
      </c>
      <c r="T413" s="5" t="str">
        <f t="shared" si="67"/>
        <v/>
      </c>
      <c r="U413" s="5" t="str">
        <f t="shared" si="68"/>
        <v/>
      </c>
      <c r="V413" s="7" t="str">
        <f t="shared" si="69"/>
        <v/>
      </c>
      <c r="W413" s="8" t="str">
        <f t="shared" si="70"/>
        <v/>
      </c>
      <c r="X413" s="2"/>
      <c r="Y413" s="10"/>
      <c r="Z413" s="11" t="str">
        <f>IF(X413&lt;&gt;"执行卖出","",IFERROR(LOOKUP(2,1/(单次交易!$A$2:$A$163=B413),单次交易!$AP$2:$AP$163),""))</f>
        <v/>
      </c>
      <c r="AA413" s="10"/>
      <c r="AB413" s="8" t="str">
        <f t="shared" si="71"/>
        <v/>
      </c>
      <c r="AC413" s="8" t="str">
        <f>IF(A413="","",IF(A413="止损计划",IF(OR(B413="",D413="",E413="",F413="",G413=""),"计划不完整",IF(OR(D413&lt;1,D413&lt;&gt;INT(D413)),"阶段序号无效",IF(COUNTIFS($A$2:$A$497,"止损计划",$B$2:$B$497,B413,$D$2:$D$497,D413)&gt;1,"阶段序号重复",IF(E413&lt;=IFERROR(LOOKUP(2,1/(单次交易!$A$2:$A$163=B413),单次交易!$E$2:$E$163),0),"激活价须高于买入价",IF(F413&lt;N413,"止损价不得低于初始止损",IF(F413&gt;E413,"止损价不得高于激活价",IF(AND(COUNTIFS($A$2:$A$497,"止损计划",$B$2:$B$497,B413,$D$2:$D$497,"&lt;"&amp;D413)&gt;0,OR(E413&lt;=SUMPRODUCT(MAX((($A$2:$A$497="止损计划")*($B$2:$B$497=B413)*($D$2:$D$497&lt;D413))*$E$2:$E$497)),F413&lt;SUMPRODUCT(MAX((($A$2:$A$497="止损计划")*($B$2:$B$497=B413)*($D$2:$D$497&lt;D413))*$F$2:$F$497)))),"阶段价格必须逐级提高","计划有效"))))))),IF(A413="每日跟踪",IF(OR(B413="",H413="",I413="",J413=""),"每日数据不完整",IF(COUNTIFS($A$2:$A$497,"每日跟踪",$B$2:$B$497,B413,$H$2:$H$497,H413)&gt;1,"同一交易日期重复",IF(AND(R413&lt;&gt;"",R413&lt;S413),"人工止损无效：不能下调","跟踪有效"))),"记录类型无效")))</f>
        <v/>
      </c>
    </row>
    <row r="414" ht="17" spans="1:29">
      <c r="A414" s="2"/>
      <c r="B414" s="2"/>
      <c r="C414" s="8" t="str">
        <f>IF(B414="","",IFERROR(LOOKUP(2,1/(单次交易!$A$2:$A$163=B414),单次交易!$B$2:$B$163),""))</f>
        <v/>
      </c>
      <c r="D414" s="12"/>
      <c r="E414" s="10"/>
      <c r="F414" s="10"/>
      <c r="G414" s="2"/>
      <c r="H414" s="15"/>
      <c r="I414" s="10"/>
      <c r="J414" s="12"/>
      <c r="K414" s="2"/>
      <c r="L414" s="2"/>
      <c r="M414" s="2"/>
      <c r="N414" s="5" t="str">
        <f>IF(B414="","",IFERROR(LOOKUP(2,1/(单次交易!$A$2:$A$163=B414),单次交易!$N$2:$N$163),""))</f>
        <v/>
      </c>
      <c r="O414" s="5" t="str">
        <f t="shared" si="63"/>
        <v/>
      </c>
      <c r="P414" s="11" t="str">
        <f t="shared" si="64"/>
        <v/>
      </c>
      <c r="Q414" s="5" t="str">
        <f t="shared" si="65"/>
        <v/>
      </c>
      <c r="R414" s="10"/>
      <c r="S414" s="5" t="str">
        <f t="shared" si="66"/>
        <v/>
      </c>
      <c r="T414" s="5" t="str">
        <f t="shared" si="67"/>
        <v/>
      </c>
      <c r="U414" s="5" t="str">
        <f t="shared" si="68"/>
        <v/>
      </c>
      <c r="V414" s="7" t="str">
        <f t="shared" si="69"/>
        <v/>
      </c>
      <c r="W414" s="8" t="str">
        <f t="shared" si="70"/>
        <v/>
      </c>
      <c r="X414" s="2"/>
      <c r="Y414" s="10"/>
      <c r="Z414" s="11" t="str">
        <f>IF(X414&lt;&gt;"执行卖出","",IFERROR(LOOKUP(2,1/(单次交易!$A$2:$A$163=B414),单次交易!$AP$2:$AP$163),""))</f>
        <v/>
      </c>
      <c r="AA414" s="10"/>
      <c r="AB414" s="8" t="str">
        <f t="shared" si="71"/>
        <v/>
      </c>
      <c r="AC414" s="8" t="str">
        <f>IF(A414="","",IF(A414="止损计划",IF(OR(B414="",D414="",E414="",F414="",G414=""),"计划不完整",IF(OR(D414&lt;1,D414&lt;&gt;INT(D414)),"阶段序号无效",IF(COUNTIFS($A$2:$A$497,"止损计划",$B$2:$B$497,B414,$D$2:$D$497,D414)&gt;1,"阶段序号重复",IF(E414&lt;=IFERROR(LOOKUP(2,1/(单次交易!$A$2:$A$163=B414),单次交易!$E$2:$E$163),0),"激活价须高于买入价",IF(F414&lt;N414,"止损价不得低于初始止损",IF(F414&gt;E414,"止损价不得高于激活价",IF(AND(COUNTIFS($A$2:$A$497,"止损计划",$B$2:$B$497,B414,$D$2:$D$497,"&lt;"&amp;D414)&gt;0,OR(E414&lt;=SUMPRODUCT(MAX((($A$2:$A$497="止损计划")*($B$2:$B$497=B414)*($D$2:$D$497&lt;D414))*$E$2:$E$497)),F414&lt;SUMPRODUCT(MAX((($A$2:$A$497="止损计划")*($B$2:$B$497=B414)*($D$2:$D$497&lt;D414))*$F$2:$F$497)))),"阶段价格必须逐级提高","计划有效"))))))),IF(A414="每日跟踪",IF(OR(B414="",H414="",I414="",J414=""),"每日数据不完整",IF(COUNTIFS($A$2:$A$497,"每日跟踪",$B$2:$B$497,B414,$H$2:$H$497,H414)&gt;1,"同一交易日期重复",IF(AND(R414&lt;&gt;"",R414&lt;S414),"人工止损无效：不能下调","跟踪有效"))),"记录类型无效")))</f>
        <v/>
      </c>
    </row>
    <row r="415" ht="17" spans="1:29">
      <c r="A415" s="2"/>
      <c r="B415" s="2"/>
      <c r="C415" s="8" t="str">
        <f>IF(B415="","",IFERROR(LOOKUP(2,1/(单次交易!$A$2:$A$163=B415),单次交易!$B$2:$B$163),""))</f>
        <v/>
      </c>
      <c r="D415" s="12"/>
      <c r="E415" s="10"/>
      <c r="F415" s="10"/>
      <c r="G415" s="2"/>
      <c r="H415" s="15"/>
      <c r="I415" s="10"/>
      <c r="J415" s="12"/>
      <c r="K415" s="2"/>
      <c r="L415" s="2"/>
      <c r="M415" s="2"/>
      <c r="N415" s="5" t="str">
        <f>IF(B415="","",IFERROR(LOOKUP(2,1/(单次交易!$A$2:$A$163=B415),单次交易!$N$2:$N$163),""))</f>
        <v/>
      </c>
      <c r="O415" s="5" t="str">
        <f t="shared" si="63"/>
        <v/>
      </c>
      <c r="P415" s="11" t="str">
        <f t="shared" si="64"/>
        <v/>
      </c>
      <c r="Q415" s="5" t="str">
        <f t="shared" si="65"/>
        <v/>
      </c>
      <c r="R415" s="10"/>
      <c r="S415" s="5" t="str">
        <f t="shared" si="66"/>
        <v/>
      </c>
      <c r="T415" s="5" t="str">
        <f t="shared" si="67"/>
        <v/>
      </c>
      <c r="U415" s="5" t="str">
        <f t="shared" si="68"/>
        <v/>
      </c>
      <c r="V415" s="7" t="str">
        <f t="shared" si="69"/>
        <v/>
      </c>
      <c r="W415" s="8" t="str">
        <f t="shared" si="70"/>
        <v/>
      </c>
      <c r="X415" s="2"/>
      <c r="Y415" s="10"/>
      <c r="Z415" s="11" t="str">
        <f>IF(X415&lt;&gt;"执行卖出","",IFERROR(LOOKUP(2,1/(单次交易!$A$2:$A$163=B415),单次交易!$AP$2:$AP$163),""))</f>
        <v/>
      </c>
      <c r="AA415" s="10"/>
      <c r="AB415" s="8" t="str">
        <f t="shared" si="71"/>
        <v/>
      </c>
      <c r="AC415" s="8" t="str">
        <f>IF(A415="","",IF(A415="止损计划",IF(OR(B415="",D415="",E415="",F415="",G415=""),"计划不完整",IF(OR(D415&lt;1,D415&lt;&gt;INT(D415)),"阶段序号无效",IF(COUNTIFS($A$2:$A$497,"止损计划",$B$2:$B$497,B415,$D$2:$D$497,D415)&gt;1,"阶段序号重复",IF(E415&lt;=IFERROR(LOOKUP(2,1/(单次交易!$A$2:$A$163=B415),单次交易!$E$2:$E$163),0),"激活价须高于买入价",IF(F415&lt;N415,"止损价不得低于初始止损",IF(F415&gt;E415,"止损价不得高于激活价",IF(AND(COUNTIFS($A$2:$A$497,"止损计划",$B$2:$B$497,B415,$D$2:$D$497,"&lt;"&amp;D415)&gt;0,OR(E415&lt;=SUMPRODUCT(MAX((($A$2:$A$497="止损计划")*($B$2:$B$497=B415)*($D$2:$D$497&lt;D415))*$E$2:$E$497)),F415&lt;SUMPRODUCT(MAX((($A$2:$A$497="止损计划")*($B$2:$B$497=B415)*($D$2:$D$497&lt;D415))*$F$2:$F$497)))),"阶段价格必须逐级提高","计划有效"))))))),IF(A415="每日跟踪",IF(OR(B415="",H415="",I415="",J415=""),"每日数据不完整",IF(COUNTIFS($A$2:$A$497,"每日跟踪",$B$2:$B$497,B415,$H$2:$H$497,H415)&gt;1,"同一交易日期重复",IF(AND(R415&lt;&gt;"",R415&lt;S415),"人工止损无效：不能下调","跟踪有效"))),"记录类型无效")))</f>
        <v/>
      </c>
    </row>
    <row r="416" ht="17" spans="1:29">
      <c r="A416" s="2"/>
      <c r="B416" s="2"/>
      <c r="C416" s="8" t="str">
        <f>IF(B416="","",IFERROR(LOOKUP(2,1/(单次交易!$A$2:$A$163=B416),单次交易!$B$2:$B$163),""))</f>
        <v/>
      </c>
      <c r="D416" s="12"/>
      <c r="E416" s="10"/>
      <c r="F416" s="10"/>
      <c r="G416" s="2"/>
      <c r="H416" s="15"/>
      <c r="I416" s="10"/>
      <c r="J416" s="12"/>
      <c r="K416" s="2"/>
      <c r="L416" s="2"/>
      <c r="M416" s="2"/>
      <c r="N416" s="5" t="str">
        <f>IF(B416="","",IFERROR(LOOKUP(2,1/(单次交易!$A$2:$A$163=B416),单次交易!$N$2:$N$163),""))</f>
        <v/>
      </c>
      <c r="O416" s="5" t="str">
        <f t="shared" si="63"/>
        <v/>
      </c>
      <c r="P416" s="11" t="str">
        <f t="shared" si="64"/>
        <v/>
      </c>
      <c r="Q416" s="5" t="str">
        <f t="shared" si="65"/>
        <v/>
      </c>
      <c r="R416" s="10"/>
      <c r="S416" s="5" t="str">
        <f t="shared" si="66"/>
        <v/>
      </c>
      <c r="T416" s="5" t="str">
        <f t="shared" si="67"/>
        <v/>
      </c>
      <c r="U416" s="5" t="str">
        <f t="shared" si="68"/>
        <v/>
      </c>
      <c r="V416" s="7" t="str">
        <f t="shared" si="69"/>
        <v/>
      </c>
      <c r="W416" s="8" t="str">
        <f t="shared" si="70"/>
        <v/>
      </c>
      <c r="X416" s="2"/>
      <c r="Y416" s="10"/>
      <c r="Z416" s="11" t="str">
        <f>IF(X416&lt;&gt;"执行卖出","",IFERROR(LOOKUP(2,1/(单次交易!$A$2:$A$163=B416),单次交易!$AP$2:$AP$163),""))</f>
        <v/>
      </c>
      <c r="AA416" s="10"/>
      <c r="AB416" s="8" t="str">
        <f t="shared" si="71"/>
        <v/>
      </c>
      <c r="AC416" s="8" t="str">
        <f>IF(A416="","",IF(A416="止损计划",IF(OR(B416="",D416="",E416="",F416="",G416=""),"计划不完整",IF(OR(D416&lt;1,D416&lt;&gt;INT(D416)),"阶段序号无效",IF(COUNTIFS($A$2:$A$497,"止损计划",$B$2:$B$497,B416,$D$2:$D$497,D416)&gt;1,"阶段序号重复",IF(E416&lt;=IFERROR(LOOKUP(2,1/(单次交易!$A$2:$A$163=B416),单次交易!$E$2:$E$163),0),"激活价须高于买入价",IF(F416&lt;N416,"止损价不得低于初始止损",IF(F416&gt;E416,"止损价不得高于激活价",IF(AND(COUNTIFS($A$2:$A$497,"止损计划",$B$2:$B$497,B416,$D$2:$D$497,"&lt;"&amp;D416)&gt;0,OR(E416&lt;=SUMPRODUCT(MAX((($A$2:$A$497="止损计划")*($B$2:$B$497=B416)*($D$2:$D$497&lt;D416))*$E$2:$E$497)),F416&lt;SUMPRODUCT(MAX((($A$2:$A$497="止损计划")*($B$2:$B$497=B416)*($D$2:$D$497&lt;D416))*$F$2:$F$497)))),"阶段价格必须逐级提高","计划有效"))))))),IF(A416="每日跟踪",IF(OR(B416="",H416="",I416="",J416=""),"每日数据不完整",IF(COUNTIFS($A$2:$A$497,"每日跟踪",$B$2:$B$497,B416,$H$2:$H$497,H416)&gt;1,"同一交易日期重复",IF(AND(R416&lt;&gt;"",R416&lt;S416),"人工止损无效：不能下调","跟踪有效"))),"记录类型无效")))</f>
        <v/>
      </c>
    </row>
    <row r="417" ht="17" spans="1:29">
      <c r="A417" s="2"/>
      <c r="B417" s="2"/>
      <c r="C417" s="8" t="str">
        <f>IF(B417="","",IFERROR(LOOKUP(2,1/(单次交易!$A$2:$A$163=B417),单次交易!$B$2:$B$163),""))</f>
        <v/>
      </c>
      <c r="D417" s="12"/>
      <c r="E417" s="10"/>
      <c r="F417" s="10"/>
      <c r="G417" s="2"/>
      <c r="H417" s="15"/>
      <c r="I417" s="10"/>
      <c r="J417" s="12"/>
      <c r="K417" s="2"/>
      <c r="L417" s="2"/>
      <c r="M417" s="2"/>
      <c r="N417" s="5" t="str">
        <f>IF(B417="","",IFERROR(LOOKUP(2,1/(单次交易!$A$2:$A$163=B417),单次交易!$N$2:$N$163),""))</f>
        <v/>
      </c>
      <c r="O417" s="5" t="str">
        <f t="shared" si="63"/>
        <v/>
      </c>
      <c r="P417" s="11" t="str">
        <f t="shared" si="64"/>
        <v/>
      </c>
      <c r="Q417" s="5" t="str">
        <f t="shared" si="65"/>
        <v/>
      </c>
      <c r="R417" s="10"/>
      <c r="S417" s="5" t="str">
        <f t="shared" si="66"/>
        <v/>
      </c>
      <c r="T417" s="5" t="str">
        <f t="shared" si="67"/>
        <v/>
      </c>
      <c r="U417" s="5" t="str">
        <f t="shared" si="68"/>
        <v/>
      </c>
      <c r="V417" s="7" t="str">
        <f t="shared" si="69"/>
        <v/>
      </c>
      <c r="W417" s="8" t="str">
        <f t="shared" si="70"/>
        <v/>
      </c>
      <c r="X417" s="2"/>
      <c r="Y417" s="10"/>
      <c r="Z417" s="11" t="str">
        <f>IF(X417&lt;&gt;"执行卖出","",IFERROR(LOOKUP(2,1/(单次交易!$A$2:$A$163=B417),单次交易!$AP$2:$AP$163),""))</f>
        <v/>
      </c>
      <c r="AA417" s="10"/>
      <c r="AB417" s="8" t="str">
        <f t="shared" si="71"/>
        <v/>
      </c>
      <c r="AC417" s="8" t="str">
        <f>IF(A417="","",IF(A417="止损计划",IF(OR(B417="",D417="",E417="",F417="",G417=""),"计划不完整",IF(OR(D417&lt;1,D417&lt;&gt;INT(D417)),"阶段序号无效",IF(COUNTIFS($A$2:$A$497,"止损计划",$B$2:$B$497,B417,$D$2:$D$497,D417)&gt;1,"阶段序号重复",IF(E417&lt;=IFERROR(LOOKUP(2,1/(单次交易!$A$2:$A$163=B417),单次交易!$E$2:$E$163),0),"激活价须高于买入价",IF(F417&lt;N417,"止损价不得低于初始止损",IF(F417&gt;E417,"止损价不得高于激活价",IF(AND(COUNTIFS($A$2:$A$497,"止损计划",$B$2:$B$497,B417,$D$2:$D$497,"&lt;"&amp;D417)&gt;0,OR(E417&lt;=SUMPRODUCT(MAX((($A$2:$A$497="止损计划")*($B$2:$B$497=B417)*($D$2:$D$497&lt;D417))*$E$2:$E$497)),F417&lt;SUMPRODUCT(MAX((($A$2:$A$497="止损计划")*($B$2:$B$497=B417)*($D$2:$D$497&lt;D417))*$F$2:$F$497)))),"阶段价格必须逐级提高","计划有效"))))))),IF(A417="每日跟踪",IF(OR(B417="",H417="",I417="",J417=""),"每日数据不完整",IF(COUNTIFS($A$2:$A$497,"每日跟踪",$B$2:$B$497,B417,$H$2:$H$497,H417)&gt;1,"同一交易日期重复",IF(AND(R417&lt;&gt;"",R417&lt;S417),"人工止损无效：不能下调","跟踪有效"))),"记录类型无效")))</f>
        <v/>
      </c>
    </row>
    <row r="418" ht="17" spans="1:29">
      <c r="A418" s="2"/>
      <c r="B418" s="2"/>
      <c r="C418" s="8" t="str">
        <f>IF(B418="","",IFERROR(LOOKUP(2,1/(单次交易!$A$2:$A$163=B418),单次交易!$B$2:$B$163),""))</f>
        <v/>
      </c>
      <c r="D418" s="12"/>
      <c r="E418" s="10"/>
      <c r="F418" s="10"/>
      <c r="G418" s="2"/>
      <c r="H418" s="15"/>
      <c r="I418" s="10"/>
      <c r="J418" s="12"/>
      <c r="K418" s="2"/>
      <c r="L418" s="2"/>
      <c r="M418" s="2"/>
      <c r="N418" s="5" t="str">
        <f>IF(B418="","",IFERROR(LOOKUP(2,1/(单次交易!$A$2:$A$163=B418),单次交易!$N$2:$N$163),""))</f>
        <v/>
      </c>
      <c r="O418" s="5" t="str">
        <f t="shared" si="63"/>
        <v/>
      </c>
      <c r="P418" s="11" t="str">
        <f t="shared" si="64"/>
        <v/>
      </c>
      <c r="Q418" s="5" t="str">
        <f t="shared" si="65"/>
        <v/>
      </c>
      <c r="R418" s="10"/>
      <c r="S418" s="5" t="str">
        <f t="shared" si="66"/>
        <v/>
      </c>
      <c r="T418" s="5" t="str">
        <f t="shared" si="67"/>
        <v/>
      </c>
      <c r="U418" s="5" t="str">
        <f t="shared" si="68"/>
        <v/>
      </c>
      <c r="V418" s="7" t="str">
        <f t="shared" si="69"/>
        <v/>
      </c>
      <c r="W418" s="8" t="str">
        <f t="shared" si="70"/>
        <v/>
      </c>
      <c r="X418" s="2"/>
      <c r="Y418" s="10"/>
      <c r="Z418" s="11" t="str">
        <f>IF(X418&lt;&gt;"执行卖出","",IFERROR(LOOKUP(2,1/(单次交易!$A$2:$A$163=B418),单次交易!$AP$2:$AP$163),""))</f>
        <v/>
      </c>
      <c r="AA418" s="10"/>
      <c r="AB418" s="8" t="str">
        <f t="shared" si="71"/>
        <v/>
      </c>
      <c r="AC418" s="8" t="str">
        <f>IF(A418="","",IF(A418="止损计划",IF(OR(B418="",D418="",E418="",F418="",G418=""),"计划不完整",IF(OR(D418&lt;1,D418&lt;&gt;INT(D418)),"阶段序号无效",IF(COUNTIFS($A$2:$A$497,"止损计划",$B$2:$B$497,B418,$D$2:$D$497,D418)&gt;1,"阶段序号重复",IF(E418&lt;=IFERROR(LOOKUP(2,1/(单次交易!$A$2:$A$163=B418),单次交易!$E$2:$E$163),0),"激活价须高于买入价",IF(F418&lt;N418,"止损价不得低于初始止损",IF(F418&gt;E418,"止损价不得高于激活价",IF(AND(COUNTIFS($A$2:$A$497,"止损计划",$B$2:$B$497,B418,$D$2:$D$497,"&lt;"&amp;D418)&gt;0,OR(E418&lt;=SUMPRODUCT(MAX((($A$2:$A$497="止损计划")*($B$2:$B$497=B418)*($D$2:$D$497&lt;D418))*$E$2:$E$497)),F418&lt;SUMPRODUCT(MAX((($A$2:$A$497="止损计划")*($B$2:$B$497=B418)*($D$2:$D$497&lt;D418))*$F$2:$F$497)))),"阶段价格必须逐级提高","计划有效"))))))),IF(A418="每日跟踪",IF(OR(B418="",H418="",I418="",J418=""),"每日数据不完整",IF(COUNTIFS($A$2:$A$497,"每日跟踪",$B$2:$B$497,B418,$H$2:$H$497,H418)&gt;1,"同一交易日期重复",IF(AND(R418&lt;&gt;"",R418&lt;S418),"人工止损无效：不能下调","跟踪有效"))),"记录类型无效")))</f>
        <v/>
      </c>
    </row>
    <row r="419" ht="17" spans="1:29">
      <c r="A419" s="2"/>
      <c r="B419" s="2"/>
      <c r="C419" s="8" t="str">
        <f>IF(B419="","",IFERROR(LOOKUP(2,1/(单次交易!$A$2:$A$163=B419),单次交易!$B$2:$B$163),""))</f>
        <v/>
      </c>
      <c r="D419" s="12"/>
      <c r="E419" s="10"/>
      <c r="F419" s="10"/>
      <c r="G419" s="2"/>
      <c r="H419" s="15"/>
      <c r="I419" s="10"/>
      <c r="J419" s="12"/>
      <c r="K419" s="2"/>
      <c r="L419" s="2"/>
      <c r="M419" s="2"/>
      <c r="N419" s="5" t="str">
        <f>IF(B419="","",IFERROR(LOOKUP(2,1/(单次交易!$A$2:$A$163=B419),单次交易!$N$2:$N$163),""))</f>
        <v/>
      </c>
      <c r="O419" s="5" t="str">
        <f t="shared" si="63"/>
        <v/>
      </c>
      <c r="P419" s="11" t="str">
        <f t="shared" si="64"/>
        <v/>
      </c>
      <c r="Q419" s="5" t="str">
        <f t="shared" si="65"/>
        <v/>
      </c>
      <c r="R419" s="10"/>
      <c r="S419" s="5" t="str">
        <f t="shared" si="66"/>
        <v/>
      </c>
      <c r="T419" s="5" t="str">
        <f t="shared" si="67"/>
        <v/>
      </c>
      <c r="U419" s="5" t="str">
        <f t="shared" si="68"/>
        <v/>
      </c>
      <c r="V419" s="7" t="str">
        <f t="shared" si="69"/>
        <v/>
      </c>
      <c r="W419" s="8" t="str">
        <f t="shared" si="70"/>
        <v/>
      </c>
      <c r="X419" s="2"/>
      <c r="Y419" s="10"/>
      <c r="Z419" s="11" t="str">
        <f>IF(X419&lt;&gt;"执行卖出","",IFERROR(LOOKUP(2,1/(单次交易!$A$2:$A$163=B419),单次交易!$AP$2:$AP$163),""))</f>
        <v/>
      </c>
      <c r="AA419" s="10"/>
      <c r="AB419" s="8" t="str">
        <f t="shared" si="71"/>
        <v/>
      </c>
      <c r="AC419" s="8" t="str">
        <f>IF(A419="","",IF(A419="止损计划",IF(OR(B419="",D419="",E419="",F419="",G419=""),"计划不完整",IF(OR(D419&lt;1,D419&lt;&gt;INT(D419)),"阶段序号无效",IF(COUNTIFS($A$2:$A$497,"止损计划",$B$2:$B$497,B419,$D$2:$D$497,D419)&gt;1,"阶段序号重复",IF(E419&lt;=IFERROR(LOOKUP(2,1/(单次交易!$A$2:$A$163=B419),单次交易!$E$2:$E$163),0),"激活价须高于买入价",IF(F419&lt;N419,"止损价不得低于初始止损",IF(F419&gt;E419,"止损价不得高于激活价",IF(AND(COUNTIFS($A$2:$A$497,"止损计划",$B$2:$B$497,B419,$D$2:$D$497,"&lt;"&amp;D419)&gt;0,OR(E419&lt;=SUMPRODUCT(MAX((($A$2:$A$497="止损计划")*($B$2:$B$497=B419)*($D$2:$D$497&lt;D419))*$E$2:$E$497)),F419&lt;SUMPRODUCT(MAX((($A$2:$A$497="止损计划")*($B$2:$B$497=B419)*($D$2:$D$497&lt;D419))*$F$2:$F$497)))),"阶段价格必须逐级提高","计划有效"))))))),IF(A419="每日跟踪",IF(OR(B419="",H419="",I419="",J419=""),"每日数据不完整",IF(COUNTIFS($A$2:$A$497,"每日跟踪",$B$2:$B$497,B419,$H$2:$H$497,H419)&gt;1,"同一交易日期重复",IF(AND(R419&lt;&gt;"",R419&lt;S419),"人工止损无效：不能下调","跟踪有效"))),"记录类型无效")))</f>
        <v/>
      </c>
    </row>
    <row r="420" ht="17" spans="1:29">
      <c r="A420" s="2"/>
      <c r="B420" s="2"/>
      <c r="C420" s="8" t="str">
        <f>IF(B420="","",IFERROR(LOOKUP(2,1/(单次交易!$A$2:$A$163=B420),单次交易!$B$2:$B$163),""))</f>
        <v/>
      </c>
      <c r="D420" s="12"/>
      <c r="E420" s="10"/>
      <c r="F420" s="10"/>
      <c r="G420" s="2"/>
      <c r="H420" s="15"/>
      <c r="I420" s="10"/>
      <c r="J420" s="12"/>
      <c r="K420" s="2"/>
      <c r="L420" s="2"/>
      <c r="M420" s="2"/>
      <c r="N420" s="5" t="str">
        <f>IF(B420="","",IFERROR(LOOKUP(2,1/(单次交易!$A$2:$A$163=B420),单次交易!$N$2:$N$163),""))</f>
        <v/>
      </c>
      <c r="O420" s="5" t="str">
        <f t="shared" si="63"/>
        <v/>
      </c>
      <c r="P420" s="11" t="str">
        <f t="shared" si="64"/>
        <v/>
      </c>
      <c r="Q420" s="5" t="str">
        <f t="shared" si="65"/>
        <v/>
      </c>
      <c r="R420" s="10"/>
      <c r="S420" s="5" t="str">
        <f t="shared" si="66"/>
        <v/>
      </c>
      <c r="T420" s="5" t="str">
        <f t="shared" si="67"/>
        <v/>
      </c>
      <c r="U420" s="5" t="str">
        <f t="shared" si="68"/>
        <v/>
      </c>
      <c r="V420" s="7" t="str">
        <f t="shared" si="69"/>
        <v/>
      </c>
      <c r="W420" s="8" t="str">
        <f t="shared" si="70"/>
        <v/>
      </c>
      <c r="X420" s="2"/>
      <c r="Y420" s="10"/>
      <c r="Z420" s="11" t="str">
        <f>IF(X420&lt;&gt;"执行卖出","",IFERROR(LOOKUP(2,1/(单次交易!$A$2:$A$163=B420),单次交易!$AP$2:$AP$163),""))</f>
        <v/>
      </c>
      <c r="AA420" s="10"/>
      <c r="AB420" s="8" t="str">
        <f t="shared" si="71"/>
        <v/>
      </c>
      <c r="AC420" s="8" t="str">
        <f>IF(A420="","",IF(A420="止损计划",IF(OR(B420="",D420="",E420="",F420="",G420=""),"计划不完整",IF(OR(D420&lt;1,D420&lt;&gt;INT(D420)),"阶段序号无效",IF(COUNTIFS($A$2:$A$497,"止损计划",$B$2:$B$497,B420,$D$2:$D$497,D420)&gt;1,"阶段序号重复",IF(E420&lt;=IFERROR(LOOKUP(2,1/(单次交易!$A$2:$A$163=B420),单次交易!$E$2:$E$163),0),"激活价须高于买入价",IF(F420&lt;N420,"止损价不得低于初始止损",IF(F420&gt;E420,"止损价不得高于激活价",IF(AND(COUNTIFS($A$2:$A$497,"止损计划",$B$2:$B$497,B420,$D$2:$D$497,"&lt;"&amp;D420)&gt;0,OR(E420&lt;=SUMPRODUCT(MAX((($A$2:$A$497="止损计划")*($B$2:$B$497=B420)*($D$2:$D$497&lt;D420))*$E$2:$E$497)),F420&lt;SUMPRODUCT(MAX((($A$2:$A$497="止损计划")*($B$2:$B$497=B420)*($D$2:$D$497&lt;D420))*$F$2:$F$497)))),"阶段价格必须逐级提高","计划有效"))))))),IF(A420="每日跟踪",IF(OR(B420="",H420="",I420="",J420=""),"每日数据不完整",IF(COUNTIFS($A$2:$A$497,"每日跟踪",$B$2:$B$497,B420,$H$2:$H$497,H420)&gt;1,"同一交易日期重复",IF(AND(R420&lt;&gt;"",R420&lt;S420),"人工止损无效：不能下调","跟踪有效"))),"记录类型无效")))</f>
        <v/>
      </c>
    </row>
    <row r="421" ht="17" spans="1:29">
      <c r="A421" s="2"/>
      <c r="B421" s="2"/>
      <c r="C421" s="8" t="str">
        <f>IF(B421="","",IFERROR(LOOKUP(2,1/(单次交易!$A$2:$A$163=B421),单次交易!$B$2:$B$163),""))</f>
        <v/>
      </c>
      <c r="D421" s="12"/>
      <c r="E421" s="10"/>
      <c r="F421" s="10"/>
      <c r="G421" s="2"/>
      <c r="H421" s="15"/>
      <c r="I421" s="10"/>
      <c r="J421" s="12"/>
      <c r="K421" s="2"/>
      <c r="L421" s="2"/>
      <c r="M421" s="2"/>
      <c r="N421" s="5" t="str">
        <f>IF(B421="","",IFERROR(LOOKUP(2,1/(单次交易!$A$2:$A$163=B421),单次交易!$N$2:$N$163),""))</f>
        <v/>
      </c>
      <c r="O421" s="5" t="str">
        <f t="shared" si="63"/>
        <v/>
      </c>
      <c r="P421" s="11" t="str">
        <f t="shared" si="64"/>
        <v/>
      </c>
      <c r="Q421" s="5" t="str">
        <f t="shared" si="65"/>
        <v/>
      </c>
      <c r="R421" s="10"/>
      <c r="S421" s="5" t="str">
        <f t="shared" si="66"/>
        <v/>
      </c>
      <c r="T421" s="5" t="str">
        <f t="shared" si="67"/>
        <v/>
      </c>
      <c r="U421" s="5" t="str">
        <f t="shared" si="68"/>
        <v/>
      </c>
      <c r="V421" s="7" t="str">
        <f t="shared" si="69"/>
        <v/>
      </c>
      <c r="W421" s="8" t="str">
        <f t="shared" si="70"/>
        <v/>
      </c>
      <c r="X421" s="2"/>
      <c r="Y421" s="10"/>
      <c r="Z421" s="11" t="str">
        <f>IF(X421&lt;&gt;"执行卖出","",IFERROR(LOOKUP(2,1/(单次交易!$A$2:$A$163=B421),单次交易!$AP$2:$AP$163),""))</f>
        <v/>
      </c>
      <c r="AA421" s="10"/>
      <c r="AB421" s="8" t="str">
        <f t="shared" si="71"/>
        <v/>
      </c>
      <c r="AC421" s="8" t="str">
        <f>IF(A421="","",IF(A421="止损计划",IF(OR(B421="",D421="",E421="",F421="",G421=""),"计划不完整",IF(OR(D421&lt;1,D421&lt;&gt;INT(D421)),"阶段序号无效",IF(COUNTIFS($A$2:$A$497,"止损计划",$B$2:$B$497,B421,$D$2:$D$497,D421)&gt;1,"阶段序号重复",IF(E421&lt;=IFERROR(LOOKUP(2,1/(单次交易!$A$2:$A$163=B421),单次交易!$E$2:$E$163),0),"激活价须高于买入价",IF(F421&lt;N421,"止损价不得低于初始止损",IF(F421&gt;E421,"止损价不得高于激活价",IF(AND(COUNTIFS($A$2:$A$497,"止损计划",$B$2:$B$497,B421,$D$2:$D$497,"&lt;"&amp;D421)&gt;0,OR(E421&lt;=SUMPRODUCT(MAX((($A$2:$A$497="止损计划")*($B$2:$B$497=B421)*($D$2:$D$497&lt;D421))*$E$2:$E$497)),F421&lt;SUMPRODUCT(MAX((($A$2:$A$497="止损计划")*($B$2:$B$497=B421)*($D$2:$D$497&lt;D421))*$F$2:$F$497)))),"阶段价格必须逐级提高","计划有效"))))))),IF(A421="每日跟踪",IF(OR(B421="",H421="",I421="",J421=""),"每日数据不完整",IF(COUNTIFS($A$2:$A$497,"每日跟踪",$B$2:$B$497,B421,$H$2:$H$497,H421)&gt;1,"同一交易日期重复",IF(AND(R421&lt;&gt;"",R421&lt;S421),"人工止损无效：不能下调","跟踪有效"))),"记录类型无效")))</f>
        <v/>
      </c>
    </row>
    <row r="422" ht="17" spans="1:29">
      <c r="A422" s="2"/>
      <c r="B422" s="2"/>
      <c r="C422" s="8" t="str">
        <f>IF(B422="","",IFERROR(LOOKUP(2,1/(单次交易!$A$2:$A$163=B422),单次交易!$B$2:$B$163),""))</f>
        <v/>
      </c>
      <c r="D422" s="12"/>
      <c r="E422" s="10"/>
      <c r="F422" s="10"/>
      <c r="G422" s="2"/>
      <c r="H422" s="15"/>
      <c r="I422" s="10"/>
      <c r="J422" s="12"/>
      <c r="K422" s="2"/>
      <c r="L422" s="2"/>
      <c r="M422" s="2"/>
      <c r="N422" s="5" t="str">
        <f>IF(B422="","",IFERROR(LOOKUP(2,1/(单次交易!$A$2:$A$163=B422),单次交易!$N$2:$N$163),""))</f>
        <v/>
      </c>
      <c r="O422" s="5" t="str">
        <f t="shared" si="63"/>
        <v/>
      </c>
      <c r="P422" s="11" t="str">
        <f t="shared" si="64"/>
        <v/>
      </c>
      <c r="Q422" s="5" t="str">
        <f t="shared" si="65"/>
        <v/>
      </c>
      <c r="R422" s="10"/>
      <c r="S422" s="5" t="str">
        <f t="shared" si="66"/>
        <v/>
      </c>
      <c r="T422" s="5" t="str">
        <f t="shared" si="67"/>
        <v/>
      </c>
      <c r="U422" s="5" t="str">
        <f t="shared" si="68"/>
        <v/>
      </c>
      <c r="V422" s="7" t="str">
        <f t="shared" si="69"/>
        <v/>
      </c>
      <c r="W422" s="8" t="str">
        <f t="shared" si="70"/>
        <v/>
      </c>
      <c r="X422" s="2"/>
      <c r="Y422" s="10"/>
      <c r="Z422" s="11" t="str">
        <f>IF(X422&lt;&gt;"执行卖出","",IFERROR(LOOKUP(2,1/(单次交易!$A$2:$A$163=B422),单次交易!$AP$2:$AP$163),""))</f>
        <v/>
      </c>
      <c r="AA422" s="10"/>
      <c r="AB422" s="8" t="str">
        <f t="shared" si="71"/>
        <v/>
      </c>
      <c r="AC422" s="8" t="str">
        <f>IF(A422="","",IF(A422="止损计划",IF(OR(B422="",D422="",E422="",F422="",G422=""),"计划不完整",IF(OR(D422&lt;1,D422&lt;&gt;INT(D422)),"阶段序号无效",IF(COUNTIFS($A$2:$A$497,"止损计划",$B$2:$B$497,B422,$D$2:$D$497,D422)&gt;1,"阶段序号重复",IF(E422&lt;=IFERROR(LOOKUP(2,1/(单次交易!$A$2:$A$163=B422),单次交易!$E$2:$E$163),0),"激活价须高于买入价",IF(F422&lt;N422,"止损价不得低于初始止损",IF(F422&gt;E422,"止损价不得高于激活价",IF(AND(COUNTIFS($A$2:$A$497,"止损计划",$B$2:$B$497,B422,$D$2:$D$497,"&lt;"&amp;D422)&gt;0,OR(E422&lt;=SUMPRODUCT(MAX((($A$2:$A$497="止损计划")*($B$2:$B$497=B422)*($D$2:$D$497&lt;D422))*$E$2:$E$497)),F422&lt;SUMPRODUCT(MAX((($A$2:$A$497="止损计划")*($B$2:$B$497=B422)*($D$2:$D$497&lt;D422))*$F$2:$F$497)))),"阶段价格必须逐级提高","计划有效"))))))),IF(A422="每日跟踪",IF(OR(B422="",H422="",I422="",J422=""),"每日数据不完整",IF(COUNTIFS($A$2:$A$497,"每日跟踪",$B$2:$B$497,B422,$H$2:$H$497,H422)&gt;1,"同一交易日期重复",IF(AND(R422&lt;&gt;"",R422&lt;S422),"人工止损无效：不能下调","跟踪有效"))),"记录类型无效")))</f>
        <v/>
      </c>
    </row>
    <row r="423" ht="17" spans="1:29">
      <c r="A423" s="2"/>
      <c r="B423" s="2"/>
      <c r="C423" s="8" t="str">
        <f>IF(B423="","",IFERROR(LOOKUP(2,1/(单次交易!$A$2:$A$163=B423),单次交易!$B$2:$B$163),""))</f>
        <v/>
      </c>
      <c r="D423" s="12"/>
      <c r="E423" s="10"/>
      <c r="F423" s="10"/>
      <c r="G423" s="2"/>
      <c r="H423" s="15"/>
      <c r="I423" s="10"/>
      <c r="J423" s="12"/>
      <c r="K423" s="2"/>
      <c r="L423" s="2"/>
      <c r="M423" s="2"/>
      <c r="N423" s="5" t="str">
        <f>IF(B423="","",IFERROR(LOOKUP(2,1/(单次交易!$A$2:$A$163=B423),单次交易!$N$2:$N$163),""))</f>
        <v/>
      </c>
      <c r="O423" s="5" t="str">
        <f t="shared" si="63"/>
        <v/>
      </c>
      <c r="P423" s="11" t="str">
        <f t="shared" si="64"/>
        <v/>
      </c>
      <c r="Q423" s="5" t="str">
        <f t="shared" si="65"/>
        <v/>
      </c>
      <c r="R423" s="10"/>
      <c r="S423" s="5" t="str">
        <f t="shared" si="66"/>
        <v/>
      </c>
      <c r="T423" s="5" t="str">
        <f t="shared" si="67"/>
        <v/>
      </c>
      <c r="U423" s="5" t="str">
        <f t="shared" si="68"/>
        <v/>
      </c>
      <c r="V423" s="7" t="str">
        <f t="shared" si="69"/>
        <v/>
      </c>
      <c r="W423" s="8" t="str">
        <f t="shared" si="70"/>
        <v/>
      </c>
      <c r="X423" s="2"/>
      <c r="Y423" s="10"/>
      <c r="Z423" s="11" t="str">
        <f>IF(X423&lt;&gt;"执行卖出","",IFERROR(LOOKUP(2,1/(单次交易!$A$2:$A$163=B423),单次交易!$AP$2:$AP$163),""))</f>
        <v/>
      </c>
      <c r="AA423" s="10"/>
      <c r="AB423" s="8" t="str">
        <f t="shared" si="71"/>
        <v/>
      </c>
      <c r="AC423" s="8" t="str">
        <f>IF(A423="","",IF(A423="止损计划",IF(OR(B423="",D423="",E423="",F423="",G423=""),"计划不完整",IF(OR(D423&lt;1,D423&lt;&gt;INT(D423)),"阶段序号无效",IF(COUNTIFS($A$2:$A$497,"止损计划",$B$2:$B$497,B423,$D$2:$D$497,D423)&gt;1,"阶段序号重复",IF(E423&lt;=IFERROR(LOOKUP(2,1/(单次交易!$A$2:$A$163=B423),单次交易!$E$2:$E$163),0),"激活价须高于买入价",IF(F423&lt;N423,"止损价不得低于初始止损",IF(F423&gt;E423,"止损价不得高于激活价",IF(AND(COUNTIFS($A$2:$A$497,"止损计划",$B$2:$B$497,B423,$D$2:$D$497,"&lt;"&amp;D423)&gt;0,OR(E423&lt;=SUMPRODUCT(MAX((($A$2:$A$497="止损计划")*($B$2:$B$497=B423)*($D$2:$D$497&lt;D423))*$E$2:$E$497)),F423&lt;SUMPRODUCT(MAX((($A$2:$A$497="止损计划")*($B$2:$B$497=B423)*($D$2:$D$497&lt;D423))*$F$2:$F$497)))),"阶段价格必须逐级提高","计划有效"))))))),IF(A423="每日跟踪",IF(OR(B423="",H423="",I423="",J423=""),"每日数据不完整",IF(COUNTIFS($A$2:$A$497,"每日跟踪",$B$2:$B$497,B423,$H$2:$H$497,H423)&gt;1,"同一交易日期重复",IF(AND(R423&lt;&gt;"",R423&lt;S423),"人工止损无效：不能下调","跟踪有效"))),"记录类型无效")))</f>
        <v/>
      </c>
    </row>
    <row r="424" ht="17" spans="1:29">
      <c r="A424" s="2"/>
      <c r="B424" s="2"/>
      <c r="C424" s="8" t="str">
        <f>IF(B424="","",IFERROR(LOOKUP(2,1/(单次交易!$A$2:$A$163=B424),单次交易!$B$2:$B$163),""))</f>
        <v/>
      </c>
      <c r="D424" s="12"/>
      <c r="E424" s="10"/>
      <c r="F424" s="10"/>
      <c r="G424" s="2"/>
      <c r="H424" s="15"/>
      <c r="I424" s="10"/>
      <c r="J424" s="12"/>
      <c r="K424" s="2"/>
      <c r="L424" s="2"/>
      <c r="M424" s="2"/>
      <c r="N424" s="5" t="str">
        <f>IF(B424="","",IFERROR(LOOKUP(2,1/(单次交易!$A$2:$A$163=B424),单次交易!$N$2:$N$163),""))</f>
        <v/>
      </c>
      <c r="O424" s="5" t="str">
        <f t="shared" si="63"/>
        <v/>
      </c>
      <c r="P424" s="11" t="str">
        <f t="shared" si="64"/>
        <v/>
      </c>
      <c r="Q424" s="5" t="str">
        <f t="shared" si="65"/>
        <v/>
      </c>
      <c r="R424" s="10"/>
      <c r="S424" s="5" t="str">
        <f t="shared" si="66"/>
        <v/>
      </c>
      <c r="T424" s="5" t="str">
        <f t="shared" si="67"/>
        <v/>
      </c>
      <c r="U424" s="5" t="str">
        <f t="shared" si="68"/>
        <v/>
      </c>
      <c r="V424" s="7" t="str">
        <f t="shared" si="69"/>
        <v/>
      </c>
      <c r="W424" s="8" t="str">
        <f t="shared" si="70"/>
        <v/>
      </c>
      <c r="X424" s="2"/>
      <c r="Y424" s="10"/>
      <c r="Z424" s="11" t="str">
        <f>IF(X424&lt;&gt;"执行卖出","",IFERROR(LOOKUP(2,1/(单次交易!$A$2:$A$163=B424),单次交易!$AP$2:$AP$163),""))</f>
        <v/>
      </c>
      <c r="AA424" s="10"/>
      <c r="AB424" s="8" t="str">
        <f t="shared" si="71"/>
        <v/>
      </c>
      <c r="AC424" s="8" t="str">
        <f>IF(A424="","",IF(A424="止损计划",IF(OR(B424="",D424="",E424="",F424="",G424=""),"计划不完整",IF(OR(D424&lt;1,D424&lt;&gt;INT(D424)),"阶段序号无效",IF(COUNTIFS($A$2:$A$497,"止损计划",$B$2:$B$497,B424,$D$2:$D$497,D424)&gt;1,"阶段序号重复",IF(E424&lt;=IFERROR(LOOKUP(2,1/(单次交易!$A$2:$A$163=B424),单次交易!$E$2:$E$163),0),"激活价须高于买入价",IF(F424&lt;N424,"止损价不得低于初始止损",IF(F424&gt;E424,"止损价不得高于激活价",IF(AND(COUNTIFS($A$2:$A$497,"止损计划",$B$2:$B$497,B424,$D$2:$D$497,"&lt;"&amp;D424)&gt;0,OR(E424&lt;=SUMPRODUCT(MAX((($A$2:$A$497="止损计划")*($B$2:$B$497=B424)*($D$2:$D$497&lt;D424))*$E$2:$E$497)),F424&lt;SUMPRODUCT(MAX((($A$2:$A$497="止损计划")*($B$2:$B$497=B424)*($D$2:$D$497&lt;D424))*$F$2:$F$497)))),"阶段价格必须逐级提高","计划有效"))))))),IF(A424="每日跟踪",IF(OR(B424="",H424="",I424="",J424=""),"每日数据不完整",IF(COUNTIFS($A$2:$A$497,"每日跟踪",$B$2:$B$497,B424,$H$2:$H$497,H424)&gt;1,"同一交易日期重复",IF(AND(R424&lt;&gt;"",R424&lt;S424),"人工止损无效：不能下调","跟踪有效"))),"记录类型无效")))</f>
        <v/>
      </c>
    </row>
    <row r="425" ht="17" spans="1:29">
      <c r="A425" s="2"/>
      <c r="B425" s="2"/>
      <c r="C425" s="8" t="str">
        <f>IF(B425="","",IFERROR(LOOKUP(2,1/(单次交易!$A$2:$A$163=B425),单次交易!$B$2:$B$163),""))</f>
        <v/>
      </c>
      <c r="D425" s="12"/>
      <c r="E425" s="10"/>
      <c r="F425" s="10"/>
      <c r="G425" s="2"/>
      <c r="H425" s="15"/>
      <c r="I425" s="10"/>
      <c r="J425" s="12"/>
      <c r="K425" s="2"/>
      <c r="L425" s="2"/>
      <c r="M425" s="2"/>
      <c r="N425" s="5" t="str">
        <f>IF(B425="","",IFERROR(LOOKUP(2,1/(单次交易!$A$2:$A$163=B425),单次交易!$N$2:$N$163),""))</f>
        <v/>
      </c>
      <c r="O425" s="5" t="str">
        <f t="shared" si="63"/>
        <v/>
      </c>
      <c r="P425" s="11" t="str">
        <f t="shared" si="64"/>
        <v/>
      </c>
      <c r="Q425" s="5" t="str">
        <f t="shared" si="65"/>
        <v/>
      </c>
      <c r="R425" s="10"/>
      <c r="S425" s="5" t="str">
        <f t="shared" si="66"/>
        <v/>
      </c>
      <c r="T425" s="5" t="str">
        <f t="shared" si="67"/>
        <v/>
      </c>
      <c r="U425" s="5" t="str">
        <f t="shared" si="68"/>
        <v/>
      </c>
      <c r="V425" s="7" t="str">
        <f t="shared" si="69"/>
        <v/>
      </c>
      <c r="W425" s="8" t="str">
        <f t="shared" si="70"/>
        <v/>
      </c>
      <c r="X425" s="2"/>
      <c r="Y425" s="10"/>
      <c r="Z425" s="11" t="str">
        <f>IF(X425&lt;&gt;"执行卖出","",IFERROR(LOOKUP(2,1/(单次交易!$A$2:$A$163=B425),单次交易!$AP$2:$AP$163),""))</f>
        <v/>
      </c>
      <c r="AA425" s="10"/>
      <c r="AB425" s="8" t="str">
        <f t="shared" si="71"/>
        <v/>
      </c>
      <c r="AC425" s="8" t="str">
        <f>IF(A425="","",IF(A425="止损计划",IF(OR(B425="",D425="",E425="",F425="",G425=""),"计划不完整",IF(OR(D425&lt;1,D425&lt;&gt;INT(D425)),"阶段序号无效",IF(COUNTIFS($A$2:$A$497,"止损计划",$B$2:$B$497,B425,$D$2:$D$497,D425)&gt;1,"阶段序号重复",IF(E425&lt;=IFERROR(LOOKUP(2,1/(单次交易!$A$2:$A$163=B425),单次交易!$E$2:$E$163),0),"激活价须高于买入价",IF(F425&lt;N425,"止损价不得低于初始止损",IF(F425&gt;E425,"止损价不得高于激活价",IF(AND(COUNTIFS($A$2:$A$497,"止损计划",$B$2:$B$497,B425,$D$2:$D$497,"&lt;"&amp;D425)&gt;0,OR(E425&lt;=SUMPRODUCT(MAX((($A$2:$A$497="止损计划")*($B$2:$B$497=B425)*($D$2:$D$497&lt;D425))*$E$2:$E$497)),F425&lt;SUMPRODUCT(MAX((($A$2:$A$497="止损计划")*($B$2:$B$497=B425)*($D$2:$D$497&lt;D425))*$F$2:$F$497)))),"阶段价格必须逐级提高","计划有效"))))))),IF(A425="每日跟踪",IF(OR(B425="",H425="",I425="",J425=""),"每日数据不完整",IF(COUNTIFS($A$2:$A$497,"每日跟踪",$B$2:$B$497,B425,$H$2:$H$497,H425)&gt;1,"同一交易日期重复",IF(AND(R425&lt;&gt;"",R425&lt;S425),"人工止损无效：不能下调","跟踪有效"))),"记录类型无效")))</f>
        <v/>
      </c>
    </row>
    <row r="426" ht="17" spans="1:29">
      <c r="A426" s="2"/>
      <c r="B426" s="2"/>
      <c r="C426" s="8" t="str">
        <f>IF(B426="","",IFERROR(LOOKUP(2,1/(单次交易!$A$2:$A$163=B426),单次交易!$B$2:$B$163),""))</f>
        <v/>
      </c>
      <c r="D426" s="12"/>
      <c r="E426" s="10"/>
      <c r="F426" s="10"/>
      <c r="G426" s="2"/>
      <c r="H426" s="15"/>
      <c r="I426" s="10"/>
      <c r="J426" s="12"/>
      <c r="K426" s="2"/>
      <c r="L426" s="2"/>
      <c r="M426" s="2"/>
      <c r="N426" s="5" t="str">
        <f>IF(B426="","",IFERROR(LOOKUP(2,1/(单次交易!$A$2:$A$163=B426),单次交易!$N$2:$N$163),""))</f>
        <v/>
      </c>
      <c r="O426" s="5" t="str">
        <f t="shared" si="63"/>
        <v/>
      </c>
      <c r="P426" s="11" t="str">
        <f t="shared" si="64"/>
        <v/>
      </c>
      <c r="Q426" s="5" t="str">
        <f t="shared" si="65"/>
        <v/>
      </c>
      <c r="R426" s="10"/>
      <c r="S426" s="5" t="str">
        <f t="shared" si="66"/>
        <v/>
      </c>
      <c r="T426" s="5" t="str">
        <f t="shared" si="67"/>
        <v/>
      </c>
      <c r="U426" s="5" t="str">
        <f t="shared" si="68"/>
        <v/>
      </c>
      <c r="V426" s="7" t="str">
        <f t="shared" si="69"/>
        <v/>
      </c>
      <c r="W426" s="8" t="str">
        <f t="shared" si="70"/>
        <v/>
      </c>
      <c r="X426" s="2"/>
      <c r="Y426" s="10"/>
      <c r="Z426" s="11" t="str">
        <f>IF(X426&lt;&gt;"执行卖出","",IFERROR(LOOKUP(2,1/(单次交易!$A$2:$A$163=B426),单次交易!$AP$2:$AP$163),""))</f>
        <v/>
      </c>
      <c r="AA426" s="10"/>
      <c r="AB426" s="8" t="str">
        <f t="shared" si="71"/>
        <v/>
      </c>
      <c r="AC426" s="8" t="str">
        <f>IF(A426="","",IF(A426="止损计划",IF(OR(B426="",D426="",E426="",F426="",G426=""),"计划不完整",IF(OR(D426&lt;1,D426&lt;&gt;INT(D426)),"阶段序号无效",IF(COUNTIFS($A$2:$A$497,"止损计划",$B$2:$B$497,B426,$D$2:$D$497,D426)&gt;1,"阶段序号重复",IF(E426&lt;=IFERROR(LOOKUP(2,1/(单次交易!$A$2:$A$163=B426),单次交易!$E$2:$E$163),0),"激活价须高于买入价",IF(F426&lt;N426,"止损价不得低于初始止损",IF(F426&gt;E426,"止损价不得高于激活价",IF(AND(COUNTIFS($A$2:$A$497,"止损计划",$B$2:$B$497,B426,$D$2:$D$497,"&lt;"&amp;D426)&gt;0,OR(E426&lt;=SUMPRODUCT(MAX((($A$2:$A$497="止损计划")*($B$2:$B$497=B426)*($D$2:$D$497&lt;D426))*$E$2:$E$497)),F426&lt;SUMPRODUCT(MAX((($A$2:$A$497="止损计划")*($B$2:$B$497=B426)*($D$2:$D$497&lt;D426))*$F$2:$F$497)))),"阶段价格必须逐级提高","计划有效"))))))),IF(A426="每日跟踪",IF(OR(B426="",H426="",I426="",J426=""),"每日数据不完整",IF(COUNTIFS($A$2:$A$497,"每日跟踪",$B$2:$B$497,B426,$H$2:$H$497,H426)&gt;1,"同一交易日期重复",IF(AND(R426&lt;&gt;"",R426&lt;S426),"人工止损无效：不能下调","跟踪有效"))),"记录类型无效")))</f>
        <v/>
      </c>
    </row>
    <row r="427" ht="17" spans="1:29">
      <c r="A427" s="2"/>
      <c r="B427" s="2"/>
      <c r="C427" s="8" t="str">
        <f>IF(B427="","",IFERROR(LOOKUP(2,1/(单次交易!$A$2:$A$163=B427),单次交易!$B$2:$B$163),""))</f>
        <v/>
      </c>
      <c r="D427" s="12"/>
      <c r="E427" s="10"/>
      <c r="F427" s="10"/>
      <c r="G427" s="2"/>
      <c r="H427" s="15"/>
      <c r="I427" s="10"/>
      <c r="J427" s="12"/>
      <c r="K427" s="2"/>
      <c r="L427" s="2"/>
      <c r="M427" s="2"/>
      <c r="N427" s="5" t="str">
        <f>IF(B427="","",IFERROR(LOOKUP(2,1/(单次交易!$A$2:$A$163=B427),单次交易!$N$2:$N$163),""))</f>
        <v/>
      </c>
      <c r="O427" s="5" t="str">
        <f t="shared" si="63"/>
        <v/>
      </c>
      <c r="P427" s="11" t="str">
        <f t="shared" si="64"/>
        <v/>
      </c>
      <c r="Q427" s="5" t="str">
        <f t="shared" si="65"/>
        <v/>
      </c>
      <c r="R427" s="10"/>
      <c r="S427" s="5" t="str">
        <f t="shared" si="66"/>
        <v/>
      </c>
      <c r="T427" s="5" t="str">
        <f t="shared" si="67"/>
        <v/>
      </c>
      <c r="U427" s="5" t="str">
        <f t="shared" si="68"/>
        <v/>
      </c>
      <c r="V427" s="7" t="str">
        <f t="shared" si="69"/>
        <v/>
      </c>
      <c r="W427" s="8" t="str">
        <f t="shared" si="70"/>
        <v/>
      </c>
      <c r="X427" s="2"/>
      <c r="Y427" s="10"/>
      <c r="Z427" s="11" t="str">
        <f>IF(X427&lt;&gt;"执行卖出","",IFERROR(LOOKUP(2,1/(单次交易!$A$2:$A$163=B427),单次交易!$AP$2:$AP$163),""))</f>
        <v/>
      </c>
      <c r="AA427" s="10"/>
      <c r="AB427" s="8" t="str">
        <f t="shared" si="71"/>
        <v/>
      </c>
      <c r="AC427" s="8" t="str">
        <f>IF(A427="","",IF(A427="止损计划",IF(OR(B427="",D427="",E427="",F427="",G427=""),"计划不完整",IF(OR(D427&lt;1,D427&lt;&gt;INT(D427)),"阶段序号无效",IF(COUNTIFS($A$2:$A$497,"止损计划",$B$2:$B$497,B427,$D$2:$D$497,D427)&gt;1,"阶段序号重复",IF(E427&lt;=IFERROR(LOOKUP(2,1/(单次交易!$A$2:$A$163=B427),单次交易!$E$2:$E$163),0),"激活价须高于买入价",IF(F427&lt;N427,"止损价不得低于初始止损",IF(F427&gt;E427,"止损价不得高于激活价",IF(AND(COUNTIFS($A$2:$A$497,"止损计划",$B$2:$B$497,B427,$D$2:$D$497,"&lt;"&amp;D427)&gt;0,OR(E427&lt;=SUMPRODUCT(MAX((($A$2:$A$497="止损计划")*($B$2:$B$497=B427)*($D$2:$D$497&lt;D427))*$E$2:$E$497)),F427&lt;SUMPRODUCT(MAX((($A$2:$A$497="止损计划")*($B$2:$B$497=B427)*($D$2:$D$497&lt;D427))*$F$2:$F$497)))),"阶段价格必须逐级提高","计划有效"))))))),IF(A427="每日跟踪",IF(OR(B427="",H427="",I427="",J427=""),"每日数据不完整",IF(COUNTIFS($A$2:$A$497,"每日跟踪",$B$2:$B$497,B427,$H$2:$H$497,H427)&gt;1,"同一交易日期重复",IF(AND(R427&lt;&gt;"",R427&lt;S427),"人工止损无效：不能下调","跟踪有效"))),"记录类型无效")))</f>
        <v/>
      </c>
    </row>
    <row r="428" ht="17" spans="1:29">
      <c r="A428" s="2"/>
      <c r="B428" s="2"/>
      <c r="C428" s="8" t="str">
        <f>IF(B428="","",IFERROR(LOOKUP(2,1/(单次交易!$A$2:$A$163=B428),单次交易!$B$2:$B$163),""))</f>
        <v/>
      </c>
      <c r="D428" s="12"/>
      <c r="E428" s="10"/>
      <c r="F428" s="10"/>
      <c r="G428" s="2"/>
      <c r="H428" s="15"/>
      <c r="I428" s="10"/>
      <c r="J428" s="12"/>
      <c r="K428" s="2"/>
      <c r="L428" s="2"/>
      <c r="M428" s="2"/>
      <c r="N428" s="5" t="str">
        <f>IF(B428="","",IFERROR(LOOKUP(2,1/(单次交易!$A$2:$A$163=B428),单次交易!$N$2:$N$163),""))</f>
        <v/>
      </c>
      <c r="O428" s="5" t="str">
        <f t="shared" si="63"/>
        <v/>
      </c>
      <c r="P428" s="11" t="str">
        <f t="shared" si="64"/>
        <v/>
      </c>
      <c r="Q428" s="5" t="str">
        <f t="shared" si="65"/>
        <v/>
      </c>
      <c r="R428" s="10"/>
      <c r="S428" s="5" t="str">
        <f t="shared" si="66"/>
        <v/>
      </c>
      <c r="T428" s="5" t="str">
        <f t="shared" si="67"/>
        <v/>
      </c>
      <c r="U428" s="5" t="str">
        <f t="shared" si="68"/>
        <v/>
      </c>
      <c r="V428" s="7" t="str">
        <f t="shared" si="69"/>
        <v/>
      </c>
      <c r="W428" s="8" t="str">
        <f t="shared" si="70"/>
        <v/>
      </c>
      <c r="X428" s="2"/>
      <c r="Y428" s="10"/>
      <c r="Z428" s="11" t="str">
        <f>IF(X428&lt;&gt;"执行卖出","",IFERROR(LOOKUP(2,1/(单次交易!$A$2:$A$163=B428),单次交易!$AP$2:$AP$163),""))</f>
        <v/>
      </c>
      <c r="AA428" s="10"/>
      <c r="AB428" s="8" t="str">
        <f t="shared" si="71"/>
        <v/>
      </c>
      <c r="AC428" s="8" t="str">
        <f>IF(A428="","",IF(A428="止损计划",IF(OR(B428="",D428="",E428="",F428="",G428=""),"计划不完整",IF(OR(D428&lt;1,D428&lt;&gt;INT(D428)),"阶段序号无效",IF(COUNTIFS($A$2:$A$497,"止损计划",$B$2:$B$497,B428,$D$2:$D$497,D428)&gt;1,"阶段序号重复",IF(E428&lt;=IFERROR(LOOKUP(2,1/(单次交易!$A$2:$A$163=B428),单次交易!$E$2:$E$163),0),"激活价须高于买入价",IF(F428&lt;N428,"止损价不得低于初始止损",IF(F428&gt;E428,"止损价不得高于激活价",IF(AND(COUNTIFS($A$2:$A$497,"止损计划",$B$2:$B$497,B428,$D$2:$D$497,"&lt;"&amp;D428)&gt;0,OR(E428&lt;=SUMPRODUCT(MAX((($A$2:$A$497="止损计划")*($B$2:$B$497=B428)*($D$2:$D$497&lt;D428))*$E$2:$E$497)),F428&lt;SUMPRODUCT(MAX((($A$2:$A$497="止损计划")*($B$2:$B$497=B428)*($D$2:$D$497&lt;D428))*$F$2:$F$497)))),"阶段价格必须逐级提高","计划有效"))))))),IF(A428="每日跟踪",IF(OR(B428="",H428="",I428="",J428=""),"每日数据不完整",IF(COUNTIFS($A$2:$A$497,"每日跟踪",$B$2:$B$497,B428,$H$2:$H$497,H428)&gt;1,"同一交易日期重复",IF(AND(R428&lt;&gt;"",R428&lt;S428),"人工止损无效：不能下调","跟踪有效"))),"记录类型无效")))</f>
        <v/>
      </c>
    </row>
    <row r="429" ht="17" spans="1:29">
      <c r="A429" s="2"/>
      <c r="B429" s="2"/>
      <c r="C429" s="8" t="str">
        <f>IF(B429="","",IFERROR(LOOKUP(2,1/(单次交易!$A$2:$A$163=B429),单次交易!$B$2:$B$163),""))</f>
        <v/>
      </c>
      <c r="D429" s="12"/>
      <c r="E429" s="10"/>
      <c r="F429" s="10"/>
      <c r="G429" s="2"/>
      <c r="H429" s="15"/>
      <c r="I429" s="10"/>
      <c r="J429" s="12"/>
      <c r="K429" s="2"/>
      <c r="L429" s="2"/>
      <c r="M429" s="2"/>
      <c r="N429" s="5" t="str">
        <f>IF(B429="","",IFERROR(LOOKUP(2,1/(单次交易!$A$2:$A$163=B429),单次交易!$N$2:$N$163),""))</f>
        <v/>
      </c>
      <c r="O429" s="5" t="str">
        <f t="shared" si="63"/>
        <v/>
      </c>
      <c r="P429" s="11" t="str">
        <f t="shared" si="64"/>
        <v/>
      </c>
      <c r="Q429" s="5" t="str">
        <f t="shared" si="65"/>
        <v/>
      </c>
      <c r="R429" s="10"/>
      <c r="S429" s="5" t="str">
        <f t="shared" si="66"/>
        <v/>
      </c>
      <c r="T429" s="5" t="str">
        <f t="shared" si="67"/>
        <v/>
      </c>
      <c r="U429" s="5" t="str">
        <f t="shared" si="68"/>
        <v/>
      </c>
      <c r="V429" s="7" t="str">
        <f t="shared" si="69"/>
        <v/>
      </c>
      <c r="W429" s="8" t="str">
        <f t="shared" si="70"/>
        <v/>
      </c>
      <c r="X429" s="2"/>
      <c r="Y429" s="10"/>
      <c r="Z429" s="11" t="str">
        <f>IF(X429&lt;&gt;"执行卖出","",IFERROR(LOOKUP(2,1/(单次交易!$A$2:$A$163=B429),单次交易!$AP$2:$AP$163),""))</f>
        <v/>
      </c>
      <c r="AA429" s="10"/>
      <c r="AB429" s="8" t="str">
        <f t="shared" si="71"/>
        <v/>
      </c>
      <c r="AC429" s="8" t="str">
        <f>IF(A429="","",IF(A429="止损计划",IF(OR(B429="",D429="",E429="",F429="",G429=""),"计划不完整",IF(OR(D429&lt;1,D429&lt;&gt;INT(D429)),"阶段序号无效",IF(COUNTIFS($A$2:$A$497,"止损计划",$B$2:$B$497,B429,$D$2:$D$497,D429)&gt;1,"阶段序号重复",IF(E429&lt;=IFERROR(LOOKUP(2,1/(单次交易!$A$2:$A$163=B429),单次交易!$E$2:$E$163),0),"激活价须高于买入价",IF(F429&lt;N429,"止损价不得低于初始止损",IF(F429&gt;E429,"止损价不得高于激活价",IF(AND(COUNTIFS($A$2:$A$497,"止损计划",$B$2:$B$497,B429,$D$2:$D$497,"&lt;"&amp;D429)&gt;0,OR(E429&lt;=SUMPRODUCT(MAX((($A$2:$A$497="止损计划")*($B$2:$B$497=B429)*($D$2:$D$497&lt;D429))*$E$2:$E$497)),F429&lt;SUMPRODUCT(MAX((($A$2:$A$497="止损计划")*($B$2:$B$497=B429)*($D$2:$D$497&lt;D429))*$F$2:$F$497)))),"阶段价格必须逐级提高","计划有效"))))))),IF(A429="每日跟踪",IF(OR(B429="",H429="",I429="",J429=""),"每日数据不完整",IF(COUNTIFS($A$2:$A$497,"每日跟踪",$B$2:$B$497,B429,$H$2:$H$497,H429)&gt;1,"同一交易日期重复",IF(AND(R429&lt;&gt;"",R429&lt;S429),"人工止损无效：不能下调","跟踪有效"))),"记录类型无效")))</f>
        <v/>
      </c>
    </row>
    <row r="430" ht="17" spans="1:29">
      <c r="A430" s="2"/>
      <c r="B430" s="2"/>
      <c r="C430" s="8" t="str">
        <f>IF(B430="","",IFERROR(LOOKUP(2,1/(单次交易!$A$2:$A$163=B430),单次交易!$B$2:$B$163),""))</f>
        <v/>
      </c>
      <c r="D430" s="12"/>
      <c r="E430" s="10"/>
      <c r="F430" s="10"/>
      <c r="G430" s="2"/>
      <c r="H430" s="15"/>
      <c r="I430" s="10"/>
      <c r="J430" s="12"/>
      <c r="K430" s="2"/>
      <c r="L430" s="2"/>
      <c r="M430" s="2"/>
      <c r="N430" s="5" t="str">
        <f>IF(B430="","",IFERROR(LOOKUP(2,1/(单次交易!$A$2:$A$163=B430),单次交易!$N$2:$N$163),""))</f>
        <v/>
      </c>
      <c r="O430" s="5" t="str">
        <f t="shared" si="63"/>
        <v/>
      </c>
      <c r="P430" s="11" t="str">
        <f t="shared" si="64"/>
        <v/>
      </c>
      <c r="Q430" s="5" t="str">
        <f t="shared" si="65"/>
        <v/>
      </c>
      <c r="R430" s="10"/>
      <c r="S430" s="5" t="str">
        <f t="shared" si="66"/>
        <v/>
      </c>
      <c r="T430" s="5" t="str">
        <f t="shared" si="67"/>
        <v/>
      </c>
      <c r="U430" s="5" t="str">
        <f t="shared" si="68"/>
        <v/>
      </c>
      <c r="V430" s="7" t="str">
        <f t="shared" si="69"/>
        <v/>
      </c>
      <c r="W430" s="8" t="str">
        <f t="shared" si="70"/>
        <v/>
      </c>
      <c r="X430" s="2"/>
      <c r="Y430" s="10"/>
      <c r="Z430" s="11" t="str">
        <f>IF(X430&lt;&gt;"执行卖出","",IFERROR(LOOKUP(2,1/(单次交易!$A$2:$A$163=B430),单次交易!$AP$2:$AP$163),""))</f>
        <v/>
      </c>
      <c r="AA430" s="10"/>
      <c r="AB430" s="8" t="str">
        <f t="shared" si="71"/>
        <v/>
      </c>
      <c r="AC430" s="8" t="str">
        <f>IF(A430="","",IF(A430="止损计划",IF(OR(B430="",D430="",E430="",F430="",G430=""),"计划不完整",IF(OR(D430&lt;1,D430&lt;&gt;INT(D430)),"阶段序号无效",IF(COUNTIFS($A$2:$A$497,"止损计划",$B$2:$B$497,B430,$D$2:$D$497,D430)&gt;1,"阶段序号重复",IF(E430&lt;=IFERROR(LOOKUP(2,1/(单次交易!$A$2:$A$163=B430),单次交易!$E$2:$E$163),0),"激活价须高于买入价",IF(F430&lt;N430,"止损价不得低于初始止损",IF(F430&gt;E430,"止损价不得高于激活价",IF(AND(COUNTIFS($A$2:$A$497,"止损计划",$B$2:$B$497,B430,$D$2:$D$497,"&lt;"&amp;D430)&gt;0,OR(E430&lt;=SUMPRODUCT(MAX((($A$2:$A$497="止损计划")*($B$2:$B$497=B430)*($D$2:$D$497&lt;D430))*$E$2:$E$497)),F430&lt;SUMPRODUCT(MAX((($A$2:$A$497="止损计划")*($B$2:$B$497=B430)*($D$2:$D$497&lt;D430))*$F$2:$F$497)))),"阶段价格必须逐级提高","计划有效"))))))),IF(A430="每日跟踪",IF(OR(B430="",H430="",I430="",J430=""),"每日数据不完整",IF(COUNTIFS($A$2:$A$497,"每日跟踪",$B$2:$B$497,B430,$H$2:$H$497,H430)&gt;1,"同一交易日期重复",IF(AND(R430&lt;&gt;"",R430&lt;S430),"人工止损无效：不能下调","跟踪有效"))),"记录类型无效")))</f>
        <v/>
      </c>
    </row>
    <row r="431" ht="17" spans="1:29">
      <c r="A431" s="2"/>
      <c r="B431" s="2"/>
      <c r="C431" s="8" t="str">
        <f>IF(B431="","",IFERROR(LOOKUP(2,1/(单次交易!$A$2:$A$163=B431),单次交易!$B$2:$B$163),""))</f>
        <v/>
      </c>
      <c r="D431" s="12"/>
      <c r="E431" s="10"/>
      <c r="F431" s="10"/>
      <c r="G431" s="2"/>
      <c r="H431" s="15"/>
      <c r="I431" s="10"/>
      <c r="J431" s="12"/>
      <c r="K431" s="2"/>
      <c r="L431" s="2"/>
      <c r="M431" s="2"/>
      <c r="N431" s="5" t="str">
        <f>IF(B431="","",IFERROR(LOOKUP(2,1/(单次交易!$A$2:$A$163=B431),单次交易!$N$2:$N$163),""))</f>
        <v/>
      </c>
      <c r="O431" s="5" t="str">
        <f t="shared" si="63"/>
        <v/>
      </c>
      <c r="P431" s="11" t="str">
        <f t="shared" si="64"/>
        <v/>
      </c>
      <c r="Q431" s="5" t="str">
        <f t="shared" si="65"/>
        <v/>
      </c>
      <c r="R431" s="10"/>
      <c r="S431" s="5" t="str">
        <f t="shared" si="66"/>
        <v/>
      </c>
      <c r="T431" s="5" t="str">
        <f t="shared" si="67"/>
        <v/>
      </c>
      <c r="U431" s="5" t="str">
        <f t="shared" si="68"/>
        <v/>
      </c>
      <c r="V431" s="7" t="str">
        <f t="shared" si="69"/>
        <v/>
      </c>
      <c r="W431" s="8" t="str">
        <f t="shared" si="70"/>
        <v/>
      </c>
      <c r="X431" s="2"/>
      <c r="Y431" s="10"/>
      <c r="Z431" s="11" t="str">
        <f>IF(X431&lt;&gt;"执行卖出","",IFERROR(LOOKUP(2,1/(单次交易!$A$2:$A$163=B431),单次交易!$AP$2:$AP$163),""))</f>
        <v/>
      </c>
      <c r="AA431" s="10"/>
      <c r="AB431" s="8" t="str">
        <f t="shared" si="71"/>
        <v/>
      </c>
      <c r="AC431" s="8" t="str">
        <f>IF(A431="","",IF(A431="止损计划",IF(OR(B431="",D431="",E431="",F431="",G431=""),"计划不完整",IF(OR(D431&lt;1,D431&lt;&gt;INT(D431)),"阶段序号无效",IF(COUNTIFS($A$2:$A$497,"止损计划",$B$2:$B$497,B431,$D$2:$D$497,D431)&gt;1,"阶段序号重复",IF(E431&lt;=IFERROR(LOOKUP(2,1/(单次交易!$A$2:$A$163=B431),单次交易!$E$2:$E$163),0),"激活价须高于买入价",IF(F431&lt;N431,"止损价不得低于初始止损",IF(F431&gt;E431,"止损价不得高于激活价",IF(AND(COUNTIFS($A$2:$A$497,"止损计划",$B$2:$B$497,B431,$D$2:$D$497,"&lt;"&amp;D431)&gt;0,OR(E431&lt;=SUMPRODUCT(MAX((($A$2:$A$497="止损计划")*($B$2:$B$497=B431)*($D$2:$D$497&lt;D431))*$E$2:$E$497)),F431&lt;SUMPRODUCT(MAX((($A$2:$A$497="止损计划")*($B$2:$B$497=B431)*($D$2:$D$497&lt;D431))*$F$2:$F$497)))),"阶段价格必须逐级提高","计划有效"))))))),IF(A431="每日跟踪",IF(OR(B431="",H431="",I431="",J431=""),"每日数据不完整",IF(COUNTIFS($A$2:$A$497,"每日跟踪",$B$2:$B$497,B431,$H$2:$H$497,H431)&gt;1,"同一交易日期重复",IF(AND(R431&lt;&gt;"",R431&lt;S431),"人工止损无效：不能下调","跟踪有效"))),"记录类型无效")))</f>
        <v/>
      </c>
    </row>
    <row r="432" ht="17" spans="1:29">
      <c r="A432" s="2"/>
      <c r="B432" s="2"/>
      <c r="C432" s="8" t="str">
        <f>IF(B432="","",IFERROR(LOOKUP(2,1/(单次交易!$A$2:$A$163=B432),单次交易!$B$2:$B$163),""))</f>
        <v/>
      </c>
      <c r="D432" s="12"/>
      <c r="E432" s="10"/>
      <c r="F432" s="10"/>
      <c r="G432" s="2"/>
      <c r="H432" s="15"/>
      <c r="I432" s="10"/>
      <c r="J432" s="12"/>
      <c r="K432" s="2"/>
      <c r="L432" s="2"/>
      <c r="M432" s="2"/>
      <c r="N432" s="5" t="str">
        <f>IF(B432="","",IFERROR(LOOKUP(2,1/(单次交易!$A$2:$A$163=B432),单次交易!$N$2:$N$163),""))</f>
        <v/>
      </c>
      <c r="O432" s="5" t="str">
        <f t="shared" si="63"/>
        <v/>
      </c>
      <c r="P432" s="11" t="str">
        <f t="shared" si="64"/>
        <v/>
      </c>
      <c r="Q432" s="5" t="str">
        <f t="shared" si="65"/>
        <v/>
      </c>
      <c r="R432" s="10"/>
      <c r="S432" s="5" t="str">
        <f t="shared" si="66"/>
        <v/>
      </c>
      <c r="T432" s="5" t="str">
        <f t="shared" si="67"/>
        <v/>
      </c>
      <c r="U432" s="5" t="str">
        <f t="shared" si="68"/>
        <v/>
      </c>
      <c r="V432" s="7" t="str">
        <f t="shared" si="69"/>
        <v/>
      </c>
      <c r="W432" s="8" t="str">
        <f t="shared" si="70"/>
        <v/>
      </c>
      <c r="X432" s="2"/>
      <c r="Y432" s="10"/>
      <c r="Z432" s="11" t="str">
        <f>IF(X432&lt;&gt;"执行卖出","",IFERROR(LOOKUP(2,1/(单次交易!$A$2:$A$163=B432),单次交易!$AP$2:$AP$163),""))</f>
        <v/>
      </c>
      <c r="AA432" s="10"/>
      <c r="AB432" s="8" t="str">
        <f t="shared" si="71"/>
        <v/>
      </c>
      <c r="AC432" s="8" t="str">
        <f>IF(A432="","",IF(A432="止损计划",IF(OR(B432="",D432="",E432="",F432="",G432=""),"计划不完整",IF(OR(D432&lt;1,D432&lt;&gt;INT(D432)),"阶段序号无效",IF(COUNTIFS($A$2:$A$497,"止损计划",$B$2:$B$497,B432,$D$2:$D$497,D432)&gt;1,"阶段序号重复",IF(E432&lt;=IFERROR(LOOKUP(2,1/(单次交易!$A$2:$A$163=B432),单次交易!$E$2:$E$163),0),"激活价须高于买入价",IF(F432&lt;N432,"止损价不得低于初始止损",IF(F432&gt;E432,"止损价不得高于激活价",IF(AND(COUNTIFS($A$2:$A$497,"止损计划",$B$2:$B$497,B432,$D$2:$D$497,"&lt;"&amp;D432)&gt;0,OR(E432&lt;=SUMPRODUCT(MAX((($A$2:$A$497="止损计划")*($B$2:$B$497=B432)*($D$2:$D$497&lt;D432))*$E$2:$E$497)),F432&lt;SUMPRODUCT(MAX((($A$2:$A$497="止损计划")*($B$2:$B$497=B432)*($D$2:$D$497&lt;D432))*$F$2:$F$497)))),"阶段价格必须逐级提高","计划有效"))))))),IF(A432="每日跟踪",IF(OR(B432="",H432="",I432="",J432=""),"每日数据不完整",IF(COUNTIFS($A$2:$A$497,"每日跟踪",$B$2:$B$497,B432,$H$2:$H$497,H432)&gt;1,"同一交易日期重复",IF(AND(R432&lt;&gt;"",R432&lt;S432),"人工止损无效：不能下调","跟踪有效"))),"记录类型无效")))</f>
        <v/>
      </c>
    </row>
    <row r="433" ht="17" spans="1:29">
      <c r="A433" s="2"/>
      <c r="B433" s="2"/>
      <c r="C433" s="8" t="str">
        <f>IF(B433="","",IFERROR(LOOKUP(2,1/(单次交易!$A$2:$A$163=B433),单次交易!$B$2:$B$163),""))</f>
        <v/>
      </c>
      <c r="D433" s="12"/>
      <c r="E433" s="10"/>
      <c r="F433" s="10"/>
      <c r="G433" s="2"/>
      <c r="H433" s="15"/>
      <c r="I433" s="10"/>
      <c r="J433" s="12"/>
      <c r="K433" s="2"/>
      <c r="L433" s="2"/>
      <c r="M433" s="2"/>
      <c r="N433" s="5" t="str">
        <f>IF(B433="","",IFERROR(LOOKUP(2,1/(单次交易!$A$2:$A$163=B433),单次交易!$N$2:$N$163),""))</f>
        <v/>
      </c>
      <c r="O433" s="5" t="str">
        <f t="shared" si="63"/>
        <v/>
      </c>
      <c r="P433" s="11" t="str">
        <f t="shared" si="64"/>
        <v/>
      </c>
      <c r="Q433" s="5" t="str">
        <f t="shared" si="65"/>
        <v/>
      </c>
      <c r="R433" s="10"/>
      <c r="S433" s="5" t="str">
        <f t="shared" si="66"/>
        <v/>
      </c>
      <c r="T433" s="5" t="str">
        <f t="shared" si="67"/>
        <v/>
      </c>
      <c r="U433" s="5" t="str">
        <f t="shared" si="68"/>
        <v/>
      </c>
      <c r="V433" s="7" t="str">
        <f t="shared" si="69"/>
        <v/>
      </c>
      <c r="W433" s="8" t="str">
        <f t="shared" si="70"/>
        <v/>
      </c>
      <c r="X433" s="2"/>
      <c r="Y433" s="10"/>
      <c r="Z433" s="11" t="str">
        <f>IF(X433&lt;&gt;"执行卖出","",IFERROR(LOOKUP(2,1/(单次交易!$A$2:$A$163=B433),单次交易!$AP$2:$AP$163),""))</f>
        <v/>
      </c>
      <c r="AA433" s="10"/>
      <c r="AB433" s="8" t="str">
        <f t="shared" si="71"/>
        <v/>
      </c>
      <c r="AC433" s="8" t="str">
        <f>IF(A433="","",IF(A433="止损计划",IF(OR(B433="",D433="",E433="",F433="",G433=""),"计划不完整",IF(OR(D433&lt;1,D433&lt;&gt;INT(D433)),"阶段序号无效",IF(COUNTIFS($A$2:$A$497,"止损计划",$B$2:$B$497,B433,$D$2:$D$497,D433)&gt;1,"阶段序号重复",IF(E433&lt;=IFERROR(LOOKUP(2,1/(单次交易!$A$2:$A$163=B433),单次交易!$E$2:$E$163),0),"激活价须高于买入价",IF(F433&lt;N433,"止损价不得低于初始止损",IF(F433&gt;E433,"止损价不得高于激活价",IF(AND(COUNTIFS($A$2:$A$497,"止损计划",$B$2:$B$497,B433,$D$2:$D$497,"&lt;"&amp;D433)&gt;0,OR(E433&lt;=SUMPRODUCT(MAX((($A$2:$A$497="止损计划")*($B$2:$B$497=B433)*($D$2:$D$497&lt;D433))*$E$2:$E$497)),F433&lt;SUMPRODUCT(MAX((($A$2:$A$497="止损计划")*($B$2:$B$497=B433)*($D$2:$D$497&lt;D433))*$F$2:$F$497)))),"阶段价格必须逐级提高","计划有效"))))))),IF(A433="每日跟踪",IF(OR(B433="",H433="",I433="",J433=""),"每日数据不完整",IF(COUNTIFS($A$2:$A$497,"每日跟踪",$B$2:$B$497,B433,$H$2:$H$497,H433)&gt;1,"同一交易日期重复",IF(AND(R433&lt;&gt;"",R433&lt;S433),"人工止损无效：不能下调","跟踪有效"))),"记录类型无效")))</f>
        <v/>
      </c>
    </row>
    <row r="434" ht="17" spans="1:29">
      <c r="A434" s="2"/>
      <c r="B434" s="2"/>
      <c r="C434" s="8" t="str">
        <f>IF(B434="","",IFERROR(LOOKUP(2,1/(单次交易!$A$2:$A$163=B434),单次交易!$B$2:$B$163),""))</f>
        <v/>
      </c>
      <c r="D434" s="12"/>
      <c r="E434" s="10"/>
      <c r="F434" s="10"/>
      <c r="G434" s="2"/>
      <c r="H434" s="15"/>
      <c r="I434" s="10"/>
      <c r="J434" s="12"/>
      <c r="K434" s="2"/>
      <c r="L434" s="2"/>
      <c r="M434" s="2"/>
      <c r="N434" s="5" t="str">
        <f>IF(B434="","",IFERROR(LOOKUP(2,1/(单次交易!$A$2:$A$163=B434),单次交易!$N$2:$N$163),""))</f>
        <v/>
      </c>
      <c r="O434" s="5" t="str">
        <f t="shared" si="63"/>
        <v/>
      </c>
      <c r="P434" s="11" t="str">
        <f t="shared" si="64"/>
        <v/>
      </c>
      <c r="Q434" s="5" t="str">
        <f t="shared" si="65"/>
        <v/>
      </c>
      <c r="R434" s="10"/>
      <c r="S434" s="5" t="str">
        <f t="shared" si="66"/>
        <v/>
      </c>
      <c r="T434" s="5" t="str">
        <f t="shared" si="67"/>
        <v/>
      </c>
      <c r="U434" s="5" t="str">
        <f t="shared" si="68"/>
        <v/>
      </c>
      <c r="V434" s="7" t="str">
        <f t="shared" si="69"/>
        <v/>
      </c>
      <c r="W434" s="8" t="str">
        <f t="shared" si="70"/>
        <v/>
      </c>
      <c r="X434" s="2"/>
      <c r="Y434" s="10"/>
      <c r="Z434" s="11" t="str">
        <f>IF(X434&lt;&gt;"执行卖出","",IFERROR(LOOKUP(2,1/(单次交易!$A$2:$A$163=B434),单次交易!$AP$2:$AP$163),""))</f>
        <v/>
      </c>
      <c r="AA434" s="10"/>
      <c r="AB434" s="8" t="str">
        <f t="shared" si="71"/>
        <v/>
      </c>
      <c r="AC434" s="8" t="str">
        <f>IF(A434="","",IF(A434="止损计划",IF(OR(B434="",D434="",E434="",F434="",G434=""),"计划不完整",IF(OR(D434&lt;1,D434&lt;&gt;INT(D434)),"阶段序号无效",IF(COUNTIFS($A$2:$A$497,"止损计划",$B$2:$B$497,B434,$D$2:$D$497,D434)&gt;1,"阶段序号重复",IF(E434&lt;=IFERROR(LOOKUP(2,1/(单次交易!$A$2:$A$163=B434),单次交易!$E$2:$E$163),0),"激活价须高于买入价",IF(F434&lt;N434,"止损价不得低于初始止损",IF(F434&gt;E434,"止损价不得高于激活价",IF(AND(COUNTIFS($A$2:$A$497,"止损计划",$B$2:$B$497,B434,$D$2:$D$497,"&lt;"&amp;D434)&gt;0,OR(E434&lt;=SUMPRODUCT(MAX((($A$2:$A$497="止损计划")*($B$2:$B$497=B434)*($D$2:$D$497&lt;D434))*$E$2:$E$497)),F434&lt;SUMPRODUCT(MAX((($A$2:$A$497="止损计划")*($B$2:$B$497=B434)*($D$2:$D$497&lt;D434))*$F$2:$F$497)))),"阶段价格必须逐级提高","计划有效"))))))),IF(A434="每日跟踪",IF(OR(B434="",H434="",I434="",J434=""),"每日数据不完整",IF(COUNTIFS($A$2:$A$497,"每日跟踪",$B$2:$B$497,B434,$H$2:$H$497,H434)&gt;1,"同一交易日期重复",IF(AND(R434&lt;&gt;"",R434&lt;S434),"人工止损无效：不能下调","跟踪有效"))),"记录类型无效")))</f>
        <v/>
      </c>
    </row>
    <row r="435" ht="17" spans="1:29">
      <c r="A435" s="2"/>
      <c r="B435" s="2"/>
      <c r="C435" s="8" t="str">
        <f>IF(B435="","",IFERROR(LOOKUP(2,1/(单次交易!$A$2:$A$163=B435),单次交易!$B$2:$B$163),""))</f>
        <v/>
      </c>
      <c r="D435" s="12"/>
      <c r="E435" s="10"/>
      <c r="F435" s="10"/>
      <c r="G435" s="2"/>
      <c r="H435" s="15"/>
      <c r="I435" s="10"/>
      <c r="J435" s="12"/>
      <c r="K435" s="2"/>
      <c r="L435" s="2"/>
      <c r="M435" s="2"/>
      <c r="N435" s="5" t="str">
        <f>IF(B435="","",IFERROR(LOOKUP(2,1/(单次交易!$A$2:$A$163=B435),单次交易!$N$2:$N$163),""))</f>
        <v/>
      </c>
      <c r="O435" s="5" t="str">
        <f t="shared" si="63"/>
        <v/>
      </c>
      <c r="P435" s="11" t="str">
        <f t="shared" si="64"/>
        <v/>
      </c>
      <c r="Q435" s="5" t="str">
        <f t="shared" si="65"/>
        <v/>
      </c>
      <c r="R435" s="10"/>
      <c r="S435" s="5" t="str">
        <f t="shared" si="66"/>
        <v/>
      </c>
      <c r="T435" s="5" t="str">
        <f t="shared" si="67"/>
        <v/>
      </c>
      <c r="U435" s="5" t="str">
        <f t="shared" si="68"/>
        <v/>
      </c>
      <c r="V435" s="7" t="str">
        <f t="shared" si="69"/>
        <v/>
      </c>
      <c r="W435" s="8" t="str">
        <f t="shared" si="70"/>
        <v/>
      </c>
      <c r="X435" s="2"/>
      <c r="Y435" s="10"/>
      <c r="Z435" s="11" t="str">
        <f>IF(X435&lt;&gt;"执行卖出","",IFERROR(LOOKUP(2,1/(单次交易!$A$2:$A$163=B435),单次交易!$AP$2:$AP$163),""))</f>
        <v/>
      </c>
      <c r="AA435" s="10"/>
      <c r="AB435" s="8" t="str">
        <f t="shared" si="71"/>
        <v/>
      </c>
      <c r="AC435" s="8" t="str">
        <f>IF(A435="","",IF(A435="止损计划",IF(OR(B435="",D435="",E435="",F435="",G435=""),"计划不完整",IF(OR(D435&lt;1,D435&lt;&gt;INT(D435)),"阶段序号无效",IF(COUNTIFS($A$2:$A$497,"止损计划",$B$2:$B$497,B435,$D$2:$D$497,D435)&gt;1,"阶段序号重复",IF(E435&lt;=IFERROR(LOOKUP(2,1/(单次交易!$A$2:$A$163=B435),单次交易!$E$2:$E$163),0),"激活价须高于买入价",IF(F435&lt;N435,"止损价不得低于初始止损",IF(F435&gt;E435,"止损价不得高于激活价",IF(AND(COUNTIFS($A$2:$A$497,"止损计划",$B$2:$B$497,B435,$D$2:$D$497,"&lt;"&amp;D435)&gt;0,OR(E435&lt;=SUMPRODUCT(MAX((($A$2:$A$497="止损计划")*($B$2:$B$497=B435)*($D$2:$D$497&lt;D435))*$E$2:$E$497)),F435&lt;SUMPRODUCT(MAX((($A$2:$A$497="止损计划")*($B$2:$B$497=B435)*($D$2:$D$497&lt;D435))*$F$2:$F$497)))),"阶段价格必须逐级提高","计划有效"))))))),IF(A435="每日跟踪",IF(OR(B435="",H435="",I435="",J435=""),"每日数据不完整",IF(COUNTIFS($A$2:$A$497,"每日跟踪",$B$2:$B$497,B435,$H$2:$H$497,H435)&gt;1,"同一交易日期重复",IF(AND(R435&lt;&gt;"",R435&lt;S435),"人工止损无效：不能下调","跟踪有效"))),"记录类型无效")))</f>
        <v/>
      </c>
    </row>
    <row r="436" ht="17" spans="1:29">
      <c r="A436" s="2"/>
      <c r="B436" s="2"/>
      <c r="C436" s="8" t="str">
        <f>IF(B436="","",IFERROR(LOOKUP(2,1/(单次交易!$A$2:$A$163=B436),单次交易!$B$2:$B$163),""))</f>
        <v/>
      </c>
      <c r="D436" s="12"/>
      <c r="E436" s="10"/>
      <c r="F436" s="10"/>
      <c r="G436" s="2"/>
      <c r="H436" s="15"/>
      <c r="I436" s="10"/>
      <c r="J436" s="12"/>
      <c r="K436" s="2"/>
      <c r="L436" s="2"/>
      <c r="M436" s="2"/>
      <c r="N436" s="5" t="str">
        <f>IF(B436="","",IFERROR(LOOKUP(2,1/(单次交易!$A$2:$A$163=B436),单次交易!$N$2:$N$163),""))</f>
        <v/>
      </c>
      <c r="O436" s="5" t="str">
        <f t="shared" si="63"/>
        <v/>
      </c>
      <c r="P436" s="11" t="str">
        <f t="shared" si="64"/>
        <v/>
      </c>
      <c r="Q436" s="5" t="str">
        <f t="shared" si="65"/>
        <v/>
      </c>
      <c r="R436" s="10"/>
      <c r="S436" s="5" t="str">
        <f t="shared" si="66"/>
        <v/>
      </c>
      <c r="T436" s="5" t="str">
        <f t="shared" si="67"/>
        <v/>
      </c>
      <c r="U436" s="5" t="str">
        <f t="shared" si="68"/>
        <v/>
      </c>
      <c r="V436" s="7" t="str">
        <f t="shared" si="69"/>
        <v/>
      </c>
      <c r="W436" s="8" t="str">
        <f t="shared" si="70"/>
        <v/>
      </c>
      <c r="X436" s="2"/>
      <c r="Y436" s="10"/>
      <c r="Z436" s="11" t="str">
        <f>IF(X436&lt;&gt;"执行卖出","",IFERROR(LOOKUP(2,1/(单次交易!$A$2:$A$163=B436),单次交易!$AP$2:$AP$163),""))</f>
        <v/>
      </c>
      <c r="AA436" s="10"/>
      <c r="AB436" s="8" t="str">
        <f t="shared" si="71"/>
        <v/>
      </c>
      <c r="AC436" s="8" t="str">
        <f>IF(A436="","",IF(A436="止损计划",IF(OR(B436="",D436="",E436="",F436="",G436=""),"计划不完整",IF(OR(D436&lt;1,D436&lt;&gt;INT(D436)),"阶段序号无效",IF(COUNTIFS($A$2:$A$497,"止损计划",$B$2:$B$497,B436,$D$2:$D$497,D436)&gt;1,"阶段序号重复",IF(E436&lt;=IFERROR(LOOKUP(2,1/(单次交易!$A$2:$A$163=B436),单次交易!$E$2:$E$163),0),"激活价须高于买入价",IF(F436&lt;N436,"止损价不得低于初始止损",IF(F436&gt;E436,"止损价不得高于激活价",IF(AND(COUNTIFS($A$2:$A$497,"止损计划",$B$2:$B$497,B436,$D$2:$D$497,"&lt;"&amp;D436)&gt;0,OR(E436&lt;=SUMPRODUCT(MAX((($A$2:$A$497="止损计划")*($B$2:$B$497=B436)*($D$2:$D$497&lt;D436))*$E$2:$E$497)),F436&lt;SUMPRODUCT(MAX((($A$2:$A$497="止损计划")*($B$2:$B$497=B436)*($D$2:$D$497&lt;D436))*$F$2:$F$497)))),"阶段价格必须逐级提高","计划有效"))))))),IF(A436="每日跟踪",IF(OR(B436="",H436="",I436="",J436=""),"每日数据不完整",IF(COUNTIFS($A$2:$A$497,"每日跟踪",$B$2:$B$497,B436,$H$2:$H$497,H436)&gt;1,"同一交易日期重复",IF(AND(R436&lt;&gt;"",R436&lt;S436),"人工止损无效：不能下调","跟踪有效"))),"记录类型无效")))</f>
        <v/>
      </c>
    </row>
    <row r="437" ht="17" spans="1:29">
      <c r="A437" s="2"/>
      <c r="B437" s="2"/>
      <c r="C437" s="8" t="str">
        <f>IF(B437="","",IFERROR(LOOKUP(2,1/(单次交易!$A$2:$A$163=B437),单次交易!$B$2:$B$163),""))</f>
        <v/>
      </c>
      <c r="D437" s="12"/>
      <c r="E437" s="10"/>
      <c r="F437" s="10"/>
      <c r="G437" s="2"/>
      <c r="H437" s="15"/>
      <c r="I437" s="10"/>
      <c r="J437" s="12"/>
      <c r="K437" s="2"/>
      <c r="L437" s="2"/>
      <c r="M437" s="2"/>
      <c r="N437" s="5" t="str">
        <f>IF(B437="","",IFERROR(LOOKUP(2,1/(单次交易!$A$2:$A$163=B437),单次交易!$N$2:$N$163),""))</f>
        <v/>
      </c>
      <c r="O437" s="5" t="str">
        <f t="shared" si="63"/>
        <v/>
      </c>
      <c r="P437" s="11" t="str">
        <f t="shared" si="64"/>
        <v/>
      </c>
      <c r="Q437" s="5" t="str">
        <f t="shared" si="65"/>
        <v/>
      </c>
      <c r="R437" s="10"/>
      <c r="S437" s="5" t="str">
        <f t="shared" si="66"/>
        <v/>
      </c>
      <c r="T437" s="5" t="str">
        <f t="shared" si="67"/>
        <v/>
      </c>
      <c r="U437" s="5" t="str">
        <f t="shared" si="68"/>
        <v/>
      </c>
      <c r="V437" s="7" t="str">
        <f t="shared" si="69"/>
        <v/>
      </c>
      <c r="W437" s="8" t="str">
        <f t="shared" si="70"/>
        <v/>
      </c>
      <c r="X437" s="2"/>
      <c r="Y437" s="10"/>
      <c r="Z437" s="11" t="str">
        <f>IF(X437&lt;&gt;"执行卖出","",IFERROR(LOOKUP(2,1/(单次交易!$A$2:$A$163=B437),单次交易!$AP$2:$AP$163),""))</f>
        <v/>
      </c>
      <c r="AA437" s="10"/>
      <c r="AB437" s="8" t="str">
        <f t="shared" si="71"/>
        <v/>
      </c>
      <c r="AC437" s="8" t="str">
        <f>IF(A437="","",IF(A437="止损计划",IF(OR(B437="",D437="",E437="",F437="",G437=""),"计划不完整",IF(OR(D437&lt;1,D437&lt;&gt;INT(D437)),"阶段序号无效",IF(COUNTIFS($A$2:$A$497,"止损计划",$B$2:$B$497,B437,$D$2:$D$497,D437)&gt;1,"阶段序号重复",IF(E437&lt;=IFERROR(LOOKUP(2,1/(单次交易!$A$2:$A$163=B437),单次交易!$E$2:$E$163),0),"激活价须高于买入价",IF(F437&lt;N437,"止损价不得低于初始止损",IF(F437&gt;E437,"止损价不得高于激活价",IF(AND(COUNTIFS($A$2:$A$497,"止损计划",$B$2:$B$497,B437,$D$2:$D$497,"&lt;"&amp;D437)&gt;0,OR(E437&lt;=SUMPRODUCT(MAX((($A$2:$A$497="止损计划")*($B$2:$B$497=B437)*($D$2:$D$497&lt;D437))*$E$2:$E$497)),F437&lt;SUMPRODUCT(MAX((($A$2:$A$497="止损计划")*($B$2:$B$497=B437)*($D$2:$D$497&lt;D437))*$F$2:$F$497)))),"阶段价格必须逐级提高","计划有效"))))))),IF(A437="每日跟踪",IF(OR(B437="",H437="",I437="",J437=""),"每日数据不完整",IF(COUNTIFS($A$2:$A$497,"每日跟踪",$B$2:$B$497,B437,$H$2:$H$497,H437)&gt;1,"同一交易日期重复",IF(AND(R437&lt;&gt;"",R437&lt;S437),"人工止损无效：不能下调","跟踪有效"))),"记录类型无效")))</f>
        <v/>
      </c>
    </row>
    <row r="438" ht="17" spans="1:29">
      <c r="A438" s="2"/>
      <c r="B438" s="2"/>
      <c r="C438" s="8" t="str">
        <f>IF(B438="","",IFERROR(LOOKUP(2,1/(单次交易!$A$2:$A$163=B438),单次交易!$B$2:$B$163),""))</f>
        <v/>
      </c>
      <c r="D438" s="12"/>
      <c r="E438" s="10"/>
      <c r="F438" s="10"/>
      <c r="G438" s="2"/>
      <c r="H438" s="15"/>
      <c r="I438" s="10"/>
      <c r="J438" s="12"/>
      <c r="K438" s="2"/>
      <c r="L438" s="2"/>
      <c r="M438" s="2"/>
      <c r="N438" s="5" t="str">
        <f>IF(B438="","",IFERROR(LOOKUP(2,1/(单次交易!$A$2:$A$163=B438),单次交易!$N$2:$N$163),""))</f>
        <v/>
      </c>
      <c r="O438" s="5" t="str">
        <f t="shared" si="63"/>
        <v/>
      </c>
      <c r="P438" s="11" t="str">
        <f t="shared" si="64"/>
        <v/>
      </c>
      <c r="Q438" s="5" t="str">
        <f t="shared" si="65"/>
        <v/>
      </c>
      <c r="R438" s="10"/>
      <c r="S438" s="5" t="str">
        <f t="shared" si="66"/>
        <v/>
      </c>
      <c r="T438" s="5" t="str">
        <f t="shared" si="67"/>
        <v/>
      </c>
      <c r="U438" s="5" t="str">
        <f t="shared" si="68"/>
        <v/>
      </c>
      <c r="V438" s="7" t="str">
        <f t="shared" si="69"/>
        <v/>
      </c>
      <c r="W438" s="8" t="str">
        <f t="shared" si="70"/>
        <v/>
      </c>
      <c r="X438" s="2"/>
      <c r="Y438" s="10"/>
      <c r="Z438" s="11" t="str">
        <f>IF(X438&lt;&gt;"执行卖出","",IFERROR(LOOKUP(2,1/(单次交易!$A$2:$A$163=B438),单次交易!$AP$2:$AP$163),""))</f>
        <v/>
      </c>
      <c r="AA438" s="10"/>
      <c r="AB438" s="8" t="str">
        <f t="shared" si="71"/>
        <v/>
      </c>
      <c r="AC438" s="8" t="str">
        <f>IF(A438="","",IF(A438="止损计划",IF(OR(B438="",D438="",E438="",F438="",G438=""),"计划不完整",IF(OR(D438&lt;1,D438&lt;&gt;INT(D438)),"阶段序号无效",IF(COUNTIFS($A$2:$A$497,"止损计划",$B$2:$B$497,B438,$D$2:$D$497,D438)&gt;1,"阶段序号重复",IF(E438&lt;=IFERROR(LOOKUP(2,1/(单次交易!$A$2:$A$163=B438),单次交易!$E$2:$E$163),0),"激活价须高于买入价",IF(F438&lt;N438,"止损价不得低于初始止损",IF(F438&gt;E438,"止损价不得高于激活价",IF(AND(COUNTIFS($A$2:$A$497,"止损计划",$B$2:$B$497,B438,$D$2:$D$497,"&lt;"&amp;D438)&gt;0,OR(E438&lt;=SUMPRODUCT(MAX((($A$2:$A$497="止损计划")*($B$2:$B$497=B438)*($D$2:$D$497&lt;D438))*$E$2:$E$497)),F438&lt;SUMPRODUCT(MAX((($A$2:$A$497="止损计划")*($B$2:$B$497=B438)*($D$2:$D$497&lt;D438))*$F$2:$F$497)))),"阶段价格必须逐级提高","计划有效"))))))),IF(A438="每日跟踪",IF(OR(B438="",H438="",I438="",J438=""),"每日数据不完整",IF(COUNTIFS($A$2:$A$497,"每日跟踪",$B$2:$B$497,B438,$H$2:$H$497,H438)&gt;1,"同一交易日期重复",IF(AND(R438&lt;&gt;"",R438&lt;S438),"人工止损无效：不能下调","跟踪有效"))),"记录类型无效")))</f>
        <v/>
      </c>
    </row>
    <row r="439" ht="17" spans="1:29">
      <c r="A439" s="2"/>
      <c r="B439" s="2"/>
      <c r="C439" s="8" t="str">
        <f>IF(B439="","",IFERROR(LOOKUP(2,1/(单次交易!$A$2:$A$163=B439),单次交易!$B$2:$B$163),""))</f>
        <v/>
      </c>
      <c r="D439" s="12"/>
      <c r="E439" s="10"/>
      <c r="F439" s="10"/>
      <c r="G439" s="2"/>
      <c r="H439" s="15"/>
      <c r="I439" s="10"/>
      <c r="J439" s="12"/>
      <c r="K439" s="2"/>
      <c r="L439" s="2"/>
      <c r="M439" s="2"/>
      <c r="N439" s="5" t="str">
        <f>IF(B439="","",IFERROR(LOOKUP(2,1/(单次交易!$A$2:$A$163=B439),单次交易!$N$2:$N$163),""))</f>
        <v/>
      </c>
      <c r="O439" s="5" t="str">
        <f t="shared" si="63"/>
        <v/>
      </c>
      <c r="P439" s="11" t="str">
        <f t="shared" si="64"/>
        <v/>
      </c>
      <c r="Q439" s="5" t="str">
        <f t="shared" si="65"/>
        <v/>
      </c>
      <c r="R439" s="10"/>
      <c r="S439" s="5" t="str">
        <f t="shared" si="66"/>
        <v/>
      </c>
      <c r="T439" s="5" t="str">
        <f t="shared" si="67"/>
        <v/>
      </c>
      <c r="U439" s="5" t="str">
        <f t="shared" si="68"/>
        <v/>
      </c>
      <c r="V439" s="7" t="str">
        <f t="shared" si="69"/>
        <v/>
      </c>
      <c r="W439" s="8" t="str">
        <f t="shared" si="70"/>
        <v/>
      </c>
      <c r="X439" s="2"/>
      <c r="Y439" s="10"/>
      <c r="Z439" s="11" t="str">
        <f>IF(X439&lt;&gt;"执行卖出","",IFERROR(LOOKUP(2,1/(单次交易!$A$2:$A$163=B439),单次交易!$AP$2:$AP$163),""))</f>
        <v/>
      </c>
      <c r="AA439" s="10"/>
      <c r="AB439" s="8" t="str">
        <f t="shared" si="71"/>
        <v/>
      </c>
      <c r="AC439" s="8" t="str">
        <f>IF(A439="","",IF(A439="止损计划",IF(OR(B439="",D439="",E439="",F439="",G439=""),"计划不完整",IF(OR(D439&lt;1,D439&lt;&gt;INT(D439)),"阶段序号无效",IF(COUNTIFS($A$2:$A$497,"止损计划",$B$2:$B$497,B439,$D$2:$D$497,D439)&gt;1,"阶段序号重复",IF(E439&lt;=IFERROR(LOOKUP(2,1/(单次交易!$A$2:$A$163=B439),单次交易!$E$2:$E$163),0),"激活价须高于买入价",IF(F439&lt;N439,"止损价不得低于初始止损",IF(F439&gt;E439,"止损价不得高于激活价",IF(AND(COUNTIFS($A$2:$A$497,"止损计划",$B$2:$B$497,B439,$D$2:$D$497,"&lt;"&amp;D439)&gt;0,OR(E439&lt;=SUMPRODUCT(MAX((($A$2:$A$497="止损计划")*($B$2:$B$497=B439)*($D$2:$D$497&lt;D439))*$E$2:$E$497)),F439&lt;SUMPRODUCT(MAX((($A$2:$A$497="止损计划")*($B$2:$B$497=B439)*($D$2:$D$497&lt;D439))*$F$2:$F$497)))),"阶段价格必须逐级提高","计划有效"))))))),IF(A439="每日跟踪",IF(OR(B439="",H439="",I439="",J439=""),"每日数据不完整",IF(COUNTIFS($A$2:$A$497,"每日跟踪",$B$2:$B$497,B439,$H$2:$H$497,H439)&gt;1,"同一交易日期重复",IF(AND(R439&lt;&gt;"",R439&lt;S439),"人工止损无效：不能下调","跟踪有效"))),"记录类型无效")))</f>
        <v/>
      </c>
    </row>
    <row r="440" ht="17" spans="1:29">
      <c r="A440" s="2"/>
      <c r="B440" s="2"/>
      <c r="C440" s="8" t="str">
        <f>IF(B440="","",IFERROR(LOOKUP(2,1/(单次交易!$A$2:$A$163=B440),单次交易!$B$2:$B$163),""))</f>
        <v/>
      </c>
      <c r="D440" s="12"/>
      <c r="E440" s="10"/>
      <c r="F440" s="10"/>
      <c r="G440" s="2"/>
      <c r="H440" s="15"/>
      <c r="I440" s="10"/>
      <c r="J440" s="12"/>
      <c r="K440" s="2"/>
      <c r="L440" s="2"/>
      <c r="M440" s="2"/>
      <c r="N440" s="5" t="str">
        <f>IF(B440="","",IFERROR(LOOKUP(2,1/(单次交易!$A$2:$A$163=B440),单次交易!$N$2:$N$163),""))</f>
        <v/>
      </c>
      <c r="O440" s="5" t="str">
        <f t="shared" si="63"/>
        <v/>
      </c>
      <c r="P440" s="11" t="str">
        <f t="shared" si="64"/>
        <v/>
      </c>
      <c r="Q440" s="5" t="str">
        <f t="shared" si="65"/>
        <v/>
      </c>
      <c r="R440" s="10"/>
      <c r="S440" s="5" t="str">
        <f t="shared" si="66"/>
        <v/>
      </c>
      <c r="T440" s="5" t="str">
        <f t="shared" si="67"/>
        <v/>
      </c>
      <c r="U440" s="5" t="str">
        <f t="shared" si="68"/>
        <v/>
      </c>
      <c r="V440" s="7" t="str">
        <f t="shared" si="69"/>
        <v/>
      </c>
      <c r="W440" s="8" t="str">
        <f t="shared" si="70"/>
        <v/>
      </c>
      <c r="X440" s="2"/>
      <c r="Y440" s="10"/>
      <c r="Z440" s="11" t="str">
        <f>IF(X440&lt;&gt;"执行卖出","",IFERROR(LOOKUP(2,1/(单次交易!$A$2:$A$163=B440),单次交易!$AP$2:$AP$163),""))</f>
        <v/>
      </c>
      <c r="AA440" s="10"/>
      <c r="AB440" s="8" t="str">
        <f t="shared" si="71"/>
        <v/>
      </c>
      <c r="AC440" s="8" t="str">
        <f>IF(A440="","",IF(A440="止损计划",IF(OR(B440="",D440="",E440="",F440="",G440=""),"计划不完整",IF(OR(D440&lt;1,D440&lt;&gt;INT(D440)),"阶段序号无效",IF(COUNTIFS($A$2:$A$497,"止损计划",$B$2:$B$497,B440,$D$2:$D$497,D440)&gt;1,"阶段序号重复",IF(E440&lt;=IFERROR(LOOKUP(2,1/(单次交易!$A$2:$A$163=B440),单次交易!$E$2:$E$163),0),"激活价须高于买入价",IF(F440&lt;N440,"止损价不得低于初始止损",IF(F440&gt;E440,"止损价不得高于激活价",IF(AND(COUNTIFS($A$2:$A$497,"止损计划",$B$2:$B$497,B440,$D$2:$D$497,"&lt;"&amp;D440)&gt;0,OR(E440&lt;=SUMPRODUCT(MAX((($A$2:$A$497="止损计划")*($B$2:$B$497=B440)*($D$2:$D$497&lt;D440))*$E$2:$E$497)),F440&lt;SUMPRODUCT(MAX((($A$2:$A$497="止损计划")*($B$2:$B$497=B440)*($D$2:$D$497&lt;D440))*$F$2:$F$497)))),"阶段价格必须逐级提高","计划有效"))))))),IF(A440="每日跟踪",IF(OR(B440="",H440="",I440="",J440=""),"每日数据不完整",IF(COUNTIFS($A$2:$A$497,"每日跟踪",$B$2:$B$497,B440,$H$2:$H$497,H440)&gt;1,"同一交易日期重复",IF(AND(R440&lt;&gt;"",R440&lt;S440),"人工止损无效：不能下调","跟踪有效"))),"记录类型无效")))</f>
        <v/>
      </c>
    </row>
    <row r="441" ht="17" spans="1:29">
      <c r="A441" s="2"/>
      <c r="B441" s="2"/>
      <c r="C441" s="8" t="str">
        <f>IF(B441="","",IFERROR(LOOKUP(2,1/(单次交易!$A$2:$A$163=B441),单次交易!$B$2:$B$163),""))</f>
        <v/>
      </c>
      <c r="D441" s="12"/>
      <c r="E441" s="10"/>
      <c r="F441" s="10"/>
      <c r="G441" s="2"/>
      <c r="H441" s="15"/>
      <c r="I441" s="10"/>
      <c r="J441" s="12"/>
      <c r="K441" s="2"/>
      <c r="L441" s="2"/>
      <c r="M441" s="2"/>
      <c r="N441" s="5" t="str">
        <f>IF(B441="","",IFERROR(LOOKUP(2,1/(单次交易!$A$2:$A$163=B441),单次交易!$N$2:$N$163),""))</f>
        <v/>
      </c>
      <c r="O441" s="5" t="str">
        <f t="shared" si="63"/>
        <v/>
      </c>
      <c r="P441" s="11" t="str">
        <f t="shared" si="64"/>
        <v/>
      </c>
      <c r="Q441" s="5" t="str">
        <f t="shared" si="65"/>
        <v/>
      </c>
      <c r="R441" s="10"/>
      <c r="S441" s="5" t="str">
        <f t="shared" si="66"/>
        <v/>
      </c>
      <c r="T441" s="5" t="str">
        <f t="shared" si="67"/>
        <v/>
      </c>
      <c r="U441" s="5" t="str">
        <f t="shared" si="68"/>
        <v/>
      </c>
      <c r="V441" s="7" t="str">
        <f t="shared" si="69"/>
        <v/>
      </c>
      <c r="W441" s="8" t="str">
        <f t="shared" si="70"/>
        <v/>
      </c>
      <c r="X441" s="2"/>
      <c r="Y441" s="10"/>
      <c r="Z441" s="11" t="str">
        <f>IF(X441&lt;&gt;"执行卖出","",IFERROR(LOOKUP(2,1/(单次交易!$A$2:$A$163=B441),单次交易!$AP$2:$AP$163),""))</f>
        <v/>
      </c>
      <c r="AA441" s="10"/>
      <c r="AB441" s="8" t="str">
        <f t="shared" si="71"/>
        <v/>
      </c>
      <c r="AC441" s="8" t="str">
        <f>IF(A441="","",IF(A441="止损计划",IF(OR(B441="",D441="",E441="",F441="",G441=""),"计划不完整",IF(OR(D441&lt;1,D441&lt;&gt;INT(D441)),"阶段序号无效",IF(COUNTIFS($A$2:$A$497,"止损计划",$B$2:$B$497,B441,$D$2:$D$497,D441)&gt;1,"阶段序号重复",IF(E441&lt;=IFERROR(LOOKUP(2,1/(单次交易!$A$2:$A$163=B441),单次交易!$E$2:$E$163),0),"激活价须高于买入价",IF(F441&lt;N441,"止损价不得低于初始止损",IF(F441&gt;E441,"止损价不得高于激活价",IF(AND(COUNTIFS($A$2:$A$497,"止损计划",$B$2:$B$497,B441,$D$2:$D$497,"&lt;"&amp;D441)&gt;0,OR(E441&lt;=SUMPRODUCT(MAX((($A$2:$A$497="止损计划")*($B$2:$B$497=B441)*($D$2:$D$497&lt;D441))*$E$2:$E$497)),F441&lt;SUMPRODUCT(MAX((($A$2:$A$497="止损计划")*($B$2:$B$497=B441)*($D$2:$D$497&lt;D441))*$F$2:$F$497)))),"阶段价格必须逐级提高","计划有效"))))))),IF(A441="每日跟踪",IF(OR(B441="",H441="",I441="",J441=""),"每日数据不完整",IF(COUNTIFS($A$2:$A$497,"每日跟踪",$B$2:$B$497,B441,$H$2:$H$497,H441)&gt;1,"同一交易日期重复",IF(AND(R441&lt;&gt;"",R441&lt;S441),"人工止损无效：不能下调","跟踪有效"))),"记录类型无效")))</f>
        <v/>
      </c>
    </row>
    <row r="442" ht="17" spans="1:29">
      <c r="A442" s="2"/>
      <c r="B442" s="2"/>
      <c r="C442" s="8" t="str">
        <f>IF(B442="","",IFERROR(LOOKUP(2,1/(单次交易!$A$2:$A$163=B442),单次交易!$B$2:$B$163),""))</f>
        <v/>
      </c>
      <c r="D442" s="12"/>
      <c r="E442" s="10"/>
      <c r="F442" s="10"/>
      <c r="G442" s="2"/>
      <c r="H442" s="15"/>
      <c r="I442" s="10"/>
      <c r="J442" s="12"/>
      <c r="K442" s="2"/>
      <c r="L442" s="2"/>
      <c r="M442" s="2"/>
      <c r="N442" s="5" t="str">
        <f>IF(B442="","",IFERROR(LOOKUP(2,1/(单次交易!$A$2:$A$163=B442),单次交易!$N$2:$N$163),""))</f>
        <v/>
      </c>
      <c r="O442" s="5" t="str">
        <f t="shared" si="63"/>
        <v/>
      </c>
      <c r="P442" s="11" t="str">
        <f t="shared" si="64"/>
        <v/>
      </c>
      <c r="Q442" s="5" t="str">
        <f t="shared" si="65"/>
        <v/>
      </c>
      <c r="R442" s="10"/>
      <c r="S442" s="5" t="str">
        <f t="shared" si="66"/>
        <v/>
      </c>
      <c r="T442" s="5" t="str">
        <f t="shared" si="67"/>
        <v/>
      </c>
      <c r="U442" s="5" t="str">
        <f t="shared" si="68"/>
        <v/>
      </c>
      <c r="V442" s="7" t="str">
        <f t="shared" si="69"/>
        <v/>
      </c>
      <c r="W442" s="8" t="str">
        <f t="shared" si="70"/>
        <v/>
      </c>
      <c r="X442" s="2"/>
      <c r="Y442" s="10"/>
      <c r="Z442" s="11" t="str">
        <f>IF(X442&lt;&gt;"执行卖出","",IFERROR(LOOKUP(2,1/(单次交易!$A$2:$A$163=B442),单次交易!$AP$2:$AP$163),""))</f>
        <v/>
      </c>
      <c r="AA442" s="10"/>
      <c r="AB442" s="8" t="str">
        <f t="shared" si="71"/>
        <v/>
      </c>
      <c r="AC442" s="8" t="str">
        <f>IF(A442="","",IF(A442="止损计划",IF(OR(B442="",D442="",E442="",F442="",G442=""),"计划不完整",IF(OR(D442&lt;1,D442&lt;&gt;INT(D442)),"阶段序号无效",IF(COUNTIFS($A$2:$A$497,"止损计划",$B$2:$B$497,B442,$D$2:$D$497,D442)&gt;1,"阶段序号重复",IF(E442&lt;=IFERROR(LOOKUP(2,1/(单次交易!$A$2:$A$163=B442),单次交易!$E$2:$E$163),0),"激活价须高于买入价",IF(F442&lt;N442,"止损价不得低于初始止损",IF(F442&gt;E442,"止损价不得高于激活价",IF(AND(COUNTIFS($A$2:$A$497,"止损计划",$B$2:$B$497,B442,$D$2:$D$497,"&lt;"&amp;D442)&gt;0,OR(E442&lt;=SUMPRODUCT(MAX((($A$2:$A$497="止损计划")*($B$2:$B$497=B442)*($D$2:$D$497&lt;D442))*$E$2:$E$497)),F442&lt;SUMPRODUCT(MAX((($A$2:$A$497="止损计划")*($B$2:$B$497=B442)*($D$2:$D$497&lt;D442))*$F$2:$F$497)))),"阶段价格必须逐级提高","计划有效"))))))),IF(A442="每日跟踪",IF(OR(B442="",H442="",I442="",J442=""),"每日数据不完整",IF(COUNTIFS($A$2:$A$497,"每日跟踪",$B$2:$B$497,B442,$H$2:$H$497,H442)&gt;1,"同一交易日期重复",IF(AND(R442&lt;&gt;"",R442&lt;S442),"人工止损无效：不能下调","跟踪有效"))),"记录类型无效")))</f>
        <v/>
      </c>
    </row>
    <row r="443" ht="17" spans="1:29">
      <c r="A443" s="2"/>
      <c r="B443" s="2"/>
      <c r="C443" s="8" t="str">
        <f>IF(B443="","",IFERROR(LOOKUP(2,1/(单次交易!$A$2:$A$163=B443),单次交易!$B$2:$B$163),""))</f>
        <v/>
      </c>
      <c r="D443" s="12"/>
      <c r="E443" s="10"/>
      <c r="F443" s="10"/>
      <c r="G443" s="2"/>
      <c r="H443" s="15"/>
      <c r="I443" s="10"/>
      <c r="J443" s="12"/>
      <c r="K443" s="2"/>
      <c r="L443" s="2"/>
      <c r="M443" s="2"/>
      <c r="N443" s="5" t="str">
        <f>IF(B443="","",IFERROR(LOOKUP(2,1/(单次交易!$A$2:$A$163=B443),单次交易!$N$2:$N$163),""))</f>
        <v/>
      </c>
      <c r="O443" s="5" t="str">
        <f t="shared" si="63"/>
        <v/>
      </c>
      <c r="P443" s="11" t="str">
        <f t="shared" si="64"/>
        <v/>
      </c>
      <c r="Q443" s="5" t="str">
        <f t="shared" si="65"/>
        <v/>
      </c>
      <c r="R443" s="10"/>
      <c r="S443" s="5" t="str">
        <f t="shared" si="66"/>
        <v/>
      </c>
      <c r="T443" s="5" t="str">
        <f t="shared" si="67"/>
        <v/>
      </c>
      <c r="U443" s="5" t="str">
        <f t="shared" si="68"/>
        <v/>
      </c>
      <c r="V443" s="7" t="str">
        <f t="shared" si="69"/>
        <v/>
      </c>
      <c r="W443" s="8" t="str">
        <f t="shared" si="70"/>
        <v/>
      </c>
      <c r="X443" s="2"/>
      <c r="Y443" s="10"/>
      <c r="Z443" s="11" t="str">
        <f>IF(X443&lt;&gt;"执行卖出","",IFERROR(LOOKUP(2,1/(单次交易!$A$2:$A$163=B443),单次交易!$AP$2:$AP$163),""))</f>
        <v/>
      </c>
      <c r="AA443" s="10"/>
      <c r="AB443" s="8" t="str">
        <f t="shared" si="71"/>
        <v/>
      </c>
      <c r="AC443" s="8" t="str">
        <f>IF(A443="","",IF(A443="止损计划",IF(OR(B443="",D443="",E443="",F443="",G443=""),"计划不完整",IF(OR(D443&lt;1,D443&lt;&gt;INT(D443)),"阶段序号无效",IF(COUNTIFS($A$2:$A$497,"止损计划",$B$2:$B$497,B443,$D$2:$D$497,D443)&gt;1,"阶段序号重复",IF(E443&lt;=IFERROR(LOOKUP(2,1/(单次交易!$A$2:$A$163=B443),单次交易!$E$2:$E$163),0),"激活价须高于买入价",IF(F443&lt;N443,"止损价不得低于初始止损",IF(F443&gt;E443,"止损价不得高于激活价",IF(AND(COUNTIFS($A$2:$A$497,"止损计划",$B$2:$B$497,B443,$D$2:$D$497,"&lt;"&amp;D443)&gt;0,OR(E443&lt;=SUMPRODUCT(MAX((($A$2:$A$497="止损计划")*($B$2:$B$497=B443)*($D$2:$D$497&lt;D443))*$E$2:$E$497)),F443&lt;SUMPRODUCT(MAX((($A$2:$A$497="止损计划")*($B$2:$B$497=B443)*($D$2:$D$497&lt;D443))*$F$2:$F$497)))),"阶段价格必须逐级提高","计划有效"))))))),IF(A443="每日跟踪",IF(OR(B443="",H443="",I443="",J443=""),"每日数据不完整",IF(COUNTIFS($A$2:$A$497,"每日跟踪",$B$2:$B$497,B443,$H$2:$H$497,H443)&gt;1,"同一交易日期重复",IF(AND(R443&lt;&gt;"",R443&lt;S443),"人工止损无效：不能下调","跟踪有效"))),"记录类型无效")))</f>
        <v/>
      </c>
    </row>
    <row r="444" ht="17" spans="1:29">
      <c r="A444" s="2"/>
      <c r="B444" s="2"/>
      <c r="C444" s="8" t="str">
        <f>IF(B444="","",IFERROR(LOOKUP(2,1/(单次交易!$A$2:$A$163=B444),单次交易!$B$2:$B$163),""))</f>
        <v/>
      </c>
      <c r="D444" s="12"/>
      <c r="E444" s="10"/>
      <c r="F444" s="10"/>
      <c r="G444" s="2"/>
      <c r="H444" s="15"/>
      <c r="I444" s="10"/>
      <c r="J444" s="12"/>
      <c r="K444" s="2"/>
      <c r="L444" s="2"/>
      <c r="M444" s="2"/>
      <c r="N444" s="5" t="str">
        <f>IF(B444="","",IFERROR(LOOKUP(2,1/(单次交易!$A$2:$A$163=B444),单次交易!$N$2:$N$163),""))</f>
        <v/>
      </c>
      <c r="O444" s="5" t="str">
        <f t="shared" si="63"/>
        <v/>
      </c>
      <c r="P444" s="11" t="str">
        <f t="shared" si="64"/>
        <v/>
      </c>
      <c r="Q444" s="5" t="str">
        <f t="shared" si="65"/>
        <v/>
      </c>
      <c r="R444" s="10"/>
      <c r="S444" s="5" t="str">
        <f t="shared" si="66"/>
        <v/>
      </c>
      <c r="T444" s="5" t="str">
        <f t="shared" si="67"/>
        <v/>
      </c>
      <c r="U444" s="5" t="str">
        <f t="shared" si="68"/>
        <v/>
      </c>
      <c r="V444" s="7" t="str">
        <f t="shared" si="69"/>
        <v/>
      </c>
      <c r="W444" s="8" t="str">
        <f t="shared" si="70"/>
        <v/>
      </c>
      <c r="X444" s="2"/>
      <c r="Y444" s="10"/>
      <c r="Z444" s="11" t="str">
        <f>IF(X444&lt;&gt;"执行卖出","",IFERROR(LOOKUP(2,1/(单次交易!$A$2:$A$163=B444),单次交易!$AP$2:$AP$163),""))</f>
        <v/>
      </c>
      <c r="AA444" s="10"/>
      <c r="AB444" s="8" t="str">
        <f t="shared" si="71"/>
        <v/>
      </c>
      <c r="AC444" s="8" t="str">
        <f>IF(A444="","",IF(A444="止损计划",IF(OR(B444="",D444="",E444="",F444="",G444=""),"计划不完整",IF(OR(D444&lt;1,D444&lt;&gt;INT(D444)),"阶段序号无效",IF(COUNTIFS($A$2:$A$497,"止损计划",$B$2:$B$497,B444,$D$2:$D$497,D444)&gt;1,"阶段序号重复",IF(E444&lt;=IFERROR(LOOKUP(2,1/(单次交易!$A$2:$A$163=B444),单次交易!$E$2:$E$163),0),"激活价须高于买入价",IF(F444&lt;N444,"止损价不得低于初始止损",IF(F444&gt;E444,"止损价不得高于激活价",IF(AND(COUNTIFS($A$2:$A$497,"止损计划",$B$2:$B$497,B444,$D$2:$D$497,"&lt;"&amp;D444)&gt;0,OR(E444&lt;=SUMPRODUCT(MAX((($A$2:$A$497="止损计划")*($B$2:$B$497=B444)*($D$2:$D$497&lt;D444))*$E$2:$E$497)),F444&lt;SUMPRODUCT(MAX((($A$2:$A$497="止损计划")*($B$2:$B$497=B444)*($D$2:$D$497&lt;D444))*$F$2:$F$497)))),"阶段价格必须逐级提高","计划有效"))))))),IF(A444="每日跟踪",IF(OR(B444="",H444="",I444="",J444=""),"每日数据不完整",IF(COUNTIFS($A$2:$A$497,"每日跟踪",$B$2:$B$497,B444,$H$2:$H$497,H444)&gt;1,"同一交易日期重复",IF(AND(R444&lt;&gt;"",R444&lt;S444),"人工止损无效：不能下调","跟踪有效"))),"记录类型无效")))</f>
        <v/>
      </c>
    </row>
    <row r="445" ht="17" spans="1:29">
      <c r="A445" s="2"/>
      <c r="B445" s="2"/>
      <c r="C445" s="8" t="str">
        <f>IF(B445="","",IFERROR(LOOKUP(2,1/(单次交易!$A$2:$A$163=B445),单次交易!$B$2:$B$163),""))</f>
        <v/>
      </c>
      <c r="D445" s="12"/>
      <c r="E445" s="10"/>
      <c r="F445" s="10"/>
      <c r="G445" s="2"/>
      <c r="H445" s="15"/>
      <c r="I445" s="10"/>
      <c r="J445" s="12"/>
      <c r="K445" s="2"/>
      <c r="L445" s="2"/>
      <c r="M445" s="2"/>
      <c r="N445" s="5" t="str">
        <f>IF(B445="","",IFERROR(LOOKUP(2,1/(单次交易!$A$2:$A$163=B445),单次交易!$N$2:$N$163),""))</f>
        <v/>
      </c>
      <c r="O445" s="5" t="str">
        <f t="shared" si="63"/>
        <v/>
      </c>
      <c r="P445" s="11" t="str">
        <f t="shared" si="64"/>
        <v/>
      </c>
      <c r="Q445" s="5" t="str">
        <f t="shared" si="65"/>
        <v/>
      </c>
      <c r="R445" s="10"/>
      <c r="S445" s="5" t="str">
        <f t="shared" si="66"/>
        <v/>
      </c>
      <c r="T445" s="5" t="str">
        <f t="shared" si="67"/>
        <v/>
      </c>
      <c r="U445" s="5" t="str">
        <f t="shared" si="68"/>
        <v/>
      </c>
      <c r="V445" s="7" t="str">
        <f t="shared" si="69"/>
        <v/>
      </c>
      <c r="W445" s="8" t="str">
        <f t="shared" si="70"/>
        <v/>
      </c>
      <c r="X445" s="2"/>
      <c r="Y445" s="10"/>
      <c r="Z445" s="11" t="str">
        <f>IF(X445&lt;&gt;"执行卖出","",IFERROR(LOOKUP(2,1/(单次交易!$A$2:$A$163=B445),单次交易!$AP$2:$AP$163),""))</f>
        <v/>
      </c>
      <c r="AA445" s="10"/>
      <c r="AB445" s="8" t="str">
        <f t="shared" si="71"/>
        <v/>
      </c>
      <c r="AC445" s="8" t="str">
        <f>IF(A445="","",IF(A445="止损计划",IF(OR(B445="",D445="",E445="",F445="",G445=""),"计划不完整",IF(OR(D445&lt;1,D445&lt;&gt;INT(D445)),"阶段序号无效",IF(COUNTIFS($A$2:$A$497,"止损计划",$B$2:$B$497,B445,$D$2:$D$497,D445)&gt;1,"阶段序号重复",IF(E445&lt;=IFERROR(LOOKUP(2,1/(单次交易!$A$2:$A$163=B445),单次交易!$E$2:$E$163),0),"激活价须高于买入价",IF(F445&lt;N445,"止损价不得低于初始止损",IF(F445&gt;E445,"止损价不得高于激活价",IF(AND(COUNTIFS($A$2:$A$497,"止损计划",$B$2:$B$497,B445,$D$2:$D$497,"&lt;"&amp;D445)&gt;0,OR(E445&lt;=SUMPRODUCT(MAX((($A$2:$A$497="止损计划")*($B$2:$B$497=B445)*($D$2:$D$497&lt;D445))*$E$2:$E$497)),F445&lt;SUMPRODUCT(MAX((($A$2:$A$497="止损计划")*($B$2:$B$497=B445)*($D$2:$D$497&lt;D445))*$F$2:$F$497)))),"阶段价格必须逐级提高","计划有效"))))))),IF(A445="每日跟踪",IF(OR(B445="",H445="",I445="",J445=""),"每日数据不完整",IF(COUNTIFS($A$2:$A$497,"每日跟踪",$B$2:$B$497,B445,$H$2:$H$497,H445)&gt;1,"同一交易日期重复",IF(AND(R445&lt;&gt;"",R445&lt;S445),"人工止损无效：不能下调","跟踪有效"))),"记录类型无效")))</f>
        <v/>
      </c>
    </row>
    <row r="446" ht="17" spans="1:29">
      <c r="A446" s="2"/>
      <c r="B446" s="2"/>
      <c r="C446" s="8" t="str">
        <f>IF(B446="","",IFERROR(LOOKUP(2,1/(单次交易!$A$2:$A$163=B446),单次交易!$B$2:$B$163),""))</f>
        <v/>
      </c>
      <c r="D446" s="12"/>
      <c r="E446" s="10"/>
      <c r="F446" s="10"/>
      <c r="G446" s="2"/>
      <c r="H446" s="15"/>
      <c r="I446" s="10"/>
      <c r="J446" s="12"/>
      <c r="K446" s="2"/>
      <c r="L446" s="2"/>
      <c r="M446" s="2"/>
      <c r="N446" s="5" t="str">
        <f>IF(B446="","",IFERROR(LOOKUP(2,1/(单次交易!$A$2:$A$163=B446),单次交易!$N$2:$N$163),""))</f>
        <v/>
      </c>
      <c r="O446" s="5" t="str">
        <f t="shared" ref="O446:O497" si="72">IF(A446&lt;&gt;"每日跟踪","",IF(OR(B446="",H446="",I446=""),"",IFERROR(SUMPRODUCT(MAX((($A$2:$A$497="每日跟踪")*($B$2:$B$497=B446)*($H$2:$H$497&lt;=H446))*$I$2:$I$497)),"")))</f>
        <v/>
      </c>
      <c r="P446" s="11" t="str">
        <f t="shared" ref="P446:P497" si="73">IF(A446&lt;&gt;"每日跟踪","",IF(O446="","",IFERROR(SUMPRODUCT(MAX((($A$2:$A$497="止损计划")*($B$2:$B$497=B446)*($E$2:$E$497&lt;=O446))*$D$2:$D$497)),0)))</f>
        <v/>
      </c>
      <c r="Q446" s="5" t="str">
        <f t="shared" ref="Q446:Q497" si="74">IF(A446&lt;&gt;"每日跟踪","",IF(N446="","",MAX(N446,IFERROR(SUMPRODUCT(MAX((($A$2:$A$497="止损计划")*($B$2:$B$497=B446)*($E$2:$E$497&lt;=O446))*$F$2:$F$497)),0))))</f>
        <v/>
      </c>
      <c r="R446" s="10"/>
      <c r="S446" s="5" t="str">
        <f t="shared" ref="S446:S497" si="75">IF(A446&lt;&gt;"每日跟踪","",IF(Q446="","",MAX(Q446,IFERROR(SUMPRODUCT(MAX((($A$2:$A$497="每日跟踪")*($B$2:$B$497=B446)*($H$2:$H$497&lt;=H446))*$R$2:$R$497)),0))))</f>
        <v/>
      </c>
      <c r="T446" s="5" t="str">
        <f t="shared" ref="T446:T497" si="76">IF(A446&lt;&gt;"每日跟踪","",IF(O446="","",IF(COUNTIFS($A$2:$A$497,"止损计划",$B$2:$B$497,B446,$E$2:$E$497,"&gt;"&amp;O446)=0,"",INDEX($E$2:$E$497,MATCH(1,INDEX(($A$2:$A$497="止损计划")*($B$2:$B$497=B446)*($E$2:$E$497&gt;O446),0),0)))))</f>
        <v/>
      </c>
      <c r="U446" s="5" t="str">
        <f t="shared" ref="U446:U497" si="77">IF(OR(A446&lt;&gt;"每日跟踪",T446=""),"",IFERROR(SUMIFS($F$2:$F$497,$A$2:$A$497,"止损计划",$B$2:$B$497,B446,$E$2:$E$497,T446),""))</f>
        <v/>
      </c>
      <c r="V446" s="7" t="str">
        <f t="shared" ref="V446:V497" si="78">IF(OR(A446&lt;&gt;"每日跟踪",T446="",I446="",I446&lt;=0),"",T446/I446-1)</f>
        <v/>
      </c>
      <c r="W446" s="8" t="str">
        <f t="shared" ref="W446:W497" si="79">IF(A446&lt;&gt;"每日跟踪","",IF(OR(I446="",S446=""),"",IF(I446&lt;=S446,"触发止损：应全部卖出","继续观察")))</f>
        <v/>
      </c>
      <c r="X446" s="2"/>
      <c r="Y446" s="10"/>
      <c r="Z446" s="11" t="str">
        <f>IF(X446&lt;&gt;"执行卖出","",IFERROR(LOOKUP(2,1/(单次交易!$A$2:$A$163=B446),单次交易!$AP$2:$AP$163),""))</f>
        <v/>
      </c>
      <c r="AA446" s="10"/>
      <c r="AB446" s="8" t="str">
        <f t="shared" ref="AB446:AB497" si="80">IF(A446&lt;&gt;"每日跟踪","",IF(OR(B446="",H446="",I446="",J446="",K446="",L446="",M446=""),"待补充每日记录",IF(W446="触发止损：应全部卖出",IF(X446&lt;&gt;"执行卖出","违规：触发止损但未执行",IF(Y446="","待补充实际卖出价","卖出记录完整")),IF(X446="","待选择卖出动作",IF(X446="执行卖出",IF(Y446="","待补充实际卖出价","卖出记录完整"),"正常")))))</f>
        <v/>
      </c>
      <c r="AC446" s="8" t="str">
        <f>IF(A446="","",IF(A446="止损计划",IF(OR(B446="",D446="",E446="",F446="",G446=""),"计划不完整",IF(OR(D446&lt;1,D446&lt;&gt;INT(D446)),"阶段序号无效",IF(COUNTIFS($A$2:$A$497,"止损计划",$B$2:$B$497,B446,$D$2:$D$497,D446)&gt;1,"阶段序号重复",IF(E446&lt;=IFERROR(LOOKUP(2,1/(单次交易!$A$2:$A$163=B446),单次交易!$E$2:$E$163),0),"激活价须高于买入价",IF(F446&lt;N446,"止损价不得低于初始止损",IF(F446&gt;E446,"止损价不得高于激活价",IF(AND(COUNTIFS($A$2:$A$497,"止损计划",$B$2:$B$497,B446,$D$2:$D$497,"&lt;"&amp;D446)&gt;0,OR(E446&lt;=SUMPRODUCT(MAX((($A$2:$A$497="止损计划")*($B$2:$B$497=B446)*($D$2:$D$497&lt;D446))*$E$2:$E$497)),F446&lt;SUMPRODUCT(MAX((($A$2:$A$497="止损计划")*($B$2:$B$497=B446)*($D$2:$D$497&lt;D446))*$F$2:$F$497)))),"阶段价格必须逐级提高","计划有效"))))))),IF(A446="每日跟踪",IF(OR(B446="",H446="",I446="",J446=""),"每日数据不完整",IF(COUNTIFS($A$2:$A$497,"每日跟踪",$B$2:$B$497,B446,$H$2:$H$497,H446)&gt;1,"同一交易日期重复",IF(AND(R446&lt;&gt;"",R446&lt;S446),"人工止损无效：不能下调","跟踪有效"))),"记录类型无效")))</f>
        <v/>
      </c>
    </row>
    <row r="447" ht="17" spans="1:29">
      <c r="A447" s="2"/>
      <c r="B447" s="2"/>
      <c r="C447" s="8" t="str">
        <f>IF(B447="","",IFERROR(LOOKUP(2,1/(单次交易!$A$2:$A$163=B447),单次交易!$B$2:$B$163),""))</f>
        <v/>
      </c>
      <c r="D447" s="12"/>
      <c r="E447" s="10"/>
      <c r="F447" s="10"/>
      <c r="G447" s="2"/>
      <c r="H447" s="15"/>
      <c r="I447" s="10"/>
      <c r="J447" s="12"/>
      <c r="K447" s="2"/>
      <c r="L447" s="2"/>
      <c r="M447" s="2"/>
      <c r="N447" s="5" t="str">
        <f>IF(B447="","",IFERROR(LOOKUP(2,1/(单次交易!$A$2:$A$163=B447),单次交易!$N$2:$N$163),""))</f>
        <v/>
      </c>
      <c r="O447" s="5" t="str">
        <f t="shared" si="72"/>
        <v/>
      </c>
      <c r="P447" s="11" t="str">
        <f t="shared" si="73"/>
        <v/>
      </c>
      <c r="Q447" s="5" t="str">
        <f t="shared" si="74"/>
        <v/>
      </c>
      <c r="R447" s="10"/>
      <c r="S447" s="5" t="str">
        <f t="shared" si="75"/>
        <v/>
      </c>
      <c r="T447" s="5" t="str">
        <f t="shared" si="76"/>
        <v/>
      </c>
      <c r="U447" s="5" t="str">
        <f t="shared" si="77"/>
        <v/>
      </c>
      <c r="V447" s="7" t="str">
        <f t="shared" si="78"/>
        <v/>
      </c>
      <c r="W447" s="8" t="str">
        <f t="shared" si="79"/>
        <v/>
      </c>
      <c r="X447" s="2"/>
      <c r="Y447" s="10"/>
      <c r="Z447" s="11" t="str">
        <f>IF(X447&lt;&gt;"执行卖出","",IFERROR(LOOKUP(2,1/(单次交易!$A$2:$A$163=B447),单次交易!$AP$2:$AP$163),""))</f>
        <v/>
      </c>
      <c r="AA447" s="10"/>
      <c r="AB447" s="8" t="str">
        <f t="shared" si="80"/>
        <v/>
      </c>
      <c r="AC447" s="8" t="str">
        <f>IF(A447="","",IF(A447="止损计划",IF(OR(B447="",D447="",E447="",F447="",G447=""),"计划不完整",IF(OR(D447&lt;1,D447&lt;&gt;INT(D447)),"阶段序号无效",IF(COUNTIFS($A$2:$A$497,"止损计划",$B$2:$B$497,B447,$D$2:$D$497,D447)&gt;1,"阶段序号重复",IF(E447&lt;=IFERROR(LOOKUP(2,1/(单次交易!$A$2:$A$163=B447),单次交易!$E$2:$E$163),0),"激活价须高于买入价",IF(F447&lt;N447,"止损价不得低于初始止损",IF(F447&gt;E447,"止损价不得高于激活价",IF(AND(COUNTIFS($A$2:$A$497,"止损计划",$B$2:$B$497,B447,$D$2:$D$497,"&lt;"&amp;D447)&gt;0,OR(E447&lt;=SUMPRODUCT(MAX((($A$2:$A$497="止损计划")*($B$2:$B$497=B447)*($D$2:$D$497&lt;D447))*$E$2:$E$497)),F447&lt;SUMPRODUCT(MAX((($A$2:$A$497="止损计划")*($B$2:$B$497=B447)*($D$2:$D$497&lt;D447))*$F$2:$F$497)))),"阶段价格必须逐级提高","计划有效"))))))),IF(A447="每日跟踪",IF(OR(B447="",H447="",I447="",J447=""),"每日数据不完整",IF(COUNTIFS($A$2:$A$497,"每日跟踪",$B$2:$B$497,B447,$H$2:$H$497,H447)&gt;1,"同一交易日期重复",IF(AND(R447&lt;&gt;"",R447&lt;S447),"人工止损无效：不能下调","跟踪有效"))),"记录类型无效")))</f>
        <v/>
      </c>
    </row>
    <row r="448" ht="17" spans="1:29">
      <c r="A448" s="2"/>
      <c r="B448" s="2"/>
      <c r="C448" s="8" t="str">
        <f>IF(B448="","",IFERROR(LOOKUP(2,1/(单次交易!$A$2:$A$163=B448),单次交易!$B$2:$B$163),""))</f>
        <v/>
      </c>
      <c r="D448" s="12"/>
      <c r="E448" s="10"/>
      <c r="F448" s="10"/>
      <c r="G448" s="2"/>
      <c r="H448" s="15"/>
      <c r="I448" s="10"/>
      <c r="J448" s="12"/>
      <c r="K448" s="2"/>
      <c r="L448" s="2"/>
      <c r="M448" s="2"/>
      <c r="N448" s="5" t="str">
        <f>IF(B448="","",IFERROR(LOOKUP(2,1/(单次交易!$A$2:$A$163=B448),单次交易!$N$2:$N$163),""))</f>
        <v/>
      </c>
      <c r="O448" s="5" t="str">
        <f t="shared" si="72"/>
        <v/>
      </c>
      <c r="P448" s="11" t="str">
        <f t="shared" si="73"/>
        <v/>
      </c>
      <c r="Q448" s="5" t="str">
        <f t="shared" si="74"/>
        <v/>
      </c>
      <c r="R448" s="10"/>
      <c r="S448" s="5" t="str">
        <f t="shared" si="75"/>
        <v/>
      </c>
      <c r="T448" s="5" t="str">
        <f t="shared" si="76"/>
        <v/>
      </c>
      <c r="U448" s="5" t="str">
        <f t="shared" si="77"/>
        <v/>
      </c>
      <c r="V448" s="7" t="str">
        <f t="shared" si="78"/>
        <v/>
      </c>
      <c r="W448" s="8" t="str">
        <f t="shared" si="79"/>
        <v/>
      </c>
      <c r="X448" s="2"/>
      <c r="Y448" s="10"/>
      <c r="Z448" s="11" t="str">
        <f>IF(X448&lt;&gt;"执行卖出","",IFERROR(LOOKUP(2,1/(单次交易!$A$2:$A$163=B448),单次交易!$AP$2:$AP$163),""))</f>
        <v/>
      </c>
      <c r="AA448" s="10"/>
      <c r="AB448" s="8" t="str">
        <f t="shared" si="80"/>
        <v/>
      </c>
      <c r="AC448" s="8" t="str">
        <f>IF(A448="","",IF(A448="止损计划",IF(OR(B448="",D448="",E448="",F448="",G448=""),"计划不完整",IF(OR(D448&lt;1,D448&lt;&gt;INT(D448)),"阶段序号无效",IF(COUNTIFS($A$2:$A$497,"止损计划",$B$2:$B$497,B448,$D$2:$D$497,D448)&gt;1,"阶段序号重复",IF(E448&lt;=IFERROR(LOOKUP(2,1/(单次交易!$A$2:$A$163=B448),单次交易!$E$2:$E$163),0),"激活价须高于买入价",IF(F448&lt;N448,"止损价不得低于初始止损",IF(F448&gt;E448,"止损价不得高于激活价",IF(AND(COUNTIFS($A$2:$A$497,"止损计划",$B$2:$B$497,B448,$D$2:$D$497,"&lt;"&amp;D448)&gt;0,OR(E448&lt;=SUMPRODUCT(MAX((($A$2:$A$497="止损计划")*($B$2:$B$497=B448)*($D$2:$D$497&lt;D448))*$E$2:$E$497)),F448&lt;SUMPRODUCT(MAX((($A$2:$A$497="止损计划")*($B$2:$B$497=B448)*($D$2:$D$497&lt;D448))*$F$2:$F$497)))),"阶段价格必须逐级提高","计划有效"))))))),IF(A448="每日跟踪",IF(OR(B448="",H448="",I448="",J448=""),"每日数据不完整",IF(COUNTIFS($A$2:$A$497,"每日跟踪",$B$2:$B$497,B448,$H$2:$H$497,H448)&gt;1,"同一交易日期重复",IF(AND(R448&lt;&gt;"",R448&lt;S448),"人工止损无效：不能下调","跟踪有效"))),"记录类型无效")))</f>
        <v/>
      </c>
    </row>
    <row r="449" ht="17" spans="1:29">
      <c r="A449" s="2"/>
      <c r="B449" s="2"/>
      <c r="C449" s="8" t="str">
        <f>IF(B449="","",IFERROR(LOOKUP(2,1/(单次交易!$A$2:$A$163=B449),单次交易!$B$2:$B$163),""))</f>
        <v/>
      </c>
      <c r="D449" s="12"/>
      <c r="E449" s="10"/>
      <c r="F449" s="10"/>
      <c r="G449" s="2"/>
      <c r="H449" s="15"/>
      <c r="I449" s="10"/>
      <c r="J449" s="12"/>
      <c r="K449" s="2"/>
      <c r="L449" s="2"/>
      <c r="M449" s="2"/>
      <c r="N449" s="5" t="str">
        <f>IF(B449="","",IFERROR(LOOKUP(2,1/(单次交易!$A$2:$A$163=B449),单次交易!$N$2:$N$163),""))</f>
        <v/>
      </c>
      <c r="O449" s="5" t="str">
        <f t="shared" si="72"/>
        <v/>
      </c>
      <c r="P449" s="11" t="str">
        <f t="shared" si="73"/>
        <v/>
      </c>
      <c r="Q449" s="5" t="str">
        <f t="shared" si="74"/>
        <v/>
      </c>
      <c r="R449" s="10"/>
      <c r="S449" s="5" t="str">
        <f t="shared" si="75"/>
        <v/>
      </c>
      <c r="T449" s="5" t="str">
        <f t="shared" si="76"/>
        <v/>
      </c>
      <c r="U449" s="5" t="str">
        <f t="shared" si="77"/>
        <v/>
      </c>
      <c r="V449" s="7" t="str">
        <f t="shared" si="78"/>
        <v/>
      </c>
      <c r="W449" s="8" t="str">
        <f t="shared" si="79"/>
        <v/>
      </c>
      <c r="X449" s="2"/>
      <c r="Y449" s="10"/>
      <c r="Z449" s="11" t="str">
        <f>IF(X449&lt;&gt;"执行卖出","",IFERROR(LOOKUP(2,1/(单次交易!$A$2:$A$163=B449),单次交易!$AP$2:$AP$163),""))</f>
        <v/>
      </c>
      <c r="AA449" s="10"/>
      <c r="AB449" s="8" t="str">
        <f t="shared" si="80"/>
        <v/>
      </c>
      <c r="AC449" s="8" t="str">
        <f>IF(A449="","",IF(A449="止损计划",IF(OR(B449="",D449="",E449="",F449="",G449=""),"计划不完整",IF(OR(D449&lt;1,D449&lt;&gt;INT(D449)),"阶段序号无效",IF(COUNTIFS($A$2:$A$497,"止损计划",$B$2:$B$497,B449,$D$2:$D$497,D449)&gt;1,"阶段序号重复",IF(E449&lt;=IFERROR(LOOKUP(2,1/(单次交易!$A$2:$A$163=B449),单次交易!$E$2:$E$163),0),"激活价须高于买入价",IF(F449&lt;N449,"止损价不得低于初始止损",IF(F449&gt;E449,"止损价不得高于激活价",IF(AND(COUNTIFS($A$2:$A$497,"止损计划",$B$2:$B$497,B449,$D$2:$D$497,"&lt;"&amp;D449)&gt;0,OR(E449&lt;=SUMPRODUCT(MAX((($A$2:$A$497="止损计划")*($B$2:$B$497=B449)*($D$2:$D$497&lt;D449))*$E$2:$E$497)),F449&lt;SUMPRODUCT(MAX((($A$2:$A$497="止损计划")*($B$2:$B$497=B449)*($D$2:$D$497&lt;D449))*$F$2:$F$497)))),"阶段价格必须逐级提高","计划有效"))))))),IF(A449="每日跟踪",IF(OR(B449="",H449="",I449="",J449=""),"每日数据不完整",IF(COUNTIFS($A$2:$A$497,"每日跟踪",$B$2:$B$497,B449,$H$2:$H$497,H449)&gt;1,"同一交易日期重复",IF(AND(R449&lt;&gt;"",R449&lt;S449),"人工止损无效：不能下调","跟踪有效"))),"记录类型无效")))</f>
        <v/>
      </c>
    </row>
    <row r="450" ht="17" spans="1:29">
      <c r="A450" s="2"/>
      <c r="B450" s="2"/>
      <c r="C450" s="8" t="str">
        <f>IF(B450="","",IFERROR(LOOKUP(2,1/(单次交易!$A$2:$A$163=B450),单次交易!$B$2:$B$163),""))</f>
        <v/>
      </c>
      <c r="D450" s="12"/>
      <c r="E450" s="10"/>
      <c r="F450" s="10"/>
      <c r="G450" s="2"/>
      <c r="H450" s="15"/>
      <c r="I450" s="10"/>
      <c r="J450" s="12"/>
      <c r="K450" s="2"/>
      <c r="L450" s="2"/>
      <c r="M450" s="2"/>
      <c r="N450" s="5" t="str">
        <f>IF(B450="","",IFERROR(LOOKUP(2,1/(单次交易!$A$2:$A$163=B450),单次交易!$N$2:$N$163),""))</f>
        <v/>
      </c>
      <c r="O450" s="5" t="str">
        <f t="shared" si="72"/>
        <v/>
      </c>
      <c r="P450" s="11" t="str">
        <f t="shared" si="73"/>
        <v/>
      </c>
      <c r="Q450" s="5" t="str">
        <f t="shared" si="74"/>
        <v/>
      </c>
      <c r="R450" s="10"/>
      <c r="S450" s="5" t="str">
        <f t="shared" si="75"/>
        <v/>
      </c>
      <c r="T450" s="5" t="str">
        <f t="shared" si="76"/>
        <v/>
      </c>
      <c r="U450" s="5" t="str">
        <f t="shared" si="77"/>
        <v/>
      </c>
      <c r="V450" s="7" t="str">
        <f t="shared" si="78"/>
        <v/>
      </c>
      <c r="W450" s="8" t="str">
        <f t="shared" si="79"/>
        <v/>
      </c>
      <c r="X450" s="2"/>
      <c r="Y450" s="10"/>
      <c r="Z450" s="11" t="str">
        <f>IF(X450&lt;&gt;"执行卖出","",IFERROR(LOOKUP(2,1/(单次交易!$A$2:$A$163=B450),单次交易!$AP$2:$AP$163),""))</f>
        <v/>
      </c>
      <c r="AA450" s="10"/>
      <c r="AB450" s="8" t="str">
        <f t="shared" si="80"/>
        <v/>
      </c>
      <c r="AC450" s="8" t="str">
        <f>IF(A450="","",IF(A450="止损计划",IF(OR(B450="",D450="",E450="",F450="",G450=""),"计划不完整",IF(OR(D450&lt;1,D450&lt;&gt;INT(D450)),"阶段序号无效",IF(COUNTIFS($A$2:$A$497,"止损计划",$B$2:$B$497,B450,$D$2:$D$497,D450)&gt;1,"阶段序号重复",IF(E450&lt;=IFERROR(LOOKUP(2,1/(单次交易!$A$2:$A$163=B450),单次交易!$E$2:$E$163),0),"激活价须高于买入价",IF(F450&lt;N450,"止损价不得低于初始止损",IF(F450&gt;E450,"止损价不得高于激活价",IF(AND(COUNTIFS($A$2:$A$497,"止损计划",$B$2:$B$497,B450,$D$2:$D$497,"&lt;"&amp;D450)&gt;0,OR(E450&lt;=SUMPRODUCT(MAX((($A$2:$A$497="止损计划")*($B$2:$B$497=B450)*($D$2:$D$497&lt;D450))*$E$2:$E$497)),F450&lt;SUMPRODUCT(MAX((($A$2:$A$497="止损计划")*($B$2:$B$497=B450)*($D$2:$D$497&lt;D450))*$F$2:$F$497)))),"阶段价格必须逐级提高","计划有效"))))))),IF(A450="每日跟踪",IF(OR(B450="",H450="",I450="",J450=""),"每日数据不完整",IF(COUNTIFS($A$2:$A$497,"每日跟踪",$B$2:$B$497,B450,$H$2:$H$497,H450)&gt;1,"同一交易日期重复",IF(AND(R450&lt;&gt;"",R450&lt;S450),"人工止损无效：不能下调","跟踪有效"))),"记录类型无效")))</f>
        <v/>
      </c>
    </row>
    <row r="451" ht="17" spans="1:29">
      <c r="A451" s="2"/>
      <c r="B451" s="2"/>
      <c r="C451" s="8" t="str">
        <f>IF(B451="","",IFERROR(LOOKUP(2,1/(单次交易!$A$2:$A$163=B451),单次交易!$B$2:$B$163),""))</f>
        <v/>
      </c>
      <c r="D451" s="12"/>
      <c r="E451" s="10"/>
      <c r="F451" s="10"/>
      <c r="G451" s="2"/>
      <c r="H451" s="15"/>
      <c r="I451" s="10"/>
      <c r="J451" s="12"/>
      <c r="K451" s="2"/>
      <c r="L451" s="2"/>
      <c r="M451" s="2"/>
      <c r="N451" s="5" t="str">
        <f>IF(B451="","",IFERROR(LOOKUP(2,1/(单次交易!$A$2:$A$163=B451),单次交易!$N$2:$N$163),""))</f>
        <v/>
      </c>
      <c r="O451" s="5" t="str">
        <f t="shared" si="72"/>
        <v/>
      </c>
      <c r="P451" s="11" t="str">
        <f t="shared" si="73"/>
        <v/>
      </c>
      <c r="Q451" s="5" t="str">
        <f t="shared" si="74"/>
        <v/>
      </c>
      <c r="R451" s="10"/>
      <c r="S451" s="5" t="str">
        <f t="shared" si="75"/>
        <v/>
      </c>
      <c r="T451" s="5" t="str">
        <f t="shared" si="76"/>
        <v/>
      </c>
      <c r="U451" s="5" t="str">
        <f t="shared" si="77"/>
        <v/>
      </c>
      <c r="V451" s="7" t="str">
        <f t="shared" si="78"/>
        <v/>
      </c>
      <c r="W451" s="8" t="str">
        <f t="shared" si="79"/>
        <v/>
      </c>
      <c r="X451" s="2"/>
      <c r="Y451" s="10"/>
      <c r="Z451" s="11" t="str">
        <f>IF(X451&lt;&gt;"执行卖出","",IFERROR(LOOKUP(2,1/(单次交易!$A$2:$A$163=B451),单次交易!$AP$2:$AP$163),""))</f>
        <v/>
      </c>
      <c r="AA451" s="10"/>
      <c r="AB451" s="8" t="str">
        <f t="shared" si="80"/>
        <v/>
      </c>
      <c r="AC451" s="8" t="str">
        <f>IF(A451="","",IF(A451="止损计划",IF(OR(B451="",D451="",E451="",F451="",G451=""),"计划不完整",IF(OR(D451&lt;1,D451&lt;&gt;INT(D451)),"阶段序号无效",IF(COUNTIFS($A$2:$A$497,"止损计划",$B$2:$B$497,B451,$D$2:$D$497,D451)&gt;1,"阶段序号重复",IF(E451&lt;=IFERROR(LOOKUP(2,1/(单次交易!$A$2:$A$163=B451),单次交易!$E$2:$E$163),0),"激活价须高于买入价",IF(F451&lt;N451,"止损价不得低于初始止损",IF(F451&gt;E451,"止损价不得高于激活价",IF(AND(COUNTIFS($A$2:$A$497,"止损计划",$B$2:$B$497,B451,$D$2:$D$497,"&lt;"&amp;D451)&gt;0,OR(E451&lt;=SUMPRODUCT(MAX((($A$2:$A$497="止损计划")*($B$2:$B$497=B451)*($D$2:$D$497&lt;D451))*$E$2:$E$497)),F451&lt;SUMPRODUCT(MAX((($A$2:$A$497="止损计划")*($B$2:$B$497=B451)*($D$2:$D$497&lt;D451))*$F$2:$F$497)))),"阶段价格必须逐级提高","计划有效"))))))),IF(A451="每日跟踪",IF(OR(B451="",H451="",I451="",J451=""),"每日数据不完整",IF(COUNTIFS($A$2:$A$497,"每日跟踪",$B$2:$B$497,B451,$H$2:$H$497,H451)&gt;1,"同一交易日期重复",IF(AND(R451&lt;&gt;"",R451&lt;S451),"人工止损无效：不能下调","跟踪有效"))),"记录类型无效")))</f>
        <v/>
      </c>
    </row>
    <row r="452" ht="17" spans="1:29">
      <c r="A452" s="2"/>
      <c r="B452" s="2"/>
      <c r="C452" s="8" t="str">
        <f>IF(B452="","",IFERROR(LOOKUP(2,1/(单次交易!$A$2:$A$163=B452),单次交易!$B$2:$B$163),""))</f>
        <v/>
      </c>
      <c r="D452" s="12"/>
      <c r="E452" s="10"/>
      <c r="F452" s="10"/>
      <c r="G452" s="2"/>
      <c r="H452" s="15"/>
      <c r="I452" s="10"/>
      <c r="J452" s="12"/>
      <c r="K452" s="2"/>
      <c r="L452" s="2"/>
      <c r="M452" s="2"/>
      <c r="N452" s="5" t="str">
        <f>IF(B452="","",IFERROR(LOOKUP(2,1/(单次交易!$A$2:$A$163=B452),单次交易!$N$2:$N$163),""))</f>
        <v/>
      </c>
      <c r="O452" s="5" t="str">
        <f t="shared" si="72"/>
        <v/>
      </c>
      <c r="P452" s="11" t="str">
        <f t="shared" si="73"/>
        <v/>
      </c>
      <c r="Q452" s="5" t="str">
        <f t="shared" si="74"/>
        <v/>
      </c>
      <c r="R452" s="10"/>
      <c r="S452" s="5" t="str">
        <f t="shared" si="75"/>
        <v/>
      </c>
      <c r="T452" s="5" t="str">
        <f t="shared" si="76"/>
        <v/>
      </c>
      <c r="U452" s="5" t="str">
        <f t="shared" si="77"/>
        <v/>
      </c>
      <c r="V452" s="7" t="str">
        <f t="shared" si="78"/>
        <v/>
      </c>
      <c r="W452" s="8" t="str">
        <f t="shared" si="79"/>
        <v/>
      </c>
      <c r="X452" s="2"/>
      <c r="Y452" s="10"/>
      <c r="Z452" s="11" t="str">
        <f>IF(X452&lt;&gt;"执行卖出","",IFERROR(LOOKUP(2,1/(单次交易!$A$2:$A$163=B452),单次交易!$AP$2:$AP$163),""))</f>
        <v/>
      </c>
      <c r="AA452" s="10"/>
      <c r="AB452" s="8" t="str">
        <f t="shared" si="80"/>
        <v/>
      </c>
      <c r="AC452" s="8" t="str">
        <f>IF(A452="","",IF(A452="止损计划",IF(OR(B452="",D452="",E452="",F452="",G452=""),"计划不完整",IF(OR(D452&lt;1,D452&lt;&gt;INT(D452)),"阶段序号无效",IF(COUNTIFS($A$2:$A$497,"止损计划",$B$2:$B$497,B452,$D$2:$D$497,D452)&gt;1,"阶段序号重复",IF(E452&lt;=IFERROR(LOOKUP(2,1/(单次交易!$A$2:$A$163=B452),单次交易!$E$2:$E$163),0),"激活价须高于买入价",IF(F452&lt;N452,"止损价不得低于初始止损",IF(F452&gt;E452,"止损价不得高于激活价",IF(AND(COUNTIFS($A$2:$A$497,"止损计划",$B$2:$B$497,B452,$D$2:$D$497,"&lt;"&amp;D452)&gt;0,OR(E452&lt;=SUMPRODUCT(MAX((($A$2:$A$497="止损计划")*($B$2:$B$497=B452)*($D$2:$D$497&lt;D452))*$E$2:$E$497)),F452&lt;SUMPRODUCT(MAX((($A$2:$A$497="止损计划")*($B$2:$B$497=B452)*($D$2:$D$497&lt;D452))*$F$2:$F$497)))),"阶段价格必须逐级提高","计划有效"))))))),IF(A452="每日跟踪",IF(OR(B452="",H452="",I452="",J452=""),"每日数据不完整",IF(COUNTIFS($A$2:$A$497,"每日跟踪",$B$2:$B$497,B452,$H$2:$H$497,H452)&gt;1,"同一交易日期重复",IF(AND(R452&lt;&gt;"",R452&lt;S452),"人工止损无效：不能下调","跟踪有效"))),"记录类型无效")))</f>
        <v/>
      </c>
    </row>
    <row r="453" ht="17" spans="1:29">
      <c r="A453" s="2"/>
      <c r="B453" s="2"/>
      <c r="C453" s="8" t="str">
        <f>IF(B453="","",IFERROR(LOOKUP(2,1/(单次交易!$A$2:$A$163=B453),单次交易!$B$2:$B$163),""))</f>
        <v/>
      </c>
      <c r="D453" s="12"/>
      <c r="E453" s="10"/>
      <c r="F453" s="10"/>
      <c r="G453" s="2"/>
      <c r="H453" s="15"/>
      <c r="I453" s="10"/>
      <c r="J453" s="12"/>
      <c r="K453" s="2"/>
      <c r="L453" s="2"/>
      <c r="M453" s="2"/>
      <c r="N453" s="5" t="str">
        <f>IF(B453="","",IFERROR(LOOKUP(2,1/(单次交易!$A$2:$A$163=B453),单次交易!$N$2:$N$163),""))</f>
        <v/>
      </c>
      <c r="O453" s="5" t="str">
        <f t="shared" si="72"/>
        <v/>
      </c>
      <c r="P453" s="11" t="str">
        <f t="shared" si="73"/>
        <v/>
      </c>
      <c r="Q453" s="5" t="str">
        <f t="shared" si="74"/>
        <v/>
      </c>
      <c r="R453" s="10"/>
      <c r="S453" s="5" t="str">
        <f t="shared" si="75"/>
        <v/>
      </c>
      <c r="T453" s="5" t="str">
        <f t="shared" si="76"/>
        <v/>
      </c>
      <c r="U453" s="5" t="str">
        <f t="shared" si="77"/>
        <v/>
      </c>
      <c r="V453" s="7" t="str">
        <f t="shared" si="78"/>
        <v/>
      </c>
      <c r="W453" s="8" t="str">
        <f t="shared" si="79"/>
        <v/>
      </c>
      <c r="X453" s="2"/>
      <c r="Y453" s="10"/>
      <c r="Z453" s="11" t="str">
        <f>IF(X453&lt;&gt;"执行卖出","",IFERROR(LOOKUP(2,1/(单次交易!$A$2:$A$163=B453),单次交易!$AP$2:$AP$163),""))</f>
        <v/>
      </c>
      <c r="AA453" s="10"/>
      <c r="AB453" s="8" t="str">
        <f t="shared" si="80"/>
        <v/>
      </c>
      <c r="AC453" s="8" t="str">
        <f>IF(A453="","",IF(A453="止损计划",IF(OR(B453="",D453="",E453="",F453="",G453=""),"计划不完整",IF(OR(D453&lt;1,D453&lt;&gt;INT(D453)),"阶段序号无效",IF(COUNTIFS($A$2:$A$497,"止损计划",$B$2:$B$497,B453,$D$2:$D$497,D453)&gt;1,"阶段序号重复",IF(E453&lt;=IFERROR(LOOKUP(2,1/(单次交易!$A$2:$A$163=B453),单次交易!$E$2:$E$163),0),"激活价须高于买入价",IF(F453&lt;N453,"止损价不得低于初始止损",IF(F453&gt;E453,"止损价不得高于激活价",IF(AND(COUNTIFS($A$2:$A$497,"止损计划",$B$2:$B$497,B453,$D$2:$D$497,"&lt;"&amp;D453)&gt;0,OR(E453&lt;=SUMPRODUCT(MAX((($A$2:$A$497="止损计划")*($B$2:$B$497=B453)*($D$2:$D$497&lt;D453))*$E$2:$E$497)),F453&lt;SUMPRODUCT(MAX((($A$2:$A$497="止损计划")*($B$2:$B$497=B453)*($D$2:$D$497&lt;D453))*$F$2:$F$497)))),"阶段价格必须逐级提高","计划有效"))))))),IF(A453="每日跟踪",IF(OR(B453="",H453="",I453="",J453=""),"每日数据不完整",IF(COUNTIFS($A$2:$A$497,"每日跟踪",$B$2:$B$497,B453,$H$2:$H$497,H453)&gt;1,"同一交易日期重复",IF(AND(R453&lt;&gt;"",R453&lt;S453),"人工止损无效：不能下调","跟踪有效"))),"记录类型无效")))</f>
        <v/>
      </c>
    </row>
    <row r="454" ht="17" spans="1:29">
      <c r="A454" s="2"/>
      <c r="B454" s="2"/>
      <c r="C454" s="8" t="str">
        <f>IF(B454="","",IFERROR(LOOKUP(2,1/(单次交易!$A$2:$A$163=B454),单次交易!$B$2:$B$163),""))</f>
        <v/>
      </c>
      <c r="D454" s="12"/>
      <c r="E454" s="10"/>
      <c r="F454" s="10"/>
      <c r="G454" s="2"/>
      <c r="H454" s="15"/>
      <c r="I454" s="10"/>
      <c r="J454" s="12"/>
      <c r="K454" s="2"/>
      <c r="L454" s="2"/>
      <c r="M454" s="2"/>
      <c r="N454" s="5" t="str">
        <f>IF(B454="","",IFERROR(LOOKUP(2,1/(单次交易!$A$2:$A$163=B454),单次交易!$N$2:$N$163),""))</f>
        <v/>
      </c>
      <c r="O454" s="5" t="str">
        <f t="shared" si="72"/>
        <v/>
      </c>
      <c r="P454" s="11" t="str">
        <f t="shared" si="73"/>
        <v/>
      </c>
      <c r="Q454" s="5" t="str">
        <f t="shared" si="74"/>
        <v/>
      </c>
      <c r="R454" s="10"/>
      <c r="S454" s="5" t="str">
        <f t="shared" si="75"/>
        <v/>
      </c>
      <c r="T454" s="5" t="str">
        <f t="shared" si="76"/>
        <v/>
      </c>
      <c r="U454" s="5" t="str">
        <f t="shared" si="77"/>
        <v/>
      </c>
      <c r="V454" s="7" t="str">
        <f t="shared" si="78"/>
        <v/>
      </c>
      <c r="W454" s="8" t="str">
        <f t="shared" si="79"/>
        <v/>
      </c>
      <c r="X454" s="2"/>
      <c r="Y454" s="10"/>
      <c r="Z454" s="11" t="str">
        <f>IF(X454&lt;&gt;"执行卖出","",IFERROR(LOOKUP(2,1/(单次交易!$A$2:$A$163=B454),单次交易!$AP$2:$AP$163),""))</f>
        <v/>
      </c>
      <c r="AA454" s="10"/>
      <c r="AB454" s="8" t="str">
        <f t="shared" si="80"/>
        <v/>
      </c>
      <c r="AC454" s="8" t="str">
        <f>IF(A454="","",IF(A454="止损计划",IF(OR(B454="",D454="",E454="",F454="",G454=""),"计划不完整",IF(OR(D454&lt;1,D454&lt;&gt;INT(D454)),"阶段序号无效",IF(COUNTIFS($A$2:$A$497,"止损计划",$B$2:$B$497,B454,$D$2:$D$497,D454)&gt;1,"阶段序号重复",IF(E454&lt;=IFERROR(LOOKUP(2,1/(单次交易!$A$2:$A$163=B454),单次交易!$E$2:$E$163),0),"激活价须高于买入价",IF(F454&lt;N454,"止损价不得低于初始止损",IF(F454&gt;E454,"止损价不得高于激活价",IF(AND(COUNTIFS($A$2:$A$497,"止损计划",$B$2:$B$497,B454,$D$2:$D$497,"&lt;"&amp;D454)&gt;0,OR(E454&lt;=SUMPRODUCT(MAX((($A$2:$A$497="止损计划")*($B$2:$B$497=B454)*($D$2:$D$497&lt;D454))*$E$2:$E$497)),F454&lt;SUMPRODUCT(MAX((($A$2:$A$497="止损计划")*($B$2:$B$497=B454)*($D$2:$D$497&lt;D454))*$F$2:$F$497)))),"阶段价格必须逐级提高","计划有效"))))))),IF(A454="每日跟踪",IF(OR(B454="",H454="",I454="",J454=""),"每日数据不完整",IF(COUNTIFS($A$2:$A$497,"每日跟踪",$B$2:$B$497,B454,$H$2:$H$497,H454)&gt;1,"同一交易日期重复",IF(AND(R454&lt;&gt;"",R454&lt;S454),"人工止损无效：不能下调","跟踪有效"))),"记录类型无效")))</f>
        <v/>
      </c>
    </row>
    <row r="455" ht="17" spans="1:29">
      <c r="A455" s="2"/>
      <c r="B455" s="2"/>
      <c r="C455" s="8" t="str">
        <f>IF(B455="","",IFERROR(LOOKUP(2,1/(单次交易!$A$2:$A$163=B455),单次交易!$B$2:$B$163),""))</f>
        <v/>
      </c>
      <c r="D455" s="12"/>
      <c r="E455" s="10"/>
      <c r="F455" s="10"/>
      <c r="G455" s="2"/>
      <c r="H455" s="15"/>
      <c r="I455" s="10"/>
      <c r="J455" s="12"/>
      <c r="K455" s="2"/>
      <c r="L455" s="2"/>
      <c r="M455" s="2"/>
      <c r="N455" s="5" t="str">
        <f>IF(B455="","",IFERROR(LOOKUP(2,1/(单次交易!$A$2:$A$163=B455),单次交易!$N$2:$N$163),""))</f>
        <v/>
      </c>
      <c r="O455" s="5" t="str">
        <f t="shared" si="72"/>
        <v/>
      </c>
      <c r="P455" s="11" t="str">
        <f t="shared" si="73"/>
        <v/>
      </c>
      <c r="Q455" s="5" t="str">
        <f t="shared" si="74"/>
        <v/>
      </c>
      <c r="R455" s="10"/>
      <c r="S455" s="5" t="str">
        <f t="shared" si="75"/>
        <v/>
      </c>
      <c r="T455" s="5" t="str">
        <f t="shared" si="76"/>
        <v/>
      </c>
      <c r="U455" s="5" t="str">
        <f t="shared" si="77"/>
        <v/>
      </c>
      <c r="V455" s="7" t="str">
        <f t="shared" si="78"/>
        <v/>
      </c>
      <c r="W455" s="8" t="str">
        <f t="shared" si="79"/>
        <v/>
      </c>
      <c r="X455" s="2"/>
      <c r="Y455" s="10"/>
      <c r="Z455" s="11" t="str">
        <f>IF(X455&lt;&gt;"执行卖出","",IFERROR(LOOKUP(2,1/(单次交易!$A$2:$A$163=B455),单次交易!$AP$2:$AP$163),""))</f>
        <v/>
      </c>
      <c r="AA455" s="10"/>
      <c r="AB455" s="8" t="str">
        <f t="shared" si="80"/>
        <v/>
      </c>
      <c r="AC455" s="8" t="str">
        <f>IF(A455="","",IF(A455="止损计划",IF(OR(B455="",D455="",E455="",F455="",G455=""),"计划不完整",IF(OR(D455&lt;1,D455&lt;&gt;INT(D455)),"阶段序号无效",IF(COUNTIFS($A$2:$A$497,"止损计划",$B$2:$B$497,B455,$D$2:$D$497,D455)&gt;1,"阶段序号重复",IF(E455&lt;=IFERROR(LOOKUP(2,1/(单次交易!$A$2:$A$163=B455),单次交易!$E$2:$E$163),0),"激活价须高于买入价",IF(F455&lt;N455,"止损价不得低于初始止损",IF(F455&gt;E455,"止损价不得高于激活价",IF(AND(COUNTIFS($A$2:$A$497,"止损计划",$B$2:$B$497,B455,$D$2:$D$497,"&lt;"&amp;D455)&gt;0,OR(E455&lt;=SUMPRODUCT(MAX((($A$2:$A$497="止损计划")*($B$2:$B$497=B455)*($D$2:$D$497&lt;D455))*$E$2:$E$497)),F455&lt;SUMPRODUCT(MAX((($A$2:$A$497="止损计划")*($B$2:$B$497=B455)*($D$2:$D$497&lt;D455))*$F$2:$F$497)))),"阶段价格必须逐级提高","计划有效"))))))),IF(A455="每日跟踪",IF(OR(B455="",H455="",I455="",J455=""),"每日数据不完整",IF(COUNTIFS($A$2:$A$497,"每日跟踪",$B$2:$B$497,B455,$H$2:$H$497,H455)&gt;1,"同一交易日期重复",IF(AND(R455&lt;&gt;"",R455&lt;S455),"人工止损无效：不能下调","跟踪有效"))),"记录类型无效")))</f>
        <v/>
      </c>
    </row>
    <row r="456" ht="17" spans="1:29">
      <c r="A456" s="2"/>
      <c r="B456" s="2"/>
      <c r="C456" s="8" t="str">
        <f>IF(B456="","",IFERROR(LOOKUP(2,1/(单次交易!$A$2:$A$163=B456),单次交易!$B$2:$B$163),""))</f>
        <v/>
      </c>
      <c r="D456" s="12"/>
      <c r="E456" s="10"/>
      <c r="F456" s="10"/>
      <c r="G456" s="2"/>
      <c r="H456" s="15"/>
      <c r="I456" s="10"/>
      <c r="J456" s="12"/>
      <c r="K456" s="2"/>
      <c r="L456" s="2"/>
      <c r="M456" s="2"/>
      <c r="N456" s="5" t="str">
        <f>IF(B456="","",IFERROR(LOOKUP(2,1/(单次交易!$A$2:$A$163=B456),单次交易!$N$2:$N$163),""))</f>
        <v/>
      </c>
      <c r="O456" s="5" t="str">
        <f t="shared" si="72"/>
        <v/>
      </c>
      <c r="P456" s="11" t="str">
        <f t="shared" si="73"/>
        <v/>
      </c>
      <c r="Q456" s="5" t="str">
        <f t="shared" si="74"/>
        <v/>
      </c>
      <c r="R456" s="10"/>
      <c r="S456" s="5" t="str">
        <f t="shared" si="75"/>
        <v/>
      </c>
      <c r="T456" s="5" t="str">
        <f t="shared" si="76"/>
        <v/>
      </c>
      <c r="U456" s="5" t="str">
        <f t="shared" si="77"/>
        <v/>
      </c>
      <c r="V456" s="7" t="str">
        <f t="shared" si="78"/>
        <v/>
      </c>
      <c r="W456" s="8" t="str">
        <f t="shared" si="79"/>
        <v/>
      </c>
      <c r="X456" s="2"/>
      <c r="Y456" s="10"/>
      <c r="Z456" s="11" t="str">
        <f>IF(X456&lt;&gt;"执行卖出","",IFERROR(LOOKUP(2,1/(单次交易!$A$2:$A$163=B456),单次交易!$AP$2:$AP$163),""))</f>
        <v/>
      </c>
      <c r="AA456" s="10"/>
      <c r="AB456" s="8" t="str">
        <f t="shared" si="80"/>
        <v/>
      </c>
      <c r="AC456" s="8" t="str">
        <f>IF(A456="","",IF(A456="止损计划",IF(OR(B456="",D456="",E456="",F456="",G456=""),"计划不完整",IF(OR(D456&lt;1,D456&lt;&gt;INT(D456)),"阶段序号无效",IF(COUNTIFS($A$2:$A$497,"止损计划",$B$2:$B$497,B456,$D$2:$D$497,D456)&gt;1,"阶段序号重复",IF(E456&lt;=IFERROR(LOOKUP(2,1/(单次交易!$A$2:$A$163=B456),单次交易!$E$2:$E$163),0),"激活价须高于买入价",IF(F456&lt;N456,"止损价不得低于初始止损",IF(F456&gt;E456,"止损价不得高于激活价",IF(AND(COUNTIFS($A$2:$A$497,"止损计划",$B$2:$B$497,B456,$D$2:$D$497,"&lt;"&amp;D456)&gt;0,OR(E456&lt;=SUMPRODUCT(MAX((($A$2:$A$497="止损计划")*($B$2:$B$497=B456)*($D$2:$D$497&lt;D456))*$E$2:$E$497)),F456&lt;SUMPRODUCT(MAX((($A$2:$A$497="止损计划")*($B$2:$B$497=B456)*($D$2:$D$497&lt;D456))*$F$2:$F$497)))),"阶段价格必须逐级提高","计划有效"))))))),IF(A456="每日跟踪",IF(OR(B456="",H456="",I456="",J456=""),"每日数据不完整",IF(COUNTIFS($A$2:$A$497,"每日跟踪",$B$2:$B$497,B456,$H$2:$H$497,H456)&gt;1,"同一交易日期重复",IF(AND(R456&lt;&gt;"",R456&lt;S456),"人工止损无效：不能下调","跟踪有效"))),"记录类型无效")))</f>
        <v/>
      </c>
    </row>
    <row r="457" ht="17" spans="1:29">
      <c r="A457" s="2"/>
      <c r="B457" s="2"/>
      <c r="C457" s="8" t="str">
        <f>IF(B457="","",IFERROR(LOOKUP(2,1/(单次交易!$A$2:$A$163=B457),单次交易!$B$2:$B$163),""))</f>
        <v/>
      </c>
      <c r="D457" s="12"/>
      <c r="E457" s="10"/>
      <c r="F457" s="10"/>
      <c r="G457" s="2"/>
      <c r="H457" s="15"/>
      <c r="I457" s="10"/>
      <c r="J457" s="12"/>
      <c r="K457" s="2"/>
      <c r="L457" s="2"/>
      <c r="M457" s="2"/>
      <c r="N457" s="5" t="str">
        <f>IF(B457="","",IFERROR(LOOKUP(2,1/(单次交易!$A$2:$A$163=B457),单次交易!$N$2:$N$163),""))</f>
        <v/>
      </c>
      <c r="O457" s="5" t="str">
        <f t="shared" si="72"/>
        <v/>
      </c>
      <c r="P457" s="11" t="str">
        <f t="shared" si="73"/>
        <v/>
      </c>
      <c r="Q457" s="5" t="str">
        <f t="shared" si="74"/>
        <v/>
      </c>
      <c r="R457" s="10"/>
      <c r="S457" s="5" t="str">
        <f t="shared" si="75"/>
        <v/>
      </c>
      <c r="T457" s="5" t="str">
        <f t="shared" si="76"/>
        <v/>
      </c>
      <c r="U457" s="5" t="str">
        <f t="shared" si="77"/>
        <v/>
      </c>
      <c r="V457" s="7" t="str">
        <f t="shared" si="78"/>
        <v/>
      </c>
      <c r="W457" s="8" t="str">
        <f t="shared" si="79"/>
        <v/>
      </c>
      <c r="X457" s="2"/>
      <c r="Y457" s="10"/>
      <c r="Z457" s="11" t="str">
        <f>IF(X457&lt;&gt;"执行卖出","",IFERROR(LOOKUP(2,1/(单次交易!$A$2:$A$163=B457),单次交易!$AP$2:$AP$163),""))</f>
        <v/>
      </c>
      <c r="AA457" s="10"/>
      <c r="AB457" s="8" t="str">
        <f t="shared" si="80"/>
        <v/>
      </c>
      <c r="AC457" s="8" t="str">
        <f>IF(A457="","",IF(A457="止损计划",IF(OR(B457="",D457="",E457="",F457="",G457=""),"计划不完整",IF(OR(D457&lt;1,D457&lt;&gt;INT(D457)),"阶段序号无效",IF(COUNTIFS($A$2:$A$497,"止损计划",$B$2:$B$497,B457,$D$2:$D$497,D457)&gt;1,"阶段序号重复",IF(E457&lt;=IFERROR(LOOKUP(2,1/(单次交易!$A$2:$A$163=B457),单次交易!$E$2:$E$163),0),"激活价须高于买入价",IF(F457&lt;N457,"止损价不得低于初始止损",IF(F457&gt;E457,"止损价不得高于激活价",IF(AND(COUNTIFS($A$2:$A$497,"止损计划",$B$2:$B$497,B457,$D$2:$D$497,"&lt;"&amp;D457)&gt;0,OR(E457&lt;=SUMPRODUCT(MAX((($A$2:$A$497="止损计划")*($B$2:$B$497=B457)*($D$2:$D$497&lt;D457))*$E$2:$E$497)),F457&lt;SUMPRODUCT(MAX((($A$2:$A$497="止损计划")*($B$2:$B$497=B457)*($D$2:$D$497&lt;D457))*$F$2:$F$497)))),"阶段价格必须逐级提高","计划有效"))))))),IF(A457="每日跟踪",IF(OR(B457="",H457="",I457="",J457=""),"每日数据不完整",IF(COUNTIFS($A$2:$A$497,"每日跟踪",$B$2:$B$497,B457,$H$2:$H$497,H457)&gt;1,"同一交易日期重复",IF(AND(R457&lt;&gt;"",R457&lt;S457),"人工止损无效：不能下调","跟踪有效"))),"记录类型无效")))</f>
        <v/>
      </c>
    </row>
    <row r="458" ht="17" spans="1:29">
      <c r="A458" s="2"/>
      <c r="B458" s="2"/>
      <c r="C458" s="8" t="str">
        <f>IF(B458="","",IFERROR(LOOKUP(2,1/(单次交易!$A$2:$A$163=B458),单次交易!$B$2:$B$163),""))</f>
        <v/>
      </c>
      <c r="D458" s="12"/>
      <c r="E458" s="10"/>
      <c r="F458" s="10"/>
      <c r="G458" s="2"/>
      <c r="H458" s="15"/>
      <c r="I458" s="10"/>
      <c r="J458" s="12"/>
      <c r="K458" s="2"/>
      <c r="L458" s="2"/>
      <c r="M458" s="2"/>
      <c r="N458" s="5" t="str">
        <f>IF(B458="","",IFERROR(LOOKUP(2,1/(单次交易!$A$2:$A$163=B458),单次交易!$N$2:$N$163),""))</f>
        <v/>
      </c>
      <c r="O458" s="5" t="str">
        <f t="shared" si="72"/>
        <v/>
      </c>
      <c r="P458" s="11" t="str">
        <f t="shared" si="73"/>
        <v/>
      </c>
      <c r="Q458" s="5" t="str">
        <f t="shared" si="74"/>
        <v/>
      </c>
      <c r="R458" s="10"/>
      <c r="S458" s="5" t="str">
        <f t="shared" si="75"/>
        <v/>
      </c>
      <c r="T458" s="5" t="str">
        <f t="shared" si="76"/>
        <v/>
      </c>
      <c r="U458" s="5" t="str">
        <f t="shared" si="77"/>
        <v/>
      </c>
      <c r="V458" s="7" t="str">
        <f t="shared" si="78"/>
        <v/>
      </c>
      <c r="W458" s="8" t="str">
        <f t="shared" si="79"/>
        <v/>
      </c>
      <c r="X458" s="2"/>
      <c r="Y458" s="10"/>
      <c r="Z458" s="11" t="str">
        <f>IF(X458&lt;&gt;"执行卖出","",IFERROR(LOOKUP(2,1/(单次交易!$A$2:$A$163=B458),单次交易!$AP$2:$AP$163),""))</f>
        <v/>
      </c>
      <c r="AA458" s="10"/>
      <c r="AB458" s="8" t="str">
        <f t="shared" si="80"/>
        <v/>
      </c>
      <c r="AC458" s="8" t="str">
        <f>IF(A458="","",IF(A458="止损计划",IF(OR(B458="",D458="",E458="",F458="",G458=""),"计划不完整",IF(OR(D458&lt;1,D458&lt;&gt;INT(D458)),"阶段序号无效",IF(COUNTIFS($A$2:$A$497,"止损计划",$B$2:$B$497,B458,$D$2:$D$497,D458)&gt;1,"阶段序号重复",IF(E458&lt;=IFERROR(LOOKUP(2,1/(单次交易!$A$2:$A$163=B458),单次交易!$E$2:$E$163),0),"激活价须高于买入价",IF(F458&lt;N458,"止损价不得低于初始止损",IF(F458&gt;E458,"止损价不得高于激活价",IF(AND(COUNTIFS($A$2:$A$497,"止损计划",$B$2:$B$497,B458,$D$2:$D$497,"&lt;"&amp;D458)&gt;0,OR(E458&lt;=SUMPRODUCT(MAX((($A$2:$A$497="止损计划")*($B$2:$B$497=B458)*($D$2:$D$497&lt;D458))*$E$2:$E$497)),F458&lt;SUMPRODUCT(MAX((($A$2:$A$497="止损计划")*($B$2:$B$497=B458)*($D$2:$D$497&lt;D458))*$F$2:$F$497)))),"阶段价格必须逐级提高","计划有效"))))))),IF(A458="每日跟踪",IF(OR(B458="",H458="",I458="",J458=""),"每日数据不完整",IF(COUNTIFS($A$2:$A$497,"每日跟踪",$B$2:$B$497,B458,$H$2:$H$497,H458)&gt;1,"同一交易日期重复",IF(AND(R458&lt;&gt;"",R458&lt;S458),"人工止损无效：不能下调","跟踪有效"))),"记录类型无效")))</f>
        <v/>
      </c>
    </row>
    <row r="459" ht="17" spans="1:29">
      <c r="A459" s="2"/>
      <c r="B459" s="2"/>
      <c r="C459" s="8" t="str">
        <f>IF(B459="","",IFERROR(LOOKUP(2,1/(单次交易!$A$2:$A$163=B459),单次交易!$B$2:$B$163),""))</f>
        <v/>
      </c>
      <c r="D459" s="12"/>
      <c r="E459" s="10"/>
      <c r="F459" s="10"/>
      <c r="G459" s="2"/>
      <c r="H459" s="15"/>
      <c r="I459" s="10"/>
      <c r="J459" s="12"/>
      <c r="K459" s="2"/>
      <c r="L459" s="2"/>
      <c r="M459" s="2"/>
      <c r="N459" s="5" t="str">
        <f>IF(B459="","",IFERROR(LOOKUP(2,1/(单次交易!$A$2:$A$163=B459),单次交易!$N$2:$N$163),""))</f>
        <v/>
      </c>
      <c r="O459" s="5" t="str">
        <f t="shared" si="72"/>
        <v/>
      </c>
      <c r="P459" s="11" t="str">
        <f t="shared" si="73"/>
        <v/>
      </c>
      <c r="Q459" s="5" t="str">
        <f t="shared" si="74"/>
        <v/>
      </c>
      <c r="R459" s="10"/>
      <c r="S459" s="5" t="str">
        <f t="shared" si="75"/>
        <v/>
      </c>
      <c r="T459" s="5" t="str">
        <f t="shared" si="76"/>
        <v/>
      </c>
      <c r="U459" s="5" t="str">
        <f t="shared" si="77"/>
        <v/>
      </c>
      <c r="V459" s="7" t="str">
        <f t="shared" si="78"/>
        <v/>
      </c>
      <c r="W459" s="8" t="str">
        <f t="shared" si="79"/>
        <v/>
      </c>
      <c r="X459" s="2"/>
      <c r="Y459" s="10"/>
      <c r="Z459" s="11" t="str">
        <f>IF(X459&lt;&gt;"执行卖出","",IFERROR(LOOKUP(2,1/(单次交易!$A$2:$A$163=B459),单次交易!$AP$2:$AP$163),""))</f>
        <v/>
      </c>
      <c r="AA459" s="10"/>
      <c r="AB459" s="8" t="str">
        <f t="shared" si="80"/>
        <v/>
      </c>
      <c r="AC459" s="8" t="str">
        <f>IF(A459="","",IF(A459="止损计划",IF(OR(B459="",D459="",E459="",F459="",G459=""),"计划不完整",IF(OR(D459&lt;1,D459&lt;&gt;INT(D459)),"阶段序号无效",IF(COUNTIFS($A$2:$A$497,"止损计划",$B$2:$B$497,B459,$D$2:$D$497,D459)&gt;1,"阶段序号重复",IF(E459&lt;=IFERROR(LOOKUP(2,1/(单次交易!$A$2:$A$163=B459),单次交易!$E$2:$E$163),0),"激活价须高于买入价",IF(F459&lt;N459,"止损价不得低于初始止损",IF(F459&gt;E459,"止损价不得高于激活价",IF(AND(COUNTIFS($A$2:$A$497,"止损计划",$B$2:$B$497,B459,$D$2:$D$497,"&lt;"&amp;D459)&gt;0,OR(E459&lt;=SUMPRODUCT(MAX((($A$2:$A$497="止损计划")*($B$2:$B$497=B459)*($D$2:$D$497&lt;D459))*$E$2:$E$497)),F459&lt;SUMPRODUCT(MAX((($A$2:$A$497="止损计划")*($B$2:$B$497=B459)*($D$2:$D$497&lt;D459))*$F$2:$F$497)))),"阶段价格必须逐级提高","计划有效"))))))),IF(A459="每日跟踪",IF(OR(B459="",H459="",I459="",J459=""),"每日数据不完整",IF(COUNTIFS($A$2:$A$497,"每日跟踪",$B$2:$B$497,B459,$H$2:$H$497,H459)&gt;1,"同一交易日期重复",IF(AND(R459&lt;&gt;"",R459&lt;S459),"人工止损无效：不能下调","跟踪有效"))),"记录类型无效")))</f>
        <v/>
      </c>
    </row>
    <row r="460" ht="17" spans="1:29">
      <c r="A460" s="2"/>
      <c r="B460" s="2"/>
      <c r="C460" s="8" t="str">
        <f>IF(B460="","",IFERROR(LOOKUP(2,1/(单次交易!$A$2:$A$163=B460),单次交易!$B$2:$B$163),""))</f>
        <v/>
      </c>
      <c r="D460" s="12"/>
      <c r="E460" s="10"/>
      <c r="F460" s="10"/>
      <c r="G460" s="2"/>
      <c r="H460" s="15"/>
      <c r="I460" s="10"/>
      <c r="J460" s="12"/>
      <c r="K460" s="2"/>
      <c r="L460" s="2"/>
      <c r="M460" s="2"/>
      <c r="N460" s="5" t="str">
        <f>IF(B460="","",IFERROR(LOOKUP(2,1/(单次交易!$A$2:$A$163=B460),单次交易!$N$2:$N$163),""))</f>
        <v/>
      </c>
      <c r="O460" s="5" t="str">
        <f t="shared" si="72"/>
        <v/>
      </c>
      <c r="P460" s="11" t="str">
        <f t="shared" si="73"/>
        <v/>
      </c>
      <c r="Q460" s="5" t="str">
        <f t="shared" si="74"/>
        <v/>
      </c>
      <c r="R460" s="10"/>
      <c r="S460" s="5" t="str">
        <f t="shared" si="75"/>
        <v/>
      </c>
      <c r="T460" s="5" t="str">
        <f t="shared" si="76"/>
        <v/>
      </c>
      <c r="U460" s="5" t="str">
        <f t="shared" si="77"/>
        <v/>
      </c>
      <c r="V460" s="7" t="str">
        <f t="shared" si="78"/>
        <v/>
      </c>
      <c r="W460" s="8" t="str">
        <f t="shared" si="79"/>
        <v/>
      </c>
      <c r="X460" s="2"/>
      <c r="Y460" s="10"/>
      <c r="Z460" s="11" t="str">
        <f>IF(X460&lt;&gt;"执行卖出","",IFERROR(LOOKUP(2,1/(单次交易!$A$2:$A$163=B460),单次交易!$AP$2:$AP$163),""))</f>
        <v/>
      </c>
      <c r="AA460" s="10"/>
      <c r="AB460" s="8" t="str">
        <f t="shared" si="80"/>
        <v/>
      </c>
      <c r="AC460" s="8" t="str">
        <f>IF(A460="","",IF(A460="止损计划",IF(OR(B460="",D460="",E460="",F460="",G460=""),"计划不完整",IF(OR(D460&lt;1,D460&lt;&gt;INT(D460)),"阶段序号无效",IF(COUNTIFS($A$2:$A$497,"止损计划",$B$2:$B$497,B460,$D$2:$D$497,D460)&gt;1,"阶段序号重复",IF(E460&lt;=IFERROR(LOOKUP(2,1/(单次交易!$A$2:$A$163=B460),单次交易!$E$2:$E$163),0),"激活价须高于买入价",IF(F460&lt;N460,"止损价不得低于初始止损",IF(F460&gt;E460,"止损价不得高于激活价",IF(AND(COUNTIFS($A$2:$A$497,"止损计划",$B$2:$B$497,B460,$D$2:$D$497,"&lt;"&amp;D460)&gt;0,OR(E460&lt;=SUMPRODUCT(MAX((($A$2:$A$497="止损计划")*($B$2:$B$497=B460)*($D$2:$D$497&lt;D460))*$E$2:$E$497)),F460&lt;SUMPRODUCT(MAX((($A$2:$A$497="止损计划")*($B$2:$B$497=B460)*($D$2:$D$497&lt;D460))*$F$2:$F$497)))),"阶段价格必须逐级提高","计划有效"))))))),IF(A460="每日跟踪",IF(OR(B460="",H460="",I460="",J460=""),"每日数据不完整",IF(COUNTIFS($A$2:$A$497,"每日跟踪",$B$2:$B$497,B460,$H$2:$H$497,H460)&gt;1,"同一交易日期重复",IF(AND(R460&lt;&gt;"",R460&lt;S460),"人工止损无效：不能下调","跟踪有效"))),"记录类型无效")))</f>
        <v/>
      </c>
    </row>
    <row r="461" ht="17" spans="1:29">
      <c r="A461" s="2"/>
      <c r="B461" s="2"/>
      <c r="C461" s="8" t="str">
        <f>IF(B461="","",IFERROR(LOOKUP(2,1/(单次交易!$A$2:$A$163=B461),单次交易!$B$2:$B$163),""))</f>
        <v/>
      </c>
      <c r="D461" s="12"/>
      <c r="E461" s="10"/>
      <c r="F461" s="10"/>
      <c r="G461" s="2"/>
      <c r="H461" s="15"/>
      <c r="I461" s="10"/>
      <c r="J461" s="12"/>
      <c r="K461" s="2"/>
      <c r="L461" s="2"/>
      <c r="M461" s="2"/>
      <c r="N461" s="5" t="str">
        <f>IF(B461="","",IFERROR(LOOKUP(2,1/(单次交易!$A$2:$A$163=B461),单次交易!$N$2:$N$163),""))</f>
        <v/>
      </c>
      <c r="O461" s="5" t="str">
        <f t="shared" si="72"/>
        <v/>
      </c>
      <c r="P461" s="11" t="str">
        <f t="shared" si="73"/>
        <v/>
      </c>
      <c r="Q461" s="5" t="str">
        <f t="shared" si="74"/>
        <v/>
      </c>
      <c r="R461" s="10"/>
      <c r="S461" s="5" t="str">
        <f t="shared" si="75"/>
        <v/>
      </c>
      <c r="T461" s="5" t="str">
        <f t="shared" si="76"/>
        <v/>
      </c>
      <c r="U461" s="5" t="str">
        <f t="shared" si="77"/>
        <v/>
      </c>
      <c r="V461" s="7" t="str">
        <f t="shared" si="78"/>
        <v/>
      </c>
      <c r="W461" s="8" t="str">
        <f t="shared" si="79"/>
        <v/>
      </c>
      <c r="X461" s="2"/>
      <c r="Y461" s="10"/>
      <c r="Z461" s="11" t="str">
        <f>IF(X461&lt;&gt;"执行卖出","",IFERROR(LOOKUP(2,1/(单次交易!$A$2:$A$163=B461),单次交易!$AP$2:$AP$163),""))</f>
        <v/>
      </c>
      <c r="AA461" s="10"/>
      <c r="AB461" s="8" t="str">
        <f t="shared" si="80"/>
        <v/>
      </c>
      <c r="AC461" s="8" t="str">
        <f>IF(A461="","",IF(A461="止损计划",IF(OR(B461="",D461="",E461="",F461="",G461=""),"计划不完整",IF(OR(D461&lt;1,D461&lt;&gt;INT(D461)),"阶段序号无效",IF(COUNTIFS($A$2:$A$497,"止损计划",$B$2:$B$497,B461,$D$2:$D$497,D461)&gt;1,"阶段序号重复",IF(E461&lt;=IFERROR(LOOKUP(2,1/(单次交易!$A$2:$A$163=B461),单次交易!$E$2:$E$163),0),"激活价须高于买入价",IF(F461&lt;N461,"止损价不得低于初始止损",IF(F461&gt;E461,"止损价不得高于激活价",IF(AND(COUNTIFS($A$2:$A$497,"止损计划",$B$2:$B$497,B461,$D$2:$D$497,"&lt;"&amp;D461)&gt;0,OR(E461&lt;=SUMPRODUCT(MAX((($A$2:$A$497="止损计划")*($B$2:$B$497=B461)*($D$2:$D$497&lt;D461))*$E$2:$E$497)),F461&lt;SUMPRODUCT(MAX((($A$2:$A$497="止损计划")*($B$2:$B$497=B461)*($D$2:$D$497&lt;D461))*$F$2:$F$497)))),"阶段价格必须逐级提高","计划有效"))))))),IF(A461="每日跟踪",IF(OR(B461="",H461="",I461="",J461=""),"每日数据不完整",IF(COUNTIFS($A$2:$A$497,"每日跟踪",$B$2:$B$497,B461,$H$2:$H$497,H461)&gt;1,"同一交易日期重复",IF(AND(R461&lt;&gt;"",R461&lt;S461),"人工止损无效：不能下调","跟踪有效"))),"记录类型无效")))</f>
        <v/>
      </c>
    </row>
    <row r="462" ht="17" spans="1:29">
      <c r="A462" s="2"/>
      <c r="B462" s="2"/>
      <c r="C462" s="8" t="str">
        <f>IF(B462="","",IFERROR(LOOKUP(2,1/(单次交易!$A$2:$A$163=B462),单次交易!$B$2:$B$163),""))</f>
        <v/>
      </c>
      <c r="D462" s="12"/>
      <c r="E462" s="10"/>
      <c r="F462" s="10"/>
      <c r="G462" s="2"/>
      <c r="H462" s="15"/>
      <c r="I462" s="10"/>
      <c r="J462" s="12"/>
      <c r="K462" s="2"/>
      <c r="L462" s="2"/>
      <c r="M462" s="2"/>
      <c r="N462" s="5" t="str">
        <f>IF(B462="","",IFERROR(LOOKUP(2,1/(单次交易!$A$2:$A$163=B462),单次交易!$N$2:$N$163),""))</f>
        <v/>
      </c>
      <c r="O462" s="5" t="str">
        <f t="shared" si="72"/>
        <v/>
      </c>
      <c r="P462" s="11" t="str">
        <f t="shared" si="73"/>
        <v/>
      </c>
      <c r="Q462" s="5" t="str">
        <f t="shared" si="74"/>
        <v/>
      </c>
      <c r="R462" s="10"/>
      <c r="S462" s="5" t="str">
        <f t="shared" si="75"/>
        <v/>
      </c>
      <c r="T462" s="5" t="str">
        <f t="shared" si="76"/>
        <v/>
      </c>
      <c r="U462" s="5" t="str">
        <f t="shared" si="77"/>
        <v/>
      </c>
      <c r="V462" s="7" t="str">
        <f t="shared" si="78"/>
        <v/>
      </c>
      <c r="W462" s="8" t="str">
        <f t="shared" si="79"/>
        <v/>
      </c>
      <c r="X462" s="2"/>
      <c r="Y462" s="10"/>
      <c r="Z462" s="11" t="str">
        <f>IF(X462&lt;&gt;"执行卖出","",IFERROR(LOOKUP(2,1/(单次交易!$A$2:$A$163=B462),单次交易!$AP$2:$AP$163),""))</f>
        <v/>
      </c>
      <c r="AA462" s="10"/>
      <c r="AB462" s="8" t="str">
        <f t="shared" si="80"/>
        <v/>
      </c>
      <c r="AC462" s="8" t="str">
        <f>IF(A462="","",IF(A462="止损计划",IF(OR(B462="",D462="",E462="",F462="",G462=""),"计划不完整",IF(OR(D462&lt;1,D462&lt;&gt;INT(D462)),"阶段序号无效",IF(COUNTIFS($A$2:$A$497,"止损计划",$B$2:$B$497,B462,$D$2:$D$497,D462)&gt;1,"阶段序号重复",IF(E462&lt;=IFERROR(LOOKUP(2,1/(单次交易!$A$2:$A$163=B462),单次交易!$E$2:$E$163),0),"激活价须高于买入价",IF(F462&lt;N462,"止损价不得低于初始止损",IF(F462&gt;E462,"止损价不得高于激活价",IF(AND(COUNTIFS($A$2:$A$497,"止损计划",$B$2:$B$497,B462,$D$2:$D$497,"&lt;"&amp;D462)&gt;0,OR(E462&lt;=SUMPRODUCT(MAX((($A$2:$A$497="止损计划")*($B$2:$B$497=B462)*($D$2:$D$497&lt;D462))*$E$2:$E$497)),F462&lt;SUMPRODUCT(MAX((($A$2:$A$497="止损计划")*($B$2:$B$497=B462)*($D$2:$D$497&lt;D462))*$F$2:$F$497)))),"阶段价格必须逐级提高","计划有效"))))))),IF(A462="每日跟踪",IF(OR(B462="",H462="",I462="",J462=""),"每日数据不完整",IF(COUNTIFS($A$2:$A$497,"每日跟踪",$B$2:$B$497,B462,$H$2:$H$497,H462)&gt;1,"同一交易日期重复",IF(AND(R462&lt;&gt;"",R462&lt;S462),"人工止损无效：不能下调","跟踪有效"))),"记录类型无效")))</f>
        <v/>
      </c>
    </row>
    <row r="463" ht="17" spans="1:29">
      <c r="A463" s="2"/>
      <c r="B463" s="2"/>
      <c r="C463" s="8" t="str">
        <f>IF(B463="","",IFERROR(LOOKUP(2,1/(单次交易!$A$2:$A$163=B463),单次交易!$B$2:$B$163),""))</f>
        <v/>
      </c>
      <c r="D463" s="12"/>
      <c r="E463" s="10"/>
      <c r="F463" s="10"/>
      <c r="G463" s="2"/>
      <c r="H463" s="15"/>
      <c r="I463" s="10"/>
      <c r="J463" s="12"/>
      <c r="K463" s="2"/>
      <c r="L463" s="2"/>
      <c r="M463" s="2"/>
      <c r="N463" s="5" t="str">
        <f>IF(B463="","",IFERROR(LOOKUP(2,1/(单次交易!$A$2:$A$163=B463),单次交易!$N$2:$N$163),""))</f>
        <v/>
      </c>
      <c r="O463" s="5" t="str">
        <f t="shared" si="72"/>
        <v/>
      </c>
      <c r="P463" s="11" t="str">
        <f t="shared" si="73"/>
        <v/>
      </c>
      <c r="Q463" s="5" t="str">
        <f t="shared" si="74"/>
        <v/>
      </c>
      <c r="R463" s="10"/>
      <c r="S463" s="5" t="str">
        <f t="shared" si="75"/>
        <v/>
      </c>
      <c r="T463" s="5" t="str">
        <f t="shared" si="76"/>
        <v/>
      </c>
      <c r="U463" s="5" t="str">
        <f t="shared" si="77"/>
        <v/>
      </c>
      <c r="V463" s="7" t="str">
        <f t="shared" si="78"/>
        <v/>
      </c>
      <c r="W463" s="8" t="str">
        <f t="shared" si="79"/>
        <v/>
      </c>
      <c r="X463" s="2"/>
      <c r="Y463" s="10"/>
      <c r="Z463" s="11" t="str">
        <f>IF(X463&lt;&gt;"执行卖出","",IFERROR(LOOKUP(2,1/(单次交易!$A$2:$A$163=B463),单次交易!$AP$2:$AP$163),""))</f>
        <v/>
      </c>
      <c r="AA463" s="10"/>
      <c r="AB463" s="8" t="str">
        <f t="shared" si="80"/>
        <v/>
      </c>
      <c r="AC463" s="8" t="str">
        <f>IF(A463="","",IF(A463="止损计划",IF(OR(B463="",D463="",E463="",F463="",G463=""),"计划不完整",IF(OR(D463&lt;1,D463&lt;&gt;INT(D463)),"阶段序号无效",IF(COUNTIFS($A$2:$A$497,"止损计划",$B$2:$B$497,B463,$D$2:$D$497,D463)&gt;1,"阶段序号重复",IF(E463&lt;=IFERROR(LOOKUP(2,1/(单次交易!$A$2:$A$163=B463),单次交易!$E$2:$E$163),0),"激活价须高于买入价",IF(F463&lt;N463,"止损价不得低于初始止损",IF(F463&gt;E463,"止损价不得高于激活价",IF(AND(COUNTIFS($A$2:$A$497,"止损计划",$B$2:$B$497,B463,$D$2:$D$497,"&lt;"&amp;D463)&gt;0,OR(E463&lt;=SUMPRODUCT(MAX((($A$2:$A$497="止损计划")*($B$2:$B$497=B463)*($D$2:$D$497&lt;D463))*$E$2:$E$497)),F463&lt;SUMPRODUCT(MAX((($A$2:$A$497="止损计划")*($B$2:$B$497=B463)*($D$2:$D$497&lt;D463))*$F$2:$F$497)))),"阶段价格必须逐级提高","计划有效"))))))),IF(A463="每日跟踪",IF(OR(B463="",H463="",I463="",J463=""),"每日数据不完整",IF(COUNTIFS($A$2:$A$497,"每日跟踪",$B$2:$B$497,B463,$H$2:$H$497,H463)&gt;1,"同一交易日期重复",IF(AND(R463&lt;&gt;"",R463&lt;S463),"人工止损无效：不能下调","跟踪有效"))),"记录类型无效")))</f>
        <v/>
      </c>
    </row>
    <row r="464" ht="17" spans="1:29">
      <c r="A464" s="2"/>
      <c r="B464" s="2"/>
      <c r="C464" s="8" t="str">
        <f>IF(B464="","",IFERROR(LOOKUP(2,1/(单次交易!$A$2:$A$163=B464),单次交易!$B$2:$B$163),""))</f>
        <v/>
      </c>
      <c r="D464" s="12"/>
      <c r="E464" s="10"/>
      <c r="F464" s="10"/>
      <c r="G464" s="2"/>
      <c r="H464" s="15"/>
      <c r="I464" s="10"/>
      <c r="J464" s="12"/>
      <c r="K464" s="2"/>
      <c r="L464" s="2"/>
      <c r="M464" s="2"/>
      <c r="N464" s="5" t="str">
        <f>IF(B464="","",IFERROR(LOOKUP(2,1/(单次交易!$A$2:$A$163=B464),单次交易!$N$2:$N$163),""))</f>
        <v/>
      </c>
      <c r="O464" s="5" t="str">
        <f t="shared" si="72"/>
        <v/>
      </c>
      <c r="P464" s="11" t="str">
        <f t="shared" si="73"/>
        <v/>
      </c>
      <c r="Q464" s="5" t="str">
        <f t="shared" si="74"/>
        <v/>
      </c>
      <c r="R464" s="10"/>
      <c r="S464" s="5" t="str">
        <f t="shared" si="75"/>
        <v/>
      </c>
      <c r="T464" s="5" t="str">
        <f t="shared" si="76"/>
        <v/>
      </c>
      <c r="U464" s="5" t="str">
        <f t="shared" si="77"/>
        <v/>
      </c>
      <c r="V464" s="7" t="str">
        <f t="shared" si="78"/>
        <v/>
      </c>
      <c r="W464" s="8" t="str">
        <f t="shared" si="79"/>
        <v/>
      </c>
      <c r="X464" s="2"/>
      <c r="Y464" s="10"/>
      <c r="Z464" s="11" t="str">
        <f>IF(X464&lt;&gt;"执行卖出","",IFERROR(LOOKUP(2,1/(单次交易!$A$2:$A$163=B464),单次交易!$AP$2:$AP$163),""))</f>
        <v/>
      </c>
      <c r="AA464" s="10"/>
      <c r="AB464" s="8" t="str">
        <f t="shared" si="80"/>
        <v/>
      </c>
      <c r="AC464" s="8" t="str">
        <f>IF(A464="","",IF(A464="止损计划",IF(OR(B464="",D464="",E464="",F464="",G464=""),"计划不完整",IF(OR(D464&lt;1,D464&lt;&gt;INT(D464)),"阶段序号无效",IF(COUNTIFS($A$2:$A$497,"止损计划",$B$2:$B$497,B464,$D$2:$D$497,D464)&gt;1,"阶段序号重复",IF(E464&lt;=IFERROR(LOOKUP(2,1/(单次交易!$A$2:$A$163=B464),单次交易!$E$2:$E$163),0),"激活价须高于买入价",IF(F464&lt;N464,"止损价不得低于初始止损",IF(F464&gt;E464,"止损价不得高于激活价",IF(AND(COUNTIFS($A$2:$A$497,"止损计划",$B$2:$B$497,B464,$D$2:$D$497,"&lt;"&amp;D464)&gt;0,OR(E464&lt;=SUMPRODUCT(MAX((($A$2:$A$497="止损计划")*($B$2:$B$497=B464)*($D$2:$D$497&lt;D464))*$E$2:$E$497)),F464&lt;SUMPRODUCT(MAX((($A$2:$A$497="止损计划")*($B$2:$B$497=B464)*($D$2:$D$497&lt;D464))*$F$2:$F$497)))),"阶段价格必须逐级提高","计划有效"))))))),IF(A464="每日跟踪",IF(OR(B464="",H464="",I464="",J464=""),"每日数据不完整",IF(COUNTIFS($A$2:$A$497,"每日跟踪",$B$2:$B$497,B464,$H$2:$H$497,H464)&gt;1,"同一交易日期重复",IF(AND(R464&lt;&gt;"",R464&lt;S464),"人工止损无效：不能下调","跟踪有效"))),"记录类型无效")))</f>
        <v/>
      </c>
    </row>
    <row r="465" ht="17" spans="1:29">
      <c r="A465" s="2"/>
      <c r="B465" s="2"/>
      <c r="C465" s="8" t="str">
        <f>IF(B465="","",IFERROR(LOOKUP(2,1/(单次交易!$A$2:$A$163=B465),单次交易!$B$2:$B$163),""))</f>
        <v/>
      </c>
      <c r="D465" s="12"/>
      <c r="E465" s="10"/>
      <c r="F465" s="10"/>
      <c r="G465" s="2"/>
      <c r="H465" s="15"/>
      <c r="I465" s="10"/>
      <c r="J465" s="12"/>
      <c r="K465" s="2"/>
      <c r="L465" s="2"/>
      <c r="M465" s="2"/>
      <c r="N465" s="5" t="str">
        <f>IF(B465="","",IFERROR(LOOKUP(2,1/(单次交易!$A$2:$A$163=B465),单次交易!$N$2:$N$163),""))</f>
        <v/>
      </c>
      <c r="O465" s="5" t="str">
        <f t="shared" si="72"/>
        <v/>
      </c>
      <c r="P465" s="11" t="str">
        <f t="shared" si="73"/>
        <v/>
      </c>
      <c r="Q465" s="5" t="str">
        <f t="shared" si="74"/>
        <v/>
      </c>
      <c r="R465" s="10"/>
      <c r="S465" s="5" t="str">
        <f t="shared" si="75"/>
        <v/>
      </c>
      <c r="T465" s="5" t="str">
        <f t="shared" si="76"/>
        <v/>
      </c>
      <c r="U465" s="5" t="str">
        <f t="shared" si="77"/>
        <v/>
      </c>
      <c r="V465" s="7" t="str">
        <f t="shared" si="78"/>
        <v/>
      </c>
      <c r="W465" s="8" t="str">
        <f t="shared" si="79"/>
        <v/>
      </c>
      <c r="X465" s="2"/>
      <c r="Y465" s="10"/>
      <c r="Z465" s="11" t="str">
        <f>IF(X465&lt;&gt;"执行卖出","",IFERROR(LOOKUP(2,1/(单次交易!$A$2:$A$163=B465),单次交易!$AP$2:$AP$163),""))</f>
        <v/>
      </c>
      <c r="AA465" s="10"/>
      <c r="AB465" s="8" t="str">
        <f t="shared" si="80"/>
        <v/>
      </c>
      <c r="AC465" s="8" t="str">
        <f>IF(A465="","",IF(A465="止损计划",IF(OR(B465="",D465="",E465="",F465="",G465=""),"计划不完整",IF(OR(D465&lt;1,D465&lt;&gt;INT(D465)),"阶段序号无效",IF(COUNTIFS($A$2:$A$497,"止损计划",$B$2:$B$497,B465,$D$2:$D$497,D465)&gt;1,"阶段序号重复",IF(E465&lt;=IFERROR(LOOKUP(2,1/(单次交易!$A$2:$A$163=B465),单次交易!$E$2:$E$163),0),"激活价须高于买入价",IF(F465&lt;N465,"止损价不得低于初始止损",IF(F465&gt;E465,"止损价不得高于激活价",IF(AND(COUNTIFS($A$2:$A$497,"止损计划",$B$2:$B$497,B465,$D$2:$D$497,"&lt;"&amp;D465)&gt;0,OR(E465&lt;=SUMPRODUCT(MAX((($A$2:$A$497="止损计划")*($B$2:$B$497=B465)*($D$2:$D$497&lt;D465))*$E$2:$E$497)),F465&lt;SUMPRODUCT(MAX((($A$2:$A$497="止损计划")*($B$2:$B$497=B465)*($D$2:$D$497&lt;D465))*$F$2:$F$497)))),"阶段价格必须逐级提高","计划有效"))))))),IF(A465="每日跟踪",IF(OR(B465="",H465="",I465="",J465=""),"每日数据不完整",IF(COUNTIFS($A$2:$A$497,"每日跟踪",$B$2:$B$497,B465,$H$2:$H$497,H465)&gt;1,"同一交易日期重复",IF(AND(R465&lt;&gt;"",R465&lt;S465),"人工止损无效：不能下调","跟踪有效"))),"记录类型无效")))</f>
        <v/>
      </c>
    </row>
    <row r="466" ht="17" spans="1:29">
      <c r="A466" s="2"/>
      <c r="B466" s="2"/>
      <c r="C466" s="8" t="str">
        <f>IF(B466="","",IFERROR(LOOKUP(2,1/(单次交易!$A$2:$A$163=B466),单次交易!$B$2:$B$163),""))</f>
        <v/>
      </c>
      <c r="D466" s="12"/>
      <c r="E466" s="10"/>
      <c r="F466" s="10"/>
      <c r="G466" s="2"/>
      <c r="H466" s="15"/>
      <c r="I466" s="10"/>
      <c r="J466" s="12"/>
      <c r="K466" s="2"/>
      <c r="L466" s="2"/>
      <c r="M466" s="2"/>
      <c r="N466" s="5" t="str">
        <f>IF(B466="","",IFERROR(LOOKUP(2,1/(单次交易!$A$2:$A$163=B466),单次交易!$N$2:$N$163),""))</f>
        <v/>
      </c>
      <c r="O466" s="5" t="str">
        <f t="shared" si="72"/>
        <v/>
      </c>
      <c r="P466" s="11" t="str">
        <f t="shared" si="73"/>
        <v/>
      </c>
      <c r="Q466" s="5" t="str">
        <f t="shared" si="74"/>
        <v/>
      </c>
      <c r="R466" s="10"/>
      <c r="S466" s="5" t="str">
        <f t="shared" si="75"/>
        <v/>
      </c>
      <c r="T466" s="5" t="str">
        <f t="shared" si="76"/>
        <v/>
      </c>
      <c r="U466" s="5" t="str">
        <f t="shared" si="77"/>
        <v/>
      </c>
      <c r="V466" s="7" t="str">
        <f t="shared" si="78"/>
        <v/>
      </c>
      <c r="W466" s="8" t="str">
        <f t="shared" si="79"/>
        <v/>
      </c>
      <c r="X466" s="2"/>
      <c r="Y466" s="10"/>
      <c r="Z466" s="11" t="str">
        <f>IF(X466&lt;&gt;"执行卖出","",IFERROR(LOOKUP(2,1/(单次交易!$A$2:$A$163=B466),单次交易!$AP$2:$AP$163),""))</f>
        <v/>
      </c>
      <c r="AA466" s="10"/>
      <c r="AB466" s="8" t="str">
        <f t="shared" si="80"/>
        <v/>
      </c>
      <c r="AC466" s="8" t="str">
        <f>IF(A466="","",IF(A466="止损计划",IF(OR(B466="",D466="",E466="",F466="",G466=""),"计划不完整",IF(OR(D466&lt;1,D466&lt;&gt;INT(D466)),"阶段序号无效",IF(COUNTIFS($A$2:$A$497,"止损计划",$B$2:$B$497,B466,$D$2:$D$497,D466)&gt;1,"阶段序号重复",IF(E466&lt;=IFERROR(LOOKUP(2,1/(单次交易!$A$2:$A$163=B466),单次交易!$E$2:$E$163),0),"激活价须高于买入价",IF(F466&lt;N466,"止损价不得低于初始止损",IF(F466&gt;E466,"止损价不得高于激活价",IF(AND(COUNTIFS($A$2:$A$497,"止损计划",$B$2:$B$497,B466,$D$2:$D$497,"&lt;"&amp;D466)&gt;0,OR(E466&lt;=SUMPRODUCT(MAX((($A$2:$A$497="止损计划")*($B$2:$B$497=B466)*($D$2:$D$497&lt;D466))*$E$2:$E$497)),F466&lt;SUMPRODUCT(MAX((($A$2:$A$497="止损计划")*($B$2:$B$497=B466)*($D$2:$D$497&lt;D466))*$F$2:$F$497)))),"阶段价格必须逐级提高","计划有效"))))))),IF(A466="每日跟踪",IF(OR(B466="",H466="",I466="",J466=""),"每日数据不完整",IF(COUNTIFS($A$2:$A$497,"每日跟踪",$B$2:$B$497,B466,$H$2:$H$497,H466)&gt;1,"同一交易日期重复",IF(AND(R466&lt;&gt;"",R466&lt;S466),"人工止损无效：不能下调","跟踪有效"))),"记录类型无效")))</f>
        <v/>
      </c>
    </row>
    <row r="467" ht="17" spans="1:29">
      <c r="A467" s="2"/>
      <c r="B467" s="2"/>
      <c r="C467" s="8" t="str">
        <f>IF(B467="","",IFERROR(LOOKUP(2,1/(单次交易!$A$2:$A$163=B467),单次交易!$B$2:$B$163),""))</f>
        <v/>
      </c>
      <c r="D467" s="12"/>
      <c r="E467" s="10"/>
      <c r="F467" s="10"/>
      <c r="G467" s="2"/>
      <c r="H467" s="15"/>
      <c r="I467" s="10"/>
      <c r="J467" s="12"/>
      <c r="K467" s="2"/>
      <c r="L467" s="2"/>
      <c r="M467" s="2"/>
      <c r="N467" s="5" t="str">
        <f>IF(B467="","",IFERROR(LOOKUP(2,1/(单次交易!$A$2:$A$163=B467),单次交易!$N$2:$N$163),""))</f>
        <v/>
      </c>
      <c r="O467" s="5" t="str">
        <f t="shared" si="72"/>
        <v/>
      </c>
      <c r="P467" s="11" t="str">
        <f t="shared" si="73"/>
        <v/>
      </c>
      <c r="Q467" s="5" t="str">
        <f t="shared" si="74"/>
        <v/>
      </c>
      <c r="R467" s="10"/>
      <c r="S467" s="5" t="str">
        <f t="shared" si="75"/>
        <v/>
      </c>
      <c r="T467" s="5" t="str">
        <f t="shared" si="76"/>
        <v/>
      </c>
      <c r="U467" s="5" t="str">
        <f t="shared" si="77"/>
        <v/>
      </c>
      <c r="V467" s="7" t="str">
        <f t="shared" si="78"/>
        <v/>
      </c>
      <c r="W467" s="8" t="str">
        <f t="shared" si="79"/>
        <v/>
      </c>
      <c r="X467" s="2"/>
      <c r="Y467" s="10"/>
      <c r="Z467" s="11" t="str">
        <f>IF(X467&lt;&gt;"执行卖出","",IFERROR(LOOKUP(2,1/(单次交易!$A$2:$A$163=B467),单次交易!$AP$2:$AP$163),""))</f>
        <v/>
      </c>
      <c r="AA467" s="10"/>
      <c r="AB467" s="8" t="str">
        <f t="shared" si="80"/>
        <v/>
      </c>
      <c r="AC467" s="8" t="str">
        <f>IF(A467="","",IF(A467="止损计划",IF(OR(B467="",D467="",E467="",F467="",G467=""),"计划不完整",IF(OR(D467&lt;1,D467&lt;&gt;INT(D467)),"阶段序号无效",IF(COUNTIFS($A$2:$A$497,"止损计划",$B$2:$B$497,B467,$D$2:$D$497,D467)&gt;1,"阶段序号重复",IF(E467&lt;=IFERROR(LOOKUP(2,1/(单次交易!$A$2:$A$163=B467),单次交易!$E$2:$E$163),0),"激活价须高于买入价",IF(F467&lt;N467,"止损价不得低于初始止损",IF(F467&gt;E467,"止损价不得高于激活价",IF(AND(COUNTIFS($A$2:$A$497,"止损计划",$B$2:$B$497,B467,$D$2:$D$497,"&lt;"&amp;D467)&gt;0,OR(E467&lt;=SUMPRODUCT(MAX((($A$2:$A$497="止损计划")*($B$2:$B$497=B467)*($D$2:$D$497&lt;D467))*$E$2:$E$497)),F467&lt;SUMPRODUCT(MAX((($A$2:$A$497="止损计划")*($B$2:$B$497=B467)*($D$2:$D$497&lt;D467))*$F$2:$F$497)))),"阶段价格必须逐级提高","计划有效"))))))),IF(A467="每日跟踪",IF(OR(B467="",H467="",I467="",J467=""),"每日数据不完整",IF(COUNTIFS($A$2:$A$497,"每日跟踪",$B$2:$B$497,B467,$H$2:$H$497,H467)&gt;1,"同一交易日期重复",IF(AND(R467&lt;&gt;"",R467&lt;S467),"人工止损无效：不能下调","跟踪有效"))),"记录类型无效")))</f>
        <v/>
      </c>
    </row>
    <row r="468" ht="17" spans="1:29">
      <c r="A468" s="2"/>
      <c r="B468" s="2"/>
      <c r="C468" s="8" t="str">
        <f>IF(B468="","",IFERROR(LOOKUP(2,1/(单次交易!$A$2:$A$163=B468),单次交易!$B$2:$B$163),""))</f>
        <v/>
      </c>
      <c r="D468" s="12"/>
      <c r="E468" s="10"/>
      <c r="F468" s="10"/>
      <c r="G468" s="2"/>
      <c r="H468" s="15"/>
      <c r="I468" s="10"/>
      <c r="J468" s="12"/>
      <c r="K468" s="2"/>
      <c r="L468" s="2"/>
      <c r="M468" s="2"/>
      <c r="N468" s="5" t="str">
        <f>IF(B468="","",IFERROR(LOOKUP(2,1/(单次交易!$A$2:$A$163=B468),单次交易!$N$2:$N$163),""))</f>
        <v/>
      </c>
      <c r="O468" s="5" t="str">
        <f t="shared" si="72"/>
        <v/>
      </c>
      <c r="P468" s="11" t="str">
        <f t="shared" si="73"/>
        <v/>
      </c>
      <c r="Q468" s="5" t="str">
        <f t="shared" si="74"/>
        <v/>
      </c>
      <c r="R468" s="10"/>
      <c r="S468" s="5" t="str">
        <f t="shared" si="75"/>
        <v/>
      </c>
      <c r="T468" s="5" t="str">
        <f t="shared" si="76"/>
        <v/>
      </c>
      <c r="U468" s="5" t="str">
        <f t="shared" si="77"/>
        <v/>
      </c>
      <c r="V468" s="7" t="str">
        <f t="shared" si="78"/>
        <v/>
      </c>
      <c r="W468" s="8" t="str">
        <f t="shared" si="79"/>
        <v/>
      </c>
      <c r="X468" s="2"/>
      <c r="Y468" s="10"/>
      <c r="Z468" s="11" t="str">
        <f>IF(X468&lt;&gt;"执行卖出","",IFERROR(LOOKUP(2,1/(单次交易!$A$2:$A$163=B468),单次交易!$AP$2:$AP$163),""))</f>
        <v/>
      </c>
      <c r="AA468" s="10"/>
      <c r="AB468" s="8" t="str">
        <f t="shared" si="80"/>
        <v/>
      </c>
      <c r="AC468" s="8" t="str">
        <f>IF(A468="","",IF(A468="止损计划",IF(OR(B468="",D468="",E468="",F468="",G468=""),"计划不完整",IF(OR(D468&lt;1,D468&lt;&gt;INT(D468)),"阶段序号无效",IF(COUNTIFS($A$2:$A$497,"止损计划",$B$2:$B$497,B468,$D$2:$D$497,D468)&gt;1,"阶段序号重复",IF(E468&lt;=IFERROR(LOOKUP(2,1/(单次交易!$A$2:$A$163=B468),单次交易!$E$2:$E$163),0),"激活价须高于买入价",IF(F468&lt;N468,"止损价不得低于初始止损",IF(F468&gt;E468,"止损价不得高于激活价",IF(AND(COUNTIFS($A$2:$A$497,"止损计划",$B$2:$B$497,B468,$D$2:$D$497,"&lt;"&amp;D468)&gt;0,OR(E468&lt;=SUMPRODUCT(MAX((($A$2:$A$497="止损计划")*($B$2:$B$497=B468)*($D$2:$D$497&lt;D468))*$E$2:$E$497)),F468&lt;SUMPRODUCT(MAX((($A$2:$A$497="止损计划")*($B$2:$B$497=B468)*($D$2:$D$497&lt;D468))*$F$2:$F$497)))),"阶段价格必须逐级提高","计划有效"))))))),IF(A468="每日跟踪",IF(OR(B468="",H468="",I468="",J468=""),"每日数据不完整",IF(COUNTIFS($A$2:$A$497,"每日跟踪",$B$2:$B$497,B468,$H$2:$H$497,H468)&gt;1,"同一交易日期重复",IF(AND(R468&lt;&gt;"",R468&lt;S468),"人工止损无效：不能下调","跟踪有效"))),"记录类型无效")))</f>
        <v/>
      </c>
    </row>
    <row r="469" ht="17" spans="1:29">
      <c r="A469" s="2"/>
      <c r="B469" s="2"/>
      <c r="C469" s="8" t="str">
        <f>IF(B469="","",IFERROR(LOOKUP(2,1/(单次交易!$A$2:$A$163=B469),单次交易!$B$2:$B$163),""))</f>
        <v/>
      </c>
      <c r="D469" s="12"/>
      <c r="E469" s="10"/>
      <c r="F469" s="10"/>
      <c r="G469" s="2"/>
      <c r="H469" s="15"/>
      <c r="I469" s="10"/>
      <c r="J469" s="12"/>
      <c r="K469" s="2"/>
      <c r="L469" s="2"/>
      <c r="M469" s="2"/>
      <c r="N469" s="5" t="str">
        <f>IF(B469="","",IFERROR(LOOKUP(2,1/(单次交易!$A$2:$A$163=B469),单次交易!$N$2:$N$163),""))</f>
        <v/>
      </c>
      <c r="O469" s="5" t="str">
        <f t="shared" si="72"/>
        <v/>
      </c>
      <c r="P469" s="11" t="str">
        <f t="shared" si="73"/>
        <v/>
      </c>
      <c r="Q469" s="5" t="str">
        <f t="shared" si="74"/>
        <v/>
      </c>
      <c r="R469" s="10"/>
      <c r="S469" s="5" t="str">
        <f t="shared" si="75"/>
        <v/>
      </c>
      <c r="T469" s="5" t="str">
        <f t="shared" si="76"/>
        <v/>
      </c>
      <c r="U469" s="5" t="str">
        <f t="shared" si="77"/>
        <v/>
      </c>
      <c r="V469" s="7" t="str">
        <f t="shared" si="78"/>
        <v/>
      </c>
      <c r="W469" s="8" t="str">
        <f t="shared" si="79"/>
        <v/>
      </c>
      <c r="X469" s="2"/>
      <c r="Y469" s="10"/>
      <c r="Z469" s="11" t="str">
        <f>IF(X469&lt;&gt;"执行卖出","",IFERROR(LOOKUP(2,1/(单次交易!$A$2:$A$163=B469),单次交易!$AP$2:$AP$163),""))</f>
        <v/>
      </c>
      <c r="AA469" s="10"/>
      <c r="AB469" s="8" t="str">
        <f t="shared" si="80"/>
        <v/>
      </c>
      <c r="AC469" s="8" t="str">
        <f>IF(A469="","",IF(A469="止损计划",IF(OR(B469="",D469="",E469="",F469="",G469=""),"计划不完整",IF(OR(D469&lt;1,D469&lt;&gt;INT(D469)),"阶段序号无效",IF(COUNTIFS($A$2:$A$497,"止损计划",$B$2:$B$497,B469,$D$2:$D$497,D469)&gt;1,"阶段序号重复",IF(E469&lt;=IFERROR(LOOKUP(2,1/(单次交易!$A$2:$A$163=B469),单次交易!$E$2:$E$163),0),"激活价须高于买入价",IF(F469&lt;N469,"止损价不得低于初始止损",IF(F469&gt;E469,"止损价不得高于激活价",IF(AND(COUNTIFS($A$2:$A$497,"止损计划",$B$2:$B$497,B469,$D$2:$D$497,"&lt;"&amp;D469)&gt;0,OR(E469&lt;=SUMPRODUCT(MAX((($A$2:$A$497="止损计划")*($B$2:$B$497=B469)*($D$2:$D$497&lt;D469))*$E$2:$E$497)),F469&lt;SUMPRODUCT(MAX((($A$2:$A$497="止损计划")*($B$2:$B$497=B469)*($D$2:$D$497&lt;D469))*$F$2:$F$497)))),"阶段价格必须逐级提高","计划有效"))))))),IF(A469="每日跟踪",IF(OR(B469="",H469="",I469="",J469=""),"每日数据不完整",IF(COUNTIFS($A$2:$A$497,"每日跟踪",$B$2:$B$497,B469,$H$2:$H$497,H469)&gt;1,"同一交易日期重复",IF(AND(R469&lt;&gt;"",R469&lt;S469),"人工止损无效：不能下调","跟踪有效"))),"记录类型无效")))</f>
        <v/>
      </c>
    </row>
    <row r="470" ht="17" spans="1:29">
      <c r="A470" s="2"/>
      <c r="B470" s="2"/>
      <c r="C470" s="8" t="str">
        <f>IF(B470="","",IFERROR(LOOKUP(2,1/(单次交易!$A$2:$A$163=B470),单次交易!$B$2:$B$163),""))</f>
        <v/>
      </c>
      <c r="D470" s="12"/>
      <c r="E470" s="10"/>
      <c r="F470" s="10"/>
      <c r="G470" s="2"/>
      <c r="H470" s="15"/>
      <c r="I470" s="10"/>
      <c r="J470" s="12"/>
      <c r="K470" s="2"/>
      <c r="L470" s="2"/>
      <c r="M470" s="2"/>
      <c r="N470" s="5" t="str">
        <f>IF(B470="","",IFERROR(LOOKUP(2,1/(单次交易!$A$2:$A$163=B470),单次交易!$N$2:$N$163),""))</f>
        <v/>
      </c>
      <c r="O470" s="5" t="str">
        <f t="shared" si="72"/>
        <v/>
      </c>
      <c r="P470" s="11" t="str">
        <f t="shared" si="73"/>
        <v/>
      </c>
      <c r="Q470" s="5" t="str">
        <f t="shared" si="74"/>
        <v/>
      </c>
      <c r="R470" s="10"/>
      <c r="S470" s="5" t="str">
        <f t="shared" si="75"/>
        <v/>
      </c>
      <c r="T470" s="5" t="str">
        <f t="shared" si="76"/>
        <v/>
      </c>
      <c r="U470" s="5" t="str">
        <f t="shared" si="77"/>
        <v/>
      </c>
      <c r="V470" s="7" t="str">
        <f t="shared" si="78"/>
        <v/>
      </c>
      <c r="W470" s="8" t="str">
        <f t="shared" si="79"/>
        <v/>
      </c>
      <c r="X470" s="2"/>
      <c r="Y470" s="10"/>
      <c r="Z470" s="11" t="str">
        <f>IF(X470&lt;&gt;"执行卖出","",IFERROR(LOOKUP(2,1/(单次交易!$A$2:$A$163=B470),单次交易!$AP$2:$AP$163),""))</f>
        <v/>
      </c>
      <c r="AA470" s="10"/>
      <c r="AB470" s="8" t="str">
        <f t="shared" si="80"/>
        <v/>
      </c>
      <c r="AC470" s="8" t="str">
        <f>IF(A470="","",IF(A470="止损计划",IF(OR(B470="",D470="",E470="",F470="",G470=""),"计划不完整",IF(OR(D470&lt;1,D470&lt;&gt;INT(D470)),"阶段序号无效",IF(COUNTIFS($A$2:$A$497,"止损计划",$B$2:$B$497,B470,$D$2:$D$497,D470)&gt;1,"阶段序号重复",IF(E470&lt;=IFERROR(LOOKUP(2,1/(单次交易!$A$2:$A$163=B470),单次交易!$E$2:$E$163),0),"激活价须高于买入价",IF(F470&lt;N470,"止损价不得低于初始止损",IF(F470&gt;E470,"止损价不得高于激活价",IF(AND(COUNTIFS($A$2:$A$497,"止损计划",$B$2:$B$497,B470,$D$2:$D$497,"&lt;"&amp;D470)&gt;0,OR(E470&lt;=SUMPRODUCT(MAX((($A$2:$A$497="止损计划")*($B$2:$B$497=B470)*($D$2:$D$497&lt;D470))*$E$2:$E$497)),F470&lt;SUMPRODUCT(MAX((($A$2:$A$497="止损计划")*($B$2:$B$497=B470)*($D$2:$D$497&lt;D470))*$F$2:$F$497)))),"阶段价格必须逐级提高","计划有效"))))))),IF(A470="每日跟踪",IF(OR(B470="",H470="",I470="",J470=""),"每日数据不完整",IF(COUNTIFS($A$2:$A$497,"每日跟踪",$B$2:$B$497,B470,$H$2:$H$497,H470)&gt;1,"同一交易日期重复",IF(AND(R470&lt;&gt;"",R470&lt;S470),"人工止损无效：不能下调","跟踪有效"))),"记录类型无效")))</f>
        <v/>
      </c>
    </row>
    <row r="471" ht="17" spans="1:29">
      <c r="A471" s="2"/>
      <c r="B471" s="2"/>
      <c r="C471" s="8" t="str">
        <f>IF(B471="","",IFERROR(LOOKUP(2,1/(单次交易!$A$2:$A$163=B471),单次交易!$B$2:$B$163),""))</f>
        <v/>
      </c>
      <c r="D471" s="12"/>
      <c r="E471" s="10"/>
      <c r="F471" s="10"/>
      <c r="G471" s="2"/>
      <c r="H471" s="15"/>
      <c r="I471" s="10"/>
      <c r="J471" s="12"/>
      <c r="K471" s="2"/>
      <c r="L471" s="2"/>
      <c r="M471" s="2"/>
      <c r="N471" s="5" t="str">
        <f>IF(B471="","",IFERROR(LOOKUP(2,1/(单次交易!$A$2:$A$163=B471),单次交易!$N$2:$N$163),""))</f>
        <v/>
      </c>
      <c r="O471" s="5" t="str">
        <f t="shared" si="72"/>
        <v/>
      </c>
      <c r="P471" s="11" t="str">
        <f t="shared" si="73"/>
        <v/>
      </c>
      <c r="Q471" s="5" t="str">
        <f t="shared" si="74"/>
        <v/>
      </c>
      <c r="R471" s="10"/>
      <c r="S471" s="5" t="str">
        <f t="shared" si="75"/>
        <v/>
      </c>
      <c r="T471" s="5" t="str">
        <f t="shared" si="76"/>
        <v/>
      </c>
      <c r="U471" s="5" t="str">
        <f t="shared" si="77"/>
        <v/>
      </c>
      <c r="V471" s="7" t="str">
        <f t="shared" si="78"/>
        <v/>
      </c>
      <c r="W471" s="8" t="str">
        <f t="shared" si="79"/>
        <v/>
      </c>
      <c r="X471" s="2"/>
      <c r="Y471" s="10"/>
      <c r="Z471" s="11" t="str">
        <f>IF(X471&lt;&gt;"执行卖出","",IFERROR(LOOKUP(2,1/(单次交易!$A$2:$A$163=B471),单次交易!$AP$2:$AP$163),""))</f>
        <v/>
      </c>
      <c r="AA471" s="10"/>
      <c r="AB471" s="8" t="str">
        <f t="shared" si="80"/>
        <v/>
      </c>
      <c r="AC471" s="8" t="str">
        <f>IF(A471="","",IF(A471="止损计划",IF(OR(B471="",D471="",E471="",F471="",G471=""),"计划不完整",IF(OR(D471&lt;1,D471&lt;&gt;INT(D471)),"阶段序号无效",IF(COUNTIFS($A$2:$A$497,"止损计划",$B$2:$B$497,B471,$D$2:$D$497,D471)&gt;1,"阶段序号重复",IF(E471&lt;=IFERROR(LOOKUP(2,1/(单次交易!$A$2:$A$163=B471),单次交易!$E$2:$E$163),0),"激活价须高于买入价",IF(F471&lt;N471,"止损价不得低于初始止损",IF(F471&gt;E471,"止损价不得高于激活价",IF(AND(COUNTIFS($A$2:$A$497,"止损计划",$B$2:$B$497,B471,$D$2:$D$497,"&lt;"&amp;D471)&gt;0,OR(E471&lt;=SUMPRODUCT(MAX((($A$2:$A$497="止损计划")*($B$2:$B$497=B471)*($D$2:$D$497&lt;D471))*$E$2:$E$497)),F471&lt;SUMPRODUCT(MAX((($A$2:$A$497="止损计划")*($B$2:$B$497=B471)*($D$2:$D$497&lt;D471))*$F$2:$F$497)))),"阶段价格必须逐级提高","计划有效"))))))),IF(A471="每日跟踪",IF(OR(B471="",H471="",I471="",J471=""),"每日数据不完整",IF(COUNTIFS($A$2:$A$497,"每日跟踪",$B$2:$B$497,B471,$H$2:$H$497,H471)&gt;1,"同一交易日期重复",IF(AND(R471&lt;&gt;"",R471&lt;S471),"人工止损无效：不能下调","跟踪有效"))),"记录类型无效")))</f>
        <v/>
      </c>
    </row>
    <row r="472" ht="17" spans="1:29">
      <c r="A472" s="2"/>
      <c r="B472" s="2"/>
      <c r="C472" s="8" t="str">
        <f>IF(B472="","",IFERROR(LOOKUP(2,1/(单次交易!$A$2:$A$163=B472),单次交易!$B$2:$B$163),""))</f>
        <v/>
      </c>
      <c r="D472" s="12"/>
      <c r="E472" s="10"/>
      <c r="F472" s="10"/>
      <c r="G472" s="2"/>
      <c r="H472" s="15"/>
      <c r="I472" s="10"/>
      <c r="J472" s="12"/>
      <c r="K472" s="2"/>
      <c r="L472" s="2"/>
      <c r="M472" s="2"/>
      <c r="N472" s="5" t="str">
        <f>IF(B472="","",IFERROR(LOOKUP(2,1/(单次交易!$A$2:$A$163=B472),单次交易!$N$2:$N$163),""))</f>
        <v/>
      </c>
      <c r="O472" s="5" t="str">
        <f t="shared" si="72"/>
        <v/>
      </c>
      <c r="P472" s="11" t="str">
        <f t="shared" si="73"/>
        <v/>
      </c>
      <c r="Q472" s="5" t="str">
        <f t="shared" si="74"/>
        <v/>
      </c>
      <c r="R472" s="10"/>
      <c r="S472" s="5" t="str">
        <f t="shared" si="75"/>
        <v/>
      </c>
      <c r="T472" s="5" t="str">
        <f t="shared" si="76"/>
        <v/>
      </c>
      <c r="U472" s="5" t="str">
        <f t="shared" si="77"/>
        <v/>
      </c>
      <c r="V472" s="7" t="str">
        <f t="shared" si="78"/>
        <v/>
      </c>
      <c r="W472" s="8" t="str">
        <f t="shared" si="79"/>
        <v/>
      </c>
      <c r="X472" s="2"/>
      <c r="Y472" s="10"/>
      <c r="Z472" s="11" t="str">
        <f>IF(X472&lt;&gt;"执行卖出","",IFERROR(LOOKUP(2,1/(单次交易!$A$2:$A$163=B472),单次交易!$AP$2:$AP$163),""))</f>
        <v/>
      </c>
      <c r="AA472" s="10"/>
      <c r="AB472" s="8" t="str">
        <f t="shared" si="80"/>
        <v/>
      </c>
      <c r="AC472" s="8" t="str">
        <f>IF(A472="","",IF(A472="止损计划",IF(OR(B472="",D472="",E472="",F472="",G472=""),"计划不完整",IF(OR(D472&lt;1,D472&lt;&gt;INT(D472)),"阶段序号无效",IF(COUNTIFS($A$2:$A$497,"止损计划",$B$2:$B$497,B472,$D$2:$D$497,D472)&gt;1,"阶段序号重复",IF(E472&lt;=IFERROR(LOOKUP(2,1/(单次交易!$A$2:$A$163=B472),单次交易!$E$2:$E$163),0),"激活价须高于买入价",IF(F472&lt;N472,"止损价不得低于初始止损",IF(F472&gt;E472,"止损价不得高于激活价",IF(AND(COUNTIFS($A$2:$A$497,"止损计划",$B$2:$B$497,B472,$D$2:$D$497,"&lt;"&amp;D472)&gt;0,OR(E472&lt;=SUMPRODUCT(MAX((($A$2:$A$497="止损计划")*($B$2:$B$497=B472)*($D$2:$D$497&lt;D472))*$E$2:$E$497)),F472&lt;SUMPRODUCT(MAX((($A$2:$A$497="止损计划")*($B$2:$B$497=B472)*($D$2:$D$497&lt;D472))*$F$2:$F$497)))),"阶段价格必须逐级提高","计划有效"))))))),IF(A472="每日跟踪",IF(OR(B472="",H472="",I472="",J472=""),"每日数据不完整",IF(COUNTIFS($A$2:$A$497,"每日跟踪",$B$2:$B$497,B472,$H$2:$H$497,H472)&gt;1,"同一交易日期重复",IF(AND(R472&lt;&gt;"",R472&lt;S472),"人工止损无效：不能下调","跟踪有效"))),"记录类型无效")))</f>
        <v/>
      </c>
    </row>
    <row r="473" ht="17" spans="1:29">
      <c r="A473" s="2"/>
      <c r="B473" s="2"/>
      <c r="C473" s="8" t="str">
        <f>IF(B473="","",IFERROR(LOOKUP(2,1/(单次交易!$A$2:$A$163=B473),单次交易!$B$2:$B$163),""))</f>
        <v/>
      </c>
      <c r="D473" s="12"/>
      <c r="E473" s="10"/>
      <c r="F473" s="10"/>
      <c r="G473" s="2"/>
      <c r="H473" s="15"/>
      <c r="I473" s="10"/>
      <c r="J473" s="12"/>
      <c r="K473" s="2"/>
      <c r="L473" s="2"/>
      <c r="M473" s="2"/>
      <c r="N473" s="5" t="str">
        <f>IF(B473="","",IFERROR(LOOKUP(2,1/(单次交易!$A$2:$A$163=B473),单次交易!$N$2:$N$163),""))</f>
        <v/>
      </c>
      <c r="O473" s="5" t="str">
        <f t="shared" si="72"/>
        <v/>
      </c>
      <c r="P473" s="11" t="str">
        <f t="shared" si="73"/>
        <v/>
      </c>
      <c r="Q473" s="5" t="str">
        <f t="shared" si="74"/>
        <v/>
      </c>
      <c r="R473" s="10"/>
      <c r="S473" s="5" t="str">
        <f t="shared" si="75"/>
        <v/>
      </c>
      <c r="T473" s="5" t="str">
        <f t="shared" si="76"/>
        <v/>
      </c>
      <c r="U473" s="5" t="str">
        <f t="shared" si="77"/>
        <v/>
      </c>
      <c r="V473" s="7" t="str">
        <f t="shared" si="78"/>
        <v/>
      </c>
      <c r="W473" s="8" t="str">
        <f t="shared" si="79"/>
        <v/>
      </c>
      <c r="X473" s="2"/>
      <c r="Y473" s="10"/>
      <c r="Z473" s="11" t="str">
        <f>IF(X473&lt;&gt;"执行卖出","",IFERROR(LOOKUP(2,1/(单次交易!$A$2:$A$163=B473),单次交易!$AP$2:$AP$163),""))</f>
        <v/>
      </c>
      <c r="AA473" s="10"/>
      <c r="AB473" s="8" t="str">
        <f t="shared" si="80"/>
        <v/>
      </c>
      <c r="AC473" s="8" t="str">
        <f>IF(A473="","",IF(A473="止损计划",IF(OR(B473="",D473="",E473="",F473="",G473=""),"计划不完整",IF(OR(D473&lt;1,D473&lt;&gt;INT(D473)),"阶段序号无效",IF(COUNTIFS($A$2:$A$497,"止损计划",$B$2:$B$497,B473,$D$2:$D$497,D473)&gt;1,"阶段序号重复",IF(E473&lt;=IFERROR(LOOKUP(2,1/(单次交易!$A$2:$A$163=B473),单次交易!$E$2:$E$163),0),"激活价须高于买入价",IF(F473&lt;N473,"止损价不得低于初始止损",IF(F473&gt;E473,"止损价不得高于激活价",IF(AND(COUNTIFS($A$2:$A$497,"止损计划",$B$2:$B$497,B473,$D$2:$D$497,"&lt;"&amp;D473)&gt;0,OR(E473&lt;=SUMPRODUCT(MAX((($A$2:$A$497="止损计划")*($B$2:$B$497=B473)*($D$2:$D$497&lt;D473))*$E$2:$E$497)),F473&lt;SUMPRODUCT(MAX((($A$2:$A$497="止损计划")*($B$2:$B$497=B473)*($D$2:$D$497&lt;D473))*$F$2:$F$497)))),"阶段价格必须逐级提高","计划有效"))))))),IF(A473="每日跟踪",IF(OR(B473="",H473="",I473="",J473=""),"每日数据不完整",IF(COUNTIFS($A$2:$A$497,"每日跟踪",$B$2:$B$497,B473,$H$2:$H$497,H473)&gt;1,"同一交易日期重复",IF(AND(R473&lt;&gt;"",R473&lt;S473),"人工止损无效：不能下调","跟踪有效"))),"记录类型无效")))</f>
        <v/>
      </c>
    </row>
    <row r="474" ht="17" spans="1:29">
      <c r="A474" s="2"/>
      <c r="B474" s="2"/>
      <c r="C474" s="8" t="str">
        <f>IF(B474="","",IFERROR(LOOKUP(2,1/(单次交易!$A$2:$A$163=B474),单次交易!$B$2:$B$163),""))</f>
        <v/>
      </c>
      <c r="D474" s="12"/>
      <c r="E474" s="10"/>
      <c r="F474" s="10"/>
      <c r="G474" s="2"/>
      <c r="H474" s="15"/>
      <c r="I474" s="10"/>
      <c r="J474" s="12"/>
      <c r="K474" s="2"/>
      <c r="L474" s="2"/>
      <c r="M474" s="2"/>
      <c r="N474" s="5" t="str">
        <f>IF(B474="","",IFERROR(LOOKUP(2,1/(单次交易!$A$2:$A$163=B474),单次交易!$N$2:$N$163),""))</f>
        <v/>
      </c>
      <c r="O474" s="5" t="str">
        <f t="shared" si="72"/>
        <v/>
      </c>
      <c r="P474" s="11" t="str">
        <f t="shared" si="73"/>
        <v/>
      </c>
      <c r="Q474" s="5" t="str">
        <f t="shared" si="74"/>
        <v/>
      </c>
      <c r="R474" s="10"/>
      <c r="S474" s="5" t="str">
        <f t="shared" si="75"/>
        <v/>
      </c>
      <c r="T474" s="5" t="str">
        <f t="shared" si="76"/>
        <v/>
      </c>
      <c r="U474" s="5" t="str">
        <f t="shared" si="77"/>
        <v/>
      </c>
      <c r="V474" s="7" t="str">
        <f t="shared" si="78"/>
        <v/>
      </c>
      <c r="W474" s="8" t="str">
        <f t="shared" si="79"/>
        <v/>
      </c>
      <c r="X474" s="2"/>
      <c r="Y474" s="10"/>
      <c r="Z474" s="11" t="str">
        <f>IF(X474&lt;&gt;"执行卖出","",IFERROR(LOOKUP(2,1/(单次交易!$A$2:$A$163=B474),单次交易!$AP$2:$AP$163),""))</f>
        <v/>
      </c>
      <c r="AA474" s="10"/>
      <c r="AB474" s="8" t="str">
        <f t="shared" si="80"/>
        <v/>
      </c>
      <c r="AC474" s="8" t="str">
        <f>IF(A474="","",IF(A474="止损计划",IF(OR(B474="",D474="",E474="",F474="",G474=""),"计划不完整",IF(OR(D474&lt;1,D474&lt;&gt;INT(D474)),"阶段序号无效",IF(COUNTIFS($A$2:$A$497,"止损计划",$B$2:$B$497,B474,$D$2:$D$497,D474)&gt;1,"阶段序号重复",IF(E474&lt;=IFERROR(LOOKUP(2,1/(单次交易!$A$2:$A$163=B474),单次交易!$E$2:$E$163),0),"激活价须高于买入价",IF(F474&lt;N474,"止损价不得低于初始止损",IF(F474&gt;E474,"止损价不得高于激活价",IF(AND(COUNTIFS($A$2:$A$497,"止损计划",$B$2:$B$497,B474,$D$2:$D$497,"&lt;"&amp;D474)&gt;0,OR(E474&lt;=SUMPRODUCT(MAX((($A$2:$A$497="止损计划")*($B$2:$B$497=B474)*($D$2:$D$497&lt;D474))*$E$2:$E$497)),F474&lt;SUMPRODUCT(MAX((($A$2:$A$497="止损计划")*($B$2:$B$497=B474)*($D$2:$D$497&lt;D474))*$F$2:$F$497)))),"阶段价格必须逐级提高","计划有效"))))))),IF(A474="每日跟踪",IF(OR(B474="",H474="",I474="",J474=""),"每日数据不完整",IF(COUNTIFS($A$2:$A$497,"每日跟踪",$B$2:$B$497,B474,$H$2:$H$497,H474)&gt;1,"同一交易日期重复",IF(AND(R474&lt;&gt;"",R474&lt;S474),"人工止损无效：不能下调","跟踪有效"))),"记录类型无效")))</f>
        <v/>
      </c>
    </row>
    <row r="475" ht="17" spans="1:29">
      <c r="A475" s="2"/>
      <c r="B475" s="2"/>
      <c r="C475" s="8" t="str">
        <f>IF(B475="","",IFERROR(LOOKUP(2,1/(单次交易!$A$2:$A$163=B475),单次交易!$B$2:$B$163),""))</f>
        <v/>
      </c>
      <c r="D475" s="12"/>
      <c r="E475" s="10"/>
      <c r="F475" s="10"/>
      <c r="G475" s="2"/>
      <c r="H475" s="15"/>
      <c r="I475" s="10"/>
      <c r="J475" s="12"/>
      <c r="K475" s="2"/>
      <c r="L475" s="2"/>
      <c r="M475" s="2"/>
      <c r="N475" s="5" t="str">
        <f>IF(B475="","",IFERROR(LOOKUP(2,1/(单次交易!$A$2:$A$163=B475),单次交易!$N$2:$N$163),""))</f>
        <v/>
      </c>
      <c r="O475" s="5" t="str">
        <f t="shared" si="72"/>
        <v/>
      </c>
      <c r="P475" s="11" t="str">
        <f t="shared" si="73"/>
        <v/>
      </c>
      <c r="Q475" s="5" t="str">
        <f t="shared" si="74"/>
        <v/>
      </c>
      <c r="R475" s="10"/>
      <c r="S475" s="5" t="str">
        <f t="shared" si="75"/>
        <v/>
      </c>
      <c r="T475" s="5" t="str">
        <f t="shared" si="76"/>
        <v/>
      </c>
      <c r="U475" s="5" t="str">
        <f t="shared" si="77"/>
        <v/>
      </c>
      <c r="V475" s="7" t="str">
        <f t="shared" si="78"/>
        <v/>
      </c>
      <c r="W475" s="8" t="str">
        <f t="shared" si="79"/>
        <v/>
      </c>
      <c r="X475" s="2"/>
      <c r="Y475" s="10"/>
      <c r="Z475" s="11" t="str">
        <f>IF(X475&lt;&gt;"执行卖出","",IFERROR(LOOKUP(2,1/(单次交易!$A$2:$A$163=B475),单次交易!$AP$2:$AP$163),""))</f>
        <v/>
      </c>
      <c r="AA475" s="10"/>
      <c r="AB475" s="8" t="str">
        <f t="shared" si="80"/>
        <v/>
      </c>
      <c r="AC475" s="8" t="str">
        <f>IF(A475="","",IF(A475="止损计划",IF(OR(B475="",D475="",E475="",F475="",G475=""),"计划不完整",IF(OR(D475&lt;1,D475&lt;&gt;INT(D475)),"阶段序号无效",IF(COUNTIFS($A$2:$A$497,"止损计划",$B$2:$B$497,B475,$D$2:$D$497,D475)&gt;1,"阶段序号重复",IF(E475&lt;=IFERROR(LOOKUP(2,1/(单次交易!$A$2:$A$163=B475),单次交易!$E$2:$E$163),0),"激活价须高于买入价",IF(F475&lt;N475,"止损价不得低于初始止损",IF(F475&gt;E475,"止损价不得高于激活价",IF(AND(COUNTIFS($A$2:$A$497,"止损计划",$B$2:$B$497,B475,$D$2:$D$497,"&lt;"&amp;D475)&gt;0,OR(E475&lt;=SUMPRODUCT(MAX((($A$2:$A$497="止损计划")*($B$2:$B$497=B475)*($D$2:$D$497&lt;D475))*$E$2:$E$497)),F475&lt;SUMPRODUCT(MAX((($A$2:$A$497="止损计划")*($B$2:$B$497=B475)*($D$2:$D$497&lt;D475))*$F$2:$F$497)))),"阶段价格必须逐级提高","计划有效"))))))),IF(A475="每日跟踪",IF(OR(B475="",H475="",I475="",J475=""),"每日数据不完整",IF(COUNTIFS($A$2:$A$497,"每日跟踪",$B$2:$B$497,B475,$H$2:$H$497,H475)&gt;1,"同一交易日期重复",IF(AND(R475&lt;&gt;"",R475&lt;S475),"人工止损无效：不能下调","跟踪有效"))),"记录类型无效")))</f>
        <v/>
      </c>
    </row>
    <row r="476" ht="17" spans="1:29">
      <c r="A476" s="2"/>
      <c r="B476" s="2"/>
      <c r="C476" s="8" t="str">
        <f>IF(B476="","",IFERROR(LOOKUP(2,1/(单次交易!$A$2:$A$163=B476),单次交易!$B$2:$B$163),""))</f>
        <v/>
      </c>
      <c r="D476" s="12"/>
      <c r="E476" s="10"/>
      <c r="F476" s="10"/>
      <c r="G476" s="2"/>
      <c r="H476" s="15"/>
      <c r="I476" s="10"/>
      <c r="J476" s="12"/>
      <c r="K476" s="2"/>
      <c r="L476" s="2"/>
      <c r="M476" s="2"/>
      <c r="N476" s="5" t="str">
        <f>IF(B476="","",IFERROR(LOOKUP(2,1/(单次交易!$A$2:$A$163=B476),单次交易!$N$2:$N$163),""))</f>
        <v/>
      </c>
      <c r="O476" s="5" t="str">
        <f t="shared" si="72"/>
        <v/>
      </c>
      <c r="P476" s="11" t="str">
        <f t="shared" si="73"/>
        <v/>
      </c>
      <c r="Q476" s="5" t="str">
        <f t="shared" si="74"/>
        <v/>
      </c>
      <c r="R476" s="10"/>
      <c r="S476" s="5" t="str">
        <f t="shared" si="75"/>
        <v/>
      </c>
      <c r="T476" s="5" t="str">
        <f t="shared" si="76"/>
        <v/>
      </c>
      <c r="U476" s="5" t="str">
        <f t="shared" si="77"/>
        <v/>
      </c>
      <c r="V476" s="7" t="str">
        <f t="shared" si="78"/>
        <v/>
      </c>
      <c r="W476" s="8" t="str">
        <f t="shared" si="79"/>
        <v/>
      </c>
      <c r="X476" s="2"/>
      <c r="Y476" s="10"/>
      <c r="Z476" s="11" t="str">
        <f>IF(X476&lt;&gt;"执行卖出","",IFERROR(LOOKUP(2,1/(单次交易!$A$2:$A$163=B476),单次交易!$AP$2:$AP$163),""))</f>
        <v/>
      </c>
      <c r="AA476" s="10"/>
      <c r="AB476" s="8" t="str">
        <f t="shared" si="80"/>
        <v/>
      </c>
      <c r="AC476" s="8" t="str">
        <f>IF(A476="","",IF(A476="止损计划",IF(OR(B476="",D476="",E476="",F476="",G476=""),"计划不完整",IF(OR(D476&lt;1,D476&lt;&gt;INT(D476)),"阶段序号无效",IF(COUNTIFS($A$2:$A$497,"止损计划",$B$2:$B$497,B476,$D$2:$D$497,D476)&gt;1,"阶段序号重复",IF(E476&lt;=IFERROR(LOOKUP(2,1/(单次交易!$A$2:$A$163=B476),单次交易!$E$2:$E$163),0),"激活价须高于买入价",IF(F476&lt;N476,"止损价不得低于初始止损",IF(F476&gt;E476,"止损价不得高于激活价",IF(AND(COUNTIFS($A$2:$A$497,"止损计划",$B$2:$B$497,B476,$D$2:$D$497,"&lt;"&amp;D476)&gt;0,OR(E476&lt;=SUMPRODUCT(MAX((($A$2:$A$497="止损计划")*($B$2:$B$497=B476)*($D$2:$D$497&lt;D476))*$E$2:$E$497)),F476&lt;SUMPRODUCT(MAX((($A$2:$A$497="止损计划")*($B$2:$B$497=B476)*($D$2:$D$497&lt;D476))*$F$2:$F$497)))),"阶段价格必须逐级提高","计划有效"))))))),IF(A476="每日跟踪",IF(OR(B476="",H476="",I476="",J476=""),"每日数据不完整",IF(COUNTIFS($A$2:$A$497,"每日跟踪",$B$2:$B$497,B476,$H$2:$H$497,H476)&gt;1,"同一交易日期重复",IF(AND(R476&lt;&gt;"",R476&lt;S476),"人工止损无效：不能下调","跟踪有效"))),"记录类型无效")))</f>
        <v/>
      </c>
    </row>
    <row r="477" ht="17" spans="1:29">
      <c r="A477" s="2"/>
      <c r="B477" s="2"/>
      <c r="C477" s="8" t="str">
        <f>IF(B477="","",IFERROR(LOOKUP(2,1/(单次交易!$A$2:$A$163=B477),单次交易!$B$2:$B$163),""))</f>
        <v/>
      </c>
      <c r="D477" s="12"/>
      <c r="E477" s="10"/>
      <c r="F477" s="10"/>
      <c r="G477" s="2"/>
      <c r="H477" s="15"/>
      <c r="I477" s="10"/>
      <c r="J477" s="12"/>
      <c r="K477" s="2"/>
      <c r="L477" s="2"/>
      <c r="M477" s="2"/>
      <c r="N477" s="5" t="str">
        <f>IF(B477="","",IFERROR(LOOKUP(2,1/(单次交易!$A$2:$A$163=B477),单次交易!$N$2:$N$163),""))</f>
        <v/>
      </c>
      <c r="O477" s="5" t="str">
        <f t="shared" si="72"/>
        <v/>
      </c>
      <c r="P477" s="11" t="str">
        <f t="shared" si="73"/>
        <v/>
      </c>
      <c r="Q477" s="5" t="str">
        <f t="shared" si="74"/>
        <v/>
      </c>
      <c r="R477" s="10"/>
      <c r="S477" s="5" t="str">
        <f t="shared" si="75"/>
        <v/>
      </c>
      <c r="T477" s="5" t="str">
        <f t="shared" si="76"/>
        <v/>
      </c>
      <c r="U477" s="5" t="str">
        <f t="shared" si="77"/>
        <v/>
      </c>
      <c r="V477" s="7" t="str">
        <f t="shared" si="78"/>
        <v/>
      </c>
      <c r="W477" s="8" t="str">
        <f t="shared" si="79"/>
        <v/>
      </c>
      <c r="X477" s="2"/>
      <c r="Y477" s="10"/>
      <c r="Z477" s="11" t="str">
        <f>IF(X477&lt;&gt;"执行卖出","",IFERROR(LOOKUP(2,1/(单次交易!$A$2:$A$163=B477),单次交易!$AP$2:$AP$163),""))</f>
        <v/>
      </c>
      <c r="AA477" s="10"/>
      <c r="AB477" s="8" t="str">
        <f t="shared" si="80"/>
        <v/>
      </c>
      <c r="AC477" s="8" t="str">
        <f>IF(A477="","",IF(A477="止损计划",IF(OR(B477="",D477="",E477="",F477="",G477=""),"计划不完整",IF(OR(D477&lt;1,D477&lt;&gt;INT(D477)),"阶段序号无效",IF(COUNTIFS($A$2:$A$497,"止损计划",$B$2:$B$497,B477,$D$2:$D$497,D477)&gt;1,"阶段序号重复",IF(E477&lt;=IFERROR(LOOKUP(2,1/(单次交易!$A$2:$A$163=B477),单次交易!$E$2:$E$163),0),"激活价须高于买入价",IF(F477&lt;N477,"止损价不得低于初始止损",IF(F477&gt;E477,"止损价不得高于激活价",IF(AND(COUNTIFS($A$2:$A$497,"止损计划",$B$2:$B$497,B477,$D$2:$D$497,"&lt;"&amp;D477)&gt;0,OR(E477&lt;=SUMPRODUCT(MAX((($A$2:$A$497="止损计划")*($B$2:$B$497=B477)*($D$2:$D$497&lt;D477))*$E$2:$E$497)),F477&lt;SUMPRODUCT(MAX((($A$2:$A$497="止损计划")*($B$2:$B$497=B477)*($D$2:$D$497&lt;D477))*$F$2:$F$497)))),"阶段价格必须逐级提高","计划有效"))))))),IF(A477="每日跟踪",IF(OR(B477="",H477="",I477="",J477=""),"每日数据不完整",IF(COUNTIFS($A$2:$A$497,"每日跟踪",$B$2:$B$497,B477,$H$2:$H$497,H477)&gt;1,"同一交易日期重复",IF(AND(R477&lt;&gt;"",R477&lt;S477),"人工止损无效：不能下调","跟踪有效"))),"记录类型无效")))</f>
        <v/>
      </c>
    </row>
    <row r="478" ht="17" spans="1:29">
      <c r="A478" s="2"/>
      <c r="B478" s="2"/>
      <c r="C478" s="8" t="str">
        <f>IF(B478="","",IFERROR(LOOKUP(2,1/(单次交易!$A$2:$A$163=B478),单次交易!$B$2:$B$163),""))</f>
        <v/>
      </c>
      <c r="D478" s="12"/>
      <c r="E478" s="10"/>
      <c r="F478" s="10"/>
      <c r="G478" s="2"/>
      <c r="H478" s="15"/>
      <c r="I478" s="10"/>
      <c r="J478" s="12"/>
      <c r="K478" s="2"/>
      <c r="L478" s="2"/>
      <c r="M478" s="2"/>
      <c r="N478" s="5" t="str">
        <f>IF(B478="","",IFERROR(LOOKUP(2,1/(单次交易!$A$2:$A$163=B478),单次交易!$N$2:$N$163),""))</f>
        <v/>
      </c>
      <c r="O478" s="5" t="str">
        <f t="shared" si="72"/>
        <v/>
      </c>
      <c r="P478" s="11" t="str">
        <f t="shared" si="73"/>
        <v/>
      </c>
      <c r="Q478" s="5" t="str">
        <f t="shared" si="74"/>
        <v/>
      </c>
      <c r="R478" s="10"/>
      <c r="S478" s="5" t="str">
        <f t="shared" si="75"/>
        <v/>
      </c>
      <c r="T478" s="5" t="str">
        <f t="shared" si="76"/>
        <v/>
      </c>
      <c r="U478" s="5" t="str">
        <f t="shared" si="77"/>
        <v/>
      </c>
      <c r="V478" s="7" t="str">
        <f t="shared" si="78"/>
        <v/>
      </c>
      <c r="W478" s="8" t="str">
        <f t="shared" si="79"/>
        <v/>
      </c>
      <c r="X478" s="2"/>
      <c r="Y478" s="10"/>
      <c r="Z478" s="11" t="str">
        <f>IF(X478&lt;&gt;"执行卖出","",IFERROR(LOOKUP(2,1/(单次交易!$A$2:$A$163=B478),单次交易!$AP$2:$AP$163),""))</f>
        <v/>
      </c>
      <c r="AA478" s="10"/>
      <c r="AB478" s="8" t="str">
        <f t="shared" si="80"/>
        <v/>
      </c>
      <c r="AC478" s="8" t="str">
        <f>IF(A478="","",IF(A478="止损计划",IF(OR(B478="",D478="",E478="",F478="",G478=""),"计划不完整",IF(OR(D478&lt;1,D478&lt;&gt;INT(D478)),"阶段序号无效",IF(COUNTIFS($A$2:$A$497,"止损计划",$B$2:$B$497,B478,$D$2:$D$497,D478)&gt;1,"阶段序号重复",IF(E478&lt;=IFERROR(LOOKUP(2,1/(单次交易!$A$2:$A$163=B478),单次交易!$E$2:$E$163),0),"激活价须高于买入价",IF(F478&lt;N478,"止损价不得低于初始止损",IF(F478&gt;E478,"止损价不得高于激活价",IF(AND(COUNTIFS($A$2:$A$497,"止损计划",$B$2:$B$497,B478,$D$2:$D$497,"&lt;"&amp;D478)&gt;0,OR(E478&lt;=SUMPRODUCT(MAX((($A$2:$A$497="止损计划")*($B$2:$B$497=B478)*($D$2:$D$497&lt;D478))*$E$2:$E$497)),F478&lt;SUMPRODUCT(MAX((($A$2:$A$497="止损计划")*($B$2:$B$497=B478)*($D$2:$D$497&lt;D478))*$F$2:$F$497)))),"阶段价格必须逐级提高","计划有效"))))))),IF(A478="每日跟踪",IF(OR(B478="",H478="",I478="",J478=""),"每日数据不完整",IF(COUNTIFS($A$2:$A$497,"每日跟踪",$B$2:$B$497,B478,$H$2:$H$497,H478)&gt;1,"同一交易日期重复",IF(AND(R478&lt;&gt;"",R478&lt;S478),"人工止损无效：不能下调","跟踪有效"))),"记录类型无效")))</f>
        <v/>
      </c>
    </row>
    <row r="479" ht="17" spans="1:29">
      <c r="A479" s="2"/>
      <c r="B479" s="2"/>
      <c r="C479" s="8" t="str">
        <f>IF(B479="","",IFERROR(LOOKUP(2,1/(单次交易!$A$2:$A$163=B479),单次交易!$B$2:$B$163),""))</f>
        <v/>
      </c>
      <c r="D479" s="12"/>
      <c r="E479" s="10"/>
      <c r="F479" s="10"/>
      <c r="G479" s="2"/>
      <c r="H479" s="15"/>
      <c r="I479" s="10"/>
      <c r="J479" s="12"/>
      <c r="K479" s="2"/>
      <c r="L479" s="2"/>
      <c r="M479" s="2"/>
      <c r="N479" s="5" t="str">
        <f>IF(B479="","",IFERROR(LOOKUP(2,1/(单次交易!$A$2:$A$163=B479),单次交易!$N$2:$N$163),""))</f>
        <v/>
      </c>
      <c r="O479" s="5" t="str">
        <f t="shared" si="72"/>
        <v/>
      </c>
      <c r="P479" s="11" t="str">
        <f t="shared" si="73"/>
        <v/>
      </c>
      <c r="Q479" s="5" t="str">
        <f t="shared" si="74"/>
        <v/>
      </c>
      <c r="R479" s="10"/>
      <c r="S479" s="5" t="str">
        <f t="shared" si="75"/>
        <v/>
      </c>
      <c r="T479" s="5" t="str">
        <f t="shared" si="76"/>
        <v/>
      </c>
      <c r="U479" s="5" t="str">
        <f t="shared" si="77"/>
        <v/>
      </c>
      <c r="V479" s="7" t="str">
        <f t="shared" si="78"/>
        <v/>
      </c>
      <c r="W479" s="8" t="str">
        <f t="shared" si="79"/>
        <v/>
      </c>
      <c r="X479" s="2"/>
      <c r="Y479" s="10"/>
      <c r="Z479" s="11" t="str">
        <f>IF(X479&lt;&gt;"执行卖出","",IFERROR(LOOKUP(2,1/(单次交易!$A$2:$A$163=B479),单次交易!$AP$2:$AP$163),""))</f>
        <v/>
      </c>
      <c r="AA479" s="10"/>
      <c r="AB479" s="8" t="str">
        <f t="shared" si="80"/>
        <v/>
      </c>
      <c r="AC479" s="8" t="str">
        <f>IF(A479="","",IF(A479="止损计划",IF(OR(B479="",D479="",E479="",F479="",G479=""),"计划不完整",IF(OR(D479&lt;1,D479&lt;&gt;INT(D479)),"阶段序号无效",IF(COUNTIFS($A$2:$A$497,"止损计划",$B$2:$B$497,B479,$D$2:$D$497,D479)&gt;1,"阶段序号重复",IF(E479&lt;=IFERROR(LOOKUP(2,1/(单次交易!$A$2:$A$163=B479),单次交易!$E$2:$E$163),0),"激活价须高于买入价",IF(F479&lt;N479,"止损价不得低于初始止损",IF(F479&gt;E479,"止损价不得高于激活价",IF(AND(COUNTIFS($A$2:$A$497,"止损计划",$B$2:$B$497,B479,$D$2:$D$497,"&lt;"&amp;D479)&gt;0,OR(E479&lt;=SUMPRODUCT(MAX((($A$2:$A$497="止损计划")*($B$2:$B$497=B479)*($D$2:$D$497&lt;D479))*$E$2:$E$497)),F479&lt;SUMPRODUCT(MAX((($A$2:$A$497="止损计划")*($B$2:$B$497=B479)*($D$2:$D$497&lt;D479))*$F$2:$F$497)))),"阶段价格必须逐级提高","计划有效"))))))),IF(A479="每日跟踪",IF(OR(B479="",H479="",I479="",J479=""),"每日数据不完整",IF(COUNTIFS($A$2:$A$497,"每日跟踪",$B$2:$B$497,B479,$H$2:$H$497,H479)&gt;1,"同一交易日期重复",IF(AND(R479&lt;&gt;"",R479&lt;S479),"人工止损无效：不能下调","跟踪有效"))),"记录类型无效")))</f>
        <v/>
      </c>
    </row>
    <row r="480" ht="17" spans="1:29">
      <c r="A480" s="2"/>
      <c r="B480" s="2"/>
      <c r="C480" s="8" t="str">
        <f>IF(B480="","",IFERROR(LOOKUP(2,1/(单次交易!$A$2:$A$163=B480),单次交易!$B$2:$B$163),""))</f>
        <v/>
      </c>
      <c r="D480" s="12"/>
      <c r="E480" s="10"/>
      <c r="F480" s="10"/>
      <c r="G480" s="2"/>
      <c r="H480" s="15"/>
      <c r="I480" s="10"/>
      <c r="J480" s="12"/>
      <c r="K480" s="2"/>
      <c r="L480" s="2"/>
      <c r="M480" s="2"/>
      <c r="N480" s="5" t="str">
        <f>IF(B480="","",IFERROR(LOOKUP(2,1/(单次交易!$A$2:$A$163=B480),单次交易!$N$2:$N$163),""))</f>
        <v/>
      </c>
      <c r="O480" s="5" t="str">
        <f t="shared" si="72"/>
        <v/>
      </c>
      <c r="P480" s="11" t="str">
        <f t="shared" si="73"/>
        <v/>
      </c>
      <c r="Q480" s="5" t="str">
        <f t="shared" si="74"/>
        <v/>
      </c>
      <c r="R480" s="10"/>
      <c r="S480" s="5" t="str">
        <f t="shared" si="75"/>
        <v/>
      </c>
      <c r="T480" s="5" t="str">
        <f t="shared" si="76"/>
        <v/>
      </c>
      <c r="U480" s="5" t="str">
        <f t="shared" si="77"/>
        <v/>
      </c>
      <c r="V480" s="7" t="str">
        <f t="shared" si="78"/>
        <v/>
      </c>
      <c r="W480" s="8" t="str">
        <f t="shared" si="79"/>
        <v/>
      </c>
      <c r="X480" s="2"/>
      <c r="Y480" s="10"/>
      <c r="Z480" s="11" t="str">
        <f>IF(X480&lt;&gt;"执行卖出","",IFERROR(LOOKUP(2,1/(单次交易!$A$2:$A$163=B480),单次交易!$AP$2:$AP$163),""))</f>
        <v/>
      </c>
      <c r="AA480" s="10"/>
      <c r="AB480" s="8" t="str">
        <f t="shared" si="80"/>
        <v/>
      </c>
      <c r="AC480" s="8" t="str">
        <f>IF(A480="","",IF(A480="止损计划",IF(OR(B480="",D480="",E480="",F480="",G480=""),"计划不完整",IF(OR(D480&lt;1,D480&lt;&gt;INT(D480)),"阶段序号无效",IF(COUNTIFS($A$2:$A$497,"止损计划",$B$2:$B$497,B480,$D$2:$D$497,D480)&gt;1,"阶段序号重复",IF(E480&lt;=IFERROR(LOOKUP(2,1/(单次交易!$A$2:$A$163=B480),单次交易!$E$2:$E$163),0),"激活价须高于买入价",IF(F480&lt;N480,"止损价不得低于初始止损",IF(F480&gt;E480,"止损价不得高于激活价",IF(AND(COUNTIFS($A$2:$A$497,"止损计划",$B$2:$B$497,B480,$D$2:$D$497,"&lt;"&amp;D480)&gt;0,OR(E480&lt;=SUMPRODUCT(MAX((($A$2:$A$497="止损计划")*($B$2:$B$497=B480)*($D$2:$D$497&lt;D480))*$E$2:$E$497)),F480&lt;SUMPRODUCT(MAX((($A$2:$A$497="止损计划")*($B$2:$B$497=B480)*($D$2:$D$497&lt;D480))*$F$2:$F$497)))),"阶段价格必须逐级提高","计划有效"))))))),IF(A480="每日跟踪",IF(OR(B480="",H480="",I480="",J480=""),"每日数据不完整",IF(COUNTIFS($A$2:$A$497,"每日跟踪",$B$2:$B$497,B480,$H$2:$H$497,H480)&gt;1,"同一交易日期重复",IF(AND(R480&lt;&gt;"",R480&lt;S480),"人工止损无效：不能下调","跟踪有效"))),"记录类型无效")))</f>
        <v/>
      </c>
    </row>
    <row r="481" ht="17" spans="1:29">
      <c r="A481" s="2"/>
      <c r="B481" s="2"/>
      <c r="C481" s="8" t="str">
        <f>IF(B481="","",IFERROR(LOOKUP(2,1/(单次交易!$A$2:$A$163=B481),单次交易!$B$2:$B$163),""))</f>
        <v/>
      </c>
      <c r="D481" s="12"/>
      <c r="E481" s="10"/>
      <c r="F481" s="10"/>
      <c r="G481" s="2"/>
      <c r="H481" s="15"/>
      <c r="I481" s="10"/>
      <c r="J481" s="12"/>
      <c r="K481" s="2"/>
      <c r="L481" s="2"/>
      <c r="M481" s="2"/>
      <c r="N481" s="5" t="str">
        <f>IF(B481="","",IFERROR(LOOKUP(2,1/(单次交易!$A$2:$A$163=B481),单次交易!$N$2:$N$163),""))</f>
        <v/>
      </c>
      <c r="O481" s="5" t="str">
        <f t="shared" si="72"/>
        <v/>
      </c>
      <c r="P481" s="11" t="str">
        <f t="shared" si="73"/>
        <v/>
      </c>
      <c r="Q481" s="5" t="str">
        <f t="shared" si="74"/>
        <v/>
      </c>
      <c r="R481" s="10"/>
      <c r="S481" s="5" t="str">
        <f t="shared" si="75"/>
        <v/>
      </c>
      <c r="T481" s="5" t="str">
        <f t="shared" si="76"/>
        <v/>
      </c>
      <c r="U481" s="5" t="str">
        <f t="shared" si="77"/>
        <v/>
      </c>
      <c r="V481" s="7" t="str">
        <f t="shared" si="78"/>
        <v/>
      </c>
      <c r="W481" s="8" t="str">
        <f t="shared" si="79"/>
        <v/>
      </c>
      <c r="X481" s="2"/>
      <c r="Y481" s="10"/>
      <c r="Z481" s="11" t="str">
        <f>IF(X481&lt;&gt;"执行卖出","",IFERROR(LOOKUP(2,1/(单次交易!$A$2:$A$163=B481),单次交易!$AP$2:$AP$163),""))</f>
        <v/>
      </c>
      <c r="AA481" s="10"/>
      <c r="AB481" s="8" t="str">
        <f t="shared" si="80"/>
        <v/>
      </c>
      <c r="AC481" s="8" t="str">
        <f>IF(A481="","",IF(A481="止损计划",IF(OR(B481="",D481="",E481="",F481="",G481=""),"计划不完整",IF(OR(D481&lt;1,D481&lt;&gt;INT(D481)),"阶段序号无效",IF(COUNTIFS($A$2:$A$497,"止损计划",$B$2:$B$497,B481,$D$2:$D$497,D481)&gt;1,"阶段序号重复",IF(E481&lt;=IFERROR(LOOKUP(2,1/(单次交易!$A$2:$A$163=B481),单次交易!$E$2:$E$163),0),"激活价须高于买入价",IF(F481&lt;N481,"止损价不得低于初始止损",IF(F481&gt;E481,"止损价不得高于激活价",IF(AND(COUNTIFS($A$2:$A$497,"止损计划",$B$2:$B$497,B481,$D$2:$D$497,"&lt;"&amp;D481)&gt;0,OR(E481&lt;=SUMPRODUCT(MAX((($A$2:$A$497="止损计划")*($B$2:$B$497=B481)*($D$2:$D$497&lt;D481))*$E$2:$E$497)),F481&lt;SUMPRODUCT(MAX((($A$2:$A$497="止损计划")*($B$2:$B$497=B481)*($D$2:$D$497&lt;D481))*$F$2:$F$497)))),"阶段价格必须逐级提高","计划有效"))))))),IF(A481="每日跟踪",IF(OR(B481="",H481="",I481="",J481=""),"每日数据不完整",IF(COUNTIFS($A$2:$A$497,"每日跟踪",$B$2:$B$497,B481,$H$2:$H$497,H481)&gt;1,"同一交易日期重复",IF(AND(R481&lt;&gt;"",R481&lt;S481),"人工止损无效：不能下调","跟踪有效"))),"记录类型无效")))</f>
        <v/>
      </c>
    </row>
    <row r="482" ht="17" spans="1:29">
      <c r="A482" s="2"/>
      <c r="B482" s="2"/>
      <c r="C482" s="8" t="str">
        <f>IF(B482="","",IFERROR(LOOKUP(2,1/(单次交易!$A$2:$A$163=B482),单次交易!$B$2:$B$163),""))</f>
        <v/>
      </c>
      <c r="D482" s="12"/>
      <c r="E482" s="10"/>
      <c r="F482" s="10"/>
      <c r="G482" s="2"/>
      <c r="H482" s="15"/>
      <c r="I482" s="10"/>
      <c r="J482" s="12"/>
      <c r="K482" s="2"/>
      <c r="L482" s="2"/>
      <c r="M482" s="2"/>
      <c r="N482" s="5" t="str">
        <f>IF(B482="","",IFERROR(LOOKUP(2,1/(单次交易!$A$2:$A$163=B482),单次交易!$N$2:$N$163),""))</f>
        <v/>
      </c>
      <c r="O482" s="5" t="str">
        <f t="shared" si="72"/>
        <v/>
      </c>
      <c r="P482" s="11" t="str">
        <f t="shared" si="73"/>
        <v/>
      </c>
      <c r="Q482" s="5" t="str">
        <f t="shared" si="74"/>
        <v/>
      </c>
      <c r="R482" s="10"/>
      <c r="S482" s="5" t="str">
        <f t="shared" si="75"/>
        <v/>
      </c>
      <c r="T482" s="5" t="str">
        <f t="shared" si="76"/>
        <v/>
      </c>
      <c r="U482" s="5" t="str">
        <f t="shared" si="77"/>
        <v/>
      </c>
      <c r="V482" s="7" t="str">
        <f t="shared" si="78"/>
        <v/>
      </c>
      <c r="W482" s="8" t="str">
        <f t="shared" si="79"/>
        <v/>
      </c>
      <c r="X482" s="2"/>
      <c r="Y482" s="10"/>
      <c r="Z482" s="11" t="str">
        <f>IF(X482&lt;&gt;"执行卖出","",IFERROR(LOOKUP(2,1/(单次交易!$A$2:$A$163=B482),单次交易!$AP$2:$AP$163),""))</f>
        <v/>
      </c>
      <c r="AA482" s="10"/>
      <c r="AB482" s="8" t="str">
        <f t="shared" si="80"/>
        <v/>
      </c>
      <c r="AC482" s="8" t="str">
        <f>IF(A482="","",IF(A482="止损计划",IF(OR(B482="",D482="",E482="",F482="",G482=""),"计划不完整",IF(OR(D482&lt;1,D482&lt;&gt;INT(D482)),"阶段序号无效",IF(COUNTIFS($A$2:$A$497,"止损计划",$B$2:$B$497,B482,$D$2:$D$497,D482)&gt;1,"阶段序号重复",IF(E482&lt;=IFERROR(LOOKUP(2,1/(单次交易!$A$2:$A$163=B482),单次交易!$E$2:$E$163),0),"激活价须高于买入价",IF(F482&lt;N482,"止损价不得低于初始止损",IF(F482&gt;E482,"止损价不得高于激活价",IF(AND(COUNTIFS($A$2:$A$497,"止损计划",$B$2:$B$497,B482,$D$2:$D$497,"&lt;"&amp;D482)&gt;0,OR(E482&lt;=SUMPRODUCT(MAX((($A$2:$A$497="止损计划")*($B$2:$B$497=B482)*($D$2:$D$497&lt;D482))*$E$2:$E$497)),F482&lt;SUMPRODUCT(MAX((($A$2:$A$497="止损计划")*($B$2:$B$497=B482)*($D$2:$D$497&lt;D482))*$F$2:$F$497)))),"阶段价格必须逐级提高","计划有效"))))))),IF(A482="每日跟踪",IF(OR(B482="",H482="",I482="",J482=""),"每日数据不完整",IF(COUNTIFS($A$2:$A$497,"每日跟踪",$B$2:$B$497,B482,$H$2:$H$497,H482)&gt;1,"同一交易日期重复",IF(AND(R482&lt;&gt;"",R482&lt;S482),"人工止损无效：不能下调","跟踪有效"))),"记录类型无效")))</f>
        <v/>
      </c>
    </row>
    <row r="483" ht="17" spans="1:29">
      <c r="A483" s="2"/>
      <c r="B483" s="2"/>
      <c r="C483" s="8" t="str">
        <f>IF(B483="","",IFERROR(LOOKUP(2,1/(单次交易!$A$2:$A$163=B483),单次交易!$B$2:$B$163),""))</f>
        <v/>
      </c>
      <c r="D483" s="12"/>
      <c r="E483" s="10"/>
      <c r="F483" s="10"/>
      <c r="G483" s="2"/>
      <c r="H483" s="15"/>
      <c r="I483" s="10"/>
      <c r="J483" s="12"/>
      <c r="K483" s="2"/>
      <c r="L483" s="2"/>
      <c r="M483" s="2"/>
      <c r="N483" s="5" t="str">
        <f>IF(B483="","",IFERROR(LOOKUP(2,1/(单次交易!$A$2:$A$163=B483),单次交易!$N$2:$N$163),""))</f>
        <v/>
      </c>
      <c r="O483" s="5" t="str">
        <f t="shared" si="72"/>
        <v/>
      </c>
      <c r="P483" s="11" t="str">
        <f t="shared" si="73"/>
        <v/>
      </c>
      <c r="Q483" s="5" t="str">
        <f t="shared" si="74"/>
        <v/>
      </c>
      <c r="R483" s="10"/>
      <c r="S483" s="5" t="str">
        <f t="shared" si="75"/>
        <v/>
      </c>
      <c r="T483" s="5" t="str">
        <f t="shared" si="76"/>
        <v/>
      </c>
      <c r="U483" s="5" t="str">
        <f t="shared" si="77"/>
        <v/>
      </c>
      <c r="V483" s="7" t="str">
        <f t="shared" si="78"/>
        <v/>
      </c>
      <c r="W483" s="8" t="str">
        <f t="shared" si="79"/>
        <v/>
      </c>
      <c r="X483" s="2"/>
      <c r="Y483" s="10"/>
      <c r="Z483" s="11" t="str">
        <f>IF(X483&lt;&gt;"执行卖出","",IFERROR(LOOKUP(2,1/(单次交易!$A$2:$A$163=B483),单次交易!$AP$2:$AP$163),""))</f>
        <v/>
      </c>
      <c r="AA483" s="10"/>
      <c r="AB483" s="8" t="str">
        <f t="shared" si="80"/>
        <v/>
      </c>
      <c r="AC483" s="8" t="str">
        <f>IF(A483="","",IF(A483="止损计划",IF(OR(B483="",D483="",E483="",F483="",G483=""),"计划不完整",IF(OR(D483&lt;1,D483&lt;&gt;INT(D483)),"阶段序号无效",IF(COUNTIFS($A$2:$A$497,"止损计划",$B$2:$B$497,B483,$D$2:$D$497,D483)&gt;1,"阶段序号重复",IF(E483&lt;=IFERROR(LOOKUP(2,1/(单次交易!$A$2:$A$163=B483),单次交易!$E$2:$E$163),0),"激活价须高于买入价",IF(F483&lt;N483,"止损价不得低于初始止损",IF(F483&gt;E483,"止损价不得高于激活价",IF(AND(COUNTIFS($A$2:$A$497,"止损计划",$B$2:$B$497,B483,$D$2:$D$497,"&lt;"&amp;D483)&gt;0,OR(E483&lt;=SUMPRODUCT(MAX((($A$2:$A$497="止损计划")*($B$2:$B$497=B483)*($D$2:$D$497&lt;D483))*$E$2:$E$497)),F483&lt;SUMPRODUCT(MAX((($A$2:$A$497="止损计划")*($B$2:$B$497=B483)*($D$2:$D$497&lt;D483))*$F$2:$F$497)))),"阶段价格必须逐级提高","计划有效"))))))),IF(A483="每日跟踪",IF(OR(B483="",H483="",I483="",J483=""),"每日数据不完整",IF(COUNTIFS($A$2:$A$497,"每日跟踪",$B$2:$B$497,B483,$H$2:$H$497,H483)&gt;1,"同一交易日期重复",IF(AND(R483&lt;&gt;"",R483&lt;S483),"人工止损无效：不能下调","跟踪有效"))),"记录类型无效")))</f>
        <v/>
      </c>
    </row>
    <row r="484" ht="17" spans="1:29">
      <c r="A484" s="2"/>
      <c r="B484" s="2"/>
      <c r="C484" s="8" t="str">
        <f>IF(B484="","",IFERROR(LOOKUP(2,1/(单次交易!$A$2:$A$163=B484),单次交易!$B$2:$B$163),""))</f>
        <v/>
      </c>
      <c r="D484" s="12"/>
      <c r="E484" s="10"/>
      <c r="F484" s="10"/>
      <c r="G484" s="2"/>
      <c r="H484" s="15"/>
      <c r="I484" s="10"/>
      <c r="J484" s="12"/>
      <c r="K484" s="2"/>
      <c r="L484" s="2"/>
      <c r="M484" s="2"/>
      <c r="N484" s="5" t="str">
        <f>IF(B484="","",IFERROR(LOOKUP(2,1/(单次交易!$A$2:$A$163=B484),单次交易!$N$2:$N$163),""))</f>
        <v/>
      </c>
      <c r="O484" s="5" t="str">
        <f t="shared" si="72"/>
        <v/>
      </c>
      <c r="P484" s="11" t="str">
        <f t="shared" si="73"/>
        <v/>
      </c>
      <c r="Q484" s="5" t="str">
        <f t="shared" si="74"/>
        <v/>
      </c>
      <c r="R484" s="10"/>
      <c r="S484" s="5" t="str">
        <f t="shared" si="75"/>
        <v/>
      </c>
      <c r="T484" s="5" t="str">
        <f t="shared" si="76"/>
        <v/>
      </c>
      <c r="U484" s="5" t="str">
        <f t="shared" si="77"/>
        <v/>
      </c>
      <c r="V484" s="7" t="str">
        <f t="shared" si="78"/>
        <v/>
      </c>
      <c r="W484" s="8" t="str">
        <f t="shared" si="79"/>
        <v/>
      </c>
      <c r="X484" s="2"/>
      <c r="Y484" s="10"/>
      <c r="Z484" s="11" t="str">
        <f>IF(X484&lt;&gt;"执行卖出","",IFERROR(LOOKUP(2,1/(单次交易!$A$2:$A$163=B484),单次交易!$AP$2:$AP$163),""))</f>
        <v/>
      </c>
      <c r="AA484" s="10"/>
      <c r="AB484" s="8" t="str">
        <f t="shared" si="80"/>
        <v/>
      </c>
      <c r="AC484" s="8" t="str">
        <f>IF(A484="","",IF(A484="止损计划",IF(OR(B484="",D484="",E484="",F484="",G484=""),"计划不完整",IF(OR(D484&lt;1,D484&lt;&gt;INT(D484)),"阶段序号无效",IF(COUNTIFS($A$2:$A$497,"止损计划",$B$2:$B$497,B484,$D$2:$D$497,D484)&gt;1,"阶段序号重复",IF(E484&lt;=IFERROR(LOOKUP(2,1/(单次交易!$A$2:$A$163=B484),单次交易!$E$2:$E$163),0),"激活价须高于买入价",IF(F484&lt;N484,"止损价不得低于初始止损",IF(F484&gt;E484,"止损价不得高于激活价",IF(AND(COUNTIFS($A$2:$A$497,"止损计划",$B$2:$B$497,B484,$D$2:$D$497,"&lt;"&amp;D484)&gt;0,OR(E484&lt;=SUMPRODUCT(MAX((($A$2:$A$497="止损计划")*($B$2:$B$497=B484)*($D$2:$D$497&lt;D484))*$E$2:$E$497)),F484&lt;SUMPRODUCT(MAX((($A$2:$A$497="止损计划")*($B$2:$B$497=B484)*($D$2:$D$497&lt;D484))*$F$2:$F$497)))),"阶段价格必须逐级提高","计划有效"))))))),IF(A484="每日跟踪",IF(OR(B484="",H484="",I484="",J484=""),"每日数据不完整",IF(COUNTIFS($A$2:$A$497,"每日跟踪",$B$2:$B$497,B484,$H$2:$H$497,H484)&gt;1,"同一交易日期重复",IF(AND(R484&lt;&gt;"",R484&lt;S484),"人工止损无效：不能下调","跟踪有效"))),"记录类型无效")))</f>
        <v/>
      </c>
    </row>
    <row r="485" ht="17" spans="1:29">
      <c r="A485" s="2"/>
      <c r="B485" s="2"/>
      <c r="C485" s="8" t="str">
        <f>IF(B485="","",IFERROR(LOOKUP(2,1/(单次交易!$A$2:$A$163=B485),单次交易!$B$2:$B$163),""))</f>
        <v/>
      </c>
      <c r="D485" s="12"/>
      <c r="E485" s="10"/>
      <c r="F485" s="10"/>
      <c r="G485" s="2"/>
      <c r="H485" s="15"/>
      <c r="I485" s="10"/>
      <c r="J485" s="12"/>
      <c r="K485" s="2"/>
      <c r="L485" s="2"/>
      <c r="M485" s="2"/>
      <c r="N485" s="5" t="str">
        <f>IF(B485="","",IFERROR(LOOKUP(2,1/(单次交易!$A$2:$A$163=B485),单次交易!$N$2:$N$163),""))</f>
        <v/>
      </c>
      <c r="O485" s="5" t="str">
        <f t="shared" si="72"/>
        <v/>
      </c>
      <c r="P485" s="11" t="str">
        <f t="shared" si="73"/>
        <v/>
      </c>
      <c r="Q485" s="5" t="str">
        <f t="shared" si="74"/>
        <v/>
      </c>
      <c r="R485" s="10"/>
      <c r="S485" s="5" t="str">
        <f t="shared" si="75"/>
        <v/>
      </c>
      <c r="T485" s="5" t="str">
        <f t="shared" si="76"/>
        <v/>
      </c>
      <c r="U485" s="5" t="str">
        <f t="shared" si="77"/>
        <v/>
      </c>
      <c r="V485" s="7" t="str">
        <f t="shared" si="78"/>
        <v/>
      </c>
      <c r="W485" s="8" t="str">
        <f t="shared" si="79"/>
        <v/>
      </c>
      <c r="X485" s="2"/>
      <c r="Y485" s="10"/>
      <c r="Z485" s="11" t="str">
        <f>IF(X485&lt;&gt;"执行卖出","",IFERROR(LOOKUP(2,1/(单次交易!$A$2:$A$163=B485),单次交易!$AP$2:$AP$163),""))</f>
        <v/>
      </c>
      <c r="AA485" s="10"/>
      <c r="AB485" s="8" t="str">
        <f t="shared" si="80"/>
        <v/>
      </c>
      <c r="AC485" s="8" t="str">
        <f>IF(A485="","",IF(A485="止损计划",IF(OR(B485="",D485="",E485="",F485="",G485=""),"计划不完整",IF(OR(D485&lt;1,D485&lt;&gt;INT(D485)),"阶段序号无效",IF(COUNTIFS($A$2:$A$497,"止损计划",$B$2:$B$497,B485,$D$2:$D$497,D485)&gt;1,"阶段序号重复",IF(E485&lt;=IFERROR(LOOKUP(2,1/(单次交易!$A$2:$A$163=B485),单次交易!$E$2:$E$163),0),"激活价须高于买入价",IF(F485&lt;N485,"止损价不得低于初始止损",IF(F485&gt;E485,"止损价不得高于激活价",IF(AND(COUNTIFS($A$2:$A$497,"止损计划",$B$2:$B$497,B485,$D$2:$D$497,"&lt;"&amp;D485)&gt;0,OR(E485&lt;=SUMPRODUCT(MAX((($A$2:$A$497="止损计划")*($B$2:$B$497=B485)*($D$2:$D$497&lt;D485))*$E$2:$E$497)),F485&lt;SUMPRODUCT(MAX((($A$2:$A$497="止损计划")*($B$2:$B$497=B485)*($D$2:$D$497&lt;D485))*$F$2:$F$497)))),"阶段价格必须逐级提高","计划有效"))))))),IF(A485="每日跟踪",IF(OR(B485="",H485="",I485="",J485=""),"每日数据不完整",IF(COUNTIFS($A$2:$A$497,"每日跟踪",$B$2:$B$497,B485,$H$2:$H$497,H485)&gt;1,"同一交易日期重复",IF(AND(R485&lt;&gt;"",R485&lt;S485),"人工止损无效：不能下调","跟踪有效"))),"记录类型无效")))</f>
        <v/>
      </c>
    </row>
    <row r="486" ht="17" spans="1:29">
      <c r="A486" s="2"/>
      <c r="B486" s="2"/>
      <c r="C486" s="8" t="str">
        <f>IF(B486="","",IFERROR(LOOKUP(2,1/(单次交易!$A$2:$A$163=B486),单次交易!$B$2:$B$163),""))</f>
        <v/>
      </c>
      <c r="D486" s="12"/>
      <c r="E486" s="10"/>
      <c r="F486" s="10"/>
      <c r="G486" s="2"/>
      <c r="H486" s="15"/>
      <c r="I486" s="10"/>
      <c r="J486" s="12"/>
      <c r="K486" s="2"/>
      <c r="L486" s="2"/>
      <c r="M486" s="2"/>
      <c r="N486" s="5" t="str">
        <f>IF(B486="","",IFERROR(LOOKUP(2,1/(单次交易!$A$2:$A$163=B486),单次交易!$N$2:$N$163),""))</f>
        <v/>
      </c>
      <c r="O486" s="5" t="str">
        <f t="shared" si="72"/>
        <v/>
      </c>
      <c r="P486" s="11" t="str">
        <f t="shared" si="73"/>
        <v/>
      </c>
      <c r="Q486" s="5" t="str">
        <f t="shared" si="74"/>
        <v/>
      </c>
      <c r="R486" s="10"/>
      <c r="S486" s="5" t="str">
        <f t="shared" si="75"/>
        <v/>
      </c>
      <c r="T486" s="5" t="str">
        <f t="shared" si="76"/>
        <v/>
      </c>
      <c r="U486" s="5" t="str">
        <f t="shared" si="77"/>
        <v/>
      </c>
      <c r="V486" s="7" t="str">
        <f t="shared" si="78"/>
        <v/>
      </c>
      <c r="W486" s="8" t="str">
        <f t="shared" si="79"/>
        <v/>
      </c>
      <c r="X486" s="2"/>
      <c r="Y486" s="10"/>
      <c r="Z486" s="11" t="str">
        <f>IF(X486&lt;&gt;"执行卖出","",IFERROR(LOOKUP(2,1/(单次交易!$A$2:$A$163=B486),单次交易!$AP$2:$AP$163),""))</f>
        <v/>
      </c>
      <c r="AA486" s="10"/>
      <c r="AB486" s="8" t="str">
        <f t="shared" si="80"/>
        <v/>
      </c>
      <c r="AC486" s="8" t="str">
        <f>IF(A486="","",IF(A486="止损计划",IF(OR(B486="",D486="",E486="",F486="",G486=""),"计划不完整",IF(OR(D486&lt;1,D486&lt;&gt;INT(D486)),"阶段序号无效",IF(COUNTIFS($A$2:$A$497,"止损计划",$B$2:$B$497,B486,$D$2:$D$497,D486)&gt;1,"阶段序号重复",IF(E486&lt;=IFERROR(LOOKUP(2,1/(单次交易!$A$2:$A$163=B486),单次交易!$E$2:$E$163),0),"激活价须高于买入价",IF(F486&lt;N486,"止损价不得低于初始止损",IF(F486&gt;E486,"止损价不得高于激活价",IF(AND(COUNTIFS($A$2:$A$497,"止损计划",$B$2:$B$497,B486,$D$2:$D$497,"&lt;"&amp;D486)&gt;0,OR(E486&lt;=SUMPRODUCT(MAX((($A$2:$A$497="止损计划")*($B$2:$B$497=B486)*($D$2:$D$497&lt;D486))*$E$2:$E$497)),F486&lt;SUMPRODUCT(MAX((($A$2:$A$497="止损计划")*($B$2:$B$497=B486)*($D$2:$D$497&lt;D486))*$F$2:$F$497)))),"阶段价格必须逐级提高","计划有效"))))))),IF(A486="每日跟踪",IF(OR(B486="",H486="",I486="",J486=""),"每日数据不完整",IF(COUNTIFS($A$2:$A$497,"每日跟踪",$B$2:$B$497,B486,$H$2:$H$497,H486)&gt;1,"同一交易日期重复",IF(AND(R486&lt;&gt;"",R486&lt;S486),"人工止损无效：不能下调","跟踪有效"))),"记录类型无效")))</f>
        <v/>
      </c>
    </row>
    <row r="487" ht="17" spans="1:29">
      <c r="A487" s="2"/>
      <c r="B487" s="2"/>
      <c r="C487" s="8" t="str">
        <f>IF(B487="","",IFERROR(LOOKUP(2,1/(单次交易!$A$2:$A$163=B487),单次交易!$B$2:$B$163),""))</f>
        <v/>
      </c>
      <c r="D487" s="12"/>
      <c r="E487" s="10"/>
      <c r="F487" s="10"/>
      <c r="G487" s="2"/>
      <c r="H487" s="15"/>
      <c r="I487" s="10"/>
      <c r="J487" s="12"/>
      <c r="K487" s="2"/>
      <c r="L487" s="2"/>
      <c r="M487" s="2"/>
      <c r="N487" s="5" t="str">
        <f>IF(B487="","",IFERROR(LOOKUP(2,1/(单次交易!$A$2:$A$163=B487),单次交易!$N$2:$N$163),""))</f>
        <v/>
      </c>
      <c r="O487" s="5" t="str">
        <f t="shared" si="72"/>
        <v/>
      </c>
      <c r="P487" s="11" t="str">
        <f t="shared" si="73"/>
        <v/>
      </c>
      <c r="Q487" s="5" t="str">
        <f t="shared" si="74"/>
        <v/>
      </c>
      <c r="R487" s="10"/>
      <c r="S487" s="5" t="str">
        <f t="shared" si="75"/>
        <v/>
      </c>
      <c r="T487" s="5" t="str">
        <f t="shared" si="76"/>
        <v/>
      </c>
      <c r="U487" s="5" t="str">
        <f t="shared" si="77"/>
        <v/>
      </c>
      <c r="V487" s="7" t="str">
        <f t="shared" si="78"/>
        <v/>
      </c>
      <c r="W487" s="8" t="str">
        <f t="shared" si="79"/>
        <v/>
      </c>
      <c r="X487" s="2"/>
      <c r="Y487" s="10"/>
      <c r="Z487" s="11" t="str">
        <f>IF(X487&lt;&gt;"执行卖出","",IFERROR(LOOKUP(2,1/(单次交易!$A$2:$A$163=B487),单次交易!$AP$2:$AP$163),""))</f>
        <v/>
      </c>
      <c r="AA487" s="10"/>
      <c r="AB487" s="8" t="str">
        <f t="shared" si="80"/>
        <v/>
      </c>
      <c r="AC487" s="8" t="str">
        <f>IF(A487="","",IF(A487="止损计划",IF(OR(B487="",D487="",E487="",F487="",G487=""),"计划不完整",IF(OR(D487&lt;1,D487&lt;&gt;INT(D487)),"阶段序号无效",IF(COUNTIFS($A$2:$A$497,"止损计划",$B$2:$B$497,B487,$D$2:$D$497,D487)&gt;1,"阶段序号重复",IF(E487&lt;=IFERROR(LOOKUP(2,1/(单次交易!$A$2:$A$163=B487),单次交易!$E$2:$E$163),0),"激活价须高于买入价",IF(F487&lt;N487,"止损价不得低于初始止损",IF(F487&gt;E487,"止损价不得高于激活价",IF(AND(COUNTIFS($A$2:$A$497,"止损计划",$B$2:$B$497,B487,$D$2:$D$497,"&lt;"&amp;D487)&gt;0,OR(E487&lt;=SUMPRODUCT(MAX((($A$2:$A$497="止损计划")*($B$2:$B$497=B487)*($D$2:$D$497&lt;D487))*$E$2:$E$497)),F487&lt;SUMPRODUCT(MAX((($A$2:$A$497="止损计划")*($B$2:$B$497=B487)*($D$2:$D$497&lt;D487))*$F$2:$F$497)))),"阶段价格必须逐级提高","计划有效"))))))),IF(A487="每日跟踪",IF(OR(B487="",H487="",I487="",J487=""),"每日数据不完整",IF(COUNTIFS($A$2:$A$497,"每日跟踪",$B$2:$B$497,B487,$H$2:$H$497,H487)&gt;1,"同一交易日期重复",IF(AND(R487&lt;&gt;"",R487&lt;S487),"人工止损无效：不能下调","跟踪有效"))),"记录类型无效")))</f>
        <v/>
      </c>
    </row>
    <row r="488" ht="17" spans="1:29">
      <c r="A488" s="2"/>
      <c r="B488" s="2"/>
      <c r="C488" s="8" t="str">
        <f>IF(B488="","",IFERROR(LOOKUP(2,1/(单次交易!$A$2:$A$163=B488),单次交易!$B$2:$B$163),""))</f>
        <v/>
      </c>
      <c r="D488" s="12"/>
      <c r="E488" s="10"/>
      <c r="F488" s="10"/>
      <c r="G488" s="2"/>
      <c r="H488" s="15"/>
      <c r="I488" s="10"/>
      <c r="J488" s="12"/>
      <c r="K488" s="2"/>
      <c r="L488" s="2"/>
      <c r="M488" s="2"/>
      <c r="N488" s="5" t="str">
        <f>IF(B488="","",IFERROR(LOOKUP(2,1/(单次交易!$A$2:$A$163=B488),单次交易!$N$2:$N$163),""))</f>
        <v/>
      </c>
      <c r="O488" s="5" t="str">
        <f t="shared" si="72"/>
        <v/>
      </c>
      <c r="P488" s="11" t="str">
        <f t="shared" si="73"/>
        <v/>
      </c>
      <c r="Q488" s="5" t="str">
        <f t="shared" si="74"/>
        <v/>
      </c>
      <c r="R488" s="10"/>
      <c r="S488" s="5" t="str">
        <f t="shared" si="75"/>
        <v/>
      </c>
      <c r="T488" s="5" t="str">
        <f t="shared" si="76"/>
        <v/>
      </c>
      <c r="U488" s="5" t="str">
        <f t="shared" si="77"/>
        <v/>
      </c>
      <c r="V488" s="7" t="str">
        <f t="shared" si="78"/>
        <v/>
      </c>
      <c r="W488" s="8" t="str">
        <f t="shared" si="79"/>
        <v/>
      </c>
      <c r="X488" s="2"/>
      <c r="Y488" s="10"/>
      <c r="Z488" s="11" t="str">
        <f>IF(X488&lt;&gt;"执行卖出","",IFERROR(LOOKUP(2,1/(单次交易!$A$2:$A$163=B488),单次交易!$AP$2:$AP$163),""))</f>
        <v/>
      </c>
      <c r="AA488" s="10"/>
      <c r="AB488" s="8" t="str">
        <f t="shared" si="80"/>
        <v/>
      </c>
      <c r="AC488" s="8" t="str">
        <f>IF(A488="","",IF(A488="止损计划",IF(OR(B488="",D488="",E488="",F488="",G488=""),"计划不完整",IF(OR(D488&lt;1,D488&lt;&gt;INT(D488)),"阶段序号无效",IF(COUNTIFS($A$2:$A$497,"止损计划",$B$2:$B$497,B488,$D$2:$D$497,D488)&gt;1,"阶段序号重复",IF(E488&lt;=IFERROR(LOOKUP(2,1/(单次交易!$A$2:$A$163=B488),单次交易!$E$2:$E$163),0),"激活价须高于买入价",IF(F488&lt;N488,"止损价不得低于初始止损",IF(F488&gt;E488,"止损价不得高于激活价",IF(AND(COUNTIFS($A$2:$A$497,"止损计划",$B$2:$B$497,B488,$D$2:$D$497,"&lt;"&amp;D488)&gt;0,OR(E488&lt;=SUMPRODUCT(MAX((($A$2:$A$497="止损计划")*($B$2:$B$497=B488)*($D$2:$D$497&lt;D488))*$E$2:$E$497)),F488&lt;SUMPRODUCT(MAX((($A$2:$A$497="止损计划")*($B$2:$B$497=B488)*($D$2:$D$497&lt;D488))*$F$2:$F$497)))),"阶段价格必须逐级提高","计划有效"))))))),IF(A488="每日跟踪",IF(OR(B488="",H488="",I488="",J488=""),"每日数据不完整",IF(COUNTIFS($A$2:$A$497,"每日跟踪",$B$2:$B$497,B488,$H$2:$H$497,H488)&gt;1,"同一交易日期重复",IF(AND(R488&lt;&gt;"",R488&lt;S488),"人工止损无效：不能下调","跟踪有效"))),"记录类型无效")))</f>
        <v/>
      </c>
    </row>
    <row r="489" ht="17" spans="1:29">
      <c r="A489" s="2"/>
      <c r="B489" s="2"/>
      <c r="C489" s="8" t="str">
        <f>IF(B489="","",IFERROR(LOOKUP(2,1/(单次交易!$A$2:$A$163=B489),单次交易!$B$2:$B$163),""))</f>
        <v/>
      </c>
      <c r="D489" s="12"/>
      <c r="E489" s="10"/>
      <c r="F489" s="10"/>
      <c r="G489" s="2"/>
      <c r="H489" s="15"/>
      <c r="I489" s="10"/>
      <c r="J489" s="12"/>
      <c r="K489" s="2"/>
      <c r="L489" s="2"/>
      <c r="M489" s="2"/>
      <c r="N489" s="5" t="str">
        <f>IF(B489="","",IFERROR(LOOKUP(2,1/(单次交易!$A$2:$A$163=B489),单次交易!$N$2:$N$163),""))</f>
        <v/>
      </c>
      <c r="O489" s="5" t="str">
        <f t="shared" si="72"/>
        <v/>
      </c>
      <c r="P489" s="11" t="str">
        <f t="shared" si="73"/>
        <v/>
      </c>
      <c r="Q489" s="5" t="str">
        <f t="shared" si="74"/>
        <v/>
      </c>
      <c r="R489" s="10"/>
      <c r="S489" s="5" t="str">
        <f t="shared" si="75"/>
        <v/>
      </c>
      <c r="T489" s="5" t="str">
        <f t="shared" si="76"/>
        <v/>
      </c>
      <c r="U489" s="5" t="str">
        <f t="shared" si="77"/>
        <v/>
      </c>
      <c r="V489" s="7" t="str">
        <f t="shared" si="78"/>
        <v/>
      </c>
      <c r="W489" s="8" t="str">
        <f t="shared" si="79"/>
        <v/>
      </c>
      <c r="X489" s="2"/>
      <c r="Y489" s="10"/>
      <c r="Z489" s="11" t="str">
        <f>IF(X489&lt;&gt;"执行卖出","",IFERROR(LOOKUP(2,1/(单次交易!$A$2:$A$163=B489),单次交易!$AP$2:$AP$163),""))</f>
        <v/>
      </c>
      <c r="AA489" s="10"/>
      <c r="AB489" s="8" t="str">
        <f t="shared" si="80"/>
        <v/>
      </c>
      <c r="AC489" s="8" t="str">
        <f>IF(A489="","",IF(A489="止损计划",IF(OR(B489="",D489="",E489="",F489="",G489=""),"计划不完整",IF(OR(D489&lt;1,D489&lt;&gt;INT(D489)),"阶段序号无效",IF(COUNTIFS($A$2:$A$497,"止损计划",$B$2:$B$497,B489,$D$2:$D$497,D489)&gt;1,"阶段序号重复",IF(E489&lt;=IFERROR(LOOKUP(2,1/(单次交易!$A$2:$A$163=B489),单次交易!$E$2:$E$163),0),"激活价须高于买入价",IF(F489&lt;N489,"止损价不得低于初始止损",IF(F489&gt;E489,"止损价不得高于激活价",IF(AND(COUNTIFS($A$2:$A$497,"止损计划",$B$2:$B$497,B489,$D$2:$D$497,"&lt;"&amp;D489)&gt;0,OR(E489&lt;=SUMPRODUCT(MAX((($A$2:$A$497="止损计划")*($B$2:$B$497=B489)*($D$2:$D$497&lt;D489))*$E$2:$E$497)),F489&lt;SUMPRODUCT(MAX((($A$2:$A$497="止损计划")*($B$2:$B$497=B489)*($D$2:$D$497&lt;D489))*$F$2:$F$497)))),"阶段价格必须逐级提高","计划有效"))))))),IF(A489="每日跟踪",IF(OR(B489="",H489="",I489="",J489=""),"每日数据不完整",IF(COUNTIFS($A$2:$A$497,"每日跟踪",$B$2:$B$497,B489,$H$2:$H$497,H489)&gt;1,"同一交易日期重复",IF(AND(R489&lt;&gt;"",R489&lt;S489),"人工止损无效：不能下调","跟踪有效"))),"记录类型无效")))</f>
        <v/>
      </c>
    </row>
    <row r="490" ht="17" spans="1:29">
      <c r="A490" s="2"/>
      <c r="B490" s="2"/>
      <c r="C490" s="8" t="str">
        <f>IF(B490="","",IFERROR(LOOKUP(2,1/(单次交易!$A$2:$A$163=B490),单次交易!$B$2:$B$163),""))</f>
        <v/>
      </c>
      <c r="D490" s="12"/>
      <c r="E490" s="10"/>
      <c r="F490" s="10"/>
      <c r="G490" s="2"/>
      <c r="H490" s="15"/>
      <c r="I490" s="10"/>
      <c r="J490" s="12"/>
      <c r="K490" s="2"/>
      <c r="L490" s="2"/>
      <c r="M490" s="2"/>
      <c r="N490" s="5" t="str">
        <f>IF(B490="","",IFERROR(LOOKUP(2,1/(单次交易!$A$2:$A$163=B490),单次交易!$N$2:$N$163),""))</f>
        <v/>
      </c>
      <c r="O490" s="5" t="str">
        <f t="shared" si="72"/>
        <v/>
      </c>
      <c r="P490" s="11" t="str">
        <f t="shared" si="73"/>
        <v/>
      </c>
      <c r="Q490" s="5" t="str">
        <f t="shared" si="74"/>
        <v/>
      </c>
      <c r="R490" s="10"/>
      <c r="S490" s="5" t="str">
        <f t="shared" si="75"/>
        <v/>
      </c>
      <c r="T490" s="5" t="str">
        <f t="shared" si="76"/>
        <v/>
      </c>
      <c r="U490" s="5" t="str">
        <f t="shared" si="77"/>
        <v/>
      </c>
      <c r="V490" s="7" t="str">
        <f t="shared" si="78"/>
        <v/>
      </c>
      <c r="W490" s="8" t="str">
        <f t="shared" si="79"/>
        <v/>
      </c>
      <c r="X490" s="2"/>
      <c r="Y490" s="10"/>
      <c r="Z490" s="11" t="str">
        <f>IF(X490&lt;&gt;"执行卖出","",IFERROR(LOOKUP(2,1/(单次交易!$A$2:$A$163=B490),单次交易!$AP$2:$AP$163),""))</f>
        <v/>
      </c>
      <c r="AA490" s="10"/>
      <c r="AB490" s="8" t="str">
        <f t="shared" si="80"/>
        <v/>
      </c>
      <c r="AC490" s="8" t="str">
        <f>IF(A490="","",IF(A490="止损计划",IF(OR(B490="",D490="",E490="",F490="",G490=""),"计划不完整",IF(OR(D490&lt;1,D490&lt;&gt;INT(D490)),"阶段序号无效",IF(COUNTIFS($A$2:$A$497,"止损计划",$B$2:$B$497,B490,$D$2:$D$497,D490)&gt;1,"阶段序号重复",IF(E490&lt;=IFERROR(LOOKUP(2,1/(单次交易!$A$2:$A$163=B490),单次交易!$E$2:$E$163),0),"激活价须高于买入价",IF(F490&lt;N490,"止损价不得低于初始止损",IF(F490&gt;E490,"止损价不得高于激活价",IF(AND(COUNTIFS($A$2:$A$497,"止损计划",$B$2:$B$497,B490,$D$2:$D$497,"&lt;"&amp;D490)&gt;0,OR(E490&lt;=SUMPRODUCT(MAX((($A$2:$A$497="止损计划")*($B$2:$B$497=B490)*($D$2:$D$497&lt;D490))*$E$2:$E$497)),F490&lt;SUMPRODUCT(MAX((($A$2:$A$497="止损计划")*($B$2:$B$497=B490)*($D$2:$D$497&lt;D490))*$F$2:$F$497)))),"阶段价格必须逐级提高","计划有效"))))))),IF(A490="每日跟踪",IF(OR(B490="",H490="",I490="",J490=""),"每日数据不完整",IF(COUNTIFS($A$2:$A$497,"每日跟踪",$B$2:$B$497,B490,$H$2:$H$497,H490)&gt;1,"同一交易日期重复",IF(AND(R490&lt;&gt;"",R490&lt;S490),"人工止损无效：不能下调","跟踪有效"))),"记录类型无效")))</f>
        <v/>
      </c>
    </row>
    <row r="491" ht="17" spans="1:29">
      <c r="A491" s="2"/>
      <c r="B491" s="2"/>
      <c r="C491" s="8" t="str">
        <f>IF(B491="","",IFERROR(LOOKUP(2,1/(单次交易!$A$2:$A$163=B491),单次交易!$B$2:$B$163),""))</f>
        <v/>
      </c>
      <c r="D491" s="12"/>
      <c r="E491" s="10"/>
      <c r="F491" s="10"/>
      <c r="G491" s="2"/>
      <c r="H491" s="15"/>
      <c r="I491" s="10"/>
      <c r="J491" s="12"/>
      <c r="K491" s="2"/>
      <c r="L491" s="2"/>
      <c r="M491" s="2"/>
      <c r="N491" s="5" t="str">
        <f>IF(B491="","",IFERROR(LOOKUP(2,1/(单次交易!$A$2:$A$163=B491),单次交易!$N$2:$N$163),""))</f>
        <v/>
      </c>
      <c r="O491" s="5" t="str">
        <f t="shared" si="72"/>
        <v/>
      </c>
      <c r="P491" s="11" t="str">
        <f t="shared" si="73"/>
        <v/>
      </c>
      <c r="Q491" s="5" t="str">
        <f t="shared" si="74"/>
        <v/>
      </c>
      <c r="R491" s="10"/>
      <c r="S491" s="5" t="str">
        <f t="shared" si="75"/>
        <v/>
      </c>
      <c r="T491" s="5" t="str">
        <f t="shared" si="76"/>
        <v/>
      </c>
      <c r="U491" s="5" t="str">
        <f t="shared" si="77"/>
        <v/>
      </c>
      <c r="V491" s="7" t="str">
        <f t="shared" si="78"/>
        <v/>
      </c>
      <c r="W491" s="8" t="str">
        <f t="shared" si="79"/>
        <v/>
      </c>
      <c r="X491" s="2"/>
      <c r="Y491" s="10"/>
      <c r="Z491" s="11" t="str">
        <f>IF(X491&lt;&gt;"执行卖出","",IFERROR(LOOKUP(2,1/(单次交易!$A$2:$A$163=B491),单次交易!$AP$2:$AP$163),""))</f>
        <v/>
      </c>
      <c r="AA491" s="10"/>
      <c r="AB491" s="8" t="str">
        <f t="shared" si="80"/>
        <v/>
      </c>
      <c r="AC491" s="8" t="str">
        <f>IF(A491="","",IF(A491="止损计划",IF(OR(B491="",D491="",E491="",F491="",G491=""),"计划不完整",IF(OR(D491&lt;1,D491&lt;&gt;INT(D491)),"阶段序号无效",IF(COUNTIFS($A$2:$A$497,"止损计划",$B$2:$B$497,B491,$D$2:$D$497,D491)&gt;1,"阶段序号重复",IF(E491&lt;=IFERROR(LOOKUP(2,1/(单次交易!$A$2:$A$163=B491),单次交易!$E$2:$E$163),0),"激活价须高于买入价",IF(F491&lt;N491,"止损价不得低于初始止损",IF(F491&gt;E491,"止损价不得高于激活价",IF(AND(COUNTIFS($A$2:$A$497,"止损计划",$B$2:$B$497,B491,$D$2:$D$497,"&lt;"&amp;D491)&gt;0,OR(E491&lt;=SUMPRODUCT(MAX((($A$2:$A$497="止损计划")*($B$2:$B$497=B491)*($D$2:$D$497&lt;D491))*$E$2:$E$497)),F491&lt;SUMPRODUCT(MAX((($A$2:$A$497="止损计划")*($B$2:$B$497=B491)*($D$2:$D$497&lt;D491))*$F$2:$F$497)))),"阶段价格必须逐级提高","计划有效"))))))),IF(A491="每日跟踪",IF(OR(B491="",H491="",I491="",J491=""),"每日数据不完整",IF(COUNTIFS($A$2:$A$497,"每日跟踪",$B$2:$B$497,B491,$H$2:$H$497,H491)&gt;1,"同一交易日期重复",IF(AND(R491&lt;&gt;"",R491&lt;S491),"人工止损无效：不能下调","跟踪有效"))),"记录类型无效")))</f>
        <v/>
      </c>
    </row>
    <row r="492" ht="17" spans="1:29">
      <c r="A492" s="2"/>
      <c r="B492" s="2"/>
      <c r="C492" s="8" t="str">
        <f>IF(B492="","",IFERROR(LOOKUP(2,1/(单次交易!$A$2:$A$163=B492),单次交易!$B$2:$B$163),""))</f>
        <v/>
      </c>
      <c r="D492" s="12"/>
      <c r="E492" s="10"/>
      <c r="F492" s="10"/>
      <c r="G492" s="2"/>
      <c r="H492" s="15"/>
      <c r="I492" s="10"/>
      <c r="J492" s="12"/>
      <c r="K492" s="2"/>
      <c r="L492" s="2"/>
      <c r="M492" s="2"/>
      <c r="N492" s="5" t="str">
        <f>IF(B492="","",IFERROR(LOOKUP(2,1/(单次交易!$A$2:$A$163=B492),单次交易!$N$2:$N$163),""))</f>
        <v/>
      </c>
      <c r="O492" s="5" t="str">
        <f t="shared" si="72"/>
        <v/>
      </c>
      <c r="P492" s="11" t="str">
        <f t="shared" si="73"/>
        <v/>
      </c>
      <c r="Q492" s="5" t="str">
        <f t="shared" si="74"/>
        <v/>
      </c>
      <c r="R492" s="10"/>
      <c r="S492" s="5" t="str">
        <f t="shared" si="75"/>
        <v/>
      </c>
      <c r="T492" s="5" t="str">
        <f t="shared" si="76"/>
        <v/>
      </c>
      <c r="U492" s="5" t="str">
        <f t="shared" si="77"/>
        <v/>
      </c>
      <c r="V492" s="7" t="str">
        <f t="shared" si="78"/>
        <v/>
      </c>
      <c r="W492" s="8" t="str">
        <f t="shared" si="79"/>
        <v/>
      </c>
      <c r="X492" s="2"/>
      <c r="Y492" s="10"/>
      <c r="Z492" s="11" t="str">
        <f>IF(X492&lt;&gt;"执行卖出","",IFERROR(LOOKUP(2,1/(单次交易!$A$2:$A$163=B492),单次交易!$AP$2:$AP$163),""))</f>
        <v/>
      </c>
      <c r="AA492" s="10"/>
      <c r="AB492" s="8" t="str">
        <f t="shared" si="80"/>
        <v/>
      </c>
      <c r="AC492" s="8" t="str">
        <f>IF(A492="","",IF(A492="止损计划",IF(OR(B492="",D492="",E492="",F492="",G492=""),"计划不完整",IF(OR(D492&lt;1,D492&lt;&gt;INT(D492)),"阶段序号无效",IF(COUNTIFS($A$2:$A$497,"止损计划",$B$2:$B$497,B492,$D$2:$D$497,D492)&gt;1,"阶段序号重复",IF(E492&lt;=IFERROR(LOOKUP(2,1/(单次交易!$A$2:$A$163=B492),单次交易!$E$2:$E$163),0),"激活价须高于买入价",IF(F492&lt;N492,"止损价不得低于初始止损",IF(F492&gt;E492,"止损价不得高于激活价",IF(AND(COUNTIFS($A$2:$A$497,"止损计划",$B$2:$B$497,B492,$D$2:$D$497,"&lt;"&amp;D492)&gt;0,OR(E492&lt;=SUMPRODUCT(MAX((($A$2:$A$497="止损计划")*($B$2:$B$497=B492)*($D$2:$D$497&lt;D492))*$E$2:$E$497)),F492&lt;SUMPRODUCT(MAX((($A$2:$A$497="止损计划")*($B$2:$B$497=B492)*($D$2:$D$497&lt;D492))*$F$2:$F$497)))),"阶段价格必须逐级提高","计划有效"))))))),IF(A492="每日跟踪",IF(OR(B492="",H492="",I492="",J492=""),"每日数据不完整",IF(COUNTIFS($A$2:$A$497,"每日跟踪",$B$2:$B$497,B492,$H$2:$H$497,H492)&gt;1,"同一交易日期重复",IF(AND(R492&lt;&gt;"",R492&lt;S492),"人工止损无效：不能下调","跟踪有效"))),"记录类型无效")))</f>
        <v/>
      </c>
    </row>
    <row r="493" ht="17" spans="1:29">
      <c r="A493" s="2"/>
      <c r="B493" s="2"/>
      <c r="C493" s="8" t="str">
        <f>IF(B493="","",IFERROR(LOOKUP(2,1/(单次交易!$A$2:$A$163=B493),单次交易!$B$2:$B$163),""))</f>
        <v/>
      </c>
      <c r="D493" s="12"/>
      <c r="E493" s="10"/>
      <c r="F493" s="10"/>
      <c r="G493" s="2"/>
      <c r="H493" s="15"/>
      <c r="I493" s="10"/>
      <c r="J493" s="12"/>
      <c r="K493" s="2"/>
      <c r="L493" s="2"/>
      <c r="M493" s="2"/>
      <c r="N493" s="5" t="str">
        <f>IF(B493="","",IFERROR(LOOKUP(2,1/(单次交易!$A$2:$A$163=B493),单次交易!$N$2:$N$163),""))</f>
        <v/>
      </c>
      <c r="O493" s="5" t="str">
        <f t="shared" si="72"/>
        <v/>
      </c>
      <c r="P493" s="11" t="str">
        <f t="shared" si="73"/>
        <v/>
      </c>
      <c r="Q493" s="5" t="str">
        <f t="shared" si="74"/>
        <v/>
      </c>
      <c r="R493" s="10"/>
      <c r="S493" s="5" t="str">
        <f t="shared" si="75"/>
        <v/>
      </c>
      <c r="T493" s="5" t="str">
        <f t="shared" si="76"/>
        <v/>
      </c>
      <c r="U493" s="5" t="str">
        <f t="shared" si="77"/>
        <v/>
      </c>
      <c r="V493" s="7" t="str">
        <f t="shared" si="78"/>
        <v/>
      </c>
      <c r="W493" s="8" t="str">
        <f t="shared" si="79"/>
        <v/>
      </c>
      <c r="X493" s="2"/>
      <c r="Y493" s="10"/>
      <c r="Z493" s="11" t="str">
        <f>IF(X493&lt;&gt;"执行卖出","",IFERROR(LOOKUP(2,1/(单次交易!$A$2:$A$163=B493),单次交易!$AP$2:$AP$163),""))</f>
        <v/>
      </c>
      <c r="AA493" s="10"/>
      <c r="AB493" s="8" t="str">
        <f t="shared" si="80"/>
        <v/>
      </c>
      <c r="AC493" s="8" t="str">
        <f>IF(A493="","",IF(A493="止损计划",IF(OR(B493="",D493="",E493="",F493="",G493=""),"计划不完整",IF(OR(D493&lt;1,D493&lt;&gt;INT(D493)),"阶段序号无效",IF(COUNTIFS($A$2:$A$497,"止损计划",$B$2:$B$497,B493,$D$2:$D$497,D493)&gt;1,"阶段序号重复",IF(E493&lt;=IFERROR(LOOKUP(2,1/(单次交易!$A$2:$A$163=B493),单次交易!$E$2:$E$163),0),"激活价须高于买入价",IF(F493&lt;N493,"止损价不得低于初始止损",IF(F493&gt;E493,"止损价不得高于激活价",IF(AND(COUNTIFS($A$2:$A$497,"止损计划",$B$2:$B$497,B493,$D$2:$D$497,"&lt;"&amp;D493)&gt;0,OR(E493&lt;=SUMPRODUCT(MAX((($A$2:$A$497="止损计划")*($B$2:$B$497=B493)*($D$2:$D$497&lt;D493))*$E$2:$E$497)),F493&lt;SUMPRODUCT(MAX((($A$2:$A$497="止损计划")*($B$2:$B$497=B493)*($D$2:$D$497&lt;D493))*$F$2:$F$497)))),"阶段价格必须逐级提高","计划有效"))))))),IF(A493="每日跟踪",IF(OR(B493="",H493="",I493="",J493=""),"每日数据不完整",IF(COUNTIFS($A$2:$A$497,"每日跟踪",$B$2:$B$497,B493,$H$2:$H$497,H493)&gt;1,"同一交易日期重复",IF(AND(R493&lt;&gt;"",R493&lt;S493),"人工止损无效：不能下调","跟踪有效"))),"记录类型无效")))</f>
        <v/>
      </c>
    </row>
    <row r="494" ht="17" spans="1:29">
      <c r="A494" s="2"/>
      <c r="B494" s="2"/>
      <c r="C494" s="8" t="str">
        <f>IF(B494="","",IFERROR(LOOKUP(2,1/(单次交易!$A$2:$A$163=B494),单次交易!$B$2:$B$163),""))</f>
        <v/>
      </c>
      <c r="D494" s="12"/>
      <c r="E494" s="10"/>
      <c r="F494" s="10"/>
      <c r="G494" s="2"/>
      <c r="H494" s="15"/>
      <c r="I494" s="10"/>
      <c r="J494" s="12"/>
      <c r="K494" s="2"/>
      <c r="L494" s="2"/>
      <c r="M494" s="2"/>
      <c r="N494" s="5" t="str">
        <f>IF(B494="","",IFERROR(LOOKUP(2,1/(单次交易!$A$2:$A$163=B494),单次交易!$N$2:$N$163),""))</f>
        <v/>
      </c>
      <c r="O494" s="5" t="str">
        <f t="shared" si="72"/>
        <v/>
      </c>
      <c r="P494" s="11" t="str">
        <f t="shared" si="73"/>
        <v/>
      </c>
      <c r="Q494" s="5" t="str">
        <f t="shared" si="74"/>
        <v/>
      </c>
      <c r="R494" s="10"/>
      <c r="S494" s="5" t="str">
        <f t="shared" si="75"/>
        <v/>
      </c>
      <c r="T494" s="5" t="str">
        <f t="shared" si="76"/>
        <v/>
      </c>
      <c r="U494" s="5" t="str">
        <f t="shared" si="77"/>
        <v/>
      </c>
      <c r="V494" s="7" t="str">
        <f t="shared" si="78"/>
        <v/>
      </c>
      <c r="W494" s="8" t="str">
        <f t="shared" si="79"/>
        <v/>
      </c>
      <c r="X494" s="2"/>
      <c r="Y494" s="10"/>
      <c r="Z494" s="11" t="str">
        <f>IF(X494&lt;&gt;"执行卖出","",IFERROR(LOOKUP(2,1/(单次交易!$A$2:$A$163=B494),单次交易!$AP$2:$AP$163),""))</f>
        <v/>
      </c>
      <c r="AA494" s="10"/>
      <c r="AB494" s="8" t="str">
        <f t="shared" si="80"/>
        <v/>
      </c>
      <c r="AC494" s="8" t="str">
        <f>IF(A494="","",IF(A494="止损计划",IF(OR(B494="",D494="",E494="",F494="",G494=""),"计划不完整",IF(OR(D494&lt;1,D494&lt;&gt;INT(D494)),"阶段序号无效",IF(COUNTIFS($A$2:$A$497,"止损计划",$B$2:$B$497,B494,$D$2:$D$497,D494)&gt;1,"阶段序号重复",IF(E494&lt;=IFERROR(LOOKUP(2,1/(单次交易!$A$2:$A$163=B494),单次交易!$E$2:$E$163),0),"激活价须高于买入价",IF(F494&lt;N494,"止损价不得低于初始止损",IF(F494&gt;E494,"止损价不得高于激活价",IF(AND(COUNTIFS($A$2:$A$497,"止损计划",$B$2:$B$497,B494,$D$2:$D$497,"&lt;"&amp;D494)&gt;0,OR(E494&lt;=SUMPRODUCT(MAX((($A$2:$A$497="止损计划")*($B$2:$B$497=B494)*($D$2:$D$497&lt;D494))*$E$2:$E$497)),F494&lt;SUMPRODUCT(MAX((($A$2:$A$497="止损计划")*($B$2:$B$497=B494)*($D$2:$D$497&lt;D494))*$F$2:$F$497)))),"阶段价格必须逐级提高","计划有效"))))))),IF(A494="每日跟踪",IF(OR(B494="",H494="",I494="",J494=""),"每日数据不完整",IF(COUNTIFS($A$2:$A$497,"每日跟踪",$B$2:$B$497,B494,$H$2:$H$497,H494)&gt;1,"同一交易日期重复",IF(AND(R494&lt;&gt;"",R494&lt;S494),"人工止损无效：不能下调","跟踪有效"))),"记录类型无效")))</f>
        <v/>
      </c>
    </row>
    <row r="495" ht="17" spans="1:29">
      <c r="A495" s="2"/>
      <c r="B495" s="2"/>
      <c r="C495" s="8" t="str">
        <f>IF(B495="","",IFERROR(LOOKUP(2,1/(单次交易!$A$2:$A$163=B495),单次交易!$B$2:$B$163),""))</f>
        <v/>
      </c>
      <c r="D495" s="12"/>
      <c r="E495" s="10"/>
      <c r="F495" s="10"/>
      <c r="G495" s="2"/>
      <c r="H495" s="15"/>
      <c r="I495" s="10"/>
      <c r="J495" s="12"/>
      <c r="K495" s="2"/>
      <c r="L495" s="2"/>
      <c r="M495" s="2"/>
      <c r="N495" s="5" t="str">
        <f>IF(B495="","",IFERROR(LOOKUP(2,1/(单次交易!$A$2:$A$163=B495),单次交易!$N$2:$N$163),""))</f>
        <v/>
      </c>
      <c r="O495" s="5" t="str">
        <f t="shared" si="72"/>
        <v/>
      </c>
      <c r="P495" s="11" t="str">
        <f t="shared" si="73"/>
        <v/>
      </c>
      <c r="Q495" s="5" t="str">
        <f t="shared" si="74"/>
        <v/>
      </c>
      <c r="R495" s="10"/>
      <c r="S495" s="5" t="str">
        <f t="shared" si="75"/>
        <v/>
      </c>
      <c r="T495" s="5" t="str">
        <f t="shared" si="76"/>
        <v/>
      </c>
      <c r="U495" s="5" t="str">
        <f t="shared" si="77"/>
        <v/>
      </c>
      <c r="V495" s="7" t="str">
        <f t="shared" si="78"/>
        <v/>
      </c>
      <c r="W495" s="8" t="str">
        <f t="shared" si="79"/>
        <v/>
      </c>
      <c r="X495" s="2"/>
      <c r="Y495" s="10"/>
      <c r="Z495" s="11" t="str">
        <f>IF(X495&lt;&gt;"执行卖出","",IFERROR(LOOKUP(2,1/(单次交易!$A$2:$A$163=B495),单次交易!$AP$2:$AP$163),""))</f>
        <v/>
      </c>
      <c r="AA495" s="10"/>
      <c r="AB495" s="8" t="str">
        <f t="shared" si="80"/>
        <v/>
      </c>
      <c r="AC495" s="8" t="str">
        <f>IF(A495="","",IF(A495="止损计划",IF(OR(B495="",D495="",E495="",F495="",G495=""),"计划不完整",IF(OR(D495&lt;1,D495&lt;&gt;INT(D495)),"阶段序号无效",IF(COUNTIFS($A$2:$A$497,"止损计划",$B$2:$B$497,B495,$D$2:$D$497,D495)&gt;1,"阶段序号重复",IF(E495&lt;=IFERROR(LOOKUP(2,1/(单次交易!$A$2:$A$163=B495),单次交易!$E$2:$E$163),0),"激活价须高于买入价",IF(F495&lt;N495,"止损价不得低于初始止损",IF(F495&gt;E495,"止损价不得高于激活价",IF(AND(COUNTIFS($A$2:$A$497,"止损计划",$B$2:$B$497,B495,$D$2:$D$497,"&lt;"&amp;D495)&gt;0,OR(E495&lt;=SUMPRODUCT(MAX((($A$2:$A$497="止损计划")*($B$2:$B$497=B495)*($D$2:$D$497&lt;D495))*$E$2:$E$497)),F495&lt;SUMPRODUCT(MAX((($A$2:$A$497="止损计划")*($B$2:$B$497=B495)*($D$2:$D$497&lt;D495))*$F$2:$F$497)))),"阶段价格必须逐级提高","计划有效"))))))),IF(A495="每日跟踪",IF(OR(B495="",H495="",I495="",J495=""),"每日数据不完整",IF(COUNTIFS($A$2:$A$497,"每日跟踪",$B$2:$B$497,B495,$H$2:$H$497,H495)&gt;1,"同一交易日期重复",IF(AND(R495&lt;&gt;"",R495&lt;S495),"人工止损无效：不能下调","跟踪有效"))),"记录类型无效")))</f>
        <v/>
      </c>
    </row>
    <row r="496" ht="17" spans="1:29">
      <c r="A496" s="2"/>
      <c r="B496" s="2"/>
      <c r="C496" s="8" t="str">
        <f>IF(B496="","",IFERROR(LOOKUP(2,1/(单次交易!$A$2:$A$163=B496),单次交易!$B$2:$B$163),""))</f>
        <v/>
      </c>
      <c r="D496" s="12"/>
      <c r="E496" s="10"/>
      <c r="F496" s="10"/>
      <c r="G496" s="2"/>
      <c r="H496" s="15"/>
      <c r="I496" s="10"/>
      <c r="J496" s="12"/>
      <c r="K496" s="2"/>
      <c r="L496" s="2"/>
      <c r="M496" s="2"/>
      <c r="N496" s="5" t="str">
        <f>IF(B496="","",IFERROR(LOOKUP(2,1/(单次交易!$A$2:$A$163=B496),单次交易!$N$2:$N$163),""))</f>
        <v/>
      </c>
      <c r="O496" s="5" t="str">
        <f t="shared" si="72"/>
        <v/>
      </c>
      <c r="P496" s="11" t="str">
        <f t="shared" si="73"/>
        <v/>
      </c>
      <c r="Q496" s="5" t="str">
        <f t="shared" si="74"/>
        <v/>
      </c>
      <c r="R496" s="10"/>
      <c r="S496" s="5" t="str">
        <f t="shared" si="75"/>
        <v/>
      </c>
      <c r="T496" s="5" t="str">
        <f t="shared" si="76"/>
        <v/>
      </c>
      <c r="U496" s="5" t="str">
        <f t="shared" si="77"/>
        <v/>
      </c>
      <c r="V496" s="7" t="str">
        <f t="shared" si="78"/>
        <v/>
      </c>
      <c r="W496" s="8" t="str">
        <f t="shared" si="79"/>
        <v/>
      </c>
      <c r="X496" s="2"/>
      <c r="Y496" s="10"/>
      <c r="Z496" s="11" t="str">
        <f>IF(X496&lt;&gt;"执行卖出","",IFERROR(LOOKUP(2,1/(单次交易!$A$2:$A$163=B496),单次交易!$AP$2:$AP$163),""))</f>
        <v/>
      </c>
      <c r="AA496" s="10"/>
      <c r="AB496" s="8" t="str">
        <f t="shared" si="80"/>
        <v/>
      </c>
      <c r="AC496" s="8" t="str">
        <f>IF(A496="","",IF(A496="止损计划",IF(OR(B496="",D496="",E496="",F496="",G496=""),"计划不完整",IF(OR(D496&lt;1,D496&lt;&gt;INT(D496)),"阶段序号无效",IF(COUNTIFS($A$2:$A$497,"止损计划",$B$2:$B$497,B496,$D$2:$D$497,D496)&gt;1,"阶段序号重复",IF(E496&lt;=IFERROR(LOOKUP(2,1/(单次交易!$A$2:$A$163=B496),单次交易!$E$2:$E$163),0),"激活价须高于买入价",IF(F496&lt;N496,"止损价不得低于初始止损",IF(F496&gt;E496,"止损价不得高于激活价",IF(AND(COUNTIFS($A$2:$A$497,"止损计划",$B$2:$B$497,B496,$D$2:$D$497,"&lt;"&amp;D496)&gt;0,OR(E496&lt;=SUMPRODUCT(MAX((($A$2:$A$497="止损计划")*($B$2:$B$497=B496)*($D$2:$D$497&lt;D496))*$E$2:$E$497)),F496&lt;SUMPRODUCT(MAX((($A$2:$A$497="止损计划")*($B$2:$B$497=B496)*($D$2:$D$497&lt;D496))*$F$2:$F$497)))),"阶段价格必须逐级提高","计划有效"))))))),IF(A496="每日跟踪",IF(OR(B496="",H496="",I496="",J496=""),"每日数据不完整",IF(COUNTIFS($A$2:$A$497,"每日跟踪",$B$2:$B$497,B496,$H$2:$H$497,H496)&gt;1,"同一交易日期重复",IF(AND(R496&lt;&gt;"",R496&lt;S496),"人工止损无效：不能下调","跟踪有效"))),"记录类型无效")))</f>
        <v/>
      </c>
    </row>
    <row r="497" ht="17" spans="1:29">
      <c r="A497" s="2"/>
      <c r="B497" s="2"/>
      <c r="C497" s="8" t="str">
        <f>IF(B497="","",IFERROR(LOOKUP(2,1/(单次交易!$A$2:$A$163=B497),单次交易!$B$2:$B$163),""))</f>
        <v/>
      </c>
      <c r="D497" s="12"/>
      <c r="E497" s="10"/>
      <c r="F497" s="10"/>
      <c r="G497" s="2"/>
      <c r="H497" s="15"/>
      <c r="I497" s="10"/>
      <c r="J497" s="12"/>
      <c r="K497" s="2"/>
      <c r="L497" s="2"/>
      <c r="M497" s="2"/>
      <c r="N497" s="5" t="str">
        <f>IF(B497="","",IFERROR(LOOKUP(2,1/(单次交易!$A$2:$A$163=B497),单次交易!$N$2:$N$163),""))</f>
        <v/>
      </c>
      <c r="O497" s="5" t="str">
        <f t="shared" si="72"/>
        <v/>
      </c>
      <c r="P497" s="11" t="str">
        <f t="shared" si="73"/>
        <v/>
      </c>
      <c r="Q497" s="5" t="str">
        <f t="shared" si="74"/>
        <v/>
      </c>
      <c r="R497" s="10"/>
      <c r="S497" s="5" t="str">
        <f t="shared" si="75"/>
        <v/>
      </c>
      <c r="T497" s="5" t="str">
        <f t="shared" si="76"/>
        <v/>
      </c>
      <c r="U497" s="5" t="str">
        <f t="shared" si="77"/>
        <v/>
      </c>
      <c r="V497" s="7" t="str">
        <f t="shared" si="78"/>
        <v/>
      </c>
      <c r="W497" s="8" t="str">
        <f t="shared" si="79"/>
        <v/>
      </c>
      <c r="X497" s="2"/>
      <c r="Y497" s="10"/>
      <c r="Z497" s="11" t="str">
        <f>IF(X497&lt;&gt;"执行卖出","",IFERROR(LOOKUP(2,1/(单次交易!$A$2:$A$163=B497),单次交易!$AP$2:$AP$163),""))</f>
        <v/>
      </c>
      <c r="AA497" s="10"/>
      <c r="AB497" s="8" t="str">
        <f t="shared" si="80"/>
        <v/>
      </c>
      <c r="AC497" s="8" t="str">
        <f>IF(A497="","",IF(A497="止损计划",IF(OR(B497="",D497="",E497="",F497="",G497=""),"计划不完整",IF(OR(D497&lt;1,D497&lt;&gt;INT(D497)),"阶段序号无效",IF(COUNTIFS($A$2:$A$497,"止损计划",$B$2:$B$497,B497,$D$2:$D$497,D497)&gt;1,"阶段序号重复",IF(E497&lt;=IFERROR(LOOKUP(2,1/(单次交易!$A$2:$A$163=B497),单次交易!$E$2:$E$163),0),"激活价须高于买入价",IF(F497&lt;N497,"止损价不得低于初始止损",IF(F497&gt;E497,"止损价不得高于激活价",IF(AND(COUNTIFS($A$2:$A$497,"止损计划",$B$2:$B$497,B497,$D$2:$D$497,"&lt;"&amp;D497)&gt;0,OR(E497&lt;=SUMPRODUCT(MAX((($A$2:$A$497="止损计划")*($B$2:$B$497=B497)*($D$2:$D$497&lt;D497))*$E$2:$E$497)),F497&lt;SUMPRODUCT(MAX((($A$2:$A$497="止损计划")*($B$2:$B$497=B497)*($D$2:$D$497&lt;D497))*$F$2:$F$497)))),"阶段价格必须逐级提高","计划有效"))))))),IF(A497="每日跟踪",IF(OR(B497="",H497="",I497="",J497=""),"每日数据不完整",IF(COUNTIFS($A$2:$A$497,"每日跟踪",$B$2:$B$497,B497,$H$2:$H$497,H497)&gt;1,"同一交易日期重复",IF(AND(R497&lt;&gt;"",R497&lt;S497),"人工止损无效：不能下调","跟踪有效"))),"记录类型无效")))</f>
        <v/>
      </c>
    </row>
  </sheetData>
  <conditionalFormatting sqref="W2:W497">
    <cfRule type="expression" dxfId="0" priority="2">
      <formula>LEFT($W2,4)="触发止损"</formula>
    </cfRule>
  </conditionalFormatting>
  <conditionalFormatting sqref="A2:AC497">
    <cfRule type="expression" dxfId="2" priority="1">
      <formula>$A2="止损计划"</formula>
    </cfRule>
  </conditionalFormatting>
  <conditionalFormatting sqref="AB2:AC497">
    <cfRule type="expression" dxfId="0" priority="3">
      <formula>OR(LEFT($AB2,2)="违规",ISNUMBER(SEARCH("无效",$AC2)))</formula>
    </cfRule>
  </conditionalFormatting>
  <dataValidations count="8">
    <dataValidation type="list" allowBlank="1" sqref="A2:A497">
      <formula1>"止损计划,每日跟踪"</formula1>
    </dataValidation>
    <dataValidation type="list" allowBlank="1" sqref="B2:B497">
      <formula1>_TradeIds</formula1>
    </dataValidation>
    <dataValidation type="whole" operator="greaterThanOrEqual" allowBlank="1" sqref="D2:D497">
      <formula1>1</formula1>
    </dataValidation>
    <dataValidation type="date" operator="between" allowBlank="1" sqref="H2:H497">
      <formula1>DATE(2000,1,1)</formula1>
      <formula2>DATE(2100,12,31)</formula2>
    </dataValidation>
    <dataValidation type="list" allowBlank="1" sqref="L2:L497">
      <formula1>"吸筹,启动,趋势上行,加速上涨,高位分歧,回调确认,破位,其他"</formula1>
    </dataValidation>
    <dataValidation type="decimal" operator="greaterThan" allowBlank="1" sqref="R2:R497 Y2:Y497 E2:F497 I2:J497">
      <formula1>0</formula1>
    </dataValidation>
    <dataValidation type="list" allowBlank="1" sqref="X2:X497">
      <formula1>"继续持有,执行卖出"</formula1>
    </dataValidation>
    <dataValidation type="decimal" operator="greaterThanOrEqual" allowBlank="1" sqref="AA2:AA497">
      <formula1>0</formula1>
    </dataValidation>
  </dataValidations>
  <pageMargins left="0.75" right="0.75" top="1" bottom="1" header="0.5" footer="0.5"/>
  <headerFooter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01"/>
  <sheetViews>
    <sheetView workbookViewId="0">
      <pane ySplit="1" topLeftCell="A19" activePane="bottomLeft" state="frozen"/>
      <selection/>
      <selection pane="bottomLeft" activeCell="E20" sqref="E20"/>
    </sheetView>
  </sheetViews>
  <sheetFormatPr defaultColWidth="9" defaultRowHeight="16.8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  <col min="10" max="10" width="14.75" customWidth="1"/>
  </cols>
  <sheetData>
    <row r="1" ht="42" customHeight="1" spans="1:12">
      <c r="A1" s="1" t="s">
        <v>0</v>
      </c>
      <c r="B1" s="1" t="s">
        <v>1</v>
      </c>
      <c r="C1" s="1" t="s">
        <v>16411</v>
      </c>
      <c r="D1" s="1" t="s">
        <v>16412</v>
      </c>
      <c r="E1" s="1" t="s">
        <v>16391</v>
      </c>
      <c r="F1" s="1" t="s">
        <v>16413</v>
      </c>
      <c r="G1" s="1" t="s">
        <v>16414</v>
      </c>
      <c r="H1" s="1" t="s">
        <v>16415</v>
      </c>
      <c r="I1" s="1" t="s">
        <v>16416</v>
      </c>
      <c r="J1" t="s">
        <v>31</v>
      </c>
      <c r="K1" t="s">
        <v>44</v>
      </c>
      <c r="L1" t="s">
        <v>45</v>
      </c>
    </row>
    <row r="2" ht="27" customHeight="1" spans="1:12">
      <c r="A2" s="2">
        <v>1</v>
      </c>
      <c r="B2" s="13" t="s">
        <v>16417</v>
      </c>
      <c r="C2" s="2"/>
      <c r="D2" s="2"/>
      <c r="E2" s="15"/>
      <c r="F2" s="2"/>
      <c r="G2" s="2"/>
      <c r="H2" s="2"/>
      <c r="I2" s="2"/>
      <c r="J2" s="16" t="s">
        <v>16418</v>
      </c>
    </row>
    <row r="3" ht="40.5" customHeight="1" spans="1:12">
      <c r="A3" s="2">
        <v>2</v>
      </c>
      <c r="B3" s="13" t="s">
        <v>16417</v>
      </c>
      <c r="C3" s="2"/>
      <c r="D3" s="2"/>
      <c r="E3" s="15"/>
      <c r="F3" s="2"/>
      <c r="G3" s="2"/>
      <c r="H3" s="2"/>
      <c r="I3" s="2"/>
      <c r="J3" s="16" t="s">
        <v>16419</v>
      </c>
    </row>
    <row r="4" ht="27" customHeight="1" spans="1:12">
      <c r="A4" s="2">
        <v>3</v>
      </c>
      <c r="B4" s="13" t="s">
        <v>16417</v>
      </c>
      <c r="C4" s="2"/>
      <c r="D4" s="2"/>
      <c r="E4" s="15"/>
      <c r="F4" s="2"/>
      <c r="G4" s="2"/>
      <c r="H4" s="2"/>
      <c r="I4" s="2"/>
      <c r="J4" s="16" t="s">
        <v>16420</v>
      </c>
    </row>
    <row r="5" ht="27" customHeight="1" spans="1:12">
      <c r="A5" s="2">
        <v>4</v>
      </c>
      <c r="B5" s="13" t="s">
        <v>16417</v>
      </c>
      <c r="C5" s="2"/>
      <c r="D5" s="2"/>
      <c r="E5" s="15"/>
      <c r="F5" s="2"/>
      <c r="G5" s="2"/>
      <c r="H5" s="2"/>
      <c r="I5" s="2"/>
    </row>
    <row r="6" ht="27" customHeight="1" spans="1:12">
      <c r="A6" s="2">
        <v>6</v>
      </c>
      <c r="B6" s="13" t="s">
        <v>16417</v>
      </c>
      <c r="C6" s="2"/>
      <c r="D6" s="2"/>
      <c r="E6" s="15"/>
      <c r="F6" s="2"/>
      <c r="G6" s="2"/>
      <c r="H6" s="2"/>
      <c r="I6" s="2"/>
      <c r="J6" s="16" t="s">
        <v>16421</v>
      </c>
    </row>
    <row r="7" ht="17" spans="1:12">
      <c r="A7" s="2">
        <v>7</v>
      </c>
      <c r="B7" s="13" t="s">
        <v>16417</v>
      </c>
      <c r="C7" s="2"/>
      <c r="D7" s="2"/>
      <c r="E7" s="15"/>
      <c r="F7" s="2"/>
      <c r="G7" s="2"/>
      <c r="H7" s="2"/>
      <c r="I7" s="2"/>
      <c r="J7" t="s">
        <v>16422</v>
      </c>
    </row>
    <row r="8" ht="17" spans="1:12">
      <c r="A8" s="2">
        <v>9</v>
      </c>
      <c r="B8" s="13" t="s">
        <v>16417</v>
      </c>
      <c r="C8" s="2"/>
      <c r="D8" s="2"/>
      <c r="E8" s="15"/>
      <c r="F8" s="2"/>
      <c r="G8" s="2"/>
      <c r="H8" s="2"/>
      <c r="I8" s="2"/>
      <c r="J8" t="s">
        <v>16423</v>
      </c>
    </row>
    <row r="9" ht="17" spans="1:12">
      <c r="A9" s="2">
        <v>11</v>
      </c>
      <c r="B9" s="13" t="s">
        <v>16417</v>
      </c>
      <c r="C9" s="2"/>
      <c r="D9" s="2"/>
      <c r="E9" s="15"/>
      <c r="F9" s="2"/>
      <c r="G9" s="2"/>
      <c r="H9" s="2"/>
      <c r="I9" s="2"/>
      <c r="J9" s="17" t="s">
        <v>16424</v>
      </c>
    </row>
    <row r="10" ht="27" customHeight="1" spans="1:12">
      <c r="A10" s="2">
        <v>12</v>
      </c>
      <c r="B10" s="13" t="s">
        <v>16417</v>
      </c>
      <c r="C10" s="2"/>
      <c r="D10" s="2"/>
      <c r="E10" s="15"/>
      <c r="F10" s="2"/>
      <c r="G10" s="2"/>
      <c r="H10" s="2"/>
      <c r="I10" s="2"/>
      <c r="J10" s="17" t="s">
        <v>16425</v>
      </c>
    </row>
    <row r="11" ht="27" customHeight="1" spans="1:12">
      <c r="A11" s="2">
        <v>13</v>
      </c>
      <c r="B11" s="13" t="s">
        <v>16417</v>
      </c>
      <c r="C11" s="2"/>
      <c r="D11" s="2"/>
      <c r="E11" s="15"/>
      <c r="F11" s="2"/>
      <c r="G11" s="2"/>
      <c r="H11" s="2"/>
      <c r="I11" s="2"/>
      <c r="J11" s="17" t="s">
        <v>16426</v>
      </c>
    </row>
    <row r="12" ht="27" customHeight="1" spans="1:12">
      <c r="A12" s="2">
        <v>14</v>
      </c>
      <c r="B12" s="13" t="s">
        <v>16417</v>
      </c>
      <c r="C12" s="2"/>
      <c r="D12" s="2"/>
      <c r="E12" s="15"/>
      <c r="F12" s="2"/>
      <c r="G12" s="2"/>
      <c r="H12" s="2"/>
      <c r="I12" s="2"/>
      <c r="J12" s="17" t="s">
        <v>16427</v>
      </c>
    </row>
    <row r="13" ht="27" customHeight="1" spans="1:12">
      <c r="A13" s="2">
        <v>15</v>
      </c>
      <c r="B13" s="13" t="s">
        <v>16417</v>
      </c>
      <c r="C13" s="2"/>
      <c r="D13" s="2"/>
      <c r="E13" s="15"/>
      <c r="F13" s="2"/>
      <c r="G13" s="2"/>
      <c r="H13" s="2"/>
      <c r="I13" s="2"/>
      <c r="J13" s="17" t="s">
        <v>16428</v>
      </c>
    </row>
    <row r="14" ht="27" customHeight="1" spans="1:12">
      <c r="A14" s="2">
        <v>16</v>
      </c>
      <c r="B14" s="13" t="s">
        <v>16417</v>
      </c>
      <c r="C14" s="2"/>
      <c r="D14" s="2"/>
      <c r="E14" s="15"/>
      <c r="F14" s="2"/>
      <c r="G14" s="2"/>
      <c r="H14" s="2"/>
      <c r="I14" s="2"/>
      <c r="J14" s="17" t="s">
        <v>16429</v>
      </c>
    </row>
    <row r="15" ht="27" customHeight="1" spans="1:12">
      <c r="A15" s="2">
        <v>17</v>
      </c>
      <c r="B15" s="13" t="s">
        <v>16417</v>
      </c>
      <c r="C15" s="2"/>
      <c r="D15" s="2"/>
      <c r="E15" s="15"/>
      <c r="F15" s="2"/>
      <c r="G15" s="2"/>
      <c r="H15" s="2"/>
      <c r="I15" s="2"/>
      <c r="J15" s="17" t="s">
        <v>16430</v>
      </c>
    </row>
    <row r="16" ht="40.5" customHeight="1" spans="1:12">
      <c r="A16" s="2">
        <v>18</v>
      </c>
      <c r="B16" s="13" t="s">
        <v>16417</v>
      </c>
      <c r="C16" s="2"/>
      <c r="D16" s="2"/>
      <c r="E16" s="15"/>
      <c r="F16" s="2"/>
      <c r="G16" s="2"/>
      <c r="H16" s="2"/>
      <c r="I16" s="2"/>
      <c r="J16" s="17" t="s">
        <v>16431</v>
      </c>
    </row>
    <row r="17" ht="27" customHeight="1" spans="1:10">
      <c r="A17" s="2">
        <v>19</v>
      </c>
      <c r="B17" s="13" t="s">
        <v>16417</v>
      </c>
      <c r="C17" s="2"/>
      <c r="D17" s="2"/>
      <c r="E17" s="15"/>
      <c r="F17" s="2"/>
      <c r="G17" s="2"/>
      <c r="H17" s="2"/>
      <c r="I17" s="2"/>
      <c r="J17" s="17" t="s">
        <v>16432</v>
      </c>
    </row>
    <row r="18" ht="27" customHeight="1" spans="1:10">
      <c r="A18" s="2">
        <v>20</v>
      </c>
      <c r="B18" s="13" t="s">
        <v>16417</v>
      </c>
      <c r="C18" s="2"/>
      <c r="D18" s="2"/>
      <c r="E18" s="15"/>
      <c r="F18" s="2"/>
      <c r="G18" s="2"/>
      <c r="H18" s="2"/>
      <c r="I18" s="2"/>
      <c r="J18" s="17" t="s">
        <v>16433</v>
      </c>
    </row>
    <row r="19" ht="27" customHeight="1" spans="1:10">
      <c r="A19" s="2">
        <v>21</v>
      </c>
      <c r="B19" s="13" t="s">
        <v>16417</v>
      </c>
      <c r="C19" s="2"/>
      <c r="D19" s="2"/>
      <c r="E19" s="15"/>
      <c r="F19" s="2"/>
      <c r="G19" s="2"/>
      <c r="H19" s="2"/>
      <c r="I19" s="2"/>
      <c r="J19" s="17" t="s">
        <v>16434</v>
      </c>
    </row>
    <row r="20" ht="27" customHeight="1" spans="1:10">
      <c r="A20" s="2">
        <v>24</v>
      </c>
      <c r="B20" s="13" t="s">
        <v>16417</v>
      </c>
      <c r="C20" s="2"/>
      <c r="D20" s="2"/>
      <c r="E20" s="15"/>
      <c r="F20" s="2"/>
      <c r="G20" s="2"/>
      <c r="H20" s="2"/>
      <c r="I20" s="2"/>
      <c r="J20" s="17" t="s">
        <v>16435</v>
      </c>
    </row>
    <row r="21" ht="27" customHeight="1" spans="1:10">
      <c r="A21" s="2">
        <v>25</v>
      </c>
      <c r="B21" s="13" t="s">
        <v>16417</v>
      </c>
      <c r="C21" s="2"/>
      <c r="D21" s="2"/>
      <c r="E21" s="15"/>
      <c r="F21" s="2"/>
      <c r="G21" s="2"/>
      <c r="H21" s="2"/>
      <c r="I21" s="2"/>
      <c r="J21" s="17" t="s">
        <v>16436</v>
      </c>
    </row>
    <row r="22" ht="27" customHeight="1" spans="1:10">
      <c r="A22" s="2">
        <v>26</v>
      </c>
      <c r="B22" s="13" t="s">
        <v>16417</v>
      </c>
      <c r="C22" s="2"/>
      <c r="D22" s="2"/>
      <c r="E22" s="15"/>
      <c r="F22" s="2"/>
      <c r="G22" s="2"/>
      <c r="H22" s="2"/>
      <c r="I22" s="2"/>
      <c r="J22" s="17" t="s">
        <v>16437</v>
      </c>
    </row>
    <row r="23" ht="40.5" customHeight="1" spans="1:10">
      <c r="A23" s="2">
        <v>29</v>
      </c>
      <c r="B23" s="13" t="s">
        <v>16417</v>
      </c>
      <c r="C23" s="2"/>
      <c r="D23" s="2"/>
      <c r="E23" s="15"/>
      <c r="F23" s="2"/>
      <c r="G23" s="2"/>
      <c r="H23" s="2"/>
      <c r="I23" s="2"/>
      <c r="J23" s="17" t="s">
        <v>16438</v>
      </c>
    </row>
    <row r="24" ht="27" customHeight="1" spans="1:10">
      <c r="A24" s="2"/>
      <c r="B24" s="2"/>
      <c r="C24" s="2"/>
      <c r="D24" s="2"/>
      <c r="E24" s="15"/>
      <c r="F24" s="2"/>
      <c r="G24" s="2"/>
      <c r="H24" s="2"/>
      <c r="I24" s="2"/>
    </row>
    <row r="25" ht="27" customHeight="1" spans="1:10">
      <c r="A25" s="2"/>
      <c r="B25" s="2"/>
      <c r="C25" s="2"/>
      <c r="D25" s="2"/>
      <c r="E25" s="15"/>
      <c r="F25" s="2"/>
      <c r="G25" s="2"/>
      <c r="H25" s="2"/>
      <c r="I25" s="2"/>
    </row>
    <row r="26" ht="40.5" customHeight="1" spans="1:10">
      <c r="A26" s="2"/>
      <c r="B26" s="2"/>
      <c r="C26" s="2"/>
      <c r="D26" s="2"/>
      <c r="E26" s="15"/>
      <c r="F26" s="2"/>
      <c r="G26" s="2"/>
      <c r="H26" s="2"/>
      <c r="I26" s="2"/>
    </row>
    <row r="27" ht="27" customHeight="1" spans="1:10">
      <c r="A27" s="2"/>
      <c r="B27" s="2"/>
      <c r="C27" s="2"/>
      <c r="D27" s="2"/>
      <c r="E27" s="15"/>
      <c r="F27" s="2"/>
      <c r="G27" s="2"/>
      <c r="H27" s="2"/>
      <c r="I27" s="2"/>
    </row>
    <row r="28" ht="27" customHeight="1" spans="1:10">
      <c r="A28" s="2"/>
      <c r="B28" s="2"/>
      <c r="C28" s="2"/>
      <c r="D28" s="2"/>
      <c r="E28" s="15"/>
      <c r="F28" s="2"/>
      <c r="G28" s="2"/>
      <c r="H28" s="2"/>
      <c r="I28" s="2"/>
    </row>
    <row r="29" ht="27" customHeight="1" spans="1:10">
      <c r="A29" s="2"/>
      <c r="B29" s="2"/>
      <c r="C29" s="2"/>
      <c r="D29" s="2"/>
      <c r="E29" s="15"/>
      <c r="F29" s="2"/>
      <c r="G29" s="2"/>
      <c r="H29" s="2"/>
      <c r="I29" s="2"/>
    </row>
    <row r="30" ht="27" customHeight="1" spans="1:10">
      <c r="A30" s="2"/>
      <c r="B30" s="2"/>
      <c r="C30" s="2"/>
      <c r="D30" s="2"/>
      <c r="E30" s="15"/>
      <c r="F30" s="2"/>
      <c r="G30" s="2"/>
      <c r="H30" s="2"/>
      <c r="I30" s="2"/>
    </row>
    <row r="31" ht="27" customHeight="1" spans="1:10">
      <c r="A31" s="2"/>
      <c r="B31" s="2"/>
      <c r="C31" s="2"/>
      <c r="D31" s="2"/>
      <c r="E31" s="15"/>
      <c r="F31" s="2"/>
      <c r="G31" s="2"/>
      <c r="H31" s="2"/>
      <c r="I31" s="2"/>
    </row>
    <row r="32" ht="27" customHeight="1" spans="1:10">
      <c r="A32" s="2"/>
      <c r="B32" s="2"/>
      <c r="C32" s="2"/>
      <c r="D32" s="2"/>
      <c r="E32" s="15"/>
      <c r="F32" s="2"/>
      <c r="G32" s="2"/>
      <c r="H32" s="2"/>
      <c r="I32" s="2"/>
    </row>
    <row r="33" spans="1:9">
      <c r="A33" s="2"/>
      <c r="B33" s="2"/>
      <c r="C33" s="2"/>
      <c r="D33" s="2"/>
      <c r="E33" s="15"/>
      <c r="F33" s="2"/>
      <c r="G33" s="2"/>
      <c r="H33" s="2"/>
      <c r="I33" s="2"/>
    </row>
    <row r="34" ht="27" customHeight="1" spans="1:9">
      <c r="A34" s="2"/>
      <c r="B34" s="2"/>
      <c r="C34" s="2"/>
      <c r="D34" s="2"/>
      <c r="E34" s="15"/>
      <c r="F34" s="2"/>
      <c r="G34" s="2"/>
      <c r="H34" s="2"/>
      <c r="I34" s="2"/>
    </row>
    <row r="35" ht="27" customHeight="1" spans="1:9">
      <c r="A35" s="2"/>
      <c r="B35" s="2"/>
      <c r="C35" s="2"/>
      <c r="D35" s="2"/>
      <c r="E35" s="15"/>
      <c r="F35" s="2"/>
      <c r="G35" s="2"/>
      <c r="H35" s="2"/>
      <c r="I35" s="2"/>
    </row>
    <row r="36" ht="40.5" customHeight="1" spans="1:9">
      <c r="A36" s="2"/>
      <c r="B36" s="2"/>
      <c r="C36" s="2"/>
      <c r="D36" s="2"/>
      <c r="E36" s="15"/>
      <c r="F36" s="2"/>
      <c r="G36" s="2"/>
      <c r="H36" s="2"/>
      <c r="I36" s="2"/>
    </row>
    <row r="37" spans="1:9">
      <c r="A37" s="2"/>
      <c r="B37" s="2"/>
      <c r="C37" s="2"/>
      <c r="D37" s="2"/>
      <c r="E37" s="15"/>
      <c r="F37" s="2"/>
      <c r="G37" s="2"/>
      <c r="H37" s="2"/>
      <c r="I37" s="2"/>
    </row>
    <row r="38" ht="27" customHeight="1" spans="1:9">
      <c r="A38" s="2"/>
      <c r="B38" s="2"/>
      <c r="C38" s="2"/>
      <c r="D38" s="2"/>
      <c r="E38" s="15"/>
      <c r="F38" s="2"/>
      <c r="G38" s="2"/>
      <c r="H38" s="2"/>
      <c r="I38" s="2"/>
    </row>
    <row r="39" spans="1:9">
      <c r="A39" s="2"/>
      <c r="B39" s="2"/>
      <c r="C39" s="2"/>
      <c r="D39" s="2"/>
      <c r="E39" s="15"/>
      <c r="F39" s="2"/>
      <c r="G39" s="2"/>
      <c r="H39" s="2"/>
      <c r="I39" s="2"/>
    </row>
    <row r="40" spans="1:9">
      <c r="A40" s="2"/>
      <c r="B40" s="2"/>
      <c r="C40" s="2"/>
      <c r="D40" s="2"/>
      <c r="E40" s="15"/>
      <c r="F40" s="2"/>
      <c r="G40" s="2"/>
      <c r="H40" s="2"/>
      <c r="I40" s="2"/>
    </row>
    <row r="41" spans="1:9">
      <c r="A41" s="2"/>
      <c r="B41" s="2"/>
      <c r="C41" s="2"/>
      <c r="D41" s="2"/>
      <c r="E41" s="15"/>
      <c r="F41" s="2"/>
      <c r="G41" s="2"/>
      <c r="H41" s="2"/>
      <c r="I41" s="2"/>
    </row>
    <row r="42" ht="27" customHeight="1" spans="1:9">
      <c r="A42" s="2"/>
      <c r="B42" s="2"/>
      <c r="C42" s="2"/>
      <c r="D42" s="2"/>
      <c r="E42" s="15"/>
      <c r="F42" s="2"/>
      <c r="G42" s="2"/>
      <c r="H42" s="2"/>
      <c r="I42" s="2"/>
    </row>
    <row r="43" ht="27" customHeight="1" spans="1:9">
      <c r="A43" s="2"/>
      <c r="B43" s="2"/>
      <c r="C43" s="2"/>
      <c r="D43" s="2"/>
      <c r="E43" s="15"/>
      <c r="F43" s="2"/>
      <c r="G43" s="2"/>
      <c r="H43" s="2"/>
      <c r="I43" s="2"/>
    </row>
    <row r="44" ht="27" customHeight="1" spans="1:9">
      <c r="A44" s="2"/>
      <c r="B44" s="2"/>
      <c r="C44" s="2"/>
      <c r="D44" s="2"/>
      <c r="E44" s="15"/>
      <c r="F44" s="2"/>
      <c r="G44" s="2"/>
      <c r="H44" s="2"/>
      <c r="I44" s="2"/>
    </row>
    <row r="45" spans="1:9">
      <c r="A45" s="2"/>
      <c r="B45" s="2"/>
      <c r="C45" s="2"/>
      <c r="D45" s="2"/>
      <c r="E45" s="15"/>
      <c r="F45" s="2"/>
      <c r="G45" s="2"/>
      <c r="H45" s="2"/>
      <c r="I45" s="2"/>
    </row>
    <row r="46" spans="1:9">
      <c r="A46" s="2"/>
      <c r="B46" s="2"/>
      <c r="C46" s="2"/>
      <c r="D46" s="2"/>
      <c r="E46" s="15"/>
      <c r="F46" s="2"/>
      <c r="G46" s="2"/>
      <c r="H46" s="2"/>
      <c r="I46" s="2"/>
    </row>
    <row r="47" spans="1:9">
      <c r="A47" s="2"/>
      <c r="B47" s="2"/>
      <c r="C47" s="2"/>
      <c r="D47" s="2"/>
      <c r="E47" s="15"/>
      <c r="F47" s="2"/>
      <c r="G47" s="2"/>
      <c r="H47" s="2"/>
      <c r="I47" s="2"/>
    </row>
    <row r="48" spans="1:9">
      <c r="A48" s="2"/>
      <c r="B48" s="2"/>
      <c r="C48" s="2"/>
      <c r="D48" s="2"/>
      <c r="E48" s="15"/>
      <c r="F48" s="2"/>
      <c r="G48" s="2"/>
      <c r="H48" s="2"/>
      <c r="I48" s="2"/>
    </row>
    <row r="49" spans="1:9">
      <c r="A49" s="2"/>
      <c r="B49" s="2"/>
      <c r="C49" s="2"/>
      <c r="D49" s="2"/>
      <c r="E49" s="15"/>
      <c r="F49" s="2"/>
      <c r="G49" s="2"/>
      <c r="H49" s="2"/>
      <c r="I49" s="2"/>
    </row>
    <row r="50" ht="27" customHeight="1" spans="1:9">
      <c r="A50" s="2"/>
      <c r="B50" s="2"/>
      <c r="C50" s="2"/>
      <c r="D50" s="2"/>
      <c r="E50" s="15"/>
      <c r="F50" s="2"/>
      <c r="G50" s="2"/>
      <c r="H50" s="2"/>
      <c r="I50" s="2"/>
    </row>
    <row r="51" ht="27" customHeight="1" spans="1:9">
      <c r="A51" s="2"/>
      <c r="B51" s="2"/>
      <c r="C51" s="2"/>
      <c r="D51" s="2"/>
      <c r="E51" s="15"/>
      <c r="F51" s="2"/>
      <c r="G51" s="2"/>
      <c r="H51" s="2"/>
      <c r="I51" s="2"/>
    </row>
    <row r="52" ht="27" customHeight="1" spans="1:9">
      <c r="A52" s="2"/>
      <c r="B52" s="2"/>
      <c r="C52" s="2"/>
      <c r="D52" s="2"/>
      <c r="E52" s="15"/>
      <c r="F52" s="2"/>
      <c r="G52" s="2"/>
      <c r="H52" s="2"/>
      <c r="I52" s="2"/>
    </row>
    <row r="53" ht="27" customHeight="1" spans="1:9">
      <c r="A53" s="2"/>
      <c r="B53" s="2"/>
      <c r="C53" s="2"/>
      <c r="D53" s="2"/>
      <c r="E53" s="15"/>
      <c r="F53" s="2"/>
      <c r="G53" s="2"/>
      <c r="H53" s="2"/>
      <c r="I53" s="2"/>
    </row>
    <row r="54" ht="27" customHeight="1" spans="1:9">
      <c r="A54" s="2"/>
      <c r="B54" s="2"/>
      <c r="C54" s="2"/>
      <c r="D54" s="2"/>
      <c r="E54" s="15"/>
      <c r="F54" s="2"/>
      <c r="G54" s="2"/>
      <c r="H54" s="2"/>
      <c r="I54" s="2"/>
    </row>
    <row r="55" ht="27" customHeight="1" spans="1:9">
      <c r="A55" s="2"/>
      <c r="B55" s="2"/>
      <c r="C55" s="2"/>
      <c r="D55" s="2"/>
      <c r="E55" s="15"/>
      <c r="F55" s="2"/>
      <c r="G55" s="2"/>
      <c r="H55" s="2"/>
      <c r="I55" s="2"/>
    </row>
    <row r="56" ht="27" customHeight="1" spans="1:9">
      <c r="A56" s="2"/>
      <c r="B56" s="2"/>
      <c r="C56" s="2"/>
      <c r="D56" s="2"/>
      <c r="E56" s="15"/>
      <c r="F56" s="2"/>
      <c r="G56" s="2"/>
      <c r="H56" s="2"/>
      <c r="I56" s="2"/>
    </row>
    <row r="57" ht="27" customHeight="1" spans="1:9">
      <c r="A57" s="2"/>
      <c r="B57" s="2"/>
      <c r="C57" s="2"/>
      <c r="D57" s="2"/>
      <c r="E57" s="15"/>
      <c r="F57" s="2"/>
      <c r="G57" s="2"/>
      <c r="H57" s="2"/>
      <c r="I57" s="2"/>
    </row>
    <row r="58" spans="1:9">
      <c r="A58" s="2"/>
      <c r="B58" s="2"/>
      <c r="C58" s="2"/>
      <c r="D58" s="2"/>
      <c r="E58" s="15"/>
      <c r="F58" s="2"/>
      <c r="G58" s="2"/>
      <c r="H58" s="2"/>
      <c r="I58" s="2"/>
    </row>
    <row r="59" ht="27" customHeight="1" spans="1:9">
      <c r="A59" s="2"/>
      <c r="B59" s="2"/>
      <c r="C59" s="2"/>
      <c r="D59" s="2"/>
      <c r="E59" s="15"/>
      <c r="F59" s="2"/>
      <c r="G59" s="2"/>
      <c r="H59" s="2"/>
      <c r="I59" s="2"/>
    </row>
    <row r="60" ht="27" customHeight="1" spans="1:9">
      <c r="A60" s="2"/>
      <c r="B60" s="2"/>
      <c r="C60" s="2"/>
      <c r="D60" s="2"/>
      <c r="E60" s="15"/>
      <c r="F60" s="2"/>
      <c r="G60" s="2"/>
      <c r="H60" s="2"/>
      <c r="I60" s="2"/>
    </row>
    <row r="61" ht="27" customHeight="1" spans="1:9">
      <c r="A61" s="2"/>
      <c r="B61" s="2"/>
      <c r="C61" s="2"/>
      <c r="D61" s="2"/>
      <c r="E61" s="15"/>
      <c r="F61" s="2"/>
      <c r="G61" s="2"/>
      <c r="H61" s="2"/>
      <c r="I61" s="2"/>
    </row>
    <row r="62" ht="27" customHeight="1" spans="1:9">
      <c r="A62" s="2"/>
      <c r="B62" s="2"/>
      <c r="C62" s="2"/>
      <c r="D62" s="2"/>
      <c r="E62" s="15"/>
      <c r="F62" s="2"/>
      <c r="G62" s="2"/>
      <c r="H62" s="2"/>
      <c r="I62" s="2"/>
    </row>
    <row r="63" ht="27" customHeight="1" spans="1:9">
      <c r="A63" s="2"/>
      <c r="B63" s="2"/>
      <c r="C63" s="2"/>
      <c r="D63" s="2"/>
      <c r="E63" s="15"/>
      <c r="F63" s="2"/>
      <c r="G63" s="2"/>
      <c r="H63" s="2"/>
      <c r="I63" s="2"/>
    </row>
    <row r="64" ht="27" customHeight="1" spans="1:9">
      <c r="A64" s="2"/>
      <c r="B64" s="2"/>
      <c r="C64" s="2"/>
      <c r="D64" s="2"/>
      <c r="E64" s="15"/>
      <c r="F64" s="2"/>
      <c r="G64" s="2"/>
      <c r="H64" s="2"/>
      <c r="I64" s="2"/>
    </row>
    <row r="65" ht="27" customHeight="1" spans="1:11">
      <c r="A65" s="2"/>
      <c r="B65" s="2"/>
      <c r="C65" s="2"/>
      <c r="D65" s="2"/>
      <c r="E65" s="15"/>
      <c r="F65" s="2"/>
      <c r="G65" s="2"/>
      <c r="H65" s="2"/>
      <c r="I65" s="2"/>
    </row>
    <row r="66" spans="1:11">
      <c r="A66" s="2"/>
      <c r="B66" s="2"/>
      <c r="C66" s="2"/>
      <c r="D66" s="2"/>
      <c r="E66" s="15"/>
      <c r="F66" s="2"/>
      <c r="G66" s="2"/>
      <c r="H66" s="2"/>
      <c r="I66" s="2"/>
    </row>
    <row r="67" spans="1:11">
      <c r="A67" s="2"/>
      <c r="B67" s="2"/>
      <c r="C67" s="2"/>
      <c r="D67" s="2"/>
      <c r="E67" s="15"/>
      <c r="F67" s="2"/>
      <c r="G67" s="2"/>
      <c r="H67" s="2"/>
      <c r="I67" s="2"/>
    </row>
    <row r="68" ht="27" customHeight="1" spans="1:11">
      <c r="A68" s="2"/>
      <c r="B68" s="2"/>
      <c r="C68" s="2"/>
      <c r="D68" s="2"/>
      <c r="E68" s="15"/>
      <c r="F68" s="2"/>
      <c r="G68" s="2"/>
      <c r="H68" s="2"/>
      <c r="I68" s="2"/>
    </row>
    <row r="69" spans="1:11">
      <c r="A69" s="2"/>
      <c r="B69" s="2"/>
      <c r="C69" s="2"/>
      <c r="D69" s="2"/>
      <c r="E69" s="15"/>
      <c r="F69" s="2"/>
      <c r="G69" s="2"/>
      <c r="H69" s="2"/>
      <c r="I69" s="2"/>
    </row>
    <row r="70" ht="40.5" customHeight="1" spans="1:11">
      <c r="A70" s="2"/>
      <c r="B70" s="2"/>
      <c r="C70" s="2"/>
      <c r="D70" s="2"/>
      <c r="E70" s="15"/>
      <c r="F70" s="2"/>
      <c r="G70" s="2"/>
      <c r="H70" s="2"/>
      <c r="I70" s="13"/>
      <c r="J70" s="16"/>
      <c r="K70" s="16"/>
    </row>
    <row r="71" ht="54" customHeight="1" spans="1:11">
      <c r="A71" s="2"/>
      <c r="B71" s="2"/>
      <c r="C71" s="2"/>
      <c r="D71" s="2"/>
      <c r="E71" s="15"/>
      <c r="F71" s="2"/>
      <c r="G71" s="2"/>
      <c r="H71" s="2"/>
      <c r="I71" s="13"/>
    </row>
    <row r="72" ht="54" customHeight="1" spans="1:11">
      <c r="A72" s="2"/>
      <c r="B72" s="2"/>
      <c r="C72" s="2"/>
      <c r="D72" s="2"/>
      <c r="E72" s="15"/>
      <c r="F72" s="2"/>
      <c r="G72" s="2"/>
      <c r="H72" s="2"/>
      <c r="I72" s="13"/>
    </row>
    <row r="73" ht="67.5" customHeight="1" spans="1:11">
      <c r="A73" s="2"/>
      <c r="B73" s="2"/>
      <c r="C73" s="2"/>
      <c r="D73" s="2"/>
      <c r="E73" s="15"/>
      <c r="F73" s="2"/>
      <c r="G73" s="2"/>
      <c r="H73" s="2"/>
      <c r="I73" s="2"/>
    </row>
    <row r="74" ht="27" customHeight="1" spans="1:11">
      <c r="A74" s="2"/>
      <c r="B74" s="2"/>
      <c r="C74" s="2"/>
      <c r="D74" s="2"/>
      <c r="E74" s="15"/>
      <c r="F74" s="2"/>
      <c r="G74" s="2"/>
      <c r="H74" s="2"/>
      <c r="I74" s="2"/>
    </row>
    <row r="75" ht="94.5" customHeight="1" spans="1:11">
      <c r="A75" s="2"/>
      <c r="B75" s="2"/>
      <c r="C75" s="2"/>
      <c r="D75" s="2"/>
      <c r="E75" s="15"/>
      <c r="F75" s="2"/>
      <c r="G75" s="2"/>
      <c r="H75" s="2"/>
      <c r="I75" s="2"/>
    </row>
    <row r="76" ht="40.5" customHeight="1" spans="1:11">
      <c r="A76" s="2"/>
      <c r="B76" s="2"/>
      <c r="C76" s="2"/>
      <c r="D76" s="2"/>
      <c r="E76" s="15"/>
      <c r="F76" s="2"/>
      <c r="G76" s="2"/>
      <c r="H76" s="2"/>
      <c r="I76" s="2"/>
    </row>
    <row r="77" ht="27" customHeight="1" spans="1:11">
      <c r="A77" s="2"/>
      <c r="B77" s="2"/>
      <c r="C77" s="2"/>
      <c r="D77" s="2"/>
      <c r="E77" s="15"/>
      <c r="F77" s="2"/>
      <c r="G77" s="2"/>
      <c r="H77" s="2"/>
      <c r="I77" s="2"/>
    </row>
    <row r="78" ht="67.5" customHeight="1" spans="1:11">
      <c r="A78" s="2"/>
      <c r="B78" s="2"/>
      <c r="C78" s="2"/>
      <c r="D78" s="2"/>
      <c r="E78" s="15"/>
      <c r="F78" s="2"/>
      <c r="G78" s="2"/>
      <c r="H78" s="2"/>
      <c r="I78" s="2"/>
    </row>
    <row r="79" spans="1:11">
      <c r="A79" s="2"/>
      <c r="B79" s="2"/>
      <c r="C79" s="2"/>
      <c r="D79" s="2"/>
      <c r="E79" s="15"/>
      <c r="F79" s="2"/>
      <c r="G79" s="2"/>
      <c r="H79" s="2"/>
      <c r="I79" s="2"/>
    </row>
    <row r="80" ht="67.5" customHeight="1" spans="1:11">
      <c r="A80" s="2"/>
      <c r="B80" s="2"/>
      <c r="C80" s="2"/>
      <c r="D80" s="2"/>
      <c r="E80" s="15"/>
      <c r="F80" s="2"/>
      <c r="G80" s="2"/>
      <c r="H80" s="2"/>
      <c r="I80" s="2"/>
    </row>
    <row r="81" ht="54" customHeight="1" spans="1:12">
      <c r="A81" s="2"/>
      <c r="B81" s="2"/>
      <c r="C81" s="2"/>
      <c r="D81" s="2"/>
      <c r="E81" s="15"/>
      <c r="F81" s="2"/>
      <c r="G81" s="2"/>
      <c r="H81" s="2"/>
      <c r="I81" s="2"/>
    </row>
    <row r="82" ht="67.5" customHeight="1" spans="1:12">
      <c r="A82" s="2"/>
      <c r="B82" s="2"/>
      <c r="C82" s="2"/>
      <c r="D82" s="2"/>
      <c r="E82" s="15"/>
      <c r="F82" s="2"/>
      <c r="G82" s="2"/>
      <c r="H82" s="2"/>
      <c r="I82" s="2"/>
    </row>
    <row r="83" ht="27" customHeight="1" spans="1:12">
      <c r="A83" s="2"/>
      <c r="B83" s="2"/>
      <c r="C83" s="2"/>
      <c r="D83" s="2"/>
      <c r="E83" s="15"/>
      <c r="F83" s="2"/>
      <c r="G83" s="2"/>
      <c r="H83" s="2"/>
      <c r="I83" s="2"/>
    </row>
    <row r="84" ht="67.5" customHeight="1" spans="1:12">
      <c r="A84" s="2"/>
      <c r="B84" s="2"/>
      <c r="C84" s="2"/>
      <c r="D84" s="2"/>
      <c r="E84" s="15"/>
      <c r="F84" s="2"/>
      <c r="G84" s="2"/>
      <c r="H84" s="2"/>
      <c r="I84" s="2"/>
    </row>
    <row r="85" spans="1:12">
      <c r="A85" s="2"/>
      <c r="B85" s="2"/>
      <c r="C85" s="2"/>
      <c r="D85" s="2"/>
      <c r="E85" s="15"/>
      <c r="F85" s="2"/>
      <c r="G85" s="2"/>
      <c r="H85" s="2"/>
      <c r="I85" s="2"/>
    </row>
    <row r="86" ht="27" customHeight="1" spans="1:12">
      <c r="A86" s="2"/>
      <c r="B86" s="2"/>
      <c r="C86" s="2"/>
      <c r="D86" s="2"/>
      <c r="E86" s="15"/>
      <c r="F86" s="2"/>
      <c r="G86" s="2"/>
      <c r="H86" s="2"/>
      <c r="I86" s="2"/>
    </row>
    <row r="87" ht="54" customHeight="1" spans="1:12">
      <c r="A87" s="2"/>
      <c r="B87" s="2"/>
      <c r="C87" s="2"/>
      <c r="D87" s="2"/>
      <c r="E87" s="15"/>
      <c r="F87" s="2"/>
      <c r="G87" s="2"/>
      <c r="H87" s="2"/>
      <c r="I87" s="2"/>
    </row>
    <row r="88" ht="81" customHeight="1" spans="1:12">
      <c r="A88" s="2"/>
      <c r="B88" s="2"/>
      <c r="C88" s="2"/>
      <c r="D88" s="2"/>
      <c r="E88" s="15"/>
      <c r="F88" s="2"/>
      <c r="G88" s="2"/>
      <c r="H88" s="2"/>
      <c r="I88" s="2"/>
    </row>
    <row r="89" ht="94.5" customHeight="1" spans="1:12">
      <c r="A89" s="2"/>
      <c r="B89" s="2"/>
      <c r="C89" s="2"/>
      <c r="D89" s="2"/>
      <c r="E89" s="15"/>
      <c r="F89" s="2"/>
      <c r="G89" s="2"/>
      <c r="H89" s="2"/>
      <c r="I89" s="2"/>
    </row>
    <row r="90" ht="121.5" customHeight="1" spans="1:12">
      <c r="A90" s="2"/>
      <c r="B90" s="2"/>
      <c r="C90" s="2"/>
      <c r="D90" s="2"/>
      <c r="E90" s="15"/>
      <c r="F90" s="2"/>
      <c r="G90" s="2"/>
      <c r="H90" s="2"/>
      <c r="I90" s="2"/>
    </row>
    <row r="91" ht="67.5" customHeight="1" spans="1:12">
      <c r="A91" s="2"/>
      <c r="B91" s="2"/>
      <c r="C91" s="2"/>
      <c r="D91" s="2"/>
      <c r="E91" s="15"/>
      <c r="F91" s="2"/>
      <c r="G91" s="2"/>
      <c r="H91" s="2"/>
      <c r="I91" s="2"/>
    </row>
    <row r="92" ht="108" customHeight="1" spans="1:12">
      <c r="A92" s="2"/>
      <c r="B92" s="2"/>
      <c r="C92" s="2"/>
      <c r="D92" s="2"/>
      <c r="E92" s="15"/>
      <c r="F92" s="2"/>
      <c r="G92" s="2"/>
      <c r="H92" s="2"/>
      <c r="I92" s="13"/>
    </row>
    <row r="93" ht="243" customHeight="1" spans="1:12">
      <c r="A93" s="2"/>
      <c r="B93" s="2"/>
      <c r="C93" s="2"/>
      <c r="D93" s="2"/>
      <c r="E93" s="15"/>
      <c r="F93" s="2"/>
      <c r="G93" s="2"/>
      <c r="H93" s="2"/>
      <c r="I93" s="13"/>
      <c r="J93" s="18"/>
      <c r="K93" s="16"/>
      <c r="L93" s="16"/>
    </row>
    <row r="94" spans="1:12">
      <c r="A94" s="2"/>
      <c r="B94" s="2"/>
      <c r="C94" s="2"/>
      <c r="D94" s="2"/>
      <c r="E94" s="15"/>
      <c r="F94" s="2"/>
      <c r="G94" s="2"/>
      <c r="H94" s="2"/>
      <c r="I94" s="2"/>
    </row>
    <row r="95" spans="1:12">
      <c r="A95" s="2"/>
      <c r="B95" s="2"/>
      <c r="C95" s="2"/>
      <c r="D95" s="2"/>
      <c r="E95" s="15"/>
      <c r="F95" s="2"/>
      <c r="G95" s="2"/>
      <c r="H95" s="2"/>
      <c r="I95" s="2"/>
    </row>
    <row r="96" ht="27" customHeight="1" spans="1:12">
      <c r="A96" s="2"/>
      <c r="B96" s="2"/>
      <c r="C96" s="2"/>
      <c r="D96" s="2"/>
      <c r="E96" s="15"/>
      <c r="F96" s="2"/>
      <c r="G96" s="2"/>
      <c r="H96" s="2"/>
      <c r="I96" s="13"/>
    </row>
    <row r="97" spans="1:9">
      <c r="A97" s="2"/>
      <c r="B97" s="2"/>
      <c r="C97" s="2"/>
      <c r="D97" s="2"/>
      <c r="E97" s="15"/>
      <c r="F97" s="2"/>
      <c r="G97" s="2"/>
      <c r="H97" s="2"/>
      <c r="I97" s="13"/>
    </row>
    <row r="98" spans="1:9">
      <c r="A98" s="2"/>
      <c r="B98" s="2"/>
      <c r="C98" s="2"/>
      <c r="D98" s="2"/>
      <c r="E98" s="15"/>
      <c r="F98" s="2"/>
      <c r="G98" s="2"/>
      <c r="H98" s="2"/>
      <c r="I98" s="13"/>
    </row>
    <row r="99" spans="1:9">
      <c r="A99" s="2"/>
      <c r="B99" s="2"/>
      <c r="C99" s="2"/>
      <c r="D99" s="2"/>
      <c r="E99" s="15"/>
      <c r="F99" s="2"/>
      <c r="G99" s="2"/>
      <c r="H99" s="2"/>
      <c r="I99" s="13"/>
    </row>
    <row r="100" spans="1:9">
      <c r="A100" s="2"/>
      <c r="B100" s="2"/>
      <c r="C100" s="2"/>
      <c r="D100" s="2"/>
      <c r="E100" s="15"/>
      <c r="F100" s="2"/>
      <c r="G100" s="2"/>
      <c r="H100" s="2"/>
      <c r="I100" s="13"/>
    </row>
    <row r="101" spans="1:9">
      <c r="A101" s="2"/>
      <c r="B101" s="2"/>
      <c r="C101" s="2"/>
      <c r="D101" s="2"/>
      <c r="E101" s="15"/>
      <c r="F101" s="2"/>
      <c r="G101" s="2"/>
      <c r="H101" s="2"/>
      <c r="I101" s="2"/>
    </row>
    <row r="102" spans="1:9">
      <c r="A102" s="2"/>
      <c r="B102" s="2"/>
      <c r="C102" s="2"/>
      <c r="D102" s="2"/>
      <c r="E102" s="15"/>
      <c r="F102" s="2"/>
      <c r="G102" s="2"/>
      <c r="H102" s="2"/>
      <c r="I102" s="2"/>
    </row>
    <row r="103" spans="1:9">
      <c r="A103" s="2"/>
      <c r="B103" s="2"/>
      <c r="C103" s="2"/>
      <c r="D103" s="2"/>
      <c r="E103" s="15"/>
      <c r="F103" s="2"/>
      <c r="G103" s="2"/>
      <c r="H103" s="2"/>
      <c r="I103" s="2"/>
    </row>
    <row r="104" spans="1:9">
      <c r="A104" s="2"/>
      <c r="B104" s="2"/>
      <c r="C104" s="2"/>
      <c r="D104" s="2"/>
      <c r="E104" s="15"/>
      <c r="F104" s="2"/>
      <c r="G104" s="2"/>
      <c r="H104" s="2"/>
      <c r="I104" s="2"/>
    </row>
    <row r="105" spans="1:9">
      <c r="A105" s="2"/>
      <c r="B105" s="2"/>
      <c r="C105" s="2"/>
      <c r="D105" s="2"/>
      <c r="E105" s="15"/>
      <c r="F105" s="2"/>
      <c r="G105" s="2"/>
      <c r="H105" s="2"/>
      <c r="I105" s="2"/>
    </row>
    <row r="106" spans="1:9">
      <c r="A106" s="2"/>
      <c r="B106" s="2"/>
      <c r="C106" s="2"/>
      <c r="D106" s="2"/>
      <c r="E106" s="15"/>
      <c r="F106" s="2"/>
      <c r="G106" s="2"/>
      <c r="H106" s="2"/>
      <c r="I106" s="2"/>
    </row>
    <row r="107" spans="1:9">
      <c r="A107" s="2"/>
      <c r="B107" s="2"/>
      <c r="C107" s="2"/>
      <c r="D107" s="2"/>
      <c r="E107" s="15"/>
      <c r="F107" s="2"/>
      <c r="G107" s="2"/>
      <c r="H107" s="2"/>
      <c r="I107" s="2"/>
    </row>
    <row r="108" spans="1:9">
      <c r="A108" s="2"/>
      <c r="B108" s="2"/>
      <c r="C108" s="2"/>
      <c r="D108" s="2"/>
      <c r="E108" s="15"/>
      <c r="F108" s="2"/>
      <c r="G108" s="2"/>
      <c r="H108" s="2"/>
      <c r="I108" s="2"/>
    </row>
    <row r="109" spans="1:9">
      <c r="A109" s="2"/>
      <c r="B109" s="2"/>
      <c r="C109" s="2"/>
      <c r="D109" s="2"/>
      <c r="E109" s="15"/>
      <c r="F109" s="2"/>
      <c r="G109" s="2"/>
      <c r="H109" s="2"/>
      <c r="I109" s="2"/>
    </row>
    <row r="110" spans="1:9">
      <c r="A110" s="2"/>
      <c r="B110" s="2"/>
      <c r="C110" s="2"/>
      <c r="D110" s="2"/>
      <c r="E110" s="15"/>
      <c r="F110" s="2"/>
      <c r="G110" s="2"/>
      <c r="H110" s="2"/>
      <c r="I110" s="2"/>
    </row>
    <row r="111" spans="1:9">
      <c r="A111" s="2"/>
      <c r="B111" s="2"/>
      <c r="C111" s="2"/>
      <c r="D111" s="2"/>
      <c r="E111" s="15"/>
      <c r="F111" s="2"/>
      <c r="G111" s="2"/>
      <c r="H111" s="2"/>
      <c r="I111" s="2"/>
    </row>
    <row r="112" spans="1:9">
      <c r="A112" s="2"/>
      <c r="B112" s="2"/>
      <c r="C112" s="2"/>
      <c r="D112" s="2"/>
      <c r="E112" s="15"/>
      <c r="F112" s="2"/>
      <c r="G112" s="2"/>
      <c r="H112" s="2"/>
      <c r="I112" s="2"/>
    </row>
    <row r="113" spans="1:9">
      <c r="A113" s="2"/>
      <c r="B113" s="2"/>
      <c r="C113" s="2"/>
      <c r="D113" s="2"/>
      <c r="E113" s="15"/>
      <c r="F113" s="2"/>
      <c r="G113" s="2"/>
      <c r="H113" s="2"/>
      <c r="I113" s="2"/>
    </row>
    <row r="114" spans="1:9">
      <c r="A114" s="2"/>
      <c r="B114" s="2"/>
      <c r="C114" s="2"/>
      <c r="D114" s="2"/>
      <c r="E114" s="15"/>
      <c r="F114" s="2"/>
      <c r="G114" s="2"/>
      <c r="H114" s="2"/>
      <c r="I114" s="2"/>
    </row>
    <row r="115" spans="1:9">
      <c r="A115" s="2"/>
      <c r="B115" s="2"/>
      <c r="C115" s="2"/>
      <c r="D115" s="2"/>
      <c r="E115" s="15"/>
      <c r="F115" s="2"/>
      <c r="G115" s="2"/>
      <c r="H115" s="2"/>
      <c r="I115" s="2"/>
    </row>
    <row r="116" spans="1:9">
      <c r="A116" s="2"/>
      <c r="B116" s="2"/>
      <c r="C116" s="2"/>
      <c r="D116" s="2"/>
      <c r="E116" s="15"/>
      <c r="F116" s="2"/>
      <c r="G116" s="2"/>
      <c r="H116" s="2"/>
      <c r="I116" s="2"/>
    </row>
    <row r="117" spans="1:9">
      <c r="A117" s="2"/>
      <c r="B117" s="2"/>
      <c r="C117" s="2"/>
      <c r="D117" s="2"/>
      <c r="E117" s="15"/>
      <c r="F117" s="2"/>
      <c r="G117" s="2"/>
      <c r="H117" s="2"/>
      <c r="I117" s="2"/>
    </row>
    <row r="118" spans="1:9">
      <c r="A118" s="2"/>
      <c r="B118" s="2"/>
      <c r="C118" s="2"/>
      <c r="D118" s="2"/>
      <c r="E118" s="15"/>
      <c r="F118" s="2"/>
      <c r="G118" s="2"/>
      <c r="H118" s="2"/>
      <c r="I118" s="2"/>
    </row>
    <row r="119" spans="1:9">
      <c r="A119" s="2"/>
      <c r="B119" s="2"/>
      <c r="C119" s="2"/>
      <c r="D119" s="2"/>
      <c r="E119" s="15"/>
      <c r="F119" s="2"/>
      <c r="G119" s="2"/>
      <c r="H119" s="2"/>
      <c r="I119" s="2"/>
    </row>
    <row r="120" spans="1:9">
      <c r="A120" s="2"/>
      <c r="B120" s="2"/>
      <c r="C120" s="2"/>
      <c r="D120" s="2"/>
      <c r="E120" s="15"/>
      <c r="F120" s="2"/>
      <c r="G120" s="2"/>
      <c r="H120" s="2"/>
      <c r="I120" s="2"/>
    </row>
    <row r="121" spans="1:9">
      <c r="A121" s="2"/>
      <c r="B121" s="2"/>
      <c r="C121" s="2"/>
      <c r="D121" s="2"/>
      <c r="E121" s="15"/>
      <c r="F121" s="2"/>
      <c r="G121" s="2"/>
      <c r="H121" s="2"/>
      <c r="I121" s="2"/>
    </row>
    <row r="122" spans="1:9">
      <c r="A122" s="2"/>
      <c r="B122" s="2"/>
      <c r="C122" s="2"/>
      <c r="D122" s="2"/>
      <c r="E122" s="15"/>
      <c r="F122" s="2"/>
      <c r="G122" s="2"/>
      <c r="H122" s="2"/>
      <c r="I122" s="2"/>
    </row>
    <row r="123" spans="1:9">
      <c r="A123" s="2"/>
      <c r="B123" s="2"/>
      <c r="C123" s="2"/>
      <c r="D123" s="2"/>
      <c r="E123" s="15"/>
      <c r="F123" s="2"/>
      <c r="G123" s="2"/>
      <c r="H123" s="2"/>
      <c r="I123" s="2"/>
    </row>
    <row r="124" spans="1:9">
      <c r="A124" s="2"/>
      <c r="B124" s="2"/>
      <c r="C124" s="2"/>
      <c r="D124" s="2"/>
      <c r="E124" s="15"/>
      <c r="F124" s="2"/>
      <c r="G124" s="2"/>
      <c r="H124" s="2"/>
      <c r="I124" s="2"/>
    </row>
    <row r="125" spans="1:9">
      <c r="A125" s="2"/>
      <c r="B125" s="2"/>
      <c r="C125" s="2"/>
      <c r="D125" s="2"/>
      <c r="E125" s="15"/>
      <c r="F125" s="2"/>
      <c r="G125" s="2"/>
      <c r="H125" s="2"/>
      <c r="I125" s="2"/>
    </row>
    <row r="126" spans="1:9">
      <c r="A126" s="2"/>
      <c r="B126" s="2"/>
      <c r="C126" s="2"/>
      <c r="D126" s="2"/>
      <c r="E126" s="15"/>
      <c r="F126" s="2"/>
      <c r="G126" s="2"/>
      <c r="H126" s="2"/>
      <c r="I126" s="2"/>
    </row>
    <row r="127" spans="1:9">
      <c r="A127" s="2"/>
      <c r="B127" s="2"/>
      <c r="C127" s="2"/>
      <c r="D127" s="2"/>
      <c r="E127" s="15"/>
      <c r="F127" s="2"/>
      <c r="G127" s="2"/>
      <c r="H127" s="2"/>
      <c r="I127" s="2"/>
    </row>
    <row r="128" spans="1:9">
      <c r="A128" s="2"/>
      <c r="B128" s="2"/>
      <c r="C128" s="2"/>
      <c r="D128" s="2"/>
      <c r="E128" s="15"/>
      <c r="F128" s="2"/>
      <c r="G128" s="2"/>
      <c r="H128" s="2"/>
      <c r="I128" s="2"/>
    </row>
    <row r="129" spans="1:9">
      <c r="A129" s="2"/>
      <c r="B129" s="2"/>
      <c r="C129" s="2"/>
      <c r="D129" s="2"/>
      <c r="E129" s="15"/>
      <c r="F129" s="2"/>
      <c r="G129" s="2"/>
      <c r="H129" s="2"/>
      <c r="I129" s="2"/>
    </row>
    <row r="130" spans="1:9">
      <c r="A130" s="2"/>
      <c r="B130" s="2"/>
      <c r="C130" s="2"/>
      <c r="D130" s="2"/>
      <c r="E130" s="15"/>
      <c r="F130" s="2"/>
      <c r="G130" s="2"/>
      <c r="H130" s="2"/>
      <c r="I130" s="2"/>
    </row>
    <row r="131" spans="1:9">
      <c r="A131" s="2"/>
      <c r="B131" s="2"/>
      <c r="C131" s="2"/>
      <c r="D131" s="2"/>
      <c r="E131" s="15"/>
      <c r="F131" s="2"/>
      <c r="G131" s="2"/>
      <c r="H131" s="2"/>
      <c r="I131" s="2"/>
    </row>
    <row r="132" spans="1:9">
      <c r="A132" s="2"/>
      <c r="B132" s="2"/>
      <c r="C132" s="2"/>
      <c r="D132" s="2"/>
      <c r="E132" s="15"/>
      <c r="F132" s="2"/>
      <c r="G132" s="2"/>
      <c r="H132" s="2"/>
      <c r="I132" s="2"/>
    </row>
    <row r="133" spans="1:9">
      <c r="A133" s="2"/>
      <c r="B133" s="2"/>
      <c r="C133" s="2"/>
      <c r="D133" s="2"/>
      <c r="E133" s="15"/>
      <c r="F133" s="2"/>
      <c r="G133" s="2"/>
      <c r="H133" s="2"/>
      <c r="I133" s="2"/>
    </row>
    <row r="134" spans="1:9">
      <c r="A134" s="2"/>
      <c r="B134" s="2"/>
      <c r="C134" s="2"/>
      <c r="D134" s="2"/>
      <c r="E134" s="15"/>
      <c r="F134" s="2"/>
      <c r="G134" s="2"/>
      <c r="H134" s="2"/>
      <c r="I134" s="2"/>
    </row>
    <row r="135" spans="1:9">
      <c r="A135" s="2"/>
      <c r="B135" s="2"/>
      <c r="C135" s="2"/>
      <c r="D135" s="2"/>
      <c r="E135" s="15"/>
      <c r="F135" s="2"/>
      <c r="G135" s="2"/>
      <c r="H135" s="2"/>
      <c r="I135" s="2"/>
    </row>
    <row r="136" spans="1:9">
      <c r="A136" s="2"/>
      <c r="B136" s="2"/>
      <c r="C136" s="2"/>
      <c r="D136" s="2"/>
      <c r="E136" s="15"/>
      <c r="F136" s="2"/>
      <c r="G136" s="2"/>
      <c r="H136" s="2"/>
      <c r="I136" s="2"/>
    </row>
    <row r="137" spans="1:9">
      <c r="A137" s="2"/>
      <c r="B137" s="2"/>
      <c r="C137" s="2"/>
      <c r="D137" s="2"/>
      <c r="E137" s="15"/>
      <c r="F137" s="2"/>
      <c r="G137" s="2"/>
      <c r="H137" s="2"/>
      <c r="I137" s="2"/>
    </row>
    <row r="138" spans="1:9">
      <c r="A138" s="2"/>
      <c r="B138" s="2"/>
      <c r="C138" s="2"/>
      <c r="D138" s="2"/>
      <c r="E138" s="15"/>
      <c r="F138" s="2"/>
      <c r="G138" s="2"/>
      <c r="H138" s="2"/>
      <c r="I138" s="2"/>
    </row>
    <row r="139" spans="1:9">
      <c r="A139" s="2"/>
      <c r="B139" s="2"/>
      <c r="C139" s="2"/>
      <c r="D139" s="2"/>
      <c r="E139" s="15"/>
      <c r="F139" s="2"/>
      <c r="G139" s="2"/>
      <c r="H139" s="2"/>
      <c r="I139" s="2"/>
    </row>
    <row r="140" spans="1:9">
      <c r="A140" s="2"/>
      <c r="B140" s="2"/>
      <c r="C140" s="2"/>
      <c r="D140" s="2"/>
      <c r="E140" s="15"/>
      <c r="F140" s="2"/>
      <c r="G140" s="2"/>
      <c r="H140" s="2"/>
      <c r="I140" s="2"/>
    </row>
    <row r="141" spans="1:9">
      <c r="A141" s="2"/>
      <c r="B141" s="2"/>
      <c r="C141" s="2"/>
      <c r="D141" s="2"/>
      <c r="E141" s="15"/>
      <c r="F141" s="2"/>
      <c r="G141" s="2"/>
      <c r="H141" s="2"/>
      <c r="I141" s="2"/>
    </row>
    <row r="142" spans="1:9">
      <c r="A142" s="2"/>
      <c r="B142" s="2"/>
      <c r="C142" s="2"/>
      <c r="D142" s="2"/>
      <c r="E142" s="15"/>
      <c r="F142" s="2"/>
      <c r="G142" s="2"/>
      <c r="H142" s="2"/>
      <c r="I142" s="2"/>
    </row>
    <row r="143" spans="1:9">
      <c r="A143" s="2"/>
      <c r="B143" s="2"/>
      <c r="C143" s="2"/>
      <c r="D143" s="2"/>
      <c r="E143" s="15"/>
      <c r="F143" s="2"/>
      <c r="G143" s="2"/>
      <c r="H143" s="2"/>
      <c r="I143" s="2"/>
    </row>
    <row r="144" spans="1:9">
      <c r="A144" s="2"/>
      <c r="B144" s="2"/>
      <c r="C144" s="2"/>
      <c r="D144" s="2"/>
      <c r="E144" s="15"/>
      <c r="F144" s="2"/>
      <c r="G144" s="2"/>
      <c r="H144" s="2"/>
      <c r="I144" s="2"/>
    </row>
    <row r="145" spans="1:9">
      <c r="A145" s="2"/>
      <c r="B145" s="2"/>
      <c r="C145" s="2"/>
      <c r="D145" s="2"/>
      <c r="E145" s="15"/>
      <c r="F145" s="2"/>
      <c r="G145" s="2"/>
      <c r="H145" s="2"/>
      <c r="I145" s="2"/>
    </row>
    <row r="146" spans="1:9">
      <c r="A146" s="2"/>
      <c r="B146" s="2"/>
      <c r="C146" s="2"/>
      <c r="D146" s="2"/>
      <c r="E146" s="15"/>
      <c r="F146" s="2"/>
      <c r="G146" s="2"/>
      <c r="H146" s="2"/>
      <c r="I146" s="2"/>
    </row>
    <row r="147" spans="1:9">
      <c r="A147" s="2"/>
      <c r="B147" s="2"/>
      <c r="C147" s="2"/>
      <c r="D147" s="2"/>
      <c r="E147" s="15"/>
      <c r="F147" s="2"/>
      <c r="G147" s="2"/>
      <c r="H147" s="2"/>
      <c r="I147" s="2"/>
    </row>
    <row r="148" spans="1:9">
      <c r="A148" s="2"/>
      <c r="B148" s="2"/>
      <c r="C148" s="2"/>
      <c r="D148" s="2"/>
      <c r="E148" s="15"/>
      <c r="F148" s="2"/>
      <c r="G148" s="2"/>
      <c r="H148" s="2"/>
      <c r="I148" s="2"/>
    </row>
    <row r="149" spans="1:9">
      <c r="A149" s="2"/>
      <c r="B149" s="2"/>
      <c r="C149" s="2"/>
      <c r="D149" s="2"/>
      <c r="E149" s="15"/>
      <c r="F149" s="2"/>
      <c r="G149" s="2"/>
      <c r="H149" s="2"/>
      <c r="I149" s="2"/>
    </row>
    <row r="150" spans="1:9">
      <c r="A150" s="2"/>
      <c r="B150" s="2"/>
      <c r="C150" s="2"/>
      <c r="D150" s="2"/>
      <c r="E150" s="15"/>
      <c r="F150" s="2"/>
      <c r="G150" s="2"/>
      <c r="H150" s="2"/>
      <c r="I150" s="2"/>
    </row>
    <row r="151" spans="1:9">
      <c r="A151" s="2"/>
      <c r="B151" s="2"/>
      <c r="C151" s="2"/>
      <c r="D151" s="2"/>
      <c r="E151" s="15"/>
      <c r="F151" s="2"/>
      <c r="G151" s="2"/>
      <c r="H151" s="2"/>
      <c r="I151" s="2"/>
    </row>
    <row r="152" spans="1:9">
      <c r="A152" s="2"/>
      <c r="B152" s="2"/>
      <c r="C152" s="2"/>
      <c r="D152" s="2"/>
      <c r="E152" s="15"/>
      <c r="F152" s="2"/>
      <c r="G152" s="2"/>
      <c r="H152" s="2"/>
      <c r="I152" s="2"/>
    </row>
    <row r="153" spans="1:9">
      <c r="A153" s="2"/>
      <c r="B153" s="2"/>
      <c r="C153" s="2"/>
      <c r="D153" s="2"/>
      <c r="E153" s="15"/>
      <c r="F153" s="2"/>
      <c r="G153" s="2"/>
      <c r="H153" s="2"/>
      <c r="I153" s="2"/>
    </row>
    <row r="154" spans="1:9">
      <c r="A154" s="2"/>
      <c r="B154" s="2"/>
      <c r="C154" s="2"/>
      <c r="D154" s="2"/>
      <c r="E154" s="15"/>
      <c r="F154" s="2"/>
      <c r="G154" s="2"/>
      <c r="H154" s="2"/>
      <c r="I154" s="2"/>
    </row>
    <row r="155" spans="1:9">
      <c r="A155" s="2"/>
      <c r="B155" s="2"/>
      <c r="C155" s="2"/>
      <c r="D155" s="2"/>
      <c r="E155" s="15"/>
      <c r="F155" s="2"/>
      <c r="G155" s="2"/>
      <c r="H155" s="2"/>
      <c r="I155" s="2"/>
    </row>
    <row r="156" spans="1:9">
      <c r="A156" s="2"/>
      <c r="B156" s="2"/>
      <c r="C156" s="2"/>
      <c r="D156" s="2"/>
      <c r="E156" s="15"/>
      <c r="F156" s="2"/>
      <c r="G156" s="2"/>
      <c r="H156" s="2"/>
      <c r="I156" s="2"/>
    </row>
    <row r="157" spans="1:9">
      <c r="A157" s="2"/>
      <c r="B157" s="2"/>
      <c r="C157" s="2"/>
      <c r="D157" s="2"/>
      <c r="E157" s="15"/>
      <c r="F157" s="2"/>
      <c r="G157" s="2"/>
      <c r="H157" s="2"/>
      <c r="I157" s="2"/>
    </row>
    <row r="158" spans="1:9">
      <c r="A158" s="2"/>
      <c r="B158" s="2"/>
      <c r="C158" s="2"/>
      <c r="D158" s="2"/>
      <c r="E158" s="15"/>
      <c r="F158" s="2"/>
      <c r="G158" s="2"/>
      <c r="H158" s="2"/>
      <c r="I158" s="2"/>
    </row>
    <row r="159" spans="1:9">
      <c r="A159" s="2"/>
      <c r="B159" s="2"/>
      <c r="C159" s="2"/>
      <c r="D159" s="2"/>
      <c r="E159" s="15"/>
      <c r="F159" s="2"/>
      <c r="G159" s="2"/>
      <c r="H159" s="2"/>
      <c r="I159" s="2"/>
    </row>
    <row r="160" spans="1:9">
      <c r="A160" s="2"/>
      <c r="B160" s="2"/>
      <c r="C160" s="2"/>
      <c r="D160" s="2"/>
      <c r="E160" s="15"/>
      <c r="F160" s="2"/>
      <c r="G160" s="2"/>
      <c r="H160" s="2"/>
      <c r="I160" s="2"/>
    </row>
    <row r="161" spans="1:9">
      <c r="A161" s="2"/>
      <c r="B161" s="2"/>
      <c r="C161" s="2"/>
      <c r="D161" s="2"/>
      <c r="E161" s="15"/>
      <c r="F161" s="2"/>
      <c r="G161" s="2"/>
      <c r="H161" s="2"/>
      <c r="I161" s="2"/>
    </row>
    <row r="162" spans="1:9">
      <c r="A162" s="2"/>
      <c r="B162" s="2"/>
      <c r="C162" s="2"/>
      <c r="D162" s="2"/>
      <c r="E162" s="15"/>
      <c r="F162" s="2"/>
      <c r="G162" s="2"/>
      <c r="H162" s="2"/>
      <c r="I162" s="2"/>
    </row>
    <row r="163" spans="1:9">
      <c r="A163" s="2"/>
      <c r="B163" s="2"/>
      <c r="C163" s="2"/>
      <c r="D163" s="2"/>
      <c r="E163" s="15"/>
      <c r="F163" s="2"/>
      <c r="G163" s="2"/>
      <c r="H163" s="2"/>
      <c r="I163" s="2"/>
    </row>
    <row r="164" spans="1:9">
      <c r="A164" s="2"/>
      <c r="B164" s="2"/>
      <c r="C164" s="2"/>
      <c r="D164" s="2"/>
      <c r="E164" s="15"/>
      <c r="F164" s="2"/>
      <c r="G164" s="2"/>
      <c r="H164" s="2"/>
      <c r="I164" s="2"/>
    </row>
    <row r="165" spans="1:9">
      <c r="A165" s="2"/>
      <c r="B165" s="2"/>
      <c r="C165" s="2"/>
      <c r="D165" s="2"/>
      <c r="E165" s="15"/>
      <c r="F165" s="2"/>
      <c r="G165" s="2"/>
      <c r="H165" s="2"/>
      <c r="I165" s="2"/>
    </row>
    <row r="166" spans="1:9">
      <c r="A166" s="2"/>
      <c r="B166" s="2"/>
      <c r="C166" s="2"/>
      <c r="D166" s="2"/>
      <c r="E166" s="15"/>
      <c r="F166" s="2"/>
      <c r="G166" s="2"/>
      <c r="H166" s="2"/>
      <c r="I166" s="2"/>
    </row>
    <row r="167" spans="1:9">
      <c r="A167" s="2"/>
      <c r="B167" s="2"/>
      <c r="C167" s="2"/>
      <c r="D167" s="2"/>
      <c r="E167" s="15"/>
      <c r="F167" s="2"/>
      <c r="G167" s="2"/>
      <c r="H167" s="2"/>
      <c r="I167" s="2"/>
    </row>
    <row r="168" spans="1:9">
      <c r="A168" s="2"/>
      <c r="B168" s="2"/>
      <c r="C168" s="2"/>
      <c r="D168" s="2"/>
      <c r="E168" s="15"/>
      <c r="F168" s="2"/>
      <c r="G168" s="2"/>
      <c r="H168" s="2"/>
      <c r="I168" s="2"/>
    </row>
    <row r="169" spans="1:9">
      <c r="A169" s="2"/>
      <c r="B169" s="2"/>
      <c r="C169" s="2"/>
      <c r="D169" s="2"/>
      <c r="E169" s="15"/>
      <c r="F169" s="2"/>
      <c r="G169" s="2"/>
      <c r="H169" s="2"/>
      <c r="I169" s="2"/>
    </row>
    <row r="170" spans="1:9">
      <c r="A170" s="2"/>
      <c r="B170" s="2"/>
      <c r="C170" s="2"/>
      <c r="D170" s="2"/>
      <c r="E170" s="15"/>
      <c r="F170" s="2"/>
      <c r="G170" s="2"/>
      <c r="H170" s="2"/>
      <c r="I170" s="2"/>
    </row>
    <row r="171" spans="1:9">
      <c r="A171" s="2"/>
      <c r="B171" s="2"/>
      <c r="C171" s="2"/>
      <c r="D171" s="2"/>
      <c r="E171" s="15"/>
      <c r="F171" s="2"/>
      <c r="G171" s="2"/>
      <c r="H171" s="2"/>
      <c r="I171" s="2"/>
    </row>
    <row r="172" spans="1:9">
      <c r="A172" s="2"/>
      <c r="B172" s="2"/>
      <c r="C172" s="2"/>
      <c r="D172" s="2"/>
      <c r="E172" s="15"/>
      <c r="F172" s="2"/>
      <c r="G172" s="2"/>
      <c r="H172" s="2"/>
      <c r="I172" s="2"/>
    </row>
    <row r="173" spans="1:9">
      <c r="A173" s="2"/>
      <c r="B173" s="2"/>
      <c r="C173" s="2"/>
      <c r="D173" s="2"/>
      <c r="E173" s="15"/>
      <c r="F173" s="2"/>
      <c r="G173" s="2"/>
      <c r="H173" s="2"/>
      <c r="I173" s="2"/>
    </row>
    <row r="174" spans="1:9">
      <c r="A174" s="2"/>
      <c r="B174" s="2"/>
      <c r="C174" s="2"/>
      <c r="D174" s="2"/>
      <c r="E174" s="15"/>
      <c r="F174" s="2"/>
      <c r="G174" s="2"/>
      <c r="H174" s="2"/>
      <c r="I174" s="2"/>
    </row>
    <row r="175" spans="1:9">
      <c r="A175" s="2"/>
      <c r="B175" s="2"/>
      <c r="C175" s="2"/>
      <c r="D175" s="2"/>
      <c r="E175" s="15"/>
      <c r="F175" s="2"/>
      <c r="G175" s="2"/>
      <c r="H175" s="2"/>
      <c r="I175" s="2"/>
    </row>
    <row r="176" spans="1:9">
      <c r="A176" s="2"/>
      <c r="B176" s="2"/>
      <c r="C176" s="2"/>
      <c r="D176" s="2"/>
      <c r="E176" s="15"/>
      <c r="F176" s="2"/>
      <c r="G176" s="2"/>
      <c r="H176" s="2"/>
      <c r="I176" s="2"/>
    </row>
    <row r="177" spans="1:9">
      <c r="A177" s="2"/>
      <c r="B177" s="2"/>
      <c r="C177" s="2"/>
      <c r="D177" s="2"/>
      <c r="E177" s="15"/>
      <c r="F177" s="2"/>
      <c r="G177" s="2"/>
      <c r="H177" s="2"/>
      <c r="I177" s="2"/>
    </row>
    <row r="178" spans="1:9">
      <c r="A178" s="2"/>
      <c r="B178" s="2"/>
      <c r="C178" s="2"/>
      <c r="D178" s="2"/>
      <c r="E178" s="15"/>
      <c r="F178" s="2"/>
      <c r="G178" s="2"/>
      <c r="H178" s="2"/>
      <c r="I178" s="2"/>
    </row>
    <row r="179" spans="1:9">
      <c r="A179" s="2"/>
      <c r="B179" s="2"/>
      <c r="C179" s="2"/>
      <c r="D179" s="2"/>
      <c r="E179" s="15"/>
      <c r="F179" s="2"/>
      <c r="G179" s="2"/>
      <c r="H179" s="2"/>
      <c r="I179" s="2"/>
    </row>
    <row r="180" spans="1:9">
      <c r="A180" s="2"/>
      <c r="B180" s="2"/>
      <c r="C180" s="2"/>
      <c r="D180" s="2"/>
      <c r="E180" s="15"/>
      <c r="F180" s="2"/>
      <c r="G180" s="2"/>
      <c r="H180" s="2"/>
      <c r="I180" s="2"/>
    </row>
    <row r="181" spans="1:9">
      <c r="A181" s="2"/>
      <c r="B181" s="2"/>
      <c r="C181" s="2"/>
      <c r="D181" s="2"/>
      <c r="E181" s="15"/>
      <c r="F181" s="2"/>
      <c r="G181" s="2"/>
      <c r="H181" s="2"/>
      <c r="I181" s="2"/>
    </row>
    <row r="182" spans="1:9">
      <c r="A182" s="2"/>
      <c r="B182" s="2"/>
      <c r="C182" s="2"/>
      <c r="D182" s="2"/>
      <c r="E182" s="15"/>
      <c r="F182" s="2"/>
      <c r="G182" s="2"/>
      <c r="H182" s="2"/>
      <c r="I182" s="2"/>
    </row>
    <row r="183" spans="1:9">
      <c r="A183" s="2"/>
      <c r="B183" s="2"/>
      <c r="C183" s="2"/>
      <c r="D183" s="2"/>
      <c r="E183" s="15"/>
      <c r="F183" s="2"/>
      <c r="G183" s="2"/>
      <c r="H183" s="2"/>
      <c r="I183" s="2"/>
    </row>
    <row r="184" spans="1:9">
      <c r="A184" s="2"/>
      <c r="B184" s="2"/>
      <c r="C184" s="2"/>
      <c r="D184" s="2"/>
      <c r="E184" s="15"/>
      <c r="F184" s="2"/>
      <c r="G184" s="2"/>
      <c r="H184" s="2"/>
      <c r="I184" s="2"/>
    </row>
    <row r="185" spans="1:9">
      <c r="A185" s="2"/>
      <c r="B185" s="2"/>
      <c r="C185" s="2"/>
      <c r="D185" s="2"/>
      <c r="E185" s="15"/>
      <c r="F185" s="2"/>
      <c r="G185" s="2"/>
      <c r="H185" s="2"/>
      <c r="I185" s="2"/>
    </row>
    <row r="186" spans="1:9">
      <c r="A186" s="2"/>
      <c r="B186" s="2"/>
      <c r="C186" s="2"/>
      <c r="D186" s="2"/>
      <c r="E186" s="15"/>
      <c r="F186" s="2"/>
      <c r="G186" s="2"/>
      <c r="H186" s="2"/>
      <c r="I186" s="2"/>
    </row>
    <row r="187" spans="1:9">
      <c r="A187" s="2"/>
      <c r="B187" s="2"/>
      <c r="C187" s="2"/>
      <c r="D187" s="2"/>
      <c r="E187" s="15"/>
      <c r="F187" s="2"/>
      <c r="G187" s="2"/>
      <c r="H187" s="2"/>
      <c r="I187" s="2"/>
    </row>
    <row r="188" spans="1:9">
      <c r="A188" s="2"/>
      <c r="B188" s="2"/>
      <c r="C188" s="2"/>
      <c r="D188" s="2"/>
      <c r="E188" s="15"/>
      <c r="F188" s="2"/>
      <c r="G188" s="2"/>
      <c r="H188" s="2"/>
      <c r="I188" s="2"/>
    </row>
    <row r="189" spans="1:9">
      <c r="A189" s="2"/>
      <c r="B189" s="2"/>
      <c r="C189" s="2"/>
      <c r="D189" s="2"/>
      <c r="E189" s="15"/>
      <c r="F189" s="2"/>
      <c r="G189" s="2"/>
      <c r="H189" s="2"/>
      <c r="I189" s="2"/>
    </row>
    <row r="190" spans="1:9">
      <c r="A190" s="2"/>
      <c r="B190" s="2"/>
      <c r="C190" s="2"/>
      <c r="D190" s="2"/>
      <c r="E190" s="15"/>
      <c r="F190" s="2"/>
      <c r="G190" s="2"/>
      <c r="H190" s="2"/>
      <c r="I190" s="2"/>
    </row>
    <row r="191" spans="1:9">
      <c r="A191" s="2"/>
      <c r="B191" s="2"/>
      <c r="C191" s="2"/>
      <c r="D191" s="2"/>
      <c r="E191" s="15"/>
      <c r="F191" s="2"/>
      <c r="G191" s="2"/>
      <c r="H191" s="2"/>
      <c r="I191" s="2"/>
    </row>
    <row r="192" spans="1:9">
      <c r="A192" s="2"/>
      <c r="B192" s="2"/>
      <c r="C192" s="2"/>
      <c r="D192" s="2"/>
      <c r="E192" s="15"/>
      <c r="F192" s="2"/>
      <c r="G192" s="2"/>
      <c r="H192" s="2"/>
      <c r="I192" s="2"/>
    </row>
    <row r="193" spans="1:9">
      <c r="A193" s="2"/>
      <c r="B193" s="2"/>
      <c r="C193" s="2"/>
      <c r="D193" s="2"/>
      <c r="E193" s="15"/>
      <c r="F193" s="2"/>
      <c r="G193" s="2"/>
      <c r="H193" s="2"/>
      <c r="I193" s="2"/>
    </row>
    <row r="194" spans="1:9">
      <c r="A194" s="2"/>
      <c r="B194" s="2"/>
      <c r="C194" s="2"/>
      <c r="D194" s="2"/>
      <c r="E194" s="15"/>
      <c r="F194" s="2"/>
      <c r="G194" s="2"/>
      <c r="H194" s="2"/>
      <c r="I194" s="2"/>
    </row>
    <row r="195" spans="1:9">
      <c r="A195" s="2"/>
      <c r="B195" s="2"/>
      <c r="C195" s="2"/>
      <c r="D195" s="2"/>
      <c r="E195" s="15"/>
      <c r="F195" s="2"/>
      <c r="G195" s="2"/>
      <c r="H195" s="2"/>
      <c r="I195" s="2"/>
    </row>
    <row r="196" spans="1:9">
      <c r="A196" s="2"/>
      <c r="B196" s="2"/>
      <c r="C196" s="2"/>
      <c r="D196" s="2"/>
      <c r="E196" s="15"/>
      <c r="F196" s="2"/>
      <c r="G196" s="2"/>
      <c r="H196" s="2"/>
      <c r="I196" s="2"/>
    </row>
    <row r="197" spans="1:9">
      <c r="A197" s="2"/>
      <c r="B197" s="2"/>
      <c r="C197" s="2"/>
      <c r="D197" s="2"/>
      <c r="E197" s="15"/>
      <c r="F197" s="2"/>
      <c r="G197" s="2"/>
      <c r="H197" s="2"/>
      <c r="I197" s="2"/>
    </row>
    <row r="198" spans="1:9">
      <c r="A198" s="2"/>
      <c r="B198" s="2"/>
      <c r="C198" s="2"/>
      <c r="D198" s="2"/>
      <c r="E198" s="15"/>
      <c r="F198" s="2"/>
      <c r="G198" s="2"/>
      <c r="H198" s="2"/>
      <c r="I198" s="2"/>
    </row>
    <row r="199" spans="1:9">
      <c r="A199" s="2"/>
      <c r="B199" s="2"/>
      <c r="C199" s="2"/>
      <c r="D199" s="2"/>
      <c r="E199" s="15"/>
      <c r="F199" s="2"/>
      <c r="G199" s="2"/>
      <c r="H199" s="2"/>
      <c r="I199" s="2"/>
    </row>
    <row r="200" spans="1:9">
      <c r="A200" s="2"/>
      <c r="B200" s="2"/>
      <c r="C200" s="2"/>
      <c r="D200" s="2"/>
      <c r="E200" s="15"/>
      <c r="F200" s="2"/>
      <c r="G200" s="2"/>
      <c r="H200" s="2"/>
      <c r="I200" s="2"/>
    </row>
    <row r="201" spans="1:9">
      <c r="A201" s="2"/>
      <c r="B201" s="2"/>
      <c r="C201" s="2"/>
      <c r="D201" s="2"/>
      <c r="E201" s="15"/>
      <c r="F201" s="2"/>
      <c r="G201" s="2"/>
      <c r="H201" s="2"/>
      <c r="I201" s="2"/>
    </row>
    <row r="202" spans="1:9">
      <c r="A202" s="2"/>
      <c r="B202" s="2"/>
      <c r="C202" s="2"/>
      <c r="D202" s="2"/>
      <c r="E202" s="15"/>
      <c r="F202" s="2"/>
      <c r="G202" s="2"/>
      <c r="H202" s="2"/>
      <c r="I202" s="2"/>
    </row>
    <row r="203" spans="1:9">
      <c r="A203" s="2"/>
      <c r="B203" s="2"/>
      <c r="C203" s="2"/>
      <c r="D203" s="2"/>
      <c r="E203" s="15"/>
      <c r="F203" s="2"/>
      <c r="G203" s="2"/>
      <c r="H203" s="2"/>
      <c r="I203" s="2"/>
    </row>
    <row r="204" spans="1:9">
      <c r="A204" s="2"/>
      <c r="B204" s="2"/>
      <c r="C204" s="2"/>
      <c r="D204" s="2"/>
      <c r="E204" s="15"/>
      <c r="F204" s="2"/>
      <c r="G204" s="2"/>
      <c r="H204" s="2"/>
      <c r="I204" s="2"/>
    </row>
    <row r="205" spans="1:9">
      <c r="A205" s="2"/>
      <c r="B205" s="2"/>
      <c r="C205" s="2"/>
      <c r="D205" s="2"/>
      <c r="E205" s="15"/>
      <c r="F205" s="2"/>
      <c r="G205" s="2"/>
      <c r="H205" s="2"/>
      <c r="I205" s="2"/>
    </row>
    <row r="206" spans="1:9">
      <c r="A206" s="2"/>
      <c r="B206" s="2"/>
      <c r="C206" s="2"/>
      <c r="D206" s="2"/>
      <c r="E206" s="15"/>
      <c r="F206" s="2"/>
      <c r="G206" s="2"/>
      <c r="H206" s="2"/>
      <c r="I206" s="2"/>
    </row>
    <row r="207" spans="1:9">
      <c r="A207" s="2"/>
      <c r="B207" s="2"/>
      <c r="C207" s="2"/>
      <c r="D207" s="2"/>
      <c r="E207" s="15"/>
      <c r="F207" s="2"/>
      <c r="G207" s="2"/>
      <c r="H207" s="2"/>
      <c r="I207" s="2"/>
    </row>
    <row r="208" spans="1:9">
      <c r="A208" s="2"/>
      <c r="B208" s="2"/>
      <c r="C208" s="2"/>
      <c r="D208" s="2"/>
      <c r="E208" s="15"/>
      <c r="F208" s="2"/>
      <c r="G208" s="2"/>
      <c r="H208" s="2"/>
      <c r="I208" s="2"/>
    </row>
    <row r="209" spans="1:9">
      <c r="A209" s="2"/>
      <c r="B209" s="2"/>
      <c r="C209" s="2"/>
      <c r="D209" s="2"/>
      <c r="E209" s="15"/>
      <c r="F209" s="2"/>
      <c r="G209" s="2"/>
      <c r="H209" s="2"/>
      <c r="I209" s="2"/>
    </row>
    <row r="210" spans="1:9">
      <c r="A210" s="2"/>
      <c r="B210" s="2"/>
      <c r="C210" s="2"/>
      <c r="D210" s="2"/>
      <c r="E210" s="15"/>
      <c r="F210" s="2"/>
      <c r="G210" s="2"/>
      <c r="H210" s="2"/>
      <c r="I210" s="2"/>
    </row>
    <row r="211" spans="1:9">
      <c r="A211" s="2"/>
      <c r="B211" s="2"/>
      <c r="C211" s="2"/>
      <c r="D211" s="2"/>
      <c r="E211" s="15"/>
      <c r="F211" s="2"/>
      <c r="G211" s="2"/>
      <c r="H211" s="2"/>
      <c r="I211" s="2"/>
    </row>
    <row r="212" spans="1:9">
      <c r="A212" s="2"/>
      <c r="B212" s="2"/>
      <c r="C212" s="2"/>
      <c r="D212" s="2"/>
      <c r="E212" s="15"/>
      <c r="F212" s="2"/>
      <c r="G212" s="2"/>
      <c r="H212" s="2"/>
      <c r="I212" s="2"/>
    </row>
    <row r="213" spans="1:9">
      <c r="A213" s="2"/>
      <c r="B213" s="2"/>
      <c r="C213" s="2"/>
      <c r="D213" s="2"/>
      <c r="E213" s="15"/>
      <c r="F213" s="2"/>
      <c r="G213" s="2"/>
      <c r="H213" s="2"/>
      <c r="I213" s="2"/>
    </row>
    <row r="214" spans="1:9">
      <c r="A214" s="2"/>
      <c r="B214" s="2"/>
      <c r="C214" s="2"/>
      <c r="D214" s="2"/>
      <c r="E214" s="15"/>
      <c r="F214" s="2"/>
      <c r="G214" s="2"/>
      <c r="H214" s="2"/>
      <c r="I214" s="2"/>
    </row>
    <row r="215" spans="1:9">
      <c r="A215" s="2"/>
      <c r="B215" s="2"/>
      <c r="C215" s="2"/>
      <c r="D215" s="2"/>
      <c r="E215" s="15"/>
      <c r="F215" s="2"/>
      <c r="G215" s="2"/>
      <c r="H215" s="2"/>
      <c r="I215" s="2"/>
    </row>
    <row r="216" spans="1:9">
      <c r="A216" s="2"/>
      <c r="B216" s="2"/>
      <c r="C216" s="2"/>
      <c r="D216" s="2"/>
      <c r="E216" s="15"/>
      <c r="F216" s="2"/>
      <c r="G216" s="2"/>
      <c r="H216" s="2"/>
      <c r="I216" s="2"/>
    </row>
    <row r="217" spans="1:9">
      <c r="A217" s="2"/>
      <c r="B217" s="2"/>
      <c r="C217" s="2"/>
      <c r="D217" s="2"/>
      <c r="E217" s="15"/>
      <c r="F217" s="2"/>
      <c r="G217" s="2"/>
      <c r="H217" s="2"/>
      <c r="I217" s="2"/>
    </row>
    <row r="218" spans="1:9">
      <c r="A218" s="2"/>
      <c r="B218" s="2"/>
      <c r="C218" s="2"/>
      <c r="D218" s="2"/>
      <c r="E218" s="15"/>
      <c r="F218" s="2"/>
      <c r="G218" s="2"/>
      <c r="H218" s="2"/>
      <c r="I218" s="2"/>
    </row>
    <row r="219" spans="1:9">
      <c r="A219" s="2"/>
      <c r="B219" s="2"/>
      <c r="C219" s="2"/>
      <c r="D219" s="2"/>
      <c r="E219" s="15"/>
      <c r="F219" s="2"/>
      <c r="G219" s="2"/>
      <c r="H219" s="2"/>
      <c r="I219" s="2"/>
    </row>
    <row r="220" spans="1:9">
      <c r="A220" s="2"/>
      <c r="B220" s="2"/>
      <c r="C220" s="2"/>
      <c r="D220" s="2"/>
      <c r="E220" s="15"/>
      <c r="F220" s="2"/>
      <c r="G220" s="2"/>
      <c r="H220" s="2"/>
      <c r="I220" s="2"/>
    </row>
    <row r="221" spans="1:9">
      <c r="A221" s="2"/>
      <c r="B221" s="2"/>
      <c r="C221" s="2"/>
      <c r="D221" s="2"/>
      <c r="E221" s="15"/>
      <c r="F221" s="2"/>
      <c r="G221" s="2"/>
      <c r="H221" s="2"/>
      <c r="I221" s="2"/>
    </row>
    <row r="222" spans="1:9">
      <c r="A222" s="2"/>
      <c r="B222" s="2"/>
      <c r="C222" s="2"/>
      <c r="D222" s="2"/>
      <c r="E222" s="15"/>
      <c r="F222" s="2"/>
      <c r="G222" s="2"/>
      <c r="H222" s="2"/>
      <c r="I222" s="2"/>
    </row>
    <row r="223" spans="1:9">
      <c r="A223" s="2"/>
      <c r="B223" s="2"/>
      <c r="C223" s="2"/>
      <c r="D223" s="2"/>
      <c r="E223" s="15"/>
      <c r="F223" s="2"/>
      <c r="G223" s="2"/>
      <c r="H223" s="2"/>
      <c r="I223" s="2"/>
    </row>
    <row r="224" spans="1:9">
      <c r="A224" s="2"/>
      <c r="B224" s="2"/>
      <c r="C224" s="2"/>
      <c r="D224" s="2"/>
      <c r="E224" s="15"/>
      <c r="F224" s="2"/>
      <c r="G224" s="2"/>
      <c r="H224" s="2"/>
      <c r="I224" s="2"/>
    </row>
    <row r="225" spans="1:9">
      <c r="A225" s="2"/>
      <c r="B225" s="2"/>
      <c r="C225" s="2"/>
      <c r="D225" s="2"/>
      <c r="E225" s="15"/>
      <c r="F225" s="2"/>
      <c r="G225" s="2"/>
      <c r="H225" s="2"/>
      <c r="I225" s="2"/>
    </row>
    <row r="226" spans="1:9">
      <c r="A226" s="2"/>
      <c r="B226" s="2"/>
      <c r="C226" s="2"/>
      <c r="D226" s="2"/>
      <c r="E226" s="15"/>
      <c r="F226" s="2"/>
      <c r="G226" s="2"/>
      <c r="H226" s="2"/>
      <c r="I226" s="2"/>
    </row>
    <row r="227" spans="1:9">
      <c r="A227" s="2"/>
      <c r="B227" s="2"/>
      <c r="C227" s="2"/>
      <c r="D227" s="2"/>
      <c r="E227" s="15"/>
      <c r="F227" s="2"/>
      <c r="G227" s="2"/>
      <c r="H227" s="2"/>
      <c r="I227" s="2"/>
    </row>
    <row r="228" spans="1:9">
      <c r="A228" s="2"/>
      <c r="B228" s="2"/>
      <c r="C228" s="2"/>
      <c r="D228" s="2"/>
      <c r="E228" s="15"/>
      <c r="F228" s="2"/>
      <c r="G228" s="2"/>
      <c r="H228" s="2"/>
      <c r="I228" s="2"/>
    </row>
    <row r="229" spans="1:9">
      <c r="A229" s="2"/>
      <c r="B229" s="2"/>
      <c r="C229" s="2"/>
      <c r="D229" s="2"/>
      <c r="E229" s="15"/>
      <c r="F229" s="2"/>
      <c r="G229" s="2"/>
      <c r="H229" s="2"/>
      <c r="I229" s="2"/>
    </row>
    <row r="230" spans="1:9">
      <c r="A230" s="2"/>
      <c r="B230" s="2"/>
      <c r="C230" s="2"/>
      <c r="D230" s="2"/>
      <c r="E230" s="15"/>
      <c r="F230" s="2"/>
      <c r="G230" s="2"/>
      <c r="H230" s="2"/>
      <c r="I230" s="2"/>
    </row>
    <row r="231" spans="1:9">
      <c r="A231" s="2"/>
      <c r="B231" s="2"/>
      <c r="C231" s="2"/>
      <c r="D231" s="2"/>
      <c r="E231" s="15"/>
      <c r="F231" s="2"/>
      <c r="G231" s="2"/>
      <c r="H231" s="2"/>
      <c r="I231" s="2"/>
    </row>
    <row r="232" spans="1:9">
      <c r="A232" s="2"/>
      <c r="B232" s="2"/>
      <c r="C232" s="2"/>
      <c r="D232" s="2"/>
      <c r="E232" s="15"/>
      <c r="F232" s="2"/>
      <c r="G232" s="2"/>
      <c r="H232" s="2"/>
      <c r="I232" s="2"/>
    </row>
    <row r="233" spans="1:9">
      <c r="A233" s="2"/>
      <c r="B233" s="2"/>
      <c r="C233" s="2"/>
      <c r="D233" s="2"/>
      <c r="E233" s="15"/>
      <c r="F233" s="2"/>
      <c r="G233" s="2"/>
      <c r="H233" s="2"/>
      <c r="I233" s="2"/>
    </row>
    <row r="234" spans="1:9">
      <c r="A234" s="2"/>
      <c r="B234" s="2"/>
      <c r="C234" s="2"/>
      <c r="D234" s="2"/>
      <c r="E234" s="15"/>
      <c r="F234" s="2"/>
      <c r="G234" s="2"/>
      <c r="H234" s="2"/>
      <c r="I234" s="2"/>
    </row>
    <row r="235" spans="1:9">
      <c r="A235" s="2"/>
      <c r="B235" s="2"/>
      <c r="C235" s="2"/>
      <c r="D235" s="2"/>
      <c r="E235" s="15"/>
      <c r="F235" s="2"/>
      <c r="G235" s="2"/>
      <c r="H235" s="2"/>
      <c r="I235" s="2"/>
    </row>
    <row r="236" spans="1:9">
      <c r="A236" s="2"/>
      <c r="B236" s="2"/>
      <c r="C236" s="2"/>
      <c r="D236" s="2"/>
      <c r="E236" s="15"/>
      <c r="F236" s="2"/>
      <c r="G236" s="2"/>
      <c r="H236" s="2"/>
      <c r="I236" s="2"/>
    </row>
    <row r="237" spans="1:9">
      <c r="A237" s="2"/>
      <c r="B237" s="2"/>
      <c r="C237" s="2"/>
      <c r="D237" s="2"/>
      <c r="E237" s="15"/>
      <c r="F237" s="2"/>
      <c r="G237" s="2"/>
      <c r="H237" s="2"/>
      <c r="I237" s="2"/>
    </row>
    <row r="238" spans="1:9">
      <c r="A238" s="2"/>
      <c r="B238" s="2"/>
      <c r="C238" s="2"/>
      <c r="D238" s="2"/>
      <c r="E238" s="15"/>
      <c r="F238" s="2"/>
      <c r="G238" s="2"/>
      <c r="H238" s="2"/>
      <c r="I238" s="2"/>
    </row>
    <row r="239" spans="1:9">
      <c r="A239" s="2"/>
      <c r="B239" s="2"/>
      <c r="C239" s="2"/>
      <c r="D239" s="2"/>
      <c r="E239" s="15"/>
      <c r="F239" s="2"/>
      <c r="G239" s="2"/>
      <c r="H239" s="2"/>
      <c r="I239" s="2"/>
    </row>
    <row r="240" spans="1:9">
      <c r="A240" s="2"/>
      <c r="B240" s="2"/>
      <c r="C240" s="2"/>
      <c r="D240" s="2"/>
      <c r="E240" s="15"/>
      <c r="F240" s="2"/>
      <c r="G240" s="2"/>
      <c r="H240" s="2"/>
      <c r="I240" s="2"/>
    </row>
    <row r="241" spans="1:9">
      <c r="A241" s="2"/>
      <c r="B241" s="2"/>
      <c r="C241" s="2"/>
      <c r="D241" s="2"/>
      <c r="E241" s="15"/>
      <c r="F241" s="2"/>
      <c r="G241" s="2"/>
      <c r="H241" s="2"/>
      <c r="I241" s="2"/>
    </row>
    <row r="242" spans="1:9">
      <c r="A242" s="2"/>
      <c r="B242" s="2"/>
      <c r="C242" s="2"/>
      <c r="D242" s="2"/>
      <c r="E242" s="15"/>
      <c r="F242" s="2"/>
      <c r="G242" s="2"/>
      <c r="H242" s="2"/>
      <c r="I242" s="2"/>
    </row>
    <row r="243" spans="1:9">
      <c r="A243" s="2"/>
      <c r="B243" s="2"/>
      <c r="C243" s="2"/>
      <c r="D243" s="2"/>
      <c r="E243" s="15"/>
      <c r="F243" s="2"/>
      <c r="G243" s="2"/>
      <c r="H243" s="2"/>
      <c r="I243" s="2"/>
    </row>
    <row r="244" spans="1:9">
      <c r="A244" s="2"/>
      <c r="B244" s="2"/>
      <c r="C244" s="2"/>
      <c r="D244" s="2"/>
      <c r="E244" s="15"/>
      <c r="F244" s="2"/>
      <c r="G244" s="2"/>
      <c r="H244" s="2"/>
      <c r="I244" s="2"/>
    </row>
    <row r="245" spans="1:9">
      <c r="A245" s="2"/>
      <c r="B245" s="2"/>
      <c r="C245" s="2"/>
      <c r="D245" s="2"/>
      <c r="E245" s="15"/>
      <c r="F245" s="2"/>
      <c r="G245" s="2"/>
      <c r="H245" s="2"/>
      <c r="I245" s="2"/>
    </row>
    <row r="246" spans="1:9">
      <c r="A246" s="2"/>
      <c r="B246" s="2"/>
      <c r="C246" s="2"/>
      <c r="D246" s="2"/>
      <c r="E246" s="15"/>
      <c r="F246" s="2"/>
      <c r="G246" s="2"/>
      <c r="H246" s="2"/>
      <c r="I246" s="2"/>
    </row>
    <row r="247" spans="1:9">
      <c r="A247" s="2"/>
      <c r="B247" s="2"/>
      <c r="C247" s="2"/>
      <c r="D247" s="2"/>
      <c r="E247" s="15"/>
      <c r="F247" s="2"/>
      <c r="G247" s="2"/>
      <c r="H247" s="2"/>
      <c r="I247" s="2"/>
    </row>
    <row r="248" spans="1:9">
      <c r="A248" s="2"/>
      <c r="B248" s="2"/>
      <c r="C248" s="2"/>
      <c r="D248" s="2"/>
      <c r="E248" s="15"/>
      <c r="F248" s="2"/>
      <c r="G248" s="2"/>
      <c r="H248" s="2"/>
      <c r="I248" s="2"/>
    </row>
    <row r="249" spans="1:9">
      <c r="A249" s="2"/>
      <c r="B249" s="2"/>
      <c r="C249" s="2"/>
      <c r="D249" s="2"/>
      <c r="E249" s="15"/>
      <c r="F249" s="2"/>
      <c r="G249" s="2"/>
      <c r="H249" s="2"/>
      <c r="I249" s="2"/>
    </row>
    <row r="250" spans="1:9">
      <c r="A250" s="2"/>
      <c r="B250" s="2"/>
      <c r="C250" s="2"/>
      <c r="D250" s="2"/>
      <c r="E250" s="15"/>
      <c r="F250" s="2"/>
      <c r="G250" s="2"/>
      <c r="H250" s="2"/>
      <c r="I250" s="2"/>
    </row>
    <row r="251" spans="1:9">
      <c r="A251" s="2"/>
      <c r="B251" s="2"/>
      <c r="C251" s="2"/>
      <c r="D251" s="2"/>
      <c r="E251" s="15"/>
      <c r="F251" s="2"/>
      <c r="G251" s="2"/>
      <c r="H251" s="2"/>
      <c r="I251" s="2"/>
    </row>
    <row r="252" spans="1:9">
      <c r="A252" s="2"/>
      <c r="B252" s="2"/>
      <c r="C252" s="2"/>
      <c r="D252" s="2"/>
      <c r="E252" s="15"/>
      <c r="F252" s="2"/>
      <c r="G252" s="2"/>
      <c r="H252" s="2"/>
      <c r="I252" s="2"/>
    </row>
    <row r="253" spans="1:9">
      <c r="A253" s="2"/>
      <c r="B253" s="2"/>
      <c r="C253" s="2"/>
      <c r="D253" s="2"/>
      <c r="E253" s="15"/>
      <c r="F253" s="2"/>
      <c r="G253" s="2"/>
      <c r="H253" s="2"/>
      <c r="I253" s="2"/>
    </row>
    <row r="254" spans="1:9">
      <c r="A254" s="2"/>
      <c r="B254" s="2"/>
      <c r="C254" s="2"/>
      <c r="D254" s="2"/>
      <c r="E254" s="15"/>
      <c r="F254" s="2"/>
      <c r="G254" s="2"/>
      <c r="H254" s="2"/>
      <c r="I254" s="2"/>
    </row>
    <row r="255" spans="1:9">
      <c r="A255" s="2"/>
      <c r="B255" s="2"/>
      <c r="C255" s="2"/>
      <c r="D255" s="2"/>
      <c r="E255" s="15"/>
      <c r="F255" s="2"/>
      <c r="G255" s="2"/>
      <c r="H255" s="2"/>
      <c r="I255" s="2"/>
    </row>
    <row r="256" spans="1:9">
      <c r="A256" s="2"/>
      <c r="B256" s="2"/>
      <c r="C256" s="2"/>
      <c r="D256" s="2"/>
      <c r="E256" s="15"/>
      <c r="F256" s="2"/>
      <c r="G256" s="2"/>
      <c r="H256" s="2"/>
      <c r="I256" s="2"/>
    </row>
    <row r="257" spans="1:9">
      <c r="A257" s="2"/>
      <c r="B257" s="2"/>
      <c r="C257" s="2"/>
      <c r="D257" s="2"/>
      <c r="E257" s="15"/>
      <c r="F257" s="2"/>
      <c r="G257" s="2"/>
      <c r="H257" s="2"/>
      <c r="I257" s="2"/>
    </row>
    <row r="258" spans="1:9">
      <c r="A258" s="2"/>
      <c r="B258" s="2"/>
      <c r="C258" s="2"/>
      <c r="D258" s="2"/>
      <c r="E258" s="15"/>
      <c r="F258" s="2"/>
      <c r="G258" s="2"/>
      <c r="H258" s="2"/>
      <c r="I258" s="2"/>
    </row>
    <row r="259" spans="1:9">
      <c r="A259" s="2"/>
      <c r="B259" s="2"/>
      <c r="C259" s="2"/>
      <c r="D259" s="2"/>
      <c r="E259" s="15"/>
      <c r="F259" s="2"/>
      <c r="G259" s="2"/>
      <c r="H259" s="2"/>
      <c r="I259" s="2"/>
    </row>
    <row r="260" spans="1:9">
      <c r="A260" s="2"/>
      <c r="B260" s="2"/>
      <c r="C260" s="2"/>
      <c r="D260" s="2"/>
      <c r="E260" s="15"/>
      <c r="F260" s="2"/>
      <c r="G260" s="2"/>
      <c r="H260" s="2"/>
      <c r="I260" s="2"/>
    </row>
    <row r="261" spans="1:9">
      <c r="A261" s="2"/>
      <c r="B261" s="2"/>
      <c r="C261" s="2"/>
      <c r="D261" s="2"/>
      <c r="E261" s="15"/>
      <c r="F261" s="2"/>
      <c r="G261" s="2"/>
      <c r="H261" s="2"/>
      <c r="I261" s="2"/>
    </row>
    <row r="262" spans="1:9">
      <c r="A262" s="2"/>
      <c r="B262" s="2"/>
      <c r="C262" s="2"/>
      <c r="D262" s="2"/>
      <c r="E262" s="15"/>
      <c r="F262" s="2"/>
      <c r="G262" s="2"/>
      <c r="H262" s="2"/>
      <c r="I262" s="2"/>
    </row>
    <row r="263" spans="1:9">
      <c r="A263" s="2"/>
      <c r="B263" s="2"/>
      <c r="C263" s="2"/>
      <c r="D263" s="2"/>
      <c r="E263" s="15"/>
      <c r="F263" s="2"/>
      <c r="G263" s="2"/>
      <c r="H263" s="2"/>
      <c r="I263" s="2"/>
    </row>
    <row r="264" spans="1:9">
      <c r="A264" s="2"/>
      <c r="B264" s="2"/>
      <c r="C264" s="2"/>
      <c r="D264" s="2"/>
      <c r="E264" s="15"/>
      <c r="F264" s="2"/>
      <c r="G264" s="2"/>
      <c r="H264" s="2"/>
      <c r="I264" s="2"/>
    </row>
    <row r="265" spans="1:9">
      <c r="A265" s="2"/>
      <c r="B265" s="2"/>
      <c r="C265" s="2"/>
      <c r="D265" s="2"/>
      <c r="E265" s="15"/>
      <c r="F265" s="2"/>
      <c r="G265" s="2"/>
      <c r="H265" s="2"/>
      <c r="I265" s="2"/>
    </row>
    <row r="266" spans="1:9">
      <c r="A266" s="2"/>
      <c r="B266" s="2"/>
      <c r="C266" s="2"/>
      <c r="D266" s="2"/>
      <c r="E266" s="15"/>
      <c r="F266" s="2"/>
      <c r="G266" s="2"/>
      <c r="H266" s="2"/>
      <c r="I266" s="2"/>
    </row>
    <row r="267" spans="1:9">
      <c r="A267" s="2"/>
      <c r="B267" s="2"/>
      <c r="C267" s="2"/>
      <c r="D267" s="2"/>
      <c r="E267" s="15"/>
      <c r="F267" s="2"/>
      <c r="G267" s="2"/>
      <c r="H267" s="2"/>
      <c r="I267" s="2"/>
    </row>
    <row r="268" spans="1:9">
      <c r="A268" s="2"/>
      <c r="B268" s="2"/>
      <c r="C268" s="2"/>
      <c r="D268" s="2"/>
      <c r="E268" s="15"/>
      <c r="F268" s="2"/>
      <c r="G268" s="2"/>
      <c r="H268" s="2"/>
      <c r="I268" s="2"/>
    </row>
    <row r="269" spans="1:9">
      <c r="A269" s="2"/>
      <c r="B269" s="2"/>
      <c r="C269" s="2"/>
      <c r="D269" s="2"/>
      <c r="E269" s="15"/>
      <c r="F269" s="2"/>
      <c r="G269" s="2"/>
      <c r="H269" s="2"/>
      <c r="I269" s="2"/>
    </row>
    <row r="270" spans="1:9">
      <c r="A270" s="2"/>
      <c r="B270" s="2"/>
      <c r="C270" s="2"/>
      <c r="D270" s="2"/>
      <c r="E270" s="15"/>
      <c r="F270" s="2"/>
      <c r="G270" s="2"/>
      <c r="H270" s="2"/>
      <c r="I270" s="2"/>
    </row>
    <row r="271" spans="1:9">
      <c r="A271" s="2"/>
      <c r="B271" s="2"/>
      <c r="C271" s="2"/>
      <c r="D271" s="2"/>
      <c r="E271" s="15"/>
      <c r="F271" s="2"/>
      <c r="G271" s="2"/>
      <c r="H271" s="2"/>
      <c r="I271" s="2"/>
    </row>
    <row r="272" spans="1:9">
      <c r="A272" s="2"/>
      <c r="B272" s="2"/>
      <c r="C272" s="2"/>
      <c r="D272" s="2"/>
      <c r="E272" s="15"/>
      <c r="F272" s="2"/>
      <c r="G272" s="2"/>
      <c r="H272" s="2"/>
      <c r="I272" s="2"/>
    </row>
    <row r="273" spans="1:9">
      <c r="A273" s="2"/>
      <c r="B273" s="2"/>
      <c r="C273" s="2"/>
      <c r="D273" s="2"/>
      <c r="E273" s="15"/>
      <c r="F273" s="2"/>
      <c r="G273" s="2"/>
      <c r="H273" s="2"/>
      <c r="I273" s="2"/>
    </row>
    <row r="274" spans="1:9">
      <c r="A274" s="2"/>
      <c r="B274" s="2"/>
      <c r="C274" s="2"/>
      <c r="D274" s="2"/>
      <c r="E274" s="15"/>
      <c r="F274" s="2"/>
      <c r="G274" s="2"/>
      <c r="H274" s="2"/>
      <c r="I274" s="2"/>
    </row>
    <row r="275" spans="1:9">
      <c r="A275" s="2"/>
      <c r="B275" s="2"/>
      <c r="C275" s="2"/>
      <c r="D275" s="2"/>
      <c r="E275" s="15"/>
      <c r="F275" s="2"/>
      <c r="G275" s="2"/>
      <c r="H275" s="2"/>
      <c r="I275" s="2"/>
    </row>
    <row r="276" spans="1:9">
      <c r="A276" s="2"/>
      <c r="B276" s="2"/>
      <c r="C276" s="2"/>
      <c r="D276" s="2"/>
      <c r="E276" s="15"/>
      <c r="F276" s="2"/>
      <c r="G276" s="2"/>
      <c r="H276" s="2"/>
      <c r="I276" s="2"/>
    </row>
    <row r="277" spans="1:9">
      <c r="A277" s="2"/>
      <c r="B277" s="2"/>
      <c r="C277" s="2"/>
      <c r="D277" s="2"/>
      <c r="E277" s="15"/>
      <c r="F277" s="2"/>
      <c r="G277" s="2"/>
      <c r="H277" s="2"/>
      <c r="I277" s="2"/>
    </row>
    <row r="278" spans="1:9">
      <c r="A278" s="2"/>
      <c r="B278" s="2"/>
      <c r="C278" s="2"/>
      <c r="D278" s="2"/>
      <c r="E278" s="15"/>
      <c r="F278" s="2"/>
      <c r="G278" s="2"/>
      <c r="H278" s="2"/>
      <c r="I278" s="2"/>
    </row>
    <row r="279" spans="1:9">
      <c r="A279" s="2"/>
      <c r="B279" s="2"/>
      <c r="C279" s="2"/>
      <c r="D279" s="2"/>
      <c r="E279" s="15"/>
      <c r="F279" s="2"/>
      <c r="G279" s="2"/>
      <c r="H279" s="2"/>
      <c r="I279" s="2"/>
    </row>
    <row r="280" spans="1:9">
      <c r="A280" s="2"/>
      <c r="B280" s="2"/>
      <c r="C280" s="2"/>
      <c r="D280" s="2"/>
      <c r="E280" s="15"/>
      <c r="F280" s="2"/>
      <c r="G280" s="2"/>
      <c r="H280" s="2"/>
      <c r="I280" s="2"/>
    </row>
    <row r="281" spans="1:9">
      <c r="A281" s="2"/>
      <c r="B281" s="2"/>
      <c r="C281" s="2"/>
      <c r="D281" s="2"/>
      <c r="E281" s="15"/>
      <c r="F281" s="2"/>
      <c r="G281" s="2"/>
      <c r="H281" s="2"/>
      <c r="I281" s="2"/>
    </row>
    <row r="282" spans="1:9">
      <c r="A282" s="2"/>
      <c r="B282" s="2"/>
      <c r="C282" s="2"/>
      <c r="D282" s="2"/>
      <c r="E282" s="15"/>
      <c r="F282" s="2"/>
      <c r="G282" s="2"/>
      <c r="H282" s="2"/>
      <c r="I282" s="2"/>
    </row>
    <row r="283" spans="1:9">
      <c r="A283" s="2"/>
      <c r="B283" s="2"/>
      <c r="C283" s="2"/>
      <c r="D283" s="2"/>
      <c r="E283" s="15"/>
      <c r="F283" s="2"/>
      <c r="G283" s="2"/>
      <c r="H283" s="2"/>
      <c r="I283" s="2"/>
    </row>
    <row r="284" spans="1:9">
      <c r="A284" s="2"/>
      <c r="B284" s="2"/>
      <c r="C284" s="2"/>
      <c r="D284" s="2"/>
      <c r="E284" s="15"/>
      <c r="F284" s="2"/>
      <c r="G284" s="2"/>
      <c r="H284" s="2"/>
      <c r="I284" s="2"/>
    </row>
    <row r="285" spans="1:9">
      <c r="A285" s="2"/>
      <c r="B285" s="2"/>
      <c r="C285" s="2"/>
      <c r="D285" s="2"/>
      <c r="E285" s="15"/>
      <c r="F285" s="2"/>
      <c r="G285" s="2"/>
      <c r="H285" s="2"/>
      <c r="I285" s="2"/>
    </row>
    <row r="286" spans="1:9">
      <c r="A286" s="2"/>
      <c r="B286" s="2"/>
      <c r="C286" s="2"/>
      <c r="D286" s="2"/>
      <c r="E286" s="15"/>
      <c r="F286" s="2"/>
      <c r="G286" s="2"/>
      <c r="H286" s="2"/>
      <c r="I286" s="2"/>
    </row>
    <row r="287" spans="1:9">
      <c r="A287" s="2"/>
      <c r="B287" s="2"/>
      <c r="C287" s="2"/>
      <c r="D287" s="2"/>
      <c r="E287" s="15"/>
      <c r="F287" s="2"/>
      <c r="G287" s="2"/>
      <c r="H287" s="2"/>
      <c r="I287" s="2"/>
    </row>
    <row r="288" spans="1:9">
      <c r="A288" s="2"/>
      <c r="B288" s="2"/>
      <c r="C288" s="2"/>
      <c r="D288" s="2"/>
      <c r="E288" s="15"/>
      <c r="F288" s="2"/>
      <c r="G288" s="2"/>
      <c r="H288" s="2"/>
      <c r="I288" s="2"/>
    </row>
    <row r="289" spans="1:9">
      <c r="A289" s="2"/>
      <c r="B289" s="2"/>
      <c r="C289" s="2"/>
      <c r="D289" s="2"/>
      <c r="E289" s="15"/>
      <c r="F289" s="2"/>
      <c r="G289" s="2"/>
      <c r="H289" s="2"/>
      <c r="I289" s="2"/>
    </row>
    <row r="290" spans="1:9">
      <c r="A290" s="2"/>
      <c r="B290" s="2"/>
      <c r="C290" s="2"/>
      <c r="D290" s="2"/>
      <c r="E290" s="15"/>
      <c r="F290" s="2"/>
      <c r="G290" s="2"/>
      <c r="H290" s="2"/>
      <c r="I290" s="2"/>
    </row>
    <row r="291" spans="1:9">
      <c r="A291" s="2"/>
      <c r="B291" s="2"/>
      <c r="C291" s="2"/>
      <c r="D291" s="2"/>
      <c r="E291" s="15"/>
      <c r="F291" s="2"/>
      <c r="G291" s="2"/>
      <c r="H291" s="2"/>
      <c r="I291" s="2"/>
    </row>
    <row r="292" spans="1:9">
      <c r="A292" s="2"/>
      <c r="B292" s="2"/>
      <c r="C292" s="2"/>
      <c r="D292" s="2"/>
      <c r="E292" s="15"/>
      <c r="F292" s="2"/>
      <c r="G292" s="2"/>
      <c r="H292" s="2"/>
      <c r="I292" s="2"/>
    </row>
    <row r="293" spans="1:9">
      <c r="A293" s="2"/>
      <c r="B293" s="2"/>
      <c r="C293" s="2"/>
      <c r="D293" s="2"/>
      <c r="E293" s="15"/>
      <c r="F293" s="2"/>
      <c r="G293" s="2"/>
      <c r="H293" s="2"/>
      <c r="I293" s="2"/>
    </row>
    <row r="294" spans="1:9">
      <c r="A294" s="2"/>
      <c r="B294" s="2"/>
      <c r="C294" s="2"/>
      <c r="D294" s="2"/>
      <c r="E294" s="15"/>
      <c r="F294" s="2"/>
      <c r="G294" s="2"/>
      <c r="H294" s="2"/>
      <c r="I294" s="2"/>
    </row>
    <row r="295" spans="1:9">
      <c r="A295" s="2"/>
      <c r="B295" s="2"/>
      <c r="C295" s="2"/>
      <c r="D295" s="2"/>
      <c r="E295" s="15"/>
      <c r="F295" s="2"/>
      <c r="G295" s="2"/>
      <c r="H295" s="2"/>
      <c r="I295" s="2"/>
    </row>
    <row r="296" spans="1:9">
      <c r="A296" s="2"/>
      <c r="B296" s="2"/>
      <c r="C296" s="2"/>
      <c r="D296" s="2"/>
      <c r="E296" s="15"/>
      <c r="F296" s="2"/>
      <c r="G296" s="2"/>
      <c r="H296" s="2"/>
      <c r="I296" s="2"/>
    </row>
    <row r="297" spans="1:9">
      <c r="A297" s="2"/>
      <c r="B297" s="2"/>
      <c r="C297" s="2"/>
      <c r="D297" s="2"/>
      <c r="E297" s="15"/>
      <c r="F297" s="2"/>
      <c r="G297" s="2"/>
      <c r="H297" s="2"/>
      <c r="I297" s="2"/>
    </row>
    <row r="298" spans="1:9">
      <c r="A298" s="2"/>
      <c r="B298" s="2"/>
      <c r="C298" s="2"/>
      <c r="D298" s="2"/>
      <c r="E298" s="15"/>
      <c r="F298" s="2"/>
      <c r="G298" s="2"/>
      <c r="H298" s="2"/>
      <c r="I298" s="2"/>
    </row>
    <row r="299" spans="1:9">
      <c r="A299" s="2"/>
      <c r="B299" s="2"/>
      <c r="C299" s="2"/>
      <c r="D299" s="2"/>
      <c r="E299" s="15"/>
      <c r="F299" s="2"/>
      <c r="G299" s="2"/>
      <c r="H299" s="2"/>
      <c r="I299" s="2"/>
    </row>
    <row r="300" spans="1:9">
      <c r="A300" s="2"/>
      <c r="B300" s="2"/>
      <c r="C300" s="2"/>
      <c r="D300" s="2"/>
      <c r="E300" s="15"/>
      <c r="F300" s="2"/>
      <c r="G300" s="2"/>
      <c r="H300" s="2"/>
      <c r="I300" s="2"/>
    </row>
    <row r="301" spans="1:9">
      <c r="A301" s="2"/>
      <c r="B301" s="2"/>
      <c r="C301" s="2"/>
      <c r="D301" s="2"/>
      <c r="E301" s="15"/>
      <c r="F301" s="2"/>
      <c r="G301" s="2"/>
      <c r="H301" s="2"/>
      <c r="I301" s="2"/>
    </row>
    <row r="302" spans="1:9">
      <c r="A302" s="2"/>
      <c r="B302" s="2"/>
      <c r="C302" s="2"/>
      <c r="D302" s="2"/>
      <c r="E302" s="15"/>
      <c r="F302" s="2"/>
      <c r="G302" s="2"/>
      <c r="H302" s="2"/>
      <c r="I302" s="2"/>
    </row>
    <row r="303" spans="1:9">
      <c r="A303" s="2"/>
      <c r="B303" s="2"/>
      <c r="C303" s="2"/>
      <c r="D303" s="2"/>
      <c r="E303" s="15"/>
      <c r="F303" s="2"/>
      <c r="G303" s="2"/>
      <c r="H303" s="2"/>
      <c r="I303" s="2"/>
    </row>
    <row r="304" spans="1:9">
      <c r="A304" s="2"/>
      <c r="B304" s="2"/>
      <c r="C304" s="2"/>
      <c r="D304" s="2"/>
      <c r="E304" s="15"/>
      <c r="F304" s="2"/>
      <c r="G304" s="2"/>
      <c r="H304" s="2"/>
      <c r="I304" s="2"/>
    </row>
    <row r="305" spans="1:9">
      <c r="A305" s="2"/>
      <c r="B305" s="2"/>
      <c r="C305" s="2"/>
      <c r="D305" s="2"/>
      <c r="E305" s="15"/>
      <c r="F305" s="2"/>
      <c r="G305" s="2"/>
      <c r="H305" s="2"/>
      <c r="I305" s="2"/>
    </row>
    <row r="306" spans="1:9">
      <c r="A306" s="2"/>
      <c r="B306" s="2"/>
      <c r="C306" s="2"/>
      <c r="D306" s="2"/>
      <c r="E306" s="15"/>
      <c r="F306" s="2"/>
      <c r="G306" s="2"/>
      <c r="H306" s="2"/>
      <c r="I306" s="2"/>
    </row>
    <row r="307" spans="1:9">
      <c r="A307" s="2"/>
      <c r="B307" s="2"/>
      <c r="C307" s="2"/>
      <c r="D307" s="2"/>
      <c r="E307" s="15"/>
      <c r="F307" s="2"/>
      <c r="G307" s="2"/>
      <c r="H307" s="2"/>
      <c r="I307" s="2"/>
    </row>
    <row r="308" spans="1:9">
      <c r="A308" s="2"/>
      <c r="B308" s="2"/>
      <c r="C308" s="2"/>
      <c r="D308" s="2"/>
      <c r="E308" s="15"/>
      <c r="F308" s="2"/>
      <c r="G308" s="2"/>
      <c r="H308" s="2"/>
      <c r="I308" s="2"/>
    </row>
    <row r="309" spans="1:9">
      <c r="A309" s="2"/>
      <c r="B309" s="2"/>
      <c r="C309" s="2"/>
      <c r="D309" s="2"/>
      <c r="E309" s="15"/>
      <c r="F309" s="2"/>
      <c r="G309" s="2"/>
      <c r="H309" s="2"/>
      <c r="I309" s="2"/>
    </row>
    <row r="310" spans="1:9">
      <c r="A310" s="2"/>
      <c r="B310" s="2"/>
      <c r="C310" s="2"/>
      <c r="D310" s="2"/>
      <c r="E310" s="15"/>
      <c r="F310" s="2"/>
      <c r="G310" s="2"/>
      <c r="H310" s="2"/>
      <c r="I310" s="2"/>
    </row>
    <row r="311" spans="1:9">
      <c r="A311" s="2"/>
      <c r="B311" s="2"/>
      <c r="C311" s="2"/>
      <c r="D311" s="2"/>
      <c r="E311" s="15"/>
      <c r="F311" s="2"/>
      <c r="G311" s="2"/>
      <c r="H311" s="2"/>
      <c r="I311" s="2"/>
    </row>
    <row r="312" spans="1:9">
      <c r="A312" s="2"/>
      <c r="B312" s="2"/>
      <c r="C312" s="2"/>
      <c r="D312" s="2"/>
      <c r="E312" s="15"/>
      <c r="F312" s="2"/>
      <c r="G312" s="2"/>
      <c r="H312" s="2"/>
      <c r="I312" s="2"/>
    </row>
    <row r="313" spans="1:9">
      <c r="A313" s="2"/>
      <c r="B313" s="2"/>
      <c r="C313" s="2"/>
      <c r="D313" s="2"/>
      <c r="E313" s="15"/>
      <c r="F313" s="2"/>
      <c r="G313" s="2"/>
      <c r="H313" s="2"/>
      <c r="I313" s="2"/>
    </row>
    <row r="314" spans="1:9">
      <c r="A314" s="2"/>
      <c r="B314" s="2"/>
      <c r="C314" s="2"/>
      <c r="D314" s="2"/>
      <c r="E314" s="15"/>
      <c r="F314" s="2"/>
      <c r="G314" s="2"/>
      <c r="H314" s="2"/>
      <c r="I314" s="2"/>
    </row>
    <row r="315" spans="1:9">
      <c r="A315" s="2"/>
      <c r="B315" s="2"/>
      <c r="C315" s="2"/>
      <c r="D315" s="2"/>
      <c r="E315" s="15"/>
      <c r="F315" s="2"/>
      <c r="G315" s="2"/>
      <c r="H315" s="2"/>
      <c r="I315" s="2"/>
    </row>
    <row r="316" spans="1:9">
      <c r="A316" s="2"/>
      <c r="B316" s="2"/>
      <c r="C316" s="2"/>
      <c r="D316" s="2"/>
      <c r="E316" s="15"/>
      <c r="F316" s="2"/>
      <c r="G316" s="2"/>
      <c r="H316" s="2"/>
      <c r="I316" s="2"/>
    </row>
    <row r="317" spans="1:9">
      <c r="A317" s="2"/>
      <c r="B317" s="2"/>
      <c r="C317" s="2"/>
      <c r="D317" s="2"/>
      <c r="E317" s="15"/>
      <c r="F317" s="2"/>
      <c r="G317" s="2"/>
      <c r="H317" s="2"/>
      <c r="I317" s="2"/>
    </row>
    <row r="318" spans="1:9">
      <c r="A318" s="2"/>
      <c r="B318" s="2"/>
      <c r="C318" s="2"/>
      <c r="D318" s="2"/>
      <c r="E318" s="15"/>
      <c r="F318" s="2"/>
      <c r="G318" s="2"/>
      <c r="H318" s="2"/>
      <c r="I318" s="2"/>
    </row>
    <row r="319" spans="1:9">
      <c r="A319" s="2"/>
      <c r="B319" s="2"/>
      <c r="C319" s="2"/>
      <c r="D319" s="2"/>
      <c r="E319" s="15"/>
      <c r="F319" s="2"/>
      <c r="G319" s="2"/>
      <c r="H319" s="2"/>
      <c r="I319" s="2"/>
    </row>
    <row r="320" spans="1:9">
      <c r="A320" s="2"/>
      <c r="B320" s="2"/>
      <c r="C320" s="2"/>
      <c r="D320" s="2"/>
      <c r="E320" s="15"/>
      <c r="F320" s="2"/>
      <c r="G320" s="2"/>
      <c r="H320" s="2"/>
      <c r="I320" s="2"/>
    </row>
    <row r="321" spans="1:9">
      <c r="A321" s="2"/>
      <c r="B321" s="2"/>
      <c r="C321" s="2"/>
      <c r="D321" s="2"/>
      <c r="E321" s="15"/>
      <c r="F321" s="2"/>
      <c r="G321" s="2"/>
      <c r="H321" s="2"/>
      <c r="I321" s="2"/>
    </row>
    <row r="322" spans="1:9">
      <c r="A322" s="2"/>
      <c r="B322" s="2"/>
      <c r="C322" s="2"/>
      <c r="D322" s="2"/>
      <c r="E322" s="15"/>
      <c r="F322" s="2"/>
      <c r="G322" s="2"/>
      <c r="H322" s="2"/>
      <c r="I322" s="2"/>
    </row>
    <row r="323" spans="1:9">
      <c r="A323" s="2"/>
      <c r="B323" s="2"/>
      <c r="C323" s="2"/>
      <c r="D323" s="2"/>
      <c r="E323" s="15"/>
      <c r="F323" s="2"/>
      <c r="G323" s="2"/>
      <c r="H323" s="2"/>
      <c r="I323" s="2"/>
    </row>
    <row r="324" spans="1:9">
      <c r="A324" s="2"/>
      <c r="B324" s="2"/>
      <c r="C324" s="2"/>
      <c r="D324" s="2"/>
      <c r="E324" s="15"/>
      <c r="F324" s="2"/>
      <c r="G324" s="2"/>
      <c r="H324" s="2"/>
      <c r="I324" s="2"/>
    </row>
    <row r="325" spans="1:9">
      <c r="A325" s="2"/>
      <c r="B325" s="2"/>
      <c r="C325" s="2"/>
      <c r="D325" s="2"/>
      <c r="E325" s="15"/>
      <c r="F325" s="2"/>
      <c r="G325" s="2"/>
      <c r="H325" s="2"/>
      <c r="I325" s="2"/>
    </row>
    <row r="326" spans="1:9">
      <c r="A326" s="2"/>
      <c r="B326" s="2"/>
      <c r="C326" s="2"/>
      <c r="D326" s="2"/>
      <c r="E326" s="15"/>
      <c r="F326" s="2"/>
      <c r="G326" s="2"/>
      <c r="H326" s="2"/>
      <c r="I326" s="2"/>
    </row>
    <row r="327" spans="1:9">
      <c r="A327" s="2"/>
      <c r="B327" s="2"/>
      <c r="C327" s="2"/>
      <c r="D327" s="2"/>
      <c r="E327" s="15"/>
      <c r="F327" s="2"/>
      <c r="G327" s="2"/>
      <c r="H327" s="2"/>
      <c r="I327" s="2"/>
    </row>
    <row r="328" spans="1:9">
      <c r="A328" s="2"/>
      <c r="B328" s="2"/>
      <c r="C328" s="2"/>
      <c r="D328" s="2"/>
      <c r="E328" s="15"/>
      <c r="F328" s="2"/>
      <c r="G328" s="2"/>
      <c r="H328" s="2"/>
      <c r="I328" s="2"/>
    </row>
    <row r="329" spans="1:9">
      <c r="A329" s="2"/>
      <c r="B329" s="2"/>
      <c r="C329" s="2"/>
      <c r="D329" s="2"/>
      <c r="E329" s="15"/>
      <c r="F329" s="2"/>
      <c r="G329" s="2"/>
      <c r="H329" s="2"/>
      <c r="I329" s="2"/>
    </row>
    <row r="330" spans="1:9">
      <c r="A330" s="2"/>
      <c r="B330" s="2"/>
      <c r="C330" s="2"/>
      <c r="D330" s="2"/>
      <c r="E330" s="15"/>
      <c r="F330" s="2"/>
      <c r="G330" s="2"/>
      <c r="H330" s="2"/>
      <c r="I330" s="2"/>
    </row>
    <row r="331" spans="1:9">
      <c r="A331" s="2"/>
      <c r="B331" s="2"/>
      <c r="C331" s="2"/>
      <c r="D331" s="2"/>
      <c r="E331" s="15"/>
      <c r="F331" s="2"/>
      <c r="G331" s="2"/>
      <c r="H331" s="2"/>
      <c r="I331" s="2"/>
    </row>
    <row r="332" spans="1:9">
      <c r="A332" s="2"/>
      <c r="B332" s="2"/>
      <c r="C332" s="2"/>
      <c r="D332" s="2"/>
      <c r="E332" s="15"/>
      <c r="F332" s="2"/>
      <c r="G332" s="2"/>
      <c r="H332" s="2"/>
      <c r="I332" s="2"/>
    </row>
    <row r="333" spans="1:9">
      <c r="A333" s="2"/>
      <c r="B333" s="2"/>
      <c r="C333" s="2"/>
      <c r="D333" s="2"/>
      <c r="E333" s="15"/>
      <c r="F333" s="2"/>
      <c r="G333" s="2"/>
      <c r="H333" s="2"/>
      <c r="I333" s="2"/>
    </row>
    <row r="334" spans="1:9">
      <c r="A334" s="2"/>
      <c r="B334" s="2"/>
      <c r="C334" s="2"/>
      <c r="D334" s="2"/>
      <c r="E334" s="15"/>
      <c r="F334" s="2"/>
      <c r="G334" s="2"/>
      <c r="H334" s="2"/>
      <c r="I334" s="2"/>
    </row>
    <row r="335" spans="1:9">
      <c r="A335" s="2"/>
      <c r="B335" s="2"/>
      <c r="C335" s="2"/>
      <c r="D335" s="2"/>
      <c r="E335" s="15"/>
      <c r="F335" s="2"/>
      <c r="G335" s="2"/>
      <c r="H335" s="2"/>
      <c r="I335" s="2"/>
    </row>
    <row r="336" spans="1:9">
      <c r="A336" s="2"/>
      <c r="B336" s="2"/>
      <c r="C336" s="2"/>
      <c r="D336" s="2"/>
      <c r="E336" s="15"/>
      <c r="F336" s="2"/>
      <c r="G336" s="2"/>
      <c r="H336" s="2"/>
      <c r="I336" s="2"/>
    </row>
    <row r="337" spans="1:9">
      <c r="A337" s="2"/>
      <c r="B337" s="2"/>
      <c r="C337" s="2"/>
      <c r="D337" s="2"/>
      <c r="E337" s="15"/>
      <c r="F337" s="2"/>
      <c r="G337" s="2"/>
      <c r="H337" s="2"/>
      <c r="I337" s="2"/>
    </row>
    <row r="338" spans="1:9">
      <c r="A338" s="2"/>
      <c r="B338" s="2"/>
      <c r="C338" s="2"/>
      <c r="D338" s="2"/>
      <c r="E338" s="15"/>
      <c r="F338" s="2"/>
      <c r="G338" s="2"/>
      <c r="H338" s="2"/>
      <c r="I338" s="2"/>
    </row>
    <row r="339" spans="1:9">
      <c r="A339" s="2"/>
      <c r="B339" s="2"/>
      <c r="C339" s="2"/>
      <c r="D339" s="2"/>
      <c r="E339" s="15"/>
      <c r="F339" s="2"/>
      <c r="G339" s="2"/>
      <c r="H339" s="2"/>
      <c r="I339" s="2"/>
    </row>
    <row r="340" spans="1:9">
      <c r="A340" s="2"/>
      <c r="B340" s="2"/>
      <c r="C340" s="2"/>
      <c r="D340" s="2"/>
      <c r="E340" s="15"/>
      <c r="F340" s="2"/>
      <c r="G340" s="2"/>
      <c r="H340" s="2"/>
      <c r="I340" s="2"/>
    </row>
    <row r="341" spans="1:9">
      <c r="A341" s="2"/>
      <c r="B341" s="2"/>
      <c r="C341" s="2"/>
      <c r="D341" s="2"/>
      <c r="E341" s="15"/>
      <c r="F341" s="2"/>
      <c r="G341" s="2"/>
      <c r="H341" s="2"/>
      <c r="I341" s="2"/>
    </row>
    <row r="342" spans="1:9">
      <c r="A342" s="2"/>
      <c r="B342" s="2"/>
      <c r="C342" s="2"/>
      <c r="D342" s="2"/>
      <c r="E342" s="15"/>
      <c r="F342" s="2"/>
      <c r="G342" s="2"/>
      <c r="H342" s="2"/>
      <c r="I342" s="2"/>
    </row>
    <row r="343" spans="1:9">
      <c r="A343" s="2"/>
      <c r="B343" s="2"/>
      <c r="C343" s="2"/>
      <c r="D343" s="2"/>
      <c r="E343" s="15"/>
      <c r="F343" s="2"/>
      <c r="G343" s="2"/>
      <c r="H343" s="2"/>
      <c r="I343" s="2"/>
    </row>
    <row r="344" spans="1:9">
      <c r="A344" s="2"/>
      <c r="B344" s="2"/>
      <c r="C344" s="2"/>
      <c r="D344" s="2"/>
      <c r="E344" s="15"/>
      <c r="F344" s="2"/>
      <c r="G344" s="2"/>
      <c r="H344" s="2"/>
      <c r="I344" s="2"/>
    </row>
    <row r="345" spans="1:9">
      <c r="A345" s="2"/>
      <c r="B345" s="2"/>
      <c r="C345" s="2"/>
      <c r="D345" s="2"/>
      <c r="E345" s="15"/>
      <c r="F345" s="2"/>
      <c r="G345" s="2"/>
      <c r="H345" s="2"/>
      <c r="I345" s="2"/>
    </row>
    <row r="346" spans="1:9">
      <c r="A346" s="2"/>
      <c r="B346" s="2"/>
      <c r="C346" s="2"/>
      <c r="D346" s="2"/>
      <c r="E346" s="15"/>
      <c r="F346" s="2"/>
      <c r="G346" s="2"/>
      <c r="H346" s="2"/>
      <c r="I346" s="2"/>
    </row>
    <row r="347" spans="1:9">
      <c r="A347" s="2"/>
      <c r="B347" s="2"/>
      <c r="C347" s="2"/>
      <c r="D347" s="2"/>
      <c r="E347" s="15"/>
      <c r="F347" s="2"/>
      <c r="G347" s="2"/>
      <c r="H347" s="2"/>
      <c r="I347" s="2"/>
    </row>
    <row r="348" spans="1:9">
      <c r="A348" s="2"/>
      <c r="B348" s="2"/>
      <c r="C348" s="2"/>
      <c r="D348" s="2"/>
      <c r="E348" s="15"/>
      <c r="F348" s="2"/>
      <c r="G348" s="2"/>
      <c r="H348" s="2"/>
      <c r="I348" s="2"/>
    </row>
    <row r="349" spans="1:9">
      <c r="A349" s="2"/>
      <c r="B349" s="2"/>
      <c r="C349" s="2"/>
      <c r="D349" s="2"/>
      <c r="E349" s="15"/>
      <c r="F349" s="2"/>
      <c r="G349" s="2"/>
      <c r="H349" s="2"/>
      <c r="I349" s="2"/>
    </row>
    <row r="350" spans="1:9">
      <c r="A350" s="2"/>
      <c r="B350" s="2"/>
      <c r="C350" s="2"/>
      <c r="D350" s="2"/>
      <c r="E350" s="15"/>
      <c r="F350" s="2"/>
      <c r="G350" s="2"/>
      <c r="H350" s="2"/>
      <c r="I350" s="2"/>
    </row>
    <row r="351" spans="1:9">
      <c r="A351" s="2"/>
      <c r="B351" s="2"/>
      <c r="C351" s="2"/>
      <c r="D351" s="2"/>
      <c r="E351" s="15"/>
      <c r="F351" s="2"/>
      <c r="G351" s="2"/>
      <c r="H351" s="2"/>
      <c r="I351" s="2"/>
    </row>
    <row r="352" spans="1:9">
      <c r="A352" s="2"/>
      <c r="B352" s="2"/>
      <c r="C352" s="2"/>
      <c r="D352" s="2"/>
      <c r="E352" s="15"/>
      <c r="F352" s="2"/>
      <c r="G352" s="2"/>
      <c r="H352" s="2"/>
      <c r="I352" s="2"/>
    </row>
    <row r="353" spans="1:9">
      <c r="A353" s="2"/>
      <c r="B353" s="2"/>
      <c r="C353" s="2"/>
      <c r="D353" s="2"/>
      <c r="E353" s="15"/>
      <c r="F353" s="2"/>
      <c r="G353" s="2"/>
      <c r="H353" s="2"/>
      <c r="I353" s="2"/>
    </row>
    <row r="354" spans="1:9">
      <c r="A354" s="2"/>
      <c r="B354" s="2"/>
      <c r="C354" s="2"/>
      <c r="D354" s="2"/>
      <c r="E354" s="15"/>
      <c r="F354" s="2"/>
      <c r="G354" s="2"/>
      <c r="H354" s="2"/>
      <c r="I354" s="2"/>
    </row>
    <row r="355" spans="1:9">
      <c r="A355" s="2"/>
      <c r="B355" s="2"/>
      <c r="C355" s="2"/>
      <c r="D355" s="2"/>
      <c r="E355" s="15"/>
      <c r="F355" s="2"/>
      <c r="G355" s="2"/>
      <c r="H355" s="2"/>
      <c r="I355" s="2"/>
    </row>
    <row r="356" spans="1:9">
      <c r="A356" s="2"/>
      <c r="B356" s="2"/>
      <c r="C356" s="2"/>
      <c r="D356" s="2"/>
      <c r="E356" s="15"/>
      <c r="F356" s="2"/>
      <c r="G356" s="2"/>
      <c r="H356" s="2"/>
      <c r="I356" s="2"/>
    </row>
    <row r="357" spans="1:9">
      <c r="A357" s="2"/>
      <c r="B357" s="2"/>
      <c r="C357" s="2"/>
      <c r="D357" s="2"/>
      <c r="E357" s="15"/>
      <c r="F357" s="2"/>
      <c r="G357" s="2"/>
      <c r="H357" s="2"/>
      <c r="I357" s="2"/>
    </row>
    <row r="358" spans="1:9">
      <c r="A358" s="2"/>
      <c r="B358" s="2"/>
      <c r="C358" s="2"/>
      <c r="D358" s="2"/>
      <c r="E358" s="15"/>
      <c r="F358" s="2"/>
      <c r="G358" s="2"/>
      <c r="H358" s="2"/>
      <c r="I358" s="2"/>
    </row>
    <row r="359" spans="1:9">
      <c r="A359" s="2"/>
      <c r="B359" s="2"/>
      <c r="C359" s="2"/>
      <c r="D359" s="2"/>
      <c r="E359" s="15"/>
      <c r="F359" s="2"/>
      <c r="G359" s="2"/>
      <c r="H359" s="2"/>
      <c r="I359" s="2"/>
    </row>
    <row r="360" spans="1:9">
      <c r="A360" s="2"/>
      <c r="B360" s="2"/>
      <c r="C360" s="2"/>
      <c r="D360" s="2"/>
      <c r="E360" s="15"/>
      <c r="F360" s="2"/>
      <c r="G360" s="2"/>
      <c r="H360" s="2"/>
      <c r="I360" s="2"/>
    </row>
    <row r="361" spans="1:9">
      <c r="A361" s="2"/>
      <c r="B361" s="2"/>
      <c r="C361" s="2"/>
      <c r="D361" s="2"/>
      <c r="E361" s="15"/>
      <c r="F361" s="2"/>
      <c r="G361" s="2"/>
      <c r="H361" s="2"/>
      <c r="I361" s="2"/>
    </row>
    <row r="362" spans="1:9">
      <c r="A362" s="2"/>
      <c r="B362" s="2"/>
      <c r="C362" s="2"/>
      <c r="D362" s="2"/>
      <c r="E362" s="15"/>
      <c r="F362" s="2"/>
      <c r="G362" s="2"/>
      <c r="H362" s="2"/>
      <c r="I362" s="2"/>
    </row>
    <row r="363" spans="1:9">
      <c r="A363" s="2"/>
      <c r="B363" s="2"/>
      <c r="C363" s="2"/>
      <c r="D363" s="2"/>
      <c r="E363" s="15"/>
      <c r="F363" s="2"/>
      <c r="G363" s="2"/>
      <c r="H363" s="2"/>
      <c r="I363" s="2"/>
    </row>
    <row r="364" spans="1:9">
      <c r="A364" s="2"/>
      <c r="B364" s="2"/>
      <c r="C364" s="2"/>
      <c r="D364" s="2"/>
      <c r="E364" s="15"/>
      <c r="F364" s="2"/>
      <c r="G364" s="2"/>
      <c r="H364" s="2"/>
      <c r="I364" s="2"/>
    </row>
    <row r="365" spans="1:9">
      <c r="A365" s="2"/>
      <c r="B365" s="2"/>
      <c r="C365" s="2"/>
      <c r="D365" s="2"/>
      <c r="E365" s="15"/>
      <c r="F365" s="2"/>
      <c r="G365" s="2"/>
      <c r="H365" s="2"/>
      <c r="I365" s="2"/>
    </row>
    <row r="366" spans="1:9">
      <c r="A366" s="2"/>
      <c r="B366" s="2"/>
      <c r="C366" s="2"/>
      <c r="D366" s="2"/>
      <c r="E366" s="15"/>
      <c r="F366" s="2"/>
      <c r="G366" s="2"/>
      <c r="H366" s="2"/>
      <c r="I366" s="2"/>
    </row>
    <row r="367" spans="1:9">
      <c r="A367" s="2"/>
      <c r="B367" s="2"/>
      <c r="C367" s="2"/>
      <c r="D367" s="2"/>
      <c r="E367" s="15"/>
      <c r="F367" s="2"/>
      <c r="G367" s="2"/>
      <c r="H367" s="2"/>
      <c r="I367" s="2"/>
    </row>
    <row r="368" spans="1:9">
      <c r="A368" s="2"/>
      <c r="B368" s="2"/>
      <c r="C368" s="2"/>
      <c r="D368" s="2"/>
      <c r="E368" s="15"/>
      <c r="F368" s="2"/>
      <c r="G368" s="2"/>
      <c r="H368" s="2"/>
      <c r="I368" s="2"/>
    </row>
    <row r="369" spans="1:9">
      <c r="A369" s="2"/>
      <c r="B369" s="2"/>
      <c r="C369" s="2"/>
      <c r="D369" s="2"/>
      <c r="E369" s="15"/>
      <c r="F369" s="2"/>
      <c r="G369" s="2"/>
      <c r="H369" s="2"/>
      <c r="I369" s="2"/>
    </row>
    <row r="370" spans="1:9">
      <c r="A370" s="2"/>
      <c r="B370" s="2"/>
      <c r="C370" s="2"/>
      <c r="D370" s="2"/>
      <c r="E370" s="15"/>
      <c r="F370" s="2"/>
      <c r="G370" s="2"/>
      <c r="H370" s="2"/>
      <c r="I370" s="2"/>
    </row>
    <row r="371" spans="1:9">
      <c r="A371" s="2"/>
      <c r="B371" s="2"/>
      <c r="C371" s="2"/>
      <c r="D371" s="2"/>
      <c r="E371" s="15"/>
      <c r="F371" s="2"/>
      <c r="G371" s="2"/>
      <c r="H371" s="2"/>
      <c r="I371" s="2"/>
    </row>
    <row r="372" spans="1:9">
      <c r="A372" s="2"/>
      <c r="B372" s="2"/>
      <c r="C372" s="2"/>
      <c r="D372" s="2"/>
      <c r="E372" s="15"/>
      <c r="F372" s="2"/>
      <c r="G372" s="2"/>
      <c r="H372" s="2"/>
      <c r="I372" s="2"/>
    </row>
    <row r="373" spans="1:9">
      <c r="A373" s="2"/>
      <c r="B373" s="2"/>
      <c r="C373" s="2"/>
      <c r="D373" s="2"/>
      <c r="E373" s="15"/>
      <c r="F373" s="2"/>
      <c r="G373" s="2"/>
      <c r="H373" s="2"/>
      <c r="I373" s="2"/>
    </row>
    <row r="374" spans="1:9">
      <c r="A374" s="2"/>
      <c r="B374" s="2"/>
      <c r="C374" s="2"/>
      <c r="D374" s="2"/>
      <c r="E374" s="15"/>
      <c r="F374" s="2"/>
      <c r="G374" s="2"/>
      <c r="H374" s="2"/>
      <c r="I374" s="2"/>
    </row>
    <row r="375" spans="1:9">
      <c r="A375" s="2"/>
      <c r="B375" s="2"/>
      <c r="C375" s="2"/>
      <c r="D375" s="2"/>
      <c r="E375" s="15"/>
      <c r="F375" s="2"/>
      <c r="G375" s="2"/>
      <c r="H375" s="2"/>
      <c r="I375" s="2"/>
    </row>
    <row r="376" spans="1:9">
      <c r="A376" s="2"/>
      <c r="B376" s="2"/>
      <c r="C376" s="2"/>
      <c r="D376" s="2"/>
      <c r="E376" s="15"/>
      <c r="F376" s="2"/>
      <c r="G376" s="2"/>
      <c r="H376" s="2"/>
      <c r="I376" s="2"/>
    </row>
    <row r="377" spans="1:9">
      <c r="A377" s="2"/>
      <c r="B377" s="2"/>
      <c r="C377" s="2"/>
      <c r="D377" s="2"/>
      <c r="E377" s="15"/>
      <c r="F377" s="2"/>
      <c r="G377" s="2"/>
      <c r="H377" s="2"/>
      <c r="I377" s="2"/>
    </row>
    <row r="378" spans="1:9">
      <c r="A378" s="2"/>
      <c r="B378" s="2"/>
      <c r="C378" s="2"/>
      <c r="D378" s="2"/>
      <c r="E378" s="15"/>
      <c r="F378" s="2"/>
      <c r="G378" s="2"/>
      <c r="H378" s="2"/>
      <c r="I378" s="2"/>
    </row>
    <row r="379" spans="1:9">
      <c r="A379" s="2"/>
      <c r="B379" s="2"/>
      <c r="C379" s="2"/>
      <c r="D379" s="2"/>
      <c r="E379" s="15"/>
      <c r="F379" s="2"/>
      <c r="G379" s="2"/>
      <c r="H379" s="2"/>
      <c r="I379" s="2"/>
    </row>
    <row r="380" spans="1:9">
      <c r="A380" s="2"/>
      <c r="B380" s="2"/>
      <c r="C380" s="2"/>
      <c r="D380" s="2"/>
      <c r="E380" s="15"/>
      <c r="F380" s="2"/>
      <c r="G380" s="2"/>
      <c r="H380" s="2"/>
      <c r="I380" s="2"/>
    </row>
    <row r="381" spans="1:9">
      <c r="A381" s="2"/>
      <c r="B381" s="2"/>
      <c r="C381" s="2"/>
      <c r="D381" s="2"/>
      <c r="E381" s="15"/>
      <c r="F381" s="2"/>
      <c r="G381" s="2"/>
      <c r="H381" s="2"/>
      <c r="I381" s="2"/>
    </row>
    <row r="382" spans="1:9">
      <c r="A382" s="2"/>
      <c r="B382" s="2"/>
      <c r="C382" s="2"/>
      <c r="D382" s="2"/>
      <c r="E382" s="15"/>
      <c r="F382" s="2"/>
      <c r="G382" s="2"/>
      <c r="H382" s="2"/>
      <c r="I382" s="2"/>
    </row>
    <row r="383" spans="1:9">
      <c r="A383" s="2"/>
      <c r="B383" s="2"/>
      <c r="C383" s="2"/>
      <c r="D383" s="2"/>
      <c r="E383" s="15"/>
      <c r="F383" s="2"/>
      <c r="G383" s="2"/>
      <c r="H383" s="2"/>
      <c r="I383" s="2"/>
    </row>
    <row r="384" spans="1:9">
      <c r="A384" s="2"/>
      <c r="B384" s="2"/>
      <c r="C384" s="2"/>
      <c r="D384" s="2"/>
      <c r="E384" s="15"/>
      <c r="F384" s="2"/>
      <c r="G384" s="2"/>
      <c r="H384" s="2"/>
      <c r="I384" s="2"/>
    </row>
    <row r="385" spans="1:9">
      <c r="A385" s="2"/>
      <c r="B385" s="2"/>
      <c r="C385" s="2"/>
      <c r="D385" s="2"/>
      <c r="E385" s="15"/>
      <c r="F385" s="2"/>
      <c r="G385" s="2"/>
      <c r="H385" s="2"/>
      <c r="I385" s="2"/>
    </row>
    <row r="386" spans="1:9">
      <c r="A386" s="2"/>
      <c r="B386" s="2"/>
      <c r="C386" s="2"/>
      <c r="D386" s="2"/>
      <c r="E386" s="15"/>
      <c r="F386" s="2"/>
      <c r="G386" s="2"/>
      <c r="H386" s="2"/>
      <c r="I386" s="2"/>
    </row>
    <row r="387" spans="1:9">
      <c r="A387" s="2"/>
      <c r="B387" s="2"/>
      <c r="C387" s="2"/>
      <c r="D387" s="2"/>
      <c r="E387" s="15"/>
      <c r="F387" s="2"/>
      <c r="G387" s="2"/>
      <c r="H387" s="2"/>
      <c r="I387" s="2"/>
    </row>
    <row r="388" spans="1:9">
      <c r="A388" s="2"/>
      <c r="B388" s="2"/>
      <c r="C388" s="2"/>
      <c r="D388" s="2"/>
      <c r="E388" s="15"/>
      <c r="F388" s="2"/>
      <c r="G388" s="2"/>
      <c r="H388" s="2"/>
      <c r="I388" s="2"/>
    </row>
    <row r="389" spans="1:9">
      <c r="A389" s="2"/>
      <c r="B389" s="2"/>
      <c r="C389" s="2"/>
      <c r="D389" s="2"/>
      <c r="E389" s="15"/>
      <c r="F389" s="2"/>
      <c r="G389" s="2"/>
      <c r="H389" s="2"/>
      <c r="I389" s="2"/>
    </row>
    <row r="390" spans="1:9">
      <c r="A390" s="2"/>
      <c r="B390" s="2"/>
      <c r="C390" s="2"/>
      <c r="D390" s="2"/>
      <c r="E390" s="15"/>
      <c r="F390" s="2"/>
      <c r="G390" s="2"/>
      <c r="H390" s="2"/>
      <c r="I390" s="2"/>
    </row>
    <row r="391" spans="1:9">
      <c r="A391" s="2"/>
      <c r="B391" s="2"/>
      <c r="C391" s="2"/>
      <c r="D391" s="2"/>
      <c r="E391" s="15"/>
      <c r="F391" s="2"/>
      <c r="G391" s="2"/>
      <c r="H391" s="2"/>
      <c r="I391" s="2"/>
    </row>
    <row r="392" spans="1:9">
      <c r="A392" s="2"/>
      <c r="B392" s="2"/>
      <c r="C392" s="2"/>
      <c r="D392" s="2"/>
      <c r="E392" s="15"/>
      <c r="F392" s="2"/>
      <c r="G392" s="2"/>
      <c r="H392" s="2"/>
      <c r="I392" s="2"/>
    </row>
    <row r="393" spans="1:9">
      <c r="A393" s="2"/>
      <c r="B393" s="2"/>
      <c r="C393" s="2"/>
      <c r="D393" s="2"/>
      <c r="E393" s="15"/>
      <c r="F393" s="2"/>
      <c r="G393" s="2"/>
      <c r="H393" s="2"/>
      <c r="I393" s="2"/>
    </row>
    <row r="394" spans="1:9">
      <c r="A394" s="2"/>
      <c r="B394" s="2"/>
      <c r="C394" s="2"/>
      <c r="D394" s="2"/>
      <c r="E394" s="15"/>
      <c r="F394" s="2"/>
      <c r="G394" s="2"/>
      <c r="H394" s="2"/>
      <c r="I394" s="2"/>
    </row>
    <row r="395" spans="1:9">
      <c r="A395" s="2"/>
      <c r="B395" s="2"/>
      <c r="C395" s="2"/>
      <c r="D395" s="2"/>
      <c r="E395" s="15"/>
      <c r="F395" s="2"/>
      <c r="G395" s="2"/>
      <c r="H395" s="2"/>
      <c r="I395" s="2"/>
    </row>
    <row r="396" spans="1:9">
      <c r="A396" s="2"/>
      <c r="B396" s="2"/>
      <c r="C396" s="2"/>
      <c r="D396" s="2"/>
      <c r="E396" s="15"/>
      <c r="F396" s="2"/>
      <c r="G396" s="2"/>
      <c r="H396" s="2"/>
      <c r="I396" s="2"/>
    </row>
    <row r="397" spans="1:9">
      <c r="A397" s="2"/>
      <c r="B397" s="2"/>
      <c r="C397" s="2"/>
      <c r="D397" s="2"/>
      <c r="E397" s="15"/>
      <c r="F397" s="2"/>
      <c r="G397" s="2"/>
      <c r="H397" s="2"/>
      <c r="I397" s="2"/>
    </row>
    <row r="398" spans="1:9">
      <c r="A398" s="2"/>
      <c r="B398" s="2"/>
      <c r="C398" s="2"/>
      <c r="D398" s="2"/>
      <c r="E398" s="15"/>
      <c r="F398" s="2"/>
      <c r="G398" s="2"/>
      <c r="H398" s="2"/>
      <c r="I398" s="2"/>
    </row>
    <row r="399" spans="1:9">
      <c r="A399" s="2"/>
      <c r="B399" s="2"/>
      <c r="C399" s="2"/>
      <c r="D399" s="2"/>
      <c r="E399" s="15"/>
      <c r="F399" s="2"/>
      <c r="G399" s="2"/>
      <c r="H399" s="2"/>
      <c r="I399" s="2"/>
    </row>
    <row r="400" spans="1:9">
      <c r="A400" s="2"/>
      <c r="B400" s="2"/>
      <c r="C400" s="2"/>
      <c r="D400" s="2"/>
      <c r="E400" s="15"/>
      <c r="F400" s="2"/>
      <c r="G400" s="2"/>
      <c r="H400" s="2"/>
      <c r="I400" s="2"/>
    </row>
    <row r="401" spans="1:9">
      <c r="A401" s="2"/>
      <c r="B401" s="2"/>
      <c r="C401" s="2"/>
      <c r="D401" s="2"/>
      <c r="E401" s="15"/>
      <c r="F401" s="2"/>
      <c r="G401" s="2"/>
      <c r="H401" s="2"/>
      <c r="I401" s="2"/>
    </row>
    <row r="402" spans="1:9">
      <c r="A402" s="2"/>
      <c r="B402" s="2"/>
      <c r="C402" s="2"/>
      <c r="D402" s="2"/>
      <c r="E402" s="15"/>
      <c r="F402" s="2"/>
      <c r="G402" s="2"/>
      <c r="H402" s="2"/>
      <c r="I402" s="2"/>
    </row>
    <row r="403" spans="1:9">
      <c r="A403" s="2"/>
      <c r="B403" s="2"/>
      <c r="C403" s="2"/>
      <c r="D403" s="2"/>
      <c r="E403" s="15"/>
      <c r="F403" s="2"/>
      <c r="G403" s="2"/>
      <c r="H403" s="2"/>
      <c r="I403" s="2"/>
    </row>
    <row r="404" spans="1:9">
      <c r="A404" s="2"/>
      <c r="B404" s="2"/>
      <c r="C404" s="2"/>
      <c r="D404" s="2"/>
      <c r="E404" s="15"/>
      <c r="F404" s="2"/>
      <c r="G404" s="2"/>
      <c r="H404" s="2"/>
      <c r="I404" s="2"/>
    </row>
    <row r="405" spans="1:9">
      <c r="A405" s="2"/>
      <c r="B405" s="2"/>
      <c r="C405" s="2"/>
      <c r="D405" s="2"/>
      <c r="E405" s="15"/>
      <c r="F405" s="2"/>
      <c r="G405" s="2"/>
      <c r="H405" s="2"/>
      <c r="I405" s="2"/>
    </row>
    <row r="406" spans="1:9">
      <c r="A406" s="2"/>
      <c r="B406" s="2"/>
      <c r="C406" s="2"/>
      <c r="D406" s="2"/>
      <c r="E406" s="15"/>
      <c r="F406" s="2"/>
      <c r="G406" s="2"/>
      <c r="H406" s="2"/>
      <c r="I406" s="2"/>
    </row>
    <row r="407" spans="1:9">
      <c r="A407" s="2"/>
      <c r="B407" s="2"/>
      <c r="C407" s="2"/>
      <c r="D407" s="2"/>
      <c r="E407" s="15"/>
      <c r="F407" s="2"/>
      <c r="G407" s="2"/>
      <c r="H407" s="2"/>
      <c r="I407" s="2"/>
    </row>
    <row r="408" spans="1:9">
      <c r="A408" s="2"/>
      <c r="B408" s="2"/>
      <c r="C408" s="2"/>
      <c r="D408" s="2"/>
      <c r="E408" s="15"/>
      <c r="F408" s="2"/>
      <c r="G408" s="2"/>
      <c r="H408" s="2"/>
      <c r="I408" s="2"/>
    </row>
    <row r="409" spans="1:9">
      <c r="A409" s="2"/>
      <c r="B409" s="2"/>
      <c r="C409" s="2"/>
      <c r="D409" s="2"/>
      <c r="E409" s="15"/>
      <c r="F409" s="2"/>
      <c r="G409" s="2"/>
      <c r="H409" s="2"/>
      <c r="I409" s="2"/>
    </row>
    <row r="410" spans="1:9">
      <c r="A410" s="2"/>
      <c r="B410" s="2"/>
      <c r="C410" s="2"/>
      <c r="D410" s="2"/>
      <c r="E410" s="15"/>
      <c r="F410" s="2"/>
      <c r="G410" s="2"/>
      <c r="H410" s="2"/>
      <c r="I410" s="2"/>
    </row>
    <row r="411" spans="1:9">
      <c r="A411" s="2"/>
      <c r="B411" s="2"/>
      <c r="C411" s="2"/>
      <c r="D411" s="2"/>
      <c r="E411" s="15"/>
      <c r="F411" s="2"/>
      <c r="G411" s="2"/>
      <c r="H411" s="2"/>
      <c r="I411" s="2"/>
    </row>
    <row r="412" spans="1:9">
      <c r="A412" s="2"/>
      <c r="B412" s="2"/>
      <c r="C412" s="2"/>
      <c r="D412" s="2"/>
      <c r="E412" s="15"/>
      <c r="F412" s="2"/>
      <c r="G412" s="2"/>
      <c r="H412" s="2"/>
      <c r="I412" s="2"/>
    </row>
    <row r="413" spans="1:9">
      <c r="A413" s="2"/>
      <c r="B413" s="2"/>
      <c r="C413" s="2"/>
      <c r="D413" s="2"/>
      <c r="E413" s="15"/>
      <c r="F413" s="2"/>
      <c r="G413" s="2"/>
      <c r="H413" s="2"/>
      <c r="I413" s="2"/>
    </row>
    <row r="414" spans="1:9">
      <c r="A414" s="2"/>
      <c r="B414" s="2"/>
      <c r="C414" s="2"/>
      <c r="D414" s="2"/>
      <c r="E414" s="15"/>
      <c r="F414" s="2"/>
      <c r="G414" s="2"/>
      <c r="H414" s="2"/>
      <c r="I414" s="2"/>
    </row>
    <row r="415" spans="1:9">
      <c r="A415" s="2"/>
      <c r="B415" s="2"/>
      <c r="C415" s="2"/>
      <c r="D415" s="2"/>
      <c r="E415" s="15"/>
      <c r="F415" s="2"/>
      <c r="G415" s="2"/>
      <c r="H415" s="2"/>
      <c r="I415" s="2"/>
    </row>
    <row r="416" spans="1:9">
      <c r="A416" s="2"/>
      <c r="B416" s="2"/>
      <c r="C416" s="2"/>
      <c r="D416" s="2"/>
      <c r="E416" s="15"/>
      <c r="F416" s="2"/>
      <c r="G416" s="2"/>
      <c r="H416" s="2"/>
      <c r="I416" s="2"/>
    </row>
    <row r="417" spans="1:9">
      <c r="A417" s="2"/>
      <c r="B417" s="2"/>
      <c r="C417" s="2"/>
      <c r="D417" s="2"/>
      <c r="E417" s="15"/>
      <c r="F417" s="2"/>
      <c r="G417" s="2"/>
      <c r="H417" s="2"/>
      <c r="I417" s="2"/>
    </row>
    <row r="418" spans="1:9">
      <c r="A418" s="2"/>
      <c r="B418" s="2"/>
      <c r="C418" s="2"/>
      <c r="D418" s="2"/>
      <c r="E418" s="15"/>
      <c r="F418" s="2"/>
      <c r="G418" s="2"/>
      <c r="H418" s="2"/>
      <c r="I418" s="2"/>
    </row>
    <row r="419" spans="1:9">
      <c r="A419" s="2"/>
      <c r="B419" s="2"/>
      <c r="C419" s="2"/>
      <c r="D419" s="2"/>
      <c r="E419" s="15"/>
      <c r="F419" s="2"/>
      <c r="G419" s="2"/>
      <c r="H419" s="2"/>
      <c r="I419" s="2"/>
    </row>
    <row r="420" spans="1:9">
      <c r="A420" s="2"/>
      <c r="B420" s="2"/>
      <c r="C420" s="2"/>
      <c r="D420" s="2"/>
      <c r="E420" s="15"/>
      <c r="F420" s="2"/>
      <c r="G420" s="2"/>
      <c r="H420" s="2"/>
      <c r="I420" s="2"/>
    </row>
    <row r="421" spans="1:9">
      <c r="A421" s="2"/>
      <c r="B421" s="2"/>
      <c r="C421" s="2"/>
      <c r="D421" s="2"/>
      <c r="E421" s="15"/>
      <c r="F421" s="2"/>
      <c r="G421" s="2"/>
      <c r="H421" s="2"/>
      <c r="I421" s="2"/>
    </row>
    <row r="422" spans="1:9">
      <c r="A422" s="2"/>
      <c r="B422" s="2"/>
      <c r="C422" s="2"/>
      <c r="D422" s="2"/>
      <c r="E422" s="15"/>
      <c r="F422" s="2"/>
      <c r="G422" s="2"/>
      <c r="H422" s="2"/>
      <c r="I422" s="2"/>
    </row>
    <row r="423" spans="1:9">
      <c r="A423" s="2"/>
      <c r="B423" s="2"/>
      <c r="C423" s="2"/>
      <c r="D423" s="2"/>
      <c r="E423" s="15"/>
      <c r="F423" s="2"/>
      <c r="G423" s="2"/>
      <c r="H423" s="2"/>
      <c r="I423" s="2"/>
    </row>
    <row r="424" spans="1:9">
      <c r="A424" s="2"/>
      <c r="B424" s="2"/>
      <c r="C424" s="2"/>
      <c r="D424" s="2"/>
      <c r="E424" s="15"/>
      <c r="F424" s="2"/>
      <c r="G424" s="2"/>
      <c r="H424" s="2"/>
      <c r="I424" s="2"/>
    </row>
    <row r="425" spans="1:9">
      <c r="A425" s="2"/>
      <c r="B425" s="2"/>
      <c r="C425" s="2"/>
      <c r="D425" s="2"/>
      <c r="E425" s="15"/>
      <c r="F425" s="2"/>
      <c r="G425" s="2"/>
      <c r="H425" s="2"/>
      <c r="I425" s="2"/>
    </row>
    <row r="426" spans="1:9">
      <c r="A426" s="2"/>
      <c r="B426" s="2"/>
      <c r="C426" s="2"/>
      <c r="D426" s="2"/>
      <c r="E426" s="15"/>
      <c r="F426" s="2"/>
      <c r="G426" s="2"/>
      <c r="H426" s="2"/>
      <c r="I426" s="2"/>
    </row>
    <row r="427" spans="1:9">
      <c r="A427" s="2"/>
      <c r="B427" s="2"/>
      <c r="C427" s="2"/>
      <c r="D427" s="2"/>
      <c r="E427" s="15"/>
      <c r="F427" s="2"/>
      <c r="G427" s="2"/>
      <c r="H427" s="2"/>
      <c r="I427" s="2"/>
    </row>
    <row r="428" spans="1:9">
      <c r="A428" s="2"/>
      <c r="B428" s="2"/>
      <c r="C428" s="2"/>
      <c r="D428" s="2"/>
      <c r="E428" s="15"/>
      <c r="F428" s="2"/>
      <c r="G428" s="2"/>
      <c r="H428" s="2"/>
      <c r="I428" s="2"/>
    </row>
    <row r="429" spans="1:9">
      <c r="A429" s="2"/>
      <c r="B429" s="2"/>
      <c r="C429" s="2"/>
      <c r="D429" s="2"/>
      <c r="E429" s="15"/>
      <c r="F429" s="2"/>
      <c r="G429" s="2"/>
      <c r="H429" s="2"/>
      <c r="I429" s="2"/>
    </row>
    <row r="430" spans="1:9">
      <c r="A430" s="2"/>
      <c r="B430" s="2"/>
      <c r="C430" s="2"/>
      <c r="D430" s="2"/>
      <c r="E430" s="15"/>
      <c r="F430" s="2"/>
      <c r="G430" s="2"/>
      <c r="H430" s="2"/>
      <c r="I430" s="2"/>
    </row>
    <row r="431" spans="1:9">
      <c r="A431" s="2"/>
      <c r="B431" s="2"/>
      <c r="C431" s="2"/>
      <c r="D431" s="2"/>
      <c r="E431" s="15"/>
      <c r="F431" s="2"/>
      <c r="G431" s="2"/>
      <c r="H431" s="2"/>
      <c r="I431" s="2"/>
    </row>
    <row r="432" spans="1:9">
      <c r="A432" s="2"/>
      <c r="B432" s="2"/>
      <c r="C432" s="2"/>
      <c r="D432" s="2"/>
      <c r="E432" s="15"/>
      <c r="F432" s="2"/>
      <c r="G432" s="2"/>
      <c r="H432" s="2"/>
      <c r="I432" s="2"/>
    </row>
    <row r="433" spans="1:9">
      <c r="A433" s="2"/>
      <c r="B433" s="2"/>
      <c r="C433" s="2"/>
      <c r="D433" s="2"/>
      <c r="E433" s="15"/>
      <c r="F433" s="2"/>
      <c r="G433" s="2"/>
      <c r="H433" s="2"/>
      <c r="I433" s="2"/>
    </row>
    <row r="434" spans="1:9">
      <c r="A434" s="2"/>
      <c r="B434" s="2"/>
      <c r="C434" s="2"/>
      <c r="D434" s="2"/>
      <c r="E434" s="15"/>
      <c r="F434" s="2"/>
      <c r="G434" s="2"/>
      <c r="H434" s="2"/>
      <c r="I434" s="2"/>
    </row>
    <row r="435" spans="1:9">
      <c r="A435" s="2"/>
      <c r="B435" s="2"/>
      <c r="C435" s="2"/>
      <c r="D435" s="2"/>
      <c r="E435" s="15"/>
      <c r="F435" s="2"/>
      <c r="G435" s="2"/>
      <c r="H435" s="2"/>
      <c r="I435" s="2"/>
    </row>
    <row r="436" spans="1:9">
      <c r="A436" s="2"/>
      <c r="B436" s="2"/>
      <c r="C436" s="2"/>
      <c r="D436" s="2"/>
      <c r="E436" s="15"/>
      <c r="F436" s="2"/>
      <c r="G436" s="2"/>
      <c r="H436" s="2"/>
      <c r="I436" s="2"/>
    </row>
    <row r="437" spans="1:9">
      <c r="A437" s="2"/>
      <c r="B437" s="2"/>
      <c r="C437" s="2"/>
      <c r="D437" s="2"/>
      <c r="E437" s="15"/>
      <c r="F437" s="2"/>
      <c r="G437" s="2"/>
      <c r="H437" s="2"/>
      <c r="I437" s="2"/>
    </row>
    <row r="438" spans="1:9">
      <c r="A438" s="2"/>
      <c r="B438" s="2"/>
      <c r="C438" s="2"/>
      <c r="D438" s="2"/>
      <c r="E438" s="15"/>
      <c r="F438" s="2"/>
      <c r="G438" s="2"/>
      <c r="H438" s="2"/>
      <c r="I438" s="2"/>
    </row>
    <row r="439" spans="1:9">
      <c r="A439" s="2"/>
      <c r="B439" s="2"/>
      <c r="C439" s="2"/>
      <c r="D439" s="2"/>
      <c r="E439" s="15"/>
      <c r="F439" s="2"/>
      <c r="G439" s="2"/>
      <c r="H439" s="2"/>
      <c r="I439" s="2"/>
    </row>
    <row r="440" spans="1:9">
      <c r="A440" s="2"/>
      <c r="B440" s="2"/>
      <c r="C440" s="2"/>
      <c r="D440" s="2"/>
      <c r="E440" s="15"/>
      <c r="F440" s="2"/>
      <c r="G440" s="2"/>
      <c r="H440" s="2"/>
      <c r="I440" s="2"/>
    </row>
    <row r="441" spans="1:9">
      <c r="A441" s="2"/>
      <c r="B441" s="2"/>
      <c r="C441" s="2"/>
      <c r="D441" s="2"/>
      <c r="E441" s="15"/>
      <c r="F441" s="2"/>
      <c r="G441" s="2"/>
      <c r="H441" s="2"/>
      <c r="I441" s="2"/>
    </row>
    <row r="442" spans="1:9">
      <c r="A442" s="2"/>
      <c r="B442" s="2"/>
      <c r="C442" s="2"/>
      <c r="D442" s="2"/>
      <c r="E442" s="15"/>
      <c r="F442" s="2"/>
      <c r="G442" s="2"/>
      <c r="H442" s="2"/>
      <c r="I442" s="2"/>
    </row>
    <row r="443" spans="1:9">
      <c r="A443" s="2"/>
      <c r="B443" s="2"/>
      <c r="C443" s="2"/>
      <c r="D443" s="2"/>
      <c r="E443" s="15"/>
      <c r="F443" s="2"/>
      <c r="G443" s="2"/>
      <c r="H443" s="2"/>
      <c r="I443" s="2"/>
    </row>
    <row r="444" spans="1:9">
      <c r="A444" s="2"/>
      <c r="B444" s="2"/>
      <c r="C444" s="2"/>
      <c r="D444" s="2"/>
      <c r="E444" s="15"/>
      <c r="F444" s="2"/>
      <c r="G444" s="2"/>
      <c r="H444" s="2"/>
      <c r="I444" s="2"/>
    </row>
    <row r="445" spans="1:9">
      <c r="A445" s="2"/>
      <c r="B445" s="2"/>
      <c r="C445" s="2"/>
      <c r="D445" s="2"/>
      <c r="E445" s="15"/>
      <c r="F445" s="2"/>
      <c r="G445" s="2"/>
      <c r="H445" s="2"/>
      <c r="I445" s="2"/>
    </row>
    <row r="446" spans="1:9">
      <c r="A446" s="2"/>
      <c r="B446" s="2"/>
      <c r="C446" s="2"/>
      <c r="D446" s="2"/>
      <c r="E446" s="15"/>
      <c r="F446" s="2"/>
      <c r="G446" s="2"/>
      <c r="H446" s="2"/>
      <c r="I446" s="2"/>
    </row>
    <row r="447" spans="1:9">
      <c r="A447" s="2"/>
      <c r="B447" s="2"/>
      <c r="C447" s="2"/>
      <c r="D447" s="2"/>
      <c r="E447" s="15"/>
      <c r="F447" s="2"/>
      <c r="G447" s="2"/>
      <c r="H447" s="2"/>
      <c r="I447" s="2"/>
    </row>
    <row r="448" spans="1:9">
      <c r="A448" s="2"/>
      <c r="B448" s="2"/>
      <c r="C448" s="2"/>
      <c r="D448" s="2"/>
      <c r="E448" s="15"/>
      <c r="F448" s="2"/>
      <c r="G448" s="2"/>
      <c r="H448" s="2"/>
      <c r="I448" s="2"/>
    </row>
    <row r="449" spans="1:9">
      <c r="A449" s="2"/>
      <c r="B449" s="2"/>
      <c r="C449" s="2"/>
      <c r="D449" s="2"/>
      <c r="E449" s="15"/>
      <c r="F449" s="2"/>
      <c r="G449" s="2"/>
      <c r="H449" s="2"/>
      <c r="I449" s="2"/>
    </row>
    <row r="450" spans="1:9">
      <c r="A450" s="2"/>
      <c r="B450" s="2"/>
      <c r="C450" s="2"/>
      <c r="D450" s="2"/>
      <c r="E450" s="15"/>
      <c r="F450" s="2"/>
      <c r="G450" s="2"/>
      <c r="H450" s="2"/>
      <c r="I450" s="2"/>
    </row>
    <row r="451" spans="1:9">
      <c r="A451" s="2"/>
      <c r="B451" s="2"/>
      <c r="C451" s="2"/>
      <c r="D451" s="2"/>
      <c r="E451" s="15"/>
      <c r="F451" s="2"/>
      <c r="G451" s="2"/>
      <c r="H451" s="2"/>
      <c r="I451" s="2"/>
    </row>
    <row r="452" spans="1:9">
      <c r="A452" s="2"/>
      <c r="B452" s="2"/>
      <c r="C452" s="2"/>
      <c r="D452" s="2"/>
      <c r="E452" s="15"/>
      <c r="F452" s="2"/>
      <c r="G452" s="2"/>
      <c r="H452" s="2"/>
      <c r="I452" s="2"/>
    </row>
    <row r="453" spans="1:9">
      <c r="A453" s="2"/>
      <c r="B453" s="2"/>
      <c r="C453" s="2"/>
      <c r="D453" s="2"/>
      <c r="E453" s="15"/>
      <c r="F453" s="2"/>
      <c r="G453" s="2"/>
      <c r="H453" s="2"/>
      <c r="I453" s="2"/>
    </row>
    <row r="454" spans="1:9">
      <c r="A454" s="2"/>
      <c r="B454" s="2"/>
      <c r="C454" s="2"/>
      <c r="D454" s="2"/>
      <c r="E454" s="15"/>
      <c r="F454" s="2"/>
      <c r="G454" s="2"/>
      <c r="H454" s="2"/>
      <c r="I454" s="2"/>
    </row>
    <row r="455" spans="1:9">
      <c r="A455" s="2"/>
      <c r="B455" s="2"/>
      <c r="C455" s="2"/>
      <c r="D455" s="2"/>
      <c r="E455" s="15"/>
      <c r="F455" s="2"/>
      <c r="G455" s="2"/>
      <c r="H455" s="2"/>
      <c r="I455" s="2"/>
    </row>
    <row r="456" spans="1:9">
      <c r="A456" s="2"/>
      <c r="B456" s="2"/>
      <c r="C456" s="2"/>
      <c r="D456" s="2"/>
      <c r="E456" s="15"/>
      <c r="F456" s="2"/>
      <c r="G456" s="2"/>
      <c r="H456" s="2"/>
      <c r="I456" s="2"/>
    </row>
    <row r="457" spans="1:9">
      <c r="A457" s="2"/>
      <c r="B457" s="2"/>
      <c r="C457" s="2"/>
      <c r="D457" s="2"/>
      <c r="E457" s="15"/>
      <c r="F457" s="2"/>
      <c r="G457" s="2"/>
      <c r="H457" s="2"/>
      <c r="I457" s="2"/>
    </row>
    <row r="458" spans="1:9">
      <c r="A458" s="2"/>
      <c r="B458" s="2"/>
      <c r="C458" s="2"/>
      <c r="D458" s="2"/>
      <c r="E458" s="15"/>
      <c r="F458" s="2"/>
      <c r="G458" s="2"/>
      <c r="H458" s="2"/>
      <c r="I458" s="2"/>
    </row>
    <row r="459" spans="1:9">
      <c r="A459" s="2"/>
      <c r="B459" s="2"/>
      <c r="C459" s="2"/>
      <c r="D459" s="2"/>
      <c r="E459" s="15"/>
      <c r="F459" s="2"/>
      <c r="G459" s="2"/>
      <c r="H459" s="2"/>
      <c r="I459" s="2"/>
    </row>
    <row r="460" spans="1:9">
      <c r="A460" s="2"/>
      <c r="B460" s="2"/>
      <c r="C460" s="2"/>
      <c r="D460" s="2"/>
      <c r="E460" s="15"/>
      <c r="F460" s="2"/>
      <c r="G460" s="2"/>
      <c r="H460" s="2"/>
      <c r="I460" s="2"/>
    </row>
    <row r="461" spans="1:9">
      <c r="A461" s="2"/>
      <c r="B461" s="2"/>
      <c r="C461" s="2"/>
      <c r="D461" s="2"/>
      <c r="E461" s="15"/>
      <c r="F461" s="2"/>
      <c r="G461" s="2"/>
      <c r="H461" s="2"/>
      <c r="I461" s="2"/>
    </row>
    <row r="462" spans="1:9">
      <c r="A462" s="2"/>
      <c r="B462" s="2"/>
      <c r="C462" s="2"/>
      <c r="D462" s="2"/>
      <c r="E462" s="15"/>
      <c r="F462" s="2"/>
      <c r="G462" s="2"/>
      <c r="H462" s="2"/>
      <c r="I462" s="2"/>
    </row>
    <row r="463" spans="1:9">
      <c r="A463" s="2"/>
      <c r="B463" s="2"/>
      <c r="C463" s="2"/>
      <c r="D463" s="2"/>
      <c r="E463" s="15"/>
      <c r="F463" s="2"/>
      <c r="G463" s="2"/>
      <c r="H463" s="2"/>
      <c r="I463" s="2"/>
    </row>
    <row r="464" spans="1:9">
      <c r="A464" s="2"/>
      <c r="B464" s="2"/>
      <c r="C464" s="2"/>
      <c r="D464" s="2"/>
      <c r="E464" s="15"/>
      <c r="F464" s="2"/>
      <c r="G464" s="2"/>
      <c r="H464" s="2"/>
      <c r="I464" s="2"/>
    </row>
    <row r="465" spans="1:9">
      <c r="A465" s="2"/>
      <c r="B465" s="2"/>
      <c r="C465" s="2"/>
      <c r="D465" s="2"/>
      <c r="E465" s="15"/>
      <c r="F465" s="2"/>
      <c r="G465" s="2"/>
      <c r="H465" s="2"/>
      <c r="I465" s="2"/>
    </row>
    <row r="466" spans="1:9">
      <c r="A466" s="2"/>
      <c r="B466" s="2"/>
      <c r="C466" s="2"/>
      <c r="D466" s="2"/>
      <c r="E466" s="15"/>
      <c r="F466" s="2"/>
      <c r="G466" s="2"/>
      <c r="H466" s="2"/>
      <c r="I466" s="2"/>
    </row>
    <row r="467" spans="1:9">
      <c r="A467" s="2"/>
      <c r="B467" s="2"/>
      <c r="C467" s="2"/>
      <c r="D467" s="2"/>
      <c r="E467" s="15"/>
      <c r="F467" s="2"/>
      <c r="G467" s="2"/>
      <c r="H467" s="2"/>
      <c r="I467" s="2"/>
    </row>
    <row r="468" spans="1:9">
      <c r="A468" s="2"/>
      <c r="B468" s="2"/>
      <c r="C468" s="2"/>
      <c r="D468" s="2"/>
      <c r="E468" s="15"/>
      <c r="F468" s="2"/>
      <c r="G468" s="2"/>
      <c r="H468" s="2"/>
      <c r="I468" s="2"/>
    </row>
    <row r="469" spans="1:9">
      <c r="A469" s="2"/>
      <c r="B469" s="2"/>
      <c r="C469" s="2"/>
      <c r="D469" s="2"/>
      <c r="E469" s="15"/>
      <c r="F469" s="2"/>
      <c r="G469" s="2"/>
      <c r="H469" s="2"/>
      <c r="I469" s="2"/>
    </row>
    <row r="470" spans="1:9">
      <c r="A470" s="2"/>
      <c r="B470" s="2"/>
      <c r="C470" s="2"/>
      <c r="D470" s="2"/>
      <c r="E470" s="15"/>
      <c r="F470" s="2"/>
      <c r="G470" s="2"/>
      <c r="H470" s="2"/>
      <c r="I470" s="2"/>
    </row>
    <row r="471" spans="1:9">
      <c r="A471" s="2"/>
      <c r="B471" s="2"/>
      <c r="C471" s="2"/>
      <c r="D471" s="2"/>
      <c r="E471" s="15"/>
      <c r="F471" s="2"/>
      <c r="G471" s="2"/>
      <c r="H471" s="2"/>
      <c r="I471" s="2"/>
    </row>
    <row r="472" spans="1:9">
      <c r="A472" s="2"/>
      <c r="B472" s="2"/>
      <c r="C472" s="2"/>
      <c r="D472" s="2"/>
      <c r="E472" s="15"/>
      <c r="F472" s="2"/>
      <c r="G472" s="2"/>
      <c r="H472" s="2"/>
      <c r="I472" s="2"/>
    </row>
    <row r="473" spans="1:9">
      <c r="A473" s="2"/>
      <c r="B473" s="2"/>
      <c r="C473" s="2"/>
      <c r="D473" s="2"/>
      <c r="E473" s="15"/>
      <c r="F473" s="2"/>
      <c r="G473" s="2"/>
      <c r="H473" s="2"/>
      <c r="I473" s="2"/>
    </row>
    <row r="474" spans="1:9">
      <c r="A474" s="2"/>
      <c r="B474" s="2"/>
      <c r="C474" s="2"/>
      <c r="D474" s="2"/>
      <c r="E474" s="15"/>
      <c r="F474" s="2"/>
      <c r="G474" s="2"/>
      <c r="H474" s="2"/>
      <c r="I474" s="2"/>
    </row>
    <row r="475" spans="1:9">
      <c r="A475" s="2"/>
      <c r="B475" s="2"/>
      <c r="C475" s="2"/>
      <c r="D475" s="2"/>
      <c r="E475" s="15"/>
      <c r="F475" s="2"/>
      <c r="G475" s="2"/>
      <c r="H475" s="2"/>
      <c r="I475" s="2"/>
    </row>
    <row r="476" spans="1:9">
      <c r="A476" s="2"/>
      <c r="B476" s="2"/>
      <c r="C476" s="2"/>
      <c r="D476" s="2"/>
      <c r="E476" s="15"/>
      <c r="F476" s="2"/>
      <c r="G476" s="2"/>
      <c r="H476" s="2"/>
      <c r="I476" s="2"/>
    </row>
    <row r="477" spans="1:9">
      <c r="A477" s="2"/>
      <c r="B477" s="2"/>
      <c r="C477" s="2"/>
      <c r="D477" s="2"/>
      <c r="E477" s="15"/>
      <c r="F477" s="2"/>
      <c r="G477" s="2"/>
      <c r="H477" s="2"/>
      <c r="I477" s="2"/>
    </row>
    <row r="478" spans="1:9">
      <c r="A478" s="2"/>
      <c r="B478" s="2"/>
      <c r="C478" s="2"/>
      <c r="D478" s="2"/>
      <c r="E478" s="15"/>
      <c r="F478" s="2"/>
      <c r="G478" s="2"/>
      <c r="H478" s="2"/>
      <c r="I478" s="2"/>
    </row>
    <row r="479" spans="1:9">
      <c r="A479" s="2"/>
      <c r="B479" s="2"/>
      <c r="C479" s="2"/>
      <c r="D479" s="2"/>
      <c r="E479" s="15"/>
      <c r="F479" s="2"/>
      <c r="G479" s="2"/>
      <c r="H479" s="2"/>
      <c r="I479" s="2"/>
    </row>
    <row r="480" spans="1:9">
      <c r="A480" s="2"/>
      <c r="B480" s="2"/>
      <c r="C480" s="2"/>
      <c r="D480" s="2"/>
      <c r="E480" s="15"/>
      <c r="F480" s="2"/>
      <c r="G480" s="2"/>
      <c r="H480" s="2"/>
      <c r="I480" s="2"/>
    </row>
    <row r="481" spans="1:9">
      <c r="A481" s="2"/>
      <c r="B481" s="2"/>
      <c r="C481" s="2"/>
      <c r="D481" s="2"/>
      <c r="E481" s="15"/>
      <c r="F481" s="2"/>
      <c r="G481" s="2"/>
      <c r="H481" s="2"/>
      <c r="I481" s="2"/>
    </row>
    <row r="482" spans="1:9">
      <c r="A482" s="2"/>
      <c r="B482" s="2"/>
      <c r="C482" s="2"/>
      <c r="D482" s="2"/>
      <c r="E482" s="15"/>
      <c r="F482" s="2"/>
      <c r="G482" s="2"/>
      <c r="H482" s="2"/>
      <c r="I482" s="2"/>
    </row>
    <row r="483" spans="1:9">
      <c r="A483" s="2"/>
      <c r="B483" s="2"/>
      <c r="C483" s="2"/>
      <c r="D483" s="2"/>
      <c r="E483" s="15"/>
      <c r="F483" s="2"/>
      <c r="G483" s="2"/>
      <c r="H483" s="2"/>
      <c r="I483" s="2"/>
    </row>
    <row r="484" spans="1:9">
      <c r="A484" s="2"/>
      <c r="B484" s="2"/>
      <c r="C484" s="2"/>
      <c r="D484" s="2"/>
      <c r="E484" s="15"/>
      <c r="F484" s="2"/>
      <c r="G484" s="2"/>
      <c r="H484" s="2"/>
      <c r="I484" s="2"/>
    </row>
    <row r="485" spans="1:9">
      <c r="A485" s="2"/>
      <c r="B485" s="2"/>
      <c r="C485" s="2"/>
      <c r="D485" s="2"/>
      <c r="E485" s="15"/>
      <c r="F485" s="2"/>
      <c r="G485" s="2"/>
      <c r="H485" s="2"/>
      <c r="I485" s="2"/>
    </row>
    <row r="486" spans="1:9">
      <c r="A486" s="2"/>
      <c r="B486" s="2"/>
      <c r="C486" s="2"/>
      <c r="D486" s="2"/>
      <c r="E486" s="15"/>
      <c r="F486" s="2"/>
      <c r="G486" s="2"/>
      <c r="H486" s="2"/>
      <c r="I486" s="2"/>
    </row>
    <row r="487" spans="1:9">
      <c r="A487" s="2"/>
      <c r="B487" s="2"/>
      <c r="C487" s="2"/>
      <c r="D487" s="2"/>
      <c r="E487" s="15"/>
      <c r="F487" s="2"/>
      <c r="G487" s="2"/>
      <c r="H487" s="2"/>
      <c r="I487" s="2"/>
    </row>
    <row r="488" spans="1:9">
      <c r="A488" s="2"/>
      <c r="B488" s="2"/>
      <c r="C488" s="2"/>
      <c r="D488" s="2"/>
      <c r="E488" s="15"/>
      <c r="F488" s="2"/>
      <c r="G488" s="2"/>
      <c r="H488" s="2"/>
      <c r="I488" s="2"/>
    </row>
    <row r="489" spans="1:9">
      <c r="A489" s="2"/>
      <c r="B489" s="2"/>
      <c r="C489" s="2"/>
      <c r="D489" s="2"/>
      <c r="E489" s="15"/>
      <c r="F489" s="2"/>
      <c r="G489" s="2"/>
      <c r="H489" s="2"/>
      <c r="I489" s="2"/>
    </row>
    <row r="490" spans="1:9">
      <c r="A490" s="2"/>
      <c r="B490" s="2"/>
      <c r="C490" s="2"/>
      <c r="D490" s="2"/>
      <c r="E490" s="15"/>
      <c r="F490" s="2"/>
      <c r="G490" s="2"/>
      <c r="H490" s="2"/>
      <c r="I490" s="2"/>
    </row>
    <row r="491" spans="1:9">
      <c r="A491" s="2"/>
      <c r="B491" s="2"/>
      <c r="C491" s="2"/>
      <c r="D491" s="2"/>
      <c r="E491" s="15"/>
      <c r="F491" s="2"/>
      <c r="G491" s="2"/>
      <c r="H491" s="2"/>
      <c r="I491" s="2"/>
    </row>
    <row r="492" spans="1:9">
      <c r="A492" s="2"/>
      <c r="B492" s="2"/>
      <c r="C492" s="2"/>
      <c r="D492" s="2"/>
      <c r="E492" s="15"/>
      <c r="F492" s="2"/>
      <c r="G492" s="2"/>
      <c r="H492" s="2"/>
      <c r="I492" s="2"/>
    </row>
    <row r="493" spans="1:9">
      <c r="A493" s="2"/>
      <c r="B493" s="2"/>
      <c r="C493" s="2"/>
      <c r="D493" s="2"/>
      <c r="E493" s="15"/>
      <c r="F493" s="2"/>
      <c r="G493" s="2"/>
      <c r="H493" s="2"/>
      <c r="I493" s="2"/>
    </row>
    <row r="494" spans="1:9">
      <c r="A494" s="2"/>
      <c r="B494" s="2"/>
      <c r="C494" s="2"/>
      <c r="D494" s="2"/>
      <c r="E494" s="15"/>
      <c r="F494" s="2"/>
      <c r="G494" s="2"/>
      <c r="H494" s="2"/>
      <c r="I494" s="2"/>
    </row>
    <row r="495" spans="1:9">
      <c r="A495" s="2"/>
      <c r="B495" s="2"/>
      <c r="C495" s="2"/>
      <c r="D495" s="2"/>
      <c r="E495" s="15"/>
      <c r="F495" s="2"/>
      <c r="G495" s="2"/>
      <c r="H495" s="2"/>
      <c r="I495" s="2"/>
    </row>
    <row r="496" spans="1:9">
      <c r="A496" s="2"/>
      <c r="B496" s="2"/>
      <c r="C496" s="2"/>
      <c r="D496" s="2"/>
      <c r="E496" s="15"/>
      <c r="F496" s="2"/>
      <c r="G496" s="2"/>
      <c r="H496" s="2"/>
      <c r="I496" s="2"/>
    </row>
    <row r="497" spans="1:9">
      <c r="A497" s="2"/>
      <c r="B497" s="2"/>
      <c r="C497" s="2"/>
      <c r="D497" s="2"/>
      <c r="E497" s="15"/>
      <c r="F497" s="2"/>
      <c r="G497" s="2"/>
      <c r="H497" s="2"/>
      <c r="I497" s="2"/>
    </row>
    <row r="498" spans="1:9">
      <c r="A498" s="2"/>
      <c r="B498" s="2"/>
      <c r="C498" s="2"/>
      <c r="D498" s="2"/>
      <c r="E498" s="15"/>
      <c r="F498" s="2"/>
      <c r="G498" s="2"/>
      <c r="H498" s="2"/>
      <c r="I498" s="2"/>
    </row>
    <row r="499" spans="1:9">
      <c r="A499" s="2"/>
      <c r="B499" s="2"/>
      <c r="C499" s="2"/>
      <c r="D499" s="2"/>
      <c r="E499" s="15"/>
      <c r="F499" s="2"/>
      <c r="G499" s="2"/>
      <c r="H499" s="2"/>
      <c r="I499" s="2"/>
    </row>
    <row r="500" spans="1:9">
      <c r="A500" s="2"/>
      <c r="B500" s="2"/>
      <c r="C500" s="2"/>
      <c r="D500" s="2"/>
      <c r="E500" s="15"/>
      <c r="F500" s="2"/>
      <c r="G500" s="2"/>
      <c r="H500" s="2"/>
      <c r="I500" s="2"/>
    </row>
    <row r="501" spans="1:9">
      <c r="A501" s="2"/>
      <c r="B501" s="2"/>
      <c r="C501" s="2"/>
      <c r="D501" s="2"/>
      <c r="E501" s="15"/>
      <c r="F501" s="2"/>
      <c r="G501" s="2"/>
      <c r="H501" s="2"/>
      <c r="I501" s="2"/>
    </row>
  </sheetData>
  <dataValidations count="3">
    <dataValidation type="list" allowBlank="1" sqref="D2:D501">
      <formula1>"买入,持续追踪,卖出"</formula1>
    </dataValidation>
    <dataValidation type="date" operator="between" allowBlank="1" sqref="E2:E501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501">
      <formula1>技术指标列表</formula1>
    </dataValidation>
  </dataValidations>
  <pageMargins left="0.75" right="0.75" top="1" bottom="1" header="0.5" footer="0.5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pane ySplit="1" topLeftCell="A2" activePane="bottomLeft" state="frozen"/>
      <selection/>
      <selection pane="bottomLeft" activeCell="B18" sqref="B18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16439</v>
      </c>
      <c r="B1" s="3" t="s">
        <v>16440</v>
      </c>
      <c r="C1" s="3" t="s">
        <v>16441</v>
      </c>
    </row>
    <row r="2" ht="17" spans="1:3">
      <c r="A2" s="4" t="s">
        <v>16442</v>
      </c>
      <c r="B2" s="8">
        <f>COUNT(单次交易!M2:M163)</f>
        <v>64</v>
      </c>
      <c r="C2" s="4" t="s">
        <v>16443</v>
      </c>
    </row>
    <row r="3" ht="17" spans="1:3">
      <c r="A3" s="4" t="s">
        <v>16444</v>
      </c>
      <c r="B3" s="8">
        <f>COUNTIF(单次交易!X2:X163,"&gt;0")</f>
        <v>23</v>
      </c>
      <c r="C3" s="4" t="s">
        <v>16445</v>
      </c>
    </row>
    <row r="4" ht="17" spans="1:3">
      <c r="A4" s="4" t="s">
        <v>16446</v>
      </c>
      <c r="B4" s="8">
        <f>COUNTIF(单次交易!X2:X163,"&lt;0")</f>
        <v>41</v>
      </c>
      <c r="C4" s="4" t="s">
        <v>16447</v>
      </c>
    </row>
    <row r="5" ht="17" spans="1:3">
      <c r="A5" s="4" t="s">
        <v>16448</v>
      </c>
      <c r="B5" s="8">
        <f>COUNTIFS(单次交易!M2:M163,"&lt;&gt;",单次交易!X2:X163,"=0")</f>
        <v>0</v>
      </c>
      <c r="C5" s="4" t="s">
        <v>16449</v>
      </c>
    </row>
    <row r="6" ht="17" spans="1:3">
      <c r="A6" s="4" t="s">
        <v>16450</v>
      </c>
      <c r="B6" s="7">
        <f>IFERROR(B3/(B3+B4),"")</f>
        <v>0.359375</v>
      </c>
      <c r="C6" s="4" t="s">
        <v>16451</v>
      </c>
    </row>
    <row r="7" ht="17" spans="1:3">
      <c r="A7" s="4" t="s">
        <v>16452</v>
      </c>
      <c r="B7" s="7">
        <f>IFERROR(B4/(B3+B4),"")</f>
        <v>0.640625</v>
      </c>
      <c r="C7" s="4" t="s">
        <v>16453</v>
      </c>
    </row>
    <row r="8" ht="17" spans="1:3">
      <c r="A8" s="4" t="s">
        <v>16454</v>
      </c>
      <c r="B8" s="7">
        <f>IFERROR(AVERAGEIF(单次交易!X2:X163,"&gt;0",单次交易!AE2:AE163),"")</f>
        <v>0.0587471185907686</v>
      </c>
      <c r="C8" s="4" t="s">
        <v>16455</v>
      </c>
    </row>
    <row r="9" ht="17" spans="1:3">
      <c r="A9" s="4" t="s">
        <v>16456</v>
      </c>
      <c r="B9" s="7">
        <f>IFERROR(-AVERAGEIF(单次交易!X2:X163,"&lt;0",单次交易!AE2:AE163),"")</f>
        <v>0.0269032598671647</v>
      </c>
      <c r="C9" s="4" t="s">
        <v>16457</v>
      </c>
    </row>
    <row r="10" ht="17" spans="1:3">
      <c r="A10" s="4" t="s">
        <v>16458</v>
      </c>
      <c r="B10" s="8">
        <f>SUMIF(单次交易!X2:X163,"&gt;0",单次交易!AA2:AA163)</f>
        <v>1481</v>
      </c>
      <c r="C10" s="4" t="s">
        <v>16459</v>
      </c>
    </row>
    <row r="11" ht="17" spans="1:3">
      <c r="A11" s="4" t="s">
        <v>16460</v>
      </c>
      <c r="B11" s="8">
        <f>SUMIF(单次交易!X2:X163,"&lt;0",单次交易!AA2:AA163)</f>
        <v>1268</v>
      </c>
      <c r="C11" s="4" t="s">
        <v>16459</v>
      </c>
    </row>
    <row r="12" ht="17" spans="1:3">
      <c r="A12" s="4" t="s">
        <v>16461</v>
      </c>
      <c r="B12" s="5">
        <f>IFERROR(SUMPRODUCT(单次交易!AO2:AO163,单次交易!AP2:AP163)/COUNT(单次交易!AP2:AP163),"")</f>
        <v>29083.875</v>
      </c>
      <c r="C12" s="4" t="s">
        <v>16462</v>
      </c>
    </row>
    <row r="13" ht="17" spans="1:3">
      <c r="A13" s="4" t="s">
        <v>16463</v>
      </c>
      <c r="B13" s="7">
        <f>IF(OR(B6="",B7="",B8="",B9=""),"",B6*B8-B7*B9)</f>
        <v>0.00387734489115508</v>
      </c>
      <c r="C13" s="4" t="s">
        <v>16464</v>
      </c>
    </row>
    <row r="14" ht="17" spans="1:3">
      <c r="A14" s="4" t="s">
        <v>16465</v>
      </c>
      <c r="B14" s="7">
        <f>IF(COUNT(单次交易!AE2:AE163)=0,"",EXP(SUMPRODUCT(IFERROR(LN(1+单次交易!AE2:AE163),0)))-1)</f>
        <v>0.180283261394415</v>
      </c>
      <c r="C14" s="4" t="s">
        <v>16466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3"/>
  <sheetViews>
    <sheetView showGridLines="0" workbookViewId="0">
      <pane ySplit="1" topLeftCell="A2" activePane="bottomLeft" state="frozen"/>
      <selection/>
      <selection pane="bottomLeft" activeCell="A33" sqref="A33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9" t="s">
        <v>16439</v>
      </c>
      <c r="B1" s="9" t="s">
        <v>16467</v>
      </c>
      <c r="C1" s="9" t="s">
        <v>16468</v>
      </c>
    </row>
    <row r="2" ht="17" spans="1:3">
      <c r="A2" s="4" t="s">
        <v>16469</v>
      </c>
      <c r="B2" s="10">
        <v>100000</v>
      </c>
      <c r="C2" s="4" t="s">
        <v>16470</v>
      </c>
    </row>
    <row r="3" ht="17" spans="1:3">
      <c r="A3" s="4" t="s">
        <v>16471</v>
      </c>
      <c r="B3" s="5">
        <f>IF(B2="","",B2+SUM(单次交易!X2:X163))</f>
        <v>118031</v>
      </c>
      <c r="C3" s="4" t="s">
        <v>16472</v>
      </c>
    </row>
    <row r="4" ht="17" spans="1:3">
      <c r="A4" s="4" t="s">
        <v>16473</v>
      </c>
      <c r="B4" s="6">
        <v>0.02</v>
      </c>
      <c r="C4" s="4" t="s">
        <v>16474</v>
      </c>
    </row>
    <row r="5" ht="17" spans="1:3">
      <c r="A5" s="4" t="s">
        <v>16475</v>
      </c>
      <c r="B5" s="5">
        <f>IF(B3="","",B3*B4)</f>
        <v>2360.62</v>
      </c>
      <c r="C5" s="4" t="s">
        <v>16476</v>
      </c>
    </row>
    <row r="6" ht="17" spans="1:3">
      <c r="A6" s="4" t="s">
        <v>16477</v>
      </c>
      <c r="B6" s="6">
        <v>0.06</v>
      </c>
      <c r="C6" s="4" t="s">
        <v>16478</v>
      </c>
    </row>
    <row r="7" ht="17" spans="1:3">
      <c r="A7" s="4" t="s">
        <v>16479</v>
      </c>
      <c r="B7" s="5">
        <f>IF(B3="","",B3*B6)</f>
        <v>7081.86</v>
      </c>
      <c r="C7" s="4" t="s">
        <v>16480</v>
      </c>
    </row>
    <row r="8" ht="17" spans="1:3">
      <c r="A8" s="4" t="s">
        <v>16481</v>
      </c>
      <c r="B8" s="5">
        <f ca="1">SUMIFS(单次交易!X2:X163,单次交易!X2:X163,"&lt;0",单次交易!M2:M163,"&gt;="&amp;EOMONTH(TODAY(),-1)+1,单次交易!M2:M163,"&lt;="&amp;EOMONTH(TODAY(),0))</f>
        <v>0</v>
      </c>
      <c r="C8" s="4" t="s">
        <v>16482</v>
      </c>
    </row>
    <row r="9" ht="17" spans="1:3">
      <c r="A9" s="4" t="s">
        <v>16483</v>
      </c>
      <c r="B9" s="5">
        <f>IFERROR(SUM(单次交易!AQ2:AQ163),0)</f>
        <v>0</v>
      </c>
      <c r="C9" s="4" t="s">
        <v>16484</v>
      </c>
    </row>
    <row r="10" ht="17" spans="1:3">
      <c r="A10" s="4" t="s">
        <v>16485</v>
      </c>
      <c r="B10" s="5">
        <f>IF(OR(B7="",B9=""),"",B7-B9)</f>
        <v>7081.86</v>
      </c>
      <c r="C10" s="4" t="s">
        <v>16486</v>
      </c>
    </row>
    <row r="11" ht="17" spans="1:3">
      <c r="A11" s="4" t="s">
        <v>16487</v>
      </c>
      <c r="B11" s="7">
        <f>IF(OR(B2="",B3="",B2&lt;=0),"",B3/B2-1)</f>
        <v>0.18031</v>
      </c>
      <c r="C11" s="4" t="s">
        <v>16488</v>
      </c>
    </row>
    <row r="12" spans="1:3">
      <c r="A12" s="4"/>
      <c r="B12" s="4"/>
      <c r="C12" s="4"/>
    </row>
    <row r="13" ht="17" spans="1:3">
      <c r="A13" s="4" t="s">
        <v>16489</v>
      </c>
      <c r="B13" s="6">
        <v>0.06</v>
      </c>
      <c r="C13" s="4" t="s">
        <v>16490</v>
      </c>
    </row>
    <row r="14" ht="17" spans="1:3">
      <c r="A14" s="4" t="s">
        <v>16491</v>
      </c>
      <c r="B14" s="11">
        <f>IFERROR(LOOKUP(2,1/((单次交易!$M$2:$M$163&lt;&gt;"")*(单次交易!$X$2:$X$163&gt;0)),ROW(单次交易!$X$2:$X$163)-1),0)</f>
        <v>63</v>
      </c>
      <c r="C14" s="4" t="s">
        <v>16492</v>
      </c>
    </row>
    <row r="15" ht="17" spans="1:3">
      <c r="A15" s="4" t="s">
        <v>16493</v>
      </c>
      <c r="B15" s="11">
        <f>IFERROR(LOOKUP(2,1/(单次交易!$M$2:$M$163&lt;&gt;""),ROW(单次交易!$M$2:$M$163)-1),0)</f>
        <v>64</v>
      </c>
      <c r="C15" s="4" t="s">
        <v>16494</v>
      </c>
    </row>
    <row r="16" ht="17" spans="1:3">
      <c r="A16" s="4" t="s">
        <v>16495</v>
      </c>
      <c r="B16" s="12">
        <v>112</v>
      </c>
      <c r="C16" s="4" t="s">
        <v>16496</v>
      </c>
    </row>
    <row r="17" ht="34" spans="1:3">
      <c r="A17" s="4" t="s">
        <v>16497</v>
      </c>
      <c r="B17" s="13" t="s">
        <v>16498</v>
      </c>
      <c r="C17" s="14" t="s">
        <v>16499</v>
      </c>
    </row>
    <row r="18" ht="17" spans="1:3">
      <c r="A18" s="4" t="s">
        <v>16500</v>
      </c>
      <c r="B18" s="11">
        <f>MAX(B14,IF(AND(ISNUMBER(B16),B16&gt;=1,B16&lt;=B15,B17&lt;&gt;""),B16,0))</f>
        <v>63</v>
      </c>
      <c r="C18" s="4" t="s">
        <v>16501</v>
      </c>
    </row>
    <row r="19" ht="17" spans="1:3">
      <c r="A19" s="4" t="s">
        <v>16502</v>
      </c>
      <c r="B19" s="5" t="e">
        <f ca="1">IF(B2="","",IF(B18=0,B2,B2+SUM(单次交易!#REF!:INDEX(单次交易!$X:$X,B18+1))))</f>
        <v>#REF!</v>
      </c>
      <c r="C19" s="4" t="s">
        <v>16503</v>
      </c>
    </row>
    <row r="20" ht="17" spans="1:3">
      <c r="A20" s="4" t="s">
        <v>16504</v>
      </c>
      <c r="B20" s="5" t="e">
        <f>IF(B18&gt;=B15,0,-SUMPRODUCT((ROW(单次交易!$X$2:$X$163)-1&gt;B18)*(单次交易!$M$2:$M$163&lt;&gt;"")*(IFERROR(单次交易!$X$2:$X$163,0)&lt;0)*IFERROR(单次交易!$X$2:$X$163,0)))</f>
        <v>#VALUE!</v>
      </c>
      <c r="C20" s="4" t="s">
        <v>16505</v>
      </c>
    </row>
    <row r="21" ht="17" spans="1:3">
      <c r="A21" s="4" t="s">
        <v>16506</v>
      </c>
      <c r="B21" s="7" t="e">
        <f ca="1">IF(OR(B19="",B19&lt;=0),"",B20/B19)</f>
        <v>#REF!</v>
      </c>
      <c r="C21" s="4" t="s">
        <v>16507</v>
      </c>
    </row>
    <row r="22" ht="17" spans="1:3">
      <c r="A22" s="4" t="s">
        <v>16508</v>
      </c>
      <c r="B22" s="7" t="e">
        <f ca="1">IF(OR(B13="",B13&lt;=0,B21=""),"",B21/B13)</f>
        <v>#REF!</v>
      </c>
      <c r="C22" s="4" t="s">
        <v>16509</v>
      </c>
    </row>
    <row r="23" ht="17" spans="1:3">
      <c r="A23" s="4" t="s">
        <v>16510</v>
      </c>
      <c r="B23" s="8" t="str">
        <f ca="1">IF(OR(AND(B16&lt;&gt;"",B17=""),AND(B16="",B17&lt;&gt;""),AND(B16&lt;&gt;"",OR(NOT(ISNUMBER(B16)),B16&lt;1,B16&gt;B15,B16&lt;&gt;INT(B16)))),"解锁信息不完整",IF(B22&gt;=1,"已锁仓",IF(B22&gt;=0.8,"接近锁仓","正常")))</f>
        <v>解锁信息不完整</v>
      </c>
      <c r="C23" s="4" t="s">
        <v>16511</v>
      </c>
    </row>
  </sheetData>
  <conditionalFormatting sqref="B8">
    <cfRule type="cellIs" dxfId="0" priority="1" operator="lessThan">
      <formula>0</formula>
    </cfRule>
  </conditionalFormatting>
  <conditionalFormatting sqref="B10">
    <cfRule type="cellIs" dxfId="0" priority="2" operator="lessThan">
      <formula>0</formula>
    </cfRule>
  </conditionalFormatting>
  <conditionalFormatting sqref="B23">
    <cfRule type="expression" dxfId="0" priority="3">
      <formula>$B$23="已锁仓"</formula>
    </cfRule>
    <cfRule type="expression" dxfId="2" priority="4">
      <formula>OR($B$23="接近锁仓",$B$23="解锁信息不完整")</formula>
    </cfRule>
    <cfRule type="expression" dxfId="1" priority="5">
      <formula>$B$23="正常"</formula>
    </cfRule>
  </conditionalFormatting>
  <dataValidations count="3">
    <dataValidation type="decimal" operator="greaterThan" sqref="B2">
      <formula1>0</formula1>
    </dataValidation>
    <dataValidation type="decimal" operator="between" sqref="B4 B6 B13">
      <formula1>0</formula1>
      <formula2>1</formula2>
    </dataValidation>
    <dataValidation type="custom" allowBlank="1" showErrorMessage="1" errorTitle="解锁序号无效" error="请填写1到最近已完成记录序号之间的整数，并同时填写解锁原因" sqref="B16">
      <formula1>OR(B16="",AND(ISNUMBER(B16),B16=INT(B16),B16&gt;=1,B16&lt;=B15))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pane ySplit="1" topLeftCell="A2" activePane="bottomLeft" state="frozen"/>
      <selection/>
      <selection pane="bottomLeft" activeCell="C26" sqref="C26"/>
    </sheetView>
  </sheetViews>
  <sheetFormatPr defaultColWidth="9" defaultRowHeight="16.8" outlineLevelRow="6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16439</v>
      </c>
      <c r="B1" s="3" t="s">
        <v>16467</v>
      </c>
      <c r="C1" s="3" t="s">
        <v>16441</v>
      </c>
    </row>
    <row r="2" ht="17" spans="1:3">
      <c r="A2" s="4" t="s">
        <v>16512</v>
      </c>
      <c r="B2" s="5">
        <f>账户数据!B3</f>
        <v>118031</v>
      </c>
      <c r="C2" s="4" t="s">
        <v>16513</v>
      </c>
    </row>
    <row r="3" ht="17" spans="1:3">
      <c r="A3" s="4" t="s">
        <v>16514</v>
      </c>
      <c r="B3" s="6">
        <v>0.1</v>
      </c>
      <c r="C3" s="4" t="s">
        <v>16515</v>
      </c>
    </row>
    <row r="4" ht="17" spans="1:3">
      <c r="A4" s="4" t="s">
        <v>16516</v>
      </c>
      <c r="B4" s="5">
        <f>IF(OR(B2="",B3=""),"",B2*B3)</f>
        <v>11803.1</v>
      </c>
      <c r="C4" s="4" t="s">
        <v>16517</v>
      </c>
    </row>
    <row r="5" ht="17" spans="1:3">
      <c r="A5" s="4" t="s">
        <v>16461</v>
      </c>
      <c r="B5" s="5">
        <f>多次统计数据!B12</f>
        <v>29083.875</v>
      </c>
      <c r="C5" s="4" t="s">
        <v>16518</v>
      </c>
    </row>
    <row r="6" ht="17" spans="1:3">
      <c r="A6" s="4" t="s">
        <v>16519</v>
      </c>
      <c r="B6" s="7">
        <f>多次统计数据!B13</f>
        <v>0.00387734489115508</v>
      </c>
      <c r="C6" s="4" t="s">
        <v>16520</v>
      </c>
    </row>
    <row r="7" ht="17" spans="1:3">
      <c r="A7" s="4" t="s">
        <v>16521</v>
      </c>
      <c r="B7" s="8">
        <f>IF(OR(B3="",B6="",B3&lt;=0,B6&lt;=0),"暂不可计算",ROUNDUP(LN(1+B3)/LN(1+B6),0))</f>
        <v>25</v>
      </c>
      <c r="C7" s="4" t="s">
        <v>16522</v>
      </c>
    </row>
  </sheetData>
  <dataValidations count="1">
    <dataValidation type="decimal" operator="greaterThan" sqref="B3">
      <formula1>0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1"/>
  <sheetViews>
    <sheetView workbookViewId="0">
      <pane ySplit="1" topLeftCell="A17" activePane="bottomLeft" state="frozen"/>
      <selection/>
      <selection pane="bottomLeft" activeCell="A1" sqref="A1"/>
    </sheetView>
  </sheetViews>
  <sheetFormatPr defaultColWidth="9" defaultRowHeight="16.8" outlineLevelCol="2"/>
  <cols>
    <col min="1" max="1" width="22" customWidth="1"/>
    <col min="2" max="2" width="18" customWidth="1"/>
    <col min="3" max="3" width="56" customWidth="1"/>
  </cols>
  <sheetData>
    <row r="1" ht="42" customHeight="1" spans="1:3">
      <c r="A1" s="1" t="s">
        <v>16523</v>
      </c>
      <c r="B1" s="1" t="s">
        <v>16524</v>
      </c>
      <c r="C1" s="1" t="s">
        <v>16525</v>
      </c>
    </row>
    <row r="2" ht="17" spans="1:3">
      <c r="A2" s="2" t="s">
        <v>16526</v>
      </c>
      <c r="B2" s="2" t="s">
        <v>16527</v>
      </c>
      <c r="C2" s="2" t="s">
        <v>16528</v>
      </c>
    </row>
    <row r="3" ht="17" spans="1:3">
      <c r="A3" s="2" t="s">
        <v>16529</v>
      </c>
      <c r="B3" s="2" t="s">
        <v>16530</v>
      </c>
      <c r="C3" s="2" t="s">
        <v>16531</v>
      </c>
    </row>
    <row r="4" ht="17" spans="1:3">
      <c r="A4" s="2" t="s">
        <v>16532</v>
      </c>
      <c r="B4" s="2" t="s">
        <v>16533</v>
      </c>
      <c r="C4" s="2" t="s">
        <v>16534</v>
      </c>
    </row>
    <row r="5" ht="17" spans="1:3">
      <c r="A5" s="2" t="s">
        <v>16535</v>
      </c>
      <c r="B5" s="2" t="s">
        <v>16530</v>
      </c>
      <c r="C5" s="2" t="s">
        <v>16536</v>
      </c>
    </row>
    <row r="6" ht="17" spans="1:3">
      <c r="A6" s="2" t="s">
        <v>16393</v>
      </c>
      <c r="B6" s="2" t="s">
        <v>16537</v>
      </c>
      <c r="C6" s="2" t="s">
        <v>16538</v>
      </c>
    </row>
    <row r="7" ht="17" spans="1:3">
      <c r="A7" s="2" t="s">
        <v>16539</v>
      </c>
      <c r="B7" s="2" t="s">
        <v>16533</v>
      </c>
      <c r="C7" s="2" t="s">
        <v>16540</v>
      </c>
    </row>
    <row r="8" ht="17" spans="1:3">
      <c r="A8" s="2" t="s">
        <v>16541</v>
      </c>
      <c r="B8" s="2" t="s">
        <v>16533</v>
      </c>
      <c r="C8" s="2" t="s">
        <v>16542</v>
      </c>
    </row>
    <row r="9" ht="17" spans="1:3">
      <c r="A9" s="2" t="s">
        <v>16543</v>
      </c>
      <c r="B9" s="2" t="s">
        <v>16544</v>
      </c>
      <c r="C9" s="2" t="s">
        <v>16545</v>
      </c>
    </row>
    <row r="10" ht="17" spans="1:3">
      <c r="A10" s="2" t="s">
        <v>16546</v>
      </c>
      <c r="B10" s="2" t="s">
        <v>16547</v>
      </c>
      <c r="C10" s="2" t="s">
        <v>16548</v>
      </c>
    </row>
    <row r="11" ht="17" spans="1:3">
      <c r="A11" s="2" t="s">
        <v>16549</v>
      </c>
      <c r="B11" s="2" t="s">
        <v>16547</v>
      </c>
      <c r="C11" s="2" t="s">
        <v>16550</v>
      </c>
    </row>
    <row r="12" ht="17" spans="1:3">
      <c r="A12" s="2" t="s">
        <v>16551</v>
      </c>
      <c r="B12" s="2" t="s">
        <v>16527</v>
      </c>
      <c r="C12" s="2" t="s">
        <v>16552</v>
      </c>
    </row>
    <row r="13" ht="17" spans="1:3">
      <c r="A13" s="2" t="s">
        <v>16553</v>
      </c>
      <c r="B13" s="2" t="s">
        <v>16527</v>
      </c>
      <c r="C13" s="2" t="s">
        <v>16554</v>
      </c>
    </row>
    <row r="14" ht="17" spans="1:3">
      <c r="A14" s="2" t="s">
        <v>16555</v>
      </c>
      <c r="B14" s="2" t="s">
        <v>16530</v>
      </c>
      <c r="C14" s="2" t="s">
        <v>16556</v>
      </c>
    </row>
    <row r="15" ht="17" spans="1:3">
      <c r="A15" s="2" t="s">
        <v>16557</v>
      </c>
      <c r="B15" s="2" t="s">
        <v>16530</v>
      </c>
      <c r="C15" s="2" t="s">
        <v>16558</v>
      </c>
    </row>
    <row r="16" ht="17" spans="1:3">
      <c r="A16" s="2" t="s">
        <v>16559</v>
      </c>
      <c r="B16" s="2" t="s">
        <v>16537</v>
      </c>
      <c r="C16" s="2" t="s">
        <v>16560</v>
      </c>
    </row>
    <row r="17" ht="17" spans="1:3">
      <c r="A17" s="2" t="s">
        <v>16561</v>
      </c>
      <c r="B17" s="2" t="s">
        <v>16533</v>
      </c>
      <c r="C17" s="2" t="s">
        <v>16562</v>
      </c>
    </row>
    <row r="18" ht="17" spans="1:3">
      <c r="A18" s="2" t="s">
        <v>16563</v>
      </c>
      <c r="B18" s="2" t="s">
        <v>16544</v>
      </c>
      <c r="C18" s="2" t="s">
        <v>16564</v>
      </c>
    </row>
    <row r="19" ht="17" spans="1:3">
      <c r="A19" s="2" t="s">
        <v>16565</v>
      </c>
      <c r="B19" s="2" t="s">
        <v>16537</v>
      </c>
      <c r="C19" s="2" t="s">
        <v>16566</v>
      </c>
    </row>
    <row r="20" ht="17" spans="1:3">
      <c r="A20" s="2" t="s">
        <v>16567</v>
      </c>
      <c r="B20" s="2" t="s">
        <v>16568</v>
      </c>
      <c r="C20" s="2" t="s">
        <v>16569</v>
      </c>
    </row>
    <row r="21" ht="17" spans="1:3">
      <c r="A21" s="2" t="s">
        <v>16570</v>
      </c>
      <c r="B21" s="2" t="s">
        <v>16571</v>
      </c>
      <c r="C21" s="2" t="s">
        <v>16572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/>
      <c r="B25" s="2"/>
      <c r="C25" s="2"/>
    </row>
    <row r="26" spans="1:3">
      <c r="A26" s="2"/>
      <c r="B26" s="2"/>
      <c r="C26" s="2"/>
    </row>
    <row r="27" spans="1:3">
      <c r="A27" s="2"/>
      <c r="B27" s="2"/>
      <c r="C27" s="2"/>
    </row>
    <row r="28" spans="1:3">
      <c r="A28" s="2"/>
      <c r="B28" s="2"/>
      <c r="C28" s="2"/>
    </row>
    <row r="29" spans="1:3">
      <c r="A29" s="2"/>
      <c r="B29" s="2"/>
      <c r="C29" s="2"/>
    </row>
    <row r="30" spans="1:3">
      <c r="A30" s="2"/>
      <c r="B30" s="2"/>
      <c r="C30" s="2"/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/>
      <c r="B37" s="2"/>
      <c r="C37" s="2"/>
    </row>
    <row r="38" spans="1:3">
      <c r="A38" s="2"/>
      <c r="B38" s="2"/>
      <c r="C38" s="2"/>
    </row>
    <row r="39" spans="1:3">
      <c r="A39" s="2"/>
      <c r="B39" s="2"/>
      <c r="C39" s="2"/>
    </row>
    <row r="40" spans="1:3">
      <c r="A40" s="2"/>
      <c r="B40" s="2"/>
      <c r="C40" s="2"/>
    </row>
    <row r="41" spans="1:3">
      <c r="A41" s="2"/>
      <c r="B41" s="2"/>
      <c r="C41" s="2"/>
    </row>
    <row r="42" spans="1:3">
      <c r="A42" s="2"/>
      <c r="B42" s="2"/>
      <c r="C42" s="2"/>
    </row>
    <row r="43" spans="1:3">
      <c r="A43" s="2"/>
      <c r="B43" s="2"/>
      <c r="C43" s="2"/>
    </row>
    <row r="44" spans="1:3">
      <c r="A44" s="2"/>
      <c r="B44" s="2"/>
      <c r="C44" s="2"/>
    </row>
    <row r="45" spans="1:3">
      <c r="A45" s="2"/>
      <c r="B45" s="2"/>
      <c r="C45" s="2"/>
    </row>
    <row r="46" spans="1:3">
      <c r="A46" s="2"/>
      <c r="B46" s="2"/>
      <c r="C46" s="2"/>
    </row>
    <row r="47" spans="1:3">
      <c r="A47" s="2"/>
      <c r="B47" s="2"/>
      <c r="C47" s="2"/>
    </row>
    <row r="48" spans="1:3">
      <c r="A48" s="2"/>
      <c r="B48" s="2"/>
      <c r="C48" s="2"/>
    </row>
    <row r="49" spans="1:3">
      <c r="A49" s="2"/>
      <c r="B49" s="2"/>
      <c r="C49" s="2"/>
    </row>
    <row r="50" spans="1:3">
      <c r="A50" s="2"/>
      <c r="B50" s="2"/>
      <c r="C50" s="2"/>
    </row>
    <row r="51" spans="1:3">
      <c r="A51" s="2"/>
      <c r="B51" s="2"/>
      <c r="C51" s="2"/>
    </row>
    <row r="52" spans="1:3">
      <c r="A52" s="2"/>
      <c r="B52" s="2"/>
      <c r="C52" s="2"/>
    </row>
    <row r="53" spans="1:3">
      <c r="A53" s="2"/>
      <c r="B53" s="2"/>
      <c r="C53" s="2"/>
    </row>
    <row r="54" spans="1:3">
      <c r="A54" s="2"/>
      <c r="B54" s="2"/>
      <c r="C54" s="2"/>
    </row>
    <row r="55" spans="1:3">
      <c r="A55" s="2"/>
      <c r="B55" s="2"/>
      <c r="C55" s="2"/>
    </row>
    <row r="56" spans="1:3">
      <c r="A56" s="2"/>
      <c r="B56" s="2"/>
      <c r="C56" s="2"/>
    </row>
    <row r="57" spans="1:3">
      <c r="A57" s="2"/>
      <c r="B57" s="2"/>
      <c r="C57" s="2"/>
    </row>
    <row r="58" spans="1:3">
      <c r="A58" s="2"/>
      <c r="B58" s="2"/>
      <c r="C58" s="2"/>
    </row>
    <row r="59" spans="1:3">
      <c r="A59" s="2"/>
      <c r="B59" s="2"/>
      <c r="C59" s="2"/>
    </row>
    <row r="60" spans="1:3">
      <c r="A60" s="2"/>
      <c r="B60" s="2"/>
      <c r="C60" s="2"/>
    </row>
    <row r="61" spans="1:3">
      <c r="A61" s="2"/>
      <c r="B61" s="2"/>
      <c r="C61" s="2"/>
    </row>
    <row r="62" spans="1:3">
      <c r="A62" s="2"/>
      <c r="B62" s="2"/>
      <c r="C62" s="2"/>
    </row>
    <row r="63" spans="1:3">
      <c r="A63" s="2"/>
      <c r="B63" s="2"/>
      <c r="C63" s="2"/>
    </row>
    <row r="64" spans="1:3">
      <c r="A64" s="2"/>
      <c r="B64" s="2"/>
      <c r="C64" s="2"/>
    </row>
    <row r="65" spans="1:3">
      <c r="A65" s="2"/>
      <c r="B65" s="2"/>
      <c r="C65" s="2"/>
    </row>
    <row r="66" spans="1:3">
      <c r="A66" s="2"/>
      <c r="B66" s="2"/>
      <c r="C66" s="2"/>
    </row>
    <row r="67" spans="1:3">
      <c r="A67" s="2"/>
      <c r="B67" s="2"/>
      <c r="C67" s="2"/>
    </row>
    <row r="68" spans="1:3">
      <c r="A68" s="2"/>
      <c r="B68" s="2"/>
      <c r="C68" s="2"/>
    </row>
    <row r="69" spans="1:3">
      <c r="A69" s="2"/>
      <c r="B69" s="2"/>
      <c r="C69" s="2"/>
    </row>
    <row r="70" spans="1:3">
      <c r="A70" s="2"/>
      <c r="B70" s="2"/>
      <c r="C70" s="2"/>
    </row>
    <row r="71" spans="1:3">
      <c r="A71" s="2"/>
      <c r="B71" s="2"/>
      <c r="C71" s="2"/>
    </row>
    <row r="72" spans="1:3">
      <c r="A72" s="2"/>
      <c r="B72" s="2"/>
      <c r="C72" s="2"/>
    </row>
    <row r="73" spans="1:3">
      <c r="A73" s="2"/>
      <c r="B73" s="2"/>
      <c r="C73" s="2"/>
    </row>
    <row r="74" spans="1:3">
      <c r="A74" s="2"/>
      <c r="B74" s="2"/>
      <c r="C74" s="2"/>
    </row>
    <row r="75" spans="1:3">
      <c r="A75" s="2"/>
      <c r="B75" s="2"/>
      <c r="C75" s="2"/>
    </row>
    <row r="76" spans="1:3">
      <c r="A76" s="2"/>
      <c r="B76" s="2"/>
      <c r="C76" s="2"/>
    </row>
    <row r="77" spans="1:3">
      <c r="A77" s="2"/>
      <c r="B77" s="2"/>
      <c r="C77" s="2"/>
    </row>
    <row r="78" spans="1:3">
      <c r="A78" s="2"/>
      <c r="B78" s="2"/>
      <c r="C78" s="2"/>
    </row>
    <row r="79" spans="1:3">
      <c r="A79" s="2"/>
      <c r="B79" s="2"/>
      <c r="C79" s="2"/>
    </row>
    <row r="80" spans="1:3">
      <c r="A80" s="2"/>
      <c r="B80" s="2"/>
      <c r="C80" s="2"/>
    </row>
    <row r="81" spans="1:3">
      <c r="A81" s="2"/>
      <c r="B81" s="2"/>
      <c r="C81" s="2"/>
    </row>
    <row r="82" spans="1:3">
      <c r="A82" s="2"/>
      <c r="B82" s="2"/>
      <c r="C82" s="2"/>
    </row>
    <row r="83" spans="1:3">
      <c r="A83" s="2"/>
      <c r="B83" s="2"/>
      <c r="C83" s="2"/>
    </row>
    <row r="84" spans="1:3">
      <c r="A84" s="2"/>
      <c r="B84" s="2"/>
      <c r="C84" s="2"/>
    </row>
    <row r="85" spans="1:3">
      <c r="A85" s="2"/>
      <c r="B85" s="2"/>
      <c r="C85" s="2"/>
    </row>
    <row r="86" spans="1:3">
      <c r="A86" s="2"/>
      <c r="B86" s="2"/>
      <c r="C86" s="2"/>
    </row>
    <row r="87" spans="1:3">
      <c r="A87" s="2"/>
      <c r="B87" s="2"/>
      <c r="C87" s="2"/>
    </row>
    <row r="88" spans="1:3">
      <c r="A88" s="2"/>
      <c r="B88" s="2"/>
      <c r="C88" s="2"/>
    </row>
    <row r="89" spans="1:3">
      <c r="A89" s="2"/>
      <c r="B89" s="2"/>
      <c r="C89" s="2"/>
    </row>
    <row r="90" spans="1:3">
      <c r="A90" s="2"/>
      <c r="B90" s="2"/>
      <c r="C90" s="2"/>
    </row>
    <row r="91" spans="1:3">
      <c r="A91" s="2"/>
      <c r="B91" s="2"/>
      <c r="C91" s="2"/>
    </row>
    <row r="92" spans="1:3">
      <c r="A92" s="2"/>
      <c r="B92" s="2"/>
      <c r="C92" s="2"/>
    </row>
    <row r="93" spans="1:3">
      <c r="A93" s="2"/>
      <c r="B93" s="2"/>
      <c r="C93" s="2"/>
    </row>
    <row r="94" spans="1:3">
      <c r="A94" s="2"/>
      <c r="B94" s="2"/>
      <c r="C94" s="2"/>
    </row>
    <row r="95" spans="1:3">
      <c r="A95" s="2"/>
      <c r="B95" s="2"/>
      <c r="C95" s="2"/>
    </row>
    <row r="96" spans="1:3">
      <c r="A96" s="2"/>
      <c r="B96" s="2"/>
      <c r="C96" s="2"/>
    </row>
    <row r="97" spans="1:3">
      <c r="A97" s="2"/>
      <c r="B97" s="2"/>
      <c r="C97" s="2"/>
    </row>
    <row r="98" spans="1:3">
      <c r="A98" s="2"/>
      <c r="B98" s="2"/>
      <c r="C98" s="2"/>
    </row>
    <row r="99" spans="1:3">
      <c r="A99" s="2"/>
      <c r="B99" s="2"/>
      <c r="C99" s="2"/>
    </row>
    <row r="100" spans="1:3">
      <c r="A100" s="2"/>
      <c r="B100" s="2"/>
      <c r="C100" s="2"/>
    </row>
    <row r="101" spans="1:3">
      <c r="A101" s="2"/>
      <c r="B101" s="2"/>
      <c r="C101" s="2"/>
    </row>
    <row r="102" spans="1:3">
      <c r="A102" s="2"/>
      <c r="B102" s="2"/>
      <c r="C102" s="2"/>
    </row>
    <row r="103" spans="1:3">
      <c r="A103" s="2"/>
      <c r="B103" s="2"/>
      <c r="C103" s="2"/>
    </row>
    <row r="104" spans="1:3">
      <c r="A104" s="2"/>
      <c r="B104" s="2"/>
      <c r="C104" s="2"/>
    </row>
    <row r="105" spans="1:3">
      <c r="A105" s="2"/>
      <c r="B105" s="2"/>
      <c r="C105" s="2"/>
    </row>
    <row r="106" spans="1:3">
      <c r="A106" s="2"/>
      <c r="B106" s="2"/>
      <c r="C106" s="2"/>
    </row>
    <row r="107" spans="1:3">
      <c r="A107" s="2"/>
      <c r="B107" s="2"/>
      <c r="C107" s="2"/>
    </row>
    <row r="108" spans="1:3">
      <c r="A108" s="2"/>
      <c r="B108" s="2"/>
      <c r="C108" s="2"/>
    </row>
    <row r="109" spans="1:3">
      <c r="A109" s="2"/>
      <c r="B109" s="2"/>
      <c r="C109" s="2"/>
    </row>
    <row r="110" spans="1:3">
      <c r="A110" s="2"/>
      <c r="B110" s="2"/>
      <c r="C110" s="2"/>
    </row>
    <row r="111" spans="1:3">
      <c r="A111" s="2"/>
      <c r="B111" s="2"/>
      <c r="C111" s="2"/>
    </row>
    <row r="112" spans="1:3">
      <c r="A112" s="2"/>
      <c r="B112" s="2"/>
      <c r="C112" s="2"/>
    </row>
    <row r="113" spans="1:3">
      <c r="A113" s="2"/>
      <c r="B113" s="2"/>
      <c r="C113" s="2"/>
    </row>
    <row r="114" spans="1:3">
      <c r="A114" s="2"/>
      <c r="B114" s="2"/>
      <c r="C114" s="2"/>
    </row>
    <row r="115" spans="1:3">
      <c r="A115" s="2"/>
      <c r="B115" s="2"/>
      <c r="C115" s="2"/>
    </row>
    <row r="116" spans="1:3">
      <c r="A116" s="2"/>
      <c r="B116" s="2"/>
      <c r="C116" s="2"/>
    </row>
    <row r="117" spans="1:3">
      <c r="A117" s="2"/>
      <c r="B117" s="2"/>
      <c r="C117" s="2"/>
    </row>
    <row r="118" spans="1:3">
      <c r="A118" s="2"/>
      <c r="B118" s="2"/>
      <c r="C118" s="2"/>
    </row>
    <row r="119" spans="1:3">
      <c r="A119" s="2"/>
      <c r="B119" s="2"/>
      <c r="C119" s="2"/>
    </row>
    <row r="120" spans="1:3">
      <c r="A120" s="2"/>
      <c r="B120" s="2"/>
      <c r="C120" s="2"/>
    </row>
    <row r="121" spans="1:3">
      <c r="A121" s="2"/>
      <c r="B121" s="2"/>
      <c r="C121" s="2"/>
    </row>
    <row r="122" spans="1:3">
      <c r="A122" s="2"/>
      <c r="B122" s="2"/>
      <c r="C122" s="2"/>
    </row>
    <row r="123" spans="1:3">
      <c r="A123" s="2"/>
      <c r="B123" s="2"/>
      <c r="C123" s="2"/>
    </row>
    <row r="124" spans="1:3">
      <c r="A124" s="2"/>
      <c r="B124" s="2"/>
      <c r="C124" s="2"/>
    </row>
    <row r="125" spans="1:3">
      <c r="A125" s="2"/>
      <c r="B125" s="2"/>
      <c r="C125" s="2"/>
    </row>
    <row r="126" spans="1:3">
      <c r="A126" s="2"/>
      <c r="B126" s="2"/>
      <c r="C126" s="2"/>
    </row>
    <row r="127" spans="1:3">
      <c r="A127" s="2"/>
      <c r="B127" s="2"/>
      <c r="C127" s="2"/>
    </row>
    <row r="128" spans="1:3">
      <c r="A128" s="2"/>
      <c r="B128" s="2"/>
      <c r="C128" s="2"/>
    </row>
    <row r="129" spans="1:3">
      <c r="A129" s="2"/>
      <c r="B129" s="2"/>
      <c r="C129" s="2"/>
    </row>
    <row r="130" spans="1:3">
      <c r="A130" s="2"/>
      <c r="B130" s="2"/>
      <c r="C130" s="2"/>
    </row>
    <row r="131" spans="1:3">
      <c r="A131" s="2"/>
      <c r="B131" s="2"/>
      <c r="C131" s="2"/>
    </row>
    <row r="132" spans="1:3">
      <c r="A132" s="2"/>
      <c r="B132" s="2"/>
      <c r="C132" s="2"/>
    </row>
    <row r="133" spans="1:3">
      <c r="A133" s="2"/>
      <c r="B133" s="2"/>
      <c r="C133" s="2"/>
    </row>
    <row r="134" spans="1:3">
      <c r="A134" s="2"/>
      <c r="B134" s="2"/>
      <c r="C134" s="2"/>
    </row>
    <row r="135" spans="1:3">
      <c r="A135" s="2"/>
      <c r="B135" s="2"/>
      <c r="C135" s="2"/>
    </row>
    <row r="136" spans="1:3">
      <c r="A136" s="2"/>
      <c r="B136" s="2"/>
      <c r="C136" s="2"/>
    </row>
    <row r="137" spans="1:3">
      <c r="A137" s="2"/>
      <c r="B137" s="2"/>
      <c r="C137" s="2"/>
    </row>
    <row r="138" spans="1:3">
      <c r="A138" s="2"/>
      <c r="B138" s="2"/>
      <c r="C138" s="2"/>
    </row>
    <row r="139" spans="1:3">
      <c r="A139" s="2"/>
      <c r="B139" s="2"/>
      <c r="C139" s="2"/>
    </row>
    <row r="140" spans="1:3">
      <c r="A140" s="2"/>
      <c r="B140" s="2"/>
      <c r="C140" s="2"/>
    </row>
    <row r="141" spans="1:3">
      <c r="A141" s="2"/>
      <c r="B141" s="2"/>
      <c r="C141" s="2"/>
    </row>
    <row r="142" spans="1:3">
      <c r="A142" s="2"/>
      <c r="B142" s="2"/>
      <c r="C142" s="2"/>
    </row>
    <row r="143" spans="1:3">
      <c r="A143" s="2"/>
      <c r="B143" s="2"/>
      <c r="C143" s="2"/>
    </row>
    <row r="144" spans="1:3">
      <c r="A144" s="2"/>
      <c r="B144" s="2"/>
      <c r="C144" s="2"/>
    </row>
    <row r="145" spans="1:3">
      <c r="A145" s="2"/>
      <c r="B145" s="2"/>
      <c r="C145" s="2"/>
    </row>
    <row r="146" spans="1:3">
      <c r="A146" s="2"/>
      <c r="B146" s="2"/>
      <c r="C146" s="2"/>
    </row>
    <row r="147" spans="1:3">
      <c r="A147" s="2"/>
      <c r="B147" s="2"/>
      <c r="C147" s="2"/>
    </row>
    <row r="148" spans="1:3">
      <c r="A148" s="2"/>
      <c r="B148" s="2"/>
      <c r="C148" s="2"/>
    </row>
    <row r="149" spans="1:3">
      <c r="A149" s="2"/>
      <c r="B149" s="2"/>
      <c r="C149" s="2"/>
    </row>
    <row r="150" spans="1:3">
      <c r="A150" s="2"/>
      <c r="B150" s="2"/>
      <c r="C150" s="2"/>
    </row>
    <row r="151" spans="1:3">
      <c r="A151" s="2"/>
      <c r="B151" s="2"/>
      <c r="C151" s="2"/>
    </row>
    <row r="152" spans="1:3">
      <c r="A152" s="2"/>
      <c r="B152" s="2"/>
      <c r="C152" s="2"/>
    </row>
    <row r="153" spans="1:3">
      <c r="A153" s="2"/>
      <c r="B153" s="2"/>
      <c r="C153" s="2"/>
    </row>
    <row r="154" spans="1:3">
      <c r="A154" s="2"/>
      <c r="B154" s="2"/>
      <c r="C154" s="2"/>
    </row>
    <row r="155" spans="1:3">
      <c r="A155" s="2"/>
      <c r="B155" s="2"/>
      <c r="C155" s="2"/>
    </row>
    <row r="156" spans="1:3">
      <c r="A156" s="2"/>
      <c r="B156" s="2"/>
      <c r="C156" s="2"/>
    </row>
    <row r="157" spans="1:3">
      <c r="A157" s="2"/>
      <c r="B157" s="2"/>
      <c r="C157" s="2"/>
    </row>
    <row r="158" spans="1:3">
      <c r="A158" s="2"/>
      <c r="B158" s="2"/>
      <c r="C158" s="2"/>
    </row>
    <row r="159" spans="1:3">
      <c r="A159" s="2"/>
      <c r="B159" s="2"/>
      <c r="C159" s="2"/>
    </row>
    <row r="160" spans="1:3">
      <c r="A160" s="2"/>
      <c r="B160" s="2"/>
      <c r="C160" s="2"/>
    </row>
    <row r="161" spans="1:3">
      <c r="A161" s="2"/>
      <c r="B161" s="2"/>
      <c r="C161" s="2"/>
    </row>
    <row r="162" spans="1:3">
      <c r="A162" s="2"/>
      <c r="B162" s="2"/>
      <c r="C162" s="2"/>
    </row>
    <row r="163" spans="1:3">
      <c r="A163" s="2"/>
      <c r="B163" s="2"/>
      <c r="C163" s="2"/>
    </row>
    <row r="164" spans="1:3">
      <c r="A164" s="2"/>
      <c r="B164" s="2"/>
      <c r="C164" s="2"/>
    </row>
    <row r="165" spans="1:3">
      <c r="A165" s="2"/>
      <c r="B165" s="2"/>
      <c r="C165" s="2"/>
    </row>
    <row r="166" spans="1:3">
      <c r="A166" s="2"/>
      <c r="B166" s="2"/>
      <c r="C166" s="2"/>
    </row>
    <row r="167" spans="1:3">
      <c r="A167" s="2"/>
      <c r="B167" s="2"/>
      <c r="C167" s="2"/>
    </row>
    <row r="168" spans="1:3">
      <c r="A168" s="2"/>
      <c r="B168" s="2"/>
      <c r="C168" s="2"/>
    </row>
    <row r="169" spans="1:3">
      <c r="A169" s="2"/>
      <c r="B169" s="2"/>
      <c r="C169" s="2"/>
    </row>
    <row r="170" spans="1:3">
      <c r="A170" s="2"/>
      <c r="B170" s="2"/>
      <c r="C170" s="2"/>
    </row>
    <row r="171" spans="1:3">
      <c r="A171" s="2"/>
      <c r="B171" s="2"/>
      <c r="C171" s="2"/>
    </row>
    <row r="172" spans="1:3">
      <c r="A172" s="2"/>
      <c r="B172" s="2"/>
      <c r="C172" s="2"/>
    </row>
    <row r="173" spans="1:3">
      <c r="A173" s="2"/>
      <c r="B173" s="2"/>
      <c r="C173" s="2"/>
    </row>
    <row r="174" spans="1:3">
      <c r="A174" s="2"/>
      <c r="B174" s="2"/>
      <c r="C174" s="2"/>
    </row>
    <row r="175" spans="1:3">
      <c r="A175" s="2"/>
      <c r="B175" s="2"/>
      <c r="C175" s="2"/>
    </row>
    <row r="176" spans="1:3">
      <c r="A176" s="2"/>
      <c r="B176" s="2"/>
      <c r="C176" s="2"/>
    </row>
    <row r="177" spans="1:3">
      <c r="A177" s="2"/>
      <c r="B177" s="2"/>
      <c r="C177" s="2"/>
    </row>
    <row r="178" spans="1:3">
      <c r="A178" s="2"/>
      <c r="B178" s="2"/>
      <c r="C178" s="2"/>
    </row>
    <row r="179" spans="1:3">
      <c r="A179" s="2"/>
      <c r="B179" s="2"/>
      <c r="C179" s="2"/>
    </row>
    <row r="180" spans="1:3">
      <c r="A180" s="2"/>
      <c r="B180" s="2"/>
      <c r="C180" s="2"/>
    </row>
    <row r="181" spans="1:3">
      <c r="A181" s="2"/>
      <c r="B181" s="2"/>
      <c r="C181" s="2"/>
    </row>
    <row r="182" spans="1:3">
      <c r="A182" s="2"/>
      <c r="B182" s="2"/>
      <c r="C182" s="2"/>
    </row>
    <row r="183" spans="1:3">
      <c r="A183" s="2"/>
      <c r="B183" s="2"/>
      <c r="C183" s="2"/>
    </row>
    <row r="184" spans="1:3">
      <c r="A184" s="2"/>
      <c r="B184" s="2"/>
      <c r="C184" s="2"/>
    </row>
    <row r="185" spans="1:3">
      <c r="A185" s="2"/>
      <c r="B185" s="2"/>
      <c r="C185" s="2"/>
    </row>
    <row r="186" spans="1:3">
      <c r="A186" s="2"/>
      <c r="B186" s="2"/>
      <c r="C186" s="2"/>
    </row>
    <row r="187" spans="1:3">
      <c r="A187" s="2"/>
      <c r="B187" s="2"/>
      <c r="C187" s="2"/>
    </row>
    <row r="188" spans="1:3">
      <c r="A188" s="2"/>
      <c r="B188" s="2"/>
      <c r="C188" s="2"/>
    </row>
    <row r="189" spans="1:3">
      <c r="A189" s="2"/>
      <c r="B189" s="2"/>
      <c r="C189" s="2"/>
    </row>
    <row r="190" spans="1:3">
      <c r="A190" s="2"/>
      <c r="B190" s="2"/>
      <c r="C190" s="2"/>
    </row>
    <row r="191" spans="1:3">
      <c r="A191" s="2"/>
      <c r="B191" s="2"/>
      <c r="C191" s="2"/>
    </row>
    <row r="192" spans="1:3">
      <c r="A192" s="2"/>
      <c r="B192" s="2"/>
      <c r="C192" s="2"/>
    </row>
    <row r="193" spans="1:3">
      <c r="A193" s="2"/>
      <c r="B193" s="2"/>
      <c r="C193" s="2"/>
    </row>
    <row r="194" spans="1:3">
      <c r="A194" s="2"/>
      <c r="B194" s="2"/>
      <c r="C194" s="2"/>
    </row>
    <row r="195" spans="1:3">
      <c r="A195" s="2"/>
      <c r="B195" s="2"/>
      <c r="C195" s="2"/>
    </row>
    <row r="196" spans="1:3">
      <c r="A196" s="2"/>
      <c r="B196" s="2"/>
      <c r="C196" s="2"/>
    </row>
    <row r="197" spans="1:3">
      <c r="A197" s="2"/>
      <c r="B197" s="2"/>
      <c r="C197" s="2"/>
    </row>
    <row r="198" spans="1:3">
      <c r="A198" s="2"/>
      <c r="B198" s="2"/>
      <c r="C198" s="2"/>
    </row>
    <row r="199" spans="1:3">
      <c r="A199" s="2"/>
      <c r="B199" s="2"/>
      <c r="C199" s="2"/>
    </row>
    <row r="200" spans="1:3">
      <c r="A200" s="2"/>
      <c r="B200" s="2"/>
      <c r="C200" s="2"/>
    </row>
    <row r="201" spans="1:3">
      <c r="A201" s="2"/>
      <c r="B201" s="2"/>
      <c r="C201" s="2"/>
    </row>
  </sheetData>
  <pageMargins left="0.75" right="0.75" top="1" bottom="1" header="0.5" footer="0.5"/>
  <headerFooter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单次交易</vt:lpstr>
      <vt:lpstr>持仓跟踪</vt:lpstr>
      <vt:lpstr>买入理由</vt:lpstr>
      <vt:lpstr>多次统计数据</vt:lpstr>
      <vt:lpstr>账户数据</vt:lpstr>
      <vt:lpstr>目标收益</vt:lpstr>
      <vt:lpstr>技术指标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吕晶晶</cp:lastModifiedBy>
  <dcterms:created xsi:type="dcterms:W3CDTF">2026-07-26T08:10:00Z</dcterms:created>
  <dcterms:modified xsi:type="dcterms:W3CDTF">2026-09-05T09:30:12Z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